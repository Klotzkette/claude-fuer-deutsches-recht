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530b0a1d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rechnung" sheetId="1" r:id="R0a4374ab57d848f4"/>
    <x:sheet xmlns:r="http://schemas.openxmlformats.org/officeDocument/2006/relationships" name="Konten" sheetId="2" r:id="R7afd664aeaf44511"/>
    <x:sheet xmlns:r="http://schemas.openxmlformats.org/officeDocument/2006/relationships" name="Buchungen" sheetId="3" r:id="Rd3c5ced1ab7044b3"/>
    <x:sheet xmlns:r="http://schemas.openxmlformats.org/officeDocument/2006/relationships" name="Belege" sheetId="4" r:id="R45ca9a66d6454ef8"/>
    <x:sheet xmlns:r="http://schemas.openxmlformats.org/officeDocument/2006/relationships" name="Rückfragen" sheetId="5" r:id="R2b2675272ce44fcb"/>
    <x:sheet xmlns:r="http://schemas.openxmlformats.org/officeDocument/2006/relationships" name="Anleitung" sheetId="6" r:id="R005d4318f6e4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0.00"/>
    <x:numFmt numFmtId="202" formatCode="0"/>
  </x:numFmts>
  <x:fonts count="7">
    <x:font>
      <x:sz val="11"/>
      <x:name val="Carlito"/>
    </x:font>
    <x:font>
      <x:sz val="11"/>
      <x:color rgb="FF20272E"/>
      <x:name val="Times New Roman"/>
    </x:font>
    <x:font>
      <x:b/>
      <x:sz val="15"/>
      <x:color rgb="FF263C4A"/>
      <x:name val="Times New Roman"/>
    </x:font>
    <x:font>
      <x:i/>
      <x:sz val="11"/>
      <x:color rgb="FF59656D"/>
      <x:name val="Times New Roman"/>
    </x:font>
    <x:font>
      <x:sz val="11"/>
      <x:color rgb="FF174DAD"/>
      <x:name val="Times New Roman"/>
    </x:font>
    <x:font>
      <x:b/>
      <x:sz val="11"/>
      <x:color rgb="FFFFFFFF"/>
      <x:name val="Times New Roman"/>
    </x:font>
    <x:font>
      <x:b/>
      <x:sz val="11"/>
      <x:color rgb="FF20272E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7"/>
      </x:patternFill>
    </x:fill>
    <x:fill>
      <x:patternFill patternType="solid">
        <x:fgColor rgb="FF263C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9FA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0C7"/>
        </x:patternFill>
      </x:fill>
    </x:dxf>
    <x:dxf>
      <x:font>
        <x:b/>
        <x:color rgb="FF9B2020"/>
      </x:font>
      <x:fill>
        <x:patternFill patternType="solid">
          <x:bgColor rgb="FFFCE5E2"/>
        </x:patternFill>
      </x:fill>
    </x:dxf>
    <x:dxf>
      <x:font>
        <x:color rgb="FF9B2020"/>
      </x:font>
      <x:fill>
        <x:patternFill patternType="solid">
          <x:bgColor rgb="FFFCE5E2"/>
        </x:patternFill>
      </x:fill>
    </x:dxf>
    <x:dxf>
      <x:fill>
        <x:patternFill patternType="solid">
          <x:bgColor rgb="FFFFF0C7"/>
        </x:patternFill>
      </x:fill>
    </x:dxf>
    <x:dxf>
      <x:font>
        <x:color rgb="FF9B2020"/>
      </x:font>
      <x:fill>
        <x:patternFill patternType="solid">
          <x:bgColor rgb="FFFCE5E2"/>
        </x:patternFill>
      </x:fill>
    </x:dxf>
    <x:dxf>
      <x:font>
        <x:color rgb="FF9B2020"/>
      </x:font>
      <x:fill>
        <x:patternFill patternType="solid">
          <x:bgColor rgb="FFFC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c734ee7204aed" /><Relationship Type="http://schemas.openxmlformats.org/officeDocument/2006/relationships/theme" Target="/xl/theme/theme1.xml" Id="Rd2784e56ac774c48" /><Relationship Type="http://schemas.openxmlformats.org/officeDocument/2006/relationships/sharedStrings" Target="/xl/sharedStrings.xml" Id="R76bf163ee3bf483e" /><Relationship Type="http://schemas.openxmlformats.org/officeDocument/2006/relationships/worksheet" Target="/xl/worksheets/sheet1.xml" Id="R0a4374ab57d848f4" /><Relationship Type="http://schemas.openxmlformats.org/officeDocument/2006/relationships/worksheet" Target="/xl/worksheets/sheet2.xml" Id="R7afd664aeaf44511" /><Relationship Type="http://schemas.openxmlformats.org/officeDocument/2006/relationships/worksheet" Target="/xl/worksheets/sheet3.xml" Id="Rd3c5ced1ab7044b3" /><Relationship Type="http://schemas.openxmlformats.org/officeDocument/2006/relationships/worksheet" Target="/xl/worksheets/sheet4.xml" Id="R45ca9a66d6454ef8" /><Relationship Type="http://schemas.openxmlformats.org/officeDocument/2006/relationships/worksheet" Target="/xl/worksheets/sheet5.xml" Id="R2b2675272ce44fcb" /><Relationship Type="http://schemas.openxmlformats.org/officeDocument/2006/relationships/worksheet" Target="/xl/worksheets/sheet6.xml" Id="R005d4318f6e44ba1" /></Relationships>
</file>

<file path=xl/tables/table1.xml><?xml version="1.0" encoding="utf-8"?>
<x:table xmlns:x="http://schemas.openxmlformats.org/spreadsheetml/2006/main" id="1" name="Kontensaldierung" displayName="Kontensaldierung" ref="A6:K26" headerRowCount="1" totalsRowCount="0" totalsRowShown="0">
  <x:tableColumns count="11">
    <x:tableColumn id="1" name="Konto-ID"/>
    <x:tableColumn id="2" name="Bezeichnung"/>
    <x:tableColumn id="3" name="Anfang EUR"/>
    <x:tableColumn id="4" name="Ende laut Beleg EUR"/>
    <x:tableColumn id="5" name="Bewegungen EUR"/>
    <x:tableColumn id="6" name="Ende gerechnet EUR"/>
    <x:tableColumn id="7" name="Differenz EUR"/>
    <x:tableColumn id="8" name="Quelle Anfang"/>
    <x:tableColumn id="9" name="Quelle Ende"/>
    <x:tableColumn id="10" name="Prüfvermerk"/>
    <x:tableColumn id="11" name="Kontrollnoti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chungsregister" displayName="Buchungsregister" ref="A6:O1506" headerRowCount="1" totalsRowCount="0" totalsRowShown="0">
  <x:tableColumns count="15">
    <x:tableColumn id="1" name="Buchung-ID"/>
    <x:tableColumn id="2" name="Datum"/>
    <x:tableColumn id="3" name="Konto-ID"/>
    <x:tableColumn id="4" name="Gegenpartei"/>
    <x:tableColumn id="5" name="Original-Buchungstext"/>
    <x:tableColumn id="6" name="Betrag EUR"/>
    <x:tableColumn id="7" name="Beleg-ID(s)"/>
    <x:tableColumn id="8" name="Art"/>
    <x:tableColumn id="9" name="Kategorie"/>
    <x:tableColumn id="10" name="Zuordnung bestätigt"/>
    <x:tableColumn id="11" name="Gegenbuchung-ID"/>
    <x:tableColumn id="12" name="Quelle / Seite"/>
    <x:tableColumn id="13" name="Belegstand"/>
    <x:tableColumn id="14" name="Sachverhaltsnotiz"/>
    <x:tableColumn id="15" name="Prüf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legregister" displayName="Belegregister" ref="A6:H306" headerRowCount="1" totalsRowCount="0" totalsRowShown="0">
  <x:tableColumns count="8">
    <x:tableColumn id="1" name="Beleg-ID"/>
    <x:tableColumn id="2" name="Belegdatum"/>
    <x:tableColumn id="3" name="Aussteller"/>
    <x:tableColumn id="4" name="Belegbetrag EUR"/>
    <x:tableColumn id="5" name="Datei / Seite"/>
    <x:tableColumn id="6" name="Buchung-ID(s)"/>
    <x:tableColumn id="7" name="Nachweisumfang"/>
    <x:tableColumn id="8" name="Fehlende Angab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eckfragenregister" displayName="Rueckfragenregister" ref="A6:L106" headerRowCount="1" totalsRowCount="0" totalsRowShown="0">
  <x:tableColumns count="12">
    <x:tableColumn id="1" name="Vorgang-ID"/>
    <x:tableColumn id="2" name="Buchung / Beleg"/>
    <x:tableColumn id="3" name="Empfänger"/>
    <x:tableColumn id="4" name="Anschrift / E-Mail"/>
    <x:tableColumn id="5" name="Adressquelle"/>
    <x:tableColumn id="6" name="Zu klärender Sachverhalt"/>
    <x:tableColumn id="7" name="Schreiben / Prüfauftrag"/>
    <x:tableColumn id="8" name="Frist"/>
    <x:tableColumn id="9" name="Bearbeitungsstand"/>
    <x:tableColumn id="10" name="Entwurfspfad"/>
    <x:tableColumn id="11" name="Freigabe durch / am"/>
    <x:tableColumn id="12" name="Versandbeleg / Antw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40240750542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8c63ef25f9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e44dcecd18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0de748432d4dd0" /></Relationships>
</file>

<file path=xl/worksheets/sheet1.xml><?xml version="1.0" encoding="utf-8"?>
<x:worksheet xmlns:x="http://schemas.openxmlformats.org/spreadsheetml/2006/main">
  <x:sheetPr>
    <x:tabColor rgb="FF263C4A"/>
  </x:sheetPr>
  <x:sheetViews>
    <x:sheetView showGridLines="0" workbookViewId="0"/>
  </x:sheetViews>
  <x:sheetFormatPr defaultRowHeight="15"/>
  <x:cols>
    <x:col min="1" max="1" width="40" hidden="0" customWidth="1"/>
    <x:col min="2" max="2" width="21" hidden="0" customWidth="1"/>
    <x:col min="3" max="3" width="20" hidden="0" customWidth="1"/>
    <x:col min="4" max="4" width="19" hidden="0" customWidth="1"/>
    <x:col min="5" max="5" width="20" hidden="0" customWidth="1"/>
    <x:col min="6" max="6" width="22" hidden="0" customWidth="1"/>
    <x:col min="7" max="7" width="22" hidden="0" customWidth="1"/>
    <x:col min="8" max="8" width="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Einnahmen, Ausgaben und offene Zuordnungen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5" t="str">
        <x:v>Fallneutrale Arbeitsvorlage. Angaben erst nach Belegsichtung übernehmen.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 t="str">
        <x:v>Betreute Person</x:v>
      </x:c>
      <x:c r="B6" s="7"/>
      <x:c r="C6" s="2"/>
      <x:c r="D6" s="2"/>
      <x:c r="E6" s="2"/>
      <x:c r="F6" s="2"/>
      <x:c r="G6" s="2"/>
      <x:c r="H6" s="2"/>
    </x:row>
    <x:row r="7" ht="22" customHeight="1">
      <x:c r="A7" s="2" t="str">
        <x:v>Zeitraum von</x:v>
      </x:c>
      <x:c r="B7" s="8"/>
      <x:c r="C7" s="2"/>
      <x:c r="D7" s="2"/>
      <x:c r="E7" s="2"/>
      <x:c r="F7" s="2"/>
      <x:c r="G7" s="2"/>
      <x:c r="H7" s="2"/>
    </x:row>
    <x:row r="8" ht="22" customHeight="1">
      <x:c r="A8" s="2" t="str">
        <x:v>Zeitraum bis</x:v>
      </x:c>
      <x:c r="B8" s="8"/>
      <x:c r="C8" s="2"/>
      <x:c r="D8" s="2"/>
      <x:c r="E8" s="2"/>
      <x:c r="F8" s="2"/>
      <x:c r="G8" s="2"/>
      <x:c r="H8" s="2"/>
    </x:row>
    <x:row r="9" ht="22" customHeight="1">
      <x:c r="A9" s="2" t="str">
        <x:v>Bearbeitet von / Stand</x:v>
      </x:c>
      <x:c r="B9" s="7"/>
      <x:c r="C9" s="2"/>
      <x:c r="D9" s="2"/>
      <x:c r="E9" s="2"/>
      <x:c r="F9" s="2"/>
      <x:c r="G9" s="2"/>
      <x:c r="H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10" t="str">
        <x:v>1. Zahlungsströme</x:v>
      </x:c>
      <x:c r="B12" s="10" t="str">
        <x:v>Betrag EUR</x:v>
      </x:c>
      <x:c r="C12" s="10" t="str">
        <x:v>Buchungen</x:v>
      </x:c>
      <x:c r="D12" s="2"/>
      <x:c r="E12" s="2"/>
      <x:c r="F12" s="2"/>
      <x:c r="G12" s="2"/>
      <x:c r="H12" s="2"/>
    </x:row>
    <x:row r="13" ht="22" customHeight="1">
      <x:c r="A13" s="2" t="str">
        <x:v>Bestätigte Einnahmen</x:v>
      </x:c>
      <x:c r="B13" s="14" t="str">
        <x:f>IF(OR($B$7="",$B$8="",$B$8&lt;$B$7),"Zeitraum fehlt",SUMIFS('Buchungen'!$F$7:$F$1506,'Buchungen'!$H$7:$H$1506,"Einnahme",'Buchungen'!$B$7:$B$1506,"&gt;="&amp;$B$7,'Buchungen'!$B$7:$B$1506,"&lt;"&amp;$B$8+1,'Buchungen'!$J$7:$J$1506,"Ja"))</x:f>
        <x:v>Zeitraum fehlt</x:v>
      </x:c>
      <x:c r="C13" s="16" t="str">
        <x:f>IF(OR($B$7="",$B$8="",$B$8&lt;$B$7),"",COUNTIFS('Buchungen'!$A$7:$A$1506,"&lt;&gt;",'Buchungen'!$H$7:$H$1506,"Einnahme",'Buchungen'!$B$7:$B$1506,"&gt;="&amp;$B$7,'Buchungen'!$B$7:$B$1506,"&lt;"&amp;$B$8+1,'Buchungen'!$J$7:$J$1506,"Ja"))</x:f>
      </x:c>
      <x:c r="D13" s="2"/>
      <x:c r="E13" s="2"/>
      <x:c r="F13" s="2"/>
      <x:c r="G13" s="2"/>
      <x:c r="H13" s="2"/>
    </x:row>
    <x:row r="14" ht="22" customHeight="1">
      <x:c r="A14" s="2" t="str">
        <x:v>Bestätigte Ausgaben</x:v>
      </x:c>
      <x:c r="B14" s="14" t="str">
        <x:f>IF(OR($B$7="",$B$8="",$B$8&lt;$B$7),"Zeitraum fehlt",0-SUMIFS('Buchungen'!$F$7:$F$1506,'Buchungen'!$H$7:$H$1506,"Ausgabe",'Buchungen'!$B$7:$B$1506,"&gt;="&amp;$B$7,'Buchungen'!$B$7:$B$1506,"&lt;"&amp;$B$8+1,'Buchungen'!$J$7:$J$1506,"Ja"))</x:f>
        <x:v>Zeitraum fehlt</x:v>
      </x:c>
      <x:c r="C14" s="16" t="str">
        <x:f>IF(OR($B$7="",$B$8="",$B$8&lt;$B$7),"",COUNTIFS('Buchungen'!$A$7:$A$1506,"&lt;&gt;",'Buchungen'!$H$7:$H$1506,"Ausgabe",'Buchungen'!$B$7:$B$1506,"&gt;="&amp;$B$7,'Buchungen'!$B$7:$B$1506,"&lt;"&amp;$B$8+1,'Buchungen'!$J$7:$J$1506,"Ja"))</x:f>
      </x:c>
      <x:c r="D14" s="2"/>
      <x:c r="E14" s="2"/>
      <x:c r="F14" s="2"/>
      <x:c r="G14" s="2"/>
      <x:c r="H14" s="2"/>
    </x:row>
    <x:row r="15" ht="22" customHeight="1">
      <x:c r="A15" s="2" t="str">
        <x:v>Erstattungen, gesondert</x:v>
      </x:c>
      <x:c r="B15" s="14" t="str">
        <x:f>IF(OR($B$7="",$B$8="",$B$8&lt;$B$7),"Zeitraum fehlt",SUMIFS('Buchungen'!$F$7:$F$1506,'Buchungen'!$H$7:$H$1506,"Erstattung",'Buchungen'!$B$7:$B$1506,"&gt;="&amp;$B$7,'Buchungen'!$B$7:$B$1506,"&lt;"&amp;$B$8+1,'Buchungen'!$J$7:$J$1506,"Ja"))</x:f>
        <x:v>Zeitraum fehlt</x:v>
      </x:c>
      <x:c r="C15" s="16" t="str">
        <x:f>IF(OR($B$7="",$B$8="",$B$8&lt;$B$7),"",COUNTIFS('Buchungen'!$A$7:$A$1506,"&lt;&gt;",'Buchungen'!$H$7:$H$1506,"Erstattung",'Buchungen'!$B$7:$B$1506,"&gt;="&amp;$B$7,'Buchungen'!$B$7:$B$1506,"&lt;"&amp;$B$8+1,'Buchungen'!$J$7:$J$1506,"Ja"))</x:f>
      </x:c>
      <x:c r="D15" s="2"/>
      <x:c r="E15" s="2"/>
      <x:c r="F15" s="2"/>
      <x:c r="G15" s="2"/>
      <x:c r="H15" s="2"/>
    </x:row>
    <x:row r="16" ht="22" customHeight="1">
      <x:c r="A16" s="2" t="str">
        <x:v>Umbuchungen, netto</x:v>
      </x:c>
      <x:c r="B16" s="14" t="str">
        <x:f>IF(OR($B$7="",$B$8="",$B$8&lt;$B$7),"Zeitraum fehlt",SUMIFS('Buchungen'!$F$7:$F$1506,'Buchungen'!$H$7:$H$1506,"Umbuchung",'Buchungen'!$B$7:$B$1506,"&gt;="&amp;$B$7,'Buchungen'!$B$7:$B$1506,"&lt;"&amp;$B$8+1))</x:f>
        <x:v>Zeitraum fehlt</x:v>
      </x:c>
      <x:c r="C16" s="16" t="str">
        <x:f>IF(OR($B$7="",$B$8="",$B$8&lt;$B$7),"",COUNTIFS('Buchungen'!$A$7:$A$1506,"&lt;&gt;",'Buchungen'!$H$7:$H$1506,"Umbuchung",'Buchungen'!$B$7:$B$1506,"&gt;="&amp;$B$7,'Buchungen'!$B$7:$B$1506,"&lt;"&amp;$B$8+1))</x:f>
      </x:c>
      <x:c r="D16" s="2"/>
      <x:c r="E16" s="2"/>
      <x:c r="F16" s="2"/>
      <x:c r="G16" s="2"/>
      <x:c r="H16" s="2"/>
    </x:row>
    <x:row r="17" ht="22" customHeight="1">
      <x:c r="A17" s="2" t="str">
        <x:v>Bargeldbewegungen, netto</x:v>
      </x:c>
      <x:c r="B17" s="14" t="str">
        <x:f>IF(OR($B$7="",$B$8="",$B$8&lt;$B$7),"Zeitraum fehlt",SUMIFS('Buchungen'!$F$7:$F$1506,'Buchungen'!$H$7:$H$1506,"Bargeld",'Buchungen'!$B$7:$B$1506,"&gt;="&amp;$B$7,'Buchungen'!$B$7:$B$1506,"&lt;"&amp;$B$8+1))</x:f>
        <x:v>Zeitraum fehlt</x:v>
      </x:c>
      <x:c r="C17" s="16" t="str">
        <x:f>IF(OR($B$7="",$B$8="",$B$8&lt;$B$7),"",COUNTIFS('Buchungen'!$A$7:$A$1506,"&lt;&gt;",'Buchungen'!$H$7:$H$1506,"Bargeld",'Buchungen'!$B$7:$B$1506,"&gt;="&amp;$B$7,'Buchungen'!$B$7:$B$1506,"&lt;"&amp;$B$8+1))</x:f>
      </x:c>
      <x:c r="D17" s="2"/>
      <x:c r="E17" s="2"/>
      <x:c r="F17" s="2"/>
      <x:c r="G17" s="2"/>
      <x:c r="H17" s="2"/>
    </x:row>
    <x:row r="18" ht="22" customHeight="1">
      <x:c r="A18" s="2" t="str">
        <x:v>Ungeklärt, netto</x:v>
      </x:c>
      <x:c r="B18" s="14" t="str">
        <x:f>IF(OR($B$7="",$B$8="",$B$8&lt;$B$7),"Zeitraum fehlt",SUMIFS('Buchungen'!$F$7:$F$1506,'Buchungen'!$H$7:$H$1506,"Ungeklärt",'Buchungen'!$B$7:$B$1506,"&gt;="&amp;$B$7,'Buchungen'!$B$7:$B$1506,"&lt;"&amp;$B$8+1))</x:f>
        <x:v>Zeitraum fehlt</x:v>
      </x:c>
      <x:c r="C18" s="16" t="str">
        <x:f>IF(OR($B$7="",$B$8="",$B$8&lt;$B$7),"",COUNTIFS('Buchungen'!$A$7:$A$1506,"&lt;&gt;",'Buchungen'!$H$7:$H$1506,"Ungeklärt",'Buchungen'!$B$7:$B$1506,"&gt;="&amp;$B$7,'Buchungen'!$B$7:$B$1506,"&lt;"&amp;$B$8+1))</x:f>
      </x:c>
      <x:c r="D18" s="2"/>
      <x:c r="E18" s="2"/>
      <x:c r="F18" s="2"/>
      <x:c r="G18" s="2"/>
      <x:c r="H18" s="2"/>
    </x:row>
    <x:row r="19" ht="22" customHeight="1">
      <x:c r="A19" s="2"/>
      <x:c r="B19" s="14"/>
      <x:c r="C19" s="2"/>
      <x:c r="D19" s="2"/>
      <x:c r="E19" s="2"/>
      <x:c r="F19" s="2"/>
      <x:c r="G19" s="2"/>
      <x:c r="H19" s="2"/>
    </x:row>
    <x:row r="20" ht="22" customHeight="1">
      <x:c r="A20" s="11" t="str">
        <x:v>Saldo Einnahmen minus Ausgaben</x:v>
      </x:c>
      <x:c r="B20" s="15" t="str">
        <x:f>IF(AND(ISNUMBER(B13),ISNUMBER(B14)),B13-B14,"Zeitraum fehlt")</x:f>
        <x:v>Zeitraum fehlt</x:v>
      </x:c>
      <x:c r="C20" s="11"/>
      <x:c r="D20" s="2"/>
      <x:c r="E20" s="2"/>
      <x:c r="F20" s="2"/>
      <x:c r="G20" s="2"/>
      <x:c r="H20" s="2"/>
    </x:row>
    <x:row r="21" ht="22" customHeight="1">
      <x:c r="A21" s="11" t="str">
        <x:v>Mit gesonderten Erstattungen</x:v>
      </x:c>
      <x:c r="B21" s="15" t="str">
        <x:f>IF(AND(ISNUMBER(B20),ISNUMBER(B15)),SUM(B20,B15),"Zeitraum fehlt")</x:f>
        <x:v>Zeitraum fehlt</x:v>
      </x:c>
      <x:c r="C21" s="11"/>
      <x:c r="D21" s="2"/>
      <x:c r="E21" s="2"/>
      <x:c r="F21" s="2"/>
      <x:c r="G21" s="2"/>
      <x:c r="H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10" t="str">
        <x:v>2. Noch zu bearbeiten</x:v>
      </x:c>
      <x:c r="B24" s="10" t="str">
        <x:v>Anzahl</x:v>
      </x:c>
      <x:c r="C24" s="10" t="str"/>
      <x:c r="D24" s="2"/>
      <x:c r="E24" s="2"/>
      <x:c r="F24" s="2"/>
      <x:c r="G24" s="2"/>
      <x:c r="H24" s="2"/>
    </x:row>
    <x:row r="25" ht="22" customHeight="1">
      <x:c r="A25" s="2" t="str">
        <x:v>Buchungen mit Prüfbedarf</x:v>
      </x:c>
      <x:c r="B25" s="2" t="n">
        <x:f>COUNTIFS('Buchungen'!$A$7:$A$1506,"&lt;&gt;",'Buchungen'!$O$7:$O$1506,"&lt;&gt;vollständig erfasst")</x:f>
        <x:v>0</x:v>
      </x:c>
      <x:c r="C25" s="2"/>
      <x:c r="D25" s="2"/>
      <x:c r="E25" s="2"/>
      <x:c r="F25" s="2"/>
      <x:c r="G25" s="2"/>
      <x:c r="H25" s="2"/>
    </x:row>
    <x:row r="26" ht="22" customHeight="1">
      <x:c r="A26" s="2" t="str">
        <x:v>Angelegte Rückfragen</x:v>
      </x:c>
      <x:c r="B26" s="2" t="n">
        <x:f>COUNTIFS('Rückfragen'!$A$7:$A$106,"&lt;&gt;")</x:f>
        <x:v>0</x:v>
      </x:c>
      <x:c r="C26" s="2"/>
      <x:c r="D26" s="2"/>
      <x:c r="E26" s="2"/>
      <x:c r="F26" s="2"/>
      <x:c r="G26" s="2"/>
      <x:c r="H26" s="2"/>
    </x:row>
    <x:row r="27" ht="22" customHeight="1">
      <x:c r="A27" s="2" t="str">
        <x:v>Rückfragen ohne Erledigungsnachweis</x:v>
      </x:c>
      <x:c r="B27" s="2" t="n">
        <x:f>COUNTIFS('Rückfragen'!$A$7:$A$106,"&lt;&gt;")-COUNTIFS('Rückfragen'!$A$7:$A$106,"&lt;&gt;",'Rückfragen'!$I$7:$I$106,"erledigt",'Rückfragen'!$L$7:$L$106,"&lt;&gt;")</x:f>
        <x:v>0</x:v>
      </x:c>
      <x:c r="C27" s="2"/>
      <x:c r="D27" s="2"/>
      <x:c r="E27" s="2"/>
      <x:c r="F27" s="2"/>
      <x:c r="G27" s="2"/>
      <x:c r="H27" s="2"/>
    </x:row>
    <x:row r="28" ht="22" customHeight="1">
      <x:c r="A28" s="2" t="str">
        <x:v>Buchungen außerhalb des Zeitraums</x:v>
      </x:c>
      <x:c r="B28" s="2" t="str">
        <x:f>IF(OR($B$7="",$B$8="",$B$8&lt;$B$7),"Zeitraum fehlt",COUNTIFS('Buchungen'!$A$7:$A$1506,"&lt;&gt;",'Buchungen'!$B$7:$B$1506,"&lt;"&amp;$B$7)+COUNTIFS('Buchungen'!$A$7:$A$1506,"&lt;&gt;",'Buchungen'!$B$7:$B$1506,"&gt;="&amp;$B$8+1))</x:f>
        <x:v>Zeitraum fehlt</x:v>
      </x:c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 t="str">
        <x:v>Bargeldabhebung belegt den Kontenabfluss, nicht die spätere Verwendung.</x:v>
      </x:c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 t="str">
        <x:v>Umbuchungen verbinden eigene Konten und werden nicht als Einnahme oder Ausgabe gezählt.</x:v>
      </x:c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 t="str">
        <x:v>Eine vollständige Erfassung bestätigt weder einen Anspruch noch einen Verdacht.</x:v>
      </x:c>
      <x:c r="B35" s="2"/>
      <x:c r="C35" s="2"/>
      <x:c r="D35" s="2"/>
      <x:c r="E35" s="2"/>
      <x:c r="F35" s="2"/>
      <x:c r="G35" s="2"/>
      <x:c r="H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</x:row>
  </x:sheetData>
  <x:conditionalFormatting sqref="B25:B28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889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19" hidden="0" customWidth="1"/>
    <x:col min="8" max="8" width="29" hidden="0" customWidth="1"/>
    <x:col min="9" max="9" width="29" hidden="0" customWidth="1"/>
    <x:col min="10" max="10" width="27" hidden="0" customWidth="1"/>
    <x:col min="11" max="11" width="2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Konten und Saldierung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5" t="str">
        <x:v>Je Konto eine Zeile. Anfang und Ende müssen zum gewählten Zeitraum gehören.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18" t="str">
        <x:v>Konto-ID</x:v>
      </x:c>
      <x:c r="B6" s="18" t="str">
        <x:v>Bezeichnung</x:v>
      </x:c>
      <x:c r="C6" s="18" t="str">
        <x:v>Anfang EUR</x:v>
      </x:c>
      <x:c r="D6" s="18" t="str">
        <x:v>Ende laut Beleg EUR</x:v>
      </x:c>
      <x:c r="E6" s="18" t="str">
        <x:v>Bewegungen EUR</x:v>
      </x:c>
      <x:c r="F6" s="18" t="str">
        <x:v>Ende gerechnet EUR</x:v>
      </x:c>
      <x:c r="G6" s="18" t="str">
        <x:v>Differenz EUR</x:v>
      </x:c>
      <x:c r="H6" s="18" t="str">
        <x:v>Quelle Anfang</x:v>
      </x:c>
      <x:c r="I6" s="18" t="str">
        <x:v>Quelle Ende</x:v>
      </x:c>
      <x:c r="J6" s="18" t="str">
        <x:v>Prüfvermerk</x:v>
      </x:c>
      <x:c r="K6" s="18" t="str">
        <x:v>Kontrollnotiz</x:v>
      </x:c>
    </x:row>
    <x:row r="7" ht="22" customHeight="1">
      <x:c r="A7" s="7"/>
      <x:c r="B7" s="7"/>
      <x:c r="C7" s="20"/>
      <x:c r="D7" s="20"/>
      <x:c r="E7" s="14" t="str">
        <x:f>IF(A7="","",IF(OR('Abrechnung'!$B$7="",'Abrechnung'!$B$8=""),"Zeitraum fehlt",SUMIFS('Buchungen'!$F$7:$F$1506,'Buchungen'!$C$7:$C$1506,A7,'Buchungen'!$B$7:$B$1506,"&gt;="&amp;'Abrechnung'!$B$7,'Buchungen'!$B$7:$B$1506,"&lt;"&amp;'Abrechnung'!$B$8+1)))</x:f>
      </x:c>
      <x:c r="F7" s="14" t="str">
        <x:f>IF(A7="","",IF(NOT(ISNUMBER(C7)),"Anfang fehlt",IF(ISNUMBER(E7),SUM(C7,E7),"Zeitraum fehlt")))</x:f>
      </x:c>
      <x:c r="G7" s="14" t="str">
        <x:f>IF(A7="","",IF(NOT(ISNUMBER(D7)),"Ende fehlt",IF(ISNUMBER(F7),ROUND(F7-D7,2),"nicht berechnet")))</x:f>
      </x:c>
      <x:c r="H7" s="7"/>
      <x:c r="I7" s="7"/>
      <x:c r="J7" s="2" t="str">
        <x:f>IF(A7="","",IF(COUNTIFS($A$7:$A$26,A7)&gt;1,"Konto-ID doppelt",IF(OR(H7="",I7=""),"Saldoquellen fehlen",IF(ISNUMBER(G7),IF(G7=0,"rechnerisch ausgeglichen","Differenz klären"),"Saldoangaben fehlen"))))</x:f>
      </x:c>
      <x:c r="K7" s="7"/>
    </x:row>
    <x:row r="8" ht="22" customHeight="1">
      <x:c r="A8" s="7"/>
      <x:c r="B8" s="7"/>
      <x:c r="C8" s="20"/>
      <x:c r="D8" s="20"/>
      <x:c r="E8" s="14" t="str">
        <x:f>IF(A8="","",IF(OR('Abrechnung'!$B$7="",'Abrechnung'!$B$8=""),"Zeitraum fehlt",SUMIFS('Buchungen'!$F$7:$F$1506,'Buchungen'!$C$7:$C$1506,A8,'Buchungen'!$B$7:$B$1506,"&gt;="&amp;'Abrechnung'!$B$7,'Buchungen'!$B$7:$B$1506,"&lt;"&amp;'Abrechnung'!$B$8+1)))</x:f>
      </x:c>
      <x:c r="F8" s="14" t="str">
        <x:f>IF(A8="","",IF(NOT(ISNUMBER(C8)),"Anfang fehlt",IF(ISNUMBER(E8),SUM(C8,E8),"Zeitraum fehlt")))</x:f>
      </x:c>
      <x:c r="G8" s="14" t="str">
        <x:f>IF(A8="","",IF(NOT(ISNUMBER(D8)),"Ende fehlt",IF(ISNUMBER(F8),ROUND(F8-D8,2),"nicht berechnet")))</x:f>
      </x:c>
      <x:c r="H8" s="7"/>
      <x:c r="I8" s="7"/>
      <x:c r="J8" s="2" t="str">
        <x:f>IF(A8="","",IF(COUNTIFS($A$7:$A$26,A8)&gt;1,"Konto-ID doppelt",IF(OR(H8="",I8=""),"Saldoquellen fehlen",IF(ISNUMBER(G8),IF(G8=0,"rechnerisch ausgeglichen","Differenz klären"),"Saldoangaben fehlen"))))</x:f>
      </x:c>
      <x:c r="K8" s="7"/>
    </x:row>
    <x:row r="9" ht="22" customHeight="1">
      <x:c r="A9" s="7"/>
      <x:c r="B9" s="7"/>
      <x:c r="C9" s="20"/>
      <x:c r="D9" s="20"/>
      <x:c r="E9" s="14" t="str">
        <x:f>IF(A9="","",IF(OR('Abrechnung'!$B$7="",'Abrechnung'!$B$8=""),"Zeitraum fehlt",SUMIFS('Buchungen'!$F$7:$F$1506,'Buchungen'!$C$7:$C$1506,A9,'Buchungen'!$B$7:$B$1506,"&gt;="&amp;'Abrechnung'!$B$7,'Buchungen'!$B$7:$B$1506,"&lt;"&amp;'Abrechnung'!$B$8+1)))</x:f>
      </x:c>
      <x:c r="F9" s="14" t="str">
        <x:f>IF(A9="","",IF(NOT(ISNUMBER(C9)),"Anfang fehlt",IF(ISNUMBER(E9),SUM(C9,E9),"Zeitraum fehlt")))</x:f>
      </x:c>
      <x:c r="G9" s="14" t="str">
        <x:f>IF(A9="","",IF(NOT(ISNUMBER(D9)),"Ende fehlt",IF(ISNUMBER(F9),ROUND(F9-D9,2),"nicht berechnet")))</x:f>
      </x:c>
      <x:c r="H9" s="7"/>
      <x:c r="I9" s="7"/>
      <x:c r="J9" s="2" t="str">
        <x:f>IF(A9="","",IF(COUNTIFS($A$7:$A$26,A9)&gt;1,"Konto-ID doppelt",IF(OR(H9="",I9=""),"Saldoquellen fehlen",IF(ISNUMBER(G9),IF(G9=0,"rechnerisch ausgeglichen","Differenz klären"),"Saldoangaben fehlen"))))</x:f>
      </x:c>
      <x:c r="K9" s="7"/>
    </x:row>
    <x:row r="10" ht="22" customHeight="1">
      <x:c r="A10" s="7"/>
      <x:c r="B10" s="7"/>
      <x:c r="C10" s="20"/>
      <x:c r="D10" s="20"/>
      <x:c r="E10" s="14" t="str">
        <x:f>IF(A10="","",IF(OR('Abrechnung'!$B$7="",'Abrechnung'!$B$8=""),"Zeitraum fehlt",SUMIFS('Buchungen'!$F$7:$F$1506,'Buchungen'!$C$7:$C$1506,A10,'Buchungen'!$B$7:$B$1506,"&gt;="&amp;'Abrechnung'!$B$7,'Buchungen'!$B$7:$B$1506,"&lt;"&amp;'Abrechnung'!$B$8+1)))</x:f>
      </x:c>
      <x:c r="F10" s="14" t="str">
        <x:f>IF(A10="","",IF(NOT(ISNUMBER(C10)),"Anfang fehlt",IF(ISNUMBER(E10),SUM(C10,E10),"Zeitraum fehlt")))</x:f>
      </x:c>
      <x:c r="G10" s="14" t="str">
        <x:f>IF(A10="","",IF(NOT(ISNUMBER(D10)),"Ende fehlt",IF(ISNUMBER(F10),ROUND(F10-D10,2),"nicht berechnet")))</x:f>
      </x:c>
      <x:c r="H10" s="7"/>
      <x:c r="I10" s="7"/>
      <x:c r="J10" s="2" t="str">
        <x:f>IF(A10="","",IF(COUNTIFS($A$7:$A$26,A10)&gt;1,"Konto-ID doppelt",IF(OR(H10="",I10=""),"Saldoquellen fehlen",IF(ISNUMBER(G10),IF(G10=0,"rechnerisch ausgeglichen","Differenz klären"),"Saldoangaben fehlen"))))</x:f>
      </x:c>
      <x:c r="K10" s="7"/>
    </x:row>
    <x:row r="11" ht="22" customHeight="1">
      <x:c r="A11" s="7"/>
      <x:c r="B11" s="7"/>
      <x:c r="C11" s="20"/>
      <x:c r="D11" s="20"/>
      <x:c r="E11" s="14" t="str">
        <x:f>IF(A11="","",IF(OR('Abrechnung'!$B$7="",'Abrechnung'!$B$8=""),"Zeitraum fehlt",SUMIFS('Buchungen'!$F$7:$F$1506,'Buchungen'!$C$7:$C$1506,A11,'Buchungen'!$B$7:$B$1506,"&gt;="&amp;'Abrechnung'!$B$7,'Buchungen'!$B$7:$B$1506,"&lt;"&amp;'Abrechnung'!$B$8+1)))</x:f>
      </x:c>
      <x:c r="F11" s="14" t="str">
        <x:f>IF(A11="","",IF(NOT(ISNUMBER(C11)),"Anfang fehlt",IF(ISNUMBER(E11),SUM(C11,E11),"Zeitraum fehlt")))</x:f>
      </x:c>
      <x:c r="G11" s="14" t="str">
        <x:f>IF(A11="","",IF(NOT(ISNUMBER(D11)),"Ende fehlt",IF(ISNUMBER(F11),ROUND(F11-D11,2),"nicht berechnet")))</x:f>
      </x:c>
      <x:c r="H11" s="7"/>
      <x:c r="I11" s="7"/>
      <x:c r="J11" s="2" t="str">
        <x:f>IF(A11="","",IF(COUNTIFS($A$7:$A$26,A11)&gt;1,"Konto-ID doppelt",IF(OR(H11="",I11=""),"Saldoquellen fehlen",IF(ISNUMBER(G11),IF(G11=0,"rechnerisch ausgeglichen","Differenz klären"),"Saldoangaben fehlen"))))</x:f>
      </x:c>
      <x:c r="K11" s="7"/>
    </x:row>
    <x:row r="12" ht="22" customHeight="1">
      <x:c r="A12" s="7"/>
      <x:c r="B12" s="7"/>
      <x:c r="C12" s="20"/>
      <x:c r="D12" s="20"/>
      <x:c r="E12" s="14" t="str">
        <x:f>IF(A12="","",IF(OR('Abrechnung'!$B$7="",'Abrechnung'!$B$8=""),"Zeitraum fehlt",SUMIFS('Buchungen'!$F$7:$F$1506,'Buchungen'!$C$7:$C$1506,A12,'Buchungen'!$B$7:$B$1506,"&gt;="&amp;'Abrechnung'!$B$7,'Buchungen'!$B$7:$B$1506,"&lt;"&amp;'Abrechnung'!$B$8+1)))</x:f>
      </x:c>
      <x:c r="F12" s="14" t="str">
        <x:f>IF(A12="","",IF(NOT(ISNUMBER(C12)),"Anfang fehlt",IF(ISNUMBER(E12),SUM(C12,E12),"Zeitraum fehlt")))</x:f>
      </x:c>
      <x:c r="G12" s="14" t="str">
        <x:f>IF(A12="","",IF(NOT(ISNUMBER(D12)),"Ende fehlt",IF(ISNUMBER(F12),ROUND(F12-D12,2),"nicht berechnet")))</x:f>
      </x:c>
      <x:c r="H12" s="7"/>
      <x:c r="I12" s="7"/>
      <x:c r="J12" s="2" t="str">
        <x:f>IF(A12="","",IF(COUNTIFS($A$7:$A$26,A12)&gt;1,"Konto-ID doppelt",IF(OR(H12="",I12=""),"Saldoquellen fehlen",IF(ISNUMBER(G12),IF(G12=0,"rechnerisch ausgeglichen","Differenz klären"),"Saldoangaben fehlen"))))</x:f>
      </x:c>
      <x:c r="K12" s="7"/>
    </x:row>
    <x:row r="13" ht="22" customHeight="1">
      <x:c r="A13" s="7"/>
      <x:c r="B13" s="7"/>
      <x:c r="C13" s="20"/>
      <x:c r="D13" s="20"/>
      <x:c r="E13" s="14" t="str">
        <x:f>IF(A13="","",IF(OR('Abrechnung'!$B$7="",'Abrechnung'!$B$8=""),"Zeitraum fehlt",SUMIFS('Buchungen'!$F$7:$F$1506,'Buchungen'!$C$7:$C$1506,A13,'Buchungen'!$B$7:$B$1506,"&gt;="&amp;'Abrechnung'!$B$7,'Buchungen'!$B$7:$B$1506,"&lt;"&amp;'Abrechnung'!$B$8+1)))</x:f>
      </x:c>
      <x:c r="F13" s="14" t="str">
        <x:f>IF(A13="","",IF(NOT(ISNUMBER(C13)),"Anfang fehlt",IF(ISNUMBER(E13),SUM(C13,E13),"Zeitraum fehlt")))</x:f>
      </x:c>
      <x:c r="G13" s="14" t="str">
        <x:f>IF(A13="","",IF(NOT(ISNUMBER(D13)),"Ende fehlt",IF(ISNUMBER(F13),ROUND(F13-D13,2),"nicht berechnet")))</x:f>
      </x:c>
      <x:c r="H13" s="7"/>
      <x:c r="I13" s="7"/>
      <x:c r="J13" s="2" t="str">
        <x:f>IF(A13="","",IF(COUNTIFS($A$7:$A$26,A13)&gt;1,"Konto-ID doppelt",IF(OR(H13="",I13=""),"Saldoquellen fehlen",IF(ISNUMBER(G13),IF(G13=0,"rechnerisch ausgeglichen","Differenz klären"),"Saldoangaben fehlen"))))</x:f>
      </x:c>
      <x:c r="K13" s="7"/>
    </x:row>
    <x:row r="14" ht="22" customHeight="1">
      <x:c r="A14" s="7"/>
      <x:c r="B14" s="7"/>
      <x:c r="C14" s="20"/>
      <x:c r="D14" s="20"/>
      <x:c r="E14" s="14" t="str">
        <x:f>IF(A14="","",IF(OR('Abrechnung'!$B$7="",'Abrechnung'!$B$8=""),"Zeitraum fehlt",SUMIFS('Buchungen'!$F$7:$F$1506,'Buchungen'!$C$7:$C$1506,A14,'Buchungen'!$B$7:$B$1506,"&gt;="&amp;'Abrechnung'!$B$7,'Buchungen'!$B$7:$B$1506,"&lt;"&amp;'Abrechnung'!$B$8+1)))</x:f>
      </x:c>
      <x:c r="F14" s="14" t="str">
        <x:f>IF(A14="","",IF(NOT(ISNUMBER(C14)),"Anfang fehlt",IF(ISNUMBER(E14),SUM(C14,E14),"Zeitraum fehlt")))</x:f>
      </x:c>
      <x:c r="G14" s="14" t="str">
        <x:f>IF(A14="","",IF(NOT(ISNUMBER(D14)),"Ende fehlt",IF(ISNUMBER(F14),ROUND(F14-D14,2),"nicht berechnet")))</x:f>
      </x:c>
      <x:c r="H14" s="7"/>
      <x:c r="I14" s="7"/>
      <x:c r="J14" s="2" t="str">
        <x:f>IF(A14="","",IF(COUNTIFS($A$7:$A$26,A14)&gt;1,"Konto-ID doppelt",IF(OR(H14="",I14=""),"Saldoquellen fehlen",IF(ISNUMBER(G14),IF(G14=0,"rechnerisch ausgeglichen","Differenz klären"),"Saldoangaben fehlen"))))</x:f>
      </x:c>
      <x:c r="K14" s="7"/>
    </x:row>
    <x:row r="15" ht="22" customHeight="1">
      <x:c r="A15" s="7"/>
      <x:c r="B15" s="7"/>
      <x:c r="C15" s="20"/>
      <x:c r="D15" s="20"/>
      <x:c r="E15" s="14" t="str">
        <x:f>IF(A15="","",IF(OR('Abrechnung'!$B$7="",'Abrechnung'!$B$8=""),"Zeitraum fehlt",SUMIFS('Buchungen'!$F$7:$F$1506,'Buchungen'!$C$7:$C$1506,A15,'Buchungen'!$B$7:$B$1506,"&gt;="&amp;'Abrechnung'!$B$7,'Buchungen'!$B$7:$B$1506,"&lt;"&amp;'Abrechnung'!$B$8+1)))</x:f>
      </x:c>
      <x:c r="F15" s="14" t="str">
        <x:f>IF(A15="","",IF(NOT(ISNUMBER(C15)),"Anfang fehlt",IF(ISNUMBER(E15),SUM(C15,E15),"Zeitraum fehlt")))</x:f>
      </x:c>
      <x:c r="G15" s="14" t="str">
        <x:f>IF(A15="","",IF(NOT(ISNUMBER(D15)),"Ende fehlt",IF(ISNUMBER(F15),ROUND(F15-D15,2),"nicht berechnet")))</x:f>
      </x:c>
      <x:c r="H15" s="7"/>
      <x:c r="I15" s="7"/>
      <x:c r="J15" s="2" t="str">
        <x:f>IF(A15="","",IF(COUNTIFS($A$7:$A$26,A15)&gt;1,"Konto-ID doppelt",IF(OR(H15="",I15=""),"Saldoquellen fehlen",IF(ISNUMBER(G15),IF(G15=0,"rechnerisch ausgeglichen","Differenz klären"),"Saldoangaben fehlen"))))</x:f>
      </x:c>
      <x:c r="K15" s="7"/>
    </x:row>
    <x:row r="16" ht="22" customHeight="1">
      <x:c r="A16" s="7"/>
      <x:c r="B16" s="7"/>
      <x:c r="C16" s="20"/>
      <x:c r="D16" s="20"/>
      <x:c r="E16" s="14" t="str">
        <x:f>IF(A16="","",IF(OR('Abrechnung'!$B$7="",'Abrechnung'!$B$8=""),"Zeitraum fehlt",SUMIFS('Buchungen'!$F$7:$F$1506,'Buchungen'!$C$7:$C$1506,A16,'Buchungen'!$B$7:$B$1506,"&gt;="&amp;'Abrechnung'!$B$7,'Buchungen'!$B$7:$B$1506,"&lt;"&amp;'Abrechnung'!$B$8+1)))</x:f>
      </x:c>
      <x:c r="F16" s="14" t="str">
        <x:f>IF(A16="","",IF(NOT(ISNUMBER(C16)),"Anfang fehlt",IF(ISNUMBER(E16),SUM(C16,E16),"Zeitraum fehlt")))</x:f>
      </x:c>
      <x:c r="G16" s="14" t="str">
        <x:f>IF(A16="","",IF(NOT(ISNUMBER(D16)),"Ende fehlt",IF(ISNUMBER(F16),ROUND(F16-D16,2),"nicht berechnet")))</x:f>
      </x:c>
      <x:c r="H16" s="7"/>
      <x:c r="I16" s="7"/>
      <x:c r="J16" s="2" t="str">
        <x:f>IF(A16="","",IF(COUNTIFS($A$7:$A$26,A16)&gt;1,"Konto-ID doppelt",IF(OR(H16="",I16=""),"Saldoquellen fehlen",IF(ISNUMBER(G16),IF(G16=0,"rechnerisch ausgeglichen","Differenz klären"),"Saldoangaben fehlen"))))</x:f>
      </x:c>
      <x:c r="K16" s="7"/>
    </x:row>
    <x:row r="17" ht="22" customHeight="1">
      <x:c r="A17" s="7"/>
      <x:c r="B17" s="7"/>
      <x:c r="C17" s="20"/>
      <x:c r="D17" s="20"/>
      <x:c r="E17" s="14" t="str">
        <x:f>IF(A17="","",IF(OR('Abrechnung'!$B$7="",'Abrechnung'!$B$8=""),"Zeitraum fehlt",SUMIFS('Buchungen'!$F$7:$F$1506,'Buchungen'!$C$7:$C$1506,A17,'Buchungen'!$B$7:$B$1506,"&gt;="&amp;'Abrechnung'!$B$7,'Buchungen'!$B$7:$B$1506,"&lt;"&amp;'Abrechnung'!$B$8+1)))</x:f>
      </x:c>
      <x:c r="F17" s="14" t="str">
        <x:f>IF(A17="","",IF(NOT(ISNUMBER(C17)),"Anfang fehlt",IF(ISNUMBER(E17),SUM(C17,E17),"Zeitraum fehlt")))</x:f>
      </x:c>
      <x:c r="G17" s="14" t="str">
        <x:f>IF(A17="","",IF(NOT(ISNUMBER(D17)),"Ende fehlt",IF(ISNUMBER(F17),ROUND(F17-D17,2),"nicht berechnet")))</x:f>
      </x:c>
      <x:c r="H17" s="7"/>
      <x:c r="I17" s="7"/>
      <x:c r="J17" s="2" t="str">
        <x:f>IF(A17="","",IF(COUNTIFS($A$7:$A$26,A17)&gt;1,"Konto-ID doppelt",IF(OR(H17="",I17=""),"Saldoquellen fehlen",IF(ISNUMBER(G17),IF(G17=0,"rechnerisch ausgeglichen","Differenz klären"),"Saldoangaben fehlen"))))</x:f>
      </x:c>
      <x:c r="K17" s="7"/>
    </x:row>
    <x:row r="18" ht="22" customHeight="1">
      <x:c r="A18" s="7"/>
      <x:c r="B18" s="7"/>
      <x:c r="C18" s="20"/>
      <x:c r="D18" s="20"/>
      <x:c r="E18" s="14" t="str">
        <x:f>IF(A18="","",IF(OR('Abrechnung'!$B$7="",'Abrechnung'!$B$8=""),"Zeitraum fehlt",SUMIFS('Buchungen'!$F$7:$F$1506,'Buchungen'!$C$7:$C$1506,A18,'Buchungen'!$B$7:$B$1506,"&gt;="&amp;'Abrechnung'!$B$7,'Buchungen'!$B$7:$B$1506,"&lt;"&amp;'Abrechnung'!$B$8+1)))</x:f>
      </x:c>
      <x:c r="F18" s="14" t="str">
        <x:f>IF(A18="","",IF(NOT(ISNUMBER(C18)),"Anfang fehlt",IF(ISNUMBER(E18),SUM(C18,E18),"Zeitraum fehlt")))</x:f>
      </x:c>
      <x:c r="G18" s="14" t="str">
        <x:f>IF(A18="","",IF(NOT(ISNUMBER(D18)),"Ende fehlt",IF(ISNUMBER(F18),ROUND(F18-D18,2),"nicht berechnet")))</x:f>
      </x:c>
      <x:c r="H18" s="7"/>
      <x:c r="I18" s="7"/>
      <x:c r="J18" s="2" t="str">
        <x:f>IF(A18="","",IF(COUNTIFS($A$7:$A$26,A18)&gt;1,"Konto-ID doppelt",IF(OR(H18="",I18=""),"Saldoquellen fehlen",IF(ISNUMBER(G18),IF(G18=0,"rechnerisch ausgeglichen","Differenz klären"),"Saldoangaben fehlen"))))</x:f>
      </x:c>
      <x:c r="K18" s="7"/>
    </x:row>
    <x:row r="19" ht="22" customHeight="1">
      <x:c r="A19" s="7"/>
      <x:c r="B19" s="7"/>
      <x:c r="C19" s="20"/>
      <x:c r="D19" s="20"/>
      <x:c r="E19" s="14" t="str">
        <x:f>IF(A19="","",IF(OR('Abrechnung'!$B$7="",'Abrechnung'!$B$8=""),"Zeitraum fehlt",SUMIFS('Buchungen'!$F$7:$F$1506,'Buchungen'!$C$7:$C$1506,A19,'Buchungen'!$B$7:$B$1506,"&gt;="&amp;'Abrechnung'!$B$7,'Buchungen'!$B$7:$B$1506,"&lt;"&amp;'Abrechnung'!$B$8+1)))</x:f>
      </x:c>
      <x:c r="F19" s="14" t="str">
        <x:f>IF(A19="","",IF(NOT(ISNUMBER(C19)),"Anfang fehlt",IF(ISNUMBER(E19),SUM(C19,E19),"Zeitraum fehlt")))</x:f>
      </x:c>
      <x:c r="G19" s="14" t="str">
        <x:f>IF(A19="","",IF(NOT(ISNUMBER(D19)),"Ende fehlt",IF(ISNUMBER(F19),ROUND(F19-D19,2),"nicht berechnet")))</x:f>
      </x:c>
      <x:c r="H19" s="7"/>
      <x:c r="I19" s="7"/>
      <x:c r="J19" s="2" t="str">
        <x:f>IF(A19="","",IF(COUNTIFS($A$7:$A$26,A19)&gt;1,"Konto-ID doppelt",IF(OR(H19="",I19=""),"Saldoquellen fehlen",IF(ISNUMBER(G19),IF(G19=0,"rechnerisch ausgeglichen","Differenz klären"),"Saldoangaben fehlen"))))</x:f>
      </x:c>
      <x:c r="K19" s="7"/>
    </x:row>
    <x:row r="20" ht="22" customHeight="1">
      <x:c r="A20" s="7"/>
      <x:c r="B20" s="7"/>
      <x:c r="C20" s="20"/>
      <x:c r="D20" s="20"/>
      <x:c r="E20" s="14" t="str">
        <x:f>IF(A20="","",IF(OR('Abrechnung'!$B$7="",'Abrechnung'!$B$8=""),"Zeitraum fehlt",SUMIFS('Buchungen'!$F$7:$F$1506,'Buchungen'!$C$7:$C$1506,A20,'Buchungen'!$B$7:$B$1506,"&gt;="&amp;'Abrechnung'!$B$7,'Buchungen'!$B$7:$B$1506,"&lt;"&amp;'Abrechnung'!$B$8+1)))</x:f>
      </x:c>
      <x:c r="F20" s="14" t="str">
        <x:f>IF(A20="","",IF(NOT(ISNUMBER(C20)),"Anfang fehlt",IF(ISNUMBER(E20),SUM(C20,E20),"Zeitraum fehlt")))</x:f>
      </x:c>
      <x:c r="G20" s="14" t="str">
        <x:f>IF(A20="","",IF(NOT(ISNUMBER(D20)),"Ende fehlt",IF(ISNUMBER(F20),ROUND(F20-D20,2),"nicht berechnet")))</x:f>
      </x:c>
      <x:c r="H20" s="7"/>
      <x:c r="I20" s="7"/>
      <x:c r="J20" s="2" t="str">
        <x:f>IF(A20="","",IF(COUNTIFS($A$7:$A$26,A20)&gt;1,"Konto-ID doppelt",IF(OR(H20="",I20=""),"Saldoquellen fehlen",IF(ISNUMBER(G20),IF(G20=0,"rechnerisch ausgeglichen","Differenz klären"),"Saldoangaben fehlen"))))</x:f>
      </x:c>
      <x:c r="K20" s="7"/>
    </x:row>
    <x:row r="21" ht="22" customHeight="1">
      <x:c r="A21" s="7"/>
      <x:c r="B21" s="7"/>
      <x:c r="C21" s="20"/>
      <x:c r="D21" s="20"/>
      <x:c r="E21" s="14" t="str">
        <x:f>IF(A21="","",IF(OR('Abrechnung'!$B$7="",'Abrechnung'!$B$8=""),"Zeitraum fehlt",SUMIFS('Buchungen'!$F$7:$F$1506,'Buchungen'!$C$7:$C$1506,A21,'Buchungen'!$B$7:$B$1506,"&gt;="&amp;'Abrechnung'!$B$7,'Buchungen'!$B$7:$B$1506,"&lt;"&amp;'Abrechnung'!$B$8+1)))</x:f>
      </x:c>
      <x:c r="F21" s="14" t="str">
        <x:f>IF(A21="","",IF(NOT(ISNUMBER(C21)),"Anfang fehlt",IF(ISNUMBER(E21),SUM(C21,E21),"Zeitraum fehlt")))</x:f>
      </x:c>
      <x:c r="G21" s="14" t="str">
        <x:f>IF(A21="","",IF(NOT(ISNUMBER(D21)),"Ende fehlt",IF(ISNUMBER(F21),ROUND(F21-D21,2),"nicht berechnet")))</x:f>
      </x:c>
      <x:c r="H21" s="7"/>
      <x:c r="I21" s="7"/>
      <x:c r="J21" s="2" t="str">
        <x:f>IF(A21="","",IF(COUNTIFS($A$7:$A$26,A21)&gt;1,"Konto-ID doppelt",IF(OR(H21="",I21=""),"Saldoquellen fehlen",IF(ISNUMBER(G21),IF(G21=0,"rechnerisch ausgeglichen","Differenz klären"),"Saldoangaben fehlen"))))</x:f>
      </x:c>
      <x:c r="K21" s="7"/>
    </x:row>
    <x:row r="22" ht="22" customHeight="1">
      <x:c r="A22" s="7"/>
      <x:c r="B22" s="7"/>
      <x:c r="C22" s="20"/>
      <x:c r="D22" s="20"/>
      <x:c r="E22" s="14" t="str">
        <x:f>IF(A22="","",IF(OR('Abrechnung'!$B$7="",'Abrechnung'!$B$8=""),"Zeitraum fehlt",SUMIFS('Buchungen'!$F$7:$F$1506,'Buchungen'!$C$7:$C$1506,A22,'Buchungen'!$B$7:$B$1506,"&gt;="&amp;'Abrechnung'!$B$7,'Buchungen'!$B$7:$B$1506,"&lt;"&amp;'Abrechnung'!$B$8+1)))</x:f>
      </x:c>
      <x:c r="F22" s="14" t="str">
        <x:f>IF(A22="","",IF(NOT(ISNUMBER(C22)),"Anfang fehlt",IF(ISNUMBER(E22),SUM(C22,E22),"Zeitraum fehlt")))</x:f>
      </x:c>
      <x:c r="G22" s="14" t="str">
        <x:f>IF(A22="","",IF(NOT(ISNUMBER(D22)),"Ende fehlt",IF(ISNUMBER(F22),ROUND(F22-D22,2),"nicht berechnet")))</x:f>
      </x:c>
      <x:c r="H22" s="7"/>
      <x:c r="I22" s="7"/>
      <x:c r="J22" s="2" t="str">
        <x:f>IF(A22="","",IF(COUNTIFS($A$7:$A$26,A22)&gt;1,"Konto-ID doppelt",IF(OR(H22="",I22=""),"Saldoquellen fehlen",IF(ISNUMBER(G22),IF(G22=0,"rechnerisch ausgeglichen","Differenz klären"),"Saldoangaben fehlen"))))</x:f>
      </x:c>
      <x:c r="K22" s="7"/>
    </x:row>
    <x:row r="23" ht="22" customHeight="1">
      <x:c r="A23" s="7"/>
      <x:c r="B23" s="7"/>
      <x:c r="C23" s="20"/>
      <x:c r="D23" s="20"/>
      <x:c r="E23" s="14" t="str">
        <x:f>IF(A23="","",IF(OR('Abrechnung'!$B$7="",'Abrechnung'!$B$8=""),"Zeitraum fehlt",SUMIFS('Buchungen'!$F$7:$F$1506,'Buchungen'!$C$7:$C$1506,A23,'Buchungen'!$B$7:$B$1506,"&gt;="&amp;'Abrechnung'!$B$7,'Buchungen'!$B$7:$B$1506,"&lt;"&amp;'Abrechnung'!$B$8+1)))</x:f>
      </x:c>
      <x:c r="F23" s="14" t="str">
        <x:f>IF(A23="","",IF(NOT(ISNUMBER(C23)),"Anfang fehlt",IF(ISNUMBER(E23),SUM(C23,E23),"Zeitraum fehlt")))</x:f>
      </x:c>
      <x:c r="G23" s="14" t="str">
        <x:f>IF(A23="","",IF(NOT(ISNUMBER(D23)),"Ende fehlt",IF(ISNUMBER(F23),ROUND(F23-D23,2),"nicht berechnet")))</x:f>
      </x:c>
      <x:c r="H23" s="7"/>
      <x:c r="I23" s="7"/>
      <x:c r="J23" s="2" t="str">
        <x:f>IF(A23="","",IF(COUNTIFS($A$7:$A$26,A23)&gt;1,"Konto-ID doppelt",IF(OR(H23="",I23=""),"Saldoquellen fehlen",IF(ISNUMBER(G23),IF(G23=0,"rechnerisch ausgeglichen","Differenz klären"),"Saldoangaben fehlen"))))</x:f>
      </x:c>
      <x:c r="K23" s="7"/>
    </x:row>
    <x:row r="24" ht="22" customHeight="1">
      <x:c r="A24" s="7"/>
      <x:c r="B24" s="7"/>
      <x:c r="C24" s="20"/>
      <x:c r="D24" s="20"/>
      <x:c r="E24" s="14" t="str">
        <x:f>IF(A24="","",IF(OR('Abrechnung'!$B$7="",'Abrechnung'!$B$8=""),"Zeitraum fehlt",SUMIFS('Buchungen'!$F$7:$F$1506,'Buchungen'!$C$7:$C$1506,A24,'Buchungen'!$B$7:$B$1506,"&gt;="&amp;'Abrechnung'!$B$7,'Buchungen'!$B$7:$B$1506,"&lt;"&amp;'Abrechnung'!$B$8+1)))</x:f>
      </x:c>
      <x:c r="F24" s="14" t="str">
        <x:f>IF(A24="","",IF(NOT(ISNUMBER(C24)),"Anfang fehlt",IF(ISNUMBER(E24),SUM(C24,E24),"Zeitraum fehlt")))</x:f>
      </x:c>
      <x:c r="G24" s="14" t="str">
        <x:f>IF(A24="","",IF(NOT(ISNUMBER(D24)),"Ende fehlt",IF(ISNUMBER(F24),ROUND(F24-D24,2),"nicht berechnet")))</x:f>
      </x:c>
      <x:c r="H24" s="7"/>
      <x:c r="I24" s="7"/>
      <x:c r="J24" s="2" t="str">
        <x:f>IF(A24="","",IF(COUNTIFS($A$7:$A$26,A24)&gt;1,"Konto-ID doppelt",IF(OR(H24="",I24=""),"Saldoquellen fehlen",IF(ISNUMBER(G24),IF(G24=0,"rechnerisch ausgeglichen","Differenz klären"),"Saldoangaben fehlen"))))</x:f>
      </x:c>
      <x:c r="K24" s="7"/>
    </x:row>
    <x:row r="25" ht="22" customHeight="1">
      <x:c r="A25" s="7"/>
      <x:c r="B25" s="7"/>
      <x:c r="C25" s="20"/>
      <x:c r="D25" s="20"/>
      <x:c r="E25" s="14" t="str">
        <x:f>IF(A25="","",IF(OR('Abrechnung'!$B$7="",'Abrechnung'!$B$8=""),"Zeitraum fehlt",SUMIFS('Buchungen'!$F$7:$F$1506,'Buchungen'!$C$7:$C$1506,A25,'Buchungen'!$B$7:$B$1506,"&gt;="&amp;'Abrechnung'!$B$7,'Buchungen'!$B$7:$B$1506,"&lt;"&amp;'Abrechnung'!$B$8+1)))</x:f>
      </x:c>
      <x:c r="F25" s="14" t="str">
        <x:f>IF(A25="","",IF(NOT(ISNUMBER(C25)),"Anfang fehlt",IF(ISNUMBER(E25),SUM(C25,E25),"Zeitraum fehlt")))</x:f>
      </x:c>
      <x:c r="G25" s="14" t="str">
        <x:f>IF(A25="","",IF(NOT(ISNUMBER(D25)),"Ende fehlt",IF(ISNUMBER(F25),ROUND(F25-D25,2),"nicht berechnet")))</x:f>
      </x:c>
      <x:c r="H25" s="7"/>
      <x:c r="I25" s="7"/>
      <x:c r="J25" s="2" t="str">
        <x:f>IF(A25="","",IF(COUNTIFS($A$7:$A$26,A25)&gt;1,"Konto-ID doppelt",IF(OR(H25="",I25=""),"Saldoquellen fehlen",IF(ISNUMBER(G25),IF(G25=0,"rechnerisch ausgeglichen","Differenz klären"),"Saldoangaben fehlen"))))</x:f>
      </x:c>
      <x:c r="K25" s="7"/>
    </x:row>
    <x:row r="26" ht="22" customHeight="1">
      <x:c r="A26" s="7"/>
      <x:c r="B26" s="7"/>
      <x:c r="C26" s="20"/>
      <x:c r="D26" s="20"/>
      <x:c r="E26" s="14" t="str">
        <x:f>IF(A26="","",IF(OR('Abrechnung'!$B$7="",'Abrechnung'!$B$8=""),"Zeitraum fehlt",SUMIFS('Buchungen'!$F$7:$F$1506,'Buchungen'!$C$7:$C$1506,A26,'Buchungen'!$B$7:$B$1506,"&gt;="&amp;'Abrechnung'!$B$7,'Buchungen'!$B$7:$B$1506,"&lt;"&amp;'Abrechnung'!$B$8+1)))</x:f>
      </x:c>
      <x:c r="F26" s="14" t="str">
        <x:f>IF(A26="","",IF(NOT(ISNUMBER(C26)),"Anfang fehlt",IF(ISNUMBER(E26),SUM(C26,E26),"Zeitraum fehlt")))</x:f>
      </x:c>
      <x:c r="G26" s="14" t="str">
        <x:f>IF(A26="","",IF(NOT(ISNUMBER(D26)),"Ende fehlt",IF(ISNUMBER(F26),ROUND(F26-D26,2),"nicht berechnet")))</x:f>
      </x:c>
      <x:c r="H26" s="7"/>
      <x:c r="I26" s="7"/>
      <x:c r="J26" s="2" t="str">
        <x:f>IF(A26="","",IF(COUNTIFS($A$7:$A$26,A26)&gt;1,"Konto-ID doppelt",IF(OR(H26="",I26=""),"Saldoquellen fehlen",IF(ISNUMBER(G26),IF(G26=0,"rechnerisch ausgeglichen","Differenz klären"),"Saldoangaben fehlen"))))</x:f>
      </x:c>
      <x:c r="K26" s="7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conditionalFormatting sqref="G7:G26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a40240750542e4"/>
  </x:tableParts>
</x:worksheet>
</file>

<file path=xl/worksheets/sheet3.xml><?xml version="1.0" encoding="utf-8"?>
<x:worksheet xmlns:x="http://schemas.openxmlformats.org/spreadsheetml/2006/main">
  <x:sheetPr>
    <x:tabColor rgb="FFD8CDB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29" hidden="0" customWidth="1"/>
    <x:col min="5" max="5" width="48" hidden="0" customWidth="1"/>
    <x:col min="6" max="6" width="18" hidden="0" customWidth="1"/>
    <x:col min="7" max="7" width="25" hidden="0" customWidth="1"/>
    <x:col min="8" max="8" width="19" hidden="0" customWidth="1"/>
    <x:col min="9" max="9" width="24" hidden="0" customWidth="1"/>
    <x:col min="10" max="10" width="20" hidden="0" customWidth="1"/>
    <x:col min="11" max="11" width="22" hidden="0" customWidth="1"/>
    <x:col min="12" max="12" width="43" hidden="0" customWidth="1"/>
    <x:col min="13" max="13" width="20" hidden="0" customWidth="1"/>
    <x:col min="14" max="14" width="42" hidden="0" customWidth="1"/>
    <x:col min="15" max="15" width="2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Buchungen mit Belegzuordnung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5" t="str">
        <x:v>1500 Zeilen vorbereitet. Jede Kontobewegung einmal erfassen; Originaltext erhalten.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8" customHeight="1">
      <x:c r="A6" s="18" t="str">
        <x:v>Buchung-ID</x:v>
      </x:c>
      <x:c r="B6" s="18" t="str">
        <x:v>Datum</x:v>
      </x:c>
      <x:c r="C6" s="18" t="str">
        <x:v>Konto-ID</x:v>
      </x:c>
      <x:c r="D6" s="18" t="str">
        <x:v>Gegenpartei</x:v>
      </x:c>
      <x:c r="E6" s="18" t="str">
        <x:v>Original-Buchungstext</x:v>
      </x:c>
      <x:c r="F6" s="18" t="str">
        <x:v>Betrag EUR</x:v>
      </x:c>
      <x:c r="G6" s="18" t="str">
        <x:v>Beleg-ID(s)</x:v>
      </x:c>
      <x:c r="H6" s="18" t="str">
        <x:v>Art</x:v>
      </x:c>
      <x:c r="I6" s="18" t="str">
        <x:v>Kategorie</x:v>
      </x:c>
      <x:c r="J6" s="18" t="str">
        <x:v>Zuordnung bestätigt</x:v>
      </x:c>
      <x:c r="K6" s="18" t="str">
        <x:v>Gegenbuchung-ID</x:v>
      </x:c>
      <x:c r="L6" s="18" t="str">
        <x:v>Quelle / Seite</x:v>
      </x:c>
      <x:c r="M6" s="18" t="str">
        <x:v>Belegstand</x:v>
      </x:c>
      <x:c r="N6" s="18" t="str">
        <x:v>Sachverhaltsnotiz</x:v>
      </x:c>
      <x:c r="O6" s="18" t="str">
        <x:v>Prüfstatus</x:v>
      </x:c>
    </x:row>
    <x:row r="7" ht="22" customHeight="1">
      <x:c r="A7" s="7"/>
      <x:c r="B7" s="8"/>
      <x:c r="C7" s="7"/>
      <x:c r="D7" s="7"/>
      <x:c r="E7" s="7"/>
      <x:c r="F7" s="20"/>
      <x:c r="G7" s="7"/>
      <x:c r="H7" s="7"/>
      <x:c r="I7" s="7"/>
      <x:c r="J7" s="7"/>
      <x:c r="K7" s="7"/>
      <x:c r="L7" s="7"/>
      <x:c r="M7" s="7"/>
      <x:c r="N7" s="7"/>
      <x:c r="O7" s="2" t="str">
        <x:f>IF(A7="","",IF(COUNTIFS($A$7:$A$1506,A7)&gt;1,"Buchung-ID doppelt",IF(OR(NOT(ISNUMBER(B7)),C7="",NOT(ISNUMBER(F7)),H7="",L7=""),"Pflichtangaben fehlen",IF(COUNTIFS('Konten'!$A$7:$A$26,C7)&lt;&gt;1,"Konto nicht eindeutig",IF(J7&lt;&gt;"Ja","Zuordnung bestätigen",IF(OR(AND(H7="Einnahme",F7&lt;0),AND(H7="Ausgabe",F7&gt;0)),"Vorzeichen prüfen",IF(AND(H7="Umbuchung",OR(K7="",COUNTIFS($A$7:$A$1506,K7)&lt;&gt;1)),"Gegenbuchung fehlt",IF(AND(H7="Umbuchung",ROUND(SUMIFS($F$7:$F$1506,$A$7:$A$1506,K7)+F7,2)&lt;&gt;0),"Umbuchung abweichend",IF(OR(G7="",M7="",M7="offen",M7="teilbelegt",H7="Ungeklärt",H7="Bargeld"),"Beleg / Verwendung klären","vollständig erfasst")))))))))</x:f>
      </x:c>
    </x:row>
    <x:row r="8" ht="22" customHeight="1">
      <x:c r="A8" s="7"/>
      <x:c r="B8" s="8"/>
      <x:c r="C8" s="7"/>
      <x:c r="D8" s="7"/>
      <x:c r="E8" s="7"/>
      <x:c r="F8" s="20"/>
      <x:c r="G8" s="7"/>
      <x:c r="H8" s="7"/>
      <x:c r="I8" s="7"/>
      <x:c r="J8" s="7"/>
      <x:c r="K8" s="7"/>
      <x:c r="L8" s="7"/>
      <x:c r="M8" s="7"/>
      <x:c r="N8" s="7"/>
      <x:c r="O8" s="2" t="str">
        <x:f>IF(A8="","",IF(COUNTIFS($A$7:$A$1506,A8)&gt;1,"Buchung-ID doppelt",IF(OR(NOT(ISNUMBER(B8)),C8="",NOT(ISNUMBER(F8)),H8="",L8=""),"Pflichtangaben fehlen",IF(COUNTIFS('Konten'!$A$7:$A$26,C8)&lt;&gt;1,"Konto nicht eindeutig",IF(J8&lt;&gt;"Ja","Zuordnung bestätigen",IF(OR(AND(H8="Einnahme",F8&lt;0),AND(H8="Ausgabe",F8&gt;0)),"Vorzeichen prüfen",IF(AND(H8="Umbuchung",OR(K8="",COUNTIFS($A$7:$A$1506,K8)&lt;&gt;1)),"Gegenbuchung fehlt",IF(AND(H8="Umbuchung",ROUND(SUMIFS($F$7:$F$1506,$A$7:$A$1506,K8)+F8,2)&lt;&gt;0),"Umbuchung abweichend",IF(OR(G8="",M8="",M8="offen",M8="teilbelegt",H8="Ungeklärt",H8="Bargeld"),"Beleg / Verwendung klären","vollständig erfasst")))))))))</x:f>
      </x:c>
    </x:row>
    <x:row r="9" ht="22" customHeight="1">
      <x:c r="A9" s="7"/>
      <x:c r="B9" s="8"/>
      <x:c r="C9" s="7"/>
      <x:c r="D9" s="7"/>
      <x:c r="E9" s="7"/>
      <x:c r="F9" s="20"/>
      <x:c r="G9" s="7"/>
      <x:c r="H9" s="7"/>
      <x:c r="I9" s="7"/>
      <x:c r="J9" s="7"/>
      <x:c r="K9" s="7"/>
      <x:c r="L9" s="7"/>
      <x:c r="M9" s="7"/>
      <x:c r="N9" s="7"/>
      <x:c r="O9" s="2" t="str">
        <x:f>IF(A9="","",IF(COUNTIFS($A$7:$A$1506,A9)&gt;1,"Buchung-ID doppelt",IF(OR(NOT(ISNUMBER(B9)),C9="",NOT(ISNUMBER(F9)),H9="",L9=""),"Pflichtangaben fehlen",IF(COUNTIFS('Konten'!$A$7:$A$26,C9)&lt;&gt;1,"Konto nicht eindeutig",IF(J9&lt;&gt;"Ja","Zuordnung bestätigen",IF(OR(AND(H9="Einnahme",F9&lt;0),AND(H9="Ausgabe",F9&gt;0)),"Vorzeichen prüfen",IF(AND(H9="Umbuchung",OR(K9="",COUNTIFS($A$7:$A$1506,K9)&lt;&gt;1)),"Gegenbuchung fehlt",IF(AND(H9="Umbuchung",ROUND(SUMIFS($F$7:$F$1506,$A$7:$A$1506,K9)+F9,2)&lt;&gt;0),"Umbuchung abweichend",IF(OR(G9="",M9="",M9="offen",M9="teilbelegt",H9="Ungeklärt",H9="Bargeld"),"Beleg / Verwendung klären","vollständig erfasst")))))))))</x:f>
      </x:c>
    </x:row>
    <x:row r="10" ht="22" customHeight="1">
      <x:c r="A10" s="7"/>
      <x:c r="B10" s="8"/>
      <x:c r="C10" s="7"/>
      <x:c r="D10" s="7"/>
      <x:c r="E10" s="7"/>
      <x:c r="F10" s="20"/>
      <x:c r="G10" s="7"/>
      <x:c r="H10" s="7"/>
      <x:c r="I10" s="7"/>
      <x:c r="J10" s="7"/>
      <x:c r="K10" s="7"/>
      <x:c r="L10" s="7"/>
      <x:c r="M10" s="7"/>
      <x:c r="N10" s="7"/>
      <x:c r="O10" s="2" t="str">
        <x:f>IF(A10="","",IF(COUNTIFS($A$7:$A$1506,A10)&gt;1,"Buchung-ID doppelt",IF(OR(NOT(ISNUMBER(B10)),C10="",NOT(ISNUMBER(F10)),H10="",L10=""),"Pflichtangaben fehlen",IF(COUNTIFS('Konten'!$A$7:$A$26,C10)&lt;&gt;1,"Konto nicht eindeutig",IF(J10&lt;&gt;"Ja","Zuordnung bestätigen",IF(OR(AND(H10="Einnahme",F10&lt;0),AND(H10="Ausgabe",F10&gt;0)),"Vorzeichen prüfen",IF(AND(H10="Umbuchung",OR(K10="",COUNTIFS($A$7:$A$1506,K10)&lt;&gt;1)),"Gegenbuchung fehlt",IF(AND(H10="Umbuchung",ROUND(SUMIFS($F$7:$F$1506,$A$7:$A$1506,K10)+F10,2)&lt;&gt;0),"Umbuchung abweichend",IF(OR(G10="",M10="",M10="offen",M10="teilbelegt",H10="Ungeklärt",H10="Bargeld"),"Beleg / Verwendung klären","vollständig erfasst")))))))))</x:f>
      </x:c>
    </x:row>
    <x:row r="11" ht="22" customHeight="1">
      <x:c r="A11" s="7"/>
      <x:c r="B11" s="8"/>
      <x:c r="C11" s="7"/>
      <x:c r="D11" s="7"/>
      <x:c r="E11" s="7"/>
      <x:c r="F11" s="20"/>
      <x:c r="G11" s="7"/>
      <x:c r="H11" s="7"/>
      <x:c r="I11" s="7"/>
      <x:c r="J11" s="7"/>
      <x:c r="K11" s="7"/>
      <x:c r="L11" s="7"/>
      <x:c r="M11" s="7"/>
      <x:c r="N11" s="7"/>
      <x:c r="O11" s="2" t="str">
        <x:f>IF(A11="","",IF(COUNTIFS($A$7:$A$1506,A11)&gt;1,"Buchung-ID doppelt",IF(OR(NOT(ISNUMBER(B11)),C11="",NOT(ISNUMBER(F11)),H11="",L11=""),"Pflichtangaben fehlen",IF(COUNTIFS('Konten'!$A$7:$A$26,C11)&lt;&gt;1,"Konto nicht eindeutig",IF(J11&lt;&gt;"Ja","Zuordnung bestätigen",IF(OR(AND(H11="Einnahme",F11&lt;0),AND(H11="Ausgabe",F11&gt;0)),"Vorzeichen prüfen",IF(AND(H11="Umbuchung",OR(K11="",COUNTIFS($A$7:$A$1506,K11)&lt;&gt;1)),"Gegenbuchung fehlt",IF(AND(H11="Umbuchung",ROUND(SUMIFS($F$7:$F$1506,$A$7:$A$1506,K11)+F11,2)&lt;&gt;0),"Umbuchung abweichend",IF(OR(G11="",M11="",M11="offen",M11="teilbelegt",H11="Ungeklärt",H11="Bargeld"),"Beleg / Verwendung klären","vollständig erfasst")))))))))</x:f>
      </x:c>
    </x:row>
    <x:row r="12" ht="22" customHeight="1">
      <x:c r="A12" s="7"/>
      <x:c r="B12" s="8"/>
      <x:c r="C12" s="7"/>
      <x:c r="D12" s="7"/>
      <x:c r="E12" s="7"/>
      <x:c r="F12" s="20"/>
      <x:c r="G12" s="7"/>
      <x:c r="H12" s="7"/>
      <x:c r="I12" s="7"/>
      <x:c r="J12" s="7"/>
      <x:c r="K12" s="7"/>
      <x:c r="L12" s="7"/>
      <x:c r="M12" s="7"/>
      <x:c r="N12" s="7"/>
      <x:c r="O12" s="2" t="str">
        <x:f>IF(A12="","",IF(COUNTIFS($A$7:$A$1506,A12)&gt;1,"Buchung-ID doppelt",IF(OR(NOT(ISNUMBER(B12)),C12="",NOT(ISNUMBER(F12)),H12="",L12=""),"Pflichtangaben fehlen",IF(COUNTIFS('Konten'!$A$7:$A$26,C12)&lt;&gt;1,"Konto nicht eindeutig",IF(J12&lt;&gt;"Ja","Zuordnung bestätigen",IF(OR(AND(H12="Einnahme",F12&lt;0),AND(H12="Ausgabe",F12&gt;0)),"Vorzeichen prüfen",IF(AND(H12="Umbuchung",OR(K12="",COUNTIFS($A$7:$A$1506,K12)&lt;&gt;1)),"Gegenbuchung fehlt",IF(AND(H12="Umbuchung",ROUND(SUMIFS($F$7:$F$1506,$A$7:$A$1506,K12)+F12,2)&lt;&gt;0),"Umbuchung abweichend",IF(OR(G12="",M12="",M12="offen",M12="teilbelegt",H12="Ungeklärt",H12="Bargeld"),"Beleg / Verwendung klären","vollständig erfasst")))))))))</x:f>
      </x:c>
    </x:row>
    <x:row r="13" ht="22" customHeight="1">
      <x:c r="A13" s="7"/>
      <x:c r="B13" s="8"/>
      <x:c r="C13" s="7"/>
      <x:c r="D13" s="7"/>
      <x:c r="E13" s="7"/>
      <x:c r="F13" s="20"/>
      <x:c r="G13" s="7"/>
      <x:c r="H13" s="7"/>
      <x:c r="I13" s="7"/>
      <x:c r="J13" s="7"/>
      <x:c r="K13" s="7"/>
      <x:c r="L13" s="7"/>
      <x:c r="M13" s="7"/>
      <x:c r="N13" s="7"/>
      <x:c r="O13" s="2" t="str">
        <x:f>IF(A13="","",IF(COUNTIFS($A$7:$A$1506,A13)&gt;1,"Buchung-ID doppelt",IF(OR(NOT(ISNUMBER(B13)),C13="",NOT(ISNUMBER(F13)),H13="",L13=""),"Pflichtangaben fehlen",IF(COUNTIFS('Konten'!$A$7:$A$26,C13)&lt;&gt;1,"Konto nicht eindeutig",IF(J13&lt;&gt;"Ja","Zuordnung bestätigen",IF(OR(AND(H13="Einnahme",F13&lt;0),AND(H13="Ausgabe",F13&gt;0)),"Vorzeichen prüfen",IF(AND(H13="Umbuchung",OR(K13="",COUNTIFS($A$7:$A$1506,K13)&lt;&gt;1)),"Gegenbuchung fehlt",IF(AND(H13="Umbuchung",ROUND(SUMIFS($F$7:$F$1506,$A$7:$A$1506,K13)+F13,2)&lt;&gt;0),"Umbuchung abweichend",IF(OR(G13="",M13="",M13="offen",M13="teilbelegt",H13="Ungeklärt",H13="Bargeld"),"Beleg / Verwendung klären","vollständig erfasst")))))))))</x:f>
      </x:c>
    </x:row>
    <x:row r="14" ht="22" customHeight="1">
      <x:c r="A14" s="7"/>
      <x:c r="B14" s="8"/>
      <x:c r="C14" s="7"/>
      <x:c r="D14" s="7"/>
      <x:c r="E14" s="7"/>
      <x:c r="F14" s="20"/>
      <x:c r="G14" s="7"/>
      <x:c r="H14" s="7"/>
      <x:c r="I14" s="7"/>
      <x:c r="J14" s="7"/>
      <x:c r="K14" s="7"/>
      <x:c r="L14" s="7"/>
      <x:c r="M14" s="7"/>
      <x:c r="N14" s="7"/>
      <x:c r="O14" s="2" t="str">
        <x:f>IF(A14="","",IF(COUNTIFS($A$7:$A$1506,A14)&gt;1,"Buchung-ID doppelt",IF(OR(NOT(ISNUMBER(B14)),C14="",NOT(ISNUMBER(F14)),H14="",L14=""),"Pflichtangaben fehlen",IF(COUNTIFS('Konten'!$A$7:$A$26,C14)&lt;&gt;1,"Konto nicht eindeutig",IF(J14&lt;&gt;"Ja","Zuordnung bestätigen",IF(OR(AND(H14="Einnahme",F14&lt;0),AND(H14="Ausgabe",F14&gt;0)),"Vorzeichen prüfen",IF(AND(H14="Umbuchung",OR(K14="",COUNTIFS($A$7:$A$1506,K14)&lt;&gt;1)),"Gegenbuchung fehlt",IF(AND(H14="Umbuchung",ROUND(SUMIFS($F$7:$F$1506,$A$7:$A$1506,K14)+F14,2)&lt;&gt;0),"Umbuchung abweichend",IF(OR(G14="",M14="",M14="offen",M14="teilbelegt",H14="Ungeklärt",H14="Bargeld"),"Beleg / Verwendung klären","vollständig erfasst")))))))))</x:f>
      </x:c>
    </x:row>
    <x:row r="15" ht="22" customHeight="1">
      <x:c r="A15" s="7"/>
      <x:c r="B15" s="8"/>
      <x:c r="C15" s="7"/>
      <x:c r="D15" s="7"/>
      <x:c r="E15" s="7"/>
      <x:c r="F15" s="20"/>
      <x:c r="G15" s="7"/>
      <x:c r="H15" s="7"/>
      <x:c r="I15" s="7"/>
      <x:c r="J15" s="7"/>
      <x:c r="K15" s="7"/>
      <x:c r="L15" s="7"/>
      <x:c r="M15" s="7"/>
      <x:c r="N15" s="7"/>
      <x:c r="O15" s="2" t="str">
        <x:f>IF(A15="","",IF(COUNTIFS($A$7:$A$1506,A15)&gt;1,"Buchung-ID doppelt",IF(OR(NOT(ISNUMBER(B15)),C15="",NOT(ISNUMBER(F15)),H15="",L15=""),"Pflichtangaben fehlen",IF(COUNTIFS('Konten'!$A$7:$A$26,C15)&lt;&gt;1,"Konto nicht eindeutig",IF(J15&lt;&gt;"Ja","Zuordnung bestätigen",IF(OR(AND(H15="Einnahme",F15&lt;0),AND(H15="Ausgabe",F15&gt;0)),"Vorzeichen prüfen",IF(AND(H15="Umbuchung",OR(K15="",COUNTIFS($A$7:$A$1506,K15)&lt;&gt;1)),"Gegenbuchung fehlt",IF(AND(H15="Umbuchung",ROUND(SUMIFS($F$7:$F$1506,$A$7:$A$1506,K15)+F15,2)&lt;&gt;0),"Umbuchung abweichend",IF(OR(G15="",M15="",M15="offen",M15="teilbelegt",H15="Ungeklärt",H15="Bargeld"),"Beleg / Verwendung klären","vollständig erfasst")))))))))</x:f>
      </x:c>
    </x:row>
    <x:row r="16" ht="22" customHeight="1">
      <x:c r="A16" s="7"/>
      <x:c r="B16" s="8"/>
      <x:c r="C16" s="7"/>
      <x:c r="D16" s="7"/>
      <x:c r="E16" s="7"/>
      <x:c r="F16" s="20"/>
      <x:c r="G16" s="7"/>
      <x:c r="H16" s="7"/>
      <x:c r="I16" s="7"/>
      <x:c r="J16" s="7"/>
      <x:c r="K16" s="7"/>
      <x:c r="L16" s="7"/>
      <x:c r="M16" s="7"/>
      <x:c r="N16" s="7"/>
      <x:c r="O16" s="2" t="str">
        <x:f>IF(A16="","",IF(COUNTIFS($A$7:$A$1506,A16)&gt;1,"Buchung-ID doppelt",IF(OR(NOT(ISNUMBER(B16)),C16="",NOT(ISNUMBER(F16)),H16="",L16=""),"Pflichtangaben fehlen",IF(COUNTIFS('Konten'!$A$7:$A$26,C16)&lt;&gt;1,"Konto nicht eindeutig",IF(J16&lt;&gt;"Ja","Zuordnung bestätigen",IF(OR(AND(H16="Einnahme",F16&lt;0),AND(H16="Ausgabe",F16&gt;0)),"Vorzeichen prüfen",IF(AND(H16="Umbuchung",OR(K16="",COUNTIFS($A$7:$A$1506,K16)&lt;&gt;1)),"Gegenbuchung fehlt",IF(AND(H16="Umbuchung",ROUND(SUMIFS($F$7:$F$1506,$A$7:$A$1506,K16)+F16,2)&lt;&gt;0),"Umbuchung abweichend",IF(OR(G16="",M16="",M16="offen",M16="teilbelegt",H16="Ungeklärt",H16="Bargeld"),"Beleg / Verwendung klären","vollständig erfasst")))))))))</x:f>
      </x:c>
    </x:row>
    <x:row r="17" ht="22" customHeight="1">
      <x:c r="A17" s="7"/>
      <x:c r="B17" s="8"/>
      <x:c r="C17" s="7"/>
      <x:c r="D17" s="7"/>
      <x:c r="E17" s="7"/>
      <x:c r="F17" s="20"/>
      <x:c r="G17" s="7"/>
      <x:c r="H17" s="7"/>
      <x:c r="I17" s="7"/>
      <x:c r="J17" s="7"/>
      <x:c r="K17" s="7"/>
      <x:c r="L17" s="7"/>
      <x:c r="M17" s="7"/>
      <x:c r="N17" s="7"/>
      <x:c r="O17" s="2" t="str">
        <x:f>IF(A17="","",IF(COUNTIFS($A$7:$A$1506,A17)&gt;1,"Buchung-ID doppelt",IF(OR(NOT(ISNUMBER(B17)),C17="",NOT(ISNUMBER(F17)),H17="",L17=""),"Pflichtangaben fehlen",IF(COUNTIFS('Konten'!$A$7:$A$26,C17)&lt;&gt;1,"Konto nicht eindeutig",IF(J17&lt;&gt;"Ja","Zuordnung bestätigen",IF(OR(AND(H17="Einnahme",F17&lt;0),AND(H17="Ausgabe",F17&gt;0)),"Vorzeichen prüfen",IF(AND(H17="Umbuchung",OR(K17="",COUNTIFS($A$7:$A$1506,K17)&lt;&gt;1)),"Gegenbuchung fehlt",IF(AND(H17="Umbuchung",ROUND(SUMIFS($F$7:$F$1506,$A$7:$A$1506,K17)+F17,2)&lt;&gt;0),"Umbuchung abweichend",IF(OR(G17="",M17="",M17="offen",M17="teilbelegt",H17="Ungeklärt",H17="Bargeld"),"Beleg / Verwendung klären","vollständig erfasst")))))))))</x:f>
      </x:c>
    </x:row>
    <x:row r="18" ht="22" customHeight="1">
      <x:c r="A18" s="7"/>
      <x:c r="B18" s="8"/>
      <x:c r="C18" s="7"/>
      <x:c r="D18" s="7"/>
      <x:c r="E18" s="7"/>
      <x:c r="F18" s="20"/>
      <x:c r="G18" s="7"/>
      <x:c r="H18" s="7"/>
      <x:c r="I18" s="7"/>
      <x:c r="J18" s="7"/>
      <x:c r="K18" s="7"/>
      <x:c r="L18" s="7"/>
      <x:c r="M18" s="7"/>
      <x:c r="N18" s="7"/>
      <x:c r="O18" s="2" t="str">
        <x:f>IF(A18="","",IF(COUNTIFS($A$7:$A$1506,A18)&gt;1,"Buchung-ID doppelt",IF(OR(NOT(ISNUMBER(B18)),C18="",NOT(ISNUMBER(F18)),H18="",L18=""),"Pflichtangaben fehlen",IF(COUNTIFS('Konten'!$A$7:$A$26,C18)&lt;&gt;1,"Konto nicht eindeutig",IF(J18&lt;&gt;"Ja","Zuordnung bestätigen",IF(OR(AND(H18="Einnahme",F18&lt;0),AND(H18="Ausgabe",F18&gt;0)),"Vorzeichen prüfen",IF(AND(H18="Umbuchung",OR(K18="",COUNTIFS($A$7:$A$1506,K18)&lt;&gt;1)),"Gegenbuchung fehlt",IF(AND(H18="Umbuchung",ROUND(SUMIFS($F$7:$F$1506,$A$7:$A$1506,K18)+F18,2)&lt;&gt;0),"Umbuchung abweichend",IF(OR(G18="",M18="",M18="offen",M18="teilbelegt",H18="Ungeklärt",H18="Bargeld"),"Beleg / Verwendung klären","vollständig erfasst")))))))))</x:f>
      </x:c>
    </x:row>
    <x:row r="19" ht="22" customHeight="1">
      <x:c r="A19" s="7"/>
      <x:c r="B19" s="8"/>
      <x:c r="C19" s="7"/>
      <x:c r="D19" s="7"/>
      <x:c r="E19" s="7"/>
      <x:c r="F19" s="20"/>
      <x:c r="G19" s="7"/>
      <x:c r="H19" s="7"/>
      <x:c r="I19" s="7"/>
      <x:c r="J19" s="7"/>
      <x:c r="K19" s="7"/>
      <x:c r="L19" s="7"/>
      <x:c r="M19" s="7"/>
      <x:c r="N19" s="7"/>
      <x:c r="O19" s="2" t="str">
        <x:f>IF(A19="","",IF(COUNTIFS($A$7:$A$1506,A19)&gt;1,"Buchung-ID doppelt",IF(OR(NOT(ISNUMBER(B19)),C19="",NOT(ISNUMBER(F19)),H19="",L19=""),"Pflichtangaben fehlen",IF(COUNTIFS('Konten'!$A$7:$A$26,C19)&lt;&gt;1,"Konto nicht eindeutig",IF(J19&lt;&gt;"Ja","Zuordnung bestätigen",IF(OR(AND(H19="Einnahme",F19&lt;0),AND(H19="Ausgabe",F19&gt;0)),"Vorzeichen prüfen",IF(AND(H19="Umbuchung",OR(K19="",COUNTIFS($A$7:$A$1506,K19)&lt;&gt;1)),"Gegenbuchung fehlt",IF(AND(H19="Umbuchung",ROUND(SUMIFS($F$7:$F$1506,$A$7:$A$1506,K19)+F19,2)&lt;&gt;0),"Umbuchung abweichend",IF(OR(G19="",M19="",M19="offen",M19="teilbelegt",H19="Ungeklärt",H19="Bargeld"),"Beleg / Verwendung klären","vollständig erfasst")))))))))</x:f>
      </x:c>
    </x:row>
    <x:row r="20" ht="22" customHeight="1">
      <x:c r="A20" s="7"/>
      <x:c r="B20" s="8"/>
      <x:c r="C20" s="7"/>
      <x:c r="D20" s="7"/>
      <x:c r="E20" s="7"/>
      <x:c r="F20" s="20"/>
      <x:c r="G20" s="7"/>
      <x:c r="H20" s="7"/>
      <x:c r="I20" s="7"/>
      <x:c r="J20" s="7"/>
      <x:c r="K20" s="7"/>
      <x:c r="L20" s="7"/>
      <x:c r="M20" s="7"/>
      <x:c r="N20" s="7"/>
      <x:c r="O20" s="2" t="str">
        <x:f>IF(A20="","",IF(COUNTIFS($A$7:$A$1506,A20)&gt;1,"Buchung-ID doppelt",IF(OR(NOT(ISNUMBER(B20)),C20="",NOT(ISNUMBER(F20)),H20="",L20=""),"Pflichtangaben fehlen",IF(COUNTIFS('Konten'!$A$7:$A$26,C20)&lt;&gt;1,"Konto nicht eindeutig",IF(J20&lt;&gt;"Ja","Zuordnung bestätigen",IF(OR(AND(H20="Einnahme",F20&lt;0),AND(H20="Ausgabe",F20&gt;0)),"Vorzeichen prüfen",IF(AND(H20="Umbuchung",OR(K20="",COUNTIFS($A$7:$A$1506,K20)&lt;&gt;1)),"Gegenbuchung fehlt",IF(AND(H20="Umbuchung",ROUND(SUMIFS($F$7:$F$1506,$A$7:$A$1506,K20)+F20,2)&lt;&gt;0),"Umbuchung abweichend",IF(OR(G20="",M20="",M20="offen",M20="teilbelegt",H20="Ungeklärt",H20="Bargeld"),"Beleg / Verwendung klären","vollständig erfasst")))))))))</x:f>
      </x:c>
    </x:row>
    <x:row r="21" ht="22" customHeight="1">
      <x:c r="A21" s="7"/>
      <x:c r="B21" s="8"/>
      <x:c r="C21" s="7"/>
      <x:c r="D21" s="7"/>
      <x:c r="E21" s="7"/>
      <x:c r="F21" s="20"/>
      <x:c r="G21" s="7"/>
      <x:c r="H21" s="7"/>
      <x:c r="I21" s="7"/>
      <x:c r="J21" s="7"/>
      <x:c r="K21" s="7"/>
      <x:c r="L21" s="7"/>
      <x:c r="M21" s="7"/>
      <x:c r="N21" s="7"/>
      <x:c r="O21" s="2" t="str">
        <x:f>IF(A21="","",IF(COUNTIFS($A$7:$A$1506,A21)&gt;1,"Buchung-ID doppelt",IF(OR(NOT(ISNUMBER(B21)),C21="",NOT(ISNUMBER(F21)),H21="",L21=""),"Pflichtangaben fehlen",IF(COUNTIFS('Konten'!$A$7:$A$26,C21)&lt;&gt;1,"Konto nicht eindeutig",IF(J21&lt;&gt;"Ja","Zuordnung bestätigen",IF(OR(AND(H21="Einnahme",F21&lt;0),AND(H21="Ausgabe",F21&gt;0)),"Vorzeichen prüfen",IF(AND(H21="Umbuchung",OR(K21="",COUNTIFS($A$7:$A$1506,K21)&lt;&gt;1)),"Gegenbuchung fehlt",IF(AND(H21="Umbuchung",ROUND(SUMIFS($F$7:$F$1506,$A$7:$A$1506,K21)+F21,2)&lt;&gt;0),"Umbuchung abweichend",IF(OR(G21="",M21="",M21="offen",M21="teilbelegt",H21="Ungeklärt",H21="Bargeld"),"Beleg / Verwendung klären","vollständig erfasst")))))))))</x:f>
      </x:c>
    </x:row>
    <x:row r="22" ht="22" customHeight="1">
      <x:c r="A22" s="7"/>
      <x:c r="B22" s="8"/>
      <x:c r="C22" s="7"/>
      <x:c r="D22" s="7"/>
      <x:c r="E22" s="7"/>
      <x:c r="F22" s="20"/>
      <x:c r="G22" s="7"/>
      <x:c r="H22" s="7"/>
      <x:c r="I22" s="7"/>
      <x:c r="J22" s="7"/>
      <x:c r="K22" s="7"/>
      <x:c r="L22" s="7"/>
      <x:c r="M22" s="7"/>
      <x:c r="N22" s="7"/>
      <x:c r="O22" s="2" t="str">
        <x:f>IF(A22="","",IF(COUNTIFS($A$7:$A$1506,A22)&gt;1,"Buchung-ID doppelt",IF(OR(NOT(ISNUMBER(B22)),C22="",NOT(ISNUMBER(F22)),H22="",L22=""),"Pflichtangaben fehlen",IF(COUNTIFS('Konten'!$A$7:$A$26,C22)&lt;&gt;1,"Konto nicht eindeutig",IF(J22&lt;&gt;"Ja","Zuordnung bestätigen",IF(OR(AND(H22="Einnahme",F22&lt;0),AND(H22="Ausgabe",F22&gt;0)),"Vorzeichen prüfen",IF(AND(H22="Umbuchung",OR(K22="",COUNTIFS($A$7:$A$1506,K22)&lt;&gt;1)),"Gegenbuchung fehlt",IF(AND(H22="Umbuchung",ROUND(SUMIFS($F$7:$F$1506,$A$7:$A$1506,K22)+F22,2)&lt;&gt;0),"Umbuchung abweichend",IF(OR(G22="",M22="",M22="offen",M22="teilbelegt",H22="Ungeklärt",H22="Bargeld"),"Beleg / Verwendung klären","vollständig erfasst")))))))))</x:f>
      </x:c>
    </x:row>
    <x:row r="23" ht="22" customHeight="1">
      <x:c r="A23" s="7"/>
      <x:c r="B23" s="8"/>
      <x:c r="C23" s="7"/>
      <x:c r="D23" s="7"/>
      <x:c r="E23" s="7"/>
      <x:c r="F23" s="20"/>
      <x:c r="G23" s="7"/>
      <x:c r="H23" s="7"/>
      <x:c r="I23" s="7"/>
      <x:c r="J23" s="7"/>
      <x:c r="K23" s="7"/>
      <x:c r="L23" s="7"/>
      <x:c r="M23" s="7"/>
      <x:c r="N23" s="7"/>
      <x:c r="O23" s="2" t="str">
        <x:f>IF(A23="","",IF(COUNTIFS($A$7:$A$1506,A23)&gt;1,"Buchung-ID doppelt",IF(OR(NOT(ISNUMBER(B23)),C23="",NOT(ISNUMBER(F23)),H23="",L23=""),"Pflichtangaben fehlen",IF(COUNTIFS('Konten'!$A$7:$A$26,C23)&lt;&gt;1,"Konto nicht eindeutig",IF(J23&lt;&gt;"Ja","Zuordnung bestätigen",IF(OR(AND(H23="Einnahme",F23&lt;0),AND(H23="Ausgabe",F23&gt;0)),"Vorzeichen prüfen",IF(AND(H23="Umbuchung",OR(K23="",COUNTIFS($A$7:$A$1506,K23)&lt;&gt;1)),"Gegenbuchung fehlt",IF(AND(H23="Umbuchung",ROUND(SUMIFS($F$7:$F$1506,$A$7:$A$1506,K23)+F23,2)&lt;&gt;0),"Umbuchung abweichend",IF(OR(G23="",M23="",M23="offen",M23="teilbelegt",H23="Ungeklärt",H23="Bargeld"),"Beleg / Verwendung klären","vollständig erfasst")))))))))</x:f>
      </x:c>
    </x:row>
    <x:row r="24" ht="22" customHeight="1">
      <x:c r="A24" s="7"/>
      <x:c r="B24" s="8"/>
      <x:c r="C24" s="7"/>
      <x:c r="D24" s="7"/>
      <x:c r="E24" s="7"/>
      <x:c r="F24" s="20"/>
      <x:c r="G24" s="7"/>
      <x:c r="H24" s="7"/>
      <x:c r="I24" s="7"/>
      <x:c r="J24" s="7"/>
      <x:c r="K24" s="7"/>
      <x:c r="L24" s="7"/>
      <x:c r="M24" s="7"/>
      <x:c r="N24" s="7"/>
      <x:c r="O24" s="2" t="str">
        <x:f>IF(A24="","",IF(COUNTIFS($A$7:$A$1506,A24)&gt;1,"Buchung-ID doppelt",IF(OR(NOT(ISNUMBER(B24)),C24="",NOT(ISNUMBER(F24)),H24="",L24=""),"Pflichtangaben fehlen",IF(COUNTIFS('Konten'!$A$7:$A$26,C24)&lt;&gt;1,"Konto nicht eindeutig",IF(J24&lt;&gt;"Ja","Zuordnung bestätigen",IF(OR(AND(H24="Einnahme",F24&lt;0),AND(H24="Ausgabe",F24&gt;0)),"Vorzeichen prüfen",IF(AND(H24="Umbuchung",OR(K24="",COUNTIFS($A$7:$A$1506,K24)&lt;&gt;1)),"Gegenbuchung fehlt",IF(AND(H24="Umbuchung",ROUND(SUMIFS($F$7:$F$1506,$A$7:$A$1506,K24)+F24,2)&lt;&gt;0),"Umbuchung abweichend",IF(OR(G24="",M24="",M24="offen",M24="teilbelegt",H24="Ungeklärt",H24="Bargeld"),"Beleg / Verwendung klären","vollständig erfasst")))))))))</x:f>
      </x:c>
    </x:row>
    <x:row r="25" ht="22" customHeight="1">
      <x:c r="A25" s="7"/>
      <x:c r="B25" s="8"/>
      <x:c r="C25" s="7"/>
      <x:c r="D25" s="7"/>
      <x:c r="E25" s="7"/>
      <x:c r="F25" s="20"/>
      <x:c r="G25" s="7"/>
      <x:c r="H25" s="7"/>
      <x:c r="I25" s="7"/>
      <x:c r="J25" s="7"/>
      <x:c r="K25" s="7"/>
      <x:c r="L25" s="7"/>
      <x:c r="M25" s="7"/>
      <x:c r="N25" s="7"/>
      <x:c r="O25" s="2" t="str">
        <x:f>IF(A25="","",IF(COUNTIFS($A$7:$A$1506,A25)&gt;1,"Buchung-ID doppelt",IF(OR(NOT(ISNUMBER(B25)),C25="",NOT(ISNUMBER(F25)),H25="",L25=""),"Pflichtangaben fehlen",IF(COUNTIFS('Konten'!$A$7:$A$26,C25)&lt;&gt;1,"Konto nicht eindeutig",IF(J25&lt;&gt;"Ja","Zuordnung bestätigen",IF(OR(AND(H25="Einnahme",F25&lt;0),AND(H25="Ausgabe",F25&gt;0)),"Vorzeichen prüfen",IF(AND(H25="Umbuchung",OR(K25="",COUNTIFS($A$7:$A$1506,K25)&lt;&gt;1)),"Gegenbuchung fehlt",IF(AND(H25="Umbuchung",ROUND(SUMIFS($F$7:$F$1506,$A$7:$A$1506,K25)+F25,2)&lt;&gt;0),"Umbuchung abweichend",IF(OR(G25="",M25="",M25="offen",M25="teilbelegt",H25="Ungeklärt",H25="Bargeld"),"Beleg / Verwendung klären","vollständig erfasst")))))))))</x:f>
      </x:c>
    </x:row>
    <x:row r="26" ht="22" customHeight="1">
      <x:c r="A26" s="7"/>
      <x:c r="B26" s="8"/>
      <x:c r="C26" s="7"/>
      <x:c r="D26" s="7"/>
      <x:c r="E26" s="7"/>
      <x:c r="F26" s="20"/>
      <x:c r="G26" s="7"/>
      <x:c r="H26" s="7"/>
      <x:c r="I26" s="7"/>
      <x:c r="J26" s="7"/>
      <x:c r="K26" s="7"/>
      <x:c r="L26" s="7"/>
      <x:c r="M26" s="7"/>
      <x:c r="N26" s="7"/>
      <x:c r="O26" s="2" t="str">
        <x:f>IF(A26="","",IF(COUNTIFS($A$7:$A$1506,A26)&gt;1,"Buchung-ID doppelt",IF(OR(NOT(ISNUMBER(B26)),C26="",NOT(ISNUMBER(F26)),H26="",L26=""),"Pflichtangaben fehlen",IF(COUNTIFS('Konten'!$A$7:$A$26,C26)&lt;&gt;1,"Konto nicht eindeutig",IF(J26&lt;&gt;"Ja","Zuordnung bestätigen",IF(OR(AND(H26="Einnahme",F26&lt;0),AND(H26="Ausgabe",F26&gt;0)),"Vorzeichen prüfen",IF(AND(H26="Umbuchung",OR(K26="",COUNTIFS($A$7:$A$1506,K26)&lt;&gt;1)),"Gegenbuchung fehlt",IF(AND(H26="Umbuchung",ROUND(SUMIFS($F$7:$F$1506,$A$7:$A$1506,K26)+F26,2)&lt;&gt;0),"Umbuchung abweichend",IF(OR(G26="",M26="",M26="offen",M26="teilbelegt",H26="Ungeklärt",H26="Bargeld"),"Beleg / Verwendung klären","vollständig erfasst")))))))))</x:f>
      </x:c>
    </x:row>
    <x:row r="27" ht="22" customHeight="1">
      <x:c r="A27" s="7"/>
      <x:c r="B27" s="8"/>
      <x:c r="C27" s="7"/>
      <x:c r="D27" s="7"/>
      <x:c r="E27" s="7"/>
      <x:c r="F27" s="20"/>
      <x:c r="G27" s="7"/>
      <x:c r="H27" s="7"/>
      <x:c r="I27" s="7"/>
      <x:c r="J27" s="7"/>
      <x:c r="K27" s="7"/>
      <x:c r="L27" s="7"/>
      <x:c r="M27" s="7"/>
      <x:c r="N27" s="7"/>
      <x:c r="O27" s="2" t="str">
        <x:f>IF(A27="","",IF(COUNTIFS($A$7:$A$1506,A27)&gt;1,"Buchung-ID doppelt",IF(OR(NOT(ISNUMBER(B27)),C27="",NOT(ISNUMBER(F27)),H27="",L27=""),"Pflichtangaben fehlen",IF(COUNTIFS('Konten'!$A$7:$A$26,C27)&lt;&gt;1,"Konto nicht eindeutig",IF(J27&lt;&gt;"Ja","Zuordnung bestätigen",IF(OR(AND(H27="Einnahme",F27&lt;0),AND(H27="Ausgabe",F27&gt;0)),"Vorzeichen prüfen",IF(AND(H27="Umbuchung",OR(K27="",COUNTIFS($A$7:$A$1506,K27)&lt;&gt;1)),"Gegenbuchung fehlt",IF(AND(H27="Umbuchung",ROUND(SUMIFS($F$7:$F$1506,$A$7:$A$1506,K27)+F27,2)&lt;&gt;0),"Umbuchung abweichend",IF(OR(G27="",M27="",M27="offen",M27="teilbelegt",H27="Ungeklärt",H27="Bargeld"),"Beleg / Verwendung klären","vollständig erfasst")))))))))</x:f>
      </x:c>
    </x:row>
    <x:row r="28" ht="22" customHeight="1">
      <x:c r="A28" s="7"/>
      <x:c r="B28" s="8"/>
      <x:c r="C28" s="7"/>
      <x:c r="D28" s="7"/>
      <x:c r="E28" s="7"/>
      <x:c r="F28" s="20"/>
      <x:c r="G28" s="7"/>
      <x:c r="H28" s="7"/>
      <x:c r="I28" s="7"/>
      <x:c r="J28" s="7"/>
      <x:c r="K28" s="7"/>
      <x:c r="L28" s="7"/>
      <x:c r="M28" s="7"/>
      <x:c r="N28" s="7"/>
      <x:c r="O28" s="2" t="str">
        <x:f>IF(A28="","",IF(COUNTIFS($A$7:$A$1506,A28)&gt;1,"Buchung-ID doppelt",IF(OR(NOT(ISNUMBER(B28)),C28="",NOT(ISNUMBER(F28)),H28="",L28=""),"Pflichtangaben fehlen",IF(COUNTIFS('Konten'!$A$7:$A$26,C28)&lt;&gt;1,"Konto nicht eindeutig",IF(J28&lt;&gt;"Ja","Zuordnung bestätigen",IF(OR(AND(H28="Einnahme",F28&lt;0),AND(H28="Ausgabe",F28&gt;0)),"Vorzeichen prüfen",IF(AND(H28="Umbuchung",OR(K28="",COUNTIFS($A$7:$A$1506,K28)&lt;&gt;1)),"Gegenbuchung fehlt",IF(AND(H28="Umbuchung",ROUND(SUMIFS($F$7:$F$1506,$A$7:$A$1506,K28)+F28,2)&lt;&gt;0),"Umbuchung abweichend",IF(OR(G28="",M28="",M28="offen",M28="teilbelegt",H28="Ungeklärt",H28="Bargeld"),"Beleg / Verwendung klären","vollständig erfasst")))))))))</x:f>
      </x:c>
    </x:row>
    <x:row r="29" ht="22" customHeight="1">
      <x:c r="A29" s="7"/>
      <x:c r="B29" s="8"/>
      <x:c r="C29" s="7"/>
      <x:c r="D29" s="7"/>
      <x:c r="E29" s="7"/>
      <x:c r="F29" s="20"/>
      <x:c r="G29" s="7"/>
      <x:c r="H29" s="7"/>
      <x:c r="I29" s="7"/>
      <x:c r="J29" s="7"/>
      <x:c r="K29" s="7"/>
      <x:c r="L29" s="7"/>
      <x:c r="M29" s="7"/>
      <x:c r="N29" s="7"/>
      <x:c r="O29" s="2" t="str">
        <x:f>IF(A29="","",IF(COUNTIFS($A$7:$A$1506,A29)&gt;1,"Buchung-ID doppelt",IF(OR(NOT(ISNUMBER(B29)),C29="",NOT(ISNUMBER(F29)),H29="",L29=""),"Pflichtangaben fehlen",IF(COUNTIFS('Konten'!$A$7:$A$26,C29)&lt;&gt;1,"Konto nicht eindeutig",IF(J29&lt;&gt;"Ja","Zuordnung bestätigen",IF(OR(AND(H29="Einnahme",F29&lt;0),AND(H29="Ausgabe",F29&gt;0)),"Vorzeichen prüfen",IF(AND(H29="Umbuchung",OR(K29="",COUNTIFS($A$7:$A$1506,K29)&lt;&gt;1)),"Gegenbuchung fehlt",IF(AND(H29="Umbuchung",ROUND(SUMIFS($F$7:$F$1506,$A$7:$A$1506,K29)+F29,2)&lt;&gt;0),"Umbuchung abweichend",IF(OR(G29="",M29="",M29="offen",M29="teilbelegt",H29="Ungeklärt",H29="Bargeld"),"Beleg / Verwendung klären","vollständig erfasst")))))))))</x:f>
      </x:c>
    </x:row>
    <x:row r="30" ht="22" customHeight="1">
      <x:c r="A30" s="7"/>
      <x:c r="B30" s="8"/>
      <x:c r="C30" s="7"/>
      <x:c r="D30" s="7"/>
      <x:c r="E30" s="7"/>
      <x:c r="F30" s="20"/>
      <x:c r="G30" s="7"/>
      <x:c r="H30" s="7"/>
      <x:c r="I30" s="7"/>
      <x:c r="J30" s="7"/>
      <x:c r="K30" s="7"/>
      <x:c r="L30" s="7"/>
      <x:c r="M30" s="7"/>
      <x:c r="N30" s="7"/>
      <x:c r="O30" s="2" t="str">
        <x:f>IF(A30="","",IF(COUNTIFS($A$7:$A$1506,A30)&gt;1,"Buchung-ID doppelt",IF(OR(NOT(ISNUMBER(B30)),C30="",NOT(ISNUMBER(F30)),H30="",L30=""),"Pflichtangaben fehlen",IF(COUNTIFS('Konten'!$A$7:$A$26,C30)&lt;&gt;1,"Konto nicht eindeutig",IF(J30&lt;&gt;"Ja","Zuordnung bestätigen",IF(OR(AND(H30="Einnahme",F30&lt;0),AND(H30="Ausgabe",F30&gt;0)),"Vorzeichen prüfen",IF(AND(H30="Umbuchung",OR(K30="",COUNTIFS($A$7:$A$1506,K30)&lt;&gt;1)),"Gegenbuchung fehlt",IF(AND(H30="Umbuchung",ROUND(SUMIFS($F$7:$F$1506,$A$7:$A$1506,K30)+F30,2)&lt;&gt;0),"Umbuchung abweichend",IF(OR(G30="",M30="",M30="offen",M30="teilbelegt",H30="Ungeklärt",H30="Bargeld"),"Beleg / Verwendung klären","vollständig erfasst")))))))))</x:f>
      </x:c>
    </x:row>
    <x:row r="31" ht="22" customHeight="1">
      <x:c r="A31" s="7"/>
      <x:c r="B31" s="8"/>
      <x:c r="C31" s="7"/>
      <x:c r="D31" s="7"/>
      <x:c r="E31" s="7"/>
      <x:c r="F31" s="20"/>
      <x:c r="G31" s="7"/>
      <x:c r="H31" s="7"/>
      <x:c r="I31" s="7"/>
      <x:c r="J31" s="7"/>
      <x:c r="K31" s="7"/>
      <x:c r="L31" s="7"/>
      <x:c r="M31" s="7"/>
      <x:c r="N31" s="7"/>
      <x:c r="O31" s="2" t="str">
        <x:f>IF(A31="","",IF(COUNTIFS($A$7:$A$1506,A31)&gt;1,"Buchung-ID doppelt",IF(OR(NOT(ISNUMBER(B31)),C31="",NOT(ISNUMBER(F31)),H31="",L31=""),"Pflichtangaben fehlen",IF(COUNTIFS('Konten'!$A$7:$A$26,C31)&lt;&gt;1,"Konto nicht eindeutig",IF(J31&lt;&gt;"Ja","Zuordnung bestätigen",IF(OR(AND(H31="Einnahme",F31&lt;0),AND(H31="Ausgabe",F31&gt;0)),"Vorzeichen prüfen",IF(AND(H31="Umbuchung",OR(K31="",COUNTIFS($A$7:$A$1506,K31)&lt;&gt;1)),"Gegenbuchung fehlt",IF(AND(H31="Umbuchung",ROUND(SUMIFS($F$7:$F$1506,$A$7:$A$1506,K31)+F31,2)&lt;&gt;0),"Umbuchung abweichend",IF(OR(G31="",M31="",M31="offen",M31="teilbelegt",H31="Ungeklärt",H31="Bargeld"),"Beleg / Verwendung klären","vollständig erfasst")))))))))</x:f>
      </x:c>
    </x:row>
    <x:row r="32" ht="22" customHeight="1">
      <x:c r="A32" s="7"/>
      <x:c r="B32" s="8"/>
      <x:c r="C32" s="7"/>
      <x:c r="D32" s="7"/>
      <x:c r="E32" s="7"/>
      <x:c r="F32" s="20"/>
      <x:c r="G32" s="7"/>
      <x:c r="H32" s="7"/>
      <x:c r="I32" s="7"/>
      <x:c r="J32" s="7"/>
      <x:c r="K32" s="7"/>
      <x:c r="L32" s="7"/>
      <x:c r="M32" s="7"/>
      <x:c r="N32" s="7"/>
      <x:c r="O32" s="2" t="str">
        <x:f>IF(A32="","",IF(COUNTIFS($A$7:$A$1506,A32)&gt;1,"Buchung-ID doppelt",IF(OR(NOT(ISNUMBER(B32)),C32="",NOT(ISNUMBER(F32)),H32="",L32=""),"Pflichtangaben fehlen",IF(COUNTIFS('Konten'!$A$7:$A$26,C32)&lt;&gt;1,"Konto nicht eindeutig",IF(J32&lt;&gt;"Ja","Zuordnung bestätigen",IF(OR(AND(H32="Einnahme",F32&lt;0),AND(H32="Ausgabe",F32&gt;0)),"Vorzeichen prüfen",IF(AND(H32="Umbuchung",OR(K32="",COUNTIFS($A$7:$A$1506,K32)&lt;&gt;1)),"Gegenbuchung fehlt",IF(AND(H32="Umbuchung",ROUND(SUMIFS($F$7:$F$1506,$A$7:$A$1506,K32)+F32,2)&lt;&gt;0),"Umbuchung abweichend",IF(OR(G32="",M32="",M32="offen",M32="teilbelegt",H32="Ungeklärt",H32="Bargeld"),"Beleg / Verwendung klären","vollständig erfasst")))))))))</x:f>
      </x:c>
    </x:row>
    <x:row r="33" ht="22" customHeight="1">
      <x:c r="A33" s="7"/>
      <x:c r="B33" s="8"/>
      <x:c r="C33" s="7"/>
      <x:c r="D33" s="7"/>
      <x:c r="E33" s="7"/>
      <x:c r="F33" s="20"/>
      <x:c r="G33" s="7"/>
      <x:c r="H33" s="7"/>
      <x:c r="I33" s="7"/>
      <x:c r="J33" s="7"/>
      <x:c r="K33" s="7"/>
      <x:c r="L33" s="7"/>
      <x:c r="M33" s="7"/>
      <x:c r="N33" s="7"/>
      <x:c r="O33" s="2" t="str">
        <x:f>IF(A33="","",IF(COUNTIFS($A$7:$A$1506,A33)&gt;1,"Buchung-ID doppelt",IF(OR(NOT(ISNUMBER(B33)),C33="",NOT(ISNUMBER(F33)),H33="",L33=""),"Pflichtangaben fehlen",IF(COUNTIFS('Konten'!$A$7:$A$26,C33)&lt;&gt;1,"Konto nicht eindeutig",IF(J33&lt;&gt;"Ja","Zuordnung bestätigen",IF(OR(AND(H33="Einnahme",F33&lt;0),AND(H33="Ausgabe",F33&gt;0)),"Vorzeichen prüfen",IF(AND(H33="Umbuchung",OR(K33="",COUNTIFS($A$7:$A$1506,K33)&lt;&gt;1)),"Gegenbuchung fehlt",IF(AND(H33="Umbuchung",ROUND(SUMIFS($F$7:$F$1506,$A$7:$A$1506,K33)+F33,2)&lt;&gt;0),"Umbuchung abweichend",IF(OR(G33="",M33="",M33="offen",M33="teilbelegt",H33="Ungeklärt",H33="Bargeld"),"Beleg / Verwendung klären","vollständig erfasst")))))))))</x:f>
      </x:c>
    </x:row>
    <x:row r="34" ht="22" customHeight="1">
      <x:c r="A34" s="7"/>
      <x:c r="B34" s="8"/>
      <x:c r="C34" s="7"/>
      <x:c r="D34" s="7"/>
      <x:c r="E34" s="7"/>
      <x:c r="F34" s="20"/>
      <x:c r="G34" s="7"/>
      <x:c r="H34" s="7"/>
      <x:c r="I34" s="7"/>
      <x:c r="J34" s="7"/>
      <x:c r="K34" s="7"/>
      <x:c r="L34" s="7"/>
      <x:c r="M34" s="7"/>
      <x:c r="N34" s="7"/>
      <x:c r="O34" s="2" t="str">
        <x:f>IF(A34="","",IF(COUNTIFS($A$7:$A$1506,A34)&gt;1,"Buchung-ID doppelt",IF(OR(NOT(ISNUMBER(B34)),C34="",NOT(ISNUMBER(F34)),H34="",L34=""),"Pflichtangaben fehlen",IF(COUNTIFS('Konten'!$A$7:$A$26,C34)&lt;&gt;1,"Konto nicht eindeutig",IF(J34&lt;&gt;"Ja","Zuordnung bestätigen",IF(OR(AND(H34="Einnahme",F34&lt;0),AND(H34="Ausgabe",F34&gt;0)),"Vorzeichen prüfen",IF(AND(H34="Umbuchung",OR(K34="",COUNTIFS($A$7:$A$1506,K34)&lt;&gt;1)),"Gegenbuchung fehlt",IF(AND(H34="Umbuchung",ROUND(SUMIFS($F$7:$F$1506,$A$7:$A$1506,K34)+F34,2)&lt;&gt;0),"Umbuchung abweichend",IF(OR(G34="",M34="",M34="offen",M34="teilbelegt",H34="Ungeklärt",H34="Bargeld"),"Beleg / Verwendung klären","vollständig erfasst")))))))))</x:f>
      </x:c>
    </x:row>
    <x:row r="35" ht="22" customHeight="1">
      <x:c r="A35" s="7"/>
      <x:c r="B35" s="8"/>
      <x:c r="C35" s="7"/>
      <x:c r="D35" s="7"/>
      <x:c r="E35" s="7"/>
      <x:c r="F35" s="20"/>
      <x:c r="G35" s="7"/>
      <x:c r="H35" s="7"/>
      <x:c r="I35" s="7"/>
      <x:c r="J35" s="7"/>
      <x:c r="K35" s="7"/>
      <x:c r="L35" s="7"/>
      <x:c r="M35" s="7"/>
      <x:c r="N35" s="7"/>
      <x:c r="O35" s="2" t="str">
        <x:f>IF(A35="","",IF(COUNTIFS($A$7:$A$1506,A35)&gt;1,"Buchung-ID doppelt",IF(OR(NOT(ISNUMBER(B35)),C35="",NOT(ISNUMBER(F35)),H35="",L35=""),"Pflichtangaben fehlen",IF(COUNTIFS('Konten'!$A$7:$A$26,C35)&lt;&gt;1,"Konto nicht eindeutig",IF(J35&lt;&gt;"Ja","Zuordnung bestätigen",IF(OR(AND(H35="Einnahme",F35&lt;0),AND(H35="Ausgabe",F35&gt;0)),"Vorzeichen prüfen",IF(AND(H35="Umbuchung",OR(K35="",COUNTIFS($A$7:$A$1506,K35)&lt;&gt;1)),"Gegenbuchung fehlt",IF(AND(H35="Umbuchung",ROUND(SUMIFS($F$7:$F$1506,$A$7:$A$1506,K35)+F35,2)&lt;&gt;0),"Umbuchung abweichend",IF(OR(G35="",M35="",M35="offen",M35="teilbelegt",H35="Ungeklärt",H35="Bargeld"),"Beleg / Verwendung klären","vollständig erfasst")))))))))</x:f>
      </x:c>
    </x:row>
    <x:row r="36" ht="22" customHeight="1">
      <x:c r="A36" s="7"/>
      <x:c r="B36" s="8"/>
      <x:c r="C36" s="7"/>
      <x:c r="D36" s="7"/>
      <x:c r="E36" s="7"/>
      <x:c r="F36" s="20"/>
      <x:c r="G36" s="7"/>
      <x:c r="H36" s="7"/>
      <x:c r="I36" s="7"/>
      <x:c r="J36" s="7"/>
      <x:c r="K36" s="7"/>
      <x:c r="L36" s="7"/>
      <x:c r="M36" s="7"/>
      <x:c r="N36" s="7"/>
      <x:c r="O36" s="2" t="str">
        <x:f>IF(A36="","",IF(COUNTIFS($A$7:$A$1506,A36)&gt;1,"Buchung-ID doppelt",IF(OR(NOT(ISNUMBER(B36)),C36="",NOT(ISNUMBER(F36)),H36="",L36=""),"Pflichtangaben fehlen",IF(COUNTIFS('Konten'!$A$7:$A$26,C36)&lt;&gt;1,"Konto nicht eindeutig",IF(J36&lt;&gt;"Ja","Zuordnung bestätigen",IF(OR(AND(H36="Einnahme",F36&lt;0),AND(H36="Ausgabe",F36&gt;0)),"Vorzeichen prüfen",IF(AND(H36="Umbuchung",OR(K36="",COUNTIFS($A$7:$A$1506,K36)&lt;&gt;1)),"Gegenbuchung fehlt",IF(AND(H36="Umbuchung",ROUND(SUMIFS($F$7:$F$1506,$A$7:$A$1506,K36)+F36,2)&lt;&gt;0),"Umbuchung abweichend",IF(OR(G36="",M36="",M36="offen",M36="teilbelegt",H36="Ungeklärt",H36="Bargeld"),"Beleg / Verwendung klären","vollständig erfasst")))))))))</x:f>
      </x:c>
    </x:row>
    <x:row r="37" ht="22" customHeight="1">
      <x:c r="A37" s="7"/>
      <x:c r="B37" s="8"/>
      <x:c r="C37" s="7"/>
      <x:c r="D37" s="7"/>
      <x:c r="E37" s="7"/>
      <x:c r="F37" s="20"/>
      <x:c r="G37" s="7"/>
      <x:c r="H37" s="7"/>
      <x:c r="I37" s="7"/>
      <x:c r="J37" s="7"/>
      <x:c r="K37" s="7"/>
      <x:c r="L37" s="7"/>
      <x:c r="M37" s="7"/>
      <x:c r="N37" s="7"/>
      <x:c r="O37" s="2" t="str">
        <x:f>IF(A37="","",IF(COUNTIFS($A$7:$A$1506,A37)&gt;1,"Buchung-ID doppelt",IF(OR(NOT(ISNUMBER(B37)),C37="",NOT(ISNUMBER(F37)),H37="",L37=""),"Pflichtangaben fehlen",IF(COUNTIFS('Konten'!$A$7:$A$26,C37)&lt;&gt;1,"Konto nicht eindeutig",IF(J37&lt;&gt;"Ja","Zuordnung bestätigen",IF(OR(AND(H37="Einnahme",F37&lt;0),AND(H37="Ausgabe",F37&gt;0)),"Vorzeichen prüfen",IF(AND(H37="Umbuchung",OR(K37="",COUNTIFS($A$7:$A$1506,K37)&lt;&gt;1)),"Gegenbuchung fehlt",IF(AND(H37="Umbuchung",ROUND(SUMIFS($F$7:$F$1506,$A$7:$A$1506,K37)+F37,2)&lt;&gt;0),"Umbuchung abweichend",IF(OR(G37="",M37="",M37="offen",M37="teilbelegt",H37="Ungeklärt",H37="Bargeld"),"Beleg / Verwendung klären","vollständig erfasst")))))))))</x:f>
      </x:c>
    </x:row>
    <x:row r="38" ht="22" customHeight="1">
      <x:c r="A38" s="7"/>
      <x:c r="B38" s="8"/>
      <x:c r="C38" s="7"/>
      <x:c r="D38" s="7"/>
      <x:c r="E38" s="7"/>
      <x:c r="F38" s="20"/>
      <x:c r="G38" s="7"/>
      <x:c r="H38" s="7"/>
      <x:c r="I38" s="7"/>
      <x:c r="J38" s="7"/>
      <x:c r="K38" s="7"/>
      <x:c r="L38" s="7"/>
      <x:c r="M38" s="7"/>
      <x:c r="N38" s="7"/>
      <x:c r="O38" s="2" t="str">
        <x:f>IF(A38="","",IF(COUNTIFS($A$7:$A$1506,A38)&gt;1,"Buchung-ID doppelt",IF(OR(NOT(ISNUMBER(B38)),C38="",NOT(ISNUMBER(F38)),H38="",L38=""),"Pflichtangaben fehlen",IF(COUNTIFS('Konten'!$A$7:$A$26,C38)&lt;&gt;1,"Konto nicht eindeutig",IF(J38&lt;&gt;"Ja","Zuordnung bestätigen",IF(OR(AND(H38="Einnahme",F38&lt;0),AND(H38="Ausgabe",F38&gt;0)),"Vorzeichen prüfen",IF(AND(H38="Umbuchung",OR(K38="",COUNTIFS($A$7:$A$1506,K38)&lt;&gt;1)),"Gegenbuchung fehlt",IF(AND(H38="Umbuchung",ROUND(SUMIFS($F$7:$F$1506,$A$7:$A$1506,K38)+F38,2)&lt;&gt;0),"Umbuchung abweichend",IF(OR(G38="",M38="",M38="offen",M38="teilbelegt",H38="Ungeklärt",H38="Bargeld"),"Beleg / Verwendung klären","vollständig erfasst")))))))))</x:f>
      </x:c>
    </x:row>
    <x:row r="39" ht="22" customHeight="1">
      <x:c r="A39" s="7"/>
      <x:c r="B39" s="8"/>
      <x:c r="C39" s="7"/>
      <x:c r="D39" s="7"/>
      <x:c r="E39" s="7"/>
      <x:c r="F39" s="20"/>
      <x:c r="G39" s="7"/>
      <x:c r="H39" s="7"/>
      <x:c r="I39" s="7"/>
      <x:c r="J39" s="7"/>
      <x:c r="K39" s="7"/>
      <x:c r="L39" s="7"/>
      <x:c r="M39" s="7"/>
      <x:c r="N39" s="7"/>
      <x:c r="O39" s="2" t="str">
        <x:f>IF(A39="","",IF(COUNTIFS($A$7:$A$1506,A39)&gt;1,"Buchung-ID doppelt",IF(OR(NOT(ISNUMBER(B39)),C39="",NOT(ISNUMBER(F39)),H39="",L39=""),"Pflichtangaben fehlen",IF(COUNTIFS('Konten'!$A$7:$A$26,C39)&lt;&gt;1,"Konto nicht eindeutig",IF(J39&lt;&gt;"Ja","Zuordnung bestätigen",IF(OR(AND(H39="Einnahme",F39&lt;0),AND(H39="Ausgabe",F39&gt;0)),"Vorzeichen prüfen",IF(AND(H39="Umbuchung",OR(K39="",COUNTIFS($A$7:$A$1506,K39)&lt;&gt;1)),"Gegenbuchung fehlt",IF(AND(H39="Umbuchung",ROUND(SUMIFS($F$7:$F$1506,$A$7:$A$1506,K39)+F39,2)&lt;&gt;0),"Umbuchung abweichend",IF(OR(G39="",M39="",M39="offen",M39="teilbelegt",H39="Ungeklärt",H39="Bargeld"),"Beleg / Verwendung klären","vollständig erfasst")))))))))</x:f>
      </x:c>
    </x:row>
    <x:row r="40" ht="22" customHeight="1">
      <x:c r="A40" s="7"/>
      <x:c r="B40" s="8"/>
      <x:c r="C40" s="7"/>
      <x:c r="D40" s="7"/>
      <x:c r="E40" s="7"/>
      <x:c r="F40" s="20"/>
      <x:c r="G40" s="7"/>
      <x:c r="H40" s="7"/>
      <x:c r="I40" s="7"/>
      <x:c r="J40" s="7"/>
      <x:c r="K40" s="7"/>
      <x:c r="L40" s="7"/>
      <x:c r="M40" s="7"/>
      <x:c r="N40" s="7"/>
      <x:c r="O40" s="2" t="str">
        <x:f>IF(A40="","",IF(COUNTIFS($A$7:$A$1506,A40)&gt;1,"Buchung-ID doppelt",IF(OR(NOT(ISNUMBER(B40)),C40="",NOT(ISNUMBER(F40)),H40="",L40=""),"Pflichtangaben fehlen",IF(COUNTIFS('Konten'!$A$7:$A$26,C40)&lt;&gt;1,"Konto nicht eindeutig",IF(J40&lt;&gt;"Ja","Zuordnung bestätigen",IF(OR(AND(H40="Einnahme",F40&lt;0),AND(H40="Ausgabe",F40&gt;0)),"Vorzeichen prüfen",IF(AND(H40="Umbuchung",OR(K40="",COUNTIFS($A$7:$A$1506,K40)&lt;&gt;1)),"Gegenbuchung fehlt",IF(AND(H40="Umbuchung",ROUND(SUMIFS($F$7:$F$1506,$A$7:$A$1506,K40)+F40,2)&lt;&gt;0),"Umbuchung abweichend",IF(OR(G40="",M40="",M40="offen",M40="teilbelegt",H40="Ungeklärt",H40="Bargeld"),"Beleg / Verwendung klären","vollständig erfasst")))))))))</x:f>
      </x:c>
    </x:row>
    <x:row r="41" ht="22" customHeight="1">
      <x:c r="A41" s="7"/>
      <x:c r="B41" s="8"/>
      <x:c r="C41" s="7"/>
      <x:c r="D41" s="7"/>
      <x:c r="E41" s="7"/>
      <x:c r="F41" s="20"/>
      <x:c r="G41" s="7"/>
      <x:c r="H41" s="7"/>
      <x:c r="I41" s="7"/>
      <x:c r="J41" s="7"/>
      <x:c r="K41" s="7"/>
      <x:c r="L41" s="7"/>
      <x:c r="M41" s="7"/>
      <x:c r="N41" s="7"/>
      <x:c r="O41" s="2" t="str">
        <x:f>IF(A41="","",IF(COUNTIFS($A$7:$A$1506,A41)&gt;1,"Buchung-ID doppelt",IF(OR(NOT(ISNUMBER(B41)),C41="",NOT(ISNUMBER(F41)),H41="",L41=""),"Pflichtangaben fehlen",IF(COUNTIFS('Konten'!$A$7:$A$26,C41)&lt;&gt;1,"Konto nicht eindeutig",IF(J41&lt;&gt;"Ja","Zuordnung bestätigen",IF(OR(AND(H41="Einnahme",F41&lt;0),AND(H41="Ausgabe",F41&gt;0)),"Vorzeichen prüfen",IF(AND(H41="Umbuchung",OR(K41="",COUNTIFS($A$7:$A$1506,K41)&lt;&gt;1)),"Gegenbuchung fehlt",IF(AND(H41="Umbuchung",ROUND(SUMIFS($F$7:$F$1506,$A$7:$A$1506,K41)+F41,2)&lt;&gt;0),"Umbuchung abweichend",IF(OR(G41="",M41="",M41="offen",M41="teilbelegt",H41="Ungeklärt",H41="Bargeld"),"Beleg / Verwendung klären","vollständig erfasst")))))))))</x:f>
      </x:c>
    </x:row>
    <x:row r="42" ht="22" customHeight="1">
      <x:c r="A42" s="7"/>
      <x:c r="B42" s="8"/>
      <x:c r="C42" s="7"/>
      <x:c r="D42" s="7"/>
      <x:c r="E42" s="7"/>
      <x:c r="F42" s="20"/>
      <x:c r="G42" s="7"/>
      <x:c r="H42" s="7"/>
      <x:c r="I42" s="7"/>
      <x:c r="J42" s="7"/>
      <x:c r="K42" s="7"/>
      <x:c r="L42" s="7"/>
      <x:c r="M42" s="7"/>
      <x:c r="N42" s="7"/>
      <x:c r="O42" s="2" t="str">
        <x:f>IF(A42="","",IF(COUNTIFS($A$7:$A$1506,A42)&gt;1,"Buchung-ID doppelt",IF(OR(NOT(ISNUMBER(B42)),C42="",NOT(ISNUMBER(F42)),H42="",L42=""),"Pflichtangaben fehlen",IF(COUNTIFS('Konten'!$A$7:$A$26,C42)&lt;&gt;1,"Konto nicht eindeutig",IF(J42&lt;&gt;"Ja","Zuordnung bestätigen",IF(OR(AND(H42="Einnahme",F42&lt;0),AND(H42="Ausgabe",F42&gt;0)),"Vorzeichen prüfen",IF(AND(H42="Umbuchung",OR(K42="",COUNTIFS($A$7:$A$1506,K42)&lt;&gt;1)),"Gegenbuchung fehlt",IF(AND(H42="Umbuchung",ROUND(SUMIFS($F$7:$F$1506,$A$7:$A$1506,K42)+F42,2)&lt;&gt;0),"Umbuchung abweichend",IF(OR(G42="",M42="",M42="offen",M42="teilbelegt",H42="Ungeklärt",H42="Bargeld"),"Beleg / Verwendung klären","vollständig erfasst")))))))))</x:f>
      </x:c>
    </x:row>
    <x:row r="43" ht="22" customHeight="1">
      <x:c r="A43" s="7"/>
      <x:c r="B43" s="8"/>
      <x:c r="C43" s="7"/>
      <x:c r="D43" s="7"/>
      <x:c r="E43" s="7"/>
      <x:c r="F43" s="20"/>
      <x:c r="G43" s="7"/>
      <x:c r="H43" s="7"/>
      <x:c r="I43" s="7"/>
      <x:c r="J43" s="7"/>
      <x:c r="K43" s="7"/>
      <x:c r="L43" s="7"/>
      <x:c r="M43" s="7"/>
      <x:c r="N43" s="7"/>
      <x:c r="O43" s="2" t="str">
        <x:f>IF(A43="","",IF(COUNTIFS($A$7:$A$1506,A43)&gt;1,"Buchung-ID doppelt",IF(OR(NOT(ISNUMBER(B43)),C43="",NOT(ISNUMBER(F43)),H43="",L43=""),"Pflichtangaben fehlen",IF(COUNTIFS('Konten'!$A$7:$A$26,C43)&lt;&gt;1,"Konto nicht eindeutig",IF(J43&lt;&gt;"Ja","Zuordnung bestätigen",IF(OR(AND(H43="Einnahme",F43&lt;0),AND(H43="Ausgabe",F43&gt;0)),"Vorzeichen prüfen",IF(AND(H43="Umbuchung",OR(K43="",COUNTIFS($A$7:$A$1506,K43)&lt;&gt;1)),"Gegenbuchung fehlt",IF(AND(H43="Umbuchung",ROUND(SUMIFS($F$7:$F$1506,$A$7:$A$1506,K43)+F43,2)&lt;&gt;0),"Umbuchung abweichend",IF(OR(G43="",M43="",M43="offen",M43="teilbelegt",H43="Ungeklärt",H43="Bargeld"),"Beleg / Verwendung klären","vollständig erfasst")))))))))</x:f>
      </x:c>
    </x:row>
    <x:row r="44" ht="22" customHeight="1">
      <x:c r="A44" s="7"/>
      <x:c r="B44" s="8"/>
      <x:c r="C44" s="7"/>
      <x:c r="D44" s="7"/>
      <x:c r="E44" s="7"/>
      <x:c r="F44" s="20"/>
      <x:c r="G44" s="7"/>
      <x:c r="H44" s="7"/>
      <x:c r="I44" s="7"/>
      <x:c r="J44" s="7"/>
      <x:c r="K44" s="7"/>
      <x:c r="L44" s="7"/>
      <x:c r="M44" s="7"/>
      <x:c r="N44" s="7"/>
      <x:c r="O44" s="2" t="str">
        <x:f>IF(A44="","",IF(COUNTIFS($A$7:$A$1506,A44)&gt;1,"Buchung-ID doppelt",IF(OR(NOT(ISNUMBER(B44)),C44="",NOT(ISNUMBER(F44)),H44="",L44=""),"Pflichtangaben fehlen",IF(COUNTIFS('Konten'!$A$7:$A$26,C44)&lt;&gt;1,"Konto nicht eindeutig",IF(J44&lt;&gt;"Ja","Zuordnung bestätigen",IF(OR(AND(H44="Einnahme",F44&lt;0),AND(H44="Ausgabe",F44&gt;0)),"Vorzeichen prüfen",IF(AND(H44="Umbuchung",OR(K44="",COUNTIFS($A$7:$A$1506,K44)&lt;&gt;1)),"Gegenbuchung fehlt",IF(AND(H44="Umbuchung",ROUND(SUMIFS($F$7:$F$1506,$A$7:$A$1506,K44)+F44,2)&lt;&gt;0),"Umbuchung abweichend",IF(OR(G44="",M44="",M44="offen",M44="teilbelegt",H44="Ungeklärt",H44="Bargeld"),"Beleg / Verwendung klären","vollständig erfasst")))))))))</x:f>
      </x:c>
    </x:row>
    <x:row r="45" ht="22" customHeight="1">
      <x:c r="A45" s="7"/>
      <x:c r="B45" s="8"/>
      <x:c r="C45" s="7"/>
      <x:c r="D45" s="7"/>
      <x:c r="E45" s="7"/>
      <x:c r="F45" s="20"/>
      <x:c r="G45" s="7"/>
      <x:c r="H45" s="7"/>
      <x:c r="I45" s="7"/>
      <x:c r="J45" s="7"/>
      <x:c r="K45" s="7"/>
      <x:c r="L45" s="7"/>
      <x:c r="M45" s="7"/>
      <x:c r="N45" s="7"/>
      <x:c r="O45" s="2" t="str">
        <x:f>IF(A45="","",IF(COUNTIFS($A$7:$A$1506,A45)&gt;1,"Buchung-ID doppelt",IF(OR(NOT(ISNUMBER(B45)),C45="",NOT(ISNUMBER(F45)),H45="",L45=""),"Pflichtangaben fehlen",IF(COUNTIFS('Konten'!$A$7:$A$26,C45)&lt;&gt;1,"Konto nicht eindeutig",IF(J45&lt;&gt;"Ja","Zuordnung bestätigen",IF(OR(AND(H45="Einnahme",F45&lt;0),AND(H45="Ausgabe",F45&gt;0)),"Vorzeichen prüfen",IF(AND(H45="Umbuchung",OR(K45="",COUNTIFS($A$7:$A$1506,K45)&lt;&gt;1)),"Gegenbuchung fehlt",IF(AND(H45="Umbuchung",ROUND(SUMIFS($F$7:$F$1506,$A$7:$A$1506,K45)+F45,2)&lt;&gt;0),"Umbuchung abweichend",IF(OR(G45="",M45="",M45="offen",M45="teilbelegt",H45="Ungeklärt",H45="Bargeld"),"Beleg / Verwendung klären","vollständig erfasst")))))))))</x:f>
      </x:c>
    </x:row>
    <x:row r="46" ht="22" customHeight="1">
      <x:c r="A46" s="7"/>
      <x:c r="B46" s="8"/>
      <x:c r="C46" s="7"/>
      <x:c r="D46" s="7"/>
      <x:c r="E46" s="7"/>
      <x:c r="F46" s="20"/>
      <x:c r="G46" s="7"/>
      <x:c r="H46" s="7"/>
      <x:c r="I46" s="7"/>
      <x:c r="J46" s="7"/>
      <x:c r="K46" s="7"/>
      <x:c r="L46" s="7"/>
      <x:c r="M46" s="7"/>
      <x:c r="N46" s="7"/>
      <x:c r="O46" s="2" t="str">
        <x:f>IF(A46="","",IF(COUNTIFS($A$7:$A$1506,A46)&gt;1,"Buchung-ID doppelt",IF(OR(NOT(ISNUMBER(B46)),C46="",NOT(ISNUMBER(F46)),H46="",L46=""),"Pflichtangaben fehlen",IF(COUNTIFS('Konten'!$A$7:$A$26,C46)&lt;&gt;1,"Konto nicht eindeutig",IF(J46&lt;&gt;"Ja","Zuordnung bestätigen",IF(OR(AND(H46="Einnahme",F46&lt;0),AND(H46="Ausgabe",F46&gt;0)),"Vorzeichen prüfen",IF(AND(H46="Umbuchung",OR(K46="",COUNTIFS($A$7:$A$1506,K46)&lt;&gt;1)),"Gegenbuchung fehlt",IF(AND(H46="Umbuchung",ROUND(SUMIFS($F$7:$F$1506,$A$7:$A$1506,K46)+F46,2)&lt;&gt;0),"Umbuchung abweichend",IF(OR(G46="",M46="",M46="offen",M46="teilbelegt",H46="Ungeklärt",H46="Bargeld"),"Beleg / Verwendung klären","vollständig erfasst")))))))))</x:f>
      </x:c>
    </x:row>
    <x:row r="47" ht="22" customHeight="1">
      <x:c r="A47" s="7"/>
      <x:c r="B47" s="8"/>
      <x:c r="C47" s="7"/>
      <x:c r="D47" s="7"/>
      <x:c r="E47" s="7"/>
      <x:c r="F47" s="20"/>
      <x:c r="G47" s="7"/>
      <x:c r="H47" s="7"/>
      <x:c r="I47" s="7"/>
      <x:c r="J47" s="7"/>
      <x:c r="K47" s="7"/>
      <x:c r="L47" s="7"/>
      <x:c r="M47" s="7"/>
      <x:c r="N47" s="7"/>
      <x:c r="O47" s="2" t="str">
        <x:f>IF(A47="","",IF(COUNTIFS($A$7:$A$1506,A47)&gt;1,"Buchung-ID doppelt",IF(OR(NOT(ISNUMBER(B47)),C47="",NOT(ISNUMBER(F47)),H47="",L47=""),"Pflichtangaben fehlen",IF(COUNTIFS('Konten'!$A$7:$A$26,C47)&lt;&gt;1,"Konto nicht eindeutig",IF(J47&lt;&gt;"Ja","Zuordnung bestätigen",IF(OR(AND(H47="Einnahme",F47&lt;0),AND(H47="Ausgabe",F47&gt;0)),"Vorzeichen prüfen",IF(AND(H47="Umbuchung",OR(K47="",COUNTIFS($A$7:$A$1506,K47)&lt;&gt;1)),"Gegenbuchung fehlt",IF(AND(H47="Umbuchung",ROUND(SUMIFS($F$7:$F$1506,$A$7:$A$1506,K47)+F47,2)&lt;&gt;0),"Umbuchung abweichend",IF(OR(G47="",M47="",M47="offen",M47="teilbelegt",H47="Ungeklärt",H47="Bargeld"),"Beleg / Verwendung klären","vollständig erfasst")))))))))</x:f>
      </x:c>
    </x:row>
    <x:row r="48" ht="22" customHeight="1">
      <x:c r="A48" s="7"/>
      <x:c r="B48" s="8"/>
      <x:c r="C48" s="7"/>
      <x:c r="D48" s="7"/>
      <x:c r="E48" s="7"/>
      <x:c r="F48" s="20"/>
      <x:c r="G48" s="7"/>
      <x:c r="H48" s="7"/>
      <x:c r="I48" s="7"/>
      <x:c r="J48" s="7"/>
      <x:c r="K48" s="7"/>
      <x:c r="L48" s="7"/>
      <x:c r="M48" s="7"/>
      <x:c r="N48" s="7"/>
      <x:c r="O48" s="2" t="str">
        <x:f>IF(A48="","",IF(COUNTIFS($A$7:$A$1506,A48)&gt;1,"Buchung-ID doppelt",IF(OR(NOT(ISNUMBER(B48)),C48="",NOT(ISNUMBER(F48)),H48="",L48=""),"Pflichtangaben fehlen",IF(COUNTIFS('Konten'!$A$7:$A$26,C48)&lt;&gt;1,"Konto nicht eindeutig",IF(J48&lt;&gt;"Ja","Zuordnung bestätigen",IF(OR(AND(H48="Einnahme",F48&lt;0),AND(H48="Ausgabe",F48&gt;0)),"Vorzeichen prüfen",IF(AND(H48="Umbuchung",OR(K48="",COUNTIFS($A$7:$A$1506,K48)&lt;&gt;1)),"Gegenbuchung fehlt",IF(AND(H48="Umbuchung",ROUND(SUMIFS($F$7:$F$1506,$A$7:$A$1506,K48)+F48,2)&lt;&gt;0),"Umbuchung abweichend",IF(OR(G48="",M48="",M48="offen",M48="teilbelegt",H48="Ungeklärt",H48="Bargeld"),"Beleg / Verwendung klären","vollständig erfasst")))))))))</x:f>
      </x:c>
    </x:row>
    <x:row r="49" ht="22" customHeight="1">
      <x:c r="A49" s="7"/>
      <x:c r="B49" s="8"/>
      <x:c r="C49" s="7"/>
      <x:c r="D49" s="7"/>
      <x:c r="E49" s="7"/>
      <x:c r="F49" s="20"/>
      <x:c r="G49" s="7"/>
      <x:c r="H49" s="7"/>
      <x:c r="I49" s="7"/>
      <x:c r="J49" s="7"/>
      <x:c r="K49" s="7"/>
      <x:c r="L49" s="7"/>
      <x:c r="M49" s="7"/>
      <x:c r="N49" s="7"/>
      <x:c r="O49" s="2" t="str">
        <x:f>IF(A49="","",IF(COUNTIFS($A$7:$A$1506,A49)&gt;1,"Buchung-ID doppelt",IF(OR(NOT(ISNUMBER(B49)),C49="",NOT(ISNUMBER(F49)),H49="",L49=""),"Pflichtangaben fehlen",IF(COUNTIFS('Konten'!$A$7:$A$26,C49)&lt;&gt;1,"Konto nicht eindeutig",IF(J49&lt;&gt;"Ja","Zuordnung bestätigen",IF(OR(AND(H49="Einnahme",F49&lt;0),AND(H49="Ausgabe",F49&gt;0)),"Vorzeichen prüfen",IF(AND(H49="Umbuchung",OR(K49="",COUNTIFS($A$7:$A$1506,K49)&lt;&gt;1)),"Gegenbuchung fehlt",IF(AND(H49="Umbuchung",ROUND(SUMIFS($F$7:$F$1506,$A$7:$A$1506,K49)+F49,2)&lt;&gt;0),"Umbuchung abweichend",IF(OR(G49="",M49="",M49="offen",M49="teilbelegt",H49="Ungeklärt",H49="Bargeld"),"Beleg / Verwendung klären","vollständig erfasst")))))))))</x:f>
      </x:c>
    </x:row>
    <x:row r="50" ht="22" customHeight="1">
      <x:c r="A50" s="7"/>
      <x:c r="B50" s="8"/>
      <x:c r="C50" s="7"/>
      <x:c r="D50" s="7"/>
      <x:c r="E50" s="7"/>
      <x:c r="F50" s="20"/>
      <x:c r="G50" s="7"/>
      <x:c r="H50" s="7"/>
      <x:c r="I50" s="7"/>
      <x:c r="J50" s="7"/>
      <x:c r="K50" s="7"/>
      <x:c r="L50" s="7"/>
      <x:c r="M50" s="7"/>
      <x:c r="N50" s="7"/>
      <x:c r="O50" s="2" t="str">
        <x:f>IF(A50="","",IF(COUNTIFS($A$7:$A$1506,A50)&gt;1,"Buchung-ID doppelt",IF(OR(NOT(ISNUMBER(B50)),C50="",NOT(ISNUMBER(F50)),H50="",L50=""),"Pflichtangaben fehlen",IF(COUNTIFS('Konten'!$A$7:$A$26,C50)&lt;&gt;1,"Konto nicht eindeutig",IF(J50&lt;&gt;"Ja","Zuordnung bestätigen",IF(OR(AND(H50="Einnahme",F50&lt;0),AND(H50="Ausgabe",F50&gt;0)),"Vorzeichen prüfen",IF(AND(H50="Umbuchung",OR(K50="",COUNTIFS($A$7:$A$1506,K50)&lt;&gt;1)),"Gegenbuchung fehlt",IF(AND(H50="Umbuchung",ROUND(SUMIFS($F$7:$F$1506,$A$7:$A$1506,K50)+F50,2)&lt;&gt;0),"Umbuchung abweichend",IF(OR(G50="",M50="",M50="offen",M50="teilbelegt",H50="Ungeklärt",H50="Bargeld"),"Beleg / Verwendung klären","vollständig erfasst")))))))))</x:f>
      </x:c>
    </x:row>
    <x:row r="51" ht="22" customHeight="1">
      <x:c r="A51" s="7"/>
      <x:c r="B51" s="8"/>
      <x:c r="C51" s="7"/>
      <x:c r="D51" s="7"/>
      <x:c r="E51" s="7"/>
      <x:c r="F51" s="20"/>
      <x:c r="G51" s="7"/>
      <x:c r="H51" s="7"/>
      <x:c r="I51" s="7"/>
      <x:c r="J51" s="7"/>
      <x:c r="K51" s="7"/>
      <x:c r="L51" s="7"/>
      <x:c r="M51" s="7"/>
      <x:c r="N51" s="7"/>
      <x:c r="O51" s="2" t="str">
        <x:f>IF(A51="","",IF(COUNTIFS($A$7:$A$1506,A51)&gt;1,"Buchung-ID doppelt",IF(OR(NOT(ISNUMBER(B51)),C51="",NOT(ISNUMBER(F51)),H51="",L51=""),"Pflichtangaben fehlen",IF(COUNTIFS('Konten'!$A$7:$A$26,C51)&lt;&gt;1,"Konto nicht eindeutig",IF(J51&lt;&gt;"Ja","Zuordnung bestätigen",IF(OR(AND(H51="Einnahme",F51&lt;0),AND(H51="Ausgabe",F51&gt;0)),"Vorzeichen prüfen",IF(AND(H51="Umbuchung",OR(K51="",COUNTIFS($A$7:$A$1506,K51)&lt;&gt;1)),"Gegenbuchung fehlt",IF(AND(H51="Umbuchung",ROUND(SUMIFS($F$7:$F$1506,$A$7:$A$1506,K51)+F51,2)&lt;&gt;0),"Umbuchung abweichend",IF(OR(G51="",M51="",M51="offen",M51="teilbelegt",H51="Ungeklärt",H51="Bargeld"),"Beleg / Verwendung klären","vollständig erfasst")))))))))</x:f>
      </x:c>
    </x:row>
    <x:row r="52" ht="22" customHeight="1">
      <x:c r="A52" s="7"/>
      <x:c r="B52" s="8"/>
      <x:c r="C52" s="7"/>
      <x:c r="D52" s="7"/>
      <x:c r="E52" s="7"/>
      <x:c r="F52" s="20"/>
      <x:c r="G52" s="7"/>
      <x:c r="H52" s="7"/>
      <x:c r="I52" s="7"/>
      <x:c r="J52" s="7"/>
      <x:c r="K52" s="7"/>
      <x:c r="L52" s="7"/>
      <x:c r="M52" s="7"/>
      <x:c r="N52" s="7"/>
      <x:c r="O52" s="2" t="str">
        <x:f>IF(A52="","",IF(COUNTIFS($A$7:$A$1506,A52)&gt;1,"Buchung-ID doppelt",IF(OR(NOT(ISNUMBER(B52)),C52="",NOT(ISNUMBER(F52)),H52="",L52=""),"Pflichtangaben fehlen",IF(COUNTIFS('Konten'!$A$7:$A$26,C52)&lt;&gt;1,"Konto nicht eindeutig",IF(J52&lt;&gt;"Ja","Zuordnung bestätigen",IF(OR(AND(H52="Einnahme",F52&lt;0),AND(H52="Ausgabe",F52&gt;0)),"Vorzeichen prüfen",IF(AND(H52="Umbuchung",OR(K52="",COUNTIFS($A$7:$A$1506,K52)&lt;&gt;1)),"Gegenbuchung fehlt",IF(AND(H52="Umbuchung",ROUND(SUMIFS($F$7:$F$1506,$A$7:$A$1506,K52)+F52,2)&lt;&gt;0),"Umbuchung abweichend",IF(OR(G52="",M52="",M52="offen",M52="teilbelegt",H52="Ungeklärt",H52="Bargeld"),"Beleg / Verwendung klären","vollständig erfasst")))))))))</x:f>
      </x:c>
    </x:row>
    <x:row r="53" ht="22" customHeight="1">
      <x:c r="A53" s="7"/>
      <x:c r="B53" s="8"/>
      <x:c r="C53" s="7"/>
      <x:c r="D53" s="7"/>
      <x:c r="E53" s="7"/>
      <x:c r="F53" s="20"/>
      <x:c r="G53" s="7"/>
      <x:c r="H53" s="7"/>
      <x:c r="I53" s="7"/>
      <x:c r="J53" s="7"/>
      <x:c r="K53" s="7"/>
      <x:c r="L53" s="7"/>
      <x:c r="M53" s="7"/>
      <x:c r="N53" s="7"/>
      <x:c r="O53" s="2" t="str">
        <x:f>IF(A53="","",IF(COUNTIFS($A$7:$A$1506,A53)&gt;1,"Buchung-ID doppelt",IF(OR(NOT(ISNUMBER(B53)),C53="",NOT(ISNUMBER(F53)),H53="",L53=""),"Pflichtangaben fehlen",IF(COUNTIFS('Konten'!$A$7:$A$26,C53)&lt;&gt;1,"Konto nicht eindeutig",IF(J53&lt;&gt;"Ja","Zuordnung bestätigen",IF(OR(AND(H53="Einnahme",F53&lt;0),AND(H53="Ausgabe",F53&gt;0)),"Vorzeichen prüfen",IF(AND(H53="Umbuchung",OR(K53="",COUNTIFS($A$7:$A$1506,K53)&lt;&gt;1)),"Gegenbuchung fehlt",IF(AND(H53="Umbuchung",ROUND(SUMIFS($F$7:$F$1506,$A$7:$A$1506,K53)+F53,2)&lt;&gt;0),"Umbuchung abweichend",IF(OR(G53="",M53="",M53="offen",M53="teilbelegt",H53="Ungeklärt",H53="Bargeld"),"Beleg / Verwendung klären","vollständig erfasst")))))))))</x:f>
      </x:c>
    </x:row>
    <x:row r="54" ht="22" customHeight="1">
      <x:c r="A54" s="7"/>
      <x:c r="B54" s="8"/>
      <x:c r="C54" s="7"/>
      <x:c r="D54" s="7"/>
      <x:c r="E54" s="7"/>
      <x:c r="F54" s="20"/>
      <x:c r="G54" s="7"/>
      <x:c r="H54" s="7"/>
      <x:c r="I54" s="7"/>
      <x:c r="J54" s="7"/>
      <x:c r="K54" s="7"/>
      <x:c r="L54" s="7"/>
      <x:c r="M54" s="7"/>
      <x:c r="N54" s="7"/>
      <x:c r="O54" s="2" t="str">
        <x:f>IF(A54="","",IF(COUNTIFS($A$7:$A$1506,A54)&gt;1,"Buchung-ID doppelt",IF(OR(NOT(ISNUMBER(B54)),C54="",NOT(ISNUMBER(F54)),H54="",L54=""),"Pflichtangaben fehlen",IF(COUNTIFS('Konten'!$A$7:$A$26,C54)&lt;&gt;1,"Konto nicht eindeutig",IF(J54&lt;&gt;"Ja","Zuordnung bestätigen",IF(OR(AND(H54="Einnahme",F54&lt;0),AND(H54="Ausgabe",F54&gt;0)),"Vorzeichen prüfen",IF(AND(H54="Umbuchung",OR(K54="",COUNTIFS($A$7:$A$1506,K54)&lt;&gt;1)),"Gegenbuchung fehlt",IF(AND(H54="Umbuchung",ROUND(SUMIFS($F$7:$F$1506,$A$7:$A$1506,K54)+F54,2)&lt;&gt;0),"Umbuchung abweichend",IF(OR(G54="",M54="",M54="offen",M54="teilbelegt",H54="Ungeklärt",H54="Bargeld"),"Beleg / Verwendung klären","vollständig erfasst")))))))))</x:f>
      </x:c>
    </x:row>
    <x:row r="55" ht="22" customHeight="1">
      <x:c r="A55" s="7"/>
      <x:c r="B55" s="8"/>
      <x:c r="C55" s="7"/>
      <x:c r="D55" s="7"/>
      <x:c r="E55" s="7"/>
      <x:c r="F55" s="20"/>
      <x:c r="G55" s="7"/>
      <x:c r="H55" s="7"/>
      <x:c r="I55" s="7"/>
      <x:c r="J55" s="7"/>
      <x:c r="K55" s="7"/>
      <x:c r="L55" s="7"/>
      <x:c r="M55" s="7"/>
      <x:c r="N55" s="7"/>
      <x:c r="O55" s="2" t="str">
        <x:f>IF(A55="","",IF(COUNTIFS($A$7:$A$1506,A55)&gt;1,"Buchung-ID doppelt",IF(OR(NOT(ISNUMBER(B55)),C55="",NOT(ISNUMBER(F55)),H55="",L55=""),"Pflichtangaben fehlen",IF(COUNTIFS('Konten'!$A$7:$A$26,C55)&lt;&gt;1,"Konto nicht eindeutig",IF(J55&lt;&gt;"Ja","Zuordnung bestätigen",IF(OR(AND(H55="Einnahme",F55&lt;0),AND(H55="Ausgabe",F55&gt;0)),"Vorzeichen prüfen",IF(AND(H55="Umbuchung",OR(K55="",COUNTIFS($A$7:$A$1506,K55)&lt;&gt;1)),"Gegenbuchung fehlt",IF(AND(H55="Umbuchung",ROUND(SUMIFS($F$7:$F$1506,$A$7:$A$1506,K55)+F55,2)&lt;&gt;0),"Umbuchung abweichend",IF(OR(G55="",M55="",M55="offen",M55="teilbelegt",H55="Ungeklärt",H55="Bargeld"),"Beleg / Verwendung klären","vollständig erfasst")))))))))</x:f>
      </x:c>
    </x:row>
    <x:row r="56" ht="22" customHeight="1">
      <x:c r="A56" s="7"/>
      <x:c r="B56" s="8"/>
      <x:c r="C56" s="7"/>
      <x:c r="D56" s="7"/>
      <x:c r="E56" s="7"/>
      <x:c r="F56" s="20"/>
      <x:c r="G56" s="7"/>
      <x:c r="H56" s="7"/>
      <x:c r="I56" s="7"/>
      <x:c r="J56" s="7"/>
      <x:c r="K56" s="7"/>
      <x:c r="L56" s="7"/>
      <x:c r="M56" s="7"/>
      <x:c r="N56" s="7"/>
      <x:c r="O56" s="2" t="str">
        <x:f>IF(A56="","",IF(COUNTIFS($A$7:$A$1506,A56)&gt;1,"Buchung-ID doppelt",IF(OR(NOT(ISNUMBER(B56)),C56="",NOT(ISNUMBER(F56)),H56="",L56=""),"Pflichtangaben fehlen",IF(COUNTIFS('Konten'!$A$7:$A$26,C56)&lt;&gt;1,"Konto nicht eindeutig",IF(J56&lt;&gt;"Ja","Zuordnung bestätigen",IF(OR(AND(H56="Einnahme",F56&lt;0),AND(H56="Ausgabe",F56&gt;0)),"Vorzeichen prüfen",IF(AND(H56="Umbuchung",OR(K56="",COUNTIFS($A$7:$A$1506,K56)&lt;&gt;1)),"Gegenbuchung fehlt",IF(AND(H56="Umbuchung",ROUND(SUMIFS($F$7:$F$1506,$A$7:$A$1506,K56)+F56,2)&lt;&gt;0),"Umbuchung abweichend",IF(OR(G56="",M56="",M56="offen",M56="teilbelegt",H56="Ungeklärt",H56="Bargeld"),"Beleg / Verwendung klären","vollständig erfasst")))))))))</x:f>
      </x:c>
    </x:row>
    <x:row r="57" ht="22" customHeight="1">
      <x:c r="A57" s="7"/>
      <x:c r="B57" s="8"/>
      <x:c r="C57" s="7"/>
      <x:c r="D57" s="7"/>
      <x:c r="E57" s="7"/>
      <x:c r="F57" s="20"/>
      <x:c r="G57" s="7"/>
      <x:c r="H57" s="7"/>
      <x:c r="I57" s="7"/>
      <x:c r="J57" s="7"/>
      <x:c r="K57" s="7"/>
      <x:c r="L57" s="7"/>
      <x:c r="M57" s="7"/>
      <x:c r="N57" s="7"/>
      <x:c r="O57" s="2" t="str">
        <x:f>IF(A57="","",IF(COUNTIFS($A$7:$A$1506,A57)&gt;1,"Buchung-ID doppelt",IF(OR(NOT(ISNUMBER(B57)),C57="",NOT(ISNUMBER(F57)),H57="",L57=""),"Pflichtangaben fehlen",IF(COUNTIFS('Konten'!$A$7:$A$26,C57)&lt;&gt;1,"Konto nicht eindeutig",IF(J57&lt;&gt;"Ja","Zuordnung bestätigen",IF(OR(AND(H57="Einnahme",F57&lt;0),AND(H57="Ausgabe",F57&gt;0)),"Vorzeichen prüfen",IF(AND(H57="Umbuchung",OR(K57="",COUNTIFS($A$7:$A$1506,K57)&lt;&gt;1)),"Gegenbuchung fehlt",IF(AND(H57="Umbuchung",ROUND(SUMIFS($F$7:$F$1506,$A$7:$A$1506,K57)+F57,2)&lt;&gt;0),"Umbuchung abweichend",IF(OR(G57="",M57="",M57="offen",M57="teilbelegt",H57="Ungeklärt",H57="Bargeld"),"Beleg / Verwendung klären","vollständig erfasst")))))))))</x:f>
      </x:c>
    </x:row>
    <x:row r="58" ht="22" customHeight="1">
      <x:c r="A58" s="7"/>
      <x:c r="B58" s="8"/>
      <x:c r="C58" s="7"/>
      <x:c r="D58" s="7"/>
      <x:c r="E58" s="7"/>
      <x:c r="F58" s="20"/>
      <x:c r="G58" s="7"/>
      <x:c r="H58" s="7"/>
      <x:c r="I58" s="7"/>
      <x:c r="J58" s="7"/>
      <x:c r="K58" s="7"/>
      <x:c r="L58" s="7"/>
      <x:c r="M58" s="7"/>
      <x:c r="N58" s="7"/>
      <x:c r="O58" s="2" t="str">
        <x:f>IF(A58="","",IF(COUNTIFS($A$7:$A$1506,A58)&gt;1,"Buchung-ID doppelt",IF(OR(NOT(ISNUMBER(B58)),C58="",NOT(ISNUMBER(F58)),H58="",L58=""),"Pflichtangaben fehlen",IF(COUNTIFS('Konten'!$A$7:$A$26,C58)&lt;&gt;1,"Konto nicht eindeutig",IF(J58&lt;&gt;"Ja","Zuordnung bestätigen",IF(OR(AND(H58="Einnahme",F58&lt;0),AND(H58="Ausgabe",F58&gt;0)),"Vorzeichen prüfen",IF(AND(H58="Umbuchung",OR(K58="",COUNTIFS($A$7:$A$1506,K58)&lt;&gt;1)),"Gegenbuchung fehlt",IF(AND(H58="Umbuchung",ROUND(SUMIFS($F$7:$F$1506,$A$7:$A$1506,K58)+F58,2)&lt;&gt;0),"Umbuchung abweichend",IF(OR(G58="",M58="",M58="offen",M58="teilbelegt",H58="Ungeklärt",H58="Bargeld"),"Beleg / Verwendung klären","vollständig erfasst")))))))))</x:f>
      </x:c>
    </x:row>
    <x:row r="59" ht="22" customHeight="1">
      <x:c r="A59" s="7"/>
      <x:c r="B59" s="8"/>
      <x:c r="C59" s="7"/>
      <x:c r="D59" s="7"/>
      <x:c r="E59" s="7"/>
      <x:c r="F59" s="20"/>
      <x:c r="G59" s="7"/>
      <x:c r="H59" s="7"/>
      <x:c r="I59" s="7"/>
      <x:c r="J59" s="7"/>
      <x:c r="K59" s="7"/>
      <x:c r="L59" s="7"/>
      <x:c r="M59" s="7"/>
      <x:c r="N59" s="7"/>
      <x:c r="O59" s="2" t="str">
        <x:f>IF(A59="","",IF(COUNTIFS($A$7:$A$1506,A59)&gt;1,"Buchung-ID doppelt",IF(OR(NOT(ISNUMBER(B59)),C59="",NOT(ISNUMBER(F59)),H59="",L59=""),"Pflichtangaben fehlen",IF(COUNTIFS('Konten'!$A$7:$A$26,C59)&lt;&gt;1,"Konto nicht eindeutig",IF(J59&lt;&gt;"Ja","Zuordnung bestätigen",IF(OR(AND(H59="Einnahme",F59&lt;0),AND(H59="Ausgabe",F59&gt;0)),"Vorzeichen prüfen",IF(AND(H59="Umbuchung",OR(K59="",COUNTIFS($A$7:$A$1506,K59)&lt;&gt;1)),"Gegenbuchung fehlt",IF(AND(H59="Umbuchung",ROUND(SUMIFS($F$7:$F$1506,$A$7:$A$1506,K59)+F59,2)&lt;&gt;0),"Umbuchung abweichend",IF(OR(G59="",M59="",M59="offen",M59="teilbelegt",H59="Ungeklärt",H59="Bargeld"),"Beleg / Verwendung klären","vollständig erfasst")))))))))</x:f>
      </x:c>
    </x:row>
    <x:row r="60" ht="22" customHeight="1">
      <x:c r="A60" s="7"/>
      <x:c r="B60" s="8"/>
      <x:c r="C60" s="7"/>
      <x:c r="D60" s="7"/>
      <x:c r="E60" s="7"/>
      <x:c r="F60" s="20"/>
      <x:c r="G60" s="7"/>
      <x:c r="H60" s="7"/>
      <x:c r="I60" s="7"/>
      <x:c r="J60" s="7"/>
      <x:c r="K60" s="7"/>
      <x:c r="L60" s="7"/>
      <x:c r="M60" s="7"/>
      <x:c r="N60" s="7"/>
      <x:c r="O60" s="2" t="str">
        <x:f>IF(A60="","",IF(COUNTIFS($A$7:$A$1506,A60)&gt;1,"Buchung-ID doppelt",IF(OR(NOT(ISNUMBER(B60)),C60="",NOT(ISNUMBER(F60)),H60="",L60=""),"Pflichtangaben fehlen",IF(COUNTIFS('Konten'!$A$7:$A$26,C60)&lt;&gt;1,"Konto nicht eindeutig",IF(J60&lt;&gt;"Ja","Zuordnung bestätigen",IF(OR(AND(H60="Einnahme",F60&lt;0),AND(H60="Ausgabe",F60&gt;0)),"Vorzeichen prüfen",IF(AND(H60="Umbuchung",OR(K60="",COUNTIFS($A$7:$A$1506,K60)&lt;&gt;1)),"Gegenbuchung fehlt",IF(AND(H60="Umbuchung",ROUND(SUMIFS($F$7:$F$1506,$A$7:$A$1506,K60)+F60,2)&lt;&gt;0),"Umbuchung abweichend",IF(OR(G60="",M60="",M60="offen",M60="teilbelegt",H60="Ungeklärt",H60="Bargeld"),"Beleg / Verwendung klären","vollständig erfasst")))))))))</x:f>
      </x:c>
    </x:row>
    <x:row r="61" ht="22" customHeight="1">
      <x:c r="A61" s="7"/>
      <x:c r="B61" s="8"/>
      <x:c r="C61" s="7"/>
      <x:c r="D61" s="7"/>
      <x:c r="E61" s="7"/>
      <x:c r="F61" s="20"/>
      <x:c r="G61" s="7"/>
      <x:c r="H61" s="7"/>
      <x:c r="I61" s="7"/>
      <x:c r="J61" s="7"/>
      <x:c r="K61" s="7"/>
      <x:c r="L61" s="7"/>
      <x:c r="M61" s="7"/>
      <x:c r="N61" s="7"/>
      <x:c r="O61" s="2" t="str">
        <x:f>IF(A61="","",IF(COUNTIFS($A$7:$A$1506,A61)&gt;1,"Buchung-ID doppelt",IF(OR(NOT(ISNUMBER(B61)),C61="",NOT(ISNUMBER(F61)),H61="",L61=""),"Pflichtangaben fehlen",IF(COUNTIFS('Konten'!$A$7:$A$26,C61)&lt;&gt;1,"Konto nicht eindeutig",IF(J61&lt;&gt;"Ja","Zuordnung bestätigen",IF(OR(AND(H61="Einnahme",F61&lt;0),AND(H61="Ausgabe",F61&gt;0)),"Vorzeichen prüfen",IF(AND(H61="Umbuchung",OR(K61="",COUNTIFS($A$7:$A$1506,K61)&lt;&gt;1)),"Gegenbuchung fehlt",IF(AND(H61="Umbuchung",ROUND(SUMIFS($F$7:$F$1506,$A$7:$A$1506,K61)+F61,2)&lt;&gt;0),"Umbuchung abweichend",IF(OR(G61="",M61="",M61="offen",M61="teilbelegt",H61="Ungeklärt",H61="Bargeld"),"Beleg / Verwendung klären","vollständig erfasst")))))))))</x:f>
      </x:c>
    </x:row>
    <x:row r="62" ht="22" customHeight="1">
      <x:c r="A62" s="7"/>
      <x:c r="B62" s="8"/>
      <x:c r="C62" s="7"/>
      <x:c r="D62" s="7"/>
      <x:c r="E62" s="7"/>
      <x:c r="F62" s="20"/>
      <x:c r="G62" s="7"/>
      <x:c r="H62" s="7"/>
      <x:c r="I62" s="7"/>
      <x:c r="J62" s="7"/>
      <x:c r="K62" s="7"/>
      <x:c r="L62" s="7"/>
      <x:c r="M62" s="7"/>
      <x:c r="N62" s="7"/>
      <x:c r="O62" s="2" t="str">
        <x:f>IF(A62="","",IF(COUNTIFS($A$7:$A$1506,A62)&gt;1,"Buchung-ID doppelt",IF(OR(NOT(ISNUMBER(B62)),C62="",NOT(ISNUMBER(F62)),H62="",L62=""),"Pflichtangaben fehlen",IF(COUNTIFS('Konten'!$A$7:$A$26,C62)&lt;&gt;1,"Konto nicht eindeutig",IF(J62&lt;&gt;"Ja","Zuordnung bestätigen",IF(OR(AND(H62="Einnahme",F62&lt;0),AND(H62="Ausgabe",F62&gt;0)),"Vorzeichen prüfen",IF(AND(H62="Umbuchung",OR(K62="",COUNTIFS($A$7:$A$1506,K62)&lt;&gt;1)),"Gegenbuchung fehlt",IF(AND(H62="Umbuchung",ROUND(SUMIFS($F$7:$F$1506,$A$7:$A$1506,K62)+F62,2)&lt;&gt;0),"Umbuchung abweichend",IF(OR(G62="",M62="",M62="offen",M62="teilbelegt",H62="Ungeklärt",H62="Bargeld"),"Beleg / Verwendung klären","vollständig erfasst")))))))))</x:f>
      </x:c>
    </x:row>
    <x:row r="63" ht="22" customHeight="1">
      <x:c r="A63" s="7"/>
      <x:c r="B63" s="8"/>
      <x:c r="C63" s="7"/>
      <x:c r="D63" s="7"/>
      <x:c r="E63" s="7"/>
      <x:c r="F63" s="20"/>
      <x:c r="G63" s="7"/>
      <x:c r="H63" s="7"/>
      <x:c r="I63" s="7"/>
      <x:c r="J63" s="7"/>
      <x:c r="K63" s="7"/>
      <x:c r="L63" s="7"/>
      <x:c r="M63" s="7"/>
      <x:c r="N63" s="7"/>
      <x:c r="O63" s="2" t="str">
        <x:f>IF(A63="","",IF(COUNTIFS($A$7:$A$1506,A63)&gt;1,"Buchung-ID doppelt",IF(OR(NOT(ISNUMBER(B63)),C63="",NOT(ISNUMBER(F63)),H63="",L63=""),"Pflichtangaben fehlen",IF(COUNTIFS('Konten'!$A$7:$A$26,C63)&lt;&gt;1,"Konto nicht eindeutig",IF(J63&lt;&gt;"Ja","Zuordnung bestätigen",IF(OR(AND(H63="Einnahme",F63&lt;0),AND(H63="Ausgabe",F63&gt;0)),"Vorzeichen prüfen",IF(AND(H63="Umbuchung",OR(K63="",COUNTIFS($A$7:$A$1506,K63)&lt;&gt;1)),"Gegenbuchung fehlt",IF(AND(H63="Umbuchung",ROUND(SUMIFS($F$7:$F$1506,$A$7:$A$1506,K63)+F63,2)&lt;&gt;0),"Umbuchung abweichend",IF(OR(G63="",M63="",M63="offen",M63="teilbelegt",H63="Ungeklärt",H63="Bargeld"),"Beleg / Verwendung klären","vollständig erfasst")))))))))</x:f>
      </x:c>
    </x:row>
    <x:row r="64" ht="22" customHeight="1">
      <x:c r="A64" s="7"/>
      <x:c r="B64" s="8"/>
      <x:c r="C64" s="7"/>
      <x:c r="D64" s="7"/>
      <x:c r="E64" s="7"/>
      <x:c r="F64" s="20"/>
      <x:c r="G64" s="7"/>
      <x:c r="H64" s="7"/>
      <x:c r="I64" s="7"/>
      <x:c r="J64" s="7"/>
      <x:c r="K64" s="7"/>
      <x:c r="L64" s="7"/>
      <x:c r="M64" s="7"/>
      <x:c r="N64" s="7"/>
      <x:c r="O64" s="2" t="str">
        <x:f>IF(A64="","",IF(COUNTIFS($A$7:$A$1506,A64)&gt;1,"Buchung-ID doppelt",IF(OR(NOT(ISNUMBER(B64)),C64="",NOT(ISNUMBER(F64)),H64="",L64=""),"Pflichtangaben fehlen",IF(COUNTIFS('Konten'!$A$7:$A$26,C64)&lt;&gt;1,"Konto nicht eindeutig",IF(J64&lt;&gt;"Ja","Zuordnung bestätigen",IF(OR(AND(H64="Einnahme",F64&lt;0),AND(H64="Ausgabe",F64&gt;0)),"Vorzeichen prüfen",IF(AND(H64="Umbuchung",OR(K64="",COUNTIFS($A$7:$A$1506,K64)&lt;&gt;1)),"Gegenbuchung fehlt",IF(AND(H64="Umbuchung",ROUND(SUMIFS($F$7:$F$1506,$A$7:$A$1506,K64)+F64,2)&lt;&gt;0),"Umbuchung abweichend",IF(OR(G64="",M64="",M64="offen",M64="teilbelegt",H64="Ungeklärt",H64="Bargeld"),"Beleg / Verwendung klären","vollständig erfasst")))))))))</x:f>
      </x:c>
    </x:row>
    <x:row r="65" ht="22" customHeight="1">
      <x:c r="A65" s="7"/>
      <x:c r="B65" s="8"/>
      <x:c r="C65" s="7"/>
      <x:c r="D65" s="7"/>
      <x:c r="E65" s="7"/>
      <x:c r="F65" s="20"/>
      <x:c r="G65" s="7"/>
      <x:c r="H65" s="7"/>
      <x:c r="I65" s="7"/>
      <x:c r="J65" s="7"/>
      <x:c r="K65" s="7"/>
      <x:c r="L65" s="7"/>
      <x:c r="M65" s="7"/>
      <x:c r="N65" s="7"/>
      <x:c r="O65" s="2" t="str">
        <x:f>IF(A65="","",IF(COUNTIFS($A$7:$A$1506,A65)&gt;1,"Buchung-ID doppelt",IF(OR(NOT(ISNUMBER(B65)),C65="",NOT(ISNUMBER(F65)),H65="",L65=""),"Pflichtangaben fehlen",IF(COUNTIFS('Konten'!$A$7:$A$26,C65)&lt;&gt;1,"Konto nicht eindeutig",IF(J65&lt;&gt;"Ja","Zuordnung bestätigen",IF(OR(AND(H65="Einnahme",F65&lt;0),AND(H65="Ausgabe",F65&gt;0)),"Vorzeichen prüfen",IF(AND(H65="Umbuchung",OR(K65="",COUNTIFS($A$7:$A$1506,K65)&lt;&gt;1)),"Gegenbuchung fehlt",IF(AND(H65="Umbuchung",ROUND(SUMIFS($F$7:$F$1506,$A$7:$A$1506,K65)+F65,2)&lt;&gt;0),"Umbuchung abweichend",IF(OR(G65="",M65="",M65="offen",M65="teilbelegt",H65="Ungeklärt",H65="Bargeld"),"Beleg / Verwendung klären","vollständig erfasst")))))))))</x:f>
      </x:c>
    </x:row>
    <x:row r="66" ht="22" customHeight="1">
      <x:c r="A66" s="7"/>
      <x:c r="B66" s="8"/>
      <x:c r="C66" s="7"/>
      <x:c r="D66" s="7"/>
      <x:c r="E66" s="7"/>
      <x:c r="F66" s="20"/>
      <x:c r="G66" s="7"/>
      <x:c r="H66" s="7"/>
      <x:c r="I66" s="7"/>
      <x:c r="J66" s="7"/>
      <x:c r="K66" s="7"/>
      <x:c r="L66" s="7"/>
      <x:c r="M66" s="7"/>
      <x:c r="N66" s="7"/>
      <x:c r="O66" s="2" t="str">
        <x:f>IF(A66="","",IF(COUNTIFS($A$7:$A$1506,A66)&gt;1,"Buchung-ID doppelt",IF(OR(NOT(ISNUMBER(B66)),C66="",NOT(ISNUMBER(F66)),H66="",L66=""),"Pflichtangaben fehlen",IF(COUNTIFS('Konten'!$A$7:$A$26,C66)&lt;&gt;1,"Konto nicht eindeutig",IF(J66&lt;&gt;"Ja","Zuordnung bestätigen",IF(OR(AND(H66="Einnahme",F66&lt;0),AND(H66="Ausgabe",F66&gt;0)),"Vorzeichen prüfen",IF(AND(H66="Umbuchung",OR(K66="",COUNTIFS($A$7:$A$1506,K66)&lt;&gt;1)),"Gegenbuchung fehlt",IF(AND(H66="Umbuchung",ROUND(SUMIFS($F$7:$F$1506,$A$7:$A$1506,K66)+F66,2)&lt;&gt;0),"Umbuchung abweichend",IF(OR(G66="",M66="",M66="offen",M66="teilbelegt",H66="Ungeklärt",H66="Bargeld"),"Beleg / Verwendung klären","vollständig erfasst")))))))))</x:f>
      </x:c>
    </x:row>
    <x:row r="67" ht="22" customHeight="1">
      <x:c r="A67" s="7"/>
      <x:c r="B67" s="8"/>
      <x:c r="C67" s="7"/>
      <x:c r="D67" s="7"/>
      <x:c r="E67" s="7"/>
      <x:c r="F67" s="20"/>
      <x:c r="G67" s="7"/>
      <x:c r="H67" s="7"/>
      <x:c r="I67" s="7"/>
      <x:c r="J67" s="7"/>
      <x:c r="K67" s="7"/>
      <x:c r="L67" s="7"/>
      <x:c r="M67" s="7"/>
      <x:c r="N67" s="7"/>
      <x:c r="O67" s="2" t="str">
        <x:f>IF(A67="","",IF(COUNTIFS($A$7:$A$1506,A67)&gt;1,"Buchung-ID doppelt",IF(OR(NOT(ISNUMBER(B67)),C67="",NOT(ISNUMBER(F67)),H67="",L67=""),"Pflichtangaben fehlen",IF(COUNTIFS('Konten'!$A$7:$A$26,C67)&lt;&gt;1,"Konto nicht eindeutig",IF(J67&lt;&gt;"Ja","Zuordnung bestätigen",IF(OR(AND(H67="Einnahme",F67&lt;0),AND(H67="Ausgabe",F67&gt;0)),"Vorzeichen prüfen",IF(AND(H67="Umbuchung",OR(K67="",COUNTIFS($A$7:$A$1506,K67)&lt;&gt;1)),"Gegenbuchung fehlt",IF(AND(H67="Umbuchung",ROUND(SUMIFS($F$7:$F$1506,$A$7:$A$1506,K67)+F67,2)&lt;&gt;0),"Umbuchung abweichend",IF(OR(G67="",M67="",M67="offen",M67="teilbelegt",H67="Ungeklärt",H67="Bargeld"),"Beleg / Verwendung klären","vollständig erfasst")))))))))</x:f>
      </x:c>
    </x:row>
    <x:row r="68" ht="22" customHeight="1">
      <x:c r="A68" s="7"/>
      <x:c r="B68" s="8"/>
      <x:c r="C68" s="7"/>
      <x:c r="D68" s="7"/>
      <x:c r="E68" s="7"/>
      <x:c r="F68" s="20"/>
      <x:c r="G68" s="7"/>
      <x:c r="H68" s="7"/>
      <x:c r="I68" s="7"/>
      <x:c r="J68" s="7"/>
      <x:c r="K68" s="7"/>
      <x:c r="L68" s="7"/>
      <x:c r="M68" s="7"/>
      <x:c r="N68" s="7"/>
      <x:c r="O68" s="2" t="str">
        <x:f>IF(A68="","",IF(COUNTIFS($A$7:$A$1506,A68)&gt;1,"Buchung-ID doppelt",IF(OR(NOT(ISNUMBER(B68)),C68="",NOT(ISNUMBER(F68)),H68="",L68=""),"Pflichtangaben fehlen",IF(COUNTIFS('Konten'!$A$7:$A$26,C68)&lt;&gt;1,"Konto nicht eindeutig",IF(J68&lt;&gt;"Ja","Zuordnung bestätigen",IF(OR(AND(H68="Einnahme",F68&lt;0),AND(H68="Ausgabe",F68&gt;0)),"Vorzeichen prüfen",IF(AND(H68="Umbuchung",OR(K68="",COUNTIFS($A$7:$A$1506,K68)&lt;&gt;1)),"Gegenbuchung fehlt",IF(AND(H68="Umbuchung",ROUND(SUMIFS($F$7:$F$1506,$A$7:$A$1506,K68)+F68,2)&lt;&gt;0),"Umbuchung abweichend",IF(OR(G68="",M68="",M68="offen",M68="teilbelegt",H68="Ungeklärt",H68="Bargeld"),"Beleg / Verwendung klären","vollständig erfasst")))))))))</x:f>
      </x:c>
    </x:row>
    <x:row r="69" ht="22" customHeight="1">
      <x:c r="A69" s="7"/>
      <x:c r="B69" s="8"/>
      <x:c r="C69" s="7"/>
      <x:c r="D69" s="7"/>
      <x:c r="E69" s="7"/>
      <x:c r="F69" s="20"/>
      <x:c r="G69" s="7"/>
      <x:c r="H69" s="7"/>
      <x:c r="I69" s="7"/>
      <x:c r="J69" s="7"/>
      <x:c r="K69" s="7"/>
      <x:c r="L69" s="7"/>
      <x:c r="M69" s="7"/>
      <x:c r="N69" s="7"/>
      <x:c r="O69" s="2" t="str">
        <x:f>IF(A69="","",IF(COUNTIFS($A$7:$A$1506,A69)&gt;1,"Buchung-ID doppelt",IF(OR(NOT(ISNUMBER(B69)),C69="",NOT(ISNUMBER(F69)),H69="",L69=""),"Pflichtangaben fehlen",IF(COUNTIFS('Konten'!$A$7:$A$26,C69)&lt;&gt;1,"Konto nicht eindeutig",IF(J69&lt;&gt;"Ja","Zuordnung bestätigen",IF(OR(AND(H69="Einnahme",F69&lt;0),AND(H69="Ausgabe",F69&gt;0)),"Vorzeichen prüfen",IF(AND(H69="Umbuchung",OR(K69="",COUNTIFS($A$7:$A$1506,K69)&lt;&gt;1)),"Gegenbuchung fehlt",IF(AND(H69="Umbuchung",ROUND(SUMIFS($F$7:$F$1506,$A$7:$A$1506,K69)+F69,2)&lt;&gt;0),"Umbuchung abweichend",IF(OR(G69="",M69="",M69="offen",M69="teilbelegt",H69="Ungeklärt",H69="Bargeld"),"Beleg / Verwendung klären","vollständig erfasst")))))))))</x:f>
      </x:c>
    </x:row>
    <x:row r="70" ht="22" customHeight="1">
      <x:c r="A70" s="7"/>
      <x:c r="B70" s="8"/>
      <x:c r="C70" s="7"/>
      <x:c r="D70" s="7"/>
      <x:c r="E70" s="7"/>
      <x:c r="F70" s="20"/>
      <x:c r="G70" s="7"/>
      <x:c r="H70" s="7"/>
      <x:c r="I70" s="7"/>
      <x:c r="J70" s="7"/>
      <x:c r="K70" s="7"/>
      <x:c r="L70" s="7"/>
      <x:c r="M70" s="7"/>
      <x:c r="N70" s="7"/>
      <x:c r="O70" s="2" t="str">
        <x:f>IF(A70="","",IF(COUNTIFS($A$7:$A$1506,A70)&gt;1,"Buchung-ID doppelt",IF(OR(NOT(ISNUMBER(B70)),C70="",NOT(ISNUMBER(F70)),H70="",L70=""),"Pflichtangaben fehlen",IF(COUNTIFS('Konten'!$A$7:$A$26,C70)&lt;&gt;1,"Konto nicht eindeutig",IF(J70&lt;&gt;"Ja","Zuordnung bestätigen",IF(OR(AND(H70="Einnahme",F70&lt;0),AND(H70="Ausgabe",F70&gt;0)),"Vorzeichen prüfen",IF(AND(H70="Umbuchung",OR(K70="",COUNTIFS($A$7:$A$1506,K70)&lt;&gt;1)),"Gegenbuchung fehlt",IF(AND(H70="Umbuchung",ROUND(SUMIFS($F$7:$F$1506,$A$7:$A$1506,K70)+F70,2)&lt;&gt;0),"Umbuchung abweichend",IF(OR(G70="",M70="",M70="offen",M70="teilbelegt",H70="Ungeklärt",H70="Bargeld"),"Beleg / Verwendung klären","vollständig erfasst")))))))))</x:f>
      </x:c>
    </x:row>
    <x:row r="71" ht="22" customHeight="1">
      <x:c r="A71" s="7"/>
      <x:c r="B71" s="8"/>
      <x:c r="C71" s="7"/>
      <x:c r="D71" s="7"/>
      <x:c r="E71" s="7"/>
      <x:c r="F71" s="20"/>
      <x:c r="G71" s="7"/>
      <x:c r="H71" s="7"/>
      <x:c r="I71" s="7"/>
      <x:c r="J71" s="7"/>
      <x:c r="K71" s="7"/>
      <x:c r="L71" s="7"/>
      <x:c r="M71" s="7"/>
      <x:c r="N71" s="7"/>
      <x:c r="O71" s="2" t="str">
        <x:f>IF(A71="","",IF(COUNTIFS($A$7:$A$1506,A71)&gt;1,"Buchung-ID doppelt",IF(OR(NOT(ISNUMBER(B71)),C71="",NOT(ISNUMBER(F71)),H71="",L71=""),"Pflichtangaben fehlen",IF(COUNTIFS('Konten'!$A$7:$A$26,C71)&lt;&gt;1,"Konto nicht eindeutig",IF(J71&lt;&gt;"Ja","Zuordnung bestätigen",IF(OR(AND(H71="Einnahme",F71&lt;0),AND(H71="Ausgabe",F71&gt;0)),"Vorzeichen prüfen",IF(AND(H71="Umbuchung",OR(K71="",COUNTIFS($A$7:$A$1506,K71)&lt;&gt;1)),"Gegenbuchung fehlt",IF(AND(H71="Umbuchung",ROUND(SUMIFS($F$7:$F$1506,$A$7:$A$1506,K71)+F71,2)&lt;&gt;0),"Umbuchung abweichend",IF(OR(G71="",M71="",M71="offen",M71="teilbelegt",H71="Ungeklärt",H71="Bargeld"),"Beleg / Verwendung klären","vollständig erfasst")))))))))</x:f>
      </x:c>
    </x:row>
    <x:row r="72" ht="22" customHeight="1">
      <x:c r="A72" s="7"/>
      <x:c r="B72" s="8"/>
      <x:c r="C72" s="7"/>
      <x:c r="D72" s="7"/>
      <x:c r="E72" s="7"/>
      <x:c r="F72" s="20"/>
      <x:c r="G72" s="7"/>
      <x:c r="H72" s="7"/>
      <x:c r="I72" s="7"/>
      <x:c r="J72" s="7"/>
      <x:c r="K72" s="7"/>
      <x:c r="L72" s="7"/>
      <x:c r="M72" s="7"/>
      <x:c r="N72" s="7"/>
      <x:c r="O72" s="2" t="str">
        <x:f>IF(A72="","",IF(COUNTIFS($A$7:$A$1506,A72)&gt;1,"Buchung-ID doppelt",IF(OR(NOT(ISNUMBER(B72)),C72="",NOT(ISNUMBER(F72)),H72="",L72=""),"Pflichtangaben fehlen",IF(COUNTIFS('Konten'!$A$7:$A$26,C72)&lt;&gt;1,"Konto nicht eindeutig",IF(J72&lt;&gt;"Ja","Zuordnung bestätigen",IF(OR(AND(H72="Einnahme",F72&lt;0),AND(H72="Ausgabe",F72&gt;0)),"Vorzeichen prüfen",IF(AND(H72="Umbuchung",OR(K72="",COUNTIFS($A$7:$A$1506,K72)&lt;&gt;1)),"Gegenbuchung fehlt",IF(AND(H72="Umbuchung",ROUND(SUMIFS($F$7:$F$1506,$A$7:$A$1506,K72)+F72,2)&lt;&gt;0),"Umbuchung abweichend",IF(OR(G72="",M72="",M72="offen",M72="teilbelegt",H72="Ungeklärt",H72="Bargeld"),"Beleg / Verwendung klären","vollständig erfasst")))))))))</x:f>
      </x:c>
    </x:row>
    <x:row r="73" ht="22" customHeight="1">
      <x:c r="A73" s="7"/>
      <x:c r="B73" s="8"/>
      <x:c r="C73" s="7"/>
      <x:c r="D73" s="7"/>
      <x:c r="E73" s="7"/>
      <x:c r="F73" s="20"/>
      <x:c r="G73" s="7"/>
      <x:c r="H73" s="7"/>
      <x:c r="I73" s="7"/>
      <x:c r="J73" s="7"/>
      <x:c r="K73" s="7"/>
      <x:c r="L73" s="7"/>
      <x:c r="M73" s="7"/>
      <x:c r="N73" s="7"/>
      <x:c r="O73" s="2" t="str">
        <x:f>IF(A73="","",IF(COUNTIFS($A$7:$A$1506,A73)&gt;1,"Buchung-ID doppelt",IF(OR(NOT(ISNUMBER(B73)),C73="",NOT(ISNUMBER(F73)),H73="",L73=""),"Pflichtangaben fehlen",IF(COUNTIFS('Konten'!$A$7:$A$26,C73)&lt;&gt;1,"Konto nicht eindeutig",IF(J73&lt;&gt;"Ja","Zuordnung bestätigen",IF(OR(AND(H73="Einnahme",F73&lt;0),AND(H73="Ausgabe",F73&gt;0)),"Vorzeichen prüfen",IF(AND(H73="Umbuchung",OR(K73="",COUNTIFS($A$7:$A$1506,K73)&lt;&gt;1)),"Gegenbuchung fehlt",IF(AND(H73="Umbuchung",ROUND(SUMIFS($F$7:$F$1506,$A$7:$A$1506,K73)+F73,2)&lt;&gt;0),"Umbuchung abweichend",IF(OR(G73="",M73="",M73="offen",M73="teilbelegt",H73="Ungeklärt",H73="Bargeld"),"Beleg / Verwendung klären","vollständig erfasst")))))))))</x:f>
      </x:c>
    </x:row>
    <x:row r="74" ht="22" customHeight="1">
      <x:c r="A74" s="7"/>
      <x:c r="B74" s="8"/>
      <x:c r="C74" s="7"/>
      <x:c r="D74" s="7"/>
      <x:c r="E74" s="7"/>
      <x:c r="F74" s="20"/>
      <x:c r="G74" s="7"/>
      <x:c r="H74" s="7"/>
      <x:c r="I74" s="7"/>
      <x:c r="J74" s="7"/>
      <x:c r="K74" s="7"/>
      <x:c r="L74" s="7"/>
      <x:c r="M74" s="7"/>
      <x:c r="N74" s="7"/>
      <x:c r="O74" s="2" t="str">
        <x:f>IF(A74="","",IF(COUNTIFS($A$7:$A$1506,A74)&gt;1,"Buchung-ID doppelt",IF(OR(NOT(ISNUMBER(B74)),C74="",NOT(ISNUMBER(F74)),H74="",L74=""),"Pflichtangaben fehlen",IF(COUNTIFS('Konten'!$A$7:$A$26,C74)&lt;&gt;1,"Konto nicht eindeutig",IF(J74&lt;&gt;"Ja","Zuordnung bestätigen",IF(OR(AND(H74="Einnahme",F74&lt;0),AND(H74="Ausgabe",F74&gt;0)),"Vorzeichen prüfen",IF(AND(H74="Umbuchung",OR(K74="",COUNTIFS($A$7:$A$1506,K74)&lt;&gt;1)),"Gegenbuchung fehlt",IF(AND(H74="Umbuchung",ROUND(SUMIFS($F$7:$F$1506,$A$7:$A$1506,K74)+F74,2)&lt;&gt;0),"Umbuchung abweichend",IF(OR(G74="",M74="",M74="offen",M74="teilbelegt",H74="Ungeklärt",H74="Bargeld"),"Beleg / Verwendung klären","vollständig erfasst")))))))))</x:f>
      </x:c>
    </x:row>
    <x:row r="75" ht="22" customHeight="1">
      <x:c r="A75" s="7"/>
      <x:c r="B75" s="8"/>
      <x:c r="C75" s="7"/>
      <x:c r="D75" s="7"/>
      <x:c r="E75" s="7"/>
      <x:c r="F75" s="20"/>
      <x:c r="G75" s="7"/>
      <x:c r="H75" s="7"/>
      <x:c r="I75" s="7"/>
      <x:c r="J75" s="7"/>
      <x:c r="K75" s="7"/>
      <x:c r="L75" s="7"/>
      <x:c r="M75" s="7"/>
      <x:c r="N75" s="7"/>
      <x:c r="O75" s="2" t="str">
        <x:f>IF(A75="","",IF(COUNTIFS($A$7:$A$1506,A75)&gt;1,"Buchung-ID doppelt",IF(OR(NOT(ISNUMBER(B75)),C75="",NOT(ISNUMBER(F75)),H75="",L75=""),"Pflichtangaben fehlen",IF(COUNTIFS('Konten'!$A$7:$A$26,C75)&lt;&gt;1,"Konto nicht eindeutig",IF(J75&lt;&gt;"Ja","Zuordnung bestätigen",IF(OR(AND(H75="Einnahme",F75&lt;0),AND(H75="Ausgabe",F75&gt;0)),"Vorzeichen prüfen",IF(AND(H75="Umbuchung",OR(K75="",COUNTIFS($A$7:$A$1506,K75)&lt;&gt;1)),"Gegenbuchung fehlt",IF(AND(H75="Umbuchung",ROUND(SUMIFS($F$7:$F$1506,$A$7:$A$1506,K75)+F75,2)&lt;&gt;0),"Umbuchung abweichend",IF(OR(G75="",M75="",M75="offen",M75="teilbelegt",H75="Ungeklärt",H75="Bargeld"),"Beleg / Verwendung klären","vollständig erfasst")))))))))</x:f>
      </x:c>
    </x:row>
    <x:row r="76" ht="22" customHeight="1">
      <x:c r="A76" s="7"/>
      <x:c r="B76" s="8"/>
      <x:c r="C76" s="7"/>
      <x:c r="D76" s="7"/>
      <x:c r="E76" s="7"/>
      <x:c r="F76" s="20"/>
      <x:c r="G76" s="7"/>
      <x:c r="H76" s="7"/>
      <x:c r="I76" s="7"/>
      <x:c r="J76" s="7"/>
      <x:c r="K76" s="7"/>
      <x:c r="L76" s="7"/>
      <x:c r="M76" s="7"/>
      <x:c r="N76" s="7"/>
      <x:c r="O76" s="2" t="str">
        <x:f>IF(A76="","",IF(COUNTIFS($A$7:$A$1506,A76)&gt;1,"Buchung-ID doppelt",IF(OR(NOT(ISNUMBER(B76)),C76="",NOT(ISNUMBER(F76)),H76="",L76=""),"Pflichtangaben fehlen",IF(COUNTIFS('Konten'!$A$7:$A$26,C76)&lt;&gt;1,"Konto nicht eindeutig",IF(J76&lt;&gt;"Ja","Zuordnung bestätigen",IF(OR(AND(H76="Einnahme",F76&lt;0),AND(H76="Ausgabe",F76&gt;0)),"Vorzeichen prüfen",IF(AND(H76="Umbuchung",OR(K76="",COUNTIFS($A$7:$A$1506,K76)&lt;&gt;1)),"Gegenbuchung fehlt",IF(AND(H76="Umbuchung",ROUND(SUMIFS($F$7:$F$1506,$A$7:$A$1506,K76)+F76,2)&lt;&gt;0),"Umbuchung abweichend",IF(OR(G76="",M76="",M76="offen",M76="teilbelegt",H76="Ungeklärt",H76="Bargeld"),"Beleg / Verwendung klären","vollständig erfasst")))))))))</x:f>
      </x:c>
    </x:row>
    <x:row r="77" ht="22" customHeight="1">
      <x:c r="A77" s="7"/>
      <x:c r="B77" s="8"/>
      <x:c r="C77" s="7"/>
      <x:c r="D77" s="7"/>
      <x:c r="E77" s="7"/>
      <x:c r="F77" s="20"/>
      <x:c r="G77" s="7"/>
      <x:c r="H77" s="7"/>
      <x:c r="I77" s="7"/>
      <x:c r="J77" s="7"/>
      <x:c r="K77" s="7"/>
      <x:c r="L77" s="7"/>
      <x:c r="M77" s="7"/>
      <x:c r="N77" s="7"/>
      <x:c r="O77" s="2" t="str">
        <x:f>IF(A77="","",IF(COUNTIFS($A$7:$A$1506,A77)&gt;1,"Buchung-ID doppelt",IF(OR(NOT(ISNUMBER(B77)),C77="",NOT(ISNUMBER(F77)),H77="",L77=""),"Pflichtangaben fehlen",IF(COUNTIFS('Konten'!$A$7:$A$26,C77)&lt;&gt;1,"Konto nicht eindeutig",IF(J77&lt;&gt;"Ja","Zuordnung bestätigen",IF(OR(AND(H77="Einnahme",F77&lt;0),AND(H77="Ausgabe",F77&gt;0)),"Vorzeichen prüfen",IF(AND(H77="Umbuchung",OR(K77="",COUNTIFS($A$7:$A$1506,K77)&lt;&gt;1)),"Gegenbuchung fehlt",IF(AND(H77="Umbuchung",ROUND(SUMIFS($F$7:$F$1506,$A$7:$A$1506,K77)+F77,2)&lt;&gt;0),"Umbuchung abweichend",IF(OR(G77="",M77="",M77="offen",M77="teilbelegt",H77="Ungeklärt",H77="Bargeld"),"Beleg / Verwendung klären","vollständig erfasst")))))))))</x:f>
      </x:c>
    </x:row>
    <x:row r="78" ht="22" customHeight="1">
      <x:c r="A78" s="7"/>
      <x:c r="B78" s="8"/>
      <x:c r="C78" s="7"/>
      <x:c r="D78" s="7"/>
      <x:c r="E78" s="7"/>
      <x:c r="F78" s="20"/>
      <x:c r="G78" s="7"/>
      <x:c r="H78" s="7"/>
      <x:c r="I78" s="7"/>
      <x:c r="J78" s="7"/>
      <x:c r="K78" s="7"/>
      <x:c r="L78" s="7"/>
      <x:c r="M78" s="7"/>
      <x:c r="N78" s="7"/>
      <x:c r="O78" s="2" t="str">
        <x:f>IF(A78="","",IF(COUNTIFS($A$7:$A$1506,A78)&gt;1,"Buchung-ID doppelt",IF(OR(NOT(ISNUMBER(B78)),C78="",NOT(ISNUMBER(F78)),H78="",L78=""),"Pflichtangaben fehlen",IF(COUNTIFS('Konten'!$A$7:$A$26,C78)&lt;&gt;1,"Konto nicht eindeutig",IF(J78&lt;&gt;"Ja","Zuordnung bestätigen",IF(OR(AND(H78="Einnahme",F78&lt;0),AND(H78="Ausgabe",F78&gt;0)),"Vorzeichen prüfen",IF(AND(H78="Umbuchung",OR(K78="",COUNTIFS($A$7:$A$1506,K78)&lt;&gt;1)),"Gegenbuchung fehlt",IF(AND(H78="Umbuchung",ROUND(SUMIFS($F$7:$F$1506,$A$7:$A$1506,K78)+F78,2)&lt;&gt;0),"Umbuchung abweichend",IF(OR(G78="",M78="",M78="offen",M78="teilbelegt",H78="Ungeklärt",H78="Bargeld"),"Beleg / Verwendung klären","vollständig erfasst")))))))))</x:f>
      </x:c>
    </x:row>
    <x:row r="79" ht="22" customHeight="1">
      <x:c r="A79" s="7"/>
      <x:c r="B79" s="8"/>
      <x:c r="C79" s="7"/>
      <x:c r="D79" s="7"/>
      <x:c r="E79" s="7"/>
      <x:c r="F79" s="20"/>
      <x:c r="G79" s="7"/>
      <x:c r="H79" s="7"/>
      <x:c r="I79" s="7"/>
      <x:c r="J79" s="7"/>
      <x:c r="K79" s="7"/>
      <x:c r="L79" s="7"/>
      <x:c r="M79" s="7"/>
      <x:c r="N79" s="7"/>
      <x:c r="O79" s="2" t="str">
        <x:f>IF(A79="","",IF(COUNTIFS($A$7:$A$1506,A79)&gt;1,"Buchung-ID doppelt",IF(OR(NOT(ISNUMBER(B79)),C79="",NOT(ISNUMBER(F79)),H79="",L79=""),"Pflichtangaben fehlen",IF(COUNTIFS('Konten'!$A$7:$A$26,C79)&lt;&gt;1,"Konto nicht eindeutig",IF(J79&lt;&gt;"Ja","Zuordnung bestätigen",IF(OR(AND(H79="Einnahme",F79&lt;0),AND(H79="Ausgabe",F79&gt;0)),"Vorzeichen prüfen",IF(AND(H79="Umbuchung",OR(K79="",COUNTIFS($A$7:$A$1506,K79)&lt;&gt;1)),"Gegenbuchung fehlt",IF(AND(H79="Umbuchung",ROUND(SUMIFS($F$7:$F$1506,$A$7:$A$1506,K79)+F79,2)&lt;&gt;0),"Umbuchung abweichend",IF(OR(G79="",M79="",M79="offen",M79="teilbelegt",H79="Ungeklärt",H79="Bargeld"),"Beleg / Verwendung klären","vollständig erfasst")))))))))</x:f>
      </x:c>
    </x:row>
    <x:row r="80" ht="22" customHeight="1">
      <x:c r="A80" s="7"/>
      <x:c r="B80" s="8"/>
      <x:c r="C80" s="7"/>
      <x:c r="D80" s="7"/>
      <x:c r="E80" s="7"/>
      <x:c r="F80" s="20"/>
      <x:c r="G80" s="7"/>
      <x:c r="H80" s="7"/>
      <x:c r="I80" s="7"/>
      <x:c r="J80" s="7"/>
      <x:c r="K80" s="7"/>
      <x:c r="L80" s="7"/>
      <x:c r="M80" s="7"/>
      <x:c r="N80" s="7"/>
      <x:c r="O80" s="2" t="str">
        <x:f>IF(A80="","",IF(COUNTIFS($A$7:$A$1506,A80)&gt;1,"Buchung-ID doppelt",IF(OR(NOT(ISNUMBER(B80)),C80="",NOT(ISNUMBER(F80)),H80="",L80=""),"Pflichtangaben fehlen",IF(COUNTIFS('Konten'!$A$7:$A$26,C80)&lt;&gt;1,"Konto nicht eindeutig",IF(J80&lt;&gt;"Ja","Zuordnung bestätigen",IF(OR(AND(H80="Einnahme",F80&lt;0),AND(H80="Ausgabe",F80&gt;0)),"Vorzeichen prüfen",IF(AND(H80="Umbuchung",OR(K80="",COUNTIFS($A$7:$A$1506,K80)&lt;&gt;1)),"Gegenbuchung fehlt",IF(AND(H80="Umbuchung",ROUND(SUMIFS($F$7:$F$1506,$A$7:$A$1506,K80)+F80,2)&lt;&gt;0),"Umbuchung abweichend",IF(OR(G80="",M80="",M80="offen",M80="teilbelegt",H80="Ungeklärt",H80="Bargeld"),"Beleg / Verwendung klären","vollständig erfasst")))))))))</x:f>
      </x:c>
    </x:row>
    <x:row r="81" ht="22" customHeight="1">
      <x:c r="A81" s="7"/>
      <x:c r="B81" s="8"/>
      <x:c r="C81" s="7"/>
      <x:c r="D81" s="7"/>
      <x:c r="E81" s="7"/>
      <x:c r="F81" s="20"/>
      <x:c r="G81" s="7"/>
      <x:c r="H81" s="7"/>
      <x:c r="I81" s="7"/>
      <x:c r="J81" s="7"/>
      <x:c r="K81" s="7"/>
      <x:c r="L81" s="7"/>
      <x:c r="M81" s="7"/>
      <x:c r="N81" s="7"/>
      <x:c r="O81" s="2" t="str">
        <x:f>IF(A81="","",IF(COUNTIFS($A$7:$A$1506,A81)&gt;1,"Buchung-ID doppelt",IF(OR(NOT(ISNUMBER(B81)),C81="",NOT(ISNUMBER(F81)),H81="",L81=""),"Pflichtangaben fehlen",IF(COUNTIFS('Konten'!$A$7:$A$26,C81)&lt;&gt;1,"Konto nicht eindeutig",IF(J81&lt;&gt;"Ja","Zuordnung bestätigen",IF(OR(AND(H81="Einnahme",F81&lt;0),AND(H81="Ausgabe",F81&gt;0)),"Vorzeichen prüfen",IF(AND(H81="Umbuchung",OR(K81="",COUNTIFS($A$7:$A$1506,K81)&lt;&gt;1)),"Gegenbuchung fehlt",IF(AND(H81="Umbuchung",ROUND(SUMIFS($F$7:$F$1506,$A$7:$A$1506,K81)+F81,2)&lt;&gt;0),"Umbuchung abweichend",IF(OR(G81="",M81="",M81="offen",M81="teilbelegt",H81="Ungeklärt",H81="Bargeld"),"Beleg / Verwendung klären","vollständig erfasst")))))))))</x:f>
      </x:c>
    </x:row>
    <x:row r="82" ht="22" customHeight="1">
      <x:c r="A82" s="7"/>
      <x:c r="B82" s="8"/>
      <x:c r="C82" s="7"/>
      <x:c r="D82" s="7"/>
      <x:c r="E82" s="7"/>
      <x:c r="F82" s="20"/>
      <x:c r="G82" s="7"/>
      <x:c r="H82" s="7"/>
      <x:c r="I82" s="7"/>
      <x:c r="J82" s="7"/>
      <x:c r="K82" s="7"/>
      <x:c r="L82" s="7"/>
      <x:c r="M82" s="7"/>
      <x:c r="N82" s="7"/>
      <x:c r="O82" s="2" t="str">
        <x:f>IF(A82="","",IF(COUNTIFS($A$7:$A$1506,A82)&gt;1,"Buchung-ID doppelt",IF(OR(NOT(ISNUMBER(B82)),C82="",NOT(ISNUMBER(F82)),H82="",L82=""),"Pflichtangaben fehlen",IF(COUNTIFS('Konten'!$A$7:$A$26,C82)&lt;&gt;1,"Konto nicht eindeutig",IF(J82&lt;&gt;"Ja","Zuordnung bestätigen",IF(OR(AND(H82="Einnahme",F82&lt;0),AND(H82="Ausgabe",F82&gt;0)),"Vorzeichen prüfen",IF(AND(H82="Umbuchung",OR(K82="",COUNTIFS($A$7:$A$1506,K82)&lt;&gt;1)),"Gegenbuchung fehlt",IF(AND(H82="Umbuchung",ROUND(SUMIFS($F$7:$F$1506,$A$7:$A$1506,K82)+F82,2)&lt;&gt;0),"Umbuchung abweichend",IF(OR(G82="",M82="",M82="offen",M82="teilbelegt",H82="Ungeklärt",H82="Bargeld"),"Beleg / Verwendung klären","vollständig erfasst")))))))))</x:f>
      </x:c>
    </x:row>
    <x:row r="83" ht="22" customHeight="1">
      <x:c r="A83" s="7"/>
      <x:c r="B83" s="8"/>
      <x:c r="C83" s="7"/>
      <x:c r="D83" s="7"/>
      <x:c r="E83" s="7"/>
      <x:c r="F83" s="20"/>
      <x:c r="G83" s="7"/>
      <x:c r="H83" s="7"/>
      <x:c r="I83" s="7"/>
      <x:c r="J83" s="7"/>
      <x:c r="K83" s="7"/>
      <x:c r="L83" s="7"/>
      <x:c r="M83" s="7"/>
      <x:c r="N83" s="7"/>
      <x:c r="O83" s="2" t="str">
        <x:f>IF(A83="","",IF(COUNTIFS($A$7:$A$1506,A83)&gt;1,"Buchung-ID doppelt",IF(OR(NOT(ISNUMBER(B83)),C83="",NOT(ISNUMBER(F83)),H83="",L83=""),"Pflichtangaben fehlen",IF(COUNTIFS('Konten'!$A$7:$A$26,C83)&lt;&gt;1,"Konto nicht eindeutig",IF(J83&lt;&gt;"Ja","Zuordnung bestätigen",IF(OR(AND(H83="Einnahme",F83&lt;0),AND(H83="Ausgabe",F83&gt;0)),"Vorzeichen prüfen",IF(AND(H83="Umbuchung",OR(K83="",COUNTIFS($A$7:$A$1506,K83)&lt;&gt;1)),"Gegenbuchung fehlt",IF(AND(H83="Umbuchung",ROUND(SUMIFS($F$7:$F$1506,$A$7:$A$1506,K83)+F83,2)&lt;&gt;0),"Umbuchung abweichend",IF(OR(G83="",M83="",M83="offen",M83="teilbelegt",H83="Ungeklärt",H83="Bargeld"),"Beleg / Verwendung klären","vollständig erfasst")))))))))</x:f>
      </x:c>
    </x:row>
    <x:row r="84" ht="22" customHeight="1">
      <x:c r="A84" s="7"/>
      <x:c r="B84" s="8"/>
      <x:c r="C84" s="7"/>
      <x:c r="D84" s="7"/>
      <x:c r="E84" s="7"/>
      <x:c r="F84" s="20"/>
      <x:c r="G84" s="7"/>
      <x:c r="H84" s="7"/>
      <x:c r="I84" s="7"/>
      <x:c r="J84" s="7"/>
      <x:c r="K84" s="7"/>
      <x:c r="L84" s="7"/>
      <x:c r="M84" s="7"/>
      <x:c r="N84" s="7"/>
      <x:c r="O84" s="2" t="str">
        <x:f>IF(A84="","",IF(COUNTIFS($A$7:$A$1506,A84)&gt;1,"Buchung-ID doppelt",IF(OR(NOT(ISNUMBER(B84)),C84="",NOT(ISNUMBER(F84)),H84="",L84=""),"Pflichtangaben fehlen",IF(COUNTIFS('Konten'!$A$7:$A$26,C84)&lt;&gt;1,"Konto nicht eindeutig",IF(J84&lt;&gt;"Ja","Zuordnung bestätigen",IF(OR(AND(H84="Einnahme",F84&lt;0),AND(H84="Ausgabe",F84&gt;0)),"Vorzeichen prüfen",IF(AND(H84="Umbuchung",OR(K84="",COUNTIFS($A$7:$A$1506,K84)&lt;&gt;1)),"Gegenbuchung fehlt",IF(AND(H84="Umbuchung",ROUND(SUMIFS($F$7:$F$1506,$A$7:$A$1506,K84)+F84,2)&lt;&gt;0),"Umbuchung abweichend",IF(OR(G84="",M84="",M84="offen",M84="teilbelegt",H84="Ungeklärt",H84="Bargeld"),"Beleg / Verwendung klären","vollständig erfasst")))))))))</x:f>
      </x:c>
    </x:row>
    <x:row r="85" ht="22" customHeight="1">
      <x:c r="A85" s="7"/>
      <x:c r="B85" s="8"/>
      <x:c r="C85" s="7"/>
      <x:c r="D85" s="7"/>
      <x:c r="E85" s="7"/>
      <x:c r="F85" s="20"/>
      <x:c r="G85" s="7"/>
      <x:c r="H85" s="7"/>
      <x:c r="I85" s="7"/>
      <x:c r="J85" s="7"/>
      <x:c r="K85" s="7"/>
      <x:c r="L85" s="7"/>
      <x:c r="M85" s="7"/>
      <x:c r="N85" s="7"/>
      <x:c r="O85" s="2" t="str">
        <x:f>IF(A85="","",IF(COUNTIFS($A$7:$A$1506,A85)&gt;1,"Buchung-ID doppelt",IF(OR(NOT(ISNUMBER(B85)),C85="",NOT(ISNUMBER(F85)),H85="",L85=""),"Pflichtangaben fehlen",IF(COUNTIFS('Konten'!$A$7:$A$26,C85)&lt;&gt;1,"Konto nicht eindeutig",IF(J85&lt;&gt;"Ja","Zuordnung bestätigen",IF(OR(AND(H85="Einnahme",F85&lt;0),AND(H85="Ausgabe",F85&gt;0)),"Vorzeichen prüfen",IF(AND(H85="Umbuchung",OR(K85="",COUNTIFS($A$7:$A$1506,K85)&lt;&gt;1)),"Gegenbuchung fehlt",IF(AND(H85="Umbuchung",ROUND(SUMIFS($F$7:$F$1506,$A$7:$A$1506,K85)+F85,2)&lt;&gt;0),"Umbuchung abweichend",IF(OR(G85="",M85="",M85="offen",M85="teilbelegt",H85="Ungeklärt",H85="Bargeld"),"Beleg / Verwendung klären","vollständig erfasst")))))))))</x:f>
      </x:c>
    </x:row>
    <x:row r="86" ht="22" customHeight="1">
      <x:c r="A86" s="7"/>
      <x:c r="B86" s="8"/>
      <x:c r="C86" s="7"/>
      <x:c r="D86" s="7"/>
      <x:c r="E86" s="7"/>
      <x:c r="F86" s="20"/>
      <x:c r="G86" s="7"/>
      <x:c r="H86" s="7"/>
      <x:c r="I86" s="7"/>
      <x:c r="J86" s="7"/>
      <x:c r="K86" s="7"/>
      <x:c r="L86" s="7"/>
      <x:c r="M86" s="7"/>
      <x:c r="N86" s="7"/>
      <x:c r="O86" s="2" t="str">
        <x:f>IF(A86="","",IF(COUNTIFS($A$7:$A$1506,A86)&gt;1,"Buchung-ID doppelt",IF(OR(NOT(ISNUMBER(B86)),C86="",NOT(ISNUMBER(F86)),H86="",L86=""),"Pflichtangaben fehlen",IF(COUNTIFS('Konten'!$A$7:$A$26,C86)&lt;&gt;1,"Konto nicht eindeutig",IF(J86&lt;&gt;"Ja","Zuordnung bestätigen",IF(OR(AND(H86="Einnahme",F86&lt;0),AND(H86="Ausgabe",F86&gt;0)),"Vorzeichen prüfen",IF(AND(H86="Umbuchung",OR(K86="",COUNTIFS($A$7:$A$1506,K86)&lt;&gt;1)),"Gegenbuchung fehlt",IF(AND(H86="Umbuchung",ROUND(SUMIFS($F$7:$F$1506,$A$7:$A$1506,K86)+F86,2)&lt;&gt;0),"Umbuchung abweichend",IF(OR(G86="",M86="",M86="offen",M86="teilbelegt",H86="Ungeklärt",H86="Bargeld"),"Beleg / Verwendung klären","vollständig erfasst")))))))))</x:f>
      </x:c>
    </x:row>
    <x:row r="87" ht="22" customHeight="1">
      <x:c r="A87" s="7"/>
      <x:c r="B87" s="8"/>
      <x:c r="C87" s="7"/>
      <x:c r="D87" s="7"/>
      <x:c r="E87" s="7"/>
      <x:c r="F87" s="20"/>
      <x:c r="G87" s="7"/>
      <x:c r="H87" s="7"/>
      <x:c r="I87" s="7"/>
      <x:c r="J87" s="7"/>
      <x:c r="K87" s="7"/>
      <x:c r="L87" s="7"/>
      <x:c r="M87" s="7"/>
      <x:c r="N87" s="7"/>
      <x:c r="O87" s="2" t="str">
        <x:f>IF(A87="","",IF(COUNTIFS($A$7:$A$1506,A87)&gt;1,"Buchung-ID doppelt",IF(OR(NOT(ISNUMBER(B87)),C87="",NOT(ISNUMBER(F87)),H87="",L87=""),"Pflichtangaben fehlen",IF(COUNTIFS('Konten'!$A$7:$A$26,C87)&lt;&gt;1,"Konto nicht eindeutig",IF(J87&lt;&gt;"Ja","Zuordnung bestätigen",IF(OR(AND(H87="Einnahme",F87&lt;0),AND(H87="Ausgabe",F87&gt;0)),"Vorzeichen prüfen",IF(AND(H87="Umbuchung",OR(K87="",COUNTIFS($A$7:$A$1506,K87)&lt;&gt;1)),"Gegenbuchung fehlt",IF(AND(H87="Umbuchung",ROUND(SUMIFS($F$7:$F$1506,$A$7:$A$1506,K87)+F87,2)&lt;&gt;0),"Umbuchung abweichend",IF(OR(G87="",M87="",M87="offen",M87="teilbelegt",H87="Ungeklärt",H87="Bargeld"),"Beleg / Verwendung klären","vollständig erfasst")))))))))</x:f>
      </x:c>
    </x:row>
    <x:row r="88" ht="22" customHeight="1">
      <x:c r="A88" s="7"/>
      <x:c r="B88" s="8"/>
      <x:c r="C88" s="7"/>
      <x:c r="D88" s="7"/>
      <x:c r="E88" s="7"/>
      <x:c r="F88" s="20"/>
      <x:c r="G88" s="7"/>
      <x:c r="H88" s="7"/>
      <x:c r="I88" s="7"/>
      <x:c r="J88" s="7"/>
      <x:c r="K88" s="7"/>
      <x:c r="L88" s="7"/>
      <x:c r="M88" s="7"/>
      <x:c r="N88" s="7"/>
      <x:c r="O88" s="2" t="str">
        <x:f>IF(A88="","",IF(COUNTIFS($A$7:$A$1506,A88)&gt;1,"Buchung-ID doppelt",IF(OR(NOT(ISNUMBER(B88)),C88="",NOT(ISNUMBER(F88)),H88="",L88=""),"Pflichtangaben fehlen",IF(COUNTIFS('Konten'!$A$7:$A$26,C88)&lt;&gt;1,"Konto nicht eindeutig",IF(J88&lt;&gt;"Ja","Zuordnung bestätigen",IF(OR(AND(H88="Einnahme",F88&lt;0),AND(H88="Ausgabe",F88&gt;0)),"Vorzeichen prüfen",IF(AND(H88="Umbuchung",OR(K88="",COUNTIFS($A$7:$A$1506,K88)&lt;&gt;1)),"Gegenbuchung fehlt",IF(AND(H88="Umbuchung",ROUND(SUMIFS($F$7:$F$1506,$A$7:$A$1506,K88)+F88,2)&lt;&gt;0),"Umbuchung abweichend",IF(OR(G88="",M88="",M88="offen",M88="teilbelegt",H88="Ungeklärt",H88="Bargeld"),"Beleg / Verwendung klären","vollständig erfasst")))))))))</x:f>
      </x:c>
    </x:row>
    <x:row r="89" ht="22" customHeight="1">
      <x:c r="A89" s="7"/>
      <x:c r="B89" s="8"/>
      <x:c r="C89" s="7"/>
      <x:c r="D89" s="7"/>
      <x:c r="E89" s="7"/>
      <x:c r="F89" s="20"/>
      <x:c r="G89" s="7"/>
      <x:c r="H89" s="7"/>
      <x:c r="I89" s="7"/>
      <x:c r="J89" s="7"/>
      <x:c r="K89" s="7"/>
      <x:c r="L89" s="7"/>
      <x:c r="M89" s="7"/>
      <x:c r="N89" s="7"/>
      <x:c r="O89" s="2" t="str">
        <x:f>IF(A89="","",IF(COUNTIFS($A$7:$A$1506,A89)&gt;1,"Buchung-ID doppelt",IF(OR(NOT(ISNUMBER(B89)),C89="",NOT(ISNUMBER(F89)),H89="",L89=""),"Pflichtangaben fehlen",IF(COUNTIFS('Konten'!$A$7:$A$26,C89)&lt;&gt;1,"Konto nicht eindeutig",IF(J89&lt;&gt;"Ja","Zuordnung bestätigen",IF(OR(AND(H89="Einnahme",F89&lt;0),AND(H89="Ausgabe",F89&gt;0)),"Vorzeichen prüfen",IF(AND(H89="Umbuchung",OR(K89="",COUNTIFS($A$7:$A$1506,K89)&lt;&gt;1)),"Gegenbuchung fehlt",IF(AND(H89="Umbuchung",ROUND(SUMIFS($F$7:$F$1506,$A$7:$A$1506,K89)+F89,2)&lt;&gt;0),"Umbuchung abweichend",IF(OR(G89="",M89="",M89="offen",M89="teilbelegt",H89="Ungeklärt",H89="Bargeld"),"Beleg / Verwendung klären","vollständig erfasst")))))))))</x:f>
      </x:c>
    </x:row>
    <x:row r="90" ht="22" customHeight="1">
      <x:c r="A90" s="7"/>
      <x:c r="B90" s="8"/>
      <x:c r="C90" s="7"/>
      <x:c r="D90" s="7"/>
      <x:c r="E90" s="7"/>
      <x:c r="F90" s="20"/>
      <x:c r="G90" s="7"/>
      <x:c r="H90" s="7"/>
      <x:c r="I90" s="7"/>
      <x:c r="J90" s="7"/>
      <x:c r="K90" s="7"/>
      <x:c r="L90" s="7"/>
      <x:c r="M90" s="7"/>
      <x:c r="N90" s="7"/>
      <x:c r="O90" s="2" t="str">
        <x:f>IF(A90="","",IF(COUNTIFS($A$7:$A$1506,A90)&gt;1,"Buchung-ID doppelt",IF(OR(NOT(ISNUMBER(B90)),C90="",NOT(ISNUMBER(F90)),H90="",L90=""),"Pflichtangaben fehlen",IF(COUNTIFS('Konten'!$A$7:$A$26,C90)&lt;&gt;1,"Konto nicht eindeutig",IF(J90&lt;&gt;"Ja","Zuordnung bestätigen",IF(OR(AND(H90="Einnahme",F90&lt;0),AND(H90="Ausgabe",F90&gt;0)),"Vorzeichen prüfen",IF(AND(H90="Umbuchung",OR(K90="",COUNTIFS($A$7:$A$1506,K90)&lt;&gt;1)),"Gegenbuchung fehlt",IF(AND(H90="Umbuchung",ROUND(SUMIFS($F$7:$F$1506,$A$7:$A$1506,K90)+F90,2)&lt;&gt;0),"Umbuchung abweichend",IF(OR(G90="",M90="",M90="offen",M90="teilbelegt",H90="Ungeklärt",H90="Bargeld"),"Beleg / Verwendung klären","vollständig erfasst")))))))))</x:f>
      </x:c>
    </x:row>
    <x:row r="91" ht="22" customHeight="1">
      <x:c r="A91" s="7"/>
      <x:c r="B91" s="8"/>
      <x:c r="C91" s="7"/>
      <x:c r="D91" s="7"/>
      <x:c r="E91" s="7"/>
      <x:c r="F91" s="20"/>
      <x:c r="G91" s="7"/>
      <x:c r="H91" s="7"/>
      <x:c r="I91" s="7"/>
      <x:c r="J91" s="7"/>
      <x:c r="K91" s="7"/>
      <x:c r="L91" s="7"/>
      <x:c r="M91" s="7"/>
      <x:c r="N91" s="7"/>
      <x:c r="O91" s="2" t="str">
        <x:f>IF(A91="","",IF(COUNTIFS($A$7:$A$1506,A91)&gt;1,"Buchung-ID doppelt",IF(OR(NOT(ISNUMBER(B91)),C91="",NOT(ISNUMBER(F91)),H91="",L91=""),"Pflichtangaben fehlen",IF(COUNTIFS('Konten'!$A$7:$A$26,C91)&lt;&gt;1,"Konto nicht eindeutig",IF(J91&lt;&gt;"Ja","Zuordnung bestätigen",IF(OR(AND(H91="Einnahme",F91&lt;0),AND(H91="Ausgabe",F91&gt;0)),"Vorzeichen prüfen",IF(AND(H91="Umbuchung",OR(K91="",COUNTIFS($A$7:$A$1506,K91)&lt;&gt;1)),"Gegenbuchung fehlt",IF(AND(H91="Umbuchung",ROUND(SUMIFS($F$7:$F$1506,$A$7:$A$1506,K91)+F91,2)&lt;&gt;0),"Umbuchung abweichend",IF(OR(G91="",M91="",M91="offen",M91="teilbelegt",H91="Ungeklärt",H91="Bargeld"),"Beleg / Verwendung klären","vollständig erfasst")))))))))</x:f>
      </x:c>
    </x:row>
    <x:row r="92" ht="22" customHeight="1">
      <x:c r="A92" s="7"/>
      <x:c r="B92" s="8"/>
      <x:c r="C92" s="7"/>
      <x:c r="D92" s="7"/>
      <x:c r="E92" s="7"/>
      <x:c r="F92" s="20"/>
      <x:c r="G92" s="7"/>
      <x:c r="H92" s="7"/>
      <x:c r="I92" s="7"/>
      <x:c r="J92" s="7"/>
      <x:c r="K92" s="7"/>
      <x:c r="L92" s="7"/>
      <x:c r="M92" s="7"/>
      <x:c r="N92" s="7"/>
      <x:c r="O92" s="2" t="str">
        <x:f>IF(A92="","",IF(COUNTIFS($A$7:$A$1506,A92)&gt;1,"Buchung-ID doppelt",IF(OR(NOT(ISNUMBER(B92)),C92="",NOT(ISNUMBER(F92)),H92="",L92=""),"Pflichtangaben fehlen",IF(COUNTIFS('Konten'!$A$7:$A$26,C92)&lt;&gt;1,"Konto nicht eindeutig",IF(J92&lt;&gt;"Ja","Zuordnung bestätigen",IF(OR(AND(H92="Einnahme",F92&lt;0),AND(H92="Ausgabe",F92&gt;0)),"Vorzeichen prüfen",IF(AND(H92="Umbuchung",OR(K92="",COUNTIFS($A$7:$A$1506,K92)&lt;&gt;1)),"Gegenbuchung fehlt",IF(AND(H92="Umbuchung",ROUND(SUMIFS($F$7:$F$1506,$A$7:$A$1506,K92)+F92,2)&lt;&gt;0),"Umbuchung abweichend",IF(OR(G92="",M92="",M92="offen",M92="teilbelegt",H92="Ungeklärt",H92="Bargeld"),"Beleg / Verwendung klären","vollständig erfasst")))))))))</x:f>
      </x:c>
    </x:row>
    <x:row r="93" ht="22" customHeight="1">
      <x:c r="A93" s="7"/>
      <x:c r="B93" s="8"/>
      <x:c r="C93" s="7"/>
      <x:c r="D93" s="7"/>
      <x:c r="E93" s="7"/>
      <x:c r="F93" s="20"/>
      <x:c r="G93" s="7"/>
      <x:c r="H93" s="7"/>
      <x:c r="I93" s="7"/>
      <x:c r="J93" s="7"/>
      <x:c r="K93" s="7"/>
      <x:c r="L93" s="7"/>
      <x:c r="M93" s="7"/>
      <x:c r="N93" s="7"/>
      <x:c r="O93" s="2" t="str">
        <x:f>IF(A93="","",IF(COUNTIFS($A$7:$A$1506,A93)&gt;1,"Buchung-ID doppelt",IF(OR(NOT(ISNUMBER(B93)),C93="",NOT(ISNUMBER(F93)),H93="",L93=""),"Pflichtangaben fehlen",IF(COUNTIFS('Konten'!$A$7:$A$26,C93)&lt;&gt;1,"Konto nicht eindeutig",IF(J93&lt;&gt;"Ja","Zuordnung bestätigen",IF(OR(AND(H93="Einnahme",F93&lt;0),AND(H93="Ausgabe",F93&gt;0)),"Vorzeichen prüfen",IF(AND(H93="Umbuchung",OR(K93="",COUNTIFS($A$7:$A$1506,K93)&lt;&gt;1)),"Gegenbuchung fehlt",IF(AND(H93="Umbuchung",ROUND(SUMIFS($F$7:$F$1506,$A$7:$A$1506,K93)+F93,2)&lt;&gt;0),"Umbuchung abweichend",IF(OR(G93="",M93="",M93="offen",M93="teilbelegt",H93="Ungeklärt",H93="Bargeld"),"Beleg / Verwendung klären","vollständig erfasst")))))))))</x:f>
      </x:c>
    </x:row>
    <x:row r="94" ht="22" customHeight="1">
      <x:c r="A94" s="7"/>
      <x:c r="B94" s="8"/>
      <x:c r="C94" s="7"/>
      <x:c r="D94" s="7"/>
      <x:c r="E94" s="7"/>
      <x:c r="F94" s="20"/>
      <x:c r="G94" s="7"/>
      <x:c r="H94" s="7"/>
      <x:c r="I94" s="7"/>
      <x:c r="J94" s="7"/>
      <x:c r="K94" s="7"/>
      <x:c r="L94" s="7"/>
      <x:c r="M94" s="7"/>
      <x:c r="N94" s="7"/>
      <x:c r="O94" s="2" t="str">
        <x:f>IF(A94="","",IF(COUNTIFS($A$7:$A$1506,A94)&gt;1,"Buchung-ID doppelt",IF(OR(NOT(ISNUMBER(B94)),C94="",NOT(ISNUMBER(F94)),H94="",L94=""),"Pflichtangaben fehlen",IF(COUNTIFS('Konten'!$A$7:$A$26,C94)&lt;&gt;1,"Konto nicht eindeutig",IF(J94&lt;&gt;"Ja","Zuordnung bestätigen",IF(OR(AND(H94="Einnahme",F94&lt;0),AND(H94="Ausgabe",F94&gt;0)),"Vorzeichen prüfen",IF(AND(H94="Umbuchung",OR(K94="",COUNTIFS($A$7:$A$1506,K94)&lt;&gt;1)),"Gegenbuchung fehlt",IF(AND(H94="Umbuchung",ROUND(SUMIFS($F$7:$F$1506,$A$7:$A$1506,K94)+F94,2)&lt;&gt;0),"Umbuchung abweichend",IF(OR(G94="",M94="",M94="offen",M94="teilbelegt",H94="Ungeklärt",H94="Bargeld"),"Beleg / Verwendung klären","vollständig erfasst")))))))))</x:f>
      </x:c>
    </x:row>
    <x:row r="95" ht="22" customHeight="1">
      <x:c r="A95" s="7"/>
      <x:c r="B95" s="8"/>
      <x:c r="C95" s="7"/>
      <x:c r="D95" s="7"/>
      <x:c r="E95" s="7"/>
      <x:c r="F95" s="20"/>
      <x:c r="G95" s="7"/>
      <x:c r="H95" s="7"/>
      <x:c r="I95" s="7"/>
      <x:c r="J95" s="7"/>
      <x:c r="K95" s="7"/>
      <x:c r="L95" s="7"/>
      <x:c r="M95" s="7"/>
      <x:c r="N95" s="7"/>
      <x:c r="O95" s="2" t="str">
        <x:f>IF(A95="","",IF(COUNTIFS($A$7:$A$1506,A95)&gt;1,"Buchung-ID doppelt",IF(OR(NOT(ISNUMBER(B95)),C95="",NOT(ISNUMBER(F95)),H95="",L95=""),"Pflichtangaben fehlen",IF(COUNTIFS('Konten'!$A$7:$A$26,C95)&lt;&gt;1,"Konto nicht eindeutig",IF(J95&lt;&gt;"Ja","Zuordnung bestätigen",IF(OR(AND(H95="Einnahme",F95&lt;0),AND(H95="Ausgabe",F95&gt;0)),"Vorzeichen prüfen",IF(AND(H95="Umbuchung",OR(K95="",COUNTIFS($A$7:$A$1506,K95)&lt;&gt;1)),"Gegenbuchung fehlt",IF(AND(H95="Umbuchung",ROUND(SUMIFS($F$7:$F$1506,$A$7:$A$1506,K95)+F95,2)&lt;&gt;0),"Umbuchung abweichend",IF(OR(G95="",M95="",M95="offen",M95="teilbelegt",H95="Ungeklärt",H95="Bargeld"),"Beleg / Verwendung klären","vollständig erfasst")))))))))</x:f>
      </x:c>
    </x:row>
    <x:row r="96" ht="22" customHeight="1">
      <x:c r="A96" s="7"/>
      <x:c r="B96" s="8"/>
      <x:c r="C96" s="7"/>
      <x:c r="D96" s="7"/>
      <x:c r="E96" s="7"/>
      <x:c r="F96" s="20"/>
      <x:c r="G96" s="7"/>
      <x:c r="H96" s="7"/>
      <x:c r="I96" s="7"/>
      <x:c r="J96" s="7"/>
      <x:c r="K96" s="7"/>
      <x:c r="L96" s="7"/>
      <x:c r="M96" s="7"/>
      <x:c r="N96" s="7"/>
      <x:c r="O96" s="2" t="str">
        <x:f>IF(A96="","",IF(COUNTIFS($A$7:$A$1506,A96)&gt;1,"Buchung-ID doppelt",IF(OR(NOT(ISNUMBER(B96)),C96="",NOT(ISNUMBER(F96)),H96="",L96=""),"Pflichtangaben fehlen",IF(COUNTIFS('Konten'!$A$7:$A$26,C96)&lt;&gt;1,"Konto nicht eindeutig",IF(J96&lt;&gt;"Ja","Zuordnung bestätigen",IF(OR(AND(H96="Einnahme",F96&lt;0),AND(H96="Ausgabe",F96&gt;0)),"Vorzeichen prüfen",IF(AND(H96="Umbuchung",OR(K96="",COUNTIFS($A$7:$A$1506,K96)&lt;&gt;1)),"Gegenbuchung fehlt",IF(AND(H96="Umbuchung",ROUND(SUMIFS($F$7:$F$1506,$A$7:$A$1506,K96)+F96,2)&lt;&gt;0),"Umbuchung abweichend",IF(OR(G96="",M96="",M96="offen",M96="teilbelegt",H96="Ungeklärt",H96="Bargeld"),"Beleg / Verwendung klären","vollständig erfasst")))))))))</x:f>
      </x:c>
    </x:row>
    <x:row r="97" ht="22" customHeight="1">
      <x:c r="A97" s="7"/>
      <x:c r="B97" s="8"/>
      <x:c r="C97" s="7"/>
      <x:c r="D97" s="7"/>
      <x:c r="E97" s="7"/>
      <x:c r="F97" s="20"/>
      <x:c r="G97" s="7"/>
      <x:c r="H97" s="7"/>
      <x:c r="I97" s="7"/>
      <x:c r="J97" s="7"/>
      <x:c r="K97" s="7"/>
      <x:c r="L97" s="7"/>
      <x:c r="M97" s="7"/>
      <x:c r="N97" s="7"/>
      <x:c r="O97" s="2" t="str">
        <x:f>IF(A97="","",IF(COUNTIFS($A$7:$A$1506,A97)&gt;1,"Buchung-ID doppelt",IF(OR(NOT(ISNUMBER(B97)),C97="",NOT(ISNUMBER(F97)),H97="",L97=""),"Pflichtangaben fehlen",IF(COUNTIFS('Konten'!$A$7:$A$26,C97)&lt;&gt;1,"Konto nicht eindeutig",IF(J97&lt;&gt;"Ja","Zuordnung bestätigen",IF(OR(AND(H97="Einnahme",F97&lt;0),AND(H97="Ausgabe",F97&gt;0)),"Vorzeichen prüfen",IF(AND(H97="Umbuchung",OR(K97="",COUNTIFS($A$7:$A$1506,K97)&lt;&gt;1)),"Gegenbuchung fehlt",IF(AND(H97="Umbuchung",ROUND(SUMIFS($F$7:$F$1506,$A$7:$A$1506,K97)+F97,2)&lt;&gt;0),"Umbuchung abweichend",IF(OR(G97="",M97="",M97="offen",M97="teilbelegt",H97="Ungeklärt",H97="Bargeld"),"Beleg / Verwendung klären","vollständig erfasst")))))))))</x:f>
      </x:c>
    </x:row>
    <x:row r="98" ht="22" customHeight="1">
      <x:c r="A98" s="7"/>
      <x:c r="B98" s="8"/>
      <x:c r="C98" s="7"/>
      <x:c r="D98" s="7"/>
      <x:c r="E98" s="7"/>
      <x:c r="F98" s="20"/>
      <x:c r="G98" s="7"/>
      <x:c r="H98" s="7"/>
      <x:c r="I98" s="7"/>
      <x:c r="J98" s="7"/>
      <x:c r="K98" s="7"/>
      <x:c r="L98" s="7"/>
      <x:c r="M98" s="7"/>
      <x:c r="N98" s="7"/>
      <x:c r="O98" s="2" t="str">
        <x:f>IF(A98="","",IF(COUNTIFS($A$7:$A$1506,A98)&gt;1,"Buchung-ID doppelt",IF(OR(NOT(ISNUMBER(B98)),C98="",NOT(ISNUMBER(F98)),H98="",L98=""),"Pflichtangaben fehlen",IF(COUNTIFS('Konten'!$A$7:$A$26,C98)&lt;&gt;1,"Konto nicht eindeutig",IF(J98&lt;&gt;"Ja","Zuordnung bestätigen",IF(OR(AND(H98="Einnahme",F98&lt;0),AND(H98="Ausgabe",F98&gt;0)),"Vorzeichen prüfen",IF(AND(H98="Umbuchung",OR(K98="",COUNTIFS($A$7:$A$1506,K98)&lt;&gt;1)),"Gegenbuchung fehlt",IF(AND(H98="Umbuchung",ROUND(SUMIFS($F$7:$F$1506,$A$7:$A$1506,K98)+F98,2)&lt;&gt;0),"Umbuchung abweichend",IF(OR(G98="",M98="",M98="offen",M98="teilbelegt",H98="Ungeklärt",H98="Bargeld"),"Beleg / Verwendung klären","vollständig erfasst")))))))))</x:f>
      </x:c>
    </x:row>
    <x:row r="99" ht="22" customHeight="1">
      <x:c r="A99" s="7"/>
      <x:c r="B99" s="8"/>
      <x:c r="C99" s="7"/>
      <x:c r="D99" s="7"/>
      <x:c r="E99" s="7"/>
      <x:c r="F99" s="20"/>
      <x:c r="G99" s="7"/>
      <x:c r="H99" s="7"/>
      <x:c r="I99" s="7"/>
      <x:c r="J99" s="7"/>
      <x:c r="K99" s="7"/>
      <x:c r="L99" s="7"/>
      <x:c r="M99" s="7"/>
      <x:c r="N99" s="7"/>
      <x:c r="O99" s="2" t="str">
        <x:f>IF(A99="","",IF(COUNTIFS($A$7:$A$1506,A99)&gt;1,"Buchung-ID doppelt",IF(OR(NOT(ISNUMBER(B99)),C99="",NOT(ISNUMBER(F99)),H99="",L99=""),"Pflichtangaben fehlen",IF(COUNTIFS('Konten'!$A$7:$A$26,C99)&lt;&gt;1,"Konto nicht eindeutig",IF(J99&lt;&gt;"Ja","Zuordnung bestätigen",IF(OR(AND(H99="Einnahme",F99&lt;0),AND(H99="Ausgabe",F99&gt;0)),"Vorzeichen prüfen",IF(AND(H99="Umbuchung",OR(K99="",COUNTIFS($A$7:$A$1506,K99)&lt;&gt;1)),"Gegenbuchung fehlt",IF(AND(H99="Umbuchung",ROUND(SUMIFS($F$7:$F$1506,$A$7:$A$1506,K99)+F99,2)&lt;&gt;0),"Umbuchung abweichend",IF(OR(G99="",M99="",M99="offen",M99="teilbelegt",H99="Ungeklärt",H99="Bargeld"),"Beleg / Verwendung klären","vollständig erfasst")))))))))</x:f>
      </x:c>
    </x:row>
    <x:row r="100" ht="22" customHeight="1">
      <x:c r="A100" s="7"/>
      <x:c r="B100" s="8"/>
      <x:c r="C100" s="7"/>
      <x:c r="D100" s="7"/>
      <x:c r="E100" s="7"/>
      <x:c r="F100" s="20"/>
      <x:c r="G100" s="7"/>
      <x:c r="H100" s="7"/>
      <x:c r="I100" s="7"/>
      <x:c r="J100" s="7"/>
      <x:c r="K100" s="7"/>
      <x:c r="L100" s="7"/>
      <x:c r="M100" s="7"/>
      <x:c r="N100" s="7"/>
      <x:c r="O100" s="2" t="str">
        <x:f>IF(A100="","",IF(COUNTIFS($A$7:$A$1506,A100)&gt;1,"Buchung-ID doppelt",IF(OR(NOT(ISNUMBER(B100)),C100="",NOT(ISNUMBER(F100)),H100="",L100=""),"Pflichtangaben fehlen",IF(COUNTIFS('Konten'!$A$7:$A$26,C100)&lt;&gt;1,"Konto nicht eindeutig",IF(J100&lt;&gt;"Ja","Zuordnung bestätigen",IF(OR(AND(H100="Einnahme",F100&lt;0),AND(H100="Ausgabe",F100&gt;0)),"Vorzeichen prüfen",IF(AND(H100="Umbuchung",OR(K100="",COUNTIFS($A$7:$A$1506,K100)&lt;&gt;1)),"Gegenbuchung fehlt",IF(AND(H100="Umbuchung",ROUND(SUMIFS($F$7:$F$1506,$A$7:$A$1506,K100)+F100,2)&lt;&gt;0),"Umbuchung abweichend",IF(OR(G100="",M100="",M100="offen",M100="teilbelegt",H100="Ungeklärt",H100="Bargeld"),"Beleg / Verwendung klären","vollständig erfasst")))))))))</x:f>
      </x:c>
    </x:row>
    <x:row r="101" ht="22" customHeight="1">
      <x:c r="A101" s="7"/>
      <x:c r="B101" s="8"/>
      <x:c r="C101" s="7"/>
      <x:c r="D101" s="7"/>
      <x:c r="E101" s="7"/>
      <x:c r="F101" s="20"/>
      <x:c r="G101" s="7"/>
      <x:c r="H101" s="7"/>
      <x:c r="I101" s="7"/>
      <x:c r="J101" s="7"/>
      <x:c r="K101" s="7"/>
      <x:c r="L101" s="7"/>
      <x:c r="M101" s="7"/>
      <x:c r="N101" s="7"/>
      <x:c r="O101" s="2" t="str">
        <x:f>IF(A101="","",IF(COUNTIFS($A$7:$A$1506,A101)&gt;1,"Buchung-ID doppelt",IF(OR(NOT(ISNUMBER(B101)),C101="",NOT(ISNUMBER(F101)),H101="",L101=""),"Pflichtangaben fehlen",IF(COUNTIFS('Konten'!$A$7:$A$26,C101)&lt;&gt;1,"Konto nicht eindeutig",IF(J101&lt;&gt;"Ja","Zuordnung bestätigen",IF(OR(AND(H101="Einnahme",F101&lt;0),AND(H101="Ausgabe",F101&gt;0)),"Vorzeichen prüfen",IF(AND(H101="Umbuchung",OR(K101="",COUNTIFS($A$7:$A$1506,K101)&lt;&gt;1)),"Gegenbuchung fehlt",IF(AND(H101="Umbuchung",ROUND(SUMIFS($F$7:$F$1506,$A$7:$A$1506,K101)+F101,2)&lt;&gt;0),"Umbuchung abweichend",IF(OR(G101="",M101="",M101="offen",M101="teilbelegt",H101="Ungeklärt",H101="Bargeld"),"Beleg / Verwendung klären","vollständig erfasst")))))))))</x:f>
      </x:c>
    </x:row>
    <x:row r="102" ht="22" customHeight="1">
      <x:c r="A102" s="7"/>
      <x:c r="B102" s="8"/>
      <x:c r="C102" s="7"/>
      <x:c r="D102" s="7"/>
      <x:c r="E102" s="7"/>
      <x:c r="F102" s="20"/>
      <x:c r="G102" s="7"/>
      <x:c r="H102" s="7"/>
      <x:c r="I102" s="7"/>
      <x:c r="J102" s="7"/>
      <x:c r="K102" s="7"/>
      <x:c r="L102" s="7"/>
      <x:c r="M102" s="7"/>
      <x:c r="N102" s="7"/>
      <x:c r="O102" s="2" t="str">
        <x:f>IF(A102="","",IF(COUNTIFS($A$7:$A$1506,A102)&gt;1,"Buchung-ID doppelt",IF(OR(NOT(ISNUMBER(B102)),C102="",NOT(ISNUMBER(F102)),H102="",L102=""),"Pflichtangaben fehlen",IF(COUNTIFS('Konten'!$A$7:$A$26,C102)&lt;&gt;1,"Konto nicht eindeutig",IF(J102&lt;&gt;"Ja","Zuordnung bestätigen",IF(OR(AND(H102="Einnahme",F102&lt;0),AND(H102="Ausgabe",F102&gt;0)),"Vorzeichen prüfen",IF(AND(H102="Umbuchung",OR(K102="",COUNTIFS($A$7:$A$1506,K102)&lt;&gt;1)),"Gegenbuchung fehlt",IF(AND(H102="Umbuchung",ROUND(SUMIFS($F$7:$F$1506,$A$7:$A$1506,K102)+F102,2)&lt;&gt;0),"Umbuchung abweichend",IF(OR(G102="",M102="",M102="offen",M102="teilbelegt",H102="Ungeklärt",H102="Bargeld"),"Beleg / Verwendung klären","vollständig erfasst")))))))))</x:f>
      </x:c>
    </x:row>
    <x:row r="103" ht="22" customHeight="1">
      <x:c r="A103" s="7"/>
      <x:c r="B103" s="8"/>
      <x:c r="C103" s="7"/>
      <x:c r="D103" s="7"/>
      <x:c r="E103" s="7"/>
      <x:c r="F103" s="20"/>
      <x:c r="G103" s="7"/>
      <x:c r="H103" s="7"/>
      <x:c r="I103" s="7"/>
      <x:c r="J103" s="7"/>
      <x:c r="K103" s="7"/>
      <x:c r="L103" s="7"/>
      <x:c r="M103" s="7"/>
      <x:c r="N103" s="7"/>
      <x:c r="O103" s="2" t="str">
        <x:f>IF(A103="","",IF(COUNTIFS($A$7:$A$1506,A103)&gt;1,"Buchung-ID doppelt",IF(OR(NOT(ISNUMBER(B103)),C103="",NOT(ISNUMBER(F103)),H103="",L103=""),"Pflichtangaben fehlen",IF(COUNTIFS('Konten'!$A$7:$A$26,C103)&lt;&gt;1,"Konto nicht eindeutig",IF(J103&lt;&gt;"Ja","Zuordnung bestätigen",IF(OR(AND(H103="Einnahme",F103&lt;0),AND(H103="Ausgabe",F103&gt;0)),"Vorzeichen prüfen",IF(AND(H103="Umbuchung",OR(K103="",COUNTIFS($A$7:$A$1506,K103)&lt;&gt;1)),"Gegenbuchung fehlt",IF(AND(H103="Umbuchung",ROUND(SUMIFS($F$7:$F$1506,$A$7:$A$1506,K103)+F103,2)&lt;&gt;0),"Umbuchung abweichend",IF(OR(G103="",M103="",M103="offen",M103="teilbelegt",H103="Ungeklärt",H103="Bargeld"),"Beleg / Verwendung klären","vollständig erfasst")))))))))</x:f>
      </x:c>
    </x:row>
    <x:row r="104" ht="22" customHeight="1">
      <x:c r="A104" s="7"/>
      <x:c r="B104" s="8"/>
      <x:c r="C104" s="7"/>
      <x:c r="D104" s="7"/>
      <x:c r="E104" s="7"/>
      <x:c r="F104" s="20"/>
      <x:c r="G104" s="7"/>
      <x:c r="H104" s="7"/>
      <x:c r="I104" s="7"/>
      <x:c r="J104" s="7"/>
      <x:c r="K104" s="7"/>
      <x:c r="L104" s="7"/>
      <x:c r="M104" s="7"/>
      <x:c r="N104" s="7"/>
      <x:c r="O104" s="2" t="str">
        <x:f>IF(A104="","",IF(COUNTIFS($A$7:$A$1506,A104)&gt;1,"Buchung-ID doppelt",IF(OR(NOT(ISNUMBER(B104)),C104="",NOT(ISNUMBER(F104)),H104="",L104=""),"Pflichtangaben fehlen",IF(COUNTIFS('Konten'!$A$7:$A$26,C104)&lt;&gt;1,"Konto nicht eindeutig",IF(J104&lt;&gt;"Ja","Zuordnung bestätigen",IF(OR(AND(H104="Einnahme",F104&lt;0),AND(H104="Ausgabe",F104&gt;0)),"Vorzeichen prüfen",IF(AND(H104="Umbuchung",OR(K104="",COUNTIFS($A$7:$A$1506,K104)&lt;&gt;1)),"Gegenbuchung fehlt",IF(AND(H104="Umbuchung",ROUND(SUMIFS($F$7:$F$1506,$A$7:$A$1506,K104)+F104,2)&lt;&gt;0),"Umbuchung abweichend",IF(OR(G104="",M104="",M104="offen",M104="teilbelegt",H104="Ungeklärt",H104="Bargeld"),"Beleg / Verwendung klären","vollständig erfasst")))))))))</x:f>
      </x:c>
    </x:row>
    <x:row r="105" ht="22" customHeight="1">
      <x:c r="A105" s="7"/>
      <x:c r="B105" s="8"/>
      <x:c r="C105" s="7"/>
      <x:c r="D105" s="7"/>
      <x:c r="E105" s="7"/>
      <x:c r="F105" s="20"/>
      <x:c r="G105" s="7"/>
      <x:c r="H105" s="7"/>
      <x:c r="I105" s="7"/>
      <x:c r="J105" s="7"/>
      <x:c r="K105" s="7"/>
      <x:c r="L105" s="7"/>
      <x:c r="M105" s="7"/>
      <x:c r="N105" s="7"/>
      <x:c r="O105" s="2" t="str">
        <x:f>IF(A105="","",IF(COUNTIFS($A$7:$A$1506,A105)&gt;1,"Buchung-ID doppelt",IF(OR(NOT(ISNUMBER(B105)),C105="",NOT(ISNUMBER(F105)),H105="",L105=""),"Pflichtangaben fehlen",IF(COUNTIFS('Konten'!$A$7:$A$26,C105)&lt;&gt;1,"Konto nicht eindeutig",IF(J105&lt;&gt;"Ja","Zuordnung bestätigen",IF(OR(AND(H105="Einnahme",F105&lt;0),AND(H105="Ausgabe",F105&gt;0)),"Vorzeichen prüfen",IF(AND(H105="Umbuchung",OR(K105="",COUNTIFS($A$7:$A$1506,K105)&lt;&gt;1)),"Gegenbuchung fehlt",IF(AND(H105="Umbuchung",ROUND(SUMIFS($F$7:$F$1506,$A$7:$A$1506,K105)+F105,2)&lt;&gt;0),"Umbuchung abweichend",IF(OR(G105="",M105="",M105="offen",M105="teilbelegt",H105="Ungeklärt",H105="Bargeld"),"Beleg / Verwendung klären","vollständig erfasst")))))))))</x:f>
      </x:c>
    </x:row>
    <x:row r="106" ht="22" customHeight="1">
      <x:c r="A106" s="7"/>
      <x:c r="B106" s="8"/>
      <x:c r="C106" s="7"/>
      <x:c r="D106" s="7"/>
      <x:c r="E106" s="7"/>
      <x:c r="F106" s="20"/>
      <x:c r="G106" s="7"/>
      <x:c r="H106" s="7"/>
      <x:c r="I106" s="7"/>
      <x:c r="J106" s="7"/>
      <x:c r="K106" s="7"/>
      <x:c r="L106" s="7"/>
      <x:c r="M106" s="7"/>
      <x:c r="N106" s="7"/>
      <x:c r="O106" s="2" t="str">
        <x:f>IF(A106="","",IF(COUNTIFS($A$7:$A$1506,A106)&gt;1,"Buchung-ID doppelt",IF(OR(NOT(ISNUMBER(B106)),C106="",NOT(ISNUMBER(F106)),H106="",L106=""),"Pflichtangaben fehlen",IF(COUNTIFS('Konten'!$A$7:$A$26,C106)&lt;&gt;1,"Konto nicht eindeutig",IF(J106&lt;&gt;"Ja","Zuordnung bestätigen",IF(OR(AND(H106="Einnahme",F106&lt;0),AND(H106="Ausgabe",F106&gt;0)),"Vorzeichen prüfen",IF(AND(H106="Umbuchung",OR(K106="",COUNTIFS($A$7:$A$1506,K106)&lt;&gt;1)),"Gegenbuchung fehlt",IF(AND(H106="Umbuchung",ROUND(SUMIFS($F$7:$F$1506,$A$7:$A$1506,K106)+F106,2)&lt;&gt;0),"Umbuchung abweichend",IF(OR(G106="",M106="",M106="offen",M106="teilbelegt",H106="Ungeklärt",H106="Bargeld"),"Beleg / Verwendung klären","vollständig erfasst")))))))))</x:f>
      </x:c>
    </x:row>
    <x:row r="107" ht="22" customHeight="1">
      <x:c r="A107" s="7"/>
      <x:c r="B107" s="8"/>
      <x:c r="C107" s="7"/>
      <x:c r="D107" s="7"/>
      <x:c r="E107" s="7"/>
      <x:c r="F107" s="20"/>
      <x:c r="G107" s="7"/>
      <x:c r="H107" s="7"/>
      <x:c r="I107" s="7"/>
      <x:c r="J107" s="7"/>
      <x:c r="K107" s="7"/>
      <x:c r="L107" s="7"/>
      <x:c r="M107" s="7"/>
      <x:c r="N107" s="7"/>
      <x:c r="O107" s="2" t="str">
        <x:f>IF(A107="","",IF(COUNTIFS($A$7:$A$1506,A107)&gt;1,"Buchung-ID doppelt",IF(OR(NOT(ISNUMBER(B107)),C107="",NOT(ISNUMBER(F107)),H107="",L107=""),"Pflichtangaben fehlen",IF(COUNTIFS('Konten'!$A$7:$A$26,C107)&lt;&gt;1,"Konto nicht eindeutig",IF(J107&lt;&gt;"Ja","Zuordnung bestätigen",IF(OR(AND(H107="Einnahme",F107&lt;0),AND(H107="Ausgabe",F107&gt;0)),"Vorzeichen prüfen",IF(AND(H107="Umbuchung",OR(K107="",COUNTIFS($A$7:$A$1506,K107)&lt;&gt;1)),"Gegenbuchung fehlt",IF(AND(H107="Umbuchung",ROUND(SUMIFS($F$7:$F$1506,$A$7:$A$1506,K107)+F107,2)&lt;&gt;0),"Umbuchung abweichend",IF(OR(G107="",M107="",M107="offen",M107="teilbelegt",H107="Ungeklärt",H107="Bargeld"),"Beleg / Verwendung klären","vollständig erfasst")))))))))</x:f>
      </x:c>
    </x:row>
    <x:row r="108" ht="22" customHeight="1">
      <x:c r="A108" s="7"/>
      <x:c r="B108" s="8"/>
      <x:c r="C108" s="7"/>
      <x:c r="D108" s="7"/>
      <x:c r="E108" s="7"/>
      <x:c r="F108" s="20"/>
      <x:c r="G108" s="7"/>
      <x:c r="H108" s="7"/>
      <x:c r="I108" s="7"/>
      <x:c r="J108" s="7"/>
      <x:c r="K108" s="7"/>
      <x:c r="L108" s="7"/>
      <x:c r="M108" s="7"/>
      <x:c r="N108" s="7"/>
      <x:c r="O108" s="2" t="str">
        <x:f>IF(A108="","",IF(COUNTIFS($A$7:$A$1506,A108)&gt;1,"Buchung-ID doppelt",IF(OR(NOT(ISNUMBER(B108)),C108="",NOT(ISNUMBER(F108)),H108="",L108=""),"Pflichtangaben fehlen",IF(COUNTIFS('Konten'!$A$7:$A$26,C108)&lt;&gt;1,"Konto nicht eindeutig",IF(J108&lt;&gt;"Ja","Zuordnung bestätigen",IF(OR(AND(H108="Einnahme",F108&lt;0),AND(H108="Ausgabe",F108&gt;0)),"Vorzeichen prüfen",IF(AND(H108="Umbuchung",OR(K108="",COUNTIFS($A$7:$A$1506,K108)&lt;&gt;1)),"Gegenbuchung fehlt",IF(AND(H108="Umbuchung",ROUND(SUMIFS($F$7:$F$1506,$A$7:$A$1506,K108)+F108,2)&lt;&gt;0),"Umbuchung abweichend",IF(OR(G108="",M108="",M108="offen",M108="teilbelegt",H108="Ungeklärt",H108="Bargeld"),"Beleg / Verwendung klären","vollständig erfasst")))))))))</x:f>
      </x:c>
    </x:row>
    <x:row r="109" ht="22" customHeight="1">
      <x:c r="A109" s="7"/>
      <x:c r="B109" s="8"/>
      <x:c r="C109" s="7"/>
      <x:c r="D109" s="7"/>
      <x:c r="E109" s="7"/>
      <x:c r="F109" s="20"/>
      <x:c r="G109" s="7"/>
      <x:c r="H109" s="7"/>
      <x:c r="I109" s="7"/>
      <x:c r="J109" s="7"/>
      <x:c r="K109" s="7"/>
      <x:c r="L109" s="7"/>
      <x:c r="M109" s="7"/>
      <x:c r="N109" s="7"/>
      <x:c r="O109" s="2" t="str">
        <x:f>IF(A109="","",IF(COUNTIFS($A$7:$A$1506,A109)&gt;1,"Buchung-ID doppelt",IF(OR(NOT(ISNUMBER(B109)),C109="",NOT(ISNUMBER(F109)),H109="",L109=""),"Pflichtangaben fehlen",IF(COUNTIFS('Konten'!$A$7:$A$26,C109)&lt;&gt;1,"Konto nicht eindeutig",IF(J109&lt;&gt;"Ja","Zuordnung bestätigen",IF(OR(AND(H109="Einnahme",F109&lt;0),AND(H109="Ausgabe",F109&gt;0)),"Vorzeichen prüfen",IF(AND(H109="Umbuchung",OR(K109="",COUNTIFS($A$7:$A$1506,K109)&lt;&gt;1)),"Gegenbuchung fehlt",IF(AND(H109="Umbuchung",ROUND(SUMIFS($F$7:$F$1506,$A$7:$A$1506,K109)+F109,2)&lt;&gt;0),"Umbuchung abweichend",IF(OR(G109="",M109="",M109="offen",M109="teilbelegt",H109="Ungeklärt",H109="Bargeld"),"Beleg / Verwendung klären","vollständig erfasst")))))))))</x:f>
      </x:c>
    </x:row>
    <x:row r="110" ht="22" customHeight="1">
      <x:c r="A110" s="7"/>
      <x:c r="B110" s="8"/>
      <x:c r="C110" s="7"/>
      <x:c r="D110" s="7"/>
      <x:c r="E110" s="7"/>
      <x:c r="F110" s="20"/>
      <x:c r="G110" s="7"/>
      <x:c r="H110" s="7"/>
      <x:c r="I110" s="7"/>
      <x:c r="J110" s="7"/>
      <x:c r="K110" s="7"/>
      <x:c r="L110" s="7"/>
      <x:c r="M110" s="7"/>
      <x:c r="N110" s="7"/>
      <x:c r="O110" s="2" t="str">
        <x:f>IF(A110="","",IF(COUNTIFS($A$7:$A$1506,A110)&gt;1,"Buchung-ID doppelt",IF(OR(NOT(ISNUMBER(B110)),C110="",NOT(ISNUMBER(F110)),H110="",L110=""),"Pflichtangaben fehlen",IF(COUNTIFS('Konten'!$A$7:$A$26,C110)&lt;&gt;1,"Konto nicht eindeutig",IF(J110&lt;&gt;"Ja","Zuordnung bestätigen",IF(OR(AND(H110="Einnahme",F110&lt;0),AND(H110="Ausgabe",F110&gt;0)),"Vorzeichen prüfen",IF(AND(H110="Umbuchung",OR(K110="",COUNTIFS($A$7:$A$1506,K110)&lt;&gt;1)),"Gegenbuchung fehlt",IF(AND(H110="Umbuchung",ROUND(SUMIFS($F$7:$F$1506,$A$7:$A$1506,K110)+F110,2)&lt;&gt;0),"Umbuchung abweichend",IF(OR(G110="",M110="",M110="offen",M110="teilbelegt",H110="Ungeklärt",H110="Bargeld"),"Beleg / Verwendung klären","vollständig erfasst")))))))))</x:f>
      </x:c>
    </x:row>
    <x:row r="111" ht="22" customHeight="1">
      <x:c r="A111" s="7"/>
      <x:c r="B111" s="8"/>
      <x:c r="C111" s="7"/>
      <x:c r="D111" s="7"/>
      <x:c r="E111" s="7"/>
      <x:c r="F111" s="20"/>
      <x:c r="G111" s="7"/>
      <x:c r="H111" s="7"/>
      <x:c r="I111" s="7"/>
      <x:c r="J111" s="7"/>
      <x:c r="K111" s="7"/>
      <x:c r="L111" s="7"/>
      <x:c r="M111" s="7"/>
      <x:c r="N111" s="7"/>
      <x:c r="O111" s="2" t="str">
        <x:f>IF(A111="","",IF(COUNTIFS($A$7:$A$1506,A111)&gt;1,"Buchung-ID doppelt",IF(OR(NOT(ISNUMBER(B111)),C111="",NOT(ISNUMBER(F111)),H111="",L111=""),"Pflichtangaben fehlen",IF(COUNTIFS('Konten'!$A$7:$A$26,C111)&lt;&gt;1,"Konto nicht eindeutig",IF(J111&lt;&gt;"Ja","Zuordnung bestätigen",IF(OR(AND(H111="Einnahme",F111&lt;0),AND(H111="Ausgabe",F111&gt;0)),"Vorzeichen prüfen",IF(AND(H111="Umbuchung",OR(K111="",COUNTIFS($A$7:$A$1506,K111)&lt;&gt;1)),"Gegenbuchung fehlt",IF(AND(H111="Umbuchung",ROUND(SUMIFS($F$7:$F$1506,$A$7:$A$1506,K111)+F111,2)&lt;&gt;0),"Umbuchung abweichend",IF(OR(G111="",M111="",M111="offen",M111="teilbelegt",H111="Ungeklärt",H111="Bargeld"),"Beleg / Verwendung klären","vollständig erfasst")))))))))</x:f>
      </x:c>
    </x:row>
    <x:row r="112" ht="22" customHeight="1">
      <x:c r="A112" s="7"/>
      <x:c r="B112" s="8"/>
      <x:c r="C112" s="7"/>
      <x:c r="D112" s="7"/>
      <x:c r="E112" s="7"/>
      <x:c r="F112" s="20"/>
      <x:c r="G112" s="7"/>
      <x:c r="H112" s="7"/>
      <x:c r="I112" s="7"/>
      <x:c r="J112" s="7"/>
      <x:c r="K112" s="7"/>
      <x:c r="L112" s="7"/>
      <x:c r="M112" s="7"/>
      <x:c r="N112" s="7"/>
      <x:c r="O112" s="2" t="str">
        <x:f>IF(A112="","",IF(COUNTIFS($A$7:$A$1506,A112)&gt;1,"Buchung-ID doppelt",IF(OR(NOT(ISNUMBER(B112)),C112="",NOT(ISNUMBER(F112)),H112="",L112=""),"Pflichtangaben fehlen",IF(COUNTIFS('Konten'!$A$7:$A$26,C112)&lt;&gt;1,"Konto nicht eindeutig",IF(J112&lt;&gt;"Ja","Zuordnung bestätigen",IF(OR(AND(H112="Einnahme",F112&lt;0),AND(H112="Ausgabe",F112&gt;0)),"Vorzeichen prüfen",IF(AND(H112="Umbuchung",OR(K112="",COUNTIFS($A$7:$A$1506,K112)&lt;&gt;1)),"Gegenbuchung fehlt",IF(AND(H112="Umbuchung",ROUND(SUMIFS($F$7:$F$1506,$A$7:$A$1506,K112)+F112,2)&lt;&gt;0),"Umbuchung abweichend",IF(OR(G112="",M112="",M112="offen",M112="teilbelegt",H112="Ungeklärt",H112="Bargeld"),"Beleg / Verwendung klären","vollständig erfasst")))))))))</x:f>
      </x:c>
    </x:row>
    <x:row r="113" ht="22" customHeight="1">
      <x:c r="A113" s="7"/>
      <x:c r="B113" s="8"/>
      <x:c r="C113" s="7"/>
      <x:c r="D113" s="7"/>
      <x:c r="E113" s="7"/>
      <x:c r="F113" s="20"/>
      <x:c r="G113" s="7"/>
      <x:c r="H113" s="7"/>
      <x:c r="I113" s="7"/>
      <x:c r="J113" s="7"/>
      <x:c r="K113" s="7"/>
      <x:c r="L113" s="7"/>
      <x:c r="M113" s="7"/>
      <x:c r="N113" s="7"/>
      <x:c r="O113" s="2" t="str">
        <x:f>IF(A113="","",IF(COUNTIFS($A$7:$A$1506,A113)&gt;1,"Buchung-ID doppelt",IF(OR(NOT(ISNUMBER(B113)),C113="",NOT(ISNUMBER(F113)),H113="",L113=""),"Pflichtangaben fehlen",IF(COUNTIFS('Konten'!$A$7:$A$26,C113)&lt;&gt;1,"Konto nicht eindeutig",IF(J113&lt;&gt;"Ja","Zuordnung bestätigen",IF(OR(AND(H113="Einnahme",F113&lt;0),AND(H113="Ausgabe",F113&gt;0)),"Vorzeichen prüfen",IF(AND(H113="Umbuchung",OR(K113="",COUNTIFS($A$7:$A$1506,K113)&lt;&gt;1)),"Gegenbuchung fehlt",IF(AND(H113="Umbuchung",ROUND(SUMIFS($F$7:$F$1506,$A$7:$A$1506,K113)+F113,2)&lt;&gt;0),"Umbuchung abweichend",IF(OR(G113="",M113="",M113="offen",M113="teilbelegt",H113="Ungeklärt",H113="Bargeld"),"Beleg / Verwendung klären","vollständig erfasst")))))))))</x:f>
      </x:c>
    </x:row>
    <x:row r="114" ht="22" customHeight="1">
      <x:c r="A114" s="7"/>
      <x:c r="B114" s="8"/>
      <x:c r="C114" s="7"/>
      <x:c r="D114" s="7"/>
      <x:c r="E114" s="7"/>
      <x:c r="F114" s="20"/>
      <x:c r="G114" s="7"/>
      <x:c r="H114" s="7"/>
      <x:c r="I114" s="7"/>
      <x:c r="J114" s="7"/>
      <x:c r="K114" s="7"/>
      <x:c r="L114" s="7"/>
      <x:c r="M114" s="7"/>
      <x:c r="N114" s="7"/>
      <x:c r="O114" s="2" t="str">
        <x:f>IF(A114="","",IF(COUNTIFS($A$7:$A$1506,A114)&gt;1,"Buchung-ID doppelt",IF(OR(NOT(ISNUMBER(B114)),C114="",NOT(ISNUMBER(F114)),H114="",L114=""),"Pflichtangaben fehlen",IF(COUNTIFS('Konten'!$A$7:$A$26,C114)&lt;&gt;1,"Konto nicht eindeutig",IF(J114&lt;&gt;"Ja","Zuordnung bestätigen",IF(OR(AND(H114="Einnahme",F114&lt;0),AND(H114="Ausgabe",F114&gt;0)),"Vorzeichen prüfen",IF(AND(H114="Umbuchung",OR(K114="",COUNTIFS($A$7:$A$1506,K114)&lt;&gt;1)),"Gegenbuchung fehlt",IF(AND(H114="Umbuchung",ROUND(SUMIFS($F$7:$F$1506,$A$7:$A$1506,K114)+F114,2)&lt;&gt;0),"Umbuchung abweichend",IF(OR(G114="",M114="",M114="offen",M114="teilbelegt",H114="Ungeklärt",H114="Bargeld"),"Beleg / Verwendung klären","vollständig erfasst")))))))))</x:f>
      </x:c>
    </x:row>
    <x:row r="115" ht="22" customHeight="1">
      <x:c r="A115" s="7"/>
      <x:c r="B115" s="8"/>
      <x:c r="C115" s="7"/>
      <x:c r="D115" s="7"/>
      <x:c r="E115" s="7"/>
      <x:c r="F115" s="20"/>
      <x:c r="G115" s="7"/>
      <x:c r="H115" s="7"/>
      <x:c r="I115" s="7"/>
      <x:c r="J115" s="7"/>
      <x:c r="K115" s="7"/>
      <x:c r="L115" s="7"/>
      <x:c r="M115" s="7"/>
      <x:c r="N115" s="7"/>
      <x:c r="O115" s="2" t="str">
        <x:f>IF(A115="","",IF(COUNTIFS($A$7:$A$1506,A115)&gt;1,"Buchung-ID doppelt",IF(OR(NOT(ISNUMBER(B115)),C115="",NOT(ISNUMBER(F115)),H115="",L115=""),"Pflichtangaben fehlen",IF(COUNTIFS('Konten'!$A$7:$A$26,C115)&lt;&gt;1,"Konto nicht eindeutig",IF(J115&lt;&gt;"Ja","Zuordnung bestätigen",IF(OR(AND(H115="Einnahme",F115&lt;0),AND(H115="Ausgabe",F115&gt;0)),"Vorzeichen prüfen",IF(AND(H115="Umbuchung",OR(K115="",COUNTIFS($A$7:$A$1506,K115)&lt;&gt;1)),"Gegenbuchung fehlt",IF(AND(H115="Umbuchung",ROUND(SUMIFS($F$7:$F$1506,$A$7:$A$1506,K115)+F115,2)&lt;&gt;0),"Umbuchung abweichend",IF(OR(G115="",M115="",M115="offen",M115="teilbelegt",H115="Ungeklärt",H115="Bargeld"),"Beleg / Verwendung klären","vollständig erfasst")))))))))</x:f>
      </x:c>
    </x:row>
    <x:row r="116" ht="22" customHeight="1">
      <x:c r="A116" s="7"/>
      <x:c r="B116" s="8"/>
      <x:c r="C116" s="7"/>
      <x:c r="D116" s="7"/>
      <x:c r="E116" s="7"/>
      <x:c r="F116" s="20"/>
      <x:c r="G116" s="7"/>
      <x:c r="H116" s="7"/>
      <x:c r="I116" s="7"/>
      <x:c r="J116" s="7"/>
      <x:c r="K116" s="7"/>
      <x:c r="L116" s="7"/>
      <x:c r="M116" s="7"/>
      <x:c r="N116" s="7"/>
      <x:c r="O116" s="2" t="str">
        <x:f>IF(A116="","",IF(COUNTIFS($A$7:$A$1506,A116)&gt;1,"Buchung-ID doppelt",IF(OR(NOT(ISNUMBER(B116)),C116="",NOT(ISNUMBER(F116)),H116="",L116=""),"Pflichtangaben fehlen",IF(COUNTIFS('Konten'!$A$7:$A$26,C116)&lt;&gt;1,"Konto nicht eindeutig",IF(J116&lt;&gt;"Ja","Zuordnung bestätigen",IF(OR(AND(H116="Einnahme",F116&lt;0),AND(H116="Ausgabe",F116&gt;0)),"Vorzeichen prüfen",IF(AND(H116="Umbuchung",OR(K116="",COUNTIFS($A$7:$A$1506,K116)&lt;&gt;1)),"Gegenbuchung fehlt",IF(AND(H116="Umbuchung",ROUND(SUMIFS($F$7:$F$1506,$A$7:$A$1506,K116)+F116,2)&lt;&gt;0),"Umbuchung abweichend",IF(OR(G116="",M116="",M116="offen",M116="teilbelegt",H116="Ungeklärt",H116="Bargeld"),"Beleg / Verwendung klären","vollständig erfasst")))))))))</x:f>
      </x:c>
    </x:row>
    <x:row r="117" ht="22" customHeight="1">
      <x:c r="A117" s="7"/>
      <x:c r="B117" s="8"/>
      <x:c r="C117" s="7"/>
      <x:c r="D117" s="7"/>
      <x:c r="E117" s="7"/>
      <x:c r="F117" s="20"/>
      <x:c r="G117" s="7"/>
      <x:c r="H117" s="7"/>
      <x:c r="I117" s="7"/>
      <x:c r="J117" s="7"/>
      <x:c r="K117" s="7"/>
      <x:c r="L117" s="7"/>
      <x:c r="M117" s="7"/>
      <x:c r="N117" s="7"/>
      <x:c r="O117" s="2" t="str">
        <x:f>IF(A117="","",IF(COUNTIFS($A$7:$A$1506,A117)&gt;1,"Buchung-ID doppelt",IF(OR(NOT(ISNUMBER(B117)),C117="",NOT(ISNUMBER(F117)),H117="",L117=""),"Pflichtangaben fehlen",IF(COUNTIFS('Konten'!$A$7:$A$26,C117)&lt;&gt;1,"Konto nicht eindeutig",IF(J117&lt;&gt;"Ja","Zuordnung bestätigen",IF(OR(AND(H117="Einnahme",F117&lt;0),AND(H117="Ausgabe",F117&gt;0)),"Vorzeichen prüfen",IF(AND(H117="Umbuchung",OR(K117="",COUNTIFS($A$7:$A$1506,K117)&lt;&gt;1)),"Gegenbuchung fehlt",IF(AND(H117="Umbuchung",ROUND(SUMIFS($F$7:$F$1506,$A$7:$A$1506,K117)+F117,2)&lt;&gt;0),"Umbuchung abweichend",IF(OR(G117="",M117="",M117="offen",M117="teilbelegt",H117="Ungeklärt",H117="Bargeld"),"Beleg / Verwendung klären","vollständig erfasst")))))))))</x:f>
      </x:c>
    </x:row>
    <x:row r="118" ht="22" customHeight="1">
      <x:c r="A118" s="7"/>
      <x:c r="B118" s="8"/>
      <x:c r="C118" s="7"/>
      <x:c r="D118" s="7"/>
      <x:c r="E118" s="7"/>
      <x:c r="F118" s="20"/>
      <x:c r="G118" s="7"/>
      <x:c r="H118" s="7"/>
      <x:c r="I118" s="7"/>
      <x:c r="J118" s="7"/>
      <x:c r="K118" s="7"/>
      <x:c r="L118" s="7"/>
      <x:c r="M118" s="7"/>
      <x:c r="N118" s="7"/>
      <x:c r="O118" s="2" t="str">
        <x:f>IF(A118="","",IF(COUNTIFS($A$7:$A$1506,A118)&gt;1,"Buchung-ID doppelt",IF(OR(NOT(ISNUMBER(B118)),C118="",NOT(ISNUMBER(F118)),H118="",L118=""),"Pflichtangaben fehlen",IF(COUNTIFS('Konten'!$A$7:$A$26,C118)&lt;&gt;1,"Konto nicht eindeutig",IF(J118&lt;&gt;"Ja","Zuordnung bestätigen",IF(OR(AND(H118="Einnahme",F118&lt;0),AND(H118="Ausgabe",F118&gt;0)),"Vorzeichen prüfen",IF(AND(H118="Umbuchung",OR(K118="",COUNTIFS($A$7:$A$1506,K118)&lt;&gt;1)),"Gegenbuchung fehlt",IF(AND(H118="Umbuchung",ROUND(SUMIFS($F$7:$F$1506,$A$7:$A$1506,K118)+F118,2)&lt;&gt;0),"Umbuchung abweichend",IF(OR(G118="",M118="",M118="offen",M118="teilbelegt",H118="Ungeklärt",H118="Bargeld"),"Beleg / Verwendung klären","vollständig erfasst")))))))))</x:f>
      </x:c>
    </x:row>
    <x:row r="119" ht="22" customHeight="1">
      <x:c r="A119" s="7"/>
      <x:c r="B119" s="8"/>
      <x:c r="C119" s="7"/>
      <x:c r="D119" s="7"/>
      <x:c r="E119" s="7"/>
      <x:c r="F119" s="20"/>
      <x:c r="G119" s="7"/>
      <x:c r="H119" s="7"/>
      <x:c r="I119" s="7"/>
      <x:c r="J119" s="7"/>
      <x:c r="K119" s="7"/>
      <x:c r="L119" s="7"/>
      <x:c r="M119" s="7"/>
      <x:c r="N119" s="7"/>
      <x:c r="O119" s="2" t="str">
        <x:f>IF(A119="","",IF(COUNTIFS($A$7:$A$1506,A119)&gt;1,"Buchung-ID doppelt",IF(OR(NOT(ISNUMBER(B119)),C119="",NOT(ISNUMBER(F119)),H119="",L119=""),"Pflichtangaben fehlen",IF(COUNTIFS('Konten'!$A$7:$A$26,C119)&lt;&gt;1,"Konto nicht eindeutig",IF(J119&lt;&gt;"Ja","Zuordnung bestätigen",IF(OR(AND(H119="Einnahme",F119&lt;0),AND(H119="Ausgabe",F119&gt;0)),"Vorzeichen prüfen",IF(AND(H119="Umbuchung",OR(K119="",COUNTIFS($A$7:$A$1506,K119)&lt;&gt;1)),"Gegenbuchung fehlt",IF(AND(H119="Umbuchung",ROUND(SUMIFS($F$7:$F$1506,$A$7:$A$1506,K119)+F119,2)&lt;&gt;0),"Umbuchung abweichend",IF(OR(G119="",M119="",M119="offen",M119="teilbelegt",H119="Ungeklärt",H119="Bargeld"),"Beleg / Verwendung klären","vollständig erfasst")))))))))</x:f>
      </x:c>
    </x:row>
    <x:row r="120" ht="22" customHeight="1">
      <x:c r="A120" s="7"/>
      <x:c r="B120" s="8"/>
      <x:c r="C120" s="7"/>
      <x:c r="D120" s="7"/>
      <x:c r="E120" s="7"/>
      <x:c r="F120" s="20"/>
      <x:c r="G120" s="7"/>
      <x:c r="H120" s="7"/>
      <x:c r="I120" s="7"/>
      <x:c r="J120" s="7"/>
      <x:c r="K120" s="7"/>
      <x:c r="L120" s="7"/>
      <x:c r="M120" s="7"/>
      <x:c r="N120" s="7"/>
      <x:c r="O120" s="2" t="str">
        <x:f>IF(A120="","",IF(COUNTIFS($A$7:$A$1506,A120)&gt;1,"Buchung-ID doppelt",IF(OR(NOT(ISNUMBER(B120)),C120="",NOT(ISNUMBER(F120)),H120="",L120=""),"Pflichtangaben fehlen",IF(COUNTIFS('Konten'!$A$7:$A$26,C120)&lt;&gt;1,"Konto nicht eindeutig",IF(J120&lt;&gt;"Ja","Zuordnung bestätigen",IF(OR(AND(H120="Einnahme",F120&lt;0),AND(H120="Ausgabe",F120&gt;0)),"Vorzeichen prüfen",IF(AND(H120="Umbuchung",OR(K120="",COUNTIFS($A$7:$A$1506,K120)&lt;&gt;1)),"Gegenbuchung fehlt",IF(AND(H120="Umbuchung",ROUND(SUMIFS($F$7:$F$1506,$A$7:$A$1506,K120)+F120,2)&lt;&gt;0),"Umbuchung abweichend",IF(OR(G120="",M120="",M120="offen",M120="teilbelegt",H120="Ungeklärt",H120="Bargeld"),"Beleg / Verwendung klären","vollständig erfasst")))))))))</x:f>
      </x:c>
    </x:row>
    <x:row r="121" ht="22" customHeight="1">
      <x:c r="A121" s="7"/>
      <x:c r="B121" s="8"/>
      <x:c r="C121" s="7"/>
      <x:c r="D121" s="7"/>
      <x:c r="E121" s="7"/>
      <x:c r="F121" s="20"/>
      <x:c r="G121" s="7"/>
      <x:c r="H121" s="7"/>
      <x:c r="I121" s="7"/>
      <x:c r="J121" s="7"/>
      <x:c r="K121" s="7"/>
      <x:c r="L121" s="7"/>
      <x:c r="M121" s="7"/>
      <x:c r="N121" s="7"/>
      <x:c r="O121" s="2" t="str">
        <x:f>IF(A121="","",IF(COUNTIFS($A$7:$A$1506,A121)&gt;1,"Buchung-ID doppelt",IF(OR(NOT(ISNUMBER(B121)),C121="",NOT(ISNUMBER(F121)),H121="",L121=""),"Pflichtangaben fehlen",IF(COUNTIFS('Konten'!$A$7:$A$26,C121)&lt;&gt;1,"Konto nicht eindeutig",IF(J121&lt;&gt;"Ja","Zuordnung bestätigen",IF(OR(AND(H121="Einnahme",F121&lt;0),AND(H121="Ausgabe",F121&gt;0)),"Vorzeichen prüfen",IF(AND(H121="Umbuchung",OR(K121="",COUNTIFS($A$7:$A$1506,K121)&lt;&gt;1)),"Gegenbuchung fehlt",IF(AND(H121="Umbuchung",ROUND(SUMIFS($F$7:$F$1506,$A$7:$A$1506,K121)+F121,2)&lt;&gt;0),"Umbuchung abweichend",IF(OR(G121="",M121="",M121="offen",M121="teilbelegt",H121="Ungeklärt",H121="Bargeld"),"Beleg / Verwendung klären","vollständig erfasst")))))))))</x:f>
      </x:c>
    </x:row>
    <x:row r="122" ht="22" customHeight="1">
      <x:c r="A122" s="7"/>
      <x:c r="B122" s="8"/>
      <x:c r="C122" s="7"/>
      <x:c r="D122" s="7"/>
      <x:c r="E122" s="7"/>
      <x:c r="F122" s="20"/>
      <x:c r="G122" s="7"/>
      <x:c r="H122" s="7"/>
      <x:c r="I122" s="7"/>
      <x:c r="J122" s="7"/>
      <x:c r="K122" s="7"/>
      <x:c r="L122" s="7"/>
      <x:c r="M122" s="7"/>
      <x:c r="N122" s="7"/>
      <x:c r="O122" s="2" t="str">
        <x:f>IF(A122="","",IF(COUNTIFS($A$7:$A$1506,A122)&gt;1,"Buchung-ID doppelt",IF(OR(NOT(ISNUMBER(B122)),C122="",NOT(ISNUMBER(F122)),H122="",L122=""),"Pflichtangaben fehlen",IF(COUNTIFS('Konten'!$A$7:$A$26,C122)&lt;&gt;1,"Konto nicht eindeutig",IF(J122&lt;&gt;"Ja","Zuordnung bestätigen",IF(OR(AND(H122="Einnahme",F122&lt;0),AND(H122="Ausgabe",F122&gt;0)),"Vorzeichen prüfen",IF(AND(H122="Umbuchung",OR(K122="",COUNTIFS($A$7:$A$1506,K122)&lt;&gt;1)),"Gegenbuchung fehlt",IF(AND(H122="Umbuchung",ROUND(SUMIFS($F$7:$F$1506,$A$7:$A$1506,K122)+F122,2)&lt;&gt;0),"Umbuchung abweichend",IF(OR(G122="",M122="",M122="offen",M122="teilbelegt",H122="Ungeklärt",H122="Bargeld"),"Beleg / Verwendung klären","vollständig erfasst")))))))))</x:f>
      </x:c>
    </x:row>
    <x:row r="123" ht="22" customHeight="1">
      <x:c r="A123" s="7"/>
      <x:c r="B123" s="8"/>
      <x:c r="C123" s="7"/>
      <x:c r="D123" s="7"/>
      <x:c r="E123" s="7"/>
      <x:c r="F123" s="20"/>
      <x:c r="G123" s="7"/>
      <x:c r="H123" s="7"/>
      <x:c r="I123" s="7"/>
      <x:c r="J123" s="7"/>
      <x:c r="K123" s="7"/>
      <x:c r="L123" s="7"/>
      <x:c r="M123" s="7"/>
      <x:c r="N123" s="7"/>
      <x:c r="O123" s="2" t="str">
        <x:f>IF(A123="","",IF(COUNTIFS($A$7:$A$1506,A123)&gt;1,"Buchung-ID doppelt",IF(OR(NOT(ISNUMBER(B123)),C123="",NOT(ISNUMBER(F123)),H123="",L123=""),"Pflichtangaben fehlen",IF(COUNTIFS('Konten'!$A$7:$A$26,C123)&lt;&gt;1,"Konto nicht eindeutig",IF(J123&lt;&gt;"Ja","Zuordnung bestätigen",IF(OR(AND(H123="Einnahme",F123&lt;0),AND(H123="Ausgabe",F123&gt;0)),"Vorzeichen prüfen",IF(AND(H123="Umbuchung",OR(K123="",COUNTIFS($A$7:$A$1506,K123)&lt;&gt;1)),"Gegenbuchung fehlt",IF(AND(H123="Umbuchung",ROUND(SUMIFS($F$7:$F$1506,$A$7:$A$1506,K123)+F123,2)&lt;&gt;0),"Umbuchung abweichend",IF(OR(G123="",M123="",M123="offen",M123="teilbelegt",H123="Ungeklärt",H123="Bargeld"),"Beleg / Verwendung klären","vollständig erfasst")))))))))</x:f>
      </x:c>
    </x:row>
    <x:row r="124" ht="22" customHeight="1">
      <x:c r="A124" s="7"/>
      <x:c r="B124" s="8"/>
      <x:c r="C124" s="7"/>
      <x:c r="D124" s="7"/>
      <x:c r="E124" s="7"/>
      <x:c r="F124" s="20"/>
      <x:c r="G124" s="7"/>
      <x:c r="H124" s="7"/>
      <x:c r="I124" s="7"/>
      <x:c r="J124" s="7"/>
      <x:c r="K124" s="7"/>
      <x:c r="L124" s="7"/>
      <x:c r="M124" s="7"/>
      <x:c r="N124" s="7"/>
      <x:c r="O124" s="2" t="str">
        <x:f>IF(A124="","",IF(COUNTIFS($A$7:$A$1506,A124)&gt;1,"Buchung-ID doppelt",IF(OR(NOT(ISNUMBER(B124)),C124="",NOT(ISNUMBER(F124)),H124="",L124=""),"Pflichtangaben fehlen",IF(COUNTIFS('Konten'!$A$7:$A$26,C124)&lt;&gt;1,"Konto nicht eindeutig",IF(J124&lt;&gt;"Ja","Zuordnung bestätigen",IF(OR(AND(H124="Einnahme",F124&lt;0),AND(H124="Ausgabe",F124&gt;0)),"Vorzeichen prüfen",IF(AND(H124="Umbuchung",OR(K124="",COUNTIFS($A$7:$A$1506,K124)&lt;&gt;1)),"Gegenbuchung fehlt",IF(AND(H124="Umbuchung",ROUND(SUMIFS($F$7:$F$1506,$A$7:$A$1506,K124)+F124,2)&lt;&gt;0),"Umbuchung abweichend",IF(OR(G124="",M124="",M124="offen",M124="teilbelegt",H124="Ungeklärt",H124="Bargeld"),"Beleg / Verwendung klären","vollständig erfasst")))))))))</x:f>
      </x:c>
    </x:row>
    <x:row r="125" ht="22" customHeight="1">
      <x:c r="A125" s="7"/>
      <x:c r="B125" s="8"/>
      <x:c r="C125" s="7"/>
      <x:c r="D125" s="7"/>
      <x:c r="E125" s="7"/>
      <x:c r="F125" s="20"/>
      <x:c r="G125" s="7"/>
      <x:c r="H125" s="7"/>
      <x:c r="I125" s="7"/>
      <x:c r="J125" s="7"/>
      <x:c r="K125" s="7"/>
      <x:c r="L125" s="7"/>
      <x:c r="M125" s="7"/>
      <x:c r="N125" s="7"/>
      <x:c r="O125" s="2" t="str">
        <x:f>IF(A125="","",IF(COUNTIFS($A$7:$A$1506,A125)&gt;1,"Buchung-ID doppelt",IF(OR(NOT(ISNUMBER(B125)),C125="",NOT(ISNUMBER(F125)),H125="",L125=""),"Pflichtangaben fehlen",IF(COUNTIFS('Konten'!$A$7:$A$26,C125)&lt;&gt;1,"Konto nicht eindeutig",IF(J125&lt;&gt;"Ja","Zuordnung bestätigen",IF(OR(AND(H125="Einnahme",F125&lt;0),AND(H125="Ausgabe",F125&gt;0)),"Vorzeichen prüfen",IF(AND(H125="Umbuchung",OR(K125="",COUNTIFS($A$7:$A$1506,K125)&lt;&gt;1)),"Gegenbuchung fehlt",IF(AND(H125="Umbuchung",ROUND(SUMIFS($F$7:$F$1506,$A$7:$A$1506,K125)+F125,2)&lt;&gt;0),"Umbuchung abweichend",IF(OR(G125="",M125="",M125="offen",M125="teilbelegt",H125="Ungeklärt",H125="Bargeld"),"Beleg / Verwendung klären","vollständig erfasst")))))))))</x:f>
      </x:c>
    </x:row>
    <x:row r="126" ht="22" customHeight="1">
      <x:c r="A126" s="7"/>
      <x:c r="B126" s="8"/>
      <x:c r="C126" s="7"/>
      <x:c r="D126" s="7"/>
      <x:c r="E126" s="7"/>
      <x:c r="F126" s="20"/>
      <x:c r="G126" s="7"/>
      <x:c r="H126" s="7"/>
      <x:c r="I126" s="7"/>
      <x:c r="J126" s="7"/>
      <x:c r="K126" s="7"/>
      <x:c r="L126" s="7"/>
      <x:c r="M126" s="7"/>
      <x:c r="N126" s="7"/>
      <x:c r="O126" s="2" t="str">
        <x:f>IF(A126="","",IF(COUNTIFS($A$7:$A$1506,A126)&gt;1,"Buchung-ID doppelt",IF(OR(NOT(ISNUMBER(B126)),C126="",NOT(ISNUMBER(F126)),H126="",L126=""),"Pflichtangaben fehlen",IF(COUNTIFS('Konten'!$A$7:$A$26,C126)&lt;&gt;1,"Konto nicht eindeutig",IF(J126&lt;&gt;"Ja","Zuordnung bestätigen",IF(OR(AND(H126="Einnahme",F126&lt;0),AND(H126="Ausgabe",F126&gt;0)),"Vorzeichen prüfen",IF(AND(H126="Umbuchung",OR(K126="",COUNTIFS($A$7:$A$1506,K126)&lt;&gt;1)),"Gegenbuchung fehlt",IF(AND(H126="Umbuchung",ROUND(SUMIFS($F$7:$F$1506,$A$7:$A$1506,K126)+F126,2)&lt;&gt;0),"Umbuchung abweichend",IF(OR(G126="",M126="",M126="offen",M126="teilbelegt",H126="Ungeklärt",H126="Bargeld"),"Beleg / Verwendung klären","vollständig erfasst")))))))))</x:f>
      </x:c>
    </x:row>
    <x:row r="127" ht="22" customHeight="1">
      <x:c r="A127" s="7"/>
      <x:c r="B127" s="8"/>
      <x:c r="C127" s="7"/>
      <x:c r="D127" s="7"/>
      <x:c r="E127" s="7"/>
      <x:c r="F127" s="20"/>
      <x:c r="G127" s="7"/>
      <x:c r="H127" s="7"/>
      <x:c r="I127" s="7"/>
      <x:c r="J127" s="7"/>
      <x:c r="K127" s="7"/>
      <x:c r="L127" s="7"/>
      <x:c r="M127" s="7"/>
      <x:c r="N127" s="7"/>
      <x:c r="O127" s="2" t="str">
        <x:f>IF(A127="","",IF(COUNTIFS($A$7:$A$1506,A127)&gt;1,"Buchung-ID doppelt",IF(OR(NOT(ISNUMBER(B127)),C127="",NOT(ISNUMBER(F127)),H127="",L127=""),"Pflichtangaben fehlen",IF(COUNTIFS('Konten'!$A$7:$A$26,C127)&lt;&gt;1,"Konto nicht eindeutig",IF(J127&lt;&gt;"Ja","Zuordnung bestätigen",IF(OR(AND(H127="Einnahme",F127&lt;0),AND(H127="Ausgabe",F127&gt;0)),"Vorzeichen prüfen",IF(AND(H127="Umbuchung",OR(K127="",COUNTIFS($A$7:$A$1506,K127)&lt;&gt;1)),"Gegenbuchung fehlt",IF(AND(H127="Umbuchung",ROUND(SUMIFS($F$7:$F$1506,$A$7:$A$1506,K127)+F127,2)&lt;&gt;0),"Umbuchung abweichend",IF(OR(G127="",M127="",M127="offen",M127="teilbelegt",H127="Ungeklärt",H127="Bargeld"),"Beleg / Verwendung klären","vollständig erfasst")))))))))</x:f>
      </x:c>
    </x:row>
    <x:row r="128" ht="22" customHeight="1">
      <x:c r="A128" s="7"/>
      <x:c r="B128" s="8"/>
      <x:c r="C128" s="7"/>
      <x:c r="D128" s="7"/>
      <x:c r="E128" s="7"/>
      <x:c r="F128" s="20"/>
      <x:c r="G128" s="7"/>
      <x:c r="H128" s="7"/>
      <x:c r="I128" s="7"/>
      <x:c r="J128" s="7"/>
      <x:c r="K128" s="7"/>
      <x:c r="L128" s="7"/>
      <x:c r="M128" s="7"/>
      <x:c r="N128" s="7"/>
      <x:c r="O128" s="2" t="str">
        <x:f>IF(A128="","",IF(COUNTIFS($A$7:$A$1506,A128)&gt;1,"Buchung-ID doppelt",IF(OR(NOT(ISNUMBER(B128)),C128="",NOT(ISNUMBER(F128)),H128="",L128=""),"Pflichtangaben fehlen",IF(COUNTIFS('Konten'!$A$7:$A$26,C128)&lt;&gt;1,"Konto nicht eindeutig",IF(J128&lt;&gt;"Ja","Zuordnung bestätigen",IF(OR(AND(H128="Einnahme",F128&lt;0),AND(H128="Ausgabe",F128&gt;0)),"Vorzeichen prüfen",IF(AND(H128="Umbuchung",OR(K128="",COUNTIFS($A$7:$A$1506,K128)&lt;&gt;1)),"Gegenbuchung fehlt",IF(AND(H128="Umbuchung",ROUND(SUMIFS($F$7:$F$1506,$A$7:$A$1506,K128)+F128,2)&lt;&gt;0),"Umbuchung abweichend",IF(OR(G128="",M128="",M128="offen",M128="teilbelegt",H128="Ungeklärt",H128="Bargeld"),"Beleg / Verwendung klären","vollständig erfasst")))))))))</x:f>
      </x:c>
    </x:row>
    <x:row r="129" ht="22" customHeight="1">
      <x:c r="A129" s="7"/>
      <x:c r="B129" s="8"/>
      <x:c r="C129" s="7"/>
      <x:c r="D129" s="7"/>
      <x:c r="E129" s="7"/>
      <x:c r="F129" s="20"/>
      <x:c r="G129" s="7"/>
      <x:c r="H129" s="7"/>
      <x:c r="I129" s="7"/>
      <x:c r="J129" s="7"/>
      <x:c r="K129" s="7"/>
      <x:c r="L129" s="7"/>
      <x:c r="M129" s="7"/>
      <x:c r="N129" s="7"/>
      <x:c r="O129" s="2" t="str">
        <x:f>IF(A129="","",IF(COUNTIFS($A$7:$A$1506,A129)&gt;1,"Buchung-ID doppelt",IF(OR(NOT(ISNUMBER(B129)),C129="",NOT(ISNUMBER(F129)),H129="",L129=""),"Pflichtangaben fehlen",IF(COUNTIFS('Konten'!$A$7:$A$26,C129)&lt;&gt;1,"Konto nicht eindeutig",IF(J129&lt;&gt;"Ja","Zuordnung bestätigen",IF(OR(AND(H129="Einnahme",F129&lt;0),AND(H129="Ausgabe",F129&gt;0)),"Vorzeichen prüfen",IF(AND(H129="Umbuchung",OR(K129="",COUNTIFS($A$7:$A$1506,K129)&lt;&gt;1)),"Gegenbuchung fehlt",IF(AND(H129="Umbuchung",ROUND(SUMIFS($F$7:$F$1506,$A$7:$A$1506,K129)+F129,2)&lt;&gt;0),"Umbuchung abweichend",IF(OR(G129="",M129="",M129="offen",M129="teilbelegt",H129="Ungeklärt",H129="Bargeld"),"Beleg / Verwendung klären","vollständig erfasst")))))))))</x:f>
      </x:c>
    </x:row>
    <x:row r="130" ht="22" customHeight="1">
      <x:c r="A130" s="7"/>
      <x:c r="B130" s="8"/>
      <x:c r="C130" s="7"/>
      <x:c r="D130" s="7"/>
      <x:c r="E130" s="7"/>
      <x:c r="F130" s="20"/>
      <x:c r="G130" s="7"/>
      <x:c r="H130" s="7"/>
      <x:c r="I130" s="7"/>
      <x:c r="J130" s="7"/>
      <x:c r="K130" s="7"/>
      <x:c r="L130" s="7"/>
      <x:c r="M130" s="7"/>
      <x:c r="N130" s="7"/>
      <x:c r="O130" s="2" t="str">
        <x:f>IF(A130="","",IF(COUNTIFS($A$7:$A$1506,A130)&gt;1,"Buchung-ID doppelt",IF(OR(NOT(ISNUMBER(B130)),C130="",NOT(ISNUMBER(F130)),H130="",L130=""),"Pflichtangaben fehlen",IF(COUNTIFS('Konten'!$A$7:$A$26,C130)&lt;&gt;1,"Konto nicht eindeutig",IF(J130&lt;&gt;"Ja","Zuordnung bestätigen",IF(OR(AND(H130="Einnahme",F130&lt;0),AND(H130="Ausgabe",F130&gt;0)),"Vorzeichen prüfen",IF(AND(H130="Umbuchung",OR(K130="",COUNTIFS($A$7:$A$1506,K130)&lt;&gt;1)),"Gegenbuchung fehlt",IF(AND(H130="Umbuchung",ROUND(SUMIFS($F$7:$F$1506,$A$7:$A$1506,K130)+F130,2)&lt;&gt;0),"Umbuchung abweichend",IF(OR(G130="",M130="",M130="offen",M130="teilbelegt",H130="Ungeklärt",H130="Bargeld"),"Beleg / Verwendung klären","vollständig erfasst")))))))))</x:f>
      </x:c>
    </x:row>
    <x:row r="131" ht="22" customHeight="1">
      <x:c r="A131" s="7"/>
      <x:c r="B131" s="8"/>
      <x:c r="C131" s="7"/>
      <x:c r="D131" s="7"/>
      <x:c r="E131" s="7"/>
      <x:c r="F131" s="20"/>
      <x:c r="G131" s="7"/>
      <x:c r="H131" s="7"/>
      <x:c r="I131" s="7"/>
      <x:c r="J131" s="7"/>
      <x:c r="K131" s="7"/>
      <x:c r="L131" s="7"/>
      <x:c r="M131" s="7"/>
      <x:c r="N131" s="7"/>
      <x:c r="O131" s="2" t="str">
        <x:f>IF(A131="","",IF(COUNTIFS($A$7:$A$1506,A131)&gt;1,"Buchung-ID doppelt",IF(OR(NOT(ISNUMBER(B131)),C131="",NOT(ISNUMBER(F131)),H131="",L131=""),"Pflichtangaben fehlen",IF(COUNTIFS('Konten'!$A$7:$A$26,C131)&lt;&gt;1,"Konto nicht eindeutig",IF(J131&lt;&gt;"Ja","Zuordnung bestätigen",IF(OR(AND(H131="Einnahme",F131&lt;0),AND(H131="Ausgabe",F131&gt;0)),"Vorzeichen prüfen",IF(AND(H131="Umbuchung",OR(K131="",COUNTIFS($A$7:$A$1506,K131)&lt;&gt;1)),"Gegenbuchung fehlt",IF(AND(H131="Umbuchung",ROUND(SUMIFS($F$7:$F$1506,$A$7:$A$1506,K131)+F131,2)&lt;&gt;0),"Umbuchung abweichend",IF(OR(G131="",M131="",M131="offen",M131="teilbelegt",H131="Ungeklärt",H131="Bargeld"),"Beleg / Verwendung klären","vollständig erfasst")))))))))</x:f>
      </x:c>
    </x:row>
    <x:row r="132" ht="22" customHeight="1">
      <x:c r="A132" s="7"/>
      <x:c r="B132" s="8"/>
      <x:c r="C132" s="7"/>
      <x:c r="D132" s="7"/>
      <x:c r="E132" s="7"/>
      <x:c r="F132" s="20"/>
      <x:c r="G132" s="7"/>
      <x:c r="H132" s="7"/>
      <x:c r="I132" s="7"/>
      <x:c r="J132" s="7"/>
      <x:c r="K132" s="7"/>
      <x:c r="L132" s="7"/>
      <x:c r="M132" s="7"/>
      <x:c r="N132" s="7"/>
      <x:c r="O132" s="2" t="str">
        <x:f>IF(A132="","",IF(COUNTIFS($A$7:$A$1506,A132)&gt;1,"Buchung-ID doppelt",IF(OR(NOT(ISNUMBER(B132)),C132="",NOT(ISNUMBER(F132)),H132="",L132=""),"Pflichtangaben fehlen",IF(COUNTIFS('Konten'!$A$7:$A$26,C132)&lt;&gt;1,"Konto nicht eindeutig",IF(J132&lt;&gt;"Ja","Zuordnung bestätigen",IF(OR(AND(H132="Einnahme",F132&lt;0),AND(H132="Ausgabe",F132&gt;0)),"Vorzeichen prüfen",IF(AND(H132="Umbuchung",OR(K132="",COUNTIFS($A$7:$A$1506,K132)&lt;&gt;1)),"Gegenbuchung fehlt",IF(AND(H132="Umbuchung",ROUND(SUMIFS($F$7:$F$1506,$A$7:$A$1506,K132)+F132,2)&lt;&gt;0),"Umbuchung abweichend",IF(OR(G132="",M132="",M132="offen",M132="teilbelegt",H132="Ungeklärt",H132="Bargeld"),"Beleg / Verwendung klären","vollständig erfasst")))))))))</x:f>
      </x:c>
    </x:row>
    <x:row r="133" ht="22" customHeight="1">
      <x:c r="A133" s="7"/>
      <x:c r="B133" s="8"/>
      <x:c r="C133" s="7"/>
      <x:c r="D133" s="7"/>
      <x:c r="E133" s="7"/>
      <x:c r="F133" s="20"/>
      <x:c r="G133" s="7"/>
      <x:c r="H133" s="7"/>
      <x:c r="I133" s="7"/>
      <x:c r="J133" s="7"/>
      <x:c r="K133" s="7"/>
      <x:c r="L133" s="7"/>
      <x:c r="M133" s="7"/>
      <x:c r="N133" s="7"/>
      <x:c r="O133" s="2" t="str">
        <x:f>IF(A133="","",IF(COUNTIFS($A$7:$A$1506,A133)&gt;1,"Buchung-ID doppelt",IF(OR(NOT(ISNUMBER(B133)),C133="",NOT(ISNUMBER(F133)),H133="",L133=""),"Pflichtangaben fehlen",IF(COUNTIFS('Konten'!$A$7:$A$26,C133)&lt;&gt;1,"Konto nicht eindeutig",IF(J133&lt;&gt;"Ja","Zuordnung bestätigen",IF(OR(AND(H133="Einnahme",F133&lt;0),AND(H133="Ausgabe",F133&gt;0)),"Vorzeichen prüfen",IF(AND(H133="Umbuchung",OR(K133="",COUNTIFS($A$7:$A$1506,K133)&lt;&gt;1)),"Gegenbuchung fehlt",IF(AND(H133="Umbuchung",ROUND(SUMIFS($F$7:$F$1506,$A$7:$A$1506,K133)+F133,2)&lt;&gt;0),"Umbuchung abweichend",IF(OR(G133="",M133="",M133="offen",M133="teilbelegt",H133="Ungeklärt",H133="Bargeld"),"Beleg / Verwendung klären","vollständig erfasst")))))))))</x:f>
      </x:c>
    </x:row>
    <x:row r="134" ht="22" customHeight="1">
      <x:c r="A134" s="7"/>
      <x:c r="B134" s="8"/>
      <x:c r="C134" s="7"/>
      <x:c r="D134" s="7"/>
      <x:c r="E134" s="7"/>
      <x:c r="F134" s="20"/>
      <x:c r="G134" s="7"/>
      <x:c r="H134" s="7"/>
      <x:c r="I134" s="7"/>
      <x:c r="J134" s="7"/>
      <x:c r="K134" s="7"/>
      <x:c r="L134" s="7"/>
      <x:c r="M134" s="7"/>
      <x:c r="N134" s="7"/>
      <x:c r="O134" s="2" t="str">
        <x:f>IF(A134="","",IF(COUNTIFS($A$7:$A$1506,A134)&gt;1,"Buchung-ID doppelt",IF(OR(NOT(ISNUMBER(B134)),C134="",NOT(ISNUMBER(F134)),H134="",L134=""),"Pflichtangaben fehlen",IF(COUNTIFS('Konten'!$A$7:$A$26,C134)&lt;&gt;1,"Konto nicht eindeutig",IF(J134&lt;&gt;"Ja","Zuordnung bestätigen",IF(OR(AND(H134="Einnahme",F134&lt;0),AND(H134="Ausgabe",F134&gt;0)),"Vorzeichen prüfen",IF(AND(H134="Umbuchung",OR(K134="",COUNTIFS($A$7:$A$1506,K134)&lt;&gt;1)),"Gegenbuchung fehlt",IF(AND(H134="Umbuchung",ROUND(SUMIFS($F$7:$F$1506,$A$7:$A$1506,K134)+F134,2)&lt;&gt;0),"Umbuchung abweichend",IF(OR(G134="",M134="",M134="offen",M134="teilbelegt",H134="Ungeklärt",H134="Bargeld"),"Beleg / Verwendung klären","vollständig erfasst")))))))))</x:f>
      </x:c>
    </x:row>
    <x:row r="135" ht="22" customHeight="1">
      <x:c r="A135" s="7"/>
      <x:c r="B135" s="8"/>
      <x:c r="C135" s="7"/>
      <x:c r="D135" s="7"/>
      <x:c r="E135" s="7"/>
      <x:c r="F135" s="20"/>
      <x:c r="G135" s="7"/>
      <x:c r="H135" s="7"/>
      <x:c r="I135" s="7"/>
      <x:c r="J135" s="7"/>
      <x:c r="K135" s="7"/>
      <x:c r="L135" s="7"/>
      <x:c r="M135" s="7"/>
      <x:c r="N135" s="7"/>
      <x:c r="O135" s="2" t="str">
        <x:f>IF(A135="","",IF(COUNTIFS($A$7:$A$1506,A135)&gt;1,"Buchung-ID doppelt",IF(OR(NOT(ISNUMBER(B135)),C135="",NOT(ISNUMBER(F135)),H135="",L135=""),"Pflichtangaben fehlen",IF(COUNTIFS('Konten'!$A$7:$A$26,C135)&lt;&gt;1,"Konto nicht eindeutig",IF(J135&lt;&gt;"Ja","Zuordnung bestätigen",IF(OR(AND(H135="Einnahme",F135&lt;0),AND(H135="Ausgabe",F135&gt;0)),"Vorzeichen prüfen",IF(AND(H135="Umbuchung",OR(K135="",COUNTIFS($A$7:$A$1506,K135)&lt;&gt;1)),"Gegenbuchung fehlt",IF(AND(H135="Umbuchung",ROUND(SUMIFS($F$7:$F$1506,$A$7:$A$1506,K135)+F135,2)&lt;&gt;0),"Umbuchung abweichend",IF(OR(G135="",M135="",M135="offen",M135="teilbelegt",H135="Ungeklärt",H135="Bargeld"),"Beleg / Verwendung klären","vollständig erfasst")))))))))</x:f>
      </x:c>
    </x:row>
    <x:row r="136" ht="22" customHeight="1">
      <x:c r="A136" s="7"/>
      <x:c r="B136" s="8"/>
      <x:c r="C136" s="7"/>
      <x:c r="D136" s="7"/>
      <x:c r="E136" s="7"/>
      <x:c r="F136" s="20"/>
      <x:c r="G136" s="7"/>
      <x:c r="H136" s="7"/>
      <x:c r="I136" s="7"/>
      <x:c r="J136" s="7"/>
      <x:c r="K136" s="7"/>
      <x:c r="L136" s="7"/>
      <x:c r="M136" s="7"/>
      <x:c r="N136" s="7"/>
      <x:c r="O136" s="2" t="str">
        <x:f>IF(A136="","",IF(COUNTIFS($A$7:$A$1506,A136)&gt;1,"Buchung-ID doppelt",IF(OR(NOT(ISNUMBER(B136)),C136="",NOT(ISNUMBER(F136)),H136="",L136=""),"Pflichtangaben fehlen",IF(COUNTIFS('Konten'!$A$7:$A$26,C136)&lt;&gt;1,"Konto nicht eindeutig",IF(J136&lt;&gt;"Ja","Zuordnung bestätigen",IF(OR(AND(H136="Einnahme",F136&lt;0),AND(H136="Ausgabe",F136&gt;0)),"Vorzeichen prüfen",IF(AND(H136="Umbuchung",OR(K136="",COUNTIFS($A$7:$A$1506,K136)&lt;&gt;1)),"Gegenbuchung fehlt",IF(AND(H136="Umbuchung",ROUND(SUMIFS($F$7:$F$1506,$A$7:$A$1506,K136)+F136,2)&lt;&gt;0),"Umbuchung abweichend",IF(OR(G136="",M136="",M136="offen",M136="teilbelegt",H136="Ungeklärt",H136="Bargeld"),"Beleg / Verwendung klären","vollständig erfasst")))))))))</x:f>
      </x:c>
    </x:row>
    <x:row r="137" ht="22" customHeight="1">
      <x:c r="A137" s="7"/>
      <x:c r="B137" s="8"/>
      <x:c r="C137" s="7"/>
      <x:c r="D137" s="7"/>
      <x:c r="E137" s="7"/>
      <x:c r="F137" s="20"/>
      <x:c r="G137" s="7"/>
      <x:c r="H137" s="7"/>
      <x:c r="I137" s="7"/>
      <x:c r="J137" s="7"/>
      <x:c r="K137" s="7"/>
      <x:c r="L137" s="7"/>
      <x:c r="M137" s="7"/>
      <x:c r="N137" s="7"/>
      <x:c r="O137" s="2" t="str">
        <x:f>IF(A137="","",IF(COUNTIFS($A$7:$A$1506,A137)&gt;1,"Buchung-ID doppelt",IF(OR(NOT(ISNUMBER(B137)),C137="",NOT(ISNUMBER(F137)),H137="",L137=""),"Pflichtangaben fehlen",IF(COUNTIFS('Konten'!$A$7:$A$26,C137)&lt;&gt;1,"Konto nicht eindeutig",IF(J137&lt;&gt;"Ja","Zuordnung bestätigen",IF(OR(AND(H137="Einnahme",F137&lt;0),AND(H137="Ausgabe",F137&gt;0)),"Vorzeichen prüfen",IF(AND(H137="Umbuchung",OR(K137="",COUNTIFS($A$7:$A$1506,K137)&lt;&gt;1)),"Gegenbuchung fehlt",IF(AND(H137="Umbuchung",ROUND(SUMIFS($F$7:$F$1506,$A$7:$A$1506,K137)+F137,2)&lt;&gt;0),"Umbuchung abweichend",IF(OR(G137="",M137="",M137="offen",M137="teilbelegt",H137="Ungeklärt",H137="Bargeld"),"Beleg / Verwendung klären","vollständig erfasst")))))))))</x:f>
      </x:c>
    </x:row>
    <x:row r="138" ht="22" customHeight="1">
      <x:c r="A138" s="7"/>
      <x:c r="B138" s="8"/>
      <x:c r="C138" s="7"/>
      <x:c r="D138" s="7"/>
      <x:c r="E138" s="7"/>
      <x:c r="F138" s="20"/>
      <x:c r="G138" s="7"/>
      <x:c r="H138" s="7"/>
      <x:c r="I138" s="7"/>
      <x:c r="J138" s="7"/>
      <x:c r="K138" s="7"/>
      <x:c r="L138" s="7"/>
      <x:c r="M138" s="7"/>
      <x:c r="N138" s="7"/>
      <x:c r="O138" s="2" t="str">
        <x:f>IF(A138="","",IF(COUNTIFS($A$7:$A$1506,A138)&gt;1,"Buchung-ID doppelt",IF(OR(NOT(ISNUMBER(B138)),C138="",NOT(ISNUMBER(F138)),H138="",L138=""),"Pflichtangaben fehlen",IF(COUNTIFS('Konten'!$A$7:$A$26,C138)&lt;&gt;1,"Konto nicht eindeutig",IF(J138&lt;&gt;"Ja","Zuordnung bestätigen",IF(OR(AND(H138="Einnahme",F138&lt;0),AND(H138="Ausgabe",F138&gt;0)),"Vorzeichen prüfen",IF(AND(H138="Umbuchung",OR(K138="",COUNTIFS($A$7:$A$1506,K138)&lt;&gt;1)),"Gegenbuchung fehlt",IF(AND(H138="Umbuchung",ROUND(SUMIFS($F$7:$F$1506,$A$7:$A$1506,K138)+F138,2)&lt;&gt;0),"Umbuchung abweichend",IF(OR(G138="",M138="",M138="offen",M138="teilbelegt",H138="Ungeklärt",H138="Bargeld"),"Beleg / Verwendung klären","vollständig erfasst")))))))))</x:f>
      </x:c>
    </x:row>
    <x:row r="139" ht="22" customHeight="1">
      <x:c r="A139" s="7"/>
      <x:c r="B139" s="8"/>
      <x:c r="C139" s="7"/>
      <x:c r="D139" s="7"/>
      <x:c r="E139" s="7"/>
      <x:c r="F139" s="20"/>
      <x:c r="G139" s="7"/>
      <x:c r="H139" s="7"/>
      <x:c r="I139" s="7"/>
      <x:c r="J139" s="7"/>
      <x:c r="K139" s="7"/>
      <x:c r="L139" s="7"/>
      <x:c r="M139" s="7"/>
      <x:c r="N139" s="7"/>
      <x:c r="O139" s="2" t="str">
        <x:f>IF(A139="","",IF(COUNTIFS($A$7:$A$1506,A139)&gt;1,"Buchung-ID doppelt",IF(OR(NOT(ISNUMBER(B139)),C139="",NOT(ISNUMBER(F139)),H139="",L139=""),"Pflichtangaben fehlen",IF(COUNTIFS('Konten'!$A$7:$A$26,C139)&lt;&gt;1,"Konto nicht eindeutig",IF(J139&lt;&gt;"Ja","Zuordnung bestätigen",IF(OR(AND(H139="Einnahme",F139&lt;0),AND(H139="Ausgabe",F139&gt;0)),"Vorzeichen prüfen",IF(AND(H139="Umbuchung",OR(K139="",COUNTIFS($A$7:$A$1506,K139)&lt;&gt;1)),"Gegenbuchung fehlt",IF(AND(H139="Umbuchung",ROUND(SUMIFS($F$7:$F$1506,$A$7:$A$1506,K139)+F139,2)&lt;&gt;0),"Umbuchung abweichend",IF(OR(G139="",M139="",M139="offen",M139="teilbelegt",H139="Ungeklärt",H139="Bargeld"),"Beleg / Verwendung klären","vollständig erfasst")))))))))</x:f>
      </x:c>
    </x:row>
    <x:row r="140" ht="22" customHeight="1">
      <x:c r="A140" s="7"/>
      <x:c r="B140" s="8"/>
      <x:c r="C140" s="7"/>
      <x:c r="D140" s="7"/>
      <x:c r="E140" s="7"/>
      <x:c r="F140" s="20"/>
      <x:c r="G140" s="7"/>
      <x:c r="H140" s="7"/>
      <x:c r="I140" s="7"/>
      <x:c r="J140" s="7"/>
      <x:c r="K140" s="7"/>
      <x:c r="L140" s="7"/>
      <x:c r="M140" s="7"/>
      <x:c r="N140" s="7"/>
      <x:c r="O140" s="2" t="str">
        <x:f>IF(A140="","",IF(COUNTIFS($A$7:$A$1506,A140)&gt;1,"Buchung-ID doppelt",IF(OR(NOT(ISNUMBER(B140)),C140="",NOT(ISNUMBER(F140)),H140="",L140=""),"Pflichtangaben fehlen",IF(COUNTIFS('Konten'!$A$7:$A$26,C140)&lt;&gt;1,"Konto nicht eindeutig",IF(J140&lt;&gt;"Ja","Zuordnung bestätigen",IF(OR(AND(H140="Einnahme",F140&lt;0),AND(H140="Ausgabe",F140&gt;0)),"Vorzeichen prüfen",IF(AND(H140="Umbuchung",OR(K140="",COUNTIFS($A$7:$A$1506,K140)&lt;&gt;1)),"Gegenbuchung fehlt",IF(AND(H140="Umbuchung",ROUND(SUMIFS($F$7:$F$1506,$A$7:$A$1506,K140)+F140,2)&lt;&gt;0),"Umbuchung abweichend",IF(OR(G140="",M140="",M140="offen",M140="teilbelegt",H140="Ungeklärt",H140="Bargeld"),"Beleg / Verwendung klären","vollständig erfasst")))))))))</x:f>
      </x:c>
    </x:row>
    <x:row r="141" ht="22" customHeight="1">
      <x:c r="A141" s="7"/>
      <x:c r="B141" s="8"/>
      <x:c r="C141" s="7"/>
      <x:c r="D141" s="7"/>
      <x:c r="E141" s="7"/>
      <x:c r="F141" s="20"/>
      <x:c r="G141" s="7"/>
      <x:c r="H141" s="7"/>
      <x:c r="I141" s="7"/>
      <x:c r="J141" s="7"/>
      <x:c r="K141" s="7"/>
      <x:c r="L141" s="7"/>
      <x:c r="M141" s="7"/>
      <x:c r="N141" s="7"/>
      <x:c r="O141" s="2" t="str">
        <x:f>IF(A141="","",IF(COUNTIFS($A$7:$A$1506,A141)&gt;1,"Buchung-ID doppelt",IF(OR(NOT(ISNUMBER(B141)),C141="",NOT(ISNUMBER(F141)),H141="",L141=""),"Pflichtangaben fehlen",IF(COUNTIFS('Konten'!$A$7:$A$26,C141)&lt;&gt;1,"Konto nicht eindeutig",IF(J141&lt;&gt;"Ja","Zuordnung bestätigen",IF(OR(AND(H141="Einnahme",F141&lt;0),AND(H141="Ausgabe",F141&gt;0)),"Vorzeichen prüfen",IF(AND(H141="Umbuchung",OR(K141="",COUNTIFS($A$7:$A$1506,K141)&lt;&gt;1)),"Gegenbuchung fehlt",IF(AND(H141="Umbuchung",ROUND(SUMIFS($F$7:$F$1506,$A$7:$A$1506,K141)+F141,2)&lt;&gt;0),"Umbuchung abweichend",IF(OR(G141="",M141="",M141="offen",M141="teilbelegt",H141="Ungeklärt",H141="Bargeld"),"Beleg / Verwendung klären","vollständig erfasst")))))))))</x:f>
      </x:c>
    </x:row>
    <x:row r="142" ht="22" customHeight="1">
      <x:c r="A142" s="7"/>
      <x:c r="B142" s="8"/>
      <x:c r="C142" s="7"/>
      <x:c r="D142" s="7"/>
      <x:c r="E142" s="7"/>
      <x:c r="F142" s="20"/>
      <x:c r="G142" s="7"/>
      <x:c r="H142" s="7"/>
      <x:c r="I142" s="7"/>
      <x:c r="J142" s="7"/>
      <x:c r="K142" s="7"/>
      <x:c r="L142" s="7"/>
      <x:c r="M142" s="7"/>
      <x:c r="N142" s="7"/>
      <x:c r="O142" s="2" t="str">
        <x:f>IF(A142="","",IF(COUNTIFS($A$7:$A$1506,A142)&gt;1,"Buchung-ID doppelt",IF(OR(NOT(ISNUMBER(B142)),C142="",NOT(ISNUMBER(F142)),H142="",L142=""),"Pflichtangaben fehlen",IF(COUNTIFS('Konten'!$A$7:$A$26,C142)&lt;&gt;1,"Konto nicht eindeutig",IF(J142&lt;&gt;"Ja","Zuordnung bestätigen",IF(OR(AND(H142="Einnahme",F142&lt;0),AND(H142="Ausgabe",F142&gt;0)),"Vorzeichen prüfen",IF(AND(H142="Umbuchung",OR(K142="",COUNTIFS($A$7:$A$1506,K142)&lt;&gt;1)),"Gegenbuchung fehlt",IF(AND(H142="Umbuchung",ROUND(SUMIFS($F$7:$F$1506,$A$7:$A$1506,K142)+F142,2)&lt;&gt;0),"Umbuchung abweichend",IF(OR(G142="",M142="",M142="offen",M142="teilbelegt",H142="Ungeklärt",H142="Bargeld"),"Beleg / Verwendung klären","vollständig erfasst")))))))))</x:f>
      </x:c>
    </x:row>
    <x:row r="143" ht="22" customHeight="1">
      <x:c r="A143" s="7"/>
      <x:c r="B143" s="8"/>
      <x:c r="C143" s="7"/>
      <x:c r="D143" s="7"/>
      <x:c r="E143" s="7"/>
      <x:c r="F143" s="20"/>
      <x:c r="G143" s="7"/>
      <x:c r="H143" s="7"/>
      <x:c r="I143" s="7"/>
      <x:c r="J143" s="7"/>
      <x:c r="K143" s="7"/>
      <x:c r="L143" s="7"/>
      <x:c r="M143" s="7"/>
      <x:c r="N143" s="7"/>
      <x:c r="O143" s="2" t="str">
        <x:f>IF(A143="","",IF(COUNTIFS($A$7:$A$1506,A143)&gt;1,"Buchung-ID doppelt",IF(OR(NOT(ISNUMBER(B143)),C143="",NOT(ISNUMBER(F143)),H143="",L143=""),"Pflichtangaben fehlen",IF(COUNTIFS('Konten'!$A$7:$A$26,C143)&lt;&gt;1,"Konto nicht eindeutig",IF(J143&lt;&gt;"Ja","Zuordnung bestätigen",IF(OR(AND(H143="Einnahme",F143&lt;0),AND(H143="Ausgabe",F143&gt;0)),"Vorzeichen prüfen",IF(AND(H143="Umbuchung",OR(K143="",COUNTIFS($A$7:$A$1506,K143)&lt;&gt;1)),"Gegenbuchung fehlt",IF(AND(H143="Umbuchung",ROUND(SUMIFS($F$7:$F$1506,$A$7:$A$1506,K143)+F143,2)&lt;&gt;0),"Umbuchung abweichend",IF(OR(G143="",M143="",M143="offen",M143="teilbelegt",H143="Ungeklärt",H143="Bargeld"),"Beleg / Verwendung klären","vollständig erfasst")))))))))</x:f>
      </x:c>
    </x:row>
    <x:row r="144" ht="22" customHeight="1">
      <x:c r="A144" s="7"/>
      <x:c r="B144" s="8"/>
      <x:c r="C144" s="7"/>
      <x:c r="D144" s="7"/>
      <x:c r="E144" s="7"/>
      <x:c r="F144" s="20"/>
      <x:c r="G144" s="7"/>
      <x:c r="H144" s="7"/>
      <x:c r="I144" s="7"/>
      <x:c r="J144" s="7"/>
      <x:c r="K144" s="7"/>
      <x:c r="L144" s="7"/>
      <x:c r="M144" s="7"/>
      <x:c r="N144" s="7"/>
      <x:c r="O144" s="2" t="str">
        <x:f>IF(A144="","",IF(COUNTIFS($A$7:$A$1506,A144)&gt;1,"Buchung-ID doppelt",IF(OR(NOT(ISNUMBER(B144)),C144="",NOT(ISNUMBER(F144)),H144="",L144=""),"Pflichtangaben fehlen",IF(COUNTIFS('Konten'!$A$7:$A$26,C144)&lt;&gt;1,"Konto nicht eindeutig",IF(J144&lt;&gt;"Ja","Zuordnung bestätigen",IF(OR(AND(H144="Einnahme",F144&lt;0),AND(H144="Ausgabe",F144&gt;0)),"Vorzeichen prüfen",IF(AND(H144="Umbuchung",OR(K144="",COUNTIFS($A$7:$A$1506,K144)&lt;&gt;1)),"Gegenbuchung fehlt",IF(AND(H144="Umbuchung",ROUND(SUMIFS($F$7:$F$1506,$A$7:$A$1506,K144)+F144,2)&lt;&gt;0),"Umbuchung abweichend",IF(OR(G144="",M144="",M144="offen",M144="teilbelegt",H144="Ungeklärt",H144="Bargeld"),"Beleg / Verwendung klären","vollständig erfasst")))))))))</x:f>
      </x:c>
    </x:row>
    <x:row r="145" ht="22" customHeight="1">
      <x:c r="A145" s="7"/>
      <x:c r="B145" s="8"/>
      <x:c r="C145" s="7"/>
      <x:c r="D145" s="7"/>
      <x:c r="E145" s="7"/>
      <x:c r="F145" s="20"/>
      <x:c r="G145" s="7"/>
      <x:c r="H145" s="7"/>
      <x:c r="I145" s="7"/>
      <x:c r="J145" s="7"/>
      <x:c r="K145" s="7"/>
      <x:c r="L145" s="7"/>
      <x:c r="M145" s="7"/>
      <x:c r="N145" s="7"/>
      <x:c r="O145" s="2" t="str">
        <x:f>IF(A145="","",IF(COUNTIFS($A$7:$A$1506,A145)&gt;1,"Buchung-ID doppelt",IF(OR(NOT(ISNUMBER(B145)),C145="",NOT(ISNUMBER(F145)),H145="",L145=""),"Pflichtangaben fehlen",IF(COUNTIFS('Konten'!$A$7:$A$26,C145)&lt;&gt;1,"Konto nicht eindeutig",IF(J145&lt;&gt;"Ja","Zuordnung bestätigen",IF(OR(AND(H145="Einnahme",F145&lt;0),AND(H145="Ausgabe",F145&gt;0)),"Vorzeichen prüfen",IF(AND(H145="Umbuchung",OR(K145="",COUNTIFS($A$7:$A$1506,K145)&lt;&gt;1)),"Gegenbuchung fehlt",IF(AND(H145="Umbuchung",ROUND(SUMIFS($F$7:$F$1506,$A$7:$A$1506,K145)+F145,2)&lt;&gt;0),"Umbuchung abweichend",IF(OR(G145="",M145="",M145="offen",M145="teilbelegt",H145="Ungeklärt",H145="Bargeld"),"Beleg / Verwendung klären","vollständig erfasst")))))))))</x:f>
      </x:c>
    </x:row>
    <x:row r="146" ht="22" customHeight="1">
      <x:c r="A146" s="7"/>
      <x:c r="B146" s="8"/>
      <x:c r="C146" s="7"/>
      <x:c r="D146" s="7"/>
      <x:c r="E146" s="7"/>
      <x:c r="F146" s="20"/>
      <x:c r="G146" s="7"/>
      <x:c r="H146" s="7"/>
      <x:c r="I146" s="7"/>
      <x:c r="J146" s="7"/>
      <x:c r="K146" s="7"/>
      <x:c r="L146" s="7"/>
      <x:c r="M146" s="7"/>
      <x:c r="N146" s="7"/>
      <x:c r="O146" s="2" t="str">
        <x:f>IF(A146="","",IF(COUNTIFS($A$7:$A$1506,A146)&gt;1,"Buchung-ID doppelt",IF(OR(NOT(ISNUMBER(B146)),C146="",NOT(ISNUMBER(F146)),H146="",L146=""),"Pflichtangaben fehlen",IF(COUNTIFS('Konten'!$A$7:$A$26,C146)&lt;&gt;1,"Konto nicht eindeutig",IF(J146&lt;&gt;"Ja","Zuordnung bestätigen",IF(OR(AND(H146="Einnahme",F146&lt;0),AND(H146="Ausgabe",F146&gt;0)),"Vorzeichen prüfen",IF(AND(H146="Umbuchung",OR(K146="",COUNTIFS($A$7:$A$1506,K146)&lt;&gt;1)),"Gegenbuchung fehlt",IF(AND(H146="Umbuchung",ROUND(SUMIFS($F$7:$F$1506,$A$7:$A$1506,K146)+F146,2)&lt;&gt;0),"Umbuchung abweichend",IF(OR(G146="",M146="",M146="offen",M146="teilbelegt",H146="Ungeklärt",H146="Bargeld"),"Beleg / Verwendung klären","vollständig erfasst")))))))))</x:f>
      </x:c>
    </x:row>
    <x:row r="147" ht="22" customHeight="1">
      <x:c r="A147" s="7"/>
      <x:c r="B147" s="8"/>
      <x:c r="C147" s="7"/>
      <x:c r="D147" s="7"/>
      <x:c r="E147" s="7"/>
      <x:c r="F147" s="20"/>
      <x:c r="G147" s="7"/>
      <x:c r="H147" s="7"/>
      <x:c r="I147" s="7"/>
      <x:c r="J147" s="7"/>
      <x:c r="K147" s="7"/>
      <x:c r="L147" s="7"/>
      <x:c r="M147" s="7"/>
      <x:c r="N147" s="7"/>
      <x:c r="O147" s="2" t="str">
        <x:f>IF(A147="","",IF(COUNTIFS($A$7:$A$1506,A147)&gt;1,"Buchung-ID doppelt",IF(OR(NOT(ISNUMBER(B147)),C147="",NOT(ISNUMBER(F147)),H147="",L147=""),"Pflichtangaben fehlen",IF(COUNTIFS('Konten'!$A$7:$A$26,C147)&lt;&gt;1,"Konto nicht eindeutig",IF(J147&lt;&gt;"Ja","Zuordnung bestätigen",IF(OR(AND(H147="Einnahme",F147&lt;0),AND(H147="Ausgabe",F147&gt;0)),"Vorzeichen prüfen",IF(AND(H147="Umbuchung",OR(K147="",COUNTIFS($A$7:$A$1506,K147)&lt;&gt;1)),"Gegenbuchung fehlt",IF(AND(H147="Umbuchung",ROUND(SUMIFS($F$7:$F$1506,$A$7:$A$1506,K147)+F147,2)&lt;&gt;0),"Umbuchung abweichend",IF(OR(G147="",M147="",M147="offen",M147="teilbelegt",H147="Ungeklärt",H147="Bargeld"),"Beleg / Verwendung klären","vollständig erfasst")))))))))</x:f>
      </x:c>
    </x:row>
    <x:row r="148" ht="22" customHeight="1">
      <x:c r="A148" s="7"/>
      <x:c r="B148" s="8"/>
      <x:c r="C148" s="7"/>
      <x:c r="D148" s="7"/>
      <x:c r="E148" s="7"/>
      <x:c r="F148" s="20"/>
      <x:c r="G148" s="7"/>
      <x:c r="H148" s="7"/>
      <x:c r="I148" s="7"/>
      <x:c r="J148" s="7"/>
      <x:c r="K148" s="7"/>
      <x:c r="L148" s="7"/>
      <x:c r="M148" s="7"/>
      <x:c r="N148" s="7"/>
      <x:c r="O148" s="2" t="str">
        <x:f>IF(A148="","",IF(COUNTIFS($A$7:$A$1506,A148)&gt;1,"Buchung-ID doppelt",IF(OR(NOT(ISNUMBER(B148)),C148="",NOT(ISNUMBER(F148)),H148="",L148=""),"Pflichtangaben fehlen",IF(COUNTIFS('Konten'!$A$7:$A$26,C148)&lt;&gt;1,"Konto nicht eindeutig",IF(J148&lt;&gt;"Ja","Zuordnung bestätigen",IF(OR(AND(H148="Einnahme",F148&lt;0),AND(H148="Ausgabe",F148&gt;0)),"Vorzeichen prüfen",IF(AND(H148="Umbuchung",OR(K148="",COUNTIFS($A$7:$A$1506,K148)&lt;&gt;1)),"Gegenbuchung fehlt",IF(AND(H148="Umbuchung",ROUND(SUMIFS($F$7:$F$1506,$A$7:$A$1506,K148)+F148,2)&lt;&gt;0),"Umbuchung abweichend",IF(OR(G148="",M148="",M148="offen",M148="teilbelegt",H148="Ungeklärt",H148="Bargeld"),"Beleg / Verwendung klären","vollständig erfasst")))))))))</x:f>
      </x:c>
    </x:row>
    <x:row r="149" ht="22" customHeight="1">
      <x:c r="A149" s="7"/>
      <x:c r="B149" s="8"/>
      <x:c r="C149" s="7"/>
      <x:c r="D149" s="7"/>
      <x:c r="E149" s="7"/>
      <x:c r="F149" s="20"/>
      <x:c r="G149" s="7"/>
      <x:c r="H149" s="7"/>
      <x:c r="I149" s="7"/>
      <x:c r="J149" s="7"/>
      <x:c r="K149" s="7"/>
      <x:c r="L149" s="7"/>
      <x:c r="M149" s="7"/>
      <x:c r="N149" s="7"/>
      <x:c r="O149" s="2" t="str">
        <x:f>IF(A149="","",IF(COUNTIFS($A$7:$A$1506,A149)&gt;1,"Buchung-ID doppelt",IF(OR(NOT(ISNUMBER(B149)),C149="",NOT(ISNUMBER(F149)),H149="",L149=""),"Pflichtangaben fehlen",IF(COUNTIFS('Konten'!$A$7:$A$26,C149)&lt;&gt;1,"Konto nicht eindeutig",IF(J149&lt;&gt;"Ja","Zuordnung bestätigen",IF(OR(AND(H149="Einnahme",F149&lt;0),AND(H149="Ausgabe",F149&gt;0)),"Vorzeichen prüfen",IF(AND(H149="Umbuchung",OR(K149="",COUNTIFS($A$7:$A$1506,K149)&lt;&gt;1)),"Gegenbuchung fehlt",IF(AND(H149="Umbuchung",ROUND(SUMIFS($F$7:$F$1506,$A$7:$A$1506,K149)+F149,2)&lt;&gt;0),"Umbuchung abweichend",IF(OR(G149="",M149="",M149="offen",M149="teilbelegt",H149="Ungeklärt",H149="Bargeld"),"Beleg / Verwendung klären","vollständig erfasst")))))))))</x:f>
      </x:c>
    </x:row>
    <x:row r="150" ht="22" customHeight="1">
      <x:c r="A150" s="7"/>
      <x:c r="B150" s="8"/>
      <x:c r="C150" s="7"/>
      <x:c r="D150" s="7"/>
      <x:c r="E150" s="7"/>
      <x:c r="F150" s="20"/>
      <x:c r="G150" s="7"/>
      <x:c r="H150" s="7"/>
      <x:c r="I150" s="7"/>
      <x:c r="J150" s="7"/>
      <x:c r="K150" s="7"/>
      <x:c r="L150" s="7"/>
      <x:c r="M150" s="7"/>
      <x:c r="N150" s="7"/>
      <x:c r="O150" s="2" t="str">
        <x:f>IF(A150="","",IF(COUNTIFS($A$7:$A$1506,A150)&gt;1,"Buchung-ID doppelt",IF(OR(NOT(ISNUMBER(B150)),C150="",NOT(ISNUMBER(F150)),H150="",L150=""),"Pflichtangaben fehlen",IF(COUNTIFS('Konten'!$A$7:$A$26,C150)&lt;&gt;1,"Konto nicht eindeutig",IF(J150&lt;&gt;"Ja","Zuordnung bestätigen",IF(OR(AND(H150="Einnahme",F150&lt;0),AND(H150="Ausgabe",F150&gt;0)),"Vorzeichen prüfen",IF(AND(H150="Umbuchung",OR(K150="",COUNTIFS($A$7:$A$1506,K150)&lt;&gt;1)),"Gegenbuchung fehlt",IF(AND(H150="Umbuchung",ROUND(SUMIFS($F$7:$F$1506,$A$7:$A$1506,K150)+F150,2)&lt;&gt;0),"Umbuchung abweichend",IF(OR(G150="",M150="",M150="offen",M150="teilbelegt",H150="Ungeklärt",H150="Bargeld"),"Beleg / Verwendung klären","vollständig erfasst")))))))))</x:f>
      </x:c>
    </x:row>
    <x:row r="151" ht="22" customHeight="1">
      <x:c r="A151" s="7"/>
      <x:c r="B151" s="8"/>
      <x:c r="C151" s="7"/>
      <x:c r="D151" s="7"/>
      <x:c r="E151" s="7"/>
      <x:c r="F151" s="20"/>
      <x:c r="G151" s="7"/>
      <x:c r="H151" s="7"/>
      <x:c r="I151" s="7"/>
      <x:c r="J151" s="7"/>
      <x:c r="K151" s="7"/>
      <x:c r="L151" s="7"/>
      <x:c r="M151" s="7"/>
      <x:c r="N151" s="7"/>
      <x:c r="O151" s="2" t="str">
        <x:f>IF(A151="","",IF(COUNTIFS($A$7:$A$1506,A151)&gt;1,"Buchung-ID doppelt",IF(OR(NOT(ISNUMBER(B151)),C151="",NOT(ISNUMBER(F151)),H151="",L151=""),"Pflichtangaben fehlen",IF(COUNTIFS('Konten'!$A$7:$A$26,C151)&lt;&gt;1,"Konto nicht eindeutig",IF(J151&lt;&gt;"Ja","Zuordnung bestätigen",IF(OR(AND(H151="Einnahme",F151&lt;0),AND(H151="Ausgabe",F151&gt;0)),"Vorzeichen prüfen",IF(AND(H151="Umbuchung",OR(K151="",COUNTIFS($A$7:$A$1506,K151)&lt;&gt;1)),"Gegenbuchung fehlt",IF(AND(H151="Umbuchung",ROUND(SUMIFS($F$7:$F$1506,$A$7:$A$1506,K151)+F151,2)&lt;&gt;0),"Umbuchung abweichend",IF(OR(G151="",M151="",M151="offen",M151="teilbelegt",H151="Ungeklärt",H151="Bargeld"),"Beleg / Verwendung klären","vollständig erfasst")))))))))</x:f>
      </x:c>
    </x:row>
    <x:row r="152" ht="22" customHeight="1">
      <x:c r="A152" s="7"/>
      <x:c r="B152" s="8"/>
      <x:c r="C152" s="7"/>
      <x:c r="D152" s="7"/>
      <x:c r="E152" s="7"/>
      <x:c r="F152" s="20"/>
      <x:c r="G152" s="7"/>
      <x:c r="H152" s="7"/>
      <x:c r="I152" s="7"/>
      <x:c r="J152" s="7"/>
      <x:c r="K152" s="7"/>
      <x:c r="L152" s="7"/>
      <x:c r="M152" s="7"/>
      <x:c r="N152" s="7"/>
      <x:c r="O152" s="2" t="str">
        <x:f>IF(A152="","",IF(COUNTIFS($A$7:$A$1506,A152)&gt;1,"Buchung-ID doppelt",IF(OR(NOT(ISNUMBER(B152)),C152="",NOT(ISNUMBER(F152)),H152="",L152=""),"Pflichtangaben fehlen",IF(COUNTIFS('Konten'!$A$7:$A$26,C152)&lt;&gt;1,"Konto nicht eindeutig",IF(J152&lt;&gt;"Ja","Zuordnung bestätigen",IF(OR(AND(H152="Einnahme",F152&lt;0),AND(H152="Ausgabe",F152&gt;0)),"Vorzeichen prüfen",IF(AND(H152="Umbuchung",OR(K152="",COUNTIFS($A$7:$A$1506,K152)&lt;&gt;1)),"Gegenbuchung fehlt",IF(AND(H152="Umbuchung",ROUND(SUMIFS($F$7:$F$1506,$A$7:$A$1506,K152)+F152,2)&lt;&gt;0),"Umbuchung abweichend",IF(OR(G152="",M152="",M152="offen",M152="teilbelegt",H152="Ungeklärt",H152="Bargeld"),"Beleg / Verwendung klären","vollständig erfasst")))))))))</x:f>
      </x:c>
    </x:row>
    <x:row r="153" ht="22" customHeight="1">
      <x:c r="A153" s="7"/>
      <x:c r="B153" s="8"/>
      <x:c r="C153" s="7"/>
      <x:c r="D153" s="7"/>
      <x:c r="E153" s="7"/>
      <x:c r="F153" s="20"/>
      <x:c r="G153" s="7"/>
      <x:c r="H153" s="7"/>
      <x:c r="I153" s="7"/>
      <x:c r="J153" s="7"/>
      <x:c r="K153" s="7"/>
      <x:c r="L153" s="7"/>
      <x:c r="M153" s="7"/>
      <x:c r="N153" s="7"/>
      <x:c r="O153" s="2" t="str">
        <x:f>IF(A153="","",IF(COUNTIFS($A$7:$A$1506,A153)&gt;1,"Buchung-ID doppelt",IF(OR(NOT(ISNUMBER(B153)),C153="",NOT(ISNUMBER(F153)),H153="",L153=""),"Pflichtangaben fehlen",IF(COUNTIFS('Konten'!$A$7:$A$26,C153)&lt;&gt;1,"Konto nicht eindeutig",IF(J153&lt;&gt;"Ja","Zuordnung bestätigen",IF(OR(AND(H153="Einnahme",F153&lt;0),AND(H153="Ausgabe",F153&gt;0)),"Vorzeichen prüfen",IF(AND(H153="Umbuchung",OR(K153="",COUNTIFS($A$7:$A$1506,K153)&lt;&gt;1)),"Gegenbuchung fehlt",IF(AND(H153="Umbuchung",ROUND(SUMIFS($F$7:$F$1506,$A$7:$A$1506,K153)+F153,2)&lt;&gt;0),"Umbuchung abweichend",IF(OR(G153="",M153="",M153="offen",M153="teilbelegt",H153="Ungeklärt",H153="Bargeld"),"Beleg / Verwendung klären","vollständig erfasst")))))))))</x:f>
      </x:c>
    </x:row>
    <x:row r="154" ht="22" customHeight="1">
      <x:c r="A154" s="7"/>
      <x:c r="B154" s="8"/>
      <x:c r="C154" s="7"/>
      <x:c r="D154" s="7"/>
      <x:c r="E154" s="7"/>
      <x:c r="F154" s="20"/>
      <x:c r="G154" s="7"/>
      <x:c r="H154" s="7"/>
      <x:c r="I154" s="7"/>
      <x:c r="J154" s="7"/>
      <x:c r="K154" s="7"/>
      <x:c r="L154" s="7"/>
      <x:c r="M154" s="7"/>
      <x:c r="N154" s="7"/>
      <x:c r="O154" s="2" t="str">
        <x:f>IF(A154="","",IF(COUNTIFS($A$7:$A$1506,A154)&gt;1,"Buchung-ID doppelt",IF(OR(NOT(ISNUMBER(B154)),C154="",NOT(ISNUMBER(F154)),H154="",L154=""),"Pflichtangaben fehlen",IF(COUNTIFS('Konten'!$A$7:$A$26,C154)&lt;&gt;1,"Konto nicht eindeutig",IF(J154&lt;&gt;"Ja","Zuordnung bestätigen",IF(OR(AND(H154="Einnahme",F154&lt;0),AND(H154="Ausgabe",F154&gt;0)),"Vorzeichen prüfen",IF(AND(H154="Umbuchung",OR(K154="",COUNTIFS($A$7:$A$1506,K154)&lt;&gt;1)),"Gegenbuchung fehlt",IF(AND(H154="Umbuchung",ROUND(SUMIFS($F$7:$F$1506,$A$7:$A$1506,K154)+F154,2)&lt;&gt;0),"Umbuchung abweichend",IF(OR(G154="",M154="",M154="offen",M154="teilbelegt",H154="Ungeklärt",H154="Bargeld"),"Beleg / Verwendung klären","vollständig erfasst")))))))))</x:f>
      </x:c>
    </x:row>
    <x:row r="155" ht="22" customHeight="1">
      <x:c r="A155" s="7"/>
      <x:c r="B155" s="8"/>
      <x:c r="C155" s="7"/>
      <x:c r="D155" s="7"/>
      <x:c r="E155" s="7"/>
      <x:c r="F155" s="20"/>
      <x:c r="G155" s="7"/>
      <x:c r="H155" s="7"/>
      <x:c r="I155" s="7"/>
      <x:c r="J155" s="7"/>
      <x:c r="K155" s="7"/>
      <x:c r="L155" s="7"/>
      <x:c r="M155" s="7"/>
      <x:c r="N155" s="7"/>
      <x:c r="O155" s="2" t="str">
        <x:f>IF(A155="","",IF(COUNTIFS($A$7:$A$1506,A155)&gt;1,"Buchung-ID doppelt",IF(OR(NOT(ISNUMBER(B155)),C155="",NOT(ISNUMBER(F155)),H155="",L155=""),"Pflichtangaben fehlen",IF(COUNTIFS('Konten'!$A$7:$A$26,C155)&lt;&gt;1,"Konto nicht eindeutig",IF(J155&lt;&gt;"Ja","Zuordnung bestätigen",IF(OR(AND(H155="Einnahme",F155&lt;0),AND(H155="Ausgabe",F155&gt;0)),"Vorzeichen prüfen",IF(AND(H155="Umbuchung",OR(K155="",COUNTIFS($A$7:$A$1506,K155)&lt;&gt;1)),"Gegenbuchung fehlt",IF(AND(H155="Umbuchung",ROUND(SUMIFS($F$7:$F$1506,$A$7:$A$1506,K155)+F155,2)&lt;&gt;0),"Umbuchung abweichend",IF(OR(G155="",M155="",M155="offen",M155="teilbelegt",H155="Ungeklärt",H155="Bargeld"),"Beleg / Verwendung klären","vollständig erfasst")))))))))</x:f>
      </x:c>
    </x:row>
    <x:row r="156" ht="22" customHeight="1">
      <x:c r="A156" s="7"/>
      <x:c r="B156" s="8"/>
      <x:c r="C156" s="7"/>
      <x:c r="D156" s="7"/>
      <x:c r="E156" s="7"/>
      <x:c r="F156" s="20"/>
      <x:c r="G156" s="7"/>
      <x:c r="H156" s="7"/>
      <x:c r="I156" s="7"/>
      <x:c r="J156" s="7"/>
      <x:c r="K156" s="7"/>
      <x:c r="L156" s="7"/>
      <x:c r="M156" s="7"/>
      <x:c r="N156" s="7"/>
      <x:c r="O156" s="2" t="str">
        <x:f>IF(A156="","",IF(COUNTIFS($A$7:$A$1506,A156)&gt;1,"Buchung-ID doppelt",IF(OR(NOT(ISNUMBER(B156)),C156="",NOT(ISNUMBER(F156)),H156="",L156=""),"Pflichtangaben fehlen",IF(COUNTIFS('Konten'!$A$7:$A$26,C156)&lt;&gt;1,"Konto nicht eindeutig",IF(J156&lt;&gt;"Ja","Zuordnung bestätigen",IF(OR(AND(H156="Einnahme",F156&lt;0),AND(H156="Ausgabe",F156&gt;0)),"Vorzeichen prüfen",IF(AND(H156="Umbuchung",OR(K156="",COUNTIFS($A$7:$A$1506,K156)&lt;&gt;1)),"Gegenbuchung fehlt",IF(AND(H156="Umbuchung",ROUND(SUMIFS($F$7:$F$1506,$A$7:$A$1506,K156)+F156,2)&lt;&gt;0),"Umbuchung abweichend",IF(OR(G156="",M156="",M156="offen",M156="teilbelegt",H156="Ungeklärt",H156="Bargeld"),"Beleg / Verwendung klären","vollständig erfasst")))))))))</x:f>
      </x:c>
    </x:row>
    <x:row r="157" ht="22" customHeight="1">
      <x:c r="A157" s="7"/>
      <x:c r="B157" s="8"/>
      <x:c r="C157" s="7"/>
      <x:c r="D157" s="7"/>
      <x:c r="E157" s="7"/>
      <x:c r="F157" s="20"/>
      <x:c r="G157" s="7"/>
      <x:c r="H157" s="7"/>
      <x:c r="I157" s="7"/>
      <x:c r="J157" s="7"/>
      <x:c r="K157" s="7"/>
      <x:c r="L157" s="7"/>
      <x:c r="M157" s="7"/>
      <x:c r="N157" s="7"/>
      <x:c r="O157" s="2" t="str">
        <x:f>IF(A157="","",IF(COUNTIFS($A$7:$A$1506,A157)&gt;1,"Buchung-ID doppelt",IF(OR(NOT(ISNUMBER(B157)),C157="",NOT(ISNUMBER(F157)),H157="",L157=""),"Pflichtangaben fehlen",IF(COUNTIFS('Konten'!$A$7:$A$26,C157)&lt;&gt;1,"Konto nicht eindeutig",IF(J157&lt;&gt;"Ja","Zuordnung bestätigen",IF(OR(AND(H157="Einnahme",F157&lt;0),AND(H157="Ausgabe",F157&gt;0)),"Vorzeichen prüfen",IF(AND(H157="Umbuchung",OR(K157="",COUNTIFS($A$7:$A$1506,K157)&lt;&gt;1)),"Gegenbuchung fehlt",IF(AND(H157="Umbuchung",ROUND(SUMIFS($F$7:$F$1506,$A$7:$A$1506,K157)+F157,2)&lt;&gt;0),"Umbuchung abweichend",IF(OR(G157="",M157="",M157="offen",M157="teilbelegt",H157="Ungeklärt",H157="Bargeld"),"Beleg / Verwendung klären","vollständig erfasst")))))))))</x:f>
      </x:c>
    </x:row>
    <x:row r="158" ht="22" customHeight="1">
      <x:c r="A158" s="7"/>
      <x:c r="B158" s="8"/>
      <x:c r="C158" s="7"/>
      <x:c r="D158" s="7"/>
      <x:c r="E158" s="7"/>
      <x:c r="F158" s="20"/>
      <x:c r="G158" s="7"/>
      <x:c r="H158" s="7"/>
      <x:c r="I158" s="7"/>
      <x:c r="J158" s="7"/>
      <x:c r="K158" s="7"/>
      <x:c r="L158" s="7"/>
      <x:c r="M158" s="7"/>
      <x:c r="N158" s="7"/>
      <x:c r="O158" s="2" t="str">
        <x:f>IF(A158="","",IF(COUNTIFS($A$7:$A$1506,A158)&gt;1,"Buchung-ID doppelt",IF(OR(NOT(ISNUMBER(B158)),C158="",NOT(ISNUMBER(F158)),H158="",L158=""),"Pflichtangaben fehlen",IF(COUNTIFS('Konten'!$A$7:$A$26,C158)&lt;&gt;1,"Konto nicht eindeutig",IF(J158&lt;&gt;"Ja","Zuordnung bestätigen",IF(OR(AND(H158="Einnahme",F158&lt;0),AND(H158="Ausgabe",F158&gt;0)),"Vorzeichen prüfen",IF(AND(H158="Umbuchung",OR(K158="",COUNTIFS($A$7:$A$1506,K158)&lt;&gt;1)),"Gegenbuchung fehlt",IF(AND(H158="Umbuchung",ROUND(SUMIFS($F$7:$F$1506,$A$7:$A$1506,K158)+F158,2)&lt;&gt;0),"Umbuchung abweichend",IF(OR(G158="",M158="",M158="offen",M158="teilbelegt",H158="Ungeklärt",H158="Bargeld"),"Beleg / Verwendung klären","vollständig erfasst")))))))))</x:f>
      </x:c>
    </x:row>
    <x:row r="159" ht="22" customHeight="1">
      <x:c r="A159" s="7"/>
      <x:c r="B159" s="8"/>
      <x:c r="C159" s="7"/>
      <x:c r="D159" s="7"/>
      <x:c r="E159" s="7"/>
      <x:c r="F159" s="20"/>
      <x:c r="G159" s="7"/>
      <x:c r="H159" s="7"/>
      <x:c r="I159" s="7"/>
      <x:c r="J159" s="7"/>
      <x:c r="K159" s="7"/>
      <x:c r="L159" s="7"/>
      <x:c r="M159" s="7"/>
      <x:c r="N159" s="7"/>
      <x:c r="O159" s="2" t="str">
        <x:f>IF(A159="","",IF(COUNTIFS($A$7:$A$1506,A159)&gt;1,"Buchung-ID doppelt",IF(OR(NOT(ISNUMBER(B159)),C159="",NOT(ISNUMBER(F159)),H159="",L159=""),"Pflichtangaben fehlen",IF(COUNTIFS('Konten'!$A$7:$A$26,C159)&lt;&gt;1,"Konto nicht eindeutig",IF(J159&lt;&gt;"Ja","Zuordnung bestätigen",IF(OR(AND(H159="Einnahme",F159&lt;0),AND(H159="Ausgabe",F159&gt;0)),"Vorzeichen prüfen",IF(AND(H159="Umbuchung",OR(K159="",COUNTIFS($A$7:$A$1506,K159)&lt;&gt;1)),"Gegenbuchung fehlt",IF(AND(H159="Umbuchung",ROUND(SUMIFS($F$7:$F$1506,$A$7:$A$1506,K159)+F159,2)&lt;&gt;0),"Umbuchung abweichend",IF(OR(G159="",M159="",M159="offen",M159="teilbelegt",H159="Ungeklärt",H159="Bargeld"),"Beleg / Verwendung klären","vollständig erfasst")))))))))</x:f>
      </x:c>
    </x:row>
    <x:row r="160" ht="22" customHeight="1">
      <x:c r="A160" s="7"/>
      <x:c r="B160" s="8"/>
      <x:c r="C160" s="7"/>
      <x:c r="D160" s="7"/>
      <x:c r="E160" s="7"/>
      <x:c r="F160" s="20"/>
      <x:c r="G160" s="7"/>
      <x:c r="H160" s="7"/>
      <x:c r="I160" s="7"/>
      <x:c r="J160" s="7"/>
      <x:c r="K160" s="7"/>
      <x:c r="L160" s="7"/>
      <x:c r="M160" s="7"/>
      <x:c r="N160" s="7"/>
      <x:c r="O160" s="2" t="str">
        <x:f>IF(A160="","",IF(COUNTIFS($A$7:$A$1506,A160)&gt;1,"Buchung-ID doppelt",IF(OR(NOT(ISNUMBER(B160)),C160="",NOT(ISNUMBER(F160)),H160="",L160=""),"Pflichtangaben fehlen",IF(COUNTIFS('Konten'!$A$7:$A$26,C160)&lt;&gt;1,"Konto nicht eindeutig",IF(J160&lt;&gt;"Ja","Zuordnung bestätigen",IF(OR(AND(H160="Einnahme",F160&lt;0),AND(H160="Ausgabe",F160&gt;0)),"Vorzeichen prüfen",IF(AND(H160="Umbuchung",OR(K160="",COUNTIFS($A$7:$A$1506,K160)&lt;&gt;1)),"Gegenbuchung fehlt",IF(AND(H160="Umbuchung",ROUND(SUMIFS($F$7:$F$1506,$A$7:$A$1506,K160)+F160,2)&lt;&gt;0),"Umbuchung abweichend",IF(OR(G160="",M160="",M160="offen",M160="teilbelegt",H160="Ungeklärt",H160="Bargeld"),"Beleg / Verwendung klären","vollständig erfasst")))))))))</x:f>
      </x:c>
    </x:row>
    <x:row r="161" ht="22" customHeight="1">
      <x:c r="A161" s="7"/>
      <x:c r="B161" s="8"/>
      <x:c r="C161" s="7"/>
      <x:c r="D161" s="7"/>
      <x:c r="E161" s="7"/>
      <x:c r="F161" s="20"/>
      <x:c r="G161" s="7"/>
      <x:c r="H161" s="7"/>
      <x:c r="I161" s="7"/>
      <x:c r="J161" s="7"/>
      <x:c r="K161" s="7"/>
      <x:c r="L161" s="7"/>
      <x:c r="M161" s="7"/>
      <x:c r="N161" s="7"/>
      <x:c r="O161" s="2" t="str">
        <x:f>IF(A161="","",IF(COUNTIFS($A$7:$A$1506,A161)&gt;1,"Buchung-ID doppelt",IF(OR(NOT(ISNUMBER(B161)),C161="",NOT(ISNUMBER(F161)),H161="",L161=""),"Pflichtangaben fehlen",IF(COUNTIFS('Konten'!$A$7:$A$26,C161)&lt;&gt;1,"Konto nicht eindeutig",IF(J161&lt;&gt;"Ja","Zuordnung bestätigen",IF(OR(AND(H161="Einnahme",F161&lt;0),AND(H161="Ausgabe",F161&gt;0)),"Vorzeichen prüfen",IF(AND(H161="Umbuchung",OR(K161="",COUNTIFS($A$7:$A$1506,K161)&lt;&gt;1)),"Gegenbuchung fehlt",IF(AND(H161="Umbuchung",ROUND(SUMIFS($F$7:$F$1506,$A$7:$A$1506,K161)+F161,2)&lt;&gt;0),"Umbuchung abweichend",IF(OR(G161="",M161="",M161="offen",M161="teilbelegt",H161="Ungeklärt",H161="Bargeld"),"Beleg / Verwendung klären","vollständig erfasst")))))))))</x:f>
      </x:c>
    </x:row>
    <x:row r="162" ht="22" customHeight="1">
      <x:c r="A162" s="7"/>
      <x:c r="B162" s="8"/>
      <x:c r="C162" s="7"/>
      <x:c r="D162" s="7"/>
      <x:c r="E162" s="7"/>
      <x:c r="F162" s="20"/>
      <x:c r="G162" s="7"/>
      <x:c r="H162" s="7"/>
      <x:c r="I162" s="7"/>
      <x:c r="J162" s="7"/>
      <x:c r="K162" s="7"/>
      <x:c r="L162" s="7"/>
      <x:c r="M162" s="7"/>
      <x:c r="N162" s="7"/>
      <x:c r="O162" s="2" t="str">
        <x:f>IF(A162="","",IF(COUNTIFS($A$7:$A$1506,A162)&gt;1,"Buchung-ID doppelt",IF(OR(NOT(ISNUMBER(B162)),C162="",NOT(ISNUMBER(F162)),H162="",L162=""),"Pflichtangaben fehlen",IF(COUNTIFS('Konten'!$A$7:$A$26,C162)&lt;&gt;1,"Konto nicht eindeutig",IF(J162&lt;&gt;"Ja","Zuordnung bestätigen",IF(OR(AND(H162="Einnahme",F162&lt;0),AND(H162="Ausgabe",F162&gt;0)),"Vorzeichen prüfen",IF(AND(H162="Umbuchung",OR(K162="",COUNTIFS($A$7:$A$1506,K162)&lt;&gt;1)),"Gegenbuchung fehlt",IF(AND(H162="Umbuchung",ROUND(SUMIFS($F$7:$F$1506,$A$7:$A$1506,K162)+F162,2)&lt;&gt;0),"Umbuchung abweichend",IF(OR(G162="",M162="",M162="offen",M162="teilbelegt",H162="Ungeklärt",H162="Bargeld"),"Beleg / Verwendung klären","vollständig erfasst")))))))))</x:f>
      </x:c>
    </x:row>
    <x:row r="163" ht="22" customHeight="1">
      <x:c r="A163" s="7"/>
      <x:c r="B163" s="8"/>
      <x:c r="C163" s="7"/>
      <x:c r="D163" s="7"/>
      <x:c r="E163" s="7"/>
      <x:c r="F163" s="20"/>
      <x:c r="G163" s="7"/>
      <x:c r="H163" s="7"/>
      <x:c r="I163" s="7"/>
      <x:c r="J163" s="7"/>
      <x:c r="K163" s="7"/>
      <x:c r="L163" s="7"/>
      <x:c r="M163" s="7"/>
      <x:c r="N163" s="7"/>
      <x:c r="O163" s="2" t="str">
        <x:f>IF(A163="","",IF(COUNTIFS($A$7:$A$1506,A163)&gt;1,"Buchung-ID doppelt",IF(OR(NOT(ISNUMBER(B163)),C163="",NOT(ISNUMBER(F163)),H163="",L163=""),"Pflichtangaben fehlen",IF(COUNTIFS('Konten'!$A$7:$A$26,C163)&lt;&gt;1,"Konto nicht eindeutig",IF(J163&lt;&gt;"Ja","Zuordnung bestätigen",IF(OR(AND(H163="Einnahme",F163&lt;0),AND(H163="Ausgabe",F163&gt;0)),"Vorzeichen prüfen",IF(AND(H163="Umbuchung",OR(K163="",COUNTIFS($A$7:$A$1506,K163)&lt;&gt;1)),"Gegenbuchung fehlt",IF(AND(H163="Umbuchung",ROUND(SUMIFS($F$7:$F$1506,$A$7:$A$1506,K163)+F163,2)&lt;&gt;0),"Umbuchung abweichend",IF(OR(G163="",M163="",M163="offen",M163="teilbelegt",H163="Ungeklärt",H163="Bargeld"),"Beleg / Verwendung klären","vollständig erfasst")))))))))</x:f>
      </x:c>
    </x:row>
    <x:row r="164" ht="22" customHeight="1">
      <x:c r="A164" s="7"/>
      <x:c r="B164" s="8"/>
      <x:c r="C164" s="7"/>
      <x:c r="D164" s="7"/>
      <x:c r="E164" s="7"/>
      <x:c r="F164" s="20"/>
      <x:c r="G164" s="7"/>
      <x:c r="H164" s="7"/>
      <x:c r="I164" s="7"/>
      <x:c r="J164" s="7"/>
      <x:c r="K164" s="7"/>
      <x:c r="L164" s="7"/>
      <x:c r="M164" s="7"/>
      <x:c r="N164" s="7"/>
      <x:c r="O164" s="2" t="str">
        <x:f>IF(A164="","",IF(COUNTIFS($A$7:$A$1506,A164)&gt;1,"Buchung-ID doppelt",IF(OR(NOT(ISNUMBER(B164)),C164="",NOT(ISNUMBER(F164)),H164="",L164=""),"Pflichtangaben fehlen",IF(COUNTIFS('Konten'!$A$7:$A$26,C164)&lt;&gt;1,"Konto nicht eindeutig",IF(J164&lt;&gt;"Ja","Zuordnung bestätigen",IF(OR(AND(H164="Einnahme",F164&lt;0),AND(H164="Ausgabe",F164&gt;0)),"Vorzeichen prüfen",IF(AND(H164="Umbuchung",OR(K164="",COUNTIFS($A$7:$A$1506,K164)&lt;&gt;1)),"Gegenbuchung fehlt",IF(AND(H164="Umbuchung",ROUND(SUMIFS($F$7:$F$1506,$A$7:$A$1506,K164)+F164,2)&lt;&gt;0),"Umbuchung abweichend",IF(OR(G164="",M164="",M164="offen",M164="teilbelegt",H164="Ungeklärt",H164="Bargeld"),"Beleg / Verwendung klären","vollständig erfasst")))))))))</x:f>
      </x:c>
    </x:row>
    <x:row r="165" ht="22" customHeight="1">
      <x:c r="A165" s="7"/>
      <x:c r="B165" s="8"/>
      <x:c r="C165" s="7"/>
      <x:c r="D165" s="7"/>
      <x:c r="E165" s="7"/>
      <x:c r="F165" s="20"/>
      <x:c r="G165" s="7"/>
      <x:c r="H165" s="7"/>
      <x:c r="I165" s="7"/>
      <x:c r="J165" s="7"/>
      <x:c r="K165" s="7"/>
      <x:c r="L165" s="7"/>
      <x:c r="M165" s="7"/>
      <x:c r="N165" s="7"/>
      <x:c r="O165" s="2" t="str">
        <x:f>IF(A165="","",IF(COUNTIFS($A$7:$A$1506,A165)&gt;1,"Buchung-ID doppelt",IF(OR(NOT(ISNUMBER(B165)),C165="",NOT(ISNUMBER(F165)),H165="",L165=""),"Pflichtangaben fehlen",IF(COUNTIFS('Konten'!$A$7:$A$26,C165)&lt;&gt;1,"Konto nicht eindeutig",IF(J165&lt;&gt;"Ja","Zuordnung bestätigen",IF(OR(AND(H165="Einnahme",F165&lt;0),AND(H165="Ausgabe",F165&gt;0)),"Vorzeichen prüfen",IF(AND(H165="Umbuchung",OR(K165="",COUNTIFS($A$7:$A$1506,K165)&lt;&gt;1)),"Gegenbuchung fehlt",IF(AND(H165="Umbuchung",ROUND(SUMIFS($F$7:$F$1506,$A$7:$A$1506,K165)+F165,2)&lt;&gt;0),"Umbuchung abweichend",IF(OR(G165="",M165="",M165="offen",M165="teilbelegt",H165="Ungeklärt",H165="Bargeld"),"Beleg / Verwendung klären","vollständig erfasst")))))))))</x:f>
      </x:c>
    </x:row>
    <x:row r="166" ht="22" customHeight="1">
      <x:c r="A166" s="7"/>
      <x:c r="B166" s="8"/>
      <x:c r="C166" s="7"/>
      <x:c r="D166" s="7"/>
      <x:c r="E166" s="7"/>
      <x:c r="F166" s="20"/>
      <x:c r="G166" s="7"/>
      <x:c r="H166" s="7"/>
      <x:c r="I166" s="7"/>
      <x:c r="J166" s="7"/>
      <x:c r="K166" s="7"/>
      <x:c r="L166" s="7"/>
      <x:c r="M166" s="7"/>
      <x:c r="N166" s="7"/>
      <x:c r="O166" s="2" t="str">
        <x:f>IF(A166="","",IF(COUNTIFS($A$7:$A$1506,A166)&gt;1,"Buchung-ID doppelt",IF(OR(NOT(ISNUMBER(B166)),C166="",NOT(ISNUMBER(F166)),H166="",L166=""),"Pflichtangaben fehlen",IF(COUNTIFS('Konten'!$A$7:$A$26,C166)&lt;&gt;1,"Konto nicht eindeutig",IF(J166&lt;&gt;"Ja","Zuordnung bestätigen",IF(OR(AND(H166="Einnahme",F166&lt;0),AND(H166="Ausgabe",F166&gt;0)),"Vorzeichen prüfen",IF(AND(H166="Umbuchung",OR(K166="",COUNTIFS($A$7:$A$1506,K166)&lt;&gt;1)),"Gegenbuchung fehlt",IF(AND(H166="Umbuchung",ROUND(SUMIFS($F$7:$F$1506,$A$7:$A$1506,K166)+F166,2)&lt;&gt;0),"Umbuchung abweichend",IF(OR(G166="",M166="",M166="offen",M166="teilbelegt",H166="Ungeklärt",H166="Bargeld"),"Beleg / Verwendung klären","vollständig erfasst")))))))))</x:f>
      </x:c>
    </x:row>
    <x:row r="167" ht="22" customHeight="1">
      <x:c r="A167" s="7"/>
      <x:c r="B167" s="8"/>
      <x:c r="C167" s="7"/>
      <x:c r="D167" s="7"/>
      <x:c r="E167" s="7"/>
      <x:c r="F167" s="20"/>
      <x:c r="G167" s="7"/>
      <x:c r="H167" s="7"/>
      <x:c r="I167" s="7"/>
      <x:c r="J167" s="7"/>
      <x:c r="K167" s="7"/>
      <x:c r="L167" s="7"/>
      <x:c r="M167" s="7"/>
      <x:c r="N167" s="7"/>
      <x:c r="O167" s="2" t="str">
        <x:f>IF(A167="","",IF(COUNTIFS($A$7:$A$1506,A167)&gt;1,"Buchung-ID doppelt",IF(OR(NOT(ISNUMBER(B167)),C167="",NOT(ISNUMBER(F167)),H167="",L167=""),"Pflichtangaben fehlen",IF(COUNTIFS('Konten'!$A$7:$A$26,C167)&lt;&gt;1,"Konto nicht eindeutig",IF(J167&lt;&gt;"Ja","Zuordnung bestätigen",IF(OR(AND(H167="Einnahme",F167&lt;0),AND(H167="Ausgabe",F167&gt;0)),"Vorzeichen prüfen",IF(AND(H167="Umbuchung",OR(K167="",COUNTIFS($A$7:$A$1506,K167)&lt;&gt;1)),"Gegenbuchung fehlt",IF(AND(H167="Umbuchung",ROUND(SUMIFS($F$7:$F$1506,$A$7:$A$1506,K167)+F167,2)&lt;&gt;0),"Umbuchung abweichend",IF(OR(G167="",M167="",M167="offen",M167="teilbelegt",H167="Ungeklärt",H167="Bargeld"),"Beleg / Verwendung klären","vollständig erfasst")))))))))</x:f>
      </x:c>
    </x:row>
    <x:row r="168" ht="22" customHeight="1">
      <x:c r="A168" s="7"/>
      <x:c r="B168" s="8"/>
      <x:c r="C168" s="7"/>
      <x:c r="D168" s="7"/>
      <x:c r="E168" s="7"/>
      <x:c r="F168" s="20"/>
      <x:c r="G168" s="7"/>
      <x:c r="H168" s="7"/>
      <x:c r="I168" s="7"/>
      <x:c r="J168" s="7"/>
      <x:c r="K168" s="7"/>
      <x:c r="L168" s="7"/>
      <x:c r="M168" s="7"/>
      <x:c r="N168" s="7"/>
      <x:c r="O168" s="2" t="str">
        <x:f>IF(A168="","",IF(COUNTIFS($A$7:$A$1506,A168)&gt;1,"Buchung-ID doppelt",IF(OR(NOT(ISNUMBER(B168)),C168="",NOT(ISNUMBER(F168)),H168="",L168=""),"Pflichtangaben fehlen",IF(COUNTIFS('Konten'!$A$7:$A$26,C168)&lt;&gt;1,"Konto nicht eindeutig",IF(J168&lt;&gt;"Ja","Zuordnung bestätigen",IF(OR(AND(H168="Einnahme",F168&lt;0),AND(H168="Ausgabe",F168&gt;0)),"Vorzeichen prüfen",IF(AND(H168="Umbuchung",OR(K168="",COUNTIFS($A$7:$A$1506,K168)&lt;&gt;1)),"Gegenbuchung fehlt",IF(AND(H168="Umbuchung",ROUND(SUMIFS($F$7:$F$1506,$A$7:$A$1506,K168)+F168,2)&lt;&gt;0),"Umbuchung abweichend",IF(OR(G168="",M168="",M168="offen",M168="teilbelegt",H168="Ungeklärt",H168="Bargeld"),"Beleg / Verwendung klären","vollständig erfasst")))))))))</x:f>
      </x:c>
    </x:row>
    <x:row r="169" ht="22" customHeight="1">
      <x:c r="A169" s="7"/>
      <x:c r="B169" s="8"/>
      <x:c r="C169" s="7"/>
      <x:c r="D169" s="7"/>
      <x:c r="E169" s="7"/>
      <x:c r="F169" s="20"/>
      <x:c r="G169" s="7"/>
      <x:c r="H169" s="7"/>
      <x:c r="I169" s="7"/>
      <x:c r="J169" s="7"/>
      <x:c r="K169" s="7"/>
      <x:c r="L169" s="7"/>
      <x:c r="M169" s="7"/>
      <x:c r="N169" s="7"/>
      <x:c r="O169" s="2" t="str">
        <x:f>IF(A169="","",IF(COUNTIFS($A$7:$A$1506,A169)&gt;1,"Buchung-ID doppelt",IF(OR(NOT(ISNUMBER(B169)),C169="",NOT(ISNUMBER(F169)),H169="",L169=""),"Pflichtangaben fehlen",IF(COUNTIFS('Konten'!$A$7:$A$26,C169)&lt;&gt;1,"Konto nicht eindeutig",IF(J169&lt;&gt;"Ja","Zuordnung bestätigen",IF(OR(AND(H169="Einnahme",F169&lt;0),AND(H169="Ausgabe",F169&gt;0)),"Vorzeichen prüfen",IF(AND(H169="Umbuchung",OR(K169="",COUNTIFS($A$7:$A$1506,K169)&lt;&gt;1)),"Gegenbuchung fehlt",IF(AND(H169="Umbuchung",ROUND(SUMIFS($F$7:$F$1506,$A$7:$A$1506,K169)+F169,2)&lt;&gt;0),"Umbuchung abweichend",IF(OR(G169="",M169="",M169="offen",M169="teilbelegt",H169="Ungeklärt",H169="Bargeld"),"Beleg / Verwendung klären","vollständig erfasst")))))))))</x:f>
      </x:c>
    </x:row>
    <x:row r="170" ht="22" customHeight="1">
      <x:c r="A170" s="7"/>
      <x:c r="B170" s="8"/>
      <x:c r="C170" s="7"/>
      <x:c r="D170" s="7"/>
      <x:c r="E170" s="7"/>
      <x:c r="F170" s="20"/>
      <x:c r="G170" s="7"/>
      <x:c r="H170" s="7"/>
      <x:c r="I170" s="7"/>
      <x:c r="J170" s="7"/>
      <x:c r="K170" s="7"/>
      <x:c r="L170" s="7"/>
      <x:c r="M170" s="7"/>
      <x:c r="N170" s="7"/>
      <x:c r="O170" s="2" t="str">
        <x:f>IF(A170="","",IF(COUNTIFS($A$7:$A$1506,A170)&gt;1,"Buchung-ID doppelt",IF(OR(NOT(ISNUMBER(B170)),C170="",NOT(ISNUMBER(F170)),H170="",L170=""),"Pflichtangaben fehlen",IF(COUNTIFS('Konten'!$A$7:$A$26,C170)&lt;&gt;1,"Konto nicht eindeutig",IF(J170&lt;&gt;"Ja","Zuordnung bestätigen",IF(OR(AND(H170="Einnahme",F170&lt;0),AND(H170="Ausgabe",F170&gt;0)),"Vorzeichen prüfen",IF(AND(H170="Umbuchung",OR(K170="",COUNTIFS($A$7:$A$1506,K170)&lt;&gt;1)),"Gegenbuchung fehlt",IF(AND(H170="Umbuchung",ROUND(SUMIFS($F$7:$F$1506,$A$7:$A$1506,K170)+F170,2)&lt;&gt;0),"Umbuchung abweichend",IF(OR(G170="",M170="",M170="offen",M170="teilbelegt",H170="Ungeklärt",H170="Bargeld"),"Beleg / Verwendung klären","vollständig erfasst")))))))))</x:f>
      </x:c>
    </x:row>
    <x:row r="171" ht="22" customHeight="1">
      <x:c r="A171" s="7"/>
      <x:c r="B171" s="8"/>
      <x:c r="C171" s="7"/>
      <x:c r="D171" s="7"/>
      <x:c r="E171" s="7"/>
      <x:c r="F171" s="20"/>
      <x:c r="G171" s="7"/>
      <x:c r="H171" s="7"/>
      <x:c r="I171" s="7"/>
      <x:c r="J171" s="7"/>
      <x:c r="K171" s="7"/>
      <x:c r="L171" s="7"/>
      <x:c r="M171" s="7"/>
      <x:c r="N171" s="7"/>
      <x:c r="O171" s="2" t="str">
        <x:f>IF(A171="","",IF(COUNTIFS($A$7:$A$1506,A171)&gt;1,"Buchung-ID doppelt",IF(OR(NOT(ISNUMBER(B171)),C171="",NOT(ISNUMBER(F171)),H171="",L171=""),"Pflichtangaben fehlen",IF(COUNTIFS('Konten'!$A$7:$A$26,C171)&lt;&gt;1,"Konto nicht eindeutig",IF(J171&lt;&gt;"Ja","Zuordnung bestätigen",IF(OR(AND(H171="Einnahme",F171&lt;0),AND(H171="Ausgabe",F171&gt;0)),"Vorzeichen prüfen",IF(AND(H171="Umbuchung",OR(K171="",COUNTIFS($A$7:$A$1506,K171)&lt;&gt;1)),"Gegenbuchung fehlt",IF(AND(H171="Umbuchung",ROUND(SUMIFS($F$7:$F$1506,$A$7:$A$1506,K171)+F171,2)&lt;&gt;0),"Umbuchung abweichend",IF(OR(G171="",M171="",M171="offen",M171="teilbelegt",H171="Ungeklärt",H171="Bargeld"),"Beleg / Verwendung klären","vollständig erfasst")))))))))</x:f>
      </x:c>
    </x:row>
    <x:row r="172" ht="22" customHeight="1">
      <x:c r="A172" s="7"/>
      <x:c r="B172" s="8"/>
      <x:c r="C172" s="7"/>
      <x:c r="D172" s="7"/>
      <x:c r="E172" s="7"/>
      <x:c r="F172" s="20"/>
      <x:c r="G172" s="7"/>
      <x:c r="H172" s="7"/>
      <x:c r="I172" s="7"/>
      <x:c r="J172" s="7"/>
      <x:c r="K172" s="7"/>
      <x:c r="L172" s="7"/>
      <x:c r="M172" s="7"/>
      <x:c r="N172" s="7"/>
      <x:c r="O172" s="2" t="str">
        <x:f>IF(A172="","",IF(COUNTIFS($A$7:$A$1506,A172)&gt;1,"Buchung-ID doppelt",IF(OR(NOT(ISNUMBER(B172)),C172="",NOT(ISNUMBER(F172)),H172="",L172=""),"Pflichtangaben fehlen",IF(COUNTIFS('Konten'!$A$7:$A$26,C172)&lt;&gt;1,"Konto nicht eindeutig",IF(J172&lt;&gt;"Ja","Zuordnung bestätigen",IF(OR(AND(H172="Einnahme",F172&lt;0),AND(H172="Ausgabe",F172&gt;0)),"Vorzeichen prüfen",IF(AND(H172="Umbuchung",OR(K172="",COUNTIFS($A$7:$A$1506,K172)&lt;&gt;1)),"Gegenbuchung fehlt",IF(AND(H172="Umbuchung",ROUND(SUMIFS($F$7:$F$1506,$A$7:$A$1506,K172)+F172,2)&lt;&gt;0),"Umbuchung abweichend",IF(OR(G172="",M172="",M172="offen",M172="teilbelegt",H172="Ungeklärt",H172="Bargeld"),"Beleg / Verwendung klären","vollständig erfasst")))))))))</x:f>
      </x:c>
    </x:row>
    <x:row r="173" ht="22" customHeight="1">
      <x:c r="A173" s="7"/>
      <x:c r="B173" s="8"/>
      <x:c r="C173" s="7"/>
      <x:c r="D173" s="7"/>
      <x:c r="E173" s="7"/>
      <x:c r="F173" s="20"/>
      <x:c r="G173" s="7"/>
      <x:c r="H173" s="7"/>
      <x:c r="I173" s="7"/>
      <x:c r="J173" s="7"/>
      <x:c r="K173" s="7"/>
      <x:c r="L173" s="7"/>
      <x:c r="M173" s="7"/>
      <x:c r="N173" s="7"/>
      <x:c r="O173" s="2" t="str">
        <x:f>IF(A173="","",IF(COUNTIFS($A$7:$A$1506,A173)&gt;1,"Buchung-ID doppelt",IF(OR(NOT(ISNUMBER(B173)),C173="",NOT(ISNUMBER(F173)),H173="",L173=""),"Pflichtangaben fehlen",IF(COUNTIFS('Konten'!$A$7:$A$26,C173)&lt;&gt;1,"Konto nicht eindeutig",IF(J173&lt;&gt;"Ja","Zuordnung bestätigen",IF(OR(AND(H173="Einnahme",F173&lt;0),AND(H173="Ausgabe",F173&gt;0)),"Vorzeichen prüfen",IF(AND(H173="Umbuchung",OR(K173="",COUNTIFS($A$7:$A$1506,K173)&lt;&gt;1)),"Gegenbuchung fehlt",IF(AND(H173="Umbuchung",ROUND(SUMIFS($F$7:$F$1506,$A$7:$A$1506,K173)+F173,2)&lt;&gt;0),"Umbuchung abweichend",IF(OR(G173="",M173="",M173="offen",M173="teilbelegt",H173="Ungeklärt",H173="Bargeld"),"Beleg / Verwendung klären","vollständig erfasst")))))))))</x:f>
      </x:c>
    </x:row>
    <x:row r="174" ht="22" customHeight="1">
      <x:c r="A174" s="7"/>
      <x:c r="B174" s="8"/>
      <x:c r="C174" s="7"/>
      <x:c r="D174" s="7"/>
      <x:c r="E174" s="7"/>
      <x:c r="F174" s="20"/>
      <x:c r="G174" s="7"/>
      <x:c r="H174" s="7"/>
      <x:c r="I174" s="7"/>
      <x:c r="J174" s="7"/>
      <x:c r="K174" s="7"/>
      <x:c r="L174" s="7"/>
      <x:c r="M174" s="7"/>
      <x:c r="N174" s="7"/>
      <x:c r="O174" s="2" t="str">
        <x:f>IF(A174="","",IF(COUNTIFS($A$7:$A$1506,A174)&gt;1,"Buchung-ID doppelt",IF(OR(NOT(ISNUMBER(B174)),C174="",NOT(ISNUMBER(F174)),H174="",L174=""),"Pflichtangaben fehlen",IF(COUNTIFS('Konten'!$A$7:$A$26,C174)&lt;&gt;1,"Konto nicht eindeutig",IF(J174&lt;&gt;"Ja","Zuordnung bestätigen",IF(OR(AND(H174="Einnahme",F174&lt;0),AND(H174="Ausgabe",F174&gt;0)),"Vorzeichen prüfen",IF(AND(H174="Umbuchung",OR(K174="",COUNTIFS($A$7:$A$1506,K174)&lt;&gt;1)),"Gegenbuchung fehlt",IF(AND(H174="Umbuchung",ROUND(SUMIFS($F$7:$F$1506,$A$7:$A$1506,K174)+F174,2)&lt;&gt;0),"Umbuchung abweichend",IF(OR(G174="",M174="",M174="offen",M174="teilbelegt",H174="Ungeklärt",H174="Bargeld"),"Beleg / Verwendung klären","vollständig erfasst")))))))))</x:f>
      </x:c>
    </x:row>
    <x:row r="175" ht="22" customHeight="1">
      <x:c r="A175" s="7"/>
      <x:c r="B175" s="8"/>
      <x:c r="C175" s="7"/>
      <x:c r="D175" s="7"/>
      <x:c r="E175" s="7"/>
      <x:c r="F175" s="20"/>
      <x:c r="G175" s="7"/>
      <x:c r="H175" s="7"/>
      <x:c r="I175" s="7"/>
      <x:c r="J175" s="7"/>
      <x:c r="K175" s="7"/>
      <x:c r="L175" s="7"/>
      <x:c r="M175" s="7"/>
      <x:c r="N175" s="7"/>
      <x:c r="O175" s="2" t="str">
        <x:f>IF(A175="","",IF(COUNTIFS($A$7:$A$1506,A175)&gt;1,"Buchung-ID doppelt",IF(OR(NOT(ISNUMBER(B175)),C175="",NOT(ISNUMBER(F175)),H175="",L175=""),"Pflichtangaben fehlen",IF(COUNTIFS('Konten'!$A$7:$A$26,C175)&lt;&gt;1,"Konto nicht eindeutig",IF(J175&lt;&gt;"Ja","Zuordnung bestätigen",IF(OR(AND(H175="Einnahme",F175&lt;0),AND(H175="Ausgabe",F175&gt;0)),"Vorzeichen prüfen",IF(AND(H175="Umbuchung",OR(K175="",COUNTIFS($A$7:$A$1506,K175)&lt;&gt;1)),"Gegenbuchung fehlt",IF(AND(H175="Umbuchung",ROUND(SUMIFS($F$7:$F$1506,$A$7:$A$1506,K175)+F175,2)&lt;&gt;0),"Umbuchung abweichend",IF(OR(G175="",M175="",M175="offen",M175="teilbelegt",H175="Ungeklärt",H175="Bargeld"),"Beleg / Verwendung klären","vollständig erfasst")))))))))</x:f>
      </x:c>
    </x:row>
    <x:row r="176" ht="22" customHeight="1">
      <x:c r="A176" s="7"/>
      <x:c r="B176" s="8"/>
      <x:c r="C176" s="7"/>
      <x:c r="D176" s="7"/>
      <x:c r="E176" s="7"/>
      <x:c r="F176" s="20"/>
      <x:c r="G176" s="7"/>
      <x:c r="H176" s="7"/>
      <x:c r="I176" s="7"/>
      <x:c r="J176" s="7"/>
      <x:c r="K176" s="7"/>
      <x:c r="L176" s="7"/>
      <x:c r="M176" s="7"/>
      <x:c r="N176" s="7"/>
      <x:c r="O176" s="2" t="str">
        <x:f>IF(A176="","",IF(COUNTIFS($A$7:$A$1506,A176)&gt;1,"Buchung-ID doppelt",IF(OR(NOT(ISNUMBER(B176)),C176="",NOT(ISNUMBER(F176)),H176="",L176=""),"Pflichtangaben fehlen",IF(COUNTIFS('Konten'!$A$7:$A$26,C176)&lt;&gt;1,"Konto nicht eindeutig",IF(J176&lt;&gt;"Ja","Zuordnung bestätigen",IF(OR(AND(H176="Einnahme",F176&lt;0),AND(H176="Ausgabe",F176&gt;0)),"Vorzeichen prüfen",IF(AND(H176="Umbuchung",OR(K176="",COUNTIFS($A$7:$A$1506,K176)&lt;&gt;1)),"Gegenbuchung fehlt",IF(AND(H176="Umbuchung",ROUND(SUMIFS($F$7:$F$1506,$A$7:$A$1506,K176)+F176,2)&lt;&gt;0),"Umbuchung abweichend",IF(OR(G176="",M176="",M176="offen",M176="teilbelegt",H176="Ungeklärt",H176="Bargeld"),"Beleg / Verwendung klären","vollständig erfasst")))))))))</x:f>
      </x:c>
    </x:row>
    <x:row r="177" ht="22" customHeight="1">
      <x:c r="A177" s="7"/>
      <x:c r="B177" s="8"/>
      <x:c r="C177" s="7"/>
      <x:c r="D177" s="7"/>
      <x:c r="E177" s="7"/>
      <x:c r="F177" s="20"/>
      <x:c r="G177" s="7"/>
      <x:c r="H177" s="7"/>
      <x:c r="I177" s="7"/>
      <x:c r="J177" s="7"/>
      <x:c r="K177" s="7"/>
      <x:c r="L177" s="7"/>
      <x:c r="M177" s="7"/>
      <x:c r="N177" s="7"/>
      <x:c r="O177" s="2" t="str">
        <x:f>IF(A177="","",IF(COUNTIFS($A$7:$A$1506,A177)&gt;1,"Buchung-ID doppelt",IF(OR(NOT(ISNUMBER(B177)),C177="",NOT(ISNUMBER(F177)),H177="",L177=""),"Pflichtangaben fehlen",IF(COUNTIFS('Konten'!$A$7:$A$26,C177)&lt;&gt;1,"Konto nicht eindeutig",IF(J177&lt;&gt;"Ja","Zuordnung bestätigen",IF(OR(AND(H177="Einnahme",F177&lt;0),AND(H177="Ausgabe",F177&gt;0)),"Vorzeichen prüfen",IF(AND(H177="Umbuchung",OR(K177="",COUNTIFS($A$7:$A$1506,K177)&lt;&gt;1)),"Gegenbuchung fehlt",IF(AND(H177="Umbuchung",ROUND(SUMIFS($F$7:$F$1506,$A$7:$A$1506,K177)+F177,2)&lt;&gt;0),"Umbuchung abweichend",IF(OR(G177="",M177="",M177="offen",M177="teilbelegt",H177="Ungeklärt",H177="Bargeld"),"Beleg / Verwendung klären","vollständig erfasst")))))))))</x:f>
      </x:c>
    </x:row>
    <x:row r="178" ht="22" customHeight="1">
      <x:c r="A178" s="7"/>
      <x:c r="B178" s="8"/>
      <x:c r="C178" s="7"/>
      <x:c r="D178" s="7"/>
      <x:c r="E178" s="7"/>
      <x:c r="F178" s="20"/>
      <x:c r="G178" s="7"/>
      <x:c r="H178" s="7"/>
      <x:c r="I178" s="7"/>
      <x:c r="J178" s="7"/>
      <x:c r="K178" s="7"/>
      <x:c r="L178" s="7"/>
      <x:c r="M178" s="7"/>
      <x:c r="N178" s="7"/>
      <x:c r="O178" s="2" t="str">
        <x:f>IF(A178="","",IF(COUNTIFS($A$7:$A$1506,A178)&gt;1,"Buchung-ID doppelt",IF(OR(NOT(ISNUMBER(B178)),C178="",NOT(ISNUMBER(F178)),H178="",L178=""),"Pflichtangaben fehlen",IF(COUNTIFS('Konten'!$A$7:$A$26,C178)&lt;&gt;1,"Konto nicht eindeutig",IF(J178&lt;&gt;"Ja","Zuordnung bestätigen",IF(OR(AND(H178="Einnahme",F178&lt;0),AND(H178="Ausgabe",F178&gt;0)),"Vorzeichen prüfen",IF(AND(H178="Umbuchung",OR(K178="",COUNTIFS($A$7:$A$1506,K178)&lt;&gt;1)),"Gegenbuchung fehlt",IF(AND(H178="Umbuchung",ROUND(SUMIFS($F$7:$F$1506,$A$7:$A$1506,K178)+F178,2)&lt;&gt;0),"Umbuchung abweichend",IF(OR(G178="",M178="",M178="offen",M178="teilbelegt",H178="Ungeklärt",H178="Bargeld"),"Beleg / Verwendung klären","vollständig erfasst")))))))))</x:f>
      </x:c>
    </x:row>
    <x:row r="179" ht="22" customHeight="1">
      <x:c r="A179" s="7"/>
      <x:c r="B179" s="8"/>
      <x:c r="C179" s="7"/>
      <x:c r="D179" s="7"/>
      <x:c r="E179" s="7"/>
      <x:c r="F179" s="20"/>
      <x:c r="G179" s="7"/>
      <x:c r="H179" s="7"/>
      <x:c r="I179" s="7"/>
      <x:c r="J179" s="7"/>
      <x:c r="K179" s="7"/>
      <x:c r="L179" s="7"/>
      <x:c r="M179" s="7"/>
      <x:c r="N179" s="7"/>
      <x:c r="O179" s="2" t="str">
        <x:f>IF(A179="","",IF(COUNTIFS($A$7:$A$1506,A179)&gt;1,"Buchung-ID doppelt",IF(OR(NOT(ISNUMBER(B179)),C179="",NOT(ISNUMBER(F179)),H179="",L179=""),"Pflichtangaben fehlen",IF(COUNTIFS('Konten'!$A$7:$A$26,C179)&lt;&gt;1,"Konto nicht eindeutig",IF(J179&lt;&gt;"Ja","Zuordnung bestätigen",IF(OR(AND(H179="Einnahme",F179&lt;0),AND(H179="Ausgabe",F179&gt;0)),"Vorzeichen prüfen",IF(AND(H179="Umbuchung",OR(K179="",COUNTIFS($A$7:$A$1506,K179)&lt;&gt;1)),"Gegenbuchung fehlt",IF(AND(H179="Umbuchung",ROUND(SUMIFS($F$7:$F$1506,$A$7:$A$1506,K179)+F179,2)&lt;&gt;0),"Umbuchung abweichend",IF(OR(G179="",M179="",M179="offen",M179="teilbelegt",H179="Ungeklärt",H179="Bargeld"),"Beleg / Verwendung klären","vollständig erfasst")))))))))</x:f>
      </x:c>
    </x:row>
    <x:row r="180" ht="22" customHeight="1">
      <x:c r="A180" s="7"/>
      <x:c r="B180" s="8"/>
      <x:c r="C180" s="7"/>
      <x:c r="D180" s="7"/>
      <x:c r="E180" s="7"/>
      <x:c r="F180" s="20"/>
      <x:c r="G180" s="7"/>
      <x:c r="H180" s="7"/>
      <x:c r="I180" s="7"/>
      <x:c r="J180" s="7"/>
      <x:c r="K180" s="7"/>
      <x:c r="L180" s="7"/>
      <x:c r="M180" s="7"/>
      <x:c r="N180" s="7"/>
      <x:c r="O180" s="2" t="str">
        <x:f>IF(A180="","",IF(COUNTIFS($A$7:$A$1506,A180)&gt;1,"Buchung-ID doppelt",IF(OR(NOT(ISNUMBER(B180)),C180="",NOT(ISNUMBER(F180)),H180="",L180=""),"Pflichtangaben fehlen",IF(COUNTIFS('Konten'!$A$7:$A$26,C180)&lt;&gt;1,"Konto nicht eindeutig",IF(J180&lt;&gt;"Ja","Zuordnung bestätigen",IF(OR(AND(H180="Einnahme",F180&lt;0),AND(H180="Ausgabe",F180&gt;0)),"Vorzeichen prüfen",IF(AND(H180="Umbuchung",OR(K180="",COUNTIFS($A$7:$A$1506,K180)&lt;&gt;1)),"Gegenbuchung fehlt",IF(AND(H180="Umbuchung",ROUND(SUMIFS($F$7:$F$1506,$A$7:$A$1506,K180)+F180,2)&lt;&gt;0),"Umbuchung abweichend",IF(OR(G180="",M180="",M180="offen",M180="teilbelegt",H180="Ungeklärt",H180="Bargeld"),"Beleg / Verwendung klären","vollständig erfasst")))))))))</x:f>
      </x:c>
    </x:row>
    <x:row r="181" ht="22" customHeight="1">
      <x:c r="A181" s="7"/>
      <x:c r="B181" s="8"/>
      <x:c r="C181" s="7"/>
      <x:c r="D181" s="7"/>
      <x:c r="E181" s="7"/>
      <x:c r="F181" s="20"/>
      <x:c r="G181" s="7"/>
      <x:c r="H181" s="7"/>
      <x:c r="I181" s="7"/>
      <x:c r="J181" s="7"/>
      <x:c r="K181" s="7"/>
      <x:c r="L181" s="7"/>
      <x:c r="M181" s="7"/>
      <x:c r="N181" s="7"/>
      <x:c r="O181" s="2" t="str">
        <x:f>IF(A181="","",IF(COUNTIFS($A$7:$A$1506,A181)&gt;1,"Buchung-ID doppelt",IF(OR(NOT(ISNUMBER(B181)),C181="",NOT(ISNUMBER(F181)),H181="",L181=""),"Pflichtangaben fehlen",IF(COUNTIFS('Konten'!$A$7:$A$26,C181)&lt;&gt;1,"Konto nicht eindeutig",IF(J181&lt;&gt;"Ja","Zuordnung bestätigen",IF(OR(AND(H181="Einnahme",F181&lt;0),AND(H181="Ausgabe",F181&gt;0)),"Vorzeichen prüfen",IF(AND(H181="Umbuchung",OR(K181="",COUNTIFS($A$7:$A$1506,K181)&lt;&gt;1)),"Gegenbuchung fehlt",IF(AND(H181="Umbuchung",ROUND(SUMIFS($F$7:$F$1506,$A$7:$A$1506,K181)+F181,2)&lt;&gt;0),"Umbuchung abweichend",IF(OR(G181="",M181="",M181="offen",M181="teilbelegt",H181="Ungeklärt",H181="Bargeld"),"Beleg / Verwendung klären","vollständig erfasst")))))))))</x:f>
      </x:c>
    </x:row>
    <x:row r="182" ht="22" customHeight="1">
      <x:c r="A182" s="7"/>
      <x:c r="B182" s="8"/>
      <x:c r="C182" s="7"/>
      <x:c r="D182" s="7"/>
      <x:c r="E182" s="7"/>
      <x:c r="F182" s="20"/>
      <x:c r="G182" s="7"/>
      <x:c r="H182" s="7"/>
      <x:c r="I182" s="7"/>
      <x:c r="J182" s="7"/>
      <x:c r="K182" s="7"/>
      <x:c r="L182" s="7"/>
      <x:c r="M182" s="7"/>
      <x:c r="N182" s="7"/>
      <x:c r="O182" s="2" t="str">
        <x:f>IF(A182="","",IF(COUNTIFS($A$7:$A$1506,A182)&gt;1,"Buchung-ID doppelt",IF(OR(NOT(ISNUMBER(B182)),C182="",NOT(ISNUMBER(F182)),H182="",L182=""),"Pflichtangaben fehlen",IF(COUNTIFS('Konten'!$A$7:$A$26,C182)&lt;&gt;1,"Konto nicht eindeutig",IF(J182&lt;&gt;"Ja","Zuordnung bestätigen",IF(OR(AND(H182="Einnahme",F182&lt;0),AND(H182="Ausgabe",F182&gt;0)),"Vorzeichen prüfen",IF(AND(H182="Umbuchung",OR(K182="",COUNTIFS($A$7:$A$1506,K182)&lt;&gt;1)),"Gegenbuchung fehlt",IF(AND(H182="Umbuchung",ROUND(SUMIFS($F$7:$F$1506,$A$7:$A$1506,K182)+F182,2)&lt;&gt;0),"Umbuchung abweichend",IF(OR(G182="",M182="",M182="offen",M182="teilbelegt",H182="Ungeklärt",H182="Bargeld"),"Beleg / Verwendung klären","vollständig erfasst")))))))))</x:f>
      </x:c>
    </x:row>
    <x:row r="183" ht="22" customHeight="1">
      <x:c r="A183" s="7"/>
      <x:c r="B183" s="8"/>
      <x:c r="C183" s="7"/>
      <x:c r="D183" s="7"/>
      <x:c r="E183" s="7"/>
      <x:c r="F183" s="20"/>
      <x:c r="G183" s="7"/>
      <x:c r="H183" s="7"/>
      <x:c r="I183" s="7"/>
      <x:c r="J183" s="7"/>
      <x:c r="K183" s="7"/>
      <x:c r="L183" s="7"/>
      <x:c r="M183" s="7"/>
      <x:c r="N183" s="7"/>
      <x:c r="O183" s="2" t="str">
        <x:f>IF(A183="","",IF(COUNTIFS($A$7:$A$1506,A183)&gt;1,"Buchung-ID doppelt",IF(OR(NOT(ISNUMBER(B183)),C183="",NOT(ISNUMBER(F183)),H183="",L183=""),"Pflichtangaben fehlen",IF(COUNTIFS('Konten'!$A$7:$A$26,C183)&lt;&gt;1,"Konto nicht eindeutig",IF(J183&lt;&gt;"Ja","Zuordnung bestätigen",IF(OR(AND(H183="Einnahme",F183&lt;0),AND(H183="Ausgabe",F183&gt;0)),"Vorzeichen prüfen",IF(AND(H183="Umbuchung",OR(K183="",COUNTIFS($A$7:$A$1506,K183)&lt;&gt;1)),"Gegenbuchung fehlt",IF(AND(H183="Umbuchung",ROUND(SUMIFS($F$7:$F$1506,$A$7:$A$1506,K183)+F183,2)&lt;&gt;0),"Umbuchung abweichend",IF(OR(G183="",M183="",M183="offen",M183="teilbelegt",H183="Ungeklärt",H183="Bargeld"),"Beleg / Verwendung klären","vollständig erfasst")))))))))</x:f>
      </x:c>
    </x:row>
    <x:row r="184" ht="22" customHeight="1">
      <x:c r="A184" s="7"/>
      <x:c r="B184" s="8"/>
      <x:c r="C184" s="7"/>
      <x:c r="D184" s="7"/>
      <x:c r="E184" s="7"/>
      <x:c r="F184" s="20"/>
      <x:c r="G184" s="7"/>
      <x:c r="H184" s="7"/>
      <x:c r="I184" s="7"/>
      <x:c r="J184" s="7"/>
      <x:c r="K184" s="7"/>
      <x:c r="L184" s="7"/>
      <x:c r="M184" s="7"/>
      <x:c r="N184" s="7"/>
      <x:c r="O184" s="2" t="str">
        <x:f>IF(A184="","",IF(COUNTIFS($A$7:$A$1506,A184)&gt;1,"Buchung-ID doppelt",IF(OR(NOT(ISNUMBER(B184)),C184="",NOT(ISNUMBER(F184)),H184="",L184=""),"Pflichtangaben fehlen",IF(COUNTIFS('Konten'!$A$7:$A$26,C184)&lt;&gt;1,"Konto nicht eindeutig",IF(J184&lt;&gt;"Ja","Zuordnung bestätigen",IF(OR(AND(H184="Einnahme",F184&lt;0),AND(H184="Ausgabe",F184&gt;0)),"Vorzeichen prüfen",IF(AND(H184="Umbuchung",OR(K184="",COUNTIFS($A$7:$A$1506,K184)&lt;&gt;1)),"Gegenbuchung fehlt",IF(AND(H184="Umbuchung",ROUND(SUMIFS($F$7:$F$1506,$A$7:$A$1506,K184)+F184,2)&lt;&gt;0),"Umbuchung abweichend",IF(OR(G184="",M184="",M184="offen",M184="teilbelegt",H184="Ungeklärt",H184="Bargeld"),"Beleg / Verwendung klären","vollständig erfasst")))))))))</x:f>
      </x:c>
    </x:row>
    <x:row r="185" ht="22" customHeight="1">
      <x:c r="A185" s="7"/>
      <x:c r="B185" s="8"/>
      <x:c r="C185" s="7"/>
      <x:c r="D185" s="7"/>
      <x:c r="E185" s="7"/>
      <x:c r="F185" s="20"/>
      <x:c r="G185" s="7"/>
      <x:c r="H185" s="7"/>
      <x:c r="I185" s="7"/>
      <x:c r="J185" s="7"/>
      <x:c r="K185" s="7"/>
      <x:c r="L185" s="7"/>
      <x:c r="M185" s="7"/>
      <x:c r="N185" s="7"/>
      <x:c r="O185" s="2" t="str">
        <x:f>IF(A185="","",IF(COUNTIFS($A$7:$A$1506,A185)&gt;1,"Buchung-ID doppelt",IF(OR(NOT(ISNUMBER(B185)),C185="",NOT(ISNUMBER(F185)),H185="",L185=""),"Pflichtangaben fehlen",IF(COUNTIFS('Konten'!$A$7:$A$26,C185)&lt;&gt;1,"Konto nicht eindeutig",IF(J185&lt;&gt;"Ja","Zuordnung bestätigen",IF(OR(AND(H185="Einnahme",F185&lt;0),AND(H185="Ausgabe",F185&gt;0)),"Vorzeichen prüfen",IF(AND(H185="Umbuchung",OR(K185="",COUNTIFS($A$7:$A$1506,K185)&lt;&gt;1)),"Gegenbuchung fehlt",IF(AND(H185="Umbuchung",ROUND(SUMIFS($F$7:$F$1506,$A$7:$A$1506,K185)+F185,2)&lt;&gt;0),"Umbuchung abweichend",IF(OR(G185="",M185="",M185="offen",M185="teilbelegt",H185="Ungeklärt",H185="Bargeld"),"Beleg / Verwendung klären","vollständig erfasst")))))))))</x:f>
      </x:c>
    </x:row>
    <x:row r="186" ht="22" customHeight="1">
      <x:c r="A186" s="7"/>
      <x:c r="B186" s="8"/>
      <x:c r="C186" s="7"/>
      <x:c r="D186" s="7"/>
      <x:c r="E186" s="7"/>
      <x:c r="F186" s="20"/>
      <x:c r="G186" s="7"/>
      <x:c r="H186" s="7"/>
      <x:c r="I186" s="7"/>
      <x:c r="J186" s="7"/>
      <x:c r="K186" s="7"/>
      <x:c r="L186" s="7"/>
      <x:c r="M186" s="7"/>
      <x:c r="N186" s="7"/>
      <x:c r="O186" s="2" t="str">
        <x:f>IF(A186="","",IF(COUNTIFS($A$7:$A$1506,A186)&gt;1,"Buchung-ID doppelt",IF(OR(NOT(ISNUMBER(B186)),C186="",NOT(ISNUMBER(F186)),H186="",L186=""),"Pflichtangaben fehlen",IF(COUNTIFS('Konten'!$A$7:$A$26,C186)&lt;&gt;1,"Konto nicht eindeutig",IF(J186&lt;&gt;"Ja","Zuordnung bestätigen",IF(OR(AND(H186="Einnahme",F186&lt;0),AND(H186="Ausgabe",F186&gt;0)),"Vorzeichen prüfen",IF(AND(H186="Umbuchung",OR(K186="",COUNTIFS($A$7:$A$1506,K186)&lt;&gt;1)),"Gegenbuchung fehlt",IF(AND(H186="Umbuchung",ROUND(SUMIFS($F$7:$F$1506,$A$7:$A$1506,K186)+F186,2)&lt;&gt;0),"Umbuchung abweichend",IF(OR(G186="",M186="",M186="offen",M186="teilbelegt",H186="Ungeklärt",H186="Bargeld"),"Beleg / Verwendung klären","vollständig erfasst")))))))))</x:f>
      </x:c>
    </x:row>
    <x:row r="187" ht="22" customHeight="1">
      <x:c r="A187" s="7"/>
      <x:c r="B187" s="8"/>
      <x:c r="C187" s="7"/>
      <x:c r="D187" s="7"/>
      <x:c r="E187" s="7"/>
      <x:c r="F187" s="20"/>
      <x:c r="G187" s="7"/>
      <x:c r="H187" s="7"/>
      <x:c r="I187" s="7"/>
      <x:c r="J187" s="7"/>
      <x:c r="K187" s="7"/>
      <x:c r="L187" s="7"/>
      <x:c r="M187" s="7"/>
      <x:c r="N187" s="7"/>
      <x:c r="O187" s="2" t="str">
        <x:f>IF(A187="","",IF(COUNTIFS($A$7:$A$1506,A187)&gt;1,"Buchung-ID doppelt",IF(OR(NOT(ISNUMBER(B187)),C187="",NOT(ISNUMBER(F187)),H187="",L187=""),"Pflichtangaben fehlen",IF(COUNTIFS('Konten'!$A$7:$A$26,C187)&lt;&gt;1,"Konto nicht eindeutig",IF(J187&lt;&gt;"Ja","Zuordnung bestätigen",IF(OR(AND(H187="Einnahme",F187&lt;0),AND(H187="Ausgabe",F187&gt;0)),"Vorzeichen prüfen",IF(AND(H187="Umbuchung",OR(K187="",COUNTIFS($A$7:$A$1506,K187)&lt;&gt;1)),"Gegenbuchung fehlt",IF(AND(H187="Umbuchung",ROUND(SUMIFS($F$7:$F$1506,$A$7:$A$1506,K187)+F187,2)&lt;&gt;0),"Umbuchung abweichend",IF(OR(G187="",M187="",M187="offen",M187="teilbelegt",H187="Ungeklärt",H187="Bargeld"),"Beleg / Verwendung klären","vollständig erfasst")))))))))</x:f>
      </x:c>
    </x:row>
    <x:row r="188" ht="22" customHeight="1">
      <x:c r="A188" s="7"/>
      <x:c r="B188" s="8"/>
      <x:c r="C188" s="7"/>
      <x:c r="D188" s="7"/>
      <x:c r="E188" s="7"/>
      <x:c r="F188" s="20"/>
      <x:c r="G188" s="7"/>
      <x:c r="H188" s="7"/>
      <x:c r="I188" s="7"/>
      <x:c r="J188" s="7"/>
      <x:c r="K188" s="7"/>
      <x:c r="L188" s="7"/>
      <x:c r="M188" s="7"/>
      <x:c r="N188" s="7"/>
      <x:c r="O188" s="2" t="str">
        <x:f>IF(A188="","",IF(COUNTIFS($A$7:$A$1506,A188)&gt;1,"Buchung-ID doppelt",IF(OR(NOT(ISNUMBER(B188)),C188="",NOT(ISNUMBER(F188)),H188="",L188=""),"Pflichtangaben fehlen",IF(COUNTIFS('Konten'!$A$7:$A$26,C188)&lt;&gt;1,"Konto nicht eindeutig",IF(J188&lt;&gt;"Ja","Zuordnung bestätigen",IF(OR(AND(H188="Einnahme",F188&lt;0),AND(H188="Ausgabe",F188&gt;0)),"Vorzeichen prüfen",IF(AND(H188="Umbuchung",OR(K188="",COUNTIFS($A$7:$A$1506,K188)&lt;&gt;1)),"Gegenbuchung fehlt",IF(AND(H188="Umbuchung",ROUND(SUMIFS($F$7:$F$1506,$A$7:$A$1506,K188)+F188,2)&lt;&gt;0),"Umbuchung abweichend",IF(OR(G188="",M188="",M188="offen",M188="teilbelegt",H188="Ungeklärt",H188="Bargeld"),"Beleg / Verwendung klären","vollständig erfasst")))))))))</x:f>
      </x:c>
    </x:row>
    <x:row r="189" ht="22" customHeight="1">
      <x:c r="A189" s="7"/>
      <x:c r="B189" s="8"/>
      <x:c r="C189" s="7"/>
      <x:c r="D189" s="7"/>
      <x:c r="E189" s="7"/>
      <x:c r="F189" s="20"/>
      <x:c r="G189" s="7"/>
      <x:c r="H189" s="7"/>
      <x:c r="I189" s="7"/>
      <x:c r="J189" s="7"/>
      <x:c r="K189" s="7"/>
      <x:c r="L189" s="7"/>
      <x:c r="M189" s="7"/>
      <x:c r="N189" s="7"/>
      <x:c r="O189" s="2" t="str">
        <x:f>IF(A189="","",IF(COUNTIFS($A$7:$A$1506,A189)&gt;1,"Buchung-ID doppelt",IF(OR(NOT(ISNUMBER(B189)),C189="",NOT(ISNUMBER(F189)),H189="",L189=""),"Pflichtangaben fehlen",IF(COUNTIFS('Konten'!$A$7:$A$26,C189)&lt;&gt;1,"Konto nicht eindeutig",IF(J189&lt;&gt;"Ja","Zuordnung bestätigen",IF(OR(AND(H189="Einnahme",F189&lt;0),AND(H189="Ausgabe",F189&gt;0)),"Vorzeichen prüfen",IF(AND(H189="Umbuchung",OR(K189="",COUNTIFS($A$7:$A$1506,K189)&lt;&gt;1)),"Gegenbuchung fehlt",IF(AND(H189="Umbuchung",ROUND(SUMIFS($F$7:$F$1506,$A$7:$A$1506,K189)+F189,2)&lt;&gt;0),"Umbuchung abweichend",IF(OR(G189="",M189="",M189="offen",M189="teilbelegt",H189="Ungeklärt",H189="Bargeld"),"Beleg / Verwendung klären","vollständig erfasst")))))))))</x:f>
      </x:c>
    </x:row>
    <x:row r="190" ht="22" customHeight="1">
      <x:c r="A190" s="7"/>
      <x:c r="B190" s="8"/>
      <x:c r="C190" s="7"/>
      <x:c r="D190" s="7"/>
      <x:c r="E190" s="7"/>
      <x:c r="F190" s="20"/>
      <x:c r="G190" s="7"/>
      <x:c r="H190" s="7"/>
      <x:c r="I190" s="7"/>
      <x:c r="J190" s="7"/>
      <x:c r="K190" s="7"/>
      <x:c r="L190" s="7"/>
      <x:c r="M190" s="7"/>
      <x:c r="N190" s="7"/>
      <x:c r="O190" s="2" t="str">
        <x:f>IF(A190="","",IF(COUNTIFS($A$7:$A$1506,A190)&gt;1,"Buchung-ID doppelt",IF(OR(NOT(ISNUMBER(B190)),C190="",NOT(ISNUMBER(F190)),H190="",L190=""),"Pflichtangaben fehlen",IF(COUNTIFS('Konten'!$A$7:$A$26,C190)&lt;&gt;1,"Konto nicht eindeutig",IF(J190&lt;&gt;"Ja","Zuordnung bestätigen",IF(OR(AND(H190="Einnahme",F190&lt;0),AND(H190="Ausgabe",F190&gt;0)),"Vorzeichen prüfen",IF(AND(H190="Umbuchung",OR(K190="",COUNTIFS($A$7:$A$1506,K190)&lt;&gt;1)),"Gegenbuchung fehlt",IF(AND(H190="Umbuchung",ROUND(SUMIFS($F$7:$F$1506,$A$7:$A$1506,K190)+F190,2)&lt;&gt;0),"Umbuchung abweichend",IF(OR(G190="",M190="",M190="offen",M190="teilbelegt",H190="Ungeklärt",H190="Bargeld"),"Beleg / Verwendung klären","vollständig erfasst")))))))))</x:f>
      </x:c>
    </x:row>
    <x:row r="191" ht="22" customHeight="1">
      <x:c r="A191" s="7"/>
      <x:c r="B191" s="8"/>
      <x:c r="C191" s="7"/>
      <x:c r="D191" s="7"/>
      <x:c r="E191" s="7"/>
      <x:c r="F191" s="20"/>
      <x:c r="G191" s="7"/>
      <x:c r="H191" s="7"/>
      <x:c r="I191" s="7"/>
      <x:c r="J191" s="7"/>
      <x:c r="K191" s="7"/>
      <x:c r="L191" s="7"/>
      <x:c r="M191" s="7"/>
      <x:c r="N191" s="7"/>
      <x:c r="O191" s="2" t="str">
        <x:f>IF(A191="","",IF(COUNTIFS($A$7:$A$1506,A191)&gt;1,"Buchung-ID doppelt",IF(OR(NOT(ISNUMBER(B191)),C191="",NOT(ISNUMBER(F191)),H191="",L191=""),"Pflichtangaben fehlen",IF(COUNTIFS('Konten'!$A$7:$A$26,C191)&lt;&gt;1,"Konto nicht eindeutig",IF(J191&lt;&gt;"Ja","Zuordnung bestätigen",IF(OR(AND(H191="Einnahme",F191&lt;0),AND(H191="Ausgabe",F191&gt;0)),"Vorzeichen prüfen",IF(AND(H191="Umbuchung",OR(K191="",COUNTIFS($A$7:$A$1506,K191)&lt;&gt;1)),"Gegenbuchung fehlt",IF(AND(H191="Umbuchung",ROUND(SUMIFS($F$7:$F$1506,$A$7:$A$1506,K191)+F191,2)&lt;&gt;0),"Umbuchung abweichend",IF(OR(G191="",M191="",M191="offen",M191="teilbelegt",H191="Ungeklärt",H191="Bargeld"),"Beleg / Verwendung klären","vollständig erfasst")))))))))</x:f>
      </x:c>
    </x:row>
    <x:row r="192" ht="22" customHeight="1">
      <x:c r="A192" s="7"/>
      <x:c r="B192" s="8"/>
      <x:c r="C192" s="7"/>
      <x:c r="D192" s="7"/>
      <x:c r="E192" s="7"/>
      <x:c r="F192" s="20"/>
      <x:c r="G192" s="7"/>
      <x:c r="H192" s="7"/>
      <x:c r="I192" s="7"/>
      <x:c r="J192" s="7"/>
      <x:c r="K192" s="7"/>
      <x:c r="L192" s="7"/>
      <x:c r="M192" s="7"/>
      <x:c r="N192" s="7"/>
      <x:c r="O192" s="2" t="str">
        <x:f>IF(A192="","",IF(COUNTIFS($A$7:$A$1506,A192)&gt;1,"Buchung-ID doppelt",IF(OR(NOT(ISNUMBER(B192)),C192="",NOT(ISNUMBER(F192)),H192="",L192=""),"Pflichtangaben fehlen",IF(COUNTIFS('Konten'!$A$7:$A$26,C192)&lt;&gt;1,"Konto nicht eindeutig",IF(J192&lt;&gt;"Ja","Zuordnung bestätigen",IF(OR(AND(H192="Einnahme",F192&lt;0),AND(H192="Ausgabe",F192&gt;0)),"Vorzeichen prüfen",IF(AND(H192="Umbuchung",OR(K192="",COUNTIFS($A$7:$A$1506,K192)&lt;&gt;1)),"Gegenbuchung fehlt",IF(AND(H192="Umbuchung",ROUND(SUMIFS($F$7:$F$1506,$A$7:$A$1506,K192)+F192,2)&lt;&gt;0),"Umbuchung abweichend",IF(OR(G192="",M192="",M192="offen",M192="teilbelegt",H192="Ungeklärt",H192="Bargeld"),"Beleg / Verwendung klären","vollständig erfasst")))))))))</x:f>
      </x:c>
    </x:row>
    <x:row r="193" ht="22" customHeight="1">
      <x:c r="A193" s="7"/>
      <x:c r="B193" s="8"/>
      <x:c r="C193" s="7"/>
      <x:c r="D193" s="7"/>
      <x:c r="E193" s="7"/>
      <x:c r="F193" s="20"/>
      <x:c r="G193" s="7"/>
      <x:c r="H193" s="7"/>
      <x:c r="I193" s="7"/>
      <x:c r="J193" s="7"/>
      <x:c r="K193" s="7"/>
      <x:c r="L193" s="7"/>
      <x:c r="M193" s="7"/>
      <x:c r="N193" s="7"/>
      <x:c r="O193" s="2" t="str">
        <x:f>IF(A193="","",IF(COUNTIFS($A$7:$A$1506,A193)&gt;1,"Buchung-ID doppelt",IF(OR(NOT(ISNUMBER(B193)),C193="",NOT(ISNUMBER(F193)),H193="",L193=""),"Pflichtangaben fehlen",IF(COUNTIFS('Konten'!$A$7:$A$26,C193)&lt;&gt;1,"Konto nicht eindeutig",IF(J193&lt;&gt;"Ja","Zuordnung bestätigen",IF(OR(AND(H193="Einnahme",F193&lt;0),AND(H193="Ausgabe",F193&gt;0)),"Vorzeichen prüfen",IF(AND(H193="Umbuchung",OR(K193="",COUNTIFS($A$7:$A$1506,K193)&lt;&gt;1)),"Gegenbuchung fehlt",IF(AND(H193="Umbuchung",ROUND(SUMIFS($F$7:$F$1506,$A$7:$A$1506,K193)+F193,2)&lt;&gt;0),"Umbuchung abweichend",IF(OR(G193="",M193="",M193="offen",M193="teilbelegt",H193="Ungeklärt",H193="Bargeld"),"Beleg / Verwendung klären","vollständig erfasst")))))))))</x:f>
      </x:c>
    </x:row>
    <x:row r="194" ht="22" customHeight="1">
      <x:c r="A194" s="7"/>
      <x:c r="B194" s="8"/>
      <x:c r="C194" s="7"/>
      <x:c r="D194" s="7"/>
      <x:c r="E194" s="7"/>
      <x:c r="F194" s="20"/>
      <x:c r="G194" s="7"/>
      <x:c r="H194" s="7"/>
      <x:c r="I194" s="7"/>
      <x:c r="J194" s="7"/>
      <x:c r="K194" s="7"/>
      <x:c r="L194" s="7"/>
      <x:c r="M194" s="7"/>
      <x:c r="N194" s="7"/>
      <x:c r="O194" s="2" t="str">
        <x:f>IF(A194="","",IF(COUNTIFS($A$7:$A$1506,A194)&gt;1,"Buchung-ID doppelt",IF(OR(NOT(ISNUMBER(B194)),C194="",NOT(ISNUMBER(F194)),H194="",L194=""),"Pflichtangaben fehlen",IF(COUNTIFS('Konten'!$A$7:$A$26,C194)&lt;&gt;1,"Konto nicht eindeutig",IF(J194&lt;&gt;"Ja","Zuordnung bestätigen",IF(OR(AND(H194="Einnahme",F194&lt;0),AND(H194="Ausgabe",F194&gt;0)),"Vorzeichen prüfen",IF(AND(H194="Umbuchung",OR(K194="",COUNTIFS($A$7:$A$1506,K194)&lt;&gt;1)),"Gegenbuchung fehlt",IF(AND(H194="Umbuchung",ROUND(SUMIFS($F$7:$F$1506,$A$7:$A$1506,K194)+F194,2)&lt;&gt;0),"Umbuchung abweichend",IF(OR(G194="",M194="",M194="offen",M194="teilbelegt",H194="Ungeklärt",H194="Bargeld"),"Beleg / Verwendung klären","vollständig erfasst")))))))))</x:f>
      </x:c>
    </x:row>
    <x:row r="195" ht="22" customHeight="1">
      <x:c r="A195" s="7"/>
      <x:c r="B195" s="8"/>
      <x:c r="C195" s="7"/>
      <x:c r="D195" s="7"/>
      <x:c r="E195" s="7"/>
      <x:c r="F195" s="20"/>
      <x:c r="G195" s="7"/>
      <x:c r="H195" s="7"/>
      <x:c r="I195" s="7"/>
      <x:c r="J195" s="7"/>
      <x:c r="K195" s="7"/>
      <x:c r="L195" s="7"/>
      <x:c r="M195" s="7"/>
      <x:c r="N195" s="7"/>
      <x:c r="O195" s="2" t="str">
        <x:f>IF(A195="","",IF(COUNTIFS($A$7:$A$1506,A195)&gt;1,"Buchung-ID doppelt",IF(OR(NOT(ISNUMBER(B195)),C195="",NOT(ISNUMBER(F195)),H195="",L195=""),"Pflichtangaben fehlen",IF(COUNTIFS('Konten'!$A$7:$A$26,C195)&lt;&gt;1,"Konto nicht eindeutig",IF(J195&lt;&gt;"Ja","Zuordnung bestätigen",IF(OR(AND(H195="Einnahme",F195&lt;0),AND(H195="Ausgabe",F195&gt;0)),"Vorzeichen prüfen",IF(AND(H195="Umbuchung",OR(K195="",COUNTIFS($A$7:$A$1506,K195)&lt;&gt;1)),"Gegenbuchung fehlt",IF(AND(H195="Umbuchung",ROUND(SUMIFS($F$7:$F$1506,$A$7:$A$1506,K195)+F195,2)&lt;&gt;0),"Umbuchung abweichend",IF(OR(G195="",M195="",M195="offen",M195="teilbelegt",H195="Ungeklärt",H195="Bargeld"),"Beleg / Verwendung klären","vollständig erfasst")))))))))</x:f>
      </x:c>
    </x:row>
    <x:row r="196" ht="22" customHeight="1">
      <x:c r="A196" s="7"/>
      <x:c r="B196" s="8"/>
      <x:c r="C196" s="7"/>
      <x:c r="D196" s="7"/>
      <x:c r="E196" s="7"/>
      <x:c r="F196" s="20"/>
      <x:c r="G196" s="7"/>
      <x:c r="H196" s="7"/>
      <x:c r="I196" s="7"/>
      <x:c r="J196" s="7"/>
      <x:c r="K196" s="7"/>
      <x:c r="L196" s="7"/>
      <x:c r="M196" s="7"/>
      <x:c r="N196" s="7"/>
      <x:c r="O196" s="2" t="str">
        <x:f>IF(A196="","",IF(COUNTIFS($A$7:$A$1506,A196)&gt;1,"Buchung-ID doppelt",IF(OR(NOT(ISNUMBER(B196)),C196="",NOT(ISNUMBER(F196)),H196="",L196=""),"Pflichtangaben fehlen",IF(COUNTIFS('Konten'!$A$7:$A$26,C196)&lt;&gt;1,"Konto nicht eindeutig",IF(J196&lt;&gt;"Ja","Zuordnung bestätigen",IF(OR(AND(H196="Einnahme",F196&lt;0),AND(H196="Ausgabe",F196&gt;0)),"Vorzeichen prüfen",IF(AND(H196="Umbuchung",OR(K196="",COUNTIFS($A$7:$A$1506,K196)&lt;&gt;1)),"Gegenbuchung fehlt",IF(AND(H196="Umbuchung",ROUND(SUMIFS($F$7:$F$1506,$A$7:$A$1506,K196)+F196,2)&lt;&gt;0),"Umbuchung abweichend",IF(OR(G196="",M196="",M196="offen",M196="teilbelegt",H196="Ungeklärt",H196="Bargeld"),"Beleg / Verwendung klären","vollständig erfasst")))))))))</x:f>
      </x:c>
    </x:row>
    <x:row r="197" ht="22" customHeight="1">
      <x:c r="A197" s="7"/>
      <x:c r="B197" s="8"/>
      <x:c r="C197" s="7"/>
      <x:c r="D197" s="7"/>
      <x:c r="E197" s="7"/>
      <x:c r="F197" s="20"/>
      <x:c r="G197" s="7"/>
      <x:c r="H197" s="7"/>
      <x:c r="I197" s="7"/>
      <x:c r="J197" s="7"/>
      <x:c r="K197" s="7"/>
      <x:c r="L197" s="7"/>
      <x:c r="M197" s="7"/>
      <x:c r="N197" s="7"/>
      <x:c r="O197" s="2" t="str">
        <x:f>IF(A197="","",IF(COUNTIFS($A$7:$A$1506,A197)&gt;1,"Buchung-ID doppelt",IF(OR(NOT(ISNUMBER(B197)),C197="",NOT(ISNUMBER(F197)),H197="",L197=""),"Pflichtangaben fehlen",IF(COUNTIFS('Konten'!$A$7:$A$26,C197)&lt;&gt;1,"Konto nicht eindeutig",IF(J197&lt;&gt;"Ja","Zuordnung bestätigen",IF(OR(AND(H197="Einnahme",F197&lt;0),AND(H197="Ausgabe",F197&gt;0)),"Vorzeichen prüfen",IF(AND(H197="Umbuchung",OR(K197="",COUNTIFS($A$7:$A$1506,K197)&lt;&gt;1)),"Gegenbuchung fehlt",IF(AND(H197="Umbuchung",ROUND(SUMIFS($F$7:$F$1506,$A$7:$A$1506,K197)+F197,2)&lt;&gt;0),"Umbuchung abweichend",IF(OR(G197="",M197="",M197="offen",M197="teilbelegt",H197="Ungeklärt",H197="Bargeld"),"Beleg / Verwendung klären","vollständig erfasst")))))))))</x:f>
      </x:c>
    </x:row>
    <x:row r="198" ht="22" customHeight="1">
      <x:c r="A198" s="7"/>
      <x:c r="B198" s="8"/>
      <x:c r="C198" s="7"/>
      <x:c r="D198" s="7"/>
      <x:c r="E198" s="7"/>
      <x:c r="F198" s="20"/>
      <x:c r="G198" s="7"/>
      <x:c r="H198" s="7"/>
      <x:c r="I198" s="7"/>
      <x:c r="J198" s="7"/>
      <x:c r="K198" s="7"/>
      <x:c r="L198" s="7"/>
      <x:c r="M198" s="7"/>
      <x:c r="N198" s="7"/>
      <x:c r="O198" s="2" t="str">
        <x:f>IF(A198="","",IF(COUNTIFS($A$7:$A$1506,A198)&gt;1,"Buchung-ID doppelt",IF(OR(NOT(ISNUMBER(B198)),C198="",NOT(ISNUMBER(F198)),H198="",L198=""),"Pflichtangaben fehlen",IF(COUNTIFS('Konten'!$A$7:$A$26,C198)&lt;&gt;1,"Konto nicht eindeutig",IF(J198&lt;&gt;"Ja","Zuordnung bestätigen",IF(OR(AND(H198="Einnahme",F198&lt;0),AND(H198="Ausgabe",F198&gt;0)),"Vorzeichen prüfen",IF(AND(H198="Umbuchung",OR(K198="",COUNTIFS($A$7:$A$1506,K198)&lt;&gt;1)),"Gegenbuchung fehlt",IF(AND(H198="Umbuchung",ROUND(SUMIFS($F$7:$F$1506,$A$7:$A$1506,K198)+F198,2)&lt;&gt;0),"Umbuchung abweichend",IF(OR(G198="",M198="",M198="offen",M198="teilbelegt",H198="Ungeklärt",H198="Bargeld"),"Beleg / Verwendung klären","vollständig erfasst")))))))))</x:f>
      </x:c>
    </x:row>
    <x:row r="199" ht="22" customHeight="1">
      <x:c r="A199" s="7"/>
      <x:c r="B199" s="8"/>
      <x:c r="C199" s="7"/>
      <x:c r="D199" s="7"/>
      <x:c r="E199" s="7"/>
      <x:c r="F199" s="20"/>
      <x:c r="G199" s="7"/>
      <x:c r="H199" s="7"/>
      <x:c r="I199" s="7"/>
      <x:c r="J199" s="7"/>
      <x:c r="K199" s="7"/>
      <x:c r="L199" s="7"/>
      <x:c r="M199" s="7"/>
      <x:c r="N199" s="7"/>
      <x:c r="O199" s="2" t="str">
        <x:f>IF(A199="","",IF(COUNTIFS($A$7:$A$1506,A199)&gt;1,"Buchung-ID doppelt",IF(OR(NOT(ISNUMBER(B199)),C199="",NOT(ISNUMBER(F199)),H199="",L199=""),"Pflichtangaben fehlen",IF(COUNTIFS('Konten'!$A$7:$A$26,C199)&lt;&gt;1,"Konto nicht eindeutig",IF(J199&lt;&gt;"Ja","Zuordnung bestätigen",IF(OR(AND(H199="Einnahme",F199&lt;0),AND(H199="Ausgabe",F199&gt;0)),"Vorzeichen prüfen",IF(AND(H199="Umbuchung",OR(K199="",COUNTIFS($A$7:$A$1506,K199)&lt;&gt;1)),"Gegenbuchung fehlt",IF(AND(H199="Umbuchung",ROUND(SUMIFS($F$7:$F$1506,$A$7:$A$1506,K199)+F199,2)&lt;&gt;0),"Umbuchung abweichend",IF(OR(G199="",M199="",M199="offen",M199="teilbelegt",H199="Ungeklärt",H199="Bargeld"),"Beleg / Verwendung klären","vollständig erfasst")))))))))</x:f>
      </x:c>
    </x:row>
    <x:row r="200" ht="22" customHeight="1">
      <x:c r="A200" s="7"/>
      <x:c r="B200" s="8"/>
      <x:c r="C200" s="7"/>
      <x:c r="D200" s="7"/>
      <x:c r="E200" s="7"/>
      <x:c r="F200" s="20"/>
      <x:c r="G200" s="7"/>
      <x:c r="H200" s="7"/>
      <x:c r="I200" s="7"/>
      <x:c r="J200" s="7"/>
      <x:c r="K200" s="7"/>
      <x:c r="L200" s="7"/>
      <x:c r="M200" s="7"/>
      <x:c r="N200" s="7"/>
      <x:c r="O200" s="2" t="str">
        <x:f>IF(A200="","",IF(COUNTIFS($A$7:$A$1506,A200)&gt;1,"Buchung-ID doppelt",IF(OR(NOT(ISNUMBER(B200)),C200="",NOT(ISNUMBER(F200)),H200="",L200=""),"Pflichtangaben fehlen",IF(COUNTIFS('Konten'!$A$7:$A$26,C200)&lt;&gt;1,"Konto nicht eindeutig",IF(J200&lt;&gt;"Ja","Zuordnung bestätigen",IF(OR(AND(H200="Einnahme",F200&lt;0),AND(H200="Ausgabe",F200&gt;0)),"Vorzeichen prüfen",IF(AND(H200="Umbuchung",OR(K200="",COUNTIFS($A$7:$A$1506,K200)&lt;&gt;1)),"Gegenbuchung fehlt",IF(AND(H200="Umbuchung",ROUND(SUMIFS($F$7:$F$1506,$A$7:$A$1506,K200)+F200,2)&lt;&gt;0),"Umbuchung abweichend",IF(OR(G200="",M200="",M200="offen",M200="teilbelegt",H200="Ungeklärt",H200="Bargeld"),"Beleg / Verwendung klären","vollständig erfasst")))))))))</x:f>
      </x:c>
    </x:row>
    <x:row r="201" ht="22" customHeight="1">
      <x:c r="A201" s="7"/>
      <x:c r="B201" s="8"/>
      <x:c r="C201" s="7"/>
      <x:c r="D201" s="7"/>
      <x:c r="E201" s="7"/>
      <x:c r="F201" s="20"/>
      <x:c r="G201" s="7"/>
      <x:c r="H201" s="7"/>
      <x:c r="I201" s="7"/>
      <x:c r="J201" s="7"/>
      <x:c r="K201" s="7"/>
      <x:c r="L201" s="7"/>
      <x:c r="M201" s="7"/>
      <x:c r="N201" s="7"/>
      <x:c r="O201" s="2" t="str">
        <x:f>IF(A201="","",IF(COUNTIFS($A$7:$A$1506,A201)&gt;1,"Buchung-ID doppelt",IF(OR(NOT(ISNUMBER(B201)),C201="",NOT(ISNUMBER(F201)),H201="",L201=""),"Pflichtangaben fehlen",IF(COUNTIFS('Konten'!$A$7:$A$26,C201)&lt;&gt;1,"Konto nicht eindeutig",IF(J201&lt;&gt;"Ja","Zuordnung bestätigen",IF(OR(AND(H201="Einnahme",F201&lt;0),AND(H201="Ausgabe",F201&gt;0)),"Vorzeichen prüfen",IF(AND(H201="Umbuchung",OR(K201="",COUNTIFS($A$7:$A$1506,K201)&lt;&gt;1)),"Gegenbuchung fehlt",IF(AND(H201="Umbuchung",ROUND(SUMIFS($F$7:$F$1506,$A$7:$A$1506,K201)+F201,2)&lt;&gt;0),"Umbuchung abweichend",IF(OR(G201="",M201="",M201="offen",M201="teilbelegt",H201="Ungeklärt",H201="Bargeld"),"Beleg / Verwendung klären","vollständig erfasst")))))))))</x:f>
      </x:c>
    </x:row>
    <x:row r="202" ht="22" customHeight="1">
      <x:c r="A202" s="7"/>
      <x:c r="B202" s="8"/>
      <x:c r="C202" s="7"/>
      <x:c r="D202" s="7"/>
      <x:c r="E202" s="7"/>
      <x:c r="F202" s="20"/>
      <x:c r="G202" s="7"/>
      <x:c r="H202" s="7"/>
      <x:c r="I202" s="7"/>
      <x:c r="J202" s="7"/>
      <x:c r="K202" s="7"/>
      <x:c r="L202" s="7"/>
      <x:c r="M202" s="7"/>
      <x:c r="N202" s="7"/>
      <x:c r="O202" s="2" t="str">
        <x:f>IF(A202="","",IF(COUNTIFS($A$7:$A$1506,A202)&gt;1,"Buchung-ID doppelt",IF(OR(NOT(ISNUMBER(B202)),C202="",NOT(ISNUMBER(F202)),H202="",L202=""),"Pflichtangaben fehlen",IF(COUNTIFS('Konten'!$A$7:$A$26,C202)&lt;&gt;1,"Konto nicht eindeutig",IF(J202&lt;&gt;"Ja","Zuordnung bestätigen",IF(OR(AND(H202="Einnahme",F202&lt;0),AND(H202="Ausgabe",F202&gt;0)),"Vorzeichen prüfen",IF(AND(H202="Umbuchung",OR(K202="",COUNTIFS($A$7:$A$1506,K202)&lt;&gt;1)),"Gegenbuchung fehlt",IF(AND(H202="Umbuchung",ROUND(SUMIFS($F$7:$F$1506,$A$7:$A$1506,K202)+F202,2)&lt;&gt;0),"Umbuchung abweichend",IF(OR(G202="",M202="",M202="offen",M202="teilbelegt",H202="Ungeklärt",H202="Bargeld"),"Beleg / Verwendung klären","vollständig erfasst")))))))))</x:f>
      </x:c>
    </x:row>
    <x:row r="203" ht="22" customHeight="1">
      <x:c r="A203" s="7"/>
      <x:c r="B203" s="8"/>
      <x:c r="C203" s="7"/>
      <x:c r="D203" s="7"/>
      <x:c r="E203" s="7"/>
      <x:c r="F203" s="20"/>
      <x:c r="G203" s="7"/>
      <x:c r="H203" s="7"/>
      <x:c r="I203" s="7"/>
      <x:c r="J203" s="7"/>
      <x:c r="K203" s="7"/>
      <x:c r="L203" s="7"/>
      <x:c r="M203" s="7"/>
      <x:c r="N203" s="7"/>
      <x:c r="O203" s="2" t="str">
        <x:f>IF(A203="","",IF(COUNTIFS($A$7:$A$1506,A203)&gt;1,"Buchung-ID doppelt",IF(OR(NOT(ISNUMBER(B203)),C203="",NOT(ISNUMBER(F203)),H203="",L203=""),"Pflichtangaben fehlen",IF(COUNTIFS('Konten'!$A$7:$A$26,C203)&lt;&gt;1,"Konto nicht eindeutig",IF(J203&lt;&gt;"Ja","Zuordnung bestätigen",IF(OR(AND(H203="Einnahme",F203&lt;0),AND(H203="Ausgabe",F203&gt;0)),"Vorzeichen prüfen",IF(AND(H203="Umbuchung",OR(K203="",COUNTIFS($A$7:$A$1506,K203)&lt;&gt;1)),"Gegenbuchung fehlt",IF(AND(H203="Umbuchung",ROUND(SUMIFS($F$7:$F$1506,$A$7:$A$1506,K203)+F203,2)&lt;&gt;0),"Umbuchung abweichend",IF(OR(G203="",M203="",M203="offen",M203="teilbelegt",H203="Ungeklärt",H203="Bargeld"),"Beleg / Verwendung klären","vollständig erfasst")))))))))</x:f>
      </x:c>
    </x:row>
    <x:row r="204" ht="22" customHeight="1">
      <x:c r="A204" s="7"/>
      <x:c r="B204" s="8"/>
      <x:c r="C204" s="7"/>
      <x:c r="D204" s="7"/>
      <x:c r="E204" s="7"/>
      <x:c r="F204" s="20"/>
      <x:c r="G204" s="7"/>
      <x:c r="H204" s="7"/>
      <x:c r="I204" s="7"/>
      <x:c r="J204" s="7"/>
      <x:c r="K204" s="7"/>
      <x:c r="L204" s="7"/>
      <x:c r="M204" s="7"/>
      <x:c r="N204" s="7"/>
      <x:c r="O204" s="2" t="str">
        <x:f>IF(A204="","",IF(COUNTIFS($A$7:$A$1506,A204)&gt;1,"Buchung-ID doppelt",IF(OR(NOT(ISNUMBER(B204)),C204="",NOT(ISNUMBER(F204)),H204="",L204=""),"Pflichtangaben fehlen",IF(COUNTIFS('Konten'!$A$7:$A$26,C204)&lt;&gt;1,"Konto nicht eindeutig",IF(J204&lt;&gt;"Ja","Zuordnung bestätigen",IF(OR(AND(H204="Einnahme",F204&lt;0),AND(H204="Ausgabe",F204&gt;0)),"Vorzeichen prüfen",IF(AND(H204="Umbuchung",OR(K204="",COUNTIFS($A$7:$A$1506,K204)&lt;&gt;1)),"Gegenbuchung fehlt",IF(AND(H204="Umbuchung",ROUND(SUMIFS($F$7:$F$1506,$A$7:$A$1506,K204)+F204,2)&lt;&gt;0),"Umbuchung abweichend",IF(OR(G204="",M204="",M204="offen",M204="teilbelegt",H204="Ungeklärt",H204="Bargeld"),"Beleg / Verwendung klären","vollständig erfasst")))))))))</x:f>
      </x:c>
    </x:row>
    <x:row r="205" ht="22" customHeight="1">
      <x:c r="A205" s="7"/>
      <x:c r="B205" s="8"/>
      <x:c r="C205" s="7"/>
      <x:c r="D205" s="7"/>
      <x:c r="E205" s="7"/>
      <x:c r="F205" s="20"/>
      <x:c r="G205" s="7"/>
      <x:c r="H205" s="7"/>
      <x:c r="I205" s="7"/>
      <x:c r="J205" s="7"/>
      <x:c r="K205" s="7"/>
      <x:c r="L205" s="7"/>
      <x:c r="M205" s="7"/>
      <x:c r="N205" s="7"/>
      <x:c r="O205" s="2" t="str">
        <x:f>IF(A205="","",IF(COUNTIFS($A$7:$A$1506,A205)&gt;1,"Buchung-ID doppelt",IF(OR(NOT(ISNUMBER(B205)),C205="",NOT(ISNUMBER(F205)),H205="",L205=""),"Pflichtangaben fehlen",IF(COUNTIFS('Konten'!$A$7:$A$26,C205)&lt;&gt;1,"Konto nicht eindeutig",IF(J205&lt;&gt;"Ja","Zuordnung bestätigen",IF(OR(AND(H205="Einnahme",F205&lt;0),AND(H205="Ausgabe",F205&gt;0)),"Vorzeichen prüfen",IF(AND(H205="Umbuchung",OR(K205="",COUNTIFS($A$7:$A$1506,K205)&lt;&gt;1)),"Gegenbuchung fehlt",IF(AND(H205="Umbuchung",ROUND(SUMIFS($F$7:$F$1506,$A$7:$A$1506,K205)+F205,2)&lt;&gt;0),"Umbuchung abweichend",IF(OR(G205="",M205="",M205="offen",M205="teilbelegt",H205="Ungeklärt",H205="Bargeld"),"Beleg / Verwendung klären","vollständig erfasst")))))))))</x:f>
      </x:c>
    </x:row>
    <x:row r="206" ht="22" customHeight="1">
      <x:c r="A206" s="7"/>
      <x:c r="B206" s="8"/>
      <x:c r="C206" s="7"/>
      <x:c r="D206" s="7"/>
      <x:c r="E206" s="7"/>
      <x:c r="F206" s="20"/>
      <x:c r="G206" s="7"/>
      <x:c r="H206" s="7"/>
      <x:c r="I206" s="7"/>
      <x:c r="J206" s="7"/>
      <x:c r="K206" s="7"/>
      <x:c r="L206" s="7"/>
      <x:c r="M206" s="7"/>
      <x:c r="N206" s="7"/>
      <x:c r="O206" s="2" t="str">
        <x:f>IF(A206="","",IF(COUNTIFS($A$7:$A$1506,A206)&gt;1,"Buchung-ID doppelt",IF(OR(NOT(ISNUMBER(B206)),C206="",NOT(ISNUMBER(F206)),H206="",L206=""),"Pflichtangaben fehlen",IF(COUNTIFS('Konten'!$A$7:$A$26,C206)&lt;&gt;1,"Konto nicht eindeutig",IF(J206&lt;&gt;"Ja","Zuordnung bestätigen",IF(OR(AND(H206="Einnahme",F206&lt;0),AND(H206="Ausgabe",F206&gt;0)),"Vorzeichen prüfen",IF(AND(H206="Umbuchung",OR(K206="",COUNTIFS($A$7:$A$1506,K206)&lt;&gt;1)),"Gegenbuchung fehlt",IF(AND(H206="Umbuchung",ROUND(SUMIFS($F$7:$F$1506,$A$7:$A$1506,K206)+F206,2)&lt;&gt;0),"Umbuchung abweichend",IF(OR(G206="",M206="",M206="offen",M206="teilbelegt",H206="Ungeklärt",H206="Bargeld"),"Beleg / Verwendung klären","vollständig erfasst")))))))))</x:f>
      </x:c>
    </x:row>
    <x:row r="207" ht="22" customHeight="1">
      <x:c r="A207" s="7"/>
      <x:c r="B207" s="8"/>
      <x:c r="C207" s="7"/>
      <x:c r="D207" s="7"/>
      <x:c r="E207" s="7"/>
      <x:c r="F207" s="20"/>
      <x:c r="G207" s="7"/>
      <x:c r="H207" s="7"/>
      <x:c r="I207" s="7"/>
      <x:c r="J207" s="7"/>
      <x:c r="K207" s="7"/>
      <x:c r="L207" s="7"/>
      <x:c r="M207" s="7"/>
      <x:c r="N207" s="7"/>
      <x:c r="O207" s="2" t="str">
        <x:f>IF(A207="","",IF(COUNTIFS($A$7:$A$1506,A207)&gt;1,"Buchung-ID doppelt",IF(OR(NOT(ISNUMBER(B207)),C207="",NOT(ISNUMBER(F207)),H207="",L207=""),"Pflichtangaben fehlen",IF(COUNTIFS('Konten'!$A$7:$A$26,C207)&lt;&gt;1,"Konto nicht eindeutig",IF(J207&lt;&gt;"Ja","Zuordnung bestätigen",IF(OR(AND(H207="Einnahme",F207&lt;0),AND(H207="Ausgabe",F207&gt;0)),"Vorzeichen prüfen",IF(AND(H207="Umbuchung",OR(K207="",COUNTIFS($A$7:$A$1506,K207)&lt;&gt;1)),"Gegenbuchung fehlt",IF(AND(H207="Umbuchung",ROUND(SUMIFS($F$7:$F$1506,$A$7:$A$1506,K207)+F207,2)&lt;&gt;0),"Umbuchung abweichend",IF(OR(G207="",M207="",M207="offen",M207="teilbelegt",H207="Ungeklärt",H207="Bargeld"),"Beleg / Verwendung klären","vollständig erfasst")))))))))</x:f>
      </x:c>
    </x:row>
    <x:row r="208" ht="22" customHeight="1">
      <x:c r="A208" s="7"/>
      <x:c r="B208" s="8"/>
      <x:c r="C208" s="7"/>
      <x:c r="D208" s="7"/>
      <x:c r="E208" s="7"/>
      <x:c r="F208" s="20"/>
      <x:c r="G208" s="7"/>
      <x:c r="H208" s="7"/>
      <x:c r="I208" s="7"/>
      <x:c r="J208" s="7"/>
      <x:c r="K208" s="7"/>
      <x:c r="L208" s="7"/>
      <x:c r="M208" s="7"/>
      <x:c r="N208" s="7"/>
      <x:c r="O208" s="2" t="str">
        <x:f>IF(A208="","",IF(COUNTIFS($A$7:$A$1506,A208)&gt;1,"Buchung-ID doppelt",IF(OR(NOT(ISNUMBER(B208)),C208="",NOT(ISNUMBER(F208)),H208="",L208=""),"Pflichtangaben fehlen",IF(COUNTIFS('Konten'!$A$7:$A$26,C208)&lt;&gt;1,"Konto nicht eindeutig",IF(J208&lt;&gt;"Ja","Zuordnung bestätigen",IF(OR(AND(H208="Einnahme",F208&lt;0),AND(H208="Ausgabe",F208&gt;0)),"Vorzeichen prüfen",IF(AND(H208="Umbuchung",OR(K208="",COUNTIFS($A$7:$A$1506,K208)&lt;&gt;1)),"Gegenbuchung fehlt",IF(AND(H208="Umbuchung",ROUND(SUMIFS($F$7:$F$1506,$A$7:$A$1506,K208)+F208,2)&lt;&gt;0),"Umbuchung abweichend",IF(OR(G208="",M208="",M208="offen",M208="teilbelegt",H208="Ungeklärt",H208="Bargeld"),"Beleg / Verwendung klären","vollständig erfasst")))))))))</x:f>
      </x:c>
    </x:row>
    <x:row r="209" ht="22" customHeight="1">
      <x:c r="A209" s="7"/>
      <x:c r="B209" s="8"/>
      <x:c r="C209" s="7"/>
      <x:c r="D209" s="7"/>
      <x:c r="E209" s="7"/>
      <x:c r="F209" s="20"/>
      <x:c r="G209" s="7"/>
      <x:c r="H209" s="7"/>
      <x:c r="I209" s="7"/>
      <x:c r="J209" s="7"/>
      <x:c r="K209" s="7"/>
      <x:c r="L209" s="7"/>
      <x:c r="M209" s="7"/>
      <x:c r="N209" s="7"/>
      <x:c r="O209" s="2" t="str">
        <x:f>IF(A209="","",IF(COUNTIFS($A$7:$A$1506,A209)&gt;1,"Buchung-ID doppelt",IF(OR(NOT(ISNUMBER(B209)),C209="",NOT(ISNUMBER(F209)),H209="",L209=""),"Pflichtangaben fehlen",IF(COUNTIFS('Konten'!$A$7:$A$26,C209)&lt;&gt;1,"Konto nicht eindeutig",IF(J209&lt;&gt;"Ja","Zuordnung bestätigen",IF(OR(AND(H209="Einnahme",F209&lt;0),AND(H209="Ausgabe",F209&gt;0)),"Vorzeichen prüfen",IF(AND(H209="Umbuchung",OR(K209="",COUNTIFS($A$7:$A$1506,K209)&lt;&gt;1)),"Gegenbuchung fehlt",IF(AND(H209="Umbuchung",ROUND(SUMIFS($F$7:$F$1506,$A$7:$A$1506,K209)+F209,2)&lt;&gt;0),"Umbuchung abweichend",IF(OR(G209="",M209="",M209="offen",M209="teilbelegt",H209="Ungeklärt",H209="Bargeld"),"Beleg / Verwendung klären","vollständig erfasst")))))))))</x:f>
      </x:c>
    </x:row>
    <x:row r="210" ht="22" customHeight="1">
      <x:c r="A210" s="7"/>
      <x:c r="B210" s="8"/>
      <x:c r="C210" s="7"/>
      <x:c r="D210" s="7"/>
      <x:c r="E210" s="7"/>
      <x:c r="F210" s="20"/>
      <x:c r="G210" s="7"/>
      <x:c r="H210" s="7"/>
      <x:c r="I210" s="7"/>
      <x:c r="J210" s="7"/>
      <x:c r="K210" s="7"/>
      <x:c r="L210" s="7"/>
      <x:c r="M210" s="7"/>
      <x:c r="N210" s="7"/>
      <x:c r="O210" s="2" t="str">
        <x:f>IF(A210="","",IF(COUNTIFS($A$7:$A$1506,A210)&gt;1,"Buchung-ID doppelt",IF(OR(NOT(ISNUMBER(B210)),C210="",NOT(ISNUMBER(F210)),H210="",L210=""),"Pflichtangaben fehlen",IF(COUNTIFS('Konten'!$A$7:$A$26,C210)&lt;&gt;1,"Konto nicht eindeutig",IF(J210&lt;&gt;"Ja","Zuordnung bestätigen",IF(OR(AND(H210="Einnahme",F210&lt;0),AND(H210="Ausgabe",F210&gt;0)),"Vorzeichen prüfen",IF(AND(H210="Umbuchung",OR(K210="",COUNTIFS($A$7:$A$1506,K210)&lt;&gt;1)),"Gegenbuchung fehlt",IF(AND(H210="Umbuchung",ROUND(SUMIFS($F$7:$F$1506,$A$7:$A$1506,K210)+F210,2)&lt;&gt;0),"Umbuchung abweichend",IF(OR(G210="",M210="",M210="offen",M210="teilbelegt",H210="Ungeklärt",H210="Bargeld"),"Beleg / Verwendung klären","vollständig erfasst")))))))))</x:f>
      </x:c>
    </x:row>
    <x:row r="211" ht="22" customHeight="1">
      <x:c r="A211" s="7"/>
      <x:c r="B211" s="8"/>
      <x:c r="C211" s="7"/>
      <x:c r="D211" s="7"/>
      <x:c r="E211" s="7"/>
      <x:c r="F211" s="20"/>
      <x:c r="G211" s="7"/>
      <x:c r="H211" s="7"/>
      <x:c r="I211" s="7"/>
      <x:c r="J211" s="7"/>
      <x:c r="K211" s="7"/>
      <x:c r="L211" s="7"/>
      <x:c r="M211" s="7"/>
      <x:c r="N211" s="7"/>
      <x:c r="O211" s="2" t="str">
        <x:f>IF(A211="","",IF(COUNTIFS($A$7:$A$1506,A211)&gt;1,"Buchung-ID doppelt",IF(OR(NOT(ISNUMBER(B211)),C211="",NOT(ISNUMBER(F211)),H211="",L211=""),"Pflichtangaben fehlen",IF(COUNTIFS('Konten'!$A$7:$A$26,C211)&lt;&gt;1,"Konto nicht eindeutig",IF(J211&lt;&gt;"Ja","Zuordnung bestätigen",IF(OR(AND(H211="Einnahme",F211&lt;0),AND(H211="Ausgabe",F211&gt;0)),"Vorzeichen prüfen",IF(AND(H211="Umbuchung",OR(K211="",COUNTIFS($A$7:$A$1506,K211)&lt;&gt;1)),"Gegenbuchung fehlt",IF(AND(H211="Umbuchung",ROUND(SUMIFS($F$7:$F$1506,$A$7:$A$1506,K211)+F211,2)&lt;&gt;0),"Umbuchung abweichend",IF(OR(G211="",M211="",M211="offen",M211="teilbelegt",H211="Ungeklärt",H211="Bargeld"),"Beleg / Verwendung klären","vollständig erfasst")))))))))</x:f>
      </x:c>
    </x:row>
    <x:row r="212" ht="22" customHeight="1">
      <x:c r="A212" s="7"/>
      <x:c r="B212" s="8"/>
      <x:c r="C212" s="7"/>
      <x:c r="D212" s="7"/>
      <x:c r="E212" s="7"/>
      <x:c r="F212" s="20"/>
      <x:c r="G212" s="7"/>
      <x:c r="H212" s="7"/>
      <x:c r="I212" s="7"/>
      <x:c r="J212" s="7"/>
      <x:c r="K212" s="7"/>
      <x:c r="L212" s="7"/>
      <x:c r="M212" s="7"/>
      <x:c r="N212" s="7"/>
      <x:c r="O212" s="2" t="str">
        <x:f>IF(A212="","",IF(COUNTIFS($A$7:$A$1506,A212)&gt;1,"Buchung-ID doppelt",IF(OR(NOT(ISNUMBER(B212)),C212="",NOT(ISNUMBER(F212)),H212="",L212=""),"Pflichtangaben fehlen",IF(COUNTIFS('Konten'!$A$7:$A$26,C212)&lt;&gt;1,"Konto nicht eindeutig",IF(J212&lt;&gt;"Ja","Zuordnung bestätigen",IF(OR(AND(H212="Einnahme",F212&lt;0),AND(H212="Ausgabe",F212&gt;0)),"Vorzeichen prüfen",IF(AND(H212="Umbuchung",OR(K212="",COUNTIFS($A$7:$A$1506,K212)&lt;&gt;1)),"Gegenbuchung fehlt",IF(AND(H212="Umbuchung",ROUND(SUMIFS($F$7:$F$1506,$A$7:$A$1506,K212)+F212,2)&lt;&gt;0),"Umbuchung abweichend",IF(OR(G212="",M212="",M212="offen",M212="teilbelegt",H212="Ungeklärt",H212="Bargeld"),"Beleg / Verwendung klären","vollständig erfasst")))))))))</x:f>
      </x:c>
    </x:row>
    <x:row r="213" ht="22" customHeight="1">
      <x:c r="A213" s="7"/>
      <x:c r="B213" s="8"/>
      <x:c r="C213" s="7"/>
      <x:c r="D213" s="7"/>
      <x:c r="E213" s="7"/>
      <x:c r="F213" s="20"/>
      <x:c r="G213" s="7"/>
      <x:c r="H213" s="7"/>
      <x:c r="I213" s="7"/>
      <x:c r="J213" s="7"/>
      <x:c r="K213" s="7"/>
      <x:c r="L213" s="7"/>
      <x:c r="M213" s="7"/>
      <x:c r="N213" s="7"/>
      <x:c r="O213" s="2" t="str">
        <x:f>IF(A213="","",IF(COUNTIFS($A$7:$A$1506,A213)&gt;1,"Buchung-ID doppelt",IF(OR(NOT(ISNUMBER(B213)),C213="",NOT(ISNUMBER(F213)),H213="",L213=""),"Pflichtangaben fehlen",IF(COUNTIFS('Konten'!$A$7:$A$26,C213)&lt;&gt;1,"Konto nicht eindeutig",IF(J213&lt;&gt;"Ja","Zuordnung bestätigen",IF(OR(AND(H213="Einnahme",F213&lt;0),AND(H213="Ausgabe",F213&gt;0)),"Vorzeichen prüfen",IF(AND(H213="Umbuchung",OR(K213="",COUNTIFS($A$7:$A$1506,K213)&lt;&gt;1)),"Gegenbuchung fehlt",IF(AND(H213="Umbuchung",ROUND(SUMIFS($F$7:$F$1506,$A$7:$A$1506,K213)+F213,2)&lt;&gt;0),"Umbuchung abweichend",IF(OR(G213="",M213="",M213="offen",M213="teilbelegt",H213="Ungeklärt",H213="Bargeld"),"Beleg / Verwendung klären","vollständig erfasst")))))))))</x:f>
      </x:c>
    </x:row>
    <x:row r="214" ht="22" customHeight="1">
      <x:c r="A214" s="7"/>
      <x:c r="B214" s="8"/>
      <x:c r="C214" s="7"/>
      <x:c r="D214" s="7"/>
      <x:c r="E214" s="7"/>
      <x:c r="F214" s="20"/>
      <x:c r="G214" s="7"/>
      <x:c r="H214" s="7"/>
      <x:c r="I214" s="7"/>
      <x:c r="J214" s="7"/>
      <x:c r="K214" s="7"/>
      <x:c r="L214" s="7"/>
      <x:c r="M214" s="7"/>
      <x:c r="N214" s="7"/>
      <x:c r="O214" s="2" t="str">
        <x:f>IF(A214="","",IF(COUNTIFS($A$7:$A$1506,A214)&gt;1,"Buchung-ID doppelt",IF(OR(NOT(ISNUMBER(B214)),C214="",NOT(ISNUMBER(F214)),H214="",L214=""),"Pflichtangaben fehlen",IF(COUNTIFS('Konten'!$A$7:$A$26,C214)&lt;&gt;1,"Konto nicht eindeutig",IF(J214&lt;&gt;"Ja","Zuordnung bestätigen",IF(OR(AND(H214="Einnahme",F214&lt;0),AND(H214="Ausgabe",F214&gt;0)),"Vorzeichen prüfen",IF(AND(H214="Umbuchung",OR(K214="",COUNTIFS($A$7:$A$1506,K214)&lt;&gt;1)),"Gegenbuchung fehlt",IF(AND(H214="Umbuchung",ROUND(SUMIFS($F$7:$F$1506,$A$7:$A$1506,K214)+F214,2)&lt;&gt;0),"Umbuchung abweichend",IF(OR(G214="",M214="",M214="offen",M214="teilbelegt",H214="Ungeklärt",H214="Bargeld"),"Beleg / Verwendung klären","vollständig erfasst")))))))))</x:f>
      </x:c>
    </x:row>
    <x:row r="215" ht="22" customHeight="1">
      <x:c r="A215" s="7"/>
      <x:c r="B215" s="8"/>
      <x:c r="C215" s="7"/>
      <x:c r="D215" s="7"/>
      <x:c r="E215" s="7"/>
      <x:c r="F215" s="20"/>
      <x:c r="G215" s="7"/>
      <x:c r="H215" s="7"/>
      <x:c r="I215" s="7"/>
      <x:c r="J215" s="7"/>
      <x:c r="K215" s="7"/>
      <x:c r="L215" s="7"/>
      <x:c r="M215" s="7"/>
      <x:c r="N215" s="7"/>
      <x:c r="O215" s="2" t="str">
        <x:f>IF(A215="","",IF(COUNTIFS($A$7:$A$1506,A215)&gt;1,"Buchung-ID doppelt",IF(OR(NOT(ISNUMBER(B215)),C215="",NOT(ISNUMBER(F215)),H215="",L215=""),"Pflichtangaben fehlen",IF(COUNTIFS('Konten'!$A$7:$A$26,C215)&lt;&gt;1,"Konto nicht eindeutig",IF(J215&lt;&gt;"Ja","Zuordnung bestätigen",IF(OR(AND(H215="Einnahme",F215&lt;0),AND(H215="Ausgabe",F215&gt;0)),"Vorzeichen prüfen",IF(AND(H215="Umbuchung",OR(K215="",COUNTIFS($A$7:$A$1506,K215)&lt;&gt;1)),"Gegenbuchung fehlt",IF(AND(H215="Umbuchung",ROUND(SUMIFS($F$7:$F$1506,$A$7:$A$1506,K215)+F215,2)&lt;&gt;0),"Umbuchung abweichend",IF(OR(G215="",M215="",M215="offen",M215="teilbelegt",H215="Ungeklärt",H215="Bargeld"),"Beleg / Verwendung klären","vollständig erfasst")))))))))</x:f>
      </x:c>
    </x:row>
    <x:row r="216" ht="22" customHeight="1">
      <x:c r="A216" s="7"/>
      <x:c r="B216" s="8"/>
      <x:c r="C216" s="7"/>
      <x:c r="D216" s="7"/>
      <x:c r="E216" s="7"/>
      <x:c r="F216" s="20"/>
      <x:c r="G216" s="7"/>
      <x:c r="H216" s="7"/>
      <x:c r="I216" s="7"/>
      <x:c r="J216" s="7"/>
      <x:c r="K216" s="7"/>
      <x:c r="L216" s="7"/>
      <x:c r="M216" s="7"/>
      <x:c r="N216" s="7"/>
      <x:c r="O216" s="2" t="str">
        <x:f>IF(A216="","",IF(COUNTIFS($A$7:$A$1506,A216)&gt;1,"Buchung-ID doppelt",IF(OR(NOT(ISNUMBER(B216)),C216="",NOT(ISNUMBER(F216)),H216="",L216=""),"Pflichtangaben fehlen",IF(COUNTIFS('Konten'!$A$7:$A$26,C216)&lt;&gt;1,"Konto nicht eindeutig",IF(J216&lt;&gt;"Ja","Zuordnung bestätigen",IF(OR(AND(H216="Einnahme",F216&lt;0),AND(H216="Ausgabe",F216&gt;0)),"Vorzeichen prüfen",IF(AND(H216="Umbuchung",OR(K216="",COUNTIFS($A$7:$A$1506,K216)&lt;&gt;1)),"Gegenbuchung fehlt",IF(AND(H216="Umbuchung",ROUND(SUMIFS($F$7:$F$1506,$A$7:$A$1506,K216)+F216,2)&lt;&gt;0),"Umbuchung abweichend",IF(OR(G216="",M216="",M216="offen",M216="teilbelegt",H216="Ungeklärt",H216="Bargeld"),"Beleg / Verwendung klären","vollständig erfasst")))))))))</x:f>
      </x:c>
    </x:row>
    <x:row r="217" ht="22" customHeight="1">
      <x:c r="A217" s="7"/>
      <x:c r="B217" s="8"/>
      <x:c r="C217" s="7"/>
      <x:c r="D217" s="7"/>
      <x:c r="E217" s="7"/>
      <x:c r="F217" s="20"/>
      <x:c r="G217" s="7"/>
      <x:c r="H217" s="7"/>
      <x:c r="I217" s="7"/>
      <x:c r="J217" s="7"/>
      <x:c r="K217" s="7"/>
      <x:c r="L217" s="7"/>
      <x:c r="M217" s="7"/>
      <x:c r="N217" s="7"/>
      <x:c r="O217" s="2" t="str">
        <x:f>IF(A217="","",IF(COUNTIFS($A$7:$A$1506,A217)&gt;1,"Buchung-ID doppelt",IF(OR(NOT(ISNUMBER(B217)),C217="",NOT(ISNUMBER(F217)),H217="",L217=""),"Pflichtangaben fehlen",IF(COUNTIFS('Konten'!$A$7:$A$26,C217)&lt;&gt;1,"Konto nicht eindeutig",IF(J217&lt;&gt;"Ja","Zuordnung bestätigen",IF(OR(AND(H217="Einnahme",F217&lt;0),AND(H217="Ausgabe",F217&gt;0)),"Vorzeichen prüfen",IF(AND(H217="Umbuchung",OR(K217="",COUNTIFS($A$7:$A$1506,K217)&lt;&gt;1)),"Gegenbuchung fehlt",IF(AND(H217="Umbuchung",ROUND(SUMIFS($F$7:$F$1506,$A$7:$A$1506,K217)+F217,2)&lt;&gt;0),"Umbuchung abweichend",IF(OR(G217="",M217="",M217="offen",M217="teilbelegt",H217="Ungeklärt",H217="Bargeld"),"Beleg / Verwendung klären","vollständig erfasst")))))))))</x:f>
      </x:c>
    </x:row>
    <x:row r="218" ht="22" customHeight="1">
      <x:c r="A218" s="7"/>
      <x:c r="B218" s="8"/>
      <x:c r="C218" s="7"/>
      <x:c r="D218" s="7"/>
      <x:c r="E218" s="7"/>
      <x:c r="F218" s="20"/>
      <x:c r="G218" s="7"/>
      <x:c r="H218" s="7"/>
      <x:c r="I218" s="7"/>
      <x:c r="J218" s="7"/>
      <x:c r="K218" s="7"/>
      <x:c r="L218" s="7"/>
      <x:c r="M218" s="7"/>
      <x:c r="N218" s="7"/>
      <x:c r="O218" s="2" t="str">
        <x:f>IF(A218="","",IF(COUNTIFS($A$7:$A$1506,A218)&gt;1,"Buchung-ID doppelt",IF(OR(NOT(ISNUMBER(B218)),C218="",NOT(ISNUMBER(F218)),H218="",L218=""),"Pflichtangaben fehlen",IF(COUNTIFS('Konten'!$A$7:$A$26,C218)&lt;&gt;1,"Konto nicht eindeutig",IF(J218&lt;&gt;"Ja","Zuordnung bestätigen",IF(OR(AND(H218="Einnahme",F218&lt;0),AND(H218="Ausgabe",F218&gt;0)),"Vorzeichen prüfen",IF(AND(H218="Umbuchung",OR(K218="",COUNTIFS($A$7:$A$1506,K218)&lt;&gt;1)),"Gegenbuchung fehlt",IF(AND(H218="Umbuchung",ROUND(SUMIFS($F$7:$F$1506,$A$7:$A$1506,K218)+F218,2)&lt;&gt;0),"Umbuchung abweichend",IF(OR(G218="",M218="",M218="offen",M218="teilbelegt",H218="Ungeklärt",H218="Bargeld"),"Beleg / Verwendung klären","vollständig erfasst")))))))))</x:f>
      </x:c>
    </x:row>
    <x:row r="219" ht="22" customHeight="1">
      <x:c r="A219" s="7"/>
      <x:c r="B219" s="8"/>
      <x:c r="C219" s="7"/>
      <x:c r="D219" s="7"/>
      <x:c r="E219" s="7"/>
      <x:c r="F219" s="20"/>
      <x:c r="G219" s="7"/>
      <x:c r="H219" s="7"/>
      <x:c r="I219" s="7"/>
      <x:c r="J219" s="7"/>
      <x:c r="K219" s="7"/>
      <x:c r="L219" s="7"/>
      <x:c r="M219" s="7"/>
      <x:c r="N219" s="7"/>
      <x:c r="O219" s="2" t="str">
        <x:f>IF(A219="","",IF(COUNTIFS($A$7:$A$1506,A219)&gt;1,"Buchung-ID doppelt",IF(OR(NOT(ISNUMBER(B219)),C219="",NOT(ISNUMBER(F219)),H219="",L219=""),"Pflichtangaben fehlen",IF(COUNTIFS('Konten'!$A$7:$A$26,C219)&lt;&gt;1,"Konto nicht eindeutig",IF(J219&lt;&gt;"Ja","Zuordnung bestätigen",IF(OR(AND(H219="Einnahme",F219&lt;0),AND(H219="Ausgabe",F219&gt;0)),"Vorzeichen prüfen",IF(AND(H219="Umbuchung",OR(K219="",COUNTIFS($A$7:$A$1506,K219)&lt;&gt;1)),"Gegenbuchung fehlt",IF(AND(H219="Umbuchung",ROUND(SUMIFS($F$7:$F$1506,$A$7:$A$1506,K219)+F219,2)&lt;&gt;0),"Umbuchung abweichend",IF(OR(G219="",M219="",M219="offen",M219="teilbelegt",H219="Ungeklärt",H219="Bargeld"),"Beleg / Verwendung klären","vollständig erfasst")))))))))</x:f>
      </x:c>
    </x:row>
    <x:row r="220" ht="22" customHeight="1">
      <x:c r="A220" s="7"/>
      <x:c r="B220" s="8"/>
      <x:c r="C220" s="7"/>
      <x:c r="D220" s="7"/>
      <x:c r="E220" s="7"/>
      <x:c r="F220" s="20"/>
      <x:c r="G220" s="7"/>
      <x:c r="H220" s="7"/>
      <x:c r="I220" s="7"/>
      <x:c r="J220" s="7"/>
      <x:c r="K220" s="7"/>
      <x:c r="L220" s="7"/>
      <x:c r="M220" s="7"/>
      <x:c r="N220" s="7"/>
      <x:c r="O220" s="2" t="str">
        <x:f>IF(A220="","",IF(COUNTIFS($A$7:$A$1506,A220)&gt;1,"Buchung-ID doppelt",IF(OR(NOT(ISNUMBER(B220)),C220="",NOT(ISNUMBER(F220)),H220="",L220=""),"Pflichtangaben fehlen",IF(COUNTIFS('Konten'!$A$7:$A$26,C220)&lt;&gt;1,"Konto nicht eindeutig",IF(J220&lt;&gt;"Ja","Zuordnung bestätigen",IF(OR(AND(H220="Einnahme",F220&lt;0),AND(H220="Ausgabe",F220&gt;0)),"Vorzeichen prüfen",IF(AND(H220="Umbuchung",OR(K220="",COUNTIFS($A$7:$A$1506,K220)&lt;&gt;1)),"Gegenbuchung fehlt",IF(AND(H220="Umbuchung",ROUND(SUMIFS($F$7:$F$1506,$A$7:$A$1506,K220)+F220,2)&lt;&gt;0),"Umbuchung abweichend",IF(OR(G220="",M220="",M220="offen",M220="teilbelegt",H220="Ungeklärt",H220="Bargeld"),"Beleg / Verwendung klären","vollständig erfasst")))))))))</x:f>
      </x:c>
    </x:row>
    <x:row r="221" ht="22" customHeight="1">
      <x:c r="A221" s="7"/>
      <x:c r="B221" s="8"/>
      <x:c r="C221" s="7"/>
      <x:c r="D221" s="7"/>
      <x:c r="E221" s="7"/>
      <x:c r="F221" s="20"/>
      <x:c r="G221" s="7"/>
      <x:c r="H221" s="7"/>
      <x:c r="I221" s="7"/>
      <x:c r="J221" s="7"/>
      <x:c r="K221" s="7"/>
      <x:c r="L221" s="7"/>
      <x:c r="M221" s="7"/>
      <x:c r="N221" s="7"/>
      <x:c r="O221" s="2" t="str">
        <x:f>IF(A221="","",IF(COUNTIFS($A$7:$A$1506,A221)&gt;1,"Buchung-ID doppelt",IF(OR(NOT(ISNUMBER(B221)),C221="",NOT(ISNUMBER(F221)),H221="",L221=""),"Pflichtangaben fehlen",IF(COUNTIFS('Konten'!$A$7:$A$26,C221)&lt;&gt;1,"Konto nicht eindeutig",IF(J221&lt;&gt;"Ja","Zuordnung bestätigen",IF(OR(AND(H221="Einnahme",F221&lt;0),AND(H221="Ausgabe",F221&gt;0)),"Vorzeichen prüfen",IF(AND(H221="Umbuchung",OR(K221="",COUNTIFS($A$7:$A$1506,K221)&lt;&gt;1)),"Gegenbuchung fehlt",IF(AND(H221="Umbuchung",ROUND(SUMIFS($F$7:$F$1506,$A$7:$A$1506,K221)+F221,2)&lt;&gt;0),"Umbuchung abweichend",IF(OR(G221="",M221="",M221="offen",M221="teilbelegt",H221="Ungeklärt",H221="Bargeld"),"Beleg / Verwendung klären","vollständig erfasst")))))))))</x:f>
      </x:c>
    </x:row>
    <x:row r="222" ht="22" customHeight="1">
      <x:c r="A222" s="7"/>
      <x:c r="B222" s="8"/>
      <x:c r="C222" s="7"/>
      <x:c r="D222" s="7"/>
      <x:c r="E222" s="7"/>
      <x:c r="F222" s="20"/>
      <x:c r="G222" s="7"/>
      <x:c r="H222" s="7"/>
      <x:c r="I222" s="7"/>
      <x:c r="J222" s="7"/>
      <x:c r="K222" s="7"/>
      <x:c r="L222" s="7"/>
      <x:c r="M222" s="7"/>
      <x:c r="N222" s="7"/>
      <x:c r="O222" s="2" t="str">
        <x:f>IF(A222="","",IF(COUNTIFS($A$7:$A$1506,A222)&gt;1,"Buchung-ID doppelt",IF(OR(NOT(ISNUMBER(B222)),C222="",NOT(ISNUMBER(F222)),H222="",L222=""),"Pflichtangaben fehlen",IF(COUNTIFS('Konten'!$A$7:$A$26,C222)&lt;&gt;1,"Konto nicht eindeutig",IF(J222&lt;&gt;"Ja","Zuordnung bestätigen",IF(OR(AND(H222="Einnahme",F222&lt;0),AND(H222="Ausgabe",F222&gt;0)),"Vorzeichen prüfen",IF(AND(H222="Umbuchung",OR(K222="",COUNTIFS($A$7:$A$1506,K222)&lt;&gt;1)),"Gegenbuchung fehlt",IF(AND(H222="Umbuchung",ROUND(SUMIFS($F$7:$F$1506,$A$7:$A$1506,K222)+F222,2)&lt;&gt;0),"Umbuchung abweichend",IF(OR(G222="",M222="",M222="offen",M222="teilbelegt",H222="Ungeklärt",H222="Bargeld"),"Beleg / Verwendung klären","vollständig erfasst")))))))))</x:f>
      </x:c>
    </x:row>
    <x:row r="223" ht="22" customHeight="1">
      <x:c r="A223" s="7"/>
      <x:c r="B223" s="8"/>
      <x:c r="C223" s="7"/>
      <x:c r="D223" s="7"/>
      <x:c r="E223" s="7"/>
      <x:c r="F223" s="20"/>
      <x:c r="G223" s="7"/>
      <x:c r="H223" s="7"/>
      <x:c r="I223" s="7"/>
      <x:c r="J223" s="7"/>
      <x:c r="K223" s="7"/>
      <x:c r="L223" s="7"/>
      <x:c r="M223" s="7"/>
      <x:c r="N223" s="7"/>
      <x:c r="O223" s="2" t="str">
        <x:f>IF(A223="","",IF(COUNTIFS($A$7:$A$1506,A223)&gt;1,"Buchung-ID doppelt",IF(OR(NOT(ISNUMBER(B223)),C223="",NOT(ISNUMBER(F223)),H223="",L223=""),"Pflichtangaben fehlen",IF(COUNTIFS('Konten'!$A$7:$A$26,C223)&lt;&gt;1,"Konto nicht eindeutig",IF(J223&lt;&gt;"Ja","Zuordnung bestätigen",IF(OR(AND(H223="Einnahme",F223&lt;0),AND(H223="Ausgabe",F223&gt;0)),"Vorzeichen prüfen",IF(AND(H223="Umbuchung",OR(K223="",COUNTIFS($A$7:$A$1506,K223)&lt;&gt;1)),"Gegenbuchung fehlt",IF(AND(H223="Umbuchung",ROUND(SUMIFS($F$7:$F$1506,$A$7:$A$1506,K223)+F223,2)&lt;&gt;0),"Umbuchung abweichend",IF(OR(G223="",M223="",M223="offen",M223="teilbelegt",H223="Ungeklärt",H223="Bargeld"),"Beleg / Verwendung klären","vollständig erfasst")))))))))</x:f>
      </x:c>
    </x:row>
    <x:row r="224" ht="22" customHeight="1">
      <x:c r="A224" s="7"/>
      <x:c r="B224" s="8"/>
      <x:c r="C224" s="7"/>
      <x:c r="D224" s="7"/>
      <x:c r="E224" s="7"/>
      <x:c r="F224" s="20"/>
      <x:c r="G224" s="7"/>
      <x:c r="H224" s="7"/>
      <x:c r="I224" s="7"/>
      <x:c r="J224" s="7"/>
      <x:c r="K224" s="7"/>
      <x:c r="L224" s="7"/>
      <x:c r="M224" s="7"/>
      <x:c r="N224" s="7"/>
      <x:c r="O224" s="2" t="str">
        <x:f>IF(A224="","",IF(COUNTIFS($A$7:$A$1506,A224)&gt;1,"Buchung-ID doppelt",IF(OR(NOT(ISNUMBER(B224)),C224="",NOT(ISNUMBER(F224)),H224="",L224=""),"Pflichtangaben fehlen",IF(COUNTIFS('Konten'!$A$7:$A$26,C224)&lt;&gt;1,"Konto nicht eindeutig",IF(J224&lt;&gt;"Ja","Zuordnung bestätigen",IF(OR(AND(H224="Einnahme",F224&lt;0),AND(H224="Ausgabe",F224&gt;0)),"Vorzeichen prüfen",IF(AND(H224="Umbuchung",OR(K224="",COUNTIFS($A$7:$A$1506,K224)&lt;&gt;1)),"Gegenbuchung fehlt",IF(AND(H224="Umbuchung",ROUND(SUMIFS($F$7:$F$1506,$A$7:$A$1506,K224)+F224,2)&lt;&gt;0),"Umbuchung abweichend",IF(OR(G224="",M224="",M224="offen",M224="teilbelegt",H224="Ungeklärt",H224="Bargeld"),"Beleg / Verwendung klären","vollständig erfasst")))))))))</x:f>
      </x:c>
    </x:row>
    <x:row r="225" ht="22" customHeight="1">
      <x:c r="A225" s="7"/>
      <x:c r="B225" s="8"/>
      <x:c r="C225" s="7"/>
      <x:c r="D225" s="7"/>
      <x:c r="E225" s="7"/>
      <x:c r="F225" s="20"/>
      <x:c r="G225" s="7"/>
      <x:c r="H225" s="7"/>
      <x:c r="I225" s="7"/>
      <x:c r="J225" s="7"/>
      <x:c r="K225" s="7"/>
      <x:c r="L225" s="7"/>
      <x:c r="M225" s="7"/>
      <x:c r="N225" s="7"/>
      <x:c r="O225" s="2" t="str">
        <x:f>IF(A225="","",IF(COUNTIFS($A$7:$A$1506,A225)&gt;1,"Buchung-ID doppelt",IF(OR(NOT(ISNUMBER(B225)),C225="",NOT(ISNUMBER(F225)),H225="",L225=""),"Pflichtangaben fehlen",IF(COUNTIFS('Konten'!$A$7:$A$26,C225)&lt;&gt;1,"Konto nicht eindeutig",IF(J225&lt;&gt;"Ja","Zuordnung bestätigen",IF(OR(AND(H225="Einnahme",F225&lt;0),AND(H225="Ausgabe",F225&gt;0)),"Vorzeichen prüfen",IF(AND(H225="Umbuchung",OR(K225="",COUNTIFS($A$7:$A$1506,K225)&lt;&gt;1)),"Gegenbuchung fehlt",IF(AND(H225="Umbuchung",ROUND(SUMIFS($F$7:$F$1506,$A$7:$A$1506,K225)+F225,2)&lt;&gt;0),"Umbuchung abweichend",IF(OR(G225="",M225="",M225="offen",M225="teilbelegt",H225="Ungeklärt",H225="Bargeld"),"Beleg / Verwendung klären","vollständig erfasst")))))))))</x:f>
      </x:c>
    </x:row>
    <x:row r="226" ht="22" customHeight="1">
      <x:c r="A226" s="7"/>
      <x:c r="B226" s="8"/>
      <x:c r="C226" s="7"/>
      <x:c r="D226" s="7"/>
      <x:c r="E226" s="7"/>
      <x:c r="F226" s="20"/>
      <x:c r="G226" s="7"/>
      <x:c r="H226" s="7"/>
      <x:c r="I226" s="7"/>
      <x:c r="J226" s="7"/>
      <x:c r="K226" s="7"/>
      <x:c r="L226" s="7"/>
      <x:c r="M226" s="7"/>
      <x:c r="N226" s="7"/>
      <x:c r="O226" s="2" t="str">
        <x:f>IF(A226="","",IF(COUNTIFS($A$7:$A$1506,A226)&gt;1,"Buchung-ID doppelt",IF(OR(NOT(ISNUMBER(B226)),C226="",NOT(ISNUMBER(F226)),H226="",L226=""),"Pflichtangaben fehlen",IF(COUNTIFS('Konten'!$A$7:$A$26,C226)&lt;&gt;1,"Konto nicht eindeutig",IF(J226&lt;&gt;"Ja","Zuordnung bestätigen",IF(OR(AND(H226="Einnahme",F226&lt;0),AND(H226="Ausgabe",F226&gt;0)),"Vorzeichen prüfen",IF(AND(H226="Umbuchung",OR(K226="",COUNTIFS($A$7:$A$1506,K226)&lt;&gt;1)),"Gegenbuchung fehlt",IF(AND(H226="Umbuchung",ROUND(SUMIFS($F$7:$F$1506,$A$7:$A$1506,K226)+F226,2)&lt;&gt;0),"Umbuchung abweichend",IF(OR(G226="",M226="",M226="offen",M226="teilbelegt",H226="Ungeklärt",H226="Bargeld"),"Beleg / Verwendung klären","vollständig erfasst")))))))))</x:f>
      </x:c>
    </x:row>
    <x:row r="227" ht="22" customHeight="1">
      <x:c r="A227" s="7"/>
      <x:c r="B227" s="8"/>
      <x:c r="C227" s="7"/>
      <x:c r="D227" s="7"/>
      <x:c r="E227" s="7"/>
      <x:c r="F227" s="20"/>
      <x:c r="G227" s="7"/>
      <x:c r="H227" s="7"/>
      <x:c r="I227" s="7"/>
      <x:c r="J227" s="7"/>
      <x:c r="K227" s="7"/>
      <x:c r="L227" s="7"/>
      <x:c r="M227" s="7"/>
      <x:c r="N227" s="7"/>
      <x:c r="O227" s="2" t="str">
        <x:f>IF(A227="","",IF(COUNTIFS($A$7:$A$1506,A227)&gt;1,"Buchung-ID doppelt",IF(OR(NOT(ISNUMBER(B227)),C227="",NOT(ISNUMBER(F227)),H227="",L227=""),"Pflichtangaben fehlen",IF(COUNTIFS('Konten'!$A$7:$A$26,C227)&lt;&gt;1,"Konto nicht eindeutig",IF(J227&lt;&gt;"Ja","Zuordnung bestätigen",IF(OR(AND(H227="Einnahme",F227&lt;0),AND(H227="Ausgabe",F227&gt;0)),"Vorzeichen prüfen",IF(AND(H227="Umbuchung",OR(K227="",COUNTIFS($A$7:$A$1506,K227)&lt;&gt;1)),"Gegenbuchung fehlt",IF(AND(H227="Umbuchung",ROUND(SUMIFS($F$7:$F$1506,$A$7:$A$1506,K227)+F227,2)&lt;&gt;0),"Umbuchung abweichend",IF(OR(G227="",M227="",M227="offen",M227="teilbelegt",H227="Ungeklärt",H227="Bargeld"),"Beleg / Verwendung klären","vollständig erfasst")))))))))</x:f>
      </x:c>
    </x:row>
    <x:row r="228" ht="22" customHeight="1">
      <x:c r="A228" s="7"/>
      <x:c r="B228" s="8"/>
      <x:c r="C228" s="7"/>
      <x:c r="D228" s="7"/>
      <x:c r="E228" s="7"/>
      <x:c r="F228" s="20"/>
      <x:c r="G228" s="7"/>
      <x:c r="H228" s="7"/>
      <x:c r="I228" s="7"/>
      <x:c r="J228" s="7"/>
      <x:c r="K228" s="7"/>
      <x:c r="L228" s="7"/>
      <x:c r="M228" s="7"/>
      <x:c r="N228" s="7"/>
      <x:c r="O228" s="2" t="str">
        <x:f>IF(A228="","",IF(COUNTIFS($A$7:$A$1506,A228)&gt;1,"Buchung-ID doppelt",IF(OR(NOT(ISNUMBER(B228)),C228="",NOT(ISNUMBER(F228)),H228="",L228=""),"Pflichtangaben fehlen",IF(COUNTIFS('Konten'!$A$7:$A$26,C228)&lt;&gt;1,"Konto nicht eindeutig",IF(J228&lt;&gt;"Ja","Zuordnung bestätigen",IF(OR(AND(H228="Einnahme",F228&lt;0),AND(H228="Ausgabe",F228&gt;0)),"Vorzeichen prüfen",IF(AND(H228="Umbuchung",OR(K228="",COUNTIFS($A$7:$A$1506,K228)&lt;&gt;1)),"Gegenbuchung fehlt",IF(AND(H228="Umbuchung",ROUND(SUMIFS($F$7:$F$1506,$A$7:$A$1506,K228)+F228,2)&lt;&gt;0),"Umbuchung abweichend",IF(OR(G228="",M228="",M228="offen",M228="teilbelegt",H228="Ungeklärt",H228="Bargeld"),"Beleg / Verwendung klären","vollständig erfasst")))))))))</x:f>
      </x:c>
    </x:row>
    <x:row r="229" ht="22" customHeight="1">
      <x:c r="A229" s="7"/>
      <x:c r="B229" s="8"/>
      <x:c r="C229" s="7"/>
      <x:c r="D229" s="7"/>
      <x:c r="E229" s="7"/>
      <x:c r="F229" s="20"/>
      <x:c r="G229" s="7"/>
      <x:c r="H229" s="7"/>
      <x:c r="I229" s="7"/>
      <x:c r="J229" s="7"/>
      <x:c r="K229" s="7"/>
      <x:c r="L229" s="7"/>
      <x:c r="M229" s="7"/>
      <x:c r="N229" s="7"/>
      <x:c r="O229" s="2" t="str">
        <x:f>IF(A229="","",IF(COUNTIFS($A$7:$A$1506,A229)&gt;1,"Buchung-ID doppelt",IF(OR(NOT(ISNUMBER(B229)),C229="",NOT(ISNUMBER(F229)),H229="",L229=""),"Pflichtangaben fehlen",IF(COUNTIFS('Konten'!$A$7:$A$26,C229)&lt;&gt;1,"Konto nicht eindeutig",IF(J229&lt;&gt;"Ja","Zuordnung bestätigen",IF(OR(AND(H229="Einnahme",F229&lt;0),AND(H229="Ausgabe",F229&gt;0)),"Vorzeichen prüfen",IF(AND(H229="Umbuchung",OR(K229="",COUNTIFS($A$7:$A$1506,K229)&lt;&gt;1)),"Gegenbuchung fehlt",IF(AND(H229="Umbuchung",ROUND(SUMIFS($F$7:$F$1506,$A$7:$A$1506,K229)+F229,2)&lt;&gt;0),"Umbuchung abweichend",IF(OR(G229="",M229="",M229="offen",M229="teilbelegt",H229="Ungeklärt",H229="Bargeld"),"Beleg / Verwendung klären","vollständig erfasst")))))))))</x:f>
      </x:c>
    </x:row>
    <x:row r="230" ht="22" customHeight="1">
      <x:c r="A230" s="7"/>
      <x:c r="B230" s="8"/>
      <x:c r="C230" s="7"/>
      <x:c r="D230" s="7"/>
      <x:c r="E230" s="7"/>
      <x:c r="F230" s="20"/>
      <x:c r="G230" s="7"/>
      <x:c r="H230" s="7"/>
      <x:c r="I230" s="7"/>
      <x:c r="J230" s="7"/>
      <x:c r="K230" s="7"/>
      <x:c r="L230" s="7"/>
      <x:c r="M230" s="7"/>
      <x:c r="N230" s="7"/>
      <x:c r="O230" s="2" t="str">
        <x:f>IF(A230="","",IF(COUNTIFS($A$7:$A$1506,A230)&gt;1,"Buchung-ID doppelt",IF(OR(NOT(ISNUMBER(B230)),C230="",NOT(ISNUMBER(F230)),H230="",L230=""),"Pflichtangaben fehlen",IF(COUNTIFS('Konten'!$A$7:$A$26,C230)&lt;&gt;1,"Konto nicht eindeutig",IF(J230&lt;&gt;"Ja","Zuordnung bestätigen",IF(OR(AND(H230="Einnahme",F230&lt;0),AND(H230="Ausgabe",F230&gt;0)),"Vorzeichen prüfen",IF(AND(H230="Umbuchung",OR(K230="",COUNTIFS($A$7:$A$1506,K230)&lt;&gt;1)),"Gegenbuchung fehlt",IF(AND(H230="Umbuchung",ROUND(SUMIFS($F$7:$F$1506,$A$7:$A$1506,K230)+F230,2)&lt;&gt;0),"Umbuchung abweichend",IF(OR(G230="",M230="",M230="offen",M230="teilbelegt",H230="Ungeklärt",H230="Bargeld"),"Beleg / Verwendung klären","vollständig erfasst")))))))))</x:f>
      </x:c>
    </x:row>
    <x:row r="231" ht="22" customHeight="1">
      <x:c r="A231" s="7"/>
      <x:c r="B231" s="8"/>
      <x:c r="C231" s="7"/>
      <x:c r="D231" s="7"/>
      <x:c r="E231" s="7"/>
      <x:c r="F231" s="20"/>
      <x:c r="G231" s="7"/>
      <x:c r="H231" s="7"/>
      <x:c r="I231" s="7"/>
      <x:c r="J231" s="7"/>
      <x:c r="K231" s="7"/>
      <x:c r="L231" s="7"/>
      <x:c r="M231" s="7"/>
      <x:c r="N231" s="7"/>
      <x:c r="O231" s="2" t="str">
        <x:f>IF(A231="","",IF(COUNTIFS($A$7:$A$1506,A231)&gt;1,"Buchung-ID doppelt",IF(OR(NOT(ISNUMBER(B231)),C231="",NOT(ISNUMBER(F231)),H231="",L231=""),"Pflichtangaben fehlen",IF(COUNTIFS('Konten'!$A$7:$A$26,C231)&lt;&gt;1,"Konto nicht eindeutig",IF(J231&lt;&gt;"Ja","Zuordnung bestätigen",IF(OR(AND(H231="Einnahme",F231&lt;0),AND(H231="Ausgabe",F231&gt;0)),"Vorzeichen prüfen",IF(AND(H231="Umbuchung",OR(K231="",COUNTIFS($A$7:$A$1506,K231)&lt;&gt;1)),"Gegenbuchung fehlt",IF(AND(H231="Umbuchung",ROUND(SUMIFS($F$7:$F$1506,$A$7:$A$1506,K231)+F231,2)&lt;&gt;0),"Umbuchung abweichend",IF(OR(G231="",M231="",M231="offen",M231="teilbelegt",H231="Ungeklärt",H231="Bargeld"),"Beleg / Verwendung klären","vollständig erfasst")))))))))</x:f>
      </x:c>
    </x:row>
    <x:row r="232" ht="22" customHeight="1">
      <x:c r="A232" s="7"/>
      <x:c r="B232" s="8"/>
      <x:c r="C232" s="7"/>
      <x:c r="D232" s="7"/>
      <x:c r="E232" s="7"/>
      <x:c r="F232" s="20"/>
      <x:c r="G232" s="7"/>
      <x:c r="H232" s="7"/>
      <x:c r="I232" s="7"/>
      <x:c r="J232" s="7"/>
      <x:c r="K232" s="7"/>
      <x:c r="L232" s="7"/>
      <x:c r="M232" s="7"/>
      <x:c r="N232" s="7"/>
      <x:c r="O232" s="2" t="str">
        <x:f>IF(A232="","",IF(COUNTIFS($A$7:$A$1506,A232)&gt;1,"Buchung-ID doppelt",IF(OR(NOT(ISNUMBER(B232)),C232="",NOT(ISNUMBER(F232)),H232="",L232=""),"Pflichtangaben fehlen",IF(COUNTIFS('Konten'!$A$7:$A$26,C232)&lt;&gt;1,"Konto nicht eindeutig",IF(J232&lt;&gt;"Ja","Zuordnung bestätigen",IF(OR(AND(H232="Einnahme",F232&lt;0),AND(H232="Ausgabe",F232&gt;0)),"Vorzeichen prüfen",IF(AND(H232="Umbuchung",OR(K232="",COUNTIFS($A$7:$A$1506,K232)&lt;&gt;1)),"Gegenbuchung fehlt",IF(AND(H232="Umbuchung",ROUND(SUMIFS($F$7:$F$1506,$A$7:$A$1506,K232)+F232,2)&lt;&gt;0),"Umbuchung abweichend",IF(OR(G232="",M232="",M232="offen",M232="teilbelegt",H232="Ungeklärt",H232="Bargeld"),"Beleg / Verwendung klären","vollständig erfasst")))))))))</x:f>
      </x:c>
    </x:row>
    <x:row r="233" ht="22" customHeight="1">
      <x:c r="A233" s="7"/>
      <x:c r="B233" s="8"/>
      <x:c r="C233" s="7"/>
      <x:c r="D233" s="7"/>
      <x:c r="E233" s="7"/>
      <x:c r="F233" s="20"/>
      <x:c r="G233" s="7"/>
      <x:c r="H233" s="7"/>
      <x:c r="I233" s="7"/>
      <x:c r="J233" s="7"/>
      <x:c r="K233" s="7"/>
      <x:c r="L233" s="7"/>
      <x:c r="M233" s="7"/>
      <x:c r="N233" s="7"/>
      <x:c r="O233" s="2" t="str">
        <x:f>IF(A233="","",IF(COUNTIFS($A$7:$A$1506,A233)&gt;1,"Buchung-ID doppelt",IF(OR(NOT(ISNUMBER(B233)),C233="",NOT(ISNUMBER(F233)),H233="",L233=""),"Pflichtangaben fehlen",IF(COUNTIFS('Konten'!$A$7:$A$26,C233)&lt;&gt;1,"Konto nicht eindeutig",IF(J233&lt;&gt;"Ja","Zuordnung bestätigen",IF(OR(AND(H233="Einnahme",F233&lt;0),AND(H233="Ausgabe",F233&gt;0)),"Vorzeichen prüfen",IF(AND(H233="Umbuchung",OR(K233="",COUNTIFS($A$7:$A$1506,K233)&lt;&gt;1)),"Gegenbuchung fehlt",IF(AND(H233="Umbuchung",ROUND(SUMIFS($F$7:$F$1506,$A$7:$A$1506,K233)+F233,2)&lt;&gt;0),"Umbuchung abweichend",IF(OR(G233="",M233="",M233="offen",M233="teilbelegt",H233="Ungeklärt",H233="Bargeld"),"Beleg / Verwendung klären","vollständig erfasst")))))))))</x:f>
      </x:c>
    </x:row>
    <x:row r="234" ht="22" customHeight="1">
      <x:c r="A234" s="7"/>
      <x:c r="B234" s="8"/>
      <x:c r="C234" s="7"/>
      <x:c r="D234" s="7"/>
      <x:c r="E234" s="7"/>
      <x:c r="F234" s="20"/>
      <x:c r="G234" s="7"/>
      <x:c r="H234" s="7"/>
      <x:c r="I234" s="7"/>
      <x:c r="J234" s="7"/>
      <x:c r="K234" s="7"/>
      <x:c r="L234" s="7"/>
      <x:c r="M234" s="7"/>
      <x:c r="N234" s="7"/>
      <x:c r="O234" s="2" t="str">
        <x:f>IF(A234="","",IF(COUNTIFS($A$7:$A$1506,A234)&gt;1,"Buchung-ID doppelt",IF(OR(NOT(ISNUMBER(B234)),C234="",NOT(ISNUMBER(F234)),H234="",L234=""),"Pflichtangaben fehlen",IF(COUNTIFS('Konten'!$A$7:$A$26,C234)&lt;&gt;1,"Konto nicht eindeutig",IF(J234&lt;&gt;"Ja","Zuordnung bestätigen",IF(OR(AND(H234="Einnahme",F234&lt;0),AND(H234="Ausgabe",F234&gt;0)),"Vorzeichen prüfen",IF(AND(H234="Umbuchung",OR(K234="",COUNTIFS($A$7:$A$1506,K234)&lt;&gt;1)),"Gegenbuchung fehlt",IF(AND(H234="Umbuchung",ROUND(SUMIFS($F$7:$F$1506,$A$7:$A$1506,K234)+F234,2)&lt;&gt;0),"Umbuchung abweichend",IF(OR(G234="",M234="",M234="offen",M234="teilbelegt",H234="Ungeklärt",H234="Bargeld"),"Beleg / Verwendung klären","vollständig erfasst")))))))))</x:f>
      </x:c>
    </x:row>
    <x:row r="235" ht="22" customHeight="1">
      <x:c r="A235" s="7"/>
      <x:c r="B235" s="8"/>
      <x:c r="C235" s="7"/>
      <x:c r="D235" s="7"/>
      <x:c r="E235" s="7"/>
      <x:c r="F235" s="20"/>
      <x:c r="G235" s="7"/>
      <x:c r="H235" s="7"/>
      <x:c r="I235" s="7"/>
      <x:c r="J235" s="7"/>
      <x:c r="K235" s="7"/>
      <x:c r="L235" s="7"/>
      <x:c r="M235" s="7"/>
      <x:c r="N235" s="7"/>
      <x:c r="O235" s="2" t="str">
        <x:f>IF(A235="","",IF(COUNTIFS($A$7:$A$1506,A235)&gt;1,"Buchung-ID doppelt",IF(OR(NOT(ISNUMBER(B235)),C235="",NOT(ISNUMBER(F235)),H235="",L235=""),"Pflichtangaben fehlen",IF(COUNTIFS('Konten'!$A$7:$A$26,C235)&lt;&gt;1,"Konto nicht eindeutig",IF(J235&lt;&gt;"Ja","Zuordnung bestätigen",IF(OR(AND(H235="Einnahme",F235&lt;0),AND(H235="Ausgabe",F235&gt;0)),"Vorzeichen prüfen",IF(AND(H235="Umbuchung",OR(K235="",COUNTIFS($A$7:$A$1506,K235)&lt;&gt;1)),"Gegenbuchung fehlt",IF(AND(H235="Umbuchung",ROUND(SUMIFS($F$7:$F$1506,$A$7:$A$1506,K235)+F235,2)&lt;&gt;0),"Umbuchung abweichend",IF(OR(G235="",M235="",M235="offen",M235="teilbelegt",H235="Ungeklärt",H235="Bargeld"),"Beleg / Verwendung klären","vollständig erfasst")))))))))</x:f>
      </x:c>
    </x:row>
    <x:row r="236" ht="22" customHeight="1">
      <x:c r="A236" s="7"/>
      <x:c r="B236" s="8"/>
      <x:c r="C236" s="7"/>
      <x:c r="D236" s="7"/>
      <x:c r="E236" s="7"/>
      <x:c r="F236" s="20"/>
      <x:c r="G236" s="7"/>
      <x:c r="H236" s="7"/>
      <x:c r="I236" s="7"/>
      <x:c r="J236" s="7"/>
      <x:c r="K236" s="7"/>
      <x:c r="L236" s="7"/>
      <x:c r="M236" s="7"/>
      <x:c r="N236" s="7"/>
      <x:c r="O236" s="2" t="str">
        <x:f>IF(A236="","",IF(COUNTIFS($A$7:$A$1506,A236)&gt;1,"Buchung-ID doppelt",IF(OR(NOT(ISNUMBER(B236)),C236="",NOT(ISNUMBER(F236)),H236="",L236=""),"Pflichtangaben fehlen",IF(COUNTIFS('Konten'!$A$7:$A$26,C236)&lt;&gt;1,"Konto nicht eindeutig",IF(J236&lt;&gt;"Ja","Zuordnung bestätigen",IF(OR(AND(H236="Einnahme",F236&lt;0),AND(H236="Ausgabe",F236&gt;0)),"Vorzeichen prüfen",IF(AND(H236="Umbuchung",OR(K236="",COUNTIFS($A$7:$A$1506,K236)&lt;&gt;1)),"Gegenbuchung fehlt",IF(AND(H236="Umbuchung",ROUND(SUMIFS($F$7:$F$1506,$A$7:$A$1506,K236)+F236,2)&lt;&gt;0),"Umbuchung abweichend",IF(OR(G236="",M236="",M236="offen",M236="teilbelegt",H236="Ungeklärt",H236="Bargeld"),"Beleg / Verwendung klären","vollständig erfasst")))))))))</x:f>
      </x:c>
    </x:row>
    <x:row r="237" ht="22" customHeight="1">
      <x:c r="A237" s="7"/>
      <x:c r="B237" s="8"/>
      <x:c r="C237" s="7"/>
      <x:c r="D237" s="7"/>
      <x:c r="E237" s="7"/>
      <x:c r="F237" s="20"/>
      <x:c r="G237" s="7"/>
      <x:c r="H237" s="7"/>
      <x:c r="I237" s="7"/>
      <x:c r="J237" s="7"/>
      <x:c r="K237" s="7"/>
      <x:c r="L237" s="7"/>
      <x:c r="M237" s="7"/>
      <x:c r="N237" s="7"/>
      <x:c r="O237" s="2" t="str">
        <x:f>IF(A237="","",IF(COUNTIFS($A$7:$A$1506,A237)&gt;1,"Buchung-ID doppelt",IF(OR(NOT(ISNUMBER(B237)),C237="",NOT(ISNUMBER(F237)),H237="",L237=""),"Pflichtangaben fehlen",IF(COUNTIFS('Konten'!$A$7:$A$26,C237)&lt;&gt;1,"Konto nicht eindeutig",IF(J237&lt;&gt;"Ja","Zuordnung bestätigen",IF(OR(AND(H237="Einnahme",F237&lt;0),AND(H237="Ausgabe",F237&gt;0)),"Vorzeichen prüfen",IF(AND(H237="Umbuchung",OR(K237="",COUNTIFS($A$7:$A$1506,K237)&lt;&gt;1)),"Gegenbuchung fehlt",IF(AND(H237="Umbuchung",ROUND(SUMIFS($F$7:$F$1506,$A$7:$A$1506,K237)+F237,2)&lt;&gt;0),"Umbuchung abweichend",IF(OR(G237="",M237="",M237="offen",M237="teilbelegt",H237="Ungeklärt",H237="Bargeld"),"Beleg / Verwendung klären","vollständig erfasst")))))))))</x:f>
      </x:c>
    </x:row>
    <x:row r="238" ht="22" customHeight="1">
      <x:c r="A238" s="7"/>
      <x:c r="B238" s="8"/>
      <x:c r="C238" s="7"/>
      <x:c r="D238" s="7"/>
      <x:c r="E238" s="7"/>
      <x:c r="F238" s="20"/>
      <x:c r="G238" s="7"/>
      <x:c r="H238" s="7"/>
      <x:c r="I238" s="7"/>
      <x:c r="J238" s="7"/>
      <x:c r="K238" s="7"/>
      <x:c r="L238" s="7"/>
      <x:c r="M238" s="7"/>
      <x:c r="N238" s="7"/>
      <x:c r="O238" s="2" t="str">
        <x:f>IF(A238="","",IF(COUNTIFS($A$7:$A$1506,A238)&gt;1,"Buchung-ID doppelt",IF(OR(NOT(ISNUMBER(B238)),C238="",NOT(ISNUMBER(F238)),H238="",L238=""),"Pflichtangaben fehlen",IF(COUNTIFS('Konten'!$A$7:$A$26,C238)&lt;&gt;1,"Konto nicht eindeutig",IF(J238&lt;&gt;"Ja","Zuordnung bestätigen",IF(OR(AND(H238="Einnahme",F238&lt;0),AND(H238="Ausgabe",F238&gt;0)),"Vorzeichen prüfen",IF(AND(H238="Umbuchung",OR(K238="",COUNTIFS($A$7:$A$1506,K238)&lt;&gt;1)),"Gegenbuchung fehlt",IF(AND(H238="Umbuchung",ROUND(SUMIFS($F$7:$F$1506,$A$7:$A$1506,K238)+F238,2)&lt;&gt;0),"Umbuchung abweichend",IF(OR(G238="",M238="",M238="offen",M238="teilbelegt",H238="Ungeklärt",H238="Bargeld"),"Beleg / Verwendung klären","vollständig erfasst")))))))))</x:f>
      </x:c>
    </x:row>
    <x:row r="239" ht="22" customHeight="1">
      <x:c r="A239" s="7"/>
      <x:c r="B239" s="8"/>
      <x:c r="C239" s="7"/>
      <x:c r="D239" s="7"/>
      <x:c r="E239" s="7"/>
      <x:c r="F239" s="20"/>
      <x:c r="G239" s="7"/>
      <x:c r="H239" s="7"/>
      <x:c r="I239" s="7"/>
      <x:c r="J239" s="7"/>
      <x:c r="K239" s="7"/>
      <x:c r="L239" s="7"/>
      <x:c r="M239" s="7"/>
      <x:c r="N239" s="7"/>
      <x:c r="O239" s="2" t="str">
        <x:f>IF(A239="","",IF(COUNTIFS($A$7:$A$1506,A239)&gt;1,"Buchung-ID doppelt",IF(OR(NOT(ISNUMBER(B239)),C239="",NOT(ISNUMBER(F239)),H239="",L239=""),"Pflichtangaben fehlen",IF(COUNTIFS('Konten'!$A$7:$A$26,C239)&lt;&gt;1,"Konto nicht eindeutig",IF(J239&lt;&gt;"Ja","Zuordnung bestätigen",IF(OR(AND(H239="Einnahme",F239&lt;0),AND(H239="Ausgabe",F239&gt;0)),"Vorzeichen prüfen",IF(AND(H239="Umbuchung",OR(K239="",COUNTIFS($A$7:$A$1506,K239)&lt;&gt;1)),"Gegenbuchung fehlt",IF(AND(H239="Umbuchung",ROUND(SUMIFS($F$7:$F$1506,$A$7:$A$1506,K239)+F239,2)&lt;&gt;0),"Umbuchung abweichend",IF(OR(G239="",M239="",M239="offen",M239="teilbelegt",H239="Ungeklärt",H239="Bargeld"),"Beleg / Verwendung klären","vollständig erfasst")))))))))</x:f>
      </x:c>
    </x:row>
    <x:row r="240" ht="22" customHeight="1">
      <x:c r="A240" s="7"/>
      <x:c r="B240" s="8"/>
      <x:c r="C240" s="7"/>
      <x:c r="D240" s="7"/>
      <x:c r="E240" s="7"/>
      <x:c r="F240" s="20"/>
      <x:c r="G240" s="7"/>
      <x:c r="H240" s="7"/>
      <x:c r="I240" s="7"/>
      <x:c r="J240" s="7"/>
      <x:c r="K240" s="7"/>
      <x:c r="L240" s="7"/>
      <x:c r="M240" s="7"/>
      <x:c r="N240" s="7"/>
      <x:c r="O240" s="2" t="str">
        <x:f>IF(A240="","",IF(COUNTIFS($A$7:$A$1506,A240)&gt;1,"Buchung-ID doppelt",IF(OR(NOT(ISNUMBER(B240)),C240="",NOT(ISNUMBER(F240)),H240="",L240=""),"Pflichtangaben fehlen",IF(COUNTIFS('Konten'!$A$7:$A$26,C240)&lt;&gt;1,"Konto nicht eindeutig",IF(J240&lt;&gt;"Ja","Zuordnung bestätigen",IF(OR(AND(H240="Einnahme",F240&lt;0),AND(H240="Ausgabe",F240&gt;0)),"Vorzeichen prüfen",IF(AND(H240="Umbuchung",OR(K240="",COUNTIFS($A$7:$A$1506,K240)&lt;&gt;1)),"Gegenbuchung fehlt",IF(AND(H240="Umbuchung",ROUND(SUMIFS($F$7:$F$1506,$A$7:$A$1506,K240)+F240,2)&lt;&gt;0),"Umbuchung abweichend",IF(OR(G240="",M240="",M240="offen",M240="teilbelegt",H240="Ungeklärt",H240="Bargeld"),"Beleg / Verwendung klären","vollständig erfasst")))))))))</x:f>
      </x:c>
    </x:row>
    <x:row r="241" ht="22" customHeight="1">
      <x:c r="A241" s="7"/>
      <x:c r="B241" s="8"/>
      <x:c r="C241" s="7"/>
      <x:c r="D241" s="7"/>
      <x:c r="E241" s="7"/>
      <x:c r="F241" s="20"/>
      <x:c r="G241" s="7"/>
      <x:c r="H241" s="7"/>
      <x:c r="I241" s="7"/>
      <x:c r="J241" s="7"/>
      <x:c r="K241" s="7"/>
      <x:c r="L241" s="7"/>
      <x:c r="M241" s="7"/>
      <x:c r="N241" s="7"/>
      <x:c r="O241" s="2" t="str">
        <x:f>IF(A241="","",IF(COUNTIFS($A$7:$A$1506,A241)&gt;1,"Buchung-ID doppelt",IF(OR(NOT(ISNUMBER(B241)),C241="",NOT(ISNUMBER(F241)),H241="",L241=""),"Pflichtangaben fehlen",IF(COUNTIFS('Konten'!$A$7:$A$26,C241)&lt;&gt;1,"Konto nicht eindeutig",IF(J241&lt;&gt;"Ja","Zuordnung bestätigen",IF(OR(AND(H241="Einnahme",F241&lt;0),AND(H241="Ausgabe",F241&gt;0)),"Vorzeichen prüfen",IF(AND(H241="Umbuchung",OR(K241="",COUNTIFS($A$7:$A$1506,K241)&lt;&gt;1)),"Gegenbuchung fehlt",IF(AND(H241="Umbuchung",ROUND(SUMIFS($F$7:$F$1506,$A$7:$A$1506,K241)+F241,2)&lt;&gt;0),"Umbuchung abweichend",IF(OR(G241="",M241="",M241="offen",M241="teilbelegt",H241="Ungeklärt",H241="Bargeld"),"Beleg / Verwendung klären","vollständig erfasst")))))))))</x:f>
      </x:c>
    </x:row>
    <x:row r="242" ht="22" customHeight="1">
      <x:c r="A242" s="7"/>
      <x:c r="B242" s="8"/>
      <x:c r="C242" s="7"/>
      <x:c r="D242" s="7"/>
      <x:c r="E242" s="7"/>
      <x:c r="F242" s="20"/>
      <x:c r="G242" s="7"/>
      <x:c r="H242" s="7"/>
      <x:c r="I242" s="7"/>
      <x:c r="J242" s="7"/>
      <x:c r="K242" s="7"/>
      <x:c r="L242" s="7"/>
      <x:c r="M242" s="7"/>
      <x:c r="N242" s="7"/>
      <x:c r="O242" s="2" t="str">
        <x:f>IF(A242="","",IF(COUNTIFS($A$7:$A$1506,A242)&gt;1,"Buchung-ID doppelt",IF(OR(NOT(ISNUMBER(B242)),C242="",NOT(ISNUMBER(F242)),H242="",L242=""),"Pflichtangaben fehlen",IF(COUNTIFS('Konten'!$A$7:$A$26,C242)&lt;&gt;1,"Konto nicht eindeutig",IF(J242&lt;&gt;"Ja","Zuordnung bestätigen",IF(OR(AND(H242="Einnahme",F242&lt;0),AND(H242="Ausgabe",F242&gt;0)),"Vorzeichen prüfen",IF(AND(H242="Umbuchung",OR(K242="",COUNTIFS($A$7:$A$1506,K242)&lt;&gt;1)),"Gegenbuchung fehlt",IF(AND(H242="Umbuchung",ROUND(SUMIFS($F$7:$F$1506,$A$7:$A$1506,K242)+F242,2)&lt;&gt;0),"Umbuchung abweichend",IF(OR(G242="",M242="",M242="offen",M242="teilbelegt",H242="Ungeklärt",H242="Bargeld"),"Beleg / Verwendung klären","vollständig erfasst")))))))))</x:f>
      </x:c>
    </x:row>
    <x:row r="243" ht="22" customHeight="1">
      <x:c r="A243" s="7"/>
      <x:c r="B243" s="8"/>
      <x:c r="C243" s="7"/>
      <x:c r="D243" s="7"/>
      <x:c r="E243" s="7"/>
      <x:c r="F243" s="20"/>
      <x:c r="G243" s="7"/>
      <x:c r="H243" s="7"/>
      <x:c r="I243" s="7"/>
      <x:c r="J243" s="7"/>
      <x:c r="K243" s="7"/>
      <x:c r="L243" s="7"/>
      <x:c r="M243" s="7"/>
      <x:c r="N243" s="7"/>
      <x:c r="O243" s="2" t="str">
        <x:f>IF(A243="","",IF(COUNTIFS($A$7:$A$1506,A243)&gt;1,"Buchung-ID doppelt",IF(OR(NOT(ISNUMBER(B243)),C243="",NOT(ISNUMBER(F243)),H243="",L243=""),"Pflichtangaben fehlen",IF(COUNTIFS('Konten'!$A$7:$A$26,C243)&lt;&gt;1,"Konto nicht eindeutig",IF(J243&lt;&gt;"Ja","Zuordnung bestätigen",IF(OR(AND(H243="Einnahme",F243&lt;0),AND(H243="Ausgabe",F243&gt;0)),"Vorzeichen prüfen",IF(AND(H243="Umbuchung",OR(K243="",COUNTIFS($A$7:$A$1506,K243)&lt;&gt;1)),"Gegenbuchung fehlt",IF(AND(H243="Umbuchung",ROUND(SUMIFS($F$7:$F$1506,$A$7:$A$1506,K243)+F243,2)&lt;&gt;0),"Umbuchung abweichend",IF(OR(G243="",M243="",M243="offen",M243="teilbelegt",H243="Ungeklärt",H243="Bargeld"),"Beleg / Verwendung klären","vollständig erfasst")))))))))</x:f>
      </x:c>
    </x:row>
    <x:row r="244" ht="22" customHeight="1">
      <x:c r="A244" s="7"/>
      <x:c r="B244" s="8"/>
      <x:c r="C244" s="7"/>
      <x:c r="D244" s="7"/>
      <x:c r="E244" s="7"/>
      <x:c r="F244" s="20"/>
      <x:c r="G244" s="7"/>
      <x:c r="H244" s="7"/>
      <x:c r="I244" s="7"/>
      <x:c r="J244" s="7"/>
      <x:c r="K244" s="7"/>
      <x:c r="L244" s="7"/>
      <x:c r="M244" s="7"/>
      <x:c r="N244" s="7"/>
      <x:c r="O244" s="2" t="str">
        <x:f>IF(A244="","",IF(COUNTIFS($A$7:$A$1506,A244)&gt;1,"Buchung-ID doppelt",IF(OR(NOT(ISNUMBER(B244)),C244="",NOT(ISNUMBER(F244)),H244="",L244=""),"Pflichtangaben fehlen",IF(COUNTIFS('Konten'!$A$7:$A$26,C244)&lt;&gt;1,"Konto nicht eindeutig",IF(J244&lt;&gt;"Ja","Zuordnung bestätigen",IF(OR(AND(H244="Einnahme",F244&lt;0),AND(H244="Ausgabe",F244&gt;0)),"Vorzeichen prüfen",IF(AND(H244="Umbuchung",OR(K244="",COUNTIFS($A$7:$A$1506,K244)&lt;&gt;1)),"Gegenbuchung fehlt",IF(AND(H244="Umbuchung",ROUND(SUMIFS($F$7:$F$1506,$A$7:$A$1506,K244)+F244,2)&lt;&gt;0),"Umbuchung abweichend",IF(OR(G244="",M244="",M244="offen",M244="teilbelegt",H244="Ungeklärt",H244="Bargeld"),"Beleg / Verwendung klären","vollständig erfasst")))))))))</x:f>
      </x:c>
    </x:row>
    <x:row r="245" ht="22" customHeight="1">
      <x:c r="A245" s="7"/>
      <x:c r="B245" s="8"/>
      <x:c r="C245" s="7"/>
      <x:c r="D245" s="7"/>
      <x:c r="E245" s="7"/>
      <x:c r="F245" s="20"/>
      <x:c r="G245" s="7"/>
      <x:c r="H245" s="7"/>
      <x:c r="I245" s="7"/>
      <x:c r="J245" s="7"/>
      <x:c r="K245" s="7"/>
      <x:c r="L245" s="7"/>
      <x:c r="M245" s="7"/>
      <x:c r="N245" s="7"/>
      <x:c r="O245" s="2" t="str">
        <x:f>IF(A245="","",IF(COUNTIFS($A$7:$A$1506,A245)&gt;1,"Buchung-ID doppelt",IF(OR(NOT(ISNUMBER(B245)),C245="",NOT(ISNUMBER(F245)),H245="",L245=""),"Pflichtangaben fehlen",IF(COUNTIFS('Konten'!$A$7:$A$26,C245)&lt;&gt;1,"Konto nicht eindeutig",IF(J245&lt;&gt;"Ja","Zuordnung bestätigen",IF(OR(AND(H245="Einnahme",F245&lt;0),AND(H245="Ausgabe",F245&gt;0)),"Vorzeichen prüfen",IF(AND(H245="Umbuchung",OR(K245="",COUNTIFS($A$7:$A$1506,K245)&lt;&gt;1)),"Gegenbuchung fehlt",IF(AND(H245="Umbuchung",ROUND(SUMIFS($F$7:$F$1506,$A$7:$A$1506,K245)+F245,2)&lt;&gt;0),"Umbuchung abweichend",IF(OR(G245="",M245="",M245="offen",M245="teilbelegt",H245="Ungeklärt",H245="Bargeld"),"Beleg / Verwendung klären","vollständig erfasst")))))))))</x:f>
      </x:c>
    </x:row>
    <x:row r="246" ht="22" customHeight="1">
      <x:c r="A246" s="7"/>
      <x:c r="B246" s="8"/>
      <x:c r="C246" s="7"/>
      <x:c r="D246" s="7"/>
      <x:c r="E246" s="7"/>
      <x:c r="F246" s="20"/>
      <x:c r="G246" s="7"/>
      <x:c r="H246" s="7"/>
      <x:c r="I246" s="7"/>
      <x:c r="J246" s="7"/>
      <x:c r="K246" s="7"/>
      <x:c r="L246" s="7"/>
      <x:c r="M246" s="7"/>
      <x:c r="N246" s="7"/>
      <x:c r="O246" s="2" t="str">
        <x:f>IF(A246="","",IF(COUNTIFS($A$7:$A$1506,A246)&gt;1,"Buchung-ID doppelt",IF(OR(NOT(ISNUMBER(B246)),C246="",NOT(ISNUMBER(F246)),H246="",L246=""),"Pflichtangaben fehlen",IF(COUNTIFS('Konten'!$A$7:$A$26,C246)&lt;&gt;1,"Konto nicht eindeutig",IF(J246&lt;&gt;"Ja","Zuordnung bestätigen",IF(OR(AND(H246="Einnahme",F246&lt;0),AND(H246="Ausgabe",F246&gt;0)),"Vorzeichen prüfen",IF(AND(H246="Umbuchung",OR(K246="",COUNTIFS($A$7:$A$1506,K246)&lt;&gt;1)),"Gegenbuchung fehlt",IF(AND(H246="Umbuchung",ROUND(SUMIFS($F$7:$F$1506,$A$7:$A$1506,K246)+F246,2)&lt;&gt;0),"Umbuchung abweichend",IF(OR(G246="",M246="",M246="offen",M246="teilbelegt",H246="Ungeklärt",H246="Bargeld"),"Beleg / Verwendung klären","vollständig erfasst")))))))))</x:f>
      </x:c>
    </x:row>
    <x:row r="247" ht="22" customHeight="1">
      <x:c r="A247" s="7"/>
      <x:c r="B247" s="8"/>
      <x:c r="C247" s="7"/>
      <x:c r="D247" s="7"/>
      <x:c r="E247" s="7"/>
      <x:c r="F247" s="20"/>
      <x:c r="G247" s="7"/>
      <x:c r="H247" s="7"/>
      <x:c r="I247" s="7"/>
      <x:c r="J247" s="7"/>
      <x:c r="K247" s="7"/>
      <x:c r="L247" s="7"/>
      <x:c r="M247" s="7"/>
      <x:c r="N247" s="7"/>
      <x:c r="O247" s="2" t="str">
        <x:f>IF(A247="","",IF(COUNTIFS($A$7:$A$1506,A247)&gt;1,"Buchung-ID doppelt",IF(OR(NOT(ISNUMBER(B247)),C247="",NOT(ISNUMBER(F247)),H247="",L247=""),"Pflichtangaben fehlen",IF(COUNTIFS('Konten'!$A$7:$A$26,C247)&lt;&gt;1,"Konto nicht eindeutig",IF(J247&lt;&gt;"Ja","Zuordnung bestätigen",IF(OR(AND(H247="Einnahme",F247&lt;0),AND(H247="Ausgabe",F247&gt;0)),"Vorzeichen prüfen",IF(AND(H247="Umbuchung",OR(K247="",COUNTIFS($A$7:$A$1506,K247)&lt;&gt;1)),"Gegenbuchung fehlt",IF(AND(H247="Umbuchung",ROUND(SUMIFS($F$7:$F$1506,$A$7:$A$1506,K247)+F247,2)&lt;&gt;0),"Umbuchung abweichend",IF(OR(G247="",M247="",M247="offen",M247="teilbelegt",H247="Ungeklärt",H247="Bargeld"),"Beleg / Verwendung klären","vollständig erfasst")))))))))</x:f>
      </x:c>
    </x:row>
    <x:row r="248" ht="22" customHeight="1">
      <x:c r="A248" s="7"/>
      <x:c r="B248" s="8"/>
      <x:c r="C248" s="7"/>
      <x:c r="D248" s="7"/>
      <x:c r="E248" s="7"/>
      <x:c r="F248" s="20"/>
      <x:c r="G248" s="7"/>
      <x:c r="H248" s="7"/>
      <x:c r="I248" s="7"/>
      <x:c r="J248" s="7"/>
      <x:c r="K248" s="7"/>
      <x:c r="L248" s="7"/>
      <x:c r="M248" s="7"/>
      <x:c r="N248" s="7"/>
      <x:c r="O248" s="2" t="str">
        <x:f>IF(A248="","",IF(COUNTIFS($A$7:$A$1506,A248)&gt;1,"Buchung-ID doppelt",IF(OR(NOT(ISNUMBER(B248)),C248="",NOT(ISNUMBER(F248)),H248="",L248=""),"Pflichtangaben fehlen",IF(COUNTIFS('Konten'!$A$7:$A$26,C248)&lt;&gt;1,"Konto nicht eindeutig",IF(J248&lt;&gt;"Ja","Zuordnung bestätigen",IF(OR(AND(H248="Einnahme",F248&lt;0),AND(H248="Ausgabe",F248&gt;0)),"Vorzeichen prüfen",IF(AND(H248="Umbuchung",OR(K248="",COUNTIFS($A$7:$A$1506,K248)&lt;&gt;1)),"Gegenbuchung fehlt",IF(AND(H248="Umbuchung",ROUND(SUMIFS($F$7:$F$1506,$A$7:$A$1506,K248)+F248,2)&lt;&gt;0),"Umbuchung abweichend",IF(OR(G248="",M248="",M248="offen",M248="teilbelegt",H248="Ungeklärt",H248="Bargeld"),"Beleg / Verwendung klären","vollständig erfasst")))))))))</x:f>
      </x:c>
    </x:row>
    <x:row r="249" ht="22" customHeight="1">
      <x:c r="A249" s="7"/>
      <x:c r="B249" s="8"/>
      <x:c r="C249" s="7"/>
      <x:c r="D249" s="7"/>
      <x:c r="E249" s="7"/>
      <x:c r="F249" s="20"/>
      <x:c r="G249" s="7"/>
      <x:c r="H249" s="7"/>
      <x:c r="I249" s="7"/>
      <x:c r="J249" s="7"/>
      <x:c r="K249" s="7"/>
      <x:c r="L249" s="7"/>
      <x:c r="M249" s="7"/>
      <x:c r="N249" s="7"/>
      <x:c r="O249" s="2" t="str">
        <x:f>IF(A249="","",IF(COUNTIFS($A$7:$A$1506,A249)&gt;1,"Buchung-ID doppelt",IF(OR(NOT(ISNUMBER(B249)),C249="",NOT(ISNUMBER(F249)),H249="",L249=""),"Pflichtangaben fehlen",IF(COUNTIFS('Konten'!$A$7:$A$26,C249)&lt;&gt;1,"Konto nicht eindeutig",IF(J249&lt;&gt;"Ja","Zuordnung bestätigen",IF(OR(AND(H249="Einnahme",F249&lt;0),AND(H249="Ausgabe",F249&gt;0)),"Vorzeichen prüfen",IF(AND(H249="Umbuchung",OR(K249="",COUNTIFS($A$7:$A$1506,K249)&lt;&gt;1)),"Gegenbuchung fehlt",IF(AND(H249="Umbuchung",ROUND(SUMIFS($F$7:$F$1506,$A$7:$A$1506,K249)+F249,2)&lt;&gt;0),"Umbuchung abweichend",IF(OR(G249="",M249="",M249="offen",M249="teilbelegt",H249="Ungeklärt",H249="Bargeld"),"Beleg / Verwendung klären","vollständig erfasst")))))))))</x:f>
      </x:c>
    </x:row>
    <x:row r="250" ht="22" customHeight="1">
      <x:c r="A250" s="7"/>
      <x:c r="B250" s="8"/>
      <x:c r="C250" s="7"/>
      <x:c r="D250" s="7"/>
      <x:c r="E250" s="7"/>
      <x:c r="F250" s="20"/>
      <x:c r="G250" s="7"/>
      <x:c r="H250" s="7"/>
      <x:c r="I250" s="7"/>
      <x:c r="J250" s="7"/>
      <x:c r="K250" s="7"/>
      <x:c r="L250" s="7"/>
      <x:c r="M250" s="7"/>
      <x:c r="N250" s="7"/>
      <x:c r="O250" s="2" t="str">
        <x:f>IF(A250="","",IF(COUNTIFS($A$7:$A$1506,A250)&gt;1,"Buchung-ID doppelt",IF(OR(NOT(ISNUMBER(B250)),C250="",NOT(ISNUMBER(F250)),H250="",L250=""),"Pflichtangaben fehlen",IF(COUNTIFS('Konten'!$A$7:$A$26,C250)&lt;&gt;1,"Konto nicht eindeutig",IF(J250&lt;&gt;"Ja","Zuordnung bestätigen",IF(OR(AND(H250="Einnahme",F250&lt;0),AND(H250="Ausgabe",F250&gt;0)),"Vorzeichen prüfen",IF(AND(H250="Umbuchung",OR(K250="",COUNTIFS($A$7:$A$1506,K250)&lt;&gt;1)),"Gegenbuchung fehlt",IF(AND(H250="Umbuchung",ROUND(SUMIFS($F$7:$F$1506,$A$7:$A$1506,K250)+F250,2)&lt;&gt;0),"Umbuchung abweichend",IF(OR(G250="",M250="",M250="offen",M250="teilbelegt",H250="Ungeklärt",H250="Bargeld"),"Beleg / Verwendung klären","vollständig erfasst")))))))))</x:f>
      </x:c>
    </x:row>
    <x:row r="251" ht="22" customHeight="1">
      <x:c r="A251" s="7"/>
      <x:c r="B251" s="8"/>
      <x:c r="C251" s="7"/>
      <x:c r="D251" s="7"/>
      <x:c r="E251" s="7"/>
      <x:c r="F251" s="20"/>
      <x:c r="G251" s="7"/>
      <x:c r="H251" s="7"/>
      <x:c r="I251" s="7"/>
      <x:c r="J251" s="7"/>
      <x:c r="K251" s="7"/>
      <x:c r="L251" s="7"/>
      <x:c r="M251" s="7"/>
      <x:c r="N251" s="7"/>
      <x:c r="O251" s="2" t="str">
        <x:f>IF(A251="","",IF(COUNTIFS($A$7:$A$1506,A251)&gt;1,"Buchung-ID doppelt",IF(OR(NOT(ISNUMBER(B251)),C251="",NOT(ISNUMBER(F251)),H251="",L251=""),"Pflichtangaben fehlen",IF(COUNTIFS('Konten'!$A$7:$A$26,C251)&lt;&gt;1,"Konto nicht eindeutig",IF(J251&lt;&gt;"Ja","Zuordnung bestätigen",IF(OR(AND(H251="Einnahme",F251&lt;0),AND(H251="Ausgabe",F251&gt;0)),"Vorzeichen prüfen",IF(AND(H251="Umbuchung",OR(K251="",COUNTIFS($A$7:$A$1506,K251)&lt;&gt;1)),"Gegenbuchung fehlt",IF(AND(H251="Umbuchung",ROUND(SUMIFS($F$7:$F$1506,$A$7:$A$1506,K251)+F251,2)&lt;&gt;0),"Umbuchung abweichend",IF(OR(G251="",M251="",M251="offen",M251="teilbelegt",H251="Ungeklärt",H251="Bargeld"),"Beleg / Verwendung klären","vollständig erfasst")))))))))</x:f>
      </x:c>
    </x:row>
    <x:row r="252" ht="22" customHeight="1">
      <x:c r="A252" s="7"/>
      <x:c r="B252" s="8"/>
      <x:c r="C252" s="7"/>
      <x:c r="D252" s="7"/>
      <x:c r="E252" s="7"/>
      <x:c r="F252" s="20"/>
      <x:c r="G252" s="7"/>
      <x:c r="H252" s="7"/>
      <x:c r="I252" s="7"/>
      <x:c r="J252" s="7"/>
      <x:c r="K252" s="7"/>
      <x:c r="L252" s="7"/>
      <x:c r="M252" s="7"/>
      <x:c r="N252" s="7"/>
      <x:c r="O252" s="2" t="str">
        <x:f>IF(A252="","",IF(COUNTIFS($A$7:$A$1506,A252)&gt;1,"Buchung-ID doppelt",IF(OR(NOT(ISNUMBER(B252)),C252="",NOT(ISNUMBER(F252)),H252="",L252=""),"Pflichtangaben fehlen",IF(COUNTIFS('Konten'!$A$7:$A$26,C252)&lt;&gt;1,"Konto nicht eindeutig",IF(J252&lt;&gt;"Ja","Zuordnung bestätigen",IF(OR(AND(H252="Einnahme",F252&lt;0),AND(H252="Ausgabe",F252&gt;0)),"Vorzeichen prüfen",IF(AND(H252="Umbuchung",OR(K252="",COUNTIFS($A$7:$A$1506,K252)&lt;&gt;1)),"Gegenbuchung fehlt",IF(AND(H252="Umbuchung",ROUND(SUMIFS($F$7:$F$1506,$A$7:$A$1506,K252)+F252,2)&lt;&gt;0),"Umbuchung abweichend",IF(OR(G252="",M252="",M252="offen",M252="teilbelegt",H252="Ungeklärt",H252="Bargeld"),"Beleg / Verwendung klären","vollständig erfasst")))))))))</x:f>
      </x:c>
    </x:row>
    <x:row r="253" ht="22" customHeight="1">
      <x:c r="A253" s="7"/>
      <x:c r="B253" s="8"/>
      <x:c r="C253" s="7"/>
      <x:c r="D253" s="7"/>
      <x:c r="E253" s="7"/>
      <x:c r="F253" s="20"/>
      <x:c r="G253" s="7"/>
      <x:c r="H253" s="7"/>
      <x:c r="I253" s="7"/>
      <x:c r="J253" s="7"/>
      <x:c r="K253" s="7"/>
      <x:c r="L253" s="7"/>
      <x:c r="M253" s="7"/>
      <x:c r="N253" s="7"/>
      <x:c r="O253" s="2" t="str">
        <x:f>IF(A253="","",IF(COUNTIFS($A$7:$A$1506,A253)&gt;1,"Buchung-ID doppelt",IF(OR(NOT(ISNUMBER(B253)),C253="",NOT(ISNUMBER(F253)),H253="",L253=""),"Pflichtangaben fehlen",IF(COUNTIFS('Konten'!$A$7:$A$26,C253)&lt;&gt;1,"Konto nicht eindeutig",IF(J253&lt;&gt;"Ja","Zuordnung bestätigen",IF(OR(AND(H253="Einnahme",F253&lt;0),AND(H253="Ausgabe",F253&gt;0)),"Vorzeichen prüfen",IF(AND(H253="Umbuchung",OR(K253="",COUNTIFS($A$7:$A$1506,K253)&lt;&gt;1)),"Gegenbuchung fehlt",IF(AND(H253="Umbuchung",ROUND(SUMIFS($F$7:$F$1506,$A$7:$A$1506,K253)+F253,2)&lt;&gt;0),"Umbuchung abweichend",IF(OR(G253="",M253="",M253="offen",M253="teilbelegt",H253="Ungeklärt",H253="Bargeld"),"Beleg / Verwendung klären","vollständig erfasst")))))))))</x:f>
      </x:c>
    </x:row>
    <x:row r="254" ht="22" customHeight="1">
      <x:c r="A254" s="7"/>
      <x:c r="B254" s="8"/>
      <x:c r="C254" s="7"/>
      <x:c r="D254" s="7"/>
      <x:c r="E254" s="7"/>
      <x:c r="F254" s="20"/>
      <x:c r="G254" s="7"/>
      <x:c r="H254" s="7"/>
      <x:c r="I254" s="7"/>
      <x:c r="J254" s="7"/>
      <x:c r="K254" s="7"/>
      <x:c r="L254" s="7"/>
      <x:c r="M254" s="7"/>
      <x:c r="N254" s="7"/>
      <x:c r="O254" s="2" t="str">
        <x:f>IF(A254="","",IF(COUNTIFS($A$7:$A$1506,A254)&gt;1,"Buchung-ID doppelt",IF(OR(NOT(ISNUMBER(B254)),C254="",NOT(ISNUMBER(F254)),H254="",L254=""),"Pflichtangaben fehlen",IF(COUNTIFS('Konten'!$A$7:$A$26,C254)&lt;&gt;1,"Konto nicht eindeutig",IF(J254&lt;&gt;"Ja","Zuordnung bestätigen",IF(OR(AND(H254="Einnahme",F254&lt;0),AND(H254="Ausgabe",F254&gt;0)),"Vorzeichen prüfen",IF(AND(H254="Umbuchung",OR(K254="",COUNTIFS($A$7:$A$1506,K254)&lt;&gt;1)),"Gegenbuchung fehlt",IF(AND(H254="Umbuchung",ROUND(SUMIFS($F$7:$F$1506,$A$7:$A$1506,K254)+F254,2)&lt;&gt;0),"Umbuchung abweichend",IF(OR(G254="",M254="",M254="offen",M254="teilbelegt",H254="Ungeklärt",H254="Bargeld"),"Beleg / Verwendung klären","vollständig erfasst")))))))))</x:f>
      </x:c>
    </x:row>
    <x:row r="255" ht="22" customHeight="1">
      <x:c r="A255" s="7"/>
      <x:c r="B255" s="8"/>
      <x:c r="C255" s="7"/>
      <x:c r="D255" s="7"/>
      <x:c r="E255" s="7"/>
      <x:c r="F255" s="20"/>
      <x:c r="G255" s="7"/>
      <x:c r="H255" s="7"/>
      <x:c r="I255" s="7"/>
      <x:c r="J255" s="7"/>
      <x:c r="K255" s="7"/>
      <x:c r="L255" s="7"/>
      <x:c r="M255" s="7"/>
      <x:c r="N255" s="7"/>
      <x:c r="O255" s="2" t="str">
        <x:f>IF(A255="","",IF(COUNTIFS($A$7:$A$1506,A255)&gt;1,"Buchung-ID doppelt",IF(OR(NOT(ISNUMBER(B255)),C255="",NOT(ISNUMBER(F255)),H255="",L255=""),"Pflichtangaben fehlen",IF(COUNTIFS('Konten'!$A$7:$A$26,C255)&lt;&gt;1,"Konto nicht eindeutig",IF(J255&lt;&gt;"Ja","Zuordnung bestätigen",IF(OR(AND(H255="Einnahme",F255&lt;0),AND(H255="Ausgabe",F255&gt;0)),"Vorzeichen prüfen",IF(AND(H255="Umbuchung",OR(K255="",COUNTIFS($A$7:$A$1506,K255)&lt;&gt;1)),"Gegenbuchung fehlt",IF(AND(H255="Umbuchung",ROUND(SUMIFS($F$7:$F$1506,$A$7:$A$1506,K255)+F255,2)&lt;&gt;0),"Umbuchung abweichend",IF(OR(G255="",M255="",M255="offen",M255="teilbelegt",H255="Ungeklärt",H255="Bargeld"),"Beleg / Verwendung klären","vollständig erfasst")))))))))</x:f>
      </x:c>
    </x:row>
    <x:row r="256" ht="22" customHeight="1">
      <x:c r="A256" s="7"/>
      <x:c r="B256" s="8"/>
      <x:c r="C256" s="7"/>
      <x:c r="D256" s="7"/>
      <x:c r="E256" s="7"/>
      <x:c r="F256" s="20"/>
      <x:c r="G256" s="7"/>
      <x:c r="H256" s="7"/>
      <x:c r="I256" s="7"/>
      <x:c r="J256" s="7"/>
      <x:c r="K256" s="7"/>
      <x:c r="L256" s="7"/>
      <x:c r="M256" s="7"/>
      <x:c r="N256" s="7"/>
      <x:c r="O256" s="2" t="str">
        <x:f>IF(A256="","",IF(COUNTIFS($A$7:$A$1506,A256)&gt;1,"Buchung-ID doppelt",IF(OR(NOT(ISNUMBER(B256)),C256="",NOT(ISNUMBER(F256)),H256="",L256=""),"Pflichtangaben fehlen",IF(COUNTIFS('Konten'!$A$7:$A$26,C256)&lt;&gt;1,"Konto nicht eindeutig",IF(J256&lt;&gt;"Ja","Zuordnung bestätigen",IF(OR(AND(H256="Einnahme",F256&lt;0),AND(H256="Ausgabe",F256&gt;0)),"Vorzeichen prüfen",IF(AND(H256="Umbuchung",OR(K256="",COUNTIFS($A$7:$A$1506,K256)&lt;&gt;1)),"Gegenbuchung fehlt",IF(AND(H256="Umbuchung",ROUND(SUMIFS($F$7:$F$1506,$A$7:$A$1506,K256)+F256,2)&lt;&gt;0),"Umbuchung abweichend",IF(OR(G256="",M256="",M256="offen",M256="teilbelegt",H256="Ungeklärt",H256="Bargeld"),"Beleg / Verwendung klären","vollständig erfasst")))))))))</x:f>
      </x:c>
    </x:row>
    <x:row r="257" ht="22" customHeight="1">
      <x:c r="A257" s="7"/>
      <x:c r="B257" s="8"/>
      <x:c r="C257" s="7"/>
      <x:c r="D257" s="7"/>
      <x:c r="E257" s="7"/>
      <x:c r="F257" s="20"/>
      <x:c r="G257" s="7"/>
      <x:c r="H257" s="7"/>
      <x:c r="I257" s="7"/>
      <x:c r="J257" s="7"/>
      <x:c r="K257" s="7"/>
      <x:c r="L257" s="7"/>
      <x:c r="M257" s="7"/>
      <x:c r="N257" s="7"/>
      <x:c r="O257" s="2" t="str">
        <x:f>IF(A257="","",IF(COUNTIFS($A$7:$A$1506,A257)&gt;1,"Buchung-ID doppelt",IF(OR(NOT(ISNUMBER(B257)),C257="",NOT(ISNUMBER(F257)),H257="",L257=""),"Pflichtangaben fehlen",IF(COUNTIFS('Konten'!$A$7:$A$26,C257)&lt;&gt;1,"Konto nicht eindeutig",IF(J257&lt;&gt;"Ja","Zuordnung bestätigen",IF(OR(AND(H257="Einnahme",F257&lt;0),AND(H257="Ausgabe",F257&gt;0)),"Vorzeichen prüfen",IF(AND(H257="Umbuchung",OR(K257="",COUNTIFS($A$7:$A$1506,K257)&lt;&gt;1)),"Gegenbuchung fehlt",IF(AND(H257="Umbuchung",ROUND(SUMIFS($F$7:$F$1506,$A$7:$A$1506,K257)+F257,2)&lt;&gt;0),"Umbuchung abweichend",IF(OR(G257="",M257="",M257="offen",M257="teilbelegt",H257="Ungeklärt",H257="Bargeld"),"Beleg / Verwendung klären","vollständig erfasst")))))))))</x:f>
      </x:c>
    </x:row>
    <x:row r="258" ht="22" customHeight="1">
      <x:c r="A258" s="7"/>
      <x:c r="B258" s="8"/>
      <x:c r="C258" s="7"/>
      <x:c r="D258" s="7"/>
      <x:c r="E258" s="7"/>
      <x:c r="F258" s="20"/>
      <x:c r="G258" s="7"/>
      <x:c r="H258" s="7"/>
      <x:c r="I258" s="7"/>
      <x:c r="J258" s="7"/>
      <x:c r="K258" s="7"/>
      <x:c r="L258" s="7"/>
      <x:c r="M258" s="7"/>
      <x:c r="N258" s="7"/>
      <x:c r="O258" s="2" t="str">
        <x:f>IF(A258="","",IF(COUNTIFS($A$7:$A$1506,A258)&gt;1,"Buchung-ID doppelt",IF(OR(NOT(ISNUMBER(B258)),C258="",NOT(ISNUMBER(F258)),H258="",L258=""),"Pflichtangaben fehlen",IF(COUNTIFS('Konten'!$A$7:$A$26,C258)&lt;&gt;1,"Konto nicht eindeutig",IF(J258&lt;&gt;"Ja","Zuordnung bestätigen",IF(OR(AND(H258="Einnahme",F258&lt;0),AND(H258="Ausgabe",F258&gt;0)),"Vorzeichen prüfen",IF(AND(H258="Umbuchung",OR(K258="",COUNTIFS($A$7:$A$1506,K258)&lt;&gt;1)),"Gegenbuchung fehlt",IF(AND(H258="Umbuchung",ROUND(SUMIFS($F$7:$F$1506,$A$7:$A$1506,K258)+F258,2)&lt;&gt;0),"Umbuchung abweichend",IF(OR(G258="",M258="",M258="offen",M258="teilbelegt",H258="Ungeklärt",H258="Bargeld"),"Beleg / Verwendung klären","vollständig erfasst")))))))))</x:f>
      </x:c>
    </x:row>
    <x:row r="259" ht="22" customHeight="1">
      <x:c r="A259" s="7"/>
      <x:c r="B259" s="8"/>
      <x:c r="C259" s="7"/>
      <x:c r="D259" s="7"/>
      <x:c r="E259" s="7"/>
      <x:c r="F259" s="20"/>
      <x:c r="G259" s="7"/>
      <x:c r="H259" s="7"/>
      <x:c r="I259" s="7"/>
      <x:c r="J259" s="7"/>
      <x:c r="K259" s="7"/>
      <x:c r="L259" s="7"/>
      <x:c r="M259" s="7"/>
      <x:c r="N259" s="7"/>
      <x:c r="O259" s="2" t="str">
        <x:f>IF(A259="","",IF(COUNTIFS($A$7:$A$1506,A259)&gt;1,"Buchung-ID doppelt",IF(OR(NOT(ISNUMBER(B259)),C259="",NOT(ISNUMBER(F259)),H259="",L259=""),"Pflichtangaben fehlen",IF(COUNTIFS('Konten'!$A$7:$A$26,C259)&lt;&gt;1,"Konto nicht eindeutig",IF(J259&lt;&gt;"Ja","Zuordnung bestätigen",IF(OR(AND(H259="Einnahme",F259&lt;0),AND(H259="Ausgabe",F259&gt;0)),"Vorzeichen prüfen",IF(AND(H259="Umbuchung",OR(K259="",COUNTIFS($A$7:$A$1506,K259)&lt;&gt;1)),"Gegenbuchung fehlt",IF(AND(H259="Umbuchung",ROUND(SUMIFS($F$7:$F$1506,$A$7:$A$1506,K259)+F259,2)&lt;&gt;0),"Umbuchung abweichend",IF(OR(G259="",M259="",M259="offen",M259="teilbelegt",H259="Ungeklärt",H259="Bargeld"),"Beleg / Verwendung klären","vollständig erfasst")))))))))</x:f>
      </x:c>
    </x:row>
    <x:row r="260" ht="22" customHeight="1">
      <x:c r="A260" s="7"/>
      <x:c r="B260" s="8"/>
      <x:c r="C260" s="7"/>
      <x:c r="D260" s="7"/>
      <x:c r="E260" s="7"/>
      <x:c r="F260" s="20"/>
      <x:c r="G260" s="7"/>
      <x:c r="H260" s="7"/>
      <x:c r="I260" s="7"/>
      <x:c r="J260" s="7"/>
      <x:c r="K260" s="7"/>
      <x:c r="L260" s="7"/>
      <x:c r="M260" s="7"/>
      <x:c r="N260" s="7"/>
      <x:c r="O260" s="2" t="str">
        <x:f>IF(A260="","",IF(COUNTIFS($A$7:$A$1506,A260)&gt;1,"Buchung-ID doppelt",IF(OR(NOT(ISNUMBER(B260)),C260="",NOT(ISNUMBER(F260)),H260="",L260=""),"Pflichtangaben fehlen",IF(COUNTIFS('Konten'!$A$7:$A$26,C260)&lt;&gt;1,"Konto nicht eindeutig",IF(J260&lt;&gt;"Ja","Zuordnung bestätigen",IF(OR(AND(H260="Einnahme",F260&lt;0),AND(H260="Ausgabe",F260&gt;0)),"Vorzeichen prüfen",IF(AND(H260="Umbuchung",OR(K260="",COUNTIFS($A$7:$A$1506,K260)&lt;&gt;1)),"Gegenbuchung fehlt",IF(AND(H260="Umbuchung",ROUND(SUMIFS($F$7:$F$1506,$A$7:$A$1506,K260)+F260,2)&lt;&gt;0),"Umbuchung abweichend",IF(OR(G260="",M260="",M260="offen",M260="teilbelegt",H260="Ungeklärt",H260="Bargeld"),"Beleg / Verwendung klären","vollständig erfasst")))))))))</x:f>
      </x:c>
    </x:row>
    <x:row r="261" ht="22" customHeight="1">
      <x:c r="A261" s="7"/>
      <x:c r="B261" s="8"/>
      <x:c r="C261" s="7"/>
      <x:c r="D261" s="7"/>
      <x:c r="E261" s="7"/>
      <x:c r="F261" s="20"/>
      <x:c r="G261" s="7"/>
      <x:c r="H261" s="7"/>
      <x:c r="I261" s="7"/>
      <x:c r="J261" s="7"/>
      <x:c r="K261" s="7"/>
      <x:c r="L261" s="7"/>
      <x:c r="M261" s="7"/>
      <x:c r="N261" s="7"/>
      <x:c r="O261" s="2" t="str">
        <x:f>IF(A261="","",IF(COUNTIFS($A$7:$A$1506,A261)&gt;1,"Buchung-ID doppelt",IF(OR(NOT(ISNUMBER(B261)),C261="",NOT(ISNUMBER(F261)),H261="",L261=""),"Pflichtangaben fehlen",IF(COUNTIFS('Konten'!$A$7:$A$26,C261)&lt;&gt;1,"Konto nicht eindeutig",IF(J261&lt;&gt;"Ja","Zuordnung bestätigen",IF(OR(AND(H261="Einnahme",F261&lt;0),AND(H261="Ausgabe",F261&gt;0)),"Vorzeichen prüfen",IF(AND(H261="Umbuchung",OR(K261="",COUNTIFS($A$7:$A$1506,K261)&lt;&gt;1)),"Gegenbuchung fehlt",IF(AND(H261="Umbuchung",ROUND(SUMIFS($F$7:$F$1506,$A$7:$A$1506,K261)+F261,2)&lt;&gt;0),"Umbuchung abweichend",IF(OR(G261="",M261="",M261="offen",M261="teilbelegt",H261="Ungeklärt",H261="Bargeld"),"Beleg / Verwendung klären","vollständig erfasst")))))))))</x:f>
      </x:c>
    </x:row>
    <x:row r="262" ht="22" customHeight="1">
      <x:c r="A262" s="7"/>
      <x:c r="B262" s="8"/>
      <x:c r="C262" s="7"/>
      <x:c r="D262" s="7"/>
      <x:c r="E262" s="7"/>
      <x:c r="F262" s="20"/>
      <x:c r="G262" s="7"/>
      <x:c r="H262" s="7"/>
      <x:c r="I262" s="7"/>
      <x:c r="J262" s="7"/>
      <x:c r="K262" s="7"/>
      <x:c r="L262" s="7"/>
      <x:c r="M262" s="7"/>
      <x:c r="N262" s="7"/>
      <x:c r="O262" s="2" t="str">
        <x:f>IF(A262="","",IF(COUNTIFS($A$7:$A$1506,A262)&gt;1,"Buchung-ID doppelt",IF(OR(NOT(ISNUMBER(B262)),C262="",NOT(ISNUMBER(F262)),H262="",L262=""),"Pflichtangaben fehlen",IF(COUNTIFS('Konten'!$A$7:$A$26,C262)&lt;&gt;1,"Konto nicht eindeutig",IF(J262&lt;&gt;"Ja","Zuordnung bestätigen",IF(OR(AND(H262="Einnahme",F262&lt;0),AND(H262="Ausgabe",F262&gt;0)),"Vorzeichen prüfen",IF(AND(H262="Umbuchung",OR(K262="",COUNTIFS($A$7:$A$1506,K262)&lt;&gt;1)),"Gegenbuchung fehlt",IF(AND(H262="Umbuchung",ROUND(SUMIFS($F$7:$F$1506,$A$7:$A$1506,K262)+F262,2)&lt;&gt;0),"Umbuchung abweichend",IF(OR(G262="",M262="",M262="offen",M262="teilbelegt",H262="Ungeklärt",H262="Bargeld"),"Beleg / Verwendung klären","vollständig erfasst")))))))))</x:f>
      </x:c>
    </x:row>
    <x:row r="263" ht="22" customHeight="1">
      <x:c r="A263" s="7"/>
      <x:c r="B263" s="8"/>
      <x:c r="C263" s="7"/>
      <x:c r="D263" s="7"/>
      <x:c r="E263" s="7"/>
      <x:c r="F263" s="20"/>
      <x:c r="G263" s="7"/>
      <x:c r="H263" s="7"/>
      <x:c r="I263" s="7"/>
      <x:c r="J263" s="7"/>
      <x:c r="K263" s="7"/>
      <x:c r="L263" s="7"/>
      <x:c r="M263" s="7"/>
      <x:c r="N263" s="7"/>
      <x:c r="O263" s="2" t="str">
        <x:f>IF(A263="","",IF(COUNTIFS($A$7:$A$1506,A263)&gt;1,"Buchung-ID doppelt",IF(OR(NOT(ISNUMBER(B263)),C263="",NOT(ISNUMBER(F263)),H263="",L263=""),"Pflichtangaben fehlen",IF(COUNTIFS('Konten'!$A$7:$A$26,C263)&lt;&gt;1,"Konto nicht eindeutig",IF(J263&lt;&gt;"Ja","Zuordnung bestätigen",IF(OR(AND(H263="Einnahme",F263&lt;0),AND(H263="Ausgabe",F263&gt;0)),"Vorzeichen prüfen",IF(AND(H263="Umbuchung",OR(K263="",COUNTIFS($A$7:$A$1506,K263)&lt;&gt;1)),"Gegenbuchung fehlt",IF(AND(H263="Umbuchung",ROUND(SUMIFS($F$7:$F$1506,$A$7:$A$1506,K263)+F263,2)&lt;&gt;0),"Umbuchung abweichend",IF(OR(G263="",M263="",M263="offen",M263="teilbelegt",H263="Ungeklärt",H263="Bargeld"),"Beleg / Verwendung klären","vollständig erfasst")))))))))</x:f>
      </x:c>
    </x:row>
    <x:row r="264" ht="22" customHeight="1">
      <x:c r="A264" s="7"/>
      <x:c r="B264" s="8"/>
      <x:c r="C264" s="7"/>
      <x:c r="D264" s="7"/>
      <x:c r="E264" s="7"/>
      <x:c r="F264" s="20"/>
      <x:c r="G264" s="7"/>
      <x:c r="H264" s="7"/>
      <x:c r="I264" s="7"/>
      <x:c r="J264" s="7"/>
      <x:c r="K264" s="7"/>
      <x:c r="L264" s="7"/>
      <x:c r="M264" s="7"/>
      <x:c r="N264" s="7"/>
      <x:c r="O264" s="2" t="str">
        <x:f>IF(A264="","",IF(COUNTIFS($A$7:$A$1506,A264)&gt;1,"Buchung-ID doppelt",IF(OR(NOT(ISNUMBER(B264)),C264="",NOT(ISNUMBER(F264)),H264="",L264=""),"Pflichtangaben fehlen",IF(COUNTIFS('Konten'!$A$7:$A$26,C264)&lt;&gt;1,"Konto nicht eindeutig",IF(J264&lt;&gt;"Ja","Zuordnung bestätigen",IF(OR(AND(H264="Einnahme",F264&lt;0),AND(H264="Ausgabe",F264&gt;0)),"Vorzeichen prüfen",IF(AND(H264="Umbuchung",OR(K264="",COUNTIFS($A$7:$A$1506,K264)&lt;&gt;1)),"Gegenbuchung fehlt",IF(AND(H264="Umbuchung",ROUND(SUMIFS($F$7:$F$1506,$A$7:$A$1506,K264)+F264,2)&lt;&gt;0),"Umbuchung abweichend",IF(OR(G264="",M264="",M264="offen",M264="teilbelegt",H264="Ungeklärt",H264="Bargeld"),"Beleg / Verwendung klären","vollständig erfasst")))))))))</x:f>
      </x:c>
    </x:row>
    <x:row r="265" ht="22" customHeight="1">
      <x:c r="A265" s="7"/>
      <x:c r="B265" s="8"/>
      <x:c r="C265" s="7"/>
      <x:c r="D265" s="7"/>
      <x:c r="E265" s="7"/>
      <x:c r="F265" s="20"/>
      <x:c r="G265" s="7"/>
      <x:c r="H265" s="7"/>
      <x:c r="I265" s="7"/>
      <x:c r="J265" s="7"/>
      <x:c r="K265" s="7"/>
      <x:c r="L265" s="7"/>
      <x:c r="M265" s="7"/>
      <x:c r="N265" s="7"/>
      <x:c r="O265" s="2" t="str">
        <x:f>IF(A265="","",IF(COUNTIFS($A$7:$A$1506,A265)&gt;1,"Buchung-ID doppelt",IF(OR(NOT(ISNUMBER(B265)),C265="",NOT(ISNUMBER(F265)),H265="",L265=""),"Pflichtangaben fehlen",IF(COUNTIFS('Konten'!$A$7:$A$26,C265)&lt;&gt;1,"Konto nicht eindeutig",IF(J265&lt;&gt;"Ja","Zuordnung bestätigen",IF(OR(AND(H265="Einnahme",F265&lt;0),AND(H265="Ausgabe",F265&gt;0)),"Vorzeichen prüfen",IF(AND(H265="Umbuchung",OR(K265="",COUNTIFS($A$7:$A$1506,K265)&lt;&gt;1)),"Gegenbuchung fehlt",IF(AND(H265="Umbuchung",ROUND(SUMIFS($F$7:$F$1506,$A$7:$A$1506,K265)+F265,2)&lt;&gt;0),"Umbuchung abweichend",IF(OR(G265="",M265="",M265="offen",M265="teilbelegt",H265="Ungeklärt",H265="Bargeld"),"Beleg / Verwendung klären","vollständig erfasst")))))))))</x:f>
      </x:c>
    </x:row>
    <x:row r="266" ht="22" customHeight="1">
      <x:c r="A266" s="7"/>
      <x:c r="B266" s="8"/>
      <x:c r="C266" s="7"/>
      <x:c r="D266" s="7"/>
      <x:c r="E266" s="7"/>
      <x:c r="F266" s="20"/>
      <x:c r="G266" s="7"/>
      <x:c r="H266" s="7"/>
      <x:c r="I266" s="7"/>
      <x:c r="J266" s="7"/>
      <x:c r="K266" s="7"/>
      <x:c r="L266" s="7"/>
      <x:c r="M266" s="7"/>
      <x:c r="N266" s="7"/>
      <x:c r="O266" s="2" t="str">
        <x:f>IF(A266="","",IF(COUNTIFS($A$7:$A$1506,A266)&gt;1,"Buchung-ID doppelt",IF(OR(NOT(ISNUMBER(B266)),C266="",NOT(ISNUMBER(F266)),H266="",L266=""),"Pflichtangaben fehlen",IF(COUNTIFS('Konten'!$A$7:$A$26,C266)&lt;&gt;1,"Konto nicht eindeutig",IF(J266&lt;&gt;"Ja","Zuordnung bestätigen",IF(OR(AND(H266="Einnahme",F266&lt;0),AND(H266="Ausgabe",F266&gt;0)),"Vorzeichen prüfen",IF(AND(H266="Umbuchung",OR(K266="",COUNTIFS($A$7:$A$1506,K266)&lt;&gt;1)),"Gegenbuchung fehlt",IF(AND(H266="Umbuchung",ROUND(SUMIFS($F$7:$F$1506,$A$7:$A$1506,K266)+F266,2)&lt;&gt;0),"Umbuchung abweichend",IF(OR(G266="",M266="",M266="offen",M266="teilbelegt",H266="Ungeklärt",H266="Bargeld"),"Beleg / Verwendung klären","vollständig erfasst")))))))))</x:f>
      </x:c>
    </x:row>
    <x:row r="267" ht="22" customHeight="1">
      <x:c r="A267" s="7"/>
      <x:c r="B267" s="8"/>
      <x:c r="C267" s="7"/>
      <x:c r="D267" s="7"/>
      <x:c r="E267" s="7"/>
      <x:c r="F267" s="20"/>
      <x:c r="G267" s="7"/>
      <x:c r="H267" s="7"/>
      <x:c r="I267" s="7"/>
      <x:c r="J267" s="7"/>
      <x:c r="K267" s="7"/>
      <x:c r="L267" s="7"/>
      <x:c r="M267" s="7"/>
      <x:c r="N267" s="7"/>
      <x:c r="O267" s="2" t="str">
        <x:f>IF(A267="","",IF(COUNTIFS($A$7:$A$1506,A267)&gt;1,"Buchung-ID doppelt",IF(OR(NOT(ISNUMBER(B267)),C267="",NOT(ISNUMBER(F267)),H267="",L267=""),"Pflichtangaben fehlen",IF(COUNTIFS('Konten'!$A$7:$A$26,C267)&lt;&gt;1,"Konto nicht eindeutig",IF(J267&lt;&gt;"Ja","Zuordnung bestätigen",IF(OR(AND(H267="Einnahme",F267&lt;0),AND(H267="Ausgabe",F267&gt;0)),"Vorzeichen prüfen",IF(AND(H267="Umbuchung",OR(K267="",COUNTIFS($A$7:$A$1506,K267)&lt;&gt;1)),"Gegenbuchung fehlt",IF(AND(H267="Umbuchung",ROUND(SUMIFS($F$7:$F$1506,$A$7:$A$1506,K267)+F267,2)&lt;&gt;0),"Umbuchung abweichend",IF(OR(G267="",M267="",M267="offen",M267="teilbelegt",H267="Ungeklärt",H267="Bargeld"),"Beleg / Verwendung klären","vollständig erfasst")))))))))</x:f>
      </x:c>
    </x:row>
    <x:row r="268" ht="22" customHeight="1">
      <x:c r="A268" s="7"/>
      <x:c r="B268" s="8"/>
      <x:c r="C268" s="7"/>
      <x:c r="D268" s="7"/>
      <x:c r="E268" s="7"/>
      <x:c r="F268" s="20"/>
      <x:c r="G268" s="7"/>
      <x:c r="H268" s="7"/>
      <x:c r="I268" s="7"/>
      <x:c r="J268" s="7"/>
      <x:c r="K268" s="7"/>
      <x:c r="L268" s="7"/>
      <x:c r="M268" s="7"/>
      <x:c r="N268" s="7"/>
      <x:c r="O268" s="2" t="str">
        <x:f>IF(A268="","",IF(COUNTIFS($A$7:$A$1506,A268)&gt;1,"Buchung-ID doppelt",IF(OR(NOT(ISNUMBER(B268)),C268="",NOT(ISNUMBER(F268)),H268="",L268=""),"Pflichtangaben fehlen",IF(COUNTIFS('Konten'!$A$7:$A$26,C268)&lt;&gt;1,"Konto nicht eindeutig",IF(J268&lt;&gt;"Ja","Zuordnung bestätigen",IF(OR(AND(H268="Einnahme",F268&lt;0),AND(H268="Ausgabe",F268&gt;0)),"Vorzeichen prüfen",IF(AND(H268="Umbuchung",OR(K268="",COUNTIFS($A$7:$A$1506,K268)&lt;&gt;1)),"Gegenbuchung fehlt",IF(AND(H268="Umbuchung",ROUND(SUMIFS($F$7:$F$1506,$A$7:$A$1506,K268)+F268,2)&lt;&gt;0),"Umbuchung abweichend",IF(OR(G268="",M268="",M268="offen",M268="teilbelegt",H268="Ungeklärt",H268="Bargeld"),"Beleg / Verwendung klären","vollständig erfasst")))))))))</x:f>
      </x:c>
    </x:row>
    <x:row r="269" ht="22" customHeight="1">
      <x:c r="A269" s="7"/>
      <x:c r="B269" s="8"/>
      <x:c r="C269" s="7"/>
      <x:c r="D269" s="7"/>
      <x:c r="E269" s="7"/>
      <x:c r="F269" s="20"/>
      <x:c r="G269" s="7"/>
      <x:c r="H269" s="7"/>
      <x:c r="I269" s="7"/>
      <x:c r="J269" s="7"/>
      <x:c r="K269" s="7"/>
      <x:c r="L269" s="7"/>
      <x:c r="M269" s="7"/>
      <x:c r="N269" s="7"/>
      <x:c r="O269" s="2" t="str">
        <x:f>IF(A269="","",IF(COUNTIFS($A$7:$A$1506,A269)&gt;1,"Buchung-ID doppelt",IF(OR(NOT(ISNUMBER(B269)),C269="",NOT(ISNUMBER(F269)),H269="",L269=""),"Pflichtangaben fehlen",IF(COUNTIFS('Konten'!$A$7:$A$26,C269)&lt;&gt;1,"Konto nicht eindeutig",IF(J269&lt;&gt;"Ja","Zuordnung bestätigen",IF(OR(AND(H269="Einnahme",F269&lt;0),AND(H269="Ausgabe",F269&gt;0)),"Vorzeichen prüfen",IF(AND(H269="Umbuchung",OR(K269="",COUNTIFS($A$7:$A$1506,K269)&lt;&gt;1)),"Gegenbuchung fehlt",IF(AND(H269="Umbuchung",ROUND(SUMIFS($F$7:$F$1506,$A$7:$A$1506,K269)+F269,2)&lt;&gt;0),"Umbuchung abweichend",IF(OR(G269="",M269="",M269="offen",M269="teilbelegt",H269="Ungeklärt",H269="Bargeld"),"Beleg / Verwendung klären","vollständig erfasst")))))))))</x:f>
      </x:c>
    </x:row>
    <x:row r="270" ht="22" customHeight="1">
      <x:c r="A270" s="7"/>
      <x:c r="B270" s="8"/>
      <x:c r="C270" s="7"/>
      <x:c r="D270" s="7"/>
      <x:c r="E270" s="7"/>
      <x:c r="F270" s="20"/>
      <x:c r="G270" s="7"/>
      <x:c r="H270" s="7"/>
      <x:c r="I270" s="7"/>
      <x:c r="J270" s="7"/>
      <x:c r="K270" s="7"/>
      <x:c r="L270" s="7"/>
      <x:c r="M270" s="7"/>
      <x:c r="N270" s="7"/>
      <x:c r="O270" s="2" t="str">
        <x:f>IF(A270="","",IF(COUNTIFS($A$7:$A$1506,A270)&gt;1,"Buchung-ID doppelt",IF(OR(NOT(ISNUMBER(B270)),C270="",NOT(ISNUMBER(F270)),H270="",L270=""),"Pflichtangaben fehlen",IF(COUNTIFS('Konten'!$A$7:$A$26,C270)&lt;&gt;1,"Konto nicht eindeutig",IF(J270&lt;&gt;"Ja","Zuordnung bestätigen",IF(OR(AND(H270="Einnahme",F270&lt;0),AND(H270="Ausgabe",F270&gt;0)),"Vorzeichen prüfen",IF(AND(H270="Umbuchung",OR(K270="",COUNTIFS($A$7:$A$1506,K270)&lt;&gt;1)),"Gegenbuchung fehlt",IF(AND(H270="Umbuchung",ROUND(SUMIFS($F$7:$F$1506,$A$7:$A$1506,K270)+F270,2)&lt;&gt;0),"Umbuchung abweichend",IF(OR(G270="",M270="",M270="offen",M270="teilbelegt",H270="Ungeklärt",H270="Bargeld"),"Beleg / Verwendung klären","vollständig erfasst")))))))))</x:f>
      </x:c>
    </x:row>
    <x:row r="271" ht="22" customHeight="1">
      <x:c r="A271" s="7"/>
      <x:c r="B271" s="8"/>
      <x:c r="C271" s="7"/>
      <x:c r="D271" s="7"/>
      <x:c r="E271" s="7"/>
      <x:c r="F271" s="20"/>
      <x:c r="G271" s="7"/>
      <x:c r="H271" s="7"/>
      <x:c r="I271" s="7"/>
      <x:c r="J271" s="7"/>
      <x:c r="K271" s="7"/>
      <x:c r="L271" s="7"/>
      <x:c r="M271" s="7"/>
      <x:c r="N271" s="7"/>
      <x:c r="O271" s="2" t="str">
        <x:f>IF(A271="","",IF(COUNTIFS($A$7:$A$1506,A271)&gt;1,"Buchung-ID doppelt",IF(OR(NOT(ISNUMBER(B271)),C271="",NOT(ISNUMBER(F271)),H271="",L271=""),"Pflichtangaben fehlen",IF(COUNTIFS('Konten'!$A$7:$A$26,C271)&lt;&gt;1,"Konto nicht eindeutig",IF(J271&lt;&gt;"Ja","Zuordnung bestätigen",IF(OR(AND(H271="Einnahme",F271&lt;0),AND(H271="Ausgabe",F271&gt;0)),"Vorzeichen prüfen",IF(AND(H271="Umbuchung",OR(K271="",COUNTIFS($A$7:$A$1506,K271)&lt;&gt;1)),"Gegenbuchung fehlt",IF(AND(H271="Umbuchung",ROUND(SUMIFS($F$7:$F$1506,$A$7:$A$1506,K271)+F271,2)&lt;&gt;0),"Umbuchung abweichend",IF(OR(G271="",M271="",M271="offen",M271="teilbelegt",H271="Ungeklärt",H271="Bargeld"),"Beleg / Verwendung klären","vollständig erfasst")))))))))</x:f>
      </x:c>
    </x:row>
    <x:row r="272" ht="22" customHeight="1">
      <x:c r="A272" s="7"/>
      <x:c r="B272" s="8"/>
      <x:c r="C272" s="7"/>
      <x:c r="D272" s="7"/>
      <x:c r="E272" s="7"/>
      <x:c r="F272" s="20"/>
      <x:c r="G272" s="7"/>
      <x:c r="H272" s="7"/>
      <x:c r="I272" s="7"/>
      <x:c r="J272" s="7"/>
      <x:c r="K272" s="7"/>
      <x:c r="L272" s="7"/>
      <x:c r="M272" s="7"/>
      <x:c r="N272" s="7"/>
      <x:c r="O272" s="2" t="str">
        <x:f>IF(A272="","",IF(COUNTIFS($A$7:$A$1506,A272)&gt;1,"Buchung-ID doppelt",IF(OR(NOT(ISNUMBER(B272)),C272="",NOT(ISNUMBER(F272)),H272="",L272=""),"Pflichtangaben fehlen",IF(COUNTIFS('Konten'!$A$7:$A$26,C272)&lt;&gt;1,"Konto nicht eindeutig",IF(J272&lt;&gt;"Ja","Zuordnung bestätigen",IF(OR(AND(H272="Einnahme",F272&lt;0),AND(H272="Ausgabe",F272&gt;0)),"Vorzeichen prüfen",IF(AND(H272="Umbuchung",OR(K272="",COUNTIFS($A$7:$A$1506,K272)&lt;&gt;1)),"Gegenbuchung fehlt",IF(AND(H272="Umbuchung",ROUND(SUMIFS($F$7:$F$1506,$A$7:$A$1506,K272)+F272,2)&lt;&gt;0),"Umbuchung abweichend",IF(OR(G272="",M272="",M272="offen",M272="teilbelegt",H272="Ungeklärt",H272="Bargeld"),"Beleg / Verwendung klären","vollständig erfasst")))))))))</x:f>
      </x:c>
    </x:row>
    <x:row r="273" ht="22" customHeight="1">
      <x:c r="A273" s="7"/>
      <x:c r="B273" s="8"/>
      <x:c r="C273" s="7"/>
      <x:c r="D273" s="7"/>
      <x:c r="E273" s="7"/>
      <x:c r="F273" s="20"/>
      <x:c r="G273" s="7"/>
      <x:c r="H273" s="7"/>
      <x:c r="I273" s="7"/>
      <x:c r="J273" s="7"/>
      <x:c r="K273" s="7"/>
      <x:c r="L273" s="7"/>
      <x:c r="M273" s="7"/>
      <x:c r="N273" s="7"/>
      <x:c r="O273" s="2" t="str">
        <x:f>IF(A273="","",IF(COUNTIFS($A$7:$A$1506,A273)&gt;1,"Buchung-ID doppelt",IF(OR(NOT(ISNUMBER(B273)),C273="",NOT(ISNUMBER(F273)),H273="",L273=""),"Pflichtangaben fehlen",IF(COUNTIFS('Konten'!$A$7:$A$26,C273)&lt;&gt;1,"Konto nicht eindeutig",IF(J273&lt;&gt;"Ja","Zuordnung bestätigen",IF(OR(AND(H273="Einnahme",F273&lt;0),AND(H273="Ausgabe",F273&gt;0)),"Vorzeichen prüfen",IF(AND(H273="Umbuchung",OR(K273="",COUNTIFS($A$7:$A$1506,K273)&lt;&gt;1)),"Gegenbuchung fehlt",IF(AND(H273="Umbuchung",ROUND(SUMIFS($F$7:$F$1506,$A$7:$A$1506,K273)+F273,2)&lt;&gt;0),"Umbuchung abweichend",IF(OR(G273="",M273="",M273="offen",M273="teilbelegt",H273="Ungeklärt",H273="Bargeld"),"Beleg / Verwendung klären","vollständig erfasst")))))))))</x:f>
      </x:c>
    </x:row>
    <x:row r="274" ht="22" customHeight="1">
      <x:c r="A274" s="7"/>
      <x:c r="B274" s="8"/>
      <x:c r="C274" s="7"/>
      <x:c r="D274" s="7"/>
      <x:c r="E274" s="7"/>
      <x:c r="F274" s="20"/>
      <x:c r="G274" s="7"/>
      <x:c r="H274" s="7"/>
      <x:c r="I274" s="7"/>
      <x:c r="J274" s="7"/>
      <x:c r="K274" s="7"/>
      <x:c r="L274" s="7"/>
      <x:c r="M274" s="7"/>
      <x:c r="N274" s="7"/>
      <x:c r="O274" s="2" t="str">
        <x:f>IF(A274="","",IF(COUNTIFS($A$7:$A$1506,A274)&gt;1,"Buchung-ID doppelt",IF(OR(NOT(ISNUMBER(B274)),C274="",NOT(ISNUMBER(F274)),H274="",L274=""),"Pflichtangaben fehlen",IF(COUNTIFS('Konten'!$A$7:$A$26,C274)&lt;&gt;1,"Konto nicht eindeutig",IF(J274&lt;&gt;"Ja","Zuordnung bestätigen",IF(OR(AND(H274="Einnahme",F274&lt;0),AND(H274="Ausgabe",F274&gt;0)),"Vorzeichen prüfen",IF(AND(H274="Umbuchung",OR(K274="",COUNTIFS($A$7:$A$1506,K274)&lt;&gt;1)),"Gegenbuchung fehlt",IF(AND(H274="Umbuchung",ROUND(SUMIFS($F$7:$F$1506,$A$7:$A$1506,K274)+F274,2)&lt;&gt;0),"Umbuchung abweichend",IF(OR(G274="",M274="",M274="offen",M274="teilbelegt",H274="Ungeklärt",H274="Bargeld"),"Beleg / Verwendung klären","vollständig erfasst")))))))))</x:f>
      </x:c>
    </x:row>
    <x:row r="275" ht="22" customHeight="1">
      <x:c r="A275" s="7"/>
      <x:c r="B275" s="8"/>
      <x:c r="C275" s="7"/>
      <x:c r="D275" s="7"/>
      <x:c r="E275" s="7"/>
      <x:c r="F275" s="20"/>
      <x:c r="G275" s="7"/>
      <x:c r="H275" s="7"/>
      <x:c r="I275" s="7"/>
      <x:c r="J275" s="7"/>
      <x:c r="K275" s="7"/>
      <x:c r="L275" s="7"/>
      <x:c r="M275" s="7"/>
      <x:c r="N275" s="7"/>
      <x:c r="O275" s="2" t="str">
        <x:f>IF(A275="","",IF(COUNTIFS($A$7:$A$1506,A275)&gt;1,"Buchung-ID doppelt",IF(OR(NOT(ISNUMBER(B275)),C275="",NOT(ISNUMBER(F275)),H275="",L275=""),"Pflichtangaben fehlen",IF(COUNTIFS('Konten'!$A$7:$A$26,C275)&lt;&gt;1,"Konto nicht eindeutig",IF(J275&lt;&gt;"Ja","Zuordnung bestätigen",IF(OR(AND(H275="Einnahme",F275&lt;0),AND(H275="Ausgabe",F275&gt;0)),"Vorzeichen prüfen",IF(AND(H275="Umbuchung",OR(K275="",COUNTIFS($A$7:$A$1506,K275)&lt;&gt;1)),"Gegenbuchung fehlt",IF(AND(H275="Umbuchung",ROUND(SUMIFS($F$7:$F$1506,$A$7:$A$1506,K275)+F275,2)&lt;&gt;0),"Umbuchung abweichend",IF(OR(G275="",M275="",M275="offen",M275="teilbelegt",H275="Ungeklärt",H275="Bargeld"),"Beleg / Verwendung klären","vollständig erfasst")))))))))</x:f>
      </x:c>
    </x:row>
    <x:row r="276" ht="22" customHeight="1">
      <x:c r="A276" s="7"/>
      <x:c r="B276" s="8"/>
      <x:c r="C276" s="7"/>
      <x:c r="D276" s="7"/>
      <x:c r="E276" s="7"/>
      <x:c r="F276" s="20"/>
      <x:c r="G276" s="7"/>
      <x:c r="H276" s="7"/>
      <x:c r="I276" s="7"/>
      <x:c r="J276" s="7"/>
      <x:c r="K276" s="7"/>
      <x:c r="L276" s="7"/>
      <x:c r="M276" s="7"/>
      <x:c r="N276" s="7"/>
      <x:c r="O276" s="2" t="str">
        <x:f>IF(A276="","",IF(COUNTIFS($A$7:$A$1506,A276)&gt;1,"Buchung-ID doppelt",IF(OR(NOT(ISNUMBER(B276)),C276="",NOT(ISNUMBER(F276)),H276="",L276=""),"Pflichtangaben fehlen",IF(COUNTIFS('Konten'!$A$7:$A$26,C276)&lt;&gt;1,"Konto nicht eindeutig",IF(J276&lt;&gt;"Ja","Zuordnung bestätigen",IF(OR(AND(H276="Einnahme",F276&lt;0),AND(H276="Ausgabe",F276&gt;0)),"Vorzeichen prüfen",IF(AND(H276="Umbuchung",OR(K276="",COUNTIFS($A$7:$A$1506,K276)&lt;&gt;1)),"Gegenbuchung fehlt",IF(AND(H276="Umbuchung",ROUND(SUMIFS($F$7:$F$1506,$A$7:$A$1506,K276)+F276,2)&lt;&gt;0),"Umbuchung abweichend",IF(OR(G276="",M276="",M276="offen",M276="teilbelegt",H276="Ungeklärt",H276="Bargeld"),"Beleg / Verwendung klären","vollständig erfasst")))))))))</x:f>
      </x:c>
    </x:row>
    <x:row r="277" ht="22" customHeight="1">
      <x:c r="A277" s="7"/>
      <x:c r="B277" s="8"/>
      <x:c r="C277" s="7"/>
      <x:c r="D277" s="7"/>
      <x:c r="E277" s="7"/>
      <x:c r="F277" s="20"/>
      <x:c r="G277" s="7"/>
      <x:c r="H277" s="7"/>
      <x:c r="I277" s="7"/>
      <x:c r="J277" s="7"/>
      <x:c r="K277" s="7"/>
      <x:c r="L277" s="7"/>
      <x:c r="M277" s="7"/>
      <x:c r="N277" s="7"/>
      <x:c r="O277" s="2" t="str">
        <x:f>IF(A277="","",IF(COUNTIFS($A$7:$A$1506,A277)&gt;1,"Buchung-ID doppelt",IF(OR(NOT(ISNUMBER(B277)),C277="",NOT(ISNUMBER(F277)),H277="",L277=""),"Pflichtangaben fehlen",IF(COUNTIFS('Konten'!$A$7:$A$26,C277)&lt;&gt;1,"Konto nicht eindeutig",IF(J277&lt;&gt;"Ja","Zuordnung bestätigen",IF(OR(AND(H277="Einnahme",F277&lt;0),AND(H277="Ausgabe",F277&gt;0)),"Vorzeichen prüfen",IF(AND(H277="Umbuchung",OR(K277="",COUNTIFS($A$7:$A$1506,K277)&lt;&gt;1)),"Gegenbuchung fehlt",IF(AND(H277="Umbuchung",ROUND(SUMIFS($F$7:$F$1506,$A$7:$A$1506,K277)+F277,2)&lt;&gt;0),"Umbuchung abweichend",IF(OR(G277="",M277="",M277="offen",M277="teilbelegt",H277="Ungeklärt",H277="Bargeld"),"Beleg / Verwendung klären","vollständig erfasst")))))))))</x:f>
      </x:c>
    </x:row>
    <x:row r="278" ht="22" customHeight="1">
      <x:c r="A278" s="7"/>
      <x:c r="B278" s="8"/>
      <x:c r="C278" s="7"/>
      <x:c r="D278" s="7"/>
      <x:c r="E278" s="7"/>
      <x:c r="F278" s="20"/>
      <x:c r="G278" s="7"/>
      <x:c r="H278" s="7"/>
      <x:c r="I278" s="7"/>
      <x:c r="J278" s="7"/>
      <x:c r="K278" s="7"/>
      <x:c r="L278" s="7"/>
      <x:c r="M278" s="7"/>
      <x:c r="N278" s="7"/>
      <x:c r="O278" s="2" t="str">
        <x:f>IF(A278="","",IF(COUNTIFS($A$7:$A$1506,A278)&gt;1,"Buchung-ID doppelt",IF(OR(NOT(ISNUMBER(B278)),C278="",NOT(ISNUMBER(F278)),H278="",L278=""),"Pflichtangaben fehlen",IF(COUNTIFS('Konten'!$A$7:$A$26,C278)&lt;&gt;1,"Konto nicht eindeutig",IF(J278&lt;&gt;"Ja","Zuordnung bestätigen",IF(OR(AND(H278="Einnahme",F278&lt;0),AND(H278="Ausgabe",F278&gt;0)),"Vorzeichen prüfen",IF(AND(H278="Umbuchung",OR(K278="",COUNTIFS($A$7:$A$1506,K278)&lt;&gt;1)),"Gegenbuchung fehlt",IF(AND(H278="Umbuchung",ROUND(SUMIFS($F$7:$F$1506,$A$7:$A$1506,K278)+F278,2)&lt;&gt;0),"Umbuchung abweichend",IF(OR(G278="",M278="",M278="offen",M278="teilbelegt",H278="Ungeklärt",H278="Bargeld"),"Beleg / Verwendung klären","vollständig erfasst")))))))))</x:f>
      </x:c>
    </x:row>
    <x:row r="279" ht="22" customHeight="1">
      <x:c r="A279" s="7"/>
      <x:c r="B279" s="8"/>
      <x:c r="C279" s="7"/>
      <x:c r="D279" s="7"/>
      <x:c r="E279" s="7"/>
      <x:c r="F279" s="20"/>
      <x:c r="G279" s="7"/>
      <x:c r="H279" s="7"/>
      <x:c r="I279" s="7"/>
      <x:c r="J279" s="7"/>
      <x:c r="K279" s="7"/>
      <x:c r="L279" s="7"/>
      <x:c r="M279" s="7"/>
      <x:c r="N279" s="7"/>
      <x:c r="O279" s="2" t="str">
        <x:f>IF(A279="","",IF(COUNTIFS($A$7:$A$1506,A279)&gt;1,"Buchung-ID doppelt",IF(OR(NOT(ISNUMBER(B279)),C279="",NOT(ISNUMBER(F279)),H279="",L279=""),"Pflichtangaben fehlen",IF(COUNTIFS('Konten'!$A$7:$A$26,C279)&lt;&gt;1,"Konto nicht eindeutig",IF(J279&lt;&gt;"Ja","Zuordnung bestätigen",IF(OR(AND(H279="Einnahme",F279&lt;0),AND(H279="Ausgabe",F279&gt;0)),"Vorzeichen prüfen",IF(AND(H279="Umbuchung",OR(K279="",COUNTIFS($A$7:$A$1506,K279)&lt;&gt;1)),"Gegenbuchung fehlt",IF(AND(H279="Umbuchung",ROUND(SUMIFS($F$7:$F$1506,$A$7:$A$1506,K279)+F279,2)&lt;&gt;0),"Umbuchung abweichend",IF(OR(G279="",M279="",M279="offen",M279="teilbelegt",H279="Ungeklärt",H279="Bargeld"),"Beleg / Verwendung klären","vollständig erfasst")))))))))</x:f>
      </x:c>
    </x:row>
    <x:row r="280" ht="22" customHeight="1">
      <x:c r="A280" s="7"/>
      <x:c r="B280" s="8"/>
      <x:c r="C280" s="7"/>
      <x:c r="D280" s="7"/>
      <x:c r="E280" s="7"/>
      <x:c r="F280" s="20"/>
      <x:c r="G280" s="7"/>
      <x:c r="H280" s="7"/>
      <x:c r="I280" s="7"/>
      <x:c r="J280" s="7"/>
      <x:c r="K280" s="7"/>
      <x:c r="L280" s="7"/>
      <x:c r="M280" s="7"/>
      <x:c r="N280" s="7"/>
      <x:c r="O280" s="2" t="str">
        <x:f>IF(A280="","",IF(COUNTIFS($A$7:$A$1506,A280)&gt;1,"Buchung-ID doppelt",IF(OR(NOT(ISNUMBER(B280)),C280="",NOT(ISNUMBER(F280)),H280="",L280=""),"Pflichtangaben fehlen",IF(COUNTIFS('Konten'!$A$7:$A$26,C280)&lt;&gt;1,"Konto nicht eindeutig",IF(J280&lt;&gt;"Ja","Zuordnung bestätigen",IF(OR(AND(H280="Einnahme",F280&lt;0),AND(H280="Ausgabe",F280&gt;0)),"Vorzeichen prüfen",IF(AND(H280="Umbuchung",OR(K280="",COUNTIFS($A$7:$A$1506,K280)&lt;&gt;1)),"Gegenbuchung fehlt",IF(AND(H280="Umbuchung",ROUND(SUMIFS($F$7:$F$1506,$A$7:$A$1506,K280)+F280,2)&lt;&gt;0),"Umbuchung abweichend",IF(OR(G280="",M280="",M280="offen",M280="teilbelegt",H280="Ungeklärt",H280="Bargeld"),"Beleg / Verwendung klären","vollständig erfasst")))))))))</x:f>
      </x:c>
    </x:row>
    <x:row r="281" ht="22" customHeight="1">
      <x:c r="A281" s="7"/>
      <x:c r="B281" s="8"/>
      <x:c r="C281" s="7"/>
      <x:c r="D281" s="7"/>
      <x:c r="E281" s="7"/>
      <x:c r="F281" s="20"/>
      <x:c r="G281" s="7"/>
      <x:c r="H281" s="7"/>
      <x:c r="I281" s="7"/>
      <x:c r="J281" s="7"/>
      <x:c r="K281" s="7"/>
      <x:c r="L281" s="7"/>
      <x:c r="M281" s="7"/>
      <x:c r="N281" s="7"/>
      <x:c r="O281" s="2" t="str">
        <x:f>IF(A281="","",IF(COUNTIFS($A$7:$A$1506,A281)&gt;1,"Buchung-ID doppelt",IF(OR(NOT(ISNUMBER(B281)),C281="",NOT(ISNUMBER(F281)),H281="",L281=""),"Pflichtangaben fehlen",IF(COUNTIFS('Konten'!$A$7:$A$26,C281)&lt;&gt;1,"Konto nicht eindeutig",IF(J281&lt;&gt;"Ja","Zuordnung bestätigen",IF(OR(AND(H281="Einnahme",F281&lt;0),AND(H281="Ausgabe",F281&gt;0)),"Vorzeichen prüfen",IF(AND(H281="Umbuchung",OR(K281="",COUNTIFS($A$7:$A$1506,K281)&lt;&gt;1)),"Gegenbuchung fehlt",IF(AND(H281="Umbuchung",ROUND(SUMIFS($F$7:$F$1506,$A$7:$A$1506,K281)+F281,2)&lt;&gt;0),"Umbuchung abweichend",IF(OR(G281="",M281="",M281="offen",M281="teilbelegt",H281="Ungeklärt",H281="Bargeld"),"Beleg / Verwendung klären","vollständig erfasst")))))))))</x:f>
      </x:c>
    </x:row>
    <x:row r="282" ht="22" customHeight="1">
      <x:c r="A282" s="7"/>
      <x:c r="B282" s="8"/>
      <x:c r="C282" s="7"/>
      <x:c r="D282" s="7"/>
      <x:c r="E282" s="7"/>
      <x:c r="F282" s="20"/>
      <x:c r="G282" s="7"/>
      <x:c r="H282" s="7"/>
      <x:c r="I282" s="7"/>
      <x:c r="J282" s="7"/>
      <x:c r="K282" s="7"/>
      <x:c r="L282" s="7"/>
      <x:c r="M282" s="7"/>
      <x:c r="N282" s="7"/>
      <x:c r="O282" s="2" t="str">
        <x:f>IF(A282="","",IF(COUNTIFS($A$7:$A$1506,A282)&gt;1,"Buchung-ID doppelt",IF(OR(NOT(ISNUMBER(B282)),C282="",NOT(ISNUMBER(F282)),H282="",L282=""),"Pflichtangaben fehlen",IF(COUNTIFS('Konten'!$A$7:$A$26,C282)&lt;&gt;1,"Konto nicht eindeutig",IF(J282&lt;&gt;"Ja","Zuordnung bestätigen",IF(OR(AND(H282="Einnahme",F282&lt;0),AND(H282="Ausgabe",F282&gt;0)),"Vorzeichen prüfen",IF(AND(H282="Umbuchung",OR(K282="",COUNTIFS($A$7:$A$1506,K282)&lt;&gt;1)),"Gegenbuchung fehlt",IF(AND(H282="Umbuchung",ROUND(SUMIFS($F$7:$F$1506,$A$7:$A$1506,K282)+F282,2)&lt;&gt;0),"Umbuchung abweichend",IF(OR(G282="",M282="",M282="offen",M282="teilbelegt",H282="Ungeklärt",H282="Bargeld"),"Beleg / Verwendung klären","vollständig erfasst")))))))))</x:f>
      </x:c>
    </x:row>
    <x:row r="283" ht="22" customHeight="1">
      <x:c r="A283" s="7"/>
      <x:c r="B283" s="8"/>
      <x:c r="C283" s="7"/>
      <x:c r="D283" s="7"/>
      <x:c r="E283" s="7"/>
      <x:c r="F283" s="20"/>
      <x:c r="G283" s="7"/>
      <x:c r="H283" s="7"/>
      <x:c r="I283" s="7"/>
      <x:c r="J283" s="7"/>
      <x:c r="K283" s="7"/>
      <x:c r="L283" s="7"/>
      <x:c r="M283" s="7"/>
      <x:c r="N283" s="7"/>
      <x:c r="O283" s="2" t="str">
        <x:f>IF(A283="","",IF(COUNTIFS($A$7:$A$1506,A283)&gt;1,"Buchung-ID doppelt",IF(OR(NOT(ISNUMBER(B283)),C283="",NOT(ISNUMBER(F283)),H283="",L283=""),"Pflichtangaben fehlen",IF(COUNTIFS('Konten'!$A$7:$A$26,C283)&lt;&gt;1,"Konto nicht eindeutig",IF(J283&lt;&gt;"Ja","Zuordnung bestätigen",IF(OR(AND(H283="Einnahme",F283&lt;0),AND(H283="Ausgabe",F283&gt;0)),"Vorzeichen prüfen",IF(AND(H283="Umbuchung",OR(K283="",COUNTIFS($A$7:$A$1506,K283)&lt;&gt;1)),"Gegenbuchung fehlt",IF(AND(H283="Umbuchung",ROUND(SUMIFS($F$7:$F$1506,$A$7:$A$1506,K283)+F283,2)&lt;&gt;0),"Umbuchung abweichend",IF(OR(G283="",M283="",M283="offen",M283="teilbelegt",H283="Ungeklärt",H283="Bargeld"),"Beleg / Verwendung klären","vollständig erfasst")))))))))</x:f>
      </x:c>
    </x:row>
    <x:row r="284" ht="22" customHeight="1">
      <x:c r="A284" s="7"/>
      <x:c r="B284" s="8"/>
      <x:c r="C284" s="7"/>
      <x:c r="D284" s="7"/>
      <x:c r="E284" s="7"/>
      <x:c r="F284" s="20"/>
      <x:c r="G284" s="7"/>
      <x:c r="H284" s="7"/>
      <x:c r="I284" s="7"/>
      <x:c r="J284" s="7"/>
      <x:c r="K284" s="7"/>
      <x:c r="L284" s="7"/>
      <x:c r="M284" s="7"/>
      <x:c r="N284" s="7"/>
      <x:c r="O284" s="2" t="str">
        <x:f>IF(A284="","",IF(COUNTIFS($A$7:$A$1506,A284)&gt;1,"Buchung-ID doppelt",IF(OR(NOT(ISNUMBER(B284)),C284="",NOT(ISNUMBER(F284)),H284="",L284=""),"Pflichtangaben fehlen",IF(COUNTIFS('Konten'!$A$7:$A$26,C284)&lt;&gt;1,"Konto nicht eindeutig",IF(J284&lt;&gt;"Ja","Zuordnung bestätigen",IF(OR(AND(H284="Einnahme",F284&lt;0),AND(H284="Ausgabe",F284&gt;0)),"Vorzeichen prüfen",IF(AND(H284="Umbuchung",OR(K284="",COUNTIFS($A$7:$A$1506,K284)&lt;&gt;1)),"Gegenbuchung fehlt",IF(AND(H284="Umbuchung",ROUND(SUMIFS($F$7:$F$1506,$A$7:$A$1506,K284)+F284,2)&lt;&gt;0),"Umbuchung abweichend",IF(OR(G284="",M284="",M284="offen",M284="teilbelegt",H284="Ungeklärt",H284="Bargeld"),"Beleg / Verwendung klären","vollständig erfasst")))))))))</x:f>
      </x:c>
    </x:row>
    <x:row r="285" ht="22" customHeight="1">
      <x:c r="A285" s="7"/>
      <x:c r="B285" s="8"/>
      <x:c r="C285" s="7"/>
      <x:c r="D285" s="7"/>
      <x:c r="E285" s="7"/>
      <x:c r="F285" s="20"/>
      <x:c r="G285" s="7"/>
      <x:c r="H285" s="7"/>
      <x:c r="I285" s="7"/>
      <x:c r="J285" s="7"/>
      <x:c r="K285" s="7"/>
      <x:c r="L285" s="7"/>
      <x:c r="M285" s="7"/>
      <x:c r="N285" s="7"/>
      <x:c r="O285" s="2" t="str">
        <x:f>IF(A285="","",IF(COUNTIFS($A$7:$A$1506,A285)&gt;1,"Buchung-ID doppelt",IF(OR(NOT(ISNUMBER(B285)),C285="",NOT(ISNUMBER(F285)),H285="",L285=""),"Pflichtangaben fehlen",IF(COUNTIFS('Konten'!$A$7:$A$26,C285)&lt;&gt;1,"Konto nicht eindeutig",IF(J285&lt;&gt;"Ja","Zuordnung bestätigen",IF(OR(AND(H285="Einnahme",F285&lt;0),AND(H285="Ausgabe",F285&gt;0)),"Vorzeichen prüfen",IF(AND(H285="Umbuchung",OR(K285="",COUNTIFS($A$7:$A$1506,K285)&lt;&gt;1)),"Gegenbuchung fehlt",IF(AND(H285="Umbuchung",ROUND(SUMIFS($F$7:$F$1506,$A$7:$A$1506,K285)+F285,2)&lt;&gt;0),"Umbuchung abweichend",IF(OR(G285="",M285="",M285="offen",M285="teilbelegt",H285="Ungeklärt",H285="Bargeld"),"Beleg / Verwendung klären","vollständig erfasst")))))))))</x:f>
      </x:c>
    </x:row>
    <x:row r="286" ht="22" customHeight="1">
      <x:c r="A286" s="7"/>
      <x:c r="B286" s="8"/>
      <x:c r="C286" s="7"/>
      <x:c r="D286" s="7"/>
      <x:c r="E286" s="7"/>
      <x:c r="F286" s="20"/>
      <x:c r="G286" s="7"/>
      <x:c r="H286" s="7"/>
      <x:c r="I286" s="7"/>
      <x:c r="J286" s="7"/>
      <x:c r="K286" s="7"/>
      <x:c r="L286" s="7"/>
      <x:c r="M286" s="7"/>
      <x:c r="N286" s="7"/>
      <x:c r="O286" s="2" t="str">
        <x:f>IF(A286="","",IF(COUNTIFS($A$7:$A$1506,A286)&gt;1,"Buchung-ID doppelt",IF(OR(NOT(ISNUMBER(B286)),C286="",NOT(ISNUMBER(F286)),H286="",L286=""),"Pflichtangaben fehlen",IF(COUNTIFS('Konten'!$A$7:$A$26,C286)&lt;&gt;1,"Konto nicht eindeutig",IF(J286&lt;&gt;"Ja","Zuordnung bestätigen",IF(OR(AND(H286="Einnahme",F286&lt;0),AND(H286="Ausgabe",F286&gt;0)),"Vorzeichen prüfen",IF(AND(H286="Umbuchung",OR(K286="",COUNTIFS($A$7:$A$1506,K286)&lt;&gt;1)),"Gegenbuchung fehlt",IF(AND(H286="Umbuchung",ROUND(SUMIFS($F$7:$F$1506,$A$7:$A$1506,K286)+F286,2)&lt;&gt;0),"Umbuchung abweichend",IF(OR(G286="",M286="",M286="offen",M286="teilbelegt",H286="Ungeklärt",H286="Bargeld"),"Beleg / Verwendung klären","vollständig erfasst")))))))))</x:f>
      </x:c>
    </x:row>
    <x:row r="287" ht="22" customHeight="1">
      <x:c r="A287" s="7"/>
      <x:c r="B287" s="8"/>
      <x:c r="C287" s="7"/>
      <x:c r="D287" s="7"/>
      <x:c r="E287" s="7"/>
      <x:c r="F287" s="20"/>
      <x:c r="G287" s="7"/>
      <x:c r="H287" s="7"/>
      <x:c r="I287" s="7"/>
      <x:c r="J287" s="7"/>
      <x:c r="K287" s="7"/>
      <x:c r="L287" s="7"/>
      <x:c r="M287" s="7"/>
      <x:c r="N287" s="7"/>
      <x:c r="O287" s="2" t="str">
        <x:f>IF(A287="","",IF(COUNTIFS($A$7:$A$1506,A287)&gt;1,"Buchung-ID doppelt",IF(OR(NOT(ISNUMBER(B287)),C287="",NOT(ISNUMBER(F287)),H287="",L287=""),"Pflichtangaben fehlen",IF(COUNTIFS('Konten'!$A$7:$A$26,C287)&lt;&gt;1,"Konto nicht eindeutig",IF(J287&lt;&gt;"Ja","Zuordnung bestätigen",IF(OR(AND(H287="Einnahme",F287&lt;0),AND(H287="Ausgabe",F287&gt;0)),"Vorzeichen prüfen",IF(AND(H287="Umbuchung",OR(K287="",COUNTIFS($A$7:$A$1506,K287)&lt;&gt;1)),"Gegenbuchung fehlt",IF(AND(H287="Umbuchung",ROUND(SUMIFS($F$7:$F$1506,$A$7:$A$1506,K287)+F287,2)&lt;&gt;0),"Umbuchung abweichend",IF(OR(G287="",M287="",M287="offen",M287="teilbelegt",H287="Ungeklärt",H287="Bargeld"),"Beleg / Verwendung klären","vollständig erfasst")))))))))</x:f>
      </x:c>
    </x:row>
    <x:row r="288" ht="22" customHeight="1">
      <x:c r="A288" s="7"/>
      <x:c r="B288" s="8"/>
      <x:c r="C288" s="7"/>
      <x:c r="D288" s="7"/>
      <x:c r="E288" s="7"/>
      <x:c r="F288" s="20"/>
      <x:c r="G288" s="7"/>
      <x:c r="H288" s="7"/>
      <x:c r="I288" s="7"/>
      <x:c r="J288" s="7"/>
      <x:c r="K288" s="7"/>
      <x:c r="L288" s="7"/>
      <x:c r="M288" s="7"/>
      <x:c r="N288" s="7"/>
      <x:c r="O288" s="2" t="str">
        <x:f>IF(A288="","",IF(COUNTIFS($A$7:$A$1506,A288)&gt;1,"Buchung-ID doppelt",IF(OR(NOT(ISNUMBER(B288)),C288="",NOT(ISNUMBER(F288)),H288="",L288=""),"Pflichtangaben fehlen",IF(COUNTIFS('Konten'!$A$7:$A$26,C288)&lt;&gt;1,"Konto nicht eindeutig",IF(J288&lt;&gt;"Ja","Zuordnung bestätigen",IF(OR(AND(H288="Einnahme",F288&lt;0),AND(H288="Ausgabe",F288&gt;0)),"Vorzeichen prüfen",IF(AND(H288="Umbuchung",OR(K288="",COUNTIFS($A$7:$A$1506,K288)&lt;&gt;1)),"Gegenbuchung fehlt",IF(AND(H288="Umbuchung",ROUND(SUMIFS($F$7:$F$1506,$A$7:$A$1506,K288)+F288,2)&lt;&gt;0),"Umbuchung abweichend",IF(OR(G288="",M288="",M288="offen",M288="teilbelegt",H288="Ungeklärt",H288="Bargeld"),"Beleg / Verwendung klären","vollständig erfasst")))))))))</x:f>
      </x:c>
    </x:row>
    <x:row r="289" ht="22" customHeight="1">
      <x:c r="A289" s="7"/>
      <x:c r="B289" s="8"/>
      <x:c r="C289" s="7"/>
      <x:c r="D289" s="7"/>
      <x:c r="E289" s="7"/>
      <x:c r="F289" s="20"/>
      <x:c r="G289" s="7"/>
      <x:c r="H289" s="7"/>
      <x:c r="I289" s="7"/>
      <x:c r="J289" s="7"/>
      <x:c r="K289" s="7"/>
      <x:c r="L289" s="7"/>
      <x:c r="M289" s="7"/>
      <x:c r="N289" s="7"/>
      <x:c r="O289" s="2" t="str">
        <x:f>IF(A289="","",IF(COUNTIFS($A$7:$A$1506,A289)&gt;1,"Buchung-ID doppelt",IF(OR(NOT(ISNUMBER(B289)),C289="",NOT(ISNUMBER(F289)),H289="",L289=""),"Pflichtangaben fehlen",IF(COUNTIFS('Konten'!$A$7:$A$26,C289)&lt;&gt;1,"Konto nicht eindeutig",IF(J289&lt;&gt;"Ja","Zuordnung bestätigen",IF(OR(AND(H289="Einnahme",F289&lt;0),AND(H289="Ausgabe",F289&gt;0)),"Vorzeichen prüfen",IF(AND(H289="Umbuchung",OR(K289="",COUNTIFS($A$7:$A$1506,K289)&lt;&gt;1)),"Gegenbuchung fehlt",IF(AND(H289="Umbuchung",ROUND(SUMIFS($F$7:$F$1506,$A$7:$A$1506,K289)+F289,2)&lt;&gt;0),"Umbuchung abweichend",IF(OR(G289="",M289="",M289="offen",M289="teilbelegt",H289="Ungeklärt",H289="Bargeld"),"Beleg / Verwendung klären","vollständig erfasst")))))))))</x:f>
      </x:c>
    </x:row>
    <x:row r="290" ht="22" customHeight="1">
      <x:c r="A290" s="7"/>
      <x:c r="B290" s="8"/>
      <x:c r="C290" s="7"/>
      <x:c r="D290" s="7"/>
      <x:c r="E290" s="7"/>
      <x:c r="F290" s="20"/>
      <x:c r="G290" s="7"/>
      <x:c r="H290" s="7"/>
      <x:c r="I290" s="7"/>
      <x:c r="J290" s="7"/>
      <x:c r="K290" s="7"/>
      <x:c r="L290" s="7"/>
      <x:c r="M290" s="7"/>
      <x:c r="N290" s="7"/>
      <x:c r="O290" s="2" t="str">
        <x:f>IF(A290="","",IF(COUNTIFS($A$7:$A$1506,A290)&gt;1,"Buchung-ID doppelt",IF(OR(NOT(ISNUMBER(B290)),C290="",NOT(ISNUMBER(F290)),H290="",L290=""),"Pflichtangaben fehlen",IF(COUNTIFS('Konten'!$A$7:$A$26,C290)&lt;&gt;1,"Konto nicht eindeutig",IF(J290&lt;&gt;"Ja","Zuordnung bestätigen",IF(OR(AND(H290="Einnahme",F290&lt;0),AND(H290="Ausgabe",F290&gt;0)),"Vorzeichen prüfen",IF(AND(H290="Umbuchung",OR(K290="",COUNTIFS($A$7:$A$1506,K290)&lt;&gt;1)),"Gegenbuchung fehlt",IF(AND(H290="Umbuchung",ROUND(SUMIFS($F$7:$F$1506,$A$7:$A$1506,K290)+F290,2)&lt;&gt;0),"Umbuchung abweichend",IF(OR(G290="",M290="",M290="offen",M290="teilbelegt",H290="Ungeklärt",H290="Bargeld"),"Beleg / Verwendung klären","vollständig erfasst")))))))))</x:f>
      </x:c>
    </x:row>
    <x:row r="291" ht="22" customHeight="1">
      <x:c r="A291" s="7"/>
      <x:c r="B291" s="8"/>
      <x:c r="C291" s="7"/>
      <x:c r="D291" s="7"/>
      <x:c r="E291" s="7"/>
      <x:c r="F291" s="20"/>
      <x:c r="G291" s="7"/>
      <x:c r="H291" s="7"/>
      <x:c r="I291" s="7"/>
      <x:c r="J291" s="7"/>
      <x:c r="K291" s="7"/>
      <x:c r="L291" s="7"/>
      <x:c r="M291" s="7"/>
      <x:c r="N291" s="7"/>
      <x:c r="O291" s="2" t="str">
        <x:f>IF(A291="","",IF(COUNTIFS($A$7:$A$1506,A291)&gt;1,"Buchung-ID doppelt",IF(OR(NOT(ISNUMBER(B291)),C291="",NOT(ISNUMBER(F291)),H291="",L291=""),"Pflichtangaben fehlen",IF(COUNTIFS('Konten'!$A$7:$A$26,C291)&lt;&gt;1,"Konto nicht eindeutig",IF(J291&lt;&gt;"Ja","Zuordnung bestätigen",IF(OR(AND(H291="Einnahme",F291&lt;0),AND(H291="Ausgabe",F291&gt;0)),"Vorzeichen prüfen",IF(AND(H291="Umbuchung",OR(K291="",COUNTIFS($A$7:$A$1506,K291)&lt;&gt;1)),"Gegenbuchung fehlt",IF(AND(H291="Umbuchung",ROUND(SUMIFS($F$7:$F$1506,$A$7:$A$1506,K291)+F291,2)&lt;&gt;0),"Umbuchung abweichend",IF(OR(G291="",M291="",M291="offen",M291="teilbelegt",H291="Ungeklärt",H291="Bargeld"),"Beleg / Verwendung klären","vollständig erfasst")))))))))</x:f>
      </x:c>
    </x:row>
    <x:row r="292" ht="22" customHeight="1">
      <x:c r="A292" s="7"/>
      <x:c r="B292" s="8"/>
      <x:c r="C292" s="7"/>
      <x:c r="D292" s="7"/>
      <x:c r="E292" s="7"/>
      <x:c r="F292" s="20"/>
      <x:c r="G292" s="7"/>
      <x:c r="H292" s="7"/>
      <x:c r="I292" s="7"/>
      <x:c r="J292" s="7"/>
      <x:c r="K292" s="7"/>
      <x:c r="L292" s="7"/>
      <x:c r="M292" s="7"/>
      <x:c r="N292" s="7"/>
      <x:c r="O292" s="2" t="str">
        <x:f>IF(A292="","",IF(COUNTIFS($A$7:$A$1506,A292)&gt;1,"Buchung-ID doppelt",IF(OR(NOT(ISNUMBER(B292)),C292="",NOT(ISNUMBER(F292)),H292="",L292=""),"Pflichtangaben fehlen",IF(COUNTIFS('Konten'!$A$7:$A$26,C292)&lt;&gt;1,"Konto nicht eindeutig",IF(J292&lt;&gt;"Ja","Zuordnung bestätigen",IF(OR(AND(H292="Einnahme",F292&lt;0),AND(H292="Ausgabe",F292&gt;0)),"Vorzeichen prüfen",IF(AND(H292="Umbuchung",OR(K292="",COUNTIFS($A$7:$A$1506,K292)&lt;&gt;1)),"Gegenbuchung fehlt",IF(AND(H292="Umbuchung",ROUND(SUMIFS($F$7:$F$1506,$A$7:$A$1506,K292)+F292,2)&lt;&gt;0),"Umbuchung abweichend",IF(OR(G292="",M292="",M292="offen",M292="teilbelegt",H292="Ungeklärt",H292="Bargeld"),"Beleg / Verwendung klären","vollständig erfasst")))))))))</x:f>
      </x:c>
    </x:row>
    <x:row r="293" ht="22" customHeight="1">
      <x:c r="A293" s="7"/>
      <x:c r="B293" s="8"/>
      <x:c r="C293" s="7"/>
      <x:c r="D293" s="7"/>
      <x:c r="E293" s="7"/>
      <x:c r="F293" s="20"/>
      <x:c r="G293" s="7"/>
      <x:c r="H293" s="7"/>
      <x:c r="I293" s="7"/>
      <x:c r="J293" s="7"/>
      <x:c r="K293" s="7"/>
      <x:c r="L293" s="7"/>
      <x:c r="M293" s="7"/>
      <x:c r="N293" s="7"/>
      <x:c r="O293" s="2" t="str">
        <x:f>IF(A293="","",IF(COUNTIFS($A$7:$A$1506,A293)&gt;1,"Buchung-ID doppelt",IF(OR(NOT(ISNUMBER(B293)),C293="",NOT(ISNUMBER(F293)),H293="",L293=""),"Pflichtangaben fehlen",IF(COUNTIFS('Konten'!$A$7:$A$26,C293)&lt;&gt;1,"Konto nicht eindeutig",IF(J293&lt;&gt;"Ja","Zuordnung bestätigen",IF(OR(AND(H293="Einnahme",F293&lt;0),AND(H293="Ausgabe",F293&gt;0)),"Vorzeichen prüfen",IF(AND(H293="Umbuchung",OR(K293="",COUNTIFS($A$7:$A$1506,K293)&lt;&gt;1)),"Gegenbuchung fehlt",IF(AND(H293="Umbuchung",ROUND(SUMIFS($F$7:$F$1506,$A$7:$A$1506,K293)+F293,2)&lt;&gt;0),"Umbuchung abweichend",IF(OR(G293="",M293="",M293="offen",M293="teilbelegt",H293="Ungeklärt",H293="Bargeld"),"Beleg / Verwendung klären","vollständig erfasst")))))))))</x:f>
      </x:c>
    </x:row>
    <x:row r="294" ht="22" customHeight="1">
      <x:c r="A294" s="7"/>
      <x:c r="B294" s="8"/>
      <x:c r="C294" s="7"/>
      <x:c r="D294" s="7"/>
      <x:c r="E294" s="7"/>
      <x:c r="F294" s="20"/>
      <x:c r="G294" s="7"/>
      <x:c r="H294" s="7"/>
      <x:c r="I294" s="7"/>
      <x:c r="J294" s="7"/>
      <x:c r="K294" s="7"/>
      <x:c r="L294" s="7"/>
      <x:c r="M294" s="7"/>
      <x:c r="N294" s="7"/>
      <x:c r="O294" s="2" t="str">
        <x:f>IF(A294="","",IF(COUNTIFS($A$7:$A$1506,A294)&gt;1,"Buchung-ID doppelt",IF(OR(NOT(ISNUMBER(B294)),C294="",NOT(ISNUMBER(F294)),H294="",L294=""),"Pflichtangaben fehlen",IF(COUNTIFS('Konten'!$A$7:$A$26,C294)&lt;&gt;1,"Konto nicht eindeutig",IF(J294&lt;&gt;"Ja","Zuordnung bestätigen",IF(OR(AND(H294="Einnahme",F294&lt;0),AND(H294="Ausgabe",F294&gt;0)),"Vorzeichen prüfen",IF(AND(H294="Umbuchung",OR(K294="",COUNTIFS($A$7:$A$1506,K294)&lt;&gt;1)),"Gegenbuchung fehlt",IF(AND(H294="Umbuchung",ROUND(SUMIFS($F$7:$F$1506,$A$7:$A$1506,K294)+F294,2)&lt;&gt;0),"Umbuchung abweichend",IF(OR(G294="",M294="",M294="offen",M294="teilbelegt",H294="Ungeklärt",H294="Bargeld"),"Beleg / Verwendung klären","vollständig erfasst")))))))))</x:f>
      </x:c>
    </x:row>
    <x:row r="295" ht="22" customHeight="1">
      <x:c r="A295" s="7"/>
      <x:c r="B295" s="8"/>
      <x:c r="C295" s="7"/>
      <x:c r="D295" s="7"/>
      <x:c r="E295" s="7"/>
      <x:c r="F295" s="20"/>
      <x:c r="G295" s="7"/>
      <x:c r="H295" s="7"/>
      <x:c r="I295" s="7"/>
      <x:c r="J295" s="7"/>
      <x:c r="K295" s="7"/>
      <x:c r="L295" s="7"/>
      <x:c r="M295" s="7"/>
      <x:c r="N295" s="7"/>
      <x:c r="O295" s="2" t="str">
        <x:f>IF(A295="","",IF(COUNTIFS($A$7:$A$1506,A295)&gt;1,"Buchung-ID doppelt",IF(OR(NOT(ISNUMBER(B295)),C295="",NOT(ISNUMBER(F295)),H295="",L295=""),"Pflichtangaben fehlen",IF(COUNTIFS('Konten'!$A$7:$A$26,C295)&lt;&gt;1,"Konto nicht eindeutig",IF(J295&lt;&gt;"Ja","Zuordnung bestätigen",IF(OR(AND(H295="Einnahme",F295&lt;0),AND(H295="Ausgabe",F295&gt;0)),"Vorzeichen prüfen",IF(AND(H295="Umbuchung",OR(K295="",COUNTIFS($A$7:$A$1506,K295)&lt;&gt;1)),"Gegenbuchung fehlt",IF(AND(H295="Umbuchung",ROUND(SUMIFS($F$7:$F$1506,$A$7:$A$1506,K295)+F295,2)&lt;&gt;0),"Umbuchung abweichend",IF(OR(G295="",M295="",M295="offen",M295="teilbelegt",H295="Ungeklärt",H295="Bargeld"),"Beleg / Verwendung klären","vollständig erfasst")))))))))</x:f>
      </x:c>
    </x:row>
    <x:row r="296" ht="22" customHeight="1">
      <x:c r="A296" s="7"/>
      <x:c r="B296" s="8"/>
      <x:c r="C296" s="7"/>
      <x:c r="D296" s="7"/>
      <x:c r="E296" s="7"/>
      <x:c r="F296" s="20"/>
      <x:c r="G296" s="7"/>
      <x:c r="H296" s="7"/>
      <x:c r="I296" s="7"/>
      <x:c r="J296" s="7"/>
      <x:c r="K296" s="7"/>
      <x:c r="L296" s="7"/>
      <x:c r="M296" s="7"/>
      <x:c r="N296" s="7"/>
      <x:c r="O296" s="2" t="str">
        <x:f>IF(A296="","",IF(COUNTIFS($A$7:$A$1506,A296)&gt;1,"Buchung-ID doppelt",IF(OR(NOT(ISNUMBER(B296)),C296="",NOT(ISNUMBER(F296)),H296="",L296=""),"Pflichtangaben fehlen",IF(COUNTIFS('Konten'!$A$7:$A$26,C296)&lt;&gt;1,"Konto nicht eindeutig",IF(J296&lt;&gt;"Ja","Zuordnung bestätigen",IF(OR(AND(H296="Einnahme",F296&lt;0),AND(H296="Ausgabe",F296&gt;0)),"Vorzeichen prüfen",IF(AND(H296="Umbuchung",OR(K296="",COUNTIFS($A$7:$A$1506,K296)&lt;&gt;1)),"Gegenbuchung fehlt",IF(AND(H296="Umbuchung",ROUND(SUMIFS($F$7:$F$1506,$A$7:$A$1506,K296)+F296,2)&lt;&gt;0),"Umbuchung abweichend",IF(OR(G296="",M296="",M296="offen",M296="teilbelegt",H296="Ungeklärt",H296="Bargeld"),"Beleg / Verwendung klären","vollständig erfasst")))))))))</x:f>
      </x:c>
    </x:row>
    <x:row r="297" ht="22" customHeight="1">
      <x:c r="A297" s="7"/>
      <x:c r="B297" s="8"/>
      <x:c r="C297" s="7"/>
      <x:c r="D297" s="7"/>
      <x:c r="E297" s="7"/>
      <x:c r="F297" s="20"/>
      <x:c r="G297" s="7"/>
      <x:c r="H297" s="7"/>
      <x:c r="I297" s="7"/>
      <x:c r="J297" s="7"/>
      <x:c r="K297" s="7"/>
      <x:c r="L297" s="7"/>
      <x:c r="M297" s="7"/>
      <x:c r="N297" s="7"/>
      <x:c r="O297" s="2" t="str">
        <x:f>IF(A297="","",IF(COUNTIFS($A$7:$A$1506,A297)&gt;1,"Buchung-ID doppelt",IF(OR(NOT(ISNUMBER(B297)),C297="",NOT(ISNUMBER(F297)),H297="",L297=""),"Pflichtangaben fehlen",IF(COUNTIFS('Konten'!$A$7:$A$26,C297)&lt;&gt;1,"Konto nicht eindeutig",IF(J297&lt;&gt;"Ja","Zuordnung bestätigen",IF(OR(AND(H297="Einnahme",F297&lt;0),AND(H297="Ausgabe",F297&gt;0)),"Vorzeichen prüfen",IF(AND(H297="Umbuchung",OR(K297="",COUNTIFS($A$7:$A$1506,K297)&lt;&gt;1)),"Gegenbuchung fehlt",IF(AND(H297="Umbuchung",ROUND(SUMIFS($F$7:$F$1506,$A$7:$A$1506,K297)+F297,2)&lt;&gt;0),"Umbuchung abweichend",IF(OR(G297="",M297="",M297="offen",M297="teilbelegt",H297="Ungeklärt",H297="Bargeld"),"Beleg / Verwendung klären","vollständig erfasst")))))))))</x:f>
      </x:c>
    </x:row>
    <x:row r="298" ht="22" customHeight="1">
      <x:c r="A298" s="7"/>
      <x:c r="B298" s="8"/>
      <x:c r="C298" s="7"/>
      <x:c r="D298" s="7"/>
      <x:c r="E298" s="7"/>
      <x:c r="F298" s="20"/>
      <x:c r="G298" s="7"/>
      <x:c r="H298" s="7"/>
      <x:c r="I298" s="7"/>
      <x:c r="J298" s="7"/>
      <x:c r="K298" s="7"/>
      <x:c r="L298" s="7"/>
      <x:c r="M298" s="7"/>
      <x:c r="N298" s="7"/>
      <x:c r="O298" s="2" t="str">
        <x:f>IF(A298="","",IF(COUNTIFS($A$7:$A$1506,A298)&gt;1,"Buchung-ID doppelt",IF(OR(NOT(ISNUMBER(B298)),C298="",NOT(ISNUMBER(F298)),H298="",L298=""),"Pflichtangaben fehlen",IF(COUNTIFS('Konten'!$A$7:$A$26,C298)&lt;&gt;1,"Konto nicht eindeutig",IF(J298&lt;&gt;"Ja","Zuordnung bestätigen",IF(OR(AND(H298="Einnahme",F298&lt;0),AND(H298="Ausgabe",F298&gt;0)),"Vorzeichen prüfen",IF(AND(H298="Umbuchung",OR(K298="",COUNTIFS($A$7:$A$1506,K298)&lt;&gt;1)),"Gegenbuchung fehlt",IF(AND(H298="Umbuchung",ROUND(SUMIFS($F$7:$F$1506,$A$7:$A$1506,K298)+F298,2)&lt;&gt;0),"Umbuchung abweichend",IF(OR(G298="",M298="",M298="offen",M298="teilbelegt",H298="Ungeklärt",H298="Bargeld"),"Beleg / Verwendung klären","vollständig erfasst")))))))))</x:f>
      </x:c>
    </x:row>
    <x:row r="299" ht="22" customHeight="1">
      <x:c r="A299" s="7"/>
      <x:c r="B299" s="8"/>
      <x:c r="C299" s="7"/>
      <x:c r="D299" s="7"/>
      <x:c r="E299" s="7"/>
      <x:c r="F299" s="20"/>
      <x:c r="G299" s="7"/>
      <x:c r="H299" s="7"/>
      <x:c r="I299" s="7"/>
      <x:c r="J299" s="7"/>
      <x:c r="K299" s="7"/>
      <x:c r="L299" s="7"/>
      <x:c r="M299" s="7"/>
      <x:c r="N299" s="7"/>
      <x:c r="O299" s="2" t="str">
        <x:f>IF(A299="","",IF(COUNTIFS($A$7:$A$1506,A299)&gt;1,"Buchung-ID doppelt",IF(OR(NOT(ISNUMBER(B299)),C299="",NOT(ISNUMBER(F299)),H299="",L299=""),"Pflichtangaben fehlen",IF(COUNTIFS('Konten'!$A$7:$A$26,C299)&lt;&gt;1,"Konto nicht eindeutig",IF(J299&lt;&gt;"Ja","Zuordnung bestätigen",IF(OR(AND(H299="Einnahme",F299&lt;0),AND(H299="Ausgabe",F299&gt;0)),"Vorzeichen prüfen",IF(AND(H299="Umbuchung",OR(K299="",COUNTIFS($A$7:$A$1506,K299)&lt;&gt;1)),"Gegenbuchung fehlt",IF(AND(H299="Umbuchung",ROUND(SUMIFS($F$7:$F$1506,$A$7:$A$1506,K299)+F299,2)&lt;&gt;0),"Umbuchung abweichend",IF(OR(G299="",M299="",M299="offen",M299="teilbelegt",H299="Ungeklärt",H299="Bargeld"),"Beleg / Verwendung klären","vollständig erfasst")))))))))</x:f>
      </x:c>
    </x:row>
    <x:row r="300" ht="22" customHeight="1">
      <x:c r="A300" s="7"/>
      <x:c r="B300" s="8"/>
      <x:c r="C300" s="7"/>
      <x:c r="D300" s="7"/>
      <x:c r="E300" s="7"/>
      <x:c r="F300" s="20"/>
      <x:c r="G300" s="7"/>
      <x:c r="H300" s="7"/>
      <x:c r="I300" s="7"/>
      <x:c r="J300" s="7"/>
      <x:c r="K300" s="7"/>
      <x:c r="L300" s="7"/>
      <x:c r="M300" s="7"/>
      <x:c r="N300" s="7"/>
      <x:c r="O300" s="2" t="str">
        <x:f>IF(A300="","",IF(COUNTIFS($A$7:$A$1506,A300)&gt;1,"Buchung-ID doppelt",IF(OR(NOT(ISNUMBER(B300)),C300="",NOT(ISNUMBER(F300)),H300="",L300=""),"Pflichtangaben fehlen",IF(COUNTIFS('Konten'!$A$7:$A$26,C300)&lt;&gt;1,"Konto nicht eindeutig",IF(J300&lt;&gt;"Ja","Zuordnung bestätigen",IF(OR(AND(H300="Einnahme",F300&lt;0),AND(H300="Ausgabe",F300&gt;0)),"Vorzeichen prüfen",IF(AND(H300="Umbuchung",OR(K300="",COUNTIFS($A$7:$A$1506,K300)&lt;&gt;1)),"Gegenbuchung fehlt",IF(AND(H300="Umbuchung",ROUND(SUMIFS($F$7:$F$1506,$A$7:$A$1506,K300)+F300,2)&lt;&gt;0),"Umbuchung abweichend",IF(OR(G300="",M300="",M300="offen",M300="teilbelegt",H300="Ungeklärt",H300="Bargeld"),"Beleg / Verwendung klären","vollständig erfasst")))))))))</x:f>
      </x:c>
    </x:row>
    <x:row r="301" ht="22" customHeight="1">
      <x:c r="A301" s="7"/>
      <x:c r="B301" s="8"/>
      <x:c r="C301" s="7"/>
      <x:c r="D301" s="7"/>
      <x:c r="E301" s="7"/>
      <x:c r="F301" s="20"/>
      <x:c r="G301" s="7"/>
      <x:c r="H301" s="7"/>
      <x:c r="I301" s="7"/>
      <x:c r="J301" s="7"/>
      <x:c r="K301" s="7"/>
      <x:c r="L301" s="7"/>
      <x:c r="M301" s="7"/>
      <x:c r="N301" s="7"/>
      <x:c r="O301" s="2" t="str">
        <x:f>IF(A301="","",IF(COUNTIFS($A$7:$A$1506,A301)&gt;1,"Buchung-ID doppelt",IF(OR(NOT(ISNUMBER(B301)),C301="",NOT(ISNUMBER(F301)),H301="",L301=""),"Pflichtangaben fehlen",IF(COUNTIFS('Konten'!$A$7:$A$26,C301)&lt;&gt;1,"Konto nicht eindeutig",IF(J301&lt;&gt;"Ja","Zuordnung bestätigen",IF(OR(AND(H301="Einnahme",F301&lt;0),AND(H301="Ausgabe",F301&gt;0)),"Vorzeichen prüfen",IF(AND(H301="Umbuchung",OR(K301="",COUNTIFS($A$7:$A$1506,K301)&lt;&gt;1)),"Gegenbuchung fehlt",IF(AND(H301="Umbuchung",ROUND(SUMIFS($F$7:$F$1506,$A$7:$A$1506,K301)+F301,2)&lt;&gt;0),"Umbuchung abweichend",IF(OR(G301="",M301="",M301="offen",M301="teilbelegt",H301="Ungeklärt",H301="Bargeld"),"Beleg / Verwendung klären","vollständig erfasst")))))))))</x:f>
      </x:c>
    </x:row>
    <x:row r="302" ht="22" customHeight="1">
      <x:c r="A302" s="7"/>
      <x:c r="B302" s="8"/>
      <x:c r="C302" s="7"/>
      <x:c r="D302" s="7"/>
      <x:c r="E302" s="7"/>
      <x:c r="F302" s="20"/>
      <x:c r="G302" s="7"/>
      <x:c r="H302" s="7"/>
      <x:c r="I302" s="7"/>
      <x:c r="J302" s="7"/>
      <x:c r="K302" s="7"/>
      <x:c r="L302" s="7"/>
      <x:c r="M302" s="7"/>
      <x:c r="N302" s="7"/>
      <x:c r="O302" s="2" t="str">
        <x:f>IF(A302="","",IF(COUNTIFS($A$7:$A$1506,A302)&gt;1,"Buchung-ID doppelt",IF(OR(NOT(ISNUMBER(B302)),C302="",NOT(ISNUMBER(F302)),H302="",L302=""),"Pflichtangaben fehlen",IF(COUNTIFS('Konten'!$A$7:$A$26,C302)&lt;&gt;1,"Konto nicht eindeutig",IF(J302&lt;&gt;"Ja","Zuordnung bestätigen",IF(OR(AND(H302="Einnahme",F302&lt;0),AND(H302="Ausgabe",F302&gt;0)),"Vorzeichen prüfen",IF(AND(H302="Umbuchung",OR(K302="",COUNTIFS($A$7:$A$1506,K302)&lt;&gt;1)),"Gegenbuchung fehlt",IF(AND(H302="Umbuchung",ROUND(SUMIFS($F$7:$F$1506,$A$7:$A$1506,K302)+F302,2)&lt;&gt;0),"Umbuchung abweichend",IF(OR(G302="",M302="",M302="offen",M302="teilbelegt",H302="Ungeklärt",H302="Bargeld"),"Beleg / Verwendung klären","vollständig erfasst")))))))))</x:f>
      </x:c>
    </x:row>
    <x:row r="303" ht="22" customHeight="1">
      <x:c r="A303" s="7"/>
      <x:c r="B303" s="8"/>
      <x:c r="C303" s="7"/>
      <x:c r="D303" s="7"/>
      <x:c r="E303" s="7"/>
      <x:c r="F303" s="20"/>
      <x:c r="G303" s="7"/>
      <x:c r="H303" s="7"/>
      <x:c r="I303" s="7"/>
      <x:c r="J303" s="7"/>
      <x:c r="K303" s="7"/>
      <x:c r="L303" s="7"/>
      <x:c r="M303" s="7"/>
      <x:c r="N303" s="7"/>
      <x:c r="O303" s="2" t="str">
        <x:f>IF(A303="","",IF(COUNTIFS($A$7:$A$1506,A303)&gt;1,"Buchung-ID doppelt",IF(OR(NOT(ISNUMBER(B303)),C303="",NOT(ISNUMBER(F303)),H303="",L303=""),"Pflichtangaben fehlen",IF(COUNTIFS('Konten'!$A$7:$A$26,C303)&lt;&gt;1,"Konto nicht eindeutig",IF(J303&lt;&gt;"Ja","Zuordnung bestätigen",IF(OR(AND(H303="Einnahme",F303&lt;0),AND(H303="Ausgabe",F303&gt;0)),"Vorzeichen prüfen",IF(AND(H303="Umbuchung",OR(K303="",COUNTIFS($A$7:$A$1506,K303)&lt;&gt;1)),"Gegenbuchung fehlt",IF(AND(H303="Umbuchung",ROUND(SUMIFS($F$7:$F$1506,$A$7:$A$1506,K303)+F303,2)&lt;&gt;0),"Umbuchung abweichend",IF(OR(G303="",M303="",M303="offen",M303="teilbelegt",H303="Ungeklärt",H303="Bargeld"),"Beleg / Verwendung klären","vollständig erfasst")))))))))</x:f>
      </x:c>
    </x:row>
    <x:row r="304" ht="22" customHeight="1">
      <x:c r="A304" s="7"/>
      <x:c r="B304" s="8"/>
      <x:c r="C304" s="7"/>
      <x:c r="D304" s="7"/>
      <x:c r="E304" s="7"/>
      <x:c r="F304" s="20"/>
      <x:c r="G304" s="7"/>
      <x:c r="H304" s="7"/>
      <x:c r="I304" s="7"/>
      <x:c r="J304" s="7"/>
      <x:c r="K304" s="7"/>
      <x:c r="L304" s="7"/>
      <x:c r="M304" s="7"/>
      <x:c r="N304" s="7"/>
      <x:c r="O304" s="2" t="str">
        <x:f>IF(A304="","",IF(COUNTIFS($A$7:$A$1506,A304)&gt;1,"Buchung-ID doppelt",IF(OR(NOT(ISNUMBER(B304)),C304="",NOT(ISNUMBER(F304)),H304="",L304=""),"Pflichtangaben fehlen",IF(COUNTIFS('Konten'!$A$7:$A$26,C304)&lt;&gt;1,"Konto nicht eindeutig",IF(J304&lt;&gt;"Ja","Zuordnung bestätigen",IF(OR(AND(H304="Einnahme",F304&lt;0),AND(H304="Ausgabe",F304&gt;0)),"Vorzeichen prüfen",IF(AND(H304="Umbuchung",OR(K304="",COUNTIFS($A$7:$A$1506,K304)&lt;&gt;1)),"Gegenbuchung fehlt",IF(AND(H304="Umbuchung",ROUND(SUMIFS($F$7:$F$1506,$A$7:$A$1506,K304)+F304,2)&lt;&gt;0),"Umbuchung abweichend",IF(OR(G304="",M304="",M304="offen",M304="teilbelegt",H304="Ungeklärt",H304="Bargeld"),"Beleg / Verwendung klären","vollständig erfasst")))))))))</x:f>
      </x:c>
    </x:row>
    <x:row r="305" ht="22" customHeight="1">
      <x:c r="A305" s="7"/>
      <x:c r="B305" s="8"/>
      <x:c r="C305" s="7"/>
      <x:c r="D305" s="7"/>
      <x:c r="E305" s="7"/>
      <x:c r="F305" s="20"/>
      <x:c r="G305" s="7"/>
      <x:c r="H305" s="7"/>
      <x:c r="I305" s="7"/>
      <x:c r="J305" s="7"/>
      <x:c r="K305" s="7"/>
      <x:c r="L305" s="7"/>
      <x:c r="M305" s="7"/>
      <x:c r="N305" s="7"/>
      <x:c r="O305" s="2" t="str">
        <x:f>IF(A305="","",IF(COUNTIFS($A$7:$A$1506,A305)&gt;1,"Buchung-ID doppelt",IF(OR(NOT(ISNUMBER(B305)),C305="",NOT(ISNUMBER(F305)),H305="",L305=""),"Pflichtangaben fehlen",IF(COUNTIFS('Konten'!$A$7:$A$26,C305)&lt;&gt;1,"Konto nicht eindeutig",IF(J305&lt;&gt;"Ja","Zuordnung bestätigen",IF(OR(AND(H305="Einnahme",F305&lt;0),AND(H305="Ausgabe",F305&gt;0)),"Vorzeichen prüfen",IF(AND(H305="Umbuchung",OR(K305="",COUNTIFS($A$7:$A$1506,K305)&lt;&gt;1)),"Gegenbuchung fehlt",IF(AND(H305="Umbuchung",ROUND(SUMIFS($F$7:$F$1506,$A$7:$A$1506,K305)+F305,2)&lt;&gt;0),"Umbuchung abweichend",IF(OR(G305="",M305="",M305="offen",M305="teilbelegt",H305="Ungeklärt",H305="Bargeld"),"Beleg / Verwendung klären","vollständig erfasst")))))))))</x:f>
      </x:c>
    </x:row>
    <x:row r="306" ht="22" customHeight="1">
      <x:c r="A306" s="7"/>
      <x:c r="B306" s="8"/>
      <x:c r="C306" s="7"/>
      <x:c r="D306" s="7"/>
      <x:c r="E306" s="7"/>
      <x:c r="F306" s="20"/>
      <x:c r="G306" s="7"/>
      <x:c r="H306" s="7"/>
      <x:c r="I306" s="7"/>
      <x:c r="J306" s="7"/>
      <x:c r="K306" s="7"/>
      <x:c r="L306" s="7"/>
      <x:c r="M306" s="7"/>
      <x:c r="N306" s="7"/>
      <x:c r="O306" s="2" t="str">
        <x:f>IF(A306="","",IF(COUNTIFS($A$7:$A$1506,A306)&gt;1,"Buchung-ID doppelt",IF(OR(NOT(ISNUMBER(B306)),C306="",NOT(ISNUMBER(F306)),H306="",L306=""),"Pflichtangaben fehlen",IF(COUNTIFS('Konten'!$A$7:$A$26,C306)&lt;&gt;1,"Konto nicht eindeutig",IF(J306&lt;&gt;"Ja","Zuordnung bestätigen",IF(OR(AND(H306="Einnahme",F306&lt;0),AND(H306="Ausgabe",F306&gt;0)),"Vorzeichen prüfen",IF(AND(H306="Umbuchung",OR(K306="",COUNTIFS($A$7:$A$1506,K306)&lt;&gt;1)),"Gegenbuchung fehlt",IF(AND(H306="Umbuchung",ROUND(SUMIFS($F$7:$F$1506,$A$7:$A$1506,K306)+F306,2)&lt;&gt;0),"Umbuchung abweichend",IF(OR(G306="",M306="",M306="offen",M306="teilbelegt",H306="Ungeklärt",H306="Bargeld"),"Beleg / Verwendung klären","vollständig erfasst")))))))))</x:f>
      </x:c>
    </x:row>
    <x:row r="307" ht="22" customHeight="1">
      <x:c r="A307" s="7"/>
      <x:c r="B307" s="8"/>
      <x:c r="C307" s="7"/>
      <x:c r="D307" s="7"/>
      <x:c r="E307" s="7"/>
      <x:c r="F307" s="20"/>
      <x:c r="G307" s="7"/>
      <x:c r="H307" s="7"/>
      <x:c r="I307" s="7"/>
      <x:c r="J307" s="7"/>
      <x:c r="K307" s="7"/>
      <x:c r="L307" s="7"/>
      <x:c r="M307" s="7"/>
      <x:c r="N307" s="7"/>
      <x:c r="O307" s="2" t="str">
        <x:f>IF(A307="","",IF(COUNTIFS($A$7:$A$1506,A307)&gt;1,"Buchung-ID doppelt",IF(OR(NOT(ISNUMBER(B307)),C307="",NOT(ISNUMBER(F307)),H307="",L307=""),"Pflichtangaben fehlen",IF(COUNTIFS('Konten'!$A$7:$A$26,C307)&lt;&gt;1,"Konto nicht eindeutig",IF(J307&lt;&gt;"Ja","Zuordnung bestätigen",IF(OR(AND(H307="Einnahme",F307&lt;0),AND(H307="Ausgabe",F307&gt;0)),"Vorzeichen prüfen",IF(AND(H307="Umbuchung",OR(K307="",COUNTIFS($A$7:$A$1506,K307)&lt;&gt;1)),"Gegenbuchung fehlt",IF(AND(H307="Umbuchung",ROUND(SUMIFS($F$7:$F$1506,$A$7:$A$1506,K307)+F307,2)&lt;&gt;0),"Umbuchung abweichend",IF(OR(G307="",M307="",M307="offen",M307="teilbelegt",H307="Ungeklärt",H307="Bargeld"),"Beleg / Verwendung klären","vollständig erfasst")))))))))</x:f>
      </x:c>
    </x:row>
    <x:row r="308" ht="22" customHeight="1">
      <x:c r="A308" s="7"/>
      <x:c r="B308" s="8"/>
      <x:c r="C308" s="7"/>
      <x:c r="D308" s="7"/>
      <x:c r="E308" s="7"/>
      <x:c r="F308" s="20"/>
      <x:c r="G308" s="7"/>
      <x:c r="H308" s="7"/>
      <x:c r="I308" s="7"/>
      <x:c r="J308" s="7"/>
      <x:c r="K308" s="7"/>
      <x:c r="L308" s="7"/>
      <x:c r="M308" s="7"/>
      <x:c r="N308" s="7"/>
      <x:c r="O308" s="2" t="str">
        <x:f>IF(A308="","",IF(COUNTIFS($A$7:$A$1506,A308)&gt;1,"Buchung-ID doppelt",IF(OR(NOT(ISNUMBER(B308)),C308="",NOT(ISNUMBER(F308)),H308="",L308=""),"Pflichtangaben fehlen",IF(COUNTIFS('Konten'!$A$7:$A$26,C308)&lt;&gt;1,"Konto nicht eindeutig",IF(J308&lt;&gt;"Ja","Zuordnung bestätigen",IF(OR(AND(H308="Einnahme",F308&lt;0),AND(H308="Ausgabe",F308&gt;0)),"Vorzeichen prüfen",IF(AND(H308="Umbuchung",OR(K308="",COUNTIFS($A$7:$A$1506,K308)&lt;&gt;1)),"Gegenbuchung fehlt",IF(AND(H308="Umbuchung",ROUND(SUMIFS($F$7:$F$1506,$A$7:$A$1506,K308)+F308,2)&lt;&gt;0),"Umbuchung abweichend",IF(OR(G308="",M308="",M308="offen",M308="teilbelegt",H308="Ungeklärt",H308="Bargeld"),"Beleg / Verwendung klären","vollständig erfasst")))))))))</x:f>
      </x:c>
    </x:row>
    <x:row r="309" ht="22" customHeight="1">
      <x:c r="A309" s="7"/>
      <x:c r="B309" s="8"/>
      <x:c r="C309" s="7"/>
      <x:c r="D309" s="7"/>
      <x:c r="E309" s="7"/>
      <x:c r="F309" s="20"/>
      <x:c r="G309" s="7"/>
      <x:c r="H309" s="7"/>
      <x:c r="I309" s="7"/>
      <x:c r="J309" s="7"/>
      <x:c r="K309" s="7"/>
      <x:c r="L309" s="7"/>
      <x:c r="M309" s="7"/>
      <x:c r="N309" s="7"/>
      <x:c r="O309" s="2" t="str">
        <x:f>IF(A309="","",IF(COUNTIFS($A$7:$A$1506,A309)&gt;1,"Buchung-ID doppelt",IF(OR(NOT(ISNUMBER(B309)),C309="",NOT(ISNUMBER(F309)),H309="",L309=""),"Pflichtangaben fehlen",IF(COUNTIFS('Konten'!$A$7:$A$26,C309)&lt;&gt;1,"Konto nicht eindeutig",IF(J309&lt;&gt;"Ja","Zuordnung bestätigen",IF(OR(AND(H309="Einnahme",F309&lt;0),AND(H309="Ausgabe",F309&gt;0)),"Vorzeichen prüfen",IF(AND(H309="Umbuchung",OR(K309="",COUNTIFS($A$7:$A$1506,K309)&lt;&gt;1)),"Gegenbuchung fehlt",IF(AND(H309="Umbuchung",ROUND(SUMIFS($F$7:$F$1506,$A$7:$A$1506,K309)+F309,2)&lt;&gt;0),"Umbuchung abweichend",IF(OR(G309="",M309="",M309="offen",M309="teilbelegt",H309="Ungeklärt",H309="Bargeld"),"Beleg / Verwendung klären","vollständig erfasst")))))))))</x:f>
      </x:c>
    </x:row>
    <x:row r="310" ht="22" customHeight="1">
      <x:c r="A310" s="7"/>
      <x:c r="B310" s="8"/>
      <x:c r="C310" s="7"/>
      <x:c r="D310" s="7"/>
      <x:c r="E310" s="7"/>
      <x:c r="F310" s="20"/>
      <x:c r="G310" s="7"/>
      <x:c r="H310" s="7"/>
      <x:c r="I310" s="7"/>
      <x:c r="J310" s="7"/>
      <x:c r="K310" s="7"/>
      <x:c r="L310" s="7"/>
      <x:c r="M310" s="7"/>
      <x:c r="N310" s="7"/>
      <x:c r="O310" s="2" t="str">
        <x:f>IF(A310="","",IF(COUNTIFS($A$7:$A$1506,A310)&gt;1,"Buchung-ID doppelt",IF(OR(NOT(ISNUMBER(B310)),C310="",NOT(ISNUMBER(F310)),H310="",L310=""),"Pflichtangaben fehlen",IF(COUNTIFS('Konten'!$A$7:$A$26,C310)&lt;&gt;1,"Konto nicht eindeutig",IF(J310&lt;&gt;"Ja","Zuordnung bestätigen",IF(OR(AND(H310="Einnahme",F310&lt;0),AND(H310="Ausgabe",F310&gt;0)),"Vorzeichen prüfen",IF(AND(H310="Umbuchung",OR(K310="",COUNTIFS($A$7:$A$1506,K310)&lt;&gt;1)),"Gegenbuchung fehlt",IF(AND(H310="Umbuchung",ROUND(SUMIFS($F$7:$F$1506,$A$7:$A$1506,K310)+F310,2)&lt;&gt;0),"Umbuchung abweichend",IF(OR(G310="",M310="",M310="offen",M310="teilbelegt",H310="Ungeklärt",H310="Bargeld"),"Beleg / Verwendung klären","vollständig erfasst")))))))))</x:f>
      </x:c>
    </x:row>
    <x:row r="311" ht="22" customHeight="1">
      <x:c r="A311" s="7"/>
      <x:c r="B311" s="8"/>
      <x:c r="C311" s="7"/>
      <x:c r="D311" s="7"/>
      <x:c r="E311" s="7"/>
      <x:c r="F311" s="20"/>
      <x:c r="G311" s="7"/>
      <x:c r="H311" s="7"/>
      <x:c r="I311" s="7"/>
      <x:c r="J311" s="7"/>
      <x:c r="K311" s="7"/>
      <x:c r="L311" s="7"/>
      <x:c r="M311" s="7"/>
      <x:c r="N311" s="7"/>
      <x:c r="O311" s="2" t="str">
        <x:f>IF(A311="","",IF(COUNTIFS($A$7:$A$1506,A311)&gt;1,"Buchung-ID doppelt",IF(OR(NOT(ISNUMBER(B311)),C311="",NOT(ISNUMBER(F311)),H311="",L311=""),"Pflichtangaben fehlen",IF(COUNTIFS('Konten'!$A$7:$A$26,C311)&lt;&gt;1,"Konto nicht eindeutig",IF(J311&lt;&gt;"Ja","Zuordnung bestätigen",IF(OR(AND(H311="Einnahme",F311&lt;0),AND(H311="Ausgabe",F311&gt;0)),"Vorzeichen prüfen",IF(AND(H311="Umbuchung",OR(K311="",COUNTIFS($A$7:$A$1506,K311)&lt;&gt;1)),"Gegenbuchung fehlt",IF(AND(H311="Umbuchung",ROUND(SUMIFS($F$7:$F$1506,$A$7:$A$1506,K311)+F311,2)&lt;&gt;0),"Umbuchung abweichend",IF(OR(G311="",M311="",M311="offen",M311="teilbelegt",H311="Ungeklärt",H311="Bargeld"),"Beleg / Verwendung klären","vollständig erfasst")))))))))</x:f>
      </x:c>
    </x:row>
    <x:row r="312" ht="22" customHeight="1">
      <x:c r="A312" s="7"/>
      <x:c r="B312" s="8"/>
      <x:c r="C312" s="7"/>
      <x:c r="D312" s="7"/>
      <x:c r="E312" s="7"/>
      <x:c r="F312" s="20"/>
      <x:c r="G312" s="7"/>
      <x:c r="H312" s="7"/>
      <x:c r="I312" s="7"/>
      <x:c r="J312" s="7"/>
      <x:c r="K312" s="7"/>
      <x:c r="L312" s="7"/>
      <x:c r="M312" s="7"/>
      <x:c r="N312" s="7"/>
      <x:c r="O312" s="2" t="str">
        <x:f>IF(A312="","",IF(COUNTIFS($A$7:$A$1506,A312)&gt;1,"Buchung-ID doppelt",IF(OR(NOT(ISNUMBER(B312)),C312="",NOT(ISNUMBER(F312)),H312="",L312=""),"Pflichtangaben fehlen",IF(COUNTIFS('Konten'!$A$7:$A$26,C312)&lt;&gt;1,"Konto nicht eindeutig",IF(J312&lt;&gt;"Ja","Zuordnung bestätigen",IF(OR(AND(H312="Einnahme",F312&lt;0),AND(H312="Ausgabe",F312&gt;0)),"Vorzeichen prüfen",IF(AND(H312="Umbuchung",OR(K312="",COUNTIFS($A$7:$A$1506,K312)&lt;&gt;1)),"Gegenbuchung fehlt",IF(AND(H312="Umbuchung",ROUND(SUMIFS($F$7:$F$1506,$A$7:$A$1506,K312)+F312,2)&lt;&gt;0),"Umbuchung abweichend",IF(OR(G312="",M312="",M312="offen",M312="teilbelegt",H312="Ungeklärt",H312="Bargeld"),"Beleg / Verwendung klären","vollständig erfasst")))))))))</x:f>
      </x:c>
    </x:row>
    <x:row r="313" ht="22" customHeight="1">
      <x:c r="A313" s="7"/>
      <x:c r="B313" s="8"/>
      <x:c r="C313" s="7"/>
      <x:c r="D313" s="7"/>
      <x:c r="E313" s="7"/>
      <x:c r="F313" s="20"/>
      <x:c r="G313" s="7"/>
      <x:c r="H313" s="7"/>
      <x:c r="I313" s="7"/>
      <x:c r="J313" s="7"/>
      <x:c r="K313" s="7"/>
      <x:c r="L313" s="7"/>
      <x:c r="M313" s="7"/>
      <x:c r="N313" s="7"/>
      <x:c r="O313" s="2" t="str">
        <x:f>IF(A313="","",IF(COUNTIFS($A$7:$A$1506,A313)&gt;1,"Buchung-ID doppelt",IF(OR(NOT(ISNUMBER(B313)),C313="",NOT(ISNUMBER(F313)),H313="",L313=""),"Pflichtangaben fehlen",IF(COUNTIFS('Konten'!$A$7:$A$26,C313)&lt;&gt;1,"Konto nicht eindeutig",IF(J313&lt;&gt;"Ja","Zuordnung bestätigen",IF(OR(AND(H313="Einnahme",F313&lt;0),AND(H313="Ausgabe",F313&gt;0)),"Vorzeichen prüfen",IF(AND(H313="Umbuchung",OR(K313="",COUNTIFS($A$7:$A$1506,K313)&lt;&gt;1)),"Gegenbuchung fehlt",IF(AND(H313="Umbuchung",ROUND(SUMIFS($F$7:$F$1506,$A$7:$A$1506,K313)+F313,2)&lt;&gt;0),"Umbuchung abweichend",IF(OR(G313="",M313="",M313="offen",M313="teilbelegt",H313="Ungeklärt",H313="Bargeld"),"Beleg / Verwendung klären","vollständig erfasst")))))))))</x:f>
      </x:c>
    </x:row>
    <x:row r="314" ht="22" customHeight="1">
      <x:c r="A314" s="7"/>
      <x:c r="B314" s="8"/>
      <x:c r="C314" s="7"/>
      <x:c r="D314" s="7"/>
      <x:c r="E314" s="7"/>
      <x:c r="F314" s="20"/>
      <x:c r="G314" s="7"/>
      <x:c r="H314" s="7"/>
      <x:c r="I314" s="7"/>
      <x:c r="J314" s="7"/>
      <x:c r="K314" s="7"/>
      <x:c r="L314" s="7"/>
      <x:c r="M314" s="7"/>
      <x:c r="N314" s="7"/>
      <x:c r="O314" s="2" t="str">
        <x:f>IF(A314="","",IF(COUNTIFS($A$7:$A$1506,A314)&gt;1,"Buchung-ID doppelt",IF(OR(NOT(ISNUMBER(B314)),C314="",NOT(ISNUMBER(F314)),H314="",L314=""),"Pflichtangaben fehlen",IF(COUNTIFS('Konten'!$A$7:$A$26,C314)&lt;&gt;1,"Konto nicht eindeutig",IF(J314&lt;&gt;"Ja","Zuordnung bestätigen",IF(OR(AND(H314="Einnahme",F314&lt;0),AND(H314="Ausgabe",F314&gt;0)),"Vorzeichen prüfen",IF(AND(H314="Umbuchung",OR(K314="",COUNTIFS($A$7:$A$1506,K314)&lt;&gt;1)),"Gegenbuchung fehlt",IF(AND(H314="Umbuchung",ROUND(SUMIFS($F$7:$F$1506,$A$7:$A$1506,K314)+F314,2)&lt;&gt;0),"Umbuchung abweichend",IF(OR(G314="",M314="",M314="offen",M314="teilbelegt",H314="Ungeklärt",H314="Bargeld"),"Beleg / Verwendung klären","vollständig erfasst")))))))))</x:f>
      </x:c>
    </x:row>
    <x:row r="315" ht="22" customHeight="1">
      <x:c r="A315" s="7"/>
      <x:c r="B315" s="8"/>
      <x:c r="C315" s="7"/>
      <x:c r="D315" s="7"/>
      <x:c r="E315" s="7"/>
      <x:c r="F315" s="20"/>
      <x:c r="G315" s="7"/>
      <x:c r="H315" s="7"/>
      <x:c r="I315" s="7"/>
      <x:c r="J315" s="7"/>
      <x:c r="K315" s="7"/>
      <x:c r="L315" s="7"/>
      <x:c r="M315" s="7"/>
      <x:c r="N315" s="7"/>
      <x:c r="O315" s="2" t="str">
        <x:f>IF(A315="","",IF(COUNTIFS($A$7:$A$1506,A315)&gt;1,"Buchung-ID doppelt",IF(OR(NOT(ISNUMBER(B315)),C315="",NOT(ISNUMBER(F315)),H315="",L315=""),"Pflichtangaben fehlen",IF(COUNTIFS('Konten'!$A$7:$A$26,C315)&lt;&gt;1,"Konto nicht eindeutig",IF(J315&lt;&gt;"Ja","Zuordnung bestätigen",IF(OR(AND(H315="Einnahme",F315&lt;0),AND(H315="Ausgabe",F315&gt;0)),"Vorzeichen prüfen",IF(AND(H315="Umbuchung",OR(K315="",COUNTIFS($A$7:$A$1506,K315)&lt;&gt;1)),"Gegenbuchung fehlt",IF(AND(H315="Umbuchung",ROUND(SUMIFS($F$7:$F$1506,$A$7:$A$1506,K315)+F315,2)&lt;&gt;0),"Umbuchung abweichend",IF(OR(G315="",M315="",M315="offen",M315="teilbelegt",H315="Ungeklärt",H315="Bargeld"),"Beleg / Verwendung klären","vollständig erfasst")))))))))</x:f>
      </x:c>
    </x:row>
    <x:row r="316" ht="22" customHeight="1">
      <x:c r="A316" s="7"/>
      <x:c r="B316" s="8"/>
      <x:c r="C316" s="7"/>
      <x:c r="D316" s="7"/>
      <x:c r="E316" s="7"/>
      <x:c r="F316" s="20"/>
      <x:c r="G316" s="7"/>
      <x:c r="H316" s="7"/>
      <x:c r="I316" s="7"/>
      <x:c r="J316" s="7"/>
      <x:c r="K316" s="7"/>
      <x:c r="L316" s="7"/>
      <x:c r="M316" s="7"/>
      <x:c r="N316" s="7"/>
      <x:c r="O316" s="2" t="str">
        <x:f>IF(A316="","",IF(COUNTIFS($A$7:$A$1506,A316)&gt;1,"Buchung-ID doppelt",IF(OR(NOT(ISNUMBER(B316)),C316="",NOT(ISNUMBER(F316)),H316="",L316=""),"Pflichtangaben fehlen",IF(COUNTIFS('Konten'!$A$7:$A$26,C316)&lt;&gt;1,"Konto nicht eindeutig",IF(J316&lt;&gt;"Ja","Zuordnung bestätigen",IF(OR(AND(H316="Einnahme",F316&lt;0),AND(H316="Ausgabe",F316&gt;0)),"Vorzeichen prüfen",IF(AND(H316="Umbuchung",OR(K316="",COUNTIFS($A$7:$A$1506,K316)&lt;&gt;1)),"Gegenbuchung fehlt",IF(AND(H316="Umbuchung",ROUND(SUMIFS($F$7:$F$1506,$A$7:$A$1506,K316)+F316,2)&lt;&gt;0),"Umbuchung abweichend",IF(OR(G316="",M316="",M316="offen",M316="teilbelegt",H316="Ungeklärt",H316="Bargeld"),"Beleg / Verwendung klären","vollständig erfasst")))))))))</x:f>
      </x:c>
    </x:row>
    <x:row r="317" ht="22" customHeight="1">
      <x:c r="A317" s="7"/>
      <x:c r="B317" s="8"/>
      <x:c r="C317" s="7"/>
      <x:c r="D317" s="7"/>
      <x:c r="E317" s="7"/>
      <x:c r="F317" s="20"/>
      <x:c r="G317" s="7"/>
      <x:c r="H317" s="7"/>
      <x:c r="I317" s="7"/>
      <x:c r="J317" s="7"/>
      <x:c r="K317" s="7"/>
      <x:c r="L317" s="7"/>
      <x:c r="M317" s="7"/>
      <x:c r="N317" s="7"/>
      <x:c r="O317" s="2" t="str">
        <x:f>IF(A317="","",IF(COUNTIFS($A$7:$A$1506,A317)&gt;1,"Buchung-ID doppelt",IF(OR(NOT(ISNUMBER(B317)),C317="",NOT(ISNUMBER(F317)),H317="",L317=""),"Pflichtangaben fehlen",IF(COUNTIFS('Konten'!$A$7:$A$26,C317)&lt;&gt;1,"Konto nicht eindeutig",IF(J317&lt;&gt;"Ja","Zuordnung bestätigen",IF(OR(AND(H317="Einnahme",F317&lt;0),AND(H317="Ausgabe",F317&gt;0)),"Vorzeichen prüfen",IF(AND(H317="Umbuchung",OR(K317="",COUNTIFS($A$7:$A$1506,K317)&lt;&gt;1)),"Gegenbuchung fehlt",IF(AND(H317="Umbuchung",ROUND(SUMIFS($F$7:$F$1506,$A$7:$A$1506,K317)+F317,2)&lt;&gt;0),"Umbuchung abweichend",IF(OR(G317="",M317="",M317="offen",M317="teilbelegt",H317="Ungeklärt",H317="Bargeld"),"Beleg / Verwendung klären","vollständig erfasst")))))))))</x:f>
      </x:c>
    </x:row>
    <x:row r="318" ht="22" customHeight="1">
      <x:c r="A318" s="7"/>
      <x:c r="B318" s="8"/>
      <x:c r="C318" s="7"/>
      <x:c r="D318" s="7"/>
      <x:c r="E318" s="7"/>
      <x:c r="F318" s="20"/>
      <x:c r="G318" s="7"/>
      <x:c r="H318" s="7"/>
      <x:c r="I318" s="7"/>
      <x:c r="J318" s="7"/>
      <x:c r="K318" s="7"/>
      <x:c r="L318" s="7"/>
      <x:c r="M318" s="7"/>
      <x:c r="N318" s="7"/>
      <x:c r="O318" s="2" t="str">
        <x:f>IF(A318="","",IF(COUNTIFS($A$7:$A$1506,A318)&gt;1,"Buchung-ID doppelt",IF(OR(NOT(ISNUMBER(B318)),C318="",NOT(ISNUMBER(F318)),H318="",L318=""),"Pflichtangaben fehlen",IF(COUNTIFS('Konten'!$A$7:$A$26,C318)&lt;&gt;1,"Konto nicht eindeutig",IF(J318&lt;&gt;"Ja","Zuordnung bestätigen",IF(OR(AND(H318="Einnahme",F318&lt;0),AND(H318="Ausgabe",F318&gt;0)),"Vorzeichen prüfen",IF(AND(H318="Umbuchung",OR(K318="",COUNTIFS($A$7:$A$1506,K318)&lt;&gt;1)),"Gegenbuchung fehlt",IF(AND(H318="Umbuchung",ROUND(SUMIFS($F$7:$F$1506,$A$7:$A$1506,K318)+F318,2)&lt;&gt;0),"Umbuchung abweichend",IF(OR(G318="",M318="",M318="offen",M318="teilbelegt",H318="Ungeklärt",H318="Bargeld"),"Beleg / Verwendung klären","vollständig erfasst")))))))))</x:f>
      </x:c>
    </x:row>
    <x:row r="319" ht="22" customHeight="1">
      <x:c r="A319" s="7"/>
      <x:c r="B319" s="8"/>
      <x:c r="C319" s="7"/>
      <x:c r="D319" s="7"/>
      <x:c r="E319" s="7"/>
      <x:c r="F319" s="20"/>
      <x:c r="G319" s="7"/>
      <x:c r="H319" s="7"/>
      <x:c r="I319" s="7"/>
      <x:c r="J319" s="7"/>
      <x:c r="K319" s="7"/>
      <x:c r="L319" s="7"/>
      <x:c r="M319" s="7"/>
      <x:c r="N319" s="7"/>
      <x:c r="O319" s="2" t="str">
        <x:f>IF(A319="","",IF(COUNTIFS($A$7:$A$1506,A319)&gt;1,"Buchung-ID doppelt",IF(OR(NOT(ISNUMBER(B319)),C319="",NOT(ISNUMBER(F319)),H319="",L319=""),"Pflichtangaben fehlen",IF(COUNTIFS('Konten'!$A$7:$A$26,C319)&lt;&gt;1,"Konto nicht eindeutig",IF(J319&lt;&gt;"Ja","Zuordnung bestätigen",IF(OR(AND(H319="Einnahme",F319&lt;0),AND(H319="Ausgabe",F319&gt;0)),"Vorzeichen prüfen",IF(AND(H319="Umbuchung",OR(K319="",COUNTIFS($A$7:$A$1506,K319)&lt;&gt;1)),"Gegenbuchung fehlt",IF(AND(H319="Umbuchung",ROUND(SUMIFS($F$7:$F$1506,$A$7:$A$1506,K319)+F319,2)&lt;&gt;0),"Umbuchung abweichend",IF(OR(G319="",M319="",M319="offen",M319="teilbelegt",H319="Ungeklärt",H319="Bargeld"),"Beleg / Verwendung klären","vollständig erfasst")))))))))</x:f>
      </x:c>
    </x:row>
    <x:row r="320" ht="22" customHeight="1">
      <x:c r="A320" s="7"/>
      <x:c r="B320" s="8"/>
      <x:c r="C320" s="7"/>
      <x:c r="D320" s="7"/>
      <x:c r="E320" s="7"/>
      <x:c r="F320" s="20"/>
      <x:c r="G320" s="7"/>
      <x:c r="H320" s="7"/>
      <x:c r="I320" s="7"/>
      <x:c r="J320" s="7"/>
      <x:c r="K320" s="7"/>
      <x:c r="L320" s="7"/>
      <x:c r="M320" s="7"/>
      <x:c r="N320" s="7"/>
      <x:c r="O320" s="2" t="str">
        <x:f>IF(A320="","",IF(COUNTIFS($A$7:$A$1506,A320)&gt;1,"Buchung-ID doppelt",IF(OR(NOT(ISNUMBER(B320)),C320="",NOT(ISNUMBER(F320)),H320="",L320=""),"Pflichtangaben fehlen",IF(COUNTIFS('Konten'!$A$7:$A$26,C320)&lt;&gt;1,"Konto nicht eindeutig",IF(J320&lt;&gt;"Ja","Zuordnung bestätigen",IF(OR(AND(H320="Einnahme",F320&lt;0),AND(H320="Ausgabe",F320&gt;0)),"Vorzeichen prüfen",IF(AND(H320="Umbuchung",OR(K320="",COUNTIFS($A$7:$A$1506,K320)&lt;&gt;1)),"Gegenbuchung fehlt",IF(AND(H320="Umbuchung",ROUND(SUMIFS($F$7:$F$1506,$A$7:$A$1506,K320)+F320,2)&lt;&gt;0),"Umbuchung abweichend",IF(OR(G320="",M320="",M320="offen",M320="teilbelegt",H320="Ungeklärt",H320="Bargeld"),"Beleg / Verwendung klären","vollständig erfasst")))))))))</x:f>
      </x:c>
    </x:row>
    <x:row r="321" ht="22" customHeight="1">
      <x:c r="A321" s="7"/>
      <x:c r="B321" s="8"/>
      <x:c r="C321" s="7"/>
      <x:c r="D321" s="7"/>
      <x:c r="E321" s="7"/>
      <x:c r="F321" s="20"/>
      <x:c r="G321" s="7"/>
      <x:c r="H321" s="7"/>
      <x:c r="I321" s="7"/>
      <x:c r="J321" s="7"/>
      <x:c r="K321" s="7"/>
      <x:c r="L321" s="7"/>
      <x:c r="M321" s="7"/>
      <x:c r="N321" s="7"/>
      <x:c r="O321" s="2" t="str">
        <x:f>IF(A321="","",IF(COUNTIFS($A$7:$A$1506,A321)&gt;1,"Buchung-ID doppelt",IF(OR(NOT(ISNUMBER(B321)),C321="",NOT(ISNUMBER(F321)),H321="",L321=""),"Pflichtangaben fehlen",IF(COUNTIFS('Konten'!$A$7:$A$26,C321)&lt;&gt;1,"Konto nicht eindeutig",IF(J321&lt;&gt;"Ja","Zuordnung bestätigen",IF(OR(AND(H321="Einnahme",F321&lt;0),AND(H321="Ausgabe",F321&gt;0)),"Vorzeichen prüfen",IF(AND(H321="Umbuchung",OR(K321="",COUNTIFS($A$7:$A$1506,K321)&lt;&gt;1)),"Gegenbuchung fehlt",IF(AND(H321="Umbuchung",ROUND(SUMIFS($F$7:$F$1506,$A$7:$A$1506,K321)+F321,2)&lt;&gt;0),"Umbuchung abweichend",IF(OR(G321="",M321="",M321="offen",M321="teilbelegt",H321="Ungeklärt",H321="Bargeld"),"Beleg / Verwendung klären","vollständig erfasst")))))))))</x:f>
      </x:c>
    </x:row>
    <x:row r="322" ht="22" customHeight="1">
      <x:c r="A322" s="7"/>
      <x:c r="B322" s="8"/>
      <x:c r="C322" s="7"/>
      <x:c r="D322" s="7"/>
      <x:c r="E322" s="7"/>
      <x:c r="F322" s="20"/>
      <x:c r="G322" s="7"/>
      <x:c r="H322" s="7"/>
      <x:c r="I322" s="7"/>
      <x:c r="J322" s="7"/>
      <x:c r="K322" s="7"/>
      <x:c r="L322" s="7"/>
      <x:c r="M322" s="7"/>
      <x:c r="N322" s="7"/>
      <x:c r="O322" s="2" t="str">
        <x:f>IF(A322="","",IF(COUNTIFS($A$7:$A$1506,A322)&gt;1,"Buchung-ID doppelt",IF(OR(NOT(ISNUMBER(B322)),C322="",NOT(ISNUMBER(F322)),H322="",L322=""),"Pflichtangaben fehlen",IF(COUNTIFS('Konten'!$A$7:$A$26,C322)&lt;&gt;1,"Konto nicht eindeutig",IF(J322&lt;&gt;"Ja","Zuordnung bestätigen",IF(OR(AND(H322="Einnahme",F322&lt;0),AND(H322="Ausgabe",F322&gt;0)),"Vorzeichen prüfen",IF(AND(H322="Umbuchung",OR(K322="",COUNTIFS($A$7:$A$1506,K322)&lt;&gt;1)),"Gegenbuchung fehlt",IF(AND(H322="Umbuchung",ROUND(SUMIFS($F$7:$F$1506,$A$7:$A$1506,K322)+F322,2)&lt;&gt;0),"Umbuchung abweichend",IF(OR(G322="",M322="",M322="offen",M322="teilbelegt",H322="Ungeklärt",H322="Bargeld"),"Beleg / Verwendung klären","vollständig erfasst")))))))))</x:f>
      </x:c>
    </x:row>
    <x:row r="323" ht="22" customHeight="1">
      <x:c r="A323" s="7"/>
      <x:c r="B323" s="8"/>
      <x:c r="C323" s="7"/>
      <x:c r="D323" s="7"/>
      <x:c r="E323" s="7"/>
      <x:c r="F323" s="20"/>
      <x:c r="G323" s="7"/>
      <x:c r="H323" s="7"/>
      <x:c r="I323" s="7"/>
      <x:c r="J323" s="7"/>
      <x:c r="K323" s="7"/>
      <x:c r="L323" s="7"/>
      <x:c r="M323" s="7"/>
      <x:c r="N323" s="7"/>
      <x:c r="O323" s="2" t="str">
        <x:f>IF(A323="","",IF(COUNTIFS($A$7:$A$1506,A323)&gt;1,"Buchung-ID doppelt",IF(OR(NOT(ISNUMBER(B323)),C323="",NOT(ISNUMBER(F323)),H323="",L323=""),"Pflichtangaben fehlen",IF(COUNTIFS('Konten'!$A$7:$A$26,C323)&lt;&gt;1,"Konto nicht eindeutig",IF(J323&lt;&gt;"Ja","Zuordnung bestätigen",IF(OR(AND(H323="Einnahme",F323&lt;0),AND(H323="Ausgabe",F323&gt;0)),"Vorzeichen prüfen",IF(AND(H323="Umbuchung",OR(K323="",COUNTIFS($A$7:$A$1506,K323)&lt;&gt;1)),"Gegenbuchung fehlt",IF(AND(H323="Umbuchung",ROUND(SUMIFS($F$7:$F$1506,$A$7:$A$1506,K323)+F323,2)&lt;&gt;0),"Umbuchung abweichend",IF(OR(G323="",M323="",M323="offen",M323="teilbelegt",H323="Ungeklärt",H323="Bargeld"),"Beleg / Verwendung klären","vollständig erfasst")))))))))</x:f>
      </x:c>
    </x:row>
    <x:row r="324" ht="22" customHeight="1">
      <x:c r="A324" s="7"/>
      <x:c r="B324" s="8"/>
      <x:c r="C324" s="7"/>
      <x:c r="D324" s="7"/>
      <x:c r="E324" s="7"/>
      <x:c r="F324" s="20"/>
      <x:c r="G324" s="7"/>
      <x:c r="H324" s="7"/>
      <x:c r="I324" s="7"/>
      <x:c r="J324" s="7"/>
      <x:c r="K324" s="7"/>
      <x:c r="L324" s="7"/>
      <x:c r="M324" s="7"/>
      <x:c r="N324" s="7"/>
      <x:c r="O324" s="2" t="str">
        <x:f>IF(A324="","",IF(COUNTIFS($A$7:$A$1506,A324)&gt;1,"Buchung-ID doppelt",IF(OR(NOT(ISNUMBER(B324)),C324="",NOT(ISNUMBER(F324)),H324="",L324=""),"Pflichtangaben fehlen",IF(COUNTIFS('Konten'!$A$7:$A$26,C324)&lt;&gt;1,"Konto nicht eindeutig",IF(J324&lt;&gt;"Ja","Zuordnung bestätigen",IF(OR(AND(H324="Einnahme",F324&lt;0),AND(H324="Ausgabe",F324&gt;0)),"Vorzeichen prüfen",IF(AND(H324="Umbuchung",OR(K324="",COUNTIFS($A$7:$A$1506,K324)&lt;&gt;1)),"Gegenbuchung fehlt",IF(AND(H324="Umbuchung",ROUND(SUMIFS($F$7:$F$1506,$A$7:$A$1506,K324)+F324,2)&lt;&gt;0),"Umbuchung abweichend",IF(OR(G324="",M324="",M324="offen",M324="teilbelegt",H324="Ungeklärt",H324="Bargeld"),"Beleg / Verwendung klären","vollständig erfasst")))))))))</x:f>
      </x:c>
    </x:row>
    <x:row r="325" ht="22" customHeight="1">
      <x:c r="A325" s="7"/>
      <x:c r="B325" s="8"/>
      <x:c r="C325" s="7"/>
      <x:c r="D325" s="7"/>
      <x:c r="E325" s="7"/>
      <x:c r="F325" s="20"/>
      <x:c r="G325" s="7"/>
      <x:c r="H325" s="7"/>
      <x:c r="I325" s="7"/>
      <x:c r="J325" s="7"/>
      <x:c r="K325" s="7"/>
      <x:c r="L325" s="7"/>
      <x:c r="M325" s="7"/>
      <x:c r="N325" s="7"/>
      <x:c r="O325" s="2" t="str">
        <x:f>IF(A325="","",IF(COUNTIFS($A$7:$A$1506,A325)&gt;1,"Buchung-ID doppelt",IF(OR(NOT(ISNUMBER(B325)),C325="",NOT(ISNUMBER(F325)),H325="",L325=""),"Pflichtangaben fehlen",IF(COUNTIFS('Konten'!$A$7:$A$26,C325)&lt;&gt;1,"Konto nicht eindeutig",IF(J325&lt;&gt;"Ja","Zuordnung bestätigen",IF(OR(AND(H325="Einnahme",F325&lt;0),AND(H325="Ausgabe",F325&gt;0)),"Vorzeichen prüfen",IF(AND(H325="Umbuchung",OR(K325="",COUNTIFS($A$7:$A$1506,K325)&lt;&gt;1)),"Gegenbuchung fehlt",IF(AND(H325="Umbuchung",ROUND(SUMIFS($F$7:$F$1506,$A$7:$A$1506,K325)+F325,2)&lt;&gt;0),"Umbuchung abweichend",IF(OR(G325="",M325="",M325="offen",M325="teilbelegt",H325="Ungeklärt",H325="Bargeld"),"Beleg / Verwendung klären","vollständig erfasst")))))))))</x:f>
      </x:c>
    </x:row>
    <x:row r="326" ht="22" customHeight="1">
      <x:c r="A326" s="7"/>
      <x:c r="B326" s="8"/>
      <x:c r="C326" s="7"/>
      <x:c r="D326" s="7"/>
      <x:c r="E326" s="7"/>
      <x:c r="F326" s="20"/>
      <x:c r="G326" s="7"/>
      <x:c r="H326" s="7"/>
      <x:c r="I326" s="7"/>
      <x:c r="J326" s="7"/>
      <x:c r="K326" s="7"/>
      <x:c r="L326" s="7"/>
      <x:c r="M326" s="7"/>
      <x:c r="N326" s="7"/>
      <x:c r="O326" s="2" t="str">
        <x:f>IF(A326="","",IF(COUNTIFS($A$7:$A$1506,A326)&gt;1,"Buchung-ID doppelt",IF(OR(NOT(ISNUMBER(B326)),C326="",NOT(ISNUMBER(F326)),H326="",L326=""),"Pflichtangaben fehlen",IF(COUNTIFS('Konten'!$A$7:$A$26,C326)&lt;&gt;1,"Konto nicht eindeutig",IF(J326&lt;&gt;"Ja","Zuordnung bestätigen",IF(OR(AND(H326="Einnahme",F326&lt;0),AND(H326="Ausgabe",F326&gt;0)),"Vorzeichen prüfen",IF(AND(H326="Umbuchung",OR(K326="",COUNTIFS($A$7:$A$1506,K326)&lt;&gt;1)),"Gegenbuchung fehlt",IF(AND(H326="Umbuchung",ROUND(SUMIFS($F$7:$F$1506,$A$7:$A$1506,K326)+F326,2)&lt;&gt;0),"Umbuchung abweichend",IF(OR(G326="",M326="",M326="offen",M326="teilbelegt",H326="Ungeklärt",H326="Bargeld"),"Beleg / Verwendung klären","vollständig erfasst")))))))))</x:f>
      </x:c>
    </x:row>
    <x:row r="327" ht="22" customHeight="1">
      <x:c r="A327" s="7"/>
      <x:c r="B327" s="8"/>
      <x:c r="C327" s="7"/>
      <x:c r="D327" s="7"/>
      <x:c r="E327" s="7"/>
      <x:c r="F327" s="20"/>
      <x:c r="G327" s="7"/>
      <x:c r="H327" s="7"/>
      <x:c r="I327" s="7"/>
      <x:c r="J327" s="7"/>
      <x:c r="K327" s="7"/>
      <x:c r="L327" s="7"/>
      <x:c r="M327" s="7"/>
      <x:c r="N327" s="7"/>
      <x:c r="O327" s="2" t="str">
        <x:f>IF(A327="","",IF(COUNTIFS($A$7:$A$1506,A327)&gt;1,"Buchung-ID doppelt",IF(OR(NOT(ISNUMBER(B327)),C327="",NOT(ISNUMBER(F327)),H327="",L327=""),"Pflichtangaben fehlen",IF(COUNTIFS('Konten'!$A$7:$A$26,C327)&lt;&gt;1,"Konto nicht eindeutig",IF(J327&lt;&gt;"Ja","Zuordnung bestätigen",IF(OR(AND(H327="Einnahme",F327&lt;0),AND(H327="Ausgabe",F327&gt;0)),"Vorzeichen prüfen",IF(AND(H327="Umbuchung",OR(K327="",COUNTIFS($A$7:$A$1506,K327)&lt;&gt;1)),"Gegenbuchung fehlt",IF(AND(H327="Umbuchung",ROUND(SUMIFS($F$7:$F$1506,$A$7:$A$1506,K327)+F327,2)&lt;&gt;0),"Umbuchung abweichend",IF(OR(G327="",M327="",M327="offen",M327="teilbelegt",H327="Ungeklärt",H327="Bargeld"),"Beleg / Verwendung klären","vollständig erfasst")))))))))</x:f>
      </x:c>
    </x:row>
    <x:row r="328" ht="22" customHeight="1">
      <x:c r="A328" s="7"/>
      <x:c r="B328" s="8"/>
      <x:c r="C328" s="7"/>
      <x:c r="D328" s="7"/>
      <x:c r="E328" s="7"/>
      <x:c r="F328" s="20"/>
      <x:c r="G328" s="7"/>
      <x:c r="H328" s="7"/>
      <x:c r="I328" s="7"/>
      <x:c r="J328" s="7"/>
      <x:c r="K328" s="7"/>
      <x:c r="L328" s="7"/>
      <x:c r="M328" s="7"/>
      <x:c r="N328" s="7"/>
      <x:c r="O328" s="2" t="str">
        <x:f>IF(A328="","",IF(COUNTIFS($A$7:$A$1506,A328)&gt;1,"Buchung-ID doppelt",IF(OR(NOT(ISNUMBER(B328)),C328="",NOT(ISNUMBER(F328)),H328="",L328=""),"Pflichtangaben fehlen",IF(COUNTIFS('Konten'!$A$7:$A$26,C328)&lt;&gt;1,"Konto nicht eindeutig",IF(J328&lt;&gt;"Ja","Zuordnung bestätigen",IF(OR(AND(H328="Einnahme",F328&lt;0),AND(H328="Ausgabe",F328&gt;0)),"Vorzeichen prüfen",IF(AND(H328="Umbuchung",OR(K328="",COUNTIFS($A$7:$A$1506,K328)&lt;&gt;1)),"Gegenbuchung fehlt",IF(AND(H328="Umbuchung",ROUND(SUMIFS($F$7:$F$1506,$A$7:$A$1506,K328)+F328,2)&lt;&gt;0),"Umbuchung abweichend",IF(OR(G328="",M328="",M328="offen",M328="teilbelegt",H328="Ungeklärt",H328="Bargeld"),"Beleg / Verwendung klären","vollständig erfasst")))))))))</x:f>
      </x:c>
    </x:row>
    <x:row r="329" ht="22" customHeight="1">
      <x:c r="A329" s="7"/>
      <x:c r="B329" s="8"/>
      <x:c r="C329" s="7"/>
      <x:c r="D329" s="7"/>
      <x:c r="E329" s="7"/>
      <x:c r="F329" s="20"/>
      <x:c r="G329" s="7"/>
      <x:c r="H329" s="7"/>
      <x:c r="I329" s="7"/>
      <x:c r="J329" s="7"/>
      <x:c r="K329" s="7"/>
      <x:c r="L329" s="7"/>
      <x:c r="M329" s="7"/>
      <x:c r="N329" s="7"/>
      <x:c r="O329" s="2" t="str">
        <x:f>IF(A329="","",IF(COUNTIFS($A$7:$A$1506,A329)&gt;1,"Buchung-ID doppelt",IF(OR(NOT(ISNUMBER(B329)),C329="",NOT(ISNUMBER(F329)),H329="",L329=""),"Pflichtangaben fehlen",IF(COUNTIFS('Konten'!$A$7:$A$26,C329)&lt;&gt;1,"Konto nicht eindeutig",IF(J329&lt;&gt;"Ja","Zuordnung bestätigen",IF(OR(AND(H329="Einnahme",F329&lt;0),AND(H329="Ausgabe",F329&gt;0)),"Vorzeichen prüfen",IF(AND(H329="Umbuchung",OR(K329="",COUNTIFS($A$7:$A$1506,K329)&lt;&gt;1)),"Gegenbuchung fehlt",IF(AND(H329="Umbuchung",ROUND(SUMIFS($F$7:$F$1506,$A$7:$A$1506,K329)+F329,2)&lt;&gt;0),"Umbuchung abweichend",IF(OR(G329="",M329="",M329="offen",M329="teilbelegt",H329="Ungeklärt",H329="Bargeld"),"Beleg / Verwendung klären","vollständig erfasst")))))))))</x:f>
      </x:c>
    </x:row>
    <x:row r="330" ht="22" customHeight="1">
      <x:c r="A330" s="7"/>
      <x:c r="B330" s="8"/>
      <x:c r="C330" s="7"/>
      <x:c r="D330" s="7"/>
      <x:c r="E330" s="7"/>
      <x:c r="F330" s="20"/>
      <x:c r="G330" s="7"/>
      <x:c r="H330" s="7"/>
      <x:c r="I330" s="7"/>
      <x:c r="J330" s="7"/>
      <x:c r="K330" s="7"/>
      <x:c r="L330" s="7"/>
      <x:c r="M330" s="7"/>
      <x:c r="N330" s="7"/>
      <x:c r="O330" s="2" t="str">
        <x:f>IF(A330="","",IF(COUNTIFS($A$7:$A$1506,A330)&gt;1,"Buchung-ID doppelt",IF(OR(NOT(ISNUMBER(B330)),C330="",NOT(ISNUMBER(F330)),H330="",L330=""),"Pflichtangaben fehlen",IF(COUNTIFS('Konten'!$A$7:$A$26,C330)&lt;&gt;1,"Konto nicht eindeutig",IF(J330&lt;&gt;"Ja","Zuordnung bestätigen",IF(OR(AND(H330="Einnahme",F330&lt;0),AND(H330="Ausgabe",F330&gt;0)),"Vorzeichen prüfen",IF(AND(H330="Umbuchung",OR(K330="",COUNTIFS($A$7:$A$1506,K330)&lt;&gt;1)),"Gegenbuchung fehlt",IF(AND(H330="Umbuchung",ROUND(SUMIFS($F$7:$F$1506,$A$7:$A$1506,K330)+F330,2)&lt;&gt;0),"Umbuchung abweichend",IF(OR(G330="",M330="",M330="offen",M330="teilbelegt",H330="Ungeklärt",H330="Bargeld"),"Beleg / Verwendung klären","vollständig erfasst")))))))))</x:f>
      </x:c>
    </x:row>
    <x:row r="331" ht="22" customHeight="1">
      <x:c r="A331" s="7"/>
      <x:c r="B331" s="8"/>
      <x:c r="C331" s="7"/>
      <x:c r="D331" s="7"/>
      <x:c r="E331" s="7"/>
      <x:c r="F331" s="20"/>
      <x:c r="G331" s="7"/>
      <x:c r="H331" s="7"/>
      <x:c r="I331" s="7"/>
      <x:c r="J331" s="7"/>
      <x:c r="K331" s="7"/>
      <x:c r="L331" s="7"/>
      <x:c r="M331" s="7"/>
      <x:c r="N331" s="7"/>
      <x:c r="O331" s="2" t="str">
        <x:f>IF(A331="","",IF(COUNTIFS($A$7:$A$1506,A331)&gt;1,"Buchung-ID doppelt",IF(OR(NOT(ISNUMBER(B331)),C331="",NOT(ISNUMBER(F331)),H331="",L331=""),"Pflichtangaben fehlen",IF(COUNTIFS('Konten'!$A$7:$A$26,C331)&lt;&gt;1,"Konto nicht eindeutig",IF(J331&lt;&gt;"Ja","Zuordnung bestätigen",IF(OR(AND(H331="Einnahme",F331&lt;0),AND(H331="Ausgabe",F331&gt;0)),"Vorzeichen prüfen",IF(AND(H331="Umbuchung",OR(K331="",COUNTIFS($A$7:$A$1506,K331)&lt;&gt;1)),"Gegenbuchung fehlt",IF(AND(H331="Umbuchung",ROUND(SUMIFS($F$7:$F$1506,$A$7:$A$1506,K331)+F331,2)&lt;&gt;0),"Umbuchung abweichend",IF(OR(G331="",M331="",M331="offen",M331="teilbelegt",H331="Ungeklärt",H331="Bargeld"),"Beleg / Verwendung klären","vollständig erfasst")))))))))</x:f>
      </x:c>
    </x:row>
    <x:row r="332" ht="22" customHeight="1">
      <x:c r="A332" s="7"/>
      <x:c r="B332" s="8"/>
      <x:c r="C332" s="7"/>
      <x:c r="D332" s="7"/>
      <x:c r="E332" s="7"/>
      <x:c r="F332" s="20"/>
      <x:c r="G332" s="7"/>
      <x:c r="H332" s="7"/>
      <x:c r="I332" s="7"/>
      <x:c r="J332" s="7"/>
      <x:c r="K332" s="7"/>
      <x:c r="L332" s="7"/>
      <x:c r="M332" s="7"/>
      <x:c r="N332" s="7"/>
      <x:c r="O332" s="2" t="str">
        <x:f>IF(A332="","",IF(COUNTIFS($A$7:$A$1506,A332)&gt;1,"Buchung-ID doppelt",IF(OR(NOT(ISNUMBER(B332)),C332="",NOT(ISNUMBER(F332)),H332="",L332=""),"Pflichtangaben fehlen",IF(COUNTIFS('Konten'!$A$7:$A$26,C332)&lt;&gt;1,"Konto nicht eindeutig",IF(J332&lt;&gt;"Ja","Zuordnung bestätigen",IF(OR(AND(H332="Einnahme",F332&lt;0),AND(H332="Ausgabe",F332&gt;0)),"Vorzeichen prüfen",IF(AND(H332="Umbuchung",OR(K332="",COUNTIFS($A$7:$A$1506,K332)&lt;&gt;1)),"Gegenbuchung fehlt",IF(AND(H332="Umbuchung",ROUND(SUMIFS($F$7:$F$1506,$A$7:$A$1506,K332)+F332,2)&lt;&gt;0),"Umbuchung abweichend",IF(OR(G332="",M332="",M332="offen",M332="teilbelegt",H332="Ungeklärt",H332="Bargeld"),"Beleg / Verwendung klären","vollständig erfasst")))))))))</x:f>
      </x:c>
    </x:row>
    <x:row r="333" ht="22" customHeight="1">
      <x:c r="A333" s="7"/>
      <x:c r="B333" s="8"/>
      <x:c r="C333" s="7"/>
      <x:c r="D333" s="7"/>
      <x:c r="E333" s="7"/>
      <x:c r="F333" s="20"/>
      <x:c r="G333" s="7"/>
      <x:c r="H333" s="7"/>
      <x:c r="I333" s="7"/>
      <x:c r="J333" s="7"/>
      <x:c r="K333" s="7"/>
      <x:c r="L333" s="7"/>
      <x:c r="M333" s="7"/>
      <x:c r="N333" s="7"/>
      <x:c r="O333" s="2" t="str">
        <x:f>IF(A333="","",IF(COUNTIFS($A$7:$A$1506,A333)&gt;1,"Buchung-ID doppelt",IF(OR(NOT(ISNUMBER(B333)),C333="",NOT(ISNUMBER(F333)),H333="",L333=""),"Pflichtangaben fehlen",IF(COUNTIFS('Konten'!$A$7:$A$26,C333)&lt;&gt;1,"Konto nicht eindeutig",IF(J333&lt;&gt;"Ja","Zuordnung bestätigen",IF(OR(AND(H333="Einnahme",F333&lt;0),AND(H333="Ausgabe",F333&gt;0)),"Vorzeichen prüfen",IF(AND(H333="Umbuchung",OR(K333="",COUNTIFS($A$7:$A$1506,K333)&lt;&gt;1)),"Gegenbuchung fehlt",IF(AND(H333="Umbuchung",ROUND(SUMIFS($F$7:$F$1506,$A$7:$A$1506,K333)+F333,2)&lt;&gt;0),"Umbuchung abweichend",IF(OR(G333="",M333="",M333="offen",M333="teilbelegt",H333="Ungeklärt",H333="Bargeld"),"Beleg / Verwendung klären","vollständig erfasst")))))))))</x:f>
      </x:c>
    </x:row>
    <x:row r="334" ht="22" customHeight="1">
      <x:c r="A334" s="7"/>
      <x:c r="B334" s="8"/>
      <x:c r="C334" s="7"/>
      <x:c r="D334" s="7"/>
      <x:c r="E334" s="7"/>
      <x:c r="F334" s="20"/>
      <x:c r="G334" s="7"/>
      <x:c r="H334" s="7"/>
      <x:c r="I334" s="7"/>
      <x:c r="J334" s="7"/>
      <x:c r="K334" s="7"/>
      <x:c r="L334" s="7"/>
      <x:c r="M334" s="7"/>
      <x:c r="N334" s="7"/>
      <x:c r="O334" s="2" t="str">
        <x:f>IF(A334="","",IF(COUNTIFS($A$7:$A$1506,A334)&gt;1,"Buchung-ID doppelt",IF(OR(NOT(ISNUMBER(B334)),C334="",NOT(ISNUMBER(F334)),H334="",L334=""),"Pflichtangaben fehlen",IF(COUNTIFS('Konten'!$A$7:$A$26,C334)&lt;&gt;1,"Konto nicht eindeutig",IF(J334&lt;&gt;"Ja","Zuordnung bestätigen",IF(OR(AND(H334="Einnahme",F334&lt;0),AND(H334="Ausgabe",F334&gt;0)),"Vorzeichen prüfen",IF(AND(H334="Umbuchung",OR(K334="",COUNTIFS($A$7:$A$1506,K334)&lt;&gt;1)),"Gegenbuchung fehlt",IF(AND(H334="Umbuchung",ROUND(SUMIFS($F$7:$F$1506,$A$7:$A$1506,K334)+F334,2)&lt;&gt;0),"Umbuchung abweichend",IF(OR(G334="",M334="",M334="offen",M334="teilbelegt",H334="Ungeklärt",H334="Bargeld"),"Beleg / Verwendung klären","vollständig erfasst")))))))))</x:f>
      </x:c>
    </x:row>
    <x:row r="335" ht="22" customHeight="1">
      <x:c r="A335" s="7"/>
      <x:c r="B335" s="8"/>
      <x:c r="C335" s="7"/>
      <x:c r="D335" s="7"/>
      <x:c r="E335" s="7"/>
      <x:c r="F335" s="20"/>
      <x:c r="G335" s="7"/>
      <x:c r="H335" s="7"/>
      <x:c r="I335" s="7"/>
      <x:c r="J335" s="7"/>
      <x:c r="K335" s="7"/>
      <x:c r="L335" s="7"/>
      <x:c r="M335" s="7"/>
      <x:c r="N335" s="7"/>
      <x:c r="O335" s="2" t="str">
        <x:f>IF(A335="","",IF(COUNTIFS($A$7:$A$1506,A335)&gt;1,"Buchung-ID doppelt",IF(OR(NOT(ISNUMBER(B335)),C335="",NOT(ISNUMBER(F335)),H335="",L335=""),"Pflichtangaben fehlen",IF(COUNTIFS('Konten'!$A$7:$A$26,C335)&lt;&gt;1,"Konto nicht eindeutig",IF(J335&lt;&gt;"Ja","Zuordnung bestätigen",IF(OR(AND(H335="Einnahme",F335&lt;0),AND(H335="Ausgabe",F335&gt;0)),"Vorzeichen prüfen",IF(AND(H335="Umbuchung",OR(K335="",COUNTIFS($A$7:$A$1506,K335)&lt;&gt;1)),"Gegenbuchung fehlt",IF(AND(H335="Umbuchung",ROUND(SUMIFS($F$7:$F$1506,$A$7:$A$1506,K335)+F335,2)&lt;&gt;0),"Umbuchung abweichend",IF(OR(G335="",M335="",M335="offen",M335="teilbelegt",H335="Ungeklärt",H335="Bargeld"),"Beleg / Verwendung klären","vollständig erfasst")))))))))</x:f>
      </x:c>
    </x:row>
    <x:row r="336" ht="22" customHeight="1">
      <x:c r="A336" s="7"/>
      <x:c r="B336" s="8"/>
      <x:c r="C336" s="7"/>
      <x:c r="D336" s="7"/>
      <x:c r="E336" s="7"/>
      <x:c r="F336" s="20"/>
      <x:c r="G336" s="7"/>
      <x:c r="H336" s="7"/>
      <x:c r="I336" s="7"/>
      <x:c r="J336" s="7"/>
      <x:c r="K336" s="7"/>
      <x:c r="L336" s="7"/>
      <x:c r="M336" s="7"/>
      <x:c r="N336" s="7"/>
      <x:c r="O336" s="2" t="str">
        <x:f>IF(A336="","",IF(COUNTIFS($A$7:$A$1506,A336)&gt;1,"Buchung-ID doppelt",IF(OR(NOT(ISNUMBER(B336)),C336="",NOT(ISNUMBER(F336)),H336="",L336=""),"Pflichtangaben fehlen",IF(COUNTIFS('Konten'!$A$7:$A$26,C336)&lt;&gt;1,"Konto nicht eindeutig",IF(J336&lt;&gt;"Ja","Zuordnung bestätigen",IF(OR(AND(H336="Einnahme",F336&lt;0),AND(H336="Ausgabe",F336&gt;0)),"Vorzeichen prüfen",IF(AND(H336="Umbuchung",OR(K336="",COUNTIFS($A$7:$A$1506,K336)&lt;&gt;1)),"Gegenbuchung fehlt",IF(AND(H336="Umbuchung",ROUND(SUMIFS($F$7:$F$1506,$A$7:$A$1506,K336)+F336,2)&lt;&gt;0),"Umbuchung abweichend",IF(OR(G336="",M336="",M336="offen",M336="teilbelegt",H336="Ungeklärt",H336="Bargeld"),"Beleg / Verwendung klären","vollständig erfasst")))))))))</x:f>
      </x:c>
    </x:row>
    <x:row r="337" ht="22" customHeight="1">
      <x:c r="A337" s="7"/>
      <x:c r="B337" s="8"/>
      <x:c r="C337" s="7"/>
      <x:c r="D337" s="7"/>
      <x:c r="E337" s="7"/>
      <x:c r="F337" s="20"/>
      <x:c r="G337" s="7"/>
      <x:c r="H337" s="7"/>
      <x:c r="I337" s="7"/>
      <x:c r="J337" s="7"/>
      <x:c r="K337" s="7"/>
      <x:c r="L337" s="7"/>
      <x:c r="M337" s="7"/>
      <x:c r="N337" s="7"/>
      <x:c r="O337" s="2" t="str">
        <x:f>IF(A337="","",IF(COUNTIFS($A$7:$A$1506,A337)&gt;1,"Buchung-ID doppelt",IF(OR(NOT(ISNUMBER(B337)),C337="",NOT(ISNUMBER(F337)),H337="",L337=""),"Pflichtangaben fehlen",IF(COUNTIFS('Konten'!$A$7:$A$26,C337)&lt;&gt;1,"Konto nicht eindeutig",IF(J337&lt;&gt;"Ja","Zuordnung bestätigen",IF(OR(AND(H337="Einnahme",F337&lt;0),AND(H337="Ausgabe",F337&gt;0)),"Vorzeichen prüfen",IF(AND(H337="Umbuchung",OR(K337="",COUNTIFS($A$7:$A$1506,K337)&lt;&gt;1)),"Gegenbuchung fehlt",IF(AND(H337="Umbuchung",ROUND(SUMIFS($F$7:$F$1506,$A$7:$A$1506,K337)+F337,2)&lt;&gt;0),"Umbuchung abweichend",IF(OR(G337="",M337="",M337="offen",M337="teilbelegt",H337="Ungeklärt",H337="Bargeld"),"Beleg / Verwendung klären","vollständig erfasst")))))))))</x:f>
      </x:c>
    </x:row>
    <x:row r="338" ht="22" customHeight="1">
      <x:c r="A338" s="7"/>
      <x:c r="B338" s="8"/>
      <x:c r="C338" s="7"/>
      <x:c r="D338" s="7"/>
      <x:c r="E338" s="7"/>
      <x:c r="F338" s="20"/>
      <x:c r="G338" s="7"/>
      <x:c r="H338" s="7"/>
      <x:c r="I338" s="7"/>
      <x:c r="J338" s="7"/>
      <x:c r="K338" s="7"/>
      <x:c r="L338" s="7"/>
      <x:c r="M338" s="7"/>
      <x:c r="N338" s="7"/>
      <x:c r="O338" s="2" t="str">
        <x:f>IF(A338="","",IF(COUNTIFS($A$7:$A$1506,A338)&gt;1,"Buchung-ID doppelt",IF(OR(NOT(ISNUMBER(B338)),C338="",NOT(ISNUMBER(F338)),H338="",L338=""),"Pflichtangaben fehlen",IF(COUNTIFS('Konten'!$A$7:$A$26,C338)&lt;&gt;1,"Konto nicht eindeutig",IF(J338&lt;&gt;"Ja","Zuordnung bestätigen",IF(OR(AND(H338="Einnahme",F338&lt;0),AND(H338="Ausgabe",F338&gt;0)),"Vorzeichen prüfen",IF(AND(H338="Umbuchung",OR(K338="",COUNTIFS($A$7:$A$1506,K338)&lt;&gt;1)),"Gegenbuchung fehlt",IF(AND(H338="Umbuchung",ROUND(SUMIFS($F$7:$F$1506,$A$7:$A$1506,K338)+F338,2)&lt;&gt;0),"Umbuchung abweichend",IF(OR(G338="",M338="",M338="offen",M338="teilbelegt",H338="Ungeklärt",H338="Bargeld"),"Beleg / Verwendung klären","vollständig erfasst")))))))))</x:f>
      </x:c>
    </x:row>
    <x:row r="339" ht="22" customHeight="1">
      <x:c r="A339" s="7"/>
      <x:c r="B339" s="8"/>
      <x:c r="C339" s="7"/>
      <x:c r="D339" s="7"/>
      <x:c r="E339" s="7"/>
      <x:c r="F339" s="20"/>
      <x:c r="G339" s="7"/>
      <x:c r="H339" s="7"/>
      <x:c r="I339" s="7"/>
      <x:c r="J339" s="7"/>
      <x:c r="K339" s="7"/>
      <x:c r="L339" s="7"/>
      <x:c r="M339" s="7"/>
      <x:c r="N339" s="7"/>
      <x:c r="O339" s="2" t="str">
        <x:f>IF(A339="","",IF(COUNTIFS($A$7:$A$1506,A339)&gt;1,"Buchung-ID doppelt",IF(OR(NOT(ISNUMBER(B339)),C339="",NOT(ISNUMBER(F339)),H339="",L339=""),"Pflichtangaben fehlen",IF(COUNTIFS('Konten'!$A$7:$A$26,C339)&lt;&gt;1,"Konto nicht eindeutig",IF(J339&lt;&gt;"Ja","Zuordnung bestätigen",IF(OR(AND(H339="Einnahme",F339&lt;0),AND(H339="Ausgabe",F339&gt;0)),"Vorzeichen prüfen",IF(AND(H339="Umbuchung",OR(K339="",COUNTIFS($A$7:$A$1506,K339)&lt;&gt;1)),"Gegenbuchung fehlt",IF(AND(H339="Umbuchung",ROUND(SUMIFS($F$7:$F$1506,$A$7:$A$1506,K339)+F339,2)&lt;&gt;0),"Umbuchung abweichend",IF(OR(G339="",M339="",M339="offen",M339="teilbelegt",H339="Ungeklärt",H339="Bargeld"),"Beleg / Verwendung klären","vollständig erfasst")))))))))</x:f>
      </x:c>
    </x:row>
    <x:row r="340" ht="22" customHeight="1">
      <x:c r="A340" s="7"/>
      <x:c r="B340" s="8"/>
      <x:c r="C340" s="7"/>
      <x:c r="D340" s="7"/>
      <x:c r="E340" s="7"/>
      <x:c r="F340" s="20"/>
      <x:c r="G340" s="7"/>
      <x:c r="H340" s="7"/>
      <x:c r="I340" s="7"/>
      <x:c r="J340" s="7"/>
      <x:c r="K340" s="7"/>
      <x:c r="L340" s="7"/>
      <x:c r="M340" s="7"/>
      <x:c r="N340" s="7"/>
      <x:c r="O340" s="2" t="str">
        <x:f>IF(A340="","",IF(COUNTIFS($A$7:$A$1506,A340)&gt;1,"Buchung-ID doppelt",IF(OR(NOT(ISNUMBER(B340)),C340="",NOT(ISNUMBER(F340)),H340="",L340=""),"Pflichtangaben fehlen",IF(COUNTIFS('Konten'!$A$7:$A$26,C340)&lt;&gt;1,"Konto nicht eindeutig",IF(J340&lt;&gt;"Ja","Zuordnung bestätigen",IF(OR(AND(H340="Einnahme",F340&lt;0),AND(H340="Ausgabe",F340&gt;0)),"Vorzeichen prüfen",IF(AND(H340="Umbuchung",OR(K340="",COUNTIFS($A$7:$A$1506,K340)&lt;&gt;1)),"Gegenbuchung fehlt",IF(AND(H340="Umbuchung",ROUND(SUMIFS($F$7:$F$1506,$A$7:$A$1506,K340)+F340,2)&lt;&gt;0),"Umbuchung abweichend",IF(OR(G340="",M340="",M340="offen",M340="teilbelegt",H340="Ungeklärt",H340="Bargeld"),"Beleg / Verwendung klären","vollständig erfasst")))))))))</x:f>
      </x:c>
    </x:row>
    <x:row r="341" ht="22" customHeight="1">
      <x:c r="A341" s="7"/>
      <x:c r="B341" s="8"/>
      <x:c r="C341" s="7"/>
      <x:c r="D341" s="7"/>
      <x:c r="E341" s="7"/>
      <x:c r="F341" s="20"/>
      <x:c r="G341" s="7"/>
      <x:c r="H341" s="7"/>
      <x:c r="I341" s="7"/>
      <x:c r="J341" s="7"/>
      <x:c r="K341" s="7"/>
      <x:c r="L341" s="7"/>
      <x:c r="M341" s="7"/>
      <x:c r="N341" s="7"/>
      <x:c r="O341" s="2" t="str">
        <x:f>IF(A341="","",IF(COUNTIFS($A$7:$A$1506,A341)&gt;1,"Buchung-ID doppelt",IF(OR(NOT(ISNUMBER(B341)),C341="",NOT(ISNUMBER(F341)),H341="",L341=""),"Pflichtangaben fehlen",IF(COUNTIFS('Konten'!$A$7:$A$26,C341)&lt;&gt;1,"Konto nicht eindeutig",IF(J341&lt;&gt;"Ja","Zuordnung bestätigen",IF(OR(AND(H341="Einnahme",F341&lt;0),AND(H341="Ausgabe",F341&gt;0)),"Vorzeichen prüfen",IF(AND(H341="Umbuchung",OR(K341="",COUNTIFS($A$7:$A$1506,K341)&lt;&gt;1)),"Gegenbuchung fehlt",IF(AND(H341="Umbuchung",ROUND(SUMIFS($F$7:$F$1506,$A$7:$A$1506,K341)+F341,2)&lt;&gt;0),"Umbuchung abweichend",IF(OR(G341="",M341="",M341="offen",M341="teilbelegt",H341="Ungeklärt",H341="Bargeld"),"Beleg / Verwendung klären","vollständig erfasst")))))))))</x:f>
      </x:c>
    </x:row>
    <x:row r="342" ht="22" customHeight="1">
      <x:c r="A342" s="7"/>
      <x:c r="B342" s="8"/>
      <x:c r="C342" s="7"/>
      <x:c r="D342" s="7"/>
      <x:c r="E342" s="7"/>
      <x:c r="F342" s="20"/>
      <x:c r="G342" s="7"/>
      <x:c r="H342" s="7"/>
      <x:c r="I342" s="7"/>
      <x:c r="J342" s="7"/>
      <x:c r="K342" s="7"/>
      <x:c r="L342" s="7"/>
      <x:c r="M342" s="7"/>
      <x:c r="N342" s="7"/>
      <x:c r="O342" s="2" t="str">
        <x:f>IF(A342="","",IF(COUNTIFS($A$7:$A$1506,A342)&gt;1,"Buchung-ID doppelt",IF(OR(NOT(ISNUMBER(B342)),C342="",NOT(ISNUMBER(F342)),H342="",L342=""),"Pflichtangaben fehlen",IF(COUNTIFS('Konten'!$A$7:$A$26,C342)&lt;&gt;1,"Konto nicht eindeutig",IF(J342&lt;&gt;"Ja","Zuordnung bestätigen",IF(OR(AND(H342="Einnahme",F342&lt;0),AND(H342="Ausgabe",F342&gt;0)),"Vorzeichen prüfen",IF(AND(H342="Umbuchung",OR(K342="",COUNTIFS($A$7:$A$1506,K342)&lt;&gt;1)),"Gegenbuchung fehlt",IF(AND(H342="Umbuchung",ROUND(SUMIFS($F$7:$F$1506,$A$7:$A$1506,K342)+F342,2)&lt;&gt;0),"Umbuchung abweichend",IF(OR(G342="",M342="",M342="offen",M342="teilbelegt",H342="Ungeklärt",H342="Bargeld"),"Beleg / Verwendung klären","vollständig erfasst")))))))))</x:f>
      </x:c>
    </x:row>
    <x:row r="343" ht="22" customHeight="1">
      <x:c r="A343" s="7"/>
      <x:c r="B343" s="8"/>
      <x:c r="C343" s="7"/>
      <x:c r="D343" s="7"/>
      <x:c r="E343" s="7"/>
      <x:c r="F343" s="20"/>
      <x:c r="G343" s="7"/>
      <x:c r="H343" s="7"/>
      <x:c r="I343" s="7"/>
      <x:c r="J343" s="7"/>
      <x:c r="K343" s="7"/>
      <x:c r="L343" s="7"/>
      <x:c r="M343" s="7"/>
      <x:c r="N343" s="7"/>
      <x:c r="O343" s="2" t="str">
        <x:f>IF(A343="","",IF(COUNTIFS($A$7:$A$1506,A343)&gt;1,"Buchung-ID doppelt",IF(OR(NOT(ISNUMBER(B343)),C343="",NOT(ISNUMBER(F343)),H343="",L343=""),"Pflichtangaben fehlen",IF(COUNTIFS('Konten'!$A$7:$A$26,C343)&lt;&gt;1,"Konto nicht eindeutig",IF(J343&lt;&gt;"Ja","Zuordnung bestätigen",IF(OR(AND(H343="Einnahme",F343&lt;0),AND(H343="Ausgabe",F343&gt;0)),"Vorzeichen prüfen",IF(AND(H343="Umbuchung",OR(K343="",COUNTIFS($A$7:$A$1506,K343)&lt;&gt;1)),"Gegenbuchung fehlt",IF(AND(H343="Umbuchung",ROUND(SUMIFS($F$7:$F$1506,$A$7:$A$1506,K343)+F343,2)&lt;&gt;0),"Umbuchung abweichend",IF(OR(G343="",M343="",M343="offen",M343="teilbelegt",H343="Ungeklärt",H343="Bargeld"),"Beleg / Verwendung klären","vollständig erfasst")))))))))</x:f>
      </x:c>
    </x:row>
    <x:row r="344" ht="22" customHeight="1">
      <x:c r="A344" s="7"/>
      <x:c r="B344" s="8"/>
      <x:c r="C344" s="7"/>
      <x:c r="D344" s="7"/>
      <x:c r="E344" s="7"/>
      <x:c r="F344" s="20"/>
      <x:c r="G344" s="7"/>
      <x:c r="H344" s="7"/>
      <x:c r="I344" s="7"/>
      <x:c r="J344" s="7"/>
      <x:c r="K344" s="7"/>
      <x:c r="L344" s="7"/>
      <x:c r="M344" s="7"/>
      <x:c r="N344" s="7"/>
      <x:c r="O344" s="2" t="str">
        <x:f>IF(A344="","",IF(COUNTIFS($A$7:$A$1506,A344)&gt;1,"Buchung-ID doppelt",IF(OR(NOT(ISNUMBER(B344)),C344="",NOT(ISNUMBER(F344)),H344="",L344=""),"Pflichtangaben fehlen",IF(COUNTIFS('Konten'!$A$7:$A$26,C344)&lt;&gt;1,"Konto nicht eindeutig",IF(J344&lt;&gt;"Ja","Zuordnung bestätigen",IF(OR(AND(H344="Einnahme",F344&lt;0),AND(H344="Ausgabe",F344&gt;0)),"Vorzeichen prüfen",IF(AND(H344="Umbuchung",OR(K344="",COUNTIFS($A$7:$A$1506,K344)&lt;&gt;1)),"Gegenbuchung fehlt",IF(AND(H344="Umbuchung",ROUND(SUMIFS($F$7:$F$1506,$A$7:$A$1506,K344)+F344,2)&lt;&gt;0),"Umbuchung abweichend",IF(OR(G344="",M344="",M344="offen",M344="teilbelegt",H344="Ungeklärt",H344="Bargeld"),"Beleg / Verwendung klären","vollständig erfasst")))))))))</x:f>
      </x:c>
    </x:row>
    <x:row r="345" ht="22" customHeight="1">
      <x:c r="A345" s="7"/>
      <x:c r="B345" s="8"/>
      <x:c r="C345" s="7"/>
      <x:c r="D345" s="7"/>
      <x:c r="E345" s="7"/>
      <x:c r="F345" s="20"/>
      <x:c r="G345" s="7"/>
      <x:c r="H345" s="7"/>
      <x:c r="I345" s="7"/>
      <x:c r="J345" s="7"/>
      <x:c r="K345" s="7"/>
      <x:c r="L345" s="7"/>
      <x:c r="M345" s="7"/>
      <x:c r="N345" s="7"/>
      <x:c r="O345" s="2" t="str">
        <x:f>IF(A345="","",IF(COUNTIFS($A$7:$A$1506,A345)&gt;1,"Buchung-ID doppelt",IF(OR(NOT(ISNUMBER(B345)),C345="",NOT(ISNUMBER(F345)),H345="",L345=""),"Pflichtangaben fehlen",IF(COUNTIFS('Konten'!$A$7:$A$26,C345)&lt;&gt;1,"Konto nicht eindeutig",IF(J345&lt;&gt;"Ja","Zuordnung bestätigen",IF(OR(AND(H345="Einnahme",F345&lt;0),AND(H345="Ausgabe",F345&gt;0)),"Vorzeichen prüfen",IF(AND(H345="Umbuchung",OR(K345="",COUNTIFS($A$7:$A$1506,K345)&lt;&gt;1)),"Gegenbuchung fehlt",IF(AND(H345="Umbuchung",ROUND(SUMIFS($F$7:$F$1506,$A$7:$A$1506,K345)+F345,2)&lt;&gt;0),"Umbuchung abweichend",IF(OR(G345="",M345="",M345="offen",M345="teilbelegt",H345="Ungeklärt",H345="Bargeld"),"Beleg / Verwendung klären","vollständig erfasst")))))))))</x:f>
      </x:c>
    </x:row>
    <x:row r="346" ht="22" customHeight="1">
      <x:c r="A346" s="7"/>
      <x:c r="B346" s="8"/>
      <x:c r="C346" s="7"/>
      <x:c r="D346" s="7"/>
      <x:c r="E346" s="7"/>
      <x:c r="F346" s="20"/>
      <x:c r="G346" s="7"/>
      <x:c r="H346" s="7"/>
      <x:c r="I346" s="7"/>
      <x:c r="J346" s="7"/>
      <x:c r="K346" s="7"/>
      <x:c r="L346" s="7"/>
      <x:c r="M346" s="7"/>
      <x:c r="N346" s="7"/>
      <x:c r="O346" s="2" t="str">
        <x:f>IF(A346="","",IF(COUNTIFS($A$7:$A$1506,A346)&gt;1,"Buchung-ID doppelt",IF(OR(NOT(ISNUMBER(B346)),C346="",NOT(ISNUMBER(F346)),H346="",L346=""),"Pflichtangaben fehlen",IF(COUNTIFS('Konten'!$A$7:$A$26,C346)&lt;&gt;1,"Konto nicht eindeutig",IF(J346&lt;&gt;"Ja","Zuordnung bestätigen",IF(OR(AND(H346="Einnahme",F346&lt;0),AND(H346="Ausgabe",F346&gt;0)),"Vorzeichen prüfen",IF(AND(H346="Umbuchung",OR(K346="",COUNTIFS($A$7:$A$1506,K346)&lt;&gt;1)),"Gegenbuchung fehlt",IF(AND(H346="Umbuchung",ROUND(SUMIFS($F$7:$F$1506,$A$7:$A$1506,K346)+F346,2)&lt;&gt;0),"Umbuchung abweichend",IF(OR(G346="",M346="",M346="offen",M346="teilbelegt",H346="Ungeklärt",H346="Bargeld"),"Beleg / Verwendung klären","vollständig erfasst")))))))))</x:f>
      </x:c>
    </x:row>
    <x:row r="347" ht="22" customHeight="1">
      <x:c r="A347" s="7"/>
      <x:c r="B347" s="8"/>
      <x:c r="C347" s="7"/>
      <x:c r="D347" s="7"/>
      <x:c r="E347" s="7"/>
      <x:c r="F347" s="20"/>
      <x:c r="G347" s="7"/>
      <x:c r="H347" s="7"/>
      <x:c r="I347" s="7"/>
      <x:c r="J347" s="7"/>
      <x:c r="K347" s="7"/>
      <x:c r="L347" s="7"/>
      <x:c r="M347" s="7"/>
      <x:c r="N347" s="7"/>
      <x:c r="O347" s="2" t="str">
        <x:f>IF(A347="","",IF(COUNTIFS($A$7:$A$1506,A347)&gt;1,"Buchung-ID doppelt",IF(OR(NOT(ISNUMBER(B347)),C347="",NOT(ISNUMBER(F347)),H347="",L347=""),"Pflichtangaben fehlen",IF(COUNTIFS('Konten'!$A$7:$A$26,C347)&lt;&gt;1,"Konto nicht eindeutig",IF(J347&lt;&gt;"Ja","Zuordnung bestätigen",IF(OR(AND(H347="Einnahme",F347&lt;0),AND(H347="Ausgabe",F347&gt;0)),"Vorzeichen prüfen",IF(AND(H347="Umbuchung",OR(K347="",COUNTIFS($A$7:$A$1506,K347)&lt;&gt;1)),"Gegenbuchung fehlt",IF(AND(H347="Umbuchung",ROUND(SUMIFS($F$7:$F$1506,$A$7:$A$1506,K347)+F347,2)&lt;&gt;0),"Umbuchung abweichend",IF(OR(G347="",M347="",M347="offen",M347="teilbelegt",H347="Ungeklärt",H347="Bargeld"),"Beleg / Verwendung klären","vollständig erfasst")))))))))</x:f>
      </x:c>
    </x:row>
    <x:row r="348" ht="22" customHeight="1">
      <x:c r="A348" s="7"/>
      <x:c r="B348" s="8"/>
      <x:c r="C348" s="7"/>
      <x:c r="D348" s="7"/>
      <x:c r="E348" s="7"/>
      <x:c r="F348" s="20"/>
      <x:c r="G348" s="7"/>
      <x:c r="H348" s="7"/>
      <x:c r="I348" s="7"/>
      <x:c r="J348" s="7"/>
      <x:c r="K348" s="7"/>
      <x:c r="L348" s="7"/>
      <x:c r="M348" s="7"/>
      <x:c r="N348" s="7"/>
      <x:c r="O348" s="2" t="str">
        <x:f>IF(A348="","",IF(COUNTIFS($A$7:$A$1506,A348)&gt;1,"Buchung-ID doppelt",IF(OR(NOT(ISNUMBER(B348)),C348="",NOT(ISNUMBER(F348)),H348="",L348=""),"Pflichtangaben fehlen",IF(COUNTIFS('Konten'!$A$7:$A$26,C348)&lt;&gt;1,"Konto nicht eindeutig",IF(J348&lt;&gt;"Ja","Zuordnung bestätigen",IF(OR(AND(H348="Einnahme",F348&lt;0),AND(H348="Ausgabe",F348&gt;0)),"Vorzeichen prüfen",IF(AND(H348="Umbuchung",OR(K348="",COUNTIFS($A$7:$A$1506,K348)&lt;&gt;1)),"Gegenbuchung fehlt",IF(AND(H348="Umbuchung",ROUND(SUMIFS($F$7:$F$1506,$A$7:$A$1506,K348)+F348,2)&lt;&gt;0),"Umbuchung abweichend",IF(OR(G348="",M348="",M348="offen",M348="teilbelegt",H348="Ungeklärt",H348="Bargeld"),"Beleg / Verwendung klären","vollständig erfasst")))))))))</x:f>
      </x:c>
    </x:row>
    <x:row r="349" ht="22" customHeight="1">
      <x:c r="A349" s="7"/>
      <x:c r="B349" s="8"/>
      <x:c r="C349" s="7"/>
      <x:c r="D349" s="7"/>
      <x:c r="E349" s="7"/>
      <x:c r="F349" s="20"/>
      <x:c r="G349" s="7"/>
      <x:c r="H349" s="7"/>
      <x:c r="I349" s="7"/>
      <x:c r="J349" s="7"/>
      <x:c r="K349" s="7"/>
      <x:c r="L349" s="7"/>
      <x:c r="M349" s="7"/>
      <x:c r="N349" s="7"/>
      <x:c r="O349" s="2" t="str">
        <x:f>IF(A349="","",IF(COUNTIFS($A$7:$A$1506,A349)&gt;1,"Buchung-ID doppelt",IF(OR(NOT(ISNUMBER(B349)),C349="",NOT(ISNUMBER(F349)),H349="",L349=""),"Pflichtangaben fehlen",IF(COUNTIFS('Konten'!$A$7:$A$26,C349)&lt;&gt;1,"Konto nicht eindeutig",IF(J349&lt;&gt;"Ja","Zuordnung bestätigen",IF(OR(AND(H349="Einnahme",F349&lt;0),AND(H349="Ausgabe",F349&gt;0)),"Vorzeichen prüfen",IF(AND(H349="Umbuchung",OR(K349="",COUNTIFS($A$7:$A$1506,K349)&lt;&gt;1)),"Gegenbuchung fehlt",IF(AND(H349="Umbuchung",ROUND(SUMIFS($F$7:$F$1506,$A$7:$A$1506,K349)+F349,2)&lt;&gt;0),"Umbuchung abweichend",IF(OR(G349="",M349="",M349="offen",M349="teilbelegt",H349="Ungeklärt",H349="Bargeld"),"Beleg / Verwendung klären","vollständig erfasst")))))))))</x:f>
      </x:c>
    </x:row>
    <x:row r="350" ht="22" customHeight="1">
      <x:c r="A350" s="7"/>
      <x:c r="B350" s="8"/>
      <x:c r="C350" s="7"/>
      <x:c r="D350" s="7"/>
      <x:c r="E350" s="7"/>
      <x:c r="F350" s="20"/>
      <x:c r="G350" s="7"/>
      <x:c r="H350" s="7"/>
      <x:c r="I350" s="7"/>
      <x:c r="J350" s="7"/>
      <x:c r="K350" s="7"/>
      <x:c r="L350" s="7"/>
      <x:c r="M350" s="7"/>
      <x:c r="N350" s="7"/>
      <x:c r="O350" s="2" t="str">
        <x:f>IF(A350="","",IF(COUNTIFS($A$7:$A$1506,A350)&gt;1,"Buchung-ID doppelt",IF(OR(NOT(ISNUMBER(B350)),C350="",NOT(ISNUMBER(F350)),H350="",L350=""),"Pflichtangaben fehlen",IF(COUNTIFS('Konten'!$A$7:$A$26,C350)&lt;&gt;1,"Konto nicht eindeutig",IF(J350&lt;&gt;"Ja","Zuordnung bestätigen",IF(OR(AND(H350="Einnahme",F350&lt;0),AND(H350="Ausgabe",F350&gt;0)),"Vorzeichen prüfen",IF(AND(H350="Umbuchung",OR(K350="",COUNTIFS($A$7:$A$1506,K350)&lt;&gt;1)),"Gegenbuchung fehlt",IF(AND(H350="Umbuchung",ROUND(SUMIFS($F$7:$F$1506,$A$7:$A$1506,K350)+F350,2)&lt;&gt;0),"Umbuchung abweichend",IF(OR(G350="",M350="",M350="offen",M350="teilbelegt",H350="Ungeklärt",H350="Bargeld"),"Beleg / Verwendung klären","vollständig erfasst")))))))))</x:f>
      </x:c>
    </x:row>
    <x:row r="351" ht="22" customHeight="1">
      <x:c r="A351" s="7"/>
      <x:c r="B351" s="8"/>
      <x:c r="C351" s="7"/>
      <x:c r="D351" s="7"/>
      <x:c r="E351" s="7"/>
      <x:c r="F351" s="20"/>
      <x:c r="G351" s="7"/>
      <x:c r="H351" s="7"/>
      <x:c r="I351" s="7"/>
      <x:c r="J351" s="7"/>
      <x:c r="K351" s="7"/>
      <x:c r="L351" s="7"/>
      <x:c r="M351" s="7"/>
      <x:c r="N351" s="7"/>
      <x:c r="O351" s="2" t="str">
        <x:f>IF(A351="","",IF(COUNTIFS($A$7:$A$1506,A351)&gt;1,"Buchung-ID doppelt",IF(OR(NOT(ISNUMBER(B351)),C351="",NOT(ISNUMBER(F351)),H351="",L351=""),"Pflichtangaben fehlen",IF(COUNTIFS('Konten'!$A$7:$A$26,C351)&lt;&gt;1,"Konto nicht eindeutig",IF(J351&lt;&gt;"Ja","Zuordnung bestätigen",IF(OR(AND(H351="Einnahme",F351&lt;0),AND(H351="Ausgabe",F351&gt;0)),"Vorzeichen prüfen",IF(AND(H351="Umbuchung",OR(K351="",COUNTIFS($A$7:$A$1506,K351)&lt;&gt;1)),"Gegenbuchung fehlt",IF(AND(H351="Umbuchung",ROUND(SUMIFS($F$7:$F$1506,$A$7:$A$1506,K351)+F351,2)&lt;&gt;0),"Umbuchung abweichend",IF(OR(G351="",M351="",M351="offen",M351="teilbelegt",H351="Ungeklärt",H351="Bargeld"),"Beleg / Verwendung klären","vollständig erfasst")))))))))</x:f>
      </x:c>
    </x:row>
    <x:row r="352" ht="22" customHeight="1">
      <x:c r="A352" s="7"/>
      <x:c r="B352" s="8"/>
      <x:c r="C352" s="7"/>
      <x:c r="D352" s="7"/>
      <x:c r="E352" s="7"/>
      <x:c r="F352" s="20"/>
      <x:c r="G352" s="7"/>
      <x:c r="H352" s="7"/>
      <x:c r="I352" s="7"/>
      <x:c r="J352" s="7"/>
      <x:c r="K352" s="7"/>
      <x:c r="L352" s="7"/>
      <x:c r="M352" s="7"/>
      <x:c r="N352" s="7"/>
      <x:c r="O352" s="2" t="str">
        <x:f>IF(A352="","",IF(COUNTIFS($A$7:$A$1506,A352)&gt;1,"Buchung-ID doppelt",IF(OR(NOT(ISNUMBER(B352)),C352="",NOT(ISNUMBER(F352)),H352="",L352=""),"Pflichtangaben fehlen",IF(COUNTIFS('Konten'!$A$7:$A$26,C352)&lt;&gt;1,"Konto nicht eindeutig",IF(J352&lt;&gt;"Ja","Zuordnung bestätigen",IF(OR(AND(H352="Einnahme",F352&lt;0),AND(H352="Ausgabe",F352&gt;0)),"Vorzeichen prüfen",IF(AND(H352="Umbuchung",OR(K352="",COUNTIFS($A$7:$A$1506,K352)&lt;&gt;1)),"Gegenbuchung fehlt",IF(AND(H352="Umbuchung",ROUND(SUMIFS($F$7:$F$1506,$A$7:$A$1506,K352)+F352,2)&lt;&gt;0),"Umbuchung abweichend",IF(OR(G352="",M352="",M352="offen",M352="teilbelegt",H352="Ungeklärt",H352="Bargeld"),"Beleg / Verwendung klären","vollständig erfasst")))))))))</x:f>
      </x:c>
    </x:row>
    <x:row r="353" ht="22" customHeight="1">
      <x:c r="A353" s="7"/>
      <x:c r="B353" s="8"/>
      <x:c r="C353" s="7"/>
      <x:c r="D353" s="7"/>
      <x:c r="E353" s="7"/>
      <x:c r="F353" s="20"/>
      <x:c r="G353" s="7"/>
      <x:c r="H353" s="7"/>
      <x:c r="I353" s="7"/>
      <x:c r="J353" s="7"/>
      <x:c r="K353" s="7"/>
      <x:c r="L353" s="7"/>
      <x:c r="M353" s="7"/>
      <x:c r="N353" s="7"/>
      <x:c r="O353" s="2" t="str">
        <x:f>IF(A353="","",IF(COUNTIFS($A$7:$A$1506,A353)&gt;1,"Buchung-ID doppelt",IF(OR(NOT(ISNUMBER(B353)),C353="",NOT(ISNUMBER(F353)),H353="",L353=""),"Pflichtangaben fehlen",IF(COUNTIFS('Konten'!$A$7:$A$26,C353)&lt;&gt;1,"Konto nicht eindeutig",IF(J353&lt;&gt;"Ja","Zuordnung bestätigen",IF(OR(AND(H353="Einnahme",F353&lt;0),AND(H353="Ausgabe",F353&gt;0)),"Vorzeichen prüfen",IF(AND(H353="Umbuchung",OR(K353="",COUNTIFS($A$7:$A$1506,K353)&lt;&gt;1)),"Gegenbuchung fehlt",IF(AND(H353="Umbuchung",ROUND(SUMIFS($F$7:$F$1506,$A$7:$A$1506,K353)+F353,2)&lt;&gt;0),"Umbuchung abweichend",IF(OR(G353="",M353="",M353="offen",M353="teilbelegt",H353="Ungeklärt",H353="Bargeld"),"Beleg / Verwendung klären","vollständig erfasst")))))))))</x:f>
      </x:c>
    </x:row>
    <x:row r="354" ht="22" customHeight="1">
      <x:c r="A354" s="7"/>
      <x:c r="B354" s="8"/>
      <x:c r="C354" s="7"/>
      <x:c r="D354" s="7"/>
      <x:c r="E354" s="7"/>
      <x:c r="F354" s="20"/>
      <x:c r="G354" s="7"/>
      <x:c r="H354" s="7"/>
      <x:c r="I354" s="7"/>
      <x:c r="J354" s="7"/>
      <x:c r="K354" s="7"/>
      <x:c r="L354" s="7"/>
      <x:c r="M354" s="7"/>
      <x:c r="N354" s="7"/>
      <x:c r="O354" s="2" t="str">
        <x:f>IF(A354="","",IF(COUNTIFS($A$7:$A$1506,A354)&gt;1,"Buchung-ID doppelt",IF(OR(NOT(ISNUMBER(B354)),C354="",NOT(ISNUMBER(F354)),H354="",L354=""),"Pflichtangaben fehlen",IF(COUNTIFS('Konten'!$A$7:$A$26,C354)&lt;&gt;1,"Konto nicht eindeutig",IF(J354&lt;&gt;"Ja","Zuordnung bestätigen",IF(OR(AND(H354="Einnahme",F354&lt;0),AND(H354="Ausgabe",F354&gt;0)),"Vorzeichen prüfen",IF(AND(H354="Umbuchung",OR(K354="",COUNTIFS($A$7:$A$1506,K354)&lt;&gt;1)),"Gegenbuchung fehlt",IF(AND(H354="Umbuchung",ROUND(SUMIFS($F$7:$F$1506,$A$7:$A$1506,K354)+F354,2)&lt;&gt;0),"Umbuchung abweichend",IF(OR(G354="",M354="",M354="offen",M354="teilbelegt",H354="Ungeklärt",H354="Bargeld"),"Beleg / Verwendung klären","vollständig erfasst")))))))))</x:f>
      </x:c>
    </x:row>
    <x:row r="355" ht="22" customHeight="1">
      <x:c r="A355" s="7"/>
      <x:c r="B355" s="8"/>
      <x:c r="C355" s="7"/>
      <x:c r="D355" s="7"/>
      <x:c r="E355" s="7"/>
      <x:c r="F355" s="20"/>
      <x:c r="G355" s="7"/>
      <x:c r="H355" s="7"/>
      <x:c r="I355" s="7"/>
      <x:c r="J355" s="7"/>
      <x:c r="K355" s="7"/>
      <x:c r="L355" s="7"/>
      <x:c r="M355" s="7"/>
      <x:c r="N355" s="7"/>
      <x:c r="O355" s="2" t="str">
        <x:f>IF(A355="","",IF(COUNTIFS($A$7:$A$1506,A355)&gt;1,"Buchung-ID doppelt",IF(OR(NOT(ISNUMBER(B355)),C355="",NOT(ISNUMBER(F355)),H355="",L355=""),"Pflichtangaben fehlen",IF(COUNTIFS('Konten'!$A$7:$A$26,C355)&lt;&gt;1,"Konto nicht eindeutig",IF(J355&lt;&gt;"Ja","Zuordnung bestätigen",IF(OR(AND(H355="Einnahme",F355&lt;0),AND(H355="Ausgabe",F355&gt;0)),"Vorzeichen prüfen",IF(AND(H355="Umbuchung",OR(K355="",COUNTIFS($A$7:$A$1506,K355)&lt;&gt;1)),"Gegenbuchung fehlt",IF(AND(H355="Umbuchung",ROUND(SUMIFS($F$7:$F$1506,$A$7:$A$1506,K355)+F355,2)&lt;&gt;0),"Umbuchung abweichend",IF(OR(G355="",M355="",M355="offen",M355="teilbelegt",H355="Ungeklärt",H355="Bargeld"),"Beleg / Verwendung klären","vollständig erfasst")))))))))</x:f>
      </x:c>
    </x:row>
    <x:row r="356" ht="22" customHeight="1">
      <x:c r="A356" s="7"/>
      <x:c r="B356" s="8"/>
      <x:c r="C356" s="7"/>
      <x:c r="D356" s="7"/>
      <x:c r="E356" s="7"/>
      <x:c r="F356" s="20"/>
      <x:c r="G356" s="7"/>
      <x:c r="H356" s="7"/>
      <x:c r="I356" s="7"/>
      <x:c r="J356" s="7"/>
      <x:c r="K356" s="7"/>
      <x:c r="L356" s="7"/>
      <x:c r="M356" s="7"/>
      <x:c r="N356" s="7"/>
      <x:c r="O356" s="2" t="str">
        <x:f>IF(A356="","",IF(COUNTIFS($A$7:$A$1506,A356)&gt;1,"Buchung-ID doppelt",IF(OR(NOT(ISNUMBER(B356)),C356="",NOT(ISNUMBER(F356)),H356="",L356=""),"Pflichtangaben fehlen",IF(COUNTIFS('Konten'!$A$7:$A$26,C356)&lt;&gt;1,"Konto nicht eindeutig",IF(J356&lt;&gt;"Ja","Zuordnung bestätigen",IF(OR(AND(H356="Einnahme",F356&lt;0),AND(H356="Ausgabe",F356&gt;0)),"Vorzeichen prüfen",IF(AND(H356="Umbuchung",OR(K356="",COUNTIFS($A$7:$A$1506,K356)&lt;&gt;1)),"Gegenbuchung fehlt",IF(AND(H356="Umbuchung",ROUND(SUMIFS($F$7:$F$1506,$A$7:$A$1506,K356)+F356,2)&lt;&gt;0),"Umbuchung abweichend",IF(OR(G356="",M356="",M356="offen",M356="teilbelegt",H356="Ungeklärt",H356="Bargeld"),"Beleg / Verwendung klären","vollständig erfasst")))))))))</x:f>
      </x:c>
    </x:row>
    <x:row r="357" ht="22" customHeight="1">
      <x:c r="A357" s="7"/>
      <x:c r="B357" s="8"/>
      <x:c r="C357" s="7"/>
      <x:c r="D357" s="7"/>
      <x:c r="E357" s="7"/>
      <x:c r="F357" s="20"/>
      <x:c r="G357" s="7"/>
      <x:c r="H357" s="7"/>
      <x:c r="I357" s="7"/>
      <x:c r="J357" s="7"/>
      <x:c r="K357" s="7"/>
      <x:c r="L357" s="7"/>
      <x:c r="M357" s="7"/>
      <x:c r="N357" s="7"/>
      <x:c r="O357" s="2" t="str">
        <x:f>IF(A357="","",IF(COUNTIFS($A$7:$A$1506,A357)&gt;1,"Buchung-ID doppelt",IF(OR(NOT(ISNUMBER(B357)),C357="",NOT(ISNUMBER(F357)),H357="",L357=""),"Pflichtangaben fehlen",IF(COUNTIFS('Konten'!$A$7:$A$26,C357)&lt;&gt;1,"Konto nicht eindeutig",IF(J357&lt;&gt;"Ja","Zuordnung bestätigen",IF(OR(AND(H357="Einnahme",F357&lt;0),AND(H357="Ausgabe",F357&gt;0)),"Vorzeichen prüfen",IF(AND(H357="Umbuchung",OR(K357="",COUNTIFS($A$7:$A$1506,K357)&lt;&gt;1)),"Gegenbuchung fehlt",IF(AND(H357="Umbuchung",ROUND(SUMIFS($F$7:$F$1506,$A$7:$A$1506,K357)+F357,2)&lt;&gt;0),"Umbuchung abweichend",IF(OR(G357="",M357="",M357="offen",M357="teilbelegt",H357="Ungeklärt",H357="Bargeld"),"Beleg / Verwendung klären","vollständig erfasst")))))))))</x:f>
      </x:c>
    </x:row>
    <x:row r="358" ht="22" customHeight="1">
      <x:c r="A358" s="7"/>
      <x:c r="B358" s="8"/>
      <x:c r="C358" s="7"/>
      <x:c r="D358" s="7"/>
      <x:c r="E358" s="7"/>
      <x:c r="F358" s="20"/>
      <x:c r="G358" s="7"/>
      <x:c r="H358" s="7"/>
      <x:c r="I358" s="7"/>
      <x:c r="J358" s="7"/>
      <x:c r="K358" s="7"/>
      <x:c r="L358" s="7"/>
      <x:c r="M358" s="7"/>
      <x:c r="N358" s="7"/>
      <x:c r="O358" s="2" t="str">
        <x:f>IF(A358="","",IF(COUNTIFS($A$7:$A$1506,A358)&gt;1,"Buchung-ID doppelt",IF(OR(NOT(ISNUMBER(B358)),C358="",NOT(ISNUMBER(F358)),H358="",L358=""),"Pflichtangaben fehlen",IF(COUNTIFS('Konten'!$A$7:$A$26,C358)&lt;&gt;1,"Konto nicht eindeutig",IF(J358&lt;&gt;"Ja","Zuordnung bestätigen",IF(OR(AND(H358="Einnahme",F358&lt;0),AND(H358="Ausgabe",F358&gt;0)),"Vorzeichen prüfen",IF(AND(H358="Umbuchung",OR(K358="",COUNTIFS($A$7:$A$1506,K358)&lt;&gt;1)),"Gegenbuchung fehlt",IF(AND(H358="Umbuchung",ROUND(SUMIFS($F$7:$F$1506,$A$7:$A$1506,K358)+F358,2)&lt;&gt;0),"Umbuchung abweichend",IF(OR(G358="",M358="",M358="offen",M358="teilbelegt",H358="Ungeklärt",H358="Bargeld"),"Beleg / Verwendung klären","vollständig erfasst")))))))))</x:f>
      </x:c>
    </x:row>
    <x:row r="359" ht="22" customHeight="1">
      <x:c r="A359" s="7"/>
      <x:c r="B359" s="8"/>
      <x:c r="C359" s="7"/>
      <x:c r="D359" s="7"/>
      <x:c r="E359" s="7"/>
      <x:c r="F359" s="20"/>
      <x:c r="G359" s="7"/>
      <x:c r="H359" s="7"/>
      <x:c r="I359" s="7"/>
      <x:c r="J359" s="7"/>
      <x:c r="K359" s="7"/>
      <x:c r="L359" s="7"/>
      <x:c r="M359" s="7"/>
      <x:c r="N359" s="7"/>
      <x:c r="O359" s="2" t="str">
        <x:f>IF(A359="","",IF(COUNTIFS($A$7:$A$1506,A359)&gt;1,"Buchung-ID doppelt",IF(OR(NOT(ISNUMBER(B359)),C359="",NOT(ISNUMBER(F359)),H359="",L359=""),"Pflichtangaben fehlen",IF(COUNTIFS('Konten'!$A$7:$A$26,C359)&lt;&gt;1,"Konto nicht eindeutig",IF(J359&lt;&gt;"Ja","Zuordnung bestätigen",IF(OR(AND(H359="Einnahme",F359&lt;0),AND(H359="Ausgabe",F359&gt;0)),"Vorzeichen prüfen",IF(AND(H359="Umbuchung",OR(K359="",COUNTIFS($A$7:$A$1506,K359)&lt;&gt;1)),"Gegenbuchung fehlt",IF(AND(H359="Umbuchung",ROUND(SUMIFS($F$7:$F$1506,$A$7:$A$1506,K359)+F359,2)&lt;&gt;0),"Umbuchung abweichend",IF(OR(G359="",M359="",M359="offen",M359="teilbelegt",H359="Ungeklärt",H359="Bargeld"),"Beleg / Verwendung klären","vollständig erfasst")))))))))</x:f>
      </x:c>
    </x:row>
    <x:row r="360" ht="22" customHeight="1">
      <x:c r="A360" s="7"/>
      <x:c r="B360" s="8"/>
      <x:c r="C360" s="7"/>
      <x:c r="D360" s="7"/>
      <x:c r="E360" s="7"/>
      <x:c r="F360" s="20"/>
      <x:c r="G360" s="7"/>
      <x:c r="H360" s="7"/>
      <x:c r="I360" s="7"/>
      <x:c r="J360" s="7"/>
      <x:c r="K360" s="7"/>
      <x:c r="L360" s="7"/>
      <x:c r="M360" s="7"/>
      <x:c r="N360" s="7"/>
      <x:c r="O360" s="2" t="str">
        <x:f>IF(A360="","",IF(COUNTIFS($A$7:$A$1506,A360)&gt;1,"Buchung-ID doppelt",IF(OR(NOT(ISNUMBER(B360)),C360="",NOT(ISNUMBER(F360)),H360="",L360=""),"Pflichtangaben fehlen",IF(COUNTIFS('Konten'!$A$7:$A$26,C360)&lt;&gt;1,"Konto nicht eindeutig",IF(J360&lt;&gt;"Ja","Zuordnung bestätigen",IF(OR(AND(H360="Einnahme",F360&lt;0),AND(H360="Ausgabe",F360&gt;0)),"Vorzeichen prüfen",IF(AND(H360="Umbuchung",OR(K360="",COUNTIFS($A$7:$A$1506,K360)&lt;&gt;1)),"Gegenbuchung fehlt",IF(AND(H360="Umbuchung",ROUND(SUMIFS($F$7:$F$1506,$A$7:$A$1506,K360)+F360,2)&lt;&gt;0),"Umbuchung abweichend",IF(OR(G360="",M360="",M360="offen",M360="teilbelegt",H360="Ungeklärt",H360="Bargeld"),"Beleg / Verwendung klären","vollständig erfasst")))))))))</x:f>
      </x:c>
    </x:row>
    <x:row r="361" ht="22" customHeight="1">
      <x:c r="A361" s="7"/>
      <x:c r="B361" s="8"/>
      <x:c r="C361" s="7"/>
      <x:c r="D361" s="7"/>
      <x:c r="E361" s="7"/>
      <x:c r="F361" s="20"/>
      <x:c r="G361" s="7"/>
      <x:c r="H361" s="7"/>
      <x:c r="I361" s="7"/>
      <x:c r="J361" s="7"/>
      <x:c r="K361" s="7"/>
      <x:c r="L361" s="7"/>
      <x:c r="M361" s="7"/>
      <x:c r="N361" s="7"/>
      <x:c r="O361" s="2" t="str">
        <x:f>IF(A361="","",IF(COUNTIFS($A$7:$A$1506,A361)&gt;1,"Buchung-ID doppelt",IF(OR(NOT(ISNUMBER(B361)),C361="",NOT(ISNUMBER(F361)),H361="",L361=""),"Pflichtangaben fehlen",IF(COUNTIFS('Konten'!$A$7:$A$26,C361)&lt;&gt;1,"Konto nicht eindeutig",IF(J361&lt;&gt;"Ja","Zuordnung bestätigen",IF(OR(AND(H361="Einnahme",F361&lt;0),AND(H361="Ausgabe",F361&gt;0)),"Vorzeichen prüfen",IF(AND(H361="Umbuchung",OR(K361="",COUNTIFS($A$7:$A$1506,K361)&lt;&gt;1)),"Gegenbuchung fehlt",IF(AND(H361="Umbuchung",ROUND(SUMIFS($F$7:$F$1506,$A$7:$A$1506,K361)+F361,2)&lt;&gt;0),"Umbuchung abweichend",IF(OR(G361="",M361="",M361="offen",M361="teilbelegt",H361="Ungeklärt",H361="Bargeld"),"Beleg / Verwendung klären","vollständig erfasst")))))))))</x:f>
      </x:c>
    </x:row>
    <x:row r="362" ht="22" customHeight="1">
      <x:c r="A362" s="7"/>
      <x:c r="B362" s="8"/>
      <x:c r="C362" s="7"/>
      <x:c r="D362" s="7"/>
      <x:c r="E362" s="7"/>
      <x:c r="F362" s="20"/>
      <x:c r="G362" s="7"/>
      <x:c r="H362" s="7"/>
      <x:c r="I362" s="7"/>
      <x:c r="J362" s="7"/>
      <x:c r="K362" s="7"/>
      <x:c r="L362" s="7"/>
      <x:c r="M362" s="7"/>
      <x:c r="N362" s="7"/>
      <x:c r="O362" s="2" t="str">
        <x:f>IF(A362="","",IF(COUNTIFS($A$7:$A$1506,A362)&gt;1,"Buchung-ID doppelt",IF(OR(NOT(ISNUMBER(B362)),C362="",NOT(ISNUMBER(F362)),H362="",L362=""),"Pflichtangaben fehlen",IF(COUNTIFS('Konten'!$A$7:$A$26,C362)&lt;&gt;1,"Konto nicht eindeutig",IF(J362&lt;&gt;"Ja","Zuordnung bestätigen",IF(OR(AND(H362="Einnahme",F362&lt;0),AND(H362="Ausgabe",F362&gt;0)),"Vorzeichen prüfen",IF(AND(H362="Umbuchung",OR(K362="",COUNTIFS($A$7:$A$1506,K362)&lt;&gt;1)),"Gegenbuchung fehlt",IF(AND(H362="Umbuchung",ROUND(SUMIFS($F$7:$F$1506,$A$7:$A$1506,K362)+F362,2)&lt;&gt;0),"Umbuchung abweichend",IF(OR(G362="",M362="",M362="offen",M362="teilbelegt",H362="Ungeklärt",H362="Bargeld"),"Beleg / Verwendung klären","vollständig erfasst")))))))))</x:f>
      </x:c>
    </x:row>
    <x:row r="363" ht="22" customHeight="1">
      <x:c r="A363" s="7"/>
      <x:c r="B363" s="8"/>
      <x:c r="C363" s="7"/>
      <x:c r="D363" s="7"/>
      <x:c r="E363" s="7"/>
      <x:c r="F363" s="20"/>
      <x:c r="G363" s="7"/>
      <x:c r="H363" s="7"/>
      <x:c r="I363" s="7"/>
      <x:c r="J363" s="7"/>
      <x:c r="K363" s="7"/>
      <x:c r="L363" s="7"/>
      <x:c r="M363" s="7"/>
      <x:c r="N363" s="7"/>
      <x:c r="O363" s="2" t="str">
        <x:f>IF(A363="","",IF(COUNTIFS($A$7:$A$1506,A363)&gt;1,"Buchung-ID doppelt",IF(OR(NOT(ISNUMBER(B363)),C363="",NOT(ISNUMBER(F363)),H363="",L363=""),"Pflichtangaben fehlen",IF(COUNTIFS('Konten'!$A$7:$A$26,C363)&lt;&gt;1,"Konto nicht eindeutig",IF(J363&lt;&gt;"Ja","Zuordnung bestätigen",IF(OR(AND(H363="Einnahme",F363&lt;0),AND(H363="Ausgabe",F363&gt;0)),"Vorzeichen prüfen",IF(AND(H363="Umbuchung",OR(K363="",COUNTIFS($A$7:$A$1506,K363)&lt;&gt;1)),"Gegenbuchung fehlt",IF(AND(H363="Umbuchung",ROUND(SUMIFS($F$7:$F$1506,$A$7:$A$1506,K363)+F363,2)&lt;&gt;0),"Umbuchung abweichend",IF(OR(G363="",M363="",M363="offen",M363="teilbelegt",H363="Ungeklärt",H363="Bargeld"),"Beleg / Verwendung klären","vollständig erfasst")))))))))</x:f>
      </x:c>
    </x:row>
    <x:row r="364" ht="22" customHeight="1">
      <x:c r="A364" s="7"/>
      <x:c r="B364" s="8"/>
      <x:c r="C364" s="7"/>
      <x:c r="D364" s="7"/>
      <x:c r="E364" s="7"/>
      <x:c r="F364" s="20"/>
      <x:c r="G364" s="7"/>
      <x:c r="H364" s="7"/>
      <x:c r="I364" s="7"/>
      <x:c r="J364" s="7"/>
      <x:c r="K364" s="7"/>
      <x:c r="L364" s="7"/>
      <x:c r="M364" s="7"/>
      <x:c r="N364" s="7"/>
      <x:c r="O364" s="2" t="str">
        <x:f>IF(A364="","",IF(COUNTIFS($A$7:$A$1506,A364)&gt;1,"Buchung-ID doppelt",IF(OR(NOT(ISNUMBER(B364)),C364="",NOT(ISNUMBER(F364)),H364="",L364=""),"Pflichtangaben fehlen",IF(COUNTIFS('Konten'!$A$7:$A$26,C364)&lt;&gt;1,"Konto nicht eindeutig",IF(J364&lt;&gt;"Ja","Zuordnung bestätigen",IF(OR(AND(H364="Einnahme",F364&lt;0),AND(H364="Ausgabe",F364&gt;0)),"Vorzeichen prüfen",IF(AND(H364="Umbuchung",OR(K364="",COUNTIFS($A$7:$A$1506,K364)&lt;&gt;1)),"Gegenbuchung fehlt",IF(AND(H364="Umbuchung",ROUND(SUMIFS($F$7:$F$1506,$A$7:$A$1506,K364)+F364,2)&lt;&gt;0),"Umbuchung abweichend",IF(OR(G364="",M364="",M364="offen",M364="teilbelegt",H364="Ungeklärt",H364="Bargeld"),"Beleg / Verwendung klären","vollständig erfasst")))))))))</x:f>
      </x:c>
    </x:row>
    <x:row r="365" ht="22" customHeight="1">
      <x:c r="A365" s="7"/>
      <x:c r="B365" s="8"/>
      <x:c r="C365" s="7"/>
      <x:c r="D365" s="7"/>
      <x:c r="E365" s="7"/>
      <x:c r="F365" s="20"/>
      <x:c r="G365" s="7"/>
      <x:c r="H365" s="7"/>
      <x:c r="I365" s="7"/>
      <x:c r="J365" s="7"/>
      <x:c r="K365" s="7"/>
      <x:c r="L365" s="7"/>
      <x:c r="M365" s="7"/>
      <x:c r="N365" s="7"/>
      <x:c r="O365" s="2" t="str">
        <x:f>IF(A365="","",IF(COUNTIFS($A$7:$A$1506,A365)&gt;1,"Buchung-ID doppelt",IF(OR(NOT(ISNUMBER(B365)),C365="",NOT(ISNUMBER(F365)),H365="",L365=""),"Pflichtangaben fehlen",IF(COUNTIFS('Konten'!$A$7:$A$26,C365)&lt;&gt;1,"Konto nicht eindeutig",IF(J365&lt;&gt;"Ja","Zuordnung bestätigen",IF(OR(AND(H365="Einnahme",F365&lt;0),AND(H365="Ausgabe",F365&gt;0)),"Vorzeichen prüfen",IF(AND(H365="Umbuchung",OR(K365="",COUNTIFS($A$7:$A$1506,K365)&lt;&gt;1)),"Gegenbuchung fehlt",IF(AND(H365="Umbuchung",ROUND(SUMIFS($F$7:$F$1506,$A$7:$A$1506,K365)+F365,2)&lt;&gt;0),"Umbuchung abweichend",IF(OR(G365="",M365="",M365="offen",M365="teilbelegt",H365="Ungeklärt",H365="Bargeld"),"Beleg / Verwendung klären","vollständig erfasst")))))))))</x:f>
      </x:c>
    </x:row>
    <x:row r="366" ht="22" customHeight="1">
      <x:c r="A366" s="7"/>
      <x:c r="B366" s="8"/>
      <x:c r="C366" s="7"/>
      <x:c r="D366" s="7"/>
      <x:c r="E366" s="7"/>
      <x:c r="F366" s="20"/>
      <x:c r="G366" s="7"/>
      <x:c r="H366" s="7"/>
      <x:c r="I366" s="7"/>
      <x:c r="J366" s="7"/>
      <x:c r="K366" s="7"/>
      <x:c r="L366" s="7"/>
      <x:c r="M366" s="7"/>
      <x:c r="N366" s="7"/>
      <x:c r="O366" s="2" t="str">
        <x:f>IF(A366="","",IF(COUNTIFS($A$7:$A$1506,A366)&gt;1,"Buchung-ID doppelt",IF(OR(NOT(ISNUMBER(B366)),C366="",NOT(ISNUMBER(F366)),H366="",L366=""),"Pflichtangaben fehlen",IF(COUNTIFS('Konten'!$A$7:$A$26,C366)&lt;&gt;1,"Konto nicht eindeutig",IF(J366&lt;&gt;"Ja","Zuordnung bestätigen",IF(OR(AND(H366="Einnahme",F366&lt;0),AND(H366="Ausgabe",F366&gt;0)),"Vorzeichen prüfen",IF(AND(H366="Umbuchung",OR(K366="",COUNTIFS($A$7:$A$1506,K366)&lt;&gt;1)),"Gegenbuchung fehlt",IF(AND(H366="Umbuchung",ROUND(SUMIFS($F$7:$F$1506,$A$7:$A$1506,K366)+F366,2)&lt;&gt;0),"Umbuchung abweichend",IF(OR(G366="",M366="",M366="offen",M366="teilbelegt",H366="Ungeklärt",H366="Bargeld"),"Beleg / Verwendung klären","vollständig erfasst")))))))))</x:f>
      </x:c>
    </x:row>
    <x:row r="367" ht="22" customHeight="1">
      <x:c r="A367" s="7"/>
      <x:c r="B367" s="8"/>
      <x:c r="C367" s="7"/>
      <x:c r="D367" s="7"/>
      <x:c r="E367" s="7"/>
      <x:c r="F367" s="20"/>
      <x:c r="G367" s="7"/>
      <x:c r="H367" s="7"/>
      <x:c r="I367" s="7"/>
      <x:c r="J367" s="7"/>
      <x:c r="K367" s="7"/>
      <x:c r="L367" s="7"/>
      <x:c r="M367" s="7"/>
      <x:c r="N367" s="7"/>
      <x:c r="O367" s="2" t="str">
        <x:f>IF(A367="","",IF(COUNTIFS($A$7:$A$1506,A367)&gt;1,"Buchung-ID doppelt",IF(OR(NOT(ISNUMBER(B367)),C367="",NOT(ISNUMBER(F367)),H367="",L367=""),"Pflichtangaben fehlen",IF(COUNTIFS('Konten'!$A$7:$A$26,C367)&lt;&gt;1,"Konto nicht eindeutig",IF(J367&lt;&gt;"Ja","Zuordnung bestätigen",IF(OR(AND(H367="Einnahme",F367&lt;0),AND(H367="Ausgabe",F367&gt;0)),"Vorzeichen prüfen",IF(AND(H367="Umbuchung",OR(K367="",COUNTIFS($A$7:$A$1506,K367)&lt;&gt;1)),"Gegenbuchung fehlt",IF(AND(H367="Umbuchung",ROUND(SUMIFS($F$7:$F$1506,$A$7:$A$1506,K367)+F367,2)&lt;&gt;0),"Umbuchung abweichend",IF(OR(G367="",M367="",M367="offen",M367="teilbelegt",H367="Ungeklärt",H367="Bargeld"),"Beleg / Verwendung klären","vollständig erfasst")))))))))</x:f>
      </x:c>
    </x:row>
    <x:row r="368" ht="22" customHeight="1">
      <x:c r="A368" s="7"/>
      <x:c r="B368" s="8"/>
      <x:c r="C368" s="7"/>
      <x:c r="D368" s="7"/>
      <x:c r="E368" s="7"/>
      <x:c r="F368" s="20"/>
      <x:c r="G368" s="7"/>
      <x:c r="H368" s="7"/>
      <x:c r="I368" s="7"/>
      <x:c r="J368" s="7"/>
      <x:c r="K368" s="7"/>
      <x:c r="L368" s="7"/>
      <x:c r="M368" s="7"/>
      <x:c r="N368" s="7"/>
      <x:c r="O368" s="2" t="str">
        <x:f>IF(A368="","",IF(COUNTIFS($A$7:$A$1506,A368)&gt;1,"Buchung-ID doppelt",IF(OR(NOT(ISNUMBER(B368)),C368="",NOT(ISNUMBER(F368)),H368="",L368=""),"Pflichtangaben fehlen",IF(COUNTIFS('Konten'!$A$7:$A$26,C368)&lt;&gt;1,"Konto nicht eindeutig",IF(J368&lt;&gt;"Ja","Zuordnung bestätigen",IF(OR(AND(H368="Einnahme",F368&lt;0),AND(H368="Ausgabe",F368&gt;0)),"Vorzeichen prüfen",IF(AND(H368="Umbuchung",OR(K368="",COUNTIFS($A$7:$A$1506,K368)&lt;&gt;1)),"Gegenbuchung fehlt",IF(AND(H368="Umbuchung",ROUND(SUMIFS($F$7:$F$1506,$A$7:$A$1506,K368)+F368,2)&lt;&gt;0),"Umbuchung abweichend",IF(OR(G368="",M368="",M368="offen",M368="teilbelegt",H368="Ungeklärt",H368="Bargeld"),"Beleg / Verwendung klären","vollständig erfasst")))))))))</x:f>
      </x:c>
    </x:row>
    <x:row r="369" ht="22" customHeight="1">
      <x:c r="A369" s="7"/>
      <x:c r="B369" s="8"/>
      <x:c r="C369" s="7"/>
      <x:c r="D369" s="7"/>
      <x:c r="E369" s="7"/>
      <x:c r="F369" s="20"/>
      <x:c r="G369" s="7"/>
      <x:c r="H369" s="7"/>
      <x:c r="I369" s="7"/>
      <x:c r="J369" s="7"/>
      <x:c r="K369" s="7"/>
      <x:c r="L369" s="7"/>
      <x:c r="M369" s="7"/>
      <x:c r="N369" s="7"/>
      <x:c r="O369" s="2" t="str">
        <x:f>IF(A369="","",IF(COUNTIFS($A$7:$A$1506,A369)&gt;1,"Buchung-ID doppelt",IF(OR(NOT(ISNUMBER(B369)),C369="",NOT(ISNUMBER(F369)),H369="",L369=""),"Pflichtangaben fehlen",IF(COUNTIFS('Konten'!$A$7:$A$26,C369)&lt;&gt;1,"Konto nicht eindeutig",IF(J369&lt;&gt;"Ja","Zuordnung bestätigen",IF(OR(AND(H369="Einnahme",F369&lt;0),AND(H369="Ausgabe",F369&gt;0)),"Vorzeichen prüfen",IF(AND(H369="Umbuchung",OR(K369="",COUNTIFS($A$7:$A$1506,K369)&lt;&gt;1)),"Gegenbuchung fehlt",IF(AND(H369="Umbuchung",ROUND(SUMIFS($F$7:$F$1506,$A$7:$A$1506,K369)+F369,2)&lt;&gt;0),"Umbuchung abweichend",IF(OR(G369="",M369="",M369="offen",M369="teilbelegt",H369="Ungeklärt",H369="Bargeld"),"Beleg / Verwendung klären","vollständig erfasst")))))))))</x:f>
      </x:c>
    </x:row>
    <x:row r="370" ht="22" customHeight="1">
      <x:c r="A370" s="7"/>
      <x:c r="B370" s="8"/>
      <x:c r="C370" s="7"/>
      <x:c r="D370" s="7"/>
      <x:c r="E370" s="7"/>
      <x:c r="F370" s="20"/>
      <x:c r="G370" s="7"/>
      <x:c r="H370" s="7"/>
      <x:c r="I370" s="7"/>
      <x:c r="J370" s="7"/>
      <x:c r="K370" s="7"/>
      <x:c r="L370" s="7"/>
      <x:c r="M370" s="7"/>
      <x:c r="N370" s="7"/>
      <x:c r="O370" s="2" t="str">
        <x:f>IF(A370="","",IF(COUNTIFS($A$7:$A$1506,A370)&gt;1,"Buchung-ID doppelt",IF(OR(NOT(ISNUMBER(B370)),C370="",NOT(ISNUMBER(F370)),H370="",L370=""),"Pflichtangaben fehlen",IF(COUNTIFS('Konten'!$A$7:$A$26,C370)&lt;&gt;1,"Konto nicht eindeutig",IF(J370&lt;&gt;"Ja","Zuordnung bestätigen",IF(OR(AND(H370="Einnahme",F370&lt;0),AND(H370="Ausgabe",F370&gt;0)),"Vorzeichen prüfen",IF(AND(H370="Umbuchung",OR(K370="",COUNTIFS($A$7:$A$1506,K370)&lt;&gt;1)),"Gegenbuchung fehlt",IF(AND(H370="Umbuchung",ROUND(SUMIFS($F$7:$F$1506,$A$7:$A$1506,K370)+F370,2)&lt;&gt;0),"Umbuchung abweichend",IF(OR(G370="",M370="",M370="offen",M370="teilbelegt",H370="Ungeklärt",H370="Bargeld"),"Beleg / Verwendung klären","vollständig erfasst")))))))))</x:f>
      </x:c>
    </x:row>
    <x:row r="371" ht="22" customHeight="1">
      <x:c r="A371" s="7"/>
      <x:c r="B371" s="8"/>
      <x:c r="C371" s="7"/>
      <x:c r="D371" s="7"/>
      <x:c r="E371" s="7"/>
      <x:c r="F371" s="20"/>
      <x:c r="G371" s="7"/>
      <x:c r="H371" s="7"/>
      <x:c r="I371" s="7"/>
      <x:c r="J371" s="7"/>
      <x:c r="K371" s="7"/>
      <x:c r="L371" s="7"/>
      <x:c r="M371" s="7"/>
      <x:c r="N371" s="7"/>
      <x:c r="O371" s="2" t="str">
        <x:f>IF(A371="","",IF(COUNTIFS($A$7:$A$1506,A371)&gt;1,"Buchung-ID doppelt",IF(OR(NOT(ISNUMBER(B371)),C371="",NOT(ISNUMBER(F371)),H371="",L371=""),"Pflichtangaben fehlen",IF(COUNTIFS('Konten'!$A$7:$A$26,C371)&lt;&gt;1,"Konto nicht eindeutig",IF(J371&lt;&gt;"Ja","Zuordnung bestätigen",IF(OR(AND(H371="Einnahme",F371&lt;0),AND(H371="Ausgabe",F371&gt;0)),"Vorzeichen prüfen",IF(AND(H371="Umbuchung",OR(K371="",COUNTIFS($A$7:$A$1506,K371)&lt;&gt;1)),"Gegenbuchung fehlt",IF(AND(H371="Umbuchung",ROUND(SUMIFS($F$7:$F$1506,$A$7:$A$1506,K371)+F371,2)&lt;&gt;0),"Umbuchung abweichend",IF(OR(G371="",M371="",M371="offen",M371="teilbelegt",H371="Ungeklärt",H371="Bargeld"),"Beleg / Verwendung klären","vollständig erfasst")))))))))</x:f>
      </x:c>
    </x:row>
    <x:row r="372" ht="22" customHeight="1">
      <x:c r="A372" s="7"/>
      <x:c r="B372" s="8"/>
      <x:c r="C372" s="7"/>
      <x:c r="D372" s="7"/>
      <x:c r="E372" s="7"/>
      <x:c r="F372" s="20"/>
      <x:c r="G372" s="7"/>
      <x:c r="H372" s="7"/>
      <x:c r="I372" s="7"/>
      <x:c r="J372" s="7"/>
      <x:c r="K372" s="7"/>
      <x:c r="L372" s="7"/>
      <x:c r="M372" s="7"/>
      <x:c r="N372" s="7"/>
      <x:c r="O372" s="2" t="str">
        <x:f>IF(A372="","",IF(COUNTIFS($A$7:$A$1506,A372)&gt;1,"Buchung-ID doppelt",IF(OR(NOT(ISNUMBER(B372)),C372="",NOT(ISNUMBER(F372)),H372="",L372=""),"Pflichtangaben fehlen",IF(COUNTIFS('Konten'!$A$7:$A$26,C372)&lt;&gt;1,"Konto nicht eindeutig",IF(J372&lt;&gt;"Ja","Zuordnung bestätigen",IF(OR(AND(H372="Einnahme",F372&lt;0),AND(H372="Ausgabe",F372&gt;0)),"Vorzeichen prüfen",IF(AND(H372="Umbuchung",OR(K372="",COUNTIFS($A$7:$A$1506,K372)&lt;&gt;1)),"Gegenbuchung fehlt",IF(AND(H372="Umbuchung",ROUND(SUMIFS($F$7:$F$1506,$A$7:$A$1506,K372)+F372,2)&lt;&gt;0),"Umbuchung abweichend",IF(OR(G372="",M372="",M372="offen",M372="teilbelegt",H372="Ungeklärt",H372="Bargeld"),"Beleg / Verwendung klären","vollständig erfasst")))))))))</x:f>
      </x:c>
    </x:row>
    <x:row r="373" ht="22" customHeight="1">
      <x:c r="A373" s="7"/>
      <x:c r="B373" s="8"/>
      <x:c r="C373" s="7"/>
      <x:c r="D373" s="7"/>
      <x:c r="E373" s="7"/>
      <x:c r="F373" s="20"/>
      <x:c r="G373" s="7"/>
      <x:c r="H373" s="7"/>
      <x:c r="I373" s="7"/>
      <x:c r="J373" s="7"/>
      <x:c r="K373" s="7"/>
      <x:c r="L373" s="7"/>
      <x:c r="M373" s="7"/>
      <x:c r="N373" s="7"/>
      <x:c r="O373" s="2" t="str">
        <x:f>IF(A373="","",IF(COUNTIFS($A$7:$A$1506,A373)&gt;1,"Buchung-ID doppelt",IF(OR(NOT(ISNUMBER(B373)),C373="",NOT(ISNUMBER(F373)),H373="",L373=""),"Pflichtangaben fehlen",IF(COUNTIFS('Konten'!$A$7:$A$26,C373)&lt;&gt;1,"Konto nicht eindeutig",IF(J373&lt;&gt;"Ja","Zuordnung bestätigen",IF(OR(AND(H373="Einnahme",F373&lt;0),AND(H373="Ausgabe",F373&gt;0)),"Vorzeichen prüfen",IF(AND(H373="Umbuchung",OR(K373="",COUNTIFS($A$7:$A$1506,K373)&lt;&gt;1)),"Gegenbuchung fehlt",IF(AND(H373="Umbuchung",ROUND(SUMIFS($F$7:$F$1506,$A$7:$A$1506,K373)+F373,2)&lt;&gt;0),"Umbuchung abweichend",IF(OR(G373="",M373="",M373="offen",M373="teilbelegt",H373="Ungeklärt",H373="Bargeld"),"Beleg / Verwendung klären","vollständig erfasst")))))))))</x:f>
      </x:c>
    </x:row>
    <x:row r="374" ht="22" customHeight="1">
      <x:c r="A374" s="7"/>
      <x:c r="B374" s="8"/>
      <x:c r="C374" s="7"/>
      <x:c r="D374" s="7"/>
      <x:c r="E374" s="7"/>
      <x:c r="F374" s="20"/>
      <x:c r="G374" s="7"/>
      <x:c r="H374" s="7"/>
      <x:c r="I374" s="7"/>
      <x:c r="J374" s="7"/>
      <x:c r="K374" s="7"/>
      <x:c r="L374" s="7"/>
      <x:c r="M374" s="7"/>
      <x:c r="N374" s="7"/>
      <x:c r="O374" s="2" t="str">
        <x:f>IF(A374="","",IF(COUNTIFS($A$7:$A$1506,A374)&gt;1,"Buchung-ID doppelt",IF(OR(NOT(ISNUMBER(B374)),C374="",NOT(ISNUMBER(F374)),H374="",L374=""),"Pflichtangaben fehlen",IF(COUNTIFS('Konten'!$A$7:$A$26,C374)&lt;&gt;1,"Konto nicht eindeutig",IF(J374&lt;&gt;"Ja","Zuordnung bestätigen",IF(OR(AND(H374="Einnahme",F374&lt;0),AND(H374="Ausgabe",F374&gt;0)),"Vorzeichen prüfen",IF(AND(H374="Umbuchung",OR(K374="",COUNTIFS($A$7:$A$1506,K374)&lt;&gt;1)),"Gegenbuchung fehlt",IF(AND(H374="Umbuchung",ROUND(SUMIFS($F$7:$F$1506,$A$7:$A$1506,K374)+F374,2)&lt;&gt;0),"Umbuchung abweichend",IF(OR(G374="",M374="",M374="offen",M374="teilbelegt",H374="Ungeklärt",H374="Bargeld"),"Beleg / Verwendung klären","vollständig erfasst")))))))))</x:f>
      </x:c>
    </x:row>
    <x:row r="375" ht="22" customHeight="1">
      <x:c r="A375" s="7"/>
      <x:c r="B375" s="8"/>
      <x:c r="C375" s="7"/>
      <x:c r="D375" s="7"/>
      <x:c r="E375" s="7"/>
      <x:c r="F375" s="20"/>
      <x:c r="G375" s="7"/>
      <x:c r="H375" s="7"/>
      <x:c r="I375" s="7"/>
      <x:c r="J375" s="7"/>
      <x:c r="K375" s="7"/>
      <x:c r="L375" s="7"/>
      <x:c r="M375" s="7"/>
      <x:c r="N375" s="7"/>
      <x:c r="O375" s="2" t="str">
        <x:f>IF(A375="","",IF(COUNTIFS($A$7:$A$1506,A375)&gt;1,"Buchung-ID doppelt",IF(OR(NOT(ISNUMBER(B375)),C375="",NOT(ISNUMBER(F375)),H375="",L375=""),"Pflichtangaben fehlen",IF(COUNTIFS('Konten'!$A$7:$A$26,C375)&lt;&gt;1,"Konto nicht eindeutig",IF(J375&lt;&gt;"Ja","Zuordnung bestätigen",IF(OR(AND(H375="Einnahme",F375&lt;0),AND(H375="Ausgabe",F375&gt;0)),"Vorzeichen prüfen",IF(AND(H375="Umbuchung",OR(K375="",COUNTIFS($A$7:$A$1506,K375)&lt;&gt;1)),"Gegenbuchung fehlt",IF(AND(H375="Umbuchung",ROUND(SUMIFS($F$7:$F$1506,$A$7:$A$1506,K375)+F375,2)&lt;&gt;0),"Umbuchung abweichend",IF(OR(G375="",M375="",M375="offen",M375="teilbelegt",H375="Ungeklärt",H375="Bargeld"),"Beleg / Verwendung klären","vollständig erfasst")))))))))</x:f>
      </x:c>
    </x:row>
    <x:row r="376" ht="22" customHeight="1">
      <x:c r="A376" s="7"/>
      <x:c r="B376" s="8"/>
      <x:c r="C376" s="7"/>
      <x:c r="D376" s="7"/>
      <x:c r="E376" s="7"/>
      <x:c r="F376" s="20"/>
      <x:c r="G376" s="7"/>
      <x:c r="H376" s="7"/>
      <x:c r="I376" s="7"/>
      <x:c r="J376" s="7"/>
      <x:c r="K376" s="7"/>
      <x:c r="L376" s="7"/>
      <x:c r="M376" s="7"/>
      <x:c r="N376" s="7"/>
      <x:c r="O376" s="2" t="str">
        <x:f>IF(A376="","",IF(COUNTIFS($A$7:$A$1506,A376)&gt;1,"Buchung-ID doppelt",IF(OR(NOT(ISNUMBER(B376)),C376="",NOT(ISNUMBER(F376)),H376="",L376=""),"Pflichtangaben fehlen",IF(COUNTIFS('Konten'!$A$7:$A$26,C376)&lt;&gt;1,"Konto nicht eindeutig",IF(J376&lt;&gt;"Ja","Zuordnung bestätigen",IF(OR(AND(H376="Einnahme",F376&lt;0),AND(H376="Ausgabe",F376&gt;0)),"Vorzeichen prüfen",IF(AND(H376="Umbuchung",OR(K376="",COUNTIFS($A$7:$A$1506,K376)&lt;&gt;1)),"Gegenbuchung fehlt",IF(AND(H376="Umbuchung",ROUND(SUMIFS($F$7:$F$1506,$A$7:$A$1506,K376)+F376,2)&lt;&gt;0),"Umbuchung abweichend",IF(OR(G376="",M376="",M376="offen",M376="teilbelegt",H376="Ungeklärt",H376="Bargeld"),"Beleg / Verwendung klären","vollständig erfasst")))))))))</x:f>
      </x:c>
    </x:row>
    <x:row r="377" ht="22" customHeight="1">
      <x:c r="A377" s="7"/>
      <x:c r="B377" s="8"/>
      <x:c r="C377" s="7"/>
      <x:c r="D377" s="7"/>
      <x:c r="E377" s="7"/>
      <x:c r="F377" s="20"/>
      <x:c r="G377" s="7"/>
      <x:c r="H377" s="7"/>
      <x:c r="I377" s="7"/>
      <x:c r="J377" s="7"/>
      <x:c r="K377" s="7"/>
      <x:c r="L377" s="7"/>
      <x:c r="M377" s="7"/>
      <x:c r="N377" s="7"/>
      <x:c r="O377" s="2" t="str">
        <x:f>IF(A377="","",IF(COUNTIFS($A$7:$A$1506,A377)&gt;1,"Buchung-ID doppelt",IF(OR(NOT(ISNUMBER(B377)),C377="",NOT(ISNUMBER(F377)),H377="",L377=""),"Pflichtangaben fehlen",IF(COUNTIFS('Konten'!$A$7:$A$26,C377)&lt;&gt;1,"Konto nicht eindeutig",IF(J377&lt;&gt;"Ja","Zuordnung bestätigen",IF(OR(AND(H377="Einnahme",F377&lt;0),AND(H377="Ausgabe",F377&gt;0)),"Vorzeichen prüfen",IF(AND(H377="Umbuchung",OR(K377="",COUNTIFS($A$7:$A$1506,K377)&lt;&gt;1)),"Gegenbuchung fehlt",IF(AND(H377="Umbuchung",ROUND(SUMIFS($F$7:$F$1506,$A$7:$A$1506,K377)+F377,2)&lt;&gt;0),"Umbuchung abweichend",IF(OR(G377="",M377="",M377="offen",M377="teilbelegt",H377="Ungeklärt",H377="Bargeld"),"Beleg / Verwendung klären","vollständig erfasst")))))))))</x:f>
      </x:c>
    </x:row>
    <x:row r="378" ht="22" customHeight="1">
      <x:c r="A378" s="7"/>
      <x:c r="B378" s="8"/>
      <x:c r="C378" s="7"/>
      <x:c r="D378" s="7"/>
      <x:c r="E378" s="7"/>
      <x:c r="F378" s="20"/>
      <x:c r="G378" s="7"/>
      <x:c r="H378" s="7"/>
      <x:c r="I378" s="7"/>
      <x:c r="J378" s="7"/>
      <x:c r="K378" s="7"/>
      <x:c r="L378" s="7"/>
      <x:c r="M378" s="7"/>
      <x:c r="N378" s="7"/>
      <x:c r="O378" s="2" t="str">
        <x:f>IF(A378="","",IF(COUNTIFS($A$7:$A$1506,A378)&gt;1,"Buchung-ID doppelt",IF(OR(NOT(ISNUMBER(B378)),C378="",NOT(ISNUMBER(F378)),H378="",L378=""),"Pflichtangaben fehlen",IF(COUNTIFS('Konten'!$A$7:$A$26,C378)&lt;&gt;1,"Konto nicht eindeutig",IF(J378&lt;&gt;"Ja","Zuordnung bestätigen",IF(OR(AND(H378="Einnahme",F378&lt;0),AND(H378="Ausgabe",F378&gt;0)),"Vorzeichen prüfen",IF(AND(H378="Umbuchung",OR(K378="",COUNTIFS($A$7:$A$1506,K378)&lt;&gt;1)),"Gegenbuchung fehlt",IF(AND(H378="Umbuchung",ROUND(SUMIFS($F$7:$F$1506,$A$7:$A$1506,K378)+F378,2)&lt;&gt;0),"Umbuchung abweichend",IF(OR(G378="",M378="",M378="offen",M378="teilbelegt",H378="Ungeklärt",H378="Bargeld"),"Beleg / Verwendung klären","vollständig erfasst")))))))))</x:f>
      </x:c>
    </x:row>
    <x:row r="379" ht="22" customHeight="1">
      <x:c r="A379" s="7"/>
      <x:c r="B379" s="8"/>
      <x:c r="C379" s="7"/>
      <x:c r="D379" s="7"/>
      <x:c r="E379" s="7"/>
      <x:c r="F379" s="20"/>
      <x:c r="G379" s="7"/>
      <x:c r="H379" s="7"/>
      <x:c r="I379" s="7"/>
      <x:c r="J379" s="7"/>
      <x:c r="K379" s="7"/>
      <x:c r="L379" s="7"/>
      <x:c r="M379" s="7"/>
      <x:c r="N379" s="7"/>
      <x:c r="O379" s="2" t="str">
        <x:f>IF(A379="","",IF(COUNTIFS($A$7:$A$1506,A379)&gt;1,"Buchung-ID doppelt",IF(OR(NOT(ISNUMBER(B379)),C379="",NOT(ISNUMBER(F379)),H379="",L379=""),"Pflichtangaben fehlen",IF(COUNTIFS('Konten'!$A$7:$A$26,C379)&lt;&gt;1,"Konto nicht eindeutig",IF(J379&lt;&gt;"Ja","Zuordnung bestätigen",IF(OR(AND(H379="Einnahme",F379&lt;0),AND(H379="Ausgabe",F379&gt;0)),"Vorzeichen prüfen",IF(AND(H379="Umbuchung",OR(K379="",COUNTIFS($A$7:$A$1506,K379)&lt;&gt;1)),"Gegenbuchung fehlt",IF(AND(H379="Umbuchung",ROUND(SUMIFS($F$7:$F$1506,$A$7:$A$1506,K379)+F379,2)&lt;&gt;0),"Umbuchung abweichend",IF(OR(G379="",M379="",M379="offen",M379="teilbelegt",H379="Ungeklärt",H379="Bargeld"),"Beleg / Verwendung klären","vollständig erfasst")))))))))</x:f>
      </x:c>
    </x:row>
    <x:row r="380" ht="22" customHeight="1">
      <x:c r="A380" s="7"/>
      <x:c r="B380" s="8"/>
      <x:c r="C380" s="7"/>
      <x:c r="D380" s="7"/>
      <x:c r="E380" s="7"/>
      <x:c r="F380" s="20"/>
      <x:c r="G380" s="7"/>
      <x:c r="H380" s="7"/>
      <x:c r="I380" s="7"/>
      <x:c r="J380" s="7"/>
      <x:c r="K380" s="7"/>
      <x:c r="L380" s="7"/>
      <x:c r="M380" s="7"/>
      <x:c r="N380" s="7"/>
      <x:c r="O380" s="2" t="str">
        <x:f>IF(A380="","",IF(COUNTIFS($A$7:$A$1506,A380)&gt;1,"Buchung-ID doppelt",IF(OR(NOT(ISNUMBER(B380)),C380="",NOT(ISNUMBER(F380)),H380="",L380=""),"Pflichtangaben fehlen",IF(COUNTIFS('Konten'!$A$7:$A$26,C380)&lt;&gt;1,"Konto nicht eindeutig",IF(J380&lt;&gt;"Ja","Zuordnung bestätigen",IF(OR(AND(H380="Einnahme",F380&lt;0),AND(H380="Ausgabe",F380&gt;0)),"Vorzeichen prüfen",IF(AND(H380="Umbuchung",OR(K380="",COUNTIFS($A$7:$A$1506,K380)&lt;&gt;1)),"Gegenbuchung fehlt",IF(AND(H380="Umbuchung",ROUND(SUMIFS($F$7:$F$1506,$A$7:$A$1506,K380)+F380,2)&lt;&gt;0),"Umbuchung abweichend",IF(OR(G380="",M380="",M380="offen",M380="teilbelegt",H380="Ungeklärt",H380="Bargeld"),"Beleg / Verwendung klären","vollständig erfasst")))))))))</x:f>
      </x:c>
    </x:row>
    <x:row r="381" ht="22" customHeight="1">
      <x:c r="A381" s="7"/>
      <x:c r="B381" s="8"/>
      <x:c r="C381" s="7"/>
      <x:c r="D381" s="7"/>
      <x:c r="E381" s="7"/>
      <x:c r="F381" s="20"/>
      <x:c r="G381" s="7"/>
      <x:c r="H381" s="7"/>
      <x:c r="I381" s="7"/>
      <x:c r="J381" s="7"/>
      <x:c r="K381" s="7"/>
      <x:c r="L381" s="7"/>
      <x:c r="M381" s="7"/>
      <x:c r="N381" s="7"/>
      <x:c r="O381" s="2" t="str">
        <x:f>IF(A381="","",IF(COUNTIFS($A$7:$A$1506,A381)&gt;1,"Buchung-ID doppelt",IF(OR(NOT(ISNUMBER(B381)),C381="",NOT(ISNUMBER(F381)),H381="",L381=""),"Pflichtangaben fehlen",IF(COUNTIFS('Konten'!$A$7:$A$26,C381)&lt;&gt;1,"Konto nicht eindeutig",IF(J381&lt;&gt;"Ja","Zuordnung bestätigen",IF(OR(AND(H381="Einnahme",F381&lt;0),AND(H381="Ausgabe",F381&gt;0)),"Vorzeichen prüfen",IF(AND(H381="Umbuchung",OR(K381="",COUNTIFS($A$7:$A$1506,K381)&lt;&gt;1)),"Gegenbuchung fehlt",IF(AND(H381="Umbuchung",ROUND(SUMIFS($F$7:$F$1506,$A$7:$A$1506,K381)+F381,2)&lt;&gt;0),"Umbuchung abweichend",IF(OR(G381="",M381="",M381="offen",M381="teilbelegt",H381="Ungeklärt",H381="Bargeld"),"Beleg / Verwendung klären","vollständig erfasst")))))))))</x:f>
      </x:c>
    </x:row>
    <x:row r="382" ht="22" customHeight="1">
      <x:c r="A382" s="7"/>
      <x:c r="B382" s="8"/>
      <x:c r="C382" s="7"/>
      <x:c r="D382" s="7"/>
      <x:c r="E382" s="7"/>
      <x:c r="F382" s="20"/>
      <x:c r="G382" s="7"/>
      <x:c r="H382" s="7"/>
      <x:c r="I382" s="7"/>
      <x:c r="J382" s="7"/>
      <x:c r="K382" s="7"/>
      <x:c r="L382" s="7"/>
      <x:c r="M382" s="7"/>
      <x:c r="N382" s="7"/>
      <x:c r="O382" s="2" t="str">
        <x:f>IF(A382="","",IF(COUNTIFS($A$7:$A$1506,A382)&gt;1,"Buchung-ID doppelt",IF(OR(NOT(ISNUMBER(B382)),C382="",NOT(ISNUMBER(F382)),H382="",L382=""),"Pflichtangaben fehlen",IF(COUNTIFS('Konten'!$A$7:$A$26,C382)&lt;&gt;1,"Konto nicht eindeutig",IF(J382&lt;&gt;"Ja","Zuordnung bestätigen",IF(OR(AND(H382="Einnahme",F382&lt;0),AND(H382="Ausgabe",F382&gt;0)),"Vorzeichen prüfen",IF(AND(H382="Umbuchung",OR(K382="",COUNTIFS($A$7:$A$1506,K382)&lt;&gt;1)),"Gegenbuchung fehlt",IF(AND(H382="Umbuchung",ROUND(SUMIFS($F$7:$F$1506,$A$7:$A$1506,K382)+F382,2)&lt;&gt;0),"Umbuchung abweichend",IF(OR(G382="",M382="",M382="offen",M382="teilbelegt",H382="Ungeklärt",H382="Bargeld"),"Beleg / Verwendung klären","vollständig erfasst")))))))))</x:f>
      </x:c>
    </x:row>
    <x:row r="383" ht="22" customHeight="1">
      <x:c r="A383" s="7"/>
      <x:c r="B383" s="8"/>
      <x:c r="C383" s="7"/>
      <x:c r="D383" s="7"/>
      <x:c r="E383" s="7"/>
      <x:c r="F383" s="20"/>
      <x:c r="G383" s="7"/>
      <x:c r="H383" s="7"/>
      <x:c r="I383" s="7"/>
      <x:c r="J383" s="7"/>
      <x:c r="K383" s="7"/>
      <x:c r="L383" s="7"/>
      <x:c r="M383" s="7"/>
      <x:c r="N383" s="7"/>
      <x:c r="O383" s="2" t="str">
        <x:f>IF(A383="","",IF(COUNTIFS($A$7:$A$1506,A383)&gt;1,"Buchung-ID doppelt",IF(OR(NOT(ISNUMBER(B383)),C383="",NOT(ISNUMBER(F383)),H383="",L383=""),"Pflichtangaben fehlen",IF(COUNTIFS('Konten'!$A$7:$A$26,C383)&lt;&gt;1,"Konto nicht eindeutig",IF(J383&lt;&gt;"Ja","Zuordnung bestätigen",IF(OR(AND(H383="Einnahme",F383&lt;0),AND(H383="Ausgabe",F383&gt;0)),"Vorzeichen prüfen",IF(AND(H383="Umbuchung",OR(K383="",COUNTIFS($A$7:$A$1506,K383)&lt;&gt;1)),"Gegenbuchung fehlt",IF(AND(H383="Umbuchung",ROUND(SUMIFS($F$7:$F$1506,$A$7:$A$1506,K383)+F383,2)&lt;&gt;0),"Umbuchung abweichend",IF(OR(G383="",M383="",M383="offen",M383="teilbelegt",H383="Ungeklärt",H383="Bargeld"),"Beleg / Verwendung klären","vollständig erfasst")))))))))</x:f>
      </x:c>
    </x:row>
    <x:row r="384" ht="22" customHeight="1">
      <x:c r="A384" s="7"/>
      <x:c r="B384" s="8"/>
      <x:c r="C384" s="7"/>
      <x:c r="D384" s="7"/>
      <x:c r="E384" s="7"/>
      <x:c r="F384" s="20"/>
      <x:c r="G384" s="7"/>
      <x:c r="H384" s="7"/>
      <x:c r="I384" s="7"/>
      <x:c r="J384" s="7"/>
      <x:c r="K384" s="7"/>
      <x:c r="L384" s="7"/>
      <x:c r="M384" s="7"/>
      <x:c r="N384" s="7"/>
      <x:c r="O384" s="2" t="str">
        <x:f>IF(A384="","",IF(COUNTIFS($A$7:$A$1506,A384)&gt;1,"Buchung-ID doppelt",IF(OR(NOT(ISNUMBER(B384)),C384="",NOT(ISNUMBER(F384)),H384="",L384=""),"Pflichtangaben fehlen",IF(COUNTIFS('Konten'!$A$7:$A$26,C384)&lt;&gt;1,"Konto nicht eindeutig",IF(J384&lt;&gt;"Ja","Zuordnung bestätigen",IF(OR(AND(H384="Einnahme",F384&lt;0),AND(H384="Ausgabe",F384&gt;0)),"Vorzeichen prüfen",IF(AND(H384="Umbuchung",OR(K384="",COUNTIFS($A$7:$A$1506,K384)&lt;&gt;1)),"Gegenbuchung fehlt",IF(AND(H384="Umbuchung",ROUND(SUMIFS($F$7:$F$1506,$A$7:$A$1506,K384)+F384,2)&lt;&gt;0),"Umbuchung abweichend",IF(OR(G384="",M384="",M384="offen",M384="teilbelegt",H384="Ungeklärt",H384="Bargeld"),"Beleg / Verwendung klären","vollständig erfasst")))))))))</x:f>
      </x:c>
    </x:row>
    <x:row r="385" ht="22" customHeight="1">
      <x:c r="A385" s="7"/>
      <x:c r="B385" s="8"/>
      <x:c r="C385" s="7"/>
      <x:c r="D385" s="7"/>
      <x:c r="E385" s="7"/>
      <x:c r="F385" s="20"/>
      <x:c r="G385" s="7"/>
      <x:c r="H385" s="7"/>
      <x:c r="I385" s="7"/>
      <x:c r="J385" s="7"/>
      <x:c r="K385" s="7"/>
      <x:c r="L385" s="7"/>
      <x:c r="M385" s="7"/>
      <x:c r="N385" s="7"/>
      <x:c r="O385" s="2" t="str">
        <x:f>IF(A385="","",IF(COUNTIFS($A$7:$A$1506,A385)&gt;1,"Buchung-ID doppelt",IF(OR(NOT(ISNUMBER(B385)),C385="",NOT(ISNUMBER(F385)),H385="",L385=""),"Pflichtangaben fehlen",IF(COUNTIFS('Konten'!$A$7:$A$26,C385)&lt;&gt;1,"Konto nicht eindeutig",IF(J385&lt;&gt;"Ja","Zuordnung bestätigen",IF(OR(AND(H385="Einnahme",F385&lt;0),AND(H385="Ausgabe",F385&gt;0)),"Vorzeichen prüfen",IF(AND(H385="Umbuchung",OR(K385="",COUNTIFS($A$7:$A$1506,K385)&lt;&gt;1)),"Gegenbuchung fehlt",IF(AND(H385="Umbuchung",ROUND(SUMIFS($F$7:$F$1506,$A$7:$A$1506,K385)+F385,2)&lt;&gt;0),"Umbuchung abweichend",IF(OR(G385="",M385="",M385="offen",M385="teilbelegt",H385="Ungeklärt",H385="Bargeld"),"Beleg / Verwendung klären","vollständig erfasst")))))))))</x:f>
      </x:c>
    </x:row>
    <x:row r="386" ht="22" customHeight="1">
      <x:c r="A386" s="7"/>
      <x:c r="B386" s="8"/>
      <x:c r="C386" s="7"/>
      <x:c r="D386" s="7"/>
      <x:c r="E386" s="7"/>
      <x:c r="F386" s="20"/>
      <x:c r="G386" s="7"/>
      <x:c r="H386" s="7"/>
      <x:c r="I386" s="7"/>
      <x:c r="J386" s="7"/>
      <x:c r="K386" s="7"/>
      <x:c r="L386" s="7"/>
      <x:c r="M386" s="7"/>
      <x:c r="N386" s="7"/>
      <x:c r="O386" s="2" t="str">
        <x:f>IF(A386="","",IF(COUNTIFS($A$7:$A$1506,A386)&gt;1,"Buchung-ID doppelt",IF(OR(NOT(ISNUMBER(B386)),C386="",NOT(ISNUMBER(F386)),H386="",L386=""),"Pflichtangaben fehlen",IF(COUNTIFS('Konten'!$A$7:$A$26,C386)&lt;&gt;1,"Konto nicht eindeutig",IF(J386&lt;&gt;"Ja","Zuordnung bestätigen",IF(OR(AND(H386="Einnahme",F386&lt;0),AND(H386="Ausgabe",F386&gt;0)),"Vorzeichen prüfen",IF(AND(H386="Umbuchung",OR(K386="",COUNTIFS($A$7:$A$1506,K386)&lt;&gt;1)),"Gegenbuchung fehlt",IF(AND(H386="Umbuchung",ROUND(SUMIFS($F$7:$F$1506,$A$7:$A$1506,K386)+F386,2)&lt;&gt;0),"Umbuchung abweichend",IF(OR(G386="",M386="",M386="offen",M386="teilbelegt",H386="Ungeklärt",H386="Bargeld"),"Beleg / Verwendung klären","vollständig erfasst")))))))))</x:f>
      </x:c>
    </x:row>
    <x:row r="387" ht="22" customHeight="1">
      <x:c r="A387" s="7"/>
      <x:c r="B387" s="8"/>
      <x:c r="C387" s="7"/>
      <x:c r="D387" s="7"/>
      <x:c r="E387" s="7"/>
      <x:c r="F387" s="20"/>
      <x:c r="G387" s="7"/>
      <x:c r="H387" s="7"/>
      <x:c r="I387" s="7"/>
      <x:c r="J387" s="7"/>
      <x:c r="K387" s="7"/>
      <x:c r="L387" s="7"/>
      <x:c r="M387" s="7"/>
      <x:c r="N387" s="7"/>
      <x:c r="O387" s="2" t="str">
        <x:f>IF(A387="","",IF(COUNTIFS($A$7:$A$1506,A387)&gt;1,"Buchung-ID doppelt",IF(OR(NOT(ISNUMBER(B387)),C387="",NOT(ISNUMBER(F387)),H387="",L387=""),"Pflichtangaben fehlen",IF(COUNTIFS('Konten'!$A$7:$A$26,C387)&lt;&gt;1,"Konto nicht eindeutig",IF(J387&lt;&gt;"Ja","Zuordnung bestätigen",IF(OR(AND(H387="Einnahme",F387&lt;0),AND(H387="Ausgabe",F387&gt;0)),"Vorzeichen prüfen",IF(AND(H387="Umbuchung",OR(K387="",COUNTIFS($A$7:$A$1506,K387)&lt;&gt;1)),"Gegenbuchung fehlt",IF(AND(H387="Umbuchung",ROUND(SUMIFS($F$7:$F$1506,$A$7:$A$1506,K387)+F387,2)&lt;&gt;0),"Umbuchung abweichend",IF(OR(G387="",M387="",M387="offen",M387="teilbelegt",H387="Ungeklärt",H387="Bargeld"),"Beleg / Verwendung klären","vollständig erfasst")))))))))</x:f>
      </x:c>
    </x:row>
    <x:row r="388" ht="22" customHeight="1">
      <x:c r="A388" s="7"/>
      <x:c r="B388" s="8"/>
      <x:c r="C388" s="7"/>
      <x:c r="D388" s="7"/>
      <x:c r="E388" s="7"/>
      <x:c r="F388" s="20"/>
      <x:c r="G388" s="7"/>
      <x:c r="H388" s="7"/>
      <x:c r="I388" s="7"/>
      <x:c r="J388" s="7"/>
      <x:c r="K388" s="7"/>
      <x:c r="L388" s="7"/>
      <x:c r="M388" s="7"/>
      <x:c r="N388" s="7"/>
      <x:c r="O388" s="2" t="str">
        <x:f>IF(A388="","",IF(COUNTIFS($A$7:$A$1506,A388)&gt;1,"Buchung-ID doppelt",IF(OR(NOT(ISNUMBER(B388)),C388="",NOT(ISNUMBER(F388)),H388="",L388=""),"Pflichtangaben fehlen",IF(COUNTIFS('Konten'!$A$7:$A$26,C388)&lt;&gt;1,"Konto nicht eindeutig",IF(J388&lt;&gt;"Ja","Zuordnung bestätigen",IF(OR(AND(H388="Einnahme",F388&lt;0),AND(H388="Ausgabe",F388&gt;0)),"Vorzeichen prüfen",IF(AND(H388="Umbuchung",OR(K388="",COUNTIFS($A$7:$A$1506,K388)&lt;&gt;1)),"Gegenbuchung fehlt",IF(AND(H388="Umbuchung",ROUND(SUMIFS($F$7:$F$1506,$A$7:$A$1506,K388)+F388,2)&lt;&gt;0),"Umbuchung abweichend",IF(OR(G388="",M388="",M388="offen",M388="teilbelegt",H388="Ungeklärt",H388="Bargeld"),"Beleg / Verwendung klären","vollständig erfasst")))))))))</x:f>
      </x:c>
    </x:row>
    <x:row r="389" ht="22" customHeight="1">
      <x:c r="A389" s="7"/>
      <x:c r="B389" s="8"/>
      <x:c r="C389" s="7"/>
      <x:c r="D389" s="7"/>
      <x:c r="E389" s="7"/>
      <x:c r="F389" s="20"/>
      <x:c r="G389" s="7"/>
      <x:c r="H389" s="7"/>
      <x:c r="I389" s="7"/>
      <x:c r="J389" s="7"/>
      <x:c r="K389" s="7"/>
      <x:c r="L389" s="7"/>
      <x:c r="M389" s="7"/>
      <x:c r="N389" s="7"/>
      <x:c r="O389" s="2" t="str">
        <x:f>IF(A389="","",IF(COUNTIFS($A$7:$A$1506,A389)&gt;1,"Buchung-ID doppelt",IF(OR(NOT(ISNUMBER(B389)),C389="",NOT(ISNUMBER(F389)),H389="",L389=""),"Pflichtangaben fehlen",IF(COUNTIFS('Konten'!$A$7:$A$26,C389)&lt;&gt;1,"Konto nicht eindeutig",IF(J389&lt;&gt;"Ja","Zuordnung bestätigen",IF(OR(AND(H389="Einnahme",F389&lt;0),AND(H389="Ausgabe",F389&gt;0)),"Vorzeichen prüfen",IF(AND(H389="Umbuchung",OR(K389="",COUNTIFS($A$7:$A$1506,K389)&lt;&gt;1)),"Gegenbuchung fehlt",IF(AND(H389="Umbuchung",ROUND(SUMIFS($F$7:$F$1506,$A$7:$A$1506,K389)+F389,2)&lt;&gt;0),"Umbuchung abweichend",IF(OR(G389="",M389="",M389="offen",M389="teilbelegt",H389="Ungeklärt",H389="Bargeld"),"Beleg / Verwendung klären","vollständig erfasst")))))))))</x:f>
      </x:c>
    </x:row>
    <x:row r="390" ht="22" customHeight="1">
      <x:c r="A390" s="7"/>
      <x:c r="B390" s="8"/>
      <x:c r="C390" s="7"/>
      <x:c r="D390" s="7"/>
      <x:c r="E390" s="7"/>
      <x:c r="F390" s="20"/>
      <x:c r="G390" s="7"/>
      <x:c r="H390" s="7"/>
      <x:c r="I390" s="7"/>
      <x:c r="J390" s="7"/>
      <x:c r="K390" s="7"/>
      <x:c r="L390" s="7"/>
      <x:c r="M390" s="7"/>
      <x:c r="N390" s="7"/>
      <x:c r="O390" s="2" t="str">
        <x:f>IF(A390="","",IF(COUNTIFS($A$7:$A$1506,A390)&gt;1,"Buchung-ID doppelt",IF(OR(NOT(ISNUMBER(B390)),C390="",NOT(ISNUMBER(F390)),H390="",L390=""),"Pflichtangaben fehlen",IF(COUNTIFS('Konten'!$A$7:$A$26,C390)&lt;&gt;1,"Konto nicht eindeutig",IF(J390&lt;&gt;"Ja","Zuordnung bestätigen",IF(OR(AND(H390="Einnahme",F390&lt;0),AND(H390="Ausgabe",F390&gt;0)),"Vorzeichen prüfen",IF(AND(H390="Umbuchung",OR(K390="",COUNTIFS($A$7:$A$1506,K390)&lt;&gt;1)),"Gegenbuchung fehlt",IF(AND(H390="Umbuchung",ROUND(SUMIFS($F$7:$F$1506,$A$7:$A$1506,K390)+F390,2)&lt;&gt;0),"Umbuchung abweichend",IF(OR(G390="",M390="",M390="offen",M390="teilbelegt",H390="Ungeklärt",H390="Bargeld"),"Beleg / Verwendung klären","vollständig erfasst")))))))))</x:f>
      </x:c>
    </x:row>
    <x:row r="391" ht="22" customHeight="1">
      <x:c r="A391" s="7"/>
      <x:c r="B391" s="8"/>
      <x:c r="C391" s="7"/>
      <x:c r="D391" s="7"/>
      <x:c r="E391" s="7"/>
      <x:c r="F391" s="20"/>
      <x:c r="G391" s="7"/>
      <x:c r="H391" s="7"/>
      <x:c r="I391" s="7"/>
      <x:c r="J391" s="7"/>
      <x:c r="K391" s="7"/>
      <x:c r="L391" s="7"/>
      <x:c r="M391" s="7"/>
      <x:c r="N391" s="7"/>
      <x:c r="O391" s="2" t="str">
        <x:f>IF(A391="","",IF(COUNTIFS($A$7:$A$1506,A391)&gt;1,"Buchung-ID doppelt",IF(OR(NOT(ISNUMBER(B391)),C391="",NOT(ISNUMBER(F391)),H391="",L391=""),"Pflichtangaben fehlen",IF(COUNTIFS('Konten'!$A$7:$A$26,C391)&lt;&gt;1,"Konto nicht eindeutig",IF(J391&lt;&gt;"Ja","Zuordnung bestätigen",IF(OR(AND(H391="Einnahme",F391&lt;0),AND(H391="Ausgabe",F391&gt;0)),"Vorzeichen prüfen",IF(AND(H391="Umbuchung",OR(K391="",COUNTIFS($A$7:$A$1506,K391)&lt;&gt;1)),"Gegenbuchung fehlt",IF(AND(H391="Umbuchung",ROUND(SUMIFS($F$7:$F$1506,$A$7:$A$1506,K391)+F391,2)&lt;&gt;0),"Umbuchung abweichend",IF(OR(G391="",M391="",M391="offen",M391="teilbelegt",H391="Ungeklärt",H391="Bargeld"),"Beleg / Verwendung klären","vollständig erfasst")))))))))</x:f>
      </x:c>
    </x:row>
    <x:row r="392" ht="22" customHeight="1">
      <x:c r="A392" s="7"/>
      <x:c r="B392" s="8"/>
      <x:c r="C392" s="7"/>
      <x:c r="D392" s="7"/>
      <x:c r="E392" s="7"/>
      <x:c r="F392" s="20"/>
      <x:c r="G392" s="7"/>
      <x:c r="H392" s="7"/>
      <x:c r="I392" s="7"/>
      <x:c r="J392" s="7"/>
      <x:c r="K392" s="7"/>
      <x:c r="L392" s="7"/>
      <x:c r="M392" s="7"/>
      <x:c r="N392" s="7"/>
      <x:c r="O392" s="2" t="str">
        <x:f>IF(A392="","",IF(COUNTIFS($A$7:$A$1506,A392)&gt;1,"Buchung-ID doppelt",IF(OR(NOT(ISNUMBER(B392)),C392="",NOT(ISNUMBER(F392)),H392="",L392=""),"Pflichtangaben fehlen",IF(COUNTIFS('Konten'!$A$7:$A$26,C392)&lt;&gt;1,"Konto nicht eindeutig",IF(J392&lt;&gt;"Ja","Zuordnung bestätigen",IF(OR(AND(H392="Einnahme",F392&lt;0),AND(H392="Ausgabe",F392&gt;0)),"Vorzeichen prüfen",IF(AND(H392="Umbuchung",OR(K392="",COUNTIFS($A$7:$A$1506,K392)&lt;&gt;1)),"Gegenbuchung fehlt",IF(AND(H392="Umbuchung",ROUND(SUMIFS($F$7:$F$1506,$A$7:$A$1506,K392)+F392,2)&lt;&gt;0),"Umbuchung abweichend",IF(OR(G392="",M392="",M392="offen",M392="teilbelegt",H392="Ungeklärt",H392="Bargeld"),"Beleg / Verwendung klären","vollständig erfasst")))))))))</x:f>
      </x:c>
    </x:row>
    <x:row r="393" ht="22" customHeight="1">
      <x:c r="A393" s="7"/>
      <x:c r="B393" s="8"/>
      <x:c r="C393" s="7"/>
      <x:c r="D393" s="7"/>
      <x:c r="E393" s="7"/>
      <x:c r="F393" s="20"/>
      <x:c r="G393" s="7"/>
      <x:c r="H393" s="7"/>
      <x:c r="I393" s="7"/>
      <x:c r="J393" s="7"/>
      <x:c r="K393" s="7"/>
      <x:c r="L393" s="7"/>
      <x:c r="M393" s="7"/>
      <x:c r="N393" s="7"/>
      <x:c r="O393" s="2" t="str">
        <x:f>IF(A393="","",IF(COUNTIFS($A$7:$A$1506,A393)&gt;1,"Buchung-ID doppelt",IF(OR(NOT(ISNUMBER(B393)),C393="",NOT(ISNUMBER(F393)),H393="",L393=""),"Pflichtangaben fehlen",IF(COUNTIFS('Konten'!$A$7:$A$26,C393)&lt;&gt;1,"Konto nicht eindeutig",IF(J393&lt;&gt;"Ja","Zuordnung bestätigen",IF(OR(AND(H393="Einnahme",F393&lt;0),AND(H393="Ausgabe",F393&gt;0)),"Vorzeichen prüfen",IF(AND(H393="Umbuchung",OR(K393="",COUNTIFS($A$7:$A$1506,K393)&lt;&gt;1)),"Gegenbuchung fehlt",IF(AND(H393="Umbuchung",ROUND(SUMIFS($F$7:$F$1506,$A$7:$A$1506,K393)+F393,2)&lt;&gt;0),"Umbuchung abweichend",IF(OR(G393="",M393="",M393="offen",M393="teilbelegt",H393="Ungeklärt",H393="Bargeld"),"Beleg / Verwendung klären","vollständig erfasst")))))))))</x:f>
      </x:c>
    </x:row>
    <x:row r="394" ht="22" customHeight="1">
      <x:c r="A394" s="7"/>
      <x:c r="B394" s="8"/>
      <x:c r="C394" s="7"/>
      <x:c r="D394" s="7"/>
      <x:c r="E394" s="7"/>
      <x:c r="F394" s="20"/>
      <x:c r="G394" s="7"/>
      <x:c r="H394" s="7"/>
      <x:c r="I394" s="7"/>
      <x:c r="J394" s="7"/>
      <x:c r="K394" s="7"/>
      <x:c r="L394" s="7"/>
      <x:c r="M394" s="7"/>
      <x:c r="N394" s="7"/>
      <x:c r="O394" s="2" t="str">
        <x:f>IF(A394="","",IF(COUNTIFS($A$7:$A$1506,A394)&gt;1,"Buchung-ID doppelt",IF(OR(NOT(ISNUMBER(B394)),C394="",NOT(ISNUMBER(F394)),H394="",L394=""),"Pflichtangaben fehlen",IF(COUNTIFS('Konten'!$A$7:$A$26,C394)&lt;&gt;1,"Konto nicht eindeutig",IF(J394&lt;&gt;"Ja","Zuordnung bestätigen",IF(OR(AND(H394="Einnahme",F394&lt;0),AND(H394="Ausgabe",F394&gt;0)),"Vorzeichen prüfen",IF(AND(H394="Umbuchung",OR(K394="",COUNTIFS($A$7:$A$1506,K394)&lt;&gt;1)),"Gegenbuchung fehlt",IF(AND(H394="Umbuchung",ROUND(SUMIFS($F$7:$F$1506,$A$7:$A$1506,K394)+F394,2)&lt;&gt;0),"Umbuchung abweichend",IF(OR(G394="",M394="",M394="offen",M394="teilbelegt",H394="Ungeklärt",H394="Bargeld"),"Beleg / Verwendung klären","vollständig erfasst")))))))))</x:f>
      </x:c>
    </x:row>
    <x:row r="395" ht="22" customHeight="1">
      <x:c r="A395" s="7"/>
      <x:c r="B395" s="8"/>
      <x:c r="C395" s="7"/>
      <x:c r="D395" s="7"/>
      <x:c r="E395" s="7"/>
      <x:c r="F395" s="20"/>
      <x:c r="G395" s="7"/>
      <x:c r="H395" s="7"/>
      <x:c r="I395" s="7"/>
      <x:c r="J395" s="7"/>
      <x:c r="K395" s="7"/>
      <x:c r="L395" s="7"/>
      <x:c r="M395" s="7"/>
      <x:c r="N395" s="7"/>
      <x:c r="O395" s="2" t="str">
        <x:f>IF(A395="","",IF(COUNTIFS($A$7:$A$1506,A395)&gt;1,"Buchung-ID doppelt",IF(OR(NOT(ISNUMBER(B395)),C395="",NOT(ISNUMBER(F395)),H395="",L395=""),"Pflichtangaben fehlen",IF(COUNTIFS('Konten'!$A$7:$A$26,C395)&lt;&gt;1,"Konto nicht eindeutig",IF(J395&lt;&gt;"Ja","Zuordnung bestätigen",IF(OR(AND(H395="Einnahme",F395&lt;0),AND(H395="Ausgabe",F395&gt;0)),"Vorzeichen prüfen",IF(AND(H395="Umbuchung",OR(K395="",COUNTIFS($A$7:$A$1506,K395)&lt;&gt;1)),"Gegenbuchung fehlt",IF(AND(H395="Umbuchung",ROUND(SUMIFS($F$7:$F$1506,$A$7:$A$1506,K395)+F395,2)&lt;&gt;0),"Umbuchung abweichend",IF(OR(G395="",M395="",M395="offen",M395="teilbelegt",H395="Ungeklärt",H395="Bargeld"),"Beleg / Verwendung klären","vollständig erfasst")))))))))</x:f>
      </x:c>
    </x:row>
    <x:row r="396" ht="22" customHeight="1">
      <x:c r="A396" s="7"/>
      <x:c r="B396" s="8"/>
      <x:c r="C396" s="7"/>
      <x:c r="D396" s="7"/>
      <x:c r="E396" s="7"/>
      <x:c r="F396" s="20"/>
      <x:c r="G396" s="7"/>
      <x:c r="H396" s="7"/>
      <x:c r="I396" s="7"/>
      <x:c r="J396" s="7"/>
      <x:c r="K396" s="7"/>
      <x:c r="L396" s="7"/>
      <x:c r="M396" s="7"/>
      <x:c r="N396" s="7"/>
      <x:c r="O396" s="2" t="str">
        <x:f>IF(A396="","",IF(COUNTIFS($A$7:$A$1506,A396)&gt;1,"Buchung-ID doppelt",IF(OR(NOT(ISNUMBER(B396)),C396="",NOT(ISNUMBER(F396)),H396="",L396=""),"Pflichtangaben fehlen",IF(COUNTIFS('Konten'!$A$7:$A$26,C396)&lt;&gt;1,"Konto nicht eindeutig",IF(J396&lt;&gt;"Ja","Zuordnung bestätigen",IF(OR(AND(H396="Einnahme",F396&lt;0),AND(H396="Ausgabe",F396&gt;0)),"Vorzeichen prüfen",IF(AND(H396="Umbuchung",OR(K396="",COUNTIFS($A$7:$A$1506,K396)&lt;&gt;1)),"Gegenbuchung fehlt",IF(AND(H396="Umbuchung",ROUND(SUMIFS($F$7:$F$1506,$A$7:$A$1506,K396)+F396,2)&lt;&gt;0),"Umbuchung abweichend",IF(OR(G396="",M396="",M396="offen",M396="teilbelegt",H396="Ungeklärt",H396="Bargeld"),"Beleg / Verwendung klären","vollständig erfasst")))))))))</x:f>
      </x:c>
    </x:row>
    <x:row r="397" ht="22" customHeight="1">
      <x:c r="A397" s="7"/>
      <x:c r="B397" s="8"/>
      <x:c r="C397" s="7"/>
      <x:c r="D397" s="7"/>
      <x:c r="E397" s="7"/>
      <x:c r="F397" s="20"/>
      <x:c r="G397" s="7"/>
      <x:c r="H397" s="7"/>
      <x:c r="I397" s="7"/>
      <x:c r="J397" s="7"/>
      <x:c r="K397" s="7"/>
      <x:c r="L397" s="7"/>
      <x:c r="M397" s="7"/>
      <x:c r="N397" s="7"/>
      <x:c r="O397" s="2" t="str">
        <x:f>IF(A397="","",IF(COUNTIFS($A$7:$A$1506,A397)&gt;1,"Buchung-ID doppelt",IF(OR(NOT(ISNUMBER(B397)),C397="",NOT(ISNUMBER(F397)),H397="",L397=""),"Pflichtangaben fehlen",IF(COUNTIFS('Konten'!$A$7:$A$26,C397)&lt;&gt;1,"Konto nicht eindeutig",IF(J397&lt;&gt;"Ja","Zuordnung bestätigen",IF(OR(AND(H397="Einnahme",F397&lt;0),AND(H397="Ausgabe",F397&gt;0)),"Vorzeichen prüfen",IF(AND(H397="Umbuchung",OR(K397="",COUNTIFS($A$7:$A$1506,K397)&lt;&gt;1)),"Gegenbuchung fehlt",IF(AND(H397="Umbuchung",ROUND(SUMIFS($F$7:$F$1506,$A$7:$A$1506,K397)+F397,2)&lt;&gt;0),"Umbuchung abweichend",IF(OR(G397="",M397="",M397="offen",M397="teilbelegt",H397="Ungeklärt",H397="Bargeld"),"Beleg / Verwendung klären","vollständig erfasst")))))))))</x:f>
      </x:c>
    </x:row>
    <x:row r="398" ht="22" customHeight="1">
      <x:c r="A398" s="7"/>
      <x:c r="B398" s="8"/>
      <x:c r="C398" s="7"/>
      <x:c r="D398" s="7"/>
      <x:c r="E398" s="7"/>
      <x:c r="F398" s="20"/>
      <x:c r="G398" s="7"/>
      <x:c r="H398" s="7"/>
      <x:c r="I398" s="7"/>
      <x:c r="J398" s="7"/>
      <x:c r="K398" s="7"/>
      <x:c r="L398" s="7"/>
      <x:c r="M398" s="7"/>
      <x:c r="N398" s="7"/>
      <x:c r="O398" s="2" t="str">
        <x:f>IF(A398="","",IF(COUNTIFS($A$7:$A$1506,A398)&gt;1,"Buchung-ID doppelt",IF(OR(NOT(ISNUMBER(B398)),C398="",NOT(ISNUMBER(F398)),H398="",L398=""),"Pflichtangaben fehlen",IF(COUNTIFS('Konten'!$A$7:$A$26,C398)&lt;&gt;1,"Konto nicht eindeutig",IF(J398&lt;&gt;"Ja","Zuordnung bestätigen",IF(OR(AND(H398="Einnahme",F398&lt;0),AND(H398="Ausgabe",F398&gt;0)),"Vorzeichen prüfen",IF(AND(H398="Umbuchung",OR(K398="",COUNTIFS($A$7:$A$1506,K398)&lt;&gt;1)),"Gegenbuchung fehlt",IF(AND(H398="Umbuchung",ROUND(SUMIFS($F$7:$F$1506,$A$7:$A$1506,K398)+F398,2)&lt;&gt;0),"Umbuchung abweichend",IF(OR(G398="",M398="",M398="offen",M398="teilbelegt",H398="Ungeklärt",H398="Bargeld"),"Beleg / Verwendung klären","vollständig erfasst")))))))))</x:f>
      </x:c>
    </x:row>
    <x:row r="399" ht="22" customHeight="1">
      <x:c r="A399" s="7"/>
      <x:c r="B399" s="8"/>
      <x:c r="C399" s="7"/>
      <x:c r="D399" s="7"/>
      <x:c r="E399" s="7"/>
      <x:c r="F399" s="20"/>
      <x:c r="G399" s="7"/>
      <x:c r="H399" s="7"/>
      <x:c r="I399" s="7"/>
      <x:c r="J399" s="7"/>
      <x:c r="K399" s="7"/>
      <x:c r="L399" s="7"/>
      <x:c r="M399" s="7"/>
      <x:c r="N399" s="7"/>
      <x:c r="O399" s="2" t="str">
        <x:f>IF(A399="","",IF(COUNTIFS($A$7:$A$1506,A399)&gt;1,"Buchung-ID doppelt",IF(OR(NOT(ISNUMBER(B399)),C399="",NOT(ISNUMBER(F399)),H399="",L399=""),"Pflichtangaben fehlen",IF(COUNTIFS('Konten'!$A$7:$A$26,C399)&lt;&gt;1,"Konto nicht eindeutig",IF(J399&lt;&gt;"Ja","Zuordnung bestätigen",IF(OR(AND(H399="Einnahme",F399&lt;0),AND(H399="Ausgabe",F399&gt;0)),"Vorzeichen prüfen",IF(AND(H399="Umbuchung",OR(K399="",COUNTIFS($A$7:$A$1506,K399)&lt;&gt;1)),"Gegenbuchung fehlt",IF(AND(H399="Umbuchung",ROUND(SUMIFS($F$7:$F$1506,$A$7:$A$1506,K399)+F399,2)&lt;&gt;0),"Umbuchung abweichend",IF(OR(G399="",M399="",M399="offen",M399="teilbelegt",H399="Ungeklärt",H399="Bargeld"),"Beleg / Verwendung klären","vollständig erfasst")))))))))</x:f>
      </x:c>
    </x:row>
    <x:row r="400" ht="22" customHeight="1">
      <x:c r="A400" s="7"/>
      <x:c r="B400" s="8"/>
      <x:c r="C400" s="7"/>
      <x:c r="D400" s="7"/>
      <x:c r="E400" s="7"/>
      <x:c r="F400" s="20"/>
      <x:c r="G400" s="7"/>
      <x:c r="H400" s="7"/>
      <x:c r="I400" s="7"/>
      <x:c r="J400" s="7"/>
      <x:c r="K400" s="7"/>
      <x:c r="L400" s="7"/>
      <x:c r="M400" s="7"/>
      <x:c r="N400" s="7"/>
      <x:c r="O400" s="2" t="str">
        <x:f>IF(A400="","",IF(COUNTIFS($A$7:$A$1506,A400)&gt;1,"Buchung-ID doppelt",IF(OR(NOT(ISNUMBER(B400)),C400="",NOT(ISNUMBER(F400)),H400="",L400=""),"Pflichtangaben fehlen",IF(COUNTIFS('Konten'!$A$7:$A$26,C400)&lt;&gt;1,"Konto nicht eindeutig",IF(J400&lt;&gt;"Ja","Zuordnung bestätigen",IF(OR(AND(H400="Einnahme",F400&lt;0),AND(H400="Ausgabe",F400&gt;0)),"Vorzeichen prüfen",IF(AND(H400="Umbuchung",OR(K400="",COUNTIFS($A$7:$A$1506,K400)&lt;&gt;1)),"Gegenbuchung fehlt",IF(AND(H400="Umbuchung",ROUND(SUMIFS($F$7:$F$1506,$A$7:$A$1506,K400)+F400,2)&lt;&gt;0),"Umbuchung abweichend",IF(OR(G400="",M400="",M400="offen",M400="teilbelegt",H400="Ungeklärt",H400="Bargeld"),"Beleg / Verwendung klären","vollständig erfasst")))))))))</x:f>
      </x:c>
    </x:row>
    <x:row r="401" ht="22" customHeight="1">
      <x:c r="A401" s="7"/>
      <x:c r="B401" s="8"/>
      <x:c r="C401" s="7"/>
      <x:c r="D401" s="7"/>
      <x:c r="E401" s="7"/>
      <x:c r="F401" s="20"/>
      <x:c r="G401" s="7"/>
      <x:c r="H401" s="7"/>
      <x:c r="I401" s="7"/>
      <x:c r="J401" s="7"/>
      <x:c r="K401" s="7"/>
      <x:c r="L401" s="7"/>
      <x:c r="M401" s="7"/>
      <x:c r="N401" s="7"/>
      <x:c r="O401" s="2" t="str">
        <x:f>IF(A401="","",IF(COUNTIFS($A$7:$A$1506,A401)&gt;1,"Buchung-ID doppelt",IF(OR(NOT(ISNUMBER(B401)),C401="",NOT(ISNUMBER(F401)),H401="",L401=""),"Pflichtangaben fehlen",IF(COUNTIFS('Konten'!$A$7:$A$26,C401)&lt;&gt;1,"Konto nicht eindeutig",IF(J401&lt;&gt;"Ja","Zuordnung bestätigen",IF(OR(AND(H401="Einnahme",F401&lt;0),AND(H401="Ausgabe",F401&gt;0)),"Vorzeichen prüfen",IF(AND(H401="Umbuchung",OR(K401="",COUNTIFS($A$7:$A$1506,K401)&lt;&gt;1)),"Gegenbuchung fehlt",IF(AND(H401="Umbuchung",ROUND(SUMIFS($F$7:$F$1506,$A$7:$A$1506,K401)+F401,2)&lt;&gt;0),"Umbuchung abweichend",IF(OR(G401="",M401="",M401="offen",M401="teilbelegt",H401="Ungeklärt",H401="Bargeld"),"Beleg / Verwendung klären","vollständig erfasst")))))))))</x:f>
      </x:c>
    </x:row>
    <x:row r="402" ht="22" customHeight="1">
      <x:c r="A402" s="7"/>
      <x:c r="B402" s="8"/>
      <x:c r="C402" s="7"/>
      <x:c r="D402" s="7"/>
      <x:c r="E402" s="7"/>
      <x:c r="F402" s="20"/>
      <x:c r="G402" s="7"/>
      <x:c r="H402" s="7"/>
      <x:c r="I402" s="7"/>
      <x:c r="J402" s="7"/>
      <x:c r="K402" s="7"/>
      <x:c r="L402" s="7"/>
      <x:c r="M402" s="7"/>
      <x:c r="N402" s="7"/>
      <x:c r="O402" s="2" t="str">
        <x:f>IF(A402="","",IF(COUNTIFS($A$7:$A$1506,A402)&gt;1,"Buchung-ID doppelt",IF(OR(NOT(ISNUMBER(B402)),C402="",NOT(ISNUMBER(F402)),H402="",L402=""),"Pflichtangaben fehlen",IF(COUNTIFS('Konten'!$A$7:$A$26,C402)&lt;&gt;1,"Konto nicht eindeutig",IF(J402&lt;&gt;"Ja","Zuordnung bestätigen",IF(OR(AND(H402="Einnahme",F402&lt;0),AND(H402="Ausgabe",F402&gt;0)),"Vorzeichen prüfen",IF(AND(H402="Umbuchung",OR(K402="",COUNTIFS($A$7:$A$1506,K402)&lt;&gt;1)),"Gegenbuchung fehlt",IF(AND(H402="Umbuchung",ROUND(SUMIFS($F$7:$F$1506,$A$7:$A$1506,K402)+F402,2)&lt;&gt;0),"Umbuchung abweichend",IF(OR(G402="",M402="",M402="offen",M402="teilbelegt",H402="Ungeklärt",H402="Bargeld"),"Beleg / Verwendung klären","vollständig erfasst")))))))))</x:f>
      </x:c>
    </x:row>
    <x:row r="403" ht="22" customHeight="1">
      <x:c r="A403" s="7"/>
      <x:c r="B403" s="8"/>
      <x:c r="C403" s="7"/>
      <x:c r="D403" s="7"/>
      <x:c r="E403" s="7"/>
      <x:c r="F403" s="20"/>
      <x:c r="G403" s="7"/>
      <x:c r="H403" s="7"/>
      <x:c r="I403" s="7"/>
      <x:c r="J403" s="7"/>
      <x:c r="K403" s="7"/>
      <x:c r="L403" s="7"/>
      <x:c r="M403" s="7"/>
      <x:c r="N403" s="7"/>
      <x:c r="O403" s="2" t="str">
        <x:f>IF(A403="","",IF(COUNTIFS($A$7:$A$1506,A403)&gt;1,"Buchung-ID doppelt",IF(OR(NOT(ISNUMBER(B403)),C403="",NOT(ISNUMBER(F403)),H403="",L403=""),"Pflichtangaben fehlen",IF(COUNTIFS('Konten'!$A$7:$A$26,C403)&lt;&gt;1,"Konto nicht eindeutig",IF(J403&lt;&gt;"Ja","Zuordnung bestätigen",IF(OR(AND(H403="Einnahme",F403&lt;0),AND(H403="Ausgabe",F403&gt;0)),"Vorzeichen prüfen",IF(AND(H403="Umbuchung",OR(K403="",COUNTIFS($A$7:$A$1506,K403)&lt;&gt;1)),"Gegenbuchung fehlt",IF(AND(H403="Umbuchung",ROUND(SUMIFS($F$7:$F$1506,$A$7:$A$1506,K403)+F403,2)&lt;&gt;0),"Umbuchung abweichend",IF(OR(G403="",M403="",M403="offen",M403="teilbelegt",H403="Ungeklärt",H403="Bargeld"),"Beleg / Verwendung klären","vollständig erfasst")))))))))</x:f>
      </x:c>
    </x:row>
    <x:row r="404" ht="22" customHeight="1">
      <x:c r="A404" s="7"/>
      <x:c r="B404" s="8"/>
      <x:c r="C404" s="7"/>
      <x:c r="D404" s="7"/>
      <x:c r="E404" s="7"/>
      <x:c r="F404" s="20"/>
      <x:c r="G404" s="7"/>
      <x:c r="H404" s="7"/>
      <x:c r="I404" s="7"/>
      <x:c r="J404" s="7"/>
      <x:c r="K404" s="7"/>
      <x:c r="L404" s="7"/>
      <x:c r="M404" s="7"/>
      <x:c r="N404" s="7"/>
      <x:c r="O404" s="2" t="str">
        <x:f>IF(A404="","",IF(COUNTIFS($A$7:$A$1506,A404)&gt;1,"Buchung-ID doppelt",IF(OR(NOT(ISNUMBER(B404)),C404="",NOT(ISNUMBER(F404)),H404="",L404=""),"Pflichtangaben fehlen",IF(COUNTIFS('Konten'!$A$7:$A$26,C404)&lt;&gt;1,"Konto nicht eindeutig",IF(J404&lt;&gt;"Ja","Zuordnung bestätigen",IF(OR(AND(H404="Einnahme",F404&lt;0),AND(H404="Ausgabe",F404&gt;0)),"Vorzeichen prüfen",IF(AND(H404="Umbuchung",OR(K404="",COUNTIFS($A$7:$A$1506,K404)&lt;&gt;1)),"Gegenbuchung fehlt",IF(AND(H404="Umbuchung",ROUND(SUMIFS($F$7:$F$1506,$A$7:$A$1506,K404)+F404,2)&lt;&gt;0),"Umbuchung abweichend",IF(OR(G404="",M404="",M404="offen",M404="teilbelegt",H404="Ungeklärt",H404="Bargeld"),"Beleg / Verwendung klären","vollständig erfasst")))))))))</x:f>
      </x:c>
    </x:row>
    <x:row r="405" ht="22" customHeight="1">
      <x:c r="A405" s="7"/>
      <x:c r="B405" s="8"/>
      <x:c r="C405" s="7"/>
      <x:c r="D405" s="7"/>
      <x:c r="E405" s="7"/>
      <x:c r="F405" s="20"/>
      <x:c r="G405" s="7"/>
      <x:c r="H405" s="7"/>
      <x:c r="I405" s="7"/>
      <x:c r="J405" s="7"/>
      <x:c r="K405" s="7"/>
      <x:c r="L405" s="7"/>
      <x:c r="M405" s="7"/>
      <x:c r="N405" s="7"/>
      <x:c r="O405" s="2" t="str">
        <x:f>IF(A405="","",IF(COUNTIFS($A$7:$A$1506,A405)&gt;1,"Buchung-ID doppelt",IF(OR(NOT(ISNUMBER(B405)),C405="",NOT(ISNUMBER(F405)),H405="",L405=""),"Pflichtangaben fehlen",IF(COUNTIFS('Konten'!$A$7:$A$26,C405)&lt;&gt;1,"Konto nicht eindeutig",IF(J405&lt;&gt;"Ja","Zuordnung bestätigen",IF(OR(AND(H405="Einnahme",F405&lt;0),AND(H405="Ausgabe",F405&gt;0)),"Vorzeichen prüfen",IF(AND(H405="Umbuchung",OR(K405="",COUNTIFS($A$7:$A$1506,K405)&lt;&gt;1)),"Gegenbuchung fehlt",IF(AND(H405="Umbuchung",ROUND(SUMIFS($F$7:$F$1506,$A$7:$A$1506,K405)+F405,2)&lt;&gt;0),"Umbuchung abweichend",IF(OR(G405="",M405="",M405="offen",M405="teilbelegt",H405="Ungeklärt",H405="Bargeld"),"Beleg / Verwendung klären","vollständig erfasst")))))))))</x:f>
      </x:c>
    </x:row>
    <x:row r="406" ht="22" customHeight="1">
      <x:c r="A406" s="7"/>
      <x:c r="B406" s="8"/>
      <x:c r="C406" s="7"/>
      <x:c r="D406" s="7"/>
      <x:c r="E406" s="7"/>
      <x:c r="F406" s="20"/>
      <x:c r="G406" s="7"/>
      <x:c r="H406" s="7"/>
      <x:c r="I406" s="7"/>
      <x:c r="J406" s="7"/>
      <x:c r="K406" s="7"/>
      <x:c r="L406" s="7"/>
      <x:c r="M406" s="7"/>
      <x:c r="N406" s="7"/>
      <x:c r="O406" s="2" t="str">
        <x:f>IF(A406="","",IF(COUNTIFS($A$7:$A$1506,A406)&gt;1,"Buchung-ID doppelt",IF(OR(NOT(ISNUMBER(B406)),C406="",NOT(ISNUMBER(F406)),H406="",L406=""),"Pflichtangaben fehlen",IF(COUNTIFS('Konten'!$A$7:$A$26,C406)&lt;&gt;1,"Konto nicht eindeutig",IF(J406&lt;&gt;"Ja","Zuordnung bestätigen",IF(OR(AND(H406="Einnahme",F406&lt;0),AND(H406="Ausgabe",F406&gt;0)),"Vorzeichen prüfen",IF(AND(H406="Umbuchung",OR(K406="",COUNTIFS($A$7:$A$1506,K406)&lt;&gt;1)),"Gegenbuchung fehlt",IF(AND(H406="Umbuchung",ROUND(SUMIFS($F$7:$F$1506,$A$7:$A$1506,K406)+F406,2)&lt;&gt;0),"Umbuchung abweichend",IF(OR(G406="",M406="",M406="offen",M406="teilbelegt",H406="Ungeklärt",H406="Bargeld"),"Beleg / Verwendung klären","vollständig erfasst")))))))))</x:f>
      </x:c>
    </x:row>
    <x:row r="407" ht="22" customHeight="1">
      <x:c r="A407" s="7"/>
      <x:c r="B407" s="8"/>
      <x:c r="C407" s="7"/>
      <x:c r="D407" s="7"/>
      <x:c r="E407" s="7"/>
      <x:c r="F407" s="20"/>
      <x:c r="G407" s="7"/>
      <x:c r="H407" s="7"/>
      <x:c r="I407" s="7"/>
      <x:c r="J407" s="7"/>
      <x:c r="K407" s="7"/>
      <x:c r="L407" s="7"/>
      <x:c r="M407" s="7"/>
      <x:c r="N407" s="7"/>
      <x:c r="O407" s="2" t="str">
        <x:f>IF(A407="","",IF(COUNTIFS($A$7:$A$1506,A407)&gt;1,"Buchung-ID doppelt",IF(OR(NOT(ISNUMBER(B407)),C407="",NOT(ISNUMBER(F407)),H407="",L407=""),"Pflichtangaben fehlen",IF(COUNTIFS('Konten'!$A$7:$A$26,C407)&lt;&gt;1,"Konto nicht eindeutig",IF(J407&lt;&gt;"Ja","Zuordnung bestätigen",IF(OR(AND(H407="Einnahme",F407&lt;0),AND(H407="Ausgabe",F407&gt;0)),"Vorzeichen prüfen",IF(AND(H407="Umbuchung",OR(K407="",COUNTIFS($A$7:$A$1506,K407)&lt;&gt;1)),"Gegenbuchung fehlt",IF(AND(H407="Umbuchung",ROUND(SUMIFS($F$7:$F$1506,$A$7:$A$1506,K407)+F407,2)&lt;&gt;0),"Umbuchung abweichend",IF(OR(G407="",M407="",M407="offen",M407="teilbelegt",H407="Ungeklärt",H407="Bargeld"),"Beleg / Verwendung klären","vollständig erfasst")))))))))</x:f>
      </x:c>
    </x:row>
    <x:row r="408" ht="22" customHeight="1">
      <x:c r="A408" s="7"/>
      <x:c r="B408" s="8"/>
      <x:c r="C408" s="7"/>
      <x:c r="D408" s="7"/>
      <x:c r="E408" s="7"/>
      <x:c r="F408" s="20"/>
      <x:c r="G408" s="7"/>
      <x:c r="H408" s="7"/>
      <x:c r="I408" s="7"/>
      <x:c r="J408" s="7"/>
      <x:c r="K408" s="7"/>
      <x:c r="L408" s="7"/>
      <x:c r="M408" s="7"/>
      <x:c r="N408" s="7"/>
      <x:c r="O408" s="2" t="str">
        <x:f>IF(A408="","",IF(COUNTIFS($A$7:$A$1506,A408)&gt;1,"Buchung-ID doppelt",IF(OR(NOT(ISNUMBER(B408)),C408="",NOT(ISNUMBER(F408)),H408="",L408=""),"Pflichtangaben fehlen",IF(COUNTIFS('Konten'!$A$7:$A$26,C408)&lt;&gt;1,"Konto nicht eindeutig",IF(J408&lt;&gt;"Ja","Zuordnung bestätigen",IF(OR(AND(H408="Einnahme",F408&lt;0),AND(H408="Ausgabe",F408&gt;0)),"Vorzeichen prüfen",IF(AND(H408="Umbuchung",OR(K408="",COUNTIFS($A$7:$A$1506,K408)&lt;&gt;1)),"Gegenbuchung fehlt",IF(AND(H408="Umbuchung",ROUND(SUMIFS($F$7:$F$1506,$A$7:$A$1506,K408)+F408,2)&lt;&gt;0),"Umbuchung abweichend",IF(OR(G408="",M408="",M408="offen",M408="teilbelegt",H408="Ungeklärt",H408="Bargeld"),"Beleg / Verwendung klären","vollständig erfasst")))))))))</x:f>
      </x:c>
    </x:row>
    <x:row r="409" ht="22" customHeight="1">
      <x:c r="A409" s="7"/>
      <x:c r="B409" s="8"/>
      <x:c r="C409" s="7"/>
      <x:c r="D409" s="7"/>
      <x:c r="E409" s="7"/>
      <x:c r="F409" s="20"/>
      <x:c r="G409" s="7"/>
      <x:c r="H409" s="7"/>
      <x:c r="I409" s="7"/>
      <x:c r="J409" s="7"/>
      <x:c r="K409" s="7"/>
      <x:c r="L409" s="7"/>
      <x:c r="M409" s="7"/>
      <x:c r="N409" s="7"/>
      <x:c r="O409" s="2" t="str">
        <x:f>IF(A409="","",IF(COUNTIFS($A$7:$A$1506,A409)&gt;1,"Buchung-ID doppelt",IF(OR(NOT(ISNUMBER(B409)),C409="",NOT(ISNUMBER(F409)),H409="",L409=""),"Pflichtangaben fehlen",IF(COUNTIFS('Konten'!$A$7:$A$26,C409)&lt;&gt;1,"Konto nicht eindeutig",IF(J409&lt;&gt;"Ja","Zuordnung bestätigen",IF(OR(AND(H409="Einnahme",F409&lt;0),AND(H409="Ausgabe",F409&gt;0)),"Vorzeichen prüfen",IF(AND(H409="Umbuchung",OR(K409="",COUNTIFS($A$7:$A$1506,K409)&lt;&gt;1)),"Gegenbuchung fehlt",IF(AND(H409="Umbuchung",ROUND(SUMIFS($F$7:$F$1506,$A$7:$A$1506,K409)+F409,2)&lt;&gt;0),"Umbuchung abweichend",IF(OR(G409="",M409="",M409="offen",M409="teilbelegt",H409="Ungeklärt",H409="Bargeld"),"Beleg / Verwendung klären","vollständig erfasst")))))))))</x:f>
      </x:c>
    </x:row>
    <x:row r="410" ht="22" customHeight="1">
      <x:c r="A410" s="7"/>
      <x:c r="B410" s="8"/>
      <x:c r="C410" s="7"/>
      <x:c r="D410" s="7"/>
      <x:c r="E410" s="7"/>
      <x:c r="F410" s="20"/>
      <x:c r="G410" s="7"/>
      <x:c r="H410" s="7"/>
      <x:c r="I410" s="7"/>
      <x:c r="J410" s="7"/>
      <x:c r="K410" s="7"/>
      <x:c r="L410" s="7"/>
      <x:c r="M410" s="7"/>
      <x:c r="N410" s="7"/>
      <x:c r="O410" s="2" t="str">
        <x:f>IF(A410="","",IF(COUNTIFS($A$7:$A$1506,A410)&gt;1,"Buchung-ID doppelt",IF(OR(NOT(ISNUMBER(B410)),C410="",NOT(ISNUMBER(F410)),H410="",L410=""),"Pflichtangaben fehlen",IF(COUNTIFS('Konten'!$A$7:$A$26,C410)&lt;&gt;1,"Konto nicht eindeutig",IF(J410&lt;&gt;"Ja","Zuordnung bestätigen",IF(OR(AND(H410="Einnahme",F410&lt;0),AND(H410="Ausgabe",F410&gt;0)),"Vorzeichen prüfen",IF(AND(H410="Umbuchung",OR(K410="",COUNTIFS($A$7:$A$1506,K410)&lt;&gt;1)),"Gegenbuchung fehlt",IF(AND(H410="Umbuchung",ROUND(SUMIFS($F$7:$F$1506,$A$7:$A$1506,K410)+F410,2)&lt;&gt;0),"Umbuchung abweichend",IF(OR(G410="",M410="",M410="offen",M410="teilbelegt",H410="Ungeklärt",H410="Bargeld"),"Beleg / Verwendung klären","vollständig erfasst")))))))))</x:f>
      </x:c>
    </x:row>
    <x:row r="411" ht="22" customHeight="1">
      <x:c r="A411" s="7"/>
      <x:c r="B411" s="8"/>
      <x:c r="C411" s="7"/>
      <x:c r="D411" s="7"/>
      <x:c r="E411" s="7"/>
      <x:c r="F411" s="20"/>
      <x:c r="G411" s="7"/>
      <x:c r="H411" s="7"/>
      <x:c r="I411" s="7"/>
      <x:c r="J411" s="7"/>
      <x:c r="K411" s="7"/>
      <x:c r="L411" s="7"/>
      <x:c r="M411" s="7"/>
      <x:c r="N411" s="7"/>
      <x:c r="O411" s="2" t="str">
        <x:f>IF(A411="","",IF(COUNTIFS($A$7:$A$1506,A411)&gt;1,"Buchung-ID doppelt",IF(OR(NOT(ISNUMBER(B411)),C411="",NOT(ISNUMBER(F411)),H411="",L411=""),"Pflichtangaben fehlen",IF(COUNTIFS('Konten'!$A$7:$A$26,C411)&lt;&gt;1,"Konto nicht eindeutig",IF(J411&lt;&gt;"Ja","Zuordnung bestätigen",IF(OR(AND(H411="Einnahme",F411&lt;0),AND(H411="Ausgabe",F411&gt;0)),"Vorzeichen prüfen",IF(AND(H411="Umbuchung",OR(K411="",COUNTIFS($A$7:$A$1506,K411)&lt;&gt;1)),"Gegenbuchung fehlt",IF(AND(H411="Umbuchung",ROUND(SUMIFS($F$7:$F$1506,$A$7:$A$1506,K411)+F411,2)&lt;&gt;0),"Umbuchung abweichend",IF(OR(G411="",M411="",M411="offen",M411="teilbelegt",H411="Ungeklärt",H411="Bargeld"),"Beleg / Verwendung klären","vollständig erfasst")))))))))</x:f>
      </x:c>
    </x:row>
    <x:row r="412" ht="22" customHeight="1">
      <x:c r="A412" s="7"/>
      <x:c r="B412" s="8"/>
      <x:c r="C412" s="7"/>
      <x:c r="D412" s="7"/>
      <x:c r="E412" s="7"/>
      <x:c r="F412" s="20"/>
      <x:c r="G412" s="7"/>
      <x:c r="H412" s="7"/>
      <x:c r="I412" s="7"/>
      <x:c r="J412" s="7"/>
      <x:c r="K412" s="7"/>
      <x:c r="L412" s="7"/>
      <x:c r="M412" s="7"/>
      <x:c r="N412" s="7"/>
      <x:c r="O412" s="2" t="str">
        <x:f>IF(A412="","",IF(COUNTIFS($A$7:$A$1506,A412)&gt;1,"Buchung-ID doppelt",IF(OR(NOT(ISNUMBER(B412)),C412="",NOT(ISNUMBER(F412)),H412="",L412=""),"Pflichtangaben fehlen",IF(COUNTIFS('Konten'!$A$7:$A$26,C412)&lt;&gt;1,"Konto nicht eindeutig",IF(J412&lt;&gt;"Ja","Zuordnung bestätigen",IF(OR(AND(H412="Einnahme",F412&lt;0),AND(H412="Ausgabe",F412&gt;0)),"Vorzeichen prüfen",IF(AND(H412="Umbuchung",OR(K412="",COUNTIFS($A$7:$A$1506,K412)&lt;&gt;1)),"Gegenbuchung fehlt",IF(AND(H412="Umbuchung",ROUND(SUMIFS($F$7:$F$1506,$A$7:$A$1506,K412)+F412,2)&lt;&gt;0),"Umbuchung abweichend",IF(OR(G412="",M412="",M412="offen",M412="teilbelegt",H412="Ungeklärt",H412="Bargeld"),"Beleg / Verwendung klären","vollständig erfasst")))))))))</x:f>
      </x:c>
    </x:row>
    <x:row r="413" ht="22" customHeight="1">
      <x:c r="A413" s="7"/>
      <x:c r="B413" s="8"/>
      <x:c r="C413" s="7"/>
      <x:c r="D413" s="7"/>
      <x:c r="E413" s="7"/>
      <x:c r="F413" s="20"/>
      <x:c r="G413" s="7"/>
      <x:c r="H413" s="7"/>
      <x:c r="I413" s="7"/>
      <x:c r="J413" s="7"/>
      <x:c r="K413" s="7"/>
      <x:c r="L413" s="7"/>
      <x:c r="M413" s="7"/>
      <x:c r="N413" s="7"/>
      <x:c r="O413" s="2" t="str">
        <x:f>IF(A413="","",IF(COUNTIFS($A$7:$A$1506,A413)&gt;1,"Buchung-ID doppelt",IF(OR(NOT(ISNUMBER(B413)),C413="",NOT(ISNUMBER(F413)),H413="",L413=""),"Pflichtangaben fehlen",IF(COUNTIFS('Konten'!$A$7:$A$26,C413)&lt;&gt;1,"Konto nicht eindeutig",IF(J413&lt;&gt;"Ja","Zuordnung bestätigen",IF(OR(AND(H413="Einnahme",F413&lt;0),AND(H413="Ausgabe",F413&gt;0)),"Vorzeichen prüfen",IF(AND(H413="Umbuchung",OR(K413="",COUNTIFS($A$7:$A$1506,K413)&lt;&gt;1)),"Gegenbuchung fehlt",IF(AND(H413="Umbuchung",ROUND(SUMIFS($F$7:$F$1506,$A$7:$A$1506,K413)+F413,2)&lt;&gt;0),"Umbuchung abweichend",IF(OR(G413="",M413="",M413="offen",M413="teilbelegt",H413="Ungeklärt",H413="Bargeld"),"Beleg / Verwendung klären","vollständig erfasst")))))))))</x:f>
      </x:c>
    </x:row>
    <x:row r="414" ht="22" customHeight="1">
      <x:c r="A414" s="7"/>
      <x:c r="B414" s="8"/>
      <x:c r="C414" s="7"/>
      <x:c r="D414" s="7"/>
      <x:c r="E414" s="7"/>
      <x:c r="F414" s="20"/>
      <x:c r="G414" s="7"/>
      <x:c r="H414" s="7"/>
      <x:c r="I414" s="7"/>
      <x:c r="J414" s="7"/>
      <x:c r="K414" s="7"/>
      <x:c r="L414" s="7"/>
      <x:c r="M414" s="7"/>
      <x:c r="N414" s="7"/>
      <x:c r="O414" s="2" t="str">
        <x:f>IF(A414="","",IF(COUNTIFS($A$7:$A$1506,A414)&gt;1,"Buchung-ID doppelt",IF(OR(NOT(ISNUMBER(B414)),C414="",NOT(ISNUMBER(F414)),H414="",L414=""),"Pflichtangaben fehlen",IF(COUNTIFS('Konten'!$A$7:$A$26,C414)&lt;&gt;1,"Konto nicht eindeutig",IF(J414&lt;&gt;"Ja","Zuordnung bestätigen",IF(OR(AND(H414="Einnahme",F414&lt;0),AND(H414="Ausgabe",F414&gt;0)),"Vorzeichen prüfen",IF(AND(H414="Umbuchung",OR(K414="",COUNTIFS($A$7:$A$1506,K414)&lt;&gt;1)),"Gegenbuchung fehlt",IF(AND(H414="Umbuchung",ROUND(SUMIFS($F$7:$F$1506,$A$7:$A$1506,K414)+F414,2)&lt;&gt;0),"Umbuchung abweichend",IF(OR(G414="",M414="",M414="offen",M414="teilbelegt",H414="Ungeklärt",H414="Bargeld"),"Beleg / Verwendung klären","vollständig erfasst")))))))))</x:f>
      </x:c>
    </x:row>
    <x:row r="415" ht="22" customHeight="1">
      <x:c r="A415" s="7"/>
      <x:c r="B415" s="8"/>
      <x:c r="C415" s="7"/>
      <x:c r="D415" s="7"/>
      <x:c r="E415" s="7"/>
      <x:c r="F415" s="20"/>
      <x:c r="G415" s="7"/>
      <x:c r="H415" s="7"/>
      <x:c r="I415" s="7"/>
      <x:c r="J415" s="7"/>
      <x:c r="K415" s="7"/>
      <x:c r="L415" s="7"/>
      <x:c r="M415" s="7"/>
      <x:c r="N415" s="7"/>
      <x:c r="O415" s="2" t="str">
        <x:f>IF(A415="","",IF(COUNTIFS($A$7:$A$1506,A415)&gt;1,"Buchung-ID doppelt",IF(OR(NOT(ISNUMBER(B415)),C415="",NOT(ISNUMBER(F415)),H415="",L415=""),"Pflichtangaben fehlen",IF(COUNTIFS('Konten'!$A$7:$A$26,C415)&lt;&gt;1,"Konto nicht eindeutig",IF(J415&lt;&gt;"Ja","Zuordnung bestätigen",IF(OR(AND(H415="Einnahme",F415&lt;0),AND(H415="Ausgabe",F415&gt;0)),"Vorzeichen prüfen",IF(AND(H415="Umbuchung",OR(K415="",COUNTIFS($A$7:$A$1506,K415)&lt;&gt;1)),"Gegenbuchung fehlt",IF(AND(H415="Umbuchung",ROUND(SUMIFS($F$7:$F$1506,$A$7:$A$1506,K415)+F415,2)&lt;&gt;0),"Umbuchung abweichend",IF(OR(G415="",M415="",M415="offen",M415="teilbelegt",H415="Ungeklärt",H415="Bargeld"),"Beleg / Verwendung klären","vollständig erfasst")))))))))</x:f>
      </x:c>
    </x:row>
    <x:row r="416" ht="22" customHeight="1">
      <x:c r="A416" s="7"/>
      <x:c r="B416" s="8"/>
      <x:c r="C416" s="7"/>
      <x:c r="D416" s="7"/>
      <x:c r="E416" s="7"/>
      <x:c r="F416" s="20"/>
      <x:c r="G416" s="7"/>
      <x:c r="H416" s="7"/>
      <x:c r="I416" s="7"/>
      <x:c r="J416" s="7"/>
      <x:c r="K416" s="7"/>
      <x:c r="L416" s="7"/>
      <x:c r="M416" s="7"/>
      <x:c r="N416" s="7"/>
      <x:c r="O416" s="2" t="str">
        <x:f>IF(A416="","",IF(COUNTIFS($A$7:$A$1506,A416)&gt;1,"Buchung-ID doppelt",IF(OR(NOT(ISNUMBER(B416)),C416="",NOT(ISNUMBER(F416)),H416="",L416=""),"Pflichtangaben fehlen",IF(COUNTIFS('Konten'!$A$7:$A$26,C416)&lt;&gt;1,"Konto nicht eindeutig",IF(J416&lt;&gt;"Ja","Zuordnung bestätigen",IF(OR(AND(H416="Einnahme",F416&lt;0),AND(H416="Ausgabe",F416&gt;0)),"Vorzeichen prüfen",IF(AND(H416="Umbuchung",OR(K416="",COUNTIFS($A$7:$A$1506,K416)&lt;&gt;1)),"Gegenbuchung fehlt",IF(AND(H416="Umbuchung",ROUND(SUMIFS($F$7:$F$1506,$A$7:$A$1506,K416)+F416,2)&lt;&gt;0),"Umbuchung abweichend",IF(OR(G416="",M416="",M416="offen",M416="teilbelegt",H416="Ungeklärt",H416="Bargeld"),"Beleg / Verwendung klären","vollständig erfasst")))))))))</x:f>
      </x:c>
    </x:row>
    <x:row r="417" ht="22" customHeight="1">
      <x:c r="A417" s="7"/>
      <x:c r="B417" s="8"/>
      <x:c r="C417" s="7"/>
      <x:c r="D417" s="7"/>
      <x:c r="E417" s="7"/>
      <x:c r="F417" s="20"/>
      <x:c r="G417" s="7"/>
      <x:c r="H417" s="7"/>
      <x:c r="I417" s="7"/>
      <x:c r="J417" s="7"/>
      <x:c r="K417" s="7"/>
      <x:c r="L417" s="7"/>
      <x:c r="M417" s="7"/>
      <x:c r="N417" s="7"/>
      <x:c r="O417" s="2" t="str">
        <x:f>IF(A417="","",IF(COUNTIFS($A$7:$A$1506,A417)&gt;1,"Buchung-ID doppelt",IF(OR(NOT(ISNUMBER(B417)),C417="",NOT(ISNUMBER(F417)),H417="",L417=""),"Pflichtangaben fehlen",IF(COUNTIFS('Konten'!$A$7:$A$26,C417)&lt;&gt;1,"Konto nicht eindeutig",IF(J417&lt;&gt;"Ja","Zuordnung bestätigen",IF(OR(AND(H417="Einnahme",F417&lt;0),AND(H417="Ausgabe",F417&gt;0)),"Vorzeichen prüfen",IF(AND(H417="Umbuchung",OR(K417="",COUNTIFS($A$7:$A$1506,K417)&lt;&gt;1)),"Gegenbuchung fehlt",IF(AND(H417="Umbuchung",ROUND(SUMIFS($F$7:$F$1506,$A$7:$A$1506,K417)+F417,2)&lt;&gt;0),"Umbuchung abweichend",IF(OR(G417="",M417="",M417="offen",M417="teilbelegt",H417="Ungeklärt",H417="Bargeld"),"Beleg / Verwendung klären","vollständig erfasst")))))))))</x:f>
      </x:c>
    </x:row>
    <x:row r="418" ht="22" customHeight="1">
      <x:c r="A418" s="7"/>
      <x:c r="B418" s="8"/>
      <x:c r="C418" s="7"/>
      <x:c r="D418" s="7"/>
      <x:c r="E418" s="7"/>
      <x:c r="F418" s="20"/>
      <x:c r="G418" s="7"/>
      <x:c r="H418" s="7"/>
      <x:c r="I418" s="7"/>
      <x:c r="J418" s="7"/>
      <x:c r="K418" s="7"/>
      <x:c r="L418" s="7"/>
      <x:c r="M418" s="7"/>
      <x:c r="N418" s="7"/>
      <x:c r="O418" s="2" t="str">
        <x:f>IF(A418="","",IF(COUNTIFS($A$7:$A$1506,A418)&gt;1,"Buchung-ID doppelt",IF(OR(NOT(ISNUMBER(B418)),C418="",NOT(ISNUMBER(F418)),H418="",L418=""),"Pflichtangaben fehlen",IF(COUNTIFS('Konten'!$A$7:$A$26,C418)&lt;&gt;1,"Konto nicht eindeutig",IF(J418&lt;&gt;"Ja","Zuordnung bestätigen",IF(OR(AND(H418="Einnahme",F418&lt;0),AND(H418="Ausgabe",F418&gt;0)),"Vorzeichen prüfen",IF(AND(H418="Umbuchung",OR(K418="",COUNTIFS($A$7:$A$1506,K418)&lt;&gt;1)),"Gegenbuchung fehlt",IF(AND(H418="Umbuchung",ROUND(SUMIFS($F$7:$F$1506,$A$7:$A$1506,K418)+F418,2)&lt;&gt;0),"Umbuchung abweichend",IF(OR(G418="",M418="",M418="offen",M418="teilbelegt",H418="Ungeklärt",H418="Bargeld"),"Beleg / Verwendung klären","vollständig erfasst")))))))))</x:f>
      </x:c>
    </x:row>
    <x:row r="419" ht="22" customHeight="1">
      <x:c r="A419" s="7"/>
      <x:c r="B419" s="8"/>
      <x:c r="C419" s="7"/>
      <x:c r="D419" s="7"/>
      <x:c r="E419" s="7"/>
      <x:c r="F419" s="20"/>
      <x:c r="G419" s="7"/>
      <x:c r="H419" s="7"/>
      <x:c r="I419" s="7"/>
      <x:c r="J419" s="7"/>
      <x:c r="K419" s="7"/>
      <x:c r="L419" s="7"/>
      <x:c r="M419" s="7"/>
      <x:c r="N419" s="7"/>
      <x:c r="O419" s="2" t="str">
        <x:f>IF(A419="","",IF(COUNTIFS($A$7:$A$1506,A419)&gt;1,"Buchung-ID doppelt",IF(OR(NOT(ISNUMBER(B419)),C419="",NOT(ISNUMBER(F419)),H419="",L419=""),"Pflichtangaben fehlen",IF(COUNTIFS('Konten'!$A$7:$A$26,C419)&lt;&gt;1,"Konto nicht eindeutig",IF(J419&lt;&gt;"Ja","Zuordnung bestätigen",IF(OR(AND(H419="Einnahme",F419&lt;0),AND(H419="Ausgabe",F419&gt;0)),"Vorzeichen prüfen",IF(AND(H419="Umbuchung",OR(K419="",COUNTIFS($A$7:$A$1506,K419)&lt;&gt;1)),"Gegenbuchung fehlt",IF(AND(H419="Umbuchung",ROUND(SUMIFS($F$7:$F$1506,$A$7:$A$1506,K419)+F419,2)&lt;&gt;0),"Umbuchung abweichend",IF(OR(G419="",M419="",M419="offen",M419="teilbelegt",H419="Ungeklärt",H419="Bargeld"),"Beleg / Verwendung klären","vollständig erfasst")))))))))</x:f>
      </x:c>
    </x:row>
    <x:row r="420" ht="22" customHeight="1">
      <x:c r="A420" s="7"/>
      <x:c r="B420" s="8"/>
      <x:c r="C420" s="7"/>
      <x:c r="D420" s="7"/>
      <x:c r="E420" s="7"/>
      <x:c r="F420" s="20"/>
      <x:c r="G420" s="7"/>
      <x:c r="H420" s="7"/>
      <x:c r="I420" s="7"/>
      <x:c r="J420" s="7"/>
      <x:c r="K420" s="7"/>
      <x:c r="L420" s="7"/>
      <x:c r="M420" s="7"/>
      <x:c r="N420" s="7"/>
      <x:c r="O420" s="2" t="str">
        <x:f>IF(A420="","",IF(COUNTIFS($A$7:$A$1506,A420)&gt;1,"Buchung-ID doppelt",IF(OR(NOT(ISNUMBER(B420)),C420="",NOT(ISNUMBER(F420)),H420="",L420=""),"Pflichtangaben fehlen",IF(COUNTIFS('Konten'!$A$7:$A$26,C420)&lt;&gt;1,"Konto nicht eindeutig",IF(J420&lt;&gt;"Ja","Zuordnung bestätigen",IF(OR(AND(H420="Einnahme",F420&lt;0),AND(H420="Ausgabe",F420&gt;0)),"Vorzeichen prüfen",IF(AND(H420="Umbuchung",OR(K420="",COUNTIFS($A$7:$A$1506,K420)&lt;&gt;1)),"Gegenbuchung fehlt",IF(AND(H420="Umbuchung",ROUND(SUMIFS($F$7:$F$1506,$A$7:$A$1506,K420)+F420,2)&lt;&gt;0),"Umbuchung abweichend",IF(OR(G420="",M420="",M420="offen",M420="teilbelegt",H420="Ungeklärt",H420="Bargeld"),"Beleg / Verwendung klären","vollständig erfasst")))))))))</x:f>
      </x:c>
    </x:row>
    <x:row r="421" ht="22" customHeight="1">
      <x:c r="A421" s="7"/>
      <x:c r="B421" s="8"/>
      <x:c r="C421" s="7"/>
      <x:c r="D421" s="7"/>
      <x:c r="E421" s="7"/>
      <x:c r="F421" s="20"/>
      <x:c r="G421" s="7"/>
      <x:c r="H421" s="7"/>
      <x:c r="I421" s="7"/>
      <x:c r="J421" s="7"/>
      <x:c r="K421" s="7"/>
      <x:c r="L421" s="7"/>
      <x:c r="M421" s="7"/>
      <x:c r="N421" s="7"/>
      <x:c r="O421" s="2" t="str">
        <x:f>IF(A421="","",IF(COUNTIFS($A$7:$A$1506,A421)&gt;1,"Buchung-ID doppelt",IF(OR(NOT(ISNUMBER(B421)),C421="",NOT(ISNUMBER(F421)),H421="",L421=""),"Pflichtangaben fehlen",IF(COUNTIFS('Konten'!$A$7:$A$26,C421)&lt;&gt;1,"Konto nicht eindeutig",IF(J421&lt;&gt;"Ja","Zuordnung bestätigen",IF(OR(AND(H421="Einnahme",F421&lt;0),AND(H421="Ausgabe",F421&gt;0)),"Vorzeichen prüfen",IF(AND(H421="Umbuchung",OR(K421="",COUNTIFS($A$7:$A$1506,K421)&lt;&gt;1)),"Gegenbuchung fehlt",IF(AND(H421="Umbuchung",ROUND(SUMIFS($F$7:$F$1506,$A$7:$A$1506,K421)+F421,2)&lt;&gt;0),"Umbuchung abweichend",IF(OR(G421="",M421="",M421="offen",M421="teilbelegt",H421="Ungeklärt",H421="Bargeld"),"Beleg / Verwendung klären","vollständig erfasst")))))))))</x:f>
      </x:c>
    </x:row>
    <x:row r="422" ht="22" customHeight="1">
      <x:c r="A422" s="7"/>
      <x:c r="B422" s="8"/>
      <x:c r="C422" s="7"/>
      <x:c r="D422" s="7"/>
      <x:c r="E422" s="7"/>
      <x:c r="F422" s="20"/>
      <x:c r="G422" s="7"/>
      <x:c r="H422" s="7"/>
      <x:c r="I422" s="7"/>
      <x:c r="J422" s="7"/>
      <x:c r="K422" s="7"/>
      <x:c r="L422" s="7"/>
      <x:c r="M422" s="7"/>
      <x:c r="N422" s="7"/>
      <x:c r="O422" s="2" t="str">
        <x:f>IF(A422="","",IF(COUNTIFS($A$7:$A$1506,A422)&gt;1,"Buchung-ID doppelt",IF(OR(NOT(ISNUMBER(B422)),C422="",NOT(ISNUMBER(F422)),H422="",L422=""),"Pflichtangaben fehlen",IF(COUNTIFS('Konten'!$A$7:$A$26,C422)&lt;&gt;1,"Konto nicht eindeutig",IF(J422&lt;&gt;"Ja","Zuordnung bestätigen",IF(OR(AND(H422="Einnahme",F422&lt;0),AND(H422="Ausgabe",F422&gt;0)),"Vorzeichen prüfen",IF(AND(H422="Umbuchung",OR(K422="",COUNTIFS($A$7:$A$1506,K422)&lt;&gt;1)),"Gegenbuchung fehlt",IF(AND(H422="Umbuchung",ROUND(SUMIFS($F$7:$F$1506,$A$7:$A$1506,K422)+F422,2)&lt;&gt;0),"Umbuchung abweichend",IF(OR(G422="",M422="",M422="offen",M422="teilbelegt",H422="Ungeklärt",H422="Bargeld"),"Beleg / Verwendung klären","vollständig erfasst")))))))))</x:f>
      </x:c>
    </x:row>
    <x:row r="423" ht="22" customHeight="1">
      <x:c r="A423" s="7"/>
      <x:c r="B423" s="8"/>
      <x:c r="C423" s="7"/>
      <x:c r="D423" s="7"/>
      <x:c r="E423" s="7"/>
      <x:c r="F423" s="20"/>
      <x:c r="G423" s="7"/>
      <x:c r="H423" s="7"/>
      <x:c r="I423" s="7"/>
      <x:c r="J423" s="7"/>
      <x:c r="K423" s="7"/>
      <x:c r="L423" s="7"/>
      <x:c r="M423" s="7"/>
      <x:c r="N423" s="7"/>
      <x:c r="O423" s="2" t="str">
        <x:f>IF(A423="","",IF(COUNTIFS($A$7:$A$1506,A423)&gt;1,"Buchung-ID doppelt",IF(OR(NOT(ISNUMBER(B423)),C423="",NOT(ISNUMBER(F423)),H423="",L423=""),"Pflichtangaben fehlen",IF(COUNTIFS('Konten'!$A$7:$A$26,C423)&lt;&gt;1,"Konto nicht eindeutig",IF(J423&lt;&gt;"Ja","Zuordnung bestätigen",IF(OR(AND(H423="Einnahme",F423&lt;0),AND(H423="Ausgabe",F423&gt;0)),"Vorzeichen prüfen",IF(AND(H423="Umbuchung",OR(K423="",COUNTIFS($A$7:$A$1506,K423)&lt;&gt;1)),"Gegenbuchung fehlt",IF(AND(H423="Umbuchung",ROUND(SUMIFS($F$7:$F$1506,$A$7:$A$1506,K423)+F423,2)&lt;&gt;0),"Umbuchung abweichend",IF(OR(G423="",M423="",M423="offen",M423="teilbelegt",H423="Ungeklärt",H423="Bargeld"),"Beleg / Verwendung klären","vollständig erfasst")))))))))</x:f>
      </x:c>
    </x:row>
    <x:row r="424" ht="22" customHeight="1">
      <x:c r="A424" s="7"/>
      <x:c r="B424" s="8"/>
      <x:c r="C424" s="7"/>
      <x:c r="D424" s="7"/>
      <x:c r="E424" s="7"/>
      <x:c r="F424" s="20"/>
      <x:c r="G424" s="7"/>
      <x:c r="H424" s="7"/>
      <x:c r="I424" s="7"/>
      <x:c r="J424" s="7"/>
      <x:c r="K424" s="7"/>
      <x:c r="L424" s="7"/>
      <x:c r="M424" s="7"/>
      <x:c r="N424" s="7"/>
      <x:c r="O424" s="2" t="str">
        <x:f>IF(A424="","",IF(COUNTIFS($A$7:$A$1506,A424)&gt;1,"Buchung-ID doppelt",IF(OR(NOT(ISNUMBER(B424)),C424="",NOT(ISNUMBER(F424)),H424="",L424=""),"Pflichtangaben fehlen",IF(COUNTIFS('Konten'!$A$7:$A$26,C424)&lt;&gt;1,"Konto nicht eindeutig",IF(J424&lt;&gt;"Ja","Zuordnung bestätigen",IF(OR(AND(H424="Einnahme",F424&lt;0),AND(H424="Ausgabe",F424&gt;0)),"Vorzeichen prüfen",IF(AND(H424="Umbuchung",OR(K424="",COUNTIFS($A$7:$A$1506,K424)&lt;&gt;1)),"Gegenbuchung fehlt",IF(AND(H424="Umbuchung",ROUND(SUMIFS($F$7:$F$1506,$A$7:$A$1506,K424)+F424,2)&lt;&gt;0),"Umbuchung abweichend",IF(OR(G424="",M424="",M424="offen",M424="teilbelegt",H424="Ungeklärt",H424="Bargeld"),"Beleg / Verwendung klären","vollständig erfasst")))))))))</x:f>
      </x:c>
    </x:row>
    <x:row r="425" ht="22" customHeight="1">
      <x:c r="A425" s="7"/>
      <x:c r="B425" s="8"/>
      <x:c r="C425" s="7"/>
      <x:c r="D425" s="7"/>
      <x:c r="E425" s="7"/>
      <x:c r="F425" s="20"/>
      <x:c r="G425" s="7"/>
      <x:c r="H425" s="7"/>
      <x:c r="I425" s="7"/>
      <x:c r="J425" s="7"/>
      <x:c r="K425" s="7"/>
      <x:c r="L425" s="7"/>
      <x:c r="M425" s="7"/>
      <x:c r="N425" s="7"/>
      <x:c r="O425" s="2" t="str">
        <x:f>IF(A425="","",IF(COUNTIFS($A$7:$A$1506,A425)&gt;1,"Buchung-ID doppelt",IF(OR(NOT(ISNUMBER(B425)),C425="",NOT(ISNUMBER(F425)),H425="",L425=""),"Pflichtangaben fehlen",IF(COUNTIFS('Konten'!$A$7:$A$26,C425)&lt;&gt;1,"Konto nicht eindeutig",IF(J425&lt;&gt;"Ja","Zuordnung bestätigen",IF(OR(AND(H425="Einnahme",F425&lt;0),AND(H425="Ausgabe",F425&gt;0)),"Vorzeichen prüfen",IF(AND(H425="Umbuchung",OR(K425="",COUNTIFS($A$7:$A$1506,K425)&lt;&gt;1)),"Gegenbuchung fehlt",IF(AND(H425="Umbuchung",ROUND(SUMIFS($F$7:$F$1506,$A$7:$A$1506,K425)+F425,2)&lt;&gt;0),"Umbuchung abweichend",IF(OR(G425="",M425="",M425="offen",M425="teilbelegt",H425="Ungeklärt",H425="Bargeld"),"Beleg / Verwendung klären","vollständig erfasst")))))))))</x:f>
      </x:c>
    </x:row>
    <x:row r="426" ht="22" customHeight="1">
      <x:c r="A426" s="7"/>
      <x:c r="B426" s="8"/>
      <x:c r="C426" s="7"/>
      <x:c r="D426" s="7"/>
      <x:c r="E426" s="7"/>
      <x:c r="F426" s="20"/>
      <x:c r="G426" s="7"/>
      <x:c r="H426" s="7"/>
      <x:c r="I426" s="7"/>
      <x:c r="J426" s="7"/>
      <x:c r="K426" s="7"/>
      <x:c r="L426" s="7"/>
      <x:c r="M426" s="7"/>
      <x:c r="N426" s="7"/>
      <x:c r="O426" s="2" t="str">
        <x:f>IF(A426="","",IF(COUNTIFS($A$7:$A$1506,A426)&gt;1,"Buchung-ID doppelt",IF(OR(NOT(ISNUMBER(B426)),C426="",NOT(ISNUMBER(F426)),H426="",L426=""),"Pflichtangaben fehlen",IF(COUNTIFS('Konten'!$A$7:$A$26,C426)&lt;&gt;1,"Konto nicht eindeutig",IF(J426&lt;&gt;"Ja","Zuordnung bestätigen",IF(OR(AND(H426="Einnahme",F426&lt;0),AND(H426="Ausgabe",F426&gt;0)),"Vorzeichen prüfen",IF(AND(H426="Umbuchung",OR(K426="",COUNTIFS($A$7:$A$1506,K426)&lt;&gt;1)),"Gegenbuchung fehlt",IF(AND(H426="Umbuchung",ROUND(SUMIFS($F$7:$F$1506,$A$7:$A$1506,K426)+F426,2)&lt;&gt;0),"Umbuchung abweichend",IF(OR(G426="",M426="",M426="offen",M426="teilbelegt",H426="Ungeklärt",H426="Bargeld"),"Beleg / Verwendung klären","vollständig erfasst")))))))))</x:f>
      </x:c>
    </x:row>
    <x:row r="427" ht="22" customHeight="1">
      <x:c r="A427" s="7"/>
      <x:c r="B427" s="8"/>
      <x:c r="C427" s="7"/>
      <x:c r="D427" s="7"/>
      <x:c r="E427" s="7"/>
      <x:c r="F427" s="20"/>
      <x:c r="G427" s="7"/>
      <x:c r="H427" s="7"/>
      <x:c r="I427" s="7"/>
      <x:c r="J427" s="7"/>
      <x:c r="K427" s="7"/>
      <x:c r="L427" s="7"/>
      <x:c r="M427" s="7"/>
      <x:c r="N427" s="7"/>
      <x:c r="O427" s="2" t="str">
        <x:f>IF(A427="","",IF(COUNTIFS($A$7:$A$1506,A427)&gt;1,"Buchung-ID doppelt",IF(OR(NOT(ISNUMBER(B427)),C427="",NOT(ISNUMBER(F427)),H427="",L427=""),"Pflichtangaben fehlen",IF(COUNTIFS('Konten'!$A$7:$A$26,C427)&lt;&gt;1,"Konto nicht eindeutig",IF(J427&lt;&gt;"Ja","Zuordnung bestätigen",IF(OR(AND(H427="Einnahme",F427&lt;0),AND(H427="Ausgabe",F427&gt;0)),"Vorzeichen prüfen",IF(AND(H427="Umbuchung",OR(K427="",COUNTIFS($A$7:$A$1506,K427)&lt;&gt;1)),"Gegenbuchung fehlt",IF(AND(H427="Umbuchung",ROUND(SUMIFS($F$7:$F$1506,$A$7:$A$1506,K427)+F427,2)&lt;&gt;0),"Umbuchung abweichend",IF(OR(G427="",M427="",M427="offen",M427="teilbelegt",H427="Ungeklärt",H427="Bargeld"),"Beleg / Verwendung klären","vollständig erfasst")))))))))</x:f>
      </x:c>
    </x:row>
    <x:row r="428" ht="22" customHeight="1">
      <x:c r="A428" s="7"/>
      <x:c r="B428" s="8"/>
      <x:c r="C428" s="7"/>
      <x:c r="D428" s="7"/>
      <x:c r="E428" s="7"/>
      <x:c r="F428" s="20"/>
      <x:c r="G428" s="7"/>
      <x:c r="H428" s="7"/>
      <x:c r="I428" s="7"/>
      <x:c r="J428" s="7"/>
      <x:c r="K428" s="7"/>
      <x:c r="L428" s="7"/>
      <x:c r="M428" s="7"/>
      <x:c r="N428" s="7"/>
      <x:c r="O428" s="2" t="str">
        <x:f>IF(A428="","",IF(COUNTIFS($A$7:$A$1506,A428)&gt;1,"Buchung-ID doppelt",IF(OR(NOT(ISNUMBER(B428)),C428="",NOT(ISNUMBER(F428)),H428="",L428=""),"Pflichtangaben fehlen",IF(COUNTIFS('Konten'!$A$7:$A$26,C428)&lt;&gt;1,"Konto nicht eindeutig",IF(J428&lt;&gt;"Ja","Zuordnung bestätigen",IF(OR(AND(H428="Einnahme",F428&lt;0),AND(H428="Ausgabe",F428&gt;0)),"Vorzeichen prüfen",IF(AND(H428="Umbuchung",OR(K428="",COUNTIFS($A$7:$A$1506,K428)&lt;&gt;1)),"Gegenbuchung fehlt",IF(AND(H428="Umbuchung",ROUND(SUMIFS($F$7:$F$1506,$A$7:$A$1506,K428)+F428,2)&lt;&gt;0),"Umbuchung abweichend",IF(OR(G428="",M428="",M428="offen",M428="teilbelegt",H428="Ungeklärt",H428="Bargeld"),"Beleg / Verwendung klären","vollständig erfasst")))))))))</x:f>
      </x:c>
    </x:row>
    <x:row r="429" ht="22" customHeight="1">
      <x:c r="A429" s="7"/>
      <x:c r="B429" s="8"/>
      <x:c r="C429" s="7"/>
      <x:c r="D429" s="7"/>
      <x:c r="E429" s="7"/>
      <x:c r="F429" s="20"/>
      <x:c r="G429" s="7"/>
      <x:c r="H429" s="7"/>
      <x:c r="I429" s="7"/>
      <x:c r="J429" s="7"/>
      <x:c r="K429" s="7"/>
      <x:c r="L429" s="7"/>
      <x:c r="M429" s="7"/>
      <x:c r="N429" s="7"/>
      <x:c r="O429" s="2" t="str">
        <x:f>IF(A429="","",IF(COUNTIFS($A$7:$A$1506,A429)&gt;1,"Buchung-ID doppelt",IF(OR(NOT(ISNUMBER(B429)),C429="",NOT(ISNUMBER(F429)),H429="",L429=""),"Pflichtangaben fehlen",IF(COUNTIFS('Konten'!$A$7:$A$26,C429)&lt;&gt;1,"Konto nicht eindeutig",IF(J429&lt;&gt;"Ja","Zuordnung bestätigen",IF(OR(AND(H429="Einnahme",F429&lt;0),AND(H429="Ausgabe",F429&gt;0)),"Vorzeichen prüfen",IF(AND(H429="Umbuchung",OR(K429="",COUNTIFS($A$7:$A$1506,K429)&lt;&gt;1)),"Gegenbuchung fehlt",IF(AND(H429="Umbuchung",ROUND(SUMIFS($F$7:$F$1506,$A$7:$A$1506,K429)+F429,2)&lt;&gt;0),"Umbuchung abweichend",IF(OR(G429="",M429="",M429="offen",M429="teilbelegt",H429="Ungeklärt",H429="Bargeld"),"Beleg / Verwendung klären","vollständig erfasst")))))))))</x:f>
      </x:c>
    </x:row>
    <x:row r="430" ht="22" customHeight="1">
      <x:c r="A430" s="7"/>
      <x:c r="B430" s="8"/>
      <x:c r="C430" s="7"/>
      <x:c r="D430" s="7"/>
      <x:c r="E430" s="7"/>
      <x:c r="F430" s="20"/>
      <x:c r="G430" s="7"/>
      <x:c r="H430" s="7"/>
      <x:c r="I430" s="7"/>
      <x:c r="J430" s="7"/>
      <x:c r="K430" s="7"/>
      <x:c r="L430" s="7"/>
      <x:c r="M430" s="7"/>
      <x:c r="N430" s="7"/>
      <x:c r="O430" s="2" t="str">
        <x:f>IF(A430="","",IF(COUNTIFS($A$7:$A$1506,A430)&gt;1,"Buchung-ID doppelt",IF(OR(NOT(ISNUMBER(B430)),C430="",NOT(ISNUMBER(F430)),H430="",L430=""),"Pflichtangaben fehlen",IF(COUNTIFS('Konten'!$A$7:$A$26,C430)&lt;&gt;1,"Konto nicht eindeutig",IF(J430&lt;&gt;"Ja","Zuordnung bestätigen",IF(OR(AND(H430="Einnahme",F430&lt;0),AND(H430="Ausgabe",F430&gt;0)),"Vorzeichen prüfen",IF(AND(H430="Umbuchung",OR(K430="",COUNTIFS($A$7:$A$1506,K430)&lt;&gt;1)),"Gegenbuchung fehlt",IF(AND(H430="Umbuchung",ROUND(SUMIFS($F$7:$F$1506,$A$7:$A$1506,K430)+F430,2)&lt;&gt;0),"Umbuchung abweichend",IF(OR(G430="",M430="",M430="offen",M430="teilbelegt",H430="Ungeklärt",H430="Bargeld"),"Beleg / Verwendung klären","vollständig erfasst")))))))))</x:f>
      </x:c>
    </x:row>
    <x:row r="431" ht="22" customHeight="1">
      <x:c r="A431" s="7"/>
      <x:c r="B431" s="8"/>
      <x:c r="C431" s="7"/>
      <x:c r="D431" s="7"/>
      <x:c r="E431" s="7"/>
      <x:c r="F431" s="20"/>
      <x:c r="G431" s="7"/>
      <x:c r="H431" s="7"/>
      <x:c r="I431" s="7"/>
      <x:c r="J431" s="7"/>
      <x:c r="K431" s="7"/>
      <x:c r="L431" s="7"/>
      <x:c r="M431" s="7"/>
      <x:c r="N431" s="7"/>
      <x:c r="O431" s="2" t="str">
        <x:f>IF(A431="","",IF(COUNTIFS($A$7:$A$1506,A431)&gt;1,"Buchung-ID doppelt",IF(OR(NOT(ISNUMBER(B431)),C431="",NOT(ISNUMBER(F431)),H431="",L431=""),"Pflichtangaben fehlen",IF(COUNTIFS('Konten'!$A$7:$A$26,C431)&lt;&gt;1,"Konto nicht eindeutig",IF(J431&lt;&gt;"Ja","Zuordnung bestätigen",IF(OR(AND(H431="Einnahme",F431&lt;0),AND(H431="Ausgabe",F431&gt;0)),"Vorzeichen prüfen",IF(AND(H431="Umbuchung",OR(K431="",COUNTIFS($A$7:$A$1506,K431)&lt;&gt;1)),"Gegenbuchung fehlt",IF(AND(H431="Umbuchung",ROUND(SUMIFS($F$7:$F$1506,$A$7:$A$1506,K431)+F431,2)&lt;&gt;0),"Umbuchung abweichend",IF(OR(G431="",M431="",M431="offen",M431="teilbelegt",H431="Ungeklärt",H431="Bargeld"),"Beleg / Verwendung klären","vollständig erfasst")))))))))</x:f>
      </x:c>
    </x:row>
    <x:row r="432" ht="22" customHeight="1">
      <x:c r="A432" s="7"/>
      <x:c r="B432" s="8"/>
      <x:c r="C432" s="7"/>
      <x:c r="D432" s="7"/>
      <x:c r="E432" s="7"/>
      <x:c r="F432" s="20"/>
      <x:c r="G432" s="7"/>
      <x:c r="H432" s="7"/>
      <x:c r="I432" s="7"/>
      <x:c r="J432" s="7"/>
      <x:c r="K432" s="7"/>
      <x:c r="L432" s="7"/>
      <x:c r="M432" s="7"/>
      <x:c r="N432" s="7"/>
      <x:c r="O432" s="2" t="str">
        <x:f>IF(A432="","",IF(COUNTIFS($A$7:$A$1506,A432)&gt;1,"Buchung-ID doppelt",IF(OR(NOT(ISNUMBER(B432)),C432="",NOT(ISNUMBER(F432)),H432="",L432=""),"Pflichtangaben fehlen",IF(COUNTIFS('Konten'!$A$7:$A$26,C432)&lt;&gt;1,"Konto nicht eindeutig",IF(J432&lt;&gt;"Ja","Zuordnung bestätigen",IF(OR(AND(H432="Einnahme",F432&lt;0),AND(H432="Ausgabe",F432&gt;0)),"Vorzeichen prüfen",IF(AND(H432="Umbuchung",OR(K432="",COUNTIFS($A$7:$A$1506,K432)&lt;&gt;1)),"Gegenbuchung fehlt",IF(AND(H432="Umbuchung",ROUND(SUMIFS($F$7:$F$1506,$A$7:$A$1506,K432)+F432,2)&lt;&gt;0),"Umbuchung abweichend",IF(OR(G432="",M432="",M432="offen",M432="teilbelegt",H432="Ungeklärt",H432="Bargeld"),"Beleg / Verwendung klären","vollständig erfasst")))))))))</x:f>
      </x:c>
    </x:row>
    <x:row r="433" ht="22" customHeight="1">
      <x:c r="A433" s="7"/>
      <x:c r="B433" s="8"/>
      <x:c r="C433" s="7"/>
      <x:c r="D433" s="7"/>
      <x:c r="E433" s="7"/>
      <x:c r="F433" s="20"/>
      <x:c r="G433" s="7"/>
      <x:c r="H433" s="7"/>
      <x:c r="I433" s="7"/>
      <x:c r="J433" s="7"/>
      <x:c r="K433" s="7"/>
      <x:c r="L433" s="7"/>
      <x:c r="M433" s="7"/>
      <x:c r="N433" s="7"/>
      <x:c r="O433" s="2" t="str">
        <x:f>IF(A433="","",IF(COUNTIFS($A$7:$A$1506,A433)&gt;1,"Buchung-ID doppelt",IF(OR(NOT(ISNUMBER(B433)),C433="",NOT(ISNUMBER(F433)),H433="",L433=""),"Pflichtangaben fehlen",IF(COUNTIFS('Konten'!$A$7:$A$26,C433)&lt;&gt;1,"Konto nicht eindeutig",IF(J433&lt;&gt;"Ja","Zuordnung bestätigen",IF(OR(AND(H433="Einnahme",F433&lt;0),AND(H433="Ausgabe",F433&gt;0)),"Vorzeichen prüfen",IF(AND(H433="Umbuchung",OR(K433="",COUNTIFS($A$7:$A$1506,K433)&lt;&gt;1)),"Gegenbuchung fehlt",IF(AND(H433="Umbuchung",ROUND(SUMIFS($F$7:$F$1506,$A$7:$A$1506,K433)+F433,2)&lt;&gt;0),"Umbuchung abweichend",IF(OR(G433="",M433="",M433="offen",M433="teilbelegt",H433="Ungeklärt",H433="Bargeld"),"Beleg / Verwendung klären","vollständig erfasst")))))))))</x:f>
      </x:c>
    </x:row>
    <x:row r="434" ht="22" customHeight="1">
      <x:c r="A434" s="7"/>
      <x:c r="B434" s="8"/>
      <x:c r="C434" s="7"/>
      <x:c r="D434" s="7"/>
      <x:c r="E434" s="7"/>
      <x:c r="F434" s="20"/>
      <x:c r="G434" s="7"/>
      <x:c r="H434" s="7"/>
      <x:c r="I434" s="7"/>
      <x:c r="J434" s="7"/>
      <x:c r="K434" s="7"/>
      <x:c r="L434" s="7"/>
      <x:c r="M434" s="7"/>
      <x:c r="N434" s="7"/>
      <x:c r="O434" s="2" t="str">
        <x:f>IF(A434="","",IF(COUNTIFS($A$7:$A$1506,A434)&gt;1,"Buchung-ID doppelt",IF(OR(NOT(ISNUMBER(B434)),C434="",NOT(ISNUMBER(F434)),H434="",L434=""),"Pflichtangaben fehlen",IF(COUNTIFS('Konten'!$A$7:$A$26,C434)&lt;&gt;1,"Konto nicht eindeutig",IF(J434&lt;&gt;"Ja","Zuordnung bestätigen",IF(OR(AND(H434="Einnahme",F434&lt;0),AND(H434="Ausgabe",F434&gt;0)),"Vorzeichen prüfen",IF(AND(H434="Umbuchung",OR(K434="",COUNTIFS($A$7:$A$1506,K434)&lt;&gt;1)),"Gegenbuchung fehlt",IF(AND(H434="Umbuchung",ROUND(SUMIFS($F$7:$F$1506,$A$7:$A$1506,K434)+F434,2)&lt;&gt;0),"Umbuchung abweichend",IF(OR(G434="",M434="",M434="offen",M434="teilbelegt",H434="Ungeklärt",H434="Bargeld"),"Beleg / Verwendung klären","vollständig erfasst")))))))))</x:f>
      </x:c>
    </x:row>
    <x:row r="435" ht="22" customHeight="1">
      <x:c r="A435" s="7"/>
      <x:c r="B435" s="8"/>
      <x:c r="C435" s="7"/>
      <x:c r="D435" s="7"/>
      <x:c r="E435" s="7"/>
      <x:c r="F435" s="20"/>
      <x:c r="G435" s="7"/>
      <x:c r="H435" s="7"/>
      <x:c r="I435" s="7"/>
      <x:c r="J435" s="7"/>
      <x:c r="K435" s="7"/>
      <x:c r="L435" s="7"/>
      <x:c r="M435" s="7"/>
      <x:c r="N435" s="7"/>
      <x:c r="O435" s="2" t="str">
        <x:f>IF(A435="","",IF(COUNTIFS($A$7:$A$1506,A435)&gt;1,"Buchung-ID doppelt",IF(OR(NOT(ISNUMBER(B435)),C435="",NOT(ISNUMBER(F435)),H435="",L435=""),"Pflichtangaben fehlen",IF(COUNTIFS('Konten'!$A$7:$A$26,C435)&lt;&gt;1,"Konto nicht eindeutig",IF(J435&lt;&gt;"Ja","Zuordnung bestätigen",IF(OR(AND(H435="Einnahme",F435&lt;0),AND(H435="Ausgabe",F435&gt;0)),"Vorzeichen prüfen",IF(AND(H435="Umbuchung",OR(K435="",COUNTIFS($A$7:$A$1506,K435)&lt;&gt;1)),"Gegenbuchung fehlt",IF(AND(H435="Umbuchung",ROUND(SUMIFS($F$7:$F$1506,$A$7:$A$1506,K435)+F435,2)&lt;&gt;0),"Umbuchung abweichend",IF(OR(G435="",M435="",M435="offen",M435="teilbelegt",H435="Ungeklärt",H435="Bargeld"),"Beleg / Verwendung klären","vollständig erfasst")))))))))</x:f>
      </x:c>
    </x:row>
    <x:row r="436" ht="22" customHeight="1">
      <x:c r="A436" s="7"/>
      <x:c r="B436" s="8"/>
      <x:c r="C436" s="7"/>
      <x:c r="D436" s="7"/>
      <x:c r="E436" s="7"/>
      <x:c r="F436" s="20"/>
      <x:c r="G436" s="7"/>
      <x:c r="H436" s="7"/>
      <x:c r="I436" s="7"/>
      <x:c r="J436" s="7"/>
      <x:c r="K436" s="7"/>
      <x:c r="L436" s="7"/>
      <x:c r="M436" s="7"/>
      <x:c r="N436" s="7"/>
      <x:c r="O436" s="2" t="str">
        <x:f>IF(A436="","",IF(COUNTIFS($A$7:$A$1506,A436)&gt;1,"Buchung-ID doppelt",IF(OR(NOT(ISNUMBER(B436)),C436="",NOT(ISNUMBER(F436)),H436="",L436=""),"Pflichtangaben fehlen",IF(COUNTIFS('Konten'!$A$7:$A$26,C436)&lt;&gt;1,"Konto nicht eindeutig",IF(J436&lt;&gt;"Ja","Zuordnung bestätigen",IF(OR(AND(H436="Einnahme",F436&lt;0),AND(H436="Ausgabe",F436&gt;0)),"Vorzeichen prüfen",IF(AND(H436="Umbuchung",OR(K436="",COUNTIFS($A$7:$A$1506,K436)&lt;&gt;1)),"Gegenbuchung fehlt",IF(AND(H436="Umbuchung",ROUND(SUMIFS($F$7:$F$1506,$A$7:$A$1506,K436)+F436,2)&lt;&gt;0),"Umbuchung abweichend",IF(OR(G436="",M436="",M436="offen",M436="teilbelegt",H436="Ungeklärt",H436="Bargeld"),"Beleg / Verwendung klären","vollständig erfasst")))))))))</x:f>
      </x:c>
    </x:row>
    <x:row r="437" ht="22" customHeight="1">
      <x:c r="A437" s="7"/>
      <x:c r="B437" s="8"/>
      <x:c r="C437" s="7"/>
      <x:c r="D437" s="7"/>
      <x:c r="E437" s="7"/>
      <x:c r="F437" s="20"/>
      <x:c r="G437" s="7"/>
      <x:c r="H437" s="7"/>
      <x:c r="I437" s="7"/>
      <x:c r="J437" s="7"/>
      <x:c r="K437" s="7"/>
      <x:c r="L437" s="7"/>
      <x:c r="M437" s="7"/>
      <x:c r="N437" s="7"/>
      <x:c r="O437" s="2" t="str">
        <x:f>IF(A437="","",IF(COUNTIFS($A$7:$A$1506,A437)&gt;1,"Buchung-ID doppelt",IF(OR(NOT(ISNUMBER(B437)),C437="",NOT(ISNUMBER(F437)),H437="",L437=""),"Pflichtangaben fehlen",IF(COUNTIFS('Konten'!$A$7:$A$26,C437)&lt;&gt;1,"Konto nicht eindeutig",IF(J437&lt;&gt;"Ja","Zuordnung bestätigen",IF(OR(AND(H437="Einnahme",F437&lt;0),AND(H437="Ausgabe",F437&gt;0)),"Vorzeichen prüfen",IF(AND(H437="Umbuchung",OR(K437="",COUNTIFS($A$7:$A$1506,K437)&lt;&gt;1)),"Gegenbuchung fehlt",IF(AND(H437="Umbuchung",ROUND(SUMIFS($F$7:$F$1506,$A$7:$A$1506,K437)+F437,2)&lt;&gt;0),"Umbuchung abweichend",IF(OR(G437="",M437="",M437="offen",M437="teilbelegt",H437="Ungeklärt",H437="Bargeld"),"Beleg / Verwendung klären","vollständig erfasst")))))))))</x:f>
      </x:c>
    </x:row>
    <x:row r="438" ht="22" customHeight="1">
      <x:c r="A438" s="7"/>
      <x:c r="B438" s="8"/>
      <x:c r="C438" s="7"/>
      <x:c r="D438" s="7"/>
      <x:c r="E438" s="7"/>
      <x:c r="F438" s="20"/>
      <x:c r="G438" s="7"/>
      <x:c r="H438" s="7"/>
      <x:c r="I438" s="7"/>
      <x:c r="J438" s="7"/>
      <x:c r="K438" s="7"/>
      <x:c r="L438" s="7"/>
      <x:c r="M438" s="7"/>
      <x:c r="N438" s="7"/>
      <x:c r="O438" s="2" t="str">
        <x:f>IF(A438="","",IF(COUNTIFS($A$7:$A$1506,A438)&gt;1,"Buchung-ID doppelt",IF(OR(NOT(ISNUMBER(B438)),C438="",NOT(ISNUMBER(F438)),H438="",L438=""),"Pflichtangaben fehlen",IF(COUNTIFS('Konten'!$A$7:$A$26,C438)&lt;&gt;1,"Konto nicht eindeutig",IF(J438&lt;&gt;"Ja","Zuordnung bestätigen",IF(OR(AND(H438="Einnahme",F438&lt;0),AND(H438="Ausgabe",F438&gt;0)),"Vorzeichen prüfen",IF(AND(H438="Umbuchung",OR(K438="",COUNTIFS($A$7:$A$1506,K438)&lt;&gt;1)),"Gegenbuchung fehlt",IF(AND(H438="Umbuchung",ROUND(SUMIFS($F$7:$F$1506,$A$7:$A$1506,K438)+F438,2)&lt;&gt;0),"Umbuchung abweichend",IF(OR(G438="",M438="",M438="offen",M438="teilbelegt",H438="Ungeklärt",H438="Bargeld"),"Beleg / Verwendung klären","vollständig erfasst")))))))))</x:f>
      </x:c>
    </x:row>
    <x:row r="439" ht="22" customHeight="1">
      <x:c r="A439" s="7"/>
      <x:c r="B439" s="8"/>
      <x:c r="C439" s="7"/>
      <x:c r="D439" s="7"/>
      <x:c r="E439" s="7"/>
      <x:c r="F439" s="20"/>
      <x:c r="G439" s="7"/>
      <x:c r="H439" s="7"/>
      <x:c r="I439" s="7"/>
      <x:c r="J439" s="7"/>
      <x:c r="K439" s="7"/>
      <x:c r="L439" s="7"/>
      <x:c r="M439" s="7"/>
      <x:c r="N439" s="7"/>
      <x:c r="O439" s="2" t="str">
        <x:f>IF(A439="","",IF(COUNTIFS($A$7:$A$1506,A439)&gt;1,"Buchung-ID doppelt",IF(OR(NOT(ISNUMBER(B439)),C439="",NOT(ISNUMBER(F439)),H439="",L439=""),"Pflichtangaben fehlen",IF(COUNTIFS('Konten'!$A$7:$A$26,C439)&lt;&gt;1,"Konto nicht eindeutig",IF(J439&lt;&gt;"Ja","Zuordnung bestätigen",IF(OR(AND(H439="Einnahme",F439&lt;0),AND(H439="Ausgabe",F439&gt;0)),"Vorzeichen prüfen",IF(AND(H439="Umbuchung",OR(K439="",COUNTIFS($A$7:$A$1506,K439)&lt;&gt;1)),"Gegenbuchung fehlt",IF(AND(H439="Umbuchung",ROUND(SUMIFS($F$7:$F$1506,$A$7:$A$1506,K439)+F439,2)&lt;&gt;0),"Umbuchung abweichend",IF(OR(G439="",M439="",M439="offen",M439="teilbelegt",H439="Ungeklärt",H439="Bargeld"),"Beleg / Verwendung klären","vollständig erfasst")))))))))</x:f>
      </x:c>
    </x:row>
    <x:row r="440" ht="22" customHeight="1">
      <x:c r="A440" s="7"/>
      <x:c r="B440" s="8"/>
      <x:c r="C440" s="7"/>
      <x:c r="D440" s="7"/>
      <x:c r="E440" s="7"/>
      <x:c r="F440" s="20"/>
      <x:c r="G440" s="7"/>
      <x:c r="H440" s="7"/>
      <x:c r="I440" s="7"/>
      <x:c r="J440" s="7"/>
      <x:c r="K440" s="7"/>
      <x:c r="L440" s="7"/>
      <x:c r="M440" s="7"/>
      <x:c r="N440" s="7"/>
      <x:c r="O440" s="2" t="str">
        <x:f>IF(A440="","",IF(COUNTIFS($A$7:$A$1506,A440)&gt;1,"Buchung-ID doppelt",IF(OR(NOT(ISNUMBER(B440)),C440="",NOT(ISNUMBER(F440)),H440="",L440=""),"Pflichtangaben fehlen",IF(COUNTIFS('Konten'!$A$7:$A$26,C440)&lt;&gt;1,"Konto nicht eindeutig",IF(J440&lt;&gt;"Ja","Zuordnung bestätigen",IF(OR(AND(H440="Einnahme",F440&lt;0),AND(H440="Ausgabe",F440&gt;0)),"Vorzeichen prüfen",IF(AND(H440="Umbuchung",OR(K440="",COUNTIFS($A$7:$A$1506,K440)&lt;&gt;1)),"Gegenbuchung fehlt",IF(AND(H440="Umbuchung",ROUND(SUMIFS($F$7:$F$1506,$A$7:$A$1506,K440)+F440,2)&lt;&gt;0),"Umbuchung abweichend",IF(OR(G440="",M440="",M440="offen",M440="teilbelegt",H440="Ungeklärt",H440="Bargeld"),"Beleg / Verwendung klären","vollständig erfasst")))))))))</x:f>
      </x:c>
    </x:row>
    <x:row r="441" ht="22" customHeight="1">
      <x:c r="A441" s="7"/>
      <x:c r="B441" s="8"/>
      <x:c r="C441" s="7"/>
      <x:c r="D441" s="7"/>
      <x:c r="E441" s="7"/>
      <x:c r="F441" s="20"/>
      <x:c r="G441" s="7"/>
      <x:c r="H441" s="7"/>
      <x:c r="I441" s="7"/>
      <x:c r="J441" s="7"/>
      <x:c r="K441" s="7"/>
      <x:c r="L441" s="7"/>
      <x:c r="M441" s="7"/>
      <x:c r="N441" s="7"/>
      <x:c r="O441" s="2" t="str">
        <x:f>IF(A441="","",IF(COUNTIFS($A$7:$A$1506,A441)&gt;1,"Buchung-ID doppelt",IF(OR(NOT(ISNUMBER(B441)),C441="",NOT(ISNUMBER(F441)),H441="",L441=""),"Pflichtangaben fehlen",IF(COUNTIFS('Konten'!$A$7:$A$26,C441)&lt;&gt;1,"Konto nicht eindeutig",IF(J441&lt;&gt;"Ja","Zuordnung bestätigen",IF(OR(AND(H441="Einnahme",F441&lt;0),AND(H441="Ausgabe",F441&gt;0)),"Vorzeichen prüfen",IF(AND(H441="Umbuchung",OR(K441="",COUNTIFS($A$7:$A$1506,K441)&lt;&gt;1)),"Gegenbuchung fehlt",IF(AND(H441="Umbuchung",ROUND(SUMIFS($F$7:$F$1506,$A$7:$A$1506,K441)+F441,2)&lt;&gt;0),"Umbuchung abweichend",IF(OR(G441="",M441="",M441="offen",M441="teilbelegt",H441="Ungeklärt",H441="Bargeld"),"Beleg / Verwendung klären","vollständig erfasst")))))))))</x:f>
      </x:c>
    </x:row>
    <x:row r="442" ht="22" customHeight="1">
      <x:c r="A442" s="7"/>
      <x:c r="B442" s="8"/>
      <x:c r="C442" s="7"/>
      <x:c r="D442" s="7"/>
      <x:c r="E442" s="7"/>
      <x:c r="F442" s="20"/>
      <x:c r="G442" s="7"/>
      <x:c r="H442" s="7"/>
      <x:c r="I442" s="7"/>
      <x:c r="J442" s="7"/>
      <x:c r="K442" s="7"/>
      <x:c r="L442" s="7"/>
      <x:c r="M442" s="7"/>
      <x:c r="N442" s="7"/>
      <x:c r="O442" s="2" t="str">
        <x:f>IF(A442="","",IF(COUNTIFS($A$7:$A$1506,A442)&gt;1,"Buchung-ID doppelt",IF(OR(NOT(ISNUMBER(B442)),C442="",NOT(ISNUMBER(F442)),H442="",L442=""),"Pflichtangaben fehlen",IF(COUNTIFS('Konten'!$A$7:$A$26,C442)&lt;&gt;1,"Konto nicht eindeutig",IF(J442&lt;&gt;"Ja","Zuordnung bestätigen",IF(OR(AND(H442="Einnahme",F442&lt;0),AND(H442="Ausgabe",F442&gt;0)),"Vorzeichen prüfen",IF(AND(H442="Umbuchung",OR(K442="",COUNTIFS($A$7:$A$1506,K442)&lt;&gt;1)),"Gegenbuchung fehlt",IF(AND(H442="Umbuchung",ROUND(SUMIFS($F$7:$F$1506,$A$7:$A$1506,K442)+F442,2)&lt;&gt;0),"Umbuchung abweichend",IF(OR(G442="",M442="",M442="offen",M442="teilbelegt",H442="Ungeklärt",H442="Bargeld"),"Beleg / Verwendung klären","vollständig erfasst")))))))))</x:f>
      </x:c>
    </x:row>
    <x:row r="443" ht="22" customHeight="1">
      <x:c r="A443" s="7"/>
      <x:c r="B443" s="8"/>
      <x:c r="C443" s="7"/>
      <x:c r="D443" s="7"/>
      <x:c r="E443" s="7"/>
      <x:c r="F443" s="20"/>
      <x:c r="G443" s="7"/>
      <x:c r="H443" s="7"/>
      <x:c r="I443" s="7"/>
      <x:c r="J443" s="7"/>
      <x:c r="K443" s="7"/>
      <x:c r="L443" s="7"/>
      <x:c r="M443" s="7"/>
      <x:c r="N443" s="7"/>
      <x:c r="O443" s="2" t="str">
        <x:f>IF(A443="","",IF(COUNTIFS($A$7:$A$1506,A443)&gt;1,"Buchung-ID doppelt",IF(OR(NOT(ISNUMBER(B443)),C443="",NOT(ISNUMBER(F443)),H443="",L443=""),"Pflichtangaben fehlen",IF(COUNTIFS('Konten'!$A$7:$A$26,C443)&lt;&gt;1,"Konto nicht eindeutig",IF(J443&lt;&gt;"Ja","Zuordnung bestätigen",IF(OR(AND(H443="Einnahme",F443&lt;0),AND(H443="Ausgabe",F443&gt;0)),"Vorzeichen prüfen",IF(AND(H443="Umbuchung",OR(K443="",COUNTIFS($A$7:$A$1506,K443)&lt;&gt;1)),"Gegenbuchung fehlt",IF(AND(H443="Umbuchung",ROUND(SUMIFS($F$7:$F$1506,$A$7:$A$1506,K443)+F443,2)&lt;&gt;0),"Umbuchung abweichend",IF(OR(G443="",M443="",M443="offen",M443="teilbelegt",H443="Ungeklärt",H443="Bargeld"),"Beleg / Verwendung klären","vollständig erfasst")))))))))</x:f>
      </x:c>
    </x:row>
    <x:row r="444" ht="22" customHeight="1">
      <x:c r="A444" s="7"/>
      <x:c r="B444" s="8"/>
      <x:c r="C444" s="7"/>
      <x:c r="D444" s="7"/>
      <x:c r="E444" s="7"/>
      <x:c r="F444" s="20"/>
      <x:c r="G444" s="7"/>
      <x:c r="H444" s="7"/>
      <x:c r="I444" s="7"/>
      <x:c r="J444" s="7"/>
      <x:c r="K444" s="7"/>
      <x:c r="L444" s="7"/>
      <x:c r="M444" s="7"/>
      <x:c r="N444" s="7"/>
      <x:c r="O444" s="2" t="str">
        <x:f>IF(A444="","",IF(COUNTIFS($A$7:$A$1506,A444)&gt;1,"Buchung-ID doppelt",IF(OR(NOT(ISNUMBER(B444)),C444="",NOT(ISNUMBER(F444)),H444="",L444=""),"Pflichtangaben fehlen",IF(COUNTIFS('Konten'!$A$7:$A$26,C444)&lt;&gt;1,"Konto nicht eindeutig",IF(J444&lt;&gt;"Ja","Zuordnung bestätigen",IF(OR(AND(H444="Einnahme",F444&lt;0),AND(H444="Ausgabe",F444&gt;0)),"Vorzeichen prüfen",IF(AND(H444="Umbuchung",OR(K444="",COUNTIFS($A$7:$A$1506,K444)&lt;&gt;1)),"Gegenbuchung fehlt",IF(AND(H444="Umbuchung",ROUND(SUMIFS($F$7:$F$1506,$A$7:$A$1506,K444)+F444,2)&lt;&gt;0),"Umbuchung abweichend",IF(OR(G444="",M444="",M444="offen",M444="teilbelegt",H444="Ungeklärt",H444="Bargeld"),"Beleg / Verwendung klären","vollständig erfasst")))))))))</x:f>
      </x:c>
    </x:row>
    <x:row r="445" ht="22" customHeight="1">
      <x:c r="A445" s="7"/>
      <x:c r="B445" s="8"/>
      <x:c r="C445" s="7"/>
      <x:c r="D445" s="7"/>
      <x:c r="E445" s="7"/>
      <x:c r="F445" s="20"/>
      <x:c r="G445" s="7"/>
      <x:c r="H445" s="7"/>
      <x:c r="I445" s="7"/>
      <x:c r="J445" s="7"/>
      <x:c r="K445" s="7"/>
      <x:c r="L445" s="7"/>
      <x:c r="M445" s="7"/>
      <x:c r="N445" s="7"/>
      <x:c r="O445" s="2" t="str">
        <x:f>IF(A445="","",IF(COUNTIFS($A$7:$A$1506,A445)&gt;1,"Buchung-ID doppelt",IF(OR(NOT(ISNUMBER(B445)),C445="",NOT(ISNUMBER(F445)),H445="",L445=""),"Pflichtangaben fehlen",IF(COUNTIFS('Konten'!$A$7:$A$26,C445)&lt;&gt;1,"Konto nicht eindeutig",IF(J445&lt;&gt;"Ja","Zuordnung bestätigen",IF(OR(AND(H445="Einnahme",F445&lt;0),AND(H445="Ausgabe",F445&gt;0)),"Vorzeichen prüfen",IF(AND(H445="Umbuchung",OR(K445="",COUNTIFS($A$7:$A$1506,K445)&lt;&gt;1)),"Gegenbuchung fehlt",IF(AND(H445="Umbuchung",ROUND(SUMIFS($F$7:$F$1506,$A$7:$A$1506,K445)+F445,2)&lt;&gt;0),"Umbuchung abweichend",IF(OR(G445="",M445="",M445="offen",M445="teilbelegt",H445="Ungeklärt",H445="Bargeld"),"Beleg / Verwendung klären","vollständig erfasst")))))))))</x:f>
      </x:c>
    </x:row>
    <x:row r="446" ht="22" customHeight="1">
      <x:c r="A446" s="7"/>
      <x:c r="B446" s="8"/>
      <x:c r="C446" s="7"/>
      <x:c r="D446" s="7"/>
      <x:c r="E446" s="7"/>
      <x:c r="F446" s="20"/>
      <x:c r="G446" s="7"/>
      <x:c r="H446" s="7"/>
      <x:c r="I446" s="7"/>
      <x:c r="J446" s="7"/>
      <x:c r="K446" s="7"/>
      <x:c r="L446" s="7"/>
      <x:c r="M446" s="7"/>
      <x:c r="N446" s="7"/>
      <x:c r="O446" s="2" t="str">
        <x:f>IF(A446="","",IF(COUNTIFS($A$7:$A$1506,A446)&gt;1,"Buchung-ID doppelt",IF(OR(NOT(ISNUMBER(B446)),C446="",NOT(ISNUMBER(F446)),H446="",L446=""),"Pflichtangaben fehlen",IF(COUNTIFS('Konten'!$A$7:$A$26,C446)&lt;&gt;1,"Konto nicht eindeutig",IF(J446&lt;&gt;"Ja","Zuordnung bestätigen",IF(OR(AND(H446="Einnahme",F446&lt;0),AND(H446="Ausgabe",F446&gt;0)),"Vorzeichen prüfen",IF(AND(H446="Umbuchung",OR(K446="",COUNTIFS($A$7:$A$1506,K446)&lt;&gt;1)),"Gegenbuchung fehlt",IF(AND(H446="Umbuchung",ROUND(SUMIFS($F$7:$F$1506,$A$7:$A$1506,K446)+F446,2)&lt;&gt;0),"Umbuchung abweichend",IF(OR(G446="",M446="",M446="offen",M446="teilbelegt",H446="Ungeklärt",H446="Bargeld"),"Beleg / Verwendung klären","vollständig erfasst")))))))))</x:f>
      </x:c>
    </x:row>
    <x:row r="447" ht="22" customHeight="1">
      <x:c r="A447" s="7"/>
      <x:c r="B447" s="8"/>
      <x:c r="C447" s="7"/>
      <x:c r="D447" s="7"/>
      <x:c r="E447" s="7"/>
      <x:c r="F447" s="20"/>
      <x:c r="G447" s="7"/>
      <x:c r="H447" s="7"/>
      <x:c r="I447" s="7"/>
      <x:c r="J447" s="7"/>
      <x:c r="K447" s="7"/>
      <x:c r="L447" s="7"/>
      <x:c r="M447" s="7"/>
      <x:c r="N447" s="7"/>
      <x:c r="O447" s="2" t="str">
        <x:f>IF(A447="","",IF(COUNTIFS($A$7:$A$1506,A447)&gt;1,"Buchung-ID doppelt",IF(OR(NOT(ISNUMBER(B447)),C447="",NOT(ISNUMBER(F447)),H447="",L447=""),"Pflichtangaben fehlen",IF(COUNTIFS('Konten'!$A$7:$A$26,C447)&lt;&gt;1,"Konto nicht eindeutig",IF(J447&lt;&gt;"Ja","Zuordnung bestätigen",IF(OR(AND(H447="Einnahme",F447&lt;0),AND(H447="Ausgabe",F447&gt;0)),"Vorzeichen prüfen",IF(AND(H447="Umbuchung",OR(K447="",COUNTIFS($A$7:$A$1506,K447)&lt;&gt;1)),"Gegenbuchung fehlt",IF(AND(H447="Umbuchung",ROUND(SUMIFS($F$7:$F$1506,$A$7:$A$1506,K447)+F447,2)&lt;&gt;0),"Umbuchung abweichend",IF(OR(G447="",M447="",M447="offen",M447="teilbelegt",H447="Ungeklärt",H447="Bargeld"),"Beleg / Verwendung klären","vollständig erfasst")))))))))</x:f>
      </x:c>
    </x:row>
    <x:row r="448" ht="22" customHeight="1">
      <x:c r="A448" s="7"/>
      <x:c r="B448" s="8"/>
      <x:c r="C448" s="7"/>
      <x:c r="D448" s="7"/>
      <x:c r="E448" s="7"/>
      <x:c r="F448" s="20"/>
      <x:c r="G448" s="7"/>
      <x:c r="H448" s="7"/>
      <x:c r="I448" s="7"/>
      <x:c r="J448" s="7"/>
      <x:c r="K448" s="7"/>
      <x:c r="L448" s="7"/>
      <x:c r="M448" s="7"/>
      <x:c r="N448" s="7"/>
      <x:c r="O448" s="2" t="str">
        <x:f>IF(A448="","",IF(COUNTIFS($A$7:$A$1506,A448)&gt;1,"Buchung-ID doppelt",IF(OR(NOT(ISNUMBER(B448)),C448="",NOT(ISNUMBER(F448)),H448="",L448=""),"Pflichtangaben fehlen",IF(COUNTIFS('Konten'!$A$7:$A$26,C448)&lt;&gt;1,"Konto nicht eindeutig",IF(J448&lt;&gt;"Ja","Zuordnung bestätigen",IF(OR(AND(H448="Einnahme",F448&lt;0),AND(H448="Ausgabe",F448&gt;0)),"Vorzeichen prüfen",IF(AND(H448="Umbuchung",OR(K448="",COUNTIFS($A$7:$A$1506,K448)&lt;&gt;1)),"Gegenbuchung fehlt",IF(AND(H448="Umbuchung",ROUND(SUMIFS($F$7:$F$1506,$A$7:$A$1506,K448)+F448,2)&lt;&gt;0),"Umbuchung abweichend",IF(OR(G448="",M448="",M448="offen",M448="teilbelegt",H448="Ungeklärt",H448="Bargeld"),"Beleg / Verwendung klären","vollständig erfasst")))))))))</x:f>
      </x:c>
    </x:row>
    <x:row r="449" ht="22" customHeight="1">
      <x:c r="A449" s="7"/>
      <x:c r="B449" s="8"/>
      <x:c r="C449" s="7"/>
      <x:c r="D449" s="7"/>
      <x:c r="E449" s="7"/>
      <x:c r="F449" s="20"/>
      <x:c r="G449" s="7"/>
      <x:c r="H449" s="7"/>
      <x:c r="I449" s="7"/>
      <x:c r="J449" s="7"/>
      <x:c r="K449" s="7"/>
      <x:c r="L449" s="7"/>
      <x:c r="M449" s="7"/>
      <x:c r="N449" s="7"/>
      <x:c r="O449" s="2" t="str">
        <x:f>IF(A449="","",IF(COUNTIFS($A$7:$A$1506,A449)&gt;1,"Buchung-ID doppelt",IF(OR(NOT(ISNUMBER(B449)),C449="",NOT(ISNUMBER(F449)),H449="",L449=""),"Pflichtangaben fehlen",IF(COUNTIFS('Konten'!$A$7:$A$26,C449)&lt;&gt;1,"Konto nicht eindeutig",IF(J449&lt;&gt;"Ja","Zuordnung bestätigen",IF(OR(AND(H449="Einnahme",F449&lt;0),AND(H449="Ausgabe",F449&gt;0)),"Vorzeichen prüfen",IF(AND(H449="Umbuchung",OR(K449="",COUNTIFS($A$7:$A$1506,K449)&lt;&gt;1)),"Gegenbuchung fehlt",IF(AND(H449="Umbuchung",ROUND(SUMIFS($F$7:$F$1506,$A$7:$A$1506,K449)+F449,2)&lt;&gt;0),"Umbuchung abweichend",IF(OR(G449="",M449="",M449="offen",M449="teilbelegt",H449="Ungeklärt",H449="Bargeld"),"Beleg / Verwendung klären","vollständig erfasst")))))))))</x:f>
      </x:c>
    </x:row>
    <x:row r="450" ht="22" customHeight="1">
      <x:c r="A450" s="7"/>
      <x:c r="B450" s="8"/>
      <x:c r="C450" s="7"/>
      <x:c r="D450" s="7"/>
      <x:c r="E450" s="7"/>
      <x:c r="F450" s="20"/>
      <x:c r="G450" s="7"/>
      <x:c r="H450" s="7"/>
      <x:c r="I450" s="7"/>
      <x:c r="J450" s="7"/>
      <x:c r="K450" s="7"/>
      <x:c r="L450" s="7"/>
      <x:c r="M450" s="7"/>
      <x:c r="N450" s="7"/>
      <x:c r="O450" s="2" t="str">
        <x:f>IF(A450="","",IF(COUNTIFS($A$7:$A$1506,A450)&gt;1,"Buchung-ID doppelt",IF(OR(NOT(ISNUMBER(B450)),C450="",NOT(ISNUMBER(F450)),H450="",L450=""),"Pflichtangaben fehlen",IF(COUNTIFS('Konten'!$A$7:$A$26,C450)&lt;&gt;1,"Konto nicht eindeutig",IF(J450&lt;&gt;"Ja","Zuordnung bestätigen",IF(OR(AND(H450="Einnahme",F450&lt;0),AND(H450="Ausgabe",F450&gt;0)),"Vorzeichen prüfen",IF(AND(H450="Umbuchung",OR(K450="",COUNTIFS($A$7:$A$1506,K450)&lt;&gt;1)),"Gegenbuchung fehlt",IF(AND(H450="Umbuchung",ROUND(SUMIFS($F$7:$F$1506,$A$7:$A$1506,K450)+F450,2)&lt;&gt;0),"Umbuchung abweichend",IF(OR(G450="",M450="",M450="offen",M450="teilbelegt",H450="Ungeklärt",H450="Bargeld"),"Beleg / Verwendung klären","vollständig erfasst")))))))))</x:f>
      </x:c>
    </x:row>
    <x:row r="451" ht="22" customHeight="1">
      <x:c r="A451" s="7"/>
      <x:c r="B451" s="8"/>
      <x:c r="C451" s="7"/>
      <x:c r="D451" s="7"/>
      <x:c r="E451" s="7"/>
      <x:c r="F451" s="20"/>
      <x:c r="G451" s="7"/>
      <x:c r="H451" s="7"/>
      <x:c r="I451" s="7"/>
      <x:c r="J451" s="7"/>
      <x:c r="K451" s="7"/>
      <x:c r="L451" s="7"/>
      <x:c r="M451" s="7"/>
      <x:c r="N451" s="7"/>
      <x:c r="O451" s="2" t="str">
        <x:f>IF(A451="","",IF(COUNTIFS($A$7:$A$1506,A451)&gt;1,"Buchung-ID doppelt",IF(OR(NOT(ISNUMBER(B451)),C451="",NOT(ISNUMBER(F451)),H451="",L451=""),"Pflichtangaben fehlen",IF(COUNTIFS('Konten'!$A$7:$A$26,C451)&lt;&gt;1,"Konto nicht eindeutig",IF(J451&lt;&gt;"Ja","Zuordnung bestätigen",IF(OR(AND(H451="Einnahme",F451&lt;0),AND(H451="Ausgabe",F451&gt;0)),"Vorzeichen prüfen",IF(AND(H451="Umbuchung",OR(K451="",COUNTIFS($A$7:$A$1506,K451)&lt;&gt;1)),"Gegenbuchung fehlt",IF(AND(H451="Umbuchung",ROUND(SUMIFS($F$7:$F$1506,$A$7:$A$1506,K451)+F451,2)&lt;&gt;0),"Umbuchung abweichend",IF(OR(G451="",M451="",M451="offen",M451="teilbelegt",H451="Ungeklärt",H451="Bargeld"),"Beleg / Verwendung klären","vollständig erfasst")))))))))</x:f>
      </x:c>
    </x:row>
    <x:row r="452" ht="22" customHeight="1">
      <x:c r="A452" s="7"/>
      <x:c r="B452" s="8"/>
      <x:c r="C452" s="7"/>
      <x:c r="D452" s="7"/>
      <x:c r="E452" s="7"/>
      <x:c r="F452" s="20"/>
      <x:c r="G452" s="7"/>
      <x:c r="H452" s="7"/>
      <x:c r="I452" s="7"/>
      <x:c r="J452" s="7"/>
      <x:c r="K452" s="7"/>
      <x:c r="L452" s="7"/>
      <x:c r="M452" s="7"/>
      <x:c r="N452" s="7"/>
      <x:c r="O452" s="2" t="str">
        <x:f>IF(A452="","",IF(COUNTIFS($A$7:$A$1506,A452)&gt;1,"Buchung-ID doppelt",IF(OR(NOT(ISNUMBER(B452)),C452="",NOT(ISNUMBER(F452)),H452="",L452=""),"Pflichtangaben fehlen",IF(COUNTIFS('Konten'!$A$7:$A$26,C452)&lt;&gt;1,"Konto nicht eindeutig",IF(J452&lt;&gt;"Ja","Zuordnung bestätigen",IF(OR(AND(H452="Einnahme",F452&lt;0),AND(H452="Ausgabe",F452&gt;0)),"Vorzeichen prüfen",IF(AND(H452="Umbuchung",OR(K452="",COUNTIFS($A$7:$A$1506,K452)&lt;&gt;1)),"Gegenbuchung fehlt",IF(AND(H452="Umbuchung",ROUND(SUMIFS($F$7:$F$1506,$A$7:$A$1506,K452)+F452,2)&lt;&gt;0),"Umbuchung abweichend",IF(OR(G452="",M452="",M452="offen",M452="teilbelegt",H452="Ungeklärt",H452="Bargeld"),"Beleg / Verwendung klären","vollständig erfasst")))))))))</x:f>
      </x:c>
    </x:row>
    <x:row r="453" ht="22" customHeight="1">
      <x:c r="A453" s="7"/>
      <x:c r="B453" s="8"/>
      <x:c r="C453" s="7"/>
      <x:c r="D453" s="7"/>
      <x:c r="E453" s="7"/>
      <x:c r="F453" s="20"/>
      <x:c r="G453" s="7"/>
      <x:c r="H453" s="7"/>
      <x:c r="I453" s="7"/>
      <x:c r="J453" s="7"/>
      <x:c r="K453" s="7"/>
      <x:c r="L453" s="7"/>
      <x:c r="M453" s="7"/>
      <x:c r="N453" s="7"/>
      <x:c r="O453" s="2" t="str">
        <x:f>IF(A453="","",IF(COUNTIFS($A$7:$A$1506,A453)&gt;1,"Buchung-ID doppelt",IF(OR(NOT(ISNUMBER(B453)),C453="",NOT(ISNUMBER(F453)),H453="",L453=""),"Pflichtangaben fehlen",IF(COUNTIFS('Konten'!$A$7:$A$26,C453)&lt;&gt;1,"Konto nicht eindeutig",IF(J453&lt;&gt;"Ja","Zuordnung bestätigen",IF(OR(AND(H453="Einnahme",F453&lt;0),AND(H453="Ausgabe",F453&gt;0)),"Vorzeichen prüfen",IF(AND(H453="Umbuchung",OR(K453="",COUNTIFS($A$7:$A$1506,K453)&lt;&gt;1)),"Gegenbuchung fehlt",IF(AND(H453="Umbuchung",ROUND(SUMIFS($F$7:$F$1506,$A$7:$A$1506,K453)+F453,2)&lt;&gt;0),"Umbuchung abweichend",IF(OR(G453="",M453="",M453="offen",M453="teilbelegt",H453="Ungeklärt",H453="Bargeld"),"Beleg / Verwendung klären","vollständig erfasst")))))))))</x:f>
      </x:c>
    </x:row>
    <x:row r="454" ht="22" customHeight="1">
      <x:c r="A454" s="7"/>
      <x:c r="B454" s="8"/>
      <x:c r="C454" s="7"/>
      <x:c r="D454" s="7"/>
      <x:c r="E454" s="7"/>
      <x:c r="F454" s="20"/>
      <x:c r="G454" s="7"/>
      <x:c r="H454" s="7"/>
      <x:c r="I454" s="7"/>
      <x:c r="J454" s="7"/>
      <x:c r="K454" s="7"/>
      <x:c r="L454" s="7"/>
      <x:c r="M454" s="7"/>
      <x:c r="N454" s="7"/>
      <x:c r="O454" s="2" t="str">
        <x:f>IF(A454="","",IF(COUNTIFS($A$7:$A$1506,A454)&gt;1,"Buchung-ID doppelt",IF(OR(NOT(ISNUMBER(B454)),C454="",NOT(ISNUMBER(F454)),H454="",L454=""),"Pflichtangaben fehlen",IF(COUNTIFS('Konten'!$A$7:$A$26,C454)&lt;&gt;1,"Konto nicht eindeutig",IF(J454&lt;&gt;"Ja","Zuordnung bestätigen",IF(OR(AND(H454="Einnahme",F454&lt;0),AND(H454="Ausgabe",F454&gt;0)),"Vorzeichen prüfen",IF(AND(H454="Umbuchung",OR(K454="",COUNTIFS($A$7:$A$1506,K454)&lt;&gt;1)),"Gegenbuchung fehlt",IF(AND(H454="Umbuchung",ROUND(SUMIFS($F$7:$F$1506,$A$7:$A$1506,K454)+F454,2)&lt;&gt;0),"Umbuchung abweichend",IF(OR(G454="",M454="",M454="offen",M454="teilbelegt",H454="Ungeklärt",H454="Bargeld"),"Beleg / Verwendung klären","vollständig erfasst")))))))))</x:f>
      </x:c>
    </x:row>
    <x:row r="455" ht="22" customHeight="1">
      <x:c r="A455" s="7"/>
      <x:c r="B455" s="8"/>
      <x:c r="C455" s="7"/>
      <x:c r="D455" s="7"/>
      <x:c r="E455" s="7"/>
      <x:c r="F455" s="20"/>
      <x:c r="G455" s="7"/>
      <x:c r="H455" s="7"/>
      <x:c r="I455" s="7"/>
      <x:c r="J455" s="7"/>
      <x:c r="K455" s="7"/>
      <x:c r="L455" s="7"/>
      <x:c r="M455" s="7"/>
      <x:c r="N455" s="7"/>
      <x:c r="O455" s="2" t="str">
        <x:f>IF(A455="","",IF(COUNTIFS($A$7:$A$1506,A455)&gt;1,"Buchung-ID doppelt",IF(OR(NOT(ISNUMBER(B455)),C455="",NOT(ISNUMBER(F455)),H455="",L455=""),"Pflichtangaben fehlen",IF(COUNTIFS('Konten'!$A$7:$A$26,C455)&lt;&gt;1,"Konto nicht eindeutig",IF(J455&lt;&gt;"Ja","Zuordnung bestätigen",IF(OR(AND(H455="Einnahme",F455&lt;0),AND(H455="Ausgabe",F455&gt;0)),"Vorzeichen prüfen",IF(AND(H455="Umbuchung",OR(K455="",COUNTIFS($A$7:$A$1506,K455)&lt;&gt;1)),"Gegenbuchung fehlt",IF(AND(H455="Umbuchung",ROUND(SUMIFS($F$7:$F$1506,$A$7:$A$1506,K455)+F455,2)&lt;&gt;0),"Umbuchung abweichend",IF(OR(G455="",M455="",M455="offen",M455="teilbelegt",H455="Ungeklärt",H455="Bargeld"),"Beleg / Verwendung klären","vollständig erfasst")))))))))</x:f>
      </x:c>
    </x:row>
    <x:row r="456" ht="22" customHeight="1">
      <x:c r="A456" s="7"/>
      <x:c r="B456" s="8"/>
      <x:c r="C456" s="7"/>
      <x:c r="D456" s="7"/>
      <x:c r="E456" s="7"/>
      <x:c r="F456" s="20"/>
      <x:c r="G456" s="7"/>
      <x:c r="H456" s="7"/>
      <x:c r="I456" s="7"/>
      <x:c r="J456" s="7"/>
      <x:c r="K456" s="7"/>
      <x:c r="L456" s="7"/>
      <x:c r="M456" s="7"/>
      <x:c r="N456" s="7"/>
      <x:c r="O456" s="2" t="str">
        <x:f>IF(A456="","",IF(COUNTIFS($A$7:$A$1506,A456)&gt;1,"Buchung-ID doppelt",IF(OR(NOT(ISNUMBER(B456)),C456="",NOT(ISNUMBER(F456)),H456="",L456=""),"Pflichtangaben fehlen",IF(COUNTIFS('Konten'!$A$7:$A$26,C456)&lt;&gt;1,"Konto nicht eindeutig",IF(J456&lt;&gt;"Ja","Zuordnung bestätigen",IF(OR(AND(H456="Einnahme",F456&lt;0),AND(H456="Ausgabe",F456&gt;0)),"Vorzeichen prüfen",IF(AND(H456="Umbuchung",OR(K456="",COUNTIFS($A$7:$A$1506,K456)&lt;&gt;1)),"Gegenbuchung fehlt",IF(AND(H456="Umbuchung",ROUND(SUMIFS($F$7:$F$1506,$A$7:$A$1506,K456)+F456,2)&lt;&gt;0),"Umbuchung abweichend",IF(OR(G456="",M456="",M456="offen",M456="teilbelegt",H456="Ungeklärt",H456="Bargeld"),"Beleg / Verwendung klären","vollständig erfasst")))))))))</x:f>
      </x:c>
    </x:row>
    <x:row r="457" ht="22" customHeight="1">
      <x:c r="A457" s="7"/>
      <x:c r="B457" s="8"/>
      <x:c r="C457" s="7"/>
      <x:c r="D457" s="7"/>
      <x:c r="E457" s="7"/>
      <x:c r="F457" s="20"/>
      <x:c r="G457" s="7"/>
      <x:c r="H457" s="7"/>
      <x:c r="I457" s="7"/>
      <x:c r="J457" s="7"/>
      <x:c r="K457" s="7"/>
      <x:c r="L457" s="7"/>
      <x:c r="M457" s="7"/>
      <x:c r="N457" s="7"/>
      <x:c r="O457" s="2" t="str">
        <x:f>IF(A457="","",IF(COUNTIFS($A$7:$A$1506,A457)&gt;1,"Buchung-ID doppelt",IF(OR(NOT(ISNUMBER(B457)),C457="",NOT(ISNUMBER(F457)),H457="",L457=""),"Pflichtangaben fehlen",IF(COUNTIFS('Konten'!$A$7:$A$26,C457)&lt;&gt;1,"Konto nicht eindeutig",IF(J457&lt;&gt;"Ja","Zuordnung bestätigen",IF(OR(AND(H457="Einnahme",F457&lt;0),AND(H457="Ausgabe",F457&gt;0)),"Vorzeichen prüfen",IF(AND(H457="Umbuchung",OR(K457="",COUNTIFS($A$7:$A$1506,K457)&lt;&gt;1)),"Gegenbuchung fehlt",IF(AND(H457="Umbuchung",ROUND(SUMIFS($F$7:$F$1506,$A$7:$A$1506,K457)+F457,2)&lt;&gt;0),"Umbuchung abweichend",IF(OR(G457="",M457="",M457="offen",M457="teilbelegt",H457="Ungeklärt",H457="Bargeld"),"Beleg / Verwendung klären","vollständig erfasst")))))))))</x:f>
      </x:c>
    </x:row>
    <x:row r="458" ht="22" customHeight="1">
      <x:c r="A458" s="7"/>
      <x:c r="B458" s="8"/>
      <x:c r="C458" s="7"/>
      <x:c r="D458" s="7"/>
      <x:c r="E458" s="7"/>
      <x:c r="F458" s="20"/>
      <x:c r="G458" s="7"/>
      <x:c r="H458" s="7"/>
      <x:c r="I458" s="7"/>
      <x:c r="J458" s="7"/>
      <x:c r="K458" s="7"/>
      <x:c r="L458" s="7"/>
      <x:c r="M458" s="7"/>
      <x:c r="N458" s="7"/>
      <x:c r="O458" s="2" t="str">
        <x:f>IF(A458="","",IF(COUNTIFS($A$7:$A$1506,A458)&gt;1,"Buchung-ID doppelt",IF(OR(NOT(ISNUMBER(B458)),C458="",NOT(ISNUMBER(F458)),H458="",L458=""),"Pflichtangaben fehlen",IF(COUNTIFS('Konten'!$A$7:$A$26,C458)&lt;&gt;1,"Konto nicht eindeutig",IF(J458&lt;&gt;"Ja","Zuordnung bestätigen",IF(OR(AND(H458="Einnahme",F458&lt;0),AND(H458="Ausgabe",F458&gt;0)),"Vorzeichen prüfen",IF(AND(H458="Umbuchung",OR(K458="",COUNTIFS($A$7:$A$1506,K458)&lt;&gt;1)),"Gegenbuchung fehlt",IF(AND(H458="Umbuchung",ROUND(SUMIFS($F$7:$F$1506,$A$7:$A$1506,K458)+F458,2)&lt;&gt;0),"Umbuchung abweichend",IF(OR(G458="",M458="",M458="offen",M458="teilbelegt",H458="Ungeklärt",H458="Bargeld"),"Beleg / Verwendung klären","vollständig erfasst")))))))))</x:f>
      </x:c>
    </x:row>
    <x:row r="459" ht="22" customHeight="1">
      <x:c r="A459" s="7"/>
      <x:c r="B459" s="8"/>
      <x:c r="C459" s="7"/>
      <x:c r="D459" s="7"/>
      <x:c r="E459" s="7"/>
      <x:c r="F459" s="20"/>
      <x:c r="G459" s="7"/>
      <x:c r="H459" s="7"/>
      <x:c r="I459" s="7"/>
      <x:c r="J459" s="7"/>
      <x:c r="K459" s="7"/>
      <x:c r="L459" s="7"/>
      <x:c r="M459" s="7"/>
      <x:c r="N459" s="7"/>
      <x:c r="O459" s="2" t="str">
        <x:f>IF(A459="","",IF(COUNTIFS($A$7:$A$1506,A459)&gt;1,"Buchung-ID doppelt",IF(OR(NOT(ISNUMBER(B459)),C459="",NOT(ISNUMBER(F459)),H459="",L459=""),"Pflichtangaben fehlen",IF(COUNTIFS('Konten'!$A$7:$A$26,C459)&lt;&gt;1,"Konto nicht eindeutig",IF(J459&lt;&gt;"Ja","Zuordnung bestätigen",IF(OR(AND(H459="Einnahme",F459&lt;0),AND(H459="Ausgabe",F459&gt;0)),"Vorzeichen prüfen",IF(AND(H459="Umbuchung",OR(K459="",COUNTIFS($A$7:$A$1506,K459)&lt;&gt;1)),"Gegenbuchung fehlt",IF(AND(H459="Umbuchung",ROUND(SUMIFS($F$7:$F$1506,$A$7:$A$1506,K459)+F459,2)&lt;&gt;0),"Umbuchung abweichend",IF(OR(G459="",M459="",M459="offen",M459="teilbelegt",H459="Ungeklärt",H459="Bargeld"),"Beleg / Verwendung klären","vollständig erfasst")))))))))</x:f>
      </x:c>
    </x:row>
    <x:row r="460" ht="22" customHeight="1">
      <x:c r="A460" s="7"/>
      <x:c r="B460" s="8"/>
      <x:c r="C460" s="7"/>
      <x:c r="D460" s="7"/>
      <x:c r="E460" s="7"/>
      <x:c r="F460" s="20"/>
      <x:c r="G460" s="7"/>
      <x:c r="H460" s="7"/>
      <x:c r="I460" s="7"/>
      <x:c r="J460" s="7"/>
      <x:c r="K460" s="7"/>
      <x:c r="L460" s="7"/>
      <x:c r="M460" s="7"/>
      <x:c r="N460" s="7"/>
      <x:c r="O460" s="2" t="str">
        <x:f>IF(A460="","",IF(COUNTIFS($A$7:$A$1506,A460)&gt;1,"Buchung-ID doppelt",IF(OR(NOT(ISNUMBER(B460)),C460="",NOT(ISNUMBER(F460)),H460="",L460=""),"Pflichtangaben fehlen",IF(COUNTIFS('Konten'!$A$7:$A$26,C460)&lt;&gt;1,"Konto nicht eindeutig",IF(J460&lt;&gt;"Ja","Zuordnung bestätigen",IF(OR(AND(H460="Einnahme",F460&lt;0),AND(H460="Ausgabe",F460&gt;0)),"Vorzeichen prüfen",IF(AND(H460="Umbuchung",OR(K460="",COUNTIFS($A$7:$A$1506,K460)&lt;&gt;1)),"Gegenbuchung fehlt",IF(AND(H460="Umbuchung",ROUND(SUMIFS($F$7:$F$1506,$A$7:$A$1506,K460)+F460,2)&lt;&gt;0),"Umbuchung abweichend",IF(OR(G460="",M460="",M460="offen",M460="teilbelegt",H460="Ungeklärt",H460="Bargeld"),"Beleg / Verwendung klären","vollständig erfasst")))))))))</x:f>
      </x:c>
    </x:row>
    <x:row r="461" ht="22" customHeight="1">
      <x:c r="A461" s="7"/>
      <x:c r="B461" s="8"/>
      <x:c r="C461" s="7"/>
      <x:c r="D461" s="7"/>
      <x:c r="E461" s="7"/>
      <x:c r="F461" s="20"/>
      <x:c r="G461" s="7"/>
      <x:c r="H461" s="7"/>
      <x:c r="I461" s="7"/>
      <x:c r="J461" s="7"/>
      <x:c r="K461" s="7"/>
      <x:c r="L461" s="7"/>
      <x:c r="M461" s="7"/>
      <x:c r="N461" s="7"/>
      <x:c r="O461" s="2" t="str">
        <x:f>IF(A461="","",IF(COUNTIFS($A$7:$A$1506,A461)&gt;1,"Buchung-ID doppelt",IF(OR(NOT(ISNUMBER(B461)),C461="",NOT(ISNUMBER(F461)),H461="",L461=""),"Pflichtangaben fehlen",IF(COUNTIFS('Konten'!$A$7:$A$26,C461)&lt;&gt;1,"Konto nicht eindeutig",IF(J461&lt;&gt;"Ja","Zuordnung bestätigen",IF(OR(AND(H461="Einnahme",F461&lt;0),AND(H461="Ausgabe",F461&gt;0)),"Vorzeichen prüfen",IF(AND(H461="Umbuchung",OR(K461="",COUNTIFS($A$7:$A$1506,K461)&lt;&gt;1)),"Gegenbuchung fehlt",IF(AND(H461="Umbuchung",ROUND(SUMIFS($F$7:$F$1506,$A$7:$A$1506,K461)+F461,2)&lt;&gt;0),"Umbuchung abweichend",IF(OR(G461="",M461="",M461="offen",M461="teilbelegt",H461="Ungeklärt",H461="Bargeld"),"Beleg / Verwendung klären","vollständig erfasst")))))))))</x:f>
      </x:c>
    </x:row>
    <x:row r="462" ht="22" customHeight="1">
      <x:c r="A462" s="7"/>
      <x:c r="B462" s="8"/>
      <x:c r="C462" s="7"/>
      <x:c r="D462" s="7"/>
      <x:c r="E462" s="7"/>
      <x:c r="F462" s="20"/>
      <x:c r="G462" s="7"/>
      <x:c r="H462" s="7"/>
      <x:c r="I462" s="7"/>
      <x:c r="J462" s="7"/>
      <x:c r="K462" s="7"/>
      <x:c r="L462" s="7"/>
      <x:c r="M462" s="7"/>
      <x:c r="N462" s="7"/>
      <x:c r="O462" s="2" t="str">
        <x:f>IF(A462="","",IF(COUNTIFS($A$7:$A$1506,A462)&gt;1,"Buchung-ID doppelt",IF(OR(NOT(ISNUMBER(B462)),C462="",NOT(ISNUMBER(F462)),H462="",L462=""),"Pflichtangaben fehlen",IF(COUNTIFS('Konten'!$A$7:$A$26,C462)&lt;&gt;1,"Konto nicht eindeutig",IF(J462&lt;&gt;"Ja","Zuordnung bestätigen",IF(OR(AND(H462="Einnahme",F462&lt;0),AND(H462="Ausgabe",F462&gt;0)),"Vorzeichen prüfen",IF(AND(H462="Umbuchung",OR(K462="",COUNTIFS($A$7:$A$1506,K462)&lt;&gt;1)),"Gegenbuchung fehlt",IF(AND(H462="Umbuchung",ROUND(SUMIFS($F$7:$F$1506,$A$7:$A$1506,K462)+F462,2)&lt;&gt;0),"Umbuchung abweichend",IF(OR(G462="",M462="",M462="offen",M462="teilbelegt",H462="Ungeklärt",H462="Bargeld"),"Beleg / Verwendung klären","vollständig erfasst")))))))))</x:f>
      </x:c>
    </x:row>
    <x:row r="463" ht="22" customHeight="1">
      <x:c r="A463" s="7"/>
      <x:c r="B463" s="8"/>
      <x:c r="C463" s="7"/>
      <x:c r="D463" s="7"/>
      <x:c r="E463" s="7"/>
      <x:c r="F463" s="20"/>
      <x:c r="G463" s="7"/>
      <x:c r="H463" s="7"/>
      <x:c r="I463" s="7"/>
      <x:c r="J463" s="7"/>
      <x:c r="K463" s="7"/>
      <x:c r="L463" s="7"/>
      <x:c r="M463" s="7"/>
      <x:c r="N463" s="7"/>
      <x:c r="O463" s="2" t="str">
        <x:f>IF(A463="","",IF(COUNTIFS($A$7:$A$1506,A463)&gt;1,"Buchung-ID doppelt",IF(OR(NOT(ISNUMBER(B463)),C463="",NOT(ISNUMBER(F463)),H463="",L463=""),"Pflichtangaben fehlen",IF(COUNTIFS('Konten'!$A$7:$A$26,C463)&lt;&gt;1,"Konto nicht eindeutig",IF(J463&lt;&gt;"Ja","Zuordnung bestätigen",IF(OR(AND(H463="Einnahme",F463&lt;0),AND(H463="Ausgabe",F463&gt;0)),"Vorzeichen prüfen",IF(AND(H463="Umbuchung",OR(K463="",COUNTIFS($A$7:$A$1506,K463)&lt;&gt;1)),"Gegenbuchung fehlt",IF(AND(H463="Umbuchung",ROUND(SUMIFS($F$7:$F$1506,$A$7:$A$1506,K463)+F463,2)&lt;&gt;0),"Umbuchung abweichend",IF(OR(G463="",M463="",M463="offen",M463="teilbelegt",H463="Ungeklärt",H463="Bargeld"),"Beleg / Verwendung klären","vollständig erfasst")))))))))</x:f>
      </x:c>
    </x:row>
    <x:row r="464" ht="22" customHeight="1">
      <x:c r="A464" s="7"/>
      <x:c r="B464" s="8"/>
      <x:c r="C464" s="7"/>
      <x:c r="D464" s="7"/>
      <x:c r="E464" s="7"/>
      <x:c r="F464" s="20"/>
      <x:c r="G464" s="7"/>
      <x:c r="H464" s="7"/>
      <x:c r="I464" s="7"/>
      <x:c r="J464" s="7"/>
      <x:c r="K464" s="7"/>
      <x:c r="L464" s="7"/>
      <x:c r="M464" s="7"/>
      <x:c r="N464" s="7"/>
      <x:c r="O464" s="2" t="str">
        <x:f>IF(A464="","",IF(COUNTIFS($A$7:$A$1506,A464)&gt;1,"Buchung-ID doppelt",IF(OR(NOT(ISNUMBER(B464)),C464="",NOT(ISNUMBER(F464)),H464="",L464=""),"Pflichtangaben fehlen",IF(COUNTIFS('Konten'!$A$7:$A$26,C464)&lt;&gt;1,"Konto nicht eindeutig",IF(J464&lt;&gt;"Ja","Zuordnung bestätigen",IF(OR(AND(H464="Einnahme",F464&lt;0),AND(H464="Ausgabe",F464&gt;0)),"Vorzeichen prüfen",IF(AND(H464="Umbuchung",OR(K464="",COUNTIFS($A$7:$A$1506,K464)&lt;&gt;1)),"Gegenbuchung fehlt",IF(AND(H464="Umbuchung",ROUND(SUMIFS($F$7:$F$1506,$A$7:$A$1506,K464)+F464,2)&lt;&gt;0),"Umbuchung abweichend",IF(OR(G464="",M464="",M464="offen",M464="teilbelegt",H464="Ungeklärt",H464="Bargeld"),"Beleg / Verwendung klären","vollständig erfasst")))))))))</x:f>
      </x:c>
    </x:row>
    <x:row r="465" ht="22" customHeight="1">
      <x:c r="A465" s="7"/>
      <x:c r="B465" s="8"/>
      <x:c r="C465" s="7"/>
      <x:c r="D465" s="7"/>
      <x:c r="E465" s="7"/>
      <x:c r="F465" s="20"/>
      <x:c r="G465" s="7"/>
      <x:c r="H465" s="7"/>
      <x:c r="I465" s="7"/>
      <x:c r="J465" s="7"/>
      <x:c r="K465" s="7"/>
      <x:c r="L465" s="7"/>
      <x:c r="M465" s="7"/>
      <x:c r="N465" s="7"/>
      <x:c r="O465" s="2" t="str">
        <x:f>IF(A465="","",IF(COUNTIFS($A$7:$A$1506,A465)&gt;1,"Buchung-ID doppelt",IF(OR(NOT(ISNUMBER(B465)),C465="",NOT(ISNUMBER(F465)),H465="",L465=""),"Pflichtangaben fehlen",IF(COUNTIFS('Konten'!$A$7:$A$26,C465)&lt;&gt;1,"Konto nicht eindeutig",IF(J465&lt;&gt;"Ja","Zuordnung bestätigen",IF(OR(AND(H465="Einnahme",F465&lt;0),AND(H465="Ausgabe",F465&gt;0)),"Vorzeichen prüfen",IF(AND(H465="Umbuchung",OR(K465="",COUNTIFS($A$7:$A$1506,K465)&lt;&gt;1)),"Gegenbuchung fehlt",IF(AND(H465="Umbuchung",ROUND(SUMIFS($F$7:$F$1506,$A$7:$A$1506,K465)+F465,2)&lt;&gt;0),"Umbuchung abweichend",IF(OR(G465="",M465="",M465="offen",M465="teilbelegt",H465="Ungeklärt",H465="Bargeld"),"Beleg / Verwendung klären","vollständig erfasst")))))))))</x:f>
      </x:c>
    </x:row>
    <x:row r="466" ht="22" customHeight="1">
      <x:c r="A466" s="7"/>
      <x:c r="B466" s="8"/>
      <x:c r="C466" s="7"/>
      <x:c r="D466" s="7"/>
      <x:c r="E466" s="7"/>
      <x:c r="F466" s="20"/>
      <x:c r="G466" s="7"/>
      <x:c r="H466" s="7"/>
      <x:c r="I466" s="7"/>
      <x:c r="J466" s="7"/>
      <x:c r="K466" s="7"/>
      <x:c r="L466" s="7"/>
      <x:c r="M466" s="7"/>
      <x:c r="N466" s="7"/>
      <x:c r="O466" s="2" t="str">
        <x:f>IF(A466="","",IF(COUNTIFS($A$7:$A$1506,A466)&gt;1,"Buchung-ID doppelt",IF(OR(NOT(ISNUMBER(B466)),C466="",NOT(ISNUMBER(F466)),H466="",L466=""),"Pflichtangaben fehlen",IF(COUNTIFS('Konten'!$A$7:$A$26,C466)&lt;&gt;1,"Konto nicht eindeutig",IF(J466&lt;&gt;"Ja","Zuordnung bestätigen",IF(OR(AND(H466="Einnahme",F466&lt;0),AND(H466="Ausgabe",F466&gt;0)),"Vorzeichen prüfen",IF(AND(H466="Umbuchung",OR(K466="",COUNTIFS($A$7:$A$1506,K466)&lt;&gt;1)),"Gegenbuchung fehlt",IF(AND(H466="Umbuchung",ROUND(SUMIFS($F$7:$F$1506,$A$7:$A$1506,K466)+F466,2)&lt;&gt;0),"Umbuchung abweichend",IF(OR(G466="",M466="",M466="offen",M466="teilbelegt",H466="Ungeklärt",H466="Bargeld"),"Beleg / Verwendung klären","vollständig erfasst")))))))))</x:f>
      </x:c>
    </x:row>
    <x:row r="467" ht="22" customHeight="1">
      <x:c r="A467" s="7"/>
      <x:c r="B467" s="8"/>
      <x:c r="C467" s="7"/>
      <x:c r="D467" s="7"/>
      <x:c r="E467" s="7"/>
      <x:c r="F467" s="20"/>
      <x:c r="G467" s="7"/>
      <x:c r="H467" s="7"/>
      <x:c r="I467" s="7"/>
      <x:c r="J467" s="7"/>
      <x:c r="K467" s="7"/>
      <x:c r="L467" s="7"/>
      <x:c r="M467" s="7"/>
      <x:c r="N467" s="7"/>
      <x:c r="O467" s="2" t="str">
        <x:f>IF(A467="","",IF(COUNTIFS($A$7:$A$1506,A467)&gt;1,"Buchung-ID doppelt",IF(OR(NOT(ISNUMBER(B467)),C467="",NOT(ISNUMBER(F467)),H467="",L467=""),"Pflichtangaben fehlen",IF(COUNTIFS('Konten'!$A$7:$A$26,C467)&lt;&gt;1,"Konto nicht eindeutig",IF(J467&lt;&gt;"Ja","Zuordnung bestätigen",IF(OR(AND(H467="Einnahme",F467&lt;0),AND(H467="Ausgabe",F467&gt;0)),"Vorzeichen prüfen",IF(AND(H467="Umbuchung",OR(K467="",COUNTIFS($A$7:$A$1506,K467)&lt;&gt;1)),"Gegenbuchung fehlt",IF(AND(H467="Umbuchung",ROUND(SUMIFS($F$7:$F$1506,$A$7:$A$1506,K467)+F467,2)&lt;&gt;0),"Umbuchung abweichend",IF(OR(G467="",M467="",M467="offen",M467="teilbelegt",H467="Ungeklärt",H467="Bargeld"),"Beleg / Verwendung klären","vollständig erfasst")))))))))</x:f>
      </x:c>
    </x:row>
    <x:row r="468" ht="22" customHeight="1">
      <x:c r="A468" s="7"/>
      <x:c r="B468" s="8"/>
      <x:c r="C468" s="7"/>
      <x:c r="D468" s="7"/>
      <x:c r="E468" s="7"/>
      <x:c r="F468" s="20"/>
      <x:c r="G468" s="7"/>
      <x:c r="H468" s="7"/>
      <x:c r="I468" s="7"/>
      <x:c r="J468" s="7"/>
      <x:c r="K468" s="7"/>
      <x:c r="L468" s="7"/>
      <x:c r="M468" s="7"/>
      <x:c r="N468" s="7"/>
      <x:c r="O468" s="2" t="str">
        <x:f>IF(A468="","",IF(COUNTIFS($A$7:$A$1506,A468)&gt;1,"Buchung-ID doppelt",IF(OR(NOT(ISNUMBER(B468)),C468="",NOT(ISNUMBER(F468)),H468="",L468=""),"Pflichtangaben fehlen",IF(COUNTIFS('Konten'!$A$7:$A$26,C468)&lt;&gt;1,"Konto nicht eindeutig",IF(J468&lt;&gt;"Ja","Zuordnung bestätigen",IF(OR(AND(H468="Einnahme",F468&lt;0),AND(H468="Ausgabe",F468&gt;0)),"Vorzeichen prüfen",IF(AND(H468="Umbuchung",OR(K468="",COUNTIFS($A$7:$A$1506,K468)&lt;&gt;1)),"Gegenbuchung fehlt",IF(AND(H468="Umbuchung",ROUND(SUMIFS($F$7:$F$1506,$A$7:$A$1506,K468)+F468,2)&lt;&gt;0),"Umbuchung abweichend",IF(OR(G468="",M468="",M468="offen",M468="teilbelegt",H468="Ungeklärt",H468="Bargeld"),"Beleg / Verwendung klären","vollständig erfasst")))))))))</x:f>
      </x:c>
    </x:row>
    <x:row r="469" ht="22" customHeight="1">
      <x:c r="A469" s="7"/>
      <x:c r="B469" s="8"/>
      <x:c r="C469" s="7"/>
      <x:c r="D469" s="7"/>
      <x:c r="E469" s="7"/>
      <x:c r="F469" s="20"/>
      <x:c r="G469" s="7"/>
      <x:c r="H469" s="7"/>
      <x:c r="I469" s="7"/>
      <x:c r="J469" s="7"/>
      <x:c r="K469" s="7"/>
      <x:c r="L469" s="7"/>
      <x:c r="M469" s="7"/>
      <x:c r="N469" s="7"/>
      <x:c r="O469" s="2" t="str">
        <x:f>IF(A469="","",IF(COUNTIFS($A$7:$A$1506,A469)&gt;1,"Buchung-ID doppelt",IF(OR(NOT(ISNUMBER(B469)),C469="",NOT(ISNUMBER(F469)),H469="",L469=""),"Pflichtangaben fehlen",IF(COUNTIFS('Konten'!$A$7:$A$26,C469)&lt;&gt;1,"Konto nicht eindeutig",IF(J469&lt;&gt;"Ja","Zuordnung bestätigen",IF(OR(AND(H469="Einnahme",F469&lt;0),AND(H469="Ausgabe",F469&gt;0)),"Vorzeichen prüfen",IF(AND(H469="Umbuchung",OR(K469="",COUNTIFS($A$7:$A$1506,K469)&lt;&gt;1)),"Gegenbuchung fehlt",IF(AND(H469="Umbuchung",ROUND(SUMIFS($F$7:$F$1506,$A$7:$A$1506,K469)+F469,2)&lt;&gt;0),"Umbuchung abweichend",IF(OR(G469="",M469="",M469="offen",M469="teilbelegt",H469="Ungeklärt",H469="Bargeld"),"Beleg / Verwendung klären","vollständig erfasst")))))))))</x:f>
      </x:c>
    </x:row>
    <x:row r="470" ht="22" customHeight="1">
      <x:c r="A470" s="7"/>
      <x:c r="B470" s="8"/>
      <x:c r="C470" s="7"/>
      <x:c r="D470" s="7"/>
      <x:c r="E470" s="7"/>
      <x:c r="F470" s="20"/>
      <x:c r="G470" s="7"/>
      <x:c r="H470" s="7"/>
      <x:c r="I470" s="7"/>
      <x:c r="J470" s="7"/>
      <x:c r="K470" s="7"/>
      <x:c r="L470" s="7"/>
      <x:c r="M470" s="7"/>
      <x:c r="N470" s="7"/>
      <x:c r="O470" s="2" t="str">
        <x:f>IF(A470="","",IF(COUNTIFS($A$7:$A$1506,A470)&gt;1,"Buchung-ID doppelt",IF(OR(NOT(ISNUMBER(B470)),C470="",NOT(ISNUMBER(F470)),H470="",L470=""),"Pflichtangaben fehlen",IF(COUNTIFS('Konten'!$A$7:$A$26,C470)&lt;&gt;1,"Konto nicht eindeutig",IF(J470&lt;&gt;"Ja","Zuordnung bestätigen",IF(OR(AND(H470="Einnahme",F470&lt;0),AND(H470="Ausgabe",F470&gt;0)),"Vorzeichen prüfen",IF(AND(H470="Umbuchung",OR(K470="",COUNTIFS($A$7:$A$1506,K470)&lt;&gt;1)),"Gegenbuchung fehlt",IF(AND(H470="Umbuchung",ROUND(SUMIFS($F$7:$F$1506,$A$7:$A$1506,K470)+F470,2)&lt;&gt;0),"Umbuchung abweichend",IF(OR(G470="",M470="",M470="offen",M470="teilbelegt",H470="Ungeklärt",H470="Bargeld"),"Beleg / Verwendung klären","vollständig erfasst")))))))))</x:f>
      </x:c>
    </x:row>
    <x:row r="471" ht="22" customHeight="1">
      <x:c r="A471" s="7"/>
      <x:c r="B471" s="8"/>
      <x:c r="C471" s="7"/>
      <x:c r="D471" s="7"/>
      <x:c r="E471" s="7"/>
      <x:c r="F471" s="20"/>
      <x:c r="G471" s="7"/>
      <x:c r="H471" s="7"/>
      <x:c r="I471" s="7"/>
      <x:c r="J471" s="7"/>
      <x:c r="K471" s="7"/>
      <x:c r="L471" s="7"/>
      <x:c r="M471" s="7"/>
      <x:c r="N471" s="7"/>
      <x:c r="O471" s="2" t="str">
        <x:f>IF(A471="","",IF(COUNTIFS($A$7:$A$1506,A471)&gt;1,"Buchung-ID doppelt",IF(OR(NOT(ISNUMBER(B471)),C471="",NOT(ISNUMBER(F471)),H471="",L471=""),"Pflichtangaben fehlen",IF(COUNTIFS('Konten'!$A$7:$A$26,C471)&lt;&gt;1,"Konto nicht eindeutig",IF(J471&lt;&gt;"Ja","Zuordnung bestätigen",IF(OR(AND(H471="Einnahme",F471&lt;0),AND(H471="Ausgabe",F471&gt;0)),"Vorzeichen prüfen",IF(AND(H471="Umbuchung",OR(K471="",COUNTIFS($A$7:$A$1506,K471)&lt;&gt;1)),"Gegenbuchung fehlt",IF(AND(H471="Umbuchung",ROUND(SUMIFS($F$7:$F$1506,$A$7:$A$1506,K471)+F471,2)&lt;&gt;0),"Umbuchung abweichend",IF(OR(G471="",M471="",M471="offen",M471="teilbelegt",H471="Ungeklärt",H471="Bargeld"),"Beleg / Verwendung klären","vollständig erfasst")))))))))</x:f>
      </x:c>
    </x:row>
    <x:row r="472" ht="22" customHeight="1">
      <x:c r="A472" s="7"/>
      <x:c r="B472" s="8"/>
      <x:c r="C472" s="7"/>
      <x:c r="D472" s="7"/>
      <x:c r="E472" s="7"/>
      <x:c r="F472" s="20"/>
      <x:c r="G472" s="7"/>
      <x:c r="H472" s="7"/>
      <x:c r="I472" s="7"/>
      <x:c r="J472" s="7"/>
      <x:c r="K472" s="7"/>
      <x:c r="L472" s="7"/>
      <x:c r="M472" s="7"/>
      <x:c r="N472" s="7"/>
      <x:c r="O472" s="2" t="str">
        <x:f>IF(A472="","",IF(COUNTIFS($A$7:$A$1506,A472)&gt;1,"Buchung-ID doppelt",IF(OR(NOT(ISNUMBER(B472)),C472="",NOT(ISNUMBER(F472)),H472="",L472=""),"Pflichtangaben fehlen",IF(COUNTIFS('Konten'!$A$7:$A$26,C472)&lt;&gt;1,"Konto nicht eindeutig",IF(J472&lt;&gt;"Ja","Zuordnung bestätigen",IF(OR(AND(H472="Einnahme",F472&lt;0),AND(H472="Ausgabe",F472&gt;0)),"Vorzeichen prüfen",IF(AND(H472="Umbuchung",OR(K472="",COUNTIFS($A$7:$A$1506,K472)&lt;&gt;1)),"Gegenbuchung fehlt",IF(AND(H472="Umbuchung",ROUND(SUMIFS($F$7:$F$1506,$A$7:$A$1506,K472)+F472,2)&lt;&gt;0),"Umbuchung abweichend",IF(OR(G472="",M472="",M472="offen",M472="teilbelegt",H472="Ungeklärt",H472="Bargeld"),"Beleg / Verwendung klären","vollständig erfasst")))))))))</x:f>
      </x:c>
    </x:row>
    <x:row r="473" ht="22" customHeight="1">
      <x:c r="A473" s="7"/>
      <x:c r="B473" s="8"/>
      <x:c r="C473" s="7"/>
      <x:c r="D473" s="7"/>
      <x:c r="E473" s="7"/>
      <x:c r="F473" s="20"/>
      <x:c r="G473" s="7"/>
      <x:c r="H473" s="7"/>
      <x:c r="I473" s="7"/>
      <x:c r="J473" s="7"/>
      <x:c r="K473" s="7"/>
      <x:c r="L473" s="7"/>
      <x:c r="M473" s="7"/>
      <x:c r="N473" s="7"/>
      <x:c r="O473" s="2" t="str">
        <x:f>IF(A473="","",IF(COUNTIFS($A$7:$A$1506,A473)&gt;1,"Buchung-ID doppelt",IF(OR(NOT(ISNUMBER(B473)),C473="",NOT(ISNUMBER(F473)),H473="",L473=""),"Pflichtangaben fehlen",IF(COUNTIFS('Konten'!$A$7:$A$26,C473)&lt;&gt;1,"Konto nicht eindeutig",IF(J473&lt;&gt;"Ja","Zuordnung bestätigen",IF(OR(AND(H473="Einnahme",F473&lt;0),AND(H473="Ausgabe",F473&gt;0)),"Vorzeichen prüfen",IF(AND(H473="Umbuchung",OR(K473="",COUNTIFS($A$7:$A$1506,K473)&lt;&gt;1)),"Gegenbuchung fehlt",IF(AND(H473="Umbuchung",ROUND(SUMIFS($F$7:$F$1506,$A$7:$A$1506,K473)+F473,2)&lt;&gt;0),"Umbuchung abweichend",IF(OR(G473="",M473="",M473="offen",M473="teilbelegt",H473="Ungeklärt",H473="Bargeld"),"Beleg / Verwendung klären","vollständig erfasst")))))))))</x:f>
      </x:c>
    </x:row>
    <x:row r="474" ht="22" customHeight="1">
      <x:c r="A474" s="7"/>
      <x:c r="B474" s="8"/>
      <x:c r="C474" s="7"/>
      <x:c r="D474" s="7"/>
      <x:c r="E474" s="7"/>
      <x:c r="F474" s="20"/>
      <x:c r="G474" s="7"/>
      <x:c r="H474" s="7"/>
      <x:c r="I474" s="7"/>
      <x:c r="J474" s="7"/>
      <x:c r="K474" s="7"/>
      <x:c r="L474" s="7"/>
      <x:c r="M474" s="7"/>
      <x:c r="N474" s="7"/>
      <x:c r="O474" s="2" t="str">
        <x:f>IF(A474="","",IF(COUNTIFS($A$7:$A$1506,A474)&gt;1,"Buchung-ID doppelt",IF(OR(NOT(ISNUMBER(B474)),C474="",NOT(ISNUMBER(F474)),H474="",L474=""),"Pflichtangaben fehlen",IF(COUNTIFS('Konten'!$A$7:$A$26,C474)&lt;&gt;1,"Konto nicht eindeutig",IF(J474&lt;&gt;"Ja","Zuordnung bestätigen",IF(OR(AND(H474="Einnahme",F474&lt;0),AND(H474="Ausgabe",F474&gt;0)),"Vorzeichen prüfen",IF(AND(H474="Umbuchung",OR(K474="",COUNTIFS($A$7:$A$1506,K474)&lt;&gt;1)),"Gegenbuchung fehlt",IF(AND(H474="Umbuchung",ROUND(SUMIFS($F$7:$F$1506,$A$7:$A$1506,K474)+F474,2)&lt;&gt;0),"Umbuchung abweichend",IF(OR(G474="",M474="",M474="offen",M474="teilbelegt",H474="Ungeklärt",H474="Bargeld"),"Beleg / Verwendung klären","vollständig erfasst")))))))))</x:f>
      </x:c>
    </x:row>
    <x:row r="475" ht="22" customHeight="1">
      <x:c r="A475" s="7"/>
      <x:c r="B475" s="8"/>
      <x:c r="C475" s="7"/>
      <x:c r="D475" s="7"/>
      <x:c r="E475" s="7"/>
      <x:c r="F475" s="20"/>
      <x:c r="G475" s="7"/>
      <x:c r="H475" s="7"/>
      <x:c r="I475" s="7"/>
      <x:c r="J475" s="7"/>
      <x:c r="K475" s="7"/>
      <x:c r="L475" s="7"/>
      <x:c r="M475" s="7"/>
      <x:c r="N475" s="7"/>
      <x:c r="O475" s="2" t="str">
        <x:f>IF(A475="","",IF(COUNTIFS($A$7:$A$1506,A475)&gt;1,"Buchung-ID doppelt",IF(OR(NOT(ISNUMBER(B475)),C475="",NOT(ISNUMBER(F475)),H475="",L475=""),"Pflichtangaben fehlen",IF(COUNTIFS('Konten'!$A$7:$A$26,C475)&lt;&gt;1,"Konto nicht eindeutig",IF(J475&lt;&gt;"Ja","Zuordnung bestätigen",IF(OR(AND(H475="Einnahme",F475&lt;0),AND(H475="Ausgabe",F475&gt;0)),"Vorzeichen prüfen",IF(AND(H475="Umbuchung",OR(K475="",COUNTIFS($A$7:$A$1506,K475)&lt;&gt;1)),"Gegenbuchung fehlt",IF(AND(H475="Umbuchung",ROUND(SUMIFS($F$7:$F$1506,$A$7:$A$1506,K475)+F475,2)&lt;&gt;0),"Umbuchung abweichend",IF(OR(G475="",M475="",M475="offen",M475="teilbelegt",H475="Ungeklärt",H475="Bargeld"),"Beleg / Verwendung klären","vollständig erfasst")))))))))</x:f>
      </x:c>
    </x:row>
    <x:row r="476" ht="22" customHeight="1">
      <x:c r="A476" s="7"/>
      <x:c r="B476" s="8"/>
      <x:c r="C476" s="7"/>
      <x:c r="D476" s="7"/>
      <x:c r="E476" s="7"/>
      <x:c r="F476" s="20"/>
      <x:c r="G476" s="7"/>
      <x:c r="H476" s="7"/>
      <x:c r="I476" s="7"/>
      <x:c r="J476" s="7"/>
      <x:c r="K476" s="7"/>
      <x:c r="L476" s="7"/>
      <x:c r="M476" s="7"/>
      <x:c r="N476" s="7"/>
      <x:c r="O476" s="2" t="str">
        <x:f>IF(A476="","",IF(COUNTIFS($A$7:$A$1506,A476)&gt;1,"Buchung-ID doppelt",IF(OR(NOT(ISNUMBER(B476)),C476="",NOT(ISNUMBER(F476)),H476="",L476=""),"Pflichtangaben fehlen",IF(COUNTIFS('Konten'!$A$7:$A$26,C476)&lt;&gt;1,"Konto nicht eindeutig",IF(J476&lt;&gt;"Ja","Zuordnung bestätigen",IF(OR(AND(H476="Einnahme",F476&lt;0),AND(H476="Ausgabe",F476&gt;0)),"Vorzeichen prüfen",IF(AND(H476="Umbuchung",OR(K476="",COUNTIFS($A$7:$A$1506,K476)&lt;&gt;1)),"Gegenbuchung fehlt",IF(AND(H476="Umbuchung",ROUND(SUMIFS($F$7:$F$1506,$A$7:$A$1506,K476)+F476,2)&lt;&gt;0),"Umbuchung abweichend",IF(OR(G476="",M476="",M476="offen",M476="teilbelegt",H476="Ungeklärt",H476="Bargeld"),"Beleg / Verwendung klären","vollständig erfasst")))))))))</x:f>
      </x:c>
    </x:row>
    <x:row r="477" ht="22" customHeight="1">
      <x:c r="A477" s="7"/>
      <x:c r="B477" s="8"/>
      <x:c r="C477" s="7"/>
      <x:c r="D477" s="7"/>
      <x:c r="E477" s="7"/>
      <x:c r="F477" s="20"/>
      <x:c r="G477" s="7"/>
      <x:c r="H477" s="7"/>
      <x:c r="I477" s="7"/>
      <x:c r="J477" s="7"/>
      <x:c r="K477" s="7"/>
      <x:c r="L477" s="7"/>
      <x:c r="M477" s="7"/>
      <x:c r="N477" s="7"/>
      <x:c r="O477" s="2" t="str">
        <x:f>IF(A477="","",IF(COUNTIFS($A$7:$A$1506,A477)&gt;1,"Buchung-ID doppelt",IF(OR(NOT(ISNUMBER(B477)),C477="",NOT(ISNUMBER(F477)),H477="",L477=""),"Pflichtangaben fehlen",IF(COUNTIFS('Konten'!$A$7:$A$26,C477)&lt;&gt;1,"Konto nicht eindeutig",IF(J477&lt;&gt;"Ja","Zuordnung bestätigen",IF(OR(AND(H477="Einnahme",F477&lt;0),AND(H477="Ausgabe",F477&gt;0)),"Vorzeichen prüfen",IF(AND(H477="Umbuchung",OR(K477="",COUNTIFS($A$7:$A$1506,K477)&lt;&gt;1)),"Gegenbuchung fehlt",IF(AND(H477="Umbuchung",ROUND(SUMIFS($F$7:$F$1506,$A$7:$A$1506,K477)+F477,2)&lt;&gt;0),"Umbuchung abweichend",IF(OR(G477="",M477="",M477="offen",M477="teilbelegt",H477="Ungeklärt",H477="Bargeld"),"Beleg / Verwendung klären","vollständig erfasst")))))))))</x:f>
      </x:c>
    </x:row>
    <x:row r="478" ht="22" customHeight="1">
      <x:c r="A478" s="7"/>
      <x:c r="B478" s="8"/>
      <x:c r="C478" s="7"/>
      <x:c r="D478" s="7"/>
      <x:c r="E478" s="7"/>
      <x:c r="F478" s="20"/>
      <x:c r="G478" s="7"/>
      <x:c r="H478" s="7"/>
      <x:c r="I478" s="7"/>
      <x:c r="J478" s="7"/>
      <x:c r="K478" s="7"/>
      <x:c r="L478" s="7"/>
      <x:c r="M478" s="7"/>
      <x:c r="N478" s="7"/>
      <x:c r="O478" s="2" t="str">
        <x:f>IF(A478="","",IF(COUNTIFS($A$7:$A$1506,A478)&gt;1,"Buchung-ID doppelt",IF(OR(NOT(ISNUMBER(B478)),C478="",NOT(ISNUMBER(F478)),H478="",L478=""),"Pflichtangaben fehlen",IF(COUNTIFS('Konten'!$A$7:$A$26,C478)&lt;&gt;1,"Konto nicht eindeutig",IF(J478&lt;&gt;"Ja","Zuordnung bestätigen",IF(OR(AND(H478="Einnahme",F478&lt;0),AND(H478="Ausgabe",F478&gt;0)),"Vorzeichen prüfen",IF(AND(H478="Umbuchung",OR(K478="",COUNTIFS($A$7:$A$1506,K478)&lt;&gt;1)),"Gegenbuchung fehlt",IF(AND(H478="Umbuchung",ROUND(SUMIFS($F$7:$F$1506,$A$7:$A$1506,K478)+F478,2)&lt;&gt;0),"Umbuchung abweichend",IF(OR(G478="",M478="",M478="offen",M478="teilbelegt",H478="Ungeklärt",H478="Bargeld"),"Beleg / Verwendung klären","vollständig erfasst")))))))))</x:f>
      </x:c>
    </x:row>
    <x:row r="479" ht="22" customHeight="1">
      <x:c r="A479" s="7"/>
      <x:c r="B479" s="8"/>
      <x:c r="C479" s="7"/>
      <x:c r="D479" s="7"/>
      <x:c r="E479" s="7"/>
      <x:c r="F479" s="20"/>
      <x:c r="G479" s="7"/>
      <x:c r="H479" s="7"/>
      <x:c r="I479" s="7"/>
      <x:c r="J479" s="7"/>
      <x:c r="K479" s="7"/>
      <x:c r="L479" s="7"/>
      <x:c r="M479" s="7"/>
      <x:c r="N479" s="7"/>
      <x:c r="O479" s="2" t="str">
        <x:f>IF(A479="","",IF(COUNTIFS($A$7:$A$1506,A479)&gt;1,"Buchung-ID doppelt",IF(OR(NOT(ISNUMBER(B479)),C479="",NOT(ISNUMBER(F479)),H479="",L479=""),"Pflichtangaben fehlen",IF(COUNTIFS('Konten'!$A$7:$A$26,C479)&lt;&gt;1,"Konto nicht eindeutig",IF(J479&lt;&gt;"Ja","Zuordnung bestätigen",IF(OR(AND(H479="Einnahme",F479&lt;0),AND(H479="Ausgabe",F479&gt;0)),"Vorzeichen prüfen",IF(AND(H479="Umbuchung",OR(K479="",COUNTIFS($A$7:$A$1506,K479)&lt;&gt;1)),"Gegenbuchung fehlt",IF(AND(H479="Umbuchung",ROUND(SUMIFS($F$7:$F$1506,$A$7:$A$1506,K479)+F479,2)&lt;&gt;0),"Umbuchung abweichend",IF(OR(G479="",M479="",M479="offen",M479="teilbelegt",H479="Ungeklärt",H479="Bargeld"),"Beleg / Verwendung klären","vollständig erfasst")))))))))</x:f>
      </x:c>
    </x:row>
    <x:row r="480" ht="22" customHeight="1">
      <x:c r="A480" s="7"/>
      <x:c r="B480" s="8"/>
      <x:c r="C480" s="7"/>
      <x:c r="D480" s="7"/>
      <x:c r="E480" s="7"/>
      <x:c r="F480" s="20"/>
      <x:c r="G480" s="7"/>
      <x:c r="H480" s="7"/>
      <x:c r="I480" s="7"/>
      <x:c r="J480" s="7"/>
      <x:c r="K480" s="7"/>
      <x:c r="L480" s="7"/>
      <x:c r="M480" s="7"/>
      <x:c r="N480" s="7"/>
      <x:c r="O480" s="2" t="str">
        <x:f>IF(A480="","",IF(COUNTIFS($A$7:$A$1506,A480)&gt;1,"Buchung-ID doppelt",IF(OR(NOT(ISNUMBER(B480)),C480="",NOT(ISNUMBER(F480)),H480="",L480=""),"Pflichtangaben fehlen",IF(COUNTIFS('Konten'!$A$7:$A$26,C480)&lt;&gt;1,"Konto nicht eindeutig",IF(J480&lt;&gt;"Ja","Zuordnung bestätigen",IF(OR(AND(H480="Einnahme",F480&lt;0),AND(H480="Ausgabe",F480&gt;0)),"Vorzeichen prüfen",IF(AND(H480="Umbuchung",OR(K480="",COUNTIFS($A$7:$A$1506,K480)&lt;&gt;1)),"Gegenbuchung fehlt",IF(AND(H480="Umbuchung",ROUND(SUMIFS($F$7:$F$1506,$A$7:$A$1506,K480)+F480,2)&lt;&gt;0),"Umbuchung abweichend",IF(OR(G480="",M480="",M480="offen",M480="teilbelegt",H480="Ungeklärt",H480="Bargeld"),"Beleg / Verwendung klären","vollständig erfasst")))))))))</x:f>
      </x:c>
    </x:row>
    <x:row r="481" ht="22" customHeight="1">
      <x:c r="A481" s="7"/>
      <x:c r="B481" s="8"/>
      <x:c r="C481" s="7"/>
      <x:c r="D481" s="7"/>
      <x:c r="E481" s="7"/>
      <x:c r="F481" s="20"/>
      <x:c r="G481" s="7"/>
      <x:c r="H481" s="7"/>
      <x:c r="I481" s="7"/>
      <x:c r="J481" s="7"/>
      <x:c r="K481" s="7"/>
      <x:c r="L481" s="7"/>
      <x:c r="M481" s="7"/>
      <x:c r="N481" s="7"/>
      <x:c r="O481" s="2" t="str">
        <x:f>IF(A481="","",IF(COUNTIFS($A$7:$A$1506,A481)&gt;1,"Buchung-ID doppelt",IF(OR(NOT(ISNUMBER(B481)),C481="",NOT(ISNUMBER(F481)),H481="",L481=""),"Pflichtangaben fehlen",IF(COUNTIFS('Konten'!$A$7:$A$26,C481)&lt;&gt;1,"Konto nicht eindeutig",IF(J481&lt;&gt;"Ja","Zuordnung bestätigen",IF(OR(AND(H481="Einnahme",F481&lt;0),AND(H481="Ausgabe",F481&gt;0)),"Vorzeichen prüfen",IF(AND(H481="Umbuchung",OR(K481="",COUNTIFS($A$7:$A$1506,K481)&lt;&gt;1)),"Gegenbuchung fehlt",IF(AND(H481="Umbuchung",ROUND(SUMIFS($F$7:$F$1506,$A$7:$A$1506,K481)+F481,2)&lt;&gt;0),"Umbuchung abweichend",IF(OR(G481="",M481="",M481="offen",M481="teilbelegt",H481="Ungeklärt",H481="Bargeld"),"Beleg / Verwendung klären","vollständig erfasst")))))))))</x:f>
      </x:c>
    </x:row>
    <x:row r="482" ht="22" customHeight="1">
      <x:c r="A482" s="7"/>
      <x:c r="B482" s="8"/>
      <x:c r="C482" s="7"/>
      <x:c r="D482" s="7"/>
      <x:c r="E482" s="7"/>
      <x:c r="F482" s="20"/>
      <x:c r="G482" s="7"/>
      <x:c r="H482" s="7"/>
      <x:c r="I482" s="7"/>
      <x:c r="J482" s="7"/>
      <x:c r="K482" s="7"/>
      <x:c r="L482" s="7"/>
      <x:c r="M482" s="7"/>
      <x:c r="N482" s="7"/>
      <x:c r="O482" s="2" t="str">
        <x:f>IF(A482="","",IF(COUNTIFS($A$7:$A$1506,A482)&gt;1,"Buchung-ID doppelt",IF(OR(NOT(ISNUMBER(B482)),C482="",NOT(ISNUMBER(F482)),H482="",L482=""),"Pflichtangaben fehlen",IF(COUNTIFS('Konten'!$A$7:$A$26,C482)&lt;&gt;1,"Konto nicht eindeutig",IF(J482&lt;&gt;"Ja","Zuordnung bestätigen",IF(OR(AND(H482="Einnahme",F482&lt;0),AND(H482="Ausgabe",F482&gt;0)),"Vorzeichen prüfen",IF(AND(H482="Umbuchung",OR(K482="",COUNTIFS($A$7:$A$1506,K482)&lt;&gt;1)),"Gegenbuchung fehlt",IF(AND(H482="Umbuchung",ROUND(SUMIFS($F$7:$F$1506,$A$7:$A$1506,K482)+F482,2)&lt;&gt;0),"Umbuchung abweichend",IF(OR(G482="",M482="",M482="offen",M482="teilbelegt",H482="Ungeklärt",H482="Bargeld"),"Beleg / Verwendung klären","vollständig erfasst")))))))))</x:f>
      </x:c>
    </x:row>
    <x:row r="483" ht="22" customHeight="1">
      <x:c r="A483" s="7"/>
      <x:c r="B483" s="8"/>
      <x:c r="C483" s="7"/>
      <x:c r="D483" s="7"/>
      <x:c r="E483" s="7"/>
      <x:c r="F483" s="20"/>
      <x:c r="G483" s="7"/>
      <x:c r="H483" s="7"/>
      <x:c r="I483" s="7"/>
      <x:c r="J483" s="7"/>
      <x:c r="K483" s="7"/>
      <x:c r="L483" s="7"/>
      <x:c r="M483" s="7"/>
      <x:c r="N483" s="7"/>
      <x:c r="O483" s="2" t="str">
        <x:f>IF(A483="","",IF(COUNTIFS($A$7:$A$1506,A483)&gt;1,"Buchung-ID doppelt",IF(OR(NOT(ISNUMBER(B483)),C483="",NOT(ISNUMBER(F483)),H483="",L483=""),"Pflichtangaben fehlen",IF(COUNTIFS('Konten'!$A$7:$A$26,C483)&lt;&gt;1,"Konto nicht eindeutig",IF(J483&lt;&gt;"Ja","Zuordnung bestätigen",IF(OR(AND(H483="Einnahme",F483&lt;0),AND(H483="Ausgabe",F483&gt;0)),"Vorzeichen prüfen",IF(AND(H483="Umbuchung",OR(K483="",COUNTIFS($A$7:$A$1506,K483)&lt;&gt;1)),"Gegenbuchung fehlt",IF(AND(H483="Umbuchung",ROUND(SUMIFS($F$7:$F$1506,$A$7:$A$1506,K483)+F483,2)&lt;&gt;0),"Umbuchung abweichend",IF(OR(G483="",M483="",M483="offen",M483="teilbelegt",H483="Ungeklärt",H483="Bargeld"),"Beleg / Verwendung klären","vollständig erfasst")))))))))</x:f>
      </x:c>
    </x:row>
    <x:row r="484" ht="22" customHeight="1">
      <x:c r="A484" s="7"/>
      <x:c r="B484" s="8"/>
      <x:c r="C484" s="7"/>
      <x:c r="D484" s="7"/>
      <x:c r="E484" s="7"/>
      <x:c r="F484" s="20"/>
      <x:c r="G484" s="7"/>
      <x:c r="H484" s="7"/>
      <x:c r="I484" s="7"/>
      <x:c r="J484" s="7"/>
      <x:c r="K484" s="7"/>
      <x:c r="L484" s="7"/>
      <x:c r="M484" s="7"/>
      <x:c r="N484" s="7"/>
      <x:c r="O484" s="2" t="str">
        <x:f>IF(A484="","",IF(COUNTIFS($A$7:$A$1506,A484)&gt;1,"Buchung-ID doppelt",IF(OR(NOT(ISNUMBER(B484)),C484="",NOT(ISNUMBER(F484)),H484="",L484=""),"Pflichtangaben fehlen",IF(COUNTIFS('Konten'!$A$7:$A$26,C484)&lt;&gt;1,"Konto nicht eindeutig",IF(J484&lt;&gt;"Ja","Zuordnung bestätigen",IF(OR(AND(H484="Einnahme",F484&lt;0),AND(H484="Ausgabe",F484&gt;0)),"Vorzeichen prüfen",IF(AND(H484="Umbuchung",OR(K484="",COUNTIFS($A$7:$A$1506,K484)&lt;&gt;1)),"Gegenbuchung fehlt",IF(AND(H484="Umbuchung",ROUND(SUMIFS($F$7:$F$1506,$A$7:$A$1506,K484)+F484,2)&lt;&gt;0),"Umbuchung abweichend",IF(OR(G484="",M484="",M484="offen",M484="teilbelegt",H484="Ungeklärt",H484="Bargeld"),"Beleg / Verwendung klären","vollständig erfasst")))))))))</x:f>
      </x:c>
    </x:row>
    <x:row r="485" ht="22" customHeight="1">
      <x:c r="A485" s="7"/>
      <x:c r="B485" s="8"/>
      <x:c r="C485" s="7"/>
      <x:c r="D485" s="7"/>
      <x:c r="E485" s="7"/>
      <x:c r="F485" s="20"/>
      <x:c r="G485" s="7"/>
      <x:c r="H485" s="7"/>
      <x:c r="I485" s="7"/>
      <x:c r="J485" s="7"/>
      <x:c r="K485" s="7"/>
      <x:c r="L485" s="7"/>
      <x:c r="M485" s="7"/>
      <x:c r="N485" s="7"/>
      <x:c r="O485" s="2" t="str">
        <x:f>IF(A485="","",IF(COUNTIFS($A$7:$A$1506,A485)&gt;1,"Buchung-ID doppelt",IF(OR(NOT(ISNUMBER(B485)),C485="",NOT(ISNUMBER(F485)),H485="",L485=""),"Pflichtangaben fehlen",IF(COUNTIFS('Konten'!$A$7:$A$26,C485)&lt;&gt;1,"Konto nicht eindeutig",IF(J485&lt;&gt;"Ja","Zuordnung bestätigen",IF(OR(AND(H485="Einnahme",F485&lt;0),AND(H485="Ausgabe",F485&gt;0)),"Vorzeichen prüfen",IF(AND(H485="Umbuchung",OR(K485="",COUNTIFS($A$7:$A$1506,K485)&lt;&gt;1)),"Gegenbuchung fehlt",IF(AND(H485="Umbuchung",ROUND(SUMIFS($F$7:$F$1506,$A$7:$A$1506,K485)+F485,2)&lt;&gt;0),"Umbuchung abweichend",IF(OR(G485="",M485="",M485="offen",M485="teilbelegt",H485="Ungeklärt",H485="Bargeld"),"Beleg / Verwendung klären","vollständig erfasst")))))))))</x:f>
      </x:c>
    </x:row>
    <x:row r="486" ht="22" customHeight="1">
      <x:c r="A486" s="7"/>
      <x:c r="B486" s="8"/>
      <x:c r="C486" s="7"/>
      <x:c r="D486" s="7"/>
      <x:c r="E486" s="7"/>
      <x:c r="F486" s="20"/>
      <x:c r="G486" s="7"/>
      <x:c r="H486" s="7"/>
      <x:c r="I486" s="7"/>
      <x:c r="J486" s="7"/>
      <x:c r="K486" s="7"/>
      <x:c r="L486" s="7"/>
      <x:c r="M486" s="7"/>
      <x:c r="N486" s="7"/>
      <x:c r="O486" s="2" t="str">
        <x:f>IF(A486="","",IF(COUNTIFS($A$7:$A$1506,A486)&gt;1,"Buchung-ID doppelt",IF(OR(NOT(ISNUMBER(B486)),C486="",NOT(ISNUMBER(F486)),H486="",L486=""),"Pflichtangaben fehlen",IF(COUNTIFS('Konten'!$A$7:$A$26,C486)&lt;&gt;1,"Konto nicht eindeutig",IF(J486&lt;&gt;"Ja","Zuordnung bestätigen",IF(OR(AND(H486="Einnahme",F486&lt;0),AND(H486="Ausgabe",F486&gt;0)),"Vorzeichen prüfen",IF(AND(H486="Umbuchung",OR(K486="",COUNTIFS($A$7:$A$1506,K486)&lt;&gt;1)),"Gegenbuchung fehlt",IF(AND(H486="Umbuchung",ROUND(SUMIFS($F$7:$F$1506,$A$7:$A$1506,K486)+F486,2)&lt;&gt;0),"Umbuchung abweichend",IF(OR(G486="",M486="",M486="offen",M486="teilbelegt",H486="Ungeklärt",H486="Bargeld"),"Beleg / Verwendung klären","vollständig erfasst")))))))))</x:f>
      </x:c>
    </x:row>
    <x:row r="487" ht="22" customHeight="1">
      <x:c r="A487" s="7"/>
      <x:c r="B487" s="8"/>
      <x:c r="C487" s="7"/>
      <x:c r="D487" s="7"/>
      <x:c r="E487" s="7"/>
      <x:c r="F487" s="20"/>
      <x:c r="G487" s="7"/>
      <x:c r="H487" s="7"/>
      <x:c r="I487" s="7"/>
      <x:c r="J487" s="7"/>
      <x:c r="K487" s="7"/>
      <x:c r="L487" s="7"/>
      <x:c r="M487" s="7"/>
      <x:c r="N487" s="7"/>
      <x:c r="O487" s="2" t="str">
        <x:f>IF(A487="","",IF(COUNTIFS($A$7:$A$1506,A487)&gt;1,"Buchung-ID doppelt",IF(OR(NOT(ISNUMBER(B487)),C487="",NOT(ISNUMBER(F487)),H487="",L487=""),"Pflichtangaben fehlen",IF(COUNTIFS('Konten'!$A$7:$A$26,C487)&lt;&gt;1,"Konto nicht eindeutig",IF(J487&lt;&gt;"Ja","Zuordnung bestätigen",IF(OR(AND(H487="Einnahme",F487&lt;0),AND(H487="Ausgabe",F487&gt;0)),"Vorzeichen prüfen",IF(AND(H487="Umbuchung",OR(K487="",COUNTIFS($A$7:$A$1506,K487)&lt;&gt;1)),"Gegenbuchung fehlt",IF(AND(H487="Umbuchung",ROUND(SUMIFS($F$7:$F$1506,$A$7:$A$1506,K487)+F487,2)&lt;&gt;0),"Umbuchung abweichend",IF(OR(G487="",M487="",M487="offen",M487="teilbelegt",H487="Ungeklärt",H487="Bargeld"),"Beleg / Verwendung klären","vollständig erfasst")))))))))</x:f>
      </x:c>
    </x:row>
    <x:row r="488" ht="22" customHeight="1">
      <x:c r="A488" s="7"/>
      <x:c r="B488" s="8"/>
      <x:c r="C488" s="7"/>
      <x:c r="D488" s="7"/>
      <x:c r="E488" s="7"/>
      <x:c r="F488" s="20"/>
      <x:c r="G488" s="7"/>
      <x:c r="H488" s="7"/>
      <x:c r="I488" s="7"/>
      <x:c r="J488" s="7"/>
      <x:c r="K488" s="7"/>
      <x:c r="L488" s="7"/>
      <x:c r="M488" s="7"/>
      <x:c r="N488" s="7"/>
      <x:c r="O488" s="2" t="str">
        <x:f>IF(A488="","",IF(COUNTIFS($A$7:$A$1506,A488)&gt;1,"Buchung-ID doppelt",IF(OR(NOT(ISNUMBER(B488)),C488="",NOT(ISNUMBER(F488)),H488="",L488=""),"Pflichtangaben fehlen",IF(COUNTIFS('Konten'!$A$7:$A$26,C488)&lt;&gt;1,"Konto nicht eindeutig",IF(J488&lt;&gt;"Ja","Zuordnung bestätigen",IF(OR(AND(H488="Einnahme",F488&lt;0),AND(H488="Ausgabe",F488&gt;0)),"Vorzeichen prüfen",IF(AND(H488="Umbuchung",OR(K488="",COUNTIFS($A$7:$A$1506,K488)&lt;&gt;1)),"Gegenbuchung fehlt",IF(AND(H488="Umbuchung",ROUND(SUMIFS($F$7:$F$1506,$A$7:$A$1506,K488)+F488,2)&lt;&gt;0),"Umbuchung abweichend",IF(OR(G488="",M488="",M488="offen",M488="teilbelegt",H488="Ungeklärt",H488="Bargeld"),"Beleg / Verwendung klären","vollständig erfasst")))))))))</x:f>
      </x:c>
    </x:row>
    <x:row r="489" ht="22" customHeight="1">
      <x:c r="A489" s="7"/>
      <x:c r="B489" s="8"/>
      <x:c r="C489" s="7"/>
      <x:c r="D489" s="7"/>
      <x:c r="E489" s="7"/>
      <x:c r="F489" s="20"/>
      <x:c r="G489" s="7"/>
      <x:c r="H489" s="7"/>
      <x:c r="I489" s="7"/>
      <x:c r="J489" s="7"/>
      <x:c r="K489" s="7"/>
      <x:c r="L489" s="7"/>
      <x:c r="M489" s="7"/>
      <x:c r="N489" s="7"/>
      <x:c r="O489" s="2" t="str">
        <x:f>IF(A489="","",IF(COUNTIFS($A$7:$A$1506,A489)&gt;1,"Buchung-ID doppelt",IF(OR(NOT(ISNUMBER(B489)),C489="",NOT(ISNUMBER(F489)),H489="",L489=""),"Pflichtangaben fehlen",IF(COUNTIFS('Konten'!$A$7:$A$26,C489)&lt;&gt;1,"Konto nicht eindeutig",IF(J489&lt;&gt;"Ja","Zuordnung bestätigen",IF(OR(AND(H489="Einnahme",F489&lt;0),AND(H489="Ausgabe",F489&gt;0)),"Vorzeichen prüfen",IF(AND(H489="Umbuchung",OR(K489="",COUNTIFS($A$7:$A$1506,K489)&lt;&gt;1)),"Gegenbuchung fehlt",IF(AND(H489="Umbuchung",ROUND(SUMIFS($F$7:$F$1506,$A$7:$A$1506,K489)+F489,2)&lt;&gt;0),"Umbuchung abweichend",IF(OR(G489="",M489="",M489="offen",M489="teilbelegt",H489="Ungeklärt",H489="Bargeld"),"Beleg / Verwendung klären","vollständig erfasst")))))))))</x:f>
      </x:c>
    </x:row>
    <x:row r="490" ht="22" customHeight="1">
      <x:c r="A490" s="7"/>
      <x:c r="B490" s="8"/>
      <x:c r="C490" s="7"/>
      <x:c r="D490" s="7"/>
      <x:c r="E490" s="7"/>
      <x:c r="F490" s="20"/>
      <x:c r="G490" s="7"/>
      <x:c r="H490" s="7"/>
      <x:c r="I490" s="7"/>
      <x:c r="J490" s="7"/>
      <x:c r="K490" s="7"/>
      <x:c r="L490" s="7"/>
      <x:c r="M490" s="7"/>
      <x:c r="N490" s="7"/>
      <x:c r="O490" s="2" t="str">
        <x:f>IF(A490="","",IF(COUNTIFS($A$7:$A$1506,A490)&gt;1,"Buchung-ID doppelt",IF(OR(NOT(ISNUMBER(B490)),C490="",NOT(ISNUMBER(F490)),H490="",L490=""),"Pflichtangaben fehlen",IF(COUNTIFS('Konten'!$A$7:$A$26,C490)&lt;&gt;1,"Konto nicht eindeutig",IF(J490&lt;&gt;"Ja","Zuordnung bestätigen",IF(OR(AND(H490="Einnahme",F490&lt;0),AND(H490="Ausgabe",F490&gt;0)),"Vorzeichen prüfen",IF(AND(H490="Umbuchung",OR(K490="",COUNTIFS($A$7:$A$1506,K490)&lt;&gt;1)),"Gegenbuchung fehlt",IF(AND(H490="Umbuchung",ROUND(SUMIFS($F$7:$F$1506,$A$7:$A$1506,K490)+F490,2)&lt;&gt;0),"Umbuchung abweichend",IF(OR(G490="",M490="",M490="offen",M490="teilbelegt",H490="Ungeklärt",H490="Bargeld"),"Beleg / Verwendung klären","vollständig erfasst")))))))))</x:f>
      </x:c>
    </x:row>
    <x:row r="491" ht="22" customHeight="1">
      <x:c r="A491" s="7"/>
      <x:c r="B491" s="8"/>
      <x:c r="C491" s="7"/>
      <x:c r="D491" s="7"/>
      <x:c r="E491" s="7"/>
      <x:c r="F491" s="20"/>
      <x:c r="G491" s="7"/>
      <x:c r="H491" s="7"/>
      <x:c r="I491" s="7"/>
      <x:c r="J491" s="7"/>
      <x:c r="K491" s="7"/>
      <x:c r="L491" s="7"/>
      <x:c r="M491" s="7"/>
      <x:c r="N491" s="7"/>
      <x:c r="O491" s="2" t="str">
        <x:f>IF(A491="","",IF(COUNTIFS($A$7:$A$1506,A491)&gt;1,"Buchung-ID doppelt",IF(OR(NOT(ISNUMBER(B491)),C491="",NOT(ISNUMBER(F491)),H491="",L491=""),"Pflichtangaben fehlen",IF(COUNTIFS('Konten'!$A$7:$A$26,C491)&lt;&gt;1,"Konto nicht eindeutig",IF(J491&lt;&gt;"Ja","Zuordnung bestätigen",IF(OR(AND(H491="Einnahme",F491&lt;0),AND(H491="Ausgabe",F491&gt;0)),"Vorzeichen prüfen",IF(AND(H491="Umbuchung",OR(K491="",COUNTIFS($A$7:$A$1506,K491)&lt;&gt;1)),"Gegenbuchung fehlt",IF(AND(H491="Umbuchung",ROUND(SUMIFS($F$7:$F$1506,$A$7:$A$1506,K491)+F491,2)&lt;&gt;0),"Umbuchung abweichend",IF(OR(G491="",M491="",M491="offen",M491="teilbelegt",H491="Ungeklärt",H491="Bargeld"),"Beleg / Verwendung klären","vollständig erfasst")))))))))</x:f>
      </x:c>
    </x:row>
    <x:row r="492" ht="22" customHeight="1">
      <x:c r="A492" s="7"/>
      <x:c r="B492" s="8"/>
      <x:c r="C492" s="7"/>
      <x:c r="D492" s="7"/>
      <x:c r="E492" s="7"/>
      <x:c r="F492" s="20"/>
      <x:c r="G492" s="7"/>
      <x:c r="H492" s="7"/>
      <x:c r="I492" s="7"/>
      <x:c r="J492" s="7"/>
      <x:c r="K492" s="7"/>
      <x:c r="L492" s="7"/>
      <x:c r="M492" s="7"/>
      <x:c r="N492" s="7"/>
      <x:c r="O492" s="2" t="str">
        <x:f>IF(A492="","",IF(COUNTIFS($A$7:$A$1506,A492)&gt;1,"Buchung-ID doppelt",IF(OR(NOT(ISNUMBER(B492)),C492="",NOT(ISNUMBER(F492)),H492="",L492=""),"Pflichtangaben fehlen",IF(COUNTIFS('Konten'!$A$7:$A$26,C492)&lt;&gt;1,"Konto nicht eindeutig",IF(J492&lt;&gt;"Ja","Zuordnung bestätigen",IF(OR(AND(H492="Einnahme",F492&lt;0),AND(H492="Ausgabe",F492&gt;0)),"Vorzeichen prüfen",IF(AND(H492="Umbuchung",OR(K492="",COUNTIFS($A$7:$A$1506,K492)&lt;&gt;1)),"Gegenbuchung fehlt",IF(AND(H492="Umbuchung",ROUND(SUMIFS($F$7:$F$1506,$A$7:$A$1506,K492)+F492,2)&lt;&gt;0),"Umbuchung abweichend",IF(OR(G492="",M492="",M492="offen",M492="teilbelegt",H492="Ungeklärt",H492="Bargeld"),"Beleg / Verwendung klären","vollständig erfasst")))))))))</x:f>
      </x:c>
    </x:row>
    <x:row r="493" ht="22" customHeight="1">
      <x:c r="A493" s="7"/>
      <x:c r="B493" s="8"/>
      <x:c r="C493" s="7"/>
      <x:c r="D493" s="7"/>
      <x:c r="E493" s="7"/>
      <x:c r="F493" s="20"/>
      <x:c r="G493" s="7"/>
      <x:c r="H493" s="7"/>
      <x:c r="I493" s="7"/>
      <x:c r="J493" s="7"/>
      <x:c r="K493" s="7"/>
      <x:c r="L493" s="7"/>
      <x:c r="M493" s="7"/>
      <x:c r="N493" s="7"/>
      <x:c r="O493" s="2" t="str">
        <x:f>IF(A493="","",IF(COUNTIFS($A$7:$A$1506,A493)&gt;1,"Buchung-ID doppelt",IF(OR(NOT(ISNUMBER(B493)),C493="",NOT(ISNUMBER(F493)),H493="",L493=""),"Pflichtangaben fehlen",IF(COUNTIFS('Konten'!$A$7:$A$26,C493)&lt;&gt;1,"Konto nicht eindeutig",IF(J493&lt;&gt;"Ja","Zuordnung bestätigen",IF(OR(AND(H493="Einnahme",F493&lt;0),AND(H493="Ausgabe",F493&gt;0)),"Vorzeichen prüfen",IF(AND(H493="Umbuchung",OR(K493="",COUNTIFS($A$7:$A$1506,K493)&lt;&gt;1)),"Gegenbuchung fehlt",IF(AND(H493="Umbuchung",ROUND(SUMIFS($F$7:$F$1506,$A$7:$A$1506,K493)+F493,2)&lt;&gt;0),"Umbuchung abweichend",IF(OR(G493="",M493="",M493="offen",M493="teilbelegt",H493="Ungeklärt",H493="Bargeld"),"Beleg / Verwendung klären","vollständig erfasst")))))))))</x:f>
      </x:c>
    </x:row>
    <x:row r="494" ht="22" customHeight="1">
      <x:c r="A494" s="7"/>
      <x:c r="B494" s="8"/>
      <x:c r="C494" s="7"/>
      <x:c r="D494" s="7"/>
      <x:c r="E494" s="7"/>
      <x:c r="F494" s="20"/>
      <x:c r="G494" s="7"/>
      <x:c r="H494" s="7"/>
      <x:c r="I494" s="7"/>
      <x:c r="J494" s="7"/>
      <x:c r="K494" s="7"/>
      <x:c r="L494" s="7"/>
      <x:c r="M494" s="7"/>
      <x:c r="N494" s="7"/>
      <x:c r="O494" s="2" t="str">
        <x:f>IF(A494="","",IF(COUNTIFS($A$7:$A$1506,A494)&gt;1,"Buchung-ID doppelt",IF(OR(NOT(ISNUMBER(B494)),C494="",NOT(ISNUMBER(F494)),H494="",L494=""),"Pflichtangaben fehlen",IF(COUNTIFS('Konten'!$A$7:$A$26,C494)&lt;&gt;1,"Konto nicht eindeutig",IF(J494&lt;&gt;"Ja","Zuordnung bestätigen",IF(OR(AND(H494="Einnahme",F494&lt;0),AND(H494="Ausgabe",F494&gt;0)),"Vorzeichen prüfen",IF(AND(H494="Umbuchung",OR(K494="",COUNTIFS($A$7:$A$1506,K494)&lt;&gt;1)),"Gegenbuchung fehlt",IF(AND(H494="Umbuchung",ROUND(SUMIFS($F$7:$F$1506,$A$7:$A$1506,K494)+F494,2)&lt;&gt;0),"Umbuchung abweichend",IF(OR(G494="",M494="",M494="offen",M494="teilbelegt",H494="Ungeklärt",H494="Bargeld"),"Beleg / Verwendung klären","vollständig erfasst")))))))))</x:f>
      </x:c>
    </x:row>
    <x:row r="495" ht="22" customHeight="1">
      <x:c r="A495" s="7"/>
      <x:c r="B495" s="8"/>
      <x:c r="C495" s="7"/>
      <x:c r="D495" s="7"/>
      <x:c r="E495" s="7"/>
      <x:c r="F495" s="20"/>
      <x:c r="G495" s="7"/>
      <x:c r="H495" s="7"/>
      <x:c r="I495" s="7"/>
      <x:c r="J495" s="7"/>
      <x:c r="K495" s="7"/>
      <x:c r="L495" s="7"/>
      <x:c r="M495" s="7"/>
      <x:c r="N495" s="7"/>
      <x:c r="O495" s="2" t="str">
        <x:f>IF(A495="","",IF(COUNTIFS($A$7:$A$1506,A495)&gt;1,"Buchung-ID doppelt",IF(OR(NOT(ISNUMBER(B495)),C495="",NOT(ISNUMBER(F495)),H495="",L495=""),"Pflichtangaben fehlen",IF(COUNTIFS('Konten'!$A$7:$A$26,C495)&lt;&gt;1,"Konto nicht eindeutig",IF(J495&lt;&gt;"Ja","Zuordnung bestätigen",IF(OR(AND(H495="Einnahme",F495&lt;0),AND(H495="Ausgabe",F495&gt;0)),"Vorzeichen prüfen",IF(AND(H495="Umbuchung",OR(K495="",COUNTIFS($A$7:$A$1506,K495)&lt;&gt;1)),"Gegenbuchung fehlt",IF(AND(H495="Umbuchung",ROUND(SUMIFS($F$7:$F$1506,$A$7:$A$1506,K495)+F495,2)&lt;&gt;0),"Umbuchung abweichend",IF(OR(G495="",M495="",M495="offen",M495="teilbelegt",H495="Ungeklärt",H495="Bargeld"),"Beleg / Verwendung klären","vollständig erfasst")))))))))</x:f>
      </x:c>
    </x:row>
    <x:row r="496" ht="22" customHeight="1">
      <x:c r="A496" s="7"/>
      <x:c r="B496" s="8"/>
      <x:c r="C496" s="7"/>
      <x:c r="D496" s="7"/>
      <x:c r="E496" s="7"/>
      <x:c r="F496" s="20"/>
      <x:c r="G496" s="7"/>
      <x:c r="H496" s="7"/>
      <x:c r="I496" s="7"/>
      <x:c r="J496" s="7"/>
      <x:c r="K496" s="7"/>
      <x:c r="L496" s="7"/>
      <x:c r="M496" s="7"/>
      <x:c r="N496" s="7"/>
      <x:c r="O496" s="2" t="str">
        <x:f>IF(A496="","",IF(COUNTIFS($A$7:$A$1506,A496)&gt;1,"Buchung-ID doppelt",IF(OR(NOT(ISNUMBER(B496)),C496="",NOT(ISNUMBER(F496)),H496="",L496=""),"Pflichtangaben fehlen",IF(COUNTIFS('Konten'!$A$7:$A$26,C496)&lt;&gt;1,"Konto nicht eindeutig",IF(J496&lt;&gt;"Ja","Zuordnung bestätigen",IF(OR(AND(H496="Einnahme",F496&lt;0),AND(H496="Ausgabe",F496&gt;0)),"Vorzeichen prüfen",IF(AND(H496="Umbuchung",OR(K496="",COUNTIFS($A$7:$A$1506,K496)&lt;&gt;1)),"Gegenbuchung fehlt",IF(AND(H496="Umbuchung",ROUND(SUMIFS($F$7:$F$1506,$A$7:$A$1506,K496)+F496,2)&lt;&gt;0),"Umbuchung abweichend",IF(OR(G496="",M496="",M496="offen",M496="teilbelegt",H496="Ungeklärt",H496="Bargeld"),"Beleg / Verwendung klären","vollständig erfasst")))))))))</x:f>
      </x:c>
    </x:row>
    <x:row r="497" ht="22" customHeight="1">
      <x:c r="A497" s="7"/>
      <x:c r="B497" s="8"/>
      <x:c r="C497" s="7"/>
      <x:c r="D497" s="7"/>
      <x:c r="E497" s="7"/>
      <x:c r="F497" s="20"/>
      <x:c r="G497" s="7"/>
      <x:c r="H497" s="7"/>
      <x:c r="I497" s="7"/>
      <x:c r="J497" s="7"/>
      <x:c r="K497" s="7"/>
      <x:c r="L497" s="7"/>
      <x:c r="M497" s="7"/>
      <x:c r="N497" s="7"/>
      <x:c r="O497" s="2" t="str">
        <x:f>IF(A497="","",IF(COUNTIFS($A$7:$A$1506,A497)&gt;1,"Buchung-ID doppelt",IF(OR(NOT(ISNUMBER(B497)),C497="",NOT(ISNUMBER(F497)),H497="",L497=""),"Pflichtangaben fehlen",IF(COUNTIFS('Konten'!$A$7:$A$26,C497)&lt;&gt;1,"Konto nicht eindeutig",IF(J497&lt;&gt;"Ja","Zuordnung bestätigen",IF(OR(AND(H497="Einnahme",F497&lt;0),AND(H497="Ausgabe",F497&gt;0)),"Vorzeichen prüfen",IF(AND(H497="Umbuchung",OR(K497="",COUNTIFS($A$7:$A$1506,K497)&lt;&gt;1)),"Gegenbuchung fehlt",IF(AND(H497="Umbuchung",ROUND(SUMIFS($F$7:$F$1506,$A$7:$A$1506,K497)+F497,2)&lt;&gt;0),"Umbuchung abweichend",IF(OR(G497="",M497="",M497="offen",M497="teilbelegt",H497="Ungeklärt",H497="Bargeld"),"Beleg / Verwendung klären","vollständig erfasst")))))))))</x:f>
      </x:c>
    </x:row>
    <x:row r="498" ht="22" customHeight="1">
      <x:c r="A498" s="7"/>
      <x:c r="B498" s="8"/>
      <x:c r="C498" s="7"/>
      <x:c r="D498" s="7"/>
      <x:c r="E498" s="7"/>
      <x:c r="F498" s="20"/>
      <x:c r="G498" s="7"/>
      <x:c r="H498" s="7"/>
      <x:c r="I498" s="7"/>
      <x:c r="J498" s="7"/>
      <x:c r="K498" s="7"/>
      <x:c r="L498" s="7"/>
      <x:c r="M498" s="7"/>
      <x:c r="N498" s="7"/>
      <x:c r="O498" s="2" t="str">
        <x:f>IF(A498="","",IF(COUNTIFS($A$7:$A$1506,A498)&gt;1,"Buchung-ID doppelt",IF(OR(NOT(ISNUMBER(B498)),C498="",NOT(ISNUMBER(F498)),H498="",L498=""),"Pflichtangaben fehlen",IF(COUNTIFS('Konten'!$A$7:$A$26,C498)&lt;&gt;1,"Konto nicht eindeutig",IF(J498&lt;&gt;"Ja","Zuordnung bestätigen",IF(OR(AND(H498="Einnahme",F498&lt;0),AND(H498="Ausgabe",F498&gt;0)),"Vorzeichen prüfen",IF(AND(H498="Umbuchung",OR(K498="",COUNTIFS($A$7:$A$1506,K498)&lt;&gt;1)),"Gegenbuchung fehlt",IF(AND(H498="Umbuchung",ROUND(SUMIFS($F$7:$F$1506,$A$7:$A$1506,K498)+F498,2)&lt;&gt;0),"Umbuchung abweichend",IF(OR(G498="",M498="",M498="offen",M498="teilbelegt",H498="Ungeklärt",H498="Bargeld"),"Beleg / Verwendung klären","vollständig erfasst")))))))))</x:f>
      </x:c>
    </x:row>
    <x:row r="499" ht="22" customHeight="1">
      <x:c r="A499" s="7"/>
      <x:c r="B499" s="8"/>
      <x:c r="C499" s="7"/>
      <x:c r="D499" s="7"/>
      <x:c r="E499" s="7"/>
      <x:c r="F499" s="20"/>
      <x:c r="G499" s="7"/>
      <x:c r="H499" s="7"/>
      <x:c r="I499" s="7"/>
      <x:c r="J499" s="7"/>
      <x:c r="K499" s="7"/>
      <x:c r="L499" s="7"/>
      <x:c r="M499" s="7"/>
      <x:c r="N499" s="7"/>
      <x:c r="O499" s="2" t="str">
        <x:f>IF(A499="","",IF(COUNTIFS($A$7:$A$1506,A499)&gt;1,"Buchung-ID doppelt",IF(OR(NOT(ISNUMBER(B499)),C499="",NOT(ISNUMBER(F499)),H499="",L499=""),"Pflichtangaben fehlen",IF(COUNTIFS('Konten'!$A$7:$A$26,C499)&lt;&gt;1,"Konto nicht eindeutig",IF(J499&lt;&gt;"Ja","Zuordnung bestätigen",IF(OR(AND(H499="Einnahme",F499&lt;0),AND(H499="Ausgabe",F499&gt;0)),"Vorzeichen prüfen",IF(AND(H499="Umbuchung",OR(K499="",COUNTIFS($A$7:$A$1506,K499)&lt;&gt;1)),"Gegenbuchung fehlt",IF(AND(H499="Umbuchung",ROUND(SUMIFS($F$7:$F$1506,$A$7:$A$1506,K499)+F499,2)&lt;&gt;0),"Umbuchung abweichend",IF(OR(G499="",M499="",M499="offen",M499="teilbelegt",H499="Ungeklärt",H499="Bargeld"),"Beleg / Verwendung klären","vollständig erfasst")))))))))</x:f>
      </x:c>
    </x:row>
    <x:row r="500" ht="22" customHeight="1">
      <x:c r="A500" s="7"/>
      <x:c r="B500" s="8"/>
      <x:c r="C500" s="7"/>
      <x:c r="D500" s="7"/>
      <x:c r="E500" s="7"/>
      <x:c r="F500" s="20"/>
      <x:c r="G500" s="7"/>
      <x:c r="H500" s="7"/>
      <x:c r="I500" s="7"/>
      <x:c r="J500" s="7"/>
      <x:c r="K500" s="7"/>
      <x:c r="L500" s="7"/>
      <x:c r="M500" s="7"/>
      <x:c r="N500" s="7"/>
      <x:c r="O500" s="2" t="str">
        <x:f>IF(A500="","",IF(COUNTIFS($A$7:$A$1506,A500)&gt;1,"Buchung-ID doppelt",IF(OR(NOT(ISNUMBER(B500)),C500="",NOT(ISNUMBER(F500)),H500="",L500=""),"Pflichtangaben fehlen",IF(COUNTIFS('Konten'!$A$7:$A$26,C500)&lt;&gt;1,"Konto nicht eindeutig",IF(J500&lt;&gt;"Ja","Zuordnung bestätigen",IF(OR(AND(H500="Einnahme",F500&lt;0),AND(H500="Ausgabe",F500&gt;0)),"Vorzeichen prüfen",IF(AND(H500="Umbuchung",OR(K500="",COUNTIFS($A$7:$A$1506,K500)&lt;&gt;1)),"Gegenbuchung fehlt",IF(AND(H500="Umbuchung",ROUND(SUMIFS($F$7:$F$1506,$A$7:$A$1506,K500)+F500,2)&lt;&gt;0),"Umbuchung abweichend",IF(OR(G500="",M500="",M500="offen",M500="teilbelegt",H500="Ungeklärt",H500="Bargeld"),"Beleg / Verwendung klären","vollständig erfasst")))))))))</x:f>
      </x:c>
    </x:row>
    <x:row r="501" ht="22" customHeight="1">
      <x:c r="A501" s="7"/>
      <x:c r="B501" s="8"/>
      <x:c r="C501" s="7"/>
      <x:c r="D501" s="7"/>
      <x:c r="E501" s="7"/>
      <x:c r="F501" s="20"/>
      <x:c r="G501" s="7"/>
      <x:c r="H501" s="7"/>
      <x:c r="I501" s="7"/>
      <x:c r="J501" s="7"/>
      <x:c r="K501" s="7"/>
      <x:c r="L501" s="7"/>
      <x:c r="M501" s="7"/>
      <x:c r="N501" s="7"/>
      <x:c r="O501" s="2" t="str">
        <x:f>IF(A501="","",IF(COUNTIFS($A$7:$A$1506,A501)&gt;1,"Buchung-ID doppelt",IF(OR(NOT(ISNUMBER(B501)),C501="",NOT(ISNUMBER(F501)),H501="",L501=""),"Pflichtangaben fehlen",IF(COUNTIFS('Konten'!$A$7:$A$26,C501)&lt;&gt;1,"Konto nicht eindeutig",IF(J501&lt;&gt;"Ja","Zuordnung bestätigen",IF(OR(AND(H501="Einnahme",F501&lt;0),AND(H501="Ausgabe",F501&gt;0)),"Vorzeichen prüfen",IF(AND(H501="Umbuchung",OR(K501="",COUNTIFS($A$7:$A$1506,K501)&lt;&gt;1)),"Gegenbuchung fehlt",IF(AND(H501="Umbuchung",ROUND(SUMIFS($F$7:$F$1506,$A$7:$A$1506,K501)+F501,2)&lt;&gt;0),"Umbuchung abweichend",IF(OR(G501="",M501="",M501="offen",M501="teilbelegt",H501="Ungeklärt",H501="Bargeld"),"Beleg / Verwendung klären","vollständig erfasst")))))))))</x:f>
      </x:c>
    </x:row>
    <x:row r="502" ht="22" customHeight="1">
      <x:c r="A502" s="7"/>
      <x:c r="B502" s="8"/>
      <x:c r="C502" s="7"/>
      <x:c r="D502" s="7"/>
      <x:c r="E502" s="7"/>
      <x:c r="F502" s="20"/>
      <x:c r="G502" s="7"/>
      <x:c r="H502" s="7"/>
      <x:c r="I502" s="7"/>
      <x:c r="J502" s="7"/>
      <x:c r="K502" s="7"/>
      <x:c r="L502" s="7"/>
      <x:c r="M502" s="7"/>
      <x:c r="N502" s="7"/>
      <x:c r="O502" s="2" t="str">
        <x:f>IF(A502="","",IF(COUNTIFS($A$7:$A$1506,A502)&gt;1,"Buchung-ID doppelt",IF(OR(NOT(ISNUMBER(B502)),C502="",NOT(ISNUMBER(F502)),H502="",L502=""),"Pflichtangaben fehlen",IF(COUNTIFS('Konten'!$A$7:$A$26,C502)&lt;&gt;1,"Konto nicht eindeutig",IF(J502&lt;&gt;"Ja","Zuordnung bestätigen",IF(OR(AND(H502="Einnahme",F502&lt;0),AND(H502="Ausgabe",F502&gt;0)),"Vorzeichen prüfen",IF(AND(H502="Umbuchung",OR(K502="",COUNTIFS($A$7:$A$1506,K502)&lt;&gt;1)),"Gegenbuchung fehlt",IF(AND(H502="Umbuchung",ROUND(SUMIFS($F$7:$F$1506,$A$7:$A$1506,K502)+F502,2)&lt;&gt;0),"Umbuchung abweichend",IF(OR(G502="",M502="",M502="offen",M502="teilbelegt",H502="Ungeklärt",H502="Bargeld"),"Beleg / Verwendung klären","vollständig erfasst")))))))))</x:f>
      </x:c>
    </x:row>
    <x:row r="503" ht="22" customHeight="1">
      <x:c r="A503" s="7"/>
      <x:c r="B503" s="8"/>
      <x:c r="C503" s="7"/>
      <x:c r="D503" s="7"/>
      <x:c r="E503" s="7"/>
      <x:c r="F503" s="20"/>
      <x:c r="G503" s="7"/>
      <x:c r="H503" s="7"/>
      <x:c r="I503" s="7"/>
      <x:c r="J503" s="7"/>
      <x:c r="K503" s="7"/>
      <x:c r="L503" s="7"/>
      <x:c r="M503" s="7"/>
      <x:c r="N503" s="7"/>
      <x:c r="O503" s="2" t="str">
        <x:f>IF(A503="","",IF(COUNTIFS($A$7:$A$1506,A503)&gt;1,"Buchung-ID doppelt",IF(OR(NOT(ISNUMBER(B503)),C503="",NOT(ISNUMBER(F503)),H503="",L503=""),"Pflichtangaben fehlen",IF(COUNTIFS('Konten'!$A$7:$A$26,C503)&lt;&gt;1,"Konto nicht eindeutig",IF(J503&lt;&gt;"Ja","Zuordnung bestätigen",IF(OR(AND(H503="Einnahme",F503&lt;0),AND(H503="Ausgabe",F503&gt;0)),"Vorzeichen prüfen",IF(AND(H503="Umbuchung",OR(K503="",COUNTIFS($A$7:$A$1506,K503)&lt;&gt;1)),"Gegenbuchung fehlt",IF(AND(H503="Umbuchung",ROUND(SUMIFS($F$7:$F$1506,$A$7:$A$1506,K503)+F503,2)&lt;&gt;0),"Umbuchung abweichend",IF(OR(G503="",M503="",M503="offen",M503="teilbelegt",H503="Ungeklärt",H503="Bargeld"),"Beleg / Verwendung klären","vollständig erfasst")))))))))</x:f>
      </x:c>
    </x:row>
    <x:row r="504" ht="22" customHeight="1">
      <x:c r="A504" s="7"/>
      <x:c r="B504" s="8"/>
      <x:c r="C504" s="7"/>
      <x:c r="D504" s="7"/>
      <x:c r="E504" s="7"/>
      <x:c r="F504" s="20"/>
      <x:c r="G504" s="7"/>
      <x:c r="H504" s="7"/>
      <x:c r="I504" s="7"/>
      <x:c r="J504" s="7"/>
      <x:c r="K504" s="7"/>
      <x:c r="L504" s="7"/>
      <x:c r="M504" s="7"/>
      <x:c r="N504" s="7"/>
      <x:c r="O504" s="2" t="str">
        <x:f>IF(A504="","",IF(COUNTIFS($A$7:$A$1506,A504)&gt;1,"Buchung-ID doppelt",IF(OR(NOT(ISNUMBER(B504)),C504="",NOT(ISNUMBER(F504)),H504="",L504=""),"Pflichtangaben fehlen",IF(COUNTIFS('Konten'!$A$7:$A$26,C504)&lt;&gt;1,"Konto nicht eindeutig",IF(J504&lt;&gt;"Ja","Zuordnung bestätigen",IF(OR(AND(H504="Einnahme",F504&lt;0),AND(H504="Ausgabe",F504&gt;0)),"Vorzeichen prüfen",IF(AND(H504="Umbuchung",OR(K504="",COUNTIFS($A$7:$A$1506,K504)&lt;&gt;1)),"Gegenbuchung fehlt",IF(AND(H504="Umbuchung",ROUND(SUMIFS($F$7:$F$1506,$A$7:$A$1506,K504)+F504,2)&lt;&gt;0),"Umbuchung abweichend",IF(OR(G504="",M504="",M504="offen",M504="teilbelegt",H504="Ungeklärt",H504="Bargeld"),"Beleg / Verwendung klären","vollständig erfasst")))))))))</x:f>
      </x:c>
    </x:row>
    <x:row r="505" ht="22" customHeight="1">
      <x:c r="A505" s="7"/>
      <x:c r="B505" s="8"/>
      <x:c r="C505" s="7"/>
      <x:c r="D505" s="7"/>
      <x:c r="E505" s="7"/>
      <x:c r="F505" s="20"/>
      <x:c r="G505" s="7"/>
      <x:c r="H505" s="7"/>
      <x:c r="I505" s="7"/>
      <x:c r="J505" s="7"/>
      <x:c r="K505" s="7"/>
      <x:c r="L505" s="7"/>
      <x:c r="M505" s="7"/>
      <x:c r="N505" s="7"/>
      <x:c r="O505" s="2" t="str">
        <x:f>IF(A505="","",IF(COUNTIFS($A$7:$A$1506,A505)&gt;1,"Buchung-ID doppelt",IF(OR(NOT(ISNUMBER(B505)),C505="",NOT(ISNUMBER(F505)),H505="",L505=""),"Pflichtangaben fehlen",IF(COUNTIFS('Konten'!$A$7:$A$26,C505)&lt;&gt;1,"Konto nicht eindeutig",IF(J505&lt;&gt;"Ja","Zuordnung bestätigen",IF(OR(AND(H505="Einnahme",F505&lt;0),AND(H505="Ausgabe",F505&gt;0)),"Vorzeichen prüfen",IF(AND(H505="Umbuchung",OR(K505="",COUNTIFS($A$7:$A$1506,K505)&lt;&gt;1)),"Gegenbuchung fehlt",IF(AND(H505="Umbuchung",ROUND(SUMIFS($F$7:$F$1506,$A$7:$A$1506,K505)+F505,2)&lt;&gt;0),"Umbuchung abweichend",IF(OR(G505="",M505="",M505="offen",M505="teilbelegt",H505="Ungeklärt",H505="Bargeld"),"Beleg / Verwendung klären","vollständig erfasst")))))))))</x:f>
      </x:c>
    </x:row>
    <x:row r="506" ht="22" customHeight="1">
      <x:c r="A506" s="7"/>
      <x:c r="B506" s="8"/>
      <x:c r="C506" s="7"/>
      <x:c r="D506" s="7"/>
      <x:c r="E506" s="7"/>
      <x:c r="F506" s="20"/>
      <x:c r="G506" s="7"/>
      <x:c r="H506" s="7"/>
      <x:c r="I506" s="7"/>
      <x:c r="J506" s="7"/>
      <x:c r="K506" s="7"/>
      <x:c r="L506" s="7"/>
      <x:c r="M506" s="7"/>
      <x:c r="N506" s="7"/>
      <x:c r="O506" s="2" t="str">
        <x:f>IF(A506="","",IF(COUNTIFS($A$7:$A$1506,A506)&gt;1,"Buchung-ID doppelt",IF(OR(NOT(ISNUMBER(B506)),C506="",NOT(ISNUMBER(F506)),H506="",L506=""),"Pflichtangaben fehlen",IF(COUNTIFS('Konten'!$A$7:$A$26,C506)&lt;&gt;1,"Konto nicht eindeutig",IF(J506&lt;&gt;"Ja","Zuordnung bestätigen",IF(OR(AND(H506="Einnahme",F506&lt;0),AND(H506="Ausgabe",F506&gt;0)),"Vorzeichen prüfen",IF(AND(H506="Umbuchung",OR(K506="",COUNTIFS($A$7:$A$1506,K506)&lt;&gt;1)),"Gegenbuchung fehlt",IF(AND(H506="Umbuchung",ROUND(SUMIFS($F$7:$F$1506,$A$7:$A$1506,K506)+F506,2)&lt;&gt;0),"Umbuchung abweichend",IF(OR(G506="",M506="",M506="offen",M506="teilbelegt",H506="Ungeklärt",H506="Bargeld"),"Beleg / Verwendung klären","vollständig erfasst")))))))))</x:f>
      </x:c>
    </x:row>
    <x:row r="507" ht="22" customHeight="1">
      <x:c r="A507" s="7"/>
      <x:c r="B507" s="8"/>
      <x:c r="C507" s="7"/>
      <x:c r="D507" s="7"/>
      <x:c r="E507" s="7"/>
      <x:c r="F507" s="20"/>
      <x:c r="G507" s="7"/>
      <x:c r="H507" s="7"/>
      <x:c r="I507" s="7"/>
      <x:c r="J507" s="7"/>
      <x:c r="K507" s="7"/>
      <x:c r="L507" s="7"/>
      <x:c r="M507" s="7"/>
      <x:c r="N507" s="7"/>
      <x:c r="O507" s="2" t="str">
        <x:f>IF(A507="","",IF(COUNTIFS($A$7:$A$1506,A507)&gt;1,"Buchung-ID doppelt",IF(OR(NOT(ISNUMBER(B507)),C507="",NOT(ISNUMBER(F507)),H507="",L507=""),"Pflichtangaben fehlen",IF(COUNTIFS('Konten'!$A$7:$A$26,C507)&lt;&gt;1,"Konto nicht eindeutig",IF(J507&lt;&gt;"Ja","Zuordnung bestätigen",IF(OR(AND(H507="Einnahme",F507&lt;0),AND(H507="Ausgabe",F507&gt;0)),"Vorzeichen prüfen",IF(AND(H507="Umbuchung",OR(K507="",COUNTIFS($A$7:$A$1506,K507)&lt;&gt;1)),"Gegenbuchung fehlt",IF(AND(H507="Umbuchung",ROUND(SUMIFS($F$7:$F$1506,$A$7:$A$1506,K507)+F507,2)&lt;&gt;0),"Umbuchung abweichend",IF(OR(G507="",M507="",M507="offen",M507="teilbelegt",H507="Ungeklärt",H507="Bargeld"),"Beleg / Verwendung klären","vollständig erfasst")))))))))</x:f>
      </x:c>
    </x:row>
    <x:row r="508" ht="22" customHeight="1">
      <x:c r="A508" s="7"/>
      <x:c r="B508" s="8"/>
      <x:c r="C508" s="7"/>
      <x:c r="D508" s="7"/>
      <x:c r="E508" s="7"/>
      <x:c r="F508" s="20"/>
      <x:c r="G508" s="7"/>
      <x:c r="H508" s="7"/>
      <x:c r="I508" s="7"/>
      <x:c r="J508" s="7"/>
      <x:c r="K508" s="7"/>
      <x:c r="L508" s="7"/>
      <x:c r="M508" s="7"/>
      <x:c r="N508" s="7"/>
      <x:c r="O508" s="2" t="str">
        <x:f>IF(A508="","",IF(COUNTIFS($A$7:$A$1506,A508)&gt;1,"Buchung-ID doppelt",IF(OR(NOT(ISNUMBER(B508)),C508="",NOT(ISNUMBER(F508)),H508="",L508=""),"Pflichtangaben fehlen",IF(COUNTIFS('Konten'!$A$7:$A$26,C508)&lt;&gt;1,"Konto nicht eindeutig",IF(J508&lt;&gt;"Ja","Zuordnung bestätigen",IF(OR(AND(H508="Einnahme",F508&lt;0),AND(H508="Ausgabe",F508&gt;0)),"Vorzeichen prüfen",IF(AND(H508="Umbuchung",OR(K508="",COUNTIFS($A$7:$A$1506,K508)&lt;&gt;1)),"Gegenbuchung fehlt",IF(AND(H508="Umbuchung",ROUND(SUMIFS($F$7:$F$1506,$A$7:$A$1506,K508)+F508,2)&lt;&gt;0),"Umbuchung abweichend",IF(OR(G508="",M508="",M508="offen",M508="teilbelegt",H508="Ungeklärt",H508="Bargeld"),"Beleg / Verwendung klären","vollständig erfasst")))))))))</x:f>
      </x:c>
    </x:row>
    <x:row r="509" ht="22" customHeight="1">
      <x:c r="A509" s="7"/>
      <x:c r="B509" s="8"/>
      <x:c r="C509" s="7"/>
      <x:c r="D509" s="7"/>
      <x:c r="E509" s="7"/>
      <x:c r="F509" s="20"/>
      <x:c r="G509" s="7"/>
      <x:c r="H509" s="7"/>
      <x:c r="I509" s="7"/>
      <x:c r="J509" s="7"/>
      <x:c r="K509" s="7"/>
      <x:c r="L509" s="7"/>
      <x:c r="M509" s="7"/>
      <x:c r="N509" s="7"/>
      <x:c r="O509" s="2" t="str">
        <x:f>IF(A509="","",IF(COUNTIFS($A$7:$A$1506,A509)&gt;1,"Buchung-ID doppelt",IF(OR(NOT(ISNUMBER(B509)),C509="",NOT(ISNUMBER(F509)),H509="",L509=""),"Pflichtangaben fehlen",IF(COUNTIFS('Konten'!$A$7:$A$26,C509)&lt;&gt;1,"Konto nicht eindeutig",IF(J509&lt;&gt;"Ja","Zuordnung bestätigen",IF(OR(AND(H509="Einnahme",F509&lt;0),AND(H509="Ausgabe",F509&gt;0)),"Vorzeichen prüfen",IF(AND(H509="Umbuchung",OR(K509="",COUNTIFS($A$7:$A$1506,K509)&lt;&gt;1)),"Gegenbuchung fehlt",IF(AND(H509="Umbuchung",ROUND(SUMIFS($F$7:$F$1506,$A$7:$A$1506,K509)+F509,2)&lt;&gt;0),"Umbuchung abweichend",IF(OR(G509="",M509="",M509="offen",M509="teilbelegt",H509="Ungeklärt",H509="Bargeld"),"Beleg / Verwendung klären","vollständig erfasst")))))))))</x:f>
      </x:c>
    </x:row>
    <x:row r="510" ht="22" customHeight="1">
      <x:c r="A510" s="7"/>
      <x:c r="B510" s="8"/>
      <x:c r="C510" s="7"/>
      <x:c r="D510" s="7"/>
      <x:c r="E510" s="7"/>
      <x:c r="F510" s="20"/>
      <x:c r="G510" s="7"/>
      <x:c r="H510" s="7"/>
      <x:c r="I510" s="7"/>
      <x:c r="J510" s="7"/>
      <x:c r="K510" s="7"/>
      <x:c r="L510" s="7"/>
      <x:c r="M510" s="7"/>
      <x:c r="N510" s="7"/>
      <x:c r="O510" s="2" t="str">
        <x:f>IF(A510="","",IF(COUNTIFS($A$7:$A$1506,A510)&gt;1,"Buchung-ID doppelt",IF(OR(NOT(ISNUMBER(B510)),C510="",NOT(ISNUMBER(F510)),H510="",L510=""),"Pflichtangaben fehlen",IF(COUNTIFS('Konten'!$A$7:$A$26,C510)&lt;&gt;1,"Konto nicht eindeutig",IF(J510&lt;&gt;"Ja","Zuordnung bestätigen",IF(OR(AND(H510="Einnahme",F510&lt;0),AND(H510="Ausgabe",F510&gt;0)),"Vorzeichen prüfen",IF(AND(H510="Umbuchung",OR(K510="",COUNTIFS($A$7:$A$1506,K510)&lt;&gt;1)),"Gegenbuchung fehlt",IF(AND(H510="Umbuchung",ROUND(SUMIFS($F$7:$F$1506,$A$7:$A$1506,K510)+F510,2)&lt;&gt;0),"Umbuchung abweichend",IF(OR(G510="",M510="",M510="offen",M510="teilbelegt",H510="Ungeklärt",H510="Bargeld"),"Beleg / Verwendung klären","vollständig erfasst")))))))))</x:f>
      </x:c>
    </x:row>
    <x:row r="511" ht="22" customHeight="1">
      <x:c r="A511" s="7"/>
      <x:c r="B511" s="8"/>
      <x:c r="C511" s="7"/>
      <x:c r="D511" s="7"/>
      <x:c r="E511" s="7"/>
      <x:c r="F511" s="20"/>
      <x:c r="G511" s="7"/>
      <x:c r="H511" s="7"/>
      <x:c r="I511" s="7"/>
      <x:c r="J511" s="7"/>
      <x:c r="K511" s="7"/>
      <x:c r="L511" s="7"/>
      <x:c r="M511" s="7"/>
      <x:c r="N511" s="7"/>
      <x:c r="O511" s="2" t="str">
        <x:f>IF(A511="","",IF(COUNTIFS($A$7:$A$1506,A511)&gt;1,"Buchung-ID doppelt",IF(OR(NOT(ISNUMBER(B511)),C511="",NOT(ISNUMBER(F511)),H511="",L511=""),"Pflichtangaben fehlen",IF(COUNTIFS('Konten'!$A$7:$A$26,C511)&lt;&gt;1,"Konto nicht eindeutig",IF(J511&lt;&gt;"Ja","Zuordnung bestätigen",IF(OR(AND(H511="Einnahme",F511&lt;0),AND(H511="Ausgabe",F511&gt;0)),"Vorzeichen prüfen",IF(AND(H511="Umbuchung",OR(K511="",COUNTIFS($A$7:$A$1506,K511)&lt;&gt;1)),"Gegenbuchung fehlt",IF(AND(H511="Umbuchung",ROUND(SUMIFS($F$7:$F$1506,$A$7:$A$1506,K511)+F511,2)&lt;&gt;0),"Umbuchung abweichend",IF(OR(G511="",M511="",M511="offen",M511="teilbelegt",H511="Ungeklärt",H511="Bargeld"),"Beleg / Verwendung klären","vollständig erfasst")))))))))</x:f>
      </x:c>
    </x:row>
    <x:row r="512" ht="22" customHeight="1">
      <x:c r="A512" s="7"/>
      <x:c r="B512" s="8"/>
      <x:c r="C512" s="7"/>
      <x:c r="D512" s="7"/>
      <x:c r="E512" s="7"/>
      <x:c r="F512" s="20"/>
      <x:c r="G512" s="7"/>
      <x:c r="H512" s="7"/>
      <x:c r="I512" s="7"/>
      <x:c r="J512" s="7"/>
      <x:c r="K512" s="7"/>
      <x:c r="L512" s="7"/>
      <x:c r="M512" s="7"/>
      <x:c r="N512" s="7"/>
      <x:c r="O512" s="2" t="str">
        <x:f>IF(A512="","",IF(COUNTIFS($A$7:$A$1506,A512)&gt;1,"Buchung-ID doppelt",IF(OR(NOT(ISNUMBER(B512)),C512="",NOT(ISNUMBER(F512)),H512="",L512=""),"Pflichtangaben fehlen",IF(COUNTIFS('Konten'!$A$7:$A$26,C512)&lt;&gt;1,"Konto nicht eindeutig",IF(J512&lt;&gt;"Ja","Zuordnung bestätigen",IF(OR(AND(H512="Einnahme",F512&lt;0),AND(H512="Ausgabe",F512&gt;0)),"Vorzeichen prüfen",IF(AND(H512="Umbuchung",OR(K512="",COUNTIFS($A$7:$A$1506,K512)&lt;&gt;1)),"Gegenbuchung fehlt",IF(AND(H512="Umbuchung",ROUND(SUMIFS($F$7:$F$1506,$A$7:$A$1506,K512)+F512,2)&lt;&gt;0),"Umbuchung abweichend",IF(OR(G512="",M512="",M512="offen",M512="teilbelegt",H512="Ungeklärt",H512="Bargeld"),"Beleg / Verwendung klären","vollständig erfasst")))))))))</x:f>
      </x:c>
    </x:row>
    <x:row r="513" ht="22" customHeight="1">
      <x:c r="A513" s="7"/>
      <x:c r="B513" s="8"/>
      <x:c r="C513" s="7"/>
      <x:c r="D513" s="7"/>
      <x:c r="E513" s="7"/>
      <x:c r="F513" s="20"/>
      <x:c r="G513" s="7"/>
      <x:c r="H513" s="7"/>
      <x:c r="I513" s="7"/>
      <x:c r="J513" s="7"/>
      <x:c r="K513" s="7"/>
      <x:c r="L513" s="7"/>
      <x:c r="M513" s="7"/>
      <x:c r="N513" s="7"/>
      <x:c r="O513" s="2" t="str">
        <x:f>IF(A513="","",IF(COUNTIFS($A$7:$A$1506,A513)&gt;1,"Buchung-ID doppelt",IF(OR(NOT(ISNUMBER(B513)),C513="",NOT(ISNUMBER(F513)),H513="",L513=""),"Pflichtangaben fehlen",IF(COUNTIFS('Konten'!$A$7:$A$26,C513)&lt;&gt;1,"Konto nicht eindeutig",IF(J513&lt;&gt;"Ja","Zuordnung bestätigen",IF(OR(AND(H513="Einnahme",F513&lt;0),AND(H513="Ausgabe",F513&gt;0)),"Vorzeichen prüfen",IF(AND(H513="Umbuchung",OR(K513="",COUNTIFS($A$7:$A$1506,K513)&lt;&gt;1)),"Gegenbuchung fehlt",IF(AND(H513="Umbuchung",ROUND(SUMIFS($F$7:$F$1506,$A$7:$A$1506,K513)+F513,2)&lt;&gt;0),"Umbuchung abweichend",IF(OR(G513="",M513="",M513="offen",M513="teilbelegt",H513="Ungeklärt",H513="Bargeld"),"Beleg / Verwendung klären","vollständig erfasst")))))))))</x:f>
      </x:c>
    </x:row>
    <x:row r="514" ht="22" customHeight="1">
      <x:c r="A514" s="7"/>
      <x:c r="B514" s="8"/>
      <x:c r="C514" s="7"/>
      <x:c r="D514" s="7"/>
      <x:c r="E514" s="7"/>
      <x:c r="F514" s="20"/>
      <x:c r="G514" s="7"/>
      <x:c r="H514" s="7"/>
      <x:c r="I514" s="7"/>
      <x:c r="J514" s="7"/>
      <x:c r="K514" s="7"/>
      <x:c r="L514" s="7"/>
      <x:c r="M514" s="7"/>
      <x:c r="N514" s="7"/>
      <x:c r="O514" s="2" t="str">
        <x:f>IF(A514="","",IF(COUNTIFS($A$7:$A$1506,A514)&gt;1,"Buchung-ID doppelt",IF(OR(NOT(ISNUMBER(B514)),C514="",NOT(ISNUMBER(F514)),H514="",L514=""),"Pflichtangaben fehlen",IF(COUNTIFS('Konten'!$A$7:$A$26,C514)&lt;&gt;1,"Konto nicht eindeutig",IF(J514&lt;&gt;"Ja","Zuordnung bestätigen",IF(OR(AND(H514="Einnahme",F514&lt;0),AND(H514="Ausgabe",F514&gt;0)),"Vorzeichen prüfen",IF(AND(H514="Umbuchung",OR(K514="",COUNTIFS($A$7:$A$1506,K514)&lt;&gt;1)),"Gegenbuchung fehlt",IF(AND(H514="Umbuchung",ROUND(SUMIFS($F$7:$F$1506,$A$7:$A$1506,K514)+F514,2)&lt;&gt;0),"Umbuchung abweichend",IF(OR(G514="",M514="",M514="offen",M514="teilbelegt",H514="Ungeklärt",H514="Bargeld"),"Beleg / Verwendung klären","vollständig erfasst")))))))))</x:f>
      </x:c>
    </x:row>
    <x:row r="515" ht="22" customHeight="1">
      <x:c r="A515" s="7"/>
      <x:c r="B515" s="8"/>
      <x:c r="C515" s="7"/>
      <x:c r="D515" s="7"/>
      <x:c r="E515" s="7"/>
      <x:c r="F515" s="20"/>
      <x:c r="G515" s="7"/>
      <x:c r="H515" s="7"/>
      <x:c r="I515" s="7"/>
      <x:c r="J515" s="7"/>
      <x:c r="K515" s="7"/>
      <x:c r="L515" s="7"/>
      <x:c r="M515" s="7"/>
      <x:c r="N515" s="7"/>
      <x:c r="O515" s="2" t="str">
        <x:f>IF(A515="","",IF(COUNTIFS($A$7:$A$1506,A515)&gt;1,"Buchung-ID doppelt",IF(OR(NOT(ISNUMBER(B515)),C515="",NOT(ISNUMBER(F515)),H515="",L515=""),"Pflichtangaben fehlen",IF(COUNTIFS('Konten'!$A$7:$A$26,C515)&lt;&gt;1,"Konto nicht eindeutig",IF(J515&lt;&gt;"Ja","Zuordnung bestätigen",IF(OR(AND(H515="Einnahme",F515&lt;0),AND(H515="Ausgabe",F515&gt;0)),"Vorzeichen prüfen",IF(AND(H515="Umbuchung",OR(K515="",COUNTIFS($A$7:$A$1506,K515)&lt;&gt;1)),"Gegenbuchung fehlt",IF(AND(H515="Umbuchung",ROUND(SUMIFS($F$7:$F$1506,$A$7:$A$1506,K515)+F515,2)&lt;&gt;0),"Umbuchung abweichend",IF(OR(G515="",M515="",M515="offen",M515="teilbelegt",H515="Ungeklärt",H515="Bargeld"),"Beleg / Verwendung klären","vollständig erfasst")))))))))</x:f>
      </x:c>
    </x:row>
    <x:row r="516" ht="22" customHeight="1">
      <x:c r="A516" s="7"/>
      <x:c r="B516" s="8"/>
      <x:c r="C516" s="7"/>
      <x:c r="D516" s="7"/>
      <x:c r="E516" s="7"/>
      <x:c r="F516" s="20"/>
      <x:c r="G516" s="7"/>
      <x:c r="H516" s="7"/>
      <x:c r="I516" s="7"/>
      <x:c r="J516" s="7"/>
      <x:c r="K516" s="7"/>
      <x:c r="L516" s="7"/>
      <x:c r="M516" s="7"/>
      <x:c r="N516" s="7"/>
      <x:c r="O516" s="2" t="str">
        <x:f>IF(A516="","",IF(COUNTIFS($A$7:$A$1506,A516)&gt;1,"Buchung-ID doppelt",IF(OR(NOT(ISNUMBER(B516)),C516="",NOT(ISNUMBER(F516)),H516="",L516=""),"Pflichtangaben fehlen",IF(COUNTIFS('Konten'!$A$7:$A$26,C516)&lt;&gt;1,"Konto nicht eindeutig",IF(J516&lt;&gt;"Ja","Zuordnung bestätigen",IF(OR(AND(H516="Einnahme",F516&lt;0),AND(H516="Ausgabe",F516&gt;0)),"Vorzeichen prüfen",IF(AND(H516="Umbuchung",OR(K516="",COUNTIFS($A$7:$A$1506,K516)&lt;&gt;1)),"Gegenbuchung fehlt",IF(AND(H516="Umbuchung",ROUND(SUMIFS($F$7:$F$1506,$A$7:$A$1506,K516)+F516,2)&lt;&gt;0),"Umbuchung abweichend",IF(OR(G516="",M516="",M516="offen",M516="teilbelegt",H516="Ungeklärt",H516="Bargeld"),"Beleg / Verwendung klären","vollständig erfasst")))))))))</x:f>
      </x:c>
    </x:row>
    <x:row r="517" ht="22" customHeight="1">
      <x:c r="A517" s="7"/>
      <x:c r="B517" s="8"/>
      <x:c r="C517" s="7"/>
      <x:c r="D517" s="7"/>
      <x:c r="E517" s="7"/>
      <x:c r="F517" s="20"/>
      <x:c r="G517" s="7"/>
      <x:c r="H517" s="7"/>
      <x:c r="I517" s="7"/>
      <x:c r="J517" s="7"/>
      <x:c r="K517" s="7"/>
      <x:c r="L517" s="7"/>
      <x:c r="M517" s="7"/>
      <x:c r="N517" s="7"/>
      <x:c r="O517" s="2" t="str">
        <x:f>IF(A517="","",IF(COUNTIFS($A$7:$A$1506,A517)&gt;1,"Buchung-ID doppelt",IF(OR(NOT(ISNUMBER(B517)),C517="",NOT(ISNUMBER(F517)),H517="",L517=""),"Pflichtangaben fehlen",IF(COUNTIFS('Konten'!$A$7:$A$26,C517)&lt;&gt;1,"Konto nicht eindeutig",IF(J517&lt;&gt;"Ja","Zuordnung bestätigen",IF(OR(AND(H517="Einnahme",F517&lt;0),AND(H517="Ausgabe",F517&gt;0)),"Vorzeichen prüfen",IF(AND(H517="Umbuchung",OR(K517="",COUNTIFS($A$7:$A$1506,K517)&lt;&gt;1)),"Gegenbuchung fehlt",IF(AND(H517="Umbuchung",ROUND(SUMIFS($F$7:$F$1506,$A$7:$A$1506,K517)+F517,2)&lt;&gt;0),"Umbuchung abweichend",IF(OR(G517="",M517="",M517="offen",M517="teilbelegt",H517="Ungeklärt",H517="Bargeld"),"Beleg / Verwendung klären","vollständig erfasst")))))))))</x:f>
      </x:c>
    </x:row>
    <x:row r="518" ht="22" customHeight="1">
      <x:c r="A518" s="7"/>
      <x:c r="B518" s="8"/>
      <x:c r="C518" s="7"/>
      <x:c r="D518" s="7"/>
      <x:c r="E518" s="7"/>
      <x:c r="F518" s="20"/>
      <x:c r="G518" s="7"/>
      <x:c r="H518" s="7"/>
      <x:c r="I518" s="7"/>
      <x:c r="J518" s="7"/>
      <x:c r="K518" s="7"/>
      <x:c r="L518" s="7"/>
      <x:c r="M518" s="7"/>
      <x:c r="N518" s="7"/>
      <x:c r="O518" s="2" t="str">
        <x:f>IF(A518="","",IF(COUNTIFS($A$7:$A$1506,A518)&gt;1,"Buchung-ID doppelt",IF(OR(NOT(ISNUMBER(B518)),C518="",NOT(ISNUMBER(F518)),H518="",L518=""),"Pflichtangaben fehlen",IF(COUNTIFS('Konten'!$A$7:$A$26,C518)&lt;&gt;1,"Konto nicht eindeutig",IF(J518&lt;&gt;"Ja","Zuordnung bestätigen",IF(OR(AND(H518="Einnahme",F518&lt;0),AND(H518="Ausgabe",F518&gt;0)),"Vorzeichen prüfen",IF(AND(H518="Umbuchung",OR(K518="",COUNTIFS($A$7:$A$1506,K518)&lt;&gt;1)),"Gegenbuchung fehlt",IF(AND(H518="Umbuchung",ROUND(SUMIFS($F$7:$F$1506,$A$7:$A$1506,K518)+F518,2)&lt;&gt;0),"Umbuchung abweichend",IF(OR(G518="",M518="",M518="offen",M518="teilbelegt",H518="Ungeklärt",H518="Bargeld"),"Beleg / Verwendung klären","vollständig erfasst")))))))))</x:f>
      </x:c>
    </x:row>
    <x:row r="519" ht="22" customHeight="1">
      <x:c r="A519" s="7"/>
      <x:c r="B519" s="8"/>
      <x:c r="C519" s="7"/>
      <x:c r="D519" s="7"/>
      <x:c r="E519" s="7"/>
      <x:c r="F519" s="20"/>
      <x:c r="G519" s="7"/>
      <x:c r="H519" s="7"/>
      <x:c r="I519" s="7"/>
      <x:c r="J519" s="7"/>
      <x:c r="K519" s="7"/>
      <x:c r="L519" s="7"/>
      <x:c r="M519" s="7"/>
      <x:c r="N519" s="7"/>
      <x:c r="O519" s="2" t="str">
        <x:f>IF(A519="","",IF(COUNTIFS($A$7:$A$1506,A519)&gt;1,"Buchung-ID doppelt",IF(OR(NOT(ISNUMBER(B519)),C519="",NOT(ISNUMBER(F519)),H519="",L519=""),"Pflichtangaben fehlen",IF(COUNTIFS('Konten'!$A$7:$A$26,C519)&lt;&gt;1,"Konto nicht eindeutig",IF(J519&lt;&gt;"Ja","Zuordnung bestätigen",IF(OR(AND(H519="Einnahme",F519&lt;0),AND(H519="Ausgabe",F519&gt;0)),"Vorzeichen prüfen",IF(AND(H519="Umbuchung",OR(K519="",COUNTIFS($A$7:$A$1506,K519)&lt;&gt;1)),"Gegenbuchung fehlt",IF(AND(H519="Umbuchung",ROUND(SUMIFS($F$7:$F$1506,$A$7:$A$1506,K519)+F519,2)&lt;&gt;0),"Umbuchung abweichend",IF(OR(G519="",M519="",M519="offen",M519="teilbelegt",H519="Ungeklärt",H519="Bargeld"),"Beleg / Verwendung klären","vollständig erfasst")))))))))</x:f>
      </x:c>
    </x:row>
    <x:row r="520" ht="22" customHeight="1">
      <x:c r="A520" s="7"/>
      <x:c r="B520" s="8"/>
      <x:c r="C520" s="7"/>
      <x:c r="D520" s="7"/>
      <x:c r="E520" s="7"/>
      <x:c r="F520" s="20"/>
      <x:c r="G520" s="7"/>
      <x:c r="H520" s="7"/>
      <x:c r="I520" s="7"/>
      <x:c r="J520" s="7"/>
      <x:c r="K520" s="7"/>
      <x:c r="L520" s="7"/>
      <x:c r="M520" s="7"/>
      <x:c r="N520" s="7"/>
      <x:c r="O520" s="2" t="str">
        <x:f>IF(A520="","",IF(COUNTIFS($A$7:$A$1506,A520)&gt;1,"Buchung-ID doppelt",IF(OR(NOT(ISNUMBER(B520)),C520="",NOT(ISNUMBER(F520)),H520="",L520=""),"Pflichtangaben fehlen",IF(COUNTIFS('Konten'!$A$7:$A$26,C520)&lt;&gt;1,"Konto nicht eindeutig",IF(J520&lt;&gt;"Ja","Zuordnung bestätigen",IF(OR(AND(H520="Einnahme",F520&lt;0),AND(H520="Ausgabe",F520&gt;0)),"Vorzeichen prüfen",IF(AND(H520="Umbuchung",OR(K520="",COUNTIFS($A$7:$A$1506,K520)&lt;&gt;1)),"Gegenbuchung fehlt",IF(AND(H520="Umbuchung",ROUND(SUMIFS($F$7:$F$1506,$A$7:$A$1506,K520)+F520,2)&lt;&gt;0),"Umbuchung abweichend",IF(OR(G520="",M520="",M520="offen",M520="teilbelegt",H520="Ungeklärt",H520="Bargeld"),"Beleg / Verwendung klären","vollständig erfasst")))))))))</x:f>
      </x:c>
    </x:row>
    <x:row r="521" ht="22" customHeight="1">
      <x:c r="A521" s="7"/>
      <x:c r="B521" s="8"/>
      <x:c r="C521" s="7"/>
      <x:c r="D521" s="7"/>
      <x:c r="E521" s="7"/>
      <x:c r="F521" s="20"/>
      <x:c r="G521" s="7"/>
      <x:c r="H521" s="7"/>
      <x:c r="I521" s="7"/>
      <x:c r="J521" s="7"/>
      <x:c r="K521" s="7"/>
      <x:c r="L521" s="7"/>
      <x:c r="M521" s="7"/>
      <x:c r="N521" s="7"/>
      <x:c r="O521" s="2" t="str">
        <x:f>IF(A521="","",IF(COUNTIFS($A$7:$A$1506,A521)&gt;1,"Buchung-ID doppelt",IF(OR(NOT(ISNUMBER(B521)),C521="",NOT(ISNUMBER(F521)),H521="",L521=""),"Pflichtangaben fehlen",IF(COUNTIFS('Konten'!$A$7:$A$26,C521)&lt;&gt;1,"Konto nicht eindeutig",IF(J521&lt;&gt;"Ja","Zuordnung bestätigen",IF(OR(AND(H521="Einnahme",F521&lt;0),AND(H521="Ausgabe",F521&gt;0)),"Vorzeichen prüfen",IF(AND(H521="Umbuchung",OR(K521="",COUNTIFS($A$7:$A$1506,K521)&lt;&gt;1)),"Gegenbuchung fehlt",IF(AND(H521="Umbuchung",ROUND(SUMIFS($F$7:$F$1506,$A$7:$A$1506,K521)+F521,2)&lt;&gt;0),"Umbuchung abweichend",IF(OR(G521="",M521="",M521="offen",M521="teilbelegt",H521="Ungeklärt",H521="Bargeld"),"Beleg / Verwendung klären","vollständig erfasst")))))))))</x:f>
      </x:c>
    </x:row>
    <x:row r="522" ht="22" customHeight="1">
      <x:c r="A522" s="7"/>
      <x:c r="B522" s="8"/>
      <x:c r="C522" s="7"/>
      <x:c r="D522" s="7"/>
      <x:c r="E522" s="7"/>
      <x:c r="F522" s="20"/>
      <x:c r="G522" s="7"/>
      <x:c r="H522" s="7"/>
      <x:c r="I522" s="7"/>
      <x:c r="J522" s="7"/>
      <x:c r="K522" s="7"/>
      <x:c r="L522" s="7"/>
      <x:c r="M522" s="7"/>
      <x:c r="N522" s="7"/>
      <x:c r="O522" s="2" t="str">
        <x:f>IF(A522="","",IF(COUNTIFS($A$7:$A$1506,A522)&gt;1,"Buchung-ID doppelt",IF(OR(NOT(ISNUMBER(B522)),C522="",NOT(ISNUMBER(F522)),H522="",L522=""),"Pflichtangaben fehlen",IF(COUNTIFS('Konten'!$A$7:$A$26,C522)&lt;&gt;1,"Konto nicht eindeutig",IF(J522&lt;&gt;"Ja","Zuordnung bestätigen",IF(OR(AND(H522="Einnahme",F522&lt;0),AND(H522="Ausgabe",F522&gt;0)),"Vorzeichen prüfen",IF(AND(H522="Umbuchung",OR(K522="",COUNTIFS($A$7:$A$1506,K522)&lt;&gt;1)),"Gegenbuchung fehlt",IF(AND(H522="Umbuchung",ROUND(SUMIFS($F$7:$F$1506,$A$7:$A$1506,K522)+F522,2)&lt;&gt;0),"Umbuchung abweichend",IF(OR(G522="",M522="",M522="offen",M522="teilbelegt",H522="Ungeklärt",H522="Bargeld"),"Beleg / Verwendung klären","vollständig erfasst")))))))))</x:f>
      </x:c>
    </x:row>
    <x:row r="523" ht="22" customHeight="1">
      <x:c r="A523" s="7"/>
      <x:c r="B523" s="8"/>
      <x:c r="C523" s="7"/>
      <x:c r="D523" s="7"/>
      <x:c r="E523" s="7"/>
      <x:c r="F523" s="20"/>
      <x:c r="G523" s="7"/>
      <x:c r="H523" s="7"/>
      <x:c r="I523" s="7"/>
      <x:c r="J523" s="7"/>
      <x:c r="K523" s="7"/>
      <x:c r="L523" s="7"/>
      <x:c r="M523" s="7"/>
      <x:c r="N523" s="7"/>
      <x:c r="O523" s="2" t="str">
        <x:f>IF(A523="","",IF(COUNTIFS($A$7:$A$1506,A523)&gt;1,"Buchung-ID doppelt",IF(OR(NOT(ISNUMBER(B523)),C523="",NOT(ISNUMBER(F523)),H523="",L523=""),"Pflichtangaben fehlen",IF(COUNTIFS('Konten'!$A$7:$A$26,C523)&lt;&gt;1,"Konto nicht eindeutig",IF(J523&lt;&gt;"Ja","Zuordnung bestätigen",IF(OR(AND(H523="Einnahme",F523&lt;0),AND(H523="Ausgabe",F523&gt;0)),"Vorzeichen prüfen",IF(AND(H523="Umbuchung",OR(K523="",COUNTIFS($A$7:$A$1506,K523)&lt;&gt;1)),"Gegenbuchung fehlt",IF(AND(H523="Umbuchung",ROUND(SUMIFS($F$7:$F$1506,$A$7:$A$1506,K523)+F523,2)&lt;&gt;0),"Umbuchung abweichend",IF(OR(G523="",M523="",M523="offen",M523="teilbelegt",H523="Ungeklärt",H523="Bargeld"),"Beleg / Verwendung klären","vollständig erfasst")))))))))</x:f>
      </x:c>
    </x:row>
    <x:row r="524" ht="22" customHeight="1">
      <x:c r="A524" s="7"/>
      <x:c r="B524" s="8"/>
      <x:c r="C524" s="7"/>
      <x:c r="D524" s="7"/>
      <x:c r="E524" s="7"/>
      <x:c r="F524" s="20"/>
      <x:c r="G524" s="7"/>
      <x:c r="H524" s="7"/>
      <x:c r="I524" s="7"/>
      <x:c r="J524" s="7"/>
      <x:c r="K524" s="7"/>
      <x:c r="L524" s="7"/>
      <x:c r="M524" s="7"/>
      <x:c r="N524" s="7"/>
      <x:c r="O524" s="2" t="str">
        <x:f>IF(A524="","",IF(COUNTIFS($A$7:$A$1506,A524)&gt;1,"Buchung-ID doppelt",IF(OR(NOT(ISNUMBER(B524)),C524="",NOT(ISNUMBER(F524)),H524="",L524=""),"Pflichtangaben fehlen",IF(COUNTIFS('Konten'!$A$7:$A$26,C524)&lt;&gt;1,"Konto nicht eindeutig",IF(J524&lt;&gt;"Ja","Zuordnung bestätigen",IF(OR(AND(H524="Einnahme",F524&lt;0),AND(H524="Ausgabe",F524&gt;0)),"Vorzeichen prüfen",IF(AND(H524="Umbuchung",OR(K524="",COUNTIFS($A$7:$A$1506,K524)&lt;&gt;1)),"Gegenbuchung fehlt",IF(AND(H524="Umbuchung",ROUND(SUMIFS($F$7:$F$1506,$A$7:$A$1506,K524)+F524,2)&lt;&gt;0),"Umbuchung abweichend",IF(OR(G524="",M524="",M524="offen",M524="teilbelegt",H524="Ungeklärt",H524="Bargeld"),"Beleg / Verwendung klären","vollständig erfasst")))))))))</x:f>
      </x:c>
    </x:row>
    <x:row r="525" ht="22" customHeight="1">
      <x:c r="A525" s="7"/>
      <x:c r="B525" s="8"/>
      <x:c r="C525" s="7"/>
      <x:c r="D525" s="7"/>
      <x:c r="E525" s="7"/>
      <x:c r="F525" s="20"/>
      <x:c r="G525" s="7"/>
      <x:c r="H525" s="7"/>
      <x:c r="I525" s="7"/>
      <x:c r="J525" s="7"/>
      <x:c r="K525" s="7"/>
      <x:c r="L525" s="7"/>
      <x:c r="M525" s="7"/>
      <x:c r="N525" s="7"/>
      <x:c r="O525" s="2" t="str">
        <x:f>IF(A525="","",IF(COUNTIFS($A$7:$A$1506,A525)&gt;1,"Buchung-ID doppelt",IF(OR(NOT(ISNUMBER(B525)),C525="",NOT(ISNUMBER(F525)),H525="",L525=""),"Pflichtangaben fehlen",IF(COUNTIFS('Konten'!$A$7:$A$26,C525)&lt;&gt;1,"Konto nicht eindeutig",IF(J525&lt;&gt;"Ja","Zuordnung bestätigen",IF(OR(AND(H525="Einnahme",F525&lt;0),AND(H525="Ausgabe",F525&gt;0)),"Vorzeichen prüfen",IF(AND(H525="Umbuchung",OR(K525="",COUNTIFS($A$7:$A$1506,K525)&lt;&gt;1)),"Gegenbuchung fehlt",IF(AND(H525="Umbuchung",ROUND(SUMIFS($F$7:$F$1506,$A$7:$A$1506,K525)+F525,2)&lt;&gt;0),"Umbuchung abweichend",IF(OR(G525="",M525="",M525="offen",M525="teilbelegt",H525="Ungeklärt",H525="Bargeld"),"Beleg / Verwendung klären","vollständig erfasst")))))))))</x:f>
      </x:c>
    </x:row>
    <x:row r="526" ht="22" customHeight="1">
      <x:c r="A526" s="7"/>
      <x:c r="B526" s="8"/>
      <x:c r="C526" s="7"/>
      <x:c r="D526" s="7"/>
      <x:c r="E526" s="7"/>
      <x:c r="F526" s="20"/>
      <x:c r="G526" s="7"/>
      <x:c r="H526" s="7"/>
      <x:c r="I526" s="7"/>
      <x:c r="J526" s="7"/>
      <x:c r="K526" s="7"/>
      <x:c r="L526" s="7"/>
      <x:c r="M526" s="7"/>
      <x:c r="N526" s="7"/>
      <x:c r="O526" s="2" t="str">
        <x:f>IF(A526="","",IF(COUNTIFS($A$7:$A$1506,A526)&gt;1,"Buchung-ID doppelt",IF(OR(NOT(ISNUMBER(B526)),C526="",NOT(ISNUMBER(F526)),H526="",L526=""),"Pflichtangaben fehlen",IF(COUNTIFS('Konten'!$A$7:$A$26,C526)&lt;&gt;1,"Konto nicht eindeutig",IF(J526&lt;&gt;"Ja","Zuordnung bestätigen",IF(OR(AND(H526="Einnahme",F526&lt;0),AND(H526="Ausgabe",F526&gt;0)),"Vorzeichen prüfen",IF(AND(H526="Umbuchung",OR(K526="",COUNTIFS($A$7:$A$1506,K526)&lt;&gt;1)),"Gegenbuchung fehlt",IF(AND(H526="Umbuchung",ROUND(SUMIFS($F$7:$F$1506,$A$7:$A$1506,K526)+F526,2)&lt;&gt;0),"Umbuchung abweichend",IF(OR(G526="",M526="",M526="offen",M526="teilbelegt",H526="Ungeklärt",H526="Bargeld"),"Beleg / Verwendung klären","vollständig erfasst")))))))))</x:f>
      </x:c>
    </x:row>
    <x:row r="527" ht="22" customHeight="1">
      <x:c r="A527" s="7"/>
      <x:c r="B527" s="8"/>
      <x:c r="C527" s="7"/>
      <x:c r="D527" s="7"/>
      <x:c r="E527" s="7"/>
      <x:c r="F527" s="20"/>
      <x:c r="G527" s="7"/>
      <x:c r="H527" s="7"/>
      <x:c r="I527" s="7"/>
      <x:c r="J527" s="7"/>
      <x:c r="K527" s="7"/>
      <x:c r="L527" s="7"/>
      <x:c r="M527" s="7"/>
      <x:c r="N527" s="7"/>
      <x:c r="O527" s="2" t="str">
        <x:f>IF(A527="","",IF(COUNTIFS($A$7:$A$1506,A527)&gt;1,"Buchung-ID doppelt",IF(OR(NOT(ISNUMBER(B527)),C527="",NOT(ISNUMBER(F527)),H527="",L527=""),"Pflichtangaben fehlen",IF(COUNTIFS('Konten'!$A$7:$A$26,C527)&lt;&gt;1,"Konto nicht eindeutig",IF(J527&lt;&gt;"Ja","Zuordnung bestätigen",IF(OR(AND(H527="Einnahme",F527&lt;0),AND(H527="Ausgabe",F527&gt;0)),"Vorzeichen prüfen",IF(AND(H527="Umbuchung",OR(K527="",COUNTIFS($A$7:$A$1506,K527)&lt;&gt;1)),"Gegenbuchung fehlt",IF(AND(H527="Umbuchung",ROUND(SUMIFS($F$7:$F$1506,$A$7:$A$1506,K527)+F527,2)&lt;&gt;0),"Umbuchung abweichend",IF(OR(G527="",M527="",M527="offen",M527="teilbelegt",H527="Ungeklärt",H527="Bargeld"),"Beleg / Verwendung klären","vollständig erfasst")))))))))</x:f>
      </x:c>
    </x:row>
    <x:row r="528" ht="22" customHeight="1">
      <x:c r="A528" s="7"/>
      <x:c r="B528" s="8"/>
      <x:c r="C528" s="7"/>
      <x:c r="D528" s="7"/>
      <x:c r="E528" s="7"/>
      <x:c r="F528" s="20"/>
      <x:c r="G528" s="7"/>
      <x:c r="H528" s="7"/>
      <x:c r="I528" s="7"/>
      <x:c r="J528" s="7"/>
      <x:c r="K528" s="7"/>
      <x:c r="L528" s="7"/>
      <x:c r="M528" s="7"/>
      <x:c r="N528" s="7"/>
      <x:c r="O528" s="2" t="str">
        <x:f>IF(A528="","",IF(COUNTIFS($A$7:$A$1506,A528)&gt;1,"Buchung-ID doppelt",IF(OR(NOT(ISNUMBER(B528)),C528="",NOT(ISNUMBER(F528)),H528="",L528=""),"Pflichtangaben fehlen",IF(COUNTIFS('Konten'!$A$7:$A$26,C528)&lt;&gt;1,"Konto nicht eindeutig",IF(J528&lt;&gt;"Ja","Zuordnung bestätigen",IF(OR(AND(H528="Einnahme",F528&lt;0),AND(H528="Ausgabe",F528&gt;0)),"Vorzeichen prüfen",IF(AND(H528="Umbuchung",OR(K528="",COUNTIFS($A$7:$A$1506,K528)&lt;&gt;1)),"Gegenbuchung fehlt",IF(AND(H528="Umbuchung",ROUND(SUMIFS($F$7:$F$1506,$A$7:$A$1506,K528)+F528,2)&lt;&gt;0),"Umbuchung abweichend",IF(OR(G528="",M528="",M528="offen",M528="teilbelegt",H528="Ungeklärt",H528="Bargeld"),"Beleg / Verwendung klären","vollständig erfasst")))))))))</x:f>
      </x:c>
    </x:row>
    <x:row r="529" ht="22" customHeight="1">
      <x:c r="A529" s="7"/>
      <x:c r="B529" s="8"/>
      <x:c r="C529" s="7"/>
      <x:c r="D529" s="7"/>
      <x:c r="E529" s="7"/>
      <x:c r="F529" s="20"/>
      <x:c r="G529" s="7"/>
      <x:c r="H529" s="7"/>
      <x:c r="I529" s="7"/>
      <x:c r="J529" s="7"/>
      <x:c r="K529" s="7"/>
      <x:c r="L529" s="7"/>
      <x:c r="M529" s="7"/>
      <x:c r="N529" s="7"/>
      <x:c r="O529" s="2" t="str">
        <x:f>IF(A529="","",IF(COUNTIFS($A$7:$A$1506,A529)&gt;1,"Buchung-ID doppelt",IF(OR(NOT(ISNUMBER(B529)),C529="",NOT(ISNUMBER(F529)),H529="",L529=""),"Pflichtangaben fehlen",IF(COUNTIFS('Konten'!$A$7:$A$26,C529)&lt;&gt;1,"Konto nicht eindeutig",IF(J529&lt;&gt;"Ja","Zuordnung bestätigen",IF(OR(AND(H529="Einnahme",F529&lt;0),AND(H529="Ausgabe",F529&gt;0)),"Vorzeichen prüfen",IF(AND(H529="Umbuchung",OR(K529="",COUNTIFS($A$7:$A$1506,K529)&lt;&gt;1)),"Gegenbuchung fehlt",IF(AND(H529="Umbuchung",ROUND(SUMIFS($F$7:$F$1506,$A$7:$A$1506,K529)+F529,2)&lt;&gt;0),"Umbuchung abweichend",IF(OR(G529="",M529="",M529="offen",M529="teilbelegt",H529="Ungeklärt",H529="Bargeld"),"Beleg / Verwendung klären","vollständig erfasst")))))))))</x:f>
      </x:c>
    </x:row>
    <x:row r="530" ht="22" customHeight="1">
      <x:c r="A530" s="7"/>
      <x:c r="B530" s="8"/>
      <x:c r="C530" s="7"/>
      <x:c r="D530" s="7"/>
      <x:c r="E530" s="7"/>
      <x:c r="F530" s="20"/>
      <x:c r="G530" s="7"/>
      <x:c r="H530" s="7"/>
      <x:c r="I530" s="7"/>
      <x:c r="J530" s="7"/>
      <x:c r="K530" s="7"/>
      <x:c r="L530" s="7"/>
      <x:c r="M530" s="7"/>
      <x:c r="N530" s="7"/>
      <x:c r="O530" s="2" t="str">
        <x:f>IF(A530="","",IF(COUNTIFS($A$7:$A$1506,A530)&gt;1,"Buchung-ID doppelt",IF(OR(NOT(ISNUMBER(B530)),C530="",NOT(ISNUMBER(F530)),H530="",L530=""),"Pflichtangaben fehlen",IF(COUNTIFS('Konten'!$A$7:$A$26,C530)&lt;&gt;1,"Konto nicht eindeutig",IF(J530&lt;&gt;"Ja","Zuordnung bestätigen",IF(OR(AND(H530="Einnahme",F530&lt;0),AND(H530="Ausgabe",F530&gt;0)),"Vorzeichen prüfen",IF(AND(H530="Umbuchung",OR(K530="",COUNTIFS($A$7:$A$1506,K530)&lt;&gt;1)),"Gegenbuchung fehlt",IF(AND(H530="Umbuchung",ROUND(SUMIFS($F$7:$F$1506,$A$7:$A$1506,K530)+F530,2)&lt;&gt;0),"Umbuchung abweichend",IF(OR(G530="",M530="",M530="offen",M530="teilbelegt",H530="Ungeklärt",H530="Bargeld"),"Beleg / Verwendung klären","vollständig erfasst")))))))))</x:f>
      </x:c>
    </x:row>
    <x:row r="531" ht="22" customHeight="1">
      <x:c r="A531" s="7"/>
      <x:c r="B531" s="8"/>
      <x:c r="C531" s="7"/>
      <x:c r="D531" s="7"/>
      <x:c r="E531" s="7"/>
      <x:c r="F531" s="20"/>
      <x:c r="G531" s="7"/>
      <x:c r="H531" s="7"/>
      <x:c r="I531" s="7"/>
      <x:c r="J531" s="7"/>
      <x:c r="K531" s="7"/>
      <x:c r="L531" s="7"/>
      <x:c r="M531" s="7"/>
      <x:c r="N531" s="7"/>
      <x:c r="O531" s="2" t="str">
        <x:f>IF(A531="","",IF(COUNTIFS($A$7:$A$1506,A531)&gt;1,"Buchung-ID doppelt",IF(OR(NOT(ISNUMBER(B531)),C531="",NOT(ISNUMBER(F531)),H531="",L531=""),"Pflichtangaben fehlen",IF(COUNTIFS('Konten'!$A$7:$A$26,C531)&lt;&gt;1,"Konto nicht eindeutig",IF(J531&lt;&gt;"Ja","Zuordnung bestätigen",IF(OR(AND(H531="Einnahme",F531&lt;0),AND(H531="Ausgabe",F531&gt;0)),"Vorzeichen prüfen",IF(AND(H531="Umbuchung",OR(K531="",COUNTIFS($A$7:$A$1506,K531)&lt;&gt;1)),"Gegenbuchung fehlt",IF(AND(H531="Umbuchung",ROUND(SUMIFS($F$7:$F$1506,$A$7:$A$1506,K531)+F531,2)&lt;&gt;0),"Umbuchung abweichend",IF(OR(G531="",M531="",M531="offen",M531="teilbelegt",H531="Ungeklärt",H531="Bargeld"),"Beleg / Verwendung klären","vollständig erfasst")))))))))</x:f>
      </x:c>
    </x:row>
    <x:row r="532" ht="22" customHeight="1">
      <x:c r="A532" s="7"/>
      <x:c r="B532" s="8"/>
      <x:c r="C532" s="7"/>
      <x:c r="D532" s="7"/>
      <x:c r="E532" s="7"/>
      <x:c r="F532" s="20"/>
      <x:c r="G532" s="7"/>
      <x:c r="H532" s="7"/>
      <x:c r="I532" s="7"/>
      <x:c r="J532" s="7"/>
      <x:c r="K532" s="7"/>
      <x:c r="L532" s="7"/>
      <x:c r="M532" s="7"/>
      <x:c r="N532" s="7"/>
      <x:c r="O532" s="2" t="str">
        <x:f>IF(A532="","",IF(COUNTIFS($A$7:$A$1506,A532)&gt;1,"Buchung-ID doppelt",IF(OR(NOT(ISNUMBER(B532)),C532="",NOT(ISNUMBER(F532)),H532="",L532=""),"Pflichtangaben fehlen",IF(COUNTIFS('Konten'!$A$7:$A$26,C532)&lt;&gt;1,"Konto nicht eindeutig",IF(J532&lt;&gt;"Ja","Zuordnung bestätigen",IF(OR(AND(H532="Einnahme",F532&lt;0),AND(H532="Ausgabe",F532&gt;0)),"Vorzeichen prüfen",IF(AND(H532="Umbuchung",OR(K532="",COUNTIFS($A$7:$A$1506,K532)&lt;&gt;1)),"Gegenbuchung fehlt",IF(AND(H532="Umbuchung",ROUND(SUMIFS($F$7:$F$1506,$A$7:$A$1506,K532)+F532,2)&lt;&gt;0),"Umbuchung abweichend",IF(OR(G532="",M532="",M532="offen",M532="teilbelegt",H532="Ungeklärt",H532="Bargeld"),"Beleg / Verwendung klären","vollständig erfasst")))))))))</x:f>
      </x:c>
    </x:row>
    <x:row r="533" ht="22" customHeight="1">
      <x:c r="A533" s="7"/>
      <x:c r="B533" s="8"/>
      <x:c r="C533" s="7"/>
      <x:c r="D533" s="7"/>
      <x:c r="E533" s="7"/>
      <x:c r="F533" s="20"/>
      <x:c r="G533" s="7"/>
      <x:c r="H533" s="7"/>
      <x:c r="I533" s="7"/>
      <x:c r="J533" s="7"/>
      <x:c r="K533" s="7"/>
      <x:c r="L533" s="7"/>
      <x:c r="M533" s="7"/>
      <x:c r="N533" s="7"/>
      <x:c r="O533" s="2" t="str">
        <x:f>IF(A533="","",IF(COUNTIFS($A$7:$A$1506,A533)&gt;1,"Buchung-ID doppelt",IF(OR(NOT(ISNUMBER(B533)),C533="",NOT(ISNUMBER(F533)),H533="",L533=""),"Pflichtangaben fehlen",IF(COUNTIFS('Konten'!$A$7:$A$26,C533)&lt;&gt;1,"Konto nicht eindeutig",IF(J533&lt;&gt;"Ja","Zuordnung bestätigen",IF(OR(AND(H533="Einnahme",F533&lt;0),AND(H533="Ausgabe",F533&gt;0)),"Vorzeichen prüfen",IF(AND(H533="Umbuchung",OR(K533="",COUNTIFS($A$7:$A$1506,K533)&lt;&gt;1)),"Gegenbuchung fehlt",IF(AND(H533="Umbuchung",ROUND(SUMIFS($F$7:$F$1506,$A$7:$A$1506,K533)+F533,2)&lt;&gt;0),"Umbuchung abweichend",IF(OR(G533="",M533="",M533="offen",M533="teilbelegt",H533="Ungeklärt",H533="Bargeld"),"Beleg / Verwendung klären","vollständig erfasst")))))))))</x:f>
      </x:c>
    </x:row>
    <x:row r="534" ht="22" customHeight="1">
      <x:c r="A534" s="7"/>
      <x:c r="B534" s="8"/>
      <x:c r="C534" s="7"/>
      <x:c r="D534" s="7"/>
      <x:c r="E534" s="7"/>
      <x:c r="F534" s="20"/>
      <x:c r="G534" s="7"/>
      <x:c r="H534" s="7"/>
      <x:c r="I534" s="7"/>
      <x:c r="J534" s="7"/>
      <x:c r="K534" s="7"/>
      <x:c r="L534" s="7"/>
      <x:c r="M534" s="7"/>
      <x:c r="N534" s="7"/>
      <x:c r="O534" s="2" t="str">
        <x:f>IF(A534="","",IF(COUNTIFS($A$7:$A$1506,A534)&gt;1,"Buchung-ID doppelt",IF(OR(NOT(ISNUMBER(B534)),C534="",NOT(ISNUMBER(F534)),H534="",L534=""),"Pflichtangaben fehlen",IF(COUNTIFS('Konten'!$A$7:$A$26,C534)&lt;&gt;1,"Konto nicht eindeutig",IF(J534&lt;&gt;"Ja","Zuordnung bestätigen",IF(OR(AND(H534="Einnahme",F534&lt;0),AND(H534="Ausgabe",F534&gt;0)),"Vorzeichen prüfen",IF(AND(H534="Umbuchung",OR(K534="",COUNTIFS($A$7:$A$1506,K534)&lt;&gt;1)),"Gegenbuchung fehlt",IF(AND(H534="Umbuchung",ROUND(SUMIFS($F$7:$F$1506,$A$7:$A$1506,K534)+F534,2)&lt;&gt;0),"Umbuchung abweichend",IF(OR(G534="",M534="",M534="offen",M534="teilbelegt",H534="Ungeklärt",H534="Bargeld"),"Beleg / Verwendung klären","vollständig erfasst")))))))))</x:f>
      </x:c>
    </x:row>
    <x:row r="535" ht="22" customHeight="1">
      <x:c r="A535" s="7"/>
      <x:c r="B535" s="8"/>
      <x:c r="C535" s="7"/>
      <x:c r="D535" s="7"/>
      <x:c r="E535" s="7"/>
      <x:c r="F535" s="20"/>
      <x:c r="G535" s="7"/>
      <x:c r="H535" s="7"/>
      <x:c r="I535" s="7"/>
      <x:c r="J535" s="7"/>
      <x:c r="K535" s="7"/>
      <x:c r="L535" s="7"/>
      <x:c r="M535" s="7"/>
      <x:c r="N535" s="7"/>
      <x:c r="O535" s="2" t="str">
        <x:f>IF(A535="","",IF(COUNTIFS($A$7:$A$1506,A535)&gt;1,"Buchung-ID doppelt",IF(OR(NOT(ISNUMBER(B535)),C535="",NOT(ISNUMBER(F535)),H535="",L535=""),"Pflichtangaben fehlen",IF(COUNTIFS('Konten'!$A$7:$A$26,C535)&lt;&gt;1,"Konto nicht eindeutig",IF(J535&lt;&gt;"Ja","Zuordnung bestätigen",IF(OR(AND(H535="Einnahme",F535&lt;0),AND(H535="Ausgabe",F535&gt;0)),"Vorzeichen prüfen",IF(AND(H535="Umbuchung",OR(K535="",COUNTIFS($A$7:$A$1506,K535)&lt;&gt;1)),"Gegenbuchung fehlt",IF(AND(H535="Umbuchung",ROUND(SUMIFS($F$7:$F$1506,$A$7:$A$1506,K535)+F535,2)&lt;&gt;0),"Umbuchung abweichend",IF(OR(G535="",M535="",M535="offen",M535="teilbelegt",H535="Ungeklärt",H535="Bargeld"),"Beleg / Verwendung klären","vollständig erfasst")))))))))</x:f>
      </x:c>
    </x:row>
    <x:row r="536" ht="22" customHeight="1">
      <x:c r="A536" s="7"/>
      <x:c r="B536" s="8"/>
      <x:c r="C536" s="7"/>
      <x:c r="D536" s="7"/>
      <x:c r="E536" s="7"/>
      <x:c r="F536" s="20"/>
      <x:c r="G536" s="7"/>
      <x:c r="H536" s="7"/>
      <x:c r="I536" s="7"/>
      <x:c r="J536" s="7"/>
      <x:c r="K536" s="7"/>
      <x:c r="L536" s="7"/>
      <x:c r="M536" s="7"/>
      <x:c r="N536" s="7"/>
      <x:c r="O536" s="2" t="str">
        <x:f>IF(A536="","",IF(COUNTIFS($A$7:$A$1506,A536)&gt;1,"Buchung-ID doppelt",IF(OR(NOT(ISNUMBER(B536)),C536="",NOT(ISNUMBER(F536)),H536="",L536=""),"Pflichtangaben fehlen",IF(COUNTIFS('Konten'!$A$7:$A$26,C536)&lt;&gt;1,"Konto nicht eindeutig",IF(J536&lt;&gt;"Ja","Zuordnung bestätigen",IF(OR(AND(H536="Einnahme",F536&lt;0),AND(H536="Ausgabe",F536&gt;0)),"Vorzeichen prüfen",IF(AND(H536="Umbuchung",OR(K536="",COUNTIFS($A$7:$A$1506,K536)&lt;&gt;1)),"Gegenbuchung fehlt",IF(AND(H536="Umbuchung",ROUND(SUMIFS($F$7:$F$1506,$A$7:$A$1506,K536)+F536,2)&lt;&gt;0),"Umbuchung abweichend",IF(OR(G536="",M536="",M536="offen",M536="teilbelegt",H536="Ungeklärt",H536="Bargeld"),"Beleg / Verwendung klären","vollständig erfasst")))))))))</x:f>
      </x:c>
    </x:row>
    <x:row r="537" ht="22" customHeight="1">
      <x:c r="A537" s="7"/>
      <x:c r="B537" s="8"/>
      <x:c r="C537" s="7"/>
      <x:c r="D537" s="7"/>
      <x:c r="E537" s="7"/>
      <x:c r="F537" s="20"/>
      <x:c r="G537" s="7"/>
      <x:c r="H537" s="7"/>
      <x:c r="I537" s="7"/>
      <x:c r="J537" s="7"/>
      <x:c r="K537" s="7"/>
      <x:c r="L537" s="7"/>
      <x:c r="M537" s="7"/>
      <x:c r="N537" s="7"/>
      <x:c r="O537" s="2" t="str">
        <x:f>IF(A537="","",IF(COUNTIFS($A$7:$A$1506,A537)&gt;1,"Buchung-ID doppelt",IF(OR(NOT(ISNUMBER(B537)),C537="",NOT(ISNUMBER(F537)),H537="",L537=""),"Pflichtangaben fehlen",IF(COUNTIFS('Konten'!$A$7:$A$26,C537)&lt;&gt;1,"Konto nicht eindeutig",IF(J537&lt;&gt;"Ja","Zuordnung bestätigen",IF(OR(AND(H537="Einnahme",F537&lt;0),AND(H537="Ausgabe",F537&gt;0)),"Vorzeichen prüfen",IF(AND(H537="Umbuchung",OR(K537="",COUNTIFS($A$7:$A$1506,K537)&lt;&gt;1)),"Gegenbuchung fehlt",IF(AND(H537="Umbuchung",ROUND(SUMIFS($F$7:$F$1506,$A$7:$A$1506,K537)+F537,2)&lt;&gt;0),"Umbuchung abweichend",IF(OR(G537="",M537="",M537="offen",M537="teilbelegt",H537="Ungeklärt",H537="Bargeld"),"Beleg / Verwendung klären","vollständig erfasst")))))))))</x:f>
      </x:c>
    </x:row>
    <x:row r="538" ht="22" customHeight="1">
      <x:c r="A538" s="7"/>
      <x:c r="B538" s="8"/>
      <x:c r="C538" s="7"/>
      <x:c r="D538" s="7"/>
      <x:c r="E538" s="7"/>
      <x:c r="F538" s="20"/>
      <x:c r="G538" s="7"/>
      <x:c r="H538" s="7"/>
      <x:c r="I538" s="7"/>
      <x:c r="J538" s="7"/>
      <x:c r="K538" s="7"/>
      <x:c r="L538" s="7"/>
      <x:c r="M538" s="7"/>
      <x:c r="N538" s="7"/>
      <x:c r="O538" s="2" t="str">
        <x:f>IF(A538="","",IF(COUNTIFS($A$7:$A$1506,A538)&gt;1,"Buchung-ID doppelt",IF(OR(NOT(ISNUMBER(B538)),C538="",NOT(ISNUMBER(F538)),H538="",L538=""),"Pflichtangaben fehlen",IF(COUNTIFS('Konten'!$A$7:$A$26,C538)&lt;&gt;1,"Konto nicht eindeutig",IF(J538&lt;&gt;"Ja","Zuordnung bestätigen",IF(OR(AND(H538="Einnahme",F538&lt;0),AND(H538="Ausgabe",F538&gt;0)),"Vorzeichen prüfen",IF(AND(H538="Umbuchung",OR(K538="",COUNTIFS($A$7:$A$1506,K538)&lt;&gt;1)),"Gegenbuchung fehlt",IF(AND(H538="Umbuchung",ROUND(SUMIFS($F$7:$F$1506,$A$7:$A$1506,K538)+F538,2)&lt;&gt;0),"Umbuchung abweichend",IF(OR(G538="",M538="",M538="offen",M538="teilbelegt",H538="Ungeklärt",H538="Bargeld"),"Beleg / Verwendung klären","vollständig erfasst")))))))))</x:f>
      </x:c>
    </x:row>
    <x:row r="539" ht="22" customHeight="1">
      <x:c r="A539" s="7"/>
      <x:c r="B539" s="8"/>
      <x:c r="C539" s="7"/>
      <x:c r="D539" s="7"/>
      <x:c r="E539" s="7"/>
      <x:c r="F539" s="20"/>
      <x:c r="G539" s="7"/>
      <x:c r="H539" s="7"/>
      <x:c r="I539" s="7"/>
      <x:c r="J539" s="7"/>
      <x:c r="K539" s="7"/>
      <x:c r="L539" s="7"/>
      <x:c r="M539" s="7"/>
      <x:c r="N539" s="7"/>
      <x:c r="O539" s="2" t="str">
        <x:f>IF(A539="","",IF(COUNTIFS($A$7:$A$1506,A539)&gt;1,"Buchung-ID doppelt",IF(OR(NOT(ISNUMBER(B539)),C539="",NOT(ISNUMBER(F539)),H539="",L539=""),"Pflichtangaben fehlen",IF(COUNTIFS('Konten'!$A$7:$A$26,C539)&lt;&gt;1,"Konto nicht eindeutig",IF(J539&lt;&gt;"Ja","Zuordnung bestätigen",IF(OR(AND(H539="Einnahme",F539&lt;0),AND(H539="Ausgabe",F539&gt;0)),"Vorzeichen prüfen",IF(AND(H539="Umbuchung",OR(K539="",COUNTIFS($A$7:$A$1506,K539)&lt;&gt;1)),"Gegenbuchung fehlt",IF(AND(H539="Umbuchung",ROUND(SUMIFS($F$7:$F$1506,$A$7:$A$1506,K539)+F539,2)&lt;&gt;0),"Umbuchung abweichend",IF(OR(G539="",M539="",M539="offen",M539="teilbelegt",H539="Ungeklärt",H539="Bargeld"),"Beleg / Verwendung klären","vollständig erfasst")))))))))</x:f>
      </x:c>
    </x:row>
    <x:row r="540" ht="22" customHeight="1">
      <x:c r="A540" s="7"/>
      <x:c r="B540" s="8"/>
      <x:c r="C540" s="7"/>
      <x:c r="D540" s="7"/>
      <x:c r="E540" s="7"/>
      <x:c r="F540" s="20"/>
      <x:c r="G540" s="7"/>
      <x:c r="H540" s="7"/>
      <x:c r="I540" s="7"/>
      <x:c r="J540" s="7"/>
      <x:c r="K540" s="7"/>
      <x:c r="L540" s="7"/>
      <x:c r="M540" s="7"/>
      <x:c r="N540" s="7"/>
      <x:c r="O540" s="2" t="str">
        <x:f>IF(A540="","",IF(COUNTIFS($A$7:$A$1506,A540)&gt;1,"Buchung-ID doppelt",IF(OR(NOT(ISNUMBER(B540)),C540="",NOT(ISNUMBER(F540)),H540="",L540=""),"Pflichtangaben fehlen",IF(COUNTIFS('Konten'!$A$7:$A$26,C540)&lt;&gt;1,"Konto nicht eindeutig",IF(J540&lt;&gt;"Ja","Zuordnung bestätigen",IF(OR(AND(H540="Einnahme",F540&lt;0),AND(H540="Ausgabe",F540&gt;0)),"Vorzeichen prüfen",IF(AND(H540="Umbuchung",OR(K540="",COUNTIFS($A$7:$A$1506,K540)&lt;&gt;1)),"Gegenbuchung fehlt",IF(AND(H540="Umbuchung",ROUND(SUMIFS($F$7:$F$1506,$A$7:$A$1506,K540)+F540,2)&lt;&gt;0),"Umbuchung abweichend",IF(OR(G540="",M540="",M540="offen",M540="teilbelegt",H540="Ungeklärt",H540="Bargeld"),"Beleg / Verwendung klären","vollständig erfasst")))))))))</x:f>
      </x:c>
    </x:row>
    <x:row r="541" ht="22" customHeight="1">
      <x:c r="A541" s="7"/>
      <x:c r="B541" s="8"/>
      <x:c r="C541" s="7"/>
      <x:c r="D541" s="7"/>
      <x:c r="E541" s="7"/>
      <x:c r="F541" s="20"/>
      <x:c r="G541" s="7"/>
      <x:c r="H541" s="7"/>
      <x:c r="I541" s="7"/>
      <x:c r="J541" s="7"/>
      <x:c r="K541" s="7"/>
      <x:c r="L541" s="7"/>
      <x:c r="M541" s="7"/>
      <x:c r="N541" s="7"/>
      <x:c r="O541" s="2" t="str">
        <x:f>IF(A541="","",IF(COUNTIFS($A$7:$A$1506,A541)&gt;1,"Buchung-ID doppelt",IF(OR(NOT(ISNUMBER(B541)),C541="",NOT(ISNUMBER(F541)),H541="",L541=""),"Pflichtangaben fehlen",IF(COUNTIFS('Konten'!$A$7:$A$26,C541)&lt;&gt;1,"Konto nicht eindeutig",IF(J541&lt;&gt;"Ja","Zuordnung bestätigen",IF(OR(AND(H541="Einnahme",F541&lt;0),AND(H541="Ausgabe",F541&gt;0)),"Vorzeichen prüfen",IF(AND(H541="Umbuchung",OR(K541="",COUNTIFS($A$7:$A$1506,K541)&lt;&gt;1)),"Gegenbuchung fehlt",IF(AND(H541="Umbuchung",ROUND(SUMIFS($F$7:$F$1506,$A$7:$A$1506,K541)+F541,2)&lt;&gt;0),"Umbuchung abweichend",IF(OR(G541="",M541="",M541="offen",M541="teilbelegt",H541="Ungeklärt",H541="Bargeld"),"Beleg / Verwendung klären","vollständig erfasst")))))))))</x:f>
      </x:c>
    </x:row>
    <x:row r="542" ht="22" customHeight="1">
      <x:c r="A542" s="7"/>
      <x:c r="B542" s="8"/>
      <x:c r="C542" s="7"/>
      <x:c r="D542" s="7"/>
      <x:c r="E542" s="7"/>
      <x:c r="F542" s="20"/>
      <x:c r="G542" s="7"/>
      <x:c r="H542" s="7"/>
      <x:c r="I542" s="7"/>
      <x:c r="J542" s="7"/>
      <x:c r="K542" s="7"/>
      <x:c r="L542" s="7"/>
      <x:c r="M542" s="7"/>
      <x:c r="N542" s="7"/>
      <x:c r="O542" s="2" t="str">
        <x:f>IF(A542="","",IF(COUNTIFS($A$7:$A$1506,A542)&gt;1,"Buchung-ID doppelt",IF(OR(NOT(ISNUMBER(B542)),C542="",NOT(ISNUMBER(F542)),H542="",L542=""),"Pflichtangaben fehlen",IF(COUNTIFS('Konten'!$A$7:$A$26,C542)&lt;&gt;1,"Konto nicht eindeutig",IF(J542&lt;&gt;"Ja","Zuordnung bestätigen",IF(OR(AND(H542="Einnahme",F542&lt;0),AND(H542="Ausgabe",F542&gt;0)),"Vorzeichen prüfen",IF(AND(H542="Umbuchung",OR(K542="",COUNTIFS($A$7:$A$1506,K542)&lt;&gt;1)),"Gegenbuchung fehlt",IF(AND(H542="Umbuchung",ROUND(SUMIFS($F$7:$F$1506,$A$7:$A$1506,K542)+F542,2)&lt;&gt;0),"Umbuchung abweichend",IF(OR(G542="",M542="",M542="offen",M542="teilbelegt",H542="Ungeklärt",H542="Bargeld"),"Beleg / Verwendung klären","vollständig erfasst")))))))))</x:f>
      </x:c>
    </x:row>
    <x:row r="543" ht="22" customHeight="1">
      <x:c r="A543" s="7"/>
      <x:c r="B543" s="8"/>
      <x:c r="C543" s="7"/>
      <x:c r="D543" s="7"/>
      <x:c r="E543" s="7"/>
      <x:c r="F543" s="20"/>
      <x:c r="G543" s="7"/>
      <x:c r="H543" s="7"/>
      <x:c r="I543" s="7"/>
      <x:c r="J543" s="7"/>
      <x:c r="K543" s="7"/>
      <x:c r="L543" s="7"/>
      <x:c r="M543" s="7"/>
      <x:c r="N543" s="7"/>
      <x:c r="O543" s="2" t="str">
        <x:f>IF(A543="","",IF(COUNTIFS($A$7:$A$1506,A543)&gt;1,"Buchung-ID doppelt",IF(OR(NOT(ISNUMBER(B543)),C543="",NOT(ISNUMBER(F543)),H543="",L543=""),"Pflichtangaben fehlen",IF(COUNTIFS('Konten'!$A$7:$A$26,C543)&lt;&gt;1,"Konto nicht eindeutig",IF(J543&lt;&gt;"Ja","Zuordnung bestätigen",IF(OR(AND(H543="Einnahme",F543&lt;0),AND(H543="Ausgabe",F543&gt;0)),"Vorzeichen prüfen",IF(AND(H543="Umbuchung",OR(K543="",COUNTIFS($A$7:$A$1506,K543)&lt;&gt;1)),"Gegenbuchung fehlt",IF(AND(H543="Umbuchung",ROUND(SUMIFS($F$7:$F$1506,$A$7:$A$1506,K543)+F543,2)&lt;&gt;0),"Umbuchung abweichend",IF(OR(G543="",M543="",M543="offen",M543="teilbelegt",H543="Ungeklärt",H543="Bargeld"),"Beleg / Verwendung klären","vollständig erfasst")))))))))</x:f>
      </x:c>
    </x:row>
    <x:row r="544" ht="22" customHeight="1">
      <x:c r="A544" s="7"/>
      <x:c r="B544" s="8"/>
      <x:c r="C544" s="7"/>
      <x:c r="D544" s="7"/>
      <x:c r="E544" s="7"/>
      <x:c r="F544" s="20"/>
      <x:c r="G544" s="7"/>
      <x:c r="H544" s="7"/>
      <x:c r="I544" s="7"/>
      <x:c r="J544" s="7"/>
      <x:c r="K544" s="7"/>
      <x:c r="L544" s="7"/>
      <x:c r="M544" s="7"/>
      <x:c r="N544" s="7"/>
      <x:c r="O544" s="2" t="str">
        <x:f>IF(A544="","",IF(COUNTIFS($A$7:$A$1506,A544)&gt;1,"Buchung-ID doppelt",IF(OR(NOT(ISNUMBER(B544)),C544="",NOT(ISNUMBER(F544)),H544="",L544=""),"Pflichtangaben fehlen",IF(COUNTIFS('Konten'!$A$7:$A$26,C544)&lt;&gt;1,"Konto nicht eindeutig",IF(J544&lt;&gt;"Ja","Zuordnung bestätigen",IF(OR(AND(H544="Einnahme",F544&lt;0),AND(H544="Ausgabe",F544&gt;0)),"Vorzeichen prüfen",IF(AND(H544="Umbuchung",OR(K544="",COUNTIFS($A$7:$A$1506,K544)&lt;&gt;1)),"Gegenbuchung fehlt",IF(AND(H544="Umbuchung",ROUND(SUMIFS($F$7:$F$1506,$A$7:$A$1506,K544)+F544,2)&lt;&gt;0),"Umbuchung abweichend",IF(OR(G544="",M544="",M544="offen",M544="teilbelegt",H544="Ungeklärt",H544="Bargeld"),"Beleg / Verwendung klären","vollständig erfasst")))))))))</x:f>
      </x:c>
    </x:row>
    <x:row r="545" ht="22" customHeight="1">
      <x:c r="A545" s="7"/>
      <x:c r="B545" s="8"/>
      <x:c r="C545" s="7"/>
      <x:c r="D545" s="7"/>
      <x:c r="E545" s="7"/>
      <x:c r="F545" s="20"/>
      <x:c r="G545" s="7"/>
      <x:c r="H545" s="7"/>
      <x:c r="I545" s="7"/>
      <x:c r="J545" s="7"/>
      <x:c r="K545" s="7"/>
      <x:c r="L545" s="7"/>
      <x:c r="M545" s="7"/>
      <x:c r="N545" s="7"/>
      <x:c r="O545" s="2" t="str">
        <x:f>IF(A545="","",IF(COUNTIFS($A$7:$A$1506,A545)&gt;1,"Buchung-ID doppelt",IF(OR(NOT(ISNUMBER(B545)),C545="",NOT(ISNUMBER(F545)),H545="",L545=""),"Pflichtangaben fehlen",IF(COUNTIFS('Konten'!$A$7:$A$26,C545)&lt;&gt;1,"Konto nicht eindeutig",IF(J545&lt;&gt;"Ja","Zuordnung bestätigen",IF(OR(AND(H545="Einnahme",F545&lt;0),AND(H545="Ausgabe",F545&gt;0)),"Vorzeichen prüfen",IF(AND(H545="Umbuchung",OR(K545="",COUNTIFS($A$7:$A$1506,K545)&lt;&gt;1)),"Gegenbuchung fehlt",IF(AND(H545="Umbuchung",ROUND(SUMIFS($F$7:$F$1506,$A$7:$A$1506,K545)+F545,2)&lt;&gt;0),"Umbuchung abweichend",IF(OR(G545="",M545="",M545="offen",M545="teilbelegt",H545="Ungeklärt",H545="Bargeld"),"Beleg / Verwendung klären","vollständig erfasst")))))))))</x:f>
      </x:c>
    </x:row>
    <x:row r="546" ht="22" customHeight="1">
      <x:c r="A546" s="7"/>
      <x:c r="B546" s="8"/>
      <x:c r="C546" s="7"/>
      <x:c r="D546" s="7"/>
      <x:c r="E546" s="7"/>
      <x:c r="F546" s="20"/>
      <x:c r="G546" s="7"/>
      <x:c r="H546" s="7"/>
      <x:c r="I546" s="7"/>
      <x:c r="J546" s="7"/>
      <x:c r="K546" s="7"/>
      <x:c r="L546" s="7"/>
      <x:c r="M546" s="7"/>
      <x:c r="N546" s="7"/>
      <x:c r="O546" s="2" t="str">
        <x:f>IF(A546="","",IF(COUNTIFS($A$7:$A$1506,A546)&gt;1,"Buchung-ID doppelt",IF(OR(NOT(ISNUMBER(B546)),C546="",NOT(ISNUMBER(F546)),H546="",L546=""),"Pflichtangaben fehlen",IF(COUNTIFS('Konten'!$A$7:$A$26,C546)&lt;&gt;1,"Konto nicht eindeutig",IF(J546&lt;&gt;"Ja","Zuordnung bestätigen",IF(OR(AND(H546="Einnahme",F546&lt;0),AND(H546="Ausgabe",F546&gt;0)),"Vorzeichen prüfen",IF(AND(H546="Umbuchung",OR(K546="",COUNTIFS($A$7:$A$1506,K546)&lt;&gt;1)),"Gegenbuchung fehlt",IF(AND(H546="Umbuchung",ROUND(SUMIFS($F$7:$F$1506,$A$7:$A$1506,K546)+F546,2)&lt;&gt;0),"Umbuchung abweichend",IF(OR(G546="",M546="",M546="offen",M546="teilbelegt",H546="Ungeklärt",H546="Bargeld"),"Beleg / Verwendung klären","vollständig erfasst")))))))))</x:f>
      </x:c>
    </x:row>
    <x:row r="547" ht="22" customHeight="1">
      <x:c r="A547" s="7"/>
      <x:c r="B547" s="8"/>
      <x:c r="C547" s="7"/>
      <x:c r="D547" s="7"/>
      <x:c r="E547" s="7"/>
      <x:c r="F547" s="20"/>
      <x:c r="G547" s="7"/>
      <x:c r="H547" s="7"/>
      <x:c r="I547" s="7"/>
      <x:c r="J547" s="7"/>
      <x:c r="K547" s="7"/>
      <x:c r="L547" s="7"/>
      <x:c r="M547" s="7"/>
      <x:c r="N547" s="7"/>
      <x:c r="O547" s="2" t="str">
        <x:f>IF(A547="","",IF(COUNTIFS($A$7:$A$1506,A547)&gt;1,"Buchung-ID doppelt",IF(OR(NOT(ISNUMBER(B547)),C547="",NOT(ISNUMBER(F547)),H547="",L547=""),"Pflichtangaben fehlen",IF(COUNTIFS('Konten'!$A$7:$A$26,C547)&lt;&gt;1,"Konto nicht eindeutig",IF(J547&lt;&gt;"Ja","Zuordnung bestätigen",IF(OR(AND(H547="Einnahme",F547&lt;0),AND(H547="Ausgabe",F547&gt;0)),"Vorzeichen prüfen",IF(AND(H547="Umbuchung",OR(K547="",COUNTIFS($A$7:$A$1506,K547)&lt;&gt;1)),"Gegenbuchung fehlt",IF(AND(H547="Umbuchung",ROUND(SUMIFS($F$7:$F$1506,$A$7:$A$1506,K547)+F547,2)&lt;&gt;0),"Umbuchung abweichend",IF(OR(G547="",M547="",M547="offen",M547="teilbelegt",H547="Ungeklärt",H547="Bargeld"),"Beleg / Verwendung klären","vollständig erfasst")))))))))</x:f>
      </x:c>
    </x:row>
    <x:row r="548" ht="22" customHeight="1">
      <x:c r="A548" s="7"/>
      <x:c r="B548" s="8"/>
      <x:c r="C548" s="7"/>
      <x:c r="D548" s="7"/>
      <x:c r="E548" s="7"/>
      <x:c r="F548" s="20"/>
      <x:c r="G548" s="7"/>
      <x:c r="H548" s="7"/>
      <x:c r="I548" s="7"/>
      <x:c r="J548" s="7"/>
      <x:c r="K548" s="7"/>
      <x:c r="L548" s="7"/>
      <x:c r="M548" s="7"/>
      <x:c r="N548" s="7"/>
      <x:c r="O548" s="2" t="str">
        <x:f>IF(A548="","",IF(COUNTIFS($A$7:$A$1506,A548)&gt;1,"Buchung-ID doppelt",IF(OR(NOT(ISNUMBER(B548)),C548="",NOT(ISNUMBER(F548)),H548="",L548=""),"Pflichtangaben fehlen",IF(COUNTIFS('Konten'!$A$7:$A$26,C548)&lt;&gt;1,"Konto nicht eindeutig",IF(J548&lt;&gt;"Ja","Zuordnung bestätigen",IF(OR(AND(H548="Einnahme",F548&lt;0),AND(H548="Ausgabe",F548&gt;0)),"Vorzeichen prüfen",IF(AND(H548="Umbuchung",OR(K548="",COUNTIFS($A$7:$A$1506,K548)&lt;&gt;1)),"Gegenbuchung fehlt",IF(AND(H548="Umbuchung",ROUND(SUMIFS($F$7:$F$1506,$A$7:$A$1506,K548)+F548,2)&lt;&gt;0),"Umbuchung abweichend",IF(OR(G548="",M548="",M548="offen",M548="teilbelegt",H548="Ungeklärt",H548="Bargeld"),"Beleg / Verwendung klären","vollständig erfasst")))))))))</x:f>
      </x:c>
    </x:row>
    <x:row r="549" ht="22" customHeight="1">
      <x:c r="A549" s="7"/>
      <x:c r="B549" s="8"/>
      <x:c r="C549" s="7"/>
      <x:c r="D549" s="7"/>
      <x:c r="E549" s="7"/>
      <x:c r="F549" s="20"/>
      <x:c r="G549" s="7"/>
      <x:c r="H549" s="7"/>
      <x:c r="I549" s="7"/>
      <x:c r="J549" s="7"/>
      <x:c r="K549" s="7"/>
      <x:c r="L549" s="7"/>
      <x:c r="M549" s="7"/>
      <x:c r="N549" s="7"/>
      <x:c r="O549" s="2" t="str">
        <x:f>IF(A549="","",IF(COUNTIFS($A$7:$A$1506,A549)&gt;1,"Buchung-ID doppelt",IF(OR(NOT(ISNUMBER(B549)),C549="",NOT(ISNUMBER(F549)),H549="",L549=""),"Pflichtangaben fehlen",IF(COUNTIFS('Konten'!$A$7:$A$26,C549)&lt;&gt;1,"Konto nicht eindeutig",IF(J549&lt;&gt;"Ja","Zuordnung bestätigen",IF(OR(AND(H549="Einnahme",F549&lt;0),AND(H549="Ausgabe",F549&gt;0)),"Vorzeichen prüfen",IF(AND(H549="Umbuchung",OR(K549="",COUNTIFS($A$7:$A$1506,K549)&lt;&gt;1)),"Gegenbuchung fehlt",IF(AND(H549="Umbuchung",ROUND(SUMIFS($F$7:$F$1506,$A$7:$A$1506,K549)+F549,2)&lt;&gt;0),"Umbuchung abweichend",IF(OR(G549="",M549="",M549="offen",M549="teilbelegt",H549="Ungeklärt",H549="Bargeld"),"Beleg / Verwendung klären","vollständig erfasst")))))))))</x:f>
      </x:c>
    </x:row>
    <x:row r="550" ht="22" customHeight="1">
      <x:c r="A550" s="7"/>
      <x:c r="B550" s="8"/>
      <x:c r="C550" s="7"/>
      <x:c r="D550" s="7"/>
      <x:c r="E550" s="7"/>
      <x:c r="F550" s="20"/>
      <x:c r="G550" s="7"/>
      <x:c r="H550" s="7"/>
      <x:c r="I550" s="7"/>
      <x:c r="J550" s="7"/>
      <x:c r="K550" s="7"/>
      <x:c r="L550" s="7"/>
      <x:c r="M550" s="7"/>
      <x:c r="N550" s="7"/>
      <x:c r="O550" s="2" t="str">
        <x:f>IF(A550="","",IF(COUNTIFS($A$7:$A$1506,A550)&gt;1,"Buchung-ID doppelt",IF(OR(NOT(ISNUMBER(B550)),C550="",NOT(ISNUMBER(F550)),H550="",L550=""),"Pflichtangaben fehlen",IF(COUNTIFS('Konten'!$A$7:$A$26,C550)&lt;&gt;1,"Konto nicht eindeutig",IF(J550&lt;&gt;"Ja","Zuordnung bestätigen",IF(OR(AND(H550="Einnahme",F550&lt;0),AND(H550="Ausgabe",F550&gt;0)),"Vorzeichen prüfen",IF(AND(H550="Umbuchung",OR(K550="",COUNTIFS($A$7:$A$1506,K550)&lt;&gt;1)),"Gegenbuchung fehlt",IF(AND(H550="Umbuchung",ROUND(SUMIFS($F$7:$F$1506,$A$7:$A$1506,K550)+F550,2)&lt;&gt;0),"Umbuchung abweichend",IF(OR(G550="",M550="",M550="offen",M550="teilbelegt",H550="Ungeklärt",H550="Bargeld"),"Beleg / Verwendung klären","vollständig erfasst")))))))))</x:f>
      </x:c>
    </x:row>
    <x:row r="551" ht="22" customHeight="1">
      <x:c r="A551" s="7"/>
      <x:c r="B551" s="8"/>
      <x:c r="C551" s="7"/>
      <x:c r="D551" s="7"/>
      <x:c r="E551" s="7"/>
      <x:c r="F551" s="20"/>
      <x:c r="G551" s="7"/>
      <x:c r="H551" s="7"/>
      <x:c r="I551" s="7"/>
      <x:c r="J551" s="7"/>
      <x:c r="K551" s="7"/>
      <x:c r="L551" s="7"/>
      <x:c r="M551" s="7"/>
      <x:c r="N551" s="7"/>
      <x:c r="O551" s="2" t="str">
        <x:f>IF(A551="","",IF(COUNTIFS($A$7:$A$1506,A551)&gt;1,"Buchung-ID doppelt",IF(OR(NOT(ISNUMBER(B551)),C551="",NOT(ISNUMBER(F551)),H551="",L551=""),"Pflichtangaben fehlen",IF(COUNTIFS('Konten'!$A$7:$A$26,C551)&lt;&gt;1,"Konto nicht eindeutig",IF(J551&lt;&gt;"Ja","Zuordnung bestätigen",IF(OR(AND(H551="Einnahme",F551&lt;0),AND(H551="Ausgabe",F551&gt;0)),"Vorzeichen prüfen",IF(AND(H551="Umbuchung",OR(K551="",COUNTIFS($A$7:$A$1506,K551)&lt;&gt;1)),"Gegenbuchung fehlt",IF(AND(H551="Umbuchung",ROUND(SUMIFS($F$7:$F$1506,$A$7:$A$1506,K551)+F551,2)&lt;&gt;0),"Umbuchung abweichend",IF(OR(G551="",M551="",M551="offen",M551="teilbelegt",H551="Ungeklärt",H551="Bargeld"),"Beleg / Verwendung klären","vollständig erfasst")))))))))</x:f>
      </x:c>
    </x:row>
    <x:row r="552" ht="22" customHeight="1">
      <x:c r="A552" s="7"/>
      <x:c r="B552" s="8"/>
      <x:c r="C552" s="7"/>
      <x:c r="D552" s="7"/>
      <x:c r="E552" s="7"/>
      <x:c r="F552" s="20"/>
      <x:c r="G552" s="7"/>
      <x:c r="H552" s="7"/>
      <x:c r="I552" s="7"/>
      <x:c r="J552" s="7"/>
      <x:c r="K552" s="7"/>
      <x:c r="L552" s="7"/>
      <x:c r="M552" s="7"/>
      <x:c r="N552" s="7"/>
      <x:c r="O552" s="2" t="str">
        <x:f>IF(A552="","",IF(COUNTIFS($A$7:$A$1506,A552)&gt;1,"Buchung-ID doppelt",IF(OR(NOT(ISNUMBER(B552)),C552="",NOT(ISNUMBER(F552)),H552="",L552=""),"Pflichtangaben fehlen",IF(COUNTIFS('Konten'!$A$7:$A$26,C552)&lt;&gt;1,"Konto nicht eindeutig",IF(J552&lt;&gt;"Ja","Zuordnung bestätigen",IF(OR(AND(H552="Einnahme",F552&lt;0),AND(H552="Ausgabe",F552&gt;0)),"Vorzeichen prüfen",IF(AND(H552="Umbuchung",OR(K552="",COUNTIFS($A$7:$A$1506,K552)&lt;&gt;1)),"Gegenbuchung fehlt",IF(AND(H552="Umbuchung",ROUND(SUMIFS($F$7:$F$1506,$A$7:$A$1506,K552)+F552,2)&lt;&gt;0),"Umbuchung abweichend",IF(OR(G552="",M552="",M552="offen",M552="teilbelegt",H552="Ungeklärt",H552="Bargeld"),"Beleg / Verwendung klären","vollständig erfasst")))))))))</x:f>
      </x:c>
    </x:row>
    <x:row r="553" ht="22" customHeight="1">
      <x:c r="A553" s="7"/>
      <x:c r="B553" s="8"/>
      <x:c r="C553" s="7"/>
      <x:c r="D553" s="7"/>
      <x:c r="E553" s="7"/>
      <x:c r="F553" s="20"/>
      <x:c r="G553" s="7"/>
      <x:c r="H553" s="7"/>
      <x:c r="I553" s="7"/>
      <x:c r="J553" s="7"/>
      <x:c r="K553" s="7"/>
      <x:c r="L553" s="7"/>
      <x:c r="M553" s="7"/>
      <x:c r="N553" s="7"/>
      <x:c r="O553" s="2" t="str">
        <x:f>IF(A553="","",IF(COUNTIFS($A$7:$A$1506,A553)&gt;1,"Buchung-ID doppelt",IF(OR(NOT(ISNUMBER(B553)),C553="",NOT(ISNUMBER(F553)),H553="",L553=""),"Pflichtangaben fehlen",IF(COUNTIFS('Konten'!$A$7:$A$26,C553)&lt;&gt;1,"Konto nicht eindeutig",IF(J553&lt;&gt;"Ja","Zuordnung bestätigen",IF(OR(AND(H553="Einnahme",F553&lt;0),AND(H553="Ausgabe",F553&gt;0)),"Vorzeichen prüfen",IF(AND(H553="Umbuchung",OR(K553="",COUNTIFS($A$7:$A$1506,K553)&lt;&gt;1)),"Gegenbuchung fehlt",IF(AND(H553="Umbuchung",ROUND(SUMIFS($F$7:$F$1506,$A$7:$A$1506,K553)+F553,2)&lt;&gt;0),"Umbuchung abweichend",IF(OR(G553="",M553="",M553="offen",M553="teilbelegt",H553="Ungeklärt",H553="Bargeld"),"Beleg / Verwendung klären","vollständig erfasst")))))))))</x:f>
      </x:c>
    </x:row>
    <x:row r="554" ht="22" customHeight="1">
      <x:c r="A554" s="7"/>
      <x:c r="B554" s="8"/>
      <x:c r="C554" s="7"/>
      <x:c r="D554" s="7"/>
      <x:c r="E554" s="7"/>
      <x:c r="F554" s="20"/>
      <x:c r="G554" s="7"/>
      <x:c r="H554" s="7"/>
      <x:c r="I554" s="7"/>
      <x:c r="J554" s="7"/>
      <x:c r="K554" s="7"/>
      <x:c r="L554" s="7"/>
      <x:c r="M554" s="7"/>
      <x:c r="N554" s="7"/>
      <x:c r="O554" s="2" t="str">
        <x:f>IF(A554="","",IF(COUNTIFS($A$7:$A$1506,A554)&gt;1,"Buchung-ID doppelt",IF(OR(NOT(ISNUMBER(B554)),C554="",NOT(ISNUMBER(F554)),H554="",L554=""),"Pflichtangaben fehlen",IF(COUNTIFS('Konten'!$A$7:$A$26,C554)&lt;&gt;1,"Konto nicht eindeutig",IF(J554&lt;&gt;"Ja","Zuordnung bestätigen",IF(OR(AND(H554="Einnahme",F554&lt;0),AND(H554="Ausgabe",F554&gt;0)),"Vorzeichen prüfen",IF(AND(H554="Umbuchung",OR(K554="",COUNTIFS($A$7:$A$1506,K554)&lt;&gt;1)),"Gegenbuchung fehlt",IF(AND(H554="Umbuchung",ROUND(SUMIFS($F$7:$F$1506,$A$7:$A$1506,K554)+F554,2)&lt;&gt;0),"Umbuchung abweichend",IF(OR(G554="",M554="",M554="offen",M554="teilbelegt",H554="Ungeklärt",H554="Bargeld"),"Beleg / Verwendung klären","vollständig erfasst")))))))))</x:f>
      </x:c>
    </x:row>
    <x:row r="555" ht="22" customHeight="1">
      <x:c r="A555" s="7"/>
      <x:c r="B555" s="8"/>
      <x:c r="C555" s="7"/>
      <x:c r="D555" s="7"/>
      <x:c r="E555" s="7"/>
      <x:c r="F555" s="20"/>
      <x:c r="G555" s="7"/>
      <x:c r="H555" s="7"/>
      <x:c r="I555" s="7"/>
      <x:c r="J555" s="7"/>
      <x:c r="K555" s="7"/>
      <x:c r="L555" s="7"/>
      <x:c r="M555" s="7"/>
      <x:c r="N555" s="7"/>
      <x:c r="O555" s="2" t="str">
        <x:f>IF(A555="","",IF(COUNTIFS($A$7:$A$1506,A555)&gt;1,"Buchung-ID doppelt",IF(OR(NOT(ISNUMBER(B555)),C555="",NOT(ISNUMBER(F555)),H555="",L555=""),"Pflichtangaben fehlen",IF(COUNTIFS('Konten'!$A$7:$A$26,C555)&lt;&gt;1,"Konto nicht eindeutig",IF(J555&lt;&gt;"Ja","Zuordnung bestätigen",IF(OR(AND(H555="Einnahme",F555&lt;0),AND(H555="Ausgabe",F555&gt;0)),"Vorzeichen prüfen",IF(AND(H555="Umbuchung",OR(K555="",COUNTIFS($A$7:$A$1506,K555)&lt;&gt;1)),"Gegenbuchung fehlt",IF(AND(H555="Umbuchung",ROUND(SUMIFS($F$7:$F$1506,$A$7:$A$1506,K555)+F555,2)&lt;&gt;0),"Umbuchung abweichend",IF(OR(G555="",M555="",M555="offen",M555="teilbelegt",H555="Ungeklärt",H555="Bargeld"),"Beleg / Verwendung klären","vollständig erfasst")))))))))</x:f>
      </x:c>
    </x:row>
    <x:row r="556" ht="22" customHeight="1">
      <x:c r="A556" s="7"/>
      <x:c r="B556" s="8"/>
      <x:c r="C556" s="7"/>
      <x:c r="D556" s="7"/>
      <x:c r="E556" s="7"/>
      <x:c r="F556" s="20"/>
      <x:c r="G556" s="7"/>
      <x:c r="H556" s="7"/>
      <x:c r="I556" s="7"/>
      <x:c r="J556" s="7"/>
      <x:c r="K556" s="7"/>
      <x:c r="L556" s="7"/>
      <x:c r="M556" s="7"/>
      <x:c r="N556" s="7"/>
      <x:c r="O556" s="2" t="str">
        <x:f>IF(A556="","",IF(COUNTIFS($A$7:$A$1506,A556)&gt;1,"Buchung-ID doppelt",IF(OR(NOT(ISNUMBER(B556)),C556="",NOT(ISNUMBER(F556)),H556="",L556=""),"Pflichtangaben fehlen",IF(COUNTIFS('Konten'!$A$7:$A$26,C556)&lt;&gt;1,"Konto nicht eindeutig",IF(J556&lt;&gt;"Ja","Zuordnung bestätigen",IF(OR(AND(H556="Einnahme",F556&lt;0),AND(H556="Ausgabe",F556&gt;0)),"Vorzeichen prüfen",IF(AND(H556="Umbuchung",OR(K556="",COUNTIFS($A$7:$A$1506,K556)&lt;&gt;1)),"Gegenbuchung fehlt",IF(AND(H556="Umbuchung",ROUND(SUMIFS($F$7:$F$1506,$A$7:$A$1506,K556)+F556,2)&lt;&gt;0),"Umbuchung abweichend",IF(OR(G556="",M556="",M556="offen",M556="teilbelegt",H556="Ungeklärt",H556="Bargeld"),"Beleg / Verwendung klären","vollständig erfasst")))))))))</x:f>
      </x:c>
    </x:row>
    <x:row r="557" ht="22" customHeight="1">
      <x:c r="A557" s="7"/>
      <x:c r="B557" s="8"/>
      <x:c r="C557" s="7"/>
      <x:c r="D557" s="7"/>
      <x:c r="E557" s="7"/>
      <x:c r="F557" s="20"/>
      <x:c r="G557" s="7"/>
      <x:c r="H557" s="7"/>
      <x:c r="I557" s="7"/>
      <x:c r="J557" s="7"/>
      <x:c r="K557" s="7"/>
      <x:c r="L557" s="7"/>
      <x:c r="M557" s="7"/>
      <x:c r="N557" s="7"/>
      <x:c r="O557" s="2" t="str">
        <x:f>IF(A557="","",IF(COUNTIFS($A$7:$A$1506,A557)&gt;1,"Buchung-ID doppelt",IF(OR(NOT(ISNUMBER(B557)),C557="",NOT(ISNUMBER(F557)),H557="",L557=""),"Pflichtangaben fehlen",IF(COUNTIFS('Konten'!$A$7:$A$26,C557)&lt;&gt;1,"Konto nicht eindeutig",IF(J557&lt;&gt;"Ja","Zuordnung bestätigen",IF(OR(AND(H557="Einnahme",F557&lt;0),AND(H557="Ausgabe",F557&gt;0)),"Vorzeichen prüfen",IF(AND(H557="Umbuchung",OR(K557="",COUNTIFS($A$7:$A$1506,K557)&lt;&gt;1)),"Gegenbuchung fehlt",IF(AND(H557="Umbuchung",ROUND(SUMIFS($F$7:$F$1506,$A$7:$A$1506,K557)+F557,2)&lt;&gt;0),"Umbuchung abweichend",IF(OR(G557="",M557="",M557="offen",M557="teilbelegt",H557="Ungeklärt",H557="Bargeld"),"Beleg / Verwendung klären","vollständig erfasst")))))))))</x:f>
      </x:c>
    </x:row>
    <x:row r="558" ht="22" customHeight="1">
      <x:c r="A558" s="7"/>
      <x:c r="B558" s="8"/>
      <x:c r="C558" s="7"/>
      <x:c r="D558" s="7"/>
      <x:c r="E558" s="7"/>
      <x:c r="F558" s="20"/>
      <x:c r="G558" s="7"/>
      <x:c r="H558" s="7"/>
      <x:c r="I558" s="7"/>
      <x:c r="J558" s="7"/>
      <x:c r="K558" s="7"/>
      <x:c r="L558" s="7"/>
      <x:c r="M558" s="7"/>
      <x:c r="N558" s="7"/>
      <x:c r="O558" s="2" t="str">
        <x:f>IF(A558="","",IF(COUNTIFS($A$7:$A$1506,A558)&gt;1,"Buchung-ID doppelt",IF(OR(NOT(ISNUMBER(B558)),C558="",NOT(ISNUMBER(F558)),H558="",L558=""),"Pflichtangaben fehlen",IF(COUNTIFS('Konten'!$A$7:$A$26,C558)&lt;&gt;1,"Konto nicht eindeutig",IF(J558&lt;&gt;"Ja","Zuordnung bestätigen",IF(OR(AND(H558="Einnahme",F558&lt;0),AND(H558="Ausgabe",F558&gt;0)),"Vorzeichen prüfen",IF(AND(H558="Umbuchung",OR(K558="",COUNTIFS($A$7:$A$1506,K558)&lt;&gt;1)),"Gegenbuchung fehlt",IF(AND(H558="Umbuchung",ROUND(SUMIFS($F$7:$F$1506,$A$7:$A$1506,K558)+F558,2)&lt;&gt;0),"Umbuchung abweichend",IF(OR(G558="",M558="",M558="offen",M558="teilbelegt",H558="Ungeklärt",H558="Bargeld"),"Beleg / Verwendung klären","vollständig erfasst")))))))))</x:f>
      </x:c>
    </x:row>
    <x:row r="559" ht="22" customHeight="1">
      <x:c r="A559" s="7"/>
      <x:c r="B559" s="8"/>
      <x:c r="C559" s="7"/>
      <x:c r="D559" s="7"/>
      <x:c r="E559" s="7"/>
      <x:c r="F559" s="20"/>
      <x:c r="G559" s="7"/>
      <x:c r="H559" s="7"/>
      <x:c r="I559" s="7"/>
      <x:c r="J559" s="7"/>
      <x:c r="K559" s="7"/>
      <x:c r="L559" s="7"/>
      <x:c r="M559" s="7"/>
      <x:c r="N559" s="7"/>
      <x:c r="O559" s="2" t="str">
        <x:f>IF(A559="","",IF(COUNTIFS($A$7:$A$1506,A559)&gt;1,"Buchung-ID doppelt",IF(OR(NOT(ISNUMBER(B559)),C559="",NOT(ISNUMBER(F559)),H559="",L559=""),"Pflichtangaben fehlen",IF(COUNTIFS('Konten'!$A$7:$A$26,C559)&lt;&gt;1,"Konto nicht eindeutig",IF(J559&lt;&gt;"Ja","Zuordnung bestätigen",IF(OR(AND(H559="Einnahme",F559&lt;0),AND(H559="Ausgabe",F559&gt;0)),"Vorzeichen prüfen",IF(AND(H559="Umbuchung",OR(K559="",COUNTIFS($A$7:$A$1506,K559)&lt;&gt;1)),"Gegenbuchung fehlt",IF(AND(H559="Umbuchung",ROUND(SUMIFS($F$7:$F$1506,$A$7:$A$1506,K559)+F559,2)&lt;&gt;0),"Umbuchung abweichend",IF(OR(G559="",M559="",M559="offen",M559="teilbelegt",H559="Ungeklärt",H559="Bargeld"),"Beleg / Verwendung klären","vollständig erfasst")))))))))</x:f>
      </x:c>
    </x:row>
    <x:row r="560" ht="22" customHeight="1">
      <x:c r="A560" s="7"/>
      <x:c r="B560" s="8"/>
      <x:c r="C560" s="7"/>
      <x:c r="D560" s="7"/>
      <x:c r="E560" s="7"/>
      <x:c r="F560" s="20"/>
      <x:c r="G560" s="7"/>
      <x:c r="H560" s="7"/>
      <x:c r="I560" s="7"/>
      <x:c r="J560" s="7"/>
      <x:c r="K560" s="7"/>
      <x:c r="L560" s="7"/>
      <x:c r="M560" s="7"/>
      <x:c r="N560" s="7"/>
      <x:c r="O560" s="2" t="str">
        <x:f>IF(A560="","",IF(COUNTIFS($A$7:$A$1506,A560)&gt;1,"Buchung-ID doppelt",IF(OR(NOT(ISNUMBER(B560)),C560="",NOT(ISNUMBER(F560)),H560="",L560=""),"Pflichtangaben fehlen",IF(COUNTIFS('Konten'!$A$7:$A$26,C560)&lt;&gt;1,"Konto nicht eindeutig",IF(J560&lt;&gt;"Ja","Zuordnung bestätigen",IF(OR(AND(H560="Einnahme",F560&lt;0),AND(H560="Ausgabe",F560&gt;0)),"Vorzeichen prüfen",IF(AND(H560="Umbuchung",OR(K560="",COUNTIFS($A$7:$A$1506,K560)&lt;&gt;1)),"Gegenbuchung fehlt",IF(AND(H560="Umbuchung",ROUND(SUMIFS($F$7:$F$1506,$A$7:$A$1506,K560)+F560,2)&lt;&gt;0),"Umbuchung abweichend",IF(OR(G560="",M560="",M560="offen",M560="teilbelegt",H560="Ungeklärt",H560="Bargeld"),"Beleg / Verwendung klären","vollständig erfasst")))))))))</x:f>
      </x:c>
    </x:row>
    <x:row r="561" ht="22" customHeight="1">
      <x:c r="A561" s="7"/>
      <x:c r="B561" s="8"/>
      <x:c r="C561" s="7"/>
      <x:c r="D561" s="7"/>
      <x:c r="E561" s="7"/>
      <x:c r="F561" s="20"/>
      <x:c r="G561" s="7"/>
      <x:c r="H561" s="7"/>
      <x:c r="I561" s="7"/>
      <x:c r="J561" s="7"/>
      <x:c r="K561" s="7"/>
      <x:c r="L561" s="7"/>
      <x:c r="M561" s="7"/>
      <x:c r="N561" s="7"/>
      <x:c r="O561" s="2" t="str">
        <x:f>IF(A561="","",IF(COUNTIFS($A$7:$A$1506,A561)&gt;1,"Buchung-ID doppelt",IF(OR(NOT(ISNUMBER(B561)),C561="",NOT(ISNUMBER(F561)),H561="",L561=""),"Pflichtangaben fehlen",IF(COUNTIFS('Konten'!$A$7:$A$26,C561)&lt;&gt;1,"Konto nicht eindeutig",IF(J561&lt;&gt;"Ja","Zuordnung bestätigen",IF(OR(AND(H561="Einnahme",F561&lt;0),AND(H561="Ausgabe",F561&gt;0)),"Vorzeichen prüfen",IF(AND(H561="Umbuchung",OR(K561="",COUNTIFS($A$7:$A$1506,K561)&lt;&gt;1)),"Gegenbuchung fehlt",IF(AND(H561="Umbuchung",ROUND(SUMIFS($F$7:$F$1506,$A$7:$A$1506,K561)+F561,2)&lt;&gt;0),"Umbuchung abweichend",IF(OR(G561="",M561="",M561="offen",M561="teilbelegt",H561="Ungeklärt",H561="Bargeld"),"Beleg / Verwendung klären","vollständig erfasst")))))))))</x:f>
      </x:c>
    </x:row>
    <x:row r="562" ht="22" customHeight="1">
      <x:c r="A562" s="7"/>
      <x:c r="B562" s="8"/>
      <x:c r="C562" s="7"/>
      <x:c r="D562" s="7"/>
      <x:c r="E562" s="7"/>
      <x:c r="F562" s="20"/>
      <x:c r="G562" s="7"/>
      <x:c r="H562" s="7"/>
      <x:c r="I562" s="7"/>
      <x:c r="J562" s="7"/>
      <x:c r="K562" s="7"/>
      <x:c r="L562" s="7"/>
      <x:c r="M562" s="7"/>
      <x:c r="N562" s="7"/>
      <x:c r="O562" s="2" t="str">
        <x:f>IF(A562="","",IF(COUNTIFS($A$7:$A$1506,A562)&gt;1,"Buchung-ID doppelt",IF(OR(NOT(ISNUMBER(B562)),C562="",NOT(ISNUMBER(F562)),H562="",L562=""),"Pflichtangaben fehlen",IF(COUNTIFS('Konten'!$A$7:$A$26,C562)&lt;&gt;1,"Konto nicht eindeutig",IF(J562&lt;&gt;"Ja","Zuordnung bestätigen",IF(OR(AND(H562="Einnahme",F562&lt;0),AND(H562="Ausgabe",F562&gt;0)),"Vorzeichen prüfen",IF(AND(H562="Umbuchung",OR(K562="",COUNTIFS($A$7:$A$1506,K562)&lt;&gt;1)),"Gegenbuchung fehlt",IF(AND(H562="Umbuchung",ROUND(SUMIFS($F$7:$F$1506,$A$7:$A$1506,K562)+F562,2)&lt;&gt;0),"Umbuchung abweichend",IF(OR(G562="",M562="",M562="offen",M562="teilbelegt",H562="Ungeklärt",H562="Bargeld"),"Beleg / Verwendung klären","vollständig erfasst")))))))))</x:f>
      </x:c>
    </x:row>
    <x:row r="563" ht="22" customHeight="1">
      <x:c r="A563" s="7"/>
      <x:c r="B563" s="8"/>
      <x:c r="C563" s="7"/>
      <x:c r="D563" s="7"/>
      <x:c r="E563" s="7"/>
      <x:c r="F563" s="20"/>
      <x:c r="G563" s="7"/>
      <x:c r="H563" s="7"/>
      <x:c r="I563" s="7"/>
      <x:c r="J563" s="7"/>
      <x:c r="K563" s="7"/>
      <x:c r="L563" s="7"/>
      <x:c r="M563" s="7"/>
      <x:c r="N563" s="7"/>
      <x:c r="O563" s="2" t="str">
        <x:f>IF(A563="","",IF(COUNTIFS($A$7:$A$1506,A563)&gt;1,"Buchung-ID doppelt",IF(OR(NOT(ISNUMBER(B563)),C563="",NOT(ISNUMBER(F563)),H563="",L563=""),"Pflichtangaben fehlen",IF(COUNTIFS('Konten'!$A$7:$A$26,C563)&lt;&gt;1,"Konto nicht eindeutig",IF(J563&lt;&gt;"Ja","Zuordnung bestätigen",IF(OR(AND(H563="Einnahme",F563&lt;0),AND(H563="Ausgabe",F563&gt;0)),"Vorzeichen prüfen",IF(AND(H563="Umbuchung",OR(K563="",COUNTIFS($A$7:$A$1506,K563)&lt;&gt;1)),"Gegenbuchung fehlt",IF(AND(H563="Umbuchung",ROUND(SUMIFS($F$7:$F$1506,$A$7:$A$1506,K563)+F563,2)&lt;&gt;0),"Umbuchung abweichend",IF(OR(G563="",M563="",M563="offen",M563="teilbelegt",H563="Ungeklärt",H563="Bargeld"),"Beleg / Verwendung klären","vollständig erfasst")))))))))</x:f>
      </x:c>
    </x:row>
    <x:row r="564" ht="22" customHeight="1">
      <x:c r="A564" s="7"/>
      <x:c r="B564" s="8"/>
      <x:c r="C564" s="7"/>
      <x:c r="D564" s="7"/>
      <x:c r="E564" s="7"/>
      <x:c r="F564" s="20"/>
      <x:c r="G564" s="7"/>
      <x:c r="H564" s="7"/>
      <x:c r="I564" s="7"/>
      <x:c r="J564" s="7"/>
      <x:c r="K564" s="7"/>
      <x:c r="L564" s="7"/>
      <x:c r="M564" s="7"/>
      <x:c r="N564" s="7"/>
      <x:c r="O564" s="2" t="str">
        <x:f>IF(A564="","",IF(COUNTIFS($A$7:$A$1506,A564)&gt;1,"Buchung-ID doppelt",IF(OR(NOT(ISNUMBER(B564)),C564="",NOT(ISNUMBER(F564)),H564="",L564=""),"Pflichtangaben fehlen",IF(COUNTIFS('Konten'!$A$7:$A$26,C564)&lt;&gt;1,"Konto nicht eindeutig",IF(J564&lt;&gt;"Ja","Zuordnung bestätigen",IF(OR(AND(H564="Einnahme",F564&lt;0),AND(H564="Ausgabe",F564&gt;0)),"Vorzeichen prüfen",IF(AND(H564="Umbuchung",OR(K564="",COUNTIFS($A$7:$A$1506,K564)&lt;&gt;1)),"Gegenbuchung fehlt",IF(AND(H564="Umbuchung",ROUND(SUMIFS($F$7:$F$1506,$A$7:$A$1506,K564)+F564,2)&lt;&gt;0),"Umbuchung abweichend",IF(OR(G564="",M564="",M564="offen",M564="teilbelegt",H564="Ungeklärt",H564="Bargeld"),"Beleg / Verwendung klären","vollständig erfasst")))))))))</x:f>
      </x:c>
    </x:row>
    <x:row r="565" ht="22" customHeight="1">
      <x:c r="A565" s="7"/>
      <x:c r="B565" s="8"/>
      <x:c r="C565" s="7"/>
      <x:c r="D565" s="7"/>
      <x:c r="E565" s="7"/>
      <x:c r="F565" s="20"/>
      <x:c r="G565" s="7"/>
      <x:c r="H565" s="7"/>
      <x:c r="I565" s="7"/>
      <x:c r="J565" s="7"/>
      <x:c r="K565" s="7"/>
      <x:c r="L565" s="7"/>
      <x:c r="M565" s="7"/>
      <x:c r="N565" s="7"/>
      <x:c r="O565" s="2" t="str">
        <x:f>IF(A565="","",IF(COUNTIFS($A$7:$A$1506,A565)&gt;1,"Buchung-ID doppelt",IF(OR(NOT(ISNUMBER(B565)),C565="",NOT(ISNUMBER(F565)),H565="",L565=""),"Pflichtangaben fehlen",IF(COUNTIFS('Konten'!$A$7:$A$26,C565)&lt;&gt;1,"Konto nicht eindeutig",IF(J565&lt;&gt;"Ja","Zuordnung bestätigen",IF(OR(AND(H565="Einnahme",F565&lt;0),AND(H565="Ausgabe",F565&gt;0)),"Vorzeichen prüfen",IF(AND(H565="Umbuchung",OR(K565="",COUNTIFS($A$7:$A$1506,K565)&lt;&gt;1)),"Gegenbuchung fehlt",IF(AND(H565="Umbuchung",ROUND(SUMIFS($F$7:$F$1506,$A$7:$A$1506,K565)+F565,2)&lt;&gt;0),"Umbuchung abweichend",IF(OR(G565="",M565="",M565="offen",M565="teilbelegt",H565="Ungeklärt",H565="Bargeld"),"Beleg / Verwendung klären","vollständig erfasst")))))))))</x:f>
      </x:c>
    </x:row>
    <x:row r="566" ht="22" customHeight="1">
      <x:c r="A566" s="7"/>
      <x:c r="B566" s="8"/>
      <x:c r="C566" s="7"/>
      <x:c r="D566" s="7"/>
      <x:c r="E566" s="7"/>
      <x:c r="F566" s="20"/>
      <x:c r="G566" s="7"/>
      <x:c r="H566" s="7"/>
      <x:c r="I566" s="7"/>
      <x:c r="J566" s="7"/>
      <x:c r="K566" s="7"/>
      <x:c r="L566" s="7"/>
      <x:c r="M566" s="7"/>
      <x:c r="N566" s="7"/>
      <x:c r="O566" s="2" t="str">
        <x:f>IF(A566="","",IF(COUNTIFS($A$7:$A$1506,A566)&gt;1,"Buchung-ID doppelt",IF(OR(NOT(ISNUMBER(B566)),C566="",NOT(ISNUMBER(F566)),H566="",L566=""),"Pflichtangaben fehlen",IF(COUNTIFS('Konten'!$A$7:$A$26,C566)&lt;&gt;1,"Konto nicht eindeutig",IF(J566&lt;&gt;"Ja","Zuordnung bestätigen",IF(OR(AND(H566="Einnahme",F566&lt;0),AND(H566="Ausgabe",F566&gt;0)),"Vorzeichen prüfen",IF(AND(H566="Umbuchung",OR(K566="",COUNTIFS($A$7:$A$1506,K566)&lt;&gt;1)),"Gegenbuchung fehlt",IF(AND(H566="Umbuchung",ROUND(SUMIFS($F$7:$F$1506,$A$7:$A$1506,K566)+F566,2)&lt;&gt;0),"Umbuchung abweichend",IF(OR(G566="",M566="",M566="offen",M566="teilbelegt",H566="Ungeklärt",H566="Bargeld"),"Beleg / Verwendung klären","vollständig erfasst")))))))))</x:f>
      </x:c>
    </x:row>
    <x:row r="567" ht="22" customHeight="1">
      <x:c r="A567" s="7"/>
      <x:c r="B567" s="8"/>
      <x:c r="C567" s="7"/>
      <x:c r="D567" s="7"/>
      <x:c r="E567" s="7"/>
      <x:c r="F567" s="20"/>
      <x:c r="G567" s="7"/>
      <x:c r="H567" s="7"/>
      <x:c r="I567" s="7"/>
      <x:c r="J567" s="7"/>
      <x:c r="K567" s="7"/>
      <x:c r="L567" s="7"/>
      <x:c r="M567" s="7"/>
      <x:c r="N567" s="7"/>
      <x:c r="O567" s="2" t="str">
        <x:f>IF(A567="","",IF(COUNTIFS($A$7:$A$1506,A567)&gt;1,"Buchung-ID doppelt",IF(OR(NOT(ISNUMBER(B567)),C567="",NOT(ISNUMBER(F567)),H567="",L567=""),"Pflichtangaben fehlen",IF(COUNTIFS('Konten'!$A$7:$A$26,C567)&lt;&gt;1,"Konto nicht eindeutig",IF(J567&lt;&gt;"Ja","Zuordnung bestätigen",IF(OR(AND(H567="Einnahme",F567&lt;0),AND(H567="Ausgabe",F567&gt;0)),"Vorzeichen prüfen",IF(AND(H567="Umbuchung",OR(K567="",COUNTIFS($A$7:$A$1506,K567)&lt;&gt;1)),"Gegenbuchung fehlt",IF(AND(H567="Umbuchung",ROUND(SUMIFS($F$7:$F$1506,$A$7:$A$1506,K567)+F567,2)&lt;&gt;0),"Umbuchung abweichend",IF(OR(G567="",M567="",M567="offen",M567="teilbelegt",H567="Ungeklärt",H567="Bargeld"),"Beleg / Verwendung klären","vollständig erfasst")))))))))</x:f>
      </x:c>
    </x:row>
    <x:row r="568" ht="22" customHeight="1">
      <x:c r="A568" s="7"/>
      <x:c r="B568" s="8"/>
      <x:c r="C568" s="7"/>
      <x:c r="D568" s="7"/>
      <x:c r="E568" s="7"/>
      <x:c r="F568" s="20"/>
      <x:c r="G568" s="7"/>
      <x:c r="H568" s="7"/>
      <x:c r="I568" s="7"/>
      <x:c r="J568" s="7"/>
      <x:c r="K568" s="7"/>
      <x:c r="L568" s="7"/>
      <x:c r="M568" s="7"/>
      <x:c r="N568" s="7"/>
      <x:c r="O568" s="2" t="str">
        <x:f>IF(A568="","",IF(COUNTIFS($A$7:$A$1506,A568)&gt;1,"Buchung-ID doppelt",IF(OR(NOT(ISNUMBER(B568)),C568="",NOT(ISNUMBER(F568)),H568="",L568=""),"Pflichtangaben fehlen",IF(COUNTIFS('Konten'!$A$7:$A$26,C568)&lt;&gt;1,"Konto nicht eindeutig",IF(J568&lt;&gt;"Ja","Zuordnung bestätigen",IF(OR(AND(H568="Einnahme",F568&lt;0),AND(H568="Ausgabe",F568&gt;0)),"Vorzeichen prüfen",IF(AND(H568="Umbuchung",OR(K568="",COUNTIFS($A$7:$A$1506,K568)&lt;&gt;1)),"Gegenbuchung fehlt",IF(AND(H568="Umbuchung",ROUND(SUMIFS($F$7:$F$1506,$A$7:$A$1506,K568)+F568,2)&lt;&gt;0),"Umbuchung abweichend",IF(OR(G568="",M568="",M568="offen",M568="teilbelegt",H568="Ungeklärt",H568="Bargeld"),"Beleg / Verwendung klären","vollständig erfasst")))))))))</x:f>
      </x:c>
    </x:row>
    <x:row r="569" ht="22" customHeight="1">
      <x:c r="A569" s="7"/>
      <x:c r="B569" s="8"/>
      <x:c r="C569" s="7"/>
      <x:c r="D569" s="7"/>
      <x:c r="E569" s="7"/>
      <x:c r="F569" s="20"/>
      <x:c r="G569" s="7"/>
      <x:c r="H569" s="7"/>
      <x:c r="I569" s="7"/>
      <x:c r="J569" s="7"/>
      <x:c r="K569" s="7"/>
      <x:c r="L569" s="7"/>
      <x:c r="M569" s="7"/>
      <x:c r="N569" s="7"/>
      <x:c r="O569" s="2" t="str">
        <x:f>IF(A569="","",IF(COUNTIFS($A$7:$A$1506,A569)&gt;1,"Buchung-ID doppelt",IF(OR(NOT(ISNUMBER(B569)),C569="",NOT(ISNUMBER(F569)),H569="",L569=""),"Pflichtangaben fehlen",IF(COUNTIFS('Konten'!$A$7:$A$26,C569)&lt;&gt;1,"Konto nicht eindeutig",IF(J569&lt;&gt;"Ja","Zuordnung bestätigen",IF(OR(AND(H569="Einnahme",F569&lt;0),AND(H569="Ausgabe",F569&gt;0)),"Vorzeichen prüfen",IF(AND(H569="Umbuchung",OR(K569="",COUNTIFS($A$7:$A$1506,K569)&lt;&gt;1)),"Gegenbuchung fehlt",IF(AND(H569="Umbuchung",ROUND(SUMIFS($F$7:$F$1506,$A$7:$A$1506,K569)+F569,2)&lt;&gt;0),"Umbuchung abweichend",IF(OR(G569="",M569="",M569="offen",M569="teilbelegt",H569="Ungeklärt",H569="Bargeld"),"Beleg / Verwendung klären","vollständig erfasst")))))))))</x:f>
      </x:c>
    </x:row>
    <x:row r="570" ht="22" customHeight="1">
      <x:c r="A570" s="7"/>
      <x:c r="B570" s="8"/>
      <x:c r="C570" s="7"/>
      <x:c r="D570" s="7"/>
      <x:c r="E570" s="7"/>
      <x:c r="F570" s="20"/>
      <x:c r="G570" s="7"/>
      <x:c r="H570" s="7"/>
      <x:c r="I570" s="7"/>
      <x:c r="J570" s="7"/>
      <x:c r="K570" s="7"/>
      <x:c r="L570" s="7"/>
      <x:c r="M570" s="7"/>
      <x:c r="N570" s="7"/>
      <x:c r="O570" s="2" t="str">
        <x:f>IF(A570="","",IF(COUNTIFS($A$7:$A$1506,A570)&gt;1,"Buchung-ID doppelt",IF(OR(NOT(ISNUMBER(B570)),C570="",NOT(ISNUMBER(F570)),H570="",L570=""),"Pflichtangaben fehlen",IF(COUNTIFS('Konten'!$A$7:$A$26,C570)&lt;&gt;1,"Konto nicht eindeutig",IF(J570&lt;&gt;"Ja","Zuordnung bestätigen",IF(OR(AND(H570="Einnahme",F570&lt;0),AND(H570="Ausgabe",F570&gt;0)),"Vorzeichen prüfen",IF(AND(H570="Umbuchung",OR(K570="",COUNTIFS($A$7:$A$1506,K570)&lt;&gt;1)),"Gegenbuchung fehlt",IF(AND(H570="Umbuchung",ROUND(SUMIFS($F$7:$F$1506,$A$7:$A$1506,K570)+F570,2)&lt;&gt;0),"Umbuchung abweichend",IF(OR(G570="",M570="",M570="offen",M570="teilbelegt",H570="Ungeklärt",H570="Bargeld"),"Beleg / Verwendung klären","vollständig erfasst")))))))))</x:f>
      </x:c>
    </x:row>
    <x:row r="571" ht="22" customHeight="1">
      <x:c r="A571" s="7"/>
      <x:c r="B571" s="8"/>
      <x:c r="C571" s="7"/>
      <x:c r="D571" s="7"/>
      <x:c r="E571" s="7"/>
      <x:c r="F571" s="20"/>
      <x:c r="G571" s="7"/>
      <x:c r="H571" s="7"/>
      <x:c r="I571" s="7"/>
      <x:c r="J571" s="7"/>
      <x:c r="K571" s="7"/>
      <x:c r="L571" s="7"/>
      <x:c r="M571" s="7"/>
      <x:c r="N571" s="7"/>
      <x:c r="O571" s="2" t="str">
        <x:f>IF(A571="","",IF(COUNTIFS($A$7:$A$1506,A571)&gt;1,"Buchung-ID doppelt",IF(OR(NOT(ISNUMBER(B571)),C571="",NOT(ISNUMBER(F571)),H571="",L571=""),"Pflichtangaben fehlen",IF(COUNTIFS('Konten'!$A$7:$A$26,C571)&lt;&gt;1,"Konto nicht eindeutig",IF(J571&lt;&gt;"Ja","Zuordnung bestätigen",IF(OR(AND(H571="Einnahme",F571&lt;0),AND(H571="Ausgabe",F571&gt;0)),"Vorzeichen prüfen",IF(AND(H571="Umbuchung",OR(K571="",COUNTIFS($A$7:$A$1506,K571)&lt;&gt;1)),"Gegenbuchung fehlt",IF(AND(H571="Umbuchung",ROUND(SUMIFS($F$7:$F$1506,$A$7:$A$1506,K571)+F571,2)&lt;&gt;0),"Umbuchung abweichend",IF(OR(G571="",M571="",M571="offen",M571="teilbelegt",H571="Ungeklärt",H571="Bargeld"),"Beleg / Verwendung klären","vollständig erfasst")))))))))</x:f>
      </x:c>
    </x:row>
    <x:row r="572" ht="22" customHeight="1">
      <x:c r="A572" s="7"/>
      <x:c r="B572" s="8"/>
      <x:c r="C572" s="7"/>
      <x:c r="D572" s="7"/>
      <x:c r="E572" s="7"/>
      <x:c r="F572" s="20"/>
      <x:c r="G572" s="7"/>
      <x:c r="H572" s="7"/>
      <x:c r="I572" s="7"/>
      <x:c r="J572" s="7"/>
      <x:c r="K572" s="7"/>
      <x:c r="L572" s="7"/>
      <x:c r="M572" s="7"/>
      <x:c r="N572" s="7"/>
      <x:c r="O572" s="2" t="str">
        <x:f>IF(A572="","",IF(COUNTIFS($A$7:$A$1506,A572)&gt;1,"Buchung-ID doppelt",IF(OR(NOT(ISNUMBER(B572)),C572="",NOT(ISNUMBER(F572)),H572="",L572=""),"Pflichtangaben fehlen",IF(COUNTIFS('Konten'!$A$7:$A$26,C572)&lt;&gt;1,"Konto nicht eindeutig",IF(J572&lt;&gt;"Ja","Zuordnung bestätigen",IF(OR(AND(H572="Einnahme",F572&lt;0),AND(H572="Ausgabe",F572&gt;0)),"Vorzeichen prüfen",IF(AND(H572="Umbuchung",OR(K572="",COUNTIFS($A$7:$A$1506,K572)&lt;&gt;1)),"Gegenbuchung fehlt",IF(AND(H572="Umbuchung",ROUND(SUMIFS($F$7:$F$1506,$A$7:$A$1506,K572)+F572,2)&lt;&gt;0),"Umbuchung abweichend",IF(OR(G572="",M572="",M572="offen",M572="teilbelegt",H572="Ungeklärt",H572="Bargeld"),"Beleg / Verwendung klären","vollständig erfasst")))))))))</x:f>
      </x:c>
    </x:row>
    <x:row r="573" ht="22" customHeight="1">
      <x:c r="A573" s="7"/>
      <x:c r="B573" s="8"/>
      <x:c r="C573" s="7"/>
      <x:c r="D573" s="7"/>
      <x:c r="E573" s="7"/>
      <x:c r="F573" s="20"/>
      <x:c r="G573" s="7"/>
      <x:c r="H573" s="7"/>
      <x:c r="I573" s="7"/>
      <x:c r="J573" s="7"/>
      <x:c r="K573" s="7"/>
      <x:c r="L573" s="7"/>
      <x:c r="M573" s="7"/>
      <x:c r="N573" s="7"/>
      <x:c r="O573" s="2" t="str">
        <x:f>IF(A573="","",IF(COUNTIFS($A$7:$A$1506,A573)&gt;1,"Buchung-ID doppelt",IF(OR(NOT(ISNUMBER(B573)),C573="",NOT(ISNUMBER(F573)),H573="",L573=""),"Pflichtangaben fehlen",IF(COUNTIFS('Konten'!$A$7:$A$26,C573)&lt;&gt;1,"Konto nicht eindeutig",IF(J573&lt;&gt;"Ja","Zuordnung bestätigen",IF(OR(AND(H573="Einnahme",F573&lt;0),AND(H573="Ausgabe",F573&gt;0)),"Vorzeichen prüfen",IF(AND(H573="Umbuchung",OR(K573="",COUNTIFS($A$7:$A$1506,K573)&lt;&gt;1)),"Gegenbuchung fehlt",IF(AND(H573="Umbuchung",ROUND(SUMIFS($F$7:$F$1506,$A$7:$A$1506,K573)+F573,2)&lt;&gt;0),"Umbuchung abweichend",IF(OR(G573="",M573="",M573="offen",M573="teilbelegt",H573="Ungeklärt",H573="Bargeld"),"Beleg / Verwendung klären","vollständig erfasst")))))))))</x:f>
      </x:c>
    </x:row>
    <x:row r="574" ht="22" customHeight="1">
      <x:c r="A574" s="7"/>
      <x:c r="B574" s="8"/>
      <x:c r="C574" s="7"/>
      <x:c r="D574" s="7"/>
      <x:c r="E574" s="7"/>
      <x:c r="F574" s="20"/>
      <x:c r="G574" s="7"/>
      <x:c r="H574" s="7"/>
      <x:c r="I574" s="7"/>
      <x:c r="J574" s="7"/>
      <x:c r="K574" s="7"/>
      <x:c r="L574" s="7"/>
      <x:c r="M574" s="7"/>
      <x:c r="N574" s="7"/>
      <x:c r="O574" s="2" t="str">
        <x:f>IF(A574="","",IF(COUNTIFS($A$7:$A$1506,A574)&gt;1,"Buchung-ID doppelt",IF(OR(NOT(ISNUMBER(B574)),C574="",NOT(ISNUMBER(F574)),H574="",L574=""),"Pflichtangaben fehlen",IF(COUNTIFS('Konten'!$A$7:$A$26,C574)&lt;&gt;1,"Konto nicht eindeutig",IF(J574&lt;&gt;"Ja","Zuordnung bestätigen",IF(OR(AND(H574="Einnahme",F574&lt;0),AND(H574="Ausgabe",F574&gt;0)),"Vorzeichen prüfen",IF(AND(H574="Umbuchung",OR(K574="",COUNTIFS($A$7:$A$1506,K574)&lt;&gt;1)),"Gegenbuchung fehlt",IF(AND(H574="Umbuchung",ROUND(SUMIFS($F$7:$F$1506,$A$7:$A$1506,K574)+F574,2)&lt;&gt;0),"Umbuchung abweichend",IF(OR(G574="",M574="",M574="offen",M574="teilbelegt",H574="Ungeklärt",H574="Bargeld"),"Beleg / Verwendung klären","vollständig erfasst")))))))))</x:f>
      </x:c>
    </x:row>
    <x:row r="575" ht="22" customHeight="1">
      <x:c r="A575" s="7"/>
      <x:c r="B575" s="8"/>
      <x:c r="C575" s="7"/>
      <x:c r="D575" s="7"/>
      <x:c r="E575" s="7"/>
      <x:c r="F575" s="20"/>
      <x:c r="G575" s="7"/>
      <x:c r="H575" s="7"/>
      <x:c r="I575" s="7"/>
      <x:c r="J575" s="7"/>
      <x:c r="K575" s="7"/>
      <x:c r="L575" s="7"/>
      <x:c r="M575" s="7"/>
      <x:c r="N575" s="7"/>
      <x:c r="O575" s="2" t="str">
        <x:f>IF(A575="","",IF(COUNTIFS($A$7:$A$1506,A575)&gt;1,"Buchung-ID doppelt",IF(OR(NOT(ISNUMBER(B575)),C575="",NOT(ISNUMBER(F575)),H575="",L575=""),"Pflichtangaben fehlen",IF(COUNTIFS('Konten'!$A$7:$A$26,C575)&lt;&gt;1,"Konto nicht eindeutig",IF(J575&lt;&gt;"Ja","Zuordnung bestätigen",IF(OR(AND(H575="Einnahme",F575&lt;0),AND(H575="Ausgabe",F575&gt;0)),"Vorzeichen prüfen",IF(AND(H575="Umbuchung",OR(K575="",COUNTIFS($A$7:$A$1506,K575)&lt;&gt;1)),"Gegenbuchung fehlt",IF(AND(H575="Umbuchung",ROUND(SUMIFS($F$7:$F$1506,$A$7:$A$1506,K575)+F575,2)&lt;&gt;0),"Umbuchung abweichend",IF(OR(G575="",M575="",M575="offen",M575="teilbelegt",H575="Ungeklärt",H575="Bargeld"),"Beleg / Verwendung klären","vollständig erfasst")))))))))</x:f>
      </x:c>
    </x:row>
    <x:row r="576" ht="22" customHeight="1">
      <x:c r="A576" s="7"/>
      <x:c r="B576" s="8"/>
      <x:c r="C576" s="7"/>
      <x:c r="D576" s="7"/>
      <x:c r="E576" s="7"/>
      <x:c r="F576" s="20"/>
      <x:c r="G576" s="7"/>
      <x:c r="H576" s="7"/>
      <x:c r="I576" s="7"/>
      <x:c r="J576" s="7"/>
      <x:c r="K576" s="7"/>
      <x:c r="L576" s="7"/>
      <x:c r="M576" s="7"/>
      <x:c r="N576" s="7"/>
      <x:c r="O576" s="2" t="str">
        <x:f>IF(A576="","",IF(COUNTIFS($A$7:$A$1506,A576)&gt;1,"Buchung-ID doppelt",IF(OR(NOT(ISNUMBER(B576)),C576="",NOT(ISNUMBER(F576)),H576="",L576=""),"Pflichtangaben fehlen",IF(COUNTIFS('Konten'!$A$7:$A$26,C576)&lt;&gt;1,"Konto nicht eindeutig",IF(J576&lt;&gt;"Ja","Zuordnung bestätigen",IF(OR(AND(H576="Einnahme",F576&lt;0),AND(H576="Ausgabe",F576&gt;0)),"Vorzeichen prüfen",IF(AND(H576="Umbuchung",OR(K576="",COUNTIFS($A$7:$A$1506,K576)&lt;&gt;1)),"Gegenbuchung fehlt",IF(AND(H576="Umbuchung",ROUND(SUMIFS($F$7:$F$1506,$A$7:$A$1506,K576)+F576,2)&lt;&gt;0),"Umbuchung abweichend",IF(OR(G576="",M576="",M576="offen",M576="teilbelegt",H576="Ungeklärt",H576="Bargeld"),"Beleg / Verwendung klären","vollständig erfasst")))))))))</x:f>
      </x:c>
    </x:row>
    <x:row r="577" ht="22" customHeight="1">
      <x:c r="A577" s="7"/>
      <x:c r="B577" s="8"/>
      <x:c r="C577" s="7"/>
      <x:c r="D577" s="7"/>
      <x:c r="E577" s="7"/>
      <x:c r="F577" s="20"/>
      <x:c r="G577" s="7"/>
      <x:c r="H577" s="7"/>
      <x:c r="I577" s="7"/>
      <x:c r="J577" s="7"/>
      <x:c r="K577" s="7"/>
      <x:c r="L577" s="7"/>
      <x:c r="M577" s="7"/>
      <x:c r="N577" s="7"/>
      <x:c r="O577" s="2" t="str">
        <x:f>IF(A577="","",IF(COUNTIFS($A$7:$A$1506,A577)&gt;1,"Buchung-ID doppelt",IF(OR(NOT(ISNUMBER(B577)),C577="",NOT(ISNUMBER(F577)),H577="",L577=""),"Pflichtangaben fehlen",IF(COUNTIFS('Konten'!$A$7:$A$26,C577)&lt;&gt;1,"Konto nicht eindeutig",IF(J577&lt;&gt;"Ja","Zuordnung bestätigen",IF(OR(AND(H577="Einnahme",F577&lt;0),AND(H577="Ausgabe",F577&gt;0)),"Vorzeichen prüfen",IF(AND(H577="Umbuchung",OR(K577="",COUNTIFS($A$7:$A$1506,K577)&lt;&gt;1)),"Gegenbuchung fehlt",IF(AND(H577="Umbuchung",ROUND(SUMIFS($F$7:$F$1506,$A$7:$A$1506,K577)+F577,2)&lt;&gt;0),"Umbuchung abweichend",IF(OR(G577="",M577="",M577="offen",M577="teilbelegt",H577="Ungeklärt",H577="Bargeld"),"Beleg / Verwendung klären","vollständig erfasst")))))))))</x:f>
      </x:c>
    </x:row>
    <x:row r="578" ht="22" customHeight="1">
      <x:c r="A578" s="7"/>
      <x:c r="B578" s="8"/>
      <x:c r="C578" s="7"/>
      <x:c r="D578" s="7"/>
      <x:c r="E578" s="7"/>
      <x:c r="F578" s="20"/>
      <x:c r="G578" s="7"/>
      <x:c r="H578" s="7"/>
      <x:c r="I578" s="7"/>
      <x:c r="J578" s="7"/>
      <x:c r="K578" s="7"/>
      <x:c r="L578" s="7"/>
      <x:c r="M578" s="7"/>
      <x:c r="N578" s="7"/>
      <x:c r="O578" s="2" t="str">
        <x:f>IF(A578="","",IF(COUNTIFS($A$7:$A$1506,A578)&gt;1,"Buchung-ID doppelt",IF(OR(NOT(ISNUMBER(B578)),C578="",NOT(ISNUMBER(F578)),H578="",L578=""),"Pflichtangaben fehlen",IF(COUNTIFS('Konten'!$A$7:$A$26,C578)&lt;&gt;1,"Konto nicht eindeutig",IF(J578&lt;&gt;"Ja","Zuordnung bestätigen",IF(OR(AND(H578="Einnahme",F578&lt;0),AND(H578="Ausgabe",F578&gt;0)),"Vorzeichen prüfen",IF(AND(H578="Umbuchung",OR(K578="",COUNTIFS($A$7:$A$1506,K578)&lt;&gt;1)),"Gegenbuchung fehlt",IF(AND(H578="Umbuchung",ROUND(SUMIFS($F$7:$F$1506,$A$7:$A$1506,K578)+F578,2)&lt;&gt;0),"Umbuchung abweichend",IF(OR(G578="",M578="",M578="offen",M578="teilbelegt",H578="Ungeklärt",H578="Bargeld"),"Beleg / Verwendung klären","vollständig erfasst")))))))))</x:f>
      </x:c>
    </x:row>
    <x:row r="579" ht="22" customHeight="1">
      <x:c r="A579" s="7"/>
      <x:c r="B579" s="8"/>
      <x:c r="C579" s="7"/>
      <x:c r="D579" s="7"/>
      <x:c r="E579" s="7"/>
      <x:c r="F579" s="20"/>
      <x:c r="G579" s="7"/>
      <x:c r="H579" s="7"/>
      <x:c r="I579" s="7"/>
      <x:c r="J579" s="7"/>
      <x:c r="K579" s="7"/>
      <x:c r="L579" s="7"/>
      <x:c r="M579" s="7"/>
      <x:c r="N579" s="7"/>
      <x:c r="O579" s="2" t="str">
        <x:f>IF(A579="","",IF(COUNTIFS($A$7:$A$1506,A579)&gt;1,"Buchung-ID doppelt",IF(OR(NOT(ISNUMBER(B579)),C579="",NOT(ISNUMBER(F579)),H579="",L579=""),"Pflichtangaben fehlen",IF(COUNTIFS('Konten'!$A$7:$A$26,C579)&lt;&gt;1,"Konto nicht eindeutig",IF(J579&lt;&gt;"Ja","Zuordnung bestätigen",IF(OR(AND(H579="Einnahme",F579&lt;0),AND(H579="Ausgabe",F579&gt;0)),"Vorzeichen prüfen",IF(AND(H579="Umbuchung",OR(K579="",COUNTIFS($A$7:$A$1506,K579)&lt;&gt;1)),"Gegenbuchung fehlt",IF(AND(H579="Umbuchung",ROUND(SUMIFS($F$7:$F$1506,$A$7:$A$1506,K579)+F579,2)&lt;&gt;0),"Umbuchung abweichend",IF(OR(G579="",M579="",M579="offen",M579="teilbelegt",H579="Ungeklärt",H579="Bargeld"),"Beleg / Verwendung klären","vollständig erfasst")))))))))</x:f>
      </x:c>
    </x:row>
    <x:row r="580" ht="22" customHeight="1">
      <x:c r="A580" s="7"/>
      <x:c r="B580" s="8"/>
      <x:c r="C580" s="7"/>
      <x:c r="D580" s="7"/>
      <x:c r="E580" s="7"/>
      <x:c r="F580" s="20"/>
      <x:c r="G580" s="7"/>
      <x:c r="H580" s="7"/>
      <x:c r="I580" s="7"/>
      <x:c r="J580" s="7"/>
      <x:c r="K580" s="7"/>
      <x:c r="L580" s="7"/>
      <x:c r="M580" s="7"/>
      <x:c r="N580" s="7"/>
      <x:c r="O580" s="2" t="str">
        <x:f>IF(A580="","",IF(COUNTIFS($A$7:$A$1506,A580)&gt;1,"Buchung-ID doppelt",IF(OR(NOT(ISNUMBER(B580)),C580="",NOT(ISNUMBER(F580)),H580="",L580=""),"Pflichtangaben fehlen",IF(COUNTIFS('Konten'!$A$7:$A$26,C580)&lt;&gt;1,"Konto nicht eindeutig",IF(J580&lt;&gt;"Ja","Zuordnung bestätigen",IF(OR(AND(H580="Einnahme",F580&lt;0),AND(H580="Ausgabe",F580&gt;0)),"Vorzeichen prüfen",IF(AND(H580="Umbuchung",OR(K580="",COUNTIFS($A$7:$A$1506,K580)&lt;&gt;1)),"Gegenbuchung fehlt",IF(AND(H580="Umbuchung",ROUND(SUMIFS($F$7:$F$1506,$A$7:$A$1506,K580)+F580,2)&lt;&gt;0),"Umbuchung abweichend",IF(OR(G580="",M580="",M580="offen",M580="teilbelegt",H580="Ungeklärt",H580="Bargeld"),"Beleg / Verwendung klären","vollständig erfasst")))))))))</x:f>
      </x:c>
    </x:row>
    <x:row r="581" ht="22" customHeight="1">
      <x:c r="A581" s="7"/>
      <x:c r="B581" s="8"/>
      <x:c r="C581" s="7"/>
      <x:c r="D581" s="7"/>
      <x:c r="E581" s="7"/>
      <x:c r="F581" s="20"/>
      <x:c r="G581" s="7"/>
      <x:c r="H581" s="7"/>
      <x:c r="I581" s="7"/>
      <x:c r="J581" s="7"/>
      <x:c r="K581" s="7"/>
      <x:c r="L581" s="7"/>
      <x:c r="M581" s="7"/>
      <x:c r="N581" s="7"/>
      <x:c r="O581" s="2" t="str">
        <x:f>IF(A581="","",IF(COUNTIFS($A$7:$A$1506,A581)&gt;1,"Buchung-ID doppelt",IF(OR(NOT(ISNUMBER(B581)),C581="",NOT(ISNUMBER(F581)),H581="",L581=""),"Pflichtangaben fehlen",IF(COUNTIFS('Konten'!$A$7:$A$26,C581)&lt;&gt;1,"Konto nicht eindeutig",IF(J581&lt;&gt;"Ja","Zuordnung bestätigen",IF(OR(AND(H581="Einnahme",F581&lt;0),AND(H581="Ausgabe",F581&gt;0)),"Vorzeichen prüfen",IF(AND(H581="Umbuchung",OR(K581="",COUNTIFS($A$7:$A$1506,K581)&lt;&gt;1)),"Gegenbuchung fehlt",IF(AND(H581="Umbuchung",ROUND(SUMIFS($F$7:$F$1506,$A$7:$A$1506,K581)+F581,2)&lt;&gt;0),"Umbuchung abweichend",IF(OR(G581="",M581="",M581="offen",M581="teilbelegt",H581="Ungeklärt",H581="Bargeld"),"Beleg / Verwendung klären","vollständig erfasst")))))))))</x:f>
      </x:c>
    </x:row>
    <x:row r="582" ht="22" customHeight="1">
      <x:c r="A582" s="7"/>
      <x:c r="B582" s="8"/>
      <x:c r="C582" s="7"/>
      <x:c r="D582" s="7"/>
      <x:c r="E582" s="7"/>
      <x:c r="F582" s="20"/>
      <x:c r="G582" s="7"/>
      <x:c r="H582" s="7"/>
      <x:c r="I582" s="7"/>
      <x:c r="J582" s="7"/>
      <x:c r="K582" s="7"/>
      <x:c r="L582" s="7"/>
      <x:c r="M582" s="7"/>
      <x:c r="N582" s="7"/>
      <x:c r="O582" s="2" t="str">
        <x:f>IF(A582="","",IF(COUNTIFS($A$7:$A$1506,A582)&gt;1,"Buchung-ID doppelt",IF(OR(NOT(ISNUMBER(B582)),C582="",NOT(ISNUMBER(F582)),H582="",L582=""),"Pflichtangaben fehlen",IF(COUNTIFS('Konten'!$A$7:$A$26,C582)&lt;&gt;1,"Konto nicht eindeutig",IF(J582&lt;&gt;"Ja","Zuordnung bestätigen",IF(OR(AND(H582="Einnahme",F582&lt;0),AND(H582="Ausgabe",F582&gt;0)),"Vorzeichen prüfen",IF(AND(H582="Umbuchung",OR(K582="",COUNTIFS($A$7:$A$1506,K582)&lt;&gt;1)),"Gegenbuchung fehlt",IF(AND(H582="Umbuchung",ROUND(SUMIFS($F$7:$F$1506,$A$7:$A$1506,K582)+F582,2)&lt;&gt;0),"Umbuchung abweichend",IF(OR(G582="",M582="",M582="offen",M582="teilbelegt",H582="Ungeklärt",H582="Bargeld"),"Beleg / Verwendung klären","vollständig erfasst")))))))))</x:f>
      </x:c>
    </x:row>
    <x:row r="583" ht="22" customHeight="1">
      <x:c r="A583" s="7"/>
      <x:c r="B583" s="8"/>
      <x:c r="C583" s="7"/>
      <x:c r="D583" s="7"/>
      <x:c r="E583" s="7"/>
      <x:c r="F583" s="20"/>
      <x:c r="G583" s="7"/>
      <x:c r="H583" s="7"/>
      <x:c r="I583" s="7"/>
      <x:c r="J583" s="7"/>
      <x:c r="K583" s="7"/>
      <x:c r="L583" s="7"/>
      <x:c r="M583" s="7"/>
      <x:c r="N583" s="7"/>
      <x:c r="O583" s="2" t="str">
        <x:f>IF(A583="","",IF(COUNTIFS($A$7:$A$1506,A583)&gt;1,"Buchung-ID doppelt",IF(OR(NOT(ISNUMBER(B583)),C583="",NOT(ISNUMBER(F583)),H583="",L583=""),"Pflichtangaben fehlen",IF(COUNTIFS('Konten'!$A$7:$A$26,C583)&lt;&gt;1,"Konto nicht eindeutig",IF(J583&lt;&gt;"Ja","Zuordnung bestätigen",IF(OR(AND(H583="Einnahme",F583&lt;0),AND(H583="Ausgabe",F583&gt;0)),"Vorzeichen prüfen",IF(AND(H583="Umbuchung",OR(K583="",COUNTIFS($A$7:$A$1506,K583)&lt;&gt;1)),"Gegenbuchung fehlt",IF(AND(H583="Umbuchung",ROUND(SUMIFS($F$7:$F$1506,$A$7:$A$1506,K583)+F583,2)&lt;&gt;0),"Umbuchung abweichend",IF(OR(G583="",M583="",M583="offen",M583="teilbelegt",H583="Ungeklärt",H583="Bargeld"),"Beleg / Verwendung klären","vollständig erfasst")))))))))</x:f>
      </x:c>
    </x:row>
    <x:row r="584" ht="22" customHeight="1">
      <x:c r="A584" s="7"/>
      <x:c r="B584" s="8"/>
      <x:c r="C584" s="7"/>
      <x:c r="D584" s="7"/>
      <x:c r="E584" s="7"/>
      <x:c r="F584" s="20"/>
      <x:c r="G584" s="7"/>
      <x:c r="H584" s="7"/>
      <x:c r="I584" s="7"/>
      <x:c r="J584" s="7"/>
      <x:c r="K584" s="7"/>
      <x:c r="L584" s="7"/>
      <x:c r="M584" s="7"/>
      <x:c r="N584" s="7"/>
      <x:c r="O584" s="2" t="str">
        <x:f>IF(A584="","",IF(COUNTIFS($A$7:$A$1506,A584)&gt;1,"Buchung-ID doppelt",IF(OR(NOT(ISNUMBER(B584)),C584="",NOT(ISNUMBER(F584)),H584="",L584=""),"Pflichtangaben fehlen",IF(COUNTIFS('Konten'!$A$7:$A$26,C584)&lt;&gt;1,"Konto nicht eindeutig",IF(J584&lt;&gt;"Ja","Zuordnung bestätigen",IF(OR(AND(H584="Einnahme",F584&lt;0),AND(H584="Ausgabe",F584&gt;0)),"Vorzeichen prüfen",IF(AND(H584="Umbuchung",OR(K584="",COUNTIFS($A$7:$A$1506,K584)&lt;&gt;1)),"Gegenbuchung fehlt",IF(AND(H584="Umbuchung",ROUND(SUMIFS($F$7:$F$1506,$A$7:$A$1506,K584)+F584,2)&lt;&gt;0),"Umbuchung abweichend",IF(OR(G584="",M584="",M584="offen",M584="teilbelegt",H584="Ungeklärt",H584="Bargeld"),"Beleg / Verwendung klären","vollständig erfasst")))))))))</x:f>
      </x:c>
    </x:row>
    <x:row r="585" ht="22" customHeight="1">
      <x:c r="A585" s="7"/>
      <x:c r="B585" s="8"/>
      <x:c r="C585" s="7"/>
      <x:c r="D585" s="7"/>
      <x:c r="E585" s="7"/>
      <x:c r="F585" s="20"/>
      <x:c r="G585" s="7"/>
      <x:c r="H585" s="7"/>
      <x:c r="I585" s="7"/>
      <x:c r="J585" s="7"/>
      <x:c r="K585" s="7"/>
      <x:c r="L585" s="7"/>
      <x:c r="M585" s="7"/>
      <x:c r="N585" s="7"/>
      <x:c r="O585" s="2" t="str">
        <x:f>IF(A585="","",IF(COUNTIFS($A$7:$A$1506,A585)&gt;1,"Buchung-ID doppelt",IF(OR(NOT(ISNUMBER(B585)),C585="",NOT(ISNUMBER(F585)),H585="",L585=""),"Pflichtangaben fehlen",IF(COUNTIFS('Konten'!$A$7:$A$26,C585)&lt;&gt;1,"Konto nicht eindeutig",IF(J585&lt;&gt;"Ja","Zuordnung bestätigen",IF(OR(AND(H585="Einnahme",F585&lt;0),AND(H585="Ausgabe",F585&gt;0)),"Vorzeichen prüfen",IF(AND(H585="Umbuchung",OR(K585="",COUNTIFS($A$7:$A$1506,K585)&lt;&gt;1)),"Gegenbuchung fehlt",IF(AND(H585="Umbuchung",ROUND(SUMIFS($F$7:$F$1506,$A$7:$A$1506,K585)+F585,2)&lt;&gt;0),"Umbuchung abweichend",IF(OR(G585="",M585="",M585="offen",M585="teilbelegt",H585="Ungeklärt",H585="Bargeld"),"Beleg / Verwendung klären","vollständig erfasst")))))))))</x:f>
      </x:c>
    </x:row>
    <x:row r="586" ht="22" customHeight="1">
      <x:c r="A586" s="7"/>
      <x:c r="B586" s="8"/>
      <x:c r="C586" s="7"/>
      <x:c r="D586" s="7"/>
      <x:c r="E586" s="7"/>
      <x:c r="F586" s="20"/>
      <x:c r="G586" s="7"/>
      <x:c r="H586" s="7"/>
      <x:c r="I586" s="7"/>
      <x:c r="J586" s="7"/>
      <x:c r="K586" s="7"/>
      <x:c r="L586" s="7"/>
      <x:c r="M586" s="7"/>
      <x:c r="N586" s="7"/>
      <x:c r="O586" s="2" t="str">
        <x:f>IF(A586="","",IF(COUNTIFS($A$7:$A$1506,A586)&gt;1,"Buchung-ID doppelt",IF(OR(NOT(ISNUMBER(B586)),C586="",NOT(ISNUMBER(F586)),H586="",L586=""),"Pflichtangaben fehlen",IF(COUNTIFS('Konten'!$A$7:$A$26,C586)&lt;&gt;1,"Konto nicht eindeutig",IF(J586&lt;&gt;"Ja","Zuordnung bestätigen",IF(OR(AND(H586="Einnahme",F586&lt;0),AND(H586="Ausgabe",F586&gt;0)),"Vorzeichen prüfen",IF(AND(H586="Umbuchung",OR(K586="",COUNTIFS($A$7:$A$1506,K586)&lt;&gt;1)),"Gegenbuchung fehlt",IF(AND(H586="Umbuchung",ROUND(SUMIFS($F$7:$F$1506,$A$7:$A$1506,K586)+F586,2)&lt;&gt;0),"Umbuchung abweichend",IF(OR(G586="",M586="",M586="offen",M586="teilbelegt",H586="Ungeklärt",H586="Bargeld"),"Beleg / Verwendung klären","vollständig erfasst")))))))))</x:f>
      </x:c>
    </x:row>
    <x:row r="587" ht="22" customHeight="1">
      <x:c r="A587" s="7"/>
      <x:c r="B587" s="8"/>
      <x:c r="C587" s="7"/>
      <x:c r="D587" s="7"/>
      <x:c r="E587" s="7"/>
      <x:c r="F587" s="20"/>
      <x:c r="G587" s="7"/>
      <x:c r="H587" s="7"/>
      <x:c r="I587" s="7"/>
      <x:c r="J587" s="7"/>
      <x:c r="K587" s="7"/>
      <x:c r="L587" s="7"/>
      <x:c r="M587" s="7"/>
      <x:c r="N587" s="7"/>
      <x:c r="O587" s="2" t="str">
        <x:f>IF(A587="","",IF(COUNTIFS($A$7:$A$1506,A587)&gt;1,"Buchung-ID doppelt",IF(OR(NOT(ISNUMBER(B587)),C587="",NOT(ISNUMBER(F587)),H587="",L587=""),"Pflichtangaben fehlen",IF(COUNTIFS('Konten'!$A$7:$A$26,C587)&lt;&gt;1,"Konto nicht eindeutig",IF(J587&lt;&gt;"Ja","Zuordnung bestätigen",IF(OR(AND(H587="Einnahme",F587&lt;0),AND(H587="Ausgabe",F587&gt;0)),"Vorzeichen prüfen",IF(AND(H587="Umbuchung",OR(K587="",COUNTIFS($A$7:$A$1506,K587)&lt;&gt;1)),"Gegenbuchung fehlt",IF(AND(H587="Umbuchung",ROUND(SUMIFS($F$7:$F$1506,$A$7:$A$1506,K587)+F587,2)&lt;&gt;0),"Umbuchung abweichend",IF(OR(G587="",M587="",M587="offen",M587="teilbelegt",H587="Ungeklärt",H587="Bargeld"),"Beleg / Verwendung klären","vollständig erfasst")))))))))</x:f>
      </x:c>
    </x:row>
    <x:row r="588" ht="22" customHeight="1">
      <x:c r="A588" s="7"/>
      <x:c r="B588" s="8"/>
      <x:c r="C588" s="7"/>
      <x:c r="D588" s="7"/>
      <x:c r="E588" s="7"/>
      <x:c r="F588" s="20"/>
      <x:c r="G588" s="7"/>
      <x:c r="H588" s="7"/>
      <x:c r="I588" s="7"/>
      <x:c r="J588" s="7"/>
      <x:c r="K588" s="7"/>
      <x:c r="L588" s="7"/>
      <x:c r="M588" s="7"/>
      <x:c r="N588" s="7"/>
      <x:c r="O588" s="2" t="str">
        <x:f>IF(A588="","",IF(COUNTIFS($A$7:$A$1506,A588)&gt;1,"Buchung-ID doppelt",IF(OR(NOT(ISNUMBER(B588)),C588="",NOT(ISNUMBER(F588)),H588="",L588=""),"Pflichtangaben fehlen",IF(COUNTIFS('Konten'!$A$7:$A$26,C588)&lt;&gt;1,"Konto nicht eindeutig",IF(J588&lt;&gt;"Ja","Zuordnung bestätigen",IF(OR(AND(H588="Einnahme",F588&lt;0),AND(H588="Ausgabe",F588&gt;0)),"Vorzeichen prüfen",IF(AND(H588="Umbuchung",OR(K588="",COUNTIFS($A$7:$A$1506,K588)&lt;&gt;1)),"Gegenbuchung fehlt",IF(AND(H588="Umbuchung",ROUND(SUMIFS($F$7:$F$1506,$A$7:$A$1506,K588)+F588,2)&lt;&gt;0),"Umbuchung abweichend",IF(OR(G588="",M588="",M588="offen",M588="teilbelegt",H588="Ungeklärt",H588="Bargeld"),"Beleg / Verwendung klären","vollständig erfasst")))))))))</x:f>
      </x:c>
    </x:row>
    <x:row r="589" ht="22" customHeight="1">
      <x:c r="A589" s="7"/>
      <x:c r="B589" s="8"/>
      <x:c r="C589" s="7"/>
      <x:c r="D589" s="7"/>
      <x:c r="E589" s="7"/>
      <x:c r="F589" s="20"/>
      <x:c r="G589" s="7"/>
      <x:c r="H589" s="7"/>
      <x:c r="I589" s="7"/>
      <x:c r="J589" s="7"/>
      <x:c r="K589" s="7"/>
      <x:c r="L589" s="7"/>
      <x:c r="M589" s="7"/>
      <x:c r="N589" s="7"/>
      <x:c r="O589" s="2" t="str">
        <x:f>IF(A589="","",IF(COUNTIFS($A$7:$A$1506,A589)&gt;1,"Buchung-ID doppelt",IF(OR(NOT(ISNUMBER(B589)),C589="",NOT(ISNUMBER(F589)),H589="",L589=""),"Pflichtangaben fehlen",IF(COUNTIFS('Konten'!$A$7:$A$26,C589)&lt;&gt;1,"Konto nicht eindeutig",IF(J589&lt;&gt;"Ja","Zuordnung bestätigen",IF(OR(AND(H589="Einnahme",F589&lt;0),AND(H589="Ausgabe",F589&gt;0)),"Vorzeichen prüfen",IF(AND(H589="Umbuchung",OR(K589="",COUNTIFS($A$7:$A$1506,K589)&lt;&gt;1)),"Gegenbuchung fehlt",IF(AND(H589="Umbuchung",ROUND(SUMIFS($F$7:$F$1506,$A$7:$A$1506,K589)+F589,2)&lt;&gt;0),"Umbuchung abweichend",IF(OR(G589="",M589="",M589="offen",M589="teilbelegt",H589="Ungeklärt",H589="Bargeld"),"Beleg / Verwendung klären","vollständig erfasst")))))))))</x:f>
      </x:c>
    </x:row>
    <x:row r="590" ht="22" customHeight="1">
      <x:c r="A590" s="7"/>
      <x:c r="B590" s="8"/>
      <x:c r="C590" s="7"/>
      <x:c r="D590" s="7"/>
      <x:c r="E590" s="7"/>
      <x:c r="F590" s="20"/>
      <x:c r="G590" s="7"/>
      <x:c r="H590" s="7"/>
      <x:c r="I590" s="7"/>
      <x:c r="J590" s="7"/>
      <x:c r="K590" s="7"/>
      <x:c r="L590" s="7"/>
      <x:c r="M590" s="7"/>
      <x:c r="N590" s="7"/>
      <x:c r="O590" s="2" t="str">
        <x:f>IF(A590="","",IF(COUNTIFS($A$7:$A$1506,A590)&gt;1,"Buchung-ID doppelt",IF(OR(NOT(ISNUMBER(B590)),C590="",NOT(ISNUMBER(F590)),H590="",L590=""),"Pflichtangaben fehlen",IF(COUNTIFS('Konten'!$A$7:$A$26,C590)&lt;&gt;1,"Konto nicht eindeutig",IF(J590&lt;&gt;"Ja","Zuordnung bestätigen",IF(OR(AND(H590="Einnahme",F590&lt;0),AND(H590="Ausgabe",F590&gt;0)),"Vorzeichen prüfen",IF(AND(H590="Umbuchung",OR(K590="",COUNTIFS($A$7:$A$1506,K590)&lt;&gt;1)),"Gegenbuchung fehlt",IF(AND(H590="Umbuchung",ROUND(SUMIFS($F$7:$F$1506,$A$7:$A$1506,K590)+F590,2)&lt;&gt;0),"Umbuchung abweichend",IF(OR(G590="",M590="",M590="offen",M590="teilbelegt",H590="Ungeklärt",H590="Bargeld"),"Beleg / Verwendung klären","vollständig erfasst")))))))))</x:f>
      </x:c>
    </x:row>
    <x:row r="591" ht="22" customHeight="1">
      <x:c r="A591" s="7"/>
      <x:c r="B591" s="8"/>
      <x:c r="C591" s="7"/>
      <x:c r="D591" s="7"/>
      <x:c r="E591" s="7"/>
      <x:c r="F591" s="20"/>
      <x:c r="G591" s="7"/>
      <x:c r="H591" s="7"/>
      <x:c r="I591" s="7"/>
      <x:c r="J591" s="7"/>
      <x:c r="K591" s="7"/>
      <x:c r="L591" s="7"/>
      <x:c r="M591" s="7"/>
      <x:c r="N591" s="7"/>
      <x:c r="O591" s="2" t="str">
        <x:f>IF(A591="","",IF(COUNTIFS($A$7:$A$1506,A591)&gt;1,"Buchung-ID doppelt",IF(OR(NOT(ISNUMBER(B591)),C591="",NOT(ISNUMBER(F591)),H591="",L591=""),"Pflichtangaben fehlen",IF(COUNTIFS('Konten'!$A$7:$A$26,C591)&lt;&gt;1,"Konto nicht eindeutig",IF(J591&lt;&gt;"Ja","Zuordnung bestätigen",IF(OR(AND(H591="Einnahme",F591&lt;0),AND(H591="Ausgabe",F591&gt;0)),"Vorzeichen prüfen",IF(AND(H591="Umbuchung",OR(K591="",COUNTIFS($A$7:$A$1506,K591)&lt;&gt;1)),"Gegenbuchung fehlt",IF(AND(H591="Umbuchung",ROUND(SUMIFS($F$7:$F$1506,$A$7:$A$1506,K591)+F591,2)&lt;&gt;0),"Umbuchung abweichend",IF(OR(G591="",M591="",M591="offen",M591="teilbelegt",H591="Ungeklärt",H591="Bargeld"),"Beleg / Verwendung klären","vollständig erfasst")))))))))</x:f>
      </x:c>
    </x:row>
    <x:row r="592" ht="22" customHeight="1">
      <x:c r="A592" s="7"/>
      <x:c r="B592" s="8"/>
      <x:c r="C592" s="7"/>
      <x:c r="D592" s="7"/>
      <x:c r="E592" s="7"/>
      <x:c r="F592" s="20"/>
      <x:c r="G592" s="7"/>
      <x:c r="H592" s="7"/>
      <x:c r="I592" s="7"/>
      <x:c r="J592" s="7"/>
      <x:c r="K592" s="7"/>
      <x:c r="L592" s="7"/>
      <x:c r="M592" s="7"/>
      <x:c r="N592" s="7"/>
      <x:c r="O592" s="2" t="str">
        <x:f>IF(A592="","",IF(COUNTIFS($A$7:$A$1506,A592)&gt;1,"Buchung-ID doppelt",IF(OR(NOT(ISNUMBER(B592)),C592="",NOT(ISNUMBER(F592)),H592="",L592=""),"Pflichtangaben fehlen",IF(COUNTIFS('Konten'!$A$7:$A$26,C592)&lt;&gt;1,"Konto nicht eindeutig",IF(J592&lt;&gt;"Ja","Zuordnung bestätigen",IF(OR(AND(H592="Einnahme",F592&lt;0),AND(H592="Ausgabe",F592&gt;0)),"Vorzeichen prüfen",IF(AND(H592="Umbuchung",OR(K592="",COUNTIFS($A$7:$A$1506,K592)&lt;&gt;1)),"Gegenbuchung fehlt",IF(AND(H592="Umbuchung",ROUND(SUMIFS($F$7:$F$1506,$A$7:$A$1506,K592)+F592,2)&lt;&gt;0),"Umbuchung abweichend",IF(OR(G592="",M592="",M592="offen",M592="teilbelegt",H592="Ungeklärt",H592="Bargeld"),"Beleg / Verwendung klären","vollständig erfasst")))))))))</x:f>
      </x:c>
    </x:row>
    <x:row r="593" ht="22" customHeight="1">
      <x:c r="A593" s="7"/>
      <x:c r="B593" s="8"/>
      <x:c r="C593" s="7"/>
      <x:c r="D593" s="7"/>
      <x:c r="E593" s="7"/>
      <x:c r="F593" s="20"/>
      <x:c r="G593" s="7"/>
      <x:c r="H593" s="7"/>
      <x:c r="I593" s="7"/>
      <x:c r="J593" s="7"/>
      <x:c r="K593" s="7"/>
      <x:c r="L593" s="7"/>
      <x:c r="M593" s="7"/>
      <x:c r="N593" s="7"/>
      <x:c r="O593" s="2" t="str">
        <x:f>IF(A593="","",IF(COUNTIFS($A$7:$A$1506,A593)&gt;1,"Buchung-ID doppelt",IF(OR(NOT(ISNUMBER(B593)),C593="",NOT(ISNUMBER(F593)),H593="",L593=""),"Pflichtangaben fehlen",IF(COUNTIFS('Konten'!$A$7:$A$26,C593)&lt;&gt;1,"Konto nicht eindeutig",IF(J593&lt;&gt;"Ja","Zuordnung bestätigen",IF(OR(AND(H593="Einnahme",F593&lt;0),AND(H593="Ausgabe",F593&gt;0)),"Vorzeichen prüfen",IF(AND(H593="Umbuchung",OR(K593="",COUNTIFS($A$7:$A$1506,K593)&lt;&gt;1)),"Gegenbuchung fehlt",IF(AND(H593="Umbuchung",ROUND(SUMIFS($F$7:$F$1506,$A$7:$A$1506,K593)+F593,2)&lt;&gt;0),"Umbuchung abweichend",IF(OR(G593="",M593="",M593="offen",M593="teilbelegt",H593="Ungeklärt",H593="Bargeld"),"Beleg / Verwendung klären","vollständig erfasst")))))))))</x:f>
      </x:c>
    </x:row>
    <x:row r="594" ht="22" customHeight="1">
      <x:c r="A594" s="7"/>
      <x:c r="B594" s="8"/>
      <x:c r="C594" s="7"/>
      <x:c r="D594" s="7"/>
      <x:c r="E594" s="7"/>
      <x:c r="F594" s="20"/>
      <x:c r="G594" s="7"/>
      <x:c r="H594" s="7"/>
      <x:c r="I594" s="7"/>
      <x:c r="J594" s="7"/>
      <x:c r="K594" s="7"/>
      <x:c r="L594" s="7"/>
      <x:c r="M594" s="7"/>
      <x:c r="N594" s="7"/>
      <x:c r="O594" s="2" t="str">
        <x:f>IF(A594="","",IF(COUNTIFS($A$7:$A$1506,A594)&gt;1,"Buchung-ID doppelt",IF(OR(NOT(ISNUMBER(B594)),C594="",NOT(ISNUMBER(F594)),H594="",L594=""),"Pflichtangaben fehlen",IF(COUNTIFS('Konten'!$A$7:$A$26,C594)&lt;&gt;1,"Konto nicht eindeutig",IF(J594&lt;&gt;"Ja","Zuordnung bestätigen",IF(OR(AND(H594="Einnahme",F594&lt;0),AND(H594="Ausgabe",F594&gt;0)),"Vorzeichen prüfen",IF(AND(H594="Umbuchung",OR(K594="",COUNTIFS($A$7:$A$1506,K594)&lt;&gt;1)),"Gegenbuchung fehlt",IF(AND(H594="Umbuchung",ROUND(SUMIFS($F$7:$F$1506,$A$7:$A$1506,K594)+F594,2)&lt;&gt;0),"Umbuchung abweichend",IF(OR(G594="",M594="",M594="offen",M594="teilbelegt",H594="Ungeklärt",H594="Bargeld"),"Beleg / Verwendung klären","vollständig erfasst")))))))))</x:f>
      </x:c>
    </x:row>
    <x:row r="595" ht="22" customHeight="1">
      <x:c r="A595" s="7"/>
      <x:c r="B595" s="8"/>
      <x:c r="C595" s="7"/>
      <x:c r="D595" s="7"/>
      <x:c r="E595" s="7"/>
      <x:c r="F595" s="20"/>
      <x:c r="G595" s="7"/>
      <x:c r="H595" s="7"/>
      <x:c r="I595" s="7"/>
      <x:c r="J595" s="7"/>
      <x:c r="K595" s="7"/>
      <x:c r="L595" s="7"/>
      <x:c r="M595" s="7"/>
      <x:c r="N595" s="7"/>
      <x:c r="O595" s="2" t="str">
        <x:f>IF(A595="","",IF(COUNTIFS($A$7:$A$1506,A595)&gt;1,"Buchung-ID doppelt",IF(OR(NOT(ISNUMBER(B595)),C595="",NOT(ISNUMBER(F595)),H595="",L595=""),"Pflichtangaben fehlen",IF(COUNTIFS('Konten'!$A$7:$A$26,C595)&lt;&gt;1,"Konto nicht eindeutig",IF(J595&lt;&gt;"Ja","Zuordnung bestätigen",IF(OR(AND(H595="Einnahme",F595&lt;0),AND(H595="Ausgabe",F595&gt;0)),"Vorzeichen prüfen",IF(AND(H595="Umbuchung",OR(K595="",COUNTIFS($A$7:$A$1506,K595)&lt;&gt;1)),"Gegenbuchung fehlt",IF(AND(H595="Umbuchung",ROUND(SUMIFS($F$7:$F$1506,$A$7:$A$1506,K595)+F595,2)&lt;&gt;0),"Umbuchung abweichend",IF(OR(G595="",M595="",M595="offen",M595="teilbelegt",H595="Ungeklärt",H595="Bargeld"),"Beleg / Verwendung klären","vollständig erfasst")))))))))</x:f>
      </x:c>
    </x:row>
    <x:row r="596" ht="22" customHeight="1">
      <x:c r="A596" s="7"/>
      <x:c r="B596" s="8"/>
      <x:c r="C596" s="7"/>
      <x:c r="D596" s="7"/>
      <x:c r="E596" s="7"/>
      <x:c r="F596" s="20"/>
      <x:c r="G596" s="7"/>
      <x:c r="H596" s="7"/>
      <x:c r="I596" s="7"/>
      <x:c r="J596" s="7"/>
      <x:c r="K596" s="7"/>
      <x:c r="L596" s="7"/>
      <x:c r="M596" s="7"/>
      <x:c r="N596" s="7"/>
      <x:c r="O596" s="2" t="str">
        <x:f>IF(A596="","",IF(COUNTIFS($A$7:$A$1506,A596)&gt;1,"Buchung-ID doppelt",IF(OR(NOT(ISNUMBER(B596)),C596="",NOT(ISNUMBER(F596)),H596="",L596=""),"Pflichtangaben fehlen",IF(COUNTIFS('Konten'!$A$7:$A$26,C596)&lt;&gt;1,"Konto nicht eindeutig",IF(J596&lt;&gt;"Ja","Zuordnung bestätigen",IF(OR(AND(H596="Einnahme",F596&lt;0),AND(H596="Ausgabe",F596&gt;0)),"Vorzeichen prüfen",IF(AND(H596="Umbuchung",OR(K596="",COUNTIFS($A$7:$A$1506,K596)&lt;&gt;1)),"Gegenbuchung fehlt",IF(AND(H596="Umbuchung",ROUND(SUMIFS($F$7:$F$1506,$A$7:$A$1506,K596)+F596,2)&lt;&gt;0),"Umbuchung abweichend",IF(OR(G596="",M596="",M596="offen",M596="teilbelegt",H596="Ungeklärt",H596="Bargeld"),"Beleg / Verwendung klären","vollständig erfasst")))))))))</x:f>
      </x:c>
    </x:row>
    <x:row r="597" ht="22" customHeight="1">
      <x:c r="A597" s="7"/>
      <x:c r="B597" s="8"/>
      <x:c r="C597" s="7"/>
      <x:c r="D597" s="7"/>
      <x:c r="E597" s="7"/>
      <x:c r="F597" s="20"/>
      <x:c r="G597" s="7"/>
      <x:c r="H597" s="7"/>
      <x:c r="I597" s="7"/>
      <x:c r="J597" s="7"/>
      <x:c r="K597" s="7"/>
      <x:c r="L597" s="7"/>
      <x:c r="M597" s="7"/>
      <x:c r="N597" s="7"/>
      <x:c r="O597" s="2" t="str">
        <x:f>IF(A597="","",IF(COUNTIFS($A$7:$A$1506,A597)&gt;1,"Buchung-ID doppelt",IF(OR(NOT(ISNUMBER(B597)),C597="",NOT(ISNUMBER(F597)),H597="",L597=""),"Pflichtangaben fehlen",IF(COUNTIFS('Konten'!$A$7:$A$26,C597)&lt;&gt;1,"Konto nicht eindeutig",IF(J597&lt;&gt;"Ja","Zuordnung bestätigen",IF(OR(AND(H597="Einnahme",F597&lt;0),AND(H597="Ausgabe",F597&gt;0)),"Vorzeichen prüfen",IF(AND(H597="Umbuchung",OR(K597="",COUNTIFS($A$7:$A$1506,K597)&lt;&gt;1)),"Gegenbuchung fehlt",IF(AND(H597="Umbuchung",ROUND(SUMIFS($F$7:$F$1506,$A$7:$A$1506,K597)+F597,2)&lt;&gt;0),"Umbuchung abweichend",IF(OR(G597="",M597="",M597="offen",M597="teilbelegt",H597="Ungeklärt",H597="Bargeld"),"Beleg / Verwendung klären","vollständig erfasst")))))))))</x:f>
      </x:c>
    </x:row>
    <x:row r="598" ht="22" customHeight="1">
      <x:c r="A598" s="7"/>
      <x:c r="B598" s="8"/>
      <x:c r="C598" s="7"/>
      <x:c r="D598" s="7"/>
      <x:c r="E598" s="7"/>
      <x:c r="F598" s="20"/>
      <x:c r="G598" s="7"/>
      <x:c r="H598" s="7"/>
      <x:c r="I598" s="7"/>
      <x:c r="J598" s="7"/>
      <x:c r="K598" s="7"/>
      <x:c r="L598" s="7"/>
      <x:c r="M598" s="7"/>
      <x:c r="N598" s="7"/>
      <x:c r="O598" s="2" t="str">
        <x:f>IF(A598="","",IF(COUNTIFS($A$7:$A$1506,A598)&gt;1,"Buchung-ID doppelt",IF(OR(NOT(ISNUMBER(B598)),C598="",NOT(ISNUMBER(F598)),H598="",L598=""),"Pflichtangaben fehlen",IF(COUNTIFS('Konten'!$A$7:$A$26,C598)&lt;&gt;1,"Konto nicht eindeutig",IF(J598&lt;&gt;"Ja","Zuordnung bestätigen",IF(OR(AND(H598="Einnahme",F598&lt;0),AND(H598="Ausgabe",F598&gt;0)),"Vorzeichen prüfen",IF(AND(H598="Umbuchung",OR(K598="",COUNTIFS($A$7:$A$1506,K598)&lt;&gt;1)),"Gegenbuchung fehlt",IF(AND(H598="Umbuchung",ROUND(SUMIFS($F$7:$F$1506,$A$7:$A$1506,K598)+F598,2)&lt;&gt;0),"Umbuchung abweichend",IF(OR(G598="",M598="",M598="offen",M598="teilbelegt",H598="Ungeklärt",H598="Bargeld"),"Beleg / Verwendung klären","vollständig erfasst")))))))))</x:f>
      </x:c>
    </x:row>
    <x:row r="599" ht="22" customHeight="1">
      <x:c r="A599" s="7"/>
      <x:c r="B599" s="8"/>
      <x:c r="C599" s="7"/>
      <x:c r="D599" s="7"/>
      <x:c r="E599" s="7"/>
      <x:c r="F599" s="20"/>
      <x:c r="G599" s="7"/>
      <x:c r="H599" s="7"/>
      <x:c r="I599" s="7"/>
      <x:c r="J599" s="7"/>
      <x:c r="K599" s="7"/>
      <x:c r="L599" s="7"/>
      <x:c r="M599" s="7"/>
      <x:c r="N599" s="7"/>
      <x:c r="O599" s="2" t="str">
        <x:f>IF(A599="","",IF(COUNTIFS($A$7:$A$1506,A599)&gt;1,"Buchung-ID doppelt",IF(OR(NOT(ISNUMBER(B599)),C599="",NOT(ISNUMBER(F599)),H599="",L599=""),"Pflichtangaben fehlen",IF(COUNTIFS('Konten'!$A$7:$A$26,C599)&lt;&gt;1,"Konto nicht eindeutig",IF(J599&lt;&gt;"Ja","Zuordnung bestätigen",IF(OR(AND(H599="Einnahme",F599&lt;0),AND(H599="Ausgabe",F599&gt;0)),"Vorzeichen prüfen",IF(AND(H599="Umbuchung",OR(K599="",COUNTIFS($A$7:$A$1506,K599)&lt;&gt;1)),"Gegenbuchung fehlt",IF(AND(H599="Umbuchung",ROUND(SUMIFS($F$7:$F$1506,$A$7:$A$1506,K599)+F599,2)&lt;&gt;0),"Umbuchung abweichend",IF(OR(G599="",M599="",M599="offen",M599="teilbelegt",H599="Ungeklärt",H599="Bargeld"),"Beleg / Verwendung klären","vollständig erfasst")))))))))</x:f>
      </x:c>
    </x:row>
    <x:row r="600" ht="22" customHeight="1">
      <x:c r="A600" s="7"/>
      <x:c r="B600" s="8"/>
      <x:c r="C600" s="7"/>
      <x:c r="D600" s="7"/>
      <x:c r="E600" s="7"/>
      <x:c r="F600" s="20"/>
      <x:c r="G600" s="7"/>
      <x:c r="H600" s="7"/>
      <x:c r="I600" s="7"/>
      <x:c r="J600" s="7"/>
      <x:c r="K600" s="7"/>
      <x:c r="L600" s="7"/>
      <x:c r="M600" s="7"/>
      <x:c r="N600" s="7"/>
      <x:c r="O600" s="2" t="str">
        <x:f>IF(A600="","",IF(COUNTIFS($A$7:$A$1506,A600)&gt;1,"Buchung-ID doppelt",IF(OR(NOT(ISNUMBER(B600)),C600="",NOT(ISNUMBER(F600)),H600="",L600=""),"Pflichtangaben fehlen",IF(COUNTIFS('Konten'!$A$7:$A$26,C600)&lt;&gt;1,"Konto nicht eindeutig",IF(J600&lt;&gt;"Ja","Zuordnung bestätigen",IF(OR(AND(H600="Einnahme",F600&lt;0),AND(H600="Ausgabe",F600&gt;0)),"Vorzeichen prüfen",IF(AND(H600="Umbuchung",OR(K600="",COUNTIFS($A$7:$A$1506,K600)&lt;&gt;1)),"Gegenbuchung fehlt",IF(AND(H600="Umbuchung",ROUND(SUMIFS($F$7:$F$1506,$A$7:$A$1506,K600)+F600,2)&lt;&gt;0),"Umbuchung abweichend",IF(OR(G600="",M600="",M600="offen",M600="teilbelegt",H600="Ungeklärt",H600="Bargeld"),"Beleg / Verwendung klären","vollständig erfasst")))))))))</x:f>
      </x:c>
    </x:row>
    <x:row r="601" ht="22" customHeight="1">
      <x:c r="A601" s="7"/>
      <x:c r="B601" s="8"/>
      <x:c r="C601" s="7"/>
      <x:c r="D601" s="7"/>
      <x:c r="E601" s="7"/>
      <x:c r="F601" s="20"/>
      <x:c r="G601" s="7"/>
      <x:c r="H601" s="7"/>
      <x:c r="I601" s="7"/>
      <x:c r="J601" s="7"/>
      <x:c r="K601" s="7"/>
      <x:c r="L601" s="7"/>
      <x:c r="M601" s="7"/>
      <x:c r="N601" s="7"/>
      <x:c r="O601" s="2" t="str">
        <x:f>IF(A601="","",IF(COUNTIFS($A$7:$A$1506,A601)&gt;1,"Buchung-ID doppelt",IF(OR(NOT(ISNUMBER(B601)),C601="",NOT(ISNUMBER(F601)),H601="",L601=""),"Pflichtangaben fehlen",IF(COUNTIFS('Konten'!$A$7:$A$26,C601)&lt;&gt;1,"Konto nicht eindeutig",IF(J601&lt;&gt;"Ja","Zuordnung bestätigen",IF(OR(AND(H601="Einnahme",F601&lt;0),AND(H601="Ausgabe",F601&gt;0)),"Vorzeichen prüfen",IF(AND(H601="Umbuchung",OR(K601="",COUNTIFS($A$7:$A$1506,K601)&lt;&gt;1)),"Gegenbuchung fehlt",IF(AND(H601="Umbuchung",ROUND(SUMIFS($F$7:$F$1506,$A$7:$A$1506,K601)+F601,2)&lt;&gt;0),"Umbuchung abweichend",IF(OR(G601="",M601="",M601="offen",M601="teilbelegt",H601="Ungeklärt",H601="Bargeld"),"Beleg / Verwendung klären","vollständig erfasst")))))))))</x:f>
      </x:c>
    </x:row>
    <x:row r="602" ht="22" customHeight="1">
      <x:c r="A602" s="7"/>
      <x:c r="B602" s="8"/>
      <x:c r="C602" s="7"/>
      <x:c r="D602" s="7"/>
      <x:c r="E602" s="7"/>
      <x:c r="F602" s="20"/>
      <x:c r="G602" s="7"/>
      <x:c r="H602" s="7"/>
      <x:c r="I602" s="7"/>
      <x:c r="J602" s="7"/>
      <x:c r="K602" s="7"/>
      <x:c r="L602" s="7"/>
      <x:c r="M602" s="7"/>
      <x:c r="N602" s="7"/>
      <x:c r="O602" s="2" t="str">
        <x:f>IF(A602="","",IF(COUNTIFS($A$7:$A$1506,A602)&gt;1,"Buchung-ID doppelt",IF(OR(NOT(ISNUMBER(B602)),C602="",NOT(ISNUMBER(F602)),H602="",L602=""),"Pflichtangaben fehlen",IF(COUNTIFS('Konten'!$A$7:$A$26,C602)&lt;&gt;1,"Konto nicht eindeutig",IF(J602&lt;&gt;"Ja","Zuordnung bestätigen",IF(OR(AND(H602="Einnahme",F602&lt;0),AND(H602="Ausgabe",F602&gt;0)),"Vorzeichen prüfen",IF(AND(H602="Umbuchung",OR(K602="",COUNTIFS($A$7:$A$1506,K602)&lt;&gt;1)),"Gegenbuchung fehlt",IF(AND(H602="Umbuchung",ROUND(SUMIFS($F$7:$F$1506,$A$7:$A$1506,K602)+F602,2)&lt;&gt;0),"Umbuchung abweichend",IF(OR(G602="",M602="",M602="offen",M602="teilbelegt",H602="Ungeklärt",H602="Bargeld"),"Beleg / Verwendung klären","vollständig erfasst")))))))))</x:f>
      </x:c>
    </x:row>
    <x:row r="603" ht="22" customHeight="1">
      <x:c r="A603" s="7"/>
      <x:c r="B603" s="8"/>
      <x:c r="C603" s="7"/>
      <x:c r="D603" s="7"/>
      <x:c r="E603" s="7"/>
      <x:c r="F603" s="20"/>
      <x:c r="G603" s="7"/>
      <x:c r="H603" s="7"/>
      <x:c r="I603" s="7"/>
      <x:c r="J603" s="7"/>
      <x:c r="K603" s="7"/>
      <x:c r="L603" s="7"/>
      <x:c r="M603" s="7"/>
      <x:c r="N603" s="7"/>
      <x:c r="O603" s="2" t="str">
        <x:f>IF(A603="","",IF(COUNTIFS($A$7:$A$1506,A603)&gt;1,"Buchung-ID doppelt",IF(OR(NOT(ISNUMBER(B603)),C603="",NOT(ISNUMBER(F603)),H603="",L603=""),"Pflichtangaben fehlen",IF(COUNTIFS('Konten'!$A$7:$A$26,C603)&lt;&gt;1,"Konto nicht eindeutig",IF(J603&lt;&gt;"Ja","Zuordnung bestätigen",IF(OR(AND(H603="Einnahme",F603&lt;0),AND(H603="Ausgabe",F603&gt;0)),"Vorzeichen prüfen",IF(AND(H603="Umbuchung",OR(K603="",COUNTIFS($A$7:$A$1506,K603)&lt;&gt;1)),"Gegenbuchung fehlt",IF(AND(H603="Umbuchung",ROUND(SUMIFS($F$7:$F$1506,$A$7:$A$1506,K603)+F603,2)&lt;&gt;0),"Umbuchung abweichend",IF(OR(G603="",M603="",M603="offen",M603="teilbelegt",H603="Ungeklärt",H603="Bargeld"),"Beleg / Verwendung klären","vollständig erfasst")))))))))</x:f>
      </x:c>
    </x:row>
    <x:row r="604" ht="22" customHeight="1">
      <x:c r="A604" s="7"/>
      <x:c r="B604" s="8"/>
      <x:c r="C604" s="7"/>
      <x:c r="D604" s="7"/>
      <x:c r="E604" s="7"/>
      <x:c r="F604" s="20"/>
      <x:c r="G604" s="7"/>
      <x:c r="H604" s="7"/>
      <x:c r="I604" s="7"/>
      <x:c r="J604" s="7"/>
      <x:c r="K604" s="7"/>
      <x:c r="L604" s="7"/>
      <x:c r="M604" s="7"/>
      <x:c r="N604" s="7"/>
      <x:c r="O604" s="2" t="str">
        <x:f>IF(A604="","",IF(COUNTIFS($A$7:$A$1506,A604)&gt;1,"Buchung-ID doppelt",IF(OR(NOT(ISNUMBER(B604)),C604="",NOT(ISNUMBER(F604)),H604="",L604=""),"Pflichtangaben fehlen",IF(COUNTIFS('Konten'!$A$7:$A$26,C604)&lt;&gt;1,"Konto nicht eindeutig",IF(J604&lt;&gt;"Ja","Zuordnung bestätigen",IF(OR(AND(H604="Einnahme",F604&lt;0),AND(H604="Ausgabe",F604&gt;0)),"Vorzeichen prüfen",IF(AND(H604="Umbuchung",OR(K604="",COUNTIFS($A$7:$A$1506,K604)&lt;&gt;1)),"Gegenbuchung fehlt",IF(AND(H604="Umbuchung",ROUND(SUMIFS($F$7:$F$1506,$A$7:$A$1506,K604)+F604,2)&lt;&gt;0),"Umbuchung abweichend",IF(OR(G604="",M604="",M604="offen",M604="teilbelegt",H604="Ungeklärt",H604="Bargeld"),"Beleg / Verwendung klären","vollständig erfasst")))))))))</x:f>
      </x:c>
    </x:row>
    <x:row r="605" ht="22" customHeight="1">
      <x:c r="A605" s="7"/>
      <x:c r="B605" s="8"/>
      <x:c r="C605" s="7"/>
      <x:c r="D605" s="7"/>
      <x:c r="E605" s="7"/>
      <x:c r="F605" s="20"/>
      <x:c r="G605" s="7"/>
      <x:c r="H605" s="7"/>
      <x:c r="I605" s="7"/>
      <x:c r="J605" s="7"/>
      <x:c r="K605" s="7"/>
      <x:c r="L605" s="7"/>
      <x:c r="M605" s="7"/>
      <x:c r="N605" s="7"/>
      <x:c r="O605" s="2" t="str">
        <x:f>IF(A605="","",IF(COUNTIFS($A$7:$A$1506,A605)&gt;1,"Buchung-ID doppelt",IF(OR(NOT(ISNUMBER(B605)),C605="",NOT(ISNUMBER(F605)),H605="",L605=""),"Pflichtangaben fehlen",IF(COUNTIFS('Konten'!$A$7:$A$26,C605)&lt;&gt;1,"Konto nicht eindeutig",IF(J605&lt;&gt;"Ja","Zuordnung bestätigen",IF(OR(AND(H605="Einnahme",F605&lt;0),AND(H605="Ausgabe",F605&gt;0)),"Vorzeichen prüfen",IF(AND(H605="Umbuchung",OR(K605="",COUNTIFS($A$7:$A$1506,K605)&lt;&gt;1)),"Gegenbuchung fehlt",IF(AND(H605="Umbuchung",ROUND(SUMIFS($F$7:$F$1506,$A$7:$A$1506,K605)+F605,2)&lt;&gt;0),"Umbuchung abweichend",IF(OR(G605="",M605="",M605="offen",M605="teilbelegt",H605="Ungeklärt",H605="Bargeld"),"Beleg / Verwendung klären","vollständig erfasst")))))))))</x:f>
      </x:c>
    </x:row>
    <x:row r="606" ht="22" customHeight="1">
      <x:c r="A606" s="7"/>
      <x:c r="B606" s="8"/>
      <x:c r="C606" s="7"/>
      <x:c r="D606" s="7"/>
      <x:c r="E606" s="7"/>
      <x:c r="F606" s="20"/>
      <x:c r="G606" s="7"/>
      <x:c r="H606" s="7"/>
      <x:c r="I606" s="7"/>
      <x:c r="J606" s="7"/>
      <x:c r="K606" s="7"/>
      <x:c r="L606" s="7"/>
      <x:c r="M606" s="7"/>
      <x:c r="N606" s="7"/>
      <x:c r="O606" s="2" t="str">
        <x:f>IF(A606="","",IF(COUNTIFS($A$7:$A$1506,A606)&gt;1,"Buchung-ID doppelt",IF(OR(NOT(ISNUMBER(B606)),C606="",NOT(ISNUMBER(F606)),H606="",L606=""),"Pflichtangaben fehlen",IF(COUNTIFS('Konten'!$A$7:$A$26,C606)&lt;&gt;1,"Konto nicht eindeutig",IF(J606&lt;&gt;"Ja","Zuordnung bestätigen",IF(OR(AND(H606="Einnahme",F606&lt;0),AND(H606="Ausgabe",F606&gt;0)),"Vorzeichen prüfen",IF(AND(H606="Umbuchung",OR(K606="",COUNTIFS($A$7:$A$1506,K606)&lt;&gt;1)),"Gegenbuchung fehlt",IF(AND(H606="Umbuchung",ROUND(SUMIFS($F$7:$F$1506,$A$7:$A$1506,K606)+F606,2)&lt;&gt;0),"Umbuchung abweichend",IF(OR(G606="",M606="",M606="offen",M606="teilbelegt",H606="Ungeklärt",H606="Bargeld"),"Beleg / Verwendung klären","vollständig erfasst")))))))))</x:f>
      </x:c>
    </x:row>
    <x:row r="607" ht="22" customHeight="1">
      <x:c r="A607" s="7"/>
      <x:c r="B607" s="8"/>
      <x:c r="C607" s="7"/>
      <x:c r="D607" s="7"/>
      <x:c r="E607" s="7"/>
      <x:c r="F607" s="20"/>
      <x:c r="G607" s="7"/>
      <x:c r="H607" s="7"/>
      <x:c r="I607" s="7"/>
      <x:c r="J607" s="7"/>
      <x:c r="K607" s="7"/>
      <x:c r="L607" s="7"/>
      <x:c r="M607" s="7"/>
      <x:c r="N607" s="7"/>
      <x:c r="O607" s="2" t="str">
        <x:f>IF(A607="","",IF(COUNTIFS($A$7:$A$1506,A607)&gt;1,"Buchung-ID doppelt",IF(OR(NOT(ISNUMBER(B607)),C607="",NOT(ISNUMBER(F607)),H607="",L607=""),"Pflichtangaben fehlen",IF(COUNTIFS('Konten'!$A$7:$A$26,C607)&lt;&gt;1,"Konto nicht eindeutig",IF(J607&lt;&gt;"Ja","Zuordnung bestätigen",IF(OR(AND(H607="Einnahme",F607&lt;0),AND(H607="Ausgabe",F607&gt;0)),"Vorzeichen prüfen",IF(AND(H607="Umbuchung",OR(K607="",COUNTIFS($A$7:$A$1506,K607)&lt;&gt;1)),"Gegenbuchung fehlt",IF(AND(H607="Umbuchung",ROUND(SUMIFS($F$7:$F$1506,$A$7:$A$1506,K607)+F607,2)&lt;&gt;0),"Umbuchung abweichend",IF(OR(G607="",M607="",M607="offen",M607="teilbelegt",H607="Ungeklärt",H607="Bargeld"),"Beleg / Verwendung klären","vollständig erfasst")))))))))</x:f>
      </x:c>
    </x:row>
    <x:row r="608" ht="22" customHeight="1">
      <x:c r="A608" s="7"/>
      <x:c r="B608" s="8"/>
      <x:c r="C608" s="7"/>
      <x:c r="D608" s="7"/>
      <x:c r="E608" s="7"/>
      <x:c r="F608" s="20"/>
      <x:c r="G608" s="7"/>
      <x:c r="H608" s="7"/>
      <x:c r="I608" s="7"/>
      <x:c r="J608" s="7"/>
      <x:c r="K608" s="7"/>
      <x:c r="L608" s="7"/>
      <x:c r="M608" s="7"/>
      <x:c r="N608" s="7"/>
      <x:c r="O608" s="2" t="str">
        <x:f>IF(A608="","",IF(COUNTIFS($A$7:$A$1506,A608)&gt;1,"Buchung-ID doppelt",IF(OR(NOT(ISNUMBER(B608)),C608="",NOT(ISNUMBER(F608)),H608="",L608=""),"Pflichtangaben fehlen",IF(COUNTIFS('Konten'!$A$7:$A$26,C608)&lt;&gt;1,"Konto nicht eindeutig",IF(J608&lt;&gt;"Ja","Zuordnung bestätigen",IF(OR(AND(H608="Einnahme",F608&lt;0),AND(H608="Ausgabe",F608&gt;0)),"Vorzeichen prüfen",IF(AND(H608="Umbuchung",OR(K608="",COUNTIFS($A$7:$A$1506,K608)&lt;&gt;1)),"Gegenbuchung fehlt",IF(AND(H608="Umbuchung",ROUND(SUMIFS($F$7:$F$1506,$A$7:$A$1506,K608)+F608,2)&lt;&gt;0),"Umbuchung abweichend",IF(OR(G608="",M608="",M608="offen",M608="teilbelegt",H608="Ungeklärt",H608="Bargeld"),"Beleg / Verwendung klären","vollständig erfasst")))))))))</x:f>
      </x:c>
    </x:row>
    <x:row r="609" ht="22" customHeight="1">
      <x:c r="A609" s="7"/>
      <x:c r="B609" s="8"/>
      <x:c r="C609" s="7"/>
      <x:c r="D609" s="7"/>
      <x:c r="E609" s="7"/>
      <x:c r="F609" s="20"/>
      <x:c r="G609" s="7"/>
      <x:c r="H609" s="7"/>
      <x:c r="I609" s="7"/>
      <x:c r="J609" s="7"/>
      <x:c r="K609" s="7"/>
      <x:c r="L609" s="7"/>
      <x:c r="M609" s="7"/>
      <x:c r="N609" s="7"/>
      <x:c r="O609" s="2" t="str">
        <x:f>IF(A609="","",IF(COUNTIFS($A$7:$A$1506,A609)&gt;1,"Buchung-ID doppelt",IF(OR(NOT(ISNUMBER(B609)),C609="",NOT(ISNUMBER(F609)),H609="",L609=""),"Pflichtangaben fehlen",IF(COUNTIFS('Konten'!$A$7:$A$26,C609)&lt;&gt;1,"Konto nicht eindeutig",IF(J609&lt;&gt;"Ja","Zuordnung bestätigen",IF(OR(AND(H609="Einnahme",F609&lt;0),AND(H609="Ausgabe",F609&gt;0)),"Vorzeichen prüfen",IF(AND(H609="Umbuchung",OR(K609="",COUNTIFS($A$7:$A$1506,K609)&lt;&gt;1)),"Gegenbuchung fehlt",IF(AND(H609="Umbuchung",ROUND(SUMIFS($F$7:$F$1506,$A$7:$A$1506,K609)+F609,2)&lt;&gt;0),"Umbuchung abweichend",IF(OR(G609="",M609="",M609="offen",M609="teilbelegt",H609="Ungeklärt",H609="Bargeld"),"Beleg / Verwendung klären","vollständig erfasst")))))))))</x:f>
      </x:c>
    </x:row>
    <x:row r="610" ht="22" customHeight="1">
      <x:c r="A610" s="7"/>
      <x:c r="B610" s="8"/>
      <x:c r="C610" s="7"/>
      <x:c r="D610" s="7"/>
      <x:c r="E610" s="7"/>
      <x:c r="F610" s="20"/>
      <x:c r="G610" s="7"/>
      <x:c r="H610" s="7"/>
      <x:c r="I610" s="7"/>
      <x:c r="J610" s="7"/>
      <x:c r="K610" s="7"/>
      <x:c r="L610" s="7"/>
      <x:c r="M610" s="7"/>
      <x:c r="N610" s="7"/>
      <x:c r="O610" s="2" t="str">
        <x:f>IF(A610="","",IF(COUNTIFS($A$7:$A$1506,A610)&gt;1,"Buchung-ID doppelt",IF(OR(NOT(ISNUMBER(B610)),C610="",NOT(ISNUMBER(F610)),H610="",L610=""),"Pflichtangaben fehlen",IF(COUNTIFS('Konten'!$A$7:$A$26,C610)&lt;&gt;1,"Konto nicht eindeutig",IF(J610&lt;&gt;"Ja","Zuordnung bestätigen",IF(OR(AND(H610="Einnahme",F610&lt;0),AND(H610="Ausgabe",F610&gt;0)),"Vorzeichen prüfen",IF(AND(H610="Umbuchung",OR(K610="",COUNTIFS($A$7:$A$1506,K610)&lt;&gt;1)),"Gegenbuchung fehlt",IF(AND(H610="Umbuchung",ROUND(SUMIFS($F$7:$F$1506,$A$7:$A$1506,K610)+F610,2)&lt;&gt;0),"Umbuchung abweichend",IF(OR(G610="",M610="",M610="offen",M610="teilbelegt",H610="Ungeklärt",H610="Bargeld"),"Beleg / Verwendung klären","vollständig erfasst")))))))))</x:f>
      </x:c>
    </x:row>
    <x:row r="611" ht="22" customHeight="1">
      <x:c r="A611" s="7"/>
      <x:c r="B611" s="8"/>
      <x:c r="C611" s="7"/>
      <x:c r="D611" s="7"/>
      <x:c r="E611" s="7"/>
      <x:c r="F611" s="20"/>
      <x:c r="G611" s="7"/>
      <x:c r="H611" s="7"/>
      <x:c r="I611" s="7"/>
      <x:c r="J611" s="7"/>
      <x:c r="K611" s="7"/>
      <x:c r="L611" s="7"/>
      <x:c r="M611" s="7"/>
      <x:c r="N611" s="7"/>
      <x:c r="O611" s="2" t="str">
        <x:f>IF(A611="","",IF(COUNTIFS($A$7:$A$1506,A611)&gt;1,"Buchung-ID doppelt",IF(OR(NOT(ISNUMBER(B611)),C611="",NOT(ISNUMBER(F611)),H611="",L611=""),"Pflichtangaben fehlen",IF(COUNTIFS('Konten'!$A$7:$A$26,C611)&lt;&gt;1,"Konto nicht eindeutig",IF(J611&lt;&gt;"Ja","Zuordnung bestätigen",IF(OR(AND(H611="Einnahme",F611&lt;0),AND(H611="Ausgabe",F611&gt;0)),"Vorzeichen prüfen",IF(AND(H611="Umbuchung",OR(K611="",COUNTIFS($A$7:$A$1506,K611)&lt;&gt;1)),"Gegenbuchung fehlt",IF(AND(H611="Umbuchung",ROUND(SUMIFS($F$7:$F$1506,$A$7:$A$1506,K611)+F611,2)&lt;&gt;0),"Umbuchung abweichend",IF(OR(G611="",M611="",M611="offen",M611="teilbelegt",H611="Ungeklärt",H611="Bargeld"),"Beleg / Verwendung klären","vollständig erfasst")))))))))</x:f>
      </x:c>
    </x:row>
    <x:row r="612" ht="22" customHeight="1">
      <x:c r="A612" s="7"/>
      <x:c r="B612" s="8"/>
      <x:c r="C612" s="7"/>
      <x:c r="D612" s="7"/>
      <x:c r="E612" s="7"/>
      <x:c r="F612" s="20"/>
      <x:c r="G612" s="7"/>
      <x:c r="H612" s="7"/>
      <x:c r="I612" s="7"/>
      <x:c r="J612" s="7"/>
      <x:c r="K612" s="7"/>
      <x:c r="L612" s="7"/>
      <x:c r="M612" s="7"/>
      <x:c r="N612" s="7"/>
      <x:c r="O612" s="2" t="str">
        <x:f>IF(A612="","",IF(COUNTIFS($A$7:$A$1506,A612)&gt;1,"Buchung-ID doppelt",IF(OR(NOT(ISNUMBER(B612)),C612="",NOT(ISNUMBER(F612)),H612="",L612=""),"Pflichtangaben fehlen",IF(COUNTIFS('Konten'!$A$7:$A$26,C612)&lt;&gt;1,"Konto nicht eindeutig",IF(J612&lt;&gt;"Ja","Zuordnung bestätigen",IF(OR(AND(H612="Einnahme",F612&lt;0),AND(H612="Ausgabe",F612&gt;0)),"Vorzeichen prüfen",IF(AND(H612="Umbuchung",OR(K612="",COUNTIFS($A$7:$A$1506,K612)&lt;&gt;1)),"Gegenbuchung fehlt",IF(AND(H612="Umbuchung",ROUND(SUMIFS($F$7:$F$1506,$A$7:$A$1506,K612)+F612,2)&lt;&gt;0),"Umbuchung abweichend",IF(OR(G612="",M612="",M612="offen",M612="teilbelegt",H612="Ungeklärt",H612="Bargeld"),"Beleg / Verwendung klären","vollständig erfasst")))))))))</x:f>
      </x:c>
    </x:row>
    <x:row r="613" ht="22" customHeight="1">
      <x:c r="A613" s="7"/>
      <x:c r="B613" s="8"/>
      <x:c r="C613" s="7"/>
      <x:c r="D613" s="7"/>
      <x:c r="E613" s="7"/>
      <x:c r="F613" s="20"/>
      <x:c r="G613" s="7"/>
      <x:c r="H613" s="7"/>
      <x:c r="I613" s="7"/>
      <x:c r="J613" s="7"/>
      <x:c r="K613" s="7"/>
      <x:c r="L613" s="7"/>
      <x:c r="M613" s="7"/>
      <x:c r="N613" s="7"/>
      <x:c r="O613" s="2" t="str">
        <x:f>IF(A613="","",IF(COUNTIFS($A$7:$A$1506,A613)&gt;1,"Buchung-ID doppelt",IF(OR(NOT(ISNUMBER(B613)),C613="",NOT(ISNUMBER(F613)),H613="",L613=""),"Pflichtangaben fehlen",IF(COUNTIFS('Konten'!$A$7:$A$26,C613)&lt;&gt;1,"Konto nicht eindeutig",IF(J613&lt;&gt;"Ja","Zuordnung bestätigen",IF(OR(AND(H613="Einnahme",F613&lt;0),AND(H613="Ausgabe",F613&gt;0)),"Vorzeichen prüfen",IF(AND(H613="Umbuchung",OR(K613="",COUNTIFS($A$7:$A$1506,K613)&lt;&gt;1)),"Gegenbuchung fehlt",IF(AND(H613="Umbuchung",ROUND(SUMIFS($F$7:$F$1506,$A$7:$A$1506,K613)+F613,2)&lt;&gt;0),"Umbuchung abweichend",IF(OR(G613="",M613="",M613="offen",M613="teilbelegt",H613="Ungeklärt",H613="Bargeld"),"Beleg / Verwendung klären","vollständig erfasst")))))))))</x:f>
      </x:c>
    </x:row>
    <x:row r="614" ht="22" customHeight="1">
      <x:c r="A614" s="7"/>
      <x:c r="B614" s="8"/>
      <x:c r="C614" s="7"/>
      <x:c r="D614" s="7"/>
      <x:c r="E614" s="7"/>
      <x:c r="F614" s="20"/>
      <x:c r="G614" s="7"/>
      <x:c r="H614" s="7"/>
      <x:c r="I614" s="7"/>
      <x:c r="J614" s="7"/>
      <x:c r="K614" s="7"/>
      <x:c r="L614" s="7"/>
      <x:c r="M614" s="7"/>
      <x:c r="N614" s="7"/>
      <x:c r="O614" s="2" t="str">
        <x:f>IF(A614="","",IF(COUNTIFS($A$7:$A$1506,A614)&gt;1,"Buchung-ID doppelt",IF(OR(NOT(ISNUMBER(B614)),C614="",NOT(ISNUMBER(F614)),H614="",L614=""),"Pflichtangaben fehlen",IF(COUNTIFS('Konten'!$A$7:$A$26,C614)&lt;&gt;1,"Konto nicht eindeutig",IF(J614&lt;&gt;"Ja","Zuordnung bestätigen",IF(OR(AND(H614="Einnahme",F614&lt;0),AND(H614="Ausgabe",F614&gt;0)),"Vorzeichen prüfen",IF(AND(H614="Umbuchung",OR(K614="",COUNTIFS($A$7:$A$1506,K614)&lt;&gt;1)),"Gegenbuchung fehlt",IF(AND(H614="Umbuchung",ROUND(SUMIFS($F$7:$F$1506,$A$7:$A$1506,K614)+F614,2)&lt;&gt;0),"Umbuchung abweichend",IF(OR(G614="",M614="",M614="offen",M614="teilbelegt",H614="Ungeklärt",H614="Bargeld"),"Beleg / Verwendung klären","vollständig erfasst")))))))))</x:f>
      </x:c>
    </x:row>
    <x:row r="615" ht="22" customHeight="1">
      <x:c r="A615" s="7"/>
      <x:c r="B615" s="8"/>
      <x:c r="C615" s="7"/>
      <x:c r="D615" s="7"/>
      <x:c r="E615" s="7"/>
      <x:c r="F615" s="20"/>
      <x:c r="G615" s="7"/>
      <x:c r="H615" s="7"/>
      <x:c r="I615" s="7"/>
      <x:c r="J615" s="7"/>
      <x:c r="K615" s="7"/>
      <x:c r="L615" s="7"/>
      <x:c r="M615" s="7"/>
      <x:c r="N615" s="7"/>
      <x:c r="O615" s="2" t="str">
        <x:f>IF(A615="","",IF(COUNTIFS($A$7:$A$1506,A615)&gt;1,"Buchung-ID doppelt",IF(OR(NOT(ISNUMBER(B615)),C615="",NOT(ISNUMBER(F615)),H615="",L615=""),"Pflichtangaben fehlen",IF(COUNTIFS('Konten'!$A$7:$A$26,C615)&lt;&gt;1,"Konto nicht eindeutig",IF(J615&lt;&gt;"Ja","Zuordnung bestätigen",IF(OR(AND(H615="Einnahme",F615&lt;0),AND(H615="Ausgabe",F615&gt;0)),"Vorzeichen prüfen",IF(AND(H615="Umbuchung",OR(K615="",COUNTIFS($A$7:$A$1506,K615)&lt;&gt;1)),"Gegenbuchung fehlt",IF(AND(H615="Umbuchung",ROUND(SUMIFS($F$7:$F$1506,$A$7:$A$1506,K615)+F615,2)&lt;&gt;0),"Umbuchung abweichend",IF(OR(G615="",M615="",M615="offen",M615="teilbelegt",H615="Ungeklärt",H615="Bargeld"),"Beleg / Verwendung klären","vollständig erfasst")))))))))</x:f>
      </x:c>
    </x:row>
    <x:row r="616" ht="22" customHeight="1">
      <x:c r="A616" s="7"/>
      <x:c r="B616" s="8"/>
      <x:c r="C616" s="7"/>
      <x:c r="D616" s="7"/>
      <x:c r="E616" s="7"/>
      <x:c r="F616" s="20"/>
      <x:c r="G616" s="7"/>
      <x:c r="H616" s="7"/>
      <x:c r="I616" s="7"/>
      <x:c r="J616" s="7"/>
      <x:c r="K616" s="7"/>
      <x:c r="L616" s="7"/>
      <x:c r="M616" s="7"/>
      <x:c r="N616" s="7"/>
      <x:c r="O616" s="2" t="str">
        <x:f>IF(A616="","",IF(COUNTIFS($A$7:$A$1506,A616)&gt;1,"Buchung-ID doppelt",IF(OR(NOT(ISNUMBER(B616)),C616="",NOT(ISNUMBER(F616)),H616="",L616=""),"Pflichtangaben fehlen",IF(COUNTIFS('Konten'!$A$7:$A$26,C616)&lt;&gt;1,"Konto nicht eindeutig",IF(J616&lt;&gt;"Ja","Zuordnung bestätigen",IF(OR(AND(H616="Einnahme",F616&lt;0),AND(H616="Ausgabe",F616&gt;0)),"Vorzeichen prüfen",IF(AND(H616="Umbuchung",OR(K616="",COUNTIFS($A$7:$A$1506,K616)&lt;&gt;1)),"Gegenbuchung fehlt",IF(AND(H616="Umbuchung",ROUND(SUMIFS($F$7:$F$1506,$A$7:$A$1506,K616)+F616,2)&lt;&gt;0),"Umbuchung abweichend",IF(OR(G616="",M616="",M616="offen",M616="teilbelegt",H616="Ungeklärt",H616="Bargeld"),"Beleg / Verwendung klären","vollständig erfasst")))))))))</x:f>
      </x:c>
    </x:row>
    <x:row r="617" ht="22" customHeight="1">
      <x:c r="A617" s="7"/>
      <x:c r="B617" s="8"/>
      <x:c r="C617" s="7"/>
      <x:c r="D617" s="7"/>
      <x:c r="E617" s="7"/>
      <x:c r="F617" s="20"/>
      <x:c r="G617" s="7"/>
      <x:c r="H617" s="7"/>
      <x:c r="I617" s="7"/>
      <x:c r="J617" s="7"/>
      <x:c r="K617" s="7"/>
      <x:c r="L617" s="7"/>
      <x:c r="M617" s="7"/>
      <x:c r="N617" s="7"/>
      <x:c r="O617" s="2" t="str">
        <x:f>IF(A617="","",IF(COUNTIFS($A$7:$A$1506,A617)&gt;1,"Buchung-ID doppelt",IF(OR(NOT(ISNUMBER(B617)),C617="",NOT(ISNUMBER(F617)),H617="",L617=""),"Pflichtangaben fehlen",IF(COUNTIFS('Konten'!$A$7:$A$26,C617)&lt;&gt;1,"Konto nicht eindeutig",IF(J617&lt;&gt;"Ja","Zuordnung bestätigen",IF(OR(AND(H617="Einnahme",F617&lt;0),AND(H617="Ausgabe",F617&gt;0)),"Vorzeichen prüfen",IF(AND(H617="Umbuchung",OR(K617="",COUNTIFS($A$7:$A$1506,K617)&lt;&gt;1)),"Gegenbuchung fehlt",IF(AND(H617="Umbuchung",ROUND(SUMIFS($F$7:$F$1506,$A$7:$A$1506,K617)+F617,2)&lt;&gt;0),"Umbuchung abweichend",IF(OR(G617="",M617="",M617="offen",M617="teilbelegt",H617="Ungeklärt",H617="Bargeld"),"Beleg / Verwendung klären","vollständig erfasst")))))))))</x:f>
      </x:c>
    </x:row>
    <x:row r="618" ht="22" customHeight="1">
      <x:c r="A618" s="7"/>
      <x:c r="B618" s="8"/>
      <x:c r="C618" s="7"/>
      <x:c r="D618" s="7"/>
      <x:c r="E618" s="7"/>
      <x:c r="F618" s="20"/>
      <x:c r="G618" s="7"/>
      <x:c r="H618" s="7"/>
      <x:c r="I618" s="7"/>
      <x:c r="J618" s="7"/>
      <x:c r="K618" s="7"/>
      <x:c r="L618" s="7"/>
      <x:c r="M618" s="7"/>
      <x:c r="N618" s="7"/>
      <x:c r="O618" s="2" t="str">
        <x:f>IF(A618="","",IF(COUNTIFS($A$7:$A$1506,A618)&gt;1,"Buchung-ID doppelt",IF(OR(NOT(ISNUMBER(B618)),C618="",NOT(ISNUMBER(F618)),H618="",L618=""),"Pflichtangaben fehlen",IF(COUNTIFS('Konten'!$A$7:$A$26,C618)&lt;&gt;1,"Konto nicht eindeutig",IF(J618&lt;&gt;"Ja","Zuordnung bestätigen",IF(OR(AND(H618="Einnahme",F618&lt;0),AND(H618="Ausgabe",F618&gt;0)),"Vorzeichen prüfen",IF(AND(H618="Umbuchung",OR(K618="",COUNTIFS($A$7:$A$1506,K618)&lt;&gt;1)),"Gegenbuchung fehlt",IF(AND(H618="Umbuchung",ROUND(SUMIFS($F$7:$F$1506,$A$7:$A$1506,K618)+F618,2)&lt;&gt;0),"Umbuchung abweichend",IF(OR(G618="",M618="",M618="offen",M618="teilbelegt",H618="Ungeklärt",H618="Bargeld"),"Beleg / Verwendung klären","vollständig erfasst")))))))))</x:f>
      </x:c>
    </x:row>
    <x:row r="619" ht="22" customHeight="1">
      <x:c r="A619" s="7"/>
      <x:c r="B619" s="8"/>
      <x:c r="C619" s="7"/>
      <x:c r="D619" s="7"/>
      <x:c r="E619" s="7"/>
      <x:c r="F619" s="20"/>
      <x:c r="G619" s="7"/>
      <x:c r="H619" s="7"/>
      <x:c r="I619" s="7"/>
      <x:c r="J619" s="7"/>
      <x:c r="K619" s="7"/>
      <x:c r="L619" s="7"/>
      <x:c r="M619" s="7"/>
      <x:c r="N619" s="7"/>
      <x:c r="O619" s="2" t="str">
        <x:f>IF(A619="","",IF(COUNTIFS($A$7:$A$1506,A619)&gt;1,"Buchung-ID doppelt",IF(OR(NOT(ISNUMBER(B619)),C619="",NOT(ISNUMBER(F619)),H619="",L619=""),"Pflichtangaben fehlen",IF(COUNTIFS('Konten'!$A$7:$A$26,C619)&lt;&gt;1,"Konto nicht eindeutig",IF(J619&lt;&gt;"Ja","Zuordnung bestätigen",IF(OR(AND(H619="Einnahme",F619&lt;0),AND(H619="Ausgabe",F619&gt;0)),"Vorzeichen prüfen",IF(AND(H619="Umbuchung",OR(K619="",COUNTIFS($A$7:$A$1506,K619)&lt;&gt;1)),"Gegenbuchung fehlt",IF(AND(H619="Umbuchung",ROUND(SUMIFS($F$7:$F$1506,$A$7:$A$1506,K619)+F619,2)&lt;&gt;0),"Umbuchung abweichend",IF(OR(G619="",M619="",M619="offen",M619="teilbelegt",H619="Ungeklärt",H619="Bargeld"),"Beleg / Verwendung klären","vollständig erfasst")))))))))</x:f>
      </x:c>
    </x:row>
    <x:row r="620" ht="22" customHeight="1">
      <x:c r="A620" s="7"/>
      <x:c r="B620" s="8"/>
      <x:c r="C620" s="7"/>
      <x:c r="D620" s="7"/>
      <x:c r="E620" s="7"/>
      <x:c r="F620" s="20"/>
      <x:c r="G620" s="7"/>
      <x:c r="H620" s="7"/>
      <x:c r="I620" s="7"/>
      <x:c r="J620" s="7"/>
      <x:c r="K620" s="7"/>
      <x:c r="L620" s="7"/>
      <x:c r="M620" s="7"/>
      <x:c r="N620" s="7"/>
      <x:c r="O620" s="2" t="str">
        <x:f>IF(A620="","",IF(COUNTIFS($A$7:$A$1506,A620)&gt;1,"Buchung-ID doppelt",IF(OR(NOT(ISNUMBER(B620)),C620="",NOT(ISNUMBER(F620)),H620="",L620=""),"Pflichtangaben fehlen",IF(COUNTIFS('Konten'!$A$7:$A$26,C620)&lt;&gt;1,"Konto nicht eindeutig",IF(J620&lt;&gt;"Ja","Zuordnung bestätigen",IF(OR(AND(H620="Einnahme",F620&lt;0),AND(H620="Ausgabe",F620&gt;0)),"Vorzeichen prüfen",IF(AND(H620="Umbuchung",OR(K620="",COUNTIFS($A$7:$A$1506,K620)&lt;&gt;1)),"Gegenbuchung fehlt",IF(AND(H620="Umbuchung",ROUND(SUMIFS($F$7:$F$1506,$A$7:$A$1506,K620)+F620,2)&lt;&gt;0),"Umbuchung abweichend",IF(OR(G620="",M620="",M620="offen",M620="teilbelegt",H620="Ungeklärt",H620="Bargeld"),"Beleg / Verwendung klären","vollständig erfasst")))))))))</x:f>
      </x:c>
    </x:row>
    <x:row r="621" ht="22" customHeight="1">
      <x:c r="A621" s="7"/>
      <x:c r="B621" s="8"/>
      <x:c r="C621" s="7"/>
      <x:c r="D621" s="7"/>
      <x:c r="E621" s="7"/>
      <x:c r="F621" s="20"/>
      <x:c r="G621" s="7"/>
      <x:c r="H621" s="7"/>
      <x:c r="I621" s="7"/>
      <x:c r="J621" s="7"/>
      <x:c r="K621" s="7"/>
      <x:c r="L621" s="7"/>
      <x:c r="M621" s="7"/>
      <x:c r="N621" s="7"/>
      <x:c r="O621" s="2" t="str">
        <x:f>IF(A621="","",IF(COUNTIFS($A$7:$A$1506,A621)&gt;1,"Buchung-ID doppelt",IF(OR(NOT(ISNUMBER(B621)),C621="",NOT(ISNUMBER(F621)),H621="",L621=""),"Pflichtangaben fehlen",IF(COUNTIFS('Konten'!$A$7:$A$26,C621)&lt;&gt;1,"Konto nicht eindeutig",IF(J621&lt;&gt;"Ja","Zuordnung bestätigen",IF(OR(AND(H621="Einnahme",F621&lt;0),AND(H621="Ausgabe",F621&gt;0)),"Vorzeichen prüfen",IF(AND(H621="Umbuchung",OR(K621="",COUNTIFS($A$7:$A$1506,K621)&lt;&gt;1)),"Gegenbuchung fehlt",IF(AND(H621="Umbuchung",ROUND(SUMIFS($F$7:$F$1506,$A$7:$A$1506,K621)+F621,2)&lt;&gt;0),"Umbuchung abweichend",IF(OR(G621="",M621="",M621="offen",M621="teilbelegt",H621="Ungeklärt",H621="Bargeld"),"Beleg / Verwendung klären","vollständig erfasst")))))))))</x:f>
      </x:c>
    </x:row>
    <x:row r="622" ht="22" customHeight="1">
      <x:c r="A622" s="7"/>
      <x:c r="B622" s="8"/>
      <x:c r="C622" s="7"/>
      <x:c r="D622" s="7"/>
      <x:c r="E622" s="7"/>
      <x:c r="F622" s="20"/>
      <x:c r="G622" s="7"/>
      <x:c r="H622" s="7"/>
      <x:c r="I622" s="7"/>
      <x:c r="J622" s="7"/>
      <x:c r="K622" s="7"/>
      <x:c r="L622" s="7"/>
      <x:c r="M622" s="7"/>
      <x:c r="N622" s="7"/>
      <x:c r="O622" s="2" t="str">
        <x:f>IF(A622="","",IF(COUNTIFS($A$7:$A$1506,A622)&gt;1,"Buchung-ID doppelt",IF(OR(NOT(ISNUMBER(B622)),C622="",NOT(ISNUMBER(F622)),H622="",L622=""),"Pflichtangaben fehlen",IF(COUNTIFS('Konten'!$A$7:$A$26,C622)&lt;&gt;1,"Konto nicht eindeutig",IF(J622&lt;&gt;"Ja","Zuordnung bestätigen",IF(OR(AND(H622="Einnahme",F622&lt;0),AND(H622="Ausgabe",F622&gt;0)),"Vorzeichen prüfen",IF(AND(H622="Umbuchung",OR(K622="",COUNTIFS($A$7:$A$1506,K622)&lt;&gt;1)),"Gegenbuchung fehlt",IF(AND(H622="Umbuchung",ROUND(SUMIFS($F$7:$F$1506,$A$7:$A$1506,K622)+F622,2)&lt;&gt;0),"Umbuchung abweichend",IF(OR(G622="",M622="",M622="offen",M622="teilbelegt",H622="Ungeklärt",H622="Bargeld"),"Beleg / Verwendung klären","vollständig erfasst")))))))))</x:f>
      </x:c>
    </x:row>
    <x:row r="623" ht="22" customHeight="1">
      <x:c r="A623" s="7"/>
      <x:c r="B623" s="8"/>
      <x:c r="C623" s="7"/>
      <x:c r="D623" s="7"/>
      <x:c r="E623" s="7"/>
      <x:c r="F623" s="20"/>
      <x:c r="G623" s="7"/>
      <x:c r="H623" s="7"/>
      <x:c r="I623" s="7"/>
      <x:c r="J623" s="7"/>
      <x:c r="K623" s="7"/>
      <x:c r="L623" s="7"/>
      <x:c r="M623" s="7"/>
      <x:c r="N623" s="7"/>
      <x:c r="O623" s="2" t="str">
        <x:f>IF(A623="","",IF(COUNTIFS($A$7:$A$1506,A623)&gt;1,"Buchung-ID doppelt",IF(OR(NOT(ISNUMBER(B623)),C623="",NOT(ISNUMBER(F623)),H623="",L623=""),"Pflichtangaben fehlen",IF(COUNTIFS('Konten'!$A$7:$A$26,C623)&lt;&gt;1,"Konto nicht eindeutig",IF(J623&lt;&gt;"Ja","Zuordnung bestätigen",IF(OR(AND(H623="Einnahme",F623&lt;0),AND(H623="Ausgabe",F623&gt;0)),"Vorzeichen prüfen",IF(AND(H623="Umbuchung",OR(K623="",COUNTIFS($A$7:$A$1506,K623)&lt;&gt;1)),"Gegenbuchung fehlt",IF(AND(H623="Umbuchung",ROUND(SUMIFS($F$7:$F$1506,$A$7:$A$1506,K623)+F623,2)&lt;&gt;0),"Umbuchung abweichend",IF(OR(G623="",M623="",M623="offen",M623="teilbelegt",H623="Ungeklärt",H623="Bargeld"),"Beleg / Verwendung klären","vollständig erfasst")))))))))</x:f>
      </x:c>
    </x:row>
    <x:row r="624" ht="22" customHeight="1">
      <x:c r="A624" s="7"/>
      <x:c r="B624" s="8"/>
      <x:c r="C624" s="7"/>
      <x:c r="D624" s="7"/>
      <x:c r="E624" s="7"/>
      <x:c r="F624" s="20"/>
      <x:c r="G624" s="7"/>
      <x:c r="H624" s="7"/>
      <x:c r="I624" s="7"/>
      <x:c r="J624" s="7"/>
      <x:c r="K624" s="7"/>
      <x:c r="L624" s="7"/>
      <x:c r="M624" s="7"/>
      <x:c r="N624" s="7"/>
      <x:c r="O624" s="2" t="str">
        <x:f>IF(A624="","",IF(COUNTIFS($A$7:$A$1506,A624)&gt;1,"Buchung-ID doppelt",IF(OR(NOT(ISNUMBER(B624)),C624="",NOT(ISNUMBER(F624)),H624="",L624=""),"Pflichtangaben fehlen",IF(COUNTIFS('Konten'!$A$7:$A$26,C624)&lt;&gt;1,"Konto nicht eindeutig",IF(J624&lt;&gt;"Ja","Zuordnung bestätigen",IF(OR(AND(H624="Einnahme",F624&lt;0),AND(H624="Ausgabe",F624&gt;0)),"Vorzeichen prüfen",IF(AND(H624="Umbuchung",OR(K624="",COUNTIFS($A$7:$A$1506,K624)&lt;&gt;1)),"Gegenbuchung fehlt",IF(AND(H624="Umbuchung",ROUND(SUMIFS($F$7:$F$1506,$A$7:$A$1506,K624)+F624,2)&lt;&gt;0),"Umbuchung abweichend",IF(OR(G624="",M624="",M624="offen",M624="teilbelegt",H624="Ungeklärt",H624="Bargeld"),"Beleg / Verwendung klären","vollständig erfasst")))))))))</x:f>
      </x:c>
    </x:row>
    <x:row r="625" ht="22" customHeight="1">
      <x:c r="A625" s="7"/>
      <x:c r="B625" s="8"/>
      <x:c r="C625" s="7"/>
      <x:c r="D625" s="7"/>
      <x:c r="E625" s="7"/>
      <x:c r="F625" s="20"/>
      <x:c r="G625" s="7"/>
      <x:c r="H625" s="7"/>
      <x:c r="I625" s="7"/>
      <x:c r="J625" s="7"/>
      <x:c r="K625" s="7"/>
      <x:c r="L625" s="7"/>
      <x:c r="M625" s="7"/>
      <x:c r="N625" s="7"/>
      <x:c r="O625" s="2" t="str">
        <x:f>IF(A625="","",IF(COUNTIFS($A$7:$A$1506,A625)&gt;1,"Buchung-ID doppelt",IF(OR(NOT(ISNUMBER(B625)),C625="",NOT(ISNUMBER(F625)),H625="",L625=""),"Pflichtangaben fehlen",IF(COUNTIFS('Konten'!$A$7:$A$26,C625)&lt;&gt;1,"Konto nicht eindeutig",IF(J625&lt;&gt;"Ja","Zuordnung bestätigen",IF(OR(AND(H625="Einnahme",F625&lt;0),AND(H625="Ausgabe",F625&gt;0)),"Vorzeichen prüfen",IF(AND(H625="Umbuchung",OR(K625="",COUNTIFS($A$7:$A$1506,K625)&lt;&gt;1)),"Gegenbuchung fehlt",IF(AND(H625="Umbuchung",ROUND(SUMIFS($F$7:$F$1506,$A$7:$A$1506,K625)+F625,2)&lt;&gt;0),"Umbuchung abweichend",IF(OR(G625="",M625="",M625="offen",M625="teilbelegt",H625="Ungeklärt",H625="Bargeld"),"Beleg / Verwendung klären","vollständig erfasst")))))))))</x:f>
      </x:c>
    </x:row>
    <x:row r="626" ht="22" customHeight="1">
      <x:c r="A626" s="7"/>
      <x:c r="B626" s="8"/>
      <x:c r="C626" s="7"/>
      <x:c r="D626" s="7"/>
      <x:c r="E626" s="7"/>
      <x:c r="F626" s="20"/>
      <x:c r="G626" s="7"/>
      <x:c r="H626" s="7"/>
      <x:c r="I626" s="7"/>
      <x:c r="J626" s="7"/>
      <x:c r="K626" s="7"/>
      <x:c r="L626" s="7"/>
      <x:c r="M626" s="7"/>
      <x:c r="N626" s="7"/>
      <x:c r="O626" s="2" t="str">
        <x:f>IF(A626="","",IF(COUNTIFS($A$7:$A$1506,A626)&gt;1,"Buchung-ID doppelt",IF(OR(NOT(ISNUMBER(B626)),C626="",NOT(ISNUMBER(F626)),H626="",L626=""),"Pflichtangaben fehlen",IF(COUNTIFS('Konten'!$A$7:$A$26,C626)&lt;&gt;1,"Konto nicht eindeutig",IF(J626&lt;&gt;"Ja","Zuordnung bestätigen",IF(OR(AND(H626="Einnahme",F626&lt;0),AND(H626="Ausgabe",F626&gt;0)),"Vorzeichen prüfen",IF(AND(H626="Umbuchung",OR(K626="",COUNTIFS($A$7:$A$1506,K626)&lt;&gt;1)),"Gegenbuchung fehlt",IF(AND(H626="Umbuchung",ROUND(SUMIFS($F$7:$F$1506,$A$7:$A$1506,K626)+F626,2)&lt;&gt;0),"Umbuchung abweichend",IF(OR(G626="",M626="",M626="offen",M626="teilbelegt",H626="Ungeklärt",H626="Bargeld"),"Beleg / Verwendung klären","vollständig erfasst")))))))))</x:f>
      </x:c>
    </x:row>
    <x:row r="627" ht="22" customHeight="1">
      <x:c r="A627" s="7"/>
      <x:c r="B627" s="8"/>
      <x:c r="C627" s="7"/>
      <x:c r="D627" s="7"/>
      <x:c r="E627" s="7"/>
      <x:c r="F627" s="20"/>
      <x:c r="G627" s="7"/>
      <x:c r="H627" s="7"/>
      <x:c r="I627" s="7"/>
      <x:c r="J627" s="7"/>
      <x:c r="K627" s="7"/>
      <x:c r="L627" s="7"/>
      <x:c r="M627" s="7"/>
      <x:c r="N627" s="7"/>
      <x:c r="O627" s="2" t="str">
        <x:f>IF(A627="","",IF(COUNTIFS($A$7:$A$1506,A627)&gt;1,"Buchung-ID doppelt",IF(OR(NOT(ISNUMBER(B627)),C627="",NOT(ISNUMBER(F627)),H627="",L627=""),"Pflichtangaben fehlen",IF(COUNTIFS('Konten'!$A$7:$A$26,C627)&lt;&gt;1,"Konto nicht eindeutig",IF(J627&lt;&gt;"Ja","Zuordnung bestätigen",IF(OR(AND(H627="Einnahme",F627&lt;0),AND(H627="Ausgabe",F627&gt;0)),"Vorzeichen prüfen",IF(AND(H627="Umbuchung",OR(K627="",COUNTIFS($A$7:$A$1506,K627)&lt;&gt;1)),"Gegenbuchung fehlt",IF(AND(H627="Umbuchung",ROUND(SUMIFS($F$7:$F$1506,$A$7:$A$1506,K627)+F627,2)&lt;&gt;0),"Umbuchung abweichend",IF(OR(G627="",M627="",M627="offen",M627="teilbelegt",H627="Ungeklärt",H627="Bargeld"),"Beleg / Verwendung klären","vollständig erfasst")))))))))</x:f>
      </x:c>
    </x:row>
    <x:row r="628" ht="22" customHeight="1">
      <x:c r="A628" s="7"/>
      <x:c r="B628" s="8"/>
      <x:c r="C628" s="7"/>
      <x:c r="D628" s="7"/>
      <x:c r="E628" s="7"/>
      <x:c r="F628" s="20"/>
      <x:c r="G628" s="7"/>
      <x:c r="H628" s="7"/>
      <x:c r="I628" s="7"/>
      <x:c r="J628" s="7"/>
      <x:c r="K628" s="7"/>
      <x:c r="L628" s="7"/>
      <x:c r="M628" s="7"/>
      <x:c r="N628" s="7"/>
      <x:c r="O628" s="2" t="str">
        <x:f>IF(A628="","",IF(COUNTIFS($A$7:$A$1506,A628)&gt;1,"Buchung-ID doppelt",IF(OR(NOT(ISNUMBER(B628)),C628="",NOT(ISNUMBER(F628)),H628="",L628=""),"Pflichtangaben fehlen",IF(COUNTIFS('Konten'!$A$7:$A$26,C628)&lt;&gt;1,"Konto nicht eindeutig",IF(J628&lt;&gt;"Ja","Zuordnung bestätigen",IF(OR(AND(H628="Einnahme",F628&lt;0),AND(H628="Ausgabe",F628&gt;0)),"Vorzeichen prüfen",IF(AND(H628="Umbuchung",OR(K628="",COUNTIFS($A$7:$A$1506,K628)&lt;&gt;1)),"Gegenbuchung fehlt",IF(AND(H628="Umbuchung",ROUND(SUMIFS($F$7:$F$1506,$A$7:$A$1506,K628)+F628,2)&lt;&gt;0),"Umbuchung abweichend",IF(OR(G628="",M628="",M628="offen",M628="teilbelegt",H628="Ungeklärt",H628="Bargeld"),"Beleg / Verwendung klären","vollständig erfasst")))))))))</x:f>
      </x:c>
    </x:row>
    <x:row r="629" ht="22" customHeight="1">
      <x:c r="A629" s="7"/>
      <x:c r="B629" s="8"/>
      <x:c r="C629" s="7"/>
      <x:c r="D629" s="7"/>
      <x:c r="E629" s="7"/>
      <x:c r="F629" s="20"/>
      <x:c r="G629" s="7"/>
      <x:c r="H629" s="7"/>
      <x:c r="I629" s="7"/>
      <x:c r="J629" s="7"/>
      <x:c r="K629" s="7"/>
      <x:c r="L629" s="7"/>
      <x:c r="M629" s="7"/>
      <x:c r="N629" s="7"/>
      <x:c r="O629" s="2" t="str">
        <x:f>IF(A629="","",IF(COUNTIFS($A$7:$A$1506,A629)&gt;1,"Buchung-ID doppelt",IF(OR(NOT(ISNUMBER(B629)),C629="",NOT(ISNUMBER(F629)),H629="",L629=""),"Pflichtangaben fehlen",IF(COUNTIFS('Konten'!$A$7:$A$26,C629)&lt;&gt;1,"Konto nicht eindeutig",IF(J629&lt;&gt;"Ja","Zuordnung bestätigen",IF(OR(AND(H629="Einnahme",F629&lt;0),AND(H629="Ausgabe",F629&gt;0)),"Vorzeichen prüfen",IF(AND(H629="Umbuchung",OR(K629="",COUNTIFS($A$7:$A$1506,K629)&lt;&gt;1)),"Gegenbuchung fehlt",IF(AND(H629="Umbuchung",ROUND(SUMIFS($F$7:$F$1506,$A$7:$A$1506,K629)+F629,2)&lt;&gt;0),"Umbuchung abweichend",IF(OR(G629="",M629="",M629="offen",M629="teilbelegt",H629="Ungeklärt",H629="Bargeld"),"Beleg / Verwendung klären","vollständig erfasst")))))))))</x:f>
      </x:c>
    </x:row>
    <x:row r="630" ht="22" customHeight="1">
      <x:c r="A630" s="7"/>
      <x:c r="B630" s="8"/>
      <x:c r="C630" s="7"/>
      <x:c r="D630" s="7"/>
      <x:c r="E630" s="7"/>
      <x:c r="F630" s="20"/>
      <x:c r="G630" s="7"/>
      <x:c r="H630" s="7"/>
      <x:c r="I630" s="7"/>
      <x:c r="J630" s="7"/>
      <x:c r="K630" s="7"/>
      <x:c r="L630" s="7"/>
      <x:c r="M630" s="7"/>
      <x:c r="N630" s="7"/>
      <x:c r="O630" s="2" t="str">
        <x:f>IF(A630="","",IF(COUNTIFS($A$7:$A$1506,A630)&gt;1,"Buchung-ID doppelt",IF(OR(NOT(ISNUMBER(B630)),C630="",NOT(ISNUMBER(F630)),H630="",L630=""),"Pflichtangaben fehlen",IF(COUNTIFS('Konten'!$A$7:$A$26,C630)&lt;&gt;1,"Konto nicht eindeutig",IF(J630&lt;&gt;"Ja","Zuordnung bestätigen",IF(OR(AND(H630="Einnahme",F630&lt;0),AND(H630="Ausgabe",F630&gt;0)),"Vorzeichen prüfen",IF(AND(H630="Umbuchung",OR(K630="",COUNTIFS($A$7:$A$1506,K630)&lt;&gt;1)),"Gegenbuchung fehlt",IF(AND(H630="Umbuchung",ROUND(SUMIFS($F$7:$F$1506,$A$7:$A$1506,K630)+F630,2)&lt;&gt;0),"Umbuchung abweichend",IF(OR(G630="",M630="",M630="offen",M630="teilbelegt",H630="Ungeklärt",H630="Bargeld"),"Beleg / Verwendung klären","vollständig erfasst")))))))))</x:f>
      </x:c>
    </x:row>
    <x:row r="631" ht="22" customHeight="1">
      <x:c r="A631" s="7"/>
      <x:c r="B631" s="8"/>
      <x:c r="C631" s="7"/>
      <x:c r="D631" s="7"/>
      <x:c r="E631" s="7"/>
      <x:c r="F631" s="20"/>
      <x:c r="G631" s="7"/>
      <x:c r="H631" s="7"/>
      <x:c r="I631" s="7"/>
      <x:c r="J631" s="7"/>
      <x:c r="K631" s="7"/>
      <x:c r="L631" s="7"/>
      <x:c r="M631" s="7"/>
      <x:c r="N631" s="7"/>
      <x:c r="O631" s="2" t="str">
        <x:f>IF(A631="","",IF(COUNTIFS($A$7:$A$1506,A631)&gt;1,"Buchung-ID doppelt",IF(OR(NOT(ISNUMBER(B631)),C631="",NOT(ISNUMBER(F631)),H631="",L631=""),"Pflichtangaben fehlen",IF(COUNTIFS('Konten'!$A$7:$A$26,C631)&lt;&gt;1,"Konto nicht eindeutig",IF(J631&lt;&gt;"Ja","Zuordnung bestätigen",IF(OR(AND(H631="Einnahme",F631&lt;0),AND(H631="Ausgabe",F631&gt;0)),"Vorzeichen prüfen",IF(AND(H631="Umbuchung",OR(K631="",COUNTIFS($A$7:$A$1506,K631)&lt;&gt;1)),"Gegenbuchung fehlt",IF(AND(H631="Umbuchung",ROUND(SUMIFS($F$7:$F$1506,$A$7:$A$1506,K631)+F631,2)&lt;&gt;0),"Umbuchung abweichend",IF(OR(G631="",M631="",M631="offen",M631="teilbelegt",H631="Ungeklärt",H631="Bargeld"),"Beleg / Verwendung klären","vollständig erfasst")))))))))</x:f>
      </x:c>
    </x:row>
    <x:row r="632" ht="22" customHeight="1">
      <x:c r="A632" s="7"/>
      <x:c r="B632" s="8"/>
      <x:c r="C632" s="7"/>
      <x:c r="D632" s="7"/>
      <x:c r="E632" s="7"/>
      <x:c r="F632" s="20"/>
      <x:c r="G632" s="7"/>
      <x:c r="H632" s="7"/>
      <x:c r="I632" s="7"/>
      <x:c r="J632" s="7"/>
      <x:c r="K632" s="7"/>
      <x:c r="L632" s="7"/>
      <x:c r="M632" s="7"/>
      <x:c r="N632" s="7"/>
      <x:c r="O632" s="2" t="str">
        <x:f>IF(A632="","",IF(COUNTIFS($A$7:$A$1506,A632)&gt;1,"Buchung-ID doppelt",IF(OR(NOT(ISNUMBER(B632)),C632="",NOT(ISNUMBER(F632)),H632="",L632=""),"Pflichtangaben fehlen",IF(COUNTIFS('Konten'!$A$7:$A$26,C632)&lt;&gt;1,"Konto nicht eindeutig",IF(J632&lt;&gt;"Ja","Zuordnung bestätigen",IF(OR(AND(H632="Einnahme",F632&lt;0),AND(H632="Ausgabe",F632&gt;0)),"Vorzeichen prüfen",IF(AND(H632="Umbuchung",OR(K632="",COUNTIFS($A$7:$A$1506,K632)&lt;&gt;1)),"Gegenbuchung fehlt",IF(AND(H632="Umbuchung",ROUND(SUMIFS($F$7:$F$1506,$A$7:$A$1506,K632)+F632,2)&lt;&gt;0),"Umbuchung abweichend",IF(OR(G632="",M632="",M632="offen",M632="teilbelegt",H632="Ungeklärt",H632="Bargeld"),"Beleg / Verwendung klären","vollständig erfasst")))))))))</x:f>
      </x:c>
    </x:row>
    <x:row r="633" ht="22" customHeight="1">
      <x:c r="A633" s="7"/>
      <x:c r="B633" s="8"/>
      <x:c r="C633" s="7"/>
      <x:c r="D633" s="7"/>
      <x:c r="E633" s="7"/>
      <x:c r="F633" s="20"/>
      <x:c r="G633" s="7"/>
      <x:c r="H633" s="7"/>
      <x:c r="I633" s="7"/>
      <x:c r="J633" s="7"/>
      <x:c r="K633" s="7"/>
      <x:c r="L633" s="7"/>
      <x:c r="M633" s="7"/>
      <x:c r="N633" s="7"/>
      <x:c r="O633" s="2" t="str">
        <x:f>IF(A633="","",IF(COUNTIFS($A$7:$A$1506,A633)&gt;1,"Buchung-ID doppelt",IF(OR(NOT(ISNUMBER(B633)),C633="",NOT(ISNUMBER(F633)),H633="",L633=""),"Pflichtangaben fehlen",IF(COUNTIFS('Konten'!$A$7:$A$26,C633)&lt;&gt;1,"Konto nicht eindeutig",IF(J633&lt;&gt;"Ja","Zuordnung bestätigen",IF(OR(AND(H633="Einnahme",F633&lt;0),AND(H633="Ausgabe",F633&gt;0)),"Vorzeichen prüfen",IF(AND(H633="Umbuchung",OR(K633="",COUNTIFS($A$7:$A$1506,K633)&lt;&gt;1)),"Gegenbuchung fehlt",IF(AND(H633="Umbuchung",ROUND(SUMIFS($F$7:$F$1506,$A$7:$A$1506,K633)+F633,2)&lt;&gt;0),"Umbuchung abweichend",IF(OR(G633="",M633="",M633="offen",M633="teilbelegt",H633="Ungeklärt",H633="Bargeld"),"Beleg / Verwendung klären","vollständig erfasst")))))))))</x:f>
      </x:c>
    </x:row>
    <x:row r="634" ht="22" customHeight="1">
      <x:c r="A634" s="7"/>
      <x:c r="B634" s="8"/>
      <x:c r="C634" s="7"/>
      <x:c r="D634" s="7"/>
      <x:c r="E634" s="7"/>
      <x:c r="F634" s="20"/>
      <x:c r="G634" s="7"/>
      <x:c r="H634" s="7"/>
      <x:c r="I634" s="7"/>
      <x:c r="J634" s="7"/>
      <x:c r="K634" s="7"/>
      <x:c r="L634" s="7"/>
      <x:c r="M634" s="7"/>
      <x:c r="N634" s="7"/>
      <x:c r="O634" s="2" t="str">
        <x:f>IF(A634="","",IF(COUNTIFS($A$7:$A$1506,A634)&gt;1,"Buchung-ID doppelt",IF(OR(NOT(ISNUMBER(B634)),C634="",NOT(ISNUMBER(F634)),H634="",L634=""),"Pflichtangaben fehlen",IF(COUNTIFS('Konten'!$A$7:$A$26,C634)&lt;&gt;1,"Konto nicht eindeutig",IF(J634&lt;&gt;"Ja","Zuordnung bestätigen",IF(OR(AND(H634="Einnahme",F634&lt;0),AND(H634="Ausgabe",F634&gt;0)),"Vorzeichen prüfen",IF(AND(H634="Umbuchung",OR(K634="",COUNTIFS($A$7:$A$1506,K634)&lt;&gt;1)),"Gegenbuchung fehlt",IF(AND(H634="Umbuchung",ROUND(SUMIFS($F$7:$F$1506,$A$7:$A$1506,K634)+F634,2)&lt;&gt;0),"Umbuchung abweichend",IF(OR(G634="",M634="",M634="offen",M634="teilbelegt",H634="Ungeklärt",H634="Bargeld"),"Beleg / Verwendung klären","vollständig erfasst")))))))))</x:f>
      </x:c>
    </x:row>
    <x:row r="635" ht="22" customHeight="1">
      <x:c r="A635" s="7"/>
      <x:c r="B635" s="8"/>
      <x:c r="C635" s="7"/>
      <x:c r="D635" s="7"/>
      <x:c r="E635" s="7"/>
      <x:c r="F635" s="20"/>
      <x:c r="G635" s="7"/>
      <x:c r="H635" s="7"/>
      <x:c r="I635" s="7"/>
      <x:c r="J635" s="7"/>
      <x:c r="K635" s="7"/>
      <x:c r="L635" s="7"/>
      <x:c r="M635" s="7"/>
      <x:c r="N635" s="7"/>
      <x:c r="O635" s="2" t="str">
        <x:f>IF(A635="","",IF(COUNTIFS($A$7:$A$1506,A635)&gt;1,"Buchung-ID doppelt",IF(OR(NOT(ISNUMBER(B635)),C635="",NOT(ISNUMBER(F635)),H635="",L635=""),"Pflichtangaben fehlen",IF(COUNTIFS('Konten'!$A$7:$A$26,C635)&lt;&gt;1,"Konto nicht eindeutig",IF(J635&lt;&gt;"Ja","Zuordnung bestätigen",IF(OR(AND(H635="Einnahme",F635&lt;0),AND(H635="Ausgabe",F635&gt;0)),"Vorzeichen prüfen",IF(AND(H635="Umbuchung",OR(K635="",COUNTIFS($A$7:$A$1506,K635)&lt;&gt;1)),"Gegenbuchung fehlt",IF(AND(H635="Umbuchung",ROUND(SUMIFS($F$7:$F$1506,$A$7:$A$1506,K635)+F635,2)&lt;&gt;0),"Umbuchung abweichend",IF(OR(G635="",M635="",M635="offen",M635="teilbelegt",H635="Ungeklärt",H635="Bargeld"),"Beleg / Verwendung klären","vollständig erfasst")))))))))</x:f>
      </x:c>
    </x:row>
    <x:row r="636" ht="22" customHeight="1">
      <x:c r="A636" s="7"/>
      <x:c r="B636" s="8"/>
      <x:c r="C636" s="7"/>
      <x:c r="D636" s="7"/>
      <x:c r="E636" s="7"/>
      <x:c r="F636" s="20"/>
      <x:c r="G636" s="7"/>
      <x:c r="H636" s="7"/>
      <x:c r="I636" s="7"/>
      <x:c r="J636" s="7"/>
      <x:c r="K636" s="7"/>
      <x:c r="L636" s="7"/>
      <x:c r="M636" s="7"/>
      <x:c r="N636" s="7"/>
      <x:c r="O636" s="2" t="str">
        <x:f>IF(A636="","",IF(COUNTIFS($A$7:$A$1506,A636)&gt;1,"Buchung-ID doppelt",IF(OR(NOT(ISNUMBER(B636)),C636="",NOT(ISNUMBER(F636)),H636="",L636=""),"Pflichtangaben fehlen",IF(COUNTIFS('Konten'!$A$7:$A$26,C636)&lt;&gt;1,"Konto nicht eindeutig",IF(J636&lt;&gt;"Ja","Zuordnung bestätigen",IF(OR(AND(H636="Einnahme",F636&lt;0),AND(H636="Ausgabe",F636&gt;0)),"Vorzeichen prüfen",IF(AND(H636="Umbuchung",OR(K636="",COUNTIFS($A$7:$A$1506,K636)&lt;&gt;1)),"Gegenbuchung fehlt",IF(AND(H636="Umbuchung",ROUND(SUMIFS($F$7:$F$1506,$A$7:$A$1506,K636)+F636,2)&lt;&gt;0),"Umbuchung abweichend",IF(OR(G636="",M636="",M636="offen",M636="teilbelegt",H636="Ungeklärt",H636="Bargeld"),"Beleg / Verwendung klären","vollständig erfasst")))))))))</x:f>
      </x:c>
    </x:row>
    <x:row r="637" ht="22" customHeight="1">
      <x:c r="A637" s="7"/>
      <x:c r="B637" s="8"/>
      <x:c r="C637" s="7"/>
      <x:c r="D637" s="7"/>
      <x:c r="E637" s="7"/>
      <x:c r="F637" s="20"/>
      <x:c r="G637" s="7"/>
      <x:c r="H637" s="7"/>
      <x:c r="I637" s="7"/>
      <x:c r="J637" s="7"/>
      <x:c r="K637" s="7"/>
      <x:c r="L637" s="7"/>
      <x:c r="M637" s="7"/>
      <x:c r="N637" s="7"/>
      <x:c r="O637" s="2" t="str">
        <x:f>IF(A637="","",IF(COUNTIFS($A$7:$A$1506,A637)&gt;1,"Buchung-ID doppelt",IF(OR(NOT(ISNUMBER(B637)),C637="",NOT(ISNUMBER(F637)),H637="",L637=""),"Pflichtangaben fehlen",IF(COUNTIFS('Konten'!$A$7:$A$26,C637)&lt;&gt;1,"Konto nicht eindeutig",IF(J637&lt;&gt;"Ja","Zuordnung bestätigen",IF(OR(AND(H637="Einnahme",F637&lt;0),AND(H637="Ausgabe",F637&gt;0)),"Vorzeichen prüfen",IF(AND(H637="Umbuchung",OR(K637="",COUNTIFS($A$7:$A$1506,K637)&lt;&gt;1)),"Gegenbuchung fehlt",IF(AND(H637="Umbuchung",ROUND(SUMIFS($F$7:$F$1506,$A$7:$A$1506,K637)+F637,2)&lt;&gt;0),"Umbuchung abweichend",IF(OR(G637="",M637="",M637="offen",M637="teilbelegt",H637="Ungeklärt",H637="Bargeld"),"Beleg / Verwendung klären","vollständig erfasst")))))))))</x:f>
      </x:c>
    </x:row>
    <x:row r="638" ht="22" customHeight="1">
      <x:c r="A638" s="7"/>
      <x:c r="B638" s="8"/>
      <x:c r="C638" s="7"/>
      <x:c r="D638" s="7"/>
      <x:c r="E638" s="7"/>
      <x:c r="F638" s="20"/>
      <x:c r="G638" s="7"/>
      <x:c r="H638" s="7"/>
      <x:c r="I638" s="7"/>
      <x:c r="J638" s="7"/>
      <x:c r="K638" s="7"/>
      <x:c r="L638" s="7"/>
      <x:c r="M638" s="7"/>
      <x:c r="N638" s="7"/>
      <x:c r="O638" s="2" t="str">
        <x:f>IF(A638="","",IF(COUNTIFS($A$7:$A$1506,A638)&gt;1,"Buchung-ID doppelt",IF(OR(NOT(ISNUMBER(B638)),C638="",NOT(ISNUMBER(F638)),H638="",L638=""),"Pflichtangaben fehlen",IF(COUNTIFS('Konten'!$A$7:$A$26,C638)&lt;&gt;1,"Konto nicht eindeutig",IF(J638&lt;&gt;"Ja","Zuordnung bestätigen",IF(OR(AND(H638="Einnahme",F638&lt;0),AND(H638="Ausgabe",F638&gt;0)),"Vorzeichen prüfen",IF(AND(H638="Umbuchung",OR(K638="",COUNTIFS($A$7:$A$1506,K638)&lt;&gt;1)),"Gegenbuchung fehlt",IF(AND(H638="Umbuchung",ROUND(SUMIFS($F$7:$F$1506,$A$7:$A$1506,K638)+F638,2)&lt;&gt;0),"Umbuchung abweichend",IF(OR(G638="",M638="",M638="offen",M638="teilbelegt",H638="Ungeklärt",H638="Bargeld"),"Beleg / Verwendung klären","vollständig erfasst")))))))))</x:f>
      </x:c>
    </x:row>
    <x:row r="639" ht="22" customHeight="1">
      <x:c r="A639" s="7"/>
      <x:c r="B639" s="8"/>
      <x:c r="C639" s="7"/>
      <x:c r="D639" s="7"/>
      <x:c r="E639" s="7"/>
      <x:c r="F639" s="20"/>
      <x:c r="G639" s="7"/>
      <x:c r="H639" s="7"/>
      <x:c r="I639" s="7"/>
      <x:c r="J639" s="7"/>
      <x:c r="K639" s="7"/>
      <x:c r="L639" s="7"/>
      <x:c r="M639" s="7"/>
      <x:c r="N639" s="7"/>
      <x:c r="O639" s="2" t="str">
        <x:f>IF(A639="","",IF(COUNTIFS($A$7:$A$1506,A639)&gt;1,"Buchung-ID doppelt",IF(OR(NOT(ISNUMBER(B639)),C639="",NOT(ISNUMBER(F639)),H639="",L639=""),"Pflichtangaben fehlen",IF(COUNTIFS('Konten'!$A$7:$A$26,C639)&lt;&gt;1,"Konto nicht eindeutig",IF(J639&lt;&gt;"Ja","Zuordnung bestätigen",IF(OR(AND(H639="Einnahme",F639&lt;0),AND(H639="Ausgabe",F639&gt;0)),"Vorzeichen prüfen",IF(AND(H639="Umbuchung",OR(K639="",COUNTIFS($A$7:$A$1506,K639)&lt;&gt;1)),"Gegenbuchung fehlt",IF(AND(H639="Umbuchung",ROUND(SUMIFS($F$7:$F$1506,$A$7:$A$1506,K639)+F639,2)&lt;&gt;0),"Umbuchung abweichend",IF(OR(G639="",M639="",M639="offen",M639="teilbelegt",H639="Ungeklärt",H639="Bargeld"),"Beleg / Verwendung klären","vollständig erfasst")))))))))</x:f>
      </x:c>
    </x:row>
    <x:row r="640" ht="22" customHeight="1">
      <x:c r="A640" s="7"/>
      <x:c r="B640" s="8"/>
      <x:c r="C640" s="7"/>
      <x:c r="D640" s="7"/>
      <x:c r="E640" s="7"/>
      <x:c r="F640" s="20"/>
      <x:c r="G640" s="7"/>
      <x:c r="H640" s="7"/>
      <x:c r="I640" s="7"/>
      <x:c r="J640" s="7"/>
      <x:c r="K640" s="7"/>
      <x:c r="L640" s="7"/>
      <x:c r="M640" s="7"/>
      <x:c r="N640" s="7"/>
      <x:c r="O640" s="2" t="str">
        <x:f>IF(A640="","",IF(COUNTIFS($A$7:$A$1506,A640)&gt;1,"Buchung-ID doppelt",IF(OR(NOT(ISNUMBER(B640)),C640="",NOT(ISNUMBER(F640)),H640="",L640=""),"Pflichtangaben fehlen",IF(COUNTIFS('Konten'!$A$7:$A$26,C640)&lt;&gt;1,"Konto nicht eindeutig",IF(J640&lt;&gt;"Ja","Zuordnung bestätigen",IF(OR(AND(H640="Einnahme",F640&lt;0),AND(H640="Ausgabe",F640&gt;0)),"Vorzeichen prüfen",IF(AND(H640="Umbuchung",OR(K640="",COUNTIFS($A$7:$A$1506,K640)&lt;&gt;1)),"Gegenbuchung fehlt",IF(AND(H640="Umbuchung",ROUND(SUMIFS($F$7:$F$1506,$A$7:$A$1506,K640)+F640,2)&lt;&gt;0),"Umbuchung abweichend",IF(OR(G640="",M640="",M640="offen",M640="teilbelegt",H640="Ungeklärt",H640="Bargeld"),"Beleg / Verwendung klären","vollständig erfasst")))))))))</x:f>
      </x:c>
    </x:row>
    <x:row r="641" ht="22" customHeight="1">
      <x:c r="A641" s="7"/>
      <x:c r="B641" s="8"/>
      <x:c r="C641" s="7"/>
      <x:c r="D641" s="7"/>
      <x:c r="E641" s="7"/>
      <x:c r="F641" s="20"/>
      <x:c r="G641" s="7"/>
      <x:c r="H641" s="7"/>
      <x:c r="I641" s="7"/>
      <x:c r="J641" s="7"/>
      <x:c r="K641" s="7"/>
      <x:c r="L641" s="7"/>
      <x:c r="M641" s="7"/>
      <x:c r="N641" s="7"/>
      <x:c r="O641" s="2" t="str">
        <x:f>IF(A641="","",IF(COUNTIFS($A$7:$A$1506,A641)&gt;1,"Buchung-ID doppelt",IF(OR(NOT(ISNUMBER(B641)),C641="",NOT(ISNUMBER(F641)),H641="",L641=""),"Pflichtangaben fehlen",IF(COUNTIFS('Konten'!$A$7:$A$26,C641)&lt;&gt;1,"Konto nicht eindeutig",IF(J641&lt;&gt;"Ja","Zuordnung bestätigen",IF(OR(AND(H641="Einnahme",F641&lt;0),AND(H641="Ausgabe",F641&gt;0)),"Vorzeichen prüfen",IF(AND(H641="Umbuchung",OR(K641="",COUNTIFS($A$7:$A$1506,K641)&lt;&gt;1)),"Gegenbuchung fehlt",IF(AND(H641="Umbuchung",ROUND(SUMIFS($F$7:$F$1506,$A$7:$A$1506,K641)+F641,2)&lt;&gt;0),"Umbuchung abweichend",IF(OR(G641="",M641="",M641="offen",M641="teilbelegt",H641="Ungeklärt",H641="Bargeld"),"Beleg / Verwendung klären","vollständig erfasst")))))))))</x:f>
      </x:c>
    </x:row>
    <x:row r="642" ht="22" customHeight="1">
      <x:c r="A642" s="7"/>
      <x:c r="B642" s="8"/>
      <x:c r="C642" s="7"/>
      <x:c r="D642" s="7"/>
      <x:c r="E642" s="7"/>
      <x:c r="F642" s="20"/>
      <x:c r="G642" s="7"/>
      <x:c r="H642" s="7"/>
      <x:c r="I642" s="7"/>
      <x:c r="J642" s="7"/>
      <x:c r="K642" s="7"/>
      <x:c r="L642" s="7"/>
      <x:c r="M642" s="7"/>
      <x:c r="N642" s="7"/>
      <x:c r="O642" s="2" t="str">
        <x:f>IF(A642="","",IF(COUNTIFS($A$7:$A$1506,A642)&gt;1,"Buchung-ID doppelt",IF(OR(NOT(ISNUMBER(B642)),C642="",NOT(ISNUMBER(F642)),H642="",L642=""),"Pflichtangaben fehlen",IF(COUNTIFS('Konten'!$A$7:$A$26,C642)&lt;&gt;1,"Konto nicht eindeutig",IF(J642&lt;&gt;"Ja","Zuordnung bestätigen",IF(OR(AND(H642="Einnahme",F642&lt;0),AND(H642="Ausgabe",F642&gt;0)),"Vorzeichen prüfen",IF(AND(H642="Umbuchung",OR(K642="",COUNTIFS($A$7:$A$1506,K642)&lt;&gt;1)),"Gegenbuchung fehlt",IF(AND(H642="Umbuchung",ROUND(SUMIFS($F$7:$F$1506,$A$7:$A$1506,K642)+F642,2)&lt;&gt;0),"Umbuchung abweichend",IF(OR(G642="",M642="",M642="offen",M642="teilbelegt",H642="Ungeklärt",H642="Bargeld"),"Beleg / Verwendung klären","vollständig erfasst")))))))))</x:f>
      </x:c>
    </x:row>
    <x:row r="643" ht="22" customHeight="1">
      <x:c r="A643" s="7"/>
      <x:c r="B643" s="8"/>
      <x:c r="C643" s="7"/>
      <x:c r="D643" s="7"/>
      <x:c r="E643" s="7"/>
      <x:c r="F643" s="20"/>
      <x:c r="G643" s="7"/>
      <x:c r="H643" s="7"/>
      <x:c r="I643" s="7"/>
      <x:c r="J643" s="7"/>
      <x:c r="K643" s="7"/>
      <x:c r="L643" s="7"/>
      <x:c r="M643" s="7"/>
      <x:c r="N643" s="7"/>
      <x:c r="O643" s="2" t="str">
        <x:f>IF(A643="","",IF(COUNTIFS($A$7:$A$1506,A643)&gt;1,"Buchung-ID doppelt",IF(OR(NOT(ISNUMBER(B643)),C643="",NOT(ISNUMBER(F643)),H643="",L643=""),"Pflichtangaben fehlen",IF(COUNTIFS('Konten'!$A$7:$A$26,C643)&lt;&gt;1,"Konto nicht eindeutig",IF(J643&lt;&gt;"Ja","Zuordnung bestätigen",IF(OR(AND(H643="Einnahme",F643&lt;0),AND(H643="Ausgabe",F643&gt;0)),"Vorzeichen prüfen",IF(AND(H643="Umbuchung",OR(K643="",COUNTIFS($A$7:$A$1506,K643)&lt;&gt;1)),"Gegenbuchung fehlt",IF(AND(H643="Umbuchung",ROUND(SUMIFS($F$7:$F$1506,$A$7:$A$1506,K643)+F643,2)&lt;&gt;0),"Umbuchung abweichend",IF(OR(G643="",M643="",M643="offen",M643="teilbelegt",H643="Ungeklärt",H643="Bargeld"),"Beleg / Verwendung klären","vollständig erfasst")))))))))</x:f>
      </x:c>
    </x:row>
    <x:row r="644" ht="22" customHeight="1">
      <x:c r="A644" s="7"/>
      <x:c r="B644" s="8"/>
      <x:c r="C644" s="7"/>
      <x:c r="D644" s="7"/>
      <x:c r="E644" s="7"/>
      <x:c r="F644" s="20"/>
      <x:c r="G644" s="7"/>
      <x:c r="H644" s="7"/>
      <x:c r="I644" s="7"/>
      <x:c r="J644" s="7"/>
      <x:c r="K644" s="7"/>
      <x:c r="L644" s="7"/>
      <x:c r="M644" s="7"/>
      <x:c r="N644" s="7"/>
      <x:c r="O644" s="2" t="str">
        <x:f>IF(A644="","",IF(COUNTIFS($A$7:$A$1506,A644)&gt;1,"Buchung-ID doppelt",IF(OR(NOT(ISNUMBER(B644)),C644="",NOT(ISNUMBER(F644)),H644="",L644=""),"Pflichtangaben fehlen",IF(COUNTIFS('Konten'!$A$7:$A$26,C644)&lt;&gt;1,"Konto nicht eindeutig",IF(J644&lt;&gt;"Ja","Zuordnung bestätigen",IF(OR(AND(H644="Einnahme",F644&lt;0),AND(H644="Ausgabe",F644&gt;0)),"Vorzeichen prüfen",IF(AND(H644="Umbuchung",OR(K644="",COUNTIFS($A$7:$A$1506,K644)&lt;&gt;1)),"Gegenbuchung fehlt",IF(AND(H644="Umbuchung",ROUND(SUMIFS($F$7:$F$1506,$A$7:$A$1506,K644)+F644,2)&lt;&gt;0),"Umbuchung abweichend",IF(OR(G644="",M644="",M644="offen",M644="teilbelegt",H644="Ungeklärt",H644="Bargeld"),"Beleg / Verwendung klären","vollständig erfasst")))))))))</x:f>
      </x:c>
    </x:row>
    <x:row r="645" ht="22" customHeight="1">
      <x:c r="A645" s="7"/>
      <x:c r="B645" s="8"/>
      <x:c r="C645" s="7"/>
      <x:c r="D645" s="7"/>
      <x:c r="E645" s="7"/>
      <x:c r="F645" s="20"/>
      <x:c r="G645" s="7"/>
      <x:c r="H645" s="7"/>
      <x:c r="I645" s="7"/>
      <x:c r="J645" s="7"/>
      <x:c r="K645" s="7"/>
      <x:c r="L645" s="7"/>
      <x:c r="M645" s="7"/>
      <x:c r="N645" s="7"/>
      <x:c r="O645" s="2" t="str">
        <x:f>IF(A645="","",IF(COUNTIFS($A$7:$A$1506,A645)&gt;1,"Buchung-ID doppelt",IF(OR(NOT(ISNUMBER(B645)),C645="",NOT(ISNUMBER(F645)),H645="",L645=""),"Pflichtangaben fehlen",IF(COUNTIFS('Konten'!$A$7:$A$26,C645)&lt;&gt;1,"Konto nicht eindeutig",IF(J645&lt;&gt;"Ja","Zuordnung bestätigen",IF(OR(AND(H645="Einnahme",F645&lt;0),AND(H645="Ausgabe",F645&gt;0)),"Vorzeichen prüfen",IF(AND(H645="Umbuchung",OR(K645="",COUNTIFS($A$7:$A$1506,K645)&lt;&gt;1)),"Gegenbuchung fehlt",IF(AND(H645="Umbuchung",ROUND(SUMIFS($F$7:$F$1506,$A$7:$A$1506,K645)+F645,2)&lt;&gt;0),"Umbuchung abweichend",IF(OR(G645="",M645="",M645="offen",M645="teilbelegt",H645="Ungeklärt",H645="Bargeld"),"Beleg / Verwendung klären","vollständig erfasst")))))))))</x:f>
      </x:c>
    </x:row>
    <x:row r="646" ht="22" customHeight="1">
      <x:c r="A646" s="7"/>
      <x:c r="B646" s="8"/>
      <x:c r="C646" s="7"/>
      <x:c r="D646" s="7"/>
      <x:c r="E646" s="7"/>
      <x:c r="F646" s="20"/>
      <x:c r="G646" s="7"/>
      <x:c r="H646" s="7"/>
      <x:c r="I646" s="7"/>
      <x:c r="J646" s="7"/>
      <x:c r="K646" s="7"/>
      <x:c r="L646" s="7"/>
      <x:c r="M646" s="7"/>
      <x:c r="N646" s="7"/>
      <x:c r="O646" s="2" t="str">
        <x:f>IF(A646="","",IF(COUNTIFS($A$7:$A$1506,A646)&gt;1,"Buchung-ID doppelt",IF(OR(NOT(ISNUMBER(B646)),C646="",NOT(ISNUMBER(F646)),H646="",L646=""),"Pflichtangaben fehlen",IF(COUNTIFS('Konten'!$A$7:$A$26,C646)&lt;&gt;1,"Konto nicht eindeutig",IF(J646&lt;&gt;"Ja","Zuordnung bestätigen",IF(OR(AND(H646="Einnahme",F646&lt;0),AND(H646="Ausgabe",F646&gt;0)),"Vorzeichen prüfen",IF(AND(H646="Umbuchung",OR(K646="",COUNTIFS($A$7:$A$1506,K646)&lt;&gt;1)),"Gegenbuchung fehlt",IF(AND(H646="Umbuchung",ROUND(SUMIFS($F$7:$F$1506,$A$7:$A$1506,K646)+F646,2)&lt;&gt;0),"Umbuchung abweichend",IF(OR(G646="",M646="",M646="offen",M646="teilbelegt",H646="Ungeklärt",H646="Bargeld"),"Beleg / Verwendung klären","vollständig erfasst")))))))))</x:f>
      </x:c>
    </x:row>
    <x:row r="647" ht="22" customHeight="1">
      <x:c r="A647" s="7"/>
      <x:c r="B647" s="8"/>
      <x:c r="C647" s="7"/>
      <x:c r="D647" s="7"/>
      <x:c r="E647" s="7"/>
      <x:c r="F647" s="20"/>
      <x:c r="G647" s="7"/>
      <x:c r="H647" s="7"/>
      <x:c r="I647" s="7"/>
      <x:c r="J647" s="7"/>
      <x:c r="K647" s="7"/>
      <x:c r="L647" s="7"/>
      <x:c r="M647" s="7"/>
      <x:c r="N647" s="7"/>
      <x:c r="O647" s="2" t="str">
        <x:f>IF(A647="","",IF(COUNTIFS($A$7:$A$1506,A647)&gt;1,"Buchung-ID doppelt",IF(OR(NOT(ISNUMBER(B647)),C647="",NOT(ISNUMBER(F647)),H647="",L647=""),"Pflichtangaben fehlen",IF(COUNTIFS('Konten'!$A$7:$A$26,C647)&lt;&gt;1,"Konto nicht eindeutig",IF(J647&lt;&gt;"Ja","Zuordnung bestätigen",IF(OR(AND(H647="Einnahme",F647&lt;0),AND(H647="Ausgabe",F647&gt;0)),"Vorzeichen prüfen",IF(AND(H647="Umbuchung",OR(K647="",COUNTIFS($A$7:$A$1506,K647)&lt;&gt;1)),"Gegenbuchung fehlt",IF(AND(H647="Umbuchung",ROUND(SUMIFS($F$7:$F$1506,$A$7:$A$1506,K647)+F647,2)&lt;&gt;0),"Umbuchung abweichend",IF(OR(G647="",M647="",M647="offen",M647="teilbelegt",H647="Ungeklärt",H647="Bargeld"),"Beleg / Verwendung klären","vollständig erfasst")))))))))</x:f>
      </x:c>
    </x:row>
    <x:row r="648" ht="22" customHeight="1">
      <x:c r="A648" s="7"/>
      <x:c r="B648" s="8"/>
      <x:c r="C648" s="7"/>
      <x:c r="D648" s="7"/>
      <x:c r="E648" s="7"/>
      <x:c r="F648" s="20"/>
      <x:c r="G648" s="7"/>
      <x:c r="H648" s="7"/>
      <x:c r="I648" s="7"/>
      <x:c r="J648" s="7"/>
      <x:c r="K648" s="7"/>
      <x:c r="L648" s="7"/>
      <x:c r="M648" s="7"/>
      <x:c r="N648" s="7"/>
      <x:c r="O648" s="2" t="str">
        <x:f>IF(A648="","",IF(COUNTIFS($A$7:$A$1506,A648)&gt;1,"Buchung-ID doppelt",IF(OR(NOT(ISNUMBER(B648)),C648="",NOT(ISNUMBER(F648)),H648="",L648=""),"Pflichtangaben fehlen",IF(COUNTIFS('Konten'!$A$7:$A$26,C648)&lt;&gt;1,"Konto nicht eindeutig",IF(J648&lt;&gt;"Ja","Zuordnung bestätigen",IF(OR(AND(H648="Einnahme",F648&lt;0),AND(H648="Ausgabe",F648&gt;0)),"Vorzeichen prüfen",IF(AND(H648="Umbuchung",OR(K648="",COUNTIFS($A$7:$A$1506,K648)&lt;&gt;1)),"Gegenbuchung fehlt",IF(AND(H648="Umbuchung",ROUND(SUMIFS($F$7:$F$1506,$A$7:$A$1506,K648)+F648,2)&lt;&gt;0),"Umbuchung abweichend",IF(OR(G648="",M648="",M648="offen",M648="teilbelegt",H648="Ungeklärt",H648="Bargeld"),"Beleg / Verwendung klären","vollständig erfasst")))))))))</x:f>
      </x:c>
    </x:row>
    <x:row r="649" ht="22" customHeight="1">
      <x:c r="A649" s="7"/>
      <x:c r="B649" s="8"/>
      <x:c r="C649" s="7"/>
      <x:c r="D649" s="7"/>
      <x:c r="E649" s="7"/>
      <x:c r="F649" s="20"/>
      <x:c r="G649" s="7"/>
      <x:c r="H649" s="7"/>
      <x:c r="I649" s="7"/>
      <x:c r="J649" s="7"/>
      <x:c r="K649" s="7"/>
      <x:c r="L649" s="7"/>
      <x:c r="M649" s="7"/>
      <x:c r="N649" s="7"/>
      <x:c r="O649" s="2" t="str">
        <x:f>IF(A649="","",IF(COUNTIFS($A$7:$A$1506,A649)&gt;1,"Buchung-ID doppelt",IF(OR(NOT(ISNUMBER(B649)),C649="",NOT(ISNUMBER(F649)),H649="",L649=""),"Pflichtangaben fehlen",IF(COUNTIFS('Konten'!$A$7:$A$26,C649)&lt;&gt;1,"Konto nicht eindeutig",IF(J649&lt;&gt;"Ja","Zuordnung bestätigen",IF(OR(AND(H649="Einnahme",F649&lt;0),AND(H649="Ausgabe",F649&gt;0)),"Vorzeichen prüfen",IF(AND(H649="Umbuchung",OR(K649="",COUNTIFS($A$7:$A$1506,K649)&lt;&gt;1)),"Gegenbuchung fehlt",IF(AND(H649="Umbuchung",ROUND(SUMIFS($F$7:$F$1506,$A$7:$A$1506,K649)+F649,2)&lt;&gt;0),"Umbuchung abweichend",IF(OR(G649="",M649="",M649="offen",M649="teilbelegt",H649="Ungeklärt",H649="Bargeld"),"Beleg / Verwendung klären","vollständig erfasst")))))))))</x:f>
      </x:c>
    </x:row>
    <x:row r="650" ht="22" customHeight="1">
      <x:c r="A650" s="7"/>
      <x:c r="B650" s="8"/>
      <x:c r="C650" s="7"/>
      <x:c r="D650" s="7"/>
      <x:c r="E650" s="7"/>
      <x:c r="F650" s="20"/>
      <x:c r="G650" s="7"/>
      <x:c r="H650" s="7"/>
      <x:c r="I650" s="7"/>
      <x:c r="J650" s="7"/>
      <x:c r="K650" s="7"/>
      <x:c r="L650" s="7"/>
      <x:c r="M650" s="7"/>
      <x:c r="N650" s="7"/>
      <x:c r="O650" s="2" t="str">
        <x:f>IF(A650="","",IF(COUNTIFS($A$7:$A$1506,A650)&gt;1,"Buchung-ID doppelt",IF(OR(NOT(ISNUMBER(B650)),C650="",NOT(ISNUMBER(F650)),H650="",L650=""),"Pflichtangaben fehlen",IF(COUNTIFS('Konten'!$A$7:$A$26,C650)&lt;&gt;1,"Konto nicht eindeutig",IF(J650&lt;&gt;"Ja","Zuordnung bestätigen",IF(OR(AND(H650="Einnahme",F650&lt;0),AND(H650="Ausgabe",F650&gt;0)),"Vorzeichen prüfen",IF(AND(H650="Umbuchung",OR(K650="",COUNTIFS($A$7:$A$1506,K650)&lt;&gt;1)),"Gegenbuchung fehlt",IF(AND(H650="Umbuchung",ROUND(SUMIFS($F$7:$F$1506,$A$7:$A$1506,K650)+F650,2)&lt;&gt;0),"Umbuchung abweichend",IF(OR(G650="",M650="",M650="offen",M650="teilbelegt",H650="Ungeklärt",H650="Bargeld"),"Beleg / Verwendung klären","vollständig erfasst")))))))))</x:f>
      </x:c>
    </x:row>
    <x:row r="651" ht="22" customHeight="1">
      <x:c r="A651" s="7"/>
      <x:c r="B651" s="8"/>
      <x:c r="C651" s="7"/>
      <x:c r="D651" s="7"/>
      <x:c r="E651" s="7"/>
      <x:c r="F651" s="20"/>
      <x:c r="G651" s="7"/>
      <x:c r="H651" s="7"/>
      <x:c r="I651" s="7"/>
      <x:c r="J651" s="7"/>
      <x:c r="K651" s="7"/>
      <x:c r="L651" s="7"/>
      <x:c r="M651" s="7"/>
      <x:c r="N651" s="7"/>
      <x:c r="O651" s="2" t="str">
        <x:f>IF(A651="","",IF(COUNTIFS($A$7:$A$1506,A651)&gt;1,"Buchung-ID doppelt",IF(OR(NOT(ISNUMBER(B651)),C651="",NOT(ISNUMBER(F651)),H651="",L651=""),"Pflichtangaben fehlen",IF(COUNTIFS('Konten'!$A$7:$A$26,C651)&lt;&gt;1,"Konto nicht eindeutig",IF(J651&lt;&gt;"Ja","Zuordnung bestätigen",IF(OR(AND(H651="Einnahme",F651&lt;0),AND(H651="Ausgabe",F651&gt;0)),"Vorzeichen prüfen",IF(AND(H651="Umbuchung",OR(K651="",COUNTIFS($A$7:$A$1506,K651)&lt;&gt;1)),"Gegenbuchung fehlt",IF(AND(H651="Umbuchung",ROUND(SUMIFS($F$7:$F$1506,$A$7:$A$1506,K651)+F651,2)&lt;&gt;0),"Umbuchung abweichend",IF(OR(G651="",M651="",M651="offen",M651="teilbelegt",H651="Ungeklärt",H651="Bargeld"),"Beleg / Verwendung klären","vollständig erfasst")))))))))</x:f>
      </x:c>
    </x:row>
    <x:row r="652" ht="22" customHeight="1">
      <x:c r="A652" s="7"/>
      <x:c r="B652" s="8"/>
      <x:c r="C652" s="7"/>
      <x:c r="D652" s="7"/>
      <x:c r="E652" s="7"/>
      <x:c r="F652" s="20"/>
      <x:c r="G652" s="7"/>
      <x:c r="H652" s="7"/>
      <x:c r="I652" s="7"/>
      <x:c r="J652" s="7"/>
      <x:c r="K652" s="7"/>
      <x:c r="L652" s="7"/>
      <x:c r="M652" s="7"/>
      <x:c r="N652" s="7"/>
      <x:c r="O652" s="2" t="str">
        <x:f>IF(A652="","",IF(COUNTIFS($A$7:$A$1506,A652)&gt;1,"Buchung-ID doppelt",IF(OR(NOT(ISNUMBER(B652)),C652="",NOT(ISNUMBER(F652)),H652="",L652=""),"Pflichtangaben fehlen",IF(COUNTIFS('Konten'!$A$7:$A$26,C652)&lt;&gt;1,"Konto nicht eindeutig",IF(J652&lt;&gt;"Ja","Zuordnung bestätigen",IF(OR(AND(H652="Einnahme",F652&lt;0),AND(H652="Ausgabe",F652&gt;0)),"Vorzeichen prüfen",IF(AND(H652="Umbuchung",OR(K652="",COUNTIFS($A$7:$A$1506,K652)&lt;&gt;1)),"Gegenbuchung fehlt",IF(AND(H652="Umbuchung",ROUND(SUMIFS($F$7:$F$1506,$A$7:$A$1506,K652)+F652,2)&lt;&gt;0),"Umbuchung abweichend",IF(OR(G652="",M652="",M652="offen",M652="teilbelegt",H652="Ungeklärt",H652="Bargeld"),"Beleg / Verwendung klären","vollständig erfasst")))))))))</x:f>
      </x:c>
    </x:row>
    <x:row r="653" ht="22" customHeight="1">
      <x:c r="A653" s="7"/>
      <x:c r="B653" s="8"/>
      <x:c r="C653" s="7"/>
      <x:c r="D653" s="7"/>
      <x:c r="E653" s="7"/>
      <x:c r="F653" s="20"/>
      <x:c r="G653" s="7"/>
      <x:c r="H653" s="7"/>
      <x:c r="I653" s="7"/>
      <x:c r="J653" s="7"/>
      <x:c r="K653" s="7"/>
      <x:c r="L653" s="7"/>
      <x:c r="M653" s="7"/>
      <x:c r="N653" s="7"/>
      <x:c r="O653" s="2" t="str">
        <x:f>IF(A653="","",IF(COUNTIFS($A$7:$A$1506,A653)&gt;1,"Buchung-ID doppelt",IF(OR(NOT(ISNUMBER(B653)),C653="",NOT(ISNUMBER(F653)),H653="",L653=""),"Pflichtangaben fehlen",IF(COUNTIFS('Konten'!$A$7:$A$26,C653)&lt;&gt;1,"Konto nicht eindeutig",IF(J653&lt;&gt;"Ja","Zuordnung bestätigen",IF(OR(AND(H653="Einnahme",F653&lt;0),AND(H653="Ausgabe",F653&gt;0)),"Vorzeichen prüfen",IF(AND(H653="Umbuchung",OR(K653="",COUNTIFS($A$7:$A$1506,K653)&lt;&gt;1)),"Gegenbuchung fehlt",IF(AND(H653="Umbuchung",ROUND(SUMIFS($F$7:$F$1506,$A$7:$A$1506,K653)+F653,2)&lt;&gt;0),"Umbuchung abweichend",IF(OR(G653="",M653="",M653="offen",M653="teilbelegt",H653="Ungeklärt",H653="Bargeld"),"Beleg / Verwendung klären","vollständig erfasst")))))))))</x:f>
      </x:c>
    </x:row>
    <x:row r="654" ht="22" customHeight="1">
      <x:c r="A654" s="7"/>
      <x:c r="B654" s="8"/>
      <x:c r="C654" s="7"/>
      <x:c r="D654" s="7"/>
      <x:c r="E654" s="7"/>
      <x:c r="F654" s="20"/>
      <x:c r="G654" s="7"/>
      <x:c r="H654" s="7"/>
      <x:c r="I654" s="7"/>
      <x:c r="J654" s="7"/>
      <x:c r="K654" s="7"/>
      <x:c r="L654" s="7"/>
      <x:c r="M654" s="7"/>
      <x:c r="N654" s="7"/>
      <x:c r="O654" s="2" t="str">
        <x:f>IF(A654="","",IF(COUNTIFS($A$7:$A$1506,A654)&gt;1,"Buchung-ID doppelt",IF(OR(NOT(ISNUMBER(B654)),C654="",NOT(ISNUMBER(F654)),H654="",L654=""),"Pflichtangaben fehlen",IF(COUNTIFS('Konten'!$A$7:$A$26,C654)&lt;&gt;1,"Konto nicht eindeutig",IF(J654&lt;&gt;"Ja","Zuordnung bestätigen",IF(OR(AND(H654="Einnahme",F654&lt;0),AND(H654="Ausgabe",F654&gt;0)),"Vorzeichen prüfen",IF(AND(H654="Umbuchung",OR(K654="",COUNTIFS($A$7:$A$1506,K654)&lt;&gt;1)),"Gegenbuchung fehlt",IF(AND(H654="Umbuchung",ROUND(SUMIFS($F$7:$F$1506,$A$7:$A$1506,K654)+F654,2)&lt;&gt;0),"Umbuchung abweichend",IF(OR(G654="",M654="",M654="offen",M654="teilbelegt",H654="Ungeklärt",H654="Bargeld"),"Beleg / Verwendung klären","vollständig erfasst")))))))))</x:f>
      </x:c>
    </x:row>
    <x:row r="655" ht="22" customHeight="1">
      <x:c r="A655" s="7"/>
      <x:c r="B655" s="8"/>
      <x:c r="C655" s="7"/>
      <x:c r="D655" s="7"/>
      <x:c r="E655" s="7"/>
      <x:c r="F655" s="20"/>
      <x:c r="G655" s="7"/>
      <x:c r="H655" s="7"/>
      <x:c r="I655" s="7"/>
      <x:c r="J655" s="7"/>
      <x:c r="K655" s="7"/>
      <x:c r="L655" s="7"/>
      <x:c r="M655" s="7"/>
      <x:c r="N655" s="7"/>
      <x:c r="O655" s="2" t="str">
        <x:f>IF(A655="","",IF(COUNTIFS($A$7:$A$1506,A655)&gt;1,"Buchung-ID doppelt",IF(OR(NOT(ISNUMBER(B655)),C655="",NOT(ISNUMBER(F655)),H655="",L655=""),"Pflichtangaben fehlen",IF(COUNTIFS('Konten'!$A$7:$A$26,C655)&lt;&gt;1,"Konto nicht eindeutig",IF(J655&lt;&gt;"Ja","Zuordnung bestätigen",IF(OR(AND(H655="Einnahme",F655&lt;0),AND(H655="Ausgabe",F655&gt;0)),"Vorzeichen prüfen",IF(AND(H655="Umbuchung",OR(K655="",COUNTIFS($A$7:$A$1506,K655)&lt;&gt;1)),"Gegenbuchung fehlt",IF(AND(H655="Umbuchung",ROUND(SUMIFS($F$7:$F$1506,$A$7:$A$1506,K655)+F655,2)&lt;&gt;0),"Umbuchung abweichend",IF(OR(G655="",M655="",M655="offen",M655="teilbelegt",H655="Ungeklärt",H655="Bargeld"),"Beleg / Verwendung klären","vollständig erfasst")))))))))</x:f>
      </x:c>
    </x:row>
    <x:row r="656" ht="22" customHeight="1">
      <x:c r="A656" s="7"/>
      <x:c r="B656" s="8"/>
      <x:c r="C656" s="7"/>
      <x:c r="D656" s="7"/>
      <x:c r="E656" s="7"/>
      <x:c r="F656" s="20"/>
      <x:c r="G656" s="7"/>
      <x:c r="H656" s="7"/>
      <x:c r="I656" s="7"/>
      <x:c r="J656" s="7"/>
      <x:c r="K656" s="7"/>
      <x:c r="L656" s="7"/>
      <x:c r="M656" s="7"/>
      <x:c r="N656" s="7"/>
      <x:c r="O656" s="2" t="str">
        <x:f>IF(A656="","",IF(COUNTIFS($A$7:$A$1506,A656)&gt;1,"Buchung-ID doppelt",IF(OR(NOT(ISNUMBER(B656)),C656="",NOT(ISNUMBER(F656)),H656="",L656=""),"Pflichtangaben fehlen",IF(COUNTIFS('Konten'!$A$7:$A$26,C656)&lt;&gt;1,"Konto nicht eindeutig",IF(J656&lt;&gt;"Ja","Zuordnung bestätigen",IF(OR(AND(H656="Einnahme",F656&lt;0),AND(H656="Ausgabe",F656&gt;0)),"Vorzeichen prüfen",IF(AND(H656="Umbuchung",OR(K656="",COUNTIFS($A$7:$A$1506,K656)&lt;&gt;1)),"Gegenbuchung fehlt",IF(AND(H656="Umbuchung",ROUND(SUMIFS($F$7:$F$1506,$A$7:$A$1506,K656)+F656,2)&lt;&gt;0),"Umbuchung abweichend",IF(OR(G656="",M656="",M656="offen",M656="teilbelegt",H656="Ungeklärt",H656="Bargeld"),"Beleg / Verwendung klären","vollständig erfasst")))))))))</x:f>
      </x:c>
    </x:row>
    <x:row r="657" ht="22" customHeight="1">
      <x:c r="A657" s="7"/>
      <x:c r="B657" s="8"/>
      <x:c r="C657" s="7"/>
      <x:c r="D657" s="7"/>
      <x:c r="E657" s="7"/>
      <x:c r="F657" s="20"/>
      <x:c r="G657" s="7"/>
      <x:c r="H657" s="7"/>
      <x:c r="I657" s="7"/>
      <x:c r="J657" s="7"/>
      <x:c r="K657" s="7"/>
      <x:c r="L657" s="7"/>
      <x:c r="M657" s="7"/>
      <x:c r="N657" s="7"/>
      <x:c r="O657" s="2" t="str">
        <x:f>IF(A657="","",IF(COUNTIFS($A$7:$A$1506,A657)&gt;1,"Buchung-ID doppelt",IF(OR(NOT(ISNUMBER(B657)),C657="",NOT(ISNUMBER(F657)),H657="",L657=""),"Pflichtangaben fehlen",IF(COUNTIFS('Konten'!$A$7:$A$26,C657)&lt;&gt;1,"Konto nicht eindeutig",IF(J657&lt;&gt;"Ja","Zuordnung bestätigen",IF(OR(AND(H657="Einnahme",F657&lt;0),AND(H657="Ausgabe",F657&gt;0)),"Vorzeichen prüfen",IF(AND(H657="Umbuchung",OR(K657="",COUNTIFS($A$7:$A$1506,K657)&lt;&gt;1)),"Gegenbuchung fehlt",IF(AND(H657="Umbuchung",ROUND(SUMIFS($F$7:$F$1506,$A$7:$A$1506,K657)+F657,2)&lt;&gt;0),"Umbuchung abweichend",IF(OR(G657="",M657="",M657="offen",M657="teilbelegt",H657="Ungeklärt",H657="Bargeld"),"Beleg / Verwendung klären","vollständig erfasst")))))))))</x:f>
      </x:c>
    </x:row>
    <x:row r="658" ht="22" customHeight="1">
      <x:c r="A658" s="7"/>
      <x:c r="B658" s="8"/>
      <x:c r="C658" s="7"/>
      <x:c r="D658" s="7"/>
      <x:c r="E658" s="7"/>
      <x:c r="F658" s="20"/>
      <x:c r="G658" s="7"/>
      <x:c r="H658" s="7"/>
      <x:c r="I658" s="7"/>
      <x:c r="J658" s="7"/>
      <x:c r="K658" s="7"/>
      <x:c r="L658" s="7"/>
      <x:c r="M658" s="7"/>
      <x:c r="N658" s="7"/>
      <x:c r="O658" s="2" t="str">
        <x:f>IF(A658="","",IF(COUNTIFS($A$7:$A$1506,A658)&gt;1,"Buchung-ID doppelt",IF(OR(NOT(ISNUMBER(B658)),C658="",NOT(ISNUMBER(F658)),H658="",L658=""),"Pflichtangaben fehlen",IF(COUNTIFS('Konten'!$A$7:$A$26,C658)&lt;&gt;1,"Konto nicht eindeutig",IF(J658&lt;&gt;"Ja","Zuordnung bestätigen",IF(OR(AND(H658="Einnahme",F658&lt;0),AND(H658="Ausgabe",F658&gt;0)),"Vorzeichen prüfen",IF(AND(H658="Umbuchung",OR(K658="",COUNTIFS($A$7:$A$1506,K658)&lt;&gt;1)),"Gegenbuchung fehlt",IF(AND(H658="Umbuchung",ROUND(SUMIFS($F$7:$F$1506,$A$7:$A$1506,K658)+F658,2)&lt;&gt;0),"Umbuchung abweichend",IF(OR(G658="",M658="",M658="offen",M658="teilbelegt",H658="Ungeklärt",H658="Bargeld"),"Beleg / Verwendung klären","vollständig erfasst")))))))))</x:f>
      </x:c>
    </x:row>
    <x:row r="659" ht="22" customHeight="1">
      <x:c r="A659" s="7"/>
      <x:c r="B659" s="8"/>
      <x:c r="C659" s="7"/>
      <x:c r="D659" s="7"/>
      <x:c r="E659" s="7"/>
      <x:c r="F659" s="20"/>
      <x:c r="G659" s="7"/>
      <x:c r="H659" s="7"/>
      <x:c r="I659" s="7"/>
      <x:c r="J659" s="7"/>
      <x:c r="K659" s="7"/>
      <x:c r="L659" s="7"/>
      <x:c r="M659" s="7"/>
      <x:c r="N659" s="7"/>
      <x:c r="O659" s="2" t="str">
        <x:f>IF(A659="","",IF(COUNTIFS($A$7:$A$1506,A659)&gt;1,"Buchung-ID doppelt",IF(OR(NOT(ISNUMBER(B659)),C659="",NOT(ISNUMBER(F659)),H659="",L659=""),"Pflichtangaben fehlen",IF(COUNTIFS('Konten'!$A$7:$A$26,C659)&lt;&gt;1,"Konto nicht eindeutig",IF(J659&lt;&gt;"Ja","Zuordnung bestätigen",IF(OR(AND(H659="Einnahme",F659&lt;0),AND(H659="Ausgabe",F659&gt;0)),"Vorzeichen prüfen",IF(AND(H659="Umbuchung",OR(K659="",COUNTIFS($A$7:$A$1506,K659)&lt;&gt;1)),"Gegenbuchung fehlt",IF(AND(H659="Umbuchung",ROUND(SUMIFS($F$7:$F$1506,$A$7:$A$1506,K659)+F659,2)&lt;&gt;0),"Umbuchung abweichend",IF(OR(G659="",M659="",M659="offen",M659="teilbelegt",H659="Ungeklärt",H659="Bargeld"),"Beleg / Verwendung klären","vollständig erfasst")))))))))</x:f>
      </x:c>
    </x:row>
    <x:row r="660" ht="22" customHeight="1">
      <x:c r="A660" s="7"/>
      <x:c r="B660" s="8"/>
      <x:c r="C660" s="7"/>
      <x:c r="D660" s="7"/>
      <x:c r="E660" s="7"/>
      <x:c r="F660" s="20"/>
      <x:c r="G660" s="7"/>
      <x:c r="H660" s="7"/>
      <x:c r="I660" s="7"/>
      <x:c r="J660" s="7"/>
      <x:c r="K660" s="7"/>
      <x:c r="L660" s="7"/>
      <x:c r="M660" s="7"/>
      <x:c r="N660" s="7"/>
      <x:c r="O660" s="2" t="str">
        <x:f>IF(A660="","",IF(COUNTIFS($A$7:$A$1506,A660)&gt;1,"Buchung-ID doppelt",IF(OR(NOT(ISNUMBER(B660)),C660="",NOT(ISNUMBER(F660)),H660="",L660=""),"Pflichtangaben fehlen",IF(COUNTIFS('Konten'!$A$7:$A$26,C660)&lt;&gt;1,"Konto nicht eindeutig",IF(J660&lt;&gt;"Ja","Zuordnung bestätigen",IF(OR(AND(H660="Einnahme",F660&lt;0),AND(H660="Ausgabe",F660&gt;0)),"Vorzeichen prüfen",IF(AND(H660="Umbuchung",OR(K660="",COUNTIFS($A$7:$A$1506,K660)&lt;&gt;1)),"Gegenbuchung fehlt",IF(AND(H660="Umbuchung",ROUND(SUMIFS($F$7:$F$1506,$A$7:$A$1506,K660)+F660,2)&lt;&gt;0),"Umbuchung abweichend",IF(OR(G660="",M660="",M660="offen",M660="teilbelegt",H660="Ungeklärt",H660="Bargeld"),"Beleg / Verwendung klären","vollständig erfasst")))))))))</x:f>
      </x:c>
    </x:row>
    <x:row r="661" ht="22" customHeight="1">
      <x:c r="A661" s="7"/>
      <x:c r="B661" s="8"/>
      <x:c r="C661" s="7"/>
      <x:c r="D661" s="7"/>
      <x:c r="E661" s="7"/>
      <x:c r="F661" s="20"/>
      <x:c r="G661" s="7"/>
      <x:c r="H661" s="7"/>
      <x:c r="I661" s="7"/>
      <x:c r="J661" s="7"/>
      <x:c r="K661" s="7"/>
      <x:c r="L661" s="7"/>
      <x:c r="M661" s="7"/>
      <x:c r="N661" s="7"/>
      <x:c r="O661" s="2" t="str">
        <x:f>IF(A661="","",IF(COUNTIFS($A$7:$A$1506,A661)&gt;1,"Buchung-ID doppelt",IF(OR(NOT(ISNUMBER(B661)),C661="",NOT(ISNUMBER(F661)),H661="",L661=""),"Pflichtangaben fehlen",IF(COUNTIFS('Konten'!$A$7:$A$26,C661)&lt;&gt;1,"Konto nicht eindeutig",IF(J661&lt;&gt;"Ja","Zuordnung bestätigen",IF(OR(AND(H661="Einnahme",F661&lt;0),AND(H661="Ausgabe",F661&gt;0)),"Vorzeichen prüfen",IF(AND(H661="Umbuchung",OR(K661="",COUNTIFS($A$7:$A$1506,K661)&lt;&gt;1)),"Gegenbuchung fehlt",IF(AND(H661="Umbuchung",ROUND(SUMIFS($F$7:$F$1506,$A$7:$A$1506,K661)+F661,2)&lt;&gt;0),"Umbuchung abweichend",IF(OR(G661="",M661="",M661="offen",M661="teilbelegt",H661="Ungeklärt",H661="Bargeld"),"Beleg / Verwendung klären","vollständig erfasst")))))))))</x:f>
      </x:c>
    </x:row>
    <x:row r="662" ht="22" customHeight="1">
      <x:c r="A662" s="7"/>
      <x:c r="B662" s="8"/>
      <x:c r="C662" s="7"/>
      <x:c r="D662" s="7"/>
      <x:c r="E662" s="7"/>
      <x:c r="F662" s="20"/>
      <x:c r="G662" s="7"/>
      <x:c r="H662" s="7"/>
      <x:c r="I662" s="7"/>
      <x:c r="J662" s="7"/>
      <x:c r="K662" s="7"/>
      <x:c r="L662" s="7"/>
      <x:c r="M662" s="7"/>
      <x:c r="N662" s="7"/>
      <x:c r="O662" s="2" t="str">
        <x:f>IF(A662="","",IF(COUNTIFS($A$7:$A$1506,A662)&gt;1,"Buchung-ID doppelt",IF(OR(NOT(ISNUMBER(B662)),C662="",NOT(ISNUMBER(F662)),H662="",L662=""),"Pflichtangaben fehlen",IF(COUNTIFS('Konten'!$A$7:$A$26,C662)&lt;&gt;1,"Konto nicht eindeutig",IF(J662&lt;&gt;"Ja","Zuordnung bestätigen",IF(OR(AND(H662="Einnahme",F662&lt;0),AND(H662="Ausgabe",F662&gt;0)),"Vorzeichen prüfen",IF(AND(H662="Umbuchung",OR(K662="",COUNTIFS($A$7:$A$1506,K662)&lt;&gt;1)),"Gegenbuchung fehlt",IF(AND(H662="Umbuchung",ROUND(SUMIFS($F$7:$F$1506,$A$7:$A$1506,K662)+F662,2)&lt;&gt;0),"Umbuchung abweichend",IF(OR(G662="",M662="",M662="offen",M662="teilbelegt",H662="Ungeklärt",H662="Bargeld"),"Beleg / Verwendung klären","vollständig erfasst")))))))))</x:f>
      </x:c>
    </x:row>
    <x:row r="663" ht="22" customHeight="1">
      <x:c r="A663" s="7"/>
      <x:c r="B663" s="8"/>
      <x:c r="C663" s="7"/>
      <x:c r="D663" s="7"/>
      <x:c r="E663" s="7"/>
      <x:c r="F663" s="20"/>
      <x:c r="G663" s="7"/>
      <x:c r="H663" s="7"/>
      <x:c r="I663" s="7"/>
      <x:c r="J663" s="7"/>
      <x:c r="K663" s="7"/>
      <x:c r="L663" s="7"/>
      <x:c r="M663" s="7"/>
      <x:c r="N663" s="7"/>
      <x:c r="O663" s="2" t="str">
        <x:f>IF(A663="","",IF(COUNTIFS($A$7:$A$1506,A663)&gt;1,"Buchung-ID doppelt",IF(OR(NOT(ISNUMBER(B663)),C663="",NOT(ISNUMBER(F663)),H663="",L663=""),"Pflichtangaben fehlen",IF(COUNTIFS('Konten'!$A$7:$A$26,C663)&lt;&gt;1,"Konto nicht eindeutig",IF(J663&lt;&gt;"Ja","Zuordnung bestätigen",IF(OR(AND(H663="Einnahme",F663&lt;0),AND(H663="Ausgabe",F663&gt;0)),"Vorzeichen prüfen",IF(AND(H663="Umbuchung",OR(K663="",COUNTIFS($A$7:$A$1506,K663)&lt;&gt;1)),"Gegenbuchung fehlt",IF(AND(H663="Umbuchung",ROUND(SUMIFS($F$7:$F$1506,$A$7:$A$1506,K663)+F663,2)&lt;&gt;0),"Umbuchung abweichend",IF(OR(G663="",M663="",M663="offen",M663="teilbelegt",H663="Ungeklärt",H663="Bargeld"),"Beleg / Verwendung klären","vollständig erfasst")))))))))</x:f>
      </x:c>
    </x:row>
    <x:row r="664" ht="22" customHeight="1">
      <x:c r="A664" s="7"/>
      <x:c r="B664" s="8"/>
      <x:c r="C664" s="7"/>
      <x:c r="D664" s="7"/>
      <x:c r="E664" s="7"/>
      <x:c r="F664" s="20"/>
      <x:c r="G664" s="7"/>
      <x:c r="H664" s="7"/>
      <x:c r="I664" s="7"/>
      <x:c r="J664" s="7"/>
      <x:c r="K664" s="7"/>
      <x:c r="L664" s="7"/>
      <x:c r="M664" s="7"/>
      <x:c r="N664" s="7"/>
      <x:c r="O664" s="2" t="str">
        <x:f>IF(A664="","",IF(COUNTIFS($A$7:$A$1506,A664)&gt;1,"Buchung-ID doppelt",IF(OR(NOT(ISNUMBER(B664)),C664="",NOT(ISNUMBER(F664)),H664="",L664=""),"Pflichtangaben fehlen",IF(COUNTIFS('Konten'!$A$7:$A$26,C664)&lt;&gt;1,"Konto nicht eindeutig",IF(J664&lt;&gt;"Ja","Zuordnung bestätigen",IF(OR(AND(H664="Einnahme",F664&lt;0),AND(H664="Ausgabe",F664&gt;0)),"Vorzeichen prüfen",IF(AND(H664="Umbuchung",OR(K664="",COUNTIFS($A$7:$A$1506,K664)&lt;&gt;1)),"Gegenbuchung fehlt",IF(AND(H664="Umbuchung",ROUND(SUMIFS($F$7:$F$1506,$A$7:$A$1506,K664)+F664,2)&lt;&gt;0),"Umbuchung abweichend",IF(OR(G664="",M664="",M664="offen",M664="teilbelegt",H664="Ungeklärt",H664="Bargeld"),"Beleg / Verwendung klären","vollständig erfasst")))))))))</x:f>
      </x:c>
    </x:row>
    <x:row r="665" ht="22" customHeight="1">
      <x:c r="A665" s="7"/>
      <x:c r="B665" s="8"/>
      <x:c r="C665" s="7"/>
      <x:c r="D665" s="7"/>
      <x:c r="E665" s="7"/>
      <x:c r="F665" s="20"/>
      <x:c r="G665" s="7"/>
      <x:c r="H665" s="7"/>
      <x:c r="I665" s="7"/>
      <x:c r="J665" s="7"/>
      <x:c r="K665" s="7"/>
      <x:c r="L665" s="7"/>
      <x:c r="M665" s="7"/>
      <x:c r="N665" s="7"/>
      <x:c r="O665" s="2" t="str">
        <x:f>IF(A665="","",IF(COUNTIFS($A$7:$A$1506,A665)&gt;1,"Buchung-ID doppelt",IF(OR(NOT(ISNUMBER(B665)),C665="",NOT(ISNUMBER(F665)),H665="",L665=""),"Pflichtangaben fehlen",IF(COUNTIFS('Konten'!$A$7:$A$26,C665)&lt;&gt;1,"Konto nicht eindeutig",IF(J665&lt;&gt;"Ja","Zuordnung bestätigen",IF(OR(AND(H665="Einnahme",F665&lt;0),AND(H665="Ausgabe",F665&gt;0)),"Vorzeichen prüfen",IF(AND(H665="Umbuchung",OR(K665="",COUNTIFS($A$7:$A$1506,K665)&lt;&gt;1)),"Gegenbuchung fehlt",IF(AND(H665="Umbuchung",ROUND(SUMIFS($F$7:$F$1506,$A$7:$A$1506,K665)+F665,2)&lt;&gt;0),"Umbuchung abweichend",IF(OR(G665="",M665="",M665="offen",M665="teilbelegt",H665="Ungeklärt",H665="Bargeld"),"Beleg / Verwendung klären","vollständig erfasst")))))))))</x:f>
      </x:c>
    </x:row>
    <x:row r="666" ht="22" customHeight="1">
      <x:c r="A666" s="7"/>
      <x:c r="B666" s="8"/>
      <x:c r="C666" s="7"/>
      <x:c r="D666" s="7"/>
      <x:c r="E666" s="7"/>
      <x:c r="F666" s="20"/>
      <x:c r="G666" s="7"/>
      <x:c r="H666" s="7"/>
      <x:c r="I666" s="7"/>
      <x:c r="J666" s="7"/>
      <x:c r="K666" s="7"/>
      <x:c r="L666" s="7"/>
      <x:c r="M666" s="7"/>
      <x:c r="N666" s="7"/>
      <x:c r="O666" s="2" t="str">
        <x:f>IF(A666="","",IF(COUNTIFS($A$7:$A$1506,A666)&gt;1,"Buchung-ID doppelt",IF(OR(NOT(ISNUMBER(B666)),C666="",NOT(ISNUMBER(F666)),H666="",L666=""),"Pflichtangaben fehlen",IF(COUNTIFS('Konten'!$A$7:$A$26,C666)&lt;&gt;1,"Konto nicht eindeutig",IF(J666&lt;&gt;"Ja","Zuordnung bestätigen",IF(OR(AND(H666="Einnahme",F666&lt;0),AND(H666="Ausgabe",F666&gt;0)),"Vorzeichen prüfen",IF(AND(H666="Umbuchung",OR(K666="",COUNTIFS($A$7:$A$1506,K666)&lt;&gt;1)),"Gegenbuchung fehlt",IF(AND(H666="Umbuchung",ROUND(SUMIFS($F$7:$F$1506,$A$7:$A$1506,K666)+F666,2)&lt;&gt;0),"Umbuchung abweichend",IF(OR(G666="",M666="",M666="offen",M666="teilbelegt",H666="Ungeklärt",H666="Bargeld"),"Beleg / Verwendung klären","vollständig erfasst")))))))))</x:f>
      </x:c>
    </x:row>
    <x:row r="667" ht="22" customHeight="1">
      <x:c r="A667" s="7"/>
      <x:c r="B667" s="8"/>
      <x:c r="C667" s="7"/>
      <x:c r="D667" s="7"/>
      <x:c r="E667" s="7"/>
      <x:c r="F667" s="20"/>
      <x:c r="G667" s="7"/>
      <x:c r="H667" s="7"/>
      <x:c r="I667" s="7"/>
      <x:c r="J667" s="7"/>
      <x:c r="K667" s="7"/>
      <x:c r="L667" s="7"/>
      <x:c r="M667" s="7"/>
      <x:c r="N667" s="7"/>
      <x:c r="O667" s="2" t="str">
        <x:f>IF(A667="","",IF(COUNTIFS($A$7:$A$1506,A667)&gt;1,"Buchung-ID doppelt",IF(OR(NOT(ISNUMBER(B667)),C667="",NOT(ISNUMBER(F667)),H667="",L667=""),"Pflichtangaben fehlen",IF(COUNTIFS('Konten'!$A$7:$A$26,C667)&lt;&gt;1,"Konto nicht eindeutig",IF(J667&lt;&gt;"Ja","Zuordnung bestätigen",IF(OR(AND(H667="Einnahme",F667&lt;0),AND(H667="Ausgabe",F667&gt;0)),"Vorzeichen prüfen",IF(AND(H667="Umbuchung",OR(K667="",COUNTIFS($A$7:$A$1506,K667)&lt;&gt;1)),"Gegenbuchung fehlt",IF(AND(H667="Umbuchung",ROUND(SUMIFS($F$7:$F$1506,$A$7:$A$1506,K667)+F667,2)&lt;&gt;0),"Umbuchung abweichend",IF(OR(G667="",M667="",M667="offen",M667="teilbelegt",H667="Ungeklärt",H667="Bargeld"),"Beleg / Verwendung klären","vollständig erfasst")))))))))</x:f>
      </x:c>
    </x:row>
    <x:row r="668" ht="22" customHeight="1">
      <x:c r="A668" s="7"/>
      <x:c r="B668" s="8"/>
      <x:c r="C668" s="7"/>
      <x:c r="D668" s="7"/>
      <x:c r="E668" s="7"/>
      <x:c r="F668" s="20"/>
      <x:c r="G668" s="7"/>
      <x:c r="H668" s="7"/>
      <x:c r="I668" s="7"/>
      <x:c r="J668" s="7"/>
      <x:c r="K668" s="7"/>
      <x:c r="L668" s="7"/>
      <x:c r="M668" s="7"/>
      <x:c r="N668" s="7"/>
      <x:c r="O668" s="2" t="str">
        <x:f>IF(A668="","",IF(COUNTIFS($A$7:$A$1506,A668)&gt;1,"Buchung-ID doppelt",IF(OR(NOT(ISNUMBER(B668)),C668="",NOT(ISNUMBER(F668)),H668="",L668=""),"Pflichtangaben fehlen",IF(COUNTIFS('Konten'!$A$7:$A$26,C668)&lt;&gt;1,"Konto nicht eindeutig",IF(J668&lt;&gt;"Ja","Zuordnung bestätigen",IF(OR(AND(H668="Einnahme",F668&lt;0),AND(H668="Ausgabe",F668&gt;0)),"Vorzeichen prüfen",IF(AND(H668="Umbuchung",OR(K668="",COUNTIFS($A$7:$A$1506,K668)&lt;&gt;1)),"Gegenbuchung fehlt",IF(AND(H668="Umbuchung",ROUND(SUMIFS($F$7:$F$1506,$A$7:$A$1506,K668)+F668,2)&lt;&gt;0),"Umbuchung abweichend",IF(OR(G668="",M668="",M668="offen",M668="teilbelegt",H668="Ungeklärt",H668="Bargeld"),"Beleg / Verwendung klären","vollständig erfasst")))))))))</x:f>
      </x:c>
    </x:row>
    <x:row r="669" ht="22" customHeight="1">
      <x:c r="A669" s="7"/>
      <x:c r="B669" s="8"/>
      <x:c r="C669" s="7"/>
      <x:c r="D669" s="7"/>
      <x:c r="E669" s="7"/>
      <x:c r="F669" s="20"/>
      <x:c r="G669" s="7"/>
      <x:c r="H669" s="7"/>
      <x:c r="I669" s="7"/>
      <x:c r="J669" s="7"/>
      <x:c r="K669" s="7"/>
      <x:c r="L669" s="7"/>
      <x:c r="M669" s="7"/>
      <x:c r="N669" s="7"/>
      <x:c r="O669" s="2" t="str">
        <x:f>IF(A669="","",IF(COUNTIFS($A$7:$A$1506,A669)&gt;1,"Buchung-ID doppelt",IF(OR(NOT(ISNUMBER(B669)),C669="",NOT(ISNUMBER(F669)),H669="",L669=""),"Pflichtangaben fehlen",IF(COUNTIFS('Konten'!$A$7:$A$26,C669)&lt;&gt;1,"Konto nicht eindeutig",IF(J669&lt;&gt;"Ja","Zuordnung bestätigen",IF(OR(AND(H669="Einnahme",F669&lt;0),AND(H669="Ausgabe",F669&gt;0)),"Vorzeichen prüfen",IF(AND(H669="Umbuchung",OR(K669="",COUNTIFS($A$7:$A$1506,K669)&lt;&gt;1)),"Gegenbuchung fehlt",IF(AND(H669="Umbuchung",ROUND(SUMIFS($F$7:$F$1506,$A$7:$A$1506,K669)+F669,2)&lt;&gt;0),"Umbuchung abweichend",IF(OR(G669="",M669="",M669="offen",M669="teilbelegt",H669="Ungeklärt",H669="Bargeld"),"Beleg / Verwendung klären","vollständig erfasst")))))))))</x:f>
      </x:c>
    </x:row>
    <x:row r="670" ht="22" customHeight="1">
      <x:c r="A670" s="7"/>
      <x:c r="B670" s="8"/>
      <x:c r="C670" s="7"/>
      <x:c r="D670" s="7"/>
      <x:c r="E670" s="7"/>
      <x:c r="F670" s="20"/>
      <x:c r="G670" s="7"/>
      <x:c r="H670" s="7"/>
      <x:c r="I670" s="7"/>
      <x:c r="J670" s="7"/>
      <x:c r="K670" s="7"/>
      <x:c r="L670" s="7"/>
      <x:c r="M670" s="7"/>
      <x:c r="N670" s="7"/>
      <x:c r="O670" s="2" t="str">
        <x:f>IF(A670="","",IF(COUNTIFS($A$7:$A$1506,A670)&gt;1,"Buchung-ID doppelt",IF(OR(NOT(ISNUMBER(B670)),C670="",NOT(ISNUMBER(F670)),H670="",L670=""),"Pflichtangaben fehlen",IF(COUNTIFS('Konten'!$A$7:$A$26,C670)&lt;&gt;1,"Konto nicht eindeutig",IF(J670&lt;&gt;"Ja","Zuordnung bestätigen",IF(OR(AND(H670="Einnahme",F670&lt;0),AND(H670="Ausgabe",F670&gt;0)),"Vorzeichen prüfen",IF(AND(H670="Umbuchung",OR(K670="",COUNTIFS($A$7:$A$1506,K670)&lt;&gt;1)),"Gegenbuchung fehlt",IF(AND(H670="Umbuchung",ROUND(SUMIFS($F$7:$F$1506,$A$7:$A$1506,K670)+F670,2)&lt;&gt;0),"Umbuchung abweichend",IF(OR(G670="",M670="",M670="offen",M670="teilbelegt",H670="Ungeklärt",H670="Bargeld"),"Beleg / Verwendung klären","vollständig erfasst")))))))))</x:f>
      </x:c>
    </x:row>
    <x:row r="671" ht="22" customHeight="1">
      <x:c r="A671" s="7"/>
      <x:c r="B671" s="8"/>
      <x:c r="C671" s="7"/>
      <x:c r="D671" s="7"/>
      <x:c r="E671" s="7"/>
      <x:c r="F671" s="20"/>
      <x:c r="G671" s="7"/>
      <x:c r="H671" s="7"/>
      <x:c r="I671" s="7"/>
      <x:c r="J671" s="7"/>
      <x:c r="K671" s="7"/>
      <x:c r="L671" s="7"/>
      <x:c r="M671" s="7"/>
      <x:c r="N671" s="7"/>
      <x:c r="O671" s="2" t="str">
        <x:f>IF(A671="","",IF(COUNTIFS($A$7:$A$1506,A671)&gt;1,"Buchung-ID doppelt",IF(OR(NOT(ISNUMBER(B671)),C671="",NOT(ISNUMBER(F671)),H671="",L671=""),"Pflichtangaben fehlen",IF(COUNTIFS('Konten'!$A$7:$A$26,C671)&lt;&gt;1,"Konto nicht eindeutig",IF(J671&lt;&gt;"Ja","Zuordnung bestätigen",IF(OR(AND(H671="Einnahme",F671&lt;0),AND(H671="Ausgabe",F671&gt;0)),"Vorzeichen prüfen",IF(AND(H671="Umbuchung",OR(K671="",COUNTIFS($A$7:$A$1506,K671)&lt;&gt;1)),"Gegenbuchung fehlt",IF(AND(H671="Umbuchung",ROUND(SUMIFS($F$7:$F$1506,$A$7:$A$1506,K671)+F671,2)&lt;&gt;0),"Umbuchung abweichend",IF(OR(G671="",M671="",M671="offen",M671="teilbelegt",H671="Ungeklärt",H671="Bargeld"),"Beleg / Verwendung klären","vollständig erfasst")))))))))</x:f>
      </x:c>
    </x:row>
    <x:row r="672" ht="22" customHeight="1">
      <x:c r="A672" s="7"/>
      <x:c r="B672" s="8"/>
      <x:c r="C672" s="7"/>
      <x:c r="D672" s="7"/>
      <x:c r="E672" s="7"/>
      <x:c r="F672" s="20"/>
      <x:c r="G672" s="7"/>
      <x:c r="H672" s="7"/>
      <x:c r="I672" s="7"/>
      <x:c r="J672" s="7"/>
      <x:c r="K672" s="7"/>
      <x:c r="L672" s="7"/>
      <x:c r="M672" s="7"/>
      <x:c r="N672" s="7"/>
      <x:c r="O672" s="2" t="str">
        <x:f>IF(A672="","",IF(COUNTIFS($A$7:$A$1506,A672)&gt;1,"Buchung-ID doppelt",IF(OR(NOT(ISNUMBER(B672)),C672="",NOT(ISNUMBER(F672)),H672="",L672=""),"Pflichtangaben fehlen",IF(COUNTIFS('Konten'!$A$7:$A$26,C672)&lt;&gt;1,"Konto nicht eindeutig",IF(J672&lt;&gt;"Ja","Zuordnung bestätigen",IF(OR(AND(H672="Einnahme",F672&lt;0),AND(H672="Ausgabe",F672&gt;0)),"Vorzeichen prüfen",IF(AND(H672="Umbuchung",OR(K672="",COUNTIFS($A$7:$A$1506,K672)&lt;&gt;1)),"Gegenbuchung fehlt",IF(AND(H672="Umbuchung",ROUND(SUMIFS($F$7:$F$1506,$A$7:$A$1506,K672)+F672,2)&lt;&gt;0),"Umbuchung abweichend",IF(OR(G672="",M672="",M672="offen",M672="teilbelegt",H672="Ungeklärt",H672="Bargeld"),"Beleg / Verwendung klären","vollständig erfasst")))))))))</x:f>
      </x:c>
    </x:row>
    <x:row r="673" ht="22" customHeight="1">
      <x:c r="A673" s="7"/>
      <x:c r="B673" s="8"/>
      <x:c r="C673" s="7"/>
      <x:c r="D673" s="7"/>
      <x:c r="E673" s="7"/>
      <x:c r="F673" s="20"/>
      <x:c r="G673" s="7"/>
      <x:c r="H673" s="7"/>
      <x:c r="I673" s="7"/>
      <x:c r="J673" s="7"/>
      <x:c r="K673" s="7"/>
      <x:c r="L673" s="7"/>
      <x:c r="M673" s="7"/>
      <x:c r="N673" s="7"/>
      <x:c r="O673" s="2" t="str">
        <x:f>IF(A673="","",IF(COUNTIFS($A$7:$A$1506,A673)&gt;1,"Buchung-ID doppelt",IF(OR(NOT(ISNUMBER(B673)),C673="",NOT(ISNUMBER(F673)),H673="",L673=""),"Pflichtangaben fehlen",IF(COUNTIFS('Konten'!$A$7:$A$26,C673)&lt;&gt;1,"Konto nicht eindeutig",IF(J673&lt;&gt;"Ja","Zuordnung bestätigen",IF(OR(AND(H673="Einnahme",F673&lt;0),AND(H673="Ausgabe",F673&gt;0)),"Vorzeichen prüfen",IF(AND(H673="Umbuchung",OR(K673="",COUNTIFS($A$7:$A$1506,K673)&lt;&gt;1)),"Gegenbuchung fehlt",IF(AND(H673="Umbuchung",ROUND(SUMIFS($F$7:$F$1506,$A$7:$A$1506,K673)+F673,2)&lt;&gt;0),"Umbuchung abweichend",IF(OR(G673="",M673="",M673="offen",M673="teilbelegt",H673="Ungeklärt",H673="Bargeld"),"Beleg / Verwendung klären","vollständig erfasst")))))))))</x:f>
      </x:c>
    </x:row>
    <x:row r="674" ht="22" customHeight="1">
      <x:c r="A674" s="7"/>
      <x:c r="B674" s="8"/>
      <x:c r="C674" s="7"/>
      <x:c r="D674" s="7"/>
      <x:c r="E674" s="7"/>
      <x:c r="F674" s="20"/>
      <x:c r="G674" s="7"/>
      <x:c r="H674" s="7"/>
      <x:c r="I674" s="7"/>
      <x:c r="J674" s="7"/>
      <x:c r="K674" s="7"/>
      <x:c r="L674" s="7"/>
      <x:c r="M674" s="7"/>
      <x:c r="N674" s="7"/>
      <x:c r="O674" s="2" t="str">
        <x:f>IF(A674="","",IF(COUNTIFS($A$7:$A$1506,A674)&gt;1,"Buchung-ID doppelt",IF(OR(NOT(ISNUMBER(B674)),C674="",NOT(ISNUMBER(F674)),H674="",L674=""),"Pflichtangaben fehlen",IF(COUNTIFS('Konten'!$A$7:$A$26,C674)&lt;&gt;1,"Konto nicht eindeutig",IF(J674&lt;&gt;"Ja","Zuordnung bestätigen",IF(OR(AND(H674="Einnahme",F674&lt;0),AND(H674="Ausgabe",F674&gt;0)),"Vorzeichen prüfen",IF(AND(H674="Umbuchung",OR(K674="",COUNTIFS($A$7:$A$1506,K674)&lt;&gt;1)),"Gegenbuchung fehlt",IF(AND(H674="Umbuchung",ROUND(SUMIFS($F$7:$F$1506,$A$7:$A$1506,K674)+F674,2)&lt;&gt;0),"Umbuchung abweichend",IF(OR(G674="",M674="",M674="offen",M674="teilbelegt",H674="Ungeklärt",H674="Bargeld"),"Beleg / Verwendung klären","vollständig erfasst")))))))))</x:f>
      </x:c>
    </x:row>
    <x:row r="675" ht="22" customHeight="1">
      <x:c r="A675" s="7"/>
      <x:c r="B675" s="8"/>
      <x:c r="C675" s="7"/>
      <x:c r="D675" s="7"/>
      <x:c r="E675" s="7"/>
      <x:c r="F675" s="20"/>
      <x:c r="G675" s="7"/>
      <x:c r="H675" s="7"/>
      <x:c r="I675" s="7"/>
      <x:c r="J675" s="7"/>
      <x:c r="K675" s="7"/>
      <x:c r="L675" s="7"/>
      <x:c r="M675" s="7"/>
      <x:c r="N675" s="7"/>
      <x:c r="O675" s="2" t="str">
        <x:f>IF(A675="","",IF(COUNTIFS($A$7:$A$1506,A675)&gt;1,"Buchung-ID doppelt",IF(OR(NOT(ISNUMBER(B675)),C675="",NOT(ISNUMBER(F675)),H675="",L675=""),"Pflichtangaben fehlen",IF(COUNTIFS('Konten'!$A$7:$A$26,C675)&lt;&gt;1,"Konto nicht eindeutig",IF(J675&lt;&gt;"Ja","Zuordnung bestätigen",IF(OR(AND(H675="Einnahme",F675&lt;0),AND(H675="Ausgabe",F675&gt;0)),"Vorzeichen prüfen",IF(AND(H675="Umbuchung",OR(K675="",COUNTIFS($A$7:$A$1506,K675)&lt;&gt;1)),"Gegenbuchung fehlt",IF(AND(H675="Umbuchung",ROUND(SUMIFS($F$7:$F$1506,$A$7:$A$1506,K675)+F675,2)&lt;&gt;0),"Umbuchung abweichend",IF(OR(G675="",M675="",M675="offen",M675="teilbelegt",H675="Ungeklärt",H675="Bargeld"),"Beleg / Verwendung klären","vollständig erfasst")))))))))</x:f>
      </x:c>
    </x:row>
    <x:row r="676" ht="22" customHeight="1">
      <x:c r="A676" s="7"/>
      <x:c r="B676" s="8"/>
      <x:c r="C676" s="7"/>
      <x:c r="D676" s="7"/>
      <x:c r="E676" s="7"/>
      <x:c r="F676" s="20"/>
      <x:c r="G676" s="7"/>
      <x:c r="H676" s="7"/>
      <x:c r="I676" s="7"/>
      <x:c r="J676" s="7"/>
      <x:c r="K676" s="7"/>
      <x:c r="L676" s="7"/>
      <x:c r="M676" s="7"/>
      <x:c r="N676" s="7"/>
      <x:c r="O676" s="2" t="str">
        <x:f>IF(A676="","",IF(COUNTIFS($A$7:$A$1506,A676)&gt;1,"Buchung-ID doppelt",IF(OR(NOT(ISNUMBER(B676)),C676="",NOT(ISNUMBER(F676)),H676="",L676=""),"Pflichtangaben fehlen",IF(COUNTIFS('Konten'!$A$7:$A$26,C676)&lt;&gt;1,"Konto nicht eindeutig",IF(J676&lt;&gt;"Ja","Zuordnung bestätigen",IF(OR(AND(H676="Einnahme",F676&lt;0),AND(H676="Ausgabe",F676&gt;0)),"Vorzeichen prüfen",IF(AND(H676="Umbuchung",OR(K676="",COUNTIFS($A$7:$A$1506,K676)&lt;&gt;1)),"Gegenbuchung fehlt",IF(AND(H676="Umbuchung",ROUND(SUMIFS($F$7:$F$1506,$A$7:$A$1506,K676)+F676,2)&lt;&gt;0),"Umbuchung abweichend",IF(OR(G676="",M676="",M676="offen",M676="teilbelegt",H676="Ungeklärt",H676="Bargeld"),"Beleg / Verwendung klären","vollständig erfasst")))))))))</x:f>
      </x:c>
    </x:row>
    <x:row r="677" ht="22" customHeight="1">
      <x:c r="A677" s="7"/>
      <x:c r="B677" s="8"/>
      <x:c r="C677" s="7"/>
      <x:c r="D677" s="7"/>
      <x:c r="E677" s="7"/>
      <x:c r="F677" s="20"/>
      <x:c r="G677" s="7"/>
      <x:c r="H677" s="7"/>
      <x:c r="I677" s="7"/>
      <x:c r="J677" s="7"/>
      <x:c r="K677" s="7"/>
      <x:c r="L677" s="7"/>
      <x:c r="M677" s="7"/>
      <x:c r="N677" s="7"/>
      <x:c r="O677" s="2" t="str">
        <x:f>IF(A677="","",IF(COUNTIFS($A$7:$A$1506,A677)&gt;1,"Buchung-ID doppelt",IF(OR(NOT(ISNUMBER(B677)),C677="",NOT(ISNUMBER(F677)),H677="",L677=""),"Pflichtangaben fehlen",IF(COUNTIFS('Konten'!$A$7:$A$26,C677)&lt;&gt;1,"Konto nicht eindeutig",IF(J677&lt;&gt;"Ja","Zuordnung bestätigen",IF(OR(AND(H677="Einnahme",F677&lt;0),AND(H677="Ausgabe",F677&gt;0)),"Vorzeichen prüfen",IF(AND(H677="Umbuchung",OR(K677="",COUNTIFS($A$7:$A$1506,K677)&lt;&gt;1)),"Gegenbuchung fehlt",IF(AND(H677="Umbuchung",ROUND(SUMIFS($F$7:$F$1506,$A$7:$A$1506,K677)+F677,2)&lt;&gt;0),"Umbuchung abweichend",IF(OR(G677="",M677="",M677="offen",M677="teilbelegt",H677="Ungeklärt",H677="Bargeld"),"Beleg / Verwendung klären","vollständig erfasst")))))))))</x:f>
      </x:c>
    </x:row>
    <x:row r="678" ht="22" customHeight="1">
      <x:c r="A678" s="7"/>
      <x:c r="B678" s="8"/>
      <x:c r="C678" s="7"/>
      <x:c r="D678" s="7"/>
      <x:c r="E678" s="7"/>
      <x:c r="F678" s="20"/>
      <x:c r="G678" s="7"/>
      <x:c r="H678" s="7"/>
      <x:c r="I678" s="7"/>
      <x:c r="J678" s="7"/>
      <x:c r="K678" s="7"/>
      <x:c r="L678" s="7"/>
      <x:c r="M678" s="7"/>
      <x:c r="N678" s="7"/>
      <x:c r="O678" s="2" t="str">
        <x:f>IF(A678="","",IF(COUNTIFS($A$7:$A$1506,A678)&gt;1,"Buchung-ID doppelt",IF(OR(NOT(ISNUMBER(B678)),C678="",NOT(ISNUMBER(F678)),H678="",L678=""),"Pflichtangaben fehlen",IF(COUNTIFS('Konten'!$A$7:$A$26,C678)&lt;&gt;1,"Konto nicht eindeutig",IF(J678&lt;&gt;"Ja","Zuordnung bestätigen",IF(OR(AND(H678="Einnahme",F678&lt;0),AND(H678="Ausgabe",F678&gt;0)),"Vorzeichen prüfen",IF(AND(H678="Umbuchung",OR(K678="",COUNTIFS($A$7:$A$1506,K678)&lt;&gt;1)),"Gegenbuchung fehlt",IF(AND(H678="Umbuchung",ROUND(SUMIFS($F$7:$F$1506,$A$7:$A$1506,K678)+F678,2)&lt;&gt;0),"Umbuchung abweichend",IF(OR(G678="",M678="",M678="offen",M678="teilbelegt",H678="Ungeklärt",H678="Bargeld"),"Beleg / Verwendung klären","vollständig erfasst")))))))))</x:f>
      </x:c>
    </x:row>
    <x:row r="679" ht="22" customHeight="1">
      <x:c r="A679" s="7"/>
      <x:c r="B679" s="8"/>
      <x:c r="C679" s="7"/>
      <x:c r="D679" s="7"/>
      <x:c r="E679" s="7"/>
      <x:c r="F679" s="20"/>
      <x:c r="G679" s="7"/>
      <x:c r="H679" s="7"/>
      <x:c r="I679" s="7"/>
      <x:c r="J679" s="7"/>
      <x:c r="K679" s="7"/>
      <x:c r="L679" s="7"/>
      <x:c r="M679" s="7"/>
      <x:c r="N679" s="7"/>
      <x:c r="O679" s="2" t="str">
        <x:f>IF(A679="","",IF(COUNTIFS($A$7:$A$1506,A679)&gt;1,"Buchung-ID doppelt",IF(OR(NOT(ISNUMBER(B679)),C679="",NOT(ISNUMBER(F679)),H679="",L679=""),"Pflichtangaben fehlen",IF(COUNTIFS('Konten'!$A$7:$A$26,C679)&lt;&gt;1,"Konto nicht eindeutig",IF(J679&lt;&gt;"Ja","Zuordnung bestätigen",IF(OR(AND(H679="Einnahme",F679&lt;0),AND(H679="Ausgabe",F679&gt;0)),"Vorzeichen prüfen",IF(AND(H679="Umbuchung",OR(K679="",COUNTIFS($A$7:$A$1506,K679)&lt;&gt;1)),"Gegenbuchung fehlt",IF(AND(H679="Umbuchung",ROUND(SUMIFS($F$7:$F$1506,$A$7:$A$1506,K679)+F679,2)&lt;&gt;0),"Umbuchung abweichend",IF(OR(G679="",M679="",M679="offen",M679="teilbelegt",H679="Ungeklärt",H679="Bargeld"),"Beleg / Verwendung klären","vollständig erfasst")))))))))</x:f>
      </x:c>
    </x:row>
    <x:row r="680" ht="22" customHeight="1">
      <x:c r="A680" s="7"/>
      <x:c r="B680" s="8"/>
      <x:c r="C680" s="7"/>
      <x:c r="D680" s="7"/>
      <x:c r="E680" s="7"/>
      <x:c r="F680" s="20"/>
      <x:c r="G680" s="7"/>
      <x:c r="H680" s="7"/>
      <x:c r="I680" s="7"/>
      <x:c r="J680" s="7"/>
      <x:c r="K680" s="7"/>
      <x:c r="L680" s="7"/>
      <x:c r="M680" s="7"/>
      <x:c r="N680" s="7"/>
      <x:c r="O680" s="2" t="str">
        <x:f>IF(A680="","",IF(COUNTIFS($A$7:$A$1506,A680)&gt;1,"Buchung-ID doppelt",IF(OR(NOT(ISNUMBER(B680)),C680="",NOT(ISNUMBER(F680)),H680="",L680=""),"Pflichtangaben fehlen",IF(COUNTIFS('Konten'!$A$7:$A$26,C680)&lt;&gt;1,"Konto nicht eindeutig",IF(J680&lt;&gt;"Ja","Zuordnung bestätigen",IF(OR(AND(H680="Einnahme",F680&lt;0),AND(H680="Ausgabe",F680&gt;0)),"Vorzeichen prüfen",IF(AND(H680="Umbuchung",OR(K680="",COUNTIFS($A$7:$A$1506,K680)&lt;&gt;1)),"Gegenbuchung fehlt",IF(AND(H680="Umbuchung",ROUND(SUMIFS($F$7:$F$1506,$A$7:$A$1506,K680)+F680,2)&lt;&gt;0),"Umbuchung abweichend",IF(OR(G680="",M680="",M680="offen",M680="teilbelegt",H680="Ungeklärt",H680="Bargeld"),"Beleg / Verwendung klären","vollständig erfasst")))))))))</x:f>
      </x:c>
    </x:row>
    <x:row r="681" ht="22" customHeight="1">
      <x:c r="A681" s="7"/>
      <x:c r="B681" s="8"/>
      <x:c r="C681" s="7"/>
      <x:c r="D681" s="7"/>
      <x:c r="E681" s="7"/>
      <x:c r="F681" s="20"/>
      <x:c r="G681" s="7"/>
      <x:c r="H681" s="7"/>
      <x:c r="I681" s="7"/>
      <x:c r="J681" s="7"/>
      <x:c r="K681" s="7"/>
      <x:c r="L681" s="7"/>
      <x:c r="M681" s="7"/>
      <x:c r="N681" s="7"/>
      <x:c r="O681" s="2" t="str">
        <x:f>IF(A681="","",IF(COUNTIFS($A$7:$A$1506,A681)&gt;1,"Buchung-ID doppelt",IF(OR(NOT(ISNUMBER(B681)),C681="",NOT(ISNUMBER(F681)),H681="",L681=""),"Pflichtangaben fehlen",IF(COUNTIFS('Konten'!$A$7:$A$26,C681)&lt;&gt;1,"Konto nicht eindeutig",IF(J681&lt;&gt;"Ja","Zuordnung bestätigen",IF(OR(AND(H681="Einnahme",F681&lt;0),AND(H681="Ausgabe",F681&gt;0)),"Vorzeichen prüfen",IF(AND(H681="Umbuchung",OR(K681="",COUNTIFS($A$7:$A$1506,K681)&lt;&gt;1)),"Gegenbuchung fehlt",IF(AND(H681="Umbuchung",ROUND(SUMIFS($F$7:$F$1506,$A$7:$A$1506,K681)+F681,2)&lt;&gt;0),"Umbuchung abweichend",IF(OR(G681="",M681="",M681="offen",M681="teilbelegt",H681="Ungeklärt",H681="Bargeld"),"Beleg / Verwendung klären","vollständig erfasst")))))))))</x:f>
      </x:c>
    </x:row>
    <x:row r="682" ht="22" customHeight="1">
      <x:c r="A682" s="7"/>
      <x:c r="B682" s="8"/>
      <x:c r="C682" s="7"/>
      <x:c r="D682" s="7"/>
      <x:c r="E682" s="7"/>
      <x:c r="F682" s="20"/>
      <x:c r="G682" s="7"/>
      <x:c r="H682" s="7"/>
      <x:c r="I682" s="7"/>
      <x:c r="J682" s="7"/>
      <x:c r="K682" s="7"/>
      <x:c r="L682" s="7"/>
      <x:c r="M682" s="7"/>
      <x:c r="N682" s="7"/>
      <x:c r="O682" s="2" t="str">
        <x:f>IF(A682="","",IF(COUNTIFS($A$7:$A$1506,A682)&gt;1,"Buchung-ID doppelt",IF(OR(NOT(ISNUMBER(B682)),C682="",NOT(ISNUMBER(F682)),H682="",L682=""),"Pflichtangaben fehlen",IF(COUNTIFS('Konten'!$A$7:$A$26,C682)&lt;&gt;1,"Konto nicht eindeutig",IF(J682&lt;&gt;"Ja","Zuordnung bestätigen",IF(OR(AND(H682="Einnahme",F682&lt;0),AND(H682="Ausgabe",F682&gt;0)),"Vorzeichen prüfen",IF(AND(H682="Umbuchung",OR(K682="",COUNTIFS($A$7:$A$1506,K682)&lt;&gt;1)),"Gegenbuchung fehlt",IF(AND(H682="Umbuchung",ROUND(SUMIFS($F$7:$F$1506,$A$7:$A$1506,K682)+F682,2)&lt;&gt;0),"Umbuchung abweichend",IF(OR(G682="",M682="",M682="offen",M682="teilbelegt",H682="Ungeklärt",H682="Bargeld"),"Beleg / Verwendung klären","vollständig erfasst")))))))))</x:f>
      </x:c>
    </x:row>
    <x:row r="683" ht="22" customHeight="1">
      <x:c r="A683" s="7"/>
      <x:c r="B683" s="8"/>
      <x:c r="C683" s="7"/>
      <x:c r="D683" s="7"/>
      <x:c r="E683" s="7"/>
      <x:c r="F683" s="20"/>
      <x:c r="G683" s="7"/>
      <x:c r="H683" s="7"/>
      <x:c r="I683" s="7"/>
      <x:c r="J683" s="7"/>
      <x:c r="K683" s="7"/>
      <x:c r="L683" s="7"/>
      <x:c r="M683" s="7"/>
      <x:c r="N683" s="7"/>
      <x:c r="O683" s="2" t="str">
        <x:f>IF(A683="","",IF(COUNTIFS($A$7:$A$1506,A683)&gt;1,"Buchung-ID doppelt",IF(OR(NOT(ISNUMBER(B683)),C683="",NOT(ISNUMBER(F683)),H683="",L683=""),"Pflichtangaben fehlen",IF(COUNTIFS('Konten'!$A$7:$A$26,C683)&lt;&gt;1,"Konto nicht eindeutig",IF(J683&lt;&gt;"Ja","Zuordnung bestätigen",IF(OR(AND(H683="Einnahme",F683&lt;0),AND(H683="Ausgabe",F683&gt;0)),"Vorzeichen prüfen",IF(AND(H683="Umbuchung",OR(K683="",COUNTIFS($A$7:$A$1506,K683)&lt;&gt;1)),"Gegenbuchung fehlt",IF(AND(H683="Umbuchung",ROUND(SUMIFS($F$7:$F$1506,$A$7:$A$1506,K683)+F683,2)&lt;&gt;0),"Umbuchung abweichend",IF(OR(G683="",M683="",M683="offen",M683="teilbelegt",H683="Ungeklärt",H683="Bargeld"),"Beleg / Verwendung klären","vollständig erfasst")))))))))</x:f>
      </x:c>
    </x:row>
    <x:row r="684" ht="22" customHeight="1">
      <x:c r="A684" s="7"/>
      <x:c r="B684" s="8"/>
      <x:c r="C684" s="7"/>
      <x:c r="D684" s="7"/>
      <x:c r="E684" s="7"/>
      <x:c r="F684" s="20"/>
      <x:c r="G684" s="7"/>
      <x:c r="H684" s="7"/>
      <x:c r="I684" s="7"/>
      <x:c r="J684" s="7"/>
      <x:c r="K684" s="7"/>
      <x:c r="L684" s="7"/>
      <x:c r="M684" s="7"/>
      <x:c r="N684" s="7"/>
      <x:c r="O684" s="2" t="str">
        <x:f>IF(A684="","",IF(COUNTIFS($A$7:$A$1506,A684)&gt;1,"Buchung-ID doppelt",IF(OR(NOT(ISNUMBER(B684)),C684="",NOT(ISNUMBER(F684)),H684="",L684=""),"Pflichtangaben fehlen",IF(COUNTIFS('Konten'!$A$7:$A$26,C684)&lt;&gt;1,"Konto nicht eindeutig",IF(J684&lt;&gt;"Ja","Zuordnung bestätigen",IF(OR(AND(H684="Einnahme",F684&lt;0),AND(H684="Ausgabe",F684&gt;0)),"Vorzeichen prüfen",IF(AND(H684="Umbuchung",OR(K684="",COUNTIFS($A$7:$A$1506,K684)&lt;&gt;1)),"Gegenbuchung fehlt",IF(AND(H684="Umbuchung",ROUND(SUMIFS($F$7:$F$1506,$A$7:$A$1506,K684)+F684,2)&lt;&gt;0),"Umbuchung abweichend",IF(OR(G684="",M684="",M684="offen",M684="teilbelegt",H684="Ungeklärt",H684="Bargeld"),"Beleg / Verwendung klären","vollständig erfasst")))))))))</x:f>
      </x:c>
    </x:row>
    <x:row r="685" ht="22" customHeight="1">
      <x:c r="A685" s="7"/>
      <x:c r="B685" s="8"/>
      <x:c r="C685" s="7"/>
      <x:c r="D685" s="7"/>
      <x:c r="E685" s="7"/>
      <x:c r="F685" s="20"/>
      <x:c r="G685" s="7"/>
      <x:c r="H685" s="7"/>
      <x:c r="I685" s="7"/>
      <x:c r="J685" s="7"/>
      <x:c r="K685" s="7"/>
      <x:c r="L685" s="7"/>
      <x:c r="M685" s="7"/>
      <x:c r="N685" s="7"/>
      <x:c r="O685" s="2" t="str">
        <x:f>IF(A685="","",IF(COUNTIFS($A$7:$A$1506,A685)&gt;1,"Buchung-ID doppelt",IF(OR(NOT(ISNUMBER(B685)),C685="",NOT(ISNUMBER(F685)),H685="",L685=""),"Pflichtangaben fehlen",IF(COUNTIFS('Konten'!$A$7:$A$26,C685)&lt;&gt;1,"Konto nicht eindeutig",IF(J685&lt;&gt;"Ja","Zuordnung bestätigen",IF(OR(AND(H685="Einnahme",F685&lt;0),AND(H685="Ausgabe",F685&gt;0)),"Vorzeichen prüfen",IF(AND(H685="Umbuchung",OR(K685="",COUNTIFS($A$7:$A$1506,K685)&lt;&gt;1)),"Gegenbuchung fehlt",IF(AND(H685="Umbuchung",ROUND(SUMIFS($F$7:$F$1506,$A$7:$A$1506,K685)+F685,2)&lt;&gt;0),"Umbuchung abweichend",IF(OR(G685="",M685="",M685="offen",M685="teilbelegt",H685="Ungeklärt",H685="Bargeld"),"Beleg / Verwendung klären","vollständig erfasst")))))))))</x:f>
      </x:c>
    </x:row>
    <x:row r="686" ht="22" customHeight="1">
      <x:c r="A686" s="7"/>
      <x:c r="B686" s="8"/>
      <x:c r="C686" s="7"/>
      <x:c r="D686" s="7"/>
      <x:c r="E686" s="7"/>
      <x:c r="F686" s="20"/>
      <x:c r="G686" s="7"/>
      <x:c r="H686" s="7"/>
      <x:c r="I686" s="7"/>
      <x:c r="J686" s="7"/>
      <x:c r="K686" s="7"/>
      <x:c r="L686" s="7"/>
      <x:c r="M686" s="7"/>
      <x:c r="N686" s="7"/>
      <x:c r="O686" s="2" t="str">
        <x:f>IF(A686="","",IF(COUNTIFS($A$7:$A$1506,A686)&gt;1,"Buchung-ID doppelt",IF(OR(NOT(ISNUMBER(B686)),C686="",NOT(ISNUMBER(F686)),H686="",L686=""),"Pflichtangaben fehlen",IF(COUNTIFS('Konten'!$A$7:$A$26,C686)&lt;&gt;1,"Konto nicht eindeutig",IF(J686&lt;&gt;"Ja","Zuordnung bestätigen",IF(OR(AND(H686="Einnahme",F686&lt;0),AND(H686="Ausgabe",F686&gt;0)),"Vorzeichen prüfen",IF(AND(H686="Umbuchung",OR(K686="",COUNTIFS($A$7:$A$1506,K686)&lt;&gt;1)),"Gegenbuchung fehlt",IF(AND(H686="Umbuchung",ROUND(SUMIFS($F$7:$F$1506,$A$7:$A$1506,K686)+F686,2)&lt;&gt;0),"Umbuchung abweichend",IF(OR(G686="",M686="",M686="offen",M686="teilbelegt",H686="Ungeklärt",H686="Bargeld"),"Beleg / Verwendung klären","vollständig erfasst")))))))))</x:f>
      </x:c>
    </x:row>
    <x:row r="687" ht="22" customHeight="1">
      <x:c r="A687" s="7"/>
      <x:c r="B687" s="8"/>
      <x:c r="C687" s="7"/>
      <x:c r="D687" s="7"/>
      <x:c r="E687" s="7"/>
      <x:c r="F687" s="20"/>
      <x:c r="G687" s="7"/>
      <x:c r="H687" s="7"/>
      <x:c r="I687" s="7"/>
      <x:c r="J687" s="7"/>
      <x:c r="K687" s="7"/>
      <x:c r="L687" s="7"/>
      <x:c r="M687" s="7"/>
      <x:c r="N687" s="7"/>
      <x:c r="O687" s="2" t="str">
        <x:f>IF(A687="","",IF(COUNTIFS($A$7:$A$1506,A687)&gt;1,"Buchung-ID doppelt",IF(OR(NOT(ISNUMBER(B687)),C687="",NOT(ISNUMBER(F687)),H687="",L687=""),"Pflichtangaben fehlen",IF(COUNTIFS('Konten'!$A$7:$A$26,C687)&lt;&gt;1,"Konto nicht eindeutig",IF(J687&lt;&gt;"Ja","Zuordnung bestätigen",IF(OR(AND(H687="Einnahme",F687&lt;0),AND(H687="Ausgabe",F687&gt;0)),"Vorzeichen prüfen",IF(AND(H687="Umbuchung",OR(K687="",COUNTIFS($A$7:$A$1506,K687)&lt;&gt;1)),"Gegenbuchung fehlt",IF(AND(H687="Umbuchung",ROUND(SUMIFS($F$7:$F$1506,$A$7:$A$1506,K687)+F687,2)&lt;&gt;0),"Umbuchung abweichend",IF(OR(G687="",M687="",M687="offen",M687="teilbelegt",H687="Ungeklärt",H687="Bargeld"),"Beleg / Verwendung klären","vollständig erfasst")))))))))</x:f>
      </x:c>
    </x:row>
    <x:row r="688" ht="22" customHeight="1">
      <x:c r="A688" s="7"/>
      <x:c r="B688" s="8"/>
      <x:c r="C688" s="7"/>
      <x:c r="D688" s="7"/>
      <x:c r="E688" s="7"/>
      <x:c r="F688" s="20"/>
      <x:c r="G688" s="7"/>
      <x:c r="H688" s="7"/>
      <x:c r="I688" s="7"/>
      <x:c r="J688" s="7"/>
      <x:c r="K688" s="7"/>
      <x:c r="L688" s="7"/>
      <x:c r="M688" s="7"/>
      <x:c r="N688" s="7"/>
      <x:c r="O688" s="2" t="str">
        <x:f>IF(A688="","",IF(COUNTIFS($A$7:$A$1506,A688)&gt;1,"Buchung-ID doppelt",IF(OR(NOT(ISNUMBER(B688)),C688="",NOT(ISNUMBER(F688)),H688="",L688=""),"Pflichtangaben fehlen",IF(COUNTIFS('Konten'!$A$7:$A$26,C688)&lt;&gt;1,"Konto nicht eindeutig",IF(J688&lt;&gt;"Ja","Zuordnung bestätigen",IF(OR(AND(H688="Einnahme",F688&lt;0),AND(H688="Ausgabe",F688&gt;0)),"Vorzeichen prüfen",IF(AND(H688="Umbuchung",OR(K688="",COUNTIFS($A$7:$A$1506,K688)&lt;&gt;1)),"Gegenbuchung fehlt",IF(AND(H688="Umbuchung",ROUND(SUMIFS($F$7:$F$1506,$A$7:$A$1506,K688)+F688,2)&lt;&gt;0),"Umbuchung abweichend",IF(OR(G688="",M688="",M688="offen",M688="teilbelegt",H688="Ungeklärt",H688="Bargeld"),"Beleg / Verwendung klären","vollständig erfasst")))))))))</x:f>
      </x:c>
    </x:row>
    <x:row r="689" ht="22" customHeight="1">
      <x:c r="A689" s="7"/>
      <x:c r="B689" s="8"/>
      <x:c r="C689" s="7"/>
      <x:c r="D689" s="7"/>
      <x:c r="E689" s="7"/>
      <x:c r="F689" s="20"/>
      <x:c r="G689" s="7"/>
      <x:c r="H689" s="7"/>
      <x:c r="I689" s="7"/>
      <x:c r="J689" s="7"/>
      <x:c r="K689" s="7"/>
      <x:c r="L689" s="7"/>
      <x:c r="M689" s="7"/>
      <x:c r="N689" s="7"/>
      <x:c r="O689" s="2" t="str">
        <x:f>IF(A689="","",IF(COUNTIFS($A$7:$A$1506,A689)&gt;1,"Buchung-ID doppelt",IF(OR(NOT(ISNUMBER(B689)),C689="",NOT(ISNUMBER(F689)),H689="",L689=""),"Pflichtangaben fehlen",IF(COUNTIFS('Konten'!$A$7:$A$26,C689)&lt;&gt;1,"Konto nicht eindeutig",IF(J689&lt;&gt;"Ja","Zuordnung bestätigen",IF(OR(AND(H689="Einnahme",F689&lt;0),AND(H689="Ausgabe",F689&gt;0)),"Vorzeichen prüfen",IF(AND(H689="Umbuchung",OR(K689="",COUNTIFS($A$7:$A$1506,K689)&lt;&gt;1)),"Gegenbuchung fehlt",IF(AND(H689="Umbuchung",ROUND(SUMIFS($F$7:$F$1506,$A$7:$A$1506,K689)+F689,2)&lt;&gt;0),"Umbuchung abweichend",IF(OR(G689="",M689="",M689="offen",M689="teilbelegt",H689="Ungeklärt",H689="Bargeld"),"Beleg / Verwendung klären","vollständig erfasst")))))))))</x:f>
      </x:c>
    </x:row>
    <x:row r="690" ht="22" customHeight="1">
      <x:c r="A690" s="7"/>
      <x:c r="B690" s="8"/>
      <x:c r="C690" s="7"/>
      <x:c r="D690" s="7"/>
      <x:c r="E690" s="7"/>
      <x:c r="F690" s="20"/>
      <x:c r="G690" s="7"/>
      <x:c r="H690" s="7"/>
      <x:c r="I690" s="7"/>
      <x:c r="J690" s="7"/>
      <x:c r="K690" s="7"/>
      <x:c r="L690" s="7"/>
      <x:c r="M690" s="7"/>
      <x:c r="N690" s="7"/>
      <x:c r="O690" s="2" t="str">
        <x:f>IF(A690="","",IF(COUNTIFS($A$7:$A$1506,A690)&gt;1,"Buchung-ID doppelt",IF(OR(NOT(ISNUMBER(B690)),C690="",NOT(ISNUMBER(F690)),H690="",L690=""),"Pflichtangaben fehlen",IF(COUNTIFS('Konten'!$A$7:$A$26,C690)&lt;&gt;1,"Konto nicht eindeutig",IF(J690&lt;&gt;"Ja","Zuordnung bestätigen",IF(OR(AND(H690="Einnahme",F690&lt;0),AND(H690="Ausgabe",F690&gt;0)),"Vorzeichen prüfen",IF(AND(H690="Umbuchung",OR(K690="",COUNTIFS($A$7:$A$1506,K690)&lt;&gt;1)),"Gegenbuchung fehlt",IF(AND(H690="Umbuchung",ROUND(SUMIFS($F$7:$F$1506,$A$7:$A$1506,K690)+F690,2)&lt;&gt;0),"Umbuchung abweichend",IF(OR(G690="",M690="",M690="offen",M690="teilbelegt",H690="Ungeklärt",H690="Bargeld"),"Beleg / Verwendung klären","vollständig erfasst")))))))))</x:f>
      </x:c>
    </x:row>
    <x:row r="691" ht="22" customHeight="1">
      <x:c r="A691" s="7"/>
      <x:c r="B691" s="8"/>
      <x:c r="C691" s="7"/>
      <x:c r="D691" s="7"/>
      <x:c r="E691" s="7"/>
      <x:c r="F691" s="20"/>
      <x:c r="G691" s="7"/>
      <x:c r="H691" s="7"/>
      <x:c r="I691" s="7"/>
      <x:c r="J691" s="7"/>
      <x:c r="K691" s="7"/>
      <x:c r="L691" s="7"/>
      <x:c r="M691" s="7"/>
      <x:c r="N691" s="7"/>
      <x:c r="O691" s="2" t="str">
        <x:f>IF(A691="","",IF(COUNTIFS($A$7:$A$1506,A691)&gt;1,"Buchung-ID doppelt",IF(OR(NOT(ISNUMBER(B691)),C691="",NOT(ISNUMBER(F691)),H691="",L691=""),"Pflichtangaben fehlen",IF(COUNTIFS('Konten'!$A$7:$A$26,C691)&lt;&gt;1,"Konto nicht eindeutig",IF(J691&lt;&gt;"Ja","Zuordnung bestätigen",IF(OR(AND(H691="Einnahme",F691&lt;0),AND(H691="Ausgabe",F691&gt;0)),"Vorzeichen prüfen",IF(AND(H691="Umbuchung",OR(K691="",COUNTIFS($A$7:$A$1506,K691)&lt;&gt;1)),"Gegenbuchung fehlt",IF(AND(H691="Umbuchung",ROUND(SUMIFS($F$7:$F$1506,$A$7:$A$1506,K691)+F691,2)&lt;&gt;0),"Umbuchung abweichend",IF(OR(G691="",M691="",M691="offen",M691="teilbelegt",H691="Ungeklärt",H691="Bargeld"),"Beleg / Verwendung klären","vollständig erfasst")))))))))</x:f>
      </x:c>
    </x:row>
    <x:row r="692" ht="22" customHeight="1">
      <x:c r="A692" s="7"/>
      <x:c r="B692" s="8"/>
      <x:c r="C692" s="7"/>
      <x:c r="D692" s="7"/>
      <x:c r="E692" s="7"/>
      <x:c r="F692" s="20"/>
      <x:c r="G692" s="7"/>
      <x:c r="H692" s="7"/>
      <x:c r="I692" s="7"/>
      <x:c r="J692" s="7"/>
      <x:c r="K692" s="7"/>
      <x:c r="L692" s="7"/>
      <x:c r="M692" s="7"/>
      <x:c r="N692" s="7"/>
      <x:c r="O692" s="2" t="str">
        <x:f>IF(A692="","",IF(COUNTIFS($A$7:$A$1506,A692)&gt;1,"Buchung-ID doppelt",IF(OR(NOT(ISNUMBER(B692)),C692="",NOT(ISNUMBER(F692)),H692="",L692=""),"Pflichtangaben fehlen",IF(COUNTIFS('Konten'!$A$7:$A$26,C692)&lt;&gt;1,"Konto nicht eindeutig",IF(J692&lt;&gt;"Ja","Zuordnung bestätigen",IF(OR(AND(H692="Einnahme",F692&lt;0),AND(H692="Ausgabe",F692&gt;0)),"Vorzeichen prüfen",IF(AND(H692="Umbuchung",OR(K692="",COUNTIFS($A$7:$A$1506,K692)&lt;&gt;1)),"Gegenbuchung fehlt",IF(AND(H692="Umbuchung",ROUND(SUMIFS($F$7:$F$1506,$A$7:$A$1506,K692)+F692,2)&lt;&gt;0),"Umbuchung abweichend",IF(OR(G692="",M692="",M692="offen",M692="teilbelegt",H692="Ungeklärt",H692="Bargeld"),"Beleg / Verwendung klären","vollständig erfasst")))))))))</x:f>
      </x:c>
    </x:row>
    <x:row r="693" ht="22" customHeight="1">
      <x:c r="A693" s="7"/>
      <x:c r="B693" s="8"/>
      <x:c r="C693" s="7"/>
      <x:c r="D693" s="7"/>
      <x:c r="E693" s="7"/>
      <x:c r="F693" s="20"/>
      <x:c r="G693" s="7"/>
      <x:c r="H693" s="7"/>
      <x:c r="I693" s="7"/>
      <x:c r="J693" s="7"/>
      <x:c r="K693" s="7"/>
      <x:c r="L693" s="7"/>
      <x:c r="M693" s="7"/>
      <x:c r="N693" s="7"/>
      <x:c r="O693" s="2" t="str">
        <x:f>IF(A693="","",IF(COUNTIFS($A$7:$A$1506,A693)&gt;1,"Buchung-ID doppelt",IF(OR(NOT(ISNUMBER(B693)),C693="",NOT(ISNUMBER(F693)),H693="",L693=""),"Pflichtangaben fehlen",IF(COUNTIFS('Konten'!$A$7:$A$26,C693)&lt;&gt;1,"Konto nicht eindeutig",IF(J693&lt;&gt;"Ja","Zuordnung bestätigen",IF(OR(AND(H693="Einnahme",F693&lt;0),AND(H693="Ausgabe",F693&gt;0)),"Vorzeichen prüfen",IF(AND(H693="Umbuchung",OR(K693="",COUNTIFS($A$7:$A$1506,K693)&lt;&gt;1)),"Gegenbuchung fehlt",IF(AND(H693="Umbuchung",ROUND(SUMIFS($F$7:$F$1506,$A$7:$A$1506,K693)+F693,2)&lt;&gt;0),"Umbuchung abweichend",IF(OR(G693="",M693="",M693="offen",M693="teilbelegt",H693="Ungeklärt",H693="Bargeld"),"Beleg / Verwendung klären","vollständig erfasst")))))))))</x:f>
      </x:c>
    </x:row>
    <x:row r="694" ht="22" customHeight="1">
      <x:c r="A694" s="7"/>
      <x:c r="B694" s="8"/>
      <x:c r="C694" s="7"/>
      <x:c r="D694" s="7"/>
      <x:c r="E694" s="7"/>
      <x:c r="F694" s="20"/>
      <x:c r="G694" s="7"/>
      <x:c r="H694" s="7"/>
      <x:c r="I694" s="7"/>
      <x:c r="J694" s="7"/>
      <x:c r="K694" s="7"/>
      <x:c r="L694" s="7"/>
      <x:c r="M694" s="7"/>
      <x:c r="N694" s="7"/>
      <x:c r="O694" s="2" t="str">
        <x:f>IF(A694="","",IF(COUNTIFS($A$7:$A$1506,A694)&gt;1,"Buchung-ID doppelt",IF(OR(NOT(ISNUMBER(B694)),C694="",NOT(ISNUMBER(F694)),H694="",L694=""),"Pflichtangaben fehlen",IF(COUNTIFS('Konten'!$A$7:$A$26,C694)&lt;&gt;1,"Konto nicht eindeutig",IF(J694&lt;&gt;"Ja","Zuordnung bestätigen",IF(OR(AND(H694="Einnahme",F694&lt;0),AND(H694="Ausgabe",F694&gt;0)),"Vorzeichen prüfen",IF(AND(H694="Umbuchung",OR(K694="",COUNTIFS($A$7:$A$1506,K694)&lt;&gt;1)),"Gegenbuchung fehlt",IF(AND(H694="Umbuchung",ROUND(SUMIFS($F$7:$F$1506,$A$7:$A$1506,K694)+F694,2)&lt;&gt;0),"Umbuchung abweichend",IF(OR(G694="",M694="",M694="offen",M694="teilbelegt",H694="Ungeklärt",H694="Bargeld"),"Beleg / Verwendung klären","vollständig erfasst")))))))))</x:f>
      </x:c>
    </x:row>
    <x:row r="695" ht="22" customHeight="1">
      <x:c r="A695" s="7"/>
      <x:c r="B695" s="8"/>
      <x:c r="C695" s="7"/>
      <x:c r="D695" s="7"/>
      <x:c r="E695" s="7"/>
      <x:c r="F695" s="20"/>
      <x:c r="G695" s="7"/>
      <x:c r="H695" s="7"/>
      <x:c r="I695" s="7"/>
      <x:c r="J695" s="7"/>
      <x:c r="K695" s="7"/>
      <x:c r="L695" s="7"/>
      <x:c r="M695" s="7"/>
      <x:c r="N695" s="7"/>
      <x:c r="O695" s="2" t="str">
        <x:f>IF(A695="","",IF(COUNTIFS($A$7:$A$1506,A695)&gt;1,"Buchung-ID doppelt",IF(OR(NOT(ISNUMBER(B695)),C695="",NOT(ISNUMBER(F695)),H695="",L695=""),"Pflichtangaben fehlen",IF(COUNTIFS('Konten'!$A$7:$A$26,C695)&lt;&gt;1,"Konto nicht eindeutig",IF(J695&lt;&gt;"Ja","Zuordnung bestätigen",IF(OR(AND(H695="Einnahme",F695&lt;0),AND(H695="Ausgabe",F695&gt;0)),"Vorzeichen prüfen",IF(AND(H695="Umbuchung",OR(K695="",COUNTIFS($A$7:$A$1506,K695)&lt;&gt;1)),"Gegenbuchung fehlt",IF(AND(H695="Umbuchung",ROUND(SUMIFS($F$7:$F$1506,$A$7:$A$1506,K695)+F695,2)&lt;&gt;0),"Umbuchung abweichend",IF(OR(G695="",M695="",M695="offen",M695="teilbelegt",H695="Ungeklärt",H695="Bargeld"),"Beleg / Verwendung klären","vollständig erfasst")))))))))</x:f>
      </x:c>
    </x:row>
    <x:row r="696" ht="22" customHeight="1">
      <x:c r="A696" s="7"/>
      <x:c r="B696" s="8"/>
      <x:c r="C696" s="7"/>
      <x:c r="D696" s="7"/>
      <x:c r="E696" s="7"/>
      <x:c r="F696" s="20"/>
      <x:c r="G696" s="7"/>
      <x:c r="H696" s="7"/>
      <x:c r="I696" s="7"/>
      <x:c r="J696" s="7"/>
      <x:c r="K696" s="7"/>
      <x:c r="L696" s="7"/>
      <x:c r="M696" s="7"/>
      <x:c r="N696" s="7"/>
      <x:c r="O696" s="2" t="str">
        <x:f>IF(A696="","",IF(COUNTIFS($A$7:$A$1506,A696)&gt;1,"Buchung-ID doppelt",IF(OR(NOT(ISNUMBER(B696)),C696="",NOT(ISNUMBER(F696)),H696="",L696=""),"Pflichtangaben fehlen",IF(COUNTIFS('Konten'!$A$7:$A$26,C696)&lt;&gt;1,"Konto nicht eindeutig",IF(J696&lt;&gt;"Ja","Zuordnung bestätigen",IF(OR(AND(H696="Einnahme",F696&lt;0),AND(H696="Ausgabe",F696&gt;0)),"Vorzeichen prüfen",IF(AND(H696="Umbuchung",OR(K696="",COUNTIFS($A$7:$A$1506,K696)&lt;&gt;1)),"Gegenbuchung fehlt",IF(AND(H696="Umbuchung",ROUND(SUMIFS($F$7:$F$1506,$A$7:$A$1506,K696)+F696,2)&lt;&gt;0),"Umbuchung abweichend",IF(OR(G696="",M696="",M696="offen",M696="teilbelegt",H696="Ungeklärt",H696="Bargeld"),"Beleg / Verwendung klären","vollständig erfasst")))))))))</x:f>
      </x:c>
    </x:row>
    <x:row r="697" ht="22" customHeight="1">
      <x:c r="A697" s="7"/>
      <x:c r="B697" s="8"/>
      <x:c r="C697" s="7"/>
      <x:c r="D697" s="7"/>
      <x:c r="E697" s="7"/>
      <x:c r="F697" s="20"/>
      <x:c r="G697" s="7"/>
      <x:c r="H697" s="7"/>
      <x:c r="I697" s="7"/>
      <x:c r="J697" s="7"/>
      <x:c r="K697" s="7"/>
      <x:c r="L697" s="7"/>
      <x:c r="M697" s="7"/>
      <x:c r="N697" s="7"/>
      <x:c r="O697" s="2" t="str">
        <x:f>IF(A697="","",IF(COUNTIFS($A$7:$A$1506,A697)&gt;1,"Buchung-ID doppelt",IF(OR(NOT(ISNUMBER(B697)),C697="",NOT(ISNUMBER(F697)),H697="",L697=""),"Pflichtangaben fehlen",IF(COUNTIFS('Konten'!$A$7:$A$26,C697)&lt;&gt;1,"Konto nicht eindeutig",IF(J697&lt;&gt;"Ja","Zuordnung bestätigen",IF(OR(AND(H697="Einnahme",F697&lt;0),AND(H697="Ausgabe",F697&gt;0)),"Vorzeichen prüfen",IF(AND(H697="Umbuchung",OR(K697="",COUNTIFS($A$7:$A$1506,K697)&lt;&gt;1)),"Gegenbuchung fehlt",IF(AND(H697="Umbuchung",ROUND(SUMIFS($F$7:$F$1506,$A$7:$A$1506,K697)+F697,2)&lt;&gt;0),"Umbuchung abweichend",IF(OR(G697="",M697="",M697="offen",M697="teilbelegt",H697="Ungeklärt",H697="Bargeld"),"Beleg / Verwendung klären","vollständig erfasst")))))))))</x:f>
      </x:c>
    </x:row>
    <x:row r="698" ht="22" customHeight="1">
      <x:c r="A698" s="7"/>
      <x:c r="B698" s="8"/>
      <x:c r="C698" s="7"/>
      <x:c r="D698" s="7"/>
      <x:c r="E698" s="7"/>
      <x:c r="F698" s="20"/>
      <x:c r="G698" s="7"/>
      <x:c r="H698" s="7"/>
      <x:c r="I698" s="7"/>
      <x:c r="J698" s="7"/>
      <x:c r="K698" s="7"/>
      <x:c r="L698" s="7"/>
      <x:c r="M698" s="7"/>
      <x:c r="N698" s="7"/>
      <x:c r="O698" s="2" t="str">
        <x:f>IF(A698="","",IF(COUNTIFS($A$7:$A$1506,A698)&gt;1,"Buchung-ID doppelt",IF(OR(NOT(ISNUMBER(B698)),C698="",NOT(ISNUMBER(F698)),H698="",L698=""),"Pflichtangaben fehlen",IF(COUNTIFS('Konten'!$A$7:$A$26,C698)&lt;&gt;1,"Konto nicht eindeutig",IF(J698&lt;&gt;"Ja","Zuordnung bestätigen",IF(OR(AND(H698="Einnahme",F698&lt;0),AND(H698="Ausgabe",F698&gt;0)),"Vorzeichen prüfen",IF(AND(H698="Umbuchung",OR(K698="",COUNTIFS($A$7:$A$1506,K698)&lt;&gt;1)),"Gegenbuchung fehlt",IF(AND(H698="Umbuchung",ROUND(SUMIFS($F$7:$F$1506,$A$7:$A$1506,K698)+F698,2)&lt;&gt;0),"Umbuchung abweichend",IF(OR(G698="",M698="",M698="offen",M698="teilbelegt",H698="Ungeklärt",H698="Bargeld"),"Beleg / Verwendung klären","vollständig erfasst")))))))))</x:f>
      </x:c>
    </x:row>
    <x:row r="699" ht="22" customHeight="1">
      <x:c r="A699" s="7"/>
      <x:c r="B699" s="8"/>
      <x:c r="C699" s="7"/>
      <x:c r="D699" s="7"/>
      <x:c r="E699" s="7"/>
      <x:c r="F699" s="20"/>
      <x:c r="G699" s="7"/>
      <x:c r="H699" s="7"/>
      <x:c r="I699" s="7"/>
      <x:c r="J699" s="7"/>
      <x:c r="K699" s="7"/>
      <x:c r="L699" s="7"/>
      <x:c r="M699" s="7"/>
      <x:c r="N699" s="7"/>
      <x:c r="O699" s="2" t="str">
        <x:f>IF(A699="","",IF(COUNTIFS($A$7:$A$1506,A699)&gt;1,"Buchung-ID doppelt",IF(OR(NOT(ISNUMBER(B699)),C699="",NOT(ISNUMBER(F699)),H699="",L699=""),"Pflichtangaben fehlen",IF(COUNTIFS('Konten'!$A$7:$A$26,C699)&lt;&gt;1,"Konto nicht eindeutig",IF(J699&lt;&gt;"Ja","Zuordnung bestätigen",IF(OR(AND(H699="Einnahme",F699&lt;0),AND(H699="Ausgabe",F699&gt;0)),"Vorzeichen prüfen",IF(AND(H699="Umbuchung",OR(K699="",COUNTIFS($A$7:$A$1506,K699)&lt;&gt;1)),"Gegenbuchung fehlt",IF(AND(H699="Umbuchung",ROUND(SUMIFS($F$7:$F$1506,$A$7:$A$1506,K699)+F699,2)&lt;&gt;0),"Umbuchung abweichend",IF(OR(G699="",M699="",M699="offen",M699="teilbelegt",H699="Ungeklärt",H699="Bargeld"),"Beleg / Verwendung klären","vollständig erfasst")))))))))</x:f>
      </x:c>
    </x:row>
    <x:row r="700" ht="22" customHeight="1">
      <x:c r="A700" s="7"/>
      <x:c r="B700" s="8"/>
      <x:c r="C700" s="7"/>
      <x:c r="D700" s="7"/>
      <x:c r="E700" s="7"/>
      <x:c r="F700" s="20"/>
      <x:c r="G700" s="7"/>
      <x:c r="H700" s="7"/>
      <x:c r="I700" s="7"/>
      <x:c r="J700" s="7"/>
      <x:c r="K700" s="7"/>
      <x:c r="L700" s="7"/>
      <x:c r="M700" s="7"/>
      <x:c r="N700" s="7"/>
      <x:c r="O700" s="2" t="str">
        <x:f>IF(A700="","",IF(COUNTIFS($A$7:$A$1506,A700)&gt;1,"Buchung-ID doppelt",IF(OR(NOT(ISNUMBER(B700)),C700="",NOT(ISNUMBER(F700)),H700="",L700=""),"Pflichtangaben fehlen",IF(COUNTIFS('Konten'!$A$7:$A$26,C700)&lt;&gt;1,"Konto nicht eindeutig",IF(J700&lt;&gt;"Ja","Zuordnung bestätigen",IF(OR(AND(H700="Einnahme",F700&lt;0),AND(H700="Ausgabe",F700&gt;0)),"Vorzeichen prüfen",IF(AND(H700="Umbuchung",OR(K700="",COUNTIFS($A$7:$A$1506,K700)&lt;&gt;1)),"Gegenbuchung fehlt",IF(AND(H700="Umbuchung",ROUND(SUMIFS($F$7:$F$1506,$A$7:$A$1506,K700)+F700,2)&lt;&gt;0),"Umbuchung abweichend",IF(OR(G700="",M700="",M700="offen",M700="teilbelegt",H700="Ungeklärt",H700="Bargeld"),"Beleg / Verwendung klären","vollständig erfasst")))))))))</x:f>
      </x:c>
    </x:row>
    <x:row r="701" ht="22" customHeight="1">
      <x:c r="A701" s="7"/>
      <x:c r="B701" s="8"/>
      <x:c r="C701" s="7"/>
      <x:c r="D701" s="7"/>
      <x:c r="E701" s="7"/>
      <x:c r="F701" s="20"/>
      <x:c r="G701" s="7"/>
      <x:c r="H701" s="7"/>
      <x:c r="I701" s="7"/>
      <x:c r="J701" s="7"/>
      <x:c r="K701" s="7"/>
      <x:c r="L701" s="7"/>
      <x:c r="M701" s="7"/>
      <x:c r="N701" s="7"/>
      <x:c r="O701" s="2" t="str">
        <x:f>IF(A701="","",IF(COUNTIFS($A$7:$A$1506,A701)&gt;1,"Buchung-ID doppelt",IF(OR(NOT(ISNUMBER(B701)),C701="",NOT(ISNUMBER(F701)),H701="",L701=""),"Pflichtangaben fehlen",IF(COUNTIFS('Konten'!$A$7:$A$26,C701)&lt;&gt;1,"Konto nicht eindeutig",IF(J701&lt;&gt;"Ja","Zuordnung bestätigen",IF(OR(AND(H701="Einnahme",F701&lt;0),AND(H701="Ausgabe",F701&gt;0)),"Vorzeichen prüfen",IF(AND(H701="Umbuchung",OR(K701="",COUNTIFS($A$7:$A$1506,K701)&lt;&gt;1)),"Gegenbuchung fehlt",IF(AND(H701="Umbuchung",ROUND(SUMIFS($F$7:$F$1506,$A$7:$A$1506,K701)+F701,2)&lt;&gt;0),"Umbuchung abweichend",IF(OR(G701="",M701="",M701="offen",M701="teilbelegt",H701="Ungeklärt",H701="Bargeld"),"Beleg / Verwendung klären","vollständig erfasst")))))))))</x:f>
      </x:c>
    </x:row>
    <x:row r="702" ht="22" customHeight="1">
      <x:c r="A702" s="7"/>
      <x:c r="B702" s="8"/>
      <x:c r="C702" s="7"/>
      <x:c r="D702" s="7"/>
      <x:c r="E702" s="7"/>
      <x:c r="F702" s="20"/>
      <x:c r="G702" s="7"/>
      <x:c r="H702" s="7"/>
      <x:c r="I702" s="7"/>
      <x:c r="J702" s="7"/>
      <x:c r="K702" s="7"/>
      <x:c r="L702" s="7"/>
      <x:c r="M702" s="7"/>
      <x:c r="N702" s="7"/>
      <x:c r="O702" s="2" t="str">
        <x:f>IF(A702="","",IF(COUNTIFS($A$7:$A$1506,A702)&gt;1,"Buchung-ID doppelt",IF(OR(NOT(ISNUMBER(B702)),C702="",NOT(ISNUMBER(F702)),H702="",L702=""),"Pflichtangaben fehlen",IF(COUNTIFS('Konten'!$A$7:$A$26,C702)&lt;&gt;1,"Konto nicht eindeutig",IF(J702&lt;&gt;"Ja","Zuordnung bestätigen",IF(OR(AND(H702="Einnahme",F702&lt;0),AND(H702="Ausgabe",F702&gt;0)),"Vorzeichen prüfen",IF(AND(H702="Umbuchung",OR(K702="",COUNTIFS($A$7:$A$1506,K702)&lt;&gt;1)),"Gegenbuchung fehlt",IF(AND(H702="Umbuchung",ROUND(SUMIFS($F$7:$F$1506,$A$7:$A$1506,K702)+F702,2)&lt;&gt;0),"Umbuchung abweichend",IF(OR(G702="",M702="",M702="offen",M702="teilbelegt",H702="Ungeklärt",H702="Bargeld"),"Beleg / Verwendung klären","vollständig erfasst")))))))))</x:f>
      </x:c>
    </x:row>
    <x:row r="703" ht="22" customHeight="1">
      <x:c r="A703" s="7"/>
      <x:c r="B703" s="8"/>
      <x:c r="C703" s="7"/>
      <x:c r="D703" s="7"/>
      <x:c r="E703" s="7"/>
      <x:c r="F703" s="20"/>
      <x:c r="G703" s="7"/>
      <x:c r="H703" s="7"/>
      <x:c r="I703" s="7"/>
      <x:c r="J703" s="7"/>
      <x:c r="K703" s="7"/>
      <x:c r="L703" s="7"/>
      <x:c r="M703" s="7"/>
      <x:c r="N703" s="7"/>
      <x:c r="O703" s="2" t="str">
        <x:f>IF(A703="","",IF(COUNTIFS($A$7:$A$1506,A703)&gt;1,"Buchung-ID doppelt",IF(OR(NOT(ISNUMBER(B703)),C703="",NOT(ISNUMBER(F703)),H703="",L703=""),"Pflichtangaben fehlen",IF(COUNTIFS('Konten'!$A$7:$A$26,C703)&lt;&gt;1,"Konto nicht eindeutig",IF(J703&lt;&gt;"Ja","Zuordnung bestätigen",IF(OR(AND(H703="Einnahme",F703&lt;0),AND(H703="Ausgabe",F703&gt;0)),"Vorzeichen prüfen",IF(AND(H703="Umbuchung",OR(K703="",COUNTIFS($A$7:$A$1506,K703)&lt;&gt;1)),"Gegenbuchung fehlt",IF(AND(H703="Umbuchung",ROUND(SUMIFS($F$7:$F$1506,$A$7:$A$1506,K703)+F703,2)&lt;&gt;0),"Umbuchung abweichend",IF(OR(G703="",M703="",M703="offen",M703="teilbelegt",H703="Ungeklärt",H703="Bargeld"),"Beleg / Verwendung klären","vollständig erfasst")))))))))</x:f>
      </x:c>
    </x:row>
    <x:row r="704" ht="22" customHeight="1">
      <x:c r="A704" s="7"/>
      <x:c r="B704" s="8"/>
      <x:c r="C704" s="7"/>
      <x:c r="D704" s="7"/>
      <x:c r="E704" s="7"/>
      <x:c r="F704" s="20"/>
      <x:c r="G704" s="7"/>
      <x:c r="H704" s="7"/>
      <x:c r="I704" s="7"/>
      <x:c r="J704" s="7"/>
      <x:c r="K704" s="7"/>
      <x:c r="L704" s="7"/>
      <x:c r="M704" s="7"/>
      <x:c r="N704" s="7"/>
      <x:c r="O704" s="2" t="str">
        <x:f>IF(A704="","",IF(COUNTIFS($A$7:$A$1506,A704)&gt;1,"Buchung-ID doppelt",IF(OR(NOT(ISNUMBER(B704)),C704="",NOT(ISNUMBER(F704)),H704="",L704=""),"Pflichtangaben fehlen",IF(COUNTIFS('Konten'!$A$7:$A$26,C704)&lt;&gt;1,"Konto nicht eindeutig",IF(J704&lt;&gt;"Ja","Zuordnung bestätigen",IF(OR(AND(H704="Einnahme",F704&lt;0),AND(H704="Ausgabe",F704&gt;0)),"Vorzeichen prüfen",IF(AND(H704="Umbuchung",OR(K704="",COUNTIFS($A$7:$A$1506,K704)&lt;&gt;1)),"Gegenbuchung fehlt",IF(AND(H704="Umbuchung",ROUND(SUMIFS($F$7:$F$1506,$A$7:$A$1506,K704)+F704,2)&lt;&gt;0),"Umbuchung abweichend",IF(OR(G704="",M704="",M704="offen",M704="teilbelegt",H704="Ungeklärt",H704="Bargeld"),"Beleg / Verwendung klären","vollständig erfasst")))))))))</x:f>
      </x:c>
    </x:row>
    <x:row r="705" ht="22" customHeight="1">
      <x:c r="A705" s="7"/>
      <x:c r="B705" s="8"/>
      <x:c r="C705" s="7"/>
      <x:c r="D705" s="7"/>
      <x:c r="E705" s="7"/>
      <x:c r="F705" s="20"/>
      <x:c r="G705" s="7"/>
      <x:c r="H705" s="7"/>
      <x:c r="I705" s="7"/>
      <x:c r="J705" s="7"/>
      <x:c r="K705" s="7"/>
      <x:c r="L705" s="7"/>
      <x:c r="M705" s="7"/>
      <x:c r="N705" s="7"/>
      <x:c r="O705" s="2" t="str">
        <x:f>IF(A705="","",IF(COUNTIFS($A$7:$A$1506,A705)&gt;1,"Buchung-ID doppelt",IF(OR(NOT(ISNUMBER(B705)),C705="",NOT(ISNUMBER(F705)),H705="",L705=""),"Pflichtangaben fehlen",IF(COUNTIFS('Konten'!$A$7:$A$26,C705)&lt;&gt;1,"Konto nicht eindeutig",IF(J705&lt;&gt;"Ja","Zuordnung bestätigen",IF(OR(AND(H705="Einnahme",F705&lt;0),AND(H705="Ausgabe",F705&gt;0)),"Vorzeichen prüfen",IF(AND(H705="Umbuchung",OR(K705="",COUNTIFS($A$7:$A$1506,K705)&lt;&gt;1)),"Gegenbuchung fehlt",IF(AND(H705="Umbuchung",ROUND(SUMIFS($F$7:$F$1506,$A$7:$A$1506,K705)+F705,2)&lt;&gt;0),"Umbuchung abweichend",IF(OR(G705="",M705="",M705="offen",M705="teilbelegt",H705="Ungeklärt",H705="Bargeld"),"Beleg / Verwendung klären","vollständig erfasst")))))))))</x:f>
      </x:c>
    </x:row>
    <x:row r="706" ht="22" customHeight="1">
      <x:c r="A706" s="7"/>
      <x:c r="B706" s="8"/>
      <x:c r="C706" s="7"/>
      <x:c r="D706" s="7"/>
      <x:c r="E706" s="7"/>
      <x:c r="F706" s="20"/>
      <x:c r="G706" s="7"/>
      <x:c r="H706" s="7"/>
      <x:c r="I706" s="7"/>
      <x:c r="J706" s="7"/>
      <x:c r="K706" s="7"/>
      <x:c r="L706" s="7"/>
      <x:c r="M706" s="7"/>
      <x:c r="N706" s="7"/>
      <x:c r="O706" s="2" t="str">
        <x:f>IF(A706="","",IF(COUNTIFS($A$7:$A$1506,A706)&gt;1,"Buchung-ID doppelt",IF(OR(NOT(ISNUMBER(B706)),C706="",NOT(ISNUMBER(F706)),H706="",L706=""),"Pflichtangaben fehlen",IF(COUNTIFS('Konten'!$A$7:$A$26,C706)&lt;&gt;1,"Konto nicht eindeutig",IF(J706&lt;&gt;"Ja","Zuordnung bestätigen",IF(OR(AND(H706="Einnahme",F706&lt;0),AND(H706="Ausgabe",F706&gt;0)),"Vorzeichen prüfen",IF(AND(H706="Umbuchung",OR(K706="",COUNTIFS($A$7:$A$1506,K706)&lt;&gt;1)),"Gegenbuchung fehlt",IF(AND(H706="Umbuchung",ROUND(SUMIFS($F$7:$F$1506,$A$7:$A$1506,K706)+F706,2)&lt;&gt;0),"Umbuchung abweichend",IF(OR(G706="",M706="",M706="offen",M706="teilbelegt",H706="Ungeklärt",H706="Bargeld"),"Beleg / Verwendung klären","vollständig erfasst")))))))))</x:f>
      </x:c>
    </x:row>
    <x:row r="707" ht="22" customHeight="1">
      <x:c r="A707" s="7"/>
      <x:c r="B707" s="8"/>
      <x:c r="C707" s="7"/>
      <x:c r="D707" s="7"/>
      <x:c r="E707" s="7"/>
      <x:c r="F707" s="20"/>
      <x:c r="G707" s="7"/>
      <x:c r="H707" s="7"/>
      <x:c r="I707" s="7"/>
      <x:c r="J707" s="7"/>
      <x:c r="K707" s="7"/>
      <x:c r="L707" s="7"/>
      <x:c r="M707" s="7"/>
      <x:c r="N707" s="7"/>
      <x:c r="O707" s="2" t="str">
        <x:f>IF(A707="","",IF(COUNTIFS($A$7:$A$1506,A707)&gt;1,"Buchung-ID doppelt",IF(OR(NOT(ISNUMBER(B707)),C707="",NOT(ISNUMBER(F707)),H707="",L707=""),"Pflichtangaben fehlen",IF(COUNTIFS('Konten'!$A$7:$A$26,C707)&lt;&gt;1,"Konto nicht eindeutig",IF(J707&lt;&gt;"Ja","Zuordnung bestätigen",IF(OR(AND(H707="Einnahme",F707&lt;0),AND(H707="Ausgabe",F707&gt;0)),"Vorzeichen prüfen",IF(AND(H707="Umbuchung",OR(K707="",COUNTIFS($A$7:$A$1506,K707)&lt;&gt;1)),"Gegenbuchung fehlt",IF(AND(H707="Umbuchung",ROUND(SUMIFS($F$7:$F$1506,$A$7:$A$1506,K707)+F707,2)&lt;&gt;0),"Umbuchung abweichend",IF(OR(G707="",M707="",M707="offen",M707="teilbelegt",H707="Ungeklärt",H707="Bargeld"),"Beleg / Verwendung klären","vollständig erfasst")))))))))</x:f>
      </x:c>
    </x:row>
    <x:row r="708" ht="22" customHeight="1">
      <x:c r="A708" s="7"/>
      <x:c r="B708" s="8"/>
      <x:c r="C708" s="7"/>
      <x:c r="D708" s="7"/>
      <x:c r="E708" s="7"/>
      <x:c r="F708" s="20"/>
      <x:c r="G708" s="7"/>
      <x:c r="H708" s="7"/>
      <x:c r="I708" s="7"/>
      <x:c r="J708" s="7"/>
      <x:c r="K708" s="7"/>
      <x:c r="L708" s="7"/>
      <x:c r="M708" s="7"/>
      <x:c r="N708" s="7"/>
      <x:c r="O708" s="2" t="str">
        <x:f>IF(A708="","",IF(COUNTIFS($A$7:$A$1506,A708)&gt;1,"Buchung-ID doppelt",IF(OR(NOT(ISNUMBER(B708)),C708="",NOT(ISNUMBER(F708)),H708="",L708=""),"Pflichtangaben fehlen",IF(COUNTIFS('Konten'!$A$7:$A$26,C708)&lt;&gt;1,"Konto nicht eindeutig",IF(J708&lt;&gt;"Ja","Zuordnung bestätigen",IF(OR(AND(H708="Einnahme",F708&lt;0),AND(H708="Ausgabe",F708&gt;0)),"Vorzeichen prüfen",IF(AND(H708="Umbuchung",OR(K708="",COUNTIFS($A$7:$A$1506,K708)&lt;&gt;1)),"Gegenbuchung fehlt",IF(AND(H708="Umbuchung",ROUND(SUMIFS($F$7:$F$1506,$A$7:$A$1506,K708)+F708,2)&lt;&gt;0),"Umbuchung abweichend",IF(OR(G708="",M708="",M708="offen",M708="teilbelegt",H708="Ungeklärt",H708="Bargeld"),"Beleg / Verwendung klären","vollständig erfasst")))))))))</x:f>
      </x:c>
    </x:row>
    <x:row r="709" ht="22" customHeight="1">
      <x:c r="A709" s="7"/>
      <x:c r="B709" s="8"/>
      <x:c r="C709" s="7"/>
      <x:c r="D709" s="7"/>
      <x:c r="E709" s="7"/>
      <x:c r="F709" s="20"/>
      <x:c r="G709" s="7"/>
      <x:c r="H709" s="7"/>
      <x:c r="I709" s="7"/>
      <x:c r="J709" s="7"/>
      <x:c r="K709" s="7"/>
      <x:c r="L709" s="7"/>
      <x:c r="M709" s="7"/>
      <x:c r="N709" s="7"/>
      <x:c r="O709" s="2" t="str">
        <x:f>IF(A709="","",IF(COUNTIFS($A$7:$A$1506,A709)&gt;1,"Buchung-ID doppelt",IF(OR(NOT(ISNUMBER(B709)),C709="",NOT(ISNUMBER(F709)),H709="",L709=""),"Pflichtangaben fehlen",IF(COUNTIFS('Konten'!$A$7:$A$26,C709)&lt;&gt;1,"Konto nicht eindeutig",IF(J709&lt;&gt;"Ja","Zuordnung bestätigen",IF(OR(AND(H709="Einnahme",F709&lt;0),AND(H709="Ausgabe",F709&gt;0)),"Vorzeichen prüfen",IF(AND(H709="Umbuchung",OR(K709="",COUNTIFS($A$7:$A$1506,K709)&lt;&gt;1)),"Gegenbuchung fehlt",IF(AND(H709="Umbuchung",ROUND(SUMIFS($F$7:$F$1506,$A$7:$A$1506,K709)+F709,2)&lt;&gt;0),"Umbuchung abweichend",IF(OR(G709="",M709="",M709="offen",M709="teilbelegt",H709="Ungeklärt",H709="Bargeld"),"Beleg / Verwendung klären","vollständig erfasst")))))))))</x:f>
      </x:c>
    </x:row>
    <x:row r="710" ht="22" customHeight="1">
      <x:c r="A710" s="7"/>
      <x:c r="B710" s="8"/>
      <x:c r="C710" s="7"/>
      <x:c r="D710" s="7"/>
      <x:c r="E710" s="7"/>
      <x:c r="F710" s="20"/>
      <x:c r="G710" s="7"/>
      <x:c r="H710" s="7"/>
      <x:c r="I710" s="7"/>
      <x:c r="J710" s="7"/>
      <x:c r="K710" s="7"/>
      <x:c r="L710" s="7"/>
      <x:c r="M710" s="7"/>
      <x:c r="N710" s="7"/>
      <x:c r="O710" s="2" t="str">
        <x:f>IF(A710="","",IF(COUNTIFS($A$7:$A$1506,A710)&gt;1,"Buchung-ID doppelt",IF(OR(NOT(ISNUMBER(B710)),C710="",NOT(ISNUMBER(F710)),H710="",L710=""),"Pflichtangaben fehlen",IF(COUNTIFS('Konten'!$A$7:$A$26,C710)&lt;&gt;1,"Konto nicht eindeutig",IF(J710&lt;&gt;"Ja","Zuordnung bestätigen",IF(OR(AND(H710="Einnahme",F710&lt;0),AND(H710="Ausgabe",F710&gt;0)),"Vorzeichen prüfen",IF(AND(H710="Umbuchung",OR(K710="",COUNTIFS($A$7:$A$1506,K710)&lt;&gt;1)),"Gegenbuchung fehlt",IF(AND(H710="Umbuchung",ROUND(SUMIFS($F$7:$F$1506,$A$7:$A$1506,K710)+F710,2)&lt;&gt;0),"Umbuchung abweichend",IF(OR(G710="",M710="",M710="offen",M710="teilbelegt",H710="Ungeklärt",H710="Bargeld"),"Beleg / Verwendung klären","vollständig erfasst")))))))))</x:f>
      </x:c>
    </x:row>
    <x:row r="711" ht="22" customHeight="1">
      <x:c r="A711" s="7"/>
      <x:c r="B711" s="8"/>
      <x:c r="C711" s="7"/>
      <x:c r="D711" s="7"/>
      <x:c r="E711" s="7"/>
      <x:c r="F711" s="20"/>
      <x:c r="G711" s="7"/>
      <x:c r="H711" s="7"/>
      <x:c r="I711" s="7"/>
      <x:c r="J711" s="7"/>
      <x:c r="K711" s="7"/>
      <x:c r="L711" s="7"/>
      <x:c r="M711" s="7"/>
      <x:c r="N711" s="7"/>
      <x:c r="O711" s="2" t="str">
        <x:f>IF(A711="","",IF(COUNTIFS($A$7:$A$1506,A711)&gt;1,"Buchung-ID doppelt",IF(OR(NOT(ISNUMBER(B711)),C711="",NOT(ISNUMBER(F711)),H711="",L711=""),"Pflichtangaben fehlen",IF(COUNTIFS('Konten'!$A$7:$A$26,C711)&lt;&gt;1,"Konto nicht eindeutig",IF(J711&lt;&gt;"Ja","Zuordnung bestätigen",IF(OR(AND(H711="Einnahme",F711&lt;0),AND(H711="Ausgabe",F711&gt;0)),"Vorzeichen prüfen",IF(AND(H711="Umbuchung",OR(K711="",COUNTIFS($A$7:$A$1506,K711)&lt;&gt;1)),"Gegenbuchung fehlt",IF(AND(H711="Umbuchung",ROUND(SUMIFS($F$7:$F$1506,$A$7:$A$1506,K711)+F711,2)&lt;&gt;0),"Umbuchung abweichend",IF(OR(G711="",M711="",M711="offen",M711="teilbelegt",H711="Ungeklärt",H711="Bargeld"),"Beleg / Verwendung klären","vollständig erfasst")))))))))</x:f>
      </x:c>
    </x:row>
    <x:row r="712" ht="22" customHeight="1">
      <x:c r="A712" s="7"/>
      <x:c r="B712" s="8"/>
      <x:c r="C712" s="7"/>
      <x:c r="D712" s="7"/>
      <x:c r="E712" s="7"/>
      <x:c r="F712" s="20"/>
      <x:c r="G712" s="7"/>
      <x:c r="H712" s="7"/>
      <x:c r="I712" s="7"/>
      <x:c r="J712" s="7"/>
      <x:c r="K712" s="7"/>
      <x:c r="L712" s="7"/>
      <x:c r="M712" s="7"/>
      <x:c r="N712" s="7"/>
      <x:c r="O712" s="2" t="str">
        <x:f>IF(A712="","",IF(COUNTIFS($A$7:$A$1506,A712)&gt;1,"Buchung-ID doppelt",IF(OR(NOT(ISNUMBER(B712)),C712="",NOT(ISNUMBER(F712)),H712="",L712=""),"Pflichtangaben fehlen",IF(COUNTIFS('Konten'!$A$7:$A$26,C712)&lt;&gt;1,"Konto nicht eindeutig",IF(J712&lt;&gt;"Ja","Zuordnung bestätigen",IF(OR(AND(H712="Einnahme",F712&lt;0),AND(H712="Ausgabe",F712&gt;0)),"Vorzeichen prüfen",IF(AND(H712="Umbuchung",OR(K712="",COUNTIFS($A$7:$A$1506,K712)&lt;&gt;1)),"Gegenbuchung fehlt",IF(AND(H712="Umbuchung",ROUND(SUMIFS($F$7:$F$1506,$A$7:$A$1506,K712)+F712,2)&lt;&gt;0),"Umbuchung abweichend",IF(OR(G712="",M712="",M712="offen",M712="teilbelegt",H712="Ungeklärt",H712="Bargeld"),"Beleg / Verwendung klären","vollständig erfasst")))))))))</x:f>
      </x:c>
    </x:row>
    <x:row r="713" ht="22" customHeight="1">
      <x:c r="A713" s="7"/>
      <x:c r="B713" s="8"/>
      <x:c r="C713" s="7"/>
      <x:c r="D713" s="7"/>
      <x:c r="E713" s="7"/>
      <x:c r="F713" s="20"/>
      <x:c r="G713" s="7"/>
      <x:c r="H713" s="7"/>
      <x:c r="I713" s="7"/>
      <x:c r="J713" s="7"/>
      <x:c r="K713" s="7"/>
      <x:c r="L713" s="7"/>
      <x:c r="M713" s="7"/>
      <x:c r="N713" s="7"/>
      <x:c r="O713" s="2" t="str">
        <x:f>IF(A713="","",IF(COUNTIFS($A$7:$A$1506,A713)&gt;1,"Buchung-ID doppelt",IF(OR(NOT(ISNUMBER(B713)),C713="",NOT(ISNUMBER(F713)),H713="",L713=""),"Pflichtangaben fehlen",IF(COUNTIFS('Konten'!$A$7:$A$26,C713)&lt;&gt;1,"Konto nicht eindeutig",IF(J713&lt;&gt;"Ja","Zuordnung bestätigen",IF(OR(AND(H713="Einnahme",F713&lt;0),AND(H713="Ausgabe",F713&gt;0)),"Vorzeichen prüfen",IF(AND(H713="Umbuchung",OR(K713="",COUNTIFS($A$7:$A$1506,K713)&lt;&gt;1)),"Gegenbuchung fehlt",IF(AND(H713="Umbuchung",ROUND(SUMIFS($F$7:$F$1506,$A$7:$A$1506,K713)+F713,2)&lt;&gt;0),"Umbuchung abweichend",IF(OR(G713="",M713="",M713="offen",M713="teilbelegt",H713="Ungeklärt",H713="Bargeld"),"Beleg / Verwendung klären","vollständig erfasst")))))))))</x:f>
      </x:c>
    </x:row>
    <x:row r="714" ht="22" customHeight="1">
      <x:c r="A714" s="7"/>
      <x:c r="B714" s="8"/>
      <x:c r="C714" s="7"/>
      <x:c r="D714" s="7"/>
      <x:c r="E714" s="7"/>
      <x:c r="F714" s="20"/>
      <x:c r="G714" s="7"/>
      <x:c r="H714" s="7"/>
      <x:c r="I714" s="7"/>
      <x:c r="J714" s="7"/>
      <x:c r="K714" s="7"/>
      <x:c r="L714" s="7"/>
      <x:c r="M714" s="7"/>
      <x:c r="N714" s="7"/>
      <x:c r="O714" s="2" t="str">
        <x:f>IF(A714="","",IF(COUNTIFS($A$7:$A$1506,A714)&gt;1,"Buchung-ID doppelt",IF(OR(NOT(ISNUMBER(B714)),C714="",NOT(ISNUMBER(F714)),H714="",L714=""),"Pflichtangaben fehlen",IF(COUNTIFS('Konten'!$A$7:$A$26,C714)&lt;&gt;1,"Konto nicht eindeutig",IF(J714&lt;&gt;"Ja","Zuordnung bestätigen",IF(OR(AND(H714="Einnahme",F714&lt;0),AND(H714="Ausgabe",F714&gt;0)),"Vorzeichen prüfen",IF(AND(H714="Umbuchung",OR(K714="",COUNTIFS($A$7:$A$1506,K714)&lt;&gt;1)),"Gegenbuchung fehlt",IF(AND(H714="Umbuchung",ROUND(SUMIFS($F$7:$F$1506,$A$7:$A$1506,K714)+F714,2)&lt;&gt;0),"Umbuchung abweichend",IF(OR(G714="",M714="",M714="offen",M714="teilbelegt",H714="Ungeklärt",H714="Bargeld"),"Beleg / Verwendung klären","vollständig erfasst")))))))))</x:f>
      </x:c>
    </x:row>
    <x:row r="715" ht="22" customHeight="1">
      <x:c r="A715" s="7"/>
      <x:c r="B715" s="8"/>
      <x:c r="C715" s="7"/>
      <x:c r="D715" s="7"/>
      <x:c r="E715" s="7"/>
      <x:c r="F715" s="20"/>
      <x:c r="G715" s="7"/>
      <x:c r="H715" s="7"/>
      <x:c r="I715" s="7"/>
      <x:c r="J715" s="7"/>
      <x:c r="K715" s="7"/>
      <x:c r="L715" s="7"/>
      <x:c r="M715" s="7"/>
      <x:c r="N715" s="7"/>
      <x:c r="O715" s="2" t="str">
        <x:f>IF(A715="","",IF(COUNTIFS($A$7:$A$1506,A715)&gt;1,"Buchung-ID doppelt",IF(OR(NOT(ISNUMBER(B715)),C715="",NOT(ISNUMBER(F715)),H715="",L715=""),"Pflichtangaben fehlen",IF(COUNTIFS('Konten'!$A$7:$A$26,C715)&lt;&gt;1,"Konto nicht eindeutig",IF(J715&lt;&gt;"Ja","Zuordnung bestätigen",IF(OR(AND(H715="Einnahme",F715&lt;0),AND(H715="Ausgabe",F715&gt;0)),"Vorzeichen prüfen",IF(AND(H715="Umbuchung",OR(K715="",COUNTIFS($A$7:$A$1506,K715)&lt;&gt;1)),"Gegenbuchung fehlt",IF(AND(H715="Umbuchung",ROUND(SUMIFS($F$7:$F$1506,$A$7:$A$1506,K715)+F715,2)&lt;&gt;0),"Umbuchung abweichend",IF(OR(G715="",M715="",M715="offen",M715="teilbelegt",H715="Ungeklärt",H715="Bargeld"),"Beleg / Verwendung klären","vollständig erfasst")))))))))</x:f>
      </x:c>
    </x:row>
    <x:row r="716" ht="22" customHeight="1">
      <x:c r="A716" s="7"/>
      <x:c r="B716" s="8"/>
      <x:c r="C716" s="7"/>
      <x:c r="D716" s="7"/>
      <x:c r="E716" s="7"/>
      <x:c r="F716" s="20"/>
      <x:c r="G716" s="7"/>
      <x:c r="H716" s="7"/>
      <x:c r="I716" s="7"/>
      <x:c r="J716" s="7"/>
      <x:c r="K716" s="7"/>
      <x:c r="L716" s="7"/>
      <x:c r="M716" s="7"/>
      <x:c r="N716" s="7"/>
      <x:c r="O716" s="2" t="str">
        <x:f>IF(A716="","",IF(COUNTIFS($A$7:$A$1506,A716)&gt;1,"Buchung-ID doppelt",IF(OR(NOT(ISNUMBER(B716)),C716="",NOT(ISNUMBER(F716)),H716="",L716=""),"Pflichtangaben fehlen",IF(COUNTIFS('Konten'!$A$7:$A$26,C716)&lt;&gt;1,"Konto nicht eindeutig",IF(J716&lt;&gt;"Ja","Zuordnung bestätigen",IF(OR(AND(H716="Einnahme",F716&lt;0),AND(H716="Ausgabe",F716&gt;0)),"Vorzeichen prüfen",IF(AND(H716="Umbuchung",OR(K716="",COUNTIFS($A$7:$A$1506,K716)&lt;&gt;1)),"Gegenbuchung fehlt",IF(AND(H716="Umbuchung",ROUND(SUMIFS($F$7:$F$1506,$A$7:$A$1506,K716)+F716,2)&lt;&gt;0),"Umbuchung abweichend",IF(OR(G716="",M716="",M716="offen",M716="teilbelegt",H716="Ungeklärt",H716="Bargeld"),"Beleg / Verwendung klären","vollständig erfasst")))))))))</x:f>
      </x:c>
    </x:row>
    <x:row r="717" ht="22" customHeight="1">
      <x:c r="A717" s="7"/>
      <x:c r="B717" s="8"/>
      <x:c r="C717" s="7"/>
      <x:c r="D717" s="7"/>
      <x:c r="E717" s="7"/>
      <x:c r="F717" s="20"/>
      <x:c r="G717" s="7"/>
      <x:c r="H717" s="7"/>
      <x:c r="I717" s="7"/>
      <x:c r="J717" s="7"/>
      <x:c r="K717" s="7"/>
      <x:c r="L717" s="7"/>
      <x:c r="M717" s="7"/>
      <x:c r="N717" s="7"/>
      <x:c r="O717" s="2" t="str">
        <x:f>IF(A717="","",IF(COUNTIFS($A$7:$A$1506,A717)&gt;1,"Buchung-ID doppelt",IF(OR(NOT(ISNUMBER(B717)),C717="",NOT(ISNUMBER(F717)),H717="",L717=""),"Pflichtangaben fehlen",IF(COUNTIFS('Konten'!$A$7:$A$26,C717)&lt;&gt;1,"Konto nicht eindeutig",IF(J717&lt;&gt;"Ja","Zuordnung bestätigen",IF(OR(AND(H717="Einnahme",F717&lt;0),AND(H717="Ausgabe",F717&gt;0)),"Vorzeichen prüfen",IF(AND(H717="Umbuchung",OR(K717="",COUNTIFS($A$7:$A$1506,K717)&lt;&gt;1)),"Gegenbuchung fehlt",IF(AND(H717="Umbuchung",ROUND(SUMIFS($F$7:$F$1506,$A$7:$A$1506,K717)+F717,2)&lt;&gt;0),"Umbuchung abweichend",IF(OR(G717="",M717="",M717="offen",M717="teilbelegt",H717="Ungeklärt",H717="Bargeld"),"Beleg / Verwendung klären","vollständig erfasst")))))))))</x:f>
      </x:c>
    </x:row>
    <x:row r="718" ht="22" customHeight="1">
      <x:c r="A718" s="7"/>
      <x:c r="B718" s="8"/>
      <x:c r="C718" s="7"/>
      <x:c r="D718" s="7"/>
      <x:c r="E718" s="7"/>
      <x:c r="F718" s="20"/>
      <x:c r="G718" s="7"/>
      <x:c r="H718" s="7"/>
      <x:c r="I718" s="7"/>
      <x:c r="J718" s="7"/>
      <x:c r="K718" s="7"/>
      <x:c r="L718" s="7"/>
      <x:c r="M718" s="7"/>
      <x:c r="N718" s="7"/>
      <x:c r="O718" s="2" t="str">
        <x:f>IF(A718="","",IF(COUNTIFS($A$7:$A$1506,A718)&gt;1,"Buchung-ID doppelt",IF(OR(NOT(ISNUMBER(B718)),C718="",NOT(ISNUMBER(F718)),H718="",L718=""),"Pflichtangaben fehlen",IF(COUNTIFS('Konten'!$A$7:$A$26,C718)&lt;&gt;1,"Konto nicht eindeutig",IF(J718&lt;&gt;"Ja","Zuordnung bestätigen",IF(OR(AND(H718="Einnahme",F718&lt;0),AND(H718="Ausgabe",F718&gt;0)),"Vorzeichen prüfen",IF(AND(H718="Umbuchung",OR(K718="",COUNTIFS($A$7:$A$1506,K718)&lt;&gt;1)),"Gegenbuchung fehlt",IF(AND(H718="Umbuchung",ROUND(SUMIFS($F$7:$F$1506,$A$7:$A$1506,K718)+F718,2)&lt;&gt;0),"Umbuchung abweichend",IF(OR(G718="",M718="",M718="offen",M718="teilbelegt",H718="Ungeklärt",H718="Bargeld"),"Beleg / Verwendung klären","vollständig erfasst")))))))))</x:f>
      </x:c>
    </x:row>
    <x:row r="719" ht="22" customHeight="1">
      <x:c r="A719" s="7"/>
      <x:c r="B719" s="8"/>
      <x:c r="C719" s="7"/>
      <x:c r="D719" s="7"/>
      <x:c r="E719" s="7"/>
      <x:c r="F719" s="20"/>
      <x:c r="G719" s="7"/>
      <x:c r="H719" s="7"/>
      <x:c r="I719" s="7"/>
      <x:c r="J719" s="7"/>
      <x:c r="K719" s="7"/>
      <x:c r="L719" s="7"/>
      <x:c r="M719" s="7"/>
      <x:c r="N719" s="7"/>
      <x:c r="O719" s="2" t="str">
        <x:f>IF(A719="","",IF(COUNTIFS($A$7:$A$1506,A719)&gt;1,"Buchung-ID doppelt",IF(OR(NOT(ISNUMBER(B719)),C719="",NOT(ISNUMBER(F719)),H719="",L719=""),"Pflichtangaben fehlen",IF(COUNTIFS('Konten'!$A$7:$A$26,C719)&lt;&gt;1,"Konto nicht eindeutig",IF(J719&lt;&gt;"Ja","Zuordnung bestätigen",IF(OR(AND(H719="Einnahme",F719&lt;0),AND(H719="Ausgabe",F719&gt;0)),"Vorzeichen prüfen",IF(AND(H719="Umbuchung",OR(K719="",COUNTIFS($A$7:$A$1506,K719)&lt;&gt;1)),"Gegenbuchung fehlt",IF(AND(H719="Umbuchung",ROUND(SUMIFS($F$7:$F$1506,$A$7:$A$1506,K719)+F719,2)&lt;&gt;0),"Umbuchung abweichend",IF(OR(G719="",M719="",M719="offen",M719="teilbelegt",H719="Ungeklärt",H719="Bargeld"),"Beleg / Verwendung klären","vollständig erfasst")))))))))</x:f>
      </x:c>
    </x:row>
    <x:row r="720" ht="22" customHeight="1">
      <x:c r="A720" s="7"/>
      <x:c r="B720" s="8"/>
      <x:c r="C720" s="7"/>
      <x:c r="D720" s="7"/>
      <x:c r="E720" s="7"/>
      <x:c r="F720" s="20"/>
      <x:c r="G720" s="7"/>
      <x:c r="H720" s="7"/>
      <x:c r="I720" s="7"/>
      <x:c r="J720" s="7"/>
      <x:c r="K720" s="7"/>
      <x:c r="L720" s="7"/>
      <x:c r="M720" s="7"/>
      <x:c r="N720" s="7"/>
      <x:c r="O720" s="2" t="str">
        <x:f>IF(A720="","",IF(COUNTIFS($A$7:$A$1506,A720)&gt;1,"Buchung-ID doppelt",IF(OR(NOT(ISNUMBER(B720)),C720="",NOT(ISNUMBER(F720)),H720="",L720=""),"Pflichtangaben fehlen",IF(COUNTIFS('Konten'!$A$7:$A$26,C720)&lt;&gt;1,"Konto nicht eindeutig",IF(J720&lt;&gt;"Ja","Zuordnung bestätigen",IF(OR(AND(H720="Einnahme",F720&lt;0),AND(H720="Ausgabe",F720&gt;0)),"Vorzeichen prüfen",IF(AND(H720="Umbuchung",OR(K720="",COUNTIFS($A$7:$A$1506,K720)&lt;&gt;1)),"Gegenbuchung fehlt",IF(AND(H720="Umbuchung",ROUND(SUMIFS($F$7:$F$1506,$A$7:$A$1506,K720)+F720,2)&lt;&gt;0),"Umbuchung abweichend",IF(OR(G720="",M720="",M720="offen",M720="teilbelegt",H720="Ungeklärt",H720="Bargeld"),"Beleg / Verwendung klären","vollständig erfasst")))))))))</x:f>
      </x:c>
    </x:row>
    <x:row r="721" ht="22" customHeight="1">
      <x:c r="A721" s="7"/>
      <x:c r="B721" s="8"/>
      <x:c r="C721" s="7"/>
      <x:c r="D721" s="7"/>
      <x:c r="E721" s="7"/>
      <x:c r="F721" s="20"/>
      <x:c r="G721" s="7"/>
      <x:c r="H721" s="7"/>
      <x:c r="I721" s="7"/>
      <x:c r="J721" s="7"/>
      <x:c r="K721" s="7"/>
      <x:c r="L721" s="7"/>
      <x:c r="M721" s="7"/>
      <x:c r="N721" s="7"/>
      <x:c r="O721" s="2" t="str">
        <x:f>IF(A721="","",IF(COUNTIFS($A$7:$A$1506,A721)&gt;1,"Buchung-ID doppelt",IF(OR(NOT(ISNUMBER(B721)),C721="",NOT(ISNUMBER(F721)),H721="",L721=""),"Pflichtangaben fehlen",IF(COUNTIFS('Konten'!$A$7:$A$26,C721)&lt;&gt;1,"Konto nicht eindeutig",IF(J721&lt;&gt;"Ja","Zuordnung bestätigen",IF(OR(AND(H721="Einnahme",F721&lt;0),AND(H721="Ausgabe",F721&gt;0)),"Vorzeichen prüfen",IF(AND(H721="Umbuchung",OR(K721="",COUNTIFS($A$7:$A$1506,K721)&lt;&gt;1)),"Gegenbuchung fehlt",IF(AND(H721="Umbuchung",ROUND(SUMIFS($F$7:$F$1506,$A$7:$A$1506,K721)+F721,2)&lt;&gt;0),"Umbuchung abweichend",IF(OR(G721="",M721="",M721="offen",M721="teilbelegt",H721="Ungeklärt",H721="Bargeld"),"Beleg / Verwendung klären","vollständig erfasst")))))))))</x:f>
      </x:c>
    </x:row>
    <x:row r="722" ht="22" customHeight="1">
      <x:c r="A722" s="7"/>
      <x:c r="B722" s="8"/>
      <x:c r="C722" s="7"/>
      <x:c r="D722" s="7"/>
      <x:c r="E722" s="7"/>
      <x:c r="F722" s="20"/>
      <x:c r="G722" s="7"/>
      <x:c r="H722" s="7"/>
      <x:c r="I722" s="7"/>
      <x:c r="J722" s="7"/>
      <x:c r="K722" s="7"/>
      <x:c r="L722" s="7"/>
      <x:c r="M722" s="7"/>
      <x:c r="N722" s="7"/>
      <x:c r="O722" s="2" t="str">
        <x:f>IF(A722="","",IF(COUNTIFS($A$7:$A$1506,A722)&gt;1,"Buchung-ID doppelt",IF(OR(NOT(ISNUMBER(B722)),C722="",NOT(ISNUMBER(F722)),H722="",L722=""),"Pflichtangaben fehlen",IF(COUNTIFS('Konten'!$A$7:$A$26,C722)&lt;&gt;1,"Konto nicht eindeutig",IF(J722&lt;&gt;"Ja","Zuordnung bestätigen",IF(OR(AND(H722="Einnahme",F722&lt;0),AND(H722="Ausgabe",F722&gt;0)),"Vorzeichen prüfen",IF(AND(H722="Umbuchung",OR(K722="",COUNTIFS($A$7:$A$1506,K722)&lt;&gt;1)),"Gegenbuchung fehlt",IF(AND(H722="Umbuchung",ROUND(SUMIFS($F$7:$F$1506,$A$7:$A$1506,K722)+F722,2)&lt;&gt;0),"Umbuchung abweichend",IF(OR(G722="",M722="",M722="offen",M722="teilbelegt",H722="Ungeklärt",H722="Bargeld"),"Beleg / Verwendung klären","vollständig erfasst")))))))))</x:f>
      </x:c>
    </x:row>
    <x:row r="723" ht="22" customHeight="1">
      <x:c r="A723" s="7"/>
      <x:c r="B723" s="8"/>
      <x:c r="C723" s="7"/>
      <x:c r="D723" s="7"/>
      <x:c r="E723" s="7"/>
      <x:c r="F723" s="20"/>
      <x:c r="G723" s="7"/>
      <x:c r="H723" s="7"/>
      <x:c r="I723" s="7"/>
      <x:c r="J723" s="7"/>
      <x:c r="K723" s="7"/>
      <x:c r="L723" s="7"/>
      <x:c r="M723" s="7"/>
      <x:c r="N723" s="7"/>
      <x:c r="O723" s="2" t="str">
        <x:f>IF(A723="","",IF(COUNTIFS($A$7:$A$1506,A723)&gt;1,"Buchung-ID doppelt",IF(OR(NOT(ISNUMBER(B723)),C723="",NOT(ISNUMBER(F723)),H723="",L723=""),"Pflichtangaben fehlen",IF(COUNTIFS('Konten'!$A$7:$A$26,C723)&lt;&gt;1,"Konto nicht eindeutig",IF(J723&lt;&gt;"Ja","Zuordnung bestätigen",IF(OR(AND(H723="Einnahme",F723&lt;0),AND(H723="Ausgabe",F723&gt;0)),"Vorzeichen prüfen",IF(AND(H723="Umbuchung",OR(K723="",COUNTIFS($A$7:$A$1506,K723)&lt;&gt;1)),"Gegenbuchung fehlt",IF(AND(H723="Umbuchung",ROUND(SUMIFS($F$7:$F$1506,$A$7:$A$1506,K723)+F723,2)&lt;&gt;0),"Umbuchung abweichend",IF(OR(G723="",M723="",M723="offen",M723="teilbelegt",H723="Ungeklärt",H723="Bargeld"),"Beleg / Verwendung klären","vollständig erfasst")))))))))</x:f>
      </x:c>
    </x:row>
    <x:row r="724" ht="22" customHeight="1">
      <x:c r="A724" s="7"/>
      <x:c r="B724" s="8"/>
      <x:c r="C724" s="7"/>
      <x:c r="D724" s="7"/>
      <x:c r="E724" s="7"/>
      <x:c r="F724" s="20"/>
      <x:c r="G724" s="7"/>
      <x:c r="H724" s="7"/>
      <x:c r="I724" s="7"/>
      <x:c r="J724" s="7"/>
      <x:c r="K724" s="7"/>
      <x:c r="L724" s="7"/>
      <x:c r="M724" s="7"/>
      <x:c r="N724" s="7"/>
      <x:c r="O724" s="2" t="str">
        <x:f>IF(A724="","",IF(COUNTIFS($A$7:$A$1506,A724)&gt;1,"Buchung-ID doppelt",IF(OR(NOT(ISNUMBER(B724)),C724="",NOT(ISNUMBER(F724)),H724="",L724=""),"Pflichtangaben fehlen",IF(COUNTIFS('Konten'!$A$7:$A$26,C724)&lt;&gt;1,"Konto nicht eindeutig",IF(J724&lt;&gt;"Ja","Zuordnung bestätigen",IF(OR(AND(H724="Einnahme",F724&lt;0),AND(H724="Ausgabe",F724&gt;0)),"Vorzeichen prüfen",IF(AND(H724="Umbuchung",OR(K724="",COUNTIFS($A$7:$A$1506,K724)&lt;&gt;1)),"Gegenbuchung fehlt",IF(AND(H724="Umbuchung",ROUND(SUMIFS($F$7:$F$1506,$A$7:$A$1506,K724)+F724,2)&lt;&gt;0),"Umbuchung abweichend",IF(OR(G724="",M724="",M724="offen",M724="teilbelegt",H724="Ungeklärt",H724="Bargeld"),"Beleg / Verwendung klären","vollständig erfasst")))))))))</x:f>
      </x:c>
    </x:row>
    <x:row r="725" ht="22" customHeight="1">
      <x:c r="A725" s="7"/>
      <x:c r="B725" s="8"/>
      <x:c r="C725" s="7"/>
      <x:c r="D725" s="7"/>
      <x:c r="E725" s="7"/>
      <x:c r="F725" s="20"/>
      <x:c r="G725" s="7"/>
      <x:c r="H725" s="7"/>
      <x:c r="I725" s="7"/>
      <x:c r="J725" s="7"/>
      <x:c r="K725" s="7"/>
      <x:c r="L725" s="7"/>
      <x:c r="M725" s="7"/>
      <x:c r="N725" s="7"/>
      <x:c r="O725" s="2" t="str">
        <x:f>IF(A725="","",IF(COUNTIFS($A$7:$A$1506,A725)&gt;1,"Buchung-ID doppelt",IF(OR(NOT(ISNUMBER(B725)),C725="",NOT(ISNUMBER(F725)),H725="",L725=""),"Pflichtangaben fehlen",IF(COUNTIFS('Konten'!$A$7:$A$26,C725)&lt;&gt;1,"Konto nicht eindeutig",IF(J725&lt;&gt;"Ja","Zuordnung bestätigen",IF(OR(AND(H725="Einnahme",F725&lt;0),AND(H725="Ausgabe",F725&gt;0)),"Vorzeichen prüfen",IF(AND(H725="Umbuchung",OR(K725="",COUNTIFS($A$7:$A$1506,K725)&lt;&gt;1)),"Gegenbuchung fehlt",IF(AND(H725="Umbuchung",ROUND(SUMIFS($F$7:$F$1506,$A$7:$A$1506,K725)+F725,2)&lt;&gt;0),"Umbuchung abweichend",IF(OR(G725="",M725="",M725="offen",M725="teilbelegt",H725="Ungeklärt",H725="Bargeld"),"Beleg / Verwendung klären","vollständig erfasst")))))))))</x:f>
      </x:c>
    </x:row>
    <x:row r="726" ht="22" customHeight="1">
      <x:c r="A726" s="7"/>
      <x:c r="B726" s="8"/>
      <x:c r="C726" s="7"/>
      <x:c r="D726" s="7"/>
      <x:c r="E726" s="7"/>
      <x:c r="F726" s="20"/>
      <x:c r="G726" s="7"/>
      <x:c r="H726" s="7"/>
      <x:c r="I726" s="7"/>
      <x:c r="J726" s="7"/>
      <x:c r="K726" s="7"/>
      <x:c r="L726" s="7"/>
      <x:c r="M726" s="7"/>
      <x:c r="N726" s="7"/>
      <x:c r="O726" s="2" t="str">
        <x:f>IF(A726="","",IF(COUNTIFS($A$7:$A$1506,A726)&gt;1,"Buchung-ID doppelt",IF(OR(NOT(ISNUMBER(B726)),C726="",NOT(ISNUMBER(F726)),H726="",L726=""),"Pflichtangaben fehlen",IF(COUNTIFS('Konten'!$A$7:$A$26,C726)&lt;&gt;1,"Konto nicht eindeutig",IF(J726&lt;&gt;"Ja","Zuordnung bestätigen",IF(OR(AND(H726="Einnahme",F726&lt;0),AND(H726="Ausgabe",F726&gt;0)),"Vorzeichen prüfen",IF(AND(H726="Umbuchung",OR(K726="",COUNTIFS($A$7:$A$1506,K726)&lt;&gt;1)),"Gegenbuchung fehlt",IF(AND(H726="Umbuchung",ROUND(SUMIFS($F$7:$F$1506,$A$7:$A$1506,K726)+F726,2)&lt;&gt;0),"Umbuchung abweichend",IF(OR(G726="",M726="",M726="offen",M726="teilbelegt",H726="Ungeklärt",H726="Bargeld"),"Beleg / Verwendung klären","vollständig erfasst")))))))))</x:f>
      </x:c>
    </x:row>
    <x:row r="727" ht="22" customHeight="1">
      <x:c r="A727" s="7"/>
      <x:c r="B727" s="8"/>
      <x:c r="C727" s="7"/>
      <x:c r="D727" s="7"/>
      <x:c r="E727" s="7"/>
      <x:c r="F727" s="20"/>
      <x:c r="G727" s="7"/>
      <x:c r="H727" s="7"/>
      <x:c r="I727" s="7"/>
      <x:c r="J727" s="7"/>
      <x:c r="K727" s="7"/>
      <x:c r="L727" s="7"/>
      <x:c r="M727" s="7"/>
      <x:c r="N727" s="7"/>
      <x:c r="O727" s="2" t="str">
        <x:f>IF(A727="","",IF(COUNTIFS($A$7:$A$1506,A727)&gt;1,"Buchung-ID doppelt",IF(OR(NOT(ISNUMBER(B727)),C727="",NOT(ISNUMBER(F727)),H727="",L727=""),"Pflichtangaben fehlen",IF(COUNTIFS('Konten'!$A$7:$A$26,C727)&lt;&gt;1,"Konto nicht eindeutig",IF(J727&lt;&gt;"Ja","Zuordnung bestätigen",IF(OR(AND(H727="Einnahme",F727&lt;0),AND(H727="Ausgabe",F727&gt;0)),"Vorzeichen prüfen",IF(AND(H727="Umbuchung",OR(K727="",COUNTIFS($A$7:$A$1506,K727)&lt;&gt;1)),"Gegenbuchung fehlt",IF(AND(H727="Umbuchung",ROUND(SUMIFS($F$7:$F$1506,$A$7:$A$1506,K727)+F727,2)&lt;&gt;0),"Umbuchung abweichend",IF(OR(G727="",M727="",M727="offen",M727="teilbelegt",H727="Ungeklärt",H727="Bargeld"),"Beleg / Verwendung klären","vollständig erfasst")))))))))</x:f>
      </x:c>
    </x:row>
    <x:row r="728" ht="22" customHeight="1">
      <x:c r="A728" s="7"/>
      <x:c r="B728" s="8"/>
      <x:c r="C728" s="7"/>
      <x:c r="D728" s="7"/>
      <x:c r="E728" s="7"/>
      <x:c r="F728" s="20"/>
      <x:c r="G728" s="7"/>
      <x:c r="H728" s="7"/>
      <x:c r="I728" s="7"/>
      <x:c r="J728" s="7"/>
      <x:c r="K728" s="7"/>
      <x:c r="L728" s="7"/>
      <x:c r="M728" s="7"/>
      <x:c r="N728" s="7"/>
      <x:c r="O728" s="2" t="str">
        <x:f>IF(A728="","",IF(COUNTIFS($A$7:$A$1506,A728)&gt;1,"Buchung-ID doppelt",IF(OR(NOT(ISNUMBER(B728)),C728="",NOT(ISNUMBER(F728)),H728="",L728=""),"Pflichtangaben fehlen",IF(COUNTIFS('Konten'!$A$7:$A$26,C728)&lt;&gt;1,"Konto nicht eindeutig",IF(J728&lt;&gt;"Ja","Zuordnung bestätigen",IF(OR(AND(H728="Einnahme",F728&lt;0),AND(H728="Ausgabe",F728&gt;0)),"Vorzeichen prüfen",IF(AND(H728="Umbuchung",OR(K728="",COUNTIFS($A$7:$A$1506,K728)&lt;&gt;1)),"Gegenbuchung fehlt",IF(AND(H728="Umbuchung",ROUND(SUMIFS($F$7:$F$1506,$A$7:$A$1506,K728)+F728,2)&lt;&gt;0),"Umbuchung abweichend",IF(OR(G728="",M728="",M728="offen",M728="teilbelegt",H728="Ungeklärt",H728="Bargeld"),"Beleg / Verwendung klären","vollständig erfasst")))))))))</x:f>
      </x:c>
    </x:row>
    <x:row r="729" ht="22" customHeight="1">
      <x:c r="A729" s="7"/>
      <x:c r="B729" s="8"/>
      <x:c r="C729" s="7"/>
      <x:c r="D729" s="7"/>
      <x:c r="E729" s="7"/>
      <x:c r="F729" s="20"/>
      <x:c r="G729" s="7"/>
      <x:c r="H729" s="7"/>
      <x:c r="I729" s="7"/>
      <x:c r="J729" s="7"/>
      <x:c r="K729" s="7"/>
      <x:c r="L729" s="7"/>
      <x:c r="M729" s="7"/>
      <x:c r="N729" s="7"/>
      <x:c r="O729" s="2" t="str">
        <x:f>IF(A729="","",IF(COUNTIFS($A$7:$A$1506,A729)&gt;1,"Buchung-ID doppelt",IF(OR(NOT(ISNUMBER(B729)),C729="",NOT(ISNUMBER(F729)),H729="",L729=""),"Pflichtangaben fehlen",IF(COUNTIFS('Konten'!$A$7:$A$26,C729)&lt;&gt;1,"Konto nicht eindeutig",IF(J729&lt;&gt;"Ja","Zuordnung bestätigen",IF(OR(AND(H729="Einnahme",F729&lt;0),AND(H729="Ausgabe",F729&gt;0)),"Vorzeichen prüfen",IF(AND(H729="Umbuchung",OR(K729="",COUNTIFS($A$7:$A$1506,K729)&lt;&gt;1)),"Gegenbuchung fehlt",IF(AND(H729="Umbuchung",ROUND(SUMIFS($F$7:$F$1506,$A$7:$A$1506,K729)+F729,2)&lt;&gt;0),"Umbuchung abweichend",IF(OR(G729="",M729="",M729="offen",M729="teilbelegt",H729="Ungeklärt",H729="Bargeld"),"Beleg / Verwendung klären","vollständig erfasst")))))))))</x:f>
      </x:c>
    </x:row>
    <x:row r="730" ht="22" customHeight="1">
      <x:c r="A730" s="7"/>
      <x:c r="B730" s="8"/>
      <x:c r="C730" s="7"/>
      <x:c r="D730" s="7"/>
      <x:c r="E730" s="7"/>
      <x:c r="F730" s="20"/>
      <x:c r="G730" s="7"/>
      <x:c r="H730" s="7"/>
      <x:c r="I730" s="7"/>
      <x:c r="J730" s="7"/>
      <x:c r="K730" s="7"/>
      <x:c r="L730" s="7"/>
      <x:c r="M730" s="7"/>
      <x:c r="N730" s="7"/>
      <x:c r="O730" s="2" t="str">
        <x:f>IF(A730="","",IF(COUNTIFS($A$7:$A$1506,A730)&gt;1,"Buchung-ID doppelt",IF(OR(NOT(ISNUMBER(B730)),C730="",NOT(ISNUMBER(F730)),H730="",L730=""),"Pflichtangaben fehlen",IF(COUNTIFS('Konten'!$A$7:$A$26,C730)&lt;&gt;1,"Konto nicht eindeutig",IF(J730&lt;&gt;"Ja","Zuordnung bestätigen",IF(OR(AND(H730="Einnahme",F730&lt;0),AND(H730="Ausgabe",F730&gt;0)),"Vorzeichen prüfen",IF(AND(H730="Umbuchung",OR(K730="",COUNTIFS($A$7:$A$1506,K730)&lt;&gt;1)),"Gegenbuchung fehlt",IF(AND(H730="Umbuchung",ROUND(SUMIFS($F$7:$F$1506,$A$7:$A$1506,K730)+F730,2)&lt;&gt;0),"Umbuchung abweichend",IF(OR(G730="",M730="",M730="offen",M730="teilbelegt",H730="Ungeklärt",H730="Bargeld"),"Beleg / Verwendung klären","vollständig erfasst")))))))))</x:f>
      </x:c>
    </x:row>
    <x:row r="731" ht="22" customHeight="1">
      <x:c r="A731" s="7"/>
      <x:c r="B731" s="8"/>
      <x:c r="C731" s="7"/>
      <x:c r="D731" s="7"/>
      <x:c r="E731" s="7"/>
      <x:c r="F731" s="20"/>
      <x:c r="G731" s="7"/>
      <x:c r="H731" s="7"/>
      <x:c r="I731" s="7"/>
      <x:c r="J731" s="7"/>
      <x:c r="K731" s="7"/>
      <x:c r="L731" s="7"/>
      <x:c r="M731" s="7"/>
      <x:c r="N731" s="7"/>
      <x:c r="O731" s="2" t="str">
        <x:f>IF(A731="","",IF(COUNTIFS($A$7:$A$1506,A731)&gt;1,"Buchung-ID doppelt",IF(OR(NOT(ISNUMBER(B731)),C731="",NOT(ISNUMBER(F731)),H731="",L731=""),"Pflichtangaben fehlen",IF(COUNTIFS('Konten'!$A$7:$A$26,C731)&lt;&gt;1,"Konto nicht eindeutig",IF(J731&lt;&gt;"Ja","Zuordnung bestätigen",IF(OR(AND(H731="Einnahme",F731&lt;0),AND(H731="Ausgabe",F731&gt;0)),"Vorzeichen prüfen",IF(AND(H731="Umbuchung",OR(K731="",COUNTIFS($A$7:$A$1506,K731)&lt;&gt;1)),"Gegenbuchung fehlt",IF(AND(H731="Umbuchung",ROUND(SUMIFS($F$7:$F$1506,$A$7:$A$1506,K731)+F731,2)&lt;&gt;0),"Umbuchung abweichend",IF(OR(G731="",M731="",M731="offen",M731="teilbelegt",H731="Ungeklärt",H731="Bargeld"),"Beleg / Verwendung klären","vollständig erfasst")))))))))</x:f>
      </x:c>
    </x:row>
    <x:row r="732" ht="22" customHeight="1">
      <x:c r="A732" s="7"/>
      <x:c r="B732" s="8"/>
      <x:c r="C732" s="7"/>
      <x:c r="D732" s="7"/>
      <x:c r="E732" s="7"/>
      <x:c r="F732" s="20"/>
      <x:c r="G732" s="7"/>
      <x:c r="H732" s="7"/>
      <x:c r="I732" s="7"/>
      <x:c r="J732" s="7"/>
      <x:c r="K732" s="7"/>
      <x:c r="L732" s="7"/>
      <x:c r="M732" s="7"/>
      <x:c r="N732" s="7"/>
      <x:c r="O732" s="2" t="str">
        <x:f>IF(A732="","",IF(COUNTIFS($A$7:$A$1506,A732)&gt;1,"Buchung-ID doppelt",IF(OR(NOT(ISNUMBER(B732)),C732="",NOT(ISNUMBER(F732)),H732="",L732=""),"Pflichtangaben fehlen",IF(COUNTIFS('Konten'!$A$7:$A$26,C732)&lt;&gt;1,"Konto nicht eindeutig",IF(J732&lt;&gt;"Ja","Zuordnung bestätigen",IF(OR(AND(H732="Einnahme",F732&lt;0),AND(H732="Ausgabe",F732&gt;0)),"Vorzeichen prüfen",IF(AND(H732="Umbuchung",OR(K732="",COUNTIFS($A$7:$A$1506,K732)&lt;&gt;1)),"Gegenbuchung fehlt",IF(AND(H732="Umbuchung",ROUND(SUMIFS($F$7:$F$1506,$A$7:$A$1506,K732)+F732,2)&lt;&gt;0),"Umbuchung abweichend",IF(OR(G732="",M732="",M732="offen",M732="teilbelegt",H732="Ungeklärt",H732="Bargeld"),"Beleg / Verwendung klären","vollständig erfasst")))))))))</x:f>
      </x:c>
    </x:row>
    <x:row r="733" ht="22" customHeight="1">
      <x:c r="A733" s="7"/>
      <x:c r="B733" s="8"/>
      <x:c r="C733" s="7"/>
      <x:c r="D733" s="7"/>
      <x:c r="E733" s="7"/>
      <x:c r="F733" s="20"/>
      <x:c r="G733" s="7"/>
      <x:c r="H733" s="7"/>
      <x:c r="I733" s="7"/>
      <x:c r="J733" s="7"/>
      <x:c r="K733" s="7"/>
      <x:c r="L733" s="7"/>
      <x:c r="M733" s="7"/>
      <x:c r="N733" s="7"/>
      <x:c r="O733" s="2" t="str">
        <x:f>IF(A733="","",IF(COUNTIFS($A$7:$A$1506,A733)&gt;1,"Buchung-ID doppelt",IF(OR(NOT(ISNUMBER(B733)),C733="",NOT(ISNUMBER(F733)),H733="",L733=""),"Pflichtangaben fehlen",IF(COUNTIFS('Konten'!$A$7:$A$26,C733)&lt;&gt;1,"Konto nicht eindeutig",IF(J733&lt;&gt;"Ja","Zuordnung bestätigen",IF(OR(AND(H733="Einnahme",F733&lt;0),AND(H733="Ausgabe",F733&gt;0)),"Vorzeichen prüfen",IF(AND(H733="Umbuchung",OR(K733="",COUNTIFS($A$7:$A$1506,K733)&lt;&gt;1)),"Gegenbuchung fehlt",IF(AND(H733="Umbuchung",ROUND(SUMIFS($F$7:$F$1506,$A$7:$A$1506,K733)+F733,2)&lt;&gt;0),"Umbuchung abweichend",IF(OR(G733="",M733="",M733="offen",M733="teilbelegt",H733="Ungeklärt",H733="Bargeld"),"Beleg / Verwendung klären","vollständig erfasst")))))))))</x:f>
      </x:c>
    </x:row>
    <x:row r="734" ht="22" customHeight="1">
      <x:c r="A734" s="7"/>
      <x:c r="B734" s="8"/>
      <x:c r="C734" s="7"/>
      <x:c r="D734" s="7"/>
      <x:c r="E734" s="7"/>
      <x:c r="F734" s="20"/>
      <x:c r="G734" s="7"/>
      <x:c r="H734" s="7"/>
      <x:c r="I734" s="7"/>
      <x:c r="J734" s="7"/>
      <x:c r="K734" s="7"/>
      <x:c r="L734" s="7"/>
      <x:c r="M734" s="7"/>
      <x:c r="N734" s="7"/>
      <x:c r="O734" s="2" t="str">
        <x:f>IF(A734="","",IF(COUNTIFS($A$7:$A$1506,A734)&gt;1,"Buchung-ID doppelt",IF(OR(NOT(ISNUMBER(B734)),C734="",NOT(ISNUMBER(F734)),H734="",L734=""),"Pflichtangaben fehlen",IF(COUNTIFS('Konten'!$A$7:$A$26,C734)&lt;&gt;1,"Konto nicht eindeutig",IF(J734&lt;&gt;"Ja","Zuordnung bestätigen",IF(OR(AND(H734="Einnahme",F734&lt;0),AND(H734="Ausgabe",F734&gt;0)),"Vorzeichen prüfen",IF(AND(H734="Umbuchung",OR(K734="",COUNTIFS($A$7:$A$1506,K734)&lt;&gt;1)),"Gegenbuchung fehlt",IF(AND(H734="Umbuchung",ROUND(SUMIFS($F$7:$F$1506,$A$7:$A$1506,K734)+F734,2)&lt;&gt;0),"Umbuchung abweichend",IF(OR(G734="",M734="",M734="offen",M734="teilbelegt",H734="Ungeklärt",H734="Bargeld"),"Beleg / Verwendung klären","vollständig erfasst")))))))))</x:f>
      </x:c>
    </x:row>
    <x:row r="735" ht="22" customHeight="1">
      <x:c r="A735" s="7"/>
      <x:c r="B735" s="8"/>
      <x:c r="C735" s="7"/>
      <x:c r="D735" s="7"/>
      <x:c r="E735" s="7"/>
      <x:c r="F735" s="20"/>
      <x:c r="G735" s="7"/>
      <x:c r="H735" s="7"/>
      <x:c r="I735" s="7"/>
      <x:c r="J735" s="7"/>
      <x:c r="K735" s="7"/>
      <x:c r="L735" s="7"/>
      <x:c r="M735" s="7"/>
      <x:c r="N735" s="7"/>
      <x:c r="O735" s="2" t="str">
        <x:f>IF(A735="","",IF(COUNTIFS($A$7:$A$1506,A735)&gt;1,"Buchung-ID doppelt",IF(OR(NOT(ISNUMBER(B735)),C735="",NOT(ISNUMBER(F735)),H735="",L735=""),"Pflichtangaben fehlen",IF(COUNTIFS('Konten'!$A$7:$A$26,C735)&lt;&gt;1,"Konto nicht eindeutig",IF(J735&lt;&gt;"Ja","Zuordnung bestätigen",IF(OR(AND(H735="Einnahme",F735&lt;0),AND(H735="Ausgabe",F735&gt;0)),"Vorzeichen prüfen",IF(AND(H735="Umbuchung",OR(K735="",COUNTIFS($A$7:$A$1506,K735)&lt;&gt;1)),"Gegenbuchung fehlt",IF(AND(H735="Umbuchung",ROUND(SUMIFS($F$7:$F$1506,$A$7:$A$1506,K735)+F735,2)&lt;&gt;0),"Umbuchung abweichend",IF(OR(G735="",M735="",M735="offen",M735="teilbelegt",H735="Ungeklärt",H735="Bargeld"),"Beleg / Verwendung klären","vollständig erfasst")))))))))</x:f>
      </x:c>
    </x:row>
    <x:row r="736" ht="22" customHeight="1">
      <x:c r="A736" s="7"/>
      <x:c r="B736" s="8"/>
      <x:c r="C736" s="7"/>
      <x:c r="D736" s="7"/>
      <x:c r="E736" s="7"/>
      <x:c r="F736" s="20"/>
      <x:c r="G736" s="7"/>
      <x:c r="H736" s="7"/>
      <x:c r="I736" s="7"/>
      <x:c r="J736" s="7"/>
      <x:c r="K736" s="7"/>
      <x:c r="L736" s="7"/>
      <x:c r="M736" s="7"/>
      <x:c r="N736" s="7"/>
      <x:c r="O736" s="2" t="str">
        <x:f>IF(A736="","",IF(COUNTIFS($A$7:$A$1506,A736)&gt;1,"Buchung-ID doppelt",IF(OR(NOT(ISNUMBER(B736)),C736="",NOT(ISNUMBER(F736)),H736="",L736=""),"Pflichtangaben fehlen",IF(COUNTIFS('Konten'!$A$7:$A$26,C736)&lt;&gt;1,"Konto nicht eindeutig",IF(J736&lt;&gt;"Ja","Zuordnung bestätigen",IF(OR(AND(H736="Einnahme",F736&lt;0),AND(H736="Ausgabe",F736&gt;0)),"Vorzeichen prüfen",IF(AND(H736="Umbuchung",OR(K736="",COUNTIFS($A$7:$A$1506,K736)&lt;&gt;1)),"Gegenbuchung fehlt",IF(AND(H736="Umbuchung",ROUND(SUMIFS($F$7:$F$1506,$A$7:$A$1506,K736)+F736,2)&lt;&gt;0),"Umbuchung abweichend",IF(OR(G736="",M736="",M736="offen",M736="teilbelegt",H736="Ungeklärt",H736="Bargeld"),"Beleg / Verwendung klären","vollständig erfasst")))))))))</x:f>
      </x:c>
    </x:row>
    <x:row r="737" ht="22" customHeight="1">
      <x:c r="A737" s="7"/>
      <x:c r="B737" s="8"/>
      <x:c r="C737" s="7"/>
      <x:c r="D737" s="7"/>
      <x:c r="E737" s="7"/>
      <x:c r="F737" s="20"/>
      <x:c r="G737" s="7"/>
      <x:c r="H737" s="7"/>
      <x:c r="I737" s="7"/>
      <x:c r="J737" s="7"/>
      <x:c r="K737" s="7"/>
      <x:c r="L737" s="7"/>
      <x:c r="M737" s="7"/>
      <x:c r="N737" s="7"/>
      <x:c r="O737" s="2" t="str">
        <x:f>IF(A737="","",IF(COUNTIFS($A$7:$A$1506,A737)&gt;1,"Buchung-ID doppelt",IF(OR(NOT(ISNUMBER(B737)),C737="",NOT(ISNUMBER(F737)),H737="",L737=""),"Pflichtangaben fehlen",IF(COUNTIFS('Konten'!$A$7:$A$26,C737)&lt;&gt;1,"Konto nicht eindeutig",IF(J737&lt;&gt;"Ja","Zuordnung bestätigen",IF(OR(AND(H737="Einnahme",F737&lt;0),AND(H737="Ausgabe",F737&gt;0)),"Vorzeichen prüfen",IF(AND(H737="Umbuchung",OR(K737="",COUNTIFS($A$7:$A$1506,K737)&lt;&gt;1)),"Gegenbuchung fehlt",IF(AND(H737="Umbuchung",ROUND(SUMIFS($F$7:$F$1506,$A$7:$A$1506,K737)+F737,2)&lt;&gt;0),"Umbuchung abweichend",IF(OR(G737="",M737="",M737="offen",M737="teilbelegt",H737="Ungeklärt",H737="Bargeld"),"Beleg / Verwendung klären","vollständig erfasst")))))))))</x:f>
      </x:c>
    </x:row>
    <x:row r="738" ht="22" customHeight="1">
      <x:c r="A738" s="7"/>
      <x:c r="B738" s="8"/>
      <x:c r="C738" s="7"/>
      <x:c r="D738" s="7"/>
      <x:c r="E738" s="7"/>
      <x:c r="F738" s="20"/>
      <x:c r="G738" s="7"/>
      <x:c r="H738" s="7"/>
      <x:c r="I738" s="7"/>
      <x:c r="J738" s="7"/>
      <x:c r="K738" s="7"/>
      <x:c r="L738" s="7"/>
      <x:c r="M738" s="7"/>
      <x:c r="N738" s="7"/>
      <x:c r="O738" s="2" t="str">
        <x:f>IF(A738="","",IF(COUNTIFS($A$7:$A$1506,A738)&gt;1,"Buchung-ID doppelt",IF(OR(NOT(ISNUMBER(B738)),C738="",NOT(ISNUMBER(F738)),H738="",L738=""),"Pflichtangaben fehlen",IF(COUNTIFS('Konten'!$A$7:$A$26,C738)&lt;&gt;1,"Konto nicht eindeutig",IF(J738&lt;&gt;"Ja","Zuordnung bestätigen",IF(OR(AND(H738="Einnahme",F738&lt;0),AND(H738="Ausgabe",F738&gt;0)),"Vorzeichen prüfen",IF(AND(H738="Umbuchung",OR(K738="",COUNTIFS($A$7:$A$1506,K738)&lt;&gt;1)),"Gegenbuchung fehlt",IF(AND(H738="Umbuchung",ROUND(SUMIFS($F$7:$F$1506,$A$7:$A$1506,K738)+F738,2)&lt;&gt;0),"Umbuchung abweichend",IF(OR(G738="",M738="",M738="offen",M738="teilbelegt",H738="Ungeklärt",H738="Bargeld"),"Beleg / Verwendung klären","vollständig erfasst")))))))))</x:f>
      </x:c>
    </x:row>
    <x:row r="739" ht="22" customHeight="1">
      <x:c r="A739" s="7"/>
      <x:c r="B739" s="8"/>
      <x:c r="C739" s="7"/>
      <x:c r="D739" s="7"/>
      <x:c r="E739" s="7"/>
      <x:c r="F739" s="20"/>
      <x:c r="G739" s="7"/>
      <x:c r="H739" s="7"/>
      <x:c r="I739" s="7"/>
      <x:c r="J739" s="7"/>
      <x:c r="K739" s="7"/>
      <x:c r="L739" s="7"/>
      <x:c r="M739" s="7"/>
      <x:c r="N739" s="7"/>
      <x:c r="O739" s="2" t="str">
        <x:f>IF(A739="","",IF(COUNTIFS($A$7:$A$1506,A739)&gt;1,"Buchung-ID doppelt",IF(OR(NOT(ISNUMBER(B739)),C739="",NOT(ISNUMBER(F739)),H739="",L739=""),"Pflichtangaben fehlen",IF(COUNTIFS('Konten'!$A$7:$A$26,C739)&lt;&gt;1,"Konto nicht eindeutig",IF(J739&lt;&gt;"Ja","Zuordnung bestätigen",IF(OR(AND(H739="Einnahme",F739&lt;0),AND(H739="Ausgabe",F739&gt;0)),"Vorzeichen prüfen",IF(AND(H739="Umbuchung",OR(K739="",COUNTIFS($A$7:$A$1506,K739)&lt;&gt;1)),"Gegenbuchung fehlt",IF(AND(H739="Umbuchung",ROUND(SUMIFS($F$7:$F$1506,$A$7:$A$1506,K739)+F739,2)&lt;&gt;0),"Umbuchung abweichend",IF(OR(G739="",M739="",M739="offen",M739="teilbelegt",H739="Ungeklärt",H739="Bargeld"),"Beleg / Verwendung klären","vollständig erfasst")))))))))</x:f>
      </x:c>
    </x:row>
    <x:row r="740" ht="22" customHeight="1">
      <x:c r="A740" s="7"/>
      <x:c r="B740" s="8"/>
      <x:c r="C740" s="7"/>
      <x:c r="D740" s="7"/>
      <x:c r="E740" s="7"/>
      <x:c r="F740" s="20"/>
      <x:c r="G740" s="7"/>
      <x:c r="H740" s="7"/>
      <x:c r="I740" s="7"/>
      <x:c r="J740" s="7"/>
      <x:c r="K740" s="7"/>
      <x:c r="L740" s="7"/>
      <x:c r="M740" s="7"/>
      <x:c r="N740" s="7"/>
      <x:c r="O740" s="2" t="str">
        <x:f>IF(A740="","",IF(COUNTIFS($A$7:$A$1506,A740)&gt;1,"Buchung-ID doppelt",IF(OR(NOT(ISNUMBER(B740)),C740="",NOT(ISNUMBER(F740)),H740="",L740=""),"Pflichtangaben fehlen",IF(COUNTIFS('Konten'!$A$7:$A$26,C740)&lt;&gt;1,"Konto nicht eindeutig",IF(J740&lt;&gt;"Ja","Zuordnung bestätigen",IF(OR(AND(H740="Einnahme",F740&lt;0),AND(H740="Ausgabe",F740&gt;0)),"Vorzeichen prüfen",IF(AND(H740="Umbuchung",OR(K740="",COUNTIFS($A$7:$A$1506,K740)&lt;&gt;1)),"Gegenbuchung fehlt",IF(AND(H740="Umbuchung",ROUND(SUMIFS($F$7:$F$1506,$A$7:$A$1506,K740)+F740,2)&lt;&gt;0),"Umbuchung abweichend",IF(OR(G740="",M740="",M740="offen",M740="teilbelegt",H740="Ungeklärt",H740="Bargeld"),"Beleg / Verwendung klären","vollständig erfasst")))))))))</x:f>
      </x:c>
    </x:row>
    <x:row r="741" ht="22" customHeight="1">
      <x:c r="A741" s="7"/>
      <x:c r="B741" s="8"/>
      <x:c r="C741" s="7"/>
      <x:c r="D741" s="7"/>
      <x:c r="E741" s="7"/>
      <x:c r="F741" s="20"/>
      <x:c r="G741" s="7"/>
      <x:c r="H741" s="7"/>
      <x:c r="I741" s="7"/>
      <x:c r="J741" s="7"/>
      <x:c r="K741" s="7"/>
      <x:c r="L741" s="7"/>
      <x:c r="M741" s="7"/>
      <x:c r="N741" s="7"/>
      <x:c r="O741" s="2" t="str">
        <x:f>IF(A741="","",IF(COUNTIFS($A$7:$A$1506,A741)&gt;1,"Buchung-ID doppelt",IF(OR(NOT(ISNUMBER(B741)),C741="",NOT(ISNUMBER(F741)),H741="",L741=""),"Pflichtangaben fehlen",IF(COUNTIFS('Konten'!$A$7:$A$26,C741)&lt;&gt;1,"Konto nicht eindeutig",IF(J741&lt;&gt;"Ja","Zuordnung bestätigen",IF(OR(AND(H741="Einnahme",F741&lt;0),AND(H741="Ausgabe",F741&gt;0)),"Vorzeichen prüfen",IF(AND(H741="Umbuchung",OR(K741="",COUNTIFS($A$7:$A$1506,K741)&lt;&gt;1)),"Gegenbuchung fehlt",IF(AND(H741="Umbuchung",ROUND(SUMIFS($F$7:$F$1506,$A$7:$A$1506,K741)+F741,2)&lt;&gt;0),"Umbuchung abweichend",IF(OR(G741="",M741="",M741="offen",M741="teilbelegt",H741="Ungeklärt",H741="Bargeld"),"Beleg / Verwendung klären","vollständig erfasst")))))))))</x:f>
      </x:c>
    </x:row>
    <x:row r="742" ht="22" customHeight="1">
      <x:c r="A742" s="7"/>
      <x:c r="B742" s="8"/>
      <x:c r="C742" s="7"/>
      <x:c r="D742" s="7"/>
      <x:c r="E742" s="7"/>
      <x:c r="F742" s="20"/>
      <x:c r="G742" s="7"/>
      <x:c r="H742" s="7"/>
      <x:c r="I742" s="7"/>
      <x:c r="J742" s="7"/>
      <x:c r="K742" s="7"/>
      <x:c r="L742" s="7"/>
      <x:c r="M742" s="7"/>
      <x:c r="N742" s="7"/>
      <x:c r="O742" s="2" t="str">
        <x:f>IF(A742="","",IF(COUNTIFS($A$7:$A$1506,A742)&gt;1,"Buchung-ID doppelt",IF(OR(NOT(ISNUMBER(B742)),C742="",NOT(ISNUMBER(F742)),H742="",L742=""),"Pflichtangaben fehlen",IF(COUNTIFS('Konten'!$A$7:$A$26,C742)&lt;&gt;1,"Konto nicht eindeutig",IF(J742&lt;&gt;"Ja","Zuordnung bestätigen",IF(OR(AND(H742="Einnahme",F742&lt;0),AND(H742="Ausgabe",F742&gt;0)),"Vorzeichen prüfen",IF(AND(H742="Umbuchung",OR(K742="",COUNTIFS($A$7:$A$1506,K742)&lt;&gt;1)),"Gegenbuchung fehlt",IF(AND(H742="Umbuchung",ROUND(SUMIFS($F$7:$F$1506,$A$7:$A$1506,K742)+F742,2)&lt;&gt;0),"Umbuchung abweichend",IF(OR(G742="",M742="",M742="offen",M742="teilbelegt",H742="Ungeklärt",H742="Bargeld"),"Beleg / Verwendung klären","vollständig erfasst")))))))))</x:f>
      </x:c>
    </x:row>
    <x:row r="743" ht="22" customHeight="1">
      <x:c r="A743" s="7"/>
      <x:c r="B743" s="8"/>
      <x:c r="C743" s="7"/>
      <x:c r="D743" s="7"/>
      <x:c r="E743" s="7"/>
      <x:c r="F743" s="20"/>
      <x:c r="G743" s="7"/>
      <x:c r="H743" s="7"/>
      <x:c r="I743" s="7"/>
      <x:c r="J743" s="7"/>
      <x:c r="K743" s="7"/>
      <x:c r="L743" s="7"/>
      <x:c r="M743" s="7"/>
      <x:c r="N743" s="7"/>
      <x:c r="O743" s="2" t="str">
        <x:f>IF(A743="","",IF(COUNTIFS($A$7:$A$1506,A743)&gt;1,"Buchung-ID doppelt",IF(OR(NOT(ISNUMBER(B743)),C743="",NOT(ISNUMBER(F743)),H743="",L743=""),"Pflichtangaben fehlen",IF(COUNTIFS('Konten'!$A$7:$A$26,C743)&lt;&gt;1,"Konto nicht eindeutig",IF(J743&lt;&gt;"Ja","Zuordnung bestätigen",IF(OR(AND(H743="Einnahme",F743&lt;0),AND(H743="Ausgabe",F743&gt;0)),"Vorzeichen prüfen",IF(AND(H743="Umbuchung",OR(K743="",COUNTIFS($A$7:$A$1506,K743)&lt;&gt;1)),"Gegenbuchung fehlt",IF(AND(H743="Umbuchung",ROUND(SUMIFS($F$7:$F$1506,$A$7:$A$1506,K743)+F743,2)&lt;&gt;0),"Umbuchung abweichend",IF(OR(G743="",M743="",M743="offen",M743="teilbelegt",H743="Ungeklärt",H743="Bargeld"),"Beleg / Verwendung klären","vollständig erfasst")))))))))</x:f>
      </x:c>
    </x:row>
    <x:row r="744" ht="22" customHeight="1">
      <x:c r="A744" s="7"/>
      <x:c r="B744" s="8"/>
      <x:c r="C744" s="7"/>
      <x:c r="D744" s="7"/>
      <x:c r="E744" s="7"/>
      <x:c r="F744" s="20"/>
      <x:c r="G744" s="7"/>
      <x:c r="H744" s="7"/>
      <x:c r="I744" s="7"/>
      <x:c r="J744" s="7"/>
      <x:c r="K744" s="7"/>
      <x:c r="L744" s="7"/>
      <x:c r="M744" s="7"/>
      <x:c r="N744" s="7"/>
      <x:c r="O744" s="2" t="str">
        <x:f>IF(A744="","",IF(COUNTIFS($A$7:$A$1506,A744)&gt;1,"Buchung-ID doppelt",IF(OR(NOT(ISNUMBER(B744)),C744="",NOT(ISNUMBER(F744)),H744="",L744=""),"Pflichtangaben fehlen",IF(COUNTIFS('Konten'!$A$7:$A$26,C744)&lt;&gt;1,"Konto nicht eindeutig",IF(J744&lt;&gt;"Ja","Zuordnung bestätigen",IF(OR(AND(H744="Einnahme",F744&lt;0),AND(H744="Ausgabe",F744&gt;0)),"Vorzeichen prüfen",IF(AND(H744="Umbuchung",OR(K744="",COUNTIFS($A$7:$A$1506,K744)&lt;&gt;1)),"Gegenbuchung fehlt",IF(AND(H744="Umbuchung",ROUND(SUMIFS($F$7:$F$1506,$A$7:$A$1506,K744)+F744,2)&lt;&gt;0),"Umbuchung abweichend",IF(OR(G744="",M744="",M744="offen",M744="teilbelegt",H744="Ungeklärt",H744="Bargeld"),"Beleg / Verwendung klären","vollständig erfasst")))))))))</x:f>
      </x:c>
    </x:row>
    <x:row r="745" ht="22" customHeight="1">
      <x:c r="A745" s="7"/>
      <x:c r="B745" s="8"/>
      <x:c r="C745" s="7"/>
      <x:c r="D745" s="7"/>
      <x:c r="E745" s="7"/>
      <x:c r="F745" s="20"/>
      <x:c r="G745" s="7"/>
      <x:c r="H745" s="7"/>
      <x:c r="I745" s="7"/>
      <x:c r="J745" s="7"/>
      <x:c r="K745" s="7"/>
      <x:c r="L745" s="7"/>
      <x:c r="M745" s="7"/>
      <x:c r="N745" s="7"/>
      <x:c r="O745" s="2" t="str">
        <x:f>IF(A745="","",IF(COUNTIFS($A$7:$A$1506,A745)&gt;1,"Buchung-ID doppelt",IF(OR(NOT(ISNUMBER(B745)),C745="",NOT(ISNUMBER(F745)),H745="",L745=""),"Pflichtangaben fehlen",IF(COUNTIFS('Konten'!$A$7:$A$26,C745)&lt;&gt;1,"Konto nicht eindeutig",IF(J745&lt;&gt;"Ja","Zuordnung bestätigen",IF(OR(AND(H745="Einnahme",F745&lt;0),AND(H745="Ausgabe",F745&gt;0)),"Vorzeichen prüfen",IF(AND(H745="Umbuchung",OR(K745="",COUNTIFS($A$7:$A$1506,K745)&lt;&gt;1)),"Gegenbuchung fehlt",IF(AND(H745="Umbuchung",ROUND(SUMIFS($F$7:$F$1506,$A$7:$A$1506,K745)+F745,2)&lt;&gt;0),"Umbuchung abweichend",IF(OR(G745="",M745="",M745="offen",M745="teilbelegt",H745="Ungeklärt",H745="Bargeld"),"Beleg / Verwendung klären","vollständig erfasst")))))))))</x:f>
      </x:c>
    </x:row>
    <x:row r="746" ht="22" customHeight="1">
      <x:c r="A746" s="7"/>
      <x:c r="B746" s="8"/>
      <x:c r="C746" s="7"/>
      <x:c r="D746" s="7"/>
      <x:c r="E746" s="7"/>
      <x:c r="F746" s="20"/>
      <x:c r="G746" s="7"/>
      <x:c r="H746" s="7"/>
      <x:c r="I746" s="7"/>
      <x:c r="J746" s="7"/>
      <x:c r="K746" s="7"/>
      <x:c r="L746" s="7"/>
      <x:c r="M746" s="7"/>
      <x:c r="N746" s="7"/>
      <x:c r="O746" s="2" t="str">
        <x:f>IF(A746="","",IF(COUNTIFS($A$7:$A$1506,A746)&gt;1,"Buchung-ID doppelt",IF(OR(NOT(ISNUMBER(B746)),C746="",NOT(ISNUMBER(F746)),H746="",L746=""),"Pflichtangaben fehlen",IF(COUNTIFS('Konten'!$A$7:$A$26,C746)&lt;&gt;1,"Konto nicht eindeutig",IF(J746&lt;&gt;"Ja","Zuordnung bestätigen",IF(OR(AND(H746="Einnahme",F746&lt;0),AND(H746="Ausgabe",F746&gt;0)),"Vorzeichen prüfen",IF(AND(H746="Umbuchung",OR(K746="",COUNTIFS($A$7:$A$1506,K746)&lt;&gt;1)),"Gegenbuchung fehlt",IF(AND(H746="Umbuchung",ROUND(SUMIFS($F$7:$F$1506,$A$7:$A$1506,K746)+F746,2)&lt;&gt;0),"Umbuchung abweichend",IF(OR(G746="",M746="",M746="offen",M746="teilbelegt",H746="Ungeklärt",H746="Bargeld"),"Beleg / Verwendung klären","vollständig erfasst")))))))))</x:f>
      </x:c>
    </x:row>
    <x:row r="747" ht="22" customHeight="1">
      <x:c r="A747" s="7"/>
      <x:c r="B747" s="8"/>
      <x:c r="C747" s="7"/>
      <x:c r="D747" s="7"/>
      <x:c r="E747" s="7"/>
      <x:c r="F747" s="20"/>
      <x:c r="G747" s="7"/>
      <x:c r="H747" s="7"/>
      <x:c r="I747" s="7"/>
      <x:c r="J747" s="7"/>
      <x:c r="K747" s="7"/>
      <x:c r="L747" s="7"/>
      <x:c r="M747" s="7"/>
      <x:c r="N747" s="7"/>
      <x:c r="O747" s="2" t="str">
        <x:f>IF(A747="","",IF(COUNTIFS($A$7:$A$1506,A747)&gt;1,"Buchung-ID doppelt",IF(OR(NOT(ISNUMBER(B747)),C747="",NOT(ISNUMBER(F747)),H747="",L747=""),"Pflichtangaben fehlen",IF(COUNTIFS('Konten'!$A$7:$A$26,C747)&lt;&gt;1,"Konto nicht eindeutig",IF(J747&lt;&gt;"Ja","Zuordnung bestätigen",IF(OR(AND(H747="Einnahme",F747&lt;0),AND(H747="Ausgabe",F747&gt;0)),"Vorzeichen prüfen",IF(AND(H747="Umbuchung",OR(K747="",COUNTIFS($A$7:$A$1506,K747)&lt;&gt;1)),"Gegenbuchung fehlt",IF(AND(H747="Umbuchung",ROUND(SUMIFS($F$7:$F$1506,$A$7:$A$1506,K747)+F747,2)&lt;&gt;0),"Umbuchung abweichend",IF(OR(G747="",M747="",M747="offen",M747="teilbelegt",H747="Ungeklärt",H747="Bargeld"),"Beleg / Verwendung klären","vollständig erfasst")))))))))</x:f>
      </x:c>
    </x:row>
    <x:row r="748" ht="22" customHeight="1">
      <x:c r="A748" s="7"/>
      <x:c r="B748" s="8"/>
      <x:c r="C748" s="7"/>
      <x:c r="D748" s="7"/>
      <x:c r="E748" s="7"/>
      <x:c r="F748" s="20"/>
      <x:c r="G748" s="7"/>
      <x:c r="H748" s="7"/>
      <x:c r="I748" s="7"/>
      <x:c r="J748" s="7"/>
      <x:c r="K748" s="7"/>
      <x:c r="L748" s="7"/>
      <x:c r="M748" s="7"/>
      <x:c r="N748" s="7"/>
      <x:c r="O748" s="2" t="str">
        <x:f>IF(A748="","",IF(COUNTIFS($A$7:$A$1506,A748)&gt;1,"Buchung-ID doppelt",IF(OR(NOT(ISNUMBER(B748)),C748="",NOT(ISNUMBER(F748)),H748="",L748=""),"Pflichtangaben fehlen",IF(COUNTIFS('Konten'!$A$7:$A$26,C748)&lt;&gt;1,"Konto nicht eindeutig",IF(J748&lt;&gt;"Ja","Zuordnung bestätigen",IF(OR(AND(H748="Einnahme",F748&lt;0),AND(H748="Ausgabe",F748&gt;0)),"Vorzeichen prüfen",IF(AND(H748="Umbuchung",OR(K748="",COUNTIFS($A$7:$A$1506,K748)&lt;&gt;1)),"Gegenbuchung fehlt",IF(AND(H748="Umbuchung",ROUND(SUMIFS($F$7:$F$1506,$A$7:$A$1506,K748)+F748,2)&lt;&gt;0),"Umbuchung abweichend",IF(OR(G748="",M748="",M748="offen",M748="teilbelegt",H748="Ungeklärt",H748="Bargeld"),"Beleg / Verwendung klären","vollständig erfasst")))))))))</x:f>
      </x:c>
    </x:row>
    <x:row r="749" ht="22" customHeight="1">
      <x:c r="A749" s="7"/>
      <x:c r="B749" s="8"/>
      <x:c r="C749" s="7"/>
      <x:c r="D749" s="7"/>
      <x:c r="E749" s="7"/>
      <x:c r="F749" s="20"/>
      <x:c r="G749" s="7"/>
      <x:c r="H749" s="7"/>
      <x:c r="I749" s="7"/>
      <x:c r="J749" s="7"/>
      <x:c r="K749" s="7"/>
      <x:c r="L749" s="7"/>
      <x:c r="M749" s="7"/>
      <x:c r="N749" s="7"/>
      <x:c r="O749" s="2" t="str">
        <x:f>IF(A749="","",IF(COUNTIFS($A$7:$A$1506,A749)&gt;1,"Buchung-ID doppelt",IF(OR(NOT(ISNUMBER(B749)),C749="",NOT(ISNUMBER(F749)),H749="",L749=""),"Pflichtangaben fehlen",IF(COUNTIFS('Konten'!$A$7:$A$26,C749)&lt;&gt;1,"Konto nicht eindeutig",IF(J749&lt;&gt;"Ja","Zuordnung bestätigen",IF(OR(AND(H749="Einnahme",F749&lt;0),AND(H749="Ausgabe",F749&gt;0)),"Vorzeichen prüfen",IF(AND(H749="Umbuchung",OR(K749="",COUNTIFS($A$7:$A$1506,K749)&lt;&gt;1)),"Gegenbuchung fehlt",IF(AND(H749="Umbuchung",ROUND(SUMIFS($F$7:$F$1506,$A$7:$A$1506,K749)+F749,2)&lt;&gt;0),"Umbuchung abweichend",IF(OR(G749="",M749="",M749="offen",M749="teilbelegt",H749="Ungeklärt",H749="Bargeld"),"Beleg / Verwendung klären","vollständig erfasst")))))))))</x:f>
      </x:c>
    </x:row>
    <x:row r="750" ht="22" customHeight="1">
      <x:c r="A750" s="7"/>
      <x:c r="B750" s="8"/>
      <x:c r="C750" s="7"/>
      <x:c r="D750" s="7"/>
      <x:c r="E750" s="7"/>
      <x:c r="F750" s="20"/>
      <x:c r="G750" s="7"/>
      <x:c r="H750" s="7"/>
      <x:c r="I750" s="7"/>
      <x:c r="J750" s="7"/>
      <x:c r="K750" s="7"/>
      <x:c r="L750" s="7"/>
      <x:c r="M750" s="7"/>
      <x:c r="N750" s="7"/>
      <x:c r="O750" s="2" t="str">
        <x:f>IF(A750="","",IF(COUNTIFS($A$7:$A$1506,A750)&gt;1,"Buchung-ID doppelt",IF(OR(NOT(ISNUMBER(B750)),C750="",NOT(ISNUMBER(F750)),H750="",L750=""),"Pflichtangaben fehlen",IF(COUNTIFS('Konten'!$A$7:$A$26,C750)&lt;&gt;1,"Konto nicht eindeutig",IF(J750&lt;&gt;"Ja","Zuordnung bestätigen",IF(OR(AND(H750="Einnahme",F750&lt;0),AND(H750="Ausgabe",F750&gt;0)),"Vorzeichen prüfen",IF(AND(H750="Umbuchung",OR(K750="",COUNTIFS($A$7:$A$1506,K750)&lt;&gt;1)),"Gegenbuchung fehlt",IF(AND(H750="Umbuchung",ROUND(SUMIFS($F$7:$F$1506,$A$7:$A$1506,K750)+F750,2)&lt;&gt;0),"Umbuchung abweichend",IF(OR(G750="",M750="",M750="offen",M750="teilbelegt",H750="Ungeklärt",H750="Bargeld"),"Beleg / Verwendung klären","vollständig erfasst")))))))))</x:f>
      </x:c>
    </x:row>
    <x:row r="751" ht="22" customHeight="1">
      <x:c r="A751" s="7"/>
      <x:c r="B751" s="8"/>
      <x:c r="C751" s="7"/>
      <x:c r="D751" s="7"/>
      <x:c r="E751" s="7"/>
      <x:c r="F751" s="20"/>
      <x:c r="G751" s="7"/>
      <x:c r="H751" s="7"/>
      <x:c r="I751" s="7"/>
      <x:c r="J751" s="7"/>
      <x:c r="K751" s="7"/>
      <x:c r="L751" s="7"/>
      <x:c r="M751" s="7"/>
      <x:c r="N751" s="7"/>
      <x:c r="O751" s="2" t="str">
        <x:f>IF(A751="","",IF(COUNTIFS($A$7:$A$1506,A751)&gt;1,"Buchung-ID doppelt",IF(OR(NOT(ISNUMBER(B751)),C751="",NOT(ISNUMBER(F751)),H751="",L751=""),"Pflichtangaben fehlen",IF(COUNTIFS('Konten'!$A$7:$A$26,C751)&lt;&gt;1,"Konto nicht eindeutig",IF(J751&lt;&gt;"Ja","Zuordnung bestätigen",IF(OR(AND(H751="Einnahme",F751&lt;0),AND(H751="Ausgabe",F751&gt;0)),"Vorzeichen prüfen",IF(AND(H751="Umbuchung",OR(K751="",COUNTIFS($A$7:$A$1506,K751)&lt;&gt;1)),"Gegenbuchung fehlt",IF(AND(H751="Umbuchung",ROUND(SUMIFS($F$7:$F$1506,$A$7:$A$1506,K751)+F751,2)&lt;&gt;0),"Umbuchung abweichend",IF(OR(G751="",M751="",M751="offen",M751="teilbelegt",H751="Ungeklärt",H751="Bargeld"),"Beleg / Verwendung klären","vollständig erfasst")))))))))</x:f>
      </x:c>
    </x:row>
    <x:row r="752" ht="22" customHeight="1">
      <x:c r="A752" s="7"/>
      <x:c r="B752" s="8"/>
      <x:c r="C752" s="7"/>
      <x:c r="D752" s="7"/>
      <x:c r="E752" s="7"/>
      <x:c r="F752" s="20"/>
      <x:c r="G752" s="7"/>
      <x:c r="H752" s="7"/>
      <x:c r="I752" s="7"/>
      <x:c r="J752" s="7"/>
      <x:c r="K752" s="7"/>
      <x:c r="L752" s="7"/>
      <x:c r="M752" s="7"/>
      <x:c r="N752" s="7"/>
      <x:c r="O752" s="2" t="str">
        <x:f>IF(A752="","",IF(COUNTIFS($A$7:$A$1506,A752)&gt;1,"Buchung-ID doppelt",IF(OR(NOT(ISNUMBER(B752)),C752="",NOT(ISNUMBER(F752)),H752="",L752=""),"Pflichtangaben fehlen",IF(COUNTIFS('Konten'!$A$7:$A$26,C752)&lt;&gt;1,"Konto nicht eindeutig",IF(J752&lt;&gt;"Ja","Zuordnung bestätigen",IF(OR(AND(H752="Einnahme",F752&lt;0),AND(H752="Ausgabe",F752&gt;0)),"Vorzeichen prüfen",IF(AND(H752="Umbuchung",OR(K752="",COUNTIFS($A$7:$A$1506,K752)&lt;&gt;1)),"Gegenbuchung fehlt",IF(AND(H752="Umbuchung",ROUND(SUMIFS($F$7:$F$1506,$A$7:$A$1506,K752)+F752,2)&lt;&gt;0),"Umbuchung abweichend",IF(OR(G752="",M752="",M752="offen",M752="teilbelegt",H752="Ungeklärt",H752="Bargeld"),"Beleg / Verwendung klären","vollständig erfasst")))))))))</x:f>
      </x:c>
    </x:row>
    <x:row r="753" ht="22" customHeight="1">
      <x:c r="A753" s="7"/>
      <x:c r="B753" s="8"/>
      <x:c r="C753" s="7"/>
      <x:c r="D753" s="7"/>
      <x:c r="E753" s="7"/>
      <x:c r="F753" s="20"/>
      <x:c r="G753" s="7"/>
      <x:c r="H753" s="7"/>
      <x:c r="I753" s="7"/>
      <x:c r="J753" s="7"/>
      <x:c r="K753" s="7"/>
      <x:c r="L753" s="7"/>
      <x:c r="M753" s="7"/>
      <x:c r="N753" s="7"/>
      <x:c r="O753" s="2" t="str">
        <x:f>IF(A753="","",IF(COUNTIFS($A$7:$A$1506,A753)&gt;1,"Buchung-ID doppelt",IF(OR(NOT(ISNUMBER(B753)),C753="",NOT(ISNUMBER(F753)),H753="",L753=""),"Pflichtangaben fehlen",IF(COUNTIFS('Konten'!$A$7:$A$26,C753)&lt;&gt;1,"Konto nicht eindeutig",IF(J753&lt;&gt;"Ja","Zuordnung bestätigen",IF(OR(AND(H753="Einnahme",F753&lt;0),AND(H753="Ausgabe",F753&gt;0)),"Vorzeichen prüfen",IF(AND(H753="Umbuchung",OR(K753="",COUNTIFS($A$7:$A$1506,K753)&lt;&gt;1)),"Gegenbuchung fehlt",IF(AND(H753="Umbuchung",ROUND(SUMIFS($F$7:$F$1506,$A$7:$A$1506,K753)+F753,2)&lt;&gt;0),"Umbuchung abweichend",IF(OR(G753="",M753="",M753="offen",M753="teilbelegt",H753="Ungeklärt",H753="Bargeld"),"Beleg / Verwendung klären","vollständig erfasst")))))))))</x:f>
      </x:c>
    </x:row>
    <x:row r="754" ht="22" customHeight="1">
      <x:c r="A754" s="7"/>
      <x:c r="B754" s="8"/>
      <x:c r="C754" s="7"/>
      <x:c r="D754" s="7"/>
      <x:c r="E754" s="7"/>
      <x:c r="F754" s="20"/>
      <x:c r="G754" s="7"/>
      <x:c r="H754" s="7"/>
      <x:c r="I754" s="7"/>
      <x:c r="J754" s="7"/>
      <x:c r="K754" s="7"/>
      <x:c r="L754" s="7"/>
      <x:c r="M754" s="7"/>
      <x:c r="N754" s="7"/>
      <x:c r="O754" s="2" t="str">
        <x:f>IF(A754="","",IF(COUNTIFS($A$7:$A$1506,A754)&gt;1,"Buchung-ID doppelt",IF(OR(NOT(ISNUMBER(B754)),C754="",NOT(ISNUMBER(F754)),H754="",L754=""),"Pflichtangaben fehlen",IF(COUNTIFS('Konten'!$A$7:$A$26,C754)&lt;&gt;1,"Konto nicht eindeutig",IF(J754&lt;&gt;"Ja","Zuordnung bestätigen",IF(OR(AND(H754="Einnahme",F754&lt;0),AND(H754="Ausgabe",F754&gt;0)),"Vorzeichen prüfen",IF(AND(H754="Umbuchung",OR(K754="",COUNTIFS($A$7:$A$1506,K754)&lt;&gt;1)),"Gegenbuchung fehlt",IF(AND(H754="Umbuchung",ROUND(SUMIFS($F$7:$F$1506,$A$7:$A$1506,K754)+F754,2)&lt;&gt;0),"Umbuchung abweichend",IF(OR(G754="",M754="",M754="offen",M754="teilbelegt",H754="Ungeklärt",H754="Bargeld"),"Beleg / Verwendung klären","vollständig erfasst")))))))))</x:f>
      </x:c>
    </x:row>
    <x:row r="755" ht="22" customHeight="1">
      <x:c r="A755" s="7"/>
      <x:c r="B755" s="8"/>
      <x:c r="C755" s="7"/>
      <x:c r="D755" s="7"/>
      <x:c r="E755" s="7"/>
      <x:c r="F755" s="20"/>
      <x:c r="G755" s="7"/>
      <x:c r="H755" s="7"/>
      <x:c r="I755" s="7"/>
      <x:c r="J755" s="7"/>
      <x:c r="K755" s="7"/>
      <x:c r="L755" s="7"/>
      <x:c r="M755" s="7"/>
      <x:c r="N755" s="7"/>
      <x:c r="O755" s="2" t="str">
        <x:f>IF(A755="","",IF(COUNTIFS($A$7:$A$1506,A755)&gt;1,"Buchung-ID doppelt",IF(OR(NOT(ISNUMBER(B755)),C755="",NOT(ISNUMBER(F755)),H755="",L755=""),"Pflichtangaben fehlen",IF(COUNTIFS('Konten'!$A$7:$A$26,C755)&lt;&gt;1,"Konto nicht eindeutig",IF(J755&lt;&gt;"Ja","Zuordnung bestätigen",IF(OR(AND(H755="Einnahme",F755&lt;0),AND(H755="Ausgabe",F755&gt;0)),"Vorzeichen prüfen",IF(AND(H755="Umbuchung",OR(K755="",COUNTIFS($A$7:$A$1506,K755)&lt;&gt;1)),"Gegenbuchung fehlt",IF(AND(H755="Umbuchung",ROUND(SUMIFS($F$7:$F$1506,$A$7:$A$1506,K755)+F755,2)&lt;&gt;0),"Umbuchung abweichend",IF(OR(G755="",M755="",M755="offen",M755="teilbelegt",H755="Ungeklärt",H755="Bargeld"),"Beleg / Verwendung klären","vollständig erfasst")))))))))</x:f>
      </x:c>
    </x:row>
    <x:row r="756" ht="22" customHeight="1">
      <x:c r="A756" s="7"/>
      <x:c r="B756" s="8"/>
      <x:c r="C756" s="7"/>
      <x:c r="D756" s="7"/>
      <x:c r="E756" s="7"/>
      <x:c r="F756" s="20"/>
      <x:c r="G756" s="7"/>
      <x:c r="H756" s="7"/>
      <x:c r="I756" s="7"/>
      <x:c r="J756" s="7"/>
      <x:c r="K756" s="7"/>
      <x:c r="L756" s="7"/>
      <x:c r="M756" s="7"/>
      <x:c r="N756" s="7"/>
      <x:c r="O756" s="2" t="str">
        <x:f>IF(A756="","",IF(COUNTIFS($A$7:$A$1506,A756)&gt;1,"Buchung-ID doppelt",IF(OR(NOT(ISNUMBER(B756)),C756="",NOT(ISNUMBER(F756)),H756="",L756=""),"Pflichtangaben fehlen",IF(COUNTIFS('Konten'!$A$7:$A$26,C756)&lt;&gt;1,"Konto nicht eindeutig",IF(J756&lt;&gt;"Ja","Zuordnung bestätigen",IF(OR(AND(H756="Einnahme",F756&lt;0),AND(H756="Ausgabe",F756&gt;0)),"Vorzeichen prüfen",IF(AND(H756="Umbuchung",OR(K756="",COUNTIFS($A$7:$A$1506,K756)&lt;&gt;1)),"Gegenbuchung fehlt",IF(AND(H756="Umbuchung",ROUND(SUMIFS($F$7:$F$1506,$A$7:$A$1506,K756)+F756,2)&lt;&gt;0),"Umbuchung abweichend",IF(OR(G756="",M756="",M756="offen",M756="teilbelegt",H756="Ungeklärt",H756="Bargeld"),"Beleg / Verwendung klären","vollständig erfasst")))))))))</x:f>
      </x:c>
    </x:row>
    <x:row r="757" ht="22" customHeight="1">
      <x:c r="A757" s="7"/>
      <x:c r="B757" s="8"/>
      <x:c r="C757" s="7"/>
      <x:c r="D757" s="7"/>
      <x:c r="E757" s="7"/>
      <x:c r="F757" s="20"/>
      <x:c r="G757" s="7"/>
      <x:c r="H757" s="7"/>
      <x:c r="I757" s="7"/>
      <x:c r="J757" s="7"/>
      <x:c r="K757" s="7"/>
      <x:c r="L757" s="7"/>
      <x:c r="M757" s="7"/>
      <x:c r="N757" s="7"/>
      <x:c r="O757" s="2" t="str">
        <x:f>IF(A757="","",IF(COUNTIFS($A$7:$A$1506,A757)&gt;1,"Buchung-ID doppelt",IF(OR(NOT(ISNUMBER(B757)),C757="",NOT(ISNUMBER(F757)),H757="",L757=""),"Pflichtangaben fehlen",IF(COUNTIFS('Konten'!$A$7:$A$26,C757)&lt;&gt;1,"Konto nicht eindeutig",IF(J757&lt;&gt;"Ja","Zuordnung bestätigen",IF(OR(AND(H757="Einnahme",F757&lt;0),AND(H757="Ausgabe",F757&gt;0)),"Vorzeichen prüfen",IF(AND(H757="Umbuchung",OR(K757="",COUNTIFS($A$7:$A$1506,K757)&lt;&gt;1)),"Gegenbuchung fehlt",IF(AND(H757="Umbuchung",ROUND(SUMIFS($F$7:$F$1506,$A$7:$A$1506,K757)+F757,2)&lt;&gt;0),"Umbuchung abweichend",IF(OR(G757="",M757="",M757="offen",M757="teilbelegt",H757="Ungeklärt",H757="Bargeld"),"Beleg / Verwendung klären","vollständig erfasst")))))))))</x:f>
      </x:c>
    </x:row>
    <x:row r="758" ht="22" customHeight="1">
      <x:c r="A758" s="7"/>
      <x:c r="B758" s="8"/>
      <x:c r="C758" s="7"/>
      <x:c r="D758" s="7"/>
      <x:c r="E758" s="7"/>
      <x:c r="F758" s="20"/>
      <x:c r="G758" s="7"/>
      <x:c r="H758" s="7"/>
      <x:c r="I758" s="7"/>
      <x:c r="J758" s="7"/>
      <x:c r="K758" s="7"/>
      <x:c r="L758" s="7"/>
      <x:c r="M758" s="7"/>
      <x:c r="N758" s="7"/>
      <x:c r="O758" s="2" t="str">
        <x:f>IF(A758="","",IF(COUNTIFS($A$7:$A$1506,A758)&gt;1,"Buchung-ID doppelt",IF(OR(NOT(ISNUMBER(B758)),C758="",NOT(ISNUMBER(F758)),H758="",L758=""),"Pflichtangaben fehlen",IF(COUNTIFS('Konten'!$A$7:$A$26,C758)&lt;&gt;1,"Konto nicht eindeutig",IF(J758&lt;&gt;"Ja","Zuordnung bestätigen",IF(OR(AND(H758="Einnahme",F758&lt;0),AND(H758="Ausgabe",F758&gt;0)),"Vorzeichen prüfen",IF(AND(H758="Umbuchung",OR(K758="",COUNTIFS($A$7:$A$1506,K758)&lt;&gt;1)),"Gegenbuchung fehlt",IF(AND(H758="Umbuchung",ROUND(SUMIFS($F$7:$F$1506,$A$7:$A$1506,K758)+F758,2)&lt;&gt;0),"Umbuchung abweichend",IF(OR(G758="",M758="",M758="offen",M758="teilbelegt",H758="Ungeklärt",H758="Bargeld"),"Beleg / Verwendung klären","vollständig erfasst")))))))))</x:f>
      </x:c>
    </x:row>
    <x:row r="759" ht="22" customHeight="1">
      <x:c r="A759" s="7"/>
      <x:c r="B759" s="8"/>
      <x:c r="C759" s="7"/>
      <x:c r="D759" s="7"/>
      <x:c r="E759" s="7"/>
      <x:c r="F759" s="20"/>
      <x:c r="G759" s="7"/>
      <x:c r="H759" s="7"/>
      <x:c r="I759" s="7"/>
      <x:c r="J759" s="7"/>
      <x:c r="K759" s="7"/>
      <x:c r="L759" s="7"/>
      <x:c r="M759" s="7"/>
      <x:c r="N759" s="7"/>
      <x:c r="O759" s="2" t="str">
        <x:f>IF(A759="","",IF(COUNTIFS($A$7:$A$1506,A759)&gt;1,"Buchung-ID doppelt",IF(OR(NOT(ISNUMBER(B759)),C759="",NOT(ISNUMBER(F759)),H759="",L759=""),"Pflichtangaben fehlen",IF(COUNTIFS('Konten'!$A$7:$A$26,C759)&lt;&gt;1,"Konto nicht eindeutig",IF(J759&lt;&gt;"Ja","Zuordnung bestätigen",IF(OR(AND(H759="Einnahme",F759&lt;0),AND(H759="Ausgabe",F759&gt;0)),"Vorzeichen prüfen",IF(AND(H759="Umbuchung",OR(K759="",COUNTIFS($A$7:$A$1506,K759)&lt;&gt;1)),"Gegenbuchung fehlt",IF(AND(H759="Umbuchung",ROUND(SUMIFS($F$7:$F$1506,$A$7:$A$1506,K759)+F759,2)&lt;&gt;0),"Umbuchung abweichend",IF(OR(G759="",M759="",M759="offen",M759="teilbelegt",H759="Ungeklärt",H759="Bargeld"),"Beleg / Verwendung klären","vollständig erfasst")))))))))</x:f>
      </x:c>
    </x:row>
    <x:row r="760" ht="22" customHeight="1">
      <x:c r="A760" s="7"/>
      <x:c r="B760" s="8"/>
      <x:c r="C760" s="7"/>
      <x:c r="D760" s="7"/>
      <x:c r="E760" s="7"/>
      <x:c r="F760" s="20"/>
      <x:c r="G760" s="7"/>
      <x:c r="H760" s="7"/>
      <x:c r="I760" s="7"/>
      <x:c r="J760" s="7"/>
      <x:c r="K760" s="7"/>
      <x:c r="L760" s="7"/>
      <x:c r="M760" s="7"/>
      <x:c r="N760" s="7"/>
      <x:c r="O760" s="2" t="str">
        <x:f>IF(A760="","",IF(COUNTIFS($A$7:$A$1506,A760)&gt;1,"Buchung-ID doppelt",IF(OR(NOT(ISNUMBER(B760)),C760="",NOT(ISNUMBER(F760)),H760="",L760=""),"Pflichtangaben fehlen",IF(COUNTIFS('Konten'!$A$7:$A$26,C760)&lt;&gt;1,"Konto nicht eindeutig",IF(J760&lt;&gt;"Ja","Zuordnung bestätigen",IF(OR(AND(H760="Einnahme",F760&lt;0),AND(H760="Ausgabe",F760&gt;0)),"Vorzeichen prüfen",IF(AND(H760="Umbuchung",OR(K760="",COUNTIFS($A$7:$A$1506,K760)&lt;&gt;1)),"Gegenbuchung fehlt",IF(AND(H760="Umbuchung",ROUND(SUMIFS($F$7:$F$1506,$A$7:$A$1506,K760)+F760,2)&lt;&gt;0),"Umbuchung abweichend",IF(OR(G760="",M760="",M760="offen",M760="teilbelegt",H760="Ungeklärt",H760="Bargeld"),"Beleg / Verwendung klären","vollständig erfasst")))))))))</x:f>
      </x:c>
    </x:row>
    <x:row r="761" ht="22" customHeight="1">
      <x:c r="A761" s="7"/>
      <x:c r="B761" s="8"/>
      <x:c r="C761" s="7"/>
      <x:c r="D761" s="7"/>
      <x:c r="E761" s="7"/>
      <x:c r="F761" s="20"/>
      <x:c r="G761" s="7"/>
      <x:c r="H761" s="7"/>
      <x:c r="I761" s="7"/>
      <x:c r="J761" s="7"/>
      <x:c r="K761" s="7"/>
      <x:c r="L761" s="7"/>
      <x:c r="M761" s="7"/>
      <x:c r="N761" s="7"/>
      <x:c r="O761" s="2" t="str">
        <x:f>IF(A761="","",IF(COUNTIFS($A$7:$A$1506,A761)&gt;1,"Buchung-ID doppelt",IF(OR(NOT(ISNUMBER(B761)),C761="",NOT(ISNUMBER(F761)),H761="",L761=""),"Pflichtangaben fehlen",IF(COUNTIFS('Konten'!$A$7:$A$26,C761)&lt;&gt;1,"Konto nicht eindeutig",IF(J761&lt;&gt;"Ja","Zuordnung bestätigen",IF(OR(AND(H761="Einnahme",F761&lt;0),AND(H761="Ausgabe",F761&gt;0)),"Vorzeichen prüfen",IF(AND(H761="Umbuchung",OR(K761="",COUNTIFS($A$7:$A$1506,K761)&lt;&gt;1)),"Gegenbuchung fehlt",IF(AND(H761="Umbuchung",ROUND(SUMIFS($F$7:$F$1506,$A$7:$A$1506,K761)+F761,2)&lt;&gt;0),"Umbuchung abweichend",IF(OR(G761="",M761="",M761="offen",M761="teilbelegt",H761="Ungeklärt",H761="Bargeld"),"Beleg / Verwendung klären","vollständig erfasst")))))))))</x:f>
      </x:c>
    </x:row>
    <x:row r="762" ht="22" customHeight="1">
      <x:c r="A762" s="7"/>
      <x:c r="B762" s="8"/>
      <x:c r="C762" s="7"/>
      <x:c r="D762" s="7"/>
      <x:c r="E762" s="7"/>
      <x:c r="F762" s="20"/>
      <x:c r="G762" s="7"/>
      <x:c r="H762" s="7"/>
      <x:c r="I762" s="7"/>
      <x:c r="J762" s="7"/>
      <x:c r="K762" s="7"/>
      <x:c r="L762" s="7"/>
      <x:c r="M762" s="7"/>
      <x:c r="N762" s="7"/>
      <x:c r="O762" s="2" t="str">
        <x:f>IF(A762="","",IF(COUNTIFS($A$7:$A$1506,A762)&gt;1,"Buchung-ID doppelt",IF(OR(NOT(ISNUMBER(B762)),C762="",NOT(ISNUMBER(F762)),H762="",L762=""),"Pflichtangaben fehlen",IF(COUNTIFS('Konten'!$A$7:$A$26,C762)&lt;&gt;1,"Konto nicht eindeutig",IF(J762&lt;&gt;"Ja","Zuordnung bestätigen",IF(OR(AND(H762="Einnahme",F762&lt;0),AND(H762="Ausgabe",F762&gt;0)),"Vorzeichen prüfen",IF(AND(H762="Umbuchung",OR(K762="",COUNTIFS($A$7:$A$1506,K762)&lt;&gt;1)),"Gegenbuchung fehlt",IF(AND(H762="Umbuchung",ROUND(SUMIFS($F$7:$F$1506,$A$7:$A$1506,K762)+F762,2)&lt;&gt;0),"Umbuchung abweichend",IF(OR(G762="",M762="",M762="offen",M762="teilbelegt",H762="Ungeklärt",H762="Bargeld"),"Beleg / Verwendung klären","vollständig erfasst")))))))))</x:f>
      </x:c>
    </x:row>
    <x:row r="763" ht="22" customHeight="1">
      <x:c r="A763" s="7"/>
      <x:c r="B763" s="8"/>
      <x:c r="C763" s="7"/>
      <x:c r="D763" s="7"/>
      <x:c r="E763" s="7"/>
      <x:c r="F763" s="20"/>
      <x:c r="G763" s="7"/>
      <x:c r="H763" s="7"/>
      <x:c r="I763" s="7"/>
      <x:c r="J763" s="7"/>
      <x:c r="K763" s="7"/>
      <x:c r="L763" s="7"/>
      <x:c r="M763" s="7"/>
      <x:c r="N763" s="7"/>
      <x:c r="O763" s="2" t="str">
        <x:f>IF(A763="","",IF(COUNTIFS($A$7:$A$1506,A763)&gt;1,"Buchung-ID doppelt",IF(OR(NOT(ISNUMBER(B763)),C763="",NOT(ISNUMBER(F763)),H763="",L763=""),"Pflichtangaben fehlen",IF(COUNTIFS('Konten'!$A$7:$A$26,C763)&lt;&gt;1,"Konto nicht eindeutig",IF(J763&lt;&gt;"Ja","Zuordnung bestätigen",IF(OR(AND(H763="Einnahme",F763&lt;0),AND(H763="Ausgabe",F763&gt;0)),"Vorzeichen prüfen",IF(AND(H763="Umbuchung",OR(K763="",COUNTIFS($A$7:$A$1506,K763)&lt;&gt;1)),"Gegenbuchung fehlt",IF(AND(H763="Umbuchung",ROUND(SUMIFS($F$7:$F$1506,$A$7:$A$1506,K763)+F763,2)&lt;&gt;0),"Umbuchung abweichend",IF(OR(G763="",M763="",M763="offen",M763="teilbelegt",H763="Ungeklärt",H763="Bargeld"),"Beleg / Verwendung klären","vollständig erfasst")))))))))</x:f>
      </x:c>
    </x:row>
    <x:row r="764" ht="22" customHeight="1">
      <x:c r="A764" s="7"/>
      <x:c r="B764" s="8"/>
      <x:c r="C764" s="7"/>
      <x:c r="D764" s="7"/>
      <x:c r="E764" s="7"/>
      <x:c r="F764" s="20"/>
      <x:c r="G764" s="7"/>
      <x:c r="H764" s="7"/>
      <x:c r="I764" s="7"/>
      <x:c r="J764" s="7"/>
      <x:c r="K764" s="7"/>
      <x:c r="L764" s="7"/>
      <x:c r="M764" s="7"/>
      <x:c r="N764" s="7"/>
      <x:c r="O764" s="2" t="str">
        <x:f>IF(A764="","",IF(COUNTIFS($A$7:$A$1506,A764)&gt;1,"Buchung-ID doppelt",IF(OR(NOT(ISNUMBER(B764)),C764="",NOT(ISNUMBER(F764)),H764="",L764=""),"Pflichtangaben fehlen",IF(COUNTIFS('Konten'!$A$7:$A$26,C764)&lt;&gt;1,"Konto nicht eindeutig",IF(J764&lt;&gt;"Ja","Zuordnung bestätigen",IF(OR(AND(H764="Einnahme",F764&lt;0),AND(H764="Ausgabe",F764&gt;0)),"Vorzeichen prüfen",IF(AND(H764="Umbuchung",OR(K764="",COUNTIFS($A$7:$A$1506,K764)&lt;&gt;1)),"Gegenbuchung fehlt",IF(AND(H764="Umbuchung",ROUND(SUMIFS($F$7:$F$1506,$A$7:$A$1506,K764)+F764,2)&lt;&gt;0),"Umbuchung abweichend",IF(OR(G764="",M764="",M764="offen",M764="teilbelegt",H764="Ungeklärt",H764="Bargeld"),"Beleg / Verwendung klären","vollständig erfasst")))))))))</x:f>
      </x:c>
    </x:row>
    <x:row r="765" ht="22" customHeight="1">
      <x:c r="A765" s="7"/>
      <x:c r="B765" s="8"/>
      <x:c r="C765" s="7"/>
      <x:c r="D765" s="7"/>
      <x:c r="E765" s="7"/>
      <x:c r="F765" s="20"/>
      <x:c r="G765" s="7"/>
      <x:c r="H765" s="7"/>
      <x:c r="I765" s="7"/>
      <x:c r="J765" s="7"/>
      <x:c r="K765" s="7"/>
      <x:c r="L765" s="7"/>
      <x:c r="M765" s="7"/>
      <x:c r="N765" s="7"/>
      <x:c r="O765" s="2" t="str">
        <x:f>IF(A765="","",IF(COUNTIFS($A$7:$A$1506,A765)&gt;1,"Buchung-ID doppelt",IF(OR(NOT(ISNUMBER(B765)),C765="",NOT(ISNUMBER(F765)),H765="",L765=""),"Pflichtangaben fehlen",IF(COUNTIFS('Konten'!$A$7:$A$26,C765)&lt;&gt;1,"Konto nicht eindeutig",IF(J765&lt;&gt;"Ja","Zuordnung bestätigen",IF(OR(AND(H765="Einnahme",F765&lt;0),AND(H765="Ausgabe",F765&gt;0)),"Vorzeichen prüfen",IF(AND(H765="Umbuchung",OR(K765="",COUNTIFS($A$7:$A$1506,K765)&lt;&gt;1)),"Gegenbuchung fehlt",IF(AND(H765="Umbuchung",ROUND(SUMIFS($F$7:$F$1506,$A$7:$A$1506,K765)+F765,2)&lt;&gt;0),"Umbuchung abweichend",IF(OR(G765="",M765="",M765="offen",M765="teilbelegt",H765="Ungeklärt",H765="Bargeld"),"Beleg / Verwendung klären","vollständig erfasst")))))))))</x:f>
      </x:c>
    </x:row>
    <x:row r="766" ht="22" customHeight="1">
      <x:c r="A766" s="7"/>
      <x:c r="B766" s="8"/>
      <x:c r="C766" s="7"/>
      <x:c r="D766" s="7"/>
      <x:c r="E766" s="7"/>
      <x:c r="F766" s="20"/>
      <x:c r="G766" s="7"/>
      <x:c r="H766" s="7"/>
      <x:c r="I766" s="7"/>
      <x:c r="J766" s="7"/>
      <x:c r="K766" s="7"/>
      <x:c r="L766" s="7"/>
      <x:c r="M766" s="7"/>
      <x:c r="N766" s="7"/>
      <x:c r="O766" s="2" t="str">
        <x:f>IF(A766="","",IF(COUNTIFS($A$7:$A$1506,A766)&gt;1,"Buchung-ID doppelt",IF(OR(NOT(ISNUMBER(B766)),C766="",NOT(ISNUMBER(F766)),H766="",L766=""),"Pflichtangaben fehlen",IF(COUNTIFS('Konten'!$A$7:$A$26,C766)&lt;&gt;1,"Konto nicht eindeutig",IF(J766&lt;&gt;"Ja","Zuordnung bestätigen",IF(OR(AND(H766="Einnahme",F766&lt;0),AND(H766="Ausgabe",F766&gt;0)),"Vorzeichen prüfen",IF(AND(H766="Umbuchung",OR(K766="",COUNTIFS($A$7:$A$1506,K766)&lt;&gt;1)),"Gegenbuchung fehlt",IF(AND(H766="Umbuchung",ROUND(SUMIFS($F$7:$F$1506,$A$7:$A$1506,K766)+F766,2)&lt;&gt;0),"Umbuchung abweichend",IF(OR(G766="",M766="",M766="offen",M766="teilbelegt",H766="Ungeklärt",H766="Bargeld"),"Beleg / Verwendung klären","vollständig erfasst")))))))))</x:f>
      </x:c>
    </x:row>
    <x:row r="767" ht="22" customHeight="1">
      <x:c r="A767" s="7"/>
      <x:c r="B767" s="8"/>
      <x:c r="C767" s="7"/>
      <x:c r="D767" s="7"/>
      <x:c r="E767" s="7"/>
      <x:c r="F767" s="20"/>
      <x:c r="G767" s="7"/>
      <x:c r="H767" s="7"/>
      <x:c r="I767" s="7"/>
      <x:c r="J767" s="7"/>
      <x:c r="K767" s="7"/>
      <x:c r="L767" s="7"/>
      <x:c r="M767" s="7"/>
      <x:c r="N767" s="7"/>
      <x:c r="O767" s="2" t="str">
        <x:f>IF(A767="","",IF(COUNTIFS($A$7:$A$1506,A767)&gt;1,"Buchung-ID doppelt",IF(OR(NOT(ISNUMBER(B767)),C767="",NOT(ISNUMBER(F767)),H767="",L767=""),"Pflichtangaben fehlen",IF(COUNTIFS('Konten'!$A$7:$A$26,C767)&lt;&gt;1,"Konto nicht eindeutig",IF(J767&lt;&gt;"Ja","Zuordnung bestätigen",IF(OR(AND(H767="Einnahme",F767&lt;0),AND(H767="Ausgabe",F767&gt;0)),"Vorzeichen prüfen",IF(AND(H767="Umbuchung",OR(K767="",COUNTIFS($A$7:$A$1506,K767)&lt;&gt;1)),"Gegenbuchung fehlt",IF(AND(H767="Umbuchung",ROUND(SUMIFS($F$7:$F$1506,$A$7:$A$1506,K767)+F767,2)&lt;&gt;0),"Umbuchung abweichend",IF(OR(G767="",M767="",M767="offen",M767="teilbelegt",H767="Ungeklärt",H767="Bargeld"),"Beleg / Verwendung klären","vollständig erfasst")))))))))</x:f>
      </x:c>
    </x:row>
    <x:row r="768" ht="22" customHeight="1">
      <x:c r="A768" s="7"/>
      <x:c r="B768" s="8"/>
      <x:c r="C768" s="7"/>
      <x:c r="D768" s="7"/>
      <x:c r="E768" s="7"/>
      <x:c r="F768" s="20"/>
      <x:c r="G768" s="7"/>
      <x:c r="H768" s="7"/>
      <x:c r="I768" s="7"/>
      <x:c r="J768" s="7"/>
      <x:c r="K768" s="7"/>
      <x:c r="L768" s="7"/>
      <x:c r="M768" s="7"/>
      <x:c r="N768" s="7"/>
      <x:c r="O768" s="2" t="str">
        <x:f>IF(A768="","",IF(COUNTIFS($A$7:$A$1506,A768)&gt;1,"Buchung-ID doppelt",IF(OR(NOT(ISNUMBER(B768)),C768="",NOT(ISNUMBER(F768)),H768="",L768=""),"Pflichtangaben fehlen",IF(COUNTIFS('Konten'!$A$7:$A$26,C768)&lt;&gt;1,"Konto nicht eindeutig",IF(J768&lt;&gt;"Ja","Zuordnung bestätigen",IF(OR(AND(H768="Einnahme",F768&lt;0),AND(H768="Ausgabe",F768&gt;0)),"Vorzeichen prüfen",IF(AND(H768="Umbuchung",OR(K768="",COUNTIFS($A$7:$A$1506,K768)&lt;&gt;1)),"Gegenbuchung fehlt",IF(AND(H768="Umbuchung",ROUND(SUMIFS($F$7:$F$1506,$A$7:$A$1506,K768)+F768,2)&lt;&gt;0),"Umbuchung abweichend",IF(OR(G768="",M768="",M768="offen",M768="teilbelegt",H768="Ungeklärt",H768="Bargeld"),"Beleg / Verwendung klären","vollständig erfasst")))))))))</x:f>
      </x:c>
    </x:row>
    <x:row r="769" ht="22" customHeight="1">
      <x:c r="A769" s="7"/>
      <x:c r="B769" s="8"/>
      <x:c r="C769" s="7"/>
      <x:c r="D769" s="7"/>
      <x:c r="E769" s="7"/>
      <x:c r="F769" s="20"/>
      <x:c r="G769" s="7"/>
      <x:c r="H769" s="7"/>
      <x:c r="I769" s="7"/>
      <x:c r="J769" s="7"/>
      <x:c r="K769" s="7"/>
      <x:c r="L769" s="7"/>
      <x:c r="M769" s="7"/>
      <x:c r="N769" s="7"/>
      <x:c r="O769" s="2" t="str">
        <x:f>IF(A769="","",IF(COUNTIFS($A$7:$A$1506,A769)&gt;1,"Buchung-ID doppelt",IF(OR(NOT(ISNUMBER(B769)),C769="",NOT(ISNUMBER(F769)),H769="",L769=""),"Pflichtangaben fehlen",IF(COUNTIFS('Konten'!$A$7:$A$26,C769)&lt;&gt;1,"Konto nicht eindeutig",IF(J769&lt;&gt;"Ja","Zuordnung bestätigen",IF(OR(AND(H769="Einnahme",F769&lt;0),AND(H769="Ausgabe",F769&gt;0)),"Vorzeichen prüfen",IF(AND(H769="Umbuchung",OR(K769="",COUNTIFS($A$7:$A$1506,K769)&lt;&gt;1)),"Gegenbuchung fehlt",IF(AND(H769="Umbuchung",ROUND(SUMIFS($F$7:$F$1506,$A$7:$A$1506,K769)+F769,2)&lt;&gt;0),"Umbuchung abweichend",IF(OR(G769="",M769="",M769="offen",M769="teilbelegt",H769="Ungeklärt",H769="Bargeld"),"Beleg / Verwendung klären","vollständig erfasst")))))))))</x:f>
      </x:c>
    </x:row>
    <x:row r="770" ht="22" customHeight="1">
      <x:c r="A770" s="7"/>
      <x:c r="B770" s="8"/>
      <x:c r="C770" s="7"/>
      <x:c r="D770" s="7"/>
      <x:c r="E770" s="7"/>
      <x:c r="F770" s="20"/>
      <x:c r="G770" s="7"/>
      <x:c r="H770" s="7"/>
      <x:c r="I770" s="7"/>
      <x:c r="J770" s="7"/>
      <x:c r="K770" s="7"/>
      <x:c r="L770" s="7"/>
      <x:c r="M770" s="7"/>
      <x:c r="N770" s="7"/>
      <x:c r="O770" s="2" t="str">
        <x:f>IF(A770="","",IF(COUNTIFS($A$7:$A$1506,A770)&gt;1,"Buchung-ID doppelt",IF(OR(NOT(ISNUMBER(B770)),C770="",NOT(ISNUMBER(F770)),H770="",L770=""),"Pflichtangaben fehlen",IF(COUNTIFS('Konten'!$A$7:$A$26,C770)&lt;&gt;1,"Konto nicht eindeutig",IF(J770&lt;&gt;"Ja","Zuordnung bestätigen",IF(OR(AND(H770="Einnahme",F770&lt;0),AND(H770="Ausgabe",F770&gt;0)),"Vorzeichen prüfen",IF(AND(H770="Umbuchung",OR(K770="",COUNTIFS($A$7:$A$1506,K770)&lt;&gt;1)),"Gegenbuchung fehlt",IF(AND(H770="Umbuchung",ROUND(SUMIFS($F$7:$F$1506,$A$7:$A$1506,K770)+F770,2)&lt;&gt;0),"Umbuchung abweichend",IF(OR(G770="",M770="",M770="offen",M770="teilbelegt",H770="Ungeklärt",H770="Bargeld"),"Beleg / Verwendung klären","vollständig erfasst")))))))))</x:f>
      </x:c>
    </x:row>
    <x:row r="771" ht="22" customHeight="1">
      <x:c r="A771" s="7"/>
      <x:c r="B771" s="8"/>
      <x:c r="C771" s="7"/>
      <x:c r="D771" s="7"/>
      <x:c r="E771" s="7"/>
      <x:c r="F771" s="20"/>
      <x:c r="G771" s="7"/>
      <x:c r="H771" s="7"/>
      <x:c r="I771" s="7"/>
      <x:c r="J771" s="7"/>
      <x:c r="K771" s="7"/>
      <x:c r="L771" s="7"/>
      <x:c r="M771" s="7"/>
      <x:c r="N771" s="7"/>
      <x:c r="O771" s="2" t="str">
        <x:f>IF(A771="","",IF(COUNTIFS($A$7:$A$1506,A771)&gt;1,"Buchung-ID doppelt",IF(OR(NOT(ISNUMBER(B771)),C771="",NOT(ISNUMBER(F771)),H771="",L771=""),"Pflichtangaben fehlen",IF(COUNTIFS('Konten'!$A$7:$A$26,C771)&lt;&gt;1,"Konto nicht eindeutig",IF(J771&lt;&gt;"Ja","Zuordnung bestätigen",IF(OR(AND(H771="Einnahme",F771&lt;0),AND(H771="Ausgabe",F771&gt;0)),"Vorzeichen prüfen",IF(AND(H771="Umbuchung",OR(K771="",COUNTIFS($A$7:$A$1506,K771)&lt;&gt;1)),"Gegenbuchung fehlt",IF(AND(H771="Umbuchung",ROUND(SUMIFS($F$7:$F$1506,$A$7:$A$1506,K771)+F771,2)&lt;&gt;0),"Umbuchung abweichend",IF(OR(G771="",M771="",M771="offen",M771="teilbelegt",H771="Ungeklärt",H771="Bargeld"),"Beleg / Verwendung klären","vollständig erfasst")))))))))</x:f>
      </x:c>
    </x:row>
    <x:row r="772" ht="22" customHeight="1">
      <x:c r="A772" s="7"/>
      <x:c r="B772" s="8"/>
      <x:c r="C772" s="7"/>
      <x:c r="D772" s="7"/>
      <x:c r="E772" s="7"/>
      <x:c r="F772" s="20"/>
      <x:c r="G772" s="7"/>
      <x:c r="H772" s="7"/>
      <x:c r="I772" s="7"/>
      <x:c r="J772" s="7"/>
      <x:c r="K772" s="7"/>
      <x:c r="L772" s="7"/>
      <x:c r="M772" s="7"/>
      <x:c r="N772" s="7"/>
      <x:c r="O772" s="2" t="str">
        <x:f>IF(A772="","",IF(COUNTIFS($A$7:$A$1506,A772)&gt;1,"Buchung-ID doppelt",IF(OR(NOT(ISNUMBER(B772)),C772="",NOT(ISNUMBER(F772)),H772="",L772=""),"Pflichtangaben fehlen",IF(COUNTIFS('Konten'!$A$7:$A$26,C772)&lt;&gt;1,"Konto nicht eindeutig",IF(J772&lt;&gt;"Ja","Zuordnung bestätigen",IF(OR(AND(H772="Einnahme",F772&lt;0),AND(H772="Ausgabe",F772&gt;0)),"Vorzeichen prüfen",IF(AND(H772="Umbuchung",OR(K772="",COUNTIFS($A$7:$A$1506,K772)&lt;&gt;1)),"Gegenbuchung fehlt",IF(AND(H772="Umbuchung",ROUND(SUMIFS($F$7:$F$1506,$A$7:$A$1506,K772)+F772,2)&lt;&gt;0),"Umbuchung abweichend",IF(OR(G772="",M772="",M772="offen",M772="teilbelegt",H772="Ungeklärt",H772="Bargeld"),"Beleg / Verwendung klären","vollständig erfasst")))))))))</x:f>
      </x:c>
    </x:row>
    <x:row r="773" ht="22" customHeight="1">
      <x:c r="A773" s="7"/>
      <x:c r="B773" s="8"/>
      <x:c r="C773" s="7"/>
      <x:c r="D773" s="7"/>
      <x:c r="E773" s="7"/>
      <x:c r="F773" s="20"/>
      <x:c r="G773" s="7"/>
      <x:c r="H773" s="7"/>
      <x:c r="I773" s="7"/>
      <x:c r="J773" s="7"/>
      <x:c r="K773" s="7"/>
      <x:c r="L773" s="7"/>
      <x:c r="M773" s="7"/>
      <x:c r="N773" s="7"/>
      <x:c r="O773" s="2" t="str">
        <x:f>IF(A773="","",IF(COUNTIFS($A$7:$A$1506,A773)&gt;1,"Buchung-ID doppelt",IF(OR(NOT(ISNUMBER(B773)),C773="",NOT(ISNUMBER(F773)),H773="",L773=""),"Pflichtangaben fehlen",IF(COUNTIFS('Konten'!$A$7:$A$26,C773)&lt;&gt;1,"Konto nicht eindeutig",IF(J773&lt;&gt;"Ja","Zuordnung bestätigen",IF(OR(AND(H773="Einnahme",F773&lt;0),AND(H773="Ausgabe",F773&gt;0)),"Vorzeichen prüfen",IF(AND(H773="Umbuchung",OR(K773="",COUNTIFS($A$7:$A$1506,K773)&lt;&gt;1)),"Gegenbuchung fehlt",IF(AND(H773="Umbuchung",ROUND(SUMIFS($F$7:$F$1506,$A$7:$A$1506,K773)+F773,2)&lt;&gt;0),"Umbuchung abweichend",IF(OR(G773="",M773="",M773="offen",M773="teilbelegt",H773="Ungeklärt",H773="Bargeld"),"Beleg / Verwendung klären","vollständig erfasst")))))))))</x:f>
      </x:c>
    </x:row>
    <x:row r="774" ht="22" customHeight="1">
      <x:c r="A774" s="7"/>
      <x:c r="B774" s="8"/>
      <x:c r="C774" s="7"/>
      <x:c r="D774" s="7"/>
      <x:c r="E774" s="7"/>
      <x:c r="F774" s="20"/>
      <x:c r="G774" s="7"/>
      <x:c r="H774" s="7"/>
      <x:c r="I774" s="7"/>
      <x:c r="J774" s="7"/>
      <x:c r="K774" s="7"/>
      <x:c r="L774" s="7"/>
      <x:c r="M774" s="7"/>
      <x:c r="N774" s="7"/>
      <x:c r="O774" s="2" t="str">
        <x:f>IF(A774="","",IF(COUNTIFS($A$7:$A$1506,A774)&gt;1,"Buchung-ID doppelt",IF(OR(NOT(ISNUMBER(B774)),C774="",NOT(ISNUMBER(F774)),H774="",L774=""),"Pflichtangaben fehlen",IF(COUNTIFS('Konten'!$A$7:$A$26,C774)&lt;&gt;1,"Konto nicht eindeutig",IF(J774&lt;&gt;"Ja","Zuordnung bestätigen",IF(OR(AND(H774="Einnahme",F774&lt;0),AND(H774="Ausgabe",F774&gt;0)),"Vorzeichen prüfen",IF(AND(H774="Umbuchung",OR(K774="",COUNTIFS($A$7:$A$1506,K774)&lt;&gt;1)),"Gegenbuchung fehlt",IF(AND(H774="Umbuchung",ROUND(SUMIFS($F$7:$F$1506,$A$7:$A$1506,K774)+F774,2)&lt;&gt;0),"Umbuchung abweichend",IF(OR(G774="",M774="",M774="offen",M774="teilbelegt",H774="Ungeklärt",H774="Bargeld"),"Beleg / Verwendung klären","vollständig erfasst")))))))))</x:f>
      </x:c>
    </x:row>
    <x:row r="775" ht="22" customHeight="1">
      <x:c r="A775" s="7"/>
      <x:c r="B775" s="8"/>
      <x:c r="C775" s="7"/>
      <x:c r="D775" s="7"/>
      <x:c r="E775" s="7"/>
      <x:c r="F775" s="20"/>
      <x:c r="G775" s="7"/>
      <x:c r="H775" s="7"/>
      <x:c r="I775" s="7"/>
      <x:c r="J775" s="7"/>
      <x:c r="K775" s="7"/>
      <x:c r="L775" s="7"/>
      <x:c r="M775" s="7"/>
      <x:c r="N775" s="7"/>
      <x:c r="O775" s="2" t="str">
        <x:f>IF(A775="","",IF(COUNTIFS($A$7:$A$1506,A775)&gt;1,"Buchung-ID doppelt",IF(OR(NOT(ISNUMBER(B775)),C775="",NOT(ISNUMBER(F775)),H775="",L775=""),"Pflichtangaben fehlen",IF(COUNTIFS('Konten'!$A$7:$A$26,C775)&lt;&gt;1,"Konto nicht eindeutig",IF(J775&lt;&gt;"Ja","Zuordnung bestätigen",IF(OR(AND(H775="Einnahme",F775&lt;0),AND(H775="Ausgabe",F775&gt;0)),"Vorzeichen prüfen",IF(AND(H775="Umbuchung",OR(K775="",COUNTIFS($A$7:$A$1506,K775)&lt;&gt;1)),"Gegenbuchung fehlt",IF(AND(H775="Umbuchung",ROUND(SUMIFS($F$7:$F$1506,$A$7:$A$1506,K775)+F775,2)&lt;&gt;0),"Umbuchung abweichend",IF(OR(G775="",M775="",M775="offen",M775="teilbelegt",H775="Ungeklärt",H775="Bargeld"),"Beleg / Verwendung klären","vollständig erfasst")))))))))</x:f>
      </x:c>
    </x:row>
    <x:row r="776" ht="22" customHeight="1">
      <x:c r="A776" s="7"/>
      <x:c r="B776" s="8"/>
      <x:c r="C776" s="7"/>
      <x:c r="D776" s="7"/>
      <x:c r="E776" s="7"/>
      <x:c r="F776" s="20"/>
      <x:c r="G776" s="7"/>
      <x:c r="H776" s="7"/>
      <x:c r="I776" s="7"/>
      <x:c r="J776" s="7"/>
      <x:c r="K776" s="7"/>
      <x:c r="L776" s="7"/>
      <x:c r="M776" s="7"/>
      <x:c r="N776" s="7"/>
      <x:c r="O776" s="2" t="str">
        <x:f>IF(A776="","",IF(COUNTIFS($A$7:$A$1506,A776)&gt;1,"Buchung-ID doppelt",IF(OR(NOT(ISNUMBER(B776)),C776="",NOT(ISNUMBER(F776)),H776="",L776=""),"Pflichtangaben fehlen",IF(COUNTIFS('Konten'!$A$7:$A$26,C776)&lt;&gt;1,"Konto nicht eindeutig",IF(J776&lt;&gt;"Ja","Zuordnung bestätigen",IF(OR(AND(H776="Einnahme",F776&lt;0),AND(H776="Ausgabe",F776&gt;0)),"Vorzeichen prüfen",IF(AND(H776="Umbuchung",OR(K776="",COUNTIFS($A$7:$A$1506,K776)&lt;&gt;1)),"Gegenbuchung fehlt",IF(AND(H776="Umbuchung",ROUND(SUMIFS($F$7:$F$1506,$A$7:$A$1506,K776)+F776,2)&lt;&gt;0),"Umbuchung abweichend",IF(OR(G776="",M776="",M776="offen",M776="teilbelegt",H776="Ungeklärt",H776="Bargeld"),"Beleg / Verwendung klären","vollständig erfasst")))))))))</x:f>
      </x:c>
    </x:row>
    <x:row r="777" ht="22" customHeight="1">
      <x:c r="A777" s="7"/>
      <x:c r="B777" s="8"/>
      <x:c r="C777" s="7"/>
      <x:c r="D777" s="7"/>
      <x:c r="E777" s="7"/>
      <x:c r="F777" s="20"/>
      <x:c r="G777" s="7"/>
      <x:c r="H777" s="7"/>
      <x:c r="I777" s="7"/>
      <x:c r="J777" s="7"/>
      <x:c r="K777" s="7"/>
      <x:c r="L777" s="7"/>
      <x:c r="M777" s="7"/>
      <x:c r="N777" s="7"/>
      <x:c r="O777" s="2" t="str">
        <x:f>IF(A777="","",IF(COUNTIFS($A$7:$A$1506,A777)&gt;1,"Buchung-ID doppelt",IF(OR(NOT(ISNUMBER(B777)),C777="",NOT(ISNUMBER(F777)),H777="",L777=""),"Pflichtangaben fehlen",IF(COUNTIFS('Konten'!$A$7:$A$26,C777)&lt;&gt;1,"Konto nicht eindeutig",IF(J777&lt;&gt;"Ja","Zuordnung bestätigen",IF(OR(AND(H777="Einnahme",F777&lt;0),AND(H777="Ausgabe",F777&gt;0)),"Vorzeichen prüfen",IF(AND(H777="Umbuchung",OR(K777="",COUNTIFS($A$7:$A$1506,K777)&lt;&gt;1)),"Gegenbuchung fehlt",IF(AND(H777="Umbuchung",ROUND(SUMIFS($F$7:$F$1506,$A$7:$A$1506,K777)+F777,2)&lt;&gt;0),"Umbuchung abweichend",IF(OR(G777="",M777="",M777="offen",M777="teilbelegt",H777="Ungeklärt",H777="Bargeld"),"Beleg / Verwendung klären","vollständig erfasst")))))))))</x:f>
      </x:c>
    </x:row>
    <x:row r="778" ht="22" customHeight="1">
      <x:c r="A778" s="7"/>
      <x:c r="B778" s="8"/>
      <x:c r="C778" s="7"/>
      <x:c r="D778" s="7"/>
      <x:c r="E778" s="7"/>
      <x:c r="F778" s="20"/>
      <x:c r="G778" s="7"/>
      <x:c r="H778" s="7"/>
      <x:c r="I778" s="7"/>
      <x:c r="J778" s="7"/>
      <x:c r="K778" s="7"/>
      <x:c r="L778" s="7"/>
      <x:c r="M778" s="7"/>
      <x:c r="N778" s="7"/>
      <x:c r="O778" s="2" t="str">
        <x:f>IF(A778="","",IF(COUNTIFS($A$7:$A$1506,A778)&gt;1,"Buchung-ID doppelt",IF(OR(NOT(ISNUMBER(B778)),C778="",NOT(ISNUMBER(F778)),H778="",L778=""),"Pflichtangaben fehlen",IF(COUNTIFS('Konten'!$A$7:$A$26,C778)&lt;&gt;1,"Konto nicht eindeutig",IF(J778&lt;&gt;"Ja","Zuordnung bestätigen",IF(OR(AND(H778="Einnahme",F778&lt;0),AND(H778="Ausgabe",F778&gt;0)),"Vorzeichen prüfen",IF(AND(H778="Umbuchung",OR(K778="",COUNTIFS($A$7:$A$1506,K778)&lt;&gt;1)),"Gegenbuchung fehlt",IF(AND(H778="Umbuchung",ROUND(SUMIFS($F$7:$F$1506,$A$7:$A$1506,K778)+F778,2)&lt;&gt;0),"Umbuchung abweichend",IF(OR(G778="",M778="",M778="offen",M778="teilbelegt",H778="Ungeklärt",H778="Bargeld"),"Beleg / Verwendung klären","vollständig erfasst")))))))))</x:f>
      </x:c>
    </x:row>
    <x:row r="779" ht="22" customHeight="1">
      <x:c r="A779" s="7"/>
      <x:c r="B779" s="8"/>
      <x:c r="C779" s="7"/>
      <x:c r="D779" s="7"/>
      <x:c r="E779" s="7"/>
      <x:c r="F779" s="20"/>
      <x:c r="G779" s="7"/>
      <x:c r="H779" s="7"/>
      <x:c r="I779" s="7"/>
      <x:c r="J779" s="7"/>
      <x:c r="K779" s="7"/>
      <x:c r="L779" s="7"/>
      <x:c r="M779" s="7"/>
      <x:c r="N779" s="7"/>
      <x:c r="O779" s="2" t="str">
        <x:f>IF(A779="","",IF(COUNTIFS($A$7:$A$1506,A779)&gt;1,"Buchung-ID doppelt",IF(OR(NOT(ISNUMBER(B779)),C779="",NOT(ISNUMBER(F779)),H779="",L779=""),"Pflichtangaben fehlen",IF(COUNTIFS('Konten'!$A$7:$A$26,C779)&lt;&gt;1,"Konto nicht eindeutig",IF(J779&lt;&gt;"Ja","Zuordnung bestätigen",IF(OR(AND(H779="Einnahme",F779&lt;0),AND(H779="Ausgabe",F779&gt;0)),"Vorzeichen prüfen",IF(AND(H779="Umbuchung",OR(K779="",COUNTIFS($A$7:$A$1506,K779)&lt;&gt;1)),"Gegenbuchung fehlt",IF(AND(H779="Umbuchung",ROUND(SUMIFS($F$7:$F$1506,$A$7:$A$1506,K779)+F779,2)&lt;&gt;0),"Umbuchung abweichend",IF(OR(G779="",M779="",M779="offen",M779="teilbelegt",H779="Ungeklärt",H779="Bargeld"),"Beleg / Verwendung klären","vollständig erfasst")))))))))</x:f>
      </x:c>
    </x:row>
    <x:row r="780" ht="22" customHeight="1">
      <x:c r="A780" s="7"/>
      <x:c r="B780" s="8"/>
      <x:c r="C780" s="7"/>
      <x:c r="D780" s="7"/>
      <x:c r="E780" s="7"/>
      <x:c r="F780" s="20"/>
      <x:c r="G780" s="7"/>
      <x:c r="H780" s="7"/>
      <x:c r="I780" s="7"/>
      <x:c r="J780" s="7"/>
      <x:c r="K780" s="7"/>
      <x:c r="L780" s="7"/>
      <x:c r="M780" s="7"/>
      <x:c r="N780" s="7"/>
      <x:c r="O780" s="2" t="str">
        <x:f>IF(A780="","",IF(COUNTIFS($A$7:$A$1506,A780)&gt;1,"Buchung-ID doppelt",IF(OR(NOT(ISNUMBER(B780)),C780="",NOT(ISNUMBER(F780)),H780="",L780=""),"Pflichtangaben fehlen",IF(COUNTIFS('Konten'!$A$7:$A$26,C780)&lt;&gt;1,"Konto nicht eindeutig",IF(J780&lt;&gt;"Ja","Zuordnung bestätigen",IF(OR(AND(H780="Einnahme",F780&lt;0),AND(H780="Ausgabe",F780&gt;0)),"Vorzeichen prüfen",IF(AND(H780="Umbuchung",OR(K780="",COUNTIFS($A$7:$A$1506,K780)&lt;&gt;1)),"Gegenbuchung fehlt",IF(AND(H780="Umbuchung",ROUND(SUMIFS($F$7:$F$1506,$A$7:$A$1506,K780)+F780,2)&lt;&gt;0),"Umbuchung abweichend",IF(OR(G780="",M780="",M780="offen",M780="teilbelegt",H780="Ungeklärt",H780="Bargeld"),"Beleg / Verwendung klären","vollständig erfasst")))))))))</x:f>
      </x:c>
    </x:row>
    <x:row r="781" ht="22" customHeight="1">
      <x:c r="A781" s="7"/>
      <x:c r="B781" s="8"/>
      <x:c r="C781" s="7"/>
      <x:c r="D781" s="7"/>
      <x:c r="E781" s="7"/>
      <x:c r="F781" s="20"/>
      <x:c r="G781" s="7"/>
      <x:c r="H781" s="7"/>
      <x:c r="I781" s="7"/>
      <x:c r="J781" s="7"/>
      <x:c r="K781" s="7"/>
      <x:c r="L781" s="7"/>
      <x:c r="M781" s="7"/>
      <x:c r="N781" s="7"/>
      <x:c r="O781" s="2" t="str">
        <x:f>IF(A781="","",IF(COUNTIFS($A$7:$A$1506,A781)&gt;1,"Buchung-ID doppelt",IF(OR(NOT(ISNUMBER(B781)),C781="",NOT(ISNUMBER(F781)),H781="",L781=""),"Pflichtangaben fehlen",IF(COUNTIFS('Konten'!$A$7:$A$26,C781)&lt;&gt;1,"Konto nicht eindeutig",IF(J781&lt;&gt;"Ja","Zuordnung bestätigen",IF(OR(AND(H781="Einnahme",F781&lt;0),AND(H781="Ausgabe",F781&gt;0)),"Vorzeichen prüfen",IF(AND(H781="Umbuchung",OR(K781="",COUNTIFS($A$7:$A$1506,K781)&lt;&gt;1)),"Gegenbuchung fehlt",IF(AND(H781="Umbuchung",ROUND(SUMIFS($F$7:$F$1506,$A$7:$A$1506,K781)+F781,2)&lt;&gt;0),"Umbuchung abweichend",IF(OR(G781="",M781="",M781="offen",M781="teilbelegt",H781="Ungeklärt",H781="Bargeld"),"Beleg / Verwendung klären","vollständig erfasst")))))))))</x:f>
      </x:c>
    </x:row>
    <x:row r="782" ht="22" customHeight="1">
      <x:c r="A782" s="7"/>
      <x:c r="B782" s="8"/>
      <x:c r="C782" s="7"/>
      <x:c r="D782" s="7"/>
      <x:c r="E782" s="7"/>
      <x:c r="F782" s="20"/>
      <x:c r="G782" s="7"/>
      <x:c r="H782" s="7"/>
      <x:c r="I782" s="7"/>
      <x:c r="J782" s="7"/>
      <x:c r="K782" s="7"/>
      <x:c r="L782" s="7"/>
      <x:c r="M782" s="7"/>
      <x:c r="N782" s="7"/>
      <x:c r="O782" s="2" t="str">
        <x:f>IF(A782="","",IF(COUNTIFS($A$7:$A$1506,A782)&gt;1,"Buchung-ID doppelt",IF(OR(NOT(ISNUMBER(B782)),C782="",NOT(ISNUMBER(F782)),H782="",L782=""),"Pflichtangaben fehlen",IF(COUNTIFS('Konten'!$A$7:$A$26,C782)&lt;&gt;1,"Konto nicht eindeutig",IF(J782&lt;&gt;"Ja","Zuordnung bestätigen",IF(OR(AND(H782="Einnahme",F782&lt;0),AND(H782="Ausgabe",F782&gt;0)),"Vorzeichen prüfen",IF(AND(H782="Umbuchung",OR(K782="",COUNTIFS($A$7:$A$1506,K782)&lt;&gt;1)),"Gegenbuchung fehlt",IF(AND(H782="Umbuchung",ROUND(SUMIFS($F$7:$F$1506,$A$7:$A$1506,K782)+F782,2)&lt;&gt;0),"Umbuchung abweichend",IF(OR(G782="",M782="",M782="offen",M782="teilbelegt",H782="Ungeklärt",H782="Bargeld"),"Beleg / Verwendung klären","vollständig erfasst")))))))))</x:f>
      </x:c>
    </x:row>
    <x:row r="783" ht="22" customHeight="1">
      <x:c r="A783" s="7"/>
      <x:c r="B783" s="8"/>
      <x:c r="C783" s="7"/>
      <x:c r="D783" s="7"/>
      <x:c r="E783" s="7"/>
      <x:c r="F783" s="20"/>
      <x:c r="G783" s="7"/>
      <x:c r="H783" s="7"/>
      <x:c r="I783" s="7"/>
      <x:c r="J783" s="7"/>
      <x:c r="K783" s="7"/>
      <x:c r="L783" s="7"/>
      <x:c r="M783" s="7"/>
      <x:c r="N783" s="7"/>
      <x:c r="O783" s="2" t="str">
        <x:f>IF(A783="","",IF(COUNTIFS($A$7:$A$1506,A783)&gt;1,"Buchung-ID doppelt",IF(OR(NOT(ISNUMBER(B783)),C783="",NOT(ISNUMBER(F783)),H783="",L783=""),"Pflichtangaben fehlen",IF(COUNTIFS('Konten'!$A$7:$A$26,C783)&lt;&gt;1,"Konto nicht eindeutig",IF(J783&lt;&gt;"Ja","Zuordnung bestätigen",IF(OR(AND(H783="Einnahme",F783&lt;0),AND(H783="Ausgabe",F783&gt;0)),"Vorzeichen prüfen",IF(AND(H783="Umbuchung",OR(K783="",COUNTIFS($A$7:$A$1506,K783)&lt;&gt;1)),"Gegenbuchung fehlt",IF(AND(H783="Umbuchung",ROUND(SUMIFS($F$7:$F$1506,$A$7:$A$1506,K783)+F783,2)&lt;&gt;0),"Umbuchung abweichend",IF(OR(G783="",M783="",M783="offen",M783="teilbelegt",H783="Ungeklärt",H783="Bargeld"),"Beleg / Verwendung klären","vollständig erfasst")))))))))</x:f>
      </x:c>
    </x:row>
    <x:row r="784" ht="22" customHeight="1">
      <x:c r="A784" s="7"/>
      <x:c r="B784" s="8"/>
      <x:c r="C784" s="7"/>
      <x:c r="D784" s="7"/>
      <x:c r="E784" s="7"/>
      <x:c r="F784" s="20"/>
      <x:c r="G784" s="7"/>
      <x:c r="H784" s="7"/>
      <x:c r="I784" s="7"/>
      <x:c r="J784" s="7"/>
      <x:c r="K784" s="7"/>
      <x:c r="L784" s="7"/>
      <x:c r="M784" s="7"/>
      <x:c r="N784" s="7"/>
      <x:c r="O784" s="2" t="str">
        <x:f>IF(A784="","",IF(COUNTIFS($A$7:$A$1506,A784)&gt;1,"Buchung-ID doppelt",IF(OR(NOT(ISNUMBER(B784)),C784="",NOT(ISNUMBER(F784)),H784="",L784=""),"Pflichtangaben fehlen",IF(COUNTIFS('Konten'!$A$7:$A$26,C784)&lt;&gt;1,"Konto nicht eindeutig",IF(J784&lt;&gt;"Ja","Zuordnung bestätigen",IF(OR(AND(H784="Einnahme",F784&lt;0),AND(H784="Ausgabe",F784&gt;0)),"Vorzeichen prüfen",IF(AND(H784="Umbuchung",OR(K784="",COUNTIFS($A$7:$A$1506,K784)&lt;&gt;1)),"Gegenbuchung fehlt",IF(AND(H784="Umbuchung",ROUND(SUMIFS($F$7:$F$1506,$A$7:$A$1506,K784)+F784,2)&lt;&gt;0),"Umbuchung abweichend",IF(OR(G784="",M784="",M784="offen",M784="teilbelegt",H784="Ungeklärt",H784="Bargeld"),"Beleg / Verwendung klären","vollständig erfasst")))))))))</x:f>
      </x:c>
    </x:row>
    <x:row r="785" ht="22" customHeight="1">
      <x:c r="A785" s="7"/>
      <x:c r="B785" s="8"/>
      <x:c r="C785" s="7"/>
      <x:c r="D785" s="7"/>
      <x:c r="E785" s="7"/>
      <x:c r="F785" s="20"/>
      <x:c r="G785" s="7"/>
      <x:c r="H785" s="7"/>
      <x:c r="I785" s="7"/>
      <x:c r="J785" s="7"/>
      <x:c r="K785" s="7"/>
      <x:c r="L785" s="7"/>
      <x:c r="M785" s="7"/>
      <x:c r="N785" s="7"/>
      <x:c r="O785" s="2" t="str">
        <x:f>IF(A785="","",IF(COUNTIFS($A$7:$A$1506,A785)&gt;1,"Buchung-ID doppelt",IF(OR(NOT(ISNUMBER(B785)),C785="",NOT(ISNUMBER(F785)),H785="",L785=""),"Pflichtangaben fehlen",IF(COUNTIFS('Konten'!$A$7:$A$26,C785)&lt;&gt;1,"Konto nicht eindeutig",IF(J785&lt;&gt;"Ja","Zuordnung bestätigen",IF(OR(AND(H785="Einnahme",F785&lt;0),AND(H785="Ausgabe",F785&gt;0)),"Vorzeichen prüfen",IF(AND(H785="Umbuchung",OR(K785="",COUNTIFS($A$7:$A$1506,K785)&lt;&gt;1)),"Gegenbuchung fehlt",IF(AND(H785="Umbuchung",ROUND(SUMIFS($F$7:$F$1506,$A$7:$A$1506,K785)+F785,2)&lt;&gt;0),"Umbuchung abweichend",IF(OR(G785="",M785="",M785="offen",M785="teilbelegt",H785="Ungeklärt",H785="Bargeld"),"Beleg / Verwendung klären","vollständig erfasst")))))))))</x:f>
      </x:c>
    </x:row>
    <x:row r="786" ht="22" customHeight="1">
      <x:c r="A786" s="7"/>
      <x:c r="B786" s="8"/>
      <x:c r="C786" s="7"/>
      <x:c r="D786" s="7"/>
      <x:c r="E786" s="7"/>
      <x:c r="F786" s="20"/>
      <x:c r="G786" s="7"/>
      <x:c r="H786" s="7"/>
      <x:c r="I786" s="7"/>
      <x:c r="J786" s="7"/>
      <x:c r="K786" s="7"/>
      <x:c r="L786" s="7"/>
      <x:c r="M786" s="7"/>
      <x:c r="N786" s="7"/>
      <x:c r="O786" s="2" t="str">
        <x:f>IF(A786="","",IF(COUNTIFS($A$7:$A$1506,A786)&gt;1,"Buchung-ID doppelt",IF(OR(NOT(ISNUMBER(B786)),C786="",NOT(ISNUMBER(F786)),H786="",L786=""),"Pflichtangaben fehlen",IF(COUNTIFS('Konten'!$A$7:$A$26,C786)&lt;&gt;1,"Konto nicht eindeutig",IF(J786&lt;&gt;"Ja","Zuordnung bestätigen",IF(OR(AND(H786="Einnahme",F786&lt;0),AND(H786="Ausgabe",F786&gt;0)),"Vorzeichen prüfen",IF(AND(H786="Umbuchung",OR(K786="",COUNTIFS($A$7:$A$1506,K786)&lt;&gt;1)),"Gegenbuchung fehlt",IF(AND(H786="Umbuchung",ROUND(SUMIFS($F$7:$F$1506,$A$7:$A$1506,K786)+F786,2)&lt;&gt;0),"Umbuchung abweichend",IF(OR(G786="",M786="",M786="offen",M786="teilbelegt",H786="Ungeklärt",H786="Bargeld"),"Beleg / Verwendung klären","vollständig erfasst")))))))))</x:f>
      </x:c>
    </x:row>
    <x:row r="787" ht="22" customHeight="1">
      <x:c r="A787" s="7"/>
      <x:c r="B787" s="8"/>
      <x:c r="C787" s="7"/>
      <x:c r="D787" s="7"/>
      <x:c r="E787" s="7"/>
      <x:c r="F787" s="20"/>
      <x:c r="G787" s="7"/>
      <x:c r="H787" s="7"/>
      <x:c r="I787" s="7"/>
      <x:c r="J787" s="7"/>
      <x:c r="K787" s="7"/>
      <x:c r="L787" s="7"/>
      <x:c r="M787" s="7"/>
      <x:c r="N787" s="7"/>
      <x:c r="O787" s="2" t="str">
        <x:f>IF(A787="","",IF(COUNTIFS($A$7:$A$1506,A787)&gt;1,"Buchung-ID doppelt",IF(OR(NOT(ISNUMBER(B787)),C787="",NOT(ISNUMBER(F787)),H787="",L787=""),"Pflichtangaben fehlen",IF(COUNTIFS('Konten'!$A$7:$A$26,C787)&lt;&gt;1,"Konto nicht eindeutig",IF(J787&lt;&gt;"Ja","Zuordnung bestätigen",IF(OR(AND(H787="Einnahme",F787&lt;0),AND(H787="Ausgabe",F787&gt;0)),"Vorzeichen prüfen",IF(AND(H787="Umbuchung",OR(K787="",COUNTIFS($A$7:$A$1506,K787)&lt;&gt;1)),"Gegenbuchung fehlt",IF(AND(H787="Umbuchung",ROUND(SUMIFS($F$7:$F$1506,$A$7:$A$1506,K787)+F787,2)&lt;&gt;0),"Umbuchung abweichend",IF(OR(G787="",M787="",M787="offen",M787="teilbelegt",H787="Ungeklärt",H787="Bargeld"),"Beleg / Verwendung klären","vollständig erfasst")))))))))</x:f>
      </x:c>
    </x:row>
    <x:row r="788" ht="22" customHeight="1">
      <x:c r="A788" s="7"/>
      <x:c r="B788" s="8"/>
      <x:c r="C788" s="7"/>
      <x:c r="D788" s="7"/>
      <x:c r="E788" s="7"/>
      <x:c r="F788" s="20"/>
      <x:c r="G788" s="7"/>
      <x:c r="H788" s="7"/>
      <x:c r="I788" s="7"/>
      <x:c r="J788" s="7"/>
      <x:c r="K788" s="7"/>
      <x:c r="L788" s="7"/>
      <x:c r="M788" s="7"/>
      <x:c r="N788" s="7"/>
      <x:c r="O788" s="2" t="str">
        <x:f>IF(A788="","",IF(COUNTIFS($A$7:$A$1506,A788)&gt;1,"Buchung-ID doppelt",IF(OR(NOT(ISNUMBER(B788)),C788="",NOT(ISNUMBER(F788)),H788="",L788=""),"Pflichtangaben fehlen",IF(COUNTIFS('Konten'!$A$7:$A$26,C788)&lt;&gt;1,"Konto nicht eindeutig",IF(J788&lt;&gt;"Ja","Zuordnung bestätigen",IF(OR(AND(H788="Einnahme",F788&lt;0),AND(H788="Ausgabe",F788&gt;0)),"Vorzeichen prüfen",IF(AND(H788="Umbuchung",OR(K788="",COUNTIFS($A$7:$A$1506,K788)&lt;&gt;1)),"Gegenbuchung fehlt",IF(AND(H788="Umbuchung",ROUND(SUMIFS($F$7:$F$1506,$A$7:$A$1506,K788)+F788,2)&lt;&gt;0),"Umbuchung abweichend",IF(OR(G788="",M788="",M788="offen",M788="teilbelegt",H788="Ungeklärt",H788="Bargeld"),"Beleg / Verwendung klären","vollständig erfasst")))))))))</x:f>
      </x:c>
    </x:row>
    <x:row r="789" ht="22" customHeight="1">
      <x:c r="A789" s="7"/>
      <x:c r="B789" s="8"/>
      <x:c r="C789" s="7"/>
      <x:c r="D789" s="7"/>
      <x:c r="E789" s="7"/>
      <x:c r="F789" s="20"/>
      <x:c r="G789" s="7"/>
      <x:c r="H789" s="7"/>
      <x:c r="I789" s="7"/>
      <x:c r="J789" s="7"/>
      <x:c r="K789" s="7"/>
      <x:c r="L789" s="7"/>
      <x:c r="M789" s="7"/>
      <x:c r="N789" s="7"/>
      <x:c r="O789" s="2" t="str">
        <x:f>IF(A789="","",IF(COUNTIFS($A$7:$A$1506,A789)&gt;1,"Buchung-ID doppelt",IF(OR(NOT(ISNUMBER(B789)),C789="",NOT(ISNUMBER(F789)),H789="",L789=""),"Pflichtangaben fehlen",IF(COUNTIFS('Konten'!$A$7:$A$26,C789)&lt;&gt;1,"Konto nicht eindeutig",IF(J789&lt;&gt;"Ja","Zuordnung bestätigen",IF(OR(AND(H789="Einnahme",F789&lt;0),AND(H789="Ausgabe",F789&gt;0)),"Vorzeichen prüfen",IF(AND(H789="Umbuchung",OR(K789="",COUNTIFS($A$7:$A$1506,K789)&lt;&gt;1)),"Gegenbuchung fehlt",IF(AND(H789="Umbuchung",ROUND(SUMIFS($F$7:$F$1506,$A$7:$A$1506,K789)+F789,2)&lt;&gt;0),"Umbuchung abweichend",IF(OR(G789="",M789="",M789="offen",M789="teilbelegt",H789="Ungeklärt",H789="Bargeld"),"Beleg / Verwendung klären","vollständig erfasst")))))))))</x:f>
      </x:c>
    </x:row>
    <x:row r="790" ht="22" customHeight="1">
      <x:c r="A790" s="7"/>
      <x:c r="B790" s="8"/>
      <x:c r="C790" s="7"/>
      <x:c r="D790" s="7"/>
      <x:c r="E790" s="7"/>
      <x:c r="F790" s="20"/>
      <x:c r="G790" s="7"/>
      <x:c r="H790" s="7"/>
      <x:c r="I790" s="7"/>
      <x:c r="J790" s="7"/>
      <x:c r="K790" s="7"/>
      <x:c r="L790" s="7"/>
      <x:c r="M790" s="7"/>
      <x:c r="N790" s="7"/>
      <x:c r="O790" s="2" t="str">
        <x:f>IF(A790="","",IF(COUNTIFS($A$7:$A$1506,A790)&gt;1,"Buchung-ID doppelt",IF(OR(NOT(ISNUMBER(B790)),C790="",NOT(ISNUMBER(F790)),H790="",L790=""),"Pflichtangaben fehlen",IF(COUNTIFS('Konten'!$A$7:$A$26,C790)&lt;&gt;1,"Konto nicht eindeutig",IF(J790&lt;&gt;"Ja","Zuordnung bestätigen",IF(OR(AND(H790="Einnahme",F790&lt;0),AND(H790="Ausgabe",F790&gt;0)),"Vorzeichen prüfen",IF(AND(H790="Umbuchung",OR(K790="",COUNTIFS($A$7:$A$1506,K790)&lt;&gt;1)),"Gegenbuchung fehlt",IF(AND(H790="Umbuchung",ROUND(SUMIFS($F$7:$F$1506,$A$7:$A$1506,K790)+F790,2)&lt;&gt;0),"Umbuchung abweichend",IF(OR(G790="",M790="",M790="offen",M790="teilbelegt",H790="Ungeklärt",H790="Bargeld"),"Beleg / Verwendung klären","vollständig erfasst")))))))))</x:f>
      </x:c>
    </x:row>
    <x:row r="791" ht="22" customHeight="1">
      <x:c r="A791" s="7"/>
      <x:c r="B791" s="8"/>
      <x:c r="C791" s="7"/>
      <x:c r="D791" s="7"/>
      <x:c r="E791" s="7"/>
      <x:c r="F791" s="20"/>
      <x:c r="G791" s="7"/>
      <x:c r="H791" s="7"/>
      <x:c r="I791" s="7"/>
      <x:c r="J791" s="7"/>
      <x:c r="K791" s="7"/>
      <x:c r="L791" s="7"/>
      <x:c r="M791" s="7"/>
      <x:c r="N791" s="7"/>
      <x:c r="O791" s="2" t="str">
        <x:f>IF(A791="","",IF(COUNTIFS($A$7:$A$1506,A791)&gt;1,"Buchung-ID doppelt",IF(OR(NOT(ISNUMBER(B791)),C791="",NOT(ISNUMBER(F791)),H791="",L791=""),"Pflichtangaben fehlen",IF(COUNTIFS('Konten'!$A$7:$A$26,C791)&lt;&gt;1,"Konto nicht eindeutig",IF(J791&lt;&gt;"Ja","Zuordnung bestätigen",IF(OR(AND(H791="Einnahme",F791&lt;0),AND(H791="Ausgabe",F791&gt;0)),"Vorzeichen prüfen",IF(AND(H791="Umbuchung",OR(K791="",COUNTIFS($A$7:$A$1506,K791)&lt;&gt;1)),"Gegenbuchung fehlt",IF(AND(H791="Umbuchung",ROUND(SUMIFS($F$7:$F$1506,$A$7:$A$1506,K791)+F791,2)&lt;&gt;0),"Umbuchung abweichend",IF(OR(G791="",M791="",M791="offen",M791="teilbelegt",H791="Ungeklärt",H791="Bargeld"),"Beleg / Verwendung klären","vollständig erfasst")))))))))</x:f>
      </x:c>
    </x:row>
    <x:row r="792" ht="22" customHeight="1">
      <x:c r="A792" s="7"/>
      <x:c r="B792" s="8"/>
      <x:c r="C792" s="7"/>
      <x:c r="D792" s="7"/>
      <x:c r="E792" s="7"/>
      <x:c r="F792" s="20"/>
      <x:c r="G792" s="7"/>
      <x:c r="H792" s="7"/>
      <x:c r="I792" s="7"/>
      <x:c r="J792" s="7"/>
      <x:c r="K792" s="7"/>
      <x:c r="L792" s="7"/>
      <x:c r="M792" s="7"/>
      <x:c r="N792" s="7"/>
      <x:c r="O792" s="2" t="str">
        <x:f>IF(A792="","",IF(COUNTIFS($A$7:$A$1506,A792)&gt;1,"Buchung-ID doppelt",IF(OR(NOT(ISNUMBER(B792)),C792="",NOT(ISNUMBER(F792)),H792="",L792=""),"Pflichtangaben fehlen",IF(COUNTIFS('Konten'!$A$7:$A$26,C792)&lt;&gt;1,"Konto nicht eindeutig",IF(J792&lt;&gt;"Ja","Zuordnung bestätigen",IF(OR(AND(H792="Einnahme",F792&lt;0),AND(H792="Ausgabe",F792&gt;0)),"Vorzeichen prüfen",IF(AND(H792="Umbuchung",OR(K792="",COUNTIFS($A$7:$A$1506,K792)&lt;&gt;1)),"Gegenbuchung fehlt",IF(AND(H792="Umbuchung",ROUND(SUMIFS($F$7:$F$1506,$A$7:$A$1506,K792)+F792,2)&lt;&gt;0),"Umbuchung abweichend",IF(OR(G792="",M792="",M792="offen",M792="teilbelegt",H792="Ungeklärt",H792="Bargeld"),"Beleg / Verwendung klären","vollständig erfasst")))))))))</x:f>
      </x:c>
    </x:row>
    <x:row r="793" ht="22" customHeight="1">
      <x:c r="A793" s="7"/>
      <x:c r="B793" s="8"/>
      <x:c r="C793" s="7"/>
      <x:c r="D793" s="7"/>
      <x:c r="E793" s="7"/>
      <x:c r="F793" s="20"/>
      <x:c r="G793" s="7"/>
      <x:c r="H793" s="7"/>
      <x:c r="I793" s="7"/>
      <x:c r="J793" s="7"/>
      <x:c r="K793" s="7"/>
      <x:c r="L793" s="7"/>
      <x:c r="M793" s="7"/>
      <x:c r="N793" s="7"/>
      <x:c r="O793" s="2" t="str">
        <x:f>IF(A793="","",IF(COUNTIFS($A$7:$A$1506,A793)&gt;1,"Buchung-ID doppelt",IF(OR(NOT(ISNUMBER(B793)),C793="",NOT(ISNUMBER(F793)),H793="",L793=""),"Pflichtangaben fehlen",IF(COUNTIFS('Konten'!$A$7:$A$26,C793)&lt;&gt;1,"Konto nicht eindeutig",IF(J793&lt;&gt;"Ja","Zuordnung bestätigen",IF(OR(AND(H793="Einnahme",F793&lt;0),AND(H793="Ausgabe",F793&gt;0)),"Vorzeichen prüfen",IF(AND(H793="Umbuchung",OR(K793="",COUNTIFS($A$7:$A$1506,K793)&lt;&gt;1)),"Gegenbuchung fehlt",IF(AND(H793="Umbuchung",ROUND(SUMIFS($F$7:$F$1506,$A$7:$A$1506,K793)+F793,2)&lt;&gt;0),"Umbuchung abweichend",IF(OR(G793="",M793="",M793="offen",M793="teilbelegt",H793="Ungeklärt",H793="Bargeld"),"Beleg / Verwendung klären","vollständig erfasst")))))))))</x:f>
      </x:c>
    </x:row>
    <x:row r="794" ht="22" customHeight="1">
      <x:c r="A794" s="7"/>
      <x:c r="B794" s="8"/>
      <x:c r="C794" s="7"/>
      <x:c r="D794" s="7"/>
      <x:c r="E794" s="7"/>
      <x:c r="F794" s="20"/>
      <x:c r="G794" s="7"/>
      <x:c r="H794" s="7"/>
      <x:c r="I794" s="7"/>
      <x:c r="J794" s="7"/>
      <x:c r="K794" s="7"/>
      <x:c r="L794" s="7"/>
      <x:c r="M794" s="7"/>
      <x:c r="N794" s="7"/>
      <x:c r="O794" s="2" t="str">
        <x:f>IF(A794="","",IF(COUNTIFS($A$7:$A$1506,A794)&gt;1,"Buchung-ID doppelt",IF(OR(NOT(ISNUMBER(B794)),C794="",NOT(ISNUMBER(F794)),H794="",L794=""),"Pflichtangaben fehlen",IF(COUNTIFS('Konten'!$A$7:$A$26,C794)&lt;&gt;1,"Konto nicht eindeutig",IF(J794&lt;&gt;"Ja","Zuordnung bestätigen",IF(OR(AND(H794="Einnahme",F794&lt;0),AND(H794="Ausgabe",F794&gt;0)),"Vorzeichen prüfen",IF(AND(H794="Umbuchung",OR(K794="",COUNTIFS($A$7:$A$1506,K794)&lt;&gt;1)),"Gegenbuchung fehlt",IF(AND(H794="Umbuchung",ROUND(SUMIFS($F$7:$F$1506,$A$7:$A$1506,K794)+F794,2)&lt;&gt;0),"Umbuchung abweichend",IF(OR(G794="",M794="",M794="offen",M794="teilbelegt",H794="Ungeklärt",H794="Bargeld"),"Beleg / Verwendung klären","vollständig erfasst")))))))))</x:f>
      </x:c>
    </x:row>
    <x:row r="795" ht="22" customHeight="1">
      <x:c r="A795" s="7"/>
      <x:c r="B795" s="8"/>
      <x:c r="C795" s="7"/>
      <x:c r="D795" s="7"/>
      <x:c r="E795" s="7"/>
      <x:c r="F795" s="20"/>
      <x:c r="G795" s="7"/>
      <x:c r="H795" s="7"/>
      <x:c r="I795" s="7"/>
      <x:c r="J795" s="7"/>
      <x:c r="K795" s="7"/>
      <x:c r="L795" s="7"/>
      <x:c r="M795" s="7"/>
      <x:c r="N795" s="7"/>
      <x:c r="O795" s="2" t="str">
        <x:f>IF(A795="","",IF(COUNTIFS($A$7:$A$1506,A795)&gt;1,"Buchung-ID doppelt",IF(OR(NOT(ISNUMBER(B795)),C795="",NOT(ISNUMBER(F795)),H795="",L795=""),"Pflichtangaben fehlen",IF(COUNTIFS('Konten'!$A$7:$A$26,C795)&lt;&gt;1,"Konto nicht eindeutig",IF(J795&lt;&gt;"Ja","Zuordnung bestätigen",IF(OR(AND(H795="Einnahme",F795&lt;0),AND(H795="Ausgabe",F795&gt;0)),"Vorzeichen prüfen",IF(AND(H795="Umbuchung",OR(K795="",COUNTIFS($A$7:$A$1506,K795)&lt;&gt;1)),"Gegenbuchung fehlt",IF(AND(H795="Umbuchung",ROUND(SUMIFS($F$7:$F$1506,$A$7:$A$1506,K795)+F795,2)&lt;&gt;0),"Umbuchung abweichend",IF(OR(G795="",M795="",M795="offen",M795="teilbelegt",H795="Ungeklärt",H795="Bargeld"),"Beleg / Verwendung klären","vollständig erfasst")))))))))</x:f>
      </x:c>
    </x:row>
    <x:row r="796" ht="22" customHeight="1">
      <x:c r="A796" s="7"/>
      <x:c r="B796" s="8"/>
      <x:c r="C796" s="7"/>
      <x:c r="D796" s="7"/>
      <x:c r="E796" s="7"/>
      <x:c r="F796" s="20"/>
      <x:c r="G796" s="7"/>
      <x:c r="H796" s="7"/>
      <x:c r="I796" s="7"/>
      <x:c r="J796" s="7"/>
      <x:c r="K796" s="7"/>
      <x:c r="L796" s="7"/>
      <x:c r="M796" s="7"/>
      <x:c r="N796" s="7"/>
      <x:c r="O796" s="2" t="str">
        <x:f>IF(A796="","",IF(COUNTIFS($A$7:$A$1506,A796)&gt;1,"Buchung-ID doppelt",IF(OR(NOT(ISNUMBER(B796)),C796="",NOT(ISNUMBER(F796)),H796="",L796=""),"Pflichtangaben fehlen",IF(COUNTIFS('Konten'!$A$7:$A$26,C796)&lt;&gt;1,"Konto nicht eindeutig",IF(J796&lt;&gt;"Ja","Zuordnung bestätigen",IF(OR(AND(H796="Einnahme",F796&lt;0),AND(H796="Ausgabe",F796&gt;0)),"Vorzeichen prüfen",IF(AND(H796="Umbuchung",OR(K796="",COUNTIFS($A$7:$A$1506,K796)&lt;&gt;1)),"Gegenbuchung fehlt",IF(AND(H796="Umbuchung",ROUND(SUMIFS($F$7:$F$1506,$A$7:$A$1506,K796)+F796,2)&lt;&gt;0),"Umbuchung abweichend",IF(OR(G796="",M796="",M796="offen",M796="teilbelegt",H796="Ungeklärt",H796="Bargeld"),"Beleg / Verwendung klären","vollständig erfasst")))))))))</x:f>
      </x:c>
    </x:row>
    <x:row r="797" ht="22" customHeight="1">
      <x:c r="A797" s="7"/>
      <x:c r="B797" s="8"/>
      <x:c r="C797" s="7"/>
      <x:c r="D797" s="7"/>
      <x:c r="E797" s="7"/>
      <x:c r="F797" s="20"/>
      <x:c r="G797" s="7"/>
      <x:c r="H797" s="7"/>
      <x:c r="I797" s="7"/>
      <x:c r="J797" s="7"/>
      <x:c r="K797" s="7"/>
      <x:c r="L797" s="7"/>
      <x:c r="M797" s="7"/>
      <x:c r="N797" s="7"/>
      <x:c r="O797" s="2" t="str">
        <x:f>IF(A797="","",IF(COUNTIFS($A$7:$A$1506,A797)&gt;1,"Buchung-ID doppelt",IF(OR(NOT(ISNUMBER(B797)),C797="",NOT(ISNUMBER(F797)),H797="",L797=""),"Pflichtangaben fehlen",IF(COUNTIFS('Konten'!$A$7:$A$26,C797)&lt;&gt;1,"Konto nicht eindeutig",IF(J797&lt;&gt;"Ja","Zuordnung bestätigen",IF(OR(AND(H797="Einnahme",F797&lt;0),AND(H797="Ausgabe",F797&gt;0)),"Vorzeichen prüfen",IF(AND(H797="Umbuchung",OR(K797="",COUNTIFS($A$7:$A$1506,K797)&lt;&gt;1)),"Gegenbuchung fehlt",IF(AND(H797="Umbuchung",ROUND(SUMIFS($F$7:$F$1506,$A$7:$A$1506,K797)+F797,2)&lt;&gt;0),"Umbuchung abweichend",IF(OR(G797="",M797="",M797="offen",M797="teilbelegt",H797="Ungeklärt",H797="Bargeld"),"Beleg / Verwendung klären","vollständig erfasst")))))))))</x:f>
      </x:c>
    </x:row>
    <x:row r="798" ht="22" customHeight="1">
      <x:c r="A798" s="7"/>
      <x:c r="B798" s="8"/>
      <x:c r="C798" s="7"/>
      <x:c r="D798" s="7"/>
      <x:c r="E798" s="7"/>
      <x:c r="F798" s="20"/>
      <x:c r="G798" s="7"/>
      <x:c r="H798" s="7"/>
      <x:c r="I798" s="7"/>
      <x:c r="J798" s="7"/>
      <x:c r="K798" s="7"/>
      <x:c r="L798" s="7"/>
      <x:c r="M798" s="7"/>
      <x:c r="N798" s="7"/>
      <x:c r="O798" s="2" t="str">
        <x:f>IF(A798="","",IF(COUNTIFS($A$7:$A$1506,A798)&gt;1,"Buchung-ID doppelt",IF(OR(NOT(ISNUMBER(B798)),C798="",NOT(ISNUMBER(F798)),H798="",L798=""),"Pflichtangaben fehlen",IF(COUNTIFS('Konten'!$A$7:$A$26,C798)&lt;&gt;1,"Konto nicht eindeutig",IF(J798&lt;&gt;"Ja","Zuordnung bestätigen",IF(OR(AND(H798="Einnahme",F798&lt;0),AND(H798="Ausgabe",F798&gt;0)),"Vorzeichen prüfen",IF(AND(H798="Umbuchung",OR(K798="",COUNTIFS($A$7:$A$1506,K798)&lt;&gt;1)),"Gegenbuchung fehlt",IF(AND(H798="Umbuchung",ROUND(SUMIFS($F$7:$F$1506,$A$7:$A$1506,K798)+F798,2)&lt;&gt;0),"Umbuchung abweichend",IF(OR(G798="",M798="",M798="offen",M798="teilbelegt",H798="Ungeklärt",H798="Bargeld"),"Beleg / Verwendung klären","vollständig erfasst")))))))))</x:f>
      </x:c>
    </x:row>
    <x:row r="799" ht="22" customHeight="1">
      <x:c r="A799" s="7"/>
      <x:c r="B799" s="8"/>
      <x:c r="C799" s="7"/>
      <x:c r="D799" s="7"/>
      <x:c r="E799" s="7"/>
      <x:c r="F799" s="20"/>
      <x:c r="G799" s="7"/>
      <x:c r="H799" s="7"/>
      <x:c r="I799" s="7"/>
      <x:c r="J799" s="7"/>
      <x:c r="K799" s="7"/>
      <x:c r="L799" s="7"/>
      <x:c r="M799" s="7"/>
      <x:c r="N799" s="7"/>
      <x:c r="O799" s="2" t="str">
        <x:f>IF(A799="","",IF(COUNTIFS($A$7:$A$1506,A799)&gt;1,"Buchung-ID doppelt",IF(OR(NOT(ISNUMBER(B799)),C799="",NOT(ISNUMBER(F799)),H799="",L799=""),"Pflichtangaben fehlen",IF(COUNTIFS('Konten'!$A$7:$A$26,C799)&lt;&gt;1,"Konto nicht eindeutig",IF(J799&lt;&gt;"Ja","Zuordnung bestätigen",IF(OR(AND(H799="Einnahme",F799&lt;0),AND(H799="Ausgabe",F799&gt;0)),"Vorzeichen prüfen",IF(AND(H799="Umbuchung",OR(K799="",COUNTIFS($A$7:$A$1506,K799)&lt;&gt;1)),"Gegenbuchung fehlt",IF(AND(H799="Umbuchung",ROUND(SUMIFS($F$7:$F$1506,$A$7:$A$1506,K799)+F799,2)&lt;&gt;0),"Umbuchung abweichend",IF(OR(G799="",M799="",M799="offen",M799="teilbelegt",H799="Ungeklärt",H799="Bargeld"),"Beleg / Verwendung klären","vollständig erfasst")))))))))</x:f>
      </x:c>
    </x:row>
    <x:row r="800" ht="22" customHeight="1">
      <x:c r="A800" s="7"/>
      <x:c r="B800" s="8"/>
      <x:c r="C800" s="7"/>
      <x:c r="D800" s="7"/>
      <x:c r="E800" s="7"/>
      <x:c r="F800" s="20"/>
      <x:c r="G800" s="7"/>
      <x:c r="H800" s="7"/>
      <x:c r="I800" s="7"/>
      <x:c r="J800" s="7"/>
      <x:c r="K800" s="7"/>
      <x:c r="L800" s="7"/>
      <x:c r="M800" s="7"/>
      <x:c r="N800" s="7"/>
      <x:c r="O800" s="2" t="str">
        <x:f>IF(A800="","",IF(COUNTIFS($A$7:$A$1506,A800)&gt;1,"Buchung-ID doppelt",IF(OR(NOT(ISNUMBER(B800)),C800="",NOT(ISNUMBER(F800)),H800="",L800=""),"Pflichtangaben fehlen",IF(COUNTIFS('Konten'!$A$7:$A$26,C800)&lt;&gt;1,"Konto nicht eindeutig",IF(J800&lt;&gt;"Ja","Zuordnung bestätigen",IF(OR(AND(H800="Einnahme",F800&lt;0),AND(H800="Ausgabe",F800&gt;0)),"Vorzeichen prüfen",IF(AND(H800="Umbuchung",OR(K800="",COUNTIFS($A$7:$A$1506,K800)&lt;&gt;1)),"Gegenbuchung fehlt",IF(AND(H800="Umbuchung",ROUND(SUMIFS($F$7:$F$1506,$A$7:$A$1506,K800)+F800,2)&lt;&gt;0),"Umbuchung abweichend",IF(OR(G800="",M800="",M800="offen",M800="teilbelegt",H800="Ungeklärt",H800="Bargeld"),"Beleg / Verwendung klären","vollständig erfasst")))))))))</x:f>
      </x:c>
    </x:row>
    <x:row r="801" ht="22" customHeight="1">
      <x:c r="A801" s="7"/>
      <x:c r="B801" s="8"/>
      <x:c r="C801" s="7"/>
      <x:c r="D801" s="7"/>
      <x:c r="E801" s="7"/>
      <x:c r="F801" s="20"/>
      <x:c r="G801" s="7"/>
      <x:c r="H801" s="7"/>
      <x:c r="I801" s="7"/>
      <x:c r="J801" s="7"/>
      <x:c r="K801" s="7"/>
      <x:c r="L801" s="7"/>
      <x:c r="M801" s="7"/>
      <x:c r="N801" s="7"/>
      <x:c r="O801" s="2" t="str">
        <x:f>IF(A801="","",IF(COUNTIFS($A$7:$A$1506,A801)&gt;1,"Buchung-ID doppelt",IF(OR(NOT(ISNUMBER(B801)),C801="",NOT(ISNUMBER(F801)),H801="",L801=""),"Pflichtangaben fehlen",IF(COUNTIFS('Konten'!$A$7:$A$26,C801)&lt;&gt;1,"Konto nicht eindeutig",IF(J801&lt;&gt;"Ja","Zuordnung bestätigen",IF(OR(AND(H801="Einnahme",F801&lt;0),AND(H801="Ausgabe",F801&gt;0)),"Vorzeichen prüfen",IF(AND(H801="Umbuchung",OR(K801="",COUNTIFS($A$7:$A$1506,K801)&lt;&gt;1)),"Gegenbuchung fehlt",IF(AND(H801="Umbuchung",ROUND(SUMIFS($F$7:$F$1506,$A$7:$A$1506,K801)+F801,2)&lt;&gt;0),"Umbuchung abweichend",IF(OR(G801="",M801="",M801="offen",M801="teilbelegt",H801="Ungeklärt",H801="Bargeld"),"Beleg / Verwendung klären","vollständig erfasst")))))))))</x:f>
      </x:c>
    </x:row>
    <x:row r="802" ht="22" customHeight="1">
      <x:c r="A802" s="7"/>
      <x:c r="B802" s="8"/>
      <x:c r="C802" s="7"/>
      <x:c r="D802" s="7"/>
      <x:c r="E802" s="7"/>
      <x:c r="F802" s="20"/>
      <x:c r="G802" s="7"/>
      <x:c r="H802" s="7"/>
      <x:c r="I802" s="7"/>
      <x:c r="J802" s="7"/>
      <x:c r="K802" s="7"/>
      <x:c r="L802" s="7"/>
      <x:c r="M802" s="7"/>
      <x:c r="N802" s="7"/>
      <x:c r="O802" s="2" t="str">
        <x:f>IF(A802="","",IF(COUNTIFS($A$7:$A$1506,A802)&gt;1,"Buchung-ID doppelt",IF(OR(NOT(ISNUMBER(B802)),C802="",NOT(ISNUMBER(F802)),H802="",L802=""),"Pflichtangaben fehlen",IF(COUNTIFS('Konten'!$A$7:$A$26,C802)&lt;&gt;1,"Konto nicht eindeutig",IF(J802&lt;&gt;"Ja","Zuordnung bestätigen",IF(OR(AND(H802="Einnahme",F802&lt;0),AND(H802="Ausgabe",F802&gt;0)),"Vorzeichen prüfen",IF(AND(H802="Umbuchung",OR(K802="",COUNTIFS($A$7:$A$1506,K802)&lt;&gt;1)),"Gegenbuchung fehlt",IF(AND(H802="Umbuchung",ROUND(SUMIFS($F$7:$F$1506,$A$7:$A$1506,K802)+F802,2)&lt;&gt;0),"Umbuchung abweichend",IF(OR(G802="",M802="",M802="offen",M802="teilbelegt",H802="Ungeklärt",H802="Bargeld"),"Beleg / Verwendung klären","vollständig erfasst")))))))))</x:f>
      </x:c>
    </x:row>
    <x:row r="803" ht="22" customHeight="1">
      <x:c r="A803" s="7"/>
      <x:c r="B803" s="8"/>
      <x:c r="C803" s="7"/>
      <x:c r="D803" s="7"/>
      <x:c r="E803" s="7"/>
      <x:c r="F803" s="20"/>
      <x:c r="G803" s="7"/>
      <x:c r="H803" s="7"/>
      <x:c r="I803" s="7"/>
      <x:c r="J803" s="7"/>
      <x:c r="K803" s="7"/>
      <x:c r="L803" s="7"/>
      <x:c r="M803" s="7"/>
      <x:c r="N803" s="7"/>
      <x:c r="O803" s="2" t="str">
        <x:f>IF(A803="","",IF(COUNTIFS($A$7:$A$1506,A803)&gt;1,"Buchung-ID doppelt",IF(OR(NOT(ISNUMBER(B803)),C803="",NOT(ISNUMBER(F803)),H803="",L803=""),"Pflichtangaben fehlen",IF(COUNTIFS('Konten'!$A$7:$A$26,C803)&lt;&gt;1,"Konto nicht eindeutig",IF(J803&lt;&gt;"Ja","Zuordnung bestätigen",IF(OR(AND(H803="Einnahme",F803&lt;0),AND(H803="Ausgabe",F803&gt;0)),"Vorzeichen prüfen",IF(AND(H803="Umbuchung",OR(K803="",COUNTIFS($A$7:$A$1506,K803)&lt;&gt;1)),"Gegenbuchung fehlt",IF(AND(H803="Umbuchung",ROUND(SUMIFS($F$7:$F$1506,$A$7:$A$1506,K803)+F803,2)&lt;&gt;0),"Umbuchung abweichend",IF(OR(G803="",M803="",M803="offen",M803="teilbelegt",H803="Ungeklärt",H803="Bargeld"),"Beleg / Verwendung klären","vollständig erfasst")))))))))</x:f>
      </x:c>
    </x:row>
    <x:row r="804" ht="22" customHeight="1">
      <x:c r="A804" s="7"/>
      <x:c r="B804" s="8"/>
      <x:c r="C804" s="7"/>
      <x:c r="D804" s="7"/>
      <x:c r="E804" s="7"/>
      <x:c r="F804" s="20"/>
      <x:c r="G804" s="7"/>
      <x:c r="H804" s="7"/>
      <x:c r="I804" s="7"/>
      <x:c r="J804" s="7"/>
      <x:c r="K804" s="7"/>
      <x:c r="L804" s="7"/>
      <x:c r="M804" s="7"/>
      <x:c r="N804" s="7"/>
      <x:c r="O804" s="2" t="str">
        <x:f>IF(A804="","",IF(COUNTIFS($A$7:$A$1506,A804)&gt;1,"Buchung-ID doppelt",IF(OR(NOT(ISNUMBER(B804)),C804="",NOT(ISNUMBER(F804)),H804="",L804=""),"Pflichtangaben fehlen",IF(COUNTIFS('Konten'!$A$7:$A$26,C804)&lt;&gt;1,"Konto nicht eindeutig",IF(J804&lt;&gt;"Ja","Zuordnung bestätigen",IF(OR(AND(H804="Einnahme",F804&lt;0),AND(H804="Ausgabe",F804&gt;0)),"Vorzeichen prüfen",IF(AND(H804="Umbuchung",OR(K804="",COUNTIFS($A$7:$A$1506,K804)&lt;&gt;1)),"Gegenbuchung fehlt",IF(AND(H804="Umbuchung",ROUND(SUMIFS($F$7:$F$1506,$A$7:$A$1506,K804)+F804,2)&lt;&gt;0),"Umbuchung abweichend",IF(OR(G804="",M804="",M804="offen",M804="teilbelegt",H804="Ungeklärt",H804="Bargeld"),"Beleg / Verwendung klären","vollständig erfasst")))))))))</x:f>
      </x:c>
    </x:row>
    <x:row r="805" ht="22" customHeight="1">
      <x:c r="A805" s="7"/>
      <x:c r="B805" s="8"/>
      <x:c r="C805" s="7"/>
      <x:c r="D805" s="7"/>
      <x:c r="E805" s="7"/>
      <x:c r="F805" s="20"/>
      <x:c r="G805" s="7"/>
      <x:c r="H805" s="7"/>
      <x:c r="I805" s="7"/>
      <x:c r="J805" s="7"/>
      <x:c r="K805" s="7"/>
      <x:c r="L805" s="7"/>
      <x:c r="M805" s="7"/>
      <x:c r="N805" s="7"/>
      <x:c r="O805" s="2" t="str">
        <x:f>IF(A805="","",IF(COUNTIFS($A$7:$A$1506,A805)&gt;1,"Buchung-ID doppelt",IF(OR(NOT(ISNUMBER(B805)),C805="",NOT(ISNUMBER(F805)),H805="",L805=""),"Pflichtangaben fehlen",IF(COUNTIFS('Konten'!$A$7:$A$26,C805)&lt;&gt;1,"Konto nicht eindeutig",IF(J805&lt;&gt;"Ja","Zuordnung bestätigen",IF(OR(AND(H805="Einnahme",F805&lt;0),AND(H805="Ausgabe",F805&gt;0)),"Vorzeichen prüfen",IF(AND(H805="Umbuchung",OR(K805="",COUNTIFS($A$7:$A$1506,K805)&lt;&gt;1)),"Gegenbuchung fehlt",IF(AND(H805="Umbuchung",ROUND(SUMIFS($F$7:$F$1506,$A$7:$A$1506,K805)+F805,2)&lt;&gt;0),"Umbuchung abweichend",IF(OR(G805="",M805="",M805="offen",M805="teilbelegt",H805="Ungeklärt",H805="Bargeld"),"Beleg / Verwendung klären","vollständig erfasst")))))))))</x:f>
      </x:c>
    </x:row>
    <x:row r="806" ht="22" customHeight="1">
      <x:c r="A806" s="7"/>
      <x:c r="B806" s="8"/>
      <x:c r="C806" s="7"/>
      <x:c r="D806" s="7"/>
      <x:c r="E806" s="7"/>
      <x:c r="F806" s="20"/>
      <x:c r="G806" s="7"/>
      <x:c r="H806" s="7"/>
      <x:c r="I806" s="7"/>
      <x:c r="J806" s="7"/>
      <x:c r="K806" s="7"/>
      <x:c r="L806" s="7"/>
      <x:c r="M806" s="7"/>
      <x:c r="N806" s="7"/>
      <x:c r="O806" s="2" t="str">
        <x:f>IF(A806="","",IF(COUNTIFS($A$7:$A$1506,A806)&gt;1,"Buchung-ID doppelt",IF(OR(NOT(ISNUMBER(B806)),C806="",NOT(ISNUMBER(F806)),H806="",L806=""),"Pflichtangaben fehlen",IF(COUNTIFS('Konten'!$A$7:$A$26,C806)&lt;&gt;1,"Konto nicht eindeutig",IF(J806&lt;&gt;"Ja","Zuordnung bestätigen",IF(OR(AND(H806="Einnahme",F806&lt;0),AND(H806="Ausgabe",F806&gt;0)),"Vorzeichen prüfen",IF(AND(H806="Umbuchung",OR(K806="",COUNTIFS($A$7:$A$1506,K806)&lt;&gt;1)),"Gegenbuchung fehlt",IF(AND(H806="Umbuchung",ROUND(SUMIFS($F$7:$F$1506,$A$7:$A$1506,K806)+F806,2)&lt;&gt;0),"Umbuchung abweichend",IF(OR(G806="",M806="",M806="offen",M806="teilbelegt",H806="Ungeklärt",H806="Bargeld"),"Beleg / Verwendung klären","vollständig erfasst")))))))))</x:f>
      </x:c>
    </x:row>
    <x:row r="807" ht="22" customHeight="1">
      <x:c r="A807" s="7"/>
      <x:c r="B807" s="8"/>
      <x:c r="C807" s="7"/>
      <x:c r="D807" s="7"/>
      <x:c r="E807" s="7"/>
      <x:c r="F807" s="20"/>
      <x:c r="G807" s="7"/>
      <x:c r="H807" s="7"/>
      <x:c r="I807" s="7"/>
      <x:c r="J807" s="7"/>
      <x:c r="K807" s="7"/>
      <x:c r="L807" s="7"/>
      <x:c r="M807" s="7"/>
      <x:c r="N807" s="7"/>
      <x:c r="O807" s="2" t="str">
        <x:f>IF(A807="","",IF(COUNTIFS($A$7:$A$1506,A807)&gt;1,"Buchung-ID doppelt",IF(OR(NOT(ISNUMBER(B807)),C807="",NOT(ISNUMBER(F807)),H807="",L807=""),"Pflichtangaben fehlen",IF(COUNTIFS('Konten'!$A$7:$A$26,C807)&lt;&gt;1,"Konto nicht eindeutig",IF(J807&lt;&gt;"Ja","Zuordnung bestätigen",IF(OR(AND(H807="Einnahme",F807&lt;0),AND(H807="Ausgabe",F807&gt;0)),"Vorzeichen prüfen",IF(AND(H807="Umbuchung",OR(K807="",COUNTIFS($A$7:$A$1506,K807)&lt;&gt;1)),"Gegenbuchung fehlt",IF(AND(H807="Umbuchung",ROUND(SUMIFS($F$7:$F$1506,$A$7:$A$1506,K807)+F807,2)&lt;&gt;0),"Umbuchung abweichend",IF(OR(G807="",M807="",M807="offen",M807="teilbelegt",H807="Ungeklärt",H807="Bargeld"),"Beleg / Verwendung klären","vollständig erfasst")))))))))</x:f>
      </x:c>
    </x:row>
    <x:row r="808" ht="22" customHeight="1">
      <x:c r="A808" s="7"/>
      <x:c r="B808" s="8"/>
      <x:c r="C808" s="7"/>
      <x:c r="D808" s="7"/>
      <x:c r="E808" s="7"/>
      <x:c r="F808" s="20"/>
      <x:c r="G808" s="7"/>
      <x:c r="H808" s="7"/>
      <x:c r="I808" s="7"/>
      <x:c r="J808" s="7"/>
      <x:c r="K808" s="7"/>
      <x:c r="L808" s="7"/>
      <x:c r="M808" s="7"/>
      <x:c r="N808" s="7"/>
      <x:c r="O808" s="2" t="str">
        <x:f>IF(A808="","",IF(COUNTIFS($A$7:$A$1506,A808)&gt;1,"Buchung-ID doppelt",IF(OR(NOT(ISNUMBER(B808)),C808="",NOT(ISNUMBER(F808)),H808="",L808=""),"Pflichtangaben fehlen",IF(COUNTIFS('Konten'!$A$7:$A$26,C808)&lt;&gt;1,"Konto nicht eindeutig",IF(J808&lt;&gt;"Ja","Zuordnung bestätigen",IF(OR(AND(H808="Einnahme",F808&lt;0),AND(H808="Ausgabe",F808&gt;0)),"Vorzeichen prüfen",IF(AND(H808="Umbuchung",OR(K808="",COUNTIFS($A$7:$A$1506,K808)&lt;&gt;1)),"Gegenbuchung fehlt",IF(AND(H808="Umbuchung",ROUND(SUMIFS($F$7:$F$1506,$A$7:$A$1506,K808)+F808,2)&lt;&gt;0),"Umbuchung abweichend",IF(OR(G808="",M808="",M808="offen",M808="teilbelegt",H808="Ungeklärt",H808="Bargeld"),"Beleg / Verwendung klären","vollständig erfasst")))))))))</x:f>
      </x:c>
    </x:row>
    <x:row r="809" ht="22" customHeight="1">
      <x:c r="A809" s="7"/>
      <x:c r="B809" s="8"/>
      <x:c r="C809" s="7"/>
      <x:c r="D809" s="7"/>
      <x:c r="E809" s="7"/>
      <x:c r="F809" s="20"/>
      <x:c r="G809" s="7"/>
      <x:c r="H809" s="7"/>
      <x:c r="I809" s="7"/>
      <x:c r="J809" s="7"/>
      <x:c r="K809" s="7"/>
      <x:c r="L809" s="7"/>
      <x:c r="M809" s="7"/>
      <x:c r="N809" s="7"/>
      <x:c r="O809" s="2" t="str">
        <x:f>IF(A809="","",IF(COUNTIFS($A$7:$A$1506,A809)&gt;1,"Buchung-ID doppelt",IF(OR(NOT(ISNUMBER(B809)),C809="",NOT(ISNUMBER(F809)),H809="",L809=""),"Pflichtangaben fehlen",IF(COUNTIFS('Konten'!$A$7:$A$26,C809)&lt;&gt;1,"Konto nicht eindeutig",IF(J809&lt;&gt;"Ja","Zuordnung bestätigen",IF(OR(AND(H809="Einnahme",F809&lt;0),AND(H809="Ausgabe",F809&gt;0)),"Vorzeichen prüfen",IF(AND(H809="Umbuchung",OR(K809="",COUNTIFS($A$7:$A$1506,K809)&lt;&gt;1)),"Gegenbuchung fehlt",IF(AND(H809="Umbuchung",ROUND(SUMIFS($F$7:$F$1506,$A$7:$A$1506,K809)+F809,2)&lt;&gt;0),"Umbuchung abweichend",IF(OR(G809="",M809="",M809="offen",M809="teilbelegt",H809="Ungeklärt",H809="Bargeld"),"Beleg / Verwendung klären","vollständig erfasst")))))))))</x:f>
      </x:c>
    </x:row>
    <x:row r="810" ht="22" customHeight="1">
      <x:c r="A810" s="7"/>
      <x:c r="B810" s="8"/>
      <x:c r="C810" s="7"/>
      <x:c r="D810" s="7"/>
      <x:c r="E810" s="7"/>
      <x:c r="F810" s="20"/>
      <x:c r="G810" s="7"/>
      <x:c r="H810" s="7"/>
      <x:c r="I810" s="7"/>
      <x:c r="J810" s="7"/>
      <x:c r="K810" s="7"/>
      <x:c r="L810" s="7"/>
      <x:c r="M810" s="7"/>
      <x:c r="N810" s="7"/>
      <x:c r="O810" s="2" t="str">
        <x:f>IF(A810="","",IF(COUNTIFS($A$7:$A$1506,A810)&gt;1,"Buchung-ID doppelt",IF(OR(NOT(ISNUMBER(B810)),C810="",NOT(ISNUMBER(F810)),H810="",L810=""),"Pflichtangaben fehlen",IF(COUNTIFS('Konten'!$A$7:$A$26,C810)&lt;&gt;1,"Konto nicht eindeutig",IF(J810&lt;&gt;"Ja","Zuordnung bestätigen",IF(OR(AND(H810="Einnahme",F810&lt;0),AND(H810="Ausgabe",F810&gt;0)),"Vorzeichen prüfen",IF(AND(H810="Umbuchung",OR(K810="",COUNTIFS($A$7:$A$1506,K810)&lt;&gt;1)),"Gegenbuchung fehlt",IF(AND(H810="Umbuchung",ROUND(SUMIFS($F$7:$F$1506,$A$7:$A$1506,K810)+F810,2)&lt;&gt;0),"Umbuchung abweichend",IF(OR(G810="",M810="",M810="offen",M810="teilbelegt",H810="Ungeklärt",H810="Bargeld"),"Beleg / Verwendung klären","vollständig erfasst")))))))))</x:f>
      </x:c>
    </x:row>
    <x:row r="811" ht="22" customHeight="1">
      <x:c r="A811" s="7"/>
      <x:c r="B811" s="8"/>
      <x:c r="C811" s="7"/>
      <x:c r="D811" s="7"/>
      <x:c r="E811" s="7"/>
      <x:c r="F811" s="20"/>
      <x:c r="G811" s="7"/>
      <x:c r="H811" s="7"/>
      <x:c r="I811" s="7"/>
      <x:c r="J811" s="7"/>
      <x:c r="K811" s="7"/>
      <x:c r="L811" s="7"/>
      <x:c r="M811" s="7"/>
      <x:c r="N811" s="7"/>
      <x:c r="O811" s="2" t="str">
        <x:f>IF(A811="","",IF(COUNTIFS($A$7:$A$1506,A811)&gt;1,"Buchung-ID doppelt",IF(OR(NOT(ISNUMBER(B811)),C811="",NOT(ISNUMBER(F811)),H811="",L811=""),"Pflichtangaben fehlen",IF(COUNTIFS('Konten'!$A$7:$A$26,C811)&lt;&gt;1,"Konto nicht eindeutig",IF(J811&lt;&gt;"Ja","Zuordnung bestätigen",IF(OR(AND(H811="Einnahme",F811&lt;0),AND(H811="Ausgabe",F811&gt;0)),"Vorzeichen prüfen",IF(AND(H811="Umbuchung",OR(K811="",COUNTIFS($A$7:$A$1506,K811)&lt;&gt;1)),"Gegenbuchung fehlt",IF(AND(H811="Umbuchung",ROUND(SUMIFS($F$7:$F$1506,$A$7:$A$1506,K811)+F811,2)&lt;&gt;0),"Umbuchung abweichend",IF(OR(G811="",M811="",M811="offen",M811="teilbelegt",H811="Ungeklärt",H811="Bargeld"),"Beleg / Verwendung klären","vollständig erfasst")))))))))</x:f>
      </x:c>
    </x:row>
    <x:row r="812" ht="22" customHeight="1">
      <x:c r="A812" s="7"/>
      <x:c r="B812" s="8"/>
      <x:c r="C812" s="7"/>
      <x:c r="D812" s="7"/>
      <x:c r="E812" s="7"/>
      <x:c r="F812" s="20"/>
      <x:c r="G812" s="7"/>
      <x:c r="H812" s="7"/>
      <x:c r="I812" s="7"/>
      <x:c r="J812" s="7"/>
      <x:c r="K812" s="7"/>
      <x:c r="L812" s="7"/>
      <x:c r="M812" s="7"/>
      <x:c r="N812" s="7"/>
      <x:c r="O812" s="2" t="str">
        <x:f>IF(A812="","",IF(COUNTIFS($A$7:$A$1506,A812)&gt;1,"Buchung-ID doppelt",IF(OR(NOT(ISNUMBER(B812)),C812="",NOT(ISNUMBER(F812)),H812="",L812=""),"Pflichtangaben fehlen",IF(COUNTIFS('Konten'!$A$7:$A$26,C812)&lt;&gt;1,"Konto nicht eindeutig",IF(J812&lt;&gt;"Ja","Zuordnung bestätigen",IF(OR(AND(H812="Einnahme",F812&lt;0),AND(H812="Ausgabe",F812&gt;0)),"Vorzeichen prüfen",IF(AND(H812="Umbuchung",OR(K812="",COUNTIFS($A$7:$A$1506,K812)&lt;&gt;1)),"Gegenbuchung fehlt",IF(AND(H812="Umbuchung",ROUND(SUMIFS($F$7:$F$1506,$A$7:$A$1506,K812)+F812,2)&lt;&gt;0),"Umbuchung abweichend",IF(OR(G812="",M812="",M812="offen",M812="teilbelegt",H812="Ungeklärt",H812="Bargeld"),"Beleg / Verwendung klären","vollständig erfasst")))))))))</x:f>
      </x:c>
    </x:row>
    <x:row r="813" ht="22" customHeight="1">
      <x:c r="A813" s="7"/>
      <x:c r="B813" s="8"/>
      <x:c r="C813" s="7"/>
      <x:c r="D813" s="7"/>
      <x:c r="E813" s="7"/>
      <x:c r="F813" s="20"/>
      <x:c r="G813" s="7"/>
      <x:c r="H813" s="7"/>
      <x:c r="I813" s="7"/>
      <x:c r="J813" s="7"/>
      <x:c r="K813" s="7"/>
      <x:c r="L813" s="7"/>
      <x:c r="M813" s="7"/>
      <x:c r="N813" s="7"/>
      <x:c r="O813" s="2" t="str">
        <x:f>IF(A813="","",IF(COUNTIFS($A$7:$A$1506,A813)&gt;1,"Buchung-ID doppelt",IF(OR(NOT(ISNUMBER(B813)),C813="",NOT(ISNUMBER(F813)),H813="",L813=""),"Pflichtangaben fehlen",IF(COUNTIFS('Konten'!$A$7:$A$26,C813)&lt;&gt;1,"Konto nicht eindeutig",IF(J813&lt;&gt;"Ja","Zuordnung bestätigen",IF(OR(AND(H813="Einnahme",F813&lt;0),AND(H813="Ausgabe",F813&gt;0)),"Vorzeichen prüfen",IF(AND(H813="Umbuchung",OR(K813="",COUNTIFS($A$7:$A$1506,K813)&lt;&gt;1)),"Gegenbuchung fehlt",IF(AND(H813="Umbuchung",ROUND(SUMIFS($F$7:$F$1506,$A$7:$A$1506,K813)+F813,2)&lt;&gt;0),"Umbuchung abweichend",IF(OR(G813="",M813="",M813="offen",M813="teilbelegt",H813="Ungeklärt",H813="Bargeld"),"Beleg / Verwendung klären","vollständig erfasst")))))))))</x:f>
      </x:c>
    </x:row>
    <x:row r="814" ht="22" customHeight="1">
      <x:c r="A814" s="7"/>
      <x:c r="B814" s="8"/>
      <x:c r="C814" s="7"/>
      <x:c r="D814" s="7"/>
      <x:c r="E814" s="7"/>
      <x:c r="F814" s="20"/>
      <x:c r="G814" s="7"/>
      <x:c r="H814" s="7"/>
      <x:c r="I814" s="7"/>
      <x:c r="J814" s="7"/>
      <x:c r="K814" s="7"/>
      <x:c r="L814" s="7"/>
      <x:c r="M814" s="7"/>
      <x:c r="N814" s="7"/>
      <x:c r="O814" s="2" t="str">
        <x:f>IF(A814="","",IF(COUNTIFS($A$7:$A$1506,A814)&gt;1,"Buchung-ID doppelt",IF(OR(NOT(ISNUMBER(B814)),C814="",NOT(ISNUMBER(F814)),H814="",L814=""),"Pflichtangaben fehlen",IF(COUNTIFS('Konten'!$A$7:$A$26,C814)&lt;&gt;1,"Konto nicht eindeutig",IF(J814&lt;&gt;"Ja","Zuordnung bestätigen",IF(OR(AND(H814="Einnahme",F814&lt;0),AND(H814="Ausgabe",F814&gt;0)),"Vorzeichen prüfen",IF(AND(H814="Umbuchung",OR(K814="",COUNTIFS($A$7:$A$1506,K814)&lt;&gt;1)),"Gegenbuchung fehlt",IF(AND(H814="Umbuchung",ROUND(SUMIFS($F$7:$F$1506,$A$7:$A$1506,K814)+F814,2)&lt;&gt;0),"Umbuchung abweichend",IF(OR(G814="",M814="",M814="offen",M814="teilbelegt",H814="Ungeklärt",H814="Bargeld"),"Beleg / Verwendung klären","vollständig erfasst")))))))))</x:f>
      </x:c>
    </x:row>
    <x:row r="815" ht="22" customHeight="1">
      <x:c r="A815" s="7"/>
      <x:c r="B815" s="8"/>
      <x:c r="C815" s="7"/>
      <x:c r="D815" s="7"/>
      <x:c r="E815" s="7"/>
      <x:c r="F815" s="20"/>
      <x:c r="G815" s="7"/>
      <x:c r="H815" s="7"/>
      <x:c r="I815" s="7"/>
      <x:c r="J815" s="7"/>
      <x:c r="K815" s="7"/>
      <x:c r="L815" s="7"/>
      <x:c r="M815" s="7"/>
      <x:c r="N815" s="7"/>
      <x:c r="O815" s="2" t="str">
        <x:f>IF(A815="","",IF(COUNTIFS($A$7:$A$1506,A815)&gt;1,"Buchung-ID doppelt",IF(OR(NOT(ISNUMBER(B815)),C815="",NOT(ISNUMBER(F815)),H815="",L815=""),"Pflichtangaben fehlen",IF(COUNTIFS('Konten'!$A$7:$A$26,C815)&lt;&gt;1,"Konto nicht eindeutig",IF(J815&lt;&gt;"Ja","Zuordnung bestätigen",IF(OR(AND(H815="Einnahme",F815&lt;0),AND(H815="Ausgabe",F815&gt;0)),"Vorzeichen prüfen",IF(AND(H815="Umbuchung",OR(K815="",COUNTIFS($A$7:$A$1506,K815)&lt;&gt;1)),"Gegenbuchung fehlt",IF(AND(H815="Umbuchung",ROUND(SUMIFS($F$7:$F$1506,$A$7:$A$1506,K815)+F815,2)&lt;&gt;0),"Umbuchung abweichend",IF(OR(G815="",M815="",M815="offen",M815="teilbelegt",H815="Ungeklärt",H815="Bargeld"),"Beleg / Verwendung klären","vollständig erfasst")))))))))</x:f>
      </x:c>
    </x:row>
    <x:row r="816" ht="22" customHeight="1">
      <x:c r="A816" s="7"/>
      <x:c r="B816" s="8"/>
      <x:c r="C816" s="7"/>
      <x:c r="D816" s="7"/>
      <x:c r="E816" s="7"/>
      <x:c r="F816" s="20"/>
      <x:c r="G816" s="7"/>
      <x:c r="H816" s="7"/>
      <x:c r="I816" s="7"/>
      <x:c r="J816" s="7"/>
      <x:c r="K816" s="7"/>
      <x:c r="L816" s="7"/>
      <x:c r="M816" s="7"/>
      <x:c r="N816" s="7"/>
      <x:c r="O816" s="2" t="str">
        <x:f>IF(A816="","",IF(COUNTIFS($A$7:$A$1506,A816)&gt;1,"Buchung-ID doppelt",IF(OR(NOT(ISNUMBER(B816)),C816="",NOT(ISNUMBER(F816)),H816="",L816=""),"Pflichtangaben fehlen",IF(COUNTIFS('Konten'!$A$7:$A$26,C816)&lt;&gt;1,"Konto nicht eindeutig",IF(J816&lt;&gt;"Ja","Zuordnung bestätigen",IF(OR(AND(H816="Einnahme",F816&lt;0),AND(H816="Ausgabe",F816&gt;0)),"Vorzeichen prüfen",IF(AND(H816="Umbuchung",OR(K816="",COUNTIFS($A$7:$A$1506,K816)&lt;&gt;1)),"Gegenbuchung fehlt",IF(AND(H816="Umbuchung",ROUND(SUMIFS($F$7:$F$1506,$A$7:$A$1506,K816)+F816,2)&lt;&gt;0),"Umbuchung abweichend",IF(OR(G816="",M816="",M816="offen",M816="teilbelegt",H816="Ungeklärt",H816="Bargeld"),"Beleg / Verwendung klären","vollständig erfasst")))))))))</x:f>
      </x:c>
    </x:row>
    <x:row r="817" ht="22" customHeight="1">
      <x:c r="A817" s="7"/>
      <x:c r="B817" s="8"/>
      <x:c r="C817" s="7"/>
      <x:c r="D817" s="7"/>
      <x:c r="E817" s="7"/>
      <x:c r="F817" s="20"/>
      <x:c r="G817" s="7"/>
      <x:c r="H817" s="7"/>
      <x:c r="I817" s="7"/>
      <x:c r="J817" s="7"/>
      <x:c r="K817" s="7"/>
      <x:c r="L817" s="7"/>
      <x:c r="M817" s="7"/>
      <x:c r="N817" s="7"/>
      <x:c r="O817" s="2" t="str">
        <x:f>IF(A817="","",IF(COUNTIFS($A$7:$A$1506,A817)&gt;1,"Buchung-ID doppelt",IF(OR(NOT(ISNUMBER(B817)),C817="",NOT(ISNUMBER(F817)),H817="",L817=""),"Pflichtangaben fehlen",IF(COUNTIFS('Konten'!$A$7:$A$26,C817)&lt;&gt;1,"Konto nicht eindeutig",IF(J817&lt;&gt;"Ja","Zuordnung bestätigen",IF(OR(AND(H817="Einnahme",F817&lt;0),AND(H817="Ausgabe",F817&gt;0)),"Vorzeichen prüfen",IF(AND(H817="Umbuchung",OR(K817="",COUNTIFS($A$7:$A$1506,K817)&lt;&gt;1)),"Gegenbuchung fehlt",IF(AND(H817="Umbuchung",ROUND(SUMIFS($F$7:$F$1506,$A$7:$A$1506,K817)+F817,2)&lt;&gt;0),"Umbuchung abweichend",IF(OR(G817="",M817="",M817="offen",M817="teilbelegt",H817="Ungeklärt",H817="Bargeld"),"Beleg / Verwendung klären","vollständig erfasst")))))))))</x:f>
      </x:c>
    </x:row>
    <x:row r="818" ht="22" customHeight="1">
      <x:c r="A818" s="7"/>
      <x:c r="B818" s="8"/>
      <x:c r="C818" s="7"/>
      <x:c r="D818" s="7"/>
      <x:c r="E818" s="7"/>
      <x:c r="F818" s="20"/>
      <x:c r="G818" s="7"/>
      <x:c r="H818" s="7"/>
      <x:c r="I818" s="7"/>
      <x:c r="J818" s="7"/>
      <x:c r="K818" s="7"/>
      <x:c r="L818" s="7"/>
      <x:c r="M818" s="7"/>
      <x:c r="N818" s="7"/>
      <x:c r="O818" s="2" t="str">
        <x:f>IF(A818="","",IF(COUNTIFS($A$7:$A$1506,A818)&gt;1,"Buchung-ID doppelt",IF(OR(NOT(ISNUMBER(B818)),C818="",NOT(ISNUMBER(F818)),H818="",L818=""),"Pflichtangaben fehlen",IF(COUNTIFS('Konten'!$A$7:$A$26,C818)&lt;&gt;1,"Konto nicht eindeutig",IF(J818&lt;&gt;"Ja","Zuordnung bestätigen",IF(OR(AND(H818="Einnahme",F818&lt;0),AND(H818="Ausgabe",F818&gt;0)),"Vorzeichen prüfen",IF(AND(H818="Umbuchung",OR(K818="",COUNTIFS($A$7:$A$1506,K818)&lt;&gt;1)),"Gegenbuchung fehlt",IF(AND(H818="Umbuchung",ROUND(SUMIFS($F$7:$F$1506,$A$7:$A$1506,K818)+F818,2)&lt;&gt;0),"Umbuchung abweichend",IF(OR(G818="",M818="",M818="offen",M818="teilbelegt",H818="Ungeklärt",H818="Bargeld"),"Beleg / Verwendung klären","vollständig erfasst")))))))))</x:f>
      </x:c>
    </x:row>
    <x:row r="819" ht="22" customHeight="1">
      <x:c r="A819" s="7"/>
      <x:c r="B819" s="8"/>
      <x:c r="C819" s="7"/>
      <x:c r="D819" s="7"/>
      <x:c r="E819" s="7"/>
      <x:c r="F819" s="20"/>
      <x:c r="G819" s="7"/>
      <x:c r="H819" s="7"/>
      <x:c r="I819" s="7"/>
      <x:c r="J819" s="7"/>
      <x:c r="K819" s="7"/>
      <x:c r="L819" s="7"/>
      <x:c r="M819" s="7"/>
      <x:c r="N819" s="7"/>
      <x:c r="O819" s="2" t="str">
        <x:f>IF(A819="","",IF(COUNTIFS($A$7:$A$1506,A819)&gt;1,"Buchung-ID doppelt",IF(OR(NOT(ISNUMBER(B819)),C819="",NOT(ISNUMBER(F819)),H819="",L819=""),"Pflichtangaben fehlen",IF(COUNTIFS('Konten'!$A$7:$A$26,C819)&lt;&gt;1,"Konto nicht eindeutig",IF(J819&lt;&gt;"Ja","Zuordnung bestätigen",IF(OR(AND(H819="Einnahme",F819&lt;0),AND(H819="Ausgabe",F819&gt;0)),"Vorzeichen prüfen",IF(AND(H819="Umbuchung",OR(K819="",COUNTIFS($A$7:$A$1506,K819)&lt;&gt;1)),"Gegenbuchung fehlt",IF(AND(H819="Umbuchung",ROUND(SUMIFS($F$7:$F$1506,$A$7:$A$1506,K819)+F819,2)&lt;&gt;0),"Umbuchung abweichend",IF(OR(G819="",M819="",M819="offen",M819="teilbelegt",H819="Ungeklärt",H819="Bargeld"),"Beleg / Verwendung klären","vollständig erfasst")))))))))</x:f>
      </x:c>
    </x:row>
    <x:row r="820" ht="22" customHeight="1">
      <x:c r="A820" s="7"/>
      <x:c r="B820" s="8"/>
      <x:c r="C820" s="7"/>
      <x:c r="D820" s="7"/>
      <x:c r="E820" s="7"/>
      <x:c r="F820" s="20"/>
      <x:c r="G820" s="7"/>
      <x:c r="H820" s="7"/>
      <x:c r="I820" s="7"/>
      <x:c r="J820" s="7"/>
      <x:c r="K820" s="7"/>
      <x:c r="L820" s="7"/>
      <x:c r="M820" s="7"/>
      <x:c r="N820" s="7"/>
      <x:c r="O820" s="2" t="str">
        <x:f>IF(A820="","",IF(COUNTIFS($A$7:$A$1506,A820)&gt;1,"Buchung-ID doppelt",IF(OR(NOT(ISNUMBER(B820)),C820="",NOT(ISNUMBER(F820)),H820="",L820=""),"Pflichtangaben fehlen",IF(COUNTIFS('Konten'!$A$7:$A$26,C820)&lt;&gt;1,"Konto nicht eindeutig",IF(J820&lt;&gt;"Ja","Zuordnung bestätigen",IF(OR(AND(H820="Einnahme",F820&lt;0),AND(H820="Ausgabe",F820&gt;0)),"Vorzeichen prüfen",IF(AND(H820="Umbuchung",OR(K820="",COUNTIFS($A$7:$A$1506,K820)&lt;&gt;1)),"Gegenbuchung fehlt",IF(AND(H820="Umbuchung",ROUND(SUMIFS($F$7:$F$1506,$A$7:$A$1506,K820)+F820,2)&lt;&gt;0),"Umbuchung abweichend",IF(OR(G820="",M820="",M820="offen",M820="teilbelegt",H820="Ungeklärt",H820="Bargeld"),"Beleg / Verwendung klären","vollständig erfasst")))))))))</x:f>
      </x:c>
    </x:row>
    <x:row r="821" ht="22" customHeight="1">
      <x:c r="A821" s="7"/>
      <x:c r="B821" s="8"/>
      <x:c r="C821" s="7"/>
      <x:c r="D821" s="7"/>
      <x:c r="E821" s="7"/>
      <x:c r="F821" s="20"/>
      <x:c r="G821" s="7"/>
      <x:c r="H821" s="7"/>
      <x:c r="I821" s="7"/>
      <x:c r="J821" s="7"/>
      <x:c r="K821" s="7"/>
      <x:c r="L821" s="7"/>
      <x:c r="M821" s="7"/>
      <x:c r="N821" s="7"/>
      <x:c r="O821" s="2" t="str">
        <x:f>IF(A821="","",IF(COUNTIFS($A$7:$A$1506,A821)&gt;1,"Buchung-ID doppelt",IF(OR(NOT(ISNUMBER(B821)),C821="",NOT(ISNUMBER(F821)),H821="",L821=""),"Pflichtangaben fehlen",IF(COUNTIFS('Konten'!$A$7:$A$26,C821)&lt;&gt;1,"Konto nicht eindeutig",IF(J821&lt;&gt;"Ja","Zuordnung bestätigen",IF(OR(AND(H821="Einnahme",F821&lt;0),AND(H821="Ausgabe",F821&gt;0)),"Vorzeichen prüfen",IF(AND(H821="Umbuchung",OR(K821="",COUNTIFS($A$7:$A$1506,K821)&lt;&gt;1)),"Gegenbuchung fehlt",IF(AND(H821="Umbuchung",ROUND(SUMIFS($F$7:$F$1506,$A$7:$A$1506,K821)+F821,2)&lt;&gt;0),"Umbuchung abweichend",IF(OR(G821="",M821="",M821="offen",M821="teilbelegt",H821="Ungeklärt",H821="Bargeld"),"Beleg / Verwendung klären","vollständig erfasst")))))))))</x:f>
      </x:c>
    </x:row>
    <x:row r="822" ht="22" customHeight="1">
      <x:c r="A822" s="7"/>
      <x:c r="B822" s="8"/>
      <x:c r="C822" s="7"/>
      <x:c r="D822" s="7"/>
      <x:c r="E822" s="7"/>
      <x:c r="F822" s="20"/>
      <x:c r="G822" s="7"/>
      <x:c r="H822" s="7"/>
      <x:c r="I822" s="7"/>
      <x:c r="J822" s="7"/>
      <x:c r="K822" s="7"/>
      <x:c r="L822" s="7"/>
      <x:c r="M822" s="7"/>
      <x:c r="N822" s="7"/>
      <x:c r="O822" s="2" t="str">
        <x:f>IF(A822="","",IF(COUNTIFS($A$7:$A$1506,A822)&gt;1,"Buchung-ID doppelt",IF(OR(NOT(ISNUMBER(B822)),C822="",NOT(ISNUMBER(F822)),H822="",L822=""),"Pflichtangaben fehlen",IF(COUNTIFS('Konten'!$A$7:$A$26,C822)&lt;&gt;1,"Konto nicht eindeutig",IF(J822&lt;&gt;"Ja","Zuordnung bestätigen",IF(OR(AND(H822="Einnahme",F822&lt;0),AND(H822="Ausgabe",F822&gt;0)),"Vorzeichen prüfen",IF(AND(H822="Umbuchung",OR(K822="",COUNTIFS($A$7:$A$1506,K822)&lt;&gt;1)),"Gegenbuchung fehlt",IF(AND(H822="Umbuchung",ROUND(SUMIFS($F$7:$F$1506,$A$7:$A$1506,K822)+F822,2)&lt;&gt;0),"Umbuchung abweichend",IF(OR(G822="",M822="",M822="offen",M822="teilbelegt",H822="Ungeklärt",H822="Bargeld"),"Beleg / Verwendung klären","vollständig erfasst")))))))))</x:f>
      </x:c>
    </x:row>
    <x:row r="823" ht="22" customHeight="1">
      <x:c r="A823" s="7"/>
      <x:c r="B823" s="8"/>
      <x:c r="C823" s="7"/>
      <x:c r="D823" s="7"/>
      <x:c r="E823" s="7"/>
      <x:c r="F823" s="20"/>
      <x:c r="G823" s="7"/>
      <x:c r="H823" s="7"/>
      <x:c r="I823" s="7"/>
      <x:c r="J823" s="7"/>
      <x:c r="K823" s="7"/>
      <x:c r="L823" s="7"/>
      <x:c r="M823" s="7"/>
      <x:c r="N823" s="7"/>
      <x:c r="O823" s="2" t="str">
        <x:f>IF(A823="","",IF(COUNTIFS($A$7:$A$1506,A823)&gt;1,"Buchung-ID doppelt",IF(OR(NOT(ISNUMBER(B823)),C823="",NOT(ISNUMBER(F823)),H823="",L823=""),"Pflichtangaben fehlen",IF(COUNTIFS('Konten'!$A$7:$A$26,C823)&lt;&gt;1,"Konto nicht eindeutig",IF(J823&lt;&gt;"Ja","Zuordnung bestätigen",IF(OR(AND(H823="Einnahme",F823&lt;0),AND(H823="Ausgabe",F823&gt;0)),"Vorzeichen prüfen",IF(AND(H823="Umbuchung",OR(K823="",COUNTIFS($A$7:$A$1506,K823)&lt;&gt;1)),"Gegenbuchung fehlt",IF(AND(H823="Umbuchung",ROUND(SUMIFS($F$7:$F$1506,$A$7:$A$1506,K823)+F823,2)&lt;&gt;0),"Umbuchung abweichend",IF(OR(G823="",M823="",M823="offen",M823="teilbelegt",H823="Ungeklärt",H823="Bargeld"),"Beleg / Verwendung klären","vollständig erfasst")))))))))</x:f>
      </x:c>
    </x:row>
    <x:row r="824" ht="22" customHeight="1">
      <x:c r="A824" s="7"/>
      <x:c r="B824" s="8"/>
      <x:c r="C824" s="7"/>
      <x:c r="D824" s="7"/>
      <x:c r="E824" s="7"/>
      <x:c r="F824" s="20"/>
      <x:c r="G824" s="7"/>
      <x:c r="H824" s="7"/>
      <x:c r="I824" s="7"/>
      <x:c r="J824" s="7"/>
      <x:c r="K824" s="7"/>
      <x:c r="L824" s="7"/>
      <x:c r="M824" s="7"/>
      <x:c r="N824" s="7"/>
      <x:c r="O824" s="2" t="str">
        <x:f>IF(A824="","",IF(COUNTIFS($A$7:$A$1506,A824)&gt;1,"Buchung-ID doppelt",IF(OR(NOT(ISNUMBER(B824)),C824="",NOT(ISNUMBER(F824)),H824="",L824=""),"Pflichtangaben fehlen",IF(COUNTIFS('Konten'!$A$7:$A$26,C824)&lt;&gt;1,"Konto nicht eindeutig",IF(J824&lt;&gt;"Ja","Zuordnung bestätigen",IF(OR(AND(H824="Einnahme",F824&lt;0),AND(H824="Ausgabe",F824&gt;0)),"Vorzeichen prüfen",IF(AND(H824="Umbuchung",OR(K824="",COUNTIFS($A$7:$A$1506,K824)&lt;&gt;1)),"Gegenbuchung fehlt",IF(AND(H824="Umbuchung",ROUND(SUMIFS($F$7:$F$1506,$A$7:$A$1506,K824)+F824,2)&lt;&gt;0),"Umbuchung abweichend",IF(OR(G824="",M824="",M824="offen",M824="teilbelegt",H824="Ungeklärt",H824="Bargeld"),"Beleg / Verwendung klären","vollständig erfasst")))))))))</x:f>
      </x:c>
    </x:row>
    <x:row r="825" ht="22" customHeight="1">
      <x:c r="A825" s="7"/>
      <x:c r="B825" s="8"/>
      <x:c r="C825" s="7"/>
      <x:c r="D825" s="7"/>
      <x:c r="E825" s="7"/>
      <x:c r="F825" s="20"/>
      <x:c r="G825" s="7"/>
      <x:c r="H825" s="7"/>
      <x:c r="I825" s="7"/>
      <x:c r="J825" s="7"/>
      <x:c r="K825" s="7"/>
      <x:c r="L825" s="7"/>
      <x:c r="M825" s="7"/>
      <x:c r="N825" s="7"/>
      <x:c r="O825" s="2" t="str">
        <x:f>IF(A825="","",IF(COUNTIFS($A$7:$A$1506,A825)&gt;1,"Buchung-ID doppelt",IF(OR(NOT(ISNUMBER(B825)),C825="",NOT(ISNUMBER(F825)),H825="",L825=""),"Pflichtangaben fehlen",IF(COUNTIFS('Konten'!$A$7:$A$26,C825)&lt;&gt;1,"Konto nicht eindeutig",IF(J825&lt;&gt;"Ja","Zuordnung bestätigen",IF(OR(AND(H825="Einnahme",F825&lt;0),AND(H825="Ausgabe",F825&gt;0)),"Vorzeichen prüfen",IF(AND(H825="Umbuchung",OR(K825="",COUNTIFS($A$7:$A$1506,K825)&lt;&gt;1)),"Gegenbuchung fehlt",IF(AND(H825="Umbuchung",ROUND(SUMIFS($F$7:$F$1506,$A$7:$A$1506,K825)+F825,2)&lt;&gt;0),"Umbuchung abweichend",IF(OR(G825="",M825="",M825="offen",M825="teilbelegt",H825="Ungeklärt",H825="Bargeld"),"Beleg / Verwendung klären","vollständig erfasst")))))))))</x:f>
      </x:c>
    </x:row>
    <x:row r="826" ht="22" customHeight="1">
      <x:c r="A826" s="7"/>
      <x:c r="B826" s="8"/>
      <x:c r="C826" s="7"/>
      <x:c r="D826" s="7"/>
      <x:c r="E826" s="7"/>
      <x:c r="F826" s="20"/>
      <x:c r="G826" s="7"/>
      <x:c r="H826" s="7"/>
      <x:c r="I826" s="7"/>
      <x:c r="J826" s="7"/>
      <x:c r="K826" s="7"/>
      <x:c r="L826" s="7"/>
      <x:c r="M826" s="7"/>
      <x:c r="N826" s="7"/>
      <x:c r="O826" s="2" t="str">
        <x:f>IF(A826="","",IF(COUNTIFS($A$7:$A$1506,A826)&gt;1,"Buchung-ID doppelt",IF(OR(NOT(ISNUMBER(B826)),C826="",NOT(ISNUMBER(F826)),H826="",L826=""),"Pflichtangaben fehlen",IF(COUNTIFS('Konten'!$A$7:$A$26,C826)&lt;&gt;1,"Konto nicht eindeutig",IF(J826&lt;&gt;"Ja","Zuordnung bestätigen",IF(OR(AND(H826="Einnahme",F826&lt;0),AND(H826="Ausgabe",F826&gt;0)),"Vorzeichen prüfen",IF(AND(H826="Umbuchung",OR(K826="",COUNTIFS($A$7:$A$1506,K826)&lt;&gt;1)),"Gegenbuchung fehlt",IF(AND(H826="Umbuchung",ROUND(SUMIFS($F$7:$F$1506,$A$7:$A$1506,K826)+F826,2)&lt;&gt;0),"Umbuchung abweichend",IF(OR(G826="",M826="",M826="offen",M826="teilbelegt",H826="Ungeklärt",H826="Bargeld"),"Beleg / Verwendung klären","vollständig erfasst")))))))))</x:f>
      </x:c>
    </x:row>
    <x:row r="827" ht="22" customHeight="1">
      <x:c r="A827" s="7"/>
      <x:c r="B827" s="8"/>
      <x:c r="C827" s="7"/>
      <x:c r="D827" s="7"/>
      <x:c r="E827" s="7"/>
      <x:c r="F827" s="20"/>
      <x:c r="G827" s="7"/>
      <x:c r="H827" s="7"/>
      <x:c r="I827" s="7"/>
      <x:c r="J827" s="7"/>
      <x:c r="K827" s="7"/>
      <x:c r="L827" s="7"/>
      <x:c r="M827" s="7"/>
      <x:c r="N827" s="7"/>
      <x:c r="O827" s="2" t="str">
        <x:f>IF(A827="","",IF(COUNTIFS($A$7:$A$1506,A827)&gt;1,"Buchung-ID doppelt",IF(OR(NOT(ISNUMBER(B827)),C827="",NOT(ISNUMBER(F827)),H827="",L827=""),"Pflichtangaben fehlen",IF(COUNTIFS('Konten'!$A$7:$A$26,C827)&lt;&gt;1,"Konto nicht eindeutig",IF(J827&lt;&gt;"Ja","Zuordnung bestätigen",IF(OR(AND(H827="Einnahme",F827&lt;0),AND(H827="Ausgabe",F827&gt;0)),"Vorzeichen prüfen",IF(AND(H827="Umbuchung",OR(K827="",COUNTIFS($A$7:$A$1506,K827)&lt;&gt;1)),"Gegenbuchung fehlt",IF(AND(H827="Umbuchung",ROUND(SUMIFS($F$7:$F$1506,$A$7:$A$1506,K827)+F827,2)&lt;&gt;0),"Umbuchung abweichend",IF(OR(G827="",M827="",M827="offen",M827="teilbelegt",H827="Ungeklärt",H827="Bargeld"),"Beleg / Verwendung klären","vollständig erfasst")))))))))</x:f>
      </x:c>
    </x:row>
    <x:row r="828" ht="22" customHeight="1">
      <x:c r="A828" s="7"/>
      <x:c r="B828" s="8"/>
      <x:c r="C828" s="7"/>
      <x:c r="D828" s="7"/>
      <x:c r="E828" s="7"/>
      <x:c r="F828" s="20"/>
      <x:c r="G828" s="7"/>
      <x:c r="H828" s="7"/>
      <x:c r="I828" s="7"/>
      <x:c r="J828" s="7"/>
      <x:c r="K828" s="7"/>
      <x:c r="L828" s="7"/>
      <x:c r="M828" s="7"/>
      <x:c r="N828" s="7"/>
      <x:c r="O828" s="2" t="str">
        <x:f>IF(A828="","",IF(COUNTIFS($A$7:$A$1506,A828)&gt;1,"Buchung-ID doppelt",IF(OR(NOT(ISNUMBER(B828)),C828="",NOT(ISNUMBER(F828)),H828="",L828=""),"Pflichtangaben fehlen",IF(COUNTIFS('Konten'!$A$7:$A$26,C828)&lt;&gt;1,"Konto nicht eindeutig",IF(J828&lt;&gt;"Ja","Zuordnung bestätigen",IF(OR(AND(H828="Einnahme",F828&lt;0),AND(H828="Ausgabe",F828&gt;0)),"Vorzeichen prüfen",IF(AND(H828="Umbuchung",OR(K828="",COUNTIFS($A$7:$A$1506,K828)&lt;&gt;1)),"Gegenbuchung fehlt",IF(AND(H828="Umbuchung",ROUND(SUMIFS($F$7:$F$1506,$A$7:$A$1506,K828)+F828,2)&lt;&gt;0),"Umbuchung abweichend",IF(OR(G828="",M828="",M828="offen",M828="teilbelegt",H828="Ungeklärt",H828="Bargeld"),"Beleg / Verwendung klären","vollständig erfasst")))))))))</x:f>
      </x:c>
    </x:row>
    <x:row r="829" ht="22" customHeight="1">
      <x:c r="A829" s="7"/>
      <x:c r="B829" s="8"/>
      <x:c r="C829" s="7"/>
      <x:c r="D829" s="7"/>
      <x:c r="E829" s="7"/>
      <x:c r="F829" s="20"/>
      <x:c r="G829" s="7"/>
      <x:c r="H829" s="7"/>
      <x:c r="I829" s="7"/>
      <x:c r="J829" s="7"/>
      <x:c r="K829" s="7"/>
      <x:c r="L829" s="7"/>
      <x:c r="M829" s="7"/>
      <x:c r="N829" s="7"/>
      <x:c r="O829" s="2" t="str">
        <x:f>IF(A829="","",IF(COUNTIFS($A$7:$A$1506,A829)&gt;1,"Buchung-ID doppelt",IF(OR(NOT(ISNUMBER(B829)),C829="",NOT(ISNUMBER(F829)),H829="",L829=""),"Pflichtangaben fehlen",IF(COUNTIFS('Konten'!$A$7:$A$26,C829)&lt;&gt;1,"Konto nicht eindeutig",IF(J829&lt;&gt;"Ja","Zuordnung bestätigen",IF(OR(AND(H829="Einnahme",F829&lt;0),AND(H829="Ausgabe",F829&gt;0)),"Vorzeichen prüfen",IF(AND(H829="Umbuchung",OR(K829="",COUNTIFS($A$7:$A$1506,K829)&lt;&gt;1)),"Gegenbuchung fehlt",IF(AND(H829="Umbuchung",ROUND(SUMIFS($F$7:$F$1506,$A$7:$A$1506,K829)+F829,2)&lt;&gt;0),"Umbuchung abweichend",IF(OR(G829="",M829="",M829="offen",M829="teilbelegt",H829="Ungeklärt",H829="Bargeld"),"Beleg / Verwendung klären","vollständig erfasst")))))))))</x:f>
      </x:c>
    </x:row>
    <x:row r="830" ht="22" customHeight="1">
      <x:c r="A830" s="7"/>
      <x:c r="B830" s="8"/>
      <x:c r="C830" s="7"/>
      <x:c r="D830" s="7"/>
      <x:c r="E830" s="7"/>
      <x:c r="F830" s="20"/>
      <x:c r="G830" s="7"/>
      <x:c r="H830" s="7"/>
      <x:c r="I830" s="7"/>
      <x:c r="J830" s="7"/>
      <x:c r="K830" s="7"/>
      <x:c r="L830" s="7"/>
      <x:c r="M830" s="7"/>
      <x:c r="N830" s="7"/>
      <x:c r="O830" s="2" t="str">
        <x:f>IF(A830="","",IF(COUNTIFS($A$7:$A$1506,A830)&gt;1,"Buchung-ID doppelt",IF(OR(NOT(ISNUMBER(B830)),C830="",NOT(ISNUMBER(F830)),H830="",L830=""),"Pflichtangaben fehlen",IF(COUNTIFS('Konten'!$A$7:$A$26,C830)&lt;&gt;1,"Konto nicht eindeutig",IF(J830&lt;&gt;"Ja","Zuordnung bestätigen",IF(OR(AND(H830="Einnahme",F830&lt;0),AND(H830="Ausgabe",F830&gt;0)),"Vorzeichen prüfen",IF(AND(H830="Umbuchung",OR(K830="",COUNTIFS($A$7:$A$1506,K830)&lt;&gt;1)),"Gegenbuchung fehlt",IF(AND(H830="Umbuchung",ROUND(SUMIFS($F$7:$F$1506,$A$7:$A$1506,K830)+F830,2)&lt;&gt;0),"Umbuchung abweichend",IF(OR(G830="",M830="",M830="offen",M830="teilbelegt",H830="Ungeklärt",H830="Bargeld"),"Beleg / Verwendung klären","vollständig erfasst")))))))))</x:f>
      </x:c>
    </x:row>
    <x:row r="831" ht="22" customHeight="1">
      <x:c r="A831" s="7"/>
      <x:c r="B831" s="8"/>
      <x:c r="C831" s="7"/>
      <x:c r="D831" s="7"/>
      <x:c r="E831" s="7"/>
      <x:c r="F831" s="20"/>
      <x:c r="G831" s="7"/>
      <x:c r="H831" s="7"/>
      <x:c r="I831" s="7"/>
      <x:c r="J831" s="7"/>
      <x:c r="K831" s="7"/>
      <x:c r="L831" s="7"/>
      <x:c r="M831" s="7"/>
      <x:c r="N831" s="7"/>
      <x:c r="O831" s="2" t="str">
        <x:f>IF(A831="","",IF(COUNTIFS($A$7:$A$1506,A831)&gt;1,"Buchung-ID doppelt",IF(OR(NOT(ISNUMBER(B831)),C831="",NOT(ISNUMBER(F831)),H831="",L831=""),"Pflichtangaben fehlen",IF(COUNTIFS('Konten'!$A$7:$A$26,C831)&lt;&gt;1,"Konto nicht eindeutig",IF(J831&lt;&gt;"Ja","Zuordnung bestätigen",IF(OR(AND(H831="Einnahme",F831&lt;0),AND(H831="Ausgabe",F831&gt;0)),"Vorzeichen prüfen",IF(AND(H831="Umbuchung",OR(K831="",COUNTIFS($A$7:$A$1506,K831)&lt;&gt;1)),"Gegenbuchung fehlt",IF(AND(H831="Umbuchung",ROUND(SUMIFS($F$7:$F$1506,$A$7:$A$1506,K831)+F831,2)&lt;&gt;0),"Umbuchung abweichend",IF(OR(G831="",M831="",M831="offen",M831="teilbelegt",H831="Ungeklärt",H831="Bargeld"),"Beleg / Verwendung klären","vollständig erfasst")))))))))</x:f>
      </x:c>
    </x:row>
    <x:row r="832" ht="22" customHeight="1">
      <x:c r="A832" s="7"/>
      <x:c r="B832" s="8"/>
      <x:c r="C832" s="7"/>
      <x:c r="D832" s="7"/>
      <x:c r="E832" s="7"/>
      <x:c r="F832" s="20"/>
      <x:c r="G832" s="7"/>
      <x:c r="H832" s="7"/>
      <x:c r="I832" s="7"/>
      <x:c r="J832" s="7"/>
      <x:c r="K832" s="7"/>
      <x:c r="L832" s="7"/>
      <x:c r="M832" s="7"/>
      <x:c r="N832" s="7"/>
      <x:c r="O832" s="2" t="str">
        <x:f>IF(A832="","",IF(COUNTIFS($A$7:$A$1506,A832)&gt;1,"Buchung-ID doppelt",IF(OR(NOT(ISNUMBER(B832)),C832="",NOT(ISNUMBER(F832)),H832="",L832=""),"Pflichtangaben fehlen",IF(COUNTIFS('Konten'!$A$7:$A$26,C832)&lt;&gt;1,"Konto nicht eindeutig",IF(J832&lt;&gt;"Ja","Zuordnung bestätigen",IF(OR(AND(H832="Einnahme",F832&lt;0),AND(H832="Ausgabe",F832&gt;0)),"Vorzeichen prüfen",IF(AND(H832="Umbuchung",OR(K832="",COUNTIFS($A$7:$A$1506,K832)&lt;&gt;1)),"Gegenbuchung fehlt",IF(AND(H832="Umbuchung",ROUND(SUMIFS($F$7:$F$1506,$A$7:$A$1506,K832)+F832,2)&lt;&gt;0),"Umbuchung abweichend",IF(OR(G832="",M832="",M832="offen",M832="teilbelegt",H832="Ungeklärt",H832="Bargeld"),"Beleg / Verwendung klären","vollständig erfasst")))))))))</x:f>
      </x:c>
    </x:row>
    <x:row r="833" ht="22" customHeight="1">
      <x:c r="A833" s="7"/>
      <x:c r="B833" s="8"/>
      <x:c r="C833" s="7"/>
      <x:c r="D833" s="7"/>
      <x:c r="E833" s="7"/>
      <x:c r="F833" s="20"/>
      <x:c r="G833" s="7"/>
      <x:c r="H833" s="7"/>
      <x:c r="I833" s="7"/>
      <x:c r="J833" s="7"/>
      <x:c r="K833" s="7"/>
      <x:c r="L833" s="7"/>
      <x:c r="M833" s="7"/>
      <x:c r="N833" s="7"/>
      <x:c r="O833" s="2" t="str">
        <x:f>IF(A833="","",IF(COUNTIFS($A$7:$A$1506,A833)&gt;1,"Buchung-ID doppelt",IF(OR(NOT(ISNUMBER(B833)),C833="",NOT(ISNUMBER(F833)),H833="",L833=""),"Pflichtangaben fehlen",IF(COUNTIFS('Konten'!$A$7:$A$26,C833)&lt;&gt;1,"Konto nicht eindeutig",IF(J833&lt;&gt;"Ja","Zuordnung bestätigen",IF(OR(AND(H833="Einnahme",F833&lt;0),AND(H833="Ausgabe",F833&gt;0)),"Vorzeichen prüfen",IF(AND(H833="Umbuchung",OR(K833="",COUNTIFS($A$7:$A$1506,K833)&lt;&gt;1)),"Gegenbuchung fehlt",IF(AND(H833="Umbuchung",ROUND(SUMIFS($F$7:$F$1506,$A$7:$A$1506,K833)+F833,2)&lt;&gt;0),"Umbuchung abweichend",IF(OR(G833="",M833="",M833="offen",M833="teilbelegt",H833="Ungeklärt",H833="Bargeld"),"Beleg / Verwendung klären","vollständig erfasst")))))))))</x:f>
      </x:c>
    </x:row>
    <x:row r="834" ht="22" customHeight="1">
      <x:c r="A834" s="7"/>
      <x:c r="B834" s="8"/>
      <x:c r="C834" s="7"/>
      <x:c r="D834" s="7"/>
      <x:c r="E834" s="7"/>
      <x:c r="F834" s="20"/>
      <x:c r="G834" s="7"/>
      <x:c r="H834" s="7"/>
      <x:c r="I834" s="7"/>
      <x:c r="J834" s="7"/>
      <x:c r="K834" s="7"/>
      <x:c r="L834" s="7"/>
      <x:c r="M834" s="7"/>
      <x:c r="N834" s="7"/>
      <x:c r="O834" s="2" t="str">
        <x:f>IF(A834="","",IF(COUNTIFS($A$7:$A$1506,A834)&gt;1,"Buchung-ID doppelt",IF(OR(NOT(ISNUMBER(B834)),C834="",NOT(ISNUMBER(F834)),H834="",L834=""),"Pflichtangaben fehlen",IF(COUNTIFS('Konten'!$A$7:$A$26,C834)&lt;&gt;1,"Konto nicht eindeutig",IF(J834&lt;&gt;"Ja","Zuordnung bestätigen",IF(OR(AND(H834="Einnahme",F834&lt;0),AND(H834="Ausgabe",F834&gt;0)),"Vorzeichen prüfen",IF(AND(H834="Umbuchung",OR(K834="",COUNTIFS($A$7:$A$1506,K834)&lt;&gt;1)),"Gegenbuchung fehlt",IF(AND(H834="Umbuchung",ROUND(SUMIFS($F$7:$F$1506,$A$7:$A$1506,K834)+F834,2)&lt;&gt;0),"Umbuchung abweichend",IF(OR(G834="",M834="",M834="offen",M834="teilbelegt",H834="Ungeklärt",H834="Bargeld"),"Beleg / Verwendung klären","vollständig erfasst")))))))))</x:f>
      </x:c>
    </x:row>
    <x:row r="835" ht="22" customHeight="1">
      <x:c r="A835" s="7"/>
      <x:c r="B835" s="8"/>
      <x:c r="C835" s="7"/>
      <x:c r="D835" s="7"/>
      <x:c r="E835" s="7"/>
      <x:c r="F835" s="20"/>
      <x:c r="G835" s="7"/>
      <x:c r="H835" s="7"/>
      <x:c r="I835" s="7"/>
      <x:c r="J835" s="7"/>
      <x:c r="K835" s="7"/>
      <x:c r="L835" s="7"/>
      <x:c r="M835" s="7"/>
      <x:c r="N835" s="7"/>
      <x:c r="O835" s="2" t="str">
        <x:f>IF(A835="","",IF(COUNTIFS($A$7:$A$1506,A835)&gt;1,"Buchung-ID doppelt",IF(OR(NOT(ISNUMBER(B835)),C835="",NOT(ISNUMBER(F835)),H835="",L835=""),"Pflichtangaben fehlen",IF(COUNTIFS('Konten'!$A$7:$A$26,C835)&lt;&gt;1,"Konto nicht eindeutig",IF(J835&lt;&gt;"Ja","Zuordnung bestätigen",IF(OR(AND(H835="Einnahme",F835&lt;0),AND(H835="Ausgabe",F835&gt;0)),"Vorzeichen prüfen",IF(AND(H835="Umbuchung",OR(K835="",COUNTIFS($A$7:$A$1506,K835)&lt;&gt;1)),"Gegenbuchung fehlt",IF(AND(H835="Umbuchung",ROUND(SUMIFS($F$7:$F$1506,$A$7:$A$1506,K835)+F835,2)&lt;&gt;0),"Umbuchung abweichend",IF(OR(G835="",M835="",M835="offen",M835="teilbelegt",H835="Ungeklärt",H835="Bargeld"),"Beleg / Verwendung klären","vollständig erfasst")))))))))</x:f>
      </x:c>
    </x:row>
    <x:row r="836" ht="22" customHeight="1">
      <x:c r="A836" s="7"/>
      <x:c r="B836" s="8"/>
      <x:c r="C836" s="7"/>
      <x:c r="D836" s="7"/>
      <x:c r="E836" s="7"/>
      <x:c r="F836" s="20"/>
      <x:c r="G836" s="7"/>
      <x:c r="H836" s="7"/>
      <x:c r="I836" s="7"/>
      <x:c r="J836" s="7"/>
      <x:c r="K836" s="7"/>
      <x:c r="L836" s="7"/>
      <x:c r="M836" s="7"/>
      <x:c r="N836" s="7"/>
      <x:c r="O836" s="2" t="str">
        <x:f>IF(A836="","",IF(COUNTIFS($A$7:$A$1506,A836)&gt;1,"Buchung-ID doppelt",IF(OR(NOT(ISNUMBER(B836)),C836="",NOT(ISNUMBER(F836)),H836="",L836=""),"Pflichtangaben fehlen",IF(COUNTIFS('Konten'!$A$7:$A$26,C836)&lt;&gt;1,"Konto nicht eindeutig",IF(J836&lt;&gt;"Ja","Zuordnung bestätigen",IF(OR(AND(H836="Einnahme",F836&lt;0),AND(H836="Ausgabe",F836&gt;0)),"Vorzeichen prüfen",IF(AND(H836="Umbuchung",OR(K836="",COUNTIFS($A$7:$A$1506,K836)&lt;&gt;1)),"Gegenbuchung fehlt",IF(AND(H836="Umbuchung",ROUND(SUMIFS($F$7:$F$1506,$A$7:$A$1506,K836)+F836,2)&lt;&gt;0),"Umbuchung abweichend",IF(OR(G836="",M836="",M836="offen",M836="teilbelegt",H836="Ungeklärt",H836="Bargeld"),"Beleg / Verwendung klären","vollständig erfasst")))))))))</x:f>
      </x:c>
    </x:row>
    <x:row r="837" ht="22" customHeight="1">
      <x:c r="A837" s="7"/>
      <x:c r="B837" s="8"/>
      <x:c r="C837" s="7"/>
      <x:c r="D837" s="7"/>
      <x:c r="E837" s="7"/>
      <x:c r="F837" s="20"/>
      <x:c r="G837" s="7"/>
      <x:c r="H837" s="7"/>
      <x:c r="I837" s="7"/>
      <x:c r="J837" s="7"/>
      <x:c r="K837" s="7"/>
      <x:c r="L837" s="7"/>
      <x:c r="M837" s="7"/>
      <x:c r="N837" s="7"/>
      <x:c r="O837" s="2" t="str">
        <x:f>IF(A837="","",IF(COUNTIFS($A$7:$A$1506,A837)&gt;1,"Buchung-ID doppelt",IF(OR(NOT(ISNUMBER(B837)),C837="",NOT(ISNUMBER(F837)),H837="",L837=""),"Pflichtangaben fehlen",IF(COUNTIFS('Konten'!$A$7:$A$26,C837)&lt;&gt;1,"Konto nicht eindeutig",IF(J837&lt;&gt;"Ja","Zuordnung bestätigen",IF(OR(AND(H837="Einnahme",F837&lt;0),AND(H837="Ausgabe",F837&gt;0)),"Vorzeichen prüfen",IF(AND(H837="Umbuchung",OR(K837="",COUNTIFS($A$7:$A$1506,K837)&lt;&gt;1)),"Gegenbuchung fehlt",IF(AND(H837="Umbuchung",ROUND(SUMIFS($F$7:$F$1506,$A$7:$A$1506,K837)+F837,2)&lt;&gt;0),"Umbuchung abweichend",IF(OR(G837="",M837="",M837="offen",M837="teilbelegt",H837="Ungeklärt",H837="Bargeld"),"Beleg / Verwendung klären","vollständig erfasst")))))))))</x:f>
      </x:c>
    </x:row>
    <x:row r="838" ht="22" customHeight="1">
      <x:c r="A838" s="7"/>
      <x:c r="B838" s="8"/>
      <x:c r="C838" s="7"/>
      <x:c r="D838" s="7"/>
      <x:c r="E838" s="7"/>
      <x:c r="F838" s="20"/>
      <x:c r="G838" s="7"/>
      <x:c r="H838" s="7"/>
      <x:c r="I838" s="7"/>
      <x:c r="J838" s="7"/>
      <x:c r="K838" s="7"/>
      <x:c r="L838" s="7"/>
      <x:c r="M838" s="7"/>
      <x:c r="N838" s="7"/>
      <x:c r="O838" s="2" t="str">
        <x:f>IF(A838="","",IF(COUNTIFS($A$7:$A$1506,A838)&gt;1,"Buchung-ID doppelt",IF(OR(NOT(ISNUMBER(B838)),C838="",NOT(ISNUMBER(F838)),H838="",L838=""),"Pflichtangaben fehlen",IF(COUNTIFS('Konten'!$A$7:$A$26,C838)&lt;&gt;1,"Konto nicht eindeutig",IF(J838&lt;&gt;"Ja","Zuordnung bestätigen",IF(OR(AND(H838="Einnahme",F838&lt;0),AND(H838="Ausgabe",F838&gt;0)),"Vorzeichen prüfen",IF(AND(H838="Umbuchung",OR(K838="",COUNTIFS($A$7:$A$1506,K838)&lt;&gt;1)),"Gegenbuchung fehlt",IF(AND(H838="Umbuchung",ROUND(SUMIFS($F$7:$F$1506,$A$7:$A$1506,K838)+F838,2)&lt;&gt;0),"Umbuchung abweichend",IF(OR(G838="",M838="",M838="offen",M838="teilbelegt",H838="Ungeklärt",H838="Bargeld"),"Beleg / Verwendung klären","vollständig erfasst")))))))))</x:f>
      </x:c>
    </x:row>
    <x:row r="839" ht="22" customHeight="1">
      <x:c r="A839" s="7"/>
      <x:c r="B839" s="8"/>
      <x:c r="C839" s="7"/>
      <x:c r="D839" s="7"/>
      <x:c r="E839" s="7"/>
      <x:c r="F839" s="20"/>
      <x:c r="G839" s="7"/>
      <x:c r="H839" s="7"/>
      <x:c r="I839" s="7"/>
      <x:c r="J839" s="7"/>
      <x:c r="K839" s="7"/>
      <x:c r="L839" s="7"/>
      <x:c r="M839" s="7"/>
      <x:c r="N839" s="7"/>
      <x:c r="O839" s="2" t="str">
        <x:f>IF(A839="","",IF(COUNTIFS($A$7:$A$1506,A839)&gt;1,"Buchung-ID doppelt",IF(OR(NOT(ISNUMBER(B839)),C839="",NOT(ISNUMBER(F839)),H839="",L839=""),"Pflichtangaben fehlen",IF(COUNTIFS('Konten'!$A$7:$A$26,C839)&lt;&gt;1,"Konto nicht eindeutig",IF(J839&lt;&gt;"Ja","Zuordnung bestätigen",IF(OR(AND(H839="Einnahme",F839&lt;0),AND(H839="Ausgabe",F839&gt;0)),"Vorzeichen prüfen",IF(AND(H839="Umbuchung",OR(K839="",COUNTIFS($A$7:$A$1506,K839)&lt;&gt;1)),"Gegenbuchung fehlt",IF(AND(H839="Umbuchung",ROUND(SUMIFS($F$7:$F$1506,$A$7:$A$1506,K839)+F839,2)&lt;&gt;0),"Umbuchung abweichend",IF(OR(G839="",M839="",M839="offen",M839="teilbelegt",H839="Ungeklärt",H839="Bargeld"),"Beleg / Verwendung klären","vollständig erfasst")))))))))</x:f>
      </x:c>
    </x:row>
    <x:row r="840" ht="22" customHeight="1">
      <x:c r="A840" s="7"/>
      <x:c r="B840" s="8"/>
      <x:c r="C840" s="7"/>
      <x:c r="D840" s="7"/>
      <x:c r="E840" s="7"/>
      <x:c r="F840" s="20"/>
      <x:c r="G840" s="7"/>
      <x:c r="H840" s="7"/>
      <x:c r="I840" s="7"/>
      <x:c r="J840" s="7"/>
      <x:c r="K840" s="7"/>
      <x:c r="L840" s="7"/>
      <x:c r="M840" s="7"/>
      <x:c r="N840" s="7"/>
      <x:c r="O840" s="2" t="str">
        <x:f>IF(A840="","",IF(COUNTIFS($A$7:$A$1506,A840)&gt;1,"Buchung-ID doppelt",IF(OR(NOT(ISNUMBER(B840)),C840="",NOT(ISNUMBER(F840)),H840="",L840=""),"Pflichtangaben fehlen",IF(COUNTIFS('Konten'!$A$7:$A$26,C840)&lt;&gt;1,"Konto nicht eindeutig",IF(J840&lt;&gt;"Ja","Zuordnung bestätigen",IF(OR(AND(H840="Einnahme",F840&lt;0),AND(H840="Ausgabe",F840&gt;0)),"Vorzeichen prüfen",IF(AND(H840="Umbuchung",OR(K840="",COUNTIFS($A$7:$A$1506,K840)&lt;&gt;1)),"Gegenbuchung fehlt",IF(AND(H840="Umbuchung",ROUND(SUMIFS($F$7:$F$1506,$A$7:$A$1506,K840)+F840,2)&lt;&gt;0),"Umbuchung abweichend",IF(OR(G840="",M840="",M840="offen",M840="teilbelegt",H840="Ungeklärt",H840="Bargeld"),"Beleg / Verwendung klären","vollständig erfasst")))))))))</x:f>
      </x:c>
    </x:row>
    <x:row r="841" ht="22" customHeight="1">
      <x:c r="A841" s="7"/>
      <x:c r="B841" s="8"/>
      <x:c r="C841" s="7"/>
      <x:c r="D841" s="7"/>
      <x:c r="E841" s="7"/>
      <x:c r="F841" s="20"/>
      <x:c r="G841" s="7"/>
      <x:c r="H841" s="7"/>
      <x:c r="I841" s="7"/>
      <x:c r="J841" s="7"/>
      <x:c r="K841" s="7"/>
      <x:c r="L841" s="7"/>
      <x:c r="M841" s="7"/>
      <x:c r="N841" s="7"/>
      <x:c r="O841" s="2" t="str">
        <x:f>IF(A841="","",IF(COUNTIFS($A$7:$A$1506,A841)&gt;1,"Buchung-ID doppelt",IF(OR(NOT(ISNUMBER(B841)),C841="",NOT(ISNUMBER(F841)),H841="",L841=""),"Pflichtangaben fehlen",IF(COUNTIFS('Konten'!$A$7:$A$26,C841)&lt;&gt;1,"Konto nicht eindeutig",IF(J841&lt;&gt;"Ja","Zuordnung bestätigen",IF(OR(AND(H841="Einnahme",F841&lt;0),AND(H841="Ausgabe",F841&gt;0)),"Vorzeichen prüfen",IF(AND(H841="Umbuchung",OR(K841="",COUNTIFS($A$7:$A$1506,K841)&lt;&gt;1)),"Gegenbuchung fehlt",IF(AND(H841="Umbuchung",ROUND(SUMIFS($F$7:$F$1506,$A$7:$A$1506,K841)+F841,2)&lt;&gt;0),"Umbuchung abweichend",IF(OR(G841="",M841="",M841="offen",M841="teilbelegt",H841="Ungeklärt",H841="Bargeld"),"Beleg / Verwendung klären","vollständig erfasst")))))))))</x:f>
      </x:c>
    </x:row>
    <x:row r="842" ht="22" customHeight="1">
      <x:c r="A842" s="7"/>
      <x:c r="B842" s="8"/>
      <x:c r="C842" s="7"/>
      <x:c r="D842" s="7"/>
      <x:c r="E842" s="7"/>
      <x:c r="F842" s="20"/>
      <x:c r="G842" s="7"/>
      <x:c r="H842" s="7"/>
      <x:c r="I842" s="7"/>
      <x:c r="J842" s="7"/>
      <x:c r="K842" s="7"/>
      <x:c r="L842" s="7"/>
      <x:c r="M842" s="7"/>
      <x:c r="N842" s="7"/>
      <x:c r="O842" s="2" t="str">
        <x:f>IF(A842="","",IF(COUNTIFS($A$7:$A$1506,A842)&gt;1,"Buchung-ID doppelt",IF(OR(NOT(ISNUMBER(B842)),C842="",NOT(ISNUMBER(F842)),H842="",L842=""),"Pflichtangaben fehlen",IF(COUNTIFS('Konten'!$A$7:$A$26,C842)&lt;&gt;1,"Konto nicht eindeutig",IF(J842&lt;&gt;"Ja","Zuordnung bestätigen",IF(OR(AND(H842="Einnahme",F842&lt;0),AND(H842="Ausgabe",F842&gt;0)),"Vorzeichen prüfen",IF(AND(H842="Umbuchung",OR(K842="",COUNTIFS($A$7:$A$1506,K842)&lt;&gt;1)),"Gegenbuchung fehlt",IF(AND(H842="Umbuchung",ROUND(SUMIFS($F$7:$F$1506,$A$7:$A$1506,K842)+F842,2)&lt;&gt;0),"Umbuchung abweichend",IF(OR(G842="",M842="",M842="offen",M842="teilbelegt",H842="Ungeklärt",H842="Bargeld"),"Beleg / Verwendung klären","vollständig erfasst")))))))))</x:f>
      </x:c>
    </x:row>
    <x:row r="843" ht="22" customHeight="1">
      <x:c r="A843" s="7"/>
      <x:c r="B843" s="8"/>
      <x:c r="C843" s="7"/>
      <x:c r="D843" s="7"/>
      <x:c r="E843" s="7"/>
      <x:c r="F843" s="20"/>
      <x:c r="G843" s="7"/>
      <x:c r="H843" s="7"/>
      <x:c r="I843" s="7"/>
      <x:c r="J843" s="7"/>
      <x:c r="K843" s="7"/>
      <x:c r="L843" s="7"/>
      <x:c r="M843" s="7"/>
      <x:c r="N843" s="7"/>
      <x:c r="O843" s="2" t="str">
        <x:f>IF(A843="","",IF(COUNTIFS($A$7:$A$1506,A843)&gt;1,"Buchung-ID doppelt",IF(OR(NOT(ISNUMBER(B843)),C843="",NOT(ISNUMBER(F843)),H843="",L843=""),"Pflichtangaben fehlen",IF(COUNTIFS('Konten'!$A$7:$A$26,C843)&lt;&gt;1,"Konto nicht eindeutig",IF(J843&lt;&gt;"Ja","Zuordnung bestätigen",IF(OR(AND(H843="Einnahme",F843&lt;0),AND(H843="Ausgabe",F843&gt;0)),"Vorzeichen prüfen",IF(AND(H843="Umbuchung",OR(K843="",COUNTIFS($A$7:$A$1506,K843)&lt;&gt;1)),"Gegenbuchung fehlt",IF(AND(H843="Umbuchung",ROUND(SUMIFS($F$7:$F$1506,$A$7:$A$1506,K843)+F843,2)&lt;&gt;0),"Umbuchung abweichend",IF(OR(G843="",M843="",M843="offen",M843="teilbelegt",H843="Ungeklärt",H843="Bargeld"),"Beleg / Verwendung klären","vollständig erfasst")))))))))</x:f>
      </x:c>
    </x:row>
    <x:row r="844" ht="22" customHeight="1">
      <x:c r="A844" s="7"/>
      <x:c r="B844" s="8"/>
      <x:c r="C844" s="7"/>
      <x:c r="D844" s="7"/>
      <x:c r="E844" s="7"/>
      <x:c r="F844" s="20"/>
      <x:c r="G844" s="7"/>
      <x:c r="H844" s="7"/>
      <x:c r="I844" s="7"/>
      <x:c r="J844" s="7"/>
      <x:c r="K844" s="7"/>
      <x:c r="L844" s="7"/>
      <x:c r="M844" s="7"/>
      <x:c r="N844" s="7"/>
      <x:c r="O844" s="2" t="str">
        <x:f>IF(A844="","",IF(COUNTIFS($A$7:$A$1506,A844)&gt;1,"Buchung-ID doppelt",IF(OR(NOT(ISNUMBER(B844)),C844="",NOT(ISNUMBER(F844)),H844="",L844=""),"Pflichtangaben fehlen",IF(COUNTIFS('Konten'!$A$7:$A$26,C844)&lt;&gt;1,"Konto nicht eindeutig",IF(J844&lt;&gt;"Ja","Zuordnung bestätigen",IF(OR(AND(H844="Einnahme",F844&lt;0),AND(H844="Ausgabe",F844&gt;0)),"Vorzeichen prüfen",IF(AND(H844="Umbuchung",OR(K844="",COUNTIFS($A$7:$A$1506,K844)&lt;&gt;1)),"Gegenbuchung fehlt",IF(AND(H844="Umbuchung",ROUND(SUMIFS($F$7:$F$1506,$A$7:$A$1506,K844)+F844,2)&lt;&gt;0),"Umbuchung abweichend",IF(OR(G844="",M844="",M844="offen",M844="teilbelegt",H844="Ungeklärt",H844="Bargeld"),"Beleg / Verwendung klären","vollständig erfasst")))))))))</x:f>
      </x:c>
    </x:row>
    <x:row r="845" ht="22" customHeight="1">
      <x:c r="A845" s="7"/>
      <x:c r="B845" s="8"/>
      <x:c r="C845" s="7"/>
      <x:c r="D845" s="7"/>
      <x:c r="E845" s="7"/>
      <x:c r="F845" s="20"/>
      <x:c r="G845" s="7"/>
      <x:c r="H845" s="7"/>
      <x:c r="I845" s="7"/>
      <x:c r="J845" s="7"/>
      <x:c r="K845" s="7"/>
      <x:c r="L845" s="7"/>
      <x:c r="M845" s="7"/>
      <x:c r="N845" s="7"/>
      <x:c r="O845" s="2" t="str">
        <x:f>IF(A845="","",IF(COUNTIFS($A$7:$A$1506,A845)&gt;1,"Buchung-ID doppelt",IF(OR(NOT(ISNUMBER(B845)),C845="",NOT(ISNUMBER(F845)),H845="",L845=""),"Pflichtangaben fehlen",IF(COUNTIFS('Konten'!$A$7:$A$26,C845)&lt;&gt;1,"Konto nicht eindeutig",IF(J845&lt;&gt;"Ja","Zuordnung bestätigen",IF(OR(AND(H845="Einnahme",F845&lt;0),AND(H845="Ausgabe",F845&gt;0)),"Vorzeichen prüfen",IF(AND(H845="Umbuchung",OR(K845="",COUNTIFS($A$7:$A$1506,K845)&lt;&gt;1)),"Gegenbuchung fehlt",IF(AND(H845="Umbuchung",ROUND(SUMIFS($F$7:$F$1506,$A$7:$A$1506,K845)+F845,2)&lt;&gt;0),"Umbuchung abweichend",IF(OR(G845="",M845="",M845="offen",M845="teilbelegt",H845="Ungeklärt",H845="Bargeld"),"Beleg / Verwendung klären","vollständig erfasst")))))))))</x:f>
      </x:c>
    </x:row>
    <x:row r="846" ht="22" customHeight="1">
      <x:c r="A846" s="7"/>
      <x:c r="B846" s="8"/>
      <x:c r="C846" s="7"/>
      <x:c r="D846" s="7"/>
      <x:c r="E846" s="7"/>
      <x:c r="F846" s="20"/>
      <x:c r="G846" s="7"/>
      <x:c r="H846" s="7"/>
      <x:c r="I846" s="7"/>
      <x:c r="J846" s="7"/>
      <x:c r="K846" s="7"/>
      <x:c r="L846" s="7"/>
      <x:c r="M846" s="7"/>
      <x:c r="N846" s="7"/>
      <x:c r="O846" s="2" t="str">
        <x:f>IF(A846="","",IF(COUNTIFS($A$7:$A$1506,A846)&gt;1,"Buchung-ID doppelt",IF(OR(NOT(ISNUMBER(B846)),C846="",NOT(ISNUMBER(F846)),H846="",L846=""),"Pflichtangaben fehlen",IF(COUNTIFS('Konten'!$A$7:$A$26,C846)&lt;&gt;1,"Konto nicht eindeutig",IF(J846&lt;&gt;"Ja","Zuordnung bestätigen",IF(OR(AND(H846="Einnahme",F846&lt;0),AND(H846="Ausgabe",F846&gt;0)),"Vorzeichen prüfen",IF(AND(H846="Umbuchung",OR(K846="",COUNTIFS($A$7:$A$1506,K846)&lt;&gt;1)),"Gegenbuchung fehlt",IF(AND(H846="Umbuchung",ROUND(SUMIFS($F$7:$F$1506,$A$7:$A$1506,K846)+F846,2)&lt;&gt;0),"Umbuchung abweichend",IF(OR(G846="",M846="",M846="offen",M846="teilbelegt",H846="Ungeklärt",H846="Bargeld"),"Beleg / Verwendung klären","vollständig erfasst")))))))))</x:f>
      </x:c>
    </x:row>
    <x:row r="847" ht="22" customHeight="1">
      <x:c r="A847" s="7"/>
      <x:c r="B847" s="8"/>
      <x:c r="C847" s="7"/>
      <x:c r="D847" s="7"/>
      <x:c r="E847" s="7"/>
      <x:c r="F847" s="20"/>
      <x:c r="G847" s="7"/>
      <x:c r="H847" s="7"/>
      <x:c r="I847" s="7"/>
      <x:c r="J847" s="7"/>
      <x:c r="K847" s="7"/>
      <x:c r="L847" s="7"/>
      <x:c r="M847" s="7"/>
      <x:c r="N847" s="7"/>
      <x:c r="O847" s="2" t="str">
        <x:f>IF(A847="","",IF(COUNTIFS($A$7:$A$1506,A847)&gt;1,"Buchung-ID doppelt",IF(OR(NOT(ISNUMBER(B847)),C847="",NOT(ISNUMBER(F847)),H847="",L847=""),"Pflichtangaben fehlen",IF(COUNTIFS('Konten'!$A$7:$A$26,C847)&lt;&gt;1,"Konto nicht eindeutig",IF(J847&lt;&gt;"Ja","Zuordnung bestätigen",IF(OR(AND(H847="Einnahme",F847&lt;0),AND(H847="Ausgabe",F847&gt;0)),"Vorzeichen prüfen",IF(AND(H847="Umbuchung",OR(K847="",COUNTIFS($A$7:$A$1506,K847)&lt;&gt;1)),"Gegenbuchung fehlt",IF(AND(H847="Umbuchung",ROUND(SUMIFS($F$7:$F$1506,$A$7:$A$1506,K847)+F847,2)&lt;&gt;0),"Umbuchung abweichend",IF(OR(G847="",M847="",M847="offen",M847="teilbelegt",H847="Ungeklärt",H847="Bargeld"),"Beleg / Verwendung klären","vollständig erfasst")))))))))</x:f>
      </x:c>
    </x:row>
    <x:row r="848" ht="22" customHeight="1">
      <x:c r="A848" s="7"/>
      <x:c r="B848" s="8"/>
      <x:c r="C848" s="7"/>
      <x:c r="D848" s="7"/>
      <x:c r="E848" s="7"/>
      <x:c r="F848" s="20"/>
      <x:c r="G848" s="7"/>
      <x:c r="H848" s="7"/>
      <x:c r="I848" s="7"/>
      <x:c r="J848" s="7"/>
      <x:c r="K848" s="7"/>
      <x:c r="L848" s="7"/>
      <x:c r="M848" s="7"/>
      <x:c r="N848" s="7"/>
      <x:c r="O848" s="2" t="str">
        <x:f>IF(A848="","",IF(COUNTIFS($A$7:$A$1506,A848)&gt;1,"Buchung-ID doppelt",IF(OR(NOT(ISNUMBER(B848)),C848="",NOT(ISNUMBER(F848)),H848="",L848=""),"Pflichtangaben fehlen",IF(COUNTIFS('Konten'!$A$7:$A$26,C848)&lt;&gt;1,"Konto nicht eindeutig",IF(J848&lt;&gt;"Ja","Zuordnung bestätigen",IF(OR(AND(H848="Einnahme",F848&lt;0),AND(H848="Ausgabe",F848&gt;0)),"Vorzeichen prüfen",IF(AND(H848="Umbuchung",OR(K848="",COUNTIFS($A$7:$A$1506,K848)&lt;&gt;1)),"Gegenbuchung fehlt",IF(AND(H848="Umbuchung",ROUND(SUMIFS($F$7:$F$1506,$A$7:$A$1506,K848)+F848,2)&lt;&gt;0),"Umbuchung abweichend",IF(OR(G848="",M848="",M848="offen",M848="teilbelegt",H848="Ungeklärt",H848="Bargeld"),"Beleg / Verwendung klären","vollständig erfasst")))))))))</x:f>
      </x:c>
    </x:row>
    <x:row r="849" ht="22" customHeight="1">
      <x:c r="A849" s="7"/>
      <x:c r="B849" s="8"/>
      <x:c r="C849" s="7"/>
      <x:c r="D849" s="7"/>
      <x:c r="E849" s="7"/>
      <x:c r="F849" s="20"/>
      <x:c r="G849" s="7"/>
      <x:c r="H849" s="7"/>
      <x:c r="I849" s="7"/>
      <x:c r="J849" s="7"/>
      <x:c r="K849" s="7"/>
      <x:c r="L849" s="7"/>
      <x:c r="M849" s="7"/>
      <x:c r="N849" s="7"/>
      <x:c r="O849" s="2" t="str">
        <x:f>IF(A849="","",IF(COUNTIFS($A$7:$A$1506,A849)&gt;1,"Buchung-ID doppelt",IF(OR(NOT(ISNUMBER(B849)),C849="",NOT(ISNUMBER(F849)),H849="",L849=""),"Pflichtangaben fehlen",IF(COUNTIFS('Konten'!$A$7:$A$26,C849)&lt;&gt;1,"Konto nicht eindeutig",IF(J849&lt;&gt;"Ja","Zuordnung bestätigen",IF(OR(AND(H849="Einnahme",F849&lt;0),AND(H849="Ausgabe",F849&gt;0)),"Vorzeichen prüfen",IF(AND(H849="Umbuchung",OR(K849="",COUNTIFS($A$7:$A$1506,K849)&lt;&gt;1)),"Gegenbuchung fehlt",IF(AND(H849="Umbuchung",ROUND(SUMIFS($F$7:$F$1506,$A$7:$A$1506,K849)+F849,2)&lt;&gt;0),"Umbuchung abweichend",IF(OR(G849="",M849="",M849="offen",M849="teilbelegt",H849="Ungeklärt",H849="Bargeld"),"Beleg / Verwendung klären","vollständig erfasst")))))))))</x:f>
      </x:c>
    </x:row>
    <x:row r="850" ht="22" customHeight="1">
      <x:c r="A850" s="7"/>
      <x:c r="B850" s="8"/>
      <x:c r="C850" s="7"/>
      <x:c r="D850" s="7"/>
      <x:c r="E850" s="7"/>
      <x:c r="F850" s="20"/>
      <x:c r="G850" s="7"/>
      <x:c r="H850" s="7"/>
      <x:c r="I850" s="7"/>
      <x:c r="J850" s="7"/>
      <x:c r="K850" s="7"/>
      <x:c r="L850" s="7"/>
      <x:c r="M850" s="7"/>
      <x:c r="N850" s="7"/>
      <x:c r="O850" s="2" t="str">
        <x:f>IF(A850="","",IF(COUNTIFS($A$7:$A$1506,A850)&gt;1,"Buchung-ID doppelt",IF(OR(NOT(ISNUMBER(B850)),C850="",NOT(ISNUMBER(F850)),H850="",L850=""),"Pflichtangaben fehlen",IF(COUNTIFS('Konten'!$A$7:$A$26,C850)&lt;&gt;1,"Konto nicht eindeutig",IF(J850&lt;&gt;"Ja","Zuordnung bestätigen",IF(OR(AND(H850="Einnahme",F850&lt;0),AND(H850="Ausgabe",F850&gt;0)),"Vorzeichen prüfen",IF(AND(H850="Umbuchung",OR(K850="",COUNTIFS($A$7:$A$1506,K850)&lt;&gt;1)),"Gegenbuchung fehlt",IF(AND(H850="Umbuchung",ROUND(SUMIFS($F$7:$F$1506,$A$7:$A$1506,K850)+F850,2)&lt;&gt;0),"Umbuchung abweichend",IF(OR(G850="",M850="",M850="offen",M850="teilbelegt",H850="Ungeklärt",H850="Bargeld"),"Beleg / Verwendung klären","vollständig erfasst")))))))))</x:f>
      </x:c>
    </x:row>
    <x:row r="851" ht="22" customHeight="1">
      <x:c r="A851" s="7"/>
      <x:c r="B851" s="8"/>
      <x:c r="C851" s="7"/>
      <x:c r="D851" s="7"/>
      <x:c r="E851" s="7"/>
      <x:c r="F851" s="20"/>
      <x:c r="G851" s="7"/>
      <x:c r="H851" s="7"/>
      <x:c r="I851" s="7"/>
      <x:c r="J851" s="7"/>
      <x:c r="K851" s="7"/>
      <x:c r="L851" s="7"/>
      <x:c r="M851" s="7"/>
      <x:c r="N851" s="7"/>
      <x:c r="O851" s="2" t="str">
        <x:f>IF(A851="","",IF(COUNTIFS($A$7:$A$1506,A851)&gt;1,"Buchung-ID doppelt",IF(OR(NOT(ISNUMBER(B851)),C851="",NOT(ISNUMBER(F851)),H851="",L851=""),"Pflichtangaben fehlen",IF(COUNTIFS('Konten'!$A$7:$A$26,C851)&lt;&gt;1,"Konto nicht eindeutig",IF(J851&lt;&gt;"Ja","Zuordnung bestätigen",IF(OR(AND(H851="Einnahme",F851&lt;0),AND(H851="Ausgabe",F851&gt;0)),"Vorzeichen prüfen",IF(AND(H851="Umbuchung",OR(K851="",COUNTIFS($A$7:$A$1506,K851)&lt;&gt;1)),"Gegenbuchung fehlt",IF(AND(H851="Umbuchung",ROUND(SUMIFS($F$7:$F$1506,$A$7:$A$1506,K851)+F851,2)&lt;&gt;0),"Umbuchung abweichend",IF(OR(G851="",M851="",M851="offen",M851="teilbelegt",H851="Ungeklärt",H851="Bargeld"),"Beleg / Verwendung klären","vollständig erfasst")))))))))</x:f>
      </x:c>
    </x:row>
    <x:row r="852" ht="22" customHeight="1">
      <x:c r="A852" s="7"/>
      <x:c r="B852" s="8"/>
      <x:c r="C852" s="7"/>
      <x:c r="D852" s="7"/>
      <x:c r="E852" s="7"/>
      <x:c r="F852" s="20"/>
      <x:c r="G852" s="7"/>
      <x:c r="H852" s="7"/>
      <x:c r="I852" s="7"/>
      <x:c r="J852" s="7"/>
      <x:c r="K852" s="7"/>
      <x:c r="L852" s="7"/>
      <x:c r="M852" s="7"/>
      <x:c r="N852" s="7"/>
      <x:c r="O852" s="2" t="str">
        <x:f>IF(A852="","",IF(COUNTIFS($A$7:$A$1506,A852)&gt;1,"Buchung-ID doppelt",IF(OR(NOT(ISNUMBER(B852)),C852="",NOT(ISNUMBER(F852)),H852="",L852=""),"Pflichtangaben fehlen",IF(COUNTIFS('Konten'!$A$7:$A$26,C852)&lt;&gt;1,"Konto nicht eindeutig",IF(J852&lt;&gt;"Ja","Zuordnung bestätigen",IF(OR(AND(H852="Einnahme",F852&lt;0),AND(H852="Ausgabe",F852&gt;0)),"Vorzeichen prüfen",IF(AND(H852="Umbuchung",OR(K852="",COUNTIFS($A$7:$A$1506,K852)&lt;&gt;1)),"Gegenbuchung fehlt",IF(AND(H852="Umbuchung",ROUND(SUMIFS($F$7:$F$1506,$A$7:$A$1506,K852)+F852,2)&lt;&gt;0),"Umbuchung abweichend",IF(OR(G852="",M852="",M852="offen",M852="teilbelegt",H852="Ungeklärt",H852="Bargeld"),"Beleg / Verwendung klären","vollständig erfasst")))))))))</x:f>
      </x:c>
    </x:row>
    <x:row r="853" ht="22" customHeight="1">
      <x:c r="A853" s="7"/>
      <x:c r="B853" s="8"/>
      <x:c r="C853" s="7"/>
      <x:c r="D853" s="7"/>
      <x:c r="E853" s="7"/>
      <x:c r="F853" s="20"/>
      <x:c r="G853" s="7"/>
      <x:c r="H853" s="7"/>
      <x:c r="I853" s="7"/>
      <x:c r="J853" s="7"/>
      <x:c r="K853" s="7"/>
      <x:c r="L853" s="7"/>
      <x:c r="M853" s="7"/>
      <x:c r="N853" s="7"/>
      <x:c r="O853" s="2" t="str">
        <x:f>IF(A853="","",IF(COUNTIFS($A$7:$A$1506,A853)&gt;1,"Buchung-ID doppelt",IF(OR(NOT(ISNUMBER(B853)),C853="",NOT(ISNUMBER(F853)),H853="",L853=""),"Pflichtangaben fehlen",IF(COUNTIFS('Konten'!$A$7:$A$26,C853)&lt;&gt;1,"Konto nicht eindeutig",IF(J853&lt;&gt;"Ja","Zuordnung bestätigen",IF(OR(AND(H853="Einnahme",F853&lt;0),AND(H853="Ausgabe",F853&gt;0)),"Vorzeichen prüfen",IF(AND(H853="Umbuchung",OR(K853="",COUNTIFS($A$7:$A$1506,K853)&lt;&gt;1)),"Gegenbuchung fehlt",IF(AND(H853="Umbuchung",ROUND(SUMIFS($F$7:$F$1506,$A$7:$A$1506,K853)+F853,2)&lt;&gt;0),"Umbuchung abweichend",IF(OR(G853="",M853="",M853="offen",M853="teilbelegt",H853="Ungeklärt",H853="Bargeld"),"Beleg / Verwendung klären","vollständig erfasst")))))))))</x:f>
      </x:c>
    </x:row>
    <x:row r="854" ht="22" customHeight="1">
      <x:c r="A854" s="7"/>
      <x:c r="B854" s="8"/>
      <x:c r="C854" s="7"/>
      <x:c r="D854" s="7"/>
      <x:c r="E854" s="7"/>
      <x:c r="F854" s="20"/>
      <x:c r="G854" s="7"/>
      <x:c r="H854" s="7"/>
      <x:c r="I854" s="7"/>
      <x:c r="J854" s="7"/>
      <x:c r="K854" s="7"/>
      <x:c r="L854" s="7"/>
      <x:c r="M854" s="7"/>
      <x:c r="N854" s="7"/>
      <x:c r="O854" s="2" t="str">
        <x:f>IF(A854="","",IF(COUNTIFS($A$7:$A$1506,A854)&gt;1,"Buchung-ID doppelt",IF(OR(NOT(ISNUMBER(B854)),C854="",NOT(ISNUMBER(F854)),H854="",L854=""),"Pflichtangaben fehlen",IF(COUNTIFS('Konten'!$A$7:$A$26,C854)&lt;&gt;1,"Konto nicht eindeutig",IF(J854&lt;&gt;"Ja","Zuordnung bestätigen",IF(OR(AND(H854="Einnahme",F854&lt;0),AND(H854="Ausgabe",F854&gt;0)),"Vorzeichen prüfen",IF(AND(H854="Umbuchung",OR(K854="",COUNTIFS($A$7:$A$1506,K854)&lt;&gt;1)),"Gegenbuchung fehlt",IF(AND(H854="Umbuchung",ROUND(SUMIFS($F$7:$F$1506,$A$7:$A$1506,K854)+F854,2)&lt;&gt;0),"Umbuchung abweichend",IF(OR(G854="",M854="",M854="offen",M854="teilbelegt",H854="Ungeklärt",H854="Bargeld"),"Beleg / Verwendung klären","vollständig erfasst")))))))))</x:f>
      </x:c>
    </x:row>
    <x:row r="855" ht="22" customHeight="1">
      <x:c r="A855" s="7"/>
      <x:c r="B855" s="8"/>
      <x:c r="C855" s="7"/>
      <x:c r="D855" s="7"/>
      <x:c r="E855" s="7"/>
      <x:c r="F855" s="20"/>
      <x:c r="G855" s="7"/>
      <x:c r="H855" s="7"/>
      <x:c r="I855" s="7"/>
      <x:c r="J855" s="7"/>
      <x:c r="K855" s="7"/>
      <x:c r="L855" s="7"/>
      <x:c r="M855" s="7"/>
      <x:c r="N855" s="7"/>
      <x:c r="O855" s="2" t="str">
        <x:f>IF(A855="","",IF(COUNTIFS($A$7:$A$1506,A855)&gt;1,"Buchung-ID doppelt",IF(OR(NOT(ISNUMBER(B855)),C855="",NOT(ISNUMBER(F855)),H855="",L855=""),"Pflichtangaben fehlen",IF(COUNTIFS('Konten'!$A$7:$A$26,C855)&lt;&gt;1,"Konto nicht eindeutig",IF(J855&lt;&gt;"Ja","Zuordnung bestätigen",IF(OR(AND(H855="Einnahme",F855&lt;0),AND(H855="Ausgabe",F855&gt;0)),"Vorzeichen prüfen",IF(AND(H855="Umbuchung",OR(K855="",COUNTIFS($A$7:$A$1506,K855)&lt;&gt;1)),"Gegenbuchung fehlt",IF(AND(H855="Umbuchung",ROUND(SUMIFS($F$7:$F$1506,$A$7:$A$1506,K855)+F855,2)&lt;&gt;0),"Umbuchung abweichend",IF(OR(G855="",M855="",M855="offen",M855="teilbelegt",H855="Ungeklärt",H855="Bargeld"),"Beleg / Verwendung klären","vollständig erfasst")))))))))</x:f>
      </x:c>
    </x:row>
    <x:row r="856" ht="22" customHeight="1">
      <x:c r="A856" s="7"/>
      <x:c r="B856" s="8"/>
      <x:c r="C856" s="7"/>
      <x:c r="D856" s="7"/>
      <x:c r="E856" s="7"/>
      <x:c r="F856" s="20"/>
      <x:c r="G856" s="7"/>
      <x:c r="H856" s="7"/>
      <x:c r="I856" s="7"/>
      <x:c r="J856" s="7"/>
      <x:c r="K856" s="7"/>
      <x:c r="L856" s="7"/>
      <x:c r="M856" s="7"/>
      <x:c r="N856" s="7"/>
      <x:c r="O856" s="2" t="str">
        <x:f>IF(A856="","",IF(COUNTIFS($A$7:$A$1506,A856)&gt;1,"Buchung-ID doppelt",IF(OR(NOT(ISNUMBER(B856)),C856="",NOT(ISNUMBER(F856)),H856="",L856=""),"Pflichtangaben fehlen",IF(COUNTIFS('Konten'!$A$7:$A$26,C856)&lt;&gt;1,"Konto nicht eindeutig",IF(J856&lt;&gt;"Ja","Zuordnung bestätigen",IF(OR(AND(H856="Einnahme",F856&lt;0),AND(H856="Ausgabe",F856&gt;0)),"Vorzeichen prüfen",IF(AND(H856="Umbuchung",OR(K856="",COUNTIFS($A$7:$A$1506,K856)&lt;&gt;1)),"Gegenbuchung fehlt",IF(AND(H856="Umbuchung",ROUND(SUMIFS($F$7:$F$1506,$A$7:$A$1506,K856)+F856,2)&lt;&gt;0),"Umbuchung abweichend",IF(OR(G856="",M856="",M856="offen",M856="teilbelegt",H856="Ungeklärt",H856="Bargeld"),"Beleg / Verwendung klären","vollständig erfasst")))))))))</x:f>
      </x:c>
    </x:row>
    <x:row r="857" ht="22" customHeight="1">
      <x:c r="A857" s="7"/>
      <x:c r="B857" s="8"/>
      <x:c r="C857" s="7"/>
      <x:c r="D857" s="7"/>
      <x:c r="E857" s="7"/>
      <x:c r="F857" s="20"/>
      <x:c r="G857" s="7"/>
      <x:c r="H857" s="7"/>
      <x:c r="I857" s="7"/>
      <x:c r="J857" s="7"/>
      <x:c r="K857" s="7"/>
      <x:c r="L857" s="7"/>
      <x:c r="M857" s="7"/>
      <x:c r="N857" s="7"/>
      <x:c r="O857" s="2" t="str">
        <x:f>IF(A857="","",IF(COUNTIFS($A$7:$A$1506,A857)&gt;1,"Buchung-ID doppelt",IF(OR(NOT(ISNUMBER(B857)),C857="",NOT(ISNUMBER(F857)),H857="",L857=""),"Pflichtangaben fehlen",IF(COUNTIFS('Konten'!$A$7:$A$26,C857)&lt;&gt;1,"Konto nicht eindeutig",IF(J857&lt;&gt;"Ja","Zuordnung bestätigen",IF(OR(AND(H857="Einnahme",F857&lt;0),AND(H857="Ausgabe",F857&gt;0)),"Vorzeichen prüfen",IF(AND(H857="Umbuchung",OR(K857="",COUNTIFS($A$7:$A$1506,K857)&lt;&gt;1)),"Gegenbuchung fehlt",IF(AND(H857="Umbuchung",ROUND(SUMIFS($F$7:$F$1506,$A$7:$A$1506,K857)+F857,2)&lt;&gt;0),"Umbuchung abweichend",IF(OR(G857="",M857="",M857="offen",M857="teilbelegt",H857="Ungeklärt",H857="Bargeld"),"Beleg / Verwendung klären","vollständig erfasst")))))))))</x:f>
      </x:c>
    </x:row>
    <x:row r="858" ht="22" customHeight="1">
      <x:c r="A858" s="7"/>
      <x:c r="B858" s="8"/>
      <x:c r="C858" s="7"/>
      <x:c r="D858" s="7"/>
      <x:c r="E858" s="7"/>
      <x:c r="F858" s="20"/>
      <x:c r="G858" s="7"/>
      <x:c r="H858" s="7"/>
      <x:c r="I858" s="7"/>
      <x:c r="J858" s="7"/>
      <x:c r="K858" s="7"/>
      <x:c r="L858" s="7"/>
      <x:c r="M858" s="7"/>
      <x:c r="N858" s="7"/>
      <x:c r="O858" s="2" t="str">
        <x:f>IF(A858="","",IF(COUNTIFS($A$7:$A$1506,A858)&gt;1,"Buchung-ID doppelt",IF(OR(NOT(ISNUMBER(B858)),C858="",NOT(ISNUMBER(F858)),H858="",L858=""),"Pflichtangaben fehlen",IF(COUNTIFS('Konten'!$A$7:$A$26,C858)&lt;&gt;1,"Konto nicht eindeutig",IF(J858&lt;&gt;"Ja","Zuordnung bestätigen",IF(OR(AND(H858="Einnahme",F858&lt;0),AND(H858="Ausgabe",F858&gt;0)),"Vorzeichen prüfen",IF(AND(H858="Umbuchung",OR(K858="",COUNTIFS($A$7:$A$1506,K858)&lt;&gt;1)),"Gegenbuchung fehlt",IF(AND(H858="Umbuchung",ROUND(SUMIFS($F$7:$F$1506,$A$7:$A$1506,K858)+F858,2)&lt;&gt;0),"Umbuchung abweichend",IF(OR(G858="",M858="",M858="offen",M858="teilbelegt",H858="Ungeklärt",H858="Bargeld"),"Beleg / Verwendung klären","vollständig erfasst")))))))))</x:f>
      </x:c>
    </x:row>
    <x:row r="859" ht="22" customHeight="1">
      <x:c r="A859" s="7"/>
      <x:c r="B859" s="8"/>
      <x:c r="C859" s="7"/>
      <x:c r="D859" s="7"/>
      <x:c r="E859" s="7"/>
      <x:c r="F859" s="20"/>
      <x:c r="G859" s="7"/>
      <x:c r="H859" s="7"/>
      <x:c r="I859" s="7"/>
      <x:c r="J859" s="7"/>
      <x:c r="K859" s="7"/>
      <x:c r="L859" s="7"/>
      <x:c r="M859" s="7"/>
      <x:c r="N859" s="7"/>
      <x:c r="O859" s="2" t="str">
        <x:f>IF(A859="","",IF(COUNTIFS($A$7:$A$1506,A859)&gt;1,"Buchung-ID doppelt",IF(OR(NOT(ISNUMBER(B859)),C859="",NOT(ISNUMBER(F859)),H859="",L859=""),"Pflichtangaben fehlen",IF(COUNTIFS('Konten'!$A$7:$A$26,C859)&lt;&gt;1,"Konto nicht eindeutig",IF(J859&lt;&gt;"Ja","Zuordnung bestätigen",IF(OR(AND(H859="Einnahme",F859&lt;0),AND(H859="Ausgabe",F859&gt;0)),"Vorzeichen prüfen",IF(AND(H859="Umbuchung",OR(K859="",COUNTIFS($A$7:$A$1506,K859)&lt;&gt;1)),"Gegenbuchung fehlt",IF(AND(H859="Umbuchung",ROUND(SUMIFS($F$7:$F$1506,$A$7:$A$1506,K859)+F859,2)&lt;&gt;0),"Umbuchung abweichend",IF(OR(G859="",M859="",M859="offen",M859="teilbelegt",H859="Ungeklärt",H859="Bargeld"),"Beleg / Verwendung klären","vollständig erfasst")))))))))</x:f>
      </x:c>
    </x:row>
    <x:row r="860" ht="22" customHeight="1">
      <x:c r="A860" s="7"/>
      <x:c r="B860" s="8"/>
      <x:c r="C860" s="7"/>
      <x:c r="D860" s="7"/>
      <x:c r="E860" s="7"/>
      <x:c r="F860" s="20"/>
      <x:c r="G860" s="7"/>
      <x:c r="H860" s="7"/>
      <x:c r="I860" s="7"/>
      <x:c r="J860" s="7"/>
      <x:c r="K860" s="7"/>
      <x:c r="L860" s="7"/>
      <x:c r="M860" s="7"/>
      <x:c r="N860" s="7"/>
      <x:c r="O860" s="2" t="str">
        <x:f>IF(A860="","",IF(COUNTIFS($A$7:$A$1506,A860)&gt;1,"Buchung-ID doppelt",IF(OR(NOT(ISNUMBER(B860)),C860="",NOT(ISNUMBER(F860)),H860="",L860=""),"Pflichtangaben fehlen",IF(COUNTIFS('Konten'!$A$7:$A$26,C860)&lt;&gt;1,"Konto nicht eindeutig",IF(J860&lt;&gt;"Ja","Zuordnung bestätigen",IF(OR(AND(H860="Einnahme",F860&lt;0),AND(H860="Ausgabe",F860&gt;0)),"Vorzeichen prüfen",IF(AND(H860="Umbuchung",OR(K860="",COUNTIFS($A$7:$A$1506,K860)&lt;&gt;1)),"Gegenbuchung fehlt",IF(AND(H860="Umbuchung",ROUND(SUMIFS($F$7:$F$1506,$A$7:$A$1506,K860)+F860,2)&lt;&gt;0),"Umbuchung abweichend",IF(OR(G860="",M860="",M860="offen",M860="teilbelegt",H860="Ungeklärt",H860="Bargeld"),"Beleg / Verwendung klären","vollständig erfasst")))))))))</x:f>
      </x:c>
    </x:row>
    <x:row r="861" ht="22" customHeight="1">
      <x:c r="A861" s="7"/>
      <x:c r="B861" s="8"/>
      <x:c r="C861" s="7"/>
      <x:c r="D861" s="7"/>
      <x:c r="E861" s="7"/>
      <x:c r="F861" s="20"/>
      <x:c r="G861" s="7"/>
      <x:c r="H861" s="7"/>
      <x:c r="I861" s="7"/>
      <x:c r="J861" s="7"/>
      <x:c r="K861" s="7"/>
      <x:c r="L861" s="7"/>
      <x:c r="M861" s="7"/>
      <x:c r="N861" s="7"/>
      <x:c r="O861" s="2" t="str">
        <x:f>IF(A861="","",IF(COUNTIFS($A$7:$A$1506,A861)&gt;1,"Buchung-ID doppelt",IF(OR(NOT(ISNUMBER(B861)),C861="",NOT(ISNUMBER(F861)),H861="",L861=""),"Pflichtangaben fehlen",IF(COUNTIFS('Konten'!$A$7:$A$26,C861)&lt;&gt;1,"Konto nicht eindeutig",IF(J861&lt;&gt;"Ja","Zuordnung bestätigen",IF(OR(AND(H861="Einnahme",F861&lt;0),AND(H861="Ausgabe",F861&gt;0)),"Vorzeichen prüfen",IF(AND(H861="Umbuchung",OR(K861="",COUNTIFS($A$7:$A$1506,K861)&lt;&gt;1)),"Gegenbuchung fehlt",IF(AND(H861="Umbuchung",ROUND(SUMIFS($F$7:$F$1506,$A$7:$A$1506,K861)+F861,2)&lt;&gt;0),"Umbuchung abweichend",IF(OR(G861="",M861="",M861="offen",M861="teilbelegt",H861="Ungeklärt",H861="Bargeld"),"Beleg / Verwendung klären","vollständig erfasst")))))))))</x:f>
      </x:c>
    </x:row>
    <x:row r="862" ht="22" customHeight="1">
      <x:c r="A862" s="7"/>
      <x:c r="B862" s="8"/>
      <x:c r="C862" s="7"/>
      <x:c r="D862" s="7"/>
      <x:c r="E862" s="7"/>
      <x:c r="F862" s="20"/>
      <x:c r="G862" s="7"/>
      <x:c r="H862" s="7"/>
      <x:c r="I862" s="7"/>
      <x:c r="J862" s="7"/>
      <x:c r="K862" s="7"/>
      <x:c r="L862" s="7"/>
      <x:c r="M862" s="7"/>
      <x:c r="N862" s="7"/>
      <x:c r="O862" s="2" t="str">
        <x:f>IF(A862="","",IF(COUNTIFS($A$7:$A$1506,A862)&gt;1,"Buchung-ID doppelt",IF(OR(NOT(ISNUMBER(B862)),C862="",NOT(ISNUMBER(F862)),H862="",L862=""),"Pflichtangaben fehlen",IF(COUNTIFS('Konten'!$A$7:$A$26,C862)&lt;&gt;1,"Konto nicht eindeutig",IF(J862&lt;&gt;"Ja","Zuordnung bestätigen",IF(OR(AND(H862="Einnahme",F862&lt;0),AND(H862="Ausgabe",F862&gt;0)),"Vorzeichen prüfen",IF(AND(H862="Umbuchung",OR(K862="",COUNTIFS($A$7:$A$1506,K862)&lt;&gt;1)),"Gegenbuchung fehlt",IF(AND(H862="Umbuchung",ROUND(SUMIFS($F$7:$F$1506,$A$7:$A$1506,K862)+F862,2)&lt;&gt;0),"Umbuchung abweichend",IF(OR(G862="",M862="",M862="offen",M862="teilbelegt",H862="Ungeklärt",H862="Bargeld"),"Beleg / Verwendung klären","vollständig erfasst")))))))))</x:f>
      </x:c>
    </x:row>
    <x:row r="863" ht="22" customHeight="1">
      <x:c r="A863" s="7"/>
      <x:c r="B863" s="8"/>
      <x:c r="C863" s="7"/>
      <x:c r="D863" s="7"/>
      <x:c r="E863" s="7"/>
      <x:c r="F863" s="20"/>
      <x:c r="G863" s="7"/>
      <x:c r="H863" s="7"/>
      <x:c r="I863" s="7"/>
      <x:c r="J863" s="7"/>
      <x:c r="K863" s="7"/>
      <x:c r="L863" s="7"/>
      <x:c r="M863" s="7"/>
      <x:c r="N863" s="7"/>
      <x:c r="O863" s="2" t="str">
        <x:f>IF(A863="","",IF(COUNTIFS($A$7:$A$1506,A863)&gt;1,"Buchung-ID doppelt",IF(OR(NOT(ISNUMBER(B863)),C863="",NOT(ISNUMBER(F863)),H863="",L863=""),"Pflichtangaben fehlen",IF(COUNTIFS('Konten'!$A$7:$A$26,C863)&lt;&gt;1,"Konto nicht eindeutig",IF(J863&lt;&gt;"Ja","Zuordnung bestätigen",IF(OR(AND(H863="Einnahme",F863&lt;0),AND(H863="Ausgabe",F863&gt;0)),"Vorzeichen prüfen",IF(AND(H863="Umbuchung",OR(K863="",COUNTIFS($A$7:$A$1506,K863)&lt;&gt;1)),"Gegenbuchung fehlt",IF(AND(H863="Umbuchung",ROUND(SUMIFS($F$7:$F$1506,$A$7:$A$1506,K863)+F863,2)&lt;&gt;0),"Umbuchung abweichend",IF(OR(G863="",M863="",M863="offen",M863="teilbelegt",H863="Ungeklärt",H863="Bargeld"),"Beleg / Verwendung klären","vollständig erfasst")))))))))</x:f>
      </x:c>
    </x:row>
    <x:row r="864" ht="22" customHeight="1">
      <x:c r="A864" s="7"/>
      <x:c r="B864" s="8"/>
      <x:c r="C864" s="7"/>
      <x:c r="D864" s="7"/>
      <x:c r="E864" s="7"/>
      <x:c r="F864" s="20"/>
      <x:c r="G864" s="7"/>
      <x:c r="H864" s="7"/>
      <x:c r="I864" s="7"/>
      <x:c r="J864" s="7"/>
      <x:c r="K864" s="7"/>
      <x:c r="L864" s="7"/>
      <x:c r="M864" s="7"/>
      <x:c r="N864" s="7"/>
      <x:c r="O864" s="2" t="str">
        <x:f>IF(A864="","",IF(COUNTIFS($A$7:$A$1506,A864)&gt;1,"Buchung-ID doppelt",IF(OR(NOT(ISNUMBER(B864)),C864="",NOT(ISNUMBER(F864)),H864="",L864=""),"Pflichtangaben fehlen",IF(COUNTIFS('Konten'!$A$7:$A$26,C864)&lt;&gt;1,"Konto nicht eindeutig",IF(J864&lt;&gt;"Ja","Zuordnung bestätigen",IF(OR(AND(H864="Einnahme",F864&lt;0),AND(H864="Ausgabe",F864&gt;0)),"Vorzeichen prüfen",IF(AND(H864="Umbuchung",OR(K864="",COUNTIFS($A$7:$A$1506,K864)&lt;&gt;1)),"Gegenbuchung fehlt",IF(AND(H864="Umbuchung",ROUND(SUMIFS($F$7:$F$1506,$A$7:$A$1506,K864)+F864,2)&lt;&gt;0),"Umbuchung abweichend",IF(OR(G864="",M864="",M864="offen",M864="teilbelegt",H864="Ungeklärt",H864="Bargeld"),"Beleg / Verwendung klären","vollständig erfasst")))))))))</x:f>
      </x:c>
    </x:row>
    <x:row r="865" ht="22" customHeight="1">
      <x:c r="A865" s="7"/>
      <x:c r="B865" s="8"/>
      <x:c r="C865" s="7"/>
      <x:c r="D865" s="7"/>
      <x:c r="E865" s="7"/>
      <x:c r="F865" s="20"/>
      <x:c r="G865" s="7"/>
      <x:c r="H865" s="7"/>
      <x:c r="I865" s="7"/>
      <x:c r="J865" s="7"/>
      <x:c r="K865" s="7"/>
      <x:c r="L865" s="7"/>
      <x:c r="M865" s="7"/>
      <x:c r="N865" s="7"/>
      <x:c r="O865" s="2" t="str">
        <x:f>IF(A865="","",IF(COUNTIFS($A$7:$A$1506,A865)&gt;1,"Buchung-ID doppelt",IF(OR(NOT(ISNUMBER(B865)),C865="",NOT(ISNUMBER(F865)),H865="",L865=""),"Pflichtangaben fehlen",IF(COUNTIFS('Konten'!$A$7:$A$26,C865)&lt;&gt;1,"Konto nicht eindeutig",IF(J865&lt;&gt;"Ja","Zuordnung bestätigen",IF(OR(AND(H865="Einnahme",F865&lt;0),AND(H865="Ausgabe",F865&gt;0)),"Vorzeichen prüfen",IF(AND(H865="Umbuchung",OR(K865="",COUNTIFS($A$7:$A$1506,K865)&lt;&gt;1)),"Gegenbuchung fehlt",IF(AND(H865="Umbuchung",ROUND(SUMIFS($F$7:$F$1506,$A$7:$A$1506,K865)+F865,2)&lt;&gt;0),"Umbuchung abweichend",IF(OR(G865="",M865="",M865="offen",M865="teilbelegt",H865="Ungeklärt",H865="Bargeld"),"Beleg / Verwendung klären","vollständig erfasst")))))))))</x:f>
      </x:c>
    </x:row>
    <x:row r="866" ht="22" customHeight="1">
      <x:c r="A866" s="7"/>
      <x:c r="B866" s="8"/>
      <x:c r="C866" s="7"/>
      <x:c r="D866" s="7"/>
      <x:c r="E866" s="7"/>
      <x:c r="F866" s="20"/>
      <x:c r="G866" s="7"/>
      <x:c r="H866" s="7"/>
      <x:c r="I866" s="7"/>
      <x:c r="J866" s="7"/>
      <x:c r="K866" s="7"/>
      <x:c r="L866" s="7"/>
      <x:c r="M866" s="7"/>
      <x:c r="N866" s="7"/>
      <x:c r="O866" s="2" t="str">
        <x:f>IF(A866="","",IF(COUNTIFS($A$7:$A$1506,A866)&gt;1,"Buchung-ID doppelt",IF(OR(NOT(ISNUMBER(B866)),C866="",NOT(ISNUMBER(F866)),H866="",L866=""),"Pflichtangaben fehlen",IF(COUNTIFS('Konten'!$A$7:$A$26,C866)&lt;&gt;1,"Konto nicht eindeutig",IF(J866&lt;&gt;"Ja","Zuordnung bestätigen",IF(OR(AND(H866="Einnahme",F866&lt;0),AND(H866="Ausgabe",F866&gt;0)),"Vorzeichen prüfen",IF(AND(H866="Umbuchung",OR(K866="",COUNTIFS($A$7:$A$1506,K866)&lt;&gt;1)),"Gegenbuchung fehlt",IF(AND(H866="Umbuchung",ROUND(SUMIFS($F$7:$F$1506,$A$7:$A$1506,K866)+F866,2)&lt;&gt;0),"Umbuchung abweichend",IF(OR(G866="",M866="",M866="offen",M866="teilbelegt",H866="Ungeklärt",H866="Bargeld"),"Beleg / Verwendung klären","vollständig erfasst")))))))))</x:f>
      </x:c>
    </x:row>
    <x:row r="867" ht="22" customHeight="1">
      <x:c r="A867" s="7"/>
      <x:c r="B867" s="8"/>
      <x:c r="C867" s="7"/>
      <x:c r="D867" s="7"/>
      <x:c r="E867" s="7"/>
      <x:c r="F867" s="20"/>
      <x:c r="G867" s="7"/>
      <x:c r="H867" s="7"/>
      <x:c r="I867" s="7"/>
      <x:c r="J867" s="7"/>
      <x:c r="K867" s="7"/>
      <x:c r="L867" s="7"/>
      <x:c r="M867" s="7"/>
      <x:c r="N867" s="7"/>
      <x:c r="O867" s="2" t="str">
        <x:f>IF(A867="","",IF(COUNTIFS($A$7:$A$1506,A867)&gt;1,"Buchung-ID doppelt",IF(OR(NOT(ISNUMBER(B867)),C867="",NOT(ISNUMBER(F867)),H867="",L867=""),"Pflichtangaben fehlen",IF(COUNTIFS('Konten'!$A$7:$A$26,C867)&lt;&gt;1,"Konto nicht eindeutig",IF(J867&lt;&gt;"Ja","Zuordnung bestätigen",IF(OR(AND(H867="Einnahme",F867&lt;0),AND(H867="Ausgabe",F867&gt;0)),"Vorzeichen prüfen",IF(AND(H867="Umbuchung",OR(K867="",COUNTIFS($A$7:$A$1506,K867)&lt;&gt;1)),"Gegenbuchung fehlt",IF(AND(H867="Umbuchung",ROUND(SUMIFS($F$7:$F$1506,$A$7:$A$1506,K867)+F867,2)&lt;&gt;0),"Umbuchung abweichend",IF(OR(G867="",M867="",M867="offen",M867="teilbelegt",H867="Ungeklärt",H867="Bargeld"),"Beleg / Verwendung klären","vollständig erfasst")))))))))</x:f>
      </x:c>
    </x:row>
    <x:row r="868" ht="22" customHeight="1">
      <x:c r="A868" s="7"/>
      <x:c r="B868" s="8"/>
      <x:c r="C868" s="7"/>
      <x:c r="D868" s="7"/>
      <x:c r="E868" s="7"/>
      <x:c r="F868" s="20"/>
      <x:c r="G868" s="7"/>
      <x:c r="H868" s="7"/>
      <x:c r="I868" s="7"/>
      <x:c r="J868" s="7"/>
      <x:c r="K868" s="7"/>
      <x:c r="L868" s="7"/>
      <x:c r="M868" s="7"/>
      <x:c r="N868" s="7"/>
      <x:c r="O868" s="2" t="str">
        <x:f>IF(A868="","",IF(COUNTIFS($A$7:$A$1506,A868)&gt;1,"Buchung-ID doppelt",IF(OR(NOT(ISNUMBER(B868)),C868="",NOT(ISNUMBER(F868)),H868="",L868=""),"Pflichtangaben fehlen",IF(COUNTIFS('Konten'!$A$7:$A$26,C868)&lt;&gt;1,"Konto nicht eindeutig",IF(J868&lt;&gt;"Ja","Zuordnung bestätigen",IF(OR(AND(H868="Einnahme",F868&lt;0),AND(H868="Ausgabe",F868&gt;0)),"Vorzeichen prüfen",IF(AND(H868="Umbuchung",OR(K868="",COUNTIFS($A$7:$A$1506,K868)&lt;&gt;1)),"Gegenbuchung fehlt",IF(AND(H868="Umbuchung",ROUND(SUMIFS($F$7:$F$1506,$A$7:$A$1506,K868)+F868,2)&lt;&gt;0),"Umbuchung abweichend",IF(OR(G868="",M868="",M868="offen",M868="teilbelegt",H868="Ungeklärt",H868="Bargeld"),"Beleg / Verwendung klären","vollständig erfasst")))))))))</x:f>
      </x:c>
    </x:row>
    <x:row r="869" ht="22" customHeight="1">
      <x:c r="A869" s="7"/>
      <x:c r="B869" s="8"/>
      <x:c r="C869" s="7"/>
      <x:c r="D869" s="7"/>
      <x:c r="E869" s="7"/>
      <x:c r="F869" s="20"/>
      <x:c r="G869" s="7"/>
      <x:c r="H869" s="7"/>
      <x:c r="I869" s="7"/>
      <x:c r="J869" s="7"/>
      <x:c r="K869" s="7"/>
      <x:c r="L869" s="7"/>
      <x:c r="M869" s="7"/>
      <x:c r="N869" s="7"/>
      <x:c r="O869" s="2" t="str">
        <x:f>IF(A869="","",IF(COUNTIFS($A$7:$A$1506,A869)&gt;1,"Buchung-ID doppelt",IF(OR(NOT(ISNUMBER(B869)),C869="",NOT(ISNUMBER(F869)),H869="",L869=""),"Pflichtangaben fehlen",IF(COUNTIFS('Konten'!$A$7:$A$26,C869)&lt;&gt;1,"Konto nicht eindeutig",IF(J869&lt;&gt;"Ja","Zuordnung bestätigen",IF(OR(AND(H869="Einnahme",F869&lt;0),AND(H869="Ausgabe",F869&gt;0)),"Vorzeichen prüfen",IF(AND(H869="Umbuchung",OR(K869="",COUNTIFS($A$7:$A$1506,K869)&lt;&gt;1)),"Gegenbuchung fehlt",IF(AND(H869="Umbuchung",ROUND(SUMIFS($F$7:$F$1506,$A$7:$A$1506,K869)+F869,2)&lt;&gt;0),"Umbuchung abweichend",IF(OR(G869="",M869="",M869="offen",M869="teilbelegt",H869="Ungeklärt",H869="Bargeld"),"Beleg / Verwendung klären","vollständig erfasst")))))))))</x:f>
      </x:c>
    </x:row>
    <x:row r="870" ht="22" customHeight="1">
      <x:c r="A870" s="7"/>
      <x:c r="B870" s="8"/>
      <x:c r="C870" s="7"/>
      <x:c r="D870" s="7"/>
      <x:c r="E870" s="7"/>
      <x:c r="F870" s="20"/>
      <x:c r="G870" s="7"/>
      <x:c r="H870" s="7"/>
      <x:c r="I870" s="7"/>
      <x:c r="J870" s="7"/>
      <x:c r="K870" s="7"/>
      <x:c r="L870" s="7"/>
      <x:c r="M870" s="7"/>
      <x:c r="N870" s="7"/>
      <x:c r="O870" s="2" t="str">
        <x:f>IF(A870="","",IF(COUNTIFS($A$7:$A$1506,A870)&gt;1,"Buchung-ID doppelt",IF(OR(NOT(ISNUMBER(B870)),C870="",NOT(ISNUMBER(F870)),H870="",L870=""),"Pflichtangaben fehlen",IF(COUNTIFS('Konten'!$A$7:$A$26,C870)&lt;&gt;1,"Konto nicht eindeutig",IF(J870&lt;&gt;"Ja","Zuordnung bestätigen",IF(OR(AND(H870="Einnahme",F870&lt;0),AND(H870="Ausgabe",F870&gt;0)),"Vorzeichen prüfen",IF(AND(H870="Umbuchung",OR(K870="",COUNTIFS($A$7:$A$1506,K870)&lt;&gt;1)),"Gegenbuchung fehlt",IF(AND(H870="Umbuchung",ROUND(SUMIFS($F$7:$F$1506,$A$7:$A$1506,K870)+F870,2)&lt;&gt;0),"Umbuchung abweichend",IF(OR(G870="",M870="",M870="offen",M870="teilbelegt",H870="Ungeklärt",H870="Bargeld"),"Beleg / Verwendung klären","vollständig erfasst")))))))))</x:f>
      </x:c>
    </x:row>
    <x:row r="871" ht="22" customHeight="1">
      <x:c r="A871" s="7"/>
      <x:c r="B871" s="8"/>
      <x:c r="C871" s="7"/>
      <x:c r="D871" s="7"/>
      <x:c r="E871" s="7"/>
      <x:c r="F871" s="20"/>
      <x:c r="G871" s="7"/>
      <x:c r="H871" s="7"/>
      <x:c r="I871" s="7"/>
      <x:c r="J871" s="7"/>
      <x:c r="K871" s="7"/>
      <x:c r="L871" s="7"/>
      <x:c r="M871" s="7"/>
      <x:c r="N871" s="7"/>
      <x:c r="O871" s="2" t="str">
        <x:f>IF(A871="","",IF(COUNTIFS($A$7:$A$1506,A871)&gt;1,"Buchung-ID doppelt",IF(OR(NOT(ISNUMBER(B871)),C871="",NOT(ISNUMBER(F871)),H871="",L871=""),"Pflichtangaben fehlen",IF(COUNTIFS('Konten'!$A$7:$A$26,C871)&lt;&gt;1,"Konto nicht eindeutig",IF(J871&lt;&gt;"Ja","Zuordnung bestätigen",IF(OR(AND(H871="Einnahme",F871&lt;0),AND(H871="Ausgabe",F871&gt;0)),"Vorzeichen prüfen",IF(AND(H871="Umbuchung",OR(K871="",COUNTIFS($A$7:$A$1506,K871)&lt;&gt;1)),"Gegenbuchung fehlt",IF(AND(H871="Umbuchung",ROUND(SUMIFS($F$7:$F$1506,$A$7:$A$1506,K871)+F871,2)&lt;&gt;0),"Umbuchung abweichend",IF(OR(G871="",M871="",M871="offen",M871="teilbelegt",H871="Ungeklärt",H871="Bargeld"),"Beleg / Verwendung klären","vollständig erfasst")))))))))</x:f>
      </x:c>
    </x:row>
    <x:row r="872" ht="22" customHeight="1">
      <x:c r="A872" s="7"/>
      <x:c r="B872" s="8"/>
      <x:c r="C872" s="7"/>
      <x:c r="D872" s="7"/>
      <x:c r="E872" s="7"/>
      <x:c r="F872" s="20"/>
      <x:c r="G872" s="7"/>
      <x:c r="H872" s="7"/>
      <x:c r="I872" s="7"/>
      <x:c r="J872" s="7"/>
      <x:c r="K872" s="7"/>
      <x:c r="L872" s="7"/>
      <x:c r="M872" s="7"/>
      <x:c r="N872" s="7"/>
      <x:c r="O872" s="2" t="str">
        <x:f>IF(A872="","",IF(COUNTIFS($A$7:$A$1506,A872)&gt;1,"Buchung-ID doppelt",IF(OR(NOT(ISNUMBER(B872)),C872="",NOT(ISNUMBER(F872)),H872="",L872=""),"Pflichtangaben fehlen",IF(COUNTIFS('Konten'!$A$7:$A$26,C872)&lt;&gt;1,"Konto nicht eindeutig",IF(J872&lt;&gt;"Ja","Zuordnung bestätigen",IF(OR(AND(H872="Einnahme",F872&lt;0),AND(H872="Ausgabe",F872&gt;0)),"Vorzeichen prüfen",IF(AND(H872="Umbuchung",OR(K872="",COUNTIFS($A$7:$A$1506,K872)&lt;&gt;1)),"Gegenbuchung fehlt",IF(AND(H872="Umbuchung",ROUND(SUMIFS($F$7:$F$1506,$A$7:$A$1506,K872)+F872,2)&lt;&gt;0),"Umbuchung abweichend",IF(OR(G872="",M872="",M872="offen",M872="teilbelegt",H872="Ungeklärt",H872="Bargeld"),"Beleg / Verwendung klären","vollständig erfasst")))))))))</x:f>
      </x:c>
    </x:row>
    <x:row r="873" ht="22" customHeight="1">
      <x:c r="A873" s="7"/>
      <x:c r="B873" s="8"/>
      <x:c r="C873" s="7"/>
      <x:c r="D873" s="7"/>
      <x:c r="E873" s="7"/>
      <x:c r="F873" s="20"/>
      <x:c r="G873" s="7"/>
      <x:c r="H873" s="7"/>
      <x:c r="I873" s="7"/>
      <x:c r="J873" s="7"/>
      <x:c r="K873" s="7"/>
      <x:c r="L873" s="7"/>
      <x:c r="M873" s="7"/>
      <x:c r="N873" s="7"/>
      <x:c r="O873" s="2" t="str">
        <x:f>IF(A873="","",IF(COUNTIFS($A$7:$A$1506,A873)&gt;1,"Buchung-ID doppelt",IF(OR(NOT(ISNUMBER(B873)),C873="",NOT(ISNUMBER(F873)),H873="",L873=""),"Pflichtangaben fehlen",IF(COUNTIFS('Konten'!$A$7:$A$26,C873)&lt;&gt;1,"Konto nicht eindeutig",IF(J873&lt;&gt;"Ja","Zuordnung bestätigen",IF(OR(AND(H873="Einnahme",F873&lt;0),AND(H873="Ausgabe",F873&gt;0)),"Vorzeichen prüfen",IF(AND(H873="Umbuchung",OR(K873="",COUNTIFS($A$7:$A$1506,K873)&lt;&gt;1)),"Gegenbuchung fehlt",IF(AND(H873="Umbuchung",ROUND(SUMIFS($F$7:$F$1506,$A$7:$A$1506,K873)+F873,2)&lt;&gt;0),"Umbuchung abweichend",IF(OR(G873="",M873="",M873="offen",M873="teilbelegt",H873="Ungeklärt",H873="Bargeld"),"Beleg / Verwendung klären","vollständig erfasst")))))))))</x:f>
      </x:c>
    </x:row>
    <x:row r="874" ht="22" customHeight="1">
      <x:c r="A874" s="7"/>
      <x:c r="B874" s="8"/>
      <x:c r="C874" s="7"/>
      <x:c r="D874" s="7"/>
      <x:c r="E874" s="7"/>
      <x:c r="F874" s="20"/>
      <x:c r="G874" s="7"/>
      <x:c r="H874" s="7"/>
      <x:c r="I874" s="7"/>
      <x:c r="J874" s="7"/>
      <x:c r="K874" s="7"/>
      <x:c r="L874" s="7"/>
      <x:c r="M874" s="7"/>
      <x:c r="N874" s="7"/>
      <x:c r="O874" s="2" t="str">
        <x:f>IF(A874="","",IF(COUNTIFS($A$7:$A$1506,A874)&gt;1,"Buchung-ID doppelt",IF(OR(NOT(ISNUMBER(B874)),C874="",NOT(ISNUMBER(F874)),H874="",L874=""),"Pflichtangaben fehlen",IF(COUNTIFS('Konten'!$A$7:$A$26,C874)&lt;&gt;1,"Konto nicht eindeutig",IF(J874&lt;&gt;"Ja","Zuordnung bestätigen",IF(OR(AND(H874="Einnahme",F874&lt;0),AND(H874="Ausgabe",F874&gt;0)),"Vorzeichen prüfen",IF(AND(H874="Umbuchung",OR(K874="",COUNTIFS($A$7:$A$1506,K874)&lt;&gt;1)),"Gegenbuchung fehlt",IF(AND(H874="Umbuchung",ROUND(SUMIFS($F$7:$F$1506,$A$7:$A$1506,K874)+F874,2)&lt;&gt;0),"Umbuchung abweichend",IF(OR(G874="",M874="",M874="offen",M874="teilbelegt",H874="Ungeklärt",H874="Bargeld"),"Beleg / Verwendung klären","vollständig erfasst")))))))))</x:f>
      </x:c>
    </x:row>
    <x:row r="875" ht="22" customHeight="1">
      <x:c r="A875" s="7"/>
      <x:c r="B875" s="8"/>
      <x:c r="C875" s="7"/>
      <x:c r="D875" s="7"/>
      <x:c r="E875" s="7"/>
      <x:c r="F875" s="20"/>
      <x:c r="G875" s="7"/>
      <x:c r="H875" s="7"/>
      <x:c r="I875" s="7"/>
      <x:c r="J875" s="7"/>
      <x:c r="K875" s="7"/>
      <x:c r="L875" s="7"/>
      <x:c r="M875" s="7"/>
      <x:c r="N875" s="7"/>
      <x:c r="O875" s="2" t="str">
        <x:f>IF(A875="","",IF(COUNTIFS($A$7:$A$1506,A875)&gt;1,"Buchung-ID doppelt",IF(OR(NOT(ISNUMBER(B875)),C875="",NOT(ISNUMBER(F875)),H875="",L875=""),"Pflichtangaben fehlen",IF(COUNTIFS('Konten'!$A$7:$A$26,C875)&lt;&gt;1,"Konto nicht eindeutig",IF(J875&lt;&gt;"Ja","Zuordnung bestätigen",IF(OR(AND(H875="Einnahme",F875&lt;0),AND(H875="Ausgabe",F875&gt;0)),"Vorzeichen prüfen",IF(AND(H875="Umbuchung",OR(K875="",COUNTIFS($A$7:$A$1506,K875)&lt;&gt;1)),"Gegenbuchung fehlt",IF(AND(H875="Umbuchung",ROUND(SUMIFS($F$7:$F$1506,$A$7:$A$1506,K875)+F875,2)&lt;&gt;0),"Umbuchung abweichend",IF(OR(G875="",M875="",M875="offen",M875="teilbelegt",H875="Ungeklärt",H875="Bargeld"),"Beleg / Verwendung klären","vollständig erfasst")))))))))</x:f>
      </x:c>
    </x:row>
    <x:row r="876" ht="22" customHeight="1">
      <x:c r="A876" s="7"/>
      <x:c r="B876" s="8"/>
      <x:c r="C876" s="7"/>
      <x:c r="D876" s="7"/>
      <x:c r="E876" s="7"/>
      <x:c r="F876" s="20"/>
      <x:c r="G876" s="7"/>
      <x:c r="H876" s="7"/>
      <x:c r="I876" s="7"/>
      <x:c r="J876" s="7"/>
      <x:c r="K876" s="7"/>
      <x:c r="L876" s="7"/>
      <x:c r="M876" s="7"/>
      <x:c r="N876" s="7"/>
      <x:c r="O876" s="2" t="str">
        <x:f>IF(A876="","",IF(COUNTIFS($A$7:$A$1506,A876)&gt;1,"Buchung-ID doppelt",IF(OR(NOT(ISNUMBER(B876)),C876="",NOT(ISNUMBER(F876)),H876="",L876=""),"Pflichtangaben fehlen",IF(COUNTIFS('Konten'!$A$7:$A$26,C876)&lt;&gt;1,"Konto nicht eindeutig",IF(J876&lt;&gt;"Ja","Zuordnung bestätigen",IF(OR(AND(H876="Einnahme",F876&lt;0),AND(H876="Ausgabe",F876&gt;0)),"Vorzeichen prüfen",IF(AND(H876="Umbuchung",OR(K876="",COUNTIFS($A$7:$A$1506,K876)&lt;&gt;1)),"Gegenbuchung fehlt",IF(AND(H876="Umbuchung",ROUND(SUMIFS($F$7:$F$1506,$A$7:$A$1506,K876)+F876,2)&lt;&gt;0),"Umbuchung abweichend",IF(OR(G876="",M876="",M876="offen",M876="teilbelegt",H876="Ungeklärt",H876="Bargeld"),"Beleg / Verwendung klären","vollständig erfasst")))))))))</x:f>
      </x:c>
    </x:row>
    <x:row r="877" ht="22" customHeight="1">
      <x:c r="A877" s="7"/>
      <x:c r="B877" s="8"/>
      <x:c r="C877" s="7"/>
      <x:c r="D877" s="7"/>
      <x:c r="E877" s="7"/>
      <x:c r="F877" s="20"/>
      <x:c r="G877" s="7"/>
      <x:c r="H877" s="7"/>
      <x:c r="I877" s="7"/>
      <x:c r="J877" s="7"/>
      <x:c r="K877" s="7"/>
      <x:c r="L877" s="7"/>
      <x:c r="M877" s="7"/>
      <x:c r="N877" s="7"/>
      <x:c r="O877" s="2" t="str">
        <x:f>IF(A877="","",IF(COUNTIFS($A$7:$A$1506,A877)&gt;1,"Buchung-ID doppelt",IF(OR(NOT(ISNUMBER(B877)),C877="",NOT(ISNUMBER(F877)),H877="",L877=""),"Pflichtangaben fehlen",IF(COUNTIFS('Konten'!$A$7:$A$26,C877)&lt;&gt;1,"Konto nicht eindeutig",IF(J877&lt;&gt;"Ja","Zuordnung bestätigen",IF(OR(AND(H877="Einnahme",F877&lt;0),AND(H877="Ausgabe",F877&gt;0)),"Vorzeichen prüfen",IF(AND(H877="Umbuchung",OR(K877="",COUNTIFS($A$7:$A$1506,K877)&lt;&gt;1)),"Gegenbuchung fehlt",IF(AND(H877="Umbuchung",ROUND(SUMIFS($F$7:$F$1506,$A$7:$A$1506,K877)+F877,2)&lt;&gt;0),"Umbuchung abweichend",IF(OR(G877="",M877="",M877="offen",M877="teilbelegt",H877="Ungeklärt",H877="Bargeld"),"Beleg / Verwendung klären","vollständig erfasst")))))))))</x:f>
      </x:c>
    </x:row>
    <x:row r="878" ht="22" customHeight="1">
      <x:c r="A878" s="7"/>
      <x:c r="B878" s="8"/>
      <x:c r="C878" s="7"/>
      <x:c r="D878" s="7"/>
      <x:c r="E878" s="7"/>
      <x:c r="F878" s="20"/>
      <x:c r="G878" s="7"/>
      <x:c r="H878" s="7"/>
      <x:c r="I878" s="7"/>
      <x:c r="J878" s="7"/>
      <x:c r="K878" s="7"/>
      <x:c r="L878" s="7"/>
      <x:c r="M878" s="7"/>
      <x:c r="N878" s="7"/>
      <x:c r="O878" s="2" t="str">
        <x:f>IF(A878="","",IF(COUNTIFS($A$7:$A$1506,A878)&gt;1,"Buchung-ID doppelt",IF(OR(NOT(ISNUMBER(B878)),C878="",NOT(ISNUMBER(F878)),H878="",L878=""),"Pflichtangaben fehlen",IF(COUNTIFS('Konten'!$A$7:$A$26,C878)&lt;&gt;1,"Konto nicht eindeutig",IF(J878&lt;&gt;"Ja","Zuordnung bestätigen",IF(OR(AND(H878="Einnahme",F878&lt;0),AND(H878="Ausgabe",F878&gt;0)),"Vorzeichen prüfen",IF(AND(H878="Umbuchung",OR(K878="",COUNTIFS($A$7:$A$1506,K878)&lt;&gt;1)),"Gegenbuchung fehlt",IF(AND(H878="Umbuchung",ROUND(SUMIFS($F$7:$F$1506,$A$7:$A$1506,K878)+F878,2)&lt;&gt;0),"Umbuchung abweichend",IF(OR(G878="",M878="",M878="offen",M878="teilbelegt",H878="Ungeklärt",H878="Bargeld"),"Beleg / Verwendung klären","vollständig erfasst")))))))))</x:f>
      </x:c>
    </x:row>
    <x:row r="879" ht="22" customHeight="1">
      <x:c r="A879" s="7"/>
      <x:c r="B879" s="8"/>
      <x:c r="C879" s="7"/>
      <x:c r="D879" s="7"/>
      <x:c r="E879" s="7"/>
      <x:c r="F879" s="20"/>
      <x:c r="G879" s="7"/>
      <x:c r="H879" s="7"/>
      <x:c r="I879" s="7"/>
      <x:c r="J879" s="7"/>
      <x:c r="K879" s="7"/>
      <x:c r="L879" s="7"/>
      <x:c r="M879" s="7"/>
      <x:c r="N879" s="7"/>
      <x:c r="O879" s="2" t="str">
        <x:f>IF(A879="","",IF(COUNTIFS($A$7:$A$1506,A879)&gt;1,"Buchung-ID doppelt",IF(OR(NOT(ISNUMBER(B879)),C879="",NOT(ISNUMBER(F879)),H879="",L879=""),"Pflichtangaben fehlen",IF(COUNTIFS('Konten'!$A$7:$A$26,C879)&lt;&gt;1,"Konto nicht eindeutig",IF(J879&lt;&gt;"Ja","Zuordnung bestätigen",IF(OR(AND(H879="Einnahme",F879&lt;0),AND(H879="Ausgabe",F879&gt;0)),"Vorzeichen prüfen",IF(AND(H879="Umbuchung",OR(K879="",COUNTIFS($A$7:$A$1506,K879)&lt;&gt;1)),"Gegenbuchung fehlt",IF(AND(H879="Umbuchung",ROUND(SUMIFS($F$7:$F$1506,$A$7:$A$1506,K879)+F879,2)&lt;&gt;0),"Umbuchung abweichend",IF(OR(G879="",M879="",M879="offen",M879="teilbelegt",H879="Ungeklärt",H879="Bargeld"),"Beleg / Verwendung klären","vollständig erfasst")))))))))</x:f>
      </x:c>
    </x:row>
    <x:row r="880" ht="22" customHeight="1">
      <x:c r="A880" s="7"/>
      <x:c r="B880" s="8"/>
      <x:c r="C880" s="7"/>
      <x:c r="D880" s="7"/>
      <x:c r="E880" s="7"/>
      <x:c r="F880" s="20"/>
      <x:c r="G880" s="7"/>
      <x:c r="H880" s="7"/>
      <x:c r="I880" s="7"/>
      <x:c r="J880" s="7"/>
      <x:c r="K880" s="7"/>
      <x:c r="L880" s="7"/>
      <x:c r="M880" s="7"/>
      <x:c r="N880" s="7"/>
      <x:c r="O880" s="2" t="str">
        <x:f>IF(A880="","",IF(COUNTIFS($A$7:$A$1506,A880)&gt;1,"Buchung-ID doppelt",IF(OR(NOT(ISNUMBER(B880)),C880="",NOT(ISNUMBER(F880)),H880="",L880=""),"Pflichtangaben fehlen",IF(COUNTIFS('Konten'!$A$7:$A$26,C880)&lt;&gt;1,"Konto nicht eindeutig",IF(J880&lt;&gt;"Ja","Zuordnung bestätigen",IF(OR(AND(H880="Einnahme",F880&lt;0),AND(H880="Ausgabe",F880&gt;0)),"Vorzeichen prüfen",IF(AND(H880="Umbuchung",OR(K880="",COUNTIFS($A$7:$A$1506,K880)&lt;&gt;1)),"Gegenbuchung fehlt",IF(AND(H880="Umbuchung",ROUND(SUMIFS($F$7:$F$1506,$A$7:$A$1506,K880)+F880,2)&lt;&gt;0),"Umbuchung abweichend",IF(OR(G880="",M880="",M880="offen",M880="teilbelegt",H880="Ungeklärt",H880="Bargeld"),"Beleg / Verwendung klären","vollständig erfasst")))))))))</x:f>
      </x:c>
    </x:row>
    <x:row r="881" ht="22" customHeight="1">
      <x:c r="A881" s="7"/>
      <x:c r="B881" s="8"/>
      <x:c r="C881" s="7"/>
      <x:c r="D881" s="7"/>
      <x:c r="E881" s="7"/>
      <x:c r="F881" s="20"/>
      <x:c r="G881" s="7"/>
      <x:c r="H881" s="7"/>
      <x:c r="I881" s="7"/>
      <x:c r="J881" s="7"/>
      <x:c r="K881" s="7"/>
      <x:c r="L881" s="7"/>
      <x:c r="M881" s="7"/>
      <x:c r="N881" s="7"/>
      <x:c r="O881" s="2" t="str">
        <x:f>IF(A881="","",IF(COUNTIFS($A$7:$A$1506,A881)&gt;1,"Buchung-ID doppelt",IF(OR(NOT(ISNUMBER(B881)),C881="",NOT(ISNUMBER(F881)),H881="",L881=""),"Pflichtangaben fehlen",IF(COUNTIFS('Konten'!$A$7:$A$26,C881)&lt;&gt;1,"Konto nicht eindeutig",IF(J881&lt;&gt;"Ja","Zuordnung bestätigen",IF(OR(AND(H881="Einnahme",F881&lt;0),AND(H881="Ausgabe",F881&gt;0)),"Vorzeichen prüfen",IF(AND(H881="Umbuchung",OR(K881="",COUNTIFS($A$7:$A$1506,K881)&lt;&gt;1)),"Gegenbuchung fehlt",IF(AND(H881="Umbuchung",ROUND(SUMIFS($F$7:$F$1506,$A$7:$A$1506,K881)+F881,2)&lt;&gt;0),"Umbuchung abweichend",IF(OR(G881="",M881="",M881="offen",M881="teilbelegt",H881="Ungeklärt",H881="Bargeld"),"Beleg / Verwendung klären","vollständig erfasst")))))))))</x:f>
      </x:c>
    </x:row>
    <x:row r="882" ht="22" customHeight="1">
      <x:c r="A882" s="7"/>
      <x:c r="B882" s="8"/>
      <x:c r="C882" s="7"/>
      <x:c r="D882" s="7"/>
      <x:c r="E882" s="7"/>
      <x:c r="F882" s="20"/>
      <x:c r="G882" s="7"/>
      <x:c r="H882" s="7"/>
      <x:c r="I882" s="7"/>
      <x:c r="J882" s="7"/>
      <x:c r="K882" s="7"/>
      <x:c r="L882" s="7"/>
      <x:c r="M882" s="7"/>
      <x:c r="N882" s="7"/>
      <x:c r="O882" s="2" t="str">
        <x:f>IF(A882="","",IF(COUNTIFS($A$7:$A$1506,A882)&gt;1,"Buchung-ID doppelt",IF(OR(NOT(ISNUMBER(B882)),C882="",NOT(ISNUMBER(F882)),H882="",L882=""),"Pflichtangaben fehlen",IF(COUNTIFS('Konten'!$A$7:$A$26,C882)&lt;&gt;1,"Konto nicht eindeutig",IF(J882&lt;&gt;"Ja","Zuordnung bestätigen",IF(OR(AND(H882="Einnahme",F882&lt;0),AND(H882="Ausgabe",F882&gt;0)),"Vorzeichen prüfen",IF(AND(H882="Umbuchung",OR(K882="",COUNTIFS($A$7:$A$1506,K882)&lt;&gt;1)),"Gegenbuchung fehlt",IF(AND(H882="Umbuchung",ROUND(SUMIFS($F$7:$F$1506,$A$7:$A$1506,K882)+F882,2)&lt;&gt;0),"Umbuchung abweichend",IF(OR(G882="",M882="",M882="offen",M882="teilbelegt",H882="Ungeklärt",H882="Bargeld"),"Beleg / Verwendung klären","vollständig erfasst")))))))))</x:f>
      </x:c>
    </x:row>
    <x:row r="883" ht="22" customHeight="1">
      <x:c r="A883" s="7"/>
      <x:c r="B883" s="8"/>
      <x:c r="C883" s="7"/>
      <x:c r="D883" s="7"/>
      <x:c r="E883" s="7"/>
      <x:c r="F883" s="20"/>
      <x:c r="G883" s="7"/>
      <x:c r="H883" s="7"/>
      <x:c r="I883" s="7"/>
      <x:c r="J883" s="7"/>
      <x:c r="K883" s="7"/>
      <x:c r="L883" s="7"/>
      <x:c r="M883" s="7"/>
      <x:c r="N883" s="7"/>
      <x:c r="O883" s="2" t="str">
        <x:f>IF(A883="","",IF(COUNTIFS($A$7:$A$1506,A883)&gt;1,"Buchung-ID doppelt",IF(OR(NOT(ISNUMBER(B883)),C883="",NOT(ISNUMBER(F883)),H883="",L883=""),"Pflichtangaben fehlen",IF(COUNTIFS('Konten'!$A$7:$A$26,C883)&lt;&gt;1,"Konto nicht eindeutig",IF(J883&lt;&gt;"Ja","Zuordnung bestätigen",IF(OR(AND(H883="Einnahme",F883&lt;0),AND(H883="Ausgabe",F883&gt;0)),"Vorzeichen prüfen",IF(AND(H883="Umbuchung",OR(K883="",COUNTIFS($A$7:$A$1506,K883)&lt;&gt;1)),"Gegenbuchung fehlt",IF(AND(H883="Umbuchung",ROUND(SUMIFS($F$7:$F$1506,$A$7:$A$1506,K883)+F883,2)&lt;&gt;0),"Umbuchung abweichend",IF(OR(G883="",M883="",M883="offen",M883="teilbelegt",H883="Ungeklärt",H883="Bargeld"),"Beleg / Verwendung klären","vollständig erfasst")))))))))</x:f>
      </x:c>
    </x:row>
    <x:row r="884" ht="22" customHeight="1">
      <x:c r="A884" s="7"/>
      <x:c r="B884" s="8"/>
      <x:c r="C884" s="7"/>
      <x:c r="D884" s="7"/>
      <x:c r="E884" s="7"/>
      <x:c r="F884" s="20"/>
      <x:c r="G884" s="7"/>
      <x:c r="H884" s="7"/>
      <x:c r="I884" s="7"/>
      <x:c r="J884" s="7"/>
      <x:c r="K884" s="7"/>
      <x:c r="L884" s="7"/>
      <x:c r="M884" s="7"/>
      <x:c r="N884" s="7"/>
      <x:c r="O884" s="2" t="str">
        <x:f>IF(A884="","",IF(COUNTIFS($A$7:$A$1506,A884)&gt;1,"Buchung-ID doppelt",IF(OR(NOT(ISNUMBER(B884)),C884="",NOT(ISNUMBER(F884)),H884="",L884=""),"Pflichtangaben fehlen",IF(COUNTIFS('Konten'!$A$7:$A$26,C884)&lt;&gt;1,"Konto nicht eindeutig",IF(J884&lt;&gt;"Ja","Zuordnung bestätigen",IF(OR(AND(H884="Einnahme",F884&lt;0),AND(H884="Ausgabe",F884&gt;0)),"Vorzeichen prüfen",IF(AND(H884="Umbuchung",OR(K884="",COUNTIFS($A$7:$A$1506,K884)&lt;&gt;1)),"Gegenbuchung fehlt",IF(AND(H884="Umbuchung",ROUND(SUMIFS($F$7:$F$1506,$A$7:$A$1506,K884)+F884,2)&lt;&gt;0),"Umbuchung abweichend",IF(OR(G884="",M884="",M884="offen",M884="teilbelegt",H884="Ungeklärt",H884="Bargeld"),"Beleg / Verwendung klären","vollständig erfasst")))))))))</x:f>
      </x:c>
    </x:row>
    <x:row r="885" ht="22" customHeight="1">
      <x:c r="A885" s="7"/>
      <x:c r="B885" s="8"/>
      <x:c r="C885" s="7"/>
      <x:c r="D885" s="7"/>
      <x:c r="E885" s="7"/>
      <x:c r="F885" s="20"/>
      <x:c r="G885" s="7"/>
      <x:c r="H885" s="7"/>
      <x:c r="I885" s="7"/>
      <x:c r="J885" s="7"/>
      <x:c r="K885" s="7"/>
      <x:c r="L885" s="7"/>
      <x:c r="M885" s="7"/>
      <x:c r="N885" s="7"/>
      <x:c r="O885" s="2" t="str">
        <x:f>IF(A885="","",IF(COUNTIFS($A$7:$A$1506,A885)&gt;1,"Buchung-ID doppelt",IF(OR(NOT(ISNUMBER(B885)),C885="",NOT(ISNUMBER(F885)),H885="",L885=""),"Pflichtangaben fehlen",IF(COUNTIFS('Konten'!$A$7:$A$26,C885)&lt;&gt;1,"Konto nicht eindeutig",IF(J885&lt;&gt;"Ja","Zuordnung bestätigen",IF(OR(AND(H885="Einnahme",F885&lt;0),AND(H885="Ausgabe",F885&gt;0)),"Vorzeichen prüfen",IF(AND(H885="Umbuchung",OR(K885="",COUNTIFS($A$7:$A$1506,K885)&lt;&gt;1)),"Gegenbuchung fehlt",IF(AND(H885="Umbuchung",ROUND(SUMIFS($F$7:$F$1506,$A$7:$A$1506,K885)+F885,2)&lt;&gt;0),"Umbuchung abweichend",IF(OR(G885="",M885="",M885="offen",M885="teilbelegt",H885="Ungeklärt",H885="Bargeld"),"Beleg / Verwendung klären","vollständig erfasst")))))))))</x:f>
      </x:c>
    </x:row>
    <x:row r="886" ht="22" customHeight="1">
      <x:c r="A886" s="7"/>
      <x:c r="B886" s="8"/>
      <x:c r="C886" s="7"/>
      <x:c r="D886" s="7"/>
      <x:c r="E886" s="7"/>
      <x:c r="F886" s="20"/>
      <x:c r="G886" s="7"/>
      <x:c r="H886" s="7"/>
      <x:c r="I886" s="7"/>
      <x:c r="J886" s="7"/>
      <x:c r="K886" s="7"/>
      <x:c r="L886" s="7"/>
      <x:c r="M886" s="7"/>
      <x:c r="N886" s="7"/>
      <x:c r="O886" s="2" t="str">
        <x:f>IF(A886="","",IF(COUNTIFS($A$7:$A$1506,A886)&gt;1,"Buchung-ID doppelt",IF(OR(NOT(ISNUMBER(B886)),C886="",NOT(ISNUMBER(F886)),H886="",L886=""),"Pflichtangaben fehlen",IF(COUNTIFS('Konten'!$A$7:$A$26,C886)&lt;&gt;1,"Konto nicht eindeutig",IF(J886&lt;&gt;"Ja","Zuordnung bestätigen",IF(OR(AND(H886="Einnahme",F886&lt;0),AND(H886="Ausgabe",F886&gt;0)),"Vorzeichen prüfen",IF(AND(H886="Umbuchung",OR(K886="",COUNTIFS($A$7:$A$1506,K886)&lt;&gt;1)),"Gegenbuchung fehlt",IF(AND(H886="Umbuchung",ROUND(SUMIFS($F$7:$F$1506,$A$7:$A$1506,K886)+F886,2)&lt;&gt;0),"Umbuchung abweichend",IF(OR(G886="",M886="",M886="offen",M886="teilbelegt",H886="Ungeklärt",H886="Bargeld"),"Beleg / Verwendung klären","vollständig erfasst")))))))))</x:f>
      </x:c>
    </x:row>
    <x:row r="887" ht="22" customHeight="1">
      <x:c r="A887" s="7"/>
      <x:c r="B887" s="8"/>
      <x:c r="C887" s="7"/>
      <x:c r="D887" s="7"/>
      <x:c r="E887" s="7"/>
      <x:c r="F887" s="20"/>
      <x:c r="G887" s="7"/>
      <x:c r="H887" s="7"/>
      <x:c r="I887" s="7"/>
      <x:c r="J887" s="7"/>
      <x:c r="K887" s="7"/>
      <x:c r="L887" s="7"/>
      <x:c r="M887" s="7"/>
      <x:c r="N887" s="7"/>
      <x:c r="O887" s="2" t="str">
        <x:f>IF(A887="","",IF(COUNTIFS($A$7:$A$1506,A887)&gt;1,"Buchung-ID doppelt",IF(OR(NOT(ISNUMBER(B887)),C887="",NOT(ISNUMBER(F887)),H887="",L887=""),"Pflichtangaben fehlen",IF(COUNTIFS('Konten'!$A$7:$A$26,C887)&lt;&gt;1,"Konto nicht eindeutig",IF(J887&lt;&gt;"Ja","Zuordnung bestätigen",IF(OR(AND(H887="Einnahme",F887&lt;0),AND(H887="Ausgabe",F887&gt;0)),"Vorzeichen prüfen",IF(AND(H887="Umbuchung",OR(K887="",COUNTIFS($A$7:$A$1506,K887)&lt;&gt;1)),"Gegenbuchung fehlt",IF(AND(H887="Umbuchung",ROUND(SUMIFS($F$7:$F$1506,$A$7:$A$1506,K887)+F887,2)&lt;&gt;0),"Umbuchung abweichend",IF(OR(G887="",M887="",M887="offen",M887="teilbelegt",H887="Ungeklärt",H887="Bargeld"),"Beleg / Verwendung klären","vollständig erfasst")))))))))</x:f>
      </x:c>
    </x:row>
    <x:row r="888" ht="22" customHeight="1">
      <x:c r="A888" s="7"/>
      <x:c r="B888" s="8"/>
      <x:c r="C888" s="7"/>
      <x:c r="D888" s="7"/>
      <x:c r="E888" s="7"/>
      <x:c r="F888" s="20"/>
      <x:c r="G888" s="7"/>
      <x:c r="H888" s="7"/>
      <x:c r="I888" s="7"/>
      <x:c r="J888" s="7"/>
      <x:c r="K888" s="7"/>
      <x:c r="L888" s="7"/>
      <x:c r="M888" s="7"/>
      <x:c r="N888" s="7"/>
      <x:c r="O888" s="2" t="str">
        <x:f>IF(A888="","",IF(COUNTIFS($A$7:$A$1506,A888)&gt;1,"Buchung-ID doppelt",IF(OR(NOT(ISNUMBER(B888)),C888="",NOT(ISNUMBER(F888)),H888="",L888=""),"Pflichtangaben fehlen",IF(COUNTIFS('Konten'!$A$7:$A$26,C888)&lt;&gt;1,"Konto nicht eindeutig",IF(J888&lt;&gt;"Ja","Zuordnung bestätigen",IF(OR(AND(H888="Einnahme",F888&lt;0),AND(H888="Ausgabe",F888&gt;0)),"Vorzeichen prüfen",IF(AND(H888="Umbuchung",OR(K888="",COUNTIFS($A$7:$A$1506,K888)&lt;&gt;1)),"Gegenbuchung fehlt",IF(AND(H888="Umbuchung",ROUND(SUMIFS($F$7:$F$1506,$A$7:$A$1506,K888)+F888,2)&lt;&gt;0),"Umbuchung abweichend",IF(OR(G888="",M888="",M888="offen",M888="teilbelegt",H888="Ungeklärt",H888="Bargeld"),"Beleg / Verwendung klären","vollständig erfasst")))))))))</x:f>
      </x:c>
    </x:row>
    <x:row r="889" ht="22" customHeight="1">
      <x:c r="A889" s="7"/>
      <x:c r="B889" s="8"/>
      <x:c r="C889" s="7"/>
      <x:c r="D889" s="7"/>
      <x:c r="E889" s="7"/>
      <x:c r="F889" s="20"/>
      <x:c r="G889" s="7"/>
      <x:c r="H889" s="7"/>
      <x:c r="I889" s="7"/>
      <x:c r="J889" s="7"/>
      <x:c r="K889" s="7"/>
      <x:c r="L889" s="7"/>
      <x:c r="M889" s="7"/>
      <x:c r="N889" s="7"/>
      <x:c r="O889" s="2" t="str">
        <x:f>IF(A889="","",IF(COUNTIFS($A$7:$A$1506,A889)&gt;1,"Buchung-ID doppelt",IF(OR(NOT(ISNUMBER(B889)),C889="",NOT(ISNUMBER(F889)),H889="",L889=""),"Pflichtangaben fehlen",IF(COUNTIFS('Konten'!$A$7:$A$26,C889)&lt;&gt;1,"Konto nicht eindeutig",IF(J889&lt;&gt;"Ja","Zuordnung bestätigen",IF(OR(AND(H889="Einnahme",F889&lt;0),AND(H889="Ausgabe",F889&gt;0)),"Vorzeichen prüfen",IF(AND(H889="Umbuchung",OR(K889="",COUNTIFS($A$7:$A$1506,K889)&lt;&gt;1)),"Gegenbuchung fehlt",IF(AND(H889="Umbuchung",ROUND(SUMIFS($F$7:$F$1506,$A$7:$A$1506,K889)+F889,2)&lt;&gt;0),"Umbuchung abweichend",IF(OR(G889="",M889="",M889="offen",M889="teilbelegt",H889="Ungeklärt",H889="Bargeld"),"Beleg / Verwendung klären","vollständig erfasst")))))))))</x:f>
      </x:c>
    </x:row>
    <x:row r="890" ht="22" customHeight="1">
      <x:c r="A890" s="7"/>
      <x:c r="B890" s="8"/>
      <x:c r="C890" s="7"/>
      <x:c r="D890" s="7"/>
      <x:c r="E890" s="7"/>
      <x:c r="F890" s="20"/>
      <x:c r="G890" s="7"/>
      <x:c r="H890" s="7"/>
      <x:c r="I890" s="7"/>
      <x:c r="J890" s="7"/>
      <x:c r="K890" s="7"/>
      <x:c r="L890" s="7"/>
      <x:c r="M890" s="7"/>
      <x:c r="N890" s="7"/>
      <x:c r="O890" s="2" t="str">
        <x:f>IF(A890="","",IF(COUNTIFS($A$7:$A$1506,A890)&gt;1,"Buchung-ID doppelt",IF(OR(NOT(ISNUMBER(B890)),C890="",NOT(ISNUMBER(F890)),H890="",L890=""),"Pflichtangaben fehlen",IF(COUNTIFS('Konten'!$A$7:$A$26,C890)&lt;&gt;1,"Konto nicht eindeutig",IF(J890&lt;&gt;"Ja","Zuordnung bestätigen",IF(OR(AND(H890="Einnahme",F890&lt;0),AND(H890="Ausgabe",F890&gt;0)),"Vorzeichen prüfen",IF(AND(H890="Umbuchung",OR(K890="",COUNTIFS($A$7:$A$1506,K890)&lt;&gt;1)),"Gegenbuchung fehlt",IF(AND(H890="Umbuchung",ROUND(SUMIFS($F$7:$F$1506,$A$7:$A$1506,K890)+F890,2)&lt;&gt;0),"Umbuchung abweichend",IF(OR(G890="",M890="",M890="offen",M890="teilbelegt",H890="Ungeklärt",H890="Bargeld"),"Beleg / Verwendung klären","vollständig erfasst")))))))))</x:f>
      </x:c>
    </x:row>
    <x:row r="891" ht="22" customHeight="1">
      <x:c r="A891" s="7"/>
      <x:c r="B891" s="8"/>
      <x:c r="C891" s="7"/>
      <x:c r="D891" s="7"/>
      <x:c r="E891" s="7"/>
      <x:c r="F891" s="20"/>
      <x:c r="G891" s="7"/>
      <x:c r="H891" s="7"/>
      <x:c r="I891" s="7"/>
      <x:c r="J891" s="7"/>
      <x:c r="K891" s="7"/>
      <x:c r="L891" s="7"/>
      <x:c r="M891" s="7"/>
      <x:c r="N891" s="7"/>
      <x:c r="O891" s="2" t="str">
        <x:f>IF(A891="","",IF(COUNTIFS($A$7:$A$1506,A891)&gt;1,"Buchung-ID doppelt",IF(OR(NOT(ISNUMBER(B891)),C891="",NOT(ISNUMBER(F891)),H891="",L891=""),"Pflichtangaben fehlen",IF(COUNTIFS('Konten'!$A$7:$A$26,C891)&lt;&gt;1,"Konto nicht eindeutig",IF(J891&lt;&gt;"Ja","Zuordnung bestätigen",IF(OR(AND(H891="Einnahme",F891&lt;0),AND(H891="Ausgabe",F891&gt;0)),"Vorzeichen prüfen",IF(AND(H891="Umbuchung",OR(K891="",COUNTIFS($A$7:$A$1506,K891)&lt;&gt;1)),"Gegenbuchung fehlt",IF(AND(H891="Umbuchung",ROUND(SUMIFS($F$7:$F$1506,$A$7:$A$1506,K891)+F891,2)&lt;&gt;0),"Umbuchung abweichend",IF(OR(G891="",M891="",M891="offen",M891="teilbelegt",H891="Ungeklärt",H891="Bargeld"),"Beleg / Verwendung klären","vollständig erfasst")))))))))</x:f>
      </x:c>
    </x:row>
    <x:row r="892" ht="22" customHeight="1">
      <x:c r="A892" s="7"/>
      <x:c r="B892" s="8"/>
      <x:c r="C892" s="7"/>
      <x:c r="D892" s="7"/>
      <x:c r="E892" s="7"/>
      <x:c r="F892" s="20"/>
      <x:c r="G892" s="7"/>
      <x:c r="H892" s="7"/>
      <x:c r="I892" s="7"/>
      <x:c r="J892" s="7"/>
      <x:c r="K892" s="7"/>
      <x:c r="L892" s="7"/>
      <x:c r="M892" s="7"/>
      <x:c r="N892" s="7"/>
      <x:c r="O892" s="2" t="str">
        <x:f>IF(A892="","",IF(COUNTIFS($A$7:$A$1506,A892)&gt;1,"Buchung-ID doppelt",IF(OR(NOT(ISNUMBER(B892)),C892="",NOT(ISNUMBER(F892)),H892="",L892=""),"Pflichtangaben fehlen",IF(COUNTIFS('Konten'!$A$7:$A$26,C892)&lt;&gt;1,"Konto nicht eindeutig",IF(J892&lt;&gt;"Ja","Zuordnung bestätigen",IF(OR(AND(H892="Einnahme",F892&lt;0),AND(H892="Ausgabe",F892&gt;0)),"Vorzeichen prüfen",IF(AND(H892="Umbuchung",OR(K892="",COUNTIFS($A$7:$A$1506,K892)&lt;&gt;1)),"Gegenbuchung fehlt",IF(AND(H892="Umbuchung",ROUND(SUMIFS($F$7:$F$1506,$A$7:$A$1506,K892)+F892,2)&lt;&gt;0),"Umbuchung abweichend",IF(OR(G892="",M892="",M892="offen",M892="teilbelegt",H892="Ungeklärt",H892="Bargeld"),"Beleg / Verwendung klären","vollständig erfasst")))))))))</x:f>
      </x:c>
    </x:row>
    <x:row r="893" ht="22" customHeight="1">
      <x:c r="A893" s="7"/>
      <x:c r="B893" s="8"/>
      <x:c r="C893" s="7"/>
      <x:c r="D893" s="7"/>
      <x:c r="E893" s="7"/>
      <x:c r="F893" s="20"/>
      <x:c r="G893" s="7"/>
      <x:c r="H893" s="7"/>
      <x:c r="I893" s="7"/>
      <x:c r="J893" s="7"/>
      <x:c r="K893" s="7"/>
      <x:c r="L893" s="7"/>
      <x:c r="M893" s="7"/>
      <x:c r="N893" s="7"/>
      <x:c r="O893" s="2" t="str">
        <x:f>IF(A893="","",IF(COUNTIFS($A$7:$A$1506,A893)&gt;1,"Buchung-ID doppelt",IF(OR(NOT(ISNUMBER(B893)),C893="",NOT(ISNUMBER(F893)),H893="",L893=""),"Pflichtangaben fehlen",IF(COUNTIFS('Konten'!$A$7:$A$26,C893)&lt;&gt;1,"Konto nicht eindeutig",IF(J893&lt;&gt;"Ja","Zuordnung bestätigen",IF(OR(AND(H893="Einnahme",F893&lt;0),AND(H893="Ausgabe",F893&gt;0)),"Vorzeichen prüfen",IF(AND(H893="Umbuchung",OR(K893="",COUNTIFS($A$7:$A$1506,K893)&lt;&gt;1)),"Gegenbuchung fehlt",IF(AND(H893="Umbuchung",ROUND(SUMIFS($F$7:$F$1506,$A$7:$A$1506,K893)+F893,2)&lt;&gt;0),"Umbuchung abweichend",IF(OR(G893="",M893="",M893="offen",M893="teilbelegt",H893="Ungeklärt",H893="Bargeld"),"Beleg / Verwendung klären","vollständig erfasst")))))))))</x:f>
      </x:c>
    </x:row>
    <x:row r="894" ht="22" customHeight="1">
      <x:c r="A894" s="7"/>
      <x:c r="B894" s="8"/>
      <x:c r="C894" s="7"/>
      <x:c r="D894" s="7"/>
      <x:c r="E894" s="7"/>
      <x:c r="F894" s="20"/>
      <x:c r="G894" s="7"/>
      <x:c r="H894" s="7"/>
      <x:c r="I894" s="7"/>
      <x:c r="J894" s="7"/>
      <x:c r="K894" s="7"/>
      <x:c r="L894" s="7"/>
      <x:c r="M894" s="7"/>
      <x:c r="N894" s="7"/>
      <x:c r="O894" s="2" t="str">
        <x:f>IF(A894="","",IF(COUNTIFS($A$7:$A$1506,A894)&gt;1,"Buchung-ID doppelt",IF(OR(NOT(ISNUMBER(B894)),C894="",NOT(ISNUMBER(F894)),H894="",L894=""),"Pflichtangaben fehlen",IF(COUNTIFS('Konten'!$A$7:$A$26,C894)&lt;&gt;1,"Konto nicht eindeutig",IF(J894&lt;&gt;"Ja","Zuordnung bestätigen",IF(OR(AND(H894="Einnahme",F894&lt;0),AND(H894="Ausgabe",F894&gt;0)),"Vorzeichen prüfen",IF(AND(H894="Umbuchung",OR(K894="",COUNTIFS($A$7:$A$1506,K894)&lt;&gt;1)),"Gegenbuchung fehlt",IF(AND(H894="Umbuchung",ROUND(SUMIFS($F$7:$F$1506,$A$7:$A$1506,K894)+F894,2)&lt;&gt;0),"Umbuchung abweichend",IF(OR(G894="",M894="",M894="offen",M894="teilbelegt",H894="Ungeklärt",H894="Bargeld"),"Beleg / Verwendung klären","vollständig erfasst")))))))))</x:f>
      </x:c>
    </x:row>
    <x:row r="895" ht="22" customHeight="1">
      <x:c r="A895" s="7"/>
      <x:c r="B895" s="8"/>
      <x:c r="C895" s="7"/>
      <x:c r="D895" s="7"/>
      <x:c r="E895" s="7"/>
      <x:c r="F895" s="20"/>
      <x:c r="G895" s="7"/>
      <x:c r="H895" s="7"/>
      <x:c r="I895" s="7"/>
      <x:c r="J895" s="7"/>
      <x:c r="K895" s="7"/>
      <x:c r="L895" s="7"/>
      <x:c r="M895" s="7"/>
      <x:c r="N895" s="7"/>
      <x:c r="O895" s="2" t="str">
        <x:f>IF(A895="","",IF(COUNTIFS($A$7:$A$1506,A895)&gt;1,"Buchung-ID doppelt",IF(OR(NOT(ISNUMBER(B895)),C895="",NOT(ISNUMBER(F895)),H895="",L895=""),"Pflichtangaben fehlen",IF(COUNTIFS('Konten'!$A$7:$A$26,C895)&lt;&gt;1,"Konto nicht eindeutig",IF(J895&lt;&gt;"Ja","Zuordnung bestätigen",IF(OR(AND(H895="Einnahme",F895&lt;0),AND(H895="Ausgabe",F895&gt;0)),"Vorzeichen prüfen",IF(AND(H895="Umbuchung",OR(K895="",COUNTIFS($A$7:$A$1506,K895)&lt;&gt;1)),"Gegenbuchung fehlt",IF(AND(H895="Umbuchung",ROUND(SUMIFS($F$7:$F$1506,$A$7:$A$1506,K895)+F895,2)&lt;&gt;0),"Umbuchung abweichend",IF(OR(G895="",M895="",M895="offen",M895="teilbelegt",H895="Ungeklärt",H895="Bargeld"),"Beleg / Verwendung klären","vollständig erfasst")))))))))</x:f>
      </x:c>
    </x:row>
    <x:row r="896" ht="22" customHeight="1">
      <x:c r="A896" s="7"/>
      <x:c r="B896" s="8"/>
      <x:c r="C896" s="7"/>
      <x:c r="D896" s="7"/>
      <x:c r="E896" s="7"/>
      <x:c r="F896" s="20"/>
      <x:c r="G896" s="7"/>
      <x:c r="H896" s="7"/>
      <x:c r="I896" s="7"/>
      <x:c r="J896" s="7"/>
      <x:c r="K896" s="7"/>
      <x:c r="L896" s="7"/>
      <x:c r="M896" s="7"/>
      <x:c r="N896" s="7"/>
      <x:c r="O896" s="2" t="str">
        <x:f>IF(A896="","",IF(COUNTIFS($A$7:$A$1506,A896)&gt;1,"Buchung-ID doppelt",IF(OR(NOT(ISNUMBER(B896)),C896="",NOT(ISNUMBER(F896)),H896="",L896=""),"Pflichtangaben fehlen",IF(COUNTIFS('Konten'!$A$7:$A$26,C896)&lt;&gt;1,"Konto nicht eindeutig",IF(J896&lt;&gt;"Ja","Zuordnung bestätigen",IF(OR(AND(H896="Einnahme",F896&lt;0),AND(H896="Ausgabe",F896&gt;0)),"Vorzeichen prüfen",IF(AND(H896="Umbuchung",OR(K896="",COUNTIFS($A$7:$A$1506,K896)&lt;&gt;1)),"Gegenbuchung fehlt",IF(AND(H896="Umbuchung",ROUND(SUMIFS($F$7:$F$1506,$A$7:$A$1506,K896)+F896,2)&lt;&gt;0),"Umbuchung abweichend",IF(OR(G896="",M896="",M896="offen",M896="teilbelegt",H896="Ungeklärt",H896="Bargeld"),"Beleg / Verwendung klären","vollständig erfasst")))))))))</x:f>
      </x:c>
    </x:row>
    <x:row r="897" ht="22" customHeight="1">
      <x:c r="A897" s="7"/>
      <x:c r="B897" s="8"/>
      <x:c r="C897" s="7"/>
      <x:c r="D897" s="7"/>
      <x:c r="E897" s="7"/>
      <x:c r="F897" s="20"/>
      <x:c r="G897" s="7"/>
      <x:c r="H897" s="7"/>
      <x:c r="I897" s="7"/>
      <x:c r="J897" s="7"/>
      <x:c r="K897" s="7"/>
      <x:c r="L897" s="7"/>
      <x:c r="M897" s="7"/>
      <x:c r="N897" s="7"/>
      <x:c r="O897" s="2" t="str">
        <x:f>IF(A897="","",IF(COUNTIFS($A$7:$A$1506,A897)&gt;1,"Buchung-ID doppelt",IF(OR(NOT(ISNUMBER(B897)),C897="",NOT(ISNUMBER(F897)),H897="",L897=""),"Pflichtangaben fehlen",IF(COUNTIFS('Konten'!$A$7:$A$26,C897)&lt;&gt;1,"Konto nicht eindeutig",IF(J897&lt;&gt;"Ja","Zuordnung bestätigen",IF(OR(AND(H897="Einnahme",F897&lt;0),AND(H897="Ausgabe",F897&gt;0)),"Vorzeichen prüfen",IF(AND(H897="Umbuchung",OR(K897="",COUNTIFS($A$7:$A$1506,K897)&lt;&gt;1)),"Gegenbuchung fehlt",IF(AND(H897="Umbuchung",ROUND(SUMIFS($F$7:$F$1506,$A$7:$A$1506,K897)+F897,2)&lt;&gt;0),"Umbuchung abweichend",IF(OR(G897="",M897="",M897="offen",M897="teilbelegt",H897="Ungeklärt",H897="Bargeld"),"Beleg / Verwendung klären","vollständig erfasst")))))))))</x:f>
      </x:c>
    </x:row>
    <x:row r="898" ht="22" customHeight="1">
      <x:c r="A898" s="7"/>
      <x:c r="B898" s="8"/>
      <x:c r="C898" s="7"/>
      <x:c r="D898" s="7"/>
      <x:c r="E898" s="7"/>
      <x:c r="F898" s="20"/>
      <x:c r="G898" s="7"/>
      <x:c r="H898" s="7"/>
      <x:c r="I898" s="7"/>
      <x:c r="J898" s="7"/>
      <x:c r="K898" s="7"/>
      <x:c r="L898" s="7"/>
      <x:c r="M898" s="7"/>
      <x:c r="N898" s="7"/>
      <x:c r="O898" s="2" t="str">
        <x:f>IF(A898="","",IF(COUNTIFS($A$7:$A$1506,A898)&gt;1,"Buchung-ID doppelt",IF(OR(NOT(ISNUMBER(B898)),C898="",NOT(ISNUMBER(F898)),H898="",L898=""),"Pflichtangaben fehlen",IF(COUNTIFS('Konten'!$A$7:$A$26,C898)&lt;&gt;1,"Konto nicht eindeutig",IF(J898&lt;&gt;"Ja","Zuordnung bestätigen",IF(OR(AND(H898="Einnahme",F898&lt;0),AND(H898="Ausgabe",F898&gt;0)),"Vorzeichen prüfen",IF(AND(H898="Umbuchung",OR(K898="",COUNTIFS($A$7:$A$1506,K898)&lt;&gt;1)),"Gegenbuchung fehlt",IF(AND(H898="Umbuchung",ROUND(SUMIFS($F$7:$F$1506,$A$7:$A$1506,K898)+F898,2)&lt;&gt;0),"Umbuchung abweichend",IF(OR(G898="",M898="",M898="offen",M898="teilbelegt",H898="Ungeklärt",H898="Bargeld"),"Beleg / Verwendung klären","vollständig erfasst")))))))))</x:f>
      </x:c>
    </x:row>
    <x:row r="899" ht="22" customHeight="1">
      <x:c r="A899" s="7"/>
      <x:c r="B899" s="8"/>
      <x:c r="C899" s="7"/>
      <x:c r="D899" s="7"/>
      <x:c r="E899" s="7"/>
      <x:c r="F899" s="20"/>
      <x:c r="G899" s="7"/>
      <x:c r="H899" s="7"/>
      <x:c r="I899" s="7"/>
      <x:c r="J899" s="7"/>
      <x:c r="K899" s="7"/>
      <x:c r="L899" s="7"/>
      <x:c r="M899" s="7"/>
      <x:c r="N899" s="7"/>
      <x:c r="O899" s="2" t="str">
        <x:f>IF(A899="","",IF(COUNTIFS($A$7:$A$1506,A899)&gt;1,"Buchung-ID doppelt",IF(OR(NOT(ISNUMBER(B899)),C899="",NOT(ISNUMBER(F899)),H899="",L899=""),"Pflichtangaben fehlen",IF(COUNTIFS('Konten'!$A$7:$A$26,C899)&lt;&gt;1,"Konto nicht eindeutig",IF(J899&lt;&gt;"Ja","Zuordnung bestätigen",IF(OR(AND(H899="Einnahme",F899&lt;0),AND(H899="Ausgabe",F899&gt;0)),"Vorzeichen prüfen",IF(AND(H899="Umbuchung",OR(K899="",COUNTIFS($A$7:$A$1506,K899)&lt;&gt;1)),"Gegenbuchung fehlt",IF(AND(H899="Umbuchung",ROUND(SUMIFS($F$7:$F$1506,$A$7:$A$1506,K899)+F899,2)&lt;&gt;0),"Umbuchung abweichend",IF(OR(G899="",M899="",M899="offen",M899="teilbelegt",H899="Ungeklärt",H899="Bargeld"),"Beleg / Verwendung klären","vollständig erfasst")))))))))</x:f>
      </x:c>
    </x:row>
    <x:row r="900" ht="22" customHeight="1">
      <x:c r="A900" s="7"/>
      <x:c r="B900" s="8"/>
      <x:c r="C900" s="7"/>
      <x:c r="D900" s="7"/>
      <x:c r="E900" s="7"/>
      <x:c r="F900" s="20"/>
      <x:c r="G900" s="7"/>
      <x:c r="H900" s="7"/>
      <x:c r="I900" s="7"/>
      <x:c r="J900" s="7"/>
      <x:c r="K900" s="7"/>
      <x:c r="L900" s="7"/>
      <x:c r="M900" s="7"/>
      <x:c r="N900" s="7"/>
      <x:c r="O900" s="2" t="str">
        <x:f>IF(A900="","",IF(COUNTIFS($A$7:$A$1506,A900)&gt;1,"Buchung-ID doppelt",IF(OR(NOT(ISNUMBER(B900)),C900="",NOT(ISNUMBER(F900)),H900="",L900=""),"Pflichtangaben fehlen",IF(COUNTIFS('Konten'!$A$7:$A$26,C900)&lt;&gt;1,"Konto nicht eindeutig",IF(J900&lt;&gt;"Ja","Zuordnung bestätigen",IF(OR(AND(H900="Einnahme",F900&lt;0),AND(H900="Ausgabe",F900&gt;0)),"Vorzeichen prüfen",IF(AND(H900="Umbuchung",OR(K900="",COUNTIFS($A$7:$A$1506,K900)&lt;&gt;1)),"Gegenbuchung fehlt",IF(AND(H900="Umbuchung",ROUND(SUMIFS($F$7:$F$1506,$A$7:$A$1506,K900)+F900,2)&lt;&gt;0),"Umbuchung abweichend",IF(OR(G900="",M900="",M900="offen",M900="teilbelegt",H900="Ungeklärt",H900="Bargeld"),"Beleg / Verwendung klären","vollständig erfasst")))))))))</x:f>
      </x:c>
    </x:row>
    <x:row r="901" ht="22" customHeight="1">
      <x:c r="A901" s="7"/>
      <x:c r="B901" s="8"/>
      <x:c r="C901" s="7"/>
      <x:c r="D901" s="7"/>
      <x:c r="E901" s="7"/>
      <x:c r="F901" s="20"/>
      <x:c r="G901" s="7"/>
      <x:c r="H901" s="7"/>
      <x:c r="I901" s="7"/>
      <x:c r="J901" s="7"/>
      <x:c r="K901" s="7"/>
      <x:c r="L901" s="7"/>
      <x:c r="M901" s="7"/>
      <x:c r="N901" s="7"/>
      <x:c r="O901" s="2" t="str">
        <x:f>IF(A901="","",IF(COUNTIFS($A$7:$A$1506,A901)&gt;1,"Buchung-ID doppelt",IF(OR(NOT(ISNUMBER(B901)),C901="",NOT(ISNUMBER(F901)),H901="",L901=""),"Pflichtangaben fehlen",IF(COUNTIFS('Konten'!$A$7:$A$26,C901)&lt;&gt;1,"Konto nicht eindeutig",IF(J901&lt;&gt;"Ja","Zuordnung bestätigen",IF(OR(AND(H901="Einnahme",F901&lt;0),AND(H901="Ausgabe",F901&gt;0)),"Vorzeichen prüfen",IF(AND(H901="Umbuchung",OR(K901="",COUNTIFS($A$7:$A$1506,K901)&lt;&gt;1)),"Gegenbuchung fehlt",IF(AND(H901="Umbuchung",ROUND(SUMIFS($F$7:$F$1506,$A$7:$A$1506,K901)+F901,2)&lt;&gt;0),"Umbuchung abweichend",IF(OR(G901="",M901="",M901="offen",M901="teilbelegt",H901="Ungeklärt",H901="Bargeld"),"Beleg / Verwendung klären","vollständig erfasst")))))))))</x:f>
      </x:c>
    </x:row>
    <x:row r="902" ht="22" customHeight="1">
      <x:c r="A902" s="7"/>
      <x:c r="B902" s="8"/>
      <x:c r="C902" s="7"/>
      <x:c r="D902" s="7"/>
      <x:c r="E902" s="7"/>
      <x:c r="F902" s="20"/>
      <x:c r="G902" s="7"/>
      <x:c r="H902" s="7"/>
      <x:c r="I902" s="7"/>
      <x:c r="J902" s="7"/>
      <x:c r="K902" s="7"/>
      <x:c r="L902" s="7"/>
      <x:c r="M902" s="7"/>
      <x:c r="N902" s="7"/>
      <x:c r="O902" s="2" t="str">
        <x:f>IF(A902="","",IF(COUNTIFS($A$7:$A$1506,A902)&gt;1,"Buchung-ID doppelt",IF(OR(NOT(ISNUMBER(B902)),C902="",NOT(ISNUMBER(F902)),H902="",L902=""),"Pflichtangaben fehlen",IF(COUNTIFS('Konten'!$A$7:$A$26,C902)&lt;&gt;1,"Konto nicht eindeutig",IF(J902&lt;&gt;"Ja","Zuordnung bestätigen",IF(OR(AND(H902="Einnahme",F902&lt;0),AND(H902="Ausgabe",F902&gt;0)),"Vorzeichen prüfen",IF(AND(H902="Umbuchung",OR(K902="",COUNTIFS($A$7:$A$1506,K902)&lt;&gt;1)),"Gegenbuchung fehlt",IF(AND(H902="Umbuchung",ROUND(SUMIFS($F$7:$F$1506,$A$7:$A$1506,K902)+F902,2)&lt;&gt;0),"Umbuchung abweichend",IF(OR(G902="",M902="",M902="offen",M902="teilbelegt",H902="Ungeklärt",H902="Bargeld"),"Beleg / Verwendung klären","vollständig erfasst")))))))))</x:f>
      </x:c>
    </x:row>
    <x:row r="903" ht="22" customHeight="1">
      <x:c r="A903" s="7"/>
      <x:c r="B903" s="8"/>
      <x:c r="C903" s="7"/>
      <x:c r="D903" s="7"/>
      <x:c r="E903" s="7"/>
      <x:c r="F903" s="20"/>
      <x:c r="G903" s="7"/>
      <x:c r="H903" s="7"/>
      <x:c r="I903" s="7"/>
      <x:c r="J903" s="7"/>
      <x:c r="K903" s="7"/>
      <x:c r="L903" s="7"/>
      <x:c r="M903" s="7"/>
      <x:c r="N903" s="7"/>
      <x:c r="O903" s="2" t="str">
        <x:f>IF(A903="","",IF(COUNTIFS($A$7:$A$1506,A903)&gt;1,"Buchung-ID doppelt",IF(OR(NOT(ISNUMBER(B903)),C903="",NOT(ISNUMBER(F903)),H903="",L903=""),"Pflichtangaben fehlen",IF(COUNTIFS('Konten'!$A$7:$A$26,C903)&lt;&gt;1,"Konto nicht eindeutig",IF(J903&lt;&gt;"Ja","Zuordnung bestätigen",IF(OR(AND(H903="Einnahme",F903&lt;0),AND(H903="Ausgabe",F903&gt;0)),"Vorzeichen prüfen",IF(AND(H903="Umbuchung",OR(K903="",COUNTIFS($A$7:$A$1506,K903)&lt;&gt;1)),"Gegenbuchung fehlt",IF(AND(H903="Umbuchung",ROUND(SUMIFS($F$7:$F$1506,$A$7:$A$1506,K903)+F903,2)&lt;&gt;0),"Umbuchung abweichend",IF(OR(G903="",M903="",M903="offen",M903="teilbelegt",H903="Ungeklärt",H903="Bargeld"),"Beleg / Verwendung klären","vollständig erfasst")))))))))</x:f>
      </x:c>
    </x:row>
    <x:row r="904" ht="22" customHeight="1">
      <x:c r="A904" s="7"/>
      <x:c r="B904" s="8"/>
      <x:c r="C904" s="7"/>
      <x:c r="D904" s="7"/>
      <x:c r="E904" s="7"/>
      <x:c r="F904" s="20"/>
      <x:c r="G904" s="7"/>
      <x:c r="H904" s="7"/>
      <x:c r="I904" s="7"/>
      <x:c r="J904" s="7"/>
      <x:c r="K904" s="7"/>
      <x:c r="L904" s="7"/>
      <x:c r="M904" s="7"/>
      <x:c r="N904" s="7"/>
      <x:c r="O904" s="2" t="str">
        <x:f>IF(A904="","",IF(COUNTIFS($A$7:$A$1506,A904)&gt;1,"Buchung-ID doppelt",IF(OR(NOT(ISNUMBER(B904)),C904="",NOT(ISNUMBER(F904)),H904="",L904=""),"Pflichtangaben fehlen",IF(COUNTIFS('Konten'!$A$7:$A$26,C904)&lt;&gt;1,"Konto nicht eindeutig",IF(J904&lt;&gt;"Ja","Zuordnung bestätigen",IF(OR(AND(H904="Einnahme",F904&lt;0),AND(H904="Ausgabe",F904&gt;0)),"Vorzeichen prüfen",IF(AND(H904="Umbuchung",OR(K904="",COUNTIFS($A$7:$A$1506,K904)&lt;&gt;1)),"Gegenbuchung fehlt",IF(AND(H904="Umbuchung",ROUND(SUMIFS($F$7:$F$1506,$A$7:$A$1506,K904)+F904,2)&lt;&gt;0),"Umbuchung abweichend",IF(OR(G904="",M904="",M904="offen",M904="teilbelegt",H904="Ungeklärt",H904="Bargeld"),"Beleg / Verwendung klären","vollständig erfasst")))))))))</x:f>
      </x:c>
    </x:row>
    <x:row r="905" ht="22" customHeight="1">
      <x:c r="A905" s="7"/>
      <x:c r="B905" s="8"/>
      <x:c r="C905" s="7"/>
      <x:c r="D905" s="7"/>
      <x:c r="E905" s="7"/>
      <x:c r="F905" s="20"/>
      <x:c r="G905" s="7"/>
      <x:c r="H905" s="7"/>
      <x:c r="I905" s="7"/>
      <x:c r="J905" s="7"/>
      <x:c r="K905" s="7"/>
      <x:c r="L905" s="7"/>
      <x:c r="M905" s="7"/>
      <x:c r="N905" s="7"/>
      <x:c r="O905" s="2" t="str">
        <x:f>IF(A905="","",IF(COUNTIFS($A$7:$A$1506,A905)&gt;1,"Buchung-ID doppelt",IF(OR(NOT(ISNUMBER(B905)),C905="",NOT(ISNUMBER(F905)),H905="",L905=""),"Pflichtangaben fehlen",IF(COUNTIFS('Konten'!$A$7:$A$26,C905)&lt;&gt;1,"Konto nicht eindeutig",IF(J905&lt;&gt;"Ja","Zuordnung bestätigen",IF(OR(AND(H905="Einnahme",F905&lt;0),AND(H905="Ausgabe",F905&gt;0)),"Vorzeichen prüfen",IF(AND(H905="Umbuchung",OR(K905="",COUNTIFS($A$7:$A$1506,K905)&lt;&gt;1)),"Gegenbuchung fehlt",IF(AND(H905="Umbuchung",ROUND(SUMIFS($F$7:$F$1506,$A$7:$A$1506,K905)+F905,2)&lt;&gt;0),"Umbuchung abweichend",IF(OR(G905="",M905="",M905="offen",M905="teilbelegt",H905="Ungeklärt",H905="Bargeld"),"Beleg / Verwendung klären","vollständig erfasst")))))))))</x:f>
      </x:c>
    </x:row>
    <x:row r="906" ht="22" customHeight="1">
      <x:c r="A906" s="7"/>
      <x:c r="B906" s="8"/>
      <x:c r="C906" s="7"/>
      <x:c r="D906" s="7"/>
      <x:c r="E906" s="7"/>
      <x:c r="F906" s="20"/>
      <x:c r="G906" s="7"/>
      <x:c r="H906" s="7"/>
      <x:c r="I906" s="7"/>
      <x:c r="J906" s="7"/>
      <x:c r="K906" s="7"/>
      <x:c r="L906" s="7"/>
      <x:c r="M906" s="7"/>
      <x:c r="N906" s="7"/>
      <x:c r="O906" s="2" t="str">
        <x:f>IF(A906="","",IF(COUNTIFS($A$7:$A$1506,A906)&gt;1,"Buchung-ID doppelt",IF(OR(NOT(ISNUMBER(B906)),C906="",NOT(ISNUMBER(F906)),H906="",L906=""),"Pflichtangaben fehlen",IF(COUNTIFS('Konten'!$A$7:$A$26,C906)&lt;&gt;1,"Konto nicht eindeutig",IF(J906&lt;&gt;"Ja","Zuordnung bestätigen",IF(OR(AND(H906="Einnahme",F906&lt;0),AND(H906="Ausgabe",F906&gt;0)),"Vorzeichen prüfen",IF(AND(H906="Umbuchung",OR(K906="",COUNTIFS($A$7:$A$1506,K906)&lt;&gt;1)),"Gegenbuchung fehlt",IF(AND(H906="Umbuchung",ROUND(SUMIFS($F$7:$F$1506,$A$7:$A$1506,K906)+F906,2)&lt;&gt;0),"Umbuchung abweichend",IF(OR(G906="",M906="",M906="offen",M906="teilbelegt",H906="Ungeklärt",H906="Bargeld"),"Beleg / Verwendung klären","vollständig erfasst")))))))))</x:f>
      </x:c>
    </x:row>
    <x:row r="907" ht="22" customHeight="1">
      <x:c r="A907" s="7"/>
      <x:c r="B907" s="8"/>
      <x:c r="C907" s="7"/>
      <x:c r="D907" s="7"/>
      <x:c r="E907" s="7"/>
      <x:c r="F907" s="20"/>
      <x:c r="G907" s="7"/>
      <x:c r="H907" s="7"/>
      <x:c r="I907" s="7"/>
      <x:c r="J907" s="7"/>
      <x:c r="K907" s="7"/>
      <x:c r="L907" s="7"/>
      <x:c r="M907" s="7"/>
      <x:c r="N907" s="7"/>
      <x:c r="O907" s="2" t="str">
        <x:f>IF(A907="","",IF(COUNTIFS($A$7:$A$1506,A907)&gt;1,"Buchung-ID doppelt",IF(OR(NOT(ISNUMBER(B907)),C907="",NOT(ISNUMBER(F907)),H907="",L907=""),"Pflichtangaben fehlen",IF(COUNTIFS('Konten'!$A$7:$A$26,C907)&lt;&gt;1,"Konto nicht eindeutig",IF(J907&lt;&gt;"Ja","Zuordnung bestätigen",IF(OR(AND(H907="Einnahme",F907&lt;0),AND(H907="Ausgabe",F907&gt;0)),"Vorzeichen prüfen",IF(AND(H907="Umbuchung",OR(K907="",COUNTIFS($A$7:$A$1506,K907)&lt;&gt;1)),"Gegenbuchung fehlt",IF(AND(H907="Umbuchung",ROUND(SUMIFS($F$7:$F$1506,$A$7:$A$1506,K907)+F907,2)&lt;&gt;0),"Umbuchung abweichend",IF(OR(G907="",M907="",M907="offen",M907="teilbelegt",H907="Ungeklärt",H907="Bargeld"),"Beleg / Verwendung klären","vollständig erfasst")))))))))</x:f>
      </x:c>
    </x:row>
    <x:row r="908" ht="22" customHeight="1">
      <x:c r="A908" s="7"/>
      <x:c r="B908" s="8"/>
      <x:c r="C908" s="7"/>
      <x:c r="D908" s="7"/>
      <x:c r="E908" s="7"/>
      <x:c r="F908" s="20"/>
      <x:c r="G908" s="7"/>
      <x:c r="H908" s="7"/>
      <x:c r="I908" s="7"/>
      <x:c r="J908" s="7"/>
      <x:c r="K908" s="7"/>
      <x:c r="L908" s="7"/>
      <x:c r="M908" s="7"/>
      <x:c r="N908" s="7"/>
      <x:c r="O908" s="2" t="str">
        <x:f>IF(A908="","",IF(COUNTIFS($A$7:$A$1506,A908)&gt;1,"Buchung-ID doppelt",IF(OR(NOT(ISNUMBER(B908)),C908="",NOT(ISNUMBER(F908)),H908="",L908=""),"Pflichtangaben fehlen",IF(COUNTIFS('Konten'!$A$7:$A$26,C908)&lt;&gt;1,"Konto nicht eindeutig",IF(J908&lt;&gt;"Ja","Zuordnung bestätigen",IF(OR(AND(H908="Einnahme",F908&lt;0),AND(H908="Ausgabe",F908&gt;0)),"Vorzeichen prüfen",IF(AND(H908="Umbuchung",OR(K908="",COUNTIFS($A$7:$A$1506,K908)&lt;&gt;1)),"Gegenbuchung fehlt",IF(AND(H908="Umbuchung",ROUND(SUMIFS($F$7:$F$1506,$A$7:$A$1506,K908)+F908,2)&lt;&gt;0),"Umbuchung abweichend",IF(OR(G908="",M908="",M908="offen",M908="teilbelegt",H908="Ungeklärt",H908="Bargeld"),"Beleg / Verwendung klären","vollständig erfasst")))))))))</x:f>
      </x:c>
    </x:row>
    <x:row r="909" ht="22" customHeight="1">
      <x:c r="A909" s="7"/>
      <x:c r="B909" s="8"/>
      <x:c r="C909" s="7"/>
      <x:c r="D909" s="7"/>
      <x:c r="E909" s="7"/>
      <x:c r="F909" s="20"/>
      <x:c r="G909" s="7"/>
      <x:c r="H909" s="7"/>
      <x:c r="I909" s="7"/>
      <x:c r="J909" s="7"/>
      <x:c r="K909" s="7"/>
      <x:c r="L909" s="7"/>
      <x:c r="M909" s="7"/>
      <x:c r="N909" s="7"/>
      <x:c r="O909" s="2" t="str">
        <x:f>IF(A909="","",IF(COUNTIFS($A$7:$A$1506,A909)&gt;1,"Buchung-ID doppelt",IF(OR(NOT(ISNUMBER(B909)),C909="",NOT(ISNUMBER(F909)),H909="",L909=""),"Pflichtangaben fehlen",IF(COUNTIFS('Konten'!$A$7:$A$26,C909)&lt;&gt;1,"Konto nicht eindeutig",IF(J909&lt;&gt;"Ja","Zuordnung bestätigen",IF(OR(AND(H909="Einnahme",F909&lt;0),AND(H909="Ausgabe",F909&gt;0)),"Vorzeichen prüfen",IF(AND(H909="Umbuchung",OR(K909="",COUNTIFS($A$7:$A$1506,K909)&lt;&gt;1)),"Gegenbuchung fehlt",IF(AND(H909="Umbuchung",ROUND(SUMIFS($F$7:$F$1506,$A$7:$A$1506,K909)+F909,2)&lt;&gt;0),"Umbuchung abweichend",IF(OR(G909="",M909="",M909="offen",M909="teilbelegt",H909="Ungeklärt",H909="Bargeld"),"Beleg / Verwendung klären","vollständig erfasst")))))))))</x:f>
      </x:c>
    </x:row>
    <x:row r="910" ht="22" customHeight="1">
      <x:c r="A910" s="7"/>
      <x:c r="B910" s="8"/>
      <x:c r="C910" s="7"/>
      <x:c r="D910" s="7"/>
      <x:c r="E910" s="7"/>
      <x:c r="F910" s="20"/>
      <x:c r="G910" s="7"/>
      <x:c r="H910" s="7"/>
      <x:c r="I910" s="7"/>
      <x:c r="J910" s="7"/>
      <x:c r="K910" s="7"/>
      <x:c r="L910" s="7"/>
      <x:c r="M910" s="7"/>
      <x:c r="N910" s="7"/>
      <x:c r="O910" s="2" t="str">
        <x:f>IF(A910="","",IF(COUNTIFS($A$7:$A$1506,A910)&gt;1,"Buchung-ID doppelt",IF(OR(NOT(ISNUMBER(B910)),C910="",NOT(ISNUMBER(F910)),H910="",L910=""),"Pflichtangaben fehlen",IF(COUNTIFS('Konten'!$A$7:$A$26,C910)&lt;&gt;1,"Konto nicht eindeutig",IF(J910&lt;&gt;"Ja","Zuordnung bestätigen",IF(OR(AND(H910="Einnahme",F910&lt;0),AND(H910="Ausgabe",F910&gt;0)),"Vorzeichen prüfen",IF(AND(H910="Umbuchung",OR(K910="",COUNTIFS($A$7:$A$1506,K910)&lt;&gt;1)),"Gegenbuchung fehlt",IF(AND(H910="Umbuchung",ROUND(SUMIFS($F$7:$F$1506,$A$7:$A$1506,K910)+F910,2)&lt;&gt;0),"Umbuchung abweichend",IF(OR(G910="",M910="",M910="offen",M910="teilbelegt",H910="Ungeklärt",H910="Bargeld"),"Beleg / Verwendung klären","vollständig erfasst")))))))))</x:f>
      </x:c>
    </x:row>
    <x:row r="911" ht="22" customHeight="1">
      <x:c r="A911" s="7"/>
      <x:c r="B911" s="8"/>
      <x:c r="C911" s="7"/>
      <x:c r="D911" s="7"/>
      <x:c r="E911" s="7"/>
      <x:c r="F911" s="20"/>
      <x:c r="G911" s="7"/>
      <x:c r="H911" s="7"/>
      <x:c r="I911" s="7"/>
      <x:c r="J911" s="7"/>
      <x:c r="K911" s="7"/>
      <x:c r="L911" s="7"/>
      <x:c r="M911" s="7"/>
      <x:c r="N911" s="7"/>
      <x:c r="O911" s="2" t="str">
        <x:f>IF(A911="","",IF(COUNTIFS($A$7:$A$1506,A911)&gt;1,"Buchung-ID doppelt",IF(OR(NOT(ISNUMBER(B911)),C911="",NOT(ISNUMBER(F911)),H911="",L911=""),"Pflichtangaben fehlen",IF(COUNTIFS('Konten'!$A$7:$A$26,C911)&lt;&gt;1,"Konto nicht eindeutig",IF(J911&lt;&gt;"Ja","Zuordnung bestätigen",IF(OR(AND(H911="Einnahme",F911&lt;0),AND(H911="Ausgabe",F911&gt;0)),"Vorzeichen prüfen",IF(AND(H911="Umbuchung",OR(K911="",COUNTIFS($A$7:$A$1506,K911)&lt;&gt;1)),"Gegenbuchung fehlt",IF(AND(H911="Umbuchung",ROUND(SUMIFS($F$7:$F$1506,$A$7:$A$1506,K911)+F911,2)&lt;&gt;0),"Umbuchung abweichend",IF(OR(G911="",M911="",M911="offen",M911="teilbelegt",H911="Ungeklärt",H911="Bargeld"),"Beleg / Verwendung klären","vollständig erfasst")))))))))</x:f>
      </x:c>
    </x:row>
    <x:row r="912" ht="22" customHeight="1">
      <x:c r="A912" s="7"/>
      <x:c r="B912" s="8"/>
      <x:c r="C912" s="7"/>
      <x:c r="D912" s="7"/>
      <x:c r="E912" s="7"/>
      <x:c r="F912" s="20"/>
      <x:c r="G912" s="7"/>
      <x:c r="H912" s="7"/>
      <x:c r="I912" s="7"/>
      <x:c r="J912" s="7"/>
      <x:c r="K912" s="7"/>
      <x:c r="L912" s="7"/>
      <x:c r="M912" s="7"/>
      <x:c r="N912" s="7"/>
      <x:c r="O912" s="2" t="str">
        <x:f>IF(A912="","",IF(COUNTIFS($A$7:$A$1506,A912)&gt;1,"Buchung-ID doppelt",IF(OR(NOT(ISNUMBER(B912)),C912="",NOT(ISNUMBER(F912)),H912="",L912=""),"Pflichtangaben fehlen",IF(COUNTIFS('Konten'!$A$7:$A$26,C912)&lt;&gt;1,"Konto nicht eindeutig",IF(J912&lt;&gt;"Ja","Zuordnung bestätigen",IF(OR(AND(H912="Einnahme",F912&lt;0),AND(H912="Ausgabe",F912&gt;0)),"Vorzeichen prüfen",IF(AND(H912="Umbuchung",OR(K912="",COUNTIFS($A$7:$A$1506,K912)&lt;&gt;1)),"Gegenbuchung fehlt",IF(AND(H912="Umbuchung",ROUND(SUMIFS($F$7:$F$1506,$A$7:$A$1506,K912)+F912,2)&lt;&gt;0),"Umbuchung abweichend",IF(OR(G912="",M912="",M912="offen",M912="teilbelegt",H912="Ungeklärt",H912="Bargeld"),"Beleg / Verwendung klären","vollständig erfasst")))))))))</x:f>
      </x:c>
    </x:row>
    <x:row r="913" ht="22" customHeight="1">
      <x:c r="A913" s="7"/>
      <x:c r="B913" s="8"/>
      <x:c r="C913" s="7"/>
      <x:c r="D913" s="7"/>
      <x:c r="E913" s="7"/>
      <x:c r="F913" s="20"/>
      <x:c r="G913" s="7"/>
      <x:c r="H913" s="7"/>
      <x:c r="I913" s="7"/>
      <x:c r="J913" s="7"/>
      <x:c r="K913" s="7"/>
      <x:c r="L913" s="7"/>
      <x:c r="M913" s="7"/>
      <x:c r="N913" s="7"/>
      <x:c r="O913" s="2" t="str">
        <x:f>IF(A913="","",IF(COUNTIFS($A$7:$A$1506,A913)&gt;1,"Buchung-ID doppelt",IF(OR(NOT(ISNUMBER(B913)),C913="",NOT(ISNUMBER(F913)),H913="",L913=""),"Pflichtangaben fehlen",IF(COUNTIFS('Konten'!$A$7:$A$26,C913)&lt;&gt;1,"Konto nicht eindeutig",IF(J913&lt;&gt;"Ja","Zuordnung bestätigen",IF(OR(AND(H913="Einnahme",F913&lt;0),AND(H913="Ausgabe",F913&gt;0)),"Vorzeichen prüfen",IF(AND(H913="Umbuchung",OR(K913="",COUNTIFS($A$7:$A$1506,K913)&lt;&gt;1)),"Gegenbuchung fehlt",IF(AND(H913="Umbuchung",ROUND(SUMIFS($F$7:$F$1506,$A$7:$A$1506,K913)+F913,2)&lt;&gt;0),"Umbuchung abweichend",IF(OR(G913="",M913="",M913="offen",M913="teilbelegt",H913="Ungeklärt",H913="Bargeld"),"Beleg / Verwendung klären","vollständig erfasst")))))))))</x:f>
      </x:c>
    </x:row>
    <x:row r="914" ht="22" customHeight="1">
      <x:c r="A914" s="7"/>
      <x:c r="B914" s="8"/>
      <x:c r="C914" s="7"/>
      <x:c r="D914" s="7"/>
      <x:c r="E914" s="7"/>
      <x:c r="F914" s="20"/>
      <x:c r="G914" s="7"/>
      <x:c r="H914" s="7"/>
      <x:c r="I914" s="7"/>
      <x:c r="J914" s="7"/>
      <x:c r="K914" s="7"/>
      <x:c r="L914" s="7"/>
      <x:c r="M914" s="7"/>
      <x:c r="N914" s="7"/>
      <x:c r="O914" s="2" t="str">
        <x:f>IF(A914="","",IF(COUNTIFS($A$7:$A$1506,A914)&gt;1,"Buchung-ID doppelt",IF(OR(NOT(ISNUMBER(B914)),C914="",NOT(ISNUMBER(F914)),H914="",L914=""),"Pflichtangaben fehlen",IF(COUNTIFS('Konten'!$A$7:$A$26,C914)&lt;&gt;1,"Konto nicht eindeutig",IF(J914&lt;&gt;"Ja","Zuordnung bestätigen",IF(OR(AND(H914="Einnahme",F914&lt;0),AND(H914="Ausgabe",F914&gt;0)),"Vorzeichen prüfen",IF(AND(H914="Umbuchung",OR(K914="",COUNTIFS($A$7:$A$1506,K914)&lt;&gt;1)),"Gegenbuchung fehlt",IF(AND(H914="Umbuchung",ROUND(SUMIFS($F$7:$F$1506,$A$7:$A$1506,K914)+F914,2)&lt;&gt;0),"Umbuchung abweichend",IF(OR(G914="",M914="",M914="offen",M914="teilbelegt",H914="Ungeklärt",H914="Bargeld"),"Beleg / Verwendung klären","vollständig erfasst")))))))))</x:f>
      </x:c>
    </x:row>
    <x:row r="915" ht="22" customHeight="1">
      <x:c r="A915" s="7"/>
      <x:c r="B915" s="8"/>
      <x:c r="C915" s="7"/>
      <x:c r="D915" s="7"/>
      <x:c r="E915" s="7"/>
      <x:c r="F915" s="20"/>
      <x:c r="G915" s="7"/>
      <x:c r="H915" s="7"/>
      <x:c r="I915" s="7"/>
      <x:c r="J915" s="7"/>
      <x:c r="K915" s="7"/>
      <x:c r="L915" s="7"/>
      <x:c r="M915" s="7"/>
      <x:c r="N915" s="7"/>
      <x:c r="O915" s="2" t="str">
        <x:f>IF(A915="","",IF(COUNTIFS($A$7:$A$1506,A915)&gt;1,"Buchung-ID doppelt",IF(OR(NOT(ISNUMBER(B915)),C915="",NOT(ISNUMBER(F915)),H915="",L915=""),"Pflichtangaben fehlen",IF(COUNTIFS('Konten'!$A$7:$A$26,C915)&lt;&gt;1,"Konto nicht eindeutig",IF(J915&lt;&gt;"Ja","Zuordnung bestätigen",IF(OR(AND(H915="Einnahme",F915&lt;0),AND(H915="Ausgabe",F915&gt;0)),"Vorzeichen prüfen",IF(AND(H915="Umbuchung",OR(K915="",COUNTIFS($A$7:$A$1506,K915)&lt;&gt;1)),"Gegenbuchung fehlt",IF(AND(H915="Umbuchung",ROUND(SUMIFS($F$7:$F$1506,$A$7:$A$1506,K915)+F915,2)&lt;&gt;0),"Umbuchung abweichend",IF(OR(G915="",M915="",M915="offen",M915="teilbelegt",H915="Ungeklärt",H915="Bargeld"),"Beleg / Verwendung klären","vollständig erfasst")))))))))</x:f>
      </x:c>
    </x:row>
    <x:row r="916" ht="22" customHeight="1">
      <x:c r="A916" s="7"/>
      <x:c r="B916" s="8"/>
      <x:c r="C916" s="7"/>
      <x:c r="D916" s="7"/>
      <x:c r="E916" s="7"/>
      <x:c r="F916" s="20"/>
      <x:c r="G916" s="7"/>
      <x:c r="H916" s="7"/>
      <x:c r="I916" s="7"/>
      <x:c r="J916" s="7"/>
      <x:c r="K916" s="7"/>
      <x:c r="L916" s="7"/>
      <x:c r="M916" s="7"/>
      <x:c r="N916" s="7"/>
      <x:c r="O916" s="2" t="str">
        <x:f>IF(A916="","",IF(COUNTIFS($A$7:$A$1506,A916)&gt;1,"Buchung-ID doppelt",IF(OR(NOT(ISNUMBER(B916)),C916="",NOT(ISNUMBER(F916)),H916="",L916=""),"Pflichtangaben fehlen",IF(COUNTIFS('Konten'!$A$7:$A$26,C916)&lt;&gt;1,"Konto nicht eindeutig",IF(J916&lt;&gt;"Ja","Zuordnung bestätigen",IF(OR(AND(H916="Einnahme",F916&lt;0),AND(H916="Ausgabe",F916&gt;0)),"Vorzeichen prüfen",IF(AND(H916="Umbuchung",OR(K916="",COUNTIFS($A$7:$A$1506,K916)&lt;&gt;1)),"Gegenbuchung fehlt",IF(AND(H916="Umbuchung",ROUND(SUMIFS($F$7:$F$1506,$A$7:$A$1506,K916)+F916,2)&lt;&gt;0),"Umbuchung abweichend",IF(OR(G916="",M916="",M916="offen",M916="teilbelegt",H916="Ungeklärt",H916="Bargeld"),"Beleg / Verwendung klären","vollständig erfasst")))))))))</x:f>
      </x:c>
    </x:row>
    <x:row r="917" ht="22" customHeight="1">
      <x:c r="A917" s="7"/>
      <x:c r="B917" s="8"/>
      <x:c r="C917" s="7"/>
      <x:c r="D917" s="7"/>
      <x:c r="E917" s="7"/>
      <x:c r="F917" s="20"/>
      <x:c r="G917" s="7"/>
      <x:c r="H917" s="7"/>
      <x:c r="I917" s="7"/>
      <x:c r="J917" s="7"/>
      <x:c r="K917" s="7"/>
      <x:c r="L917" s="7"/>
      <x:c r="M917" s="7"/>
      <x:c r="N917" s="7"/>
      <x:c r="O917" s="2" t="str">
        <x:f>IF(A917="","",IF(COUNTIFS($A$7:$A$1506,A917)&gt;1,"Buchung-ID doppelt",IF(OR(NOT(ISNUMBER(B917)),C917="",NOT(ISNUMBER(F917)),H917="",L917=""),"Pflichtangaben fehlen",IF(COUNTIFS('Konten'!$A$7:$A$26,C917)&lt;&gt;1,"Konto nicht eindeutig",IF(J917&lt;&gt;"Ja","Zuordnung bestätigen",IF(OR(AND(H917="Einnahme",F917&lt;0),AND(H917="Ausgabe",F917&gt;0)),"Vorzeichen prüfen",IF(AND(H917="Umbuchung",OR(K917="",COUNTIFS($A$7:$A$1506,K917)&lt;&gt;1)),"Gegenbuchung fehlt",IF(AND(H917="Umbuchung",ROUND(SUMIFS($F$7:$F$1506,$A$7:$A$1506,K917)+F917,2)&lt;&gt;0),"Umbuchung abweichend",IF(OR(G917="",M917="",M917="offen",M917="teilbelegt",H917="Ungeklärt",H917="Bargeld"),"Beleg / Verwendung klären","vollständig erfasst")))))))))</x:f>
      </x:c>
    </x:row>
    <x:row r="918" ht="22" customHeight="1">
      <x:c r="A918" s="7"/>
      <x:c r="B918" s="8"/>
      <x:c r="C918" s="7"/>
      <x:c r="D918" s="7"/>
      <x:c r="E918" s="7"/>
      <x:c r="F918" s="20"/>
      <x:c r="G918" s="7"/>
      <x:c r="H918" s="7"/>
      <x:c r="I918" s="7"/>
      <x:c r="J918" s="7"/>
      <x:c r="K918" s="7"/>
      <x:c r="L918" s="7"/>
      <x:c r="M918" s="7"/>
      <x:c r="N918" s="7"/>
      <x:c r="O918" s="2" t="str">
        <x:f>IF(A918="","",IF(COUNTIFS($A$7:$A$1506,A918)&gt;1,"Buchung-ID doppelt",IF(OR(NOT(ISNUMBER(B918)),C918="",NOT(ISNUMBER(F918)),H918="",L918=""),"Pflichtangaben fehlen",IF(COUNTIFS('Konten'!$A$7:$A$26,C918)&lt;&gt;1,"Konto nicht eindeutig",IF(J918&lt;&gt;"Ja","Zuordnung bestätigen",IF(OR(AND(H918="Einnahme",F918&lt;0),AND(H918="Ausgabe",F918&gt;0)),"Vorzeichen prüfen",IF(AND(H918="Umbuchung",OR(K918="",COUNTIFS($A$7:$A$1506,K918)&lt;&gt;1)),"Gegenbuchung fehlt",IF(AND(H918="Umbuchung",ROUND(SUMIFS($F$7:$F$1506,$A$7:$A$1506,K918)+F918,2)&lt;&gt;0),"Umbuchung abweichend",IF(OR(G918="",M918="",M918="offen",M918="teilbelegt",H918="Ungeklärt",H918="Bargeld"),"Beleg / Verwendung klären","vollständig erfasst")))))))))</x:f>
      </x:c>
    </x:row>
    <x:row r="919" ht="22" customHeight="1">
      <x:c r="A919" s="7"/>
      <x:c r="B919" s="8"/>
      <x:c r="C919" s="7"/>
      <x:c r="D919" s="7"/>
      <x:c r="E919" s="7"/>
      <x:c r="F919" s="20"/>
      <x:c r="G919" s="7"/>
      <x:c r="H919" s="7"/>
      <x:c r="I919" s="7"/>
      <x:c r="J919" s="7"/>
      <x:c r="K919" s="7"/>
      <x:c r="L919" s="7"/>
      <x:c r="M919" s="7"/>
      <x:c r="N919" s="7"/>
      <x:c r="O919" s="2" t="str">
        <x:f>IF(A919="","",IF(COUNTIFS($A$7:$A$1506,A919)&gt;1,"Buchung-ID doppelt",IF(OR(NOT(ISNUMBER(B919)),C919="",NOT(ISNUMBER(F919)),H919="",L919=""),"Pflichtangaben fehlen",IF(COUNTIFS('Konten'!$A$7:$A$26,C919)&lt;&gt;1,"Konto nicht eindeutig",IF(J919&lt;&gt;"Ja","Zuordnung bestätigen",IF(OR(AND(H919="Einnahme",F919&lt;0),AND(H919="Ausgabe",F919&gt;0)),"Vorzeichen prüfen",IF(AND(H919="Umbuchung",OR(K919="",COUNTIFS($A$7:$A$1506,K919)&lt;&gt;1)),"Gegenbuchung fehlt",IF(AND(H919="Umbuchung",ROUND(SUMIFS($F$7:$F$1506,$A$7:$A$1506,K919)+F919,2)&lt;&gt;0),"Umbuchung abweichend",IF(OR(G919="",M919="",M919="offen",M919="teilbelegt",H919="Ungeklärt",H919="Bargeld"),"Beleg / Verwendung klären","vollständig erfasst")))))))))</x:f>
      </x:c>
    </x:row>
    <x:row r="920" ht="22" customHeight="1">
      <x:c r="A920" s="7"/>
      <x:c r="B920" s="8"/>
      <x:c r="C920" s="7"/>
      <x:c r="D920" s="7"/>
      <x:c r="E920" s="7"/>
      <x:c r="F920" s="20"/>
      <x:c r="G920" s="7"/>
      <x:c r="H920" s="7"/>
      <x:c r="I920" s="7"/>
      <x:c r="J920" s="7"/>
      <x:c r="K920" s="7"/>
      <x:c r="L920" s="7"/>
      <x:c r="M920" s="7"/>
      <x:c r="N920" s="7"/>
      <x:c r="O920" s="2" t="str">
        <x:f>IF(A920="","",IF(COUNTIFS($A$7:$A$1506,A920)&gt;1,"Buchung-ID doppelt",IF(OR(NOT(ISNUMBER(B920)),C920="",NOT(ISNUMBER(F920)),H920="",L920=""),"Pflichtangaben fehlen",IF(COUNTIFS('Konten'!$A$7:$A$26,C920)&lt;&gt;1,"Konto nicht eindeutig",IF(J920&lt;&gt;"Ja","Zuordnung bestätigen",IF(OR(AND(H920="Einnahme",F920&lt;0),AND(H920="Ausgabe",F920&gt;0)),"Vorzeichen prüfen",IF(AND(H920="Umbuchung",OR(K920="",COUNTIFS($A$7:$A$1506,K920)&lt;&gt;1)),"Gegenbuchung fehlt",IF(AND(H920="Umbuchung",ROUND(SUMIFS($F$7:$F$1506,$A$7:$A$1506,K920)+F920,2)&lt;&gt;0),"Umbuchung abweichend",IF(OR(G920="",M920="",M920="offen",M920="teilbelegt",H920="Ungeklärt",H920="Bargeld"),"Beleg / Verwendung klären","vollständig erfasst")))))))))</x:f>
      </x:c>
    </x:row>
    <x:row r="921" ht="22" customHeight="1">
      <x:c r="A921" s="7"/>
      <x:c r="B921" s="8"/>
      <x:c r="C921" s="7"/>
      <x:c r="D921" s="7"/>
      <x:c r="E921" s="7"/>
      <x:c r="F921" s="20"/>
      <x:c r="G921" s="7"/>
      <x:c r="H921" s="7"/>
      <x:c r="I921" s="7"/>
      <x:c r="J921" s="7"/>
      <x:c r="K921" s="7"/>
      <x:c r="L921" s="7"/>
      <x:c r="M921" s="7"/>
      <x:c r="N921" s="7"/>
      <x:c r="O921" s="2" t="str">
        <x:f>IF(A921="","",IF(COUNTIFS($A$7:$A$1506,A921)&gt;1,"Buchung-ID doppelt",IF(OR(NOT(ISNUMBER(B921)),C921="",NOT(ISNUMBER(F921)),H921="",L921=""),"Pflichtangaben fehlen",IF(COUNTIFS('Konten'!$A$7:$A$26,C921)&lt;&gt;1,"Konto nicht eindeutig",IF(J921&lt;&gt;"Ja","Zuordnung bestätigen",IF(OR(AND(H921="Einnahme",F921&lt;0),AND(H921="Ausgabe",F921&gt;0)),"Vorzeichen prüfen",IF(AND(H921="Umbuchung",OR(K921="",COUNTIFS($A$7:$A$1506,K921)&lt;&gt;1)),"Gegenbuchung fehlt",IF(AND(H921="Umbuchung",ROUND(SUMIFS($F$7:$F$1506,$A$7:$A$1506,K921)+F921,2)&lt;&gt;0),"Umbuchung abweichend",IF(OR(G921="",M921="",M921="offen",M921="teilbelegt",H921="Ungeklärt",H921="Bargeld"),"Beleg / Verwendung klären","vollständig erfasst")))))))))</x:f>
      </x:c>
    </x:row>
    <x:row r="922" ht="22" customHeight="1">
      <x:c r="A922" s="7"/>
      <x:c r="B922" s="8"/>
      <x:c r="C922" s="7"/>
      <x:c r="D922" s="7"/>
      <x:c r="E922" s="7"/>
      <x:c r="F922" s="20"/>
      <x:c r="G922" s="7"/>
      <x:c r="H922" s="7"/>
      <x:c r="I922" s="7"/>
      <x:c r="J922" s="7"/>
      <x:c r="K922" s="7"/>
      <x:c r="L922" s="7"/>
      <x:c r="M922" s="7"/>
      <x:c r="N922" s="7"/>
      <x:c r="O922" s="2" t="str">
        <x:f>IF(A922="","",IF(COUNTIFS($A$7:$A$1506,A922)&gt;1,"Buchung-ID doppelt",IF(OR(NOT(ISNUMBER(B922)),C922="",NOT(ISNUMBER(F922)),H922="",L922=""),"Pflichtangaben fehlen",IF(COUNTIFS('Konten'!$A$7:$A$26,C922)&lt;&gt;1,"Konto nicht eindeutig",IF(J922&lt;&gt;"Ja","Zuordnung bestätigen",IF(OR(AND(H922="Einnahme",F922&lt;0),AND(H922="Ausgabe",F922&gt;0)),"Vorzeichen prüfen",IF(AND(H922="Umbuchung",OR(K922="",COUNTIFS($A$7:$A$1506,K922)&lt;&gt;1)),"Gegenbuchung fehlt",IF(AND(H922="Umbuchung",ROUND(SUMIFS($F$7:$F$1506,$A$7:$A$1506,K922)+F922,2)&lt;&gt;0),"Umbuchung abweichend",IF(OR(G922="",M922="",M922="offen",M922="teilbelegt",H922="Ungeklärt",H922="Bargeld"),"Beleg / Verwendung klären","vollständig erfasst")))))))))</x:f>
      </x:c>
    </x:row>
    <x:row r="923" ht="22" customHeight="1">
      <x:c r="A923" s="7"/>
      <x:c r="B923" s="8"/>
      <x:c r="C923" s="7"/>
      <x:c r="D923" s="7"/>
      <x:c r="E923" s="7"/>
      <x:c r="F923" s="20"/>
      <x:c r="G923" s="7"/>
      <x:c r="H923" s="7"/>
      <x:c r="I923" s="7"/>
      <x:c r="J923" s="7"/>
      <x:c r="K923" s="7"/>
      <x:c r="L923" s="7"/>
      <x:c r="M923" s="7"/>
      <x:c r="N923" s="7"/>
      <x:c r="O923" s="2" t="str">
        <x:f>IF(A923="","",IF(COUNTIFS($A$7:$A$1506,A923)&gt;1,"Buchung-ID doppelt",IF(OR(NOT(ISNUMBER(B923)),C923="",NOT(ISNUMBER(F923)),H923="",L923=""),"Pflichtangaben fehlen",IF(COUNTIFS('Konten'!$A$7:$A$26,C923)&lt;&gt;1,"Konto nicht eindeutig",IF(J923&lt;&gt;"Ja","Zuordnung bestätigen",IF(OR(AND(H923="Einnahme",F923&lt;0),AND(H923="Ausgabe",F923&gt;0)),"Vorzeichen prüfen",IF(AND(H923="Umbuchung",OR(K923="",COUNTIFS($A$7:$A$1506,K923)&lt;&gt;1)),"Gegenbuchung fehlt",IF(AND(H923="Umbuchung",ROUND(SUMIFS($F$7:$F$1506,$A$7:$A$1506,K923)+F923,2)&lt;&gt;0),"Umbuchung abweichend",IF(OR(G923="",M923="",M923="offen",M923="teilbelegt",H923="Ungeklärt",H923="Bargeld"),"Beleg / Verwendung klären","vollständig erfasst")))))))))</x:f>
      </x:c>
    </x:row>
    <x:row r="924" ht="22" customHeight="1">
      <x:c r="A924" s="7"/>
      <x:c r="B924" s="8"/>
      <x:c r="C924" s="7"/>
      <x:c r="D924" s="7"/>
      <x:c r="E924" s="7"/>
      <x:c r="F924" s="20"/>
      <x:c r="G924" s="7"/>
      <x:c r="H924" s="7"/>
      <x:c r="I924" s="7"/>
      <x:c r="J924" s="7"/>
      <x:c r="K924" s="7"/>
      <x:c r="L924" s="7"/>
      <x:c r="M924" s="7"/>
      <x:c r="N924" s="7"/>
      <x:c r="O924" s="2" t="str">
        <x:f>IF(A924="","",IF(COUNTIFS($A$7:$A$1506,A924)&gt;1,"Buchung-ID doppelt",IF(OR(NOT(ISNUMBER(B924)),C924="",NOT(ISNUMBER(F924)),H924="",L924=""),"Pflichtangaben fehlen",IF(COUNTIFS('Konten'!$A$7:$A$26,C924)&lt;&gt;1,"Konto nicht eindeutig",IF(J924&lt;&gt;"Ja","Zuordnung bestätigen",IF(OR(AND(H924="Einnahme",F924&lt;0),AND(H924="Ausgabe",F924&gt;0)),"Vorzeichen prüfen",IF(AND(H924="Umbuchung",OR(K924="",COUNTIFS($A$7:$A$1506,K924)&lt;&gt;1)),"Gegenbuchung fehlt",IF(AND(H924="Umbuchung",ROUND(SUMIFS($F$7:$F$1506,$A$7:$A$1506,K924)+F924,2)&lt;&gt;0),"Umbuchung abweichend",IF(OR(G924="",M924="",M924="offen",M924="teilbelegt",H924="Ungeklärt",H924="Bargeld"),"Beleg / Verwendung klären","vollständig erfasst")))))))))</x:f>
      </x:c>
    </x:row>
    <x:row r="925" ht="22" customHeight="1">
      <x:c r="A925" s="7"/>
      <x:c r="B925" s="8"/>
      <x:c r="C925" s="7"/>
      <x:c r="D925" s="7"/>
      <x:c r="E925" s="7"/>
      <x:c r="F925" s="20"/>
      <x:c r="G925" s="7"/>
      <x:c r="H925" s="7"/>
      <x:c r="I925" s="7"/>
      <x:c r="J925" s="7"/>
      <x:c r="K925" s="7"/>
      <x:c r="L925" s="7"/>
      <x:c r="M925" s="7"/>
      <x:c r="N925" s="7"/>
      <x:c r="O925" s="2" t="str">
        <x:f>IF(A925="","",IF(COUNTIFS($A$7:$A$1506,A925)&gt;1,"Buchung-ID doppelt",IF(OR(NOT(ISNUMBER(B925)),C925="",NOT(ISNUMBER(F925)),H925="",L925=""),"Pflichtangaben fehlen",IF(COUNTIFS('Konten'!$A$7:$A$26,C925)&lt;&gt;1,"Konto nicht eindeutig",IF(J925&lt;&gt;"Ja","Zuordnung bestätigen",IF(OR(AND(H925="Einnahme",F925&lt;0),AND(H925="Ausgabe",F925&gt;0)),"Vorzeichen prüfen",IF(AND(H925="Umbuchung",OR(K925="",COUNTIFS($A$7:$A$1506,K925)&lt;&gt;1)),"Gegenbuchung fehlt",IF(AND(H925="Umbuchung",ROUND(SUMIFS($F$7:$F$1506,$A$7:$A$1506,K925)+F925,2)&lt;&gt;0),"Umbuchung abweichend",IF(OR(G925="",M925="",M925="offen",M925="teilbelegt",H925="Ungeklärt",H925="Bargeld"),"Beleg / Verwendung klären","vollständig erfasst")))))))))</x:f>
      </x:c>
    </x:row>
    <x:row r="926" ht="22" customHeight="1">
      <x:c r="A926" s="7"/>
      <x:c r="B926" s="8"/>
      <x:c r="C926" s="7"/>
      <x:c r="D926" s="7"/>
      <x:c r="E926" s="7"/>
      <x:c r="F926" s="20"/>
      <x:c r="G926" s="7"/>
      <x:c r="H926" s="7"/>
      <x:c r="I926" s="7"/>
      <x:c r="J926" s="7"/>
      <x:c r="K926" s="7"/>
      <x:c r="L926" s="7"/>
      <x:c r="M926" s="7"/>
      <x:c r="N926" s="7"/>
      <x:c r="O926" s="2" t="str">
        <x:f>IF(A926="","",IF(COUNTIFS($A$7:$A$1506,A926)&gt;1,"Buchung-ID doppelt",IF(OR(NOT(ISNUMBER(B926)),C926="",NOT(ISNUMBER(F926)),H926="",L926=""),"Pflichtangaben fehlen",IF(COUNTIFS('Konten'!$A$7:$A$26,C926)&lt;&gt;1,"Konto nicht eindeutig",IF(J926&lt;&gt;"Ja","Zuordnung bestätigen",IF(OR(AND(H926="Einnahme",F926&lt;0),AND(H926="Ausgabe",F926&gt;0)),"Vorzeichen prüfen",IF(AND(H926="Umbuchung",OR(K926="",COUNTIFS($A$7:$A$1506,K926)&lt;&gt;1)),"Gegenbuchung fehlt",IF(AND(H926="Umbuchung",ROUND(SUMIFS($F$7:$F$1506,$A$7:$A$1506,K926)+F926,2)&lt;&gt;0),"Umbuchung abweichend",IF(OR(G926="",M926="",M926="offen",M926="teilbelegt",H926="Ungeklärt",H926="Bargeld"),"Beleg / Verwendung klären","vollständig erfasst")))))))))</x:f>
      </x:c>
    </x:row>
    <x:row r="927" ht="22" customHeight="1">
      <x:c r="A927" s="7"/>
      <x:c r="B927" s="8"/>
      <x:c r="C927" s="7"/>
      <x:c r="D927" s="7"/>
      <x:c r="E927" s="7"/>
      <x:c r="F927" s="20"/>
      <x:c r="G927" s="7"/>
      <x:c r="H927" s="7"/>
      <x:c r="I927" s="7"/>
      <x:c r="J927" s="7"/>
      <x:c r="K927" s="7"/>
      <x:c r="L927" s="7"/>
      <x:c r="M927" s="7"/>
      <x:c r="N927" s="7"/>
      <x:c r="O927" s="2" t="str">
        <x:f>IF(A927="","",IF(COUNTIFS($A$7:$A$1506,A927)&gt;1,"Buchung-ID doppelt",IF(OR(NOT(ISNUMBER(B927)),C927="",NOT(ISNUMBER(F927)),H927="",L927=""),"Pflichtangaben fehlen",IF(COUNTIFS('Konten'!$A$7:$A$26,C927)&lt;&gt;1,"Konto nicht eindeutig",IF(J927&lt;&gt;"Ja","Zuordnung bestätigen",IF(OR(AND(H927="Einnahme",F927&lt;0),AND(H927="Ausgabe",F927&gt;0)),"Vorzeichen prüfen",IF(AND(H927="Umbuchung",OR(K927="",COUNTIFS($A$7:$A$1506,K927)&lt;&gt;1)),"Gegenbuchung fehlt",IF(AND(H927="Umbuchung",ROUND(SUMIFS($F$7:$F$1506,$A$7:$A$1506,K927)+F927,2)&lt;&gt;0),"Umbuchung abweichend",IF(OR(G927="",M927="",M927="offen",M927="teilbelegt",H927="Ungeklärt",H927="Bargeld"),"Beleg / Verwendung klären","vollständig erfasst")))))))))</x:f>
      </x:c>
    </x:row>
    <x:row r="928" ht="22" customHeight="1">
      <x:c r="A928" s="7"/>
      <x:c r="B928" s="8"/>
      <x:c r="C928" s="7"/>
      <x:c r="D928" s="7"/>
      <x:c r="E928" s="7"/>
      <x:c r="F928" s="20"/>
      <x:c r="G928" s="7"/>
      <x:c r="H928" s="7"/>
      <x:c r="I928" s="7"/>
      <x:c r="J928" s="7"/>
      <x:c r="K928" s="7"/>
      <x:c r="L928" s="7"/>
      <x:c r="M928" s="7"/>
      <x:c r="N928" s="7"/>
      <x:c r="O928" s="2" t="str">
        <x:f>IF(A928="","",IF(COUNTIFS($A$7:$A$1506,A928)&gt;1,"Buchung-ID doppelt",IF(OR(NOT(ISNUMBER(B928)),C928="",NOT(ISNUMBER(F928)),H928="",L928=""),"Pflichtangaben fehlen",IF(COUNTIFS('Konten'!$A$7:$A$26,C928)&lt;&gt;1,"Konto nicht eindeutig",IF(J928&lt;&gt;"Ja","Zuordnung bestätigen",IF(OR(AND(H928="Einnahme",F928&lt;0),AND(H928="Ausgabe",F928&gt;0)),"Vorzeichen prüfen",IF(AND(H928="Umbuchung",OR(K928="",COUNTIFS($A$7:$A$1506,K928)&lt;&gt;1)),"Gegenbuchung fehlt",IF(AND(H928="Umbuchung",ROUND(SUMIFS($F$7:$F$1506,$A$7:$A$1506,K928)+F928,2)&lt;&gt;0),"Umbuchung abweichend",IF(OR(G928="",M928="",M928="offen",M928="teilbelegt",H928="Ungeklärt",H928="Bargeld"),"Beleg / Verwendung klären","vollständig erfasst")))))))))</x:f>
      </x:c>
    </x:row>
    <x:row r="929" ht="22" customHeight="1">
      <x:c r="A929" s="7"/>
      <x:c r="B929" s="8"/>
      <x:c r="C929" s="7"/>
      <x:c r="D929" s="7"/>
      <x:c r="E929" s="7"/>
      <x:c r="F929" s="20"/>
      <x:c r="G929" s="7"/>
      <x:c r="H929" s="7"/>
      <x:c r="I929" s="7"/>
      <x:c r="J929" s="7"/>
      <x:c r="K929" s="7"/>
      <x:c r="L929" s="7"/>
      <x:c r="M929" s="7"/>
      <x:c r="N929" s="7"/>
      <x:c r="O929" s="2" t="str">
        <x:f>IF(A929="","",IF(COUNTIFS($A$7:$A$1506,A929)&gt;1,"Buchung-ID doppelt",IF(OR(NOT(ISNUMBER(B929)),C929="",NOT(ISNUMBER(F929)),H929="",L929=""),"Pflichtangaben fehlen",IF(COUNTIFS('Konten'!$A$7:$A$26,C929)&lt;&gt;1,"Konto nicht eindeutig",IF(J929&lt;&gt;"Ja","Zuordnung bestätigen",IF(OR(AND(H929="Einnahme",F929&lt;0),AND(H929="Ausgabe",F929&gt;0)),"Vorzeichen prüfen",IF(AND(H929="Umbuchung",OR(K929="",COUNTIFS($A$7:$A$1506,K929)&lt;&gt;1)),"Gegenbuchung fehlt",IF(AND(H929="Umbuchung",ROUND(SUMIFS($F$7:$F$1506,$A$7:$A$1506,K929)+F929,2)&lt;&gt;0),"Umbuchung abweichend",IF(OR(G929="",M929="",M929="offen",M929="teilbelegt",H929="Ungeklärt",H929="Bargeld"),"Beleg / Verwendung klären","vollständig erfasst")))))))))</x:f>
      </x:c>
    </x:row>
    <x:row r="930" ht="22" customHeight="1">
      <x:c r="A930" s="7"/>
      <x:c r="B930" s="8"/>
      <x:c r="C930" s="7"/>
      <x:c r="D930" s="7"/>
      <x:c r="E930" s="7"/>
      <x:c r="F930" s="20"/>
      <x:c r="G930" s="7"/>
      <x:c r="H930" s="7"/>
      <x:c r="I930" s="7"/>
      <x:c r="J930" s="7"/>
      <x:c r="K930" s="7"/>
      <x:c r="L930" s="7"/>
      <x:c r="M930" s="7"/>
      <x:c r="N930" s="7"/>
      <x:c r="O930" s="2" t="str">
        <x:f>IF(A930="","",IF(COUNTIFS($A$7:$A$1506,A930)&gt;1,"Buchung-ID doppelt",IF(OR(NOT(ISNUMBER(B930)),C930="",NOT(ISNUMBER(F930)),H930="",L930=""),"Pflichtangaben fehlen",IF(COUNTIFS('Konten'!$A$7:$A$26,C930)&lt;&gt;1,"Konto nicht eindeutig",IF(J930&lt;&gt;"Ja","Zuordnung bestätigen",IF(OR(AND(H930="Einnahme",F930&lt;0),AND(H930="Ausgabe",F930&gt;0)),"Vorzeichen prüfen",IF(AND(H930="Umbuchung",OR(K930="",COUNTIFS($A$7:$A$1506,K930)&lt;&gt;1)),"Gegenbuchung fehlt",IF(AND(H930="Umbuchung",ROUND(SUMIFS($F$7:$F$1506,$A$7:$A$1506,K930)+F930,2)&lt;&gt;0),"Umbuchung abweichend",IF(OR(G930="",M930="",M930="offen",M930="teilbelegt",H930="Ungeklärt",H930="Bargeld"),"Beleg / Verwendung klären","vollständig erfasst")))))))))</x:f>
      </x:c>
    </x:row>
    <x:row r="931" ht="22" customHeight="1">
      <x:c r="A931" s="7"/>
      <x:c r="B931" s="8"/>
      <x:c r="C931" s="7"/>
      <x:c r="D931" s="7"/>
      <x:c r="E931" s="7"/>
      <x:c r="F931" s="20"/>
      <x:c r="G931" s="7"/>
      <x:c r="H931" s="7"/>
      <x:c r="I931" s="7"/>
      <x:c r="J931" s="7"/>
      <x:c r="K931" s="7"/>
      <x:c r="L931" s="7"/>
      <x:c r="M931" s="7"/>
      <x:c r="N931" s="7"/>
      <x:c r="O931" s="2" t="str">
        <x:f>IF(A931="","",IF(COUNTIFS($A$7:$A$1506,A931)&gt;1,"Buchung-ID doppelt",IF(OR(NOT(ISNUMBER(B931)),C931="",NOT(ISNUMBER(F931)),H931="",L931=""),"Pflichtangaben fehlen",IF(COUNTIFS('Konten'!$A$7:$A$26,C931)&lt;&gt;1,"Konto nicht eindeutig",IF(J931&lt;&gt;"Ja","Zuordnung bestätigen",IF(OR(AND(H931="Einnahme",F931&lt;0),AND(H931="Ausgabe",F931&gt;0)),"Vorzeichen prüfen",IF(AND(H931="Umbuchung",OR(K931="",COUNTIFS($A$7:$A$1506,K931)&lt;&gt;1)),"Gegenbuchung fehlt",IF(AND(H931="Umbuchung",ROUND(SUMIFS($F$7:$F$1506,$A$7:$A$1506,K931)+F931,2)&lt;&gt;0),"Umbuchung abweichend",IF(OR(G931="",M931="",M931="offen",M931="teilbelegt",H931="Ungeklärt",H931="Bargeld"),"Beleg / Verwendung klären","vollständig erfasst")))))))))</x:f>
      </x:c>
    </x:row>
    <x:row r="932" ht="22" customHeight="1">
      <x:c r="A932" s="7"/>
      <x:c r="B932" s="8"/>
      <x:c r="C932" s="7"/>
      <x:c r="D932" s="7"/>
      <x:c r="E932" s="7"/>
      <x:c r="F932" s="20"/>
      <x:c r="G932" s="7"/>
      <x:c r="H932" s="7"/>
      <x:c r="I932" s="7"/>
      <x:c r="J932" s="7"/>
      <x:c r="K932" s="7"/>
      <x:c r="L932" s="7"/>
      <x:c r="M932" s="7"/>
      <x:c r="N932" s="7"/>
      <x:c r="O932" s="2" t="str">
        <x:f>IF(A932="","",IF(COUNTIFS($A$7:$A$1506,A932)&gt;1,"Buchung-ID doppelt",IF(OR(NOT(ISNUMBER(B932)),C932="",NOT(ISNUMBER(F932)),H932="",L932=""),"Pflichtangaben fehlen",IF(COUNTIFS('Konten'!$A$7:$A$26,C932)&lt;&gt;1,"Konto nicht eindeutig",IF(J932&lt;&gt;"Ja","Zuordnung bestätigen",IF(OR(AND(H932="Einnahme",F932&lt;0),AND(H932="Ausgabe",F932&gt;0)),"Vorzeichen prüfen",IF(AND(H932="Umbuchung",OR(K932="",COUNTIFS($A$7:$A$1506,K932)&lt;&gt;1)),"Gegenbuchung fehlt",IF(AND(H932="Umbuchung",ROUND(SUMIFS($F$7:$F$1506,$A$7:$A$1506,K932)+F932,2)&lt;&gt;0),"Umbuchung abweichend",IF(OR(G932="",M932="",M932="offen",M932="teilbelegt",H932="Ungeklärt",H932="Bargeld"),"Beleg / Verwendung klären","vollständig erfasst")))))))))</x:f>
      </x:c>
    </x:row>
    <x:row r="933" ht="22" customHeight="1">
      <x:c r="A933" s="7"/>
      <x:c r="B933" s="8"/>
      <x:c r="C933" s="7"/>
      <x:c r="D933" s="7"/>
      <x:c r="E933" s="7"/>
      <x:c r="F933" s="20"/>
      <x:c r="G933" s="7"/>
      <x:c r="H933" s="7"/>
      <x:c r="I933" s="7"/>
      <x:c r="J933" s="7"/>
      <x:c r="K933" s="7"/>
      <x:c r="L933" s="7"/>
      <x:c r="M933" s="7"/>
      <x:c r="N933" s="7"/>
      <x:c r="O933" s="2" t="str">
        <x:f>IF(A933="","",IF(COUNTIFS($A$7:$A$1506,A933)&gt;1,"Buchung-ID doppelt",IF(OR(NOT(ISNUMBER(B933)),C933="",NOT(ISNUMBER(F933)),H933="",L933=""),"Pflichtangaben fehlen",IF(COUNTIFS('Konten'!$A$7:$A$26,C933)&lt;&gt;1,"Konto nicht eindeutig",IF(J933&lt;&gt;"Ja","Zuordnung bestätigen",IF(OR(AND(H933="Einnahme",F933&lt;0),AND(H933="Ausgabe",F933&gt;0)),"Vorzeichen prüfen",IF(AND(H933="Umbuchung",OR(K933="",COUNTIFS($A$7:$A$1506,K933)&lt;&gt;1)),"Gegenbuchung fehlt",IF(AND(H933="Umbuchung",ROUND(SUMIFS($F$7:$F$1506,$A$7:$A$1506,K933)+F933,2)&lt;&gt;0),"Umbuchung abweichend",IF(OR(G933="",M933="",M933="offen",M933="teilbelegt",H933="Ungeklärt",H933="Bargeld"),"Beleg / Verwendung klären","vollständig erfasst")))))))))</x:f>
      </x:c>
    </x:row>
    <x:row r="934" ht="22" customHeight="1">
      <x:c r="A934" s="7"/>
      <x:c r="B934" s="8"/>
      <x:c r="C934" s="7"/>
      <x:c r="D934" s="7"/>
      <x:c r="E934" s="7"/>
      <x:c r="F934" s="20"/>
      <x:c r="G934" s="7"/>
      <x:c r="H934" s="7"/>
      <x:c r="I934" s="7"/>
      <x:c r="J934" s="7"/>
      <x:c r="K934" s="7"/>
      <x:c r="L934" s="7"/>
      <x:c r="M934" s="7"/>
      <x:c r="N934" s="7"/>
      <x:c r="O934" s="2" t="str">
        <x:f>IF(A934="","",IF(COUNTIFS($A$7:$A$1506,A934)&gt;1,"Buchung-ID doppelt",IF(OR(NOT(ISNUMBER(B934)),C934="",NOT(ISNUMBER(F934)),H934="",L934=""),"Pflichtangaben fehlen",IF(COUNTIFS('Konten'!$A$7:$A$26,C934)&lt;&gt;1,"Konto nicht eindeutig",IF(J934&lt;&gt;"Ja","Zuordnung bestätigen",IF(OR(AND(H934="Einnahme",F934&lt;0),AND(H934="Ausgabe",F934&gt;0)),"Vorzeichen prüfen",IF(AND(H934="Umbuchung",OR(K934="",COUNTIFS($A$7:$A$1506,K934)&lt;&gt;1)),"Gegenbuchung fehlt",IF(AND(H934="Umbuchung",ROUND(SUMIFS($F$7:$F$1506,$A$7:$A$1506,K934)+F934,2)&lt;&gt;0),"Umbuchung abweichend",IF(OR(G934="",M934="",M934="offen",M934="teilbelegt",H934="Ungeklärt",H934="Bargeld"),"Beleg / Verwendung klären","vollständig erfasst")))))))))</x:f>
      </x:c>
    </x:row>
    <x:row r="935" ht="22" customHeight="1">
      <x:c r="A935" s="7"/>
      <x:c r="B935" s="8"/>
      <x:c r="C935" s="7"/>
      <x:c r="D935" s="7"/>
      <x:c r="E935" s="7"/>
      <x:c r="F935" s="20"/>
      <x:c r="G935" s="7"/>
      <x:c r="H935" s="7"/>
      <x:c r="I935" s="7"/>
      <x:c r="J935" s="7"/>
      <x:c r="K935" s="7"/>
      <x:c r="L935" s="7"/>
      <x:c r="M935" s="7"/>
      <x:c r="N935" s="7"/>
      <x:c r="O935" s="2" t="str">
        <x:f>IF(A935="","",IF(COUNTIFS($A$7:$A$1506,A935)&gt;1,"Buchung-ID doppelt",IF(OR(NOT(ISNUMBER(B935)),C935="",NOT(ISNUMBER(F935)),H935="",L935=""),"Pflichtangaben fehlen",IF(COUNTIFS('Konten'!$A$7:$A$26,C935)&lt;&gt;1,"Konto nicht eindeutig",IF(J935&lt;&gt;"Ja","Zuordnung bestätigen",IF(OR(AND(H935="Einnahme",F935&lt;0),AND(H935="Ausgabe",F935&gt;0)),"Vorzeichen prüfen",IF(AND(H935="Umbuchung",OR(K935="",COUNTIFS($A$7:$A$1506,K935)&lt;&gt;1)),"Gegenbuchung fehlt",IF(AND(H935="Umbuchung",ROUND(SUMIFS($F$7:$F$1506,$A$7:$A$1506,K935)+F935,2)&lt;&gt;0),"Umbuchung abweichend",IF(OR(G935="",M935="",M935="offen",M935="teilbelegt",H935="Ungeklärt",H935="Bargeld"),"Beleg / Verwendung klären","vollständig erfasst")))))))))</x:f>
      </x:c>
    </x:row>
    <x:row r="936" ht="22" customHeight="1">
      <x:c r="A936" s="7"/>
      <x:c r="B936" s="8"/>
      <x:c r="C936" s="7"/>
      <x:c r="D936" s="7"/>
      <x:c r="E936" s="7"/>
      <x:c r="F936" s="20"/>
      <x:c r="G936" s="7"/>
      <x:c r="H936" s="7"/>
      <x:c r="I936" s="7"/>
      <x:c r="J936" s="7"/>
      <x:c r="K936" s="7"/>
      <x:c r="L936" s="7"/>
      <x:c r="M936" s="7"/>
      <x:c r="N936" s="7"/>
      <x:c r="O936" s="2" t="str">
        <x:f>IF(A936="","",IF(COUNTIFS($A$7:$A$1506,A936)&gt;1,"Buchung-ID doppelt",IF(OR(NOT(ISNUMBER(B936)),C936="",NOT(ISNUMBER(F936)),H936="",L936=""),"Pflichtangaben fehlen",IF(COUNTIFS('Konten'!$A$7:$A$26,C936)&lt;&gt;1,"Konto nicht eindeutig",IF(J936&lt;&gt;"Ja","Zuordnung bestätigen",IF(OR(AND(H936="Einnahme",F936&lt;0),AND(H936="Ausgabe",F936&gt;0)),"Vorzeichen prüfen",IF(AND(H936="Umbuchung",OR(K936="",COUNTIFS($A$7:$A$1506,K936)&lt;&gt;1)),"Gegenbuchung fehlt",IF(AND(H936="Umbuchung",ROUND(SUMIFS($F$7:$F$1506,$A$7:$A$1506,K936)+F936,2)&lt;&gt;0),"Umbuchung abweichend",IF(OR(G936="",M936="",M936="offen",M936="teilbelegt",H936="Ungeklärt",H936="Bargeld"),"Beleg / Verwendung klären","vollständig erfasst")))))))))</x:f>
      </x:c>
    </x:row>
    <x:row r="937" ht="22" customHeight="1">
      <x:c r="A937" s="7"/>
      <x:c r="B937" s="8"/>
      <x:c r="C937" s="7"/>
      <x:c r="D937" s="7"/>
      <x:c r="E937" s="7"/>
      <x:c r="F937" s="20"/>
      <x:c r="G937" s="7"/>
      <x:c r="H937" s="7"/>
      <x:c r="I937" s="7"/>
      <x:c r="J937" s="7"/>
      <x:c r="K937" s="7"/>
      <x:c r="L937" s="7"/>
      <x:c r="M937" s="7"/>
      <x:c r="N937" s="7"/>
      <x:c r="O937" s="2" t="str">
        <x:f>IF(A937="","",IF(COUNTIFS($A$7:$A$1506,A937)&gt;1,"Buchung-ID doppelt",IF(OR(NOT(ISNUMBER(B937)),C937="",NOT(ISNUMBER(F937)),H937="",L937=""),"Pflichtangaben fehlen",IF(COUNTIFS('Konten'!$A$7:$A$26,C937)&lt;&gt;1,"Konto nicht eindeutig",IF(J937&lt;&gt;"Ja","Zuordnung bestätigen",IF(OR(AND(H937="Einnahme",F937&lt;0),AND(H937="Ausgabe",F937&gt;0)),"Vorzeichen prüfen",IF(AND(H937="Umbuchung",OR(K937="",COUNTIFS($A$7:$A$1506,K937)&lt;&gt;1)),"Gegenbuchung fehlt",IF(AND(H937="Umbuchung",ROUND(SUMIFS($F$7:$F$1506,$A$7:$A$1506,K937)+F937,2)&lt;&gt;0),"Umbuchung abweichend",IF(OR(G937="",M937="",M937="offen",M937="teilbelegt",H937="Ungeklärt",H937="Bargeld"),"Beleg / Verwendung klären","vollständig erfasst")))))))))</x:f>
      </x:c>
    </x:row>
    <x:row r="938" ht="22" customHeight="1">
      <x:c r="A938" s="7"/>
      <x:c r="B938" s="8"/>
      <x:c r="C938" s="7"/>
      <x:c r="D938" s="7"/>
      <x:c r="E938" s="7"/>
      <x:c r="F938" s="20"/>
      <x:c r="G938" s="7"/>
      <x:c r="H938" s="7"/>
      <x:c r="I938" s="7"/>
      <x:c r="J938" s="7"/>
      <x:c r="K938" s="7"/>
      <x:c r="L938" s="7"/>
      <x:c r="M938" s="7"/>
      <x:c r="N938" s="7"/>
      <x:c r="O938" s="2" t="str">
        <x:f>IF(A938="","",IF(COUNTIFS($A$7:$A$1506,A938)&gt;1,"Buchung-ID doppelt",IF(OR(NOT(ISNUMBER(B938)),C938="",NOT(ISNUMBER(F938)),H938="",L938=""),"Pflichtangaben fehlen",IF(COUNTIFS('Konten'!$A$7:$A$26,C938)&lt;&gt;1,"Konto nicht eindeutig",IF(J938&lt;&gt;"Ja","Zuordnung bestätigen",IF(OR(AND(H938="Einnahme",F938&lt;0),AND(H938="Ausgabe",F938&gt;0)),"Vorzeichen prüfen",IF(AND(H938="Umbuchung",OR(K938="",COUNTIFS($A$7:$A$1506,K938)&lt;&gt;1)),"Gegenbuchung fehlt",IF(AND(H938="Umbuchung",ROUND(SUMIFS($F$7:$F$1506,$A$7:$A$1506,K938)+F938,2)&lt;&gt;0),"Umbuchung abweichend",IF(OR(G938="",M938="",M938="offen",M938="teilbelegt",H938="Ungeklärt",H938="Bargeld"),"Beleg / Verwendung klären","vollständig erfasst")))))))))</x:f>
      </x:c>
    </x:row>
    <x:row r="939" ht="22" customHeight="1">
      <x:c r="A939" s="7"/>
      <x:c r="B939" s="8"/>
      <x:c r="C939" s="7"/>
      <x:c r="D939" s="7"/>
      <x:c r="E939" s="7"/>
      <x:c r="F939" s="20"/>
      <x:c r="G939" s="7"/>
      <x:c r="H939" s="7"/>
      <x:c r="I939" s="7"/>
      <x:c r="J939" s="7"/>
      <x:c r="K939" s="7"/>
      <x:c r="L939" s="7"/>
      <x:c r="M939" s="7"/>
      <x:c r="N939" s="7"/>
      <x:c r="O939" s="2" t="str">
        <x:f>IF(A939="","",IF(COUNTIFS($A$7:$A$1506,A939)&gt;1,"Buchung-ID doppelt",IF(OR(NOT(ISNUMBER(B939)),C939="",NOT(ISNUMBER(F939)),H939="",L939=""),"Pflichtangaben fehlen",IF(COUNTIFS('Konten'!$A$7:$A$26,C939)&lt;&gt;1,"Konto nicht eindeutig",IF(J939&lt;&gt;"Ja","Zuordnung bestätigen",IF(OR(AND(H939="Einnahme",F939&lt;0),AND(H939="Ausgabe",F939&gt;0)),"Vorzeichen prüfen",IF(AND(H939="Umbuchung",OR(K939="",COUNTIFS($A$7:$A$1506,K939)&lt;&gt;1)),"Gegenbuchung fehlt",IF(AND(H939="Umbuchung",ROUND(SUMIFS($F$7:$F$1506,$A$7:$A$1506,K939)+F939,2)&lt;&gt;0),"Umbuchung abweichend",IF(OR(G939="",M939="",M939="offen",M939="teilbelegt",H939="Ungeklärt",H939="Bargeld"),"Beleg / Verwendung klären","vollständig erfasst")))))))))</x:f>
      </x:c>
    </x:row>
    <x:row r="940" ht="22" customHeight="1">
      <x:c r="A940" s="7"/>
      <x:c r="B940" s="8"/>
      <x:c r="C940" s="7"/>
      <x:c r="D940" s="7"/>
      <x:c r="E940" s="7"/>
      <x:c r="F940" s="20"/>
      <x:c r="G940" s="7"/>
      <x:c r="H940" s="7"/>
      <x:c r="I940" s="7"/>
      <x:c r="J940" s="7"/>
      <x:c r="K940" s="7"/>
      <x:c r="L940" s="7"/>
      <x:c r="M940" s="7"/>
      <x:c r="N940" s="7"/>
      <x:c r="O940" s="2" t="str">
        <x:f>IF(A940="","",IF(COUNTIFS($A$7:$A$1506,A940)&gt;1,"Buchung-ID doppelt",IF(OR(NOT(ISNUMBER(B940)),C940="",NOT(ISNUMBER(F940)),H940="",L940=""),"Pflichtangaben fehlen",IF(COUNTIFS('Konten'!$A$7:$A$26,C940)&lt;&gt;1,"Konto nicht eindeutig",IF(J940&lt;&gt;"Ja","Zuordnung bestätigen",IF(OR(AND(H940="Einnahme",F940&lt;0),AND(H940="Ausgabe",F940&gt;0)),"Vorzeichen prüfen",IF(AND(H940="Umbuchung",OR(K940="",COUNTIFS($A$7:$A$1506,K940)&lt;&gt;1)),"Gegenbuchung fehlt",IF(AND(H940="Umbuchung",ROUND(SUMIFS($F$7:$F$1506,$A$7:$A$1506,K940)+F940,2)&lt;&gt;0),"Umbuchung abweichend",IF(OR(G940="",M940="",M940="offen",M940="teilbelegt",H940="Ungeklärt",H940="Bargeld"),"Beleg / Verwendung klären","vollständig erfasst")))))))))</x:f>
      </x:c>
    </x:row>
    <x:row r="941" ht="22" customHeight="1">
      <x:c r="A941" s="7"/>
      <x:c r="B941" s="8"/>
      <x:c r="C941" s="7"/>
      <x:c r="D941" s="7"/>
      <x:c r="E941" s="7"/>
      <x:c r="F941" s="20"/>
      <x:c r="G941" s="7"/>
      <x:c r="H941" s="7"/>
      <x:c r="I941" s="7"/>
      <x:c r="J941" s="7"/>
      <x:c r="K941" s="7"/>
      <x:c r="L941" s="7"/>
      <x:c r="M941" s="7"/>
      <x:c r="N941" s="7"/>
      <x:c r="O941" s="2" t="str">
        <x:f>IF(A941="","",IF(COUNTIFS($A$7:$A$1506,A941)&gt;1,"Buchung-ID doppelt",IF(OR(NOT(ISNUMBER(B941)),C941="",NOT(ISNUMBER(F941)),H941="",L941=""),"Pflichtangaben fehlen",IF(COUNTIFS('Konten'!$A$7:$A$26,C941)&lt;&gt;1,"Konto nicht eindeutig",IF(J941&lt;&gt;"Ja","Zuordnung bestätigen",IF(OR(AND(H941="Einnahme",F941&lt;0),AND(H941="Ausgabe",F941&gt;0)),"Vorzeichen prüfen",IF(AND(H941="Umbuchung",OR(K941="",COUNTIFS($A$7:$A$1506,K941)&lt;&gt;1)),"Gegenbuchung fehlt",IF(AND(H941="Umbuchung",ROUND(SUMIFS($F$7:$F$1506,$A$7:$A$1506,K941)+F941,2)&lt;&gt;0),"Umbuchung abweichend",IF(OR(G941="",M941="",M941="offen",M941="teilbelegt",H941="Ungeklärt",H941="Bargeld"),"Beleg / Verwendung klären","vollständig erfasst")))))))))</x:f>
      </x:c>
    </x:row>
    <x:row r="942" ht="22" customHeight="1">
      <x:c r="A942" s="7"/>
      <x:c r="B942" s="8"/>
      <x:c r="C942" s="7"/>
      <x:c r="D942" s="7"/>
      <x:c r="E942" s="7"/>
      <x:c r="F942" s="20"/>
      <x:c r="G942" s="7"/>
      <x:c r="H942" s="7"/>
      <x:c r="I942" s="7"/>
      <x:c r="J942" s="7"/>
      <x:c r="K942" s="7"/>
      <x:c r="L942" s="7"/>
      <x:c r="M942" s="7"/>
      <x:c r="N942" s="7"/>
      <x:c r="O942" s="2" t="str">
        <x:f>IF(A942="","",IF(COUNTIFS($A$7:$A$1506,A942)&gt;1,"Buchung-ID doppelt",IF(OR(NOT(ISNUMBER(B942)),C942="",NOT(ISNUMBER(F942)),H942="",L942=""),"Pflichtangaben fehlen",IF(COUNTIFS('Konten'!$A$7:$A$26,C942)&lt;&gt;1,"Konto nicht eindeutig",IF(J942&lt;&gt;"Ja","Zuordnung bestätigen",IF(OR(AND(H942="Einnahme",F942&lt;0),AND(H942="Ausgabe",F942&gt;0)),"Vorzeichen prüfen",IF(AND(H942="Umbuchung",OR(K942="",COUNTIFS($A$7:$A$1506,K942)&lt;&gt;1)),"Gegenbuchung fehlt",IF(AND(H942="Umbuchung",ROUND(SUMIFS($F$7:$F$1506,$A$7:$A$1506,K942)+F942,2)&lt;&gt;0),"Umbuchung abweichend",IF(OR(G942="",M942="",M942="offen",M942="teilbelegt",H942="Ungeklärt",H942="Bargeld"),"Beleg / Verwendung klären","vollständig erfasst")))))))))</x:f>
      </x:c>
    </x:row>
    <x:row r="943" ht="22" customHeight="1">
      <x:c r="A943" s="7"/>
      <x:c r="B943" s="8"/>
      <x:c r="C943" s="7"/>
      <x:c r="D943" s="7"/>
      <x:c r="E943" s="7"/>
      <x:c r="F943" s="20"/>
      <x:c r="G943" s="7"/>
      <x:c r="H943" s="7"/>
      <x:c r="I943" s="7"/>
      <x:c r="J943" s="7"/>
      <x:c r="K943" s="7"/>
      <x:c r="L943" s="7"/>
      <x:c r="M943" s="7"/>
      <x:c r="N943" s="7"/>
      <x:c r="O943" s="2" t="str">
        <x:f>IF(A943="","",IF(COUNTIFS($A$7:$A$1506,A943)&gt;1,"Buchung-ID doppelt",IF(OR(NOT(ISNUMBER(B943)),C943="",NOT(ISNUMBER(F943)),H943="",L943=""),"Pflichtangaben fehlen",IF(COUNTIFS('Konten'!$A$7:$A$26,C943)&lt;&gt;1,"Konto nicht eindeutig",IF(J943&lt;&gt;"Ja","Zuordnung bestätigen",IF(OR(AND(H943="Einnahme",F943&lt;0),AND(H943="Ausgabe",F943&gt;0)),"Vorzeichen prüfen",IF(AND(H943="Umbuchung",OR(K943="",COUNTIFS($A$7:$A$1506,K943)&lt;&gt;1)),"Gegenbuchung fehlt",IF(AND(H943="Umbuchung",ROUND(SUMIFS($F$7:$F$1506,$A$7:$A$1506,K943)+F943,2)&lt;&gt;0),"Umbuchung abweichend",IF(OR(G943="",M943="",M943="offen",M943="teilbelegt",H943="Ungeklärt",H943="Bargeld"),"Beleg / Verwendung klären","vollständig erfasst")))))))))</x:f>
      </x:c>
    </x:row>
    <x:row r="944" ht="22" customHeight="1">
      <x:c r="A944" s="7"/>
      <x:c r="B944" s="8"/>
      <x:c r="C944" s="7"/>
      <x:c r="D944" s="7"/>
      <x:c r="E944" s="7"/>
      <x:c r="F944" s="20"/>
      <x:c r="G944" s="7"/>
      <x:c r="H944" s="7"/>
      <x:c r="I944" s="7"/>
      <x:c r="J944" s="7"/>
      <x:c r="K944" s="7"/>
      <x:c r="L944" s="7"/>
      <x:c r="M944" s="7"/>
      <x:c r="N944" s="7"/>
      <x:c r="O944" s="2" t="str">
        <x:f>IF(A944="","",IF(COUNTIFS($A$7:$A$1506,A944)&gt;1,"Buchung-ID doppelt",IF(OR(NOT(ISNUMBER(B944)),C944="",NOT(ISNUMBER(F944)),H944="",L944=""),"Pflichtangaben fehlen",IF(COUNTIFS('Konten'!$A$7:$A$26,C944)&lt;&gt;1,"Konto nicht eindeutig",IF(J944&lt;&gt;"Ja","Zuordnung bestätigen",IF(OR(AND(H944="Einnahme",F944&lt;0),AND(H944="Ausgabe",F944&gt;0)),"Vorzeichen prüfen",IF(AND(H944="Umbuchung",OR(K944="",COUNTIFS($A$7:$A$1506,K944)&lt;&gt;1)),"Gegenbuchung fehlt",IF(AND(H944="Umbuchung",ROUND(SUMIFS($F$7:$F$1506,$A$7:$A$1506,K944)+F944,2)&lt;&gt;0),"Umbuchung abweichend",IF(OR(G944="",M944="",M944="offen",M944="teilbelegt",H944="Ungeklärt",H944="Bargeld"),"Beleg / Verwendung klären","vollständig erfasst")))))))))</x:f>
      </x:c>
    </x:row>
    <x:row r="945" ht="22" customHeight="1">
      <x:c r="A945" s="7"/>
      <x:c r="B945" s="8"/>
      <x:c r="C945" s="7"/>
      <x:c r="D945" s="7"/>
      <x:c r="E945" s="7"/>
      <x:c r="F945" s="20"/>
      <x:c r="G945" s="7"/>
      <x:c r="H945" s="7"/>
      <x:c r="I945" s="7"/>
      <x:c r="J945" s="7"/>
      <x:c r="K945" s="7"/>
      <x:c r="L945" s="7"/>
      <x:c r="M945" s="7"/>
      <x:c r="N945" s="7"/>
      <x:c r="O945" s="2" t="str">
        <x:f>IF(A945="","",IF(COUNTIFS($A$7:$A$1506,A945)&gt;1,"Buchung-ID doppelt",IF(OR(NOT(ISNUMBER(B945)),C945="",NOT(ISNUMBER(F945)),H945="",L945=""),"Pflichtangaben fehlen",IF(COUNTIFS('Konten'!$A$7:$A$26,C945)&lt;&gt;1,"Konto nicht eindeutig",IF(J945&lt;&gt;"Ja","Zuordnung bestätigen",IF(OR(AND(H945="Einnahme",F945&lt;0),AND(H945="Ausgabe",F945&gt;0)),"Vorzeichen prüfen",IF(AND(H945="Umbuchung",OR(K945="",COUNTIFS($A$7:$A$1506,K945)&lt;&gt;1)),"Gegenbuchung fehlt",IF(AND(H945="Umbuchung",ROUND(SUMIFS($F$7:$F$1506,$A$7:$A$1506,K945)+F945,2)&lt;&gt;0),"Umbuchung abweichend",IF(OR(G945="",M945="",M945="offen",M945="teilbelegt",H945="Ungeklärt",H945="Bargeld"),"Beleg / Verwendung klären","vollständig erfasst")))))))))</x:f>
      </x:c>
    </x:row>
    <x:row r="946" ht="22" customHeight="1">
      <x:c r="A946" s="7"/>
      <x:c r="B946" s="8"/>
      <x:c r="C946" s="7"/>
      <x:c r="D946" s="7"/>
      <x:c r="E946" s="7"/>
      <x:c r="F946" s="20"/>
      <x:c r="G946" s="7"/>
      <x:c r="H946" s="7"/>
      <x:c r="I946" s="7"/>
      <x:c r="J946" s="7"/>
      <x:c r="K946" s="7"/>
      <x:c r="L946" s="7"/>
      <x:c r="M946" s="7"/>
      <x:c r="N946" s="7"/>
      <x:c r="O946" s="2" t="str">
        <x:f>IF(A946="","",IF(COUNTIFS($A$7:$A$1506,A946)&gt;1,"Buchung-ID doppelt",IF(OR(NOT(ISNUMBER(B946)),C946="",NOT(ISNUMBER(F946)),H946="",L946=""),"Pflichtangaben fehlen",IF(COUNTIFS('Konten'!$A$7:$A$26,C946)&lt;&gt;1,"Konto nicht eindeutig",IF(J946&lt;&gt;"Ja","Zuordnung bestätigen",IF(OR(AND(H946="Einnahme",F946&lt;0),AND(H946="Ausgabe",F946&gt;0)),"Vorzeichen prüfen",IF(AND(H946="Umbuchung",OR(K946="",COUNTIFS($A$7:$A$1506,K946)&lt;&gt;1)),"Gegenbuchung fehlt",IF(AND(H946="Umbuchung",ROUND(SUMIFS($F$7:$F$1506,$A$7:$A$1506,K946)+F946,2)&lt;&gt;0),"Umbuchung abweichend",IF(OR(G946="",M946="",M946="offen",M946="teilbelegt",H946="Ungeklärt",H946="Bargeld"),"Beleg / Verwendung klären","vollständig erfasst")))))))))</x:f>
      </x:c>
    </x:row>
    <x:row r="947" ht="22" customHeight="1">
      <x:c r="A947" s="7"/>
      <x:c r="B947" s="8"/>
      <x:c r="C947" s="7"/>
      <x:c r="D947" s="7"/>
      <x:c r="E947" s="7"/>
      <x:c r="F947" s="20"/>
      <x:c r="G947" s="7"/>
      <x:c r="H947" s="7"/>
      <x:c r="I947" s="7"/>
      <x:c r="J947" s="7"/>
      <x:c r="K947" s="7"/>
      <x:c r="L947" s="7"/>
      <x:c r="M947" s="7"/>
      <x:c r="N947" s="7"/>
      <x:c r="O947" s="2" t="str">
        <x:f>IF(A947="","",IF(COUNTIFS($A$7:$A$1506,A947)&gt;1,"Buchung-ID doppelt",IF(OR(NOT(ISNUMBER(B947)),C947="",NOT(ISNUMBER(F947)),H947="",L947=""),"Pflichtangaben fehlen",IF(COUNTIFS('Konten'!$A$7:$A$26,C947)&lt;&gt;1,"Konto nicht eindeutig",IF(J947&lt;&gt;"Ja","Zuordnung bestätigen",IF(OR(AND(H947="Einnahme",F947&lt;0),AND(H947="Ausgabe",F947&gt;0)),"Vorzeichen prüfen",IF(AND(H947="Umbuchung",OR(K947="",COUNTIFS($A$7:$A$1506,K947)&lt;&gt;1)),"Gegenbuchung fehlt",IF(AND(H947="Umbuchung",ROUND(SUMIFS($F$7:$F$1506,$A$7:$A$1506,K947)+F947,2)&lt;&gt;0),"Umbuchung abweichend",IF(OR(G947="",M947="",M947="offen",M947="teilbelegt",H947="Ungeklärt",H947="Bargeld"),"Beleg / Verwendung klären","vollständig erfasst")))))))))</x:f>
      </x:c>
    </x:row>
    <x:row r="948" ht="22" customHeight="1">
      <x:c r="A948" s="7"/>
      <x:c r="B948" s="8"/>
      <x:c r="C948" s="7"/>
      <x:c r="D948" s="7"/>
      <x:c r="E948" s="7"/>
      <x:c r="F948" s="20"/>
      <x:c r="G948" s="7"/>
      <x:c r="H948" s="7"/>
      <x:c r="I948" s="7"/>
      <x:c r="J948" s="7"/>
      <x:c r="K948" s="7"/>
      <x:c r="L948" s="7"/>
      <x:c r="M948" s="7"/>
      <x:c r="N948" s="7"/>
      <x:c r="O948" s="2" t="str">
        <x:f>IF(A948="","",IF(COUNTIFS($A$7:$A$1506,A948)&gt;1,"Buchung-ID doppelt",IF(OR(NOT(ISNUMBER(B948)),C948="",NOT(ISNUMBER(F948)),H948="",L948=""),"Pflichtangaben fehlen",IF(COUNTIFS('Konten'!$A$7:$A$26,C948)&lt;&gt;1,"Konto nicht eindeutig",IF(J948&lt;&gt;"Ja","Zuordnung bestätigen",IF(OR(AND(H948="Einnahme",F948&lt;0),AND(H948="Ausgabe",F948&gt;0)),"Vorzeichen prüfen",IF(AND(H948="Umbuchung",OR(K948="",COUNTIFS($A$7:$A$1506,K948)&lt;&gt;1)),"Gegenbuchung fehlt",IF(AND(H948="Umbuchung",ROUND(SUMIFS($F$7:$F$1506,$A$7:$A$1506,K948)+F948,2)&lt;&gt;0),"Umbuchung abweichend",IF(OR(G948="",M948="",M948="offen",M948="teilbelegt",H948="Ungeklärt",H948="Bargeld"),"Beleg / Verwendung klären","vollständig erfasst")))))))))</x:f>
      </x:c>
    </x:row>
    <x:row r="949" ht="22" customHeight="1">
      <x:c r="A949" s="7"/>
      <x:c r="B949" s="8"/>
      <x:c r="C949" s="7"/>
      <x:c r="D949" s="7"/>
      <x:c r="E949" s="7"/>
      <x:c r="F949" s="20"/>
      <x:c r="G949" s="7"/>
      <x:c r="H949" s="7"/>
      <x:c r="I949" s="7"/>
      <x:c r="J949" s="7"/>
      <x:c r="K949" s="7"/>
      <x:c r="L949" s="7"/>
      <x:c r="M949" s="7"/>
      <x:c r="N949" s="7"/>
      <x:c r="O949" s="2" t="str">
        <x:f>IF(A949="","",IF(COUNTIFS($A$7:$A$1506,A949)&gt;1,"Buchung-ID doppelt",IF(OR(NOT(ISNUMBER(B949)),C949="",NOT(ISNUMBER(F949)),H949="",L949=""),"Pflichtangaben fehlen",IF(COUNTIFS('Konten'!$A$7:$A$26,C949)&lt;&gt;1,"Konto nicht eindeutig",IF(J949&lt;&gt;"Ja","Zuordnung bestätigen",IF(OR(AND(H949="Einnahme",F949&lt;0),AND(H949="Ausgabe",F949&gt;0)),"Vorzeichen prüfen",IF(AND(H949="Umbuchung",OR(K949="",COUNTIFS($A$7:$A$1506,K949)&lt;&gt;1)),"Gegenbuchung fehlt",IF(AND(H949="Umbuchung",ROUND(SUMIFS($F$7:$F$1506,$A$7:$A$1506,K949)+F949,2)&lt;&gt;0),"Umbuchung abweichend",IF(OR(G949="",M949="",M949="offen",M949="teilbelegt",H949="Ungeklärt",H949="Bargeld"),"Beleg / Verwendung klären","vollständig erfasst")))))))))</x:f>
      </x:c>
    </x:row>
    <x:row r="950" ht="22" customHeight="1">
      <x:c r="A950" s="7"/>
      <x:c r="B950" s="8"/>
      <x:c r="C950" s="7"/>
      <x:c r="D950" s="7"/>
      <x:c r="E950" s="7"/>
      <x:c r="F950" s="20"/>
      <x:c r="G950" s="7"/>
      <x:c r="H950" s="7"/>
      <x:c r="I950" s="7"/>
      <x:c r="J950" s="7"/>
      <x:c r="K950" s="7"/>
      <x:c r="L950" s="7"/>
      <x:c r="M950" s="7"/>
      <x:c r="N950" s="7"/>
      <x:c r="O950" s="2" t="str">
        <x:f>IF(A950="","",IF(COUNTIFS($A$7:$A$1506,A950)&gt;1,"Buchung-ID doppelt",IF(OR(NOT(ISNUMBER(B950)),C950="",NOT(ISNUMBER(F950)),H950="",L950=""),"Pflichtangaben fehlen",IF(COUNTIFS('Konten'!$A$7:$A$26,C950)&lt;&gt;1,"Konto nicht eindeutig",IF(J950&lt;&gt;"Ja","Zuordnung bestätigen",IF(OR(AND(H950="Einnahme",F950&lt;0),AND(H950="Ausgabe",F950&gt;0)),"Vorzeichen prüfen",IF(AND(H950="Umbuchung",OR(K950="",COUNTIFS($A$7:$A$1506,K950)&lt;&gt;1)),"Gegenbuchung fehlt",IF(AND(H950="Umbuchung",ROUND(SUMIFS($F$7:$F$1506,$A$7:$A$1506,K950)+F950,2)&lt;&gt;0),"Umbuchung abweichend",IF(OR(G950="",M950="",M950="offen",M950="teilbelegt",H950="Ungeklärt",H950="Bargeld"),"Beleg / Verwendung klären","vollständig erfasst")))))))))</x:f>
      </x:c>
    </x:row>
    <x:row r="951" ht="22" customHeight="1">
      <x:c r="A951" s="7"/>
      <x:c r="B951" s="8"/>
      <x:c r="C951" s="7"/>
      <x:c r="D951" s="7"/>
      <x:c r="E951" s="7"/>
      <x:c r="F951" s="20"/>
      <x:c r="G951" s="7"/>
      <x:c r="H951" s="7"/>
      <x:c r="I951" s="7"/>
      <x:c r="J951" s="7"/>
      <x:c r="K951" s="7"/>
      <x:c r="L951" s="7"/>
      <x:c r="M951" s="7"/>
      <x:c r="N951" s="7"/>
      <x:c r="O951" s="2" t="str">
        <x:f>IF(A951="","",IF(COUNTIFS($A$7:$A$1506,A951)&gt;1,"Buchung-ID doppelt",IF(OR(NOT(ISNUMBER(B951)),C951="",NOT(ISNUMBER(F951)),H951="",L951=""),"Pflichtangaben fehlen",IF(COUNTIFS('Konten'!$A$7:$A$26,C951)&lt;&gt;1,"Konto nicht eindeutig",IF(J951&lt;&gt;"Ja","Zuordnung bestätigen",IF(OR(AND(H951="Einnahme",F951&lt;0),AND(H951="Ausgabe",F951&gt;0)),"Vorzeichen prüfen",IF(AND(H951="Umbuchung",OR(K951="",COUNTIFS($A$7:$A$1506,K951)&lt;&gt;1)),"Gegenbuchung fehlt",IF(AND(H951="Umbuchung",ROUND(SUMIFS($F$7:$F$1506,$A$7:$A$1506,K951)+F951,2)&lt;&gt;0),"Umbuchung abweichend",IF(OR(G951="",M951="",M951="offen",M951="teilbelegt",H951="Ungeklärt",H951="Bargeld"),"Beleg / Verwendung klären","vollständig erfasst")))))))))</x:f>
      </x:c>
    </x:row>
    <x:row r="952" ht="22" customHeight="1">
      <x:c r="A952" s="7"/>
      <x:c r="B952" s="8"/>
      <x:c r="C952" s="7"/>
      <x:c r="D952" s="7"/>
      <x:c r="E952" s="7"/>
      <x:c r="F952" s="20"/>
      <x:c r="G952" s="7"/>
      <x:c r="H952" s="7"/>
      <x:c r="I952" s="7"/>
      <x:c r="J952" s="7"/>
      <x:c r="K952" s="7"/>
      <x:c r="L952" s="7"/>
      <x:c r="M952" s="7"/>
      <x:c r="N952" s="7"/>
      <x:c r="O952" s="2" t="str">
        <x:f>IF(A952="","",IF(COUNTIFS($A$7:$A$1506,A952)&gt;1,"Buchung-ID doppelt",IF(OR(NOT(ISNUMBER(B952)),C952="",NOT(ISNUMBER(F952)),H952="",L952=""),"Pflichtangaben fehlen",IF(COUNTIFS('Konten'!$A$7:$A$26,C952)&lt;&gt;1,"Konto nicht eindeutig",IF(J952&lt;&gt;"Ja","Zuordnung bestätigen",IF(OR(AND(H952="Einnahme",F952&lt;0),AND(H952="Ausgabe",F952&gt;0)),"Vorzeichen prüfen",IF(AND(H952="Umbuchung",OR(K952="",COUNTIFS($A$7:$A$1506,K952)&lt;&gt;1)),"Gegenbuchung fehlt",IF(AND(H952="Umbuchung",ROUND(SUMIFS($F$7:$F$1506,$A$7:$A$1506,K952)+F952,2)&lt;&gt;0),"Umbuchung abweichend",IF(OR(G952="",M952="",M952="offen",M952="teilbelegt",H952="Ungeklärt",H952="Bargeld"),"Beleg / Verwendung klären","vollständig erfasst")))))))))</x:f>
      </x:c>
    </x:row>
    <x:row r="953" ht="22" customHeight="1">
      <x:c r="A953" s="7"/>
      <x:c r="B953" s="8"/>
      <x:c r="C953" s="7"/>
      <x:c r="D953" s="7"/>
      <x:c r="E953" s="7"/>
      <x:c r="F953" s="20"/>
      <x:c r="G953" s="7"/>
      <x:c r="H953" s="7"/>
      <x:c r="I953" s="7"/>
      <x:c r="J953" s="7"/>
      <x:c r="K953" s="7"/>
      <x:c r="L953" s="7"/>
      <x:c r="M953" s="7"/>
      <x:c r="N953" s="7"/>
      <x:c r="O953" s="2" t="str">
        <x:f>IF(A953="","",IF(COUNTIFS($A$7:$A$1506,A953)&gt;1,"Buchung-ID doppelt",IF(OR(NOT(ISNUMBER(B953)),C953="",NOT(ISNUMBER(F953)),H953="",L953=""),"Pflichtangaben fehlen",IF(COUNTIFS('Konten'!$A$7:$A$26,C953)&lt;&gt;1,"Konto nicht eindeutig",IF(J953&lt;&gt;"Ja","Zuordnung bestätigen",IF(OR(AND(H953="Einnahme",F953&lt;0),AND(H953="Ausgabe",F953&gt;0)),"Vorzeichen prüfen",IF(AND(H953="Umbuchung",OR(K953="",COUNTIFS($A$7:$A$1506,K953)&lt;&gt;1)),"Gegenbuchung fehlt",IF(AND(H953="Umbuchung",ROUND(SUMIFS($F$7:$F$1506,$A$7:$A$1506,K953)+F953,2)&lt;&gt;0),"Umbuchung abweichend",IF(OR(G953="",M953="",M953="offen",M953="teilbelegt",H953="Ungeklärt",H953="Bargeld"),"Beleg / Verwendung klären","vollständig erfasst")))))))))</x:f>
      </x:c>
    </x:row>
    <x:row r="954" ht="22" customHeight="1">
      <x:c r="A954" s="7"/>
      <x:c r="B954" s="8"/>
      <x:c r="C954" s="7"/>
      <x:c r="D954" s="7"/>
      <x:c r="E954" s="7"/>
      <x:c r="F954" s="20"/>
      <x:c r="G954" s="7"/>
      <x:c r="H954" s="7"/>
      <x:c r="I954" s="7"/>
      <x:c r="J954" s="7"/>
      <x:c r="K954" s="7"/>
      <x:c r="L954" s="7"/>
      <x:c r="M954" s="7"/>
      <x:c r="N954" s="7"/>
      <x:c r="O954" s="2" t="str">
        <x:f>IF(A954="","",IF(COUNTIFS($A$7:$A$1506,A954)&gt;1,"Buchung-ID doppelt",IF(OR(NOT(ISNUMBER(B954)),C954="",NOT(ISNUMBER(F954)),H954="",L954=""),"Pflichtangaben fehlen",IF(COUNTIFS('Konten'!$A$7:$A$26,C954)&lt;&gt;1,"Konto nicht eindeutig",IF(J954&lt;&gt;"Ja","Zuordnung bestätigen",IF(OR(AND(H954="Einnahme",F954&lt;0),AND(H954="Ausgabe",F954&gt;0)),"Vorzeichen prüfen",IF(AND(H954="Umbuchung",OR(K954="",COUNTIFS($A$7:$A$1506,K954)&lt;&gt;1)),"Gegenbuchung fehlt",IF(AND(H954="Umbuchung",ROUND(SUMIFS($F$7:$F$1506,$A$7:$A$1506,K954)+F954,2)&lt;&gt;0),"Umbuchung abweichend",IF(OR(G954="",M954="",M954="offen",M954="teilbelegt",H954="Ungeklärt",H954="Bargeld"),"Beleg / Verwendung klären","vollständig erfasst")))))))))</x:f>
      </x:c>
    </x:row>
    <x:row r="955" ht="22" customHeight="1">
      <x:c r="A955" s="7"/>
      <x:c r="B955" s="8"/>
      <x:c r="C955" s="7"/>
      <x:c r="D955" s="7"/>
      <x:c r="E955" s="7"/>
      <x:c r="F955" s="20"/>
      <x:c r="G955" s="7"/>
      <x:c r="H955" s="7"/>
      <x:c r="I955" s="7"/>
      <x:c r="J955" s="7"/>
      <x:c r="K955" s="7"/>
      <x:c r="L955" s="7"/>
      <x:c r="M955" s="7"/>
      <x:c r="N955" s="7"/>
      <x:c r="O955" s="2" t="str">
        <x:f>IF(A955="","",IF(COUNTIFS($A$7:$A$1506,A955)&gt;1,"Buchung-ID doppelt",IF(OR(NOT(ISNUMBER(B955)),C955="",NOT(ISNUMBER(F955)),H955="",L955=""),"Pflichtangaben fehlen",IF(COUNTIFS('Konten'!$A$7:$A$26,C955)&lt;&gt;1,"Konto nicht eindeutig",IF(J955&lt;&gt;"Ja","Zuordnung bestätigen",IF(OR(AND(H955="Einnahme",F955&lt;0),AND(H955="Ausgabe",F955&gt;0)),"Vorzeichen prüfen",IF(AND(H955="Umbuchung",OR(K955="",COUNTIFS($A$7:$A$1506,K955)&lt;&gt;1)),"Gegenbuchung fehlt",IF(AND(H955="Umbuchung",ROUND(SUMIFS($F$7:$F$1506,$A$7:$A$1506,K955)+F955,2)&lt;&gt;0),"Umbuchung abweichend",IF(OR(G955="",M955="",M955="offen",M955="teilbelegt",H955="Ungeklärt",H955="Bargeld"),"Beleg / Verwendung klären","vollständig erfasst")))))))))</x:f>
      </x:c>
    </x:row>
    <x:row r="956" ht="22" customHeight="1">
      <x:c r="A956" s="7"/>
      <x:c r="B956" s="8"/>
      <x:c r="C956" s="7"/>
      <x:c r="D956" s="7"/>
      <x:c r="E956" s="7"/>
      <x:c r="F956" s="20"/>
      <x:c r="G956" s="7"/>
      <x:c r="H956" s="7"/>
      <x:c r="I956" s="7"/>
      <x:c r="J956" s="7"/>
      <x:c r="K956" s="7"/>
      <x:c r="L956" s="7"/>
      <x:c r="M956" s="7"/>
      <x:c r="N956" s="7"/>
      <x:c r="O956" s="2" t="str">
        <x:f>IF(A956="","",IF(COUNTIFS($A$7:$A$1506,A956)&gt;1,"Buchung-ID doppelt",IF(OR(NOT(ISNUMBER(B956)),C956="",NOT(ISNUMBER(F956)),H956="",L956=""),"Pflichtangaben fehlen",IF(COUNTIFS('Konten'!$A$7:$A$26,C956)&lt;&gt;1,"Konto nicht eindeutig",IF(J956&lt;&gt;"Ja","Zuordnung bestätigen",IF(OR(AND(H956="Einnahme",F956&lt;0),AND(H956="Ausgabe",F956&gt;0)),"Vorzeichen prüfen",IF(AND(H956="Umbuchung",OR(K956="",COUNTIFS($A$7:$A$1506,K956)&lt;&gt;1)),"Gegenbuchung fehlt",IF(AND(H956="Umbuchung",ROUND(SUMIFS($F$7:$F$1506,$A$7:$A$1506,K956)+F956,2)&lt;&gt;0),"Umbuchung abweichend",IF(OR(G956="",M956="",M956="offen",M956="teilbelegt",H956="Ungeklärt",H956="Bargeld"),"Beleg / Verwendung klären","vollständig erfasst")))))))))</x:f>
      </x:c>
    </x:row>
    <x:row r="957" ht="22" customHeight="1">
      <x:c r="A957" s="7"/>
      <x:c r="B957" s="8"/>
      <x:c r="C957" s="7"/>
      <x:c r="D957" s="7"/>
      <x:c r="E957" s="7"/>
      <x:c r="F957" s="20"/>
      <x:c r="G957" s="7"/>
      <x:c r="H957" s="7"/>
      <x:c r="I957" s="7"/>
      <x:c r="J957" s="7"/>
      <x:c r="K957" s="7"/>
      <x:c r="L957" s="7"/>
      <x:c r="M957" s="7"/>
      <x:c r="N957" s="7"/>
      <x:c r="O957" s="2" t="str">
        <x:f>IF(A957="","",IF(COUNTIFS($A$7:$A$1506,A957)&gt;1,"Buchung-ID doppelt",IF(OR(NOT(ISNUMBER(B957)),C957="",NOT(ISNUMBER(F957)),H957="",L957=""),"Pflichtangaben fehlen",IF(COUNTIFS('Konten'!$A$7:$A$26,C957)&lt;&gt;1,"Konto nicht eindeutig",IF(J957&lt;&gt;"Ja","Zuordnung bestätigen",IF(OR(AND(H957="Einnahme",F957&lt;0),AND(H957="Ausgabe",F957&gt;0)),"Vorzeichen prüfen",IF(AND(H957="Umbuchung",OR(K957="",COUNTIFS($A$7:$A$1506,K957)&lt;&gt;1)),"Gegenbuchung fehlt",IF(AND(H957="Umbuchung",ROUND(SUMIFS($F$7:$F$1506,$A$7:$A$1506,K957)+F957,2)&lt;&gt;0),"Umbuchung abweichend",IF(OR(G957="",M957="",M957="offen",M957="teilbelegt",H957="Ungeklärt",H957="Bargeld"),"Beleg / Verwendung klären","vollständig erfasst")))))))))</x:f>
      </x:c>
    </x:row>
    <x:row r="958" ht="22" customHeight="1">
      <x:c r="A958" s="7"/>
      <x:c r="B958" s="8"/>
      <x:c r="C958" s="7"/>
      <x:c r="D958" s="7"/>
      <x:c r="E958" s="7"/>
      <x:c r="F958" s="20"/>
      <x:c r="G958" s="7"/>
      <x:c r="H958" s="7"/>
      <x:c r="I958" s="7"/>
      <x:c r="J958" s="7"/>
      <x:c r="K958" s="7"/>
      <x:c r="L958" s="7"/>
      <x:c r="M958" s="7"/>
      <x:c r="N958" s="7"/>
      <x:c r="O958" s="2" t="str">
        <x:f>IF(A958="","",IF(COUNTIFS($A$7:$A$1506,A958)&gt;1,"Buchung-ID doppelt",IF(OR(NOT(ISNUMBER(B958)),C958="",NOT(ISNUMBER(F958)),H958="",L958=""),"Pflichtangaben fehlen",IF(COUNTIFS('Konten'!$A$7:$A$26,C958)&lt;&gt;1,"Konto nicht eindeutig",IF(J958&lt;&gt;"Ja","Zuordnung bestätigen",IF(OR(AND(H958="Einnahme",F958&lt;0),AND(H958="Ausgabe",F958&gt;0)),"Vorzeichen prüfen",IF(AND(H958="Umbuchung",OR(K958="",COUNTIFS($A$7:$A$1506,K958)&lt;&gt;1)),"Gegenbuchung fehlt",IF(AND(H958="Umbuchung",ROUND(SUMIFS($F$7:$F$1506,$A$7:$A$1506,K958)+F958,2)&lt;&gt;0),"Umbuchung abweichend",IF(OR(G958="",M958="",M958="offen",M958="teilbelegt",H958="Ungeklärt",H958="Bargeld"),"Beleg / Verwendung klären","vollständig erfasst")))))))))</x:f>
      </x:c>
    </x:row>
    <x:row r="959" ht="22" customHeight="1">
      <x:c r="A959" s="7"/>
      <x:c r="B959" s="8"/>
      <x:c r="C959" s="7"/>
      <x:c r="D959" s="7"/>
      <x:c r="E959" s="7"/>
      <x:c r="F959" s="20"/>
      <x:c r="G959" s="7"/>
      <x:c r="H959" s="7"/>
      <x:c r="I959" s="7"/>
      <x:c r="J959" s="7"/>
      <x:c r="K959" s="7"/>
      <x:c r="L959" s="7"/>
      <x:c r="M959" s="7"/>
      <x:c r="N959" s="7"/>
      <x:c r="O959" s="2" t="str">
        <x:f>IF(A959="","",IF(COUNTIFS($A$7:$A$1506,A959)&gt;1,"Buchung-ID doppelt",IF(OR(NOT(ISNUMBER(B959)),C959="",NOT(ISNUMBER(F959)),H959="",L959=""),"Pflichtangaben fehlen",IF(COUNTIFS('Konten'!$A$7:$A$26,C959)&lt;&gt;1,"Konto nicht eindeutig",IF(J959&lt;&gt;"Ja","Zuordnung bestätigen",IF(OR(AND(H959="Einnahme",F959&lt;0),AND(H959="Ausgabe",F959&gt;0)),"Vorzeichen prüfen",IF(AND(H959="Umbuchung",OR(K959="",COUNTIFS($A$7:$A$1506,K959)&lt;&gt;1)),"Gegenbuchung fehlt",IF(AND(H959="Umbuchung",ROUND(SUMIFS($F$7:$F$1506,$A$7:$A$1506,K959)+F959,2)&lt;&gt;0),"Umbuchung abweichend",IF(OR(G959="",M959="",M959="offen",M959="teilbelegt",H959="Ungeklärt",H959="Bargeld"),"Beleg / Verwendung klären","vollständig erfasst")))))))))</x:f>
      </x:c>
    </x:row>
    <x:row r="960" ht="22" customHeight="1">
      <x:c r="A960" s="7"/>
      <x:c r="B960" s="8"/>
      <x:c r="C960" s="7"/>
      <x:c r="D960" s="7"/>
      <x:c r="E960" s="7"/>
      <x:c r="F960" s="20"/>
      <x:c r="G960" s="7"/>
      <x:c r="H960" s="7"/>
      <x:c r="I960" s="7"/>
      <x:c r="J960" s="7"/>
      <x:c r="K960" s="7"/>
      <x:c r="L960" s="7"/>
      <x:c r="M960" s="7"/>
      <x:c r="N960" s="7"/>
      <x:c r="O960" s="2" t="str">
        <x:f>IF(A960="","",IF(COUNTIFS($A$7:$A$1506,A960)&gt;1,"Buchung-ID doppelt",IF(OR(NOT(ISNUMBER(B960)),C960="",NOT(ISNUMBER(F960)),H960="",L960=""),"Pflichtangaben fehlen",IF(COUNTIFS('Konten'!$A$7:$A$26,C960)&lt;&gt;1,"Konto nicht eindeutig",IF(J960&lt;&gt;"Ja","Zuordnung bestätigen",IF(OR(AND(H960="Einnahme",F960&lt;0),AND(H960="Ausgabe",F960&gt;0)),"Vorzeichen prüfen",IF(AND(H960="Umbuchung",OR(K960="",COUNTIFS($A$7:$A$1506,K960)&lt;&gt;1)),"Gegenbuchung fehlt",IF(AND(H960="Umbuchung",ROUND(SUMIFS($F$7:$F$1506,$A$7:$A$1506,K960)+F960,2)&lt;&gt;0),"Umbuchung abweichend",IF(OR(G960="",M960="",M960="offen",M960="teilbelegt",H960="Ungeklärt",H960="Bargeld"),"Beleg / Verwendung klären","vollständig erfasst")))))))))</x:f>
      </x:c>
    </x:row>
    <x:row r="961" ht="22" customHeight="1">
      <x:c r="A961" s="7"/>
      <x:c r="B961" s="8"/>
      <x:c r="C961" s="7"/>
      <x:c r="D961" s="7"/>
      <x:c r="E961" s="7"/>
      <x:c r="F961" s="20"/>
      <x:c r="G961" s="7"/>
      <x:c r="H961" s="7"/>
      <x:c r="I961" s="7"/>
      <x:c r="J961" s="7"/>
      <x:c r="K961" s="7"/>
      <x:c r="L961" s="7"/>
      <x:c r="M961" s="7"/>
      <x:c r="N961" s="7"/>
      <x:c r="O961" s="2" t="str">
        <x:f>IF(A961="","",IF(COUNTIFS($A$7:$A$1506,A961)&gt;1,"Buchung-ID doppelt",IF(OR(NOT(ISNUMBER(B961)),C961="",NOT(ISNUMBER(F961)),H961="",L961=""),"Pflichtangaben fehlen",IF(COUNTIFS('Konten'!$A$7:$A$26,C961)&lt;&gt;1,"Konto nicht eindeutig",IF(J961&lt;&gt;"Ja","Zuordnung bestätigen",IF(OR(AND(H961="Einnahme",F961&lt;0),AND(H961="Ausgabe",F961&gt;0)),"Vorzeichen prüfen",IF(AND(H961="Umbuchung",OR(K961="",COUNTIFS($A$7:$A$1506,K961)&lt;&gt;1)),"Gegenbuchung fehlt",IF(AND(H961="Umbuchung",ROUND(SUMIFS($F$7:$F$1506,$A$7:$A$1506,K961)+F961,2)&lt;&gt;0),"Umbuchung abweichend",IF(OR(G961="",M961="",M961="offen",M961="teilbelegt",H961="Ungeklärt",H961="Bargeld"),"Beleg / Verwendung klären","vollständig erfasst")))))))))</x:f>
      </x:c>
    </x:row>
    <x:row r="962" ht="22" customHeight="1">
      <x:c r="A962" s="7"/>
      <x:c r="B962" s="8"/>
      <x:c r="C962" s="7"/>
      <x:c r="D962" s="7"/>
      <x:c r="E962" s="7"/>
      <x:c r="F962" s="20"/>
      <x:c r="G962" s="7"/>
      <x:c r="H962" s="7"/>
      <x:c r="I962" s="7"/>
      <x:c r="J962" s="7"/>
      <x:c r="K962" s="7"/>
      <x:c r="L962" s="7"/>
      <x:c r="M962" s="7"/>
      <x:c r="N962" s="7"/>
      <x:c r="O962" s="2" t="str">
        <x:f>IF(A962="","",IF(COUNTIFS($A$7:$A$1506,A962)&gt;1,"Buchung-ID doppelt",IF(OR(NOT(ISNUMBER(B962)),C962="",NOT(ISNUMBER(F962)),H962="",L962=""),"Pflichtangaben fehlen",IF(COUNTIFS('Konten'!$A$7:$A$26,C962)&lt;&gt;1,"Konto nicht eindeutig",IF(J962&lt;&gt;"Ja","Zuordnung bestätigen",IF(OR(AND(H962="Einnahme",F962&lt;0),AND(H962="Ausgabe",F962&gt;0)),"Vorzeichen prüfen",IF(AND(H962="Umbuchung",OR(K962="",COUNTIFS($A$7:$A$1506,K962)&lt;&gt;1)),"Gegenbuchung fehlt",IF(AND(H962="Umbuchung",ROUND(SUMIFS($F$7:$F$1506,$A$7:$A$1506,K962)+F962,2)&lt;&gt;0),"Umbuchung abweichend",IF(OR(G962="",M962="",M962="offen",M962="teilbelegt",H962="Ungeklärt",H962="Bargeld"),"Beleg / Verwendung klären","vollständig erfasst")))))))))</x:f>
      </x:c>
    </x:row>
    <x:row r="963" ht="22" customHeight="1">
      <x:c r="A963" s="7"/>
      <x:c r="B963" s="8"/>
      <x:c r="C963" s="7"/>
      <x:c r="D963" s="7"/>
      <x:c r="E963" s="7"/>
      <x:c r="F963" s="20"/>
      <x:c r="G963" s="7"/>
      <x:c r="H963" s="7"/>
      <x:c r="I963" s="7"/>
      <x:c r="J963" s="7"/>
      <x:c r="K963" s="7"/>
      <x:c r="L963" s="7"/>
      <x:c r="M963" s="7"/>
      <x:c r="N963" s="7"/>
      <x:c r="O963" s="2" t="str">
        <x:f>IF(A963="","",IF(COUNTIFS($A$7:$A$1506,A963)&gt;1,"Buchung-ID doppelt",IF(OR(NOT(ISNUMBER(B963)),C963="",NOT(ISNUMBER(F963)),H963="",L963=""),"Pflichtangaben fehlen",IF(COUNTIFS('Konten'!$A$7:$A$26,C963)&lt;&gt;1,"Konto nicht eindeutig",IF(J963&lt;&gt;"Ja","Zuordnung bestätigen",IF(OR(AND(H963="Einnahme",F963&lt;0),AND(H963="Ausgabe",F963&gt;0)),"Vorzeichen prüfen",IF(AND(H963="Umbuchung",OR(K963="",COUNTIFS($A$7:$A$1506,K963)&lt;&gt;1)),"Gegenbuchung fehlt",IF(AND(H963="Umbuchung",ROUND(SUMIFS($F$7:$F$1506,$A$7:$A$1506,K963)+F963,2)&lt;&gt;0),"Umbuchung abweichend",IF(OR(G963="",M963="",M963="offen",M963="teilbelegt",H963="Ungeklärt",H963="Bargeld"),"Beleg / Verwendung klären","vollständig erfasst")))))))))</x:f>
      </x:c>
    </x:row>
    <x:row r="964" ht="22" customHeight="1">
      <x:c r="A964" s="7"/>
      <x:c r="B964" s="8"/>
      <x:c r="C964" s="7"/>
      <x:c r="D964" s="7"/>
      <x:c r="E964" s="7"/>
      <x:c r="F964" s="20"/>
      <x:c r="G964" s="7"/>
      <x:c r="H964" s="7"/>
      <x:c r="I964" s="7"/>
      <x:c r="J964" s="7"/>
      <x:c r="K964" s="7"/>
      <x:c r="L964" s="7"/>
      <x:c r="M964" s="7"/>
      <x:c r="N964" s="7"/>
      <x:c r="O964" s="2" t="str">
        <x:f>IF(A964="","",IF(COUNTIFS($A$7:$A$1506,A964)&gt;1,"Buchung-ID doppelt",IF(OR(NOT(ISNUMBER(B964)),C964="",NOT(ISNUMBER(F964)),H964="",L964=""),"Pflichtangaben fehlen",IF(COUNTIFS('Konten'!$A$7:$A$26,C964)&lt;&gt;1,"Konto nicht eindeutig",IF(J964&lt;&gt;"Ja","Zuordnung bestätigen",IF(OR(AND(H964="Einnahme",F964&lt;0),AND(H964="Ausgabe",F964&gt;0)),"Vorzeichen prüfen",IF(AND(H964="Umbuchung",OR(K964="",COUNTIFS($A$7:$A$1506,K964)&lt;&gt;1)),"Gegenbuchung fehlt",IF(AND(H964="Umbuchung",ROUND(SUMIFS($F$7:$F$1506,$A$7:$A$1506,K964)+F964,2)&lt;&gt;0),"Umbuchung abweichend",IF(OR(G964="",M964="",M964="offen",M964="teilbelegt",H964="Ungeklärt",H964="Bargeld"),"Beleg / Verwendung klären","vollständig erfasst")))))))))</x:f>
      </x:c>
    </x:row>
    <x:row r="965" ht="22" customHeight="1">
      <x:c r="A965" s="7"/>
      <x:c r="B965" s="8"/>
      <x:c r="C965" s="7"/>
      <x:c r="D965" s="7"/>
      <x:c r="E965" s="7"/>
      <x:c r="F965" s="20"/>
      <x:c r="G965" s="7"/>
      <x:c r="H965" s="7"/>
      <x:c r="I965" s="7"/>
      <x:c r="J965" s="7"/>
      <x:c r="K965" s="7"/>
      <x:c r="L965" s="7"/>
      <x:c r="M965" s="7"/>
      <x:c r="N965" s="7"/>
      <x:c r="O965" s="2" t="str">
        <x:f>IF(A965="","",IF(COUNTIFS($A$7:$A$1506,A965)&gt;1,"Buchung-ID doppelt",IF(OR(NOT(ISNUMBER(B965)),C965="",NOT(ISNUMBER(F965)),H965="",L965=""),"Pflichtangaben fehlen",IF(COUNTIFS('Konten'!$A$7:$A$26,C965)&lt;&gt;1,"Konto nicht eindeutig",IF(J965&lt;&gt;"Ja","Zuordnung bestätigen",IF(OR(AND(H965="Einnahme",F965&lt;0),AND(H965="Ausgabe",F965&gt;0)),"Vorzeichen prüfen",IF(AND(H965="Umbuchung",OR(K965="",COUNTIFS($A$7:$A$1506,K965)&lt;&gt;1)),"Gegenbuchung fehlt",IF(AND(H965="Umbuchung",ROUND(SUMIFS($F$7:$F$1506,$A$7:$A$1506,K965)+F965,2)&lt;&gt;0),"Umbuchung abweichend",IF(OR(G965="",M965="",M965="offen",M965="teilbelegt",H965="Ungeklärt",H965="Bargeld"),"Beleg / Verwendung klären","vollständig erfasst")))))))))</x:f>
      </x:c>
    </x:row>
    <x:row r="966" ht="22" customHeight="1">
      <x:c r="A966" s="7"/>
      <x:c r="B966" s="8"/>
      <x:c r="C966" s="7"/>
      <x:c r="D966" s="7"/>
      <x:c r="E966" s="7"/>
      <x:c r="F966" s="20"/>
      <x:c r="G966" s="7"/>
      <x:c r="H966" s="7"/>
      <x:c r="I966" s="7"/>
      <x:c r="J966" s="7"/>
      <x:c r="K966" s="7"/>
      <x:c r="L966" s="7"/>
      <x:c r="M966" s="7"/>
      <x:c r="N966" s="7"/>
      <x:c r="O966" s="2" t="str">
        <x:f>IF(A966="","",IF(COUNTIFS($A$7:$A$1506,A966)&gt;1,"Buchung-ID doppelt",IF(OR(NOT(ISNUMBER(B966)),C966="",NOT(ISNUMBER(F966)),H966="",L966=""),"Pflichtangaben fehlen",IF(COUNTIFS('Konten'!$A$7:$A$26,C966)&lt;&gt;1,"Konto nicht eindeutig",IF(J966&lt;&gt;"Ja","Zuordnung bestätigen",IF(OR(AND(H966="Einnahme",F966&lt;0),AND(H966="Ausgabe",F966&gt;0)),"Vorzeichen prüfen",IF(AND(H966="Umbuchung",OR(K966="",COUNTIFS($A$7:$A$1506,K966)&lt;&gt;1)),"Gegenbuchung fehlt",IF(AND(H966="Umbuchung",ROUND(SUMIFS($F$7:$F$1506,$A$7:$A$1506,K966)+F966,2)&lt;&gt;0),"Umbuchung abweichend",IF(OR(G966="",M966="",M966="offen",M966="teilbelegt",H966="Ungeklärt",H966="Bargeld"),"Beleg / Verwendung klären","vollständig erfasst")))))))))</x:f>
      </x:c>
    </x:row>
    <x:row r="967" ht="22" customHeight="1">
      <x:c r="A967" s="7"/>
      <x:c r="B967" s="8"/>
      <x:c r="C967" s="7"/>
      <x:c r="D967" s="7"/>
      <x:c r="E967" s="7"/>
      <x:c r="F967" s="20"/>
      <x:c r="G967" s="7"/>
      <x:c r="H967" s="7"/>
      <x:c r="I967" s="7"/>
      <x:c r="J967" s="7"/>
      <x:c r="K967" s="7"/>
      <x:c r="L967" s="7"/>
      <x:c r="M967" s="7"/>
      <x:c r="N967" s="7"/>
      <x:c r="O967" s="2" t="str">
        <x:f>IF(A967="","",IF(COUNTIFS($A$7:$A$1506,A967)&gt;1,"Buchung-ID doppelt",IF(OR(NOT(ISNUMBER(B967)),C967="",NOT(ISNUMBER(F967)),H967="",L967=""),"Pflichtangaben fehlen",IF(COUNTIFS('Konten'!$A$7:$A$26,C967)&lt;&gt;1,"Konto nicht eindeutig",IF(J967&lt;&gt;"Ja","Zuordnung bestätigen",IF(OR(AND(H967="Einnahme",F967&lt;0),AND(H967="Ausgabe",F967&gt;0)),"Vorzeichen prüfen",IF(AND(H967="Umbuchung",OR(K967="",COUNTIFS($A$7:$A$1506,K967)&lt;&gt;1)),"Gegenbuchung fehlt",IF(AND(H967="Umbuchung",ROUND(SUMIFS($F$7:$F$1506,$A$7:$A$1506,K967)+F967,2)&lt;&gt;0),"Umbuchung abweichend",IF(OR(G967="",M967="",M967="offen",M967="teilbelegt",H967="Ungeklärt",H967="Bargeld"),"Beleg / Verwendung klären","vollständig erfasst")))))))))</x:f>
      </x:c>
    </x:row>
    <x:row r="968" ht="22" customHeight="1">
      <x:c r="A968" s="7"/>
      <x:c r="B968" s="8"/>
      <x:c r="C968" s="7"/>
      <x:c r="D968" s="7"/>
      <x:c r="E968" s="7"/>
      <x:c r="F968" s="20"/>
      <x:c r="G968" s="7"/>
      <x:c r="H968" s="7"/>
      <x:c r="I968" s="7"/>
      <x:c r="J968" s="7"/>
      <x:c r="K968" s="7"/>
      <x:c r="L968" s="7"/>
      <x:c r="M968" s="7"/>
      <x:c r="N968" s="7"/>
      <x:c r="O968" s="2" t="str">
        <x:f>IF(A968="","",IF(COUNTIFS($A$7:$A$1506,A968)&gt;1,"Buchung-ID doppelt",IF(OR(NOT(ISNUMBER(B968)),C968="",NOT(ISNUMBER(F968)),H968="",L968=""),"Pflichtangaben fehlen",IF(COUNTIFS('Konten'!$A$7:$A$26,C968)&lt;&gt;1,"Konto nicht eindeutig",IF(J968&lt;&gt;"Ja","Zuordnung bestätigen",IF(OR(AND(H968="Einnahme",F968&lt;0),AND(H968="Ausgabe",F968&gt;0)),"Vorzeichen prüfen",IF(AND(H968="Umbuchung",OR(K968="",COUNTIFS($A$7:$A$1506,K968)&lt;&gt;1)),"Gegenbuchung fehlt",IF(AND(H968="Umbuchung",ROUND(SUMIFS($F$7:$F$1506,$A$7:$A$1506,K968)+F968,2)&lt;&gt;0),"Umbuchung abweichend",IF(OR(G968="",M968="",M968="offen",M968="teilbelegt",H968="Ungeklärt",H968="Bargeld"),"Beleg / Verwendung klären","vollständig erfasst")))))))))</x:f>
      </x:c>
    </x:row>
    <x:row r="969" ht="22" customHeight="1">
      <x:c r="A969" s="7"/>
      <x:c r="B969" s="8"/>
      <x:c r="C969" s="7"/>
      <x:c r="D969" s="7"/>
      <x:c r="E969" s="7"/>
      <x:c r="F969" s="20"/>
      <x:c r="G969" s="7"/>
      <x:c r="H969" s="7"/>
      <x:c r="I969" s="7"/>
      <x:c r="J969" s="7"/>
      <x:c r="K969" s="7"/>
      <x:c r="L969" s="7"/>
      <x:c r="M969" s="7"/>
      <x:c r="N969" s="7"/>
      <x:c r="O969" s="2" t="str">
        <x:f>IF(A969="","",IF(COUNTIFS($A$7:$A$1506,A969)&gt;1,"Buchung-ID doppelt",IF(OR(NOT(ISNUMBER(B969)),C969="",NOT(ISNUMBER(F969)),H969="",L969=""),"Pflichtangaben fehlen",IF(COUNTIFS('Konten'!$A$7:$A$26,C969)&lt;&gt;1,"Konto nicht eindeutig",IF(J969&lt;&gt;"Ja","Zuordnung bestätigen",IF(OR(AND(H969="Einnahme",F969&lt;0),AND(H969="Ausgabe",F969&gt;0)),"Vorzeichen prüfen",IF(AND(H969="Umbuchung",OR(K969="",COUNTIFS($A$7:$A$1506,K969)&lt;&gt;1)),"Gegenbuchung fehlt",IF(AND(H969="Umbuchung",ROUND(SUMIFS($F$7:$F$1506,$A$7:$A$1506,K969)+F969,2)&lt;&gt;0),"Umbuchung abweichend",IF(OR(G969="",M969="",M969="offen",M969="teilbelegt",H969="Ungeklärt",H969="Bargeld"),"Beleg / Verwendung klären","vollständig erfasst")))))))))</x:f>
      </x:c>
    </x:row>
    <x:row r="970" ht="22" customHeight="1">
      <x:c r="A970" s="7"/>
      <x:c r="B970" s="8"/>
      <x:c r="C970" s="7"/>
      <x:c r="D970" s="7"/>
      <x:c r="E970" s="7"/>
      <x:c r="F970" s="20"/>
      <x:c r="G970" s="7"/>
      <x:c r="H970" s="7"/>
      <x:c r="I970" s="7"/>
      <x:c r="J970" s="7"/>
      <x:c r="K970" s="7"/>
      <x:c r="L970" s="7"/>
      <x:c r="M970" s="7"/>
      <x:c r="N970" s="7"/>
      <x:c r="O970" s="2" t="str">
        <x:f>IF(A970="","",IF(COUNTIFS($A$7:$A$1506,A970)&gt;1,"Buchung-ID doppelt",IF(OR(NOT(ISNUMBER(B970)),C970="",NOT(ISNUMBER(F970)),H970="",L970=""),"Pflichtangaben fehlen",IF(COUNTIFS('Konten'!$A$7:$A$26,C970)&lt;&gt;1,"Konto nicht eindeutig",IF(J970&lt;&gt;"Ja","Zuordnung bestätigen",IF(OR(AND(H970="Einnahme",F970&lt;0),AND(H970="Ausgabe",F970&gt;0)),"Vorzeichen prüfen",IF(AND(H970="Umbuchung",OR(K970="",COUNTIFS($A$7:$A$1506,K970)&lt;&gt;1)),"Gegenbuchung fehlt",IF(AND(H970="Umbuchung",ROUND(SUMIFS($F$7:$F$1506,$A$7:$A$1506,K970)+F970,2)&lt;&gt;0),"Umbuchung abweichend",IF(OR(G970="",M970="",M970="offen",M970="teilbelegt",H970="Ungeklärt",H970="Bargeld"),"Beleg / Verwendung klären","vollständig erfasst")))))))))</x:f>
      </x:c>
    </x:row>
    <x:row r="971" ht="22" customHeight="1">
      <x:c r="A971" s="7"/>
      <x:c r="B971" s="8"/>
      <x:c r="C971" s="7"/>
      <x:c r="D971" s="7"/>
      <x:c r="E971" s="7"/>
      <x:c r="F971" s="20"/>
      <x:c r="G971" s="7"/>
      <x:c r="H971" s="7"/>
      <x:c r="I971" s="7"/>
      <x:c r="J971" s="7"/>
      <x:c r="K971" s="7"/>
      <x:c r="L971" s="7"/>
      <x:c r="M971" s="7"/>
      <x:c r="N971" s="7"/>
      <x:c r="O971" s="2" t="str">
        <x:f>IF(A971="","",IF(COUNTIFS($A$7:$A$1506,A971)&gt;1,"Buchung-ID doppelt",IF(OR(NOT(ISNUMBER(B971)),C971="",NOT(ISNUMBER(F971)),H971="",L971=""),"Pflichtangaben fehlen",IF(COUNTIFS('Konten'!$A$7:$A$26,C971)&lt;&gt;1,"Konto nicht eindeutig",IF(J971&lt;&gt;"Ja","Zuordnung bestätigen",IF(OR(AND(H971="Einnahme",F971&lt;0),AND(H971="Ausgabe",F971&gt;0)),"Vorzeichen prüfen",IF(AND(H971="Umbuchung",OR(K971="",COUNTIFS($A$7:$A$1506,K971)&lt;&gt;1)),"Gegenbuchung fehlt",IF(AND(H971="Umbuchung",ROUND(SUMIFS($F$7:$F$1506,$A$7:$A$1506,K971)+F971,2)&lt;&gt;0),"Umbuchung abweichend",IF(OR(G971="",M971="",M971="offen",M971="teilbelegt",H971="Ungeklärt",H971="Bargeld"),"Beleg / Verwendung klären","vollständig erfasst")))))))))</x:f>
      </x:c>
    </x:row>
    <x:row r="972" ht="22" customHeight="1">
      <x:c r="A972" s="7"/>
      <x:c r="B972" s="8"/>
      <x:c r="C972" s="7"/>
      <x:c r="D972" s="7"/>
      <x:c r="E972" s="7"/>
      <x:c r="F972" s="20"/>
      <x:c r="G972" s="7"/>
      <x:c r="H972" s="7"/>
      <x:c r="I972" s="7"/>
      <x:c r="J972" s="7"/>
      <x:c r="K972" s="7"/>
      <x:c r="L972" s="7"/>
      <x:c r="M972" s="7"/>
      <x:c r="N972" s="7"/>
      <x:c r="O972" s="2" t="str">
        <x:f>IF(A972="","",IF(COUNTIFS($A$7:$A$1506,A972)&gt;1,"Buchung-ID doppelt",IF(OR(NOT(ISNUMBER(B972)),C972="",NOT(ISNUMBER(F972)),H972="",L972=""),"Pflichtangaben fehlen",IF(COUNTIFS('Konten'!$A$7:$A$26,C972)&lt;&gt;1,"Konto nicht eindeutig",IF(J972&lt;&gt;"Ja","Zuordnung bestätigen",IF(OR(AND(H972="Einnahme",F972&lt;0),AND(H972="Ausgabe",F972&gt;0)),"Vorzeichen prüfen",IF(AND(H972="Umbuchung",OR(K972="",COUNTIFS($A$7:$A$1506,K972)&lt;&gt;1)),"Gegenbuchung fehlt",IF(AND(H972="Umbuchung",ROUND(SUMIFS($F$7:$F$1506,$A$7:$A$1506,K972)+F972,2)&lt;&gt;0),"Umbuchung abweichend",IF(OR(G972="",M972="",M972="offen",M972="teilbelegt",H972="Ungeklärt",H972="Bargeld"),"Beleg / Verwendung klären","vollständig erfasst")))))))))</x:f>
      </x:c>
    </x:row>
    <x:row r="973" ht="22" customHeight="1">
      <x:c r="A973" s="7"/>
      <x:c r="B973" s="8"/>
      <x:c r="C973" s="7"/>
      <x:c r="D973" s="7"/>
      <x:c r="E973" s="7"/>
      <x:c r="F973" s="20"/>
      <x:c r="G973" s="7"/>
      <x:c r="H973" s="7"/>
      <x:c r="I973" s="7"/>
      <x:c r="J973" s="7"/>
      <x:c r="K973" s="7"/>
      <x:c r="L973" s="7"/>
      <x:c r="M973" s="7"/>
      <x:c r="N973" s="7"/>
      <x:c r="O973" s="2" t="str">
        <x:f>IF(A973="","",IF(COUNTIFS($A$7:$A$1506,A973)&gt;1,"Buchung-ID doppelt",IF(OR(NOT(ISNUMBER(B973)),C973="",NOT(ISNUMBER(F973)),H973="",L973=""),"Pflichtangaben fehlen",IF(COUNTIFS('Konten'!$A$7:$A$26,C973)&lt;&gt;1,"Konto nicht eindeutig",IF(J973&lt;&gt;"Ja","Zuordnung bestätigen",IF(OR(AND(H973="Einnahme",F973&lt;0),AND(H973="Ausgabe",F973&gt;0)),"Vorzeichen prüfen",IF(AND(H973="Umbuchung",OR(K973="",COUNTIFS($A$7:$A$1506,K973)&lt;&gt;1)),"Gegenbuchung fehlt",IF(AND(H973="Umbuchung",ROUND(SUMIFS($F$7:$F$1506,$A$7:$A$1506,K973)+F973,2)&lt;&gt;0),"Umbuchung abweichend",IF(OR(G973="",M973="",M973="offen",M973="teilbelegt",H973="Ungeklärt",H973="Bargeld"),"Beleg / Verwendung klären","vollständig erfasst")))))))))</x:f>
      </x:c>
    </x:row>
    <x:row r="974" ht="22" customHeight="1">
      <x:c r="A974" s="7"/>
      <x:c r="B974" s="8"/>
      <x:c r="C974" s="7"/>
      <x:c r="D974" s="7"/>
      <x:c r="E974" s="7"/>
      <x:c r="F974" s="20"/>
      <x:c r="G974" s="7"/>
      <x:c r="H974" s="7"/>
      <x:c r="I974" s="7"/>
      <x:c r="J974" s="7"/>
      <x:c r="K974" s="7"/>
      <x:c r="L974" s="7"/>
      <x:c r="M974" s="7"/>
      <x:c r="N974" s="7"/>
      <x:c r="O974" s="2" t="str">
        <x:f>IF(A974="","",IF(COUNTIFS($A$7:$A$1506,A974)&gt;1,"Buchung-ID doppelt",IF(OR(NOT(ISNUMBER(B974)),C974="",NOT(ISNUMBER(F974)),H974="",L974=""),"Pflichtangaben fehlen",IF(COUNTIFS('Konten'!$A$7:$A$26,C974)&lt;&gt;1,"Konto nicht eindeutig",IF(J974&lt;&gt;"Ja","Zuordnung bestätigen",IF(OR(AND(H974="Einnahme",F974&lt;0),AND(H974="Ausgabe",F974&gt;0)),"Vorzeichen prüfen",IF(AND(H974="Umbuchung",OR(K974="",COUNTIFS($A$7:$A$1506,K974)&lt;&gt;1)),"Gegenbuchung fehlt",IF(AND(H974="Umbuchung",ROUND(SUMIFS($F$7:$F$1506,$A$7:$A$1506,K974)+F974,2)&lt;&gt;0),"Umbuchung abweichend",IF(OR(G974="",M974="",M974="offen",M974="teilbelegt",H974="Ungeklärt",H974="Bargeld"),"Beleg / Verwendung klären","vollständig erfasst")))))))))</x:f>
      </x:c>
    </x:row>
    <x:row r="975" ht="22" customHeight="1">
      <x:c r="A975" s="7"/>
      <x:c r="B975" s="8"/>
      <x:c r="C975" s="7"/>
      <x:c r="D975" s="7"/>
      <x:c r="E975" s="7"/>
      <x:c r="F975" s="20"/>
      <x:c r="G975" s="7"/>
      <x:c r="H975" s="7"/>
      <x:c r="I975" s="7"/>
      <x:c r="J975" s="7"/>
      <x:c r="K975" s="7"/>
      <x:c r="L975" s="7"/>
      <x:c r="M975" s="7"/>
      <x:c r="N975" s="7"/>
      <x:c r="O975" s="2" t="str">
        <x:f>IF(A975="","",IF(COUNTIFS($A$7:$A$1506,A975)&gt;1,"Buchung-ID doppelt",IF(OR(NOT(ISNUMBER(B975)),C975="",NOT(ISNUMBER(F975)),H975="",L975=""),"Pflichtangaben fehlen",IF(COUNTIFS('Konten'!$A$7:$A$26,C975)&lt;&gt;1,"Konto nicht eindeutig",IF(J975&lt;&gt;"Ja","Zuordnung bestätigen",IF(OR(AND(H975="Einnahme",F975&lt;0),AND(H975="Ausgabe",F975&gt;0)),"Vorzeichen prüfen",IF(AND(H975="Umbuchung",OR(K975="",COUNTIFS($A$7:$A$1506,K975)&lt;&gt;1)),"Gegenbuchung fehlt",IF(AND(H975="Umbuchung",ROUND(SUMIFS($F$7:$F$1506,$A$7:$A$1506,K975)+F975,2)&lt;&gt;0),"Umbuchung abweichend",IF(OR(G975="",M975="",M975="offen",M975="teilbelegt",H975="Ungeklärt",H975="Bargeld"),"Beleg / Verwendung klären","vollständig erfasst")))))))))</x:f>
      </x:c>
    </x:row>
    <x:row r="976" ht="22" customHeight="1">
      <x:c r="A976" s="7"/>
      <x:c r="B976" s="8"/>
      <x:c r="C976" s="7"/>
      <x:c r="D976" s="7"/>
      <x:c r="E976" s="7"/>
      <x:c r="F976" s="20"/>
      <x:c r="G976" s="7"/>
      <x:c r="H976" s="7"/>
      <x:c r="I976" s="7"/>
      <x:c r="J976" s="7"/>
      <x:c r="K976" s="7"/>
      <x:c r="L976" s="7"/>
      <x:c r="M976" s="7"/>
      <x:c r="N976" s="7"/>
      <x:c r="O976" s="2" t="str">
        <x:f>IF(A976="","",IF(COUNTIFS($A$7:$A$1506,A976)&gt;1,"Buchung-ID doppelt",IF(OR(NOT(ISNUMBER(B976)),C976="",NOT(ISNUMBER(F976)),H976="",L976=""),"Pflichtangaben fehlen",IF(COUNTIFS('Konten'!$A$7:$A$26,C976)&lt;&gt;1,"Konto nicht eindeutig",IF(J976&lt;&gt;"Ja","Zuordnung bestätigen",IF(OR(AND(H976="Einnahme",F976&lt;0),AND(H976="Ausgabe",F976&gt;0)),"Vorzeichen prüfen",IF(AND(H976="Umbuchung",OR(K976="",COUNTIFS($A$7:$A$1506,K976)&lt;&gt;1)),"Gegenbuchung fehlt",IF(AND(H976="Umbuchung",ROUND(SUMIFS($F$7:$F$1506,$A$7:$A$1506,K976)+F976,2)&lt;&gt;0),"Umbuchung abweichend",IF(OR(G976="",M976="",M976="offen",M976="teilbelegt",H976="Ungeklärt",H976="Bargeld"),"Beleg / Verwendung klären","vollständig erfasst")))))))))</x:f>
      </x:c>
    </x:row>
    <x:row r="977" ht="22" customHeight="1">
      <x:c r="A977" s="7"/>
      <x:c r="B977" s="8"/>
      <x:c r="C977" s="7"/>
      <x:c r="D977" s="7"/>
      <x:c r="E977" s="7"/>
      <x:c r="F977" s="20"/>
      <x:c r="G977" s="7"/>
      <x:c r="H977" s="7"/>
      <x:c r="I977" s="7"/>
      <x:c r="J977" s="7"/>
      <x:c r="K977" s="7"/>
      <x:c r="L977" s="7"/>
      <x:c r="M977" s="7"/>
      <x:c r="N977" s="7"/>
      <x:c r="O977" s="2" t="str">
        <x:f>IF(A977="","",IF(COUNTIFS($A$7:$A$1506,A977)&gt;1,"Buchung-ID doppelt",IF(OR(NOT(ISNUMBER(B977)),C977="",NOT(ISNUMBER(F977)),H977="",L977=""),"Pflichtangaben fehlen",IF(COUNTIFS('Konten'!$A$7:$A$26,C977)&lt;&gt;1,"Konto nicht eindeutig",IF(J977&lt;&gt;"Ja","Zuordnung bestätigen",IF(OR(AND(H977="Einnahme",F977&lt;0),AND(H977="Ausgabe",F977&gt;0)),"Vorzeichen prüfen",IF(AND(H977="Umbuchung",OR(K977="",COUNTIFS($A$7:$A$1506,K977)&lt;&gt;1)),"Gegenbuchung fehlt",IF(AND(H977="Umbuchung",ROUND(SUMIFS($F$7:$F$1506,$A$7:$A$1506,K977)+F977,2)&lt;&gt;0),"Umbuchung abweichend",IF(OR(G977="",M977="",M977="offen",M977="teilbelegt",H977="Ungeklärt",H977="Bargeld"),"Beleg / Verwendung klären","vollständig erfasst")))))))))</x:f>
      </x:c>
    </x:row>
    <x:row r="978" ht="22" customHeight="1">
      <x:c r="A978" s="7"/>
      <x:c r="B978" s="8"/>
      <x:c r="C978" s="7"/>
      <x:c r="D978" s="7"/>
      <x:c r="E978" s="7"/>
      <x:c r="F978" s="20"/>
      <x:c r="G978" s="7"/>
      <x:c r="H978" s="7"/>
      <x:c r="I978" s="7"/>
      <x:c r="J978" s="7"/>
      <x:c r="K978" s="7"/>
      <x:c r="L978" s="7"/>
      <x:c r="M978" s="7"/>
      <x:c r="N978" s="7"/>
      <x:c r="O978" s="2" t="str">
        <x:f>IF(A978="","",IF(COUNTIFS($A$7:$A$1506,A978)&gt;1,"Buchung-ID doppelt",IF(OR(NOT(ISNUMBER(B978)),C978="",NOT(ISNUMBER(F978)),H978="",L978=""),"Pflichtangaben fehlen",IF(COUNTIFS('Konten'!$A$7:$A$26,C978)&lt;&gt;1,"Konto nicht eindeutig",IF(J978&lt;&gt;"Ja","Zuordnung bestätigen",IF(OR(AND(H978="Einnahme",F978&lt;0),AND(H978="Ausgabe",F978&gt;0)),"Vorzeichen prüfen",IF(AND(H978="Umbuchung",OR(K978="",COUNTIFS($A$7:$A$1506,K978)&lt;&gt;1)),"Gegenbuchung fehlt",IF(AND(H978="Umbuchung",ROUND(SUMIFS($F$7:$F$1506,$A$7:$A$1506,K978)+F978,2)&lt;&gt;0),"Umbuchung abweichend",IF(OR(G978="",M978="",M978="offen",M978="teilbelegt",H978="Ungeklärt",H978="Bargeld"),"Beleg / Verwendung klären","vollständig erfasst")))))))))</x:f>
      </x:c>
    </x:row>
    <x:row r="979" ht="22" customHeight="1">
      <x:c r="A979" s="7"/>
      <x:c r="B979" s="8"/>
      <x:c r="C979" s="7"/>
      <x:c r="D979" s="7"/>
      <x:c r="E979" s="7"/>
      <x:c r="F979" s="20"/>
      <x:c r="G979" s="7"/>
      <x:c r="H979" s="7"/>
      <x:c r="I979" s="7"/>
      <x:c r="J979" s="7"/>
      <x:c r="K979" s="7"/>
      <x:c r="L979" s="7"/>
      <x:c r="M979" s="7"/>
      <x:c r="N979" s="7"/>
      <x:c r="O979" s="2" t="str">
        <x:f>IF(A979="","",IF(COUNTIFS($A$7:$A$1506,A979)&gt;1,"Buchung-ID doppelt",IF(OR(NOT(ISNUMBER(B979)),C979="",NOT(ISNUMBER(F979)),H979="",L979=""),"Pflichtangaben fehlen",IF(COUNTIFS('Konten'!$A$7:$A$26,C979)&lt;&gt;1,"Konto nicht eindeutig",IF(J979&lt;&gt;"Ja","Zuordnung bestätigen",IF(OR(AND(H979="Einnahme",F979&lt;0),AND(H979="Ausgabe",F979&gt;0)),"Vorzeichen prüfen",IF(AND(H979="Umbuchung",OR(K979="",COUNTIFS($A$7:$A$1506,K979)&lt;&gt;1)),"Gegenbuchung fehlt",IF(AND(H979="Umbuchung",ROUND(SUMIFS($F$7:$F$1506,$A$7:$A$1506,K979)+F979,2)&lt;&gt;0),"Umbuchung abweichend",IF(OR(G979="",M979="",M979="offen",M979="teilbelegt",H979="Ungeklärt",H979="Bargeld"),"Beleg / Verwendung klären","vollständig erfasst")))))))))</x:f>
      </x:c>
    </x:row>
    <x:row r="980" ht="22" customHeight="1">
      <x:c r="A980" s="7"/>
      <x:c r="B980" s="8"/>
      <x:c r="C980" s="7"/>
      <x:c r="D980" s="7"/>
      <x:c r="E980" s="7"/>
      <x:c r="F980" s="20"/>
      <x:c r="G980" s="7"/>
      <x:c r="H980" s="7"/>
      <x:c r="I980" s="7"/>
      <x:c r="J980" s="7"/>
      <x:c r="K980" s="7"/>
      <x:c r="L980" s="7"/>
      <x:c r="M980" s="7"/>
      <x:c r="N980" s="7"/>
      <x:c r="O980" s="2" t="str">
        <x:f>IF(A980="","",IF(COUNTIFS($A$7:$A$1506,A980)&gt;1,"Buchung-ID doppelt",IF(OR(NOT(ISNUMBER(B980)),C980="",NOT(ISNUMBER(F980)),H980="",L980=""),"Pflichtangaben fehlen",IF(COUNTIFS('Konten'!$A$7:$A$26,C980)&lt;&gt;1,"Konto nicht eindeutig",IF(J980&lt;&gt;"Ja","Zuordnung bestätigen",IF(OR(AND(H980="Einnahme",F980&lt;0),AND(H980="Ausgabe",F980&gt;0)),"Vorzeichen prüfen",IF(AND(H980="Umbuchung",OR(K980="",COUNTIFS($A$7:$A$1506,K980)&lt;&gt;1)),"Gegenbuchung fehlt",IF(AND(H980="Umbuchung",ROUND(SUMIFS($F$7:$F$1506,$A$7:$A$1506,K980)+F980,2)&lt;&gt;0),"Umbuchung abweichend",IF(OR(G980="",M980="",M980="offen",M980="teilbelegt",H980="Ungeklärt",H980="Bargeld"),"Beleg / Verwendung klären","vollständig erfasst")))))))))</x:f>
      </x:c>
    </x:row>
    <x:row r="981" ht="22" customHeight="1">
      <x:c r="A981" s="7"/>
      <x:c r="B981" s="8"/>
      <x:c r="C981" s="7"/>
      <x:c r="D981" s="7"/>
      <x:c r="E981" s="7"/>
      <x:c r="F981" s="20"/>
      <x:c r="G981" s="7"/>
      <x:c r="H981" s="7"/>
      <x:c r="I981" s="7"/>
      <x:c r="J981" s="7"/>
      <x:c r="K981" s="7"/>
      <x:c r="L981" s="7"/>
      <x:c r="M981" s="7"/>
      <x:c r="N981" s="7"/>
      <x:c r="O981" s="2" t="str">
        <x:f>IF(A981="","",IF(COUNTIFS($A$7:$A$1506,A981)&gt;1,"Buchung-ID doppelt",IF(OR(NOT(ISNUMBER(B981)),C981="",NOT(ISNUMBER(F981)),H981="",L981=""),"Pflichtangaben fehlen",IF(COUNTIFS('Konten'!$A$7:$A$26,C981)&lt;&gt;1,"Konto nicht eindeutig",IF(J981&lt;&gt;"Ja","Zuordnung bestätigen",IF(OR(AND(H981="Einnahme",F981&lt;0),AND(H981="Ausgabe",F981&gt;0)),"Vorzeichen prüfen",IF(AND(H981="Umbuchung",OR(K981="",COUNTIFS($A$7:$A$1506,K981)&lt;&gt;1)),"Gegenbuchung fehlt",IF(AND(H981="Umbuchung",ROUND(SUMIFS($F$7:$F$1506,$A$7:$A$1506,K981)+F981,2)&lt;&gt;0),"Umbuchung abweichend",IF(OR(G981="",M981="",M981="offen",M981="teilbelegt",H981="Ungeklärt",H981="Bargeld"),"Beleg / Verwendung klären","vollständig erfasst")))))))))</x:f>
      </x:c>
    </x:row>
    <x:row r="982" ht="22" customHeight="1">
      <x:c r="A982" s="7"/>
      <x:c r="B982" s="8"/>
      <x:c r="C982" s="7"/>
      <x:c r="D982" s="7"/>
      <x:c r="E982" s="7"/>
      <x:c r="F982" s="20"/>
      <x:c r="G982" s="7"/>
      <x:c r="H982" s="7"/>
      <x:c r="I982" s="7"/>
      <x:c r="J982" s="7"/>
      <x:c r="K982" s="7"/>
      <x:c r="L982" s="7"/>
      <x:c r="M982" s="7"/>
      <x:c r="N982" s="7"/>
      <x:c r="O982" s="2" t="str">
        <x:f>IF(A982="","",IF(COUNTIFS($A$7:$A$1506,A982)&gt;1,"Buchung-ID doppelt",IF(OR(NOT(ISNUMBER(B982)),C982="",NOT(ISNUMBER(F982)),H982="",L982=""),"Pflichtangaben fehlen",IF(COUNTIFS('Konten'!$A$7:$A$26,C982)&lt;&gt;1,"Konto nicht eindeutig",IF(J982&lt;&gt;"Ja","Zuordnung bestätigen",IF(OR(AND(H982="Einnahme",F982&lt;0),AND(H982="Ausgabe",F982&gt;0)),"Vorzeichen prüfen",IF(AND(H982="Umbuchung",OR(K982="",COUNTIFS($A$7:$A$1506,K982)&lt;&gt;1)),"Gegenbuchung fehlt",IF(AND(H982="Umbuchung",ROUND(SUMIFS($F$7:$F$1506,$A$7:$A$1506,K982)+F982,2)&lt;&gt;0),"Umbuchung abweichend",IF(OR(G982="",M982="",M982="offen",M982="teilbelegt",H982="Ungeklärt",H982="Bargeld"),"Beleg / Verwendung klären","vollständig erfasst")))))))))</x:f>
      </x:c>
    </x:row>
    <x:row r="983" ht="22" customHeight="1">
      <x:c r="A983" s="7"/>
      <x:c r="B983" s="8"/>
      <x:c r="C983" s="7"/>
      <x:c r="D983" s="7"/>
      <x:c r="E983" s="7"/>
      <x:c r="F983" s="20"/>
      <x:c r="G983" s="7"/>
      <x:c r="H983" s="7"/>
      <x:c r="I983" s="7"/>
      <x:c r="J983" s="7"/>
      <x:c r="K983" s="7"/>
      <x:c r="L983" s="7"/>
      <x:c r="M983" s="7"/>
      <x:c r="N983" s="7"/>
      <x:c r="O983" s="2" t="str">
        <x:f>IF(A983="","",IF(COUNTIFS($A$7:$A$1506,A983)&gt;1,"Buchung-ID doppelt",IF(OR(NOT(ISNUMBER(B983)),C983="",NOT(ISNUMBER(F983)),H983="",L983=""),"Pflichtangaben fehlen",IF(COUNTIFS('Konten'!$A$7:$A$26,C983)&lt;&gt;1,"Konto nicht eindeutig",IF(J983&lt;&gt;"Ja","Zuordnung bestätigen",IF(OR(AND(H983="Einnahme",F983&lt;0),AND(H983="Ausgabe",F983&gt;0)),"Vorzeichen prüfen",IF(AND(H983="Umbuchung",OR(K983="",COUNTIFS($A$7:$A$1506,K983)&lt;&gt;1)),"Gegenbuchung fehlt",IF(AND(H983="Umbuchung",ROUND(SUMIFS($F$7:$F$1506,$A$7:$A$1506,K983)+F983,2)&lt;&gt;0),"Umbuchung abweichend",IF(OR(G983="",M983="",M983="offen",M983="teilbelegt",H983="Ungeklärt",H983="Bargeld"),"Beleg / Verwendung klären","vollständig erfasst")))))))))</x:f>
      </x:c>
    </x:row>
    <x:row r="984" ht="22" customHeight="1">
      <x:c r="A984" s="7"/>
      <x:c r="B984" s="8"/>
      <x:c r="C984" s="7"/>
      <x:c r="D984" s="7"/>
      <x:c r="E984" s="7"/>
      <x:c r="F984" s="20"/>
      <x:c r="G984" s="7"/>
      <x:c r="H984" s="7"/>
      <x:c r="I984" s="7"/>
      <x:c r="J984" s="7"/>
      <x:c r="K984" s="7"/>
      <x:c r="L984" s="7"/>
      <x:c r="M984" s="7"/>
      <x:c r="N984" s="7"/>
      <x:c r="O984" s="2" t="str">
        <x:f>IF(A984="","",IF(COUNTIFS($A$7:$A$1506,A984)&gt;1,"Buchung-ID doppelt",IF(OR(NOT(ISNUMBER(B984)),C984="",NOT(ISNUMBER(F984)),H984="",L984=""),"Pflichtangaben fehlen",IF(COUNTIFS('Konten'!$A$7:$A$26,C984)&lt;&gt;1,"Konto nicht eindeutig",IF(J984&lt;&gt;"Ja","Zuordnung bestätigen",IF(OR(AND(H984="Einnahme",F984&lt;0),AND(H984="Ausgabe",F984&gt;0)),"Vorzeichen prüfen",IF(AND(H984="Umbuchung",OR(K984="",COUNTIFS($A$7:$A$1506,K984)&lt;&gt;1)),"Gegenbuchung fehlt",IF(AND(H984="Umbuchung",ROUND(SUMIFS($F$7:$F$1506,$A$7:$A$1506,K984)+F984,2)&lt;&gt;0),"Umbuchung abweichend",IF(OR(G984="",M984="",M984="offen",M984="teilbelegt",H984="Ungeklärt",H984="Bargeld"),"Beleg / Verwendung klären","vollständig erfasst")))))))))</x:f>
      </x:c>
    </x:row>
    <x:row r="985" ht="22" customHeight="1">
      <x:c r="A985" s="7"/>
      <x:c r="B985" s="8"/>
      <x:c r="C985" s="7"/>
      <x:c r="D985" s="7"/>
      <x:c r="E985" s="7"/>
      <x:c r="F985" s="20"/>
      <x:c r="G985" s="7"/>
      <x:c r="H985" s="7"/>
      <x:c r="I985" s="7"/>
      <x:c r="J985" s="7"/>
      <x:c r="K985" s="7"/>
      <x:c r="L985" s="7"/>
      <x:c r="M985" s="7"/>
      <x:c r="N985" s="7"/>
      <x:c r="O985" s="2" t="str">
        <x:f>IF(A985="","",IF(COUNTIFS($A$7:$A$1506,A985)&gt;1,"Buchung-ID doppelt",IF(OR(NOT(ISNUMBER(B985)),C985="",NOT(ISNUMBER(F985)),H985="",L985=""),"Pflichtangaben fehlen",IF(COUNTIFS('Konten'!$A$7:$A$26,C985)&lt;&gt;1,"Konto nicht eindeutig",IF(J985&lt;&gt;"Ja","Zuordnung bestätigen",IF(OR(AND(H985="Einnahme",F985&lt;0),AND(H985="Ausgabe",F985&gt;0)),"Vorzeichen prüfen",IF(AND(H985="Umbuchung",OR(K985="",COUNTIFS($A$7:$A$1506,K985)&lt;&gt;1)),"Gegenbuchung fehlt",IF(AND(H985="Umbuchung",ROUND(SUMIFS($F$7:$F$1506,$A$7:$A$1506,K985)+F985,2)&lt;&gt;0),"Umbuchung abweichend",IF(OR(G985="",M985="",M985="offen",M985="teilbelegt",H985="Ungeklärt",H985="Bargeld"),"Beleg / Verwendung klären","vollständig erfasst")))))))))</x:f>
      </x:c>
    </x:row>
    <x:row r="986" ht="22" customHeight="1">
      <x:c r="A986" s="7"/>
      <x:c r="B986" s="8"/>
      <x:c r="C986" s="7"/>
      <x:c r="D986" s="7"/>
      <x:c r="E986" s="7"/>
      <x:c r="F986" s="20"/>
      <x:c r="G986" s="7"/>
      <x:c r="H986" s="7"/>
      <x:c r="I986" s="7"/>
      <x:c r="J986" s="7"/>
      <x:c r="K986" s="7"/>
      <x:c r="L986" s="7"/>
      <x:c r="M986" s="7"/>
      <x:c r="N986" s="7"/>
      <x:c r="O986" s="2" t="str">
        <x:f>IF(A986="","",IF(COUNTIFS($A$7:$A$1506,A986)&gt;1,"Buchung-ID doppelt",IF(OR(NOT(ISNUMBER(B986)),C986="",NOT(ISNUMBER(F986)),H986="",L986=""),"Pflichtangaben fehlen",IF(COUNTIFS('Konten'!$A$7:$A$26,C986)&lt;&gt;1,"Konto nicht eindeutig",IF(J986&lt;&gt;"Ja","Zuordnung bestätigen",IF(OR(AND(H986="Einnahme",F986&lt;0),AND(H986="Ausgabe",F986&gt;0)),"Vorzeichen prüfen",IF(AND(H986="Umbuchung",OR(K986="",COUNTIFS($A$7:$A$1506,K986)&lt;&gt;1)),"Gegenbuchung fehlt",IF(AND(H986="Umbuchung",ROUND(SUMIFS($F$7:$F$1506,$A$7:$A$1506,K986)+F986,2)&lt;&gt;0),"Umbuchung abweichend",IF(OR(G986="",M986="",M986="offen",M986="teilbelegt",H986="Ungeklärt",H986="Bargeld"),"Beleg / Verwendung klären","vollständig erfasst")))))))))</x:f>
      </x:c>
    </x:row>
    <x:row r="987" ht="22" customHeight="1">
      <x:c r="A987" s="7"/>
      <x:c r="B987" s="8"/>
      <x:c r="C987" s="7"/>
      <x:c r="D987" s="7"/>
      <x:c r="E987" s="7"/>
      <x:c r="F987" s="20"/>
      <x:c r="G987" s="7"/>
      <x:c r="H987" s="7"/>
      <x:c r="I987" s="7"/>
      <x:c r="J987" s="7"/>
      <x:c r="K987" s="7"/>
      <x:c r="L987" s="7"/>
      <x:c r="M987" s="7"/>
      <x:c r="N987" s="7"/>
      <x:c r="O987" s="2" t="str">
        <x:f>IF(A987="","",IF(COUNTIFS($A$7:$A$1506,A987)&gt;1,"Buchung-ID doppelt",IF(OR(NOT(ISNUMBER(B987)),C987="",NOT(ISNUMBER(F987)),H987="",L987=""),"Pflichtangaben fehlen",IF(COUNTIFS('Konten'!$A$7:$A$26,C987)&lt;&gt;1,"Konto nicht eindeutig",IF(J987&lt;&gt;"Ja","Zuordnung bestätigen",IF(OR(AND(H987="Einnahme",F987&lt;0),AND(H987="Ausgabe",F987&gt;0)),"Vorzeichen prüfen",IF(AND(H987="Umbuchung",OR(K987="",COUNTIFS($A$7:$A$1506,K987)&lt;&gt;1)),"Gegenbuchung fehlt",IF(AND(H987="Umbuchung",ROUND(SUMIFS($F$7:$F$1506,$A$7:$A$1506,K987)+F987,2)&lt;&gt;0),"Umbuchung abweichend",IF(OR(G987="",M987="",M987="offen",M987="teilbelegt",H987="Ungeklärt",H987="Bargeld"),"Beleg / Verwendung klären","vollständig erfasst")))))))))</x:f>
      </x:c>
    </x:row>
    <x:row r="988" ht="22" customHeight="1">
      <x:c r="A988" s="7"/>
      <x:c r="B988" s="8"/>
      <x:c r="C988" s="7"/>
      <x:c r="D988" s="7"/>
      <x:c r="E988" s="7"/>
      <x:c r="F988" s="20"/>
      <x:c r="G988" s="7"/>
      <x:c r="H988" s="7"/>
      <x:c r="I988" s="7"/>
      <x:c r="J988" s="7"/>
      <x:c r="K988" s="7"/>
      <x:c r="L988" s="7"/>
      <x:c r="M988" s="7"/>
      <x:c r="N988" s="7"/>
      <x:c r="O988" s="2" t="str">
        <x:f>IF(A988="","",IF(COUNTIFS($A$7:$A$1506,A988)&gt;1,"Buchung-ID doppelt",IF(OR(NOT(ISNUMBER(B988)),C988="",NOT(ISNUMBER(F988)),H988="",L988=""),"Pflichtangaben fehlen",IF(COUNTIFS('Konten'!$A$7:$A$26,C988)&lt;&gt;1,"Konto nicht eindeutig",IF(J988&lt;&gt;"Ja","Zuordnung bestätigen",IF(OR(AND(H988="Einnahme",F988&lt;0),AND(H988="Ausgabe",F988&gt;0)),"Vorzeichen prüfen",IF(AND(H988="Umbuchung",OR(K988="",COUNTIFS($A$7:$A$1506,K988)&lt;&gt;1)),"Gegenbuchung fehlt",IF(AND(H988="Umbuchung",ROUND(SUMIFS($F$7:$F$1506,$A$7:$A$1506,K988)+F988,2)&lt;&gt;0),"Umbuchung abweichend",IF(OR(G988="",M988="",M988="offen",M988="teilbelegt",H988="Ungeklärt",H988="Bargeld"),"Beleg / Verwendung klären","vollständig erfasst")))))))))</x:f>
      </x:c>
    </x:row>
    <x:row r="989" ht="22" customHeight="1">
      <x:c r="A989" s="7"/>
      <x:c r="B989" s="8"/>
      <x:c r="C989" s="7"/>
      <x:c r="D989" s="7"/>
      <x:c r="E989" s="7"/>
      <x:c r="F989" s="20"/>
      <x:c r="G989" s="7"/>
      <x:c r="H989" s="7"/>
      <x:c r="I989" s="7"/>
      <x:c r="J989" s="7"/>
      <x:c r="K989" s="7"/>
      <x:c r="L989" s="7"/>
      <x:c r="M989" s="7"/>
      <x:c r="N989" s="7"/>
      <x:c r="O989" s="2" t="str">
        <x:f>IF(A989="","",IF(COUNTIFS($A$7:$A$1506,A989)&gt;1,"Buchung-ID doppelt",IF(OR(NOT(ISNUMBER(B989)),C989="",NOT(ISNUMBER(F989)),H989="",L989=""),"Pflichtangaben fehlen",IF(COUNTIFS('Konten'!$A$7:$A$26,C989)&lt;&gt;1,"Konto nicht eindeutig",IF(J989&lt;&gt;"Ja","Zuordnung bestätigen",IF(OR(AND(H989="Einnahme",F989&lt;0),AND(H989="Ausgabe",F989&gt;0)),"Vorzeichen prüfen",IF(AND(H989="Umbuchung",OR(K989="",COUNTIFS($A$7:$A$1506,K989)&lt;&gt;1)),"Gegenbuchung fehlt",IF(AND(H989="Umbuchung",ROUND(SUMIFS($F$7:$F$1506,$A$7:$A$1506,K989)+F989,2)&lt;&gt;0),"Umbuchung abweichend",IF(OR(G989="",M989="",M989="offen",M989="teilbelegt",H989="Ungeklärt",H989="Bargeld"),"Beleg / Verwendung klären","vollständig erfasst")))))))))</x:f>
      </x:c>
    </x:row>
    <x:row r="990" ht="22" customHeight="1">
      <x:c r="A990" s="7"/>
      <x:c r="B990" s="8"/>
      <x:c r="C990" s="7"/>
      <x:c r="D990" s="7"/>
      <x:c r="E990" s="7"/>
      <x:c r="F990" s="20"/>
      <x:c r="G990" s="7"/>
      <x:c r="H990" s="7"/>
      <x:c r="I990" s="7"/>
      <x:c r="J990" s="7"/>
      <x:c r="K990" s="7"/>
      <x:c r="L990" s="7"/>
      <x:c r="M990" s="7"/>
      <x:c r="N990" s="7"/>
      <x:c r="O990" s="2" t="str">
        <x:f>IF(A990="","",IF(COUNTIFS($A$7:$A$1506,A990)&gt;1,"Buchung-ID doppelt",IF(OR(NOT(ISNUMBER(B990)),C990="",NOT(ISNUMBER(F990)),H990="",L990=""),"Pflichtangaben fehlen",IF(COUNTIFS('Konten'!$A$7:$A$26,C990)&lt;&gt;1,"Konto nicht eindeutig",IF(J990&lt;&gt;"Ja","Zuordnung bestätigen",IF(OR(AND(H990="Einnahme",F990&lt;0),AND(H990="Ausgabe",F990&gt;0)),"Vorzeichen prüfen",IF(AND(H990="Umbuchung",OR(K990="",COUNTIFS($A$7:$A$1506,K990)&lt;&gt;1)),"Gegenbuchung fehlt",IF(AND(H990="Umbuchung",ROUND(SUMIFS($F$7:$F$1506,$A$7:$A$1506,K990)+F990,2)&lt;&gt;0),"Umbuchung abweichend",IF(OR(G990="",M990="",M990="offen",M990="teilbelegt",H990="Ungeklärt",H990="Bargeld"),"Beleg / Verwendung klären","vollständig erfasst")))))))))</x:f>
      </x:c>
    </x:row>
    <x:row r="991" ht="22" customHeight="1">
      <x:c r="A991" s="7"/>
      <x:c r="B991" s="8"/>
      <x:c r="C991" s="7"/>
      <x:c r="D991" s="7"/>
      <x:c r="E991" s="7"/>
      <x:c r="F991" s="20"/>
      <x:c r="G991" s="7"/>
      <x:c r="H991" s="7"/>
      <x:c r="I991" s="7"/>
      <x:c r="J991" s="7"/>
      <x:c r="K991" s="7"/>
      <x:c r="L991" s="7"/>
      <x:c r="M991" s="7"/>
      <x:c r="N991" s="7"/>
      <x:c r="O991" s="2" t="str">
        <x:f>IF(A991="","",IF(COUNTIFS($A$7:$A$1506,A991)&gt;1,"Buchung-ID doppelt",IF(OR(NOT(ISNUMBER(B991)),C991="",NOT(ISNUMBER(F991)),H991="",L991=""),"Pflichtangaben fehlen",IF(COUNTIFS('Konten'!$A$7:$A$26,C991)&lt;&gt;1,"Konto nicht eindeutig",IF(J991&lt;&gt;"Ja","Zuordnung bestätigen",IF(OR(AND(H991="Einnahme",F991&lt;0),AND(H991="Ausgabe",F991&gt;0)),"Vorzeichen prüfen",IF(AND(H991="Umbuchung",OR(K991="",COUNTIFS($A$7:$A$1506,K991)&lt;&gt;1)),"Gegenbuchung fehlt",IF(AND(H991="Umbuchung",ROUND(SUMIFS($F$7:$F$1506,$A$7:$A$1506,K991)+F991,2)&lt;&gt;0),"Umbuchung abweichend",IF(OR(G991="",M991="",M991="offen",M991="teilbelegt",H991="Ungeklärt",H991="Bargeld"),"Beleg / Verwendung klären","vollständig erfasst")))))))))</x:f>
      </x:c>
    </x:row>
    <x:row r="992" ht="22" customHeight="1">
      <x:c r="A992" s="7"/>
      <x:c r="B992" s="8"/>
      <x:c r="C992" s="7"/>
      <x:c r="D992" s="7"/>
      <x:c r="E992" s="7"/>
      <x:c r="F992" s="20"/>
      <x:c r="G992" s="7"/>
      <x:c r="H992" s="7"/>
      <x:c r="I992" s="7"/>
      <x:c r="J992" s="7"/>
      <x:c r="K992" s="7"/>
      <x:c r="L992" s="7"/>
      <x:c r="M992" s="7"/>
      <x:c r="N992" s="7"/>
      <x:c r="O992" s="2" t="str">
        <x:f>IF(A992="","",IF(COUNTIFS($A$7:$A$1506,A992)&gt;1,"Buchung-ID doppelt",IF(OR(NOT(ISNUMBER(B992)),C992="",NOT(ISNUMBER(F992)),H992="",L992=""),"Pflichtangaben fehlen",IF(COUNTIFS('Konten'!$A$7:$A$26,C992)&lt;&gt;1,"Konto nicht eindeutig",IF(J992&lt;&gt;"Ja","Zuordnung bestätigen",IF(OR(AND(H992="Einnahme",F992&lt;0),AND(H992="Ausgabe",F992&gt;0)),"Vorzeichen prüfen",IF(AND(H992="Umbuchung",OR(K992="",COUNTIFS($A$7:$A$1506,K992)&lt;&gt;1)),"Gegenbuchung fehlt",IF(AND(H992="Umbuchung",ROUND(SUMIFS($F$7:$F$1506,$A$7:$A$1506,K992)+F992,2)&lt;&gt;0),"Umbuchung abweichend",IF(OR(G992="",M992="",M992="offen",M992="teilbelegt",H992="Ungeklärt",H992="Bargeld"),"Beleg / Verwendung klären","vollständig erfasst")))))))))</x:f>
      </x:c>
    </x:row>
    <x:row r="993" ht="22" customHeight="1">
      <x:c r="A993" s="7"/>
      <x:c r="B993" s="8"/>
      <x:c r="C993" s="7"/>
      <x:c r="D993" s="7"/>
      <x:c r="E993" s="7"/>
      <x:c r="F993" s="20"/>
      <x:c r="G993" s="7"/>
      <x:c r="H993" s="7"/>
      <x:c r="I993" s="7"/>
      <x:c r="J993" s="7"/>
      <x:c r="K993" s="7"/>
      <x:c r="L993" s="7"/>
      <x:c r="M993" s="7"/>
      <x:c r="N993" s="7"/>
      <x:c r="O993" s="2" t="str">
        <x:f>IF(A993="","",IF(COUNTIFS($A$7:$A$1506,A993)&gt;1,"Buchung-ID doppelt",IF(OR(NOT(ISNUMBER(B993)),C993="",NOT(ISNUMBER(F993)),H993="",L993=""),"Pflichtangaben fehlen",IF(COUNTIFS('Konten'!$A$7:$A$26,C993)&lt;&gt;1,"Konto nicht eindeutig",IF(J993&lt;&gt;"Ja","Zuordnung bestätigen",IF(OR(AND(H993="Einnahme",F993&lt;0),AND(H993="Ausgabe",F993&gt;0)),"Vorzeichen prüfen",IF(AND(H993="Umbuchung",OR(K993="",COUNTIFS($A$7:$A$1506,K993)&lt;&gt;1)),"Gegenbuchung fehlt",IF(AND(H993="Umbuchung",ROUND(SUMIFS($F$7:$F$1506,$A$7:$A$1506,K993)+F993,2)&lt;&gt;0),"Umbuchung abweichend",IF(OR(G993="",M993="",M993="offen",M993="teilbelegt",H993="Ungeklärt",H993="Bargeld"),"Beleg / Verwendung klären","vollständig erfasst")))))))))</x:f>
      </x:c>
    </x:row>
    <x:row r="994" ht="22" customHeight="1">
      <x:c r="A994" s="7"/>
      <x:c r="B994" s="8"/>
      <x:c r="C994" s="7"/>
      <x:c r="D994" s="7"/>
      <x:c r="E994" s="7"/>
      <x:c r="F994" s="20"/>
      <x:c r="G994" s="7"/>
      <x:c r="H994" s="7"/>
      <x:c r="I994" s="7"/>
      <x:c r="J994" s="7"/>
      <x:c r="K994" s="7"/>
      <x:c r="L994" s="7"/>
      <x:c r="M994" s="7"/>
      <x:c r="N994" s="7"/>
      <x:c r="O994" s="2" t="str">
        <x:f>IF(A994="","",IF(COUNTIFS($A$7:$A$1506,A994)&gt;1,"Buchung-ID doppelt",IF(OR(NOT(ISNUMBER(B994)),C994="",NOT(ISNUMBER(F994)),H994="",L994=""),"Pflichtangaben fehlen",IF(COUNTIFS('Konten'!$A$7:$A$26,C994)&lt;&gt;1,"Konto nicht eindeutig",IF(J994&lt;&gt;"Ja","Zuordnung bestätigen",IF(OR(AND(H994="Einnahme",F994&lt;0),AND(H994="Ausgabe",F994&gt;0)),"Vorzeichen prüfen",IF(AND(H994="Umbuchung",OR(K994="",COUNTIFS($A$7:$A$1506,K994)&lt;&gt;1)),"Gegenbuchung fehlt",IF(AND(H994="Umbuchung",ROUND(SUMIFS($F$7:$F$1506,$A$7:$A$1506,K994)+F994,2)&lt;&gt;0),"Umbuchung abweichend",IF(OR(G994="",M994="",M994="offen",M994="teilbelegt",H994="Ungeklärt",H994="Bargeld"),"Beleg / Verwendung klären","vollständig erfasst")))))))))</x:f>
      </x:c>
    </x:row>
    <x:row r="995" ht="22" customHeight="1">
      <x:c r="A995" s="7"/>
      <x:c r="B995" s="8"/>
      <x:c r="C995" s="7"/>
      <x:c r="D995" s="7"/>
      <x:c r="E995" s="7"/>
      <x:c r="F995" s="20"/>
      <x:c r="G995" s="7"/>
      <x:c r="H995" s="7"/>
      <x:c r="I995" s="7"/>
      <x:c r="J995" s="7"/>
      <x:c r="K995" s="7"/>
      <x:c r="L995" s="7"/>
      <x:c r="M995" s="7"/>
      <x:c r="N995" s="7"/>
      <x:c r="O995" s="2" t="str">
        <x:f>IF(A995="","",IF(COUNTIFS($A$7:$A$1506,A995)&gt;1,"Buchung-ID doppelt",IF(OR(NOT(ISNUMBER(B995)),C995="",NOT(ISNUMBER(F995)),H995="",L995=""),"Pflichtangaben fehlen",IF(COUNTIFS('Konten'!$A$7:$A$26,C995)&lt;&gt;1,"Konto nicht eindeutig",IF(J995&lt;&gt;"Ja","Zuordnung bestätigen",IF(OR(AND(H995="Einnahme",F995&lt;0),AND(H995="Ausgabe",F995&gt;0)),"Vorzeichen prüfen",IF(AND(H995="Umbuchung",OR(K995="",COUNTIFS($A$7:$A$1506,K995)&lt;&gt;1)),"Gegenbuchung fehlt",IF(AND(H995="Umbuchung",ROUND(SUMIFS($F$7:$F$1506,$A$7:$A$1506,K995)+F995,2)&lt;&gt;0),"Umbuchung abweichend",IF(OR(G995="",M995="",M995="offen",M995="teilbelegt",H995="Ungeklärt",H995="Bargeld"),"Beleg / Verwendung klären","vollständig erfasst")))))))))</x:f>
      </x:c>
    </x:row>
    <x:row r="996" ht="22" customHeight="1">
      <x:c r="A996" s="7"/>
      <x:c r="B996" s="8"/>
      <x:c r="C996" s="7"/>
      <x:c r="D996" s="7"/>
      <x:c r="E996" s="7"/>
      <x:c r="F996" s="20"/>
      <x:c r="G996" s="7"/>
      <x:c r="H996" s="7"/>
      <x:c r="I996" s="7"/>
      <x:c r="J996" s="7"/>
      <x:c r="K996" s="7"/>
      <x:c r="L996" s="7"/>
      <x:c r="M996" s="7"/>
      <x:c r="N996" s="7"/>
      <x:c r="O996" s="2" t="str">
        <x:f>IF(A996="","",IF(COUNTIFS($A$7:$A$1506,A996)&gt;1,"Buchung-ID doppelt",IF(OR(NOT(ISNUMBER(B996)),C996="",NOT(ISNUMBER(F996)),H996="",L996=""),"Pflichtangaben fehlen",IF(COUNTIFS('Konten'!$A$7:$A$26,C996)&lt;&gt;1,"Konto nicht eindeutig",IF(J996&lt;&gt;"Ja","Zuordnung bestätigen",IF(OR(AND(H996="Einnahme",F996&lt;0),AND(H996="Ausgabe",F996&gt;0)),"Vorzeichen prüfen",IF(AND(H996="Umbuchung",OR(K996="",COUNTIFS($A$7:$A$1506,K996)&lt;&gt;1)),"Gegenbuchung fehlt",IF(AND(H996="Umbuchung",ROUND(SUMIFS($F$7:$F$1506,$A$7:$A$1506,K996)+F996,2)&lt;&gt;0),"Umbuchung abweichend",IF(OR(G996="",M996="",M996="offen",M996="teilbelegt",H996="Ungeklärt",H996="Bargeld"),"Beleg / Verwendung klären","vollständig erfasst")))))))))</x:f>
      </x:c>
    </x:row>
    <x:row r="997" ht="22" customHeight="1">
      <x:c r="A997" s="7"/>
      <x:c r="B997" s="8"/>
      <x:c r="C997" s="7"/>
      <x:c r="D997" s="7"/>
      <x:c r="E997" s="7"/>
      <x:c r="F997" s="20"/>
      <x:c r="G997" s="7"/>
      <x:c r="H997" s="7"/>
      <x:c r="I997" s="7"/>
      <x:c r="J997" s="7"/>
      <x:c r="K997" s="7"/>
      <x:c r="L997" s="7"/>
      <x:c r="M997" s="7"/>
      <x:c r="N997" s="7"/>
      <x:c r="O997" s="2" t="str">
        <x:f>IF(A997="","",IF(COUNTIFS($A$7:$A$1506,A997)&gt;1,"Buchung-ID doppelt",IF(OR(NOT(ISNUMBER(B997)),C997="",NOT(ISNUMBER(F997)),H997="",L997=""),"Pflichtangaben fehlen",IF(COUNTIFS('Konten'!$A$7:$A$26,C997)&lt;&gt;1,"Konto nicht eindeutig",IF(J997&lt;&gt;"Ja","Zuordnung bestätigen",IF(OR(AND(H997="Einnahme",F997&lt;0),AND(H997="Ausgabe",F997&gt;0)),"Vorzeichen prüfen",IF(AND(H997="Umbuchung",OR(K997="",COUNTIFS($A$7:$A$1506,K997)&lt;&gt;1)),"Gegenbuchung fehlt",IF(AND(H997="Umbuchung",ROUND(SUMIFS($F$7:$F$1506,$A$7:$A$1506,K997)+F997,2)&lt;&gt;0),"Umbuchung abweichend",IF(OR(G997="",M997="",M997="offen",M997="teilbelegt",H997="Ungeklärt",H997="Bargeld"),"Beleg / Verwendung klären","vollständig erfasst")))))))))</x:f>
      </x:c>
    </x:row>
    <x:row r="998" ht="22" customHeight="1">
      <x:c r="A998" s="7"/>
      <x:c r="B998" s="8"/>
      <x:c r="C998" s="7"/>
      <x:c r="D998" s="7"/>
      <x:c r="E998" s="7"/>
      <x:c r="F998" s="20"/>
      <x:c r="G998" s="7"/>
      <x:c r="H998" s="7"/>
      <x:c r="I998" s="7"/>
      <x:c r="J998" s="7"/>
      <x:c r="K998" s="7"/>
      <x:c r="L998" s="7"/>
      <x:c r="M998" s="7"/>
      <x:c r="N998" s="7"/>
      <x:c r="O998" s="2" t="str">
        <x:f>IF(A998="","",IF(COUNTIFS($A$7:$A$1506,A998)&gt;1,"Buchung-ID doppelt",IF(OR(NOT(ISNUMBER(B998)),C998="",NOT(ISNUMBER(F998)),H998="",L998=""),"Pflichtangaben fehlen",IF(COUNTIFS('Konten'!$A$7:$A$26,C998)&lt;&gt;1,"Konto nicht eindeutig",IF(J998&lt;&gt;"Ja","Zuordnung bestätigen",IF(OR(AND(H998="Einnahme",F998&lt;0),AND(H998="Ausgabe",F998&gt;0)),"Vorzeichen prüfen",IF(AND(H998="Umbuchung",OR(K998="",COUNTIFS($A$7:$A$1506,K998)&lt;&gt;1)),"Gegenbuchung fehlt",IF(AND(H998="Umbuchung",ROUND(SUMIFS($F$7:$F$1506,$A$7:$A$1506,K998)+F998,2)&lt;&gt;0),"Umbuchung abweichend",IF(OR(G998="",M998="",M998="offen",M998="teilbelegt",H998="Ungeklärt",H998="Bargeld"),"Beleg / Verwendung klären","vollständig erfasst")))))))))</x:f>
      </x:c>
    </x:row>
    <x:row r="999" ht="22" customHeight="1">
      <x:c r="A999" s="7"/>
      <x:c r="B999" s="8"/>
      <x:c r="C999" s="7"/>
      <x:c r="D999" s="7"/>
      <x:c r="E999" s="7"/>
      <x:c r="F999" s="20"/>
      <x:c r="G999" s="7"/>
      <x:c r="H999" s="7"/>
      <x:c r="I999" s="7"/>
      <x:c r="J999" s="7"/>
      <x:c r="K999" s="7"/>
      <x:c r="L999" s="7"/>
      <x:c r="M999" s="7"/>
      <x:c r="N999" s="7"/>
      <x:c r="O999" s="2" t="str">
        <x:f>IF(A999="","",IF(COUNTIFS($A$7:$A$1506,A999)&gt;1,"Buchung-ID doppelt",IF(OR(NOT(ISNUMBER(B999)),C999="",NOT(ISNUMBER(F999)),H999="",L999=""),"Pflichtangaben fehlen",IF(COUNTIFS('Konten'!$A$7:$A$26,C999)&lt;&gt;1,"Konto nicht eindeutig",IF(J999&lt;&gt;"Ja","Zuordnung bestätigen",IF(OR(AND(H999="Einnahme",F999&lt;0),AND(H999="Ausgabe",F999&gt;0)),"Vorzeichen prüfen",IF(AND(H999="Umbuchung",OR(K999="",COUNTIFS($A$7:$A$1506,K999)&lt;&gt;1)),"Gegenbuchung fehlt",IF(AND(H999="Umbuchung",ROUND(SUMIFS($F$7:$F$1506,$A$7:$A$1506,K999)+F999,2)&lt;&gt;0),"Umbuchung abweichend",IF(OR(G999="",M999="",M999="offen",M999="teilbelegt",H999="Ungeklärt",H999="Bargeld"),"Beleg / Verwendung klären","vollständig erfasst")))))))))</x:f>
      </x:c>
    </x:row>
    <x:row r="1000" ht="22" customHeight="1">
      <x:c r="A1000" s="7"/>
      <x:c r="B1000" s="8"/>
      <x:c r="C1000" s="7"/>
      <x:c r="D1000" s="7"/>
      <x:c r="E1000" s="7"/>
      <x:c r="F1000" s="20"/>
      <x:c r="G1000" s="7"/>
      <x:c r="H1000" s="7"/>
      <x:c r="I1000" s="7"/>
      <x:c r="J1000" s="7"/>
      <x:c r="K1000" s="7"/>
      <x:c r="L1000" s="7"/>
      <x:c r="M1000" s="7"/>
      <x:c r="N1000" s="7"/>
      <x:c r="O1000" s="2" t="str">
        <x:f>IF(A1000="","",IF(COUNTIFS($A$7:$A$1506,A1000)&gt;1,"Buchung-ID doppelt",IF(OR(NOT(ISNUMBER(B1000)),C1000="",NOT(ISNUMBER(F1000)),H1000="",L1000=""),"Pflichtangaben fehlen",IF(COUNTIFS('Konten'!$A$7:$A$26,C1000)&lt;&gt;1,"Konto nicht eindeutig",IF(J1000&lt;&gt;"Ja","Zuordnung bestätigen",IF(OR(AND(H1000="Einnahme",F1000&lt;0),AND(H1000="Ausgabe",F1000&gt;0)),"Vorzeichen prüfen",IF(AND(H1000="Umbuchung",OR(K1000="",COUNTIFS($A$7:$A$1506,K1000)&lt;&gt;1)),"Gegenbuchung fehlt",IF(AND(H1000="Umbuchung",ROUND(SUMIFS($F$7:$F$1506,$A$7:$A$1506,K1000)+F1000,2)&lt;&gt;0),"Umbuchung abweichend",IF(OR(G1000="",M1000="",M1000="offen",M1000="teilbelegt",H1000="Ungeklärt",H1000="Bargeld"),"Beleg / Verwendung klären","vollständig erfasst")))))))))</x:f>
      </x:c>
    </x:row>
    <x:row r="1001" ht="22" customHeight="1">
      <x:c r="A1001" s="7"/>
      <x:c r="B1001" s="8"/>
      <x:c r="C1001" s="7"/>
      <x:c r="D1001" s="7"/>
      <x:c r="E1001" s="7"/>
      <x:c r="F1001" s="20"/>
      <x:c r="G1001" s="7"/>
      <x:c r="H1001" s="7"/>
      <x:c r="I1001" s="7"/>
      <x:c r="J1001" s="7"/>
      <x:c r="K1001" s="7"/>
      <x:c r="L1001" s="7"/>
      <x:c r="M1001" s="7"/>
      <x:c r="N1001" s="7"/>
      <x:c r="O1001" s="2" t="str">
        <x:f>IF(A1001="","",IF(COUNTIFS($A$7:$A$1506,A1001)&gt;1,"Buchung-ID doppelt",IF(OR(NOT(ISNUMBER(B1001)),C1001="",NOT(ISNUMBER(F1001)),H1001="",L1001=""),"Pflichtangaben fehlen",IF(COUNTIFS('Konten'!$A$7:$A$26,C1001)&lt;&gt;1,"Konto nicht eindeutig",IF(J1001&lt;&gt;"Ja","Zuordnung bestätigen",IF(OR(AND(H1001="Einnahme",F1001&lt;0),AND(H1001="Ausgabe",F1001&gt;0)),"Vorzeichen prüfen",IF(AND(H1001="Umbuchung",OR(K1001="",COUNTIFS($A$7:$A$1506,K1001)&lt;&gt;1)),"Gegenbuchung fehlt",IF(AND(H1001="Umbuchung",ROUND(SUMIFS($F$7:$F$1506,$A$7:$A$1506,K1001)+F1001,2)&lt;&gt;0),"Umbuchung abweichend",IF(OR(G1001="",M1001="",M1001="offen",M1001="teilbelegt",H1001="Ungeklärt",H1001="Bargeld"),"Beleg / Verwendung klären","vollständig erfasst")))))))))</x:f>
      </x:c>
    </x:row>
    <x:row r="1002" ht="22" customHeight="1">
      <x:c r="A1002" s="7"/>
      <x:c r="B1002" s="8"/>
      <x:c r="C1002" s="7"/>
      <x:c r="D1002" s="7"/>
      <x:c r="E1002" s="7"/>
      <x:c r="F1002" s="20"/>
      <x:c r="G1002" s="7"/>
      <x:c r="H1002" s="7"/>
      <x:c r="I1002" s="7"/>
      <x:c r="J1002" s="7"/>
      <x:c r="K1002" s="7"/>
      <x:c r="L1002" s="7"/>
      <x:c r="M1002" s="7"/>
      <x:c r="N1002" s="7"/>
      <x:c r="O1002" s="2" t="str">
        <x:f>IF(A1002="","",IF(COUNTIFS($A$7:$A$1506,A1002)&gt;1,"Buchung-ID doppelt",IF(OR(NOT(ISNUMBER(B1002)),C1002="",NOT(ISNUMBER(F1002)),H1002="",L1002=""),"Pflichtangaben fehlen",IF(COUNTIFS('Konten'!$A$7:$A$26,C1002)&lt;&gt;1,"Konto nicht eindeutig",IF(J1002&lt;&gt;"Ja","Zuordnung bestätigen",IF(OR(AND(H1002="Einnahme",F1002&lt;0),AND(H1002="Ausgabe",F1002&gt;0)),"Vorzeichen prüfen",IF(AND(H1002="Umbuchung",OR(K1002="",COUNTIFS($A$7:$A$1506,K1002)&lt;&gt;1)),"Gegenbuchung fehlt",IF(AND(H1002="Umbuchung",ROUND(SUMIFS($F$7:$F$1506,$A$7:$A$1506,K1002)+F1002,2)&lt;&gt;0),"Umbuchung abweichend",IF(OR(G1002="",M1002="",M1002="offen",M1002="teilbelegt",H1002="Ungeklärt",H1002="Bargeld"),"Beleg / Verwendung klären","vollständig erfasst")))))))))</x:f>
      </x:c>
    </x:row>
    <x:row r="1003" ht="22" customHeight="1">
      <x:c r="A1003" s="7"/>
      <x:c r="B1003" s="8"/>
      <x:c r="C1003" s="7"/>
      <x:c r="D1003" s="7"/>
      <x:c r="E1003" s="7"/>
      <x:c r="F1003" s="20"/>
      <x:c r="G1003" s="7"/>
      <x:c r="H1003" s="7"/>
      <x:c r="I1003" s="7"/>
      <x:c r="J1003" s="7"/>
      <x:c r="K1003" s="7"/>
      <x:c r="L1003" s="7"/>
      <x:c r="M1003" s="7"/>
      <x:c r="N1003" s="7"/>
      <x:c r="O1003" s="2" t="str">
        <x:f>IF(A1003="","",IF(COUNTIFS($A$7:$A$1506,A1003)&gt;1,"Buchung-ID doppelt",IF(OR(NOT(ISNUMBER(B1003)),C1003="",NOT(ISNUMBER(F1003)),H1003="",L1003=""),"Pflichtangaben fehlen",IF(COUNTIFS('Konten'!$A$7:$A$26,C1003)&lt;&gt;1,"Konto nicht eindeutig",IF(J1003&lt;&gt;"Ja","Zuordnung bestätigen",IF(OR(AND(H1003="Einnahme",F1003&lt;0),AND(H1003="Ausgabe",F1003&gt;0)),"Vorzeichen prüfen",IF(AND(H1003="Umbuchung",OR(K1003="",COUNTIFS($A$7:$A$1506,K1003)&lt;&gt;1)),"Gegenbuchung fehlt",IF(AND(H1003="Umbuchung",ROUND(SUMIFS($F$7:$F$1506,$A$7:$A$1506,K1003)+F1003,2)&lt;&gt;0),"Umbuchung abweichend",IF(OR(G1003="",M1003="",M1003="offen",M1003="teilbelegt",H1003="Ungeklärt",H1003="Bargeld"),"Beleg / Verwendung klären","vollständig erfasst")))))))))</x:f>
      </x:c>
    </x:row>
    <x:row r="1004" ht="22" customHeight="1">
      <x:c r="A1004" s="7"/>
      <x:c r="B1004" s="8"/>
      <x:c r="C1004" s="7"/>
      <x:c r="D1004" s="7"/>
      <x:c r="E1004" s="7"/>
      <x:c r="F1004" s="20"/>
      <x:c r="G1004" s="7"/>
      <x:c r="H1004" s="7"/>
      <x:c r="I1004" s="7"/>
      <x:c r="J1004" s="7"/>
      <x:c r="K1004" s="7"/>
      <x:c r="L1004" s="7"/>
      <x:c r="M1004" s="7"/>
      <x:c r="N1004" s="7"/>
      <x:c r="O1004" s="2" t="str">
        <x:f>IF(A1004="","",IF(COUNTIFS($A$7:$A$1506,A1004)&gt;1,"Buchung-ID doppelt",IF(OR(NOT(ISNUMBER(B1004)),C1004="",NOT(ISNUMBER(F1004)),H1004="",L1004=""),"Pflichtangaben fehlen",IF(COUNTIFS('Konten'!$A$7:$A$26,C1004)&lt;&gt;1,"Konto nicht eindeutig",IF(J1004&lt;&gt;"Ja","Zuordnung bestätigen",IF(OR(AND(H1004="Einnahme",F1004&lt;0),AND(H1004="Ausgabe",F1004&gt;0)),"Vorzeichen prüfen",IF(AND(H1004="Umbuchung",OR(K1004="",COUNTIFS($A$7:$A$1506,K1004)&lt;&gt;1)),"Gegenbuchung fehlt",IF(AND(H1004="Umbuchung",ROUND(SUMIFS($F$7:$F$1506,$A$7:$A$1506,K1004)+F1004,2)&lt;&gt;0),"Umbuchung abweichend",IF(OR(G1004="",M1004="",M1004="offen",M1004="teilbelegt",H1004="Ungeklärt",H1004="Bargeld"),"Beleg / Verwendung klären","vollständig erfasst")))))))))</x:f>
      </x:c>
    </x:row>
    <x:row r="1005" ht="22" customHeight="1">
      <x:c r="A1005" s="7"/>
      <x:c r="B1005" s="8"/>
      <x:c r="C1005" s="7"/>
      <x:c r="D1005" s="7"/>
      <x:c r="E1005" s="7"/>
      <x:c r="F1005" s="20"/>
      <x:c r="G1005" s="7"/>
      <x:c r="H1005" s="7"/>
      <x:c r="I1005" s="7"/>
      <x:c r="J1005" s="7"/>
      <x:c r="K1005" s="7"/>
      <x:c r="L1005" s="7"/>
      <x:c r="M1005" s="7"/>
      <x:c r="N1005" s="7"/>
      <x:c r="O1005" s="2" t="str">
        <x:f>IF(A1005="","",IF(COUNTIFS($A$7:$A$1506,A1005)&gt;1,"Buchung-ID doppelt",IF(OR(NOT(ISNUMBER(B1005)),C1005="",NOT(ISNUMBER(F1005)),H1005="",L1005=""),"Pflichtangaben fehlen",IF(COUNTIFS('Konten'!$A$7:$A$26,C1005)&lt;&gt;1,"Konto nicht eindeutig",IF(J1005&lt;&gt;"Ja","Zuordnung bestätigen",IF(OR(AND(H1005="Einnahme",F1005&lt;0),AND(H1005="Ausgabe",F1005&gt;0)),"Vorzeichen prüfen",IF(AND(H1005="Umbuchung",OR(K1005="",COUNTIFS($A$7:$A$1506,K1005)&lt;&gt;1)),"Gegenbuchung fehlt",IF(AND(H1005="Umbuchung",ROUND(SUMIFS($F$7:$F$1506,$A$7:$A$1506,K1005)+F1005,2)&lt;&gt;0),"Umbuchung abweichend",IF(OR(G1005="",M1005="",M1005="offen",M1005="teilbelegt",H1005="Ungeklärt",H1005="Bargeld"),"Beleg / Verwendung klären","vollständig erfasst")))))))))</x:f>
      </x:c>
    </x:row>
    <x:row r="1006" ht="22" customHeight="1">
      <x:c r="A1006" s="7"/>
      <x:c r="B1006" s="8"/>
      <x:c r="C1006" s="7"/>
      <x:c r="D1006" s="7"/>
      <x:c r="E1006" s="7"/>
      <x:c r="F1006" s="20"/>
      <x:c r="G1006" s="7"/>
      <x:c r="H1006" s="7"/>
      <x:c r="I1006" s="7"/>
      <x:c r="J1006" s="7"/>
      <x:c r="K1006" s="7"/>
      <x:c r="L1006" s="7"/>
      <x:c r="M1006" s="7"/>
      <x:c r="N1006" s="7"/>
      <x:c r="O1006" s="2" t="str">
        <x:f>IF(A1006="","",IF(COUNTIFS($A$7:$A$1506,A1006)&gt;1,"Buchung-ID doppelt",IF(OR(NOT(ISNUMBER(B1006)),C1006="",NOT(ISNUMBER(F1006)),H1006="",L1006=""),"Pflichtangaben fehlen",IF(COUNTIFS('Konten'!$A$7:$A$26,C1006)&lt;&gt;1,"Konto nicht eindeutig",IF(J1006&lt;&gt;"Ja","Zuordnung bestätigen",IF(OR(AND(H1006="Einnahme",F1006&lt;0),AND(H1006="Ausgabe",F1006&gt;0)),"Vorzeichen prüfen",IF(AND(H1006="Umbuchung",OR(K1006="",COUNTIFS($A$7:$A$1506,K1006)&lt;&gt;1)),"Gegenbuchung fehlt",IF(AND(H1006="Umbuchung",ROUND(SUMIFS($F$7:$F$1506,$A$7:$A$1506,K1006)+F1006,2)&lt;&gt;0),"Umbuchung abweichend",IF(OR(G1006="",M1006="",M1006="offen",M1006="teilbelegt",H1006="Ungeklärt",H1006="Bargeld"),"Beleg / Verwendung klären","vollständig erfasst")))))))))</x:f>
      </x:c>
    </x:row>
    <x:row r="1007" ht="22" customHeight="1">
      <x:c r="A1007" s="7"/>
      <x:c r="B1007" s="8"/>
      <x:c r="C1007" s="7"/>
      <x:c r="D1007" s="7"/>
      <x:c r="E1007" s="7"/>
      <x:c r="F1007" s="20"/>
      <x:c r="G1007" s="7"/>
      <x:c r="H1007" s="7"/>
      <x:c r="I1007" s="7"/>
      <x:c r="J1007" s="7"/>
      <x:c r="K1007" s="7"/>
      <x:c r="L1007" s="7"/>
      <x:c r="M1007" s="7"/>
      <x:c r="N1007" s="7"/>
      <x:c r="O1007" s="2" t="str">
        <x:f>IF(A1007="","",IF(COUNTIFS($A$7:$A$1506,A1007)&gt;1,"Buchung-ID doppelt",IF(OR(NOT(ISNUMBER(B1007)),C1007="",NOT(ISNUMBER(F1007)),H1007="",L1007=""),"Pflichtangaben fehlen",IF(COUNTIFS('Konten'!$A$7:$A$26,C1007)&lt;&gt;1,"Konto nicht eindeutig",IF(J1007&lt;&gt;"Ja","Zuordnung bestätigen",IF(OR(AND(H1007="Einnahme",F1007&lt;0),AND(H1007="Ausgabe",F1007&gt;0)),"Vorzeichen prüfen",IF(AND(H1007="Umbuchung",OR(K1007="",COUNTIFS($A$7:$A$1506,K1007)&lt;&gt;1)),"Gegenbuchung fehlt",IF(AND(H1007="Umbuchung",ROUND(SUMIFS($F$7:$F$1506,$A$7:$A$1506,K1007)+F1007,2)&lt;&gt;0),"Umbuchung abweichend",IF(OR(G1007="",M1007="",M1007="offen",M1007="teilbelegt",H1007="Ungeklärt",H1007="Bargeld"),"Beleg / Verwendung klären","vollständig erfasst")))))))))</x:f>
      </x:c>
    </x:row>
    <x:row r="1008" ht="22" customHeight="1">
      <x:c r="A1008" s="7"/>
      <x:c r="B1008" s="8"/>
      <x:c r="C1008" s="7"/>
      <x:c r="D1008" s="7"/>
      <x:c r="E1008" s="7"/>
      <x:c r="F1008" s="20"/>
      <x:c r="G1008" s="7"/>
      <x:c r="H1008" s="7"/>
      <x:c r="I1008" s="7"/>
      <x:c r="J1008" s="7"/>
      <x:c r="K1008" s="7"/>
      <x:c r="L1008" s="7"/>
      <x:c r="M1008" s="7"/>
      <x:c r="N1008" s="7"/>
      <x:c r="O1008" s="2" t="str">
        <x:f>IF(A1008="","",IF(COUNTIFS($A$7:$A$1506,A1008)&gt;1,"Buchung-ID doppelt",IF(OR(NOT(ISNUMBER(B1008)),C1008="",NOT(ISNUMBER(F1008)),H1008="",L1008=""),"Pflichtangaben fehlen",IF(COUNTIFS('Konten'!$A$7:$A$26,C1008)&lt;&gt;1,"Konto nicht eindeutig",IF(J1008&lt;&gt;"Ja","Zuordnung bestätigen",IF(OR(AND(H1008="Einnahme",F1008&lt;0),AND(H1008="Ausgabe",F1008&gt;0)),"Vorzeichen prüfen",IF(AND(H1008="Umbuchung",OR(K1008="",COUNTIFS($A$7:$A$1506,K1008)&lt;&gt;1)),"Gegenbuchung fehlt",IF(AND(H1008="Umbuchung",ROUND(SUMIFS($F$7:$F$1506,$A$7:$A$1506,K1008)+F1008,2)&lt;&gt;0),"Umbuchung abweichend",IF(OR(G1008="",M1008="",M1008="offen",M1008="teilbelegt",H1008="Ungeklärt",H1008="Bargeld"),"Beleg / Verwendung klären","vollständig erfasst")))))))))</x:f>
      </x:c>
    </x:row>
    <x:row r="1009" ht="22" customHeight="1">
      <x:c r="A1009" s="7"/>
      <x:c r="B1009" s="8"/>
      <x:c r="C1009" s="7"/>
      <x:c r="D1009" s="7"/>
      <x:c r="E1009" s="7"/>
      <x:c r="F1009" s="20"/>
      <x:c r="G1009" s="7"/>
      <x:c r="H1009" s="7"/>
      <x:c r="I1009" s="7"/>
      <x:c r="J1009" s="7"/>
      <x:c r="K1009" s="7"/>
      <x:c r="L1009" s="7"/>
      <x:c r="M1009" s="7"/>
      <x:c r="N1009" s="7"/>
      <x:c r="O1009" s="2" t="str">
        <x:f>IF(A1009="","",IF(COUNTIFS($A$7:$A$1506,A1009)&gt;1,"Buchung-ID doppelt",IF(OR(NOT(ISNUMBER(B1009)),C1009="",NOT(ISNUMBER(F1009)),H1009="",L1009=""),"Pflichtangaben fehlen",IF(COUNTIFS('Konten'!$A$7:$A$26,C1009)&lt;&gt;1,"Konto nicht eindeutig",IF(J1009&lt;&gt;"Ja","Zuordnung bestätigen",IF(OR(AND(H1009="Einnahme",F1009&lt;0),AND(H1009="Ausgabe",F1009&gt;0)),"Vorzeichen prüfen",IF(AND(H1009="Umbuchung",OR(K1009="",COUNTIFS($A$7:$A$1506,K1009)&lt;&gt;1)),"Gegenbuchung fehlt",IF(AND(H1009="Umbuchung",ROUND(SUMIFS($F$7:$F$1506,$A$7:$A$1506,K1009)+F1009,2)&lt;&gt;0),"Umbuchung abweichend",IF(OR(G1009="",M1009="",M1009="offen",M1009="teilbelegt",H1009="Ungeklärt",H1009="Bargeld"),"Beleg / Verwendung klären","vollständig erfasst")))))))))</x:f>
      </x:c>
    </x:row>
    <x:row r="1010" ht="22" customHeight="1">
      <x:c r="A1010" s="7"/>
      <x:c r="B1010" s="8"/>
      <x:c r="C1010" s="7"/>
      <x:c r="D1010" s="7"/>
      <x:c r="E1010" s="7"/>
      <x:c r="F1010" s="20"/>
      <x:c r="G1010" s="7"/>
      <x:c r="H1010" s="7"/>
      <x:c r="I1010" s="7"/>
      <x:c r="J1010" s="7"/>
      <x:c r="K1010" s="7"/>
      <x:c r="L1010" s="7"/>
      <x:c r="M1010" s="7"/>
      <x:c r="N1010" s="7"/>
      <x:c r="O1010" s="2" t="str">
        <x:f>IF(A1010="","",IF(COUNTIFS($A$7:$A$1506,A1010)&gt;1,"Buchung-ID doppelt",IF(OR(NOT(ISNUMBER(B1010)),C1010="",NOT(ISNUMBER(F1010)),H1010="",L1010=""),"Pflichtangaben fehlen",IF(COUNTIFS('Konten'!$A$7:$A$26,C1010)&lt;&gt;1,"Konto nicht eindeutig",IF(J1010&lt;&gt;"Ja","Zuordnung bestätigen",IF(OR(AND(H1010="Einnahme",F1010&lt;0),AND(H1010="Ausgabe",F1010&gt;0)),"Vorzeichen prüfen",IF(AND(H1010="Umbuchung",OR(K1010="",COUNTIFS($A$7:$A$1506,K1010)&lt;&gt;1)),"Gegenbuchung fehlt",IF(AND(H1010="Umbuchung",ROUND(SUMIFS($F$7:$F$1506,$A$7:$A$1506,K1010)+F1010,2)&lt;&gt;0),"Umbuchung abweichend",IF(OR(G1010="",M1010="",M1010="offen",M1010="teilbelegt",H1010="Ungeklärt",H1010="Bargeld"),"Beleg / Verwendung klären","vollständig erfasst")))))))))</x:f>
      </x:c>
    </x:row>
    <x:row r="1011" ht="22" customHeight="1">
      <x:c r="A1011" s="7"/>
      <x:c r="B1011" s="8"/>
      <x:c r="C1011" s="7"/>
      <x:c r="D1011" s="7"/>
      <x:c r="E1011" s="7"/>
      <x:c r="F1011" s="20"/>
      <x:c r="G1011" s="7"/>
      <x:c r="H1011" s="7"/>
      <x:c r="I1011" s="7"/>
      <x:c r="J1011" s="7"/>
      <x:c r="K1011" s="7"/>
      <x:c r="L1011" s="7"/>
      <x:c r="M1011" s="7"/>
      <x:c r="N1011" s="7"/>
      <x:c r="O1011" s="2" t="str">
        <x:f>IF(A1011="","",IF(COUNTIFS($A$7:$A$1506,A1011)&gt;1,"Buchung-ID doppelt",IF(OR(NOT(ISNUMBER(B1011)),C1011="",NOT(ISNUMBER(F1011)),H1011="",L1011=""),"Pflichtangaben fehlen",IF(COUNTIFS('Konten'!$A$7:$A$26,C1011)&lt;&gt;1,"Konto nicht eindeutig",IF(J1011&lt;&gt;"Ja","Zuordnung bestätigen",IF(OR(AND(H1011="Einnahme",F1011&lt;0),AND(H1011="Ausgabe",F1011&gt;0)),"Vorzeichen prüfen",IF(AND(H1011="Umbuchung",OR(K1011="",COUNTIFS($A$7:$A$1506,K1011)&lt;&gt;1)),"Gegenbuchung fehlt",IF(AND(H1011="Umbuchung",ROUND(SUMIFS($F$7:$F$1506,$A$7:$A$1506,K1011)+F1011,2)&lt;&gt;0),"Umbuchung abweichend",IF(OR(G1011="",M1011="",M1011="offen",M1011="teilbelegt",H1011="Ungeklärt",H1011="Bargeld"),"Beleg / Verwendung klären","vollständig erfasst")))))))))</x:f>
      </x:c>
    </x:row>
    <x:row r="1012" ht="22" customHeight="1">
      <x:c r="A1012" s="7"/>
      <x:c r="B1012" s="8"/>
      <x:c r="C1012" s="7"/>
      <x:c r="D1012" s="7"/>
      <x:c r="E1012" s="7"/>
      <x:c r="F1012" s="20"/>
      <x:c r="G1012" s="7"/>
      <x:c r="H1012" s="7"/>
      <x:c r="I1012" s="7"/>
      <x:c r="J1012" s="7"/>
      <x:c r="K1012" s="7"/>
      <x:c r="L1012" s="7"/>
      <x:c r="M1012" s="7"/>
      <x:c r="N1012" s="7"/>
      <x:c r="O1012" s="2" t="str">
        <x:f>IF(A1012="","",IF(COUNTIFS($A$7:$A$1506,A1012)&gt;1,"Buchung-ID doppelt",IF(OR(NOT(ISNUMBER(B1012)),C1012="",NOT(ISNUMBER(F1012)),H1012="",L1012=""),"Pflichtangaben fehlen",IF(COUNTIFS('Konten'!$A$7:$A$26,C1012)&lt;&gt;1,"Konto nicht eindeutig",IF(J1012&lt;&gt;"Ja","Zuordnung bestätigen",IF(OR(AND(H1012="Einnahme",F1012&lt;0),AND(H1012="Ausgabe",F1012&gt;0)),"Vorzeichen prüfen",IF(AND(H1012="Umbuchung",OR(K1012="",COUNTIFS($A$7:$A$1506,K1012)&lt;&gt;1)),"Gegenbuchung fehlt",IF(AND(H1012="Umbuchung",ROUND(SUMIFS($F$7:$F$1506,$A$7:$A$1506,K1012)+F1012,2)&lt;&gt;0),"Umbuchung abweichend",IF(OR(G1012="",M1012="",M1012="offen",M1012="teilbelegt",H1012="Ungeklärt",H1012="Bargeld"),"Beleg / Verwendung klären","vollständig erfasst")))))))))</x:f>
      </x:c>
    </x:row>
    <x:row r="1013" ht="22" customHeight="1">
      <x:c r="A1013" s="7"/>
      <x:c r="B1013" s="8"/>
      <x:c r="C1013" s="7"/>
      <x:c r="D1013" s="7"/>
      <x:c r="E1013" s="7"/>
      <x:c r="F1013" s="20"/>
      <x:c r="G1013" s="7"/>
      <x:c r="H1013" s="7"/>
      <x:c r="I1013" s="7"/>
      <x:c r="J1013" s="7"/>
      <x:c r="K1013" s="7"/>
      <x:c r="L1013" s="7"/>
      <x:c r="M1013" s="7"/>
      <x:c r="N1013" s="7"/>
      <x:c r="O1013" s="2" t="str">
        <x:f>IF(A1013="","",IF(COUNTIFS($A$7:$A$1506,A1013)&gt;1,"Buchung-ID doppelt",IF(OR(NOT(ISNUMBER(B1013)),C1013="",NOT(ISNUMBER(F1013)),H1013="",L1013=""),"Pflichtangaben fehlen",IF(COUNTIFS('Konten'!$A$7:$A$26,C1013)&lt;&gt;1,"Konto nicht eindeutig",IF(J1013&lt;&gt;"Ja","Zuordnung bestätigen",IF(OR(AND(H1013="Einnahme",F1013&lt;0),AND(H1013="Ausgabe",F1013&gt;0)),"Vorzeichen prüfen",IF(AND(H1013="Umbuchung",OR(K1013="",COUNTIFS($A$7:$A$1506,K1013)&lt;&gt;1)),"Gegenbuchung fehlt",IF(AND(H1013="Umbuchung",ROUND(SUMIFS($F$7:$F$1506,$A$7:$A$1506,K1013)+F1013,2)&lt;&gt;0),"Umbuchung abweichend",IF(OR(G1013="",M1013="",M1013="offen",M1013="teilbelegt",H1013="Ungeklärt",H1013="Bargeld"),"Beleg / Verwendung klären","vollständig erfasst")))))))))</x:f>
      </x:c>
    </x:row>
    <x:row r="1014" ht="22" customHeight="1">
      <x:c r="A1014" s="7"/>
      <x:c r="B1014" s="8"/>
      <x:c r="C1014" s="7"/>
      <x:c r="D1014" s="7"/>
      <x:c r="E1014" s="7"/>
      <x:c r="F1014" s="20"/>
      <x:c r="G1014" s="7"/>
      <x:c r="H1014" s="7"/>
      <x:c r="I1014" s="7"/>
      <x:c r="J1014" s="7"/>
      <x:c r="K1014" s="7"/>
      <x:c r="L1014" s="7"/>
      <x:c r="M1014" s="7"/>
      <x:c r="N1014" s="7"/>
      <x:c r="O1014" s="2" t="str">
        <x:f>IF(A1014="","",IF(COUNTIFS($A$7:$A$1506,A1014)&gt;1,"Buchung-ID doppelt",IF(OR(NOT(ISNUMBER(B1014)),C1014="",NOT(ISNUMBER(F1014)),H1014="",L1014=""),"Pflichtangaben fehlen",IF(COUNTIFS('Konten'!$A$7:$A$26,C1014)&lt;&gt;1,"Konto nicht eindeutig",IF(J1014&lt;&gt;"Ja","Zuordnung bestätigen",IF(OR(AND(H1014="Einnahme",F1014&lt;0),AND(H1014="Ausgabe",F1014&gt;0)),"Vorzeichen prüfen",IF(AND(H1014="Umbuchung",OR(K1014="",COUNTIFS($A$7:$A$1506,K1014)&lt;&gt;1)),"Gegenbuchung fehlt",IF(AND(H1014="Umbuchung",ROUND(SUMIFS($F$7:$F$1506,$A$7:$A$1506,K1014)+F1014,2)&lt;&gt;0),"Umbuchung abweichend",IF(OR(G1014="",M1014="",M1014="offen",M1014="teilbelegt",H1014="Ungeklärt",H1014="Bargeld"),"Beleg / Verwendung klären","vollständig erfasst")))))))))</x:f>
      </x:c>
    </x:row>
    <x:row r="1015" ht="22" customHeight="1">
      <x:c r="A1015" s="7"/>
      <x:c r="B1015" s="8"/>
      <x:c r="C1015" s="7"/>
      <x:c r="D1015" s="7"/>
      <x:c r="E1015" s="7"/>
      <x:c r="F1015" s="20"/>
      <x:c r="G1015" s="7"/>
      <x:c r="H1015" s="7"/>
      <x:c r="I1015" s="7"/>
      <x:c r="J1015" s="7"/>
      <x:c r="K1015" s="7"/>
      <x:c r="L1015" s="7"/>
      <x:c r="M1015" s="7"/>
      <x:c r="N1015" s="7"/>
      <x:c r="O1015" s="2" t="str">
        <x:f>IF(A1015="","",IF(COUNTIFS($A$7:$A$1506,A1015)&gt;1,"Buchung-ID doppelt",IF(OR(NOT(ISNUMBER(B1015)),C1015="",NOT(ISNUMBER(F1015)),H1015="",L1015=""),"Pflichtangaben fehlen",IF(COUNTIFS('Konten'!$A$7:$A$26,C1015)&lt;&gt;1,"Konto nicht eindeutig",IF(J1015&lt;&gt;"Ja","Zuordnung bestätigen",IF(OR(AND(H1015="Einnahme",F1015&lt;0),AND(H1015="Ausgabe",F1015&gt;0)),"Vorzeichen prüfen",IF(AND(H1015="Umbuchung",OR(K1015="",COUNTIFS($A$7:$A$1506,K1015)&lt;&gt;1)),"Gegenbuchung fehlt",IF(AND(H1015="Umbuchung",ROUND(SUMIFS($F$7:$F$1506,$A$7:$A$1506,K1015)+F1015,2)&lt;&gt;0),"Umbuchung abweichend",IF(OR(G1015="",M1015="",M1015="offen",M1015="teilbelegt",H1015="Ungeklärt",H1015="Bargeld"),"Beleg / Verwendung klären","vollständig erfasst")))))))))</x:f>
      </x:c>
    </x:row>
    <x:row r="1016" ht="22" customHeight="1">
      <x:c r="A1016" s="7"/>
      <x:c r="B1016" s="8"/>
      <x:c r="C1016" s="7"/>
      <x:c r="D1016" s="7"/>
      <x:c r="E1016" s="7"/>
      <x:c r="F1016" s="20"/>
      <x:c r="G1016" s="7"/>
      <x:c r="H1016" s="7"/>
      <x:c r="I1016" s="7"/>
      <x:c r="J1016" s="7"/>
      <x:c r="K1016" s="7"/>
      <x:c r="L1016" s="7"/>
      <x:c r="M1016" s="7"/>
      <x:c r="N1016" s="7"/>
      <x:c r="O1016" s="2" t="str">
        <x:f>IF(A1016="","",IF(COUNTIFS($A$7:$A$1506,A1016)&gt;1,"Buchung-ID doppelt",IF(OR(NOT(ISNUMBER(B1016)),C1016="",NOT(ISNUMBER(F1016)),H1016="",L1016=""),"Pflichtangaben fehlen",IF(COUNTIFS('Konten'!$A$7:$A$26,C1016)&lt;&gt;1,"Konto nicht eindeutig",IF(J1016&lt;&gt;"Ja","Zuordnung bestätigen",IF(OR(AND(H1016="Einnahme",F1016&lt;0),AND(H1016="Ausgabe",F1016&gt;0)),"Vorzeichen prüfen",IF(AND(H1016="Umbuchung",OR(K1016="",COUNTIFS($A$7:$A$1506,K1016)&lt;&gt;1)),"Gegenbuchung fehlt",IF(AND(H1016="Umbuchung",ROUND(SUMIFS($F$7:$F$1506,$A$7:$A$1506,K1016)+F1016,2)&lt;&gt;0),"Umbuchung abweichend",IF(OR(G1016="",M1016="",M1016="offen",M1016="teilbelegt",H1016="Ungeklärt",H1016="Bargeld"),"Beleg / Verwendung klären","vollständig erfasst")))))))))</x:f>
      </x:c>
    </x:row>
    <x:row r="1017" ht="22" customHeight="1">
      <x:c r="A1017" s="7"/>
      <x:c r="B1017" s="8"/>
      <x:c r="C1017" s="7"/>
      <x:c r="D1017" s="7"/>
      <x:c r="E1017" s="7"/>
      <x:c r="F1017" s="20"/>
      <x:c r="G1017" s="7"/>
      <x:c r="H1017" s="7"/>
      <x:c r="I1017" s="7"/>
      <x:c r="J1017" s="7"/>
      <x:c r="K1017" s="7"/>
      <x:c r="L1017" s="7"/>
      <x:c r="M1017" s="7"/>
      <x:c r="N1017" s="7"/>
      <x:c r="O1017" s="2" t="str">
        <x:f>IF(A1017="","",IF(COUNTIFS($A$7:$A$1506,A1017)&gt;1,"Buchung-ID doppelt",IF(OR(NOT(ISNUMBER(B1017)),C1017="",NOT(ISNUMBER(F1017)),H1017="",L1017=""),"Pflichtangaben fehlen",IF(COUNTIFS('Konten'!$A$7:$A$26,C1017)&lt;&gt;1,"Konto nicht eindeutig",IF(J1017&lt;&gt;"Ja","Zuordnung bestätigen",IF(OR(AND(H1017="Einnahme",F1017&lt;0),AND(H1017="Ausgabe",F1017&gt;0)),"Vorzeichen prüfen",IF(AND(H1017="Umbuchung",OR(K1017="",COUNTIFS($A$7:$A$1506,K1017)&lt;&gt;1)),"Gegenbuchung fehlt",IF(AND(H1017="Umbuchung",ROUND(SUMIFS($F$7:$F$1506,$A$7:$A$1506,K1017)+F1017,2)&lt;&gt;0),"Umbuchung abweichend",IF(OR(G1017="",M1017="",M1017="offen",M1017="teilbelegt",H1017="Ungeklärt",H1017="Bargeld"),"Beleg / Verwendung klären","vollständig erfasst")))))))))</x:f>
      </x:c>
    </x:row>
    <x:row r="1018" ht="22" customHeight="1">
      <x:c r="A1018" s="7"/>
      <x:c r="B1018" s="8"/>
      <x:c r="C1018" s="7"/>
      <x:c r="D1018" s="7"/>
      <x:c r="E1018" s="7"/>
      <x:c r="F1018" s="20"/>
      <x:c r="G1018" s="7"/>
      <x:c r="H1018" s="7"/>
      <x:c r="I1018" s="7"/>
      <x:c r="J1018" s="7"/>
      <x:c r="K1018" s="7"/>
      <x:c r="L1018" s="7"/>
      <x:c r="M1018" s="7"/>
      <x:c r="N1018" s="7"/>
      <x:c r="O1018" s="2" t="str">
        <x:f>IF(A1018="","",IF(COUNTIFS($A$7:$A$1506,A1018)&gt;1,"Buchung-ID doppelt",IF(OR(NOT(ISNUMBER(B1018)),C1018="",NOT(ISNUMBER(F1018)),H1018="",L1018=""),"Pflichtangaben fehlen",IF(COUNTIFS('Konten'!$A$7:$A$26,C1018)&lt;&gt;1,"Konto nicht eindeutig",IF(J1018&lt;&gt;"Ja","Zuordnung bestätigen",IF(OR(AND(H1018="Einnahme",F1018&lt;0),AND(H1018="Ausgabe",F1018&gt;0)),"Vorzeichen prüfen",IF(AND(H1018="Umbuchung",OR(K1018="",COUNTIFS($A$7:$A$1506,K1018)&lt;&gt;1)),"Gegenbuchung fehlt",IF(AND(H1018="Umbuchung",ROUND(SUMIFS($F$7:$F$1506,$A$7:$A$1506,K1018)+F1018,2)&lt;&gt;0),"Umbuchung abweichend",IF(OR(G1018="",M1018="",M1018="offen",M1018="teilbelegt",H1018="Ungeklärt",H1018="Bargeld"),"Beleg / Verwendung klären","vollständig erfasst")))))))))</x:f>
      </x:c>
    </x:row>
    <x:row r="1019" ht="22" customHeight="1">
      <x:c r="A1019" s="7"/>
      <x:c r="B1019" s="8"/>
      <x:c r="C1019" s="7"/>
      <x:c r="D1019" s="7"/>
      <x:c r="E1019" s="7"/>
      <x:c r="F1019" s="20"/>
      <x:c r="G1019" s="7"/>
      <x:c r="H1019" s="7"/>
      <x:c r="I1019" s="7"/>
      <x:c r="J1019" s="7"/>
      <x:c r="K1019" s="7"/>
      <x:c r="L1019" s="7"/>
      <x:c r="M1019" s="7"/>
      <x:c r="N1019" s="7"/>
      <x:c r="O1019" s="2" t="str">
        <x:f>IF(A1019="","",IF(COUNTIFS($A$7:$A$1506,A1019)&gt;1,"Buchung-ID doppelt",IF(OR(NOT(ISNUMBER(B1019)),C1019="",NOT(ISNUMBER(F1019)),H1019="",L1019=""),"Pflichtangaben fehlen",IF(COUNTIFS('Konten'!$A$7:$A$26,C1019)&lt;&gt;1,"Konto nicht eindeutig",IF(J1019&lt;&gt;"Ja","Zuordnung bestätigen",IF(OR(AND(H1019="Einnahme",F1019&lt;0),AND(H1019="Ausgabe",F1019&gt;0)),"Vorzeichen prüfen",IF(AND(H1019="Umbuchung",OR(K1019="",COUNTIFS($A$7:$A$1506,K1019)&lt;&gt;1)),"Gegenbuchung fehlt",IF(AND(H1019="Umbuchung",ROUND(SUMIFS($F$7:$F$1506,$A$7:$A$1506,K1019)+F1019,2)&lt;&gt;0),"Umbuchung abweichend",IF(OR(G1019="",M1019="",M1019="offen",M1019="teilbelegt",H1019="Ungeklärt",H1019="Bargeld"),"Beleg / Verwendung klären","vollständig erfasst")))))))))</x:f>
      </x:c>
    </x:row>
    <x:row r="1020" ht="22" customHeight="1">
      <x:c r="A1020" s="7"/>
      <x:c r="B1020" s="8"/>
      <x:c r="C1020" s="7"/>
      <x:c r="D1020" s="7"/>
      <x:c r="E1020" s="7"/>
      <x:c r="F1020" s="20"/>
      <x:c r="G1020" s="7"/>
      <x:c r="H1020" s="7"/>
      <x:c r="I1020" s="7"/>
      <x:c r="J1020" s="7"/>
      <x:c r="K1020" s="7"/>
      <x:c r="L1020" s="7"/>
      <x:c r="M1020" s="7"/>
      <x:c r="N1020" s="7"/>
      <x:c r="O1020" s="2" t="str">
        <x:f>IF(A1020="","",IF(COUNTIFS($A$7:$A$1506,A1020)&gt;1,"Buchung-ID doppelt",IF(OR(NOT(ISNUMBER(B1020)),C1020="",NOT(ISNUMBER(F1020)),H1020="",L1020=""),"Pflichtangaben fehlen",IF(COUNTIFS('Konten'!$A$7:$A$26,C1020)&lt;&gt;1,"Konto nicht eindeutig",IF(J1020&lt;&gt;"Ja","Zuordnung bestätigen",IF(OR(AND(H1020="Einnahme",F1020&lt;0),AND(H1020="Ausgabe",F1020&gt;0)),"Vorzeichen prüfen",IF(AND(H1020="Umbuchung",OR(K1020="",COUNTIFS($A$7:$A$1506,K1020)&lt;&gt;1)),"Gegenbuchung fehlt",IF(AND(H1020="Umbuchung",ROUND(SUMIFS($F$7:$F$1506,$A$7:$A$1506,K1020)+F1020,2)&lt;&gt;0),"Umbuchung abweichend",IF(OR(G1020="",M1020="",M1020="offen",M1020="teilbelegt",H1020="Ungeklärt",H1020="Bargeld"),"Beleg / Verwendung klären","vollständig erfasst")))))))))</x:f>
      </x:c>
    </x:row>
    <x:row r="1021" ht="22" customHeight="1">
      <x:c r="A1021" s="7"/>
      <x:c r="B1021" s="8"/>
      <x:c r="C1021" s="7"/>
      <x:c r="D1021" s="7"/>
      <x:c r="E1021" s="7"/>
      <x:c r="F1021" s="20"/>
      <x:c r="G1021" s="7"/>
      <x:c r="H1021" s="7"/>
      <x:c r="I1021" s="7"/>
      <x:c r="J1021" s="7"/>
      <x:c r="K1021" s="7"/>
      <x:c r="L1021" s="7"/>
      <x:c r="M1021" s="7"/>
      <x:c r="N1021" s="7"/>
      <x:c r="O1021" s="2" t="str">
        <x:f>IF(A1021="","",IF(COUNTIFS($A$7:$A$1506,A1021)&gt;1,"Buchung-ID doppelt",IF(OR(NOT(ISNUMBER(B1021)),C1021="",NOT(ISNUMBER(F1021)),H1021="",L1021=""),"Pflichtangaben fehlen",IF(COUNTIFS('Konten'!$A$7:$A$26,C1021)&lt;&gt;1,"Konto nicht eindeutig",IF(J1021&lt;&gt;"Ja","Zuordnung bestätigen",IF(OR(AND(H1021="Einnahme",F1021&lt;0),AND(H1021="Ausgabe",F1021&gt;0)),"Vorzeichen prüfen",IF(AND(H1021="Umbuchung",OR(K1021="",COUNTIFS($A$7:$A$1506,K1021)&lt;&gt;1)),"Gegenbuchung fehlt",IF(AND(H1021="Umbuchung",ROUND(SUMIFS($F$7:$F$1506,$A$7:$A$1506,K1021)+F1021,2)&lt;&gt;0),"Umbuchung abweichend",IF(OR(G1021="",M1021="",M1021="offen",M1021="teilbelegt",H1021="Ungeklärt",H1021="Bargeld"),"Beleg / Verwendung klären","vollständig erfasst")))))))))</x:f>
      </x:c>
    </x:row>
    <x:row r="1022" ht="22" customHeight="1">
      <x:c r="A1022" s="7"/>
      <x:c r="B1022" s="8"/>
      <x:c r="C1022" s="7"/>
      <x:c r="D1022" s="7"/>
      <x:c r="E1022" s="7"/>
      <x:c r="F1022" s="20"/>
      <x:c r="G1022" s="7"/>
      <x:c r="H1022" s="7"/>
      <x:c r="I1022" s="7"/>
      <x:c r="J1022" s="7"/>
      <x:c r="K1022" s="7"/>
      <x:c r="L1022" s="7"/>
      <x:c r="M1022" s="7"/>
      <x:c r="N1022" s="7"/>
      <x:c r="O1022" s="2" t="str">
        <x:f>IF(A1022="","",IF(COUNTIFS($A$7:$A$1506,A1022)&gt;1,"Buchung-ID doppelt",IF(OR(NOT(ISNUMBER(B1022)),C1022="",NOT(ISNUMBER(F1022)),H1022="",L1022=""),"Pflichtangaben fehlen",IF(COUNTIFS('Konten'!$A$7:$A$26,C1022)&lt;&gt;1,"Konto nicht eindeutig",IF(J1022&lt;&gt;"Ja","Zuordnung bestätigen",IF(OR(AND(H1022="Einnahme",F1022&lt;0),AND(H1022="Ausgabe",F1022&gt;0)),"Vorzeichen prüfen",IF(AND(H1022="Umbuchung",OR(K1022="",COUNTIFS($A$7:$A$1506,K1022)&lt;&gt;1)),"Gegenbuchung fehlt",IF(AND(H1022="Umbuchung",ROUND(SUMIFS($F$7:$F$1506,$A$7:$A$1506,K1022)+F1022,2)&lt;&gt;0),"Umbuchung abweichend",IF(OR(G1022="",M1022="",M1022="offen",M1022="teilbelegt",H1022="Ungeklärt",H1022="Bargeld"),"Beleg / Verwendung klären","vollständig erfasst")))))))))</x:f>
      </x:c>
    </x:row>
    <x:row r="1023" ht="22" customHeight="1">
      <x:c r="A1023" s="7"/>
      <x:c r="B1023" s="8"/>
      <x:c r="C1023" s="7"/>
      <x:c r="D1023" s="7"/>
      <x:c r="E1023" s="7"/>
      <x:c r="F1023" s="20"/>
      <x:c r="G1023" s="7"/>
      <x:c r="H1023" s="7"/>
      <x:c r="I1023" s="7"/>
      <x:c r="J1023" s="7"/>
      <x:c r="K1023" s="7"/>
      <x:c r="L1023" s="7"/>
      <x:c r="M1023" s="7"/>
      <x:c r="N1023" s="7"/>
      <x:c r="O1023" s="2" t="str">
        <x:f>IF(A1023="","",IF(COUNTIFS($A$7:$A$1506,A1023)&gt;1,"Buchung-ID doppelt",IF(OR(NOT(ISNUMBER(B1023)),C1023="",NOT(ISNUMBER(F1023)),H1023="",L1023=""),"Pflichtangaben fehlen",IF(COUNTIFS('Konten'!$A$7:$A$26,C1023)&lt;&gt;1,"Konto nicht eindeutig",IF(J1023&lt;&gt;"Ja","Zuordnung bestätigen",IF(OR(AND(H1023="Einnahme",F1023&lt;0),AND(H1023="Ausgabe",F1023&gt;0)),"Vorzeichen prüfen",IF(AND(H1023="Umbuchung",OR(K1023="",COUNTIFS($A$7:$A$1506,K1023)&lt;&gt;1)),"Gegenbuchung fehlt",IF(AND(H1023="Umbuchung",ROUND(SUMIFS($F$7:$F$1506,$A$7:$A$1506,K1023)+F1023,2)&lt;&gt;0),"Umbuchung abweichend",IF(OR(G1023="",M1023="",M1023="offen",M1023="teilbelegt",H1023="Ungeklärt",H1023="Bargeld"),"Beleg / Verwendung klären","vollständig erfasst")))))))))</x:f>
      </x:c>
    </x:row>
    <x:row r="1024" ht="22" customHeight="1">
      <x:c r="A1024" s="7"/>
      <x:c r="B1024" s="8"/>
      <x:c r="C1024" s="7"/>
      <x:c r="D1024" s="7"/>
      <x:c r="E1024" s="7"/>
      <x:c r="F1024" s="20"/>
      <x:c r="G1024" s="7"/>
      <x:c r="H1024" s="7"/>
      <x:c r="I1024" s="7"/>
      <x:c r="J1024" s="7"/>
      <x:c r="K1024" s="7"/>
      <x:c r="L1024" s="7"/>
      <x:c r="M1024" s="7"/>
      <x:c r="N1024" s="7"/>
      <x:c r="O1024" s="2" t="str">
        <x:f>IF(A1024="","",IF(COUNTIFS($A$7:$A$1506,A1024)&gt;1,"Buchung-ID doppelt",IF(OR(NOT(ISNUMBER(B1024)),C1024="",NOT(ISNUMBER(F1024)),H1024="",L1024=""),"Pflichtangaben fehlen",IF(COUNTIFS('Konten'!$A$7:$A$26,C1024)&lt;&gt;1,"Konto nicht eindeutig",IF(J1024&lt;&gt;"Ja","Zuordnung bestätigen",IF(OR(AND(H1024="Einnahme",F1024&lt;0),AND(H1024="Ausgabe",F1024&gt;0)),"Vorzeichen prüfen",IF(AND(H1024="Umbuchung",OR(K1024="",COUNTIFS($A$7:$A$1506,K1024)&lt;&gt;1)),"Gegenbuchung fehlt",IF(AND(H1024="Umbuchung",ROUND(SUMIFS($F$7:$F$1506,$A$7:$A$1506,K1024)+F1024,2)&lt;&gt;0),"Umbuchung abweichend",IF(OR(G1024="",M1024="",M1024="offen",M1024="teilbelegt",H1024="Ungeklärt",H1024="Bargeld"),"Beleg / Verwendung klären","vollständig erfasst")))))))))</x:f>
      </x:c>
    </x:row>
    <x:row r="1025" ht="22" customHeight="1">
      <x:c r="A1025" s="7"/>
      <x:c r="B1025" s="8"/>
      <x:c r="C1025" s="7"/>
      <x:c r="D1025" s="7"/>
      <x:c r="E1025" s="7"/>
      <x:c r="F1025" s="20"/>
      <x:c r="G1025" s="7"/>
      <x:c r="H1025" s="7"/>
      <x:c r="I1025" s="7"/>
      <x:c r="J1025" s="7"/>
      <x:c r="K1025" s="7"/>
      <x:c r="L1025" s="7"/>
      <x:c r="M1025" s="7"/>
      <x:c r="N1025" s="7"/>
      <x:c r="O1025" s="2" t="str">
        <x:f>IF(A1025="","",IF(COUNTIFS($A$7:$A$1506,A1025)&gt;1,"Buchung-ID doppelt",IF(OR(NOT(ISNUMBER(B1025)),C1025="",NOT(ISNUMBER(F1025)),H1025="",L1025=""),"Pflichtangaben fehlen",IF(COUNTIFS('Konten'!$A$7:$A$26,C1025)&lt;&gt;1,"Konto nicht eindeutig",IF(J1025&lt;&gt;"Ja","Zuordnung bestätigen",IF(OR(AND(H1025="Einnahme",F1025&lt;0),AND(H1025="Ausgabe",F1025&gt;0)),"Vorzeichen prüfen",IF(AND(H1025="Umbuchung",OR(K1025="",COUNTIFS($A$7:$A$1506,K1025)&lt;&gt;1)),"Gegenbuchung fehlt",IF(AND(H1025="Umbuchung",ROUND(SUMIFS($F$7:$F$1506,$A$7:$A$1506,K1025)+F1025,2)&lt;&gt;0),"Umbuchung abweichend",IF(OR(G1025="",M1025="",M1025="offen",M1025="teilbelegt",H1025="Ungeklärt",H1025="Bargeld"),"Beleg / Verwendung klären","vollständig erfasst")))))))))</x:f>
      </x:c>
    </x:row>
    <x:row r="1026" ht="22" customHeight="1">
      <x:c r="A1026" s="7"/>
      <x:c r="B1026" s="8"/>
      <x:c r="C1026" s="7"/>
      <x:c r="D1026" s="7"/>
      <x:c r="E1026" s="7"/>
      <x:c r="F1026" s="20"/>
      <x:c r="G1026" s="7"/>
      <x:c r="H1026" s="7"/>
      <x:c r="I1026" s="7"/>
      <x:c r="J1026" s="7"/>
      <x:c r="K1026" s="7"/>
      <x:c r="L1026" s="7"/>
      <x:c r="M1026" s="7"/>
      <x:c r="N1026" s="7"/>
      <x:c r="O1026" s="2" t="str">
        <x:f>IF(A1026="","",IF(COUNTIFS($A$7:$A$1506,A1026)&gt;1,"Buchung-ID doppelt",IF(OR(NOT(ISNUMBER(B1026)),C1026="",NOT(ISNUMBER(F1026)),H1026="",L1026=""),"Pflichtangaben fehlen",IF(COUNTIFS('Konten'!$A$7:$A$26,C1026)&lt;&gt;1,"Konto nicht eindeutig",IF(J1026&lt;&gt;"Ja","Zuordnung bestätigen",IF(OR(AND(H1026="Einnahme",F1026&lt;0),AND(H1026="Ausgabe",F1026&gt;0)),"Vorzeichen prüfen",IF(AND(H1026="Umbuchung",OR(K1026="",COUNTIFS($A$7:$A$1506,K1026)&lt;&gt;1)),"Gegenbuchung fehlt",IF(AND(H1026="Umbuchung",ROUND(SUMIFS($F$7:$F$1506,$A$7:$A$1506,K1026)+F1026,2)&lt;&gt;0),"Umbuchung abweichend",IF(OR(G1026="",M1026="",M1026="offen",M1026="teilbelegt",H1026="Ungeklärt",H1026="Bargeld"),"Beleg / Verwendung klären","vollständig erfasst")))))))))</x:f>
      </x:c>
    </x:row>
    <x:row r="1027" ht="22" customHeight="1">
      <x:c r="A1027" s="7"/>
      <x:c r="B1027" s="8"/>
      <x:c r="C1027" s="7"/>
      <x:c r="D1027" s="7"/>
      <x:c r="E1027" s="7"/>
      <x:c r="F1027" s="20"/>
      <x:c r="G1027" s="7"/>
      <x:c r="H1027" s="7"/>
      <x:c r="I1027" s="7"/>
      <x:c r="J1027" s="7"/>
      <x:c r="K1027" s="7"/>
      <x:c r="L1027" s="7"/>
      <x:c r="M1027" s="7"/>
      <x:c r="N1027" s="7"/>
      <x:c r="O1027" s="2" t="str">
        <x:f>IF(A1027="","",IF(COUNTIFS($A$7:$A$1506,A1027)&gt;1,"Buchung-ID doppelt",IF(OR(NOT(ISNUMBER(B1027)),C1027="",NOT(ISNUMBER(F1027)),H1027="",L1027=""),"Pflichtangaben fehlen",IF(COUNTIFS('Konten'!$A$7:$A$26,C1027)&lt;&gt;1,"Konto nicht eindeutig",IF(J1027&lt;&gt;"Ja","Zuordnung bestätigen",IF(OR(AND(H1027="Einnahme",F1027&lt;0),AND(H1027="Ausgabe",F1027&gt;0)),"Vorzeichen prüfen",IF(AND(H1027="Umbuchung",OR(K1027="",COUNTIFS($A$7:$A$1506,K1027)&lt;&gt;1)),"Gegenbuchung fehlt",IF(AND(H1027="Umbuchung",ROUND(SUMIFS($F$7:$F$1506,$A$7:$A$1506,K1027)+F1027,2)&lt;&gt;0),"Umbuchung abweichend",IF(OR(G1027="",M1027="",M1027="offen",M1027="teilbelegt",H1027="Ungeklärt",H1027="Bargeld"),"Beleg / Verwendung klären","vollständig erfasst")))))))))</x:f>
      </x:c>
    </x:row>
    <x:row r="1028" ht="22" customHeight="1">
      <x:c r="A1028" s="7"/>
      <x:c r="B1028" s="8"/>
      <x:c r="C1028" s="7"/>
      <x:c r="D1028" s="7"/>
      <x:c r="E1028" s="7"/>
      <x:c r="F1028" s="20"/>
      <x:c r="G1028" s="7"/>
      <x:c r="H1028" s="7"/>
      <x:c r="I1028" s="7"/>
      <x:c r="J1028" s="7"/>
      <x:c r="K1028" s="7"/>
      <x:c r="L1028" s="7"/>
      <x:c r="M1028" s="7"/>
      <x:c r="N1028" s="7"/>
      <x:c r="O1028" s="2" t="str">
        <x:f>IF(A1028="","",IF(COUNTIFS($A$7:$A$1506,A1028)&gt;1,"Buchung-ID doppelt",IF(OR(NOT(ISNUMBER(B1028)),C1028="",NOT(ISNUMBER(F1028)),H1028="",L1028=""),"Pflichtangaben fehlen",IF(COUNTIFS('Konten'!$A$7:$A$26,C1028)&lt;&gt;1,"Konto nicht eindeutig",IF(J1028&lt;&gt;"Ja","Zuordnung bestätigen",IF(OR(AND(H1028="Einnahme",F1028&lt;0),AND(H1028="Ausgabe",F1028&gt;0)),"Vorzeichen prüfen",IF(AND(H1028="Umbuchung",OR(K1028="",COUNTIFS($A$7:$A$1506,K1028)&lt;&gt;1)),"Gegenbuchung fehlt",IF(AND(H1028="Umbuchung",ROUND(SUMIFS($F$7:$F$1506,$A$7:$A$1506,K1028)+F1028,2)&lt;&gt;0),"Umbuchung abweichend",IF(OR(G1028="",M1028="",M1028="offen",M1028="teilbelegt",H1028="Ungeklärt",H1028="Bargeld"),"Beleg / Verwendung klären","vollständig erfasst")))))))))</x:f>
      </x:c>
    </x:row>
    <x:row r="1029" ht="22" customHeight="1">
      <x:c r="A1029" s="7"/>
      <x:c r="B1029" s="8"/>
      <x:c r="C1029" s="7"/>
      <x:c r="D1029" s="7"/>
      <x:c r="E1029" s="7"/>
      <x:c r="F1029" s="20"/>
      <x:c r="G1029" s="7"/>
      <x:c r="H1029" s="7"/>
      <x:c r="I1029" s="7"/>
      <x:c r="J1029" s="7"/>
      <x:c r="K1029" s="7"/>
      <x:c r="L1029" s="7"/>
      <x:c r="M1029" s="7"/>
      <x:c r="N1029" s="7"/>
      <x:c r="O1029" s="2" t="str">
        <x:f>IF(A1029="","",IF(COUNTIFS($A$7:$A$1506,A1029)&gt;1,"Buchung-ID doppelt",IF(OR(NOT(ISNUMBER(B1029)),C1029="",NOT(ISNUMBER(F1029)),H1029="",L1029=""),"Pflichtangaben fehlen",IF(COUNTIFS('Konten'!$A$7:$A$26,C1029)&lt;&gt;1,"Konto nicht eindeutig",IF(J1029&lt;&gt;"Ja","Zuordnung bestätigen",IF(OR(AND(H1029="Einnahme",F1029&lt;0),AND(H1029="Ausgabe",F1029&gt;0)),"Vorzeichen prüfen",IF(AND(H1029="Umbuchung",OR(K1029="",COUNTIFS($A$7:$A$1506,K1029)&lt;&gt;1)),"Gegenbuchung fehlt",IF(AND(H1029="Umbuchung",ROUND(SUMIFS($F$7:$F$1506,$A$7:$A$1506,K1029)+F1029,2)&lt;&gt;0),"Umbuchung abweichend",IF(OR(G1029="",M1029="",M1029="offen",M1029="teilbelegt",H1029="Ungeklärt",H1029="Bargeld"),"Beleg / Verwendung klären","vollständig erfasst")))))))))</x:f>
      </x:c>
    </x:row>
    <x:row r="1030" ht="22" customHeight="1">
      <x:c r="A1030" s="7"/>
      <x:c r="B1030" s="8"/>
      <x:c r="C1030" s="7"/>
      <x:c r="D1030" s="7"/>
      <x:c r="E1030" s="7"/>
      <x:c r="F1030" s="20"/>
      <x:c r="G1030" s="7"/>
      <x:c r="H1030" s="7"/>
      <x:c r="I1030" s="7"/>
      <x:c r="J1030" s="7"/>
      <x:c r="K1030" s="7"/>
      <x:c r="L1030" s="7"/>
      <x:c r="M1030" s="7"/>
      <x:c r="N1030" s="7"/>
      <x:c r="O1030" s="2" t="str">
        <x:f>IF(A1030="","",IF(COUNTIFS($A$7:$A$1506,A1030)&gt;1,"Buchung-ID doppelt",IF(OR(NOT(ISNUMBER(B1030)),C1030="",NOT(ISNUMBER(F1030)),H1030="",L1030=""),"Pflichtangaben fehlen",IF(COUNTIFS('Konten'!$A$7:$A$26,C1030)&lt;&gt;1,"Konto nicht eindeutig",IF(J1030&lt;&gt;"Ja","Zuordnung bestätigen",IF(OR(AND(H1030="Einnahme",F1030&lt;0),AND(H1030="Ausgabe",F1030&gt;0)),"Vorzeichen prüfen",IF(AND(H1030="Umbuchung",OR(K1030="",COUNTIFS($A$7:$A$1506,K1030)&lt;&gt;1)),"Gegenbuchung fehlt",IF(AND(H1030="Umbuchung",ROUND(SUMIFS($F$7:$F$1506,$A$7:$A$1506,K1030)+F1030,2)&lt;&gt;0),"Umbuchung abweichend",IF(OR(G1030="",M1030="",M1030="offen",M1030="teilbelegt",H1030="Ungeklärt",H1030="Bargeld"),"Beleg / Verwendung klären","vollständig erfasst")))))))))</x:f>
      </x:c>
    </x:row>
    <x:row r="1031" ht="22" customHeight="1">
      <x:c r="A1031" s="7"/>
      <x:c r="B1031" s="8"/>
      <x:c r="C1031" s="7"/>
      <x:c r="D1031" s="7"/>
      <x:c r="E1031" s="7"/>
      <x:c r="F1031" s="20"/>
      <x:c r="G1031" s="7"/>
      <x:c r="H1031" s="7"/>
      <x:c r="I1031" s="7"/>
      <x:c r="J1031" s="7"/>
      <x:c r="K1031" s="7"/>
      <x:c r="L1031" s="7"/>
      <x:c r="M1031" s="7"/>
      <x:c r="N1031" s="7"/>
      <x:c r="O1031" s="2" t="str">
        <x:f>IF(A1031="","",IF(COUNTIFS($A$7:$A$1506,A1031)&gt;1,"Buchung-ID doppelt",IF(OR(NOT(ISNUMBER(B1031)),C1031="",NOT(ISNUMBER(F1031)),H1031="",L1031=""),"Pflichtangaben fehlen",IF(COUNTIFS('Konten'!$A$7:$A$26,C1031)&lt;&gt;1,"Konto nicht eindeutig",IF(J1031&lt;&gt;"Ja","Zuordnung bestätigen",IF(OR(AND(H1031="Einnahme",F1031&lt;0),AND(H1031="Ausgabe",F1031&gt;0)),"Vorzeichen prüfen",IF(AND(H1031="Umbuchung",OR(K1031="",COUNTIFS($A$7:$A$1506,K1031)&lt;&gt;1)),"Gegenbuchung fehlt",IF(AND(H1031="Umbuchung",ROUND(SUMIFS($F$7:$F$1506,$A$7:$A$1506,K1031)+F1031,2)&lt;&gt;0),"Umbuchung abweichend",IF(OR(G1031="",M1031="",M1031="offen",M1031="teilbelegt",H1031="Ungeklärt",H1031="Bargeld"),"Beleg / Verwendung klären","vollständig erfasst")))))))))</x:f>
      </x:c>
    </x:row>
    <x:row r="1032" ht="22" customHeight="1">
      <x:c r="A1032" s="7"/>
      <x:c r="B1032" s="8"/>
      <x:c r="C1032" s="7"/>
      <x:c r="D1032" s="7"/>
      <x:c r="E1032" s="7"/>
      <x:c r="F1032" s="20"/>
      <x:c r="G1032" s="7"/>
      <x:c r="H1032" s="7"/>
      <x:c r="I1032" s="7"/>
      <x:c r="J1032" s="7"/>
      <x:c r="K1032" s="7"/>
      <x:c r="L1032" s="7"/>
      <x:c r="M1032" s="7"/>
      <x:c r="N1032" s="7"/>
      <x:c r="O1032" s="2" t="str">
        <x:f>IF(A1032="","",IF(COUNTIFS($A$7:$A$1506,A1032)&gt;1,"Buchung-ID doppelt",IF(OR(NOT(ISNUMBER(B1032)),C1032="",NOT(ISNUMBER(F1032)),H1032="",L1032=""),"Pflichtangaben fehlen",IF(COUNTIFS('Konten'!$A$7:$A$26,C1032)&lt;&gt;1,"Konto nicht eindeutig",IF(J1032&lt;&gt;"Ja","Zuordnung bestätigen",IF(OR(AND(H1032="Einnahme",F1032&lt;0),AND(H1032="Ausgabe",F1032&gt;0)),"Vorzeichen prüfen",IF(AND(H1032="Umbuchung",OR(K1032="",COUNTIFS($A$7:$A$1506,K1032)&lt;&gt;1)),"Gegenbuchung fehlt",IF(AND(H1032="Umbuchung",ROUND(SUMIFS($F$7:$F$1506,$A$7:$A$1506,K1032)+F1032,2)&lt;&gt;0),"Umbuchung abweichend",IF(OR(G1032="",M1032="",M1032="offen",M1032="teilbelegt",H1032="Ungeklärt",H1032="Bargeld"),"Beleg / Verwendung klären","vollständig erfasst")))))))))</x:f>
      </x:c>
    </x:row>
    <x:row r="1033" ht="22" customHeight="1">
      <x:c r="A1033" s="7"/>
      <x:c r="B1033" s="8"/>
      <x:c r="C1033" s="7"/>
      <x:c r="D1033" s="7"/>
      <x:c r="E1033" s="7"/>
      <x:c r="F1033" s="20"/>
      <x:c r="G1033" s="7"/>
      <x:c r="H1033" s="7"/>
      <x:c r="I1033" s="7"/>
      <x:c r="J1033" s="7"/>
      <x:c r="K1033" s="7"/>
      <x:c r="L1033" s="7"/>
      <x:c r="M1033" s="7"/>
      <x:c r="N1033" s="7"/>
      <x:c r="O1033" s="2" t="str">
        <x:f>IF(A1033="","",IF(COUNTIFS($A$7:$A$1506,A1033)&gt;1,"Buchung-ID doppelt",IF(OR(NOT(ISNUMBER(B1033)),C1033="",NOT(ISNUMBER(F1033)),H1033="",L1033=""),"Pflichtangaben fehlen",IF(COUNTIFS('Konten'!$A$7:$A$26,C1033)&lt;&gt;1,"Konto nicht eindeutig",IF(J1033&lt;&gt;"Ja","Zuordnung bestätigen",IF(OR(AND(H1033="Einnahme",F1033&lt;0),AND(H1033="Ausgabe",F1033&gt;0)),"Vorzeichen prüfen",IF(AND(H1033="Umbuchung",OR(K1033="",COUNTIFS($A$7:$A$1506,K1033)&lt;&gt;1)),"Gegenbuchung fehlt",IF(AND(H1033="Umbuchung",ROUND(SUMIFS($F$7:$F$1506,$A$7:$A$1506,K1033)+F1033,2)&lt;&gt;0),"Umbuchung abweichend",IF(OR(G1033="",M1033="",M1033="offen",M1033="teilbelegt",H1033="Ungeklärt",H1033="Bargeld"),"Beleg / Verwendung klären","vollständig erfasst")))))))))</x:f>
      </x:c>
    </x:row>
    <x:row r="1034" ht="22" customHeight="1">
      <x:c r="A1034" s="7"/>
      <x:c r="B1034" s="8"/>
      <x:c r="C1034" s="7"/>
      <x:c r="D1034" s="7"/>
      <x:c r="E1034" s="7"/>
      <x:c r="F1034" s="20"/>
      <x:c r="G1034" s="7"/>
      <x:c r="H1034" s="7"/>
      <x:c r="I1034" s="7"/>
      <x:c r="J1034" s="7"/>
      <x:c r="K1034" s="7"/>
      <x:c r="L1034" s="7"/>
      <x:c r="M1034" s="7"/>
      <x:c r="N1034" s="7"/>
      <x:c r="O1034" s="2" t="str">
        <x:f>IF(A1034="","",IF(COUNTIFS($A$7:$A$1506,A1034)&gt;1,"Buchung-ID doppelt",IF(OR(NOT(ISNUMBER(B1034)),C1034="",NOT(ISNUMBER(F1034)),H1034="",L1034=""),"Pflichtangaben fehlen",IF(COUNTIFS('Konten'!$A$7:$A$26,C1034)&lt;&gt;1,"Konto nicht eindeutig",IF(J1034&lt;&gt;"Ja","Zuordnung bestätigen",IF(OR(AND(H1034="Einnahme",F1034&lt;0),AND(H1034="Ausgabe",F1034&gt;0)),"Vorzeichen prüfen",IF(AND(H1034="Umbuchung",OR(K1034="",COUNTIFS($A$7:$A$1506,K1034)&lt;&gt;1)),"Gegenbuchung fehlt",IF(AND(H1034="Umbuchung",ROUND(SUMIFS($F$7:$F$1506,$A$7:$A$1506,K1034)+F1034,2)&lt;&gt;0),"Umbuchung abweichend",IF(OR(G1034="",M1034="",M1034="offen",M1034="teilbelegt",H1034="Ungeklärt",H1034="Bargeld"),"Beleg / Verwendung klären","vollständig erfasst")))))))))</x:f>
      </x:c>
    </x:row>
    <x:row r="1035" ht="22" customHeight="1">
      <x:c r="A1035" s="7"/>
      <x:c r="B1035" s="8"/>
      <x:c r="C1035" s="7"/>
      <x:c r="D1035" s="7"/>
      <x:c r="E1035" s="7"/>
      <x:c r="F1035" s="20"/>
      <x:c r="G1035" s="7"/>
      <x:c r="H1035" s="7"/>
      <x:c r="I1035" s="7"/>
      <x:c r="J1035" s="7"/>
      <x:c r="K1035" s="7"/>
      <x:c r="L1035" s="7"/>
      <x:c r="M1035" s="7"/>
      <x:c r="N1035" s="7"/>
      <x:c r="O1035" s="2" t="str">
        <x:f>IF(A1035="","",IF(COUNTIFS($A$7:$A$1506,A1035)&gt;1,"Buchung-ID doppelt",IF(OR(NOT(ISNUMBER(B1035)),C1035="",NOT(ISNUMBER(F1035)),H1035="",L1035=""),"Pflichtangaben fehlen",IF(COUNTIFS('Konten'!$A$7:$A$26,C1035)&lt;&gt;1,"Konto nicht eindeutig",IF(J1035&lt;&gt;"Ja","Zuordnung bestätigen",IF(OR(AND(H1035="Einnahme",F1035&lt;0),AND(H1035="Ausgabe",F1035&gt;0)),"Vorzeichen prüfen",IF(AND(H1035="Umbuchung",OR(K1035="",COUNTIFS($A$7:$A$1506,K1035)&lt;&gt;1)),"Gegenbuchung fehlt",IF(AND(H1035="Umbuchung",ROUND(SUMIFS($F$7:$F$1506,$A$7:$A$1506,K1035)+F1035,2)&lt;&gt;0),"Umbuchung abweichend",IF(OR(G1035="",M1035="",M1035="offen",M1035="teilbelegt",H1035="Ungeklärt",H1035="Bargeld"),"Beleg / Verwendung klären","vollständig erfasst")))))))))</x:f>
      </x:c>
    </x:row>
    <x:row r="1036" ht="22" customHeight="1">
      <x:c r="A1036" s="7"/>
      <x:c r="B1036" s="8"/>
      <x:c r="C1036" s="7"/>
      <x:c r="D1036" s="7"/>
      <x:c r="E1036" s="7"/>
      <x:c r="F1036" s="20"/>
      <x:c r="G1036" s="7"/>
      <x:c r="H1036" s="7"/>
      <x:c r="I1036" s="7"/>
      <x:c r="J1036" s="7"/>
      <x:c r="K1036" s="7"/>
      <x:c r="L1036" s="7"/>
      <x:c r="M1036" s="7"/>
      <x:c r="N1036" s="7"/>
      <x:c r="O1036" s="2" t="str">
        <x:f>IF(A1036="","",IF(COUNTIFS($A$7:$A$1506,A1036)&gt;1,"Buchung-ID doppelt",IF(OR(NOT(ISNUMBER(B1036)),C1036="",NOT(ISNUMBER(F1036)),H1036="",L1036=""),"Pflichtangaben fehlen",IF(COUNTIFS('Konten'!$A$7:$A$26,C1036)&lt;&gt;1,"Konto nicht eindeutig",IF(J1036&lt;&gt;"Ja","Zuordnung bestätigen",IF(OR(AND(H1036="Einnahme",F1036&lt;0),AND(H1036="Ausgabe",F1036&gt;0)),"Vorzeichen prüfen",IF(AND(H1036="Umbuchung",OR(K1036="",COUNTIFS($A$7:$A$1506,K1036)&lt;&gt;1)),"Gegenbuchung fehlt",IF(AND(H1036="Umbuchung",ROUND(SUMIFS($F$7:$F$1506,$A$7:$A$1506,K1036)+F1036,2)&lt;&gt;0),"Umbuchung abweichend",IF(OR(G1036="",M1036="",M1036="offen",M1036="teilbelegt",H1036="Ungeklärt",H1036="Bargeld"),"Beleg / Verwendung klären","vollständig erfasst")))))))))</x:f>
      </x:c>
    </x:row>
    <x:row r="1037" ht="22" customHeight="1">
      <x:c r="A1037" s="7"/>
      <x:c r="B1037" s="8"/>
      <x:c r="C1037" s="7"/>
      <x:c r="D1037" s="7"/>
      <x:c r="E1037" s="7"/>
      <x:c r="F1037" s="20"/>
      <x:c r="G1037" s="7"/>
      <x:c r="H1037" s="7"/>
      <x:c r="I1037" s="7"/>
      <x:c r="J1037" s="7"/>
      <x:c r="K1037" s="7"/>
      <x:c r="L1037" s="7"/>
      <x:c r="M1037" s="7"/>
      <x:c r="N1037" s="7"/>
      <x:c r="O1037" s="2" t="str">
        <x:f>IF(A1037="","",IF(COUNTIFS($A$7:$A$1506,A1037)&gt;1,"Buchung-ID doppelt",IF(OR(NOT(ISNUMBER(B1037)),C1037="",NOT(ISNUMBER(F1037)),H1037="",L1037=""),"Pflichtangaben fehlen",IF(COUNTIFS('Konten'!$A$7:$A$26,C1037)&lt;&gt;1,"Konto nicht eindeutig",IF(J1037&lt;&gt;"Ja","Zuordnung bestätigen",IF(OR(AND(H1037="Einnahme",F1037&lt;0),AND(H1037="Ausgabe",F1037&gt;0)),"Vorzeichen prüfen",IF(AND(H1037="Umbuchung",OR(K1037="",COUNTIFS($A$7:$A$1506,K1037)&lt;&gt;1)),"Gegenbuchung fehlt",IF(AND(H1037="Umbuchung",ROUND(SUMIFS($F$7:$F$1506,$A$7:$A$1506,K1037)+F1037,2)&lt;&gt;0),"Umbuchung abweichend",IF(OR(G1037="",M1037="",M1037="offen",M1037="teilbelegt",H1037="Ungeklärt",H1037="Bargeld"),"Beleg / Verwendung klären","vollständig erfasst")))))))))</x:f>
      </x:c>
    </x:row>
    <x:row r="1038" ht="22" customHeight="1">
      <x:c r="A1038" s="7"/>
      <x:c r="B1038" s="8"/>
      <x:c r="C1038" s="7"/>
      <x:c r="D1038" s="7"/>
      <x:c r="E1038" s="7"/>
      <x:c r="F1038" s="20"/>
      <x:c r="G1038" s="7"/>
      <x:c r="H1038" s="7"/>
      <x:c r="I1038" s="7"/>
      <x:c r="J1038" s="7"/>
      <x:c r="K1038" s="7"/>
      <x:c r="L1038" s="7"/>
      <x:c r="M1038" s="7"/>
      <x:c r="N1038" s="7"/>
      <x:c r="O1038" s="2" t="str">
        <x:f>IF(A1038="","",IF(COUNTIFS($A$7:$A$1506,A1038)&gt;1,"Buchung-ID doppelt",IF(OR(NOT(ISNUMBER(B1038)),C1038="",NOT(ISNUMBER(F1038)),H1038="",L1038=""),"Pflichtangaben fehlen",IF(COUNTIFS('Konten'!$A$7:$A$26,C1038)&lt;&gt;1,"Konto nicht eindeutig",IF(J1038&lt;&gt;"Ja","Zuordnung bestätigen",IF(OR(AND(H1038="Einnahme",F1038&lt;0),AND(H1038="Ausgabe",F1038&gt;0)),"Vorzeichen prüfen",IF(AND(H1038="Umbuchung",OR(K1038="",COUNTIFS($A$7:$A$1506,K1038)&lt;&gt;1)),"Gegenbuchung fehlt",IF(AND(H1038="Umbuchung",ROUND(SUMIFS($F$7:$F$1506,$A$7:$A$1506,K1038)+F1038,2)&lt;&gt;0),"Umbuchung abweichend",IF(OR(G1038="",M1038="",M1038="offen",M1038="teilbelegt",H1038="Ungeklärt",H1038="Bargeld"),"Beleg / Verwendung klären","vollständig erfasst")))))))))</x:f>
      </x:c>
    </x:row>
    <x:row r="1039" ht="22" customHeight="1">
      <x:c r="A1039" s="7"/>
      <x:c r="B1039" s="8"/>
      <x:c r="C1039" s="7"/>
      <x:c r="D1039" s="7"/>
      <x:c r="E1039" s="7"/>
      <x:c r="F1039" s="20"/>
      <x:c r="G1039" s="7"/>
      <x:c r="H1039" s="7"/>
      <x:c r="I1039" s="7"/>
      <x:c r="J1039" s="7"/>
      <x:c r="K1039" s="7"/>
      <x:c r="L1039" s="7"/>
      <x:c r="M1039" s="7"/>
      <x:c r="N1039" s="7"/>
      <x:c r="O1039" s="2" t="str">
        <x:f>IF(A1039="","",IF(COUNTIFS($A$7:$A$1506,A1039)&gt;1,"Buchung-ID doppelt",IF(OR(NOT(ISNUMBER(B1039)),C1039="",NOT(ISNUMBER(F1039)),H1039="",L1039=""),"Pflichtangaben fehlen",IF(COUNTIFS('Konten'!$A$7:$A$26,C1039)&lt;&gt;1,"Konto nicht eindeutig",IF(J1039&lt;&gt;"Ja","Zuordnung bestätigen",IF(OR(AND(H1039="Einnahme",F1039&lt;0),AND(H1039="Ausgabe",F1039&gt;0)),"Vorzeichen prüfen",IF(AND(H1039="Umbuchung",OR(K1039="",COUNTIFS($A$7:$A$1506,K1039)&lt;&gt;1)),"Gegenbuchung fehlt",IF(AND(H1039="Umbuchung",ROUND(SUMIFS($F$7:$F$1506,$A$7:$A$1506,K1039)+F1039,2)&lt;&gt;0),"Umbuchung abweichend",IF(OR(G1039="",M1039="",M1039="offen",M1039="teilbelegt",H1039="Ungeklärt",H1039="Bargeld"),"Beleg / Verwendung klären","vollständig erfasst")))))))))</x:f>
      </x:c>
    </x:row>
    <x:row r="1040" ht="22" customHeight="1">
      <x:c r="A1040" s="7"/>
      <x:c r="B1040" s="8"/>
      <x:c r="C1040" s="7"/>
      <x:c r="D1040" s="7"/>
      <x:c r="E1040" s="7"/>
      <x:c r="F1040" s="20"/>
      <x:c r="G1040" s="7"/>
      <x:c r="H1040" s="7"/>
      <x:c r="I1040" s="7"/>
      <x:c r="J1040" s="7"/>
      <x:c r="K1040" s="7"/>
      <x:c r="L1040" s="7"/>
      <x:c r="M1040" s="7"/>
      <x:c r="N1040" s="7"/>
      <x:c r="O1040" s="2" t="str">
        <x:f>IF(A1040="","",IF(COUNTIFS($A$7:$A$1506,A1040)&gt;1,"Buchung-ID doppelt",IF(OR(NOT(ISNUMBER(B1040)),C1040="",NOT(ISNUMBER(F1040)),H1040="",L1040=""),"Pflichtangaben fehlen",IF(COUNTIFS('Konten'!$A$7:$A$26,C1040)&lt;&gt;1,"Konto nicht eindeutig",IF(J1040&lt;&gt;"Ja","Zuordnung bestätigen",IF(OR(AND(H1040="Einnahme",F1040&lt;0),AND(H1040="Ausgabe",F1040&gt;0)),"Vorzeichen prüfen",IF(AND(H1040="Umbuchung",OR(K1040="",COUNTIFS($A$7:$A$1506,K1040)&lt;&gt;1)),"Gegenbuchung fehlt",IF(AND(H1040="Umbuchung",ROUND(SUMIFS($F$7:$F$1506,$A$7:$A$1506,K1040)+F1040,2)&lt;&gt;0),"Umbuchung abweichend",IF(OR(G1040="",M1040="",M1040="offen",M1040="teilbelegt",H1040="Ungeklärt",H1040="Bargeld"),"Beleg / Verwendung klären","vollständig erfasst")))))))))</x:f>
      </x:c>
    </x:row>
    <x:row r="1041" ht="22" customHeight="1">
      <x:c r="A1041" s="7"/>
      <x:c r="B1041" s="8"/>
      <x:c r="C1041" s="7"/>
      <x:c r="D1041" s="7"/>
      <x:c r="E1041" s="7"/>
      <x:c r="F1041" s="20"/>
      <x:c r="G1041" s="7"/>
      <x:c r="H1041" s="7"/>
      <x:c r="I1041" s="7"/>
      <x:c r="J1041" s="7"/>
      <x:c r="K1041" s="7"/>
      <x:c r="L1041" s="7"/>
      <x:c r="M1041" s="7"/>
      <x:c r="N1041" s="7"/>
      <x:c r="O1041" s="2" t="str">
        <x:f>IF(A1041="","",IF(COUNTIFS($A$7:$A$1506,A1041)&gt;1,"Buchung-ID doppelt",IF(OR(NOT(ISNUMBER(B1041)),C1041="",NOT(ISNUMBER(F1041)),H1041="",L1041=""),"Pflichtangaben fehlen",IF(COUNTIFS('Konten'!$A$7:$A$26,C1041)&lt;&gt;1,"Konto nicht eindeutig",IF(J1041&lt;&gt;"Ja","Zuordnung bestätigen",IF(OR(AND(H1041="Einnahme",F1041&lt;0),AND(H1041="Ausgabe",F1041&gt;0)),"Vorzeichen prüfen",IF(AND(H1041="Umbuchung",OR(K1041="",COUNTIFS($A$7:$A$1506,K1041)&lt;&gt;1)),"Gegenbuchung fehlt",IF(AND(H1041="Umbuchung",ROUND(SUMIFS($F$7:$F$1506,$A$7:$A$1506,K1041)+F1041,2)&lt;&gt;0),"Umbuchung abweichend",IF(OR(G1041="",M1041="",M1041="offen",M1041="teilbelegt",H1041="Ungeklärt",H1041="Bargeld"),"Beleg / Verwendung klären","vollständig erfasst")))))))))</x:f>
      </x:c>
    </x:row>
    <x:row r="1042" ht="22" customHeight="1">
      <x:c r="A1042" s="7"/>
      <x:c r="B1042" s="8"/>
      <x:c r="C1042" s="7"/>
      <x:c r="D1042" s="7"/>
      <x:c r="E1042" s="7"/>
      <x:c r="F1042" s="20"/>
      <x:c r="G1042" s="7"/>
      <x:c r="H1042" s="7"/>
      <x:c r="I1042" s="7"/>
      <x:c r="J1042" s="7"/>
      <x:c r="K1042" s="7"/>
      <x:c r="L1042" s="7"/>
      <x:c r="M1042" s="7"/>
      <x:c r="N1042" s="7"/>
      <x:c r="O1042" s="2" t="str">
        <x:f>IF(A1042="","",IF(COUNTIFS($A$7:$A$1506,A1042)&gt;1,"Buchung-ID doppelt",IF(OR(NOT(ISNUMBER(B1042)),C1042="",NOT(ISNUMBER(F1042)),H1042="",L1042=""),"Pflichtangaben fehlen",IF(COUNTIFS('Konten'!$A$7:$A$26,C1042)&lt;&gt;1,"Konto nicht eindeutig",IF(J1042&lt;&gt;"Ja","Zuordnung bestätigen",IF(OR(AND(H1042="Einnahme",F1042&lt;0),AND(H1042="Ausgabe",F1042&gt;0)),"Vorzeichen prüfen",IF(AND(H1042="Umbuchung",OR(K1042="",COUNTIFS($A$7:$A$1506,K1042)&lt;&gt;1)),"Gegenbuchung fehlt",IF(AND(H1042="Umbuchung",ROUND(SUMIFS($F$7:$F$1506,$A$7:$A$1506,K1042)+F1042,2)&lt;&gt;0),"Umbuchung abweichend",IF(OR(G1042="",M1042="",M1042="offen",M1042="teilbelegt",H1042="Ungeklärt",H1042="Bargeld"),"Beleg / Verwendung klären","vollständig erfasst")))))))))</x:f>
      </x:c>
    </x:row>
    <x:row r="1043" ht="22" customHeight="1">
      <x:c r="A1043" s="7"/>
      <x:c r="B1043" s="8"/>
      <x:c r="C1043" s="7"/>
      <x:c r="D1043" s="7"/>
      <x:c r="E1043" s="7"/>
      <x:c r="F1043" s="20"/>
      <x:c r="G1043" s="7"/>
      <x:c r="H1043" s="7"/>
      <x:c r="I1043" s="7"/>
      <x:c r="J1043" s="7"/>
      <x:c r="K1043" s="7"/>
      <x:c r="L1043" s="7"/>
      <x:c r="M1043" s="7"/>
      <x:c r="N1043" s="7"/>
      <x:c r="O1043" s="2" t="str">
        <x:f>IF(A1043="","",IF(COUNTIFS($A$7:$A$1506,A1043)&gt;1,"Buchung-ID doppelt",IF(OR(NOT(ISNUMBER(B1043)),C1043="",NOT(ISNUMBER(F1043)),H1043="",L1043=""),"Pflichtangaben fehlen",IF(COUNTIFS('Konten'!$A$7:$A$26,C1043)&lt;&gt;1,"Konto nicht eindeutig",IF(J1043&lt;&gt;"Ja","Zuordnung bestätigen",IF(OR(AND(H1043="Einnahme",F1043&lt;0),AND(H1043="Ausgabe",F1043&gt;0)),"Vorzeichen prüfen",IF(AND(H1043="Umbuchung",OR(K1043="",COUNTIFS($A$7:$A$1506,K1043)&lt;&gt;1)),"Gegenbuchung fehlt",IF(AND(H1043="Umbuchung",ROUND(SUMIFS($F$7:$F$1506,$A$7:$A$1506,K1043)+F1043,2)&lt;&gt;0),"Umbuchung abweichend",IF(OR(G1043="",M1043="",M1043="offen",M1043="teilbelegt",H1043="Ungeklärt",H1043="Bargeld"),"Beleg / Verwendung klären","vollständig erfasst")))))))))</x:f>
      </x:c>
    </x:row>
    <x:row r="1044" ht="22" customHeight="1">
      <x:c r="A1044" s="7"/>
      <x:c r="B1044" s="8"/>
      <x:c r="C1044" s="7"/>
      <x:c r="D1044" s="7"/>
      <x:c r="E1044" s="7"/>
      <x:c r="F1044" s="20"/>
      <x:c r="G1044" s="7"/>
      <x:c r="H1044" s="7"/>
      <x:c r="I1044" s="7"/>
      <x:c r="J1044" s="7"/>
      <x:c r="K1044" s="7"/>
      <x:c r="L1044" s="7"/>
      <x:c r="M1044" s="7"/>
      <x:c r="N1044" s="7"/>
      <x:c r="O1044" s="2" t="str">
        <x:f>IF(A1044="","",IF(COUNTIFS($A$7:$A$1506,A1044)&gt;1,"Buchung-ID doppelt",IF(OR(NOT(ISNUMBER(B1044)),C1044="",NOT(ISNUMBER(F1044)),H1044="",L1044=""),"Pflichtangaben fehlen",IF(COUNTIFS('Konten'!$A$7:$A$26,C1044)&lt;&gt;1,"Konto nicht eindeutig",IF(J1044&lt;&gt;"Ja","Zuordnung bestätigen",IF(OR(AND(H1044="Einnahme",F1044&lt;0),AND(H1044="Ausgabe",F1044&gt;0)),"Vorzeichen prüfen",IF(AND(H1044="Umbuchung",OR(K1044="",COUNTIFS($A$7:$A$1506,K1044)&lt;&gt;1)),"Gegenbuchung fehlt",IF(AND(H1044="Umbuchung",ROUND(SUMIFS($F$7:$F$1506,$A$7:$A$1506,K1044)+F1044,2)&lt;&gt;0),"Umbuchung abweichend",IF(OR(G1044="",M1044="",M1044="offen",M1044="teilbelegt",H1044="Ungeklärt",H1044="Bargeld"),"Beleg / Verwendung klären","vollständig erfasst")))))))))</x:f>
      </x:c>
    </x:row>
    <x:row r="1045" ht="22" customHeight="1">
      <x:c r="A1045" s="7"/>
      <x:c r="B1045" s="8"/>
      <x:c r="C1045" s="7"/>
      <x:c r="D1045" s="7"/>
      <x:c r="E1045" s="7"/>
      <x:c r="F1045" s="20"/>
      <x:c r="G1045" s="7"/>
      <x:c r="H1045" s="7"/>
      <x:c r="I1045" s="7"/>
      <x:c r="J1045" s="7"/>
      <x:c r="K1045" s="7"/>
      <x:c r="L1045" s="7"/>
      <x:c r="M1045" s="7"/>
      <x:c r="N1045" s="7"/>
      <x:c r="O1045" s="2" t="str">
        <x:f>IF(A1045="","",IF(COUNTIFS($A$7:$A$1506,A1045)&gt;1,"Buchung-ID doppelt",IF(OR(NOT(ISNUMBER(B1045)),C1045="",NOT(ISNUMBER(F1045)),H1045="",L1045=""),"Pflichtangaben fehlen",IF(COUNTIFS('Konten'!$A$7:$A$26,C1045)&lt;&gt;1,"Konto nicht eindeutig",IF(J1045&lt;&gt;"Ja","Zuordnung bestätigen",IF(OR(AND(H1045="Einnahme",F1045&lt;0),AND(H1045="Ausgabe",F1045&gt;0)),"Vorzeichen prüfen",IF(AND(H1045="Umbuchung",OR(K1045="",COUNTIFS($A$7:$A$1506,K1045)&lt;&gt;1)),"Gegenbuchung fehlt",IF(AND(H1045="Umbuchung",ROUND(SUMIFS($F$7:$F$1506,$A$7:$A$1506,K1045)+F1045,2)&lt;&gt;0),"Umbuchung abweichend",IF(OR(G1045="",M1045="",M1045="offen",M1045="teilbelegt",H1045="Ungeklärt",H1045="Bargeld"),"Beleg / Verwendung klären","vollständig erfasst")))))))))</x:f>
      </x:c>
    </x:row>
    <x:row r="1046" ht="22" customHeight="1">
      <x:c r="A1046" s="7"/>
      <x:c r="B1046" s="8"/>
      <x:c r="C1046" s="7"/>
      <x:c r="D1046" s="7"/>
      <x:c r="E1046" s="7"/>
      <x:c r="F1046" s="20"/>
      <x:c r="G1046" s="7"/>
      <x:c r="H1046" s="7"/>
      <x:c r="I1046" s="7"/>
      <x:c r="J1046" s="7"/>
      <x:c r="K1046" s="7"/>
      <x:c r="L1046" s="7"/>
      <x:c r="M1046" s="7"/>
      <x:c r="N1046" s="7"/>
      <x:c r="O1046" s="2" t="str">
        <x:f>IF(A1046="","",IF(COUNTIFS($A$7:$A$1506,A1046)&gt;1,"Buchung-ID doppelt",IF(OR(NOT(ISNUMBER(B1046)),C1046="",NOT(ISNUMBER(F1046)),H1046="",L1046=""),"Pflichtangaben fehlen",IF(COUNTIFS('Konten'!$A$7:$A$26,C1046)&lt;&gt;1,"Konto nicht eindeutig",IF(J1046&lt;&gt;"Ja","Zuordnung bestätigen",IF(OR(AND(H1046="Einnahme",F1046&lt;0),AND(H1046="Ausgabe",F1046&gt;0)),"Vorzeichen prüfen",IF(AND(H1046="Umbuchung",OR(K1046="",COUNTIFS($A$7:$A$1506,K1046)&lt;&gt;1)),"Gegenbuchung fehlt",IF(AND(H1046="Umbuchung",ROUND(SUMIFS($F$7:$F$1506,$A$7:$A$1506,K1046)+F1046,2)&lt;&gt;0),"Umbuchung abweichend",IF(OR(G1046="",M1046="",M1046="offen",M1046="teilbelegt",H1046="Ungeklärt",H1046="Bargeld"),"Beleg / Verwendung klären","vollständig erfasst")))))))))</x:f>
      </x:c>
    </x:row>
    <x:row r="1047" ht="22" customHeight="1">
      <x:c r="A1047" s="7"/>
      <x:c r="B1047" s="8"/>
      <x:c r="C1047" s="7"/>
      <x:c r="D1047" s="7"/>
      <x:c r="E1047" s="7"/>
      <x:c r="F1047" s="20"/>
      <x:c r="G1047" s="7"/>
      <x:c r="H1047" s="7"/>
      <x:c r="I1047" s="7"/>
      <x:c r="J1047" s="7"/>
      <x:c r="K1047" s="7"/>
      <x:c r="L1047" s="7"/>
      <x:c r="M1047" s="7"/>
      <x:c r="N1047" s="7"/>
      <x:c r="O1047" s="2" t="str">
        <x:f>IF(A1047="","",IF(COUNTIFS($A$7:$A$1506,A1047)&gt;1,"Buchung-ID doppelt",IF(OR(NOT(ISNUMBER(B1047)),C1047="",NOT(ISNUMBER(F1047)),H1047="",L1047=""),"Pflichtangaben fehlen",IF(COUNTIFS('Konten'!$A$7:$A$26,C1047)&lt;&gt;1,"Konto nicht eindeutig",IF(J1047&lt;&gt;"Ja","Zuordnung bestätigen",IF(OR(AND(H1047="Einnahme",F1047&lt;0),AND(H1047="Ausgabe",F1047&gt;0)),"Vorzeichen prüfen",IF(AND(H1047="Umbuchung",OR(K1047="",COUNTIFS($A$7:$A$1506,K1047)&lt;&gt;1)),"Gegenbuchung fehlt",IF(AND(H1047="Umbuchung",ROUND(SUMIFS($F$7:$F$1506,$A$7:$A$1506,K1047)+F1047,2)&lt;&gt;0),"Umbuchung abweichend",IF(OR(G1047="",M1047="",M1047="offen",M1047="teilbelegt",H1047="Ungeklärt",H1047="Bargeld"),"Beleg / Verwendung klären","vollständig erfasst")))))))))</x:f>
      </x:c>
    </x:row>
    <x:row r="1048" ht="22" customHeight="1">
      <x:c r="A1048" s="7"/>
      <x:c r="B1048" s="8"/>
      <x:c r="C1048" s="7"/>
      <x:c r="D1048" s="7"/>
      <x:c r="E1048" s="7"/>
      <x:c r="F1048" s="20"/>
      <x:c r="G1048" s="7"/>
      <x:c r="H1048" s="7"/>
      <x:c r="I1048" s="7"/>
      <x:c r="J1048" s="7"/>
      <x:c r="K1048" s="7"/>
      <x:c r="L1048" s="7"/>
      <x:c r="M1048" s="7"/>
      <x:c r="N1048" s="7"/>
      <x:c r="O1048" s="2" t="str">
        <x:f>IF(A1048="","",IF(COUNTIFS($A$7:$A$1506,A1048)&gt;1,"Buchung-ID doppelt",IF(OR(NOT(ISNUMBER(B1048)),C1048="",NOT(ISNUMBER(F1048)),H1048="",L1048=""),"Pflichtangaben fehlen",IF(COUNTIFS('Konten'!$A$7:$A$26,C1048)&lt;&gt;1,"Konto nicht eindeutig",IF(J1048&lt;&gt;"Ja","Zuordnung bestätigen",IF(OR(AND(H1048="Einnahme",F1048&lt;0),AND(H1048="Ausgabe",F1048&gt;0)),"Vorzeichen prüfen",IF(AND(H1048="Umbuchung",OR(K1048="",COUNTIFS($A$7:$A$1506,K1048)&lt;&gt;1)),"Gegenbuchung fehlt",IF(AND(H1048="Umbuchung",ROUND(SUMIFS($F$7:$F$1506,$A$7:$A$1506,K1048)+F1048,2)&lt;&gt;0),"Umbuchung abweichend",IF(OR(G1048="",M1048="",M1048="offen",M1048="teilbelegt",H1048="Ungeklärt",H1048="Bargeld"),"Beleg / Verwendung klären","vollständig erfasst")))))))))</x:f>
      </x:c>
    </x:row>
    <x:row r="1049" ht="22" customHeight="1">
      <x:c r="A1049" s="7"/>
      <x:c r="B1049" s="8"/>
      <x:c r="C1049" s="7"/>
      <x:c r="D1049" s="7"/>
      <x:c r="E1049" s="7"/>
      <x:c r="F1049" s="20"/>
      <x:c r="G1049" s="7"/>
      <x:c r="H1049" s="7"/>
      <x:c r="I1049" s="7"/>
      <x:c r="J1049" s="7"/>
      <x:c r="K1049" s="7"/>
      <x:c r="L1049" s="7"/>
      <x:c r="M1049" s="7"/>
      <x:c r="N1049" s="7"/>
      <x:c r="O1049" s="2" t="str">
        <x:f>IF(A1049="","",IF(COUNTIFS($A$7:$A$1506,A1049)&gt;1,"Buchung-ID doppelt",IF(OR(NOT(ISNUMBER(B1049)),C1049="",NOT(ISNUMBER(F1049)),H1049="",L1049=""),"Pflichtangaben fehlen",IF(COUNTIFS('Konten'!$A$7:$A$26,C1049)&lt;&gt;1,"Konto nicht eindeutig",IF(J1049&lt;&gt;"Ja","Zuordnung bestätigen",IF(OR(AND(H1049="Einnahme",F1049&lt;0),AND(H1049="Ausgabe",F1049&gt;0)),"Vorzeichen prüfen",IF(AND(H1049="Umbuchung",OR(K1049="",COUNTIFS($A$7:$A$1506,K1049)&lt;&gt;1)),"Gegenbuchung fehlt",IF(AND(H1049="Umbuchung",ROUND(SUMIFS($F$7:$F$1506,$A$7:$A$1506,K1049)+F1049,2)&lt;&gt;0),"Umbuchung abweichend",IF(OR(G1049="",M1049="",M1049="offen",M1049="teilbelegt",H1049="Ungeklärt",H1049="Bargeld"),"Beleg / Verwendung klären","vollständig erfasst")))))))))</x:f>
      </x:c>
    </x:row>
    <x:row r="1050" ht="22" customHeight="1">
      <x:c r="A1050" s="7"/>
      <x:c r="B1050" s="8"/>
      <x:c r="C1050" s="7"/>
      <x:c r="D1050" s="7"/>
      <x:c r="E1050" s="7"/>
      <x:c r="F1050" s="20"/>
      <x:c r="G1050" s="7"/>
      <x:c r="H1050" s="7"/>
      <x:c r="I1050" s="7"/>
      <x:c r="J1050" s="7"/>
      <x:c r="K1050" s="7"/>
      <x:c r="L1050" s="7"/>
      <x:c r="M1050" s="7"/>
      <x:c r="N1050" s="7"/>
      <x:c r="O1050" s="2" t="str">
        <x:f>IF(A1050="","",IF(COUNTIFS($A$7:$A$1506,A1050)&gt;1,"Buchung-ID doppelt",IF(OR(NOT(ISNUMBER(B1050)),C1050="",NOT(ISNUMBER(F1050)),H1050="",L1050=""),"Pflichtangaben fehlen",IF(COUNTIFS('Konten'!$A$7:$A$26,C1050)&lt;&gt;1,"Konto nicht eindeutig",IF(J1050&lt;&gt;"Ja","Zuordnung bestätigen",IF(OR(AND(H1050="Einnahme",F1050&lt;0),AND(H1050="Ausgabe",F1050&gt;0)),"Vorzeichen prüfen",IF(AND(H1050="Umbuchung",OR(K1050="",COUNTIFS($A$7:$A$1506,K1050)&lt;&gt;1)),"Gegenbuchung fehlt",IF(AND(H1050="Umbuchung",ROUND(SUMIFS($F$7:$F$1506,$A$7:$A$1506,K1050)+F1050,2)&lt;&gt;0),"Umbuchung abweichend",IF(OR(G1050="",M1050="",M1050="offen",M1050="teilbelegt",H1050="Ungeklärt",H1050="Bargeld"),"Beleg / Verwendung klären","vollständig erfasst")))))))))</x:f>
      </x:c>
    </x:row>
    <x:row r="1051" ht="22" customHeight="1">
      <x:c r="A1051" s="7"/>
      <x:c r="B1051" s="8"/>
      <x:c r="C1051" s="7"/>
      <x:c r="D1051" s="7"/>
      <x:c r="E1051" s="7"/>
      <x:c r="F1051" s="20"/>
      <x:c r="G1051" s="7"/>
      <x:c r="H1051" s="7"/>
      <x:c r="I1051" s="7"/>
      <x:c r="J1051" s="7"/>
      <x:c r="K1051" s="7"/>
      <x:c r="L1051" s="7"/>
      <x:c r="M1051" s="7"/>
      <x:c r="N1051" s="7"/>
      <x:c r="O1051" s="2" t="str">
        <x:f>IF(A1051="","",IF(COUNTIFS($A$7:$A$1506,A1051)&gt;1,"Buchung-ID doppelt",IF(OR(NOT(ISNUMBER(B1051)),C1051="",NOT(ISNUMBER(F1051)),H1051="",L1051=""),"Pflichtangaben fehlen",IF(COUNTIFS('Konten'!$A$7:$A$26,C1051)&lt;&gt;1,"Konto nicht eindeutig",IF(J1051&lt;&gt;"Ja","Zuordnung bestätigen",IF(OR(AND(H1051="Einnahme",F1051&lt;0),AND(H1051="Ausgabe",F1051&gt;0)),"Vorzeichen prüfen",IF(AND(H1051="Umbuchung",OR(K1051="",COUNTIFS($A$7:$A$1506,K1051)&lt;&gt;1)),"Gegenbuchung fehlt",IF(AND(H1051="Umbuchung",ROUND(SUMIFS($F$7:$F$1506,$A$7:$A$1506,K1051)+F1051,2)&lt;&gt;0),"Umbuchung abweichend",IF(OR(G1051="",M1051="",M1051="offen",M1051="teilbelegt",H1051="Ungeklärt",H1051="Bargeld"),"Beleg / Verwendung klären","vollständig erfasst")))))))))</x:f>
      </x:c>
    </x:row>
    <x:row r="1052" ht="22" customHeight="1">
      <x:c r="A1052" s="7"/>
      <x:c r="B1052" s="8"/>
      <x:c r="C1052" s="7"/>
      <x:c r="D1052" s="7"/>
      <x:c r="E1052" s="7"/>
      <x:c r="F1052" s="20"/>
      <x:c r="G1052" s="7"/>
      <x:c r="H1052" s="7"/>
      <x:c r="I1052" s="7"/>
      <x:c r="J1052" s="7"/>
      <x:c r="K1052" s="7"/>
      <x:c r="L1052" s="7"/>
      <x:c r="M1052" s="7"/>
      <x:c r="N1052" s="7"/>
      <x:c r="O1052" s="2" t="str">
        <x:f>IF(A1052="","",IF(COUNTIFS($A$7:$A$1506,A1052)&gt;1,"Buchung-ID doppelt",IF(OR(NOT(ISNUMBER(B1052)),C1052="",NOT(ISNUMBER(F1052)),H1052="",L1052=""),"Pflichtangaben fehlen",IF(COUNTIFS('Konten'!$A$7:$A$26,C1052)&lt;&gt;1,"Konto nicht eindeutig",IF(J1052&lt;&gt;"Ja","Zuordnung bestätigen",IF(OR(AND(H1052="Einnahme",F1052&lt;0),AND(H1052="Ausgabe",F1052&gt;0)),"Vorzeichen prüfen",IF(AND(H1052="Umbuchung",OR(K1052="",COUNTIFS($A$7:$A$1506,K1052)&lt;&gt;1)),"Gegenbuchung fehlt",IF(AND(H1052="Umbuchung",ROUND(SUMIFS($F$7:$F$1506,$A$7:$A$1506,K1052)+F1052,2)&lt;&gt;0),"Umbuchung abweichend",IF(OR(G1052="",M1052="",M1052="offen",M1052="teilbelegt",H1052="Ungeklärt",H1052="Bargeld"),"Beleg / Verwendung klären","vollständig erfasst")))))))))</x:f>
      </x:c>
    </x:row>
    <x:row r="1053" ht="22" customHeight="1">
      <x:c r="A1053" s="7"/>
      <x:c r="B1053" s="8"/>
      <x:c r="C1053" s="7"/>
      <x:c r="D1053" s="7"/>
      <x:c r="E1053" s="7"/>
      <x:c r="F1053" s="20"/>
      <x:c r="G1053" s="7"/>
      <x:c r="H1053" s="7"/>
      <x:c r="I1053" s="7"/>
      <x:c r="J1053" s="7"/>
      <x:c r="K1053" s="7"/>
      <x:c r="L1053" s="7"/>
      <x:c r="M1053" s="7"/>
      <x:c r="N1053" s="7"/>
      <x:c r="O1053" s="2" t="str">
        <x:f>IF(A1053="","",IF(COUNTIFS($A$7:$A$1506,A1053)&gt;1,"Buchung-ID doppelt",IF(OR(NOT(ISNUMBER(B1053)),C1053="",NOT(ISNUMBER(F1053)),H1053="",L1053=""),"Pflichtangaben fehlen",IF(COUNTIFS('Konten'!$A$7:$A$26,C1053)&lt;&gt;1,"Konto nicht eindeutig",IF(J1053&lt;&gt;"Ja","Zuordnung bestätigen",IF(OR(AND(H1053="Einnahme",F1053&lt;0),AND(H1053="Ausgabe",F1053&gt;0)),"Vorzeichen prüfen",IF(AND(H1053="Umbuchung",OR(K1053="",COUNTIFS($A$7:$A$1506,K1053)&lt;&gt;1)),"Gegenbuchung fehlt",IF(AND(H1053="Umbuchung",ROUND(SUMIFS($F$7:$F$1506,$A$7:$A$1506,K1053)+F1053,2)&lt;&gt;0),"Umbuchung abweichend",IF(OR(G1053="",M1053="",M1053="offen",M1053="teilbelegt",H1053="Ungeklärt",H1053="Bargeld"),"Beleg / Verwendung klären","vollständig erfasst")))))))))</x:f>
      </x:c>
    </x:row>
    <x:row r="1054" ht="22" customHeight="1">
      <x:c r="A1054" s="7"/>
      <x:c r="B1054" s="8"/>
      <x:c r="C1054" s="7"/>
      <x:c r="D1054" s="7"/>
      <x:c r="E1054" s="7"/>
      <x:c r="F1054" s="20"/>
      <x:c r="G1054" s="7"/>
      <x:c r="H1054" s="7"/>
      <x:c r="I1054" s="7"/>
      <x:c r="J1054" s="7"/>
      <x:c r="K1054" s="7"/>
      <x:c r="L1054" s="7"/>
      <x:c r="M1054" s="7"/>
      <x:c r="N1054" s="7"/>
      <x:c r="O1054" s="2" t="str">
        <x:f>IF(A1054="","",IF(COUNTIFS($A$7:$A$1506,A1054)&gt;1,"Buchung-ID doppelt",IF(OR(NOT(ISNUMBER(B1054)),C1054="",NOT(ISNUMBER(F1054)),H1054="",L1054=""),"Pflichtangaben fehlen",IF(COUNTIFS('Konten'!$A$7:$A$26,C1054)&lt;&gt;1,"Konto nicht eindeutig",IF(J1054&lt;&gt;"Ja","Zuordnung bestätigen",IF(OR(AND(H1054="Einnahme",F1054&lt;0),AND(H1054="Ausgabe",F1054&gt;0)),"Vorzeichen prüfen",IF(AND(H1054="Umbuchung",OR(K1054="",COUNTIFS($A$7:$A$1506,K1054)&lt;&gt;1)),"Gegenbuchung fehlt",IF(AND(H1054="Umbuchung",ROUND(SUMIFS($F$7:$F$1506,$A$7:$A$1506,K1054)+F1054,2)&lt;&gt;0),"Umbuchung abweichend",IF(OR(G1054="",M1054="",M1054="offen",M1054="teilbelegt",H1054="Ungeklärt",H1054="Bargeld"),"Beleg / Verwendung klären","vollständig erfasst")))))))))</x:f>
      </x:c>
    </x:row>
    <x:row r="1055" ht="22" customHeight="1">
      <x:c r="A1055" s="7"/>
      <x:c r="B1055" s="8"/>
      <x:c r="C1055" s="7"/>
      <x:c r="D1055" s="7"/>
      <x:c r="E1055" s="7"/>
      <x:c r="F1055" s="20"/>
      <x:c r="G1055" s="7"/>
      <x:c r="H1055" s="7"/>
      <x:c r="I1055" s="7"/>
      <x:c r="J1055" s="7"/>
      <x:c r="K1055" s="7"/>
      <x:c r="L1055" s="7"/>
      <x:c r="M1055" s="7"/>
      <x:c r="N1055" s="7"/>
      <x:c r="O1055" s="2" t="str">
        <x:f>IF(A1055="","",IF(COUNTIFS($A$7:$A$1506,A1055)&gt;1,"Buchung-ID doppelt",IF(OR(NOT(ISNUMBER(B1055)),C1055="",NOT(ISNUMBER(F1055)),H1055="",L1055=""),"Pflichtangaben fehlen",IF(COUNTIFS('Konten'!$A$7:$A$26,C1055)&lt;&gt;1,"Konto nicht eindeutig",IF(J1055&lt;&gt;"Ja","Zuordnung bestätigen",IF(OR(AND(H1055="Einnahme",F1055&lt;0),AND(H1055="Ausgabe",F1055&gt;0)),"Vorzeichen prüfen",IF(AND(H1055="Umbuchung",OR(K1055="",COUNTIFS($A$7:$A$1506,K1055)&lt;&gt;1)),"Gegenbuchung fehlt",IF(AND(H1055="Umbuchung",ROUND(SUMIFS($F$7:$F$1506,$A$7:$A$1506,K1055)+F1055,2)&lt;&gt;0),"Umbuchung abweichend",IF(OR(G1055="",M1055="",M1055="offen",M1055="teilbelegt",H1055="Ungeklärt",H1055="Bargeld"),"Beleg / Verwendung klären","vollständig erfasst")))))))))</x:f>
      </x:c>
    </x:row>
    <x:row r="1056" ht="22" customHeight="1">
      <x:c r="A1056" s="7"/>
      <x:c r="B1056" s="8"/>
      <x:c r="C1056" s="7"/>
      <x:c r="D1056" s="7"/>
      <x:c r="E1056" s="7"/>
      <x:c r="F1056" s="20"/>
      <x:c r="G1056" s="7"/>
      <x:c r="H1056" s="7"/>
      <x:c r="I1056" s="7"/>
      <x:c r="J1056" s="7"/>
      <x:c r="K1056" s="7"/>
      <x:c r="L1056" s="7"/>
      <x:c r="M1056" s="7"/>
      <x:c r="N1056" s="7"/>
      <x:c r="O1056" s="2" t="str">
        <x:f>IF(A1056="","",IF(COUNTIFS($A$7:$A$1506,A1056)&gt;1,"Buchung-ID doppelt",IF(OR(NOT(ISNUMBER(B1056)),C1056="",NOT(ISNUMBER(F1056)),H1056="",L1056=""),"Pflichtangaben fehlen",IF(COUNTIFS('Konten'!$A$7:$A$26,C1056)&lt;&gt;1,"Konto nicht eindeutig",IF(J1056&lt;&gt;"Ja","Zuordnung bestätigen",IF(OR(AND(H1056="Einnahme",F1056&lt;0),AND(H1056="Ausgabe",F1056&gt;0)),"Vorzeichen prüfen",IF(AND(H1056="Umbuchung",OR(K1056="",COUNTIFS($A$7:$A$1506,K1056)&lt;&gt;1)),"Gegenbuchung fehlt",IF(AND(H1056="Umbuchung",ROUND(SUMIFS($F$7:$F$1506,$A$7:$A$1506,K1056)+F1056,2)&lt;&gt;0),"Umbuchung abweichend",IF(OR(G1056="",M1056="",M1056="offen",M1056="teilbelegt",H1056="Ungeklärt",H1056="Bargeld"),"Beleg / Verwendung klären","vollständig erfasst")))))))))</x:f>
      </x:c>
    </x:row>
    <x:row r="1057" ht="22" customHeight="1">
      <x:c r="A1057" s="7"/>
      <x:c r="B1057" s="8"/>
      <x:c r="C1057" s="7"/>
      <x:c r="D1057" s="7"/>
      <x:c r="E1057" s="7"/>
      <x:c r="F1057" s="20"/>
      <x:c r="G1057" s="7"/>
      <x:c r="H1057" s="7"/>
      <x:c r="I1057" s="7"/>
      <x:c r="J1057" s="7"/>
      <x:c r="K1057" s="7"/>
      <x:c r="L1057" s="7"/>
      <x:c r="M1057" s="7"/>
      <x:c r="N1057" s="7"/>
      <x:c r="O1057" s="2" t="str">
        <x:f>IF(A1057="","",IF(COUNTIFS($A$7:$A$1506,A1057)&gt;1,"Buchung-ID doppelt",IF(OR(NOT(ISNUMBER(B1057)),C1057="",NOT(ISNUMBER(F1057)),H1057="",L1057=""),"Pflichtangaben fehlen",IF(COUNTIFS('Konten'!$A$7:$A$26,C1057)&lt;&gt;1,"Konto nicht eindeutig",IF(J1057&lt;&gt;"Ja","Zuordnung bestätigen",IF(OR(AND(H1057="Einnahme",F1057&lt;0),AND(H1057="Ausgabe",F1057&gt;0)),"Vorzeichen prüfen",IF(AND(H1057="Umbuchung",OR(K1057="",COUNTIFS($A$7:$A$1506,K1057)&lt;&gt;1)),"Gegenbuchung fehlt",IF(AND(H1057="Umbuchung",ROUND(SUMIFS($F$7:$F$1506,$A$7:$A$1506,K1057)+F1057,2)&lt;&gt;0),"Umbuchung abweichend",IF(OR(G1057="",M1057="",M1057="offen",M1057="teilbelegt",H1057="Ungeklärt",H1057="Bargeld"),"Beleg / Verwendung klären","vollständig erfasst")))))))))</x:f>
      </x:c>
    </x:row>
    <x:row r="1058" ht="22" customHeight="1">
      <x:c r="A1058" s="7"/>
      <x:c r="B1058" s="8"/>
      <x:c r="C1058" s="7"/>
      <x:c r="D1058" s="7"/>
      <x:c r="E1058" s="7"/>
      <x:c r="F1058" s="20"/>
      <x:c r="G1058" s="7"/>
      <x:c r="H1058" s="7"/>
      <x:c r="I1058" s="7"/>
      <x:c r="J1058" s="7"/>
      <x:c r="K1058" s="7"/>
      <x:c r="L1058" s="7"/>
      <x:c r="M1058" s="7"/>
      <x:c r="N1058" s="7"/>
      <x:c r="O1058" s="2" t="str">
        <x:f>IF(A1058="","",IF(COUNTIFS($A$7:$A$1506,A1058)&gt;1,"Buchung-ID doppelt",IF(OR(NOT(ISNUMBER(B1058)),C1058="",NOT(ISNUMBER(F1058)),H1058="",L1058=""),"Pflichtangaben fehlen",IF(COUNTIFS('Konten'!$A$7:$A$26,C1058)&lt;&gt;1,"Konto nicht eindeutig",IF(J1058&lt;&gt;"Ja","Zuordnung bestätigen",IF(OR(AND(H1058="Einnahme",F1058&lt;0),AND(H1058="Ausgabe",F1058&gt;0)),"Vorzeichen prüfen",IF(AND(H1058="Umbuchung",OR(K1058="",COUNTIFS($A$7:$A$1506,K1058)&lt;&gt;1)),"Gegenbuchung fehlt",IF(AND(H1058="Umbuchung",ROUND(SUMIFS($F$7:$F$1506,$A$7:$A$1506,K1058)+F1058,2)&lt;&gt;0),"Umbuchung abweichend",IF(OR(G1058="",M1058="",M1058="offen",M1058="teilbelegt",H1058="Ungeklärt",H1058="Bargeld"),"Beleg / Verwendung klären","vollständig erfasst")))))))))</x:f>
      </x:c>
    </x:row>
    <x:row r="1059" ht="22" customHeight="1">
      <x:c r="A1059" s="7"/>
      <x:c r="B1059" s="8"/>
      <x:c r="C1059" s="7"/>
      <x:c r="D1059" s="7"/>
      <x:c r="E1059" s="7"/>
      <x:c r="F1059" s="20"/>
      <x:c r="G1059" s="7"/>
      <x:c r="H1059" s="7"/>
      <x:c r="I1059" s="7"/>
      <x:c r="J1059" s="7"/>
      <x:c r="K1059" s="7"/>
      <x:c r="L1059" s="7"/>
      <x:c r="M1059" s="7"/>
      <x:c r="N1059" s="7"/>
      <x:c r="O1059" s="2" t="str">
        <x:f>IF(A1059="","",IF(COUNTIFS($A$7:$A$1506,A1059)&gt;1,"Buchung-ID doppelt",IF(OR(NOT(ISNUMBER(B1059)),C1059="",NOT(ISNUMBER(F1059)),H1059="",L1059=""),"Pflichtangaben fehlen",IF(COUNTIFS('Konten'!$A$7:$A$26,C1059)&lt;&gt;1,"Konto nicht eindeutig",IF(J1059&lt;&gt;"Ja","Zuordnung bestätigen",IF(OR(AND(H1059="Einnahme",F1059&lt;0),AND(H1059="Ausgabe",F1059&gt;0)),"Vorzeichen prüfen",IF(AND(H1059="Umbuchung",OR(K1059="",COUNTIFS($A$7:$A$1506,K1059)&lt;&gt;1)),"Gegenbuchung fehlt",IF(AND(H1059="Umbuchung",ROUND(SUMIFS($F$7:$F$1506,$A$7:$A$1506,K1059)+F1059,2)&lt;&gt;0),"Umbuchung abweichend",IF(OR(G1059="",M1059="",M1059="offen",M1059="teilbelegt",H1059="Ungeklärt",H1059="Bargeld"),"Beleg / Verwendung klären","vollständig erfasst")))))))))</x:f>
      </x:c>
    </x:row>
    <x:row r="1060" ht="22" customHeight="1">
      <x:c r="A1060" s="7"/>
      <x:c r="B1060" s="8"/>
      <x:c r="C1060" s="7"/>
      <x:c r="D1060" s="7"/>
      <x:c r="E1060" s="7"/>
      <x:c r="F1060" s="20"/>
      <x:c r="G1060" s="7"/>
      <x:c r="H1060" s="7"/>
      <x:c r="I1060" s="7"/>
      <x:c r="J1060" s="7"/>
      <x:c r="K1060" s="7"/>
      <x:c r="L1060" s="7"/>
      <x:c r="M1060" s="7"/>
      <x:c r="N1060" s="7"/>
      <x:c r="O1060" s="2" t="str">
        <x:f>IF(A1060="","",IF(COUNTIFS($A$7:$A$1506,A1060)&gt;1,"Buchung-ID doppelt",IF(OR(NOT(ISNUMBER(B1060)),C1060="",NOT(ISNUMBER(F1060)),H1060="",L1060=""),"Pflichtangaben fehlen",IF(COUNTIFS('Konten'!$A$7:$A$26,C1060)&lt;&gt;1,"Konto nicht eindeutig",IF(J1060&lt;&gt;"Ja","Zuordnung bestätigen",IF(OR(AND(H1060="Einnahme",F1060&lt;0),AND(H1060="Ausgabe",F1060&gt;0)),"Vorzeichen prüfen",IF(AND(H1060="Umbuchung",OR(K1060="",COUNTIFS($A$7:$A$1506,K1060)&lt;&gt;1)),"Gegenbuchung fehlt",IF(AND(H1060="Umbuchung",ROUND(SUMIFS($F$7:$F$1506,$A$7:$A$1506,K1060)+F1060,2)&lt;&gt;0),"Umbuchung abweichend",IF(OR(G1060="",M1060="",M1060="offen",M1060="teilbelegt",H1060="Ungeklärt",H1060="Bargeld"),"Beleg / Verwendung klären","vollständig erfasst")))))))))</x:f>
      </x:c>
    </x:row>
    <x:row r="1061" ht="22" customHeight="1">
      <x:c r="A1061" s="7"/>
      <x:c r="B1061" s="8"/>
      <x:c r="C1061" s="7"/>
      <x:c r="D1061" s="7"/>
      <x:c r="E1061" s="7"/>
      <x:c r="F1061" s="20"/>
      <x:c r="G1061" s="7"/>
      <x:c r="H1061" s="7"/>
      <x:c r="I1061" s="7"/>
      <x:c r="J1061" s="7"/>
      <x:c r="K1061" s="7"/>
      <x:c r="L1061" s="7"/>
      <x:c r="M1061" s="7"/>
      <x:c r="N1061" s="7"/>
      <x:c r="O1061" s="2" t="str">
        <x:f>IF(A1061="","",IF(COUNTIFS($A$7:$A$1506,A1061)&gt;1,"Buchung-ID doppelt",IF(OR(NOT(ISNUMBER(B1061)),C1061="",NOT(ISNUMBER(F1061)),H1061="",L1061=""),"Pflichtangaben fehlen",IF(COUNTIFS('Konten'!$A$7:$A$26,C1061)&lt;&gt;1,"Konto nicht eindeutig",IF(J1061&lt;&gt;"Ja","Zuordnung bestätigen",IF(OR(AND(H1061="Einnahme",F1061&lt;0),AND(H1061="Ausgabe",F1061&gt;0)),"Vorzeichen prüfen",IF(AND(H1061="Umbuchung",OR(K1061="",COUNTIFS($A$7:$A$1506,K1061)&lt;&gt;1)),"Gegenbuchung fehlt",IF(AND(H1061="Umbuchung",ROUND(SUMIFS($F$7:$F$1506,$A$7:$A$1506,K1061)+F1061,2)&lt;&gt;0),"Umbuchung abweichend",IF(OR(G1061="",M1061="",M1061="offen",M1061="teilbelegt",H1061="Ungeklärt",H1061="Bargeld"),"Beleg / Verwendung klären","vollständig erfasst")))))))))</x:f>
      </x:c>
    </x:row>
    <x:row r="1062" ht="22" customHeight="1">
      <x:c r="A1062" s="7"/>
      <x:c r="B1062" s="8"/>
      <x:c r="C1062" s="7"/>
      <x:c r="D1062" s="7"/>
      <x:c r="E1062" s="7"/>
      <x:c r="F1062" s="20"/>
      <x:c r="G1062" s="7"/>
      <x:c r="H1062" s="7"/>
      <x:c r="I1062" s="7"/>
      <x:c r="J1062" s="7"/>
      <x:c r="K1062" s="7"/>
      <x:c r="L1062" s="7"/>
      <x:c r="M1062" s="7"/>
      <x:c r="N1062" s="7"/>
      <x:c r="O1062" s="2" t="str">
        <x:f>IF(A1062="","",IF(COUNTIFS($A$7:$A$1506,A1062)&gt;1,"Buchung-ID doppelt",IF(OR(NOT(ISNUMBER(B1062)),C1062="",NOT(ISNUMBER(F1062)),H1062="",L1062=""),"Pflichtangaben fehlen",IF(COUNTIFS('Konten'!$A$7:$A$26,C1062)&lt;&gt;1,"Konto nicht eindeutig",IF(J1062&lt;&gt;"Ja","Zuordnung bestätigen",IF(OR(AND(H1062="Einnahme",F1062&lt;0),AND(H1062="Ausgabe",F1062&gt;0)),"Vorzeichen prüfen",IF(AND(H1062="Umbuchung",OR(K1062="",COUNTIFS($A$7:$A$1506,K1062)&lt;&gt;1)),"Gegenbuchung fehlt",IF(AND(H1062="Umbuchung",ROUND(SUMIFS($F$7:$F$1506,$A$7:$A$1506,K1062)+F1062,2)&lt;&gt;0),"Umbuchung abweichend",IF(OR(G1062="",M1062="",M1062="offen",M1062="teilbelegt",H1062="Ungeklärt",H1062="Bargeld"),"Beleg / Verwendung klären","vollständig erfasst")))))))))</x:f>
      </x:c>
    </x:row>
    <x:row r="1063" ht="22" customHeight="1">
      <x:c r="A1063" s="7"/>
      <x:c r="B1063" s="8"/>
      <x:c r="C1063" s="7"/>
      <x:c r="D1063" s="7"/>
      <x:c r="E1063" s="7"/>
      <x:c r="F1063" s="20"/>
      <x:c r="G1063" s="7"/>
      <x:c r="H1063" s="7"/>
      <x:c r="I1063" s="7"/>
      <x:c r="J1063" s="7"/>
      <x:c r="K1063" s="7"/>
      <x:c r="L1063" s="7"/>
      <x:c r="M1063" s="7"/>
      <x:c r="N1063" s="7"/>
      <x:c r="O1063" s="2" t="str">
        <x:f>IF(A1063="","",IF(COUNTIFS($A$7:$A$1506,A1063)&gt;1,"Buchung-ID doppelt",IF(OR(NOT(ISNUMBER(B1063)),C1063="",NOT(ISNUMBER(F1063)),H1063="",L1063=""),"Pflichtangaben fehlen",IF(COUNTIFS('Konten'!$A$7:$A$26,C1063)&lt;&gt;1,"Konto nicht eindeutig",IF(J1063&lt;&gt;"Ja","Zuordnung bestätigen",IF(OR(AND(H1063="Einnahme",F1063&lt;0),AND(H1063="Ausgabe",F1063&gt;0)),"Vorzeichen prüfen",IF(AND(H1063="Umbuchung",OR(K1063="",COUNTIFS($A$7:$A$1506,K1063)&lt;&gt;1)),"Gegenbuchung fehlt",IF(AND(H1063="Umbuchung",ROUND(SUMIFS($F$7:$F$1506,$A$7:$A$1506,K1063)+F1063,2)&lt;&gt;0),"Umbuchung abweichend",IF(OR(G1063="",M1063="",M1063="offen",M1063="teilbelegt",H1063="Ungeklärt",H1063="Bargeld"),"Beleg / Verwendung klären","vollständig erfasst")))))))))</x:f>
      </x:c>
    </x:row>
    <x:row r="1064" ht="22" customHeight="1">
      <x:c r="A1064" s="7"/>
      <x:c r="B1064" s="8"/>
      <x:c r="C1064" s="7"/>
      <x:c r="D1064" s="7"/>
      <x:c r="E1064" s="7"/>
      <x:c r="F1064" s="20"/>
      <x:c r="G1064" s="7"/>
      <x:c r="H1064" s="7"/>
      <x:c r="I1064" s="7"/>
      <x:c r="J1064" s="7"/>
      <x:c r="K1064" s="7"/>
      <x:c r="L1064" s="7"/>
      <x:c r="M1064" s="7"/>
      <x:c r="N1064" s="7"/>
      <x:c r="O1064" s="2" t="str">
        <x:f>IF(A1064="","",IF(COUNTIFS($A$7:$A$1506,A1064)&gt;1,"Buchung-ID doppelt",IF(OR(NOT(ISNUMBER(B1064)),C1064="",NOT(ISNUMBER(F1064)),H1064="",L1064=""),"Pflichtangaben fehlen",IF(COUNTIFS('Konten'!$A$7:$A$26,C1064)&lt;&gt;1,"Konto nicht eindeutig",IF(J1064&lt;&gt;"Ja","Zuordnung bestätigen",IF(OR(AND(H1064="Einnahme",F1064&lt;0),AND(H1064="Ausgabe",F1064&gt;0)),"Vorzeichen prüfen",IF(AND(H1064="Umbuchung",OR(K1064="",COUNTIFS($A$7:$A$1506,K1064)&lt;&gt;1)),"Gegenbuchung fehlt",IF(AND(H1064="Umbuchung",ROUND(SUMIFS($F$7:$F$1506,$A$7:$A$1506,K1064)+F1064,2)&lt;&gt;0),"Umbuchung abweichend",IF(OR(G1064="",M1064="",M1064="offen",M1064="teilbelegt",H1064="Ungeklärt",H1064="Bargeld"),"Beleg / Verwendung klären","vollständig erfasst")))))))))</x:f>
      </x:c>
    </x:row>
    <x:row r="1065" ht="22" customHeight="1">
      <x:c r="A1065" s="7"/>
      <x:c r="B1065" s="8"/>
      <x:c r="C1065" s="7"/>
      <x:c r="D1065" s="7"/>
      <x:c r="E1065" s="7"/>
      <x:c r="F1065" s="20"/>
      <x:c r="G1065" s="7"/>
      <x:c r="H1065" s="7"/>
      <x:c r="I1065" s="7"/>
      <x:c r="J1065" s="7"/>
      <x:c r="K1065" s="7"/>
      <x:c r="L1065" s="7"/>
      <x:c r="M1065" s="7"/>
      <x:c r="N1065" s="7"/>
      <x:c r="O1065" s="2" t="str">
        <x:f>IF(A1065="","",IF(COUNTIFS($A$7:$A$1506,A1065)&gt;1,"Buchung-ID doppelt",IF(OR(NOT(ISNUMBER(B1065)),C1065="",NOT(ISNUMBER(F1065)),H1065="",L1065=""),"Pflichtangaben fehlen",IF(COUNTIFS('Konten'!$A$7:$A$26,C1065)&lt;&gt;1,"Konto nicht eindeutig",IF(J1065&lt;&gt;"Ja","Zuordnung bestätigen",IF(OR(AND(H1065="Einnahme",F1065&lt;0),AND(H1065="Ausgabe",F1065&gt;0)),"Vorzeichen prüfen",IF(AND(H1065="Umbuchung",OR(K1065="",COUNTIFS($A$7:$A$1506,K1065)&lt;&gt;1)),"Gegenbuchung fehlt",IF(AND(H1065="Umbuchung",ROUND(SUMIFS($F$7:$F$1506,$A$7:$A$1506,K1065)+F1065,2)&lt;&gt;0),"Umbuchung abweichend",IF(OR(G1065="",M1065="",M1065="offen",M1065="teilbelegt",H1065="Ungeklärt",H1065="Bargeld"),"Beleg / Verwendung klären","vollständig erfasst")))))))))</x:f>
      </x:c>
    </x:row>
    <x:row r="1066" ht="22" customHeight="1">
      <x:c r="A1066" s="7"/>
      <x:c r="B1066" s="8"/>
      <x:c r="C1066" s="7"/>
      <x:c r="D1066" s="7"/>
      <x:c r="E1066" s="7"/>
      <x:c r="F1066" s="20"/>
      <x:c r="G1066" s="7"/>
      <x:c r="H1066" s="7"/>
      <x:c r="I1066" s="7"/>
      <x:c r="J1066" s="7"/>
      <x:c r="K1066" s="7"/>
      <x:c r="L1066" s="7"/>
      <x:c r="M1066" s="7"/>
      <x:c r="N1066" s="7"/>
      <x:c r="O1066" s="2" t="str">
        <x:f>IF(A1066="","",IF(COUNTIFS($A$7:$A$1506,A1066)&gt;1,"Buchung-ID doppelt",IF(OR(NOT(ISNUMBER(B1066)),C1066="",NOT(ISNUMBER(F1066)),H1066="",L1066=""),"Pflichtangaben fehlen",IF(COUNTIFS('Konten'!$A$7:$A$26,C1066)&lt;&gt;1,"Konto nicht eindeutig",IF(J1066&lt;&gt;"Ja","Zuordnung bestätigen",IF(OR(AND(H1066="Einnahme",F1066&lt;0),AND(H1066="Ausgabe",F1066&gt;0)),"Vorzeichen prüfen",IF(AND(H1066="Umbuchung",OR(K1066="",COUNTIFS($A$7:$A$1506,K1066)&lt;&gt;1)),"Gegenbuchung fehlt",IF(AND(H1066="Umbuchung",ROUND(SUMIFS($F$7:$F$1506,$A$7:$A$1506,K1066)+F1066,2)&lt;&gt;0),"Umbuchung abweichend",IF(OR(G1066="",M1066="",M1066="offen",M1066="teilbelegt",H1066="Ungeklärt",H1066="Bargeld"),"Beleg / Verwendung klären","vollständig erfasst")))))))))</x:f>
      </x:c>
    </x:row>
    <x:row r="1067" ht="22" customHeight="1">
      <x:c r="A1067" s="7"/>
      <x:c r="B1067" s="8"/>
      <x:c r="C1067" s="7"/>
      <x:c r="D1067" s="7"/>
      <x:c r="E1067" s="7"/>
      <x:c r="F1067" s="20"/>
      <x:c r="G1067" s="7"/>
      <x:c r="H1067" s="7"/>
      <x:c r="I1067" s="7"/>
      <x:c r="J1067" s="7"/>
      <x:c r="K1067" s="7"/>
      <x:c r="L1067" s="7"/>
      <x:c r="M1067" s="7"/>
      <x:c r="N1067" s="7"/>
      <x:c r="O1067" s="2" t="str">
        <x:f>IF(A1067="","",IF(COUNTIFS($A$7:$A$1506,A1067)&gt;1,"Buchung-ID doppelt",IF(OR(NOT(ISNUMBER(B1067)),C1067="",NOT(ISNUMBER(F1067)),H1067="",L1067=""),"Pflichtangaben fehlen",IF(COUNTIFS('Konten'!$A$7:$A$26,C1067)&lt;&gt;1,"Konto nicht eindeutig",IF(J1067&lt;&gt;"Ja","Zuordnung bestätigen",IF(OR(AND(H1067="Einnahme",F1067&lt;0),AND(H1067="Ausgabe",F1067&gt;0)),"Vorzeichen prüfen",IF(AND(H1067="Umbuchung",OR(K1067="",COUNTIFS($A$7:$A$1506,K1067)&lt;&gt;1)),"Gegenbuchung fehlt",IF(AND(H1067="Umbuchung",ROUND(SUMIFS($F$7:$F$1506,$A$7:$A$1506,K1067)+F1067,2)&lt;&gt;0),"Umbuchung abweichend",IF(OR(G1067="",M1067="",M1067="offen",M1067="teilbelegt",H1067="Ungeklärt",H1067="Bargeld"),"Beleg / Verwendung klären","vollständig erfasst")))))))))</x:f>
      </x:c>
    </x:row>
    <x:row r="1068" ht="22" customHeight="1">
      <x:c r="A1068" s="7"/>
      <x:c r="B1068" s="8"/>
      <x:c r="C1068" s="7"/>
      <x:c r="D1068" s="7"/>
      <x:c r="E1068" s="7"/>
      <x:c r="F1068" s="20"/>
      <x:c r="G1068" s="7"/>
      <x:c r="H1068" s="7"/>
      <x:c r="I1068" s="7"/>
      <x:c r="J1068" s="7"/>
      <x:c r="K1068" s="7"/>
      <x:c r="L1068" s="7"/>
      <x:c r="M1068" s="7"/>
      <x:c r="N1068" s="7"/>
      <x:c r="O1068" s="2" t="str">
        <x:f>IF(A1068="","",IF(COUNTIFS($A$7:$A$1506,A1068)&gt;1,"Buchung-ID doppelt",IF(OR(NOT(ISNUMBER(B1068)),C1068="",NOT(ISNUMBER(F1068)),H1068="",L1068=""),"Pflichtangaben fehlen",IF(COUNTIFS('Konten'!$A$7:$A$26,C1068)&lt;&gt;1,"Konto nicht eindeutig",IF(J1068&lt;&gt;"Ja","Zuordnung bestätigen",IF(OR(AND(H1068="Einnahme",F1068&lt;0),AND(H1068="Ausgabe",F1068&gt;0)),"Vorzeichen prüfen",IF(AND(H1068="Umbuchung",OR(K1068="",COUNTIFS($A$7:$A$1506,K1068)&lt;&gt;1)),"Gegenbuchung fehlt",IF(AND(H1068="Umbuchung",ROUND(SUMIFS($F$7:$F$1506,$A$7:$A$1506,K1068)+F1068,2)&lt;&gt;0),"Umbuchung abweichend",IF(OR(G1068="",M1068="",M1068="offen",M1068="teilbelegt",H1068="Ungeklärt",H1068="Bargeld"),"Beleg / Verwendung klären","vollständig erfasst")))))))))</x:f>
      </x:c>
    </x:row>
    <x:row r="1069" ht="22" customHeight="1">
      <x:c r="A1069" s="7"/>
      <x:c r="B1069" s="8"/>
      <x:c r="C1069" s="7"/>
      <x:c r="D1069" s="7"/>
      <x:c r="E1069" s="7"/>
      <x:c r="F1069" s="20"/>
      <x:c r="G1069" s="7"/>
      <x:c r="H1069" s="7"/>
      <x:c r="I1069" s="7"/>
      <x:c r="J1069" s="7"/>
      <x:c r="K1069" s="7"/>
      <x:c r="L1069" s="7"/>
      <x:c r="M1069" s="7"/>
      <x:c r="N1069" s="7"/>
      <x:c r="O1069" s="2" t="str">
        <x:f>IF(A1069="","",IF(COUNTIFS($A$7:$A$1506,A1069)&gt;1,"Buchung-ID doppelt",IF(OR(NOT(ISNUMBER(B1069)),C1069="",NOT(ISNUMBER(F1069)),H1069="",L1069=""),"Pflichtangaben fehlen",IF(COUNTIFS('Konten'!$A$7:$A$26,C1069)&lt;&gt;1,"Konto nicht eindeutig",IF(J1069&lt;&gt;"Ja","Zuordnung bestätigen",IF(OR(AND(H1069="Einnahme",F1069&lt;0),AND(H1069="Ausgabe",F1069&gt;0)),"Vorzeichen prüfen",IF(AND(H1069="Umbuchung",OR(K1069="",COUNTIFS($A$7:$A$1506,K1069)&lt;&gt;1)),"Gegenbuchung fehlt",IF(AND(H1069="Umbuchung",ROUND(SUMIFS($F$7:$F$1506,$A$7:$A$1506,K1069)+F1069,2)&lt;&gt;0),"Umbuchung abweichend",IF(OR(G1069="",M1069="",M1069="offen",M1069="teilbelegt",H1069="Ungeklärt",H1069="Bargeld"),"Beleg / Verwendung klären","vollständig erfasst")))))))))</x:f>
      </x:c>
    </x:row>
    <x:row r="1070" ht="22" customHeight="1">
      <x:c r="A1070" s="7"/>
      <x:c r="B1070" s="8"/>
      <x:c r="C1070" s="7"/>
      <x:c r="D1070" s="7"/>
      <x:c r="E1070" s="7"/>
      <x:c r="F1070" s="20"/>
      <x:c r="G1070" s="7"/>
      <x:c r="H1070" s="7"/>
      <x:c r="I1070" s="7"/>
      <x:c r="J1070" s="7"/>
      <x:c r="K1070" s="7"/>
      <x:c r="L1070" s="7"/>
      <x:c r="M1070" s="7"/>
      <x:c r="N1070" s="7"/>
      <x:c r="O1070" s="2" t="str">
        <x:f>IF(A1070="","",IF(COUNTIFS($A$7:$A$1506,A1070)&gt;1,"Buchung-ID doppelt",IF(OR(NOT(ISNUMBER(B1070)),C1070="",NOT(ISNUMBER(F1070)),H1070="",L1070=""),"Pflichtangaben fehlen",IF(COUNTIFS('Konten'!$A$7:$A$26,C1070)&lt;&gt;1,"Konto nicht eindeutig",IF(J1070&lt;&gt;"Ja","Zuordnung bestätigen",IF(OR(AND(H1070="Einnahme",F1070&lt;0),AND(H1070="Ausgabe",F1070&gt;0)),"Vorzeichen prüfen",IF(AND(H1070="Umbuchung",OR(K1070="",COUNTIFS($A$7:$A$1506,K1070)&lt;&gt;1)),"Gegenbuchung fehlt",IF(AND(H1070="Umbuchung",ROUND(SUMIFS($F$7:$F$1506,$A$7:$A$1506,K1070)+F1070,2)&lt;&gt;0),"Umbuchung abweichend",IF(OR(G1070="",M1070="",M1070="offen",M1070="teilbelegt",H1070="Ungeklärt",H1070="Bargeld"),"Beleg / Verwendung klären","vollständig erfasst")))))))))</x:f>
      </x:c>
    </x:row>
    <x:row r="1071" ht="22" customHeight="1">
      <x:c r="A1071" s="7"/>
      <x:c r="B1071" s="8"/>
      <x:c r="C1071" s="7"/>
      <x:c r="D1071" s="7"/>
      <x:c r="E1071" s="7"/>
      <x:c r="F1071" s="20"/>
      <x:c r="G1071" s="7"/>
      <x:c r="H1071" s="7"/>
      <x:c r="I1071" s="7"/>
      <x:c r="J1071" s="7"/>
      <x:c r="K1071" s="7"/>
      <x:c r="L1071" s="7"/>
      <x:c r="M1071" s="7"/>
      <x:c r="N1071" s="7"/>
      <x:c r="O1071" s="2" t="str">
        <x:f>IF(A1071="","",IF(COUNTIFS($A$7:$A$1506,A1071)&gt;1,"Buchung-ID doppelt",IF(OR(NOT(ISNUMBER(B1071)),C1071="",NOT(ISNUMBER(F1071)),H1071="",L1071=""),"Pflichtangaben fehlen",IF(COUNTIFS('Konten'!$A$7:$A$26,C1071)&lt;&gt;1,"Konto nicht eindeutig",IF(J1071&lt;&gt;"Ja","Zuordnung bestätigen",IF(OR(AND(H1071="Einnahme",F1071&lt;0),AND(H1071="Ausgabe",F1071&gt;0)),"Vorzeichen prüfen",IF(AND(H1071="Umbuchung",OR(K1071="",COUNTIFS($A$7:$A$1506,K1071)&lt;&gt;1)),"Gegenbuchung fehlt",IF(AND(H1071="Umbuchung",ROUND(SUMIFS($F$7:$F$1506,$A$7:$A$1506,K1071)+F1071,2)&lt;&gt;0),"Umbuchung abweichend",IF(OR(G1071="",M1071="",M1071="offen",M1071="teilbelegt",H1071="Ungeklärt",H1071="Bargeld"),"Beleg / Verwendung klären","vollständig erfasst")))))))))</x:f>
      </x:c>
    </x:row>
    <x:row r="1072" ht="22" customHeight="1">
      <x:c r="A1072" s="7"/>
      <x:c r="B1072" s="8"/>
      <x:c r="C1072" s="7"/>
      <x:c r="D1072" s="7"/>
      <x:c r="E1072" s="7"/>
      <x:c r="F1072" s="20"/>
      <x:c r="G1072" s="7"/>
      <x:c r="H1072" s="7"/>
      <x:c r="I1072" s="7"/>
      <x:c r="J1072" s="7"/>
      <x:c r="K1072" s="7"/>
      <x:c r="L1072" s="7"/>
      <x:c r="M1072" s="7"/>
      <x:c r="N1072" s="7"/>
      <x:c r="O1072" s="2" t="str">
        <x:f>IF(A1072="","",IF(COUNTIFS($A$7:$A$1506,A1072)&gt;1,"Buchung-ID doppelt",IF(OR(NOT(ISNUMBER(B1072)),C1072="",NOT(ISNUMBER(F1072)),H1072="",L1072=""),"Pflichtangaben fehlen",IF(COUNTIFS('Konten'!$A$7:$A$26,C1072)&lt;&gt;1,"Konto nicht eindeutig",IF(J1072&lt;&gt;"Ja","Zuordnung bestätigen",IF(OR(AND(H1072="Einnahme",F1072&lt;0),AND(H1072="Ausgabe",F1072&gt;0)),"Vorzeichen prüfen",IF(AND(H1072="Umbuchung",OR(K1072="",COUNTIFS($A$7:$A$1506,K1072)&lt;&gt;1)),"Gegenbuchung fehlt",IF(AND(H1072="Umbuchung",ROUND(SUMIFS($F$7:$F$1506,$A$7:$A$1506,K1072)+F1072,2)&lt;&gt;0),"Umbuchung abweichend",IF(OR(G1072="",M1072="",M1072="offen",M1072="teilbelegt",H1072="Ungeklärt",H1072="Bargeld"),"Beleg / Verwendung klären","vollständig erfasst")))))))))</x:f>
      </x:c>
    </x:row>
    <x:row r="1073" ht="22" customHeight="1">
      <x:c r="A1073" s="7"/>
      <x:c r="B1073" s="8"/>
      <x:c r="C1073" s="7"/>
      <x:c r="D1073" s="7"/>
      <x:c r="E1073" s="7"/>
      <x:c r="F1073" s="20"/>
      <x:c r="G1073" s="7"/>
      <x:c r="H1073" s="7"/>
      <x:c r="I1073" s="7"/>
      <x:c r="J1073" s="7"/>
      <x:c r="K1073" s="7"/>
      <x:c r="L1073" s="7"/>
      <x:c r="M1073" s="7"/>
      <x:c r="N1073" s="7"/>
      <x:c r="O1073" s="2" t="str">
        <x:f>IF(A1073="","",IF(COUNTIFS($A$7:$A$1506,A1073)&gt;1,"Buchung-ID doppelt",IF(OR(NOT(ISNUMBER(B1073)),C1073="",NOT(ISNUMBER(F1073)),H1073="",L1073=""),"Pflichtangaben fehlen",IF(COUNTIFS('Konten'!$A$7:$A$26,C1073)&lt;&gt;1,"Konto nicht eindeutig",IF(J1073&lt;&gt;"Ja","Zuordnung bestätigen",IF(OR(AND(H1073="Einnahme",F1073&lt;0),AND(H1073="Ausgabe",F1073&gt;0)),"Vorzeichen prüfen",IF(AND(H1073="Umbuchung",OR(K1073="",COUNTIFS($A$7:$A$1506,K1073)&lt;&gt;1)),"Gegenbuchung fehlt",IF(AND(H1073="Umbuchung",ROUND(SUMIFS($F$7:$F$1506,$A$7:$A$1506,K1073)+F1073,2)&lt;&gt;0),"Umbuchung abweichend",IF(OR(G1073="",M1073="",M1073="offen",M1073="teilbelegt",H1073="Ungeklärt",H1073="Bargeld"),"Beleg / Verwendung klären","vollständig erfasst")))))))))</x:f>
      </x:c>
    </x:row>
    <x:row r="1074" ht="22" customHeight="1">
      <x:c r="A1074" s="7"/>
      <x:c r="B1074" s="8"/>
      <x:c r="C1074" s="7"/>
      <x:c r="D1074" s="7"/>
      <x:c r="E1074" s="7"/>
      <x:c r="F1074" s="20"/>
      <x:c r="G1074" s="7"/>
      <x:c r="H1074" s="7"/>
      <x:c r="I1074" s="7"/>
      <x:c r="J1074" s="7"/>
      <x:c r="K1074" s="7"/>
      <x:c r="L1074" s="7"/>
      <x:c r="M1074" s="7"/>
      <x:c r="N1074" s="7"/>
      <x:c r="O1074" s="2" t="str">
        <x:f>IF(A1074="","",IF(COUNTIFS($A$7:$A$1506,A1074)&gt;1,"Buchung-ID doppelt",IF(OR(NOT(ISNUMBER(B1074)),C1074="",NOT(ISNUMBER(F1074)),H1074="",L1074=""),"Pflichtangaben fehlen",IF(COUNTIFS('Konten'!$A$7:$A$26,C1074)&lt;&gt;1,"Konto nicht eindeutig",IF(J1074&lt;&gt;"Ja","Zuordnung bestätigen",IF(OR(AND(H1074="Einnahme",F1074&lt;0),AND(H1074="Ausgabe",F1074&gt;0)),"Vorzeichen prüfen",IF(AND(H1074="Umbuchung",OR(K1074="",COUNTIFS($A$7:$A$1506,K1074)&lt;&gt;1)),"Gegenbuchung fehlt",IF(AND(H1074="Umbuchung",ROUND(SUMIFS($F$7:$F$1506,$A$7:$A$1506,K1074)+F1074,2)&lt;&gt;0),"Umbuchung abweichend",IF(OR(G1074="",M1074="",M1074="offen",M1074="teilbelegt",H1074="Ungeklärt",H1074="Bargeld"),"Beleg / Verwendung klären","vollständig erfasst")))))))))</x:f>
      </x:c>
    </x:row>
    <x:row r="1075" ht="22" customHeight="1">
      <x:c r="A1075" s="7"/>
      <x:c r="B1075" s="8"/>
      <x:c r="C1075" s="7"/>
      <x:c r="D1075" s="7"/>
      <x:c r="E1075" s="7"/>
      <x:c r="F1075" s="20"/>
      <x:c r="G1075" s="7"/>
      <x:c r="H1075" s="7"/>
      <x:c r="I1075" s="7"/>
      <x:c r="J1075" s="7"/>
      <x:c r="K1075" s="7"/>
      <x:c r="L1075" s="7"/>
      <x:c r="M1075" s="7"/>
      <x:c r="N1075" s="7"/>
      <x:c r="O1075" s="2" t="str">
        <x:f>IF(A1075="","",IF(COUNTIFS($A$7:$A$1506,A1075)&gt;1,"Buchung-ID doppelt",IF(OR(NOT(ISNUMBER(B1075)),C1075="",NOT(ISNUMBER(F1075)),H1075="",L1075=""),"Pflichtangaben fehlen",IF(COUNTIFS('Konten'!$A$7:$A$26,C1075)&lt;&gt;1,"Konto nicht eindeutig",IF(J1075&lt;&gt;"Ja","Zuordnung bestätigen",IF(OR(AND(H1075="Einnahme",F1075&lt;0),AND(H1075="Ausgabe",F1075&gt;0)),"Vorzeichen prüfen",IF(AND(H1075="Umbuchung",OR(K1075="",COUNTIFS($A$7:$A$1506,K1075)&lt;&gt;1)),"Gegenbuchung fehlt",IF(AND(H1075="Umbuchung",ROUND(SUMIFS($F$7:$F$1506,$A$7:$A$1506,K1075)+F1075,2)&lt;&gt;0),"Umbuchung abweichend",IF(OR(G1075="",M1075="",M1075="offen",M1075="teilbelegt",H1075="Ungeklärt",H1075="Bargeld"),"Beleg / Verwendung klären","vollständig erfasst")))))))))</x:f>
      </x:c>
    </x:row>
    <x:row r="1076" ht="22" customHeight="1">
      <x:c r="A1076" s="7"/>
      <x:c r="B1076" s="8"/>
      <x:c r="C1076" s="7"/>
      <x:c r="D1076" s="7"/>
      <x:c r="E1076" s="7"/>
      <x:c r="F1076" s="20"/>
      <x:c r="G1076" s="7"/>
      <x:c r="H1076" s="7"/>
      <x:c r="I1076" s="7"/>
      <x:c r="J1076" s="7"/>
      <x:c r="K1076" s="7"/>
      <x:c r="L1076" s="7"/>
      <x:c r="M1076" s="7"/>
      <x:c r="N1076" s="7"/>
      <x:c r="O1076" s="2" t="str">
        <x:f>IF(A1076="","",IF(COUNTIFS($A$7:$A$1506,A1076)&gt;1,"Buchung-ID doppelt",IF(OR(NOT(ISNUMBER(B1076)),C1076="",NOT(ISNUMBER(F1076)),H1076="",L1076=""),"Pflichtangaben fehlen",IF(COUNTIFS('Konten'!$A$7:$A$26,C1076)&lt;&gt;1,"Konto nicht eindeutig",IF(J1076&lt;&gt;"Ja","Zuordnung bestätigen",IF(OR(AND(H1076="Einnahme",F1076&lt;0),AND(H1076="Ausgabe",F1076&gt;0)),"Vorzeichen prüfen",IF(AND(H1076="Umbuchung",OR(K1076="",COUNTIFS($A$7:$A$1506,K1076)&lt;&gt;1)),"Gegenbuchung fehlt",IF(AND(H1076="Umbuchung",ROUND(SUMIFS($F$7:$F$1506,$A$7:$A$1506,K1076)+F1076,2)&lt;&gt;0),"Umbuchung abweichend",IF(OR(G1076="",M1076="",M1076="offen",M1076="teilbelegt",H1076="Ungeklärt",H1076="Bargeld"),"Beleg / Verwendung klären","vollständig erfasst")))))))))</x:f>
      </x:c>
    </x:row>
    <x:row r="1077" ht="22" customHeight="1">
      <x:c r="A1077" s="7"/>
      <x:c r="B1077" s="8"/>
      <x:c r="C1077" s="7"/>
      <x:c r="D1077" s="7"/>
      <x:c r="E1077" s="7"/>
      <x:c r="F1077" s="20"/>
      <x:c r="G1077" s="7"/>
      <x:c r="H1077" s="7"/>
      <x:c r="I1077" s="7"/>
      <x:c r="J1077" s="7"/>
      <x:c r="K1077" s="7"/>
      <x:c r="L1077" s="7"/>
      <x:c r="M1077" s="7"/>
      <x:c r="N1077" s="7"/>
      <x:c r="O1077" s="2" t="str">
        <x:f>IF(A1077="","",IF(COUNTIFS($A$7:$A$1506,A1077)&gt;1,"Buchung-ID doppelt",IF(OR(NOT(ISNUMBER(B1077)),C1077="",NOT(ISNUMBER(F1077)),H1077="",L1077=""),"Pflichtangaben fehlen",IF(COUNTIFS('Konten'!$A$7:$A$26,C1077)&lt;&gt;1,"Konto nicht eindeutig",IF(J1077&lt;&gt;"Ja","Zuordnung bestätigen",IF(OR(AND(H1077="Einnahme",F1077&lt;0),AND(H1077="Ausgabe",F1077&gt;0)),"Vorzeichen prüfen",IF(AND(H1077="Umbuchung",OR(K1077="",COUNTIFS($A$7:$A$1506,K1077)&lt;&gt;1)),"Gegenbuchung fehlt",IF(AND(H1077="Umbuchung",ROUND(SUMIFS($F$7:$F$1506,$A$7:$A$1506,K1077)+F1077,2)&lt;&gt;0),"Umbuchung abweichend",IF(OR(G1077="",M1077="",M1077="offen",M1077="teilbelegt",H1077="Ungeklärt",H1077="Bargeld"),"Beleg / Verwendung klären","vollständig erfasst")))))))))</x:f>
      </x:c>
    </x:row>
    <x:row r="1078" ht="22" customHeight="1">
      <x:c r="A1078" s="7"/>
      <x:c r="B1078" s="8"/>
      <x:c r="C1078" s="7"/>
      <x:c r="D1078" s="7"/>
      <x:c r="E1078" s="7"/>
      <x:c r="F1078" s="20"/>
      <x:c r="G1078" s="7"/>
      <x:c r="H1078" s="7"/>
      <x:c r="I1078" s="7"/>
      <x:c r="J1078" s="7"/>
      <x:c r="K1078" s="7"/>
      <x:c r="L1078" s="7"/>
      <x:c r="M1078" s="7"/>
      <x:c r="N1078" s="7"/>
      <x:c r="O1078" s="2" t="str">
        <x:f>IF(A1078="","",IF(COUNTIFS($A$7:$A$1506,A1078)&gt;1,"Buchung-ID doppelt",IF(OR(NOT(ISNUMBER(B1078)),C1078="",NOT(ISNUMBER(F1078)),H1078="",L1078=""),"Pflichtangaben fehlen",IF(COUNTIFS('Konten'!$A$7:$A$26,C1078)&lt;&gt;1,"Konto nicht eindeutig",IF(J1078&lt;&gt;"Ja","Zuordnung bestätigen",IF(OR(AND(H1078="Einnahme",F1078&lt;0),AND(H1078="Ausgabe",F1078&gt;0)),"Vorzeichen prüfen",IF(AND(H1078="Umbuchung",OR(K1078="",COUNTIFS($A$7:$A$1506,K1078)&lt;&gt;1)),"Gegenbuchung fehlt",IF(AND(H1078="Umbuchung",ROUND(SUMIFS($F$7:$F$1506,$A$7:$A$1506,K1078)+F1078,2)&lt;&gt;0),"Umbuchung abweichend",IF(OR(G1078="",M1078="",M1078="offen",M1078="teilbelegt",H1078="Ungeklärt",H1078="Bargeld"),"Beleg / Verwendung klären","vollständig erfasst")))))))))</x:f>
      </x:c>
    </x:row>
    <x:row r="1079" ht="22" customHeight="1">
      <x:c r="A1079" s="7"/>
      <x:c r="B1079" s="8"/>
      <x:c r="C1079" s="7"/>
      <x:c r="D1079" s="7"/>
      <x:c r="E1079" s="7"/>
      <x:c r="F1079" s="20"/>
      <x:c r="G1079" s="7"/>
      <x:c r="H1079" s="7"/>
      <x:c r="I1079" s="7"/>
      <x:c r="J1079" s="7"/>
      <x:c r="K1079" s="7"/>
      <x:c r="L1079" s="7"/>
      <x:c r="M1079" s="7"/>
      <x:c r="N1079" s="7"/>
      <x:c r="O1079" s="2" t="str">
        <x:f>IF(A1079="","",IF(COUNTIFS($A$7:$A$1506,A1079)&gt;1,"Buchung-ID doppelt",IF(OR(NOT(ISNUMBER(B1079)),C1079="",NOT(ISNUMBER(F1079)),H1079="",L1079=""),"Pflichtangaben fehlen",IF(COUNTIFS('Konten'!$A$7:$A$26,C1079)&lt;&gt;1,"Konto nicht eindeutig",IF(J1079&lt;&gt;"Ja","Zuordnung bestätigen",IF(OR(AND(H1079="Einnahme",F1079&lt;0),AND(H1079="Ausgabe",F1079&gt;0)),"Vorzeichen prüfen",IF(AND(H1079="Umbuchung",OR(K1079="",COUNTIFS($A$7:$A$1506,K1079)&lt;&gt;1)),"Gegenbuchung fehlt",IF(AND(H1079="Umbuchung",ROUND(SUMIFS($F$7:$F$1506,$A$7:$A$1506,K1079)+F1079,2)&lt;&gt;0),"Umbuchung abweichend",IF(OR(G1079="",M1079="",M1079="offen",M1079="teilbelegt",H1079="Ungeklärt",H1079="Bargeld"),"Beleg / Verwendung klären","vollständig erfasst")))))))))</x:f>
      </x:c>
    </x:row>
    <x:row r="1080" ht="22" customHeight="1">
      <x:c r="A1080" s="7"/>
      <x:c r="B1080" s="8"/>
      <x:c r="C1080" s="7"/>
      <x:c r="D1080" s="7"/>
      <x:c r="E1080" s="7"/>
      <x:c r="F1080" s="20"/>
      <x:c r="G1080" s="7"/>
      <x:c r="H1080" s="7"/>
      <x:c r="I1080" s="7"/>
      <x:c r="J1080" s="7"/>
      <x:c r="K1080" s="7"/>
      <x:c r="L1080" s="7"/>
      <x:c r="M1080" s="7"/>
      <x:c r="N1080" s="7"/>
      <x:c r="O1080" s="2" t="str">
        <x:f>IF(A1080="","",IF(COUNTIFS($A$7:$A$1506,A1080)&gt;1,"Buchung-ID doppelt",IF(OR(NOT(ISNUMBER(B1080)),C1080="",NOT(ISNUMBER(F1080)),H1080="",L1080=""),"Pflichtangaben fehlen",IF(COUNTIFS('Konten'!$A$7:$A$26,C1080)&lt;&gt;1,"Konto nicht eindeutig",IF(J1080&lt;&gt;"Ja","Zuordnung bestätigen",IF(OR(AND(H1080="Einnahme",F1080&lt;0),AND(H1080="Ausgabe",F1080&gt;0)),"Vorzeichen prüfen",IF(AND(H1080="Umbuchung",OR(K1080="",COUNTIFS($A$7:$A$1506,K1080)&lt;&gt;1)),"Gegenbuchung fehlt",IF(AND(H1080="Umbuchung",ROUND(SUMIFS($F$7:$F$1506,$A$7:$A$1506,K1080)+F1080,2)&lt;&gt;0),"Umbuchung abweichend",IF(OR(G1080="",M1080="",M1080="offen",M1080="teilbelegt",H1080="Ungeklärt",H1080="Bargeld"),"Beleg / Verwendung klären","vollständig erfasst")))))))))</x:f>
      </x:c>
    </x:row>
    <x:row r="1081" ht="22" customHeight="1">
      <x:c r="A1081" s="7"/>
      <x:c r="B1081" s="8"/>
      <x:c r="C1081" s="7"/>
      <x:c r="D1081" s="7"/>
      <x:c r="E1081" s="7"/>
      <x:c r="F1081" s="20"/>
      <x:c r="G1081" s="7"/>
      <x:c r="H1081" s="7"/>
      <x:c r="I1081" s="7"/>
      <x:c r="J1081" s="7"/>
      <x:c r="K1081" s="7"/>
      <x:c r="L1081" s="7"/>
      <x:c r="M1081" s="7"/>
      <x:c r="N1081" s="7"/>
      <x:c r="O1081" s="2" t="str">
        <x:f>IF(A1081="","",IF(COUNTIFS($A$7:$A$1506,A1081)&gt;1,"Buchung-ID doppelt",IF(OR(NOT(ISNUMBER(B1081)),C1081="",NOT(ISNUMBER(F1081)),H1081="",L1081=""),"Pflichtangaben fehlen",IF(COUNTIFS('Konten'!$A$7:$A$26,C1081)&lt;&gt;1,"Konto nicht eindeutig",IF(J1081&lt;&gt;"Ja","Zuordnung bestätigen",IF(OR(AND(H1081="Einnahme",F1081&lt;0),AND(H1081="Ausgabe",F1081&gt;0)),"Vorzeichen prüfen",IF(AND(H1081="Umbuchung",OR(K1081="",COUNTIFS($A$7:$A$1506,K1081)&lt;&gt;1)),"Gegenbuchung fehlt",IF(AND(H1081="Umbuchung",ROUND(SUMIFS($F$7:$F$1506,$A$7:$A$1506,K1081)+F1081,2)&lt;&gt;0),"Umbuchung abweichend",IF(OR(G1081="",M1081="",M1081="offen",M1081="teilbelegt",H1081="Ungeklärt",H1081="Bargeld"),"Beleg / Verwendung klären","vollständig erfasst")))))))))</x:f>
      </x:c>
    </x:row>
    <x:row r="1082" ht="22" customHeight="1">
      <x:c r="A1082" s="7"/>
      <x:c r="B1082" s="8"/>
      <x:c r="C1082" s="7"/>
      <x:c r="D1082" s="7"/>
      <x:c r="E1082" s="7"/>
      <x:c r="F1082" s="20"/>
      <x:c r="G1082" s="7"/>
      <x:c r="H1082" s="7"/>
      <x:c r="I1082" s="7"/>
      <x:c r="J1082" s="7"/>
      <x:c r="K1082" s="7"/>
      <x:c r="L1082" s="7"/>
      <x:c r="M1082" s="7"/>
      <x:c r="N1082" s="7"/>
      <x:c r="O1082" s="2" t="str">
        <x:f>IF(A1082="","",IF(COUNTIFS($A$7:$A$1506,A1082)&gt;1,"Buchung-ID doppelt",IF(OR(NOT(ISNUMBER(B1082)),C1082="",NOT(ISNUMBER(F1082)),H1082="",L1082=""),"Pflichtangaben fehlen",IF(COUNTIFS('Konten'!$A$7:$A$26,C1082)&lt;&gt;1,"Konto nicht eindeutig",IF(J1082&lt;&gt;"Ja","Zuordnung bestätigen",IF(OR(AND(H1082="Einnahme",F1082&lt;0),AND(H1082="Ausgabe",F1082&gt;0)),"Vorzeichen prüfen",IF(AND(H1082="Umbuchung",OR(K1082="",COUNTIFS($A$7:$A$1506,K1082)&lt;&gt;1)),"Gegenbuchung fehlt",IF(AND(H1082="Umbuchung",ROUND(SUMIFS($F$7:$F$1506,$A$7:$A$1506,K1082)+F1082,2)&lt;&gt;0),"Umbuchung abweichend",IF(OR(G1082="",M1082="",M1082="offen",M1082="teilbelegt",H1082="Ungeklärt",H1082="Bargeld"),"Beleg / Verwendung klären","vollständig erfasst")))))))))</x:f>
      </x:c>
    </x:row>
    <x:row r="1083" ht="22" customHeight="1">
      <x:c r="A1083" s="7"/>
      <x:c r="B1083" s="8"/>
      <x:c r="C1083" s="7"/>
      <x:c r="D1083" s="7"/>
      <x:c r="E1083" s="7"/>
      <x:c r="F1083" s="20"/>
      <x:c r="G1083" s="7"/>
      <x:c r="H1083" s="7"/>
      <x:c r="I1083" s="7"/>
      <x:c r="J1083" s="7"/>
      <x:c r="K1083" s="7"/>
      <x:c r="L1083" s="7"/>
      <x:c r="M1083" s="7"/>
      <x:c r="N1083" s="7"/>
      <x:c r="O1083" s="2" t="str">
        <x:f>IF(A1083="","",IF(COUNTIFS($A$7:$A$1506,A1083)&gt;1,"Buchung-ID doppelt",IF(OR(NOT(ISNUMBER(B1083)),C1083="",NOT(ISNUMBER(F1083)),H1083="",L1083=""),"Pflichtangaben fehlen",IF(COUNTIFS('Konten'!$A$7:$A$26,C1083)&lt;&gt;1,"Konto nicht eindeutig",IF(J1083&lt;&gt;"Ja","Zuordnung bestätigen",IF(OR(AND(H1083="Einnahme",F1083&lt;0),AND(H1083="Ausgabe",F1083&gt;0)),"Vorzeichen prüfen",IF(AND(H1083="Umbuchung",OR(K1083="",COUNTIFS($A$7:$A$1506,K1083)&lt;&gt;1)),"Gegenbuchung fehlt",IF(AND(H1083="Umbuchung",ROUND(SUMIFS($F$7:$F$1506,$A$7:$A$1506,K1083)+F1083,2)&lt;&gt;0),"Umbuchung abweichend",IF(OR(G1083="",M1083="",M1083="offen",M1083="teilbelegt",H1083="Ungeklärt",H1083="Bargeld"),"Beleg / Verwendung klären","vollständig erfasst")))))))))</x:f>
      </x:c>
    </x:row>
    <x:row r="1084" ht="22" customHeight="1">
      <x:c r="A1084" s="7"/>
      <x:c r="B1084" s="8"/>
      <x:c r="C1084" s="7"/>
      <x:c r="D1084" s="7"/>
      <x:c r="E1084" s="7"/>
      <x:c r="F1084" s="20"/>
      <x:c r="G1084" s="7"/>
      <x:c r="H1084" s="7"/>
      <x:c r="I1084" s="7"/>
      <x:c r="J1084" s="7"/>
      <x:c r="K1084" s="7"/>
      <x:c r="L1084" s="7"/>
      <x:c r="M1084" s="7"/>
      <x:c r="N1084" s="7"/>
      <x:c r="O1084" s="2" t="str">
        <x:f>IF(A1084="","",IF(COUNTIFS($A$7:$A$1506,A1084)&gt;1,"Buchung-ID doppelt",IF(OR(NOT(ISNUMBER(B1084)),C1084="",NOT(ISNUMBER(F1084)),H1084="",L1084=""),"Pflichtangaben fehlen",IF(COUNTIFS('Konten'!$A$7:$A$26,C1084)&lt;&gt;1,"Konto nicht eindeutig",IF(J1084&lt;&gt;"Ja","Zuordnung bestätigen",IF(OR(AND(H1084="Einnahme",F1084&lt;0),AND(H1084="Ausgabe",F1084&gt;0)),"Vorzeichen prüfen",IF(AND(H1084="Umbuchung",OR(K1084="",COUNTIFS($A$7:$A$1506,K1084)&lt;&gt;1)),"Gegenbuchung fehlt",IF(AND(H1084="Umbuchung",ROUND(SUMIFS($F$7:$F$1506,$A$7:$A$1506,K1084)+F1084,2)&lt;&gt;0),"Umbuchung abweichend",IF(OR(G1084="",M1084="",M1084="offen",M1084="teilbelegt",H1084="Ungeklärt",H1084="Bargeld"),"Beleg / Verwendung klären","vollständig erfasst")))))))))</x:f>
      </x:c>
    </x:row>
    <x:row r="1085" ht="22" customHeight="1">
      <x:c r="A1085" s="7"/>
      <x:c r="B1085" s="8"/>
      <x:c r="C1085" s="7"/>
      <x:c r="D1085" s="7"/>
      <x:c r="E1085" s="7"/>
      <x:c r="F1085" s="20"/>
      <x:c r="G1085" s="7"/>
      <x:c r="H1085" s="7"/>
      <x:c r="I1085" s="7"/>
      <x:c r="J1085" s="7"/>
      <x:c r="K1085" s="7"/>
      <x:c r="L1085" s="7"/>
      <x:c r="M1085" s="7"/>
      <x:c r="N1085" s="7"/>
      <x:c r="O1085" s="2" t="str">
        <x:f>IF(A1085="","",IF(COUNTIFS($A$7:$A$1506,A1085)&gt;1,"Buchung-ID doppelt",IF(OR(NOT(ISNUMBER(B1085)),C1085="",NOT(ISNUMBER(F1085)),H1085="",L1085=""),"Pflichtangaben fehlen",IF(COUNTIFS('Konten'!$A$7:$A$26,C1085)&lt;&gt;1,"Konto nicht eindeutig",IF(J1085&lt;&gt;"Ja","Zuordnung bestätigen",IF(OR(AND(H1085="Einnahme",F1085&lt;0),AND(H1085="Ausgabe",F1085&gt;0)),"Vorzeichen prüfen",IF(AND(H1085="Umbuchung",OR(K1085="",COUNTIFS($A$7:$A$1506,K1085)&lt;&gt;1)),"Gegenbuchung fehlt",IF(AND(H1085="Umbuchung",ROUND(SUMIFS($F$7:$F$1506,$A$7:$A$1506,K1085)+F1085,2)&lt;&gt;0),"Umbuchung abweichend",IF(OR(G1085="",M1085="",M1085="offen",M1085="teilbelegt",H1085="Ungeklärt",H1085="Bargeld"),"Beleg / Verwendung klären","vollständig erfasst")))))))))</x:f>
      </x:c>
    </x:row>
    <x:row r="1086" ht="22" customHeight="1">
      <x:c r="A1086" s="7"/>
      <x:c r="B1086" s="8"/>
      <x:c r="C1086" s="7"/>
      <x:c r="D1086" s="7"/>
      <x:c r="E1086" s="7"/>
      <x:c r="F1086" s="20"/>
      <x:c r="G1086" s="7"/>
      <x:c r="H1086" s="7"/>
      <x:c r="I1086" s="7"/>
      <x:c r="J1086" s="7"/>
      <x:c r="K1086" s="7"/>
      <x:c r="L1086" s="7"/>
      <x:c r="M1086" s="7"/>
      <x:c r="N1086" s="7"/>
      <x:c r="O1086" s="2" t="str">
        <x:f>IF(A1086="","",IF(COUNTIFS($A$7:$A$1506,A1086)&gt;1,"Buchung-ID doppelt",IF(OR(NOT(ISNUMBER(B1086)),C1086="",NOT(ISNUMBER(F1086)),H1086="",L1086=""),"Pflichtangaben fehlen",IF(COUNTIFS('Konten'!$A$7:$A$26,C1086)&lt;&gt;1,"Konto nicht eindeutig",IF(J1086&lt;&gt;"Ja","Zuordnung bestätigen",IF(OR(AND(H1086="Einnahme",F1086&lt;0),AND(H1086="Ausgabe",F1086&gt;0)),"Vorzeichen prüfen",IF(AND(H1086="Umbuchung",OR(K1086="",COUNTIFS($A$7:$A$1506,K1086)&lt;&gt;1)),"Gegenbuchung fehlt",IF(AND(H1086="Umbuchung",ROUND(SUMIFS($F$7:$F$1506,$A$7:$A$1506,K1086)+F1086,2)&lt;&gt;0),"Umbuchung abweichend",IF(OR(G1086="",M1086="",M1086="offen",M1086="teilbelegt",H1086="Ungeklärt",H1086="Bargeld"),"Beleg / Verwendung klären","vollständig erfasst")))))))))</x:f>
      </x:c>
    </x:row>
    <x:row r="1087" ht="22" customHeight="1">
      <x:c r="A1087" s="7"/>
      <x:c r="B1087" s="8"/>
      <x:c r="C1087" s="7"/>
      <x:c r="D1087" s="7"/>
      <x:c r="E1087" s="7"/>
      <x:c r="F1087" s="20"/>
      <x:c r="G1087" s="7"/>
      <x:c r="H1087" s="7"/>
      <x:c r="I1087" s="7"/>
      <x:c r="J1087" s="7"/>
      <x:c r="K1087" s="7"/>
      <x:c r="L1087" s="7"/>
      <x:c r="M1087" s="7"/>
      <x:c r="N1087" s="7"/>
      <x:c r="O1087" s="2" t="str">
        <x:f>IF(A1087="","",IF(COUNTIFS($A$7:$A$1506,A1087)&gt;1,"Buchung-ID doppelt",IF(OR(NOT(ISNUMBER(B1087)),C1087="",NOT(ISNUMBER(F1087)),H1087="",L1087=""),"Pflichtangaben fehlen",IF(COUNTIFS('Konten'!$A$7:$A$26,C1087)&lt;&gt;1,"Konto nicht eindeutig",IF(J1087&lt;&gt;"Ja","Zuordnung bestätigen",IF(OR(AND(H1087="Einnahme",F1087&lt;0),AND(H1087="Ausgabe",F1087&gt;0)),"Vorzeichen prüfen",IF(AND(H1087="Umbuchung",OR(K1087="",COUNTIFS($A$7:$A$1506,K1087)&lt;&gt;1)),"Gegenbuchung fehlt",IF(AND(H1087="Umbuchung",ROUND(SUMIFS($F$7:$F$1506,$A$7:$A$1506,K1087)+F1087,2)&lt;&gt;0),"Umbuchung abweichend",IF(OR(G1087="",M1087="",M1087="offen",M1087="teilbelegt",H1087="Ungeklärt",H1087="Bargeld"),"Beleg / Verwendung klären","vollständig erfasst")))))))))</x:f>
      </x:c>
    </x:row>
    <x:row r="1088" ht="22" customHeight="1">
      <x:c r="A1088" s="7"/>
      <x:c r="B1088" s="8"/>
      <x:c r="C1088" s="7"/>
      <x:c r="D1088" s="7"/>
      <x:c r="E1088" s="7"/>
      <x:c r="F1088" s="20"/>
      <x:c r="G1088" s="7"/>
      <x:c r="H1088" s="7"/>
      <x:c r="I1088" s="7"/>
      <x:c r="J1088" s="7"/>
      <x:c r="K1088" s="7"/>
      <x:c r="L1088" s="7"/>
      <x:c r="M1088" s="7"/>
      <x:c r="N1088" s="7"/>
      <x:c r="O1088" s="2" t="str">
        <x:f>IF(A1088="","",IF(COUNTIFS($A$7:$A$1506,A1088)&gt;1,"Buchung-ID doppelt",IF(OR(NOT(ISNUMBER(B1088)),C1088="",NOT(ISNUMBER(F1088)),H1088="",L1088=""),"Pflichtangaben fehlen",IF(COUNTIFS('Konten'!$A$7:$A$26,C1088)&lt;&gt;1,"Konto nicht eindeutig",IF(J1088&lt;&gt;"Ja","Zuordnung bestätigen",IF(OR(AND(H1088="Einnahme",F1088&lt;0),AND(H1088="Ausgabe",F1088&gt;0)),"Vorzeichen prüfen",IF(AND(H1088="Umbuchung",OR(K1088="",COUNTIFS($A$7:$A$1506,K1088)&lt;&gt;1)),"Gegenbuchung fehlt",IF(AND(H1088="Umbuchung",ROUND(SUMIFS($F$7:$F$1506,$A$7:$A$1506,K1088)+F1088,2)&lt;&gt;0),"Umbuchung abweichend",IF(OR(G1088="",M1088="",M1088="offen",M1088="teilbelegt",H1088="Ungeklärt",H1088="Bargeld"),"Beleg / Verwendung klären","vollständig erfasst")))))))))</x:f>
      </x:c>
    </x:row>
    <x:row r="1089" ht="22" customHeight="1">
      <x:c r="A1089" s="7"/>
      <x:c r="B1089" s="8"/>
      <x:c r="C1089" s="7"/>
      <x:c r="D1089" s="7"/>
      <x:c r="E1089" s="7"/>
      <x:c r="F1089" s="20"/>
      <x:c r="G1089" s="7"/>
      <x:c r="H1089" s="7"/>
      <x:c r="I1089" s="7"/>
      <x:c r="J1089" s="7"/>
      <x:c r="K1089" s="7"/>
      <x:c r="L1089" s="7"/>
      <x:c r="M1089" s="7"/>
      <x:c r="N1089" s="7"/>
      <x:c r="O1089" s="2" t="str">
        <x:f>IF(A1089="","",IF(COUNTIFS($A$7:$A$1506,A1089)&gt;1,"Buchung-ID doppelt",IF(OR(NOT(ISNUMBER(B1089)),C1089="",NOT(ISNUMBER(F1089)),H1089="",L1089=""),"Pflichtangaben fehlen",IF(COUNTIFS('Konten'!$A$7:$A$26,C1089)&lt;&gt;1,"Konto nicht eindeutig",IF(J1089&lt;&gt;"Ja","Zuordnung bestätigen",IF(OR(AND(H1089="Einnahme",F1089&lt;0),AND(H1089="Ausgabe",F1089&gt;0)),"Vorzeichen prüfen",IF(AND(H1089="Umbuchung",OR(K1089="",COUNTIFS($A$7:$A$1506,K1089)&lt;&gt;1)),"Gegenbuchung fehlt",IF(AND(H1089="Umbuchung",ROUND(SUMIFS($F$7:$F$1506,$A$7:$A$1506,K1089)+F1089,2)&lt;&gt;0),"Umbuchung abweichend",IF(OR(G1089="",M1089="",M1089="offen",M1089="teilbelegt",H1089="Ungeklärt",H1089="Bargeld"),"Beleg / Verwendung klären","vollständig erfasst")))))))))</x:f>
      </x:c>
    </x:row>
    <x:row r="1090" ht="22" customHeight="1">
      <x:c r="A1090" s="7"/>
      <x:c r="B1090" s="8"/>
      <x:c r="C1090" s="7"/>
      <x:c r="D1090" s="7"/>
      <x:c r="E1090" s="7"/>
      <x:c r="F1090" s="20"/>
      <x:c r="G1090" s="7"/>
      <x:c r="H1090" s="7"/>
      <x:c r="I1090" s="7"/>
      <x:c r="J1090" s="7"/>
      <x:c r="K1090" s="7"/>
      <x:c r="L1090" s="7"/>
      <x:c r="M1090" s="7"/>
      <x:c r="N1090" s="7"/>
      <x:c r="O1090" s="2" t="str">
        <x:f>IF(A1090="","",IF(COUNTIFS($A$7:$A$1506,A1090)&gt;1,"Buchung-ID doppelt",IF(OR(NOT(ISNUMBER(B1090)),C1090="",NOT(ISNUMBER(F1090)),H1090="",L1090=""),"Pflichtangaben fehlen",IF(COUNTIFS('Konten'!$A$7:$A$26,C1090)&lt;&gt;1,"Konto nicht eindeutig",IF(J1090&lt;&gt;"Ja","Zuordnung bestätigen",IF(OR(AND(H1090="Einnahme",F1090&lt;0),AND(H1090="Ausgabe",F1090&gt;0)),"Vorzeichen prüfen",IF(AND(H1090="Umbuchung",OR(K1090="",COUNTIFS($A$7:$A$1506,K1090)&lt;&gt;1)),"Gegenbuchung fehlt",IF(AND(H1090="Umbuchung",ROUND(SUMIFS($F$7:$F$1506,$A$7:$A$1506,K1090)+F1090,2)&lt;&gt;0),"Umbuchung abweichend",IF(OR(G1090="",M1090="",M1090="offen",M1090="teilbelegt",H1090="Ungeklärt",H1090="Bargeld"),"Beleg / Verwendung klären","vollständig erfasst")))))))))</x:f>
      </x:c>
    </x:row>
    <x:row r="1091" ht="22" customHeight="1">
      <x:c r="A1091" s="7"/>
      <x:c r="B1091" s="8"/>
      <x:c r="C1091" s="7"/>
      <x:c r="D1091" s="7"/>
      <x:c r="E1091" s="7"/>
      <x:c r="F1091" s="20"/>
      <x:c r="G1091" s="7"/>
      <x:c r="H1091" s="7"/>
      <x:c r="I1091" s="7"/>
      <x:c r="J1091" s="7"/>
      <x:c r="K1091" s="7"/>
      <x:c r="L1091" s="7"/>
      <x:c r="M1091" s="7"/>
      <x:c r="N1091" s="7"/>
      <x:c r="O1091" s="2" t="str">
        <x:f>IF(A1091="","",IF(COUNTIFS($A$7:$A$1506,A1091)&gt;1,"Buchung-ID doppelt",IF(OR(NOT(ISNUMBER(B1091)),C1091="",NOT(ISNUMBER(F1091)),H1091="",L1091=""),"Pflichtangaben fehlen",IF(COUNTIFS('Konten'!$A$7:$A$26,C1091)&lt;&gt;1,"Konto nicht eindeutig",IF(J1091&lt;&gt;"Ja","Zuordnung bestätigen",IF(OR(AND(H1091="Einnahme",F1091&lt;0),AND(H1091="Ausgabe",F1091&gt;0)),"Vorzeichen prüfen",IF(AND(H1091="Umbuchung",OR(K1091="",COUNTIFS($A$7:$A$1506,K1091)&lt;&gt;1)),"Gegenbuchung fehlt",IF(AND(H1091="Umbuchung",ROUND(SUMIFS($F$7:$F$1506,$A$7:$A$1506,K1091)+F1091,2)&lt;&gt;0),"Umbuchung abweichend",IF(OR(G1091="",M1091="",M1091="offen",M1091="teilbelegt",H1091="Ungeklärt",H1091="Bargeld"),"Beleg / Verwendung klären","vollständig erfasst")))))))))</x:f>
      </x:c>
    </x:row>
    <x:row r="1092" ht="22" customHeight="1">
      <x:c r="A1092" s="7"/>
      <x:c r="B1092" s="8"/>
      <x:c r="C1092" s="7"/>
      <x:c r="D1092" s="7"/>
      <x:c r="E1092" s="7"/>
      <x:c r="F1092" s="20"/>
      <x:c r="G1092" s="7"/>
      <x:c r="H1092" s="7"/>
      <x:c r="I1092" s="7"/>
      <x:c r="J1092" s="7"/>
      <x:c r="K1092" s="7"/>
      <x:c r="L1092" s="7"/>
      <x:c r="M1092" s="7"/>
      <x:c r="N1092" s="7"/>
      <x:c r="O1092" s="2" t="str">
        <x:f>IF(A1092="","",IF(COUNTIFS($A$7:$A$1506,A1092)&gt;1,"Buchung-ID doppelt",IF(OR(NOT(ISNUMBER(B1092)),C1092="",NOT(ISNUMBER(F1092)),H1092="",L1092=""),"Pflichtangaben fehlen",IF(COUNTIFS('Konten'!$A$7:$A$26,C1092)&lt;&gt;1,"Konto nicht eindeutig",IF(J1092&lt;&gt;"Ja","Zuordnung bestätigen",IF(OR(AND(H1092="Einnahme",F1092&lt;0),AND(H1092="Ausgabe",F1092&gt;0)),"Vorzeichen prüfen",IF(AND(H1092="Umbuchung",OR(K1092="",COUNTIFS($A$7:$A$1506,K1092)&lt;&gt;1)),"Gegenbuchung fehlt",IF(AND(H1092="Umbuchung",ROUND(SUMIFS($F$7:$F$1506,$A$7:$A$1506,K1092)+F1092,2)&lt;&gt;0),"Umbuchung abweichend",IF(OR(G1092="",M1092="",M1092="offen",M1092="teilbelegt",H1092="Ungeklärt",H1092="Bargeld"),"Beleg / Verwendung klären","vollständig erfasst")))))))))</x:f>
      </x:c>
    </x:row>
    <x:row r="1093" ht="22" customHeight="1">
      <x:c r="A1093" s="7"/>
      <x:c r="B1093" s="8"/>
      <x:c r="C1093" s="7"/>
      <x:c r="D1093" s="7"/>
      <x:c r="E1093" s="7"/>
      <x:c r="F1093" s="20"/>
      <x:c r="G1093" s="7"/>
      <x:c r="H1093" s="7"/>
      <x:c r="I1093" s="7"/>
      <x:c r="J1093" s="7"/>
      <x:c r="K1093" s="7"/>
      <x:c r="L1093" s="7"/>
      <x:c r="M1093" s="7"/>
      <x:c r="N1093" s="7"/>
      <x:c r="O1093" s="2" t="str">
        <x:f>IF(A1093="","",IF(COUNTIFS($A$7:$A$1506,A1093)&gt;1,"Buchung-ID doppelt",IF(OR(NOT(ISNUMBER(B1093)),C1093="",NOT(ISNUMBER(F1093)),H1093="",L1093=""),"Pflichtangaben fehlen",IF(COUNTIFS('Konten'!$A$7:$A$26,C1093)&lt;&gt;1,"Konto nicht eindeutig",IF(J1093&lt;&gt;"Ja","Zuordnung bestätigen",IF(OR(AND(H1093="Einnahme",F1093&lt;0),AND(H1093="Ausgabe",F1093&gt;0)),"Vorzeichen prüfen",IF(AND(H1093="Umbuchung",OR(K1093="",COUNTIFS($A$7:$A$1506,K1093)&lt;&gt;1)),"Gegenbuchung fehlt",IF(AND(H1093="Umbuchung",ROUND(SUMIFS($F$7:$F$1506,$A$7:$A$1506,K1093)+F1093,2)&lt;&gt;0),"Umbuchung abweichend",IF(OR(G1093="",M1093="",M1093="offen",M1093="teilbelegt",H1093="Ungeklärt",H1093="Bargeld"),"Beleg / Verwendung klären","vollständig erfasst")))))))))</x:f>
      </x:c>
    </x:row>
    <x:row r="1094" ht="22" customHeight="1">
      <x:c r="A1094" s="7"/>
      <x:c r="B1094" s="8"/>
      <x:c r="C1094" s="7"/>
      <x:c r="D1094" s="7"/>
      <x:c r="E1094" s="7"/>
      <x:c r="F1094" s="20"/>
      <x:c r="G1094" s="7"/>
      <x:c r="H1094" s="7"/>
      <x:c r="I1094" s="7"/>
      <x:c r="J1094" s="7"/>
      <x:c r="K1094" s="7"/>
      <x:c r="L1094" s="7"/>
      <x:c r="M1094" s="7"/>
      <x:c r="N1094" s="7"/>
      <x:c r="O1094" s="2" t="str">
        <x:f>IF(A1094="","",IF(COUNTIFS($A$7:$A$1506,A1094)&gt;1,"Buchung-ID doppelt",IF(OR(NOT(ISNUMBER(B1094)),C1094="",NOT(ISNUMBER(F1094)),H1094="",L1094=""),"Pflichtangaben fehlen",IF(COUNTIFS('Konten'!$A$7:$A$26,C1094)&lt;&gt;1,"Konto nicht eindeutig",IF(J1094&lt;&gt;"Ja","Zuordnung bestätigen",IF(OR(AND(H1094="Einnahme",F1094&lt;0),AND(H1094="Ausgabe",F1094&gt;0)),"Vorzeichen prüfen",IF(AND(H1094="Umbuchung",OR(K1094="",COUNTIFS($A$7:$A$1506,K1094)&lt;&gt;1)),"Gegenbuchung fehlt",IF(AND(H1094="Umbuchung",ROUND(SUMIFS($F$7:$F$1506,$A$7:$A$1506,K1094)+F1094,2)&lt;&gt;0),"Umbuchung abweichend",IF(OR(G1094="",M1094="",M1094="offen",M1094="teilbelegt",H1094="Ungeklärt",H1094="Bargeld"),"Beleg / Verwendung klären","vollständig erfasst")))))))))</x:f>
      </x:c>
    </x:row>
    <x:row r="1095" ht="22" customHeight="1">
      <x:c r="A1095" s="7"/>
      <x:c r="B1095" s="8"/>
      <x:c r="C1095" s="7"/>
      <x:c r="D1095" s="7"/>
      <x:c r="E1095" s="7"/>
      <x:c r="F1095" s="20"/>
      <x:c r="G1095" s="7"/>
      <x:c r="H1095" s="7"/>
      <x:c r="I1095" s="7"/>
      <x:c r="J1095" s="7"/>
      <x:c r="K1095" s="7"/>
      <x:c r="L1095" s="7"/>
      <x:c r="M1095" s="7"/>
      <x:c r="N1095" s="7"/>
      <x:c r="O1095" s="2" t="str">
        <x:f>IF(A1095="","",IF(COUNTIFS($A$7:$A$1506,A1095)&gt;1,"Buchung-ID doppelt",IF(OR(NOT(ISNUMBER(B1095)),C1095="",NOT(ISNUMBER(F1095)),H1095="",L1095=""),"Pflichtangaben fehlen",IF(COUNTIFS('Konten'!$A$7:$A$26,C1095)&lt;&gt;1,"Konto nicht eindeutig",IF(J1095&lt;&gt;"Ja","Zuordnung bestätigen",IF(OR(AND(H1095="Einnahme",F1095&lt;0),AND(H1095="Ausgabe",F1095&gt;0)),"Vorzeichen prüfen",IF(AND(H1095="Umbuchung",OR(K1095="",COUNTIFS($A$7:$A$1506,K1095)&lt;&gt;1)),"Gegenbuchung fehlt",IF(AND(H1095="Umbuchung",ROUND(SUMIFS($F$7:$F$1506,$A$7:$A$1506,K1095)+F1095,2)&lt;&gt;0),"Umbuchung abweichend",IF(OR(G1095="",M1095="",M1095="offen",M1095="teilbelegt",H1095="Ungeklärt",H1095="Bargeld"),"Beleg / Verwendung klären","vollständig erfasst")))))))))</x:f>
      </x:c>
    </x:row>
    <x:row r="1096" ht="22" customHeight="1">
      <x:c r="A1096" s="7"/>
      <x:c r="B1096" s="8"/>
      <x:c r="C1096" s="7"/>
      <x:c r="D1096" s="7"/>
      <x:c r="E1096" s="7"/>
      <x:c r="F1096" s="20"/>
      <x:c r="G1096" s="7"/>
      <x:c r="H1096" s="7"/>
      <x:c r="I1096" s="7"/>
      <x:c r="J1096" s="7"/>
      <x:c r="K1096" s="7"/>
      <x:c r="L1096" s="7"/>
      <x:c r="M1096" s="7"/>
      <x:c r="N1096" s="7"/>
      <x:c r="O1096" s="2" t="str">
        <x:f>IF(A1096="","",IF(COUNTIFS($A$7:$A$1506,A1096)&gt;1,"Buchung-ID doppelt",IF(OR(NOT(ISNUMBER(B1096)),C1096="",NOT(ISNUMBER(F1096)),H1096="",L1096=""),"Pflichtangaben fehlen",IF(COUNTIFS('Konten'!$A$7:$A$26,C1096)&lt;&gt;1,"Konto nicht eindeutig",IF(J1096&lt;&gt;"Ja","Zuordnung bestätigen",IF(OR(AND(H1096="Einnahme",F1096&lt;0),AND(H1096="Ausgabe",F1096&gt;0)),"Vorzeichen prüfen",IF(AND(H1096="Umbuchung",OR(K1096="",COUNTIFS($A$7:$A$1506,K1096)&lt;&gt;1)),"Gegenbuchung fehlt",IF(AND(H1096="Umbuchung",ROUND(SUMIFS($F$7:$F$1506,$A$7:$A$1506,K1096)+F1096,2)&lt;&gt;0),"Umbuchung abweichend",IF(OR(G1096="",M1096="",M1096="offen",M1096="teilbelegt",H1096="Ungeklärt",H1096="Bargeld"),"Beleg / Verwendung klären","vollständig erfasst")))))))))</x:f>
      </x:c>
    </x:row>
    <x:row r="1097" ht="22" customHeight="1">
      <x:c r="A1097" s="7"/>
      <x:c r="B1097" s="8"/>
      <x:c r="C1097" s="7"/>
      <x:c r="D1097" s="7"/>
      <x:c r="E1097" s="7"/>
      <x:c r="F1097" s="20"/>
      <x:c r="G1097" s="7"/>
      <x:c r="H1097" s="7"/>
      <x:c r="I1097" s="7"/>
      <x:c r="J1097" s="7"/>
      <x:c r="K1097" s="7"/>
      <x:c r="L1097" s="7"/>
      <x:c r="M1097" s="7"/>
      <x:c r="N1097" s="7"/>
      <x:c r="O1097" s="2" t="str">
        <x:f>IF(A1097="","",IF(COUNTIFS($A$7:$A$1506,A1097)&gt;1,"Buchung-ID doppelt",IF(OR(NOT(ISNUMBER(B1097)),C1097="",NOT(ISNUMBER(F1097)),H1097="",L1097=""),"Pflichtangaben fehlen",IF(COUNTIFS('Konten'!$A$7:$A$26,C1097)&lt;&gt;1,"Konto nicht eindeutig",IF(J1097&lt;&gt;"Ja","Zuordnung bestätigen",IF(OR(AND(H1097="Einnahme",F1097&lt;0),AND(H1097="Ausgabe",F1097&gt;0)),"Vorzeichen prüfen",IF(AND(H1097="Umbuchung",OR(K1097="",COUNTIFS($A$7:$A$1506,K1097)&lt;&gt;1)),"Gegenbuchung fehlt",IF(AND(H1097="Umbuchung",ROUND(SUMIFS($F$7:$F$1506,$A$7:$A$1506,K1097)+F1097,2)&lt;&gt;0),"Umbuchung abweichend",IF(OR(G1097="",M1097="",M1097="offen",M1097="teilbelegt",H1097="Ungeklärt",H1097="Bargeld"),"Beleg / Verwendung klären","vollständig erfasst")))))))))</x:f>
      </x:c>
    </x:row>
    <x:row r="1098" ht="22" customHeight="1">
      <x:c r="A1098" s="7"/>
      <x:c r="B1098" s="8"/>
      <x:c r="C1098" s="7"/>
      <x:c r="D1098" s="7"/>
      <x:c r="E1098" s="7"/>
      <x:c r="F1098" s="20"/>
      <x:c r="G1098" s="7"/>
      <x:c r="H1098" s="7"/>
      <x:c r="I1098" s="7"/>
      <x:c r="J1098" s="7"/>
      <x:c r="K1098" s="7"/>
      <x:c r="L1098" s="7"/>
      <x:c r="M1098" s="7"/>
      <x:c r="N1098" s="7"/>
      <x:c r="O1098" s="2" t="str">
        <x:f>IF(A1098="","",IF(COUNTIFS($A$7:$A$1506,A1098)&gt;1,"Buchung-ID doppelt",IF(OR(NOT(ISNUMBER(B1098)),C1098="",NOT(ISNUMBER(F1098)),H1098="",L1098=""),"Pflichtangaben fehlen",IF(COUNTIFS('Konten'!$A$7:$A$26,C1098)&lt;&gt;1,"Konto nicht eindeutig",IF(J1098&lt;&gt;"Ja","Zuordnung bestätigen",IF(OR(AND(H1098="Einnahme",F1098&lt;0),AND(H1098="Ausgabe",F1098&gt;0)),"Vorzeichen prüfen",IF(AND(H1098="Umbuchung",OR(K1098="",COUNTIFS($A$7:$A$1506,K1098)&lt;&gt;1)),"Gegenbuchung fehlt",IF(AND(H1098="Umbuchung",ROUND(SUMIFS($F$7:$F$1506,$A$7:$A$1506,K1098)+F1098,2)&lt;&gt;0),"Umbuchung abweichend",IF(OR(G1098="",M1098="",M1098="offen",M1098="teilbelegt",H1098="Ungeklärt",H1098="Bargeld"),"Beleg / Verwendung klären","vollständig erfasst")))))))))</x:f>
      </x:c>
    </x:row>
    <x:row r="1099" ht="22" customHeight="1">
      <x:c r="A1099" s="7"/>
      <x:c r="B1099" s="8"/>
      <x:c r="C1099" s="7"/>
      <x:c r="D1099" s="7"/>
      <x:c r="E1099" s="7"/>
      <x:c r="F1099" s="20"/>
      <x:c r="G1099" s="7"/>
      <x:c r="H1099" s="7"/>
      <x:c r="I1099" s="7"/>
      <x:c r="J1099" s="7"/>
      <x:c r="K1099" s="7"/>
      <x:c r="L1099" s="7"/>
      <x:c r="M1099" s="7"/>
      <x:c r="N1099" s="7"/>
      <x:c r="O1099" s="2" t="str">
        <x:f>IF(A1099="","",IF(COUNTIFS($A$7:$A$1506,A1099)&gt;1,"Buchung-ID doppelt",IF(OR(NOT(ISNUMBER(B1099)),C1099="",NOT(ISNUMBER(F1099)),H1099="",L1099=""),"Pflichtangaben fehlen",IF(COUNTIFS('Konten'!$A$7:$A$26,C1099)&lt;&gt;1,"Konto nicht eindeutig",IF(J1099&lt;&gt;"Ja","Zuordnung bestätigen",IF(OR(AND(H1099="Einnahme",F1099&lt;0),AND(H1099="Ausgabe",F1099&gt;0)),"Vorzeichen prüfen",IF(AND(H1099="Umbuchung",OR(K1099="",COUNTIFS($A$7:$A$1506,K1099)&lt;&gt;1)),"Gegenbuchung fehlt",IF(AND(H1099="Umbuchung",ROUND(SUMIFS($F$7:$F$1506,$A$7:$A$1506,K1099)+F1099,2)&lt;&gt;0),"Umbuchung abweichend",IF(OR(G1099="",M1099="",M1099="offen",M1099="teilbelegt",H1099="Ungeklärt",H1099="Bargeld"),"Beleg / Verwendung klären","vollständig erfasst")))))))))</x:f>
      </x:c>
    </x:row>
    <x:row r="1100" ht="22" customHeight="1">
      <x:c r="A1100" s="7"/>
      <x:c r="B1100" s="8"/>
      <x:c r="C1100" s="7"/>
      <x:c r="D1100" s="7"/>
      <x:c r="E1100" s="7"/>
      <x:c r="F1100" s="20"/>
      <x:c r="G1100" s="7"/>
      <x:c r="H1100" s="7"/>
      <x:c r="I1100" s="7"/>
      <x:c r="J1100" s="7"/>
      <x:c r="K1100" s="7"/>
      <x:c r="L1100" s="7"/>
      <x:c r="M1100" s="7"/>
      <x:c r="N1100" s="7"/>
      <x:c r="O1100" s="2" t="str">
        <x:f>IF(A1100="","",IF(COUNTIFS($A$7:$A$1506,A1100)&gt;1,"Buchung-ID doppelt",IF(OR(NOT(ISNUMBER(B1100)),C1100="",NOT(ISNUMBER(F1100)),H1100="",L1100=""),"Pflichtangaben fehlen",IF(COUNTIFS('Konten'!$A$7:$A$26,C1100)&lt;&gt;1,"Konto nicht eindeutig",IF(J1100&lt;&gt;"Ja","Zuordnung bestätigen",IF(OR(AND(H1100="Einnahme",F1100&lt;0),AND(H1100="Ausgabe",F1100&gt;0)),"Vorzeichen prüfen",IF(AND(H1100="Umbuchung",OR(K1100="",COUNTIFS($A$7:$A$1506,K1100)&lt;&gt;1)),"Gegenbuchung fehlt",IF(AND(H1100="Umbuchung",ROUND(SUMIFS($F$7:$F$1506,$A$7:$A$1506,K1100)+F1100,2)&lt;&gt;0),"Umbuchung abweichend",IF(OR(G1100="",M1100="",M1100="offen",M1100="teilbelegt",H1100="Ungeklärt",H1100="Bargeld"),"Beleg / Verwendung klären","vollständig erfasst")))))))))</x:f>
      </x:c>
    </x:row>
    <x:row r="1101" ht="22" customHeight="1">
      <x:c r="A1101" s="7"/>
      <x:c r="B1101" s="8"/>
      <x:c r="C1101" s="7"/>
      <x:c r="D1101" s="7"/>
      <x:c r="E1101" s="7"/>
      <x:c r="F1101" s="20"/>
      <x:c r="G1101" s="7"/>
      <x:c r="H1101" s="7"/>
      <x:c r="I1101" s="7"/>
      <x:c r="J1101" s="7"/>
      <x:c r="K1101" s="7"/>
      <x:c r="L1101" s="7"/>
      <x:c r="M1101" s="7"/>
      <x:c r="N1101" s="7"/>
      <x:c r="O1101" s="2" t="str">
        <x:f>IF(A1101="","",IF(COUNTIFS($A$7:$A$1506,A1101)&gt;1,"Buchung-ID doppelt",IF(OR(NOT(ISNUMBER(B1101)),C1101="",NOT(ISNUMBER(F1101)),H1101="",L1101=""),"Pflichtangaben fehlen",IF(COUNTIFS('Konten'!$A$7:$A$26,C1101)&lt;&gt;1,"Konto nicht eindeutig",IF(J1101&lt;&gt;"Ja","Zuordnung bestätigen",IF(OR(AND(H1101="Einnahme",F1101&lt;0),AND(H1101="Ausgabe",F1101&gt;0)),"Vorzeichen prüfen",IF(AND(H1101="Umbuchung",OR(K1101="",COUNTIFS($A$7:$A$1506,K1101)&lt;&gt;1)),"Gegenbuchung fehlt",IF(AND(H1101="Umbuchung",ROUND(SUMIFS($F$7:$F$1506,$A$7:$A$1506,K1101)+F1101,2)&lt;&gt;0),"Umbuchung abweichend",IF(OR(G1101="",M1101="",M1101="offen",M1101="teilbelegt",H1101="Ungeklärt",H1101="Bargeld"),"Beleg / Verwendung klären","vollständig erfasst")))))))))</x:f>
      </x:c>
    </x:row>
    <x:row r="1102" ht="22" customHeight="1">
      <x:c r="A1102" s="7"/>
      <x:c r="B1102" s="8"/>
      <x:c r="C1102" s="7"/>
      <x:c r="D1102" s="7"/>
      <x:c r="E1102" s="7"/>
      <x:c r="F1102" s="20"/>
      <x:c r="G1102" s="7"/>
      <x:c r="H1102" s="7"/>
      <x:c r="I1102" s="7"/>
      <x:c r="J1102" s="7"/>
      <x:c r="K1102" s="7"/>
      <x:c r="L1102" s="7"/>
      <x:c r="M1102" s="7"/>
      <x:c r="N1102" s="7"/>
      <x:c r="O1102" s="2" t="str">
        <x:f>IF(A1102="","",IF(COUNTIFS($A$7:$A$1506,A1102)&gt;1,"Buchung-ID doppelt",IF(OR(NOT(ISNUMBER(B1102)),C1102="",NOT(ISNUMBER(F1102)),H1102="",L1102=""),"Pflichtangaben fehlen",IF(COUNTIFS('Konten'!$A$7:$A$26,C1102)&lt;&gt;1,"Konto nicht eindeutig",IF(J1102&lt;&gt;"Ja","Zuordnung bestätigen",IF(OR(AND(H1102="Einnahme",F1102&lt;0),AND(H1102="Ausgabe",F1102&gt;0)),"Vorzeichen prüfen",IF(AND(H1102="Umbuchung",OR(K1102="",COUNTIFS($A$7:$A$1506,K1102)&lt;&gt;1)),"Gegenbuchung fehlt",IF(AND(H1102="Umbuchung",ROUND(SUMIFS($F$7:$F$1506,$A$7:$A$1506,K1102)+F1102,2)&lt;&gt;0),"Umbuchung abweichend",IF(OR(G1102="",M1102="",M1102="offen",M1102="teilbelegt",H1102="Ungeklärt",H1102="Bargeld"),"Beleg / Verwendung klären","vollständig erfasst")))))))))</x:f>
      </x:c>
    </x:row>
    <x:row r="1103" ht="22" customHeight="1">
      <x:c r="A1103" s="7"/>
      <x:c r="B1103" s="8"/>
      <x:c r="C1103" s="7"/>
      <x:c r="D1103" s="7"/>
      <x:c r="E1103" s="7"/>
      <x:c r="F1103" s="20"/>
      <x:c r="G1103" s="7"/>
      <x:c r="H1103" s="7"/>
      <x:c r="I1103" s="7"/>
      <x:c r="J1103" s="7"/>
      <x:c r="K1103" s="7"/>
      <x:c r="L1103" s="7"/>
      <x:c r="M1103" s="7"/>
      <x:c r="N1103" s="7"/>
      <x:c r="O1103" s="2" t="str">
        <x:f>IF(A1103="","",IF(COUNTIFS($A$7:$A$1506,A1103)&gt;1,"Buchung-ID doppelt",IF(OR(NOT(ISNUMBER(B1103)),C1103="",NOT(ISNUMBER(F1103)),H1103="",L1103=""),"Pflichtangaben fehlen",IF(COUNTIFS('Konten'!$A$7:$A$26,C1103)&lt;&gt;1,"Konto nicht eindeutig",IF(J1103&lt;&gt;"Ja","Zuordnung bestätigen",IF(OR(AND(H1103="Einnahme",F1103&lt;0),AND(H1103="Ausgabe",F1103&gt;0)),"Vorzeichen prüfen",IF(AND(H1103="Umbuchung",OR(K1103="",COUNTIFS($A$7:$A$1506,K1103)&lt;&gt;1)),"Gegenbuchung fehlt",IF(AND(H1103="Umbuchung",ROUND(SUMIFS($F$7:$F$1506,$A$7:$A$1506,K1103)+F1103,2)&lt;&gt;0),"Umbuchung abweichend",IF(OR(G1103="",M1103="",M1103="offen",M1103="teilbelegt",H1103="Ungeklärt",H1103="Bargeld"),"Beleg / Verwendung klären","vollständig erfasst")))))))))</x:f>
      </x:c>
    </x:row>
    <x:row r="1104" ht="22" customHeight="1">
      <x:c r="A1104" s="7"/>
      <x:c r="B1104" s="8"/>
      <x:c r="C1104" s="7"/>
      <x:c r="D1104" s="7"/>
      <x:c r="E1104" s="7"/>
      <x:c r="F1104" s="20"/>
      <x:c r="G1104" s="7"/>
      <x:c r="H1104" s="7"/>
      <x:c r="I1104" s="7"/>
      <x:c r="J1104" s="7"/>
      <x:c r="K1104" s="7"/>
      <x:c r="L1104" s="7"/>
      <x:c r="M1104" s="7"/>
      <x:c r="N1104" s="7"/>
      <x:c r="O1104" s="2" t="str">
        <x:f>IF(A1104="","",IF(COUNTIFS($A$7:$A$1506,A1104)&gt;1,"Buchung-ID doppelt",IF(OR(NOT(ISNUMBER(B1104)),C1104="",NOT(ISNUMBER(F1104)),H1104="",L1104=""),"Pflichtangaben fehlen",IF(COUNTIFS('Konten'!$A$7:$A$26,C1104)&lt;&gt;1,"Konto nicht eindeutig",IF(J1104&lt;&gt;"Ja","Zuordnung bestätigen",IF(OR(AND(H1104="Einnahme",F1104&lt;0),AND(H1104="Ausgabe",F1104&gt;0)),"Vorzeichen prüfen",IF(AND(H1104="Umbuchung",OR(K1104="",COUNTIFS($A$7:$A$1506,K1104)&lt;&gt;1)),"Gegenbuchung fehlt",IF(AND(H1104="Umbuchung",ROUND(SUMIFS($F$7:$F$1506,$A$7:$A$1506,K1104)+F1104,2)&lt;&gt;0),"Umbuchung abweichend",IF(OR(G1104="",M1104="",M1104="offen",M1104="teilbelegt",H1104="Ungeklärt",H1104="Bargeld"),"Beleg / Verwendung klären","vollständig erfasst")))))))))</x:f>
      </x:c>
    </x:row>
    <x:row r="1105" ht="22" customHeight="1">
      <x:c r="A1105" s="7"/>
      <x:c r="B1105" s="8"/>
      <x:c r="C1105" s="7"/>
      <x:c r="D1105" s="7"/>
      <x:c r="E1105" s="7"/>
      <x:c r="F1105" s="20"/>
      <x:c r="G1105" s="7"/>
      <x:c r="H1105" s="7"/>
      <x:c r="I1105" s="7"/>
      <x:c r="J1105" s="7"/>
      <x:c r="K1105" s="7"/>
      <x:c r="L1105" s="7"/>
      <x:c r="M1105" s="7"/>
      <x:c r="N1105" s="7"/>
      <x:c r="O1105" s="2" t="str">
        <x:f>IF(A1105="","",IF(COUNTIFS($A$7:$A$1506,A1105)&gt;1,"Buchung-ID doppelt",IF(OR(NOT(ISNUMBER(B1105)),C1105="",NOT(ISNUMBER(F1105)),H1105="",L1105=""),"Pflichtangaben fehlen",IF(COUNTIFS('Konten'!$A$7:$A$26,C1105)&lt;&gt;1,"Konto nicht eindeutig",IF(J1105&lt;&gt;"Ja","Zuordnung bestätigen",IF(OR(AND(H1105="Einnahme",F1105&lt;0),AND(H1105="Ausgabe",F1105&gt;0)),"Vorzeichen prüfen",IF(AND(H1105="Umbuchung",OR(K1105="",COUNTIFS($A$7:$A$1506,K1105)&lt;&gt;1)),"Gegenbuchung fehlt",IF(AND(H1105="Umbuchung",ROUND(SUMIFS($F$7:$F$1506,$A$7:$A$1506,K1105)+F1105,2)&lt;&gt;0),"Umbuchung abweichend",IF(OR(G1105="",M1105="",M1105="offen",M1105="teilbelegt",H1105="Ungeklärt",H1105="Bargeld"),"Beleg / Verwendung klären","vollständig erfasst")))))))))</x:f>
      </x:c>
    </x:row>
    <x:row r="1106" ht="22" customHeight="1">
      <x:c r="A1106" s="7"/>
      <x:c r="B1106" s="8"/>
      <x:c r="C1106" s="7"/>
      <x:c r="D1106" s="7"/>
      <x:c r="E1106" s="7"/>
      <x:c r="F1106" s="20"/>
      <x:c r="G1106" s="7"/>
      <x:c r="H1106" s="7"/>
      <x:c r="I1106" s="7"/>
      <x:c r="J1106" s="7"/>
      <x:c r="K1106" s="7"/>
      <x:c r="L1106" s="7"/>
      <x:c r="M1106" s="7"/>
      <x:c r="N1106" s="7"/>
      <x:c r="O1106" s="2" t="str">
        <x:f>IF(A1106="","",IF(COUNTIFS($A$7:$A$1506,A1106)&gt;1,"Buchung-ID doppelt",IF(OR(NOT(ISNUMBER(B1106)),C1106="",NOT(ISNUMBER(F1106)),H1106="",L1106=""),"Pflichtangaben fehlen",IF(COUNTIFS('Konten'!$A$7:$A$26,C1106)&lt;&gt;1,"Konto nicht eindeutig",IF(J1106&lt;&gt;"Ja","Zuordnung bestätigen",IF(OR(AND(H1106="Einnahme",F1106&lt;0),AND(H1106="Ausgabe",F1106&gt;0)),"Vorzeichen prüfen",IF(AND(H1106="Umbuchung",OR(K1106="",COUNTIFS($A$7:$A$1506,K1106)&lt;&gt;1)),"Gegenbuchung fehlt",IF(AND(H1106="Umbuchung",ROUND(SUMIFS($F$7:$F$1506,$A$7:$A$1506,K1106)+F1106,2)&lt;&gt;0),"Umbuchung abweichend",IF(OR(G1106="",M1106="",M1106="offen",M1106="teilbelegt",H1106="Ungeklärt",H1106="Bargeld"),"Beleg / Verwendung klären","vollständig erfasst")))))))))</x:f>
      </x:c>
    </x:row>
    <x:row r="1107" ht="22" customHeight="1">
      <x:c r="A1107" s="7"/>
      <x:c r="B1107" s="8"/>
      <x:c r="C1107" s="7"/>
      <x:c r="D1107" s="7"/>
      <x:c r="E1107" s="7"/>
      <x:c r="F1107" s="20"/>
      <x:c r="G1107" s="7"/>
      <x:c r="H1107" s="7"/>
      <x:c r="I1107" s="7"/>
      <x:c r="J1107" s="7"/>
      <x:c r="K1107" s="7"/>
      <x:c r="L1107" s="7"/>
      <x:c r="M1107" s="7"/>
      <x:c r="N1107" s="7"/>
      <x:c r="O1107" s="2" t="str">
        <x:f>IF(A1107="","",IF(COUNTIFS($A$7:$A$1506,A1107)&gt;1,"Buchung-ID doppelt",IF(OR(NOT(ISNUMBER(B1107)),C1107="",NOT(ISNUMBER(F1107)),H1107="",L1107=""),"Pflichtangaben fehlen",IF(COUNTIFS('Konten'!$A$7:$A$26,C1107)&lt;&gt;1,"Konto nicht eindeutig",IF(J1107&lt;&gt;"Ja","Zuordnung bestätigen",IF(OR(AND(H1107="Einnahme",F1107&lt;0),AND(H1107="Ausgabe",F1107&gt;0)),"Vorzeichen prüfen",IF(AND(H1107="Umbuchung",OR(K1107="",COUNTIFS($A$7:$A$1506,K1107)&lt;&gt;1)),"Gegenbuchung fehlt",IF(AND(H1107="Umbuchung",ROUND(SUMIFS($F$7:$F$1506,$A$7:$A$1506,K1107)+F1107,2)&lt;&gt;0),"Umbuchung abweichend",IF(OR(G1107="",M1107="",M1107="offen",M1107="teilbelegt",H1107="Ungeklärt",H1107="Bargeld"),"Beleg / Verwendung klären","vollständig erfasst")))))))))</x:f>
      </x:c>
    </x:row>
    <x:row r="1108" ht="22" customHeight="1">
      <x:c r="A1108" s="7"/>
      <x:c r="B1108" s="8"/>
      <x:c r="C1108" s="7"/>
      <x:c r="D1108" s="7"/>
      <x:c r="E1108" s="7"/>
      <x:c r="F1108" s="20"/>
      <x:c r="G1108" s="7"/>
      <x:c r="H1108" s="7"/>
      <x:c r="I1108" s="7"/>
      <x:c r="J1108" s="7"/>
      <x:c r="K1108" s="7"/>
      <x:c r="L1108" s="7"/>
      <x:c r="M1108" s="7"/>
      <x:c r="N1108" s="7"/>
      <x:c r="O1108" s="2" t="str">
        <x:f>IF(A1108="","",IF(COUNTIFS($A$7:$A$1506,A1108)&gt;1,"Buchung-ID doppelt",IF(OR(NOT(ISNUMBER(B1108)),C1108="",NOT(ISNUMBER(F1108)),H1108="",L1108=""),"Pflichtangaben fehlen",IF(COUNTIFS('Konten'!$A$7:$A$26,C1108)&lt;&gt;1,"Konto nicht eindeutig",IF(J1108&lt;&gt;"Ja","Zuordnung bestätigen",IF(OR(AND(H1108="Einnahme",F1108&lt;0),AND(H1108="Ausgabe",F1108&gt;0)),"Vorzeichen prüfen",IF(AND(H1108="Umbuchung",OR(K1108="",COUNTIFS($A$7:$A$1506,K1108)&lt;&gt;1)),"Gegenbuchung fehlt",IF(AND(H1108="Umbuchung",ROUND(SUMIFS($F$7:$F$1506,$A$7:$A$1506,K1108)+F1108,2)&lt;&gt;0),"Umbuchung abweichend",IF(OR(G1108="",M1108="",M1108="offen",M1108="teilbelegt",H1108="Ungeklärt",H1108="Bargeld"),"Beleg / Verwendung klären","vollständig erfasst")))))))))</x:f>
      </x:c>
    </x:row>
    <x:row r="1109" ht="22" customHeight="1">
      <x:c r="A1109" s="7"/>
      <x:c r="B1109" s="8"/>
      <x:c r="C1109" s="7"/>
      <x:c r="D1109" s="7"/>
      <x:c r="E1109" s="7"/>
      <x:c r="F1109" s="20"/>
      <x:c r="G1109" s="7"/>
      <x:c r="H1109" s="7"/>
      <x:c r="I1109" s="7"/>
      <x:c r="J1109" s="7"/>
      <x:c r="K1109" s="7"/>
      <x:c r="L1109" s="7"/>
      <x:c r="M1109" s="7"/>
      <x:c r="N1109" s="7"/>
      <x:c r="O1109" s="2" t="str">
        <x:f>IF(A1109="","",IF(COUNTIFS($A$7:$A$1506,A1109)&gt;1,"Buchung-ID doppelt",IF(OR(NOT(ISNUMBER(B1109)),C1109="",NOT(ISNUMBER(F1109)),H1109="",L1109=""),"Pflichtangaben fehlen",IF(COUNTIFS('Konten'!$A$7:$A$26,C1109)&lt;&gt;1,"Konto nicht eindeutig",IF(J1109&lt;&gt;"Ja","Zuordnung bestätigen",IF(OR(AND(H1109="Einnahme",F1109&lt;0),AND(H1109="Ausgabe",F1109&gt;0)),"Vorzeichen prüfen",IF(AND(H1109="Umbuchung",OR(K1109="",COUNTIFS($A$7:$A$1506,K1109)&lt;&gt;1)),"Gegenbuchung fehlt",IF(AND(H1109="Umbuchung",ROUND(SUMIFS($F$7:$F$1506,$A$7:$A$1506,K1109)+F1109,2)&lt;&gt;0),"Umbuchung abweichend",IF(OR(G1109="",M1109="",M1109="offen",M1109="teilbelegt",H1109="Ungeklärt",H1109="Bargeld"),"Beleg / Verwendung klären","vollständig erfasst")))))))))</x:f>
      </x:c>
    </x:row>
    <x:row r="1110" ht="22" customHeight="1">
      <x:c r="A1110" s="7"/>
      <x:c r="B1110" s="8"/>
      <x:c r="C1110" s="7"/>
      <x:c r="D1110" s="7"/>
      <x:c r="E1110" s="7"/>
      <x:c r="F1110" s="20"/>
      <x:c r="G1110" s="7"/>
      <x:c r="H1110" s="7"/>
      <x:c r="I1110" s="7"/>
      <x:c r="J1110" s="7"/>
      <x:c r="K1110" s="7"/>
      <x:c r="L1110" s="7"/>
      <x:c r="M1110" s="7"/>
      <x:c r="N1110" s="7"/>
      <x:c r="O1110" s="2" t="str">
        <x:f>IF(A1110="","",IF(COUNTIFS($A$7:$A$1506,A1110)&gt;1,"Buchung-ID doppelt",IF(OR(NOT(ISNUMBER(B1110)),C1110="",NOT(ISNUMBER(F1110)),H1110="",L1110=""),"Pflichtangaben fehlen",IF(COUNTIFS('Konten'!$A$7:$A$26,C1110)&lt;&gt;1,"Konto nicht eindeutig",IF(J1110&lt;&gt;"Ja","Zuordnung bestätigen",IF(OR(AND(H1110="Einnahme",F1110&lt;0),AND(H1110="Ausgabe",F1110&gt;0)),"Vorzeichen prüfen",IF(AND(H1110="Umbuchung",OR(K1110="",COUNTIFS($A$7:$A$1506,K1110)&lt;&gt;1)),"Gegenbuchung fehlt",IF(AND(H1110="Umbuchung",ROUND(SUMIFS($F$7:$F$1506,$A$7:$A$1506,K1110)+F1110,2)&lt;&gt;0),"Umbuchung abweichend",IF(OR(G1110="",M1110="",M1110="offen",M1110="teilbelegt",H1110="Ungeklärt",H1110="Bargeld"),"Beleg / Verwendung klären","vollständig erfasst")))))))))</x:f>
      </x:c>
    </x:row>
    <x:row r="1111" ht="22" customHeight="1">
      <x:c r="A1111" s="7"/>
      <x:c r="B1111" s="8"/>
      <x:c r="C1111" s="7"/>
      <x:c r="D1111" s="7"/>
      <x:c r="E1111" s="7"/>
      <x:c r="F1111" s="20"/>
      <x:c r="G1111" s="7"/>
      <x:c r="H1111" s="7"/>
      <x:c r="I1111" s="7"/>
      <x:c r="J1111" s="7"/>
      <x:c r="K1111" s="7"/>
      <x:c r="L1111" s="7"/>
      <x:c r="M1111" s="7"/>
      <x:c r="N1111" s="7"/>
      <x:c r="O1111" s="2" t="str">
        <x:f>IF(A1111="","",IF(COUNTIFS($A$7:$A$1506,A1111)&gt;1,"Buchung-ID doppelt",IF(OR(NOT(ISNUMBER(B1111)),C1111="",NOT(ISNUMBER(F1111)),H1111="",L1111=""),"Pflichtangaben fehlen",IF(COUNTIFS('Konten'!$A$7:$A$26,C1111)&lt;&gt;1,"Konto nicht eindeutig",IF(J1111&lt;&gt;"Ja","Zuordnung bestätigen",IF(OR(AND(H1111="Einnahme",F1111&lt;0),AND(H1111="Ausgabe",F1111&gt;0)),"Vorzeichen prüfen",IF(AND(H1111="Umbuchung",OR(K1111="",COUNTIFS($A$7:$A$1506,K1111)&lt;&gt;1)),"Gegenbuchung fehlt",IF(AND(H1111="Umbuchung",ROUND(SUMIFS($F$7:$F$1506,$A$7:$A$1506,K1111)+F1111,2)&lt;&gt;0),"Umbuchung abweichend",IF(OR(G1111="",M1111="",M1111="offen",M1111="teilbelegt",H1111="Ungeklärt",H1111="Bargeld"),"Beleg / Verwendung klären","vollständig erfasst")))))))))</x:f>
      </x:c>
    </x:row>
    <x:row r="1112" ht="22" customHeight="1">
      <x:c r="A1112" s="7"/>
      <x:c r="B1112" s="8"/>
      <x:c r="C1112" s="7"/>
      <x:c r="D1112" s="7"/>
      <x:c r="E1112" s="7"/>
      <x:c r="F1112" s="20"/>
      <x:c r="G1112" s="7"/>
      <x:c r="H1112" s="7"/>
      <x:c r="I1112" s="7"/>
      <x:c r="J1112" s="7"/>
      <x:c r="K1112" s="7"/>
      <x:c r="L1112" s="7"/>
      <x:c r="M1112" s="7"/>
      <x:c r="N1112" s="7"/>
      <x:c r="O1112" s="2" t="str">
        <x:f>IF(A1112="","",IF(COUNTIFS($A$7:$A$1506,A1112)&gt;1,"Buchung-ID doppelt",IF(OR(NOT(ISNUMBER(B1112)),C1112="",NOT(ISNUMBER(F1112)),H1112="",L1112=""),"Pflichtangaben fehlen",IF(COUNTIFS('Konten'!$A$7:$A$26,C1112)&lt;&gt;1,"Konto nicht eindeutig",IF(J1112&lt;&gt;"Ja","Zuordnung bestätigen",IF(OR(AND(H1112="Einnahme",F1112&lt;0),AND(H1112="Ausgabe",F1112&gt;0)),"Vorzeichen prüfen",IF(AND(H1112="Umbuchung",OR(K1112="",COUNTIFS($A$7:$A$1506,K1112)&lt;&gt;1)),"Gegenbuchung fehlt",IF(AND(H1112="Umbuchung",ROUND(SUMIFS($F$7:$F$1506,$A$7:$A$1506,K1112)+F1112,2)&lt;&gt;0),"Umbuchung abweichend",IF(OR(G1112="",M1112="",M1112="offen",M1112="teilbelegt",H1112="Ungeklärt",H1112="Bargeld"),"Beleg / Verwendung klären","vollständig erfasst")))))))))</x:f>
      </x:c>
    </x:row>
    <x:row r="1113" ht="22" customHeight="1">
      <x:c r="A1113" s="7"/>
      <x:c r="B1113" s="8"/>
      <x:c r="C1113" s="7"/>
      <x:c r="D1113" s="7"/>
      <x:c r="E1113" s="7"/>
      <x:c r="F1113" s="20"/>
      <x:c r="G1113" s="7"/>
      <x:c r="H1113" s="7"/>
      <x:c r="I1113" s="7"/>
      <x:c r="J1113" s="7"/>
      <x:c r="K1113" s="7"/>
      <x:c r="L1113" s="7"/>
      <x:c r="M1113" s="7"/>
      <x:c r="N1113" s="7"/>
      <x:c r="O1113" s="2" t="str">
        <x:f>IF(A1113="","",IF(COUNTIFS($A$7:$A$1506,A1113)&gt;1,"Buchung-ID doppelt",IF(OR(NOT(ISNUMBER(B1113)),C1113="",NOT(ISNUMBER(F1113)),H1113="",L1113=""),"Pflichtangaben fehlen",IF(COUNTIFS('Konten'!$A$7:$A$26,C1113)&lt;&gt;1,"Konto nicht eindeutig",IF(J1113&lt;&gt;"Ja","Zuordnung bestätigen",IF(OR(AND(H1113="Einnahme",F1113&lt;0),AND(H1113="Ausgabe",F1113&gt;0)),"Vorzeichen prüfen",IF(AND(H1113="Umbuchung",OR(K1113="",COUNTIFS($A$7:$A$1506,K1113)&lt;&gt;1)),"Gegenbuchung fehlt",IF(AND(H1113="Umbuchung",ROUND(SUMIFS($F$7:$F$1506,$A$7:$A$1506,K1113)+F1113,2)&lt;&gt;0),"Umbuchung abweichend",IF(OR(G1113="",M1113="",M1113="offen",M1113="teilbelegt",H1113="Ungeklärt",H1113="Bargeld"),"Beleg / Verwendung klären","vollständig erfasst")))))))))</x:f>
      </x:c>
    </x:row>
    <x:row r="1114" ht="22" customHeight="1">
      <x:c r="A1114" s="7"/>
      <x:c r="B1114" s="8"/>
      <x:c r="C1114" s="7"/>
      <x:c r="D1114" s="7"/>
      <x:c r="E1114" s="7"/>
      <x:c r="F1114" s="20"/>
      <x:c r="G1114" s="7"/>
      <x:c r="H1114" s="7"/>
      <x:c r="I1114" s="7"/>
      <x:c r="J1114" s="7"/>
      <x:c r="K1114" s="7"/>
      <x:c r="L1114" s="7"/>
      <x:c r="M1114" s="7"/>
      <x:c r="N1114" s="7"/>
      <x:c r="O1114" s="2" t="str">
        <x:f>IF(A1114="","",IF(COUNTIFS($A$7:$A$1506,A1114)&gt;1,"Buchung-ID doppelt",IF(OR(NOT(ISNUMBER(B1114)),C1114="",NOT(ISNUMBER(F1114)),H1114="",L1114=""),"Pflichtangaben fehlen",IF(COUNTIFS('Konten'!$A$7:$A$26,C1114)&lt;&gt;1,"Konto nicht eindeutig",IF(J1114&lt;&gt;"Ja","Zuordnung bestätigen",IF(OR(AND(H1114="Einnahme",F1114&lt;0),AND(H1114="Ausgabe",F1114&gt;0)),"Vorzeichen prüfen",IF(AND(H1114="Umbuchung",OR(K1114="",COUNTIFS($A$7:$A$1506,K1114)&lt;&gt;1)),"Gegenbuchung fehlt",IF(AND(H1114="Umbuchung",ROUND(SUMIFS($F$7:$F$1506,$A$7:$A$1506,K1114)+F1114,2)&lt;&gt;0),"Umbuchung abweichend",IF(OR(G1114="",M1114="",M1114="offen",M1114="teilbelegt",H1114="Ungeklärt",H1114="Bargeld"),"Beleg / Verwendung klären","vollständig erfasst")))))))))</x:f>
      </x:c>
    </x:row>
    <x:row r="1115" ht="22" customHeight="1">
      <x:c r="A1115" s="7"/>
      <x:c r="B1115" s="8"/>
      <x:c r="C1115" s="7"/>
      <x:c r="D1115" s="7"/>
      <x:c r="E1115" s="7"/>
      <x:c r="F1115" s="20"/>
      <x:c r="G1115" s="7"/>
      <x:c r="H1115" s="7"/>
      <x:c r="I1115" s="7"/>
      <x:c r="J1115" s="7"/>
      <x:c r="K1115" s="7"/>
      <x:c r="L1115" s="7"/>
      <x:c r="M1115" s="7"/>
      <x:c r="N1115" s="7"/>
      <x:c r="O1115" s="2" t="str">
        <x:f>IF(A1115="","",IF(COUNTIFS($A$7:$A$1506,A1115)&gt;1,"Buchung-ID doppelt",IF(OR(NOT(ISNUMBER(B1115)),C1115="",NOT(ISNUMBER(F1115)),H1115="",L1115=""),"Pflichtangaben fehlen",IF(COUNTIFS('Konten'!$A$7:$A$26,C1115)&lt;&gt;1,"Konto nicht eindeutig",IF(J1115&lt;&gt;"Ja","Zuordnung bestätigen",IF(OR(AND(H1115="Einnahme",F1115&lt;0),AND(H1115="Ausgabe",F1115&gt;0)),"Vorzeichen prüfen",IF(AND(H1115="Umbuchung",OR(K1115="",COUNTIFS($A$7:$A$1506,K1115)&lt;&gt;1)),"Gegenbuchung fehlt",IF(AND(H1115="Umbuchung",ROUND(SUMIFS($F$7:$F$1506,$A$7:$A$1506,K1115)+F1115,2)&lt;&gt;0),"Umbuchung abweichend",IF(OR(G1115="",M1115="",M1115="offen",M1115="teilbelegt",H1115="Ungeklärt",H1115="Bargeld"),"Beleg / Verwendung klären","vollständig erfasst")))))))))</x:f>
      </x:c>
    </x:row>
    <x:row r="1116" ht="22" customHeight="1">
      <x:c r="A1116" s="7"/>
      <x:c r="B1116" s="8"/>
      <x:c r="C1116" s="7"/>
      <x:c r="D1116" s="7"/>
      <x:c r="E1116" s="7"/>
      <x:c r="F1116" s="20"/>
      <x:c r="G1116" s="7"/>
      <x:c r="H1116" s="7"/>
      <x:c r="I1116" s="7"/>
      <x:c r="J1116" s="7"/>
      <x:c r="K1116" s="7"/>
      <x:c r="L1116" s="7"/>
      <x:c r="M1116" s="7"/>
      <x:c r="N1116" s="7"/>
      <x:c r="O1116" s="2" t="str">
        <x:f>IF(A1116="","",IF(COUNTIFS($A$7:$A$1506,A1116)&gt;1,"Buchung-ID doppelt",IF(OR(NOT(ISNUMBER(B1116)),C1116="",NOT(ISNUMBER(F1116)),H1116="",L1116=""),"Pflichtangaben fehlen",IF(COUNTIFS('Konten'!$A$7:$A$26,C1116)&lt;&gt;1,"Konto nicht eindeutig",IF(J1116&lt;&gt;"Ja","Zuordnung bestätigen",IF(OR(AND(H1116="Einnahme",F1116&lt;0),AND(H1116="Ausgabe",F1116&gt;0)),"Vorzeichen prüfen",IF(AND(H1116="Umbuchung",OR(K1116="",COUNTIFS($A$7:$A$1506,K1116)&lt;&gt;1)),"Gegenbuchung fehlt",IF(AND(H1116="Umbuchung",ROUND(SUMIFS($F$7:$F$1506,$A$7:$A$1506,K1116)+F1116,2)&lt;&gt;0),"Umbuchung abweichend",IF(OR(G1116="",M1116="",M1116="offen",M1116="teilbelegt",H1116="Ungeklärt",H1116="Bargeld"),"Beleg / Verwendung klären","vollständig erfasst")))))))))</x:f>
      </x:c>
    </x:row>
    <x:row r="1117" ht="22" customHeight="1">
      <x:c r="A1117" s="7"/>
      <x:c r="B1117" s="8"/>
      <x:c r="C1117" s="7"/>
      <x:c r="D1117" s="7"/>
      <x:c r="E1117" s="7"/>
      <x:c r="F1117" s="20"/>
      <x:c r="G1117" s="7"/>
      <x:c r="H1117" s="7"/>
      <x:c r="I1117" s="7"/>
      <x:c r="J1117" s="7"/>
      <x:c r="K1117" s="7"/>
      <x:c r="L1117" s="7"/>
      <x:c r="M1117" s="7"/>
      <x:c r="N1117" s="7"/>
      <x:c r="O1117" s="2" t="str">
        <x:f>IF(A1117="","",IF(COUNTIFS($A$7:$A$1506,A1117)&gt;1,"Buchung-ID doppelt",IF(OR(NOT(ISNUMBER(B1117)),C1117="",NOT(ISNUMBER(F1117)),H1117="",L1117=""),"Pflichtangaben fehlen",IF(COUNTIFS('Konten'!$A$7:$A$26,C1117)&lt;&gt;1,"Konto nicht eindeutig",IF(J1117&lt;&gt;"Ja","Zuordnung bestätigen",IF(OR(AND(H1117="Einnahme",F1117&lt;0),AND(H1117="Ausgabe",F1117&gt;0)),"Vorzeichen prüfen",IF(AND(H1117="Umbuchung",OR(K1117="",COUNTIFS($A$7:$A$1506,K1117)&lt;&gt;1)),"Gegenbuchung fehlt",IF(AND(H1117="Umbuchung",ROUND(SUMIFS($F$7:$F$1506,$A$7:$A$1506,K1117)+F1117,2)&lt;&gt;0),"Umbuchung abweichend",IF(OR(G1117="",M1117="",M1117="offen",M1117="teilbelegt",H1117="Ungeklärt",H1117="Bargeld"),"Beleg / Verwendung klären","vollständig erfasst")))))))))</x:f>
      </x:c>
    </x:row>
    <x:row r="1118" ht="22" customHeight="1">
      <x:c r="A1118" s="7"/>
      <x:c r="B1118" s="8"/>
      <x:c r="C1118" s="7"/>
      <x:c r="D1118" s="7"/>
      <x:c r="E1118" s="7"/>
      <x:c r="F1118" s="20"/>
      <x:c r="G1118" s="7"/>
      <x:c r="H1118" s="7"/>
      <x:c r="I1118" s="7"/>
      <x:c r="J1118" s="7"/>
      <x:c r="K1118" s="7"/>
      <x:c r="L1118" s="7"/>
      <x:c r="M1118" s="7"/>
      <x:c r="N1118" s="7"/>
      <x:c r="O1118" s="2" t="str">
        <x:f>IF(A1118="","",IF(COUNTIFS($A$7:$A$1506,A1118)&gt;1,"Buchung-ID doppelt",IF(OR(NOT(ISNUMBER(B1118)),C1118="",NOT(ISNUMBER(F1118)),H1118="",L1118=""),"Pflichtangaben fehlen",IF(COUNTIFS('Konten'!$A$7:$A$26,C1118)&lt;&gt;1,"Konto nicht eindeutig",IF(J1118&lt;&gt;"Ja","Zuordnung bestätigen",IF(OR(AND(H1118="Einnahme",F1118&lt;0),AND(H1118="Ausgabe",F1118&gt;0)),"Vorzeichen prüfen",IF(AND(H1118="Umbuchung",OR(K1118="",COUNTIFS($A$7:$A$1506,K1118)&lt;&gt;1)),"Gegenbuchung fehlt",IF(AND(H1118="Umbuchung",ROUND(SUMIFS($F$7:$F$1506,$A$7:$A$1506,K1118)+F1118,2)&lt;&gt;0),"Umbuchung abweichend",IF(OR(G1118="",M1118="",M1118="offen",M1118="teilbelegt",H1118="Ungeklärt",H1118="Bargeld"),"Beleg / Verwendung klären","vollständig erfasst")))))))))</x:f>
      </x:c>
    </x:row>
    <x:row r="1119" ht="22" customHeight="1">
      <x:c r="A1119" s="7"/>
      <x:c r="B1119" s="8"/>
      <x:c r="C1119" s="7"/>
      <x:c r="D1119" s="7"/>
      <x:c r="E1119" s="7"/>
      <x:c r="F1119" s="20"/>
      <x:c r="G1119" s="7"/>
      <x:c r="H1119" s="7"/>
      <x:c r="I1119" s="7"/>
      <x:c r="J1119" s="7"/>
      <x:c r="K1119" s="7"/>
      <x:c r="L1119" s="7"/>
      <x:c r="M1119" s="7"/>
      <x:c r="N1119" s="7"/>
      <x:c r="O1119" s="2" t="str">
        <x:f>IF(A1119="","",IF(COUNTIFS($A$7:$A$1506,A1119)&gt;1,"Buchung-ID doppelt",IF(OR(NOT(ISNUMBER(B1119)),C1119="",NOT(ISNUMBER(F1119)),H1119="",L1119=""),"Pflichtangaben fehlen",IF(COUNTIFS('Konten'!$A$7:$A$26,C1119)&lt;&gt;1,"Konto nicht eindeutig",IF(J1119&lt;&gt;"Ja","Zuordnung bestätigen",IF(OR(AND(H1119="Einnahme",F1119&lt;0),AND(H1119="Ausgabe",F1119&gt;0)),"Vorzeichen prüfen",IF(AND(H1119="Umbuchung",OR(K1119="",COUNTIFS($A$7:$A$1506,K1119)&lt;&gt;1)),"Gegenbuchung fehlt",IF(AND(H1119="Umbuchung",ROUND(SUMIFS($F$7:$F$1506,$A$7:$A$1506,K1119)+F1119,2)&lt;&gt;0),"Umbuchung abweichend",IF(OR(G1119="",M1119="",M1119="offen",M1119="teilbelegt",H1119="Ungeklärt",H1119="Bargeld"),"Beleg / Verwendung klären","vollständig erfasst")))))))))</x:f>
      </x:c>
    </x:row>
    <x:row r="1120" ht="22" customHeight="1">
      <x:c r="A1120" s="7"/>
      <x:c r="B1120" s="8"/>
      <x:c r="C1120" s="7"/>
      <x:c r="D1120" s="7"/>
      <x:c r="E1120" s="7"/>
      <x:c r="F1120" s="20"/>
      <x:c r="G1120" s="7"/>
      <x:c r="H1120" s="7"/>
      <x:c r="I1120" s="7"/>
      <x:c r="J1120" s="7"/>
      <x:c r="K1120" s="7"/>
      <x:c r="L1120" s="7"/>
      <x:c r="M1120" s="7"/>
      <x:c r="N1120" s="7"/>
      <x:c r="O1120" s="2" t="str">
        <x:f>IF(A1120="","",IF(COUNTIFS($A$7:$A$1506,A1120)&gt;1,"Buchung-ID doppelt",IF(OR(NOT(ISNUMBER(B1120)),C1120="",NOT(ISNUMBER(F1120)),H1120="",L1120=""),"Pflichtangaben fehlen",IF(COUNTIFS('Konten'!$A$7:$A$26,C1120)&lt;&gt;1,"Konto nicht eindeutig",IF(J1120&lt;&gt;"Ja","Zuordnung bestätigen",IF(OR(AND(H1120="Einnahme",F1120&lt;0),AND(H1120="Ausgabe",F1120&gt;0)),"Vorzeichen prüfen",IF(AND(H1120="Umbuchung",OR(K1120="",COUNTIFS($A$7:$A$1506,K1120)&lt;&gt;1)),"Gegenbuchung fehlt",IF(AND(H1120="Umbuchung",ROUND(SUMIFS($F$7:$F$1506,$A$7:$A$1506,K1120)+F1120,2)&lt;&gt;0),"Umbuchung abweichend",IF(OR(G1120="",M1120="",M1120="offen",M1120="teilbelegt",H1120="Ungeklärt",H1120="Bargeld"),"Beleg / Verwendung klären","vollständig erfasst")))))))))</x:f>
      </x:c>
    </x:row>
    <x:row r="1121" ht="22" customHeight="1">
      <x:c r="A1121" s="7"/>
      <x:c r="B1121" s="8"/>
      <x:c r="C1121" s="7"/>
      <x:c r="D1121" s="7"/>
      <x:c r="E1121" s="7"/>
      <x:c r="F1121" s="20"/>
      <x:c r="G1121" s="7"/>
      <x:c r="H1121" s="7"/>
      <x:c r="I1121" s="7"/>
      <x:c r="J1121" s="7"/>
      <x:c r="K1121" s="7"/>
      <x:c r="L1121" s="7"/>
      <x:c r="M1121" s="7"/>
      <x:c r="N1121" s="7"/>
      <x:c r="O1121" s="2" t="str">
        <x:f>IF(A1121="","",IF(COUNTIFS($A$7:$A$1506,A1121)&gt;1,"Buchung-ID doppelt",IF(OR(NOT(ISNUMBER(B1121)),C1121="",NOT(ISNUMBER(F1121)),H1121="",L1121=""),"Pflichtangaben fehlen",IF(COUNTIFS('Konten'!$A$7:$A$26,C1121)&lt;&gt;1,"Konto nicht eindeutig",IF(J1121&lt;&gt;"Ja","Zuordnung bestätigen",IF(OR(AND(H1121="Einnahme",F1121&lt;0),AND(H1121="Ausgabe",F1121&gt;0)),"Vorzeichen prüfen",IF(AND(H1121="Umbuchung",OR(K1121="",COUNTIFS($A$7:$A$1506,K1121)&lt;&gt;1)),"Gegenbuchung fehlt",IF(AND(H1121="Umbuchung",ROUND(SUMIFS($F$7:$F$1506,$A$7:$A$1506,K1121)+F1121,2)&lt;&gt;0),"Umbuchung abweichend",IF(OR(G1121="",M1121="",M1121="offen",M1121="teilbelegt",H1121="Ungeklärt",H1121="Bargeld"),"Beleg / Verwendung klären","vollständig erfasst")))))))))</x:f>
      </x:c>
    </x:row>
    <x:row r="1122" ht="22" customHeight="1">
      <x:c r="A1122" s="7"/>
      <x:c r="B1122" s="8"/>
      <x:c r="C1122" s="7"/>
      <x:c r="D1122" s="7"/>
      <x:c r="E1122" s="7"/>
      <x:c r="F1122" s="20"/>
      <x:c r="G1122" s="7"/>
      <x:c r="H1122" s="7"/>
      <x:c r="I1122" s="7"/>
      <x:c r="J1122" s="7"/>
      <x:c r="K1122" s="7"/>
      <x:c r="L1122" s="7"/>
      <x:c r="M1122" s="7"/>
      <x:c r="N1122" s="7"/>
      <x:c r="O1122" s="2" t="str">
        <x:f>IF(A1122="","",IF(COUNTIFS($A$7:$A$1506,A1122)&gt;1,"Buchung-ID doppelt",IF(OR(NOT(ISNUMBER(B1122)),C1122="",NOT(ISNUMBER(F1122)),H1122="",L1122=""),"Pflichtangaben fehlen",IF(COUNTIFS('Konten'!$A$7:$A$26,C1122)&lt;&gt;1,"Konto nicht eindeutig",IF(J1122&lt;&gt;"Ja","Zuordnung bestätigen",IF(OR(AND(H1122="Einnahme",F1122&lt;0),AND(H1122="Ausgabe",F1122&gt;0)),"Vorzeichen prüfen",IF(AND(H1122="Umbuchung",OR(K1122="",COUNTIFS($A$7:$A$1506,K1122)&lt;&gt;1)),"Gegenbuchung fehlt",IF(AND(H1122="Umbuchung",ROUND(SUMIFS($F$7:$F$1506,$A$7:$A$1506,K1122)+F1122,2)&lt;&gt;0),"Umbuchung abweichend",IF(OR(G1122="",M1122="",M1122="offen",M1122="teilbelegt",H1122="Ungeklärt",H1122="Bargeld"),"Beleg / Verwendung klären","vollständig erfasst")))))))))</x:f>
      </x:c>
    </x:row>
    <x:row r="1123" ht="22" customHeight="1">
      <x:c r="A1123" s="7"/>
      <x:c r="B1123" s="8"/>
      <x:c r="C1123" s="7"/>
      <x:c r="D1123" s="7"/>
      <x:c r="E1123" s="7"/>
      <x:c r="F1123" s="20"/>
      <x:c r="G1123" s="7"/>
      <x:c r="H1123" s="7"/>
      <x:c r="I1123" s="7"/>
      <x:c r="J1123" s="7"/>
      <x:c r="K1123" s="7"/>
      <x:c r="L1123" s="7"/>
      <x:c r="M1123" s="7"/>
      <x:c r="N1123" s="7"/>
      <x:c r="O1123" s="2" t="str">
        <x:f>IF(A1123="","",IF(COUNTIFS($A$7:$A$1506,A1123)&gt;1,"Buchung-ID doppelt",IF(OR(NOT(ISNUMBER(B1123)),C1123="",NOT(ISNUMBER(F1123)),H1123="",L1123=""),"Pflichtangaben fehlen",IF(COUNTIFS('Konten'!$A$7:$A$26,C1123)&lt;&gt;1,"Konto nicht eindeutig",IF(J1123&lt;&gt;"Ja","Zuordnung bestätigen",IF(OR(AND(H1123="Einnahme",F1123&lt;0),AND(H1123="Ausgabe",F1123&gt;0)),"Vorzeichen prüfen",IF(AND(H1123="Umbuchung",OR(K1123="",COUNTIFS($A$7:$A$1506,K1123)&lt;&gt;1)),"Gegenbuchung fehlt",IF(AND(H1123="Umbuchung",ROUND(SUMIFS($F$7:$F$1506,$A$7:$A$1506,K1123)+F1123,2)&lt;&gt;0),"Umbuchung abweichend",IF(OR(G1123="",M1123="",M1123="offen",M1123="teilbelegt",H1123="Ungeklärt",H1123="Bargeld"),"Beleg / Verwendung klären","vollständig erfasst")))))))))</x:f>
      </x:c>
    </x:row>
    <x:row r="1124" ht="22" customHeight="1">
      <x:c r="A1124" s="7"/>
      <x:c r="B1124" s="8"/>
      <x:c r="C1124" s="7"/>
      <x:c r="D1124" s="7"/>
      <x:c r="E1124" s="7"/>
      <x:c r="F1124" s="20"/>
      <x:c r="G1124" s="7"/>
      <x:c r="H1124" s="7"/>
      <x:c r="I1124" s="7"/>
      <x:c r="J1124" s="7"/>
      <x:c r="K1124" s="7"/>
      <x:c r="L1124" s="7"/>
      <x:c r="M1124" s="7"/>
      <x:c r="N1124" s="7"/>
      <x:c r="O1124" s="2" t="str">
        <x:f>IF(A1124="","",IF(COUNTIFS($A$7:$A$1506,A1124)&gt;1,"Buchung-ID doppelt",IF(OR(NOT(ISNUMBER(B1124)),C1124="",NOT(ISNUMBER(F1124)),H1124="",L1124=""),"Pflichtangaben fehlen",IF(COUNTIFS('Konten'!$A$7:$A$26,C1124)&lt;&gt;1,"Konto nicht eindeutig",IF(J1124&lt;&gt;"Ja","Zuordnung bestätigen",IF(OR(AND(H1124="Einnahme",F1124&lt;0),AND(H1124="Ausgabe",F1124&gt;0)),"Vorzeichen prüfen",IF(AND(H1124="Umbuchung",OR(K1124="",COUNTIFS($A$7:$A$1506,K1124)&lt;&gt;1)),"Gegenbuchung fehlt",IF(AND(H1124="Umbuchung",ROUND(SUMIFS($F$7:$F$1506,$A$7:$A$1506,K1124)+F1124,2)&lt;&gt;0),"Umbuchung abweichend",IF(OR(G1124="",M1124="",M1124="offen",M1124="teilbelegt",H1124="Ungeklärt",H1124="Bargeld"),"Beleg / Verwendung klären","vollständig erfasst")))))))))</x:f>
      </x:c>
    </x:row>
    <x:row r="1125" ht="22" customHeight="1">
      <x:c r="A1125" s="7"/>
      <x:c r="B1125" s="8"/>
      <x:c r="C1125" s="7"/>
      <x:c r="D1125" s="7"/>
      <x:c r="E1125" s="7"/>
      <x:c r="F1125" s="20"/>
      <x:c r="G1125" s="7"/>
      <x:c r="H1125" s="7"/>
      <x:c r="I1125" s="7"/>
      <x:c r="J1125" s="7"/>
      <x:c r="K1125" s="7"/>
      <x:c r="L1125" s="7"/>
      <x:c r="M1125" s="7"/>
      <x:c r="N1125" s="7"/>
      <x:c r="O1125" s="2" t="str">
        <x:f>IF(A1125="","",IF(COUNTIFS($A$7:$A$1506,A1125)&gt;1,"Buchung-ID doppelt",IF(OR(NOT(ISNUMBER(B1125)),C1125="",NOT(ISNUMBER(F1125)),H1125="",L1125=""),"Pflichtangaben fehlen",IF(COUNTIFS('Konten'!$A$7:$A$26,C1125)&lt;&gt;1,"Konto nicht eindeutig",IF(J1125&lt;&gt;"Ja","Zuordnung bestätigen",IF(OR(AND(H1125="Einnahme",F1125&lt;0),AND(H1125="Ausgabe",F1125&gt;0)),"Vorzeichen prüfen",IF(AND(H1125="Umbuchung",OR(K1125="",COUNTIFS($A$7:$A$1506,K1125)&lt;&gt;1)),"Gegenbuchung fehlt",IF(AND(H1125="Umbuchung",ROUND(SUMIFS($F$7:$F$1506,$A$7:$A$1506,K1125)+F1125,2)&lt;&gt;0),"Umbuchung abweichend",IF(OR(G1125="",M1125="",M1125="offen",M1125="teilbelegt",H1125="Ungeklärt",H1125="Bargeld"),"Beleg / Verwendung klären","vollständig erfasst")))))))))</x:f>
      </x:c>
    </x:row>
    <x:row r="1126" ht="22" customHeight="1">
      <x:c r="A1126" s="7"/>
      <x:c r="B1126" s="8"/>
      <x:c r="C1126" s="7"/>
      <x:c r="D1126" s="7"/>
      <x:c r="E1126" s="7"/>
      <x:c r="F1126" s="20"/>
      <x:c r="G1126" s="7"/>
      <x:c r="H1126" s="7"/>
      <x:c r="I1126" s="7"/>
      <x:c r="J1126" s="7"/>
      <x:c r="K1126" s="7"/>
      <x:c r="L1126" s="7"/>
      <x:c r="M1126" s="7"/>
      <x:c r="N1126" s="7"/>
      <x:c r="O1126" s="2" t="str">
        <x:f>IF(A1126="","",IF(COUNTIFS($A$7:$A$1506,A1126)&gt;1,"Buchung-ID doppelt",IF(OR(NOT(ISNUMBER(B1126)),C1126="",NOT(ISNUMBER(F1126)),H1126="",L1126=""),"Pflichtangaben fehlen",IF(COUNTIFS('Konten'!$A$7:$A$26,C1126)&lt;&gt;1,"Konto nicht eindeutig",IF(J1126&lt;&gt;"Ja","Zuordnung bestätigen",IF(OR(AND(H1126="Einnahme",F1126&lt;0),AND(H1126="Ausgabe",F1126&gt;0)),"Vorzeichen prüfen",IF(AND(H1126="Umbuchung",OR(K1126="",COUNTIFS($A$7:$A$1506,K1126)&lt;&gt;1)),"Gegenbuchung fehlt",IF(AND(H1126="Umbuchung",ROUND(SUMIFS($F$7:$F$1506,$A$7:$A$1506,K1126)+F1126,2)&lt;&gt;0),"Umbuchung abweichend",IF(OR(G1126="",M1126="",M1126="offen",M1126="teilbelegt",H1126="Ungeklärt",H1126="Bargeld"),"Beleg / Verwendung klären","vollständig erfasst")))))))))</x:f>
      </x:c>
    </x:row>
    <x:row r="1127" ht="22" customHeight="1">
      <x:c r="A1127" s="7"/>
      <x:c r="B1127" s="8"/>
      <x:c r="C1127" s="7"/>
      <x:c r="D1127" s="7"/>
      <x:c r="E1127" s="7"/>
      <x:c r="F1127" s="20"/>
      <x:c r="G1127" s="7"/>
      <x:c r="H1127" s="7"/>
      <x:c r="I1127" s="7"/>
      <x:c r="J1127" s="7"/>
      <x:c r="K1127" s="7"/>
      <x:c r="L1127" s="7"/>
      <x:c r="M1127" s="7"/>
      <x:c r="N1127" s="7"/>
      <x:c r="O1127" s="2" t="str">
        <x:f>IF(A1127="","",IF(COUNTIFS($A$7:$A$1506,A1127)&gt;1,"Buchung-ID doppelt",IF(OR(NOT(ISNUMBER(B1127)),C1127="",NOT(ISNUMBER(F1127)),H1127="",L1127=""),"Pflichtangaben fehlen",IF(COUNTIFS('Konten'!$A$7:$A$26,C1127)&lt;&gt;1,"Konto nicht eindeutig",IF(J1127&lt;&gt;"Ja","Zuordnung bestätigen",IF(OR(AND(H1127="Einnahme",F1127&lt;0),AND(H1127="Ausgabe",F1127&gt;0)),"Vorzeichen prüfen",IF(AND(H1127="Umbuchung",OR(K1127="",COUNTIFS($A$7:$A$1506,K1127)&lt;&gt;1)),"Gegenbuchung fehlt",IF(AND(H1127="Umbuchung",ROUND(SUMIFS($F$7:$F$1506,$A$7:$A$1506,K1127)+F1127,2)&lt;&gt;0),"Umbuchung abweichend",IF(OR(G1127="",M1127="",M1127="offen",M1127="teilbelegt",H1127="Ungeklärt",H1127="Bargeld"),"Beleg / Verwendung klären","vollständig erfasst")))))))))</x:f>
      </x:c>
    </x:row>
    <x:row r="1128" ht="22" customHeight="1">
      <x:c r="A1128" s="7"/>
      <x:c r="B1128" s="8"/>
      <x:c r="C1128" s="7"/>
      <x:c r="D1128" s="7"/>
      <x:c r="E1128" s="7"/>
      <x:c r="F1128" s="20"/>
      <x:c r="G1128" s="7"/>
      <x:c r="H1128" s="7"/>
      <x:c r="I1128" s="7"/>
      <x:c r="J1128" s="7"/>
      <x:c r="K1128" s="7"/>
      <x:c r="L1128" s="7"/>
      <x:c r="M1128" s="7"/>
      <x:c r="N1128" s="7"/>
      <x:c r="O1128" s="2" t="str">
        <x:f>IF(A1128="","",IF(COUNTIFS($A$7:$A$1506,A1128)&gt;1,"Buchung-ID doppelt",IF(OR(NOT(ISNUMBER(B1128)),C1128="",NOT(ISNUMBER(F1128)),H1128="",L1128=""),"Pflichtangaben fehlen",IF(COUNTIFS('Konten'!$A$7:$A$26,C1128)&lt;&gt;1,"Konto nicht eindeutig",IF(J1128&lt;&gt;"Ja","Zuordnung bestätigen",IF(OR(AND(H1128="Einnahme",F1128&lt;0),AND(H1128="Ausgabe",F1128&gt;0)),"Vorzeichen prüfen",IF(AND(H1128="Umbuchung",OR(K1128="",COUNTIFS($A$7:$A$1506,K1128)&lt;&gt;1)),"Gegenbuchung fehlt",IF(AND(H1128="Umbuchung",ROUND(SUMIFS($F$7:$F$1506,$A$7:$A$1506,K1128)+F1128,2)&lt;&gt;0),"Umbuchung abweichend",IF(OR(G1128="",M1128="",M1128="offen",M1128="teilbelegt",H1128="Ungeklärt",H1128="Bargeld"),"Beleg / Verwendung klären","vollständig erfasst")))))))))</x:f>
      </x:c>
    </x:row>
    <x:row r="1129" ht="22" customHeight="1">
      <x:c r="A1129" s="7"/>
      <x:c r="B1129" s="8"/>
      <x:c r="C1129" s="7"/>
      <x:c r="D1129" s="7"/>
      <x:c r="E1129" s="7"/>
      <x:c r="F1129" s="20"/>
      <x:c r="G1129" s="7"/>
      <x:c r="H1129" s="7"/>
      <x:c r="I1129" s="7"/>
      <x:c r="J1129" s="7"/>
      <x:c r="K1129" s="7"/>
      <x:c r="L1129" s="7"/>
      <x:c r="M1129" s="7"/>
      <x:c r="N1129" s="7"/>
      <x:c r="O1129" s="2" t="str">
        <x:f>IF(A1129="","",IF(COUNTIFS($A$7:$A$1506,A1129)&gt;1,"Buchung-ID doppelt",IF(OR(NOT(ISNUMBER(B1129)),C1129="",NOT(ISNUMBER(F1129)),H1129="",L1129=""),"Pflichtangaben fehlen",IF(COUNTIFS('Konten'!$A$7:$A$26,C1129)&lt;&gt;1,"Konto nicht eindeutig",IF(J1129&lt;&gt;"Ja","Zuordnung bestätigen",IF(OR(AND(H1129="Einnahme",F1129&lt;0),AND(H1129="Ausgabe",F1129&gt;0)),"Vorzeichen prüfen",IF(AND(H1129="Umbuchung",OR(K1129="",COUNTIFS($A$7:$A$1506,K1129)&lt;&gt;1)),"Gegenbuchung fehlt",IF(AND(H1129="Umbuchung",ROUND(SUMIFS($F$7:$F$1506,$A$7:$A$1506,K1129)+F1129,2)&lt;&gt;0),"Umbuchung abweichend",IF(OR(G1129="",M1129="",M1129="offen",M1129="teilbelegt",H1129="Ungeklärt",H1129="Bargeld"),"Beleg / Verwendung klären","vollständig erfasst")))))))))</x:f>
      </x:c>
    </x:row>
    <x:row r="1130" ht="22" customHeight="1">
      <x:c r="A1130" s="7"/>
      <x:c r="B1130" s="8"/>
      <x:c r="C1130" s="7"/>
      <x:c r="D1130" s="7"/>
      <x:c r="E1130" s="7"/>
      <x:c r="F1130" s="20"/>
      <x:c r="G1130" s="7"/>
      <x:c r="H1130" s="7"/>
      <x:c r="I1130" s="7"/>
      <x:c r="J1130" s="7"/>
      <x:c r="K1130" s="7"/>
      <x:c r="L1130" s="7"/>
      <x:c r="M1130" s="7"/>
      <x:c r="N1130" s="7"/>
      <x:c r="O1130" s="2" t="str">
        <x:f>IF(A1130="","",IF(COUNTIFS($A$7:$A$1506,A1130)&gt;1,"Buchung-ID doppelt",IF(OR(NOT(ISNUMBER(B1130)),C1130="",NOT(ISNUMBER(F1130)),H1130="",L1130=""),"Pflichtangaben fehlen",IF(COUNTIFS('Konten'!$A$7:$A$26,C1130)&lt;&gt;1,"Konto nicht eindeutig",IF(J1130&lt;&gt;"Ja","Zuordnung bestätigen",IF(OR(AND(H1130="Einnahme",F1130&lt;0),AND(H1130="Ausgabe",F1130&gt;0)),"Vorzeichen prüfen",IF(AND(H1130="Umbuchung",OR(K1130="",COUNTIFS($A$7:$A$1506,K1130)&lt;&gt;1)),"Gegenbuchung fehlt",IF(AND(H1130="Umbuchung",ROUND(SUMIFS($F$7:$F$1506,$A$7:$A$1506,K1130)+F1130,2)&lt;&gt;0),"Umbuchung abweichend",IF(OR(G1130="",M1130="",M1130="offen",M1130="teilbelegt",H1130="Ungeklärt",H1130="Bargeld"),"Beleg / Verwendung klären","vollständig erfasst")))))))))</x:f>
      </x:c>
    </x:row>
    <x:row r="1131" ht="22" customHeight="1">
      <x:c r="A1131" s="7"/>
      <x:c r="B1131" s="8"/>
      <x:c r="C1131" s="7"/>
      <x:c r="D1131" s="7"/>
      <x:c r="E1131" s="7"/>
      <x:c r="F1131" s="20"/>
      <x:c r="G1131" s="7"/>
      <x:c r="H1131" s="7"/>
      <x:c r="I1131" s="7"/>
      <x:c r="J1131" s="7"/>
      <x:c r="K1131" s="7"/>
      <x:c r="L1131" s="7"/>
      <x:c r="M1131" s="7"/>
      <x:c r="N1131" s="7"/>
      <x:c r="O1131" s="2" t="str">
        <x:f>IF(A1131="","",IF(COUNTIFS($A$7:$A$1506,A1131)&gt;1,"Buchung-ID doppelt",IF(OR(NOT(ISNUMBER(B1131)),C1131="",NOT(ISNUMBER(F1131)),H1131="",L1131=""),"Pflichtangaben fehlen",IF(COUNTIFS('Konten'!$A$7:$A$26,C1131)&lt;&gt;1,"Konto nicht eindeutig",IF(J1131&lt;&gt;"Ja","Zuordnung bestätigen",IF(OR(AND(H1131="Einnahme",F1131&lt;0),AND(H1131="Ausgabe",F1131&gt;0)),"Vorzeichen prüfen",IF(AND(H1131="Umbuchung",OR(K1131="",COUNTIFS($A$7:$A$1506,K1131)&lt;&gt;1)),"Gegenbuchung fehlt",IF(AND(H1131="Umbuchung",ROUND(SUMIFS($F$7:$F$1506,$A$7:$A$1506,K1131)+F1131,2)&lt;&gt;0),"Umbuchung abweichend",IF(OR(G1131="",M1131="",M1131="offen",M1131="teilbelegt",H1131="Ungeklärt",H1131="Bargeld"),"Beleg / Verwendung klären","vollständig erfasst")))))))))</x:f>
      </x:c>
    </x:row>
    <x:row r="1132" ht="22" customHeight="1">
      <x:c r="A1132" s="7"/>
      <x:c r="B1132" s="8"/>
      <x:c r="C1132" s="7"/>
      <x:c r="D1132" s="7"/>
      <x:c r="E1132" s="7"/>
      <x:c r="F1132" s="20"/>
      <x:c r="G1132" s="7"/>
      <x:c r="H1132" s="7"/>
      <x:c r="I1132" s="7"/>
      <x:c r="J1132" s="7"/>
      <x:c r="K1132" s="7"/>
      <x:c r="L1132" s="7"/>
      <x:c r="M1132" s="7"/>
      <x:c r="N1132" s="7"/>
      <x:c r="O1132" s="2" t="str">
        <x:f>IF(A1132="","",IF(COUNTIFS($A$7:$A$1506,A1132)&gt;1,"Buchung-ID doppelt",IF(OR(NOT(ISNUMBER(B1132)),C1132="",NOT(ISNUMBER(F1132)),H1132="",L1132=""),"Pflichtangaben fehlen",IF(COUNTIFS('Konten'!$A$7:$A$26,C1132)&lt;&gt;1,"Konto nicht eindeutig",IF(J1132&lt;&gt;"Ja","Zuordnung bestätigen",IF(OR(AND(H1132="Einnahme",F1132&lt;0),AND(H1132="Ausgabe",F1132&gt;0)),"Vorzeichen prüfen",IF(AND(H1132="Umbuchung",OR(K1132="",COUNTIFS($A$7:$A$1506,K1132)&lt;&gt;1)),"Gegenbuchung fehlt",IF(AND(H1132="Umbuchung",ROUND(SUMIFS($F$7:$F$1506,$A$7:$A$1506,K1132)+F1132,2)&lt;&gt;0),"Umbuchung abweichend",IF(OR(G1132="",M1132="",M1132="offen",M1132="teilbelegt",H1132="Ungeklärt",H1132="Bargeld"),"Beleg / Verwendung klären","vollständig erfasst")))))))))</x:f>
      </x:c>
    </x:row>
    <x:row r="1133" ht="22" customHeight="1">
      <x:c r="A1133" s="7"/>
      <x:c r="B1133" s="8"/>
      <x:c r="C1133" s="7"/>
      <x:c r="D1133" s="7"/>
      <x:c r="E1133" s="7"/>
      <x:c r="F1133" s="20"/>
      <x:c r="G1133" s="7"/>
      <x:c r="H1133" s="7"/>
      <x:c r="I1133" s="7"/>
      <x:c r="J1133" s="7"/>
      <x:c r="K1133" s="7"/>
      <x:c r="L1133" s="7"/>
      <x:c r="M1133" s="7"/>
      <x:c r="N1133" s="7"/>
      <x:c r="O1133" s="2" t="str">
        <x:f>IF(A1133="","",IF(COUNTIFS($A$7:$A$1506,A1133)&gt;1,"Buchung-ID doppelt",IF(OR(NOT(ISNUMBER(B1133)),C1133="",NOT(ISNUMBER(F1133)),H1133="",L1133=""),"Pflichtangaben fehlen",IF(COUNTIFS('Konten'!$A$7:$A$26,C1133)&lt;&gt;1,"Konto nicht eindeutig",IF(J1133&lt;&gt;"Ja","Zuordnung bestätigen",IF(OR(AND(H1133="Einnahme",F1133&lt;0),AND(H1133="Ausgabe",F1133&gt;0)),"Vorzeichen prüfen",IF(AND(H1133="Umbuchung",OR(K1133="",COUNTIFS($A$7:$A$1506,K1133)&lt;&gt;1)),"Gegenbuchung fehlt",IF(AND(H1133="Umbuchung",ROUND(SUMIFS($F$7:$F$1506,$A$7:$A$1506,K1133)+F1133,2)&lt;&gt;0),"Umbuchung abweichend",IF(OR(G1133="",M1133="",M1133="offen",M1133="teilbelegt",H1133="Ungeklärt",H1133="Bargeld"),"Beleg / Verwendung klären","vollständig erfasst")))))))))</x:f>
      </x:c>
    </x:row>
    <x:row r="1134" ht="22" customHeight="1">
      <x:c r="A1134" s="7"/>
      <x:c r="B1134" s="8"/>
      <x:c r="C1134" s="7"/>
      <x:c r="D1134" s="7"/>
      <x:c r="E1134" s="7"/>
      <x:c r="F1134" s="20"/>
      <x:c r="G1134" s="7"/>
      <x:c r="H1134" s="7"/>
      <x:c r="I1134" s="7"/>
      <x:c r="J1134" s="7"/>
      <x:c r="K1134" s="7"/>
      <x:c r="L1134" s="7"/>
      <x:c r="M1134" s="7"/>
      <x:c r="N1134" s="7"/>
      <x:c r="O1134" s="2" t="str">
        <x:f>IF(A1134="","",IF(COUNTIFS($A$7:$A$1506,A1134)&gt;1,"Buchung-ID doppelt",IF(OR(NOT(ISNUMBER(B1134)),C1134="",NOT(ISNUMBER(F1134)),H1134="",L1134=""),"Pflichtangaben fehlen",IF(COUNTIFS('Konten'!$A$7:$A$26,C1134)&lt;&gt;1,"Konto nicht eindeutig",IF(J1134&lt;&gt;"Ja","Zuordnung bestätigen",IF(OR(AND(H1134="Einnahme",F1134&lt;0),AND(H1134="Ausgabe",F1134&gt;0)),"Vorzeichen prüfen",IF(AND(H1134="Umbuchung",OR(K1134="",COUNTIFS($A$7:$A$1506,K1134)&lt;&gt;1)),"Gegenbuchung fehlt",IF(AND(H1134="Umbuchung",ROUND(SUMIFS($F$7:$F$1506,$A$7:$A$1506,K1134)+F1134,2)&lt;&gt;0),"Umbuchung abweichend",IF(OR(G1134="",M1134="",M1134="offen",M1134="teilbelegt",H1134="Ungeklärt",H1134="Bargeld"),"Beleg / Verwendung klären","vollständig erfasst")))))))))</x:f>
      </x:c>
    </x:row>
    <x:row r="1135" ht="22" customHeight="1">
      <x:c r="A1135" s="7"/>
      <x:c r="B1135" s="8"/>
      <x:c r="C1135" s="7"/>
      <x:c r="D1135" s="7"/>
      <x:c r="E1135" s="7"/>
      <x:c r="F1135" s="20"/>
      <x:c r="G1135" s="7"/>
      <x:c r="H1135" s="7"/>
      <x:c r="I1135" s="7"/>
      <x:c r="J1135" s="7"/>
      <x:c r="K1135" s="7"/>
      <x:c r="L1135" s="7"/>
      <x:c r="M1135" s="7"/>
      <x:c r="N1135" s="7"/>
      <x:c r="O1135" s="2" t="str">
        <x:f>IF(A1135="","",IF(COUNTIFS($A$7:$A$1506,A1135)&gt;1,"Buchung-ID doppelt",IF(OR(NOT(ISNUMBER(B1135)),C1135="",NOT(ISNUMBER(F1135)),H1135="",L1135=""),"Pflichtangaben fehlen",IF(COUNTIFS('Konten'!$A$7:$A$26,C1135)&lt;&gt;1,"Konto nicht eindeutig",IF(J1135&lt;&gt;"Ja","Zuordnung bestätigen",IF(OR(AND(H1135="Einnahme",F1135&lt;0),AND(H1135="Ausgabe",F1135&gt;0)),"Vorzeichen prüfen",IF(AND(H1135="Umbuchung",OR(K1135="",COUNTIFS($A$7:$A$1506,K1135)&lt;&gt;1)),"Gegenbuchung fehlt",IF(AND(H1135="Umbuchung",ROUND(SUMIFS($F$7:$F$1506,$A$7:$A$1506,K1135)+F1135,2)&lt;&gt;0),"Umbuchung abweichend",IF(OR(G1135="",M1135="",M1135="offen",M1135="teilbelegt",H1135="Ungeklärt",H1135="Bargeld"),"Beleg / Verwendung klären","vollständig erfasst")))))))))</x:f>
      </x:c>
    </x:row>
    <x:row r="1136" ht="22" customHeight="1">
      <x:c r="A1136" s="7"/>
      <x:c r="B1136" s="8"/>
      <x:c r="C1136" s="7"/>
      <x:c r="D1136" s="7"/>
      <x:c r="E1136" s="7"/>
      <x:c r="F1136" s="20"/>
      <x:c r="G1136" s="7"/>
      <x:c r="H1136" s="7"/>
      <x:c r="I1136" s="7"/>
      <x:c r="J1136" s="7"/>
      <x:c r="K1136" s="7"/>
      <x:c r="L1136" s="7"/>
      <x:c r="M1136" s="7"/>
      <x:c r="N1136" s="7"/>
      <x:c r="O1136" s="2" t="str">
        <x:f>IF(A1136="","",IF(COUNTIFS($A$7:$A$1506,A1136)&gt;1,"Buchung-ID doppelt",IF(OR(NOT(ISNUMBER(B1136)),C1136="",NOT(ISNUMBER(F1136)),H1136="",L1136=""),"Pflichtangaben fehlen",IF(COUNTIFS('Konten'!$A$7:$A$26,C1136)&lt;&gt;1,"Konto nicht eindeutig",IF(J1136&lt;&gt;"Ja","Zuordnung bestätigen",IF(OR(AND(H1136="Einnahme",F1136&lt;0),AND(H1136="Ausgabe",F1136&gt;0)),"Vorzeichen prüfen",IF(AND(H1136="Umbuchung",OR(K1136="",COUNTIFS($A$7:$A$1506,K1136)&lt;&gt;1)),"Gegenbuchung fehlt",IF(AND(H1136="Umbuchung",ROUND(SUMIFS($F$7:$F$1506,$A$7:$A$1506,K1136)+F1136,2)&lt;&gt;0),"Umbuchung abweichend",IF(OR(G1136="",M1136="",M1136="offen",M1136="teilbelegt",H1136="Ungeklärt",H1136="Bargeld"),"Beleg / Verwendung klären","vollständig erfasst")))))))))</x:f>
      </x:c>
    </x:row>
    <x:row r="1137" ht="22" customHeight="1">
      <x:c r="A1137" s="7"/>
      <x:c r="B1137" s="8"/>
      <x:c r="C1137" s="7"/>
      <x:c r="D1137" s="7"/>
      <x:c r="E1137" s="7"/>
      <x:c r="F1137" s="20"/>
      <x:c r="G1137" s="7"/>
      <x:c r="H1137" s="7"/>
      <x:c r="I1137" s="7"/>
      <x:c r="J1137" s="7"/>
      <x:c r="K1137" s="7"/>
      <x:c r="L1137" s="7"/>
      <x:c r="M1137" s="7"/>
      <x:c r="N1137" s="7"/>
      <x:c r="O1137" s="2" t="str">
        <x:f>IF(A1137="","",IF(COUNTIFS($A$7:$A$1506,A1137)&gt;1,"Buchung-ID doppelt",IF(OR(NOT(ISNUMBER(B1137)),C1137="",NOT(ISNUMBER(F1137)),H1137="",L1137=""),"Pflichtangaben fehlen",IF(COUNTIFS('Konten'!$A$7:$A$26,C1137)&lt;&gt;1,"Konto nicht eindeutig",IF(J1137&lt;&gt;"Ja","Zuordnung bestätigen",IF(OR(AND(H1137="Einnahme",F1137&lt;0),AND(H1137="Ausgabe",F1137&gt;0)),"Vorzeichen prüfen",IF(AND(H1137="Umbuchung",OR(K1137="",COUNTIFS($A$7:$A$1506,K1137)&lt;&gt;1)),"Gegenbuchung fehlt",IF(AND(H1137="Umbuchung",ROUND(SUMIFS($F$7:$F$1506,$A$7:$A$1506,K1137)+F1137,2)&lt;&gt;0),"Umbuchung abweichend",IF(OR(G1137="",M1137="",M1137="offen",M1137="teilbelegt",H1137="Ungeklärt",H1137="Bargeld"),"Beleg / Verwendung klären","vollständig erfasst")))))))))</x:f>
      </x:c>
    </x:row>
    <x:row r="1138" ht="22" customHeight="1">
      <x:c r="A1138" s="7"/>
      <x:c r="B1138" s="8"/>
      <x:c r="C1138" s="7"/>
      <x:c r="D1138" s="7"/>
      <x:c r="E1138" s="7"/>
      <x:c r="F1138" s="20"/>
      <x:c r="G1138" s="7"/>
      <x:c r="H1138" s="7"/>
      <x:c r="I1138" s="7"/>
      <x:c r="J1138" s="7"/>
      <x:c r="K1138" s="7"/>
      <x:c r="L1138" s="7"/>
      <x:c r="M1138" s="7"/>
      <x:c r="N1138" s="7"/>
      <x:c r="O1138" s="2" t="str">
        <x:f>IF(A1138="","",IF(COUNTIFS($A$7:$A$1506,A1138)&gt;1,"Buchung-ID doppelt",IF(OR(NOT(ISNUMBER(B1138)),C1138="",NOT(ISNUMBER(F1138)),H1138="",L1138=""),"Pflichtangaben fehlen",IF(COUNTIFS('Konten'!$A$7:$A$26,C1138)&lt;&gt;1,"Konto nicht eindeutig",IF(J1138&lt;&gt;"Ja","Zuordnung bestätigen",IF(OR(AND(H1138="Einnahme",F1138&lt;0),AND(H1138="Ausgabe",F1138&gt;0)),"Vorzeichen prüfen",IF(AND(H1138="Umbuchung",OR(K1138="",COUNTIFS($A$7:$A$1506,K1138)&lt;&gt;1)),"Gegenbuchung fehlt",IF(AND(H1138="Umbuchung",ROUND(SUMIFS($F$7:$F$1506,$A$7:$A$1506,K1138)+F1138,2)&lt;&gt;0),"Umbuchung abweichend",IF(OR(G1138="",M1138="",M1138="offen",M1138="teilbelegt",H1138="Ungeklärt",H1138="Bargeld"),"Beleg / Verwendung klären","vollständig erfasst")))))))))</x:f>
      </x:c>
    </x:row>
    <x:row r="1139" ht="22" customHeight="1">
      <x:c r="A1139" s="7"/>
      <x:c r="B1139" s="8"/>
      <x:c r="C1139" s="7"/>
      <x:c r="D1139" s="7"/>
      <x:c r="E1139" s="7"/>
      <x:c r="F1139" s="20"/>
      <x:c r="G1139" s="7"/>
      <x:c r="H1139" s="7"/>
      <x:c r="I1139" s="7"/>
      <x:c r="J1139" s="7"/>
      <x:c r="K1139" s="7"/>
      <x:c r="L1139" s="7"/>
      <x:c r="M1139" s="7"/>
      <x:c r="N1139" s="7"/>
      <x:c r="O1139" s="2" t="str">
        <x:f>IF(A1139="","",IF(COUNTIFS($A$7:$A$1506,A1139)&gt;1,"Buchung-ID doppelt",IF(OR(NOT(ISNUMBER(B1139)),C1139="",NOT(ISNUMBER(F1139)),H1139="",L1139=""),"Pflichtangaben fehlen",IF(COUNTIFS('Konten'!$A$7:$A$26,C1139)&lt;&gt;1,"Konto nicht eindeutig",IF(J1139&lt;&gt;"Ja","Zuordnung bestätigen",IF(OR(AND(H1139="Einnahme",F1139&lt;0),AND(H1139="Ausgabe",F1139&gt;0)),"Vorzeichen prüfen",IF(AND(H1139="Umbuchung",OR(K1139="",COUNTIFS($A$7:$A$1506,K1139)&lt;&gt;1)),"Gegenbuchung fehlt",IF(AND(H1139="Umbuchung",ROUND(SUMIFS($F$7:$F$1506,$A$7:$A$1506,K1139)+F1139,2)&lt;&gt;0),"Umbuchung abweichend",IF(OR(G1139="",M1139="",M1139="offen",M1139="teilbelegt",H1139="Ungeklärt",H1139="Bargeld"),"Beleg / Verwendung klären","vollständig erfasst")))))))))</x:f>
      </x:c>
    </x:row>
    <x:row r="1140" ht="22" customHeight="1">
      <x:c r="A1140" s="7"/>
      <x:c r="B1140" s="8"/>
      <x:c r="C1140" s="7"/>
      <x:c r="D1140" s="7"/>
      <x:c r="E1140" s="7"/>
      <x:c r="F1140" s="20"/>
      <x:c r="G1140" s="7"/>
      <x:c r="H1140" s="7"/>
      <x:c r="I1140" s="7"/>
      <x:c r="J1140" s="7"/>
      <x:c r="K1140" s="7"/>
      <x:c r="L1140" s="7"/>
      <x:c r="M1140" s="7"/>
      <x:c r="N1140" s="7"/>
      <x:c r="O1140" s="2" t="str">
        <x:f>IF(A1140="","",IF(COUNTIFS($A$7:$A$1506,A1140)&gt;1,"Buchung-ID doppelt",IF(OR(NOT(ISNUMBER(B1140)),C1140="",NOT(ISNUMBER(F1140)),H1140="",L1140=""),"Pflichtangaben fehlen",IF(COUNTIFS('Konten'!$A$7:$A$26,C1140)&lt;&gt;1,"Konto nicht eindeutig",IF(J1140&lt;&gt;"Ja","Zuordnung bestätigen",IF(OR(AND(H1140="Einnahme",F1140&lt;0),AND(H1140="Ausgabe",F1140&gt;0)),"Vorzeichen prüfen",IF(AND(H1140="Umbuchung",OR(K1140="",COUNTIFS($A$7:$A$1506,K1140)&lt;&gt;1)),"Gegenbuchung fehlt",IF(AND(H1140="Umbuchung",ROUND(SUMIFS($F$7:$F$1506,$A$7:$A$1506,K1140)+F1140,2)&lt;&gt;0),"Umbuchung abweichend",IF(OR(G1140="",M1140="",M1140="offen",M1140="teilbelegt",H1140="Ungeklärt",H1140="Bargeld"),"Beleg / Verwendung klären","vollständig erfasst")))))))))</x:f>
      </x:c>
    </x:row>
    <x:row r="1141" ht="22" customHeight="1">
      <x:c r="A1141" s="7"/>
      <x:c r="B1141" s="8"/>
      <x:c r="C1141" s="7"/>
      <x:c r="D1141" s="7"/>
      <x:c r="E1141" s="7"/>
      <x:c r="F1141" s="20"/>
      <x:c r="G1141" s="7"/>
      <x:c r="H1141" s="7"/>
      <x:c r="I1141" s="7"/>
      <x:c r="J1141" s="7"/>
      <x:c r="K1141" s="7"/>
      <x:c r="L1141" s="7"/>
      <x:c r="M1141" s="7"/>
      <x:c r="N1141" s="7"/>
      <x:c r="O1141" s="2" t="str">
        <x:f>IF(A1141="","",IF(COUNTIFS($A$7:$A$1506,A1141)&gt;1,"Buchung-ID doppelt",IF(OR(NOT(ISNUMBER(B1141)),C1141="",NOT(ISNUMBER(F1141)),H1141="",L1141=""),"Pflichtangaben fehlen",IF(COUNTIFS('Konten'!$A$7:$A$26,C1141)&lt;&gt;1,"Konto nicht eindeutig",IF(J1141&lt;&gt;"Ja","Zuordnung bestätigen",IF(OR(AND(H1141="Einnahme",F1141&lt;0),AND(H1141="Ausgabe",F1141&gt;0)),"Vorzeichen prüfen",IF(AND(H1141="Umbuchung",OR(K1141="",COUNTIFS($A$7:$A$1506,K1141)&lt;&gt;1)),"Gegenbuchung fehlt",IF(AND(H1141="Umbuchung",ROUND(SUMIFS($F$7:$F$1506,$A$7:$A$1506,K1141)+F1141,2)&lt;&gt;0),"Umbuchung abweichend",IF(OR(G1141="",M1141="",M1141="offen",M1141="teilbelegt",H1141="Ungeklärt",H1141="Bargeld"),"Beleg / Verwendung klären","vollständig erfasst")))))))))</x:f>
      </x:c>
    </x:row>
    <x:row r="1142" ht="22" customHeight="1">
      <x:c r="A1142" s="7"/>
      <x:c r="B1142" s="8"/>
      <x:c r="C1142" s="7"/>
      <x:c r="D1142" s="7"/>
      <x:c r="E1142" s="7"/>
      <x:c r="F1142" s="20"/>
      <x:c r="G1142" s="7"/>
      <x:c r="H1142" s="7"/>
      <x:c r="I1142" s="7"/>
      <x:c r="J1142" s="7"/>
      <x:c r="K1142" s="7"/>
      <x:c r="L1142" s="7"/>
      <x:c r="M1142" s="7"/>
      <x:c r="N1142" s="7"/>
      <x:c r="O1142" s="2" t="str">
        <x:f>IF(A1142="","",IF(COUNTIFS($A$7:$A$1506,A1142)&gt;1,"Buchung-ID doppelt",IF(OR(NOT(ISNUMBER(B1142)),C1142="",NOT(ISNUMBER(F1142)),H1142="",L1142=""),"Pflichtangaben fehlen",IF(COUNTIFS('Konten'!$A$7:$A$26,C1142)&lt;&gt;1,"Konto nicht eindeutig",IF(J1142&lt;&gt;"Ja","Zuordnung bestätigen",IF(OR(AND(H1142="Einnahme",F1142&lt;0),AND(H1142="Ausgabe",F1142&gt;0)),"Vorzeichen prüfen",IF(AND(H1142="Umbuchung",OR(K1142="",COUNTIFS($A$7:$A$1506,K1142)&lt;&gt;1)),"Gegenbuchung fehlt",IF(AND(H1142="Umbuchung",ROUND(SUMIFS($F$7:$F$1506,$A$7:$A$1506,K1142)+F1142,2)&lt;&gt;0),"Umbuchung abweichend",IF(OR(G1142="",M1142="",M1142="offen",M1142="teilbelegt",H1142="Ungeklärt",H1142="Bargeld"),"Beleg / Verwendung klären","vollständig erfasst")))))))))</x:f>
      </x:c>
    </x:row>
    <x:row r="1143" ht="22" customHeight="1">
      <x:c r="A1143" s="7"/>
      <x:c r="B1143" s="8"/>
      <x:c r="C1143" s="7"/>
      <x:c r="D1143" s="7"/>
      <x:c r="E1143" s="7"/>
      <x:c r="F1143" s="20"/>
      <x:c r="G1143" s="7"/>
      <x:c r="H1143" s="7"/>
      <x:c r="I1143" s="7"/>
      <x:c r="J1143" s="7"/>
      <x:c r="K1143" s="7"/>
      <x:c r="L1143" s="7"/>
      <x:c r="M1143" s="7"/>
      <x:c r="N1143" s="7"/>
      <x:c r="O1143" s="2" t="str">
        <x:f>IF(A1143="","",IF(COUNTIFS($A$7:$A$1506,A1143)&gt;1,"Buchung-ID doppelt",IF(OR(NOT(ISNUMBER(B1143)),C1143="",NOT(ISNUMBER(F1143)),H1143="",L1143=""),"Pflichtangaben fehlen",IF(COUNTIFS('Konten'!$A$7:$A$26,C1143)&lt;&gt;1,"Konto nicht eindeutig",IF(J1143&lt;&gt;"Ja","Zuordnung bestätigen",IF(OR(AND(H1143="Einnahme",F1143&lt;0),AND(H1143="Ausgabe",F1143&gt;0)),"Vorzeichen prüfen",IF(AND(H1143="Umbuchung",OR(K1143="",COUNTIFS($A$7:$A$1506,K1143)&lt;&gt;1)),"Gegenbuchung fehlt",IF(AND(H1143="Umbuchung",ROUND(SUMIFS($F$7:$F$1506,$A$7:$A$1506,K1143)+F1143,2)&lt;&gt;0),"Umbuchung abweichend",IF(OR(G1143="",M1143="",M1143="offen",M1143="teilbelegt",H1143="Ungeklärt",H1143="Bargeld"),"Beleg / Verwendung klären","vollständig erfasst")))))))))</x:f>
      </x:c>
    </x:row>
    <x:row r="1144" ht="22" customHeight="1">
      <x:c r="A1144" s="7"/>
      <x:c r="B1144" s="8"/>
      <x:c r="C1144" s="7"/>
      <x:c r="D1144" s="7"/>
      <x:c r="E1144" s="7"/>
      <x:c r="F1144" s="20"/>
      <x:c r="G1144" s="7"/>
      <x:c r="H1144" s="7"/>
      <x:c r="I1144" s="7"/>
      <x:c r="J1144" s="7"/>
      <x:c r="K1144" s="7"/>
      <x:c r="L1144" s="7"/>
      <x:c r="M1144" s="7"/>
      <x:c r="N1144" s="7"/>
      <x:c r="O1144" s="2" t="str">
        <x:f>IF(A1144="","",IF(COUNTIFS($A$7:$A$1506,A1144)&gt;1,"Buchung-ID doppelt",IF(OR(NOT(ISNUMBER(B1144)),C1144="",NOT(ISNUMBER(F1144)),H1144="",L1144=""),"Pflichtangaben fehlen",IF(COUNTIFS('Konten'!$A$7:$A$26,C1144)&lt;&gt;1,"Konto nicht eindeutig",IF(J1144&lt;&gt;"Ja","Zuordnung bestätigen",IF(OR(AND(H1144="Einnahme",F1144&lt;0),AND(H1144="Ausgabe",F1144&gt;0)),"Vorzeichen prüfen",IF(AND(H1144="Umbuchung",OR(K1144="",COUNTIFS($A$7:$A$1506,K1144)&lt;&gt;1)),"Gegenbuchung fehlt",IF(AND(H1144="Umbuchung",ROUND(SUMIFS($F$7:$F$1506,$A$7:$A$1506,K1144)+F1144,2)&lt;&gt;0),"Umbuchung abweichend",IF(OR(G1144="",M1144="",M1144="offen",M1144="teilbelegt",H1144="Ungeklärt",H1144="Bargeld"),"Beleg / Verwendung klären","vollständig erfasst")))))))))</x:f>
      </x:c>
    </x:row>
    <x:row r="1145" ht="22" customHeight="1">
      <x:c r="A1145" s="7"/>
      <x:c r="B1145" s="8"/>
      <x:c r="C1145" s="7"/>
      <x:c r="D1145" s="7"/>
      <x:c r="E1145" s="7"/>
      <x:c r="F1145" s="20"/>
      <x:c r="G1145" s="7"/>
      <x:c r="H1145" s="7"/>
      <x:c r="I1145" s="7"/>
      <x:c r="J1145" s="7"/>
      <x:c r="K1145" s="7"/>
      <x:c r="L1145" s="7"/>
      <x:c r="M1145" s="7"/>
      <x:c r="N1145" s="7"/>
      <x:c r="O1145" s="2" t="str">
        <x:f>IF(A1145="","",IF(COUNTIFS($A$7:$A$1506,A1145)&gt;1,"Buchung-ID doppelt",IF(OR(NOT(ISNUMBER(B1145)),C1145="",NOT(ISNUMBER(F1145)),H1145="",L1145=""),"Pflichtangaben fehlen",IF(COUNTIFS('Konten'!$A$7:$A$26,C1145)&lt;&gt;1,"Konto nicht eindeutig",IF(J1145&lt;&gt;"Ja","Zuordnung bestätigen",IF(OR(AND(H1145="Einnahme",F1145&lt;0),AND(H1145="Ausgabe",F1145&gt;0)),"Vorzeichen prüfen",IF(AND(H1145="Umbuchung",OR(K1145="",COUNTIFS($A$7:$A$1506,K1145)&lt;&gt;1)),"Gegenbuchung fehlt",IF(AND(H1145="Umbuchung",ROUND(SUMIFS($F$7:$F$1506,$A$7:$A$1506,K1145)+F1145,2)&lt;&gt;0),"Umbuchung abweichend",IF(OR(G1145="",M1145="",M1145="offen",M1145="teilbelegt",H1145="Ungeklärt",H1145="Bargeld"),"Beleg / Verwendung klären","vollständig erfasst")))))))))</x:f>
      </x:c>
    </x:row>
    <x:row r="1146" ht="22" customHeight="1">
      <x:c r="A1146" s="7"/>
      <x:c r="B1146" s="8"/>
      <x:c r="C1146" s="7"/>
      <x:c r="D1146" s="7"/>
      <x:c r="E1146" s="7"/>
      <x:c r="F1146" s="20"/>
      <x:c r="G1146" s="7"/>
      <x:c r="H1146" s="7"/>
      <x:c r="I1146" s="7"/>
      <x:c r="J1146" s="7"/>
      <x:c r="K1146" s="7"/>
      <x:c r="L1146" s="7"/>
      <x:c r="M1146" s="7"/>
      <x:c r="N1146" s="7"/>
      <x:c r="O1146" s="2" t="str">
        <x:f>IF(A1146="","",IF(COUNTIFS($A$7:$A$1506,A1146)&gt;1,"Buchung-ID doppelt",IF(OR(NOT(ISNUMBER(B1146)),C1146="",NOT(ISNUMBER(F1146)),H1146="",L1146=""),"Pflichtangaben fehlen",IF(COUNTIFS('Konten'!$A$7:$A$26,C1146)&lt;&gt;1,"Konto nicht eindeutig",IF(J1146&lt;&gt;"Ja","Zuordnung bestätigen",IF(OR(AND(H1146="Einnahme",F1146&lt;0),AND(H1146="Ausgabe",F1146&gt;0)),"Vorzeichen prüfen",IF(AND(H1146="Umbuchung",OR(K1146="",COUNTIFS($A$7:$A$1506,K1146)&lt;&gt;1)),"Gegenbuchung fehlt",IF(AND(H1146="Umbuchung",ROUND(SUMIFS($F$7:$F$1506,$A$7:$A$1506,K1146)+F1146,2)&lt;&gt;0),"Umbuchung abweichend",IF(OR(G1146="",M1146="",M1146="offen",M1146="teilbelegt",H1146="Ungeklärt",H1146="Bargeld"),"Beleg / Verwendung klären","vollständig erfasst")))))))))</x:f>
      </x:c>
    </x:row>
    <x:row r="1147" ht="22" customHeight="1">
      <x:c r="A1147" s="7"/>
      <x:c r="B1147" s="8"/>
      <x:c r="C1147" s="7"/>
      <x:c r="D1147" s="7"/>
      <x:c r="E1147" s="7"/>
      <x:c r="F1147" s="20"/>
      <x:c r="G1147" s="7"/>
      <x:c r="H1147" s="7"/>
      <x:c r="I1147" s="7"/>
      <x:c r="J1147" s="7"/>
      <x:c r="K1147" s="7"/>
      <x:c r="L1147" s="7"/>
      <x:c r="M1147" s="7"/>
      <x:c r="N1147" s="7"/>
      <x:c r="O1147" s="2" t="str">
        <x:f>IF(A1147="","",IF(COUNTIFS($A$7:$A$1506,A1147)&gt;1,"Buchung-ID doppelt",IF(OR(NOT(ISNUMBER(B1147)),C1147="",NOT(ISNUMBER(F1147)),H1147="",L1147=""),"Pflichtangaben fehlen",IF(COUNTIFS('Konten'!$A$7:$A$26,C1147)&lt;&gt;1,"Konto nicht eindeutig",IF(J1147&lt;&gt;"Ja","Zuordnung bestätigen",IF(OR(AND(H1147="Einnahme",F1147&lt;0),AND(H1147="Ausgabe",F1147&gt;0)),"Vorzeichen prüfen",IF(AND(H1147="Umbuchung",OR(K1147="",COUNTIFS($A$7:$A$1506,K1147)&lt;&gt;1)),"Gegenbuchung fehlt",IF(AND(H1147="Umbuchung",ROUND(SUMIFS($F$7:$F$1506,$A$7:$A$1506,K1147)+F1147,2)&lt;&gt;0),"Umbuchung abweichend",IF(OR(G1147="",M1147="",M1147="offen",M1147="teilbelegt",H1147="Ungeklärt",H1147="Bargeld"),"Beleg / Verwendung klären","vollständig erfasst")))))))))</x:f>
      </x:c>
    </x:row>
    <x:row r="1148" ht="22" customHeight="1">
      <x:c r="A1148" s="7"/>
      <x:c r="B1148" s="8"/>
      <x:c r="C1148" s="7"/>
      <x:c r="D1148" s="7"/>
      <x:c r="E1148" s="7"/>
      <x:c r="F1148" s="20"/>
      <x:c r="G1148" s="7"/>
      <x:c r="H1148" s="7"/>
      <x:c r="I1148" s="7"/>
      <x:c r="J1148" s="7"/>
      <x:c r="K1148" s="7"/>
      <x:c r="L1148" s="7"/>
      <x:c r="M1148" s="7"/>
      <x:c r="N1148" s="7"/>
      <x:c r="O1148" s="2" t="str">
        <x:f>IF(A1148="","",IF(COUNTIFS($A$7:$A$1506,A1148)&gt;1,"Buchung-ID doppelt",IF(OR(NOT(ISNUMBER(B1148)),C1148="",NOT(ISNUMBER(F1148)),H1148="",L1148=""),"Pflichtangaben fehlen",IF(COUNTIFS('Konten'!$A$7:$A$26,C1148)&lt;&gt;1,"Konto nicht eindeutig",IF(J1148&lt;&gt;"Ja","Zuordnung bestätigen",IF(OR(AND(H1148="Einnahme",F1148&lt;0),AND(H1148="Ausgabe",F1148&gt;0)),"Vorzeichen prüfen",IF(AND(H1148="Umbuchung",OR(K1148="",COUNTIFS($A$7:$A$1506,K1148)&lt;&gt;1)),"Gegenbuchung fehlt",IF(AND(H1148="Umbuchung",ROUND(SUMIFS($F$7:$F$1506,$A$7:$A$1506,K1148)+F1148,2)&lt;&gt;0),"Umbuchung abweichend",IF(OR(G1148="",M1148="",M1148="offen",M1148="teilbelegt",H1148="Ungeklärt",H1148="Bargeld"),"Beleg / Verwendung klären","vollständig erfasst")))))))))</x:f>
      </x:c>
    </x:row>
    <x:row r="1149" ht="22" customHeight="1">
      <x:c r="A1149" s="7"/>
      <x:c r="B1149" s="8"/>
      <x:c r="C1149" s="7"/>
      <x:c r="D1149" s="7"/>
      <x:c r="E1149" s="7"/>
      <x:c r="F1149" s="20"/>
      <x:c r="G1149" s="7"/>
      <x:c r="H1149" s="7"/>
      <x:c r="I1149" s="7"/>
      <x:c r="J1149" s="7"/>
      <x:c r="K1149" s="7"/>
      <x:c r="L1149" s="7"/>
      <x:c r="M1149" s="7"/>
      <x:c r="N1149" s="7"/>
      <x:c r="O1149" s="2" t="str">
        <x:f>IF(A1149="","",IF(COUNTIFS($A$7:$A$1506,A1149)&gt;1,"Buchung-ID doppelt",IF(OR(NOT(ISNUMBER(B1149)),C1149="",NOT(ISNUMBER(F1149)),H1149="",L1149=""),"Pflichtangaben fehlen",IF(COUNTIFS('Konten'!$A$7:$A$26,C1149)&lt;&gt;1,"Konto nicht eindeutig",IF(J1149&lt;&gt;"Ja","Zuordnung bestätigen",IF(OR(AND(H1149="Einnahme",F1149&lt;0),AND(H1149="Ausgabe",F1149&gt;0)),"Vorzeichen prüfen",IF(AND(H1149="Umbuchung",OR(K1149="",COUNTIFS($A$7:$A$1506,K1149)&lt;&gt;1)),"Gegenbuchung fehlt",IF(AND(H1149="Umbuchung",ROUND(SUMIFS($F$7:$F$1506,$A$7:$A$1506,K1149)+F1149,2)&lt;&gt;0),"Umbuchung abweichend",IF(OR(G1149="",M1149="",M1149="offen",M1149="teilbelegt",H1149="Ungeklärt",H1149="Bargeld"),"Beleg / Verwendung klären","vollständig erfasst")))))))))</x:f>
      </x:c>
    </x:row>
    <x:row r="1150" ht="22" customHeight="1">
      <x:c r="A1150" s="7"/>
      <x:c r="B1150" s="8"/>
      <x:c r="C1150" s="7"/>
      <x:c r="D1150" s="7"/>
      <x:c r="E1150" s="7"/>
      <x:c r="F1150" s="20"/>
      <x:c r="G1150" s="7"/>
      <x:c r="H1150" s="7"/>
      <x:c r="I1150" s="7"/>
      <x:c r="J1150" s="7"/>
      <x:c r="K1150" s="7"/>
      <x:c r="L1150" s="7"/>
      <x:c r="M1150" s="7"/>
      <x:c r="N1150" s="7"/>
      <x:c r="O1150" s="2" t="str">
        <x:f>IF(A1150="","",IF(COUNTIFS($A$7:$A$1506,A1150)&gt;1,"Buchung-ID doppelt",IF(OR(NOT(ISNUMBER(B1150)),C1150="",NOT(ISNUMBER(F1150)),H1150="",L1150=""),"Pflichtangaben fehlen",IF(COUNTIFS('Konten'!$A$7:$A$26,C1150)&lt;&gt;1,"Konto nicht eindeutig",IF(J1150&lt;&gt;"Ja","Zuordnung bestätigen",IF(OR(AND(H1150="Einnahme",F1150&lt;0),AND(H1150="Ausgabe",F1150&gt;0)),"Vorzeichen prüfen",IF(AND(H1150="Umbuchung",OR(K1150="",COUNTIFS($A$7:$A$1506,K1150)&lt;&gt;1)),"Gegenbuchung fehlt",IF(AND(H1150="Umbuchung",ROUND(SUMIFS($F$7:$F$1506,$A$7:$A$1506,K1150)+F1150,2)&lt;&gt;0),"Umbuchung abweichend",IF(OR(G1150="",M1150="",M1150="offen",M1150="teilbelegt",H1150="Ungeklärt",H1150="Bargeld"),"Beleg / Verwendung klären","vollständig erfasst")))))))))</x:f>
      </x:c>
    </x:row>
    <x:row r="1151" ht="22" customHeight="1">
      <x:c r="A1151" s="7"/>
      <x:c r="B1151" s="8"/>
      <x:c r="C1151" s="7"/>
      <x:c r="D1151" s="7"/>
      <x:c r="E1151" s="7"/>
      <x:c r="F1151" s="20"/>
      <x:c r="G1151" s="7"/>
      <x:c r="H1151" s="7"/>
      <x:c r="I1151" s="7"/>
      <x:c r="J1151" s="7"/>
      <x:c r="K1151" s="7"/>
      <x:c r="L1151" s="7"/>
      <x:c r="M1151" s="7"/>
      <x:c r="N1151" s="7"/>
      <x:c r="O1151" s="2" t="str">
        <x:f>IF(A1151="","",IF(COUNTIFS($A$7:$A$1506,A1151)&gt;1,"Buchung-ID doppelt",IF(OR(NOT(ISNUMBER(B1151)),C1151="",NOT(ISNUMBER(F1151)),H1151="",L1151=""),"Pflichtangaben fehlen",IF(COUNTIFS('Konten'!$A$7:$A$26,C1151)&lt;&gt;1,"Konto nicht eindeutig",IF(J1151&lt;&gt;"Ja","Zuordnung bestätigen",IF(OR(AND(H1151="Einnahme",F1151&lt;0),AND(H1151="Ausgabe",F1151&gt;0)),"Vorzeichen prüfen",IF(AND(H1151="Umbuchung",OR(K1151="",COUNTIFS($A$7:$A$1506,K1151)&lt;&gt;1)),"Gegenbuchung fehlt",IF(AND(H1151="Umbuchung",ROUND(SUMIFS($F$7:$F$1506,$A$7:$A$1506,K1151)+F1151,2)&lt;&gt;0),"Umbuchung abweichend",IF(OR(G1151="",M1151="",M1151="offen",M1151="teilbelegt",H1151="Ungeklärt",H1151="Bargeld"),"Beleg / Verwendung klären","vollständig erfasst")))))))))</x:f>
      </x:c>
    </x:row>
    <x:row r="1152" ht="22" customHeight="1">
      <x:c r="A1152" s="7"/>
      <x:c r="B1152" s="8"/>
      <x:c r="C1152" s="7"/>
      <x:c r="D1152" s="7"/>
      <x:c r="E1152" s="7"/>
      <x:c r="F1152" s="20"/>
      <x:c r="G1152" s="7"/>
      <x:c r="H1152" s="7"/>
      <x:c r="I1152" s="7"/>
      <x:c r="J1152" s="7"/>
      <x:c r="K1152" s="7"/>
      <x:c r="L1152" s="7"/>
      <x:c r="M1152" s="7"/>
      <x:c r="N1152" s="7"/>
      <x:c r="O1152" s="2" t="str">
        <x:f>IF(A1152="","",IF(COUNTIFS($A$7:$A$1506,A1152)&gt;1,"Buchung-ID doppelt",IF(OR(NOT(ISNUMBER(B1152)),C1152="",NOT(ISNUMBER(F1152)),H1152="",L1152=""),"Pflichtangaben fehlen",IF(COUNTIFS('Konten'!$A$7:$A$26,C1152)&lt;&gt;1,"Konto nicht eindeutig",IF(J1152&lt;&gt;"Ja","Zuordnung bestätigen",IF(OR(AND(H1152="Einnahme",F1152&lt;0),AND(H1152="Ausgabe",F1152&gt;0)),"Vorzeichen prüfen",IF(AND(H1152="Umbuchung",OR(K1152="",COUNTIFS($A$7:$A$1506,K1152)&lt;&gt;1)),"Gegenbuchung fehlt",IF(AND(H1152="Umbuchung",ROUND(SUMIFS($F$7:$F$1506,$A$7:$A$1506,K1152)+F1152,2)&lt;&gt;0),"Umbuchung abweichend",IF(OR(G1152="",M1152="",M1152="offen",M1152="teilbelegt",H1152="Ungeklärt",H1152="Bargeld"),"Beleg / Verwendung klären","vollständig erfasst")))))))))</x:f>
      </x:c>
    </x:row>
    <x:row r="1153" ht="22" customHeight="1">
      <x:c r="A1153" s="7"/>
      <x:c r="B1153" s="8"/>
      <x:c r="C1153" s="7"/>
      <x:c r="D1153" s="7"/>
      <x:c r="E1153" s="7"/>
      <x:c r="F1153" s="20"/>
      <x:c r="G1153" s="7"/>
      <x:c r="H1153" s="7"/>
      <x:c r="I1153" s="7"/>
      <x:c r="J1153" s="7"/>
      <x:c r="K1153" s="7"/>
      <x:c r="L1153" s="7"/>
      <x:c r="M1153" s="7"/>
      <x:c r="N1153" s="7"/>
      <x:c r="O1153" s="2" t="str">
        <x:f>IF(A1153="","",IF(COUNTIFS($A$7:$A$1506,A1153)&gt;1,"Buchung-ID doppelt",IF(OR(NOT(ISNUMBER(B1153)),C1153="",NOT(ISNUMBER(F1153)),H1153="",L1153=""),"Pflichtangaben fehlen",IF(COUNTIFS('Konten'!$A$7:$A$26,C1153)&lt;&gt;1,"Konto nicht eindeutig",IF(J1153&lt;&gt;"Ja","Zuordnung bestätigen",IF(OR(AND(H1153="Einnahme",F1153&lt;0),AND(H1153="Ausgabe",F1153&gt;0)),"Vorzeichen prüfen",IF(AND(H1153="Umbuchung",OR(K1153="",COUNTIFS($A$7:$A$1506,K1153)&lt;&gt;1)),"Gegenbuchung fehlt",IF(AND(H1153="Umbuchung",ROUND(SUMIFS($F$7:$F$1506,$A$7:$A$1506,K1153)+F1153,2)&lt;&gt;0),"Umbuchung abweichend",IF(OR(G1153="",M1153="",M1153="offen",M1153="teilbelegt",H1153="Ungeklärt",H1153="Bargeld"),"Beleg / Verwendung klären","vollständig erfasst")))))))))</x:f>
      </x:c>
    </x:row>
    <x:row r="1154" ht="22" customHeight="1">
      <x:c r="A1154" s="7"/>
      <x:c r="B1154" s="8"/>
      <x:c r="C1154" s="7"/>
      <x:c r="D1154" s="7"/>
      <x:c r="E1154" s="7"/>
      <x:c r="F1154" s="20"/>
      <x:c r="G1154" s="7"/>
      <x:c r="H1154" s="7"/>
      <x:c r="I1154" s="7"/>
      <x:c r="J1154" s="7"/>
      <x:c r="K1154" s="7"/>
      <x:c r="L1154" s="7"/>
      <x:c r="M1154" s="7"/>
      <x:c r="N1154" s="7"/>
      <x:c r="O1154" s="2" t="str">
        <x:f>IF(A1154="","",IF(COUNTIFS($A$7:$A$1506,A1154)&gt;1,"Buchung-ID doppelt",IF(OR(NOT(ISNUMBER(B1154)),C1154="",NOT(ISNUMBER(F1154)),H1154="",L1154=""),"Pflichtangaben fehlen",IF(COUNTIFS('Konten'!$A$7:$A$26,C1154)&lt;&gt;1,"Konto nicht eindeutig",IF(J1154&lt;&gt;"Ja","Zuordnung bestätigen",IF(OR(AND(H1154="Einnahme",F1154&lt;0),AND(H1154="Ausgabe",F1154&gt;0)),"Vorzeichen prüfen",IF(AND(H1154="Umbuchung",OR(K1154="",COUNTIFS($A$7:$A$1506,K1154)&lt;&gt;1)),"Gegenbuchung fehlt",IF(AND(H1154="Umbuchung",ROUND(SUMIFS($F$7:$F$1506,$A$7:$A$1506,K1154)+F1154,2)&lt;&gt;0),"Umbuchung abweichend",IF(OR(G1154="",M1154="",M1154="offen",M1154="teilbelegt",H1154="Ungeklärt",H1154="Bargeld"),"Beleg / Verwendung klären","vollständig erfasst")))))))))</x:f>
      </x:c>
    </x:row>
    <x:row r="1155" ht="22" customHeight="1">
      <x:c r="A1155" s="7"/>
      <x:c r="B1155" s="8"/>
      <x:c r="C1155" s="7"/>
      <x:c r="D1155" s="7"/>
      <x:c r="E1155" s="7"/>
      <x:c r="F1155" s="20"/>
      <x:c r="G1155" s="7"/>
      <x:c r="H1155" s="7"/>
      <x:c r="I1155" s="7"/>
      <x:c r="J1155" s="7"/>
      <x:c r="K1155" s="7"/>
      <x:c r="L1155" s="7"/>
      <x:c r="M1155" s="7"/>
      <x:c r="N1155" s="7"/>
      <x:c r="O1155" s="2" t="str">
        <x:f>IF(A1155="","",IF(COUNTIFS($A$7:$A$1506,A1155)&gt;1,"Buchung-ID doppelt",IF(OR(NOT(ISNUMBER(B1155)),C1155="",NOT(ISNUMBER(F1155)),H1155="",L1155=""),"Pflichtangaben fehlen",IF(COUNTIFS('Konten'!$A$7:$A$26,C1155)&lt;&gt;1,"Konto nicht eindeutig",IF(J1155&lt;&gt;"Ja","Zuordnung bestätigen",IF(OR(AND(H1155="Einnahme",F1155&lt;0),AND(H1155="Ausgabe",F1155&gt;0)),"Vorzeichen prüfen",IF(AND(H1155="Umbuchung",OR(K1155="",COUNTIFS($A$7:$A$1506,K1155)&lt;&gt;1)),"Gegenbuchung fehlt",IF(AND(H1155="Umbuchung",ROUND(SUMIFS($F$7:$F$1506,$A$7:$A$1506,K1155)+F1155,2)&lt;&gt;0),"Umbuchung abweichend",IF(OR(G1155="",M1155="",M1155="offen",M1155="teilbelegt",H1155="Ungeklärt",H1155="Bargeld"),"Beleg / Verwendung klären","vollständig erfasst")))))))))</x:f>
      </x:c>
    </x:row>
    <x:row r="1156" ht="22" customHeight="1">
      <x:c r="A1156" s="7"/>
      <x:c r="B1156" s="8"/>
      <x:c r="C1156" s="7"/>
      <x:c r="D1156" s="7"/>
      <x:c r="E1156" s="7"/>
      <x:c r="F1156" s="20"/>
      <x:c r="G1156" s="7"/>
      <x:c r="H1156" s="7"/>
      <x:c r="I1156" s="7"/>
      <x:c r="J1156" s="7"/>
      <x:c r="K1156" s="7"/>
      <x:c r="L1156" s="7"/>
      <x:c r="M1156" s="7"/>
      <x:c r="N1156" s="7"/>
      <x:c r="O1156" s="2" t="str">
        <x:f>IF(A1156="","",IF(COUNTIFS($A$7:$A$1506,A1156)&gt;1,"Buchung-ID doppelt",IF(OR(NOT(ISNUMBER(B1156)),C1156="",NOT(ISNUMBER(F1156)),H1156="",L1156=""),"Pflichtangaben fehlen",IF(COUNTIFS('Konten'!$A$7:$A$26,C1156)&lt;&gt;1,"Konto nicht eindeutig",IF(J1156&lt;&gt;"Ja","Zuordnung bestätigen",IF(OR(AND(H1156="Einnahme",F1156&lt;0),AND(H1156="Ausgabe",F1156&gt;0)),"Vorzeichen prüfen",IF(AND(H1156="Umbuchung",OR(K1156="",COUNTIFS($A$7:$A$1506,K1156)&lt;&gt;1)),"Gegenbuchung fehlt",IF(AND(H1156="Umbuchung",ROUND(SUMIFS($F$7:$F$1506,$A$7:$A$1506,K1156)+F1156,2)&lt;&gt;0),"Umbuchung abweichend",IF(OR(G1156="",M1156="",M1156="offen",M1156="teilbelegt",H1156="Ungeklärt",H1156="Bargeld"),"Beleg / Verwendung klären","vollständig erfasst")))))))))</x:f>
      </x:c>
    </x:row>
    <x:row r="1157" ht="22" customHeight="1">
      <x:c r="A1157" s="7"/>
      <x:c r="B1157" s="8"/>
      <x:c r="C1157" s="7"/>
      <x:c r="D1157" s="7"/>
      <x:c r="E1157" s="7"/>
      <x:c r="F1157" s="20"/>
      <x:c r="G1157" s="7"/>
      <x:c r="H1157" s="7"/>
      <x:c r="I1157" s="7"/>
      <x:c r="J1157" s="7"/>
      <x:c r="K1157" s="7"/>
      <x:c r="L1157" s="7"/>
      <x:c r="M1157" s="7"/>
      <x:c r="N1157" s="7"/>
      <x:c r="O1157" s="2" t="str">
        <x:f>IF(A1157="","",IF(COUNTIFS($A$7:$A$1506,A1157)&gt;1,"Buchung-ID doppelt",IF(OR(NOT(ISNUMBER(B1157)),C1157="",NOT(ISNUMBER(F1157)),H1157="",L1157=""),"Pflichtangaben fehlen",IF(COUNTIFS('Konten'!$A$7:$A$26,C1157)&lt;&gt;1,"Konto nicht eindeutig",IF(J1157&lt;&gt;"Ja","Zuordnung bestätigen",IF(OR(AND(H1157="Einnahme",F1157&lt;0),AND(H1157="Ausgabe",F1157&gt;0)),"Vorzeichen prüfen",IF(AND(H1157="Umbuchung",OR(K1157="",COUNTIFS($A$7:$A$1506,K1157)&lt;&gt;1)),"Gegenbuchung fehlt",IF(AND(H1157="Umbuchung",ROUND(SUMIFS($F$7:$F$1506,$A$7:$A$1506,K1157)+F1157,2)&lt;&gt;0),"Umbuchung abweichend",IF(OR(G1157="",M1157="",M1157="offen",M1157="teilbelegt",H1157="Ungeklärt",H1157="Bargeld"),"Beleg / Verwendung klären","vollständig erfasst")))))))))</x:f>
      </x:c>
    </x:row>
    <x:row r="1158" ht="22" customHeight="1">
      <x:c r="A1158" s="7"/>
      <x:c r="B1158" s="8"/>
      <x:c r="C1158" s="7"/>
      <x:c r="D1158" s="7"/>
      <x:c r="E1158" s="7"/>
      <x:c r="F1158" s="20"/>
      <x:c r="G1158" s="7"/>
      <x:c r="H1158" s="7"/>
      <x:c r="I1158" s="7"/>
      <x:c r="J1158" s="7"/>
      <x:c r="K1158" s="7"/>
      <x:c r="L1158" s="7"/>
      <x:c r="M1158" s="7"/>
      <x:c r="N1158" s="7"/>
      <x:c r="O1158" s="2" t="str">
        <x:f>IF(A1158="","",IF(COUNTIFS($A$7:$A$1506,A1158)&gt;1,"Buchung-ID doppelt",IF(OR(NOT(ISNUMBER(B1158)),C1158="",NOT(ISNUMBER(F1158)),H1158="",L1158=""),"Pflichtangaben fehlen",IF(COUNTIFS('Konten'!$A$7:$A$26,C1158)&lt;&gt;1,"Konto nicht eindeutig",IF(J1158&lt;&gt;"Ja","Zuordnung bestätigen",IF(OR(AND(H1158="Einnahme",F1158&lt;0),AND(H1158="Ausgabe",F1158&gt;0)),"Vorzeichen prüfen",IF(AND(H1158="Umbuchung",OR(K1158="",COUNTIFS($A$7:$A$1506,K1158)&lt;&gt;1)),"Gegenbuchung fehlt",IF(AND(H1158="Umbuchung",ROUND(SUMIFS($F$7:$F$1506,$A$7:$A$1506,K1158)+F1158,2)&lt;&gt;0),"Umbuchung abweichend",IF(OR(G1158="",M1158="",M1158="offen",M1158="teilbelegt",H1158="Ungeklärt",H1158="Bargeld"),"Beleg / Verwendung klären","vollständig erfasst")))))))))</x:f>
      </x:c>
    </x:row>
    <x:row r="1159" ht="22" customHeight="1">
      <x:c r="A1159" s="7"/>
      <x:c r="B1159" s="8"/>
      <x:c r="C1159" s="7"/>
      <x:c r="D1159" s="7"/>
      <x:c r="E1159" s="7"/>
      <x:c r="F1159" s="20"/>
      <x:c r="G1159" s="7"/>
      <x:c r="H1159" s="7"/>
      <x:c r="I1159" s="7"/>
      <x:c r="J1159" s="7"/>
      <x:c r="K1159" s="7"/>
      <x:c r="L1159" s="7"/>
      <x:c r="M1159" s="7"/>
      <x:c r="N1159" s="7"/>
      <x:c r="O1159" s="2" t="str">
        <x:f>IF(A1159="","",IF(COUNTIFS($A$7:$A$1506,A1159)&gt;1,"Buchung-ID doppelt",IF(OR(NOT(ISNUMBER(B1159)),C1159="",NOT(ISNUMBER(F1159)),H1159="",L1159=""),"Pflichtangaben fehlen",IF(COUNTIFS('Konten'!$A$7:$A$26,C1159)&lt;&gt;1,"Konto nicht eindeutig",IF(J1159&lt;&gt;"Ja","Zuordnung bestätigen",IF(OR(AND(H1159="Einnahme",F1159&lt;0),AND(H1159="Ausgabe",F1159&gt;0)),"Vorzeichen prüfen",IF(AND(H1159="Umbuchung",OR(K1159="",COUNTIFS($A$7:$A$1506,K1159)&lt;&gt;1)),"Gegenbuchung fehlt",IF(AND(H1159="Umbuchung",ROUND(SUMIFS($F$7:$F$1506,$A$7:$A$1506,K1159)+F1159,2)&lt;&gt;0),"Umbuchung abweichend",IF(OR(G1159="",M1159="",M1159="offen",M1159="teilbelegt",H1159="Ungeklärt",H1159="Bargeld"),"Beleg / Verwendung klären","vollständig erfasst")))))))))</x:f>
      </x:c>
    </x:row>
    <x:row r="1160" ht="22" customHeight="1">
      <x:c r="A1160" s="7"/>
      <x:c r="B1160" s="8"/>
      <x:c r="C1160" s="7"/>
      <x:c r="D1160" s="7"/>
      <x:c r="E1160" s="7"/>
      <x:c r="F1160" s="20"/>
      <x:c r="G1160" s="7"/>
      <x:c r="H1160" s="7"/>
      <x:c r="I1160" s="7"/>
      <x:c r="J1160" s="7"/>
      <x:c r="K1160" s="7"/>
      <x:c r="L1160" s="7"/>
      <x:c r="M1160" s="7"/>
      <x:c r="N1160" s="7"/>
      <x:c r="O1160" s="2" t="str">
        <x:f>IF(A1160="","",IF(COUNTIFS($A$7:$A$1506,A1160)&gt;1,"Buchung-ID doppelt",IF(OR(NOT(ISNUMBER(B1160)),C1160="",NOT(ISNUMBER(F1160)),H1160="",L1160=""),"Pflichtangaben fehlen",IF(COUNTIFS('Konten'!$A$7:$A$26,C1160)&lt;&gt;1,"Konto nicht eindeutig",IF(J1160&lt;&gt;"Ja","Zuordnung bestätigen",IF(OR(AND(H1160="Einnahme",F1160&lt;0),AND(H1160="Ausgabe",F1160&gt;0)),"Vorzeichen prüfen",IF(AND(H1160="Umbuchung",OR(K1160="",COUNTIFS($A$7:$A$1506,K1160)&lt;&gt;1)),"Gegenbuchung fehlt",IF(AND(H1160="Umbuchung",ROUND(SUMIFS($F$7:$F$1506,$A$7:$A$1506,K1160)+F1160,2)&lt;&gt;0),"Umbuchung abweichend",IF(OR(G1160="",M1160="",M1160="offen",M1160="teilbelegt",H1160="Ungeklärt",H1160="Bargeld"),"Beleg / Verwendung klären","vollständig erfasst")))))))))</x:f>
      </x:c>
    </x:row>
    <x:row r="1161" ht="22" customHeight="1">
      <x:c r="A1161" s="7"/>
      <x:c r="B1161" s="8"/>
      <x:c r="C1161" s="7"/>
      <x:c r="D1161" s="7"/>
      <x:c r="E1161" s="7"/>
      <x:c r="F1161" s="20"/>
      <x:c r="G1161" s="7"/>
      <x:c r="H1161" s="7"/>
      <x:c r="I1161" s="7"/>
      <x:c r="J1161" s="7"/>
      <x:c r="K1161" s="7"/>
      <x:c r="L1161" s="7"/>
      <x:c r="M1161" s="7"/>
      <x:c r="N1161" s="7"/>
      <x:c r="O1161" s="2" t="str">
        <x:f>IF(A1161="","",IF(COUNTIFS($A$7:$A$1506,A1161)&gt;1,"Buchung-ID doppelt",IF(OR(NOT(ISNUMBER(B1161)),C1161="",NOT(ISNUMBER(F1161)),H1161="",L1161=""),"Pflichtangaben fehlen",IF(COUNTIFS('Konten'!$A$7:$A$26,C1161)&lt;&gt;1,"Konto nicht eindeutig",IF(J1161&lt;&gt;"Ja","Zuordnung bestätigen",IF(OR(AND(H1161="Einnahme",F1161&lt;0),AND(H1161="Ausgabe",F1161&gt;0)),"Vorzeichen prüfen",IF(AND(H1161="Umbuchung",OR(K1161="",COUNTIFS($A$7:$A$1506,K1161)&lt;&gt;1)),"Gegenbuchung fehlt",IF(AND(H1161="Umbuchung",ROUND(SUMIFS($F$7:$F$1506,$A$7:$A$1506,K1161)+F1161,2)&lt;&gt;0),"Umbuchung abweichend",IF(OR(G1161="",M1161="",M1161="offen",M1161="teilbelegt",H1161="Ungeklärt",H1161="Bargeld"),"Beleg / Verwendung klären","vollständig erfasst")))))))))</x:f>
      </x:c>
    </x:row>
    <x:row r="1162" ht="22" customHeight="1">
      <x:c r="A1162" s="7"/>
      <x:c r="B1162" s="8"/>
      <x:c r="C1162" s="7"/>
      <x:c r="D1162" s="7"/>
      <x:c r="E1162" s="7"/>
      <x:c r="F1162" s="20"/>
      <x:c r="G1162" s="7"/>
      <x:c r="H1162" s="7"/>
      <x:c r="I1162" s="7"/>
      <x:c r="J1162" s="7"/>
      <x:c r="K1162" s="7"/>
      <x:c r="L1162" s="7"/>
      <x:c r="M1162" s="7"/>
      <x:c r="N1162" s="7"/>
      <x:c r="O1162" s="2" t="str">
        <x:f>IF(A1162="","",IF(COUNTIFS($A$7:$A$1506,A1162)&gt;1,"Buchung-ID doppelt",IF(OR(NOT(ISNUMBER(B1162)),C1162="",NOT(ISNUMBER(F1162)),H1162="",L1162=""),"Pflichtangaben fehlen",IF(COUNTIFS('Konten'!$A$7:$A$26,C1162)&lt;&gt;1,"Konto nicht eindeutig",IF(J1162&lt;&gt;"Ja","Zuordnung bestätigen",IF(OR(AND(H1162="Einnahme",F1162&lt;0),AND(H1162="Ausgabe",F1162&gt;0)),"Vorzeichen prüfen",IF(AND(H1162="Umbuchung",OR(K1162="",COUNTIFS($A$7:$A$1506,K1162)&lt;&gt;1)),"Gegenbuchung fehlt",IF(AND(H1162="Umbuchung",ROUND(SUMIFS($F$7:$F$1506,$A$7:$A$1506,K1162)+F1162,2)&lt;&gt;0),"Umbuchung abweichend",IF(OR(G1162="",M1162="",M1162="offen",M1162="teilbelegt",H1162="Ungeklärt",H1162="Bargeld"),"Beleg / Verwendung klären","vollständig erfasst")))))))))</x:f>
      </x:c>
    </x:row>
    <x:row r="1163" ht="22" customHeight="1">
      <x:c r="A1163" s="7"/>
      <x:c r="B1163" s="8"/>
      <x:c r="C1163" s="7"/>
      <x:c r="D1163" s="7"/>
      <x:c r="E1163" s="7"/>
      <x:c r="F1163" s="20"/>
      <x:c r="G1163" s="7"/>
      <x:c r="H1163" s="7"/>
      <x:c r="I1163" s="7"/>
      <x:c r="J1163" s="7"/>
      <x:c r="K1163" s="7"/>
      <x:c r="L1163" s="7"/>
      <x:c r="M1163" s="7"/>
      <x:c r="N1163" s="7"/>
      <x:c r="O1163" s="2" t="str">
        <x:f>IF(A1163="","",IF(COUNTIFS($A$7:$A$1506,A1163)&gt;1,"Buchung-ID doppelt",IF(OR(NOT(ISNUMBER(B1163)),C1163="",NOT(ISNUMBER(F1163)),H1163="",L1163=""),"Pflichtangaben fehlen",IF(COUNTIFS('Konten'!$A$7:$A$26,C1163)&lt;&gt;1,"Konto nicht eindeutig",IF(J1163&lt;&gt;"Ja","Zuordnung bestätigen",IF(OR(AND(H1163="Einnahme",F1163&lt;0),AND(H1163="Ausgabe",F1163&gt;0)),"Vorzeichen prüfen",IF(AND(H1163="Umbuchung",OR(K1163="",COUNTIFS($A$7:$A$1506,K1163)&lt;&gt;1)),"Gegenbuchung fehlt",IF(AND(H1163="Umbuchung",ROUND(SUMIFS($F$7:$F$1506,$A$7:$A$1506,K1163)+F1163,2)&lt;&gt;0),"Umbuchung abweichend",IF(OR(G1163="",M1163="",M1163="offen",M1163="teilbelegt",H1163="Ungeklärt",H1163="Bargeld"),"Beleg / Verwendung klären","vollständig erfasst")))))))))</x:f>
      </x:c>
    </x:row>
    <x:row r="1164" ht="22" customHeight="1">
      <x:c r="A1164" s="7"/>
      <x:c r="B1164" s="8"/>
      <x:c r="C1164" s="7"/>
      <x:c r="D1164" s="7"/>
      <x:c r="E1164" s="7"/>
      <x:c r="F1164" s="20"/>
      <x:c r="G1164" s="7"/>
      <x:c r="H1164" s="7"/>
      <x:c r="I1164" s="7"/>
      <x:c r="J1164" s="7"/>
      <x:c r="K1164" s="7"/>
      <x:c r="L1164" s="7"/>
      <x:c r="M1164" s="7"/>
      <x:c r="N1164" s="7"/>
      <x:c r="O1164" s="2" t="str">
        <x:f>IF(A1164="","",IF(COUNTIFS($A$7:$A$1506,A1164)&gt;1,"Buchung-ID doppelt",IF(OR(NOT(ISNUMBER(B1164)),C1164="",NOT(ISNUMBER(F1164)),H1164="",L1164=""),"Pflichtangaben fehlen",IF(COUNTIFS('Konten'!$A$7:$A$26,C1164)&lt;&gt;1,"Konto nicht eindeutig",IF(J1164&lt;&gt;"Ja","Zuordnung bestätigen",IF(OR(AND(H1164="Einnahme",F1164&lt;0),AND(H1164="Ausgabe",F1164&gt;0)),"Vorzeichen prüfen",IF(AND(H1164="Umbuchung",OR(K1164="",COUNTIFS($A$7:$A$1506,K1164)&lt;&gt;1)),"Gegenbuchung fehlt",IF(AND(H1164="Umbuchung",ROUND(SUMIFS($F$7:$F$1506,$A$7:$A$1506,K1164)+F1164,2)&lt;&gt;0),"Umbuchung abweichend",IF(OR(G1164="",M1164="",M1164="offen",M1164="teilbelegt",H1164="Ungeklärt",H1164="Bargeld"),"Beleg / Verwendung klären","vollständig erfasst")))))))))</x:f>
      </x:c>
    </x:row>
    <x:row r="1165" ht="22" customHeight="1">
      <x:c r="A1165" s="7"/>
      <x:c r="B1165" s="8"/>
      <x:c r="C1165" s="7"/>
      <x:c r="D1165" s="7"/>
      <x:c r="E1165" s="7"/>
      <x:c r="F1165" s="20"/>
      <x:c r="G1165" s="7"/>
      <x:c r="H1165" s="7"/>
      <x:c r="I1165" s="7"/>
      <x:c r="J1165" s="7"/>
      <x:c r="K1165" s="7"/>
      <x:c r="L1165" s="7"/>
      <x:c r="M1165" s="7"/>
      <x:c r="N1165" s="7"/>
      <x:c r="O1165" s="2" t="str">
        <x:f>IF(A1165="","",IF(COUNTIFS($A$7:$A$1506,A1165)&gt;1,"Buchung-ID doppelt",IF(OR(NOT(ISNUMBER(B1165)),C1165="",NOT(ISNUMBER(F1165)),H1165="",L1165=""),"Pflichtangaben fehlen",IF(COUNTIFS('Konten'!$A$7:$A$26,C1165)&lt;&gt;1,"Konto nicht eindeutig",IF(J1165&lt;&gt;"Ja","Zuordnung bestätigen",IF(OR(AND(H1165="Einnahme",F1165&lt;0),AND(H1165="Ausgabe",F1165&gt;0)),"Vorzeichen prüfen",IF(AND(H1165="Umbuchung",OR(K1165="",COUNTIFS($A$7:$A$1506,K1165)&lt;&gt;1)),"Gegenbuchung fehlt",IF(AND(H1165="Umbuchung",ROUND(SUMIFS($F$7:$F$1506,$A$7:$A$1506,K1165)+F1165,2)&lt;&gt;0),"Umbuchung abweichend",IF(OR(G1165="",M1165="",M1165="offen",M1165="teilbelegt",H1165="Ungeklärt",H1165="Bargeld"),"Beleg / Verwendung klären","vollständig erfasst")))))))))</x:f>
      </x:c>
    </x:row>
    <x:row r="1166" ht="22" customHeight="1">
      <x:c r="A1166" s="7"/>
      <x:c r="B1166" s="8"/>
      <x:c r="C1166" s="7"/>
      <x:c r="D1166" s="7"/>
      <x:c r="E1166" s="7"/>
      <x:c r="F1166" s="20"/>
      <x:c r="G1166" s="7"/>
      <x:c r="H1166" s="7"/>
      <x:c r="I1166" s="7"/>
      <x:c r="J1166" s="7"/>
      <x:c r="K1166" s="7"/>
      <x:c r="L1166" s="7"/>
      <x:c r="M1166" s="7"/>
      <x:c r="N1166" s="7"/>
      <x:c r="O1166" s="2" t="str">
        <x:f>IF(A1166="","",IF(COUNTIFS($A$7:$A$1506,A1166)&gt;1,"Buchung-ID doppelt",IF(OR(NOT(ISNUMBER(B1166)),C1166="",NOT(ISNUMBER(F1166)),H1166="",L1166=""),"Pflichtangaben fehlen",IF(COUNTIFS('Konten'!$A$7:$A$26,C1166)&lt;&gt;1,"Konto nicht eindeutig",IF(J1166&lt;&gt;"Ja","Zuordnung bestätigen",IF(OR(AND(H1166="Einnahme",F1166&lt;0),AND(H1166="Ausgabe",F1166&gt;0)),"Vorzeichen prüfen",IF(AND(H1166="Umbuchung",OR(K1166="",COUNTIFS($A$7:$A$1506,K1166)&lt;&gt;1)),"Gegenbuchung fehlt",IF(AND(H1166="Umbuchung",ROUND(SUMIFS($F$7:$F$1506,$A$7:$A$1506,K1166)+F1166,2)&lt;&gt;0),"Umbuchung abweichend",IF(OR(G1166="",M1166="",M1166="offen",M1166="teilbelegt",H1166="Ungeklärt",H1166="Bargeld"),"Beleg / Verwendung klären","vollständig erfasst")))))))))</x:f>
      </x:c>
    </x:row>
    <x:row r="1167" ht="22" customHeight="1">
      <x:c r="A1167" s="7"/>
      <x:c r="B1167" s="8"/>
      <x:c r="C1167" s="7"/>
      <x:c r="D1167" s="7"/>
      <x:c r="E1167" s="7"/>
      <x:c r="F1167" s="20"/>
      <x:c r="G1167" s="7"/>
      <x:c r="H1167" s="7"/>
      <x:c r="I1167" s="7"/>
      <x:c r="J1167" s="7"/>
      <x:c r="K1167" s="7"/>
      <x:c r="L1167" s="7"/>
      <x:c r="M1167" s="7"/>
      <x:c r="N1167" s="7"/>
      <x:c r="O1167" s="2" t="str">
        <x:f>IF(A1167="","",IF(COUNTIFS($A$7:$A$1506,A1167)&gt;1,"Buchung-ID doppelt",IF(OR(NOT(ISNUMBER(B1167)),C1167="",NOT(ISNUMBER(F1167)),H1167="",L1167=""),"Pflichtangaben fehlen",IF(COUNTIFS('Konten'!$A$7:$A$26,C1167)&lt;&gt;1,"Konto nicht eindeutig",IF(J1167&lt;&gt;"Ja","Zuordnung bestätigen",IF(OR(AND(H1167="Einnahme",F1167&lt;0),AND(H1167="Ausgabe",F1167&gt;0)),"Vorzeichen prüfen",IF(AND(H1167="Umbuchung",OR(K1167="",COUNTIFS($A$7:$A$1506,K1167)&lt;&gt;1)),"Gegenbuchung fehlt",IF(AND(H1167="Umbuchung",ROUND(SUMIFS($F$7:$F$1506,$A$7:$A$1506,K1167)+F1167,2)&lt;&gt;0),"Umbuchung abweichend",IF(OR(G1167="",M1167="",M1167="offen",M1167="teilbelegt",H1167="Ungeklärt",H1167="Bargeld"),"Beleg / Verwendung klären","vollständig erfasst")))))))))</x:f>
      </x:c>
    </x:row>
    <x:row r="1168" ht="22" customHeight="1">
      <x:c r="A1168" s="7"/>
      <x:c r="B1168" s="8"/>
      <x:c r="C1168" s="7"/>
      <x:c r="D1168" s="7"/>
      <x:c r="E1168" s="7"/>
      <x:c r="F1168" s="20"/>
      <x:c r="G1168" s="7"/>
      <x:c r="H1168" s="7"/>
      <x:c r="I1168" s="7"/>
      <x:c r="J1168" s="7"/>
      <x:c r="K1168" s="7"/>
      <x:c r="L1168" s="7"/>
      <x:c r="M1168" s="7"/>
      <x:c r="N1168" s="7"/>
      <x:c r="O1168" s="2" t="str">
        <x:f>IF(A1168="","",IF(COUNTIFS($A$7:$A$1506,A1168)&gt;1,"Buchung-ID doppelt",IF(OR(NOT(ISNUMBER(B1168)),C1168="",NOT(ISNUMBER(F1168)),H1168="",L1168=""),"Pflichtangaben fehlen",IF(COUNTIFS('Konten'!$A$7:$A$26,C1168)&lt;&gt;1,"Konto nicht eindeutig",IF(J1168&lt;&gt;"Ja","Zuordnung bestätigen",IF(OR(AND(H1168="Einnahme",F1168&lt;0),AND(H1168="Ausgabe",F1168&gt;0)),"Vorzeichen prüfen",IF(AND(H1168="Umbuchung",OR(K1168="",COUNTIFS($A$7:$A$1506,K1168)&lt;&gt;1)),"Gegenbuchung fehlt",IF(AND(H1168="Umbuchung",ROUND(SUMIFS($F$7:$F$1506,$A$7:$A$1506,K1168)+F1168,2)&lt;&gt;0),"Umbuchung abweichend",IF(OR(G1168="",M1168="",M1168="offen",M1168="teilbelegt",H1168="Ungeklärt",H1168="Bargeld"),"Beleg / Verwendung klären","vollständig erfasst")))))))))</x:f>
      </x:c>
    </x:row>
    <x:row r="1169" ht="22" customHeight="1">
      <x:c r="A1169" s="7"/>
      <x:c r="B1169" s="8"/>
      <x:c r="C1169" s="7"/>
      <x:c r="D1169" s="7"/>
      <x:c r="E1169" s="7"/>
      <x:c r="F1169" s="20"/>
      <x:c r="G1169" s="7"/>
      <x:c r="H1169" s="7"/>
      <x:c r="I1169" s="7"/>
      <x:c r="J1169" s="7"/>
      <x:c r="K1169" s="7"/>
      <x:c r="L1169" s="7"/>
      <x:c r="M1169" s="7"/>
      <x:c r="N1169" s="7"/>
      <x:c r="O1169" s="2" t="str">
        <x:f>IF(A1169="","",IF(COUNTIFS($A$7:$A$1506,A1169)&gt;1,"Buchung-ID doppelt",IF(OR(NOT(ISNUMBER(B1169)),C1169="",NOT(ISNUMBER(F1169)),H1169="",L1169=""),"Pflichtangaben fehlen",IF(COUNTIFS('Konten'!$A$7:$A$26,C1169)&lt;&gt;1,"Konto nicht eindeutig",IF(J1169&lt;&gt;"Ja","Zuordnung bestätigen",IF(OR(AND(H1169="Einnahme",F1169&lt;0),AND(H1169="Ausgabe",F1169&gt;0)),"Vorzeichen prüfen",IF(AND(H1169="Umbuchung",OR(K1169="",COUNTIFS($A$7:$A$1506,K1169)&lt;&gt;1)),"Gegenbuchung fehlt",IF(AND(H1169="Umbuchung",ROUND(SUMIFS($F$7:$F$1506,$A$7:$A$1506,K1169)+F1169,2)&lt;&gt;0),"Umbuchung abweichend",IF(OR(G1169="",M1169="",M1169="offen",M1169="teilbelegt",H1169="Ungeklärt",H1169="Bargeld"),"Beleg / Verwendung klären","vollständig erfasst")))))))))</x:f>
      </x:c>
    </x:row>
    <x:row r="1170" ht="22" customHeight="1">
      <x:c r="A1170" s="7"/>
      <x:c r="B1170" s="8"/>
      <x:c r="C1170" s="7"/>
      <x:c r="D1170" s="7"/>
      <x:c r="E1170" s="7"/>
      <x:c r="F1170" s="20"/>
      <x:c r="G1170" s="7"/>
      <x:c r="H1170" s="7"/>
      <x:c r="I1170" s="7"/>
      <x:c r="J1170" s="7"/>
      <x:c r="K1170" s="7"/>
      <x:c r="L1170" s="7"/>
      <x:c r="M1170" s="7"/>
      <x:c r="N1170" s="7"/>
      <x:c r="O1170" s="2" t="str">
        <x:f>IF(A1170="","",IF(COUNTIFS($A$7:$A$1506,A1170)&gt;1,"Buchung-ID doppelt",IF(OR(NOT(ISNUMBER(B1170)),C1170="",NOT(ISNUMBER(F1170)),H1170="",L1170=""),"Pflichtangaben fehlen",IF(COUNTIFS('Konten'!$A$7:$A$26,C1170)&lt;&gt;1,"Konto nicht eindeutig",IF(J1170&lt;&gt;"Ja","Zuordnung bestätigen",IF(OR(AND(H1170="Einnahme",F1170&lt;0),AND(H1170="Ausgabe",F1170&gt;0)),"Vorzeichen prüfen",IF(AND(H1170="Umbuchung",OR(K1170="",COUNTIFS($A$7:$A$1506,K1170)&lt;&gt;1)),"Gegenbuchung fehlt",IF(AND(H1170="Umbuchung",ROUND(SUMIFS($F$7:$F$1506,$A$7:$A$1506,K1170)+F1170,2)&lt;&gt;0),"Umbuchung abweichend",IF(OR(G1170="",M1170="",M1170="offen",M1170="teilbelegt",H1170="Ungeklärt",H1170="Bargeld"),"Beleg / Verwendung klären","vollständig erfasst")))))))))</x:f>
      </x:c>
    </x:row>
    <x:row r="1171" ht="22" customHeight="1">
      <x:c r="A1171" s="7"/>
      <x:c r="B1171" s="8"/>
      <x:c r="C1171" s="7"/>
      <x:c r="D1171" s="7"/>
      <x:c r="E1171" s="7"/>
      <x:c r="F1171" s="20"/>
      <x:c r="G1171" s="7"/>
      <x:c r="H1171" s="7"/>
      <x:c r="I1171" s="7"/>
      <x:c r="J1171" s="7"/>
      <x:c r="K1171" s="7"/>
      <x:c r="L1171" s="7"/>
      <x:c r="M1171" s="7"/>
      <x:c r="N1171" s="7"/>
      <x:c r="O1171" s="2" t="str">
        <x:f>IF(A1171="","",IF(COUNTIFS($A$7:$A$1506,A1171)&gt;1,"Buchung-ID doppelt",IF(OR(NOT(ISNUMBER(B1171)),C1171="",NOT(ISNUMBER(F1171)),H1171="",L1171=""),"Pflichtangaben fehlen",IF(COUNTIFS('Konten'!$A$7:$A$26,C1171)&lt;&gt;1,"Konto nicht eindeutig",IF(J1171&lt;&gt;"Ja","Zuordnung bestätigen",IF(OR(AND(H1171="Einnahme",F1171&lt;0),AND(H1171="Ausgabe",F1171&gt;0)),"Vorzeichen prüfen",IF(AND(H1171="Umbuchung",OR(K1171="",COUNTIFS($A$7:$A$1506,K1171)&lt;&gt;1)),"Gegenbuchung fehlt",IF(AND(H1171="Umbuchung",ROUND(SUMIFS($F$7:$F$1506,$A$7:$A$1506,K1171)+F1171,2)&lt;&gt;0),"Umbuchung abweichend",IF(OR(G1171="",M1171="",M1171="offen",M1171="teilbelegt",H1171="Ungeklärt",H1171="Bargeld"),"Beleg / Verwendung klären","vollständig erfasst")))))))))</x:f>
      </x:c>
    </x:row>
    <x:row r="1172" ht="22" customHeight="1">
      <x:c r="A1172" s="7"/>
      <x:c r="B1172" s="8"/>
      <x:c r="C1172" s="7"/>
      <x:c r="D1172" s="7"/>
      <x:c r="E1172" s="7"/>
      <x:c r="F1172" s="20"/>
      <x:c r="G1172" s="7"/>
      <x:c r="H1172" s="7"/>
      <x:c r="I1172" s="7"/>
      <x:c r="J1172" s="7"/>
      <x:c r="K1172" s="7"/>
      <x:c r="L1172" s="7"/>
      <x:c r="M1172" s="7"/>
      <x:c r="N1172" s="7"/>
      <x:c r="O1172" s="2" t="str">
        <x:f>IF(A1172="","",IF(COUNTIFS($A$7:$A$1506,A1172)&gt;1,"Buchung-ID doppelt",IF(OR(NOT(ISNUMBER(B1172)),C1172="",NOT(ISNUMBER(F1172)),H1172="",L1172=""),"Pflichtangaben fehlen",IF(COUNTIFS('Konten'!$A$7:$A$26,C1172)&lt;&gt;1,"Konto nicht eindeutig",IF(J1172&lt;&gt;"Ja","Zuordnung bestätigen",IF(OR(AND(H1172="Einnahme",F1172&lt;0),AND(H1172="Ausgabe",F1172&gt;0)),"Vorzeichen prüfen",IF(AND(H1172="Umbuchung",OR(K1172="",COUNTIFS($A$7:$A$1506,K1172)&lt;&gt;1)),"Gegenbuchung fehlt",IF(AND(H1172="Umbuchung",ROUND(SUMIFS($F$7:$F$1506,$A$7:$A$1506,K1172)+F1172,2)&lt;&gt;0),"Umbuchung abweichend",IF(OR(G1172="",M1172="",M1172="offen",M1172="teilbelegt",H1172="Ungeklärt",H1172="Bargeld"),"Beleg / Verwendung klären","vollständig erfasst")))))))))</x:f>
      </x:c>
    </x:row>
    <x:row r="1173" ht="22" customHeight="1">
      <x:c r="A1173" s="7"/>
      <x:c r="B1173" s="8"/>
      <x:c r="C1173" s="7"/>
      <x:c r="D1173" s="7"/>
      <x:c r="E1173" s="7"/>
      <x:c r="F1173" s="20"/>
      <x:c r="G1173" s="7"/>
      <x:c r="H1173" s="7"/>
      <x:c r="I1173" s="7"/>
      <x:c r="J1173" s="7"/>
      <x:c r="K1173" s="7"/>
      <x:c r="L1173" s="7"/>
      <x:c r="M1173" s="7"/>
      <x:c r="N1173" s="7"/>
      <x:c r="O1173" s="2" t="str">
        <x:f>IF(A1173="","",IF(COUNTIFS($A$7:$A$1506,A1173)&gt;1,"Buchung-ID doppelt",IF(OR(NOT(ISNUMBER(B1173)),C1173="",NOT(ISNUMBER(F1173)),H1173="",L1173=""),"Pflichtangaben fehlen",IF(COUNTIFS('Konten'!$A$7:$A$26,C1173)&lt;&gt;1,"Konto nicht eindeutig",IF(J1173&lt;&gt;"Ja","Zuordnung bestätigen",IF(OR(AND(H1173="Einnahme",F1173&lt;0),AND(H1173="Ausgabe",F1173&gt;0)),"Vorzeichen prüfen",IF(AND(H1173="Umbuchung",OR(K1173="",COUNTIFS($A$7:$A$1506,K1173)&lt;&gt;1)),"Gegenbuchung fehlt",IF(AND(H1173="Umbuchung",ROUND(SUMIFS($F$7:$F$1506,$A$7:$A$1506,K1173)+F1173,2)&lt;&gt;0),"Umbuchung abweichend",IF(OR(G1173="",M1173="",M1173="offen",M1173="teilbelegt",H1173="Ungeklärt",H1173="Bargeld"),"Beleg / Verwendung klären","vollständig erfasst")))))))))</x:f>
      </x:c>
    </x:row>
    <x:row r="1174" ht="22" customHeight="1">
      <x:c r="A1174" s="7"/>
      <x:c r="B1174" s="8"/>
      <x:c r="C1174" s="7"/>
      <x:c r="D1174" s="7"/>
      <x:c r="E1174" s="7"/>
      <x:c r="F1174" s="20"/>
      <x:c r="G1174" s="7"/>
      <x:c r="H1174" s="7"/>
      <x:c r="I1174" s="7"/>
      <x:c r="J1174" s="7"/>
      <x:c r="K1174" s="7"/>
      <x:c r="L1174" s="7"/>
      <x:c r="M1174" s="7"/>
      <x:c r="N1174" s="7"/>
      <x:c r="O1174" s="2" t="str">
        <x:f>IF(A1174="","",IF(COUNTIFS($A$7:$A$1506,A1174)&gt;1,"Buchung-ID doppelt",IF(OR(NOT(ISNUMBER(B1174)),C1174="",NOT(ISNUMBER(F1174)),H1174="",L1174=""),"Pflichtangaben fehlen",IF(COUNTIFS('Konten'!$A$7:$A$26,C1174)&lt;&gt;1,"Konto nicht eindeutig",IF(J1174&lt;&gt;"Ja","Zuordnung bestätigen",IF(OR(AND(H1174="Einnahme",F1174&lt;0),AND(H1174="Ausgabe",F1174&gt;0)),"Vorzeichen prüfen",IF(AND(H1174="Umbuchung",OR(K1174="",COUNTIFS($A$7:$A$1506,K1174)&lt;&gt;1)),"Gegenbuchung fehlt",IF(AND(H1174="Umbuchung",ROUND(SUMIFS($F$7:$F$1506,$A$7:$A$1506,K1174)+F1174,2)&lt;&gt;0),"Umbuchung abweichend",IF(OR(G1174="",M1174="",M1174="offen",M1174="teilbelegt",H1174="Ungeklärt",H1174="Bargeld"),"Beleg / Verwendung klären","vollständig erfasst")))))))))</x:f>
      </x:c>
    </x:row>
    <x:row r="1175" ht="22" customHeight="1">
      <x:c r="A1175" s="7"/>
      <x:c r="B1175" s="8"/>
      <x:c r="C1175" s="7"/>
      <x:c r="D1175" s="7"/>
      <x:c r="E1175" s="7"/>
      <x:c r="F1175" s="20"/>
      <x:c r="G1175" s="7"/>
      <x:c r="H1175" s="7"/>
      <x:c r="I1175" s="7"/>
      <x:c r="J1175" s="7"/>
      <x:c r="K1175" s="7"/>
      <x:c r="L1175" s="7"/>
      <x:c r="M1175" s="7"/>
      <x:c r="N1175" s="7"/>
      <x:c r="O1175" s="2" t="str">
        <x:f>IF(A1175="","",IF(COUNTIFS($A$7:$A$1506,A1175)&gt;1,"Buchung-ID doppelt",IF(OR(NOT(ISNUMBER(B1175)),C1175="",NOT(ISNUMBER(F1175)),H1175="",L1175=""),"Pflichtangaben fehlen",IF(COUNTIFS('Konten'!$A$7:$A$26,C1175)&lt;&gt;1,"Konto nicht eindeutig",IF(J1175&lt;&gt;"Ja","Zuordnung bestätigen",IF(OR(AND(H1175="Einnahme",F1175&lt;0),AND(H1175="Ausgabe",F1175&gt;0)),"Vorzeichen prüfen",IF(AND(H1175="Umbuchung",OR(K1175="",COUNTIFS($A$7:$A$1506,K1175)&lt;&gt;1)),"Gegenbuchung fehlt",IF(AND(H1175="Umbuchung",ROUND(SUMIFS($F$7:$F$1506,$A$7:$A$1506,K1175)+F1175,2)&lt;&gt;0),"Umbuchung abweichend",IF(OR(G1175="",M1175="",M1175="offen",M1175="teilbelegt",H1175="Ungeklärt",H1175="Bargeld"),"Beleg / Verwendung klären","vollständig erfasst")))))))))</x:f>
      </x:c>
    </x:row>
    <x:row r="1176" ht="22" customHeight="1">
      <x:c r="A1176" s="7"/>
      <x:c r="B1176" s="8"/>
      <x:c r="C1176" s="7"/>
      <x:c r="D1176" s="7"/>
      <x:c r="E1176" s="7"/>
      <x:c r="F1176" s="20"/>
      <x:c r="G1176" s="7"/>
      <x:c r="H1176" s="7"/>
      <x:c r="I1176" s="7"/>
      <x:c r="J1176" s="7"/>
      <x:c r="K1176" s="7"/>
      <x:c r="L1176" s="7"/>
      <x:c r="M1176" s="7"/>
      <x:c r="N1176" s="7"/>
      <x:c r="O1176" s="2" t="str">
        <x:f>IF(A1176="","",IF(COUNTIFS($A$7:$A$1506,A1176)&gt;1,"Buchung-ID doppelt",IF(OR(NOT(ISNUMBER(B1176)),C1176="",NOT(ISNUMBER(F1176)),H1176="",L1176=""),"Pflichtangaben fehlen",IF(COUNTIFS('Konten'!$A$7:$A$26,C1176)&lt;&gt;1,"Konto nicht eindeutig",IF(J1176&lt;&gt;"Ja","Zuordnung bestätigen",IF(OR(AND(H1176="Einnahme",F1176&lt;0),AND(H1176="Ausgabe",F1176&gt;0)),"Vorzeichen prüfen",IF(AND(H1176="Umbuchung",OR(K1176="",COUNTIFS($A$7:$A$1506,K1176)&lt;&gt;1)),"Gegenbuchung fehlt",IF(AND(H1176="Umbuchung",ROUND(SUMIFS($F$7:$F$1506,$A$7:$A$1506,K1176)+F1176,2)&lt;&gt;0),"Umbuchung abweichend",IF(OR(G1176="",M1176="",M1176="offen",M1176="teilbelegt",H1176="Ungeklärt",H1176="Bargeld"),"Beleg / Verwendung klären","vollständig erfasst")))))))))</x:f>
      </x:c>
    </x:row>
    <x:row r="1177" ht="22" customHeight="1">
      <x:c r="A1177" s="7"/>
      <x:c r="B1177" s="8"/>
      <x:c r="C1177" s="7"/>
      <x:c r="D1177" s="7"/>
      <x:c r="E1177" s="7"/>
      <x:c r="F1177" s="20"/>
      <x:c r="G1177" s="7"/>
      <x:c r="H1177" s="7"/>
      <x:c r="I1177" s="7"/>
      <x:c r="J1177" s="7"/>
      <x:c r="K1177" s="7"/>
      <x:c r="L1177" s="7"/>
      <x:c r="M1177" s="7"/>
      <x:c r="N1177" s="7"/>
      <x:c r="O1177" s="2" t="str">
        <x:f>IF(A1177="","",IF(COUNTIFS($A$7:$A$1506,A1177)&gt;1,"Buchung-ID doppelt",IF(OR(NOT(ISNUMBER(B1177)),C1177="",NOT(ISNUMBER(F1177)),H1177="",L1177=""),"Pflichtangaben fehlen",IF(COUNTIFS('Konten'!$A$7:$A$26,C1177)&lt;&gt;1,"Konto nicht eindeutig",IF(J1177&lt;&gt;"Ja","Zuordnung bestätigen",IF(OR(AND(H1177="Einnahme",F1177&lt;0),AND(H1177="Ausgabe",F1177&gt;0)),"Vorzeichen prüfen",IF(AND(H1177="Umbuchung",OR(K1177="",COUNTIFS($A$7:$A$1506,K1177)&lt;&gt;1)),"Gegenbuchung fehlt",IF(AND(H1177="Umbuchung",ROUND(SUMIFS($F$7:$F$1506,$A$7:$A$1506,K1177)+F1177,2)&lt;&gt;0),"Umbuchung abweichend",IF(OR(G1177="",M1177="",M1177="offen",M1177="teilbelegt",H1177="Ungeklärt",H1177="Bargeld"),"Beleg / Verwendung klären","vollständig erfasst")))))))))</x:f>
      </x:c>
    </x:row>
    <x:row r="1178" ht="22" customHeight="1">
      <x:c r="A1178" s="7"/>
      <x:c r="B1178" s="8"/>
      <x:c r="C1178" s="7"/>
      <x:c r="D1178" s="7"/>
      <x:c r="E1178" s="7"/>
      <x:c r="F1178" s="20"/>
      <x:c r="G1178" s="7"/>
      <x:c r="H1178" s="7"/>
      <x:c r="I1178" s="7"/>
      <x:c r="J1178" s="7"/>
      <x:c r="K1178" s="7"/>
      <x:c r="L1178" s="7"/>
      <x:c r="M1178" s="7"/>
      <x:c r="N1178" s="7"/>
      <x:c r="O1178" s="2" t="str">
        <x:f>IF(A1178="","",IF(COUNTIFS($A$7:$A$1506,A1178)&gt;1,"Buchung-ID doppelt",IF(OR(NOT(ISNUMBER(B1178)),C1178="",NOT(ISNUMBER(F1178)),H1178="",L1178=""),"Pflichtangaben fehlen",IF(COUNTIFS('Konten'!$A$7:$A$26,C1178)&lt;&gt;1,"Konto nicht eindeutig",IF(J1178&lt;&gt;"Ja","Zuordnung bestätigen",IF(OR(AND(H1178="Einnahme",F1178&lt;0),AND(H1178="Ausgabe",F1178&gt;0)),"Vorzeichen prüfen",IF(AND(H1178="Umbuchung",OR(K1178="",COUNTIFS($A$7:$A$1506,K1178)&lt;&gt;1)),"Gegenbuchung fehlt",IF(AND(H1178="Umbuchung",ROUND(SUMIFS($F$7:$F$1506,$A$7:$A$1506,K1178)+F1178,2)&lt;&gt;0),"Umbuchung abweichend",IF(OR(G1178="",M1178="",M1178="offen",M1178="teilbelegt",H1178="Ungeklärt",H1178="Bargeld"),"Beleg / Verwendung klären","vollständig erfasst")))))))))</x:f>
      </x:c>
    </x:row>
    <x:row r="1179" ht="22" customHeight="1">
      <x:c r="A1179" s="7"/>
      <x:c r="B1179" s="8"/>
      <x:c r="C1179" s="7"/>
      <x:c r="D1179" s="7"/>
      <x:c r="E1179" s="7"/>
      <x:c r="F1179" s="20"/>
      <x:c r="G1179" s="7"/>
      <x:c r="H1179" s="7"/>
      <x:c r="I1179" s="7"/>
      <x:c r="J1179" s="7"/>
      <x:c r="K1179" s="7"/>
      <x:c r="L1179" s="7"/>
      <x:c r="M1179" s="7"/>
      <x:c r="N1179" s="7"/>
      <x:c r="O1179" s="2" t="str">
        <x:f>IF(A1179="","",IF(COUNTIFS($A$7:$A$1506,A1179)&gt;1,"Buchung-ID doppelt",IF(OR(NOT(ISNUMBER(B1179)),C1179="",NOT(ISNUMBER(F1179)),H1179="",L1179=""),"Pflichtangaben fehlen",IF(COUNTIFS('Konten'!$A$7:$A$26,C1179)&lt;&gt;1,"Konto nicht eindeutig",IF(J1179&lt;&gt;"Ja","Zuordnung bestätigen",IF(OR(AND(H1179="Einnahme",F1179&lt;0),AND(H1179="Ausgabe",F1179&gt;0)),"Vorzeichen prüfen",IF(AND(H1179="Umbuchung",OR(K1179="",COUNTIFS($A$7:$A$1506,K1179)&lt;&gt;1)),"Gegenbuchung fehlt",IF(AND(H1179="Umbuchung",ROUND(SUMIFS($F$7:$F$1506,$A$7:$A$1506,K1179)+F1179,2)&lt;&gt;0),"Umbuchung abweichend",IF(OR(G1179="",M1179="",M1179="offen",M1179="teilbelegt",H1179="Ungeklärt",H1179="Bargeld"),"Beleg / Verwendung klären","vollständig erfasst")))))))))</x:f>
      </x:c>
    </x:row>
    <x:row r="1180" ht="22" customHeight="1">
      <x:c r="A1180" s="7"/>
      <x:c r="B1180" s="8"/>
      <x:c r="C1180" s="7"/>
      <x:c r="D1180" s="7"/>
      <x:c r="E1180" s="7"/>
      <x:c r="F1180" s="20"/>
      <x:c r="G1180" s="7"/>
      <x:c r="H1180" s="7"/>
      <x:c r="I1180" s="7"/>
      <x:c r="J1180" s="7"/>
      <x:c r="K1180" s="7"/>
      <x:c r="L1180" s="7"/>
      <x:c r="M1180" s="7"/>
      <x:c r="N1180" s="7"/>
      <x:c r="O1180" s="2" t="str">
        <x:f>IF(A1180="","",IF(COUNTIFS($A$7:$A$1506,A1180)&gt;1,"Buchung-ID doppelt",IF(OR(NOT(ISNUMBER(B1180)),C1180="",NOT(ISNUMBER(F1180)),H1180="",L1180=""),"Pflichtangaben fehlen",IF(COUNTIFS('Konten'!$A$7:$A$26,C1180)&lt;&gt;1,"Konto nicht eindeutig",IF(J1180&lt;&gt;"Ja","Zuordnung bestätigen",IF(OR(AND(H1180="Einnahme",F1180&lt;0),AND(H1180="Ausgabe",F1180&gt;0)),"Vorzeichen prüfen",IF(AND(H1180="Umbuchung",OR(K1180="",COUNTIFS($A$7:$A$1506,K1180)&lt;&gt;1)),"Gegenbuchung fehlt",IF(AND(H1180="Umbuchung",ROUND(SUMIFS($F$7:$F$1506,$A$7:$A$1506,K1180)+F1180,2)&lt;&gt;0),"Umbuchung abweichend",IF(OR(G1180="",M1180="",M1180="offen",M1180="teilbelegt",H1180="Ungeklärt",H1180="Bargeld"),"Beleg / Verwendung klären","vollständig erfasst")))))))))</x:f>
      </x:c>
    </x:row>
    <x:row r="1181" ht="22" customHeight="1">
      <x:c r="A1181" s="7"/>
      <x:c r="B1181" s="8"/>
      <x:c r="C1181" s="7"/>
      <x:c r="D1181" s="7"/>
      <x:c r="E1181" s="7"/>
      <x:c r="F1181" s="20"/>
      <x:c r="G1181" s="7"/>
      <x:c r="H1181" s="7"/>
      <x:c r="I1181" s="7"/>
      <x:c r="J1181" s="7"/>
      <x:c r="K1181" s="7"/>
      <x:c r="L1181" s="7"/>
      <x:c r="M1181" s="7"/>
      <x:c r="N1181" s="7"/>
      <x:c r="O1181" s="2" t="str">
        <x:f>IF(A1181="","",IF(COUNTIFS($A$7:$A$1506,A1181)&gt;1,"Buchung-ID doppelt",IF(OR(NOT(ISNUMBER(B1181)),C1181="",NOT(ISNUMBER(F1181)),H1181="",L1181=""),"Pflichtangaben fehlen",IF(COUNTIFS('Konten'!$A$7:$A$26,C1181)&lt;&gt;1,"Konto nicht eindeutig",IF(J1181&lt;&gt;"Ja","Zuordnung bestätigen",IF(OR(AND(H1181="Einnahme",F1181&lt;0),AND(H1181="Ausgabe",F1181&gt;0)),"Vorzeichen prüfen",IF(AND(H1181="Umbuchung",OR(K1181="",COUNTIFS($A$7:$A$1506,K1181)&lt;&gt;1)),"Gegenbuchung fehlt",IF(AND(H1181="Umbuchung",ROUND(SUMIFS($F$7:$F$1506,$A$7:$A$1506,K1181)+F1181,2)&lt;&gt;0),"Umbuchung abweichend",IF(OR(G1181="",M1181="",M1181="offen",M1181="teilbelegt",H1181="Ungeklärt",H1181="Bargeld"),"Beleg / Verwendung klären","vollständig erfasst")))))))))</x:f>
      </x:c>
    </x:row>
    <x:row r="1182" ht="22" customHeight="1">
      <x:c r="A1182" s="7"/>
      <x:c r="B1182" s="8"/>
      <x:c r="C1182" s="7"/>
      <x:c r="D1182" s="7"/>
      <x:c r="E1182" s="7"/>
      <x:c r="F1182" s="20"/>
      <x:c r="G1182" s="7"/>
      <x:c r="H1182" s="7"/>
      <x:c r="I1182" s="7"/>
      <x:c r="J1182" s="7"/>
      <x:c r="K1182" s="7"/>
      <x:c r="L1182" s="7"/>
      <x:c r="M1182" s="7"/>
      <x:c r="N1182" s="7"/>
      <x:c r="O1182" s="2" t="str">
        <x:f>IF(A1182="","",IF(COUNTIFS($A$7:$A$1506,A1182)&gt;1,"Buchung-ID doppelt",IF(OR(NOT(ISNUMBER(B1182)),C1182="",NOT(ISNUMBER(F1182)),H1182="",L1182=""),"Pflichtangaben fehlen",IF(COUNTIFS('Konten'!$A$7:$A$26,C1182)&lt;&gt;1,"Konto nicht eindeutig",IF(J1182&lt;&gt;"Ja","Zuordnung bestätigen",IF(OR(AND(H1182="Einnahme",F1182&lt;0),AND(H1182="Ausgabe",F1182&gt;0)),"Vorzeichen prüfen",IF(AND(H1182="Umbuchung",OR(K1182="",COUNTIFS($A$7:$A$1506,K1182)&lt;&gt;1)),"Gegenbuchung fehlt",IF(AND(H1182="Umbuchung",ROUND(SUMIFS($F$7:$F$1506,$A$7:$A$1506,K1182)+F1182,2)&lt;&gt;0),"Umbuchung abweichend",IF(OR(G1182="",M1182="",M1182="offen",M1182="teilbelegt",H1182="Ungeklärt",H1182="Bargeld"),"Beleg / Verwendung klären","vollständig erfasst")))))))))</x:f>
      </x:c>
    </x:row>
    <x:row r="1183" ht="22" customHeight="1">
      <x:c r="A1183" s="7"/>
      <x:c r="B1183" s="8"/>
      <x:c r="C1183" s="7"/>
      <x:c r="D1183" s="7"/>
      <x:c r="E1183" s="7"/>
      <x:c r="F1183" s="20"/>
      <x:c r="G1183" s="7"/>
      <x:c r="H1183" s="7"/>
      <x:c r="I1183" s="7"/>
      <x:c r="J1183" s="7"/>
      <x:c r="K1183" s="7"/>
      <x:c r="L1183" s="7"/>
      <x:c r="M1183" s="7"/>
      <x:c r="N1183" s="7"/>
      <x:c r="O1183" s="2" t="str">
        <x:f>IF(A1183="","",IF(COUNTIFS($A$7:$A$1506,A1183)&gt;1,"Buchung-ID doppelt",IF(OR(NOT(ISNUMBER(B1183)),C1183="",NOT(ISNUMBER(F1183)),H1183="",L1183=""),"Pflichtangaben fehlen",IF(COUNTIFS('Konten'!$A$7:$A$26,C1183)&lt;&gt;1,"Konto nicht eindeutig",IF(J1183&lt;&gt;"Ja","Zuordnung bestätigen",IF(OR(AND(H1183="Einnahme",F1183&lt;0),AND(H1183="Ausgabe",F1183&gt;0)),"Vorzeichen prüfen",IF(AND(H1183="Umbuchung",OR(K1183="",COUNTIFS($A$7:$A$1506,K1183)&lt;&gt;1)),"Gegenbuchung fehlt",IF(AND(H1183="Umbuchung",ROUND(SUMIFS($F$7:$F$1506,$A$7:$A$1506,K1183)+F1183,2)&lt;&gt;0),"Umbuchung abweichend",IF(OR(G1183="",M1183="",M1183="offen",M1183="teilbelegt",H1183="Ungeklärt",H1183="Bargeld"),"Beleg / Verwendung klären","vollständig erfasst")))))))))</x:f>
      </x:c>
    </x:row>
    <x:row r="1184" ht="22" customHeight="1">
      <x:c r="A1184" s="7"/>
      <x:c r="B1184" s="8"/>
      <x:c r="C1184" s="7"/>
      <x:c r="D1184" s="7"/>
      <x:c r="E1184" s="7"/>
      <x:c r="F1184" s="20"/>
      <x:c r="G1184" s="7"/>
      <x:c r="H1184" s="7"/>
      <x:c r="I1184" s="7"/>
      <x:c r="J1184" s="7"/>
      <x:c r="K1184" s="7"/>
      <x:c r="L1184" s="7"/>
      <x:c r="M1184" s="7"/>
      <x:c r="N1184" s="7"/>
      <x:c r="O1184" s="2" t="str">
        <x:f>IF(A1184="","",IF(COUNTIFS($A$7:$A$1506,A1184)&gt;1,"Buchung-ID doppelt",IF(OR(NOT(ISNUMBER(B1184)),C1184="",NOT(ISNUMBER(F1184)),H1184="",L1184=""),"Pflichtangaben fehlen",IF(COUNTIFS('Konten'!$A$7:$A$26,C1184)&lt;&gt;1,"Konto nicht eindeutig",IF(J1184&lt;&gt;"Ja","Zuordnung bestätigen",IF(OR(AND(H1184="Einnahme",F1184&lt;0),AND(H1184="Ausgabe",F1184&gt;0)),"Vorzeichen prüfen",IF(AND(H1184="Umbuchung",OR(K1184="",COUNTIFS($A$7:$A$1506,K1184)&lt;&gt;1)),"Gegenbuchung fehlt",IF(AND(H1184="Umbuchung",ROUND(SUMIFS($F$7:$F$1506,$A$7:$A$1506,K1184)+F1184,2)&lt;&gt;0),"Umbuchung abweichend",IF(OR(G1184="",M1184="",M1184="offen",M1184="teilbelegt",H1184="Ungeklärt",H1184="Bargeld"),"Beleg / Verwendung klären","vollständig erfasst")))))))))</x:f>
      </x:c>
    </x:row>
    <x:row r="1185" ht="22" customHeight="1">
      <x:c r="A1185" s="7"/>
      <x:c r="B1185" s="8"/>
      <x:c r="C1185" s="7"/>
      <x:c r="D1185" s="7"/>
      <x:c r="E1185" s="7"/>
      <x:c r="F1185" s="20"/>
      <x:c r="G1185" s="7"/>
      <x:c r="H1185" s="7"/>
      <x:c r="I1185" s="7"/>
      <x:c r="J1185" s="7"/>
      <x:c r="K1185" s="7"/>
      <x:c r="L1185" s="7"/>
      <x:c r="M1185" s="7"/>
      <x:c r="N1185" s="7"/>
      <x:c r="O1185" s="2" t="str">
        <x:f>IF(A1185="","",IF(COUNTIFS($A$7:$A$1506,A1185)&gt;1,"Buchung-ID doppelt",IF(OR(NOT(ISNUMBER(B1185)),C1185="",NOT(ISNUMBER(F1185)),H1185="",L1185=""),"Pflichtangaben fehlen",IF(COUNTIFS('Konten'!$A$7:$A$26,C1185)&lt;&gt;1,"Konto nicht eindeutig",IF(J1185&lt;&gt;"Ja","Zuordnung bestätigen",IF(OR(AND(H1185="Einnahme",F1185&lt;0),AND(H1185="Ausgabe",F1185&gt;0)),"Vorzeichen prüfen",IF(AND(H1185="Umbuchung",OR(K1185="",COUNTIFS($A$7:$A$1506,K1185)&lt;&gt;1)),"Gegenbuchung fehlt",IF(AND(H1185="Umbuchung",ROUND(SUMIFS($F$7:$F$1506,$A$7:$A$1506,K1185)+F1185,2)&lt;&gt;0),"Umbuchung abweichend",IF(OR(G1185="",M1185="",M1185="offen",M1185="teilbelegt",H1185="Ungeklärt",H1185="Bargeld"),"Beleg / Verwendung klären","vollständig erfasst")))))))))</x:f>
      </x:c>
    </x:row>
    <x:row r="1186" ht="22" customHeight="1">
      <x:c r="A1186" s="7"/>
      <x:c r="B1186" s="8"/>
      <x:c r="C1186" s="7"/>
      <x:c r="D1186" s="7"/>
      <x:c r="E1186" s="7"/>
      <x:c r="F1186" s="20"/>
      <x:c r="G1186" s="7"/>
      <x:c r="H1186" s="7"/>
      <x:c r="I1186" s="7"/>
      <x:c r="J1186" s="7"/>
      <x:c r="K1186" s="7"/>
      <x:c r="L1186" s="7"/>
      <x:c r="M1186" s="7"/>
      <x:c r="N1186" s="7"/>
      <x:c r="O1186" s="2" t="str">
        <x:f>IF(A1186="","",IF(COUNTIFS($A$7:$A$1506,A1186)&gt;1,"Buchung-ID doppelt",IF(OR(NOT(ISNUMBER(B1186)),C1186="",NOT(ISNUMBER(F1186)),H1186="",L1186=""),"Pflichtangaben fehlen",IF(COUNTIFS('Konten'!$A$7:$A$26,C1186)&lt;&gt;1,"Konto nicht eindeutig",IF(J1186&lt;&gt;"Ja","Zuordnung bestätigen",IF(OR(AND(H1186="Einnahme",F1186&lt;0),AND(H1186="Ausgabe",F1186&gt;0)),"Vorzeichen prüfen",IF(AND(H1186="Umbuchung",OR(K1186="",COUNTIFS($A$7:$A$1506,K1186)&lt;&gt;1)),"Gegenbuchung fehlt",IF(AND(H1186="Umbuchung",ROUND(SUMIFS($F$7:$F$1506,$A$7:$A$1506,K1186)+F1186,2)&lt;&gt;0),"Umbuchung abweichend",IF(OR(G1186="",M1186="",M1186="offen",M1186="teilbelegt",H1186="Ungeklärt",H1186="Bargeld"),"Beleg / Verwendung klären","vollständig erfasst")))))))))</x:f>
      </x:c>
    </x:row>
    <x:row r="1187" ht="22" customHeight="1">
      <x:c r="A1187" s="7"/>
      <x:c r="B1187" s="8"/>
      <x:c r="C1187" s="7"/>
      <x:c r="D1187" s="7"/>
      <x:c r="E1187" s="7"/>
      <x:c r="F1187" s="20"/>
      <x:c r="G1187" s="7"/>
      <x:c r="H1187" s="7"/>
      <x:c r="I1187" s="7"/>
      <x:c r="J1187" s="7"/>
      <x:c r="K1187" s="7"/>
      <x:c r="L1187" s="7"/>
      <x:c r="M1187" s="7"/>
      <x:c r="N1187" s="7"/>
      <x:c r="O1187" s="2" t="str">
        <x:f>IF(A1187="","",IF(COUNTIFS($A$7:$A$1506,A1187)&gt;1,"Buchung-ID doppelt",IF(OR(NOT(ISNUMBER(B1187)),C1187="",NOT(ISNUMBER(F1187)),H1187="",L1187=""),"Pflichtangaben fehlen",IF(COUNTIFS('Konten'!$A$7:$A$26,C1187)&lt;&gt;1,"Konto nicht eindeutig",IF(J1187&lt;&gt;"Ja","Zuordnung bestätigen",IF(OR(AND(H1187="Einnahme",F1187&lt;0),AND(H1187="Ausgabe",F1187&gt;0)),"Vorzeichen prüfen",IF(AND(H1187="Umbuchung",OR(K1187="",COUNTIFS($A$7:$A$1506,K1187)&lt;&gt;1)),"Gegenbuchung fehlt",IF(AND(H1187="Umbuchung",ROUND(SUMIFS($F$7:$F$1506,$A$7:$A$1506,K1187)+F1187,2)&lt;&gt;0),"Umbuchung abweichend",IF(OR(G1187="",M1187="",M1187="offen",M1187="teilbelegt",H1187="Ungeklärt",H1187="Bargeld"),"Beleg / Verwendung klären","vollständig erfasst")))))))))</x:f>
      </x:c>
    </x:row>
    <x:row r="1188" ht="22" customHeight="1">
      <x:c r="A1188" s="7"/>
      <x:c r="B1188" s="8"/>
      <x:c r="C1188" s="7"/>
      <x:c r="D1188" s="7"/>
      <x:c r="E1188" s="7"/>
      <x:c r="F1188" s="20"/>
      <x:c r="G1188" s="7"/>
      <x:c r="H1188" s="7"/>
      <x:c r="I1188" s="7"/>
      <x:c r="J1188" s="7"/>
      <x:c r="K1188" s="7"/>
      <x:c r="L1188" s="7"/>
      <x:c r="M1188" s="7"/>
      <x:c r="N1188" s="7"/>
      <x:c r="O1188" s="2" t="str">
        <x:f>IF(A1188="","",IF(COUNTIFS($A$7:$A$1506,A1188)&gt;1,"Buchung-ID doppelt",IF(OR(NOT(ISNUMBER(B1188)),C1188="",NOT(ISNUMBER(F1188)),H1188="",L1188=""),"Pflichtangaben fehlen",IF(COUNTIFS('Konten'!$A$7:$A$26,C1188)&lt;&gt;1,"Konto nicht eindeutig",IF(J1188&lt;&gt;"Ja","Zuordnung bestätigen",IF(OR(AND(H1188="Einnahme",F1188&lt;0),AND(H1188="Ausgabe",F1188&gt;0)),"Vorzeichen prüfen",IF(AND(H1188="Umbuchung",OR(K1188="",COUNTIFS($A$7:$A$1506,K1188)&lt;&gt;1)),"Gegenbuchung fehlt",IF(AND(H1188="Umbuchung",ROUND(SUMIFS($F$7:$F$1506,$A$7:$A$1506,K1188)+F1188,2)&lt;&gt;0),"Umbuchung abweichend",IF(OR(G1188="",M1188="",M1188="offen",M1188="teilbelegt",H1188="Ungeklärt",H1188="Bargeld"),"Beleg / Verwendung klären","vollständig erfasst")))))))))</x:f>
      </x:c>
    </x:row>
    <x:row r="1189" ht="22" customHeight="1">
      <x:c r="A1189" s="7"/>
      <x:c r="B1189" s="8"/>
      <x:c r="C1189" s="7"/>
      <x:c r="D1189" s="7"/>
      <x:c r="E1189" s="7"/>
      <x:c r="F1189" s="20"/>
      <x:c r="G1189" s="7"/>
      <x:c r="H1189" s="7"/>
      <x:c r="I1189" s="7"/>
      <x:c r="J1189" s="7"/>
      <x:c r="K1189" s="7"/>
      <x:c r="L1189" s="7"/>
      <x:c r="M1189" s="7"/>
      <x:c r="N1189" s="7"/>
      <x:c r="O1189" s="2" t="str">
        <x:f>IF(A1189="","",IF(COUNTIFS($A$7:$A$1506,A1189)&gt;1,"Buchung-ID doppelt",IF(OR(NOT(ISNUMBER(B1189)),C1189="",NOT(ISNUMBER(F1189)),H1189="",L1189=""),"Pflichtangaben fehlen",IF(COUNTIFS('Konten'!$A$7:$A$26,C1189)&lt;&gt;1,"Konto nicht eindeutig",IF(J1189&lt;&gt;"Ja","Zuordnung bestätigen",IF(OR(AND(H1189="Einnahme",F1189&lt;0),AND(H1189="Ausgabe",F1189&gt;0)),"Vorzeichen prüfen",IF(AND(H1189="Umbuchung",OR(K1189="",COUNTIFS($A$7:$A$1506,K1189)&lt;&gt;1)),"Gegenbuchung fehlt",IF(AND(H1189="Umbuchung",ROUND(SUMIFS($F$7:$F$1506,$A$7:$A$1506,K1189)+F1189,2)&lt;&gt;0),"Umbuchung abweichend",IF(OR(G1189="",M1189="",M1189="offen",M1189="teilbelegt",H1189="Ungeklärt",H1189="Bargeld"),"Beleg / Verwendung klären","vollständig erfasst")))))))))</x:f>
      </x:c>
    </x:row>
    <x:row r="1190" ht="22" customHeight="1">
      <x:c r="A1190" s="7"/>
      <x:c r="B1190" s="8"/>
      <x:c r="C1190" s="7"/>
      <x:c r="D1190" s="7"/>
      <x:c r="E1190" s="7"/>
      <x:c r="F1190" s="20"/>
      <x:c r="G1190" s="7"/>
      <x:c r="H1190" s="7"/>
      <x:c r="I1190" s="7"/>
      <x:c r="J1190" s="7"/>
      <x:c r="K1190" s="7"/>
      <x:c r="L1190" s="7"/>
      <x:c r="M1190" s="7"/>
      <x:c r="N1190" s="7"/>
      <x:c r="O1190" s="2" t="str">
        <x:f>IF(A1190="","",IF(COUNTIFS($A$7:$A$1506,A1190)&gt;1,"Buchung-ID doppelt",IF(OR(NOT(ISNUMBER(B1190)),C1190="",NOT(ISNUMBER(F1190)),H1190="",L1190=""),"Pflichtangaben fehlen",IF(COUNTIFS('Konten'!$A$7:$A$26,C1190)&lt;&gt;1,"Konto nicht eindeutig",IF(J1190&lt;&gt;"Ja","Zuordnung bestätigen",IF(OR(AND(H1190="Einnahme",F1190&lt;0),AND(H1190="Ausgabe",F1190&gt;0)),"Vorzeichen prüfen",IF(AND(H1190="Umbuchung",OR(K1190="",COUNTIFS($A$7:$A$1506,K1190)&lt;&gt;1)),"Gegenbuchung fehlt",IF(AND(H1190="Umbuchung",ROUND(SUMIFS($F$7:$F$1506,$A$7:$A$1506,K1190)+F1190,2)&lt;&gt;0),"Umbuchung abweichend",IF(OR(G1190="",M1190="",M1190="offen",M1190="teilbelegt",H1190="Ungeklärt",H1190="Bargeld"),"Beleg / Verwendung klären","vollständig erfasst")))))))))</x:f>
      </x:c>
    </x:row>
    <x:row r="1191" ht="22" customHeight="1">
      <x:c r="A1191" s="7"/>
      <x:c r="B1191" s="8"/>
      <x:c r="C1191" s="7"/>
      <x:c r="D1191" s="7"/>
      <x:c r="E1191" s="7"/>
      <x:c r="F1191" s="20"/>
      <x:c r="G1191" s="7"/>
      <x:c r="H1191" s="7"/>
      <x:c r="I1191" s="7"/>
      <x:c r="J1191" s="7"/>
      <x:c r="K1191" s="7"/>
      <x:c r="L1191" s="7"/>
      <x:c r="M1191" s="7"/>
      <x:c r="N1191" s="7"/>
      <x:c r="O1191" s="2" t="str">
        <x:f>IF(A1191="","",IF(COUNTIFS($A$7:$A$1506,A1191)&gt;1,"Buchung-ID doppelt",IF(OR(NOT(ISNUMBER(B1191)),C1191="",NOT(ISNUMBER(F1191)),H1191="",L1191=""),"Pflichtangaben fehlen",IF(COUNTIFS('Konten'!$A$7:$A$26,C1191)&lt;&gt;1,"Konto nicht eindeutig",IF(J1191&lt;&gt;"Ja","Zuordnung bestätigen",IF(OR(AND(H1191="Einnahme",F1191&lt;0),AND(H1191="Ausgabe",F1191&gt;0)),"Vorzeichen prüfen",IF(AND(H1191="Umbuchung",OR(K1191="",COUNTIFS($A$7:$A$1506,K1191)&lt;&gt;1)),"Gegenbuchung fehlt",IF(AND(H1191="Umbuchung",ROUND(SUMIFS($F$7:$F$1506,$A$7:$A$1506,K1191)+F1191,2)&lt;&gt;0),"Umbuchung abweichend",IF(OR(G1191="",M1191="",M1191="offen",M1191="teilbelegt",H1191="Ungeklärt",H1191="Bargeld"),"Beleg / Verwendung klären","vollständig erfasst")))))))))</x:f>
      </x:c>
    </x:row>
    <x:row r="1192" ht="22" customHeight="1">
      <x:c r="A1192" s="7"/>
      <x:c r="B1192" s="8"/>
      <x:c r="C1192" s="7"/>
      <x:c r="D1192" s="7"/>
      <x:c r="E1192" s="7"/>
      <x:c r="F1192" s="20"/>
      <x:c r="G1192" s="7"/>
      <x:c r="H1192" s="7"/>
      <x:c r="I1192" s="7"/>
      <x:c r="J1192" s="7"/>
      <x:c r="K1192" s="7"/>
      <x:c r="L1192" s="7"/>
      <x:c r="M1192" s="7"/>
      <x:c r="N1192" s="7"/>
      <x:c r="O1192" s="2" t="str">
        <x:f>IF(A1192="","",IF(COUNTIFS($A$7:$A$1506,A1192)&gt;1,"Buchung-ID doppelt",IF(OR(NOT(ISNUMBER(B1192)),C1192="",NOT(ISNUMBER(F1192)),H1192="",L1192=""),"Pflichtangaben fehlen",IF(COUNTIFS('Konten'!$A$7:$A$26,C1192)&lt;&gt;1,"Konto nicht eindeutig",IF(J1192&lt;&gt;"Ja","Zuordnung bestätigen",IF(OR(AND(H1192="Einnahme",F1192&lt;0),AND(H1192="Ausgabe",F1192&gt;0)),"Vorzeichen prüfen",IF(AND(H1192="Umbuchung",OR(K1192="",COUNTIFS($A$7:$A$1506,K1192)&lt;&gt;1)),"Gegenbuchung fehlt",IF(AND(H1192="Umbuchung",ROUND(SUMIFS($F$7:$F$1506,$A$7:$A$1506,K1192)+F1192,2)&lt;&gt;0),"Umbuchung abweichend",IF(OR(G1192="",M1192="",M1192="offen",M1192="teilbelegt",H1192="Ungeklärt",H1192="Bargeld"),"Beleg / Verwendung klären","vollständig erfasst")))))))))</x:f>
      </x:c>
    </x:row>
    <x:row r="1193" ht="22" customHeight="1">
      <x:c r="A1193" s="7"/>
      <x:c r="B1193" s="8"/>
      <x:c r="C1193" s="7"/>
      <x:c r="D1193" s="7"/>
      <x:c r="E1193" s="7"/>
      <x:c r="F1193" s="20"/>
      <x:c r="G1193" s="7"/>
      <x:c r="H1193" s="7"/>
      <x:c r="I1193" s="7"/>
      <x:c r="J1193" s="7"/>
      <x:c r="K1193" s="7"/>
      <x:c r="L1193" s="7"/>
      <x:c r="M1193" s="7"/>
      <x:c r="N1193" s="7"/>
      <x:c r="O1193" s="2" t="str">
        <x:f>IF(A1193="","",IF(COUNTIFS($A$7:$A$1506,A1193)&gt;1,"Buchung-ID doppelt",IF(OR(NOT(ISNUMBER(B1193)),C1193="",NOT(ISNUMBER(F1193)),H1193="",L1193=""),"Pflichtangaben fehlen",IF(COUNTIFS('Konten'!$A$7:$A$26,C1193)&lt;&gt;1,"Konto nicht eindeutig",IF(J1193&lt;&gt;"Ja","Zuordnung bestätigen",IF(OR(AND(H1193="Einnahme",F1193&lt;0),AND(H1193="Ausgabe",F1193&gt;0)),"Vorzeichen prüfen",IF(AND(H1193="Umbuchung",OR(K1193="",COUNTIFS($A$7:$A$1506,K1193)&lt;&gt;1)),"Gegenbuchung fehlt",IF(AND(H1193="Umbuchung",ROUND(SUMIFS($F$7:$F$1506,$A$7:$A$1506,K1193)+F1193,2)&lt;&gt;0),"Umbuchung abweichend",IF(OR(G1193="",M1193="",M1193="offen",M1193="teilbelegt",H1193="Ungeklärt",H1193="Bargeld"),"Beleg / Verwendung klären","vollständig erfasst")))))))))</x:f>
      </x:c>
    </x:row>
    <x:row r="1194" ht="22" customHeight="1">
      <x:c r="A1194" s="7"/>
      <x:c r="B1194" s="8"/>
      <x:c r="C1194" s="7"/>
      <x:c r="D1194" s="7"/>
      <x:c r="E1194" s="7"/>
      <x:c r="F1194" s="20"/>
      <x:c r="G1194" s="7"/>
      <x:c r="H1194" s="7"/>
      <x:c r="I1194" s="7"/>
      <x:c r="J1194" s="7"/>
      <x:c r="K1194" s="7"/>
      <x:c r="L1194" s="7"/>
      <x:c r="M1194" s="7"/>
      <x:c r="N1194" s="7"/>
      <x:c r="O1194" s="2" t="str">
        <x:f>IF(A1194="","",IF(COUNTIFS($A$7:$A$1506,A1194)&gt;1,"Buchung-ID doppelt",IF(OR(NOT(ISNUMBER(B1194)),C1194="",NOT(ISNUMBER(F1194)),H1194="",L1194=""),"Pflichtangaben fehlen",IF(COUNTIFS('Konten'!$A$7:$A$26,C1194)&lt;&gt;1,"Konto nicht eindeutig",IF(J1194&lt;&gt;"Ja","Zuordnung bestätigen",IF(OR(AND(H1194="Einnahme",F1194&lt;0),AND(H1194="Ausgabe",F1194&gt;0)),"Vorzeichen prüfen",IF(AND(H1194="Umbuchung",OR(K1194="",COUNTIFS($A$7:$A$1506,K1194)&lt;&gt;1)),"Gegenbuchung fehlt",IF(AND(H1194="Umbuchung",ROUND(SUMIFS($F$7:$F$1506,$A$7:$A$1506,K1194)+F1194,2)&lt;&gt;0),"Umbuchung abweichend",IF(OR(G1194="",M1194="",M1194="offen",M1194="teilbelegt",H1194="Ungeklärt",H1194="Bargeld"),"Beleg / Verwendung klären","vollständig erfasst")))))))))</x:f>
      </x:c>
    </x:row>
    <x:row r="1195" ht="22" customHeight="1">
      <x:c r="A1195" s="7"/>
      <x:c r="B1195" s="8"/>
      <x:c r="C1195" s="7"/>
      <x:c r="D1195" s="7"/>
      <x:c r="E1195" s="7"/>
      <x:c r="F1195" s="20"/>
      <x:c r="G1195" s="7"/>
      <x:c r="H1195" s="7"/>
      <x:c r="I1195" s="7"/>
      <x:c r="J1195" s="7"/>
      <x:c r="K1195" s="7"/>
      <x:c r="L1195" s="7"/>
      <x:c r="M1195" s="7"/>
      <x:c r="N1195" s="7"/>
      <x:c r="O1195" s="2" t="str">
        <x:f>IF(A1195="","",IF(COUNTIFS($A$7:$A$1506,A1195)&gt;1,"Buchung-ID doppelt",IF(OR(NOT(ISNUMBER(B1195)),C1195="",NOT(ISNUMBER(F1195)),H1195="",L1195=""),"Pflichtangaben fehlen",IF(COUNTIFS('Konten'!$A$7:$A$26,C1195)&lt;&gt;1,"Konto nicht eindeutig",IF(J1195&lt;&gt;"Ja","Zuordnung bestätigen",IF(OR(AND(H1195="Einnahme",F1195&lt;0),AND(H1195="Ausgabe",F1195&gt;0)),"Vorzeichen prüfen",IF(AND(H1195="Umbuchung",OR(K1195="",COUNTIFS($A$7:$A$1506,K1195)&lt;&gt;1)),"Gegenbuchung fehlt",IF(AND(H1195="Umbuchung",ROUND(SUMIFS($F$7:$F$1506,$A$7:$A$1506,K1195)+F1195,2)&lt;&gt;0),"Umbuchung abweichend",IF(OR(G1195="",M1195="",M1195="offen",M1195="teilbelegt",H1195="Ungeklärt",H1195="Bargeld"),"Beleg / Verwendung klären","vollständig erfasst")))))))))</x:f>
      </x:c>
    </x:row>
    <x:row r="1196" ht="22" customHeight="1">
      <x:c r="A1196" s="7"/>
      <x:c r="B1196" s="8"/>
      <x:c r="C1196" s="7"/>
      <x:c r="D1196" s="7"/>
      <x:c r="E1196" s="7"/>
      <x:c r="F1196" s="20"/>
      <x:c r="G1196" s="7"/>
      <x:c r="H1196" s="7"/>
      <x:c r="I1196" s="7"/>
      <x:c r="J1196" s="7"/>
      <x:c r="K1196" s="7"/>
      <x:c r="L1196" s="7"/>
      <x:c r="M1196" s="7"/>
      <x:c r="N1196" s="7"/>
      <x:c r="O1196" s="2" t="str">
        <x:f>IF(A1196="","",IF(COUNTIFS($A$7:$A$1506,A1196)&gt;1,"Buchung-ID doppelt",IF(OR(NOT(ISNUMBER(B1196)),C1196="",NOT(ISNUMBER(F1196)),H1196="",L1196=""),"Pflichtangaben fehlen",IF(COUNTIFS('Konten'!$A$7:$A$26,C1196)&lt;&gt;1,"Konto nicht eindeutig",IF(J1196&lt;&gt;"Ja","Zuordnung bestätigen",IF(OR(AND(H1196="Einnahme",F1196&lt;0),AND(H1196="Ausgabe",F1196&gt;0)),"Vorzeichen prüfen",IF(AND(H1196="Umbuchung",OR(K1196="",COUNTIFS($A$7:$A$1506,K1196)&lt;&gt;1)),"Gegenbuchung fehlt",IF(AND(H1196="Umbuchung",ROUND(SUMIFS($F$7:$F$1506,$A$7:$A$1506,K1196)+F1196,2)&lt;&gt;0),"Umbuchung abweichend",IF(OR(G1196="",M1196="",M1196="offen",M1196="teilbelegt",H1196="Ungeklärt",H1196="Bargeld"),"Beleg / Verwendung klären","vollständig erfasst")))))))))</x:f>
      </x:c>
    </x:row>
    <x:row r="1197" ht="22" customHeight="1">
      <x:c r="A1197" s="7"/>
      <x:c r="B1197" s="8"/>
      <x:c r="C1197" s="7"/>
      <x:c r="D1197" s="7"/>
      <x:c r="E1197" s="7"/>
      <x:c r="F1197" s="20"/>
      <x:c r="G1197" s="7"/>
      <x:c r="H1197" s="7"/>
      <x:c r="I1197" s="7"/>
      <x:c r="J1197" s="7"/>
      <x:c r="K1197" s="7"/>
      <x:c r="L1197" s="7"/>
      <x:c r="M1197" s="7"/>
      <x:c r="N1197" s="7"/>
      <x:c r="O1197" s="2" t="str">
        <x:f>IF(A1197="","",IF(COUNTIFS($A$7:$A$1506,A1197)&gt;1,"Buchung-ID doppelt",IF(OR(NOT(ISNUMBER(B1197)),C1197="",NOT(ISNUMBER(F1197)),H1197="",L1197=""),"Pflichtangaben fehlen",IF(COUNTIFS('Konten'!$A$7:$A$26,C1197)&lt;&gt;1,"Konto nicht eindeutig",IF(J1197&lt;&gt;"Ja","Zuordnung bestätigen",IF(OR(AND(H1197="Einnahme",F1197&lt;0),AND(H1197="Ausgabe",F1197&gt;0)),"Vorzeichen prüfen",IF(AND(H1197="Umbuchung",OR(K1197="",COUNTIFS($A$7:$A$1506,K1197)&lt;&gt;1)),"Gegenbuchung fehlt",IF(AND(H1197="Umbuchung",ROUND(SUMIFS($F$7:$F$1506,$A$7:$A$1506,K1197)+F1197,2)&lt;&gt;0),"Umbuchung abweichend",IF(OR(G1197="",M1197="",M1197="offen",M1197="teilbelegt",H1197="Ungeklärt",H1197="Bargeld"),"Beleg / Verwendung klären","vollständig erfasst")))))))))</x:f>
      </x:c>
    </x:row>
    <x:row r="1198" ht="22" customHeight="1">
      <x:c r="A1198" s="7"/>
      <x:c r="B1198" s="8"/>
      <x:c r="C1198" s="7"/>
      <x:c r="D1198" s="7"/>
      <x:c r="E1198" s="7"/>
      <x:c r="F1198" s="20"/>
      <x:c r="G1198" s="7"/>
      <x:c r="H1198" s="7"/>
      <x:c r="I1198" s="7"/>
      <x:c r="J1198" s="7"/>
      <x:c r="K1198" s="7"/>
      <x:c r="L1198" s="7"/>
      <x:c r="M1198" s="7"/>
      <x:c r="N1198" s="7"/>
      <x:c r="O1198" s="2" t="str">
        <x:f>IF(A1198="","",IF(COUNTIFS($A$7:$A$1506,A1198)&gt;1,"Buchung-ID doppelt",IF(OR(NOT(ISNUMBER(B1198)),C1198="",NOT(ISNUMBER(F1198)),H1198="",L1198=""),"Pflichtangaben fehlen",IF(COUNTIFS('Konten'!$A$7:$A$26,C1198)&lt;&gt;1,"Konto nicht eindeutig",IF(J1198&lt;&gt;"Ja","Zuordnung bestätigen",IF(OR(AND(H1198="Einnahme",F1198&lt;0),AND(H1198="Ausgabe",F1198&gt;0)),"Vorzeichen prüfen",IF(AND(H1198="Umbuchung",OR(K1198="",COUNTIFS($A$7:$A$1506,K1198)&lt;&gt;1)),"Gegenbuchung fehlt",IF(AND(H1198="Umbuchung",ROUND(SUMIFS($F$7:$F$1506,$A$7:$A$1506,K1198)+F1198,2)&lt;&gt;0),"Umbuchung abweichend",IF(OR(G1198="",M1198="",M1198="offen",M1198="teilbelegt",H1198="Ungeklärt",H1198="Bargeld"),"Beleg / Verwendung klären","vollständig erfasst")))))))))</x:f>
      </x:c>
    </x:row>
    <x:row r="1199" ht="22" customHeight="1">
      <x:c r="A1199" s="7"/>
      <x:c r="B1199" s="8"/>
      <x:c r="C1199" s="7"/>
      <x:c r="D1199" s="7"/>
      <x:c r="E1199" s="7"/>
      <x:c r="F1199" s="20"/>
      <x:c r="G1199" s="7"/>
      <x:c r="H1199" s="7"/>
      <x:c r="I1199" s="7"/>
      <x:c r="J1199" s="7"/>
      <x:c r="K1199" s="7"/>
      <x:c r="L1199" s="7"/>
      <x:c r="M1199" s="7"/>
      <x:c r="N1199" s="7"/>
      <x:c r="O1199" s="2" t="str">
        <x:f>IF(A1199="","",IF(COUNTIFS($A$7:$A$1506,A1199)&gt;1,"Buchung-ID doppelt",IF(OR(NOT(ISNUMBER(B1199)),C1199="",NOT(ISNUMBER(F1199)),H1199="",L1199=""),"Pflichtangaben fehlen",IF(COUNTIFS('Konten'!$A$7:$A$26,C1199)&lt;&gt;1,"Konto nicht eindeutig",IF(J1199&lt;&gt;"Ja","Zuordnung bestätigen",IF(OR(AND(H1199="Einnahme",F1199&lt;0),AND(H1199="Ausgabe",F1199&gt;0)),"Vorzeichen prüfen",IF(AND(H1199="Umbuchung",OR(K1199="",COUNTIFS($A$7:$A$1506,K1199)&lt;&gt;1)),"Gegenbuchung fehlt",IF(AND(H1199="Umbuchung",ROUND(SUMIFS($F$7:$F$1506,$A$7:$A$1506,K1199)+F1199,2)&lt;&gt;0),"Umbuchung abweichend",IF(OR(G1199="",M1199="",M1199="offen",M1199="teilbelegt",H1199="Ungeklärt",H1199="Bargeld"),"Beleg / Verwendung klären","vollständig erfasst")))))))))</x:f>
      </x:c>
    </x:row>
    <x:row r="1200" ht="22" customHeight="1">
      <x:c r="A1200" s="7"/>
      <x:c r="B1200" s="8"/>
      <x:c r="C1200" s="7"/>
      <x:c r="D1200" s="7"/>
      <x:c r="E1200" s="7"/>
      <x:c r="F1200" s="20"/>
      <x:c r="G1200" s="7"/>
      <x:c r="H1200" s="7"/>
      <x:c r="I1200" s="7"/>
      <x:c r="J1200" s="7"/>
      <x:c r="K1200" s="7"/>
      <x:c r="L1200" s="7"/>
      <x:c r="M1200" s="7"/>
      <x:c r="N1200" s="7"/>
      <x:c r="O1200" s="2" t="str">
        <x:f>IF(A1200="","",IF(COUNTIFS($A$7:$A$1506,A1200)&gt;1,"Buchung-ID doppelt",IF(OR(NOT(ISNUMBER(B1200)),C1200="",NOT(ISNUMBER(F1200)),H1200="",L1200=""),"Pflichtangaben fehlen",IF(COUNTIFS('Konten'!$A$7:$A$26,C1200)&lt;&gt;1,"Konto nicht eindeutig",IF(J1200&lt;&gt;"Ja","Zuordnung bestätigen",IF(OR(AND(H1200="Einnahme",F1200&lt;0),AND(H1200="Ausgabe",F1200&gt;0)),"Vorzeichen prüfen",IF(AND(H1200="Umbuchung",OR(K1200="",COUNTIFS($A$7:$A$1506,K1200)&lt;&gt;1)),"Gegenbuchung fehlt",IF(AND(H1200="Umbuchung",ROUND(SUMIFS($F$7:$F$1506,$A$7:$A$1506,K1200)+F1200,2)&lt;&gt;0),"Umbuchung abweichend",IF(OR(G1200="",M1200="",M1200="offen",M1200="teilbelegt",H1200="Ungeklärt",H1200="Bargeld"),"Beleg / Verwendung klären","vollständig erfasst")))))))))</x:f>
      </x:c>
    </x:row>
    <x:row r="1201" ht="22" customHeight="1">
      <x:c r="A1201" s="7"/>
      <x:c r="B1201" s="8"/>
      <x:c r="C1201" s="7"/>
      <x:c r="D1201" s="7"/>
      <x:c r="E1201" s="7"/>
      <x:c r="F1201" s="20"/>
      <x:c r="G1201" s="7"/>
      <x:c r="H1201" s="7"/>
      <x:c r="I1201" s="7"/>
      <x:c r="J1201" s="7"/>
      <x:c r="K1201" s="7"/>
      <x:c r="L1201" s="7"/>
      <x:c r="M1201" s="7"/>
      <x:c r="N1201" s="7"/>
      <x:c r="O1201" s="2" t="str">
        <x:f>IF(A1201="","",IF(COUNTIFS($A$7:$A$1506,A1201)&gt;1,"Buchung-ID doppelt",IF(OR(NOT(ISNUMBER(B1201)),C1201="",NOT(ISNUMBER(F1201)),H1201="",L1201=""),"Pflichtangaben fehlen",IF(COUNTIFS('Konten'!$A$7:$A$26,C1201)&lt;&gt;1,"Konto nicht eindeutig",IF(J1201&lt;&gt;"Ja","Zuordnung bestätigen",IF(OR(AND(H1201="Einnahme",F1201&lt;0),AND(H1201="Ausgabe",F1201&gt;0)),"Vorzeichen prüfen",IF(AND(H1201="Umbuchung",OR(K1201="",COUNTIFS($A$7:$A$1506,K1201)&lt;&gt;1)),"Gegenbuchung fehlt",IF(AND(H1201="Umbuchung",ROUND(SUMIFS($F$7:$F$1506,$A$7:$A$1506,K1201)+F1201,2)&lt;&gt;0),"Umbuchung abweichend",IF(OR(G1201="",M1201="",M1201="offen",M1201="teilbelegt",H1201="Ungeklärt",H1201="Bargeld"),"Beleg / Verwendung klären","vollständig erfasst")))))))))</x:f>
      </x:c>
    </x:row>
    <x:row r="1202" ht="22" customHeight="1">
      <x:c r="A1202" s="7"/>
      <x:c r="B1202" s="8"/>
      <x:c r="C1202" s="7"/>
      <x:c r="D1202" s="7"/>
      <x:c r="E1202" s="7"/>
      <x:c r="F1202" s="20"/>
      <x:c r="G1202" s="7"/>
      <x:c r="H1202" s="7"/>
      <x:c r="I1202" s="7"/>
      <x:c r="J1202" s="7"/>
      <x:c r="K1202" s="7"/>
      <x:c r="L1202" s="7"/>
      <x:c r="M1202" s="7"/>
      <x:c r="N1202" s="7"/>
      <x:c r="O1202" s="2" t="str">
        <x:f>IF(A1202="","",IF(COUNTIFS($A$7:$A$1506,A1202)&gt;1,"Buchung-ID doppelt",IF(OR(NOT(ISNUMBER(B1202)),C1202="",NOT(ISNUMBER(F1202)),H1202="",L1202=""),"Pflichtangaben fehlen",IF(COUNTIFS('Konten'!$A$7:$A$26,C1202)&lt;&gt;1,"Konto nicht eindeutig",IF(J1202&lt;&gt;"Ja","Zuordnung bestätigen",IF(OR(AND(H1202="Einnahme",F1202&lt;0),AND(H1202="Ausgabe",F1202&gt;0)),"Vorzeichen prüfen",IF(AND(H1202="Umbuchung",OR(K1202="",COUNTIFS($A$7:$A$1506,K1202)&lt;&gt;1)),"Gegenbuchung fehlt",IF(AND(H1202="Umbuchung",ROUND(SUMIFS($F$7:$F$1506,$A$7:$A$1506,K1202)+F1202,2)&lt;&gt;0),"Umbuchung abweichend",IF(OR(G1202="",M1202="",M1202="offen",M1202="teilbelegt",H1202="Ungeklärt",H1202="Bargeld"),"Beleg / Verwendung klären","vollständig erfasst")))))))))</x:f>
      </x:c>
    </x:row>
    <x:row r="1203" ht="22" customHeight="1">
      <x:c r="A1203" s="7"/>
      <x:c r="B1203" s="8"/>
      <x:c r="C1203" s="7"/>
      <x:c r="D1203" s="7"/>
      <x:c r="E1203" s="7"/>
      <x:c r="F1203" s="20"/>
      <x:c r="G1203" s="7"/>
      <x:c r="H1203" s="7"/>
      <x:c r="I1203" s="7"/>
      <x:c r="J1203" s="7"/>
      <x:c r="K1203" s="7"/>
      <x:c r="L1203" s="7"/>
      <x:c r="M1203" s="7"/>
      <x:c r="N1203" s="7"/>
      <x:c r="O1203" s="2" t="str">
        <x:f>IF(A1203="","",IF(COUNTIFS($A$7:$A$1506,A1203)&gt;1,"Buchung-ID doppelt",IF(OR(NOT(ISNUMBER(B1203)),C1203="",NOT(ISNUMBER(F1203)),H1203="",L1203=""),"Pflichtangaben fehlen",IF(COUNTIFS('Konten'!$A$7:$A$26,C1203)&lt;&gt;1,"Konto nicht eindeutig",IF(J1203&lt;&gt;"Ja","Zuordnung bestätigen",IF(OR(AND(H1203="Einnahme",F1203&lt;0),AND(H1203="Ausgabe",F1203&gt;0)),"Vorzeichen prüfen",IF(AND(H1203="Umbuchung",OR(K1203="",COUNTIFS($A$7:$A$1506,K1203)&lt;&gt;1)),"Gegenbuchung fehlt",IF(AND(H1203="Umbuchung",ROUND(SUMIFS($F$7:$F$1506,$A$7:$A$1506,K1203)+F1203,2)&lt;&gt;0),"Umbuchung abweichend",IF(OR(G1203="",M1203="",M1203="offen",M1203="teilbelegt",H1203="Ungeklärt",H1203="Bargeld"),"Beleg / Verwendung klären","vollständig erfasst")))))))))</x:f>
      </x:c>
    </x:row>
    <x:row r="1204" ht="22" customHeight="1">
      <x:c r="A1204" s="7"/>
      <x:c r="B1204" s="8"/>
      <x:c r="C1204" s="7"/>
      <x:c r="D1204" s="7"/>
      <x:c r="E1204" s="7"/>
      <x:c r="F1204" s="20"/>
      <x:c r="G1204" s="7"/>
      <x:c r="H1204" s="7"/>
      <x:c r="I1204" s="7"/>
      <x:c r="J1204" s="7"/>
      <x:c r="K1204" s="7"/>
      <x:c r="L1204" s="7"/>
      <x:c r="M1204" s="7"/>
      <x:c r="N1204" s="7"/>
      <x:c r="O1204" s="2" t="str">
        <x:f>IF(A1204="","",IF(COUNTIFS($A$7:$A$1506,A1204)&gt;1,"Buchung-ID doppelt",IF(OR(NOT(ISNUMBER(B1204)),C1204="",NOT(ISNUMBER(F1204)),H1204="",L1204=""),"Pflichtangaben fehlen",IF(COUNTIFS('Konten'!$A$7:$A$26,C1204)&lt;&gt;1,"Konto nicht eindeutig",IF(J1204&lt;&gt;"Ja","Zuordnung bestätigen",IF(OR(AND(H1204="Einnahme",F1204&lt;0),AND(H1204="Ausgabe",F1204&gt;0)),"Vorzeichen prüfen",IF(AND(H1204="Umbuchung",OR(K1204="",COUNTIFS($A$7:$A$1506,K1204)&lt;&gt;1)),"Gegenbuchung fehlt",IF(AND(H1204="Umbuchung",ROUND(SUMIFS($F$7:$F$1506,$A$7:$A$1506,K1204)+F1204,2)&lt;&gt;0),"Umbuchung abweichend",IF(OR(G1204="",M1204="",M1204="offen",M1204="teilbelegt",H1204="Ungeklärt",H1204="Bargeld"),"Beleg / Verwendung klären","vollständig erfasst")))))))))</x:f>
      </x:c>
    </x:row>
    <x:row r="1205" ht="22" customHeight="1">
      <x:c r="A1205" s="7"/>
      <x:c r="B1205" s="8"/>
      <x:c r="C1205" s="7"/>
      <x:c r="D1205" s="7"/>
      <x:c r="E1205" s="7"/>
      <x:c r="F1205" s="20"/>
      <x:c r="G1205" s="7"/>
      <x:c r="H1205" s="7"/>
      <x:c r="I1205" s="7"/>
      <x:c r="J1205" s="7"/>
      <x:c r="K1205" s="7"/>
      <x:c r="L1205" s="7"/>
      <x:c r="M1205" s="7"/>
      <x:c r="N1205" s="7"/>
      <x:c r="O1205" s="2" t="str">
        <x:f>IF(A1205="","",IF(COUNTIFS($A$7:$A$1506,A1205)&gt;1,"Buchung-ID doppelt",IF(OR(NOT(ISNUMBER(B1205)),C1205="",NOT(ISNUMBER(F1205)),H1205="",L1205=""),"Pflichtangaben fehlen",IF(COUNTIFS('Konten'!$A$7:$A$26,C1205)&lt;&gt;1,"Konto nicht eindeutig",IF(J1205&lt;&gt;"Ja","Zuordnung bestätigen",IF(OR(AND(H1205="Einnahme",F1205&lt;0),AND(H1205="Ausgabe",F1205&gt;0)),"Vorzeichen prüfen",IF(AND(H1205="Umbuchung",OR(K1205="",COUNTIFS($A$7:$A$1506,K1205)&lt;&gt;1)),"Gegenbuchung fehlt",IF(AND(H1205="Umbuchung",ROUND(SUMIFS($F$7:$F$1506,$A$7:$A$1506,K1205)+F1205,2)&lt;&gt;0),"Umbuchung abweichend",IF(OR(G1205="",M1205="",M1205="offen",M1205="teilbelegt",H1205="Ungeklärt",H1205="Bargeld"),"Beleg / Verwendung klären","vollständig erfasst")))))))))</x:f>
      </x:c>
    </x:row>
    <x:row r="1206" ht="22" customHeight="1">
      <x:c r="A1206" s="7"/>
      <x:c r="B1206" s="8"/>
      <x:c r="C1206" s="7"/>
      <x:c r="D1206" s="7"/>
      <x:c r="E1206" s="7"/>
      <x:c r="F1206" s="20"/>
      <x:c r="G1206" s="7"/>
      <x:c r="H1206" s="7"/>
      <x:c r="I1206" s="7"/>
      <x:c r="J1206" s="7"/>
      <x:c r="K1206" s="7"/>
      <x:c r="L1206" s="7"/>
      <x:c r="M1206" s="7"/>
      <x:c r="N1206" s="7"/>
      <x:c r="O1206" s="2" t="str">
        <x:f>IF(A1206="","",IF(COUNTIFS($A$7:$A$1506,A1206)&gt;1,"Buchung-ID doppelt",IF(OR(NOT(ISNUMBER(B1206)),C1206="",NOT(ISNUMBER(F1206)),H1206="",L1206=""),"Pflichtangaben fehlen",IF(COUNTIFS('Konten'!$A$7:$A$26,C1206)&lt;&gt;1,"Konto nicht eindeutig",IF(J1206&lt;&gt;"Ja","Zuordnung bestätigen",IF(OR(AND(H1206="Einnahme",F1206&lt;0),AND(H1206="Ausgabe",F1206&gt;0)),"Vorzeichen prüfen",IF(AND(H1206="Umbuchung",OR(K1206="",COUNTIFS($A$7:$A$1506,K1206)&lt;&gt;1)),"Gegenbuchung fehlt",IF(AND(H1206="Umbuchung",ROUND(SUMIFS($F$7:$F$1506,$A$7:$A$1506,K1206)+F1206,2)&lt;&gt;0),"Umbuchung abweichend",IF(OR(G1206="",M1206="",M1206="offen",M1206="teilbelegt",H1206="Ungeklärt",H1206="Bargeld"),"Beleg / Verwendung klären","vollständig erfasst")))))))))</x:f>
      </x:c>
    </x:row>
    <x:row r="1207" ht="22" customHeight="1">
      <x:c r="A1207" s="7"/>
      <x:c r="B1207" s="8"/>
      <x:c r="C1207" s="7"/>
      <x:c r="D1207" s="7"/>
      <x:c r="E1207" s="7"/>
      <x:c r="F1207" s="20"/>
      <x:c r="G1207" s="7"/>
      <x:c r="H1207" s="7"/>
      <x:c r="I1207" s="7"/>
      <x:c r="J1207" s="7"/>
      <x:c r="K1207" s="7"/>
      <x:c r="L1207" s="7"/>
      <x:c r="M1207" s="7"/>
      <x:c r="N1207" s="7"/>
      <x:c r="O1207" s="2" t="str">
        <x:f>IF(A1207="","",IF(COUNTIFS($A$7:$A$1506,A1207)&gt;1,"Buchung-ID doppelt",IF(OR(NOT(ISNUMBER(B1207)),C1207="",NOT(ISNUMBER(F1207)),H1207="",L1207=""),"Pflichtangaben fehlen",IF(COUNTIFS('Konten'!$A$7:$A$26,C1207)&lt;&gt;1,"Konto nicht eindeutig",IF(J1207&lt;&gt;"Ja","Zuordnung bestätigen",IF(OR(AND(H1207="Einnahme",F1207&lt;0),AND(H1207="Ausgabe",F1207&gt;0)),"Vorzeichen prüfen",IF(AND(H1207="Umbuchung",OR(K1207="",COUNTIFS($A$7:$A$1506,K1207)&lt;&gt;1)),"Gegenbuchung fehlt",IF(AND(H1207="Umbuchung",ROUND(SUMIFS($F$7:$F$1506,$A$7:$A$1506,K1207)+F1207,2)&lt;&gt;0),"Umbuchung abweichend",IF(OR(G1207="",M1207="",M1207="offen",M1207="teilbelegt",H1207="Ungeklärt",H1207="Bargeld"),"Beleg / Verwendung klären","vollständig erfasst")))))))))</x:f>
      </x:c>
    </x:row>
    <x:row r="1208" ht="22" customHeight="1">
      <x:c r="A1208" s="7"/>
      <x:c r="B1208" s="8"/>
      <x:c r="C1208" s="7"/>
      <x:c r="D1208" s="7"/>
      <x:c r="E1208" s="7"/>
      <x:c r="F1208" s="20"/>
      <x:c r="G1208" s="7"/>
      <x:c r="H1208" s="7"/>
      <x:c r="I1208" s="7"/>
      <x:c r="J1208" s="7"/>
      <x:c r="K1208" s="7"/>
      <x:c r="L1208" s="7"/>
      <x:c r="M1208" s="7"/>
      <x:c r="N1208" s="7"/>
      <x:c r="O1208" s="2" t="str">
        <x:f>IF(A1208="","",IF(COUNTIFS($A$7:$A$1506,A1208)&gt;1,"Buchung-ID doppelt",IF(OR(NOT(ISNUMBER(B1208)),C1208="",NOT(ISNUMBER(F1208)),H1208="",L1208=""),"Pflichtangaben fehlen",IF(COUNTIFS('Konten'!$A$7:$A$26,C1208)&lt;&gt;1,"Konto nicht eindeutig",IF(J1208&lt;&gt;"Ja","Zuordnung bestätigen",IF(OR(AND(H1208="Einnahme",F1208&lt;0),AND(H1208="Ausgabe",F1208&gt;0)),"Vorzeichen prüfen",IF(AND(H1208="Umbuchung",OR(K1208="",COUNTIFS($A$7:$A$1506,K1208)&lt;&gt;1)),"Gegenbuchung fehlt",IF(AND(H1208="Umbuchung",ROUND(SUMIFS($F$7:$F$1506,$A$7:$A$1506,K1208)+F1208,2)&lt;&gt;0),"Umbuchung abweichend",IF(OR(G1208="",M1208="",M1208="offen",M1208="teilbelegt",H1208="Ungeklärt",H1208="Bargeld"),"Beleg / Verwendung klären","vollständig erfasst")))))))))</x:f>
      </x:c>
    </x:row>
    <x:row r="1209" ht="22" customHeight="1">
      <x:c r="A1209" s="7"/>
      <x:c r="B1209" s="8"/>
      <x:c r="C1209" s="7"/>
      <x:c r="D1209" s="7"/>
      <x:c r="E1209" s="7"/>
      <x:c r="F1209" s="20"/>
      <x:c r="G1209" s="7"/>
      <x:c r="H1209" s="7"/>
      <x:c r="I1209" s="7"/>
      <x:c r="J1209" s="7"/>
      <x:c r="K1209" s="7"/>
      <x:c r="L1209" s="7"/>
      <x:c r="M1209" s="7"/>
      <x:c r="N1209" s="7"/>
      <x:c r="O1209" s="2" t="str">
        <x:f>IF(A1209="","",IF(COUNTIFS($A$7:$A$1506,A1209)&gt;1,"Buchung-ID doppelt",IF(OR(NOT(ISNUMBER(B1209)),C1209="",NOT(ISNUMBER(F1209)),H1209="",L1209=""),"Pflichtangaben fehlen",IF(COUNTIFS('Konten'!$A$7:$A$26,C1209)&lt;&gt;1,"Konto nicht eindeutig",IF(J1209&lt;&gt;"Ja","Zuordnung bestätigen",IF(OR(AND(H1209="Einnahme",F1209&lt;0),AND(H1209="Ausgabe",F1209&gt;0)),"Vorzeichen prüfen",IF(AND(H1209="Umbuchung",OR(K1209="",COUNTIFS($A$7:$A$1506,K1209)&lt;&gt;1)),"Gegenbuchung fehlt",IF(AND(H1209="Umbuchung",ROUND(SUMIFS($F$7:$F$1506,$A$7:$A$1506,K1209)+F1209,2)&lt;&gt;0),"Umbuchung abweichend",IF(OR(G1209="",M1209="",M1209="offen",M1209="teilbelegt",H1209="Ungeklärt",H1209="Bargeld"),"Beleg / Verwendung klären","vollständig erfasst")))))))))</x:f>
      </x:c>
    </x:row>
    <x:row r="1210" ht="22" customHeight="1">
      <x:c r="A1210" s="7"/>
      <x:c r="B1210" s="8"/>
      <x:c r="C1210" s="7"/>
      <x:c r="D1210" s="7"/>
      <x:c r="E1210" s="7"/>
      <x:c r="F1210" s="20"/>
      <x:c r="G1210" s="7"/>
      <x:c r="H1210" s="7"/>
      <x:c r="I1210" s="7"/>
      <x:c r="J1210" s="7"/>
      <x:c r="K1210" s="7"/>
      <x:c r="L1210" s="7"/>
      <x:c r="M1210" s="7"/>
      <x:c r="N1210" s="7"/>
      <x:c r="O1210" s="2" t="str">
        <x:f>IF(A1210="","",IF(COUNTIFS($A$7:$A$1506,A1210)&gt;1,"Buchung-ID doppelt",IF(OR(NOT(ISNUMBER(B1210)),C1210="",NOT(ISNUMBER(F1210)),H1210="",L1210=""),"Pflichtangaben fehlen",IF(COUNTIFS('Konten'!$A$7:$A$26,C1210)&lt;&gt;1,"Konto nicht eindeutig",IF(J1210&lt;&gt;"Ja","Zuordnung bestätigen",IF(OR(AND(H1210="Einnahme",F1210&lt;0),AND(H1210="Ausgabe",F1210&gt;0)),"Vorzeichen prüfen",IF(AND(H1210="Umbuchung",OR(K1210="",COUNTIFS($A$7:$A$1506,K1210)&lt;&gt;1)),"Gegenbuchung fehlt",IF(AND(H1210="Umbuchung",ROUND(SUMIFS($F$7:$F$1506,$A$7:$A$1506,K1210)+F1210,2)&lt;&gt;0),"Umbuchung abweichend",IF(OR(G1210="",M1210="",M1210="offen",M1210="teilbelegt",H1210="Ungeklärt",H1210="Bargeld"),"Beleg / Verwendung klären","vollständig erfasst")))))))))</x:f>
      </x:c>
    </x:row>
    <x:row r="1211" ht="22" customHeight="1">
      <x:c r="A1211" s="7"/>
      <x:c r="B1211" s="8"/>
      <x:c r="C1211" s="7"/>
      <x:c r="D1211" s="7"/>
      <x:c r="E1211" s="7"/>
      <x:c r="F1211" s="20"/>
      <x:c r="G1211" s="7"/>
      <x:c r="H1211" s="7"/>
      <x:c r="I1211" s="7"/>
      <x:c r="J1211" s="7"/>
      <x:c r="K1211" s="7"/>
      <x:c r="L1211" s="7"/>
      <x:c r="M1211" s="7"/>
      <x:c r="N1211" s="7"/>
      <x:c r="O1211" s="2" t="str">
        <x:f>IF(A1211="","",IF(COUNTIFS($A$7:$A$1506,A1211)&gt;1,"Buchung-ID doppelt",IF(OR(NOT(ISNUMBER(B1211)),C1211="",NOT(ISNUMBER(F1211)),H1211="",L1211=""),"Pflichtangaben fehlen",IF(COUNTIFS('Konten'!$A$7:$A$26,C1211)&lt;&gt;1,"Konto nicht eindeutig",IF(J1211&lt;&gt;"Ja","Zuordnung bestätigen",IF(OR(AND(H1211="Einnahme",F1211&lt;0),AND(H1211="Ausgabe",F1211&gt;0)),"Vorzeichen prüfen",IF(AND(H1211="Umbuchung",OR(K1211="",COUNTIFS($A$7:$A$1506,K1211)&lt;&gt;1)),"Gegenbuchung fehlt",IF(AND(H1211="Umbuchung",ROUND(SUMIFS($F$7:$F$1506,$A$7:$A$1506,K1211)+F1211,2)&lt;&gt;0),"Umbuchung abweichend",IF(OR(G1211="",M1211="",M1211="offen",M1211="teilbelegt",H1211="Ungeklärt",H1211="Bargeld"),"Beleg / Verwendung klären","vollständig erfasst")))))))))</x:f>
      </x:c>
    </x:row>
    <x:row r="1212" ht="22" customHeight="1">
      <x:c r="A1212" s="7"/>
      <x:c r="B1212" s="8"/>
      <x:c r="C1212" s="7"/>
      <x:c r="D1212" s="7"/>
      <x:c r="E1212" s="7"/>
      <x:c r="F1212" s="20"/>
      <x:c r="G1212" s="7"/>
      <x:c r="H1212" s="7"/>
      <x:c r="I1212" s="7"/>
      <x:c r="J1212" s="7"/>
      <x:c r="K1212" s="7"/>
      <x:c r="L1212" s="7"/>
      <x:c r="M1212" s="7"/>
      <x:c r="N1212" s="7"/>
      <x:c r="O1212" s="2" t="str">
        <x:f>IF(A1212="","",IF(COUNTIFS($A$7:$A$1506,A1212)&gt;1,"Buchung-ID doppelt",IF(OR(NOT(ISNUMBER(B1212)),C1212="",NOT(ISNUMBER(F1212)),H1212="",L1212=""),"Pflichtangaben fehlen",IF(COUNTIFS('Konten'!$A$7:$A$26,C1212)&lt;&gt;1,"Konto nicht eindeutig",IF(J1212&lt;&gt;"Ja","Zuordnung bestätigen",IF(OR(AND(H1212="Einnahme",F1212&lt;0),AND(H1212="Ausgabe",F1212&gt;0)),"Vorzeichen prüfen",IF(AND(H1212="Umbuchung",OR(K1212="",COUNTIFS($A$7:$A$1506,K1212)&lt;&gt;1)),"Gegenbuchung fehlt",IF(AND(H1212="Umbuchung",ROUND(SUMIFS($F$7:$F$1506,$A$7:$A$1506,K1212)+F1212,2)&lt;&gt;0),"Umbuchung abweichend",IF(OR(G1212="",M1212="",M1212="offen",M1212="teilbelegt",H1212="Ungeklärt",H1212="Bargeld"),"Beleg / Verwendung klären","vollständig erfasst")))))))))</x:f>
      </x:c>
    </x:row>
    <x:row r="1213" ht="22" customHeight="1">
      <x:c r="A1213" s="7"/>
      <x:c r="B1213" s="8"/>
      <x:c r="C1213" s="7"/>
      <x:c r="D1213" s="7"/>
      <x:c r="E1213" s="7"/>
      <x:c r="F1213" s="20"/>
      <x:c r="G1213" s="7"/>
      <x:c r="H1213" s="7"/>
      <x:c r="I1213" s="7"/>
      <x:c r="J1213" s="7"/>
      <x:c r="K1213" s="7"/>
      <x:c r="L1213" s="7"/>
      <x:c r="M1213" s="7"/>
      <x:c r="N1213" s="7"/>
      <x:c r="O1213" s="2" t="str">
        <x:f>IF(A1213="","",IF(COUNTIFS($A$7:$A$1506,A1213)&gt;1,"Buchung-ID doppelt",IF(OR(NOT(ISNUMBER(B1213)),C1213="",NOT(ISNUMBER(F1213)),H1213="",L1213=""),"Pflichtangaben fehlen",IF(COUNTIFS('Konten'!$A$7:$A$26,C1213)&lt;&gt;1,"Konto nicht eindeutig",IF(J1213&lt;&gt;"Ja","Zuordnung bestätigen",IF(OR(AND(H1213="Einnahme",F1213&lt;0),AND(H1213="Ausgabe",F1213&gt;0)),"Vorzeichen prüfen",IF(AND(H1213="Umbuchung",OR(K1213="",COUNTIFS($A$7:$A$1506,K1213)&lt;&gt;1)),"Gegenbuchung fehlt",IF(AND(H1213="Umbuchung",ROUND(SUMIFS($F$7:$F$1506,$A$7:$A$1506,K1213)+F1213,2)&lt;&gt;0),"Umbuchung abweichend",IF(OR(G1213="",M1213="",M1213="offen",M1213="teilbelegt",H1213="Ungeklärt",H1213="Bargeld"),"Beleg / Verwendung klären","vollständig erfasst")))))))))</x:f>
      </x:c>
    </x:row>
    <x:row r="1214" ht="22" customHeight="1">
      <x:c r="A1214" s="7"/>
      <x:c r="B1214" s="8"/>
      <x:c r="C1214" s="7"/>
      <x:c r="D1214" s="7"/>
      <x:c r="E1214" s="7"/>
      <x:c r="F1214" s="20"/>
      <x:c r="G1214" s="7"/>
      <x:c r="H1214" s="7"/>
      <x:c r="I1214" s="7"/>
      <x:c r="J1214" s="7"/>
      <x:c r="K1214" s="7"/>
      <x:c r="L1214" s="7"/>
      <x:c r="M1214" s="7"/>
      <x:c r="N1214" s="7"/>
      <x:c r="O1214" s="2" t="str">
        <x:f>IF(A1214="","",IF(COUNTIFS($A$7:$A$1506,A1214)&gt;1,"Buchung-ID doppelt",IF(OR(NOT(ISNUMBER(B1214)),C1214="",NOT(ISNUMBER(F1214)),H1214="",L1214=""),"Pflichtangaben fehlen",IF(COUNTIFS('Konten'!$A$7:$A$26,C1214)&lt;&gt;1,"Konto nicht eindeutig",IF(J1214&lt;&gt;"Ja","Zuordnung bestätigen",IF(OR(AND(H1214="Einnahme",F1214&lt;0),AND(H1214="Ausgabe",F1214&gt;0)),"Vorzeichen prüfen",IF(AND(H1214="Umbuchung",OR(K1214="",COUNTIFS($A$7:$A$1506,K1214)&lt;&gt;1)),"Gegenbuchung fehlt",IF(AND(H1214="Umbuchung",ROUND(SUMIFS($F$7:$F$1506,$A$7:$A$1506,K1214)+F1214,2)&lt;&gt;0),"Umbuchung abweichend",IF(OR(G1214="",M1214="",M1214="offen",M1214="teilbelegt",H1214="Ungeklärt",H1214="Bargeld"),"Beleg / Verwendung klären","vollständig erfasst")))))))))</x:f>
      </x:c>
    </x:row>
    <x:row r="1215" ht="22" customHeight="1">
      <x:c r="A1215" s="7"/>
      <x:c r="B1215" s="8"/>
      <x:c r="C1215" s="7"/>
      <x:c r="D1215" s="7"/>
      <x:c r="E1215" s="7"/>
      <x:c r="F1215" s="20"/>
      <x:c r="G1215" s="7"/>
      <x:c r="H1215" s="7"/>
      <x:c r="I1215" s="7"/>
      <x:c r="J1215" s="7"/>
      <x:c r="K1215" s="7"/>
      <x:c r="L1215" s="7"/>
      <x:c r="M1215" s="7"/>
      <x:c r="N1215" s="7"/>
      <x:c r="O1215" s="2" t="str">
        <x:f>IF(A1215="","",IF(COUNTIFS($A$7:$A$1506,A1215)&gt;1,"Buchung-ID doppelt",IF(OR(NOT(ISNUMBER(B1215)),C1215="",NOT(ISNUMBER(F1215)),H1215="",L1215=""),"Pflichtangaben fehlen",IF(COUNTIFS('Konten'!$A$7:$A$26,C1215)&lt;&gt;1,"Konto nicht eindeutig",IF(J1215&lt;&gt;"Ja","Zuordnung bestätigen",IF(OR(AND(H1215="Einnahme",F1215&lt;0),AND(H1215="Ausgabe",F1215&gt;0)),"Vorzeichen prüfen",IF(AND(H1215="Umbuchung",OR(K1215="",COUNTIFS($A$7:$A$1506,K1215)&lt;&gt;1)),"Gegenbuchung fehlt",IF(AND(H1215="Umbuchung",ROUND(SUMIFS($F$7:$F$1506,$A$7:$A$1506,K1215)+F1215,2)&lt;&gt;0),"Umbuchung abweichend",IF(OR(G1215="",M1215="",M1215="offen",M1215="teilbelegt",H1215="Ungeklärt",H1215="Bargeld"),"Beleg / Verwendung klären","vollständig erfasst")))))))))</x:f>
      </x:c>
    </x:row>
    <x:row r="1216" ht="22" customHeight="1">
      <x:c r="A1216" s="7"/>
      <x:c r="B1216" s="8"/>
      <x:c r="C1216" s="7"/>
      <x:c r="D1216" s="7"/>
      <x:c r="E1216" s="7"/>
      <x:c r="F1216" s="20"/>
      <x:c r="G1216" s="7"/>
      <x:c r="H1216" s="7"/>
      <x:c r="I1216" s="7"/>
      <x:c r="J1216" s="7"/>
      <x:c r="K1216" s="7"/>
      <x:c r="L1216" s="7"/>
      <x:c r="M1216" s="7"/>
      <x:c r="N1216" s="7"/>
      <x:c r="O1216" s="2" t="str">
        <x:f>IF(A1216="","",IF(COUNTIFS($A$7:$A$1506,A1216)&gt;1,"Buchung-ID doppelt",IF(OR(NOT(ISNUMBER(B1216)),C1216="",NOT(ISNUMBER(F1216)),H1216="",L1216=""),"Pflichtangaben fehlen",IF(COUNTIFS('Konten'!$A$7:$A$26,C1216)&lt;&gt;1,"Konto nicht eindeutig",IF(J1216&lt;&gt;"Ja","Zuordnung bestätigen",IF(OR(AND(H1216="Einnahme",F1216&lt;0),AND(H1216="Ausgabe",F1216&gt;0)),"Vorzeichen prüfen",IF(AND(H1216="Umbuchung",OR(K1216="",COUNTIFS($A$7:$A$1506,K1216)&lt;&gt;1)),"Gegenbuchung fehlt",IF(AND(H1216="Umbuchung",ROUND(SUMIFS($F$7:$F$1506,$A$7:$A$1506,K1216)+F1216,2)&lt;&gt;0),"Umbuchung abweichend",IF(OR(G1216="",M1216="",M1216="offen",M1216="teilbelegt",H1216="Ungeklärt",H1216="Bargeld"),"Beleg / Verwendung klären","vollständig erfasst")))))))))</x:f>
      </x:c>
    </x:row>
    <x:row r="1217" ht="22" customHeight="1">
      <x:c r="A1217" s="7"/>
      <x:c r="B1217" s="8"/>
      <x:c r="C1217" s="7"/>
      <x:c r="D1217" s="7"/>
      <x:c r="E1217" s="7"/>
      <x:c r="F1217" s="20"/>
      <x:c r="G1217" s="7"/>
      <x:c r="H1217" s="7"/>
      <x:c r="I1217" s="7"/>
      <x:c r="J1217" s="7"/>
      <x:c r="K1217" s="7"/>
      <x:c r="L1217" s="7"/>
      <x:c r="M1217" s="7"/>
      <x:c r="N1217" s="7"/>
      <x:c r="O1217" s="2" t="str">
        <x:f>IF(A1217="","",IF(COUNTIFS($A$7:$A$1506,A1217)&gt;1,"Buchung-ID doppelt",IF(OR(NOT(ISNUMBER(B1217)),C1217="",NOT(ISNUMBER(F1217)),H1217="",L1217=""),"Pflichtangaben fehlen",IF(COUNTIFS('Konten'!$A$7:$A$26,C1217)&lt;&gt;1,"Konto nicht eindeutig",IF(J1217&lt;&gt;"Ja","Zuordnung bestätigen",IF(OR(AND(H1217="Einnahme",F1217&lt;0),AND(H1217="Ausgabe",F1217&gt;0)),"Vorzeichen prüfen",IF(AND(H1217="Umbuchung",OR(K1217="",COUNTIFS($A$7:$A$1506,K1217)&lt;&gt;1)),"Gegenbuchung fehlt",IF(AND(H1217="Umbuchung",ROUND(SUMIFS($F$7:$F$1506,$A$7:$A$1506,K1217)+F1217,2)&lt;&gt;0),"Umbuchung abweichend",IF(OR(G1217="",M1217="",M1217="offen",M1217="teilbelegt",H1217="Ungeklärt",H1217="Bargeld"),"Beleg / Verwendung klären","vollständig erfasst")))))))))</x:f>
      </x:c>
    </x:row>
    <x:row r="1218" ht="22" customHeight="1">
      <x:c r="A1218" s="7"/>
      <x:c r="B1218" s="8"/>
      <x:c r="C1218" s="7"/>
      <x:c r="D1218" s="7"/>
      <x:c r="E1218" s="7"/>
      <x:c r="F1218" s="20"/>
      <x:c r="G1218" s="7"/>
      <x:c r="H1218" s="7"/>
      <x:c r="I1218" s="7"/>
      <x:c r="J1218" s="7"/>
      <x:c r="K1218" s="7"/>
      <x:c r="L1218" s="7"/>
      <x:c r="M1218" s="7"/>
      <x:c r="N1218" s="7"/>
      <x:c r="O1218" s="2" t="str">
        <x:f>IF(A1218="","",IF(COUNTIFS($A$7:$A$1506,A1218)&gt;1,"Buchung-ID doppelt",IF(OR(NOT(ISNUMBER(B1218)),C1218="",NOT(ISNUMBER(F1218)),H1218="",L1218=""),"Pflichtangaben fehlen",IF(COUNTIFS('Konten'!$A$7:$A$26,C1218)&lt;&gt;1,"Konto nicht eindeutig",IF(J1218&lt;&gt;"Ja","Zuordnung bestätigen",IF(OR(AND(H1218="Einnahme",F1218&lt;0),AND(H1218="Ausgabe",F1218&gt;0)),"Vorzeichen prüfen",IF(AND(H1218="Umbuchung",OR(K1218="",COUNTIFS($A$7:$A$1506,K1218)&lt;&gt;1)),"Gegenbuchung fehlt",IF(AND(H1218="Umbuchung",ROUND(SUMIFS($F$7:$F$1506,$A$7:$A$1506,K1218)+F1218,2)&lt;&gt;0),"Umbuchung abweichend",IF(OR(G1218="",M1218="",M1218="offen",M1218="teilbelegt",H1218="Ungeklärt",H1218="Bargeld"),"Beleg / Verwendung klären","vollständig erfasst")))))))))</x:f>
      </x:c>
    </x:row>
    <x:row r="1219" ht="22" customHeight="1">
      <x:c r="A1219" s="7"/>
      <x:c r="B1219" s="8"/>
      <x:c r="C1219" s="7"/>
      <x:c r="D1219" s="7"/>
      <x:c r="E1219" s="7"/>
      <x:c r="F1219" s="20"/>
      <x:c r="G1219" s="7"/>
      <x:c r="H1219" s="7"/>
      <x:c r="I1219" s="7"/>
      <x:c r="J1219" s="7"/>
      <x:c r="K1219" s="7"/>
      <x:c r="L1219" s="7"/>
      <x:c r="M1219" s="7"/>
      <x:c r="N1219" s="7"/>
      <x:c r="O1219" s="2" t="str">
        <x:f>IF(A1219="","",IF(COUNTIFS($A$7:$A$1506,A1219)&gt;1,"Buchung-ID doppelt",IF(OR(NOT(ISNUMBER(B1219)),C1219="",NOT(ISNUMBER(F1219)),H1219="",L1219=""),"Pflichtangaben fehlen",IF(COUNTIFS('Konten'!$A$7:$A$26,C1219)&lt;&gt;1,"Konto nicht eindeutig",IF(J1219&lt;&gt;"Ja","Zuordnung bestätigen",IF(OR(AND(H1219="Einnahme",F1219&lt;0),AND(H1219="Ausgabe",F1219&gt;0)),"Vorzeichen prüfen",IF(AND(H1219="Umbuchung",OR(K1219="",COUNTIFS($A$7:$A$1506,K1219)&lt;&gt;1)),"Gegenbuchung fehlt",IF(AND(H1219="Umbuchung",ROUND(SUMIFS($F$7:$F$1506,$A$7:$A$1506,K1219)+F1219,2)&lt;&gt;0),"Umbuchung abweichend",IF(OR(G1219="",M1219="",M1219="offen",M1219="teilbelegt",H1219="Ungeklärt",H1219="Bargeld"),"Beleg / Verwendung klären","vollständig erfasst")))))))))</x:f>
      </x:c>
    </x:row>
    <x:row r="1220" ht="22" customHeight="1">
      <x:c r="A1220" s="7"/>
      <x:c r="B1220" s="8"/>
      <x:c r="C1220" s="7"/>
      <x:c r="D1220" s="7"/>
      <x:c r="E1220" s="7"/>
      <x:c r="F1220" s="20"/>
      <x:c r="G1220" s="7"/>
      <x:c r="H1220" s="7"/>
      <x:c r="I1220" s="7"/>
      <x:c r="J1220" s="7"/>
      <x:c r="K1220" s="7"/>
      <x:c r="L1220" s="7"/>
      <x:c r="M1220" s="7"/>
      <x:c r="N1220" s="7"/>
      <x:c r="O1220" s="2" t="str">
        <x:f>IF(A1220="","",IF(COUNTIFS($A$7:$A$1506,A1220)&gt;1,"Buchung-ID doppelt",IF(OR(NOT(ISNUMBER(B1220)),C1220="",NOT(ISNUMBER(F1220)),H1220="",L1220=""),"Pflichtangaben fehlen",IF(COUNTIFS('Konten'!$A$7:$A$26,C1220)&lt;&gt;1,"Konto nicht eindeutig",IF(J1220&lt;&gt;"Ja","Zuordnung bestätigen",IF(OR(AND(H1220="Einnahme",F1220&lt;0),AND(H1220="Ausgabe",F1220&gt;0)),"Vorzeichen prüfen",IF(AND(H1220="Umbuchung",OR(K1220="",COUNTIFS($A$7:$A$1506,K1220)&lt;&gt;1)),"Gegenbuchung fehlt",IF(AND(H1220="Umbuchung",ROUND(SUMIFS($F$7:$F$1506,$A$7:$A$1506,K1220)+F1220,2)&lt;&gt;0),"Umbuchung abweichend",IF(OR(G1220="",M1220="",M1220="offen",M1220="teilbelegt",H1220="Ungeklärt",H1220="Bargeld"),"Beleg / Verwendung klären","vollständig erfasst")))))))))</x:f>
      </x:c>
    </x:row>
    <x:row r="1221" ht="22" customHeight="1">
      <x:c r="A1221" s="7"/>
      <x:c r="B1221" s="8"/>
      <x:c r="C1221" s="7"/>
      <x:c r="D1221" s="7"/>
      <x:c r="E1221" s="7"/>
      <x:c r="F1221" s="20"/>
      <x:c r="G1221" s="7"/>
      <x:c r="H1221" s="7"/>
      <x:c r="I1221" s="7"/>
      <x:c r="J1221" s="7"/>
      <x:c r="K1221" s="7"/>
      <x:c r="L1221" s="7"/>
      <x:c r="M1221" s="7"/>
      <x:c r="N1221" s="7"/>
      <x:c r="O1221" s="2" t="str">
        <x:f>IF(A1221="","",IF(COUNTIFS($A$7:$A$1506,A1221)&gt;1,"Buchung-ID doppelt",IF(OR(NOT(ISNUMBER(B1221)),C1221="",NOT(ISNUMBER(F1221)),H1221="",L1221=""),"Pflichtangaben fehlen",IF(COUNTIFS('Konten'!$A$7:$A$26,C1221)&lt;&gt;1,"Konto nicht eindeutig",IF(J1221&lt;&gt;"Ja","Zuordnung bestätigen",IF(OR(AND(H1221="Einnahme",F1221&lt;0),AND(H1221="Ausgabe",F1221&gt;0)),"Vorzeichen prüfen",IF(AND(H1221="Umbuchung",OR(K1221="",COUNTIFS($A$7:$A$1506,K1221)&lt;&gt;1)),"Gegenbuchung fehlt",IF(AND(H1221="Umbuchung",ROUND(SUMIFS($F$7:$F$1506,$A$7:$A$1506,K1221)+F1221,2)&lt;&gt;0),"Umbuchung abweichend",IF(OR(G1221="",M1221="",M1221="offen",M1221="teilbelegt",H1221="Ungeklärt",H1221="Bargeld"),"Beleg / Verwendung klären","vollständig erfasst")))))))))</x:f>
      </x:c>
    </x:row>
    <x:row r="1222" ht="22" customHeight="1">
      <x:c r="A1222" s="7"/>
      <x:c r="B1222" s="8"/>
      <x:c r="C1222" s="7"/>
      <x:c r="D1222" s="7"/>
      <x:c r="E1222" s="7"/>
      <x:c r="F1222" s="20"/>
      <x:c r="G1222" s="7"/>
      <x:c r="H1222" s="7"/>
      <x:c r="I1222" s="7"/>
      <x:c r="J1222" s="7"/>
      <x:c r="K1222" s="7"/>
      <x:c r="L1222" s="7"/>
      <x:c r="M1222" s="7"/>
      <x:c r="N1222" s="7"/>
      <x:c r="O1222" s="2" t="str">
        <x:f>IF(A1222="","",IF(COUNTIFS($A$7:$A$1506,A1222)&gt;1,"Buchung-ID doppelt",IF(OR(NOT(ISNUMBER(B1222)),C1222="",NOT(ISNUMBER(F1222)),H1222="",L1222=""),"Pflichtangaben fehlen",IF(COUNTIFS('Konten'!$A$7:$A$26,C1222)&lt;&gt;1,"Konto nicht eindeutig",IF(J1222&lt;&gt;"Ja","Zuordnung bestätigen",IF(OR(AND(H1222="Einnahme",F1222&lt;0),AND(H1222="Ausgabe",F1222&gt;0)),"Vorzeichen prüfen",IF(AND(H1222="Umbuchung",OR(K1222="",COUNTIFS($A$7:$A$1506,K1222)&lt;&gt;1)),"Gegenbuchung fehlt",IF(AND(H1222="Umbuchung",ROUND(SUMIFS($F$7:$F$1506,$A$7:$A$1506,K1222)+F1222,2)&lt;&gt;0),"Umbuchung abweichend",IF(OR(G1222="",M1222="",M1222="offen",M1222="teilbelegt",H1222="Ungeklärt",H1222="Bargeld"),"Beleg / Verwendung klären","vollständig erfasst")))))))))</x:f>
      </x:c>
    </x:row>
    <x:row r="1223" ht="22" customHeight="1">
      <x:c r="A1223" s="7"/>
      <x:c r="B1223" s="8"/>
      <x:c r="C1223" s="7"/>
      <x:c r="D1223" s="7"/>
      <x:c r="E1223" s="7"/>
      <x:c r="F1223" s="20"/>
      <x:c r="G1223" s="7"/>
      <x:c r="H1223" s="7"/>
      <x:c r="I1223" s="7"/>
      <x:c r="J1223" s="7"/>
      <x:c r="K1223" s="7"/>
      <x:c r="L1223" s="7"/>
      <x:c r="M1223" s="7"/>
      <x:c r="N1223" s="7"/>
      <x:c r="O1223" s="2" t="str">
        <x:f>IF(A1223="","",IF(COUNTIFS($A$7:$A$1506,A1223)&gt;1,"Buchung-ID doppelt",IF(OR(NOT(ISNUMBER(B1223)),C1223="",NOT(ISNUMBER(F1223)),H1223="",L1223=""),"Pflichtangaben fehlen",IF(COUNTIFS('Konten'!$A$7:$A$26,C1223)&lt;&gt;1,"Konto nicht eindeutig",IF(J1223&lt;&gt;"Ja","Zuordnung bestätigen",IF(OR(AND(H1223="Einnahme",F1223&lt;0),AND(H1223="Ausgabe",F1223&gt;0)),"Vorzeichen prüfen",IF(AND(H1223="Umbuchung",OR(K1223="",COUNTIFS($A$7:$A$1506,K1223)&lt;&gt;1)),"Gegenbuchung fehlt",IF(AND(H1223="Umbuchung",ROUND(SUMIFS($F$7:$F$1506,$A$7:$A$1506,K1223)+F1223,2)&lt;&gt;0),"Umbuchung abweichend",IF(OR(G1223="",M1223="",M1223="offen",M1223="teilbelegt",H1223="Ungeklärt",H1223="Bargeld"),"Beleg / Verwendung klären","vollständig erfasst")))))))))</x:f>
      </x:c>
    </x:row>
    <x:row r="1224" ht="22" customHeight="1">
      <x:c r="A1224" s="7"/>
      <x:c r="B1224" s="8"/>
      <x:c r="C1224" s="7"/>
      <x:c r="D1224" s="7"/>
      <x:c r="E1224" s="7"/>
      <x:c r="F1224" s="20"/>
      <x:c r="G1224" s="7"/>
      <x:c r="H1224" s="7"/>
      <x:c r="I1224" s="7"/>
      <x:c r="J1224" s="7"/>
      <x:c r="K1224" s="7"/>
      <x:c r="L1224" s="7"/>
      <x:c r="M1224" s="7"/>
      <x:c r="N1224" s="7"/>
      <x:c r="O1224" s="2" t="str">
        <x:f>IF(A1224="","",IF(COUNTIFS($A$7:$A$1506,A1224)&gt;1,"Buchung-ID doppelt",IF(OR(NOT(ISNUMBER(B1224)),C1224="",NOT(ISNUMBER(F1224)),H1224="",L1224=""),"Pflichtangaben fehlen",IF(COUNTIFS('Konten'!$A$7:$A$26,C1224)&lt;&gt;1,"Konto nicht eindeutig",IF(J1224&lt;&gt;"Ja","Zuordnung bestätigen",IF(OR(AND(H1224="Einnahme",F1224&lt;0),AND(H1224="Ausgabe",F1224&gt;0)),"Vorzeichen prüfen",IF(AND(H1224="Umbuchung",OR(K1224="",COUNTIFS($A$7:$A$1506,K1224)&lt;&gt;1)),"Gegenbuchung fehlt",IF(AND(H1224="Umbuchung",ROUND(SUMIFS($F$7:$F$1506,$A$7:$A$1506,K1224)+F1224,2)&lt;&gt;0),"Umbuchung abweichend",IF(OR(G1224="",M1224="",M1224="offen",M1224="teilbelegt",H1224="Ungeklärt",H1224="Bargeld"),"Beleg / Verwendung klären","vollständig erfasst")))))))))</x:f>
      </x:c>
    </x:row>
    <x:row r="1225" ht="22" customHeight="1">
      <x:c r="A1225" s="7"/>
      <x:c r="B1225" s="8"/>
      <x:c r="C1225" s="7"/>
      <x:c r="D1225" s="7"/>
      <x:c r="E1225" s="7"/>
      <x:c r="F1225" s="20"/>
      <x:c r="G1225" s="7"/>
      <x:c r="H1225" s="7"/>
      <x:c r="I1225" s="7"/>
      <x:c r="J1225" s="7"/>
      <x:c r="K1225" s="7"/>
      <x:c r="L1225" s="7"/>
      <x:c r="M1225" s="7"/>
      <x:c r="N1225" s="7"/>
      <x:c r="O1225" s="2" t="str">
        <x:f>IF(A1225="","",IF(COUNTIFS($A$7:$A$1506,A1225)&gt;1,"Buchung-ID doppelt",IF(OR(NOT(ISNUMBER(B1225)),C1225="",NOT(ISNUMBER(F1225)),H1225="",L1225=""),"Pflichtangaben fehlen",IF(COUNTIFS('Konten'!$A$7:$A$26,C1225)&lt;&gt;1,"Konto nicht eindeutig",IF(J1225&lt;&gt;"Ja","Zuordnung bestätigen",IF(OR(AND(H1225="Einnahme",F1225&lt;0),AND(H1225="Ausgabe",F1225&gt;0)),"Vorzeichen prüfen",IF(AND(H1225="Umbuchung",OR(K1225="",COUNTIFS($A$7:$A$1506,K1225)&lt;&gt;1)),"Gegenbuchung fehlt",IF(AND(H1225="Umbuchung",ROUND(SUMIFS($F$7:$F$1506,$A$7:$A$1506,K1225)+F1225,2)&lt;&gt;0),"Umbuchung abweichend",IF(OR(G1225="",M1225="",M1225="offen",M1225="teilbelegt",H1225="Ungeklärt",H1225="Bargeld"),"Beleg / Verwendung klären","vollständig erfasst")))))))))</x:f>
      </x:c>
    </x:row>
    <x:row r="1226" ht="22" customHeight="1">
      <x:c r="A1226" s="7"/>
      <x:c r="B1226" s="8"/>
      <x:c r="C1226" s="7"/>
      <x:c r="D1226" s="7"/>
      <x:c r="E1226" s="7"/>
      <x:c r="F1226" s="20"/>
      <x:c r="G1226" s="7"/>
      <x:c r="H1226" s="7"/>
      <x:c r="I1226" s="7"/>
      <x:c r="J1226" s="7"/>
      <x:c r="K1226" s="7"/>
      <x:c r="L1226" s="7"/>
      <x:c r="M1226" s="7"/>
      <x:c r="N1226" s="7"/>
      <x:c r="O1226" s="2" t="str">
        <x:f>IF(A1226="","",IF(COUNTIFS($A$7:$A$1506,A1226)&gt;1,"Buchung-ID doppelt",IF(OR(NOT(ISNUMBER(B1226)),C1226="",NOT(ISNUMBER(F1226)),H1226="",L1226=""),"Pflichtangaben fehlen",IF(COUNTIFS('Konten'!$A$7:$A$26,C1226)&lt;&gt;1,"Konto nicht eindeutig",IF(J1226&lt;&gt;"Ja","Zuordnung bestätigen",IF(OR(AND(H1226="Einnahme",F1226&lt;0),AND(H1226="Ausgabe",F1226&gt;0)),"Vorzeichen prüfen",IF(AND(H1226="Umbuchung",OR(K1226="",COUNTIFS($A$7:$A$1506,K1226)&lt;&gt;1)),"Gegenbuchung fehlt",IF(AND(H1226="Umbuchung",ROUND(SUMIFS($F$7:$F$1506,$A$7:$A$1506,K1226)+F1226,2)&lt;&gt;0),"Umbuchung abweichend",IF(OR(G1226="",M1226="",M1226="offen",M1226="teilbelegt",H1226="Ungeklärt",H1226="Bargeld"),"Beleg / Verwendung klären","vollständig erfasst")))))))))</x:f>
      </x:c>
    </x:row>
    <x:row r="1227" ht="22" customHeight="1">
      <x:c r="A1227" s="7"/>
      <x:c r="B1227" s="8"/>
      <x:c r="C1227" s="7"/>
      <x:c r="D1227" s="7"/>
      <x:c r="E1227" s="7"/>
      <x:c r="F1227" s="20"/>
      <x:c r="G1227" s="7"/>
      <x:c r="H1227" s="7"/>
      <x:c r="I1227" s="7"/>
      <x:c r="J1227" s="7"/>
      <x:c r="K1227" s="7"/>
      <x:c r="L1227" s="7"/>
      <x:c r="M1227" s="7"/>
      <x:c r="N1227" s="7"/>
      <x:c r="O1227" s="2" t="str">
        <x:f>IF(A1227="","",IF(COUNTIFS($A$7:$A$1506,A1227)&gt;1,"Buchung-ID doppelt",IF(OR(NOT(ISNUMBER(B1227)),C1227="",NOT(ISNUMBER(F1227)),H1227="",L1227=""),"Pflichtangaben fehlen",IF(COUNTIFS('Konten'!$A$7:$A$26,C1227)&lt;&gt;1,"Konto nicht eindeutig",IF(J1227&lt;&gt;"Ja","Zuordnung bestätigen",IF(OR(AND(H1227="Einnahme",F1227&lt;0),AND(H1227="Ausgabe",F1227&gt;0)),"Vorzeichen prüfen",IF(AND(H1227="Umbuchung",OR(K1227="",COUNTIFS($A$7:$A$1506,K1227)&lt;&gt;1)),"Gegenbuchung fehlt",IF(AND(H1227="Umbuchung",ROUND(SUMIFS($F$7:$F$1506,$A$7:$A$1506,K1227)+F1227,2)&lt;&gt;0),"Umbuchung abweichend",IF(OR(G1227="",M1227="",M1227="offen",M1227="teilbelegt",H1227="Ungeklärt",H1227="Bargeld"),"Beleg / Verwendung klären","vollständig erfasst")))))))))</x:f>
      </x:c>
    </x:row>
    <x:row r="1228" ht="22" customHeight="1">
      <x:c r="A1228" s="7"/>
      <x:c r="B1228" s="8"/>
      <x:c r="C1228" s="7"/>
      <x:c r="D1228" s="7"/>
      <x:c r="E1228" s="7"/>
      <x:c r="F1228" s="20"/>
      <x:c r="G1228" s="7"/>
      <x:c r="H1228" s="7"/>
      <x:c r="I1228" s="7"/>
      <x:c r="J1228" s="7"/>
      <x:c r="K1228" s="7"/>
      <x:c r="L1228" s="7"/>
      <x:c r="M1228" s="7"/>
      <x:c r="N1228" s="7"/>
      <x:c r="O1228" s="2" t="str">
        <x:f>IF(A1228="","",IF(COUNTIFS($A$7:$A$1506,A1228)&gt;1,"Buchung-ID doppelt",IF(OR(NOT(ISNUMBER(B1228)),C1228="",NOT(ISNUMBER(F1228)),H1228="",L1228=""),"Pflichtangaben fehlen",IF(COUNTIFS('Konten'!$A$7:$A$26,C1228)&lt;&gt;1,"Konto nicht eindeutig",IF(J1228&lt;&gt;"Ja","Zuordnung bestätigen",IF(OR(AND(H1228="Einnahme",F1228&lt;0),AND(H1228="Ausgabe",F1228&gt;0)),"Vorzeichen prüfen",IF(AND(H1228="Umbuchung",OR(K1228="",COUNTIFS($A$7:$A$1506,K1228)&lt;&gt;1)),"Gegenbuchung fehlt",IF(AND(H1228="Umbuchung",ROUND(SUMIFS($F$7:$F$1506,$A$7:$A$1506,K1228)+F1228,2)&lt;&gt;0),"Umbuchung abweichend",IF(OR(G1228="",M1228="",M1228="offen",M1228="teilbelegt",H1228="Ungeklärt",H1228="Bargeld"),"Beleg / Verwendung klären","vollständig erfasst")))))))))</x:f>
      </x:c>
    </x:row>
    <x:row r="1229" ht="22" customHeight="1">
      <x:c r="A1229" s="7"/>
      <x:c r="B1229" s="8"/>
      <x:c r="C1229" s="7"/>
      <x:c r="D1229" s="7"/>
      <x:c r="E1229" s="7"/>
      <x:c r="F1229" s="20"/>
      <x:c r="G1229" s="7"/>
      <x:c r="H1229" s="7"/>
      <x:c r="I1229" s="7"/>
      <x:c r="J1229" s="7"/>
      <x:c r="K1229" s="7"/>
      <x:c r="L1229" s="7"/>
      <x:c r="M1229" s="7"/>
      <x:c r="N1229" s="7"/>
      <x:c r="O1229" s="2" t="str">
        <x:f>IF(A1229="","",IF(COUNTIFS($A$7:$A$1506,A1229)&gt;1,"Buchung-ID doppelt",IF(OR(NOT(ISNUMBER(B1229)),C1229="",NOT(ISNUMBER(F1229)),H1229="",L1229=""),"Pflichtangaben fehlen",IF(COUNTIFS('Konten'!$A$7:$A$26,C1229)&lt;&gt;1,"Konto nicht eindeutig",IF(J1229&lt;&gt;"Ja","Zuordnung bestätigen",IF(OR(AND(H1229="Einnahme",F1229&lt;0),AND(H1229="Ausgabe",F1229&gt;0)),"Vorzeichen prüfen",IF(AND(H1229="Umbuchung",OR(K1229="",COUNTIFS($A$7:$A$1506,K1229)&lt;&gt;1)),"Gegenbuchung fehlt",IF(AND(H1229="Umbuchung",ROUND(SUMIFS($F$7:$F$1506,$A$7:$A$1506,K1229)+F1229,2)&lt;&gt;0),"Umbuchung abweichend",IF(OR(G1229="",M1229="",M1229="offen",M1229="teilbelegt",H1229="Ungeklärt",H1229="Bargeld"),"Beleg / Verwendung klären","vollständig erfasst")))))))))</x:f>
      </x:c>
    </x:row>
    <x:row r="1230" ht="22" customHeight="1">
      <x:c r="A1230" s="7"/>
      <x:c r="B1230" s="8"/>
      <x:c r="C1230" s="7"/>
      <x:c r="D1230" s="7"/>
      <x:c r="E1230" s="7"/>
      <x:c r="F1230" s="20"/>
      <x:c r="G1230" s="7"/>
      <x:c r="H1230" s="7"/>
      <x:c r="I1230" s="7"/>
      <x:c r="J1230" s="7"/>
      <x:c r="K1230" s="7"/>
      <x:c r="L1230" s="7"/>
      <x:c r="M1230" s="7"/>
      <x:c r="N1230" s="7"/>
      <x:c r="O1230" s="2" t="str">
        <x:f>IF(A1230="","",IF(COUNTIFS($A$7:$A$1506,A1230)&gt;1,"Buchung-ID doppelt",IF(OR(NOT(ISNUMBER(B1230)),C1230="",NOT(ISNUMBER(F1230)),H1230="",L1230=""),"Pflichtangaben fehlen",IF(COUNTIFS('Konten'!$A$7:$A$26,C1230)&lt;&gt;1,"Konto nicht eindeutig",IF(J1230&lt;&gt;"Ja","Zuordnung bestätigen",IF(OR(AND(H1230="Einnahme",F1230&lt;0),AND(H1230="Ausgabe",F1230&gt;0)),"Vorzeichen prüfen",IF(AND(H1230="Umbuchung",OR(K1230="",COUNTIFS($A$7:$A$1506,K1230)&lt;&gt;1)),"Gegenbuchung fehlt",IF(AND(H1230="Umbuchung",ROUND(SUMIFS($F$7:$F$1506,$A$7:$A$1506,K1230)+F1230,2)&lt;&gt;0),"Umbuchung abweichend",IF(OR(G1230="",M1230="",M1230="offen",M1230="teilbelegt",H1230="Ungeklärt",H1230="Bargeld"),"Beleg / Verwendung klären","vollständig erfasst")))))))))</x:f>
      </x:c>
    </x:row>
    <x:row r="1231" ht="22" customHeight="1">
      <x:c r="A1231" s="7"/>
      <x:c r="B1231" s="8"/>
      <x:c r="C1231" s="7"/>
      <x:c r="D1231" s="7"/>
      <x:c r="E1231" s="7"/>
      <x:c r="F1231" s="20"/>
      <x:c r="G1231" s="7"/>
      <x:c r="H1231" s="7"/>
      <x:c r="I1231" s="7"/>
      <x:c r="J1231" s="7"/>
      <x:c r="K1231" s="7"/>
      <x:c r="L1231" s="7"/>
      <x:c r="M1231" s="7"/>
      <x:c r="N1231" s="7"/>
      <x:c r="O1231" s="2" t="str">
        <x:f>IF(A1231="","",IF(COUNTIFS($A$7:$A$1506,A1231)&gt;1,"Buchung-ID doppelt",IF(OR(NOT(ISNUMBER(B1231)),C1231="",NOT(ISNUMBER(F1231)),H1231="",L1231=""),"Pflichtangaben fehlen",IF(COUNTIFS('Konten'!$A$7:$A$26,C1231)&lt;&gt;1,"Konto nicht eindeutig",IF(J1231&lt;&gt;"Ja","Zuordnung bestätigen",IF(OR(AND(H1231="Einnahme",F1231&lt;0),AND(H1231="Ausgabe",F1231&gt;0)),"Vorzeichen prüfen",IF(AND(H1231="Umbuchung",OR(K1231="",COUNTIFS($A$7:$A$1506,K1231)&lt;&gt;1)),"Gegenbuchung fehlt",IF(AND(H1231="Umbuchung",ROUND(SUMIFS($F$7:$F$1506,$A$7:$A$1506,K1231)+F1231,2)&lt;&gt;0),"Umbuchung abweichend",IF(OR(G1231="",M1231="",M1231="offen",M1231="teilbelegt",H1231="Ungeklärt",H1231="Bargeld"),"Beleg / Verwendung klären","vollständig erfasst")))))))))</x:f>
      </x:c>
    </x:row>
    <x:row r="1232" ht="22" customHeight="1">
      <x:c r="A1232" s="7"/>
      <x:c r="B1232" s="8"/>
      <x:c r="C1232" s="7"/>
      <x:c r="D1232" s="7"/>
      <x:c r="E1232" s="7"/>
      <x:c r="F1232" s="20"/>
      <x:c r="G1232" s="7"/>
      <x:c r="H1232" s="7"/>
      <x:c r="I1232" s="7"/>
      <x:c r="J1232" s="7"/>
      <x:c r="K1232" s="7"/>
      <x:c r="L1232" s="7"/>
      <x:c r="M1232" s="7"/>
      <x:c r="N1232" s="7"/>
      <x:c r="O1232" s="2" t="str">
        <x:f>IF(A1232="","",IF(COUNTIFS($A$7:$A$1506,A1232)&gt;1,"Buchung-ID doppelt",IF(OR(NOT(ISNUMBER(B1232)),C1232="",NOT(ISNUMBER(F1232)),H1232="",L1232=""),"Pflichtangaben fehlen",IF(COUNTIFS('Konten'!$A$7:$A$26,C1232)&lt;&gt;1,"Konto nicht eindeutig",IF(J1232&lt;&gt;"Ja","Zuordnung bestätigen",IF(OR(AND(H1232="Einnahme",F1232&lt;0),AND(H1232="Ausgabe",F1232&gt;0)),"Vorzeichen prüfen",IF(AND(H1232="Umbuchung",OR(K1232="",COUNTIFS($A$7:$A$1506,K1232)&lt;&gt;1)),"Gegenbuchung fehlt",IF(AND(H1232="Umbuchung",ROUND(SUMIFS($F$7:$F$1506,$A$7:$A$1506,K1232)+F1232,2)&lt;&gt;0),"Umbuchung abweichend",IF(OR(G1232="",M1232="",M1232="offen",M1232="teilbelegt",H1232="Ungeklärt",H1232="Bargeld"),"Beleg / Verwendung klären","vollständig erfasst")))))))))</x:f>
      </x:c>
    </x:row>
    <x:row r="1233" ht="22" customHeight="1">
      <x:c r="A1233" s="7"/>
      <x:c r="B1233" s="8"/>
      <x:c r="C1233" s="7"/>
      <x:c r="D1233" s="7"/>
      <x:c r="E1233" s="7"/>
      <x:c r="F1233" s="20"/>
      <x:c r="G1233" s="7"/>
      <x:c r="H1233" s="7"/>
      <x:c r="I1233" s="7"/>
      <x:c r="J1233" s="7"/>
      <x:c r="K1233" s="7"/>
      <x:c r="L1233" s="7"/>
      <x:c r="M1233" s="7"/>
      <x:c r="N1233" s="7"/>
      <x:c r="O1233" s="2" t="str">
        <x:f>IF(A1233="","",IF(COUNTIFS($A$7:$A$1506,A1233)&gt;1,"Buchung-ID doppelt",IF(OR(NOT(ISNUMBER(B1233)),C1233="",NOT(ISNUMBER(F1233)),H1233="",L1233=""),"Pflichtangaben fehlen",IF(COUNTIFS('Konten'!$A$7:$A$26,C1233)&lt;&gt;1,"Konto nicht eindeutig",IF(J1233&lt;&gt;"Ja","Zuordnung bestätigen",IF(OR(AND(H1233="Einnahme",F1233&lt;0),AND(H1233="Ausgabe",F1233&gt;0)),"Vorzeichen prüfen",IF(AND(H1233="Umbuchung",OR(K1233="",COUNTIFS($A$7:$A$1506,K1233)&lt;&gt;1)),"Gegenbuchung fehlt",IF(AND(H1233="Umbuchung",ROUND(SUMIFS($F$7:$F$1506,$A$7:$A$1506,K1233)+F1233,2)&lt;&gt;0),"Umbuchung abweichend",IF(OR(G1233="",M1233="",M1233="offen",M1233="teilbelegt",H1233="Ungeklärt",H1233="Bargeld"),"Beleg / Verwendung klären","vollständig erfasst")))))))))</x:f>
      </x:c>
    </x:row>
    <x:row r="1234" ht="22" customHeight="1">
      <x:c r="A1234" s="7"/>
      <x:c r="B1234" s="8"/>
      <x:c r="C1234" s="7"/>
      <x:c r="D1234" s="7"/>
      <x:c r="E1234" s="7"/>
      <x:c r="F1234" s="20"/>
      <x:c r="G1234" s="7"/>
      <x:c r="H1234" s="7"/>
      <x:c r="I1234" s="7"/>
      <x:c r="J1234" s="7"/>
      <x:c r="K1234" s="7"/>
      <x:c r="L1234" s="7"/>
      <x:c r="M1234" s="7"/>
      <x:c r="N1234" s="7"/>
      <x:c r="O1234" s="2" t="str">
        <x:f>IF(A1234="","",IF(COUNTIFS($A$7:$A$1506,A1234)&gt;1,"Buchung-ID doppelt",IF(OR(NOT(ISNUMBER(B1234)),C1234="",NOT(ISNUMBER(F1234)),H1234="",L1234=""),"Pflichtangaben fehlen",IF(COUNTIFS('Konten'!$A$7:$A$26,C1234)&lt;&gt;1,"Konto nicht eindeutig",IF(J1234&lt;&gt;"Ja","Zuordnung bestätigen",IF(OR(AND(H1234="Einnahme",F1234&lt;0),AND(H1234="Ausgabe",F1234&gt;0)),"Vorzeichen prüfen",IF(AND(H1234="Umbuchung",OR(K1234="",COUNTIFS($A$7:$A$1506,K1234)&lt;&gt;1)),"Gegenbuchung fehlt",IF(AND(H1234="Umbuchung",ROUND(SUMIFS($F$7:$F$1506,$A$7:$A$1506,K1234)+F1234,2)&lt;&gt;0),"Umbuchung abweichend",IF(OR(G1234="",M1234="",M1234="offen",M1234="teilbelegt",H1234="Ungeklärt",H1234="Bargeld"),"Beleg / Verwendung klären","vollständig erfasst")))))))))</x:f>
      </x:c>
    </x:row>
    <x:row r="1235" ht="22" customHeight="1">
      <x:c r="A1235" s="7"/>
      <x:c r="B1235" s="8"/>
      <x:c r="C1235" s="7"/>
      <x:c r="D1235" s="7"/>
      <x:c r="E1235" s="7"/>
      <x:c r="F1235" s="20"/>
      <x:c r="G1235" s="7"/>
      <x:c r="H1235" s="7"/>
      <x:c r="I1235" s="7"/>
      <x:c r="J1235" s="7"/>
      <x:c r="K1235" s="7"/>
      <x:c r="L1235" s="7"/>
      <x:c r="M1235" s="7"/>
      <x:c r="N1235" s="7"/>
      <x:c r="O1235" s="2" t="str">
        <x:f>IF(A1235="","",IF(COUNTIFS($A$7:$A$1506,A1235)&gt;1,"Buchung-ID doppelt",IF(OR(NOT(ISNUMBER(B1235)),C1235="",NOT(ISNUMBER(F1235)),H1235="",L1235=""),"Pflichtangaben fehlen",IF(COUNTIFS('Konten'!$A$7:$A$26,C1235)&lt;&gt;1,"Konto nicht eindeutig",IF(J1235&lt;&gt;"Ja","Zuordnung bestätigen",IF(OR(AND(H1235="Einnahme",F1235&lt;0),AND(H1235="Ausgabe",F1235&gt;0)),"Vorzeichen prüfen",IF(AND(H1235="Umbuchung",OR(K1235="",COUNTIFS($A$7:$A$1506,K1235)&lt;&gt;1)),"Gegenbuchung fehlt",IF(AND(H1235="Umbuchung",ROUND(SUMIFS($F$7:$F$1506,$A$7:$A$1506,K1235)+F1235,2)&lt;&gt;0),"Umbuchung abweichend",IF(OR(G1235="",M1235="",M1235="offen",M1235="teilbelegt",H1235="Ungeklärt",H1235="Bargeld"),"Beleg / Verwendung klären","vollständig erfasst")))))))))</x:f>
      </x:c>
    </x:row>
    <x:row r="1236" ht="22" customHeight="1">
      <x:c r="A1236" s="7"/>
      <x:c r="B1236" s="8"/>
      <x:c r="C1236" s="7"/>
      <x:c r="D1236" s="7"/>
      <x:c r="E1236" s="7"/>
      <x:c r="F1236" s="20"/>
      <x:c r="G1236" s="7"/>
      <x:c r="H1236" s="7"/>
      <x:c r="I1236" s="7"/>
      <x:c r="J1236" s="7"/>
      <x:c r="K1236" s="7"/>
      <x:c r="L1236" s="7"/>
      <x:c r="M1236" s="7"/>
      <x:c r="N1236" s="7"/>
      <x:c r="O1236" s="2" t="str">
        <x:f>IF(A1236="","",IF(COUNTIFS($A$7:$A$1506,A1236)&gt;1,"Buchung-ID doppelt",IF(OR(NOT(ISNUMBER(B1236)),C1236="",NOT(ISNUMBER(F1236)),H1236="",L1236=""),"Pflichtangaben fehlen",IF(COUNTIFS('Konten'!$A$7:$A$26,C1236)&lt;&gt;1,"Konto nicht eindeutig",IF(J1236&lt;&gt;"Ja","Zuordnung bestätigen",IF(OR(AND(H1236="Einnahme",F1236&lt;0),AND(H1236="Ausgabe",F1236&gt;0)),"Vorzeichen prüfen",IF(AND(H1236="Umbuchung",OR(K1236="",COUNTIFS($A$7:$A$1506,K1236)&lt;&gt;1)),"Gegenbuchung fehlt",IF(AND(H1236="Umbuchung",ROUND(SUMIFS($F$7:$F$1506,$A$7:$A$1506,K1236)+F1236,2)&lt;&gt;0),"Umbuchung abweichend",IF(OR(G1236="",M1236="",M1236="offen",M1236="teilbelegt",H1236="Ungeklärt",H1236="Bargeld"),"Beleg / Verwendung klären","vollständig erfasst")))))))))</x:f>
      </x:c>
    </x:row>
    <x:row r="1237" ht="22" customHeight="1">
      <x:c r="A1237" s="7"/>
      <x:c r="B1237" s="8"/>
      <x:c r="C1237" s="7"/>
      <x:c r="D1237" s="7"/>
      <x:c r="E1237" s="7"/>
      <x:c r="F1237" s="20"/>
      <x:c r="G1237" s="7"/>
      <x:c r="H1237" s="7"/>
      <x:c r="I1237" s="7"/>
      <x:c r="J1237" s="7"/>
      <x:c r="K1237" s="7"/>
      <x:c r="L1237" s="7"/>
      <x:c r="M1237" s="7"/>
      <x:c r="N1237" s="7"/>
      <x:c r="O1237" s="2" t="str">
        <x:f>IF(A1237="","",IF(COUNTIFS($A$7:$A$1506,A1237)&gt;1,"Buchung-ID doppelt",IF(OR(NOT(ISNUMBER(B1237)),C1237="",NOT(ISNUMBER(F1237)),H1237="",L1237=""),"Pflichtangaben fehlen",IF(COUNTIFS('Konten'!$A$7:$A$26,C1237)&lt;&gt;1,"Konto nicht eindeutig",IF(J1237&lt;&gt;"Ja","Zuordnung bestätigen",IF(OR(AND(H1237="Einnahme",F1237&lt;0),AND(H1237="Ausgabe",F1237&gt;0)),"Vorzeichen prüfen",IF(AND(H1237="Umbuchung",OR(K1237="",COUNTIFS($A$7:$A$1506,K1237)&lt;&gt;1)),"Gegenbuchung fehlt",IF(AND(H1237="Umbuchung",ROUND(SUMIFS($F$7:$F$1506,$A$7:$A$1506,K1237)+F1237,2)&lt;&gt;0),"Umbuchung abweichend",IF(OR(G1237="",M1237="",M1237="offen",M1237="teilbelegt",H1237="Ungeklärt",H1237="Bargeld"),"Beleg / Verwendung klären","vollständig erfasst")))))))))</x:f>
      </x:c>
    </x:row>
    <x:row r="1238" ht="22" customHeight="1">
      <x:c r="A1238" s="7"/>
      <x:c r="B1238" s="8"/>
      <x:c r="C1238" s="7"/>
      <x:c r="D1238" s="7"/>
      <x:c r="E1238" s="7"/>
      <x:c r="F1238" s="20"/>
      <x:c r="G1238" s="7"/>
      <x:c r="H1238" s="7"/>
      <x:c r="I1238" s="7"/>
      <x:c r="J1238" s="7"/>
      <x:c r="K1238" s="7"/>
      <x:c r="L1238" s="7"/>
      <x:c r="M1238" s="7"/>
      <x:c r="N1238" s="7"/>
      <x:c r="O1238" s="2" t="str">
        <x:f>IF(A1238="","",IF(COUNTIFS($A$7:$A$1506,A1238)&gt;1,"Buchung-ID doppelt",IF(OR(NOT(ISNUMBER(B1238)),C1238="",NOT(ISNUMBER(F1238)),H1238="",L1238=""),"Pflichtangaben fehlen",IF(COUNTIFS('Konten'!$A$7:$A$26,C1238)&lt;&gt;1,"Konto nicht eindeutig",IF(J1238&lt;&gt;"Ja","Zuordnung bestätigen",IF(OR(AND(H1238="Einnahme",F1238&lt;0),AND(H1238="Ausgabe",F1238&gt;0)),"Vorzeichen prüfen",IF(AND(H1238="Umbuchung",OR(K1238="",COUNTIFS($A$7:$A$1506,K1238)&lt;&gt;1)),"Gegenbuchung fehlt",IF(AND(H1238="Umbuchung",ROUND(SUMIFS($F$7:$F$1506,$A$7:$A$1506,K1238)+F1238,2)&lt;&gt;0),"Umbuchung abweichend",IF(OR(G1238="",M1238="",M1238="offen",M1238="teilbelegt",H1238="Ungeklärt",H1238="Bargeld"),"Beleg / Verwendung klären","vollständig erfasst")))))))))</x:f>
      </x:c>
    </x:row>
    <x:row r="1239" ht="22" customHeight="1">
      <x:c r="A1239" s="7"/>
      <x:c r="B1239" s="8"/>
      <x:c r="C1239" s="7"/>
      <x:c r="D1239" s="7"/>
      <x:c r="E1239" s="7"/>
      <x:c r="F1239" s="20"/>
      <x:c r="G1239" s="7"/>
      <x:c r="H1239" s="7"/>
      <x:c r="I1239" s="7"/>
      <x:c r="J1239" s="7"/>
      <x:c r="K1239" s="7"/>
      <x:c r="L1239" s="7"/>
      <x:c r="M1239" s="7"/>
      <x:c r="N1239" s="7"/>
      <x:c r="O1239" s="2" t="str">
        <x:f>IF(A1239="","",IF(COUNTIFS($A$7:$A$1506,A1239)&gt;1,"Buchung-ID doppelt",IF(OR(NOT(ISNUMBER(B1239)),C1239="",NOT(ISNUMBER(F1239)),H1239="",L1239=""),"Pflichtangaben fehlen",IF(COUNTIFS('Konten'!$A$7:$A$26,C1239)&lt;&gt;1,"Konto nicht eindeutig",IF(J1239&lt;&gt;"Ja","Zuordnung bestätigen",IF(OR(AND(H1239="Einnahme",F1239&lt;0),AND(H1239="Ausgabe",F1239&gt;0)),"Vorzeichen prüfen",IF(AND(H1239="Umbuchung",OR(K1239="",COUNTIFS($A$7:$A$1506,K1239)&lt;&gt;1)),"Gegenbuchung fehlt",IF(AND(H1239="Umbuchung",ROUND(SUMIFS($F$7:$F$1506,$A$7:$A$1506,K1239)+F1239,2)&lt;&gt;0),"Umbuchung abweichend",IF(OR(G1239="",M1239="",M1239="offen",M1239="teilbelegt",H1239="Ungeklärt",H1239="Bargeld"),"Beleg / Verwendung klären","vollständig erfasst")))))))))</x:f>
      </x:c>
    </x:row>
    <x:row r="1240" ht="22" customHeight="1">
      <x:c r="A1240" s="7"/>
      <x:c r="B1240" s="8"/>
      <x:c r="C1240" s="7"/>
      <x:c r="D1240" s="7"/>
      <x:c r="E1240" s="7"/>
      <x:c r="F1240" s="20"/>
      <x:c r="G1240" s="7"/>
      <x:c r="H1240" s="7"/>
      <x:c r="I1240" s="7"/>
      <x:c r="J1240" s="7"/>
      <x:c r="K1240" s="7"/>
      <x:c r="L1240" s="7"/>
      <x:c r="M1240" s="7"/>
      <x:c r="N1240" s="7"/>
      <x:c r="O1240" s="2" t="str">
        <x:f>IF(A1240="","",IF(COUNTIFS($A$7:$A$1506,A1240)&gt;1,"Buchung-ID doppelt",IF(OR(NOT(ISNUMBER(B1240)),C1240="",NOT(ISNUMBER(F1240)),H1240="",L1240=""),"Pflichtangaben fehlen",IF(COUNTIFS('Konten'!$A$7:$A$26,C1240)&lt;&gt;1,"Konto nicht eindeutig",IF(J1240&lt;&gt;"Ja","Zuordnung bestätigen",IF(OR(AND(H1240="Einnahme",F1240&lt;0),AND(H1240="Ausgabe",F1240&gt;0)),"Vorzeichen prüfen",IF(AND(H1240="Umbuchung",OR(K1240="",COUNTIFS($A$7:$A$1506,K1240)&lt;&gt;1)),"Gegenbuchung fehlt",IF(AND(H1240="Umbuchung",ROUND(SUMIFS($F$7:$F$1506,$A$7:$A$1506,K1240)+F1240,2)&lt;&gt;0),"Umbuchung abweichend",IF(OR(G1240="",M1240="",M1240="offen",M1240="teilbelegt",H1240="Ungeklärt",H1240="Bargeld"),"Beleg / Verwendung klären","vollständig erfasst")))))))))</x:f>
      </x:c>
    </x:row>
    <x:row r="1241" ht="22" customHeight="1">
      <x:c r="A1241" s="7"/>
      <x:c r="B1241" s="8"/>
      <x:c r="C1241" s="7"/>
      <x:c r="D1241" s="7"/>
      <x:c r="E1241" s="7"/>
      <x:c r="F1241" s="20"/>
      <x:c r="G1241" s="7"/>
      <x:c r="H1241" s="7"/>
      <x:c r="I1241" s="7"/>
      <x:c r="J1241" s="7"/>
      <x:c r="K1241" s="7"/>
      <x:c r="L1241" s="7"/>
      <x:c r="M1241" s="7"/>
      <x:c r="N1241" s="7"/>
      <x:c r="O1241" s="2" t="str">
        <x:f>IF(A1241="","",IF(COUNTIFS($A$7:$A$1506,A1241)&gt;1,"Buchung-ID doppelt",IF(OR(NOT(ISNUMBER(B1241)),C1241="",NOT(ISNUMBER(F1241)),H1241="",L1241=""),"Pflichtangaben fehlen",IF(COUNTIFS('Konten'!$A$7:$A$26,C1241)&lt;&gt;1,"Konto nicht eindeutig",IF(J1241&lt;&gt;"Ja","Zuordnung bestätigen",IF(OR(AND(H1241="Einnahme",F1241&lt;0),AND(H1241="Ausgabe",F1241&gt;0)),"Vorzeichen prüfen",IF(AND(H1241="Umbuchung",OR(K1241="",COUNTIFS($A$7:$A$1506,K1241)&lt;&gt;1)),"Gegenbuchung fehlt",IF(AND(H1241="Umbuchung",ROUND(SUMIFS($F$7:$F$1506,$A$7:$A$1506,K1241)+F1241,2)&lt;&gt;0),"Umbuchung abweichend",IF(OR(G1241="",M1241="",M1241="offen",M1241="teilbelegt",H1241="Ungeklärt",H1241="Bargeld"),"Beleg / Verwendung klären","vollständig erfasst")))))))))</x:f>
      </x:c>
    </x:row>
    <x:row r="1242" ht="22" customHeight="1">
      <x:c r="A1242" s="7"/>
      <x:c r="B1242" s="8"/>
      <x:c r="C1242" s="7"/>
      <x:c r="D1242" s="7"/>
      <x:c r="E1242" s="7"/>
      <x:c r="F1242" s="20"/>
      <x:c r="G1242" s="7"/>
      <x:c r="H1242" s="7"/>
      <x:c r="I1242" s="7"/>
      <x:c r="J1242" s="7"/>
      <x:c r="K1242" s="7"/>
      <x:c r="L1242" s="7"/>
      <x:c r="M1242" s="7"/>
      <x:c r="N1242" s="7"/>
      <x:c r="O1242" s="2" t="str">
        <x:f>IF(A1242="","",IF(COUNTIFS($A$7:$A$1506,A1242)&gt;1,"Buchung-ID doppelt",IF(OR(NOT(ISNUMBER(B1242)),C1242="",NOT(ISNUMBER(F1242)),H1242="",L1242=""),"Pflichtangaben fehlen",IF(COUNTIFS('Konten'!$A$7:$A$26,C1242)&lt;&gt;1,"Konto nicht eindeutig",IF(J1242&lt;&gt;"Ja","Zuordnung bestätigen",IF(OR(AND(H1242="Einnahme",F1242&lt;0),AND(H1242="Ausgabe",F1242&gt;0)),"Vorzeichen prüfen",IF(AND(H1242="Umbuchung",OR(K1242="",COUNTIFS($A$7:$A$1506,K1242)&lt;&gt;1)),"Gegenbuchung fehlt",IF(AND(H1242="Umbuchung",ROUND(SUMIFS($F$7:$F$1506,$A$7:$A$1506,K1242)+F1242,2)&lt;&gt;0),"Umbuchung abweichend",IF(OR(G1242="",M1242="",M1242="offen",M1242="teilbelegt",H1242="Ungeklärt",H1242="Bargeld"),"Beleg / Verwendung klären","vollständig erfasst")))))))))</x:f>
      </x:c>
    </x:row>
    <x:row r="1243" ht="22" customHeight="1">
      <x:c r="A1243" s="7"/>
      <x:c r="B1243" s="8"/>
      <x:c r="C1243" s="7"/>
      <x:c r="D1243" s="7"/>
      <x:c r="E1243" s="7"/>
      <x:c r="F1243" s="20"/>
      <x:c r="G1243" s="7"/>
      <x:c r="H1243" s="7"/>
      <x:c r="I1243" s="7"/>
      <x:c r="J1243" s="7"/>
      <x:c r="K1243" s="7"/>
      <x:c r="L1243" s="7"/>
      <x:c r="M1243" s="7"/>
      <x:c r="N1243" s="7"/>
      <x:c r="O1243" s="2" t="str">
        <x:f>IF(A1243="","",IF(COUNTIFS($A$7:$A$1506,A1243)&gt;1,"Buchung-ID doppelt",IF(OR(NOT(ISNUMBER(B1243)),C1243="",NOT(ISNUMBER(F1243)),H1243="",L1243=""),"Pflichtangaben fehlen",IF(COUNTIFS('Konten'!$A$7:$A$26,C1243)&lt;&gt;1,"Konto nicht eindeutig",IF(J1243&lt;&gt;"Ja","Zuordnung bestätigen",IF(OR(AND(H1243="Einnahme",F1243&lt;0),AND(H1243="Ausgabe",F1243&gt;0)),"Vorzeichen prüfen",IF(AND(H1243="Umbuchung",OR(K1243="",COUNTIFS($A$7:$A$1506,K1243)&lt;&gt;1)),"Gegenbuchung fehlt",IF(AND(H1243="Umbuchung",ROUND(SUMIFS($F$7:$F$1506,$A$7:$A$1506,K1243)+F1243,2)&lt;&gt;0),"Umbuchung abweichend",IF(OR(G1243="",M1243="",M1243="offen",M1243="teilbelegt",H1243="Ungeklärt",H1243="Bargeld"),"Beleg / Verwendung klären","vollständig erfasst")))))))))</x:f>
      </x:c>
    </x:row>
    <x:row r="1244" ht="22" customHeight="1">
      <x:c r="A1244" s="7"/>
      <x:c r="B1244" s="8"/>
      <x:c r="C1244" s="7"/>
      <x:c r="D1244" s="7"/>
      <x:c r="E1244" s="7"/>
      <x:c r="F1244" s="20"/>
      <x:c r="G1244" s="7"/>
      <x:c r="H1244" s="7"/>
      <x:c r="I1244" s="7"/>
      <x:c r="J1244" s="7"/>
      <x:c r="K1244" s="7"/>
      <x:c r="L1244" s="7"/>
      <x:c r="M1244" s="7"/>
      <x:c r="N1244" s="7"/>
      <x:c r="O1244" s="2" t="str">
        <x:f>IF(A1244="","",IF(COUNTIFS($A$7:$A$1506,A1244)&gt;1,"Buchung-ID doppelt",IF(OR(NOT(ISNUMBER(B1244)),C1244="",NOT(ISNUMBER(F1244)),H1244="",L1244=""),"Pflichtangaben fehlen",IF(COUNTIFS('Konten'!$A$7:$A$26,C1244)&lt;&gt;1,"Konto nicht eindeutig",IF(J1244&lt;&gt;"Ja","Zuordnung bestätigen",IF(OR(AND(H1244="Einnahme",F1244&lt;0),AND(H1244="Ausgabe",F1244&gt;0)),"Vorzeichen prüfen",IF(AND(H1244="Umbuchung",OR(K1244="",COUNTIFS($A$7:$A$1506,K1244)&lt;&gt;1)),"Gegenbuchung fehlt",IF(AND(H1244="Umbuchung",ROUND(SUMIFS($F$7:$F$1506,$A$7:$A$1506,K1244)+F1244,2)&lt;&gt;0),"Umbuchung abweichend",IF(OR(G1244="",M1244="",M1244="offen",M1244="teilbelegt",H1244="Ungeklärt",H1244="Bargeld"),"Beleg / Verwendung klären","vollständig erfasst")))))))))</x:f>
      </x:c>
    </x:row>
    <x:row r="1245" ht="22" customHeight="1">
      <x:c r="A1245" s="7"/>
      <x:c r="B1245" s="8"/>
      <x:c r="C1245" s="7"/>
      <x:c r="D1245" s="7"/>
      <x:c r="E1245" s="7"/>
      <x:c r="F1245" s="20"/>
      <x:c r="G1245" s="7"/>
      <x:c r="H1245" s="7"/>
      <x:c r="I1245" s="7"/>
      <x:c r="J1245" s="7"/>
      <x:c r="K1245" s="7"/>
      <x:c r="L1245" s="7"/>
      <x:c r="M1245" s="7"/>
      <x:c r="N1245" s="7"/>
      <x:c r="O1245" s="2" t="str">
        <x:f>IF(A1245="","",IF(COUNTIFS($A$7:$A$1506,A1245)&gt;1,"Buchung-ID doppelt",IF(OR(NOT(ISNUMBER(B1245)),C1245="",NOT(ISNUMBER(F1245)),H1245="",L1245=""),"Pflichtangaben fehlen",IF(COUNTIFS('Konten'!$A$7:$A$26,C1245)&lt;&gt;1,"Konto nicht eindeutig",IF(J1245&lt;&gt;"Ja","Zuordnung bestätigen",IF(OR(AND(H1245="Einnahme",F1245&lt;0),AND(H1245="Ausgabe",F1245&gt;0)),"Vorzeichen prüfen",IF(AND(H1245="Umbuchung",OR(K1245="",COUNTIFS($A$7:$A$1506,K1245)&lt;&gt;1)),"Gegenbuchung fehlt",IF(AND(H1245="Umbuchung",ROUND(SUMIFS($F$7:$F$1506,$A$7:$A$1506,K1245)+F1245,2)&lt;&gt;0),"Umbuchung abweichend",IF(OR(G1245="",M1245="",M1245="offen",M1245="teilbelegt",H1245="Ungeklärt",H1245="Bargeld"),"Beleg / Verwendung klären","vollständig erfasst")))))))))</x:f>
      </x:c>
    </x:row>
    <x:row r="1246" ht="22" customHeight="1">
      <x:c r="A1246" s="7"/>
      <x:c r="B1246" s="8"/>
      <x:c r="C1246" s="7"/>
      <x:c r="D1246" s="7"/>
      <x:c r="E1246" s="7"/>
      <x:c r="F1246" s="20"/>
      <x:c r="G1246" s="7"/>
      <x:c r="H1246" s="7"/>
      <x:c r="I1246" s="7"/>
      <x:c r="J1246" s="7"/>
      <x:c r="K1246" s="7"/>
      <x:c r="L1246" s="7"/>
      <x:c r="M1246" s="7"/>
      <x:c r="N1246" s="7"/>
      <x:c r="O1246" s="2" t="str">
        <x:f>IF(A1246="","",IF(COUNTIFS($A$7:$A$1506,A1246)&gt;1,"Buchung-ID doppelt",IF(OR(NOT(ISNUMBER(B1246)),C1246="",NOT(ISNUMBER(F1246)),H1246="",L1246=""),"Pflichtangaben fehlen",IF(COUNTIFS('Konten'!$A$7:$A$26,C1246)&lt;&gt;1,"Konto nicht eindeutig",IF(J1246&lt;&gt;"Ja","Zuordnung bestätigen",IF(OR(AND(H1246="Einnahme",F1246&lt;0),AND(H1246="Ausgabe",F1246&gt;0)),"Vorzeichen prüfen",IF(AND(H1246="Umbuchung",OR(K1246="",COUNTIFS($A$7:$A$1506,K1246)&lt;&gt;1)),"Gegenbuchung fehlt",IF(AND(H1246="Umbuchung",ROUND(SUMIFS($F$7:$F$1506,$A$7:$A$1506,K1246)+F1246,2)&lt;&gt;0),"Umbuchung abweichend",IF(OR(G1246="",M1246="",M1246="offen",M1246="teilbelegt",H1246="Ungeklärt",H1246="Bargeld"),"Beleg / Verwendung klären","vollständig erfasst")))))))))</x:f>
      </x:c>
    </x:row>
    <x:row r="1247" ht="22" customHeight="1">
      <x:c r="A1247" s="7"/>
      <x:c r="B1247" s="8"/>
      <x:c r="C1247" s="7"/>
      <x:c r="D1247" s="7"/>
      <x:c r="E1247" s="7"/>
      <x:c r="F1247" s="20"/>
      <x:c r="G1247" s="7"/>
      <x:c r="H1247" s="7"/>
      <x:c r="I1247" s="7"/>
      <x:c r="J1247" s="7"/>
      <x:c r="K1247" s="7"/>
      <x:c r="L1247" s="7"/>
      <x:c r="M1247" s="7"/>
      <x:c r="N1247" s="7"/>
      <x:c r="O1247" s="2" t="str">
        <x:f>IF(A1247="","",IF(COUNTIFS($A$7:$A$1506,A1247)&gt;1,"Buchung-ID doppelt",IF(OR(NOT(ISNUMBER(B1247)),C1247="",NOT(ISNUMBER(F1247)),H1247="",L1247=""),"Pflichtangaben fehlen",IF(COUNTIFS('Konten'!$A$7:$A$26,C1247)&lt;&gt;1,"Konto nicht eindeutig",IF(J1247&lt;&gt;"Ja","Zuordnung bestätigen",IF(OR(AND(H1247="Einnahme",F1247&lt;0),AND(H1247="Ausgabe",F1247&gt;0)),"Vorzeichen prüfen",IF(AND(H1247="Umbuchung",OR(K1247="",COUNTIFS($A$7:$A$1506,K1247)&lt;&gt;1)),"Gegenbuchung fehlt",IF(AND(H1247="Umbuchung",ROUND(SUMIFS($F$7:$F$1506,$A$7:$A$1506,K1247)+F1247,2)&lt;&gt;0),"Umbuchung abweichend",IF(OR(G1247="",M1247="",M1247="offen",M1247="teilbelegt",H1247="Ungeklärt",H1247="Bargeld"),"Beleg / Verwendung klären","vollständig erfasst")))))))))</x:f>
      </x:c>
    </x:row>
    <x:row r="1248" ht="22" customHeight="1">
      <x:c r="A1248" s="7"/>
      <x:c r="B1248" s="8"/>
      <x:c r="C1248" s="7"/>
      <x:c r="D1248" s="7"/>
      <x:c r="E1248" s="7"/>
      <x:c r="F1248" s="20"/>
      <x:c r="G1248" s="7"/>
      <x:c r="H1248" s="7"/>
      <x:c r="I1248" s="7"/>
      <x:c r="J1248" s="7"/>
      <x:c r="K1248" s="7"/>
      <x:c r="L1248" s="7"/>
      <x:c r="M1248" s="7"/>
      <x:c r="N1248" s="7"/>
      <x:c r="O1248" s="2" t="str">
        <x:f>IF(A1248="","",IF(COUNTIFS($A$7:$A$1506,A1248)&gt;1,"Buchung-ID doppelt",IF(OR(NOT(ISNUMBER(B1248)),C1248="",NOT(ISNUMBER(F1248)),H1248="",L1248=""),"Pflichtangaben fehlen",IF(COUNTIFS('Konten'!$A$7:$A$26,C1248)&lt;&gt;1,"Konto nicht eindeutig",IF(J1248&lt;&gt;"Ja","Zuordnung bestätigen",IF(OR(AND(H1248="Einnahme",F1248&lt;0),AND(H1248="Ausgabe",F1248&gt;0)),"Vorzeichen prüfen",IF(AND(H1248="Umbuchung",OR(K1248="",COUNTIFS($A$7:$A$1506,K1248)&lt;&gt;1)),"Gegenbuchung fehlt",IF(AND(H1248="Umbuchung",ROUND(SUMIFS($F$7:$F$1506,$A$7:$A$1506,K1248)+F1248,2)&lt;&gt;0),"Umbuchung abweichend",IF(OR(G1248="",M1248="",M1248="offen",M1248="teilbelegt",H1248="Ungeklärt",H1248="Bargeld"),"Beleg / Verwendung klären","vollständig erfasst")))))))))</x:f>
      </x:c>
    </x:row>
    <x:row r="1249" ht="22" customHeight="1">
      <x:c r="A1249" s="7"/>
      <x:c r="B1249" s="8"/>
      <x:c r="C1249" s="7"/>
      <x:c r="D1249" s="7"/>
      <x:c r="E1249" s="7"/>
      <x:c r="F1249" s="20"/>
      <x:c r="G1249" s="7"/>
      <x:c r="H1249" s="7"/>
      <x:c r="I1249" s="7"/>
      <x:c r="J1249" s="7"/>
      <x:c r="K1249" s="7"/>
      <x:c r="L1249" s="7"/>
      <x:c r="M1249" s="7"/>
      <x:c r="N1249" s="7"/>
      <x:c r="O1249" s="2" t="str">
        <x:f>IF(A1249="","",IF(COUNTIFS($A$7:$A$1506,A1249)&gt;1,"Buchung-ID doppelt",IF(OR(NOT(ISNUMBER(B1249)),C1249="",NOT(ISNUMBER(F1249)),H1249="",L1249=""),"Pflichtangaben fehlen",IF(COUNTIFS('Konten'!$A$7:$A$26,C1249)&lt;&gt;1,"Konto nicht eindeutig",IF(J1249&lt;&gt;"Ja","Zuordnung bestätigen",IF(OR(AND(H1249="Einnahme",F1249&lt;0),AND(H1249="Ausgabe",F1249&gt;0)),"Vorzeichen prüfen",IF(AND(H1249="Umbuchung",OR(K1249="",COUNTIFS($A$7:$A$1506,K1249)&lt;&gt;1)),"Gegenbuchung fehlt",IF(AND(H1249="Umbuchung",ROUND(SUMIFS($F$7:$F$1506,$A$7:$A$1506,K1249)+F1249,2)&lt;&gt;0),"Umbuchung abweichend",IF(OR(G1249="",M1249="",M1249="offen",M1249="teilbelegt",H1249="Ungeklärt",H1249="Bargeld"),"Beleg / Verwendung klären","vollständig erfasst")))))))))</x:f>
      </x:c>
    </x:row>
    <x:row r="1250" ht="22" customHeight="1">
      <x:c r="A1250" s="7"/>
      <x:c r="B1250" s="8"/>
      <x:c r="C1250" s="7"/>
      <x:c r="D1250" s="7"/>
      <x:c r="E1250" s="7"/>
      <x:c r="F1250" s="20"/>
      <x:c r="G1250" s="7"/>
      <x:c r="H1250" s="7"/>
      <x:c r="I1250" s="7"/>
      <x:c r="J1250" s="7"/>
      <x:c r="K1250" s="7"/>
      <x:c r="L1250" s="7"/>
      <x:c r="M1250" s="7"/>
      <x:c r="N1250" s="7"/>
      <x:c r="O1250" s="2" t="str">
        <x:f>IF(A1250="","",IF(COUNTIFS($A$7:$A$1506,A1250)&gt;1,"Buchung-ID doppelt",IF(OR(NOT(ISNUMBER(B1250)),C1250="",NOT(ISNUMBER(F1250)),H1250="",L1250=""),"Pflichtangaben fehlen",IF(COUNTIFS('Konten'!$A$7:$A$26,C1250)&lt;&gt;1,"Konto nicht eindeutig",IF(J1250&lt;&gt;"Ja","Zuordnung bestätigen",IF(OR(AND(H1250="Einnahme",F1250&lt;0),AND(H1250="Ausgabe",F1250&gt;0)),"Vorzeichen prüfen",IF(AND(H1250="Umbuchung",OR(K1250="",COUNTIFS($A$7:$A$1506,K1250)&lt;&gt;1)),"Gegenbuchung fehlt",IF(AND(H1250="Umbuchung",ROUND(SUMIFS($F$7:$F$1506,$A$7:$A$1506,K1250)+F1250,2)&lt;&gt;0),"Umbuchung abweichend",IF(OR(G1250="",M1250="",M1250="offen",M1250="teilbelegt",H1250="Ungeklärt",H1250="Bargeld"),"Beleg / Verwendung klären","vollständig erfasst")))))))))</x:f>
      </x:c>
    </x:row>
    <x:row r="1251" ht="22" customHeight="1">
      <x:c r="A1251" s="7"/>
      <x:c r="B1251" s="8"/>
      <x:c r="C1251" s="7"/>
      <x:c r="D1251" s="7"/>
      <x:c r="E1251" s="7"/>
      <x:c r="F1251" s="20"/>
      <x:c r="G1251" s="7"/>
      <x:c r="H1251" s="7"/>
      <x:c r="I1251" s="7"/>
      <x:c r="J1251" s="7"/>
      <x:c r="K1251" s="7"/>
      <x:c r="L1251" s="7"/>
      <x:c r="M1251" s="7"/>
      <x:c r="N1251" s="7"/>
      <x:c r="O1251" s="2" t="str">
        <x:f>IF(A1251="","",IF(COUNTIFS($A$7:$A$1506,A1251)&gt;1,"Buchung-ID doppelt",IF(OR(NOT(ISNUMBER(B1251)),C1251="",NOT(ISNUMBER(F1251)),H1251="",L1251=""),"Pflichtangaben fehlen",IF(COUNTIFS('Konten'!$A$7:$A$26,C1251)&lt;&gt;1,"Konto nicht eindeutig",IF(J1251&lt;&gt;"Ja","Zuordnung bestätigen",IF(OR(AND(H1251="Einnahme",F1251&lt;0),AND(H1251="Ausgabe",F1251&gt;0)),"Vorzeichen prüfen",IF(AND(H1251="Umbuchung",OR(K1251="",COUNTIFS($A$7:$A$1506,K1251)&lt;&gt;1)),"Gegenbuchung fehlt",IF(AND(H1251="Umbuchung",ROUND(SUMIFS($F$7:$F$1506,$A$7:$A$1506,K1251)+F1251,2)&lt;&gt;0),"Umbuchung abweichend",IF(OR(G1251="",M1251="",M1251="offen",M1251="teilbelegt",H1251="Ungeklärt",H1251="Bargeld"),"Beleg / Verwendung klären","vollständig erfasst")))))))))</x:f>
      </x:c>
    </x:row>
    <x:row r="1252" ht="22" customHeight="1">
      <x:c r="A1252" s="7"/>
      <x:c r="B1252" s="8"/>
      <x:c r="C1252" s="7"/>
      <x:c r="D1252" s="7"/>
      <x:c r="E1252" s="7"/>
      <x:c r="F1252" s="20"/>
      <x:c r="G1252" s="7"/>
      <x:c r="H1252" s="7"/>
      <x:c r="I1252" s="7"/>
      <x:c r="J1252" s="7"/>
      <x:c r="K1252" s="7"/>
      <x:c r="L1252" s="7"/>
      <x:c r="M1252" s="7"/>
      <x:c r="N1252" s="7"/>
      <x:c r="O1252" s="2" t="str">
        <x:f>IF(A1252="","",IF(COUNTIFS($A$7:$A$1506,A1252)&gt;1,"Buchung-ID doppelt",IF(OR(NOT(ISNUMBER(B1252)),C1252="",NOT(ISNUMBER(F1252)),H1252="",L1252=""),"Pflichtangaben fehlen",IF(COUNTIFS('Konten'!$A$7:$A$26,C1252)&lt;&gt;1,"Konto nicht eindeutig",IF(J1252&lt;&gt;"Ja","Zuordnung bestätigen",IF(OR(AND(H1252="Einnahme",F1252&lt;0),AND(H1252="Ausgabe",F1252&gt;0)),"Vorzeichen prüfen",IF(AND(H1252="Umbuchung",OR(K1252="",COUNTIFS($A$7:$A$1506,K1252)&lt;&gt;1)),"Gegenbuchung fehlt",IF(AND(H1252="Umbuchung",ROUND(SUMIFS($F$7:$F$1506,$A$7:$A$1506,K1252)+F1252,2)&lt;&gt;0),"Umbuchung abweichend",IF(OR(G1252="",M1252="",M1252="offen",M1252="teilbelegt",H1252="Ungeklärt",H1252="Bargeld"),"Beleg / Verwendung klären","vollständig erfasst")))))))))</x:f>
      </x:c>
    </x:row>
    <x:row r="1253" ht="22" customHeight="1">
      <x:c r="A1253" s="7"/>
      <x:c r="B1253" s="8"/>
      <x:c r="C1253" s="7"/>
      <x:c r="D1253" s="7"/>
      <x:c r="E1253" s="7"/>
      <x:c r="F1253" s="20"/>
      <x:c r="G1253" s="7"/>
      <x:c r="H1253" s="7"/>
      <x:c r="I1253" s="7"/>
      <x:c r="J1253" s="7"/>
      <x:c r="K1253" s="7"/>
      <x:c r="L1253" s="7"/>
      <x:c r="M1253" s="7"/>
      <x:c r="N1253" s="7"/>
      <x:c r="O1253" s="2" t="str">
        <x:f>IF(A1253="","",IF(COUNTIFS($A$7:$A$1506,A1253)&gt;1,"Buchung-ID doppelt",IF(OR(NOT(ISNUMBER(B1253)),C1253="",NOT(ISNUMBER(F1253)),H1253="",L1253=""),"Pflichtangaben fehlen",IF(COUNTIFS('Konten'!$A$7:$A$26,C1253)&lt;&gt;1,"Konto nicht eindeutig",IF(J1253&lt;&gt;"Ja","Zuordnung bestätigen",IF(OR(AND(H1253="Einnahme",F1253&lt;0),AND(H1253="Ausgabe",F1253&gt;0)),"Vorzeichen prüfen",IF(AND(H1253="Umbuchung",OR(K1253="",COUNTIFS($A$7:$A$1506,K1253)&lt;&gt;1)),"Gegenbuchung fehlt",IF(AND(H1253="Umbuchung",ROUND(SUMIFS($F$7:$F$1506,$A$7:$A$1506,K1253)+F1253,2)&lt;&gt;0),"Umbuchung abweichend",IF(OR(G1253="",M1253="",M1253="offen",M1253="teilbelegt",H1253="Ungeklärt",H1253="Bargeld"),"Beleg / Verwendung klären","vollständig erfasst")))))))))</x:f>
      </x:c>
    </x:row>
    <x:row r="1254" ht="22" customHeight="1">
      <x:c r="A1254" s="7"/>
      <x:c r="B1254" s="8"/>
      <x:c r="C1254" s="7"/>
      <x:c r="D1254" s="7"/>
      <x:c r="E1254" s="7"/>
      <x:c r="F1254" s="20"/>
      <x:c r="G1254" s="7"/>
      <x:c r="H1254" s="7"/>
      <x:c r="I1254" s="7"/>
      <x:c r="J1254" s="7"/>
      <x:c r="K1254" s="7"/>
      <x:c r="L1254" s="7"/>
      <x:c r="M1254" s="7"/>
      <x:c r="N1254" s="7"/>
      <x:c r="O1254" s="2" t="str">
        <x:f>IF(A1254="","",IF(COUNTIFS($A$7:$A$1506,A1254)&gt;1,"Buchung-ID doppelt",IF(OR(NOT(ISNUMBER(B1254)),C1254="",NOT(ISNUMBER(F1254)),H1254="",L1254=""),"Pflichtangaben fehlen",IF(COUNTIFS('Konten'!$A$7:$A$26,C1254)&lt;&gt;1,"Konto nicht eindeutig",IF(J1254&lt;&gt;"Ja","Zuordnung bestätigen",IF(OR(AND(H1254="Einnahme",F1254&lt;0),AND(H1254="Ausgabe",F1254&gt;0)),"Vorzeichen prüfen",IF(AND(H1254="Umbuchung",OR(K1254="",COUNTIFS($A$7:$A$1506,K1254)&lt;&gt;1)),"Gegenbuchung fehlt",IF(AND(H1254="Umbuchung",ROUND(SUMIFS($F$7:$F$1506,$A$7:$A$1506,K1254)+F1254,2)&lt;&gt;0),"Umbuchung abweichend",IF(OR(G1254="",M1254="",M1254="offen",M1254="teilbelegt",H1254="Ungeklärt",H1254="Bargeld"),"Beleg / Verwendung klären","vollständig erfasst")))))))))</x:f>
      </x:c>
    </x:row>
    <x:row r="1255" ht="22" customHeight="1">
      <x:c r="A1255" s="7"/>
      <x:c r="B1255" s="8"/>
      <x:c r="C1255" s="7"/>
      <x:c r="D1255" s="7"/>
      <x:c r="E1255" s="7"/>
      <x:c r="F1255" s="20"/>
      <x:c r="G1255" s="7"/>
      <x:c r="H1255" s="7"/>
      <x:c r="I1255" s="7"/>
      <x:c r="J1255" s="7"/>
      <x:c r="K1255" s="7"/>
      <x:c r="L1255" s="7"/>
      <x:c r="M1255" s="7"/>
      <x:c r="N1255" s="7"/>
      <x:c r="O1255" s="2" t="str">
        <x:f>IF(A1255="","",IF(COUNTIFS($A$7:$A$1506,A1255)&gt;1,"Buchung-ID doppelt",IF(OR(NOT(ISNUMBER(B1255)),C1255="",NOT(ISNUMBER(F1255)),H1255="",L1255=""),"Pflichtangaben fehlen",IF(COUNTIFS('Konten'!$A$7:$A$26,C1255)&lt;&gt;1,"Konto nicht eindeutig",IF(J1255&lt;&gt;"Ja","Zuordnung bestätigen",IF(OR(AND(H1255="Einnahme",F1255&lt;0),AND(H1255="Ausgabe",F1255&gt;0)),"Vorzeichen prüfen",IF(AND(H1255="Umbuchung",OR(K1255="",COUNTIFS($A$7:$A$1506,K1255)&lt;&gt;1)),"Gegenbuchung fehlt",IF(AND(H1255="Umbuchung",ROUND(SUMIFS($F$7:$F$1506,$A$7:$A$1506,K1255)+F1255,2)&lt;&gt;0),"Umbuchung abweichend",IF(OR(G1255="",M1255="",M1255="offen",M1255="teilbelegt",H1255="Ungeklärt",H1255="Bargeld"),"Beleg / Verwendung klären","vollständig erfasst")))))))))</x:f>
      </x:c>
    </x:row>
    <x:row r="1256" ht="22" customHeight="1">
      <x:c r="A1256" s="7"/>
      <x:c r="B1256" s="8"/>
      <x:c r="C1256" s="7"/>
      <x:c r="D1256" s="7"/>
      <x:c r="E1256" s="7"/>
      <x:c r="F1256" s="20"/>
      <x:c r="G1256" s="7"/>
      <x:c r="H1256" s="7"/>
      <x:c r="I1256" s="7"/>
      <x:c r="J1256" s="7"/>
      <x:c r="K1256" s="7"/>
      <x:c r="L1256" s="7"/>
      <x:c r="M1256" s="7"/>
      <x:c r="N1256" s="7"/>
      <x:c r="O1256" s="2" t="str">
        <x:f>IF(A1256="","",IF(COUNTIFS($A$7:$A$1506,A1256)&gt;1,"Buchung-ID doppelt",IF(OR(NOT(ISNUMBER(B1256)),C1256="",NOT(ISNUMBER(F1256)),H1256="",L1256=""),"Pflichtangaben fehlen",IF(COUNTIFS('Konten'!$A$7:$A$26,C1256)&lt;&gt;1,"Konto nicht eindeutig",IF(J1256&lt;&gt;"Ja","Zuordnung bestätigen",IF(OR(AND(H1256="Einnahme",F1256&lt;0),AND(H1256="Ausgabe",F1256&gt;0)),"Vorzeichen prüfen",IF(AND(H1256="Umbuchung",OR(K1256="",COUNTIFS($A$7:$A$1506,K1256)&lt;&gt;1)),"Gegenbuchung fehlt",IF(AND(H1256="Umbuchung",ROUND(SUMIFS($F$7:$F$1506,$A$7:$A$1506,K1256)+F1256,2)&lt;&gt;0),"Umbuchung abweichend",IF(OR(G1256="",M1256="",M1256="offen",M1256="teilbelegt",H1256="Ungeklärt",H1256="Bargeld"),"Beleg / Verwendung klären","vollständig erfasst")))))))))</x:f>
      </x:c>
    </x:row>
    <x:row r="1257" ht="22" customHeight="1">
      <x:c r="A1257" s="7"/>
      <x:c r="B1257" s="8"/>
      <x:c r="C1257" s="7"/>
      <x:c r="D1257" s="7"/>
      <x:c r="E1257" s="7"/>
      <x:c r="F1257" s="20"/>
      <x:c r="G1257" s="7"/>
      <x:c r="H1257" s="7"/>
      <x:c r="I1257" s="7"/>
      <x:c r="J1257" s="7"/>
      <x:c r="K1257" s="7"/>
      <x:c r="L1257" s="7"/>
      <x:c r="M1257" s="7"/>
      <x:c r="N1257" s="7"/>
      <x:c r="O1257" s="2" t="str">
        <x:f>IF(A1257="","",IF(COUNTIFS($A$7:$A$1506,A1257)&gt;1,"Buchung-ID doppelt",IF(OR(NOT(ISNUMBER(B1257)),C1257="",NOT(ISNUMBER(F1257)),H1257="",L1257=""),"Pflichtangaben fehlen",IF(COUNTIFS('Konten'!$A$7:$A$26,C1257)&lt;&gt;1,"Konto nicht eindeutig",IF(J1257&lt;&gt;"Ja","Zuordnung bestätigen",IF(OR(AND(H1257="Einnahme",F1257&lt;0),AND(H1257="Ausgabe",F1257&gt;0)),"Vorzeichen prüfen",IF(AND(H1257="Umbuchung",OR(K1257="",COUNTIFS($A$7:$A$1506,K1257)&lt;&gt;1)),"Gegenbuchung fehlt",IF(AND(H1257="Umbuchung",ROUND(SUMIFS($F$7:$F$1506,$A$7:$A$1506,K1257)+F1257,2)&lt;&gt;0),"Umbuchung abweichend",IF(OR(G1257="",M1257="",M1257="offen",M1257="teilbelegt",H1257="Ungeklärt",H1257="Bargeld"),"Beleg / Verwendung klären","vollständig erfasst")))))))))</x:f>
      </x:c>
    </x:row>
    <x:row r="1258" ht="22" customHeight="1">
      <x:c r="A1258" s="7"/>
      <x:c r="B1258" s="8"/>
      <x:c r="C1258" s="7"/>
      <x:c r="D1258" s="7"/>
      <x:c r="E1258" s="7"/>
      <x:c r="F1258" s="20"/>
      <x:c r="G1258" s="7"/>
      <x:c r="H1258" s="7"/>
      <x:c r="I1258" s="7"/>
      <x:c r="J1258" s="7"/>
      <x:c r="K1258" s="7"/>
      <x:c r="L1258" s="7"/>
      <x:c r="M1258" s="7"/>
      <x:c r="N1258" s="7"/>
      <x:c r="O1258" s="2" t="str">
        <x:f>IF(A1258="","",IF(COUNTIFS($A$7:$A$1506,A1258)&gt;1,"Buchung-ID doppelt",IF(OR(NOT(ISNUMBER(B1258)),C1258="",NOT(ISNUMBER(F1258)),H1258="",L1258=""),"Pflichtangaben fehlen",IF(COUNTIFS('Konten'!$A$7:$A$26,C1258)&lt;&gt;1,"Konto nicht eindeutig",IF(J1258&lt;&gt;"Ja","Zuordnung bestätigen",IF(OR(AND(H1258="Einnahme",F1258&lt;0),AND(H1258="Ausgabe",F1258&gt;0)),"Vorzeichen prüfen",IF(AND(H1258="Umbuchung",OR(K1258="",COUNTIFS($A$7:$A$1506,K1258)&lt;&gt;1)),"Gegenbuchung fehlt",IF(AND(H1258="Umbuchung",ROUND(SUMIFS($F$7:$F$1506,$A$7:$A$1506,K1258)+F1258,2)&lt;&gt;0),"Umbuchung abweichend",IF(OR(G1258="",M1258="",M1258="offen",M1258="teilbelegt",H1258="Ungeklärt",H1258="Bargeld"),"Beleg / Verwendung klären","vollständig erfasst")))))))))</x:f>
      </x:c>
    </x:row>
    <x:row r="1259" ht="22" customHeight="1">
      <x:c r="A1259" s="7"/>
      <x:c r="B1259" s="8"/>
      <x:c r="C1259" s="7"/>
      <x:c r="D1259" s="7"/>
      <x:c r="E1259" s="7"/>
      <x:c r="F1259" s="20"/>
      <x:c r="G1259" s="7"/>
      <x:c r="H1259" s="7"/>
      <x:c r="I1259" s="7"/>
      <x:c r="J1259" s="7"/>
      <x:c r="K1259" s="7"/>
      <x:c r="L1259" s="7"/>
      <x:c r="M1259" s="7"/>
      <x:c r="N1259" s="7"/>
      <x:c r="O1259" s="2" t="str">
        <x:f>IF(A1259="","",IF(COUNTIFS($A$7:$A$1506,A1259)&gt;1,"Buchung-ID doppelt",IF(OR(NOT(ISNUMBER(B1259)),C1259="",NOT(ISNUMBER(F1259)),H1259="",L1259=""),"Pflichtangaben fehlen",IF(COUNTIFS('Konten'!$A$7:$A$26,C1259)&lt;&gt;1,"Konto nicht eindeutig",IF(J1259&lt;&gt;"Ja","Zuordnung bestätigen",IF(OR(AND(H1259="Einnahme",F1259&lt;0),AND(H1259="Ausgabe",F1259&gt;0)),"Vorzeichen prüfen",IF(AND(H1259="Umbuchung",OR(K1259="",COUNTIFS($A$7:$A$1506,K1259)&lt;&gt;1)),"Gegenbuchung fehlt",IF(AND(H1259="Umbuchung",ROUND(SUMIFS($F$7:$F$1506,$A$7:$A$1506,K1259)+F1259,2)&lt;&gt;0),"Umbuchung abweichend",IF(OR(G1259="",M1259="",M1259="offen",M1259="teilbelegt",H1259="Ungeklärt",H1259="Bargeld"),"Beleg / Verwendung klären","vollständig erfasst")))))))))</x:f>
      </x:c>
    </x:row>
    <x:row r="1260" ht="22" customHeight="1">
      <x:c r="A1260" s="7"/>
      <x:c r="B1260" s="8"/>
      <x:c r="C1260" s="7"/>
      <x:c r="D1260" s="7"/>
      <x:c r="E1260" s="7"/>
      <x:c r="F1260" s="20"/>
      <x:c r="G1260" s="7"/>
      <x:c r="H1260" s="7"/>
      <x:c r="I1260" s="7"/>
      <x:c r="J1260" s="7"/>
      <x:c r="K1260" s="7"/>
      <x:c r="L1260" s="7"/>
      <x:c r="M1260" s="7"/>
      <x:c r="N1260" s="7"/>
      <x:c r="O1260" s="2" t="str">
        <x:f>IF(A1260="","",IF(COUNTIFS($A$7:$A$1506,A1260)&gt;1,"Buchung-ID doppelt",IF(OR(NOT(ISNUMBER(B1260)),C1260="",NOT(ISNUMBER(F1260)),H1260="",L1260=""),"Pflichtangaben fehlen",IF(COUNTIFS('Konten'!$A$7:$A$26,C1260)&lt;&gt;1,"Konto nicht eindeutig",IF(J1260&lt;&gt;"Ja","Zuordnung bestätigen",IF(OR(AND(H1260="Einnahme",F1260&lt;0),AND(H1260="Ausgabe",F1260&gt;0)),"Vorzeichen prüfen",IF(AND(H1260="Umbuchung",OR(K1260="",COUNTIFS($A$7:$A$1506,K1260)&lt;&gt;1)),"Gegenbuchung fehlt",IF(AND(H1260="Umbuchung",ROUND(SUMIFS($F$7:$F$1506,$A$7:$A$1506,K1260)+F1260,2)&lt;&gt;0),"Umbuchung abweichend",IF(OR(G1260="",M1260="",M1260="offen",M1260="teilbelegt",H1260="Ungeklärt",H1260="Bargeld"),"Beleg / Verwendung klären","vollständig erfasst")))))))))</x:f>
      </x:c>
    </x:row>
    <x:row r="1261" ht="22" customHeight="1">
      <x:c r="A1261" s="7"/>
      <x:c r="B1261" s="8"/>
      <x:c r="C1261" s="7"/>
      <x:c r="D1261" s="7"/>
      <x:c r="E1261" s="7"/>
      <x:c r="F1261" s="20"/>
      <x:c r="G1261" s="7"/>
      <x:c r="H1261" s="7"/>
      <x:c r="I1261" s="7"/>
      <x:c r="J1261" s="7"/>
      <x:c r="K1261" s="7"/>
      <x:c r="L1261" s="7"/>
      <x:c r="M1261" s="7"/>
      <x:c r="N1261" s="7"/>
      <x:c r="O1261" s="2" t="str">
        <x:f>IF(A1261="","",IF(COUNTIFS($A$7:$A$1506,A1261)&gt;1,"Buchung-ID doppelt",IF(OR(NOT(ISNUMBER(B1261)),C1261="",NOT(ISNUMBER(F1261)),H1261="",L1261=""),"Pflichtangaben fehlen",IF(COUNTIFS('Konten'!$A$7:$A$26,C1261)&lt;&gt;1,"Konto nicht eindeutig",IF(J1261&lt;&gt;"Ja","Zuordnung bestätigen",IF(OR(AND(H1261="Einnahme",F1261&lt;0),AND(H1261="Ausgabe",F1261&gt;0)),"Vorzeichen prüfen",IF(AND(H1261="Umbuchung",OR(K1261="",COUNTIFS($A$7:$A$1506,K1261)&lt;&gt;1)),"Gegenbuchung fehlt",IF(AND(H1261="Umbuchung",ROUND(SUMIFS($F$7:$F$1506,$A$7:$A$1506,K1261)+F1261,2)&lt;&gt;0),"Umbuchung abweichend",IF(OR(G1261="",M1261="",M1261="offen",M1261="teilbelegt",H1261="Ungeklärt",H1261="Bargeld"),"Beleg / Verwendung klären","vollständig erfasst")))))))))</x:f>
      </x:c>
    </x:row>
    <x:row r="1262" ht="22" customHeight="1">
      <x:c r="A1262" s="7"/>
      <x:c r="B1262" s="8"/>
      <x:c r="C1262" s="7"/>
      <x:c r="D1262" s="7"/>
      <x:c r="E1262" s="7"/>
      <x:c r="F1262" s="20"/>
      <x:c r="G1262" s="7"/>
      <x:c r="H1262" s="7"/>
      <x:c r="I1262" s="7"/>
      <x:c r="J1262" s="7"/>
      <x:c r="K1262" s="7"/>
      <x:c r="L1262" s="7"/>
      <x:c r="M1262" s="7"/>
      <x:c r="N1262" s="7"/>
      <x:c r="O1262" s="2" t="str">
        <x:f>IF(A1262="","",IF(COUNTIFS($A$7:$A$1506,A1262)&gt;1,"Buchung-ID doppelt",IF(OR(NOT(ISNUMBER(B1262)),C1262="",NOT(ISNUMBER(F1262)),H1262="",L1262=""),"Pflichtangaben fehlen",IF(COUNTIFS('Konten'!$A$7:$A$26,C1262)&lt;&gt;1,"Konto nicht eindeutig",IF(J1262&lt;&gt;"Ja","Zuordnung bestätigen",IF(OR(AND(H1262="Einnahme",F1262&lt;0),AND(H1262="Ausgabe",F1262&gt;0)),"Vorzeichen prüfen",IF(AND(H1262="Umbuchung",OR(K1262="",COUNTIFS($A$7:$A$1506,K1262)&lt;&gt;1)),"Gegenbuchung fehlt",IF(AND(H1262="Umbuchung",ROUND(SUMIFS($F$7:$F$1506,$A$7:$A$1506,K1262)+F1262,2)&lt;&gt;0),"Umbuchung abweichend",IF(OR(G1262="",M1262="",M1262="offen",M1262="teilbelegt",H1262="Ungeklärt",H1262="Bargeld"),"Beleg / Verwendung klären","vollständig erfasst")))))))))</x:f>
      </x:c>
    </x:row>
    <x:row r="1263" ht="22" customHeight="1">
      <x:c r="A1263" s="7"/>
      <x:c r="B1263" s="8"/>
      <x:c r="C1263" s="7"/>
      <x:c r="D1263" s="7"/>
      <x:c r="E1263" s="7"/>
      <x:c r="F1263" s="20"/>
      <x:c r="G1263" s="7"/>
      <x:c r="H1263" s="7"/>
      <x:c r="I1263" s="7"/>
      <x:c r="J1263" s="7"/>
      <x:c r="K1263" s="7"/>
      <x:c r="L1263" s="7"/>
      <x:c r="M1263" s="7"/>
      <x:c r="N1263" s="7"/>
      <x:c r="O1263" s="2" t="str">
        <x:f>IF(A1263="","",IF(COUNTIFS($A$7:$A$1506,A1263)&gt;1,"Buchung-ID doppelt",IF(OR(NOT(ISNUMBER(B1263)),C1263="",NOT(ISNUMBER(F1263)),H1263="",L1263=""),"Pflichtangaben fehlen",IF(COUNTIFS('Konten'!$A$7:$A$26,C1263)&lt;&gt;1,"Konto nicht eindeutig",IF(J1263&lt;&gt;"Ja","Zuordnung bestätigen",IF(OR(AND(H1263="Einnahme",F1263&lt;0),AND(H1263="Ausgabe",F1263&gt;0)),"Vorzeichen prüfen",IF(AND(H1263="Umbuchung",OR(K1263="",COUNTIFS($A$7:$A$1506,K1263)&lt;&gt;1)),"Gegenbuchung fehlt",IF(AND(H1263="Umbuchung",ROUND(SUMIFS($F$7:$F$1506,$A$7:$A$1506,K1263)+F1263,2)&lt;&gt;0),"Umbuchung abweichend",IF(OR(G1263="",M1263="",M1263="offen",M1263="teilbelegt",H1263="Ungeklärt",H1263="Bargeld"),"Beleg / Verwendung klären","vollständig erfasst")))))))))</x:f>
      </x:c>
    </x:row>
    <x:row r="1264" ht="22" customHeight="1">
      <x:c r="A1264" s="7"/>
      <x:c r="B1264" s="8"/>
      <x:c r="C1264" s="7"/>
      <x:c r="D1264" s="7"/>
      <x:c r="E1264" s="7"/>
      <x:c r="F1264" s="20"/>
      <x:c r="G1264" s="7"/>
      <x:c r="H1264" s="7"/>
      <x:c r="I1264" s="7"/>
      <x:c r="J1264" s="7"/>
      <x:c r="K1264" s="7"/>
      <x:c r="L1264" s="7"/>
      <x:c r="M1264" s="7"/>
      <x:c r="N1264" s="7"/>
      <x:c r="O1264" s="2" t="str">
        <x:f>IF(A1264="","",IF(COUNTIFS($A$7:$A$1506,A1264)&gt;1,"Buchung-ID doppelt",IF(OR(NOT(ISNUMBER(B1264)),C1264="",NOT(ISNUMBER(F1264)),H1264="",L1264=""),"Pflichtangaben fehlen",IF(COUNTIFS('Konten'!$A$7:$A$26,C1264)&lt;&gt;1,"Konto nicht eindeutig",IF(J1264&lt;&gt;"Ja","Zuordnung bestätigen",IF(OR(AND(H1264="Einnahme",F1264&lt;0),AND(H1264="Ausgabe",F1264&gt;0)),"Vorzeichen prüfen",IF(AND(H1264="Umbuchung",OR(K1264="",COUNTIFS($A$7:$A$1506,K1264)&lt;&gt;1)),"Gegenbuchung fehlt",IF(AND(H1264="Umbuchung",ROUND(SUMIFS($F$7:$F$1506,$A$7:$A$1506,K1264)+F1264,2)&lt;&gt;0),"Umbuchung abweichend",IF(OR(G1264="",M1264="",M1264="offen",M1264="teilbelegt",H1264="Ungeklärt",H1264="Bargeld"),"Beleg / Verwendung klären","vollständig erfasst")))))))))</x:f>
      </x:c>
    </x:row>
    <x:row r="1265" ht="22" customHeight="1">
      <x:c r="A1265" s="7"/>
      <x:c r="B1265" s="8"/>
      <x:c r="C1265" s="7"/>
      <x:c r="D1265" s="7"/>
      <x:c r="E1265" s="7"/>
      <x:c r="F1265" s="20"/>
      <x:c r="G1265" s="7"/>
      <x:c r="H1265" s="7"/>
      <x:c r="I1265" s="7"/>
      <x:c r="J1265" s="7"/>
      <x:c r="K1265" s="7"/>
      <x:c r="L1265" s="7"/>
      <x:c r="M1265" s="7"/>
      <x:c r="N1265" s="7"/>
      <x:c r="O1265" s="2" t="str">
        <x:f>IF(A1265="","",IF(COUNTIFS($A$7:$A$1506,A1265)&gt;1,"Buchung-ID doppelt",IF(OR(NOT(ISNUMBER(B1265)),C1265="",NOT(ISNUMBER(F1265)),H1265="",L1265=""),"Pflichtangaben fehlen",IF(COUNTIFS('Konten'!$A$7:$A$26,C1265)&lt;&gt;1,"Konto nicht eindeutig",IF(J1265&lt;&gt;"Ja","Zuordnung bestätigen",IF(OR(AND(H1265="Einnahme",F1265&lt;0),AND(H1265="Ausgabe",F1265&gt;0)),"Vorzeichen prüfen",IF(AND(H1265="Umbuchung",OR(K1265="",COUNTIFS($A$7:$A$1506,K1265)&lt;&gt;1)),"Gegenbuchung fehlt",IF(AND(H1265="Umbuchung",ROUND(SUMIFS($F$7:$F$1506,$A$7:$A$1506,K1265)+F1265,2)&lt;&gt;0),"Umbuchung abweichend",IF(OR(G1265="",M1265="",M1265="offen",M1265="teilbelegt",H1265="Ungeklärt",H1265="Bargeld"),"Beleg / Verwendung klären","vollständig erfasst")))))))))</x:f>
      </x:c>
    </x:row>
    <x:row r="1266" ht="22" customHeight="1">
      <x:c r="A1266" s="7"/>
      <x:c r="B1266" s="8"/>
      <x:c r="C1266" s="7"/>
      <x:c r="D1266" s="7"/>
      <x:c r="E1266" s="7"/>
      <x:c r="F1266" s="20"/>
      <x:c r="G1266" s="7"/>
      <x:c r="H1266" s="7"/>
      <x:c r="I1266" s="7"/>
      <x:c r="J1266" s="7"/>
      <x:c r="K1266" s="7"/>
      <x:c r="L1266" s="7"/>
      <x:c r="M1266" s="7"/>
      <x:c r="N1266" s="7"/>
      <x:c r="O1266" s="2" t="str">
        <x:f>IF(A1266="","",IF(COUNTIFS($A$7:$A$1506,A1266)&gt;1,"Buchung-ID doppelt",IF(OR(NOT(ISNUMBER(B1266)),C1266="",NOT(ISNUMBER(F1266)),H1266="",L1266=""),"Pflichtangaben fehlen",IF(COUNTIFS('Konten'!$A$7:$A$26,C1266)&lt;&gt;1,"Konto nicht eindeutig",IF(J1266&lt;&gt;"Ja","Zuordnung bestätigen",IF(OR(AND(H1266="Einnahme",F1266&lt;0),AND(H1266="Ausgabe",F1266&gt;0)),"Vorzeichen prüfen",IF(AND(H1266="Umbuchung",OR(K1266="",COUNTIFS($A$7:$A$1506,K1266)&lt;&gt;1)),"Gegenbuchung fehlt",IF(AND(H1266="Umbuchung",ROUND(SUMIFS($F$7:$F$1506,$A$7:$A$1506,K1266)+F1266,2)&lt;&gt;0),"Umbuchung abweichend",IF(OR(G1266="",M1266="",M1266="offen",M1266="teilbelegt",H1266="Ungeklärt",H1266="Bargeld"),"Beleg / Verwendung klären","vollständig erfasst")))))))))</x:f>
      </x:c>
    </x:row>
    <x:row r="1267" ht="22" customHeight="1">
      <x:c r="A1267" s="7"/>
      <x:c r="B1267" s="8"/>
      <x:c r="C1267" s="7"/>
      <x:c r="D1267" s="7"/>
      <x:c r="E1267" s="7"/>
      <x:c r="F1267" s="20"/>
      <x:c r="G1267" s="7"/>
      <x:c r="H1267" s="7"/>
      <x:c r="I1267" s="7"/>
      <x:c r="J1267" s="7"/>
      <x:c r="K1267" s="7"/>
      <x:c r="L1267" s="7"/>
      <x:c r="M1267" s="7"/>
      <x:c r="N1267" s="7"/>
      <x:c r="O1267" s="2" t="str">
        <x:f>IF(A1267="","",IF(COUNTIFS($A$7:$A$1506,A1267)&gt;1,"Buchung-ID doppelt",IF(OR(NOT(ISNUMBER(B1267)),C1267="",NOT(ISNUMBER(F1267)),H1267="",L1267=""),"Pflichtangaben fehlen",IF(COUNTIFS('Konten'!$A$7:$A$26,C1267)&lt;&gt;1,"Konto nicht eindeutig",IF(J1267&lt;&gt;"Ja","Zuordnung bestätigen",IF(OR(AND(H1267="Einnahme",F1267&lt;0),AND(H1267="Ausgabe",F1267&gt;0)),"Vorzeichen prüfen",IF(AND(H1267="Umbuchung",OR(K1267="",COUNTIFS($A$7:$A$1506,K1267)&lt;&gt;1)),"Gegenbuchung fehlt",IF(AND(H1267="Umbuchung",ROUND(SUMIFS($F$7:$F$1506,$A$7:$A$1506,K1267)+F1267,2)&lt;&gt;0),"Umbuchung abweichend",IF(OR(G1267="",M1267="",M1267="offen",M1267="teilbelegt",H1267="Ungeklärt",H1267="Bargeld"),"Beleg / Verwendung klären","vollständig erfasst")))))))))</x:f>
      </x:c>
    </x:row>
    <x:row r="1268" ht="22" customHeight="1">
      <x:c r="A1268" s="7"/>
      <x:c r="B1268" s="8"/>
      <x:c r="C1268" s="7"/>
      <x:c r="D1268" s="7"/>
      <x:c r="E1268" s="7"/>
      <x:c r="F1268" s="20"/>
      <x:c r="G1268" s="7"/>
      <x:c r="H1268" s="7"/>
      <x:c r="I1268" s="7"/>
      <x:c r="J1268" s="7"/>
      <x:c r="K1268" s="7"/>
      <x:c r="L1268" s="7"/>
      <x:c r="M1268" s="7"/>
      <x:c r="N1268" s="7"/>
      <x:c r="O1268" s="2" t="str">
        <x:f>IF(A1268="","",IF(COUNTIFS($A$7:$A$1506,A1268)&gt;1,"Buchung-ID doppelt",IF(OR(NOT(ISNUMBER(B1268)),C1268="",NOT(ISNUMBER(F1268)),H1268="",L1268=""),"Pflichtangaben fehlen",IF(COUNTIFS('Konten'!$A$7:$A$26,C1268)&lt;&gt;1,"Konto nicht eindeutig",IF(J1268&lt;&gt;"Ja","Zuordnung bestätigen",IF(OR(AND(H1268="Einnahme",F1268&lt;0),AND(H1268="Ausgabe",F1268&gt;0)),"Vorzeichen prüfen",IF(AND(H1268="Umbuchung",OR(K1268="",COUNTIFS($A$7:$A$1506,K1268)&lt;&gt;1)),"Gegenbuchung fehlt",IF(AND(H1268="Umbuchung",ROUND(SUMIFS($F$7:$F$1506,$A$7:$A$1506,K1268)+F1268,2)&lt;&gt;0),"Umbuchung abweichend",IF(OR(G1268="",M1268="",M1268="offen",M1268="teilbelegt",H1268="Ungeklärt",H1268="Bargeld"),"Beleg / Verwendung klären","vollständig erfasst")))))))))</x:f>
      </x:c>
    </x:row>
    <x:row r="1269" ht="22" customHeight="1">
      <x:c r="A1269" s="7"/>
      <x:c r="B1269" s="8"/>
      <x:c r="C1269" s="7"/>
      <x:c r="D1269" s="7"/>
      <x:c r="E1269" s="7"/>
      <x:c r="F1269" s="20"/>
      <x:c r="G1269" s="7"/>
      <x:c r="H1269" s="7"/>
      <x:c r="I1269" s="7"/>
      <x:c r="J1269" s="7"/>
      <x:c r="K1269" s="7"/>
      <x:c r="L1269" s="7"/>
      <x:c r="M1269" s="7"/>
      <x:c r="N1269" s="7"/>
      <x:c r="O1269" s="2" t="str">
        <x:f>IF(A1269="","",IF(COUNTIFS($A$7:$A$1506,A1269)&gt;1,"Buchung-ID doppelt",IF(OR(NOT(ISNUMBER(B1269)),C1269="",NOT(ISNUMBER(F1269)),H1269="",L1269=""),"Pflichtangaben fehlen",IF(COUNTIFS('Konten'!$A$7:$A$26,C1269)&lt;&gt;1,"Konto nicht eindeutig",IF(J1269&lt;&gt;"Ja","Zuordnung bestätigen",IF(OR(AND(H1269="Einnahme",F1269&lt;0),AND(H1269="Ausgabe",F1269&gt;0)),"Vorzeichen prüfen",IF(AND(H1269="Umbuchung",OR(K1269="",COUNTIFS($A$7:$A$1506,K1269)&lt;&gt;1)),"Gegenbuchung fehlt",IF(AND(H1269="Umbuchung",ROUND(SUMIFS($F$7:$F$1506,$A$7:$A$1506,K1269)+F1269,2)&lt;&gt;0),"Umbuchung abweichend",IF(OR(G1269="",M1269="",M1269="offen",M1269="teilbelegt",H1269="Ungeklärt",H1269="Bargeld"),"Beleg / Verwendung klären","vollständig erfasst")))))))))</x:f>
      </x:c>
    </x:row>
    <x:row r="1270" ht="22" customHeight="1">
      <x:c r="A1270" s="7"/>
      <x:c r="B1270" s="8"/>
      <x:c r="C1270" s="7"/>
      <x:c r="D1270" s="7"/>
      <x:c r="E1270" s="7"/>
      <x:c r="F1270" s="20"/>
      <x:c r="G1270" s="7"/>
      <x:c r="H1270" s="7"/>
      <x:c r="I1270" s="7"/>
      <x:c r="J1270" s="7"/>
      <x:c r="K1270" s="7"/>
      <x:c r="L1270" s="7"/>
      <x:c r="M1270" s="7"/>
      <x:c r="N1270" s="7"/>
      <x:c r="O1270" s="2" t="str">
        <x:f>IF(A1270="","",IF(COUNTIFS($A$7:$A$1506,A1270)&gt;1,"Buchung-ID doppelt",IF(OR(NOT(ISNUMBER(B1270)),C1270="",NOT(ISNUMBER(F1270)),H1270="",L1270=""),"Pflichtangaben fehlen",IF(COUNTIFS('Konten'!$A$7:$A$26,C1270)&lt;&gt;1,"Konto nicht eindeutig",IF(J1270&lt;&gt;"Ja","Zuordnung bestätigen",IF(OR(AND(H1270="Einnahme",F1270&lt;0),AND(H1270="Ausgabe",F1270&gt;0)),"Vorzeichen prüfen",IF(AND(H1270="Umbuchung",OR(K1270="",COUNTIFS($A$7:$A$1506,K1270)&lt;&gt;1)),"Gegenbuchung fehlt",IF(AND(H1270="Umbuchung",ROUND(SUMIFS($F$7:$F$1506,$A$7:$A$1506,K1270)+F1270,2)&lt;&gt;0),"Umbuchung abweichend",IF(OR(G1270="",M1270="",M1270="offen",M1270="teilbelegt",H1270="Ungeklärt",H1270="Bargeld"),"Beleg / Verwendung klären","vollständig erfasst")))))))))</x:f>
      </x:c>
    </x:row>
    <x:row r="1271" ht="22" customHeight="1">
      <x:c r="A1271" s="7"/>
      <x:c r="B1271" s="8"/>
      <x:c r="C1271" s="7"/>
      <x:c r="D1271" s="7"/>
      <x:c r="E1271" s="7"/>
      <x:c r="F1271" s="20"/>
      <x:c r="G1271" s="7"/>
      <x:c r="H1271" s="7"/>
      <x:c r="I1271" s="7"/>
      <x:c r="J1271" s="7"/>
      <x:c r="K1271" s="7"/>
      <x:c r="L1271" s="7"/>
      <x:c r="M1271" s="7"/>
      <x:c r="N1271" s="7"/>
      <x:c r="O1271" s="2" t="str">
        <x:f>IF(A1271="","",IF(COUNTIFS($A$7:$A$1506,A1271)&gt;1,"Buchung-ID doppelt",IF(OR(NOT(ISNUMBER(B1271)),C1271="",NOT(ISNUMBER(F1271)),H1271="",L1271=""),"Pflichtangaben fehlen",IF(COUNTIFS('Konten'!$A$7:$A$26,C1271)&lt;&gt;1,"Konto nicht eindeutig",IF(J1271&lt;&gt;"Ja","Zuordnung bestätigen",IF(OR(AND(H1271="Einnahme",F1271&lt;0),AND(H1271="Ausgabe",F1271&gt;0)),"Vorzeichen prüfen",IF(AND(H1271="Umbuchung",OR(K1271="",COUNTIFS($A$7:$A$1506,K1271)&lt;&gt;1)),"Gegenbuchung fehlt",IF(AND(H1271="Umbuchung",ROUND(SUMIFS($F$7:$F$1506,$A$7:$A$1506,K1271)+F1271,2)&lt;&gt;0),"Umbuchung abweichend",IF(OR(G1271="",M1271="",M1271="offen",M1271="teilbelegt",H1271="Ungeklärt",H1271="Bargeld"),"Beleg / Verwendung klären","vollständig erfasst")))))))))</x:f>
      </x:c>
    </x:row>
    <x:row r="1272" ht="22" customHeight="1">
      <x:c r="A1272" s="7"/>
      <x:c r="B1272" s="8"/>
      <x:c r="C1272" s="7"/>
      <x:c r="D1272" s="7"/>
      <x:c r="E1272" s="7"/>
      <x:c r="F1272" s="20"/>
      <x:c r="G1272" s="7"/>
      <x:c r="H1272" s="7"/>
      <x:c r="I1272" s="7"/>
      <x:c r="J1272" s="7"/>
      <x:c r="K1272" s="7"/>
      <x:c r="L1272" s="7"/>
      <x:c r="M1272" s="7"/>
      <x:c r="N1272" s="7"/>
      <x:c r="O1272" s="2" t="str">
        <x:f>IF(A1272="","",IF(COUNTIFS($A$7:$A$1506,A1272)&gt;1,"Buchung-ID doppelt",IF(OR(NOT(ISNUMBER(B1272)),C1272="",NOT(ISNUMBER(F1272)),H1272="",L1272=""),"Pflichtangaben fehlen",IF(COUNTIFS('Konten'!$A$7:$A$26,C1272)&lt;&gt;1,"Konto nicht eindeutig",IF(J1272&lt;&gt;"Ja","Zuordnung bestätigen",IF(OR(AND(H1272="Einnahme",F1272&lt;0),AND(H1272="Ausgabe",F1272&gt;0)),"Vorzeichen prüfen",IF(AND(H1272="Umbuchung",OR(K1272="",COUNTIFS($A$7:$A$1506,K1272)&lt;&gt;1)),"Gegenbuchung fehlt",IF(AND(H1272="Umbuchung",ROUND(SUMIFS($F$7:$F$1506,$A$7:$A$1506,K1272)+F1272,2)&lt;&gt;0),"Umbuchung abweichend",IF(OR(G1272="",M1272="",M1272="offen",M1272="teilbelegt",H1272="Ungeklärt",H1272="Bargeld"),"Beleg / Verwendung klären","vollständig erfasst")))))))))</x:f>
      </x:c>
    </x:row>
    <x:row r="1273" ht="22" customHeight="1">
      <x:c r="A1273" s="7"/>
      <x:c r="B1273" s="8"/>
      <x:c r="C1273" s="7"/>
      <x:c r="D1273" s="7"/>
      <x:c r="E1273" s="7"/>
      <x:c r="F1273" s="20"/>
      <x:c r="G1273" s="7"/>
      <x:c r="H1273" s="7"/>
      <x:c r="I1273" s="7"/>
      <x:c r="J1273" s="7"/>
      <x:c r="K1273" s="7"/>
      <x:c r="L1273" s="7"/>
      <x:c r="M1273" s="7"/>
      <x:c r="N1273" s="7"/>
      <x:c r="O1273" s="2" t="str">
        <x:f>IF(A1273="","",IF(COUNTIFS($A$7:$A$1506,A1273)&gt;1,"Buchung-ID doppelt",IF(OR(NOT(ISNUMBER(B1273)),C1273="",NOT(ISNUMBER(F1273)),H1273="",L1273=""),"Pflichtangaben fehlen",IF(COUNTIFS('Konten'!$A$7:$A$26,C1273)&lt;&gt;1,"Konto nicht eindeutig",IF(J1273&lt;&gt;"Ja","Zuordnung bestätigen",IF(OR(AND(H1273="Einnahme",F1273&lt;0),AND(H1273="Ausgabe",F1273&gt;0)),"Vorzeichen prüfen",IF(AND(H1273="Umbuchung",OR(K1273="",COUNTIFS($A$7:$A$1506,K1273)&lt;&gt;1)),"Gegenbuchung fehlt",IF(AND(H1273="Umbuchung",ROUND(SUMIFS($F$7:$F$1506,$A$7:$A$1506,K1273)+F1273,2)&lt;&gt;0),"Umbuchung abweichend",IF(OR(G1273="",M1273="",M1273="offen",M1273="teilbelegt",H1273="Ungeklärt",H1273="Bargeld"),"Beleg / Verwendung klären","vollständig erfasst")))))))))</x:f>
      </x:c>
    </x:row>
    <x:row r="1274" ht="22" customHeight="1">
      <x:c r="A1274" s="7"/>
      <x:c r="B1274" s="8"/>
      <x:c r="C1274" s="7"/>
      <x:c r="D1274" s="7"/>
      <x:c r="E1274" s="7"/>
      <x:c r="F1274" s="20"/>
      <x:c r="G1274" s="7"/>
      <x:c r="H1274" s="7"/>
      <x:c r="I1274" s="7"/>
      <x:c r="J1274" s="7"/>
      <x:c r="K1274" s="7"/>
      <x:c r="L1274" s="7"/>
      <x:c r="M1274" s="7"/>
      <x:c r="N1274" s="7"/>
      <x:c r="O1274" s="2" t="str">
        <x:f>IF(A1274="","",IF(COUNTIFS($A$7:$A$1506,A1274)&gt;1,"Buchung-ID doppelt",IF(OR(NOT(ISNUMBER(B1274)),C1274="",NOT(ISNUMBER(F1274)),H1274="",L1274=""),"Pflichtangaben fehlen",IF(COUNTIFS('Konten'!$A$7:$A$26,C1274)&lt;&gt;1,"Konto nicht eindeutig",IF(J1274&lt;&gt;"Ja","Zuordnung bestätigen",IF(OR(AND(H1274="Einnahme",F1274&lt;0),AND(H1274="Ausgabe",F1274&gt;0)),"Vorzeichen prüfen",IF(AND(H1274="Umbuchung",OR(K1274="",COUNTIFS($A$7:$A$1506,K1274)&lt;&gt;1)),"Gegenbuchung fehlt",IF(AND(H1274="Umbuchung",ROUND(SUMIFS($F$7:$F$1506,$A$7:$A$1506,K1274)+F1274,2)&lt;&gt;0),"Umbuchung abweichend",IF(OR(G1274="",M1274="",M1274="offen",M1274="teilbelegt",H1274="Ungeklärt",H1274="Bargeld"),"Beleg / Verwendung klären","vollständig erfasst")))))))))</x:f>
      </x:c>
    </x:row>
    <x:row r="1275" ht="22" customHeight="1">
      <x:c r="A1275" s="7"/>
      <x:c r="B1275" s="8"/>
      <x:c r="C1275" s="7"/>
      <x:c r="D1275" s="7"/>
      <x:c r="E1275" s="7"/>
      <x:c r="F1275" s="20"/>
      <x:c r="G1275" s="7"/>
      <x:c r="H1275" s="7"/>
      <x:c r="I1275" s="7"/>
      <x:c r="J1275" s="7"/>
      <x:c r="K1275" s="7"/>
      <x:c r="L1275" s="7"/>
      <x:c r="M1275" s="7"/>
      <x:c r="N1275" s="7"/>
      <x:c r="O1275" s="2" t="str">
        <x:f>IF(A1275="","",IF(COUNTIFS($A$7:$A$1506,A1275)&gt;1,"Buchung-ID doppelt",IF(OR(NOT(ISNUMBER(B1275)),C1275="",NOT(ISNUMBER(F1275)),H1275="",L1275=""),"Pflichtangaben fehlen",IF(COUNTIFS('Konten'!$A$7:$A$26,C1275)&lt;&gt;1,"Konto nicht eindeutig",IF(J1275&lt;&gt;"Ja","Zuordnung bestätigen",IF(OR(AND(H1275="Einnahme",F1275&lt;0),AND(H1275="Ausgabe",F1275&gt;0)),"Vorzeichen prüfen",IF(AND(H1275="Umbuchung",OR(K1275="",COUNTIFS($A$7:$A$1506,K1275)&lt;&gt;1)),"Gegenbuchung fehlt",IF(AND(H1275="Umbuchung",ROUND(SUMIFS($F$7:$F$1506,$A$7:$A$1506,K1275)+F1275,2)&lt;&gt;0),"Umbuchung abweichend",IF(OR(G1275="",M1275="",M1275="offen",M1275="teilbelegt",H1275="Ungeklärt",H1275="Bargeld"),"Beleg / Verwendung klären","vollständig erfasst")))))))))</x:f>
      </x:c>
    </x:row>
    <x:row r="1276" ht="22" customHeight="1">
      <x:c r="A1276" s="7"/>
      <x:c r="B1276" s="8"/>
      <x:c r="C1276" s="7"/>
      <x:c r="D1276" s="7"/>
      <x:c r="E1276" s="7"/>
      <x:c r="F1276" s="20"/>
      <x:c r="G1276" s="7"/>
      <x:c r="H1276" s="7"/>
      <x:c r="I1276" s="7"/>
      <x:c r="J1276" s="7"/>
      <x:c r="K1276" s="7"/>
      <x:c r="L1276" s="7"/>
      <x:c r="M1276" s="7"/>
      <x:c r="N1276" s="7"/>
      <x:c r="O1276" s="2" t="str">
        <x:f>IF(A1276="","",IF(COUNTIFS($A$7:$A$1506,A1276)&gt;1,"Buchung-ID doppelt",IF(OR(NOT(ISNUMBER(B1276)),C1276="",NOT(ISNUMBER(F1276)),H1276="",L1276=""),"Pflichtangaben fehlen",IF(COUNTIFS('Konten'!$A$7:$A$26,C1276)&lt;&gt;1,"Konto nicht eindeutig",IF(J1276&lt;&gt;"Ja","Zuordnung bestätigen",IF(OR(AND(H1276="Einnahme",F1276&lt;0),AND(H1276="Ausgabe",F1276&gt;0)),"Vorzeichen prüfen",IF(AND(H1276="Umbuchung",OR(K1276="",COUNTIFS($A$7:$A$1506,K1276)&lt;&gt;1)),"Gegenbuchung fehlt",IF(AND(H1276="Umbuchung",ROUND(SUMIFS($F$7:$F$1506,$A$7:$A$1506,K1276)+F1276,2)&lt;&gt;0),"Umbuchung abweichend",IF(OR(G1276="",M1276="",M1276="offen",M1276="teilbelegt",H1276="Ungeklärt",H1276="Bargeld"),"Beleg / Verwendung klären","vollständig erfasst")))))))))</x:f>
      </x:c>
    </x:row>
    <x:row r="1277" ht="22" customHeight="1">
      <x:c r="A1277" s="7"/>
      <x:c r="B1277" s="8"/>
      <x:c r="C1277" s="7"/>
      <x:c r="D1277" s="7"/>
      <x:c r="E1277" s="7"/>
      <x:c r="F1277" s="20"/>
      <x:c r="G1277" s="7"/>
      <x:c r="H1277" s="7"/>
      <x:c r="I1277" s="7"/>
      <x:c r="J1277" s="7"/>
      <x:c r="K1277" s="7"/>
      <x:c r="L1277" s="7"/>
      <x:c r="M1277" s="7"/>
      <x:c r="N1277" s="7"/>
      <x:c r="O1277" s="2" t="str">
        <x:f>IF(A1277="","",IF(COUNTIFS($A$7:$A$1506,A1277)&gt;1,"Buchung-ID doppelt",IF(OR(NOT(ISNUMBER(B1277)),C1277="",NOT(ISNUMBER(F1277)),H1277="",L1277=""),"Pflichtangaben fehlen",IF(COUNTIFS('Konten'!$A$7:$A$26,C1277)&lt;&gt;1,"Konto nicht eindeutig",IF(J1277&lt;&gt;"Ja","Zuordnung bestätigen",IF(OR(AND(H1277="Einnahme",F1277&lt;0),AND(H1277="Ausgabe",F1277&gt;0)),"Vorzeichen prüfen",IF(AND(H1277="Umbuchung",OR(K1277="",COUNTIFS($A$7:$A$1506,K1277)&lt;&gt;1)),"Gegenbuchung fehlt",IF(AND(H1277="Umbuchung",ROUND(SUMIFS($F$7:$F$1506,$A$7:$A$1506,K1277)+F1277,2)&lt;&gt;0),"Umbuchung abweichend",IF(OR(G1277="",M1277="",M1277="offen",M1277="teilbelegt",H1277="Ungeklärt",H1277="Bargeld"),"Beleg / Verwendung klären","vollständig erfasst")))))))))</x:f>
      </x:c>
    </x:row>
    <x:row r="1278" ht="22" customHeight="1">
      <x:c r="A1278" s="7"/>
      <x:c r="B1278" s="8"/>
      <x:c r="C1278" s="7"/>
      <x:c r="D1278" s="7"/>
      <x:c r="E1278" s="7"/>
      <x:c r="F1278" s="20"/>
      <x:c r="G1278" s="7"/>
      <x:c r="H1278" s="7"/>
      <x:c r="I1278" s="7"/>
      <x:c r="J1278" s="7"/>
      <x:c r="K1278" s="7"/>
      <x:c r="L1278" s="7"/>
      <x:c r="M1278" s="7"/>
      <x:c r="N1278" s="7"/>
      <x:c r="O1278" s="2" t="str">
        <x:f>IF(A1278="","",IF(COUNTIFS($A$7:$A$1506,A1278)&gt;1,"Buchung-ID doppelt",IF(OR(NOT(ISNUMBER(B1278)),C1278="",NOT(ISNUMBER(F1278)),H1278="",L1278=""),"Pflichtangaben fehlen",IF(COUNTIFS('Konten'!$A$7:$A$26,C1278)&lt;&gt;1,"Konto nicht eindeutig",IF(J1278&lt;&gt;"Ja","Zuordnung bestätigen",IF(OR(AND(H1278="Einnahme",F1278&lt;0),AND(H1278="Ausgabe",F1278&gt;0)),"Vorzeichen prüfen",IF(AND(H1278="Umbuchung",OR(K1278="",COUNTIFS($A$7:$A$1506,K1278)&lt;&gt;1)),"Gegenbuchung fehlt",IF(AND(H1278="Umbuchung",ROUND(SUMIFS($F$7:$F$1506,$A$7:$A$1506,K1278)+F1278,2)&lt;&gt;0),"Umbuchung abweichend",IF(OR(G1278="",M1278="",M1278="offen",M1278="teilbelegt",H1278="Ungeklärt",H1278="Bargeld"),"Beleg / Verwendung klären","vollständig erfasst")))))))))</x:f>
      </x:c>
    </x:row>
    <x:row r="1279" ht="22" customHeight="1">
      <x:c r="A1279" s="7"/>
      <x:c r="B1279" s="8"/>
      <x:c r="C1279" s="7"/>
      <x:c r="D1279" s="7"/>
      <x:c r="E1279" s="7"/>
      <x:c r="F1279" s="20"/>
      <x:c r="G1279" s="7"/>
      <x:c r="H1279" s="7"/>
      <x:c r="I1279" s="7"/>
      <x:c r="J1279" s="7"/>
      <x:c r="K1279" s="7"/>
      <x:c r="L1279" s="7"/>
      <x:c r="M1279" s="7"/>
      <x:c r="N1279" s="7"/>
      <x:c r="O1279" s="2" t="str">
        <x:f>IF(A1279="","",IF(COUNTIFS($A$7:$A$1506,A1279)&gt;1,"Buchung-ID doppelt",IF(OR(NOT(ISNUMBER(B1279)),C1279="",NOT(ISNUMBER(F1279)),H1279="",L1279=""),"Pflichtangaben fehlen",IF(COUNTIFS('Konten'!$A$7:$A$26,C1279)&lt;&gt;1,"Konto nicht eindeutig",IF(J1279&lt;&gt;"Ja","Zuordnung bestätigen",IF(OR(AND(H1279="Einnahme",F1279&lt;0),AND(H1279="Ausgabe",F1279&gt;0)),"Vorzeichen prüfen",IF(AND(H1279="Umbuchung",OR(K1279="",COUNTIFS($A$7:$A$1506,K1279)&lt;&gt;1)),"Gegenbuchung fehlt",IF(AND(H1279="Umbuchung",ROUND(SUMIFS($F$7:$F$1506,$A$7:$A$1506,K1279)+F1279,2)&lt;&gt;0),"Umbuchung abweichend",IF(OR(G1279="",M1279="",M1279="offen",M1279="teilbelegt",H1279="Ungeklärt",H1279="Bargeld"),"Beleg / Verwendung klären","vollständig erfasst")))))))))</x:f>
      </x:c>
    </x:row>
    <x:row r="1280" ht="22" customHeight="1">
      <x:c r="A1280" s="7"/>
      <x:c r="B1280" s="8"/>
      <x:c r="C1280" s="7"/>
      <x:c r="D1280" s="7"/>
      <x:c r="E1280" s="7"/>
      <x:c r="F1280" s="20"/>
      <x:c r="G1280" s="7"/>
      <x:c r="H1280" s="7"/>
      <x:c r="I1280" s="7"/>
      <x:c r="J1280" s="7"/>
      <x:c r="K1280" s="7"/>
      <x:c r="L1280" s="7"/>
      <x:c r="M1280" s="7"/>
      <x:c r="N1280" s="7"/>
      <x:c r="O1280" s="2" t="str">
        <x:f>IF(A1280="","",IF(COUNTIFS($A$7:$A$1506,A1280)&gt;1,"Buchung-ID doppelt",IF(OR(NOT(ISNUMBER(B1280)),C1280="",NOT(ISNUMBER(F1280)),H1280="",L1280=""),"Pflichtangaben fehlen",IF(COUNTIFS('Konten'!$A$7:$A$26,C1280)&lt;&gt;1,"Konto nicht eindeutig",IF(J1280&lt;&gt;"Ja","Zuordnung bestätigen",IF(OR(AND(H1280="Einnahme",F1280&lt;0),AND(H1280="Ausgabe",F1280&gt;0)),"Vorzeichen prüfen",IF(AND(H1280="Umbuchung",OR(K1280="",COUNTIFS($A$7:$A$1506,K1280)&lt;&gt;1)),"Gegenbuchung fehlt",IF(AND(H1280="Umbuchung",ROUND(SUMIFS($F$7:$F$1506,$A$7:$A$1506,K1280)+F1280,2)&lt;&gt;0),"Umbuchung abweichend",IF(OR(G1280="",M1280="",M1280="offen",M1280="teilbelegt",H1280="Ungeklärt",H1280="Bargeld"),"Beleg / Verwendung klären","vollständig erfasst")))))))))</x:f>
      </x:c>
    </x:row>
    <x:row r="1281" ht="22" customHeight="1">
      <x:c r="A1281" s="7"/>
      <x:c r="B1281" s="8"/>
      <x:c r="C1281" s="7"/>
      <x:c r="D1281" s="7"/>
      <x:c r="E1281" s="7"/>
      <x:c r="F1281" s="20"/>
      <x:c r="G1281" s="7"/>
      <x:c r="H1281" s="7"/>
      <x:c r="I1281" s="7"/>
      <x:c r="J1281" s="7"/>
      <x:c r="K1281" s="7"/>
      <x:c r="L1281" s="7"/>
      <x:c r="M1281" s="7"/>
      <x:c r="N1281" s="7"/>
      <x:c r="O1281" s="2" t="str">
        <x:f>IF(A1281="","",IF(COUNTIFS($A$7:$A$1506,A1281)&gt;1,"Buchung-ID doppelt",IF(OR(NOT(ISNUMBER(B1281)),C1281="",NOT(ISNUMBER(F1281)),H1281="",L1281=""),"Pflichtangaben fehlen",IF(COUNTIFS('Konten'!$A$7:$A$26,C1281)&lt;&gt;1,"Konto nicht eindeutig",IF(J1281&lt;&gt;"Ja","Zuordnung bestätigen",IF(OR(AND(H1281="Einnahme",F1281&lt;0),AND(H1281="Ausgabe",F1281&gt;0)),"Vorzeichen prüfen",IF(AND(H1281="Umbuchung",OR(K1281="",COUNTIFS($A$7:$A$1506,K1281)&lt;&gt;1)),"Gegenbuchung fehlt",IF(AND(H1281="Umbuchung",ROUND(SUMIFS($F$7:$F$1506,$A$7:$A$1506,K1281)+F1281,2)&lt;&gt;0),"Umbuchung abweichend",IF(OR(G1281="",M1281="",M1281="offen",M1281="teilbelegt",H1281="Ungeklärt",H1281="Bargeld"),"Beleg / Verwendung klären","vollständig erfasst")))))))))</x:f>
      </x:c>
    </x:row>
    <x:row r="1282" ht="22" customHeight="1">
      <x:c r="A1282" s="7"/>
      <x:c r="B1282" s="8"/>
      <x:c r="C1282" s="7"/>
      <x:c r="D1282" s="7"/>
      <x:c r="E1282" s="7"/>
      <x:c r="F1282" s="20"/>
      <x:c r="G1282" s="7"/>
      <x:c r="H1282" s="7"/>
      <x:c r="I1282" s="7"/>
      <x:c r="J1282" s="7"/>
      <x:c r="K1282" s="7"/>
      <x:c r="L1282" s="7"/>
      <x:c r="M1282" s="7"/>
      <x:c r="N1282" s="7"/>
      <x:c r="O1282" s="2" t="str">
        <x:f>IF(A1282="","",IF(COUNTIFS($A$7:$A$1506,A1282)&gt;1,"Buchung-ID doppelt",IF(OR(NOT(ISNUMBER(B1282)),C1282="",NOT(ISNUMBER(F1282)),H1282="",L1282=""),"Pflichtangaben fehlen",IF(COUNTIFS('Konten'!$A$7:$A$26,C1282)&lt;&gt;1,"Konto nicht eindeutig",IF(J1282&lt;&gt;"Ja","Zuordnung bestätigen",IF(OR(AND(H1282="Einnahme",F1282&lt;0),AND(H1282="Ausgabe",F1282&gt;0)),"Vorzeichen prüfen",IF(AND(H1282="Umbuchung",OR(K1282="",COUNTIFS($A$7:$A$1506,K1282)&lt;&gt;1)),"Gegenbuchung fehlt",IF(AND(H1282="Umbuchung",ROUND(SUMIFS($F$7:$F$1506,$A$7:$A$1506,K1282)+F1282,2)&lt;&gt;0),"Umbuchung abweichend",IF(OR(G1282="",M1282="",M1282="offen",M1282="teilbelegt",H1282="Ungeklärt",H1282="Bargeld"),"Beleg / Verwendung klären","vollständig erfasst")))))))))</x:f>
      </x:c>
    </x:row>
    <x:row r="1283" ht="22" customHeight="1">
      <x:c r="A1283" s="7"/>
      <x:c r="B1283" s="8"/>
      <x:c r="C1283" s="7"/>
      <x:c r="D1283" s="7"/>
      <x:c r="E1283" s="7"/>
      <x:c r="F1283" s="20"/>
      <x:c r="G1283" s="7"/>
      <x:c r="H1283" s="7"/>
      <x:c r="I1283" s="7"/>
      <x:c r="J1283" s="7"/>
      <x:c r="K1283" s="7"/>
      <x:c r="L1283" s="7"/>
      <x:c r="M1283" s="7"/>
      <x:c r="N1283" s="7"/>
      <x:c r="O1283" s="2" t="str">
        <x:f>IF(A1283="","",IF(COUNTIFS($A$7:$A$1506,A1283)&gt;1,"Buchung-ID doppelt",IF(OR(NOT(ISNUMBER(B1283)),C1283="",NOT(ISNUMBER(F1283)),H1283="",L1283=""),"Pflichtangaben fehlen",IF(COUNTIFS('Konten'!$A$7:$A$26,C1283)&lt;&gt;1,"Konto nicht eindeutig",IF(J1283&lt;&gt;"Ja","Zuordnung bestätigen",IF(OR(AND(H1283="Einnahme",F1283&lt;0),AND(H1283="Ausgabe",F1283&gt;0)),"Vorzeichen prüfen",IF(AND(H1283="Umbuchung",OR(K1283="",COUNTIFS($A$7:$A$1506,K1283)&lt;&gt;1)),"Gegenbuchung fehlt",IF(AND(H1283="Umbuchung",ROUND(SUMIFS($F$7:$F$1506,$A$7:$A$1506,K1283)+F1283,2)&lt;&gt;0),"Umbuchung abweichend",IF(OR(G1283="",M1283="",M1283="offen",M1283="teilbelegt",H1283="Ungeklärt",H1283="Bargeld"),"Beleg / Verwendung klären","vollständig erfasst")))))))))</x:f>
      </x:c>
    </x:row>
    <x:row r="1284" ht="22" customHeight="1">
      <x:c r="A1284" s="7"/>
      <x:c r="B1284" s="8"/>
      <x:c r="C1284" s="7"/>
      <x:c r="D1284" s="7"/>
      <x:c r="E1284" s="7"/>
      <x:c r="F1284" s="20"/>
      <x:c r="G1284" s="7"/>
      <x:c r="H1284" s="7"/>
      <x:c r="I1284" s="7"/>
      <x:c r="J1284" s="7"/>
      <x:c r="K1284" s="7"/>
      <x:c r="L1284" s="7"/>
      <x:c r="M1284" s="7"/>
      <x:c r="N1284" s="7"/>
      <x:c r="O1284" s="2" t="str">
        <x:f>IF(A1284="","",IF(COUNTIFS($A$7:$A$1506,A1284)&gt;1,"Buchung-ID doppelt",IF(OR(NOT(ISNUMBER(B1284)),C1284="",NOT(ISNUMBER(F1284)),H1284="",L1284=""),"Pflichtangaben fehlen",IF(COUNTIFS('Konten'!$A$7:$A$26,C1284)&lt;&gt;1,"Konto nicht eindeutig",IF(J1284&lt;&gt;"Ja","Zuordnung bestätigen",IF(OR(AND(H1284="Einnahme",F1284&lt;0),AND(H1284="Ausgabe",F1284&gt;0)),"Vorzeichen prüfen",IF(AND(H1284="Umbuchung",OR(K1284="",COUNTIFS($A$7:$A$1506,K1284)&lt;&gt;1)),"Gegenbuchung fehlt",IF(AND(H1284="Umbuchung",ROUND(SUMIFS($F$7:$F$1506,$A$7:$A$1506,K1284)+F1284,2)&lt;&gt;0),"Umbuchung abweichend",IF(OR(G1284="",M1284="",M1284="offen",M1284="teilbelegt",H1284="Ungeklärt",H1284="Bargeld"),"Beleg / Verwendung klären","vollständig erfasst")))))))))</x:f>
      </x:c>
    </x:row>
    <x:row r="1285" ht="22" customHeight="1">
      <x:c r="A1285" s="7"/>
      <x:c r="B1285" s="8"/>
      <x:c r="C1285" s="7"/>
      <x:c r="D1285" s="7"/>
      <x:c r="E1285" s="7"/>
      <x:c r="F1285" s="20"/>
      <x:c r="G1285" s="7"/>
      <x:c r="H1285" s="7"/>
      <x:c r="I1285" s="7"/>
      <x:c r="J1285" s="7"/>
      <x:c r="K1285" s="7"/>
      <x:c r="L1285" s="7"/>
      <x:c r="M1285" s="7"/>
      <x:c r="N1285" s="7"/>
      <x:c r="O1285" s="2" t="str">
        <x:f>IF(A1285="","",IF(COUNTIFS($A$7:$A$1506,A1285)&gt;1,"Buchung-ID doppelt",IF(OR(NOT(ISNUMBER(B1285)),C1285="",NOT(ISNUMBER(F1285)),H1285="",L1285=""),"Pflichtangaben fehlen",IF(COUNTIFS('Konten'!$A$7:$A$26,C1285)&lt;&gt;1,"Konto nicht eindeutig",IF(J1285&lt;&gt;"Ja","Zuordnung bestätigen",IF(OR(AND(H1285="Einnahme",F1285&lt;0),AND(H1285="Ausgabe",F1285&gt;0)),"Vorzeichen prüfen",IF(AND(H1285="Umbuchung",OR(K1285="",COUNTIFS($A$7:$A$1506,K1285)&lt;&gt;1)),"Gegenbuchung fehlt",IF(AND(H1285="Umbuchung",ROUND(SUMIFS($F$7:$F$1506,$A$7:$A$1506,K1285)+F1285,2)&lt;&gt;0),"Umbuchung abweichend",IF(OR(G1285="",M1285="",M1285="offen",M1285="teilbelegt",H1285="Ungeklärt",H1285="Bargeld"),"Beleg / Verwendung klären","vollständig erfasst")))))))))</x:f>
      </x:c>
    </x:row>
    <x:row r="1286" ht="22" customHeight="1">
      <x:c r="A1286" s="7"/>
      <x:c r="B1286" s="8"/>
      <x:c r="C1286" s="7"/>
      <x:c r="D1286" s="7"/>
      <x:c r="E1286" s="7"/>
      <x:c r="F1286" s="20"/>
      <x:c r="G1286" s="7"/>
      <x:c r="H1286" s="7"/>
      <x:c r="I1286" s="7"/>
      <x:c r="J1286" s="7"/>
      <x:c r="K1286" s="7"/>
      <x:c r="L1286" s="7"/>
      <x:c r="M1286" s="7"/>
      <x:c r="N1286" s="7"/>
      <x:c r="O1286" s="2" t="str">
        <x:f>IF(A1286="","",IF(COUNTIFS($A$7:$A$1506,A1286)&gt;1,"Buchung-ID doppelt",IF(OR(NOT(ISNUMBER(B1286)),C1286="",NOT(ISNUMBER(F1286)),H1286="",L1286=""),"Pflichtangaben fehlen",IF(COUNTIFS('Konten'!$A$7:$A$26,C1286)&lt;&gt;1,"Konto nicht eindeutig",IF(J1286&lt;&gt;"Ja","Zuordnung bestätigen",IF(OR(AND(H1286="Einnahme",F1286&lt;0),AND(H1286="Ausgabe",F1286&gt;0)),"Vorzeichen prüfen",IF(AND(H1286="Umbuchung",OR(K1286="",COUNTIFS($A$7:$A$1506,K1286)&lt;&gt;1)),"Gegenbuchung fehlt",IF(AND(H1286="Umbuchung",ROUND(SUMIFS($F$7:$F$1506,$A$7:$A$1506,K1286)+F1286,2)&lt;&gt;0),"Umbuchung abweichend",IF(OR(G1286="",M1286="",M1286="offen",M1286="teilbelegt",H1286="Ungeklärt",H1286="Bargeld"),"Beleg / Verwendung klären","vollständig erfasst")))))))))</x:f>
      </x:c>
    </x:row>
    <x:row r="1287" ht="22" customHeight="1">
      <x:c r="A1287" s="7"/>
      <x:c r="B1287" s="8"/>
      <x:c r="C1287" s="7"/>
      <x:c r="D1287" s="7"/>
      <x:c r="E1287" s="7"/>
      <x:c r="F1287" s="20"/>
      <x:c r="G1287" s="7"/>
      <x:c r="H1287" s="7"/>
      <x:c r="I1287" s="7"/>
      <x:c r="J1287" s="7"/>
      <x:c r="K1287" s="7"/>
      <x:c r="L1287" s="7"/>
      <x:c r="M1287" s="7"/>
      <x:c r="N1287" s="7"/>
      <x:c r="O1287" s="2" t="str">
        <x:f>IF(A1287="","",IF(COUNTIFS($A$7:$A$1506,A1287)&gt;1,"Buchung-ID doppelt",IF(OR(NOT(ISNUMBER(B1287)),C1287="",NOT(ISNUMBER(F1287)),H1287="",L1287=""),"Pflichtangaben fehlen",IF(COUNTIFS('Konten'!$A$7:$A$26,C1287)&lt;&gt;1,"Konto nicht eindeutig",IF(J1287&lt;&gt;"Ja","Zuordnung bestätigen",IF(OR(AND(H1287="Einnahme",F1287&lt;0),AND(H1287="Ausgabe",F1287&gt;0)),"Vorzeichen prüfen",IF(AND(H1287="Umbuchung",OR(K1287="",COUNTIFS($A$7:$A$1506,K1287)&lt;&gt;1)),"Gegenbuchung fehlt",IF(AND(H1287="Umbuchung",ROUND(SUMIFS($F$7:$F$1506,$A$7:$A$1506,K1287)+F1287,2)&lt;&gt;0),"Umbuchung abweichend",IF(OR(G1287="",M1287="",M1287="offen",M1287="teilbelegt",H1287="Ungeklärt",H1287="Bargeld"),"Beleg / Verwendung klären","vollständig erfasst")))))))))</x:f>
      </x:c>
    </x:row>
    <x:row r="1288" ht="22" customHeight="1">
      <x:c r="A1288" s="7"/>
      <x:c r="B1288" s="8"/>
      <x:c r="C1288" s="7"/>
      <x:c r="D1288" s="7"/>
      <x:c r="E1288" s="7"/>
      <x:c r="F1288" s="20"/>
      <x:c r="G1288" s="7"/>
      <x:c r="H1288" s="7"/>
      <x:c r="I1288" s="7"/>
      <x:c r="J1288" s="7"/>
      <x:c r="K1288" s="7"/>
      <x:c r="L1288" s="7"/>
      <x:c r="M1288" s="7"/>
      <x:c r="N1288" s="7"/>
      <x:c r="O1288" s="2" t="str">
        <x:f>IF(A1288="","",IF(COUNTIFS($A$7:$A$1506,A1288)&gt;1,"Buchung-ID doppelt",IF(OR(NOT(ISNUMBER(B1288)),C1288="",NOT(ISNUMBER(F1288)),H1288="",L1288=""),"Pflichtangaben fehlen",IF(COUNTIFS('Konten'!$A$7:$A$26,C1288)&lt;&gt;1,"Konto nicht eindeutig",IF(J1288&lt;&gt;"Ja","Zuordnung bestätigen",IF(OR(AND(H1288="Einnahme",F1288&lt;0),AND(H1288="Ausgabe",F1288&gt;0)),"Vorzeichen prüfen",IF(AND(H1288="Umbuchung",OR(K1288="",COUNTIFS($A$7:$A$1506,K1288)&lt;&gt;1)),"Gegenbuchung fehlt",IF(AND(H1288="Umbuchung",ROUND(SUMIFS($F$7:$F$1506,$A$7:$A$1506,K1288)+F1288,2)&lt;&gt;0),"Umbuchung abweichend",IF(OR(G1288="",M1288="",M1288="offen",M1288="teilbelegt",H1288="Ungeklärt",H1288="Bargeld"),"Beleg / Verwendung klären","vollständig erfasst")))))))))</x:f>
      </x:c>
    </x:row>
    <x:row r="1289" ht="22" customHeight="1">
      <x:c r="A1289" s="7"/>
      <x:c r="B1289" s="8"/>
      <x:c r="C1289" s="7"/>
      <x:c r="D1289" s="7"/>
      <x:c r="E1289" s="7"/>
      <x:c r="F1289" s="20"/>
      <x:c r="G1289" s="7"/>
      <x:c r="H1289" s="7"/>
      <x:c r="I1289" s="7"/>
      <x:c r="J1289" s="7"/>
      <x:c r="K1289" s="7"/>
      <x:c r="L1289" s="7"/>
      <x:c r="M1289" s="7"/>
      <x:c r="N1289" s="7"/>
      <x:c r="O1289" s="2" t="str">
        <x:f>IF(A1289="","",IF(COUNTIFS($A$7:$A$1506,A1289)&gt;1,"Buchung-ID doppelt",IF(OR(NOT(ISNUMBER(B1289)),C1289="",NOT(ISNUMBER(F1289)),H1289="",L1289=""),"Pflichtangaben fehlen",IF(COUNTIFS('Konten'!$A$7:$A$26,C1289)&lt;&gt;1,"Konto nicht eindeutig",IF(J1289&lt;&gt;"Ja","Zuordnung bestätigen",IF(OR(AND(H1289="Einnahme",F1289&lt;0),AND(H1289="Ausgabe",F1289&gt;0)),"Vorzeichen prüfen",IF(AND(H1289="Umbuchung",OR(K1289="",COUNTIFS($A$7:$A$1506,K1289)&lt;&gt;1)),"Gegenbuchung fehlt",IF(AND(H1289="Umbuchung",ROUND(SUMIFS($F$7:$F$1506,$A$7:$A$1506,K1289)+F1289,2)&lt;&gt;0),"Umbuchung abweichend",IF(OR(G1289="",M1289="",M1289="offen",M1289="teilbelegt",H1289="Ungeklärt",H1289="Bargeld"),"Beleg / Verwendung klären","vollständig erfasst")))))))))</x:f>
      </x:c>
    </x:row>
    <x:row r="1290" ht="22" customHeight="1">
      <x:c r="A1290" s="7"/>
      <x:c r="B1290" s="8"/>
      <x:c r="C1290" s="7"/>
      <x:c r="D1290" s="7"/>
      <x:c r="E1290" s="7"/>
      <x:c r="F1290" s="20"/>
      <x:c r="G1290" s="7"/>
      <x:c r="H1290" s="7"/>
      <x:c r="I1290" s="7"/>
      <x:c r="J1290" s="7"/>
      <x:c r="K1290" s="7"/>
      <x:c r="L1290" s="7"/>
      <x:c r="M1290" s="7"/>
      <x:c r="N1290" s="7"/>
      <x:c r="O1290" s="2" t="str">
        <x:f>IF(A1290="","",IF(COUNTIFS($A$7:$A$1506,A1290)&gt;1,"Buchung-ID doppelt",IF(OR(NOT(ISNUMBER(B1290)),C1290="",NOT(ISNUMBER(F1290)),H1290="",L1290=""),"Pflichtangaben fehlen",IF(COUNTIFS('Konten'!$A$7:$A$26,C1290)&lt;&gt;1,"Konto nicht eindeutig",IF(J1290&lt;&gt;"Ja","Zuordnung bestätigen",IF(OR(AND(H1290="Einnahme",F1290&lt;0),AND(H1290="Ausgabe",F1290&gt;0)),"Vorzeichen prüfen",IF(AND(H1290="Umbuchung",OR(K1290="",COUNTIFS($A$7:$A$1506,K1290)&lt;&gt;1)),"Gegenbuchung fehlt",IF(AND(H1290="Umbuchung",ROUND(SUMIFS($F$7:$F$1506,$A$7:$A$1506,K1290)+F1290,2)&lt;&gt;0),"Umbuchung abweichend",IF(OR(G1290="",M1290="",M1290="offen",M1290="teilbelegt",H1290="Ungeklärt",H1290="Bargeld"),"Beleg / Verwendung klären","vollständig erfasst")))))))))</x:f>
      </x:c>
    </x:row>
    <x:row r="1291" ht="22" customHeight="1">
      <x:c r="A1291" s="7"/>
      <x:c r="B1291" s="8"/>
      <x:c r="C1291" s="7"/>
      <x:c r="D1291" s="7"/>
      <x:c r="E1291" s="7"/>
      <x:c r="F1291" s="20"/>
      <x:c r="G1291" s="7"/>
      <x:c r="H1291" s="7"/>
      <x:c r="I1291" s="7"/>
      <x:c r="J1291" s="7"/>
      <x:c r="K1291" s="7"/>
      <x:c r="L1291" s="7"/>
      <x:c r="M1291" s="7"/>
      <x:c r="N1291" s="7"/>
      <x:c r="O1291" s="2" t="str">
        <x:f>IF(A1291="","",IF(COUNTIFS($A$7:$A$1506,A1291)&gt;1,"Buchung-ID doppelt",IF(OR(NOT(ISNUMBER(B1291)),C1291="",NOT(ISNUMBER(F1291)),H1291="",L1291=""),"Pflichtangaben fehlen",IF(COUNTIFS('Konten'!$A$7:$A$26,C1291)&lt;&gt;1,"Konto nicht eindeutig",IF(J1291&lt;&gt;"Ja","Zuordnung bestätigen",IF(OR(AND(H1291="Einnahme",F1291&lt;0),AND(H1291="Ausgabe",F1291&gt;0)),"Vorzeichen prüfen",IF(AND(H1291="Umbuchung",OR(K1291="",COUNTIFS($A$7:$A$1506,K1291)&lt;&gt;1)),"Gegenbuchung fehlt",IF(AND(H1291="Umbuchung",ROUND(SUMIFS($F$7:$F$1506,$A$7:$A$1506,K1291)+F1291,2)&lt;&gt;0),"Umbuchung abweichend",IF(OR(G1291="",M1291="",M1291="offen",M1291="teilbelegt",H1291="Ungeklärt",H1291="Bargeld"),"Beleg / Verwendung klären","vollständig erfasst")))))))))</x:f>
      </x:c>
    </x:row>
    <x:row r="1292" ht="22" customHeight="1">
      <x:c r="A1292" s="7"/>
      <x:c r="B1292" s="8"/>
      <x:c r="C1292" s="7"/>
      <x:c r="D1292" s="7"/>
      <x:c r="E1292" s="7"/>
      <x:c r="F1292" s="20"/>
      <x:c r="G1292" s="7"/>
      <x:c r="H1292" s="7"/>
      <x:c r="I1292" s="7"/>
      <x:c r="J1292" s="7"/>
      <x:c r="K1292" s="7"/>
      <x:c r="L1292" s="7"/>
      <x:c r="M1292" s="7"/>
      <x:c r="N1292" s="7"/>
      <x:c r="O1292" s="2" t="str">
        <x:f>IF(A1292="","",IF(COUNTIFS($A$7:$A$1506,A1292)&gt;1,"Buchung-ID doppelt",IF(OR(NOT(ISNUMBER(B1292)),C1292="",NOT(ISNUMBER(F1292)),H1292="",L1292=""),"Pflichtangaben fehlen",IF(COUNTIFS('Konten'!$A$7:$A$26,C1292)&lt;&gt;1,"Konto nicht eindeutig",IF(J1292&lt;&gt;"Ja","Zuordnung bestätigen",IF(OR(AND(H1292="Einnahme",F1292&lt;0),AND(H1292="Ausgabe",F1292&gt;0)),"Vorzeichen prüfen",IF(AND(H1292="Umbuchung",OR(K1292="",COUNTIFS($A$7:$A$1506,K1292)&lt;&gt;1)),"Gegenbuchung fehlt",IF(AND(H1292="Umbuchung",ROUND(SUMIFS($F$7:$F$1506,$A$7:$A$1506,K1292)+F1292,2)&lt;&gt;0),"Umbuchung abweichend",IF(OR(G1292="",M1292="",M1292="offen",M1292="teilbelegt",H1292="Ungeklärt",H1292="Bargeld"),"Beleg / Verwendung klären","vollständig erfasst")))))))))</x:f>
      </x:c>
    </x:row>
    <x:row r="1293" ht="22" customHeight="1">
      <x:c r="A1293" s="7"/>
      <x:c r="B1293" s="8"/>
      <x:c r="C1293" s="7"/>
      <x:c r="D1293" s="7"/>
      <x:c r="E1293" s="7"/>
      <x:c r="F1293" s="20"/>
      <x:c r="G1293" s="7"/>
      <x:c r="H1293" s="7"/>
      <x:c r="I1293" s="7"/>
      <x:c r="J1293" s="7"/>
      <x:c r="K1293" s="7"/>
      <x:c r="L1293" s="7"/>
      <x:c r="M1293" s="7"/>
      <x:c r="N1293" s="7"/>
      <x:c r="O1293" s="2" t="str">
        <x:f>IF(A1293="","",IF(COUNTIFS($A$7:$A$1506,A1293)&gt;1,"Buchung-ID doppelt",IF(OR(NOT(ISNUMBER(B1293)),C1293="",NOT(ISNUMBER(F1293)),H1293="",L1293=""),"Pflichtangaben fehlen",IF(COUNTIFS('Konten'!$A$7:$A$26,C1293)&lt;&gt;1,"Konto nicht eindeutig",IF(J1293&lt;&gt;"Ja","Zuordnung bestätigen",IF(OR(AND(H1293="Einnahme",F1293&lt;0),AND(H1293="Ausgabe",F1293&gt;0)),"Vorzeichen prüfen",IF(AND(H1293="Umbuchung",OR(K1293="",COUNTIFS($A$7:$A$1506,K1293)&lt;&gt;1)),"Gegenbuchung fehlt",IF(AND(H1293="Umbuchung",ROUND(SUMIFS($F$7:$F$1506,$A$7:$A$1506,K1293)+F1293,2)&lt;&gt;0),"Umbuchung abweichend",IF(OR(G1293="",M1293="",M1293="offen",M1293="teilbelegt",H1293="Ungeklärt",H1293="Bargeld"),"Beleg / Verwendung klären","vollständig erfasst")))))))))</x:f>
      </x:c>
    </x:row>
    <x:row r="1294" ht="22" customHeight="1">
      <x:c r="A1294" s="7"/>
      <x:c r="B1294" s="8"/>
      <x:c r="C1294" s="7"/>
      <x:c r="D1294" s="7"/>
      <x:c r="E1294" s="7"/>
      <x:c r="F1294" s="20"/>
      <x:c r="G1294" s="7"/>
      <x:c r="H1294" s="7"/>
      <x:c r="I1294" s="7"/>
      <x:c r="J1294" s="7"/>
      <x:c r="K1294" s="7"/>
      <x:c r="L1294" s="7"/>
      <x:c r="M1294" s="7"/>
      <x:c r="N1294" s="7"/>
      <x:c r="O1294" s="2" t="str">
        <x:f>IF(A1294="","",IF(COUNTIFS($A$7:$A$1506,A1294)&gt;1,"Buchung-ID doppelt",IF(OR(NOT(ISNUMBER(B1294)),C1294="",NOT(ISNUMBER(F1294)),H1294="",L1294=""),"Pflichtangaben fehlen",IF(COUNTIFS('Konten'!$A$7:$A$26,C1294)&lt;&gt;1,"Konto nicht eindeutig",IF(J1294&lt;&gt;"Ja","Zuordnung bestätigen",IF(OR(AND(H1294="Einnahme",F1294&lt;0),AND(H1294="Ausgabe",F1294&gt;0)),"Vorzeichen prüfen",IF(AND(H1294="Umbuchung",OR(K1294="",COUNTIFS($A$7:$A$1506,K1294)&lt;&gt;1)),"Gegenbuchung fehlt",IF(AND(H1294="Umbuchung",ROUND(SUMIFS($F$7:$F$1506,$A$7:$A$1506,K1294)+F1294,2)&lt;&gt;0),"Umbuchung abweichend",IF(OR(G1294="",M1294="",M1294="offen",M1294="teilbelegt",H1294="Ungeklärt",H1294="Bargeld"),"Beleg / Verwendung klären","vollständig erfasst")))))))))</x:f>
      </x:c>
    </x:row>
    <x:row r="1295" ht="22" customHeight="1">
      <x:c r="A1295" s="7"/>
      <x:c r="B1295" s="8"/>
      <x:c r="C1295" s="7"/>
      <x:c r="D1295" s="7"/>
      <x:c r="E1295" s="7"/>
      <x:c r="F1295" s="20"/>
      <x:c r="G1295" s="7"/>
      <x:c r="H1295" s="7"/>
      <x:c r="I1295" s="7"/>
      <x:c r="J1295" s="7"/>
      <x:c r="K1295" s="7"/>
      <x:c r="L1295" s="7"/>
      <x:c r="M1295" s="7"/>
      <x:c r="N1295" s="7"/>
      <x:c r="O1295" s="2" t="str">
        <x:f>IF(A1295="","",IF(COUNTIFS($A$7:$A$1506,A1295)&gt;1,"Buchung-ID doppelt",IF(OR(NOT(ISNUMBER(B1295)),C1295="",NOT(ISNUMBER(F1295)),H1295="",L1295=""),"Pflichtangaben fehlen",IF(COUNTIFS('Konten'!$A$7:$A$26,C1295)&lt;&gt;1,"Konto nicht eindeutig",IF(J1295&lt;&gt;"Ja","Zuordnung bestätigen",IF(OR(AND(H1295="Einnahme",F1295&lt;0),AND(H1295="Ausgabe",F1295&gt;0)),"Vorzeichen prüfen",IF(AND(H1295="Umbuchung",OR(K1295="",COUNTIFS($A$7:$A$1506,K1295)&lt;&gt;1)),"Gegenbuchung fehlt",IF(AND(H1295="Umbuchung",ROUND(SUMIFS($F$7:$F$1506,$A$7:$A$1506,K1295)+F1295,2)&lt;&gt;0),"Umbuchung abweichend",IF(OR(G1295="",M1295="",M1295="offen",M1295="teilbelegt",H1295="Ungeklärt",H1295="Bargeld"),"Beleg / Verwendung klären","vollständig erfasst")))))))))</x:f>
      </x:c>
    </x:row>
    <x:row r="1296" ht="22" customHeight="1">
      <x:c r="A1296" s="7"/>
      <x:c r="B1296" s="8"/>
      <x:c r="C1296" s="7"/>
      <x:c r="D1296" s="7"/>
      <x:c r="E1296" s="7"/>
      <x:c r="F1296" s="20"/>
      <x:c r="G1296" s="7"/>
      <x:c r="H1296" s="7"/>
      <x:c r="I1296" s="7"/>
      <x:c r="J1296" s="7"/>
      <x:c r="K1296" s="7"/>
      <x:c r="L1296" s="7"/>
      <x:c r="M1296" s="7"/>
      <x:c r="N1296" s="7"/>
      <x:c r="O1296" s="2" t="str">
        <x:f>IF(A1296="","",IF(COUNTIFS($A$7:$A$1506,A1296)&gt;1,"Buchung-ID doppelt",IF(OR(NOT(ISNUMBER(B1296)),C1296="",NOT(ISNUMBER(F1296)),H1296="",L1296=""),"Pflichtangaben fehlen",IF(COUNTIFS('Konten'!$A$7:$A$26,C1296)&lt;&gt;1,"Konto nicht eindeutig",IF(J1296&lt;&gt;"Ja","Zuordnung bestätigen",IF(OR(AND(H1296="Einnahme",F1296&lt;0),AND(H1296="Ausgabe",F1296&gt;0)),"Vorzeichen prüfen",IF(AND(H1296="Umbuchung",OR(K1296="",COUNTIFS($A$7:$A$1506,K1296)&lt;&gt;1)),"Gegenbuchung fehlt",IF(AND(H1296="Umbuchung",ROUND(SUMIFS($F$7:$F$1506,$A$7:$A$1506,K1296)+F1296,2)&lt;&gt;0),"Umbuchung abweichend",IF(OR(G1296="",M1296="",M1296="offen",M1296="teilbelegt",H1296="Ungeklärt",H1296="Bargeld"),"Beleg / Verwendung klären","vollständig erfasst")))))))))</x:f>
      </x:c>
    </x:row>
    <x:row r="1297" ht="22" customHeight="1">
      <x:c r="A1297" s="7"/>
      <x:c r="B1297" s="8"/>
      <x:c r="C1297" s="7"/>
      <x:c r="D1297" s="7"/>
      <x:c r="E1297" s="7"/>
      <x:c r="F1297" s="20"/>
      <x:c r="G1297" s="7"/>
      <x:c r="H1297" s="7"/>
      <x:c r="I1297" s="7"/>
      <x:c r="J1297" s="7"/>
      <x:c r="K1297" s="7"/>
      <x:c r="L1297" s="7"/>
      <x:c r="M1297" s="7"/>
      <x:c r="N1297" s="7"/>
      <x:c r="O1297" s="2" t="str">
        <x:f>IF(A1297="","",IF(COUNTIFS($A$7:$A$1506,A1297)&gt;1,"Buchung-ID doppelt",IF(OR(NOT(ISNUMBER(B1297)),C1297="",NOT(ISNUMBER(F1297)),H1297="",L1297=""),"Pflichtangaben fehlen",IF(COUNTIFS('Konten'!$A$7:$A$26,C1297)&lt;&gt;1,"Konto nicht eindeutig",IF(J1297&lt;&gt;"Ja","Zuordnung bestätigen",IF(OR(AND(H1297="Einnahme",F1297&lt;0),AND(H1297="Ausgabe",F1297&gt;0)),"Vorzeichen prüfen",IF(AND(H1297="Umbuchung",OR(K1297="",COUNTIFS($A$7:$A$1506,K1297)&lt;&gt;1)),"Gegenbuchung fehlt",IF(AND(H1297="Umbuchung",ROUND(SUMIFS($F$7:$F$1506,$A$7:$A$1506,K1297)+F1297,2)&lt;&gt;0),"Umbuchung abweichend",IF(OR(G1297="",M1297="",M1297="offen",M1297="teilbelegt",H1297="Ungeklärt",H1297="Bargeld"),"Beleg / Verwendung klären","vollständig erfasst")))))))))</x:f>
      </x:c>
    </x:row>
    <x:row r="1298" ht="22" customHeight="1">
      <x:c r="A1298" s="7"/>
      <x:c r="B1298" s="8"/>
      <x:c r="C1298" s="7"/>
      <x:c r="D1298" s="7"/>
      <x:c r="E1298" s="7"/>
      <x:c r="F1298" s="20"/>
      <x:c r="G1298" s="7"/>
      <x:c r="H1298" s="7"/>
      <x:c r="I1298" s="7"/>
      <x:c r="J1298" s="7"/>
      <x:c r="K1298" s="7"/>
      <x:c r="L1298" s="7"/>
      <x:c r="M1298" s="7"/>
      <x:c r="N1298" s="7"/>
      <x:c r="O1298" s="2" t="str">
        <x:f>IF(A1298="","",IF(COUNTIFS($A$7:$A$1506,A1298)&gt;1,"Buchung-ID doppelt",IF(OR(NOT(ISNUMBER(B1298)),C1298="",NOT(ISNUMBER(F1298)),H1298="",L1298=""),"Pflichtangaben fehlen",IF(COUNTIFS('Konten'!$A$7:$A$26,C1298)&lt;&gt;1,"Konto nicht eindeutig",IF(J1298&lt;&gt;"Ja","Zuordnung bestätigen",IF(OR(AND(H1298="Einnahme",F1298&lt;0),AND(H1298="Ausgabe",F1298&gt;0)),"Vorzeichen prüfen",IF(AND(H1298="Umbuchung",OR(K1298="",COUNTIFS($A$7:$A$1506,K1298)&lt;&gt;1)),"Gegenbuchung fehlt",IF(AND(H1298="Umbuchung",ROUND(SUMIFS($F$7:$F$1506,$A$7:$A$1506,K1298)+F1298,2)&lt;&gt;0),"Umbuchung abweichend",IF(OR(G1298="",M1298="",M1298="offen",M1298="teilbelegt",H1298="Ungeklärt",H1298="Bargeld"),"Beleg / Verwendung klären","vollständig erfasst")))))))))</x:f>
      </x:c>
    </x:row>
    <x:row r="1299" ht="22" customHeight="1">
      <x:c r="A1299" s="7"/>
      <x:c r="B1299" s="8"/>
      <x:c r="C1299" s="7"/>
      <x:c r="D1299" s="7"/>
      <x:c r="E1299" s="7"/>
      <x:c r="F1299" s="20"/>
      <x:c r="G1299" s="7"/>
      <x:c r="H1299" s="7"/>
      <x:c r="I1299" s="7"/>
      <x:c r="J1299" s="7"/>
      <x:c r="K1299" s="7"/>
      <x:c r="L1299" s="7"/>
      <x:c r="M1299" s="7"/>
      <x:c r="N1299" s="7"/>
      <x:c r="O1299" s="2" t="str">
        <x:f>IF(A1299="","",IF(COUNTIFS($A$7:$A$1506,A1299)&gt;1,"Buchung-ID doppelt",IF(OR(NOT(ISNUMBER(B1299)),C1299="",NOT(ISNUMBER(F1299)),H1299="",L1299=""),"Pflichtangaben fehlen",IF(COUNTIFS('Konten'!$A$7:$A$26,C1299)&lt;&gt;1,"Konto nicht eindeutig",IF(J1299&lt;&gt;"Ja","Zuordnung bestätigen",IF(OR(AND(H1299="Einnahme",F1299&lt;0),AND(H1299="Ausgabe",F1299&gt;0)),"Vorzeichen prüfen",IF(AND(H1299="Umbuchung",OR(K1299="",COUNTIFS($A$7:$A$1506,K1299)&lt;&gt;1)),"Gegenbuchung fehlt",IF(AND(H1299="Umbuchung",ROUND(SUMIFS($F$7:$F$1506,$A$7:$A$1506,K1299)+F1299,2)&lt;&gt;0),"Umbuchung abweichend",IF(OR(G1299="",M1299="",M1299="offen",M1299="teilbelegt",H1299="Ungeklärt",H1299="Bargeld"),"Beleg / Verwendung klären","vollständig erfasst")))))))))</x:f>
      </x:c>
    </x:row>
    <x:row r="1300" ht="22" customHeight="1">
      <x:c r="A1300" s="7"/>
      <x:c r="B1300" s="8"/>
      <x:c r="C1300" s="7"/>
      <x:c r="D1300" s="7"/>
      <x:c r="E1300" s="7"/>
      <x:c r="F1300" s="20"/>
      <x:c r="G1300" s="7"/>
      <x:c r="H1300" s="7"/>
      <x:c r="I1300" s="7"/>
      <x:c r="J1300" s="7"/>
      <x:c r="K1300" s="7"/>
      <x:c r="L1300" s="7"/>
      <x:c r="M1300" s="7"/>
      <x:c r="N1300" s="7"/>
      <x:c r="O1300" s="2" t="str">
        <x:f>IF(A1300="","",IF(COUNTIFS($A$7:$A$1506,A1300)&gt;1,"Buchung-ID doppelt",IF(OR(NOT(ISNUMBER(B1300)),C1300="",NOT(ISNUMBER(F1300)),H1300="",L1300=""),"Pflichtangaben fehlen",IF(COUNTIFS('Konten'!$A$7:$A$26,C1300)&lt;&gt;1,"Konto nicht eindeutig",IF(J1300&lt;&gt;"Ja","Zuordnung bestätigen",IF(OR(AND(H1300="Einnahme",F1300&lt;0),AND(H1300="Ausgabe",F1300&gt;0)),"Vorzeichen prüfen",IF(AND(H1300="Umbuchung",OR(K1300="",COUNTIFS($A$7:$A$1506,K1300)&lt;&gt;1)),"Gegenbuchung fehlt",IF(AND(H1300="Umbuchung",ROUND(SUMIFS($F$7:$F$1506,$A$7:$A$1506,K1300)+F1300,2)&lt;&gt;0),"Umbuchung abweichend",IF(OR(G1300="",M1300="",M1300="offen",M1300="teilbelegt",H1300="Ungeklärt",H1300="Bargeld"),"Beleg / Verwendung klären","vollständig erfasst")))))))))</x:f>
      </x:c>
    </x:row>
    <x:row r="1301" ht="22" customHeight="1">
      <x:c r="A1301" s="7"/>
      <x:c r="B1301" s="8"/>
      <x:c r="C1301" s="7"/>
      <x:c r="D1301" s="7"/>
      <x:c r="E1301" s="7"/>
      <x:c r="F1301" s="20"/>
      <x:c r="G1301" s="7"/>
      <x:c r="H1301" s="7"/>
      <x:c r="I1301" s="7"/>
      <x:c r="J1301" s="7"/>
      <x:c r="K1301" s="7"/>
      <x:c r="L1301" s="7"/>
      <x:c r="M1301" s="7"/>
      <x:c r="N1301" s="7"/>
      <x:c r="O1301" s="2" t="str">
        <x:f>IF(A1301="","",IF(COUNTIFS($A$7:$A$1506,A1301)&gt;1,"Buchung-ID doppelt",IF(OR(NOT(ISNUMBER(B1301)),C1301="",NOT(ISNUMBER(F1301)),H1301="",L1301=""),"Pflichtangaben fehlen",IF(COUNTIFS('Konten'!$A$7:$A$26,C1301)&lt;&gt;1,"Konto nicht eindeutig",IF(J1301&lt;&gt;"Ja","Zuordnung bestätigen",IF(OR(AND(H1301="Einnahme",F1301&lt;0),AND(H1301="Ausgabe",F1301&gt;0)),"Vorzeichen prüfen",IF(AND(H1301="Umbuchung",OR(K1301="",COUNTIFS($A$7:$A$1506,K1301)&lt;&gt;1)),"Gegenbuchung fehlt",IF(AND(H1301="Umbuchung",ROUND(SUMIFS($F$7:$F$1506,$A$7:$A$1506,K1301)+F1301,2)&lt;&gt;0),"Umbuchung abweichend",IF(OR(G1301="",M1301="",M1301="offen",M1301="teilbelegt",H1301="Ungeklärt",H1301="Bargeld"),"Beleg / Verwendung klären","vollständig erfasst")))))))))</x:f>
      </x:c>
    </x:row>
    <x:row r="1302" ht="22" customHeight="1">
      <x:c r="A1302" s="7"/>
      <x:c r="B1302" s="8"/>
      <x:c r="C1302" s="7"/>
      <x:c r="D1302" s="7"/>
      <x:c r="E1302" s="7"/>
      <x:c r="F1302" s="20"/>
      <x:c r="G1302" s="7"/>
      <x:c r="H1302" s="7"/>
      <x:c r="I1302" s="7"/>
      <x:c r="J1302" s="7"/>
      <x:c r="K1302" s="7"/>
      <x:c r="L1302" s="7"/>
      <x:c r="M1302" s="7"/>
      <x:c r="N1302" s="7"/>
      <x:c r="O1302" s="2" t="str">
        <x:f>IF(A1302="","",IF(COUNTIFS($A$7:$A$1506,A1302)&gt;1,"Buchung-ID doppelt",IF(OR(NOT(ISNUMBER(B1302)),C1302="",NOT(ISNUMBER(F1302)),H1302="",L1302=""),"Pflichtangaben fehlen",IF(COUNTIFS('Konten'!$A$7:$A$26,C1302)&lt;&gt;1,"Konto nicht eindeutig",IF(J1302&lt;&gt;"Ja","Zuordnung bestätigen",IF(OR(AND(H1302="Einnahme",F1302&lt;0),AND(H1302="Ausgabe",F1302&gt;0)),"Vorzeichen prüfen",IF(AND(H1302="Umbuchung",OR(K1302="",COUNTIFS($A$7:$A$1506,K1302)&lt;&gt;1)),"Gegenbuchung fehlt",IF(AND(H1302="Umbuchung",ROUND(SUMIFS($F$7:$F$1506,$A$7:$A$1506,K1302)+F1302,2)&lt;&gt;0),"Umbuchung abweichend",IF(OR(G1302="",M1302="",M1302="offen",M1302="teilbelegt",H1302="Ungeklärt",H1302="Bargeld"),"Beleg / Verwendung klären","vollständig erfasst")))))))))</x:f>
      </x:c>
    </x:row>
    <x:row r="1303" ht="22" customHeight="1">
      <x:c r="A1303" s="7"/>
      <x:c r="B1303" s="8"/>
      <x:c r="C1303" s="7"/>
      <x:c r="D1303" s="7"/>
      <x:c r="E1303" s="7"/>
      <x:c r="F1303" s="20"/>
      <x:c r="G1303" s="7"/>
      <x:c r="H1303" s="7"/>
      <x:c r="I1303" s="7"/>
      <x:c r="J1303" s="7"/>
      <x:c r="K1303" s="7"/>
      <x:c r="L1303" s="7"/>
      <x:c r="M1303" s="7"/>
      <x:c r="N1303" s="7"/>
      <x:c r="O1303" s="2" t="str">
        <x:f>IF(A1303="","",IF(COUNTIFS($A$7:$A$1506,A1303)&gt;1,"Buchung-ID doppelt",IF(OR(NOT(ISNUMBER(B1303)),C1303="",NOT(ISNUMBER(F1303)),H1303="",L1303=""),"Pflichtangaben fehlen",IF(COUNTIFS('Konten'!$A$7:$A$26,C1303)&lt;&gt;1,"Konto nicht eindeutig",IF(J1303&lt;&gt;"Ja","Zuordnung bestätigen",IF(OR(AND(H1303="Einnahme",F1303&lt;0),AND(H1303="Ausgabe",F1303&gt;0)),"Vorzeichen prüfen",IF(AND(H1303="Umbuchung",OR(K1303="",COUNTIFS($A$7:$A$1506,K1303)&lt;&gt;1)),"Gegenbuchung fehlt",IF(AND(H1303="Umbuchung",ROUND(SUMIFS($F$7:$F$1506,$A$7:$A$1506,K1303)+F1303,2)&lt;&gt;0),"Umbuchung abweichend",IF(OR(G1303="",M1303="",M1303="offen",M1303="teilbelegt",H1303="Ungeklärt",H1303="Bargeld"),"Beleg / Verwendung klären","vollständig erfasst")))))))))</x:f>
      </x:c>
    </x:row>
    <x:row r="1304" ht="22" customHeight="1">
      <x:c r="A1304" s="7"/>
      <x:c r="B1304" s="8"/>
      <x:c r="C1304" s="7"/>
      <x:c r="D1304" s="7"/>
      <x:c r="E1304" s="7"/>
      <x:c r="F1304" s="20"/>
      <x:c r="G1304" s="7"/>
      <x:c r="H1304" s="7"/>
      <x:c r="I1304" s="7"/>
      <x:c r="J1304" s="7"/>
      <x:c r="K1304" s="7"/>
      <x:c r="L1304" s="7"/>
      <x:c r="M1304" s="7"/>
      <x:c r="N1304" s="7"/>
      <x:c r="O1304" s="2" t="str">
        <x:f>IF(A1304="","",IF(COUNTIFS($A$7:$A$1506,A1304)&gt;1,"Buchung-ID doppelt",IF(OR(NOT(ISNUMBER(B1304)),C1304="",NOT(ISNUMBER(F1304)),H1304="",L1304=""),"Pflichtangaben fehlen",IF(COUNTIFS('Konten'!$A$7:$A$26,C1304)&lt;&gt;1,"Konto nicht eindeutig",IF(J1304&lt;&gt;"Ja","Zuordnung bestätigen",IF(OR(AND(H1304="Einnahme",F1304&lt;0),AND(H1304="Ausgabe",F1304&gt;0)),"Vorzeichen prüfen",IF(AND(H1304="Umbuchung",OR(K1304="",COUNTIFS($A$7:$A$1506,K1304)&lt;&gt;1)),"Gegenbuchung fehlt",IF(AND(H1304="Umbuchung",ROUND(SUMIFS($F$7:$F$1506,$A$7:$A$1506,K1304)+F1304,2)&lt;&gt;0),"Umbuchung abweichend",IF(OR(G1304="",M1304="",M1304="offen",M1304="teilbelegt",H1304="Ungeklärt",H1304="Bargeld"),"Beleg / Verwendung klären","vollständig erfasst")))))))))</x:f>
      </x:c>
    </x:row>
    <x:row r="1305" ht="22" customHeight="1">
      <x:c r="A1305" s="7"/>
      <x:c r="B1305" s="8"/>
      <x:c r="C1305" s="7"/>
      <x:c r="D1305" s="7"/>
      <x:c r="E1305" s="7"/>
      <x:c r="F1305" s="20"/>
      <x:c r="G1305" s="7"/>
      <x:c r="H1305" s="7"/>
      <x:c r="I1305" s="7"/>
      <x:c r="J1305" s="7"/>
      <x:c r="K1305" s="7"/>
      <x:c r="L1305" s="7"/>
      <x:c r="M1305" s="7"/>
      <x:c r="N1305" s="7"/>
      <x:c r="O1305" s="2" t="str">
        <x:f>IF(A1305="","",IF(COUNTIFS($A$7:$A$1506,A1305)&gt;1,"Buchung-ID doppelt",IF(OR(NOT(ISNUMBER(B1305)),C1305="",NOT(ISNUMBER(F1305)),H1305="",L1305=""),"Pflichtangaben fehlen",IF(COUNTIFS('Konten'!$A$7:$A$26,C1305)&lt;&gt;1,"Konto nicht eindeutig",IF(J1305&lt;&gt;"Ja","Zuordnung bestätigen",IF(OR(AND(H1305="Einnahme",F1305&lt;0),AND(H1305="Ausgabe",F1305&gt;0)),"Vorzeichen prüfen",IF(AND(H1305="Umbuchung",OR(K1305="",COUNTIFS($A$7:$A$1506,K1305)&lt;&gt;1)),"Gegenbuchung fehlt",IF(AND(H1305="Umbuchung",ROUND(SUMIFS($F$7:$F$1506,$A$7:$A$1506,K1305)+F1305,2)&lt;&gt;0),"Umbuchung abweichend",IF(OR(G1305="",M1305="",M1305="offen",M1305="teilbelegt",H1305="Ungeklärt",H1305="Bargeld"),"Beleg / Verwendung klären","vollständig erfasst")))))))))</x:f>
      </x:c>
    </x:row>
    <x:row r="1306" ht="22" customHeight="1">
      <x:c r="A1306" s="7"/>
      <x:c r="B1306" s="8"/>
      <x:c r="C1306" s="7"/>
      <x:c r="D1306" s="7"/>
      <x:c r="E1306" s="7"/>
      <x:c r="F1306" s="20"/>
      <x:c r="G1306" s="7"/>
      <x:c r="H1306" s="7"/>
      <x:c r="I1306" s="7"/>
      <x:c r="J1306" s="7"/>
      <x:c r="K1306" s="7"/>
      <x:c r="L1306" s="7"/>
      <x:c r="M1306" s="7"/>
      <x:c r="N1306" s="7"/>
      <x:c r="O1306" s="2" t="str">
        <x:f>IF(A1306="","",IF(COUNTIFS($A$7:$A$1506,A1306)&gt;1,"Buchung-ID doppelt",IF(OR(NOT(ISNUMBER(B1306)),C1306="",NOT(ISNUMBER(F1306)),H1306="",L1306=""),"Pflichtangaben fehlen",IF(COUNTIFS('Konten'!$A$7:$A$26,C1306)&lt;&gt;1,"Konto nicht eindeutig",IF(J1306&lt;&gt;"Ja","Zuordnung bestätigen",IF(OR(AND(H1306="Einnahme",F1306&lt;0),AND(H1306="Ausgabe",F1306&gt;0)),"Vorzeichen prüfen",IF(AND(H1306="Umbuchung",OR(K1306="",COUNTIFS($A$7:$A$1506,K1306)&lt;&gt;1)),"Gegenbuchung fehlt",IF(AND(H1306="Umbuchung",ROUND(SUMIFS($F$7:$F$1506,$A$7:$A$1506,K1306)+F1306,2)&lt;&gt;0),"Umbuchung abweichend",IF(OR(G1306="",M1306="",M1306="offen",M1306="teilbelegt",H1306="Ungeklärt",H1306="Bargeld"),"Beleg / Verwendung klären","vollständig erfasst")))))))))</x:f>
      </x:c>
    </x:row>
    <x:row r="1307" ht="22" customHeight="1">
      <x:c r="A1307" s="7"/>
      <x:c r="B1307" s="8"/>
      <x:c r="C1307" s="7"/>
      <x:c r="D1307" s="7"/>
      <x:c r="E1307" s="7"/>
      <x:c r="F1307" s="20"/>
      <x:c r="G1307" s="7"/>
      <x:c r="H1307" s="7"/>
      <x:c r="I1307" s="7"/>
      <x:c r="J1307" s="7"/>
      <x:c r="K1307" s="7"/>
      <x:c r="L1307" s="7"/>
      <x:c r="M1307" s="7"/>
      <x:c r="N1307" s="7"/>
      <x:c r="O1307" s="2" t="str">
        <x:f>IF(A1307="","",IF(COUNTIFS($A$7:$A$1506,A1307)&gt;1,"Buchung-ID doppelt",IF(OR(NOT(ISNUMBER(B1307)),C1307="",NOT(ISNUMBER(F1307)),H1307="",L1307=""),"Pflichtangaben fehlen",IF(COUNTIFS('Konten'!$A$7:$A$26,C1307)&lt;&gt;1,"Konto nicht eindeutig",IF(J1307&lt;&gt;"Ja","Zuordnung bestätigen",IF(OR(AND(H1307="Einnahme",F1307&lt;0),AND(H1307="Ausgabe",F1307&gt;0)),"Vorzeichen prüfen",IF(AND(H1307="Umbuchung",OR(K1307="",COUNTIFS($A$7:$A$1506,K1307)&lt;&gt;1)),"Gegenbuchung fehlt",IF(AND(H1307="Umbuchung",ROUND(SUMIFS($F$7:$F$1506,$A$7:$A$1506,K1307)+F1307,2)&lt;&gt;0),"Umbuchung abweichend",IF(OR(G1307="",M1307="",M1307="offen",M1307="teilbelegt",H1307="Ungeklärt",H1307="Bargeld"),"Beleg / Verwendung klären","vollständig erfasst")))))))))</x:f>
      </x:c>
    </x:row>
    <x:row r="1308" ht="22" customHeight="1">
      <x:c r="A1308" s="7"/>
      <x:c r="B1308" s="8"/>
      <x:c r="C1308" s="7"/>
      <x:c r="D1308" s="7"/>
      <x:c r="E1308" s="7"/>
      <x:c r="F1308" s="20"/>
      <x:c r="G1308" s="7"/>
      <x:c r="H1308" s="7"/>
      <x:c r="I1308" s="7"/>
      <x:c r="J1308" s="7"/>
      <x:c r="K1308" s="7"/>
      <x:c r="L1308" s="7"/>
      <x:c r="M1308" s="7"/>
      <x:c r="N1308" s="7"/>
      <x:c r="O1308" s="2" t="str">
        <x:f>IF(A1308="","",IF(COUNTIFS($A$7:$A$1506,A1308)&gt;1,"Buchung-ID doppelt",IF(OR(NOT(ISNUMBER(B1308)),C1308="",NOT(ISNUMBER(F1308)),H1308="",L1308=""),"Pflichtangaben fehlen",IF(COUNTIFS('Konten'!$A$7:$A$26,C1308)&lt;&gt;1,"Konto nicht eindeutig",IF(J1308&lt;&gt;"Ja","Zuordnung bestätigen",IF(OR(AND(H1308="Einnahme",F1308&lt;0),AND(H1308="Ausgabe",F1308&gt;0)),"Vorzeichen prüfen",IF(AND(H1308="Umbuchung",OR(K1308="",COUNTIFS($A$7:$A$1506,K1308)&lt;&gt;1)),"Gegenbuchung fehlt",IF(AND(H1308="Umbuchung",ROUND(SUMIFS($F$7:$F$1506,$A$7:$A$1506,K1308)+F1308,2)&lt;&gt;0),"Umbuchung abweichend",IF(OR(G1308="",M1308="",M1308="offen",M1308="teilbelegt",H1308="Ungeklärt",H1308="Bargeld"),"Beleg / Verwendung klären","vollständig erfasst")))))))))</x:f>
      </x:c>
    </x:row>
    <x:row r="1309" ht="22" customHeight="1">
      <x:c r="A1309" s="7"/>
      <x:c r="B1309" s="8"/>
      <x:c r="C1309" s="7"/>
      <x:c r="D1309" s="7"/>
      <x:c r="E1309" s="7"/>
      <x:c r="F1309" s="20"/>
      <x:c r="G1309" s="7"/>
      <x:c r="H1309" s="7"/>
      <x:c r="I1309" s="7"/>
      <x:c r="J1309" s="7"/>
      <x:c r="K1309" s="7"/>
      <x:c r="L1309" s="7"/>
      <x:c r="M1309" s="7"/>
      <x:c r="N1309" s="7"/>
      <x:c r="O1309" s="2" t="str">
        <x:f>IF(A1309="","",IF(COUNTIFS($A$7:$A$1506,A1309)&gt;1,"Buchung-ID doppelt",IF(OR(NOT(ISNUMBER(B1309)),C1309="",NOT(ISNUMBER(F1309)),H1309="",L1309=""),"Pflichtangaben fehlen",IF(COUNTIFS('Konten'!$A$7:$A$26,C1309)&lt;&gt;1,"Konto nicht eindeutig",IF(J1309&lt;&gt;"Ja","Zuordnung bestätigen",IF(OR(AND(H1309="Einnahme",F1309&lt;0),AND(H1309="Ausgabe",F1309&gt;0)),"Vorzeichen prüfen",IF(AND(H1309="Umbuchung",OR(K1309="",COUNTIFS($A$7:$A$1506,K1309)&lt;&gt;1)),"Gegenbuchung fehlt",IF(AND(H1309="Umbuchung",ROUND(SUMIFS($F$7:$F$1506,$A$7:$A$1506,K1309)+F1309,2)&lt;&gt;0),"Umbuchung abweichend",IF(OR(G1309="",M1309="",M1309="offen",M1309="teilbelegt",H1309="Ungeklärt",H1309="Bargeld"),"Beleg / Verwendung klären","vollständig erfasst")))))))))</x:f>
      </x:c>
    </x:row>
    <x:row r="1310" ht="22" customHeight="1">
      <x:c r="A1310" s="7"/>
      <x:c r="B1310" s="8"/>
      <x:c r="C1310" s="7"/>
      <x:c r="D1310" s="7"/>
      <x:c r="E1310" s="7"/>
      <x:c r="F1310" s="20"/>
      <x:c r="G1310" s="7"/>
      <x:c r="H1310" s="7"/>
      <x:c r="I1310" s="7"/>
      <x:c r="J1310" s="7"/>
      <x:c r="K1310" s="7"/>
      <x:c r="L1310" s="7"/>
      <x:c r="M1310" s="7"/>
      <x:c r="N1310" s="7"/>
      <x:c r="O1310" s="2" t="str">
        <x:f>IF(A1310="","",IF(COUNTIFS($A$7:$A$1506,A1310)&gt;1,"Buchung-ID doppelt",IF(OR(NOT(ISNUMBER(B1310)),C1310="",NOT(ISNUMBER(F1310)),H1310="",L1310=""),"Pflichtangaben fehlen",IF(COUNTIFS('Konten'!$A$7:$A$26,C1310)&lt;&gt;1,"Konto nicht eindeutig",IF(J1310&lt;&gt;"Ja","Zuordnung bestätigen",IF(OR(AND(H1310="Einnahme",F1310&lt;0),AND(H1310="Ausgabe",F1310&gt;0)),"Vorzeichen prüfen",IF(AND(H1310="Umbuchung",OR(K1310="",COUNTIFS($A$7:$A$1506,K1310)&lt;&gt;1)),"Gegenbuchung fehlt",IF(AND(H1310="Umbuchung",ROUND(SUMIFS($F$7:$F$1506,$A$7:$A$1506,K1310)+F1310,2)&lt;&gt;0),"Umbuchung abweichend",IF(OR(G1310="",M1310="",M1310="offen",M1310="teilbelegt",H1310="Ungeklärt",H1310="Bargeld"),"Beleg / Verwendung klären","vollständig erfasst")))))))))</x:f>
      </x:c>
    </x:row>
    <x:row r="1311" ht="22" customHeight="1">
      <x:c r="A1311" s="7"/>
      <x:c r="B1311" s="8"/>
      <x:c r="C1311" s="7"/>
      <x:c r="D1311" s="7"/>
      <x:c r="E1311" s="7"/>
      <x:c r="F1311" s="20"/>
      <x:c r="G1311" s="7"/>
      <x:c r="H1311" s="7"/>
      <x:c r="I1311" s="7"/>
      <x:c r="J1311" s="7"/>
      <x:c r="K1311" s="7"/>
      <x:c r="L1311" s="7"/>
      <x:c r="M1311" s="7"/>
      <x:c r="N1311" s="7"/>
      <x:c r="O1311" s="2" t="str">
        <x:f>IF(A1311="","",IF(COUNTIFS($A$7:$A$1506,A1311)&gt;1,"Buchung-ID doppelt",IF(OR(NOT(ISNUMBER(B1311)),C1311="",NOT(ISNUMBER(F1311)),H1311="",L1311=""),"Pflichtangaben fehlen",IF(COUNTIFS('Konten'!$A$7:$A$26,C1311)&lt;&gt;1,"Konto nicht eindeutig",IF(J1311&lt;&gt;"Ja","Zuordnung bestätigen",IF(OR(AND(H1311="Einnahme",F1311&lt;0),AND(H1311="Ausgabe",F1311&gt;0)),"Vorzeichen prüfen",IF(AND(H1311="Umbuchung",OR(K1311="",COUNTIFS($A$7:$A$1506,K1311)&lt;&gt;1)),"Gegenbuchung fehlt",IF(AND(H1311="Umbuchung",ROUND(SUMIFS($F$7:$F$1506,$A$7:$A$1506,K1311)+F1311,2)&lt;&gt;0),"Umbuchung abweichend",IF(OR(G1311="",M1311="",M1311="offen",M1311="teilbelegt",H1311="Ungeklärt",H1311="Bargeld"),"Beleg / Verwendung klären","vollständig erfasst")))))))))</x:f>
      </x:c>
    </x:row>
    <x:row r="1312" ht="22" customHeight="1">
      <x:c r="A1312" s="7"/>
      <x:c r="B1312" s="8"/>
      <x:c r="C1312" s="7"/>
      <x:c r="D1312" s="7"/>
      <x:c r="E1312" s="7"/>
      <x:c r="F1312" s="20"/>
      <x:c r="G1312" s="7"/>
      <x:c r="H1312" s="7"/>
      <x:c r="I1312" s="7"/>
      <x:c r="J1312" s="7"/>
      <x:c r="K1312" s="7"/>
      <x:c r="L1312" s="7"/>
      <x:c r="M1312" s="7"/>
      <x:c r="N1312" s="7"/>
      <x:c r="O1312" s="2" t="str">
        <x:f>IF(A1312="","",IF(COUNTIFS($A$7:$A$1506,A1312)&gt;1,"Buchung-ID doppelt",IF(OR(NOT(ISNUMBER(B1312)),C1312="",NOT(ISNUMBER(F1312)),H1312="",L1312=""),"Pflichtangaben fehlen",IF(COUNTIFS('Konten'!$A$7:$A$26,C1312)&lt;&gt;1,"Konto nicht eindeutig",IF(J1312&lt;&gt;"Ja","Zuordnung bestätigen",IF(OR(AND(H1312="Einnahme",F1312&lt;0),AND(H1312="Ausgabe",F1312&gt;0)),"Vorzeichen prüfen",IF(AND(H1312="Umbuchung",OR(K1312="",COUNTIFS($A$7:$A$1506,K1312)&lt;&gt;1)),"Gegenbuchung fehlt",IF(AND(H1312="Umbuchung",ROUND(SUMIFS($F$7:$F$1506,$A$7:$A$1506,K1312)+F1312,2)&lt;&gt;0),"Umbuchung abweichend",IF(OR(G1312="",M1312="",M1312="offen",M1312="teilbelegt",H1312="Ungeklärt",H1312="Bargeld"),"Beleg / Verwendung klären","vollständig erfasst")))))))))</x:f>
      </x:c>
    </x:row>
    <x:row r="1313" ht="22" customHeight="1">
      <x:c r="A1313" s="7"/>
      <x:c r="B1313" s="8"/>
      <x:c r="C1313" s="7"/>
      <x:c r="D1313" s="7"/>
      <x:c r="E1313" s="7"/>
      <x:c r="F1313" s="20"/>
      <x:c r="G1313" s="7"/>
      <x:c r="H1313" s="7"/>
      <x:c r="I1313" s="7"/>
      <x:c r="J1313" s="7"/>
      <x:c r="K1313" s="7"/>
      <x:c r="L1313" s="7"/>
      <x:c r="M1313" s="7"/>
      <x:c r="N1313" s="7"/>
      <x:c r="O1313" s="2" t="str">
        <x:f>IF(A1313="","",IF(COUNTIFS($A$7:$A$1506,A1313)&gt;1,"Buchung-ID doppelt",IF(OR(NOT(ISNUMBER(B1313)),C1313="",NOT(ISNUMBER(F1313)),H1313="",L1313=""),"Pflichtangaben fehlen",IF(COUNTIFS('Konten'!$A$7:$A$26,C1313)&lt;&gt;1,"Konto nicht eindeutig",IF(J1313&lt;&gt;"Ja","Zuordnung bestätigen",IF(OR(AND(H1313="Einnahme",F1313&lt;0),AND(H1313="Ausgabe",F1313&gt;0)),"Vorzeichen prüfen",IF(AND(H1313="Umbuchung",OR(K1313="",COUNTIFS($A$7:$A$1506,K1313)&lt;&gt;1)),"Gegenbuchung fehlt",IF(AND(H1313="Umbuchung",ROUND(SUMIFS($F$7:$F$1506,$A$7:$A$1506,K1313)+F1313,2)&lt;&gt;0),"Umbuchung abweichend",IF(OR(G1313="",M1313="",M1313="offen",M1313="teilbelegt",H1313="Ungeklärt",H1313="Bargeld"),"Beleg / Verwendung klären","vollständig erfasst")))))))))</x:f>
      </x:c>
    </x:row>
    <x:row r="1314" ht="22" customHeight="1">
      <x:c r="A1314" s="7"/>
      <x:c r="B1314" s="8"/>
      <x:c r="C1314" s="7"/>
      <x:c r="D1314" s="7"/>
      <x:c r="E1314" s="7"/>
      <x:c r="F1314" s="20"/>
      <x:c r="G1314" s="7"/>
      <x:c r="H1314" s="7"/>
      <x:c r="I1314" s="7"/>
      <x:c r="J1314" s="7"/>
      <x:c r="K1314" s="7"/>
      <x:c r="L1314" s="7"/>
      <x:c r="M1314" s="7"/>
      <x:c r="N1314" s="7"/>
      <x:c r="O1314" s="2" t="str">
        <x:f>IF(A1314="","",IF(COUNTIFS($A$7:$A$1506,A1314)&gt;1,"Buchung-ID doppelt",IF(OR(NOT(ISNUMBER(B1314)),C1314="",NOT(ISNUMBER(F1314)),H1314="",L1314=""),"Pflichtangaben fehlen",IF(COUNTIFS('Konten'!$A$7:$A$26,C1314)&lt;&gt;1,"Konto nicht eindeutig",IF(J1314&lt;&gt;"Ja","Zuordnung bestätigen",IF(OR(AND(H1314="Einnahme",F1314&lt;0),AND(H1314="Ausgabe",F1314&gt;0)),"Vorzeichen prüfen",IF(AND(H1314="Umbuchung",OR(K1314="",COUNTIFS($A$7:$A$1506,K1314)&lt;&gt;1)),"Gegenbuchung fehlt",IF(AND(H1314="Umbuchung",ROUND(SUMIFS($F$7:$F$1506,$A$7:$A$1506,K1314)+F1314,2)&lt;&gt;0),"Umbuchung abweichend",IF(OR(G1314="",M1314="",M1314="offen",M1314="teilbelegt",H1314="Ungeklärt",H1314="Bargeld"),"Beleg / Verwendung klären","vollständig erfasst")))))))))</x:f>
      </x:c>
    </x:row>
    <x:row r="1315" ht="22" customHeight="1">
      <x:c r="A1315" s="7"/>
      <x:c r="B1315" s="8"/>
      <x:c r="C1315" s="7"/>
      <x:c r="D1315" s="7"/>
      <x:c r="E1315" s="7"/>
      <x:c r="F1315" s="20"/>
      <x:c r="G1315" s="7"/>
      <x:c r="H1315" s="7"/>
      <x:c r="I1315" s="7"/>
      <x:c r="J1315" s="7"/>
      <x:c r="K1315" s="7"/>
      <x:c r="L1315" s="7"/>
      <x:c r="M1315" s="7"/>
      <x:c r="N1315" s="7"/>
      <x:c r="O1315" s="2" t="str">
        <x:f>IF(A1315="","",IF(COUNTIFS($A$7:$A$1506,A1315)&gt;1,"Buchung-ID doppelt",IF(OR(NOT(ISNUMBER(B1315)),C1315="",NOT(ISNUMBER(F1315)),H1315="",L1315=""),"Pflichtangaben fehlen",IF(COUNTIFS('Konten'!$A$7:$A$26,C1315)&lt;&gt;1,"Konto nicht eindeutig",IF(J1315&lt;&gt;"Ja","Zuordnung bestätigen",IF(OR(AND(H1315="Einnahme",F1315&lt;0),AND(H1315="Ausgabe",F1315&gt;0)),"Vorzeichen prüfen",IF(AND(H1315="Umbuchung",OR(K1315="",COUNTIFS($A$7:$A$1506,K1315)&lt;&gt;1)),"Gegenbuchung fehlt",IF(AND(H1315="Umbuchung",ROUND(SUMIFS($F$7:$F$1506,$A$7:$A$1506,K1315)+F1315,2)&lt;&gt;0),"Umbuchung abweichend",IF(OR(G1315="",M1315="",M1315="offen",M1315="teilbelegt",H1315="Ungeklärt",H1315="Bargeld"),"Beleg / Verwendung klären","vollständig erfasst")))))))))</x:f>
      </x:c>
    </x:row>
    <x:row r="1316" ht="22" customHeight="1">
      <x:c r="A1316" s="7"/>
      <x:c r="B1316" s="8"/>
      <x:c r="C1316" s="7"/>
      <x:c r="D1316" s="7"/>
      <x:c r="E1316" s="7"/>
      <x:c r="F1316" s="20"/>
      <x:c r="G1316" s="7"/>
      <x:c r="H1316" s="7"/>
      <x:c r="I1316" s="7"/>
      <x:c r="J1316" s="7"/>
      <x:c r="K1316" s="7"/>
      <x:c r="L1316" s="7"/>
      <x:c r="M1316" s="7"/>
      <x:c r="N1316" s="7"/>
      <x:c r="O1316" s="2" t="str">
        <x:f>IF(A1316="","",IF(COUNTIFS($A$7:$A$1506,A1316)&gt;1,"Buchung-ID doppelt",IF(OR(NOT(ISNUMBER(B1316)),C1316="",NOT(ISNUMBER(F1316)),H1316="",L1316=""),"Pflichtangaben fehlen",IF(COUNTIFS('Konten'!$A$7:$A$26,C1316)&lt;&gt;1,"Konto nicht eindeutig",IF(J1316&lt;&gt;"Ja","Zuordnung bestätigen",IF(OR(AND(H1316="Einnahme",F1316&lt;0),AND(H1316="Ausgabe",F1316&gt;0)),"Vorzeichen prüfen",IF(AND(H1316="Umbuchung",OR(K1316="",COUNTIFS($A$7:$A$1506,K1316)&lt;&gt;1)),"Gegenbuchung fehlt",IF(AND(H1316="Umbuchung",ROUND(SUMIFS($F$7:$F$1506,$A$7:$A$1506,K1316)+F1316,2)&lt;&gt;0),"Umbuchung abweichend",IF(OR(G1316="",M1316="",M1316="offen",M1316="teilbelegt",H1316="Ungeklärt",H1316="Bargeld"),"Beleg / Verwendung klären","vollständig erfasst")))))))))</x:f>
      </x:c>
    </x:row>
    <x:row r="1317" ht="22" customHeight="1">
      <x:c r="A1317" s="7"/>
      <x:c r="B1317" s="8"/>
      <x:c r="C1317" s="7"/>
      <x:c r="D1317" s="7"/>
      <x:c r="E1317" s="7"/>
      <x:c r="F1317" s="20"/>
      <x:c r="G1317" s="7"/>
      <x:c r="H1317" s="7"/>
      <x:c r="I1317" s="7"/>
      <x:c r="J1317" s="7"/>
      <x:c r="K1317" s="7"/>
      <x:c r="L1317" s="7"/>
      <x:c r="M1317" s="7"/>
      <x:c r="N1317" s="7"/>
      <x:c r="O1317" s="2" t="str">
        <x:f>IF(A1317="","",IF(COUNTIFS($A$7:$A$1506,A1317)&gt;1,"Buchung-ID doppelt",IF(OR(NOT(ISNUMBER(B1317)),C1317="",NOT(ISNUMBER(F1317)),H1317="",L1317=""),"Pflichtangaben fehlen",IF(COUNTIFS('Konten'!$A$7:$A$26,C1317)&lt;&gt;1,"Konto nicht eindeutig",IF(J1317&lt;&gt;"Ja","Zuordnung bestätigen",IF(OR(AND(H1317="Einnahme",F1317&lt;0),AND(H1317="Ausgabe",F1317&gt;0)),"Vorzeichen prüfen",IF(AND(H1317="Umbuchung",OR(K1317="",COUNTIFS($A$7:$A$1506,K1317)&lt;&gt;1)),"Gegenbuchung fehlt",IF(AND(H1317="Umbuchung",ROUND(SUMIFS($F$7:$F$1506,$A$7:$A$1506,K1317)+F1317,2)&lt;&gt;0),"Umbuchung abweichend",IF(OR(G1317="",M1317="",M1317="offen",M1317="teilbelegt",H1317="Ungeklärt",H1317="Bargeld"),"Beleg / Verwendung klären","vollständig erfasst")))))))))</x:f>
      </x:c>
    </x:row>
    <x:row r="1318" ht="22" customHeight="1">
      <x:c r="A1318" s="7"/>
      <x:c r="B1318" s="8"/>
      <x:c r="C1318" s="7"/>
      <x:c r="D1318" s="7"/>
      <x:c r="E1318" s="7"/>
      <x:c r="F1318" s="20"/>
      <x:c r="G1318" s="7"/>
      <x:c r="H1318" s="7"/>
      <x:c r="I1318" s="7"/>
      <x:c r="J1318" s="7"/>
      <x:c r="K1318" s="7"/>
      <x:c r="L1318" s="7"/>
      <x:c r="M1318" s="7"/>
      <x:c r="N1318" s="7"/>
      <x:c r="O1318" s="2" t="str">
        <x:f>IF(A1318="","",IF(COUNTIFS($A$7:$A$1506,A1318)&gt;1,"Buchung-ID doppelt",IF(OR(NOT(ISNUMBER(B1318)),C1318="",NOT(ISNUMBER(F1318)),H1318="",L1318=""),"Pflichtangaben fehlen",IF(COUNTIFS('Konten'!$A$7:$A$26,C1318)&lt;&gt;1,"Konto nicht eindeutig",IF(J1318&lt;&gt;"Ja","Zuordnung bestätigen",IF(OR(AND(H1318="Einnahme",F1318&lt;0),AND(H1318="Ausgabe",F1318&gt;0)),"Vorzeichen prüfen",IF(AND(H1318="Umbuchung",OR(K1318="",COUNTIFS($A$7:$A$1506,K1318)&lt;&gt;1)),"Gegenbuchung fehlt",IF(AND(H1318="Umbuchung",ROUND(SUMIFS($F$7:$F$1506,$A$7:$A$1506,K1318)+F1318,2)&lt;&gt;0),"Umbuchung abweichend",IF(OR(G1318="",M1318="",M1318="offen",M1318="teilbelegt",H1318="Ungeklärt",H1318="Bargeld"),"Beleg / Verwendung klären","vollständig erfasst")))))))))</x:f>
      </x:c>
    </x:row>
    <x:row r="1319" ht="22" customHeight="1">
      <x:c r="A1319" s="7"/>
      <x:c r="B1319" s="8"/>
      <x:c r="C1319" s="7"/>
      <x:c r="D1319" s="7"/>
      <x:c r="E1319" s="7"/>
      <x:c r="F1319" s="20"/>
      <x:c r="G1319" s="7"/>
      <x:c r="H1319" s="7"/>
      <x:c r="I1319" s="7"/>
      <x:c r="J1319" s="7"/>
      <x:c r="K1319" s="7"/>
      <x:c r="L1319" s="7"/>
      <x:c r="M1319" s="7"/>
      <x:c r="N1319" s="7"/>
      <x:c r="O1319" s="2" t="str">
        <x:f>IF(A1319="","",IF(COUNTIFS($A$7:$A$1506,A1319)&gt;1,"Buchung-ID doppelt",IF(OR(NOT(ISNUMBER(B1319)),C1319="",NOT(ISNUMBER(F1319)),H1319="",L1319=""),"Pflichtangaben fehlen",IF(COUNTIFS('Konten'!$A$7:$A$26,C1319)&lt;&gt;1,"Konto nicht eindeutig",IF(J1319&lt;&gt;"Ja","Zuordnung bestätigen",IF(OR(AND(H1319="Einnahme",F1319&lt;0),AND(H1319="Ausgabe",F1319&gt;0)),"Vorzeichen prüfen",IF(AND(H1319="Umbuchung",OR(K1319="",COUNTIFS($A$7:$A$1506,K1319)&lt;&gt;1)),"Gegenbuchung fehlt",IF(AND(H1319="Umbuchung",ROUND(SUMIFS($F$7:$F$1506,$A$7:$A$1506,K1319)+F1319,2)&lt;&gt;0),"Umbuchung abweichend",IF(OR(G1319="",M1319="",M1319="offen",M1319="teilbelegt",H1319="Ungeklärt",H1319="Bargeld"),"Beleg / Verwendung klären","vollständig erfasst")))))))))</x:f>
      </x:c>
    </x:row>
    <x:row r="1320" ht="22" customHeight="1">
      <x:c r="A1320" s="7"/>
      <x:c r="B1320" s="8"/>
      <x:c r="C1320" s="7"/>
      <x:c r="D1320" s="7"/>
      <x:c r="E1320" s="7"/>
      <x:c r="F1320" s="20"/>
      <x:c r="G1320" s="7"/>
      <x:c r="H1320" s="7"/>
      <x:c r="I1320" s="7"/>
      <x:c r="J1320" s="7"/>
      <x:c r="K1320" s="7"/>
      <x:c r="L1320" s="7"/>
      <x:c r="M1320" s="7"/>
      <x:c r="N1320" s="7"/>
      <x:c r="O1320" s="2" t="str">
        <x:f>IF(A1320="","",IF(COUNTIFS($A$7:$A$1506,A1320)&gt;1,"Buchung-ID doppelt",IF(OR(NOT(ISNUMBER(B1320)),C1320="",NOT(ISNUMBER(F1320)),H1320="",L1320=""),"Pflichtangaben fehlen",IF(COUNTIFS('Konten'!$A$7:$A$26,C1320)&lt;&gt;1,"Konto nicht eindeutig",IF(J1320&lt;&gt;"Ja","Zuordnung bestätigen",IF(OR(AND(H1320="Einnahme",F1320&lt;0),AND(H1320="Ausgabe",F1320&gt;0)),"Vorzeichen prüfen",IF(AND(H1320="Umbuchung",OR(K1320="",COUNTIFS($A$7:$A$1506,K1320)&lt;&gt;1)),"Gegenbuchung fehlt",IF(AND(H1320="Umbuchung",ROUND(SUMIFS($F$7:$F$1506,$A$7:$A$1506,K1320)+F1320,2)&lt;&gt;0),"Umbuchung abweichend",IF(OR(G1320="",M1320="",M1320="offen",M1320="teilbelegt",H1320="Ungeklärt",H1320="Bargeld"),"Beleg / Verwendung klären","vollständig erfasst")))))))))</x:f>
      </x:c>
    </x:row>
    <x:row r="1321" ht="22" customHeight="1">
      <x:c r="A1321" s="7"/>
      <x:c r="B1321" s="8"/>
      <x:c r="C1321" s="7"/>
      <x:c r="D1321" s="7"/>
      <x:c r="E1321" s="7"/>
      <x:c r="F1321" s="20"/>
      <x:c r="G1321" s="7"/>
      <x:c r="H1321" s="7"/>
      <x:c r="I1321" s="7"/>
      <x:c r="J1321" s="7"/>
      <x:c r="K1321" s="7"/>
      <x:c r="L1321" s="7"/>
      <x:c r="M1321" s="7"/>
      <x:c r="N1321" s="7"/>
      <x:c r="O1321" s="2" t="str">
        <x:f>IF(A1321="","",IF(COUNTIFS($A$7:$A$1506,A1321)&gt;1,"Buchung-ID doppelt",IF(OR(NOT(ISNUMBER(B1321)),C1321="",NOT(ISNUMBER(F1321)),H1321="",L1321=""),"Pflichtangaben fehlen",IF(COUNTIFS('Konten'!$A$7:$A$26,C1321)&lt;&gt;1,"Konto nicht eindeutig",IF(J1321&lt;&gt;"Ja","Zuordnung bestätigen",IF(OR(AND(H1321="Einnahme",F1321&lt;0),AND(H1321="Ausgabe",F1321&gt;0)),"Vorzeichen prüfen",IF(AND(H1321="Umbuchung",OR(K1321="",COUNTIFS($A$7:$A$1506,K1321)&lt;&gt;1)),"Gegenbuchung fehlt",IF(AND(H1321="Umbuchung",ROUND(SUMIFS($F$7:$F$1506,$A$7:$A$1506,K1321)+F1321,2)&lt;&gt;0),"Umbuchung abweichend",IF(OR(G1321="",M1321="",M1321="offen",M1321="teilbelegt",H1321="Ungeklärt",H1321="Bargeld"),"Beleg / Verwendung klären","vollständig erfasst")))))))))</x:f>
      </x:c>
    </x:row>
    <x:row r="1322" ht="22" customHeight="1">
      <x:c r="A1322" s="7"/>
      <x:c r="B1322" s="8"/>
      <x:c r="C1322" s="7"/>
      <x:c r="D1322" s="7"/>
      <x:c r="E1322" s="7"/>
      <x:c r="F1322" s="20"/>
      <x:c r="G1322" s="7"/>
      <x:c r="H1322" s="7"/>
      <x:c r="I1322" s="7"/>
      <x:c r="J1322" s="7"/>
      <x:c r="K1322" s="7"/>
      <x:c r="L1322" s="7"/>
      <x:c r="M1322" s="7"/>
      <x:c r="N1322" s="7"/>
      <x:c r="O1322" s="2" t="str">
        <x:f>IF(A1322="","",IF(COUNTIFS($A$7:$A$1506,A1322)&gt;1,"Buchung-ID doppelt",IF(OR(NOT(ISNUMBER(B1322)),C1322="",NOT(ISNUMBER(F1322)),H1322="",L1322=""),"Pflichtangaben fehlen",IF(COUNTIFS('Konten'!$A$7:$A$26,C1322)&lt;&gt;1,"Konto nicht eindeutig",IF(J1322&lt;&gt;"Ja","Zuordnung bestätigen",IF(OR(AND(H1322="Einnahme",F1322&lt;0),AND(H1322="Ausgabe",F1322&gt;0)),"Vorzeichen prüfen",IF(AND(H1322="Umbuchung",OR(K1322="",COUNTIFS($A$7:$A$1506,K1322)&lt;&gt;1)),"Gegenbuchung fehlt",IF(AND(H1322="Umbuchung",ROUND(SUMIFS($F$7:$F$1506,$A$7:$A$1506,K1322)+F1322,2)&lt;&gt;0),"Umbuchung abweichend",IF(OR(G1322="",M1322="",M1322="offen",M1322="teilbelegt",H1322="Ungeklärt",H1322="Bargeld"),"Beleg / Verwendung klären","vollständig erfasst")))))))))</x:f>
      </x:c>
    </x:row>
    <x:row r="1323" ht="22" customHeight="1">
      <x:c r="A1323" s="7"/>
      <x:c r="B1323" s="8"/>
      <x:c r="C1323" s="7"/>
      <x:c r="D1323" s="7"/>
      <x:c r="E1323" s="7"/>
      <x:c r="F1323" s="20"/>
      <x:c r="G1323" s="7"/>
      <x:c r="H1323" s="7"/>
      <x:c r="I1323" s="7"/>
      <x:c r="J1323" s="7"/>
      <x:c r="K1323" s="7"/>
      <x:c r="L1323" s="7"/>
      <x:c r="M1323" s="7"/>
      <x:c r="N1323" s="7"/>
      <x:c r="O1323" s="2" t="str">
        <x:f>IF(A1323="","",IF(COUNTIFS($A$7:$A$1506,A1323)&gt;1,"Buchung-ID doppelt",IF(OR(NOT(ISNUMBER(B1323)),C1323="",NOT(ISNUMBER(F1323)),H1323="",L1323=""),"Pflichtangaben fehlen",IF(COUNTIFS('Konten'!$A$7:$A$26,C1323)&lt;&gt;1,"Konto nicht eindeutig",IF(J1323&lt;&gt;"Ja","Zuordnung bestätigen",IF(OR(AND(H1323="Einnahme",F1323&lt;0),AND(H1323="Ausgabe",F1323&gt;0)),"Vorzeichen prüfen",IF(AND(H1323="Umbuchung",OR(K1323="",COUNTIFS($A$7:$A$1506,K1323)&lt;&gt;1)),"Gegenbuchung fehlt",IF(AND(H1323="Umbuchung",ROUND(SUMIFS($F$7:$F$1506,$A$7:$A$1506,K1323)+F1323,2)&lt;&gt;0),"Umbuchung abweichend",IF(OR(G1323="",M1323="",M1323="offen",M1323="teilbelegt",H1323="Ungeklärt",H1323="Bargeld"),"Beleg / Verwendung klären","vollständig erfasst")))))))))</x:f>
      </x:c>
    </x:row>
    <x:row r="1324" ht="22" customHeight="1">
      <x:c r="A1324" s="7"/>
      <x:c r="B1324" s="8"/>
      <x:c r="C1324" s="7"/>
      <x:c r="D1324" s="7"/>
      <x:c r="E1324" s="7"/>
      <x:c r="F1324" s="20"/>
      <x:c r="G1324" s="7"/>
      <x:c r="H1324" s="7"/>
      <x:c r="I1324" s="7"/>
      <x:c r="J1324" s="7"/>
      <x:c r="K1324" s="7"/>
      <x:c r="L1324" s="7"/>
      <x:c r="M1324" s="7"/>
      <x:c r="N1324" s="7"/>
      <x:c r="O1324" s="2" t="str">
        <x:f>IF(A1324="","",IF(COUNTIFS($A$7:$A$1506,A1324)&gt;1,"Buchung-ID doppelt",IF(OR(NOT(ISNUMBER(B1324)),C1324="",NOT(ISNUMBER(F1324)),H1324="",L1324=""),"Pflichtangaben fehlen",IF(COUNTIFS('Konten'!$A$7:$A$26,C1324)&lt;&gt;1,"Konto nicht eindeutig",IF(J1324&lt;&gt;"Ja","Zuordnung bestätigen",IF(OR(AND(H1324="Einnahme",F1324&lt;0),AND(H1324="Ausgabe",F1324&gt;0)),"Vorzeichen prüfen",IF(AND(H1324="Umbuchung",OR(K1324="",COUNTIFS($A$7:$A$1506,K1324)&lt;&gt;1)),"Gegenbuchung fehlt",IF(AND(H1324="Umbuchung",ROUND(SUMIFS($F$7:$F$1506,$A$7:$A$1506,K1324)+F1324,2)&lt;&gt;0),"Umbuchung abweichend",IF(OR(G1324="",M1324="",M1324="offen",M1324="teilbelegt",H1324="Ungeklärt",H1324="Bargeld"),"Beleg / Verwendung klären","vollständig erfasst")))))))))</x:f>
      </x:c>
    </x:row>
    <x:row r="1325" ht="22" customHeight="1">
      <x:c r="A1325" s="7"/>
      <x:c r="B1325" s="8"/>
      <x:c r="C1325" s="7"/>
      <x:c r="D1325" s="7"/>
      <x:c r="E1325" s="7"/>
      <x:c r="F1325" s="20"/>
      <x:c r="G1325" s="7"/>
      <x:c r="H1325" s="7"/>
      <x:c r="I1325" s="7"/>
      <x:c r="J1325" s="7"/>
      <x:c r="K1325" s="7"/>
      <x:c r="L1325" s="7"/>
      <x:c r="M1325" s="7"/>
      <x:c r="N1325" s="7"/>
      <x:c r="O1325" s="2" t="str">
        <x:f>IF(A1325="","",IF(COUNTIFS($A$7:$A$1506,A1325)&gt;1,"Buchung-ID doppelt",IF(OR(NOT(ISNUMBER(B1325)),C1325="",NOT(ISNUMBER(F1325)),H1325="",L1325=""),"Pflichtangaben fehlen",IF(COUNTIFS('Konten'!$A$7:$A$26,C1325)&lt;&gt;1,"Konto nicht eindeutig",IF(J1325&lt;&gt;"Ja","Zuordnung bestätigen",IF(OR(AND(H1325="Einnahme",F1325&lt;0),AND(H1325="Ausgabe",F1325&gt;0)),"Vorzeichen prüfen",IF(AND(H1325="Umbuchung",OR(K1325="",COUNTIFS($A$7:$A$1506,K1325)&lt;&gt;1)),"Gegenbuchung fehlt",IF(AND(H1325="Umbuchung",ROUND(SUMIFS($F$7:$F$1506,$A$7:$A$1506,K1325)+F1325,2)&lt;&gt;0),"Umbuchung abweichend",IF(OR(G1325="",M1325="",M1325="offen",M1325="teilbelegt",H1325="Ungeklärt",H1325="Bargeld"),"Beleg / Verwendung klären","vollständig erfasst")))))))))</x:f>
      </x:c>
    </x:row>
    <x:row r="1326" ht="22" customHeight="1">
      <x:c r="A1326" s="7"/>
      <x:c r="B1326" s="8"/>
      <x:c r="C1326" s="7"/>
      <x:c r="D1326" s="7"/>
      <x:c r="E1326" s="7"/>
      <x:c r="F1326" s="20"/>
      <x:c r="G1326" s="7"/>
      <x:c r="H1326" s="7"/>
      <x:c r="I1326" s="7"/>
      <x:c r="J1326" s="7"/>
      <x:c r="K1326" s="7"/>
      <x:c r="L1326" s="7"/>
      <x:c r="M1326" s="7"/>
      <x:c r="N1326" s="7"/>
      <x:c r="O1326" s="2" t="str">
        <x:f>IF(A1326="","",IF(COUNTIFS($A$7:$A$1506,A1326)&gt;1,"Buchung-ID doppelt",IF(OR(NOT(ISNUMBER(B1326)),C1326="",NOT(ISNUMBER(F1326)),H1326="",L1326=""),"Pflichtangaben fehlen",IF(COUNTIFS('Konten'!$A$7:$A$26,C1326)&lt;&gt;1,"Konto nicht eindeutig",IF(J1326&lt;&gt;"Ja","Zuordnung bestätigen",IF(OR(AND(H1326="Einnahme",F1326&lt;0),AND(H1326="Ausgabe",F1326&gt;0)),"Vorzeichen prüfen",IF(AND(H1326="Umbuchung",OR(K1326="",COUNTIFS($A$7:$A$1506,K1326)&lt;&gt;1)),"Gegenbuchung fehlt",IF(AND(H1326="Umbuchung",ROUND(SUMIFS($F$7:$F$1506,$A$7:$A$1506,K1326)+F1326,2)&lt;&gt;0),"Umbuchung abweichend",IF(OR(G1326="",M1326="",M1326="offen",M1326="teilbelegt",H1326="Ungeklärt",H1326="Bargeld"),"Beleg / Verwendung klären","vollständig erfasst")))))))))</x:f>
      </x:c>
    </x:row>
    <x:row r="1327" ht="22" customHeight="1">
      <x:c r="A1327" s="7"/>
      <x:c r="B1327" s="8"/>
      <x:c r="C1327" s="7"/>
      <x:c r="D1327" s="7"/>
      <x:c r="E1327" s="7"/>
      <x:c r="F1327" s="20"/>
      <x:c r="G1327" s="7"/>
      <x:c r="H1327" s="7"/>
      <x:c r="I1327" s="7"/>
      <x:c r="J1327" s="7"/>
      <x:c r="K1327" s="7"/>
      <x:c r="L1327" s="7"/>
      <x:c r="M1327" s="7"/>
      <x:c r="N1327" s="7"/>
      <x:c r="O1327" s="2" t="str">
        <x:f>IF(A1327="","",IF(COUNTIFS($A$7:$A$1506,A1327)&gt;1,"Buchung-ID doppelt",IF(OR(NOT(ISNUMBER(B1327)),C1327="",NOT(ISNUMBER(F1327)),H1327="",L1327=""),"Pflichtangaben fehlen",IF(COUNTIFS('Konten'!$A$7:$A$26,C1327)&lt;&gt;1,"Konto nicht eindeutig",IF(J1327&lt;&gt;"Ja","Zuordnung bestätigen",IF(OR(AND(H1327="Einnahme",F1327&lt;0),AND(H1327="Ausgabe",F1327&gt;0)),"Vorzeichen prüfen",IF(AND(H1327="Umbuchung",OR(K1327="",COUNTIFS($A$7:$A$1506,K1327)&lt;&gt;1)),"Gegenbuchung fehlt",IF(AND(H1327="Umbuchung",ROUND(SUMIFS($F$7:$F$1506,$A$7:$A$1506,K1327)+F1327,2)&lt;&gt;0),"Umbuchung abweichend",IF(OR(G1327="",M1327="",M1327="offen",M1327="teilbelegt",H1327="Ungeklärt",H1327="Bargeld"),"Beleg / Verwendung klären","vollständig erfasst")))))))))</x:f>
      </x:c>
    </x:row>
    <x:row r="1328" ht="22" customHeight="1">
      <x:c r="A1328" s="7"/>
      <x:c r="B1328" s="8"/>
      <x:c r="C1328" s="7"/>
      <x:c r="D1328" s="7"/>
      <x:c r="E1328" s="7"/>
      <x:c r="F1328" s="20"/>
      <x:c r="G1328" s="7"/>
      <x:c r="H1328" s="7"/>
      <x:c r="I1328" s="7"/>
      <x:c r="J1328" s="7"/>
      <x:c r="K1328" s="7"/>
      <x:c r="L1328" s="7"/>
      <x:c r="M1328" s="7"/>
      <x:c r="N1328" s="7"/>
      <x:c r="O1328" s="2" t="str">
        <x:f>IF(A1328="","",IF(COUNTIFS($A$7:$A$1506,A1328)&gt;1,"Buchung-ID doppelt",IF(OR(NOT(ISNUMBER(B1328)),C1328="",NOT(ISNUMBER(F1328)),H1328="",L1328=""),"Pflichtangaben fehlen",IF(COUNTIFS('Konten'!$A$7:$A$26,C1328)&lt;&gt;1,"Konto nicht eindeutig",IF(J1328&lt;&gt;"Ja","Zuordnung bestätigen",IF(OR(AND(H1328="Einnahme",F1328&lt;0),AND(H1328="Ausgabe",F1328&gt;0)),"Vorzeichen prüfen",IF(AND(H1328="Umbuchung",OR(K1328="",COUNTIFS($A$7:$A$1506,K1328)&lt;&gt;1)),"Gegenbuchung fehlt",IF(AND(H1328="Umbuchung",ROUND(SUMIFS($F$7:$F$1506,$A$7:$A$1506,K1328)+F1328,2)&lt;&gt;0),"Umbuchung abweichend",IF(OR(G1328="",M1328="",M1328="offen",M1328="teilbelegt",H1328="Ungeklärt",H1328="Bargeld"),"Beleg / Verwendung klären","vollständig erfasst")))))))))</x:f>
      </x:c>
    </x:row>
    <x:row r="1329" ht="22" customHeight="1">
      <x:c r="A1329" s="7"/>
      <x:c r="B1329" s="8"/>
      <x:c r="C1329" s="7"/>
      <x:c r="D1329" s="7"/>
      <x:c r="E1329" s="7"/>
      <x:c r="F1329" s="20"/>
      <x:c r="G1329" s="7"/>
      <x:c r="H1329" s="7"/>
      <x:c r="I1329" s="7"/>
      <x:c r="J1329" s="7"/>
      <x:c r="K1329" s="7"/>
      <x:c r="L1329" s="7"/>
      <x:c r="M1329" s="7"/>
      <x:c r="N1329" s="7"/>
      <x:c r="O1329" s="2" t="str">
        <x:f>IF(A1329="","",IF(COUNTIFS($A$7:$A$1506,A1329)&gt;1,"Buchung-ID doppelt",IF(OR(NOT(ISNUMBER(B1329)),C1329="",NOT(ISNUMBER(F1329)),H1329="",L1329=""),"Pflichtangaben fehlen",IF(COUNTIFS('Konten'!$A$7:$A$26,C1329)&lt;&gt;1,"Konto nicht eindeutig",IF(J1329&lt;&gt;"Ja","Zuordnung bestätigen",IF(OR(AND(H1329="Einnahme",F1329&lt;0),AND(H1329="Ausgabe",F1329&gt;0)),"Vorzeichen prüfen",IF(AND(H1329="Umbuchung",OR(K1329="",COUNTIFS($A$7:$A$1506,K1329)&lt;&gt;1)),"Gegenbuchung fehlt",IF(AND(H1329="Umbuchung",ROUND(SUMIFS($F$7:$F$1506,$A$7:$A$1506,K1329)+F1329,2)&lt;&gt;0),"Umbuchung abweichend",IF(OR(G1329="",M1329="",M1329="offen",M1329="teilbelegt",H1329="Ungeklärt",H1329="Bargeld"),"Beleg / Verwendung klären","vollständig erfasst")))))))))</x:f>
      </x:c>
    </x:row>
    <x:row r="1330" ht="22" customHeight="1">
      <x:c r="A1330" s="7"/>
      <x:c r="B1330" s="8"/>
      <x:c r="C1330" s="7"/>
      <x:c r="D1330" s="7"/>
      <x:c r="E1330" s="7"/>
      <x:c r="F1330" s="20"/>
      <x:c r="G1330" s="7"/>
      <x:c r="H1330" s="7"/>
      <x:c r="I1330" s="7"/>
      <x:c r="J1330" s="7"/>
      <x:c r="K1330" s="7"/>
      <x:c r="L1330" s="7"/>
      <x:c r="M1330" s="7"/>
      <x:c r="N1330" s="7"/>
      <x:c r="O1330" s="2" t="str">
        <x:f>IF(A1330="","",IF(COUNTIFS($A$7:$A$1506,A1330)&gt;1,"Buchung-ID doppelt",IF(OR(NOT(ISNUMBER(B1330)),C1330="",NOT(ISNUMBER(F1330)),H1330="",L1330=""),"Pflichtangaben fehlen",IF(COUNTIFS('Konten'!$A$7:$A$26,C1330)&lt;&gt;1,"Konto nicht eindeutig",IF(J1330&lt;&gt;"Ja","Zuordnung bestätigen",IF(OR(AND(H1330="Einnahme",F1330&lt;0),AND(H1330="Ausgabe",F1330&gt;0)),"Vorzeichen prüfen",IF(AND(H1330="Umbuchung",OR(K1330="",COUNTIFS($A$7:$A$1506,K1330)&lt;&gt;1)),"Gegenbuchung fehlt",IF(AND(H1330="Umbuchung",ROUND(SUMIFS($F$7:$F$1506,$A$7:$A$1506,K1330)+F1330,2)&lt;&gt;0),"Umbuchung abweichend",IF(OR(G1330="",M1330="",M1330="offen",M1330="teilbelegt",H1330="Ungeklärt",H1330="Bargeld"),"Beleg / Verwendung klären","vollständig erfasst")))))))))</x:f>
      </x:c>
    </x:row>
    <x:row r="1331" ht="22" customHeight="1">
      <x:c r="A1331" s="7"/>
      <x:c r="B1331" s="8"/>
      <x:c r="C1331" s="7"/>
      <x:c r="D1331" s="7"/>
      <x:c r="E1331" s="7"/>
      <x:c r="F1331" s="20"/>
      <x:c r="G1331" s="7"/>
      <x:c r="H1331" s="7"/>
      <x:c r="I1331" s="7"/>
      <x:c r="J1331" s="7"/>
      <x:c r="K1331" s="7"/>
      <x:c r="L1331" s="7"/>
      <x:c r="M1331" s="7"/>
      <x:c r="N1331" s="7"/>
      <x:c r="O1331" s="2" t="str">
        <x:f>IF(A1331="","",IF(COUNTIFS($A$7:$A$1506,A1331)&gt;1,"Buchung-ID doppelt",IF(OR(NOT(ISNUMBER(B1331)),C1331="",NOT(ISNUMBER(F1331)),H1331="",L1331=""),"Pflichtangaben fehlen",IF(COUNTIFS('Konten'!$A$7:$A$26,C1331)&lt;&gt;1,"Konto nicht eindeutig",IF(J1331&lt;&gt;"Ja","Zuordnung bestätigen",IF(OR(AND(H1331="Einnahme",F1331&lt;0),AND(H1331="Ausgabe",F1331&gt;0)),"Vorzeichen prüfen",IF(AND(H1331="Umbuchung",OR(K1331="",COUNTIFS($A$7:$A$1506,K1331)&lt;&gt;1)),"Gegenbuchung fehlt",IF(AND(H1331="Umbuchung",ROUND(SUMIFS($F$7:$F$1506,$A$7:$A$1506,K1331)+F1331,2)&lt;&gt;0),"Umbuchung abweichend",IF(OR(G1331="",M1331="",M1331="offen",M1331="teilbelegt",H1331="Ungeklärt",H1331="Bargeld"),"Beleg / Verwendung klären","vollständig erfasst")))))))))</x:f>
      </x:c>
    </x:row>
    <x:row r="1332" ht="22" customHeight="1">
      <x:c r="A1332" s="7"/>
      <x:c r="B1332" s="8"/>
      <x:c r="C1332" s="7"/>
      <x:c r="D1332" s="7"/>
      <x:c r="E1332" s="7"/>
      <x:c r="F1332" s="20"/>
      <x:c r="G1332" s="7"/>
      <x:c r="H1332" s="7"/>
      <x:c r="I1332" s="7"/>
      <x:c r="J1332" s="7"/>
      <x:c r="K1332" s="7"/>
      <x:c r="L1332" s="7"/>
      <x:c r="M1332" s="7"/>
      <x:c r="N1332" s="7"/>
      <x:c r="O1332" s="2" t="str">
        <x:f>IF(A1332="","",IF(COUNTIFS($A$7:$A$1506,A1332)&gt;1,"Buchung-ID doppelt",IF(OR(NOT(ISNUMBER(B1332)),C1332="",NOT(ISNUMBER(F1332)),H1332="",L1332=""),"Pflichtangaben fehlen",IF(COUNTIFS('Konten'!$A$7:$A$26,C1332)&lt;&gt;1,"Konto nicht eindeutig",IF(J1332&lt;&gt;"Ja","Zuordnung bestätigen",IF(OR(AND(H1332="Einnahme",F1332&lt;0),AND(H1332="Ausgabe",F1332&gt;0)),"Vorzeichen prüfen",IF(AND(H1332="Umbuchung",OR(K1332="",COUNTIFS($A$7:$A$1506,K1332)&lt;&gt;1)),"Gegenbuchung fehlt",IF(AND(H1332="Umbuchung",ROUND(SUMIFS($F$7:$F$1506,$A$7:$A$1506,K1332)+F1332,2)&lt;&gt;0),"Umbuchung abweichend",IF(OR(G1332="",M1332="",M1332="offen",M1332="teilbelegt",H1332="Ungeklärt",H1332="Bargeld"),"Beleg / Verwendung klären","vollständig erfasst")))))))))</x:f>
      </x:c>
    </x:row>
    <x:row r="1333" ht="22" customHeight="1">
      <x:c r="A1333" s="7"/>
      <x:c r="B1333" s="8"/>
      <x:c r="C1333" s="7"/>
      <x:c r="D1333" s="7"/>
      <x:c r="E1333" s="7"/>
      <x:c r="F1333" s="20"/>
      <x:c r="G1333" s="7"/>
      <x:c r="H1333" s="7"/>
      <x:c r="I1333" s="7"/>
      <x:c r="J1333" s="7"/>
      <x:c r="K1333" s="7"/>
      <x:c r="L1333" s="7"/>
      <x:c r="M1333" s="7"/>
      <x:c r="N1333" s="7"/>
      <x:c r="O1333" s="2" t="str">
        <x:f>IF(A1333="","",IF(COUNTIFS($A$7:$A$1506,A1333)&gt;1,"Buchung-ID doppelt",IF(OR(NOT(ISNUMBER(B1333)),C1333="",NOT(ISNUMBER(F1333)),H1333="",L1333=""),"Pflichtangaben fehlen",IF(COUNTIFS('Konten'!$A$7:$A$26,C1333)&lt;&gt;1,"Konto nicht eindeutig",IF(J1333&lt;&gt;"Ja","Zuordnung bestätigen",IF(OR(AND(H1333="Einnahme",F1333&lt;0),AND(H1333="Ausgabe",F1333&gt;0)),"Vorzeichen prüfen",IF(AND(H1333="Umbuchung",OR(K1333="",COUNTIFS($A$7:$A$1506,K1333)&lt;&gt;1)),"Gegenbuchung fehlt",IF(AND(H1333="Umbuchung",ROUND(SUMIFS($F$7:$F$1506,$A$7:$A$1506,K1333)+F1333,2)&lt;&gt;0),"Umbuchung abweichend",IF(OR(G1333="",M1333="",M1333="offen",M1333="teilbelegt",H1333="Ungeklärt",H1333="Bargeld"),"Beleg / Verwendung klären","vollständig erfasst")))))))))</x:f>
      </x:c>
    </x:row>
    <x:row r="1334" ht="22" customHeight="1">
      <x:c r="A1334" s="7"/>
      <x:c r="B1334" s="8"/>
      <x:c r="C1334" s="7"/>
      <x:c r="D1334" s="7"/>
      <x:c r="E1334" s="7"/>
      <x:c r="F1334" s="20"/>
      <x:c r="G1334" s="7"/>
      <x:c r="H1334" s="7"/>
      <x:c r="I1334" s="7"/>
      <x:c r="J1334" s="7"/>
      <x:c r="K1334" s="7"/>
      <x:c r="L1334" s="7"/>
      <x:c r="M1334" s="7"/>
      <x:c r="N1334" s="7"/>
      <x:c r="O1334" s="2" t="str">
        <x:f>IF(A1334="","",IF(COUNTIFS($A$7:$A$1506,A1334)&gt;1,"Buchung-ID doppelt",IF(OR(NOT(ISNUMBER(B1334)),C1334="",NOT(ISNUMBER(F1334)),H1334="",L1334=""),"Pflichtangaben fehlen",IF(COUNTIFS('Konten'!$A$7:$A$26,C1334)&lt;&gt;1,"Konto nicht eindeutig",IF(J1334&lt;&gt;"Ja","Zuordnung bestätigen",IF(OR(AND(H1334="Einnahme",F1334&lt;0),AND(H1334="Ausgabe",F1334&gt;0)),"Vorzeichen prüfen",IF(AND(H1334="Umbuchung",OR(K1334="",COUNTIFS($A$7:$A$1506,K1334)&lt;&gt;1)),"Gegenbuchung fehlt",IF(AND(H1334="Umbuchung",ROUND(SUMIFS($F$7:$F$1506,$A$7:$A$1506,K1334)+F1334,2)&lt;&gt;0),"Umbuchung abweichend",IF(OR(G1334="",M1334="",M1334="offen",M1334="teilbelegt",H1334="Ungeklärt",H1334="Bargeld"),"Beleg / Verwendung klären","vollständig erfasst")))))))))</x:f>
      </x:c>
    </x:row>
    <x:row r="1335" ht="22" customHeight="1">
      <x:c r="A1335" s="7"/>
      <x:c r="B1335" s="8"/>
      <x:c r="C1335" s="7"/>
      <x:c r="D1335" s="7"/>
      <x:c r="E1335" s="7"/>
      <x:c r="F1335" s="20"/>
      <x:c r="G1335" s="7"/>
      <x:c r="H1335" s="7"/>
      <x:c r="I1335" s="7"/>
      <x:c r="J1335" s="7"/>
      <x:c r="K1335" s="7"/>
      <x:c r="L1335" s="7"/>
      <x:c r="M1335" s="7"/>
      <x:c r="N1335" s="7"/>
      <x:c r="O1335" s="2" t="str">
        <x:f>IF(A1335="","",IF(COUNTIFS($A$7:$A$1506,A1335)&gt;1,"Buchung-ID doppelt",IF(OR(NOT(ISNUMBER(B1335)),C1335="",NOT(ISNUMBER(F1335)),H1335="",L1335=""),"Pflichtangaben fehlen",IF(COUNTIFS('Konten'!$A$7:$A$26,C1335)&lt;&gt;1,"Konto nicht eindeutig",IF(J1335&lt;&gt;"Ja","Zuordnung bestätigen",IF(OR(AND(H1335="Einnahme",F1335&lt;0),AND(H1335="Ausgabe",F1335&gt;0)),"Vorzeichen prüfen",IF(AND(H1335="Umbuchung",OR(K1335="",COUNTIFS($A$7:$A$1506,K1335)&lt;&gt;1)),"Gegenbuchung fehlt",IF(AND(H1335="Umbuchung",ROUND(SUMIFS($F$7:$F$1506,$A$7:$A$1506,K1335)+F1335,2)&lt;&gt;0),"Umbuchung abweichend",IF(OR(G1335="",M1335="",M1335="offen",M1335="teilbelegt",H1335="Ungeklärt",H1335="Bargeld"),"Beleg / Verwendung klären","vollständig erfasst")))))))))</x:f>
      </x:c>
    </x:row>
    <x:row r="1336" ht="22" customHeight="1">
      <x:c r="A1336" s="7"/>
      <x:c r="B1336" s="8"/>
      <x:c r="C1336" s="7"/>
      <x:c r="D1336" s="7"/>
      <x:c r="E1336" s="7"/>
      <x:c r="F1336" s="20"/>
      <x:c r="G1336" s="7"/>
      <x:c r="H1336" s="7"/>
      <x:c r="I1336" s="7"/>
      <x:c r="J1336" s="7"/>
      <x:c r="K1336" s="7"/>
      <x:c r="L1336" s="7"/>
      <x:c r="M1336" s="7"/>
      <x:c r="N1336" s="7"/>
      <x:c r="O1336" s="2" t="str">
        <x:f>IF(A1336="","",IF(COUNTIFS($A$7:$A$1506,A1336)&gt;1,"Buchung-ID doppelt",IF(OR(NOT(ISNUMBER(B1336)),C1336="",NOT(ISNUMBER(F1336)),H1336="",L1336=""),"Pflichtangaben fehlen",IF(COUNTIFS('Konten'!$A$7:$A$26,C1336)&lt;&gt;1,"Konto nicht eindeutig",IF(J1336&lt;&gt;"Ja","Zuordnung bestätigen",IF(OR(AND(H1336="Einnahme",F1336&lt;0),AND(H1336="Ausgabe",F1336&gt;0)),"Vorzeichen prüfen",IF(AND(H1336="Umbuchung",OR(K1336="",COUNTIFS($A$7:$A$1506,K1336)&lt;&gt;1)),"Gegenbuchung fehlt",IF(AND(H1336="Umbuchung",ROUND(SUMIFS($F$7:$F$1506,$A$7:$A$1506,K1336)+F1336,2)&lt;&gt;0),"Umbuchung abweichend",IF(OR(G1336="",M1336="",M1336="offen",M1336="teilbelegt",H1336="Ungeklärt",H1336="Bargeld"),"Beleg / Verwendung klären","vollständig erfasst")))))))))</x:f>
      </x:c>
    </x:row>
    <x:row r="1337" ht="22" customHeight="1">
      <x:c r="A1337" s="7"/>
      <x:c r="B1337" s="8"/>
      <x:c r="C1337" s="7"/>
      <x:c r="D1337" s="7"/>
      <x:c r="E1337" s="7"/>
      <x:c r="F1337" s="20"/>
      <x:c r="G1337" s="7"/>
      <x:c r="H1337" s="7"/>
      <x:c r="I1337" s="7"/>
      <x:c r="J1337" s="7"/>
      <x:c r="K1337" s="7"/>
      <x:c r="L1337" s="7"/>
      <x:c r="M1337" s="7"/>
      <x:c r="N1337" s="7"/>
      <x:c r="O1337" s="2" t="str">
        <x:f>IF(A1337="","",IF(COUNTIFS($A$7:$A$1506,A1337)&gt;1,"Buchung-ID doppelt",IF(OR(NOT(ISNUMBER(B1337)),C1337="",NOT(ISNUMBER(F1337)),H1337="",L1337=""),"Pflichtangaben fehlen",IF(COUNTIFS('Konten'!$A$7:$A$26,C1337)&lt;&gt;1,"Konto nicht eindeutig",IF(J1337&lt;&gt;"Ja","Zuordnung bestätigen",IF(OR(AND(H1337="Einnahme",F1337&lt;0),AND(H1337="Ausgabe",F1337&gt;0)),"Vorzeichen prüfen",IF(AND(H1337="Umbuchung",OR(K1337="",COUNTIFS($A$7:$A$1506,K1337)&lt;&gt;1)),"Gegenbuchung fehlt",IF(AND(H1337="Umbuchung",ROUND(SUMIFS($F$7:$F$1506,$A$7:$A$1506,K1337)+F1337,2)&lt;&gt;0),"Umbuchung abweichend",IF(OR(G1337="",M1337="",M1337="offen",M1337="teilbelegt",H1337="Ungeklärt",H1337="Bargeld"),"Beleg / Verwendung klären","vollständig erfasst")))))))))</x:f>
      </x:c>
    </x:row>
    <x:row r="1338" ht="22" customHeight="1">
      <x:c r="A1338" s="7"/>
      <x:c r="B1338" s="8"/>
      <x:c r="C1338" s="7"/>
      <x:c r="D1338" s="7"/>
      <x:c r="E1338" s="7"/>
      <x:c r="F1338" s="20"/>
      <x:c r="G1338" s="7"/>
      <x:c r="H1338" s="7"/>
      <x:c r="I1338" s="7"/>
      <x:c r="J1338" s="7"/>
      <x:c r="K1338" s="7"/>
      <x:c r="L1338" s="7"/>
      <x:c r="M1338" s="7"/>
      <x:c r="N1338" s="7"/>
      <x:c r="O1338" s="2" t="str">
        <x:f>IF(A1338="","",IF(COUNTIFS($A$7:$A$1506,A1338)&gt;1,"Buchung-ID doppelt",IF(OR(NOT(ISNUMBER(B1338)),C1338="",NOT(ISNUMBER(F1338)),H1338="",L1338=""),"Pflichtangaben fehlen",IF(COUNTIFS('Konten'!$A$7:$A$26,C1338)&lt;&gt;1,"Konto nicht eindeutig",IF(J1338&lt;&gt;"Ja","Zuordnung bestätigen",IF(OR(AND(H1338="Einnahme",F1338&lt;0),AND(H1338="Ausgabe",F1338&gt;0)),"Vorzeichen prüfen",IF(AND(H1338="Umbuchung",OR(K1338="",COUNTIFS($A$7:$A$1506,K1338)&lt;&gt;1)),"Gegenbuchung fehlt",IF(AND(H1338="Umbuchung",ROUND(SUMIFS($F$7:$F$1506,$A$7:$A$1506,K1338)+F1338,2)&lt;&gt;0),"Umbuchung abweichend",IF(OR(G1338="",M1338="",M1338="offen",M1338="teilbelegt",H1338="Ungeklärt",H1338="Bargeld"),"Beleg / Verwendung klären","vollständig erfasst")))))))))</x:f>
      </x:c>
    </x:row>
    <x:row r="1339" ht="22" customHeight="1">
      <x:c r="A1339" s="7"/>
      <x:c r="B1339" s="8"/>
      <x:c r="C1339" s="7"/>
      <x:c r="D1339" s="7"/>
      <x:c r="E1339" s="7"/>
      <x:c r="F1339" s="20"/>
      <x:c r="G1339" s="7"/>
      <x:c r="H1339" s="7"/>
      <x:c r="I1339" s="7"/>
      <x:c r="J1339" s="7"/>
      <x:c r="K1339" s="7"/>
      <x:c r="L1339" s="7"/>
      <x:c r="M1339" s="7"/>
      <x:c r="N1339" s="7"/>
      <x:c r="O1339" s="2" t="str">
        <x:f>IF(A1339="","",IF(COUNTIFS($A$7:$A$1506,A1339)&gt;1,"Buchung-ID doppelt",IF(OR(NOT(ISNUMBER(B1339)),C1339="",NOT(ISNUMBER(F1339)),H1339="",L1339=""),"Pflichtangaben fehlen",IF(COUNTIFS('Konten'!$A$7:$A$26,C1339)&lt;&gt;1,"Konto nicht eindeutig",IF(J1339&lt;&gt;"Ja","Zuordnung bestätigen",IF(OR(AND(H1339="Einnahme",F1339&lt;0),AND(H1339="Ausgabe",F1339&gt;0)),"Vorzeichen prüfen",IF(AND(H1339="Umbuchung",OR(K1339="",COUNTIFS($A$7:$A$1506,K1339)&lt;&gt;1)),"Gegenbuchung fehlt",IF(AND(H1339="Umbuchung",ROUND(SUMIFS($F$7:$F$1506,$A$7:$A$1506,K1339)+F1339,2)&lt;&gt;0),"Umbuchung abweichend",IF(OR(G1339="",M1339="",M1339="offen",M1339="teilbelegt",H1339="Ungeklärt",H1339="Bargeld"),"Beleg / Verwendung klären","vollständig erfasst")))))))))</x:f>
      </x:c>
    </x:row>
    <x:row r="1340" ht="22" customHeight="1">
      <x:c r="A1340" s="7"/>
      <x:c r="B1340" s="8"/>
      <x:c r="C1340" s="7"/>
      <x:c r="D1340" s="7"/>
      <x:c r="E1340" s="7"/>
      <x:c r="F1340" s="20"/>
      <x:c r="G1340" s="7"/>
      <x:c r="H1340" s="7"/>
      <x:c r="I1340" s="7"/>
      <x:c r="J1340" s="7"/>
      <x:c r="K1340" s="7"/>
      <x:c r="L1340" s="7"/>
      <x:c r="M1340" s="7"/>
      <x:c r="N1340" s="7"/>
      <x:c r="O1340" s="2" t="str">
        <x:f>IF(A1340="","",IF(COUNTIFS($A$7:$A$1506,A1340)&gt;1,"Buchung-ID doppelt",IF(OR(NOT(ISNUMBER(B1340)),C1340="",NOT(ISNUMBER(F1340)),H1340="",L1340=""),"Pflichtangaben fehlen",IF(COUNTIFS('Konten'!$A$7:$A$26,C1340)&lt;&gt;1,"Konto nicht eindeutig",IF(J1340&lt;&gt;"Ja","Zuordnung bestätigen",IF(OR(AND(H1340="Einnahme",F1340&lt;0),AND(H1340="Ausgabe",F1340&gt;0)),"Vorzeichen prüfen",IF(AND(H1340="Umbuchung",OR(K1340="",COUNTIFS($A$7:$A$1506,K1340)&lt;&gt;1)),"Gegenbuchung fehlt",IF(AND(H1340="Umbuchung",ROUND(SUMIFS($F$7:$F$1506,$A$7:$A$1506,K1340)+F1340,2)&lt;&gt;0),"Umbuchung abweichend",IF(OR(G1340="",M1340="",M1340="offen",M1340="teilbelegt",H1340="Ungeklärt",H1340="Bargeld"),"Beleg / Verwendung klären","vollständig erfasst")))))))))</x:f>
      </x:c>
    </x:row>
    <x:row r="1341" ht="22" customHeight="1">
      <x:c r="A1341" s="7"/>
      <x:c r="B1341" s="8"/>
      <x:c r="C1341" s="7"/>
      <x:c r="D1341" s="7"/>
      <x:c r="E1341" s="7"/>
      <x:c r="F1341" s="20"/>
      <x:c r="G1341" s="7"/>
      <x:c r="H1341" s="7"/>
      <x:c r="I1341" s="7"/>
      <x:c r="J1341" s="7"/>
      <x:c r="K1341" s="7"/>
      <x:c r="L1341" s="7"/>
      <x:c r="M1341" s="7"/>
      <x:c r="N1341" s="7"/>
      <x:c r="O1341" s="2" t="str">
        <x:f>IF(A1341="","",IF(COUNTIFS($A$7:$A$1506,A1341)&gt;1,"Buchung-ID doppelt",IF(OR(NOT(ISNUMBER(B1341)),C1341="",NOT(ISNUMBER(F1341)),H1341="",L1341=""),"Pflichtangaben fehlen",IF(COUNTIFS('Konten'!$A$7:$A$26,C1341)&lt;&gt;1,"Konto nicht eindeutig",IF(J1341&lt;&gt;"Ja","Zuordnung bestätigen",IF(OR(AND(H1341="Einnahme",F1341&lt;0),AND(H1341="Ausgabe",F1341&gt;0)),"Vorzeichen prüfen",IF(AND(H1341="Umbuchung",OR(K1341="",COUNTIFS($A$7:$A$1506,K1341)&lt;&gt;1)),"Gegenbuchung fehlt",IF(AND(H1341="Umbuchung",ROUND(SUMIFS($F$7:$F$1506,$A$7:$A$1506,K1341)+F1341,2)&lt;&gt;0),"Umbuchung abweichend",IF(OR(G1341="",M1341="",M1341="offen",M1341="teilbelegt",H1341="Ungeklärt",H1341="Bargeld"),"Beleg / Verwendung klären","vollständig erfasst")))))))))</x:f>
      </x:c>
    </x:row>
    <x:row r="1342" ht="22" customHeight="1">
      <x:c r="A1342" s="7"/>
      <x:c r="B1342" s="8"/>
      <x:c r="C1342" s="7"/>
      <x:c r="D1342" s="7"/>
      <x:c r="E1342" s="7"/>
      <x:c r="F1342" s="20"/>
      <x:c r="G1342" s="7"/>
      <x:c r="H1342" s="7"/>
      <x:c r="I1342" s="7"/>
      <x:c r="J1342" s="7"/>
      <x:c r="K1342" s="7"/>
      <x:c r="L1342" s="7"/>
      <x:c r="M1342" s="7"/>
      <x:c r="N1342" s="7"/>
      <x:c r="O1342" s="2" t="str">
        <x:f>IF(A1342="","",IF(COUNTIFS($A$7:$A$1506,A1342)&gt;1,"Buchung-ID doppelt",IF(OR(NOT(ISNUMBER(B1342)),C1342="",NOT(ISNUMBER(F1342)),H1342="",L1342=""),"Pflichtangaben fehlen",IF(COUNTIFS('Konten'!$A$7:$A$26,C1342)&lt;&gt;1,"Konto nicht eindeutig",IF(J1342&lt;&gt;"Ja","Zuordnung bestätigen",IF(OR(AND(H1342="Einnahme",F1342&lt;0),AND(H1342="Ausgabe",F1342&gt;0)),"Vorzeichen prüfen",IF(AND(H1342="Umbuchung",OR(K1342="",COUNTIFS($A$7:$A$1506,K1342)&lt;&gt;1)),"Gegenbuchung fehlt",IF(AND(H1342="Umbuchung",ROUND(SUMIFS($F$7:$F$1506,$A$7:$A$1506,K1342)+F1342,2)&lt;&gt;0),"Umbuchung abweichend",IF(OR(G1342="",M1342="",M1342="offen",M1342="teilbelegt",H1342="Ungeklärt",H1342="Bargeld"),"Beleg / Verwendung klären","vollständig erfasst")))))))))</x:f>
      </x:c>
    </x:row>
    <x:row r="1343" ht="22" customHeight="1">
      <x:c r="A1343" s="7"/>
      <x:c r="B1343" s="8"/>
      <x:c r="C1343" s="7"/>
      <x:c r="D1343" s="7"/>
      <x:c r="E1343" s="7"/>
      <x:c r="F1343" s="20"/>
      <x:c r="G1343" s="7"/>
      <x:c r="H1343" s="7"/>
      <x:c r="I1343" s="7"/>
      <x:c r="J1343" s="7"/>
      <x:c r="K1343" s="7"/>
      <x:c r="L1343" s="7"/>
      <x:c r="M1343" s="7"/>
      <x:c r="N1343" s="7"/>
      <x:c r="O1343" s="2" t="str">
        <x:f>IF(A1343="","",IF(COUNTIFS($A$7:$A$1506,A1343)&gt;1,"Buchung-ID doppelt",IF(OR(NOT(ISNUMBER(B1343)),C1343="",NOT(ISNUMBER(F1343)),H1343="",L1343=""),"Pflichtangaben fehlen",IF(COUNTIFS('Konten'!$A$7:$A$26,C1343)&lt;&gt;1,"Konto nicht eindeutig",IF(J1343&lt;&gt;"Ja","Zuordnung bestätigen",IF(OR(AND(H1343="Einnahme",F1343&lt;0),AND(H1343="Ausgabe",F1343&gt;0)),"Vorzeichen prüfen",IF(AND(H1343="Umbuchung",OR(K1343="",COUNTIFS($A$7:$A$1506,K1343)&lt;&gt;1)),"Gegenbuchung fehlt",IF(AND(H1343="Umbuchung",ROUND(SUMIFS($F$7:$F$1506,$A$7:$A$1506,K1343)+F1343,2)&lt;&gt;0),"Umbuchung abweichend",IF(OR(G1343="",M1343="",M1343="offen",M1343="teilbelegt",H1343="Ungeklärt",H1343="Bargeld"),"Beleg / Verwendung klären","vollständig erfasst")))))))))</x:f>
      </x:c>
    </x:row>
    <x:row r="1344" ht="22" customHeight="1">
      <x:c r="A1344" s="7"/>
      <x:c r="B1344" s="8"/>
      <x:c r="C1344" s="7"/>
      <x:c r="D1344" s="7"/>
      <x:c r="E1344" s="7"/>
      <x:c r="F1344" s="20"/>
      <x:c r="G1344" s="7"/>
      <x:c r="H1344" s="7"/>
      <x:c r="I1344" s="7"/>
      <x:c r="J1344" s="7"/>
      <x:c r="K1344" s="7"/>
      <x:c r="L1344" s="7"/>
      <x:c r="M1344" s="7"/>
      <x:c r="N1344" s="7"/>
      <x:c r="O1344" s="2" t="str">
        <x:f>IF(A1344="","",IF(COUNTIFS($A$7:$A$1506,A1344)&gt;1,"Buchung-ID doppelt",IF(OR(NOT(ISNUMBER(B1344)),C1344="",NOT(ISNUMBER(F1344)),H1344="",L1344=""),"Pflichtangaben fehlen",IF(COUNTIFS('Konten'!$A$7:$A$26,C1344)&lt;&gt;1,"Konto nicht eindeutig",IF(J1344&lt;&gt;"Ja","Zuordnung bestätigen",IF(OR(AND(H1344="Einnahme",F1344&lt;0),AND(H1344="Ausgabe",F1344&gt;0)),"Vorzeichen prüfen",IF(AND(H1344="Umbuchung",OR(K1344="",COUNTIFS($A$7:$A$1506,K1344)&lt;&gt;1)),"Gegenbuchung fehlt",IF(AND(H1344="Umbuchung",ROUND(SUMIFS($F$7:$F$1506,$A$7:$A$1506,K1344)+F1344,2)&lt;&gt;0),"Umbuchung abweichend",IF(OR(G1344="",M1344="",M1344="offen",M1344="teilbelegt",H1344="Ungeklärt",H1344="Bargeld"),"Beleg / Verwendung klären","vollständig erfasst")))))))))</x:f>
      </x:c>
    </x:row>
    <x:row r="1345" ht="22" customHeight="1">
      <x:c r="A1345" s="7"/>
      <x:c r="B1345" s="8"/>
      <x:c r="C1345" s="7"/>
      <x:c r="D1345" s="7"/>
      <x:c r="E1345" s="7"/>
      <x:c r="F1345" s="20"/>
      <x:c r="G1345" s="7"/>
      <x:c r="H1345" s="7"/>
      <x:c r="I1345" s="7"/>
      <x:c r="J1345" s="7"/>
      <x:c r="K1345" s="7"/>
      <x:c r="L1345" s="7"/>
      <x:c r="M1345" s="7"/>
      <x:c r="N1345" s="7"/>
      <x:c r="O1345" s="2" t="str">
        <x:f>IF(A1345="","",IF(COUNTIFS($A$7:$A$1506,A1345)&gt;1,"Buchung-ID doppelt",IF(OR(NOT(ISNUMBER(B1345)),C1345="",NOT(ISNUMBER(F1345)),H1345="",L1345=""),"Pflichtangaben fehlen",IF(COUNTIFS('Konten'!$A$7:$A$26,C1345)&lt;&gt;1,"Konto nicht eindeutig",IF(J1345&lt;&gt;"Ja","Zuordnung bestätigen",IF(OR(AND(H1345="Einnahme",F1345&lt;0),AND(H1345="Ausgabe",F1345&gt;0)),"Vorzeichen prüfen",IF(AND(H1345="Umbuchung",OR(K1345="",COUNTIFS($A$7:$A$1506,K1345)&lt;&gt;1)),"Gegenbuchung fehlt",IF(AND(H1345="Umbuchung",ROUND(SUMIFS($F$7:$F$1506,$A$7:$A$1506,K1345)+F1345,2)&lt;&gt;0),"Umbuchung abweichend",IF(OR(G1345="",M1345="",M1345="offen",M1345="teilbelegt",H1345="Ungeklärt",H1345="Bargeld"),"Beleg / Verwendung klären","vollständig erfasst")))))))))</x:f>
      </x:c>
    </x:row>
    <x:row r="1346" ht="22" customHeight="1">
      <x:c r="A1346" s="7"/>
      <x:c r="B1346" s="8"/>
      <x:c r="C1346" s="7"/>
      <x:c r="D1346" s="7"/>
      <x:c r="E1346" s="7"/>
      <x:c r="F1346" s="20"/>
      <x:c r="G1346" s="7"/>
      <x:c r="H1346" s="7"/>
      <x:c r="I1346" s="7"/>
      <x:c r="J1346" s="7"/>
      <x:c r="K1346" s="7"/>
      <x:c r="L1346" s="7"/>
      <x:c r="M1346" s="7"/>
      <x:c r="N1346" s="7"/>
      <x:c r="O1346" s="2" t="str">
        <x:f>IF(A1346="","",IF(COUNTIFS($A$7:$A$1506,A1346)&gt;1,"Buchung-ID doppelt",IF(OR(NOT(ISNUMBER(B1346)),C1346="",NOT(ISNUMBER(F1346)),H1346="",L1346=""),"Pflichtangaben fehlen",IF(COUNTIFS('Konten'!$A$7:$A$26,C1346)&lt;&gt;1,"Konto nicht eindeutig",IF(J1346&lt;&gt;"Ja","Zuordnung bestätigen",IF(OR(AND(H1346="Einnahme",F1346&lt;0),AND(H1346="Ausgabe",F1346&gt;0)),"Vorzeichen prüfen",IF(AND(H1346="Umbuchung",OR(K1346="",COUNTIFS($A$7:$A$1506,K1346)&lt;&gt;1)),"Gegenbuchung fehlt",IF(AND(H1346="Umbuchung",ROUND(SUMIFS($F$7:$F$1506,$A$7:$A$1506,K1346)+F1346,2)&lt;&gt;0),"Umbuchung abweichend",IF(OR(G1346="",M1346="",M1346="offen",M1346="teilbelegt",H1346="Ungeklärt",H1346="Bargeld"),"Beleg / Verwendung klären","vollständig erfasst")))))))))</x:f>
      </x:c>
    </x:row>
    <x:row r="1347" ht="22" customHeight="1">
      <x:c r="A1347" s="7"/>
      <x:c r="B1347" s="8"/>
      <x:c r="C1347" s="7"/>
      <x:c r="D1347" s="7"/>
      <x:c r="E1347" s="7"/>
      <x:c r="F1347" s="20"/>
      <x:c r="G1347" s="7"/>
      <x:c r="H1347" s="7"/>
      <x:c r="I1347" s="7"/>
      <x:c r="J1347" s="7"/>
      <x:c r="K1347" s="7"/>
      <x:c r="L1347" s="7"/>
      <x:c r="M1347" s="7"/>
      <x:c r="N1347" s="7"/>
      <x:c r="O1347" s="2" t="str">
        <x:f>IF(A1347="","",IF(COUNTIFS($A$7:$A$1506,A1347)&gt;1,"Buchung-ID doppelt",IF(OR(NOT(ISNUMBER(B1347)),C1347="",NOT(ISNUMBER(F1347)),H1347="",L1347=""),"Pflichtangaben fehlen",IF(COUNTIFS('Konten'!$A$7:$A$26,C1347)&lt;&gt;1,"Konto nicht eindeutig",IF(J1347&lt;&gt;"Ja","Zuordnung bestätigen",IF(OR(AND(H1347="Einnahme",F1347&lt;0),AND(H1347="Ausgabe",F1347&gt;0)),"Vorzeichen prüfen",IF(AND(H1347="Umbuchung",OR(K1347="",COUNTIFS($A$7:$A$1506,K1347)&lt;&gt;1)),"Gegenbuchung fehlt",IF(AND(H1347="Umbuchung",ROUND(SUMIFS($F$7:$F$1506,$A$7:$A$1506,K1347)+F1347,2)&lt;&gt;0),"Umbuchung abweichend",IF(OR(G1347="",M1347="",M1347="offen",M1347="teilbelegt",H1347="Ungeklärt",H1347="Bargeld"),"Beleg / Verwendung klären","vollständig erfasst")))))))))</x:f>
      </x:c>
    </x:row>
    <x:row r="1348" ht="22" customHeight="1">
      <x:c r="A1348" s="7"/>
      <x:c r="B1348" s="8"/>
      <x:c r="C1348" s="7"/>
      <x:c r="D1348" s="7"/>
      <x:c r="E1348" s="7"/>
      <x:c r="F1348" s="20"/>
      <x:c r="G1348" s="7"/>
      <x:c r="H1348" s="7"/>
      <x:c r="I1348" s="7"/>
      <x:c r="J1348" s="7"/>
      <x:c r="K1348" s="7"/>
      <x:c r="L1348" s="7"/>
      <x:c r="M1348" s="7"/>
      <x:c r="N1348" s="7"/>
      <x:c r="O1348" s="2" t="str">
        <x:f>IF(A1348="","",IF(COUNTIFS($A$7:$A$1506,A1348)&gt;1,"Buchung-ID doppelt",IF(OR(NOT(ISNUMBER(B1348)),C1348="",NOT(ISNUMBER(F1348)),H1348="",L1348=""),"Pflichtangaben fehlen",IF(COUNTIFS('Konten'!$A$7:$A$26,C1348)&lt;&gt;1,"Konto nicht eindeutig",IF(J1348&lt;&gt;"Ja","Zuordnung bestätigen",IF(OR(AND(H1348="Einnahme",F1348&lt;0),AND(H1348="Ausgabe",F1348&gt;0)),"Vorzeichen prüfen",IF(AND(H1348="Umbuchung",OR(K1348="",COUNTIFS($A$7:$A$1506,K1348)&lt;&gt;1)),"Gegenbuchung fehlt",IF(AND(H1348="Umbuchung",ROUND(SUMIFS($F$7:$F$1506,$A$7:$A$1506,K1348)+F1348,2)&lt;&gt;0),"Umbuchung abweichend",IF(OR(G1348="",M1348="",M1348="offen",M1348="teilbelegt",H1348="Ungeklärt",H1348="Bargeld"),"Beleg / Verwendung klären","vollständig erfasst")))))))))</x:f>
      </x:c>
    </x:row>
    <x:row r="1349" ht="22" customHeight="1">
      <x:c r="A1349" s="7"/>
      <x:c r="B1349" s="8"/>
      <x:c r="C1349" s="7"/>
      <x:c r="D1349" s="7"/>
      <x:c r="E1349" s="7"/>
      <x:c r="F1349" s="20"/>
      <x:c r="G1349" s="7"/>
      <x:c r="H1349" s="7"/>
      <x:c r="I1349" s="7"/>
      <x:c r="J1349" s="7"/>
      <x:c r="K1349" s="7"/>
      <x:c r="L1349" s="7"/>
      <x:c r="M1349" s="7"/>
      <x:c r="N1349" s="7"/>
      <x:c r="O1349" s="2" t="str">
        <x:f>IF(A1349="","",IF(COUNTIFS($A$7:$A$1506,A1349)&gt;1,"Buchung-ID doppelt",IF(OR(NOT(ISNUMBER(B1349)),C1349="",NOT(ISNUMBER(F1349)),H1349="",L1349=""),"Pflichtangaben fehlen",IF(COUNTIFS('Konten'!$A$7:$A$26,C1349)&lt;&gt;1,"Konto nicht eindeutig",IF(J1349&lt;&gt;"Ja","Zuordnung bestätigen",IF(OR(AND(H1349="Einnahme",F1349&lt;0),AND(H1349="Ausgabe",F1349&gt;0)),"Vorzeichen prüfen",IF(AND(H1349="Umbuchung",OR(K1349="",COUNTIFS($A$7:$A$1506,K1349)&lt;&gt;1)),"Gegenbuchung fehlt",IF(AND(H1349="Umbuchung",ROUND(SUMIFS($F$7:$F$1506,$A$7:$A$1506,K1349)+F1349,2)&lt;&gt;0),"Umbuchung abweichend",IF(OR(G1349="",M1349="",M1349="offen",M1349="teilbelegt",H1349="Ungeklärt",H1349="Bargeld"),"Beleg / Verwendung klären","vollständig erfasst")))))))))</x:f>
      </x:c>
    </x:row>
    <x:row r="1350" ht="22" customHeight="1">
      <x:c r="A1350" s="7"/>
      <x:c r="B1350" s="8"/>
      <x:c r="C1350" s="7"/>
      <x:c r="D1350" s="7"/>
      <x:c r="E1350" s="7"/>
      <x:c r="F1350" s="20"/>
      <x:c r="G1350" s="7"/>
      <x:c r="H1350" s="7"/>
      <x:c r="I1350" s="7"/>
      <x:c r="J1350" s="7"/>
      <x:c r="K1350" s="7"/>
      <x:c r="L1350" s="7"/>
      <x:c r="M1350" s="7"/>
      <x:c r="N1350" s="7"/>
      <x:c r="O1350" s="2" t="str">
        <x:f>IF(A1350="","",IF(COUNTIFS($A$7:$A$1506,A1350)&gt;1,"Buchung-ID doppelt",IF(OR(NOT(ISNUMBER(B1350)),C1350="",NOT(ISNUMBER(F1350)),H1350="",L1350=""),"Pflichtangaben fehlen",IF(COUNTIFS('Konten'!$A$7:$A$26,C1350)&lt;&gt;1,"Konto nicht eindeutig",IF(J1350&lt;&gt;"Ja","Zuordnung bestätigen",IF(OR(AND(H1350="Einnahme",F1350&lt;0),AND(H1350="Ausgabe",F1350&gt;0)),"Vorzeichen prüfen",IF(AND(H1350="Umbuchung",OR(K1350="",COUNTIFS($A$7:$A$1506,K1350)&lt;&gt;1)),"Gegenbuchung fehlt",IF(AND(H1350="Umbuchung",ROUND(SUMIFS($F$7:$F$1506,$A$7:$A$1506,K1350)+F1350,2)&lt;&gt;0),"Umbuchung abweichend",IF(OR(G1350="",M1350="",M1350="offen",M1350="teilbelegt",H1350="Ungeklärt",H1350="Bargeld"),"Beleg / Verwendung klären","vollständig erfasst")))))))))</x:f>
      </x:c>
    </x:row>
    <x:row r="1351" ht="22" customHeight="1">
      <x:c r="A1351" s="7"/>
      <x:c r="B1351" s="8"/>
      <x:c r="C1351" s="7"/>
      <x:c r="D1351" s="7"/>
      <x:c r="E1351" s="7"/>
      <x:c r="F1351" s="20"/>
      <x:c r="G1351" s="7"/>
      <x:c r="H1351" s="7"/>
      <x:c r="I1351" s="7"/>
      <x:c r="J1351" s="7"/>
      <x:c r="K1351" s="7"/>
      <x:c r="L1351" s="7"/>
      <x:c r="M1351" s="7"/>
      <x:c r="N1351" s="7"/>
      <x:c r="O1351" s="2" t="str">
        <x:f>IF(A1351="","",IF(COUNTIFS($A$7:$A$1506,A1351)&gt;1,"Buchung-ID doppelt",IF(OR(NOT(ISNUMBER(B1351)),C1351="",NOT(ISNUMBER(F1351)),H1351="",L1351=""),"Pflichtangaben fehlen",IF(COUNTIFS('Konten'!$A$7:$A$26,C1351)&lt;&gt;1,"Konto nicht eindeutig",IF(J1351&lt;&gt;"Ja","Zuordnung bestätigen",IF(OR(AND(H1351="Einnahme",F1351&lt;0),AND(H1351="Ausgabe",F1351&gt;0)),"Vorzeichen prüfen",IF(AND(H1351="Umbuchung",OR(K1351="",COUNTIFS($A$7:$A$1506,K1351)&lt;&gt;1)),"Gegenbuchung fehlt",IF(AND(H1351="Umbuchung",ROUND(SUMIFS($F$7:$F$1506,$A$7:$A$1506,K1351)+F1351,2)&lt;&gt;0),"Umbuchung abweichend",IF(OR(G1351="",M1351="",M1351="offen",M1351="teilbelegt",H1351="Ungeklärt",H1351="Bargeld"),"Beleg / Verwendung klären","vollständig erfasst")))))))))</x:f>
      </x:c>
    </x:row>
    <x:row r="1352" ht="22" customHeight="1">
      <x:c r="A1352" s="7"/>
      <x:c r="B1352" s="8"/>
      <x:c r="C1352" s="7"/>
      <x:c r="D1352" s="7"/>
      <x:c r="E1352" s="7"/>
      <x:c r="F1352" s="20"/>
      <x:c r="G1352" s="7"/>
      <x:c r="H1352" s="7"/>
      <x:c r="I1352" s="7"/>
      <x:c r="J1352" s="7"/>
      <x:c r="K1352" s="7"/>
      <x:c r="L1352" s="7"/>
      <x:c r="M1352" s="7"/>
      <x:c r="N1352" s="7"/>
      <x:c r="O1352" s="2" t="str">
        <x:f>IF(A1352="","",IF(COUNTIFS($A$7:$A$1506,A1352)&gt;1,"Buchung-ID doppelt",IF(OR(NOT(ISNUMBER(B1352)),C1352="",NOT(ISNUMBER(F1352)),H1352="",L1352=""),"Pflichtangaben fehlen",IF(COUNTIFS('Konten'!$A$7:$A$26,C1352)&lt;&gt;1,"Konto nicht eindeutig",IF(J1352&lt;&gt;"Ja","Zuordnung bestätigen",IF(OR(AND(H1352="Einnahme",F1352&lt;0),AND(H1352="Ausgabe",F1352&gt;0)),"Vorzeichen prüfen",IF(AND(H1352="Umbuchung",OR(K1352="",COUNTIFS($A$7:$A$1506,K1352)&lt;&gt;1)),"Gegenbuchung fehlt",IF(AND(H1352="Umbuchung",ROUND(SUMIFS($F$7:$F$1506,$A$7:$A$1506,K1352)+F1352,2)&lt;&gt;0),"Umbuchung abweichend",IF(OR(G1352="",M1352="",M1352="offen",M1352="teilbelegt",H1352="Ungeklärt",H1352="Bargeld"),"Beleg / Verwendung klären","vollständig erfasst")))))))))</x:f>
      </x:c>
    </x:row>
    <x:row r="1353" ht="22" customHeight="1">
      <x:c r="A1353" s="7"/>
      <x:c r="B1353" s="8"/>
      <x:c r="C1353" s="7"/>
      <x:c r="D1353" s="7"/>
      <x:c r="E1353" s="7"/>
      <x:c r="F1353" s="20"/>
      <x:c r="G1353" s="7"/>
      <x:c r="H1353" s="7"/>
      <x:c r="I1353" s="7"/>
      <x:c r="J1353" s="7"/>
      <x:c r="K1353" s="7"/>
      <x:c r="L1353" s="7"/>
      <x:c r="M1353" s="7"/>
      <x:c r="N1353" s="7"/>
      <x:c r="O1353" s="2" t="str">
        <x:f>IF(A1353="","",IF(COUNTIFS($A$7:$A$1506,A1353)&gt;1,"Buchung-ID doppelt",IF(OR(NOT(ISNUMBER(B1353)),C1353="",NOT(ISNUMBER(F1353)),H1353="",L1353=""),"Pflichtangaben fehlen",IF(COUNTIFS('Konten'!$A$7:$A$26,C1353)&lt;&gt;1,"Konto nicht eindeutig",IF(J1353&lt;&gt;"Ja","Zuordnung bestätigen",IF(OR(AND(H1353="Einnahme",F1353&lt;0),AND(H1353="Ausgabe",F1353&gt;0)),"Vorzeichen prüfen",IF(AND(H1353="Umbuchung",OR(K1353="",COUNTIFS($A$7:$A$1506,K1353)&lt;&gt;1)),"Gegenbuchung fehlt",IF(AND(H1353="Umbuchung",ROUND(SUMIFS($F$7:$F$1506,$A$7:$A$1506,K1353)+F1353,2)&lt;&gt;0),"Umbuchung abweichend",IF(OR(G1353="",M1353="",M1353="offen",M1353="teilbelegt",H1353="Ungeklärt",H1353="Bargeld"),"Beleg / Verwendung klären","vollständig erfasst")))))))))</x:f>
      </x:c>
    </x:row>
    <x:row r="1354" ht="22" customHeight="1">
      <x:c r="A1354" s="7"/>
      <x:c r="B1354" s="8"/>
      <x:c r="C1354" s="7"/>
      <x:c r="D1354" s="7"/>
      <x:c r="E1354" s="7"/>
      <x:c r="F1354" s="20"/>
      <x:c r="G1354" s="7"/>
      <x:c r="H1354" s="7"/>
      <x:c r="I1354" s="7"/>
      <x:c r="J1354" s="7"/>
      <x:c r="K1354" s="7"/>
      <x:c r="L1354" s="7"/>
      <x:c r="M1354" s="7"/>
      <x:c r="N1354" s="7"/>
      <x:c r="O1354" s="2" t="str">
        <x:f>IF(A1354="","",IF(COUNTIFS($A$7:$A$1506,A1354)&gt;1,"Buchung-ID doppelt",IF(OR(NOT(ISNUMBER(B1354)),C1354="",NOT(ISNUMBER(F1354)),H1354="",L1354=""),"Pflichtangaben fehlen",IF(COUNTIFS('Konten'!$A$7:$A$26,C1354)&lt;&gt;1,"Konto nicht eindeutig",IF(J1354&lt;&gt;"Ja","Zuordnung bestätigen",IF(OR(AND(H1354="Einnahme",F1354&lt;0),AND(H1354="Ausgabe",F1354&gt;0)),"Vorzeichen prüfen",IF(AND(H1354="Umbuchung",OR(K1354="",COUNTIFS($A$7:$A$1506,K1354)&lt;&gt;1)),"Gegenbuchung fehlt",IF(AND(H1354="Umbuchung",ROUND(SUMIFS($F$7:$F$1506,$A$7:$A$1506,K1354)+F1354,2)&lt;&gt;0),"Umbuchung abweichend",IF(OR(G1354="",M1354="",M1354="offen",M1354="teilbelegt",H1354="Ungeklärt",H1354="Bargeld"),"Beleg / Verwendung klären","vollständig erfasst")))))))))</x:f>
      </x:c>
    </x:row>
    <x:row r="1355" ht="22" customHeight="1">
      <x:c r="A1355" s="7"/>
      <x:c r="B1355" s="8"/>
      <x:c r="C1355" s="7"/>
      <x:c r="D1355" s="7"/>
      <x:c r="E1355" s="7"/>
      <x:c r="F1355" s="20"/>
      <x:c r="G1355" s="7"/>
      <x:c r="H1355" s="7"/>
      <x:c r="I1355" s="7"/>
      <x:c r="J1355" s="7"/>
      <x:c r="K1355" s="7"/>
      <x:c r="L1355" s="7"/>
      <x:c r="M1355" s="7"/>
      <x:c r="N1355" s="7"/>
      <x:c r="O1355" s="2" t="str">
        <x:f>IF(A1355="","",IF(COUNTIFS($A$7:$A$1506,A1355)&gt;1,"Buchung-ID doppelt",IF(OR(NOT(ISNUMBER(B1355)),C1355="",NOT(ISNUMBER(F1355)),H1355="",L1355=""),"Pflichtangaben fehlen",IF(COUNTIFS('Konten'!$A$7:$A$26,C1355)&lt;&gt;1,"Konto nicht eindeutig",IF(J1355&lt;&gt;"Ja","Zuordnung bestätigen",IF(OR(AND(H1355="Einnahme",F1355&lt;0),AND(H1355="Ausgabe",F1355&gt;0)),"Vorzeichen prüfen",IF(AND(H1355="Umbuchung",OR(K1355="",COUNTIFS($A$7:$A$1506,K1355)&lt;&gt;1)),"Gegenbuchung fehlt",IF(AND(H1355="Umbuchung",ROUND(SUMIFS($F$7:$F$1506,$A$7:$A$1506,K1355)+F1355,2)&lt;&gt;0),"Umbuchung abweichend",IF(OR(G1355="",M1355="",M1355="offen",M1355="teilbelegt",H1355="Ungeklärt",H1355="Bargeld"),"Beleg / Verwendung klären","vollständig erfasst")))))))))</x:f>
      </x:c>
    </x:row>
    <x:row r="1356" ht="22" customHeight="1">
      <x:c r="A1356" s="7"/>
      <x:c r="B1356" s="8"/>
      <x:c r="C1356" s="7"/>
      <x:c r="D1356" s="7"/>
      <x:c r="E1356" s="7"/>
      <x:c r="F1356" s="20"/>
      <x:c r="G1356" s="7"/>
      <x:c r="H1356" s="7"/>
      <x:c r="I1356" s="7"/>
      <x:c r="J1356" s="7"/>
      <x:c r="K1356" s="7"/>
      <x:c r="L1356" s="7"/>
      <x:c r="M1356" s="7"/>
      <x:c r="N1356" s="7"/>
      <x:c r="O1356" s="2" t="str">
        <x:f>IF(A1356="","",IF(COUNTIFS($A$7:$A$1506,A1356)&gt;1,"Buchung-ID doppelt",IF(OR(NOT(ISNUMBER(B1356)),C1356="",NOT(ISNUMBER(F1356)),H1356="",L1356=""),"Pflichtangaben fehlen",IF(COUNTIFS('Konten'!$A$7:$A$26,C1356)&lt;&gt;1,"Konto nicht eindeutig",IF(J1356&lt;&gt;"Ja","Zuordnung bestätigen",IF(OR(AND(H1356="Einnahme",F1356&lt;0),AND(H1356="Ausgabe",F1356&gt;0)),"Vorzeichen prüfen",IF(AND(H1356="Umbuchung",OR(K1356="",COUNTIFS($A$7:$A$1506,K1356)&lt;&gt;1)),"Gegenbuchung fehlt",IF(AND(H1356="Umbuchung",ROUND(SUMIFS($F$7:$F$1506,$A$7:$A$1506,K1356)+F1356,2)&lt;&gt;0),"Umbuchung abweichend",IF(OR(G1356="",M1356="",M1356="offen",M1356="teilbelegt",H1356="Ungeklärt",H1356="Bargeld"),"Beleg / Verwendung klären","vollständig erfasst")))))))))</x:f>
      </x:c>
    </x:row>
    <x:row r="1357" ht="22" customHeight="1">
      <x:c r="A1357" s="7"/>
      <x:c r="B1357" s="8"/>
      <x:c r="C1357" s="7"/>
      <x:c r="D1357" s="7"/>
      <x:c r="E1357" s="7"/>
      <x:c r="F1357" s="20"/>
      <x:c r="G1357" s="7"/>
      <x:c r="H1357" s="7"/>
      <x:c r="I1357" s="7"/>
      <x:c r="J1357" s="7"/>
      <x:c r="K1357" s="7"/>
      <x:c r="L1357" s="7"/>
      <x:c r="M1357" s="7"/>
      <x:c r="N1357" s="7"/>
      <x:c r="O1357" s="2" t="str">
        <x:f>IF(A1357="","",IF(COUNTIFS($A$7:$A$1506,A1357)&gt;1,"Buchung-ID doppelt",IF(OR(NOT(ISNUMBER(B1357)),C1357="",NOT(ISNUMBER(F1357)),H1357="",L1357=""),"Pflichtangaben fehlen",IF(COUNTIFS('Konten'!$A$7:$A$26,C1357)&lt;&gt;1,"Konto nicht eindeutig",IF(J1357&lt;&gt;"Ja","Zuordnung bestätigen",IF(OR(AND(H1357="Einnahme",F1357&lt;0),AND(H1357="Ausgabe",F1357&gt;0)),"Vorzeichen prüfen",IF(AND(H1357="Umbuchung",OR(K1357="",COUNTIFS($A$7:$A$1506,K1357)&lt;&gt;1)),"Gegenbuchung fehlt",IF(AND(H1357="Umbuchung",ROUND(SUMIFS($F$7:$F$1506,$A$7:$A$1506,K1357)+F1357,2)&lt;&gt;0),"Umbuchung abweichend",IF(OR(G1357="",M1357="",M1357="offen",M1357="teilbelegt",H1357="Ungeklärt",H1357="Bargeld"),"Beleg / Verwendung klären","vollständig erfasst")))))))))</x:f>
      </x:c>
    </x:row>
    <x:row r="1358" ht="22" customHeight="1">
      <x:c r="A1358" s="7"/>
      <x:c r="B1358" s="8"/>
      <x:c r="C1358" s="7"/>
      <x:c r="D1358" s="7"/>
      <x:c r="E1358" s="7"/>
      <x:c r="F1358" s="20"/>
      <x:c r="G1358" s="7"/>
      <x:c r="H1358" s="7"/>
      <x:c r="I1358" s="7"/>
      <x:c r="J1358" s="7"/>
      <x:c r="K1358" s="7"/>
      <x:c r="L1358" s="7"/>
      <x:c r="M1358" s="7"/>
      <x:c r="N1358" s="7"/>
      <x:c r="O1358" s="2" t="str">
        <x:f>IF(A1358="","",IF(COUNTIFS($A$7:$A$1506,A1358)&gt;1,"Buchung-ID doppelt",IF(OR(NOT(ISNUMBER(B1358)),C1358="",NOT(ISNUMBER(F1358)),H1358="",L1358=""),"Pflichtangaben fehlen",IF(COUNTIFS('Konten'!$A$7:$A$26,C1358)&lt;&gt;1,"Konto nicht eindeutig",IF(J1358&lt;&gt;"Ja","Zuordnung bestätigen",IF(OR(AND(H1358="Einnahme",F1358&lt;0),AND(H1358="Ausgabe",F1358&gt;0)),"Vorzeichen prüfen",IF(AND(H1358="Umbuchung",OR(K1358="",COUNTIFS($A$7:$A$1506,K1358)&lt;&gt;1)),"Gegenbuchung fehlt",IF(AND(H1358="Umbuchung",ROUND(SUMIFS($F$7:$F$1506,$A$7:$A$1506,K1358)+F1358,2)&lt;&gt;0),"Umbuchung abweichend",IF(OR(G1358="",M1358="",M1358="offen",M1358="teilbelegt",H1358="Ungeklärt",H1358="Bargeld"),"Beleg / Verwendung klären","vollständig erfasst")))))))))</x:f>
      </x:c>
    </x:row>
    <x:row r="1359" ht="22" customHeight="1">
      <x:c r="A1359" s="7"/>
      <x:c r="B1359" s="8"/>
      <x:c r="C1359" s="7"/>
      <x:c r="D1359" s="7"/>
      <x:c r="E1359" s="7"/>
      <x:c r="F1359" s="20"/>
      <x:c r="G1359" s="7"/>
      <x:c r="H1359" s="7"/>
      <x:c r="I1359" s="7"/>
      <x:c r="J1359" s="7"/>
      <x:c r="K1359" s="7"/>
      <x:c r="L1359" s="7"/>
      <x:c r="M1359" s="7"/>
      <x:c r="N1359" s="7"/>
      <x:c r="O1359" s="2" t="str">
        <x:f>IF(A1359="","",IF(COUNTIFS($A$7:$A$1506,A1359)&gt;1,"Buchung-ID doppelt",IF(OR(NOT(ISNUMBER(B1359)),C1359="",NOT(ISNUMBER(F1359)),H1359="",L1359=""),"Pflichtangaben fehlen",IF(COUNTIFS('Konten'!$A$7:$A$26,C1359)&lt;&gt;1,"Konto nicht eindeutig",IF(J1359&lt;&gt;"Ja","Zuordnung bestätigen",IF(OR(AND(H1359="Einnahme",F1359&lt;0),AND(H1359="Ausgabe",F1359&gt;0)),"Vorzeichen prüfen",IF(AND(H1359="Umbuchung",OR(K1359="",COUNTIFS($A$7:$A$1506,K1359)&lt;&gt;1)),"Gegenbuchung fehlt",IF(AND(H1359="Umbuchung",ROUND(SUMIFS($F$7:$F$1506,$A$7:$A$1506,K1359)+F1359,2)&lt;&gt;0),"Umbuchung abweichend",IF(OR(G1359="",M1359="",M1359="offen",M1359="teilbelegt",H1359="Ungeklärt",H1359="Bargeld"),"Beleg / Verwendung klären","vollständig erfasst")))))))))</x:f>
      </x:c>
    </x:row>
    <x:row r="1360" ht="22" customHeight="1">
      <x:c r="A1360" s="7"/>
      <x:c r="B1360" s="8"/>
      <x:c r="C1360" s="7"/>
      <x:c r="D1360" s="7"/>
      <x:c r="E1360" s="7"/>
      <x:c r="F1360" s="20"/>
      <x:c r="G1360" s="7"/>
      <x:c r="H1360" s="7"/>
      <x:c r="I1360" s="7"/>
      <x:c r="J1360" s="7"/>
      <x:c r="K1360" s="7"/>
      <x:c r="L1360" s="7"/>
      <x:c r="M1360" s="7"/>
      <x:c r="N1360" s="7"/>
      <x:c r="O1360" s="2" t="str">
        <x:f>IF(A1360="","",IF(COUNTIFS($A$7:$A$1506,A1360)&gt;1,"Buchung-ID doppelt",IF(OR(NOT(ISNUMBER(B1360)),C1360="",NOT(ISNUMBER(F1360)),H1360="",L1360=""),"Pflichtangaben fehlen",IF(COUNTIFS('Konten'!$A$7:$A$26,C1360)&lt;&gt;1,"Konto nicht eindeutig",IF(J1360&lt;&gt;"Ja","Zuordnung bestätigen",IF(OR(AND(H1360="Einnahme",F1360&lt;0),AND(H1360="Ausgabe",F1360&gt;0)),"Vorzeichen prüfen",IF(AND(H1360="Umbuchung",OR(K1360="",COUNTIFS($A$7:$A$1506,K1360)&lt;&gt;1)),"Gegenbuchung fehlt",IF(AND(H1360="Umbuchung",ROUND(SUMIFS($F$7:$F$1506,$A$7:$A$1506,K1360)+F1360,2)&lt;&gt;0),"Umbuchung abweichend",IF(OR(G1360="",M1360="",M1360="offen",M1360="teilbelegt",H1360="Ungeklärt",H1360="Bargeld"),"Beleg / Verwendung klären","vollständig erfasst")))))))))</x:f>
      </x:c>
    </x:row>
    <x:row r="1361" ht="22" customHeight="1">
      <x:c r="A1361" s="7"/>
      <x:c r="B1361" s="8"/>
      <x:c r="C1361" s="7"/>
      <x:c r="D1361" s="7"/>
      <x:c r="E1361" s="7"/>
      <x:c r="F1361" s="20"/>
      <x:c r="G1361" s="7"/>
      <x:c r="H1361" s="7"/>
      <x:c r="I1361" s="7"/>
      <x:c r="J1361" s="7"/>
      <x:c r="K1361" s="7"/>
      <x:c r="L1361" s="7"/>
      <x:c r="M1361" s="7"/>
      <x:c r="N1361" s="7"/>
      <x:c r="O1361" s="2" t="str">
        <x:f>IF(A1361="","",IF(COUNTIFS($A$7:$A$1506,A1361)&gt;1,"Buchung-ID doppelt",IF(OR(NOT(ISNUMBER(B1361)),C1361="",NOT(ISNUMBER(F1361)),H1361="",L1361=""),"Pflichtangaben fehlen",IF(COUNTIFS('Konten'!$A$7:$A$26,C1361)&lt;&gt;1,"Konto nicht eindeutig",IF(J1361&lt;&gt;"Ja","Zuordnung bestätigen",IF(OR(AND(H1361="Einnahme",F1361&lt;0),AND(H1361="Ausgabe",F1361&gt;0)),"Vorzeichen prüfen",IF(AND(H1361="Umbuchung",OR(K1361="",COUNTIFS($A$7:$A$1506,K1361)&lt;&gt;1)),"Gegenbuchung fehlt",IF(AND(H1361="Umbuchung",ROUND(SUMIFS($F$7:$F$1506,$A$7:$A$1506,K1361)+F1361,2)&lt;&gt;0),"Umbuchung abweichend",IF(OR(G1361="",M1361="",M1361="offen",M1361="teilbelegt",H1361="Ungeklärt",H1361="Bargeld"),"Beleg / Verwendung klären","vollständig erfasst")))))))))</x:f>
      </x:c>
    </x:row>
    <x:row r="1362" ht="22" customHeight="1">
      <x:c r="A1362" s="7"/>
      <x:c r="B1362" s="8"/>
      <x:c r="C1362" s="7"/>
      <x:c r="D1362" s="7"/>
      <x:c r="E1362" s="7"/>
      <x:c r="F1362" s="20"/>
      <x:c r="G1362" s="7"/>
      <x:c r="H1362" s="7"/>
      <x:c r="I1362" s="7"/>
      <x:c r="J1362" s="7"/>
      <x:c r="K1362" s="7"/>
      <x:c r="L1362" s="7"/>
      <x:c r="M1362" s="7"/>
      <x:c r="N1362" s="7"/>
      <x:c r="O1362" s="2" t="str">
        <x:f>IF(A1362="","",IF(COUNTIFS($A$7:$A$1506,A1362)&gt;1,"Buchung-ID doppelt",IF(OR(NOT(ISNUMBER(B1362)),C1362="",NOT(ISNUMBER(F1362)),H1362="",L1362=""),"Pflichtangaben fehlen",IF(COUNTIFS('Konten'!$A$7:$A$26,C1362)&lt;&gt;1,"Konto nicht eindeutig",IF(J1362&lt;&gt;"Ja","Zuordnung bestätigen",IF(OR(AND(H1362="Einnahme",F1362&lt;0),AND(H1362="Ausgabe",F1362&gt;0)),"Vorzeichen prüfen",IF(AND(H1362="Umbuchung",OR(K1362="",COUNTIFS($A$7:$A$1506,K1362)&lt;&gt;1)),"Gegenbuchung fehlt",IF(AND(H1362="Umbuchung",ROUND(SUMIFS($F$7:$F$1506,$A$7:$A$1506,K1362)+F1362,2)&lt;&gt;0),"Umbuchung abweichend",IF(OR(G1362="",M1362="",M1362="offen",M1362="teilbelegt",H1362="Ungeklärt",H1362="Bargeld"),"Beleg / Verwendung klären","vollständig erfasst")))))))))</x:f>
      </x:c>
    </x:row>
    <x:row r="1363" ht="22" customHeight="1">
      <x:c r="A1363" s="7"/>
      <x:c r="B1363" s="8"/>
      <x:c r="C1363" s="7"/>
      <x:c r="D1363" s="7"/>
      <x:c r="E1363" s="7"/>
      <x:c r="F1363" s="20"/>
      <x:c r="G1363" s="7"/>
      <x:c r="H1363" s="7"/>
      <x:c r="I1363" s="7"/>
      <x:c r="J1363" s="7"/>
      <x:c r="K1363" s="7"/>
      <x:c r="L1363" s="7"/>
      <x:c r="M1363" s="7"/>
      <x:c r="N1363" s="7"/>
      <x:c r="O1363" s="2" t="str">
        <x:f>IF(A1363="","",IF(COUNTIFS($A$7:$A$1506,A1363)&gt;1,"Buchung-ID doppelt",IF(OR(NOT(ISNUMBER(B1363)),C1363="",NOT(ISNUMBER(F1363)),H1363="",L1363=""),"Pflichtangaben fehlen",IF(COUNTIFS('Konten'!$A$7:$A$26,C1363)&lt;&gt;1,"Konto nicht eindeutig",IF(J1363&lt;&gt;"Ja","Zuordnung bestätigen",IF(OR(AND(H1363="Einnahme",F1363&lt;0),AND(H1363="Ausgabe",F1363&gt;0)),"Vorzeichen prüfen",IF(AND(H1363="Umbuchung",OR(K1363="",COUNTIFS($A$7:$A$1506,K1363)&lt;&gt;1)),"Gegenbuchung fehlt",IF(AND(H1363="Umbuchung",ROUND(SUMIFS($F$7:$F$1506,$A$7:$A$1506,K1363)+F1363,2)&lt;&gt;0),"Umbuchung abweichend",IF(OR(G1363="",M1363="",M1363="offen",M1363="teilbelegt",H1363="Ungeklärt",H1363="Bargeld"),"Beleg / Verwendung klären","vollständig erfasst")))))))))</x:f>
      </x:c>
    </x:row>
    <x:row r="1364" ht="22" customHeight="1">
      <x:c r="A1364" s="7"/>
      <x:c r="B1364" s="8"/>
      <x:c r="C1364" s="7"/>
      <x:c r="D1364" s="7"/>
      <x:c r="E1364" s="7"/>
      <x:c r="F1364" s="20"/>
      <x:c r="G1364" s="7"/>
      <x:c r="H1364" s="7"/>
      <x:c r="I1364" s="7"/>
      <x:c r="J1364" s="7"/>
      <x:c r="K1364" s="7"/>
      <x:c r="L1364" s="7"/>
      <x:c r="M1364" s="7"/>
      <x:c r="N1364" s="7"/>
      <x:c r="O1364" s="2" t="str">
        <x:f>IF(A1364="","",IF(COUNTIFS($A$7:$A$1506,A1364)&gt;1,"Buchung-ID doppelt",IF(OR(NOT(ISNUMBER(B1364)),C1364="",NOT(ISNUMBER(F1364)),H1364="",L1364=""),"Pflichtangaben fehlen",IF(COUNTIFS('Konten'!$A$7:$A$26,C1364)&lt;&gt;1,"Konto nicht eindeutig",IF(J1364&lt;&gt;"Ja","Zuordnung bestätigen",IF(OR(AND(H1364="Einnahme",F1364&lt;0),AND(H1364="Ausgabe",F1364&gt;0)),"Vorzeichen prüfen",IF(AND(H1364="Umbuchung",OR(K1364="",COUNTIFS($A$7:$A$1506,K1364)&lt;&gt;1)),"Gegenbuchung fehlt",IF(AND(H1364="Umbuchung",ROUND(SUMIFS($F$7:$F$1506,$A$7:$A$1506,K1364)+F1364,2)&lt;&gt;0),"Umbuchung abweichend",IF(OR(G1364="",M1364="",M1364="offen",M1364="teilbelegt",H1364="Ungeklärt",H1364="Bargeld"),"Beleg / Verwendung klären","vollständig erfasst")))))))))</x:f>
      </x:c>
    </x:row>
    <x:row r="1365" ht="22" customHeight="1">
      <x:c r="A1365" s="7"/>
      <x:c r="B1365" s="8"/>
      <x:c r="C1365" s="7"/>
      <x:c r="D1365" s="7"/>
      <x:c r="E1365" s="7"/>
      <x:c r="F1365" s="20"/>
      <x:c r="G1365" s="7"/>
      <x:c r="H1365" s="7"/>
      <x:c r="I1365" s="7"/>
      <x:c r="J1365" s="7"/>
      <x:c r="K1365" s="7"/>
      <x:c r="L1365" s="7"/>
      <x:c r="M1365" s="7"/>
      <x:c r="N1365" s="7"/>
      <x:c r="O1365" s="2" t="str">
        <x:f>IF(A1365="","",IF(COUNTIFS($A$7:$A$1506,A1365)&gt;1,"Buchung-ID doppelt",IF(OR(NOT(ISNUMBER(B1365)),C1365="",NOT(ISNUMBER(F1365)),H1365="",L1365=""),"Pflichtangaben fehlen",IF(COUNTIFS('Konten'!$A$7:$A$26,C1365)&lt;&gt;1,"Konto nicht eindeutig",IF(J1365&lt;&gt;"Ja","Zuordnung bestätigen",IF(OR(AND(H1365="Einnahme",F1365&lt;0),AND(H1365="Ausgabe",F1365&gt;0)),"Vorzeichen prüfen",IF(AND(H1365="Umbuchung",OR(K1365="",COUNTIFS($A$7:$A$1506,K1365)&lt;&gt;1)),"Gegenbuchung fehlt",IF(AND(H1365="Umbuchung",ROUND(SUMIFS($F$7:$F$1506,$A$7:$A$1506,K1365)+F1365,2)&lt;&gt;0),"Umbuchung abweichend",IF(OR(G1365="",M1365="",M1365="offen",M1365="teilbelegt",H1365="Ungeklärt",H1365="Bargeld"),"Beleg / Verwendung klären","vollständig erfasst")))))))))</x:f>
      </x:c>
    </x:row>
    <x:row r="1366" ht="22" customHeight="1">
      <x:c r="A1366" s="7"/>
      <x:c r="B1366" s="8"/>
      <x:c r="C1366" s="7"/>
      <x:c r="D1366" s="7"/>
      <x:c r="E1366" s="7"/>
      <x:c r="F1366" s="20"/>
      <x:c r="G1366" s="7"/>
      <x:c r="H1366" s="7"/>
      <x:c r="I1366" s="7"/>
      <x:c r="J1366" s="7"/>
      <x:c r="K1366" s="7"/>
      <x:c r="L1366" s="7"/>
      <x:c r="M1366" s="7"/>
      <x:c r="N1366" s="7"/>
      <x:c r="O1366" s="2" t="str">
        <x:f>IF(A1366="","",IF(COUNTIFS($A$7:$A$1506,A1366)&gt;1,"Buchung-ID doppelt",IF(OR(NOT(ISNUMBER(B1366)),C1366="",NOT(ISNUMBER(F1366)),H1366="",L1366=""),"Pflichtangaben fehlen",IF(COUNTIFS('Konten'!$A$7:$A$26,C1366)&lt;&gt;1,"Konto nicht eindeutig",IF(J1366&lt;&gt;"Ja","Zuordnung bestätigen",IF(OR(AND(H1366="Einnahme",F1366&lt;0),AND(H1366="Ausgabe",F1366&gt;0)),"Vorzeichen prüfen",IF(AND(H1366="Umbuchung",OR(K1366="",COUNTIFS($A$7:$A$1506,K1366)&lt;&gt;1)),"Gegenbuchung fehlt",IF(AND(H1366="Umbuchung",ROUND(SUMIFS($F$7:$F$1506,$A$7:$A$1506,K1366)+F1366,2)&lt;&gt;0),"Umbuchung abweichend",IF(OR(G1366="",M1366="",M1366="offen",M1366="teilbelegt",H1366="Ungeklärt",H1366="Bargeld"),"Beleg / Verwendung klären","vollständig erfasst")))))))))</x:f>
      </x:c>
    </x:row>
    <x:row r="1367" ht="22" customHeight="1">
      <x:c r="A1367" s="7"/>
      <x:c r="B1367" s="8"/>
      <x:c r="C1367" s="7"/>
      <x:c r="D1367" s="7"/>
      <x:c r="E1367" s="7"/>
      <x:c r="F1367" s="20"/>
      <x:c r="G1367" s="7"/>
      <x:c r="H1367" s="7"/>
      <x:c r="I1367" s="7"/>
      <x:c r="J1367" s="7"/>
      <x:c r="K1367" s="7"/>
      <x:c r="L1367" s="7"/>
      <x:c r="M1367" s="7"/>
      <x:c r="N1367" s="7"/>
      <x:c r="O1367" s="2" t="str">
        <x:f>IF(A1367="","",IF(COUNTIFS($A$7:$A$1506,A1367)&gt;1,"Buchung-ID doppelt",IF(OR(NOT(ISNUMBER(B1367)),C1367="",NOT(ISNUMBER(F1367)),H1367="",L1367=""),"Pflichtangaben fehlen",IF(COUNTIFS('Konten'!$A$7:$A$26,C1367)&lt;&gt;1,"Konto nicht eindeutig",IF(J1367&lt;&gt;"Ja","Zuordnung bestätigen",IF(OR(AND(H1367="Einnahme",F1367&lt;0),AND(H1367="Ausgabe",F1367&gt;0)),"Vorzeichen prüfen",IF(AND(H1367="Umbuchung",OR(K1367="",COUNTIFS($A$7:$A$1506,K1367)&lt;&gt;1)),"Gegenbuchung fehlt",IF(AND(H1367="Umbuchung",ROUND(SUMIFS($F$7:$F$1506,$A$7:$A$1506,K1367)+F1367,2)&lt;&gt;0),"Umbuchung abweichend",IF(OR(G1367="",M1367="",M1367="offen",M1367="teilbelegt",H1367="Ungeklärt",H1367="Bargeld"),"Beleg / Verwendung klären","vollständig erfasst")))))))))</x:f>
      </x:c>
    </x:row>
    <x:row r="1368" ht="22" customHeight="1">
      <x:c r="A1368" s="7"/>
      <x:c r="B1368" s="8"/>
      <x:c r="C1368" s="7"/>
      <x:c r="D1368" s="7"/>
      <x:c r="E1368" s="7"/>
      <x:c r="F1368" s="20"/>
      <x:c r="G1368" s="7"/>
      <x:c r="H1368" s="7"/>
      <x:c r="I1368" s="7"/>
      <x:c r="J1368" s="7"/>
      <x:c r="K1368" s="7"/>
      <x:c r="L1368" s="7"/>
      <x:c r="M1368" s="7"/>
      <x:c r="N1368" s="7"/>
      <x:c r="O1368" s="2" t="str">
        <x:f>IF(A1368="","",IF(COUNTIFS($A$7:$A$1506,A1368)&gt;1,"Buchung-ID doppelt",IF(OR(NOT(ISNUMBER(B1368)),C1368="",NOT(ISNUMBER(F1368)),H1368="",L1368=""),"Pflichtangaben fehlen",IF(COUNTIFS('Konten'!$A$7:$A$26,C1368)&lt;&gt;1,"Konto nicht eindeutig",IF(J1368&lt;&gt;"Ja","Zuordnung bestätigen",IF(OR(AND(H1368="Einnahme",F1368&lt;0),AND(H1368="Ausgabe",F1368&gt;0)),"Vorzeichen prüfen",IF(AND(H1368="Umbuchung",OR(K1368="",COUNTIFS($A$7:$A$1506,K1368)&lt;&gt;1)),"Gegenbuchung fehlt",IF(AND(H1368="Umbuchung",ROUND(SUMIFS($F$7:$F$1506,$A$7:$A$1506,K1368)+F1368,2)&lt;&gt;0),"Umbuchung abweichend",IF(OR(G1368="",M1368="",M1368="offen",M1368="teilbelegt",H1368="Ungeklärt",H1368="Bargeld"),"Beleg / Verwendung klären","vollständig erfasst")))))))))</x:f>
      </x:c>
    </x:row>
    <x:row r="1369" ht="22" customHeight="1">
      <x:c r="A1369" s="7"/>
      <x:c r="B1369" s="8"/>
      <x:c r="C1369" s="7"/>
      <x:c r="D1369" s="7"/>
      <x:c r="E1369" s="7"/>
      <x:c r="F1369" s="20"/>
      <x:c r="G1369" s="7"/>
      <x:c r="H1369" s="7"/>
      <x:c r="I1369" s="7"/>
      <x:c r="J1369" s="7"/>
      <x:c r="K1369" s="7"/>
      <x:c r="L1369" s="7"/>
      <x:c r="M1369" s="7"/>
      <x:c r="N1369" s="7"/>
      <x:c r="O1369" s="2" t="str">
        <x:f>IF(A1369="","",IF(COUNTIFS($A$7:$A$1506,A1369)&gt;1,"Buchung-ID doppelt",IF(OR(NOT(ISNUMBER(B1369)),C1369="",NOT(ISNUMBER(F1369)),H1369="",L1369=""),"Pflichtangaben fehlen",IF(COUNTIFS('Konten'!$A$7:$A$26,C1369)&lt;&gt;1,"Konto nicht eindeutig",IF(J1369&lt;&gt;"Ja","Zuordnung bestätigen",IF(OR(AND(H1369="Einnahme",F1369&lt;0),AND(H1369="Ausgabe",F1369&gt;0)),"Vorzeichen prüfen",IF(AND(H1369="Umbuchung",OR(K1369="",COUNTIFS($A$7:$A$1506,K1369)&lt;&gt;1)),"Gegenbuchung fehlt",IF(AND(H1369="Umbuchung",ROUND(SUMIFS($F$7:$F$1506,$A$7:$A$1506,K1369)+F1369,2)&lt;&gt;0),"Umbuchung abweichend",IF(OR(G1369="",M1369="",M1369="offen",M1369="teilbelegt",H1369="Ungeklärt",H1369="Bargeld"),"Beleg / Verwendung klären","vollständig erfasst")))))))))</x:f>
      </x:c>
    </x:row>
    <x:row r="1370" ht="22" customHeight="1">
      <x:c r="A1370" s="7"/>
      <x:c r="B1370" s="8"/>
      <x:c r="C1370" s="7"/>
      <x:c r="D1370" s="7"/>
      <x:c r="E1370" s="7"/>
      <x:c r="F1370" s="20"/>
      <x:c r="G1370" s="7"/>
      <x:c r="H1370" s="7"/>
      <x:c r="I1370" s="7"/>
      <x:c r="J1370" s="7"/>
      <x:c r="K1370" s="7"/>
      <x:c r="L1370" s="7"/>
      <x:c r="M1370" s="7"/>
      <x:c r="N1370" s="7"/>
      <x:c r="O1370" s="2" t="str">
        <x:f>IF(A1370="","",IF(COUNTIFS($A$7:$A$1506,A1370)&gt;1,"Buchung-ID doppelt",IF(OR(NOT(ISNUMBER(B1370)),C1370="",NOT(ISNUMBER(F1370)),H1370="",L1370=""),"Pflichtangaben fehlen",IF(COUNTIFS('Konten'!$A$7:$A$26,C1370)&lt;&gt;1,"Konto nicht eindeutig",IF(J1370&lt;&gt;"Ja","Zuordnung bestätigen",IF(OR(AND(H1370="Einnahme",F1370&lt;0),AND(H1370="Ausgabe",F1370&gt;0)),"Vorzeichen prüfen",IF(AND(H1370="Umbuchung",OR(K1370="",COUNTIFS($A$7:$A$1506,K1370)&lt;&gt;1)),"Gegenbuchung fehlt",IF(AND(H1370="Umbuchung",ROUND(SUMIFS($F$7:$F$1506,$A$7:$A$1506,K1370)+F1370,2)&lt;&gt;0),"Umbuchung abweichend",IF(OR(G1370="",M1370="",M1370="offen",M1370="teilbelegt",H1370="Ungeklärt",H1370="Bargeld"),"Beleg / Verwendung klären","vollständig erfasst")))))))))</x:f>
      </x:c>
    </x:row>
    <x:row r="1371" ht="22" customHeight="1">
      <x:c r="A1371" s="7"/>
      <x:c r="B1371" s="8"/>
      <x:c r="C1371" s="7"/>
      <x:c r="D1371" s="7"/>
      <x:c r="E1371" s="7"/>
      <x:c r="F1371" s="20"/>
      <x:c r="G1371" s="7"/>
      <x:c r="H1371" s="7"/>
      <x:c r="I1371" s="7"/>
      <x:c r="J1371" s="7"/>
      <x:c r="K1371" s="7"/>
      <x:c r="L1371" s="7"/>
      <x:c r="M1371" s="7"/>
      <x:c r="N1371" s="7"/>
      <x:c r="O1371" s="2" t="str">
        <x:f>IF(A1371="","",IF(COUNTIFS($A$7:$A$1506,A1371)&gt;1,"Buchung-ID doppelt",IF(OR(NOT(ISNUMBER(B1371)),C1371="",NOT(ISNUMBER(F1371)),H1371="",L1371=""),"Pflichtangaben fehlen",IF(COUNTIFS('Konten'!$A$7:$A$26,C1371)&lt;&gt;1,"Konto nicht eindeutig",IF(J1371&lt;&gt;"Ja","Zuordnung bestätigen",IF(OR(AND(H1371="Einnahme",F1371&lt;0),AND(H1371="Ausgabe",F1371&gt;0)),"Vorzeichen prüfen",IF(AND(H1371="Umbuchung",OR(K1371="",COUNTIFS($A$7:$A$1506,K1371)&lt;&gt;1)),"Gegenbuchung fehlt",IF(AND(H1371="Umbuchung",ROUND(SUMIFS($F$7:$F$1506,$A$7:$A$1506,K1371)+F1371,2)&lt;&gt;0),"Umbuchung abweichend",IF(OR(G1371="",M1371="",M1371="offen",M1371="teilbelegt",H1371="Ungeklärt",H1371="Bargeld"),"Beleg / Verwendung klären","vollständig erfasst")))))))))</x:f>
      </x:c>
    </x:row>
    <x:row r="1372" ht="22" customHeight="1">
      <x:c r="A1372" s="7"/>
      <x:c r="B1372" s="8"/>
      <x:c r="C1372" s="7"/>
      <x:c r="D1372" s="7"/>
      <x:c r="E1372" s="7"/>
      <x:c r="F1372" s="20"/>
      <x:c r="G1372" s="7"/>
      <x:c r="H1372" s="7"/>
      <x:c r="I1372" s="7"/>
      <x:c r="J1372" s="7"/>
      <x:c r="K1372" s="7"/>
      <x:c r="L1372" s="7"/>
      <x:c r="M1372" s="7"/>
      <x:c r="N1372" s="7"/>
      <x:c r="O1372" s="2" t="str">
        <x:f>IF(A1372="","",IF(COUNTIFS($A$7:$A$1506,A1372)&gt;1,"Buchung-ID doppelt",IF(OR(NOT(ISNUMBER(B1372)),C1372="",NOT(ISNUMBER(F1372)),H1372="",L1372=""),"Pflichtangaben fehlen",IF(COUNTIFS('Konten'!$A$7:$A$26,C1372)&lt;&gt;1,"Konto nicht eindeutig",IF(J1372&lt;&gt;"Ja","Zuordnung bestätigen",IF(OR(AND(H1372="Einnahme",F1372&lt;0),AND(H1372="Ausgabe",F1372&gt;0)),"Vorzeichen prüfen",IF(AND(H1372="Umbuchung",OR(K1372="",COUNTIFS($A$7:$A$1506,K1372)&lt;&gt;1)),"Gegenbuchung fehlt",IF(AND(H1372="Umbuchung",ROUND(SUMIFS($F$7:$F$1506,$A$7:$A$1506,K1372)+F1372,2)&lt;&gt;0),"Umbuchung abweichend",IF(OR(G1372="",M1372="",M1372="offen",M1372="teilbelegt",H1372="Ungeklärt",H1372="Bargeld"),"Beleg / Verwendung klären","vollständig erfasst")))))))))</x:f>
      </x:c>
    </x:row>
    <x:row r="1373" ht="22" customHeight="1">
      <x:c r="A1373" s="7"/>
      <x:c r="B1373" s="8"/>
      <x:c r="C1373" s="7"/>
      <x:c r="D1373" s="7"/>
      <x:c r="E1373" s="7"/>
      <x:c r="F1373" s="20"/>
      <x:c r="G1373" s="7"/>
      <x:c r="H1373" s="7"/>
      <x:c r="I1373" s="7"/>
      <x:c r="J1373" s="7"/>
      <x:c r="K1373" s="7"/>
      <x:c r="L1373" s="7"/>
      <x:c r="M1373" s="7"/>
      <x:c r="N1373" s="7"/>
      <x:c r="O1373" s="2" t="str">
        <x:f>IF(A1373="","",IF(COUNTIFS($A$7:$A$1506,A1373)&gt;1,"Buchung-ID doppelt",IF(OR(NOT(ISNUMBER(B1373)),C1373="",NOT(ISNUMBER(F1373)),H1373="",L1373=""),"Pflichtangaben fehlen",IF(COUNTIFS('Konten'!$A$7:$A$26,C1373)&lt;&gt;1,"Konto nicht eindeutig",IF(J1373&lt;&gt;"Ja","Zuordnung bestätigen",IF(OR(AND(H1373="Einnahme",F1373&lt;0),AND(H1373="Ausgabe",F1373&gt;0)),"Vorzeichen prüfen",IF(AND(H1373="Umbuchung",OR(K1373="",COUNTIFS($A$7:$A$1506,K1373)&lt;&gt;1)),"Gegenbuchung fehlt",IF(AND(H1373="Umbuchung",ROUND(SUMIFS($F$7:$F$1506,$A$7:$A$1506,K1373)+F1373,2)&lt;&gt;0),"Umbuchung abweichend",IF(OR(G1373="",M1373="",M1373="offen",M1373="teilbelegt",H1373="Ungeklärt",H1373="Bargeld"),"Beleg / Verwendung klären","vollständig erfasst")))))))))</x:f>
      </x:c>
    </x:row>
    <x:row r="1374" ht="22" customHeight="1">
      <x:c r="A1374" s="7"/>
      <x:c r="B1374" s="8"/>
      <x:c r="C1374" s="7"/>
      <x:c r="D1374" s="7"/>
      <x:c r="E1374" s="7"/>
      <x:c r="F1374" s="20"/>
      <x:c r="G1374" s="7"/>
      <x:c r="H1374" s="7"/>
      <x:c r="I1374" s="7"/>
      <x:c r="J1374" s="7"/>
      <x:c r="K1374" s="7"/>
      <x:c r="L1374" s="7"/>
      <x:c r="M1374" s="7"/>
      <x:c r="N1374" s="7"/>
      <x:c r="O1374" s="2" t="str">
        <x:f>IF(A1374="","",IF(COUNTIFS($A$7:$A$1506,A1374)&gt;1,"Buchung-ID doppelt",IF(OR(NOT(ISNUMBER(B1374)),C1374="",NOT(ISNUMBER(F1374)),H1374="",L1374=""),"Pflichtangaben fehlen",IF(COUNTIFS('Konten'!$A$7:$A$26,C1374)&lt;&gt;1,"Konto nicht eindeutig",IF(J1374&lt;&gt;"Ja","Zuordnung bestätigen",IF(OR(AND(H1374="Einnahme",F1374&lt;0),AND(H1374="Ausgabe",F1374&gt;0)),"Vorzeichen prüfen",IF(AND(H1374="Umbuchung",OR(K1374="",COUNTIFS($A$7:$A$1506,K1374)&lt;&gt;1)),"Gegenbuchung fehlt",IF(AND(H1374="Umbuchung",ROUND(SUMIFS($F$7:$F$1506,$A$7:$A$1506,K1374)+F1374,2)&lt;&gt;0),"Umbuchung abweichend",IF(OR(G1374="",M1374="",M1374="offen",M1374="teilbelegt",H1374="Ungeklärt",H1374="Bargeld"),"Beleg / Verwendung klären","vollständig erfasst")))))))))</x:f>
      </x:c>
    </x:row>
    <x:row r="1375" ht="22" customHeight="1">
      <x:c r="A1375" s="7"/>
      <x:c r="B1375" s="8"/>
      <x:c r="C1375" s="7"/>
      <x:c r="D1375" s="7"/>
      <x:c r="E1375" s="7"/>
      <x:c r="F1375" s="20"/>
      <x:c r="G1375" s="7"/>
      <x:c r="H1375" s="7"/>
      <x:c r="I1375" s="7"/>
      <x:c r="J1375" s="7"/>
      <x:c r="K1375" s="7"/>
      <x:c r="L1375" s="7"/>
      <x:c r="M1375" s="7"/>
      <x:c r="N1375" s="7"/>
      <x:c r="O1375" s="2" t="str">
        <x:f>IF(A1375="","",IF(COUNTIFS($A$7:$A$1506,A1375)&gt;1,"Buchung-ID doppelt",IF(OR(NOT(ISNUMBER(B1375)),C1375="",NOT(ISNUMBER(F1375)),H1375="",L1375=""),"Pflichtangaben fehlen",IF(COUNTIFS('Konten'!$A$7:$A$26,C1375)&lt;&gt;1,"Konto nicht eindeutig",IF(J1375&lt;&gt;"Ja","Zuordnung bestätigen",IF(OR(AND(H1375="Einnahme",F1375&lt;0),AND(H1375="Ausgabe",F1375&gt;0)),"Vorzeichen prüfen",IF(AND(H1375="Umbuchung",OR(K1375="",COUNTIFS($A$7:$A$1506,K1375)&lt;&gt;1)),"Gegenbuchung fehlt",IF(AND(H1375="Umbuchung",ROUND(SUMIFS($F$7:$F$1506,$A$7:$A$1506,K1375)+F1375,2)&lt;&gt;0),"Umbuchung abweichend",IF(OR(G1375="",M1375="",M1375="offen",M1375="teilbelegt",H1375="Ungeklärt",H1375="Bargeld"),"Beleg / Verwendung klären","vollständig erfasst")))))))))</x:f>
      </x:c>
    </x:row>
    <x:row r="1376" ht="22" customHeight="1">
      <x:c r="A1376" s="7"/>
      <x:c r="B1376" s="8"/>
      <x:c r="C1376" s="7"/>
      <x:c r="D1376" s="7"/>
      <x:c r="E1376" s="7"/>
      <x:c r="F1376" s="20"/>
      <x:c r="G1376" s="7"/>
      <x:c r="H1376" s="7"/>
      <x:c r="I1376" s="7"/>
      <x:c r="J1376" s="7"/>
      <x:c r="K1376" s="7"/>
      <x:c r="L1376" s="7"/>
      <x:c r="M1376" s="7"/>
      <x:c r="N1376" s="7"/>
      <x:c r="O1376" s="2" t="str">
        <x:f>IF(A1376="","",IF(COUNTIFS($A$7:$A$1506,A1376)&gt;1,"Buchung-ID doppelt",IF(OR(NOT(ISNUMBER(B1376)),C1376="",NOT(ISNUMBER(F1376)),H1376="",L1376=""),"Pflichtangaben fehlen",IF(COUNTIFS('Konten'!$A$7:$A$26,C1376)&lt;&gt;1,"Konto nicht eindeutig",IF(J1376&lt;&gt;"Ja","Zuordnung bestätigen",IF(OR(AND(H1376="Einnahme",F1376&lt;0),AND(H1376="Ausgabe",F1376&gt;0)),"Vorzeichen prüfen",IF(AND(H1376="Umbuchung",OR(K1376="",COUNTIFS($A$7:$A$1506,K1376)&lt;&gt;1)),"Gegenbuchung fehlt",IF(AND(H1376="Umbuchung",ROUND(SUMIFS($F$7:$F$1506,$A$7:$A$1506,K1376)+F1376,2)&lt;&gt;0),"Umbuchung abweichend",IF(OR(G1376="",M1376="",M1376="offen",M1376="teilbelegt",H1376="Ungeklärt",H1376="Bargeld"),"Beleg / Verwendung klären","vollständig erfasst")))))))))</x:f>
      </x:c>
    </x:row>
    <x:row r="1377" ht="22" customHeight="1">
      <x:c r="A1377" s="7"/>
      <x:c r="B1377" s="8"/>
      <x:c r="C1377" s="7"/>
      <x:c r="D1377" s="7"/>
      <x:c r="E1377" s="7"/>
      <x:c r="F1377" s="20"/>
      <x:c r="G1377" s="7"/>
      <x:c r="H1377" s="7"/>
      <x:c r="I1377" s="7"/>
      <x:c r="J1377" s="7"/>
      <x:c r="K1377" s="7"/>
      <x:c r="L1377" s="7"/>
      <x:c r="M1377" s="7"/>
      <x:c r="N1377" s="7"/>
      <x:c r="O1377" s="2" t="str">
        <x:f>IF(A1377="","",IF(COUNTIFS($A$7:$A$1506,A1377)&gt;1,"Buchung-ID doppelt",IF(OR(NOT(ISNUMBER(B1377)),C1377="",NOT(ISNUMBER(F1377)),H1377="",L1377=""),"Pflichtangaben fehlen",IF(COUNTIFS('Konten'!$A$7:$A$26,C1377)&lt;&gt;1,"Konto nicht eindeutig",IF(J1377&lt;&gt;"Ja","Zuordnung bestätigen",IF(OR(AND(H1377="Einnahme",F1377&lt;0),AND(H1377="Ausgabe",F1377&gt;0)),"Vorzeichen prüfen",IF(AND(H1377="Umbuchung",OR(K1377="",COUNTIFS($A$7:$A$1506,K1377)&lt;&gt;1)),"Gegenbuchung fehlt",IF(AND(H1377="Umbuchung",ROUND(SUMIFS($F$7:$F$1506,$A$7:$A$1506,K1377)+F1377,2)&lt;&gt;0),"Umbuchung abweichend",IF(OR(G1377="",M1377="",M1377="offen",M1377="teilbelegt",H1377="Ungeklärt",H1377="Bargeld"),"Beleg / Verwendung klären","vollständig erfasst")))))))))</x:f>
      </x:c>
    </x:row>
    <x:row r="1378" ht="22" customHeight="1">
      <x:c r="A1378" s="7"/>
      <x:c r="B1378" s="8"/>
      <x:c r="C1378" s="7"/>
      <x:c r="D1378" s="7"/>
      <x:c r="E1378" s="7"/>
      <x:c r="F1378" s="20"/>
      <x:c r="G1378" s="7"/>
      <x:c r="H1378" s="7"/>
      <x:c r="I1378" s="7"/>
      <x:c r="J1378" s="7"/>
      <x:c r="K1378" s="7"/>
      <x:c r="L1378" s="7"/>
      <x:c r="M1378" s="7"/>
      <x:c r="N1378" s="7"/>
      <x:c r="O1378" s="2" t="str">
        <x:f>IF(A1378="","",IF(COUNTIFS($A$7:$A$1506,A1378)&gt;1,"Buchung-ID doppelt",IF(OR(NOT(ISNUMBER(B1378)),C1378="",NOT(ISNUMBER(F1378)),H1378="",L1378=""),"Pflichtangaben fehlen",IF(COUNTIFS('Konten'!$A$7:$A$26,C1378)&lt;&gt;1,"Konto nicht eindeutig",IF(J1378&lt;&gt;"Ja","Zuordnung bestätigen",IF(OR(AND(H1378="Einnahme",F1378&lt;0),AND(H1378="Ausgabe",F1378&gt;0)),"Vorzeichen prüfen",IF(AND(H1378="Umbuchung",OR(K1378="",COUNTIFS($A$7:$A$1506,K1378)&lt;&gt;1)),"Gegenbuchung fehlt",IF(AND(H1378="Umbuchung",ROUND(SUMIFS($F$7:$F$1506,$A$7:$A$1506,K1378)+F1378,2)&lt;&gt;0),"Umbuchung abweichend",IF(OR(G1378="",M1378="",M1378="offen",M1378="teilbelegt",H1378="Ungeklärt",H1378="Bargeld"),"Beleg / Verwendung klären","vollständig erfasst")))))))))</x:f>
      </x:c>
    </x:row>
    <x:row r="1379" ht="22" customHeight="1">
      <x:c r="A1379" s="7"/>
      <x:c r="B1379" s="8"/>
      <x:c r="C1379" s="7"/>
      <x:c r="D1379" s="7"/>
      <x:c r="E1379" s="7"/>
      <x:c r="F1379" s="20"/>
      <x:c r="G1379" s="7"/>
      <x:c r="H1379" s="7"/>
      <x:c r="I1379" s="7"/>
      <x:c r="J1379" s="7"/>
      <x:c r="K1379" s="7"/>
      <x:c r="L1379" s="7"/>
      <x:c r="M1379" s="7"/>
      <x:c r="N1379" s="7"/>
      <x:c r="O1379" s="2" t="str">
        <x:f>IF(A1379="","",IF(COUNTIFS($A$7:$A$1506,A1379)&gt;1,"Buchung-ID doppelt",IF(OR(NOT(ISNUMBER(B1379)),C1379="",NOT(ISNUMBER(F1379)),H1379="",L1379=""),"Pflichtangaben fehlen",IF(COUNTIFS('Konten'!$A$7:$A$26,C1379)&lt;&gt;1,"Konto nicht eindeutig",IF(J1379&lt;&gt;"Ja","Zuordnung bestätigen",IF(OR(AND(H1379="Einnahme",F1379&lt;0),AND(H1379="Ausgabe",F1379&gt;0)),"Vorzeichen prüfen",IF(AND(H1379="Umbuchung",OR(K1379="",COUNTIFS($A$7:$A$1506,K1379)&lt;&gt;1)),"Gegenbuchung fehlt",IF(AND(H1379="Umbuchung",ROUND(SUMIFS($F$7:$F$1506,$A$7:$A$1506,K1379)+F1379,2)&lt;&gt;0),"Umbuchung abweichend",IF(OR(G1379="",M1379="",M1379="offen",M1379="teilbelegt",H1379="Ungeklärt",H1379="Bargeld"),"Beleg / Verwendung klären","vollständig erfasst")))))))))</x:f>
      </x:c>
    </x:row>
    <x:row r="1380" ht="22" customHeight="1">
      <x:c r="A1380" s="7"/>
      <x:c r="B1380" s="8"/>
      <x:c r="C1380" s="7"/>
      <x:c r="D1380" s="7"/>
      <x:c r="E1380" s="7"/>
      <x:c r="F1380" s="20"/>
      <x:c r="G1380" s="7"/>
      <x:c r="H1380" s="7"/>
      <x:c r="I1380" s="7"/>
      <x:c r="J1380" s="7"/>
      <x:c r="K1380" s="7"/>
      <x:c r="L1380" s="7"/>
      <x:c r="M1380" s="7"/>
      <x:c r="N1380" s="7"/>
      <x:c r="O1380" s="2" t="str">
        <x:f>IF(A1380="","",IF(COUNTIFS($A$7:$A$1506,A1380)&gt;1,"Buchung-ID doppelt",IF(OR(NOT(ISNUMBER(B1380)),C1380="",NOT(ISNUMBER(F1380)),H1380="",L1380=""),"Pflichtangaben fehlen",IF(COUNTIFS('Konten'!$A$7:$A$26,C1380)&lt;&gt;1,"Konto nicht eindeutig",IF(J1380&lt;&gt;"Ja","Zuordnung bestätigen",IF(OR(AND(H1380="Einnahme",F1380&lt;0),AND(H1380="Ausgabe",F1380&gt;0)),"Vorzeichen prüfen",IF(AND(H1380="Umbuchung",OR(K1380="",COUNTIFS($A$7:$A$1506,K1380)&lt;&gt;1)),"Gegenbuchung fehlt",IF(AND(H1380="Umbuchung",ROUND(SUMIFS($F$7:$F$1506,$A$7:$A$1506,K1380)+F1380,2)&lt;&gt;0),"Umbuchung abweichend",IF(OR(G1380="",M1380="",M1380="offen",M1380="teilbelegt",H1380="Ungeklärt",H1380="Bargeld"),"Beleg / Verwendung klären","vollständig erfasst")))))))))</x:f>
      </x:c>
    </x:row>
    <x:row r="1381" ht="22" customHeight="1">
      <x:c r="A1381" s="7"/>
      <x:c r="B1381" s="8"/>
      <x:c r="C1381" s="7"/>
      <x:c r="D1381" s="7"/>
      <x:c r="E1381" s="7"/>
      <x:c r="F1381" s="20"/>
      <x:c r="G1381" s="7"/>
      <x:c r="H1381" s="7"/>
      <x:c r="I1381" s="7"/>
      <x:c r="J1381" s="7"/>
      <x:c r="K1381" s="7"/>
      <x:c r="L1381" s="7"/>
      <x:c r="M1381" s="7"/>
      <x:c r="N1381" s="7"/>
      <x:c r="O1381" s="2" t="str">
        <x:f>IF(A1381="","",IF(COUNTIFS($A$7:$A$1506,A1381)&gt;1,"Buchung-ID doppelt",IF(OR(NOT(ISNUMBER(B1381)),C1381="",NOT(ISNUMBER(F1381)),H1381="",L1381=""),"Pflichtangaben fehlen",IF(COUNTIFS('Konten'!$A$7:$A$26,C1381)&lt;&gt;1,"Konto nicht eindeutig",IF(J1381&lt;&gt;"Ja","Zuordnung bestätigen",IF(OR(AND(H1381="Einnahme",F1381&lt;0),AND(H1381="Ausgabe",F1381&gt;0)),"Vorzeichen prüfen",IF(AND(H1381="Umbuchung",OR(K1381="",COUNTIFS($A$7:$A$1506,K1381)&lt;&gt;1)),"Gegenbuchung fehlt",IF(AND(H1381="Umbuchung",ROUND(SUMIFS($F$7:$F$1506,$A$7:$A$1506,K1381)+F1381,2)&lt;&gt;0),"Umbuchung abweichend",IF(OR(G1381="",M1381="",M1381="offen",M1381="teilbelegt",H1381="Ungeklärt",H1381="Bargeld"),"Beleg / Verwendung klären","vollständig erfasst")))))))))</x:f>
      </x:c>
    </x:row>
    <x:row r="1382" ht="22" customHeight="1">
      <x:c r="A1382" s="7"/>
      <x:c r="B1382" s="8"/>
      <x:c r="C1382" s="7"/>
      <x:c r="D1382" s="7"/>
      <x:c r="E1382" s="7"/>
      <x:c r="F1382" s="20"/>
      <x:c r="G1382" s="7"/>
      <x:c r="H1382" s="7"/>
      <x:c r="I1382" s="7"/>
      <x:c r="J1382" s="7"/>
      <x:c r="K1382" s="7"/>
      <x:c r="L1382" s="7"/>
      <x:c r="M1382" s="7"/>
      <x:c r="N1382" s="7"/>
      <x:c r="O1382" s="2" t="str">
        <x:f>IF(A1382="","",IF(COUNTIFS($A$7:$A$1506,A1382)&gt;1,"Buchung-ID doppelt",IF(OR(NOT(ISNUMBER(B1382)),C1382="",NOT(ISNUMBER(F1382)),H1382="",L1382=""),"Pflichtangaben fehlen",IF(COUNTIFS('Konten'!$A$7:$A$26,C1382)&lt;&gt;1,"Konto nicht eindeutig",IF(J1382&lt;&gt;"Ja","Zuordnung bestätigen",IF(OR(AND(H1382="Einnahme",F1382&lt;0),AND(H1382="Ausgabe",F1382&gt;0)),"Vorzeichen prüfen",IF(AND(H1382="Umbuchung",OR(K1382="",COUNTIFS($A$7:$A$1506,K1382)&lt;&gt;1)),"Gegenbuchung fehlt",IF(AND(H1382="Umbuchung",ROUND(SUMIFS($F$7:$F$1506,$A$7:$A$1506,K1382)+F1382,2)&lt;&gt;0),"Umbuchung abweichend",IF(OR(G1382="",M1382="",M1382="offen",M1382="teilbelegt",H1382="Ungeklärt",H1382="Bargeld"),"Beleg / Verwendung klären","vollständig erfasst")))))))))</x:f>
      </x:c>
    </x:row>
    <x:row r="1383" ht="22" customHeight="1">
      <x:c r="A1383" s="7"/>
      <x:c r="B1383" s="8"/>
      <x:c r="C1383" s="7"/>
      <x:c r="D1383" s="7"/>
      <x:c r="E1383" s="7"/>
      <x:c r="F1383" s="20"/>
      <x:c r="G1383" s="7"/>
      <x:c r="H1383" s="7"/>
      <x:c r="I1383" s="7"/>
      <x:c r="J1383" s="7"/>
      <x:c r="K1383" s="7"/>
      <x:c r="L1383" s="7"/>
      <x:c r="M1383" s="7"/>
      <x:c r="N1383" s="7"/>
      <x:c r="O1383" s="2" t="str">
        <x:f>IF(A1383="","",IF(COUNTIFS($A$7:$A$1506,A1383)&gt;1,"Buchung-ID doppelt",IF(OR(NOT(ISNUMBER(B1383)),C1383="",NOT(ISNUMBER(F1383)),H1383="",L1383=""),"Pflichtangaben fehlen",IF(COUNTIFS('Konten'!$A$7:$A$26,C1383)&lt;&gt;1,"Konto nicht eindeutig",IF(J1383&lt;&gt;"Ja","Zuordnung bestätigen",IF(OR(AND(H1383="Einnahme",F1383&lt;0),AND(H1383="Ausgabe",F1383&gt;0)),"Vorzeichen prüfen",IF(AND(H1383="Umbuchung",OR(K1383="",COUNTIFS($A$7:$A$1506,K1383)&lt;&gt;1)),"Gegenbuchung fehlt",IF(AND(H1383="Umbuchung",ROUND(SUMIFS($F$7:$F$1506,$A$7:$A$1506,K1383)+F1383,2)&lt;&gt;0),"Umbuchung abweichend",IF(OR(G1383="",M1383="",M1383="offen",M1383="teilbelegt",H1383="Ungeklärt",H1383="Bargeld"),"Beleg / Verwendung klären","vollständig erfasst")))))))))</x:f>
      </x:c>
    </x:row>
    <x:row r="1384" ht="22" customHeight="1">
      <x:c r="A1384" s="7"/>
      <x:c r="B1384" s="8"/>
      <x:c r="C1384" s="7"/>
      <x:c r="D1384" s="7"/>
      <x:c r="E1384" s="7"/>
      <x:c r="F1384" s="20"/>
      <x:c r="G1384" s="7"/>
      <x:c r="H1384" s="7"/>
      <x:c r="I1384" s="7"/>
      <x:c r="J1384" s="7"/>
      <x:c r="K1384" s="7"/>
      <x:c r="L1384" s="7"/>
      <x:c r="M1384" s="7"/>
      <x:c r="N1384" s="7"/>
      <x:c r="O1384" s="2" t="str">
        <x:f>IF(A1384="","",IF(COUNTIFS($A$7:$A$1506,A1384)&gt;1,"Buchung-ID doppelt",IF(OR(NOT(ISNUMBER(B1384)),C1384="",NOT(ISNUMBER(F1384)),H1384="",L1384=""),"Pflichtangaben fehlen",IF(COUNTIFS('Konten'!$A$7:$A$26,C1384)&lt;&gt;1,"Konto nicht eindeutig",IF(J1384&lt;&gt;"Ja","Zuordnung bestätigen",IF(OR(AND(H1384="Einnahme",F1384&lt;0),AND(H1384="Ausgabe",F1384&gt;0)),"Vorzeichen prüfen",IF(AND(H1384="Umbuchung",OR(K1384="",COUNTIFS($A$7:$A$1506,K1384)&lt;&gt;1)),"Gegenbuchung fehlt",IF(AND(H1384="Umbuchung",ROUND(SUMIFS($F$7:$F$1506,$A$7:$A$1506,K1384)+F1384,2)&lt;&gt;0),"Umbuchung abweichend",IF(OR(G1384="",M1384="",M1384="offen",M1384="teilbelegt",H1384="Ungeklärt",H1384="Bargeld"),"Beleg / Verwendung klären","vollständig erfasst")))))))))</x:f>
      </x:c>
    </x:row>
    <x:row r="1385" ht="22" customHeight="1">
      <x:c r="A1385" s="7"/>
      <x:c r="B1385" s="8"/>
      <x:c r="C1385" s="7"/>
      <x:c r="D1385" s="7"/>
      <x:c r="E1385" s="7"/>
      <x:c r="F1385" s="20"/>
      <x:c r="G1385" s="7"/>
      <x:c r="H1385" s="7"/>
      <x:c r="I1385" s="7"/>
      <x:c r="J1385" s="7"/>
      <x:c r="K1385" s="7"/>
      <x:c r="L1385" s="7"/>
      <x:c r="M1385" s="7"/>
      <x:c r="N1385" s="7"/>
      <x:c r="O1385" s="2" t="str">
        <x:f>IF(A1385="","",IF(COUNTIFS($A$7:$A$1506,A1385)&gt;1,"Buchung-ID doppelt",IF(OR(NOT(ISNUMBER(B1385)),C1385="",NOT(ISNUMBER(F1385)),H1385="",L1385=""),"Pflichtangaben fehlen",IF(COUNTIFS('Konten'!$A$7:$A$26,C1385)&lt;&gt;1,"Konto nicht eindeutig",IF(J1385&lt;&gt;"Ja","Zuordnung bestätigen",IF(OR(AND(H1385="Einnahme",F1385&lt;0),AND(H1385="Ausgabe",F1385&gt;0)),"Vorzeichen prüfen",IF(AND(H1385="Umbuchung",OR(K1385="",COUNTIFS($A$7:$A$1506,K1385)&lt;&gt;1)),"Gegenbuchung fehlt",IF(AND(H1385="Umbuchung",ROUND(SUMIFS($F$7:$F$1506,$A$7:$A$1506,K1385)+F1385,2)&lt;&gt;0),"Umbuchung abweichend",IF(OR(G1385="",M1385="",M1385="offen",M1385="teilbelegt",H1385="Ungeklärt",H1385="Bargeld"),"Beleg / Verwendung klären","vollständig erfasst")))))))))</x:f>
      </x:c>
    </x:row>
    <x:row r="1386" ht="22" customHeight="1">
      <x:c r="A1386" s="7"/>
      <x:c r="B1386" s="8"/>
      <x:c r="C1386" s="7"/>
      <x:c r="D1386" s="7"/>
      <x:c r="E1386" s="7"/>
      <x:c r="F1386" s="20"/>
      <x:c r="G1386" s="7"/>
      <x:c r="H1386" s="7"/>
      <x:c r="I1386" s="7"/>
      <x:c r="J1386" s="7"/>
      <x:c r="K1386" s="7"/>
      <x:c r="L1386" s="7"/>
      <x:c r="M1386" s="7"/>
      <x:c r="N1386" s="7"/>
      <x:c r="O1386" s="2" t="str">
        <x:f>IF(A1386="","",IF(COUNTIFS($A$7:$A$1506,A1386)&gt;1,"Buchung-ID doppelt",IF(OR(NOT(ISNUMBER(B1386)),C1386="",NOT(ISNUMBER(F1386)),H1386="",L1386=""),"Pflichtangaben fehlen",IF(COUNTIFS('Konten'!$A$7:$A$26,C1386)&lt;&gt;1,"Konto nicht eindeutig",IF(J1386&lt;&gt;"Ja","Zuordnung bestätigen",IF(OR(AND(H1386="Einnahme",F1386&lt;0),AND(H1386="Ausgabe",F1386&gt;0)),"Vorzeichen prüfen",IF(AND(H1386="Umbuchung",OR(K1386="",COUNTIFS($A$7:$A$1506,K1386)&lt;&gt;1)),"Gegenbuchung fehlt",IF(AND(H1386="Umbuchung",ROUND(SUMIFS($F$7:$F$1506,$A$7:$A$1506,K1386)+F1386,2)&lt;&gt;0),"Umbuchung abweichend",IF(OR(G1386="",M1386="",M1386="offen",M1386="teilbelegt",H1386="Ungeklärt",H1386="Bargeld"),"Beleg / Verwendung klären","vollständig erfasst")))))))))</x:f>
      </x:c>
    </x:row>
    <x:row r="1387" ht="22" customHeight="1">
      <x:c r="A1387" s="7"/>
      <x:c r="B1387" s="8"/>
      <x:c r="C1387" s="7"/>
      <x:c r="D1387" s="7"/>
      <x:c r="E1387" s="7"/>
      <x:c r="F1387" s="20"/>
      <x:c r="G1387" s="7"/>
      <x:c r="H1387" s="7"/>
      <x:c r="I1387" s="7"/>
      <x:c r="J1387" s="7"/>
      <x:c r="K1387" s="7"/>
      <x:c r="L1387" s="7"/>
      <x:c r="M1387" s="7"/>
      <x:c r="N1387" s="7"/>
      <x:c r="O1387" s="2" t="str">
        <x:f>IF(A1387="","",IF(COUNTIFS($A$7:$A$1506,A1387)&gt;1,"Buchung-ID doppelt",IF(OR(NOT(ISNUMBER(B1387)),C1387="",NOT(ISNUMBER(F1387)),H1387="",L1387=""),"Pflichtangaben fehlen",IF(COUNTIFS('Konten'!$A$7:$A$26,C1387)&lt;&gt;1,"Konto nicht eindeutig",IF(J1387&lt;&gt;"Ja","Zuordnung bestätigen",IF(OR(AND(H1387="Einnahme",F1387&lt;0),AND(H1387="Ausgabe",F1387&gt;0)),"Vorzeichen prüfen",IF(AND(H1387="Umbuchung",OR(K1387="",COUNTIFS($A$7:$A$1506,K1387)&lt;&gt;1)),"Gegenbuchung fehlt",IF(AND(H1387="Umbuchung",ROUND(SUMIFS($F$7:$F$1506,$A$7:$A$1506,K1387)+F1387,2)&lt;&gt;0),"Umbuchung abweichend",IF(OR(G1387="",M1387="",M1387="offen",M1387="teilbelegt",H1387="Ungeklärt",H1387="Bargeld"),"Beleg / Verwendung klären","vollständig erfasst")))))))))</x:f>
      </x:c>
    </x:row>
    <x:row r="1388" ht="22" customHeight="1">
      <x:c r="A1388" s="7"/>
      <x:c r="B1388" s="8"/>
      <x:c r="C1388" s="7"/>
      <x:c r="D1388" s="7"/>
      <x:c r="E1388" s="7"/>
      <x:c r="F1388" s="20"/>
      <x:c r="G1388" s="7"/>
      <x:c r="H1388" s="7"/>
      <x:c r="I1388" s="7"/>
      <x:c r="J1388" s="7"/>
      <x:c r="K1388" s="7"/>
      <x:c r="L1388" s="7"/>
      <x:c r="M1388" s="7"/>
      <x:c r="N1388" s="7"/>
      <x:c r="O1388" s="2" t="str">
        <x:f>IF(A1388="","",IF(COUNTIFS($A$7:$A$1506,A1388)&gt;1,"Buchung-ID doppelt",IF(OR(NOT(ISNUMBER(B1388)),C1388="",NOT(ISNUMBER(F1388)),H1388="",L1388=""),"Pflichtangaben fehlen",IF(COUNTIFS('Konten'!$A$7:$A$26,C1388)&lt;&gt;1,"Konto nicht eindeutig",IF(J1388&lt;&gt;"Ja","Zuordnung bestätigen",IF(OR(AND(H1388="Einnahme",F1388&lt;0),AND(H1388="Ausgabe",F1388&gt;0)),"Vorzeichen prüfen",IF(AND(H1388="Umbuchung",OR(K1388="",COUNTIFS($A$7:$A$1506,K1388)&lt;&gt;1)),"Gegenbuchung fehlt",IF(AND(H1388="Umbuchung",ROUND(SUMIFS($F$7:$F$1506,$A$7:$A$1506,K1388)+F1388,2)&lt;&gt;0),"Umbuchung abweichend",IF(OR(G1388="",M1388="",M1388="offen",M1388="teilbelegt",H1388="Ungeklärt",H1388="Bargeld"),"Beleg / Verwendung klären","vollständig erfasst")))))))))</x:f>
      </x:c>
    </x:row>
    <x:row r="1389" ht="22" customHeight="1">
      <x:c r="A1389" s="7"/>
      <x:c r="B1389" s="8"/>
      <x:c r="C1389" s="7"/>
      <x:c r="D1389" s="7"/>
      <x:c r="E1389" s="7"/>
      <x:c r="F1389" s="20"/>
      <x:c r="G1389" s="7"/>
      <x:c r="H1389" s="7"/>
      <x:c r="I1389" s="7"/>
      <x:c r="J1389" s="7"/>
      <x:c r="K1389" s="7"/>
      <x:c r="L1389" s="7"/>
      <x:c r="M1389" s="7"/>
      <x:c r="N1389" s="7"/>
      <x:c r="O1389" s="2" t="str">
        <x:f>IF(A1389="","",IF(COUNTIFS($A$7:$A$1506,A1389)&gt;1,"Buchung-ID doppelt",IF(OR(NOT(ISNUMBER(B1389)),C1389="",NOT(ISNUMBER(F1389)),H1389="",L1389=""),"Pflichtangaben fehlen",IF(COUNTIFS('Konten'!$A$7:$A$26,C1389)&lt;&gt;1,"Konto nicht eindeutig",IF(J1389&lt;&gt;"Ja","Zuordnung bestätigen",IF(OR(AND(H1389="Einnahme",F1389&lt;0),AND(H1389="Ausgabe",F1389&gt;0)),"Vorzeichen prüfen",IF(AND(H1389="Umbuchung",OR(K1389="",COUNTIFS($A$7:$A$1506,K1389)&lt;&gt;1)),"Gegenbuchung fehlt",IF(AND(H1389="Umbuchung",ROUND(SUMIFS($F$7:$F$1506,$A$7:$A$1506,K1389)+F1389,2)&lt;&gt;0),"Umbuchung abweichend",IF(OR(G1389="",M1389="",M1389="offen",M1389="teilbelegt",H1389="Ungeklärt",H1389="Bargeld"),"Beleg / Verwendung klären","vollständig erfasst")))))))))</x:f>
      </x:c>
    </x:row>
    <x:row r="1390" ht="22" customHeight="1">
      <x:c r="A1390" s="7"/>
      <x:c r="B1390" s="8"/>
      <x:c r="C1390" s="7"/>
      <x:c r="D1390" s="7"/>
      <x:c r="E1390" s="7"/>
      <x:c r="F1390" s="20"/>
      <x:c r="G1390" s="7"/>
      <x:c r="H1390" s="7"/>
      <x:c r="I1390" s="7"/>
      <x:c r="J1390" s="7"/>
      <x:c r="K1390" s="7"/>
      <x:c r="L1390" s="7"/>
      <x:c r="M1390" s="7"/>
      <x:c r="N1390" s="7"/>
      <x:c r="O1390" s="2" t="str">
        <x:f>IF(A1390="","",IF(COUNTIFS($A$7:$A$1506,A1390)&gt;1,"Buchung-ID doppelt",IF(OR(NOT(ISNUMBER(B1390)),C1390="",NOT(ISNUMBER(F1390)),H1390="",L1390=""),"Pflichtangaben fehlen",IF(COUNTIFS('Konten'!$A$7:$A$26,C1390)&lt;&gt;1,"Konto nicht eindeutig",IF(J1390&lt;&gt;"Ja","Zuordnung bestätigen",IF(OR(AND(H1390="Einnahme",F1390&lt;0),AND(H1390="Ausgabe",F1390&gt;0)),"Vorzeichen prüfen",IF(AND(H1390="Umbuchung",OR(K1390="",COUNTIFS($A$7:$A$1506,K1390)&lt;&gt;1)),"Gegenbuchung fehlt",IF(AND(H1390="Umbuchung",ROUND(SUMIFS($F$7:$F$1506,$A$7:$A$1506,K1390)+F1390,2)&lt;&gt;0),"Umbuchung abweichend",IF(OR(G1390="",M1390="",M1390="offen",M1390="teilbelegt",H1390="Ungeklärt",H1390="Bargeld"),"Beleg / Verwendung klären","vollständig erfasst")))))))))</x:f>
      </x:c>
    </x:row>
    <x:row r="1391" ht="22" customHeight="1">
      <x:c r="A1391" s="7"/>
      <x:c r="B1391" s="8"/>
      <x:c r="C1391" s="7"/>
      <x:c r="D1391" s="7"/>
      <x:c r="E1391" s="7"/>
      <x:c r="F1391" s="20"/>
      <x:c r="G1391" s="7"/>
      <x:c r="H1391" s="7"/>
      <x:c r="I1391" s="7"/>
      <x:c r="J1391" s="7"/>
      <x:c r="K1391" s="7"/>
      <x:c r="L1391" s="7"/>
      <x:c r="M1391" s="7"/>
      <x:c r="N1391" s="7"/>
      <x:c r="O1391" s="2" t="str">
        <x:f>IF(A1391="","",IF(COUNTIFS($A$7:$A$1506,A1391)&gt;1,"Buchung-ID doppelt",IF(OR(NOT(ISNUMBER(B1391)),C1391="",NOT(ISNUMBER(F1391)),H1391="",L1391=""),"Pflichtangaben fehlen",IF(COUNTIFS('Konten'!$A$7:$A$26,C1391)&lt;&gt;1,"Konto nicht eindeutig",IF(J1391&lt;&gt;"Ja","Zuordnung bestätigen",IF(OR(AND(H1391="Einnahme",F1391&lt;0),AND(H1391="Ausgabe",F1391&gt;0)),"Vorzeichen prüfen",IF(AND(H1391="Umbuchung",OR(K1391="",COUNTIFS($A$7:$A$1506,K1391)&lt;&gt;1)),"Gegenbuchung fehlt",IF(AND(H1391="Umbuchung",ROUND(SUMIFS($F$7:$F$1506,$A$7:$A$1506,K1391)+F1391,2)&lt;&gt;0),"Umbuchung abweichend",IF(OR(G1391="",M1391="",M1391="offen",M1391="teilbelegt",H1391="Ungeklärt",H1391="Bargeld"),"Beleg / Verwendung klären","vollständig erfasst")))))))))</x:f>
      </x:c>
    </x:row>
    <x:row r="1392" ht="22" customHeight="1">
      <x:c r="A1392" s="7"/>
      <x:c r="B1392" s="8"/>
      <x:c r="C1392" s="7"/>
      <x:c r="D1392" s="7"/>
      <x:c r="E1392" s="7"/>
      <x:c r="F1392" s="20"/>
      <x:c r="G1392" s="7"/>
      <x:c r="H1392" s="7"/>
      <x:c r="I1392" s="7"/>
      <x:c r="J1392" s="7"/>
      <x:c r="K1392" s="7"/>
      <x:c r="L1392" s="7"/>
      <x:c r="M1392" s="7"/>
      <x:c r="N1392" s="7"/>
      <x:c r="O1392" s="2" t="str">
        <x:f>IF(A1392="","",IF(COUNTIFS($A$7:$A$1506,A1392)&gt;1,"Buchung-ID doppelt",IF(OR(NOT(ISNUMBER(B1392)),C1392="",NOT(ISNUMBER(F1392)),H1392="",L1392=""),"Pflichtangaben fehlen",IF(COUNTIFS('Konten'!$A$7:$A$26,C1392)&lt;&gt;1,"Konto nicht eindeutig",IF(J1392&lt;&gt;"Ja","Zuordnung bestätigen",IF(OR(AND(H1392="Einnahme",F1392&lt;0),AND(H1392="Ausgabe",F1392&gt;0)),"Vorzeichen prüfen",IF(AND(H1392="Umbuchung",OR(K1392="",COUNTIFS($A$7:$A$1506,K1392)&lt;&gt;1)),"Gegenbuchung fehlt",IF(AND(H1392="Umbuchung",ROUND(SUMIFS($F$7:$F$1506,$A$7:$A$1506,K1392)+F1392,2)&lt;&gt;0),"Umbuchung abweichend",IF(OR(G1392="",M1392="",M1392="offen",M1392="teilbelegt",H1392="Ungeklärt",H1392="Bargeld"),"Beleg / Verwendung klären","vollständig erfasst")))))))))</x:f>
      </x:c>
    </x:row>
    <x:row r="1393" ht="22" customHeight="1">
      <x:c r="A1393" s="7"/>
      <x:c r="B1393" s="8"/>
      <x:c r="C1393" s="7"/>
      <x:c r="D1393" s="7"/>
      <x:c r="E1393" s="7"/>
      <x:c r="F1393" s="20"/>
      <x:c r="G1393" s="7"/>
      <x:c r="H1393" s="7"/>
      <x:c r="I1393" s="7"/>
      <x:c r="J1393" s="7"/>
      <x:c r="K1393" s="7"/>
      <x:c r="L1393" s="7"/>
      <x:c r="M1393" s="7"/>
      <x:c r="N1393" s="7"/>
      <x:c r="O1393" s="2" t="str">
        <x:f>IF(A1393="","",IF(COUNTIFS($A$7:$A$1506,A1393)&gt;1,"Buchung-ID doppelt",IF(OR(NOT(ISNUMBER(B1393)),C1393="",NOT(ISNUMBER(F1393)),H1393="",L1393=""),"Pflichtangaben fehlen",IF(COUNTIFS('Konten'!$A$7:$A$26,C1393)&lt;&gt;1,"Konto nicht eindeutig",IF(J1393&lt;&gt;"Ja","Zuordnung bestätigen",IF(OR(AND(H1393="Einnahme",F1393&lt;0),AND(H1393="Ausgabe",F1393&gt;0)),"Vorzeichen prüfen",IF(AND(H1393="Umbuchung",OR(K1393="",COUNTIFS($A$7:$A$1506,K1393)&lt;&gt;1)),"Gegenbuchung fehlt",IF(AND(H1393="Umbuchung",ROUND(SUMIFS($F$7:$F$1506,$A$7:$A$1506,K1393)+F1393,2)&lt;&gt;0),"Umbuchung abweichend",IF(OR(G1393="",M1393="",M1393="offen",M1393="teilbelegt",H1393="Ungeklärt",H1393="Bargeld"),"Beleg / Verwendung klären","vollständig erfasst")))))))))</x:f>
      </x:c>
    </x:row>
    <x:row r="1394" ht="22" customHeight="1">
      <x:c r="A1394" s="7"/>
      <x:c r="B1394" s="8"/>
      <x:c r="C1394" s="7"/>
      <x:c r="D1394" s="7"/>
      <x:c r="E1394" s="7"/>
      <x:c r="F1394" s="20"/>
      <x:c r="G1394" s="7"/>
      <x:c r="H1394" s="7"/>
      <x:c r="I1394" s="7"/>
      <x:c r="J1394" s="7"/>
      <x:c r="K1394" s="7"/>
      <x:c r="L1394" s="7"/>
      <x:c r="M1394" s="7"/>
      <x:c r="N1394" s="7"/>
      <x:c r="O1394" s="2" t="str">
        <x:f>IF(A1394="","",IF(COUNTIFS($A$7:$A$1506,A1394)&gt;1,"Buchung-ID doppelt",IF(OR(NOT(ISNUMBER(B1394)),C1394="",NOT(ISNUMBER(F1394)),H1394="",L1394=""),"Pflichtangaben fehlen",IF(COUNTIFS('Konten'!$A$7:$A$26,C1394)&lt;&gt;1,"Konto nicht eindeutig",IF(J1394&lt;&gt;"Ja","Zuordnung bestätigen",IF(OR(AND(H1394="Einnahme",F1394&lt;0),AND(H1394="Ausgabe",F1394&gt;0)),"Vorzeichen prüfen",IF(AND(H1394="Umbuchung",OR(K1394="",COUNTIFS($A$7:$A$1506,K1394)&lt;&gt;1)),"Gegenbuchung fehlt",IF(AND(H1394="Umbuchung",ROUND(SUMIFS($F$7:$F$1506,$A$7:$A$1506,K1394)+F1394,2)&lt;&gt;0),"Umbuchung abweichend",IF(OR(G1394="",M1394="",M1394="offen",M1394="teilbelegt",H1394="Ungeklärt",H1394="Bargeld"),"Beleg / Verwendung klären","vollständig erfasst")))))))))</x:f>
      </x:c>
    </x:row>
    <x:row r="1395" ht="22" customHeight="1">
      <x:c r="A1395" s="7"/>
      <x:c r="B1395" s="8"/>
      <x:c r="C1395" s="7"/>
      <x:c r="D1395" s="7"/>
      <x:c r="E1395" s="7"/>
      <x:c r="F1395" s="20"/>
      <x:c r="G1395" s="7"/>
      <x:c r="H1395" s="7"/>
      <x:c r="I1395" s="7"/>
      <x:c r="J1395" s="7"/>
      <x:c r="K1395" s="7"/>
      <x:c r="L1395" s="7"/>
      <x:c r="M1395" s="7"/>
      <x:c r="N1395" s="7"/>
      <x:c r="O1395" s="2" t="str">
        <x:f>IF(A1395="","",IF(COUNTIFS($A$7:$A$1506,A1395)&gt;1,"Buchung-ID doppelt",IF(OR(NOT(ISNUMBER(B1395)),C1395="",NOT(ISNUMBER(F1395)),H1395="",L1395=""),"Pflichtangaben fehlen",IF(COUNTIFS('Konten'!$A$7:$A$26,C1395)&lt;&gt;1,"Konto nicht eindeutig",IF(J1395&lt;&gt;"Ja","Zuordnung bestätigen",IF(OR(AND(H1395="Einnahme",F1395&lt;0),AND(H1395="Ausgabe",F1395&gt;0)),"Vorzeichen prüfen",IF(AND(H1395="Umbuchung",OR(K1395="",COUNTIFS($A$7:$A$1506,K1395)&lt;&gt;1)),"Gegenbuchung fehlt",IF(AND(H1395="Umbuchung",ROUND(SUMIFS($F$7:$F$1506,$A$7:$A$1506,K1395)+F1395,2)&lt;&gt;0),"Umbuchung abweichend",IF(OR(G1395="",M1395="",M1395="offen",M1395="teilbelegt",H1395="Ungeklärt",H1395="Bargeld"),"Beleg / Verwendung klären","vollständig erfasst")))))))))</x:f>
      </x:c>
    </x:row>
    <x:row r="1396" ht="22" customHeight="1">
      <x:c r="A1396" s="7"/>
      <x:c r="B1396" s="8"/>
      <x:c r="C1396" s="7"/>
      <x:c r="D1396" s="7"/>
      <x:c r="E1396" s="7"/>
      <x:c r="F1396" s="20"/>
      <x:c r="G1396" s="7"/>
      <x:c r="H1396" s="7"/>
      <x:c r="I1396" s="7"/>
      <x:c r="J1396" s="7"/>
      <x:c r="K1396" s="7"/>
      <x:c r="L1396" s="7"/>
      <x:c r="M1396" s="7"/>
      <x:c r="N1396" s="7"/>
      <x:c r="O1396" s="2" t="str">
        <x:f>IF(A1396="","",IF(COUNTIFS($A$7:$A$1506,A1396)&gt;1,"Buchung-ID doppelt",IF(OR(NOT(ISNUMBER(B1396)),C1396="",NOT(ISNUMBER(F1396)),H1396="",L1396=""),"Pflichtangaben fehlen",IF(COUNTIFS('Konten'!$A$7:$A$26,C1396)&lt;&gt;1,"Konto nicht eindeutig",IF(J1396&lt;&gt;"Ja","Zuordnung bestätigen",IF(OR(AND(H1396="Einnahme",F1396&lt;0),AND(H1396="Ausgabe",F1396&gt;0)),"Vorzeichen prüfen",IF(AND(H1396="Umbuchung",OR(K1396="",COUNTIFS($A$7:$A$1506,K1396)&lt;&gt;1)),"Gegenbuchung fehlt",IF(AND(H1396="Umbuchung",ROUND(SUMIFS($F$7:$F$1506,$A$7:$A$1506,K1396)+F1396,2)&lt;&gt;0),"Umbuchung abweichend",IF(OR(G1396="",M1396="",M1396="offen",M1396="teilbelegt",H1396="Ungeklärt",H1396="Bargeld"),"Beleg / Verwendung klären","vollständig erfasst")))))))))</x:f>
      </x:c>
    </x:row>
    <x:row r="1397" ht="22" customHeight="1">
      <x:c r="A1397" s="7"/>
      <x:c r="B1397" s="8"/>
      <x:c r="C1397" s="7"/>
      <x:c r="D1397" s="7"/>
      <x:c r="E1397" s="7"/>
      <x:c r="F1397" s="20"/>
      <x:c r="G1397" s="7"/>
      <x:c r="H1397" s="7"/>
      <x:c r="I1397" s="7"/>
      <x:c r="J1397" s="7"/>
      <x:c r="K1397" s="7"/>
      <x:c r="L1397" s="7"/>
      <x:c r="M1397" s="7"/>
      <x:c r="N1397" s="7"/>
      <x:c r="O1397" s="2" t="str">
        <x:f>IF(A1397="","",IF(COUNTIFS($A$7:$A$1506,A1397)&gt;1,"Buchung-ID doppelt",IF(OR(NOT(ISNUMBER(B1397)),C1397="",NOT(ISNUMBER(F1397)),H1397="",L1397=""),"Pflichtangaben fehlen",IF(COUNTIFS('Konten'!$A$7:$A$26,C1397)&lt;&gt;1,"Konto nicht eindeutig",IF(J1397&lt;&gt;"Ja","Zuordnung bestätigen",IF(OR(AND(H1397="Einnahme",F1397&lt;0),AND(H1397="Ausgabe",F1397&gt;0)),"Vorzeichen prüfen",IF(AND(H1397="Umbuchung",OR(K1397="",COUNTIFS($A$7:$A$1506,K1397)&lt;&gt;1)),"Gegenbuchung fehlt",IF(AND(H1397="Umbuchung",ROUND(SUMIFS($F$7:$F$1506,$A$7:$A$1506,K1397)+F1397,2)&lt;&gt;0),"Umbuchung abweichend",IF(OR(G1397="",M1397="",M1397="offen",M1397="teilbelegt",H1397="Ungeklärt",H1397="Bargeld"),"Beleg / Verwendung klären","vollständig erfasst")))))))))</x:f>
      </x:c>
    </x:row>
    <x:row r="1398" ht="22" customHeight="1">
      <x:c r="A1398" s="7"/>
      <x:c r="B1398" s="8"/>
      <x:c r="C1398" s="7"/>
      <x:c r="D1398" s="7"/>
      <x:c r="E1398" s="7"/>
      <x:c r="F1398" s="20"/>
      <x:c r="G1398" s="7"/>
      <x:c r="H1398" s="7"/>
      <x:c r="I1398" s="7"/>
      <x:c r="J1398" s="7"/>
      <x:c r="K1398" s="7"/>
      <x:c r="L1398" s="7"/>
      <x:c r="M1398" s="7"/>
      <x:c r="N1398" s="7"/>
      <x:c r="O1398" s="2" t="str">
        <x:f>IF(A1398="","",IF(COUNTIFS($A$7:$A$1506,A1398)&gt;1,"Buchung-ID doppelt",IF(OR(NOT(ISNUMBER(B1398)),C1398="",NOT(ISNUMBER(F1398)),H1398="",L1398=""),"Pflichtangaben fehlen",IF(COUNTIFS('Konten'!$A$7:$A$26,C1398)&lt;&gt;1,"Konto nicht eindeutig",IF(J1398&lt;&gt;"Ja","Zuordnung bestätigen",IF(OR(AND(H1398="Einnahme",F1398&lt;0),AND(H1398="Ausgabe",F1398&gt;0)),"Vorzeichen prüfen",IF(AND(H1398="Umbuchung",OR(K1398="",COUNTIFS($A$7:$A$1506,K1398)&lt;&gt;1)),"Gegenbuchung fehlt",IF(AND(H1398="Umbuchung",ROUND(SUMIFS($F$7:$F$1506,$A$7:$A$1506,K1398)+F1398,2)&lt;&gt;0),"Umbuchung abweichend",IF(OR(G1398="",M1398="",M1398="offen",M1398="teilbelegt",H1398="Ungeklärt",H1398="Bargeld"),"Beleg / Verwendung klären","vollständig erfasst")))))))))</x:f>
      </x:c>
    </x:row>
    <x:row r="1399" ht="22" customHeight="1">
      <x:c r="A1399" s="7"/>
      <x:c r="B1399" s="8"/>
      <x:c r="C1399" s="7"/>
      <x:c r="D1399" s="7"/>
      <x:c r="E1399" s="7"/>
      <x:c r="F1399" s="20"/>
      <x:c r="G1399" s="7"/>
      <x:c r="H1399" s="7"/>
      <x:c r="I1399" s="7"/>
      <x:c r="J1399" s="7"/>
      <x:c r="K1399" s="7"/>
      <x:c r="L1399" s="7"/>
      <x:c r="M1399" s="7"/>
      <x:c r="N1399" s="7"/>
      <x:c r="O1399" s="2" t="str">
        <x:f>IF(A1399="","",IF(COUNTIFS($A$7:$A$1506,A1399)&gt;1,"Buchung-ID doppelt",IF(OR(NOT(ISNUMBER(B1399)),C1399="",NOT(ISNUMBER(F1399)),H1399="",L1399=""),"Pflichtangaben fehlen",IF(COUNTIFS('Konten'!$A$7:$A$26,C1399)&lt;&gt;1,"Konto nicht eindeutig",IF(J1399&lt;&gt;"Ja","Zuordnung bestätigen",IF(OR(AND(H1399="Einnahme",F1399&lt;0),AND(H1399="Ausgabe",F1399&gt;0)),"Vorzeichen prüfen",IF(AND(H1399="Umbuchung",OR(K1399="",COUNTIFS($A$7:$A$1506,K1399)&lt;&gt;1)),"Gegenbuchung fehlt",IF(AND(H1399="Umbuchung",ROUND(SUMIFS($F$7:$F$1506,$A$7:$A$1506,K1399)+F1399,2)&lt;&gt;0),"Umbuchung abweichend",IF(OR(G1399="",M1399="",M1399="offen",M1399="teilbelegt",H1399="Ungeklärt",H1399="Bargeld"),"Beleg / Verwendung klären","vollständig erfasst")))))))))</x:f>
      </x:c>
    </x:row>
    <x:row r="1400" ht="22" customHeight="1">
      <x:c r="A1400" s="7"/>
      <x:c r="B1400" s="8"/>
      <x:c r="C1400" s="7"/>
      <x:c r="D1400" s="7"/>
      <x:c r="E1400" s="7"/>
      <x:c r="F1400" s="20"/>
      <x:c r="G1400" s="7"/>
      <x:c r="H1400" s="7"/>
      <x:c r="I1400" s="7"/>
      <x:c r="J1400" s="7"/>
      <x:c r="K1400" s="7"/>
      <x:c r="L1400" s="7"/>
      <x:c r="M1400" s="7"/>
      <x:c r="N1400" s="7"/>
      <x:c r="O1400" s="2" t="str">
        <x:f>IF(A1400="","",IF(COUNTIFS($A$7:$A$1506,A1400)&gt;1,"Buchung-ID doppelt",IF(OR(NOT(ISNUMBER(B1400)),C1400="",NOT(ISNUMBER(F1400)),H1400="",L1400=""),"Pflichtangaben fehlen",IF(COUNTIFS('Konten'!$A$7:$A$26,C1400)&lt;&gt;1,"Konto nicht eindeutig",IF(J1400&lt;&gt;"Ja","Zuordnung bestätigen",IF(OR(AND(H1400="Einnahme",F1400&lt;0),AND(H1400="Ausgabe",F1400&gt;0)),"Vorzeichen prüfen",IF(AND(H1400="Umbuchung",OR(K1400="",COUNTIFS($A$7:$A$1506,K1400)&lt;&gt;1)),"Gegenbuchung fehlt",IF(AND(H1400="Umbuchung",ROUND(SUMIFS($F$7:$F$1506,$A$7:$A$1506,K1400)+F1400,2)&lt;&gt;0),"Umbuchung abweichend",IF(OR(G1400="",M1400="",M1400="offen",M1400="teilbelegt",H1400="Ungeklärt",H1400="Bargeld"),"Beleg / Verwendung klären","vollständig erfasst")))))))))</x:f>
      </x:c>
    </x:row>
    <x:row r="1401" ht="22" customHeight="1">
      <x:c r="A1401" s="7"/>
      <x:c r="B1401" s="8"/>
      <x:c r="C1401" s="7"/>
      <x:c r="D1401" s="7"/>
      <x:c r="E1401" s="7"/>
      <x:c r="F1401" s="20"/>
      <x:c r="G1401" s="7"/>
      <x:c r="H1401" s="7"/>
      <x:c r="I1401" s="7"/>
      <x:c r="J1401" s="7"/>
      <x:c r="K1401" s="7"/>
      <x:c r="L1401" s="7"/>
      <x:c r="M1401" s="7"/>
      <x:c r="N1401" s="7"/>
      <x:c r="O1401" s="2" t="str">
        <x:f>IF(A1401="","",IF(COUNTIFS($A$7:$A$1506,A1401)&gt;1,"Buchung-ID doppelt",IF(OR(NOT(ISNUMBER(B1401)),C1401="",NOT(ISNUMBER(F1401)),H1401="",L1401=""),"Pflichtangaben fehlen",IF(COUNTIFS('Konten'!$A$7:$A$26,C1401)&lt;&gt;1,"Konto nicht eindeutig",IF(J1401&lt;&gt;"Ja","Zuordnung bestätigen",IF(OR(AND(H1401="Einnahme",F1401&lt;0),AND(H1401="Ausgabe",F1401&gt;0)),"Vorzeichen prüfen",IF(AND(H1401="Umbuchung",OR(K1401="",COUNTIFS($A$7:$A$1506,K1401)&lt;&gt;1)),"Gegenbuchung fehlt",IF(AND(H1401="Umbuchung",ROUND(SUMIFS($F$7:$F$1506,$A$7:$A$1506,K1401)+F1401,2)&lt;&gt;0),"Umbuchung abweichend",IF(OR(G1401="",M1401="",M1401="offen",M1401="teilbelegt",H1401="Ungeklärt",H1401="Bargeld"),"Beleg / Verwendung klären","vollständig erfasst")))))))))</x:f>
      </x:c>
    </x:row>
    <x:row r="1402" ht="22" customHeight="1">
      <x:c r="A1402" s="7"/>
      <x:c r="B1402" s="8"/>
      <x:c r="C1402" s="7"/>
      <x:c r="D1402" s="7"/>
      <x:c r="E1402" s="7"/>
      <x:c r="F1402" s="20"/>
      <x:c r="G1402" s="7"/>
      <x:c r="H1402" s="7"/>
      <x:c r="I1402" s="7"/>
      <x:c r="J1402" s="7"/>
      <x:c r="K1402" s="7"/>
      <x:c r="L1402" s="7"/>
      <x:c r="M1402" s="7"/>
      <x:c r="N1402" s="7"/>
      <x:c r="O1402" s="2" t="str">
        <x:f>IF(A1402="","",IF(COUNTIFS($A$7:$A$1506,A1402)&gt;1,"Buchung-ID doppelt",IF(OR(NOT(ISNUMBER(B1402)),C1402="",NOT(ISNUMBER(F1402)),H1402="",L1402=""),"Pflichtangaben fehlen",IF(COUNTIFS('Konten'!$A$7:$A$26,C1402)&lt;&gt;1,"Konto nicht eindeutig",IF(J1402&lt;&gt;"Ja","Zuordnung bestätigen",IF(OR(AND(H1402="Einnahme",F1402&lt;0),AND(H1402="Ausgabe",F1402&gt;0)),"Vorzeichen prüfen",IF(AND(H1402="Umbuchung",OR(K1402="",COUNTIFS($A$7:$A$1506,K1402)&lt;&gt;1)),"Gegenbuchung fehlt",IF(AND(H1402="Umbuchung",ROUND(SUMIFS($F$7:$F$1506,$A$7:$A$1506,K1402)+F1402,2)&lt;&gt;0),"Umbuchung abweichend",IF(OR(G1402="",M1402="",M1402="offen",M1402="teilbelegt",H1402="Ungeklärt",H1402="Bargeld"),"Beleg / Verwendung klären","vollständig erfasst")))))))))</x:f>
      </x:c>
    </x:row>
    <x:row r="1403" ht="22" customHeight="1">
      <x:c r="A1403" s="7"/>
      <x:c r="B1403" s="8"/>
      <x:c r="C1403" s="7"/>
      <x:c r="D1403" s="7"/>
      <x:c r="E1403" s="7"/>
      <x:c r="F1403" s="20"/>
      <x:c r="G1403" s="7"/>
      <x:c r="H1403" s="7"/>
      <x:c r="I1403" s="7"/>
      <x:c r="J1403" s="7"/>
      <x:c r="K1403" s="7"/>
      <x:c r="L1403" s="7"/>
      <x:c r="M1403" s="7"/>
      <x:c r="N1403" s="7"/>
      <x:c r="O1403" s="2" t="str">
        <x:f>IF(A1403="","",IF(COUNTIFS($A$7:$A$1506,A1403)&gt;1,"Buchung-ID doppelt",IF(OR(NOT(ISNUMBER(B1403)),C1403="",NOT(ISNUMBER(F1403)),H1403="",L1403=""),"Pflichtangaben fehlen",IF(COUNTIFS('Konten'!$A$7:$A$26,C1403)&lt;&gt;1,"Konto nicht eindeutig",IF(J1403&lt;&gt;"Ja","Zuordnung bestätigen",IF(OR(AND(H1403="Einnahme",F1403&lt;0),AND(H1403="Ausgabe",F1403&gt;0)),"Vorzeichen prüfen",IF(AND(H1403="Umbuchung",OR(K1403="",COUNTIFS($A$7:$A$1506,K1403)&lt;&gt;1)),"Gegenbuchung fehlt",IF(AND(H1403="Umbuchung",ROUND(SUMIFS($F$7:$F$1506,$A$7:$A$1506,K1403)+F1403,2)&lt;&gt;0),"Umbuchung abweichend",IF(OR(G1403="",M1403="",M1403="offen",M1403="teilbelegt",H1403="Ungeklärt",H1403="Bargeld"),"Beleg / Verwendung klären","vollständig erfasst")))))))))</x:f>
      </x:c>
    </x:row>
    <x:row r="1404" ht="22" customHeight="1">
      <x:c r="A1404" s="7"/>
      <x:c r="B1404" s="8"/>
      <x:c r="C1404" s="7"/>
      <x:c r="D1404" s="7"/>
      <x:c r="E1404" s="7"/>
      <x:c r="F1404" s="20"/>
      <x:c r="G1404" s="7"/>
      <x:c r="H1404" s="7"/>
      <x:c r="I1404" s="7"/>
      <x:c r="J1404" s="7"/>
      <x:c r="K1404" s="7"/>
      <x:c r="L1404" s="7"/>
      <x:c r="M1404" s="7"/>
      <x:c r="N1404" s="7"/>
      <x:c r="O1404" s="2" t="str">
        <x:f>IF(A1404="","",IF(COUNTIFS($A$7:$A$1506,A1404)&gt;1,"Buchung-ID doppelt",IF(OR(NOT(ISNUMBER(B1404)),C1404="",NOT(ISNUMBER(F1404)),H1404="",L1404=""),"Pflichtangaben fehlen",IF(COUNTIFS('Konten'!$A$7:$A$26,C1404)&lt;&gt;1,"Konto nicht eindeutig",IF(J1404&lt;&gt;"Ja","Zuordnung bestätigen",IF(OR(AND(H1404="Einnahme",F1404&lt;0),AND(H1404="Ausgabe",F1404&gt;0)),"Vorzeichen prüfen",IF(AND(H1404="Umbuchung",OR(K1404="",COUNTIFS($A$7:$A$1506,K1404)&lt;&gt;1)),"Gegenbuchung fehlt",IF(AND(H1404="Umbuchung",ROUND(SUMIFS($F$7:$F$1506,$A$7:$A$1506,K1404)+F1404,2)&lt;&gt;0),"Umbuchung abweichend",IF(OR(G1404="",M1404="",M1404="offen",M1404="teilbelegt",H1404="Ungeklärt",H1404="Bargeld"),"Beleg / Verwendung klären","vollständig erfasst")))))))))</x:f>
      </x:c>
    </x:row>
    <x:row r="1405" ht="22" customHeight="1">
      <x:c r="A1405" s="7"/>
      <x:c r="B1405" s="8"/>
      <x:c r="C1405" s="7"/>
      <x:c r="D1405" s="7"/>
      <x:c r="E1405" s="7"/>
      <x:c r="F1405" s="20"/>
      <x:c r="G1405" s="7"/>
      <x:c r="H1405" s="7"/>
      <x:c r="I1405" s="7"/>
      <x:c r="J1405" s="7"/>
      <x:c r="K1405" s="7"/>
      <x:c r="L1405" s="7"/>
      <x:c r="M1405" s="7"/>
      <x:c r="N1405" s="7"/>
      <x:c r="O1405" s="2" t="str">
        <x:f>IF(A1405="","",IF(COUNTIFS($A$7:$A$1506,A1405)&gt;1,"Buchung-ID doppelt",IF(OR(NOT(ISNUMBER(B1405)),C1405="",NOT(ISNUMBER(F1405)),H1405="",L1405=""),"Pflichtangaben fehlen",IF(COUNTIFS('Konten'!$A$7:$A$26,C1405)&lt;&gt;1,"Konto nicht eindeutig",IF(J1405&lt;&gt;"Ja","Zuordnung bestätigen",IF(OR(AND(H1405="Einnahme",F1405&lt;0),AND(H1405="Ausgabe",F1405&gt;0)),"Vorzeichen prüfen",IF(AND(H1405="Umbuchung",OR(K1405="",COUNTIFS($A$7:$A$1506,K1405)&lt;&gt;1)),"Gegenbuchung fehlt",IF(AND(H1405="Umbuchung",ROUND(SUMIFS($F$7:$F$1506,$A$7:$A$1506,K1405)+F1405,2)&lt;&gt;0),"Umbuchung abweichend",IF(OR(G1405="",M1405="",M1405="offen",M1405="teilbelegt",H1405="Ungeklärt",H1405="Bargeld"),"Beleg / Verwendung klären","vollständig erfasst")))))))))</x:f>
      </x:c>
    </x:row>
    <x:row r="1406" ht="22" customHeight="1">
      <x:c r="A1406" s="7"/>
      <x:c r="B1406" s="8"/>
      <x:c r="C1406" s="7"/>
      <x:c r="D1406" s="7"/>
      <x:c r="E1406" s="7"/>
      <x:c r="F1406" s="20"/>
      <x:c r="G1406" s="7"/>
      <x:c r="H1406" s="7"/>
      <x:c r="I1406" s="7"/>
      <x:c r="J1406" s="7"/>
      <x:c r="K1406" s="7"/>
      <x:c r="L1406" s="7"/>
      <x:c r="M1406" s="7"/>
      <x:c r="N1406" s="7"/>
      <x:c r="O1406" s="2" t="str">
        <x:f>IF(A1406="","",IF(COUNTIFS($A$7:$A$1506,A1406)&gt;1,"Buchung-ID doppelt",IF(OR(NOT(ISNUMBER(B1406)),C1406="",NOT(ISNUMBER(F1406)),H1406="",L1406=""),"Pflichtangaben fehlen",IF(COUNTIFS('Konten'!$A$7:$A$26,C1406)&lt;&gt;1,"Konto nicht eindeutig",IF(J1406&lt;&gt;"Ja","Zuordnung bestätigen",IF(OR(AND(H1406="Einnahme",F1406&lt;0),AND(H1406="Ausgabe",F1406&gt;0)),"Vorzeichen prüfen",IF(AND(H1406="Umbuchung",OR(K1406="",COUNTIFS($A$7:$A$1506,K1406)&lt;&gt;1)),"Gegenbuchung fehlt",IF(AND(H1406="Umbuchung",ROUND(SUMIFS($F$7:$F$1506,$A$7:$A$1506,K1406)+F1406,2)&lt;&gt;0),"Umbuchung abweichend",IF(OR(G1406="",M1406="",M1406="offen",M1406="teilbelegt",H1406="Ungeklärt",H1406="Bargeld"),"Beleg / Verwendung klären","vollständig erfasst")))))))))</x:f>
      </x:c>
    </x:row>
    <x:row r="1407" ht="22" customHeight="1">
      <x:c r="A1407" s="7"/>
      <x:c r="B1407" s="8"/>
      <x:c r="C1407" s="7"/>
      <x:c r="D1407" s="7"/>
      <x:c r="E1407" s="7"/>
      <x:c r="F1407" s="20"/>
      <x:c r="G1407" s="7"/>
      <x:c r="H1407" s="7"/>
      <x:c r="I1407" s="7"/>
      <x:c r="J1407" s="7"/>
      <x:c r="K1407" s="7"/>
      <x:c r="L1407" s="7"/>
      <x:c r="M1407" s="7"/>
      <x:c r="N1407" s="7"/>
      <x:c r="O1407" s="2" t="str">
        <x:f>IF(A1407="","",IF(COUNTIFS($A$7:$A$1506,A1407)&gt;1,"Buchung-ID doppelt",IF(OR(NOT(ISNUMBER(B1407)),C1407="",NOT(ISNUMBER(F1407)),H1407="",L1407=""),"Pflichtangaben fehlen",IF(COUNTIFS('Konten'!$A$7:$A$26,C1407)&lt;&gt;1,"Konto nicht eindeutig",IF(J1407&lt;&gt;"Ja","Zuordnung bestätigen",IF(OR(AND(H1407="Einnahme",F1407&lt;0),AND(H1407="Ausgabe",F1407&gt;0)),"Vorzeichen prüfen",IF(AND(H1407="Umbuchung",OR(K1407="",COUNTIFS($A$7:$A$1506,K1407)&lt;&gt;1)),"Gegenbuchung fehlt",IF(AND(H1407="Umbuchung",ROUND(SUMIFS($F$7:$F$1506,$A$7:$A$1506,K1407)+F1407,2)&lt;&gt;0),"Umbuchung abweichend",IF(OR(G1407="",M1407="",M1407="offen",M1407="teilbelegt",H1407="Ungeklärt",H1407="Bargeld"),"Beleg / Verwendung klären","vollständig erfasst")))))))))</x:f>
      </x:c>
    </x:row>
    <x:row r="1408" ht="22" customHeight="1">
      <x:c r="A1408" s="7"/>
      <x:c r="B1408" s="8"/>
      <x:c r="C1408" s="7"/>
      <x:c r="D1408" s="7"/>
      <x:c r="E1408" s="7"/>
      <x:c r="F1408" s="20"/>
      <x:c r="G1408" s="7"/>
      <x:c r="H1408" s="7"/>
      <x:c r="I1408" s="7"/>
      <x:c r="J1408" s="7"/>
      <x:c r="K1408" s="7"/>
      <x:c r="L1408" s="7"/>
      <x:c r="M1408" s="7"/>
      <x:c r="N1408" s="7"/>
      <x:c r="O1408" s="2" t="str">
        <x:f>IF(A1408="","",IF(COUNTIFS($A$7:$A$1506,A1408)&gt;1,"Buchung-ID doppelt",IF(OR(NOT(ISNUMBER(B1408)),C1408="",NOT(ISNUMBER(F1408)),H1408="",L1408=""),"Pflichtangaben fehlen",IF(COUNTIFS('Konten'!$A$7:$A$26,C1408)&lt;&gt;1,"Konto nicht eindeutig",IF(J1408&lt;&gt;"Ja","Zuordnung bestätigen",IF(OR(AND(H1408="Einnahme",F1408&lt;0),AND(H1408="Ausgabe",F1408&gt;0)),"Vorzeichen prüfen",IF(AND(H1408="Umbuchung",OR(K1408="",COUNTIFS($A$7:$A$1506,K1408)&lt;&gt;1)),"Gegenbuchung fehlt",IF(AND(H1408="Umbuchung",ROUND(SUMIFS($F$7:$F$1506,$A$7:$A$1506,K1408)+F1408,2)&lt;&gt;0),"Umbuchung abweichend",IF(OR(G1408="",M1408="",M1408="offen",M1408="teilbelegt",H1408="Ungeklärt",H1408="Bargeld"),"Beleg / Verwendung klären","vollständig erfasst")))))))))</x:f>
      </x:c>
    </x:row>
    <x:row r="1409" ht="22" customHeight="1">
      <x:c r="A1409" s="7"/>
      <x:c r="B1409" s="8"/>
      <x:c r="C1409" s="7"/>
      <x:c r="D1409" s="7"/>
      <x:c r="E1409" s="7"/>
      <x:c r="F1409" s="20"/>
      <x:c r="G1409" s="7"/>
      <x:c r="H1409" s="7"/>
      <x:c r="I1409" s="7"/>
      <x:c r="J1409" s="7"/>
      <x:c r="K1409" s="7"/>
      <x:c r="L1409" s="7"/>
      <x:c r="M1409" s="7"/>
      <x:c r="N1409" s="7"/>
      <x:c r="O1409" s="2" t="str">
        <x:f>IF(A1409="","",IF(COUNTIFS($A$7:$A$1506,A1409)&gt;1,"Buchung-ID doppelt",IF(OR(NOT(ISNUMBER(B1409)),C1409="",NOT(ISNUMBER(F1409)),H1409="",L1409=""),"Pflichtangaben fehlen",IF(COUNTIFS('Konten'!$A$7:$A$26,C1409)&lt;&gt;1,"Konto nicht eindeutig",IF(J1409&lt;&gt;"Ja","Zuordnung bestätigen",IF(OR(AND(H1409="Einnahme",F1409&lt;0),AND(H1409="Ausgabe",F1409&gt;0)),"Vorzeichen prüfen",IF(AND(H1409="Umbuchung",OR(K1409="",COUNTIFS($A$7:$A$1506,K1409)&lt;&gt;1)),"Gegenbuchung fehlt",IF(AND(H1409="Umbuchung",ROUND(SUMIFS($F$7:$F$1506,$A$7:$A$1506,K1409)+F1409,2)&lt;&gt;0),"Umbuchung abweichend",IF(OR(G1409="",M1409="",M1409="offen",M1409="teilbelegt",H1409="Ungeklärt",H1409="Bargeld"),"Beleg / Verwendung klären","vollständig erfasst")))))))))</x:f>
      </x:c>
    </x:row>
    <x:row r="1410" ht="22" customHeight="1">
      <x:c r="A1410" s="7"/>
      <x:c r="B1410" s="8"/>
      <x:c r="C1410" s="7"/>
      <x:c r="D1410" s="7"/>
      <x:c r="E1410" s="7"/>
      <x:c r="F1410" s="20"/>
      <x:c r="G1410" s="7"/>
      <x:c r="H1410" s="7"/>
      <x:c r="I1410" s="7"/>
      <x:c r="J1410" s="7"/>
      <x:c r="K1410" s="7"/>
      <x:c r="L1410" s="7"/>
      <x:c r="M1410" s="7"/>
      <x:c r="N1410" s="7"/>
      <x:c r="O1410" s="2" t="str">
        <x:f>IF(A1410="","",IF(COUNTIFS($A$7:$A$1506,A1410)&gt;1,"Buchung-ID doppelt",IF(OR(NOT(ISNUMBER(B1410)),C1410="",NOT(ISNUMBER(F1410)),H1410="",L1410=""),"Pflichtangaben fehlen",IF(COUNTIFS('Konten'!$A$7:$A$26,C1410)&lt;&gt;1,"Konto nicht eindeutig",IF(J1410&lt;&gt;"Ja","Zuordnung bestätigen",IF(OR(AND(H1410="Einnahme",F1410&lt;0),AND(H1410="Ausgabe",F1410&gt;0)),"Vorzeichen prüfen",IF(AND(H1410="Umbuchung",OR(K1410="",COUNTIFS($A$7:$A$1506,K1410)&lt;&gt;1)),"Gegenbuchung fehlt",IF(AND(H1410="Umbuchung",ROUND(SUMIFS($F$7:$F$1506,$A$7:$A$1506,K1410)+F1410,2)&lt;&gt;0),"Umbuchung abweichend",IF(OR(G1410="",M1410="",M1410="offen",M1410="teilbelegt",H1410="Ungeklärt",H1410="Bargeld"),"Beleg / Verwendung klären","vollständig erfasst")))))))))</x:f>
      </x:c>
    </x:row>
    <x:row r="1411" ht="22" customHeight="1">
      <x:c r="A1411" s="7"/>
      <x:c r="B1411" s="8"/>
      <x:c r="C1411" s="7"/>
      <x:c r="D1411" s="7"/>
      <x:c r="E1411" s="7"/>
      <x:c r="F1411" s="20"/>
      <x:c r="G1411" s="7"/>
      <x:c r="H1411" s="7"/>
      <x:c r="I1411" s="7"/>
      <x:c r="J1411" s="7"/>
      <x:c r="K1411" s="7"/>
      <x:c r="L1411" s="7"/>
      <x:c r="M1411" s="7"/>
      <x:c r="N1411" s="7"/>
      <x:c r="O1411" s="2" t="str">
        <x:f>IF(A1411="","",IF(COUNTIFS($A$7:$A$1506,A1411)&gt;1,"Buchung-ID doppelt",IF(OR(NOT(ISNUMBER(B1411)),C1411="",NOT(ISNUMBER(F1411)),H1411="",L1411=""),"Pflichtangaben fehlen",IF(COUNTIFS('Konten'!$A$7:$A$26,C1411)&lt;&gt;1,"Konto nicht eindeutig",IF(J1411&lt;&gt;"Ja","Zuordnung bestätigen",IF(OR(AND(H1411="Einnahme",F1411&lt;0),AND(H1411="Ausgabe",F1411&gt;0)),"Vorzeichen prüfen",IF(AND(H1411="Umbuchung",OR(K1411="",COUNTIFS($A$7:$A$1506,K1411)&lt;&gt;1)),"Gegenbuchung fehlt",IF(AND(H1411="Umbuchung",ROUND(SUMIFS($F$7:$F$1506,$A$7:$A$1506,K1411)+F1411,2)&lt;&gt;0),"Umbuchung abweichend",IF(OR(G1411="",M1411="",M1411="offen",M1411="teilbelegt",H1411="Ungeklärt",H1411="Bargeld"),"Beleg / Verwendung klären","vollständig erfasst")))))))))</x:f>
      </x:c>
    </x:row>
    <x:row r="1412" ht="22" customHeight="1">
      <x:c r="A1412" s="7"/>
      <x:c r="B1412" s="8"/>
      <x:c r="C1412" s="7"/>
      <x:c r="D1412" s="7"/>
      <x:c r="E1412" s="7"/>
      <x:c r="F1412" s="20"/>
      <x:c r="G1412" s="7"/>
      <x:c r="H1412" s="7"/>
      <x:c r="I1412" s="7"/>
      <x:c r="J1412" s="7"/>
      <x:c r="K1412" s="7"/>
      <x:c r="L1412" s="7"/>
      <x:c r="M1412" s="7"/>
      <x:c r="N1412" s="7"/>
      <x:c r="O1412" s="2" t="str">
        <x:f>IF(A1412="","",IF(COUNTIFS($A$7:$A$1506,A1412)&gt;1,"Buchung-ID doppelt",IF(OR(NOT(ISNUMBER(B1412)),C1412="",NOT(ISNUMBER(F1412)),H1412="",L1412=""),"Pflichtangaben fehlen",IF(COUNTIFS('Konten'!$A$7:$A$26,C1412)&lt;&gt;1,"Konto nicht eindeutig",IF(J1412&lt;&gt;"Ja","Zuordnung bestätigen",IF(OR(AND(H1412="Einnahme",F1412&lt;0),AND(H1412="Ausgabe",F1412&gt;0)),"Vorzeichen prüfen",IF(AND(H1412="Umbuchung",OR(K1412="",COUNTIFS($A$7:$A$1506,K1412)&lt;&gt;1)),"Gegenbuchung fehlt",IF(AND(H1412="Umbuchung",ROUND(SUMIFS($F$7:$F$1506,$A$7:$A$1506,K1412)+F1412,2)&lt;&gt;0),"Umbuchung abweichend",IF(OR(G1412="",M1412="",M1412="offen",M1412="teilbelegt",H1412="Ungeklärt",H1412="Bargeld"),"Beleg / Verwendung klären","vollständig erfasst")))))))))</x:f>
      </x:c>
    </x:row>
    <x:row r="1413" ht="22" customHeight="1">
      <x:c r="A1413" s="7"/>
      <x:c r="B1413" s="8"/>
      <x:c r="C1413" s="7"/>
      <x:c r="D1413" s="7"/>
      <x:c r="E1413" s="7"/>
      <x:c r="F1413" s="20"/>
      <x:c r="G1413" s="7"/>
      <x:c r="H1413" s="7"/>
      <x:c r="I1413" s="7"/>
      <x:c r="J1413" s="7"/>
      <x:c r="K1413" s="7"/>
      <x:c r="L1413" s="7"/>
      <x:c r="M1413" s="7"/>
      <x:c r="N1413" s="7"/>
      <x:c r="O1413" s="2" t="str">
        <x:f>IF(A1413="","",IF(COUNTIFS($A$7:$A$1506,A1413)&gt;1,"Buchung-ID doppelt",IF(OR(NOT(ISNUMBER(B1413)),C1413="",NOT(ISNUMBER(F1413)),H1413="",L1413=""),"Pflichtangaben fehlen",IF(COUNTIFS('Konten'!$A$7:$A$26,C1413)&lt;&gt;1,"Konto nicht eindeutig",IF(J1413&lt;&gt;"Ja","Zuordnung bestätigen",IF(OR(AND(H1413="Einnahme",F1413&lt;0),AND(H1413="Ausgabe",F1413&gt;0)),"Vorzeichen prüfen",IF(AND(H1413="Umbuchung",OR(K1413="",COUNTIFS($A$7:$A$1506,K1413)&lt;&gt;1)),"Gegenbuchung fehlt",IF(AND(H1413="Umbuchung",ROUND(SUMIFS($F$7:$F$1506,$A$7:$A$1506,K1413)+F1413,2)&lt;&gt;0),"Umbuchung abweichend",IF(OR(G1413="",M1413="",M1413="offen",M1413="teilbelegt",H1413="Ungeklärt",H1413="Bargeld"),"Beleg / Verwendung klären","vollständig erfasst")))))))))</x:f>
      </x:c>
    </x:row>
    <x:row r="1414" ht="22" customHeight="1">
      <x:c r="A1414" s="7"/>
      <x:c r="B1414" s="8"/>
      <x:c r="C1414" s="7"/>
      <x:c r="D1414" s="7"/>
      <x:c r="E1414" s="7"/>
      <x:c r="F1414" s="20"/>
      <x:c r="G1414" s="7"/>
      <x:c r="H1414" s="7"/>
      <x:c r="I1414" s="7"/>
      <x:c r="J1414" s="7"/>
      <x:c r="K1414" s="7"/>
      <x:c r="L1414" s="7"/>
      <x:c r="M1414" s="7"/>
      <x:c r="N1414" s="7"/>
      <x:c r="O1414" s="2" t="str">
        <x:f>IF(A1414="","",IF(COUNTIFS($A$7:$A$1506,A1414)&gt;1,"Buchung-ID doppelt",IF(OR(NOT(ISNUMBER(B1414)),C1414="",NOT(ISNUMBER(F1414)),H1414="",L1414=""),"Pflichtangaben fehlen",IF(COUNTIFS('Konten'!$A$7:$A$26,C1414)&lt;&gt;1,"Konto nicht eindeutig",IF(J1414&lt;&gt;"Ja","Zuordnung bestätigen",IF(OR(AND(H1414="Einnahme",F1414&lt;0),AND(H1414="Ausgabe",F1414&gt;0)),"Vorzeichen prüfen",IF(AND(H1414="Umbuchung",OR(K1414="",COUNTIFS($A$7:$A$1506,K1414)&lt;&gt;1)),"Gegenbuchung fehlt",IF(AND(H1414="Umbuchung",ROUND(SUMIFS($F$7:$F$1506,$A$7:$A$1506,K1414)+F1414,2)&lt;&gt;0),"Umbuchung abweichend",IF(OR(G1414="",M1414="",M1414="offen",M1414="teilbelegt",H1414="Ungeklärt",H1414="Bargeld"),"Beleg / Verwendung klären","vollständig erfasst")))))))))</x:f>
      </x:c>
    </x:row>
    <x:row r="1415" ht="22" customHeight="1">
      <x:c r="A1415" s="7"/>
      <x:c r="B1415" s="8"/>
      <x:c r="C1415" s="7"/>
      <x:c r="D1415" s="7"/>
      <x:c r="E1415" s="7"/>
      <x:c r="F1415" s="20"/>
      <x:c r="G1415" s="7"/>
      <x:c r="H1415" s="7"/>
      <x:c r="I1415" s="7"/>
      <x:c r="J1415" s="7"/>
      <x:c r="K1415" s="7"/>
      <x:c r="L1415" s="7"/>
      <x:c r="M1415" s="7"/>
      <x:c r="N1415" s="7"/>
      <x:c r="O1415" s="2" t="str">
        <x:f>IF(A1415="","",IF(COUNTIFS($A$7:$A$1506,A1415)&gt;1,"Buchung-ID doppelt",IF(OR(NOT(ISNUMBER(B1415)),C1415="",NOT(ISNUMBER(F1415)),H1415="",L1415=""),"Pflichtangaben fehlen",IF(COUNTIFS('Konten'!$A$7:$A$26,C1415)&lt;&gt;1,"Konto nicht eindeutig",IF(J1415&lt;&gt;"Ja","Zuordnung bestätigen",IF(OR(AND(H1415="Einnahme",F1415&lt;0),AND(H1415="Ausgabe",F1415&gt;0)),"Vorzeichen prüfen",IF(AND(H1415="Umbuchung",OR(K1415="",COUNTIFS($A$7:$A$1506,K1415)&lt;&gt;1)),"Gegenbuchung fehlt",IF(AND(H1415="Umbuchung",ROUND(SUMIFS($F$7:$F$1506,$A$7:$A$1506,K1415)+F1415,2)&lt;&gt;0),"Umbuchung abweichend",IF(OR(G1415="",M1415="",M1415="offen",M1415="teilbelegt",H1415="Ungeklärt",H1415="Bargeld"),"Beleg / Verwendung klären","vollständig erfasst")))))))))</x:f>
      </x:c>
    </x:row>
    <x:row r="1416" ht="22" customHeight="1">
      <x:c r="A1416" s="7"/>
      <x:c r="B1416" s="8"/>
      <x:c r="C1416" s="7"/>
      <x:c r="D1416" s="7"/>
      <x:c r="E1416" s="7"/>
      <x:c r="F1416" s="20"/>
      <x:c r="G1416" s="7"/>
      <x:c r="H1416" s="7"/>
      <x:c r="I1416" s="7"/>
      <x:c r="J1416" s="7"/>
      <x:c r="K1416" s="7"/>
      <x:c r="L1416" s="7"/>
      <x:c r="M1416" s="7"/>
      <x:c r="N1416" s="7"/>
      <x:c r="O1416" s="2" t="str">
        <x:f>IF(A1416="","",IF(COUNTIFS($A$7:$A$1506,A1416)&gt;1,"Buchung-ID doppelt",IF(OR(NOT(ISNUMBER(B1416)),C1416="",NOT(ISNUMBER(F1416)),H1416="",L1416=""),"Pflichtangaben fehlen",IF(COUNTIFS('Konten'!$A$7:$A$26,C1416)&lt;&gt;1,"Konto nicht eindeutig",IF(J1416&lt;&gt;"Ja","Zuordnung bestätigen",IF(OR(AND(H1416="Einnahme",F1416&lt;0),AND(H1416="Ausgabe",F1416&gt;0)),"Vorzeichen prüfen",IF(AND(H1416="Umbuchung",OR(K1416="",COUNTIFS($A$7:$A$1506,K1416)&lt;&gt;1)),"Gegenbuchung fehlt",IF(AND(H1416="Umbuchung",ROUND(SUMIFS($F$7:$F$1506,$A$7:$A$1506,K1416)+F1416,2)&lt;&gt;0),"Umbuchung abweichend",IF(OR(G1416="",M1416="",M1416="offen",M1416="teilbelegt",H1416="Ungeklärt",H1416="Bargeld"),"Beleg / Verwendung klären","vollständig erfasst")))))))))</x:f>
      </x:c>
    </x:row>
    <x:row r="1417" ht="22" customHeight="1">
      <x:c r="A1417" s="7"/>
      <x:c r="B1417" s="8"/>
      <x:c r="C1417" s="7"/>
      <x:c r="D1417" s="7"/>
      <x:c r="E1417" s="7"/>
      <x:c r="F1417" s="20"/>
      <x:c r="G1417" s="7"/>
      <x:c r="H1417" s="7"/>
      <x:c r="I1417" s="7"/>
      <x:c r="J1417" s="7"/>
      <x:c r="K1417" s="7"/>
      <x:c r="L1417" s="7"/>
      <x:c r="M1417" s="7"/>
      <x:c r="N1417" s="7"/>
      <x:c r="O1417" s="2" t="str">
        <x:f>IF(A1417="","",IF(COUNTIFS($A$7:$A$1506,A1417)&gt;1,"Buchung-ID doppelt",IF(OR(NOT(ISNUMBER(B1417)),C1417="",NOT(ISNUMBER(F1417)),H1417="",L1417=""),"Pflichtangaben fehlen",IF(COUNTIFS('Konten'!$A$7:$A$26,C1417)&lt;&gt;1,"Konto nicht eindeutig",IF(J1417&lt;&gt;"Ja","Zuordnung bestätigen",IF(OR(AND(H1417="Einnahme",F1417&lt;0),AND(H1417="Ausgabe",F1417&gt;0)),"Vorzeichen prüfen",IF(AND(H1417="Umbuchung",OR(K1417="",COUNTIFS($A$7:$A$1506,K1417)&lt;&gt;1)),"Gegenbuchung fehlt",IF(AND(H1417="Umbuchung",ROUND(SUMIFS($F$7:$F$1506,$A$7:$A$1506,K1417)+F1417,2)&lt;&gt;0),"Umbuchung abweichend",IF(OR(G1417="",M1417="",M1417="offen",M1417="teilbelegt",H1417="Ungeklärt",H1417="Bargeld"),"Beleg / Verwendung klären","vollständig erfasst")))))))))</x:f>
      </x:c>
    </x:row>
    <x:row r="1418" ht="22" customHeight="1">
      <x:c r="A1418" s="7"/>
      <x:c r="B1418" s="8"/>
      <x:c r="C1418" s="7"/>
      <x:c r="D1418" s="7"/>
      <x:c r="E1418" s="7"/>
      <x:c r="F1418" s="20"/>
      <x:c r="G1418" s="7"/>
      <x:c r="H1418" s="7"/>
      <x:c r="I1418" s="7"/>
      <x:c r="J1418" s="7"/>
      <x:c r="K1418" s="7"/>
      <x:c r="L1418" s="7"/>
      <x:c r="M1418" s="7"/>
      <x:c r="N1418" s="7"/>
      <x:c r="O1418" s="2" t="str">
        <x:f>IF(A1418="","",IF(COUNTIFS($A$7:$A$1506,A1418)&gt;1,"Buchung-ID doppelt",IF(OR(NOT(ISNUMBER(B1418)),C1418="",NOT(ISNUMBER(F1418)),H1418="",L1418=""),"Pflichtangaben fehlen",IF(COUNTIFS('Konten'!$A$7:$A$26,C1418)&lt;&gt;1,"Konto nicht eindeutig",IF(J1418&lt;&gt;"Ja","Zuordnung bestätigen",IF(OR(AND(H1418="Einnahme",F1418&lt;0),AND(H1418="Ausgabe",F1418&gt;0)),"Vorzeichen prüfen",IF(AND(H1418="Umbuchung",OR(K1418="",COUNTIFS($A$7:$A$1506,K1418)&lt;&gt;1)),"Gegenbuchung fehlt",IF(AND(H1418="Umbuchung",ROUND(SUMIFS($F$7:$F$1506,$A$7:$A$1506,K1418)+F1418,2)&lt;&gt;0),"Umbuchung abweichend",IF(OR(G1418="",M1418="",M1418="offen",M1418="teilbelegt",H1418="Ungeklärt",H1418="Bargeld"),"Beleg / Verwendung klären","vollständig erfasst")))))))))</x:f>
      </x:c>
    </x:row>
    <x:row r="1419" ht="22" customHeight="1">
      <x:c r="A1419" s="7"/>
      <x:c r="B1419" s="8"/>
      <x:c r="C1419" s="7"/>
      <x:c r="D1419" s="7"/>
      <x:c r="E1419" s="7"/>
      <x:c r="F1419" s="20"/>
      <x:c r="G1419" s="7"/>
      <x:c r="H1419" s="7"/>
      <x:c r="I1419" s="7"/>
      <x:c r="J1419" s="7"/>
      <x:c r="K1419" s="7"/>
      <x:c r="L1419" s="7"/>
      <x:c r="M1419" s="7"/>
      <x:c r="N1419" s="7"/>
      <x:c r="O1419" s="2" t="str">
        <x:f>IF(A1419="","",IF(COUNTIFS($A$7:$A$1506,A1419)&gt;1,"Buchung-ID doppelt",IF(OR(NOT(ISNUMBER(B1419)),C1419="",NOT(ISNUMBER(F1419)),H1419="",L1419=""),"Pflichtangaben fehlen",IF(COUNTIFS('Konten'!$A$7:$A$26,C1419)&lt;&gt;1,"Konto nicht eindeutig",IF(J1419&lt;&gt;"Ja","Zuordnung bestätigen",IF(OR(AND(H1419="Einnahme",F1419&lt;0),AND(H1419="Ausgabe",F1419&gt;0)),"Vorzeichen prüfen",IF(AND(H1419="Umbuchung",OR(K1419="",COUNTIFS($A$7:$A$1506,K1419)&lt;&gt;1)),"Gegenbuchung fehlt",IF(AND(H1419="Umbuchung",ROUND(SUMIFS($F$7:$F$1506,$A$7:$A$1506,K1419)+F1419,2)&lt;&gt;0),"Umbuchung abweichend",IF(OR(G1419="",M1419="",M1419="offen",M1419="teilbelegt",H1419="Ungeklärt",H1419="Bargeld"),"Beleg / Verwendung klären","vollständig erfasst")))))))))</x:f>
      </x:c>
    </x:row>
    <x:row r="1420" ht="22" customHeight="1">
      <x:c r="A1420" s="7"/>
      <x:c r="B1420" s="8"/>
      <x:c r="C1420" s="7"/>
      <x:c r="D1420" s="7"/>
      <x:c r="E1420" s="7"/>
      <x:c r="F1420" s="20"/>
      <x:c r="G1420" s="7"/>
      <x:c r="H1420" s="7"/>
      <x:c r="I1420" s="7"/>
      <x:c r="J1420" s="7"/>
      <x:c r="K1420" s="7"/>
      <x:c r="L1420" s="7"/>
      <x:c r="M1420" s="7"/>
      <x:c r="N1420" s="7"/>
      <x:c r="O1420" s="2" t="str">
        <x:f>IF(A1420="","",IF(COUNTIFS($A$7:$A$1506,A1420)&gt;1,"Buchung-ID doppelt",IF(OR(NOT(ISNUMBER(B1420)),C1420="",NOT(ISNUMBER(F1420)),H1420="",L1420=""),"Pflichtangaben fehlen",IF(COUNTIFS('Konten'!$A$7:$A$26,C1420)&lt;&gt;1,"Konto nicht eindeutig",IF(J1420&lt;&gt;"Ja","Zuordnung bestätigen",IF(OR(AND(H1420="Einnahme",F1420&lt;0),AND(H1420="Ausgabe",F1420&gt;0)),"Vorzeichen prüfen",IF(AND(H1420="Umbuchung",OR(K1420="",COUNTIFS($A$7:$A$1506,K1420)&lt;&gt;1)),"Gegenbuchung fehlt",IF(AND(H1420="Umbuchung",ROUND(SUMIFS($F$7:$F$1506,$A$7:$A$1506,K1420)+F1420,2)&lt;&gt;0),"Umbuchung abweichend",IF(OR(G1420="",M1420="",M1420="offen",M1420="teilbelegt",H1420="Ungeklärt",H1420="Bargeld"),"Beleg / Verwendung klären","vollständig erfasst")))))))))</x:f>
      </x:c>
    </x:row>
    <x:row r="1421" ht="22" customHeight="1">
      <x:c r="A1421" s="7"/>
      <x:c r="B1421" s="8"/>
      <x:c r="C1421" s="7"/>
      <x:c r="D1421" s="7"/>
      <x:c r="E1421" s="7"/>
      <x:c r="F1421" s="20"/>
      <x:c r="G1421" s="7"/>
      <x:c r="H1421" s="7"/>
      <x:c r="I1421" s="7"/>
      <x:c r="J1421" s="7"/>
      <x:c r="K1421" s="7"/>
      <x:c r="L1421" s="7"/>
      <x:c r="M1421" s="7"/>
      <x:c r="N1421" s="7"/>
      <x:c r="O1421" s="2" t="str">
        <x:f>IF(A1421="","",IF(COUNTIFS($A$7:$A$1506,A1421)&gt;1,"Buchung-ID doppelt",IF(OR(NOT(ISNUMBER(B1421)),C1421="",NOT(ISNUMBER(F1421)),H1421="",L1421=""),"Pflichtangaben fehlen",IF(COUNTIFS('Konten'!$A$7:$A$26,C1421)&lt;&gt;1,"Konto nicht eindeutig",IF(J1421&lt;&gt;"Ja","Zuordnung bestätigen",IF(OR(AND(H1421="Einnahme",F1421&lt;0),AND(H1421="Ausgabe",F1421&gt;0)),"Vorzeichen prüfen",IF(AND(H1421="Umbuchung",OR(K1421="",COUNTIFS($A$7:$A$1506,K1421)&lt;&gt;1)),"Gegenbuchung fehlt",IF(AND(H1421="Umbuchung",ROUND(SUMIFS($F$7:$F$1506,$A$7:$A$1506,K1421)+F1421,2)&lt;&gt;0),"Umbuchung abweichend",IF(OR(G1421="",M1421="",M1421="offen",M1421="teilbelegt",H1421="Ungeklärt",H1421="Bargeld"),"Beleg / Verwendung klären","vollständig erfasst")))))))))</x:f>
      </x:c>
    </x:row>
    <x:row r="1422" ht="22" customHeight="1">
      <x:c r="A1422" s="7"/>
      <x:c r="B1422" s="8"/>
      <x:c r="C1422" s="7"/>
      <x:c r="D1422" s="7"/>
      <x:c r="E1422" s="7"/>
      <x:c r="F1422" s="20"/>
      <x:c r="G1422" s="7"/>
      <x:c r="H1422" s="7"/>
      <x:c r="I1422" s="7"/>
      <x:c r="J1422" s="7"/>
      <x:c r="K1422" s="7"/>
      <x:c r="L1422" s="7"/>
      <x:c r="M1422" s="7"/>
      <x:c r="N1422" s="7"/>
      <x:c r="O1422" s="2" t="str">
        <x:f>IF(A1422="","",IF(COUNTIFS($A$7:$A$1506,A1422)&gt;1,"Buchung-ID doppelt",IF(OR(NOT(ISNUMBER(B1422)),C1422="",NOT(ISNUMBER(F1422)),H1422="",L1422=""),"Pflichtangaben fehlen",IF(COUNTIFS('Konten'!$A$7:$A$26,C1422)&lt;&gt;1,"Konto nicht eindeutig",IF(J1422&lt;&gt;"Ja","Zuordnung bestätigen",IF(OR(AND(H1422="Einnahme",F1422&lt;0),AND(H1422="Ausgabe",F1422&gt;0)),"Vorzeichen prüfen",IF(AND(H1422="Umbuchung",OR(K1422="",COUNTIFS($A$7:$A$1506,K1422)&lt;&gt;1)),"Gegenbuchung fehlt",IF(AND(H1422="Umbuchung",ROUND(SUMIFS($F$7:$F$1506,$A$7:$A$1506,K1422)+F1422,2)&lt;&gt;0),"Umbuchung abweichend",IF(OR(G1422="",M1422="",M1422="offen",M1422="teilbelegt",H1422="Ungeklärt",H1422="Bargeld"),"Beleg / Verwendung klären","vollständig erfasst")))))))))</x:f>
      </x:c>
    </x:row>
    <x:row r="1423" ht="22" customHeight="1">
      <x:c r="A1423" s="7"/>
      <x:c r="B1423" s="8"/>
      <x:c r="C1423" s="7"/>
      <x:c r="D1423" s="7"/>
      <x:c r="E1423" s="7"/>
      <x:c r="F1423" s="20"/>
      <x:c r="G1423" s="7"/>
      <x:c r="H1423" s="7"/>
      <x:c r="I1423" s="7"/>
      <x:c r="J1423" s="7"/>
      <x:c r="K1423" s="7"/>
      <x:c r="L1423" s="7"/>
      <x:c r="M1423" s="7"/>
      <x:c r="N1423" s="7"/>
      <x:c r="O1423" s="2" t="str">
        <x:f>IF(A1423="","",IF(COUNTIFS($A$7:$A$1506,A1423)&gt;1,"Buchung-ID doppelt",IF(OR(NOT(ISNUMBER(B1423)),C1423="",NOT(ISNUMBER(F1423)),H1423="",L1423=""),"Pflichtangaben fehlen",IF(COUNTIFS('Konten'!$A$7:$A$26,C1423)&lt;&gt;1,"Konto nicht eindeutig",IF(J1423&lt;&gt;"Ja","Zuordnung bestätigen",IF(OR(AND(H1423="Einnahme",F1423&lt;0),AND(H1423="Ausgabe",F1423&gt;0)),"Vorzeichen prüfen",IF(AND(H1423="Umbuchung",OR(K1423="",COUNTIFS($A$7:$A$1506,K1423)&lt;&gt;1)),"Gegenbuchung fehlt",IF(AND(H1423="Umbuchung",ROUND(SUMIFS($F$7:$F$1506,$A$7:$A$1506,K1423)+F1423,2)&lt;&gt;0),"Umbuchung abweichend",IF(OR(G1423="",M1423="",M1423="offen",M1423="teilbelegt",H1423="Ungeklärt",H1423="Bargeld"),"Beleg / Verwendung klären","vollständig erfasst")))))))))</x:f>
      </x:c>
    </x:row>
    <x:row r="1424" ht="22" customHeight="1">
      <x:c r="A1424" s="7"/>
      <x:c r="B1424" s="8"/>
      <x:c r="C1424" s="7"/>
      <x:c r="D1424" s="7"/>
      <x:c r="E1424" s="7"/>
      <x:c r="F1424" s="20"/>
      <x:c r="G1424" s="7"/>
      <x:c r="H1424" s="7"/>
      <x:c r="I1424" s="7"/>
      <x:c r="J1424" s="7"/>
      <x:c r="K1424" s="7"/>
      <x:c r="L1424" s="7"/>
      <x:c r="M1424" s="7"/>
      <x:c r="N1424" s="7"/>
      <x:c r="O1424" s="2" t="str">
        <x:f>IF(A1424="","",IF(COUNTIFS($A$7:$A$1506,A1424)&gt;1,"Buchung-ID doppelt",IF(OR(NOT(ISNUMBER(B1424)),C1424="",NOT(ISNUMBER(F1424)),H1424="",L1424=""),"Pflichtangaben fehlen",IF(COUNTIFS('Konten'!$A$7:$A$26,C1424)&lt;&gt;1,"Konto nicht eindeutig",IF(J1424&lt;&gt;"Ja","Zuordnung bestätigen",IF(OR(AND(H1424="Einnahme",F1424&lt;0),AND(H1424="Ausgabe",F1424&gt;0)),"Vorzeichen prüfen",IF(AND(H1424="Umbuchung",OR(K1424="",COUNTIFS($A$7:$A$1506,K1424)&lt;&gt;1)),"Gegenbuchung fehlt",IF(AND(H1424="Umbuchung",ROUND(SUMIFS($F$7:$F$1506,$A$7:$A$1506,K1424)+F1424,2)&lt;&gt;0),"Umbuchung abweichend",IF(OR(G1424="",M1424="",M1424="offen",M1424="teilbelegt",H1424="Ungeklärt",H1424="Bargeld"),"Beleg / Verwendung klären","vollständig erfasst")))))))))</x:f>
      </x:c>
    </x:row>
    <x:row r="1425" ht="22" customHeight="1">
      <x:c r="A1425" s="7"/>
      <x:c r="B1425" s="8"/>
      <x:c r="C1425" s="7"/>
      <x:c r="D1425" s="7"/>
      <x:c r="E1425" s="7"/>
      <x:c r="F1425" s="20"/>
      <x:c r="G1425" s="7"/>
      <x:c r="H1425" s="7"/>
      <x:c r="I1425" s="7"/>
      <x:c r="J1425" s="7"/>
      <x:c r="K1425" s="7"/>
      <x:c r="L1425" s="7"/>
      <x:c r="M1425" s="7"/>
      <x:c r="N1425" s="7"/>
      <x:c r="O1425" s="2" t="str">
        <x:f>IF(A1425="","",IF(COUNTIFS($A$7:$A$1506,A1425)&gt;1,"Buchung-ID doppelt",IF(OR(NOT(ISNUMBER(B1425)),C1425="",NOT(ISNUMBER(F1425)),H1425="",L1425=""),"Pflichtangaben fehlen",IF(COUNTIFS('Konten'!$A$7:$A$26,C1425)&lt;&gt;1,"Konto nicht eindeutig",IF(J1425&lt;&gt;"Ja","Zuordnung bestätigen",IF(OR(AND(H1425="Einnahme",F1425&lt;0),AND(H1425="Ausgabe",F1425&gt;0)),"Vorzeichen prüfen",IF(AND(H1425="Umbuchung",OR(K1425="",COUNTIFS($A$7:$A$1506,K1425)&lt;&gt;1)),"Gegenbuchung fehlt",IF(AND(H1425="Umbuchung",ROUND(SUMIFS($F$7:$F$1506,$A$7:$A$1506,K1425)+F1425,2)&lt;&gt;0),"Umbuchung abweichend",IF(OR(G1425="",M1425="",M1425="offen",M1425="teilbelegt",H1425="Ungeklärt",H1425="Bargeld"),"Beleg / Verwendung klären","vollständig erfasst")))))))))</x:f>
      </x:c>
    </x:row>
    <x:row r="1426" ht="22" customHeight="1">
      <x:c r="A1426" s="7"/>
      <x:c r="B1426" s="8"/>
      <x:c r="C1426" s="7"/>
      <x:c r="D1426" s="7"/>
      <x:c r="E1426" s="7"/>
      <x:c r="F1426" s="20"/>
      <x:c r="G1426" s="7"/>
      <x:c r="H1426" s="7"/>
      <x:c r="I1426" s="7"/>
      <x:c r="J1426" s="7"/>
      <x:c r="K1426" s="7"/>
      <x:c r="L1426" s="7"/>
      <x:c r="M1426" s="7"/>
      <x:c r="N1426" s="7"/>
      <x:c r="O1426" s="2" t="str">
        <x:f>IF(A1426="","",IF(COUNTIFS($A$7:$A$1506,A1426)&gt;1,"Buchung-ID doppelt",IF(OR(NOT(ISNUMBER(B1426)),C1426="",NOT(ISNUMBER(F1426)),H1426="",L1426=""),"Pflichtangaben fehlen",IF(COUNTIFS('Konten'!$A$7:$A$26,C1426)&lt;&gt;1,"Konto nicht eindeutig",IF(J1426&lt;&gt;"Ja","Zuordnung bestätigen",IF(OR(AND(H1426="Einnahme",F1426&lt;0),AND(H1426="Ausgabe",F1426&gt;0)),"Vorzeichen prüfen",IF(AND(H1426="Umbuchung",OR(K1426="",COUNTIFS($A$7:$A$1506,K1426)&lt;&gt;1)),"Gegenbuchung fehlt",IF(AND(H1426="Umbuchung",ROUND(SUMIFS($F$7:$F$1506,$A$7:$A$1506,K1426)+F1426,2)&lt;&gt;0),"Umbuchung abweichend",IF(OR(G1426="",M1426="",M1426="offen",M1426="teilbelegt",H1426="Ungeklärt",H1426="Bargeld"),"Beleg / Verwendung klären","vollständig erfasst")))))))))</x:f>
      </x:c>
    </x:row>
    <x:row r="1427" ht="22" customHeight="1">
      <x:c r="A1427" s="7"/>
      <x:c r="B1427" s="8"/>
      <x:c r="C1427" s="7"/>
      <x:c r="D1427" s="7"/>
      <x:c r="E1427" s="7"/>
      <x:c r="F1427" s="20"/>
      <x:c r="G1427" s="7"/>
      <x:c r="H1427" s="7"/>
      <x:c r="I1427" s="7"/>
      <x:c r="J1427" s="7"/>
      <x:c r="K1427" s="7"/>
      <x:c r="L1427" s="7"/>
      <x:c r="M1427" s="7"/>
      <x:c r="N1427" s="7"/>
      <x:c r="O1427" s="2" t="str">
        <x:f>IF(A1427="","",IF(COUNTIFS($A$7:$A$1506,A1427)&gt;1,"Buchung-ID doppelt",IF(OR(NOT(ISNUMBER(B1427)),C1427="",NOT(ISNUMBER(F1427)),H1427="",L1427=""),"Pflichtangaben fehlen",IF(COUNTIFS('Konten'!$A$7:$A$26,C1427)&lt;&gt;1,"Konto nicht eindeutig",IF(J1427&lt;&gt;"Ja","Zuordnung bestätigen",IF(OR(AND(H1427="Einnahme",F1427&lt;0),AND(H1427="Ausgabe",F1427&gt;0)),"Vorzeichen prüfen",IF(AND(H1427="Umbuchung",OR(K1427="",COUNTIFS($A$7:$A$1506,K1427)&lt;&gt;1)),"Gegenbuchung fehlt",IF(AND(H1427="Umbuchung",ROUND(SUMIFS($F$7:$F$1506,$A$7:$A$1506,K1427)+F1427,2)&lt;&gt;0),"Umbuchung abweichend",IF(OR(G1427="",M1427="",M1427="offen",M1427="teilbelegt",H1427="Ungeklärt",H1427="Bargeld"),"Beleg / Verwendung klären","vollständig erfasst")))))))))</x:f>
      </x:c>
    </x:row>
    <x:row r="1428" ht="22" customHeight="1">
      <x:c r="A1428" s="7"/>
      <x:c r="B1428" s="8"/>
      <x:c r="C1428" s="7"/>
      <x:c r="D1428" s="7"/>
      <x:c r="E1428" s="7"/>
      <x:c r="F1428" s="20"/>
      <x:c r="G1428" s="7"/>
      <x:c r="H1428" s="7"/>
      <x:c r="I1428" s="7"/>
      <x:c r="J1428" s="7"/>
      <x:c r="K1428" s="7"/>
      <x:c r="L1428" s="7"/>
      <x:c r="M1428" s="7"/>
      <x:c r="N1428" s="7"/>
      <x:c r="O1428" s="2" t="str">
        <x:f>IF(A1428="","",IF(COUNTIFS($A$7:$A$1506,A1428)&gt;1,"Buchung-ID doppelt",IF(OR(NOT(ISNUMBER(B1428)),C1428="",NOT(ISNUMBER(F1428)),H1428="",L1428=""),"Pflichtangaben fehlen",IF(COUNTIFS('Konten'!$A$7:$A$26,C1428)&lt;&gt;1,"Konto nicht eindeutig",IF(J1428&lt;&gt;"Ja","Zuordnung bestätigen",IF(OR(AND(H1428="Einnahme",F1428&lt;0),AND(H1428="Ausgabe",F1428&gt;0)),"Vorzeichen prüfen",IF(AND(H1428="Umbuchung",OR(K1428="",COUNTIFS($A$7:$A$1506,K1428)&lt;&gt;1)),"Gegenbuchung fehlt",IF(AND(H1428="Umbuchung",ROUND(SUMIFS($F$7:$F$1506,$A$7:$A$1506,K1428)+F1428,2)&lt;&gt;0),"Umbuchung abweichend",IF(OR(G1428="",M1428="",M1428="offen",M1428="teilbelegt",H1428="Ungeklärt",H1428="Bargeld"),"Beleg / Verwendung klären","vollständig erfasst")))))))))</x:f>
      </x:c>
    </x:row>
    <x:row r="1429" ht="22" customHeight="1">
      <x:c r="A1429" s="7"/>
      <x:c r="B1429" s="8"/>
      <x:c r="C1429" s="7"/>
      <x:c r="D1429" s="7"/>
      <x:c r="E1429" s="7"/>
      <x:c r="F1429" s="20"/>
      <x:c r="G1429" s="7"/>
      <x:c r="H1429" s="7"/>
      <x:c r="I1429" s="7"/>
      <x:c r="J1429" s="7"/>
      <x:c r="K1429" s="7"/>
      <x:c r="L1429" s="7"/>
      <x:c r="M1429" s="7"/>
      <x:c r="N1429" s="7"/>
      <x:c r="O1429" s="2" t="str">
        <x:f>IF(A1429="","",IF(COUNTIFS($A$7:$A$1506,A1429)&gt;1,"Buchung-ID doppelt",IF(OR(NOT(ISNUMBER(B1429)),C1429="",NOT(ISNUMBER(F1429)),H1429="",L1429=""),"Pflichtangaben fehlen",IF(COUNTIFS('Konten'!$A$7:$A$26,C1429)&lt;&gt;1,"Konto nicht eindeutig",IF(J1429&lt;&gt;"Ja","Zuordnung bestätigen",IF(OR(AND(H1429="Einnahme",F1429&lt;0),AND(H1429="Ausgabe",F1429&gt;0)),"Vorzeichen prüfen",IF(AND(H1429="Umbuchung",OR(K1429="",COUNTIFS($A$7:$A$1506,K1429)&lt;&gt;1)),"Gegenbuchung fehlt",IF(AND(H1429="Umbuchung",ROUND(SUMIFS($F$7:$F$1506,$A$7:$A$1506,K1429)+F1429,2)&lt;&gt;0),"Umbuchung abweichend",IF(OR(G1429="",M1429="",M1429="offen",M1429="teilbelegt",H1429="Ungeklärt",H1429="Bargeld"),"Beleg / Verwendung klären","vollständig erfasst")))))))))</x:f>
      </x:c>
    </x:row>
    <x:row r="1430" ht="22" customHeight="1">
      <x:c r="A1430" s="7"/>
      <x:c r="B1430" s="8"/>
      <x:c r="C1430" s="7"/>
      <x:c r="D1430" s="7"/>
      <x:c r="E1430" s="7"/>
      <x:c r="F1430" s="20"/>
      <x:c r="G1430" s="7"/>
      <x:c r="H1430" s="7"/>
      <x:c r="I1430" s="7"/>
      <x:c r="J1430" s="7"/>
      <x:c r="K1430" s="7"/>
      <x:c r="L1430" s="7"/>
      <x:c r="M1430" s="7"/>
      <x:c r="N1430" s="7"/>
      <x:c r="O1430" s="2" t="str">
        <x:f>IF(A1430="","",IF(COUNTIFS($A$7:$A$1506,A1430)&gt;1,"Buchung-ID doppelt",IF(OR(NOT(ISNUMBER(B1430)),C1430="",NOT(ISNUMBER(F1430)),H1430="",L1430=""),"Pflichtangaben fehlen",IF(COUNTIFS('Konten'!$A$7:$A$26,C1430)&lt;&gt;1,"Konto nicht eindeutig",IF(J1430&lt;&gt;"Ja","Zuordnung bestätigen",IF(OR(AND(H1430="Einnahme",F1430&lt;0),AND(H1430="Ausgabe",F1430&gt;0)),"Vorzeichen prüfen",IF(AND(H1430="Umbuchung",OR(K1430="",COUNTIFS($A$7:$A$1506,K1430)&lt;&gt;1)),"Gegenbuchung fehlt",IF(AND(H1430="Umbuchung",ROUND(SUMIFS($F$7:$F$1506,$A$7:$A$1506,K1430)+F1430,2)&lt;&gt;0),"Umbuchung abweichend",IF(OR(G1430="",M1430="",M1430="offen",M1430="teilbelegt",H1430="Ungeklärt",H1430="Bargeld"),"Beleg / Verwendung klären","vollständig erfasst")))))))))</x:f>
      </x:c>
    </x:row>
    <x:row r="1431" ht="22" customHeight="1">
      <x:c r="A1431" s="7"/>
      <x:c r="B1431" s="8"/>
      <x:c r="C1431" s="7"/>
      <x:c r="D1431" s="7"/>
      <x:c r="E1431" s="7"/>
      <x:c r="F1431" s="20"/>
      <x:c r="G1431" s="7"/>
      <x:c r="H1431" s="7"/>
      <x:c r="I1431" s="7"/>
      <x:c r="J1431" s="7"/>
      <x:c r="K1431" s="7"/>
      <x:c r="L1431" s="7"/>
      <x:c r="M1431" s="7"/>
      <x:c r="N1431" s="7"/>
      <x:c r="O1431" s="2" t="str">
        <x:f>IF(A1431="","",IF(COUNTIFS($A$7:$A$1506,A1431)&gt;1,"Buchung-ID doppelt",IF(OR(NOT(ISNUMBER(B1431)),C1431="",NOT(ISNUMBER(F1431)),H1431="",L1431=""),"Pflichtangaben fehlen",IF(COUNTIFS('Konten'!$A$7:$A$26,C1431)&lt;&gt;1,"Konto nicht eindeutig",IF(J1431&lt;&gt;"Ja","Zuordnung bestätigen",IF(OR(AND(H1431="Einnahme",F1431&lt;0),AND(H1431="Ausgabe",F1431&gt;0)),"Vorzeichen prüfen",IF(AND(H1431="Umbuchung",OR(K1431="",COUNTIFS($A$7:$A$1506,K1431)&lt;&gt;1)),"Gegenbuchung fehlt",IF(AND(H1431="Umbuchung",ROUND(SUMIFS($F$7:$F$1506,$A$7:$A$1506,K1431)+F1431,2)&lt;&gt;0),"Umbuchung abweichend",IF(OR(G1431="",M1431="",M1431="offen",M1431="teilbelegt",H1431="Ungeklärt",H1431="Bargeld"),"Beleg / Verwendung klären","vollständig erfasst")))))))))</x:f>
      </x:c>
    </x:row>
    <x:row r="1432" ht="22" customHeight="1">
      <x:c r="A1432" s="7"/>
      <x:c r="B1432" s="8"/>
      <x:c r="C1432" s="7"/>
      <x:c r="D1432" s="7"/>
      <x:c r="E1432" s="7"/>
      <x:c r="F1432" s="20"/>
      <x:c r="G1432" s="7"/>
      <x:c r="H1432" s="7"/>
      <x:c r="I1432" s="7"/>
      <x:c r="J1432" s="7"/>
      <x:c r="K1432" s="7"/>
      <x:c r="L1432" s="7"/>
      <x:c r="M1432" s="7"/>
      <x:c r="N1432" s="7"/>
      <x:c r="O1432" s="2" t="str">
        <x:f>IF(A1432="","",IF(COUNTIFS($A$7:$A$1506,A1432)&gt;1,"Buchung-ID doppelt",IF(OR(NOT(ISNUMBER(B1432)),C1432="",NOT(ISNUMBER(F1432)),H1432="",L1432=""),"Pflichtangaben fehlen",IF(COUNTIFS('Konten'!$A$7:$A$26,C1432)&lt;&gt;1,"Konto nicht eindeutig",IF(J1432&lt;&gt;"Ja","Zuordnung bestätigen",IF(OR(AND(H1432="Einnahme",F1432&lt;0),AND(H1432="Ausgabe",F1432&gt;0)),"Vorzeichen prüfen",IF(AND(H1432="Umbuchung",OR(K1432="",COUNTIFS($A$7:$A$1506,K1432)&lt;&gt;1)),"Gegenbuchung fehlt",IF(AND(H1432="Umbuchung",ROUND(SUMIFS($F$7:$F$1506,$A$7:$A$1506,K1432)+F1432,2)&lt;&gt;0),"Umbuchung abweichend",IF(OR(G1432="",M1432="",M1432="offen",M1432="teilbelegt",H1432="Ungeklärt",H1432="Bargeld"),"Beleg / Verwendung klären","vollständig erfasst")))))))))</x:f>
      </x:c>
    </x:row>
    <x:row r="1433" ht="22" customHeight="1">
      <x:c r="A1433" s="7"/>
      <x:c r="B1433" s="8"/>
      <x:c r="C1433" s="7"/>
      <x:c r="D1433" s="7"/>
      <x:c r="E1433" s="7"/>
      <x:c r="F1433" s="20"/>
      <x:c r="G1433" s="7"/>
      <x:c r="H1433" s="7"/>
      <x:c r="I1433" s="7"/>
      <x:c r="J1433" s="7"/>
      <x:c r="K1433" s="7"/>
      <x:c r="L1433" s="7"/>
      <x:c r="M1433" s="7"/>
      <x:c r="N1433" s="7"/>
      <x:c r="O1433" s="2" t="str">
        <x:f>IF(A1433="","",IF(COUNTIFS($A$7:$A$1506,A1433)&gt;1,"Buchung-ID doppelt",IF(OR(NOT(ISNUMBER(B1433)),C1433="",NOT(ISNUMBER(F1433)),H1433="",L1433=""),"Pflichtangaben fehlen",IF(COUNTIFS('Konten'!$A$7:$A$26,C1433)&lt;&gt;1,"Konto nicht eindeutig",IF(J1433&lt;&gt;"Ja","Zuordnung bestätigen",IF(OR(AND(H1433="Einnahme",F1433&lt;0),AND(H1433="Ausgabe",F1433&gt;0)),"Vorzeichen prüfen",IF(AND(H1433="Umbuchung",OR(K1433="",COUNTIFS($A$7:$A$1506,K1433)&lt;&gt;1)),"Gegenbuchung fehlt",IF(AND(H1433="Umbuchung",ROUND(SUMIFS($F$7:$F$1506,$A$7:$A$1506,K1433)+F1433,2)&lt;&gt;0),"Umbuchung abweichend",IF(OR(G1433="",M1433="",M1433="offen",M1433="teilbelegt",H1433="Ungeklärt",H1433="Bargeld"),"Beleg / Verwendung klären","vollständig erfasst")))))))))</x:f>
      </x:c>
    </x:row>
    <x:row r="1434" ht="22" customHeight="1">
      <x:c r="A1434" s="7"/>
      <x:c r="B1434" s="8"/>
      <x:c r="C1434" s="7"/>
      <x:c r="D1434" s="7"/>
      <x:c r="E1434" s="7"/>
      <x:c r="F1434" s="20"/>
      <x:c r="G1434" s="7"/>
      <x:c r="H1434" s="7"/>
      <x:c r="I1434" s="7"/>
      <x:c r="J1434" s="7"/>
      <x:c r="K1434" s="7"/>
      <x:c r="L1434" s="7"/>
      <x:c r="M1434" s="7"/>
      <x:c r="N1434" s="7"/>
      <x:c r="O1434" s="2" t="str">
        <x:f>IF(A1434="","",IF(COUNTIFS($A$7:$A$1506,A1434)&gt;1,"Buchung-ID doppelt",IF(OR(NOT(ISNUMBER(B1434)),C1434="",NOT(ISNUMBER(F1434)),H1434="",L1434=""),"Pflichtangaben fehlen",IF(COUNTIFS('Konten'!$A$7:$A$26,C1434)&lt;&gt;1,"Konto nicht eindeutig",IF(J1434&lt;&gt;"Ja","Zuordnung bestätigen",IF(OR(AND(H1434="Einnahme",F1434&lt;0),AND(H1434="Ausgabe",F1434&gt;0)),"Vorzeichen prüfen",IF(AND(H1434="Umbuchung",OR(K1434="",COUNTIFS($A$7:$A$1506,K1434)&lt;&gt;1)),"Gegenbuchung fehlt",IF(AND(H1434="Umbuchung",ROUND(SUMIFS($F$7:$F$1506,$A$7:$A$1506,K1434)+F1434,2)&lt;&gt;0),"Umbuchung abweichend",IF(OR(G1434="",M1434="",M1434="offen",M1434="teilbelegt",H1434="Ungeklärt",H1434="Bargeld"),"Beleg / Verwendung klären","vollständig erfasst")))))))))</x:f>
      </x:c>
    </x:row>
    <x:row r="1435" ht="22" customHeight="1">
      <x:c r="A1435" s="7"/>
      <x:c r="B1435" s="8"/>
      <x:c r="C1435" s="7"/>
      <x:c r="D1435" s="7"/>
      <x:c r="E1435" s="7"/>
      <x:c r="F1435" s="20"/>
      <x:c r="G1435" s="7"/>
      <x:c r="H1435" s="7"/>
      <x:c r="I1435" s="7"/>
      <x:c r="J1435" s="7"/>
      <x:c r="K1435" s="7"/>
      <x:c r="L1435" s="7"/>
      <x:c r="M1435" s="7"/>
      <x:c r="N1435" s="7"/>
      <x:c r="O1435" s="2" t="str">
        <x:f>IF(A1435="","",IF(COUNTIFS($A$7:$A$1506,A1435)&gt;1,"Buchung-ID doppelt",IF(OR(NOT(ISNUMBER(B1435)),C1435="",NOT(ISNUMBER(F1435)),H1435="",L1435=""),"Pflichtangaben fehlen",IF(COUNTIFS('Konten'!$A$7:$A$26,C1435)&lt;&gt;1,"Konto nicht eindeutig",IF(J1435&lt;&gt;"Ja","Zuordnung bestätigen",IF(OR(AND(H1435="Einnahme",F1435&lt;0),AND(H1435="Ausgabe",F1435&gt;0)),"Vorzeichen prüfen",IF(AND(H1435="Umbuchung",OR(K1435="",COUNTIFS($A$7:$A$1506,K1435)&lt;&gt;1)),"Gegenbuchung fehlt",IF(AND(H1435="Umbuchung",ROUND(SUMIFS($F$7:$F$1506,$A$7:$A$1506,K1435)+F1435,2)&lt;&gt;0),"Umbuchung abweichend",IF(OR(G1435="",M1435="",M1435="offen",M1435="teilbelegt",H1435="Ungeklärt",H1435="Bargeld"),"Beleg / Verwendung klären","vollständig erfasst")))))))))</x:f>
      </x:c>
    </x:row>
    <x:row r="1436" ht="22" customHeight="1">
      <x:c r="A1436" s="7"/>
      <x:c r="B1436" s="8"/>
      <x:c r="C1436" s="7"/>
      <x:c r="D1436" s="7"/>
      <x:c r="E1436" s="7"/>
      <x:c r="F1436" s="20"/>
      <x:c r="G1436" s="7"/>
      <x:c r="H1436" s="7"/>
      <x:c r="I1436" s="7"/>
      <x:c r="J1436" s="7"/>
      <x:c r="K1436" s="7"/>
      <x:c r="L1436" s="7"/>
      <x:c r="M1436" s="7"/>
      <x:c r="N1436" s="7"/>
      <x:c r="O1436" s="2" t="str">
        <x:f>IF(A1436="","",IF(COUNTIFS($A$7:$A$1506,A1436)&gt;1,"Buchung-ID doppelt",IF(OR(NOT(ISNUMBER(B1436)),C1436="",NOT(ISNUMBER(F1436)),H1436="",L1436=""),"Pflichtangaben fehlen",IF(COUNTIFS('Konten'!$A$7:$A$26,C1436)&lt;&gt;1,"Konto nicht eindeutig",IF(J1436&lt;&gt;"Ja","Zuordnung bestätigen",IF(OR(AND(H1436="Einnahme",F1436&lt;0),AND(H1436="Ausgabe",F1436&gt;0)),"Vorzeichen prüfen",IF(AND(H1436="Umbuchung",OR(K1436="",COUNTIFS($A$7:$A$1506,K1436)&lt;&gt;1)),"Gegenbuchung fehlt",IF(AND(H1436="Umbuchung",ROUND(SUMIFS($F$7:$F$1506,$A$7:$A$1506,K1436)+F1436,2)&lt;&gt;0),"Umbuchung abweichend",IF(OR(G1436="",M1436="",M1436="offen",M1436="teilbelegt",H1436="Ungeklärt",H1436="Bargeld"),"Beleg / Verwendung klären","vollständig erfasst")))))))))</x:f>
      </x:c>
    </x:row>
    <x:row r="1437" ht="22" customHeight="1">
      <x:c r="A1437" s="7"/>
      <x:c r="B1437" s="8"/>
      <x:c r="C1437" s="7"/>
      <x:c r="D1437" s="7"/>
      <x:c r="E1437" s="7"/>
      <x:c r="F1437" s="20"/>
      <x:c r="G1437" s="7"/>
      <x:c r="H1437" s="7"/>
      <x:c r="I1437" s="7"/>
      <x:c r="J1437" s="7"/>
      <x:c r="K1437" s="7"/>
      <x:c r="L1437" s="7"/>
      <x:c r="M1437" s="7"/>
      <x:c r="N1437" s="7"/>
      <x:c r="O1437" s="2" t="str">
        <x:f>IF(A1437="","",IF(COUNTIFS($A$7:$A$1506,A1437)&gt;1,"Buchung-ID doppelt",IF(OR(NOT(ISNUMBER(B1437)),C1437="",NOT(ISNUMBER(F1437)),H1437="",L1437=""),"Pflichtangaben fehlen",IF(COUNTIFS('Konten'!$A$7:$A$26,C1437)&lt;&gt;1,"Konto nicht eindeutig",IF(J1437&lt;&gt;"Ja","Zuordnung bestätigen",IF(OR(AND(H1437="Einnahme",F1437&lt;0),AND(H1437="Ausgabe",F1437&gt;0)),"Vorzeichen prüfen",IF(AND(H1437="Umbuchung",OR(K1437="",COUNTIFS($A$7:$A$1506,K1437)&lt;&gt;1)),"Gegenbuchung fehlt",IF(AND(H1437="Umbuchung",ROUND(SUMIFS($F$7:$F$1506,$A$7:$A$1506,K1437)+F1437,2)&lt;&gt;0),"Umbuchung abweichend",IF(OR(G1437="",M1437="",M1437="offen",M1437="teilbelegt",H1437="Ungeklärt",H1437="Bargeld"),"Beleg / Verwendung klären","vollständig erfasst")))))))))</x:f>
      </x:c>
    </x:row>
    <x:row r="1438" ht="22" customHeight="1">
      <x:c r="A1438" s="7"/>
      <x:c r="B1438" s="8"/>
      <x:c r="C1438" s="7"/>
      <x:c r="D1438" s="7"/>
      <x:c r="E1438" s="7"/>
      <x:c r="F1438" s="20"/>
      <x:c r="G1438" s="7"/>
      <x:c r="H1438" s="7"/>
      <x:c r="I1438" s="7"/>
      <x:c r="J1438" s="7"/>
      <x:c r="K1438" s="7"/>
      <x:c r="L1438" s="7"/>
      <x:c r="M1438" s="7"/>
      <x:c r="N1438" s="7"/>
      <x:c r="O1438" s="2" t="str">
        <x:f>IF(A1438="","",IF(COUNTIFS($A$7:$A$1506,A1438)&gt;1,"Buchung-ID doppelt",IF(OR(NOT(ISNUMBER(B1438)),C1438="",NOT(ISNUMBER(F1438)),H1438="",L1438=""),"Pflichtangaben fehlen",IF(COUNTIFS('Konten'!$A$7:$A$26,C1438)&lt;&gt;1,"Konto nicht eindeutig",IF(J1438&lt;&gt;"Ja","Zuordnung bestätigen",IF(OR(AND(H1438="Einnahme",F1438&lt;0),AND(H1438="Ausgabe",F1438&gt;0)),"Vorzeichen prüfen",IF(AND(H1438="Umbuchung",OR(K1438="",COUNTIFS($A$7:$A$1506,K1438)&lt;&gt;1)),"Gegenbuchung fehlt",IF(AND(H1438="Umbuchung",ROUND(SUMIFS($F$7:$F$1506,$A$7:$A$1506,K1438)+F1438,2)&lt;&gt;0),"Umbuchung abweichend",IF(OR(G1438="",M1438="",M1438="offen",M1438="teilbelegt",H1438="Ungeklärt",H1438="Bargeld"),"Beleg / Verwendung klären","vollständig erfasst")))))))))</x:f>
      </x:c>
    </x:row>
    <x:row r="1439" ht="22" customHeight="1">
      <x:c r="A1439" s="7"/>
      <x:c r="B1439" s="8"/>
      <x:c r="C1439" s="7"/>
      <x:c r="D1439" s="7"/>
      <x:c r="E1439" s="7"/>
      <x:c r="F1439" s="20"/>
      <x:c r="G1439" s="7"/>
      <x:c r="H1439" s="7"/>
      <x:c r="I1439" s="7"/>
      <x:c r="J1439" s="7"/>
      <x:c r="K1439" s="7"/>
      <x:c r="L1439" s="7"/>
      <x:c r="M1439" s="7"/>
      <x:c r="N1439" s="7"/>
      <x:c r="O1439" s="2" t="str">
        <x:f>IF(A1439="","",IF(COUNTIFS($A$7:$A$1506,A1439)&gt;1,"Buchung-ID doppelt",IF(OR(NOT(ISNUMBER(B1439)),C1439="",NOT(ISNUMBER(F1439)),H1439="",L1439=""),"Pflichtangaben fehlen",IF(COUNTIFS('Konten'!$A$7:$A$26,C1439)&lt;&gt;1,"Konto nicht eindeutig",IF(J1439&lt;&gt;"Ja","Zuordnung bestätigen",IF(OR(AND(H1439="Einnahme",F1439&lt;0),AND(H1439="Ausgabe",F1439&gt;0)),"Vorzeichen prüfen",IF(AND(H1439="Umbuchung",OR(K1439="",COUNTIFS($A$7:$A$1506,K1439)&lt;&gt;1)),"Gegenbuchung fehlt",IF(AND(H1439="Umbuchung",ROUND(SUMIFS($F$7:$F$1506,$A$7:$A$1506,K1439)+F1439,2)&lt;&gt;0),"Umbuchung abweichend",IF(OR(G1439="",M1439="",M1439="offen",M1439="teilbelegt",H1439="Ungeklärt",H1439="Bargeld"),"Beleg / Verwendung klären","vollständig erfasst")))))))))</x:f>
      </x:c>
    </x:row>
    <x:row r="1440" ht="22" customHeight="1">
      <x:c r="A1440" s="7"/>
      <x:c r="B1440" s="8"/>
      <x:c r="C1440" s="7"/>
      <x:c r="D1440" s="7"/>
      <x:c r="E1440" s="7"/>
      <x:c r="F1440" s="20"/>
      <x:c r="G1440" s="7"/>
      <x:c r="H1440" s="7"/>
      <x:c r="I1440" s="7"/>
      <x:c r="J1440" s="7"/>
      <x:c r="K1440" s="7"/>
      <x:c r="L1440" s="7"/>
      <x:c r="M1440" s="7"/>
      <x:c r="N1440" s="7"/>
      <x:c r="O1440" s="2" t="str">
        <x:f>IF(A1440="","",IF(COUNTIFS($A$7:$A$1506,A1440)&gt;1,"Buchung-ID doppelt",IF(OR(NOT(ISNUMBER(B1440)),C1440="",NOT(ISNUMBER(F1440)),H1440="",L1440=""),"Pflichtangaben fehlen",IF(COUNTIFS('Konten'!$A$7:$A$26,C1440)&lt;&gt;1,"Konto nicht eindeutig",IF(J1440&lt;&gt;"Ja","Zuordnung bestätigen",IF(OR(AND(H1440="Einnahme",F1440&lt;0),AND(H1440="Ausgabe",F1440&gt;0)),"Vorzeichen prüfen",IF(AND(H1440="Umbuchung",OR(K1440="",COUNTIFS($A$7:$A$1506,K1440)&lt;&gt;1)),"Gegenbuchung fehlt",IF(AND(H1440="Umbuchung",ROUND(SUMIFS($F$7:$F$1506,$A$7:$A$1506,K1440)+F1440,2)&lt;&gt;0),"Umbuchung abweichend",IF(OR(G1440="",M1440="",M1440="offen",M1440="teilbelegt",H1440="Ungeklärt",H1440="Bargeld"),"Beleg / Verwendung klären","vollständig erfasst")))))))))</x:f>
      </x:c>
    </x:row>
    <x:row r="1441" ht="22" customHeight="1">
      <x:c r="A1441" s="7"/>
      <x:c r="B1441" s="8"/>
      <x:c r="C1441" s="7"/>
      <x:c r="D1441" s="7"/>
      <x:c r="E1441" s="7"/>
      <x:c r="F1441" s="20"/>
      <x:c r="G1441" s="7"/>
      <x:c r="H1441" s="7"/>
      <x:c r="I1441" s="7"/>
      <x:c r="J1441" s="7"/>
      <x:c r="K1441" s="7"/>
      <x:c r="L1441" s="7"/>
      <x:c r="M1441" s="7"/>
      <x:c r="N1441" s="7"/>
      <x:c r="O1441" s="2" t="str">
        <x:f>IF(A1441="","",IF(COUNTIFS($A$7:$A$1506,A1441)&gt;1,"Buchung-ID doppelt",IF(OR(NOT(ISNUMBER(B1441)),C1441="",NOT(ISNUMBER(F1441)),H1441="",L1441=""),"Pflichtangaben fehlen",IF(COUNTIFS('Konten'!$A$7:$A$26,C1441)&lt;&gt;1,"Konto nicht eindeutig",IF(J1441&lt;&gt;"Ja","Zuordnung bestätigen",IF(OR(AND(H1441="Einnahme",F1441&lt;0),AND(H1441="Ausgabe",F1441&gt;0)),"Vorzeichen prüfen",IF(AND(H1441="Umbuchung",OR(K1441="",COUNTIFS($A$7:$A$1506,K1441)&lt;&gt;1)),"Gegenbuchung fehlt",IF(AND(H1441="Umbuchung",ROUND(SUMIFS($F$7:$F$1506,$A$7:$A$1506,K1441)+F1441,2)&lt;&gt;0),"Umbuchung abweichend",IF(OR(G1441="",M1441="",M1441="offen",M1441="teilbelegt",H1441="Ungeklärt",H1441="Bargeld"),"Beleg / Verwendung klären","vollständig erfasst")))))))))</x:f>
      </x:c>
    </x:row>
    <x:row r="1442" ht="22" customHeight="1">
      <x:c r="A1442" s="7"/>
      <x:c r="B1442" s="8"/>
      <x:c r="C1442" s="7"/>
      <x:c r="D1442" s="7"/>
      <x:c r="E1442" s="7"/>
      <x:c r="F1442" s="20"/>
      <x:c r="G1442" s="7"/>
      <x:c r="H1442" s="7"/>
      <x:c r="I1442" s="7"/>
      <x:c r="J1442" s="7"/>
      <x:c r="K1442" s="7"/>
      <x:c r="L1442" s="7"/>
      <x:c r="M1442" s="7"/>
      <x:c r="N1442" s="7"/>
      <x:c r="O1442" s="2" t="str">
        <x:f>IF(A1442="","",IF(COUNTIFS($A$7:$A$1506,A1442)&gt;1,"Buchung-ID doppelt",IF(OR(NOT(ISNUMBER(B1442)),C1442="",NOT(ISNUMBER(F1442)),H1442="",L1442=""),"Pflichtangaben fehlen",IF(COUNTIFS('Konten'!$A$7:$A$26,C1442)&lt;&gt;1,"Konto nicht eindeutig",IF(J1442&lt;&gt;"Ja","Zuordnung bestätigen",IF(OR(AND(H1442="Einnahme",F1442&lt;0),AND(H1442="Ausgabe",F1442&gt;0)),"Vorzeichen prüfen",IF(AND(H1442="Umbuchung",OR(K1442="",COUNTIFS($A$7:$A$1506,K1442)&lt;&gt;1)),"Gegenbuchung fehlt",IF(AND(H1442="Umbuchung",ROUND(SUMIFS($F$7:$F$1506,$A$7:$A$1506,K1442)+F1442,2)&lt;&gt;0),"Umbuchung abweichend",IF(OR(G1442="",M1442="",M1442="offen",M1442="teilbelegt",H1442="Ungeklärt",H1442="Bargeld"),"Beleg / Verwendung klären","vollständig erfasst")))))))))</x:f>
      </x:c>
    </x:row>
    <x:row r="1443" ht="22" customHeight="1">
      <x:c r="A1443" s="7"/>
      <x:c r="B1443" s="8"/>
      <x:c r="C1443" s="7"/>
      <x:c r="D1443" s="7"/>
      <x:c r="E1443" s="7"/>
      <x:c r="F1443" s="20"/>
      <x:c r="G1443" s="7"/>
      <x:c r="H1443" s="7"/>
      <x:c r="I1443" s="7"/>
      <x:c r="J1443" s="7"/>
      <x:c r="K1443" s="7"/>
      <x:c r="L1443" s="7"/>
      <x:c r="M1443" s="7"/>
      <x:c r="N1443" s="7"/>
      <x:c r="O1443" s="2" t="str">
        <x:f>IF(A1443="","",IF(COUNTIFS($A$7:$A$1506,A1443)&gt;1,"Buchung-ID doppelt",IF(OR(NOT(ISNUMBER(B1443)),C1443="",NOT(ISNUMBER(F1443)),H1443="",L1443=""),"Pflichtangaben fehlen",IF(COUNTIFS('Konten'!$A$7:$A$26,C1443)&lt;&gt;1,"Konto nicht eindeutig",IF(J1443&lt;&gt;"Ja","Zuordnung bestätigen",IF(OR(AND(H1443="Einnahme",F1443&lt;0),AND(H1443="Ausgabe",F1443&gt;0)),"Vorzeichen prüfen",IF(AND(H1443="Umbuchung",OR(K1443="",COUNTIFS($A$7:$A$1506,K1443)&lt;&gt;1)),"Gegenbuchung fehlt",IF(AND(H1443="Umbuchung",ROUND(SUMIFS($F$7:$F$1506,$A$7:$A$1506,K1443)+F1443,2)&lt;&gt;0),"Umbuchung abweichend",IF(OR(G1443="",M1443="",M1443="offen",M1443="teilbelegt",H1443="Ungeklärt",H1443="Bargeld"),"Beleg / Verwendung klären","vollständig erfasst")))))))))</x:f>
      </x:c>
    </x:row>
    <x:row r="1444" ht="22" customHeight="1">
      <x:c r="A1444" s="7"/>
      <x:c r="B1444" s="8"/>
      <x:c r="C1444" s="7"/>
      <x:c r="D1444" s="7"/>
      <x:c r="E1444" s="7"/>
      <x:c r="F1444" s="20"/>
      <x:c r="G1444" s="7"/>
      <x:c r="H1444" s="7"/>
      <x:c r="I1444" s="7"/>
      <x:c r="J1444" s="7"/>
      <x:c r="K1444" s="7"/>
      <x:c r="L1444" s="7"/>
      <x:c r="M1444" s="7"/>
      <x:c r="N1444" s="7"/>
      <x:c r="O1444" s="2" t="str">
        <x:f>IF(A1444="","",IF(COUNTIFS($A$7:$A$1506,A1444)&gt;1,"Buchung-ID doppelt",IF(OR(NOT(ISNUMBER(B1444)),C1444="",NOT(ISNUMBER(F1444)),H1444="",L1444=""),"Pflichtangaben fehlen",IF(COUNTIFS('Konten'!$A$7:$A$26,C1444)&lt;&gt;1,"Konto nicht eindeutig",IF(J1444&lt;&gt;"Ja","Zuordnung bestätigen",IF(OR(AND(H1444="Einnahme",F1444&lt;0),AND(H1444="Ausgabe",F1444&gt;0)),"Vorzeichen prüfen",IF(AND(H1444="Umbuchung",OR(K1444="",COUNTIFS($A$7:$A$1506,K1444)&lt;&gt;1)),"Gegenbuchung fehlt",IF(AND(H1444="Umbuchung",ROUND(SUMIFS($F$7:$F$1506,$A$7:$A$1506,K1444)+F1444,2)&lt;&gt;0),"Umbuchung abweichend",IF(OR(G1444="",M1444="",M1444="offen",M1444="teilbelegt",H1444="Ungeklärt",H1444="Bargeld"),"Beleg / Verwendung klären","vollständig erfasst")))))))))</x:f>
      </x:c>
    </x:row>
    <x:row r="1445" ht="22" customHeight="1">
      <x:c r="A1445" s="7"/>
      <x:c r="B1445" s="8"/>
      <x:c r="C1445" s="7"/>
      <x:c r="D1445" s="7"/>
      <x:c r="E1445" s="7"/>
      <x:c r="F1445" s="20"/>
      <x:c r="G1445" s="7"/>
      <x:c r="H1445" s="7"/>
      <x:c r="I1445" s="7"/>
      <x:c r="J1445" s="7"/>
      <x:c r="K1445" s="7"/>
      <x:c r="L1445" s="7"/>
      <x:c r="M1445" s="7"/>
      <x:c r="N1445" s="7"/>
      <x:c r="O1445" s="2" t="str">
        <x:f>IF(A1445="","",IF(COUNTIFS($A$7:$A$1506,A1445)&gt;1,"Buchung-ID doppelt",IF(OR(NOT(ISNUMBER(B1445)),C1445="",NOT(ISNUMBER(F1445)),H1445="",L1445=""),"Pflichtangaben fehlen",IF(COUNTIFS('Konten'!$A$7:$A$26,C1445)&lt;&gt;1,"Konto nicht eindeutig",IF(J1445&lt;&gt;"Ja","Zuordnung bestätigen",IF(OR(AND(H1445="Einnahme",F1445&lt;0),AND(H1445="Ausgabe",F1445&gt;0)),"Vorzeichen prüfen",IF(AND(H1445="Umbuchung",OR(K1445="",COUNTIFS($A$7:$A$1506,K1445)&lt;&gt;1)),"Gegenbuchung fehlt",IF(AND(H1445="Umbuchung",ROUND(SUMIFS($F$7:$F$1506,$A$7:$A$1506,K1445)+F1445,2)&lt;&gt;0),"Umbuchung abweichend",IF(OR(G1445="",M1445="",M1445="offen",M1445="teilbelegt",H1445="Ungeklärt",H1445="Bargeld"),"Beleg / Verwendung klären","vollständig erfasst")))))))))</x:f>
      </x:c>
    </x:row>
    <x:row r="1446" ht="22" customHeight="1">
      <x:c r="A1446" s="7"/>
      <x:c r="B1446" s="8"/>
      <x:c r="C1446" s="7"/>
      <x:c r="D1446" s="7"/>
      <x:c r="E1446" s="7"/>
      <x:c r="F1446" s="20"/>
      <x:c r="G1446" s="7"/>
      <x:c r="H1446" s="7"/>
      <x:c r="I1446" s="7"/>
      <x:c r="J1446" s="7"/>
      <x:c r="K1446" s="7"/>
      <x:c r="L1446" s="7"/>
      <x:c r="M1446" s="7"/>
      <x:c r="N1446" s="7"/>
      <x:c r="O1446" s="2" t="str">
        <x:f>IF(A1446="","",IF(COUNTIFS($A$7:$A$1506,A1446)&gt;1,"Buchung-ID doppelt",IF(OR(NOT(ISNUMBER(B1446)),C1446="",NOT(ISNUMBER(F1446)),H1446="",L1446=""),"Pflichtangaben fehlen",IF(COUNTIFS('Konten'!$A$7:$A$26,C1446)&lt;&gt;1,"Konto nicht eindeutig",IF(J1446&lt;&gt;"Ja","Zuordnung bestätigen",IF(OR(AND(H1446="Einnahme",F1446&lt;0),AND(H1446="Ausgabe",F1446&gt;0)),"Vorzeichen prüfen",IF(AND(H1446="Umbuchung",OR(K1446="",COUNTIFS($A$7:$A$1506,K1446)&lt;&gt;1)),"Gegenbuchung fehlt",IF(AND(H1446="Umbuchung",ROUND(SUMIFS($F$7:$F$1506,$A$7:$A$1506,K1446)+F1446,2)&lt;&gt;0),"Umbuchung abweichend",IF(OR(G1446="",M1446="",M1446="offen",M1446="teilbelegt",H1446="Ungeklärt",H1446="Bargeld"),"Beleg / Verwendung klären","vollständig erfasst")))))))))</x:f>
      </x:c>
    </x:row>
    <x:row r="1447" ht="22" customHeight="1">
      <x:c r="A1447" s="7"/>
      <x:c r="B1447" s="8"/>
      <x:c r="C1447" s="7"/>
      <x:c r="D1447" s="7"/>
      <x:c r="E1447" s="7"/>
      <x:c r="F1447" s="20"/>
      <x:c r="G1447" s="7"/>
      <x:c r="H1447" s="7"/>
      <x:c r="I1447" s="7"/>
      <x:c r="J1447" s="7"/>
      <x:c r="K1447" s="7"/>
      <x:c r="L1447" s="7"/>
      <x:c r="M1447" s="7"/>
      <x:c r="N1447" s="7"/>
      <x:c r="O1447" s="2" t="str">
        <x:f>IF(A1447="","",IF(COUNTIFS($A$7:$A$1506,A1447)&gt;1,"Buchung-ID doppelt",IF(OR(NOT(ISNUMBER(B1447)),C1447="",NOT(ISNUMBER(F1447)),H1447="",L1447=""),"Pflichtangaben fehlen",IF(COUNTIFS('Konten'!$A$7:$A$26,C1447)&lt;&gt;1,"Konto nicht eindeutig",IF(J1447&lt;&gt;"Ja","Zuordnung bestätigen",IF(OR(AND(H1447="Einnahme",F1447&lt;0),AND(H1447="Ausgabe",F1447&gt;0)),"Vorzeichen prüfen",IF(AND(H1447="Umbuchung",OR(K1447="",COUNTIFS($A$7:$A$1506,K1447)&lt;&gt;1)),"Gegenbuchung fehlt",IF(AND(H1447="Umbuchung",ROUND(SUMIFS($F$7:$F$1506,$A$7:$A$1506,K1447)+F1447,2)&lt;&gt;0),"Umbuchung abweichend",IF(OR(G1447="",M1447="",M1447="offen",M1447="teilbelegt",H1447="Ungeklärt",H1447="Bargeld"),"Beleg / Verwendung klären","vollständig erfasst")))))))))</x:f>
      </x:c>
    </x:row>
    <x:row r="1448" ht="22" customHeight="1">
      <x:c r="A1448" s="7"/>
      <x:c r="B1448" s="8"/>
      <x:c r="C1448" s="7"/>
      <x:c r="D1448" s="7"/>
      <x:c r="E1448" s="7"/>
      <x:c r="F1448" s="20"/>
      <x:c r="G1448" s="7"/>
      <x:c r="H1448" s="7"/>
      <x:c r="I1448" s="7"/>
      <x:c r="J1448" s="7"/>
      <x:c r="K1448" s="7"/>
      <x:c r="L1448" s="7"/>
      <x:c r="M1448" s="7"/>
      <x:c r="N1448" s="7"/>
      <x:c r="O1448" s="2" t="str">
        <x:f>IF(A1448="","",IF(COUNTIFS($A$7:$A$1506,A1448)&gt;1,"Buchung-ID doppelt",IF(OR(NOT(ISNUMBER(B1448)),C1448="",NOT(ISNUMBER(F1448)),H1448="",L1448=""),"Pflichtangaben fehlen",IF(COUNTIFS('Konten'!$A$7:$A$26,C1448)&lt;&gt;1,"Konto nicht eindeutig",IF(J1448&lt;&gt;"Ja","Zuordnung bestätigen",IF(OR(AND(H1448="Einnahme",F1448&lt;0),AND(H1448="Ausgabe",F1448&gt;0)),"Vorzeichen prüfen",IF(AND(H1448="Umbuchung",OR(K1448="",COUNTIFS($A$7:$A$1506,K1448)&lt;&gt;1)),"Gegenbuchung fehlt",IF(AND(H1448="Umbuchung",ROUND(SUMIFS($F$7:$F$1506,$A$7:$A$1506,K1448)+F1448,2)&lt;&gt;0),"Umbuchung abweichend",IF(OR(G1448="",M1448="",M1448="offen",M1448="teilbelegt",H1448="Ungeklärt",H1448="Bargeld"),"Beleg / Verwendung klären","vollständig erfasst")))))))))</x:f>
      </x:c>
    </x:row>
    <x:row r="1449" ht="22" customHeight="1">
      <x:c r="A1449" s="7"/>
      <x:c r="B1449" s="8"/>
      <x:c r="C1449" s="7"/>
      <x:c r="D1449" s="7"/>
      <x:c r="E1449" s="7"/>
      <x:c r="F1449" s="20"/>
      <x:c r="G1449" s="7"/>
      <x:c r="H1449" s="7"/>
      <x:c r="I1449" s="7"/>
      <x:c r="J1449" s="7"/>
      <x:c r="K1449" s="7"/>
      <x:c r="L1449" s="7"/>
      <x:c r="M1449" s="7"/>
      <x:c r="N1449" s="7"/>
      <x:c r="O1449" s="2" t="str">
        <x:f>IF(A1449="","",IF(COUNTIFS($A$7:$A$1506,A1449)&gt;1,"Buchung-ID doppelt",IF(OR(NOT(ISNUMBER(B1449)),C1449="",NOT(ISNUMBER(F1449)),H1449="",L1449=""),"Pflichtangaben fehlen",IF(COUNTIFS('Konten'!$A$7:$A$26,C1449)&lt;&gt;1,"Konto nicht eindeutig",IF(J1449&lt;&gt;"Ja","Zuordnung bestätigen",IF(OR(AND(H1449="Einnahme",F1449&lt;0),AND(H1449="Ausgabe",F1449&gt;0)),"Vorzeichen prüfen",IF(AND(H1449="Umbuchung",OR(K1449="",COUNTIFS($A$7:$A$1506,K1449)&lt;&gt;1)),"Gegenbuchung fehlt",IF(AND(H1449="Umbuchung",ROUND(SUMIFS($F$7:$F$1506,$A$7:$A$1506,K1449)+F1449,2)&lt;&gt;0),"Umbuchung abweichend",IF(OR(G1449="",M1449="",M1449="offen",M1449="teilbelegt",H1449="Ungeklärt",H1449="Bargeld"),"Beleg / Verwendung klären","vollständig erfasst")))))))))</x:f>
      </x:c>
    </x:row>
    <x:row r="1450" ht="22" customHeight="1">
      <x:c r="A1450" s="7"/>
      <x:c r="B1450" s="8"/>
      <x:c r="C1450" s="7"/>
      <x:c r="D1450" s="7"/>
      <x:c r="E1450" s="7"/>
      <x:c r="F1450" s="20"/>
      <x:c r="G1450" s="7"/>
      <x:c r="H1450" s="7"/>
      <x:c r="I1450" s="7"/>
      <x:c r="J1450" s="7"/>
      <x:c r="K1450" s="7"/>
      <x:c r="L1450" s="7"/>
      <x:c r="M1450" s="7"/>
      <x:c r="N1450" s="7"/>
      <x:c r="O1450" s="2" t="str">
        <x:f>IF(A1450="","",IF(COUNTIFS($A$7:$A$1506,A1450)&gt;1,"Buchung-ID doppelt",IF(OR(NOT(ISNUMBER(B1450)),C1450="",NOT(ISNUMBER(F1450)),H1450="",L1450=""),"Pflichtangaben fehlen",IF(COUNTIFS('Konten'!$A$7:$A$26,C1450)&lt;&gt;1,"Konto nicht eindeutig",IF(J1450&lt;&gt;"Ja","Zuordnung bestätigen",IF(OR(AND(H1450="Einnahme",F1450&lt;0),AND(H1450="Ausgabe",F1450&gt;0)),"Vorzeichen prüfen",IF(AND(H1450="Umbuchung",OR(K1450="",COUNTIFS($A$7:$A$1506,K1450)&lt;&gt;1)),"Gegenbuchung fehlt",IF(AND(H1450="Umbuchung",ROUND(SUMIFS($F$7:$F$1506,$A$7:$A$1506,K1450)+F1450,2)&lt;&gt;0),"Umbuchung abweichend",IF(OR(G1450="",M1450="",M1450="offen",M1450="teilbelegt",H1450="Ungeklärt",H1450="Bargeld"),"Beleg / Verwendung klären","vollständig erfasst")))))))))</x:f>
      </x:c>
    </x:row>
    <x:row r="1451" ht="22" customHeight="1">
      <x:c r="A1451" s="7"/>
      <x:c r="B1451" s="8"/>
      <x:c r="C1451" s="7"/>
      <x:c r="D1451" s="7"/>
      <x:c r="E1451" s="7"/>
      <x:c r="F1451" s="20"/>
      <x:c r="G1451" s="7"/>
      <x:c r="H1451" s="7"/>
      <x:c r="I1451" s="7"/>
      <x:c r="J1451" s="7"/>
      <x:c r="K1451" s="7"/>
      <x:c r="L1451" s="7"/>
      <x:c r="M1451" s="7"/>
      <x:c r="N1451" s="7"/>
      <x:c r="O1451" s="2" t="str">
        <x:f>IF(A1451="","",IF(COUNTIFS($A$7:$A$1506,A1451)&gt;1,"Buchung-ID doppelt",IF(OR(NOT(ISNUMBER(B1451)),C1451="",NOT(ISNUMBER(F1451)),H1451="",L1451=""),"Pflichtangaben fehlen",IF(COUNTIFS('Konten'!$A$7:$A$26,C1451)&lt;&gt;1,"Konto nicht eindeutig",IF(J1451&lt;&gt;"Ja","Zuordnung bestätigen",IF(OR(AND(H1451="Einnahme",F1451&lt;0),AND(H1451="Ausgabe",F1451&gt;0)),"Vorzeichen prüfen",IF(AND(H1451="Umbuchung",OR(K1451="",COUNTIFS($A$7:$A$1506,K1451)&lt;&gt;1)),"Gegenbuchung fehlt",IF(AND(H1451="Umbuchung",ROUND(SUMIFS($F$7:$F$1506,$A$7:$A$1506,K1451)+F1451,2)&lt;&gt;0),"Umbuchung abweichend",IF(OR(G1451="",M1451="",M1451="offen",M1451="teilbelegt",H1451="Ungeklärt",H1451="Bargeld"),"Beleg / Verwendung klären","vollständig erfasst")))))))))</x:f>
      </x:c>
    </x:row>
    <x:row r="1452" ht="22" customHeight="1">
      <x:c r="A1452" s="7"/>
      <x:c r="B1452" s="8"/>
      <x:c r="C1452" s="7"/>
      <x:c r="D1452" s="7"/>
      <x:c r="E1452" s="7"/>
      <x:c r="F1452" s="20"/>
      <x:c r="G1452" s="7"/>
      <x:c r="H1452" s="7"/>
      <x:c r="I1452" s="7"/>
      <x:c r="J1452" s="7"/>
      <x:c r="K1452" s="7"/>
      <x:c r="L1452" s="7"/>
      <x:c r="M1452" s="7"/>
      <x:c r="N1452" s="7"/>
      <x:c r="O1452" s="2" t="str">
        <x:f>IF(A1452="","",IF(COUNTIFS($A$7:$A$1506,A1452)&gt;1,"Buchung-ID doppelt",IF(OR(NOT(ISNUMBER(B1452)),C1452="",NOT(ISNUMBER(F1452)),H1452="",L1452=""),"Pflichtangaben fehlen",IF(COUNTIFS('Konten'!$A$7:$A$26,C1452)&lt;&gt;1,"Konto nicht eindeutig",IF(J1452&lt;&gt;"Ja","Zuordnung bestätigen",IF(OR(AND(H1452="Einnahme",F1452&lt;0),AND(H1452="Ausgabe",F1452&gt;0)),"Vorzeichen prüfen",IF(AND(H1452="Umbuchung",OR(K1452="",COUNTIFS($A$7:$A$1506,K1452)&lt;&gt;1)),"Gegenbuchung fehlt",IF(AND(H1452="Umbuchung",ROUND(SUMIFS($F$7:$F$1506,$A$7:$A$1506,K1452)+F1452,2)&lt;&gt;0),"Umbuchung abweichend",IF(OR(G1452="",M1452="",M1452="offen",M1452="teilbelegt",H1452="Ungeklärt",H1452="Bargeld"),"Beleg / Verwendung klären","vollständig erfasst")))))))))</x:f>
      </x:c>
    </x:row>
    <x:row r="1453" ht="22" customHeight="1">
      <x:c r="A1453" s="7"/>
      <x:c r="B1453" s="8"/>
      <x:c r="C1453" s="7"/>
      <x:c r="D1453" s="7"/>
      <x:c r="E1453" s="7"/>
      <x:c r="F1453" s="20"/>
      <x:c r="G1453" s="7"/>
      <x:c r="H1453" s="7"/>
      <x:c r="I1453" s="7"/>
      <x:c r="J1453" s="7"/>
      <x:c r="K1453" s="7"/>
      <x:c r="L1453" s="7"/>
      <x:c r="M1453" s="7"/>
      <x:c r="N1453" s="7"/>
      <x:c r="O1453" s="2" t="str">
        <x:f>IF(A1453="","",IF(COUNTIFS($A$7:$A$1506,A1453)&gt;1,"Buchung-ID doppelt",IF(OR(NOT(ISNUMBER(B1453)),C1453="",NOT(ISNUMBER(F1453)),H1453="",L1453=""),"Pflichtangaben fehlen",IF(COUNTIFS('Konten'!$A$7:$A$26,C1453)&lt;&gt;1,"Konto nicht eindeutig",IF(J1453&lt;&gt;"Ja","Zuordnung bestätigen",IF(OR(AND(H1453="Einnahme",F1453&lt;0),AND(H1453="Ausgabe",F1453&gt;0)),"Vorzeichen prüfen",IF(AND(H1453="Umbuchung",OR(K1453="",COUNTIFS($A$7:$A$1506,K1453)&lt;&gt;1)),"Gegenbuchung fehlt",IF(AND(H1453="Umbuchung",ROUND(SUMIFS($F$7:$F$1506,$A$7:$A$1506,K1453)+F1453,2)&lt;&gt;0),"Umbuchung abweichend",IF(OR(G1453="",M1453="",M1453="offen",M1453="teilbelegt",H1453="Ungeklärt",H1453="Bargeld"),"Beleg / Verwendung klären","vollständig erfasst")))))))))</x:f>
      </x:c>
    </x:row>
    <x:row r="1454" ht="22" customHeight="1">
      <x:c r="A1454" s="7"/>
      <x:c r="B1454" s="8"/>
      <x:c r="C1454" s="7"/>
      <x:c r="D1454" s="7"/>
      <x:c r="E1454" s="7"/>
      <x:c r="F1454" s="20"/>
      <x:c r="G1454" s="7"/>
      <x:c r="H1454" s="7"/>
      <x:c r="I1454" s="7"/>
      <x:c r="J1454" s="7"/>
      <x:c r="K1454" s="7"/>
      <x:c r="L1454" s="7"/>
      <x:c r="M1454" s="7"/>
      <x:c r="N1454" s="7"/>
      <x:c r="O1454" s="2" t="str">
        <x:f>IF(A1454="","",IF(COUNTIFS($A$7:$A$1506,A1454)&gt;1,"Buchung-ID doppelt",IF(OR(NOT(ISNUMBER(B1454)),C1454="",NOT(ISNUMBER(F1454)),H1454="",L1454=""),"Pflichtangaben fehlen",IF(COUNTIFS('Konten'!$A$7:$A$26,C1454)&lt;&gt;1,"Konto nicht eindeutig",IF(J1454&lt;&gt;"Ja","Zuordnung bestätigen",IF(OR(AND(H1454="Einnahme",F1454&lt;0),AND(H1454="Ausgabe",F1454&gt;0)),"Vorzeichen prüfen",IF(AND(H1454="Umbuchung",OR(K1454="",COUNTIFS($A$7:$A$1506,K1454)&lt;&gt;1)),"Gegenbuchung fehlt",IF(AND(H1454="Umbuchung",ROUND(SUMIFS($F$7:$F$1506,$A$7:$A$1506,K1454)+F1454,2)&lt;&gt;0),"Umbuchung abweichend",IF(OR(G1454="",M1454="",M1454="offen",M1454="teilbelegt",H1454="Ungeklärt",H1454="Bargeld"),"Beleg / Verwendung klären","vollständig erfasst")))))))))</x:f>
      </x:c>
    </x:row>
    <x:row r="1455" ht="22" customHeight="1">
      <x:c r="A1455" s="7"/>
      <x:c r="B1455" s="8"/>
      <x:c r="C1455" s="7"/>
      <x:c r="D1455" s="7"/>
      <x:c r="E1455" s="7"/>
      <x:c r="F1455" s="20"/>
      <x:c r="G1455" s="7"/>
      <x:c r="H1455" s="7"/>
      <x:c r="I1455" s="7"/>
      <x:c r="J1455" s="7"/>
      <x:c r="K1455" s="7"/>
      <x:c r="L1455" s="7"/>
      <x:c r="M1455" s="7"/>
      <x:c r="N1455" s="7"/>
      <x:c r="O1455" s="2" t="str">
        <x:f>IF(A1455="","",IF(COUNTIFS($A$7:$A$1506,A1455)&gt;1,"Buchung-ID doppelt",IF(OR(NOT(ISNUMBER(B1455)),C1455="",NOT(ISNUMBER(F1455)),H1455="",L1455=""),"Pflichtangaben fehlen",IF(COUNTIFS('Konten'!$A$7:$A$26,C1455)&lt;&gt;1,"Konto nicht eindeutig",IF(J1455&lt;&gt;"Ja","Zuordnung bestätigen",IF(OR(AND(H1455="Einnahme",F1455&lt;0),AND(H1455="Ausgabe",F1455&gt;0)),"Vorzeichen prüfen",IF(AND(H1455="Umbuchung",OR(K1455="",COUNTIFS($A$7:$A$1506,K1455)&lt;&gt;1)),"Gegenbuchung fehlt",IF(AND(H1455="Umbuchung",ROUND(SUMIFS($F$7:$F$1506,$A$7:$A$1506,K1455)+F1455,2)&lt;&gt;0),"Umbuchung abweichend",IF(OR(G1455="",M1455="",M1455="offen",M1455="teilbelegt",H1455="Ungeklärt",H1455="Bargeld"),"Beleg / Verwendung klären","vollständig erfasst")))))))))</x:f>
      </x:c>
    </x:row>
    <x:row r="1456" ht="22" customHeight="1">
      <x:c r="A1456" s="7"/>
      <x:c r="B1456" s="8"/>
      <x:c r="C1456" s="7"/>
      <x:c r="D1456" s="7"/>
      <x:c r="E1456" s="7"/>
      <x:c r="F1456" s="20"/>
      <x:c r="G1456" s="7"/>
      <x:c r="H1456" s="7"/>
      <x:c r="I1456" s="7"/>
      <x:c r="J1456" s="7"/>
      <x:c r="K1456" s="7"/>
      <x:c r="L1456" s="7"/>
      <x:c r="M1456" s="7"/>
      <x:c r="N1456" s="7"/>
      <x:c r="O1456" s="2" t="str">
        <x:f>IF(A1456="","",IF(COUNTIFS($A$7:$A$1506,A1456)&gt;1,"Buchung-ID doppelt",IF(OR(NOT(ISNUMBER(B1456)),C1456="",NOT(ISNUMBER(F1456)),H1456="",L1456=""),"Pflichtangaben fehlen",IF(COUNTIFS('Konten'!$A$7:$A$26,C1456)&lt;&gt;1,"Konto nicht eindeutig",IF(J1456&lt;&gt;"Ja","Zuordnung bestätigen",IF(OR(AND(H1456="Einnahme",F1456&lt;0),AND(H1456="Ausgabe",F1456&gt;0)),"Vorzeichen prüfen",IF(AND(H1456="Umbuchung",OR(K1456="",COUNTIFS($A$7:$A$1506,K1456)&lt;&gt;1)),"Gegenbuchung fehlt",IF(AND(H1456="Umbuchung",ROUND(SUMIFS($F$7:$F$1506,$A$7:$A$1506,K1456)+F1456,2)&lt;&gt;0),"Umbuchung abweichend",IF(OR(G1456="",M1456="",M1456="offen",M1456="teilbelegt",H1456="Ungeklärt",H1456="Bargeld"),"Beleg / Verwendung klären","vollständig erfasst")))))))))</x:f>
      </x:c>
    </x:row>
    <x:row r="1457" ht="22" customHeight="1">
      <x:c r="A1457" s="7"/>
      <x:c r="B1457" s="8"/>
      <x:c r="C1457" s="7"/>
      <x:c r="D1457" s="7"/>
      <x:c r="E1457" s="7"/>
      <x:c r="F1457" s="20"/>
      <x:c r="G1457" s="7"/>
      <x:c r="H1457" s="7"/>
      <x:c r="I1457" s="7"/>
      <x:c r="J1457" s="7"/>
      <x:c r="K1457" s="7"/>
      <x:c r="L1457" s="7"/>
      <x:c r="M1457" s="7"/>
      <x:c r="N1457" s="7"/>
      <x:c r="O1457" s="2" t="str">
        <x:f>IF(A1457="","",IF(COUNTIFS($A$7:$A$1506,A1457)&gt;1,"Buchung-ID doppelt",IF(OR(NOT(ISNUMBER(B1457)),C1457="",NOT(ISNUMBER(F1457)),H1457="",L1457=""),"Pflichtangaben fehlen",IF(COUNTIFS('Konten'!$A$7:$A$26,C1457)&lt;&gt;1,"Konto nicht eindeutig",IF(J1457&lt;&gt;"Ja","Zuordnung bestätigen",IF(OR(AND(H1457="Einnahme",F1457&lt;0),AND(H1457="Ausgabe",F1457&gt;0)),"Vorzeichen prüfen",IF(AND(H1457="Umbuchung",OR(K1457="",COUNTIFS($A$7:$A$1506,K1457)&lt;&gt;1)),"Gegenbuchung fehlt",IF(AND(H1457="Umbuchung",ROUND(SUMIFS($F$7:$F$1506,$A$7:$A$1506,K1457)+F1457,2)&lt;&gt;0),"Umbuchung abweichend",IF(OR(G1457="",M1457="",M1457="offen",M1457="teilbelegt",H1457="Ungeklärt",H1457="Bargeld"),"Beleg / Verwendung klären","vollständig erfasst")))))))))</x:f>
      </x:c>
    </x:row>
    <x:row r="1458" ht="22" customHeight="1">
      <x:c r="A1458" s="7"/>
      <x:c r="B1458" s="8"/>
      <x:c r="C1458" s="7"/>
      <x:c r="D1458" s="7"/>
      <x:c r="E1458" s="7"/>
      <x:c r="F1458" s="20"/>
      <x:c r="G1458" s="7"/>
      <x:c r="H1458" s="7"/>
      <x:c r="I1458" s="7"/>
      <x:c r="J1458" s="7"/>
      <x:c r="K1458" s="7"/>
      <x:c r="L1458" s="7"/>
      <x:c r="M1458" s="7"/>
      <x:c r="N1458" s="7"/>
      <x:c r="O1458" s="2" t="str">
        <x:f>IF(A1458="","",IF(COUNTIFS($A$7:$A$1506,A1458)&gt;1,"Buchung-ID doppelt",IF(OR(NOT(ISNUMBER(B1458)),C1458="",NOT(ISNUMBER(F1458)),H1458="",L1458=""),"Pflichtangaben fehlen",IF(COUNTIFS('Konten'!$A$7:$A$26,C1458)&lt;&gt;1,"Konto nicht eindeutig",IF(J1458&lt;&gt;"Ja","Zuordnung bestätigen",IF(OR(AND(H1458="Einnahme",F1458&lt;0),AND(H1458="Ausgabe",F1458&gt;0)),"Vorzeichen prüfen",IF(AND(H1458="Umbuchung",OR(K1458="",COUNTIFS($A$7:$A$1506,K1458)&lt;&gt;1)),"Gegenbuchung fehlt",IF(AND(H1458="Umbuchung",ROUND(SUMIFS($F$7:$F$1506,$A$7:$A$1506,K1458)+F1458,2)&lt;&gt;0),"Umbuchung abweichend",IF(OR(G1458="",M1458="",M1458="offen",M1458="teilbelegt",H1458="Ungeklärt",H1458="Bargeld"),"Beleg / Verwendung klären","vollständig erfasst")))))))))</x:f>
      </x:c>
    </x:row>
    <x:row r="1459" ht="22" customHeight="1">
      <x:c r="A1459" s="7"/>
      <x:c r="B1459" s="8"/>
      <x:c r="C1459" s="7"/>
      <x:c r="D1459" s="7"/>
      <x:c r="E1459" s="7"/>
      <x:c r="F1459" s="20"/>
      <x:c r="G1459" s="7"/>
      <x:c r="H1459" s="7"/>
      <x:c r="I1459" s="7"/>
      <x:c r="J1459" s="7"/>
      <x:c r="K1459" s="7"/>
      <x:c r="L1459" s="7"/>
      <x:c r="M1459" s="7"/>
      <x:c r="N1459" s="7"/>
      <x:c r="O1459" s="2" t="str">
        <x:f>IF(A1459="","",IF(COUNTIFS($A$7:$A$1506,A1459)&gt;1,"Buchung-ID doppelt",IF(OR(NOT(ISNUMBER(B1459)),C1459="",NOT(ISNUMBER(F1459)),H1459="",L1459=""),"Pflichtangaben fehlen",IF(COUNTIFS('Konten'!$A$7:$A$26,C1459)&lt;&gt;1,"Konto nicht eindeutig",IF(J1459&lt;&gt;"Ja","Zuordnung bestätigen",IF(OR(AND(H1459="Einnahme",F1459&lt;0),AND(H1459="Ausgabe",F1459&gt;0)),"Vorzeichen prüfen",IF(AND(H1459="Umbuchung",OR(K1459="",COUNTIFS($A$7:$A$1506,K1459)&lt;&gt;1)),"Gegenbuchung fehlt",IF(AND(H1459="Umbuchung",ROUND(SUMIFS($F$7:$F$1506,$A$7:$A$1506,K1459)+F1459,2)&lt;&gt;0),"Umbuchung abweichend",IF(OR(G1459="",M1459="",M1459="offen",M1459="teilbelegt",H1459="Ungeklärt",H1459="Bargeld"),"Beleg / Verwendung klären","vollständig erfasst")))))))))</x:f>
      </x:c>
    </x:row>
    <x:row r="1460" ht="22" customHeight="1">
      <x:c r="A1460" s="7"/>
      <x:c r="B1460" s="8"/>
      <x:c r="C1460" s="7"/>
      <x:c r="D1460" s="7"/>
      <x:c r="E1460" s="7"/>
      <x:c r="F1460" s="20"/>
      <x:c r="G1460" s="7"/>
      <x:c r="H1460" s="7"/>
      <x:c r="I1460" s="7"/>
      <x:c r="J1460" s="7"/>
      <x:c r="K1460" s="7"/>
      <x:c r="L1460" s="7"/>
      <x:c r="M1460" s="7"/>
      <x:c r="N1460" s="7"/>
      <x:c r="O1460" s="2" t="str">
        <x:f>IF(A1460="","",IF(COUNTIFS($A$7:$A$1506,A1460)&gt;1,"Buchung-ID doppelt",IF(OR(NOT(ISNUMBER(B1460)),C1460="",NOT(ISNUMBER(F1460)),H1460="",L1460=""),"Pflichtangaben fehlen",IF(COUNTIFS('Konten'!$A$7:$A$26,C1460)&lt;&gt;1,"Konto nicht eindeutig",IF(J1460&lt;&gt;"Ja","Zuordnung bestätigen",IF(OR(AND(H1460="Einnahme",F1460&lt;0),AND(H1460="Ausgabe",F1460&gt;0)),"Vorzeichen prüfen",IF(AND(H1460="Umbuchung",OR(K1460="",COUNTIFS($A$7:$A$1506,K1460)&lt;&gt;1)),"Gegenbuchung fehlt",IF(AND(H1460="Umbuchung",ROUND(SUMIFS($F$7:$F$1506,$A$7:$A$1506,K1460)+F1460,2)&lt;&gt;0),"Umbuchung abweichend",IF(OR(G1460="",M1460="",M1460="offen",M1460="teilbelegt",H1460="Ungeklärt",H1460="Bargeld"),"Beleg / Verwendung klären","vollständig erfasst")))))))))</x:f>
      </x:c>
    </x:row>
    <x:row r="1461" ht="22" customHeight="1">
      <x:c r="A1461" s="7"/>
      <x:c r="B1461" s="8"/>
      <x:c r="C1461" s="7"/>
      <x:c r="D1461" s="7"/>
      <x:c r="E1461" s="7"/>
      <x:c r="F1461" s="20"/>
      <x:c r="G1461" s="7"/>
      <x:c r="H1461" s="7"/>
      <x:c r="I1461" s="7"/>
      <x:c r="J1461" s="7"/>
      <x:c r="K1461" s="7"/>
      <x:c r="L1461" s="7"/>
      <x:c r="M1461" s="7"/>
      <x:c r="N1461" s="7"/>
      <x:c r="O1461" s="2" t="str">
        <x:f>IF(A1461="","",IF(COUNTIFS($A$7:$A$1506,A1461)&gt;1,"Buchung-ID doppelt",IF(OR(NOT(ISNUMBER(B1461)),C1461="",NOT(ISNUMBER(F1461)),H1461="",L1461=""),"Pflichtangaben fehlen",IF(COUNTIFS('Konten'!$A$7:$A$26,C1461)&lt;&gt;1,"Konto nicht eindeutig",IF(J1461&lt;&gt;"Ja","Zuordnung bestätigen",IF(OR(AND(H1461="Einnahme",F1461&lt;0),AND(H1461="Ausgabe",F1461&gt;0)),"Vorzeichen prüfen",IF(AND(H1461="Umbuchung",OR(K1461="",COUNTIFS($A$7:$A$1506,K1461)&lt;&gt;1)),"Gegenbuchung fehlt",IF(AND(H1461="Umbuchung",ROUND(SUMIFS($F$7:$F$1506,$A$7:$A$1506,K1461)+F1461,2)&lt;&gt;0),"Umbuchung abweichend",IF(OR(G1461="",M1461="",M1461="offen",M1461="teilbelegt",H1461="Ungeklärt",H1461="Bargeld"),"Beleg / Verwendung klären","vollständig erfasst")))))))))</x:f>
      </x:c>
    </x:row>
    <x:row r="1462" ht="22" customHeight="1">
      <x:c r="A1462" s="7"/>
      <x:c r="B1462" s="8"/>
      <x:c r="C1462" s="7"/>
      <x:c r="D1462" s="7"/>
      <x:c r="E1462" s="7"/>
      <x:c r="F1462" s="20"/>
      <x:c r="G1462" s="7"/>
      <x:c r="H1462" s="7"/>
      <x:c r="I1462" s="7"/>
      <x:c r="J1462" s="7"/>
      <x:c r="K1462" s="7"/>
      <x:c r="L1462" s="7"/>
      <x:c r="M1462" s="7"/>
      <x:c r="N1462" s="7"/>
      <x:c r="O1462" s="2" t="str">
        <x:f>IF(A1462="","",IF(COUNTIFS($A$7:$A$1506,A1462)&gt;1,"Buchung-ID doppelt",IF(OR(NOT(ISNUMBER(B1462)),C1462="",NOT(ISNUMBER(F1462)),H1462="",L1462=""),"Pflichtangaben fehlen",IF(COUNTIFS('Konten'!$A$7:$A$26,C1462)&lt;&gt;1,"Konto nicht eindeutig",IF(J1462&lt;&gt;"Ja","Zuordnung bestätigen",IF(OR(AND(H1462="Einnahme",F1462&lt;0),AND(H1462="Ausgabe",F1462&gt;0)),"Vorzeichen prüfen",IF(AND(H1462="Umbuchung",OR(K1462="",COUNTIFS($A$7:$A$1506,K1462)&lt;&gt;1)),"Gegenbuchung fehlt",IF(AND(H1462="Umbuchung",ROUND(SUMIFS($F$7:$F$1506,$A$7:$A$1506,K1462)+F1462,2)&lt;&gt;0),"Umbuchung abweichend",IF(OR(G1462="",M1462="",M1462="offen",M1462="teilbelegt",H1462="Ungeklärt",H1462="Bargeld"),"Beleg / Verwendung klären","vollständig erfasst")))))))))</x:f>
      </x:c>
    </x:row>
    <x:row r="1463" ht="22" customHeight="1">
      <x:c r="A1463" s="7"/>
      <x:c r="B1463" s="8"/>
      <x:c r="C1463" s="7"/>
      <x:c r="D1463" s="7"/>
      <x:c r="E1463" s="7"/>
      <x:c r="F1463" s="20"/>
      <x:c r="G1463" s="7"/>
      <x:c r="H1463" s="7"/>
      <x:c r="I1463" s="7"/>
      <x:c r="J1463" s="7"/>
      <x:c r="K1463" s="7"/>
      <x:c r="L1463" s="7"/>
      <x:c r="M1463" s="7"/>
      <x:c r="N1463" s="7"/>
      <x:c r="O1463" s="2" t="str">
        <x:f>IF(A1463="","",IF(COUNTIFS($A$7:$A$1506,A1463)&gt;1,"Buchung-ID doppelt",IF(OR(NOT(ISNUMBER(B1463)),C1463="",NOT(ISNUMBER(F1463)),H1463="",L1463=""),"Pflichtangaben fehlen",IF(COUNTIFS('Konten'!$A$7:$A$26,C1463)&lt;&gt;1,"Konto nicht eindeutig",IF(J1463&lt;&gt;"Ja","Zuordnung bestätigen",IF(OR(AND(H1463="Einnahme",F1463&lt;0),AND(H1463="Ausgabe",F1463&gt;0)),"Vorzeichen prüfen",IF(AND(H1463="Umbuchung",OR(K1463="",COUNTIFS($A$7:$A$1506,K1463)&lt;&gt;1)),"Gegenbuchung fehlt",IF(AND(H1463="Umbuchung",ROUND(SUMIFS($F$7:$F$1506,$A$7:$A$1506,K1463)+F1463,2)&lt;&gt;0),"Umbuchung abweichend",IF(OR(G1463="",M1463="",M1463="offen",M1463="teilbelegt",H1463="Ungeklärt",H1463="Bargeld"),"Beleg / Verwendung klären","vollständig erfasst")))))))))</x:f>
      </x:c>
    </x:row>
    <x:row r="1464" ht="22" customHeight="1">
      <x:c r="A1464" s="7"/>
      <x:c r="B1464" s="8"/>
      <x:c r="C1464" s="7"/>
      <x:c r="D1464" s="7"/>
      <x:c r="E1464" s="7"/>
      <x:c r="F1464" s="20"/>
      <x:c r="G1464" s="7"/>
      <x:c r="H1464" s="7"/>
      <x:c r="I1464" s="7"/>
      <x:c r="J1464" s="7"/>
      <x:c r="K1464" s="7"/>
      <x:c r="L1464" s="7"/>
      <x:c r="M1464" s="7"/>
      <x:c r="N1464" s="7"/>
      <x:c r="O1464" s="2" t="str">
        <x:f>IF(A1464="","",IF(COUNTIFS($A$7:$A$1506,A1464)&gt;1,"Buchung-ID doppelt",IF(OR(NOT(ISNUMBER(B1464)),C1464="",NOT(ISNUMBER(F1464)),H1464="",L1464=""),"Pflichtangaben fehlen",IF(COUNTIFS('Konten'!$A$7:$A$26,C1464)&lt;&gt;1,"Konto nicht eindeutig",IF(J1464&lt;&gt;"Ja","Zuordnung bestätigen",IF(OR(AND(H1464="Einnahme",F1464&lt;0),AND(H1464="Ausgabe",F1464&gt;0)),"Vorzeichen prüfen",IF(AND(H1464="Umbuchung",OR(K1464="",COUNTIFS($A$7:$A$1506,K1464)&lt;&gt;1)),"Gegenbuchung fehlt",IF(AND(H1464="Umbuchung",ROUND(SUMIFS($F$7:$F$1506,$A$7:$A$1506,K1464)+F1464,2)&lt;&gt;0),"Umbuchung abweichend",IF(OR(G1464="",M1464="",M1464="offen",M1464="teilbelegt",H1464="Ungeklärt",H1464="Bargeld"),"Beleg / Verwendung klären","vollständig erfasst")))))))))</x:f>
      </x:c>
    </x:row>
    <x:row r="1465" ht="22" customHeight="1">
      <x:c r="A1465" s="7"/>
      <x:c r="B1465" s="8"/>
      <x:c r="C1465" s="7"/>
      <x:c r="D1465" s="7"/>
      <x:c r="E1465" s="7"/>
      <x:c r="F1465" s="20"/>
      <x:c r="G1465" s="7"/>
      <x:c r="H1465" s="7"/>
      <x:c r="I1465" s="7"/>
      <x:c r="J1465" s="7"/>
      <x:c r="K1465" s="7"/>
      <x:c r="L1465" s="7"/>
      <x:c r="M1465" s="7"/>
      <x:c r="N1465" s="7"/>
      <x:c r="O1465" s="2" t="str">
        <x:f>IF(A1465="","",IF(COUNTIFS($A$7:$A$1506,A1465)&gt;1,"Buchung-ID doppelt",IF(OR(NOT(ISNUMBER(B1465)),C1465="",NOT(ISNUMBER(F1465)),H1465="",L1465=""),"Pflichtangaben fehlen",IF(COUNTIFS('Konten'!$A$7:$A$26,C1465)&lt;&gt;1,"Konto nicht eindeutig",IF(J1465&lt;&gt;"Ja","Zuordnung bestätigen",IF(OR(AND(H1465="Einnahme",F1465&lt;0),AND(H1465="Ausgabe",F1465&gt;0)),"Vorzeichen prüfen",IF(AND(H1465="Umbuchung",OR(K1465="",COUNTIFS($A$7:$A$1506,K1465)&lt;&gt;1)),"Gegenbuchung fehlt",IF(AND(H1465="Umbuchung",ROUND(SUMIFS($F$7:$F$1506,$A$7:$A$1506,K1465)+F1465,2)&lt;&gt;0),"Umbuchung abweichend",IF(OR(G1465="",M1465="",M1465="offen",M1465="teilbelegt",H1465="Ungeklärt",H1465="Bargeld"),"Beleg / Verwendung klären","vollständig erfasst")))))))))</x:f>
      </x:c>
    </x:row>
    <x:row r="1466" ht="22" customHeight="1">
      <x:c r="A1466" s="7"/>
      <x:c r="B1466" s="8"/>
      <x:c r="C1466" s="7"/>
      <x:c r="D1466" s="7"/>
      <x:c r="E1466" s="7"/>
      <x:c r="F1466" s="20"/>
      <x:c r="G1466" s="7"/>
      <x:c r="H1466" s="7"/>
      <x:c r="I1466" s="7"/>
      <x:c r="J1466" s="7"/>
      <x:c r="K1466" s="7"/>
      <x:c r="L1466" s="7"/>
      <x:c r="M1466" s="7"/>
      <x:c r="N1466" s="7"/>
      <x:c r="O1466" s="2" t="str">
        <x:f>IF(A1466="","",IF(COUNTIFS($A$7:$A$1506,A1466)&gt;1,"Buchung-ID doppelt",IF(OR(NOT(ISNUMBER(B1466)),C1466="",NOT(ISNUMBER(F1466)),H1466="",L1466=""),"Pflichtangaben fehlen",IF(COUNTIFS('Konten'!$A$7:$A$26,C1466)&lt;&gt;1,"Konto nicht eindeutig",IF(J1466&lt;&gt;"Ja","Zuordnung bestätigen",IF(OR(AND(H1466="Einnahme",F1466&lt;0),AND(H1466="Ausgabe",F1466&gt;0)),"Vorzeichen prüfen",IF(AND(H1466="Umbuchung",OR(K1466="",COUNTIFS($A$7:$A$1506,K1466)&lt;&gt;1)),"Gegenbuchung fehlt",IF(AND(H1466="Umbuchung",ROUND(SUMIFS($F$7:$F$1506,$A$7:$A$1506,K1466)+F1466,2)&lt;&gt;0),"Umbuchung abweichend",IF(OR(G1466="",M1466="",M1466="offen",M1466="teilbelegt",H1466="Ungeklärt",H1466="Bargeld"),"Beleg / Verwendung klären","vollständig erfasst")))))))))</x:f>
      </x:c>
    </x:row>
    <x:row r="1467" ht="22" customHeight="1">
      <x:c r="A1467" s="7"/>
      <x:c r="B1467" s="8"/>
      <x:c r="C1467" s="7"/>
      <x:c r="D1467" s="7"/>
      <x:c r="E1467" s="7"/>
      <x:c r="F1467" s="20"/>
      <x:c r="G1467" s="7"/>
      <x:c r="H1467" s="7"/>
      <x:c r="I1467" s="7"/>
      <x:c r="J1467" s="7"/>
      <x:c r="K1467" s="7"/>
      <x:c r="L1467" s="7"/>
      <x:c r="M1467" s="7"/>
      <x:c r="N1467" s="7"/>
      <x:c r="O1467" s="2" t="str">
        <x:f>IF(A1467="","",IF(COUNTIFS($A$7:$A$1506,A1467)&gt;1,"Buchung-ID doppelt",IF(OR(NOT(ISNUMBER(B1467)),C1467="",NOT(ISNUMBER(F1467)),H1467="",L1467=""),"Pflichtangaben fehlen",IF(COUNTIFS('Konten'!$A$7:$A$26,C1467)&lt;&gt;1,"Konto nicht eindeutig",IF(J1467&lt;&gt;"Ja","Zuordnung bestätigen",IF(OR(AND(H1467="Einnahme",F1467&lt;0),AND(H1467="Ausgabe",F1467&gt;0)),"Vorzeichen prüfen",IF(AND(H1467="Umbuchung",OR(K1467="",COUNTIFS($A$7:$A$1506,K1467)&lt;&gt;1)),"Gegenbuchung fehlt",IF(AND(H1467="Umbuchung",ROUND(SUMIFS($F$7:$F$1506,$A$7:$A$1506,K1467)+F1467,2)&lt;&gt;0),"Umbuchung abweichend",IF(OR(G1467="",M1467="",M1467="offen",M1467="teilbelegt",H1467="Ungeklärt",H1467="Bargeld"),"Beleg / Verwendung klären","vollständig erfasst")))))))))</x:f>
      </x:c>
    </x:row>
    <x:row r="1468" ht="22" customHeight="1">
      <x:c r="A1468" s="7"/>
      <x:c r="B1468" s="8"/>
      <x:c r="C1468" s="7"/>
      <x:c r="D1468" s="7"/>
      <x:c r="E1468" s="7"/>
      <x:c r="F1468" s="20"/>
      <x:c r="G1468" s="7"/>
      <x:c r="H1468" s="7"/>
      <x:c r="I1468" s="7"/>
      <x:c r="J1468" s="7"/>
      <x:c r="K1468" s="7"/>
      <x:c r="L1468" s="7"/>
      <x:c r="M1468" s="7"/>
      <x:c r="N1468" s="7"/>
      <x:c r="O1468" s="2" t="str">
        <x:f>IF(A1468="","",IF(COUNTIFS($A$7:$A$1506,A1468)&gt;1,"Buchung-ID doppelt",IF(OR(NOT(ISNUMBER(B1468)),C1468="",NOT(ISNUMBER(F1468)),H1468="",L1468=""),"Pflichtangaben fehlen",IF(COUNTIFS('Konten'!$A$7:$A$26,C1468)&lt;&gt;1,"Konto nicht eindeutig",IF(J1468&lt;&gt;"Ja","Zuordnung bestätigen",IF(OR(AND(H1468="Einnahme",F1468&lt;0),AND(H1468="Ausgabe",F1468&gt;0)),"Vorzeichen prüfen",IF(AND(H1468="Umbuchung",OR(K1468="",COUNTIFS($A$7:$A$1506,K1468)&lt;&gt;1)),"Gegenbuchung fehlt",IF(AND(H1468="Umbuchung",ROUND(SUMIFS($F$7:$F$1506,$A$7:$A$1506,K1468)+F1468,2)&lt;&gt;0),"Umbuchung abweichend",IF(OR(G1468="",M1468="",M1468="offen",M1468="teilbelegt",H1468="Ungeklärt",H1468="Bargeld"),"Beleg / Verwendung klären","vollständig erfasst")))))))))</x:f>
      </x:c>
    </x:row>
    <x:row r="1469" ht="22" customHeight="1">
      <x:c r="A1469" s="7"/>
      <x:c r="B1469" s="8"/>
      <x:c r="C1469" s="7"/>
      <x:c r="D1469" s="7"/>
      <x:c r="E1469" s="7"/>
      <x:c r="F1469" s="20"/>
      <x:c r="G1469" s="7"/>
      <x:c r="H1469" s="7"/>
      <x:c r="I1469" s="7"/>
      <x:c r="J1469" s="7"/>
      <x:c r="K1469" s="7"/>
      <x:c r="L1469" s="7"/>
      <x:c r="M1469" s="7"/>
      <x:c r="N1469" s="7"/>
      <x:c r="O1469" s="2" t="str">
        <x:f>IF(A1469="","",IF(COUNTIFS($A$7:$A$1506,A1469)&gt;1,"Buchung-ID doppelt",IF(OR(NOT(ISNUMBER(B1469)),C1469="",NOT(ISNUMBER(F1469)),H1469="",L1469=""),"Pflichtangaben fehlen",IF(COUNTIFS('Konten'!$A$7:$A$26,C1469)&lt;&gt;1,"Konto nicht eindeutig",IF(J1469&lt;&gt;"Ja","Zuordnung bestätigen",IF(OR(AND(H1469="Einnahme",F1469&lt;0),AND(H1469="Ausgabe",F1469&gt;0)),"Vorzeichen prüfen",IF(AND(H1469="Umbuchung",OR(K1469="",COUNTIFS($A$7:$A$1506,K1469)&lt;&gt;1)),"Gegenbuchung fehlt",IF(AND(H1469="Umbuchung",ROUND(SUMIFS($F$7:$F$1506,$A$7:$A$1506,K1469)+F1469,2)&lt;&gt;0),"Umbuchung abweichend",IF(OR(G1469="",M1469="",M1469="offen",M1469="teilbelegt",H1469="Ungeklärt",H1469="Bargeld"),"Beleg / Verwendung klären","vollständig erfasst")))))))))</x:f>
      </x:c>
    </x:row>
    <x:row r="1470" ht="22" customHeight="1">
      <x:c r="A1470" s="7"/>
      <x:c r="B1470" s="8"/>
      <x:c r="C1470" s="7"/>
      <x:c r="D1470" s="7"/>
      <x:c r="E1470" s="7"/>
      <x:c r="F1470" s="20"/>
      <x:c r="G1470" s="7"/>
      <x:c r="H1470" s="7"/>
      <x:c r="I1470" s="7"/>
      <x:c r="J1470" s="7"/>
      <x:c r="K1470" s="7"/>
      <x:c r="L1470" s="7"/>
      <x:c r="M1470" s="7"/>
      <x:c r="N1470" s="7"/>
      <x:c r="O1470" s="2" t="str">
        <x:f>IF(A1470="","",IF(COUNTIFS($A$7:$A$1506,A1470)&gt;1,"Buchung-ID doppelt",IF(OR(NOT(ISNUMBER(B1470)),C1470="",NOT(ISNUMBER(F1470)),H1470="",L1470=""),"Pflichtangaben fehlen",IF(COUNTIFS('Konten'!$A$7:$A$26,C1470)&lt;&gt;1,"Konto nicht eindeutig",IF(J1470&lt;&gt;"Ja","Zuordnung bestätigen",IF(OR(AND(H1470="Einnahme",F1470&lt;0),AND(H1470="Ausgabe",F1470&gt;0)),"Vorzeichen prüfen",IF(AND(H1470="Umbuchung",OR(K1470="",COUNTIFS($A$7:$A$1506,K1470)&lt;&gt;1)),"Gegenbuchung fehlt",IF(AND(H1470="Umbuchung",ROUND(SUMIFS($F$7:$F$1506,$A$7:$A$1506,K1470)+F1470,2)&lt;&gt;0),"Umbuchung abweichend",IF(OR(G1470="",M1470="",M1470="offen",M1470="teilbelegt",H1470="Ungeklärt",H1470="Bargeld"),"Beleg / Verwendung klären","vollständig erfasst")))))))))</x:f>
      </x:c>
    </x:row>
    <x:row r="1471" ht="22" customHeight="1">
      <x:c r="A1471" s="7"/>
      <x:c r="B1471" s="8"/>
      <x:c r="C1471" s="7"/>
      <x:c r="D1471" s="7"/>
      <x:c r="E1471" s="7"/>
      <x:c r="F1471" s="20"/>
      <x:c r="G1471" s="7"/>
      <x:c r="H1471" s="7"/>
      <x:c r="I1471" s="7"/>
      <x:c r="J1471" s="7"/>
      <x:c r="K1471" s="7"/>
      <x:c r="L1471" s="7"/>
      <x:c r="M1471" s="7"/>
      <x:c r="N1471" s="7"/>
      <x:c r="O1471" s="2" t="str">
        <x:f>IF(A1471="","",IF(COUNTIFS($A$7:$A$1506,A1471)&gt;1,"Buchung-ID doppelt",IF(OR(NOT(ISNUMBER(B1471)),C1471="",NOT(ISNUMBER(F1471)),H1471="",L1471=""),"Pflichtangaben fehlen",IF(COUNTIFS('Konten'!$A$7:$A$26,C1471)&lt;&gt;1,"Konto nicht eindeutig",IF(J1471&lt;&gt;"Ja","Zuordnung bestätigen",IF(OR(AND(H1471="Einnahme",F1471&lt;0),AND(H1471="Ausgabe",F1471&gt;0)),"Vorzeichen prüfen",IF(AND(H1471="Umbuchung",OR(K1471="",COUNTIFS($A$7:$A$1506,K1471)&lt;&gt;1)),"Gegenbuchung fehlt",IF(AND(H1471="Umbuchung",ROUND(SUMIFS($F$7:$F$1506,$A$7:$A$1506,K1471)+F1471,2)&lt;&gt;0),"Umbuchung abweichend",IF(OR(G1471="",M1471="",M1471="offen",M1471="teilbelegt",H1471="Ungeklärt",H1471="Bargeld"),"Beleg / Verwendung klären","vollständig erfasst")))))))))</x:f>
      </x:c>
    </x:row>
    <x:row r="1472" ht="22" customHeight="1">
      <x:c r="A1472" s="7"/>
      <x:c r="B1472" s="8"/>
      <x:c r="C1472" s="7"/>
      <x:c r="D1472" s="7"/>
      <x:c r="E1472" s="7"/>
      <x:c r="F1472" s="20"/>
      <x:c r="G1472" s="7"/>
      <x:c r="H1472" s="7"/>
      <x:c r="I1472" s="7"/>
      <x:c r="J1472" s="7"/>
      <x:c r="K1472" s="7"/>
      <x:c r="L1472" s="7"/>
      <x:c r="M1472" s="7"/>
      <x:c r="N1472" s="7"/>
      <x:c r="O1472" s="2" t="str">
        <x:f>IF(A1472="","",IF(COUNTIFS($A$7:$A$1506,A1472)&gt;1,"Buchung-ID doppelt",IF(OR(NOT(ISNUMBER(B1472)),C1472="",NOT(ISNUMBER(F1472)),H1472="",L1472=""),"Pflichtangaben fehlen",IF(COUNTIFS('Konten'!$A$7:$A$26,C1472)&lt;&gt;1,"Konto nicht eindeutig",IF(J1472&lt;&gt;"Ja","Zuordnung bestätigen",IF(OR(AND(H1472="Einnahme",F1472&lt;0),AND(H1472="Ausgabe",F1472&gt;0)),"Vorzeichen prüfen",IF(AND(H1472="Umbuchung",OR(K1472="",COUNTIFS($A$7:$A$1506,K1472)&lt;&gt;1)),"Gegenbuchung fehlt",IF(AND(H1472="Umbuchung",ROUND(SUMIFS($F$7:$F$1506,$A$7:$A$1506,K1472)+F1472,2)&lt;&gt;0),"Umbuchung abweichend",IF(OR(G1472="",M1472="",M1472="offen",M1472="teilbelegt",H1472="Ungeklärt",H1472="Bargeld"),"Beleg / Verwendung klären","vollständig erfasst")))))))))</x:f>
      </x:c>
    </x:row>
    <x:row r="1473" ht="22" customHeight="1">
      <x:c r="A1473" s="7"/>
      <x:c r="B1473" s="8"/>
      <x:c r="C1473" s="7"/>
      <x:c r="D1473" s="7"/>
      <x:c r="E1473" s="7"/>
      <x:c r="F1473" s="20"/>
      <x:c r="G1473" s="7"/>
      <x:c r="H1473" s="7"/>
      <x:c r="I1473" s="7"/>
      <x:c r="J1473" s="7"/>
      <x:c r="K1473" s="7"/>
      <x:c r="L1473" s="7"/>
      <x:c r="M1473" s="7"/>
      <x:c r="N1473" s="7"/>
      <x:c r="O1473" s="2" t="str">
        <x:f>IF(A1473="","",IF(COUNTIFS($A$7:$A$1506,A1473)&gt;1,"Buchung-ID doppelt",IF(OR(NOT(ISNUMBER(B1473)),C1473="",NOT(ISNUMBER(F1473)),H1473="",L1473=""),"Pflichtangaben fehlen",IF(COUNTIFS('Konten'!$A$7:$A$26,C1473)&lt;&gt;1,"Konto nicht eindeutig",IF(J1473&lt;&gt;"Ja","Zuordnung bestätigen",IF(OR(AND(H1473="Einnahme",F1473&lt;0),AND(H1473="Ausgabe",F1473&gt;0)),"Vorzeichen prüfen",IF(AND(H1473="Umbuchung",OR(K1473="",COUNTIFS($A$7:$A$1506,K1473)&lt;&gt;1)),"Gegenbuchung fehlt",IF(AND(H1473="Umbuchung",ROUND(SUMIFS($F$7:$F$1506,$A$7:$A$1506,K1473)+F1473,2)&lt;&gt;0),"Umbuchung abweichend",IF(OR(G1473="",M1473="",M1473="offen",M1473="teilbelegt",H1473="Ungeklärt",H1473="Bargeld"),"Beleg / Verwendung klären","vollständig erfasst")))))))))</x:f>
      </x:c>
    </x:row>
    <x:row r="1474" ht="22" customHeight="1">
      <x:c r="A1474" s="7"/>
      <x:c r="B1474" s="8"/>
      <x:c r="C1474" s="7"/>
      <x:c r="D1474" s="7"/>
      <x:c r="E1474" s="7"/>
      <x:c r="F1474" s="20"/>
      <x:c r="G1474" s="7"/>
      <x:c r="H1474" s="7"/>
      <x:c r="I1474" s="7"/>
      <x:c r="J1474" s="7"/>
      <x:c r="K1474" s="7"/>
      <x:c r="L1474" s="7"/>
      <x:c r="M1474" s="7"/>
      <x:c r="N1474" s="7"/>
      <x:c r="O1474" s="2" t="str">
        <x:f>IF(A1474="","",IF(COUNTIFS($A$7:$A$1506,A1474)&gt;1,"Buchung-ID doppelt",IF(OR(NOT(ISNUMBER(B1474)),C1474="",NOT(ISNUMBER(F1474)),H1474="",L1474=""),"Pflichtangaben fehlen",IF(COUNTIFS('Konten'!$A$7:$A$26,C1474)&lt;&gt;1,"Konto nicht eindeutig",IF(J1474&lt;&gt;"Ja","Zuordnung bestätigen",IF(OR(AND(H1474="Einnahme",F1474&lt;0),AND(H1474="Ausgabe",F1474&gt;0)),"Vorzeichen prüfen",IF(AND(H1474="Umbuchung",OR(K1474="",COUNTIFS($A$7:$A$1506,K1474)&lt;&gt;1)),"Gegenbuchung fehlt",IF(AND(H1474="Umbuchung",ROUND(SUMIFS($F$7:$F$1506,$A$7:$A$1506,K1474)+F1474,2)&lt;&gt;0),"Umbuchung abweichend",IF(OR(G1474="",M1474="",M1474="offen",M1474="teilbelegt",H1474="Ungeklärt",H1474="Bargeld"),"Beleg / Verwendung klären","vollständig erfasst")))))))))</x:f>
      </x:c>
    </x:row>
    <x:row r="1475" ht="22" customHeight="1">
      <x:c r="A1475" s="7"/>
      <x:c r="B1475" s="8"/>
      <x:c r="C1475" s="7"/>
      <x:c r="D1475" s="7"/>
      <x:c r="E1475" s="7"/>
      <x:c r="F1475" s="20"/>
      <x:c r="G1475" s="7"/>
      <x:c r="H1475" s="7"/>
      <x:c r="I1475" s="7"/>
      <x:c r="J1475" s="7"/>
      <x:c r="K1475" s="7"/>
      <x:c r="L1475" s="7"/>
      <x:c r="M1475" s="7"/>
      <x:c r="N1475" s="7"/>
      <x:c r="O1475" s="2" t="str">
        <x:f>IF(A1475="","",IF(COUNTIFS($A$7:$A$1506,A1475)&gt;1,"Buchung-ID doppelt",IF(OR(NOT(ISNUMBER(B1475)),C1475="",NOT(ISNUMBER(F1475)),H1475="",L1475=""),"Pflichtangaben fehlen",IF(COUNTIFS('Konten'!$A$7:$A$26,C1475)&lt;&gt;1,"Konto nicht eindeutig",IF(J1475&lt;&gt;"Ja","Zuordnung bestätigen",IF(OR(AND(H1475="Einnahme",F1475&lt;0),AND(H1475="Ausgabe",F1475&gt;0)),"Vorzeichen prüfen",IF(AND(H1475="Umbuchung",OR(K1475="",COUNTIFS($A$7:$A$1506,K1475)&lt;&gt;1)),"Gegenbuchung fehlt",IF(AND(H1475="Umbuchung",ROUND(SUMIFS($F$7:$F$1506,$A$7:$A$1506,K1475)+F1475,2)&lt;&gt;0),"Umbuchung abweichend",IF(OR(G1475="",M1475="",M1475="offen",M1475="teilbelegt",H1475="Ungeklärt",H1475="Bargeld"),"Beleg / Verwendung klären","vollständig erfasst")))))))))</x:f>
      </x:c>
    </x:row>
    <x:row r="1476" ht="22" customHeight="1">
      <x:c r="A1476" s="7"/>
      <x:c r="B1476" s="8"/>
      <x:c r="C1476" s="7"/>
      <x:c r="D1476" s="7"/>
      <x:c r="E1476" s="7"/>
      <x:c r="F1476" s="20"/>
      <x:c r="G1476" s="7"/>
      <x:c r="H1476" s="7"/>
      <x:c r="I1476" s="7"/>
      <x:c r="J1476" s="7"/>
      <x:c r="K1476" s="7"/>
      <x:c r="L1476" s="7"/>
      <x:c r="M1476" s="7"/>
      <x:c r="N1476" s="7"/>
      <x:c r="O1476" s="2" t="str">
        <x:f>IF(A1476="","",IF(COUNTIFS($A$7:$A$1506,A1476)&gt;1,"Buchung-ID doppelt",IF(OR(NOT(ISNUMBER(B1476)),C1476="",NOT(ISNUMBER(F1476)),H1476="",L1476=""),"Pflichtangaben fehlen",IF(COUNTIFS('Konten'!$A$7:$A$26,C1476)&lt;&gt;1,"Konto nicht eindeutig",IF(J1476&lt;&gt;"Ja","Zuordnung bestätigen",IF(OR(AND(H1476="Einnahme",F1476&lt;0),AND(H1476="Ausgabe",F1476&gt;0)),"Vorzeichen prüfen",IF(AND(H1476="Umbuchung",OR(K1476="",COUNTIFS($A$7:$A$1506,K1476)&lt;&gt;1)),"Gegenbuchung fehlt",IF(AND(H1476="Umbuchung",ROUND(SUMIFS($F$7:$F$1506,$A$7:$A$1506,K1476)+F1476,2)&lt;&gt;0),"Umbuchung abweichend",IF(OR(G1476="",M1476="",M1476="offen",M1476="teilbelegt",H1476="Ungeklärt",H1476="Bargeld"),"Beleg / Verwendung klären","vollständig erfasst")))))))))</x:f>
      </x:c>
    </x:row>
    <x:row r="1477" ht="22" customHeight="1">
      <x:c r="A1477" s="7"/>
      <x:c r="B1477" s="8"/>
      <x:c r="C1477" s="7"/>
      <x:c r="D1477" s="7"/>
      <x:c r="E1477" s="7"/>
      <x:c r="F1477" s="20"/>
      <x:c r="G1477" s="7"/>
      <x:c r="H1477" s="7"/>
      <x:c r="I1477" s="7"/>
      <x:c r="J1477" s="7"/>
      <x:c r="K1477" s="7"/>
      <x:c r="L1477" s="7"/>
      <x:c r="M1477" s="7"/>
      <x:c r="N1477" s="7"/>
      <x:c r="O1477" s="2" t="str">
        <x:f>IF(A1477="","",IF(COUNTIFS($A$7:$A$1506,A1477)&gt;1,"Buchung-ID doppelt",IF(OR(NOT(ISNUMBER(B1477)),C1477="",NOT(ISNUMBER(F1477)),H1477="",L1477=""),"Pflichtangaben fehlen",IF(COUNTIFS('Konten'!$A$7:$A$26,C1477)&lt;&gt;1,"Konto nicht eindeutig",IF(J1477&lt;&gt;"Ja","Zuordnung bestätigen",IF(OR(AND(H1477="Einnahme",F1477&lt;0),AND(H1477="Ausgabe",F1477&gt;0)),"Vorzeichen prüfen",IF(AND(H1477="Umbuchung",OR(K1477="",COUNTIFS($A$7:$A$1506,K1477)&lt;&gt;1)),"Gegenbuchung fehlt",IF(AND(H1477="Umbuchung",ROUND(SUMIFS($F$7:$F$1506,$A$7:$A$1506,K1477)+F1477,2)&lt;&gt;0),"Umbuchung abweichend",IF(OR(G1477="",M1477="",M1477="offen",M1477="teilbelegt",H1477="Ungeklärt",H1477="Bargeld"),"Beleg / Verwendung klären","vollständig erfasst")))))))))</x:f>
      </x:c>
    </x:row>
    <x:row r="1478" ht="22" customHeight="1">
      <x:c r="A1478" s="7"/>
      <x:c r="B1478" s="8"/>
      <x:c r="C1478" s="7"/>
      <x:c r="D1478" s="7"/>
      <x:c r="E1478" s="7"/>
      <x:c r="F1478" s="20"/>
      <x:c r="G1478" s="7"/>
      <x:c r="H1478" s="7"/>
      <x:c r="I1478" s="7"/>
      <x:c r="J1478" s="7"/>
      <x:c r="K1478" s="7"/>
      <x:c r="L1478" s="7"/>
      <x:c r="M1478" s="7"/>
      <x:c r="N1478" s="7"/>
      <x:c r="O1478" s="2" t="str">
        <x:f>IF(A1478="","",IF(COUNTIFS($A$7:$A$1506,A1478)&gt;1,"Buchung-ID doppelt",IF(OR(NOT(ISNUMBER(B1478)),C1478="",NOT(ISNUMBER(F1478)),H1478="",L1478=""),"Pflichtangaben fehlen",IF(COUNTIFS('Konten'!$A$7:$A$26,C1478)&lt;&gt;1,"Konto nicht eindeutig",IF(J1478&lt;&gt;"Ja","Zuordnung bestätigen",IF(OR(AND(H1478="Einnahme",F1478&lt;0),AND(H1478="Ausgabe",F1478&gt;0)),"Vorzeichen prüfen",IF(AND(H1478="Umbuchung",OR(K1478="",COUNTIFS($A$7:$A$1506,K1478)&lt;&gt;1)),"Gegenbuchung fehlt",IF(AND(H1478="Umbuchung",ROUND(SUMIFS($F$7:$F$1506,$A$7:$A$1506,K1478)+F1478,2)&lt;&gt;0),"Umbuchung abweichend",IF(OR(G1478="",M1478="",M1478="offen",M1478="teilbelegt",H1478="Ungeklärt",H1478="Bargeld"),"Beleg / Verwendung klären","vollständig erfasst")))))))))</x:f>
      </x:c>
    </x:row>
    <x:row r="1479" ht="22" customHeight="1">
      <x:c r="A1479" s="7"/>
      <x:c r="B1479" s="8"/>
      <x:c r="C1479" s="7"/>
      <x:c r="D1479" s="7"/>
      <x:c r="E1479" s="7"/>
      <x:c r="F1479" s="20"/>
      <x:c r="G1479" s="7"/>
      <x:c r="H1479" s="7"/>
      <x:c r="I1479" s="7"/>
      <x:c r="J1479" s="7"/>
      <x:c r="K1479" s="7"/>
      <x:c r="L1479" s="7"/>
      <x:c r="M1479" s="7"/>
      <x:c r="N1479" s="7"/>
      <x:c r="O1479" s="2" t="str">
        <x:f>IF(A1479="","",IF(COUNTIFS($A$7:$A$1506,A1479)&gt;1,"Buchung-ID doppelt",IF(OR(NOT(ISNUMBER(B1479)),C1479="",NOT(ISNUMBER(F1479)),H1479="",L1479=""),"Pflichtangaben fehlen",IF(COUNTIFS('Konten'!$A$7:$A$26,C1479)&lt;&gt;1,"Konto nicht eindeutig",IF(J1479&lt;&gt;"Ja","Zuordnung bestätigen",IF(OR(AND(H1479="Einnahme",F1479&lt;0),AND(H1479="Ausgabe",F1479&gt;0)),"Vorzeichen prüfen",IF(AND(H1479="Umbuchung",OR(K1479="",COUNTIFS($A$7:$A$1506,K1479)&lt;&gt;1)),"Gegenbuchung fehlt",IF(AND(H1479="Umbuchung",ROUND(SUMIFS($F$7:$F$1506,$A$7:$A$1506,K1479)+F1479,2)&lt;&gt;0),"Umbuchung abweichend",IF(OR(G1479="",M1479="",M1479="offen",M1479="teilbelegt",H1479="Ungeklärt",H1479="Bargeld"),"Beleg / Verwendung klären","vollständig erfasst")))))))))</x:f>
      </x:c>
    </x:row>
    <x:row r="1480" ht="22" customHeight="1">
      <x:c r="A1480" s="7"/>
      <x:c r="B1480" s="8"/>
      <x:c r="C1480" s="7"/>
      <x:c r="D1480" s="7"/>
      <x:c r="E1480" s="7"/>
      <x:c r="F1480" s="20"/>
      <x:c r="G1480" s="7"/>
      <x:c r="H1480" s="7"/>
      <x:c r="I1480" s="7"/>
      <x:c r="J1480" s="7"/>
      <x:c r="K1480" s="7"/>
      <x:c r="L1480" s="7"/>
      <x:c r="M1480" s="7"/>
      <x:c r="N1480" s="7"/>
      <x:c r="O1480" s="2" t="str">
        <x:f>IF(A1480="","",IF(COUNTIFS($A$7:$A$1506,A1480)&gt;1,"Buchung-ID doppelt",IF(OR(NOT(ISNUMBER(B1480)),C1480="",NOT(ISNUMBER(F1480)),H1480="",L1480=""),"Pflichtangaben fehlen",IF(COUNTIFS('Konten'!$A$7:$A$26,C1480)&lt;&gt;1,"Konto nicht eindeutig",IF(J1480&lt;&gt;"Ja","Zuordnung bestätigen",IF(OR(AND(H1480="Einnahme",F1480&lt;0),AND(H1480="Ausgabe",F1480&gt;0)),"Vorzeichen prüfen",IF(AND(H1480="Umbuchung",OR(K1480="",COUNTIFS($A$7:$A$1506,K1480)&lt;&gt;1)),"Gegenbuchung fehlt",IF(AND(H1480="Umbuchung",ROUND(SUMIFS($F$7:$F$1506,$A$7:$A$1506,K1480)+F1480,2)&lt;&gt;0),"Umbuchung abweichend",IF(OR(G1480="",M1480="",M1480="offen",M1480="teilbelegt",H1480="Ungeklärt",H1480="Bargeld"),"Beleg / Verwendung klären","vollständig erfasst")))))))))</x:f>
      </x:c>
    </x:row>
    <x:row r="1481" ht="22" customHeight="1">
      <x:c r="A1481" s="7"/>
      <x:c r="B1481" s="8"/>
      <x:c r="C1481" s="7"/>
      <x:c r="D1481" s="7"/>
      <x:c r="E1481" s="7"/>
      <x:c r="F1481" s="20"/>
      <x:c r="G1481" s="7"/>
      <x:c r="H1481" s="7"/>
      <x:c r="I1481" s="7"/>
      <x:c r="J1481" s="7"/>
      <x:c r="K1481" s="7"/>
      <x:c r="L1481" s="7"/>
      <x:c r="M1481" s="7"/>
      <x:c r="N1481" s="7"/>
      <x:c r="O1481" s="2" t="str">
        <x:f>IF(A1481="","",IF(COUNTIFS($A$7:$A$1506,A1481)&gt;1,"Buchung-ID doppelt",IF(OR(NOT(ISNUMBER(B1481)),C1481="",NOT(ISNUMBER(F1481)),H1481="",L1481=""),"Pflichtangaben fehlen",IF(COUNTIFS('Konten'!$A$7:$A$26,C1481)&lt;&gt;1,"Konto nicht eindeutig",IF(J1481&lt;&gt;"Ja","Zuordnung bestätigen",IF(OR(AND(H1481="Einnahme",F1481&lt;0),AND(H1481="Ausgabe",F1481&gt;0)),"Vorzeichen prüfen",IF(AND(H1481="Umbuchung",OR(K1481="",COUNTIFS($A$7:$A$1506,K1481)&lt;&gt;1)),"Gegenbuchung fehlt",IF(AND(H1481="Umbuchung",ROUND(SUMIFS($F$7:$F$1506,$A$7:$A$1506,K1481)+F1481,2)&lt;&gt;0),"Umbuchung abweichend",IF(OR(G1481="",M1481="",M1481="offen",M1481="teilbelegt",H1481="Ungeklärt",H1481="Bargeld"),"Beleg / Verwendung klären","vollständig erfasst")))))))))</x:f>
      </x:c>
    </x:row>
    <x:row r="1482" ht="22" customHeight="1">
      <x:c r="A1482" s="7"/>
      <x:c r="B1482" s="8"/>
      <x:c r="C1482" s="7"/>
      <x:c r="D1482" s="7"/>
      <x:c r="E1482" s="7"/>
      <x:c r="F1482" s="20"/>
      <x:c r="G1482" s="7"/>
      <x:c r="H1482" s="7"/>
      <x:c r="I1482" s="7"/>
      <x:c r="J1482" s="7"/>
      <x:c r="K1482" s="7"/>
      <x:c r="L1482" s="7"/>
      <x:c r="M1482" s="7"/>
      <x:c r="N1482" s="7"/>
      <x:c r="O1482" s="2" t="str">
        <x:f>IF(A1482="","",IF(COUNTIFS($A$7:$A$1506,A1482)&gt;1,"Buchung-ID doppelt",IF(OR(NOT(ISNUMBER(B1482)),C1482="",NOT(ISNUMBER(F1482)),H1482="",L1482=""),"Pflichtangaben fehlen",IF(COUNTIFS('Konten'!$A$7:$A$26,C1482)&lt;&gt;1,"Konto nicht eindeutig",IF(J1482&lt;&gt;"Ja","Zuordnung bestätigen",IF(OR(AND(H1482="Einnahme",F1482&lt;0),AND(H1482="Ausgabe",F1482&gt;0)),"Vorzeichen prüfen",IF(AND(H1482="Umbuchung",OR(K1482="",COUNTIFS($A$7:$A$1506,K1482)&lt;&gt;1)),"Gegenbuchung fehlt",IF(AND(H1482="Umbuchung",ROUND(SUMIFS($F$7:$F$1506,$A$7:$A$1506,K1482)+F1482,2)&lt;&gt;0),"Umbuchung abweichend",IF(OR(G1482="",M1482="",M1482="offen",M1482="teilbelegt",H1482="Ungeklärt",H1482="Bargeld"),"Beleg / Verwendung klären","vollständig erfasst")))))))))</x:f>
      </x:c>
    </x:row>
    <x:row r="1483" ht="22" customHeight="1">
      <x:c r="A1483" s="7"/>
      <x:c r="B1483" s="8"/>
      <x:c r="C1483" s="7"/>
      <x:c r="D1483" s="7"/>
      <x:c r="E1483" s="7"/>
      <x:c r="F1483" s="20"/>
      <x:c r="G1483" s="7"/>
      <x:c r="H1483" s="7"/>
      <x:c r="I1483" s="7"/>
      <x:c r="J1483" s="7"/>
      <x:c r="K1483" s="7"/>
      <x:c r="L1483" s="7"/>
      <x:c r="M1483" s="7"/>
      <x:c r="N1483" s="7"/>
      <x:c r="O1483" s="2" t="str">
        <x:f>IF(A1483="","",IF(COUNTIFS($A$7:$A$1506,A1483)&gt;1,"Buchung-ID doppelt",IF(OR(NOT(ISNUMBER(B1483)),C1483="",NOT(ISNUMBER(F1483)),H1483="",L1483=""),"Pflichtangaben fehlen",IF(COUNTIFS('Konten'!$A$7:$A$26,C1483)&lt;&gt;1,"Konto nicht eindeutig",IF(J1483&lt;&gt;"Ja","Zuordnung bestätigen",IF(OR(AND(H1483="Einnahme",F1483&lt;0),AND(H1483="Ausgabe",F1483&gt;0)),"Vorzeichen prüfen",IF(AND(H1483="Umbuchung",OR(K1483="",COUNTIFS($A$7:$A$1506,K1483)&lt;&gt;1)),"Gegenbuchung fehlt",IF(AND(H1483="Umbuchung",ROUND(SUMIFS($F$7:$F$1506,$A$7:$A$1506,K1483)+F1483,2)&lt;&gt;0),"Umbuchung abweichend",IF(OR(G1483="",M1483="",M1483="offen",M1483="teilbelegt",H1483="Ungeklärt",H1483="Bargeld"),"Beleg / Verwendung klären","vollständig erfasst")))))))))</x:f>
      </x:c>
    </x:row>
    <x:row r="1484" ht="22" customHeight="1">
      <x:c r="A1484" s="7"/>
      <x:c r="B1484" s="8"/>
      <x:c r="C1484" s="7"/>
      <x:c r="D1484" s="7"/>
      <x:c r="E1484" s="7"/>
      <x:c r="F1484" s="20"/>
      <x:c r="G1484" s="7"/>
      <x:c r="H1484" s="7"/>
      <x:c r="I1484" s="7"/>
      <x:c r="J1484" s="7"/>
      <x:c r="K1484" s="7"/>
      <x:c r="L1484" s="7"/>
      <x:c r="M1484" s="7"/>
      <x:c r="N1484" s="7"/>
      <x:c r="O1484" s="2" t="str">
        <x:f>IF(A1484="","",IF(COUNTIFS($A$7:$A$1506,A1484)&gt;1,"Buchung-ID doppelt",IF(OR(NOT(ISNUMBER(B1484)),C1484="",NOT(ISNUMBER(F1484)),H1484="",L1484=""),"Pflichtangaben fehlen",IF(COUNTIFS('Konten'!$A$7:$A$26,C1484)&lt;&gt;1,"Konto nicht eindeutig",IF(J1484&lt;&gt;"Ja","Zuordnung bestätigen",IF(OR(AND(H1484="Einnahme",F1484&lt;0),AND(H1484="Ausgabe",F1484&gt;0)),"Vorzeichen prüfen",IF(AND(H1484="Umbuchung",OR(K1484="",COUNTIFS($A$7:$A$1506,K1484)&lt;&gt;1)),"Gegenbuchung fehlt",IF(AND(H1484="Umbuchung",ROUND(SUMIFS($F$7:$F$1506,$A$7:$A$1506,K1484)+F1484,2)&lt;&gt;0),"Umbuchung abweichend",IF(OR(G1484="",M1484="",M1484="offen",M1484="teilbelegt",H1484="Ungeklärt",H1484="Bargeld"),"Beleg / Verwendung klären","vollständig erfasst")))))))))</x:f>
      </x:c>
    </x:row>
    <x:row r="1485" ht="22" customHeight="1">
      <x:c r="A1485" s="7"/>
      <x:c r="B1485" s="8"/>
      <x:c r="C1485" s="7"/>
      <x:c r="D1485" s="7"/>
      <x:c r="E1485" s="7"/>
      <x:c r="F1485" s="20"/>
      <x:c r="G1485" s="7"/>
      <x:c r="H1485" s="7"/>
      <x:c r="I1485" s="7"/>
      <x:c r="J1485" s="7"/>
      <x:c r="K1485" s="7"/>
      <x:c r="L1485" s="7"/>
      <x:c r="M1485" s="7"/>
      <x:c r="N1485" s="7"/>
      <x:c r="O1485" s="2" t="str">
        <x:f>IF(A1485="","",IF(COUNTIFS($A$7:$A$1506,A1485)&gt;1,"Buchung-ID doppelt",IF(OR(NOT(ISNUMBER(B1485)),C1485="",NOT(ISNUMBER(F1485)),H1485="",L1485=""),"Pflichtangaben fehlen",IF(COUNTIFS('Konten'!$A$7:$A$26,C1485)&lt;&gt;1,"Konto nicht eindeutig",IF(J1485&lt;&gt;"Ja","Zuordnung bestätigen",IF(OR(AND(H1485="Einnahme",F1485&lt;0),AND(H1485="Ausgabe",F1485&gt;0)),"Vorzeichen prüfen",IF(AND(H1485="Umbuchung",OR(K1485="",COUNTIFS($A$7:$A$1506,K1485)&lt;&gt;1)),"Gegenbuchung fehlt",IF(AND(H1485="Umbuchung",ROUND(SUMIFS($F$7:$F$1506,$A$7:$A$1506,K1485)+F1485,2)&lt;&gt;0),"Umbuchung abweichend",IF(OR(G1485="",M1485="",M1485="offen",M1485="teilbelegt",H1485="Ungeklärt",H1485="Bargeld"),"Beleg / Verwendung klären","vollständig erfasst")))))))))</x:f>
      </x:c>
    </x:row>
    <x:row r="1486" ht="22" customHeight="1">
      <x:c r="A1486" s="7"/>
      <x:c r="B1486" s="8"/>
      <x:c r="C1486" s="7"/>
      <x:c r="D1486" s="7"/>
      <x:c r="E1486" s="7"/>
      <x:c r="F1486" s="20"/>
      <x:c r="G1486" s="7"/>
      <x:c r="H1486" s="7"/>
      <x:c r="I1486" s="7"/>
      <x:c r="J1486" s="7"/>
      <x:c r="K1486" s="7"/>
      <x:c r="L1486" s="7"/>
      <x:c r="M1486" s="7"/>
      <x:c r="N1486" s="7"/>
      <x:c r="O1486" s="2" t="str">
        <x:f>IF(A1486="","",IF(COUNTIFS($A$7:$A$1506,A1486)&gt;1,"Buchung-ID doppelt",IF(OR(NOT(ISNUMBER(B1486)),C1486="",NOT(ISNUMBER(F1486)),H1486="",L1486=""),"Pflichtangaben fehlen",IF(COUNTIFS('Konten'!$A$7:$A$26,C1486)&lt;&gt;1,"Konto nicht eindeutig",IF(J1486&lt;&gt;"Ja","Zuordnung bestätigen",IF(OR(AND(H1486="Einnahme",F1486&lt;0),AND(H1486="Ausgabe",F1486&gt;0)),"Vorzeichen prüfen",IF(AND(H1486="Umbuchung",OR(K1486="",COUNTIFS($A$7:$A$1506,K1486)&lt;&gt;1)),"Gegenbuchung fehlt",IF(AND(H1486="Umbuchung",ROUND(SUMIFS($F$7:$F$1506,$A$7:$A$1506,K1486)+F1486,2)&lt;&gt;0),"Umbuchung abweichend",IF(OR(G1486="",M1486="",M1486="offen",M1486="teilbelegt",H1486="Ungeklärt",H1486="Bargeld"),"Beleg / Verwendung klären","vollständig erfasst")))))))))</x:f>
      </x:c>
    </x:row>
    <x:row r="1487" ht="22" customHeight="1">
      <x:c r="A1487" s="7"/>
      <x:c r="B1487" s="8"/>
      <x:c r="C1487" s="7"/>
      <x:c r="D1487" s="7"/>
      <x:c r="E1487" s="7"/>
      <x:c r="F1487" s="20"/>
      <x:c r="G1487" s="7"/>
      <x:c r="H1487" s="7"/>
      <x:c r="I1487" s="7"/>
      <x:c r="J1487" s="7"/>
      <x:c r="K1487" s="7"/>
      <x:c r="L1487" s="7"/>
      <x:c r="M1487" s="7"/>
      <x:c r="N1487" s="7"/>
      <x:c r="O1487" s="2" t="str">
        <x:f>IF(A1487="","",IF(COUNTIFS($A$7:$A$1506,A1487)&gt;1,"Buchung-ID doppelt",IF(OR(NOT(ISNUMBER(B1487)),C1487="",NOT(ISNUMBER(F1487)),H1487="",L1487=""),"Pflichtangaben fehlen",IF(COUNTIFS('Konten'!$A$7:$A$26,C1487)&lt;&gt;1,"Konto nicht eindeutig",IF(J1487&lt;&gt;"Ja","Zuordnung bestätigen",IF(OR(AND(H1487="Einnahme",F1487&lt;0),AND(H1487="Ausgabe",F1487&gt;0)),"Vorzeichen prüfen",IF(AND(H1487="Umbuchung",OR(K1487="",COUNTIFS($A$7:$A$1506,K1487)&lt;&gt;1)),"Gegenbuchung fehlt",IF(AND(H1487="Umbuchung",ROUND(SUMIFS($F$7:$F$1506,$A$7:$A$1506,K1487)+F1487,2)&lt;&gt;0),"Umbuchung abweichend",IF(OR(G1487="",M1487="",M1487="offen",M1487="teilbelegt",H1487="Ungeklärt",H1487="Bargeld"),"Beleg / Verwendung klären","vollständig erfasst")))))))))</x:f>
      </x:c>
    </x:row>
    <x:row r="1488" ht="22" customHeight="1">
      <x:c r="A1488" s="7"/>
      <x:c r="B1488" s="8"/>
      <x:c r="C1488" s="7"/>
      <x:c r="D1488" s="7"/>
      <x:c r="E1488" s="7"/>
      <x:c r="F1488" s="20"/>
      <x:c r="G1488" s="7"/>
      <x:c r="H1488" s="7"/>
      <x:c r="I1488" s="7"/>
      <x:c r="J1488" s="7"/>
      <x:c r="K1488" s="7"/>
      <x:c r="L1488" s="7"/>
      <x:c r="M1488" s="7"/>
      <x:c r="N1488" s="7"/>
      <x:c r="O1488" s="2" t="str">
        <x:f>IF(A1488="","",IF(COUNTIFS($A$7:$A$1506,A1488)&gt;1,"Buchung-ID doppelt",IF(OR(NOT(ISNUMBER(B1488)),C1488="",NOT(ISNUMBER(F1488)),H1488="",L1488=""),"Pflichtangaben fehlen",IF(COUNTIFS('Konten'!$A$7:$A$26,C1488)&lt;&gt;1,"Konto nicht eindeutig",IF(J1488&lt;&gt;"Ja","Zuordnung bestätigen",IF(OR(AND(H1488="Einnahme",F1488&lt;0),AND(H1488="Ausgabe",F1488&gt;0)),"Vorzeichen prüfen",IF(AND(H1488="Umbuchung",OR(K1488="",COUNTIFS($A$7:$A$1506,K1488)&lt;&gt;1)),"Gegenbuchung fehlt",IF(AND(H1488="Umbuchung",ROUND(SUMIFS($F$7:$F$1506,$A$7:$A$1506,K1488)+F1488,2)&lt;&gt;0),"Umbuchung abweichend",IF(OR(G1488="",M1488="",M1488="offen",M1488="teilbelegt",H1488="Ungeklärt",H1488="Bargeld"),"Beleg / Verwendung klären","vollständig erfasst")))))))))</x:f>
      </x:c>
    </x:row>
    <x:row r="1489" ht="22" customHeight="1">
      <x:c r="A1489" s="7"/>
      <x:c r="B1489" s="8"/>
      <x:c r="C1489" s="7"/>
      <x:c r="D1489" s="7"/>
      <x:c r="E1489" s="7"/>
      <x:c r="F1489" s="20"/>
      <x:c r="G1489" s="7"/>
      <x:c r="H1489" s="7"/>
      <x:c r="I1489" s="7"/>
      <x:c r="J1489" s="7"/>
      <x:c r="K1489" s="7"/>
      <x:c r="L1489" s="7"/>
      <x:c r="M1489" s="7"/>
      <x:c r="N1489" s="7"/>
      <x:c r="O1489" s="2" t="str">
        <x:f>IF(A1489="","",IF(COUNTIFS($A$7:$A$1506,A1489)&gt;1,"Buchung-ID doppelt",IF(OR(NOT(ISNUMBER(B1489)),C1489="",NOT(ISNUMBER(F1489)),H1489="",L1489=""),"Pflichtangaben fehlen",IF(COUNTIFS('Konten'!$A$7:$A$26,C1489)&lt;&gt;1,"Konto nicht eindeutig",IF(J1489&lt;&gt;"Ja","Zuordnung bestätigen",IF(OR(AND(H1489="Einnahme",F1489&lt;0),AND(H1489="Ausgabe",F1489&gt;0)),"Vorzeichen prüfen",IF(AND(H1489="Umbuchung",OR(K1489="",COUNTIFS($A$7:$A$1506,K1489)&lt;&gt;1)),"Gegenbuchung fehlt",IF(AND(H1489="Umbuchung",ROUND(SUMIFS($F$7:$F$1506,$A$7:$A$1506,K1489)+F1489,2)&lt;&gt;0),"Umbuchung abweichend",IF(OR(G1489="",M1489="",M1489="offen",M1489="teilbelegt",H1489="Ungeklärt",H1489="Bargeld"),"Beleg / Verwendung klären","vollständig erfasst")))))))))</x:f>
      </x:c>
    </x:row>
    <x:row r="1490" ht="22" customHeight="1">
      <x:c r="A1490" s="7"/>
      <x:c r="B1490" s="8"/>
      <x:c r="C1490" s="7"/>
      <x:c r="D1490" s="7"/>
      <x:c r="E1490" s="7"/>
      <x:c r="F1490" s="20"/>
      <x:c r="G1490" s="7"/>
      <x:c r="H1490" s="7"/>
      <x:c r="I1490" s="7"/>
      <x:c r="J1490" s="7"/>
      <x:c r="K1490" s="7"/>
      <x:c r="L1490" s="7"/>
      <x:c r="M1490" s="7"/>
      <x:c r="N1490" s="7"/>
      <x:c r="O1490" s="2" t="str">
        <x:f>IF(A1490="","",IF(COUNTIFS($A$7:$A$1506,A1490)&gt;1,"Buchung-ID doppelt",IF(OR(NOT(ISNUMBER(B1490)),C1490="",NOT(ISNUMBER(F1490)),H1490="",L1490=""),"Pflichtangaben fehlen",IF(COUNTIFS('Konten'!$A$7:$A$26,C1490)&lt;&gt;1,"Konto nicht eindeutig",IF(J1490&lt;&gt;"Ja","Zuordnung bestätigen",IF(OR(AND(H1490="Einnahme",F1490&lt;0),AND(H1490="Ausgabe",F1490&gt;0)),"Vorzeichen prüfen",IF(AND(H1490="Umbuchung",OR(K1490="",COUNTIFS($A$7:$A$1506,K1490)&lt;&gt;1)),"Gegenbuchung fehlt",IF(AND(H1490="Umbuchung",ROUND(SUMIFS($F$7:$F$1506,$A$7:$A$1506,K1490)+F1490,2)&lt;&gt;0),"Umbuchung abweichend",IF(OR(G1490="",M1490="",M1490="offen",M1490="teilbelegt",H1490="Ungeklärt",H1490="Bargeld"),"Beleg / Verwendung klären","vollständig erfasst")))))))))</x:f>
      </x:c>
    </x:row>
    <x:row r="1491" ht="22" customHeight="1">
      <x:c r="A1491" s="7"/>
      <x:c r="B1491" s="8"/>
      <x:c r="C1491" s="7"/>
      <x:c r="D1491" s="7"/>
      <x:c r="E1491" s="7"/>
      <x:c r="F1491" s="20"/>
      <x:c r="G1491" s="7"/>
      <x:c r="H1491" s="7"/>
      <x:c r="I1491" s="7"/>
      <x:c r="J1491" s="7"/>
      <x:c r="K1491" s="7"/>
      <x:c r="L1491" s="7"/>
      <x:c r="M1491" s="7"/>
      <x:c r="N1491" s="7"/>
      <x:c r="O1491" s="2" t="str">
        <x:f>IF(A1491="","",IF(COUNTIFS($A$7:$A$1506,A1491)&gt;1,"Buchung-ID doppelt",IF(OR(NOT(ISNUMBER(B1491)),C1491="",NOT(ISNUMBER(F1491)),H1491="",L1491=""),"Pflichtangaben fehlen",IF(COUNTIFS('Konten'!$A$7:$A$26,C1491)&lt;&gt;1,"Konto nicht eindeutig",IF(J1491&lt;&gt;"Ja","Zuordnung bestätigen",IF(OR(AND(H1491="Einnahme",F1491&lt;0),AND(H1491="Ausgabe",F1491&gt;0)),"Vorzeichen prüfen",IF(AND(H1491="Umbuchung",OR(K1491="",COUNTIFS($A$7:$A$1506,K1491)&lt;&gt;1)),"Gegenbuchung fehlt",IF(AND(H1491="Umbuchung",ROUND(SUMIFS($F$7:$F$1506,$A$7:$A$1506,K1491)+F1491,2)&lt;&gt;0),"Umbuchung abweichend",IF(OR(G1491="",M1491="",M1491="offen",M1491="teilbelegt",H1491="Ungeklärt",H1491="Bargeld"),"Beleg / Verwendung klären","vollständig erfasst")))))))))</x:f>
      </x:c>
    </x:row>
    <x:row r="1492" ht="22" customHeight="1">
      <x:c r="A1492" s="7"/>
      <x:c r="B1492" s="8"/>
      <x:c r="C1492" s="7"/>
      <x:c r="D1492" s="7"/>
      <x:c r="E1492" s="7"/>
      <x:c r="F1492" s="20"/>
      <x:c r="G1492" s="7"/>
      <x:c r="H1492" s="7"/>
      <x:c r="I1492" s="7"/>
      <x:c r="J1492" s="7"/>
      <x:c r="K1492" s="7"/>
      <x:c r="L1492" s="7"/>
      <x:c r="M1492" s="7"/>
      <x:c r="N1492" s="7"/>
      <x:c r="O1492" s="2" t="str">
        <x:f>IF(A1492="","",IF(COUNTIFS($A$7:$A$1506,A1492)&gt;1,"Buchung-ID doppelt",IF(OR(NOT(ISNUMBER(B1492)),C1492="",NOT(ISNUMBER(F1492)),H1492="",L1492=""),"Pflichtangaben fehlen",IF(COUNTIFS('Konten'!$A$7:$A$26,C1492)&lt;&gt;1,"Konto nicht eindeutig",IF(J1492&lt;&gt;"Ja","Zuordnung bestätigen",IF(OR(AND(H1492="Einnahme",F1492&lt;0),AND(H1492="Ausgabe",F1492&gt;0)),"Vorzeichen prüfen",IF(AND(H1492="Umbuchung",OR(K1492="",COUNTIFS($A$7:$A$1506,K1492)&lt;&gt;1)),"Gegenbuchung fehlt",IF(AND(H1492="Umbuchung",ROUND(SUMIFS($F$7:$F$1506,$A$7:$A$1506,K1492)+F1492,2)&lt;&gt;0),"Umbuchung abweichend",IF(OR(G1492="",M1492="",M1492="offen",M1492="teilbelegt",H1492="Ungeklärt",H1492="Bargeld"),"Beleg / Verwendung klären","vollständig erfasst")))))))))</x:f>
      </x:c>
    </x:row>
    <x:row r="1493" ht="22" customHeight="1">
      <x:c r="A1493" s="7"/>
      <x:c r="B1493" s="8"/>
      <x:c r="C1493" s="7"/>
      <x:c r="D1493" s="7"/>
      <x:c r="E1493" s="7"/>
      <x:c r="F1493" s="20"/>
      <x:c r="G1493" s="7"/>
      <x:c r="H1493" s="7"/>
      <x:c r="I1493" s="7"/>
      <x:c r="J1493" s="7"/>
      <x:c r="K1493" s="7"/>
      <x:c r="L1493" s="7"/>
      <x:c r="M1493" s="7"/>
      <x:c r="N1493" s="7"/>
      <x:c r="O1493" s="2" t="str">
        <x:f>IF(A1493="","",IF(COUNTIFS($A$7:$A$1506,A1493)&gt;1,"Buchung-ID doppelt",IF(OR(NOT(ISNUMBER(B1493)),C1493="",NOT(ISNUMBER(F1493)),H1493="",L1493=""),"Pflichtangaben fehlen",IF(COUNTIFS('Konten'!$A$7:$A$26,C1493)&lt;&gt;1,"Konto nicht eindeutig",IF(J1493&lt;&gt;"Ja","Zuordnung bestätigen",IF(OR(AND(H1493="Einnahme",F1493&lt;0),AND(H1493="Ausgabe",F1493&gt;0)),"Vorzeichen prüfen",IF(AND(H1493="Umbuchung",OR(K1493="",COUNTIFS($A$7:$A$1506,K1493)&lt;&gt;1)),"Gegenbuchung fehlt",IF(AND(H1493="Umbuchung",ROUND(SUMIFS($F$7:$F$1506,$A$7:$A$1506,K1493)+F1493,2)&lt;&gt;0),"Umbuchung abweichend",IF(OR(G1493="",M1493="",M1493="offen",M1493="teilbelegt",H1493="Ungeklärt",H1493="Bargeld"),"Beleg / Verwendung klären","vollständig erfasst")))))))))</x:f>
      </x:c>
    </x:row>
    <x:row r="1494" ht="22" customHeight="1">
      <x:c r="A1494" s="7"/>
      <x:c r="B1494" s="8"/>
      <x:c r="C1494" s="7"/>
      <x:c r="D1494" s="7"/>
      <x:c r="E1494" s="7"/>
      <x:c r="F1494" s="20"/>
      <x:c r="G1494" s="7"/>
      <x:c r="H1494" s="7"/>
      <x:c r="I1494" s="7"/>
      <x:c r="J1494" s="7"/>
      <x:c r="K1494" s="7"/>
      <x:c r="L1494" s="7"/>
      <x:c r="M1494" s="7"/>
      <x:c r="N1494" s="7"/>
      <x:c r="O1494" s="2" t="str">
        <x:f>IF(A1494="","",IF(COUNTIFS($A$7:$A$1506,A1494)&gt;1,"Buchung-ID doppelt",IF(OR(NOT(ISNUMBER(B1494)),C1494="",NOT(ISNUMBER(F1494)),H1494="",L1494=""),"Pflichtangaben fehlen",IF(COUNTIFS('Konten'!$A$7:$A$26,C1494)&lt;&gt;1,"Konto nicht eindeutig",IF(J1494&lt;&gt;"Ja","Zuordnung bestätigen",IF(OR(AND(H1494="Einnahme",F1494&lt;0),AND(H1494="Ausgabe",F1494&gt;0)),"Vorzeichen prüfen",IF(AND(H1494="Umbuchung",OR(K1494="",COUNTIFS($A$7:$A$1506,K1494)&lt;&gt;1)),"Gegenbuchung fehlt",IF(AND(H1494="Umbuchung",ROUND(SUMIFS($F$7:$F$1506,$A$7:$A$1506,K1494)+F1494,2)&lt;&gt;0),"Umbuchung abweichend",IF(OR(G1494="",M1494="",M1494="offen",M1494="teilbelegt",H1494="Ungeklärt",H1494="Bargeld"),"Beleg / Verwendung klären","vollständig erfasst")))))))))</x:f>
      </x:c>
    </x:row>
    <x:row r="1495" ht="22" customHeight="1">
      <x:c r="A1495" s="7"/>
      <x:c r="B1495" s="8"/>
      <x:c r="C1495" s="7"/>
      <x:c r="D1495" s="7"/>
      <x:c r="E1495" s="7"/>
      <x:c r="F1495" s="20"/>
      <x:c r="G1495" s="7"/>
      <x:c r="H1495" s="7"/>
      <x:c r="I1495" s="7"/>
      <x:c r="J1495" s="7"/>
      <x:c r="K1495" s="7"/>
      <x:c r="L1495" s="7"/>
      <x:c r="M1495" s="7"/>
      <x:c r="N1495" s="7"/>
      <x:c r="O1495" s="2" t="str">
        <x:f>IF(A1495="","",IF(COUNTIFS($A$7:$A$1506,A1495)&gt;1,"Buchung-ID doppelt",IF(OR(NOT(ISNUMBER(B1495)),C1495="",NOT(ISNUMBER(F1495)),H1495="",L1495=""),"Pflichtangaben fehlen",IF(COUNTIFS('Konten'!$A$7:$A$26,C1495)&lt;&gt;1,"Konto nicht eindeutig",IF(J1495&lt;&gt;"Ja","Zuordnung bestätigen",IF(OR(AND(H1495="Einnahme",F1495&lt;0),AND(H1495="Ausgabe",F1495&gt;0)),"Vorzeichen prüfen",IF(AND(H1495="Umbuchung",OR(K1495="",COUNTIFS($A$7:$A$1506,K1495)&lt;&gt;1)),"Gegenbuchung fehlt",IF(AND(H1495="Umbuchung",ROUND(SUMIFS($F$7:$F$1506,$A$7:$A$1506,K1495)+F1495,2)&lt;&gt;0),"Umbuchung abweichend",IF(OR(G1495="",M1495="",M1495="offen",M1495="teilbelegt",H1495="Ungeklärt",H1495="Bargeld"),"Beleg / Verwendung klären","vollständig erfasst")))))))))</x:f>
      </x:c>
    </x:row>
    <x:row r="1496" ht="22" customHeight="1">
      <x:c r="A1496" s="7"/>
      <x:c r="B1496" s="8"/>
      <x:c r="C1496" s="7"/>
      <x:c r="D1496" s="7"/>
      <x:c r="E1496" s="7"/>
      <x:c r="F1496" s="20"/>
      <x:c r="G1496" s="7"/>
      <x:c r="H1496" s="7"/>
      <x:c r="I1496" s="7"/>
      <x:c r="J1496" s="7"/>
      <x:c r="K1496" s="7"/>
      <x:c r="L1496" s="7"/>
      <x:c r="M1496" s="7"/>
      <x:c r="N1496" s="7"/>
      <x:c r="O1496" s="2" t="str">
        <x:f>IF(A1496="","",IF(COUNTIFS($A$7:$A$1506,A1496)&gt;1,"Buchung-ID doppelt",IF(OR(NOT(ISNUMBER(B1496)),C1496="",NOT(ISNUMBER(F1496)),H1496="",L1496=""),"Pflichtangaben fehlen",IF(COUNTIFS('Konten'!$A$7:$A$26,C1496)&lt;&gt;1,"Konto nicht eindeutig",IF(J1496&lt;&gt;"Ja","Zuordnung bestätigen",IF(OR(AND(H1496="Einnahme",F1496&lt;0),AND(H1496="Ausgabe",F1496&gt;0)),"Vorzeichen prüfen",IF(AND(H1496="Umbuchung",OR(K1496="",COUNTIFS($A$7:$A$1506,K1496)&lt;&gt;1)),"Gegenbuchung fehlt",IF(AND(H1496="Umbuchung",ROUND(SUMIFS($F$7:$F$1506,$A$7:$A$1506,K1496)+F1496,2)&lt;&gt;0),"Umbuchung abweichend",IF(OR(G1496="",M1496="",M1496="offen",M1496="teilbelegt",H1496="Ungeklärt",H1496="Bargeld"),"Beleg / Verwendung klären","vollständig erfasst")))))))))</x:f>
      </x:c>
    </x:row>
    <x:row r="1497" ht="22" customHeight="1">
      <x:c r="A1497" s="7"/>
      <x:c r="B1497" s="8"/>
      <x:c r="C1497" s="7"/>
      <x:c r="D1497" s="7"/>
      <x:c r="E1497" s="7"/>
      <x:c r="F1497" s="20"/>
      <x:c r="G1497" s="7"/>
      <x:c r="H1497" s="7"/>
      <x:c r="I1497" s="7"/>
      <x:c r="J1497" s="7"/>
      <x:c r="K1497" s="7"/>
      <x:c r="L1497" s="7"/>
      <x:c r="M1497" s="7"/>
      <x:c r="N1497" s="7"/>
      <x:c r="O1497" s="2" t="str">
        <x:f>IF(A1497="","",IF(COUNTIFS($A$7:$A$1506,A1497)&gt;1,"Buchung-ID doppelt",IF(OR(NOT(ISNUMBER(B1497)),C1497="",NOT(ISNUMBER(F1497)),H1497="",L1497=""),"Pflichtangaben fehlen",IF(COUNTIFS('Konten'!$A$7:$A$26,C1497)&lt;&gt;1,"Konto nicht eindeutig",IF(J1497&lt;&gt;"Ja","Zuordnung bestätigen",IF(OR(AND(H1497="Einnahme",F1497&lt;0),AND(H1497="Ausgabe",F1497&gt;0)),"Vorzeichen prüfen",IF(AND(H1497="Umbuchung",OR(K1497="",COUNTIFS($A$7:$A$1506,K1497)&lt;&gt;1)),"Gegenbuchung fehlt",IF(AND(H1497="Umbuchung",ROUND(SUMIFS($F$7:$F$1506,$A$7:$A$1506,K1497)+F1497,2)&lt;&gt;0),"Umbuchung abweichend",IF(OR(G1497="",M1497="",M1497="offen",M1497="teilbelegt",H1497="Ungeklärt",H1497="Bargeld"),"Beleg / Verwendung klären","vollständig erfasst")))))))))</x:f>
      </x:c>
    </x:row>
    <x:row r="1498" ht="22" customHeight="1">
      <x:c r="A1498" s="7"/>
      <x:c r="B1498" s="8"/>
      <x:c r="C1498" s="7"/>
      <x:c r="D1498" s="7"/>
      <x:c r="E1498" s="7"/>
      <x:c r="F1498" s="20"/>
      <x:c r="G1498" s="7"/>
      <x:c r="H1498" s="7"/>
      <x:c r="I1498" s="7"/>
      <x:c r="J1498" s="7"/>
      <x:c r="K1498" s="7"/>
      <x:c r="L1498" s="7"/>
      <x:c r="M1498" s="7"/>
      <x:c r="N1498" s="7"/>
      <x:c r="O1498" s="2" t="str">
        <x:f>IF(A1498="","",IF(COUNTIFS($A$7:$A$1506,A1498)&gt;1,"Buchung-ID doppelt",IF(OR(NOT(ISNUMBER(B1498)),C1498="",NOT(ISNUMBER(F1498)),H1498="",L1498=""),"Pflichtangaben fehlen",IF(COUNTIFS('Konten'!$A$7:$A$26,C1498)&lt;&gt;1,"Konto nicht eindeutig",IF(J1498&lt;&gt;"Ja","Zuordnung bestätigen",IF(OR(AND(H1498="Einnahme",F1498&lt;0),AND(H1498="Ausgabe",F1498&gt;0)),"Vorzeichen prüfen",IF(AND(H1498="Umbuchung",OR(K1498="",COUNTIFS($A$7:$A$1506,K1498)&lt;&gt;1)),"Gegenbuchung fehlt",IF(AND(H1498="Umbuchung",ROUND(SUMIFS($F$7:$F$1506,$A$7:$A$1506,K1498)+F1498,2)&lt;&gt;0),"Umbuchung abweichend",IF(OR(G1498="",M1498="",M1498="offen",M1498="teilbelegt",H1498="Ungeklärt",H1498="Bargeld"),"Beleg / Verwendung klären","vollständig erfasst")))))))))</x:f>
      </x:c>
    </x:row>
    <x:row r="1499" ht="22" customHeight="1">
      <x:c r="A1499" s="7"/>
      <x:c r="B1499" s="8"/>
      <x:c r="C1499" s="7"/>
      <x:c r="D1499" s="7"/>
      <x:c r="E1499" s="7"/>
      <x:c r="F1499" s="20"/>
      <x:c r="G1499" s="7"/>
      <x:c r="H1499" s="7"/>
      <x:c r="I1499" s="7"/>
      <x:c r="J1499" s="7"/>
      <x:c r="K1499" s="7"/>
      <x:c r="L1499" s="7"/>
      <x:c r="M1499" s="7"/>
      <x:c r="N1499" s="7"/>
      <x:c r="O1499" s="2" t="str">
        <x:f>IF(A1499="","",IF(COUNTIFS($A$7:$A$1506,A1499)&gt;1,"Buchung-ID doppelt",IF(OR(NOT(ISNUMBER(B1499)),C1499="",NOT(ISNUMBER(F1499)),H1499="",L1499=""),"Pflichtangaben fehlen",IF(COUNTIFS('Konten'!$A$7:$A$26,C1499)&lt;&gt;1,"Konto nicht eindeutig",IF(J1499&lt;&gt;"Ja","Zuordnung bestätigen",IF(OR(AND(H1499="Einnahme",F1499&lt;0),AND(H1499="Ausgabe",F1499&gt;0)),"Vorzeichen prüfen",IF(AND(H1499="Umbuchung",OR(K1499="",COUNTIFS($A$7:$A$1506,K1499)&lt;&gt;1)),"Gegenbuchung fehlt",IF(AND(H1499="Umbuchung",ROUND(SUMIFS($F$7:$F$1506,$A$7:$A$1506,K1499)+F1499,2)&lt;&gt;0),"Umbuchung abweichend",IF(OR(G1499="",M1499="",M1499="offen",M1499="teilbelegt",H1499="Ungeklärt",H1499="Bargeld"),"Beleg / Verwendung klären","vollständig erfasst")))))))))</x:f>
      </x:c>
    </x:row>
    <x:row r="1500" ht="22" customHeight="1">
      <x:c r="A1500" s="7"/>
      <x:c r="B1500" s="8"/>
      <x:c r="C1500" s="7"/>
      <x:c r="D1500" s="7"/>
      <x:c r="E1500" s="7"/>
      <x:c r="F1500" s="20"/>
      <x:c r="G1500" s="7"/>
      <x:c r="H1500" s="7"/>
      <x:c r="I1500" s="7"/>
      <x:c r="J1500" s="7"/>
      <x:c r="K1500" s="7"/>
      <x:c r="L1500" s="7"/>
      <x:c r="M1500" s="7"/>
      <x:c r="N1500" s="7"/>
      <x:c r="O1500" s="2" t="str">
        <x:f>IF(A1500="","",IF(COUNTIFS($A$7:$A$1506,A1500)&gt;1,"Buchung-ID doppelt",IF(OR(NOT(ISNUMBER(B1500)),C1500="",NOT(ISNUMBER(F1500)),H1500="",L1500=""),"Pflichtangaben fehlen",IF(COUNTIFS('Konten'!$A$7:$A$26,C1500)&lt;&gt;1,"Konto nicht eindeutig",IF(J1500&lt;&gt;"Ja","Zuordnung bestätigen",IF(OR(AND(H1500="Einnahme",F1500&lt;0),AND(H1500="Ausgabe",F1500&gt;0)),"Vorzeichen prüfen",IF(AND(H1500="Umbuchung",OR(K1500="",COUNTIFS($A$7:$A$1506,K1500)&lt;&gt;1)),"Gegenbuchung fehlt",IF(AND(H1500="Umbuchung",ROUND(SUMIFS($F$7:$F$1506,$A$7:$A$1506,K1500)+F1500,2)&lt;&gt;0),"Umbuchung abweichend",IF(OR(G1500="",M1500="",M1500="offen",M1500="teilbelegt",H1500="Ungeklärt",H1500="Bargeld"),"Beleg / Verwendung klären","vollständig erfasst")))))))))</x:f>
      </x:c>
    </x:row>
    <x:row r="1501" ht="22" customHeight="1">
      <x:c r="A1501" s="7"/>
      <x:c r="B1501" s="8"/>
      <x:c r="C1501" s="7"/>
      <x:c r="D1501" s="7"/>
      <x:c r="E1501" s="7"/>
      <x:c r="F1501" s="20"/>
      <x:c r="G1501" s="7"/>
      <x:c r="H1501" s="7"/>
      <x:c r="I1501" s="7"/>
      <x:c r="J1501" s="7"/>
      <x:c r="K1501" s="7"/>
      <x:c r="L1501" s="7"/>
      <x:c r="M1501" s="7"/>
      <x:c r="N1501" s="7"/>
      <x:c r="O1501" s="2" t="str">
        <x:f>IF(A1501="","",IF(COUNTIFS($A$7:$A$1506,A1501)&gt;1,"Buchung-ID doppelt",IF(OR(NOT(ISNUMBER(B1501)),C1501="",NOT(ISNUMBER(F1501)),H1501="",L1501=""),"Pflichtangaben fehlen",IF(COUNTIFS('Konten'!$A$7:$A$26,C1501)&lt;&gt;1,"Konto nicht eindeutig",IF(J1501&lt;&gt;"Ja","Zuordnung bestätigen",IF(OR(AND(H1501="Einnahme",F1501&lt;0),AND(H1501="Ausgabe",F1501&gt;0)),"Vorzeichen prüfen",IF(AND(H1501="Umbuchung",OR(K1501="",COUNTIFS($A$7:$A$1506,K1501)&lt;&gt;1)),"Gegenbuchung fehlt",IF(AND(H1501="Umbuchung",ROUND(SUMIFS($F$7:$F$1506,$A$7:$A$1506,K1501)+F1501,2)&lt;&gt;0),"Umbuchung abweichend",IF(OR(G1501="",M1501="",M1501="offen",M1501="teilbelegt",H1501="Ungeklärt",H1501="Bargeld"),"Beleg / Verwendung klären","vollständig erfasst")))))))))</x:f>
      </x:c>
    </x:row>
    <x:row r="1502" ht="22" customHeight="1">
      <x:c r="A1502" s="7"/>
      <x:c r="B1502" s="8"/>
      <x:c r="C1502" s="7"/>
      <x:c r="D1502" s="7"/>
      <x:c r="E1502" s="7"/>
      <x:c r="F1502" s="20"/>
      <x:c r="G1502" s="7"/>
      <x:c r="H1502" s="7"/>
      <x:c r="I1502" s="7"/>
      <x:c r="J1502" s="7"/>
      <x:c r="K1502" s="7"/>
      <x:c r="L1502" s="7"/>
      <x:c r="M1502" s="7"/>
      <x:c r="N1502" s="7"/>
      <x:c r="O1502" s="2" t="str">
        <x:f>IF(A1502="","",IF(COUNTIFS($A$7:$A$1506,A1502)&gt;1,"Buchung-ID doppelt",IF(OR(NOT(ISNUMBER(B1502)),C1502="",NOT(ISNUMBER(F1502)),H1502="",L1502=""),"Pflichtangaben fehlen",IF(COUNTIFS('Konten'!$A$7:$A$26,C1502)&lt;&gt;1,"Konto nicht eindeutig",IF(J1502&lt;&gt;"Ja","Zuordnung bestätigen",IF(OR(AND(H1502="Einnahme",F1502&lt;0),AND(H1502="Ausgabe",F1502&gt;0)),"Vorzeichen prüfen",IF(AND(H1502="Umbuchung",OR(K1502="",COUNTIFS($A$7:$A$1506,K1502)&lt;&gt;1)),"Gegenbuchung fehlt",IF(AND(H1502="Umbuchung",ROUND(SUMIFS($F$7:$F$1506,$A$7:$A$1506,K1502)+F1502,2)&lt;&gt;0),"Umbuchung abweichend",IF(OR(G1502="",M1502="",M1502="offen",M1502="teilbelegt",H1502="Ungeklärt",H1502="Bargeld"),"Beleg / Verwendung klären","vollständig erfasst")))))))))</x:f>
      </x:c>
    </x:row>
    <x:row r="1503" ht="22" customHeight="1">
      <x:c r="A1503" s="7"/>
      <x:c r="B1503" s="8"/>
      <x:c r="C1503" s="7"/>
      <x:c r="D1503" s="7"/>
      <x:c r="E1503" s="7"/>
      <x:c r="F1503" s="20"/>
      <x:c r="G1503" s="7"/>
      <x:c r="H1503" s="7"/>
      <x:c r="I1503" s="7"/>
      <x:c r="J1503" s="7"/>
      <x:c r="K1503" s="7"/>
      <x:c r="L1503" s="7"/>
      <x:c r="M1503" s="7"/>
      <x:c r="N1503" s="7"/>
      <x:c r="O1503" s="2" t="str">
        <x:f>IF(A1503="","",IF(COUNTIFS($A$7:$A$1506,A1503)&gt;1,"Buchung-ID doppelt",IF(OR(NOT(ISNUMBER(B1503)),C1503="",NOT(ISNUMBER(F1503)),H1503="",L1503=""),"Pflichtangaben fehlen",IF(COUNTIFS('Konten'!$A$7:$A$26,C1503)&lt;&gt;1,"Konto nicht eindeutig",IF(J1503&lt;&gt;"Ja","Zuordnung bestätigen",IF(OR(AND(H1503="Einnahme",F1503&lt;0),AND(H1503="Ausgabe",F1503&gt;0)),"Vorzeichen prüfen",IF(AND(H1503="Umbuchung",OR(K1503="",COUNTIFS($A$7:$A$1506,K1503)&lt;&gt;1)),"Gegenbuchung fehlt",IF(AND(H1503="Umbuchung",ROUND(SUMIFS($F$7:$F$1506,$A$7:$A$1506,K1503)+F1503,2)&lt;&gt;0),"Umbuchung abweichend",IF(OR(G1503="",M1503="",M1503="offen",M1503="teilbelegt",H1503="Ungeklärt",H1503="Bargeld"),"Beleg / Verwendung klären","vollständig erfasst")))))))))</x:f>
      </x:c>
    </x:row>
    <x:row r="1504" ht="22" customHeight="1">
      <x:c r="A1504" s="7"/>
      <x:c r="B1504" s="8"/>
      <x:c r="C1504" s="7"/>
      <x:c r="D1504" s="7"/>
      <x:c r="E1504" s="7"/>
      <x:c r="F1504" s="20"/>
      <x:c r="G1504" s="7"/>
      <x:c r="H1504" s="7"/>
      <x:c r="I1504" s="7"/>
      <x:c r="J1504" s="7"/>
      <x:c r="K1504" s="7"/>
      <x:c r="L1504" s="7"/>
      <x:c r="M1504" s="7"/>
      <x:c r="N1504" s="7"/>
      <x:c r="O1504" s="2" t="str">
        <x:f>IF(A1504="","",IF(COUNTIFS($A$7:$A$1506,A1504)&gt;1,"Buchung-ID doppelt",IF(OR(NOT(ISNUMBER(B1504)),C1504="",NOT(ISNUMBER(F1504)),H1504="",L1504=""),"Pflichtangaben fehlen",IF(COUNTIFS('Konten'!$A$7:$A$26,C1504)&lt;&gt;1,"Konto nicht eindeutig",IF(J1504&lt;&gt;"Ja","Zuordnung bestätigen",IF(OR(AND(H1504="Einnahme",F1504&lt;0),AND(H1504="Ausgabe",F1504&gt;0)),"Vorzeichen prüfen",IF(AND(H1504="Umbuchung",OR(K1504="",COUNTIFS($A$7:$A$1506,K1504)&lt;&gt;1)),"Gegenbuchung fehlt",IF(AND(H1504="Umbuchung",ROUND(SUMIFS($F$7:$F$1506,$A$7:$A$1506,K1504)+F1504,2)&lt;&gt;0),"Umbuchung abweichend",IF(OR(G1504="",M1504="",M1504="offen",M1504="teilbelegt",H1504="Ungeklärt",H1504="Bargeld"),"Beleg / Verwendung klären","vollständig erfasst")))))))))</x:f>
      </x:c>
    </x:row>
    <x:row r="1505" ht="22" customHeight="1">
      <x:c r="A1505" s="7"/>
      <x:c r="B1505" s="8"/>
      <x:c r="C1505" s="7"/>
      <x:c r="D1505" s="7"/>
      <x:c r="E1505" s="7"/>
      <x:c r="F1505" s="20"/>
      <x:c r="G1505" s="7"/>
      <x:c r="H1505" s="7"/>
      <x:c r="I1505" s="7"/>
      <x:c r="J1505" s="7"/>
      <x:c r="K1505" s="7"/>
      <x:c r="L1505" s="7"/>
      <x:c r="M1505" s="7"/>
      <x:c r="N1505" s="7"/>
      <x:c r="O1505" s="2" t="str">
        <x:f>IF(A1505="","",IF(COUNTIFS($A$7:$A$1506,A1505)&gt;1,"Buchung-ID doppelt",IF(OR(NOT(ISNUMBER(B1505)),C1505="",NOT(ISNUMBER(F1505)),H1505="",L1505=""),"Pflichtangaben fehlen",IF(COUNTIFS('Konten'!$A$7:$A$26,C1505)&lt;&gt;1,"Konto nicht eindeutig",IF(J1505&lt;&gt;"Ja","Zuordnung bestätigen",IF(OR(AND(H1505="Einnahme",F1505&lt;0),AND(H1505="Ausgabe",F1505&gt;0)),"Vorzeichen prüfen",IF(AND(H1505="Umbuchung",OR(K1505="",COUNTIFS($A$7:$A$1506,K1505)&lt;&gt;1)),"Gegenbuchung fehlt",IF(AND(H1505="Umbuchung",ROUND(SUMIFS($F$7:$F$1506,$A$7:$A$1506,K1505)+F1505,2)&lt;&gt;0),"Umbuchung abweichend",IF(OR(G1505="",M1505="",M1505="offen",M1505="teilbelegt",H1505="Ungeklärt",H1505="Bargeld"),"Beleg / Verwendung klären","vollständig erfasst")))))))))</x:f>
      </x:c>
    </x:row>
    <x:row r="1506" ht="22" customHeight="1">
      <x:c r="A1506" s="7"/>
      <x:c r="B1506" s="8"/>
      <x:c r="C1506" s="7"/>
      <x:c r="D1506" s="7"/>
      <x:c r="E1506" s="7"/>
      <x:c r="F1506" s="20"/>
      <x:c r="G1506" s="7"/>
      <x:c r="H1506" s="7"/>
      <x:c r="I1506" s="7"/>
      <x:c r="J1506" s="7"/>
      <x:c r="K1506" s="7"/>
      <x:c r="L1506" s="7"/>
      <x:c r="M1506" s="7"/>
      <x:c r="N1506" s="7"/>
      <x:c r="O1506" s="2" t="str">
        <x:f>IF(A1506="","",IF(COUNTIFS($A$7:$A$1506,A1506)&gt;1,"Buchung-ID doppelt",IF(OR(NOT(ISNUMBER(B1506)),C1506="",NOT(ISNUMBER(F1506)),H1506="",L1506=""),"Pflichtangaben fehlen",IF(COUNTIFS('Konten'!$A$7:$A$26,C1506)&lt;&gt;1,"Konto nicht eindeutig",IF(J1506&lt;&gt;"Ja","Zuordnung bestätigen",IF(OR(AND(H1506="Einnahme",F1506&lt;0),AND(H1506="Ausgabe",F1506&gt;0)),"Vorzeichen prüfen",IF(AND(H1506="Umbuchung",OR(K1506="",COUNTIFS($A$7:$A$1506,K1506)&lt;&gt;1)),"Gegenbuchung fehlt",IF(AND(H1506="Umbuchung",ROUND(SUMIFS($F$7:$F$1506,$A$7:$A$1506,K1506)+F1506,2)&lt;&gt;0),"Umbuchung abweichend",IF(OR(G1506="",M1506="",M1506="offen",M1506="teilbelegt",H1506="Ungeklärt",H1506="Bargeld"),"Beleg / Verwendung klären","vollständig erfasst")))))))))</x:f>
      </x:c>
    </x:row>
  </x:sheetData>
  <x:conditionalFormatting sqref="O7:O1506">
    <x:cfRule type="containsText" dxfId="2" priority="1" operator="containsText" text="fehlt"/>
    <x:cfRule type="containsText" dxfId="3" priority="2" operator="containsText" text="klären"/>
  </x:conditionalFormatting>
  <x:dataValidations count="3">
    <x:dataValidation type="list" sqref="H7:H1506">
      <x:formula1>"Einnahme,Ausgabe,Erstattung,Umbuchung,Bargeld,Ungeklärt"</x:formula1>
    </x:dataValidation>
    <x:dataValidation type="list" sqref="J7:J1506">
      <x:formula1>"Ja,Nein"</x:formula1>
    </x:dataValidation>
    <x:dataValidation type="list" sqref="M7:M1506">
      <x:formula1>"belegt,teilbelegt,offen"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8c63ef25f94f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17" hidden="0" customWidth="1"/>
    <x:col min="3" max="3" width="29" hidden="0" customWidth="1"/>
    <x:col min="4" max="4" width="22" hidden="0" customWidth="1"/>
    <x:col min="5" max="5" width="45" hidden="0" customWidth="1"/>
    <x:col min="6" max="6" width="34" hidden="0" customWidth="1"/>
    <x:col min="7" max="7" width="23" hidden="0" customWidth="1"/>
    <x:col min="8" max="8" width="5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Belegregister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5" t="str">
        <x:v>Ein Beleg kann mehreren Buchungen zugeordnet sein; Betrag nicht erneut als Zahlung buchen.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18" t="str">
        <x:v>Beleg-ID</x:v>
      </x:c>
      <x:c r="B6" s="18" t="str">
        <x:v>Belegdatum</x:v>
      </x:c>
      <x:c r="C6" s="18" t="str">
        <x:v>Aussteller</x:v>
      </x:c>
      <x:c r="D6" s="18" t="str">
        <x:v>Belegbetrag EUR</x:v>
      </x:c>
      <x:c r="E6" s="18" t="str">
        <x:v>Datei / Seite</x:v>
      </x:c>
      <x:c r="F6" s="18" t="str">
        <x:v>Buchung-ID(s)</x:v>
      </x:c>
      <x:c r="G6" s="18" t="str">
        <x:v>Nachweisumfang</x:v>
      </x:c>
      <x:c r="H6" s="18" t="str">
        <x:v>Fehlende Angaben</x:v>
      </x:c>
    </x:row>
    <x:row r="7" ht="22" customHeight="1">
      <x:c r="A7" s="7"/>
      <x:c r="B7" s="8"/>
      <x:c r="C7" s="7"/>
      <x:c r="D7" s="20"/>
      <x:c r="E7" s="7"/>
      <x:c r="F7" s="7"/>
      <x:c r="G7" s="7"/>
      <x:c r="H7" s="7"/>
    </x:row>
    <x:row r="8" ht="22" customHeight="1">
      <x:c r="A8" s="7"/>
      <x:c r="B8" s="8"/>
      <x:c r="C8" s="7"/>
      <x:c r="D8" s="20"/>
      <x:c r="E8" s="7"/>
      <x:c r="F8" s="7"/>
      <x:c r="G8" s="7"/>
      <x:c r="H8" s="7"/>
    </x:row>
    <x:row r="9" ht="22" customHeight="1">
      <x:c r="A9" s="7"/>
      <x:c r="B9" s="8"/>
      <x:c r="C9" s="7"/>
      <x:c r="D9" s="20"/>
      <x:c r="E9" s="7"/>
      <x:c r="F9" s="7"/>
      <x:c r="G9" s="7"/>
      <x:c r="H9" s="7"/>
    </x:row>
    <x:row r="10" ht="22" customHeight="1">
      <x:c r="A10" s="7"/>
      <x:c r="B10" s="8"/>
      <x:c r="C10" s="7"/>
      <x:c r="D10" s="20"/>
      <x:c r="E10" s="7"/>
      <x:c r="F10" s="7"/>
      <x:c r="G10" s="7"/>
      <x:c r="H10" s="7"/>
    </x:row>
    <x:row r="11" ht="22" customHeight="1">
      <x:c r="A11" s="7"/>
      <x:c r="B11" s="8"/>
      <x:c r="C11" s="7"/>
      <x:c r="D11" s="20"/>
      <x:c r="E11" s="7"/>
      <x:c r="F11" s="7"/>
      <x:c r="G11" s="7"/>
      <x:c r="H11" s="7"/>
    </x:row>
    <x:row r="12" ht="22" customHeight="1">
      <x:c r="A12" s="7"/>
      <x:c r="B12" s="8"/>
      <x:c r="C12" s="7"/>
      <x:c r="D12" s="20"/>
      <x:c r="E12" s="7"/>
      <x:c r="F12" s="7"/>
      <x:c r="G12" s="7"/>
      <x:c r="H12" s="7"/>
    </x:row>
    <x:row r="13" ht="22" customHeight="1">
      <x:c r="A13" s="7"/>
      <x:c r="B13" s="8"/>
      <x:c r="C13" s="7"/>
      <x:c r="D13" s="20"/>
      <x:c r="E13" s="7"/>
      <x:c r="F13" s="7"/>
      <x:c r="G13" s="7"/>
      <x:c r="H13" s="7"/>
    </x:row>
    <x:row r="14" ht="22" customHeight="1">
      <x:c r="A14" s="7"/>
      <x:c r="B14" s="8"/>
      <x:c r="C14" s="7"/>
      <x:c r="D14" s="20"/>
      <x:c r="E14" s="7"/>
      <x:c r="F14" s="7"/>
      <x:c r="G14" s="7"/>
      <x:c r="H14" s="7"/>
    </x:row>
    <x:row r="15" ht="22" customHeight="1">
      <x:c r="A15" s="7"/>
      <x:c r="B15" s="8"/>
      <x:c r="C15" s="7"/>
      <x:c r="D15" s="20"/>
      <x:c r="E15" s="7"/>
      <x:c r="F15" s="7"/>
      <x:c r="G15" s="7"/>
      <x:c r="H15" s="7"/>
    </x:row>
    <x:row r="16" ht="22" customHeight="1">
      <x:c r="A16" s="7"/>
      <x:c r="B16" s="8"/>
      <x:c r="C16" s="7"/>
      <x:c r="D16" s="20"/>
      <x:c r="E16" s="7"/>
      <x:c r="F16" s="7"/>
      <x:c r="G16" s="7"/>
      <x:c r="H16" s="7"/>
    </x:row>
    <x:row r="17" ht="22" customHeight="1">
      <x:c r="A17" s="7"/>
      <x:c r="B17" s="8"/>
      <x:c r="C17" s="7"/>
      <x:c r="D17" s="20"/>
      <x:c r="E17" s="7"/>
      <x:c r="F17" s="7"/>
      <x:c r="G17" s="7"/>
      <x:c r="H17" s="7"/>
    </x:row>
    <x:row r="18" ht="22" customHeight="1">
      <x:c r="A18" s="7"/>
      <x:c r="B18" s="8"/>
      <x:c r="C18" s="7"/>
      <x:c r="D18" s="20"/>
      <x:c r="E18" s="7"/>
      <x:c r="F18" s="7"/>
      <x:c r="G18" s="7"/>
      <x:c r="H18" s="7"/>
    </x:row>
    <x:row r="19" ht="22" customHeight="1">
      <x:c r="A19" s="7"/>
      <x:c r="B19" s="8"/>
      <x:c r="C19" s="7"/>
      <x:c r="D19" s="20"/>
      <x:c r="E19" s="7"/>
      <x:c r="F19" s="7"/>
      <x:c r="G19" s="7"/>
      <x:c r="H19" s="7"/>
    </x:row>
    <x:row r="20" ht="22" customHeight="1">
      <x:c r="A20" s="7"/>
      <x:c r="B20" s="8"/>
      <x:c r="C20" s="7"/>
      <x:c r="D20" s="20"/>
      <x:c r="E20" s="7"/>
      <x:c r="F20" s="7"/>
      <x:c r="G20" s="7"/>
      <x:c r="H20" s="7"/>
    </x:row>
    <x:row r="21" ht="22" customHeight="1">
      <x:c r="A21" s="7"/>
      <x:c r="B21" s="8"/>
      <x:c r="C21" s="7"/>
      <x:c r="D21" s="20"/>
      <x:c r="E21" s="7"/>
      <x:c r="F21" s="7"/>
      <x:c r="G21" s="7"/>
      <x:c r="H21" s="7"/>
    </x:row>
    <x:row r="22" ht="22" customHeight="1">
      <x:c r="A22" s="7"/>
      <x:c r="B22" s="8"/>
      <x:c r="C22" s="7"/>
      <x:c r="D22" s="20"/>
      <x:c r="E22" s="7"/>
      <x:c r="F22" s="7"/>
      <x:c r="G22" s="7"/>
      <x:c r="H22" s="7"/>
    </x:row>
    <x:row r="23" ht="22" customHeight="1">
      <x:c r="A23" s="7"/>
      <x:c r="B23" s="8"/>
      <x:c r="C23" s="7"/>
      <x:c r="D23" s="20"/>
      <x:c r="E23" s="7"/>
      <x:c r="F23" s="7"/>
      <x:c r="G23" s="7"/>
      <x:c r="H23" s="7"/>
    </x:row>
    <x:row r="24" ht="22" customHeight="1">
      <x:c r="A24" s="7"/>
      <x:c r="B24" s="8"/>
      <x:c r="C24" s="7"/>
      <x:c r="D24" s="20"/>
      <x:c r="E24" s="7"/>
      <x:c r="F24" s="7"/>
      <x:c r="G24" s="7"/>
      <x:c r="H24" s="7"/>
    </x:row>
    <x:row r="25" ht="22" customHeight="1">
      <x:c r="A25" s="7"/>
      <x:c r="B25" s="8"/>
      <x:c r="C25" s="7"/>
      <x:c r="D25" s="20"/>
      <x:c r="E25" s="7"/>
      <x:c r="F25" s="7"/>
      <x:c r="G25" s="7"/>
      <x:c r="H25" s="7"/>
    </x:row>
    <x:row r="26" ht="22" customHeight="1">
      <x:c r="A26" s="7"/>
      <x:c r="B26" s="8"/>
      <x:c r="C26" s="7"/>
      <x:c r="D26" s="20"/>
      <x:c r="E26" s="7"/>
      <x:c r="F26" s="7"/>
      <x:c r="G26" s="7"/>
      <x:c r="H26" s="7"/>
    </x:row>
    <x:row r="27" ht="22" customHeight="1">
      <x:c r="A27" s="7"/>
      <x:c r="B27" s="8"/>
      <x:c r="C27" s="7"/>
      <x:c r="D27" s="20"/>
      <x:c r="E27" s="7"/>
      <x:c r="F27" s="7"/>
      <x:c r="G27" s="7"/>
      <x:c r="H27" s="7"/>
    </x:row>
    <x:row r="28" ht="22" customHeight="1">
      <x:c r="A28" s="7"/>
      <x:c r="B28" s="8"/>
      <x:c r="C28" s="7"/>
      <x:c r="D28" s="20"/>
      <x:c r="E28" s="7"/>
      <x:c r="F28" s="7"/>
      <x:c r="G28" s="7"/>
      <x:c r="H28" s="7"/>
    </x:row>
    <x:row r="29" ht="22" customHeight="1">
      <x:c r="A29" s="7"/>
      <x:c r="B29" s="8"/>
      <x:c r="C29" s="7"/>
      <x:c r="D29" s="20"/>
      <x:c r="E29" s="7"/>
      <x:c r="F29" s="7"/>
      <x:c r="G29" s="7"/>
      <x:c r="H29" s="7"/>
    </x:row>
    <x:row r="30" ht="22" customHeight="1">
      <x:c r="A30" s="7"/>
      <x:c r="B30" s="8"/>
      <x:c r="C30" s="7"/>
      <x:c r="D30" s="20"/>
      <x:c r="E30" s="7"/>
      <x:c r="F30" s="7"/>
      <x:c r="G30" s="7"/>
      <x:c r="H30" s="7"/>
    </x:row>
    <x:row r="31" ht="22" customHeight="1">
      <x:c r="A31" s="7"/>
      <x:c r="B31" s="8"/>
      <x:c r="C31" s="7"/>
      <x:c r="D31" s="20"/>
      <x:c r="E31" s="7"/>
      <x:c r="F31" s="7"/>
      <x:c r="G31" s="7"/>
      <x:c r="H31" s="7"/>
    </x:row>
    <x:row r="32" ht="22" customHeight="1">
      <x:c r="A32" s="7"/>
      <x:c r="B32" s="8"/>
      <x:c r="C32" s="7"/>
      <x:c r="D32" s="20"/>
      <x:c r="E32" s="7"/>
      <x:c r="F32" s="7"/>
      <x:c r="G32" s="7"/>
      <x:c r="H32" s="7"/>
    </x:row>
    <x:row r="33" ht="22" customHeight="1">
      <x:c r="A33" s="7"/>
      <x:c r="B33" s="8"/>
      <x:c r="C33" s="7"/>
      <x:c r="D33" s="20"/>
      <x:c r="E33" s="7"/>
      <x:c r="F33" s="7"/>
      <x:c r="G33" s="7"/>
      <x:c r="H33" s="7"/>
    </x:row>
    <x:row r="34" ht="22" customHeight="1">
      <x:c r="A34" s="7"/>
      <x:c r="B34" s="8"/>
      <x:c r="C34" s="7"/>
      <x:c r="D34" s="20"/>
      <x:c r="E34" s="7"/>
      <x:c r="F34" s="7"/>
      <x:c r="G34" s="7"/>
      <x:c r="H34" s="7"/>
    </x:row>
    <x:row r="35" ht="22" customHeight="1">
      <x:c r="A35" s="7"/>
      <x:c r="B35" s="8"/>
      <x:c r="C35" s="7"/>
      <x:c r="D35" s="20"/>
      <x:c r="E35" s="7"/>
      <x:c r="F35" s="7"/>
      <x:c r="G35" s="7"/>
      <x:c r="H35" s="7"/>
    </x:row>
    <x:row r="36" ht="22" customHeight="1">
      <x:c r="A36" s="7"/>
      <x:c r="B36" s="8"/>
      <x:c r="C36" s="7"/>
      <x:c r="D36" s="20"/>
      <x:c r="E36" s="7"/>
      <x:c r="F36" s="7"/>
      <x:c r="G36" s="7"/>
      <x:c r="H36" s="7"/>
    </x:row>
    <x:row r="37" ht="22" customHeight="1">
      <x:c r="A37" s="7"/>
      <x:c r="B37" s="8"/>
      <x:c r="C37" s="7"/>
      <x:c r="D37" s="20"/>
      <x:c r="E37" s="7"/>
      <x:c r="F37" s="7"/>
      <x:c r="G37" s="7"/>
      <x:c r="H37" s="7"/>
    </x:row>
    <x:row r="38" ht="22" customHeight="1">
      <x:c r="A38" s="7"/>
      <x:c r="B38" s="8"/>
      <x:c r="C38" s="7"/>
      <x:c r="D38" s="20"/>
      <x:c r="E38" s="7"/>
      <x:c r="F38" s="7"/>
      <x:c r="G38" s="7"/>
      <x:c r="H38" s="7"/>
    </x:row>
    <x:row r="39" ht="22" customHeight="1">
      <x:c r="A39" s="7"/>
      <x:c r="B39" s="8"/>
      <x:c r="C39" s="7"/>
      <x:c r="D39" s="20"/>
      <x:c r="E39" s="7"/>
      <x:c r="F39" s="7"/>
      <x:c r="G39" s="7"/>
      <x:c r="H39" s="7"/>
    </x:row>
    <x:row r="40" ht="22" customHeight="1">
      <x:c r="A40" s="7"/>
      <x:c r="B40" s="8"/>
      <x:c r="C40" s="7"/>
      <x:c r="D40" s="20"/>
      <x:c r="E40" s="7"/>
      <x:c r="F40" s="7"/>
      <x:c r="G40" s="7"/>
      <x:c r="H40" s="7"/>
    </x:row>
    <x:row r="41" ht="22" customHeight="1">
      <x:c r="A41" s="7"/>
      <x:c r="B41" s="8"/>
      <x:c r="C41" s="7"/>
      <x:c r="D41" s="20"/>
      <x:c r="E41" s="7"/>
      <x:c r="F41" s="7"/>
      <x:c r="G41" s="7"/>
      <x:c r="H41" s="7"/>
    </x:row>
    <x:row r="42" ht="22" customHeight="1">
      <x:c r="A42" s="7"/>
      <x:c r="B42" s="8"/>
      <x:c r="C42" s="7"/>
      <x:c r="D42" s="20"/>
      <x:c r="E42" s="7"/>
      <x:c r="F42" s="7"/>
      <x:c r="G42" s="7"/>
      <x:c r="H42" s="7"/>
    </x:row>
    <x:row r="43" ht="22" customHeight="1">
      <x:c r="A43" s="7"/>
      <x:c r="B43" s="8"/>
      <x:c r="C43" s="7"/>
      <x:c r="D43" s="20"/>
      <x:c r="E43" s="7"/>
      <x:c r="F43" s="7"/>
      <x:c r="G43" s="7"/>
      <x:c r="H43" s="7"/>
    </x:row>
    <x:row r="44" ht="22" customHeight="1">
      <x:c r="A44" s="7"/>
      <x:c r="B44" s="8"/>
      <x:c r="C44" s="7"/>
      <x:c r="D44" s="20"/>
      <x:c r="E44" s="7"/>
      <x:c r="F44" s="7"/>
      <x:c r="G44" s="7"/>
      <x:c r="H44" s="7"/>
    </x:row>
    <x:row r="45" ht="22" customHeight="1">
      <x:c r="A45" s="7"/>
      <x:c r="B45" s="8"/>
      <x:c r="C45" s="7"/>
      <x:c r="D45" s="20"/>
      <x:c r="E45" s="7"/>
      <x:c r="F45" s="7"/>
      <x:c r="G45" s="7"/>
      <x:c r="H45" s="7"/>
    </x:row>
    <x:row r="46" ht="22" customHeight="1">
      <x:c r="A46" s="7"/>
      <x:c r="B46" s="8"/>
      <x:c r="C46" s="7"/>
      <x:c r="D46" s="20"/>
      <x:c r="E46" s="7"/>
      <x:c r="F46" s="7"/>
      <x:c r="G46" s="7"/>
      <x:c r="H46" s="7"/>
    </x:row>
    <x:row r="47" ht="22" customHeight="1">
      <x:c r="A47" s="7"/>
      <x:c r="B47" s="8"/>
      <x:c r="C47" s="7"/>
      <x:c r="D47" s="20"/>
      <x:c r="E47" s="7"/>
      <x:c r="F47" s="7"/>
      <x:c r="G47" s="7"/>
      <x:c r="H47" s="7"/>
    </x:row>
    <x:row r="48" ht="22" customHeight="1">
      <x:c r="A48" s="7"/>
      <x:c r="B48" s="8"/>
      <x:c r="C48" s="7"/>
      <x:c r="D48" s="20"/>
      <x:c r="E48" s="7"/>
      <x:c r="F48" s="7"/>
      <x:c r="G48" s="7"/>
      <x:c r="H48" s="7"/>
    </x:row>
    <x:row r="49" ht="22" customHeight="1">
      <x:c r="A49" s="7"/>
      <x:c r="B49" s="8"/>
      <x:c r="C49" s="7"/>
      <x:c r="D49" s="20"/>
      <x:c r="E49" s="7"/>
      <x:c r="F49" s="7"/>
      <x:c r="G49" s="7"/>
      <x:c r="H49" s="7"/>
    </x:row>
    <x:row r="50" ht="22" customHeight="1">
      <x:c r="A50" s="7"/>
      <x:c r="B50" s="8"/>
      <x:c r="C50" s="7"/>
      <x:c r="D50" s="20"/>
      <x:c r="E50" s="7"/>
      <x:c r="F50" s="7"/>
      <x:c r="G50" s="7"/>
      <x:c r="H50" s="7"/>
    </x:row>
    <x:row r="51" ht="22" customHeight="1">
      <x:c r="A51" s="7"/>
      <x:c r="B51" s="8"/>
      <x:c r="C51" s="7"/>
      <x:c r="D51" s="20"/>
      <x:c r="E51" s="7"/>
      <x:c r="F51" s="7"/>
      <x:c r="G51" s="7"/>
      <x:c r="H51" s="7"/>
    </x:row>
    <x:row r="52" ht="22" customHeight="1">
      <x:c r="A52" s="7"/>
      <x:c r="B52" s="8"/>
      <x:c r="C52" s="7"/>
      <x:c r="D52" s="20"/>
      <x:c r="E52" s="7"/>
      <x:c r="F52" s="7"/>
      <x:c r="G52" s="7"/>
      <x:c r="H52" s="7"/>
    </x:row>
    <x:row r="53" ht="22" customHeight="1">
      <x:c r="A53" s="7"/>
      <x:c r="B53" s="8"/>
      <x:c r="C53" s="7"/>
      <x:c r="D53" s="20"/>
      <x:c r="E53" s="7"/>
      <x:c r="F53" s="7"/>
      <x:c r="G53" s="7"/>
      <x:c r="H53" s="7"/>
    </x:row>
    <x:row r="54" ht="22" customHeight="1">
      <x:c r="A54" s="7"/>
      <x:c r="B54" s="8"/>
      <x:c r="C54" s="7"/>
      <x:c r="D54" s="20"/>
      <x:c r="E54" s="7"/>
      <x:c r="F54" s="7"/>
      <x:c r="G54" s="7"/>
      <x:c r="H54" s="7"/>
    </x:row>
    <x:row r="55" ht="22" customHeight="1">
      <x:c r="A55" s="7"/>
      <x:c r="B55" s="8"/>
      <x:c r="C55" s="7"/>
      <x:c r="D55" s="20"/>
      <x:c r="E55" s="7"/>
      <x:c r="F55" s="7"/>
      <x:c r="G55" s="7"/>
      <x:c r="H55" s="7"/>
    </x:row>
    <x:row r="56" ht="22" customHeight="1">
      <x:c r="A56" s="7"/>
      <x:c r="B56" s="8"/>
      <x:c r="C56" s="7"/>
      <x:c r="D56" s="20"/>
      <x:c r="E56" s="7"/>
      <x:c r="F56" s="7"/>
      <x:c r="G56" s="7"/>
      <x:c r="H56" s="7"/>
    </x:row>
    <x:row r="57" ht="22" customHeight="1">
      <x:c r="A57" s="7"/>
      <x:c r="B57" s="8"/>
      <x:c r="C57" s="7"/>
      <x:c r="D57" s="20"/>
      <x:c r="E57" s="7"/>
      <x:c r="F57" s="7"/>
      <x:c r="G57" s="7"/>
      <x:c r="H57" s="7"/>
    </x:row>
    <x:row r="58" ht="22" customHeight="1">
      <x:c r="A58" s="7"/>
      <x:c r="B58" s="8"/>
      <x:c r="C58" s="7"/>
      <x:c r="D58" s="20"/>
      <x:c r="E58" s="7"/>
      <x:c r="F58" s="7"/>
      <x:c r="G58" s="7"/>
      <x:c r="H58" s="7"/>
    </x:row>
    <x:row r="59" ht="22" customHeight="1">
      <x:c r="A59" s="7"/>
      <x:c r="B59" s="8"/>
      <x:c r="C59" s="7"/>
      <x:c r="D59" s="20"/>
      <x:c r="E59" s="7"/>
      <x:c r="F59" s="7"/>
      <x:c r="G59" s="7"/>
      <x:c r="H59" s="7"/>
    </x:row>
    <x:row r="60" ht="22" customHeight="1">
      <x:c r="A60" s="7"/>
      <x:c r="B60" s="8"/>
      <x:c r="C60" s="7"/>
      <x:c r="D60" s="20"/>
      <x:c r="E60" s="7"/>
      <x:c r="F60" s="7"/>
      <x:c r="G60" s="7"/>
      <x:c r="H60" s="7"/>
    </x:row>
    <x:row r="61" ht="22" customHeight="1">
      <x:c r="A61" s="7"/>
      <x:c r="B61" s="8"/>
      <x:c r="C61" s="7"/>
      <x:c r="D61" s="20"/>
      <x:c r="E61" s="7"/>
      <x:c r="F61" s="7"/>
      <x:c r="G61" s="7"/>
      <x:c r="H61" s="7"/>
    </x:row>
    <x:row r="62" ht="22" customHeight="1">
      <x:c r="A62" s="7"/>
      <x:c r="B62" s="8"/>
      <x:c r="C62" s="7"/>
      <x:c r="D62" s="20"/>
      <x:c r="E62" s="7"/>
      <x:c r="F62" s="7"/>
      <x:c r="G62" s="7"/>
      <x:c r="H62" s="7"/>
    </x:row>
    <x:row r="63" ht="22" customHeight="1">
      <x:c r="A63" s="7"/>
      <x:c r="B63" s="8"/>
      <x:c r="C63" s="7"/>
      <x:c r="D63" s="20"/>
      <x:c r="E63" s="7"/>
      <x:c r="F63" s="7"/>
      <x:c r="G63" s="7"/>
      <x:c r="H63" s="7"/>
    </x:row>
    <x:row r="64" ht="22" customHeight="1">
      <x:c r="A64" s="7"/>
      <x:c r="B64" s="8"/>
      <x:c r="C64" s="7"/>
      <x:c r="D64" s="20"/>
      <x:c r="E64" s="7"/>
      <x:c r="F64" s="7"/>
      <x:c r="G64" s="7"/>
      <x:c r="H64" s="7"/>
    </x:row>
    <x:row r="65" ht="22" customHeight="1">
      <x:c r="A65" s="7"/>
      <x:c r="B65" s="8"/>
      <x:c r="C65" s="7"/>
      <x:c r="D65" s="20"/>
      <x:c r="E65" s="7"/>
      <x:c r="F65" s="7"/>
      <x:c r="G65" s="7"/>
      <x:c r="H65" s="7"/>
    </x:row>
    <x:row r="66" ht="22" customHeight="1">
      <x:c r="A66" s="7"/>
      <x:c r="B66" s="8"/>
      <x:c r="C66" s="7"/>
      <x:c r="D66" s="20"/>
      <x:c r="E66" s="7"/>
      <x:c r="F66" s="7"/>
      <x:c r="G66" s="7"/>
      <x:c r="H66" s="7"/>
    </x:row>
    <x:row r="67" ht="22" customHeight="1">
      <x:c r="A67" s="7"/>
      <x:c r="B67" s="8"/>
      <x:c r="C67" s="7"/>
      <x:c r="D67" s="20"/>
      <x:c r="E67" s="7"/>
      <x:c r="F67" s="7"/>
      <x:c r="G67" s="7"/>
      <x:c r="H67" s="7"/>
    </x:row>
    <x:row r="68" ht="22" customHeight="1">
      <x:c r="A68" s="7"/>
      <x:c r="B68" s="8"/>
      <x:c r="C68" s="7"/>
      <x:c r="D68" s="20"/>
      <x:c r="E68" s="7"/>
      <x:c r="F68" s="7"/>
      <x:c r="G68" s="7"/>
      <x:c r="H68" s="7"/>
    </x:row>
    <x:row r="69" ht="22" customHeight="1">
      <x:c r="A69" s="7"/>
      <x:c r="B69" s="8"/>
      <x:c r="C69" s="7"/>
      <x:c r="D69" s="20"/>
      <x:c r="E69" s="7"/>
      <x:c r="F69" s="7"/>
      <x:c r="G69" s="7"/>
      <x:c r="H69" s="7"/>
    </x:row>
    <x:row r="70" ht="22" customHeight="1">
      <x:c r="A70" s="7"/>
      <x:c r="B70" s="8"/>
      <x:c r="C70" s="7"/>
      <x:c r="D70" s="20"/>
      <x:c r="E70" s="7"/>
      <x:c r="F70" s="7"/>
      <x:c r="G70" s="7"/>
      <x:c r="H70" s="7"/>
    </x:row>
    <x:row r="71" ht="22" customHeight="1">
      <x:c r="A71" s="7"/>
      <x:c r="B71" s="8"/>
      <x:c r="C71" s="7"/>
      <x:c r="D71" s="20"/>
      <x:c r="E71" s="7"/>
      <x:c r="F71" s="7"/>
      <x:c r="G71" s="7"/>
      <x:c r="H71" s="7"/>
    </x:row>
    <x:row r="72" ht="22" customHeight="1">
      <x:c r="A72" s="7"/>
      <x:c r="B72" s="8"/>
      <x:c r="C72" s="7"/>
      <x:c r="D72" s="20"/>
      <x:c r="E72" s="7"/>
      <x:c r="F72" s="7"/>
      <x:c r="G72" s="7"/>
      <x:c r="H72" s="7"/>
    </x:row>
    <x:row r="73" ht="22" customHeight="1">
      <x:c r="A73" s="7"/>
      <x:c r="B73" s="8"/>
      <x:c r="C73" s="7"/>
      <x:c r="D73" s="20"/>
      <x:c r="E73" s="7"/>
      <x:c r="F73" s="7"/>
      <x:c r="G73" s="7"/>
      <x:c r="H73" s="7"/>
    </x:row>
    <x:row r="74" ht="22" customHeight="1">
      <x:c r="A74" s="7"/>
      <x:c r="B74" s="8"/>
      <x:c r="C74" s="7"/>
      <x:c r="D74" s="20"/>
      <x:c r="E74" s="7"/>
      <x:c r="F74" s="7"/>
      <x:c r="G74" s="7"/>
      <x:c r="H74" s="7"/>
    </x:row>
    <x:row r="75" ht="22" customHeight="1">
      <x:c r="A75" s="7"/>
      <x:c r="B75" s="8"/>
      <x:c r="C75" s="7"/>
      <x:c r="D75" s="20"/>
      <x:c r="E75" s="7"/>
      <x:c r="F75" s="7"/>
      <x:c r="G75" s="7"/>
      <x:c r="H75" s="7"/>
    </x:row>
    <x:row r="76" ht="22" customHeight="1">
      <x:c r="A76" s="7"/>
      <x:c r="B76" s="8"/>
      <x:c r="C76" s="7"/>
      <x:c r="D76" s="20"/>
      <x:c r="E76" s="7"/>
      <x:c r="F76" s="7"/>
      <x:c r="G76" s="7"/>
      <x:c r="H76" s="7"/>
    </x:row>
    <x:row r="77" ht="22" customHeight="1">
      <x:c r="A77" s="7"/>
      <x:c r="B77" s="8"/>
      <x:c r="C77" s="7"/>
      <x:c r="D77" s="20"/>
      <x:c r="E77" s="7"/>
      <x:c r="F77" s="7"/>
      <x:c r="G77" s="7"/>
      <x:c r="H77" s="7"/>
    </x:row>
    <x:row r="78" ht="22" customHeight="1">
      <x:c r="A78" s="7"/>
      <x:c r="B78" s="8"/>
      <x:c r="C78" s="7"/>
      <x:c r="D78" s="20"/>
      <x:c r="E78" s="7"/>
      <x:c r="F78" s="7"/>
      <x:c r="G78" s="7"/>
      <x:c r="H78" s="7"/>
    </x:row>
    <x:row r="79" ht="22" customHeight="1">
      <x:c r="A79" s="7"/>
      <x:c r="B79" s="8"/>
      <x:c r="C79" s="7"/>
      <x:c r="D79" s="20"/>
      <x:c r="E79" s="7"/>
      <x:c r="F79" s="7"/>
      <x:c r="G79" s="7"/>
      <x:c r="H79" s="7"/>
    </x:row>
    <x:row r="80" ht="22" customHeight="1">
      <x:c r="A80" s="7"/>
      <x:c r="B80" s="8"/>
      <x:c r="C80" s="7"/>
      <x:c r="D80" s="20"/>
      <x:c r="E80" s="7"/>
      <x:c r="F80" s="7"/>
      <x:c r="G80" s="7"/>
      <x:c r="H80" s="7"/>
    </x:row>
    <x:row r="81" ht="22" customHeight="1">
      <x:c r="A81" s="7"/>
      <x:c r="B81" s="8"/>
      <x:c r="C81" s="7"/>
      <x:c r="D81" s="20"/>
      <x:c r="E81" s="7"/>
      <x:c r="F81" s="7"/>
      <x:c r="G81" s="7"/>
      <x:c r="H81" s="7"/>
    </x:row>
    <x:row r="82" ht="22" customHeight="1">
      <x:c r="A82" s="7"/>
      <x:c r="B82" s="8"/>
      <x:c r="C82" s="7"/>
      <x:c r="D82" s="20"/>
      <x:c r="E82" s="7"/>
      <x:c r="F82" s="7"/>
      <x:c r="G82" s="7"/>
      <x:c r="H82" s="7"/>
    </x:row>
    <x:row r="83" ht="22" customHeight="1">
      <x:c r="A83" s="7"/>
      <x:c r="B83" s="8"/>
      <x:c r="C83" s="7"/>
      <x:c r="D83" s="20"/>
      <x:c r="E83" s="7"/>
      <x:c r="F83" s="7"/>
      <x:c r="G83" s="7"/>
      <x:c r="H83" s="7"/>
    </x:row>
    <x:row r="84" ht="22" customHeight="1">
      <x:c r="A84" s="7"/>
      <x:c r="B84" s="8"/>
      <x:c r="C84" s="7"/>
      <x:c r="D84" s="20"/>
      <x:c r="E84" s="7"/>
      <x:c r="F84" s="7"/>
      <x:c r="G84" s="7"/>
      <x:c r="H84" s="7"/>
    </x:row>
    <x:row r="85" ht="22" customHeight="1">
      <x:c r="A85" s="7"/>
      <x:c r="B85" s="8"/>
      <x:c r="C85" s="7"/>
      <x:c r="D85" s="20"/>
      <x:c r="E85" s="7"/>
      <x:c r="F85" s="7"/>
      <x:c r="G85" s="7"/>
      <x:c r="H85" s="7"/>
    </x:row>
    <x:row r="86" ht="22" customHeight="1">
      <x:c r="A86" s="7"/>
      <x:c r="B86" s="8"/>
      <x:c r="C86" s="7"/>
      <x:c r="D86" s="20"/>
      <x:c r="E86" s="7"/>
      <x:c r="F86" s="7"/>
      <x:c r="G86" s="7"/>
      <x:c r="H86" s="7"/>
    </x:row>
    <x:row r="87" ht="22" customHeight="1">
      <x:c r="A87" s="7"/>
      <x:c r="B87" s="8"/>
      <x:c r="C87" s="7"/>
      <x:c r="D87" s="20"/>
      <x:c r="E87" s="7"/>
      <x:c r="F87" s="7"/>
      <x:c r="G87" s="7"/>
      <x:c r="H87" s="7"/>
    </x:row>
    <x:row r="88" ht="22" customHeight="1">
      <x:c r="A88" s="7"/>
      <x:c r="B88" s="8"/>
      <x:c r="C88" s="7"/>
      <x:c r="D88" s="20"/>
      <x:c r="E88" s="7"/>
      <x:c r="F88" s="7"/>
      <x:c r="G88" s="7"/>
      <x:c r="H88" s="7"/>
    </x:row>
    <x:row r="89" ht="22" customHeight="1">
      <x:c r="A89" s="7"/>
      <x:c r="B89" s="8"/>
      <x:c r="C89" s="7"/>
      <x:c r="D89" s="20"/>
      <x:c r="E89" s="7"/>
      <x:c r="F89" s="7"/>
      <x:c r="G89" s="7"/>
      <x:c r="H89" s="7"/>
    </x:row>
    <x:row r="90" ht="22" customHeight="1">
      <x:c r="A90" s="7"/>
      <x:c r="B90" s="8"/>
      <x:c r="C90" s="7"/>
      <x:c r="D90" s="20"/>
      <x:c r="E90" s="7"/>
      <x:c r="F90" s="7"/>
      <x:c r="G90" s="7"/>
      <x:c r="H90" s="7"/>
    </x:row>
    <x:row r="91" ht="22" customHeight="1">
      <x:c r="A91" s="7"/>
      <x:c r="B91" s="8"/>
      <x:c r="C91" s="7"/>
      <x:c r="D91" s="20"/>
      <x:c r="E91" s="7"/>
      <x:c r="F91" s="7"/>
      <x:c r="G91" s="7"/>
      <x:c r="H91" s="7"/>
    </x:row>
    <x:row r="92" ht="22" customHeight="1">
      <x:c r="A92" s="7"/>
      <x:c r="B92" s="8"/>
      <x:c r="C92" s="7"/>
      <x:c r="D92" s="20"/>
      <x:c r="E92" s="7"/>
      <x:c r="F92" s="7"/>
      <x:c r="G92" s="7"/>
      <x:c r="H92" s="7"/>
    </x:row>
    <x:row r="93" ht="22" customHeight="1">
      <x:c r="A93" s="7"/>
      <x:c r="B93" s="8"/>
      <x:c r="C93" s="7"/>
      <x:c r="D93" s="20"/>
      <x:c r="E93" s="7"/>
      <x:c r="F93" s="7"/>
      <x:c r="G93" s="7"/>
      <x:c r="H93" s="7"/>
    </x:row>
    <x:row r="94" ht="22" customHeight="1">
      <x:c r="A94" s="7"/>
      <x:c r="B94" s="8"/>
      <x:c r="C94" s="7"/>
      <x:c r="D94" s="20"/>
      <x:c r="E94" s="7"/>
      <x:c r="F94" s="7"/>
      <x:c r="G94" s="7"/>
      <x:c r="H94" s="7"/>
    </x:row>
    <x:row r="95" ht="22" customHeight="1">
      <x:c r="A95" s="7"/>
      <x:c r="B95" s="8"/>
      <x:c r="C95" s="7"/>
      <x:c r="D95" s="20"/>
      <x:c r="E95" s="7"/>
      <x:c r="F95" s="7"/>
      <x:c r="G95" s="7"/>
      <x:c r="H95" s="7"/>
    </x:row>
    <x:row r="96" ht="22" customHeight="1">
      <x:c r="A96" s="7"/>
      <x:c r="B96" s="8"/>
      <x:c r="C96" s="7"/>
      <x:c r="D96" s="20"/>
      <x:c r="E96" s="7"/>
      <x:c r="F96" s="7"/>
      <x:c r="G96" s="7"/>
      <x:c r="H96" s="7"/>
    </x:row>
    <x:row r="97" ht="22" customHeight="1">
      <x:c r="A97" s="7"/>
      <x:c r="B97" s="8"/>
      <x:c r="C97" s="7"/>
      <x:c r="D97" s="20"/>
      <x:c r="E97" s="7"/>
      <x:c r="F97" s="7"/>
      <x:c r="G97" s="7"/>
      <x:c r="H97" s="7"/>
    </x:row>
    <x:row r="98" ht="22" customHeight="1">
      <x:c r="A98" s="7"/>
      <x:c r="B98" s="8"/>
      <x:c r="C98" s="7"/>
      <x:c r="D98" s="20"/>
      <x:c r="E98" s="7"/>
      <x:c r="F98" s="7"/>
      <x:c r="G98" s="7"/>
      <x:c r="H98" s="7"/>
    </x:row>
    <x:row r="99" ht="22" customHeight="1">
      <x:c r="A99" s="7"/>
      <x:c r="B99" s="8"/>
      <x:c r="C99" s="7"/>
      <x:c r="D99" s="20"/>
      <x:c r="E99" s="7"/>
      <x:c r="F99" s="7"/>
      <x:c r="G99" s="7"/>
      <x:c r="H99" s="7"/>
    </x:row>
    <x:row r="100" ht="22" customHeight="1">
      <x:c r="A100" s="7"/>
      <x:c r="B100" s="8"/>
      <x:c r="C100" s="7"/>
      <x:c r="D100" s="20"/>
      <x:c r="E100" s="7"/>
      <x:c r="F100" s="7"/>
      <x:c r="G100" s="7"/>
      <x:c r="H100" s="7"/>
    </x:row>
    <x:row r="101" ht="22" customHeight="1">
      <x:c r="A101" s="7"/>
      <x:c r="B101" s="8"/>
      <x:c r="C101" s="7"/>
      <x:c r="D101" s="20"/>
      <x:c r="E101" s="7"/>
      <x:c r="F101" s="7"/>
      <x:c r="G101" s="7"/>
      <x:c r="H101" s="7"/>
    </x:row>
    <x:row r="102" ht="22" customHeight="1">
      <x:c r="A102" s="7"/>
      <x:c r="B102" s="8"/>
      <x:c r="C102" s="7"/>
      <x:c r="D102" s="20"/>
      <x:c r="E102" s="7"/>
      <x:c r="F102" s="7"/>
      <x:c r="G102" s="7"/>
      <x:c r="H102" s="7"/>
    </x:row>
    <x:row r="103" ht="22" customHeight="1">
      <x:c r="A103" s="7"/>
      <x:c r="B103" s="8"/>
      <x:c r="C103" s="7"/>
      <x:c r="D103" s="20"/>
      <x:c r="E103" s="7"/>
      <x:c r="F103" s="7"/>
      <x:c r="G103" s="7"/>
      <x:c r="H103" s="7"/>
    </x:row>
    <x:row r="104" ht="22" customHeight="1">
      <x:c r="A104" s="7"/>
      <x:c r="B104" s="8"/>
      <x:c r="C104" s="7"/>
      <x:c r="D104" s="20"/>
      <x:c r="E104" s="7"/>
      <x:c r="F104" s="7"/>
      <x:c r="G104" s="7"/>
      <x:c r="H104" s="7"/>
    </x:row>
    <x:row r="105" ht="22" customHeight="1">
      <x:c r="A105" s="7"/>
      <x:c r="B105" s="8"/>
      <x:c r="C105" s="7"/>
      <x:c r="D105" s="20"/>
      <x:c r="E105" s="7"/>
      <x:c r="F105" s="7"/>
      <x:c r="G105" s="7"/>
      <x:c r="H105" s="7"/>
    </x:row>
    <x:row r="106" ht="22" customHeight="1">
      <x:c r="A106" s="7"/>
      <x:c r="B106" s="8"/>
      <x:c r="C106" s="7"/>
      <x:c r="D106" s="20"/>
      <x:c r="E106" s="7"/>
      <x:c r="F106" s="7"/>
      <x:c r="G106" s="7"/>
      <x:c r="H106" s="7"/>
    </x:row>
    <x:row r="107" ht="22" customHeight="1">
      <x:c r="A107" s="7"/>
      <x:c r="B107" s="8"/>
      <x:c r="C107" s="7"/>
      <x:c r="D107" s="20"/>
      <x:c r="E107" s="7"/>
      <x:c r="F107" s="7"/>
      <x:c r="G107" s="7"/>
      <x:c r="H107" s="7"/>
    </x:row>
    <x:row r="108" ht="22" customHeight="1">
      <x:c r="A108" s="7"/>
      <x:c r="B108" s="8"/>
      <x:c r="C108" s="7"/>
      <x:c r="D108" s="20"/>
      <x:c r="E108" s="7"/>
      <x:c r="F108" s="7"/>
      <x:c r="G108" s="7"/>
      <x:c r="H108" s="7"/>
    </x:row>
    <x:row r="109" ht="22" customHeight="1">
      <x:c r="A109" s="7"/>
      <x:c r="B109" s="8"/>
      <x:c r="C109" s="7"/>
      <x:c r="D109" s="20"/>
      <x:c r="E109" s="7"/>
      <x:c r="F109" s="7"/>
      <x:c r="G109" s="7"/>
      <x:c r="H109" s="7"/>
    </x:row>
    <x:row r="110" ht="22" customHeight="1">
      <x:c r="A110" s="7"/>
      <x:c r="B110" s="8"/>
      <x:c r="C110" s="7"/>
      <x:c r="D110" s="20"/>
      <x:c r="E110" s="7"/>
      <x:c r="F110" s="7"/>
      <x:c r="G110" s="7"/>
      <x:c r="H110" s="7"/>
    </x:row>
    <x:row r="111" ht="22" customHeight="1">
      <x:c r="A111" s="7"/>
      <x:c r="B111" s="8"/>
      <x:c r="C111" s="7"/>
      <x:c r="D111" s="20"/>
      <x:c r="E111" s="7"/>
      <x:c r="F111" s="7"/>
      <x:c r="G111" s="7"/>
      <x:c r="H111" s="7"/>
    </x:row>
    <x:row r="112" ht="22" customHeight="1">
      <x:c r="A112" s="7"/>
      <x:c r="B112" s="8"/>
      <x:c r="C112" s="7"/>
      <x:c r="D112" s="20"/>
      <x:c r="E112" s="7"/>
      <x:c r="F112" s="7"/>
      <x:c r="G112" s="7"/>
      <x:c r="H112" s="7"/>
    </x:row>
    <x:row r="113" ht="22" customHeight="1">
      <x:c r="A113" s="7"/>
      <x:c r="B113" s="8"/>
      <x:c r="C113" s="7"/>
      <x:c r="D113" s="20"/>
      <x:c r="E113" s="7"/>
      <x:c r="F113" s="7"/>
      <x:c r="G113" s="7"/>
      <x:c r="H113" s="7"/>
    </x:row>
    <x:row r="114" ht="22" customHeight="1">
      <x:c r="A114" s="7"/>
      <x:c r="B114" s="8"/>
      <x:c r="C114" s="7"/>
      <x:c r="D114" s="20"/>
      <x:c r="E114" s="7"/>
      <x:c r="F114" s="7"/>
      <x:c r="G114" s="7"/>
      <x:c r="H114" s="7"/>
    </x:row>
    <x:row r="115" ht="22" customHeight="1">
      <x:c r="A115" s="7"/>
      <x:c r="B115" s="8"/>
      <x:c r="C115" s="7"/>
      <x:c r="D115" s="20"/>
      <x:c r="E115" s="7"/>
      <x:c r="F115" s="7"/>
      <x:c r="G115" s="7"/>
      <x:c r="H115" s="7"/>
    </x:row>
    <x:row r="116" ht="22" customHeight="1">
      <x:c r="A116" s="7"/>
      <x:c r="B116" s="8"/>
      <x:c r="C116" s="7"/>
      <x:c r="D116" s="20"/>
      <x:c r="E116" s="7"/>
      <x:c r="F116" s="7"/>
      <x:c r="G116" s="7"/>
      <x:c r="H116" s="7"/>
    </x:row>
    <x:row r="117" ht="22" customHeight="1">
      <x:c r="A117" s="7"/>
      <x:c r="B117" s="8"/>
      <x:c r="C117" s="7"/>
      <x:c r="D117" s="20"/>
      <x:c r="E117" s="7"/>
      <x:c r="F117" s="7"/>
      <x:c r="G117" s="7"/>
      <x:c r="H117" s="7"/>
    </x:row>
    <x:row r="118" ht="22" customHeight="1">
      <x:c r="A118" s="7"/>
      <x:c r="B118" s="8"/>
      <x:c r="C118" s="7"/>
      <x:c r="D118" s="20"/>
      <x:c r="E118" s="7"/>
      <x:c r="F118" s="7"/>
      <x:c r="G118" s="7"/>
      <x:c r="H118" s="7"/>
    </x:row>
    <x:row r="119" ht="22" customHeight="1">
      <x:c r="A119" s="7"/>
      <x:c r="B119" s="8"/>
      <x:c r="C119" s="7"/>
      <x:c r="D119" s="20"/>
      <x:c r="E119" s="7"/>
      <x:c r="F119" s="7"/>
      <x:c r="G119" s="7"/>
      <x:c r="H119" s="7"/>
    </x:row>
    <x:row r="120" ht="22" customHeight="1">
      <x:c r="A120" s="7"/>
      <x:c r="B120" s="8"/>
      <x:c r="C120" s="7"/>
      <x:c r="D120" s="20"/>
      <x:c r="E120" s="7"/>
      <x:c r="F120" s="7"/>
      <x:c r="G120" s="7"/>
      <x:c r="H120" s="7"/>
    </x:row>
    <x:row r="121" ht="22" customHeight="1">
      <x:c r="A121" s="7"/>
      <x:c r="B121" s="8"/>
      <x:c r="C121" s="7"/>
      <x:c r="D121" s="20"/>
      <x:c r="E121" s="7"/>
      <x:c r="F121" s="7"/>
      <x:c r="G121" s="7"/>
      <x:c r="H121" s="7"/>
    </x:row>
    <x:row r="122" ht="22" customHeight="1">
      <x:c r="A122" s="7"/>
      <x:c r="B122" s="8"/>
      <x:c r="C122" s="7"/>
      <x:c r="D122" s="20"/>
      <x:c r="E122" s="7"/>
      <x:c r="F122" s="7"/>
      <x:c r="G122" s="7"/>
      <x:c r="H122" s="7"/>
    </x:row>
    <x:row r="123" ht="22" customHeight="1">
      <x:c r="A123" s="7"/>
      <x:c r="B123" s="8"/>
      <x:c r="C123" s="7"/>
      <x:c r="D123" s="20"/>
      <x:c r="E123" s="7"/>
      <x:c r="F123" s="7"/>
      <x:c r="G123" s="7"/>
      <x:c r="H123" s="7"/>
    </x:row>
    <x:row r="124" ht="22" customHeight="1">
      <x:c r="A124" s="7"/>
      <x:c r="B124" s="8"/>
      <x:c r="C124" s="7"/>
      <x:c r="D124" s="20"/>
      <x:c r="E124" s="7"/>
      <x:c r="F124" s="7"/>
      <x:c r="G124" s="7"/>
      <x:c r="H124" s="7"/>
    </x:row>
    <x:row r="125" ht="22" customHeight="1">
      <x:c r="A125" s="7"/>
      <x:c r="B125" s="8"/>
      <x:c r="C125" s="7"/>
      <x:c r="D125" s="20"/>
      <x:c r="E125" s="7"/>
      <x:c r="F125" s="7"/>
      <x:c r="G125" s="7"/>
      <x:c r="H125" s="7"/>
    </x:row>
    <x:row r="126" ht="22" customHeight="1">
      <x:c r="A126" s="7"/>
      <x:c r="B126" s="8"/>
      <x:c r="C126" s="7"/>
      <x:c r="D126" s="20"/>
      <x:c r="E126" s="7"/>
      <x:c r="F126" s="7"/>
      <x:c r="G126" s="7"/>
      <x:c r="H126" s="7"/>
    </x:row>
    <x:row r="127" ht="22" customHeight="1">
      <x:c r="A127" s="7"/>
      <x:c r="B127" s="8"/>
      <x:c r="C127" s="7"/>
      <x:c r="D127" s="20"/>
      <x:c r="E127" s="7"/>
      <x:c r="F127" s="7"/>
      <x:c r="G127" s="7"/>
      <x:c r="H127" s="7"/>
    </x:row>
    <x:row r="128" ht="22" customHeight="1">
      <x:c r="A128" s="7"/>
      <x:c r="B128" s="8"/>
      <x:c r="C128" s="7"/>
      <x:c r="D128" s="20"/>
      <x:c r="E128" s="7"/>
      <x:c r="F128" s="7"/>
      <x:c r="G128" s="7"/>
      <x:c r="H128" s="7"/>
    </x:row>
    <x:row r="129" ht="22" customHeight="1">
      <x:c r="A129" s="7"/>
      <x:c r="B129" s="8"/>
      <x:c r="C129" s="7"/>
      <x:c r="D129" s="20"/>
      <x:c r="E129" s="7"/>
      <x:c r="F129" s="7"/>
      <x:c r="G129" s="7"/>
      <x:c r="H129" s="7"/>
    </x:row>
    <x:row r="130" ht="22" customHeight="1">
      <x:c r="A130" s="7"/>
      <x:c r="B130" s="8"/>
      <x:c r="C130" s="7"/>
      <x:c r="D130" s="20"/>
      <x:c r="E130" s="7"/>
      <x:c r="F130" s="7"/>
      <x:c r="G130" s="7"/>
      <x:c r="H130" s="7"/>
    </x:row>
    <x:row r="131" ht="22" customHeight="1">
      <x:c r="A131" s="7"/>
      <x:c r="B131" s="8"/>
      <x:c r="C131" s="7"/>
      <x:c r="D131" s="20"/>
      <x:c r="E131" s="7"/>
      <x:c r="F131" s="7"/>
      <x:c r="G131" s="7"/>
      <x:c r="H131" s="7"/>
    </x:row>
    <x:row r="132" ht="22" customHeight="1">
      <x:c r="A132" s="7"/>
      <x:c r="B132" s="8"/>
      <x:c r="C132" s="7"/>
      <x:c r="D132" s="20"/>
      <x:c r="E132" s="7"/>
      <x:c r="F132" s="7"/>
      <x:c r="G132" s="7"/>
      <x:c r="H132" s="7"/>
    </x:row>
    <x:row r="133" ht="22" customHeight="1">
      <x:c r="A133" s="7"/>
      <x:c r="B133" s="8"/>
      <x:c r="C133" s="7"/>
      <x:c r="D133" s="20"/>
      <x:c r="E133" s="7"/>
      <x:c r="F133" s="7"/>
      <x:c r="G133" s="7"/>
      <x:c r="H133" s="7"/>
    </x:row>
    <x:row r="134" ht="22" customHeight="1">
      <x:c r="A134" s="7"/>
      <x:c r="B134" s="8"/>
      <x:c r="C134" s="7"/>
      <x:c r="D134" s="20"/>
      <x:c r="E134" s="7"/>
      <x:c r="F134" s="7"/>
      <x:c r="G134" s="7"/>
      <x:c r="H134" s="7"/>
    </x:row>
    <x:row r="135" ht="22" customHeight="1">
      <x:c r="A135" s="7"/>
      <x:c r="B135" s="8"/>
      <x:c r="C135" s="7"/>
      <x:c r="D135" s="20"/>
      <x:c r="E135" s="7"/>
      <x:c r="F135" s="7"/>
      <x:c r="G135" s="7"/>
      <x:c r="H135" s="7"/>
    </x:row>
    <x:row r="136" ht="22" customHeight="1">
      <x:c r="A136" s="7"/>
      <x:c r="B136" s="8"/>
      <x:c r="C136" s="7"/>
      <x:c r="D136" s="20"/>
      <x:c r="E136" s="7"/>
      <x:c r="F136" s="7"/>
      <x:c r="G136" s="7"/>
      <x:c r="H136" s="7"/>
    </x:row>
    <x:row r="137" ht="22" customHeight="1">
      <x:c r="A137" s="7"/>
      <x:c r="B137" s="8"/>
      <x:c r="C137" s="7"/>
      <x:c r="D137" s="20"/>
      <x:c r="E137" s="7"/>
      <x:c r="F137" s="7"/>
      <x:c r="G137" s="7"/>
      <x:c r="H137" s="7"/>
    </x:row>
    <x:row r="138" ht="22" customHeight="1">
      <x:c r="A138" s="7"/>
      <x:c r="B138" s="8"/>
      <x:c r="C138" s="7"/>
      <x:c r="D138" s="20"/>
      <x:c r="E138" s="7"/>
      <x:c r="F138" s="7"/>
      <x:c r="G138" s="7"/>
      <x:c r="H138" s="7"/>
    </x:row>
    <x:row r="139" ht="22" customHeight="1">
      <x:c r="A139" s="7"/>
      <x:c r="B139" s="8"/>
      <x:c r="C139" s="7"/>
      <x:c r="D139" s="20"/>
      <x:c r="E139" s="7"/>
      <x:c r="F139" s="7"/>
      <x:c r="G139" s="7"/>
      <x:c r="H139" s="7"/>
    </x:row>
    <x:row r="140" ht="22" customHeight="1">
      <x:c r="A140" s="7"/>
      <x:c r="B140" s="8"/>
      <x:c r="C140" s="7"/>
      <x:c r="D140" s="20"/>
      <x:c r="E140" s="7"/>
      <x:c r="F140" s="7"/>
      <x:c r="G140" s="7"/>
      <x:c r="H140" s="7"/>
    </x:row>
    <x:row r="141" ht="22" customHeight="1">
      <x:c r="A141" s="7"/>
      <x:c r="B141" s="8"/>
      <x:c r="C141" s="7"/>
      <x:c r="D141" s="20"/>
      <x:c r="E141" s="7"/>
      <x:c r="F141" s="7"/>
      <x:c r="G141" s="7"/>
      <x:c r="H141" s="7"/>
    </x:row>
    <x:row r="142" ht="22" customHeight="1">
      <x:c r="A142" s="7"/>
      <x:c r="B142" s="8"/>
      <x:c r="C142" s="7"/>
      <x:c r="D142" s="20"/>
      <x:c r="E142" s="7"/>
      <x:c r="F142" s="7"/>
      <x:c r="G142" s="7"/>
      <x:c r="H142" s="7"/>
    </x:row>
    <x:row r="143" ht="22" customHeight="1">
      <x:c r="A143" s="7"/>
      <x:c r="B143" s="8"/>
      <x:c r="C143" s="7"/>
      <x:c r="D143" s="20"/>
      <x:c r="E143" s="7"/>
      <x:c r="F143" s="7"/>
      <x:c r="G143" s="7"/>
      <x:c r="H143" s="7"/>
    </x:row>
    <x:row r="144" ht="22" customHeight="1">
      <x:c r="A144" s="7"/>
      <x:c r="B144" s="8"/>
      <x:c r="C144" s="7"/>
      <x:c r="D144" s="20"/>
      <x:c r="E144" s="7"/>
      <x:c r="F144" s="7"/>
      <x:c r="G144" s="7"/>
      <x:c r="H144" s="7"/>
    </x:row>
    <x:row r="145" ht="22" customHeight="1">
      <x:c r="A145" s="7"/>
      <x:c r="B145" s="8"/>
      <x:c r="C145" s="7"/>
      <x:c r="D145" s="20"/>
      <x:c r="E145" s="7"/>
      <x:c r="F145" s="7"/>
      <x:c r="G145" s="7"/>
      <x:c r="H145" s="7"/>
    </x:row>
    <x:row r="146" ht="22" customHeight="1">
      <x:c r="A146" s="7"/>
      <x:c r="B146" s="8"/>
      <x:c r="C146" s="7"/>
      <x:c r="D146" s="20"/>
      <x:c r="E146" s="7"/>
      <x:c r="F146" s="7"/>
      <x:c r="G146" s="7"/>
      <x:c r="H146" s="7"/>
    </x:row>
    <x:row r="147" ht="22" customHeight="1">
      <x:c r="A147" s="7"/>
      <x:c r="B147" s="8"/>
      <x:c r="C147" s="7"/>
      <x:c r="D147" s="20"/>
      <x:c r="E147" s="7"/>
      <x:c r="F147" s="7"/>
      <x:c r="G147" s="7"/>
      <x:c r="H147" s="7"/>
    </x:row>
    <x:row r="148" ht="22" customHeight="1">
      <x:c r="A148" s="7"/>
      <x:c r="B148" s="8"/>
      <x:c r="C148" s="7"/>
      <x:c r="D148" s="20"/>
      <x:c r="E148" s="7"/>
      <x:c r="F148" s="7"/>
      <x:c r="G148" s="7"/>
      <x:c r="H148" s="7"/>
    </x:row>
    <x:row r="149" ht="22" customHeight="1">
      <x:c r="A149" s="7"/>
      <x:c r="B149" s="8"/>
      <x:c r="C149" s="7"/>
      <x:c r="D149" s="20"/>
      <x:c r="E149" s="7"/>
      <x:c r="F149" s="7"/>
      <x:c r="G149" s="7"/>
      <x:c r="H149" s="7"/>
    </x:row>
    <x:row r="150" ht="22" customHeight="1">
      <x:c r="A150" s="7"/>
      <x:c r="B150" s="8"/>
      <x:c r="C150" s="7"/>
      <x:c r="D150" s="20"/>
      <x:c r="E150" s="7"/>
      <x:c r="F150" s="7"/>
      <x:c r="G150" s="7"/>
      <x:c r="H150" s="7"/>
    </x:row>
    <x:row r="151" ht="22" customHeight="1">
      <x:c r="A151" s="7"/>
      <x:c r="B151" s="8"/>
      <x:c r="C151" s="7"/>
      <x:c r="D151" s="20"/>
      <x:c r="E151" s="7"/>
      <x:c r="F151" s="7"/>
      <x:c r="G151" s="7"/>
      <x:c r="H151" s="7"/>
    </x:row>
    <x:row r="152" ht="22" customHeight="1">
      <x:c r="A152" s="7"/>
      <x:c r="B152" s="8"/>
      <x:c r="C152" s="7"/>
      <x:c r="D152" s="20"/>
      <x:c r="E152" s="7"/>
      <x:c r="F152" s="7"/>
      <x:c r="G152" s="7"/>
      <x:c r="H152" s="7"/>
    </x:row>
    <x:row r="153" ht="22" customHeight="1">
      <x:c r="A153" s="7"/>
      <x:c r="B153" s="8"/>
      <x:c r="C153" s="7"/>
      <x:c r="D153" s="20"/>
      <x:c r="E153" s="7"/>
      <x:c r="F153" s="7"/>
      <x:c r="G153" s="7"/>
      <x:c r="H153" s="7"/>
    </x:row>
    <x:row r="154" ht="22" customHeight="1">
      <x:c r="A154" s="7"/>
      <x:c r="B154" s="8"/>
      <x:c r="C154" s="7"/>
      <x:c r="D154" s="20"/>
      <x:c r="E154" s="7"/>
      <x:c r="F154" s="7"/>
      <x:c r="G154" s="7"/>
      <x:c r="H154" s="7"/>
    </x:row>
    <x:row r="155" ht="22" customHeight="1">
      <x:c r="A155" s="7"/>
      <x:c r="B155" s="8"/>
      <x:c r="C155" s="7"/>
      <x:c r="D155" s="20"/>
      <x:c r="E155" s="7"/>
      <x:c r="F155" s="7"/>
      <x:c r="G155" s="7"/>
      <x:c r="H155" s="7"/>
    </x:row>
    <x:row r="156" ht="22" customHeight="1">
      <x:c r="A156" s="7"/>
      <x:c r="B156" s="8"/>
      <x:c r="C156" s="7"/>
      <x:c r="D156" s="20"/>
      <x:c r="E156" s="7"/>
      <x:c r="F156" s="7"/>
      <x:c r="G156" s="7"/>
      <x:c r="H156" s="7"/>
    </x:row>
    <x:row r="157" ht="22" customHeight="1">
      <x:c r="A157" s="7"/>
      <x:c r="B157" s="8"/>
      <x:c r="C157" s="7"/>
      <x:c r="D157" s="20"/>
      <x:c r="E157" s="7"/>
      <x:c r="F157" s="7"/>
      <x:c r="G157" s="7"/>
      <x:c r="H157" s="7"/>
    </x:row>
    <x:row r="158" ht="22" customHeight="1">
      <x:c r="A158" s="7"/>
      <x:c r="B158" s="8"/>
      <x:c r="C158" s="7"/>
      <x:c r="D158" s="20"/>
      <x:c r="E158" s="7"/>
      <x:c r="F158" s="7"/>
      <x:c r="G158" s="7"/>
      <x:c r="H158" s="7"/>
    </x:row>
    <x:row r="159" ht="22" customHeight="1">
      <x:c r="A159" s="7"/>
      <x:c r="B159" s="8"/>
      <x:c r="C159" s="7"/>
      <x:c r="D159" s="20"/>
      <x:c r="E159" s="7"/>
      <x:c r="F159" s="7"/>
      <x:c r="G159" s="7"/>
      <x:c r="H159" s="7"/>
    </x:row>
    <x:row r="160" ht="22" customHeight="1">
      <x:c r="A160" s="7"/>
      <x:c r="B160" s="8"/>
      <x:c r="C160" s="7"/>
      <x:c r="D160" s="20"/>
      <x:c r="E160" s="7"/>
      <x:c r="F160" s="7"/>
      <x:c r="G160" s="7"/>
      <x:c r="H160" s="7"/>
    </x:row>
    <x:row r="161" ht="22" customHeight="1">
      <x:c r="A161" s="7"/>
      <x:c r="B161" s="8"/>
      <x:c r="C161" s="7"/>
      <x:c r="D161" s="20"/>
      <x:c r="E161" s="7"/>
      <x:c r="F161" s="7"/>
      <x:c r="G161" s="7"/>
      <x:c r="H161" s="7"/>
    </x:row>
    <x:row r="162" ht="22" customHeight="1">
      <x:c r="A162" s="7"/>
      <x:c r="B162" s="8"/>
      <x:c r="C162" s="7"/>
      <x:c r="D162" s="20"/>
      <x:c r="E162" s="7"/>
      <x:c r="F162" s="7"/>
      <x:c r="G162" s="7"/>
      <x:c r="H162" s="7"/>
    </x:row>
    <x:row r="163" ht="22" customHeight="1">
      <x:c r="A163" s="7"/>
      <x:c r="B163" s="8"/>
      <x:c r="C163" s="7"/>
      <x:c r="D163" s="20"/>
      <x:c r="E163" s="7"/>
      <x:c r="F163" s="7"/>
      <x:c r="G163" s="7"/>
      <x:c r="H163" s="7"/>
    </x:row>
    <x:row r="164" ht="22" customHeight="1">
      <x:c r="A164" s="7"/>
      <x:c r="B164" s="8"/>
      <x:c r="C164" s="7"/>
      <x:c r="D164" s="20"/>
      <x:c r="E164" s="7"/>
      <x:c r="F164" s="7"/>
      <x:c r="G164" s="7"/>
      <x:c r="H164" s="7"/>
    </x:row>
    <x:row r="165" ht="22" customHeight="1">
      <x:c r="A165" s="7"/>
      <x:c r="B165" s="8"/>
      <x:c r="C165" s="7"/>
      <x:c r="D165" s="20"/>
      <x:c r="E165" s="7"/>
      <x:c r="F165" s="7"/>
      <x:c r="G165" s="7"/>
      <x:c r="H165" s="7"/>
    </x:row>
    <x:row r="166" ht="22" customHeight="1">
      <x:c r="A166" s="7"/>
      <x:c r="B166" s="8"/>
      <x:c r="C166" s="7"/>
      <x:c r="D166" s="20"/>
      <x:c r="E166" s="7"/>
      <x:c r="F166" s="7"/>
      <x:c r="G166" s="7"/>
      <x:c r="H166" s="7"/>
    </x:row>
    <x:row r="167" ht="22" customHeight="1">
      <x:c r="A167" s="7"/>
      <x:c r="B167" s="8"/>
      <x:c r="C167" s="7"/>
      <x:c r="D167" s="20"/>
      <x:c r="E167" s="7"/>
      <x:c r="F167" s="7"/>
      <x:c r="G167" s="7"/>
      <x:c r="H167" s="7"/>
    </x:row>
    <x:row r="168" ht="22" customHeight="1">
      <x:c r="A168" s="7"/>
      <x:c r="B168" s="8"/>
      <x:c r="C168" s="7"/>
      <x:c r="D168" s="20"/>
      <x:c r="E168" s="7"/>
      <x:c r="F168" s="7"/>
      <x:c r="G168" s="7"/>
      <x:c r="H168" s="7"/>
    </x:row>
    <x:row r="169" ht="22" customHeight="1">
      <x:c r="A169" s="7"/>
      <x:c r="B169" s="8"/>
      <x:c r="C169" s="7"/>
      <x:c r="D169" s="20"/>
      <x:c r="E169" s="7"/>
      <x:c r="F169" s="7"/>
      <x:c r="G169" s="7"/>
      <x:c r="H169" s="7"/>
    </x:row>
    <x:row r="170" ht="22" customHeight="1">
      <x:c r="A170" s="7"/>
      <x:c r="B170" s="8"/>
      <x:c r="C170" s="7"/>
      <x:c r="D170" s="20"/>
      <x:c r="E170" s="7"/>
      <x:c r="F170" s="7"/>
      <x:c r="G170" s="7"/>
      <x:c r="H170" s="7"/>
    </x:row>
    <x:row r="171" ht="22" customHeight="1">
      <x:c r="A171" s="7"/>
      <x:c r="B171" s="8"/>
      <x:c r="C171" s="7"/>
      <x:c r="D171" s="20"/>
      <x:c r="E171" s="7"/>
      <x:c r="F171" s="7"/>
      <x:c r="G171" s="7"/>
      <x:c r="H171" s="7"/>
    </x:row>
    <x:row r="172" ht="22" customHeight="1">
      <x:c r="A172" s="7"/>
      <x:c r="B172" s="8"/>
      <x:c r="C172" s="7"/>
      <x:c r="D172" s="20"/>
      <x:c r="E172" s="7"/>
      <x:c r="F172" s="7"/>
      <x:c r="G172" s="7"/>
      <x:c r="H172" s="7"/>
    </x:row>
    <x:row r="173" ht="22" customHeight="1">
      <x:c r="A173" s="7"/>
      <x:c r="B173" s="8"/>
      <x:c r="C173" s="7"/>
      <x:c r="D173" s="20"/>
      <x:c r="E173" s="7"/>
      <x:c r="F173" s="7"/>
      <x:c r="G173" s="7"/>
      <x:c r="H173" s="7"/>
    </x:row>
    <x:row r="174" ht="22" customHeight="1">
      <x:c r="A174" s="7"/>
      <x:c r="B174" s="8"/>
      <x:c r="C174" s="7"/>
      <x:c r="D174" s="20"/>
      <x:c r="E174" s="7"/>
      <x:c r="F174" s="7"/>
      <x:c r="G174" s="7"/>
      <x:c r="H174" s="7"/>
    </x:row>
    <x:row r="175" ht="22" customHeight="1">
      <x:c r="A175" s="7"/>
      <x:c r="B175" s="8"/>
      <x:c r="C175" s="7"/>
      <x:c r="D175" s="20"/>
      <x:c r="E175" s="7"/>
      <x:c r="F175" s="7"/>
      <x:c r="G175" s="7"/>
      <x:c r="H175" s="7"/>
    </x:row>
    <x:row r="176" ht="22" customHeight="1">
      <x:c r="A176" s="7"/>
      <x:c r="B176" s="8"/>
      <x:c r="C176" s="7"/>
      <x:c r="D176" s="20"/>
      <x:c r="E176" s="7"/>
      <x:c r="F176" s="7"/>
      <x:c r="G176" s="7"/>
      <x:c r="H176" s="7"/>
    </x:row>
    <x:row r="177" ht="22" customHeight="1">
      <x:c r="A177" s="7"/>
      <x:c r="B177" s="8"/>
      <x:c r="C177" s="7"/>
      <x:c r="D177" s="20"/>
      <x:c r="E177" s="7"/>
      <x:c r="F177" s="7"/>
      <x:c r="G177" s="7"/>
      <x:c r="H177" s="7"/>
    </x:row>
    <x:row r="178" ht="22" customHeight="1">
      <x:c r="A178" s="7"/>
      <x:c r="B178" s="8"/>
      <x:c r="C178" s="7"/>
      <x:c r="D178" s="20"/>
      <x:c r="E178" s="7"/>
      <x:c r="F178" s="7"/>
      <x:c r="G178" s="7"/>
      <x:c r="H178" s="7"/>
    </x:row>
    <x:row r="179" ht="22" customHeight="1">
      <x:c r="A179" s="7"/>
      <x:c r="B179" s="8"/>
      <x:c r="C179" s="7"/>
      <x:c r="D179" s="20"/>
      <x:c r="E179" s="7"/>
      <x:c r="F179" s="7"/>
      <x:c r="G179" s="7"/>
      <x:c r="H179" s="7"/>
    </x:row>
    <x:row r="180" ht="22" customHeight="1">
      <x:c r="A180" s="7"/>
      <x:c r="B180" s="8"/>
      <x:c r="C180" s="7"/>
      <x:c r="D180" s="20"/>
      <x:c r="E180" s="7"/>
      <x:c r="F180" s="7"/>
      <x:c r="G180" s="7"/>
      <x:c r="H180" s="7"/>
    </x:row>
    <x:row r="181" ht="22" customHeight="1">
      <x:c r="A181" s="7"/>
      <x:c r="B181" s="8"/>
      <x:c r="C181" s="7"/>
      <x:c r="D181" s="20"/>
      <x:c r="E181" s="7"/>
      <x:c r="F181" s="7"/>
      <x:c r="G181" s="7"/>
      <x:c r="H181" s="7"/>
    </x:row>
    <x:row r="182" ht="22" customHeight="1">
      <x:c r="A182" s="7"/>
      <x:c r="B182" s="8"/>
      <x:c r="C182" s="7"/>
      <x:c r="D182" s="20"/>
      <x:c r="E182" s="7"/>
      <x:c r="F182" s="7"/>
      <x:c r="G182" s="7"/>
      <x:c r="H182" s="7"/>
    </x:row>
    <x:row r="183" ht="22" customHeight="1">
      <x:c r="A183" s="7"/>
      <x:c r="B183" s="8"/>
      <x:c r="C183" s="7"/>
      <x:c r="D183" s="20"/>
      <x:c r="E183" s="7"/>
      <x:c r="F183" s="7"/>
      <x:c r="G183" s="7"/>
      <x:c r="H183" s="7"/>
    </x:row>
    <x:row r="184" ht="22" customHeight="1">
      <x:c r="A184" s="7"/>
      <x:c r="B184" s="8"/>
      <x:c r="C184" s="7"/>
      <x:c r="D184" s="20"/>
      <x:c r="E184" s="7"/>
      <x:c r="F184" s="7"/>
      <x:c r="G184" s="7"/>
      <x:c r="H184" s="7"/>
    </x:row>
    <x:row r="185" ht="22" customHeight="1">
      <x:c r="A185" s="7"/>
      <x:c r="B185" s="8"/>
      <x:c r="C185" s="7"/>
      <x:c r="D185" s="20"/>
      <x:c r="E185" s="7"/>
      <x:c r="F185" s="7"/>
      <x:c r="G185" s="7"/>
      <x:c r="H185" s="7"/>
    </x:row>
    <x:row r="186" ht="22" customHeight="1">
      <x:c r="A186" s="7"/>
      <x:c r="B186" s="8"/>
      <x:c r="C186" s="7"/>
      <x:c r="D186" s="20"/>
      <x:c r="E186" s="7"/>
      <x:c r="F186" s="7"/>
      <x:c r="G186" s="7"/>
      <x:c r="H186" s="7"/>
    </x:row>
    <x:row r="187" ht="22" customHeight="1">
      <x:c r="A187" s="7"/>
      <x:c r="B187" s="8"/>
      <x:c r="C187" s="7"/>
      <x:c r="D187" s="20"/>
      <x:c r="E187" s="7"/>
      <x:c r="F187" s="7"/>
      <x:c r="G187" s="7"/>
      <x:c r="H187" s="7"/>
    </x:row>
    <x:row r="188" ht="22" customHeight="1">
      <x:c r="A188" s="7"/>
      <x:c r="B188" s="8"/>
      <x:c r="C188" s="7"/>
      <x:c r="D188" s="20"/>
      <x:c r="E188" s="7"/>
      <x:c r="F188" s="7"/>
      <x:c r="G188" s="7"/>
      <x:c r="H188" s="7"/>
    </x:row>
    <x:row r="189" ht="22" customHeight="1">
      <x:c r="A189" s="7"/>
      <x:c r="B189" s="8"/>
      <x:c r="C189" s="7"/>
      <x:c r="D189" s="20"/>
      <x:c r="E189" s="7"/>
      <x:c r="F189" s="7"/>
      <x:c r="G189" s="7"/>
      <x:c r="H189" s="7"/>
    </x:row>
    <x:row r="190" ht="22" customHeight="1">
      <x:c r="A190" s="7"/>
      <x:c r="B190" s="8"/>
      <x:c r="C190" s="7"/>
      <x:c r="D190" s="20"/>
      <x:c r="E190" s="7"/>
      <x:c r="F190" s="7"/>
      <x:c r="G190" s="7"/>
      <x:c r="H190" s="7"/>
    </x:row>
    <x:row r="191" ht="22" customHeight="1">
      <x:c r="A191" s="7"/>
      <x:c r="B191" s="8"/>
      <x:c r="C191" s="7"/>
      <x:c r="D191" s="20"/>
      <x:c r="E191" s="7"/>
      <x:c r="F191" s="7"/>
      <x:c r="G191" s="7"/>
      <x:c r="H191" s="7"/>
    </x:row>
    <x:row r="192" ht="22" customHeight="1">
      <x:c r="A192" s="7"/>
      <x:c r="B192" s="8"/>
      <x:c r="C192" s="7"/>
      <x:c r="D192" s="20"/>
      <x:c r="E192" s="7"/>
      <x:c r="F192" s="7"/>
      <x:c r="G192" s="7"/>
      <x:c r="H192" s="7"/>
    </x:row>
    <x:row r="193" ht="22" customHeight="1">
      <x:c r="A193" s="7"/>
      <x:c r="B193" s="8"/>
      <x:c r="C193" s="7"/>
      <x:c r="D193" s="20"/>
      <x:c r="E193" s="7"/>
      <x:c r="F193" s="7"/>
      <x:c r="G193" s="7"/>
      <x:c r="H193" s="7"/>
    </x:row>
    <x:row r="194" ht="22" customHeight="1">
      <x:c r="A194" s="7"/>
      <x:c r="B194" s="8"/>
      <x:c r="C194" s="7"/>
      <x:c r="D194" s="20"/>
      <x:c r="E194" s="7"/>
      <x:c r="F194" s="7"/>
      <x:c r="G194" s="7"/>
      <x:c r="H194" s="7"/>
    </x:row>
    <x:row r="195" ht="22" customHeight="1">
      <x:c r="A195" s="7"/>
      <x:c r="B195" s="8"/>
      <x:c r="C195" s="7"/>
      <x:c r="D195" s="20"/>
      <x:c r="E195" s="7"/>
      <x:c r="F195" s="7"/>
      <x:c r="G195" s="7"/>
      <x:c r="H195" s="7"/>
    </x:row>
    <x:row r="196" ht="22" customHeight="1">
      <x:c r="A196" s="7"/>
      <x:c r="B196" s="8"/>
      <x:c r="C196" s="7"/>
      <x:c r="D196" s="20"/>
      <x:c r="E196" s="7"/>
      <x:c r="F196" s="7"/>
      <x:c r="G196" s="7"/>
      <x:c r="H196" s="7"/>
    </x:row>
    <x:row r="197" ht="22" customHeight="1">
      <x:c r="A197" s="7"/>
      <x:c r="B197" s="8"/>
      <x:c r="C197" s="7"/>
      <x:c r="D197" s="20"/>
      <x:c r="E197" s="7"/>
      <x:c r="F197" s="7"/>
      <x:c r="G197" s="7"/>
      <x:c r="H197" s="7"/>
    </x:row>
    <x:row r="198" ht="22" customHeight="1">
      <x:c r="A198" s="7"/>
      <x:c r="B198" s="8"/>
      <x:c r="C198" s="7"/>
      <x:c r="D198" s="20"/>
      <x:c r="E198" s="7"/>
      <x:c r="F198" s="7"/>
      <x:c r="G198" s="7"/>
      <x:c r="H198" s="7"/>
    </x:row>
    <x:row r="199" ht="22" customHeight="1">
      <x:c r="A199" s="7"/>
      <x:c r="B199" s="8"/>
      <x:c r="C199" s="7"/>
      <x:c r="D199" s="20"/>
      <x:c r="E199" s="7"/>
      <x:c r="F199" s="7"/>
      <x:c r="G199" s="7"/>
      <x:c r="H199" s="7"/>
    </x:row>
    <x:row r="200" ht="22" customHeight="1">
      <x:c r="A200" s="7"/>
      <x:c r="B200" s="8"/>
      <x:c r="C200" s="7"/>
      <x:c r="D200" s="20"/>
      <x:c r="E200" s="7"/>
      <x:c r="F200" s="7"/>
      <x:c r="G200" s="7"/>
      <x:c r="H200" s="7"/>
    </x:row>
    <x:row r="201" ht="22" customHeight="1">
      <x:c r="A201" s="7"/>
      <x:c r="B201" s="8"/>
      <x:c r="C201" s="7"/>
      <x:c r="D201" s="20"/>
      <x:c r="E201" s="7"/>
      <x:c r="F201" s="7"/>
      <x:c r="G201" s="7"/>
      <x:c r="H201" s="7"/>
    </x:row>
    <x:row r="202" ht="22" customHeight="1">
      <x:c r="A202" s="7"/>
      <x:c r="B202" s="8"/>
      <x:c r="C202" s="7"/>
      <x:c r="D202" s="20"/>
      <x:c r="E202" s="7"/>
      <x:c r="F202" s="7"/>
      <x:c r="G202" s="7"/>
      <x:c r="H202" s="7"/>
    </x:row>
    <x:row r="203" ht="22" customHeight="1">
      <x:c r="A203" s="7"/>
      <x:c r="B203" s="8"/>
      <x:c r="C203" s="7"/>
      <x:c r="D203" s="20"/>
      <x:c r="E203" s="7"/>
      <x:c r="F203" s="7"/>
      <x:c r="G203" s="7"/>
      <x:c r="H203" s="7"/>
    </x:row>
    <x:row r="204" ht="22" customHeight="1">
      <x:c r="A204" s="7"/>
      <x:c r="B204" s="8"/>
      <x:c r="C204" s="7"/>
      <x:c r="D204" s="20"/>
      <x:c r="E204" s="7"/>
      <x:c r="F204" s="7"/>
      <x:c r="G204" s="7"/>
      <x:c r="H204" s="7"/>
    </x:row>
    <x:row r="205" ht="22" customHeight="1">
      <x:c r="A205" s="7"/>
      <x:c r="B205" s="8"/>
      <x:c r="C205" s="7"/>
      <x:c r="D205" s="20"/>
      <x:c r="E205" s="7"/>
      <x:c r="F205" s="7"/>
      <x:c r="G205" s="7"/>
      <x:c r="H205" s="7"/>
    </x:row>
    <x:row r="206" ht="22" customHeight="1">
      <x:c r="A206" s="7"/>
      <x:c r="B206" s="8"/>
      <x:c r="C206" s="7"/>
      <x:c r="D206" s="20"/>
      <x:c r="E206" s="7"/>
      <x:c r="F206" s="7"/>
      <x:c r="G206" s="7"/>
      <x:c r="H206" s="7"/>
    </x:row>
    <x:row r="207" ht="22" customHeight="1">
      <x:c r="A207" s="7"/>
      <x:c r="B207" s="8"/>
      <x:c r="C207" s="7"/>
      <x:c r="D207" s="20"/>
      <x:c r="E207" s="7"/>
      <x:c r="F207" s="7"/>
      <x:c r="G207" s="7"/>
      <x:c r="H207" s="7"/>
    </x:row>
    <x:row r="208" ht="22" customHeight="1">
      <x:c r="A208" s="7"/>
      <x:c r="B208" s="8"/>
      <x:c r="C208" s="7"/>
      <x:c r="D208" s="20"/>
      <x:c r="E208" s="7"/>
      <x:c r="F208" s="7"/>
      <x:c r="G208" s="7"/>
      <x:c r="H208" s="7"/>
    </x:row>
    <x:row r="209" ht="22" customHeight="1">
      <x:c r="A209" s="7"/>
      <x:c r="B209" s="8"/>
      <x:c r="C209" s="7"/>
      <x:c r="D209" s="20"/>
      <x:c r="E209" s="7"/>
      <x:c r="F209" s="7"/>
      <x:c r="G209" s="7"/>
      <x:c r="H209" s="7"/>
    </x:row>
    <x:row r="210" ht="22" customHeight="1">
      <x:c r="A210" s="7"/>
      <x:c r="B210" s="8"/>
      <x:c r="C210" s="7"/>
      <x:c r="D210" s="20"/>
      <x:c r="E210" s="7"/>
      <x:c r="F210" s="7"/>
      <x:c r="G210" s="7"/>
      <x:c r="H210" s="7"/>
    </x:row>
    <x:row r="211" ht="22" customHeight="1">
      <x:c r="A211" s="7"/>
      <x:c r="B211" s="8"/>
      <x:c r="C211" s="7"/>
      <x:c r="D211" s="20"/>
      <x:c r="E211" s="7"/>
      <x:c r="F211" s="7"/>
      <x:c r="G211" s="7"/>
      <x:c r="H211" s="7"/>
    </x:row>
    <x:row r="212" ht="22" customHeight="1">
      <x:c r="A212" s="7"/>
      <x:c r="B212" s="8"/>
      <x:c r="C212" s="7"/>
      <x:c r="D212" s="20"/>
      <x:c r="E212" s="7"/>
      <x:c r="F212" s="7"/>
      <x:c r="G212" s="7"/>
      <x:c r="H212" s="7"/>
    </x:row>
    <x:row r="213" ht="22" customHeight="1">
      <x:c r="A213" s="7"/>
      <x:c r="B213" s="8"/>
      <x:c r="C213" s="7"/>
      <x:c r="D213" s="20"/>
      <x:c r="E213" s="7"/>
      <x:c r="F213" s="7"/>
      <x:c r="G213" s="7"/>
      <x:c r="H213" s="7"/>
    </x:row>
    <x:row r="214" ht="22" customHeight="1">
      <x:c r="A214" s="7"/>
      <x:c r="B214" s="8"/>
      <x:c r="C214" s="7"/>
      <x:c r="D214" s="20"/>
      <x:c r="E214" s="7"/>
      <x:c r="F214" s="7"/>
      <x:c r="G214" s="7"/>
      <x:c r="H214" s="7"/>
    </x:row>
    <x:row r="215" ht="22" customHeight="1">
      <x:c r="A215" s="7"/>
      <x:c r="B215" s="8"/>
      <x:c r="C215" s="7"/>
      <x:c r="D215" s="20"/>
      <x:c r="E215" s="7"/>
      <x:c r="F215" s="7"/>
      <x:c r="G215" s="7"/>
      <x:c r="H215" s="7"/>
    </x:row>
    <x:row r="216" ht="22" customHeight="1">
      <x:c r="A216" s="7"/>
      <x:c r="B216" s="8"/>
      <x:c r="C216" s="7"/>
      <x:c r="D216" s="20"/>
      <x:c r="E216" s="7"/>
      <x:c r="F216" s="7"/>
      <x:c r="G216" s="7"/>
      <x:c r="H216" s="7"/>
    </x:row>
    <x:row r="217" ht="22" customHeight="1">
      <x:c r="A217" s="7"/>
      <x:c r="B217" s="8"/>
      <x:c r="C217" s="7"/>
      <x:c r="D217" s="20"/>
      <x:c r="E217" s="7"/>
      <x:c r="F217" s="7"/>
      <x:c r="G217" s="7"/>
      <x:c r="H217" s="7"/>
    </x:row>
    <x:row r="218" ht="22" customHeight="1">
      <x:c r="A218" s="7"/>
      <x:c r="B218" s="8"/>
      <x:c r="C218" s="7"/>
      <x:c r="D218" s="20"/>
      <x:c r="E218" s="7"/>
      <x:c r="F218" s="7"/>
      <x:c r="G218" s="7"/>
      <x:c r="H218" s="7"/>
    </x:row>
    <x:row r="219" ht="22" customHeight="1">
      <x:c r="A219" s="7"/>
      <x:c r="B219" s="8"/>
      <x:c r="C219" s="7"/>
      <x:c r="D219" s="20"/>
      <x:c r="E219" s="7"/>
      <x:c r="F219" s="7"/>
      <x:c r="G219" s="7"/>
      <x:c r="H219" s="7"/>
    </x:row>
    <x:row r="220" ht="22" customHeight="1">
      <x:c r="A220" s="7"/>
      <x:c r="B220" s="8"/>
      <x:c r="C220" s="7"/>
      <x:c r="D220" s="20"/>
      <x:c r="E220" s="7"/>
      <x:c r="F220" s="7"/>
      <x:c r="G220" s="7"/>
      <x:c r="H220" s="7"/>
    </x:row>
    <x:row r="221" ht="22" customHeight="1">
      <x:c r="A221" s="7"/>
      <x:c r="B221" s="8"/>
      <x:c r="C221" s="7"/>
      <x:c r="D221" s="20"/>
      <x:c r="E221" s="7"/>
      <x:c r="F221" s="7"/>
      <x:c r="G221" s="7"/>
      <x:c r="H221" s="7"/>
    </x:row>
    <x:row r="222" ht="22" customHeight="1">
      <x:c r="A222" s="7"/>
      <x:c r="B222" s="8"/>
      <x:c r="C222" s="7"/>
      <x:c r="D222" s="20"/>
      <x:c r="E222" s="7"/>
      <x:c r="F222" s="7"/>
      <x:c r="G222" s="7"/>
      <x:c r="H222" s="7"/>
    </x:row>
    <x:row r="223" ht="22" customHeight="1">
      <x:c r="A223" s="7"/>
      <x:c r="B223" s="8"/>
      <x:c r="C223" s="7"/>
      <x:c r="D223" s="20"/>
      <x:c r="E223" s="7"/>
      <x:c r="F223" s="7"/>
      <x:c r="G223" s="7"/>
      <x:c r="H223" s="7"/>
    </x:row>
    <x:row r="224" ht="22" customHeight="1">
      <x:c r="A224" s="7"/>
      <x:c r="B224" s="8"/>
      <x:c r="C224" s="7"/>
      <x:c r="D224" s="20"/>
      <x:c r="E224" s="7"/>
      <x:c r="F224" s="7"/>
      <x:c r="G224" s="7"/>
      <x:c r="H224" s="7"/>
    </x:row>
    <x:row r="225" ht="22" customHeight="1">
      <x:c r="A225" s="7"/>
      <x:c r="B225" s="8"/>
      <x:c r="C225" s="7"/>
      <x:c r="D225" s="20"/>
      <x:c r="E225" s="7"/>
      <x:c r="F225" s="7"/>
      <x:c r="G225" s="7"/>
      <x:c r="H225" s="7"/>
    </x:row>
    <x:row r="226" ht="22" customHeight="1">
      <x:c r="A226" s="7"/>
      <x:c r="B226" s="8"/>
      <x:c r="C226" s="7"/>
      <x:c r="D226" s="20"/>
      <x:c r="E226" s="7"/>
      <x:c r="F226" s="7"/>
      <x:c r="G226" s="7"/>
      <x:c r="H226" s="7"/>
    </x:row>
    <x:row r="227" ht="22" customHeight="1">
      <x:c r="A227" s="7"/>
      <x:c r="B227" s="8"/>
      <x:c r="C227" s="7"/>
      <x:c r="D227" s="20"/>
      <x:c r="E227" s="7"/>
      <x:c r="F227" s="7"/>
      <x:c r="G227" s="7"/>
      <x:c r="H227" s="7"/>
    </x:row>
    <x:row r="228" ht="22" customHeight="1">
      <x:c r="A228" s="7"/>
      <x:c r="B228" s="8"/>
      <x:c r="C228" s="7"/>
      <x:c r="D228" s="20"/>
      <x:c r="E228" s="7"/>
      <x:c r="F228" s="7"/>
      <x:c r="G228" s="7"/>
      <x:c r="H228" s="7"/>
    </x:row>
    <x:row r="229" ht="22" customHeight="1">
      <x:c r="A229" s="7"/>
      <x:c r="B229" s="8"/>
      <x:c r="C229" s="7"/>
      <x:c r="D229" s="20"/>
      <x:c r="E229" s="7"/>
      <x:c r="F229" s="7"/>
      <x:c r="G229" s="7"/>
      <x:c r="H229" s="7"/>
    </x:row>
    <x:row r="230" ht="22" customHeight="1">
      <x:c r="A230" s="7"/>
      <x:c r="B230" s="8"/>
      <x:c r="C230" s="7"/>
      <x:c r="D230" s="20"/>
      <x:c r="E230" s="7"/>
      <x:c r="F230" s="7"/>
      <x:c r="G230" s="7"/>
      <x:c r="H230" s="7"/>
    </x:row>
    <x:row r="231" ht="22" customHeight="1">
      <x:c r="A231" s="7"/>
      <x:c r="B231" s="8"/>
      <x:c r="C231" s="7"/>
      <x:c r="D231" s="20"/>
      <x:c r="E231" s="7"/>
      <x:c r="F231" s="7"/>
      <x:c r="G231" s="7"/>
      <x:c r="H231" s="7"/>
    </x:row>
    <x:row r="232" ht="22" customHeight="1">
      <x:c r="A232" s="7"/>
      <x:c r="B232" s="8"/>
      <x:c r="C232" s="7"/>
      <x:c r="D232" s="20"/>
      <x:c r="E232" s="7"/>
      <x:c r="F232" s="7"/>
      <x:c r="G232" s="7"/>
      <x:c r="H232" s="7"/>
    </x:row>
    <x:row r="233" ht="22" customHeight="1">
      <x:c r="A233" s="7"/>
      <x:c r="B233" s="8"/>
      <x:c r="C233" s="7"/>
      <x:c r="D233" s="20"/>
      <x:c r="E233" s="7"/>
      <x:c r="F233" s="7"/>
      <x:c r="G233" s="7"/>
      <x:c r="H233" s="7"/>
    </x:row>
    <x:row r="234" ht="22" customHeight="1">
      <x:c r="A234" s="7"/>
      <x:c r="B234" s="8"/>
      <x:c r="C234" s="7"/>
      <x:c r="D234" s="20"/>
      <x:c r="E234" s="7"/>
      <x:c r="F234" s="7"/>
      <x:c r="G234" s="7"/>
      <x:c r="H234" s="7"/>
    </x:row>
    <x:row r="235" ht="22" customHeight="1">
      <x:c r="A235" s="7"/>
      <x:c r="B235" s="8"/>
      <x:c r="C235" s="7"/>
      <x:c r="D235" s="20"/>
      <x:c r="E235" s="7"/>
      <x:c r="F235" s="7"/>
      <x:c r="G235" s="7"/>
      <x:c r="H235" s="7"/>
    </x:row>
    <x:row r="236" ht="22" customHeight="1">
      <x:c r="A236" s="7"/>
      <x:c r="B236" s="8"/>
      <x:c r="C236" s="7"/>
      <x:c r="D236" s="20"/>
      <x:c r="E236" s="7"/>
      <x:c r="F236" s="7"/>
      <x:c r="G236" s="7"/>
      <x:c r="H236" s="7"/>
    </x:row>
    <x:row r="237" ht="22" customHeight="1">
      <x:c r="A237" s="7"/>
      <x:c r="B237" s="8"/>
      <x:c r="C237" s="7"/>
      <x:c r="D237" s="20"/>
      <x:c r="E237" s="7"/>
      <x:c r="F237" s="7"/>
      <x:c r="G237" s="7"/>
      <x:c r="H237" s="7"/>
    </x:row>
    <x:row r="238" ht="22" customHeight="1">
      <x:c r="A238" s="7"/>
      <x:c r="B238" s="8"/>
      <x:c r="C238" s="7"/>
      <x:c r="D238" s="20"/>
      <x:c r="E238" s="7"/>
      <x:c r="F238" s="7"/>
      <x:c r="G238" s="7"/>
      <x:c r="H238" s="7"/>
    </x:row>
    <x:row r="239" ht="22" customHeight="1">
      <x:c r="A239" s="7"/>
      <x:c r="B239" s="8"/>
      <x:c r="C239" s="7"/>
      <x:c r="D239" s="20"/>
      <x:c r="E239" s="7"/>
      <x:c r="F239" s="7"/>
      <x:c r="G239" s="7"/>
      <x:c r="H239" s="7"/>
    </x:row>
    <x:row r="240" ht="22" customHeight="1">
      <x:c r="A240" s="7"/>
      <x:c r="B240" s="8"/>
      <x:c r="C240" s="7"/>
      <x:c r="D240" s="20"/>
      <x:c r="E240" s="7"/>
      <x:c r="F240" s="7"/>
      <x:c r="G240" s="7"/>
      <x:c r="H240" s="7"/>
    </x:row>
    <x:row r="241" ht="22" customHeight="1">
      <x:c r="A241" s="7"/>
      <x:c r="B241" s="8"/>
      <x:c r="C241" s="7"/>
      <x:c r="D241" s="20"/>
      <x:c r="E241" s="7"/>
      <x:c r="F241" s="7"/>
      <x:c r="G241" s="7"/>
      <x:c r="H241" s="7"/>
    </x:row>
    <x:row r="242" ht="22" customHeight="1">
      <x:c r="A242" s="7"/>
      <x:c r="B242" s="8"/>
      <x:c r="C242" s="7"/>
      <x:c r="D242" s="20"/>
      <x:c r="E242" s="7"/>
      <x:c r="F242" s="7"/>
      <x:c r="G242" s="7"/>
      <x:c r="H242" s="7"/>
    </x:row>
    <x:row r="243" ht="22" customHeight="1">
      <x:c r="A243" s="7"/>
      <x:c r="B243" s="8"/>
      <x:c r="C243" s="7"/>
      <x:c r="D243" s="20"/>
      <x:c r="E243" s="7"/>
      <x:c r="F243" s="7"/>
      <x:c r="G243" s="7"/>
      <x:c r="H243" s="7"/>
    </x:row>
    <x:row r="244" ht="22" customHeight="1">
      <x:c r="A244" s="7"/>
      <x:c r="B244" s="8"/>
      <x:c r="C244" s="7"/>
      <x:c r="D244" s="20"/>
      <x:c r="E244" s="7"/>
      <x:c r="F244" s="7"/>
      <x:c r="G244" s="7"/>
      <x:c r="H244" s="7"/>
    </x:row>
    <x:row r="245" ht="22" customHeight="1">
      <x:c r="A245" s="7"/>
      <x:c r="B245" s="8"/>
      <x:c r="C245" s="7"/>
      <x:c r="D245" s="20"/>
      <x:c r="E245" s="7"/>
      <x:c r="F245" s="7"/>
      <x:c r="G245" s="7"/>
      <x:c r="H245" s="7"/>
    </x:row>
    <x:row r="246" ht="22" customHeight="1">
      <x:c r="A246" s="7"/>
      <x:c r="B246" s="8"/>
      <x:c r="C246" s="7"/>
      <x:c r="D246" s="20"/>
      <x:c r="E246" s="7"/>
      <x:c r="F246" s="7"/>
      <x:c r="G246" s="7"/>
      <x:c r="H246" s="7"/>
    </x:row>
    <x:row r="247" ht="22" customHeight="1">
      <x:c r="A247" s="7"/>
      <x:c r="B247" s="8"/>
      <x:c r="C247" s="7"/>
      <x:c r="D247" s="20"/>
      <x:c r="E247" s="7"/>
      <x:c r="F247" s="7"/>
      <x:c r="G247" s="7"/>
      <x:c r="H247" s="7"/>
    </x:row>
    <x:row r="248" ht="22" customHeight="1">
      <x:c r="A248" s="7"/>
      <x:c r="B248" s="8"/>
      <x:c r="C248" s="7"/>
      <x:c r="D248" s="20"/>
      <x:c r="E248" s="7"/>
      <x:c r="F248" s="7"/>
      <x:c r="G248" s="7"/>
      <x:c r="H248" s="7"/>
    </x:row>
    <x:row r="249" ht="22" customHeight="1">
      <x:c r="A249" s="7"/>
      <x:c r="B249" s="8"/>
      <x:c r="C249" s="7"/>
      <x:c r="D249" s="20"/>
      <x:c r="E249" s="7"/>
      <x:c r="F249" s="7"/>
      <x:c r="G249" s="7"/>
      <x:c r="H249" s="7"/>
    </x:row>
    <x:row r="250" ht="22" customHeight="1">
      <x:c r="A250" s="7"/>
      <x:c r="B250" s="8"/>
      <x:c r="C250" s="7"/>
      <x:c r="D250" s="20"/>
      <x:c r="E250" s="7"/>
      <x:c r="F250" s="7"/>
      <x:c r="G250" s="7"/>
      <x:c r="H250" s="7"/>
    </x:row>
    <x:row r="251" ht="22" customHeight="1">
      <x:c r="A251" s="7"/>
      <x:c r="B251" s="8"/>
      <x:c r="C251" s="7"/>
      <x:c r="D251" s="20"/>
      <x:c r="E251" s="7"/>
      <x:c r="F251" s="7"/>
      <x:c r="G251" s="7"/>
      <x:c r="H251" s="7"/>
    </x:row>
    <x:row r="252" ht="22" customHeight="1">
      <x:c r="A252" s="7"/>
      <x:c r="B252" s="8"/>
      <x:c r="C252" s="7"/>
      <x:c r="D252" s="20"/>
      <x:c r="E252" s="7"/>
      <x:c r="F252" s="7"/>
      <x:c r="G252" s="7"/>
      <x:c r="H252" s="7"/>
    </x:row>
    <x:row r="253" ht="22" customHeight="1">
      <x:c r="A253" s="7"/>
      <x:c r="B253" s="8"/>
      <x:c r="C253" s="7"/>
      <x:c r="D253" s="20"/>
      <x:c r="E253" s="7"/>
      <x:c r="F253" s="7"/>
      <x:c r="G253" s="7"/>
      <x:c r="H253" s="7"/>
    </x:row>
    <x:row r="254" ht="22" customHeight="1">
      <x:c r="A254" s="7"/>
      <x:c r="B254" s="8"/>
      <x:c r="C254" s="7"/>
      <x:c r="D254" s="20"/>
      <x:c r="E254" s="7"/>
      <x:c r="F254" s="7"/>
      <x:c r="G254" s="7"/>
      <x:c r="H254" s="7"/>
    </x:row>
    <x:row r="255" ht="22" customHeight="1">
      <x:c r="A255" s="7"/>
      <x:c r="B255" s="8"/>
      <x:c r="C255" s="7"/>
      <x:c r="D255" s="20"/>
      <x:c r="E255" s="7"/>
      <x:c r="F255" s="7"/>
      <x:c r="G255" s="7"/>
      <x:c r="H255" s="7"/>
    </x:row>
    <x:row r="256" ht="22" customHeight="1">
      <x:c r="A256" s="7"/>
      <x:c r="B256" s="8"/>
      <x:c r="C256" s="7"/>
      <x:c r="D256" s="20"/>
      <x:c r="E256" s="7"/>
      <x:c r="F256" s="7"/>
      <x:c r="G256" s="7"/>
      <x:c r="H256" s="7"/>
    </x:row>
    <x:row r="257" ht="22" customHeight="1">
      <x:c r="A257" s="7"/>
      <x:c r="B257" s="8"/>
      <x:c r="C257" s="7"/>
      <x:c r="D257" s="20"/>
      <x:c r="E257" s="7"/>
      <x:c r="F257" s="7"/>
      <x:c r="G257" s="7"/>
      <x:c r="H257" s="7"/>
    </x:row>
    <x:row r="258" ht="22" customHeight="1">
      <x:c r="A258" s="7"/>
      <x:c r="B258" s="8"/>
      <x:c r="C258" s="7"/>
      <x:c r="D258" s="20"/>
      <x:c r="E258" s="7"/>
      <x:c r="F258" s="7"/>
      <x:c r="G258" s="7"/>
      <x:c r="H258" s="7"/>
    </x:row>
    <x:row r="259" ht="22" customHeight="1">
      <x:c r="A259" s="7"/>
      <x:c r="B259" s="8"/>
      <x:c r="C259" s="7"/>
      <x:c r="D259" s="20"/>
      <x:c r="E259" s="7"/>
      <x:c r="F259" s="7"/>
      <x:c r="G259" s="7"/>
      <x:c r="H259" s="7"/>
    </x:row>
    <x:row r="260" ht="22" customHeight="1">
      <x:c r="A260" s="7"/>
      <x:c r="B260" s="8"/>
      <x:c r="C260" s="7"/>
      <x:c r="D260" s="20"/>
      <x:c r="E260" s="7"/>
      <x:c r="F260" s="7"/>
      <x:c r="G260" s="7"/>
      <x:c r="H260" s="7"/>
    </x:row>
    <x:row r="261" ht="22" customHeight="1">
      <x:c r="A261" s="7"/>
      <x:c r="B261" s="8"/>
      <x:c r="C261" s="7"/>
      <x:c r="D261" s="20"/>
      <x:c r="E261" s="7"/>
      <x:c r="F261" s="7"/>
      <x:c r="G261" s="7"/>
      <x:c r="H261" s="7"/>
    </x:row>
    <x:row r="262" ht="22" customHeight="1">
      <x:c r="A262" s="7"/>
      <x:c r="B262" s="8"/>
      <x:c r="C262" s="7"/>
      <x:c r="D262" s="20"/>
      <x:c r="E262" s="7"/>
      <x:c r="F262" s="7"/>
      <x:c r="G262" s="7"/>
      <x:c r="H262" s="7"/>
    </x:row>
    <x:row r="263" ht="22" customHeight="1">
      <x:c r="A263" s="7"/>
      <x:c r="B263" s="8"/>
      <x:c r="C263" s="7"/>
      <x:c r="D263" s="20"/>
      <x:c r="E263" s="7"/>
      <x:c r="F263" s="7"/>
      <x:c r="G263" s="7"/>
      <x:c r="H263" s="7"/>
    </x:row>
    <x:row r="264" ht="22" customHeight="1">
      <x:c r="A264" s="7"/>
      <x:c r="B264" s="8"/>
      <x:c r="C264" s="7"/>
      <x:c r="D264" s="20"/>
      <x:c r="E264" s="7"/>
      <x:c r="F264" s="7"/>
      <x:c r="G264" s="7"/>
      <x:c r="H264" s="7"/>
    </x:row>
    <x:row r="265" ht="22" customHeight="1">
      <x:c r="A265" s="7"/>
      <x:c r="B265" s="8"/>
      <x:c r="C265" s="7"/>
      <x:c r="D265" s="20"/>
      <x:c r="E265" s="7"/>
      <x:c r="F265" s="7"/>
      <x:c r="G265" s="7"/>
      <x:c r="H265" s="7"/>
    </x:row>
    <x:row r="266" ht="22" customHeight="1">
      <x:c r="A266" s="7"/>
      <x:c r="B266" s="8"/>
      <x:c r="C266" s="7"/>
      <x:c r="D266" s="20"/>
      <x:c r="E266" s="7"/>
      <x:c r="F266" s="7"/>
      <x:c r="G266" s="7"/>
      <x:c r="H266" s="7"/>
    </x:row>
    <x:row r="267" ht="22" customHeight="1">
      <x:c r="A267" s="7"/>
      <x:c r="B267" s="8"/>
      <x:c r="C267" s="7"/>
      <x:c r="D267" s="20"/>
      <x:c r="E267" s="7"/>
      <x:c r="F267" s="7"/>
      <x:c r="G267" s="7"/>
      <x:c r="H267" s="7"/>
    </x:row>
    <x:row r="268" ht="22" customHeight="1">
      <x:c r="A268" s="7"/>
      <x:c r="B268" s="8"/>
      <x:c r="C268" s="7"/>
      <x:c r="D268" s="20"/>
      <x:c r="E268" s="7"/>
      <x:c r="F268" s="7"/>
      <x:c r="G268" s="7"/>
      <x:c r="H268" s="7"/>
    </x:row>
    <x:row r="269" ht="22" customHeight="1">
      <x:c r="A269" s="7"/>
      <x:c r="B269" s="8"/>
      <x:c r="C269" s="7"/>
      <x:c r="D269" s="20"/>
      <x:c r="E269" s="7"/>
      <x:c r="F269" s="7"/>
      <x:c r="G269" s="7"/>
      <x:c r="H269" s="7"/>
    </x:row>
    <x:row r="270" ht="22" customHeight="1">
      <x:c r="A270" s="7"/>
      <x:c r="B270" s="8"/>
      <x:c r="C270" s="7"/>
      <x:c r="D270" s="20"/>
      <x:c r="E270" s="7"/>
      <x:c r="F270" s="7"/>
      <x:c r="G270" s="7"/>
      <x:c r="H270" s="7"/>
    </x:row>
    <x:row r="271" ht="22" customHeight="1">
      <x:c r="A271" s="7"/>
      <x:c r="B271" s="8"/>
      <x:c r="C271" s="7"/>
      <x:c r="D271" s="20"/>
      <x:c r="E271" s="7"/>
      <x:c r="F271" s="7"/>
      <x:c r="G271" s="7"/>
      <x:c r="H271" s="7"/>
    </x:row>
    <x:row r="272" ht="22" customHeight="1">
      <x:c r="A272" s="7"/>
      <x:c r="B272" s="8"/>
      <x:c r="C272" s="7"/>
      <x:c r="D272" s="20"/>
      <x:c r="E272" s="7"/>
      <x:c r="F272" s="7"/>
      <x:c r="G272" s="7"/>
      <x:c r="H272" s="7"/>
    </x:row>
    <x:row r="273" ht="22" customHeight="1">
      <x:c r="A273" s="7"/>
      <x:c r="B273" s="8"/>
      <x:c r="C273" s="7"/>
      <x:c r="D273" s="20"/>
      <x:c r="E273" s="7"/>
      <x:c r="F273" s="7"/>
      <x:c r="G273" s="7"/>
      <x:c r="H273" s="7"/>
    </x:row>
    <x:row r="274" ht="22" customHeight="1">
      <x:c r="A274" s="7"/>
      <x:c r="B274" s="8"/>
      <x:c r="C274" s="7"/>
      <x:c r="D274" s="20"/>
      <x:c r="E274" s="7"/>
      <x:c r="F274" s="7"/>
      <x:c r="G274" s="7"/>
      <x:c r="H274" s="7"/>
    </x:row>
    <x:row r="275" ht="22" customHeight="1">
      <x:c r="A275" s="7"/>
      <x:c r="B275" s="8"/>
      <x:c r="C275" s="7"/>
      <x:c r="D275" s="20"/>
      <x:c r="E275" s="7"/>
      <x:c r="F275" s="7"/>
      <x:c r="G275" s="7"/>
      <x:c r="H275" s="7"/>
    </x:row>
    <x:row r="276" ht="22" customHeight="1">
      <x:c r="A276" s="7"/>
      <x:c r="B276" s="8"/>
      <x:c r="C276" s="7"/>
      <x:c r="D276" s="20"/>
      <x:c r="E276" s="7"/>
      <x:c r="F276" s="7"/>
      <x:c r="G276" s="7"/>
      <x:c r="H276" s="7"/>
    </x:row>
    <x:row r="277" ht="22" customHeight="1">
      <x:c r="A277" s="7"/>
      <x:c r="B277" s="8"/>
      <x:c r="C277" s="7"/>
      <x:c r="D277" s="20"/>
      <x:c r="E277" s="7"/>
      <x:c r="F277" s="7"/>
      <x:c r="G277" s="7"/>
      <x:c r="H277" s="7"/>
    </x:row>
    <x:row r="278" ht="22" customHeight="1">
      <x:c r="A278" s="7"/>
      <x:c r="B278" s="8"/>
      <x:c r="C278" s="7"/>
      <x:c r="D278" s="20"/>
      <x:c r="E278" s="7"/>
      <x:c r="F278" s="7"/>
      <x:c r="G278" s="7"/>
      <x:c r="H278" s="7"/>
    </x:row>
    <x:row r="279" ht="22" customHeight="1">
      <x:c r="A279" s="7"/>
      <x:c r="B279" s="8"/>
      <x:c r="C279" s="7"/>
      <x:c r="D279" s="20"/>
      <x:c r="E279" s="7"/>
      <x:c r="F279" s="7"/>
      <x:c r="G279" s="7"/>
      <x:c r="H279" s="7"/>
    </x:row>
    <x:row r="280" ht="22" customHeight="1">
      <x:c r="A280" s="7"/>
      <x:c r="B280" s="8"/>
      <x:c r="C280" s="7"/>
      <x:c r="D280" s="20"/>
      <x:c r="E280" s="7"/>
      <x:c r="F280" s="7"/>
      <x:c r="G280" s="7"/>
      <x:c r="H280" s="7"/>
    </x:row>
    <x:row r="281" ht="22" customHeight="1">
      <x:c r="A281" s="7"/>
      <x:c r="B281" s="8"/>
      <x:c r="C281" s="7"/>
      <x:c r="D281" s="20"/>
      <x:c r="E281" s="7"/>
      <x:c r="F281" s="7"/>
      <x:c r="G281" s="7"/>
      <x:c r="H281" s="7"/>
    </x:row>
    <x:row r="282" ht="22" customHeight="1">
      <x:c r="A282" s="7"/>
      <x:c r="B282" s="8"/>
      <x:c r="C282" s="7"/>
      <x:c r="D282" s="20"/>
      <x:c r="E282" s="7"/>
      <x:c r="F282" s="7"/>
      <x:c r="G282" s="7"/>
      <x:c r="H282" s="7"/>
    </x:row>
    <x:row r="283" ht="22" customHeight="1">
      <x:c r="A283" s="7"/>
      <x:c r="B283" s="8"/>
      <x:c r="C283" s="7"/>
      <x:c r="D283" s="20"/>
      <x:c r="E283" s="7"/>
      <x:c r="F283" s="7"/>
      <x:c r="G283" s="7"/>
      <x:c r="H283" s="7"/>
    </x:row>
    <x:row r="284" ht="22" customHeight="1">
      <x:c r="A284" s="7"/>
      <x:c r="B284" s="8"/>
      <x:c r="C284" s="7"/>
      <x:c r="D284" s="20"/>
      <x:c r="E284" s="7"/>
      <x:c r="F284" s="7"/>
      <x:c r="G284" s="7"/>
      <x:c r="H284" s="7"/>
    </x:row>
    <x:row r="285" ht="22" customHeight="1">
      <x:c r="A285" s="7"/>
      <x:c r="B285" s="8"/>
      <x:c r="C285" s="7"/>
      <x:c r="D285" s="20"/>
      <x:c r="E285" s="7"/>
      <x:c r="F285" s="7"/>
      <x:c r="G285" s="7"/>
      <x:c r="H285" s="7"/>
    </x:row>
    <x:row r="286" ht="22" customHeight="1">
      <x:c r="A286" s="7"/>
      <x:c r="B286" s="8"/>
      <x:c r="C286" s="7"/>
      <x:c r="D286" s="20"/>
      <x:c r="E286" s="7"/>
      <x:c r="F286" s="7"/>
      <x:c r="G286" s="7"/>
      <x:c r="H286" s="7"/>
    </x:row>
    <x:row r="287" ht="22" customHeight="1">
      <x:c r="A287" s="7"/>
      <x:c r="B287" s="8"/>
      <x:c r="C287" s="7"/>
      <x:c r="D287" s="20"/>
      <x:c r="E287" s="7"/>
      <x:c r="F287" s="7"/>
      <x:c r="G287" s="7"/>
      <x:c r="H287" s="7"/>
    </x:row>
    <x:row r="288" ht="22" customHeight="1">
      <x:c r="A288" s="7"/>
      <x:c r="B288" s="8"/>
      <x:c r="C288" s="7"/>
      <x:c r="D288" s="20"/>
      <x:c r="E288" s="7"/>
      <x:c r="F288" s="7"/>
      <x:c r="G288" s="7"/>
      <x:c r="H288" s="7"/>
    </x:row>
    <x:row r="289" ht="22" customHeight="1">
      <x:c r="A289" s="7"/>
      <x:c r="B289" s="8"/>
      <x:c r="C289" s="7"/>
      <x:c r="D289" s="20"/>
      <x:c r="E289" s="7"/>
      <x:c r="F289" s="7"/>
      <x:c r="G289" s="7"/>
      <x:c r="H289" s="7"/>
    </x:row>
    <x:row r="290" ht="22" customHeight="1">
      <x:c r="A290" s="7"/>
      <x:c r="B290" s="8"/>
      <x:c r="C290" s="7"/>
      <x:c r="D290" s="20"/>
      <x:c r="E290" s="7"/>
      <x:c r="F290" s="7"/>
      <x:c r="G290" s="7"/>
      <x:c r="H290" s="7"/>
    </x:row>
    <x:row r="291" ht="22" customHeight="1">
      <x:c r="A291" s="7"/>
      <x:c r="B291" s="8"/>
      <x:c r="C291" s="7"/>
      <x:c r="D291" s="20"/>
      <x:c r="E291" s="7"/>
      <x:c r="F291" s="7"/>
      <x:c r="G291" s="7"/>
      <x:c r="H291" s="7"/>
    </x:row>
    <x:row r="292" ht="22" customHeight="1">
      <x:c r="A292" s="7"/>
      <x:c r="B292" s="8"/>
      <x:c r="C292" s="7"/>
      <x:c r="D292" s="20"/>
      <x:c r="E292" s="7"/>
      <x:c r="F292" s="7"/>
      <x:c r="G292" s="7"/>
      <x:c r="H292" s="7"/>
    </x:row>
    <x:row r="293" ht="22" customHeight="1">
      <x:c r="A293" s="7"/>
      <x:c r="B293" s="8"/>
      <x:c r="C293" s="7"/>
      <x:c r="D293" s="20"/>
      <x:c r="E293" s="7"/>
      <x:c r="F293" s="7"/>
      <x:c r="G293" s="7"/>
      <x:c r="H293" s="7"/>
    </x:row>
    <x:row r="294" ht="22" customHeight="1">
      <x:c r="A294" s="7"/>
      <x:c r="B294" s="8"/>
      <x:c r="C294" s="7"/>
      <x:c r="D294" s="20"/>
      <x:c r="E294" s="7"/>
      <x:c r="F294" s="7"/>
      <x:c r="G294" s="7"/>
      <x:c r="H294" s="7"/>
    </x:row>
    <x:row r="295" ht="22" customHeight="1">
      <x:c r="A295" s="7"/>
      <x:c r="B295" s="8"/>
      <x:c r="C295" s="7"/>
      <x:c r="D295" s="20"/>
      <x:c r="E295" s="7"/>
      <x:c r="F295" s="7"/>
      <x:c r="G295" s="7"/>
      <x:c r="H295" s="7"/>
    </x:row>
    <x:row r="296" ht="22" customHeight="1">
      <x:c r="A296" s="7"/>
      <x:c r="B296" s="8"/>
      <x:c r="C296" s="7"/>
      <x:c r="D296" s="20"/>
      <x:c r="E296" s="7"/>
      <x:c r="F296" s="7"/>
      <x:c r="G296" s="7"/>
      <x:c r="H296" s="7"/>
    </x:row>
    <x:row r="297" ht="22" customHeight="1">
      <x:c r="A297" s="7"/>
      <x:c r="B297" s="8"/>
      <x:c r="C297" s="7"/>
      <x:c r="D297" s="20"/>
      <x:c r="E297" s="7"/>
      <x:c r="F297" s="7"/>
      <x:c r="G297" s="7"/>
      <x:c r="H297" s="7"/>
    </x:row>
    <x:row r="298" ht="22" customHeight="1">
      <x:c r="A298" s="7"/>
      <x:c r="B298" s="8"/>
      <x:c r="C298" s="7"/>
      <x:c r="D298" s="20"/>
      <x:c r="E298" s="7"/>
      <x:c r="F298" s="7"/>
      <x:c r="G298" s="7"/>
      <x:c r="H298" s="7"/>
    </x:row>
    <x:row r="299" ht="22" customHeight="1">
      <x:c r="A299" s="7"/>
      <x:c r="B299" s="8"/>
      <x:c r="C299" s="7"/>
      <x:c r="D299" s="20"/>
      <x:c r="E299" s="7"/>
      <x:c r="F299" s="7"/>
      <x:c r="G299" s="7"/>
      <x:c r="H299" s="7"/>
    </x:row>
    <x:row r="300" ht="22" customHeight="1">
      <x:c r="A300" s="7"/>
      <x:c r="B300" s="8"/>
      <x:c r="C300" s="7"/>
      <x:c r="D300" s="20"/>
      <x:c r="E300" s="7"/>
      <x:c r="F300" s="7"/>
      <x:c r="G300" s="7"/>
      <x:c r="H300" s="7"/>
    </x:row>
    <x:row r="301" ht="22" customHeight="1">
      <x:c r="A301" s="7"/>
      <x:c r="B301" s="8"/>
      <x:c r="C301" s="7"/>
      <x:c r="D301" s="20"/>
      <x:c r="E301" s="7"/>
      <x:c r="F301" s="7"/>
      <x:c r="G301" s="7"/>
      <x:c r="H301" s="7"/>
    </x:row>
    <x:row r="302" ht="22" customHeight="1">
      <x:c r="A302" s="7"/>
      <x:c r="B302" s="8"/>
      <x:c r="C302" s="7"/>
      <x:c r="D302" s="20"/>
      <x:c r="E302" s="7"/>
      <x:c r="F302" s="7"/>
      <x:c r="G302" s="7"/>
      <x:c r="H302" s="7"/>
    </x:row>
    <x:row r="303" ht="22" customHeight="1">
      <x:c r="A303" s="7"/>
      <x:c r="B303" s="8"/>
      <x:c r="C303" s="7"/>
      <x:c r="D303" s="20"/>
      <x:c r="E303" s="7"/>
      <x:c r="F303" s="7"/>
      <x:c r="G303" s="7"/>
      <x:c r="H303" s="7"/>
    </x:row>
    <x:row r="304" ht="22" customHeight="1">
      <x:c r="A304" s="7"/>
      <x:c r="B304" s="8"/>
      <x:c r="C304" s="7"/>
      <x:c r="D304" s="20"/>
      <x:c r="E304" s="7"/>
      <x:c r="F304" s="7"/>
      <x:c r="G304" s="7"/>
      <x:c r="H304" s="7"/>
    </x:row>
    <x:row r="305" ht="22" customHeight="1">
      <x:c r="A305" s="7"/>
      <x:c r="B305" s="8"/>
      <x:c r="C305" s="7"/>
      <x:c r="D305" s="20"/>
      <x:c r="E305" s="7"/>
      <x:c r="F305" s="7"/>
      <x:c r="G305" s="7"/>
      <x:c r="H305" s="7"/>
    </x:row>
    <x:row r="306" ht="22" customHeight="1">
      <x:c r="A306" s="7"/>
      <x:c r="B306" s="8"/>
      <x:c r="C306" s="7"/>
      <x:c r="D306" s="20"/>
      <x:c r="E306" s="7"/>
      <x:c r="F306" s="7"/>
      <x:c r="G306" s="7"/>
      <x:c r="H306" s="7"/>
    </x:row>
  </x:sheetData>
  <x:dataValidations count="1">
    <x:dataValidation type="list" sqref="G7:G306">
      <x:formula1>"Zahlung,Vertrag,Rechnung,Verwendungsbeleg,Korrespondenz,sonstiger Nachweis"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e44dcecd1841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36" hidden="0" customWidth="1"/>
    <x:col min="4" max="4" width="33" hidden="0" customWidth="1"/>
    <x:col min="5" max="5" width="39" hidden="0" customWidth="1"/>
    <x:col min="6" max="6" width="38" hidden="0" customWidth="1"/>
    <x:col min="7" max="7" width="40" hidden="0" customWidth="1"/>
    <x:col min="8" max="8" width="18" hidden="0" customWidth="1"/>
    <x:col min="9" max="9" width="23" hidden="0" customWidth="1"/>
    <x:col min="10" max="10" width="29" hidden="0" customWidth="1"/>
    <x:col min="11" max="11" width="25" hidden="0" customWidth="1"/>
    <x:col min="12" max="12" width="4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Rückfragen und Anschreiben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5" t="str">
        <x:v>Adressquelle und Zuständigkeit belegen. Entwurf und tatsächlicher Versand bleiben getrennt.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18" t="str">
        <x:v>Vorgang-ID</x:v>
      </x:c>
      <x:c r="B6" s="18" t="str">
        <x:v>Buchung / Beleg</x:v>
      </x:c>
      <x:c r="C6" s="18" t="str">
        <x:v>Empfänger</x:v>
      </x:c>
      <x:c r="D6" s="18" t="str">
        <x:v>Anschrift / E-Mail</x:v>
      </x:c>
      <x:c r="E6" s="18" t="str">
        <x:v>Adressquelle</x:v>
      </x:c>
      <x:c r="F6" s="18" t="str">
        <x:v>Zu klärender Sachverhalt</x:v>
      </x:c>
      <x:c r="G6" s="18" t="str">
        <x:v>Schreiben / Prüfauftrag</x:v>
      </x:c>
      <x:c r="H6" s="18" t="str">
        <x:v>Frist</x:v>
      </x:c>
      <x:c r="I6" s="18" t="str">
        <x:v>Bearbeitungsstand</x:v>
      </x:c>
      <x:c r="J6" s="18" t="str">
        <x:v>Entwurfspfad</x:v>
      </x:c>
      <x:c r="K6" s="18" t="str">
        <x:v>Freigabe durch / am</x:v>
      </x:c>
      <x:c r="L6" s="18" t="str">
        <x:v>Versandbeleg / Antwort</x:v>
      </x:c>
    </x:row>
    <x:row r="7" ht="22" customHeight="1">
      <x:c r="A7" s="7"/>
      <x:c r="B7" s="7"/>
      <x:c r="C7" s="7"/>
      <x:c r="D7" s="7"/>
      <x:c r="E7" s="7"/>
      <x:c r="F7" s="7"/>
      <x:c r="G7" s="7"/>
      <x:c r="H7" s="8"/>
      <x:c r="I7" s="7"/>
      <x:c r="J7" s="7"/>
      <x:c r="K7" s="7"/>
      <x:c r="L7" s="7"/>
    </x:row>
    <x:row r="8" ht="22" customHeight="1">
      <x:c r="A8" s="7"/>
      <x:c r="B8" s="7"/>
      <x:c r="C8" s="7"/>
      <x:c r="D8" s="7"/>
      <x:c r="E8" s="7"/>
      <x:c r="F8" s="7"/>
      <x:c r="G8" s="7"/>
      <x:c r="H8" s="8"/>
      <x:c r="I8" s="7"/>
      <x:c r="J8" s="7"/>
      <x:c r="K8" s="7"/>
      <x:c r="L8" s="7"/>
    </x:row>
    <x:row r="9" ht="22" customHeight="1">
      <x:c r="A9" s="7"/>
      <x:c r="B9" s="7"/>
      <x:c r="C9" s="7"/>
      <x:c r="D9" s="7"/>
      <x:c r="E9" s="7"/>
      <x:c r="F9" s="7"/>
      <x:c r="G9" s="7"/>
      <x:c r="H9" s="8"/>
      <x:c r="I9" s="7"/>
      <x:c r="J9" s="7"/>
      <x:c r="K9" s="7"/>
      <x:c r="L9" s="7"/>
    </x:row>
    <x:row r="10" ht="22" customHeight="1">
      <x:c r="A10" s="7"/>
      <x:c r="B10" s="7"/>
      <x:c r="C10" s="7"/>
      <x:c r="D10" s="7"/>
      <x:c r="E10" s="7"/>
      <x:c r="F10" s="7"/>
      <x:c r="G10" s="7"/>
      <x:c r="H10" s="8"/>
      <x:c r="I10" s="7"/>
      <x:c r="J10" s="7"/>
      <x:c r="K10" s="7"/>
      <x:c r="L10" s="7"/>
    </x:row>
    <x:row r="11" ht="22" customHeight="1">
      <x:c r="A11" s="7"/>
      <x:c r="B11" s="7"/>
      <x:c r="C11" s="7"/>
      <x:c r="D11" s="7"/>
      <x:c r="E11" s="7"/>
      <x:c r="F11" s="7"/>
      <x:c r="G11" s="7"/>
      <x:c r="H11" s="8"/>
      <x:c r="I11" s="7"/>
      <x:c r="J11" s="7"/>
      <x:c r="K11" s="7"/>
      <x:c r="L11" s="7"/>
    </x:row>
    <x:row r="12" ht="22" customHeight="1">
      <x:c r="A12" s="7"/>
      <x:c r="B12" s="7"/>
      <x:c r="C12" s="7"/>
      <x:c r="D12" s="7"/>
      <x:c r="E12" s="7"/>
      <x:c r="F12" s="7"/>
      <x:c r="G12" s="7"/>
      <x:c r="H12" s="8"/>
      <x:c r="I12" s="7"/>
      <x:c r="J12" s="7"/>
      <x:c r="K12" s="7"/>
      <x:c r="L12" s="7"/>
    </x:row>
    <x:row r="13" ht="22" customHeight="1">
      <x:c r="A13" s="7"/>
      <x:c r="B13" s="7"/>
      <x:c r="C13" s="7"/>
      <x:c r="D13" s="7"/>
      <x:c r="E13" s="7"/>
      <x:c r="F13" s="7"/>
      <x:c r="G13" s="7"/>
      <x:c r="H13" s="8"/>
      <x:c r="I13" s="7"/>
      <x:c r="J13" s="7"/>
      <x:c r="K13" s="7"/>
      <x:c r="L13" s="7"/>
    </x:row>
    <x:row r="14" ht="22" customHeight="1">
      <x:c r="A14" s="7"/>
      <x:c r="B14" s="7"/>
      <x:c r="C14" s="7"/>
      <x:c r="D14" s="7"/>
      <x:c r="E14" s="7"/>
      <x:c r="F14" s="7"/>
      <x:c r="G14" s="7"/>
      <x:c r="H14" s="8"/>
      <x:c r="I14" s="7"/>
      <x:c r="J14" s="7"/>
      <x:c r="K14" s="7"/>
      <x:c r="L14" s="7"/>
    </x:row>
    <x:row r="15" ht="22" customHeight="1">
      <x:c r="A15" s="7"/>
      <x:c r="B15" s="7"/>
      <x:c r="C15" s="7"/>
      <x:c r="D15" s="7"/>
      <x:c r="E15" s="7"/>
      <x:c r="F15" s="7"/>
      <x:c r="G15" s="7"/>
      <x:c r="H15" s="8"/>
      <x:c r="I15" s="7"/>
      <x:c r="J15" s="7"/>
      <x:c r="K15" s="7"/>
      <x:c r="L15" s="7"/>
    </x:row>
    <x:row r="16" ht="22" customHeight="1">
      <x:c r="A16" s="7"/>
      <x:c r="B16" s="7"/>
      <x:c r="C16" s="7"/>
      <x:c r="D16" s="7"/>
      <x:c r="E16" s="7"/>
      <x:c r="F16" s="7"/>
      <x:c r="G16" s="7"/>
      <x:c r="H16" s="8"/>
      <x:c r="I16" s="7"/>
      <x:c r="J16" s="7"/>
      <x:c r="K16" s="7"/>
      <x:c r="L16" s="7"/>
    </x:row>
    <x:row r="17" ht="22" customHeight="1">
      <x:c r="A17" s="7"/>
      <x:c r="B17" s="7"/>
      <x:c r="C17" s="7"/>
      <x:c r="D17" s="7"/>
      <x:c r="E17" s="7"/>
      <x:c r="F17" s="7"/>
      <x:c r="G17" s="7"/>
      <x:c r="H17" s="8"/>
      <x:c r="I17" s="7"/>
      <x:c r="J17" s="7"/>
      <x:c r="K17" s="7"/>
      <x:c r="L17" s="7"/>
    </x:row>
    <x:row r="18" ht="22" customHeight="1">
      <x:c r="A18" s="7"/>
      <x:c r="B18" s="7"/>
      <x:c r="C18" s="7"/>
      <x:c r="D18" s="7"/>
      <x:c r="E18" s="7"/>
      <x:c r="F18" s="7"/>
      <x:c r="G18" s="7"/>
      <x:c r="H18" s="8"/>
      <x:c r="I18" s="7"/>
      <x:c r="J18" s="7"/>
      <x:c r="K18" s="7"/>
      <x:c r="L18" s="7"/>
    </x:row>
    <x:row r="19" ht="22" customHeight="1">
      <x:c r="A19" s="7"/>
      <x:c r="B19" s="7"/>
      <x:c r="C19" s="7"/>
      <x:c r="D19" s="7"/>
      <x:c r="E19" s="7"/>
      <x:c r="F19" s="7"/>
      <x:c r="G19" s="7"/>
      <x:c r="H19" s="8"/>
      <x:c r="I19" s="7"/>
      <x:c r="J19" s="7"/>
      <x:c r="K19" s="7"/>
      <x:c r="L19" s="7"/>
    </x:row>
    <x:row r="20" ht="22" customHeight="1">
      <x:c r="A20" s="7"/>
      <x:c r="B20" s="7"/>
      <x:c r="C20" s="7"/>
      <x:c r="D20" s="7"/>
      <x:c r="E20" s="7"/>
      <x:c r="F20" s="7"/>
      <x:c r="G20" s="7"/>
      <x:c r="H20" s="8"/>
      <x:c r="I20" s="7"/>
      <x:c r="J20" s="7"/>
      <x:c r="K20" s="7"/>
      <x:c r="L20" s="7"/>
    </x:row>
    <x:row r="21" ht="22" customHeight="1">
      <x:c r="A21" s="7"/>
      <x:c r="B21" s="7"/>
      <x:c r="C21" s="7"/>
      <x:c r="D21" s="7"/>
      <x:c r="E21" s="7"/>
      <x:c r="F21" s="7"/>
      <x:c r="G21" s="7"/>
      <x:c r="H21" s="8"/>
      <x:c r="I21" s="7"/>
      <x:c r="J21" s="7"/>
      <x:c r="K21" s="7"/>
      <x:c r="L21" s="7"/>
    </x:row>
    <x:row r="22" ht="22" customHeight="1">
      <x:c r="A22" s="7"/>
      <x:c r="B22" s="7"/>
      <x:c r="C22" s="7"/>
      <x:c r="D22" s="7"/>
      <x:c r="E22" s="7"/>
      <x:c r="F22" s="7"/>
      <x:c r="G22" s="7"/>
      <x:c r="H22" s="8"/>
      <x:c r="I22" s="7"/>
      <x:c r="J22" s="7"/>
      <x:c r="K22" s="7"/>
      <x:c r="L22" s="7"/>
    </x:row>
    <x:row r="23" ht="22" customHeight="1">
      <x:c r="A23" s="7"/>
      <x:c r="B23" s="7"/>
      <x:c r="C23" s="7"/>
      <x:c r="D23" s="7"/>
      <x:c r="E23" s="7"/>
      <x:c r="F23" s="7"/>
      <x:c r="G23" s="7"/>
      <x:c r="H23" s="8"/>
      <x:c r="I23" s="7"/>
      <x:c r="J23" s="7"/>
      <x:c r="K23" s="7"/>
      <x:c r="L23" s="7"/>
    </x:row>
    <x:row r="24" ht="22" customHeight="1">
      <x:c r="A24" s="7"/>
      <x:c r="B24" s="7"/>
      <x:c r="C24" s="7"/>
      <x:c r="D24" s="7"/>
      <x:c r="E24" s="7"/>
      <x:c r="F24" s="7"/>
      <x:c r="G24" s="7"/>
      <x:c r="H24" s="8"/>
      <x:c r="I24" s="7"/>
      <x:c r="J24" s="7"/>
      <x:c r="K24" s="7"/>
      <x:c r="L24" s="7"/>
    </x:row>
    <x:row r="25" ht="22" customHeight="1">
      <x:c r="A25" s="7"/>
      <x:c r="B25" s="7"/>
      <x:c r="C25" s="7"/>
      <x:c r="D25" s="7"/>
      <x:c r="E25" s="7"/>
      <x:c r="F25" s="7"/>
      <x:c r="G25" s="7"/>
      <x:c r="H25" s="8"/>
      <x:c r="I25" s="7"/>
      <x:c r="J25" s="7"/>
      <x:c r="K25" s="7"/>
      <x:c r="L25" s="7"/>
    </x:row>
    <x:row r="26" ht="22" customHeight="1">
      <x:c r="A26" s="7"/>
      <x:c r="B26" s="7"/>
      <x:c r="C26" s="7"/>
      <x:c r="D26" s="7"/>
      <x:c r="E26" s="7"/>
      <x:c r="F26" s="7"/>
      <x:c r="G26" s="7"/>
      <x:c r="H26" s="8"/>
      <x:c r="I26" s="7"/>
      <x:c r="J26" s="7"/>
      <x:c r="K26" s="7"/>
      <x:c r="L26" s="7"/>
    </x:row>
    <x:row r="27" ht="22" customHeight="1">
      <x:c r="A27" s="7"/>
      <x:c r="B27" s="7"/>
      <x:c r="C27" s="7"/>
      <x:c r="D27" s="7"/>
      <x:c r="E27" s="7"/>
      <x:c r="F27" s="7"/>
      <x:c r="G27" s="7"/>
      <x:c r="H27" s="8"/>
      <x:c r="I27" s="7"/>
      <x:c r="J27" s="7"/>
      <x:c r="K27" s="7"/>
      <x:c r="L27" s="7"/>
    </x:row>
    <x:row r="28" ht="22" customHeight="1">
      <x:c r="A28" s="7"/>
      <x:c r="B28" s="7"/>
      <x:c r="C28" s="7"/>
      <x:c r="D28" s="7"/>
      <x:c r="E28" s="7"/>
      <x:c r="F28" s="7"/>
      <x:c r="G28" s="7"/>
      <x:c r="H28" s="8"/>
      <x:c r="I28" s="7"/>
      <x:c r="J28" s="7"/>
      <x:c r="K28" s="7"/>
      <x:c r="L28" s="7"/>
    </x:row>
    <x:row r="29" ht="22" customHeight="1">
      <x:c r="A29" s="7"/>
      <x:c r="B29" s="7"/>
      <x:c r="C29" s="7"/>
      <x:c r="D29" s="7"/>
      <x:c r="E29" s="7"/>
      <x:c r="F29" s="7"/>
      <x:c r="G29" s="7"/>
      <x:c r="H29" s="8"/>
      <x:c r="I29" s="7"/>
      <x:c r="J29" s="7"/>
      <x:c r="K29" s="7"/>
      <x:c r="L29" s="7"/>
    </x:row>
    <x:row r="30" ht="22" customHeight="1">
      <x:c r="A30" s="7"/>
      <x:c r="B30" s="7"/>
      <x:c r="C30" s="7"/>
      <x:c r="D30" s="7"/>
      <x:c r="E30" s="7"/>
      <x:c r="F30" s="7"/>
      <x:c r="G30" s="7"/>
      <x:c r="H30" s="8"/>
      <x:c r="I30" s="7"/>
      <x:c r="J30" s="7"/>
      <x:c r="K30" s="7"/>
      <x:c r="L30" s="7"/>
    </x:row>
    <x:row r="31" ht="22" customHeight="1">
      <x:c r="A31" s="7"/>
      <x:c r="B31" s="7"/>
      <x:c r="C31" s="7"/>
      <x:c r="D31" s="7"/>
      <x:c r="E31" s="7"/>
      <x:c r="F31" s="7"/>
      <x:c r="G31" s="7"/>
      <x:c r="H31" s="8"/>
      <x:c r="I31" s="7"/>
      <x:c r="J31" s="7"/>
      <x:c r="K31" s="7"/>
      <x:c r="L31" s="7"/>
    </x:row>
    <x:row r="32" ht="22" customHeight="1">
      <x:c r="A32" s="7"/>
      <x:c r="B32" s="7"/>
      <x:c r="C32" s="7"/>
      <x:c r="D32" s="7"/>
      <x:c r="E32" s="7"/>
      <x:c r="F32" s="7"/>
      <x:c r="G32" s="7"/>
      <x:c r="H32" s="8"/>
      <x:c r="I32" s="7"/>
      <x:c r="J32" s="7"/>
      <x:c r="K32" s="7"/>
      <x:c r="L32" s="7"/>
    </x:row>
    <x:row r="33" ht="22" customHeight="1">
      <x:c r="A33" s="7"/>
      <x:c r="B33" s="7"/>
      <x:c r="C33" s="7"/>
      <x:c r="D33" s="7"/>
      <x:c r="E33" s="7"/>
      <x:c r="F33" s="7"/>
      <x:c r="G33" s="7"/>
      <x:c r="H33" s="8"/>
      <x:c r="I33" s="7"/>
      <x:c r="J33" s="7"/>
      <x:c r="K33" s="7"/>
      <x:c r="L33" s="7"/>
    </x:row>
    <x:row r="34" ht="22" customHeight="1">
      <x:c r="A34" s="7"/>
      <x:c r="B34" s="7"/>
      <x:c r="C34" s="7"/>
      <x:c r="D34" s="7"/>
      <x:c r="E34" s="7"/>
      <x:c r="F34" s="7"/>
      <x:c r="G34" s="7"/>
      <x:c r="H34" s="8"/>
      <x:c r="I34" s="7"/>
      <x:c r="J34" s="7"/>
      <x:c r="K34" s="7"/>
      <x:c r="L34" s="7"/>
    </x:row>
    <x:row r="35" ht="22" customHeight="1">
      <x:c r="A35" s="7"/>
      <x:c r="B35" s="7"/>
      <x:c r="C35" s="7"/>
      <x:c r="D35" s="7"/>
      <x:c r="E35" s="7"/>
      <x:c r="F35" s="7"/>
      <x:c r="G35" s="7"/>
      <x:c r="H35" s="8"/>
      <x:c r="I35" s="7"/>
      <x:c r="J35" s="7"/>
      <x:c r="K35" s="7"/>
      <x:c r="L35" s="7"/>
    </x:row>
    <x:row r="36" ht="22" customHeight="1">
      <x:c r="A36" s="7"/>
      <x:c r="B36" s="7"/>
      <x:c r="C36" s="7"/>
      <x:c r="D36" s="7"/>
      <x:c r="E36" s="7"/>
      <x:c r="F36" s="7"/>
      <x:c r="G36" s="7"/>
      <x:c r="H36" s="8"/>
      <x:c r="I36" s="7"/>
      <x:c r="J36" s="7"/>
      <x:c r="K36" s="7"/>
      <x:c r="L36" s="7"/>
    </x:row>
    <x:row r="37" ht="22" customHeight="1">
      <x:c r="A37" s="7"/>
      <x:c r="B37" s="7"/>
      <x:c r="C37" s="7"/>
      <x:c r="D37" s="7"/>
      <x:c r="E37" s="7"/>
      <x:c r="F37" s="7"/>
      <x:c r="G37" s="7"/>
      <x:c r="H37" s="8"/>
      <x:c r="I37" s="7"/>
      <x:c r="J37" s="7"/>
      <x:c r="K37" s="7"/>
      <x:c r="L37" s="7"/>
    </x:row>
    <x:row r="38" ht="22" customHeight="1">
      <x:c r="A38" s="7"/>
      <x:c r="B38" s="7"/>
      <x:c r="C38" s="7"/>
      <x:c r="D38" s="7"/>
      <x:c r="E38" s="7"/>
      <x:c r="F38" s="7"/>
      <x:c r="G38" s="7"/>
      <x:c r="H38" s="8"/>
      <x:c r="I38" s="7"/>
      <x:c r="J38" s="7"/>
      <x:c r="K38" s="7"/>
      <x:c r="L38" s="7"/>
    </x:row>
    <x:row r="39" ht="22" customHeight="1">
      <x:c r="A39" s="7"/>
      <x:c r="B39" s="7"/>
      <x:c r="C39" s="7"/>
      <x:c r="D39" s="7"/>
      <x:c r="E39" s="7"/>
      <x:c r="F39" s="7"/>
      <x:c r="G39" s="7"/>
      <x:c r="H39" s="8"/>
      <x:c r="I39" s="7"/>
      <x:c r="J39" s="7"/>
      <x:c r="K39" s="7"/>
      <x:c r="L39" s="7"/>
    </x:row>
    <x:row r="40" ht="22" customHeight="1">
      <x:c r="A40" s="7"/>
      <x:c r="B40" s="7"/>
      <x:c r="C40" s="7"/>
      <x:c r="D40" s="7"/>
      <x:c r="E40" s="7"/>
      <x:c r="F40" s="7"/>
      <x:c r="G40" s="7"/>
      <x:c r="H40" s="8"/>
      <x:c r="I40" s="7"/>
      <x:c r="J40" s="7"/>
      <x:c r="K40" s="7"/>
      <x:c r="L40" s="7"/>
    </x:row>
    <x:row r="41" ht="22" customHeight="1">
      <x:c r="A41" s="7"/>
      <x:c r="B41" s="7"/>
      <x:c r="C41" s="7"/>
      <x:c r="D41" s="7"/>
      <x:c r="E41" s="7"/>
      <x:c r="F41" s="7"/>
      <x:c r="G41" s="7"/>
      <x:c r="H41" s="8"/>
      <x:c r="I41" s="7"/>
      <x:c r="J41" s="7"/>
      <x:c r="K41" s="7"/>
      <x:c r="L41" s="7"/>
    </x:row>
    <x:row r="42" ht="22" customHeight="1">
      <x:c r="A42" s="7"/>
      <x:c r="B42" s="7"/>
      <x:c r="C42" s="7"/>
      <x:c r="D42" s="7"/>
      <x:c r="E42" s="7"/>
      <x:c r="F42" s="7"/>
      <x:c r="G42" s="7"/>
      <x:c r="H42" s="8"/>
      <x:c r="I42" s="7"/>
      <x:c r="J42" s="7"/>
      <x:c r="K42" s="7"/>
      <x:c r="L42" s="7"/>
    </x:row>
    <x:row r="43" ht="22" customHeight="1">
      <x:c r="A43" s="7"/>
      <x:c r="B43" s="7"/>
      <x:c r="C43" s="7"/>
      <x:c r="D43" s="7"/>
      <x:c r="E43" s="7"/>
      <x:c r="F43" s="7"/>
      <x:c r="G43" s="7"/>
      <x:c r="H43" s="8"/>
      <x:c r="I43" s="7"/>
      <x:c r="J43" s="7"/>
      <x:c r="K43" s="7"/>
      <x:c r="L43" s="7"/>
    </x:row>
    <x:row r="44" ht="22" customHeight="1">
      <x:c r="A44" s="7"/>
      <x:c r="B44" s="7"/>
      <x:c r="C44" s="7"/>
      <x:c r="D44" s="7"/>
      <x:c r="E44" s="7"/>
      <x:c r="F44" s="7"/>
      <x:c r="G44" s="7"/>
      <x:c r="H44" s="8"/>
      <x:c r="I44" s="7"/>
      <x:c r="J44" s="7"/>
      <x:c r="K44" s="7"/>
      <x:c r="L44" s="7"/>
    </x:row>
    <x:row r="45" ht="22" customHeight="1">
      <x:c r="A45" s="7"/>
      <x:c r="B45" s="7"/>
      <x:c r="C45" s="7"/>
      <x:c r="D45" s="7"/>
      <x:c r="E45" s="7"/>
      <x:c r="F45" s="7"/>
      <x:c r="G45" s="7"/>
      <x:c r="H45" s="8"/>
      <x:c r="I45" s="7"/>
      <x:c r="J45" s="7"/>
      <x:c r="K45" s="7"/>
      <x:c r="L45" s="7"/>
    </x:row>
    <x:row r="46" ht="22" customHeight="1">
      <x:c r="A46" s="7"/>
      <x:c r="B46" s="7"/>
      <x:c r="C46" s="7"/>
      <x:c r="D46" s="7"/>
      <x:c r="E46" s="7"/>
      <x:c r="F46" s="7"/>
      <x:c r="G46" s="7"/>
      <x:c r="H46" s="8"/>
      <x:c r="I46" s="7"/>
      <x:c r="J46" s="7"/>
      <x:c r="K46" s="7"/>
      <x:c r="L46" s="7"/>
    </x:row>
    <x:row r="47" ht="22" customHeight="1">
      <x:c r="A47" s="7"/>
      <x:c r="B47" s="7"/>
      <x:c r="C47" s="7"/>
      <x:c r="D47" s="7"/>
      <x:c r="E47" s="7"/>
      <x:c r="F47" s="7"/>
      <x:c r="G47" s="7"/>
      <x:c r="H47" s="8"/>
      <x:c r="I47" s="7"/>
      <x:c r="J47" s="7"/>
      <x:c r="K47" s="7"/>
      <x:c r="L47" s="7"/>
    </x:row>
    <x:row r="48" ht="22" customHeight="1">
      <x:c r="A48" s="7"/>
      <x:c r="B48" s="7"/>
      <x:c r="C48" s="7"/>
      <x:c r="D48" s="7"/>
      <x:c r="E48" s="7"/>
      <x:c r="F48" s="7"/>
      <x:c r="G48" s="7"/>
      <x:c r="H48" s="8"/>
      <x:c r="I48" s="7"/>
      <x:c r="J48" s="7"/>
      <x:c r="K48" s="7"/>
      <x:c r="L48" s="7"/>
    </x:row>
    <x:row r="49" ht="22" customHeight="1">
      <x:c r="A49" s="7"/>
      <x:c r="B49" s="7"/>
      <x:c r="C49" s="7"/>
      <x:c r="D49" s="7"/>
      <x:c r="E49" s="7"/>
      <x:c r="F49" s="7"/>
      <x:c r="G49" s="7"/>
      <x:c r="H49" s="8"/>
      <x:c r="I49" s="7"/>
      <x:c r="J49" s="7"/>
      <x:c r="K49" s="7"/>
      <x:c r="L49" s="7"/>
    </x:row>
    <x:row r="50" ht="22" customHeight="1">
      <x:c r="A50" s="7"/>
      <x:c r="B50" s="7"/>
      <x:c r="C50" s="7"/>
      <x:c r="D50" s="7"/>
      <x:c r="E50" s="7"/>
      <x:c r="F50" s="7"/>
      <x:c r="G50" s="7"/>
      <x:c r="H50" s="8"/>
      <x:c r="I50" s="7"/>
      <x:c r="J50" s="7"/>
      <x:c r="K50" s="7"/>
      <x:c r="L50" s="7"/>
    </x:row>
    <x:row r="51" ht="22" customHeight="1">
      <x:c r="A51" s="7"/>
      <x:c r="B51" s="7"/>
      <x:c r="C51" s="7"/>
      <x:c r="D51" s="7"/>
      <x:c r="E51" s="7"/>
      <x:c r="F51" s="7"/>
      <x:c r="G51" s="7"/>
      <x:c r="H51" s="8"/>
      <x:c r="I51" s="7"/>
      <x:c r="J51" s="7"/>
      <x:c r="K51" s="7"/>
      <x:c r="L51" s="7"/>
    </x:row>
    <x:row r="52" ht="22" customHeight="1">
      <x:c r="A52" s="7"/>
      <x:c r="B52" s="7"/>
      <x:c r="C52" s="7"/>
      <x:c r="D52" s="7"/>
      <x:c r="E52" s="7"/>
      <x:c r="F52" s="7"/>
      <x:c r="G52" s="7"/>
      <x:c r="H52" s="8"/>
      <x:c r="I52" s="7"/>
      <x:c r="J52" s="7"/>
      <x:c r="K52" s="7"/>
      <x:c r="L52" s="7"/>
    </x:row>
    <x:row r="53" ht="22" customHeight="1">
      <x:c r="A53" s="7"/>
      <x:c r="B53" s="7"/>
      <x:c r="C53" s="7"/>
      <x:c r="D53" s="7"/>
      <x:c r="E53" s="7"/>
      <x:c r="F53" s="7"/>
      <x:c r="G53" s="7"/>
      <x:c r="H53" s="8"/>
      <x:c r="I53" s="7"/>
      <x:c r="J53" s="7"/>
      <x:c r="K53" s="7"/>
      <x:c r="L53" s="7"/>
    </x:row>
    <x:row r="54" ht="22" customHeight="1">
      <x:c r="A54" s="7"/>
      <x:c r="B54" s="7"/>
      <x:c r="C54" s="7"/>
      <x:c r="D54" s="7"/>
      <x:c r="E54" s="7"/>
      <x:c r="F54" s="7"/>
      <x:c r="G54" s="7"/>
      <x:c r="H54" s="8"/>
      <x:c r="I54" s="7"/>
      <x:c r="J54" s="7"/>
      <x:c r="K54" s="7"/>
      <x:c r="L54" s="7"/>
    </x:row>
    <x:row r="55" ht="22" customHeight="1">
      <x:c r="A55" s="7"/>
      <x:c r="B55" s="7"/>
      <x:c r="C55" s="7"/>
      <x:c r="D55" s="7"/>
      <x:c r="E55" s="7"/>
      <x:c r="F55" s="7"/>
      <x:c r="G55" s="7"/>
      <x:c r="H55" s="8"/>
      <x:c r="I55" s="7"/>
      <x:c r="J55" s="7"/>
      <x:c r="K55" s="7"/>
      <x:c r="L55" s="7"/>
    </x:row>
    <x:row r="56" ht="22" customHeight="1">
      <x:c r="A56" s="7"/>
      <x:c r="B56" s="7"/>
      <x:c r="C56" s="7"/>
      <x:c r="D56" s="7"/>
      <x:c r="E56" s="7"/>
      <x:c r="F56" s="7"/>
      <x:c r="G56" s="7"/>
      <x:c r="H56" s="8"/>
      <x:c r="I56" s="7"/>
      <x:c r="J56" s="7"/>
      <x:c r="K56" s="7"/>
      <x:c r="L56" s="7"/>
    </x:row>
    <x:row r="57" ht="22" customHeight="1">
      <x:c r="A57" s="7"/>
      <x:c r="B57" s="7"/>
      <x:c r="C57" s="7"/>
      <x:c r="D57" s="7"/>
      <x:c r="E57" s="7"/>
      <x:c r="F57" s="7"/>
      <x:c r="G57" s="7"/>
      <x:c r="H57" s="8"/>
      <x:c r="I57" s="7"/>
      <x:c r="J57" s="7"/>
      <x:c r="K57" s="7"/>
      <x:c r="L57" s="7"/>
    </x:row>
    <x:row r="58" ht="22" customHeight="1">
      <x:c r="A58" s="7"/>
      <x:c r="B58" s="7"/>
      <x:c r="C58" s="7"/>
      <x:c r="D58" s="7"/>
      <x:c r="E58" s="7"/>
      <x:c r="F58" s="7"/>
      <x:c r="G58" s="7"/>
      <x:c r="H58" s="8"/>
      <x:c r="I58" s="7"/>
      <x:c r="J58" s="7"/>
      <x:c r="K58" s="7"/>
      <x:c r="L58" s="7"/>
    </x:row>
    <x:row r="59" ht="22" customHeight="1">
      <x:c r="A59" s="7"/>
      <x:c r="B59" s="7"/>
      <x:c r="C59" s="7"/>
      <x:c r="D59" s="7"/>
      <x:c r="E59" s="7"/>
      <x:c r="F59" s="7"/>
      <x:c r="G59" s="7"/>
      <x:c r="H59" s="8"/>
      <x:c r="I59" s="7"/>
      <x:c r="J59" s="7"/>
      <x:c r="K59" s="7"/>
      <x:c r="L59" s="7"/>
    </x:row>
    <x:row r="60" ht="22" customHeight="1">
      <x:c r="A60" s="7"/>
      <x:c r="B60" s="7"/>
      <x:c r="C60" s="7"/>
      <x:c r="D60" s="7"/>
      <x:c r="E60" s="7"/>
      <x:c r="F60" s="7"/>
      <x:c r="G60" s="7"/>
      <x:c r="H60" s="8"/>
      <x:c r="I60" s="7"/>
      <x:c r="J60" s="7"/>
      <x:c r="K60" s="7"/>
      <x:c r="L60" s="7"/>
    </x:row>
    <x:row r="61" ht="22" customHeight="1">
      <x:c r="A61" s="7"/>
      <x:c r="B61" s="7"/>
      <x:c r="C61" s="7"/>
      <x:c r="D61" s="7"/>
      <x:c r="E61" s="7"/>
      <x:c r="F61" s="7"/>
      <x:c r="G61" s="7"/>
      <x:c r="H61" s="8"/>
      <x:c r="I61" s="7"/>
      <x:c r="J61" s="7"/>
      <x:c r="K61" s="7"/>
      <x:c r="L61" s="7"/>
    </x:row>
    <x:row r="62" ht="22" customHeight="1">
      <x:c r="A62" s="7"/>
      <x:c r="B62" s="7"/>
      <x:c r="C62" s="7"/>
      <x:c r="D62" s="7"/>
      <x:c r="E62" s="7"/>
      <x:c r="F62" s="7"/>
      <x:c r="G62" s="7"/>
      <x:c r="H62" s="8"/>
      <x:c r="I62" s="7"/>
      <x:c r="J62" s="7"/>
      <x:c r="K62" s="7"/>
      <x:c r="L62" s="7"/>
    </x:row>
    <x:row r="63" ht="22" customHeight="1">
      <x:c r="A63" s="7"/>
      <x:c r="B63" s="7"/>
      <x:c r="C63" s="7"/>
      <x:c r="D63" s="7"/>
      <x:c r="E63" s="7"/>
      <x:c r="F63" s="7"/>
      <x:c r="G63" s="7"/>
      <x:c r="H63" s="8"/>
      <x:c r="I63" s="7"/>
      <x:c r="J63" s="7"/>
      <x:c r="K63" s="7"/>
      <x:c r="L63" s="7"/>
    </x:row>
    <x:row r="64" ht="22" customHeight="1">
      <x:c r="A64" s="7"/>
      <x:c r="B64" s="7"/>
      <x:c r="C64" s="7"/>
      <x:c r="D64" s="7"/>
      <x:c r="E64" s="7"/>
      <x:c r="F64" s="7"/>
      <x:c r="G64" s="7"/>
      <x:c r="H64" s="8"/>
      <x:c r="I64" s="7"/>
      <x:c r="J64" s="7"/>
      <x:c r="K64" s="7"/>
      <x:c r="L64" s="7"/>
    </x:row>
    <x:row r="65" ht="22" customHeight="1">
      <x:c r="A65" s="7"/>
      <x:c r="B65" s="7"/>
      <x:c r="C65" s="7"/>
      <x:c r="D65" s="7"/>
      <x:c r="E65" s="7"/>
      <x:c r="F65" s="7"/>
      <x:c r="G65" s="7"/>
      <x:c r="H65" s="8"/>
      <x:c r="I65" s="7"/>
      <x:c r="J65" s="7"/>
      <x:c r="K65" s="7"/>
      <x:c r="L65" s="7"/>
    </x:row>
    <x:row r="66" ht="22" customHeight="1">
      <x:c r="A66" s="7"/>
      <x:c r="B66" s="7"/>
      <x:c r="C66" s="7"/>
      <x:c r="D66" s="7"/>
      <x:c r="E66" s="7"/>
      <x:c r="F66" s="7"/>
      <x:c r="G66" s="7"/>
      <x:c r="H66" s="8"/>
      <x:c r="I66" s="7"/>
      <x:c r="J66" s="7"/>
      <x:c r="K66" s="7"/>
      <x:c r="L66" s="7"/>
    </x:row>
    <x:row r="67" ht="22" customHeight="1">
      <x:c r="A67" s="7"/>
      <x:c r="B67" s="7"/>
      <x:c r="C67" s="7"/>
      <x:c r="D67" s="7"/>
      <x:c r="E67" s="7"/>
      <x:c r="F67" s="7"/>
      <x:c r="G67" s="7"/>
      <x:c r="H67" s="8"/>
      <x:c r="I67" s="7"/>
      <x:c r="J67" s="7"/>
      <x:c r="K67" s="7"/>
      <x:c r="L67" s="7"/>
    </x:row>
    <x:row r="68" ht="22" customHeight="1">
      <x:c r="A68" s="7"/>
      <x:c r="B68" s="7"/>
      <x:c r="C68" s="7"/>
      <x:c r="D68" s="7"/>
      <x:c r="E68" s="7"/>
      <x:c r="F68" s="7"/>
      <x:c r="G68" s="7"/>
      <x:c r="H68" s="8"/>
      <x:c r="I68" s="7"/>
      <x:c r="J68" s="7"/>
      <x:c r="K68" s="7"/>
      <x:c r="L68" s="7"/>
    </x:row>
    <x:row r="69" ht="22" customHeight="1">
      <x:c r="A69" s="7"/>
      <x:c r="B69" s="7"/>
      <x:c r="C69" s="7"/>
      <x:c r="D69" s="7"/>
      <x:c r="E69" s="7"/>
      <x:c r="F69" s="7"/>
      <x:c r="G69" s="7"/>
      <x:c r="H69" s="8"/>
      <x:c r="I69" s="7"/>
      <x:c r="J69" s="7"/>
      <x:c r="K69" s="7"/>
      <x:c r="L69" s="7"/>
    </x:row>
    <x:row r="70" ht="22" customHeight="1">
      <x:c r="A70" s="7"/>
      <x:c r="B70" s="7"/>
      <x:c r="C70" s="7"/>
      <x:c r="D70" s="7"/>
      <x:c r="E70" s="7"/>
      <x:c r="F70" s="7"/>
      <x:c r="G70" s="7"/>
      <x:c r="H70" s="8"/>
      <x:c r="I70" s="7"/>
      <x:c r="J70" s="7"/>
      <x:c r="K70" s="7"/>
      <x:c r="L70" s="7"/>
    </x:row>
    <x:row r="71" ht="22" customHeight="1">
      <x:c r="A71" s="7"/>
      <x:c r="B71" s="7"/>
      <x:c r="C71" s="7"/>
      <x:c r="D71" s="7"/>
      <x:c r="E71" s="7"/>
      <x:c r="F71" s="7"/>
      <x:c r="G71" s="7"/>
      <x:c r="H71" s="8"/>
      <x:c r="I71" s="7"/>
      <x:c r="J71" s="7"/>
      <x:c r="K71" s="7"/>
      <x:c r="L71" s="7"/>
    </x:row>
    <x:row r="72" ht="22" customHeight="1">
      <x:c r="A72" s="7"/>
      <x:c r="B72" s="7"/>
      <x:c r="C72" s="7"/>
      <x:c r="D72" s="7"/>
      <x:c r="E72" s="7"/>
      <x:c r="F72" s="7"/>
      <x:c r="G72" s="7"/>
      <x:c r="H72" s="8"/>
      <x:c r="I72" s="7"/>
      <x:c r="J72" s="7"/>
      <x:c r="K72" s="7"/>
      <x:c r="L72" s="7"/>
    </x:row>
    <x:row r="73" ht="22" customHeight="1">
      <x:c r="A73" s="7"/>
      <x:c r="B73" s="7"/>
      <x:c r="C73" s="7"/>
      <x:c r="D73" s="7"/>
      <x:c r="E73" s="7"/>
      <x:c r="F73" s="7"/>
      <x:c r="G73" s="7"/>
      <x:c r="H73" s="8"/>
      <x:c r="I73" s="7"/>
      <x:c r="J73" s="7"/>
      <x:c r="K73" s="7"/>
      <x:c r="L73" s="7"/>
    </x:row>
    <x:row r="74" ht="22" customHeight="1">
      <x:c r="A74" s="7"/>
      <x:c r="B74" s="7"/>
      <x:c r="C74" s="7"/>
      <x:c r="D74" s="7"/>
      <x:c r="E74" s="7"/>
      <x:c r="F74" s="7"/>
      <x:c r="G74" s="7"/>
      <x:c r="H74" s="8"/>
      <x:c r="I74" s="7"/>
      <x:c r="J74" s="7"/>
      <x:c r="K74" s="7"/>
      <x:c r="L74" s="7"/>
    </x:row>
    <x:row r="75" ht="22" customHeight="1">
      <x:c r="A75" s="7"/>
      <x:c r="B75" s="7"/>
      <x:c r="C75" s="7"/>
      <x:c r="D75" s="7"/>
      <x:c r="E75" s="7"/>
      <x:c r="F75" s="7"/>
      <x:c r="G75" s="7"/>
      <x:c r="H75" s="8"/>
      <x:c r="I75" s="7"/>
      <x:c r="J75" s="7"/>
      <x:c r="K75" s="7"/>
      <x:c r="L75" s="7"/>
    </x:row>
    <x:row r="76" ht="22" customHeight="1">
      <x:c r="A76" s="7"/>
      <x:c r="B76" s="7"/>
      <x:c r="C76" s="7"/>
      <x:c r="D76" s="7"/>
      <x:c r="E76" s="7"/>
      <x:c r="F76" s="7"/>
      <x:c r="G76" s="7"/>
      <x:c r="H76" s="8"/>
      <x:c r="I76" s="7"/>
      <x:c r="J76" s="7"/>
      <x:c r="K76" s="7"/>
      <x:c r="L76" s="7"/>
    </x:row>
    <x:row r="77" ht="22" customHeight="1">
      <x:c r="A77" s="7"/>
      <x:c r="B77" s="7"/>
      <x:c r="C77" s="7"/>
      <x:c r="D77" s="7"/>
      <x:c r="E77" s="7"/>
      <x:c r="F77" s="7"/>
      <x:c r="G77" s="7"/>
      <x:c r="H77" s="8"/>
      <x:c r="I77" s="7"/>
      <x:c r="J77" s="7"/>
      <x:c r="K77" s="7"/>
      <x:c r="L77" s="7"/>
    </x:row>
    <x:row r="78" ht="22" customHeight="1">
      <x:c r="A78" s="7"/>
      <x:c r="B78" s="7"/>
      <x:c r="C78" s="7"/>
      <x:c r="D78" s="7"/>
      <x:c r="E78" s="7"/>
      <x:c r="F78" s="7"/>
      <x:c r="G78" s="7"/>
      <x:c r="H78" s="8"/>
      <x:c r="I78" s="7"/>
      <x:c r="J78" s="7"/>
      <x:c r="K78" s="7"/>
      <x:c r="L78" s="7"/>
    </x:row>
    <x:row r="79" ht="22" customHeight="1">
      <x:c r="A79" s="7"/>
      <x:c r="B79" s="7"/>
      <x:c r="C79" s="7"/>
      <x:c r="D79" s="7"/>
      <x:c r="E79" s="7"/>
      <x:c r="F79" s="7"/>
      <x:c r="G79" s="7"/>
      <x:c r="H79" s="8"/>
      <x:c r="I79" s="7"/>
      <x:c r="J79" s="7"/>
      <x:c r="K79" s="7"/>
      <x:c r="L79" s="7"/>
    </x:row>
    <x:row r="80" ht="22" customHeight="1">
      <x:c r="A80" s="7"/>
      <x:c r="B80" s="7"/>
      <x:c r="C80" s="7"/>
      <x:c r="D80" s="7"/>
      <x:c r="E80" s="7"/>
      <x:c r="F80" s="7"/>
      <x:c r="G80" s="7"/>
      <x:c r="H80" s="8"/>
      <x:c r="I80" s="7"/>
      <x:c r="J80" s="7"/>
      <x:c r="K80" s="7"/>
      <x:c r="L80" s="7"/>
    </x:row>
    <x:row r="81" ht="22" customHeight="1">
      <x:c r="A81" s="7"/>
      <x:c r="B81" s="7"/>
      <x:c r="C81" s="7"/>
      <x:c r="D81" s="7"/>
      <x:c r="E81" s="7"/>
      <x:c r="F81" s="7"/>
      <x:c r="G81" s="7"/>
      <x:c r="H81" s="8"/>
      <x:c r="I81" s="7"/>
      <x:c r="J81" s="7"/>
      <x:c r="K81" s="7"/>
      <x:c r="L81" s="7"/>
    </x:row>
    <x:row r="82" ht="22" customHeight="1">
      <x:c r="A82" s="7"/>
      <x:c r="B82" s="7"/>
      <x:c r="C82" s="7"/>
      <x:c r="D82" s="7"/>
      <x:c r="E82" s="7"/>
      <x:c r="F82" s="7"/>
      <x:c r="G82" s="7"/>
      <x:c r="H82" s="8"/>
      <x:c r="I82" s="7"/>
      <x:c r="J82" s="7"/>
      <x:c r="K82" s="7"/>
      <x:c r="L82" s="7"/>
    </x:row>
    <x:row r="83" ht="22" customHeight="1">
      <x:c r="A83" s="7"/>
      <x:c r="B83" s="7"/>
      <x:c r="C83" s="7"/>
      <x:c r="D83" s="7"/>
      <x:c r="E83" s="7"/>
      <x:c r="F83" s="7"/>
      <x:c r="G83" s="7"/>
      <x:c r="H83" s="8"/>
      <x:c r="I83" s="7"/>
      <x:c r="J83" s="7"/>
      <x:c r="K83" s="7"/>
      <x:c r="L83" s="7"/>
    </x:row>
    <x:row r="84" ht="22" customHeight="1">
      <x:c r="A84" s="7"/>
      <x:c r="B84" s="7"/>
      <x:c r="C84" s="7"/>
      <x:c r="D84" s="7"/>
      <x:c r="E84" s="7"/>
      <x:c r="F84" s="7"/>
      <x:c r="G84" s="7"/>
      <x:c r="H84" s="8"/>
      <x:c r="I84" s="7"/>
      <x:c r="J84" s="7"/>
      <x:c r="K84" s="7"/>
      <x:c r="L84" s="7"/>
    </x:row>
    <x:row r="85" ht="22" customHeight="1">
      <x:c r="A85" s="7"/>
      <x:c r="B85" s="7"/>
      <x:c r="C85" s="7"/>
      <x:c r="D85" s="7"/>
      <x:c r="E85" s="7"/>
      <x:c r="F85" s="7"/>
      <x:c r="G85" s="7"/>
      <x:c r="H85" s="8"/>
      <x:c r="I85" s="7"/>
      <x:c r="J85" s="7"/>
      <x:c r="K85" s="7"/>
      <x:c r="L85" s="7"/>
    </x:row>
    <x:row r="86" ht="22" customHeight="1">
      <x:c r="A86" s="7"/>
      <x:c r="B86" s="7"/>
      <x:c r="C86" s="7"/>
      <x:c r="D86" s="7"/>
      <x:c r="E86" s="7"/>
      <x:c r="F86" s="7"/>
      <x:c r="G86" s="7"/>
      <x:c r="H86" s="8"/>
      <x:c r="I86" s="7"/>
      <x:c r="J86" s="7"/>
      <x:c r="K86" s="7"/>
      <x:c r="L86" s="7"/>
    </x:row>
    <x:row r="87" ht="22" customHeight="1">
      <x:c r="A87" s="7"/>
      <x:c r="B87" s="7"/>
      <x:c r="C87" s="7"/>
      <x:c r="D87" s="7"/>
      <x:c r="E87" s="7"/>
      <x:c r="F87" s="7"/>
      <x:c r="G87" s="7"/>
      <x:c r="H87" s="8"/>
      <x:c r="I87" s="7"/>
      <x:c r="J87" s="7"/>
      <x:c r="K87" s="7"/>
      <x:c r="L87" s="7"/>
    </x:row>
    <x:row r="88" ht="22" customHeight="1">
      <x:c r="A88" s="7"/>
      <x:c r="B88" s="7"/>
      <x:c r="C88" s="7"/>
      <x:c r="D88" s="7"/>
      <x:c r="E88" s="7"/>
      <x:c r="F88" s="7"/>
      <x:c r="G88" s="7"/>
      <x:c r="H88" s="8"/>
      <x:c r="I88" s="7"/>
      <x:c r="J88" s="7"/>
      <x:c r="K88" s="7"/>
      <x:c r="L88" s="7"/>
    </x:row>
    <x:row r="89" ht="22" customHeight="1">
      <x:c r="A89" s="7"/>
      <x:c r="B89" s="7"/>
      <x:c r="C89" s="7"/>
      <x:c r="D89" s="7"/>
      <x:c r="E89" s="7"/>
      <x:c r="F89" s="7"/>
      <x:c r="G89" s="7"/>
      <x:c r="H89" s="8"/>
      <x:c r="I89" s="7"/>
      <x:c r="J89" s="7"/>
      <x:c r="K89" s="7"/>
      <x:c r="L89" s="7"/>
    </x:row>
    <x:row r="90" ht="22" customHeight="1">
      <x:c r="A90" s="7"/>
      <x:c r="B90" s="7"/>
      <x:c r="C90" s="7"/>
      <x:c r="D90" s="7"/>
      <x:c r="E90" s="7"/>
      <x:c r="F90" s="7"/>
      <x:c r="G90" s="7"/>
      <x:c r="H90" s="8"/>
      <x:c r="I90" s="7"/>
      <x:c r="J90" s="7"/>
      <x:c r="K90" s="7"/>
      <x:c r="L90" s="7"/>
    </x:row>
    <x:row r="91" ht="22" customHeight="1">
      <x:c r="A91" s="7"/>
      <x:c r="B91" s="7"/>
      <x:c r="C91" s="7"/>
      <x:c r="D91" s="7"/>
      <x:c r="E91" s="7"/>
      <x:c r="F91" s="7"/>
      <x:c r="G91" s="7"/>
      <x:c r="H91" s="8"/>
      <x:c r="I91" s="7"/>
      <x:c r="J91" s="7"/>
      <x:c r="K91" s="7"/>
      <x:c r="L91" s="7"/>
    </x:row>
    <x:row r="92" ht="22" customHeight="1">
      <x:c r="A92" s="7"/>
      <x:c r="B92" s="7"/>
      <x:c r="C92" s="7"/>
      <x:c r="D92" s="7"/>
      <x:c r="E92" s="7"/>
      <x:c r="F92" s="7"/>
      <x:c r="G92" s="7"/>
      <x:c r="H92" s="8"/>
      <x:c r="I92" s="7"/>
      <x:c r="J92" s="7"/>
      <x:c r="K92" s="7"/>
      <x:c r="L92" s="7"/>
    </x:row>
    <x:row r="93" ht="22" customHeight="1">
      <x:c r="A93" s="7"/>
      <x:c r="B93" s="7"/>
      <x:c r="C93" s="7"/>
      <x:c r="D93" s="7"/>
      <x:c r="E93" s="7"/>
      <x:c r="F93" s="7"/>
      <x:c r="G93" s="7"/>
      <x:c r="H93" s="8"/>
      <x:c r="I93" s="7"/>
      <x:c r="J93" s="7"/>
      <x:c r="K93" s="7"/>
      <x:c r="L93" s="7"/>
    </x:row>
    <x:row r="94" ht="22" customHeight="1">
      <x:c r="A94" s="7"/>
      <x:c r="B94" s="7"/>
      <x:c r="C94" s="7"/>
      <x:c r="D94" s="7"/>
      <x:c r="E94" s="7"/>
      <x:c r="F94" s="7"/>
      <x:c r="G94" s="7"/>
      <x:c r="H94" s="8"/>
      <x:c r="I94" s="7"/>
      <x:c r="J94" s="7"/>
      <x:c r="K94" s="7"/>
      <x:c r="L94" s="7"/>
    </x:row>
    <x:row r="95" ht="22" customHeight="1">
      <x:c r="A95" s="7"/>
      <x:c r="B95" s="7"/>
      <x:c r="C95" s="7"/>
      <x:c r="D95" s="7"/>
      <x:c r="E95" s="7"/>
      <x:c r="F95" s="7"/>
      <x:c r="G95" s="7"/>
      <x:c r="H95" s="8"/>
      <x:c r="I95" s="7"/>
      <x:c r="J95" s="7"/>
      <x:c r="K95" s="7"/>
      <x:c r="L95" s="7"/>
    </x:row>
    <x:row r="96" ht="22" customHeight="1">
      <x:c r="A96" s="7"/>
      <x:c r="B96" s="7"/>
      <x:c r="C96" s="7"/>
      <x:c r="D96" s="7"/>
      <x:c r="E96" s="7"/>
      <x:c r="F96" s="7"/>
      <x:c r="G96" s="7"/>
      <x:c r="H96" s="8"/>
      <x:c r="I96" s="7"/>
      <x:c r="J96" s="7"/>
      <x:c r="K96" s="7"/>
      <x:c r="L96" s="7"/>
    </x:row>
    <x:row r="97" ht="22" customHeight="1">
      <x:c r="A97" s="7"/>
      <x:c r="B97" s="7"/>
      <x:c r="C97" s="7"/>
      <x:c r="D97" s="7"/>
      <x:c r="E97" s="7"/>
      <x:c r="F97" s="7"/>
      <x:c r="G97" s="7"/>
      <x:c r="H97" s="8"/>
      <x:c r="I97" s="7"/>
      <x:c r="J97" s="7"/>
      <x:c r="K97" s="7"/>
      <x:c r="L97" s="7"/>
    </x:row>
    <x:row r="98" ht="22" customHeight="1">
      <x:c r="A98" s="7"/>
      <x:c r="B98" s="7"/>
      <x:c r="C98" s="7"/>
      <x:c r="D98" s="7"/>
      <x:c r="E98" s="7"/>
      <x:c r="F98" s="7"/>
      <x:c r="G98" s="7"/>
      <x:c r="H98" s="8"/>
      <x:c r="I98" s="7"/>
      <x:c r="J98" s="7"/>
      <x:c r="K98" s="7"/>
      <x:c r="L98" s="7"/>
    </x:row>
    <x:row r="99" ht="22" customHeight="1">
      <x:c r="A99" s="7"/>
      <x:c r="B99" s="7"/>
      <x:c r="C99" s="7"/>
      <x:c r="D99" s="7"/>
      <x:c r="E99" s="7"/>
      <x:c r="F99" s="7"/>
      <x:c r="G99" s="7"/>
      <x:c r="H99" s="8"/>
      <x:c r="I99" s="7"/>
      <x:c r="J99" s="7"/>
      <x:c r="K99" s="7"/>
      <x:c r="L99" s="7"/>
    </x:row>
    <x:row r="100" ht="22" customHeight="1">
      <x:c r="A100" s="7"/>
      <x:c r="B100" s="7"/>
      <x:c r="C100" s="7"/>
      <x:c r="D100" s="7"/>
      <x:c r="E100" s="7"/>
      <x:c r="F100" s="7"/>
      <x:c r="G100" s="7"/>
      <x:c r="H100" s="8"/>
      <x:c r="I100" s="7"/>
      <x:c r="J100" s="7"/>
      <x:c r="K100" s="7"/>
      <x:c r="L100" s="7"/>
    </x:row>
    <x:row r="101" ht="22" customHeight="1">
      <x:c r="A101" s="7"/>
      <x:c r="B101" s="7"/>
      <x:c r="C101" s="7"/>
      <x:c r="D101" s="7"/>
      <x:c r="E101" s="7"/>
      <x:c r="F101" s="7"/>
      <x:c r="G101" s="7"/>
      <x:c r="H101" s="8"/>
      <x:c r="I101" s="7"/>
      <x:c r="J101" s="7"/>
      <x:c r="K101" s="7"/>
      <x:c r="L101" s="7"/>
    </x:row>
    <x:row r="102" ht="22" customHeight="1">
      <x:c r="A102" s="7"/>
      <x:c r="B102" s="7"/>
      <x:c r="C102" s="7"/>
      <x:c r="D102" s="7"/>
      <x:c r="E102" s="7"/>
      <x:c r="F102" s="7"/>
      <x:c r="G102" s="7"/>
      <x:c r="H102" s="8"/>
      <x:c r="I102" s="7"/>
      <x:c r="J102" s="7"/>
      <x:c r="K102" s="7"/>
      <x:c r="L102" s="7"/>
    </x:row>
    <x:row r="103" ht="22" customHeight="1">
      <x:c r="A103" s="7"/>
      <x:c r="B103" s="7"/>
      <x:c r="C103" s="7"/>
      <x:c r="D103" s="7"/>
      <x:c r="E103" s="7"/>
      <x:c r="F103" s="7"/>
      <x:c r="G103" s="7"/>
      <x:c r="H103" s="8"/>
      <x:c r="I103" s="7"/>
      <x:c r="J103" s="7"/>
      <x:c r="K103" s="7"/>
      <x:c r="L103" s="7"/>
    </x:row>
    <x:row r="104" ht="22" customHeight="1">
      <x:c r="A104" s="7"/>
      <x:c r="B104" s="7"/>
      <x:c r="C104" s="7"/>
      <x:c r="D104" s="7"/>
      <x:c r="E104" s="7"/>
      <x:c r="F104" s="7"/>
      <x:c r="G104" s="7"/>
      <x:c r="H104" s="8"/>
      <x:c r="I104" s="7"/>
      <x:c r="J104" s="7"/>
      <x:c r="K104" s="7"/>
      <x:c r="L104" s="7"/>
    </x:row>
    <x:row r="105" ht="22" customHeight="1">
      <x:c r="A105" s="7"/>
      <x:c r="B105" s="7"/>
      <x:c r="C105" s="7"/>
      <x:c r="D105" s="7"/>
      <x:c r="E105" s="7"/>
      <x:c r="F105" s="7"/>
      <x:c r="G105" s="7"/>
      <x:c r="H105" s="8"/>
      <x:c r="I105" s="7"/>
      <x:c r="J105" s="7"/>
      <x:c r="K105" s="7"/>
      <x:c r="L105" s="7"/>
    </x:row>
    <x:row r="106" ht="22" customHeight="1">
      <x:c r="A106" s="7"/>
      <x:c r="B106" s="7"/>
      <x:c r="C106" s="7"/>
      <x:c r="D106" s="7"/>
      <x:c r="E106" s="7"/>
      <x:c r="F106" s="7"/>
      <x:c r="G106" s="7"/>
      <x:c r="H106" s="8"/>
      <x:c r="I106" s="7"/>
      <x:c r="J106" s="7"/>
      <x:c r="K106" s="7"/>
      <x:c r="L106" s="7"/>
    </x:row>
  </x:sheetData>
  <x:conditionalFormatting sqref="K7:K106">
    <x:cfRule type="expression" dxfId="4" priority="1">
      <x:formula>AND($I7="versandt",$K7="")</x:formula>
    </x:cfRule>
  </x:conditionalFormatting>
  <x:conditionalFormatting sqref="L7:L106">
    <x:cfRule type="expression" dxfId="5" priority="2">
      <x:formula>AND($I7="erledigt",$L7="")</x:formula>
    </x:cfRule>
  </x:conditionalFormatting>
  <x:dataValidations count="1">
    <x:dataValidation type="list" sqref="I7:I106">
      <x:formula1>"offen,Entwurf,freigegeben,versandt,Antwort prüfen,erledigt"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de748432d4d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0" hidden="0" customWidth="1"/>
    <x:col min="3" max="3" width="20" hidden="0" customWidth="1"/>
    <x:col min="4" max="4" width="18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Die Abrechnung führen</x:v>
      </x:c>
      <x:c r="B2" s="2"/>
      <x:c r="C2" s="2"/>
      <x:c r="D2" s="2"/>
    </x:row>
    <x:row r="3" ht="22" customHeight="1">
      <x:c r="A3" s="4"/>
      <x:c r="B3" s="4"/>
      <x:c r="C3" s="4"/>
      <x:c r="D3" s="4"/>
    </x:row>
    <x:row r="4" ht="22" customHeight="1">
      <x:c r="A4" s="5" t="str">
        <x:v>Gelbe Felder sind Eingaben. Formeln und Rohquellen nicht mit Bewertungen überschreiben.</x:v>
      </x:c>
      <x:c r="B4" s="2"/>
      <x:c r="C4" s="2"/>
      <x:c r="D4" s="2"/>
    </x:row>
    <x:row r="5" ht="22" customHeight="1">
      <x:c r="A5" s="2"/>
      <x:c r="B5" s="2"/>
      <x:c r="C5" s="2"/>
      <x:c r="D5" s="2"/>
    </x:row>
    <x:row r="6" ht="56" customHeight="1">
      <x:c r="A6" s="21" t="str">
        <x:v>1. Zeitraum</x:v>
      </x:c>
      <x:c r="B6" s="21" t="str">
        <x:v>Tragen Sie Person, Berichtszeitraum und Bearbeiter in der Abrechnung ein. Die Vorlage ist leer und enthält keine Falldaten.</x:v>
      </x:c>
      <x:c r="C6" s="2"/>
      <x:c r="D6" s="2"/>
    </x:row>
    <x:row r="7" ht="56" customHeight="1">
      <x:c r="A7" s="21" t="str">
        <x:v>2. Konten</x:v>
      </x:c>
      <x:c r="B7" s="21" t="str">
        <x:v>Erfassen Sie jedes eigene Konto mit einer eindeutigen Konto-ID. Übernehmen Sie Anfangs- und Endsaldo aus passenden Bankbelegen. Ein echter Nullsaldo wird als Zahl 0 erfasst.</x:v>
      </x:c>
      <x:c r="C7" s="2"/>
      <x:c r="D7" s="2"/>
    </x:row>
    <x:row r="8" ht="56" customHeight="1">
      <x:c r="A8" s="21" t="str">
        <x:v>3. Rohdaten</x:v>
      </x:c>
      <x:c r="B8" s="21" t="str">
        <x:v>Übernehmen Sie jede Buchung genau einmal in Buchungen. Negative Beträge sind Abflüsse, positive Beträge Zuflüsse. Datum, Originaltext und Quellenstelle bleiben erhalten.</x:v>
      </x:c>
      <x:c r="C8" s="2"/>
      <x:c r="D8" s="2"/>
    </x:row>
    <x:row r="9" ht="56" customHeight="1">
      <x:c r="A9" s="21" t="str">
        <x:v>4. Belege</x:v>
      </x:c>
      <x:c r="B9" s="21" t="str">
        <x:v>Erfassen Sie Rechnungen und andere Nachweise im Belegregister. Trennen Sie Rechnungsbetrag, tatsächliche Zahlung und behaupteten Anspruch. Verknüpfen Sie über stabile IDs.</x:v>
      </x:c>
      <x:c r="C9" s="2"/>
      <x:c r="D9" s="2"/>
    </x:row>
    <x:row r="10" ht="56" customHeight="1">
      <x:c r="A10" s="21" t="str">
        <x:v>5. Zuordnung</x:v>
      </x:c>
      <x:c r="B10" s="21" t="str">
        <x:v>Bestätigen Sie die Art erst nach Prüfung. Einnahmen, Ausgaben und Erstattungen werden erst bei Ja ausgewertet. Bargeld, Umbuchungen und ungeklärte Positionen bleiben gesondert sichtbar.</x:v>
      </x:c>
      <x:c r="C10" s="2"/>
      <x:c r="D10" s="2"/>
    </x:row>
    <x:row r="11" ht="56" customHeight="1">
      <x:c r="A11" s="21" t="str">
        <x:v>6. Umbuchungen</x:v>
      </x:c>
      <x:c r="B11" s="21" t="str">
        <x:v>Geben Sie bei beiden Buchungen die jeweilige Gegenbuchung-ID an. Gleicher Betrag mit umgekehrtem Vorzeichen ist eine rechnerische Hilfe, ersetzt aber keinen Nachweis gleicher Kontoinhaberschaft.</x:v>
      </x:c>
      <x:c r="C11" s="2"/>
      <x:c r="D11" s="2"/>
    </x:row>
    <x:row r="12" ht="56" customHeight="1">
      <x:c r="A12" s="21" t="str">
        <x:v>7. Bargeld</x:v>
      </x:c>
      <x:c r="B12" s="21" t="str">
        <x:v>Eine Abhebung ist zunächst eine Bargeldbewegung. Ohne Kassen- oder Einkaufsbeleg keine automatische Verbrauchsausgabe oder Veruntreuung annehmen.</x:v>
      </x:c>
      <x:c r="C12" s="2"/>
      <x:c r="D12" s="2"/>
    </x:row>
    <x:row r="13" ht="56" customHeight="1">
      <x:c r="A13" s="21" t="str">
        <x:v>8. Kontenabgleich</x:v>
      </x:c>
      <x:c r="B13" s="21" t="str">
        <x:v>Die Kontenrechnung enthält alle Bewegungen des Zeitraums, auch ungeklärte. Einnahmen minus Ausgaben können deshalb vom Kontenbestand abweichen. Erklären Sie Differenzen; setzen Sie keine Ausgleichsbuchung ohne Beleg.</x:v>
      </x:c>
      <x:c r="C13" s="2"/>
      <x:c r="D13" s="2"/>
    </x:row>
    <x:row r="14" ht="56" customHeight="1">
      <x:c r="A14" s="21" t="str">
        <x:v>9. Anschreiben</x:v>
      </x:c>
      <x:c r="B14" s="21" t="str">
        <x:v>Erfassen Sie pro Empfänger eine konkrete Frage, Adressquelle und den Entwurfspfad. Kündigung, Widerruf, Anfechtung, Rücktritt und Rückforderung erfordern jeweils eigene Voraussetzungen. Die Tabelle trifft keine Rechtsentscheidung.</x:v>
      </x:c>
      <x:c r="C14" s="2"/>
      <x:c r="D14" s="2"/>
    </x:row>
    <x:row r="15" ht="56" customHeight="1">
      <x:c r="A15" s="21" t="str">
        <x:v>10. Rückfragen</x:v>
      </x:c>
      <x:c r="B15" s="21" t="str">
        <x:v>Ein offener Punkt ist erst erledigt, wenn Antwort oder andere Erledigung mit Quelle dokumentiert ist. Eine Freigabe ist ein namentlicher menschlicher Entscheid; Versandbelege gesondert sichern.</x:v>
      </x:c>
      <x:c r="C15" s="2"/>
      <x:c r="D15" s="2"/>
    </x:row>
    <x:row r="16" ht="56" customHeight="1">
      <x:c r="A16" s="21" t="str">
        <x:v>11. Kapazität</x:v>
      </x:c>
      <x:c r="B16" s="21" t="str">
        <x:v>Vorbereitet sind 1.500 Buchungen, 20 Konten, 300 Belege und 100 Rückfragen. Bei Erweiterung Tabellen UND begrenzte Formelbezüge verlängern, Endzeile prüfen und Salden neu abstimmen.</x:v>
      </x:c>
      <x:c r="C16" s="2"/>
      <x:c r="D16" s="2"/>
    </x:row>
    <x:row r="17" ht="56" customHeight="1">
      <x:c r="A17" s="21" t="str">
        <x:v>12. Sortieren</x:v>
      </x:c>
      <x:c r="B17" s="21" t="str">
        <x:v>Sortieren oder filtern Sie stets die vollständige Tabelle. IDs verbinden Buchungen und Belege unabhängig von ihrer Zeilenposition. Keine einzelnen Spalten isoliert sortieren.</x:v>
      </x:c>
      <x:c r="C17" s="2"/>
      <x:c r="D17" s="2"/>
    </x:row>
    <x:row r="18" ht="56" customHeight="1">
      <x:c r="A18" s="21" t="str">
        <x:v>13. Ausgabe</x:v>
      </x:c>
      <x:c r="B18" s="21" t="str">
        <x:v>Prüfen Sie Zeitraum, Vorzeichen, Belegstand und offene Fragen vor jeder Weitergabe. Zahlen aus dieser Arbeitsmappe sind keine automatische gerichtliche Rechnungslegung.</x:v>
      </x:c>
      <x:c r="C18" s="2"/>
      <x:c r="D18" s="2"/>
    </x:row>
    <x:row r="19" ht="56" customHeight="1">
      <x:c r="A19" s="21" t="str">
        <x:v>14. Vertraulichkeit</x:v>
      </x:c>
      <x:c r="B19" s="21" t="str">
        <x:v>Geben Sie reale personenbezogene Finanzdaten nur im freigegebenen Arbeitsbereich weiter. Die Vorlage versendet keine Nachricht und baut keine Bankverbindung auf.</x:v>
      </x:c>
      <x:c r="C19" s="2"/>
      <x:c r="D19" s="2"/>
    </x:row>
    <x:row r="20" ht="22" customHeight="1">
      <x:c r="A20" s="2"/>
      <x:c r="B20" s="2"/>
      <x:c r="C20" s="2"/>
      <x:c r="D20" s="2"/>
    </x:row>
    <x:row r="21" ht="22" customHeight="1">
      <x:c r="A21" s="2"/>
      <x:c r="B21" s="2"/>
      <x:c r="C21" s="2"/>
      <x:c r="D21" s="2"/>
    </x:row>
    <x:row r="22" ht="22" customHeight="1">
      <x:c r="A22" s="2"/>
      <x:c r="B22" s="2"/>
      <x:c r="C22" s="2"/>
      <x:c r="D22" s="2"/>
    </x:row>
    <x:row r="23" ht="22" customHeight="1">
      <x:c r="A23" s="2"/>
      <x:c r="B23" s="2"/>
      <x:c r="C23" s="2"/>
      <x:c r="D23" s="2"/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  <x:row r="28" ht="22" customHeight="1">
      <x:c r="A28" s="2"/>
      <x:c r="B28" s="2"/>
      <x:c r="C28" s="2"/>
      <x:c r="D28" s="2"/>
    </x:row>
    <x:row r="29" ht="22" customHeight="1">
      <x:c r="A29" s="2"/>
      <x:c r="B29" s="2"/>
      <x:c r="C29" s="2"/>
      <x:c r="D29" s="2"/>
    </x:row>
    <x:row r="30" ht="22" customHeight="1">
      <x:c r="A30" s="2"/>
      <x:c r="B30" s="2"/>
      <x:c r="C30" s="2"/>
      <x:c r="D30" s="2"/>
    </x:row>
  </x:sheetData>
  <x:pageMargins left="0.7" right="0.7" top="0.75" bottom="0.75" header="0.3" footer="0.3"/>
</x:worksheet>
</file>