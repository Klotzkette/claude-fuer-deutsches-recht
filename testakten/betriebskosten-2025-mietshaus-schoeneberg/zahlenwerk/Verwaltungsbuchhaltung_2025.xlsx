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8b7ee2ee08b3469f"/><Relationship Id="rCoreProperties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Belegeingang" sheetId="1" r:id="R996340266f22407e"/>
    <sheet xmlns:r="http://schemas.openxmlformats.org/officeDocument/2006/relationships" name="Mietkonto2025" sheetId="2" r:id="R09b9e709d10744fb"/>
    <sheet xmlns:r="http://schemas.openxmlformats.org/officeDocument/2006/relationships" name="Abrechnung_Stand" sheetId="3" r:id="R7c17fb52693f42de"/>
  </sheets>
  <definedNames>
    <definedName name="_xlnm.Print_Area" localSheetId="0">'Belegeingang'!$A$1:$E$48,'Belegeingang'!$F$1:$J$48</definedName>
    <definedName name="_xlnm.Print_Titles" localSheetId="0">'Belegeingang'!$1:$7</definedName>
    <definedName name="_xlnm.Print_Area" localSheetId="1">'Mietkonto2025'!$A$1:$H$21</definedName>
    <definedName name="_xlnm.Print_Titles" localSheetId="1">'Mietkonto2025'!$1:$7</definedName>
    <definedName name="_xlnm.Print_Area" localSheetId="2">'Abrechnung_Stand'!$A$1:$E$44</definedName>
    <definedName name="_xlnm.Print_Titles" localSheetId="2">'Abrechnung_Stand'!$1:$8</definedName>
  </definedNames>
  <calcPr calcId="191029" fullCalcOnLoad="1" forceFullCalc="1" calcMode="auto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 &quot;EUR &quot;;-#,##0.00 &quot;EUR &quot;;0.00 &quot;EUR &quot;"/>
    <x:numFmt numFmtId="201" formatCode="dd&quot;.&quot;mm&quot;.&quot;yyyy"/>
    <x:numFmt numFmtId="202" formatCode="mm/yyyy"/>
    <x:numFmt numFmtId="203" formatCode="#,##0.00"/>
  </x:numFmts>
  <x:fonts count="7">
    <x:font>
      <x:sz val="11"/>
      <x:name val="Carlito"/>
    </x:font>
    <x:font>
      <x:sz val="10"/>
      <x:color rgb="FF202B33"/>
      <x:name val="Arial"/>
    </x:font>
    <x:font>
      <x:b/>
      <x:sz val="15"/>
      <x:color rgb="FF1F4E78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b/>
      <x:sz val="10"/>
      <x:color rgb="FF202B33"/>
      <x:name val="Arial"/>
    </x:font>
    <x:font>
      <x:b/>
      <x:sz val="12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FEAF1"/>
      </x:patternFill>
    </x:fill>
  </x:fills>
  <x:borders count="6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1F4E78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3" fillId="2" borderId="5" xfId="0" applyNumberFormat="1" applyFont="1" applyFill="1" applyBorder="1" applyAlignment="1">
      <x:alignment vertical="center"/>
    </x:xf>
    <x:xf numFmtId="200" fontId="3" fillId="2" borderId="5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3" fontId="5" fillId="4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6ed396b8e470b" /><Relationship Type="http://schemas.openxmlformats.org/officeDocument/2006/relationships/theme" Target="/xl/theme/theme1.xml" Id="R611e0a6fe8ba4e13" /><Relationship Type="http://schemas.openxmlformats.org/officeDocument/2006/relationships/sharedStrings" Target="/xl/sharedStrings.xml" Id="R781c7cb983d24152" /><Relationship Type="http://schemas.openxmlformats.org/officeDocument/2006/relationships/worksheet" Target="/xl/worksheets/sheet1.xml" Id="R996340266f22407e" /><Relationship Type="http://schemas.openxmlformats.org/officeDocument/2006/relationships/worksheet" Target="/xl/worksheets/sheet2.xml" Id="R09b9e709d10744fb" /><Relationship Type="http://schemas.openxmlformats.org/officeDocument/2006/relationships/worksheet" Target="/xl/worksheets/sheet3.xml" Id="R7c17fb52693f42de" /></Relationships>
</file>

<file path=xl/tables/table1.xml><?xml version="1.0" encoding="utf-8"?>
<x:table xmlns:x="http://schemas.openxmlformats.org/spreadsheetml/2006/main" id="1" name="Belege_GO73" displayName="Belege_GO73" ref="A7:J48" headerRowCount="1" totalsRowCount="0" totalsRowShown="0">
  <x:autoFilter ref="A7:J48"/>
  <x:tableColumns count="10">
    <x:tableColumn id="1" name="Kostenart"/>
    <x:tableColumn id="2" name="Belegsteller"/>
    <x:tableColumn id="3" name="Beleg / Zeitraum"/>
    <x:tableColumn id="4" name="Betrag"/>
    <x:tableColumn id="5" name="Rechnungsempfänger"/>
    <x:tableColumn id="6" name="Belegnummer"/>
    <x:tableColumn id="7" name="Belegdatum"/>
    <x:tableColumn id="8" name="Enthaltene USt."/>
    <x:tableColumn id="9" name="Zahlungsdatum"/>
    <x:tableColumn id="10" name="Belegdate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etkonto_GO73" displayName="Mietkonto_GO73" ref="A7:H19" headerRowCount="1" totalsRowCount="0" totalsRowShown="0">
  <x:autoFilter ref="A7:H19"/>
  <x:tableColumns count="8">
    <x:tableColumn id="1" name="Buchungstag"/>
    <x:tableColumn id="2" name="Monat"/>
    <x:tableColumn id="3" name="Kaltmiete"/>
    <x:tableColumn id="4" name="VZ Betriebskosten"/>
    <x:tableColumn id="5" name="VZ Heizung"/>
    <x:tableColumn id="6" name="VZ gesamt"/>
    <x:tableColumn id="7" name="Zahlung gesamt"/>
    <x:tableColumn id="8" name="Buchungs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aechen_GO73" displayName="Flaechen_GO73" ref="A34:B42" headerRowCount="1" totalsRowCount="0" totalsRowShown="0">
  <x:autoFilter ref="A34:B42"/>
  <x:tableColumns count="2">
    <x:tableColumn id="1" name="Einheit"/>
    <x:tableColumn id="2" name="Wohnfläche m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30c129aa9a44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c405fc771b47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79c20e196b40eb" /></Relationships>
</file>

<file path=xl/worksheets/sheet1.xml><?xml version="1.0" encoding="utf-8"?>
<worksheet xmlns="http://schemas.openxmlformats.org/spreadsheetml/2006/main">
  <sheetPr>
    <tabColor rgb="FF1F4E78"/>
    <pageSetUpPr fitToPage="1"/>
  </sheetPr>
  <sheetViews>
    <sheetView showGridLines="0" workbookViewId="0">
      <pane xSplit="1" ySplit="7" topLeftCell="B8" activePane="bottomRight" state="frozen"/>
    </sheetView>
  </sheetViews>
  <sheetFormatPr defaultRowHeight="15"/>
  <cols>
    <col min="1" max="1" width="16.670000076293945" hidden="0" customWidth="1"/>
    <col min="2" max="2" width="21.110000610351562" hidden="0" customWidth="1"/>
    <col min="3" max="3" width="33.33000183105469" hidden="0" customWidth="1"/>
    <col min="4" max="4" width="15.5600004196167" hidden="0" customWidth="1"/>
    <col min="5" max="5" width="33.33000183105469" hidden="0" customWidth="1"/>
    <col min="6" max="6" width="14.670000076293945" hidden="0" customWidth="1"/>
    <col min="7" max="7" width="12.4399995803833" hidden="0" customWidth="1"/>
    <col min="8" max="8" width="12.779999732971191" hidden="0" customWidth="1"/>
    <col min="9" max="9" width="14.670000076293945" hidden="0" customWidth="1"/>
    <col min="10" max="10" width="35" hidden="0" customWidth="1"/>
  </cols>
  <sheetData>
    <row r="1" ht="9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26" customHeight="1">
      <c r="A2" s="3" t="str">
        <v>Belegeingang 2025</v>
      </c>
      <c r="B2" s="2"/>
      <c r="C2" s="2"/>
      <c r="D2" s="2"/>
      <c r="E2" s="2"/>
      <c r="F2" s="3" t="str">
        <v>Belegdetails 2025</v>
      </c>
      <c r="G2" s="2"/>
      <c r="H2" s="2"/>
      <c r="I2" s="2"/>
      <c r="J2" s="2"/>
    </row>
    <row r="3" ht="18" customHeight="1">
      <c r="A3" s="2" t="str">
        <v>Gotenstraße 73, 10829 Berlin / 01.01.2025 bis 31.12.2025</v>
      </c>
      <c r="B3" s="2"/>
      <c r="C3" s="2"/>
      <c r="D3" s="2"/>
      <c r="E3" s="2"/>
      <c r="F3" s="2" t="str">
        <v>Gotenstraße 73, 10829 Berlin / 01.01.2025 bis 31.12.2025</v>
      </c>
      <c r="G3" s="2"/>
      <c r="H3" s="2"/>
      <c r="I3" s="2"/>
      <c r="J3" s="2"/>
    </row>
    <row r="4" ht="18" customHeight="1">
      <c r="A4" s="4" t="str">
        <v>Südquadrat Wohnen GmbH / Objektkonto GO73 / Sachbearbeitung: Anne Kroll</v>
      </c>
      <c r="B4" s="4"/>
      <c r="C4" s="4"/>
      <c r="D4" s="4"/>
      <c r="E4" s="4"/>
      <c r="F4" s="4" t="str">
        <v>Südquadrat Wohnen GmbH</v>
      </c>
      <c r="G4" s="4"/>
      <c r="H4" s="4"/>
      <c r="I4" s="4"/>
      <c r="J4" s="4"/>
    </row>
    <row r="5" ht="22" customHeight="1">
      <c r="A5" s="27" t="str">
        <v>Belegsumme</v>
      </c>
      <c r="B5" s="27"/>
      <c r="C5" s="27"/>
      <c r="D5" s="28" t="n">
        <f>SUM(D8:D48)</f>
        <v>35457.8</v>
      </c>
      <c r="E5" s="27"/>
      <c r="F5" s="27" t="str">
        <v>USt.-Summe</v>
      </c>
      <c r="G5" s="27"/>
      <c r="H5" s="28" t="n">
        <f>SUM(H8:H48)</f>
        <v>4521.879999999999</v>
      </c>
      <c r="I5" s="27"/>
      <c r="J5" s="27"/>
    </row>
    <row r="6" ht="8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30" customHeight="1">
      <c r="A7" s="13" t="str">
        <v>Kostenart</v>
      </c>
      <c r="B7" s="14" t="str">
        <v>Belegsteller</v>
      </c>
      <c r="C7" s="14" t="str">
        <v>Beleg / Zeitraum</v>
      </c>
      <c r="D7" s="14" t="str">
        <v>Betrag</v>
      </c>
      <c r="E7" s="14" t="str">
        <v>Rechnungsempfänger</v>
      </c>
      <c r="F7" s="14" t="str">
        <v>Belegnummer</v>
      </c>
      <c r="G7" s="14" t="str">
        <v>Belegdatum</v>
      </c>
      <c r="H7" s="14" t="str">
        <v>Enthaltene USt.</v>
      </c>
      <c r="I7" s="14" t="str">
        <v>Zahlungsdatum</v>
      </c>
      <c r="J7" s="15" t="str">
        <v>Belegdatei</v>
      </c>
    </row>
    <row r="8" ht="28" customHeight="1">
      <c r="A8" s="17" t="str">
        <v>Hausservice</v>
      </c>
      <c r="B8" s="17" t="str">
        <v>Ringhof Hausdienst GmbH</v>
      </c>
      <c r="C8" s="17" t="str">
        <v>GO73-HM-01 / Hausservice Januar 2025</v>
      </c>
      <c r="D8" s="20" t="n">
        <v>800</v>
      </c>
      <c r="E8" s="17" t="str">
        <v>Südquadrat Wohnen GmbH</v>
      </c>
      <c r="F8" s="17" t="str">
        <v>GO73-HM-01</v>
      </c>
      <c r="G8" s="24" t="n">
        <v>45688</v>
      </c>
      <c r="H8" s="20" t="n">
        <v>127.73</v>
      </c>
      <c r="I8" s="24" t="n">
        <v>45698</v>
      </c>
      <c r="J8" s="17" t="str">
        <v>belege/GO73-HM-01_Hausservice.pdf</v>
      </c>
    </row>
    <row r="9" ht="28" customHeight="1">
      <c r="A9" s="16" t="str">
        <v>Allgemeinstrom</v>
      </c>
      <c r="B9" s="16" t="str">
        <v>Lichtbogen Energie GmbH</v>
      </c>
      <c r="C9" s="16" t="str">
        <v>GO73-EL-01 / Strom Hauszugang und Treppenhaus Januar 2025</v>
      </c>
      <c r="D9" s="21" t="n">
        <v>115</v>
      </c>
      <c r="E9" s="16" t="str">
        <v>Südquadrat Wohnen GmbH</v>
      </c>
      <c r="F9" s="16" t="str">
        <v>GO73-EL-01</v>
      </c>
      <c r="G9" s="25" t="n">
        <v>45688</v>
      </c>
      <c r="H9" s="21" t="n">
        <v>18.36</v>
      </c>
      <c r="I9" s="25" t="n">
        <v>45698</v>
      </c>
      <c r="J9" s="16" t="str">
        <v>belege/GO73-EL-01_Allgemeinstrom.pdf</v>
      </c>
    </row>
    <row r="10" ht="28" customHeight="1">
      <c r="A10" s="17" t="str">
        <v>Hausservice</v>
      </c>
      <c r="B10" s="17" t="str">
        <v>Ringhof Hausdienst GmbH</v>
      </c>
      <c r="C10" s="17" t="str">
        <v>GO73-HM-02 / Hausservice Februar 2025</v>
      </c>
      <c r="D10" s="20" t="n">
        <v>800</v>
      </c>
      <c r="E10" s="17" t="str">
        <v>Südquadrat Wohnen GmbH</v>
      </c>
      <c r="F10" s="17" t="str">
        <v>GO73-HM-02</v>
      </c>
      <c r="G10" s="24" t="n">
        <v>45716</v>
      </c>
      <c r="H10" s="20" t="n">
        <v>127.73</v>
      </c>
      <c r="I10" s="24" t="n">
        <v>45726</v>
      </c>
      <c r="J10" s="17" t="str">
        <v>belege/GO73-HM-02_Hausservice.pdf</v>
      </c>
    </row>
    <row r="11" ht="28" customHeight="1">
      <c r="A11" s="16" t="str">
        <v>Allgemeinstrom</v>
      </c>
      <c r="B11" s="16" t="str">
        <v>Lichtbogen Energie GmbH</v>
      </c>
      <c r="C11" s="16" t="str">
        <v>GO73-EL-02 / Strom Hauszugang und Treppenhaus Februar 2025</v>
      </c>
      <c r="D11" s="21" t="n">
        <v>115</v>
      </c>
      <c r="E11" s="16" t="str">
        <v>Südquadrat Wohnen GmbH</v>
      </c>
      <c r="F11" s="16" t="str">
        <v>GO73-EL-02</v>
      </c>
      <c r="G11" s="25" t="n">
        <v>45716</v>
      </c>
      <c r="H11" s="21" t="n">
        <v>18.36</v>
      </c>
      <c r="I11" s="25" t="n">
        <v>45726</v>
      </c>
      <c r="J11" s="16" t="str">
        <v>belege/GO73-EL-02_Allgemeinstrom.pdf</v>
      </c>
    </row>
    <row r="12" ht="28" customHeight="1">
      <c r="A12" s="17" t="str">
        <v>Hausservice</v>
      </c>
      <c r="B12" s="17" t="str">
        <v>Ringhof Hausdienst GmbH</v>
      </c>
      <c r="C12" s="17" t="str">
        <v>GO73-HM-03 / Hausservice März 2025</v>
      </c>
      <c r="D12" s="20" t="n">
        <v>800</v>
      </c>
      <c r="E12" s="17" t="str">
        <v>Südquadrat Wohnen GmbH</v>
      </c>
      <c r="F12" s="17" t="str">
        <v>GO73-HM-03</v>
      </c>
      <c r="G12" s="24" t="n">
        <v>45747</v>
      </c>
      <c r="H12" s="20" t="n">
        <v>127.73</v>
      </c>
      <c r="I12" s="24" t="n">
        <v>45757</v>
      </c>
      <c r="J12" s="17" t="str">
        <v>belege/GO73-HM-03_Hausservice.pdf</v>
      </c>
    </row>
    <row r="13" ht="28" customHeight="1">
      <c r="A13" s="16" t="str">
        <v>Allgemeinstrom</v>
      </c>
      <c r="B13" s="16" t="str">
        <v>Lichtbogen Energie GmbH</v>
      </c>
      <c r="C13" s="16" t="str">
        <v>GO73-EL-03 / Strom Hauszugang und Treppenhaus März 2025</v>
      </c>
      <c r="D13" s="21" t="n">
        <v>115</v>
      </c>
      <c r="E13" s="16" t="str">
        <v>Südquadrat Wohnen GmbH</v>
      </c>
      <c r="F13" s="16" t="str">
        <v>GO73-EL-03</v>
      </c>
      <c r="G13" s="25" t="n">
        <v>45747</v>
      </c>
      <c r="H13" s="21" t="n">
        <v>18.36</v>
      </c>
      <c r="I13" s="25" t="n">
        <v>45757</v>
      </c>
      <c r="J13" s="16" t="str">
        <v>belege/GO73-EL-03_Allgemeinstrom.pdf</v>
      </c>
    </row>
    <row r="14" ht="28" customHeight="1">
      <c r="A14" s="17" t="str">
        <v>Hausservice</v>
      </c>
      <c r="B14" s="17" t="str">
        <v>Ringhof Hausdienst GmbH</v>
      </c>
      <c r="C14" s="17" t="str">
        <v>GO73-HM-04 / Hausservice April 2025</v>
      </c>
      <c r="D14" s="20" t="n">
        <v>800</v>
      </c>
      <c r="E14" s="17" t="str">
        <v>Südquadrat Wohnen GmbH</v>
      </c>
      <c r="F14" s="17" t="str">
        <v>GO73-HM-04</v>
      </c>
      <c r="G14" s="24" t="n">
        <v>45777</v>
      </c>
      <c r="H14" s="20" t="n">
        <v>127.73</v>
      </c>
      <c r="I14" s="24" t="n">
        <v>45787</v>
      </c>
      <c r="J14" s="17" t="str">
        <v>belege/GO73-HM-04_Hausservice.pdf</v>
      </c>
    </row>
    <row r="15" ht="28" customHeight="1">
      <c r="A15" s="16" t="str">
        <v>Allgemeinstrom</v>
      </c>
      <c r="B15" s="16" t="str">
        <v>Lichtbogen Energie GmbH</v>
      </c>
      <c r="C15" s="16" t="str">
        <v>GO73-EL-04 / Strom Hauszugang und Treppenhaus April 2025</v>
      </c>
      <c r="D15" s="21" t="n">
        <v>115</v>
      </c>
      <c r="E15" s="16" t="str">
        <v>Südquadrat Wohnen GmbH</v>
      </c>
      <c r="F15" s="16" t="str">
        <v>GO73-EL-04</v>
      </c>
      <c r="G15" s="25" t="n">
        <v>45777</v>
      </c>
      <c r="H15" s="21" t="n">
        <v>18.36</v>
      </c>
      <c r="I15" s="25" t="n">
        <v>45787</v>
      </c>
      <c r="J15" s="16" t="str">
        <v>belege/GO73-EL-04_Allgemeinstrom.pdf</v>
      </c>
    </row>
    <row r="16" ht="28" customHeight="1">
      <c r="A16" s="17" t="str">
        <v>Hausservice</v>
      </c>
      <c r="B16" s="17" t="str">
        <v>Ringhof Hausdienst GmbH</v>
      </c>
      <c r="C16" s="17" t="str">
        <v>GO73-HM-05 / Hausservice Mai 2025</v>
      </c>
      <c r="D16" s="20" t="n">
        <v>800</v>
      </c>
      <c r="E16" s="17" t="str">
        <v>Südquadrat Wohnen GmbH</v>
      </c>
      <c r="F16" s="17" t="str">
        <v>GO73-HM-05</v>
      </c>
      <c r="G16" s="24" t="n">
        <v>45808</v>
      </c>
      <c r="H16" s="20" t="n">
        <v>127.73</v>
      </c>
      <c r="I16" s="24" t="n">
        <v>45818</v>
      </c>
      <c r="J16" s="17" t="str">
        <v>belege/GO73-HM-05_Hausservice.pdf</v>
      </c>
    </row>
    <row r="17" ht="28" customHeight="1">
      <c r="A17" s="16" t="str">
        <v>Allgemeinstrom</v>
      </c>
      <c r="B17" s="16" t="str">
        <v>Lichtbogen Energie GmbH</v>
      </c>
      <c r="C17" s="16" t="str">
        <v>GO73-EL-05 / Strom Hauszugang und Treppenhaus Mai 2025</v>
      </c>
      <c r="D17" s="21" t="n">
        <v>115</v>
      </c>
      <c r="E17" s="16" t="str">
        <v>Südquadrat Wohnen GmbH</v>
      </c>
      <c r="F17" s="16" t="str">
        <v>GO73-EL-05</v>
      </c>
      <c r="G17" s="25" t="n">
        <v>45808</v>
      </c>
      <c r="H17" s="21" t="n">
        <v>18.36</v>
      </c>
      <c r="I17" s="25" t="n">
        <v>45818</v>
      </c>
      <c r="J17" s="16" t="str">
        <v>belege/GO73-EL-05_Allgemeinstrom.pdf</v>
      </c>
    </row>
    <row r="18" ht="28" customHeight="1">
      <c r="A18" s="17" t="str">
        <v>Hausservice</v>
      </c>
      <c r="B18" s="17" t="str">
        <v>Ringhof Hausdienst GmbH</v>
      </c>
      <c r="C18" s="17" t="str">
        <v>GO73-HM-06 / Hausservice Juni 2025</v>
      </c>
      <c r="D18" s="20" t="n">
        <v>800</v>
      </c>
      <c r="E18" s="17" t="str">
        <v>Südquadrat Wohnen GmbH</v>
      </c>
      <c r="F18" s="17" t="str">
        <v>GO73-HM-06</v>
      </c>
      <c r="G18" s="24" t="n">
        <v>45838</v>
      </c>
      <c r="H18" s="20" t="n">
        <v>127.73</v>
      </c>
      <c r="I18" s="24" t="n">
        <v>45848</v>
      </c>
      <c r="J18" s="17" t="str">
        <v>belege/GO73-HM-06_Hausservice.pdf</v>
      </c>
    </row>
    <row r="19" ht="28" customHeight="1">
      <c r="A19" s="16" t="str">
        <v>Allgemeinstrom</v>
      </c>
      <c r="B19" s="16" t="str">
        <v>Lichtbogen Energie GmbH</v>
      </c>
      <c r="C19" s="16" t="str">
        <v>GO73-EL-06 / Strom Hauszugang und Treppenhaus Juni 2025</v>
      </c>
      <c r="D19" s="21" t="n">
        <v>115</v>
      </c>
      <c r="E19" s="16" t="str">
        <v>Südquadrat Wohnen GmbH</v>
      </c>
      <c r="F19" s="16" t="str">
        <v>GO73-EL-06</v>
      </c>
      <c r="G19" s="25" t="n">
        <v>45838</v>
      </c>
      <c r="H19" s="21" t="n">
        <v>18.36</v>
      </c>
      <c r="I19" s="25" t="n">
        <v>45848</v>
      </c>
      <c r="J19" s="16" t="str">
        <v>belege/GO73-EL-06_Allgemeinstrom.pdf</v>
      </c>
    </row>
    <row r="20" ht="28" customHeight="1">
      <c r="A20" s="17" t="str">
        <v>Hausservice</v>
      </c>
      <c r="B20" s="17" t="str">
        <v>Ringhof Hausdienst GmbH</v>
      </c>
      <c r="C20" s="17" t="str">
        <v>GO73-HM-07 / Hausservice Juli 2025</v>
      </c>
      <c r="D20" s="20" t="n">
        <v>800</v>
      </c>
      <c r="E20" s="17" t="str">
        <v>Südquadrat Wohnen GmbH</v>
      </c>
      <c r="F20" s="17" t="str">
        <v>GO73-HM-07</v>
      </c>
      <c r="G20" s="24" t="n">
        <v>45869</v>
      </c>
      <c r="H20" s="20" t="n">
        <v>127.73</v>
      </c>
      <c r="I20" s="24" t="n">
        <v>45879</v>
      </c>
      <c r="J20" s="17" t="str">
        <v>belege/GO73-HM-07_Hausservice.pdf</v>
      </c>
    </row>
    <row r="21" ht="28" customHeight="1">
      <c r="A21" s="16" t="str">
        <v>Allgemeinstrom</v>
      </c>
      <c r="B21" s="16" t="str">
        <v>Lichtbogen Energie GmbH</v>
      </c>
      <c r="C21" s="16" t="str">
        <v>GO73-EL-07 / Strom Hauszugang und Treppenhaus Juli 2025</v>
      </c>
      <c r="D21" s="21" t="n">
        <v>115</v>
      </c>
      <c r="E21" s="16" t="str">
        <v>Südquadrat Wohnen GmbH</v>
      </c>
      <c r="F21" s="16" t="str">
        <v>GO73-EL-07</v>
      </c>
      <c r="G21" s="25" t="n">
        <v>45869</v>
      </c>
      <c r="H21" s="21" t="n">
        <v>18.36</v>
      </c>
      <c r="I21" s="25" t="n">
        <v>45879</v>
      </c>
      <c r="J21" s="16" t="str">
        <v>belege/GO73-EL-07_Allgemeinstrom.pdf</v>
      </c>
    </row>
    <row r="22" ht="28" customHeight="1">
      <c r="A22" s="17" t="str">
        <v>Hausservice</v>
      </c>
      <c r="B22" s="17" t="str">
        <v>Ringhof Hausdienst GmbH</v>
      </c>
      <c r="C22" s="17" t="str">
        <v>GO73-HM-08 / Hausservice August 2025</v>
      </c>
      <c r="D22" s="20" t="n">
        <v>800</v>
      </c>
      <c r="E22" s="17" t="str">
        <v>Südquadrat Wohnen GmbH</v>
      </c>
      <c r="F22" s="17" t="str">
        <v>GO73-HM-08</v>
      </c>
      <c r="G22" s="24" t="n">
        <v>45900</v>
      </c>
      <c r="H22" s="20" t="n">
        <v>127.73</v>
      </c>
      <c r="I22" s="24" t="n">
        <v>45910</v>
      </c>
      <c r="J22" s="17" t="str">
        <v>belege/GO73-HM-08_Hausservice.pdf</v>
      </c>
    </row>
    <row r="23" ht="28" customHeight="1">
      <c r="A23" s="16" t="str">
        <v>Allgemeinstrom</v>
      </c>
      <c r="B23" s="16" t="str">
        <v>Lichtbogen Energie GmbH</v>
      </c>
      <c r="C23" s="16" t="str">
        <v>GO73-EL-08 / Strom Hauszugang und Treppenhaus August 2025</v>
      </c>
      <c r="D23" s="21" t="n">
        <v>115</v>
      </c>
      <c r="E23" s="16" t="str">
        <v>Südquadrat Wohnen GmbH</v>
      </c>
      <c r="F23" s="16" t="str">
        <v>GO73-EL-08</v>
      </c>
      <c r="G23" s="25" t="n">
        <v>45900</v>
      </c>
      <c r="H23" s="21" t="n">
        <v>18.36</v>
      </c>
      <c r="I23" s="25" t="n">
        <v>45910</v>
      </c>
      <c r="J23" s="16" t="str">
        <v>belege/GO73-EL-08_Allgemeinstrom.pdf</v>
      </c>
    </row>
    <row r="24" ht="28" customHeight="1">
      <c r="A24" s="17" t="str">
        <v>Hausservice</v>
      </c>
      <c r="B24" s="17" t="str">
        <v>Ringhof Hausdienst GmbH</v>
      </c>
      <c r="C24" s="17" t="str">
        <v>GO73-HM-09 / Hausservice September 2025</v>
      </c>
      <c r="D24" s="20" t="n">
        <v>800</v>
      </c>
      <c r="E24" s="17" t="str">
        <v>Südquadrat Wohnen GmbH</v>
      </c>
      <c r="F24" s="17" t="str">
        <v>GO73-HM-09</v>
      </c>
      <c r="G24" s="24" t="n">
        <v>45930</v>
      </c>
      <c r="H24" s="20" t="n">
        <v>127.73</v>
      </c>
      <c r="I24" s="24" t="n">
        <v>45940</v>
      </c>
      <c r="J24" s="17" t="str">
        <v>belege/GO73-HM-09_Hausservice.pdf</v>
      </c>
    </row>
    <row r="25" ht="28" customHeight="1">
      <c r="A25" s="16" t="str">
        <v>Allgemeinstrom</v>
      </c>
      <c r="B25" s="16" t="str">
        <v>Lichtbogen Energie GmbH</v>
      </c>
      <c r="C25" s="16" t="str">
        <v>GO73-EL-09 / Strom Hauszugang und Treppenhaus September 2025</v>
      </c>
      <c r="D25" s="21" t="n">
        <v>115</v>
      </c>
      <c r="E25" s="16" t="str">
        <v>Südquadrat Wohnen GmbH</v>
      </c>
      <c r="F25" s="16" t="str">
        <v>GO73-EL-09</v>
      </c>
      <c r="G25" s="25" t="n">
        <v>45930</v>
      </c>
      <c r="H25" s="21" t="n">
        <v>18.36</v>
      </c>
      <c r="I25" s="25" t="n">
        <v>45940</v>
      </c>
      <c r="J25" s="16" t="str">
        <v>belege/GO73-EL-09_Allgemeinstrom.pdf</v>
      </c>
    </row>
    <row r="26" ht="28" customHeight="1">
      <c r="A26" s="17" t="str">
        <v>Hausservice</v>
      </c>
      <c r="B26" s="17" t="str">
        <v>Ringhof Hausdienst GmbH</v>
      </c>
      <c r="C26" s="17" t="str">
        <v>GO73-HM-10 / Hausservice Oktober 2025</v>
      </c>
      <c r="D26" s="20" t="n">
        <v>800</v>
      </c>
      <c r="E26" s="17" t="str">
        <v>Südquadrat Wohnen GmbH</v>
      </c>
      <c r="F26" s="17" t="str">
        <v>GO73-HM-10</v>
      </c>
      <c r="G26" s="24" t="n">
        <v>45961</v>
      </c>
      <c r="H26" s="20" t="n">
        <v>127.73</v>
      </c>
      <c r="I26" s="24" t="n">
        <v>45971</v>
      </c>
      <c r="J26" s="17" t="str">
        <v>belege/GO73-HM-10_Hausservice.pdf</v>
      </c>
    </row>
    <row r="27" ht="28" customHeight="1">
      <c r="A27" s="16" t="str">
        <v>Allgemeinstrom</v>
      </c>
      <c r="B27" s="16" t="str">
        <v>Lichtbogen Energie GmbH</v>
      </c>
      <c r="C27" s="16" t="str">
        <v>GO73-EL-10 / Strom Hauszugang und Treppenhaus Oktober 2025</v>
      </c>
      <c r="D27" s="21" t="n">
        <v>115</v>
      </c>
      <c r="E27" s="16" t="str">
        <v>Südquadrat Wohnen GmbH</v>
      </c>
      <c r="F27" s="16" t="str">
        <v>GO73-EL-10</v>
      </c>
      <c r="G27" s="25" t="n">
        <v>45961</v>
      </c>
      <c r="H27" s="21" t="n">
        <v>18.36</v>
      </c>
      <c r="I27" s="25" t="n">
        <v>45971</v>
      </c>
      <c r="J27" s="16" t="str">
        <v>belege/GO73-EL-10_Allgemeinstrom.pdf</v>
      </c>
    </row>
    <row r="28" ht="28" customHeight="1">
      <c r="A28" s="17" t="str">
        <v>Hausservice</v>
      </c>
      <c r="B28" s="17" t="str">
        <v>Ringhof Hausdienst GmbH</v>
      </c>
      <c r="C28" s="17" t="str">
        <v>GO73-HM-11 / Hausservice November 2025</v>
      </c>
      <c r="D28" s="20" t="n">
        <v>800</v>
      </c>
      <c r="E28" s="17" t="str">
        <v>Südquadrat Wohnen GmbH</v>
      </c>
      <c r="F28" s="17" t="str">
        <v>GO73-HM-11</v>
      </c>
      <c r="G28" s="24" t="n">
        <v>45991</v>
      </c>
      <c r="H28" s="20" t="n">
        <v>127.73</v>
      </c>
      <c r="I28" s="24" t="n">
        <v>46001</v>
      </c>
      <c r="J28" s="17" t="str">
        <v>belege/GO73-HM-11_Hausservice.pdf</v>
      </c>
    </row>
    <row r="29" ht="28" customHeight="1">
      <c r="A29" s="16" t="str">
        <v>Allgemeinstrom</v>
      </c>
      <c r="B29" s="16" t="str">
        <v>Lichtbogen Energie GmbH</v>
      </c>
      <c r="C29" s="16" t="str">
        <v>GO73-EL-11 / Strom Hauszugang und Treppenhaus November 2025</v>
      </c>
      <c r="D29" s="21" t="n">
        <v>115</v>
      </c>
      <c r="E29" s="16" t="str">
        <v>Südquadrat Wohnen GmbH</v>
      </c>
      <c r="F29" s="16" t="str">
        <v>GO73-EL-11</v>
      </c>
      <c r="G29" s="25" t="n">
        <v>45991</v>
      </c>
      <c r="H29" s="21" t="n">
        <v>18.36</v>
      </c>
      <c r="I29" s="25" t="n">
        <v>46001</v>
      </c>
      <c r="J29" s="16" t="str">
        <v>belege/GO73-EL-11_Allgemeinstrom.pdf</v>
      </c>
    </row>
    <row r="30" ht="28" customHeight="1">
      <c r="A30" s="17" t="str">
        <v>Hausservice</v>
      </c>
      <c r="B30" s="17" t="str">
        <v>Ringhof Hausdienst GmbH</v>
      </c>
      <c r="C30" s="17" t="str">
        <v>GO73-HM-12 / Hausservice Dezember 2025</v>
      </c>
      <c r="D30" s="20" t="n">
        <v>800</v>
      </c>
      <c r="E30" s="17" t="str">
        <v>Südquadrat Wohnen GmbH</v>
      </c>
      <c r="F30" s="17" t="str">
        <v>GO73-HM-12</v>
      </c>
      <c r="G30" s="24" t="n">
        <v>46022</v>
      </c>
      <c r="H30" s="20" t="n">
        <v>127.73</v>
      </c>
      <c r="I30" s="24" t="n">
        <v>46032</v>
      </c>
      <c r="J30" s="17" t="str">
        <v>belege/GO73-HM-12_Hausservice.pdf</v>
      </c>
    </row>
    <row r="31" ht="28" customHeight="1">
      <c r="A31" s="16" t="str">
        <v>Allgemeinstrom</v>
      </c>
      <c r="B31" s="16" t="str">
        <v>Lichtbogen Energie GmbH</v>
      </c>
      <c r="C31" s="16" t="str">
        <v>GO73-EL-12 / Strom Hauszugang und Treppenhaus Dezember 2025</v>
      </c>
      <c r="D31" s="21" t="n">
        <v>115</v>
      </c>
      <c r="E31" s="16" t="str">
        <v>Südquadrat Wohnen GmbH</v>
      </c>
      <c r="F31" s="16" t="str">
        <v>GO73-EL-12</v>
      </c>
      <c r="G31" s="25" t="n">
        <v>46022</v>
      </c>
      <c r="H31" s="21" t="n">
        <v>18.36</v>
      </c>
      <c r="I31" s="25" t="n">
        <v>46032</v>
      </c>
      <c r="J31" s="16" t="str">
        <v>belege/GO73-EL-12_Allgemeinstrom.pdf</v>
      </c>
    </row>
    <row r="32" ht="28" customHeight="1">
      <c r="A32" s="17" t="str">
        <v>Wasser</v>
      </c>
      <c r="B32" s="17" t="str">
        <v>Berliner Wasserbetriebe</v>
      </c>
      <c r="C32" s="17" t="str">
        <v>GO73-WA-2025 / Wasser und Entwässerung 2025</v>
      </c>
      <c r="D32" s="20" t="n">
        <v>2840</v>
      </c>
      <c r="E32" s="17" t="str">
        <v>Südquadrat Wohnen GmbH</v>
      </c>
      <c r="F32" s="17" t="str">
        <v>GO73-WA-2025</v>
      </c>
      <c r="G32" s="24" t="n">
        <v>46038</v>
      </c>
      <c r="H32" s="20" t="n">
        <v>83.61</v>
      </c>
      <c r="I32" s="24" t="n">
        <v>46048</v>
      </c>
      <c r="J32" s="17" t="str">
        <v>belege/GO73-WA-2025_Wasser.pdf</v>
      </c>
    </row>
    <row r="33" ht="28" customHeight="1">
      <c r="A33" s="16" t="str">
        <v>Abfall</v>
      </c>
      <c r="B33" s="16" t="str">
        <v>Berliner Stadtreinigungsbetriebe</v>
      </c>
      <c r="C33" s="16" t="str">
        <v>GO73-MU-2025 / Gebühren Abfallentsorgung 2025</v>
      </c>
      <c r="D33" s="21" t="n">
        <v>2360</v>
      </c>
      <c r="E33" s="16" t="str">
        <v>Südquadrat Wohnen GmbH</v>
      </c>
      <c r="F33" s="16" t="str">
        <v>GO73-MU-2025</v>
      </c>
      <c r="G33" s="25" t="n">
        <v>45672</v>
      </c>
      <c r="H33" s="21" t="n">
        <v>0</v>
      </c>
      <c r="I33" s="25" t="n">
        <v>45682</v>
      </c>
      <c r="J33" s="16" t="str">
        <v>belege/GO73-MU-2025_Abfall.pdf</v>
      </c>
    </row>
    <row r="34" ht="28" customHeight="1">
      <c r="A34" s="17" t="str">
        <v>Straßenreinigung</v>
      </c>
      <c r="B34" s="17" t="str">
        <v>Berliner Stadtreinigungsbetriebe</v>
      </c>
      <c r="C34" s="17" t="str">
        <v>GO73-ST-2025 / Straßenreinigungsgebühren 2025</v>
      </c>
      <c r="D34" s="20" t="n">
        <v>480</v>
      </c>
      <c r="E34" s="17" t="str">
        <v>Südquadrat Wohnen GmbH</v>
      </c>
      <c r="F34" s="17" t="str">
        <v>GO73-ST-2025</v>
      </c>
      <c r="G34" s="24" t="n">
        <v>45672</v>
      </c>
      <c r="H34" s="20" t="n">
        <v>0</v>
      </c>
      <c r="I34" s="24" t="n">
        <v>45682</v>
      </c>
      <c r="J34" s="17" t="str">
        <v>belege/GO73-ST-2025_Strassenreinigung.pdf</v>
      </c>
    </row>
    <row r="35" ht="28" customHeight="1">
      <c r="A35" s="16" t="str">
        <v>Versicherung</v>
      </c>
      <c r="B35" s="16" t="str">
        <v>Berolina Sachversicherung AG</v>
      </c>
      <c r="C35" s="16" t="str">
        <v>GO73-VS-2025 / Beitragsrechnung Wohngebäude 2025</v>
      </c>
      <c r="D35" s="21" t="n">
        <v>1980</v>
      </c>
      <c r="E35" s="16" t="str">
        <v>Südquadrat Wohnen GmbH</v>
      </c>
      <c r="F35" s="16" t="str">
        <v>GO73-VS-2025</v>
      </c>
      <c r="G35" s="25" t="n">
        <v>45643</v>
      </c>
      <c r="H35" s="21" t="n">
        <v>0</v>
      </c>
      <c r="I35" s="25" t="n">
        <v>45653</v>
      </c>
      <c r="J35" s="16" t="str">
        <v>belege/GO73-VS-2025_Versicherung.pdf</v>
      </c>
    </row>
    <row r="36" ht="28" customHeight="1">
      <c r="A36" s="17" t="str">
        <v>Aufzug</v>
      </c>
      <c r="B36" s="17" t="str">
        <v>Aufzugswerk Berlin GmbH</v>
      </c>
      <c r="C36" s="17" t="str">
        <v>GO73-AU-2025 / Wartung Personenaufzug 2025</v>
      </c>
      <c r="D36" s="20" t="n">
        <v>1428</v>
      </c>
      <c r="E36" s="17" t="str">
        <v>Südquadrat Wohnen GmbH</v>
      </c>
      <c r="F36" s="17" t="str">
        <v>GO73-AU-2025</v>
      </c>
      <c r="G36" s="24" t="n">
        <v>46010</v>
      </c>
      <c r="H36" s="20" t="n">
        <v>228</v>
      </c>
      <c r="I36" s="24" t="n">
        <v>46020</v>
      </c>
      <c r="J36" s="17" t="str">
        <v>belege/GO73-AU-2025_Aufzug.pdf</v>
      </c>
    </row>
    <row r="37" ht="28" customHeight="1">
      <c r="A37" s="16" t="str">
        <v>Schornstein</v>
      </c>
      <c r="B37" s="16" t="str">
        <v>Schornsteinfegerbetrieb R. Pohl</v>
      </c>
      <c r="C37" s="16" t="str">
        <v>GO73-SF-2025 / Kehr- und Messarbeiten 2025</v>
      </c>
      <c r="D37" s="21" t="n">
        <v>297.5</v>
      </c>
      <c r="E37" s="16" t="str">
        <v>Südquadrat Wohnen GmbH</v>
      </c>
      <c r="F37" s="16" t="str">
        <v>GO73-SF-2025</v>
      </c>
      <c r="G37" s="25" t="n">
        <v>45973</v>
      </c>
      <c r="H37" s="21" t="n">
        <v>47.5</v>
      </c>
      <c r="I37" s="25" t="n">
        <v>45983</v>
      </c>
      <c r="J37" s="16" t="str">
        <v>belege/GO73-SF-2025_Schornstein.pdf</v>
      </c>
    </row>
    <row r="38" ht="28" customHeight="1">
      <c r="A38" s="17" t="str">
        <v>Heizungswartung</v>
      </c>
      <c r="B38" s="17" t="str">
        <v>Wärmekreis Berlin GmbH</v>
      </c>
      <c r="C38" s="17" t="str">
        <v>GO73-HW-2025 / Ölkesselwartung und Brennereinstellung</v>
      </c>
      <c r="D38" s="20" t="n">
        <v>595</v>
      </c>
      <c r="E38" s="17" t="str">
        <v>Südquadrat Wohnen GmbH</v>
      </c>
      <c r="F38" s="17" t="str">
        <v>GO73-HW-2025</v>
      </c>
      <c r="G38" s="24" t="n">
        <v>45925</v>
      </c>
      <c r="H38" s="20" t="n">
        <v>95</v>
      </c>
      <c r="I38" s="24" t="n">
        <v>45935</v>
      </c>
      <c r="J38" s="17" t="str">
        <v>belege/GO73-HW-2025_Heizungswartung.pdf</v>
      </c>
    </row>
    <row r="39" ht="28" customHeight="1">
      <c r="A39" s="16" t="str">
        <v>Messdienst</v>
      </c>
      <c r="B39" s="16" t="str">
        <v>Messpunkt Berlin GmbH</v>
      </c>
      <c r="C39" s="16" t="str">
        <v>GO73-MD-2025 / Messdienst und Gerätemiete 2025</v>
      </c>
      <c r="D39" s="21" t="n">
        <v>952</v>
      </c>
      <c r="E39" s="16" t="str">
        <v>Südquadrat Wohnen GmbH</v>
      </c>
      <c r="F39" s="16" t="str">
        <v>GO73-MD-2025</v>
      </c>
      <c r="G39" s="25" t="n">
        <v>46063</v>
      </c>
      <c r="H39" s="21" t="n">
        <v>152</v>
      </c>
      <c r="I39" s="25" t="n">
        <v>46073</v>
      </c>
      <c r="J39" s="16" t="str">
        <v>belege/GO73-MD-2025_Messdienst.pdf</v>
      </c>
    </row>
    <row r="40" ht="28" customHeight="1">
      <c r="A40" s="17" t="str">
        <v>Heizstrom</v>
      </c>
      <c r="B40" s="17" t="str">
        <v>Lichtbogen Energie GmbH</v>
      </c>
      <c r="C40" s="17" t="str">
        <v>GO73-HP-2025 / Betriebsstrom Heizzentrale 2025</v>
      </c>
      <c r="D40" s="20" t="n">
        <v>360</v>
      </c>
      <c r="E40" s="17" t="str">
        <v>Südquadrat Wohnen GmbH</v>
      </c>
      <c r="F40" s="17" t="str">
        <v>GO73-HP-2025</v>
      </c>
      <c r="G40" s="24" t="n">
        <v>46035</v>
      </c>
      <c r="H40" s="20" t="n">
        <v>57.48</v>
      </c>
      <c r="I40" s="24" t="n">
        <v>46045</v>
      </c>
      <c r="J40" s="17" t="str">
        <v>belege/GO73-HP-2025_Heizstrom.pdf</v>
      </c>
    </row>
    <row r="41" ht="28" customHeight="1">
      <c r="A41" s="16" t="str">
        <v>Gutschrift</v>
      </c>
      <c r="B41" s="16" t="str">
        <v>Ringhof Hausdienst GmbH</v>
      </c>
      <c r="C41" s="16" t="str">
        <v>GO73-GU-2025 / Gutschrift Reinigungseinsatz</v>
      </c>
      <c r="D41" s="21" t="n">
        <v>-95.2</v>
      </c>
      <c r="E41" s="16" t="str">
        <v>Südquadrat Wohnen GmbH</v>
      </c>
      <c r="F41" s="16" t="str">
        <v>GO73-GU-2025</v>
      </c>
      <c r="G41" s="25" t="n">
        <v>45811</v>
      </c>
      <c r="H41" s="21" t="n">
        <v>-15.2</v>
      </c>
      <c r="I41" s="25" t="n">
        <v>45821</v>
      </c>
      <c r="J41" s="16" t="str">
        <v>belege/GO73-GU-2025_Gutschrift.pdf</v>
      </c>
    </row>
    <row r="42" ht="28" customHeight="1">
      <c r="A42" s="17" t="str">
        <v>Schloss</v>
      </c>
      <c r="B42" s="17" t="str">
        <v>Schließtechnik Ahrens GmbH</v>
      </c>
      <c r="C42" s="17" t="str">
        <v>GO73-TU-2025 / Fahrradkeller: Tür und Schließzylinder</v>
      </c>
      <c r="D42" s="20" t="n">
        <v>892.5</v>
      </c>
      <c r="E42" s="17" t="str">
        <v>Südquadrat Wohnen GmbH</v>
      </c>
      <c r="F42" s="17" t="str">
        <v>GO73-TU-2025</v>
      </c>
      <c r="G42" s="24" t="n">
        <v>45939</v>
      </c>
      <c r="H42" s="20" t="n">
        <v>142.5</v>
      </c>
      <c r="I42" s="24" t="n">
        <v>45949</v>
      </c>
      <c r="J42" s="17" t="str">
        <v>belege/GO73-TU-2025_Schloss.pdf</v>
      </c>
    </row>
    <row r="43" ht="28" customHeight="1">
      <c r="A43" s="16" t="str">
        <v>Lichtreparatur</v>
      </c>
      <c r="B43" s="16" t="str">
        <v>Elektro Klinker GmbH</v>
      </c>
      <c r="C43" s="16" t="str">
        <v>GO73-LI-2025 / Stromkasten Kellerflur: Abdeckung ersetzen</v>
      </c>
      <c r="D43" s="21" t="n">
        <v>595</v>
      </c>
      <c r="E43" s="16" t="str">
        <v>Südquadrat Wohnen GmbH</v>
      </c>
      <c r="F43" s="16" t="str">
        <v>GO73-LI-2025</v>
      </c>
      <c r="G43" s="25" t="n">
        <v>45940</v>
      </c>
      <c r="H43" s="21" t="n">
        <v>95</v>
      </c>
      <c r="I43" s="25" t="n">
        <v>45950</v>
      </c>
      <c r="J43" s="16" t="str">
        <v>belege/GO73-LI-2025_Lichtreparatur.pdf</v>
      </c>
    </row>
    <row r="44" ht="28" customHeight="1">
      <c r="A44" s="17" t="str">
        <v>Maler</v>
      </c>
      <c r="B44" s="17" t="str">
        <v>Malerbetrieb Weiß &amp; Sohn</v>
      </c>
      <c r="C44" s="17" t="str">
        <v>GO73-MA-2025 / Kellerzugang: Ausbesserung und Anstrich</v>
      </c>
      <c r="D44" s="20" t="n">
        <v>1428</v>
      </c>
      <c r="E44" s="17" t="str">
        <v>Südquadrat Wohnen GmbH</v>
      </c>
      <c r="F44" s="17" t="str">
        <v>GO73-MA-2025</v>
      </c>
      <c r="G44" s="24" t="n">
        <v>45957</v>
      </c>
      <c r="H44" s="20" t="n">
        <v>228</v>
      </c>
      <c r="I44" s="24" t="n">
        <v>45967</v>
      </c>
      <c r="J44" s="17" t="str">
        <v>belege/GO73-MA-2025_Maler.pdf</v>
      </c>
    </row>
    <row r="45" ht="28" customHeight="1">
      <c r="A45" s="16" t="str">
        <v>Heizöl</v>
      </c>
      <c r="B45" s="16" t="str">
        <v>Havel Brennstoffe GmbH</v>
      </c>
      <c r="C45" s="16" t="str">
        <v>GO73-OE-01 / Heizöl EL schwefelarm</v>
      </c>
      <c r="D45" s="21" t="n">
        <v>3675</v>
      </c>
      <c r="E45" s="16" t="str">
        <v>Südquadrat Wohnen GmbH</v>
      </c>
      <c r="F45" s="16" t="str">
        <v>GO73-OE-01</v>
      </c>
      <c r="G45" s="25" t="n">
        <v>45700</v>
      </c>
      <c r="H45" s="21" t="n">
        <v>586.76</v>
      </c>
      <c r="I45" s="25" t="n">
        <v>45710</v>
      </c>
      <c r="J45" s="16" t="str">
        <v>belege/GO73-OE-01_Heizoel.pdf</v>
      </c>
    </row>
    <row r="46" ht="28" customHeight="1">
      <c r="A46" s="17" t="str">
        <v>Heizöl</v>
      </c>
      <c r="B46" s="17" t="str">
        <v>Havel Brennstoffe GmbH</v>
      </c>
      <c r="C46" s="17" t="str">
        <v>GO73-OE-02 / Heizöl EL schwefelarm</v>
      </c>
      <c r="D46" s="20" t="n">
        <v>1470</v>
      </c>
      <c r="E46" s="17" t="str">
        <v>Südquadrat Wohnen GmbH</v>
      </c>
      <c r="F46" s="17" t="str">
        <v>GO73-OE-02</v>
      </c>
      <c r="G46" s="24" t="n">
        <v>45791</v>
      </c>
      <c r="H46" s="20" t="n">
        <v>234.71</v>
      </c>
      <c r="I46" s="24" t="n">
        <v>45801</v>
      </c>
      <c r="J46" s="17" t="str">
        <v>belege/GO73-OE-02_Heizoel.pdf</v>
      </c>
    </row>
    <row r="47" ht="28" customHeight="1">
      <c r="A47" s="16" t="str">
        <v>Heizöl</v>
      </c>
      <c r="B47" s="16" t="str">
        <v>Havel Brennstoffe GmbH</v>
      </c>
      <c r="C47" s="16" t="str">
        <v>GO73-OE-03 / Heizöl EL schwefelarm</v>
      </c>
      <c r="D47" s="21" t="n">
        <v>3060</v>
      </c>
      <c r="E47" s="16" t="str">
        <v>Südquadrat Wohnen GmbH</v>
      </c>
      <c r="F47" s="16" t="str">
        <v>GO73-OE-03</v>
      </c>
      <c r="G47" s="25" t="n">
        <v>45946</v>
      </c>
      <c r="H47" s="21" t="n">
        <v>488.57</v>
      </c>
      <c r="I47" s="25" t="n">
        <v>45956</v>
      </c>
      <c r="J47" s="16" t="str">
        <v>belege/GO73-OE-03_Heizoel.pdf</v>
      </c>
    </row>
    <row r="48" ht="28" customHeight="1">
      <c r="A48" s="17" t="str">
        <v>Vorjahreslieferung</v>
      </c>
      <c r="B48" s="17" t="str">
        <v>Havel Brennstoffe GmbH</v>
      </c>
      <c r="C48" s="17" t="str">
        <v>GO73-OE-2024 / Heizöllieferung Dezember 2024</v>
      </c>
      <c r="D48" s="20" t="n">
        <v>2160</v>
      </c>
      <c r="E48" s="17" t="str">
        <v>Südquadrat Wohnen GmbH</v>
      </c>
      <c r="F48" s="17" t="str">
        <v>GO73-OE-2024</v>
      </c>
      <c r="G48" s="24" t="n">
        <v>45642</v>
      </c>
      <c r="H48" s="20" t="n">
        <v>344.87</v>
      </c>
      <c r="I48" s="24" t="n">
        <v>45649</v>
      </c>
      <c r="J48" s="17" t="str">
        <v>belege/GO73-OE-2024_Vorjahreslieferung.pdf</v>
      </c>
    </row>
  </sheetData>
  <printOptions gridLines="0" headings="0" horizontalCentered="1"/>
  <pageMargins left="0.28" right="0.28" top="0.35" bottom="0.4" header="0.15" footer="0.18"/>
  <pageSetup paperSize="9" orientation="landscape" fitToWidth="1" fitToHeight="0"/>
  <headerFooter>
    <oddFooter>&amp;LGO73 / 2025&amp;CBelegeingang&amp;RSeite &amp;P von &amp;N</oddFooter>
  </headerFooter>
  <rowBreaks count="2" manualBreakCount="2">
    <brk id="21" max="16383" man="1"/>
    <brk id="35" max="16383" man="1"/>
  </rowBreaks>
  <tableParts count="1">
    <tablePart xmlns:r="http://schemas.openxmlformats.org/officeDocument/2006/relationships" r:id="R8c30c129aa9a4460"/>
  </tableParts>
</worksheet>
</file>

<file path=xl/worksheets/sheet2.xml><?xml version="1.0" encoding="utf-8"?>
<worksheet xmlns="http://schemas.openxmlformats.org/spreadsheetml/2006/main">
  <sheetPr>
    <tabColor rgb="FF1F4E78"/>
    <pageSetUpPr fitToPage="1"/>
  </sheetPr>
  <sheetViews>
    <sheetView showGridLines="0" workbookViewId="0">
      <pane ySplit="7" topLeftCell="A8" activePane="bottomLeft" state="frozen" xSplit="0"/>
    </sheetView>
  </sheetViews>
  <sheetFormatPr defaultRowHeight="15"/>
  <cols>
    <col min="1" max="1" width="13.109999656677246" hidden="0" customWidth="1"/>
    <col min="2" max="2" width="11.670000076293945" hidden="0" customWidth="1"/>
    <col min="3" max="3" width="15.109999656677246" hidden="0" customWidth="1"/>
    <col min="4" max="4" width="16.110000610351562" hidden="0" customWidth="1"/>
    <col min="5" max="5" width="14.779999732971191" hidden="0" customWidth="1"/>
    <col min="6" max="6" width="15.109999656677246" hidden="0" customWidth="1"/>
    <col min="7" max="7" width="16.110000610351562" hidden="0" customWidth="1"/>
    <col min="8" max="8" width="28.329999923706055" hidden="0" customWidth="1"/>
  </cols>
  <sheetData>
    <row r="1" ht="9" customHeight="1">
      <c r="A1" s="2"/>
      <c r="B1" s="2"/>
      <c r="C1" s="2"/>
      <c r="D1" s="2"/>
      <c r="E1" s="2"/>
      <c r="F1" s="2"/>
      <c r="G1" s="2"/>
      <c r="H1" s="2"/>
    </row>
    <row r="2" ht="26" customHeight="1">
      <c r="A2" s="3" t="str">
        <v>Mietkonto 2025</v>
      </c>
      <c r="B2" s="2"/>
      <c r="C2" s="2"/>
      <c r="D2" s="2"/>
      <c r="E2" s="2"/>
      <c r="F2" s="2"/>
      <c r="G2" s="2"/>
      <c r="H2" s="2"/>
    </row>
    <row r="3" ht="18" customHeight="1">
      <c r="A3" s="2" t="str">
        <v>Gotenstraße 73, 10829 Berlin / 01.01.2025 bis 31.12.2025</v>
      </c>
      <c r="B3" s="2"/>
      <c r="C3" s="2"/>
      <c r="D3" s="2"/>
      <c r="E3" s="2"/>
      <c r="F3" s="2"/>
      <c r="G3" s="2"/>
      <c r="H3" s="2"/>
    </row>
    <row r="4" ht="18" customHeight="1">
      <c r="A4" s="4" t="str">
        <v>Südquadrat Wohnen GmbH</v>
      </c>
      <c r="B4" s="4"/>
      <c r="C4" s="4"/>
      <c r="D4" s="4"/>
      <c r="E4" s="4"/>
      <c r="F4" s="4"/>
      <c r="G4" s="4"/>
      <c r="H4" s="4"/>
    </row>
    <row r="5" ht="22" customHeight="1">
      <c r="A5" s="2" t="str">
        <v>WE04 / Fabian und Miriam Öztürk</v>
      </c>
      <c r="B5" s="2"/>
      <c r="C5" s="2"/>
      <c r="D5" s="2"/>
      <c r="E5" s="2"/>
      <c r="F5" s="2"/>
      <c r="G5" s="2"/>
      <c r="H5" s="2"/>
    </row>
    <row r="6" ht="8" customHeight="1">
      <c r="A6" s="2"/>
      <c r="B6" s="2"/>
      <c r="C6" s="2"/>
      <c r="D6" s="2"/>
      <c r="E6" s="2"/>
      <c r="F6" s="2"/>
      <c r="G6" s="2"/>
      <c r="H6" s="2"/>
    </row>
    <row r="7" ht="30" customHeight="1">
      <c r="A7" s="13" t="str">
        <v>Buchungstag</v>
      </c>
      <c r="B7" s="14" t="str">
        <v>Monat</v>
      </c>
      <c r="C7" s="14" t="str">
        <v>Kaltmiete</v>
      </c>
      <c r="D7" s="14" t="str">
        <v>VZ Betriebskosten</v>
      </c>
      <c r="E7" s="14" t="str">
        <v>VZ Heizung</v>
      </c>
      <c r="F7" s="14" t="str">
        <v>VZ gesamt</v>
      </c>
      <c r="G7" s="14" t="str">
        <v>Zahlung gesamt</v>
      </c>
      <c r="H7" s="15" t="str">
        <v>Buchungstext</v>
      </c>
    </row>
    <row r="8" ht="28" customHeight="1">
      <c r="A8" s="22" t="n">
        <v>45660</v>
      </c>
      <c r="B8" s="29" t="n">
        <v>45658</v>
      </c>
      <c r="C8" s="20" t="n">
        <v>1450</v>
      </c>
      <c r="D8" s="20" t="n">
        <v>180</v>
      </c>
      <c r="E8" s="20" t="n">
        <v>120</v>
      </c>
      <c r="F8" s="20" t="n">
        <f>SUM(D8:E8)</f>
        <v>300</v>
      </c>
      <c r="G8" s="20" t="n">
        <f>SUM(C8:E8)</f>
        <v>1750</v>
      </c>
      <c r="H8" s="17" t="str">
        <v>Dauerauftrag Fabian und Miriam Öztürk</v>
      </c>
    </row>
    <row r="9" ht="28" customHeight="1">
      <c r="A9" s="23" t="n">
        <v>45691</v>
      </c>
      <c r="B9" s="30" t="n">
        <v>45689</v>
      </c>
      <c r="C9" s="21" t="n">
        <v>1450</v>
      </c>
      <c r="D9" s="21" t="n">
        <v>180</v>
      </c>
      <c r="E9" s="21" t="n">
        <v>120</v>
      </c>
      <c r="F9" s="21" t="n">
        <f>SUM(D9:E9)</f>
        <v>300</v>
      </c>
      <c r="G9" s="21" t="n">
        <f>SUM(C9:E9)</f>
        <v>1750</v>
      </c>
      <c r="H9" s="16" t="str">
        <v>Dauerauftrag Fabian und Miriam Öztürk</v>
      </c>
    </row>
    <row r="10" ht="28" customHeight="1">
      <c r="A10" s="22" t="n">
        <v>45719</v>
      </c>
      <c r="B10" s="29" t="n">
        <v>45717</v>
      </c>
      <c r="C10" s="20" t="n">
        <v>1450</v>
      </c>
      <c r="D10" s="20" t="n">
        <v>180</v>
      </c>
      <c r="E10" s="20" t="n">
        <v>120</v>
      </c>
      <c r="F10" s="20" t="n">
        <f>SUM(D10:E10)</f>
        <v>300</v>
      </c>
      <c r="G10" s="20" t="n">
        <f>SUM(C10:E10)</f>
        <v>1750</v>
      </c>
      <c r="H10" s="17" t="str">
        <v>Dauerauftrag Fabian und Miriam Öztürk</v>
      </c>
    </row>
    <row r="11" ht="28" customHeight="1">
      <c r="A11" s="23" t="n">
        <v>45750</v>
      </c>
      <c r="B11" s="30" t="n">
        <v>45748</v>
      </c>
      <c r="C11" s="21" t="n">
        <v>1450</v>
      </c>
      <c r="D11" s="21" t="n">
        <v>180</v>
      </c>
      <c r="E11" s="21" t="n">
        <v>120</v>
      </c>
      <c r="F11" s="21" t="n">
        <f>SUM(D11:E11)</f>
        <v>300</v>
      </c>
      <c r="G11" s="21" t="n">
        <f>SUM(C11:E11)</f>
        <v>1750</v>
      </c>
      <c r="H11" s="16" t="str">
        <v>Dauerauftrag Fabian und Miriam Öztürk</v>
      </c>
    </row>
    <row r="12" ht="28" customHeight="1">
      <c r="A12" s="22" t="n">
        <v>45780</v>
      </c>
      <c r="B12" s="29" t="n">
        <v>45778</v>
      </c>
      <c r="C12" s="20" t="n">
        <v>1450</v>
      </c>
      <c r="D12" s="20" t="n">
        <v>180</v>
      </c>
      <c r="E12" s="20" t="n">
        <v>120</v>
      </c>
      <c r="F12" s="20" t="n">
        <f>SUM(D12:E12)</f>
        <v>300</v>
      </c>
      <c r="G12" s="20" t="n">
        <f>SUM(C12:E12)</f>
        <v>1750</v>
      </c>
      <c r="H12" s="17" t="str">
        <v>Dauerauftrag Fabian und Miriam Öztürk</v>
      </c>
    </row>
    <row r="13" ht="28" customHeight="1">
      <c r="A13" s="23" t="n">
        <v>45811</v>
      </c>
      <c r="B13" s="30" t="n">
        <v>45809</v>
      </c>
      <c r="C13" s="21" t="n">
        <v>1450</v>
      </c>
      <c r="D13" s="21" t="n">
        <v>180</v>
      </c>
      <c r="E13" s="21" t="n">
        <v>120</v>
      </c>
      <c r="F13" s="21" t="n">
        <f>SUM(D13:E13)</f>
        <v>300</v>
      </c>
      <c r="G13" s="21" t="n">
        <f>SUM(C13:E13)</f>
        <v>1750</v>
      </c>
      <c r="H13" s="16" t="str">
        <v>Dauerauftrag Fabian und Miriam Öztürk</v>
      </c>
    </row>
    <row r="14" ht="28" customHeight="1">
      <c r="A14" s="22" t="n">
        <v>45841</v>
      </c>
      <c r="B14" s="29" t="n">
        <v>45839</v>
      </c>
      <c r="C14" s="20" t="n">
        <v>1450</v>
      </c>
      <c r="D14" s="20" t="n">
        <v>180</v>
      </c>
      <c r="E14" s="20" t="n">
        <v>120</v>
      </c>
      <c r="F14" s="20" t="n">
        <f>SUM(D14:E14)</f>
        <v>300</v>
      </c>
      <c r="G14" s="20" t="n">
        <f>SUM(C14:E14)</f>
        <v>1750</v>
      </c>
      <c r="H14" s="17" t="str">
        <v>Dauerauftrag Fabian und Miriam Öztürk</v>
      </c>
    </row>
    <row r="15" ht="28" customHeight="1">
      <c r="A15" s="23" t="n">
        <v>45872</v>
      </c>
      <c r="B15" s="30" t="n">
        <v>45870</v>
      </c>
      <c r="C15" s="21" t="n">
        <v>1450</v>
      </c>
      <c r="D15" s="21" t="n">
        <v>180</v>
      </c>
      <c r="E15" s="21" t="n">
        <v>120</v>
      </c>
      <c r="F15" s="21" t="n">
        <f>SUM(D15:E15)</f>
        <v>300</v>
      </c>
      <c r="G15" s="21" t="n">
        <f>SUM(C15:E15)</f>
        <v>1750</v>
      </c>
      <c r="H15" s="16" t="str">
        <v>Dauerauftrag Fabian und Miriam Öztürk</v>
      </c>
    </row>
    <row r="16" ht="28" customHeight="1">
      <c r="A16" s="22" t="n">
        <v>45903</v>
      </c>
      <c r="B16" s="29" t="n">
        <v>45901</v>
      </c>
      <c r="C16" s="20" t="n">
        <v>1450</v>
      </c>
      <c r="D16" s="20" t="n">
        <v>180</v>
      </c>
      <c r="E16" s="20" t="n">
        <v>120</v>
      </c>
      <c r="F16" s="20" t="n">
        <f>SUM(D16:E16)</f>
        <v>300</v>
      </c>
      <c r="G16" s="20" t="n">
        <f>SUM(C16:E16)</f>
        <v>1750</v>
      </c>
      <c r="H16" s="17" t="str">
        <v>Dauerauftrag Fabian und Miriam Öztürk</v>
      </c>
    </row>
    <row r="17" ht="28" customHeight="1">
      <c r="A17" s="23" t="n">
        <v>45933</v>
      </c>
      <c r="B17" s="30" t="n">
        <v>45931</v>
      </c>
      <c r="C17" s="21" t="n">
        <v>1450</v>
      </c>
      <c r="D17" s="21" t="n">
        <v>180</v>
      </c>
      <c r="E17" s="21" t="n">
        <v>120</v>
      </c>
      <c r="F17" s="21" t="n">
        <f>SUM(D17:E17)</f>
        <v>300</v>
      </c>
      <c r="G17" s="21" t="n">
        <f>SUM(C17:E17)</f>
        <v>1750</v>
      </c>
      <c r="H17" s="16" t="str">
        <v>Dauerauftrag Fabian und Miriam Öztürk</v>
      </c>
    </row>
    <row r="18" ht="28" customHeight="1">
      <c r="A18" s="22" t="n">
        <v>45964</v>
      </c>
      <c r="B18" s="29" t="n">
        <v>45962</v>
      </c>
      <c r="C18" s="20" t="n">
        <v>1450</v>
      </c>
      <c r="D18" s="20" t="n">
        <v>180</v>
      </c>
      <c r="E18" s="20" t="n">
        <v>120</v>
      </c>
      <c r="F18" s="20" t="n">
        <f>SUM(D18:E18)</f>
        <v>300</v>
      </c>
      <c r="G18" s="20" t="n">
        <f>SUM(C18:E18)</f>
        <v>1750</v>
      </c>
      <c r="H18" s="17" t="str">
        <v>Dauerauftrag Fabian und Miriam Öztürk</v>
      </c>
    </row>
    <row r="19" ht="28" customHeight="1">
      <c r="A19" s="23" t="n">
        <v>45994</v>
      </c>
      <c r="B19" s="30" t="n">
        <v>45992</v>
      </c>
      <c r="C19" s="21" t="n">
        <v>1450</v>
      </c>
      <c r="D19" s="21" t="n">
        <v>180</v>
      </c>
      <c r="E19" s="21" t="n">
        <v>120</v>
      </c>
      <c r="F19" s="21" t="n">
        <f>SUM(D19:E19)</f>
        <v>300</v>
      </c>
      <c r="G19" s="21" t="n">
        <f>SUM(C19:E19)</f>
        <v>1750</v>
      </c>
      <c r="H19" s="16" t="str">
        <v>Dauerauftrag Fabian und Miriam Öztürk</v>
      </c>
    </row>
    <row r="20" ht="22" customHeight="1">
      <c r="A20" s="2"/>
      <c r="B20" s="2"/>
      <c r="C20" s="31"/>
      <c r="D20" s="31"/>
      <c r="E20" s="31"/>
      <c r="F20" s="31"/>
      <c r="G20" s="31"/>
      <c r="H20" s="2"/>
    </row>
    <row r="21" ht="27" customHeight="1">
      <c r="A21" s="34" t="str">
        <v>Jahressumme</v>
      </c>
      <c r="B21" s="34"/>
      <c r="C21" s="35" t="n">
        <f>SUM(C8:C19)</f>
        <v>17400</v>
      </c>
      <c r="D21" s="35" t="n">
        <f>SUM(D8:D19)</f>
        <v>2160</v>
      </c>
      <c r="E21" s="35" t="n">
        <f>SUM(E8:E19)</f>
        <v>1440</v>
      </c>
      <c r="F21" s="35" t="n">
        <f>SUM(F8:F19)</f>
        <v>3600</v>
      </c>
      <c r="G21" s="35" t="n">
        <f>SUM(G8:G19)</f>
        <v>21000</v>
      </c>
      <c r="H21" s="34"/>
    </row>
  </sheetData>
  <printOptions gridLines="0" headings="0" horizontalCentered="1"/>
  <pageMargins left="0.28" right="0.28" top="0.35" bottom="0.4" header="0.15" footer="0.18"/>
  <pageSetup paperSize="9" orientation="landscape" fitToWidth="1" fitToHeight="0"/>
  <headerFooter>
    <oddFooter>&amp;LGO73 / 2025&amp;CMietkonto2025&amp;RSeite &amp;P von &amp;N</oddFooter>
  </headerFooter>
  <tableParts count="1">
    <tablePart xmlns:r="http://schemas.openxmlformats.org/officeDocument/2006/relationships" r:id="R2cc405fc771b478c"/>
  </tableParts>
</worksheet>
</file>

<file path=xl/worksheets/sheet3.xml><?xml version="1.0" encoding="utf-8"?>
<worksheet xmlns="http://schemas.openxmlformats.org/spreadsheetml/2006/main">
  <sheetPr>
    <tabColor rgb="FF1F4E78"/>
    <pageSetUpPr fitToPage="1"/>
  </sheetPr>
  <sheetViews>
    <sheetView showGridLines="0" workbookViewId="0">
      <pane ySplit="14" topLeftCell="A15" activePane="bottomLeft" state="frozen" xSplit="0"/>
    </sheetView>
  </sheetViews>
  <sheetFormatPr defaultRowHeight="15"/>
  <cols>
    <col min="1" max="1" width="29.440000534057617" hidden="0" customWidth="1"/>
    <col min="2" max="2" width="14.5600004196167" hidden="0" customWidth="1"/>
    <col min="3" max="3" width="11" hidden="0" customWidth="1"/>
    <col min="4" max="4" width="11" hidden="0" customWidth="1"/>
    <col min="5" max="5" width="15.5600004196167" hidden="0" customWidth="1"/>
  </cols>
  <sheetData>
    <row r="1" ht="9" customHeight="1">
      <c r="A1" s="2"/>
      <c r="B1" s="2"/>
      <c r="C1" s="2"/>
      <c r="D1" s="2"/>
      <c r="E1" s="2"/>
    </row>
    <row r="2" ht="26" customHeight="1">
      <c r="A2" s="3" t="str">
        <v>Betriebskostenabrechnung 2025</v>
      </c>
      <c r="B2" s="2"/>
      <c r="C2" s="2"/>
      <c r="D2" s="2"/>
      <c r="E2" s="2"/>
    </row>
    <row r="3" ht="18" customHeight="1">
      <c r="A3" s="2" t="str">
        <v>Gotenstraße 73, 10829 Berlin / 01.01.2025 bis 31.12.2025</v>
      </c>
      <c r="B3" s="2"/>
      <c r="C3" s="2"/>
      <c r="D3" s="2"/>
      <c r="E3" s="2"/>
    </row>
    <row r="4" ht="18" customHeight="1">
      <c r="A4" s="4" t="str">
        <v>Südquadrat Wohnen GmbH</v>
      </c>
      <c r="B4" s="4"/>
      <c r="C4" s="4"/>
      <c r="D4" s="4"/>
      <c r="E4" s="4"/>
    </row>
    <row r="5" ht="22" customHeight="1">
      <c r="A5" s="2" t="str">
        <v>WE04 / Fabian und Miriam Öztürk</v>
      </c>
      <c r="B5" s="2"/>
      <c r="C5" s="2"/>
      <c r="D5" s="2"/>
      <c r="E5" s="2"/>
    </row>
    <row r="6" ht="8" customHeight="1">
      <c r="A6" s="2"/>
      <c r="B6" s="2"/>
      <c r="C6" s="2"/>
      <c r="D6" s="2"/>
      <c r="E6" s="2"/>
    </row>
    <row r="7" ht="22" customHeight="1">
      <c r="A7" s="2" t="str">
        <v>Abrechnungsdatum</v>
      </c>
      <c r="B7" s="36" t="n">
        <v>46260</v>
      </c>
      <c r="C7" s="2"/>
      <c r="D7" s="2"/>
      <c r="E7" s="2"/>
    </row>
    <row r="8" ht="22" customHeight="1">
      <c r="A8" s="2" t="str">
        <v>Verwaltungsstand</v>
      </c>
      <c r="B8" s="36" t="n">
        <v>46260</v>
      </c>
      <c r="C8" s="2"/>
      <c r="D8" s="2"/>
      <c r="E8" s="2"/>
    </row>
    <row r="9" ht="22" customHeight="1">
      <c r="A9" s="2" t="str">
        <v>Wohnfläche Wohnung / m²</v>
      </c>
      <c r="B9" s="2" t="n">
        <f>B38</f>
        <v>108</v>
      </c>
      <c r="C9" s="2"/>
      <c r="D9" s="2"/>
      <c r="E9" s="2"/>
    </row>
    <row r="10" ht="22" customHeight="1">
      <c r="A10" s="2" t="str">
        <v>Wohnfläche Objekt / m²</v>
      </c>
      <c r="B10" s="2" t="n">
        <f>B44</f>
        <v>800</v>
      </c>
      <c r="C10" s="2"/>
      <c r="D10" s="2"/>
      <c r="E10" s="2"/>
    </row>
    <row r="11" ht="22" customHeight="1">
      <c r="A11" s="2" t="str">
        <v>Angerechnete Vorauszahlungen</v>
      </c>
      <c r="B11" s="26" t="n">
        <v>3600</v>
      </c>
      <c r="C11" s="2"/>
      <c r="D11" s="2"/>
      <c r="E11" s="2"/>
    </row>
    <row r="12" ht="8" customHeight="1">
      <c r="A12" s="2"/>
      <c r="B12" s="2"/>
      <c r="C12" s="2"/>
      <c r="D12" s="2"/>
      <c r="E12" s="2"/>
    </row>
    <row r="13" ht="8" customHeight="1">
      <c r="A13" s="2"/>
      <c r="B13" s="2"/>
      <c r="C13" s="2"/>
      <c r="D13" s="2"/>
      <c r="E13" s="2"/>
    </row>
    <row r="14" ht="30" customHeight="1">
      <c r="A14" s="13" t="str">
        <v>Kostenart</v>
      </c>
      <c r="B14" s="14" t="str">
        <v>Kostenbetrag EUR</v>
      </c>
      <c r="C14" s="14" t="str">
        <v>Gesamt m²</v>
      </c>
      <c r="D14" s="14" t="str">
        <v>Wohnung m²</v>
      </c>
      <c r="E14" s="15" t="str">
        <v>Ihr Anteil EUR</v>
      </c>
    </row>
    <row r="15" ht="25" customHeight="1">
      <c r="A15" s="17" t="str">
        <v>Hausservice</v>
      </c>
      <c r="B15" s="18" t="n">
        <v>9600</v>
      </c>
      <c r="C15" s="37" t="n">
        <f>$B$10</f>
        <v>800</v>
      </c>
      <c r="D15" s="37" t="n">
        <f>$B$9</f>
        <v>108</v>
      </c>
      <c r="E15" s="18" t="n">
        <f>ROUND(B15*D15/C15,2)</f>
        <v>1296</v>
      </c>
    </row>
    <row r="16" ht="25" customHeight="1">
      <c r="A16" s="16" t="str">
        <v>Wasser und Abwasser</v>
      </c>
      <c r="B16" s="19" t="n">
        <v>2840</v>
      </c>
      <c r="C16" s="38" t="n">
        <f>$B$10</f>
        <v>800</v>
      </c>
      <c r="D16" s="38" t="n">
        <f>$B$9</f>
        <v>108</v>
      </c>
      <c r="E16" s="19" t="n">
        <f>ROUND(B16*D16/C16,2)</f>
        <v>383.4</v>
      </c>
    </row>
    <row r="17" ht="25" customHeight="1">
      <c r="A17" s="17" t="str">
        <v>Abfall</v>
      </c>
      <c r="B17" s="18" t="n">
        <v>2360</v>
      </c>
      <c r="C17" s="37" t="n">
        <f>$B$10</f>
        <v>800</v>
      </c>
      <c r="D17" s="37" t="n">
        <f>$B$9</f>
        <v>108</v>
      </c>
      <c r="E17" s="18" t="n">
        <f>ROUND(B17*D17/C17,2)</f>
        <v>318.6</v>
      </c>
    </row>
    <row r="18" ht="25" customHeight="1">
      <c r="A18" s="16" t="str">
        <v>Straßenreinigung</v>
      </c>
      <c r="B18" s="19" t="n">
        <v>480</v>
      </c>
      <c r="C18" s="38" t="n">
        <f>$B$10</f>
        <v>800</v>
      </c>
      <c r="D18" s="38" t="n">
        <f>$B$9</f>
        <v>108</v>
      </c>
      <c r="E18" s="19" t="n">
        <f>ROUND(B18*D18/C18,2)</f>
        <v>64.8</v>
      </c>
    </row>
    <row r="19" ht="25" customHeight="1">
      <c r="A19" s="17" t="str">
        <v>Wohngebäudeversicherung</v>
      </c>
      <c r="B19" s="18" t="n">
        <v>1980</v>
      </c>
      <c r="C19" s="37" t="n">
        <f>$B$10</f>
        <v>800</v>
      </c>
      <c r="D19" s="37" t="n">
        <f>$B$9</f>
        <v>108</v>
      </c>
      <c r="E19" s="18" t="n">
        <f>ROUND(B19*D19/C19,2)</f>
        <v>267.3</v>
      </c>
    </row>
    <row r="20" ht="25" customHeight="1">
      <c r="A20" s="16" t="str">
        <v>Aufzug</v>
      </c>
      <c r="B20" s="19" t="n">
        <v>1428</v>
      </c>
      <c r="C20" s="38" t="n">
        <f>$B$10</f>
        <v>800</v>
      </c>
      <c r="D20" s="38" t="n">
        <f>$B$9</f>
        <v>108</v>
      </c>
      <c r="E20" s="19" t="n">
        <f>ROUND(B20*D20/C20,2)</f>
        <v>192.78</v>
      </c>
    </row>
    <row r="21" ht="25" customHeight="1">
      <c r="A21" s="17" t="str">
        <v>Allgemeinstrom</v>
      </c>
      <c r="B21" s="18" t="n">
        <v>1380</v>
      </c>
      <c r="C21" s="37" t="n">
        <f>$B$10</f>
        <v>800</v>
      </c>
      <c r="D21" s="37" t="n">
        <f>$B$9</f>
        <v>108</v>
      </c>
      <c r="E21" s="18" t="n">
        <f>ROUND(B21*D21/C21,2)</f>
        <v>186.3</v>
      </c>
    </row>
    <row r="22" ht="25" customHeight="1">
      <c r="A22" s="16" t="str">
        <v>Tür und Schließanlage</v>
      </c>
      <c r="B22" s="19" t="n">
        <v>892.5</v>
      </c>
      <c r="C22" s="38" t="n">
        <f>$B$10</f>
        <v>800</v>
      </c>
      <c r="D22" s="38" t="n">
        <f>$B$9</f>
        <v>108</v>
      </c>
      <c r="E22" s="19" t="n">
        <f>ROUND(B22*D22/C22,2)</f>
        <v>120.49</v>
      </c>
    </row>
    <row r="23" ht="25" customHeight="1">
      <c r="A23" s="17" t="str">
        <v>Treppenhausarbeiten</v>
      </c>
      <c r="B23" s="18" t="n">
        <v>1428</v>
      </c>
      <c r="C23" s="37" t="n">
        <f>$B$10</f>
        <v>800</v>
      </c>
      <c r="D23" s="37" t="n">
        <f>$B$9</f>
        <v>108</v>
      </c>
      <c r="E23" s="18" t="n">
        <f>ROUND(B23*D23/C23,2)</f>
        <v>192.78</v>
      </c>
    </row>
    <row r="24" ht="25" customHeight="1">
      <c r="A24" s="16" t="str">
        <v>Beleuchtung</v>
      </c>
      <c r="B24" s="19" t="n">
        <v>595</v>
      </c>
      <c r="C24" s="38" t="n">
        <f>$B$10</f>
        <v>800</v>
      </c>
      <c r="D24" s="38" t="n">
        <f>$B$9</f>
        <v>108</v>
      </c>
      <c r="E24" s="19" t="n">
        <f>ROUND(B24*D24/C24,2)</f>
        <v>80.33</v>
      </c>
    </row>
    <row r="25" ht="25" customHeight="1">
      <c r="A25" s="17" t="str">
        <v>Grundsteuer</v>
      </c>
      <c r="B25" s="18" t="n">
        <v>3788.2</v>
      </c>
      <c r="C25" s="37" t="n">
        <f>$B$10</f>
        <v>800</v>
      </c>
      <c r="D25" s="37" t="n">
        <f>$B$9</f>
        <v>108</v>
      </c>
      <c r="E25" s="18" t="n">
        <f>ROUND(B25*D25/C25,2)</f>
        <v>511.41</v>
      </c>
    </row>
    <row r="26" ht="33" customHeight="1">
      <c r="A26" s="16" t="str">
        <v>Heizung / Warmwasser
laut Rechenbogen</v>
      </c>
      <c r="B26" s="19" t="n">
        <v>1312.34</v>
      </c>
      <c r="C26" s="16"/>
      <c r="D26" s="16"/>
      <c r="E26" s="19" t="n">
        <f>B26</f>
        <v>1312.34</v>
      </c>
    </row>
    <row r="27" ht="22" customHeight="1">
      <c r="A27" s="2"/>
      <c r="B27" s="2"/>
      <c r="C27" s="2"/>
      <c r="D27" s="2"/>
      <c r="E27" s="26"/>
    </row>
    <row r="28" ht="27" customHeight="1">
      <c r="A28" s="43" t="str">
        <v>Kostenanteile gesamt</v>
      </c>
      <c r="B28" s="43"/>
      <c r="C28" s="43"/>
      <c r="D28" s="43"/>
      <c r="E28" s="44" t="n">
        <f>SUM(E15:E26)</f>
        <v>4926.530000000001</v>
      </c>
    </row>
    <row r="29" ht="22" customHeight="1">
      <c r="A29" s="2" t="str">
        <v>Angerechnete Vorauszahlungen</v>
      </c>
      <c r="B29" s="2"/>
      <c r="C29" s="2"/>
      <c r="D29" s="2"/>
      <c r="E29" s="26" t="n">
        <f>B11</f>
        <v>3600</v>
      </c>
    </row>
    <row r="30" ht="27" customHeight="1">
      <c r="A30" s="34" t="str">
        <v>Nachzahlung</v>
      </c>
      <c r="B30" s="34"/>
      <c r="C30" s="34"/>
      <c r="D30" s="34"/>
      <c r="E30" s="47" t="n">
        <f>ROUND(E28-E29,2)</f>
        <v>1326.53</v>
      </c>
    </row>
    <row r="31" ht="10" customHeight="1">
      <c r="A31" s="2"/>
      <c r="B31" s="2"/>
      <c r="C31" s="2"/>
      <c r="D31" s="2"/>
      <c r="E31" s="2"/>
    </row>
    <row r="32" ht="10" customHeight="1">
      <c r="A32" s="2"/>
      <c r="B32" s="2"/>
      <c r="C32" s="2"/>
      <c r="D32" s="2"/>
      <c r="E32" s="2"/>
    </row>
    <row r="33" ht="22" customHeight="1">
      <c r="A33" s="48" t="str">
        <v>Wohnflächenverzeichnis</v>
      </c>
      <c r="B33" s="2"/>
      <c r="C33" s="2"/>
      <c r="D33" s="2"/>
      <c r="E33" s="2"/>
    </row>
    <row r="34" ht="30" customHeight="1">
      <c r="A34" s="13" t="str">
        <v>Einheit</v>
      </c>
      <c r="B34" s="15" t="str">
        <v>Wohnfläche m²</v>
      </c>
      <c r="C34" s="2"/>
      <c r="D34" s="2"/>
      <c r="E34" s="2"/>
    </row>
    <row r="35" ht="22" customHeight="1">
      <c r="A35" s="17" t="str">
        <v>WE01</v>
      </c>
      <c r="B35" s="37" t="n">
        <v>96</v>
      </c>
      <c r="C35" s="2"/>
      <c r="D35" s="2"/>
      <c r="E35" s="2"/>
    </row>
    <row r="36" ht="22" customHeight="1">
      <c r="A36" s="16" t="str">
        <v>WE02</v>
      </c>
      <c r="B36" s="38" t="n">
        <v>104</v>
      </c>
      <c r="C36" s="2"/>
      <c r="D36" s="2"/>
      <c r="E36" s="2"/>
    </row>
    <row r="37" ht="22" customHeight="1">
      <c r="A37" s="17" t="str">
        <v>WE03</v>
      </c>
      <c r="B37" s="37" t="n">
        <v>100</v>
      </c>
      <c r="C37" s="2"/>
      <c r="D37" s="2"/>
      <c r="E37" s="2"/>
    </row>
    <row r="38" ht="22" customHeight="1">
      <c r="A38" s="16" t="str">
        <v>WE04</v>
      </c>
      <c r="B38" s="38" t="n">
        <v>108</v>
      </c>
      <c r="C38" s="2"/>
      <c r="D38" s="2"/>
      <c r="E38" s="2"/>
    </row>
    <row r="39" ht="22" customHeight="1">
      <c r="A39" s="17" t="str">
        <v>WE05</v>
      </c>
      <c r="B39" s="37" t="n">
        <v>92</v>
      </c>
      <c r="C39" s="2"/>
      <c r="D39" s="2"/>
      <c r="E39" s="2"/>
    </row>
    <row r="40" ht="22" customHeight="1">
      <c r="A40" s="16" t="str">
        <v>WE06</v>
      </c>
      <c r="B40" s="38" t="n">
        <v>100</v>
      </c>
      <c r="C40" s="2"/>
      <c r="D40" s="2"/>
      <c r="E40" s="2"/>
    </row>
    <row r="41" ht="22" customHeight="1">
      <c r="A41" s="17" t="str">
        <v>WE07</v>
      </c>
      <c r="B41" s="37" t="n">
        <v>98</v>
      </c>
      <c r="C41" s="2"/>
      <c r="D41" s="2"/>
      <c r="E41" s="2"/>
    </row>
    <row r="42" ht="22" customHeight="1">
      <c r="A42" s="16" t="str">
        <v>WE08</v>
      </c>
      <c r="B42" s="38" t="n">
        <v>102</v>
      </c>
      <c r="C42" s="2"/>
      <c r="D42" s="2"/>
      <c r="E42" s="2"/>
    </row>
    <row r="43" ht="22" customHeight="1">
      <c r="A43" s="2"/>
      <c r="B43" s="49"/>
      <c r="C43" s="2"/>
      <c r="D43" s="2"/>
      <c r="E43" s="2"/>
    </row>
    <row r="44" ht="27" customHeight="1">
      <c r="A44" s="43" t="str">
        <v>Gesamtwohnfläche</v>
      </c>
      <c r="B44" s="52" t="n">
        <f>SUM(B35:B42)</f>
        <v>800</v>
      </c>
      <c r="C44" s="2"/>
      <c r="D44" s="2"/>
      <c r="E44" s="2"/>
    </row>
  </sheetData>
  <printOptions gridLines="0" headings="0" horizontalCentered="1"/>
  <pageMargins left="0.28" right="0.28" top="0.35" bottom="0.4" header="0.15" footer="0.18"/>
  <pageSetup paperSize="9" orientation="portrait" fitToWidth="1" fitToHeight="0"/>
  <headerFooter>
    <oddFooter>&amp;LGO73 / 2025&amp;CAbrechnung_Stand&amp;RSeite &amp;P von &amp;N</oddFooter>
  </headerFooter>
  <rowBreaks count="1" manualBreakCount="1">
    <brk id="32" max="16383" man="1"/>
  </rowBreaks>
  <tableParts count="1">
    <tablePart xmlns:r="http://schemas.openxmlformats.org/officeDocument/2006/relationships" r:id="R7c79c20e196b40eb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Klotzkette</dc:creator>
  <cp:lastModifiedBy>Klotzkette</cp:lastModifiedBy>
  <dc:title>Verwaltungsbuchhaltung 2025 - Gotenstraße 73, 10829 Berlin</dc:title>
  <dcterms:created xsi:type="dcterms:W3CDTF">2026-08-26T00:00:00Z</dcterms:created>
  <dcterms:modified xsi:type="dcterms:W3CDTF">2026-08-26T00:00:00Z</dcterms:modified>
</cp:coreProperties>
</file>