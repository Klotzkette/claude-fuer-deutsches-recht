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da328a925548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teile" sheetId="1" r:id="R9acef075aa9b4d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&quot;  &quot;"/>
    <x:numFmt numFmtId="201" formatCode="0.00%&quot;  &quot;"/>
  </x:numFmts>
  <x:fonts count="6">
    <x:font>
      <x:sz val="11"/>
      <x:name val="Carlito"/>
    </x:font>
    <x:font>
      <x:sz val="11"/>
      <x:color rgb="FF222222"/>
      <x:name val="Arial"/>
    </x:font>
    <x:font>
      <x:b/>
      <x:sz val="15"/>
      <x:color rgb="FFFFFFFF"/>
      <x:name val="Arial"/>
    </x:font>
    <x:font>
      <x:sz val="10"/>
      <x:color rgb="FF56616B"/>
      <x:name val="Arial"/>
    </x:font>
    <x:font>
      <x:b/>
      <x:sz val="11"/>
      <x:color rgb="FF222222"/>
      <x:name val="Arial"/>
    </x:font>
    <x:font>
      <x:sz val="11"/>
      <x:color rgb="FF1F5B9E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C50"/>
      </x:patternFill>
    </x:fill>
    <x:fill>
      <x:patternFill patternType="solid">
        <x:fgColor rgb="FFE5EBEF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4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0" fontId="4" fillId="3" borderId="0" xfId="0" applyNumberFormat="1" applyFont="1" applyFill="1" applyBorder="1" applyAlignment="1">
      <x:alignment horizontal="right" vertical="center"/>
    </x:xf>
    <x:xf numFmtId="201" fontId="4" fillId="3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20f649fef147df" /><Relationship Type="http://schemas.openxmlformats.org/officeDocument/2006/relationships/theme" Target="/xl/theme/theme1.xml" Id="R650dd8248ff14144" /><Relationship Type="http://schemas.openxmlformats.org/officeDocument/2006/relationships/sharedStrings" Target="/xl/sharedStrings.xml" Id="R646fa54c36b94bba" /><Relationship Type="http://schemas.openxmlformats.org/officeDocument/2006/relationships/worksheet" Target="/xl/worksheets/sheet1.xml" Id="R9acef075aa9b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19" hidden="0" customWidth="1"/>
    <x:col min="3" max="3" width="19" hidden="0" customWidth="1"/>
    <x:col min="4" max="4" width="19" hidden="0" customWidth="1"/>
    <x:col min="5" max="5" width="45" hidden="0" customWidth="1"/>
  </x:cols>
  <x:sheetData>
    <x:row r="1" ht="34" customHeight="1">
      <x:c r="A1" s="4" t="str">
        <x:v>Kranichspur Prozessdesign GmbH</x:v>
      </x:c>
      <x:c r="B1" s="4"/>
      <x:c r="C1" s="4"/>
      <x:c r="D1" s="4"/>
      <x:c r="E1" s="4"/>
    </x:row>
    <x:row r="2" ht="23" customHeight="1">
      <x:c r="A2" s="5" t="str">
        <x:v>Interne Buchhaltung | Stand 30.09.2026 | Beträge in EUR</x:v>
      </x:c>
      <x:c r="B2" s="5"/>
      <x:c r="C2" s="5"/>
      <x:c r="D2" s="5"/>
      <x:c r="E2" s="5"/>
    </x:row>
    <x:row r="3" ht="23" customHeight="1">
      <x:c r="A3" s="2"/>
      <x:c r="B3" s="2"/>
      <x:c r="C3" s="2"/>
      <x:c r="D3" s="2"/>
      <x:c r="E3" s="2"/>
    </x:row>
    <x:row r="4" ht="36" customHeight="1">
      <x:c r="A4" s="8" t="str">
        <x:v>Gesellschafter</x:v>
      </x:c>
      <x:c r="B4" s="9" t="str">
        <x:v>Nennbetrag</x:v>
      </x:c>
      <x:c r="C4" s="9" t="str">
        <x:v>Anteil aktuell</x:v>
      </x:c>
      <x:c r="D4" s="9" t="str">
        <x:v>Anteil-Nr.</x:v>
      </x:c>
      <x:c r="E4" s="8" t="str">
        <x:v>Quelle / Stand</x:v>
      </x:c>
    </x:row>
    <x:row r="5" ht="23" customHeight="1">
      <x:c r="A5" s="2" t="str">
        <x:v>Mila Degenhardt</x:v>
      </x:c>
      <x:c r="B5" s="19" t="n">
        <x:v>6000</x:v>
      </x:c>
      <x:c r="C5" s="15" t="n">
        <x:f>B5/SUM($B$5:$B$7)</x:f>
        <x:v>0.2</x:v>
      </x:c>
      <x:c r="D5" s="18" t="n">
        <x:v>1</x:v>
      </x:c>
      <x:c r="E5" s="2" t="str">
        <x:v>Gesellschafterliste, Datei 04</x:v>
      </x:c>
    </x:row>
    <x:row r="6" ht="23" customHeight="1">
      <x:c r="A6" s="2" t="str">
        <x:v>Wendelin Rapp</x:v>
      </x:c>
      <x:c r="B6" s="19" t="n">
        <x:v>15000</x:v>
      </x:c>
      <x:c r="C6" s="15" t="n">
        <x:f>B6/SUM($B$5:$B$7)</x:f>
        <x:v>0.5</x:v>
      </x:c>
      <x:c r="D6" s="18" t="n">
        <x:v>2</x:v>
      </x:c>
      <x:c r="E6" s="2" t="str">
        <x:v>Gesellschafterliste, Datei 04</x:v>
      </x:c>
    </x:row>
    <x:row r="7" ht="23" customHeight="1">
      <x:c r="A7" s="2" t="str">
        <x:v>Oda Şahin</x:v>
      </x:c>
      <x:c r="B7" s="19" t="n">
        <x:v>9000</x:v>
      </x:c>
      <x:c r="C7" s="15" t="n">
        <x:f>B7/SUM($B$5:$B$7)</x:f>
        <x:v>0.3</x:v>
      </x:c>
      <x:c r="D7" s="18" t="n">
        <x:v>3</x:v>
      </x:c>
      <x:c r="E7" s="2" t="str">
        <x:v>Gesellschafterliste, Datei 04</x:v>
      </x:c>
    </x:row>
    <x:row r="8" ht="23" customHeight="1">
      <x:c r="A8" s="7" t="str">
        <x:v>Summe</x:v>
      </x:c>
      <x:c r="B8" s="16" t="n">
        <x:f>SUM(B5:B7)</x:f>
        <x:v>30000</x:v>
      </x:c>
      <x:c r="C8" s="17" t="n">
        <x:f>SUM(C5:C7)</x:f>
        <x:v>1</x:v>
      </x:c>
      <x:c r="D8" s="7"/>
      <x:c r="E8" s="7"/>
    </x:row>
    <x:row r="9" ht="23" customHeight="1">
      <x:c r="A9" s="2"/>
      <x:c r="B9" s="2"/>
      <x:c r="C9" s="2"/>
      <x:c r="D9" s="2"/>
      <x:c r="E9" s="2"/>
    </x:row>
    <x:row r="10" ht="23" customHeight="1">
      <x:c r="A10" s="2"/>
      <x:c r="B10" s="2"/>
      <x:c r="C10" s="2"/>
      <x:c r="D10" s="2"/>
      <x:c r="E10" s="2"/>
    </x:row>
    <x:row r="11" ht="23" customHeight="1">
      <x:c r="A11" s="7" t="str">
        <x:v>Besprechungsstand – mögliche spätere Veränderung</x:v>
      </x:c>
      <x:c r="B11" s="7"/>
      <x:c r="C11" s="7"/>
      <x:c r="D11" s="7"/>
      <x:c r="E11" s="7"/>
    </x:row>
    <x:row r="12" ht="36" customHeight="1">
      <x:c r="A12" s="8" t="str">
        <x:v>Gesellschafter</x:v>
      </x:c>
      <x:c r="B12" s="9" t="str">
        <x:v>Bisher</x:v>
      </x:c>
      <x:c r="C12" s="9" t="str">
        <x:v>Geplante Übertragung</x:v>
      </x:c>
      <x:c r="D12" s="9" t="str">
        <x:v>Danach geplant</x:v>
      </x:c>
      <x:c r="E12" s="8" t="str">
        <x:v>Verhandlungsstand</x:v>
      </x:c>
    </x:row>
    <x:row r="13" ht="23" customHeight="1">
      <x:c r="A13" s="2" t="str">
        <x:v>Mila Degenhardt</x:v>
      </x:c>
      <x:c r="B13" s="14" t="n">
        <x:f>B5</x:f>
        <x:v>6000</x:v>
      </x:c>
      <x:c r="C13" s="14" t="n">
        <x:v>6000</x:v>
      </x:c>
      <x:c r="D13" s="14" t="n">
        <x:f>B13+C13</x:f>
        <x:v>12000</x:v>
      </x:c>
      <x:c r="E13" s="2" t="str">
        <x:v>Finanzierung noch offen</x:v>
      </x:c>
    </x:row>
    <x:row r="14" ht="23" customHeight="1">
      <x:c r="A14" s="2" t="str">
        <x:v>Wendelin Rapp</x:v>
      </x:c>
      <x:c r="B14" s="14" t="n">
        <x:f>B6</x:f>
        <x:v>15000</x:v>
      </x:c>
      <x:c r="C14" s="14" t="n">
        <x:v>0</x:v>
      </x:c>
      <x:c r="D14" s="14" t="n">
        <x:f>B14+C14</x:f>
        <x:v>15000</x:v>
      </x:c>
      <x:c r="E14" s="2" t="str">
        <x:v>Keine Übertragung geplant</x:v>
      </x:c>
    </x:row>
    <x:row r="15" ht="23" customHeight="1">
      <x:c r="A15" s="2" t="str">
        <x:v>Oda Şahin</x:v>
      </x:c>
      <x:c r="B15" s="14" t="n">
        <x:f>B7</x:f>
        <x:v>9000</x:v>
      </x:c>
      <x:c r="C15" s="14" t="n">
        <x:v>-6000</x:v>
      </x:c>
      <x:c r="D15" s="14" t="n">
        <x:f>B15+C15</x:f>
        <x:v>3000</x:v>
      </x:c>
      <x:c r="E15" s="2" t="str">
        <x:v>Kein notarielles Angebot</x:v>
      </x:c>
    </x:row>
    <x:row r="16" ht="23" customHeight="1">
      <x:c r="A16" s="2"/>
      <x:c r="B16" s="2"/>
      <x:c r="C16" s="2"/>
      <x:c r="D16" s="2"/>
      <x:c r="E16" s="2"/>
    </x:row>
    <x:row r="17" ht="23" customHeight="1">
      <x:c r="A17" s="21" t="str">
        <x:v>Quelle: Dateien 02 und 04. Die Planung ist kein aktueller Registerstand. Gesellschaftsvertrag und Nebenvereinbarungen stehen separat in der Vertragsablage.</x:v>
      </x:c>
      <x:c r="B17" s="21"/>
      <x:c r="C17" s="21"/>
      <x:c r="D17" s="21"/>
      <x:c r="E17" s="21"/>
    </x:row>
    <x:row r="18" ht="23" customHeight="1">
      <x:c r="A18" s="21"/>
      <x:c r="B18" s="21"/>
      <x:c r="C18" s="21"/>
      <x:c r="D18" s="21"/>
      <x:c r="E18" s="21"/>
    </x:row>
    <x:row r="19" ht="23" customHeight="1">
      <x:c r="A19" s="2"/>
      <x:c r="B19" s="2"/>
      <x:c r="C19" s="2"/>
      <x:c r="D19" s="2"/>
      <x:c r="E19" s="2"/>
    </x:row>
    <x:row r="20" ht="23" customHeight="1">
      <x:c r="A20" s="2"/>
      <x:c r="B20" s="2"/>
      <x:c r="C20" s="2"/>
      <x:c r="D20" s="2"/>
      <x:c r="E20" s="2"/>
    </x:row>
  </x:sheetData>
  <x:mergeCells>
    <x:mergeCell ref="A1:E1"/>
    <x:mergeCell ref="A2:E2"/>
    <x:mergeCell ref="A11:E11"/>
    <x:mergeCell ref="A17:E18"/>
  </x:mergeCells>
  <x:pageMargins left="0.7" right="0.7" top="0.75" bottom="0.75" header="0.3" footer="0.3"/>
</x:worksheet>
</file>