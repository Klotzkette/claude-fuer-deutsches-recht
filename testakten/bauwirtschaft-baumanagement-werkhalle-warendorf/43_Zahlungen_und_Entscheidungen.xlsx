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natsplan" sheetId="1" state="visible" r:id="rId3"/>
    <sheet name="Zahlungsregister" sheetId="2" state="visible" r:id="rId4"/>
  </sheets>
  <definedNames>
    <definedName function="false" hidden="false" localSheetId="0" name="_xlnm.Print_Area" vbProcedure="false">Monatsplan!$A$1:$E$26</definedName>
    <definedName function="false" hidden="false" localSheetId="0" name="_xlnm.Print_Titles" vbProcedure="false">Monatsplan!$1:$5</definedName>
    <definedName function="false" hidden="false" localSheetId="1" name="_xlnm.Print_Area" vbProcedure="false">Zahlungsregister!$A$1:$H$28</definedName>
    <definedName function="false" hidden="false" localSheetId="1" name="_xlnm.Print_Titles" vbProcedure="false">Zahlungsregister!$1:$5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<sst xmlns="http://schemas.openxmlformats.org/spreadsheetml/2006/main" count="61" uniqueCount="60">
  <si>
    <t xml:space="preserve">Zahlungsfortführung nach Datum</t>
  </si>
  <si>
    <t xml:space="preserve">Stand 25.09.2026 16:00 Uhr</t>
  </si>
  <si>
    <t xml:space="preserve">Monat oder Ansatz</t>
  </si>
  <si>
    <t xml:space="preserve">Anfang brutto</t>
  </si>
  <si>
    <t xml:space="preserve">Zufluss brutto</t>
  </si>
  <si>
    <t xml:space="preserve">Abfluss brutto</t>
  </si>
  <si>
    <t xml:space="preserve">Ende brutto</t>
  </si>
  <si>
    <t xml:space="preserve">Bankbestand zum Stichtag</t>
  </si>
  <si>
    <t xml:space="preserve">30 Finanzierung und 24 Bankansicht.</t>
  </si>
  <si>
    <t xml:space="preserve">Steuersatz</t>
  </si>
  <si>
    <t xml:space="preserve">19 Prozent laut Angebots- und Rechnungsbelegen.</t>
  </si>
  <si>
    <t xml:space="preserve">Plan beginnt am</t>
  </si>
  <si>
    <t xml:space="preserve">Inklusive dieses Tages; offene Zahlungen.</t>
  </si>
  <si>
    <t xml:space="preserve">Plan endet vor</t>
  </si>
  <si>
    <t xml:space="preserve">Exklusive dieses Tages.</t>
  </si>
  <si>
    <t xml:space="preserve">Unvollständige aktive Zeilen</t>
  </si>
  <si>
    <t xml:space="preserve">Bei Fehlern bleibt der Monatsabfluss offen.</t>
  </si>
  <si>
    <t xml:space="preserve">Freigegebener Rest im Zeitraum</t>
  </si>
  <si>
    <t xml:space="preserve">Nur aktive Zeilen mit gesonderter Freigabe.</t>
  </si>
  <si>
    <t xml:space="preserve">Basisendbestand nach altem Plan</t>
  </si>
  <si>
    <t xml:space="preserve">09 Ablauf und 30 Finanzierung; Stand 25.09.</t>
  </si>
  <si>
    <t xml:space="preserve">Änderung gegenüber Basis</t>
  </si>
  <si>
    <t xml:space="preserve">Zeitverschiebung allein verändert den Endbestand nicht.</t>
  </si>
  <si>
    <t xml:space="preserve">Druckluftangebot netto</t>
  </si>
  <si>
    <t xml:space="preserve">38 Angebot DR 260925.</t>
  </si>
  <si>
    <t xml:space="preserve">Bisheriger Druckluftansatz netto</t>
  </si>
  <si>
    <t xml:space="preserve">13 Restkostenerhebung; im Grundplan enthalten.</t>
  </si>
  <si>
    <t xml:space="preserve">Der aktive Plan verwendet Zahlungsdaten und Bruttobeträge. Die alte Septemberreserve wird nicht zusätzlich abgezogen.</t>
  </si>
  <si>
    <t xml:space="preserve">Planbeträge sind keine Rechnungen. Das Register nennt für jede Position Einplanung und Freigabe getrennt.</t>
  </si>
  <si>
    <t xml:space="preserve">Abendleistungen in Zeile 13 erfordern auch Service in Zeile 15. Ohne Einplanung und Preis des Services bleibt der Gesamtplan offen.</t>
  </si>
  <si>
    <t xml:space="preserve">Weitere Kreditabrufe sind geplant. Vorsteuererstattungen sowie Miete der alten Produktion werden hier nicht als Baukontozufluss oder Bauinvestition erfasst.</t>
  </si>
  <si>
    <t xml:space="preserve">Die Mappe ergänzt Datei 09. Datei 10 bleibt die separate Sicht auf Nettoinvestition und Obligo. Ein positiver Bankbestand ist kein freies Kostenbudget.</t>
  </si>
  <si>
    <t xml:space="preserve">Zahlungsansätze mit Einzelentscheidung</t>
  </si>
  <si>
    <t xml:space="preserve">ID</t>
  </si>
  <si>
    <t xml:space="preserve">Netto EUR</t>
  </si>
  <si>
    <t xml:space="preserve">Datum geplant</t>
  </si>
  <si>
    <t xml:space="preserve">Einplanen 0/1</t>
  </si>
  <si>
    <t xml:space="preserve">Freigabe 0/1</t>
  </si>
  <si>
    <t xml:space="preserve">Bezahlt brutto</t>
  </si>
  <si>
    <t xml:space="preserve">Rest brutto</t>
  </si>
  <si>
    <t xml:space="preserve">Bearbeitung</t>
  </si>
  <si>
    <t xml:space="preserve">WH 260924</t>
  </si>
  <si>
    <t xml:space="preserve">Plan Oktober</t>
  </si>
  <si>
    <t xml:space="preserve">Plan November</t>
  </si>
  <si>
    <t xml:space="preserve">Plan Dezember</t>
  </si>
  <si>
    <t xml:space="preserve">MB Voraus</t>
  </si>
  <si>
    <t xml:space="preserve">MB Rest</t>
  </si>
  <si>
    <t xml:space="preserve">KM N03</t>
  </si>
  <si>
    <t xml:space="preserve">Abend Breden</t>
  </si>
  <si>
    <t xml:space="preserve">DR Mehransatz</t>
  </si>
  <si>
    <t xml:space="preserve">Service Abend</t>
  </si>
  <si>
    <t xml:space="preserve">Zeilen 6 bis 9: 21 Zahlungsplan und 37 Rechnungseingang. Der offene Septemberabschlag ist genau einmal am 08.10. eingeplant.</t>
  </si>
  <si>
    <t xml:space="preserve">Zeilen 10 und 11: 18 MB 0925. 10.800 EUR Vorauszahlung und 25.200 EUR Rest bleiben ohne Auftrag außerhalb des aktiven Plans.</t>
  </si>
  <si>
    <t xml:space="preserve">Zeilen 12 und 13: 15 Kranangebot und 34 Ergänzungsangebot. Krantermin fehlt; Abendpreis umfasst keinen Maschinenservice.</t>
  </si>
  <si>
    <t xml:space="preserve">Zeilen 14 und 15: 38 und 39 Druckluft (31.750 minus 30.000 EUR) sowie 40 Maschinenbauer (Preis fehlt).</t>
  </si>
  <si>
    <t xml:space="preserve">Gelb = Eingabe. Einplanen ist eine Prognoseentscheidung. Freigabe ist eine separate Entscheidung und löst keine Bankzahlung aus.</t>
  </si>
  <si>
    <t xml:space="preserve">Leere Zeilen 16 und 17 sind für weitere Vorgänge vorbereitet. ID, Betrag, Datum, 0/1-Werte und bezahlt = 0 eingeben. Formeln bleiben stehen.</t>
  </si>
  <si>
    <t xml:space="preserve">Bei weiteren Zeilen nach 17 müssen Formeln und die begrenzten Auswertungsbereiche 6 bis 17 erweitert werden. IDs dürfen nicht doppelt vergeben sein.</t>
  </si>
  <si>
    <t xml:space="preserve">Bei Fortschreibung des Kontostichtags Anfangssaldo und bisher bezahlte Anteile zusammen aktualisieren. Frühere Ausgaben nicht nochmals vom neuen Saldo abziehen.</t>
  </si>
  <si>
    <t xml:space="preserve">Die Druckluftdifferenz verändert bei Einplanung den alten Restansatz. Die gesamten 31.750 EUR dürfen nicht zusätzlich zum unveränderten Grundplan angesetzt werden.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</si>
</sst>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"/>
    <numFmt numFmtId="166" formatCode="#,##0.00_);\(#,##0.00\);\-_)"/>
    <numFmt numFmtId="167" formatCode="0.0%"/>
    <numFmt numFmtId="168" formatCode="yyyy\-mm\-dd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216E39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485C"/>
        <bgColor rgb="FF333399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0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6E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48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22"/>
  </cols>
  <sheetData>
    <row r="1" customFormat="false" ht="26" hidden="false" customHeight="true" outlineLevel="0" collapsed="false">
      <c r="A1" s="2"/>
      <c r="B1" s="2"/>
      <c r="C1" s="2"/>
      <c r="D1" s="2"/>
      <c r="E1" s="2"/>
    </row>
    <row r="2" customFormat="false" ht="26" hidden="false" customHeight="true" outlineLevel="0" collapsed="false">
      <c r="A2" s="3" t="s">
        <v>0</v>
      </c>
      <c r="B2" s="2"/>
      <c r="C2" s="2"/>
      <c r="D2" s="2"/>
      <c r="E2" s="2"/>
    </row>
    <row r="3" customFormat="false" ht="26" hidden="false" customHeight="true" outlineLevel="0" collapsed="false">
      <c r="A3" s="4" t="s">
        <v>1</v>
      </c>
      <c r="B3" s="2"/>
      <c r="C3" s="2"/>
      <c r="D3" s="2"/>
      <c r="E3" s="2"/>
    </row>
    <row r="4" customFormat="false" ht="26" hidden="false" customHeight="true" outlineLevel="0" collapsed="false">
      <c r="A4" s="2"/>
      <c r="B4" s="2"/>
      <c r="C4" s="2"/>
      <c r="D4" s="2"/>
      <c r="E4" s="2"/>
    </row>
    <row r="5" customFormat="false" ht="34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26" hidden="false" customHeight="true" outlineLevel="0" collapsed="false">
      <c r="A6" s="6" t="n">
        <v>46266</v>
      </c>
      <c r="B6" s="7" t="n">
        <f aca="false">B12</f>
        <v>512400</v>
      </c>
      <c r="C6" s="8" t="n">
        <v>0</v>
      </c>
      <c r="D6" s="9" t="n">
        <f aca="false">IF($B$16=0,SUMIFS(Zahlungsregister!$G$6:$G$17,Zahlungsregister!$D$6:$D$17,1,Zahlungsregister!$C$6:$C$17,"&gt;="&amp;MAX(A6,$B$14),Zahlungsregister!$C$6:$C$17,"&lt;"&amp;MIN(EDATE(A6,1),$B$15)),"Eingabe offen")</f>
        <v>0</v>
      </c>
      <c r="E6" s="7" t="n">
        <f aca="false">IF(COUNT(B6:D6)=3,B6+C6-D6,"Eingabe offen")</f>
        <v>512400</v>
      </c>
    </row>
    <row r="7" customFormat="false" ht="26" hidden="false" customHeight="true" outlineLevel="0" collapsed="false">
      <c r="A7" s="6" t="n">
        <v>46296</v>
      </c>
      <c r="B7" s="7" t="n">
        <f aca="false">E6</f>
        <v>512400</v>
      </c>
      <c r="C7" s="8" t="n">
        <v>400000</v>
      </c>
      <c r="D7" s="9" t="n">
        <f aca="false">IF($B$16=0,SUMIFS(Zahlungsregister!$G$6:$G$17,Zahlungsregister!$D$6:$D$17,1,Zahlungsregister!$C$6:$C$17,"&gt;="&amp;MAX(A7,$B$14),Zahlungsregister!$C$6:$C$17,"&lt;"&amp;MIN(EDATE(A7,1),$B$15)),"Eingabe offen")</f>
        <v>499800</v>
      </c>
      <c r="E7" s="7" t="n">
        <f aca="false">IF(COUNT(B7:D7)=3,B7+C7-D7,"Eingabe offen")</f>
        <v>412600</v>
      </c>
    </row>
    <row r="8" customFormat="false" ht="26" hidden="false" customHeight="true" outlineLevel="0" collapsed="false">
      <c r="A8" s="6" t="n">
        <v>46327</v>
      </c>
      <c r="B8" s="7" t="n">
        <f aca="false">E7</f>
        <v>412600</v>
      </c>
      <c r="C8" s="8" t="n">
        <v>600000</v>
      </c>
      <c r="D8" s="9" t="n">
        <f aca="false">IF($B$16=0,SUMIFS(Zahlungsregister!$G$6:$G$17,Zahlungsregister!$D$6:$D$17,1,Zahlungsregister!$C$6:$C$17,"&gt;="&amp;MAX(A8,$B$14),Zahlungsregister!$C$6:$C$17,"&lt;"&amp;MIN(EDATE(A8,1),$B$15)),"Eingabe offen")</f>
        <v>511700</v>
      </c>
      <c r="E8" s="7" t="n">
        <f aca="false">IF(COUNT(B8:D8)=3,B8+C8-D8,"Eingabe offen")</f>
        <v>500900</v>
      </c>
    </row>
    <row r="9" customFormat="false" ht="26" hidden="false" customHeight="true" outlineLevel="0" collapsed="false">
      <c r="A9" s="6" t="n">
        <v>46357</v>
      </c>
      <c r="B9" s="7" t="n">
        <f aca="false">E8</f>
        <v>500900</v>
      </c>
      <c r="C9" s="8" t="n">
        <v>0</v>
      </c>
      <c r="D9" s="9" t="n">
        <f aca="false">IF($B$16=0,SUMIFS(Zahlungsregister!$G$6:$G$17,Zahlungsregister!$D$6:$D$17,1,Zahlungsregister!$C$6:$C$17,"&gt;="&amp;MAX(A9,$B$14),Zahlungsregister!$C$6:$C$17,"&lt;"&amp;MIN(EDATE(A9,1),$B$15)),"Eingabe offen")</f>
        <v>376040</v>
      </c>
      <c r="E9" s="7" t="n">
        <f aca="false">IF(COUNT(B9:D9)=3,B9+C9-D9,"Eingabe offen")</f>
        <v>124860</v>
      </c>
    </row>
    <row r="10" customFormat="false" ht="26" hidden="false" customHeight="true" outlineLevel="0" collapsed="false">
      <c r="A10" s="2"/>
      <c r="B10" s="2"/>
      <c r="C10" s="2"/>
      <c r="D10" s="2"/>
      <c r="E10" s="2"/>
    </row>
    <row r="11" customFormat="false" ht="26" hidden="false" customHeight="true" outlineLevel="0" collapsed="false">
      <c r="A11" s="2"/>
      <c r="B11" s="2"/>
      <c r="C11" s="2"/>
      <c r="D11" s="2"/>
      <c r="E11" s="2"/>
    </row>
    <row r="12" customFormat="false" ht="42" hidden="false" customHeight="true" outlineLevel="0" collapsed="false">
      <c r="A12" s="10" t="s">
        <v>7</v>
      </c>
      <c r="B12" s="8" t="n">
        <v>512400</v>
      </c>
      <c r="C12" s="10" t="s">
        <v>8</v>
      </c>
      <c r="D12" s="10"/>
      <c r="E12" s="10"/>
    </row>
    <row r="13" customFormat="false" ht="42" hidden="false" customHeight="true" outlineLevel="0" collapsed="false">
      <c r="A13" s="10" t="s">
        <v>9</v>
      </c>
      <c r="B13" s="11" t="n">
        <v>0.19</v>
      </c>
      <c r="C13" s="10" t="s">
        <v>10</v>
      </c>
      <c r="D13" s="10"/>
      <c r="E13" s="10"/>
    </row>
    <row r="14" customFormat="false" ht="42" hidden="false" customHeight="true" outlineLevel="0" collapsed="false">
      <c r="A14" s="10" t="s">
        <v>11</v>
      </c>
      <c r="B14" s="12" t="n">
        <v>46290</v>
      </c>
      <c r="C14" s="10" t="s">
        <v>12</v>
      </c>
      <c r="D14" s="10"/>
      <c r="E14" s="10"/>
    </row>
    <row r="15" customFormat="false" ht="42" hidden="false" customHeight="true" outlineLevel="0" collapsed="false">
      <c r="A15" s="10" t="s">
        <v>13</v>
      </c>
      <c r="B15" s="12" t="n">
        <v>46388</v>
      </c>
      <c r="C15" s="10" t="s">
        <v>14</v>
      </c>
      <c r="D15" s="10"/>
      <c r="E15" s="10"/>
    </row>
    <row r="16" customFormat="false" ht="42" hidden="false" customHeight="true" outlineLevel="0" collapsed="false">
      <c r="A16" s="10" t="s">
        <v>15</v>
      </c>
      <c r="B16" s="13" t="n">
        <f aca="false">COUNTIFS(Zahlungsregister!$D$6:$D$17,1,Zahlungsregister!$H$6:$H$17,"&lt;&gt;Freigegeben",Zahlungsregister!$H$6:$H$17,"&lt;&gt;Freigabe offen")+COUNTIFS(Zahlungsregister!$H$6:$H$17,"Planwahl prüfen")+IF(AND(Zahlungsregister!D13=1,Zahlungsregister!D15&lt;&gt;1),1,0)</f>
        <v>0</v>
      </c>
      <c r="C16" s="10" t="s">
        <v>16</v>
      </c>
      <c r="D16" s="10"/>
      <c r="E16" s="10"/>
    </row>
    <row r="17" customFormat="false" ht="42" hidden="false" customHeight="true" outlineLevel="0" collapsed="false">
      <c r="A17" s="10" t="s">
        <v>17</v>
      </c>
      <c r="B17" s="9" t="n">
        <f aca="false">IF(B16=0,SUMIFS(Zahlungsregister!$G$6:$G$17,Zahlungsregister!$D$6:$D$17,1,Zahlungsregister!$E$6:$E$17,1,Zahlungsregister!$C$6:$C$17,"&gt;="&amp;B14,Zahlungsregister!$C$6:$C$17,"&lt;"&amp;B15),"Eingabe offen")</f>
        <v>0</v>
      </c>
      <c r="C17" s="10" t="s">
        <v>18</v>
      </c>
      <c r="D17" s="10"/>
      <c r="E17" s="10"/>
    </row>
    <row r="18" customFormat="false" ht="42" hidden="false" customHeight="true" outlineLevel="0" collapsed="false">
      <c r="A18" s="10" t="s">
        <v>19</v>
      </c>
      <c r="B18" s="14" t="n">
        <v>124860</v>
      </c>
      <c r="C18" s="10" t="s">
        <v>20</v>
      </c>
      <c r="D18" s="10"/>
      <c r="E18" s="10"/>
    </row>
    <row r="19" customFormat="false" ht="42" hidden="false" customHeight="true" outlineLevel="0" collapsed="false">
      <c r="A19" s="10" t="s">
        <v>21</v>
      </c>
      <c r="B19" s="7" t="n">
        <f aca="false">IF(ISNUMBER(E9),E9-B18,"Eingabe offen")</f>
        <v>0</v>
      </c>
      <c r="C19" s="10" t="s">
        <v>22</v>
      </c>
      <c r="D19" s="10"/>
      <c r="E19" s="10"/>
    </row>
    <row r="20" customFormat="false" ht="40" hidden="false" customHeight="true" outlineLevel="0" collapsed="false">
      <c r="A20" s="10" t="s">
        <v>23</v>
      </c>
      <c r="B20" s="8" t="n">
        <v>31750</v>
      </c>
      <c r="C20" s="10" t="s">
        <v>24</v>
      </c>
      <c r="D20" s="10"/>
      <c r="E20" s="10"/>
    </row>
    <row r="21" customFormat="false" ht="40" hidden="false" customHeight="true" outlineLevel="0" collapsed="false">
      <c r="A21" s="10" t="s">
        <v>25</v>
      </c>
      <c r="B21" s="8" t="n">
        <v>30000</v>
      </c>
      <c r="C21" s="10" t="s">
        <v>26</v>
      </c>
      <c r="D21" s="10"/>
      <c r="E21" s="10"/>
    </row>
    <row r="22" customFormat="false" ht="34" hidden="false" customHeight="true" outlineLevel="0" collapsed="false">
      <c r="A22" s="15" t="s">
        <v>27</v>
      </c>
      <c r="B22" s="15"/>
      <c r="C22" s="15"/>
      <c r="D22" s="15"/>
      <c r="E22" s="15"/>
    </row>
    <row r="23" customFormat="false" ht="34" hidden="false" customHeight="true" outlineLevel="0" collapsed="false">
      <c r="A23" s="15" t="s">
        <v>28</v>
      </c>
      <c r="B23" s="15"/>
      <c r="C23" s="15"/>
      <c r="D23" s="15"/>
      <c r="E23" s="15"/>
    </row>
    <row r="24" customFormat="false" ht="34" hidden="false" customHeight="true" outlineLevel="0" collapsed="false">
      <c r="A24" s="15" t="s">
        <v>29</v>
      </c>
      <c r="B24" s="15"/>
      <c r="C24" s="15"/>
      <c r="D24" s="15"/>
      <c r="E24" s="15"/>
    </row>
    <row r="25" customFormat="false" ht="34" hidden="false" customHeight="true" outlineLevel="0" collapsed="false">
      <c r="A25" s="15" t="s">
        <v>30</v>
      </c>
      <c r="B25" s="15"/>
      <c r="C25" s="15"/>
      <c r="D25" s="15"/>
      <c r="E25" s="15"/>
    </row>
    <row r="26" customFormat="false" ht="34" hidden="false" customHeight="true" outlineLevel="0" collapsed="false">
      <c r="A26" s="15" t="s">
        <v>31</v>
      </c>
      <c r="B26" s="15"/>
      <c r="C26" s="15"/>
      <c r="D26" s="15"/>
      <c r="E26" s="15"/>
    </row>
    <row r="27" customFormat="false" ht="26" hidden="false" customHeight="true" outlineLevel="0" collapsed="false">
      <c r="A27" s="2"/>
      <c r="B27" s="2"/>
      <c r="C27" s="2"/>
      <c r="D27" s="2"/>
      <c r="E27" s="2"/>
    </row>
    <row r="28" customFormat="false" ht="26" hidden="false" customHeight="true" outlineLevel="0" collapsed="false">
      <c r="A28" s="2"/>
      <c r="B28" s="2"/>
      <c r="C28" s="2"/>
      <c r="D28" s="2"/>
      <c r="E28" s="2"/>
    </row>
    <row r="29" customFormat="false" ht="26" hidden="false" customHeight="true" outlineLevel="0" collapsed="false">
      <c r="A29" s="2"/>
      <c r="B29" s="2"/>
      <c r="C29" s="2"/>
      <c r="D29" s="2"/>
      <c r="E29" s="2"/>
    </row>
  </sheetData>
  <mergeCells count="15"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A22:E22"/>
    <mergeCell ref="A23:E23"/>
    <mergeCell ref="A24:E24"/>
    <mergeCell ref="A25:E25"/>
    <mergeCell ref="A26:E26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7" min="6" style="1" width="18"/>
    <col collapsed="false" customWidth="true" hidden="false" outlineLevel="0" max="8" min="8" style="1" width="31"/>
  </cols>
  <sheetData>
    <row r="1" customFormat="false" ht="26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26" hidden="false" customHeight="true" outlineLevel="0" collapsed="false">
      <c r="A2" s="3" t="s">
        <v>32</v>
      </c>
      <c r="B2" s="2"/>
      <c r="C2" s="2"/>
      <c r="D2" s="2"/>
      <c r="E2" s="2"/>
      <c r="F2" s="2"/>
      <c r="G2" s="2"/>
      <c r="H2" s="2"/>
    </row>
    <row r="3" customFormat="false" ht="26" hidden="false" customHeight="true" outlineLevel="0" collapsed="false">
      <c r="A3" s="4" t="s">
        <v>1</v>
      </c>
      <c r="B3" s="2"/>
      <c r="C3" s="2"/>
      <c r="D3" s="2"/>
      <c r="E3" s="2"/>
      <c r="F3" s="2"/>
      <c r="G3" s="2"/>
      <c r="H3" s="2"/>
    </row>
    <row r="4" customFormat="false" ht="2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34" hidden="false" customHeight="true" outlineLevel="0" collapsed="false">
      <c r="A5" s="5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</row>
    <row r="6" customFormat="false" ht="30" hidden="false" customHeight="true" outlineLevel="0" collapsed="false">
      <c r="A6" s="16" t="s">
        <v>41</v>
      </c>
      <c r="B6" s="8" t="n">
        <v>160000</v>
      </c>
      <c r="C6" s="17" t="n">
        <v>46303</v>
      </c>
      <c r="D6" s="16" t="n">
        <v>1</v>
      </c>
      <c r="E6" s="16" t="n">
        <v>0</v>
      </c>
      <c r="F6" s="8" t="n">
        <v>0</v>
      </c>
      <c r="G6" s="9" t="n">
        <f aca="false">IF(A6="","",IF(AND(ISNUMBER(B6),B6&gt;=0,ISNUMBER(F6),F6&gt;=0,ISNUMBER(Monatsplan!B13),Monatsplan!B13&gt;=0,Monatsplan!B13&lt;=1,F6&lt;=ROUND(B6*(1+Monatsplan!B13),2)),ROUND(B6*(1+Monatsplan!B13),2)-F6,"Betrag fehlt"))</f>
        <v>190400</v>
      </c>
      <c r="H6" s="13" t="str">
        <f aca="false">IF(A6="","",IF(COUNTIFS($A$6:$A$17,A6)&gt;1,"ID doppelt",IF(AND(D6&lt;&gt;0,D6&lt;&gt;1),"Planwahl prüfen",IF(AND(E6&lt;&gt;0,E6&lt;&gt;1),"Freigabe prüfen",IF(D6=0,"Nicht eingeplant",IF(NOT(ISNUMBER(C6)),"Datum fehlt",IF(OR(C6&lt;Monatsplan!B14,C6&gt;=Monatsplan!B15),"Außerhalb Zeitraum",IF(NOT(ISNUMBER(G6)),"Betrag fehlt",IF(E6=1,"Freigegeben","Freigabe offen")))))))))</f>
        <v>Freigabe offen</v>
      </c>
    </row>
    <row r="7" customFormat="false" ht="30" hidden="false" customHeight="true" outlineLevel="0" collapsed="false">
      <c r="A7" s="16" t="s">
        <v>42</v>
      </c>
      <c r="B7" s="8" t="n">
        <v>260000</v>
      </c>
      <c r="C7" s="17" t="n">
        <v>46325</v>
      </c>
      <c r="D7" s="16" t="n">
        <v>1</v>
      </c>
      <c r="E7" s="16" t="n">
        <v>0</v>
      </c>
      <c r="F7" s="8" t="n">
        <v>0</v>
      </c>
      <c r="G7" s="9" t="n">
        <f aca="false">IF(A7="","",IF(AND(ISNUMBER(B7),B7&gt;=0,ISNUMBER(F7),F7&gt;=0,ISNUMBER(Monatsplan!B13),Monatsplan!B13&gt;=0,Monatsplan!B13&lt;=1,F7&lt;=ROUND(B7*(1+Monatsplan!B13),2)),ROUND(B7*(1+Monatsplan!B13),2)-F7,"Betrag fehlt"))</f>
        <v>309400</v>
      </c>
      <c r="H7" s="13" t="str">
        <f aca="false">IF(A7="","",IF(COUNTIFS($A$6:$A$17,A7)&gt;1,"ID doppelt",IF(AND(D7&lt;&gt;0,D7&lt;&gt;1),"Planwahl prüfen",IF(AND(E7&lt;&gt;0,E7&lt;&gt;1),"Freigabe prüfen",IF(D7=0,"Nicht eingeplant",IF(NOT(ISNUMBER(C7)),"Datum fehlt",IF(OR(C7&lt;Monatsplan!B14,C7&gt;=Monatsplan!B15),"Außerhalb Zeitraum",IF(NOT(ISNUMBER(G7)),"Betrag fehlt",IF(E7=1,"Freigegeben","Freigabe offen")))))))))</f>
        <v>Freigabe offen</v>
      </c>
    </row>
    <row r="8" customFormat="false" ht="30" hidden="false" customHeight="true" outlineLevel="0" collapsed="false">
      <c r="A8" s="16" t="s">
        <v>43</v>
      </c>
      <c r="B8" s="8" t="n">
        <v>430000</v>
      </c>
      <c r="C8" s="17" t="n">
        <v>46356</v>
      </c>
      <c r="D8" s="16" t="n">
        <v>1</v>
      </c>
      <c r="E8" s="16" t="n">
        <v>0</v>
      </c>
      <c r="F8" s="8" t="n">
        <v>0</v>
      </c>
      <c r="G8" s="9" t="n">
        <f aca="false">IF(A8="","",IF(AND(ISNUMBER(B8),B8&gt;=0,ISNUMBER(F8),F8&gt;=0,ISNUMBER(Monatsplan!B13),Monatsplan!B13&gt;=0,Monatsplan!B13&lt;=1,F8&lt;=ROUND(B8*(1+Monatsplan!B13),2)),ROUND(B8*(1+Monatsplan!B13),2)-F8,"Betrag fehlt"))</f>
        <v>511700</v>
      </c>
      <c r="H8" s="13" t="str">
        <f aca="false">IF(A8="","",IF(COUNTIFS($A$6:$A$17,A8)&gt;1,"ID doppelt",IF(AND(D8&lt;&gt;0,D8&lt;&gt;1),"Planwahl prüfen",IF(AND(E8&lt;&gt;0,E8&lt;&gt;1),"Freigabe prüfen",IF(D8=0,"Nicht eingeplant",IF(NOT(ISNUMBER(C8)),"Datum fehlt",IF(OR(C8&lt;Monatsplan!B14,C8&gt;=Monatsplan!B15),"Außerhalb Zeitraum",IF(NOT(ISNUMBER(G8)),"Betrag fehlt",IF(E8=1,"Freigegeben","Freigabe offen")))))))))</f>
        <v>Freigabe offen</v>
      </c>
    </row>
    <row r="9" customFormat="false" ht="30" hidden="false" customHeight="true" outlineLevel="0" collapsed="false">
      <c r="A9" s="16" t="s">
        <v>44</v>
      </c>
      <c r="B9" s="8" t="n">
        <v>316000</v>
      </c>
      <c r="C9" s="17" t="n">
        <v>46387</v>
      </c>
      <c r="D9" s="16" t="n">
        <v>1</v>
      </c>
      <c r="E9" s="16" t="n">
        <v>0</v>
      </c>
      <c r="F9" s="8" t="n">
        <v>0</v>
      </c>
      <c r="G9" s="9" t="n">
        <f aca="false">IF(A9="","",IF(AND(ISNUMBER(B9),B9&gt;=0,ISNUMBER(F9),F9&gt;=0,ISNUMBER(Monatsplan!B13),Monatsplan!B13&gt;=0,Monatsplan!B13&lt;=1,F9&lt;=ROUND(B9*(1+Monatsplan!B13),2)),ROUND(B9*(1+Monatsplan!B13),2)-F9,"Betrag fehlt"))</f>
        <v>376040</v>
      </c>
      <c r="H9" s="13" t="str">
        <f aca="false">IF(A9="","",IF(COUNTIFS($A$6:$A$17,A9)&gt;1,"ID doppelt",IF(AND(D9&lt;&gt;0,D9&lt;&gt;1),"Planwahl prüfen",IF(AND(E9&lt;&gt;0,E9&lt;&gt;1),"Freigabe prüfen",IF(D9=0,"Nicht eingeplant",IF(NOT(ISNUMBER(C9)),"Datum fehlt",IF(OR(C9&lt;Monatsplan!B14,C9&gt;=Monatsplan!B15),"Außerhalb Zeitraum",IF(NOT(ISNUMBER(G9)),"Betrag fehlt",IF(E9=1,"Freigegeben","Freigabe offen")))))))))</f>
        <v>Freigabe offen</v>
      </c>
    </row>
    <row r="10" customFormat="false" ht="30" hidden="false" customHeight="true" outlineLevel="0" collapsed="false">
      <c r="A10" s="16" t="s">
        <v>45</v>
      </c>
      <c r="B10" s="8" t="n">
        <v>10800</v>
      </c>
      <c r="C10" s="17" t="n">
        <v>46293</v>
      </c>
      <c r="D10" s="16" t="n">
        <v>0</v>
      </c>
      <c r="E10" s="16" t="n">
        <v>0</v>
      </c>
      <c r="F10" s="8" t="n">
        <v>0</v>
      </c>
      <c r="G10" s="9" t="n">
        <f aca="false">IF(A10="","",IF(AND(ISNUMBER(B10),B10&gt;=0,ISNUMBER(F10),F10&gt;=0,ISNUMBER(Monatsplan!B13),Monatsplan!B13&gt;=0,Monatsplan!B13&lt;=1,F10&lt;=ROUND(B10*(1+Monatsplan!B13),2)),ROUND(B10*(1+Monatsplan!B13),2)-F10,"Betrag fehlt"))</f>
        <v>12852</v>
      </c>
      <c r="H10" s="13" t="str">
        <f aca="false">IF(A10="","",IF(COUNTIFS($A$6:$A$17,A10)&gt;1,"ID doppelt",IF(AND(D10&lt;&gt;0,D10&lt;&gt;1),"Planwahl prüfen",IF(AND(E10&lt;&gt;0,E10&lt;&gt;1),"Freigabe prüfen",IF(D10=0,"Nicht eingeplant",IF(NOT(ISNUMBER(C10)),"Datum fehlt",IF(OR(C10&lt;Monatsplan!B14,C10&gt;=Monatsplan!B15),"Außerhalb Zeitraum",IF(NOT(ISNUMBER(G10)),"Betrag fehlt",IF(E10=1,"Freigegeben","Freigabe offen")))))))))</f>
        <v>Nicht eingeplant</v>
      </c>
    </row>
    <row r="11" customFormat="false" ht="30" hidden="false" customHeight="true" outlineLevel="0" collapsed="false">
      <c r="A11" s="16" t="s">
        <v>46</v>
      </c>
      <c r="B11" s="8" t="n">
        <v>25200</v>
      </c>
      <c r="C11" s="17" t="n">
        <v>46356</v>
      </c>
      <c r="D11" s="16" t="n">
        <v>0</v>
      </c>
      <c r="E11" s="16" t="n">
        <v>0</v>
      </c>
      <c r="F11" s="8" t="n">
        <v>0</v>
      </c>
      <c r="G11" s="9" t="n">
        <f aca="false">IF(A11="","",IF(AND(ISNUMBER(B11),B11&gt;=0,ISNUMBER(F11),F11&gt;=0,ISNUMBER(Monatsplan!B13),Monatsplan!B13&gt;=0,Monatsplan!B13&lt;=1,F11&lt;=ROUND(B11*(1+Monatsplan!B13),2)),ROUND(B11*(1+Monatsplan!B13),2)-F11,"Betrag fehlt"))</f>
        <v>29988</v>
      </c>
      <c r="H11" s="13" t="str">
        <f aca="false">IF(A11="","",IF(COUNTIFS($A$6:$A$17,A11)&gt;1,"ID doppelt",IF(AND(D11&lt;&gt;0,D11&lt;&gt;1),"Planwahl prüfen",IF(AND(E11&lt;&gt;0,E11&lt;&gt;1),"Freigabe prüfen",IF(D11=0,"Nicht eingeplant",IF(NOT(ISNUMBER(C11)),"Datum fehlt",IF(OR(C11&lt;Monatsplan!B14,C11&gt;=Monatsplan!B15),"Außerhalb Zeitraum",IF(NOT(ISNUMBER(G11)),"Betrag fehlt",IF(E11=1,"Freigegeben","Freigabe offen")))))))))</f>
        <v>Nicht eingeplant</v>
      </c>
    </row>
    <row r="12" customFormat="false" ht="30" hidden="false" customHeight="true" outlineLevel="0" collapsed="false">
      <c r="A12" s="16" t="s">
        <v>47</v>
      </c>
      <c r="B12" s="8" t="n">
        <v>9600</v>
      </c>
      <c r="C12" s="17"/>
      <c r="D12" s="16" t="n">
        <v>0</v>
      </c>
      <c r="E12" s="16" t="n">
        <v>0</v>
      </c>
      <c r="F12" s="8" t="n">
        <v>0</v>
      </c>
      <c r="G12" s="9" t="n">
        <f aca="false">IF(A12="","",IF(AND(ISNUMBER(B12),B12&gt;=0,ISNUMBER(F12),F12&gt;=0,ISNUMBER(Monatsplan!B13),Monatsplan!B13&gt;=0,Monatsplan!B13&lt;=1,F12&lt;=ROUND(B12*(1+Monatsplan!B13),2)),ROUND(B12*(1+Monatsplan!B13),2)-F12,"Betrag fehlt"))</f>
        <v>11424</v>
      </c>
      <c r="H12" s="13" t="str">
        <f aca="false">IF(A12="","",IF(COUNTIFS($A$6:$A$17,A12)&gt;1,"ID doppelt",IF(AND(D12&lt;&gt;0,D12&lt;&gt;1),"Planwahl prüfen",IF(AND(E12&lt;&gt;0,E12&lt;&gt;1),"Freigabe prüfen",IF(D12=0,"Nicht eingeplant",IF(NOT(ISNUMBER(C12)),"Datum fehlt",IF(OR(C12&lt;Monatsplan!B14,C12&gt;=Monatsplan!B15),"Außerhalb Zeitraum",IF(NOT(ISNUMBER(G12)),"Betrag fehlt",IF(E12=1,"Freigegeben","Freigabe offen")))))))))</f>
        <v>Nicht eingeplant</v>
      </c>
    </row>
    <row r="13" customFormat="false" ht="30" hidden="false" customHeight="true" outlineLevel="0" collapsed="false">
      <c r="A13" s="16" t="s">
        <v>48</v>
      </c>
      <c r="B13" s="8" t="n">
        <v>7730</v>
      </c>
      <c r="C13" s="17" t="n">
        <v>46356</v>
      </c>
      <c r="D13" s="16" t="n">
        <v>0</v>
      </c>
      <c r="E13" s="16" t="n">
        <v>0</v>
      </c>
      <c r="F13" s="8" t="n">
        <v>0</v>
      </c>
      <c r="G13" s="9" t="n">
        <f aca="false">IF(A13="","",IF(AND(ISNUMBER(B13),B13&gt;=0,ISNUMBER(F13),F13&gt;=0,ISNUMBER(Monatsplan!B13),Monatsplan!B13&gt;=0,Monatsplan!B13&lt;=1,F13&lt;=ROUND(B13*(1+Monatsplan!B13),2)),ROUND(B13*(1+Monatsplan!B13),2)-F13,"Betrag fehlt"))</f>
        <v>9198.7</v>
      </c>
      <c r="H13" s="13" t="str">
        <f aca="false">IF(A13="","",IF(COUNTIFS($A$6:$A$17,A13)&gt;1,"ID doppelt",IF(AND(D13&lt;&gt;0,D13&lt;&gt;1),"Planwahl prüfen",IF(AND(E13&lt;&gt;0,E13&lt;&gt;1),"Freigabe prüfen",IF(D13=0,"Nicht eingeplant",IF(NOT(ISNUMBER(C13)),"Datum fehlt",IF(OR(C13&lt;Monatsplan!B14,C13&gt;=Monatsplan!B15),"Außerhalb Zeitraum",IF(NOT(ISNUMBER(G13)),"Betrag fehlt",IF(E13=1,"Freigegeben","Freigabe offen")))))))))</f>
        <v>Nicht eingeplant</v>
      </c>
    </row>
    <row r="14" customFormat="false" ht="30" hidden="false" customHeight="true" outlineLevel="0" collapsed="false">
      <c r="A14" s="16" t="s">
        <v>49</v>
      </c>
      <c r="B14" s="18" t="n">
        <f aca="false">IF(AND(COUNT(Monatsplan!B20:B21)=2,MIN(Monatsplan!B20:B21)&gt;=0),Monatsplan!B20-Monatsplan!B21,"Angebot fehlt")</f>
        <v>1750</v>
      </c>
      <c r="C14" s="17" t="n">
        <v>46356</v>
      </c>
      <c r="D14" s="16" t="n">
        <v>0</v>
      </c>
      <c r="E14" s="16" t="n">
        <v>0</v>
      </c>
      <c r="F14" s="8" t="n">
        <v>0</v>
      </c>
      <c r="G14" s="9" t="n">
        <f aca="false">IF(A14="","",IF(AND(ISNUMBER(B14),B14&gt;=0,ISNUMBER(F14),F14&gt;=0,ISNUMBER(Monatsplan!B13),Monatsplan!B13&gt;=0,Monatsplan!B13&lt;=1,F14&lt;=ROUND(B14*(1+Monatsplan!B13),2)),ROUND(B14*(1+Monatsplan!B13),2)-F14,"Betrag fehlt"))</f>
        <v>2082.5</v>
      </c>
      <c r="H14" s="13" t="str">
        <f aca="false">IF(A14="","",IF(COUNTIFS($A$6:$A$17,A14)&gt;1,"ID doppelt",IF(AND(D14&lt;&gt;0,D14&lt;&gt;1),"Planwahl prüfen",IF(AND(E14&lt;&gt;0,E14&lt;&gt;1),"Freigabe prüfen",IF(D14=0,"Nicht eingeplant",IF(NOT(ISNUMBER(C14)),"Datum fehlt",IF(OR(C14&lt;Monatsplan!B14,C14&gt;=Monatsplan!B15),"Außerhalb Zeitraum",IF(NOT(ISNUMBER(G14)),"Betrag fehlt",IF(E14=1,"Freigegeben","Freigabe offen")))))))))</f>
        <v>Nicht eingeplant</v>
      </c>
    </row>
    <row r="15" customFormat="false" ht="30" hidden="false" customHeight="true" outlineLevel="0" collapsed="false">
      <c r="A15" s="16" t="s">
        <v>50</v>
      </c>
      <c r="B15" s="8"/>
      <c r="C15" s="17"/>
      <c r="D15" s="16" t="n">
        <v>0</v>
      </c>
      <c r="E15" s="16" t="n">
        <v>0</v>
      </c>
      <c r="F15" s="8" t="n">
        <v>0</v>
      </c>
      <c r="G15" s="9" t="str">
        <f aca="false">IF(A15="","",IF(AND(ISNUMBER(B15),B15&gt;=0,ISNUMBER(F15),F15&gt;=0,ISNUMBER(Monatsplan!B13),Monatsplan!B13&gt;=0,Monatsplan!B13&lt;=1,F15&lt;=ROUND(B15*(1+Monatsplan!B13),2)),ROUND(B15*(1+Monatsplan!B13),2)-F15,"Betrag fehlt"))</f>
        <v>Betrag fehlt</v>
      </c>
      <c r="H15" s="13" t="str">
        <f aca="false">IF(A15="","",IF(COUNTIFS($A$6:$A$17,A15)&gt;1,"ID doppelt",IF(AND(D15&lt;&gt;0,D15&lt;&gt;1),"Planwahl prüfen",IF(AND(E15&lt;&gt;0,E15&lt;&gt;1),"Freigabe prüfen",IF(D15=0,"Nicht eingeplant",IF(NOT(ISNUMBER(C15)),"Datum fehlt",IF(OR(C15&lt;Monatsplan!B14,C15&gt;=Monatsplan!B15),"Außerhalb Zeitraum",IF(NOT(ISNUMBER(G15)),"Betrag fehlt",IF(E15=1,"Freigegeben","Freigabe offen")))))))))</f>
        <v>Nicht eingeplant</v>
      </c>
    </row>
    <row r="16" customFormat="false" ht="30" hidden="false" customHeight="true" outlineLevel="0" collapsed="false">
      <c r="A16" s="16"/>
      <c r="B16" s="8"/>
      <c r="C16" s="17"/>
      <c r="D16" s="16"/>
      <c r="E16" s="16"/>
      <c r="F16" s="8"/>
      <c r="G16" s="9" t="str">
        <f aca="false">IF(A16="","",IF(AND(ISNUMBER(B16),B16&gt;=0,ISNUMBER(F16),F16&gt;=0,ISNUMBER(Monatsplan!B13),Monatsplan!B13&gt;=0,Monatsplan!B13&lt;=1,F16&lt;=ROUND(B16*(1+Monatsplan!B13),2)),ROUND(B16*(1+Monatsplan!B13),2)-F16,"Betrag fehlt"))</f>
        <v/>
      </c>
      <c r="H16" s="13" t="str">
        <f aca="false">IF(A16="","",IF(COUNTIFS($A$6:$A$17,A16)&gt;1,"ID doppelt",IF(AND(D16&lt;&gt;0,D16&lt;&gt;1),"Planwahl prüfen",IF(AND(E16&lt;&gt;0,E16&lt;&gt;1),"Freigabe prüfen",IF(D16=0,"Nicht eingeplant",IF(NOT(ISNUMBER(C16)),"Datum fehlt",IF(OR(C16&lt;Monatsplan!B14,C16&gt;=Monatsplan!B15),"Außerhalb Zeitraum",IF(NOT(ISNUMBER(G16)),"Betrag fehlt",IF(E16=1,"Freigegeben","Freigabe offen")))))))))</f>
        <v/>
      </c>
    </row>
    <row r="17" customFormat="false" ht="30" hidden="false" customHeight="true" outlineLevel="0" collapsed="false">
      <c r="A17" s="16"/>
      <c r="B17" s="8"/>
      <c r="C17" s="17"/>
      <c r="D17" s="16"/>
      <c r="E17" s="16"/>
      <c r="F17" s="8"/>
      <c r="G17" s="9" t="str">
        <f aca="false">IF(A17="","",IF(AND(ISNUMBER(B17),B17&gt;=0,ISNUMBER(F17),F17&gt;=0,ISNUMBER(Monatsplan!B13),Monatsplan!B13&gt;=0,Monatsplan!B13&lt;=1,F17&lt;=ROUND(B17*(1+Monatsplan!B13),2)),ROUND(B17*(1+Monatsplan!B13),2)-F17,"Betrag fehlt"))</f>
        <v/>
      </c>
      <c r="H17" s="13" t="str">
        <f aca="false">IF(A17="","",IF(COUNTIFS($A$6:$A$17,A17)&gt;1,"ID doppelt",IF(AND(D17&lt;&gt;0,D17&lt;&gt;1),"Planwahl prüfen",IF(AND(E17&lt;&gt;0,E17&lt;&gt;1),"Freigabe prüfen",IF(D17=0,"Nicht eingeplant",IF(NOT(ISNUMBER(C17)),"Datum fehlt",IF(OR(C17&lt;Monatsplan!B14,C17&gt;=Monatsplan!B15),"Außerhalb Zeitraum",IF(NOT(ISNUMBER(G17)),"Betrag fehlt",IF(E17=1,"Freigegeben","Freigabe offen")))))))))</f>
        <v/>
      </c>
    </row>
    <row r="18" customFormat="false" ht="26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2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31" hidden="false" customHeight="true" outlineLevel="0" collapsed="false">
      <c r="A20" s="15" t="s">
        <v>51</v>
      </c>
      <c r="B20" s="15"/>
      <c r="C20" s="15"/>
      <c r="D20" s="15"/>
      <c r="E20" s="15"/>
      <c r="F20" s="15"/>
      <c r="G20" s="15"/>
      <c r="H20" s="15"/>
    </row>
    <row r="21" customFormat="false" ht="31" hidden="false" customHeight="tru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2" customFormat="false" ht="31" hidden="false" customHeight="true" outlineLevel="0" collapsed="false">
      <c r="A22" s="15" t="s">
        <v>53</v>
      </c>
      <c r="B22" s="15"/>
      <c r="C22" s="15"/>
      <c r="D22" s="15"/>
      <c r="E22" s="15"/>
      <c r="F22" s="15"/>
      <c r="G22" s="15"/>
      <c r="H22" s="15"/>
    </row>
    <row r="23" customFormat="false" ht="31" hidden="false" customHeight="true" outlineLevel="0" collapsed="false">
      <c r="A23" s="15" t="s">
        <v>54</v>
      </c>
      <c r="B23" s="15"/>
      <c r="C23" s="15"/>
      <c r="D23" s="15"/>
      <c r="E23" s="15"/>
      <c r="F23" s="15"/>
      <c r="G23" s="15"/>
      <c r="H23" s="15"/>
    </row>
    <row r="24" customFormat="false" ht="31" hidden="false" customHeight="true" outlineLevel="0" collapsed="false">
      <c r="A24" s="15" t="s">
        <v>55</v>
      </c>
      <c r="B24" s="15"/>
      <c r="C24" s="15"/>
      <c r="D24" s="15"/>
      <c r="E24" s="15"/>
      <c r="F24" s="15"/>
      <c r="G24" s="15"/>
      <c r="H24" s="15"/>
    </row>
    <row r="25" customFormat="false" ht="31" hidden="false" customHeight="true" outlineLevel="0" collapsed="false">
      <c r="A25" s="15" t="s">
        <v>56</v>
      </c>
      <c r="B25" s="15"/>
      <c r="C25" s="15"/>
      <c r="D25" s="15"/>
      <c r="E25" s="15"/>
      <c r="F25" s="15"/>
      <c r="G25" s="15"/>
      <c r="H25" s="15"/>
    </row>
    <row r="26" customFormat="false" ht="31" hidden="false" customHeight="true" outlineLevel="0" collapsed="false">
      <c r="A26" s="15" t="s">
        <v>57</v>
      </c>
      <c r="B26" s="15"/>
      <c r="C26" s="15"/>
      <c r="D26" s="15"/>
      <c r="E26" s="15"/>
      <c r="F26" s="15"/>
      <c r="G26" s="15"/>
      <c r="H26" s="15"/>
    </row>
    <row r="27" customFormat="false" ht="31" hidden="false" customHeight="true" outlineLevel="0" collapsed="false">
      <c r="A27" s="15" t="s">
        <v>58</v>
      </c>
      <c r="B27" s="15"/>
      <c r="C27" s="15"/>
      <c r="D27" s="15"/>
      <c r="E27" s="15"/>
      <c r="F27" s="15"/>
      <c r="G27" s="15"/>
      <c r="H27" s="15"/>
    </row>
    <row r="28" customFormat="false" ht="31" hidden="false" customHeight="true" outlineLevel="0" collapsed="false">
      <c r="A28" s="15" t="s">
        <v>59</v>
      </c>
      <c r="B28" s="15"/>
      <c r="C28" s="15"/>
      <c r="D28" s="15"/>
      <c r="E28" s="15"/>
      <c r="F28" s="15"/>
      <c r="G28" s="15"/>
      <c r="H28" s="15"/>
    </row>
    <row r="29" customFormat="false" ht="26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26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26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26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6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</sheetData>
  <mergeCells count="9"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</mergeCells>
  <conditionalFormatting sqref="H6:H17">
    <cfRule type="containsText" priority="2" operator="containsText" aboveAverage="0" equalAverage="0" bottom="0" percent="0" rank="0" text="fehlt" dxfId="0">
      <formula>NOT(ISERROR(SEARCH("fehlt",H6)))</formula>
    </cfRule>
    <cfRule type="containsText" priority="3" operator="containsText" aboveAverage="0" equalAverage="0" bottom="0" percent="0" rank="0" text="doppelt" dxfId="1">
      <formula>NOT(ISERROR(SEARCH("doppelt",H6)))</formula>
    </cfRule>
  </conditionalFormatting>
  <dataValidations count="1">
    <dataValidation allowBlank="false" errorStyle="stop" operator="between" showDropDown="false" showErrorMessage="false" showInputMessage="false" sqref="D6:E17" type="whole">
      <formula1>0</formula1>
      <formula2>1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/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