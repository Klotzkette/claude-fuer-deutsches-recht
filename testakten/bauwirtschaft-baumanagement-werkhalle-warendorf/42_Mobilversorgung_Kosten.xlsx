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lkulation" sheetId="1" state="visible" r:id="rId3"/>
    <sheet name="Ansätze" sheetId="2" state="visible" r:id="rId4"/>
  </sheets>
  <definedNames>
    <definedName function="false" hidden="false" localSheetId="1" name="_xlnm.Print_Area" vbProcedure="false">Ansätze!$A$1:$D$25</definedName>
    <definedName function="false" hidden="false" localSheetId="1" name="_xlnm.Print_Titles" vbProcedure="false">Ansätze!$1:$5</definedName>
    <definedName function="false" hidden="false" localSheetId="0" name="_xlnm.Print_Area" vbProcedure="false">Kalkulation!$A$1:$D$26</definedName>
    <definedName function="false" hidden="false" localSheetId="0" name="_xlnm.Print_Titles" vbProcedure="false">Kalkulation!$1:$5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<sst xmlns="http://schemas.openxmlformats.org/spreadsheetml/2006/main" count="76" uniqueCount="73">
  <si>
    <t xml:space="preserve">Mobile Versorgung mit Zusatzfenstern</t>
  </si>
  <si>
    <t xml:space="preserve">Stand 25.09.2026 16:00 Uhr</t>
  </si>
  <si>
    <t xml:space="preserve">Kosten oder Entscheidung</t>
  </si>
  <si>
    <t xml:space="preserve">Wert</t>
  </si>
  <si>
    <t xml:space="preserve">Funktion und Verwendung</t>
  </si>
  <si>
    <t xml:space="preserve">Variante 1 oder 2</t>
  </si>
  <si>
    <t xml:space="preserve">1 mobil tags / 2 mobil mit Abendfenstern.</t>
  </si>
  <si>
    <t xml:space="preserve">Elektro Personenstunden</t>
  </si>
  <si>
    <t xml:space="preserve">Fenster mal Stunden mal Zahl der Fachkräfte.</t>
  </si>
  <si>
    <t xml:space="preserve">Grundangebot netto</t>
  </si>
  <si>
    <t xml:space="preserve">Der Grundpreis bleibt einmal enthalten.</t>
  </si>
  <si>
    <t xml:space="preserve">Abendleistungen Breden netto</t>
  </si>
  <si>
    <t xml:space="preserve">Fachkräfte, Sicherungswache, Mehrbetriebsstoff und einmaliger Schallschutz.</t>
  </si>
  <si>
    <t xml:space="preserve">Maschinenservice zusätzlich netto</t>
  </si>
  <si>
    <t xml:space="preserve">Bei Abendbetrieb derzeit preislich offen.</t>
  </si>
  <si>
    <t xml:space="preserve">Mietverlängerung netto</t>
  </si>
  <si>
    <t xml:space="preserve">Angefangene Wochen mal Miete und Einschichtbetriebsstoff.</t>
  </si>
  <si>
    <t xml:space="preserve">Gesamter Ansatz netto</t>
  </si>
  <si>
    <t xml:space="preserve">Nur vollständig bekannte aktive Ansätze werden summiert.</t>
  </si>
  <si>
    <t xml:space="preserve">Umsatzsteuer</t>
  </si>
  <si>
    <t xml:space="preserve">Steuersatz aus den Angebotsbelegen.</t>
  </si>
  <si>
    <t xml:space="preserve">Gesamter Ansatz brutto</t>
  </si>
  <si>
    <t xml:space="preserve">Nettoansatz plus Umsatzsteuer.</t>
  </si>
  <si>
    <t xml:space="preserve">Angebotsbetrag ohne Maschinenservice</t>
  </si>
  <si>
    <t xml:space="preserve">Bekannte Beträge; bei Variante 2 kein vollständiger Gesamtpreis.</t>
  </si>
  <si>
    <t xml:space="preserve">Vorauszahlung brutto bei Annahme</t>
  </si>
  <si>
    <t xml:space="preserve">30 Prozent nur vom Grundangebot, zuzüglich Umsatzsteuer.</t>
  </si>
  <si>
    <t xml:space="preserve">Restbetrag brutto nach Rückbau</t>
  </si>
  <si>
    <t xml:space="preserve">Gesamtbetrag minus Vorauszahlung. Keine bereits ausgeführte Zahlung.</t>
  </si>
  <si>
    <t xml:space="preserve">Bestellung erteilt 0 oder 1</t>
  </si>
  <si>
    <t xml:space="preserve">36 Freigabevermerk: bislang keine Bestellung.</t>
  </si>
  <si>
    <t xml:space="preserve">Kaufmännischer Stand</t>
  </si>
  <si>
    <t xml:space="preserve">Auch ein vollständiger Preis ersetzt keine Beauftragung.</t>
  </si>
  <si>
    <t xml:space="preserve">Verlängerung maximal zwei Wochen</t>
  </si>
  <si>
    <t xml:space="preserve">Ein darüber hinausgehender Ansatz benötigt ein neues Angebot.</t>
  </si>
  <si>
    <t xml:space="preserve">Diese Rechnung erweitert die Angebotsprüfung zu Datei 18. Sie ist weder Kostenbuchung noch Zahlungsfreigabe. Die alten Istwerte in Datei 10 bleiben erhalten.</t>
  </si>
  <si>
    <t xml:space="preserve">Variante 1 lässt den noch unbekannten Servicepreis unberücksichtigt. Variante 2 zeigt einen offenen Gesamtpreis, bis dieser Preis belegt eingetragen ist.</t>
  </si>
  <si>
    <t xml:space="preserve">Vorauszahlung und Rest sind Zahlungsanlässe bei Beauftragung. Die Staffelung ist von den tatsächlichen Zahlungsdaten in Datei 43 zu unterscheiden.</t>
  </si>
  <si>
    <t xml:space="preserve">Weitere Kosten wie die Kranforderung und die alte Produktionsmiete gehören nicht zu diesem Angebot. Die technisch nutzbaren Termine stehen in Datei 41.</t>
  </si>
  <si>
    <t xml:space="preserve">Angebotswerte und veränderbare Mengen</t>
  </si>
  <si>
    <t xml:space="preserve">Eingabe</t>
  </si>
  <si>
    <t xml:space="preserve">Quelle und Einheit</t>
  </si>
  <si>
    <t xml:space="preserve">Grundpreis netto</t>
  </si>
  <si>
    <t xml:space="preserve">18 MB 0925: sechs Wochen einschließlich Einschichtbetriebsstoff.</t>
  </si>
  <si>
    <t xml:space="preserve">Vorauszahlung auf Grundpreis</t>
  </si>
  <si>
    <t xml:space="preserve">18 Angebot und 34 Ergänzung: keine Vorauszahlung auf Zusatzstunden.</t>
  </si>
  <si>
    <t xml:space="preserve">Umsatzsteuersatz</t>
  </si>
  <si>
    <t xml:space="preserve">18 und 34 Angebote; Belege weisen 19 Prozent aus.</t>
  </si>
  <si>
    <t xml:space="preserve">Zusätzliche Abendfenster</t>
  </si>
  <si>
    <t xml:space="preserve">34 Ergänzungsangebot: Anzahl der vorgesehenen Fenster.</t>
  </si>
  <si>
    <t xml:space="preserve">Stunden je Abendfenster</t>
  </si>
  <si>
    <t xml:space="preserve">34 Ergänzungsangebot: 20:00 bis 23:00 Uhr.</t>
  </si>
  <si>
    <t xml:space="preserve">Elektrofachkräfte je Fenster</t>
  </si>
  <si>
    <t xml:space="preserve">34 Ergänzungsangebot: Anzahl Personen.</t>
  </si>
  <si>
    <t xml:space="preserve">Preis je Fachkraftstunde</t>
  </si>
  <si>
    <t xml:space="preserve">34 Ergänzungsangebot: EUR netto einschließlich kalkulierter Zuschläge.</t>
  </si>
  <si>
    <t xml:space="preserve">Sicherungswache je Stunde</t>
  </si>
  <si>
    <t xml:space="preserve">34 Ergänzungsangebot: EUR netto.</t>
  </si>
  <si>
    <t xml:space="preserve">Zusätzlicher Betriebsstoff je Stunde</t>
  </si>
  <si>
    <t xml:space="preserve">34 Ergänzungsangebot: EUR netto nur für Abendfenster.</t>
  </si>
  <si>
    <t xml:space="preserve">Einmaliger Schallschutz</t>
  </si>
  <si>
    <t xml:space="preserve">34 Ergänzungsangebot: EUR netto nach Ausführung.</t>
  </si>
  <si>
    <t xml:space="preserve">Zusätzliche angefangene Mietwochen</t>
  </si>
  <si>
    <t xml:space="preserve">34 Ergänzungsangebot: 0 bis 2 Wochen nach 22.11.; noch nicht bestellt.</t>
  </si>
  <si>
    <t xml:space="preserve">Miete je zusätzlicher Woche</t>
  </si>
  <si>
    <t xml:space="preserve">Betriebsstoff je zusätzlicher Woche</t>
  </si>
  <si>
    <t xml:space="preserve">34 Ergänzungsangebot: EUR netto nur Einschichtbetrieb.</t>
  </si>
  <si>
    <t xml:space="preserve">Zusatzservice Maschinenbauer netto</t>
  </si>
  <si>
    <t xml:space="preserve">40 Maschinenbauer: Preis fehlt. Bei Variante 2 ist er erforderlich.</t>
  </si>
  <si>
    <t xml:space="preserve">Gelbe Zellen sind Eingaben. Der leere Servicepreis bedeutet unbekannt, nicht null. Ein bestätigter kostenfreier Service kann mit 0 und Beleg erfasst werden.</t>
  </si>
  <si>
    <t xml:space="preserve">Fenster, Stunden und Personalzahl treiben die Zusatzkosten. Die angebotenen Personensätze enthalten Zuschläge; diese werden nicht nochmals aufgeschlagen.</t>
  </si>
  <si>
    <t xml:space="preserve">Die Verlängerung gilt nur für Einschichtbetrieb. Weitere Abendstunden in der Verlängerung müssen gesondert angeboten und hier neu abgegrenzt werden.</t>
  </si>
  <si>
    <t xml:space="preserve">Zur Fortschreibung Mengen und Preise nur mit neuer Quelle ändern. Das Blatt Kalkulation berechnet netto, Umsatzsteuer, Vorauszahlung und Rest automatisch.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</si>
</sst>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;\-_)"/>
    <numFmt numFmtId="166" formatCode="0.0%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216E39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485C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6E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048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25"/>
    <col collapsed="false" customWidth="true" hidden="false" outlineLevel="0" max="3" min="3" style="1" width="3"/>
    <col collapsed="false" customWidth="true" hidden="false" outlineLevel="0" max="4" min="4" style="1" width="70"/>
  </cols>
  <sheetData>
    <row r="1" customFormat="false" ht="26" hidden="false" customHeight="true" outlineLevel="0" collapsed="false">
      <c r="A1" s="2"/>
      <c r="B1" s="2"/>
      <c r="C1" s="2"/>
      <c r="D1" s="2"/>
    </row>
    <row r="2" customFormat="false" ht="26" hidden="false" customHeight="true" outlineLevel="0" collapsed="false">
      <c r="A2" s="3" t="s">
        <v>0</v>
      </c>
      <c r="B2" s="2"/>
      <c r="C2" s="2"/>
      <c r="D2" s="2"/>
    </row>
    <row r="3" customFormat="false" ht="26" hidden="false" customHeight="true" outlineLevel="0" collapsed="false">
      <c r="A3" s="4" t="s">
        <v>1</v>
      </c>
      <c r="B3" s="2"/>
      <c r="C3" s="2"/>
      <c r="D3" s="2"/>
    </row>
    <row r="4" customFormat="false" ht="26" hidden="false" customHeight="true" outlineLevel="0" collapsed="false">
      <c r="A4" s="2"/>
      <c r="B4" s="2"/>
      <c r="C4" s="2"/>
      <c r="D4" s="2"/>
    </row>
    <row r="5" customFormat="false" ht="34" hidden="false" customHeight="true" outlineLevel="0" collapsed="false">
      <c r="A5" s="5" t="s">
        <v>2</v>
      </c>
      <c r="B5" s="5" t="s">
        <v>3</v>
      </c>
      <c r="C5" s="6"/>
      <c r="D5" s="5" t="s">
        <v>4</v>
      </c>
    </row>
    <row r="6" customFormat="false" ht="28" hidden="false" customHeight="true" outlineLevel="0" collapsed="false">
      <c r="A6" s="7" t="s">
        <v>5</v>
      </c>
      <c r="B6" s="8" t="n">
        <v>1</v>
      </c>
      <c r="C6" s="9"/>
      <c r="D6" s="7" t="s">
        <v>6</v>
      </c>
    </row>
    <row r="7" customFormat="false" ht="28" hidden="false" customHeight="true" outlineLevel="0" collapsed="false">
      <c r="A7" s="7" t="s">
        <v>7</v>
      </c>
      <c r="B7" s="10" t="n">
        <f aca="false">IF(B6=1,0,IF(AND(B6=2,COUNT(Ansätze!B9:B11)=3,MIN(Ansätze!B9:B11)&gt;=0),Ansätze!B9*Ansätze!B10*Ansätze!B11,"Menge fehlt"))</f>
        <v>0</v>
      </c>
      <c r="C7" s="9"/>
      <c r="D7" s="7" t="s">
        <v>8</v>
      </c>
    </row>
    <row r="8" customFormat="false" ht="28" hidden="false" customHeight="true" outlineLevel="0" collapsed="false">
      <c r="A8" s="7" t="s">
        <v>9</v>
      </c>
      <c r="B8" s="11" t="n">
        <f aca="false">IF(AND(ISNUMBER(Ansätze!B6),Ansätze!B6&gt;=0),Ansätze!B6,"Preis fehlt")</f>
        <v>36000</v>
      </c>
      <c r="C8" s="9"/>
      <c r="D8" s="7" t="s">
        <v>10</v>
      </c>
    </row>
    <row r="9" customFormat="false" ht="28" hidden="false" customHeight="true" outlineLevel="0" collapsed="false">
      <c r="A9" s="7" t="s">
        <v>11</v>
      </c>
      <c r="B9" s="11" t="n">
        <f aca="false">IF(B6=1,0,IF(AND(B6=2,ISNUMBER(B7),COUNT(Ansätze!B12:B15)=4,MIN(Ansätze!B12:B15)&gt;=0),B7*Ansätze!B12+Ansätze!B9*Ansätze!B10*SUM(Ansätze!B13:B14)+Ansätze!B15,"Preis fehlt"))</f>
        <v>0</v>
      </c>
      <c r="C9" s="9"/>
      <c r="D9" s="7" t="s">
        <v>12</v>
      </c>
    </row>
    <row r="10" customFormat="false" ht="28" hidden="false" customHeight="true" outlineLevel="0" collapsed="false">
      <c r="A10" s="7" t="s">
        <v>13</v>
      </c>
      <c r="B10" s="11" t="n">
        <f aca="false">IF(B6=1,0,IF(AND(B6=2,ISNUMBER(Ansätze!B19),Ansätze!B19&gt;=0),Ansätze!B19,"Servicepreis fehlt"))</f>
        <v>0</v>
      </c>
      <c r="C10" s="9"/>
      <c r="D10" s="7" t="s">
        <v>14</v>
      </c>
    </row>
    <row r="11" customFormat="false" ht="28" hidden="false" customHeight="true" outlineLevel="0" collapsed="false">
      <c r="A11" s="7" t="s">
        <v>15</v>
      </c>
      <c r="B11" s="11" t="n">
        <f aca="false">IF(AND(COUNT(Ansätze!B16:B18)=3,Ansätze!B16&gt;=0,Ansätze!B16&lt;=2,Ansätze!B16=INT(Ansätze!B16),MIN(Ansätze!B17:B18)&gt;=0),Ansätze!B16*SUM(Ansätze!B17:B18),"Verlängerung prüfen")</f>
        <v>0</v>
      </c>
      <c r="C11" s="9"/>
      <c r="D11" s="7" t="s">
        <v>16</v>
      </c>
    </row>
    <row r="12" customFormat="false" ht="28" hidden="false" customHeight="true" outlineLevel="0" collapsed="false">
      <c r="A12" s="7" t="s">
        <v>17</v>
      </c>
      <c r="B12" s="12" t="n">
        <f aca="false">IF(COUNT(B8:B11)=4,SUM(B8:B11),"Preis offen")</f>
        <v>36000</v>
      </c>
      <c r="C12" s="9"/>
      <c r="D12" s="7" t="s">
        <v>18</v>
      </c>
    </row>
    <row r="13" customFormat="false" ht="28" hidden="false" customHeight="true" outlineLevel="0" collapsed="false">
      <c r="A13" s="7" t="s">
        <v>19</v>
      </c>
      <c r="B13" s="11" t="n">
        <f aca="false">IF(AND(ISNUMBER(B12),ISNUMBER(Ansätze!B8),Ansätze!B8&gt;=0),ROUND(B12*Ansätze!B8,2),"Preis offen")</f>
        <v>6840</v>
      </c>
      <c r="C13" s="9"/>
      <c r="D13" s="7" t="s">
        <v>20</v>
      </c>
    </row>
    <row r="14" customFormat="false" ht="28" hidden="false" customHeight="true" outlineLevel="0" collapsed="false">
      <c r="A14" s="7" t="s">
        <v>21</v>
      </c>
      <c r="B14" s="12" t="n">
        <f aca="false">IF(COUNT(B12:B13)=2,SUM(B12:B13),"Preis offen")</f>
        <v>42840</v>
      </c>
      <c r="C14" s="9"/>
      <c r="D14" s="7" t="s">
        <v>22</v>
      </c>
    </row>
    <row r="15" customFormat="false" ht="28" hidden="false" customHeight="true" outlineLevel="0" collapsed="false">
      <c r="A15" s="7" t="s">
        <v>23</v>
      </c>
      <c r="B15" s="12" t="n">
        <f aca="false">IF(COUNT(B8:B9)=2,IF(ISNUMBER(B11),SUM(B8:B9,B11),"Preis offen"),"Preis offen")</f>
        <v>36000</v>
      </c>
      <c r="C15" s="9"/>
      <c r="D15" s="7" t="s">
        <v>24</v>
      </c>
    </row>
    <row r="16" customFormat="false" ht="28" hidden="false" customHeight="true" outlineLevel="0" collapsed="false">
      <c r="A16" s="7" t="s">
        <v>25</v>
      </c>
      <c r="B16" s="11" t="n">
        <f aca="false">IF(AND(ISNUMBER(B8),COUNT(Ansätze!B7:B8)=2,MIN(Ansätze!B7:B8)&gt;=0,Ansätze!B7&lt;=1),ROUND(B8*Ansätze!B7*(1+Ansätze!B8),2),"Satz fehlt")</f>
        <v>12852</v>
      </c>
      <c r="C16" s="9"/>
      <c r="D16" s="7" t="s">
        <v>26</v>
      </c>
    </row>
    <row r="17" customFormat="false" ht="28" hidden="false" customHeight="true" outlineLevel="0" collapsed="false">
      <c r="A17" s="7" t="s">
        <v>27</v>
      </c>
      <c r="B17" s="12" t="n">
        <f aca="false">IF(AND(ISNUMBER(B14),ISNUMBER(B16)),B14-B16,"Preis offen")</f>
        <v>29988</v>
      </c>
      <c r="C17" s="9"/>
      <c r="D17" s="7" t="s">
        <v>28</v>
      </c>
    </row>
    <row r="18" customFormat="false" ht="28" hidden="false" customHeight="true" outlineLevel="0" collapsed="false">
      <c r="A18" s="7" t="s">
        <v>29</v>
      </c>
      <c r="B18" s="8" t="n">
        <v>0</v>
      </c>
      <c r="C18" s="9"/>
      <c r="D18" s="7" t="s">
        <v>30</v>
      </c>
    </row>
    <row r="19" customFormat="false" ht="28" hidden="false" customHeight="true" outlineLevel="0" collapsed="false">
      <c r="A19" s="7" t="s">
        <v>31</v>
      </c>
      <c r="B19" s="13" t="str">
        <f aca="false">IF(B18=0,"Nicht bestellt",IF(B18=1,IF(ISNUMBER(B12),"Bestellung erfassen","Preis weiterhin offen"),"Eingabe prüfen"))</f>
        <v>Nicht bestellt</v>
      </c>
      <c r="C19" s="9"/>
      <c r="D19" s="7" t="s">
        <v>32</v>
      </c>
    </row>
    <row r="20" customFormat="false" ht="28" hidden="false" customHeight="true" outlineLevel="0" collapsed="false">
      <c r="A20" s="7" t="s">
        <v>33</v>
      </c>
      <c r="B20" s="10" t="str">
        <f aca="false">IF(AND(ISNUMBER(Ansätze!B16),Ansätze!B16&gt;=0,Ansätze!B16&lt;=2),"Im Angebotsrahmen","Neues Angebot erforderlich")</f>
        <v>Im Angebotsrahmen</v>
      </c>
      <c r="C20" s="9"/>
      <c r="D20" s="7" t="s">
        <v>34</v>
      </c>
    </row>
    <row r="21" customFormat="false" ht="26" hidden="false" customHeight="true" outlineLevel="0" collapsed="false">
      <c r="A21" s="2"/>
      <c r="B21" s="2"/>
      <c r="C21" s="14"/>
      <c r="D21" s="2"/>
    </row>
    <row r="22" customFormat="false" ht="26" hidden="false" customHeight="true" outlineLevel="0" collapsed="false">
      <c r="A22" s="2"/>
      <c r="B22" s="2"/>
      <c r="C22" s="14"/>
      <c r="D22" s="2"/>
    </row>
    <row r="23" customFormat="false" ht="28" hidden="false" customHeight="true" outlineLevel="0" collapsed="false">
      <c r="A23" s="15" t="s">
        <v>35</v>
      </c>
      <c r="B23" s="15"/>
      <c r="C23" s="15"/>
      <c r="D23" s="15"/>
    </row>
    <row r="24" customFormat="false" ht="28" hidden="false" customHeight="true" outlineLevel="0" collapsed="false">
      <c r="A24" s="15" t="s">
        <v>36</v>
      </c>
      <c r="B24" s="15"/>
      <c r="C24" s="15"/>
      <c r="D24" s="15"/>
    </row>
    <row r="25" customFormat="false" ht="28" hidden="false" customHeight="true" outlineLevel="0" collapsed="false">
      <c r="A25" s="15" t="s">
        <v>37</v>
      </c>
      <c r="B25" s="15"/>
      <c r="C25" s="15"/>
      <c r="D25" s="15"/>
    </row>
    <row r="26" customFormat="false" ht="28" hidden="false" customHeight="true" outlineLevel="0" collapsed="false">
      <c r="A26" s="15" t="s">
        <v>38</v>
      </c>
      <c r="B26" s="15"/>
      <c r="C26" s="15"/>
      <c r="D26" s="15"/>
    </row>
    <row r="27" customFormat="false" ht="26" hidden="false" customHeight="true" outlineLevel="0" collapsed="false">
      <c r="A27" s="2"/>
      <c r="B27" s="2"/>
      <c r="C27" s="14"/>
      <c r="D27" s="2"/>
    </row>
    <row r="28" customFormat="false" ht="26" hidden="false" customHeight="true" outlineLevel="0" collapsed="false">
      <c r="A28" s="2"/>
      <c r="B28" s="2"/>
      <c r="C28" s="14"/>
      <c r="D28" s="2"/>
    </row>
    <row r="29" customFormat="false" ht="26" hidden="false" customHeight="true" outlineLevel="0" collapsed="false">
      <c r="A29" s="2"/>
      <c r="B29" s="2"/>
      <c r="C29" s="14"/>
      <c r="D29" s="2"/>
    </row>
    <row r="30" customFormat="false" ht="26" hidden="false" customHeight="true" outlineLevel="0" collapsed="false">
      <c r="A30" s="2"/>
      <c r="B30" s="2"/>
      <c r="C30" s="14"/>
      <c r="D30" s="2"/>
    </row>
    <row r="31" customFormat="false" ht="26" hidden="false" customHeight="true" outlineLevel="0" collapsed="false">
      <c r="A31" s="2"/>
      <c r="B31" s="2"/>
      <c r="C31" s="14"/>
      <c r="D31" s="2"/>
    </row>
  </sheetData>
  <mergeCells count="4">
    <mergeCell ref="A23:D23"/>
    <mergeCell ref="A24:D24"/>
    <mergeCell ref="A25:D25"/>
    <mergeCell ref="A26:D26"/>
  </mergeCells>
  <conditionalFormatting sqref="B12:B14">
    <cfRule type="containsText" priority="2" operator="containsText" aboveAverage="0" equalAverage="0" bottom="0" percent="0" rank="0" text="offen" dxfId="0">
      <formula>NOT(ISERROR(SEARCH("offen",B12)))</formula>
    </cfRule>
  </conditionalFormatting>
  <dataValidations count="2">
    <dataValidation allowBlank="false" errorStyle="stop" operator="between" showDropDown="false" showErrorMessage="false" showInputMessage="false" sqref="B18" type="whole">
      <formula1>0</formula1>
      <formula2>1</formula2>
    </dataValidation>
    <dataValidation allowBlank="false" errorStyle="stop" operator="between" showDropDown="false" showErrorMessage="false" showInputMessage="false" sqref="B6" type="whole">
      <formula1>1</formula1>
      <formula2>2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25"/>
    <col collapsed="false" customWidth="true" hidden="false" outlineLevel="0" max="3" min="3" style="1" width="3"/>
    <col collapsed="false" customWidth="true" hidden="false" outlineLevel="0" max="4" min="4" style="1" width="70"/>
  </cols>
  <sheetData>
    <row r="1" customFormat="false" ht="26" hidden="false" customHeight="true" outlineLevel="0" collapsed="false">
      <c r="A1" s="2"/>
      <c r="B1" s="2"/>
      <c r="C1" s="2"/>
      <c r="D1" s="2"/>
    </row>
    <row r="2" customFormat="false" ht="26" hidden="false" customHeight="true" outlineLevel="0" collapsed="false">
      <c r="A2" s="3" t="s">
        <v>39</v>
      </c>
      <c r="B2" s="2"/>
      <c r="C2" s="2"/>
      <c r="D2" s="2"/>
    </row>
    <row r="3" customFormat="false" ht="26" hidden="false" customHeight="true" outlineLevel="0" collapsed="false">
      <c r="A3" s="4" t="s">
        <v>1</v>
      </c>
      <c r="B3" s="2"/>
      <c r="C3" s="2"/>
      <c r="D3" s="2"/>
    </row>
    <row r="4" customFormat="false" ht="26" hidden="false" customHeight="true" outlineLevel="0" collapsed="false">
      <c r="A4" s="2"/>
      <c r="B4" s="2"/>
      <c r="C4" s="2"/>
      <c r="D4" s="2"/>
    </row>
    <row r="5" customFormat="false" ht="34" hidden="false" customHeight="true" outlineLevel="0" collapsed="false">
      <c r="A5" s="5" t="s">
        <v>40</v>
      </c>
      <c r="B5" s="5" t="s">
        <v>3</v>
      </c>
      <c r="C5" s="6"/>
      <c r="D5" s="5" t="s">
        <v>41</v>
      </c>
    </row>
    <row r="6" customFormat="false" ht="28" hidden="false" customHeight="true" outlineLevel="0" collapsed="false">
      <c r="A6" s="7" t="s">
        <v>42</v>
      </c>
      <c r="B6" s="16" t="n">
        <v>36000</v>
      </c>
      <c r="C6" s="9"/>
      <c r="D6" s="7" t="s">
        <v>43</v>
      </c>
    </row>
    <row r="7" customFormat="false" ht="28" hidden="false" customHeight="true" outlineLevel="0" collapsed="false">
      <c r="A7" s="7" t="s">
        <v>44</v>
      </c>
      <c r="B7" s="17" t="n">
        <v>0.3</v>
      </c>
      <c r="C7" s="9"/>
      <c r="D7" s="7" t="s">
        <v>45</v>
      </c>
    </row>
    <row r="8" customFormat="false" ht="28" hidden="false" customHeight="true" outlineLevel="0" collapsed="false">
      <c r="A8" s="7" t="s">
        <v>46</v>
      </c>
      <c r="B8" s="17" t="n">
        <v>0.19</v>
      </c>
      <c r="C8" s="9"/>
      <c r="D8" s="7" t="s">
        <v>47</v>
      </c>
    </row>
    <row r="9" customFormat="false" ht="28" hidden="false" customHeight="true" outlineLevel="0" collapsed="false">
      <c r="A9" s="7" t="s">
        <v>48</v>
      </c>
      <c r="B9" s="8" t="n">
        <v>10</v>
      </c>
      <c r="C9" s="9"/>
      <c r="D9" s="7" t="s">
        <v>49</v>
      </c>
    </row>
    <row r="10" customFormat="false" ht="28" hidden="false" customHeight="true" outlineLevel="0" collapsed="false">
      <c r="A10" s="7" t="s">
        <v>50</v>
      </c>
      <c r="B10" s="8" t="n">
        <v>3</v>
      </c>
      <c r="C10" s="9"/>
      <c r="D10" s="7" t="s">
        <v>51</v>
      </c>
    </row>
    <row r="11" customFormat="false" ht="28" hidden="false" customHeight="true" outlineLevel="0" collapsed="false">
      <c r="A11" s="7" t="s">
        <v>52</v>
      </c>
      <c r="B11" s="8" t="n">
        <v>2</v>
      </c>
      <c r="C11" s="9"/>
      <c r="D11" s="7" t="s">
        <v>53</v>
      </c>
    </row>
    <row r="12" customFormat="false" ht="28" hidden="false" customHeight="true" outlineLevel="0" collapsed="false">
      <c r="A12" s="7" t="s">
        <v>54</v>
      </c>
      <c r="B12" s="16" t="n">
        <v>78</v>
      </c>
      <c r="C12" s="9"/>
      <c r="D12" s="7" t="s">
        <v>55</v>
      </c>
    </row>
    <row r="13" customFormat="false" ht="28" hidden="false" customHeight="true" outlineLevel="0" collapsed="false">
      <c r="A13" s="7" t="s">
        <v>56</v>
      </c>
      <c r="B13" s="16" t="n">
        <v>42</v>
      </c>
      <c r="C13" s="9"/>
      <c r="D13" s="7" t="s">
        <v>57</v>
      </c>
    </row>
    <row r="14" customFormat="false" ht="28" hidden="false" customHeight="true" outlineLevel="0" collapsed="false">
      <c r="A14" s="7" t="s">
        <v>58</v>
      </c>
      <c r="B14" s="16" t="n">
        <v>18</v>
      </c>
      <c r="C14" s="9"/>
      <c r="D14" s="7" t="s">
        <v>59</v>
      </c>
    </row>
    <row r="15" customFormat="false" ht="28" hidden="false" customHeight="true" outlineLevel="0" collapsed="false">
      <c r="A15" s="7" t="s">
        <v>60</v>
      </c>
      <c r="B15" s="16" t="n">
        <v>1250</v>
      </c>
      <c r="C15" s="9"/>
      <c r="D15" s="7" t="s">
        <v>61</v>
      </c>
    </row>
    <row r="16" customFormat="false" ht="28" hidden="false" customHeight="true" outlineLevel="0" collapsed="false">
      <c r="A16" s="7" t="s">
        <v>62</v>
      </c>
      <c r="B16" s="8" t="n">
        <v>0</v>
      </c>
      <c r="C16" s="9"/>
      <c r="D16" s="7" t="s">
        <v>63</v>
      </c>
    </row>
    <row r="17" customFormat="false" ht="28" hidden="false" customHeight="true" outlineLevel="0" collapsed="false">
      <c r="A17" s="7" t="s">
        <v>64</v>
      </c>
      <c r="B17" s="16" t="n">
        <v>4000</v>
      </c>
      <c r="C17" s="9"/>
      <c r="D17" s="7" t="s">
        <v>57</v>
      </c>
    </row>
    <row r="18" customFormat="false" ht="28" hidden="false" customHeight="true" outlineLevel="0" collapsed="false">
      <c r="A18" s="7" t="s">
        <v>65</v>
      </c>
      <c r="B18" s="16" t="n">
        <v>500</v>
      </c>
      <c r="C18" s="9"/>
      <c r="D18" s="7" t="s">
        <v>66</v>
      </c>
    </row>
    <row r="19" customFormat="false" ht="28" hidden="false" customHeight="true" outlineLevel="0" collapsed="false">
      <c r="A19" s="7" t="s">
        <v>67</v>
      </c>
      <c r="B19" s="16"/>
      <c r="C19" s="9"/>
      <c r="D19" s="7" t="s">
        <v>68</v>
      </c>
    </row>
    <row r="20" customFormat="false" ht="26" hidden="false" customHeight="true" outlineLevel="0" collapsed="false">
      <c r="A20" s="2"/>
      <c r="B20" s="2"/>
      <c r="C20" s="14"/>
      <c r="D20" s="2"/>
    </row>
    <row r="21" customFormat="false" ht="26" hidden="false" customHeight="true" outlineLevel="0" collapsed="false">
      <c r="A21" s="2"/>
      <c r="B21" s="2"/>
      <c r="C21" s="14"/>
      <c r="D21" s="2"/>
    </row>
    <row r="22" customFormat="false" ht="28" hidden="false" customHeight="true" outlineLevel="0" collapsed="false">
      <c r="A22" s="15" t="s">
        <v>69</v>
      </c>
      <c r="B22" s="15"/>
      <c r="C22" s="15"/>
      <c r="D22" s="15"/>
    </row>
    <row r="23" customFormat="false" ht="28" hidden="false" customHeight="true" outlineLevel="0" collapsed="false">
      <c r="A23" s="15" t="s">
        <v>70</v>
      </c>
      <c r="B23" s="15"/>
      <c r="C23" s="15"/>
      <c r="D23" s="15"/>
    </row>
    <row r="24" customFormat="false" ht="28" hidden="false" customHeight="true" outlineLevel="0" collapsed="false">
      <c r="A24" s="15" t="s">
        <v>71</v>
      </c>
      <c r="B24" s="15"/>
      <c r="C24" s="15"/>
      <c r="D24" s="15"/>
    </row>
    <row r="25" customFormat="false" ht="28" hidden="false" customHeight="true" outlineLevel="0" collapsed="false">
      <c r="A25" s="15" t="s">
        <v>72</v>
      </c>
      <c r="B25" s="15"/>
      <c r="C25" s="15"/>
      <c r="D25" s="15"/>
    </row>
    <row r="26" customFormat="false" ht="26" hidden="false" customHeight="true" outlineLevel="0" collapsed="false">
      <c r="A26" s="2"/>
      <c r="B26" s="2"/>
      <c r="C26" s="14"/>
      <c r="D26" s="2"/>
    </row>
    <row r="27" customFormat="false" ht="26" hidden="false" customHeight="true" outlineLevel="0" collapsed="false">
      <c r="A27" s="2"/>
      <c r="B27" s="2"/>
      <c r="C27" s="14"/>
      <c r="D27" s="2"/>
    </row>
    <row r="28" customFormat="false" ht="26" hidden="false" customHeight="true" outlineLevel="0" collapsed="false">
      <c r="A28" s="2"/>
      <c r="B28" s="2"/>
      <c r="C28" s="14"/>
      <c r="D28" s="2"/>
    </row>
    <row r="29" customFormat="false" ht="26" hidden="false" customHeight="true" outlineLevel="0" collapsed="false">
      <c r="A29" s="2"/>
      <c r="B29" s="2"/>
      <c r="C29" s="14"/>
      <c r="D29" s="2"/>
    </row>
  </sheetData>
  <mergeCells count="4">
    <mergeCell ref="A22:D22"/>
    <mergeCell ref="A23:D23"/>
    <mergeCell ref="A24:D24"/>
    <mergeCell ref="A25:D25"/>
  </mergeCells>
  <dataValidations count="1">
    <dataValidation allowBlank="false" errorStyle="stop" operator="between" showDropDown="false" showErrorMessage="false" showInputMessage="false" sqref="B16" type="whole">
      <formula1>0</formula1>
      <formula2>2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/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