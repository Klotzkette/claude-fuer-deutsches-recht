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5b8cf0ba221f426e" /><ns0:Relationship Id="rIdKlotzketteCore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stenstand" sheetId="1" r:id="Rf497150bc7494768"/>
    <x:sheet xmlns:r="http://schemas.openxmlformats.org/officeDocument/2006/relationships" name="Bestellungen" sheetId="2" r:id="R882f9b36c0034328"/>
    <x:sheet xmlns:r="http://schemas.openxmlformats.org/officeDocument/2006/relationships" name="Belege" sheetId="3" r:id="R3ccb119595b343cd"/>
    <x:sheet xmlns:r="http://schemas.openxmlformats.org/officeDocument/2006/relationships" name="Restleistungen" sheetId="4" r:id="R4360a21b8d91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yyyy-mm-dd"/>
    <x:numFmt numFmtId="202" formatCode="#,##0.00"/>
  </x:numFmts>
  <x:fonts count="10">
    <x:font>
      <x:sz val="11"/>
      <x:name val="Carlito"/>
    </x:font>
    <x:font>
      <x:b/>
      <x:sz val="14"/>
      <x:name val="Arial"/>
    </x:font>
    <x:font>
      <x:i/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2457A7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0"/>
      <x:color rgb="FF000000"/>
      <x:name val="Arial"/>
    </x:font>
    <x:font>
      <x:sz val="10"/>
      <x:color rgb="FF2570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A47"/>
      </x:patternFill>
    </x:fill>
    <x:fill>
      <x:patternFill patternType="solid">
        <x:fgColor rgb="FFE8EBED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0" fontId="9" fillId="0" borderId="0" xfId="0" applyNumberFormat="1" applyFont="1" applyFill="1" applyBorder="1"/>
    <x:xf numFmtId="202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69f5c350047d2" /><Relationship Type="http://schemas.openxmlformats.org/officeDocument/2006/relationships/theme" Target="/xl/theme/theme1.xml" Id="Rd5d2db8bc4f34d6f" /><Relationship Type="http://schemas.openxmlformats.org/officeDocument/2006/relationships/sharedStrings" Target="/xl/sharedStrings.xml" Id="R918f9e07c1fd44ba" /><Relationship Type="http://schemas.openxmlformats.org/officeDocument/2006/relationships/worksheet" Target="/xl/worksheets/sheet1.xml" Id="Rf497150bc7494768" /><Relationship Type="http://schemas.openxmlformats.org/officeDocument/2006/relationships/worksheet" Target="/xl/worksheets/sheet2.xml" Id="R882f9b36c0034328" /><Relationship Type="http://schemas.openxmlformats.org/officeDocument/2006/relationships/worksheet" Target="/xl/worksheets/sheet3.xml" Id="R3ccb119595b343cd" /><Relationship Type="http://schemas.openxmlformats.org/officeDocument/2006/relationships/worksheet" Target="/xl/worksheets/sheet4.xml" Id="R4360a21b8d91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2">
      <x:c r="A2" s="1" t="str">
        <x:v>WH26 Kostenfortschreibung</x:v>
      </x:c>
    </x:row>
    <x:row r="3">
      <x:c r="A3" s="2" t="str">
        <x:v>Stand 25.09.2026 | EUR netto, soweit nicht anders bezeichnet</x:v>
      </x:c>
    </x:row>
    <x:row r="5" ht="34" customHeight="1">
      <x:c r="A5" s="7" t="str">
        <x:v>Gewerk</x:v>
      </x:c>
      <x:c r="B5" s="7" t="str">
        <x:v>Budget</x:v>
      </x:c>
      <x:c r="C5" s="7" t="str">
        <x:v>Ist</x:v>
      </x:c>
      <x:c r="D5" s="7" t="str">
        <x:v>Obligo</x:v>
      </x:c>
      <x:c r="E5" s="7" t="str">
        <x:v>Unbestellt</x:v>
      </x:c>
      <x:c r="F5" s="7" t="str">
        <x:v>Forecast</x:v>
      </x:c>
      <x:c r="G5" s="7" t="str">
        <x:v>Abweichung</x:v>
      </x:c>
    </x:row>
    <x:row r="6" ht="24" customHeight="1">
      <x:c r="A6" s="10" t="str">
        <x:v>W01 Planung</x:v>
      </x:c>
      <x:c r="B6" s="12" t="n">
        <x:v>120000</x:v>
      </x:c>
      <x:c r="C6" s="23" t="n">
        <x:f>SUMIFS('Belege'!$D$6:$D$19,'Belege'!$B$6:$B$19,"W01")</x:f>
        <x:v>95000</x:v>
      </x:c>
      <x:c r="D6" s="23" t="n">
        <x:f>'Bestellungen'!C6-C6</x:f>
        <x:v>23000</x:v>
      </x:c>
      <x:c r="E6" s="23" t="n">
        <x:f>IF(ISBLANK('Restleistungen'!C6),"offen",'Restleistungen'!C6)</x:f>
        <x:v>0</x:v>
      </x:c>
      <x:c r="F6" s="21" t="n">
        <x:f>IF(COUNT(C6:E6)=3,SUM(C6:E6),"offen")</x:f>
        <x:v>118000</x:v>
      </x:c>
      <x:c r="G6" s="21" t="n">
        <x:f>IF(ISNUMBER(F6),F6-B6,"offen")</x:f>
        <x:v>-2000</x:v>
      </x:c>
    </x:row>
    <x:row r="7" ht="24" customHeight="1">
      <x:c r="A7" s="10" t="str">
        <x:v>W02 Erdarbeiten</x:v>
      </x:c>
      <x:c r="B7" s="12" t="n">
        <x:v>180000</x:v>
      </x:c>
      <x:c r="C7" s="23" t="n">
        <x:f>SUMIFS('Belege'!$D$6:$D$19,'Belege'!$B$6:$B$19,"W02")</x:f>
        <x:v>180000</x:v>
      </x:c>
      <x:c r="D7" s="23" t="n">
        <x:f>'Bestellungen'!C7-C7</x:f>
        <x:v>10000</x:v>
      </x:c>
      <x:c r="E7" s="23" t="n">
        <x:f>IF(ISBLANK('Restleistungen'!C7),"offen",'Restleistungen'!C7)</x:f>
        <x:v>0</x:v>
      </x:c>
      <x:c r="F7" s="21" t="n">
        <x:f>IF(COUNT(C7:E7)=3,SUM(C7:E7),"offen")</x:f>
        <x:v>190000</x:v>
      </x:c>
      <x:c r="G7" s="21" t="n">
        <x:f>IF(ISNUMBER(F7),F7-B7,"offen")</x:f>
        <x:v>10000</x:v>
      </x:c>
    </x:row>
    <x:row r="8" ht="24" customHeight="1">
      <x:c r="A8" s="10" t="str">
        <x:v>W03 Tragwerk</x:v>
      </x:c>
      <x:c r="B8" s="12" t="n">
        <x:v>640000</x:v>
      </x:c>
      <x:c r="C8" s="23" t="n">
        <x:f>SUMIFS('Belege'!$D$6:$D$19,'Belege'!$B$6:$B$19,"W03")</x:f>
        <x:v>480000</x:v>
      </x:c>
      <x:c r="D8" s="23" t="n">
        <x:f>'Bestellungen'!C8-C8</x:f>
        <x:v>150000</x:v>
      </x:c>
      <x:c r="E8" s="23" t="n">
        <x:f>IF(ISBLANK('Restleistungen'!C8),"offen",'Restleistungen'!C8)</x:f>
        <x:v>0</x:v>
      </x:c>
      <x:c r="F8" s="21" t="n">
        <x:f>IF(COUNT(C8:E8)=3,SUM(C8:E8),"offen")</x:f>
        <x:v>630000</x:v>
      </x:c>
      <x:c r="G8" s="21" t="n">
        <x:f>IF(ISNUMBER(F8),F8-B8,"offen")</x:f>
        <x:v>-10000</x:v>
      </x:c>
    </x:row>
    <x:row r="9" ht="24" customHeight="1">
      <x:c r="A9" s="10" t="str">
        <x:v>W04 Hülle</x:v>
      </x:c>
      <x:c r="B9" s="12" t="n">
        <x:v>420000</x:v>
      </x:c>
      <x:c r="C9" s="23" t="n">
        <x:f>SUMIFS('Belege'!$D$6:$D$19,'Belege'!$B$6:$B$19,"W04")</x:f>
        <x:v>200000</x:v>
      </x:c>
      <x:c r="D9" s="23" t="n">
        <x:f>'Bestellungen'!C9-C9</x:f>
        <x:v>205000</x:v>
      </x:c>
      <x:c r="E9" s="23" t="n">
        <x:f>IF(ISBLANK('Restleistungen'!C9),"offen",'Restleistungen'!C9)</x:f>
        <x:v>15000</x:v>
      </x:c>
      <x:c r="F9" s="21" t="n">
        <x:f>IF(COUNT(C9:E9)=3,SUM(C9:E9),"offen")</x:f>
        <x:v>420000</x:v>
      </x:c>
      <x:c r="G9" s="21" t="n">
        <x:f>IF(ISNUMBER(F9),F9-B9,"offen")</x:f>
        <x:v>0</x:v>
      </x:c>
    </x:row>
    <x:row r="10" ht="24" customHeight="1">
      <x:c r="A10" s="10" t="str">
        <x:v>W05 Technik</x:v>
      </x:c>
      <x:c r="B10" s="12" t="n">
        <x:v>380000</x:v>
      </x:c>
      <x:c r="C10" s="23" t="n">
        <x:f>SUMIFS('Belege'!$D$6:$D$19,'Belege'!$B$6:$B$19,"W05")</x:f>
        <x:v>140000</x:v>
      </x:c>
      <x:c r="D10" s="23" t="n">
        <x:f>'Bestellungen'!C10-C10</x:f>
        <x:v>220000</x:v>
      </x:c>
      <x:c r="E10" s="23" t="n">
        <x:f>IF(ISBLANK('Restleistungen'!C10),"offen",'Restleistungen'!C10)</x:f>
        <x:v>30000</x:v>
      </x:c>
      <x:c r="F10" s="21" t="n">
        <x:f>IF(COUNT(C10:E10)=3,SUM(C10:E10),"offen")</x:f>
        <x:v>390000</x:v>
      </x:c>
      <x:c r="G10" s="21" t="n">
        <x:f>IF(ISNUMBER(F10),F10-B10,"offen")</x:f>
        <x:v>10000</x:v>
      </x:c>
    </x:row>
    <x:row r="11" ht="24" customHeight="1">
      <x:c r="A11" s="10" t="str">
        <x:v>W06 Außenanlagen</x:v>
      </x:c>
      <x:c r="B11" s="12" t="n">
        <x:v>180000</x:v>
      </x:c>
      <x:c r="C11" s="23" t="n">
        <x:f>SUMIFS('Belege'!$D$6:$D$19,'Belege'!$B$6:$B$19,"W06")</x:f>
        <x:v>0</x:v>
      </x:c>
      <x:c r="D11" s="23" t="n">
        <x:f>'Bestellungen'!C11-C11</x:f>
        <x:v>150000</x:v>
      </x:c>
      <x:c r="E11" s="23" t="n">
        <x:f>IF(ISBLANK('Restleistungen'!C11),"offen",'Restleistungen'!C11)</x:f>
        <x:v>35000</x:v>
      </x:c>
      <x:c r="F11" s="21" t="n">
        <x:f>IF(COUNT(C11:E11)=3,SUM(C11:E11),"offen")</x:f>
        <x:v>185000</x:v>
      </x:c>
      <x:c r="G11" s="21" t="n">
        <x:f>IF(ISNUMBER(F11),F11-B11,"offen")</x:f>
        <x:v>5000</x:v>
      </x:c>
    </x:row>
    <x:row r="12" ht="24" customHeight="1">
      <x:c r="A12" s="10" t="str">
        <x:v>W07 Ausstattung</x:v>
      </x:c>
      <x:c r="B12" s="12" t="n">
        <x:v>140000</x:v>
      </x:c>
      <x:c r="C12" s="23" t="n">
        <x:f>SUMIFS('Belege'!$D$6:$D$19,'Belege'!$B$6:$B$19,"W07")</x:f>
        <x:v>30000</x:v>
      </x:c>
      <x:c r="D12" s="23" t="n">
        <x:f>'Bestellungen'!C12-C12</x:f>
        <x:v>70000</x:v>
      </x:c>
      <x:c r="E12" s="23" t="n">
        <x:f>IF(ISBLANK('Restleistungen'!C12),"offen",'Restleistungen'!C12)</x:f>
        <x:v>25000</x:v>
      </x:c>
      <x:c r="F12" s="21" t="n">
        <x:f>IF(COUNT(C12:E12)=3,SUM(C12:E12),"offen")</x:f>
        <x:v>125000</x:v>
      </x:c>
      <x:c r="G12" s="21" t="n">
        <x:f>IF(ISNUMBER(F12),F12-B12,"offen")</x:f>
        <x:v>-15000</x:v>
      </x:c>
    </x:row>
    <x:row r="13" ht="24" customHeight="1">
      <x:c r="A13" s="10" t="str">
        <x:v>W08 Baustelleneinrichtung</x:v>
      </x:c>
      <x:c r="B13" s="12" t="n">
        <x:v>140000</x:v>
      </x:c>
      <x:c r="C13" s="23" t="n">
        <x:f>SUMIFS('Belege'!$D$6:$D$19,'Belege'!$B$6:$B$19,"W08")</x:f>
        <x:v>75000</x:v>
      </x:c>
      <x:c r="D13" s="23" t="n">
        <x:f>'Bestellungen'!C13-C13</x:f>
        <x:v>45000</x:v>
      </x:c>
      <x:c r="E13" s="23" t="n">
        <x:f>IF(ISBLANK('Restleistungen'!C13),"offen",'Restleistungen'!C13)</x:f>
        <x:v>28000</x:v>
      </x:c>
      <x:c r="F13" s="21" t="n">
        <x:f>IF(COUNT(C13:E13)=3,SUM(C13:E13),"offen")</x:f>
        <x:v>148000</x:v>
      </x:c>
      <x:c r="G13" s="21" t="n">
        <x:f>IF(ISNUMBER(F13),F13-B13,"offen")</x:f>
        <x:v>8000</x:v>
      </x:c>
    </x:row>
    <x:row r="14" ht="24" customHeight="1">
      <x:c r="A14" s="17" t="str">
        <x:v>Summe</x:v>
      </x:c>
      <x:c r="B14" s="19" t="n">
        <x:f>SUM(B6:B13)</x:f>
        <x:v>2200000</x:v>
      </x:c>
      <x:c r="C14" s="19" t="n">
        <x:f>SUM(C6:C13)</x:f>
        <x:v>1200000</x:v>
      </x:c>
      <x:c r="D14" s="19" t="n">
        <x:f>SUM(D6:D13)</x:f>
        <x:v>873000</x:v>
      </x:c>
      <x:c r="E14" s="19" t="n">
        <x:f>IF(COUNT(E6:E13)=8,SUM(E6:E13),"offen")</x:f>
        <x:v>133000</x:v>
      </x:c>
      <x:c r="F14" s="19" t="n">
        <x:f>IF(COUNT(F6:F13)=8,SUM(F6:F13),"offen")</x:f>
        <x:v>2206000</x:v>
      </x:c>
      <x:c r="G14" s="19" t="n">
        <x:f>IF(COUNT(G6:G13)=8,SUM(G6:G13),"offen")</x:f>
        <x:v>6000</x:v>
      </x:c>
    </x:row>
    <x:row r="17">
      <x:c r="A17" t="str">
        <x:v>Unvergebene Reserve</x:v>
      </x:c>
      <x:c r="B17" s="25" t="n">
        <x:v>100000</x:v>
      </x:c>
    </x:row>
    <x:row r="18">
      <x:c r="A18" t="str">
        <x:v>Gesamtbudget</x:v>
      </x:c>
      <x:c r="B18" s="26" t="n">
        <x:f>SUM(B14,B17)</x:f>
        <x:v>2300000</x:v>
      </x:c>
    </x:row>
    <x:row r="19">
      <x:c r="A19" t="str">
        <x:v>Abstand zum Budget</x:v>
      </x:c>
      <x:c r="B19" s="26" t="n">
        <x:f>IF(ISNUMBER(F14),B18-F14,"offen")</x:f>
        <x:v>94000</x:v>
      </x:c>
    </x:row>
    <x:row r="20">
      <x:c r="A20" t="str">
        <x:v>Belegkontrolle</x:v>
      </x:c>
      <x:c r="B20" s="28" t="n">
        <x:f>C14-'Belege'!D20</x:f>
        <x:v>0</x:v>
      </x:c>
    </x:row>
    <x:row r="23">
      <x:c r="A23" t="str">
        <x:v>Ohne KM N03 und MB 0925. Siehe Restkostenerhebung vom 25.09.2026.</x:v>
      </x:c>
    </x:row>
    <x:row r="24">
      <x:c r="A24" t="str">
        <x:v>Ist ist Leistungsaufwand, kein Zahlungsstand. Obligo ist bestellt abzüglich Ist.</x:v>
      </x:c>
    </x:row>
    <x:row r="25">
      <x:c r="A25" t="str">
        <x:v>Quellen: 04 Kostenrahmen, 11 Belegjournal, 12 Bestellbuch, 13 Restkostenerhebung.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9" hidden="0" customWidth="1"/>
    <x:col min="4" max="4" width="20" hidden="0" customWidth="1"/>
  </x:cols>
  <x:sheetData>
    <x:row r="2">
      <x:c r="A2" s="1" t="str">
        <x:v>WH26 verbindliche Vergaben</x:v>
      </x:c>
    </x:row>
    <x:row r="3">
      <x:c r="A3" s="2" t="str">
        <x:v>Stand 25.09.2026 | EUR netto, soweit nicht anders bezeichnet</x:v>
      </x:c>
    </x:row>
    <x:row r="5" ht="34" customHeight="1">
      <x:c r="A5" s="7" t="str">
        <x:v>Gewerk</x:v>
      </x:c>
      <x:c r="B5" s="7" t="str">
        <x:v>Leistung</x:v>
      </x:c>
      <x:c r="C5" s="7" t="str">
        <x:v>Bestellt</x:v>
      </x:c>
      <x:c r="D5" s="7" t="str">
        <x:v>Bestandsdatum</x:v>
      </x:c>
    </x:row>
    <x:row r="6" ht="29" customHeight="1">
      <x:c r="A6" s="10" t="str">
        <x:v>W01</x:v>
      </x:c>
      <x:c r="B6" s="10" t="str">
        <x:v>Planung</x:v>
      </x:c>
      <x:c r="C6" s="12" t="n">
        <x:v>118000</x:v>
      </x:c>
      <x:c r="D6" s="13" t="n">
        <x:v>46265</x:v>
      </x:c>
    </x:row>
    <x:row r="7" ht="29" customHeight="1">
      <x:c r="A7" s="10" t="str">
        <x:v>W02</x:v>
      </x:c>
      <x:c r="B7" s="10" t="str">
        <x:v>Erdarbeiten</x:v>
      </x:c>
      <x:c r="C7" s="12" t="n">
        <x:v>190000</x:v>
      </x:c>
      <x:c r="D7" s="13" t="n">
        <x:v>46265</x:v>
      </x:c>
    </x:row>
    <x:row r="8" ht="29" customHeight="1">
      <x:c r="A8" s="10" t="str">
        <x:v>W03</x:v>
      </x:c>
      <x:c r="B8" s="10" t="str">
        <x:v>Tragwerk</x:v>
      </x:c>
      <x:c r="C8" s="12" t="n">
        <x:v>630000</x:v>
      </x:c>
      <x:c r="D8" s="13" t="n">
        <x:v>46265</x:v>
      </x:c>
    </x:row>
    <x:row r="9" ht="29" customHeight="1">
      <x:c r="A9" s="10" t="str">
        <x:v>W04</x:v>
      </x:c>
      <x:c r="B9" s="10" t="str">
        <x:v>Hülle</x:v>
      </x:c>
      <x:c r="C9" s="12" t="n">
        <x:v>405000</x:v>
      </x:c>
      <x:c r="D9" s="13" t="n">
        <x:v>46265</x:v>
      </x:c>
    </x:row>
    <x:row r="10" ht="29" customHeight="1">
      <x:c r="A10" s="10" t="str">
        <x:v>W05</x:v>
      </x:c>
      <x:c r="B10" s="10" t="str">
        <x:v>Technik</x:v>
      </x:c>
      <x:c r="C10" s="12" t="n">
        <x:v>360000</x:v>
      </x:c>
      <x:c r="D10" s="13" t="n">
        <x:v>46265</x:v>
      </x:c>
    </x:row>
    <x:row r="11" ht="29" customHeight="1">
      <x:c r="A11" s="10" t="str">
        <x:v>W06</x:v>
      </x:c>
      <x:c r="B11" s="10" t="str">
        <x:v>Außenanlagen</x:v>
      </x:c>
      <x:c r="C11" s="12" t="n">
        <x:v>150000</x:v>
      </x:c>
      <x:c r="D11" s="13" t="n">
        <x:v>46265</x:v>
      </x:c>
    </x:row>
    <x:row r="12" ht="29" customHeight="1">
      <x:c r="A12" s="10" t="str">
        <x:v>W07</x:v>
      </x:c>
      <x:c r="B12" s="10" t="str">
        <x:v>Ausstattung</x:v>
      </x:c>
      <x:c r="C12" s="12" t="n">
        <x:v>100000</x:v>
      </x:c>
      <x:c r="D12" s="13" t="n">
        <x:v>46265</x:v>
      </x:c>
    </x:row>
    <x:row r="13" ht="29" customHeight="1">
      <x:c r="A13" s="10" t="str">
        <x:v>W08</x:v>
      </x:c>
      <x:c r="B13" s="10" t="str">
        <x:v>Baustelleneinrichtung</x:v>
      </x:c>
      <x:c r="C13" s="12" t="n">
        <x:v>120000</x:v>
      </x:c>
      <x:c r="D13" s="13" t="n">
        <x:v>46265</x:v>
      </x:c>
    </x:row>
    <x:row r="14" ht="29" customHeight="1">
      <x:c r="A14" s="17" t="str">
        <x:v>Summe</x:v>
      </x:c>
      <x:c r="B14" s="17"/>
      <x:c r="C14" s="19" t="n">
        <x:f>SUM(C6:C13)</x:f>
        <x:v>2073000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1" t="str">
        <x:v>WH26 gebuchte Kostenbelege</x:v>
      </x:c>
    </x:row>
    <x:row r="3">
      <x:c r="A3" s="2" t="str">
        <x:v>Stand 25.09.2026 | EUR netto, soweit nicht anders bezeichnet</x:v>
      </x:c>
    </x:row>
    <x:row r="5" ht="34" customHeight="1">
      <x:c r="A5" s="7" t="str">
        <x:v>Beleg</x:v>
      </x:c>
      <x:c r="B5" s="7" t="str">
        <x:v>Gewerk</x:v>
      </x:c>
      <x:c r="C5" s="7" t="str">
        <x:v>Buchung</x:v>
      </x:c>
      <x:c r="D5" s="7" t="str">
        <x:v>Netto</x:v>
      </x:c>
      <x:c r="E5" s="7" t="str">
        <x:v>Umsatzsteuer</x:v>
      </x:c>
      <x:c r="F5" s="7" t="str">
        <x:v>Brutto</x:v>
      </x:c>
    </x:row>
    <x:row r="6" ht="29" customHeight="1">
      <x:c r="A6" s="10" t="str">
        <x:v>WH-01-1</x:v>
      </x:c>
      <x:c r="B6" s="10" t="str">
        <x:v>W01</x:v>
      </x:c>
      <x:c r="C6" s="13" t="n">
        <x:v>46231</x:v>
      </x:c>
      <x:c r="D6" s="12" t="n">
        <x:v>38000</x:v>
      </x:c>
      <x:c r="E6" s="12" t="n">
        <x:v>7220</x:v>
      </x:c>
      <x:c r="F6" s="21" t="n">
        <x:f>SUM(D6:E6)</x:f>
        <x:v>45220</x:v>
      </x:c>
    </x:row>
    <x:row r="7" ht="29" customHeight="1">
      <x:c r="A7" s="10" t="str">
        <x:v>WH-01-2</x:v>
      </x:c>
      <x:c r="B7" s="10" t="str">
        <x:v>W01</x:v>
      </x:c>
      <x:c r="C7" s="13" t="n">
        <x:v>46262</x:v>
      </x:c>
      <x:c r="D7" s="12" t="n">
        <x:v>57000</x:v>
      </x:c>
      <x:c r="E7" s="12" t="n">
        <x:v>10830</x:v>
      </x:c>
      <x:c r="F7" s="21" t="n">
        <x:f>SUM(D7:E7)</x:f>
        <x:v>67830</x:v>
      </x:c>
    </x:row>
    <x:row r="8" ht="29" customHeight="1">
      <x:c r="A8" s="10" t="str">
        <x:v>WH-02-1</x:v>
      </x:c>
      <x:c r="B8" s="10" t="str">
        <x:v>W02</x:v>
      </x:c>
      <x:c r="C8" s="13" t="n">
        <x:v>46231</x:v>
      </x:c>
      <x:c r="D8" s="12" t="n">
        <x:v>72000</x:v>
      </x:c>
      <x:c r="E8" s="12" t="n">
        <x:v>13680</x:v>
      </x:c>
      <x:c r="F8" s="21" t="n">
        <x:f>SUM(D8:E8)</x:f>
        <x:v>85680</x:v>
      </x:c>
    </x:row>
    <x:row r="9" ht="29" customHeight="1">
      <x:c r="A9" s="10" t="str">
        <x:v>WH-02-2</x:v>
      </x:c>
      <x:c r="B9" s="10" t="str">
        <x:v>W02</x:v>
      </x:c>
      <x:c r="C9" s="13" t="n">
        <x:v>46262</x:v>
      </x:c>
      <x:c r="D9" s="12" t="n">
        <x:v>108000</x:v>
      </x:c>
      <x:c r="E9" s="12" t="n">
        <x:v>20520</x:v>
      </x:c>
      <x:c r="F9" s="21" t="n">
        <x:f>SUM(D9:E9)</x:f>
        <x:v>128520</x:v>
      </x:c>
    </x:row>
    <x:row r="10" ht="29" customHeight="1">
      <x:c r="A10" s="10" t="str">
        <x:v>WH-03-1</x:v>
      </x:c>
      <x:c r="B10" s="10" t="str">
        <x:v>W03</x:v>
      </x:c>
      <x:c r="C10" s="13" t="n">
        <x:v>46262</x:v>
      </x:c>
      <x:c r="D10" s="12" t="n">
        <x:v>384000</x:v>
      </x:c>
      <x:c r="E10" s="12" t="n">
        <x:v>72960</x:v>
      </x:c>
      <x:c r="F10" s="21" t="n">
        <x:f>SUM(D10:E10)</x:f>
        <x:v>456960</x:v>
      </x:c>
    </x:row>
    <x:row r="11" ht="29" customHeight="1">
      <x:c r="A11" s="10" t="str">
        <x:v>WH-03-2</x:v>
      </x:c>
      <x:c r="B11" s="10" t="str">
        <x:v>W03</x:v>
      </x:c>
      <x:c r="C11" s="13" t="n">
        <x:v>46290</x:v>
      </x:c>
      <x:c r="D11" s="12" t="n">
        <x:v>96000</x:v>
      </x:c>
      <x:c r="E11" s="12" t="n">
        <x:v>18240</x:v>
      </x:c>
      <x:c r="F11" s="21" t="n">
        <x:f>SUM(D11:E11)</x:f>
        <x:v>114240</x:v>
      </x:c>
    </x:row>
    <x:row r="12" ht="29" customHeight="1">
      <x:c r="A12" s="10" t="str">
        <x:v>WH-04-1</x:v>
      </x:c>
      <x:c r="B12" s="10" t="str">
        <x:v>W04</x:v>
      </x:c>
      <x:c r="C12" s="13" t="n">
        <x:v>46262</x:v>
      </x:c>
      <x:c r="D12" s="12" t="n">
        <x:v>136000</x:v>
      </x:c>
      <x:c r="E12" s="12" t="n">
        <x:v>25840</x:v>
      </x:c>
      <x:c r="F12" s="21" t="n">
        <x:f>SUM(D12:E12)</x:f>
        <x:v>161840</x:v>
      </x:c>
    </x:row>
    <x:row r="13" ht="29" customHeight="1">
      <x:c r="A13" s="10" t="str">
        <x:v>WH-04-2</x:v>
      </x:c>
      <x:c r="B13" s="10" t="str">
        <x:v>W04</x:v>
      </x:c>
      <x:c r="C13" s="13" t="n">
        <x:v>46290</x:v>
      </x:c>
      <x:c r="D13" s="12" t="n">
        <x:v>64000</x:v>
      </x:c>
      <x:c r="E13" s="12" t="n">
        <x:v>12160</x:v>
      </x:c>
      <x:c r="F13" s="21" t="n">
        <x:f>SUM(D13:E13)</x:f>
        <x:v>76160</x:v>
      </x:c>
    </x:row>
    <x:row r="14" ht="29" customHeight="1">
      <x:c r="A14" s="10" t="str">
        <x:v>WH-05-1</x:v>
      </x:c>
      <x:c r="B14" s="10" t="str">
        <x:v>W05</x:v>
      </x:c>
      <x:c r="C14" s="13" t="n">
        <x:v>46231</x:v>
      </x:c>
      <x:c r="D14" s="12" t="n">
        <x:v>54000</x:v>
      </x:c>
      <x:c r="E14" s="12" t="n">
        <x:v>10260</x:v>
      </x:c>
      <x:c r="F14" s="21" t="n">
        <x:f>SUM(D14:E14)</x:f>
        <x:v>64260</x:v>
      </x:c>
    </x:row>
    <x:row r="15" ht="29" customHeight="1">
      <x:c r="A15" s="10" t="str">
        <x:v>WH-05-2</x:v>
      </x:c>
      <x:c r="B15" s="10" t="str">
        <x:v>W05</x:v>
      </x:c>
      <x:c r="C15" s="13" t="n">
        <x:v>46262</x:v>
      </x:c>
      <x:c r="D15" s="12" t="n">
        <x:v>86000</x:v>
      </x:c>
      <x:c r="E15" s="12" t="n">
        <x:v>16340</x:v>
      </x:c>
      <x:c r="F15" s="21" t="n">
        <x:f>SUM(D15:E15)</x:f>
        <x:v>102340</x:v>
      </x:c>
    </x:row>
    <x:row r="16" ht="29" customHeight="1">
      <x:c r="A16" s="10" t="str">
        <x:v>WH-07-1</x:v>
      </x:c>
      <x:c r="B16" s="10" t="str">
        <x:v>W07</x:v>
      </x:c>
      <x:c r="C16" s="13" t="n">
        <x:v>46231</x:v>
      </x:c>
      <x:c r="D16" s="12" t="n">
        <x:v>12000</x:v>
      </x:c>
      <x:c r="E16" s="12" t="n">
        <x:v>2280</x:v>
      </x:c>
      <x:c r="F16" s="21" t="n">
        <x:f>SUM(D16:E16)</x:f>
        <x:v>14280</x:v>
      </x:c>
    </x:row>
    <x:row r="17" ht="29" customHeight="1">
      <x:c r="A17" s="10" t="str">
        <x:v>WH-07-2</x:v>
      </x:c>
      <x:c r="B17" s="10" t="str">
        <x:v>W07</x:v>
      </x:c>
      <x:c r="C17" s="13" t="n">
        <x:v>46262</x:v>
      </x:c>
      <x:c r="D17" s="12" t="n">
        <x:v>18000</x:v>
      </x:c>
      <x:c r="E17" s="12" t="n">
        <x:v>3420</x:v>
      </x:c>
      <x:c r="F17" s="21" t="n">
        <x:f>SUM(D17:E17)</x:f>
        <x:v>21420</x:v>
      </x:c>
    </x:row>
    <x:row r="18" ht="29" customHeight="1">
      <x:c r="A18" s="10" t="str">
        <x:v>WH-08-1</x:v>
      </x:c>
      <x:c r="B18" s="10" t="str">
        <x:v>W08</x:v>
      </x:c>
      <x:c r="C18" s="13" t="n">
        <x:v>46231</x:v>
      </x:c>
      <x:c r="D18" s="12" t="n">
        <x:v>42000</x:v>
      </x:c>
      <x:c r="E18" s="12" t="n">
        <x:v>7980</x:v>
      </x:c>
      <x:c r="F18" s="21" t="n">
        <x:f>SUM(D18:E18)</x:f>
        <x:v>49980</x:v>
      </x:c>
    </x:row>
    <x:row r="19" ht="29" customHeight="1">
      <x:c r="A19" s="10" t="str">
        <x:v>WH-08-2</x:v>
      </x:c>
      <x:c r="B19" s="10" t="str">
        <x:v>W08</x:v>
      </x:c>
      <x:c r="C19" s="13" t="n">
        <x:v>46262</x:v>
      </x:c>
      <x:c r="D19" s="12" t="n">
        <x:v>33000</x:v>
      </x:c>
      <x:c r="E19" s="12" t="n">
        <x:v>6270</x:v>
      </x:c>
      <x:c r="F19" s="21" t="n">
        <x:f>SUM(D19:E19)</x:f>
        <x:v>39270</x:v>
      </x:c>
    </x:row>
    <x:row r="20" ht="29" customHeight="1">
      <x:c r="A20" s="17" t="str">
        <x:v>Summe</x:v>
      </x:c>
      <x:c r="B20" s="17"/>
      <x:c r="C20" s="17"/>
      <x:c r="D20" s="19" t="n">
        <x:f>SUM(D6:D19)</x:f>
        <x:v>1200000</x:v>
      </x:c>
      <x:c r="E20" s="19" t="n">
        <x:f>SUM(E6:E19)</x:f>
        <x:v>228000</x:v>
      </x:c>
      <x:c r="F20" s="19" t="n">
        <x:f>SUM(F6:F19)</x:f>
        <x:v>1428000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20" hidden="0" customWidth="1"/>
  </x:cols>
  <x:sheetData>
    <x:row r="2">
      <x:c r="A2" s="1" t="str">
        <x:v>WH26 unbestellte Restleistungen</x:v>
      </x:c>
    </x:row>
    <x:row r="3">
      <x:c r="A3" s="2" t="str">
        <x:v>Stand 25.09.2026 | EUR netto, soweit nicht anders bezeichnet</x:v>
      </x:c>
    </x:row>
    <x:row r="5" ht="34" customHeight="1">
      <x:c r="A5" s="7" t="str">
        <x:v>Gewerk</x:v>
      </x:c>
      <x:c r="B5" s="7" t="str">
        <x:v>Leistung</x:v>
      </x:c>
      <x:c r="C5" s="7" t="str">
        <x:v>Nettoansatz</x:v>
      </x:c>
    </x:row>
    <x:row r="6" ht="29" customHeight="1">
      <x:c r="A6" s="10" t="str">
        <x:v>W01</x:v>
      </x:c>
      <x:c r="B6" s="10" t="str">
        <x:v>Planung</x:v>
      </x:c>
      <x:c r="C6" s="12" t="n">
        <x:v>0</x:v>
      </x:c>
    </x:row>
    <x:row r="7" ht="29" customHeight="1">
      <x:c r="A7" s="10" t="str">
        <x:v>W02</x:v>
      </x:c>
      <x:c r="B7" s="10" t="str">
        <x:v>Erdarbeiten</x:v>
      </x:c>
      <x:c r="C7" s="12" t="n">
        <x:v>0</x:v>
      </x:c>
    </x:row>
    <x:row r="8" ht="29" customHeight="1">
      <x:c r="A8" s="10" t="str">
        <x:v>W03</x:v>
      </x:c>
      <x:c r="B8" s="10" t="str">
        <x:v>Tragwerk</x:v>
      </x:c>
      <x:c r="C8" s="12" t="n">
        <x:v>0</x:v>
      </x:c>
    </x:row>
    <x:row r="9" ht="29" customHeight="1">
      <x:c r="A9" s="10" t="str">
        <x:v>W04</x:v>
      </x:c>
      <x:c r="B9" s="10" t="str">
        <x:v>Hülle</x:v>
      </x:c>
      <x:c r="C9" s="12" t="n">
        <x:v>15000</x:v>
      </x:c>
    </x:row>
    <x:row r="10" ht="29" customHeight="1">
      <x:c r="A10" s="10" t="str">
        <x:v>W05</x:v>
      </x:c>
      <x:c r="B10" s="10" t="str">
        <x:v>Technik</x:v>
      </x:c>
      <x:c r="C10" s="12" t="n">
        <x:v>30000</x:v>
      </x:c>
    </x:row>
    <x:row r="11" ht="29" customHeight="1">
      <x:c r="A11" s="10" t="str">
        <x:v>W06</x:v>
      </x:c>
      <x:c r="B11" s="10" t="str">
        <x:v>Außenanlagen</x:v>
      </x:c>
      <x:c r="C11" s="12" t="n">
        <x:v>35000</x:v>
      </x:c>
    </x:row>
    <x:row r="12" ht="29" customHeight="1">
      <x:c r="A12" s="10" t="str">
        <x:v>W07</x:v>
      </x:c>
      <x:c r="B12" s="10" t="str">
        <x:v>Ausstattung</x:v>
      </x:c>
      <x:c r="C12" s="12" t="n">
        <x:v>25000</x:v>
      </x:c>
    </x:row>
    <x:row r="13" ht="29" customHeight="1">
      <x:c r="A13" s="10" t="str">
        <x:v>W08</x:v>
      </x:c>
      <x:c r="B13" s="10" t="str">
        <x:v>Baustelleneinrichtung</x:v>
      </x:c>
      <x:c r="C13" s="12" t="n">
        <x:v>28000</x:v>
      </x:c>
    </x:row>
    <x:row r="14" ht="29" customHeight="1">
      <x:c r="A14" s="17" t="str">
        <x:v>Summe</x:v>
      </x:c>
      <x:c r="B14" s="17"/>
      <x:c r="C14" s="19" t="n">
        <x:f>SUM(C6:C13)</x:f>
        <x:v>133000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>
  <dc:creator>Klotzkette</dc:creator>
  <cp:lastModifiedBy>Klotzkette</cp:lastModifiedBy>
  <dc:language>de-DE</dc:language>
</cp:coreProperties>
</file>