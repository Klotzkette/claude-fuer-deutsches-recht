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6def066883ac4870" /><Relationship Id="rIdKlotzketteCore" Type="http://schemas.openxmlformats.org/package/2006/relationships/metadata/core-properties" Target="docProps/core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mine" sheetId="1" r:id="R47623d06c33b4cee"/>
    <x:sheet xmlns:r="http://schemas.openxmlformats.org/officeDocument/2006/relationships" name="Zahlungen" sheetId="2" r:id="R1bf70d60ce934bb3"/>
    <x:sheet xmlns:r="http://schemas.openxmlformats.org/officeDocument/2006/relationships" name="Ansätze" sheetId="3" r:id="R00ce61c6a933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;(#,##0.00);&quot;-&quot;"/>
    <x:numFmt numFmtId="202" formatCode="0.0%"/>
    <x:numFmt numFmtId="203" formatCode="yyyy-mm"/>
    <x:numFmt numFmtId="204" formatCode="#,##0.00"/>
  </x:numFmts>
  <x:fonts count="10">
    <x:font>
      <x:sz val="11"/>
      <x:name val="Carlito"/>
    </x:font>
    <x:font>
      <x:b/>
      <x:sz val="14"/>
      <x:name val="Arial"/>
    </x:font>
    <x:font>
      <x:i/>
      <x:sz val="10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2457A7"/>
      <x:name val="Arial"/>
    </x:font>
    <x:font>
      <x:sz val="10"/>
      <x:color rgb="FF000000"/>
      <x:name val="Arial"/>
    </x:font>
    <x:font>
      <x:sz val="10"/>
      <x:color rgb="FF25704B"/>
      <x:name val="Arial"/>
    </x:font>
    <x:font>
      <x:b/>
      <x:sz val="1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A47"/>
      </x:patternFill>
    </x:fill>
    <x:fill>
      <x:patternFill patternType="solid">
        <x:fgColor rgb="FFE8EBED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3" borderId="0" xfId="0" applyNumberFormat="1" applyFont="1" applyFill="1" applyBorder="1"/>
    <x:xf numFmtId="201" fontId="9" fillId="3" borderId="0" xfId="0" applyNumberFormat="1" applyFont="1" applyFill="1" applyBorder="1"/>
    <x:xf numFmtId="201" fontId="6" fillId="0" borderId="0" xfId="0" applyNumberFormat="1" applyFont="1" applyFill="1" applyBorder="1"/>
    <x:xf numFmtId="201" fontId="0" fillId="0" borderId="0" xfId="0" applyNumberFormat="1" applyFont="1" applyFill="1" applyBorder="1"/>
    <x:xf numFmtId="204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20d9f39eff4deb" /><Relationship Type="http://schemas.openxmlformats.org/officeDocument/2006/relationships/theme" Target="/xl/theme/theme1.xml" Id="R1ec2dc175b414ab2" /><Relationship Type="http://schemas.openxmlformats.org/officeDocument/2006/relationships/sharedStrings" Target="/xl/sharedStrings.xml" Id="Ra4439593200a47c3" /><Relationship Type="http://schemas.openxmlformats.org/officeDocument/2006/relationships/worksheet" Target="/xl/worksheets/sheet1.xml" Id="R47623d06c33b4cee" /><Relationship Type="http://schemas.openxmlformats.org/officeDocument/2006/relationships/worksheet" Target="/xl/worksheets/sheet2.xml" Id="R1bf70d60ce934bb3" /><Relationship Type="http://schemas.openxmlformats.org/officeDocument/2006/relationships/worksheet" Target="/xl/worksheets/sheet3.xml" Id="R00ce61c6a93343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17" hidden="0" customWidth="1"/>
    <x:col min="3" max="3" width="17" hidden="0" customWidth="1"/>
    <x:col min="4" max="4" width="16" hidden="0" customWidth="1"/>
    <x:col min="5" max="5" width="18" hidden="0" customWidth="1"/>
    <x:col min="6" max="6" width="18" hidden="0" customWidth="1"/>
    <x:col min="7" max="7" width="17" hidden="0" customWidth="1"/>
  </x:cols>
  <x:sheetData>
    <x:row r="2">
      <x:c r="A2" s="1" t="str">
        <x:v>WH26 Ablauf ohne mobiles Provisorium</x:v>
      </x:c>
    </x:row>
    <x:row r="3">
      <x:c r="A3" s="2" t="str">
        <x:v>Stand 25.09.2026 | EUR netto, soweit nicht anders bezeichnet</x:v>
      </x:c>
    </x:row>
    <x:row r="5" ht="34" customHeight="1">
      <x:c r="A5" s="7" t="str">
        <x:v>Vorgang</x:v>
      </x:c>
      <x:c r="B5" s="7" t="str">
        <x:v>Planbeginn</x:v>
      </x:c>
      <x:c r="C5" s="7" t="str">
        <x:v>Planende</x:v>
      </x:c>
      <x:c r="D5" s="7" t="str">
        <x:v>Dauer Tage</x:v>
      </x:c>
      <x:c r="E5" s="7" t="str">
        <x:v>Beginn aktuell</x:v>
      </x:c>
      <x:c r="F5" s="7" t="str">
        <x:v>Ende aktuell</x:v>
      </x:c>
      <x:c r="G5" s="7" t="str">
        <x:v>Tage später</x:v>
      </x:c>
    </x:row>
    <x:row r="6" ht="29" customHeight="1">
      <x:c r="A6" s="10" t="str">
        <x:v>Fundamente</x:v>
      </x:c>
      <x:c r="B6" s="12" t="n">
        <x:v>46113</x:v>
      </x:c>
      <x:c r="C6" s="12" t="n">
        <x:v>46150</x:v>
      </x:c>
      <x:c r="D6" s="11" t="n">
        <x:v>37</x:v>
      </x:c>
      <x:c r="E6" s="12" t="n">
        <x:v>46113</x:v>
      </x:c>
      <x:c r="F6" s="17" t="n">
        <x:f>E6+D6</x:f>
        <x:v>46150</x:v>
      </x:c>
      <x:c r="G6" s="15" t="n">
        <x:f>F6-C6</x:f>
        <x:v>0</x:v>
      </x:c>
    </x:row>
    <x:row r="7" ht="29" customHeight="1">
      <x:c r="A7" s="10" t="str">
        <x:v>Stahlmontage</x:v>
      </x:c>
      <x:c r="B7" s="12" t="n">
        <x:v>46153</x:v>
      </x:c>
      <x:c r="C7" s="12" t="n">
        <x:v>46283</x:v>
      </x:c>
      <x:c r="D7" s="11" t="n">
        <x:v>130</x:v>
      </x:c>
      <x:c r="E7" s="12" t="n">
        <x:v>46153</x:v>
      </x:c>
      <x:c r="F7" s="17" t="n">
        <x:f>E7+D7</x:f>
        <x:v>46283</x:v>
      </x:c>
      <x:c r="G7" s="15" t="n">
        <x:f>F7-C7</x:f>
        <x:v>0</x:v>
      </x:c>
    </x:row>
    <x:row r="8" ht="29" customHeight="1">
      <x:c r="A8" s="10" t="str">
        <x:v>Gebäudehülle</x:v>
      </x:c>
      <x:c r="B8" s="12" t="n">
        <x:v>46204</x:v>
      </x:c>
      <x:c r="C8" s="12" t="n">
        <x:v>46311</x:v>
      </x:c>
      <x:c r="D8" s="11" t="n">
        <x:v>107</x:v>
      </x:c>
      <x:c r="E8" s="12" t="n">
        <x:v>46204</x:v>
      </x:c>
      <x:c r="F8" s="17" t="n">
        <x:f>E8+D8</x:f>
        <x:v>46311</x:v>
      </x:c>
      <x:c r="G8" s="15" t="n">
        <x:f>F8-C8</x:f>
        <x:v>0</x:v>
      </x:c>
    </x:row>
    <x:row r="9" ht="29" customHeight="1">
      <x:c r="A9" s="10" t="str">
        <x:v>Sozialräume</x:v>
      </x:c>
      <x:c r="B9" s="12" t="n">
        <x:v>46307</x:v>
      </x:c>
      <x:c r="C9" s="12" t="n">
        <x:v>46325</x:v>
      </x:c>
      <x:c r="D9" s="11" t="n">
        <x:v>18</x:v>
      </x:c>
      <x:c r="E9" s="12" t="n">
        <x:v>46307</x:v>
      </x:c>
      <x:c r="F9" s="17" t="n">
        <x:f>E9+D9</x:f>
        <x:v>46325</x:v>
      </x:c>
      <x:c r="G9" s="15" t="n">
        <x:f>F9-C9</x:f>
        <x:v>0</x:v>
      </x:c>
    </x:row>
    <x:row r="10" ht="29" customHeight="1">
      <x:c r="A10" s="10" t="str">
        <x:v>Außenentwässerung</x:v>
      </x:c>
      <x:c r="B10" s="12" t="n">
        <x:v>46307</x:v>
      </x:c>
      <x:c r="C10" s="12" t="n">
        <x:v>46328</x:v>
      </x:c>
      <x:c r="D10" s="11" t="n">
        <x:v>21</x:v>
      </x:c>
      <x:c r="E10" s="12" t="n">
        <x:v>46307</x:v>
      </x:c>
      <x:c r="F10" s="17" t="n">
        <x:f>E10+D10</x:f>
        <x:v>46328</x:v>
      </x:c>
      <x:c r="G10" s="15" t="n">
        <x:f>F10-C10</x:f>
        <x:v>0</x:v>
      </x:c>
    </x:row>
    <x:row r="11" ht="29" customHeight="1">
      <x:c r="A11" s="10" t="str">
        <x:v>Dauerhafte Energie</x:v>
      </x:c>
      <x:c r="B11" s="12" t="n">
        <x:v>46307</x:v>
      </x:c>
      <x:c r="C11" s="12" t="n">
        <x:v>46307</x:v>
      </x:c>
      <x:c r="D11" s="11" t="n">
        <x:v>0</x:v>
      </x:c>
      <x:c r="E11" s="18" t="n">
        <x:f>'Ansätze'!B6</x:f>
        <x:v>46342</x:v>
      </x:c>
      <x:c r="F11" s="17" t="n">
        <x:f>E11+D11</x:f>
        <x:v>46342</x:v>
      </x:c>
      <x:c r="G11" s="15" t="n">
        <x:f>F11-C11</x:f>
        <x:v>35</x:v>
      </x:c>
    </x:row>
    <x:row r="12" ht="29" customHeight="1">
      <x:c r="A12" s="10" t="str">
        <x:v>Maschinenversuche</x:v>
      </x:c>
      <x:c r="B12" s="12" t="n">
        <x:v>46307</x:v>
      </x:c>
      <x:c r="C12" s="12" t="n">
        <x:v>46322</x:v>
      </x:c>
      <x:c r="D12" s="16" t="n">
        <x:f>'Ansätze'!B7</x:f>
        <x:v>15</x:v>
      </x:c>
      <x:c r="E12" s="17" t="n">
        <x:f>E11</x:f>
        <x:v>46342</x:v>
      </x:c>
      <x:c r="F12" s="17" t="n">
        <x:f>E12+D12</x:f>
        <x:v>46357</x:v>
      </x:c>
      <x:c r="G12" s="15" t="n">
        <x:f>F12-C12</x:f>
        <x:v>35</x:v>
      </x:c>
    </x:row>
    <x:row r="13" ht="29" customHeight="1">
      <x:c r="A13" s="10" t="str">
        <x:v>Einweisung und Freigabe</x:v>
      </x:c>
      <x:c r="B13" s="12" t="n">
        <x:v>46322</x:v>
      </x:c>
      <x:c r="C13" s="12" t="n">
        <x:v>46328</x:v>
      </x:c>
      <x:c r="D13" s="16" t="n">
        <x:f>'Ansätze'!B8</x:f>
        <x:v>6</x:v>
      </x:c>
      <x:c r="E13" s="17" t="n">
        <x:f>F12</x:f>
        <x:v>46357</x:v>
      </x:c>
      <x:c r="F13" s="17" t="n">
        <x:f>E13+D13</x:f>
        <x:v>46363</x:v>
      </x:c>
      <x:c r="G13" s="15" t="n">
        <x:f>F13-C13</x:f>
        <x:v>35</x:v>
      </x:c>
    </x:row>
    <x:row r="16">
      <x:c r="A16" t="str">
        <x:v>Maschinenversuche: Energie vorausgesetzt. Teilbetrieb mit mobiler Anlage nicht freigegeben.</x:v>
      </x:c>
    </x:row>
    <x:row r="17">
      <x:c r="A17" t="str">
        <x:v>Quellen: 07 Lieferfortschreibung, 08 Baubesprechung, 27 Baufolge. Tage sind Kalendertage.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</x:cols>
  <x:sheetData>
    <x:row r="2">
      <x:c r="A2" s="1" t="str">
        <x:v>WH26 Projektkonto und Zahlungsvorschau</x:v>
      </x:c>
    </x:row>
    <x:row r="3">
      <x:c r="A3" s="2" t="str">
        <x:v>Stand 25.09.2026 | EUR netto, soweit nicht anders bezeichnet</x:v>
      </x:c>
    </x:row>
    <x:row r="5" ht="34" customHeight="1">
      <x:c r="A5" s="7" t="str">
        <x:v>Monat</x:v>
      </x:c>
      <x:c r="B5" s="7" t="str">
        <x:v>Anfang brutto</x:v>
      </x:c>
      <x:c r="C5" s="7" t="str">
        <x:v>Zufluss brutto</x:v>
      </x:c>
      <x:c r="D5" s="7" t="str">
        <x:v>Istrest netto</x:v>
      </x:c>
      <x:c r="E5" s="7" t="str">
        <x:v>Neuleistung netto</x:v>
      </x:c>
      <x:c r="F5" s="7" t="str">
        <x:v>Abfluss brutto</x:v>
      </x:c>
      <x:c r="G5" s="7" t="str">
        <x:v>Ende brutto</x:v>
      </x:c>
    </x:row>
    <x:row r="6" ht="29" customHeight="1">
      <x:c r="A6" s="19" t="n">
        <x:v>46266</x:v>
      </x:c>
      <x:c r="B6" s="20" t="n">
        <x:f>'Ansätze'!B9</x:f>
        <x:v>512400</x:v>
      </x:c>
      <x:c r="C6" s="13" t="n">
        <x:v>0</x:v>
      </x:c>
      <x:c r="D6" s="13" t="n">
        <x:v>160000</x:v>
      </x:c>
      <x:c r="E6" s="13" t="n">
        <x:v>0</x:v>
      </x:c>
      <x:c r="F6" s="20" t="n">
        <x:f>ROUND(SUM(D6:E6)*(1+'Ansätze'!$B$10),2)</x:f>
        <x:v>190400</x:v>
      </x:c>
      <x:c r="G6" s="21" t="n">
        <x:f>SUM(B6:C6)-F6</x:f>
        <x:v>322000</x:v>
      </x:c>
    </x:row>
    <x:row r="7" ht="29" customHeight="1">
      <x:c r="A7" s="19" t="n">
        <x:v>46296</x:v>
      </x:c>
      <x:c r="B7" s="21" t="n">
        <x:f>G6</x:f>
        <x:v>322000</x:v>
      </x:c>
      <x:c r="C7" s="13" t="n">
        <x:v>400000</x:v>
      </x:c>
      <x:c r="D7" s="13" t="n">
        <x:v>0</x:v>
      </x:c>
      <x:c r="E7" s="13" t="n">
        <x:v>260000</x:v>
      </x:c>
      <x:c r="F7" s="20" t="n">
        <x:f>ROUND(SUM(D7:E7)*(1+'Ansätze'!$B$10),2)</x:f>
        <x:v>309400</x:v>
      </x:c>
      <x:c r="G7" s="21" t="n">
        <x:f>SUM(B7:C7)-F7</x:f>
        <x:v>412600</x:v>
      </x:c>
    </x:row>
    <x:row r="8" ht="29" customHeight="1">
      <x:c r="A8" s="19" t="n">
        <x:v>46327</x:v>
      </x:c>
      <x:c r="B8" s="21" t="n">
        <x:f>G7</x:f>
        <x:v>412600</x:v>
      </x:c>
      <x:c r="C8" s="13" t="n">
        <x:v>600000</x:v>
      </x:c>
      <x:c r="D8" s="13" t="n">
        <x:v>0</x:v>
      </x:c>
      <x:c r="E8" s="13" t="n">
        <x:v>430000</x:v>
      </x:c>
      <x:c r="F8" s="20" t="n">
        <x:f>ROUND(SUM(D8:E8)*(1+'Ansätze'!$B$10),2)</x:f>
        <x:v>511700</x:v>
      </x:c>
      <x:c r="G8" s="21" t="n">
        <x:f>SUM(B8:C8)-F8</x:f>
        <x:v>500900</x:v>
      </x:c>
    </x:row>
    <x:row r="9" ht="29" customHeight="1">
      <x:c r="A9" s="19" t="n">
        <x:v>46357</x:v>
      </x:c>
      <x:c r="B9" s="21" t="n">
        <x:f>G8</x:f>
        <x:v>500900</x:v>
      </x:c>
      <x:c r="C9" s="13" t="n">
        <x:v>0</x:v>
      </x:c>
      <x:c r="D9" s="13" t="n">
        <x:v>0</x:v>
      </x:c>
      <x:c r="E9" s="13" t="n">
        <x:v>316000</x:v>
      </x:c>
      <x:c r="F9" s="20" t="n">
        <x:f>ROUND(SUM(D9:E9)*(1+'Ansätze'!$B$10),2)</x:f>
        <x:v>376040</x:v>
      </x:c>
      <x:c r="G9" s="21" t="n">
        <x:f>SUM(B9:C9)-F9</x:f>
        <x:v>124860</x:v>
      </x:c>
    </x:row>
    <x:row r="10" ht="29" customHeight="1">
      <x:c r="A10" s="25" t="str">
        <x:v>Flüsse gesamt</x:v>
      </x:c>
      <x:c r="B10" s="25"/>
      <x:c r="C10" s="27" t="n">
        <x:f>SUM(C6:C9)</x:f>
        <x:v>1000000</x:v>
      </x:c>
      <x:c r="D10" s="27" t="n">
        <x:f>SUM(D6:D9)</x:f>
        <x:v>160000</x:v>
      </x:c>
      <x:c r="E10" s="27" t="n">
        <x:f>SUM(E6:E9)</x:f>
        <x:v>1006000</x:v>
      </x:c>
      <x:c r="F10" s="27" t="n">
        <x:f>SUM(F6:F9)</x:f>
        <x:v>1387540</x:v>
      </x:c>
    </x:row>
    <x:row r="13">
      <x:c r="A13" t="str">
        <x:v>Restzahlung netto</x:v>
      </x:c>
      <x:c r="B13" s="28" t="n">
        <x:f>SUM(D10:E10)</x:f>
        <x:v>1166000</x:v>
      </x:c>
    </x:row>
    <x:row r="14">
      <x:c r="A14" t="str">
        <x:v>Restzahlung brutto</x:v>
      </x:c>
      <x:c r="B14" s="28" t="n">
        <x:f>F10</x:f>
        <x:v>1387540</x:v>
      </x:c>
    </x:row>
    <x:row r="15">
      <x:c r="A15" t="str">
        <x:v>Quelle brutto</x:v>
      </x:c>
      <x:c r="B15" s="29" t="n">
        <x:v>1387540</x:v>
      </x:c>
    </x:row>
    <x:row r="16">
      <x:c r="A16" t="str">
        <x:v>Kontrollsumme</x:v>
      </x:c>
      <x:c r="B16" s="30" t="n">
        <x:f>B14-B15</x:f>
        <x:v>0</x:v>
      </x:c>
    </x:row>
    <x:row r="19">
      <x:c r="A19" t="str">
        <x:v>September beginnt am Kontostand 25.09.; der offene Abschlag wird vorsorglich vor Fälligkeit geplant.</x:v>
      </x:c>
    </x:row>
    <x:row r="20">
      <x:c r="A20" t="str">
        <x:v>Ohne unbestellte Zusatzangebote, Zinsen und Vorsteuererstattungen. Quelle: 21 Zahlungsplan, 30 Finanzierung.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22" hidden="0" customWidth="1"/>
    <x:col min="3" max="3" width="17" hidden="0" customWidth="1"/>
    <x:col min="4" max="4" width="54" hidden="0" customWidth="1"/>
  </x:cols>
  <x:sheetData>
    <x:row r="2">
      <x:c r="A2" s="1" t="str">
        <x:v>WH26 Termin und Zahlungsansätze</x:v>
      </x:c>
    </x:row>
    <x:row r="3">
      <x:c r="A3" s="2" t="str">
        <x:v>Stand 25.09.2026 | EUR netto, soweit nicht anders bezeichnet</x:v>
      </x:c>
    </x:row>
    <x:row r="5" ht="34" customHeight="1">
      <x:c r="A5" s="7" t="str">
        <x:v>Ansatz</x:v>
      </x:c>
      <x:c r="B5" s="7" t="str">
        <x:v>Wert</x:v>
      </x:c>
      <x:c r="C5" s="7" t="str">
        <x:v>Einheit</x:v>
      </x:c>
      <x:c r="D5" s="7" t="str">
        <x:v>Bezug</x:v>
      </x:c>
    </x:row>
    <x:row r="6" ht="29" customHeight="1">
      <x:c r="A6" s="10" t="str">
        <x:v>Dauerhafte Energie</x:v>
      </x:c>
      <x:c r="B6" s="12" t="n">
        <x:v>46342</x:v>
      </x:c>
      <x:c r="C6" s="10" t="str">
        <x:v>Datum</x:v>
      </x:c>
      <x:c r="D6" s="10" t="str">
        <x:v>07 Lieferfortschreibung</x:v>
      </x:c>
    </x:row>
    <x:row r="7" ht="29" customHeight="1">
      <x:c r="A7" s="10" t="str">
        <x:v>Maschinenversuche</x:v>
      </x:c>
      <x:c r="B7" s="11" t="n">
        <x:v>15</x:v>
      </x:c>
      <x:c r="C7" s="10" t="str">
        <x:v>Kalendertage</x:v>
      </x:c>
      <x:c r="D7" s="10" t="str">
        <x:v>27 Logistik Baufolge</x:v>
      </x:c>
    </x:row>
    <x:row r="8" ht="29" customHeight="1">
      <x:c r="A8" s="10" t="str">
        <x:v>Einweisung und Freigabe</x:v>
      </x:c>
      <x:c r="B8" s="11" t="n">
        <x:v>6</x:v>
      </x:c>
      <x:c r="C8" s="10" t="str">
        <x:v>Kalendertage</x:v>
      </x:c>
      <x:c r="D8" s="10" t="str">
        <x:v>27 Logistik Baufolge</x:v>
      </x:c>
    </x:row>
    <x:row r="9" ht="29" customHeight="1">
      <x:c r="A9" s="10" t="str">
        <x:v>Konto am 25.09.</x:v>
      </x:c>
      <x:c r="B9" s="13" t="n">
        <x:v>512400</x:v>
      </x:c>
      <x:c r="C9" s="10" t="str">
        <x:v>EUR brutto</x:v>
      </x:c>
      <x:c r="D9" s="10" t="str">
        <x:v>24 Bankansicht / 30 Finanzierung</x:v>
      </x:c>
    </x:row>
    <x:row r="10" ht="29" customHeight="1">
      <x:c r="A10" s="10" t="str">
        <x:v>Umsatzsteuersatz</x:v>
      </x:c>
      <x:c r="B10" s="14" t="n">
        <x:v>0.19</x:v>
      </x:c>
      <x:c r="C10" s="10" t="str">
        <x:v>Anteil</x:v>
      </x:c>
      <x:c r="D10" s="10" t="str">
        <x:v>Bestellungen</x:v>
      </x:c>
    </x:row>
    <x:row r="11" ht="29" customHeight="1">
      <x:c r="A11" s="10" t="str">
        <x:v>Kranangebot</x:v>
      </x:c>
      <x:c r="B11" s="13" t="n">
        <x:v>9600</x:v>
      </x:c>
      <x:c r="C11" s="10" t="str">
        <x:v>EUR netto</x:v>
      </x:c>
      <x:c r="D11" s="10" t="str">
        <x:v>15 KM N03, nicht bestellt</x:v>
      </x:c>
    </x:row>
    <x:row r="12" ht="29" customHeight="1">
      <x:c r="A12" s="10" t="str">
        <x:v>Mobiles Angebot</x:v>
      </x:c>
      <x:c r="B12" s="13" t="n">
        <x:v>36000</x:v>
      </x:c>
      <x:c r="C12" s="10" t="str">
        <x:v>EUR netto</x:v>
      </x:c>
      <x:c r="D12" s="10" t="str">
        <x:v>18 MB 0925, nicht bestellt</x:v>
      </x:c>
    </x:row>
  </x:sheetData>
  <x:pageMargins left="0.7" right="0.7" top="0.75" bottom="0.75" header="0.3" footer="0.3"/>
</x:worksheet>
</file>

<file path=docProps/core.xml><?xml version="1.0" encoding="utf-8"?>
<ns0:coreProperties xmlns:dc="http://purl.org/dc/elements/1.1/" xmlns:ns0="http://schemas.openxmlformats.org/package/2006/metadata/core-properties">
  <dc:creator>Klotzkette</dc:creator>
  <ns0:lastModifiedBy>Klotzkette</ns0:lastModifiedBy>
  <dc:language>de-DE</dc:language>
</ns0:coreProperties>
</file>