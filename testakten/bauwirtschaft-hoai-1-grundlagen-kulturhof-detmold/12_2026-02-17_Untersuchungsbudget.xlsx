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Budget" sheetId="1" state="visible" ns1:id="rId3"/>
  </ns0:sheets>
  <ns0:definedNames>
    <ns0:definedName name="_xlnm.Print_Area" localSheetId="0">'Budget'!A1:G25</ns0:definedName>
    <ns0:definedName name="_xlnm.Print_Titles" localSheetId="0">'Budget'!$1:$5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<sst xmlns="http://schemas.openxmlformats.org/spreadsheetml/2006/main" count="50" uniqueCount="35">
  <si>
    <t xml:space="preserve">Kulturhof Untersuchungsbudget</t>
  </si>
  <si>
    <t xml:space="preserve">Stiftung Buchenrain Kultur · Hanna Wendt · 17.02.2026 · KD-26-01</t>
  </si>
  <si>
    <t xml:space="preserve">Leistung</t>
  </si>
  <si>
    <t xml:space="preserve">Menge</t>
  </si>
  <si>
    <t xml:space="preserve">Einheit</t>
  </si>
  <si>
    <t xml:space="preserve">Ansatz netto EUR</t>
  </si>
  <si>
    <t xml:space="preserve">Netto EUR</t>
  </si>
  <si>
    <t xml:space="preserve">Quelle</t>
  </si>
  <si>
    <t xml:space="preserve">Stand</t>
  </si>
  <si>
    <t xml:space="preserve">Tragwerkssichtung</t>
  </si>
  <si>
    <t xml:space="preserve">psch</t>
  </si>
  <si>
    <t xml:space="preserve">F 26 041</t>
  </si>
  <si>
    <t xml:space="preserve">Angebot; kein Auftrag</t>
  </si>
  <si>
    <t xml:space="preserve">Anfahrt Tragwerk</t>
  </si>
  <si>
    <t xml:space="preserve">Materialbegehung</t>
  </si>
  <si>
    <t xml:space="preserve">L 26 118</t>
  </si>
  <si>
    <t xml:space="preserve">Einzelproben mit Labor</t>
  </si>
  <si>
    <t xml:space="preserve">St</t>
  </si>
  <si>
    <t xml:space="preserve">Nur Erdgeschoss</t>
  </si>
  <si>
    <t xml:space="preserve">Materialbericht</t>
  </si>
  <si>
    <t xml:space="preserve">Kleine Öffnungsarbeiten</t>
  </si>
  <si>
    <t xml:space="preserve">h</t>
  </si>
  <si>
    <t xml:space="preserve">Ansatz Wendt</t>
  </si>
  <si>
    <t xml:space="preserve">Noch ohne Angebot</t>
  </si>
  <si>
    <t xml:space="preserve">Wiederherstellung</t>
  </si>
  <si>
    <t xml:space="preserve">Bestandsaufmaß</t>
  </si>
  <si>
    <t xml:space="preserve">Gesamt netto</t>
  </si>
  <si>
    <t xml:space="preserve">Umsatzsteuer</t>
  </si>
  <si>
    <t xml:space="preserve">Gesamt brutto</t>
  </si>
  <si>
    <t xml:space="preserve">Untersuchungsrahmen brutto</t>
  </si>
  <si>
    <t xml:space="preserve">Beschluss 02.02.2026</t>
  </si>
  <si>
    <t xml:space="preserve">Rechnerisch nicht belegt</t>
  </si>
  <si>
    <t xml:space="preserve">Enthalten: Angebote und interne Ansätze. Keine Bestellung, keine Statik und keine Baukostenschätzung.</t>
  </si>
  <si>
    <t xml:space="preserve">Dachboden nicht enthalten. Zugang, Öffnungen und Probenahme bedürfen gesonderter Abstimmung.</t>
  </si>
  <si>
    <t xml:space="preserve">gez. Hanna Wendt · an Marlene Voss · Quellen: Angebote 16.02.2026 und Vorstandsbeschluss.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</si>
</sst>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  &quot;"/>
    <numFmt numFmtId="166" formatCode="[$-407]#,##0.00&quot;  &quot;"/>
    <numFmt numFmtId="167" formatCode="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95BA0"/>
      <name val="Arial"/>
      <family val="0"/>
      <charset val="1"/>
    </font>
    <font>
      <b val="true"/>
      <sz val="11"/>
      <color rgb="FF1111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4D45"/>
        <bgColor rgb="FF333300"/>
      </patternFill>
    </fill>
    <fill>
      <patternFill patternType="solid">
        <fgColor rgb="FFE8EEE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EEB"/>
      <rgbColor rgb="FFCCFFFF"/>
      <rgbColor rgb="FF660066"/>
      <rgbColor rgb="FFFF8080"/>
      <rgbColor rgb="FF195B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54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36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33"/>
    <ns0:col collapsed="false" customWidth="true" hidden="false" outlineLevel="0" max="3" min="2" style="1" width="10"/>
    <ns0:col collapsed="false" customWidth="true" hidden="false" outlineLevel="0" max="4" min="4" style="1" width="17"/>
    <ns0:col collapsed="false" customWidth="true" hidden="false" outlineLevel="0" max="5" min="5" style="1" width="18"/>
    <ns0:col collapsed="false" customWidth="true" hidden="false" outlineLevel="0" max="6" min="6" style="1" width="23"/>
    <ns0:col collapsed="false" customWidth="true" hidden="false" outlineLevel="0" max="7" min="7" style="1" width="27"/>
  </ns0:cols>
  <ns0:sheetData>
    <ns0:row r="1" customFormat="false" ht="24" hidden="false" customHeight="true" outlineLevel="0" collapsed="false">
      <ns0:c r="A1" s="2" t="s">
        <ns0:v>0</ns0:v>
      </ns0:c>
      <ns0:c r="B1" s="2"/>
      <ns0:c r="C1" s="2"/>
      <ns0:c r="D1" s="2"/>
      <ns0:c r="E1" s="2"/>
      <ns0:c r="F1" s="2"/>
      <ns0:c r="G1" s="2"/>
    </ns0:row>
    <ns0:row r="2" customFormat="false" ht="20" hidden="false" customHeight="true" outlineLevel="0" collapsed="false">
      <ns0:c r="A2" s="3" t="s">
        <ns0:v>1</ns0:v>
      </ns0:c>
      <ns0:c r="B2" s="3"/>
      <ns0:c r="C2" s="3"/>
      <ns0:c r="D2" s="3"/>
      <ns0:c r="E2" s="3"/>
      <ns0:c r="F2" s="3"/>
      <ns0:c r="G2" s="3"/>
    </ns0:row>
    <ns0:row r="3" customFormat="false" ht="12" hidden="false" customHeight="true" outlineLevel="0" collapsed="false">
      <ns0:c r="A3" s="3"/>
      <ns0:c r="B3" s="3"/>
      <ns0:c r="C3" s="3"/>
      <ns0:c r="D3" s="3"/>
      <ns0:c r="E3" s="3"/>
      <ns0:c r="F3" s="3"/>
      <ns0:c r="G3" s="3"/>
    </ns0:row>
    <ns0:row r="4" customFormat="false" ht="12" hidden="false" customHeight="true" outlineLevel="0" collapsed="false">
      <ns0:c r="A4" s="3"/>
      <ns0:c r="B4" s="3"/>
      <ns0:c r="C4" s="3"/>
      <ns0:c r="D4" s="3"/>
      <ns0:c r="E4" s="3"/>
      <ns0:c r="F4" s="3"/>
      <ns0:c r="G4" s="3"/>
    </ns0:row>
    <ns0:row r="5" customFormat="false" ht="28" hidden="false" customHeight="true" outlineLevel="0" collapsed="false">
      <ns0:c r="A5" s="4" t="s">
        <ns0:v>2</ns0:v>
      </ns0:c>
      <ns0:c r="B5" s="4" t="s">
        <ns0:v>3</ns0:v>
      </ns0:c>
      <ns0:c r="C5" s="4" t="s">
        <ns0:v>4</ns0:v>
      </ns0:c>
      <ns0:c r="D5" s="4" t="s">
        <ns0:v>5</ns0:v>
      </ns0:c>
      <ns0:c r="E5" s="4" t="s">
        <ns0:v>6</ns0:v>
      </ns0:c>
      <ns0:c r="F5" s="4" t="s">
        <ns0:v>7</ns0:v>
      </ns0:c>
      <ns0:c r="G5" s="4" t="s">
        <ns0:v>8</ns0:v>
      </ns0:c>
    </ns0:row>
    <ns0:row r="6" customFormat="false" ht="20" hidden="false" customHeight="true" outlineLevel="0" collapsed="false">
      <ns0:c r="A6" s="5" t="s">
        <ns0:v>9</ns0:v>
      </ns0:c>
      <ns0:c r="B6" s="6" t="n">
        <ns0:v>1</ns0:v>
      </ns0:c>
      <ns0:c r="C6" s="7" t="s">
        <ns0:v>10</ns0:v>
      </ns0:c>
      <ns0:c r="D6" s="8" t="n">
        <ns0:v>1850</ns0:v>
      </ns0:c>
      <ns0:c r="E6" s="9" t="n">
        <ns0:f aca="false">IF(OR(B6="",D6=""),NA(),ROUND(B6*D6,2))</ns0:f>
        <ns0:v>1850</ns0:v>
      </ns0:c>
      <ns0:c r="F6" s="5" t="s">
        <ns0:v>11</ns0:v>
      </ns0:c>
      <ns0:c r="G6" s="5" t="s">
        <ns0:v>12</ns0:v>
      </ns0:c>
    </ns0:row>
    <ns0:row r="7" customFormat="false" ht="20" hidden="false" customHeight="true" outlineLevel="0" collapsed="false">
      <ns0:c r="A7" s="5" t="s">
        <ns0:v>13</ns0:v>
      </ns0:c>
      <ns0:c r="B7" s="6" t="n">
        <ns0:v>1</ns0:v>
      </ns0:c>
      <ns0:c r="C7" s="7" t="s">
        <ns0:v>10</ns0:v>
      </ns0:c>
      <ns0:c r="D7" s="8" t="n">
        <ns0:v>120</ns0:v>
      </ns0:c>
      <ns0:c r="E7" s="9" t="n">
        <ns0:f aca="false">IF(OR(B7="",D7=""),NA(),ROUND(B7*D7,2))</ns0:f>
        <ns0:v>120</ns0:v>
      </ns0:c>
      <ns0:c r="F7" s="5" t="s">
        <ns0:v>11</ns0:v>
      </ns0:c>
      <ns0:c r="G7" s="5" t="s">
        <ns0:v>12</ns0:v>
      </ns0:c>
    </ns0:row>
    <ns0:row r="8" customFormat="false" ht="20" hidden="false" customHeight="true" outlineLevel="0" collapsed="false">
      <ns0:c r="A8" s="5" t="s">
        <ns0:v>14</ns0:v>
      </ns0:c>
      <ns0:c r="B8" s="6" t="n">
        <ns0:v>1</ns0:v>
      </ns0:c>
      <ns0:c r="C8" s="7" t="s">
        <ns0:v>10</ns0:v>
      </ns0:c>
      <ns0:c r="D8" s="8" t="n">
        <ns0:v>1250</ns0:v>
      </ns0:c>
      <ns0:c r="E8" s="9" t="n">
        <ns0:f aca="false">IF(OR(B8="",D8=""),NA(),ROUND(B8*D8,2))</ns0:f>
        <ns0:v>1250</ns0:v>
      </ns0:c>
      <ns0:c r="F8" s="5" t="s">
        <ns0:v>15</ns0:v>
      </ns0:c>
      <ns0:c r="G8" s="5" t="s">
        <ns0:v>12</ns0:v>
      </ns0:c>
    </ns0:row>
    <ns0:row r="9" customFormat="false" ht="20" hidden="false" customHeight="true" outlineLevel="0" collapsed="false">
      <ns0:c r="A9" s="5" t="s">
        <ns0:v>16</ns0:v>
      </ns0:c>
      <ns0:c r="B9" s="6" t="n">
        <ns0:v>6</ns0:v>
      </ns0:c>
      <ns0:c r="C9" s="7" t="s">
        <ns0:v>17</ns0:v>
      </ns0:c>
      <ns0:c r="D9" s="8" t="n">
        <ns0:v>145</ns0:v>
      </ns0:c>
      <ns0:c r="E9" s="9" t="n">
        <ns0:f aca="false">IF(OR(B9="",D9=""),NA(),ROUND(B9*D9,2))</ns0:f>
        <ns0:v>870</ns0:v>
      </ns0:c>
      <ns0:c r="F9" s="5" t="s">
        <ns0:v>15</ns0:v>
      </ns0:c>
      <ns0:c r="G9" s="5" t="s">
        <ns0:v>18</ns0:v>
      </ns0:c>
    </ns0:row>
    <ns0:row r="10" customFormat="false" ht="20" hidden="false" customHeight="true" outlineLevel="0" collapsed="false">
      <ns0:c r="A10" s="5" t="s">
        <ns0:v>19</ns0:v>
      </ns0:c>
      <ns0:c r="B10" s="6" t="n">
        <ns0:v>1</ns0:v>
      </ns0:c>
      <ns0:c r="C10" s="7" t="s">
        <ns0:v>10</ns0:v>
      </ns0:c>
      <ns0:c r="D10" s="8" t="n">
        <ns0:v>420</ns0:v>
      </ns0:c>
      <ns0:c r="E10" s="9" t="n">
        <ns0:f aca="false">IF(OR(B10="",D10=""),NA(),ROUND(B10*D10,2))</ns0:f>
        <ns0:v>420</ns0:v>
      </ns0:c>
      <ns0:c r="F10" s="5" t="s">
        <ns0:v>15</ns0:v>
      </ns0:c>
      <ns0:c r="G10" s="5" t="s">
        <ns0:v>12</ns0:v>
      </ns0:c>
    </ns0:row>
    <ns0:row r="11" customFormat="false" ht="20" hidden="false" customHeight="true" outlineLevel="0" collapsed="false">
      <ns0:c r="A11" s="5" t="s">
        <ns0:v>20</ns0:v>
      </ns0:c>
      <ns0:c r="B11" s="6" t="n">
        <ns0:v>8</ns0:v>
      </ns0:c>
      <ns0:c r="C11" s="7" t="s">
        <ns0:v>21</ns0:v>
      </ns0:c>
      <ns0:c r="D11" s="8" t="n">
        <ns0:v>65</ns0:v>
      </ns0:c>
      <ns0:c r="E11" s="9" t="n">
        <ns0:f aca="false">IF(OR(B11="",D11=""),NA(),ROUND(B11*D11,2))</ns0:f>
        <ns0:v>520</ns0:v>
      </ns0:c>
      <ns0:c r="F11" s="5" t="s">
        <ns0:v>22</ns0:v>
      </ns0:c>
      <ns0:c r="G11" s="5" t="s">
        <ns0:v>23</ns0:v>
      </ns0:c>
    </ns0:row>
    <ns0:row r="12" customFormat="false" ht="20" hidden="false" customHeight="true" outlineLevel="0" collapsed="false">
      <ns0:c r="A12" s="5" t="s">
        <ns0:v>24</ns0:v>
      </ns0:c>
      <ns0:c r="B12" s="6" t="n">
        <ns0:v>1</ns0:v>
      </ns0:c>
      <ns0:c r="C12" s="7" t="s">
        <ns0:v>10</ns0:v>
      </ns0:c>
      <ns0:c r="D12" s="8" t="n">
        <ns0:v>150</ns0:v>
      </ns0:c>
      <ns0:c r="E12" s="9" t="n">
        <ns0:f aca="false">IF(OR(B12="",D12=""),NA(),ROUND(B12*D12,2))</ns0:f>
        <ns0:v>150</ns0:v>
      </ns0:c>
      <ns0:c r="F12" s="5" t="s">
        <ns0:v>22</ns0:v>
      </ns0:c>
      <ns0:c r="G12" s="5" t="s">
        <ns0:v>23</ns0:v>
      </ns0:c>
    </ns0:row>
    <ns0:row r="13" customFormat="false" ht="20" hidden="false" customHeight="true" outlineLevel="0" collapsed="false">
      <ns0:c r="A13" s="5" t="s">
        <ns0:v>25</ns0:v>
      </ns0:c>
      <ns0:c r="B13" s="6" t="n">
        <ns0:v>1</ns0:v>
      </ns0:c>
      <ns0:c r="C13" s="7" t="s">
        <ns0:v>10</ns0:v>
      </ns0:c>
      <ns0:c r="D13" s="8" t="n">
        <ns0:v>1600</ns0:v>
      </ns0:c>
      <ns0:c r="E13" s="9" t="n">
        <ns0:f aca="false">IF(OR(B13="",D13=""),NA(),ROUND(B13*D13,2))</ns0:f>
        <ns0:v>1600</ns0:v>
      </ns0:c>
      <ns0:c r="F13" s="5" t="s">
        <ns0:v>22</ns0:v>
      </ns0:c>
      <ns0:c r="G13" s="5" t="s">
        <ns0:v>23</ns0:v>
      </ns0:c>
    </ns0:row>
    <ns0:row r="14" customFormat="false" ht="14" hidden="false" customHeight="true" outlineLevel="0" collapsed="false">
      <ns0:c r="A14" s="5"/>
      <ns0:c r="B14" s="5"/>
      <ns0:c r="C14" s="5"/>
      <ns0:c r="D14" s="9"/>
      <ns0:c r="E14" s="9"/>
      <ns0:c r="F14" s="5"/>
      <ns0:c r="G14" s="5"/>
    </ns0:row>
    <ns0:row r="15" customFormat="false" ht="14" hidden="false" customHeight="true" outlineLevel="0" collapsed="false">
      <ns0:c r="A15" s="10" t="s">
        <ns0:v>26</ns0:v>
      </ns0:c>
      <ns0:c r="B15" s="10"/>
      <ns0:c r="C15" s="10"/>
      <ns0:c r="D15" s="11"/>
      <ns0:c r="E15" s="11" t="n">
        <ns0:f aca="false">SUM(E6:E13)</ns0:f>
        <ns0:v>6780</ns0:v>
      </ns0:c>
      <ns0:c r="F15" s="10"/>
      <ns0:c r="G15" s="10"/>
    </ns0:row>
    <ns0:row r="16" customFormat="false" ht="14" hidden="false" customHeight="true" outlineLevel="0" collapsed="false">
      <ns0:c r="A16" s="5" t="s">
        <ns0:v>27</ns0:v>
      </ns0:c>
      <ns0:c r="B16" s="12" t="n">
        <ns0:v>0.19</ns0:v>
      </ns0:c>
      <ns0:c r="C16" s="5"/>
      <ns0:c r="D16" s="9"/>
      <ns0:c r="E16" s="9" t="n">
        <ns0:f aca="false">ROUND(E15*B16,2)</ns0:f>
        <ns0:v>1288.2</ns0:v>
      </ns0:c>
      <ns0:c r="F16" s="5"/>
      <ns0:c r="G16" s="5"/>
    </ns0:row>
    <ns0:row r="17" customFormat="false" ht="14" hidden="false" customHeight="true" outlineLevel="0" collapsed="false">
      <ns0:c r="A17" s="10" t="s">
        <ns0:v>28</ns0:v>
      </ns0:c>
      <ns0:c r="B17" s="10"/>
      <ns0:c r="C17" s="10"/>
      <ns0:c r="D17" s="11"/>
      <ns0:c r="E17" s="11" t="n">
        <ns0:f aca="false">E15+E16</ns0:f>
        <ns0:v>8068.2</ns0:v>
      </ns0:c>
      <ns0:c r="F17" s="10"/>
      <ns0:c r="G17" s="10"/>
    </ns0:row>
    <ns0:row r="18" customFormat="false" ht="14" hidden="false" customHeight="true" outlineLevel="0" collapsed="false">
      <ns0:c r="A18" s="5"/>
      <ns0:c r="B18" s="5"/>
      <ns0:c r="C18" s="5"/>
      <ns0:c r="D18" s="9"/>
      <ns0:c r="E18" s="9"/>
      <ns0:c r="F18" s="5"/>
      <ns0:c r="G18" s="5"/>
    </ns0:row>
    <ns0:row r="19" customFormat="false" ht="14" hidden="false" customHeight="true" outlineLevel="0" collapsed="false">
      <ns0:c r="A19" s="5" t="s">
        <ns0:v>29</ns0:v>
      </ns0:c>
      <ns0:c r="B19" s="5"/>
      <ns0:c r="C19" s="5"/>
      <ns0:c r="D19" s="9"/>
      <ns0:c r="E19" s="8" t="n">
        <ns0:v>12000</ns0:v>
      </ns0:c>
      <ns0:c r="F19" s="5" t="s">
        <ns0:v>30</ns0:v>
      </ns0:c>
      <ns0:c r="G19" s="5"/>
    </ns0:row>
    <ns0:row r="20" customFormat="false" ht="14" hidden="false" customHeight="true" outlineLevel="0" collapsed="false">
      <ns0:c r="A20" s="5" t="s">
        <ns0:v>31</ns0:v>
      </ns0:c>
      <ns0:c r="B20" s="5"/>
      <ns0:c r="C20" s="5"/>
      <ns0:c r="D20" s="9"/>
      <ns0:c r="E20" s="9" t="n">
        <ns0:f aca="false">E19-E17</ns0:f>
        <ns0:v>3931.8</ns0:v>
      </ns0:c>
      <ns0:c r="F20" s="5"/>
      <ns0:c r="G20" s="5"/>
    </ns0:row>
    <ns0:row r="21" customFormat="false" ht="14" hidden="false" customHeight="true" outlineLevel="0" collapsed="false">
      <ns0:c r="A21" s="5"/>
      <ns0:c r="B21" s="5"/>
      <ns0:c r="C21" s="5"/>
      <ns0:c r="D21" s="5"/>
      <ns0:c r="E21" s="5"/>
      <ns0:c r="F21" s="5"/>
      <ns0:c r="G21" s="5"/>
    </ns0:row>
    <ns0:row r="22" customFormat="false" ht="18" hidden="false" customHeight="true" outlineLevel="0" collapsed="false">
      <ns0:c r="A22" s="5" t="s">
        <ns0:v>32</ns0:v>
      </ns0:c>
      <ns0:c r="B22" s="5"/>
      <ns0:c r="C22" s="5"/>
      <ns0:c r="D22" s="5"/>
      <ns0:c r="E22" s="5"/>
      <ns0:c r="F22" s="5"/>
      <ns0:c r="G22" s="5"/>
    </ns0:row>
    <ns0:row r="23" customFormat="false" ht="18" hidden="false" customHeight="true" outlineLevel="0" collapsed="false">
      <ns0:c r="A23" s="5" t="s">
        <ns0:v>33</ns0:v>
      </ns0:c>
      <ns0:c r="B23" s="5"/>
      <ns0:c r="C23" s="5"/>
      <ns0:c r="D23" s="5"/>
      <ns0:c r="E23" s="5"/>
      <ns0:c r="F23" s="5"/>
      <ns0:c r="G23" s="5"/>
    </ns0:row>
    <ns0:row r="24" customFormat="false" ht="14" hidden="false" customHeight="true" outlineLevel="0" collapsed="false">
      <ns0:c r="A24" s="5"/>
      <ns0:c r="B24" s="5"/>
      <ns0:c r="C24" s="5"/>
      <ns0:c r="D24" s="5"/>
      <ns0:c r="E24" s="5"/>
      <ns0:c r="F24" s="5"/>
      <ns0:c r="G24" s="5"/>
    </ns0:row>
    <ns0:row r="25" customFormat="false" ht="18" hidden="false" customHeight="true" outlineLevel="0" collapsed="false">
      <ns0:c r="A25" s="5" t="s">
        <ns0:v>34</ns0:v>
      </ns0:c>
      <ns0:c r="B25" s="5"/>
      <ns0:c r="C25" s="5"/>
      <ns0:c r="D25" s="5"/>
      <ns0:c r="E25" s="5"/>
      <ns0:c r="F25" s="5"/>
      <ns0:c r="G25" s="5"/>
    </ns0:row>
    <ns0:row r="26" customFormat="false" ht="14" hidden="false" customHeight="true" outlineLevel="0" collapsed="false">
      <ns0:c r="A26" s="5"/>
      <ns0:c r="B26" s="5"/>
      <ns0:c r="C26" s="5"/>
      <ns0:c r="D26" s="5"/>
      <ns0:c r="E26" s="5"/>
      <ns0:c r="F26" s="5"/>
      <ns0:c r="G26" s="5"/>
    </ns0:row>
    <ns0:row r="27" customFormat="false" ht="14" hidden="false" customHeight="true" outlineLevel="0" collapsed="false">
      <ns0:c r="A27" s="5"/>
      <ns0:c r="B27" s="5"/>
      <ns0:c r="C27" s="5"/>
      <ns0:c r="D27" s="5"/>
      <ns0:c r="E27" s="5"/>
      <ns0:c r="F27" s="5"/>
      <ns0:c r="G27" s="5"/>
    </ns0:row>
    <ns0:row r="28" customFormat="false" ht="14" hidden="false" customHeight="true" outlineLevel="0" collapsed="false">
      <ns0:c r="A28" s="5"/>
      <ns0:c r="B28" s="5"/>
      <ns0:c r="C28" s="5"/>
      <ns0:c r="D28" s="5"/>
      <ns0:c r="E28" s="5"/>
      <ns0:c r="F28" s="5"/>
      <ns0:c r="G28" s="5"/>
    </ns0:row>
    <ns0:row r="29" customFormat="false" ht="14" hidden="false" customHeight="true" outlineLevel="0" collapsed="false">
      <ns0:c r="A29" s="5"/>
      <ns0:c r="B29" s="5"/>
      <ns0:c r="C29" s="5"/>
      <ns0:c r="D29" s="5"/>
      <ns0:c r="E29" s="5"/>
      <ns0:c r="F29" s="5"/>
      <ns0:c r="G29" s="5"/>
    </ns0:row>
    <ns0:row r="30" customFormat="false" ht="14" hidden="false" customHeight="true" outlineLevel="0" collapsed="false">
      <ns0:c r="A30" s="5"/>
      <ns0:c r="B30" s="5"/>
      <ns0:c r="C30" s="5"/>
      <ns0:c r="D30" s="5"/>
      <ns0:c r="E30" s="5"/>
      <ns0:c r="F30" s="5"/>
      <ns0:c r="G30" s="5"/>
    </ns0:row>
    <ns0:row r="31" customFormat="false" ht="14" hidden="false" customHeight="true" outlineLevel="0" collapsed="false">
      <ns0:c r="A31" s="5"/>
      <ns0:c r="B31" s="5"/>
      <ns0:c r="C31" s="5"/>
      <ns0:c r="D31" s="5"/>
      <ns0:c r="E31" s="5"/>
      <ns0:c r="F31" s="5"/>
      <ns0:c r="G31" s="5"/>
    </ns0:row>
    <ns0:row r="32" customFormat="false" ht="14" hidden="false" customHeight="true" outlineLevel="0" collapsed="false">
      <ns0:c r="A32" s="5"/>
      <ns0:c r="B32" s="5"/>
      <ns0:c r="C32" s="5"/>
      <ns0:c r="D32" s="5"/>
      <ns0:c r="E32" s="5"/>
      <ns0:c r="F32" s="5"/>
      <ns0:c r="G32" s="5"/>
    </ns0:row>
    <ns0:row r="33" customFormat="false" ht="14" hidden="false" customHeight="true" outlineLevel="0" collapsed="false">
      <ns0:c r="A33" s="5"/>
      <ns0:c r="B33" s="5"/>
      <ns0:c r="C33" s="5"/>
      <ns0:c r="D33" s="5"/>
      <ns0:c r="E33" s="5"/>
      <ns0:c r="F33" s="5"/>
      <ns0:c r="G33" s="5"/>
    </ns0:row>
    <ns0:row r="34" customFormat="false" ht="14" hidden="false" customHeight="true" outlineLevel="0" collapsed="false">
      <ns0:c r="A34" s="5"/>
      <ns0:c r="B34" s="5"/>
      <ns0:c r="C34" s="5"/>
      <ns0:c r="D34" s="5"/>
      <ns0:c r="E34" s="5"/>
      <ns0:c r="F34" s="5"/>
      <ns0:c r="G34" s="5"/>
    </ns0:row>
    <ns0:row r="35" customFormat="false" ht="14" hidden="false" customHeight="true" outlineLevel="0" collapsed="false">
      <ns0:c r="A35" s="5"/>
      <ns0:c r="B35" s="5"/>
      <ns0:c r="C35" s="5"/>
      <ns0:c r="D35" s="5"/>
      <ns0:c r="E35" s="5"/>
      <ns0:c r="F35" s="5"/>
      <ns0:c r="G35" s="5"/>
    </ns0:row>
    <ns0:row r="36" customFormat="false" ht="14" hidden="false" customHeight="true" outlineLevel="0" collapsed="false">
      <ns0:c r="A36" s="5"/>
      <ns0:c r="B36" s="5"/>
      <ns0:c r="C36" s="5"/>
      <ns0:c r="D36" s="5"/>
      <ns0:c r="E36" s="5"/>
      <ns0:c r="F36" s="5"/>
      <ns0:c r="G36" s="5"/>
    </ns0:row>
  </ns0:sheetData>
  <ns0:mergeCells count="6">
    <ns0:mergeCell ref="A1:G1"/>
    <ns0:mergeCell ref="A2:G2"/>
    <ns0:mergeCell ref="A3:G3"/>
    <ns0:mergeCell ref="A22:G22"/>
    <ns0:mergeCell ref="A23:G23"/>
    <ns0:mergeCell ref="A25:G25"/>
  </ns0:mergeCells>
  <ns0:printOptions headings="false" gridLines="false" gridLinesSet="true" horizontalCentered="false" verticalCentered="false"/>
  <ns0:pageMargins left="0.5" right="0.5" top="0.45" bottom="0.45" header="0.2" footer="0.2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