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c17a2d175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orgung" sheetId="1" r:id="R82788387eca94fba"/>
    <x:sheet xmlns:r="http://schemas.openxmlformats.org/officeDocument/2006/relationships" name="Kanzlei" sheetId="2" r:id="R48efbfe9ce454643"/>
  </x:sheets>
  <x:definedNames>
    <x:definedName name="_xlnm.Print_Area" localSheetId="0">'Versorgung'!$A$1:$G$20</x:definedName>
    <x:definedName name="_xlnm.Print_Area" localSheetId="1">'Kanzlei'!$A$1:$F$16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%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sz val="11"/>
      <x:color rgb="FF21569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485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5c89867fe40e3" /><Relationship Type="http://schemas.openxmlformats.org/officeDocument/2006/relationships/theme" Target="/xl/theme/theme1.xml" Id="R57ad3afeafa84122" /><Relationship Type="http://schemas.openxmlformats.org/officeDocument/2006/relationships/sharedStrings" Target="/xl/sharedStrings.xml" Id="R761a4b7db7a34bd7" /><Relationship Type="http://schemas.openxmlformats.org/officeDocument/2006/relationships/worksheet" Target="/xl/worksheets/sheet1.xml" Id="R82788387eca94fba" /><Relationship Type="http://schemas.openxmlformats.org/officeDocument/2006/relationships/worksheet" Target="/xl/worksheets/sheet2.xml" Id="R48efbfe9ce4546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9" customHeight="1">
      <x:c r="A2" s="3" t="str">
        <x:v>Zahlungsliste Versorgung 2026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Entgeltstelle Fleetbogen, Stand 25. September 2026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42" customHeight="1">
      <x:c r="A6" s="7" t="str">
        <x:v>Monat</x:v>
      </x:c>
      <x:c r="B6" s="7" t="str">
        <x:v>Brutto EUR</x:v>
      </x:c>
      <x:c r="C6" s="7" t="str">
        <x:v>Einbehalt EUR</x:v>
      </x:c>
      <x:c r="D6" s="7" t="str">
        <x:v>Zuschuss EUR</x:v>
      </x:c>
      <x:c r="E6" s="7" t="str">
        <x:v>Gezahlt EUR</x:v>
      </x:c>
      <x:c r="F6" s="7" t="str">
        <x:v>Soll EUR</x:v>
      </x:c>
      <x:c r="G6" s="7" t="str">
        <x:v>Differenz EUR</x:v>
      </x:c>
    </x:row>
    <x:row r="7" ht="25" customHeight="1">
      <x:c r="A7" s="2" t="str">
        <x:v>Januar</x:v>
      </x:c>
      <x:c r="B7" s="9" t="n">
        <x:v>6500</x:v>
      </x:c>
      <x:c r="C7" s="9" t="n">
        <x:v>604.5</x:v>
      </x:c>
      <x:c r="D7" s="9" t="n">
        <x:v>604.5</x:v>
      </x:c>
      <x:c r="E7" s="9" t="n">
        <x:v>1209</x:v>
      </x:c>
      <x:c r="F7" s="8" t="n">
        <x:f>SUM(C7:D7)</x:f>
        <x:v>1209</x:v>
      </x:c>
      <x:c r="G7" s="8" t="n">
        <x:f>E7-F7</x:f>
        <x:v>0</x:v>
      </x:c>
    </x:row>
    <x:row r="8" ht="25" customHeight="1">
      <x:c r="A8" s="2" t="str">
        <x:v>Februar</x:v>
      </x:c>
      <x:c r="B8" s="9" t="n">
        <x:v>6500</x:v>
      </x:c>
      <x:c r="C8" s="9" t="n">
        <x:v>604.5</x:v>
      </x:c>
      <x:c r="D8" s="9" t="n">
        <x:v>604.5</x:v>
      </x:c>
      <x:c r="E8" s="9" t="n">
        <x:v>1209</x:v>
      </x:c>
      <x:c r="F8" s="8" t="n">
        <x:f>SUM(C8:D8)</x:f>
        <x:v>1209</x:v>
      </x:c>
      <x:c r="G8" s="8" t="n">
        <x:f>E8-F8</x:f>
        <x:v>0</x:v>
      </x:c>
    </x:row>
    <x:row r="9" ht="25" customHeight="1">
      <x:c r="A9" s="2" t="str">
        <x:v>März</x:v>
      </x:c>
      <x:c r="B9" s="9" t="n">
        <x:v>6500</x:v>
      </x:c>
      <x:c r="C9" s="9" t="n">
        <x:v>604.5</x:v>
      </x:c>
      <x:c r="D9" s="9" t="n">
        <x:v>604.5</x:v>
      </x:c>
      <x:c r="E9" s="9" t="n">
        <x:v>1209</x:v>
      </x:c>
      <x:c r="F9" s="8" t="n">
        <x:f>SUM(C9:D9)</x:f>
        <x:v>1209</x:v>
      </x:c>
      <x:c r="G9" s="8" t="n">
        <x:f>E9-F9</x:f>
        <x:v>0</x:v>
      </x:c>
    </x:row>
    <x:row r="10" ht="25" customHeight="1">
      <x:c r="A10" s="2" t="str">
        <x:v>April</x:v>
      </x:c>
      <x:c r="B10" s="9" t="n">
        <x:v>6500</x:v>
      </x:c>
      <x:c r="C10" s="9" t="n">
        <x:v>604.5</x:v>
      </x:c>
      <x:c r="D10" s="9" t="n">
        <x:v>604.5</x:v>
      </x:c>
      <x:c r="E10" s="9" t="n">
        <x:v>1209</x:v>
      </x:c>
      <x:c r="F10" s="8" t="n">
        <x:f>SUM(C10:D10)</x:f>
        <x:v>1209</x:v>
      </x:c>
      <x:c r="G10" s="8" t="n">
        <x:f>E10-F10</x:f>
        <x:v>0</x:v>
      </x:c>
    </x:row>
    <x:row r="11" ht="25" customHeight="1">
      <x:c r="A11" s="2" t="str">
        <x:v>Mai</x:v>
      </x:c>
      <x:c r="B11" s="9" t="n">
        <x:v>6500</x:v>
      </x:c>
      <x:c r="C11" s="9" t="n">
        <x:v>604.5</x:v>
      </x:c>
      <x:c r="D11" s="9" t="n">
        <x:v>604.5</x:v>
      </x:c>
      <x:c r="E11" s="9" t="n">
        <x:v>1209</x:v>
      </x:c>
      <x:c r="F11" s="8" t="n">
        <x:f>SUM(C11:D11)</x:f>
        <x:v>1209</x:v>
      </x:c>
      <x:c r="G11" s="8" t="n">
        <x:f>E11-F11</x:f>
        <x:v>0</x:v>
      </x:c>
    </x:row>
    <x:row r="12" ht="25" customHeight="1">
      <x:c r="A12" s="2" t="str">
        <x:v>Juni</x:v>
      </x:c>
      <x:c r="B12" s="9" t="n">
        <x:v>6500</x:v>
      </x:c>
      <x:c r="C12" s="9" t="n">
        <x:v>604.5</x:v>
      </x:c>
      <x:c r="D12" s="9" t="n">
        <x:v>604.5</x:v>
      </x:c>
      <x:c r="E12" s="9" t="n">
        <x:v>1209</x:v>
      </x:c>
      <x:c r="F12" s="8" t="n">
        <x:f>SUM(C12:D12)</x:f>
        <x:v>1209</x:v>
      </x:c>
      <x:c r="G12" s="8" t="n">
        <x:f>E12-F12</x:f>
        <x:v>0</x:v>
      </x:c>
    </x:row>
    <x:row r="13" ht="25" customHeight="1">
      <x:c r="A13" s="2" t="str">
        <x:v>Juli</x:v>
      </x:c>
      <x:c r="B13" s="9" t="n">
        <x:v>8000</x:v>
      </x:c>
      <x:c r="C13" s="9" t="n">
        <x:v>744</x:v>
      </x:c>
      <x:c r="D13" s="9" t="n">
        <x:v>744</x:v>
      </x:c>
      <x:c r="E13" s="9" t="n">
        <x:v>1209</x:v>
      </x:c>
      <x:c r="F13" s="8" t="n">
        <x:f>SUM(C13:D13)</x:f>
        <x:v>1488</x:v>
      </x:c>
      <x:c r="G13" s="8" t="n">
        <x:f>E13-F13</x:f>
        <x:v>-279</x:v>
      </x:c>
    </x:row>
    <x:row r="14" ht="25" customHeight="1">
      <x:c r="A14" s="2" t="str">
        <x:v>August</x:v>
      </x:c>
      <x:c r="B14" s="9" t="n">
        <x:v>8000</x:v>
      </x:c>
      <x:c r="C14" s="9" t="n">
        <x:v>744</x:v>
      </x:c>
      <x:c r="D14" s="9" t="n">
        <x:v>744</x:v>
      </x:c>
      <x:c r="E14" s="9" t="n">
        <x:v>1767</x:v>
      </x:c>
      <x:c r="F14" s="8" t="n">
        <x:f>SUM(C14:D14)</x:f>
        <x:v>1488</x:v>
      </x:c>
      <x:c r="G14" s="8" t="n">
        <x:f>E14-F14</x:f>
        <x:v>279</x:v>
      </x:c>
    </x:row>
    <x:row r="15" ht="25" customHeight="1">
      <x:c r="A15" s="2" t="str">
        <x:v>September</x:v>
      </x:c>
      <x:c r="B15" s="9" t="n">
        <x:v>8000</x:v>
      </x:c>
      <x:c r="C15" s="9" t="n">
        <x:v>744</x:v>
      </x:c>
      <x:c r="D15" s="9" t="n">
        <x:v>744</x:v>
      </x:c>
      <x:c r="E15" s="9" t="n">
        <x:v>1488</x:v>
      </x:c>
      <x:c r="F15" s="8" t="n">
        <x:f>SUM(C15:D15)</x:f>
        <x:v>1488</x:v>
      </x:c>
      <x:c r="G15" s="8" t="n">
        <x:f>E15-F15</x:f>
        <x:v>0</x:v>
      </x:c>
    </x:row>
    <x:row r="16" ht="25" customHeight="1">
      <x:c r="A16" s="2"/>
      <x:c r="B16" s="8"/>
      <x:c r="C16" s="8"/>
      <x:c r="D16" s="8"/>
      <x:c r="E16" s="8"/>
      <x:c r="F16" s="8"/>
      <x:c r="G16" s="8"/>
    </x:row>
    <x:row r="17" ht="25" customHeight="1">
      <x:c r="A17" s="2" t="str">
        <x:v>Summe</x:v>
      </x:c>
      <x:c r="B17" s="8" t="n">
        <x:f>SUM(B7:B15)</x:f>
        <x:v>63000</x:v>
      </x:c>
      <x:c r="C17" s="8" t="n">
        <x:f>SUM(C7:C15)</x:f>
        <x:v>5859</x:v>
      </x:c>
      <x:c r="D17" s="8" t="n">
        <x:f>SUM(D7:D15)</x:f>
        <x:v>5859</x:v>
      </x:c>
      <x:c r="E17" s="8" t="n">
        <x:f>SUM(E7:E15)</x:f>
        <x:v>11718</x:v>
      </x:c>
      <x:c r="F17" s="8" t="n">
        <x:f>SUM(F7:F15)</x:f>
        <x:v>11718</x:v>
      </x:c>
      <x:c r="G17" s="8" t="n">
        <x:f>SUM(G7:G15)</x:f>
        <x:v>0</x:v>
      </x:c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25" customHeight="1">
      <x:c r="A19" s="2" t="str">
        <x:v>Juli: Bankdatei mit altem Betrag. Nachzahlung 279 EUR am 20. August.</x:v>
      </x:c>
      <x:c r="B19" s="2"/>
      <x:c r="C19" s="2"/>
      <x:c r="D19" s="2"/>
      <x:c r="E19" s="2"/>
      <x:c r="F19" s="2"/>
      <x:c r="G19" s="2"/>
    </x:row>
    <x:row r="20" ht="25" customHeight="1">
      <x:c r="A20" s="2" t="str">
        <x:v>Grundlage: Entgeltabrechnungen und Beitragskonto; keine rechtliche Neubewertung.</x:v>
      </x:c>
      <x:c r="B20" s="2"/>
      <x:c r="C20" s="2"/>
      <x:c r="D20" s="2"/>
      <x:c r="E20" s="2"/>
      <x:c r="F20" s="2"/>
      <x:c r="G20" s="2"/>
    </x:row>
  </x:sheetData>
  <x:pageMargins left="0.7" right="0.7" top="0.75" bottom="0.75" header="0.3" footer="0.3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9" customHeight="1">
      <x:c r="A2" s="3" t="str">
        <x:v>Kanzleieinnahmen 2026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2" t="str">
        <x:v>Mila Ahrens, Zahlungseingänge bis 25. September 2026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2" customHeight="1">
      <x:c r="A6" s="7" t="str">
        <x:v>Zahlungstag</x:v>
      </x:c>
      <x:c r="B6" s="7" t="str">
        <x:v>Rechnung</x:v>
      </x:c>
      <x:c r="C6" s="7" t="str">
        <x:v>Netto EUR</x:v>
      </x:c>
      <x:c r="D6" s="7" t="str">
        <x:v>USt Satz</x:v>
      </x:c>
      <x:c r="E6" s="7" t="str">
        <x:v>Brutto EUR</x:v>
      </x:c>
      <x:c r="F6" s="7" t="str">
        <x:v>Mandat</x:v>
      </x:c>
    </x:row>
    <x:row r="7" ht="25" customHeight="1">
      <x:c r="A7" s="12" t="n">
        <x:v>46064</x:v>
      </x:c>
      <x:c r="B7" s="2" t="str">
        <x:v>MA-26-01</x:v>
      </x:c>
      <x:c r="C7" s="8" t="n">
        <x:v>450</x:v>
      </x:c>
      <x:c r="D7" s="13" t="n">
        <x:v>0.19</x:v>
      </x:c>
      <x:c r="E7" s="8" t="n">
        <x:f>ROUND(C7*(1+D7),2)</x:f>
        <x:v>535.5</x:v>
      </x:c>
      <x:c r="F7" s="11" t="str">
        <x:v>Nachbarschaft 01</x:v>
      </x:c>
    </x:row>
    <x:row r="8" ht="25" customHeight="1">
      <x:c r="A8" s="12" t="n">
        <x:v>46129</x:v>
      </x:c>
      <x:c r="B8" s="2" t="str">
        <x:v>MA-26-03</x:v>
      </x:c>
      <x:c r="C8" s="8" t="n">
        <x:v>680</x:v>
      </x:c>
      <x:c r="D8" s="13" t="n">
        <x:v>0.19</x:v>
      </x:c>
      <x:c r="E8" s="8" t="n">
        <x:f>ROUND(C8*(1+D8),2)</x:f>
        <x:v>809.2</x:v>
      </x:c>
      <x:c r="F8" s="11" t="str">
        <x:v>Mietvertrag 02</x:v>
      </x:c>
    </x:row>
    <x:row r="9" ht="25" customHeight="1">
      <x:c r="A9" s="12" t="n">
        <x:v>46195</x:v>
      </x:c>
      <x:c r="B9" s="2" t="str">
        <x:v>MA-26-04</x:v>
      </x:c>
      <x:c r="C9" s="8" t="n">
        <x:v>920</x:v>
      </x:c>
      <x:c r="D9" s="13" t="n">
        <x:v>0.19</x:v>
      </x:c>
      <x:c r="E9" s="8" t="n">
        <x:f>ROUND(C9*(1+D9),2)</x:f>
        <x:v>1094.8</x:v>
      </x:c>
      <x:c r="F9" s="11" t="str">
        <x:v>Kaufvertrag 03</x:v>
      </x:c>
    </x:row>
    <x:row r="10" ht="25" customHeight="1">
      <x:c r="A10" s="12" t="n">
        <x:v>46268</x:v>
      </x:c>
      <x:c r="B10" s="2" t="str">
        <x:v>MA-26-05</x:v>
      </x:c>
      <x:c r="C10" s="8" t="n">
        <x:v>1200</x:v>
      </x:c>
      <x:c r="D10" s="13" t="n">
        <x:v>0.19</x:v>
      </x:c>
      <x:c r="E10" s="8" t="n">
        <x:f>ROUND(C10*(1+D10),2)</x:f>
        <x:v>1428</x:v>
      </x:c>
      <x:c r="F10" s="11" t="str">
        <x:v>Nachbarschaft 04</x:v>
      </x:c>
    </x:row>
    <x:row r="11" ht="25" customHeight="1">
      <x:c r="A11" s="2"/>
      <x:c r="B11" s="2"/>
      <x:c r="C11" s="8"/>
      <x:c r="D11" s="2"/>
      <x:c r="E11" s="8"/>
      <x:c r="F11" s="2"/>
    </x:row>
    <x:row r="12" ht="25" customHeight="1">
      <x:c r="A12" s="2" t="str">
        <x:v>Summe</x:v>
      </x:c>
      <x:c r="B12" s="2"/>
      <x:c r="C12" s="8" t="n">
        <x:f>SUM(C7:C10)</x:f>
        <x:v>3250</x:v>
      </x:c>
      <x:c r="D12" s="2"/>
      <x:c r="E12" s="8" t="n">
        <x:f>SUM(E7:E10)</x:f>
        <x:v>3867.5</x:v>
      </x:c>
      <x:c r="F12" s="2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 t="str">
        <x:v>Rechnung MA-26-05 stammt aus Juli; Zahlung ging am 3. September ein.</x:v>
      </x:c>
      <x:c r="B14" s="2"/>
      <x:c r="C14" s="2"/>
      <x:c r="D14" s="2"/>
      <x:c r="E14" s="2"/>
      <x:c r="F14" s="2"/>
    </x:row>
    <x:row r="15" ht="25" customHeight="1">
      <x:c r="A15" s="2" t="str">
        <x:v>Grundlage: eigener Kanzleikontoauszug; Kosten und weitere Einnahmen fehlen hier.</x:v>
      </x:c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</x:sheetData>
  <x:pageMargins left="0.7" right="0.7" top="0.75" bottom="0.75" header="0.3" footer="0.3"/>
  <x:pageSetup paperSize="9" orientation="landscape" fitToWidth="1" fitToHeight="1"/>
</x:worksheet>
</file>