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f10f7cc6d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dlicht 2025" sheetId="1" r:id="Rbb482b6e4fa94222"/>
    <x:sheet xmlns:r="http://schemas.openxmlformats.org/officeDocument/2006/relationships" name="Linde und Gesamt" sheetId="2" r:id="R4b2b4c26ce16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;[Red](#,##0.00) &quot;€&quot;;&quot;–&quot;"/>
  </x:numFmts>
  <x:fonts count="6">
    <x:font>
      <x:sz val="11"/>
      <x:name val="Carlito"/>
    </x:font>
    <x:font>
      <x:sz val="11"/>
      <x:color rgb="FF222222"/>
      <x:name val="Calibri"/>
    </x:font>
    <x:font>
      <x:b/>
      <x:sz val="16"/>
      <x:color rgb="FF222222"/>
      <x:name val="Calibri"/>
    </x:font>
    <x:font>
      <x:sz val="10"/>
      <x:color rgb="FF555555"/>
      <x:name val="Calibri"/>
    </x:font>
    <x:font>
      <x:b/>
      <x:sz val="11"/>
      <x:color rgb="FF222222"/>
      <x:name val="Calibri"/>
    </x:font>
    <x:font>
      <x:sz val="11"/>
      <x:color rgb="FF174F82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CECEC"/>
      </x:patternFill>
    </x:fill>
    <x:fill>
      <x:patternFill patternType="solid">
        <x:fgColor rgb="FFDAE5EB"/>
      </x:patternFill>
    </x:fill>
    <x:fill>
      <x:patternFill patternType="solid">
        <x:fgColor rgb="FFE8E8E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1" fillId="0" borderId="0" xfId="0" applyNumberFormat="1" applyFont="1" applyFill="1" applyBorder="1"/>
    <x:xf numFmtId="200" fontId="4" fillId="4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685c5903d425f" /><Relationship Type="http://schemas.openxmlformats.org/officeDocument/2006/relationships/theme" Target="/xl/theme/theme1.xml" Id="Rf67f915d86a1451e" /><Relationship Type="http://schemas.openxmlformats.org/officeDocument/2006/relationships/sharedStrings" Target="/xl/sharedStrings.xml" Id="R3d14cf88288f472e" /><Relationship Type="http://schemas.openxmlformats.org/officeDocument/2006/relationships/worksheet" Target="/xl/worksheets/sheet1.xml" Id="Rbb482b6e4fa94222" /><Relationship Type="http://schemas.openxmlformats.org/officeDocument/2006/relationships/worksheet" Target="/xl/worksheets/sheet2.xml" Id="R4b2b4c26ce16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4" hidden="0" customWidth="1"/>
  </x:cols>
  <x:sheetData>
    <x:row r="1" ht="32" customHeight="1">
      <x:c r="A1" s="3" t="str">
        <x:v>Kern Software – Rechnungsabgleich 2025</x:v>
      </x:c>
      <x:c r="B1" s="3"/>
      <x:c r="C1" s="3"/>
      <x:c r="D1" s="3"/>
      <x:c r="E1" s="3"/>
      <x:c r="F1" s="3"/>
      <x:c r="G1" s="3"/>
      <x:c r="H1" s="3"/>
    </x:row>
    <x:row r="2" ht="24" customHeight="1">
      <x:c r="A2" s="4" t="str">
        <x:v>Jonas Kern-Knörz · Stand 22.09.2026 · Nettowerte, Umsatzsteuer und Zahlung getrennt</x:v>
      </x:c>
      <x:c r="B2" s="4"/>
      <x:c r="C2" s="4"/>
      <x:c r="D2" s="4"/>
      <x:c r="E2" s="4"/>
      <x:c r="F2" s="4"/>
      <x:c r="G2" s="4"/>
      <x:c r="H2" s="4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36" customHeight="1">
      <x:c r="A4" s="7" t="str">
        <x:v>Leistungsmonat</x:v>
      </x:c>
      <x:c r="B4" s="7" t="str">
        <x:v>Stunden</x:v>
      </x:c>
      <x:c r="C4" s="7" t="str">
        <x:v>Satz netto</x:v>
      </x:c>
      <x:c r="D4" s="7" t="str">
        <x:v>Nettohonorar</x:v>
      </x:c>
      <x:c r="E4" s="7" t="str">
        <x:v>USt 19 %</x:v>
      </x:c>
      <x:c r="F4" s="7" t="str">
        <x:v>Bruttobetrag</x:v>
      </x:c>
      <x:c r="G4" s="7" t="str">
        <x:v>Zahlungseingang</x:v>
      </x:c>
      <x:c r="H4" s="7" t="str">
        <x:v>Bemerkung</x:v>
      </x:c>
    </x:row>
    <x:row r="5" ht="34" customHeight="1">
      <x:c r="A5" s="1" t="str">
        <x:v>2025-01</x:v>
      </x:c>
      <x:c r="B5" s="12" t="n">
        <x:v>128</x:v>
      </x:c>
      <x:c r="C5" s="13" t="n">
        <x:v>105</x:v>
      </x:c>
      <x:c r="D5" s="10" t="n">
        <x:f>B5*C5</x:f>
        <x:v>13440</x:v>
      </x:c>
      <x:c r="E5" s="10" t="n">
        <x:f>ROUND(D5*19%,2)</x:f>
        <x:v>2553.6</x:v>
      </x:c>
      <x:c r="F5" s="10" t="n">
        <x:f>D5+E5</x:f>
        <x:v>15993.6</x:v>
      </x:c>
      <x:c r="G5" s="1" t="str">
        <x:v>2025-02-26</x:v>
      </x:c>
      <x:c r="H5" s="14" t="str"/>
    </x:row>
    <x:row r="6" ht="34" customHeight="1">
      <x:c r="A6" s="1" t="str">
        <x:v>2025-02</x:v>
      </x:c>
      <x:c r="B6" s="12" t="n">
        <x:v>136</x:v>
      </x:c>
      <x:c r="C6" s="13" t="n">
        <x:v>105</x:v>
      </x:c>
      <x:c r="D6" s="10" t="n">
        <x:f>B6*C6</x:f>
        <x:v>14280</x:v>
      </x:c>
      <x:c r="E6" s="10" t="n">
        <x:f>ROUND(D6*19%,2)</x:f>
        <x:v>2713.2</x:v>
      </x:c>
      <x:c r="F6" s="10" t="n">
        <x:f>D6+E6</x:f>
        <x:v>16993.2</x:v>
      </x:c>
      <x:c r="G6" s="1" t="str">
        <x:v>2025-03-26</x:v>
      </x:c>
      <x:c r="H6" s="14" t="str"/>
    </x:row>
    <x:row r="7" ht="34" customHeight="1">
      <x:c r="A7" s="1" t="str">
        <x:v>2025-03</x:v>
      </x:c>
      <x:c r="B7" s="12" t="n">
        <x:v>144</x:v>
      </x:c>
      <x:c r="C7" s="13" t="n">
        <x:v>105</x:v>
      </x:c>
      <x:c r="D7" s="10" t="n">
        <x:f>B7*C7</x:f>
        <x:v>15120</x:v>
      </x:c>
      <x:c r="E7" s="10" t="n">
        <x:f>ROUND(D7*19%,2)</x:f>
        <x:v>2872.8</x:v>
      </x:c>
      <x:c r="F7" s="10" t="n">
        <x:f>D7+E7</x:f>
        <x:v>17992.8</x:v>
      </x:c>
      <x:c r="G7" s="1" t="str">
        <x:v>2025-04-25</x:v>
      </x:c>
      <x:c r="H7" s="14" t="str"/>
    </x:row>
    <x:row r="8" ht="34" customHeight="1">
      <x:c r="A8" s="1" t="str">
        <x:v>2025-04</x:v>
      </x:c>
      <x:c r="B8" s="12" t="n">
        <x:v>120</x:v>
      </x:c>
      <x:c r="C8" s="13" t="n">
        <x:v>105</x:v>
      </x:c>
      <x:c r="D8" s="10" t="n">
        <x:f>B8*C8</x:f>
        <x:v>12600</x:v>
      </x:c>
      <x:c r="E8" s="10" t="n">
        <x:f>ROUND(D8*19%,2)</x:f>
        <x:v>2394</x:v>
      </x:c>
      <x:c r="F8" s="10" t="n">
        <x:f>D8+E8</x:f>
        <x:v>14994</x:v>
      </x:c>
      <x:c r="G8" s="1" t="str">
        <x:v>2025-05-26</x:v>
      </x:c>
      <x:c r="H8" s="14" t="str">
        <x:v>3 Stunden nach Rücksprache abgezogen</x:v>
      </x:c>
    </x:row>
    <x:row r="9" ht="34" customHeight="1">
      <x:c r="A9" s="1" t="str">
        <x:v>2025-05</x:v>
      </x:c>
      <x:c r="B9" s="12" t="n">
        <x:v>136</x:v>
      </x:c>
      <x:c r="C9" s="13" t="n">
        <x:v>105</x:v>
      </x:c>
      <x:c r="D9" s="10" t="n">
        <x:f>B9*C9</x:f>
        <x:v>14280</x:v>
      </x:c>
      <x:c r="E9" s="10" t="n">
        <x:f>ROUND(D9*19%,2)</x:f>
        <x:v>2713.2</x:v>
      </x:c>
      <x:c r="F9" s="10" t="n">
        <x:f>D9+E9</x:f>
        <x:v>16993.2</x:v>
      </x:c>
      <x:c r="G9" s="1" t="str">
        <x:v>2025-06-26</x:v>
      </x:c>
      <x:c r="H9" s="14" t="str"/>
    </x:row>
    <x:row r="10" ht="34" customHeight="1">
      <x:c r="A10" s="1" t="str">
        <x:v>2025-06</x:v>
      </x:c>
      <x:c r="B10" s="12" t="n">
        <x:v>128</x:v>
      </x:c>
      <x:c r="C10" s="13" t="n">
        <x:v>105</x:v>
      </x:c>
      <x:c r="D10" s="10" t="n">
        <x:f>B10*C10</x:f>
        <x:v>13440</x:v>
      </x:c>
      <x:c r="E10" s="10" t="n">
        <x:f>ROUND(D10*19%,2)</x:f>
        <x:v>2553.6</x:v>
      </x:c>
      <x:c r="F10" s="10" t="n">
        <x:f>D10+E10</x:f>
        <x:v>15993.6</x:v>
      </x:c>
      <x:c r="G10" s="1" t="str">
        <x:v>2025-07-25</x:v>
      </x:c>
      <x:c r="H10" s="14" t="str"/>
    </x:row>
    <x:row r="11" ht="34" customHeight="1">
      <x:c r="A11" s="1" t="str">
        <x:v>2025-07</x:v>
      </x:c>
      <x:c r="B11" s="12" t="n">
        <x:v>96</x:v>
      </x:c>
      <x:c r="C11" s="13" t="n">
        <x:v>105</x:v>
      </x:c>
      <x:c r="D11" s="10" t="n">
        <x:f>B11*C11</x:f>
        <x:v>10080</x:v>
      </x:c>
      <x:c r="E11" s="10" t="n">
        <x:f>ROUND(D11*19%,2)</x:f>
        <x:v>1915.2</x:v>
      </x:c>
      <x:c r="F11" s="10" t="n">
        <x:f>D11+E11</x:f>
        <x:v>11995.2</x:v>
      </x:c>
      <x:c r="G11" s="1" t="str">
        <x:v>2025-08-26</x:v>
      </x:c>
      <x:c r="H11" s="14" t="str">
        <x:v>Zwei Wochen ohne Leistungsstunden</x:v>
      </x:c>
    </x:row>
    <x:row r="12" ht="34" customHeight="1">
      <x:c r="A12" s="1" t="str">
        <x:v>2025-08</x:v>
      </x:c>
      <x:c r="B12" s="12" t="n">
        <x:v>112</x:v>
      </x:c>
      <x:c r="C12" s="13" t="n">
        <x:v>105</x:v>
      </x:c>
      <x:c r="D12" s="10" t="n">
        <x:f>B12*C12</x:f>
        <x:v>11760</x:v>
      </x:c>
      <x:c r="E12" s="10" t="n">
        <x:f>ROUND(D12*19%,2)</x:f>
        <x:v>2234.4</x:v>
      </x:c>
      <x:c r="F12" s="10" t="n">
        <x:f>D12+E12</x:f>
        <x:v>13994.4</x:v>
      </x:c>
      <x:c r="G12" s="1" t="str">
        <x:v>2025-09-26</x:v>
      </x:c>
      <x:c r="H12" s="14" t="str"/>
    </x:row>
    <x:row r="13" ht="34" customHeight="1">
      <x:c r="A13" s="1" t="str">
        <x:v>2025-09</x:v>
      </x:c>
      <x:c r="B13" s="12" t="n">
        <x:v>144</x:v>
      </x:c>
      <x:c r="C13" s="13" t="n">
        <x:v>105</x:v>
      </x:c>
      <x:c r="D13" s="10" t="n">
        <x:f>B13*C13</x:f>
        <x:v>15120</x:v>
      </x:c>
      <x:c r="E13" s="10" t="n">
        <x:f>ROUND(D13*19%,2)</x:f>
        <x:v>2872.8</x:v>
      </x:c>
      <x:c r="F13" s="10" t="n">
        <x:f>D13+E13</x:f>
        <x:v>17992.8</x:v>
      </x:c>
      <x:c r="G13" s="1" t="str">
        <x:v>2025-10-27</x:v>
      </x:c>
      <x:c r="H13" s="14" t="str"/>
    </x:row>
    <x:row r="14" ht="34" customHeight="1">
      <x:c r="A14" s="1" t="str">
        <x:v>2025-10</x:v>
      </x:c>
      <x:c r="B14" s="12" t="n">
        <x:v>152</x:v>
      </x:c>
      <x:c r="C14" s="13" t="n">
        <x:v>105</x:v>
      </x:c>
      <x:c r="D14" s="10" t="n">
        <x:f>B14*C14</x:f>
        <x:v>15960</x:v>
      </x:c>
      <x:c r="E14" s="10" t="n">
        <x:f>ROUND(D14*19%,2)</x:f>
        <x:v>3032.4</x:v>
      </x:c>
      <x:c r="F14" s="10" t="n">
        <x:f>D14+E14</x:f>
        <x:v>18992.4</x:v>
      </x:c>
      <x:c r="G14" s="1" t="str">
        <x:v>2025-11-26</x:v>
      </x:c>
      <x:c r="H14" s="14" t="str"/>
    </x:row>
    <x:row r="15" ht="34" customHeight="1">
      <x:c r="A15" s="1" t="str">
        <x:v>2025-11</x:v>
      </x:c>
      <x:c r="B15" s="12" t="n">
        <x:v>128</x:v>
      </x:c>
      <x:c r="C15" s="13" t="n">
        <x:v>105</x:v>
      </x:c>
      <x:c r="D15" s="10" t="n">
        <x:f>B15*C15</x:f>
        <x:v>13440</x:v>
      </x:c>
      <x:c r="E15" s="10" t="n">
        <x:f>ROUND(D15*19%,2)</x:f>
        <x:v>2553.6</x:v>
      </x:c>
      <x:c r="F15" s="10" t="n">
        <x:f>D15+E15</x:f>
        <x:v>15993.6</x:v>
      </x:c>
      <x:c r="G15" s="1" t="str">
        <x:v>2025-12-23</x:v>
      </x:c>
      <x:c r="H15" s="14" t="str"/>
    </x:row>
    <x:row r="16" ht="34" customHeight="1">
      <x:c r="A16" s="1" t="str">
        <x:v>2025-12</x:v>
      </x:c>
      <x:c r="B16" s="12" t="n">
        <x:v>88</x:v>
      </x:c>
      <x:c r="C16" s="13" t="n">
        <x:v>105</x:v>
      </x:c>
      <x:c r="D16" s="10" t="n">
        <x:f>B16*C16</x:f>
        <x:v>9240</x:v>
      </x:c>
      <x:c r="E16" s="10" t="n">
        <x:f>ROUND(D16*19%,2)</x:f>
        <x:v>1755.6</x:v>
      </x:c>
      <x:c r="F16" s="10" t="n">
        <x:f>D16+E16</x:f>
        <x:v>10995.6</x:v>
      </x:c>
      <x:c r="G16" s="1" t="str">
        <x:v>2026-01-26</x:v>
      </x:c>
      <x:c r="H16" s="14" t="str">
        <x:v>Zahlung erst im Folgejahr</x:v>
      </x:c>
    </x:row>
    <x:row r="17" ht="28" customHeight="1">
      <x:c r="A17" s="9" t="str">
        <x:v>Summe</x:v>
      </x:c>
      <x:c r="B17" s="9" t="n">
        <x:f>SUM(B5:B16)</x:f>
        <x:v>1512</x:v>
      </x:c>
      <x:c r="C17" s="11"/>
      <x:c r="D17" s="11" t="n">
        <x:f>SUM(D5:D16)</x:f>
        <x:v>158760</x:v>
      </x:c>
      <x:c r="E17" s="11" t="n">
        <x:f>SUM(E5:E16)</x:f>
        <x:v>30164.399999999998</x:v>
      </x:c>
      <x:c r="F17" s="11" t="n">
        <x:f>SUM(F5:F16)</x:f>
        <x:v>188924.4</x:v>
      </x:c>
      <x:c r="G17" s="9"/>
      <x:c r="H17" s="9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34" customHeight="1">
      <x:c r="A19" s="15" t="str">
        <x:v>Nur Nordlicht-Rechnungen für Leistungen 2025. Die ursprüngliche Migration wurde 2024 mit 95 € pro Stunde abgerechnet.</x:v>
      </x:c>
      <x:c r="B19" s="15"/>
      <x:c r="C19" s="15"/>
      <x:c r="D19" s="15"/>
      <x:c r="E19" s="15"/>
      <x:c r="F19" s="15"/>
      <x:c r="G19" s="15"/>
      <x:c r="H19" s="15"/>
    </x:row>
    <x:row r="20" ht="34" customHeight="1">
      <x:c r="A20" s="15" t="str">
        <x:v>Zahlungsdaten stammen aus den Kontozuordnungen. Die Dezemberleistung wurde erst am 26.01.2026 bezahlt.</x:v>
      </x:c>
      <x:c r="B20" s="15"/>
      <x:c r="C20" s="15"/>
      <x:c r="D20" s="15"/>
      <x:c r="E20" s="15"/>
      <x:c r="F20" s="15"/>
      <x:c r="G20" s="15"/>
      <x:c r="H20" s="15"/>
    </x:row>
    <x:row r="21" ht="34" customHeight="1">
      <x:c r="A21" s="15" t="str">
        <x:v>Rechnung KS-2025-002: Januar 128 Stunden × 105 € = 13.440 € netto; 15.993,60 € brutto.</x:v>
      </x:c>
      <x:c r="B21" s="15"/>
      <x:c r="C21" s="15"/>
      <x:c r="D21" s="15"/>
      <x:c r="E21" s="15"/>
      <x:c r="F21" s="15"/>
      <x:c r="G21" s="15"/>
      <x:c r="H21" s="15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</x:sheetData>
  <x:mergeCells>
    <x:mergeCell ref="A1:H1"/>
    <x:mergeCell ref="A2:H2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1" hidden="0" customWidth="1"/>
    <x:col min="5" max="5" width="22" hidden="0" customWidth="1"/>
    <x:col min="6" max="6" width="39" hidden="0" customWidth="1"/>
  </x:cols>
  <x:sheetData>
    <x:row r="1" ht="32" customHeight="1">
      <x:c r="A1" s="3" t="str">
        <x:v>Linde Analytik und Jahresüberblick</x:v>
      </x:c>
      <x:c r="B1" s="3"/>
      <x:c r="C1" s="3"/>
      <x:c r="D1" s="3"/>
      <x:c r="E1" s="3"/>
      <x:c r="F1" s="3"/>
    </x:row>
    <x:row r="2" ht="24" customHeight="1">
      <x:c r="A2" s="4" t="str">
        <x:v>Ausgangsrechnungen nach Leistungszuordnung · Zusammenstellung für den Beratungstermin</x:v>
      </x:c>
      <x:c r="B2" s="4"/>
      <x:c r="C2" s="4"/>
      <x:c r="D2" s="4"/>
      <x:c r="E2" s="4"/>
      <x:c r="F2" s="4"/>
    </x:row>
    <x:row r="3" ht="24" customHeight="1">
      <x:c r="A3" s="1"/>
      <x:c r="B3" s="1"/>
      <x:c r="C3" s="1"/>
      <x:c r="D3" s="1"/>
      <x:c r="E3" s="1"/>
      <x:c r="F3" s="1"/>
    </x:row>
    <x:row r="4" ht="36" customHeight="1">
      <x:c r="A4" s="7" t="str">
        <x:v>Rechnung / Monat</x:v>
      </x:c>
      <x:c r="B4" s="7" t="str">
        <x:v>Netto</x:v>
      </x:c>
      <x:c r="C4" s="7" t="str">
        <x:v>USt 19 %</x:v>
      </x:c>
      <x:c r="D4" s="7" t="str">
        <x:v>Brutto</x:v>
      </x:c>
      <x:c r="E4" s="7" t="str">
        <x:v>Zahlung</x:v>
      </x:c>
      <x:c r="F4" s="7" t="str">
        <x:v>Leistung</x:v>
      </x:c>
    </x:row>
    <x:row r="5" ht="38" customHeight="1">
      <x:c r="A5" s="1" t="str">
        <x:v>März 2025</x:v>
      </x:c>
      <x:c r="B5" s="13" t="n">
        <x:v>4000</x:v>
      </x:c>
      <x:c r="C5" s="10" t="n">
        <x:f>ROUND(B5*19%,2)</x:f>
        <x:v>760</x:v>
      </x:c>
      <x:c r="D5" s="10" t="n">
        <x:f>B5+C5</x:f>
        <x:v>4760</x:v>
      </x:c>
      <x:c r="E5" s="1" t="str">
        <x:v>2025-04-09</x:v>
      </x:c>
      <x:c r="F5" s="14" t="str">
        <x:v>Messdatenformat A</x:v>
      </x:c>
    </x:row>
    <x:row r="6" ht="38" customHeight="1">
      <x:c r="A6" s="1" t="str">
        <x:v>Juni 2025</x:v>
      </x:c>
      <x:c r="B6" s="13" t="n">
        <x:v>4800</x:v>
      </x:c>
      <x:c r="C6" s="10" t="n">
        <x:f>ROUND(B6*19%,2)</x:f>
        <x:v>912</x:v>
      </x:c>
      <x:c r="D6" s="10" t="n">
        <x:f>B6+C6</x:f>
        <x:v>5712</x:v>
      </x:c>
      <x:c r="E6" s="1" t="str">
        <x:v>2025-07-08</x:v>
      </x:c>
      <x:c r="F6" s="14" t="str">
        <x:v>Bericht und Prüflauf</x:v>
      </x:c>
    </x:row>
    <x:row r="7" ht="38" customHeight="1">
      <x:c r="A7" s="1" t="str">
        <x:v>September 2025</x:v>
      </x:c>
      <x:c r="B7" s="13" t="n">
        <x:v>5200</x:v>
      </x:c>
      <x:c r="C7" s="10" t="n">
        <x:f>ROUND(B7*19%,2)</x:f>
        <x:v>988</x:v>
      </x:c>
      <x:c r="D7" s="10" t="n">
        <x:f>B7+C7</x:f>
        <x:v>6188</x:v>
      </x:c>
      <x:c r="E7" s="1" t="str">
        <x:v>2025-10-10</x:v>
      </x:c>
      <x:c r="F7" s="14" t="str">
        <x:v>Erweiterung Serienimport</x:v>
      </x:c>
    </x:row>
    <x:row r="8" ht="38" customHeight="1">
      <x:c r="A8" s="1" t="str">
        <x:v>November 2025</x:v>
      </x:c>
      <x:c r="B8" s="13" t="n">
        <x:v>4400</x:v>
      </x:c>
      <x:c r="C8" s="10" t="n">
        <x:f>ROUND(B8*19%,2)</x:f>
        <x:v>836</x:v>
      </x:c>
      <x:c r="D8" s="10" t="n">
        <x:f>B8+C8</x:f>
        <x:v>5236</x:v>
      </x:c>
      <x:c r="E8" s="1" t="str">
        <x:v>2025-12-09</x:v>
      </x:c>
      <x:c r="F8" s="14" t="str">
        <x:v>Zusätzliche Spalten / KS-2025-024</x:v>
      </x:c>
    </x:row>
    <x:row r="9" ht="24" customHeight="1">
      <x:c r="A9" s="1"/>
      <x:c r="B9" s="10"/>
      <x:c r="C9" s="10"/>
      <x:c r="D9" s="10"/>
      <x:c r="E9" s="1"/>
      <x:c r="F9" s="1"/>
    </x:row>
    <x:row r="10" ht="28" customHeight="1">
      <x:c r="A10" s="9" t="str">
        <x:v>Linde 2025</x:v>
      </x:c>
      <x:c r="B10" s="11" t="n">
        <x:f>SUM(B5:B8)</x:f>
        <x:v>18400</x:v>
      </x:c>
      <x:c r="C10" s="11" t="n">
        <x:f>SUM(C5:C8)</x:f>
        <x:v>3496</x:v>
      </x:c>
      <x:c r="D10" s="11" t="n">
        <x:f>SUM(D5:D8)</x:f>
        <x:v>21896</x:v>
      </x:c>
      <x:c r="E10" s="9"/>
      <x:c r="F10" s="9"/>
    </x:row>
    <x:row r="11" ht="24" customHeight="1">
      <x:c r="A11" s="1"/>
      <x:c r="B11" s="10"/>
      <x:c r="C11" s="10"/>
      <x:c r="D11" s="10"/>
      <x:c r="E11" s="1"/>
      <x:c r="F11" s="1"/>
    </x:row>
    <x:row r="12" ht="24" customHeight="1">
      <x:c r="A12" s="1" t="str">
        <x:v>Nordlicht 2025</x:v>
      </x:c>
      <x:c r="B12" s="10" t="n">
        <x:f>'Nordlicht 2025'!D17</x:f>
        <x:v>158760</x:v>
      </x:c>
      <x:c r="C12" s="10" t="n">
        <x:f>'Nordlicht 2025'!E17</x:f>
        <x:v>30164.399999999998</x:v>
      </x:c>
      <x:c r="D12" s="10" t="n">
        <x:f>'Nordlicht 2025'!F17</x:f>
        <x:v>188924.4</x:v>
      </x:c>
      <x:c r="E12" s="1"/>
      <x:c r="F12" s="1"/>
    </x:row>
    <x:row r="13" ht="28" customHeight="1">
      <x:c r="A13" s="9" t="str">
        <x:v>Zusammen</x:v>
      </x:c>
      <x:c r="B13" s="11" t="n">
        <x:f>B10+B12</x:f>
        <x:v>177160</x:v>
      </x:c>
      <x:c r="C13" s="11" t="n">
        <x:f>C10+C12</x:f>
        <x:v>33660.399999999994</x:v>
      </x:c>
      <x:c r="D13" s="11" t="n">
        <x:f>D10+D12</x:f>
        <x:v>210820.4</x:v>
      </x:c>
      <x:c r="E13" s="9"/>
      <x:c r="F13" s="9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34" customHeight="1">
      <x:c r="A16" s="15" t="str">
        <x:v>Die Aufstellung enthält Umsätze vor Ausgaben. Software, Haftpflicht, Reisen und eigene Vorsorge sind nicht abgezogen.</x:v>
      </x:c>
      <x:c r="B16" s="15"/>
      <x:c r="C16" s="15"/>
      <x:c r="D16" s="15"/>
      <x:c r="E16" s="15"/>
      <x:c r="F16" s="15"/>
    </x:row>
    <x:row r="17" ht="34" customHeight="1">
      <x:c r="A17" s="15" t="str">
        <x:v>Die Linde-Pakete wurden zum Festpreis angeboten. Stunden für diese Arbeiten werden in der Nordlicht-Liste nicht erfasst.</x:v>
      </x:c>
      <x:c r="B17" s="15"/>
      <x:c r="C17" s="15"/>
      <x:c r="D17" s="15"/>
      <x:c r="E17" s="15"/>
      <x:c r="F17" s="15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</x:sheetData>
  <x:mergeCells>
    <x:mergeCell ref="A1:F1"/>
    <x:mergeCell ref="A2:F2"/>
    <x:mergeCell ref="A16:F16"/>
    <x:mergeCell ref="A17:F17"/>
  </x:mergeCells>
  <x:pageMargins left="0.7" right="0.7" top="0.75" bottom="0.75" header="0.3" footer="0.3"/>
</x:worksheet>
</file>