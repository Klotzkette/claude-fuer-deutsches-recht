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igentuemerkosten" sheetId="1" state="visible" r:id="rId3"/>
    <sheet name="Heizdate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<sst xmlns="http://schemas.openxmlformats.org/spreadsheetml/2006/main" count="54" uniqueCount="48">
  <si>
    <t xml:space="preserve">Position</t>
  </si>
  <si>
    <t xml:space="preserve">Haus gesamt EUR</t>
  </si>
  <si>
    <t xml:space="preserve">Teiler</t>
  </si>
  <si>
    <t xml:space="preserve">Wohnung 4 EUR</t>
  </si>
  <si>
    <t xml:space="preserve">Quelle</t>
  </si>
  <si>
    <t xml:space="preserve">Wasser</t>
  </si>
  <si>
    <t xml:space="preserve">05_Wasser.docx</t>
  </si>
  <si>
    <t xml:space="preserve">Müll</t>
  </si>
  <si>
    <t xml:space="preserve">06_Muell.docx</t>
  </si>
  <si>
    <t xml:space="preserve">Gebäudeversicherung</t>
  </si>
  <si>
    <t xml:space="preserve">07_Versicherung.docx</t>
  </si>
  <si>
    <t xml:space="preserve">Reinigung</t>
  </si>
  <si>
    <t xml:space="preserve">08_Reinigung.docx</t>
  </si>
  <si>
    <t xml:space="preserve">Hausmeister</t>
  </si>
  <si>
    <t xml:space="preserve">09_Hausmeister.docx</t>
  </si>
  <si>
    <t xml:space="preserve">Allgemeinstrom</t>
  </si>
  <si>
    <t xml:space="preserve">10_Allgemeinstrom.docx</t>
  </si>
  <si>
    <t xml:space="preserve">Heizung</t>
  </si>
  <si>
    <t xml:space="preserve">11_Gasrechnung.docx</t>
  </si>
  <si>
    <t xml:space="preserve">Verwaltung</t>
  </si>
  <si>
    <t xml:space="preserve">15_Verwalterentgelt.docx</t>
  </si>
  <si>
    <t xml:space="preserve">Dachreparatur</t>
  </si>
  <si>
    <t xml:space="preserve">16_Dachrechnung.docx</t>
  </si>
  <si>
    <t xml:space="preserve">Bankkosten</t>
  </si>
  <si>
    <t xml:space="preserve">03_WEG_Jahresabrechnung.docx</t>
  </si>
  <si>
    <t xml:space="preserve">Rücklagenbeitrag</t>
  </si>
  <si>
    <t xml:space="preserve">17_Ruecklagennachweis.docx</t>
  </si>
  <si>
    <t xml:space="preserve">Summe</t>
  </si>
  <si>
    <t xml:space="preserve">Export für Vermieter vom 15. September</t>
  </si>
  <si>
    <t xml:space="preserve">Messgröße</t>
  </si>
  <si>
    <t xml:space="preserve">Wert</t>
  </si>
  <si>
    <t xml:space="preserve">Einheit</t>
  </si>
  <si>
    <t xml:space="preserve">Wohnfläche Gebäude</t>
  </si>
  <si>
    <t xml:space="preserve">m²</t>
  </si>
  <si>
    <t xml:space="preserve">26_Flaechenverzeichnis.docx</t>
  </si>
  <si>
    <t xml:space="preserve">Wohnfläche Wohnung 4</t>
  </si>
  <si>
    <t xml:space="preserve">Verteilte Heizkosten</t>
  </si>
  <si>
    <t xml:space="preserve">EUR</t>
  </si>
  <si>
    <t xml:space="preserve">12_Heizkostenabrechnung.docx</t>
  </si>
  <si>
    <t xml:space="preserve">CO₂ Emissionen Gebäude</t>
  </si>
  <si>
    <t xml:space="preserve">kg</t>
  </si>
  <si>
    <t xml:space="preserve">14_CO2_Liefernachweis.docx</t>
  </si>
  <si>
    <t xml:space="preserve">CO₂ je Wohnfläche</t>
  </si>
  <si>
    <t xml:space="preserve">kg/m²</t>
  </si>
  <si>
    <t xml:space="preserve">Liefernachweis und Flächen</t>
  </si>
  <si>
    <t xml:space="preserve">CO₂ Kosten Gebäude</t>
  </si>
  <si>
    <t xml:space="preserve">CO₂ Kosten Wohnung 4</t>
  </si>
  <si>
    <t xml:space="preserve">Heizkostenanteil hier 1/8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</si>
</sst>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"/>
    <numFmt numFmtId="167" formatCode="0.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7263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63641"/>
        <bgColor rgb="FF17263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72630"/>
      <rgbColor rgb="FF333300"/>
      <rgbColor rgb="FF993300"/>
      <rgbColor rgb="FF993366"/>
      <rgbColor rgb="FF333399"/>
      <rgbColor rgb="FF26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.48"/>
    <col collapsed="false" customWidth="true" hidden="false" outlineLevel="0" max="2" min="2" style="1" width="19.79"/>
    <col collapsed="false" customWidth="true" hidden="false" outlineLevel="0" max="3" min="3" style="1" width="13"/>
    <col collapsed="false" customWidth="true" hidden="false" outlineLevel="0" max="4" min="4" style="1" width="20.75"/>
    <col collapsed="false" customWidth="true" hidden="false" outlineLevel="0" max="5" min="5" style="1" width="43.98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4" hidden="false" customHeight="true" outlineLevel="0" collapsed="false">
      <c r="A2" s="3" t="s">
        <v>5</v>
      </c>
      <c r="B2" s="4" t="n">
        <v>2880</v>
      </c>
      <c r="C2" s="5" t="n">
        <v>8</v>
      </c>
      <c r="D2" s="4" t="n">
        <f aca="false">B2/C2</f>
        <v>360</v>
      </c>
      <c r="E2" s="3" t="s">
        <v>6</v>
      </c>
    </row>
    <row r="3" customFormat="false" ht="24" hidden="false" customHeight="true" outlineLevel="0" collapsed="false">
      <c r="A3" s="3" t="s">
        <v>7</v>
      </c>
      <c r="B3" s="4" t="n">
        <v>1920</v>
      </c>
      <c r="C3" s="5" t="n">
        <v>8</v>
      </c>
      <c r="D3" s="4" t="n">
        <f aca="false">B3/C3</f>
        <v>240</v>
      </c>
      <c r="E3" s="3" t="s">
        <v>8</v>
      </c>
    </row>
    <row r="4" customFormat="false" ht="24" hidden="false" customHeight="true" outlineLevel="0" collapsed="false">
      <c r="A4" s="3" t="s">
        <v>9</v>
      </c>
      <c r="B4" s="4" t="n">
        <v>2112</v>
      </c>
      <c r="C4" s="5" t="n">
        <v>8</v>
      </c>
      <c r="D4" s="4" t="n">
        <f aca="false">B4/C4</f>
        <v>264</v>
      </c>
      <c r="E4" s="3" t="s">
        <v>10</v>
      </c>
    </row>
    <row r="5" customFormat="false" ht="24" hidden="false" customHeight="true" outlineLevel="0" collapsed="false">
      <c r="A5" s="3" t="s">
        <v>11</v>
      </c>
      <c r="B5" s="4" t="n">
        <v>2880</v>
      </c>
      <c r="C5" s="5" t="n">
        <v>8</v>
      </c>
      <c r="D5" s="4" t="n">
        <f aca="false">B5/C5</f>
        <v>360</v>
      </c>
      <c r="E5" s="3" t="s">
        <v>12</v>
      </c>
    </row>
    <row r="6" customFormat="false" ht="24" hidden="false" customHeight="true" outlineLevel="0" collapsed="false">
      <c r="A6" s="3" t="s">
        <v>13</v>
      </c>
      <c r="B6" s="4" t="n">
        <v>2880</v>
      </c>
      <c r="C6" s="5" t="n">
        <v>8</v>
      </c>
      <c r="D6" s="4" t="n">
        <f aca="false">B6/C6</f>
        <v>360</v>
      </c>
      <c r="E6" s="3" t="s">
        <v>14</v>
      </c>
    </row>
    <row r="7" customFormat="false" ht="24" hidden="false" customHeight="true" outlineLevel="0" collapsed="false">
      <c r="A7" s="3" t="s">
        <v>15</v>
      </c>
      <c r="B7" s="4" t="n">
        <v>1056</v>
      </c>
      <c r="C7" s="5" t="n">
        <v>8</v>
      </c>
      <c r="D7" s="4" t="n">
        <f aca="false">B7/C7</f>
        <v>132</v>
      </c>
      <c r="E7" s="3" t="s">
        <v>16</v>
      </c>
    </row>
    <row r="8" customFormat="false" ht="24" hidden="false" customHeight="true" outlineLevel="0" collapsed="false">
      <c r="A8" s="3" t="s">
        <v>17</v>
      </c>
      <c r="B8" s="4" t="n">
        <v>17280</v>
      </c>
      <c r="C8" s="5" t="n">
        <v>8</v>
      </c>
      <c r="D8" s="4" t="n">
        <f aca="false">B8/C8</f>
        <v>2160</v>
      </c>
      <c r="E8" s="3" t="s">
        <v>18</v>
      </c>
    </row>
    <row r="9" customFormat="false" ht="24" hidden="false" customHeight="true" outlineLevel="0" collapsed="false">
      <c r="A9" s="3" t="s">
        <v>19</v>
      </c>
      <c r="B9" s="4" t="n">
        <v>3840</v>
      </c>
      <c r="C9" s="5" t="n">
        <v>8</v>
      </c>
      <c r="D9" s="4" t="n">
        <f aca="false">B9/C9</f>
        <v>480</v>
      </c>
      <c r="E9" s="3" t="s">
        <v>20</v>
      </c>
    </row>
    <row r="10" customFormat="false" ht="24" hidden="false" customHeight="true" outlineLevel="0" collapsed="false">
      <c r="A10" s="3" t="s">
        <v>21</v>
      </c>
      <c r="B10" s="4" t="n">
        <v>6000</v>
      </c>
      <c r="C10" s="5" t="n">
        <v>8</v>
      </c>
      <c r="D10" s="4" t="n">
        <f aca="false">B10/C10</f>
        <v>750</v>
      </c>
      <c r="E10" s="3" t="s">
        <v>22</v>
      </c>
    </row>
    <row r="11" customFormat="false" ht="24" hidden="false" customHeight="true" outlineLevel="0" collapsed="false">
      <c r="A11" s="3" t="s">
        <v>23</v>
      </c>
      <c r="B11" s="4" t="n">
        <v>480</v>
      </c>
      <c r="C11" s="5" t="n">
        <v>8</v>
      </c>
      <c r="D11" s="4" t="n">
        <f aca="false">B11/C11</f>
        <v>60</v>
      </c>
      <c r="E11" s="3" t="s">
        <v>24</v>
      </c>
    </row>
    <row r="12" customFormat="false" ht="24" hidden="false" customHeight="true" outlineLevel="0" collapsed="false">
      <c r="A12" s="3" t="s">
        <v>25</v>
      </c>
      <c r="B12" s="4" t="n">
        <v>8000</v>
      </c>
      <c r="C12" s="5" t="n">
        <v>8</v>
      </c>
      <c r="D12" s="4" t="n">
        <f aca="false">B12/C12</f>
        <v>1000</v>
      </c>
      <c r="E12" s="3" t="s">
        <v>26</v>
      </c>
    </row>
    <row r="13" customFormat="false" ht="38" hidden="false" customHeight="true" outlineLevel="0" collapsed="false">
      <c r="A13" s="3" t="s">
        <v>27</v>
      </c>
      <c r="B13" s="4" t="n">
        <f aca="false">SUM(B2:B12)</f>
        <v>49328</v>
      </c>
      <c r="C13" s="5"/>
      <c r="D13" s="4" t="n">
        <f aca="false">SUM(D2:D12)</f>
        <v>6166</v>
      </c>
      <c r="E13" s="3" t="s">
        <v>28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20"/>
    <col collapsed="false" customWidth="true" hidden="false" outlineLevel="0" max="3" min="3" style="1" width="19"/>
    <col collapsed="false" customWidth="true" hidden="false" outlineLevel="0" max="4" min="4" style="1" width="42"/>
  </cols>
  <sheetData>
    <row r="1" customFormat="false" ht="36" hidden="false" customHeight="true" outlineLevel="0" collapsed="false">
      <c r="A1" s="2" t="s">
        <v>29</v>
      </c>
      <c r="B1" s="2" t="s">
        <v>30</v>
      </c>
      <c r="C1" s="2" t="s">
        <v>31</v>
      </c>
      <c r="D1" s="2" t="s">
        <v>4</v>
      </c>
    </row>
    <row r="2" customFormat="false" ht="24" hidden="false" customHeight="true" outlineLevel="0" collapsed="false">
      <c r="A2" s="3" t="s">
        <v>32</v>
      </c>
      <c r="B2" s="6" t="n">
        <v>640</v>
      </c>
      <c r="C2" s="3" t="s">
        <v>33</v>
      </c>
      <c r="D2" s="3" t="s">
        <v>34</v>
      </c>
    </row>
    <row r="3" customFormat="false" ht="24" hidden="false" customHeight="true" outlineLevel="0" collapsed="false">
      <c r="A3" s="3" t="s">
        <v>35</v>
      </c>
      <c r="B3" s="6" t="n">
        <v>80</v>
      </c>
      <c r="C3" s="3" t="s">
        <v>33</v>
      </c>
      <c r="D3" s="3" t="s">
        <v>34</v>
      </c>
    </row>
    <row r="4" customFormat="false" ht="24" hidden="false" customHeight="true" outlineLevel="0" collapsed="false">
      <c r="A4" s="3" t="s">
        <v>36</v>
      </c>
      <c r="B4" s="6" t="n">
        <v>17280</v>
      </c>
      <c r="C4" s="3" t="s">
        <v>37</v>
      </c>
      <c r="D4" s="3" t="s">
        <v>38</v>
      </c>
    </row>
    <row r="5" customFormat="false" ht="24" hidden="false" customHeight="true" outlineLevel="0" collapsed="false">
      <c r="A5" s="3" t="s">
        <v>39</v>
      </c>
      <c r="B5" s="6" t="n">
        <v>21760</v>
      </c>
      <c r="C5" s="3" t="s">
        <v>40</v>
      </c>
      <c r="D5" s="3" t="s">
        <v>41</v>
      </c>
    </row>
    <row r="6" customFormat="false" ht="24" hidden="false" customHeight="true" outlineLevel="0" collapsed="false">
      <c r="A6" s="3" t="s">
        <v>42</v>
      </c>
      <c r="B6" s="6" t="n">
        <f aca="false">B5/B2</f>
        <v>34</v>
      </c>
      <c r="C6" s="3" t="s">
        <v>43</v>
      </c>
      <c r="D6" s="3" t="s">
        <v>44</v>
      </c>
    </row>
    <row r="7" customFormat="false" ht="24" hidden="false" customHeight="true" outlineLevel="0" collapsed="false">
      <c r="A7" s="3" t="s">
        <v>45</v>
      </c>
      <c r="B7" s="6" t="n">
        <v>1440</v>
      </c>
      <c r="C7" s="3" t="s">
        <v>37</v>
      </c>
      <c r="D7" s="3" t="s">
        <v>41</v>
      </c>
    </row>
    <row r="8" customFormat="false" ht="24" hidden="false" customHeight="true" outlineLevel="0" collapsed="false">
      <c r="A8" s="3" t="s">
        <v>46</v>
      </c>
      <c r="B8" s="6" t="n">
        <f aca="false">B7*B3/B2</f>
        <v>180</v>
      </c>
      <c r="C8" s="3" t="s">
        <v>37</v>
      </c>
      <c r="D8" s="3" t="s">
        <v>47</v>
      </c>
    </row>
  </sheetData>
  <printOptions headings="false" gridLines="false" gridLinesSet="true" horizontalCentered="false" verticalCentered="false"/>
  <pageMargins left="0.4" right="0.4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