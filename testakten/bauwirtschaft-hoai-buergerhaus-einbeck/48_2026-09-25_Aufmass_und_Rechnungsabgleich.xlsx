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Abgleich" sheetId="1" state="visible" ns1:id="rId3"/>
    <ns0:sheet name="Mengen" sheetId="2" state="visible" ns1:id="rId4"/>
    <ns0:sheet name="Prüfannahmen" sheetId="3" state="visible" ns1:id="rId5"/>
  </ns0:sheets>
  <ns0:definedNames>
    <ns0:definedName name="_xlnm.Print_Area" localSheetId="0">'Abgleich'!A1:H36</ns0:definedName>
    <ns0:definedName name="_xlnm.Print_Titles" localSheetId="0">'Abgleich'!$7:$7</ns0:definedName>
    <ns0:definedName name="_xlnm.Print_Area" localSheetId="1">'Mengen'!A1:G34</ns0:definedName>
    <ns0:definedName name="_xlnm.Print_Titles" localSheetId="1">'Mengen'!$7:$7</ns0:definedName>
    <ns0:definedName name="_xlnm.Print_Area" localSheetId="2">'Prüfannahmen'!A1:D28</ns0:definedName>
    <ns0:definedName name="_xlnm.Print_Titles" localSheetId="2">'Prüfannahmen'!$7:$7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<sst xmlns="http://schemas.openxmlformats.org/spreadsheetml/2006/main" count="143" uniqueCount="101">
  <si>
    <t xml:space="preserve">Aufmaß und Schlussrechnung Los 1</t>
  </si>
  <si>
    <t xml:space="preserve">Hartwig Architektur · 25.09.2026 · Fortführung zu 35, 36 und 37</t>
  </si>
  <si>
    <t xml:space="preserve">Position</t>
  </si>
  <si>
    <t xml:space="preserve">Menge laut Rechnung</t>
  </si>
  <si>
    <t xml:space="preserve">AM 07 Menge</t>
  </si>
  <si>
    <t xml:space="preserve">EP netto EUR</t>
  </si>
  <si>
    <t xml:space="preserve">Verlangt EUR</t>
  </si>
  <si>
    <t xml:space="preserve">Prüfansatz EUR</t>
  </si>
  <si>
    <t xml:space="preserve">Differenz EUR</t>
  </si>
  <si>
    <t xml:space="preserve">Beleg</t>
  </si>
  <si>
    <t xml:space="preserve">2.1 Einrichtung</t>
  </si>
  <si>
    <t xml:space="preserve">25 / Preis; 35 / Menge; 36 / Rechnung</t>
  </si>
  <si>
    <t xml:space="preserve">2.2 Rückbau</t>
  </si>
  <si>
    <t xml:space="preserve">2.3 Aushub</t>
  </si>
  <si>
    <t xml:space="preserve">2.4 Fundamente</t>
  </si>
  <si>
    <t xml:space="preserve">2.5 Bodenplatte</t>
  </si>
  <si>
    <t xml:space="preserve">2.6 Mauerwerk</t>
  </si>
  <si>
    <t xml:space="preserve">2.7 Sockel</t>
  </si>
  <si>
    <t xml:space="preserve">2.8 Innenputz</t>
  </si>
  <si>
    <t xml:space="preserve">2.9 Dach</t>
  </si>
  <si>
    <t xml:space="preserve">2.10 Türen</t>
  </si>
  <si>
    <t xml:space="preserve">2.11 Rampe</t>
  </si>
  <si>
    <t xml:space="preserve">2.12 Rinne</t>
  </si>
  <si>
    <t xml:space="preserve">N01.1 Leitung</t>
  </si>
  <si>
    <t xml:space="preserve">33, 34 und 35</t>
  </si>
  <si>
    <t xml:space="preserve">N01.2 Graben</t>
  </si>
  <si>
    <t xml:space="preserve">N01.3 Abtransport</t>
  </si>
  <si>
    <t xml:space="preserve">N01.4 Anschluss</t>
  </si>
  <si>
    <t xml:space="preserve">N01.5 Bereitschaft</t>
  </si>
  <si>
    <t xml:space="preserve">nicht bestätigt</t>
  </si>
  <si>
    <t xml:space="preserve">33 und 47; 34 ohne Freigabe</t>
  </si>
  <si>
    <t xml:space="preserve">Gesamt netto</t>
  </si>
  <si>
    <t xml:space="preserve">Umsatzsteuer</t>
  </si>
  <si>
    <t xml:space="preserve">Gesamt brutto</t>
  </si>
  <si>
    <t xml:space="preserve">Nach bekannten Abschlägen</t>
  </si>
  <si>
    <t xml:space="preserve">Rest nach späterer Zahlung</t>
  </si>
  <si>
    <t xml:space="preserve">1 Lesen: Verlangt folgt Rechnung 36. Prüfansatz folgt AM-07 und dem Anteil auf Prüfannahmen.</t>
  </si>
  <si>
    <t xml:space="preserve">2 Ausgangsstand: 114.153,80 EUR netto geprüft; N01.5 mit 1.240,00 EUR netto weiter streitig.</t>
  </si>
  <si>
    <t xml:space="preserve">3 F30 ist ein historischer Prüfungsvorschlag. F32 bleibt bis zum späteren Zahlungsnachweis offen.</t>
  </si>
  <si>
    <t xml:space="preserve">Änderungen in Mengen oder Prüfannahmen wirken auf die Berechnung, nicht auf die alten Originale.</t>
  </si>
  <si>
    <t xml:space="preserve">Mengenherleitung aus AM 07</t>
  </si>
  <si>
    <t xml:space="preserve">Übertragung vom 23.09.2026 (46). Keine neue Vermessung verdeckter Bauteile.</t>
  </si>
  <si>
    <t xml:space="preserve">Basis</t>
  </si>
  <si>
    <t xml:space="preserve">Faktor</t>
  </si>
  <si>
    <t xml:space="preserve">Zusatz</t>
  </si>
  <si>
    <t xml:space="preserve">Einheit</t>
  </si>
  <si>
    <t xml:space="preserve">Quelle und Grenze</t>
  </si>
  <si>
    <t xml:space="preserve">psch</t>
  </si>
  <si>
    <t xml:space="preserve">35, AM-07; eine Pauschale.</t>
  </si>
  <si>
    <t xml:space="preserve">m²</t>
  </si>
  <si>
    <t xml:space="preserve">35, AM-07: 18,00 × 12,00 m.</t>
  </si>
  <si>
    <t xml:space="preserve">m³</t>
  </si>
  <si>
    <t xml:space="preserve">35 und 46: ohne 4 m³ N01.2. Geometrisches Einzelblatt fehlt.</t>
  </si>
  <si>
    <t xml:space="preserve">35 und 46: verdeckte Verbreiterung übernommen.</t>
  </si>
  <si>
    <t xml:space="preserve">35: Anbau 10,00 × 8,00 m.</t>
  </si>
  <si>
    <t xml:space="preserve">35: Grund- und Zusatzfläche; Öffnungen gemäß LV abgezogen.</t>
  </si>
  <si>
    <t xml:space="preserve">35: Feststellung vor Verfüllung am 03.10.2023.</t>
  </si>
  <si>
    <t xml:space="preserve">35: Zusatzfläche ohne neue Schadenszuordnung.</t>
  </si>
  <si>
    <t xml:space="preserve">St</t>
  </si>
  <si>
    <t xml:space="preserve">35: drei Außentüren.</t>
  </si>
  <si>
    <t xml:space="preserve">35 und 46: Läufe, Zwischenpodest und Anschlussstreifen.</t>
  </si>
  <si>
    <t xml:space="preserve">m</t>
  </si>
  <si>
    <t xml:space="preserve">35: Endstück 0,40 m; keine Gefällemessung.</t>
  </si>
  <si>
    <t xml:space="preserve">Zwischenpodest</t>
  </si>
  <si>
    <t xml:space="preserve">35: 1,50 × 1,50 m.</t>
  </si>
  <si>
    <t xml:space="preserve">Anschlussstreifen</t>
  </si>
  <si>
    <t xml:space="preserve">35: Flächenwert ohne getrennte Kantenlängen.</t>
  </si>
  <si>
    <t xml:space="preserve">Gelb = übertragene Eingabe, Schwarz = Rechnung. Basis × Faktor + Zusatz ergibt die Menge.</t>
  </si>
  <si>
    <t xml:space="preserve">Einheiten sind positionsbezogen. Bei einfachen Mengenüberträgen ist der Faktor 1 dimensionslos.</t>
  </si>
  <si>
    <t xml:space="preserve">Fehlende Eingaben werden angezeigt. Eine echte Null bleibt eine Null und ist keine fehlende Angabe.</t>
  </si>
  <si>
    <t xml:space="preserve">Die ursprünglichen AM-07 Werte bleiben in Rechnung 36 und Datei 35 unverändert dokumentiert.</t>
  </si>
  <si>
    <t xml:space="preserve">Prüfanteil und Zahlungsbelege</t>
  </si>
  <si>
    <t xml:space="preserve">Eingaben gelb. Die ursprüngliche Prüfung 37 und die Rechnung 36 bleiben unverändert.</t>
  </si>
  <si>
    <t xml:space="preserve">Eingabe oder Beleg</t>
  </si>
  <si>
    <t xml:space="preserve">Wert</t>
  </si>
  <si>
    <t xml:space="preserve">Erläuterung</t>
  </si>
  <si>
    <t xml:space="preserve">Prüfanteil N01.5</t>
  </si>
  <si>
    <t xml:space="preserve">Anteil</t>
  </si>
  <si>
    <t xml:space="preserve">0 % = bisher keine Freigabe. 50 % wäre ein unverbindliches Rechenszenario.</t>
  </si>
  <si>
    <t xml:space="preserve">Umsatzsteuersatz</t>
  </si>
  <si>
    <t xml:space="preserve">36, Schlussrechnung: 19 Prozent.</t>
  </si>
  <si>
    <t xml:space="preserve">Abschlag 12.10.2023</t>
  </si>
  <si>
    <t xml:space="preserve">EUR brutto</t>
  </si>
  <si>
    <t xml:space="preserve">36, Abschnitt 2: vereinnahmt zu LB-231002.</t>
  </si>
  <si>
    <t xml:space="preserve">Abschlag 18.12.2023</t>
  </si>
  <si>
    <t xml:space="preserve">36, Abschnitt 2: vereinnahmt zu LB-231201.</t>
  </si>
  <si>
    <t xml:space="preserve">Spätere Zahlung nachgewiesen</t>
  </si>
  <si>
    <t xml:space="preserve">Offen</t>
  </si>
  <si>
    <t xml:space="preserve">Offen lässt den heutigen Restbetrag unbestimmt. Null ist erst bei bestätigtem Zahlungsverlauf zulässig.</t>
  </si>
  <si>
    <t xml:space="preserve">Späterer Zahlbetrag</t>
  </si>
  <si>
    <t xml:space="preserve">Nur belegte Zahlungen nach den beiden Abschlägen erfassen. Keine Summe aus dem Prüfungsvorschlag übertragen.</t>
  </si>
  <si>
    <t xml:space="preserve">Beleg der späteren Zahlung</t>
  </si>
  <si>
    <t xml:space="preserve">Kontoauszug oder Bestätigung mit Datum und Rechnungsbezug eintragen.</t>
  </si>
  <si>
    <t xml:space="preserve">Aktueller Belegstatus</t>
  </si>
  <si>
    <t xml:space="preserve">1 Bedienung</t>
  </si>
  <si>
    <t xml:space="preserve">Nur gelbe Felder ändern. Formeln stehen in schwarzen Zellen. Beleg und Zahlung gemeinsam erfassen.</t>
  </si>
  <si>
    <t xml:space="preserve">2 Rechenweg</t>
  </si>
  <si>
    <t xml:space="preserve">Mengen × Vertragspreis ergeben den Grundauftrag. N01.5 wird mit dem eingegebenen Anteil bewertet.</t>
  </si>
  <si>
    <t xml:space="preserve">3 Grenzen</t>
  </si>
  <si>
    <t xml:space="preserve">Kein Zahlungsauftrag, Anerkenntnis oder Mängelabzug. Keine automatische Festlegung von Fälligkeit.</t>
  </si>
  <si>
    <t xml:space="preserve">Prüfanteile zwischen 0 und 100 Prozent sind Recheneingaben und ersetzen keine Einigung.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</si>
</sst>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%"/>
    <numFmt numFmtId="167" formatCode="@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111111"/>
      <name val="Times New Roman"/>
      <family val="0"/>
      <charset val="1"/>
    </font>
    <font>
      <b val="true"/>
      <sz val="15"/>
      <color rgb="FF111111"/>
      <name val="Times New Roman"/>
      <family val="0"/>
      <charset val="1"/>
    </font>
    <font>
      <i val="true"/>
      <sz val="11"/>
      <color rgb="FF111111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color rgb="FF174B99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44956"/>
        <bgColor rgb="FF174B99"/>
      </patternFill>
    </fill>
    <fill>
      <patternFill patternType="solid">
        <fgColor rgb="FFFFF2CC"/>
        <bgColor rgb="FFE8EDF0"/>
      </patternFill>
    </fill>
    <fill>
      <patternFill patternType="solid">
        <fgColor rgb="FFE8EDF0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"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D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174B99"/>
      <rgbColor rgb="FF34495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H44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pane xSplit="0" ySplit="7" topLeftCell="A8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25"/>
    <ns0:col collapsed="false" customWidth="true" hidden="false" outlineLevel="0" max="3" min="2" style="0" width="12"/>
    <ns0:col collapsed="false" customWidth="true" hidden="false" outlineLevel="0" max="4" min="4" style="0" width="14"/>
    <ns0:col collapsed="false" customWidth="true" hidden="false" outlineLevel="0" max="5" min="5" style="0" width="16"/>
    <ns0:col collapsed="false" customWidth="true" hidden="false" outlineLevel="0" max="6" min="6" style="0" width="20"/>
    <ns0:col collapsed="false" customWidth="true" hidden="false" outlineLevel="0" max="7" min="7" style="0" width="14"/>
    <ns0:col collapsed="false" customWidth="true" hidden="false" outlineLevel="0" max="8" min="8" style="0" width="24"/>
  </ns0:cols>
  <ns0:sheetData>
    <ns0:row r="1" customFormat="false" ht="8" hidden="false" customHeight="true" outlineLevel="0" collapsed="false">
      <ns0:c r="A1" s="1"/>
      <ns0:c r="B1" s="1"/>
      <ns0:c r="C1" s="1"/>
      <ns0:c r="D1" s="1"/>
      <ns0:c r="E1" s="1"/>
      <ns0:c r="F1" s="1"/>
      <ns0:c r="G1" s="1"/>
      <ns0:c r="H1" s="1"/>
    </ns0:row>
    <ns0:row r="2" customFormat="false" ht="20" hidden="false" customHeight="true" outlineLevel="0" collapsed="false">
      <ns0:c r="A2" s="2" t="s">
        <ns0:v>0</ns0:v>
      </ns0:c>
      <ns0:c r="B2" s="1"/>
      <ns0:c r="C2" s="1"/>
      <ns0:c r="D2" s="1"/>
      <ns0:c r="E2" s="1"/>
      <ns0:c r="F2" s="1"/>
      <ns0:c r="G2" s="1"/>
      <ns0:c r="H2" s="1"/>
    </ns0:row>
    <ns0:row r="3" customFormat="false" ht="20" hidden="false" customHeight="true" outlineLevel="0" collapsed="false">
      <ns0:c r="A3" s="3" t="s">
        <ns0:v>1</ns0:v>
      </ns0:c>
      <ns0:c r="B3" s="1"/>
      <ns0:c r="C3" s="1"/>
      <ns0:c r="D3" s="1"/>
      <ns0:c r="E3" s="1"/>
      <ns0:c r="F3" s="1"/>
      <ns0:c r="G3" s="1"/>
      <ns0:c r="H3" s="1"/>
    </ns0:row>
    <ns0:row r="4" customFormat="false" ht="12" hidden="false" customHeight="true" outlineLevel="0" collapsed="false">
      <ns0:c r="A4" s="1"/>
      <ns0:c r="B4" s="1"/>
      <ns0:c r="C4" s="1"/>
      <ns0:c r="D4" s="1"/>
      <ns0:c r="E4" s="1"/>
      <ns0:c r="F4" s="1"/>
      <ns0:c r="G4" s="1"/>
      <ns0:c r="H4" s="1"/>
    </ns0:row>
    <ns0:row r="5" customFormat="false" ht="12" hidden="false" customHeight="true" outlineLevel="0" collapsed="false">
      <ns0:c r="A5" s="1"/>
      <ns0:c r="B5" s="1"/>
      <ns0:c r="C5" s="1"/>
      <ns0:c r="D5" s="1"/>
      <ns0:c r="E5" s="1"/>
      <ns0:c r="F5" s="1"/>
      <ns0:c r="G5" s="1"/>
      <ns0:c r="H5" s="1"/>
    </ns0:row>
    <ns0:row r="6" customFormat="false" ht="12" hidden="false" customHeight="true" outlineLevel="0" collapsed="false">
      <ns0:c r="A6" s="1"/>
      <ns0:c r="B6" s="1"/>
      <ns0:c r="C6" s="1"/>
      <ns0:c r="D6" s="1"/>
      <ns0:c r="E6" s="1"/>
      <ns0:c r="F6" s="1"/>
      <ns0:c r="G6" s="1"/>
      <ns0:c r="H6" s="1"/>
    </ns0:row>
    <ns0:row r="7" customFormat="false" ht="38" hidden="false" customHeight="true" outlineLevel="0" collapsed="false">
      <ns0:c r="A7" s="4" t="s">
        <ns0:v>2</ns0:v>
      </ns0:c>
      <ns0:c r="B7" s="4" t="s">
        <ns0:v>3</ns0:v>
      </ns0:c>
      <ns0:c r="C7" s="4" t="s">
        <ns0:v>4</ns0:v>
      </ns0:c>
      <ns0:c r="D7" s="4" t="s">
        <ns0:v>5</ns0:v>
      </ns0:c>
      <ns0:c r="E7" s="4" t="s">
        <ns0:v>6</ns0:v>
      </ns0:c>
      <ns0:c r="F7" s="4" t="s">
        <ns0:v>7</ns0:v>
      </ns0:c>
      <ns0:c r="G7" s="4" t="s">
        <ns0:v>8</ns0:v>
      </ns0:c>
      <ns0:c r="H7" s="4" t="s">
        <ns0:v>9</ns0:v>
      </ns0:c>
    </ns0:row>
    <ns0:row r="8" customFormat="false" ht="36" hidden="false" customHeight="true" outlineLevel="0" collapsed="false">
      <ns0:c r="A8" s="5" t="s">
        <ns0:v>10</ns0:v>
      </ns0:c>
      <ns0:c r="B8" s="6" t="n">
        <ns0:v>1</ns0:v>
      </ns0:c>
      <ns0:c r="C8" s="7" t="n">
        <ns0:f aca="false">Mengen!E8</ns0:f>
        <ns0:v>1</ns0:v>
      </ns0:c>
      <ns0:c r="D8" s="6" t="n">
        <ns0:v>9000</ns0:v>
      </ns0:c>
      <ns0:c r="E8" s="7" t="n">
        <ns0:f aca="false">IF(OR(NOT(ISNUMBER(B8)),NOT(ISNUMBER(D8))),"Eingabe fehlt",ROUND(B8*D8,2))</ns0:f>
        <ns0:v>9000</ns0:v>
      </ns0:c>
      <ns0:c r="F8" s="7" t="n">
        <ns0:f aca="false">IF(OR(NOT(ISNUMBER(C8)),NOT(ISNUMBER(D8))),"Eingabe fehlt",ROUND(C8*D8,2))</ns0:f>
        <ns0:v>9000</ns0:v>
      </ns0:c>
      <ns0:c r="G8" s="7" t="n">
        <ns0:f aca="false">IF(OR(NOT(ISNUMBER(E8)),NOT(ISNUMBER(F8))),"Offen",E8-F8)</ns0:f>
        <ns0:v>0</ns0:v>
      </ns0:c>
      <ns0:c r="H8" s="5" t="s">
        <ns0:v>11</ns0:v>
      </ns0:c>
    </ns0:row>
    <ns0:row r="9" customFormat="false" ht="36" hidden="false" customHeight="true" outlineLevel="0" collapsed="false">
      <ns0:c r="A9" s="5" t="s">
        <ns0:v>12</ns0:v>
      </ns0:c>
      <ns0:c r="B9" s="6" t="n">
        <ns0:v>216</ns0:v>
      </ns0:c>
      <ns0:c r="C9" s="7" t="n">
        <ns0:f aca="false">Mengen!E9</ns0:f>
        <ns0:v>216</ns0:v>
      </ns0:c>
      <ns0:c r="D9" s="6" t="n">
        <ns0:v>41</ns0:v>
      </ns0:c>
      <ns0:c r="E9" s="7" t="n">
        <ns0:f aca="false">IF(OR(NOT(ISNUMBER(B9)),NOT(ISNUMBER(D9))),"Eingabe fehlt",ROUND(B9*D9,2))</ns0:f>
        <ns0:v>8856</ns0:v>
      </ns0:c>
      <ns0:c r="F9" s="7" t="n">
        <ns0:f aca="false">IF(OR(NOT(ISNUMBER(C9)),NOT(ISNUMBER(D9))),"Eingabe fehlt",ROUND(C9*D9,2))</ns0:f>
        <ns0:v>8856</ns0:v>
      </ns0:c>
      <ns0:c r="G9" s="7" t="n">
        <ns0:f aca="false">IF(OR(NOT(ISNUMBER(E9)),NOT(ISNUMBER(F9))),"Offen",E9-F9)</ns0:f>
        <ns0:v>0</ns0:v>
      </ns0:c>
      <ns0:c r="H9" s="5" t="s">
        <ns0:v>11</ns0:v>
      </ns0:c>
    </ns0:row>
    <ns0:row r="10" customFormat="false" ht="36" hidden="false" customHeight="true" outlineLevel="0" collapsed="false">
      <ns0:c r="A10" s="5" t="s">
        <ns0:v>13</ns0:v>
      </ns0:c>
      <ns0:c r="B10" s="6" t="n">
        <ns0:v>66</ns0:v>
      </ns0:c>
      <ns0:c r="C10" s="7" t="n">
        <ns0:f aca="false">Mengen!E10</ns0:f>
        <ns0:v>66</ns0:v>
      </ns0:c>
      <ns0:c r="D10" s="6" t="n">
        <ns0:v>92</ns0:v>
      </ns0:c>
      <ns0:c r="E10" s="7" t="n">
        <ns0:f aca="false">IF(OR(NOT(ISNUMBER(B10)),NOT(ISNUMBER(D10))),"Eingabe fehlt",ROUND(B10*D10,2))</ns0:f>
        <ns0:v>6072</ns0:v>
      </ns0:c>
      <ns0:c r="F10" s="7" t="n">
        <ns0:f aca="false">IF(OR(NOT(ISNUMBER(C10)),NOT(ISNUMBER(D10))),"Eingabe fehlt",ROUND(C10*D10,2))</ns0:f>
        <ns0:v>6072</ns0:v>
      </ns0:c>
      <ns0:c r="G10" s="7" t="n">
        <ns0:f aca="false">IF(OR(NOT(ISNUMBER(E10)),NOT(ISNUMBER(F10))),"Offen",E10-F10)</ns0:f>
        <ns0:v>0</ns0:v>
      </ns0:c>
      <ns0:c r="H10" s="5" t="s">
        <ns0:v>11</ns0:v>
      </ns0:c>
    </ns0:row>
    <ns0:row r="11" customFormat="false" ht="36" hidden="false" customHeight="true" outlineLevel="0" collapsed="false">
      <ns0:c r="A11" s="5" t="s">
        <ns0:v>14</ns0:v>
      </ns0:c>
      <ns0:c r="B11" s="6" t="n">
        <ns0:v>25.2</ns0:v>
      </ns0:c>
      <ns0:c r="C11" s="7" t="n">
        <ns0:f aca="false">Mengen!E11</ns0:f>
        <ns0:v>25.2</ns0:v>
      </ns0:c>
      <ns0:c r="D11" s="6" t="n">
        <ns0:v>330</ns0:v>
      </ns0:c>
      <ns0:c r="E11" s="7" t="n">
        <ns0:f aca="false">IF(OR(NOT(ISNUMBER(B11)),NOT(ISNUMBER(D11))),"Eingabe fehlt",ROUND(B11*D11,2))</ns0:f>
        <ns0:v>8316</ns0:v>
      </ns0:c>
      <ns0:c r="F11" s="7" t="n">
        <ns0:f aca="false">IF(OR(NOT(ISNUMBER(C11)),NOT(ISNUMBER(D11))),"Eingabe fehlt",ROUND(C11*D11,2))</ns0:f>
        <ns0:v>8316</ns0:v>
      </ns0:c>
      <ns0:c r="G11" s="7" t="n">
        <ns0:f aca="false">IF(OR(NOT(ISNUMBER(E11)),NOT(ISNUMBER(F11))),"Offen",E11-F11)</ns0:f>
        <ns0:v>0</ns0:v>
      </ns0:c>
      <ns0:c r="H11" s="5" t="s">
        <ns0:v>11</ns0:v>
      </ns0:c>
    </ns0:row>
    <ns0:row r="12" customFormat="false" ht="36" hidden="false" customHeight="true" outlineLevel="0" collapsed="false">
      <ns0:c r="A12" s="5" t="s">
        <ns0:v>15</ns0:v>
      </ns0:c>
      <ns0:c r="B12" s="6" t="n">
        <ns0:v>80</ns0:v>
      </ns0:c>
      <ns0:c r="C12" s="7" t="n">
        <ns0:f aca="false">Mengen!E12</ns0:f>
        <ns0:v>80</ns0:v>
      </ns0:c>
      <ns0:c r="D12" s="6" t="n">
        <ns0:v>152</ns0:v>
      </ns0:c>
      <ns0:c r="E12" s="7" t="n">
        <ns0:f aca="false">IF(OR(NOT(ISNUMBER(B12)),NOT(ISNUMBER(D12))),"Eingabe fehlt",ROUND(B12*D12,2))</ns0:f>
        <ns0:v>12160</ns0:v>
      </ns0:c>
      <ns0:c r="F12" s="7" t="n">
        <ns0:f aca="false">IF(OR(NOT(ISNUMBER(C12)),NOT(ISNUMBER(D12))),"Eingabe fehlt",ROUND(C12*D12,2))</ns0:f>
        <ns0:v>12160</ns0:v>
      </ns0:c>
      <ns0:c r="G12" s="7" t="n">
        <ns0:f aca="false">IF(OR(NOT(ISNUMBER(E12)),NOT(ISNUMBER(F12))),"Offen",E12-F12)</ns0:f>
        <ns0:v>0</ns0:v>
      </ns0:c>
      <ns0:c r="H12" s="5" t="s">
        <ns0:v>11</ns0:v>
      </ns0:c>
    </ns0:row>
    <ns0:row r="13" customFormat="false" ht="36" hidden="false" customHeight="true" outlineLevel="0" collapsed="false">
      <ns0:c r="A13" s="5" t="s">
        <ns0:v>16</ns0:v>
      </ns0:c>
      <ns0:c r="B13" s="6" t="n">
        <ns0:v>98</ns0:v>
      </ns0:c>
      <ns0:c r="C13" s="7" t="n">
        <ns0:f aca="false">Mengen!E13</ns0:f>
        <ns0:v>98</ns0:v>
      </ns0:c>
      <ns0:c r="D13" s="6" t="n">
        <ns0:v>135</ns0:v>
      </ns0:c>
      <ns0:c r="E13" s="7" t="n">
        <ns0:f aca="false">IF(OR(NOT(ISNUMBER(B13)),NOT(ISNUMBER(D13))),"Eingabe fehlt",ROUND(B13*D13,2))</ns0:f>
        <ns0:v>13230</ns0:v>
      </ns0:c>
      <ns0:c r="F13" s="7" t="n">
        <ns0:f aca="false">IF(OR(NOT(ISNUMBER(C13)),NOT(ISNUMBER(D13))),"Eingabe fehlt",ROUND(C13*D13,2))</ns0:f>
        <ns0:v>13230</ns0:v>
      </ns0:c>
      <ns0:c r="G13" s="7" t="n">
        <ns0:f aca="false">IF(OR(NOT(ISNUMBER(E13)),NOT(ISNUMBER(F13))),"Offen",E13-F13)</ns0:f>
        <ns0:v>0</ns0:v>
      </ns0:c>
      <ns0:c r="H13" s="5" t="s">
        <ns0:v>11</ns0:v>
      </ns0:c>
    </ns0:row>
    <ns0:row r="14" customFormat="false" ht="36" hidden="false" customHeight="true" outlineLevel="0" collapsed="false">
      <ns0:c r="A14" s="5" t="s">
        <ns0:v>17</ns0:v>
      </ns0:c>
      <ns0:c r="B14" s="6" t="n">
        <ns0:v>42</ns0:v>
      </ns0:c>
      <ns0:c r="C14" s="7" t="n">
        <ns0:f aca="false">Mengen!E14</ns0:f>
        <ns0:v>42</ns0:v>
      </ns0:c>
      <ns0:c r="D14" s="6" t="n">
        <ns0:v>205</ns0:v>
      </ns0:c>
      <ns0:c r="E14" s="7" t="n">
        <ns0:f aca="false">IF(OR(NOT(ISNUMBER(B14)),NOT(ISNUMBER(D14))),"Eingabe fehlt",ROUND(B14*D14,2))</ns0:f>
        <ns0:v>8610</ns0:v>
      </ns0:c>
      <ns0:c r="F14" s="7" t="n">
        <ns0:f aca="false">IF(OR(NOT(ISNUMBER(C14)),NOT(ISNUMBER(D14))),"Eingabe fehlt",ROUND(C14*D14,2))</ns0:f>
        <ns0:v>8610</ns0:v>
      </ns0:c>
      <ns0:c r="G14" s="7" t="n">
        <ns0:f aca="false">IF(OR(NOT(ISNUMBER(E14)),NOT(ISNUMBER(F14))),"Offen",E14-F14)</ns0:f>
        <ns0:v>0</ns0:v>
      </ns0:c>
      <ns0:c r="H14" s="5" t="s">
        <ns0:v>11</ns0:v>
      </ns0:c>
    </ns0:row>
    <ns0:row r="15" customFormat="false" ht="36" hidden="false" customHeight="true" outlineLevel="0" collapsed="false">
      <ns0:c r="A15" s="5" t="s">
        <ns0:v>18</ns0:v>
      </ns0:c>
      <ns0:c r="B15" s="6" t="n">
        <ns0:v>150</ns0:v>
      </ns0:c>
      <ns0:c r="C15" s="7" t="n">
        <ns0:f aca="false">Mengen!E15</ns0:f>
        <ns0:v>150</ns0:v>
      </ns0:c>
      <ns0:c r="D15" s="6" t="n">
        <ns0:v>52</ns0:v>
      </ns0:c>
      <ns0:c r="E15" s="7" t="n">
        <ns0:f aca="false">IF(OR(NOT(ISNUMBER(B15)),NOT(ISNUMBER(D15))),"Eingabe fehlt",ROUND(B15*D15,2))</ns0:f>
        <ns0:v>7800</ns0:v>
      </ns0:c>
      <ns0:c r="F15" s="7" t="n">
        <ns0:f aca="false">IF(OR(NOT(ISNUMBER(C15)),NOT(ISNUMBER(D15))),"Eingabe fehlt",ROUND(C15*D15,2))</ns0:f>
        <ns0:v>7800</ns0:v>
      </ns0:c>
      <ns0:c r="G15" s="7" t="n">
        <ns0:f aca="false">IF(OR(NOT(ISNUMBER(E15)),NOT(ISNUMBER(F15))),"Offen",E15-F15)</ns0:f>
        <ns0:v>0</ns0:v>
      </ns0:c>
      <ns0:c r="H15" s="5" t="s">
        <ns0:v>11</ns0:v>
      </ns0:c>
    </ns0:row>
    <ns0:row r="16" customFormat="false" ht="36" hidden="false" customHeight="true" outlineLevel="0" collapsed="false">
      <ns0:c r="A16" s="5" t="s">
        <ns0:v>19</ns0:v>
      </ns0:c>
      <ns0:c r="B16" s="6" t="n">
        <ns0:v>80</ns0:v>
      </ns0:c>
      <ns0:c r="C16" s="7" t="n">
        <ns0:f aca="false">Mengen!E16</ns0:f>
        <ns0:v>80</ns0:v>
      </ns0:c>
      <ns0:c r="D16" s="6" t="n">
        <ns0:v>268</ns0:v>
      </ns0:c>
      <ns0:c r="E16" s="7" t="n">
        <ns0:f aca="false">IF(OR(NOT(ISNUMBER(B16)),NOT(ISNUMBER(D16))),"Eingabe fehlt",ROUND(B16*D16,2))</ns0:f>
        <ns0:v>21440</ns0:v>
      </ns0:c>
      <ns0:c r="F16" s="7" t="n">
        <ns0:f aca="false">IF(OR(NOT(ISNUMBER(C16)),NOT(ISNUMBER(D16))),"Eingabe fehlt",ROUND(C16*D16,2))</ns0:f>
        <ns0:v>21440</ns0:v>
      </ns0:c>
      <ns0:c r="G16" s="7" t="n">
        <ns0:f aca="false">IF(OR(NOT(ISNUMBER(E16)),NOT(ISNUMBER(F16))),"Offen",E16-F16)</ns0:f>
        <ns0:v>0</ns0:v>
      </ns0:c>
      <ns0:c r="H16" s="5" t="s">
        <ns0:v>11</ns0:v>
      </ns0:c>
    </ns0:row>
    <ns0:row r="17" customFormat="false" ht="36" hidden="false" customHeight="true" outlineLevel="0" collapsed="false">
      <ns0:c r="A17" s="5" t="s">
        <ns0:v>20</ns0:v>
      </ns0:c>
      <ns0:c r="B17" s="6" t="n">
        <ns0:v>3</ns0:v>
      </ns0:c>
      <ns0:c r="C17" s="7" t="n">
        <ns0:f aca="false">Mengen!E17</ns0:f>
        <ns0:v>3</ns0:v>
      </ns0:c>
      <ns0:c r="D17" s="6" t="n">
        <ns0:v>2590</ns0:v>
      </ns0:c>
      <ns0:c r="E17" s="7" t="n">
        <ns0:f aca="false">IF(OR(NOT(ISNUMBER(B17)),NOT(ISNUMBER(D17))),"Eingabe fehlt",ROUND(B17*D17,2))</ns0:f>
        <ns0:v>7770</ns0:v>
      </ns0:c>
      <ns0:c r="F17" s="7" t="n">
        <ns0:f aca="false">IF(OR(NOT(ISNUMBER(C17)),NOT(ISNUMBER(D17))),"Eingabe fehlt",ROUND(C17*D17,2))</ns0:f>
        <ns0:v>7770</ns0:v>
      </ns0:c>
      <ns0:c r="G17" s="7" t="n">
        <ns0:f aca="false">IF(OR(NOT(ISNUMBER(E17)),NOT(ISNUMBER(F17))),"Offen",E17-F17)</ns0:f>
        <ns0:v>0</ns0:v>
      </ns0:c>
      <ns0:c r="H17" s="5" t="s">
        <ns0:v>11</ns0:v>
      </ns0:c>
    </ns0:row>
    <ns0:row r="18" customFormat="false" ht="36" hidden="false" customHeight="true" outlineLevel="0" collapsed="false">
      <ns0:c r="A18" s="5" t="s">
        <ns0:v>21</ns0:v>
      </ns0:c>
      <ns0:c r="B18" s="6" t="n">
        <ns0:v>21.45</ns0:v>
      </ns0:c>
      <ns0:c r="C18" s="7" t="n">
        <ns0:f aca="false">Mengen!E18</ns0:f>
        <ns0:v>21.45</ns0:v>
      </ns0:c>
      <ns0:c r="D18" s="6" t="n">
        <ns0:v>260</ns0:v>
      </ns0:c>
      <ns0:c r="E18" s="7" t="n">
        <ns0:f aca="false">IF(OR(NOT(ISNUMBER(B18)),NOT(ISNUMBER(D18))),"Eingabe fehlt",ROUND(B18*D18,2))</ns0:f>
        <ns0:v>5577</ns0:v>
      </ns0:c>
      <ns0:c r="F18" s="7" t="n">
        <ns0:f aca="false">IF(OR(NOT(ISNUMBER(C18)),NOT(ISNUMBER(D18))),"Eingabe fehlt",ROUND(C18*D18,2))</ns0:f>
        <ns0:v>5577</ns0:v>
      </ns0:c>
      <ns0:c r="G18" s="7" t="n">
        <ns0:f aca="false">IF(OR(NOT(ISNUMBER(E18)),NOT(ISNUMBER(F18))),"Offen",E18-F18)</ns0:f>
        <ns0:v>0</ns0:v>
      </ns0:c>
      <ns0:c r="H18" s="5" t="s">
        <ns0:v>11</ns0:v>
      </ns0:c>
    </ns0:row>
    <ns0:row r="19" customFormat="false" ht="36" hidden="false" customHeight="true" outlineLevel="0" collapsed="false">
      <ns0:c r="A19" s="5" t="s">
        <ns0:v>22</ns0:v>
      </ns0:c>
      <ns0:c r="B19" s="6" t="n">
        <ns0:v>9.4</ns0:v>
      </ns0:c>
      <ns0:c r="C19" s="7" t="n">
        <ns0:f aca="false">Mengen!E19</ns0:f>
        <ns0:v>9.4</ns0:v>
      </ns0:c>
      <ns0:c r="D19" s="6" t="n">
        <ns0:v>172</ns0:v>
      </ns0:c>
      <ns0:c r="E19" s="7" t="n">
        <ns0:f aca="false">IF(OR(NOT(ISNUMBER(B19)),NOT(ISNUMBER(D19))),"Eingabe fehlt",ROUND(B19*D19,2))</ns0:f>
        <ns0:v>1616.8</ns0:v>
      </ns0:c>
      <ns0:c r="F19" s="7" t="n">
        <ns0:f aca="false">IF(OR(NOT(ISNUMBER(C19)),NOT(ISNUMBER(D19))),"Eingabe fehlt",ROUND(C19*D19,2))</ns0:f>
        <ns0:v>1616.8</ns0:v>
      </ns0:c>
      <ns0:c r="G19" s="7" t="n">
        <ns0:f aca="false">IF(OR(NOT(ISNUMBER(E19)),NOT(ISNUMBER(F19))),"Offen",E19-F19)</ns0:f>
        <ns0:v>0</ns0:v>
      </ns0:c>
      <ns0:c r="H19" s="5" t="s">
        <ns0:v>11</ns0:v>
      </ns0:c>
    </ns0:row>
    <ns0:row r="20" customFormat="false" ht="36" hidden="false" customHeight="true" outlineLevel="0" collapsed="false">
      <ns0:c r="A20" s="5" t="s">
        <ns0:v>23</ns0:v>
      </ns0:c>
      <ns0:c r="B20" s="6" t="n">
        <ns0:v>14</ns0:v>
      </ns0:c>
      <ns0:c r="C20" s="6" t="n">
        <ns0:v>14</ns0:v>
      </ns0:c>
      <ns0:c r="D20" s="6" t="n">
        <ns0:v>145</ns0:v>
      </ns0:c>
      <ns0:c r="E20" s="7" t="n">
        <ns0:f aca="false">IF(AND(ISNUMBER(B20),ISNUMBER(D20)),ROUND(B20*D20,2),"Eingabe fehlt")</ns0:f>
        <ns0:v>2030</ns0:v>
      </ns0:c>
      <ns0:c r="F20" s="7" t="n">
        <ns0:f aca="false">IF(AND(ISNUMBER(C20),ISNUMBER(D20)),ROUND(C20*D20,2),"Eingabe fehlt")</ns0:f>
        <ns0:v>2030</ns0:v>
      </ns0:c>
      <ns0:c r="G20" s="7" t="n">
        <ns0:f aca="false">IF(AND(ISNUMBER(E20),ISNUMBER(F20)),E20-F20,"Offen")</ns0:f>
        <ns0:v>0</ns0:v>
      </ns0:c>
      <ns0:c r="H20" s="5" t="s">
        <ns0:v>24</ns0:v>
      </ns0:c>
    </ns0:row>
    <ns0:row r="21" customFormat="false" ht="36" hidden="false" customHeight="true" outlineLevel="0" collapsed="false">
      <ns0:c r="A21" s="5" t="s">
        <ns0:v>25</ns0:v>
      </ns0:c>
      <ns0:c r="B21" s="6" t="n">
        <ns0:v>4</ns0:v>
      </ns0:c>
      <ns0:c r="C21" s="6" t="n">
        <ns0:v>4</ns0:v>
      </ns0:c>
      <ns0:c r="D21" s="6" t="n">
        <ns0:v>92</ns0:v>
      </ns0:c>
      <ns0:c r="E21" s="7" t="n">
        <ns0:f aca="false">IF(AND(ISNUMBER(B21),ISNUMBER(D21)),ROUND(B21*D21,2),"Eingabe fehlt")</ns0:f>
        <ns0:v>368</ns0:v>
      </ns0:c>
      <ns0:c r="F21" s="7" t="n">
        <ns0:f aca="false">IF(AND(ISNUMBER(C21),ISNUMBER(D21)),ROUND(C21*D21,2),"Eingabe fehlt")</ns0:f>
        <ns0:v>368</ns0:v>
      </ns0:c>
      <ns0:c r="G21" s="7" t="n">
        <ns0:f aca="false">IF(AND(ISNUMBER(E21),ISNUMBER(F21)),E21-F21,"Offen")</ns0:f>
        <ns0:v>0</ns0:v>
      </ns0:c>
      <ns0:c r="H21" s="5" t="s">
        <ns0:v>24</ns0:v>
      </ns0:c>
    </ns0:row>
    <ns0:row r="22" customFormat="false" ht="36" hidden="false" customHeight="true" outlineLevel="0" collapsed="false">
      <ns0:c r="A22" s="5" t="s">
        <ns0:v>26</ns0:v>
      </ns0:c>
      <ns0:c r="B22" s="6" t="n">
        <ns0:v>1</ns0:v>
      </ns0:c>
      <ns0:c r="C22" s="6" t="n">
        <ns0:v>1</ns0:v>
      </ns0:c>
      <ns0:c r="D22" s="6" t="n">
        <ns0:v>380</ns0:v>
      </ns0:c>
      <ns0:c r="E22" s="7" t="n">
        <ns0:f aca="false">IF(AND(ISNUMBER(B22),ISNUMBER(D22)),ROUND(B22*D22,2),"Eingabe fehlt")</ns0:f>
        <ns0:v>380</ns0:v>
      </ns0:c>
      <ns0:c r="F22" s="7" t="n">
        <ns0:f aca="false">IF(AND(ISNUMBER(C22),ISNUMBER(D22)),ROUND(C22*D22,2),"Eingabe fehlt")</ns0:f>
        <ns0:v>380</ns0:v>
      </ns0:c>
      <ns0:c r="G22" s="7" t="n">
        <ns0:f aca="false">IF(AND(ISNUMBER(E22),ISNUMBER(F22)),E22-F22,"Offen")</ns0:f>
        <ns0:v>0</ns0:v>
      </ns0:c>
      <ns0:c r="H22" s="5" t="s">
        <ns0:v>24</ns0:v>
      </ns0:c>
    </ns0:row>
    <ns0:row r="23" customFormat="false" ht="36" hidden="false" customHeight="true" outlineLevel="0" collapsed="false">
      <ns0:c r="A23" s="5" t="s">
        <ns0:v>27</ns0:v>
      </ns0:c>
      <ns0:c r="B23" s="6" t="n">
        <ns0:v>16</ns0:v>
      </ns0:c>
      <ns0:c r="C23" s="6" t="n">
        <ns0:v>16</ns0:v>
      </ns0:c>
      <ns0:c r="D23" s="6" t="n">
        <ns0:v>58</ns0:v>
      </ns0:c>
      <ns0:c r="E23" s="7" t="n">
        <ns0:f aca="false">IF(AND(ISNUMBER(B23),ISNUMBER(D23)),ROUND(B23*D23,2),"Eingabe fehlt")</ns0:f>
        <ns0:v>928</ns0:v>
      </ns0:c>
      <ns0:c r="F23" s="7" t="n">
        <ns0:f aca="false">IF(AND(ISNUMBER(C23),ISNUMBER(D23)),ROUND(C23*D23,2),"Eingabe fehlt")</ns0:f>
        <ns0:v>928</ns0:v>
      </ns0:c>
      <ns0:c r="G23" s="7" t="n">
        <ns0:f aca="false">IF(AND(ISNUMBER(E23),ISNUMBER(F23)),E23-F23,"Offen")</ns0:f>
        <ns0:v>0</ns0:v>
      </ns0:c>
      <ns0:c r="H23" s="5" t="s">
        <ns0:v>24</ns0:v>
      </ns0:c>
    </ns0:row>
    <ns0:row r="24" customFormat="false" ht="36" hidden="false" customHeight="true" outlineLevel="0" collapsed="false">
      <ns0:c r="A24" s="5" t="s">
        <ns0:v>28</ns0:v>
      </ns0:c>
      <ns0:c r="B24" s="6" t="n">
        <ns0:v>2</ns0:v>
      </ns0:c>
      <ns0:c r="C24" s="7" t="s">
        <ns0:v>29</ns0:v>
      </ns0:c>
      <ns0:c r="D24" s="6" t="n">
        <ns0:v>620</ns0:v>
      </ns0:c>
      <ns0:c r="E24" s="7" t="n">
        <ns0:f aca="false">IF(AND(ISNUMBER(B24),ISNUMBER(D24)),ROUND(B24*D24,2),"Eingabe fehlt")</ns0:f>
        <ns0:v>1240</ns0:v>
      </ns0:c>
      <ns0:c r="F24" s="7" t="n">
        <ns0:f aca="false">IF(NOT(ISNUMBER(E24)),"Eingabe fehlt",IF(OR(NOT(ISNUMBER(Prüfannahmen!B8)),Prüfannahmen!B8&lt;0,Prüfannahmen!B8&gt;1),"Anteil prüfen",ROUND(E24*Prüfannahmen!B8,2)))</ns0:f>
        <ns0:v>0</ns0:v>
      </ns0:c>
      <ns0:c r="G24" s="7" t="n">
        <ns0:f aca="false">IF(AND(ISNUMBER(E24),ISNUMBER(F24)),E24-F24,"Offen")</ns0:f>
        <ns0:v>1240</ns0:v>
      </ns0:c>
      <ns0:c r="H24" s="5" t="s">
        <ns0:v>30</ns0:v>
      </ns0:c>
    </ns0:row>
    <ns0:row r="25" customFormat="false" ht="20" hidden="false" customHeight="true" outlineLevel="0" collapsed="false">
      <ns0:c r="A25" s="5"/>
      <ns0:c r="B25" s="7"/>
      <ns0:c r="C25" s="7"/>
      <ns0:c r="D25" s="7"/>
      <ns0:c r="E25" s="7"/>
      <ns0:c r="F25" s="7"/>
      <ns0:c r="G25" s="7"/>
      <ns0:c r="H25" s="5"/>
    </ns0:row>
    <ns0:row r="26" customFormat="false" ht="20" hidden="false" customHeight="true" outlineLevel="0" collapsed="false">
      <ns0:c r="A26" s="8" t="s">
        <ns0:v>31</ns0:v>
      </ns0:c>
      <ns0:c r="B26" s="9"/>
      <ns0:c r="C26" s="9"/>
      <ns0:c r="D26" s="9"/>
      <ns0:c r="E26" s="9" t="n">
        <ns0:f aca="false">IF(COUNT(E8:E24)&lt;&gt;17,"Eingabe fehlt",SUM(E8:E24))</ns0:f>
        <ns0:v>115393.8</ns0:v>
      </ns0:c>
      <ns0:c r="F26" s="9" t="n">
        <ns0:f aca="false">IF(COUNT(F8:F24)&lt;&gt;17,"Eingabe fehlt",SUM(F8:F24))</ns0:f>
        <ns0:v>114153.8</ns0:v>
      </ns0:c>
      <ns0:c r="G26" s="9"/>
      <ns0:c r="H26" s="8"/>
    </ns0:row>
    <ns0:row r="27" customFormat="false" ht="20" hidden="false" customHeight="true" outlineLevel="0" collapsed="false">
      <ns0:c r="A27" s="8" t="s">
        <ns0:v>32</ns0:v>
      </ns0:c>
      <ns0:c r="B27" s="9"/>
      <ns0:c r="C27" s="9"/>
      <ns0:c r="D27" s="9"/>
      <ns0:c r="E27" s="9" t="n">
        <ns0:f aca="false">IF(AND(ISNUMBER(E26),ISNUMBER(Prüfannahmen!B9)),ROUND(E26*Prüfannahmen!B9,2),"Offen")</ns0:f>
        <ns0:v>21924.82</ns0:v>
      </ns0:c>
      <ns0:c r="F27" s="9" t="n">
        <ns0:f aca="false">IF(AND(ISNUMBER(F26),ISNUMBER(Prüfannahmen!B9)),ROUND(F26*Prüfannahmen!B9,2),"Offen")</ns0:f>
        <ns0:v>21689.22</ns0:v>
      </ns0:c>
      <ns0:c r="G27" s="9"/>
      <ns0:c r="H27" s="8"/>
    </ns0:row>
    <ns0:row r="28" customFormat="false" ht="20" hidden="false" customHeight="true" outlineLevel="0" collapsed="false">
      <ns0:c r="A28" s="8" t="s">
        <ns0:v>33</ns0:v>
      </ns0:c>
      <ns0:c r="B28" s="9"/>
      <ns0:c r="C28" s="9"/>
      <ns0:c r="D28" s="9"/>
      <ns0:c r="E28" s="9" t="n">
        <ns0:f aca="false">IF(ISNUMBER(E27),E26+E27,"Offen")</ns0:f>
        <ns0:v>137318.62</ns0:v>
      </ns0:c>
      <ns0:c r="F28" s="9" t="n">
        <ns0:f aca="false">IF(ISNUMBER(F27),F26+F27,"Offen")</ns0:f>
        <ns0:v>135843.02</ns0:v>
      </ns0:c>
      <ns0:c r="G28" s="9"/>
      <ns0:c r="H28" s="8"/>
    </ns0:row>
    <ns0:row r="29" customFormat="false" ht="20" hidden="false" customHeight="true" outlineLevel="0" collapsed="false">
      <ns0:c r="A29" s="5"/>
      <ns0:c r="B29" s="7"/>
      <ns0:c r="C29" s="7"/>
      <ns0:c r="D29" s="7"/>
      <ns0:c r="E29" s="7"/>
      <ns0:c r="F29" s="7"/>
      <ns0:c r="G29" s="7"/>
      <ns0:c r="H29" s="5"/>
    </ns0:row>
    <ns0:row r="30" customFormat="false" ht="20" hidden="false" customHeight="true" outlineLevel="0" collapsed="false">
      <ns0:c r="A30" s="8" t="s">
        <ns0:v>34</ns0:v>
      </ns0:c>
      <ns0:c r="B30" s="9"/>
      <ns0:c r="C30" s="9"/>
      <ns0:c r="D30" s="9"/>
      <ns0:c r="E30" s="9" t="n">
        <ns0:f aca="false">IF(AND(ISNUMBER(E28),COUNT(Prüfannahmen!B10:B11)=2),E28-SUM(Prüfannahmen!B10:B11),"Offen")</ns0:f>
        <ns0:v>54018.62</ns0:v>
      </ns0:c>
      <ns0:c r="F30" s="9" t="n">
        <ns0:f aca="false">IF(AND(ISNUMBER(F28),COUNT(Prüfannahmen!B10:B11)=2),F28-SUM(Prüfannahmen!B10:B11),"Offen")</ns0:f>
        <ns0:v>52543.02</ns0:v>
      </ns0:c>
      <ns0:c r="G30" s="9" t="n">
        <ns0:f aca="false">IF(AND(ISNUMBER(E30),ISNUMBER(F30)),E30-F30,"Offen")</ns0:f>
        <ns0:v>1475.59999999998</ns0:v>
      </ns0:c>
      <ns0:c r="H30" s="8"/>
    </ns0:row>
    <ns0:row r="31" customFormat="false" ht="20" hidden="false" customHeight="true" outlineLevel="0" collapsed="false">
      <ns0:c r="A31" s="5"/>
      <ns0:c r="B31" s="7"/>
      <ns0:c r="C31" s="7"/>
      <ns0:c r="D31" s="7"/>
      <ns0:c r="E31" s="7"/>
      <ns0:c r="F31" s="7"/>
      <ns0:c r="G31" s="7"/>
      <ns0:c r="H31" s="5"/>
    </ns0:row>
    <ns0:row r="32" customFormat="false" ht="42" hidden="false" customHeight="true" outlineLevel="0" collapsed="false">
      <ns0:c r="A32" s="5" t="s">
        <ns0:v>35</ns0:v>
      </ns0:c>
      <ns0:c r="B32" s="7"/>
      <ns0:c r="C32" s="7"/>
      <ns0:c r="D32" s="7"/>
      <ns0:c r="E32" s="7"/>
      <ns0:c r="F32" s="7" t="str">
        <ns0:f aca="false">IF(OR(Prüfannahmen!B12&lt;&gt;"Belegt",NOT(ISNUMBER(Prüfannahmen!B13)),Prüfannahmen!B14="",NOT(ISNUMBER(F30))),"Zahlungsbeleg fehlt",F30-Prüfannahmen!B13)</ns0:f>
        <ns0:v>Zahlungsbeleg fehlt</ns0:v>
      </ns0:c>
      <ns0:c r="G32" s="7"/>
      <ns0:c r="H32" s="5"/>
    </ns0:row>
    <ns0:row r="33" customFormat="false" ht="20" hidden="false" customHeight="true" outlineLevel="0" collapsed="false">
      <ns0:c r="A33" s="1" t="s">
        <ns0:v>36</ns0:v>
      </ns0:c>
      <ns0:c r="B33" s="5"/>
      <ns0:c r="C33" s="5"/>
      <ns0:c r="D33" s="5"/>
      <ns0:c r="E33" s="5"/>
      <ns0:c r="F33" s="5"/>
      <ns0:c r="G33" s="5"/>
      <ns0:c r="H33" s="5"/>
    </ns0:row>
    <ns0:row r="34" customFormat="false" ht="20" hidden="false" customHeight="true" outlineLevel="0" collapsed="false">
      <ns0:c r="A34" s="1" t="s">
        <ns0:v>37</ns0:v>
      </ns0:c>
      <ns0:c r="B34" s="5"/>
      <ns0:c r="C34" s="5"/>
      <ns0:c r="D34" s="5"/>
      <ns0:c r="E34" s="5"/>
      <ns0:c r="F34" s="5"/>
      <ns0:c r="G34" s="5"/>
      <ns0:c r="H34" s="5"/>
    </ns0:row>
    <ns0:row r="35" customFormat="false" ht="20" hidden="false" customHeight="true" outlineLevel="0" collapsed="false">
      <ns0:c r="A35" s="1" t="s">
        <ns0:v>38</ns0:v>
      </ns0:c>
      <ns0:c r="B35" s="5"/>
      <ns0:c r="C35" s="5"/>
      <ns0:c r="D35" s="5"/>
      <ns0:c r="E35" s="5"/>
      <ns0:c r="F35" s="5"/>
      <ns0:c r="G35" s="5"/>
      <ns0:c r="H35" s="5"/>
    </ns0:row>
    <ns0:row r="36" customFormat="false" ht="20" hidden="false" customHeight="true" outlineLevel="0" collapsed="false">
      <ns0:c r="A36" s="1" t="s">
        <ns0:v>39</ns0:v>
      </ns0:c>
      <ns0:c r="B36" s="5"/>
      <ns0:c r="C36" s="5"/>
      <ns0:c r="D36" s="5"/>
      <ns0:c r="E36" s="5"/>
      <ns0:c r="F36" s="5"/>
      <ns0:c r="G36" s="5"/>
      <ns0:c r="H36" s="5"/>
    </ns0:row>
    <ns0:row r="37" customFormat="false" ht="20" hidden="false" customHeight="true" outlineLevel="0" collapsed="false">
      <ns0:c r="A37" s="5"/>
      <ns0:c r="B37" s="5"/>
      <ns0:c r="C37" s="5"/>
      <ns0:c r="D37" s="5"/>
      <ns0:c r="E37" s="5"/>
      <ns0:c r="F37" s="5"/>
      <ns0:c r="G37" s="5"/>
      <ns0:c r="H37" s="5"/>
    </ns0:row>
    <ns0:row r="38" customFormat="false" ht="20" hidden="false" customHeight="true" outlineLevel="0" collapsed="false">
      <ns0:c r="A38" s="5"/>
      <ns0:c r="B38" s="5"/>
      <ns0:c r="C38" s="5"/>
      <ns0:c r="D38" s="5"/>
      <ns0:c r="E38" s="5"/>
      <ns0:c r="F38" s="5"/>
      <ns0:c r="G38" s="5"/>
      <ns0:c r="H38" s="5"/>
    </ns0:row>
    <ns0:row r="39" customFormat="false" ht="20" hidden="false" customHeight="true" outlineLevel="0" collapsed="false">
      <ns0:c r="A39" s="5"/>
      <ns0:c r="B39" s="5"/>
      <ns0:c r="C39" s="5"/>
      <ns0:c r="D39" s="5"/>
      <ns0:c r="E39" s="5"/>
      <ns0:c r="F39" s="5"/>
      <ns0:c r="G39" s="5"/>
      <ns0:c r="H39" s="5"/>
    </ns0:row>
    <ns0:row r="40" customFormat="false" ht="20" hidden="false" customHeight="true" outlineLevel="0" collapsed="false">
      <ns0:c r="A40" s="5"/>
      <ns0:c r="B40" s="5"/>
      <ns0:c r="C40" s="5"/>
      <ns0:c r="D40" s="5"/>
      <ns0:c r="E40" s="5"/>
      <ns0:c r="F40" s="5"/>
      <ns0:c r="G40" s="5"/>
      <ns0:c r="H40" s="5"/>
    </ns0:row>
    <ns0:row r="41" customFormat="false" ht="20" hidden="false" customHeight="true" outlineLevel="0" collapsed="false">
      <ns0:c r="A41" s="5"/>
      <ns0:c r="B41" s="5"/>
      <ns0:c r="C41" s="5"/>
      <ns0:c r="D41" s="5"/>
      <ns0:c r="E41" s="5"/>
      <ns0:c r="F41" s="5"/>
      <ns0:c r="G41" s="5"/>
      <ns0:c r="H41" s="5"/>
    </ns0:row>
    <ns0:row r="42" customFormat="false" ht="20" hidden="false" customHeight="true" outlineLevel="0" collapsed="false">
      <ns0:c r="A42" s="5"/>
      <ns0:c r="B42" s="5"/>
      <ns0:c r="C42" s="5"/>
      <ns0:c r="D42" s="5"/>
      <ns0:c r="E42" s="5"/>
      <ns0:c r="F42" s="5"/>
      <ns0:c r="G42" s="5"/>
      <ns0:c r="H42" s="5"/>
    </ns0:row>
    <ns0:row r="43" customFormat="false" ht="20" hidden="false" customHeight="true" outlineLevel="0" collapsed="false">
      <ns0:c r="A43" s="5"/>
      <ns0:c r="B43" s="5"/>
      <ns0:c r="C43" s="5"/>
      <ns0:c r="D43" s="5"/>
      <ns0:c r="E43" s="5"/>
      <ns0:c r="F43" s="5"/>
      <ns0:c r="G43" s="5"/>
      <ns0:c r="H43" s="5"/>
    </ns0:row>
    <ns0:row r="44" customFormat="false" ht="20" hidden="false" customHeight="true" outlineLevel="0" collapsed="false">
      <ns0:c r="A44" s="5"/>
      <ns0:c r="B44" s="5"/>
      <ns0:c r="C44" s="5"/>
      <ns0:c r="D44" s="5"/>
      <ns0:c r="E44" s="5"/>
      <ns0:c r="F44" s="5"/>
      <ns0:c r="G44" s="5"/>
      <ns0:c r="H44" s="5"/>
    </ns0:row>
  </ns0:sheetData>
  <ns0:conditionalFormatting sqref="G8:G30">
    <ns0:cfRule type="cellIs" priority="2" operator="greaterThan" aboveAverage="0" equalAverage="0" bottom="0" percent="0" rank="0" text="" dxfId="0">
      <ns0:formula>0</ns0:formula>
    </ns0:cfRule>
  </ns0:conditionalFormatting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2.xml><?xml version="1.0" encoding="utf-8"?>
<ns0:worksheet xmlns:ns0="http://schemas.openxmlformats.org/spreadsheetml/2006/main">
  <ns0:sheetPr filterMode="false">
    <ns0:pageSetUpPr fitToPage="1"/>
  </ns0:sheetPr>
  <ns0:dimension ref="A1:G36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0" ySplit="7" topLeftCell="A8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25"/>
    <ns0:col collapsed="false" customWidth="true" hidden="false" outlineLevel="0" max="4" min="2" style="0" width="12"/>
    <ns0:col collapsed="false" customWidth="true" hidden="false" outlineLevel="0" max="5" min="5" style="0" width="15"/>
    <ns0:col collapsed="false" customWidth="true" hidden="false" outlineLevel="0" max="6" min="6" style="0" width="10"/>
    <ns0:col collapsed="false" customWidth="true" hidden="false" outlineLevel="0" max="7" min="7" style="0" width="48"/>
  </ns0:cols>
  <ns0:sheetData>
    <ns0:row r="1" customFormat="false" ht="8" hidden="false" customHeight="true" outlineLevel="0" collapsed="false">
      <ns0:c r="A1" s="1"/>
      <ns0:c r="B1" s="1"/>
      <ns0:c r="C1" s="1"/>
      <ns0:c r="D1" s="1"/>
      <ns0:c r="E1" s="1"/>
      <ns0:c r="F1" s="1"/>
      <ns0:c r="G1" s="1"/>
    </ns0:row>
    <ns0:row r="2" customFormat="false" ht="20" hidden="false" customHeight="true" outlineLevel="0" collapsed="false">
      <ns0:c r="A2" s="2" t="s">
        <ns0:v>40</ns0:v>
      </ns0:c>
      <ns0:c r="B2" s="1"/>
      <ns0:c r="C2" s="1"/>
      <ns0:c r="D2" s="1"/>
      <ns0:c r="E2" s="1"/>
      <ns0:c r="F2" s="1"/>
      <ns0:c r="G2" s="1"/>
    </ns0:row>
    <ns0:row r="3" customFormat="false" ht="20" hidden="false" customHeight="true" outlineLevel="0" collapsed="false">
      <ns0:c r="A3" s="3" t="s">
        <ns0:v>41</ns0:v>
      </ns0:c>
      <ns0:c r="B3" s="1"/>
      <ns0:c r="C3" s="1"/>
      <ns0:c r="D3" s="1"/>
      <ns0:c r="E3" s="1"/>
      <ns0:c r="F3" s="1"/>
      <ns0:c r="G3" s="1"/>
    </ns0:row>
    <ns0:row r="4" customFormat="false" ht="12" hidden="false" customHeight="true" outlineLevel="0" collapsed="false">
      <ns0:c r="A4" s="1"/>
      <ns0:c r="B4" s="1"/>
      <ns0:c r="C4" s="1"/>
      <ns0:c r="D4" s="1"/>
      <ns0:c r="E4" s="1"/>
      <ns0:c r="F4" s="1"/>
      <ns0:c r="G4" s="1"/>
    </ns0:row>
    <ns0:row r="5" customFormat="false" ht="12" hidden="false" customHeight="true" outlineLevel="0" collapsed="false">
      <ns0:c r="A5" s="1"/>
      <ns0:c r="B5" s="1"/>
      <ns0:c r="C5" s="1"/>
      <ns0:c r="D5" s="1"/>
      <ns0:c r="E5" s="1"/>
      <ns0:c r="F5" s="1"/>
      <ns0:c r="G5" s="1"/>
    </ns0:row>
    <ns0:row r="6" customFormat="false" ht="12" hidden="false" customHeight="true" outlineLevel="0" collapsed="false">
      <ns0:c r="A6" s="1"/>
      <ns0:c r="B6" s="1"/>
      <ns0:c r="C6" s="1"/>
      <ns0:c r="D6" s="1"/>
      <ns0:c r="E6" s="1"/>
      <ns0:c r="F6" s="1"/>
      <ns0:c r="G6" s="1"/>
    </ns0:row>
    <ns0:row r="7" customFormat="false" ht="38" hidden="false" customHeight="true" outlineLevel="0" collapsed="false">
      <ns0:c r="A7" s="4" t="s">
        <ns0:v>2</ns0:v>
      </ns0:c>
      <ns0:c r="B7" s="4" t="s">
        <ns0:v>42</ns0:v>
      </ns0:c>
      <ns0:c r="C7" s="4" t="s">
        <ns0:v>43</ns0:v>
      </ns0:c>
      <ns0:c r="D7" s="4" t="s">
        <ns0:v>44</ns0:v>
      </ns0:c>
      <ns0:c r="E7" s="4" t="s">
        <ns0:v>4</ns0:v>
      </ns0:c>
      <ns0:c r="F7" s="4" t="s">
        <ns0:v>45</ns0:v>
      </ns0:c>
      <ns0:c r="G7" s="4" t="s">
        <ns0:v>46</ns0:v>
      </ns0:c>
    </ns0:row>
    <ns0:row r="8" customFormat="false" ht="44" hidden="false" customHeight="true" outlineLevel="0" collapsed="false">
      <ns0:c r="A8" s="5" t="s">
        <ns0:v>10</ns0:v>
      </ns0:c>
      <ns0:c r="B8" s="6" t="n">
        <ns0:v>1</ns0:v>
      </ns0:c>
      <ns0:c r="C8" s="6" t="n">
        <ns0:v>1</ns0:v>
      </ns0:c>
      <ns0:c r="D8" s="6" t="n">
        <ns0:v>0</ns0:v>
      </ns0:c>
      <ns0:c r="E8" s="7" t="n">
        <ns0:f aca="false">IF(OR(NOT(ISNUMBER(B8)),NOT(ISNUMBER(C8)),NOT(ISNUMBER(D8))),"Eingabe fehlt",ROUND(B8*C8+D8,2))</ns0:f>
        <ns0:v>1</ns0:v>
      </ns0:c>
      <ns0:c r="F8" s="5" t="s">
        <ns0:v>47</ns0:v>
      </ns0:c>
      <ns0:c r="G8" s="5" t="s">
        <ns0:v>48</ns0:v>
      </ns0:c>
    </ns0:row>
    <ns0:row r="9" customFormat="false" ht="44" hidden="false" customHeight="true" outlineLevel="0" collapsed="false">
      <ns0:c r="A9" s="5" t="s">
        <ns0:v>12</ns0:v>
      </ns0:c>
      <ns0:c r="B9" s="6" t="n">
        <ns0:v>18</ns0:v>
      </ns0:c>
      <ns0:c r="C9" s="6" t="n">
        <ns0:v>12</ns0:v>
      </ns0:c>
      <ns0:c r="D9" s="6" t="n">
        <ns0:v>0</ns0:v>
      </ns0:c>
      <ns0:c r="E9" s="7" t="n">
        <ns0:f aca="false">IF(OR(NOT(ISNUMBER(B9)),NOT(ISNUMBER(C9)),NOT(ISNUMBER(D9))),"Eingabe fehlt",ROUND(B9*C9+D9,2))</ns0:f>
        <ns0:v>216</ns0:v>
      </ns0:c>
      <ns0:c r="F9" s="5" t="s">
        <ns0:v>49</ns0:v>
      </ns0:c>
      <ns0:c r="G9" s="5" t="s">
        <ns0:v>50</ns0:v>
      </ns0:c>
    </ns0:row>
    <ns0:row r="10" customFormat="false" ht="44" hidden="false" customHeight="true" outlineLevel="0" collapsed="false">
      <ns0:c r="A10" s="5" t="s">
        <ns0:v>13</ns0:v>
      </ns0:c>
      <ns0:c r="B10" s="6" t="n">
        <ns0:v>60</ns0:v>
      </ns0:c>
      <ns0:c r="C10" s="6" t="n">
        <ns0:v>1</ns0:v>
      </ns0:c>
      <ns0:c r="D10" s="6" t="n">
        <ns0:v>6</ns0:v>
      </ns0:c>
      <ns0:c r="E10" s="7" t="n">
        <ns0:f aca="false">IF(OR(NOT(ISNUMBER(B10)),NOT(ISNUMBER(C10)),NOT(ISNUMBER(D10))),"Eingabe fehlt",ROUND(B10*C10+D10,2))</ns0:f>
        <ns0:v>66</ns0:v>
      </ns0:c>
      <ns0:c r="F10" s="5" t="s">
        <ns0:v>51</ns0:v>
      </ns0:c>
      <ns0:c r="G10" s="5" t="s">
        <ns0:v>52</ns0:v>
      </ns0:c>
    </ns0:row>
    <ns0:row r="11" customFormat="false" ht="44" hidden="false" customHeight="true" outlineLevel="0" collapsed="false">
      <ns0:c r="A11" s="5" t="s">
        <ns0:v>14</ns0:v>
      </ns0:c>
      <ns0:c r="B11" s="6" t="n">
        <ns0:v>24</ns0:v>
      </ns0:c>
      <ns0:c r="C11" s="6" t="n">
        <ns0:v>1</ns0:v>
      </ns0:c>
      <ns0:c r="D11" s="6" t="n">
        <ns0:v>1.2</ns0:v>
      </ns0:c>
      <ns0:c r="E11" s="7" t="n">
        <ns0:f aca="false">IF(OR(NOT(ISNUMBER(B11)),NOT(ISNUMBER(C11)),NOT(ISNUMBER(D11))),"Eingabe fehlt",ROUND(B11*C11+D11,2))</ns0:f>
        <ns0:v>25.2</ns0:v>
      </ns0:c>
      <ns0:c r="F11" s="5" t="s">
        <ns0:v>51</ns0:v>
      </ns0:c>
      <ns0:c r="G11" s="5" t="s">
        <ns0:v>53</ns0:v>
      </ns0:c>
    </ns0:row>
    <ns0:row r="12" customFormat="false" ht="44" hidden="false" customHeight="true" outlineLevel="0" collapsed="false">
      <ns0:c r="A12" s="5" t="s">
        <ns0:v>15</ns0:v>
      </ns0:c>
      <ns0:c r="B12" s="6" t="n">
        <ns0:v>10</ns0:v>
      </ns0:c>
      <ns0:c r="C12" s="6" t="n">
        <ns0:v>8</ns0:v>
      </ns0:c>
      <ns0:c r="D12" s="6" t="n">
        <ns0:v>0</ns0:v>
      </ns0:c>
      <ns0:c r="E12" s="7" t="n">
        <ns0:f aca="false">IF(OR(NOT(ISNUMBER(B12)),NOT(ISNUMBER(C12)),NOT(ISNUMBER(D12))),"Eingabe fehlt",ROUND(B12*C12+D12,2))</ns0:f>
        <ns0:v>80</ns0:v>
      </ns0:c>
      <ns0:c r="F12" s="5" t="s">
        <ns0:v>49</ns0:v>
      </ns0:c>
      <ns0:c r="G12" s="5" t="s">
        <ns0:v>54</ns0:v>
      </ns0:c>
    </ns0:row>
    <ns0:row r="13" customFormat="false" ht="44" hidden="false" customHeight="true" outlineLevel="0" collapsed="false">
      <ns0:c r="A13" s="5" t="s">
        <ns0:v>16</ns0:v>
      </ns0:c>
      <ns0:c r="B13" s="6" t="n">
        <ns0:v>95</ns0:v>
      </ns0:c>
      <ns0:c r="C13" s="6" t="n">
        <ns0:v>1</ns0:v>
      </ns0:c>
      <ns0:c r="D13" s="6" t="n">
        <ns0:v>3</ns0:v>
      </ns0:c>
      <ns0:c r="E13" s="7" t="n">
        <ns0:f aca="false">IF(OR(NOT(ISNUMBER(B13)),NOT(ISNUMBER(C13)),NOT(ISNUMBER(D13))),"Eingabe fehlt",ROUND(B13*C13+D13,2))</ns0:f>
        <ns0:v>98</ns0:v>
      </ns0:c>
      <ns0:c r="F13" s="5" t="s">
        <ns0:v>49</ns0:v>
      </ns0:c>
      <ns0:c r="G13" s="5" t="s">
        <ns0:v>55</ns0:v>
      </ns0:c>
    </ns0:row>
    <ns0:row r="14" customFormat="false" ht="44" hidden="false" customHeight="true" outlineLevel="0" collapsed="false">
      <ns0:c r="A14" s="5" t="s">
        <ns0:v>17</ns0:v>
      </ns0:c>
      <ns0:c r="B14" s="6" t="n">
        <ns0:v>36</ns0:v>
      </ns0:c>
      <ns0:c r="C14" s="6" t="n">
        <ns0:v>1</ns0:v>
      </ns0:c>
      <ns0:c r="D14" s="6" t="n">
        <ns0:v>6</ns0:v>
      </ns0:c>
      <ns0:c r="E14" s="7" t="n">
        <ns0:f aca="false">IF(OR(NOT(ISNUMBER(B14)),NOT(ISNUMBER(C14)),NOT(ISNUMBER(D14))),"Eingabe fehlt",ROUND(B14*C14+D14,2))</ns0:f>
        <ns0:v>42</ns0:v>
      </ns0:c>
      <ns0:c r="F14" s="5" t="s">
        <ns0:v>49</ns0:v>
      </ns0:c>
      <ns0:c r="G14" s="5" t="s">
        <ns0:v>56</ns0:v>
      </ns0:c>
    </ns0:row>
    <ns0:row r="15" customFormat="false" ht="44" hidden="false" customHeight="true" outlineLevel="0" collapsed="false">
      <ns0:c r="A15" s="5" t="s">
        <ns0:v>18</ns0:v>
      </ns0:c>
      <ns0:c r="B15" s="6" t="n">
        <ns0:v>144</ns0:v>
      </ns0:c>
      <ns0:c r="C15" s="6" t="n">
        <ns0:v>1</ns0:v>
      </ns0:c>
      <ns0:c r="D15" s="6" t="n">
        <ns0:v>6</ns0:v>
      </ns0:c>
      <ns0:c r="E15" s="7" t="n">
        <ns0:f aca="false">IF(OR(NOT(ISNUMBER(B15)),NOT(ISNUMBER(C15)),NOT(ISNUMBER(D15))),"Eingabe fehlt",ROUND(B15*C15+D15,2))</ns0:f>
        <ns0:v>150</ns0:v>
      </ns0:c>
      <ns0:c r="F15" s="5" t="s">
        <ns0:v>49</ns0:v>
      </ns0:c>
      <ns0:c r="G15" s="5" t="s">
        <ns0:v>57</ns0:v>
      </ns0:c>
    </ns0:row>
    <ns0:row r="16" customFormat="false" ht="44" hidden="false" customHeight="true" outlineLevel="0" collapsed="false">
      <ns0:c r="A16" s="5" t="s">
        <ns0:v>19</ns0:v>
      </ns0:c>
      <ns0:c r="B16" s="6" t="n">
        <ns0:v>10</ns0:v>
      </ns0:c>
      <ns0:c r="C16" s="6" t="n">
        <ns0:v>8</ns0:v>
      </ns0:c>
      <ns0:c r="D16" s="6" t="n">
        <ns0:v>0</ns0:v>
      </ns0:c>
      <ns0:c r="E16" s="7" t="n">
        <ns0:f aca="false">IF(OR(NOT(ISNUMBER(B16)),NOT(ISNUMBER(C16)),NOT(ISNUMBER(D16))),"Eingabe fehlt",ROUND(B16*C16+D16,2))</ns0:f>
        <ns0:v>80</ns0:v>
      </ns0:c>
      <ns0:c r="F16" s="5" t="s">
        <ns0:v>49</ns0:v>
      </ns0:c>
      <ns0:c r="G16" s="5" t="s">
        <ns0:v>54</ns0:v>
      </ns0:c>
    </ns0:row>
    <ns0:row r="17" customFormat="false" ht="44" hidden="false" customHeight="true" outlineLevel="0" collapsed="false">
      <ns0:c r="A17" s="5" t="s">
        <ns0:v>20</ns0:v>
      </ns0:c>
      <ns0:c r="B17" s="6" t="n">
        <ns0:v>3</ns0:v>
      </ns0:c>
      <ns0:c r="C17" s="6" t="n">
        <ns0:v>1</ns0:v>
      </ns0:c>
      <ns0:c r="D17" s="6" t="n">
        <ns0:v>0</ns0:v>
      </ns0:c>
      <ns0:c r="E17" s="7" t="n">
        <ns0:f aca="false">IF(OR(NOT(ISNUMBER(B17)),NOT(ISNUMBER(C17)),NOT(ISNUMBER(D17))),"Eingabe fehlt",ROUND(B17*C17+D17,2))</ns0:f>
        <ns0:v>3</ns0:v>
      </ns0:c>
      <ns0:c r="F17" s="5" t="s">
        <ns0:v>58</ns0:v>
      </ns0:c>
      <ns0:c r="G17" s="5" t="s">
        <ns0:v>59</ns0:v>
      </ns0:c>
    </ns0:row>
    <ns0:row r="18" customFormat="false" ht="44" hidden="false" customHeight="true" outlineLevel="0" collapsed="false">
      <ns0:c r="A18" s="5" t="s">
        <ns0:v>21</ns0:v>
      </ns0:c>
      <ns0:c r="B18" s="6" t="n">
        <ns0:v>12</ns0:v>
      </ns0:c>
      <ns0:c r="C18" s="6" t="n">
        <ns0:v>1.5</ns0:v>
      </ns0:c>
      <ns0:c r="D18" s="7" t="n">
        <ns0:f aca="false">IF(COUNT(E23:E24)&lt;&gt;2,"Eingabe fehlt",SUM(E23:E24))</ns0:f>
        <ns0:v>3.45</ns0:v>
      </ns0:c>
      <ns0:c r="E18" s="7" t="n">
        <ns0:f aca="false">IF(OR(NOT(ISNUMBER(B18)),NOT(ISNUMBER(C18)),NOT(ISNUMBER(D18))),"Eingabe fehlt",ROUND(B18*C18+D18,2))</ns0:f>
        <ns0:v>21.45</ns0:v>
      </ns0:c>
      <ns0:c r="F18" s="5" t="s">
        <ns0:v>49</ns0:v>
      </ns0:c>
      <ns0:c r="G18" s="5" t="s">
        <ns0:v>60</ns0:v>
      </ns0:c>
    </ns0:row>
    <ns0:row r="19" customFormat="false" ht="44" hidden="false" customHeight="true" outlineLevel="0" collapsed="false">
      <ns0:c r="A19" s="5" t="s">
        <ns0:v>22</ns0:v>
      </ns0:c>
      <ns0:c r="B19" s="6" t="n">
        <ns0:v>9</ns0:v>
      </ns0:c>
      <ns0:c r="C19" s="6" t="n">
        <ns0:v>1</ns0:v>
      </ns0:c>
      <ns0:c r="D19" s="6" t="n">
        <ns0:v>0.4</ns0:v>
      </ns0:c>
      <ns0:c r="E19" s="7" t="n">
        <ns0:f aca="false">IF(OR(NOT(ISNUMBER(B19)),NOT(ISNUMBER(C19)),NOT(ISNUMBER(D19))),"Eingabe fehlt",ROUND(B19*C19+D19,2))</ns0:f>
        <ns0:v>9.4</ns0:v>
      </ns0:c>
      <ns0:c r="F19" s="5" t="s">
        <ns0:v>61</ns0:v>
      </ns0:c>
      <ns0:c r="G19" s="5" t="s">
        <ns0:v>62</ns0:v>
      </ns0:c>
    </ns0:row>
    <ns0:row r="20" customFormat="false" ht="20" hidden="false" customHeight="true" outlineLevel="0" collapsed="false">
      <ns0:c r="A20" s="5"/>
      <ns0:c r="B20" s="7"/>
      <ns0:c r="C20" s="7"/>
      <ns0:c r="D20" s="7"/>
      <ns0:c r="E20" s="7"/>
      <ns0:c r="F20" s="5"/>
      <ns0:c r="G20" s="5"/>
    </ns0:row>
    <ns0:row r="21" customFormat="false" ht="20" hidden="false" customHeight="true" outlineLevel="0" collapsed="false">
      <ns0:c r="A21" s="5"/>
      <ns0:c r="B21" s="7"/>
      <ns0:c r="C21" s="7"/>
      <ns0:c r="D21" s="7"/>
      <ns0:c r="E21" s="7"/>
      <ns0:c r="F21" s="5"/>
      <ns0:c r="G21" s="5"/>
    </ns0:row>
    <ns0:row r="22" customFormat="false" ht="20" hidden="false" customHeight="true" outlineLevel="0" collapsed="false">
      <ns0:c r="A22" s="5"/>
      <ns0:c r="B22" s="7"/>
      <ns0:c r="C22" s="7"/>
      <ns0:c r="D22" s="7"/>
      <ns0:c r="E22" s="7"/>
      <ns0:c r="F22" s="5"/>
      <ns0:c r="G22" s="5"/>
    </ns0:row>
    <ns0:row r="23" customFormat="false" ht="20" hidden="false" customHeight="true" outlineLevel="0" collapsed="false">
      <ns0:c r="A23" s="5" t="s">
        <ns0:v>63</ns0:v>
      </ns0:c>
      <ns0:c r="B23" s="6" t="n">
        <ns0:v>1.5</ns0:v>
      </ns0:c>
      <ns0:c r="C23" s="6" t="n">
        <ns0:v>1.5</ns0:v>
      </ns0:c>
      <ns0:c r="D23" s="7"/>
      <ns0:c r="E23" s="7" t="n">
        <ns0:f aca="false">IF(AND(ISNUMBER(B23),ISNUMBER(C23)),B23*C23,"Eingabe fehlt")</ns0:f>
        <ns0:v>2.25</ns0:v>
      </ns0:c>
      <ns0:c r="F23" s="5" t="s">
        <ns0:v>49</ns0:v>
      </ns0:c>
      <ns0:c r="G23" s="5" t="s">
        <ns0:v>64</ns0:v>
      </ns0:c>
    </ns0:row>
    <ns0:row r="24" customFormat="false" ht="20" hidden="false" customHeight="true" outlineLevel="0" collapsed="false">
      <ns0:c r="A24" s="5" t="s">
        <ns0:v>65</ns0:v>
      </ns0:c>
      <ns0:c r="B24" s="7"/>
      <ns0:c r="C24" s="7"/>
      <ns0:c r="D24" s="7"/>
      <ns0:c r="E24" s="6" t="n">
        <ns0:v>1.2</ns0:v>
      </ns0:c>
      <ns0:c r="F24" s="5" t="s">
        <ns0:v>49</ns0:v>
      </ns0:c>
      <ns0:c r="G24" s="5" t="s">
        <ns0:v>66</ns0:v>
      </ns0:c>
    </ns0:row>
    <ns0:row r="25" customFormat="false" ht="20" hidden="false" customHeight="true" outlineLevel="0" collapsed="false">
      <ns0:c r="A25" s="5"/>
      <ns0:c r="B25" s="5"/>
      <ns0:c r="C25" s="5"/>
      <ns0:c r="D25" s="5"/>
      <ns0:c r="E25" s="5"/>
      <ns0:c r="F25" s="5"/>
      <ns0:c r="G25" s="5"/>
    </ns0:row>
    <ns0:row r="26" customFormat="false" ht="20" hidden="false" customHeight="true" outlineLevel="0" collapsed="false">
      <ns0:c r="A26" s="5"/>
      <ns0:c r="B26" s="5"/>
      <ns0:c r="C26" s="5"/>
      <ns0:c r="D26" s="5"/>
      <ns0:c r="E26" s="5"/>
      <ns0:c r="F26" s="5"/>
      <ns0:c r="G26" s="5"/>
    </ns0:row>
    <ns0:row r="27" customFormat="false" ht="20" hidden="false" customHeight="true" outlineLevel="0" collapsed="false">
      <ns0:c r="A27" s="1" t="s">
        <ns0:v>67</ns0:v>
      </ns0:c>
      <ns0:c r="B27" s="5"/>
      <ns0:c r="C27" s="5"/>
      <ns0:c r="D27" s="5"/>
      <ns0:c r="E27" s="5"/>
      <ns0:c r="F27" s="5"/>
      <ns0:c r="G27" s="5"/>
    </ns0:row>
    <ns0:row r="28" customFormat="false" ht="20" hidden="false" customHeight="true" outlineLevel="0" collapsed="false">
      <ns0:c r="A28" s="5"/>
      <ns0:c r="B28" s="5"/>
      <ns0:c r="C28" s="5"/>
      <ns0:c r="D28" s="5"/>
      <ns0:c r="E28" s="5"/>
      <ns0:c r="F28" s="5"/>
      <ns0:c r="G28" s="5"/>
    </ns0:row>
    <ns0:row r="29" customFormat="false" ht="20" hidden="false" customHeight="true" outlineLevel="0" collapsed="false">
      <ns0:c r="A29" s="1" t="s">
        <ns0:v>68</ns0:v>
      </ns0:c>
      <ns0:c r="B29" s="5"/>
      <ns0:c r="C29" s="5"/>
      <ns0:c r="D29" s="5"/>
      <ns0:c r="E29" s="5"/>
      <ns0:c r="F29" s="5"/>
      <ns0:c r="G29" s="5"/>
    </ns0:row>
    <ns0:row r="30" customFormat="false" ht="20" hidden="false" customHeight="true" outlineLevel="0" collapsed="false">
      <ns0:c r="A30" s="5"/>
      <ns0:c r="B30" s="5"/>
      <ns0:c r="C30" s="5"/>
      <ns0:c r="D30" s="5"/>
      <ns0:c r="E30" s="5"/>
      <ns0:c r="F30" s="5"/>
      <ns0:c r="G30" s="5"/>
    </ns0:row>
    <ns0:row r="31" customFormat="false" ht="20" hidden="false" customHeight="true" outlineLevel="0" collapsed="false">
      <ns0:c r="A31" s="1" t="s">
        <ns0:v>69</ns0:v>
      </ns0:c>
      <ns0:c r="B31" s="5"/>
      <ns0:c r="C31" s="5"/>
      <ns0:c r="D31" s="5"/>
      <ns0:c r="E31" s="5"/>
      <ns0:c r="F31" s="5"/>
      <ns0:c r="G31" s="5"/>
    </ns0:row>
    <ns0:row r="32" customFormat="false" ht="20" hidden="false" customHeight="true" outlineLevel="0" collapsed="false">
      <ns0:c r="A32" s="5"/>
      <ns0:c r="B32" s="5"/>
      <ns0:c r="C32" s="5"/>
      <ns0:c r="D32" s="5"/>
      <ns0:c r="E32" s="5"/>
      <ns0:c r="F32" s="5"/>
      <ns0:c r="G32" s="5"/>
    </ns0:row>
    <ns0:row r="33" customFormat="false" ht="20" hidden="false" customHeight="true" outlineLevel="0" collapsed="false">
      <ns0:c r="A33" s="1" t="s">
        <ns0:v>70</ns0:v>
      </ns0:c>
      <ns0:c r="B33" s="5"/>
      <ns0:c r="C33" s="5"/>
      <ns0:c r="D33" s="5"/>
      <ns0:c r="E33" s="5"/>
      <ns0:c r="F33" s="5"/>
      <ns0:c r="G33" s="5"/>
    </ns0:row>
    <ns0:row r="34" customFormat="false" ht="20" hidden="false" customHeight="true" outlineLevel="0" collapsed="false">
      <ns0:c r="A34" s="5"/>
      <ns0:c r="B34" s="5"/>
      <ns0:c r="C34" s="5"/>
      <ns0:c r="D34" s="5"/>
      <ns0:c r="E34" s="5"/>
      <ns0:c r="F34" s="5"/>
      <ns0:c r="G34" s="5"/>
    </ns0:row>
    <ns0:row r="35" customFormat="false" ht="20" hidden="false" customHeight="true" outlineLevel="0" collapsed="false">
      <ns0:c r="A35" s="5"/>
      <ns0:c r="B35" s="5"/>
      <ns0:c r="C35" s="5"/>
      <ns0:c r="D35" s="5"/>
      <ns0:c r="E35" s="5"/>
      <ns0:c r="F35" s="5"/>
      <ns0:c r="G35" s="5"/>
    </ns0:row>
    <ns0:row r="36" customFormat="false" ht="20" hidden="false" customHeight="true" outlineLevel="0" collapsed="false">
      <ns0:c r="A36" s="5"/>
      <ns0:c r="B36" s="5"/>
      <ns0:c r="C36" s="5"/>
      <ns0:c r="D36" s="5"/>
      <ns0:c r="E36" s="5"/>
      <ns0:c r="F36" s="5"/>
      <ns0:c r="G36" s="5"/>
    </ns0:row>
  </ns0:sheetData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3.xml><?xml version="1.0" encoding="utf-8"?>
<ns0:worksheet xmlns:ns0="http://schemas.openxmlformats.org/spreadsheetml/2006/main">
  <ns0:sheetPr filterMode="false">
    <ns0:pageSetUpPr fitToPage="1"/>
  </ns0:sheetPr>
  <ns0:dimension ref="A1:D30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0" ySplit="7" topLeftCell="A8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37"/>
    <ns0:col collapsed="false" customWidth="true" hidden="false" outlineLevel="0" max="2" min="2" style="0" width="19"/>
    <ns0:col collapsed="false" customWidth="true" hidden="false" outlineLevel="0" max="3" min="3" style="0" width="15"/>
    <ns0:col collapsed="false" customWidth="true" hidden="false" outlineLevel="0" max="4" min="4" style="0" width="65"/>
  </ns0:cols>
  <ns0:sheetData>
    <ns0:row r="1" customFormat="false" ht="8" hidden="false" customHeight="true" outlineLevel="0" collapsed="false">
      <ns0:c r="A1" s="1"/>
      <ns0:c r="B1" s="1"/>
      <ns0:c r="C1" s="1"/>
      <ns0:c r="D1" s="1"/>
    </ns0:row>
    <ns0:row r="2" customFormat="false" ht="20" hidden="false" customHeight="true" outlineLevel="0" collapsed="false">
      <ns0:c r="A2" s="2" t="s">
        <ns0:v>71</ns0:v>
      </ns0:c>
      <ns0:c r="B2" s="1"/>
      <ns0:c r="C2" s="1"/>
      <ns0:c r="D2" s="1"/>
    </ns0:row>
    <ns0:row r="3" customFormat="false" ht="20" hidden="false" customHeight="true" outlineLevel="0" collapsed="false">
      <ns0:c r="A3" s="3" t="s">
        <ns0:v>72</ns0:v>
      </ns0:c>
      <ns0:c r="B3" s="1"/>
      <ns0:c r="C3" s="1"/>
      <ns0:c r="D3" s="1"/>
    </ns0:row>
    <ns0:row r="4" customFormat="false" ht="12" hidden="false" customHeight="true" outlineLevel="0" collapsed="false">
      <ns0:c r="A4" s="1"/>
      <ns0:c r="B4" s="1"/>
      <ns0:c r="C4" s="1"/>
      <ns0:c r="D4" s="1"/>
    </ns0:row>
    <ns0:row r="5" customFormat="false" ht="12" hidden="false" customHeight="true" outlineLevel="0" collapsed="false">
      <ns0:c r="A5" s="1"/>
      <ns0:c r="B5" s="1"/>
      <ns0:c r="C5" s="1"/>
      <ns0:c r="D5" s="1"/>
    </ns0:row>
    <ns0:row r="6" customFormat="false" ht="12" hidden="false" customHeight="true" outlineLevel="0" collapsed="false">
      <ns0:c r="A6" s="1"/>
      <ns0:c r="B6" s="1"/>
      <ns0:c r="C6" s="1"/>
      <ns0:c r="D6" s="1"/>
    </ns0:row>
    <ns0:row r="7" customFormat="false" ht="38" hidden="false" customHeight="true" outlineLevel="0" collapsed="false">
      <ns0:c r="A7" s="4" t="s">
        <ns0:v>73</ns0:v>
      </ns0:c>
      <ns0:c r="B7" s="4" t="s">
        <ns0:v>74</ns0:v>
      </ns0:c>
      <ns0:c r="C7" s="4" t="s">
        <ns0:v>45</ns0:v>
      </ns0:c>
      <ns0:c r="D7" s="4" t="s">
        <ns0:v>75</ns0:v>
      </ns0:c>
    </ns0:row>
    <ns0:row r="8" customFormat="false" ht="50" hidden="false" customHeight="true" outlineLevel="0" collapsed="false">
      <ns0:c r="A8" s="5" t="s">
        <ns0:v>76</ns0:v>
      </ns0:c>
      <ns0:c r="B8" s="10" t="n">
        <ns0:v>0</ns0:v>
      </ns0:c>
      <ns0:c r="C8" s="5" t="s">
        <ns0:v>77</ns0:v>
      </ns0:c>
      <ns0:c r="D8" s="5" t="s">
        <ns0:v>78</ns0:v>
      </ns0:c>
    </ns0:row>
    <ns0:row r="9" customFormat="false" ht="50" hidden="false" customHeight="true" outlineLevel="0" collapsed="false">
      <ns0:c r="A9" s="5" t="s">
        <ns0:v>79</ns0:v>
      </ns0:c>
      <ns0:c r="B9" s="10" t="n">
        <ns0:v>0.19</ns0:v>
      </ns0:c>
      <ns0:c r="C9" s="5" t="s">
        <ns0:v>77</ns0:v>
      </ns0:c>
      <ns0:c r="D9" s="5" t="s">
        <ns0:v>80</ns0:v>
      </ns0:c>
    </ns0:row>
    <ns0:row r="10" customFormat="false" ht="50" hidden="false" customHeight="true" outlineLevel="0" collapsed="false">
      <ns0:c r="A10" s="5" t="s">
        <ns0:v>81</ns0:v>
      </ns0:c>
      <ns0:c r="B10" s="6" t="n">
        <ns0:v>35700</ns0:v>
      </ns0:c>
      <ns0:c r="C10" s="5" t="s">
        <ns0:v>82</ns0:v>
      </ns0:c>
      <ns0:c r="D10" s="5" t="s">
        <ns0:v>83</ns0:v>
      </ns0:c>
    </ns0:row>
    <ns0:row r="11" customFormat="false" ht="50" hidden="false" customHeight="true" outlineLevel="0" collapsed="false">
      <ns0:c r="A11" s="5" t="s">
        <ns0:v>84</ns0:v>
      </ns0:c>
      <ns0:c r="B11" s="6" t="n">
        <ns0:v>47600</ns0:v>
      </ns0:c>
      <ns0:c r="C11" s="5" t="s">
        <ns0:v>82</ns0:v>
      </ns0:c>
      <ns0:c r="D11" s="5" t="s">
        <ns0:v>85</ns0:v>
      </ns0:c>
    </ns0:row>
    <ns0:row r="12" customFormat="false" ht="50" hidden="false" customHeight="true" outlineLevel="0" collapsed="false">
      <ns0:c r="A12" s="5" t="s">
        <ns0:v>86</ns0:v>
      </ns0:c>
      <ns0:c r="B12" s="11" t="s">
        <ns0:v>87</ns0:v>
      </ns0:c>
      <ns0:c r="C12" s="5"/>
      <ns0:c r="D12" s="5" t="s">
        <ns0:v>88</ns0:v>
      </ns0:c>
    </ns0:row>
    <ns0:row r="13" customFormat="false" ht="50" hidden="false" customHeight="true" outlineLevel="0" collapsed="false">
      <ns0:c r="A13" s="5" t="s">
        <ns0:v>89</ns0:v>
      </ns0:c>
      <ns0:c r="B13" s="6"/>
      <ns0:c r="C13" s="5" t="s">
        <ns0:v>82</ns0:v>
      </ns0:c>
      <ns0:c r="D13" s="5" t="s">
        <ns0:v>90</ns0:v>
      </ns0:c>
    </ns0:row>
    <ns0:row r="14" customFormat="false" ht="50" hidden="false" customHeight="true" outlineLevel="0" collapsed="false">
      <ns0:c r="A14" s="5" t="s">
        <ns0:v>91</ns0:v>
      </ns0:c>
      <ns0:c r="B14" s="12"/>
      <ns0:c r="C14" s="5"/>
      <ns0:c r="D14" s="5" t="s">
        <ns0:v>92</ns0:v>
      </ns0:c>
    </ns0:row>
    <ns0:row r="15" customFormat="false" ht="20" hidden="false" customHeight="true" outlineLevel="0" collapsed="false">
      <ns0:c r="A15" s="5"/>
      <ns0:c r="B15" s="5"/>
      <ns0:c r="C15" s="5"/>
      <ns0:c r="D15" s="5"/>
    </ns0:row>
    <ns0:row r="16" customFormat="false" ht="20" hidden="false" customHeight="true" outlineLevel="0" collapsed="false">
      <ns0:c r="A16" s="5" t="s">
        <ns0:v>93</ns0:v>
      </ns0:c>
      <ns0:c r="B16" s="5" t="str">
        <ns0:f aca="false">IF(OR(B12&lt;&gt;"Belegt",NOT(ISNUMBER(B13)),B14=""),"Zahlungsbeleg fehlt","Beleg eingetragen")</ns0:f>
        <ns0:v>Zahlungsbeleg fehlt</ns0:v>
      </ns0:c>
      <ns0:c r="C16" s="5"/>
      <ns0:c r="D16" s="5"/>
    </ns0:row>
    <ns0:row r="17" customFormat="false" ht="20" hidden="false" customHeight="true" outlineLevel="0" collapsed="false">
      <ns0:c r="A17" s="5"/>
      <ns0:c r="B17" s="5"/>
      <ns0:c r="C17" s="5"/>
      <ns0:c r="D17" s="5"/>
    </ns0:row>
    <ns0:row r="18" customFormat="false" ht="20" hidden="false" customHeight="true" outlineLevel="0" collapsed="false">
      <ns0:c r="A18" s="5"/>
      <ns0:c r="B18" s="5"/>
      <ns0:c r="C18" s="5"/>
      <ns0:c r="D18" s="5"/>
    </ns0:row>
    <ns0:row r="19" customFormat="false" ht="20" hidden="false" customHeight="true" outlineLevel="0" collapsed="false">
      <ns0:c r="A19" s="1" t="s">
        <ns0:v>94</ns0:v>
      </ns0:c>
      <ns0:c r="B19" s="5"/>
      <ns0:c r="C19" s="5"/>
      <ns0:c r="D19" s="5"/>
    </ns0:row>
    <ns0:row r="20" customFormat="false" ht="20" hidden="false" customHeight="true" outlineLevel="0" collapsed="false">
      <ns0:c r="A20" s="1" t="s">
        <ns0:v>95</ns0:v>
      </ns0:c>
      <ns0:c r="B20" s="5"/>
      <ns0:c r="C20" s="5"/>
      <ns0:c r="D20" s="5"/>
    </ns0:row>
    <ns0:row r="21" customFormat="false" ht="20" hidden="false" customHeight="true" outlineLevel="0" collapsed="false">
      <ns0:c r="A21" s="5"/>
      <ns0:c r="B21" s="5"/>
      <ns0:c r="C21" s="5"/>
      <ns0:c r="D21" s="5"/>
    </ns0:row>
    <ns0:row r="22" customFormat="false" ht="20" hidden="false" customHeight="true" outlineLevel="0" collapsed="false">
      <ns0:c r="A22" s="1" t="s">
        <ns0:v>96</ns0:v>
      </ns0:c>
      <ns0:c r="B22" s="5"/>
      <ns0:c r="C22" s="5"/>
      <ns0:c r="D22" s="5"/>
    </ns0:row>
    <ns0:row r="23" customFormat="false" ht="20" hidden="false" customHeight="true" outlineLevel="0" collapsed="false">
      <ns0:c r="A23" s="1" t="s">
        <ns0:v>97</ns0:v>
      </ns0:c>
      <ns0:c r="B23" s="5"/>
      <ns0:c r="C23" s="5"/>
      <ns0:c r="D23" s="5"/>
    </ns0:row>
    <ns0:row r="24" customFormat="false" ht="20" hidden="false" customHeight="true" outlineLevel="0" collapsed="false">
      <ns0:c r="A24" s="5"/>
      <ns0:c r="B24" s="5"/>
      <ns0:c r="C24" s="5"/>
      <ns0:c r="D24" s="5"/>
    </ns0:row>
    <ns0:row r="25" customFormat="false" ht="20" hidden="false" customHeight="true" outlineLevel="0" collapsed="false">
      <ns0:c r="A25" s="1" t="s">
        <ns0:v>98</ns0:v>
      </ns0:c>
      <ns0:c r="B25" s="5"/>
      <ns0:c r="C25" s="5"/>
      <ns0:c r="D25" s="5"/>
    </ns0:row>
    <ns0:row r="26" customFormat="false" ht="20" hidden="false" customHeight="true" outlineLevel="0" collapsed="false">
      <ns0:c r="A26" s="1" t="s">
        <ns0:v>99</ns0:v>
      </ns0:c>
      <ns0:c r="B26" s="5"/>
      <ns0:c r="C26" s="5"/>
      <ns0:c r="D26" s="5"/>
    </ns0:row>
    <ns0:row r="27" customFormat="false" ht="20" hidden="false" customHeight="true" outlineLevel="0" collapsed="false">
      <ns0:c r="A27" s="1" t="s">
        <ns0:v>100</ns0:v>
      </ns0:c>
      <ns0:c r="B27" s="5"/>
      <ns0:c r="C27" s="5"/>
      <ns0:c r="D27" s="5"/>
    </ns0:row>
    <ns0:row r="28" customFormat="false" ht="20" hidden="false" customHeight="true" outlineLevel="0" collapsed="false">
      <ns0:c r="A28" s="5"/>
      <ns0:c r="B28" s="5"/>
      <ns0:c r="C28" s="5"/>
      <ns0:c r="D28" s="5"/>
    </ns0:row>
    <ns0:row r="29" customFormat="false" ht="20" hidden="false" customHeight="true" outlineLevel="0" collapsed="false">
      <ns0:c r="A29" s="5"/>
      <ns0:c r="B29" s="5"/>
      <ns0:c r="C29" s="5"/>
      <ns0:c r="D29" s="5"/>
    </ns0:row>
    <ns0:row r="30" customFormat="false" ht="20" hidden="false" customHeight="true" outlineLevel="0" collapsed="false">
      <ns0:c r="A30" s="5"/>
      <ns0:c r="B30" s="5"/>
      <ns0:c r="C30" s="5"/>
      <ns0:c r="D30" s="5"/>
    </ns0:row>
  </ns0:sheetData>
  <ns0:dataValidations count="2">
    <ns0:dataValidation allowBlank="false" errorStyle="stop" operator="between" showDropDown="false" showErrorMessage="false" showInputMessage="false" sqref="B8" type="decimal">
      <ns0:formula1>0</ns0:formula1>
      <ns0:formula2>1</ns0:formula2>
    </ns0:dataValidation>
    <ns0:dataValidation allowBlank="false" errorStyle="stop" operator="between" showDropDown="false" showErrorMessage="false" showInputMessage="false" sqref="B12" type="list">
      <ns0:formula1>"Offen,Belegt"</ns0:formula1>
      <ns0:formula2>0</ns0:formula2>
    </ns0:dataValidation>
  </ns0:dataValidation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