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Vorgänge" sheetId="1" state="visible" ns1:id="rId3"/>
    <ns0:sheet name="Beobachtungen" sheetId="2" state="visible" ns1:id="rId4"/>
  </ns0:sheets>
  <ns0:definedNames>
    <ns0:definedName name="_xlnm.Print_Area" localSheetId="0">'Vorgänge'!A1:F27</ns0:definedName>
    <ns0:definedName name="_xlnm.Print_Titles" localSheetId="0">'Vorgänge'!$7:$7</ns0:definedName>
    <ns0:definedName name="_xlnm.Print_Area" localSheetId="1">'Beobachtungen'!A1:F27</ns0:definedName>
    <ns0:definedName name="_xlnm.Print_Titles" localSheetId="1">'Beobachtungen'!$7:$7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<sst xmlns="http://schemas.openxmlformats.org/spreadsheetml/2006/main" count="80" uniqueCount="68">
  <si>
    <t xml:space="preserve">Mängel und Befundverfolgung</t>
  </si>
  <si>
    <t xml:space="preserve">Hartwig Architektur · Stand 02.10.2026 · Bestand, neue Befunde und Nachweise getrennt</t>
  </si>
  <si>
    <t xml:space="preserve">Offene Vorgänge</t>
  </si>
  <si>
    <t xml:space="preserve">Kennung und Vorgang</t>
  </si>
  <si>
    <t xml:space="preserve">Prüfung erfolgt</t>
  </si>
  <si>
    <t xml:space="preserve">Nachweis eingetragen</t>
  </si>
  <si>
    <t xml:space="preserve">Erledigung bestätigt</t>
  </si>
  <si>
    <t xml:space="preserve">Nächster Schritt</t>
  </si>
  <si>
    <t xml:space="preserve">Beleg</t>
  </si>
  <si>
    <t xml:space="preserve">M-01 Rinnenrost</t>
  </si>
  <si>
    <t xml:space="preserve">Ja</t>
  </si>
  <si>
    <t xml:space="preserve">39, Nachkontrolle 28.03.2024</t>
  </si>
  <si>
    <t xml:space="preserve">38/39: damaliges Klappern beseitigt.</t>
  </si>
  <si>
    <t xml:space="preserve">M-02 Türschließer</t>
  </si>
  <si>
    <t xml:space="preserve">38/39: damalige Einstellung bestätigt.</t>
  </si>
  <si>
    <t xml:space="preserve">B-01 Saalnordwand</t>
  </si>
  <si>
    <t xml:space="preserve">Nein</t>
  </si>
  <si>
    <t xml:space="preserve">41–44/50: Ursache weiterhin offen.</t>
  </si>
  <si>
    <t xml:space="preserve">B-02 Rinnenanschluss</t>
  </si>
  <si>
    <t xml:space="preserve">43/50/51: Ablauf und Höhen prüfen.</t>
  </si>
  <si>
    <t xml:space="preserve">D-01 Architekturabnahme</t>
  </si>
  <si>
    <t xml:space="preserve">39/40/45: gesonderte Erklärung fehlt.</t>
  </si>
  <si>
    <t xml:space="preserve">1 Bedienung</t>
  </si>
  <si>
    <t xml:space="preserve">Die gelben Spalten B bis D halten Bearbeitung und Nachweis fest. Die Kennung bleibt beim Vorgang.</t>
  </si>
  <si>
    <t xml:space="preserve">2 Statusregel</t>
  </si>
  <si>
    <t xml:space="preserve">Ein Vorgang endet erst mit Prüfung, bezeichnetem Nachweis und bestätigter Erledigung.</t>
  </si>
  <si>
    <t xml:space="preserve">3 Inhaltliche Grenzen</t>
  </si>
  <si>
    <t xml:space="preserve">M-01 aus 2024 und B-02 aus 2026 sind getrennt. Ein fester Rost bestätigt keinen freien Ablauf.</t>
  </si>
  <si>
    <t xml:space="preserve">Die Termine aus 44 bleiben dort geführt. Diese Mappe berechnet keine Verjährung oder Haftungsquote.</t>
  </si>
  <si>
    <t xml:space="preserve">Kein Auftrag zur Öffnung liegt vor. Angebot 51 ist ein Vorschlag, keine bereits ausgeführte Untersuchung.</t>
  </si>
  <si>
    <t xml:space="preserve">Messungen und Betriebsbeobachtungen</t>
  </si>
  <si>
    <t xml:space="preserve">Keine Ursachenautomatik. Werte verschiedener Methoden sind nicht als Messreihe vergleichbar.</t>
  </si>
  <si>
    <t xml:space="preserve">ID und Datum</t>
  </si>
  <si>
    <t xml:space="preserve">Ort oder Methode</t>
  </si>
  <si>
    <t xml:space="preserve">Wert von</t>
  </si>
  <si>
    <t xml:space="preserve">Wert bis</t>
  </si>
  <si>
    <t xml:space="preserve">Einheit</t>
  </si>
  <si>
    <t xml:space="preserve">Beleg und Aussagegrenze</t>
  </si>
  <si>
    <t xml:space="preserve">O-01 · 17.09.2026</t>
  </si>
  <si>
    <t xml:space="preserve">Sockel, kapazitive Anzeige</t>
  </si>
  <si>
    <t xml:space="preserve">Geräteeinheit</t>
  </si>
  <si>
    <t xml:space="preserve">43, Abschnitt 1. Keine Masseprozente.</t>
  </si>
  <si>
    <t xml:space="preserve">O-02 · 17.09.2026</t>
  </si>
  <si>
    <t xml:space="preserve">Vergleich bei 1,20 m Höhe</t>
  </si>
  <si>
    <t xml:space="preserve">43, Abschnitt 1. Dasselbe Gerät, keine Materialprobe.</t>
  </si>
  <si>
    <t xml:space="preserve">O-03 · 17.09.2026</t>
  </si>
  <si>
    <t xml:space="preserve">Rost zum angrenzenden Belag</t>
  </si>
  <si>
    <t xml:space="preserve">mm</t>
  </si>
  <si>
    <t xml:space="preserve">43, Abschnitt 2. Ungefähre Höhendifferenz.</t>
  </si>
  <si>
    <t xml:space="preserve">O-04 · 17.09.2026</t>
  </si>
  <si>
    <t xml:space="preserve">Wasserversuch</t>
  </si>
  <si>
    <t xml:space="preserve">Liter</t>
  </si>
  <si>
    <t xml:space="preserve">43: langsamer Ablauf; Dauer nicht gemessen.</t>
  </si>
  <si>
    <t xml:space="preserve">O-05 · 24.09.2026</t>
  </si>
  <si>
    <t xml:space="preserve">Pfützentiefe, Zollstock</t>
  </si>
  <si>
    <t xml:space="preserve">50: punktuell abgelesen, kein Nivellement.</t>
  </si>
  <si>
    <t xml:space="preserve">O-06 · 24.09.2026</t>
  </si>
  <si>
    <t xml:space="preserve">Abstand zweier Rundgänge</t>
  </si>
  <si>
    <t xml:space="preserve">Minuten</t>
  </si>
  <si>
    <t xml:space="preserve">50: 17:35 bis 18:10 Uhr. Kein Beweis der gesamten Ablaufdauer.</t>
  </si>
  <si>
    <t xml:space="preserve">Abstand Anzeigeintervalle</t>
  </si>
  <si>
    <t xml:space="preserve">Untere/obere Differenz der Intervalle, keine Schadens- oder Feuchtequote.</t>
  </si>
  <si>
    <t xml:space="preserve">1 Quellenzeilen</t>
  </si>
  <si>
    <t xml:space="preserve">43 ist die gemeinsame Begehung. 50 ist die spätere Erklärung des Hauswarts, ohne neue Materialprüfung.</t>
  </si>
  <si>
    <t xml:space="preserve">2 Auswertung</t>
  </si>
  <si>
    <t xml:space="preserve">Die Intervallabstände sind ein Rechenvergleich. Sie erlauben keine Umrechnung in Masseprozent.</t>
  </si>
  <si>
    <t xml:space="preserve">3 Weitere Angaben</t>
  </si>
  <si>
    <t xml:space="preserve">Zu Pfützentiefe und Rinnenversatz fehlen gemeinsamer Bezugspunkt und identische Messmethode.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</si>
</sst>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i val="true"/>
      <sz val="11"/>
      <color rgb="FF1111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174B99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956"/>
        <bgColor rgb="FF174B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0"/>
    <ns0:col collapsed="false" customWidth="true" hidden="false" outlineLevel="0" max="2" min="2" style="0" width="14"/>
    <ns0:col collapsed="false" customWidth="true" hidden="false" outlineLevel="0" max="3" min="3" style="0" width="27"/>
    <ns0:col collapsed="false" customWidth="true" hidden="false" outlineLevel="0" max="4" min="4" style="0" width="17"/>
    <ns0:col collapsed="false" customWidth="true" hidden="false" outlineLevel="0" max="5" min="5" style="0" width="33"/>
    <ns0:col collapsed="false" customWidth="true" hidden="false" outlineLevel="0" max="6" min="6" style="0" width="35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20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</ns0:row>
    <ns0:row r="4" customFormat="false" ht="12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12" hidden="false" customHeight="true" outlineLevel="0" collapsed="false">
      <ns0:c r="A5" s="1" t="s">
        <ns0:v>2</ns0:v>
      </ns0:c>
      <ns0:c r="B5" s="1" t="n">
        <ns0:f aca="false">COUNTIFS(E8:E12,"&lt;&gt;Abgeschlossen")</ns0:f>
        <ns0:v>3</ns0:v>
      </ns0:c>
      <ns0:c r="C5" s="1"/>
      <ns0:c r="D5" s="1"/>
      <ns0:c r="E5" s="1"/>
      <ns0:c r="F5" s="1"/>
    </ns0:row>
    <ns0:row r="6" customFormat="false" ht="12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38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</ns0:row>
    <ns0:row r="8" customFormat="false" ht="64" hidden="false" customHeight="true" outlineLevel="0" collapsed="false">
      <ns0:c r="A8" s="5" t="s">
        <ns0:v>9</ns0:v>
      </ns0:c>
      <ns0:c r="B8" s="6" t="s">
        <ns0:v>10</ns0:v>
      </ns0:c>
      <ns0:c r="C8" s="6" t="s">
        <ns0:v>11</ns0:v>
      </ns0:c>
      <ns0:c r="D8" s="6" t="s">
        <ns0:v>10</ns0:v>
      </ns0:c>
      <ns0:c r="E8" s="5" t="str">
        <ns0:f aca="false">IF(B8&lt;&gt;"Ja","Prüfung offen",IF(C8="","Nachweis fehlt",IF(D8&lt;&gt;"Ja","Bestätigung offen","Abgeschlossen")))</ns0:f>
        <ns0:v>Abgeschlossen</ns0:v>
      </ns0:c>
      <ns0:c r="F8" s="5" t="s">
        <ns0:v>12</ns0:v>
      </ns0:c>
    </ns0:row>
    <ns0:row r="9" customFormat="false" ht="64" hidden="false" customHeight="true" outlineLevel="0" collapsed="false">
      <ns0:c r="A9" s="5" t="s">
        <ns0:v>13</ns0:v>
      </ns0:c>
      <ns0:c r="B9" s="6" t="s">
        <ns0:v>10</ns0:v>
      </ns0:c>
      <ns0:c r="C9" s="6" t="s">
        <ns0:v>11</ns0:v>
      </ns0:c>
      <ns0:c r="D9" s="6" t="s">
        <ns0:v>10</ns0:v>
      </ns0:c>
      <ns0:c r="E9" s="5" t="str">
        <ns0:f aca="false">IF(B9&lt;&gt;"Ja","Prüfung offen",IF(C9="","Nachweis fehlt",IF(D9&lt;&gt;"Ja","Bestätigung offen","Abgeschlossen")))</ns0:f>
        <ns0:v>Abgeschlossen</ns0:v>
      </ns0:c>
      <ns0:c r="F9" s="5" t="s">
        <ns0:v>14</ns0:v>
      </ns0:c>
    </ns0:row>
    <ns0:row r="10" customFormat="false" ht="64" hidden="false" customHeight="true" outlineLevel="0" collapsed="false">
      <ns0:c r="A10" s="5" t="s">
        <ns0:v>15</ns0:v>
      </ns0:c>
      <ns0:c r="B10" s="6" t="s">
        <ns0:v>16</ns0:v>
      </ns0:c>
      <ns0:c r="C10" s="6"/>
      <ns0:c r="D10" s="6" t="s">
        <ns0:v>16</ns0:v>
      </ns0:c>
      <ns0:c r="E10" s="5" t="str">
        <ns0:f aca="false">IF(B10&lt;&gt;"Ja","Prüfung offen",IF(C10="","Nachweis fehlt",IF(D10&lt;&gt;"Ja","Bestätigung offen","Abgeschlossen")))</ns0:f>
        <ns0:v>Prüfung offen</ns0:v>
      </ns0:c>
      <ns0:c r="F10" s="5" t="s">
        <ns0:v>17</ns0:v>
      </ns0:c>
    </ns0:row>
    <ns0:row r="11" customFormat="false" ht="64" hidden="false" customHeight="true" outlineLevel="0" collapsed="false">
      <ns0:c r="A11" s="5" t="s">
        <ns0:v>18</ns0:v>
      </ns0:c>
      <ns0:c r="B11" s="6" t="s">
        <ns0:v>16</ns0:v>
      </ns0:c>
      <ns0:c r="C11" s="6"/>
      <ns0:c r="D11" s="6" t="s">
        <ns0:v>16</ns0:v>
      </ns0:c>
      <ns0:c r="E11" s="5" t="str">
        <ns0:f aca="false">IF(B11&lt;&gt;"Ja","Prüfung offen",IF(C11="","Nachweis fehlt",IF(D11&lt;&gt;"Ja","Bestätigung offen","Abgeschlossen")))</ns0:f>
        <ns0:v>Prüfung offen</ns0:v>
      </ns0:c>
      <ns0:c r="F11" s="5" t="s">
        <ns0:v>19</ns0:v>
      </ns0:c>
    </ns0:row>
    <ns0:row r="12" customFormat="false" ht="64" hidden="false" customHeight="true" outlineLevel="0" collapsed="false">
      <ns0:c r="A12" s="5" t="s">
        <ns0:v>20</ns0:v>
      </ns0:c>
      <ns0:c r="B12" s="6" t="s">
        <ns0:v>16</ns0:v>
      </ns0:c>
      <ns0:c r="C12" s="6"/>
      <ns0:c r="D12" s="6" t="s">
        <ns0:v>16</ns0:v>
      </ns0:c>
      <ns0:c r="E12" s="5" t="str">
        <ns0:f aca="false">IF(B12&lt;&gt;"Ja","Prüfung offen",IF(C12="","Nachweis fehlt",IF(D12&lt;&gt;"Ja","Bestätigung offen","Abgeschlossen")))</ns0:f>
        <ns0:v>Prüfung offen</ns0:v>
      </ns0:c>
      <ns0:c r="F12" s="5" t="s">
        <ns0:v>21</ns0:v>
      </ns0:c>
    </ns0:row>
    <ns0:row r="13" customFormat="false" ht="20" hidden="false" customHeight="true" outlineLevel="0" collapsed="false">
      <ns0:c r="A13" s="5"/>
      <ns0:c r="B13" s="5"/>
      <ns0:c r="C13" s="5"/>
      <ns0:c r="D13" s="5"/>
      <ns0:c r="E13" s="5"/>
      <ns0:c r="F13" s="5"/>
    </ns0:row>
    <ns0:row r="14" customFormat="false" ht="20" hidden="false" customHeight="true" outlineLevel="0" collapsed="false">
      <ns0:c r="A14" s="5"/>
      <ns0:c r="B14" s="5"/>
      <ns0:c r="C14" s="5"/>
      <ns0:c r="D14" s="5"/>
      <ns0:c r="E14" s="5"/>
      <ns0:c r="F14" s="5"/>
    </ns0:row>
    <ns0:row r="15" customFormat="false" ht="20" hidden="false" customHeight="true" outlineLevel="0" collapsed="false">
      <ns0:c r="A15" s="1" t="s">
        <ns0:v>22</ns0:v>
      </ns0:c>
      <ns0:c r="B15" s="5"/>
      <ns0:c r="C15" s="5"/>
      <ns0:c r="D15" s="5"/>
      <ns0:c r="E15" s="5"/>
      <ns0:c r="F15" s="5"/>
    </ns0:row>
    <ns0:row r="16" customFormat="false" ht="20" hidden="false" customHeight="true" outlineLevel="0" collapsed="false">
      <ns0:c r="A16" s="1" t="s">
        <ns0:v>23</ns0:v>
      </ns0:c>
      <ns0:c r="B16" s="5"/>
      <ns0:c r="C16" s="5"/>
      <ns0:c r="D16" s="5"/>
      <ns0:c r="E16" s="5"/>
      <ns0:c r="F16" s="5"/>
    </ns0:row>
    <ns0:row r="17" customFormat="false" ht="20" hidden="false" customHeight="true" outlineLevel="0" collapsed="false">
      <ns0:c r="A17" s="5"/>
      <ns0:c r="B17" s="5"/>
      <ns0:c r="C17" s="5"/>
      <ns0:c r="D17" s="5"/>
      <ns0:c r="E17" s="5"/>
      <ns0:c r="F17" s="5"/>
    </ns0:row>
    <ns0:row r="18" customFormat="false" ht="20" hidden="false" customHeight="true" outlineLevel="0" collapsed="false">
      <ns0:c r="A18" s="1" t="s">
        <ns0:v>24</ns0:v>
      </ns0:c>
      <ns0:c r="B18" s="5"/>
      <ns0:c r="C18" s="5"/>
      <ns0:c r="D18" s="5"/>
      <ns0:c r="E18" s="5"/>
      <ns0:c r="F18" s="5"/>
    </ns0:row>
    <ns0:row r="19" customFormat="false" ht="20" hidden="false" customHeight="true" outlineLevel="0" collapsed="false">
      <ns0:c r="A19" s="1" t="s">
        <ns0:v>25</ns0:v>
      </ns0:c>
      <ns0:c r="B19" s="5"/>
      <ns0:c r="C19" s="5"/>
      <ns0:c r="D19" s="5"/>
      <ns0:c r="E19" s="5"/>
      <ns0:c r="F19" s="5"/>
    </ns0:row>
    <ns0:row r="20" customFormat="false" ht="20" hidden="false" customHeight="true" outlineLevel="0" collapsed="false">
      <ns0:c r="A20" s="5"/>
      <ns0:c r="B20" s="5"/>
      <ns0:c r="C20" s="5"/>
      <ns0:c r="D20" s="5"/>
      <ns0:c r="E20" s="5"/>
      <ns0:c r="F20" s="5"/>
    </ns0:row>
    <ns0:row r="21" customFormat="false" ht="20" hidden="false" customHeight="true" outlineLevel="0" collapsed="false">
      <ns0:c r="A21" s="1" t="s">
        <ns0:v>26</ns0:v>
      </ns0:c>
      <ns0:c r="B21" s="5"/>
      <ns0:c r="C21" s="5"/>
      <ns0:c r="D21" s="5"/>
      <ns0:c r="E21" s="5"/>
      <ns0:c r="F21" s="5"/>
    </ns0:row>
    <ns0:row r="22" customFormat="false" ht="20" hidden="false" customHeight="true" outlineLevel="0" collapsed="false">
      <ns0:c r="A22" s="1" t="s">
        <ns0:v>27</ns0:v>
      </ns0:c>
      <ns0:c r="B22" s="5"/>
      <ns0:c r="C22" s="5"/>
      <ns0:c r="D22" s="5"/>
      <ns0:c r="E22" s="5"/>
      <ns0:c r="F22" s="5"/>
    </ns0:row>
    <ns0:row r="23" customFormat="false" ht="20" hidden="false" customHeight="true" outlineLevel="0" collapsed="false">
      <ns0:c r="A23" s="5"/>
      <ns0:c r="B23" s="5"/>
      <ns0:c r="C23" s="5"/>
      <ns0:c r="D23" s="5"/>
      <ns0:c r="E23" s="5"/>
      <ns0:c r="F23" s="5"/>
    </ns0:row>
    <ns0:row r="24" customFormat="false" ht="20" hidden="false" customHeight="true" outlineLevel="0" collapsed="false">
      <ns0:c r="A24" s="1" t="s">
        <ns0:v>28</ns0:v>
      </ns0:c>
      <ns0:c r="B24" s="5"/>
      <ns0:c r="C24" s="5"/>
      <ns0:c r="D24" s="5"/>
      <ns0:c r="E24" s="5"/>
      <ns0:c r="F24" s="5"/>
    </ns0:row>
    <ns0:row r="25" customFormat="false" ht="20" hidden="false" customHeight="true" outlineLevel="0" collapsed="false">
      <ns0:c r="A25" s="5"/>
      <ns0:c r="B25" s="5"/>
      <ns0:c r="C25" s="5"/>
      <ns0:c r="D25" s="5"/>
      <ns0:c r="E25" s="5"/>
      <ns0:c r="F25" s="5"/>
    </ns0:row>
    <ns0:row r="26" customFormat="false" ht="20" hidden="false" customHeight="true" outlineLevel="0" collapsed="false">
      <ns0:c r="A26" s="1" t="s">
        <ns0:v>29</ns0:v>
      </ns0:c>
      <ns0:c r="B26" s="5"/>
      <ns0:c r="C26" s="5"/>
      <ns0:c r="D26" s="5"/>
      <ns0:c r="E26" s="5"/>
      <ns0:c r="F26" s="5"/>
    </ns0:row>
    <ns0:row r="27" customFormat="false" ht="20" hidden="false" customHeight="true" outlineLevel="0" collapsed="false">
      <ns0:c r="A27" s="5"/>
      <ns0:c r="B27" s="5"/>
      <ns0:c r="C27" s="5"/>
      <ns0:c r="D27" s="5"/>
      <ns0:c r="E27" s="5"/>
      <ns0:c r="F27" s="5"/>
    </ns0:row>
    <ns0:row r="28" customFormat="false" ht="20" hidden="false" customHeight="true" outlineLevel="0" collapsed="false">
      <ns0:c r="A28" s="5"/>
      <ns0:c r="B28" s="5"/>
      <ns0:c r="C28" s="5"/>
      <ns0:c r="D28" s="5"/>
      <ns0:c r="E28" s="5"/>
      <ns0:c r="F28" s="5"/>
    </ns0:row>
    <ns0:row r="29" customFormat="false" ht="20" hidden="false" customHeight="true" outlineLevel="0" collapsed="false">
      <ns0:c r="A29" s="5"/>
      <ns0:c r="B29" s="5"/>
      <ns0:c r="C29" s="5"/>
      <ns0:c r="D29" s="5"/>
      <ns0:c r="E29" s="5"/>
      <ns0:c r="F29" s="5"/>
    </ns0:row>
    <ns0:row r="30" customFormat="false" ht="20" hidden="false" customHeight="true" outlineLevel="0" collapsed="false">
      <ns0:c r="A30" s="5"/>
      <ns0:c r="B30" s="5"/>
      <ns0:c r="C30" s="5"/>
      <ns0:c r="D30" s="5"/>
      <ns0:c r="E30" s="5"/>
      <ns0:c r="F30" s="5"/>
    </ns0:row>
    <ns0:row r="31" customFormat="false" ht="20" hidden="false" customHeight="true" outlineLevel="0" collapsed="false">
      <ns0:c r="A31" s="5"/>
      <ns0:c r="B31" s="5"/>
      <ns0:c r="C31" s="5"/>
      <ns0:c r="D31" s="5"/>
      <ns0:c r="E31" s="5"/>
      <ns0:c r="F31" s="5"/>
    </ns0:row>
  </ns0:sheetData>
  <ns0:conditionalFormatting sqref="E8:E12">
    <ns0:cfRule type="notContainsText" priority="2" operator="notContains" aboveAverage="0" equalAverage="0" bottom="0" percent="0" rank="0" text="Abgeschlossen" dxfId="0">
      <ns0:formula>ISERROR(SEARCH("Abgeschlossen",E8))</ns0:formula>
    </ns0:cfRule>
  </ns0:conditionalFormatting>
  <ns0:dataValidations count="2">
    <ns0:dataValidation allowBlank="false" errorStyle="stop" operator="between" showDropDown="false" showErrorMessage="false" showInputMessage="false" sqref="B8:B12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D8:D12" type="list">
      <ns0:formula1>"Ja,Nein"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29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6"/>
    <ns0:col collapsed="false" customWidth="true" hidden="false" outlineLevel="0" max="2" min="2" style="0" width="29"/>
    <ns0:col collapsed="false" customWidth="true" hidden="false" outlineLevel="0" max="4" min="3" style="0" width="12"/>
    <ns0:col collapsed="false" customWidth="true" hidden="false" outlineLevel="0" max="5" min="5" style="0" width="13"/>
    <ns0:col collapsed="false" customWidth="true" hidden="false" outlineLevel="0" max="6" min="6" style="0" width="48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0" hidden="false" customHeight="true" outlineLevel="0" collapsed="false">
      <ns0:c r="A2" s="2" t="s">
        <ns0:v>30</ns0:v>
      </ns0:c>
      <ns0:c r="B2" s="1"/>
      <ns0:c r="C2" s="1"/>
      <ns0:c r="D2" s="1"/>
      <ns0:c r="E2" s="1"/>
      <ns0:c r="F2" s="1"/>
    </ns0:row>
    <ns0:row r="3" customFormat="false" ht="20" hidden="false" customHeight="true" outlineLevel="0" collapsed="false">
      <ns0:c r="A3" s="3" t="s">
        <ns0:v>31</ns0:v>
      </ns0:c>
      <ns0:c r="B3" s="1"/>
      <ns0:c r="C3" s="1"/>
      <ns0:c r="D3" s="1"/>
      <ns0:c r="E3" s="1"/>
      <ns0:c r="F3" s="1"/>
    </ns0:row>
    <ns0:row r="4" customFormat="false" ht="12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12" hidden="false" customHeight="true" outlineLevel="0" collapsed="false">
      <ns0:c r="A5" s="1"/>
      <ns0:c r="B5" s="1"/>
      <ns0:c r="C5" s="1"/>
      <ns0:c r="D5" s="1"/>
      <ns0:c r="E5" s="1"/>
      <ns0:c r="F5" s="1"/>
    </ns0:row>
    <ns0:row r="6" customFormat="false" ht="12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38" hidden="false" customHeight="true" outlineLevel="0" collapsed="false">
      <ns0:c r="A7" s="4" t="s">
        <ns0:v>32</ns0:v>
      </ns0:c>
      <ns0:c r="B7" s="4" t="s">
        <ns0:v>33</ns0:v>
      </ns0:c>
      <ns0:c r="C7" s="4" t="s">
        <ns0:v>34</ns0:v>
      </ns0:c>
      <ns0:c r="D7" s="4" t="s">
        <ns0:v>35</ns0:v>
      </ns0:c>
      <ns0:c r="E7" s="4" t="s">
        <ns0:v>36</ns0:v>
      </ns0:c>
      <ns0:c r="F7" s="4" t="s">
        <ns0:v>37</ns0:v>
      </ns0:c>
    </ns0:row>
    <ns0:row r="8" customFormat="false" ht="54" hidden="false" customHeight="true" outlineLevel="0" collapsed="false">
      <ns0:c r="A8" s="5" t="s">
        <ns0:v>38</ns0:v>
      </ns0:c>
      <ns0:c r="B8" s="5" t="s">
        <ns0:v>39</ns0:v>
      </ns0:c>
      <ns0:c r="C8" s="5" t="n">
        <ns0:v>86</ns0:v>
      </ns0:c>
      <ns0:c r="D8" s="5" t="n">
        <ns0:v>92</ns0:v>
      </ns0:c>
      <ns0:c r="E8" s="5" t="s">
        <ns0:v>40</ns0:v>
      </ns0:c>
      <ns0:c r="F8" s="5" t="s">
        <ns0:v>41</ns0:v>
      </ns0:c>
    </ns0:row>
    <ns0:row r="9" customFormat="false" ht="54" hidden="false" customHeight="true" outlineLevel="0" collapsed="false">
      <ns0:c r="A9" s="5" t="s">
        <ns0:v>42</ns0:v>
      </ns0:c>
      <ns0:c r="B9" s="5" t="s">
        <ns0:v>43</ns0:v>
      </ns0:c>
      <ns0:c r="C9" s="5" t="n">
        <ns0:v>34</ns0:v>
      </ns0:c>
      <ns0:c r="D9" s="5" t="n">
        <ns0:v>39</ns0:v>
      </ns0:c>
      <ns0:c r="E9" s="5" t="s">
        <ns0:v>40</ns0:v>
      </ns0:c>
      <ns0:c r="F9" s="5" t="s">
        <ns0:v>44</ns0:v>
      </ns0:c>
    </ns0:row>
    <ns0:row r="10" customFormat="false" ht="54" hidden="false" customHeight="true" outlineLevel="0" collapsed="false">
      <ns0:c r="A10" s="5" t="s">
        <ns0:v>45</ns0:v>
      </ns0:c>
      <ns0:c r="B10" s="5" t="s">
        <ns0:v>46</ns0:v>
      </ns0:c>
      <ns0:c r="C10" s="5" t="n">
        <ns0:v>6</ns0:v>
      </ns0:c>
      <ns0:c r="D10" s="5" t="n">
        <ns0:v>6</ns0:v>
      </ns0:c>
      <ns0:c r="E10" s="5" t="s">
        <ns0:v>47</ns0:v>
      </ns0:c>
      <ns0:c r="F10" s="5" t="s">
        <ns0:v>48</ns0:v>
      </ns0:c>
    </ns0:row>
    <ns0:row r="11" customFormat="false" ht="54" hidden="false" customHeight="true" outlineLevel="0" collapsed="false">
      <ns0:c r="A11" s="5" t="s">
        <ns0:v>49</ns0:v>
      </ns0:c>
      <ns0:c r="B11" s="5" t="s">
        <ns0:v>50</ns0:v>
      </ns0:c>
      <ns0:c r="C11" s="5" t="n">
        <ns0:v>10</ns0:v>
      </ns0:c>
      <ns0:c r="D11" s="5" t="n">
        <ns0:v>10</ns0:v>
      </ns0:c>
      <ns0:c r="E11" s="5" t="s">
        <ns0:v>51</ns0:v>
      </ns0:c>
      <ns0:c r="F11" s="5" t="s">
        <ns0:v>52</ns0:v>
      </ns0:c>
    </ns0:row>
    <ns0:row r="12" customFormat="false" ht="54" hidden="false" customHeight="true" outlineLevel="0" collapsed="false">
      <ns0:c r="A12" s="5" t="s">
        <ns0:v>53</ns0:v>
      </ns0:c>
      <ns0:c r="B12" s="5" t="s">
        <ns0:v>54</ns0:v>
      </ns0:c>
      <ns0:c r="C12" s="5" t="n">
        <ns0:v>4</ns0:v>
      </ns0:c>
      <ns0:c r="D12" s="5" t="n">
        <ns0:v>4</ns0:v>
      </ns0:c>
      <ns0:c r="E12" s="5" t="s">
        <ns0:v>47</ns0:v>
      </ns0:c>
      <ns0:c r="F12" s="5" t="s">
        <ns0:v>55</ns0:v>
      </ns0:c>
    </ns0:row>
    <ns0:row r="13" customFormat="false" ht="54" hidden="false" customHeight="true" outlineLevel="0" collapsed="false">
      <ns0:c r="A13" s="5" t="s">
        <ns0:v>56</ns0:v>
      </ns0:c>
      <ns0:c r="B13" s="5" t="s">
        <ns0:v>57</ns0:v>
      </ns0:c>
      <ns0:c r="C13" s="5" t="n">
        <ns0:v>35</ns0:v>
      </ns0:c>
      <ns0:c r="D13" s="5" t="n">
        <ns0:v>35</ns0:v>
      </ns0:c>
      <ns0:c r="E13" s="5" t="s">
        <ns0:v>58</ns0:v>
      </ns0:c>
      <ns0:c r="F13" s="5" t="s">
        <ns0:v>59</ns0:v>
      </ns0:c>
    </ns0:row>
    <ns0:row r="14" customFormat="false" ht="20" hidden="false" customHeight="true" outlineLevel="0" collapsed="false">
      <ns0:c r="A14" s="5"/>
      <ns0:c r="B14" s="5"/>
      <ns0:c r="C14" s="5"/>
      <ns0:c r="D14" s="5"/>
      <ns0:c r="E14" s="5"/>
      <ns0:c r="F14" s="5"/>
    </ns0:row>
    <ns0:row r="15" customFormat="false" ht="20" hidden="false" customHeight="true" outlineLevel="0" collapsed="false">
      <ns0:c r="A15" s="5"/>
      <ns0:c r="B15" s="5"/>
      <ns0:c r="C15" s="5"/>
      <ns0:c r="D15" s="5"/>
      <ns0:c r="E15" s="5"/>
      <ns0:c r="F15" s="5"/>
    </ns0:row>
    <ns0:row r="16" customFormat="false" ht="50" hidden="false" customHeight="true" outlineLevel="0" collapsed="false">
      <ns0:c r="A16" s="5" t="s">
        <ns0:v>60</ns0:v>
      </ns0:c>
      <ns0:c r="B16" s="5"/>
      <ns0:c r="C16" s="5" t="n">
        <ns0:f aca="false">C8-D9</ns0:f>
        <ns0:v>47</ns0:v>
      </ns0:c>
      <ns0:c r="D16" s="5" t="n">
        <ns0:f aca="false">D8-C9</ns0:f>
        <ns0:v>58</ns0:v>
      </ns0:c>
      <ns0:c r="E16" s="5" t="s">
        <ns0:v>40</ns0:v>
      </ns0:c>
      <ns0:c r="F16" s="5" t="s">
        <ns0:v>61</ns0:v>
      </ns0:c>
    </ns0:row>
    <ns0:row r="17" customFormat="false" ht="20" hidden="false" customHeight="true" outlineLevel="0" collapsed="false">
      <ns0:c r="A17" s="5"/>
      <ns0:c r="B17" s="5"/>
      <ns0:c r="C17" s="5"/>
      <ns0:c r="D17" s="5"/>
      <ns0:c r="E17" s="5"/>
      <ns0:c r="F17" s="5"/>
    </ns0:row>
    <ns0:row r="18" customFormat="false" ht="20" hidden="false" customHeight="true" outlineLevel="0" collapsed="false">
      <ns0:c r="A18" s="5"/>
      <ns0:c r="B18" s="5"/>
      <ns0:c r="C18" s="5"/>
      <ns0:c r="D18" s="5"/>
      <ns0:c r="E18" s="5"/>
      <ns0:c r="F18" s="5"/>
    </ns0:row>
    <ns0:row r="19" customFormat="false" ht="20" hidden="false" customHeight="true" outlineLevel="0" collapsed="false">
      <ns0:c r="A19" s="1" t="s">
        <ns0:v>62</ns0:v>
      </ns0:c>
      <ns0:c r="B19" s="5"/>
      <ns0:c r="C19" s="5"/>
      <ns0:c r="D19" s="5"/>
      <ns0:c r="E19" s="5"/>
      <ns0:c r="F19" s="5"/>
    </ns0:row>
    <ns0:row r="20" customFormat="false" ht="20" hidden="false" customHeight="true" outlineLevel="0" collapsed="false">
      <ns0:c r="A20" s="1" t="s">
        <ns0:v>63</ns0:v>
      </ns0:c>
      <ns0:c r="B20" s="5"/>
      <ns0:c r="C20" s="5"/>
      <ns0:c r="D20" s="5"/>
      <ns0:c r="E20" s="5"/>
      <ns0:c r="F20" s="5"/>
    </ns0:row>
    <ns0:row r="21" customFormat="false" ht="20" hidden="false" customHeight="true" outlineLevel="0" collapsed="false">
      <ns0:c r="A21" s="5"/>
      <ns0:c r="B21" s="5"/>
      <ns0:c r="C21" s="5"/>
      <ns0:c r="D21" s="5"/>
      <ns0:c r="E21" s="5"/>
      <ns0:c r="F21" s="5"/>
    </ns0:row>
    <ns0:row r="22" customFormat="false" ht="20" hidden="false" customHeight="true" outlineLevel="0" collapsed="false">
      <ns0:c r="A22" s="1" t="s">
        <ns0:v>64</ns0:v>
      </ns0:c>
      <ns0:c r="B22" s="5"/>
      <ns0:c r="C22" s="5"/>
      <ns0:c r="D22" s="5"/>
      <ns0:c r="E22" s="5"/>
      <ns0:c r="F22" s="5"/>
    </ns0:row>
    <ns0:row r="23" customFormat="false" ht="20" hidden="false" customHeight="true" outlineLevel="0" collapsed="false">
      <ns0:c r="A23" s="1" t="s">
        <ns0:v>65</ns0:v>
      </ns0:c>
      <ns0:c r="B23" s="5"/>
      <ns0:c r="C23" s="5"/>
      <ns0:c r="D23" s="5"/>
      <ns0:c r="E23" s="5"/>
      <ns0:c r="F23" s="5"/>
    </ns0:row>
    <ns0:row r="24" customFormat="false" ht="20" hidden="false" customHeight="true" outlineLevel="0" collapsed="false">
      <ns0:c r="A24" s="5"/>
      <ns0:c r="B24" s="5"/>
      <ns0:c r="C24" s="5"/>
      <ns0:c r="D24" s="5"/>
      <ns0:c r="E24" s="5"/>
      <ns0:c r="F24" s="5"/>
    </ns0:row>
    <ns0:row r="25" customFormat="false" ht="20" hidden="false" customHeight="true" outlineLevel="0" collapsed="false">
      <ns0:c r="A25" s="1" t="s">
        <ns0:v>66</ns0:v>
      </ns0:c>
      <ns0:c r="B25" s="5"/>
      <ns0:c r="C25" s="5"/>
      <ns0:c r="D25" s="5"/>
      <ns0:c r="E25" s="5"/>
      <ns0:c r="F25" s="5"/>
    </ns0:row>
    <ns0:row r="26" customFormat="false" ht="20" hidden="false" customHeight="true" outlineLevel="0" collapsed="false">
      <ns0:c r="A26" s="1" t="s">
        <ns0:v>67</ns0:v>
      </ns0:c>
      <ns0:c r="B26" s="5"/>
      <ns0:c r="C26" s="5"/>
      <ns0:c r="D26" s="5"/>
      <ns0:c r="E26" s="5"/>
      <ns0:c r="F26" s="5"/>
    </ns0:row>
    <ns0:row r="27" customFormat="false" ht="20" hidden="false" customHeight="true" outlineLevel="0" collapsed="false">
      <ns0:c r="A27" s="5"/>
      <ns0:c r="B27" s="5"/>
      <ns0:c r="C27" s="5"/>
      <ns0:c r="D27" s="5"/>
      <ns0:c r="E27" s="5"/>
      <ns0:c r="F27" s="5"/>
    </ns0:row>
    <ns0:row r="28" customFormat="false" ht="20" hidden="false" customHeight="true" outlineLevel="0" collapsed="false">
      <ns0:c r="A28" s="5"/>
      <ns0:c r="B28" s="5"/>
      <ns0:c r="C28" s="5"/>
      <ns0:c r="D28" s="5"/>
      <ns0:c r="E28" s="5"/>
      <ns0:c r="F28" s="5"/>
    </ns0:row>
    <ns0:row r="29" customFormat="false" ht="20" hidden="false" customHeight="true" outlineLevel="0" collapsed="false">
      <ns0:c r="A29" s="5"/>
      <ns0:c r="B29" s="5"/>
      <ns0:c r="C29" s="5"/>
      <ns0:c r="D29" s="5"/>
      <ns0:c r="E29" s="5"/>
      <ns0:c r="F29" s="5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