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ns0:workbook xmlns:ns0="http://schemas.openxmlformats.org/spreadsheetml/2006/main" xmlns:ns1="http://schemas.openxmlformats.org/officeDocument/2006/relationships" xmlns:ns2="http://schemas.libreoffice.org/">
  <ns0:fileVersion appName="Calc"/>
  <ns0:workbookPr backupFile="false" showObjects="all" date1904="false"/>
  <ns0:workbookProtection/>
  <ns0:bookViews>
    <ns0:workbookView showHorizontalScroll="true" showVerticalScroll="true" showSheetTabs="true" xWindow="0" yWindow="0" windowWidth="16384" windowHeight="8192" tabRatio="600" firstSheet="0" activeTab="0"/>
  </ns0:bookViews>
  <ns0:sheets>
    <ns0:sheet name="Termine" sheetId="1" state="visible" ns1:id="rId3"/>
  </ns0:sheets>
  <ns0:definedNames>
    <ns0:definedName name="_xlnm.Print_Area" localSheetId="0">'Termine'!A1:G24</ns0:definedName>
    <ns0:definedName name="_xlnm.Print_Titles" localSheetId="0">'Termine'!$1:$5</ns0:definedName>
  </ns0:definedNames>
  <ns0:calcPr iterateCount="100" refMode="A1" iterate="false" iterateDelta="0.0001" calcMode="auto" fullCalcOnLoad="1" forceFullCalc="1"/>
  <ns0:extLst>
    <ns0:ext uri="{7626C862-2A13-11E5-B345-FEFF819CDC9F}">
      <ns2:extCalcPr stringRefSyntax="CalcA1ExcelA1"/>
    </ns0:ext>
  </ns0:extLst>
</ns0:workbook>
</file>

<file path=xl/sharedStrings.xml><?xml version="1.0" encoding="utf-8"?>
<sst xmlns="http://schemas.openxmlformats.org/spreadsheetml/2006/main" count="52" uniqueCount="46">
  <si>
    <t xml:space="preserve">Rahmenterminplan Bürgerhaus</t>
  </si>
  <si>
    <t xml:space="preserve">Hartwig Architektur · an Vorstand und Fachplaner · 25.04.2022 · BH-21-04</t>
  </si>
  <si>
    <t xml:space="preserve">Vorgang</t>
  </si>
  <si>
    <t xml:space="preserve">Start</t>
  </si>
  <si>
    <t xml:space="preserve">Dauer Tage</t>
  </si>
  <si>
    <t xml:space="preserve">Ende</t>
  </si>
  <si>
    <t xml:space="preserve">Abstand Tage</t>
  </si>
  <si>
    <t xml:space="preserve">Zuständig</t>
  </si>
  <si>
    <t xml:space="preserve">Grundlage</t>
  </si>
  <si>
    <t xml:space="preserve">Ausführungsplanung</t>
  </si>
  <si>
    <t xml:space="preserve">Hartwig</t>
  </si>
  <si>
    <t xml:space="preserve">18 / Abruf, Ziel 06.06.2022</t>
  </si>
  <si>
    <t xml:space="preserve">Vereinsveranstaltungen</t>
  </si>
  <si>
    <t xml:space="preserve">Vorstand</t>
  </si>
  <si>
    <t xml:space="preserve">01 / Nutzung bis Winter 2022</t>
  </si>
  <si>
    <t xml:space="preserve">Vergabeunterlagen</t>
  </si>
  <si>
    <t xml:space="preserve">18 / Abruf</t>
  </si>
  <si>
    <t xml:space="preserve">Angebotsfrist</t>
  </si>
  <si>
    <t xml:space="preserve">Vergabeplanung, 04.04.2023</t>
  </si>
  <si>
    <t xml:space="preserve">Prüfung und Zuschlag</t>
  </si>
  <si>
    <t xml:space="preserve">Hartwig / Vorstand</t>
  </si>
  <si>
    <t xml:space="preserve">Vorgesehener Zuschlag 18.04.2023</t>
  </si>
  <si>
    <t xml:space="preserve">Bauvorbereitung</t>
  </si>
  <si>
    <t xml:space="preserve">Vorstand / Firmen</t>
  </si>
  <si>
    <t xml:space="preserve">Räumung bis 20.08.2023</t>
  </si>
  <si>
    <t xml:space="preserve">Rückbau und Gründung</t>
  </si>
  <si>
    <t xml:space="preserve">Los 1</t>
  </si>
  <si>
    <t xml:space="preserve">Vertragstermin noch anzubieten</t>
  </si>
  <si>
    <t xml:space="preserve">Hülle und Dach</t>
  </si>
  <si>
    <t xml:space="preserve">Anschluss nach Gründung</t>
  </si>
  <si>
    <t xml:space="preserve">Technik und Innenausbau</t>
  </si>
  <si>
    <t xml:space="preserve">Fachfirmen</t>
  </si>
  <si>
    <t xml:space="preserve">Abstimmung mit Gebäudeplanung</t>
  </si>
  <si>
    <t xml:space="preserve">Restarbeiten Los 1</t>
  </si>
  <si>
    <t xml:space="preserve">Ziel Fertigstellung 15.03.2024</t>
  </si>
  <si>
    <t xml:space="preserve">Abnahmen und Einweisung</t>
  </si>
  <si>
    <t xml:space="preserve">Gewerke einzeln abnehmen</t>
  </si>
  <si>
    <t xml:space="preserve">Übergabe</t>
  </si>
  <si>
    <t xml:space="preserve">Vorstand / Hauswart</t>
  </si>
  <si>
    <t xml:space="preserve">Nutzungsbeginn nach Freigaben</t>
  </si>
  <si>
    <t xml:space="preserve">Objektbetreuung Begehung</t>
  </si>
  <si>
    <t xml:space="preserve">02 / Vertrag; Termin noch abzustimmen</t>
  </si>
  <si>
    <t xml:space="preserve">Kalendertage einschließlich Beginn und Ende; keine Werktagsannahme.</t>
  </si>
  <si>
    <t xml:space="preserve">Starts sind abgestimmte Meilensteine; Verschiebungen nicht automatisch freigegeben.</t>
  </si>
  <si>
    <t xml:space="preserve">Abstand negativ: Überschneidung. Abstand positiv: geplanter Zwischenraum.</t>
  </si>
  <si>
    <t xml:space="preserve">gez. Lena Hartwig · Anlagen: keine · Stand ohne spätere Ist-Daten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</si>
</sst>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9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sz val="11"/>
      <color rgb="FF111111"/>
      <name val="Arial"/>
      <family val="0"/>
      <charset val="1"/>
    </font>
    <font>
      <b val="true"/>
      <sz val="15"/>
      <color rgb="FF1111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174B99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354A55"/>
        <bgColor rgb="FF174B99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2" borderId="0" xfId="2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0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8" fillId="0" borderId="0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0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111111"/>
      <rgbColor rgb="FF333300"/>
      <rgbColor rgb="FF993300"/>
      <rgbColor rgb="FF993366"/>
      <rgbColor rgb="FF174B99"/>
      <rgbColor rgb="FF354A5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ns0:worksheet xmlns:ns0="http://schemas.openxmlformats.org/spreadsheetml/2006/main">
  <ns0:sheetPr filterMode="false">
    <ns0:pageSetUpPr fitToPage="1"/>
  </ns0:sheetPr>
  <ns0:dimension ref="A1:G45"/>
  <ns0:sheetViews>
    <ns0: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ns0:pane xSplit="0" ySplit="5" topLeftCell="A6" activePane="bottomLeft" state="frozen"/>
      <ns0:selection pane="topLeft" activeCell="A1" activeCellId="0" sqref="A1"/>
      <ns0:selection pane="bottomLeft" activeCell="A1" activeCellId="0" sqref="A1"/>
    </ns0:sheetView>
  </ns0:sheetViews>
  <ns0:sheetFormatPr defaultColWidth="8.6796875" defaultRowHeight="15" customHeight="false" zeroHeight="false" outlineLevelRow="0" outlineLevelCol="0"/>
  <ns0:cols>
    <ns0:col collapsed="false" customWidth="true" hidden="false" outlineLevel="0" max="1" min="1" style="0" width="37"/>
    <ns0:col collapsed="false" customWidth="true" hidden="false" outlineLevel="0" max="2" min="2" style="0" width="16"/>
    <ns0:col collapsed="false" customWidth="true" hidden="false" outlineLevel="0" max="3" min="3" style="0" width="12"/>
    <ns0:col collapsed="false" customWidth="true" hidden="false" outlineLevel="0" max="4" min="4" style="0" width="16"/>
    <ns0:col collapsed="false" customWidth="true" hidden="false" outlineLevel="0" max="5" min="5" style="0" width="14"/>
    <ns0:col collapsed="false" customWidth="true" hidden="false" outlineLevel="0" max="6" min="6" style="0" width="25"/>
    <ns0:col collapsed="false" customWidth="true" hidden="false" outlineLevel="0" max="7" min="7" style="0" width="35"/>
  </ns0:cols>
  <ns0:sheetData>
    <ns0:row r="1" customFormat="false" ht="15" hidden="false" customHeight="false" outlineLevel="0" collapsed="false">
      <ns0:c r="A1" s="1"/>
      <ns0:c r="B1" s="1"/>
      <ns0:c r="C1" s="1"/>
      <ns0:c r="D1" s="1"/>
      <ns0:c r="E1" s="1"/>
      <ns0:c r="F1" s="1"/>
      <ns0:c r="G1" s="1"/>
    </ns0:row>
    <ns0:row r="2" customFormat="false" ht="18.55" hidden="false" customHeight="false" outlineLevel="0" collapsed="false">
      <ns0:c r="A2" s="2" t="s">
        <ns0:v>0</ns0:v>
      </ns0:c>
      <ns0:c r="B2" s="1"/>
      <ns0:c r="C2" s="1"/>
      <ns0:c r="D2" s="1"/>
      <ns0:c r="E2" s="1"/>
      <ns0:c r="F2" s="1"/>
      <ns0:c r="G2" s="1"/>
    </ns0:row>
    <ns0:row r="3" customFormat="false" ht="15" hidden="false" customHeight="false" outlineLevel="0" collapsed="false">
      <ns0:c r="A3" s="1" t="s">
        <ns0:v>1</ns0:v>
      </ns0:c>
      <ns0:c r="B3" s="1"/>
      <ns0:c r="C3" s="1"/>
      <ns0:c r="D3" s="1"/>
      <ns0:c r="E3" s="1"/>
      <ns0:c r="F3" s="1"/>
      <ns0:c r="G3" s="1"/>
    </ns0:row>
    <ns0:row r="4" customFormat="false" ht="15" hidden="false" customHeight="false" outlineLevel="0" collapsed="false">
      <ns0:c r="A4" s="1"/>
      <ns0:c r="B4" s="1"/>
      <ns0:c r="C4" s="1"/>
      <ns0:c r="D4" s="1"/>
      <ns0:c r="E4" s="1"/>
      <ns0:c r="F4" s="1"/>
      <ns0:c r="G4" s="1"/>
    </ns0:row>
    <ns0:row r="5" customFormat="false" ht="36" hidden="false" customHeight="true" outlineLevel="0" collapsed="false">
      <ns0:c r="A5" s="3" t="s">
        <ns0:v>2</ns0:v>
      </ns0:c>
      <ns0:c r="B5" s="4" t="s">
        <ns0:v>3</ns0:v>
      </ns0:c>
      <ns0:c r="C5" s="4" t="s">
        <ns0:v>4</ns0:v>
      </ns0:c>
      <ns0:c r="D5" s="4" t="s">
        <ns0:v>5</ns0:v>
      </ns0:c>
      <ns0:c r="E5" s="4" t="s">
        <ns0:v>6</ns0:v>
      </ns0:c>
      <ns0:c r="F5" s="3" t="s">
        <ns0:v>7</ns0:v>
      </ns0:c>
      <ns0:c r="G5" s="3" t="s">
        <ns0:v>8</ns0:v>
      </ns0:c>
    </ns0:row>
    <ns0:row r="6" customFormat="false" ht="43" hidden="false" customHeight="true" outlineLevel="0" collapsed="false">
      <ns0:c r="A6" s="5" t="s">
        <ns0:v>9</ns0:v>
      </ns0:c>
      <ns0:c r="B6" s="6" t="n">
        <ns0:v>44683</ns0:v>
      </ns0:c>
      <ns0:c r="C6" s="7" t="n">
        <ns0:v>36</ns0:v>
      </ns0:c>
      <ns0:c r="D6" s="8" t="n">
        <ns0:f aca="false">IF(OR(B6="",C6="",C6&lt;1),NA(),B6+C6-1)</ns0:f>
        <ns0:v>44718</ns0:v>
      </ns0:c>
      <ns0:c r="E6" s="9"/>
      <ns0:c r="F6" s="5" t="s">
        <ns0:v>10</ns0:v>
      </ns0:c>
      <ns0:c r="G6" s="5" t="s">
        <ns0:v>11</ns0:v>
      </ns0:c>
    </ns0:row>
    <ns0:row r="7" customFormat="false" ht="43" hidden="false" customHeight="true" outlineLevel="0" collapsed="false">
      <ns0:c r="A7" s="5" t="s">
        <ns0:v>12</ns0:v>
      </ns0:c>
      <ns0:c r="B7" s="6" t="n">
        <ns0:v>44719</ns0:v>
      </ns0:c>
      <ns0:c r="C7" s="7" t="n">
        <ns0:v>242</ns0:v>
      </ns0:c>
      <ns0:c r="D7" s="8" t="n">
        <ns0:f aca="false">IF(OR(B7="",C7="",C7&lt;1),NA(),B7+C7-1)</ns0:f>
        <ns0:v>44960</ns0:v>
      </ns0:c>
      <ns0:c r="E7" s="9" t="n">
        <ns0:f aca="false">B7-D6-1</ns0:f>
        <ns0:v>0</ns0:v>
      </ns0:c>
      <ns0:c r="F7" s="5" t="s">
        <ns0:v>13</ns0:v>
      </ns0:c>
      <ns0:c r="G7" s="5" t="s">
        <ns0:v>14</ns0:v>
      </ns0:c>
    </ns0:row>
    <ns0:row r="8" customFormat="false" ht="43" hidden="false" customHeight="true" outlineLevel="0" collapsed="false">
      <ns0:c r="A8" s="5" t="s">
        <ns0:v>15</ns0:v>
      </ns0:c>
      <ns0:c r="B8" s="6" t="n">
        <ns0:v>44963</ns0:v>
      </ns0:c>
      <ns0:c r="C8" s="7" t="n">
        <ns0:v>31</ns0:v>
      </ns0:c>
      <ns0:c r="D8" s="8" t="n">
        <ns0:f aca="false">IF(OR(B8="",C8="",C8&lt;1),NA(),B8+C8-1)</ns0:f>
        <ns0:v>44993</ns0:v>
      </ns0:c>
      <ns0:c r="E8" s="9" t="n">
        <ns0:f aca="false">B8-D7-1</ns0:f>
        <ns0:v>2</ns0:v>
      </ns0:c>
      <ns0:c r="F8" s="5" t="s">
        <ns0:v>10</ns0:v>
      </ns0:c>
      <ns0:c r="G8" s="5" t="s">
        <ns0:v>16</ns0:v>
      </ns0:c>
    </ns0:row>
    <ns0:row r="9" customFormat="false" ht="43" hidden="false" customHeight="true" outlineLevel="0" collapsed="false">
      <ns0:c r="A9" s="5" t="s">
        <ns0:v>17</ns0:v>
      </ns0:c>
      <ns0:c r="B9" s="6" t="n">
        <ns0:v>44994</ns0:v>
      </ns0:c>
      <ns0:c r="C9" s="7" t="n">
        <ns0:v>27</ns0:v>
      </ns0:c>
      <ns0:c r="D9" s="8" t="n">
        <ns0:f aca="false">IF(OR(B9="",C9="",C9&lt;1),NA(),B9+C9-1)</ns0:f>
        <ns0:v>45020</ns0:v>
      </ns0:c>
      <ns0:c r="E9" s="9" t="n">
        <ns0:f aca="false">B9-D8-1</ns0:f>
        <ns0:v>0</ns0:v>
      </ns0:c>
      <ns0:c r="F9" s="5" t="s">
        <ns0:v>13</ns0:v>
      </ns0:c>
      <ns0:c r="G9" s="5" t="s">
        <ns0:v>18</ns0:v>
      </ns0:c>
    </ns0:row>
    <ns0:row r="10" customFormat="false" ht="43" hidden="false" customHeight="true" outlineLevel="0" collapsed="false">
      <ns0:c r="A10" s="5" t="s">
        <ns0:v>19</ns0:v>
      </ns0:c>
      <ns0:c r="B10" s="6" t="n">
        <ns0:v>45021</ns0:v>
      </ns0:c>
      <ns0:c r="C10" s="7" t="n">
        <ns0:v>14</ns0:v>
      </ns0:c>
      <ns0:c r="D10" s="8" t="n">
        <ns0:f aca="false">IF(OR(B10="",C10="",C10&lt;1),NA(),B10+C10-1)</ns0:f>
        <ns0:v>45034</ns0:v>
      </ns0:c>
      <ns0:c r="E10" s="9" t="n">
        <ns0:f aca="false">B10-D9-1</ns0:f>
        <ns0:v>0</ns0:v>
      </ns0:c>
      <ns0:c r="F10" s="5" t="s">
        <ns0:v>20</ns0:v>
      </ns0:c>
      <ns0:c r="G10" s="5" t="s">
        <ns0:v>21</ns0:v>
      </ns0:c>
    </ns0:row>
    <ns0:row r="11" customFormat="false" ht="43" hidden="false" customHeight="true" outlineLevel="0" collapsed="false">
      <ns0:c r="A11" s="5" t="s">
        <ns0:v>22</ns0:v>
      </ns0:c>
      <ns0:c r="B11" s="6" t="n">
        <ns0:v>45035</ns0:v>
      </ns0:c>
      <ns0:c r="C11" s="7" t="n">
        <ns0:v>124</ns0:v>
      </ns0:c>
      <ns0:c r="D11" s="8" t="n">
        <ns0:f aca="false">IF(OR(B11="",C11="",C11&lt;1),NA(),B11+C11-1)</ns0:f>
        <ns0:v>45158</ns0:v>
      </ns0:c>
      <ns0:c r="E11" s="9" t="n">
        <ns0:f aca="false">B11-D10-1</ns0:f>
        <ns0:v>0</ns0:v>
      </ns0:c>
      <ns0:c r="F11" s="5" t="s">
        <ns0:v>23</ns0:v>
      </ns0:c>
      <ns0:c r="G11" s="5" t="s">
        <ns0:v>24</ns0:v>
      </ns0:c>
    </ns0:row>
    <ns0:row r="12" customFormat="false" ht="43" hidden="false" customHeight="true" outlineLevel="0" collapsed="false">
      <ns0:c r="A12" s="5" t="s">
        <ns0:v>25</ns0:v>
      </ns0:c>
      <ns0:c r="B12" s="6" t="n">
        <ns0:v>45159</ns0:v>
      </ns0:c>
      <ns0:c r="C12" s="7" t="n">
        <ns0:v>40</ns0:v>
      </ns0:c>
      <ns0:c r="D12" s="8" t="n">
        <ns0:f aca="false">IF(OR(B12="",C12="",C12&lt;1),NA(),B12+C12-1)</ns0:f>
        <ns0:v>45198</ns0:v>
      </ns0:c>
      <ns0:c r="E12" s="9" t="n">
        <ns0:f aca="false">B12-D11-1</ns0:f>
        <ns0:v>0</ns0:v>
      </ns0:c>
      <ns0:c r="F12" s="5" t="s">
        <ns0:v>26</ns0:v>
      </ns0:c>
      <ns0:c r="G12" s="5" t="s">
        <ns0:v>27</ns0:v>
      </ns0:c>
    </ns0:row>
    <ns0:row r="13" customFormat="false" ht="43" hidden="false" customHeight="true" outlineLevel="0" collapsed="false">
      <ns0:c r="A13" s="5" t="s">
        <ns0:v>28</ns0:v>
      </ns0:c>
      <ns0:c r="B13" s="6" t="n">
        <ns0:v>45199</ns0:v>
      </ns0:c>
      <ns0:c r="C13" s="7" t="n">
        <ns0:v>61</ns0:v>
      </ns0:c>
      <ns0:c r="D13" s="8" t="n">
        <ns0:f aca="false">IF(OR(B13="",C13="",C13&lt;1),NA(),B13+C13-1)</ns0:f>
        <ns0:v>45259</ns0:v>
      </ns0:c>
      <ns0:c r="E13" s="9" t="n">
        <ns0:f aca="false">B13-D12-1</ns0:f>
        <ns0:v>0</ns0:v>
      </ns0:c>
      <ns0:c r="F13" s="5" t="s">
        <ns0:v>26</ns0:v>
      </ns0:c>
      <ns0:c r="G13" s="5" t="s">
        <ns0:v>29</ns0:v>
      </ns0:c>
    </ns0:row>
    <ns0:row r="14" customFormat="false" ht="43" hidden="false" customHeight="true" outlineLevel="0" collapsed="false">
      <ns0:c r="A14" s="5" t="s">
        <ns0:v>30</ns0:v>
      </ns0:c>
      <ns0:c r="B14" s="6" t="n">
        <ns0:v>45260</ns0:v>
      </ns0:c>
      <ns0:c r="C14" s="7" t="n">
        <ns0:v>91</ns0:v>
      </ns0:c>
      <ns0:c r="D14" s="8" t="n">
        <ns0:f aca="false">IF(OR(B14="",C14="",C14&lt;1),NA(),B14+C14-1)</ns0:f>
        <ns0:v>45350</ns0:v>
      </ns0:c>
      <ns0:c r="E14" s="9" t="n">
        <ns0:f aca="false">B14-D13-1</ns0:f>
        <ns0:v>0</ns0:v>
      </ns0:c>
      <ns0:c r="F14" s="5" t="s">
        <ns0:v>31</ns0:v>
      </ns0:c>
      <ns0:c r="G14" s="5" t="s">
        <ns0:v>32</ns0:v>
      </ns0:c>
    </ns0:row>
    <ns0:row r="15" customFormat="false" ht="43" hidden="false" customHeight="true" outlineLevel="0" collapsed="false">
      <ns0:c r="A15" s="5" t="s">
        <ns0:v>33</ns0:v>
      </ns0:c>
      <ns0:c r="B15" s="6" t="n">
        <ns0:v>45351</ns0:v>
      </ns0:c>
      <ns0:c r="C15" s="7" t="n">
        <ns0:v>16</ns0:v>
      </ns0:c>
      <ns0:c r="D15" s="8" t="n">
        <ns0:f aca="false">IF(OR(B15="",C15="",C15&lt;1),NA(),B15+C15-1)</ns0:f>
        <ns0:v>45366</ns0:v>
      </ns0:c>
      <ns0:c r="E15" s="9" t="n">
        <ns0:f aca="false">B15-D14-1</ns0:f>
        <ns0:v>0</ns0:v>
      </ns0:c>
      <ns0:c r="F15" s="5" t="s">
        <ns0:v>26</ns0:v>
      </ns0:c>
      <ns0:c r="G15" s="5" t="s">
        <ns0:v>34</ns0:v>
      </ns0:c>
    </ns0:row>
    <ns0:row r="16" customFormat="false" ht="43" hidden="false" customHeight="true" outlineLevel="0" collapsed="false">
      <ns0:c r="A16" s="5" t="s">
        <ns0:v>35</ns0:v>
      </ns0:c>
      <ns0:c r="B16" s="6" t="n">
        <ns0:v>45367</ns0:v>
      </ns0:c>
      <ns0:c r="C16" s="7" t="n">
        <ns0:v>20</ns0:v>
      </ns0:c>
      <ns0:c r="D16" s="8" t="n">
        <ns0:f aca="false">IF(OR(B16="",C16="",C16&lt;1),NA(),B16+C16-1)</ns0:f>
        <ns0:v>45386</ns0:v>
      </ns0:c>
      <ns0:c r="E16" s="9" t="n">
        <ns0:f aca="false">B16-D15-1</ns0:f>
        <ns0:v>0</ns0:v>
      </ns0:c>
      <ns0:c r="F16" s="5" t="s">
        <ns0:v>23</ns0:v>
      </ns0:c>
      <ns0:c r="G16" s="5" t="s">
        <ns0:v>36</ns0:v>
      </ns0:c>
    </ns0:row>
    <ns0:row r="17" customFormat="false" ht="43" hidden="false" customHeight="true" outlineLevel="0" collapsed="false">
      <ns0:c r="A17" s="5" t="s">
        <ns0:v>37</ns0:v>
      </ns0:c>
      <ns0:c r="B17" s="6" t="n">
        <ns0:v>45387</ns0:v>
      </ns0:c>
      <ns0:c r="C17" s="7" t="n">
        <ns0:v>1</ns0:v>
      </ns0:c>
      <ns0:c r="D17" s="8" t="n">
        <ns0:f aca="false">IF(OR(B17="",C17="",C17&lt;1),NA(),B17+C17-1)</ns0:f>
        <ns0:v>45387</ns0:v>
      </ns0:c>
      <ns0:c r="E17" s="9" t="n">
        <ns0:f aca="false">B17-D16-1</ns0:f>
        <ns0:v>0</ns0:v>
      </ns0:c>
      <ns0:c r="F17" s="5" t="s">
        <ns0:v>38</ns0:v>
      </ns0:c>
      <ns0:c r="G17" s="5" t="s">
        <ns0:v>39</ns0:v>
      </ns0:c>
    </ns0:row>
    <ns0:row r="18" customFormat="false" ht="43" hidden="false" customHeight="true" outlineLevel="0" collapsed="false">
      <ns0:c r="A18" s="5" t="s">
        <ns0:v>40</ns0:v>
      </ns0:c>
      <ns0:c r="B18" s="6" t="n">
        <ns0:v>46266</ns0:v>
      </ns0:c>
      <ns0:c r="C18" s="7" t="n">
        <ns0:v>30</ns0:v>
      </ns0:c>
      <ns0:c r="D18" s="8" t="n">
        <ns0:f aca="false">IF(OR(B18="",C18="",C18&lt;1),NA(),B18+C18-1)</ns0:f>
        <ns0:v>46295</ns0:v>
      </ns0:c>
      <ns0:c r="E18" s="9" t="n">
        <ns0:f aca="false">B18-D17-1</ns0:f>
        <ns0:v>878</ns0:v>
      </ns0:c>
      <ns0:c r="F18" s="5" t="s">
        <ns0:v>10</ns0:v>
      </ns0:c>
      <ns0:c r="G18" s="5" t="s">
        <ns0:v>41</ns0:v>
      </ns0:c>
    </ns0:row>
    <ns0:row r="19" customFormat="false" ht="34" hidden="false" customHeight="true" outlineLevel="0" collapsed="false">
      <ns0:c r="A19" s="10"/>
      <ns0:c r="B19" s="10"/>
      <ns0:c r="C19" s="10"/>
      <ns0:c r="D19" s="10"/>
      <ns0:c r="E19" s="10"/>
      <ns0:c r="F19" s="10"/>
      <ns0:c r="G19" s="10"/>
    </ns0:row>
    <ns0:row r="20" customFormat="false" ht="34" hidden="false" customHeight="true" outlineLevel="0" collapsed="false">
      <ns0:c r="A20" s="10" t="s">
        <ns0:v>42</ns0:v>
      </ns0:c>
      <ns0:c r="B20" s="10"/>
      <ns0:c r="C20" s="10"/>
      <ns0:c r="D20" s="10"/>
      <ns0:c r="E20" s="10"/>
      <ns0:c r="F20" s="10"/>
      <ns0:c r="G20" s="10"/>
    </ns0:row>
    <ns0:row r="21" customFormat="false" ht="34" hidden="false" customHeight="true" outlineLevel="0" collapsed="false">
      <ns0:c r="A21" s="10" t="s">
        <ns0:v>43</ns0:v>
      </ns0:c>
      <ns0:c r="B21" s="10"/>
      <ns0:c r="C21" s="10"/>
      <ns0:c r="D21" s="10"/>
      <ns0:c r="E21" s="10"/>
      <ns0:c r="F21" s="10"/>
      <ns0:c r="G21" s="10"/>
    </ns0:row>
    <ns0:row r="22" customFormat="false" ht="34" hidden="false" customHeight="true" outlineLevel="0" collapsed="false">
      <ns0:c r="A22" s="10" t="s">
        <ns0:v>44</ns0:v>
      </ns0:c>
      <ns0:c r="B22" s="10"/>
      <ns0:c r="C22" s="10"/>
      <ns0:c r="D22" s="10"/>
      <ns0:c r="E22" s="10"/>
      <ns0:c r="F22" s="10"/>
      <ns0:c r="G22" s="10"/>
    </ns0:row>
    <ns0:row r="23" customFormat="false" ht="34" hidden="false" customHeight="true" outlineLevel="0" collapsed="false">
      <ns0:c r="A23" s="10"/>
      <ns0:c r="B23" s="10"/>
      <ns0:c r="C23" s="10"/>
      <ns0:c r="D23" s="10"/>
      <ns0:c r="E23" s="10"/>
      <ns0:c r="F23" s="10"/>
      <ns0:c r="G23" s="10"/>
    </ns0:row>
    <ns0:row r="24" customFormat="false" ht="34" hidden="false" customHeight="true" outlineLevel="0" collapsed="false">
      <ns0:c r="A24" s="10" t="s">
        <ns0:v>45</ns0:v>
      </ns0:c>
      <ns0:c r="B24" s="10"/>
      <ns0:c r="C24" s="10"/>
      <ns0:c r="D24" s="10"/>
      <ns0:c r="E24" s="10"/>
      <ns0:c r="F24" s="10"/>
      <ns0:c r="G24" s="10"/>
    </ns0:row>
    <ns0:row r="25" customFormat="false" ht="34" hidden="false" customHeight="true" outlineLevel="0" collapsed="false">
      <ns0:c r="A25" s="10"/>
      <ns0:c r="B25" s="10"/>
      <ns0:c r="C25" s="10"/>
      <ns0:c r="D25" s="10"/>
      <ns0:c r="E25" s="10"/>
      <ns0:c r="F25" s="10"/>
      <ns0:c r="G25" s="10"/>
    </ns0:row>
    <ns0:row r="26" customFormat="false" ht="34" hidden="false" customHeight="true" outlineLevel="0" collapsed="false">
      <ns0:c r="A26" s="10"/>
      <ns0:c r="B26" s="10"/>
      <ns0:c r="C26" s="10"/>
      <ns0:c r="D26" s="10"/>
      <ns0:c r="E26" s="10"/>
      <ns0:c r="F26" s="10"/>
      <ns0:c r="G26" s="10"/>
    </ns0:row>
    <ns0:row r="27" customFormat="false" ht="34" hidden="false" customHeight="true" outlineLevel="0" collapsed="false">
      <ns0:c r="A27" s="10"/>
      <ns0:c r="B27" s="10"/>
      <ns0:c r="C27" s="10"/>
      <ns0:c r="D27" s="10"/>
      <ns0:c r="E27" s="10"/>
      <ns0:c r="F27" s="10"/>
      <ns0:c r="G27" s="10"/>
    </ns0:row>
    <ns0:row r="28" customFormat="false" ht="34" hidden="false" customHeight="true" outlineLevel="0" collapsed="false">
      <ns0:c r="A28" s="10"/>
      <ns0:c r="B28" s="10"/>
      <ns0:c r="C28" s="10"/>
      <ns0:c r="D28" s="10"/>
      <ns0:c r="E28" s="10"/>
      <ns0:c r="F28" s="10"/>
      <ns0:c r="G28" s="10"/>
    </ns0:row>
    <ns0:row r="29" customFormat="false" ht="34" hidden="false" customHeight="true" outlineLevel="0" collapsed="false">
      <ns0:c r="A29" s="10"/>
      <ns0:c r="B29" s="10"/>
      <ns0:c r="C29" s="10"/>
      <ns0:c r="D29" s="10"/>
      <ns0:c r="E29" s="10"/>
      <ns0:c r="F29" s="10"/>
      <ns0:c r="G29" s="10"/>
    </ns0:row>
    <ns0:row r="30" customFormat="false" ht="34" hidden="false" customHeight="true" outlineLevel="0" collapsed="false">
      <ns0:c r="A30" s="10"/>
      <ns0:c r="B30" s="10"/>
      <ns0:c r="C30" s="10"/>
      <ns0:c r="D30" s="10"/>
      <ns0:c r="E30" s="10"/>
      <ns0:c r="F30" s="10"/>
      <ns0:c r="G30" s="10"/>
    </ns0:row>
    <ns0:row r="31" customFormat="false" ht="34" hidden="false" customHeight="true" outlineLevel="0" collapsed="false">
      <ns0:c r="A31" s="10"/>
      <ns0:c r="B31" s="10"/>
      <ns0:c r="C31" s="10"/>
      <ns0:c r="D31" s="10"/>
      <ns0:c r="E31" s="10"/>
      <ns0:c r="F31" s="10"/>
      <ns0:c r="G31" s="10"/>
    </ns0:row>
    <ns0:row r="32" customFormat="false" ht="34" hidden="false" customHeight="true" outlineLevel="0" collapsed="false">
      <ns0:c r="A32" s="10"/>
      <ns0:c r="B32" s="10"/>
      <ns0:c r="C32" s="10"/>
      <ns0:c r="D32" s="10"/>
      <ns0:c r="E32" s="10"/>
      <ns0:c r="F32" s="10"/>
      <ns0:c r="G32" s="10"/>
    </ns0:row>
    <ns0:row r="33" customFormat="false" ht="34" hidden="false" customHeight="true" outlineLevel="0" collapsed="false">
      <ns0:c r="A33" s="10"/>
      <ns0:c r="B33" s="10"/>
      <ns0:c r="C33" s="10"/>
      <ns0:c r="D33" s="10"/>
      <ns0:c r="E33" s="10"/>
      <ns0:c r="F33" s="10"/>
      <ns0:c r="G33" s="10"/>
    </ns0:row>
    <ns0:row r="34" customFormat="false" ht="34" hidden="false" customHeight="true" outlineLevel="0" collapsed="false">
      <ns0:c r="A34" s="10"/>
      <ns0:c r="B34" s="10"/>
      <ns0:c r="C34" s="10"/>
      <ns0:c r="D34" s="10"/>
      <ns0:c r="E34" s="10"/>
      <ns0:c r="F34" s="10"/>
      <ns0:c r="G34" s="10"/>
    </ns0:row>
    <ns0:row r="35" customFormat="false" ht="34" hidden="false" customHeight="true" outlineLevel="0" collapsed="false">
      <ns0:c r="A35" s="10"/>
      <ns0:c r="B35" s="10"/>
      <ns0:c r="C35" s="10"/>
      <ns0:c r="D35" s="10"/>
      <ns0:c r="E35" s="10"/>
      <ns0:c r="F35" s="10"/>
      <ns0:c r="G35" s="10"/>
    </ns0:row>
    <ns0:row r="36" customFormat="false" ht="34" hidden="false" customHeight="true" outlineLevel="0" collapsed="false">
      <ns0:c r="A36" s="10"/>
      <ns0:c r="B36" s="10"/>
      <ns0:c r="C36" s="10"/>
      <ns0:c r="D36" s="10"/>
      <ns0:c r="E36" s="10"/>
      <ns0:c r="F36" s="10"/>
      <ns0:c r="G36" s="10"/>
    </ns0:row>
    <ns0:row r="37" customFormat="false" ht="34" hidden="false" customHeight="true" outlineLevel="0" collapsed="false">
      <ns0:c r="A37" s="10"/>
      <ns0:c r="B37" s="10"/>
      <ns0:c r="C37" s="10"/>
      <ns0:c r="D37" s="10"/>
      <ns0:c r="E37" s="10"/>
      <ns0:c r="F37" s="10"/>
      <ns0:c r="G37" s="10"/>
    </ns0:row>
    <ns0:row r="38" customFormat="false" ht="34" hidden="false" customHeight="true" outlineLevel="0" collapsed="false">
      <ns0:c r="A38" s="10"/>
      <ns0:c r="B38" s="10"/>
      <ns0:c r="C38" s="10"/>
      <ns0:c r="D38" s="10"/>
      <ns0:c r="E38" s="10"/>
      <ns0:c r="F38" s="10"/>
      <ns0:c r="G38" s="10"/>
    </ns0:row>
    <ns0:row r="39" customFormat="false" ht="34" hidden="false" customHeight="true" outlineLevel="0" collapsed="false">
      <ns0:c r="A39" s="10"/>
      <ns0:c r="B39" s="10"/>
      <ns0:c r="C39" s="10"/>
      <ns0:c r="D39" s="10"/>
      <ns0:c r="E39" s="10"/>
      <ns0:c r="F39" s="10"/>
      <ns0:c r="G39" s="10"/>
    </ns0:row>
    <ns0:row r="40" customFormat="false" ht="34" hidden="false" customHeight="true" outlineLevel="0" collapsed="false">
      <ns0:c r="A40" s="10"/>
      <ns0:c r="B40" s="10"/>
      <ns0:c r="C40" s="10"/>
      <ns0:c r="D40" s="10"/>
      <ns0:c r="E40" s="10"/>
      <ns0:c r="F40" s="10"/>
      <ns0:c r="G40" s="10"/>
    </ns0:row>
    <ns0:row r="41" customFormat="false" ht="15" hidden="false" customHeight="false" outlineLevel="0" collapsed="false">
      <ns0:c r="A41" s="1"/>
      <ns0:c r="B41" s="1"/>
      <ns0:c r="C41" s="1"/>
      <ns0:c r="D41" s="1"/>
      <ns0:c r="E41" s="1"/>
      <ns0:c r="F41" s="1"/>
      <ns0:c r="G41" s="1"/>
    </ns0:row>
    <ns0:row r="42" customFormat="false" ht="15" hidden="false" customHeight="false" outlineLevel="0" collapsed="false">
      <ns0:c r="A42" s="1"/>
      <ns0:c r="B42" s="1"/>
      <ns0:c r="C42" s="1"/>
      <ns0:c r="D42" s="1"/>
      <ns0:c r="E42" s="1"/>
      <ns0:c r="F42" s="1"/>
      <ns0:c r="G42" s="1"/>
    </ns0:row>
    <ns0:row r="43" customFormat="false" ht="15" hidden="false" customHeight="false" outlineLevel="0" collapsed="false">
      <ns0:c r="A43" s="1"/>
      <ns0:c r="B43" s="1"/>
      <ns0:c r="C43" s="1"/>
      <ns0:c r="D43" s="1"/>
      <ns0:c r="E43" s="1"/>
      <ns0:c r="F43" s="1"/>
      <ns0:c r="G43" s="1"/>
    </ns0:row>
    <ns0:row r="44" customFormat="false" ht="15" hidden="false" customHeight="false" outlineLevel="0" collapsed="false">
      <ns0:c r="A44" s="1"/>
      <ns0:c r="B44" s="1"/>
      <ns0:c r="C44" s="1"/>
      <ns0:c r="D44" s="1"/>
      <ns0:c r="E44" s="1"/>
      <ns0:c r="F44" s="1"/>
      <ns0:c r="G44" s="1"/>
    </ns0:row>
    <ns0:row r="45" customFormat="false" ht="15" hidden="false" customHeight="false" outlineLevel="0" collapsed="false">
      <ns0:c r="A45" s="1"/>
      <ns0:c r="B45" s="1"/>
      <ns0:c r="C45" s="1"/>
      <ns0:c r="D45" s="1"/>
      <ns0:c r="E45" s="1"/>
      <ns0:c r="F45" s="1"/>
      <ns0:c r="G45" s="1"/>
    </ns0:row>
  </ns0:sheetData>
  <ns0:printOptions headings="false" gridLines="false" gridLinesSet="true" horizontalCentered="false" verticalCentered="false"/>
  <ns0:pageMargins left="0.7" right="0.7" top="0.75" bottom="0.75" header="0.511811023622047" footer="0.511811023622047"/>
  <ns0:pageSetup paperSize="9" scale="100" fitToWidth="1" fitToHeight="0" pageOrder="downThenOver" orientation="landscape" blackAndWhite="false" draft="false" cellComments="none" horizontalDpi="300" verticalDpi="300" copies="1"/>
  <ns0:headerFooter differentFirst="false" differentOddEven="false">
    <ns0:oddHeader/>
    <ns0:oddFooter/>
  </ns0:headerFooter>
</ns0: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ns0:coreProperties xmlns:dc="http://purl.org/dc/elements/1.1/" xmlns:ns0="http://schemas.openxmlformats.org/package/2006/metadata/core-properties">
  <dc:creator>Klotzkette</dc:creator>
  <dc:description/>
  <dc:language>en-US</dc:language>
  <ns0:lastModifiedBy>Klotzkette</ns0:lastModifiedBy>
  <ns0:revision>0</ns0:revision>
  <dc:subject/>
  <dc:title/>
</ns0:coreProperties>
</file>