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Rechnung" sheetId="1" state="visible" ns1:id="rId3"/>
    <ns0:sheet name="Kostenstand" sheetId="2" state="visible" ns1:id="rId4"/>
  </ns0:sheets>
  <ns0:definedNames>
    <ns0:definedName name="_xlnm.Print_Area" localSheetId="0">'Rechnung'!A1:G34</ns0:definedName>
    <ns0:definedName name="_xlnm.Print_Titles" localSheetId="0">'Rechnung'!$1:$5</ns0:definedName>
    <ns0:definedName name="_xlnm.Print_Area" localSheetId="1">'Kostenstand'!A1:F28</ns0:definedName>
    <ns0:definedName name="_xlnm.Print_Titles" localSheetId="1">'Kostenstand'!$1:$5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<sst xmlns="http://schemas.openxmlformats.org/spreadsheetml/2006/main" count="99" uniqueCount="80">
  <si>
    <t xml:space="preserve">Prüfung Schlussrechnung Los 1</t>
  </si>
  <si>
    <t xml:space="preserve">Kostenabschluss 08.04.2024 · Prüfung 11.03.2024 · LB-240301, Zugang 04.03.2024</t>
  </si>
  <si>
    <t xml:space="preserve">Position</t>
  </si>
  <si>
    <t xml:space="preserve">Menge</t>
  </si>
  <si>
    <t xml:space="preserve">EP netto EUR</t>
  </si>
  <si>
    <t xml:space="preserve">Verlangt EUR</t>
  </si>
  <si>
    <t xml:space="preserve">Geprüft EUR</t>
  </si>
  <si>
    <t xml:space="preserve">Differenz EUR</t>
  </si>
  <si>
    <t xml:space="preserve">Beleg / Befund</t>
  </si>
  <si>
    <t xml:space="preserve">2.1 Baustelleneinrichtung</t>
  </si>
  <si>
    <t xml:space="preserve">35 / AM-07; 25 / Angebot</t>
  </si>
  <si>
    <t xml:space="preserve">2.2 Selektiver Rückbau</t>
  </si>
  <si>
    <t xml:space="preserve">2.3 Fundamentaushub</t>
  </si>
  <si>
    <t xml:space="preserve">2.4 Streifenfundamente</t>
  </si>
  <si>
    <t xml:space="preserve">2.5 Bodenplatte Anbau</t>
  </si>
  <si>
    <t xml:space="preserve">2.6 Außenmauerwerk Anbau</t>
  </si>
  <si>
    <t xml:space="preserve">2.7 Abdichtung Bestandsockel</t>
  </si>
  <si>
    <t xml:space="preserve">2.8 Innenputz Bestand</t>
  </si>
  <si>
    <t xml:space="preserve">2.9 Dach Anbau</t>
  </si>
  <si>
    <t xml:space="preserve">2.10 Außentüren</t>
  </si>
  <si>
    <t xml:space="preserve">2.11 Zugangsrampe</t>
  </si>
  <si>
    <t xml:space="preserve">2.12 Entwässerungsrinne</t>
  </si>
  <si>
    <t xml:space="preserve">N01.1 Rohrleitung</t>
  </si>
  <si>
    <t xml:space="preserve">33 / Angebot; 34 / Auftrag</t>
  </si>
  <si>
    <t xml:space="preserve">N01.2 Zusatzgraben</t>
  </si>
  <si>
    <t xml:space="preserve">N01.3 Abtransport</t>
  </si>
  <si>
    <t xml:space="preserve">N01.4 Anschlussstunden</t>
  </si>
  <si>
    <t xml:space="preserve">N01.5 Gerätebereitschaft</t>
  </si>
  <si>
    <t xml:space="preserve">34 / nicht bestätigt; Nachweise offen</t>
  </si>
  <si>
    <t xml:space="preserve">Gesamt netto</t>
  </si>
  <si>
    <t xml:space="preserve">Umsatzsteuer</t>
  </si>
  <si>
    <t xml:space="preserve">Gesamt brutto</t>
  </si>
  <si>
    <t xml:space="preserve">Gezahlt 12.10.2023 brutto</t>
  </si>
  <si>
    <t xml:space="preserve">36 / vereinnahmter Abschlag</t>
  </si>
  <si>
    <t xml:space="preserve">Gezahlt 18.12.2023 brutto</t>
  </si>
  <si>
    <t xml:space="preserve">Offener Rechnungsbetrag</t>
  </si>
  <si>
    <t xml:space="preserve">N01.5 nicht freigegeben. Kein abschließender Anspruchsausschluss.</t>
  </si>
  <si>
    <t xml:space="preserve">Zahlungsvorschlag ohne Mängelrechte oder Abnahme vorwegzunehmen.</t>
  </si>
  <si>
    <t xml:space="preserve">gez. Lena Hartwig · Anlagen: Schlussrechnung und Aufmaß</t>
  </si>
  <si>
    <t xml:space="preserve">Kostenfeststellung zum 08.04.2024</t>
  </si>
  <si>
    <t xml:space="preserve">Hartwig Architektur · an Vorstand · Objektbetreuung und Streitbetrag getrennt ausgewiesen.</t>
  </si>
  <si>
    <t xml:space="preserve">Leistung</t>
  </si>
  <si>
    <t xml:space="preserve">Netto EUR</t>
  </si>
  <si>
    <t xml:space="preserve">Steuersatz</t>
  </si>
  <si>
    <t xml:space="preserve">Brutto EUR</t>
  </si>
  <si>
    <t xml:space="preserve">Status</t>
  </si>
  <si>
    <t xml:space="preserve">Quelle</t>
  </si>
  <si>
    <t xml:space="preserve">Los 1 schlussgeprüft</t>
  </si>
  <si>
    <t xml:space="preserve">Schlussrechnung geprüft</t>
  </si>
  <si>
    <t xml:space="preserve">Rechnung!E24</t>
  </si>
  <si>
    <t xml:space="preserve">Heizung und Sanitär</t>
  </si>
  <si>
    <t xml:space="preserve">Schlussrechnung MI-240322</t>
  </si>
  <si>
    <t xml:space="preserve">40 / Abrechnungsregister</t>
  </si>
  <si>
    <t xml:space="preserve">Elektro</t>
  </si>
  <si>
    <t xml:space="preserve">Schlussrechnung LP-240325</t>
  </si>
  <si>
    <t xml:space="preserve">Fenster und Ausbau</t>
  </si>
  <si>
    <t xml:space="preserve">Schlussrechnung WW-240327</t>
  </si>
  <si>
    <t xml:space="preserve">Außenanlagen</t>
  </si>
  <si>
    <t xml:space="preserve">Schlussrechnung HR-240402</t>
  </si>
  <si>
    <t xml:space="preserve">Bewegliche Ausstattung</t>
  </si>
  <si>
    <t xml:space="preserve">Rechnung RG-240402</t>
  </si>
  <si>
    <t xml:space="preserve">Architektur erbrachter Anteil</t>
  </si>
  <si>
    <t xml:space="preserve">Ohne offene Objektbetreuung</t>
  </si>
  <si>
    <t xml:space="preserve">02 und 40 / 54.000 abzüglich 960</t>
  </si>
  <si>
    <t xml:space="preserve">Untersuchung und Vermessung</t>
  </si>
  <si>
    <t xml:space="preserve">Abgerechneter Stand</t>
  </si>
  <si>
    <t xml:space="preserve">40 / VM-210210 und VM-230817</t>
  </si>
  <si>
    <t xml:space="preserve">Gebühren</t>
  </si>
  <si>
    <t xml:space="preserve">Ohne Umsatzsteuer</t>
  </si>
  <si>
    <t xml:space="preserve">40 / Gebührenregister</t>
  </si>
  <si>
    <t xml:space="preserve">Festgestellter Kostenstand</t>
  </si>
  <si>
    <t xml:space="preserve">Offene Objektbetreuung</t>
  </si>
  <si>
    <t xml:space="preserve">Finanzrahmen brutto</t>
  </si>
  <si>
    <t xml:space="preserve">Abstand einschließlich Betreuung</t>
  </si>
  <si>
    <t xml:space="preserve">Streitbetrag zusätzlich brutto</t>
  </si>
  <si>
    <t xml:space="preserve">Kosten mit Betreuung und Streit</t>
  </si>
  <si>
    <t xml:space="preserve">Stand nach Bauausführung; strittige Vergütung nicht als anerkannt behandelt.</t>
  </si>
  <si>
    <t xml:space="preserve">Andere Gewerke nach Register R-01, Einzelbelege beim Verein.</t>
  </si>
  <si>
    <t xml:space="preserve">Eine Zahlung oder Abnahme wird durch diesen Stand nicht bestätigt.</t>
  </si>
  <si>
    <t xml:space="preserve">gez. Lena Hartwig · Bezug BH-21-04 · Anlagen: keine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</si>
</sst>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Arial"/>
      <family val="0"/>
      <charset val="1"/>
    </font>
    <font>
      <b val="true"/>
      <sz val="15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74B99"/>
      <name val="Arial"/>
      <family val="0"/>
      <charset val="1"/>
    </font>
    <font>
      <b val="true"/>
      <sz val="11"/>
      <color rgb="FF1111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4A55"/>
        <bgColor rgb="FF174B99"/>
      </patternFill>
    </fill>
    <fill>
      <patternFill patternType="solid">
        <fgColor rgb="FFE5EB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B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54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45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6"/>
    <ns0:col collapsed="false" customWidth="true" hidden="false" outlineLevel="0" max="2" min="2" style="0" width="12"/>
    <ns0:col collapsed="false" customWidth="true" hidden="false" outlineLevel="0" max="3" min="3" style="0" width="18"/>
    <ns0:col collapsed="false" customWidth="true" hidden="false" outlineLevel="0" max="5" min="4" style="0" width="20"/>
    <ns0:col collapsed="false" customWidth="true" hidden="false" outlineLevel="0" max="6" min="6" style="0" width="18"/>
    <ns0:col collapsed="false" customWidth="true" hidden="false" outlineLevel="0" max="7" min="7" style="0" width="36"/>
  </ns0:cols>
  <ns0:sheetData>
    <ns0:row r="1" customFormat="false" ht="15" hidden="false" customHeight="fals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18.55" hidden="false" customHeight="fals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15" hidden="false" customHeight="fals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</ns0:row>
    <ns0:row r="4" customFormat="false" ht="15" hidden="false" customHeight="fals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36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</ns0:row>
    <ns0:row r="6" customFormat="false" ht="28" hidden="false" customHeight="true" outlineLevel="0" collapsed="false">
      <ns0:c r="A6" s="4" t="s">
        <ns0:v>9</ns0:v>
      </ns0:c>
      <ns0:c r="B6" s="5" t="n">
        <ns0:v>1</ns0:v>
      </ns0:c>
      <ns0:c r="C6" s="6" t="n">
        <ns0:v>9000</ns0:v>
      </ns0:c>
      <ns0:c r="D6" s="7" t="n">
        <ns0:f aca="false">ROUND(B6*C6,2)</ns0:f>
        <ns0:v>9000</ns0:v>
      </ns0:c>
      <ns0:c r="E6" s="7" t="n">
        <ns0:f aca="false">D6</ns0:f>
        <ns0:v>9000</ns0:v>
      </ns0:c>
      <ns0:c r="F6" s="7" t="n">
        <ns0:f aca="false">D6-E6</ns0:f>
        <ns0:v>0</ns0:v>
      </ns0:c>
      <ns0:c r="G6" s="4" t="s">
        <ns0:v>10</ns0:v>
      </ns0:c>
    </ns0:row>
    <ns0:row r="7" customFormat="false" ht="28" hidden="false" customHeight="true" outlineLevel="0" collapsed="false">
      <ns0:c r="A7" s="4" t="s">
        <ns0:v>11</ns0:v>
      </ns0:c>
      <ns0:c r="B7" s="5" t="n">
        <ns0:v>216</ns0:v>
      </ns0:c>
      <ns0:c r="C7" s="6" t="n">
        <ns0:v>41</ns0:v>
      </ns0:c>
      <ns0:c r="D7" s="7" t="n">
        <ns0:f aca="false">ROUND(B7*C7,2)</ns0:f>
        <ns0:v>8856</ns0:v>
      </ns0:c>
      <ns0:c r="E7" s="7" t="n">
        <ns0:f aca="false">D7</ns0:f>
        <ns0:v>8856</ns0:v>
      </ns0:c>
      <ns0:c r="F7" s="7" t="n">
        <ns0:f aca="false">D7-E7</ns0:f>
        <ns0:v>0</ns0:v>
      </ns0:c>
      <ns0:c r="G7" s="4" t="s">
        <ns0:v>10</ns0:v>
      </ns0:c>
    </ns0:row>
    <ns0:row r="8" customFormat="false" ht="28" hidden="false" customHeight="true" outlineLevel="0" collapsed="false">
      <ns0:c r="A8" s="4" t="s">
        <ns0:v>12</ns0:v>
      </ns0:c>
      <ns0:c r="B8" s="5" t="n">
        <ns0:v>66</ns0:v>
      </ns0:c>
      <ns0:c r="C8" s="6" t="n">
        <ns0:v>92</ns0:v>
      </ns0:c>
      <ns0:c r="D8" s="7" t="n">
        <ns0:f aca="false">ROUND(B8*C8,2)</ns0:f>
        <ns0:v>6072</ns0:v>
      </ns0:c>
      <ns0:c r="E8" s="7" t="n">
        <ns0:f aca="false">D8</ns0:f>
        <ns0:v>6072</ns0:v>
      </ns0:c>
      <ns0:c r="F8" s="7" t="n">
        <ns0:f aca="false">D8-E8</ns0:f>
        <ns0:v>0</ns0:v>
      </ns0:c>
      <ns0:c r="G8" s="4" t="s">
        <ns0:v>10</ns0:v>
      </ns0:c>
    </ns0:row>
    <ns0:row r="9" customFormat="false" ht="28" hidden="false" customHeight="true" outlineLevel="0" collapsed="false">
      <ns0:c r="A9" s="4" t="s">
        <ns0:v>13</ns0:v>
      </ns0:c>
      <ns0:c r="B9" s="5" t="n">
        <ns0:v>25.2</ns0:v>
      </ns0:c>
      <ns0:c r="C9" s="6" t="n">
        <ns0:v>330</ns0:v>
      </ns0:c>
      <ns0:c r="D9" s="7" t="n">
        <ns0:f aca="false">ROUND(B9*C9,2)</ns0:f>
        <ns0:v>8316</ns0:v>
      </ns0:c>
      <ns0:c r="E9" s="7" t="n">
        <ns0:f aca="false">D9</ns0:f>
        <ns0:v>8316</ns0:v>
      </ns0:c>
      <ns0:c r="F9" s="7" t="n">
        <ns0:f aca="false">D9-E9</ns0:f>
        <ns0:v>0</ns0:v>
      </ns0:c>
      <ns0:c r="G9" s="4" t="s">
        <ns0:v>10</ns0:v>
      </ns0:c>
    </ns0:row>
    <ns0:row r="10" customFormat="false" ht="28" hidden="false" customHeight="true" outlineLevel="0" collapsed="false">
      <ns0:c r="A10" s="4" t="s">
        <ns0:v>14</ns0:v>
      </ns0:c>
      <ns0:c r="B10" s="5" t="n">
        <ns0:v>80</ns0:v>
      </ns0:c>
      <ns0:c r="C10" s="6" t="n">
        <ns0:v>152</ns0:v>
      </ns0:c>
      <ns0:c r="D10" s="7" t="n">
        <ns0:f aca="false">ROUND(B10*C10,2)</ns0:f>
        <ns0:v>12160</ns0:v>
      </ns0:c>
      <ns0:c r="E10" s="7" t="n">
        <ns0:f aca="false">D10</ns0:f>
        <ns0:v>12160</ns0:v>
      </ns0:c>
      <ns0:c r="F10" s="7" t="n">
        <ns0:f aca="false">D10-E10</ns0:f>
        <ns0:v>0</ns0:v>
      </ns0:c>
      <ns0:c r="G10" s="4" t="s">
        <ns0:v>10</ns0:v>
      </ns0:c>
    </ns0:row>
    <ns0:row r="11" customFormat="false" ht="28" hidden="false" customHeight="true" outlineLevel="0" collapsed="false">
      <ns0:c r="A11" s="4" t="s">
        <ns0:v>15</ns0:v>
      </ns0:c>
      <ns0:c r="B11" s="5" t="n">
        <ns0:v>98</ns0:v>
      </ns0:c>
      <ns0:c r="C11" s="6" t="n">
        <ns0:v>135</ns0:v>
      </ns0:c>
      <ns0:c r="D11" s="7" t="n">
        <ns0:f aca="false">ROUND(B11*C11,2)</ns0:f>
        <ns0:v>13230</ns0:v>
      </ns0:c>
      <ns0:c r="E11" s="7" t="n">
        <ns0:f aca="false">D11</ns0:f>
        <ns0:v>13230</ns0:v>
      </ns0:c>
      <ns0:c r="F11" s="7" t="n">
        <ns0:f aca="false">D11-E11</ns0:f>
        <ns0:v>0</ns0:v>
      </ns0:c>
      <ns0:c r="G11" s="4" t="s">
        <ns0:v>10</ns0:v>
      </ns0:c>
    </ns0:row>
    <ns0:row r="12" customFormat="false" ht="28" hidden="false" customHeight="true" outlineLevel="0" collapsed="false">
      <ns0:c r="A12" s="4" t="s">
        <ns0:v>16</ns0:v>
      </ns0:c>
      <ns0:c r="B12" s="5" t="n">
        <ns0:v>42</ns0:v>
      </ns0:c>
      <ns0:c r="C12" s="6" t="n">
        <ns0:v>205</ns0:v>
      </ns0:c>
      <ns0:c r="D12" s="7" t="n">
        <ns0:f aca="false">ROUND(B12*C12,2)</ns0:f>
        <ns0:v>8610</ns0:v>
      </ns0:c>
      <ns0:c r="E12" s="7" t="n">
        <ns0:f aca="false">D12</ns0:f>
        <ns0:v>8610</ns0:v>
      </ns0:c>
      <ns0:c r="F12" s="7" t="n">
        <ns0:f aca="false">D12-E12</ns0:f>
        <ns0:v>0</ns0:v>
      </ns0:c>
      <ns0:c r="G12" s="4" t="s">
        <ns0:v>10</ns0:v>
      </ns0:c>
    </ns0:row>
    <ns0:row r="13" customFormat="false" ht="28" hidden="false" customHeight="true" outlineLevel="0" collapsed="false">
      <ns0:c r="A13" s="4" t="s">
        <ns0:v>17</ns0:v>
      </ns0:c>
      <ns0:c r="B13" s="5" t="n">
        <ns0:v>150</ns0:v>
      </ns0:c>
      <ns0:c r="C13" s="6" t="n">
        <ns0:v>52</ns0:v>
      </ns0:c>
      <ns0:c r="D13" s="7" t="n">
        <ns0:f aca="false">ROUND(B13*C13,2)</ns0:f>
        <ns0:v>7800</ns0:v>
      </ns0:c>
      <ns0:c r="E13" s="7" t="n">
        <ns0:f aca="false">D13</ns0:f>
        <ns0:v>7800</ns0:v>
      </ns0:c>
      <ns0:c r="F13" s="7" t="n">
        <ns0:f aca="false">D13-E13</ns0:f>
        <ns0:v>0</ns0:v>
      </ns0:c>
      <ns0:c r="G13" s="4" t="s">
        <ns0:v>10</ns0:v>
      </ns0:c>
    </ns0:row>
    <ns0:row r="14" customFormat="false" ht="28" hidden="false" customHeight="true" outlineLevel="0" collapsed="false">
      <ns0:c r="A14" s="4" t="s">
        <ns0:v>18</ns0:v>
      </ns0:c>
      <ns0:c r="B14" s="5" t="n">
        <ns0:v>80</ns0:v>
      </ns0:c>
      <ns0:c r="C14" s="6" t="n">
        <ns0:v>268</ns0:v>
      </ns0:c>
      <ns0:c r="D14" s="7" t="n">
        <ns0:f aca="false">ROUND(B14*C14,2)</ns0:f>
        <ns0:v>21440</ns0:v>
      </ns0:c>
      <ns0:c r="E14" s="7" t="n">
        <ns0:f aca="false">D14</ns0:f>
        <ns0:v>21440</ns0:v>
      </ns0:c>
      <ns0:c r="F14" s="7" t="n">
        <ns0:f aca="false">D14-E14</ns0:f>
        <ns0:v>0</ns0:v>
      </ns0:c>
      <ns0:c r="G14" s="4" t="s">
        <ns0:v>10</ns0:v>
      </ns0:c>
    </ns0:row>
    <ns0:row r="15" customFormat="false" ht="28" hidden="false" customHeight="true" outlineLevel="0" collapsed="false">
      <ns0:c r="A15" s="4" t="s">
        <ns0:v>19</ns0:v>
      </ns0:c>
      <ns0:c r="B15" s="5" t="n">
        <ns0:v>3</ns0:v>
      </ns0:c>
      <ns0:c r="C15" s="6" t="n">
        <ns0:v>2590</ns0:v>
      </ns0:c>
      <ns0:c r="D15" s="7" t="n">
        <ns0:f aca="false">ROUND(B15*C15,2)</ns0:f>
        <ns0:v>7770</ns0:v>
      </ns0:c>
      <ns0:c r="E15" s="7" t="n">
        <ns0:f aca="false">D15</ns0:f>
        <ns0:v>7770</ns0:v>
      </ns0:c>
      <ns0:c r="F15" s="7" t="n">
        <ns0:f aca="false">D15-E15</ns0:f>
        <ns0:v>0</ns0:v>
      </ns0:c>
      <ns0:c r="G15" s="4" t="s">
        <ns0:v>10</ns0:v>
      </ns0:c>
    </ns0:row>
    <ns0:row r="16" customFormat="false" ht="28" hidden="false" customHeight="true" outlineLevel="0" collapsed="false">
      <ns0:c r="A16" s="4" t="s">
        <ns0:v>20</ns0:v>
      </ns0:c>
      <ns0:c r="B16" s="5" t="n">
        <ns0:v>21.45</ns0:v>
      </ns0:c>
      <ns0:c r="C16" s="6" t="n">
        <ns0:v>260</ns0:v>
      </ns0:c>
      <ns0:c r="D16" s="7" t="n">
        <ns0:f aca="false">ROUND(B16*C16,2)</ns0:f>
        <ns0:v>5577</ns0:v>
      </ns0:c>
      <ns0:c r="E16" s="7" t="n">
        <ns0:f aca="false">D16</ns0:f>
        <ns0:v>5577</ns0:v>
      </ns0:c>
      <ns0:c r="F16" s="7" t="n">
        <ns0:f aca="false">D16-E16</ns0:f>
        <ns0:v>0</ns0:v>
      </ns0:c>
      <ns0:c r="G16" s="4" t="s">
        <ns0:v>10</ns0:v>
      </ns0:c>
    </ns0:row>
    <ns0:row r="17" customFormat="false" ht="28" hidden="false" customHeight="true" outlineLevel="0" collapsed="false">
      <ns0:c r="A17" s="4" t="s">
        <ns0:v>21</ns0:v>
      </ns0:c>
      <ns0:c r="B17" s="5" t="n">
        <ns0:v>9.4</ns0:v>
      </ns0:c>
      <ns0:c r="C17" s="6" t="n">
        <ns0:v>172</ns0:v>
      </ns0:c>
      <ns0:c r="D17" s="7" t="n">
        <ns0:f aca="false">ROUND(B17*C17,2)</ns0:f>
        <ns0:v>1616.8</ns0:v>
      </ns0:c>
      <ns0:c r="E17" s="7" t="n">
        <ns0:f aca="false">D17</ns0:f>
        <ns0:v>1616.8</ns0:v>
      </ns0:c>
      <ns0:c r="F17" s="7" t="n">
        <ns0:f aca="false">D17-E17</ns0:f>
        <ns0:v>0</ns0:v>
      </ns0:c>
      <ns0:c r="G17" s="4" t="s">
        <ns0:v>10</ns0:v>
      </ns0:c>
    </ns0:row>
    <ns0:row r="18" customFormat="false" ht="28" hidden="false" customHeight="true" outlineLevel="0" collapsed="false">
      <ns0:c r="A18" s="4" t="s">
        <ns0:v>22</ns0:v>
      </ns0:c>
      <ns0:c r="B18" s="5" t="n">
        <ns0:v>14</ns0:v>
      </ns0:c>
      <ns0:c r="C18" s="6" t="n">
        <ns0:v>145</ns0:v>
      </ns0:c>
      <ns0:c r="D18" s="7" t="n">
        <ns0:f aca="false">ROUND(B18*C18,2)</ns0:f>
        <ns0:v>2030</ns0:v>
      </ns0:c>
      <ns0:c r="E18" s="7" t="n">
        <ns0:f aca="false">D18</ns0:f>
        <ns0:v>2030</ns0:v>
      </ns0:c>
      <ns0:c r="F18" s="7" t="n">
        <ns0:f aca="false">D18-E18</ns0:f>
        <ns0:v>0</ns0:v>
      </ns0:c>
      <ns0:c r="G18" s="4" t="s">
        <ns0:v>23</ns0:v>
      </ns0:c>
    </ns0:row>
    <ns0:row r="19" customFormat="false" ht="28" hidden="false" customHeight="true" outlineLevel="0" collapsed="false">
      <ns0:c r="A19" s="4" t="s">
        <ns0:v>24</ns0:v>
      </ns0:c>
      <ns0:c r="B19" s="5" t="n">
        <ns0:v>4</ns0:v>
      </ns0:c>
      <ns0:c r="C19" s="6" t="n">
        <ns0:v>92</ns0:v>
      </ns0:c>
      <ns0:c r="D19" s="7" t="n">
        <ns0:f aca="false">ROUND(B19*C19,2)</ns0:f>
        <ns0:v>368</ns0:v>
      </ns0:c>
      <ns0:c r="E19" s="7" t="n">
        <ns0:f aca="false">D19</ns0:f>
        <ns0:v>368</ns0:v>
      </ns0:c>
      <ns0:c r="F19" s="7" t="n">
        <ns0:f aca="false">D19-E19</ns0:f>
        <ns0:v>0</ns0:v>
      </ns0:c>
      <ns0:c r="G19" s="4" t="s">
        <ns0:v>23</ns0:v>
      </ns0:c>
    </ns0:row>
    <ns0:row r="20" customFormat="false" ht="28" hidden="false" customHeight="true" outlineLevel="0" collapsed="false">
      <ns0:c r="A20" s="4" t="s">
        <ns0:v>25</ns0:v>
      </ns0:c>
      <ns0:c r="B20" s="5" t="n">
        <ns0:v>1</ns0:v>
      </ns0:c>
      <ns0:c r="C20" s="6" t="n">
        <ns0:v>380</ns0:v>
      </ns0:c>
      <ns0:c r="D20" s="7" t="n">
        <ns0:f aca="false">ROUND(B20*C20,2)</ns0:f>
        <ns0:v>380</ns0:v>
      </ns0:c>
      <ns0:c r="E20" s="7" t="n">
        <ns0:f aca="false">D20</ns0:f>
        <ns0:v>380</ns0:v>
      </ns0:c>
      <ns0:c r="F20" s="7" t="n">
        <ns0:f aca="false">D20-E20</ns0:f>
        <ns0:v>0</ns0:v>
      </ns0:c>
      <ns0:c r="G20" s="4" t="s">
        <ns0:v>23</ns0:v>
      </ns0:c>
    </ns0:row>
    <ns0:row r="21" customFormat="false" ht="28" hidden="false" customHeight="true" outlineLevel="0" collapsed="false">
      <ns0:c r="A21" s="4" t="s">
        <ns0:v>26</ns0:v>
      </ns0:c>
      <ns0:c r="B21" s="5" t="n">
        <ns0:v>16</ns0:v>
      </ns0:c>
      <ns0:c r="C21" s="6" t="n">
        <ns0:v>58</ns0:v>
      </ns0:c>
      <ns0:c r="D21" s="7" t="n">
        <ns0:f aca="false">ROUND(B21*C21,2)</ns0:f>
        <ns0:v>928</ns0:v>
      </ns0:c>
      <ns0:c r="E21" s="7" t="n">
        <ns0:f aca="false">D21</ns0:f>
        <ns0:v>928</ns0:v>
      </ns0:c>
      <ns0:c r="F21" s="7" t="n">
        <ns0:f aca="false">D21-E21</ns0:f>
        <ns0:v>0</ns0:v>
      </ns0:c>
      <ns0:c r="G21" s="4" t="s">
        <ns0:v>23</ns0:v>
      </ns0:c>
    </ns0:row>
    <ns0:row r="22" customFormat="false" ht="28" hidden="false" customHeight="true" outlineLevel="0" collapsed="false">
      <ns0:c r="A22" s="4" t="s">
        <ns0:v>27</ns0:v>
      </ns0:c>
      <ns0:c r="B22" s="5" t="n">
        <ns0:v>2</ns0:v>
      </ns0:c>
      <ns0:c r="C22" s="6" t="n">
        <ns0:v>620</ns0:v>
      </ns0:c>
      <ns0:c r="D22" s="7" t="n">
        <ns0:f aca="false">ROUND(B22*C22,2)</ns0:f>
        <ns0:v>1240</ns0:v>
      </ns0:c>
      <ns0:c r="E22" s="6" t="n">
        <ns0:v>0</ns0:v>
      </ns0:c>
      <ns0:c r="F22" s="7" t="n">
        <ns0:f aca="false">D22-E22</ns0:f>
        <ns0:v>1240</ns0:v>
      </ns0:c>
      <ns0:c r="G22" s="4" t="s">
        <ns0:v>28</ns0:v>
      </ns0:c>
    </ns0:row>
    <ns0:row r="23" customFormat="false" ht="28" hidden="false" customHeight="true" outlineLevel="0" collapsed="false">
      <ns0:c r="A23" s="8"/>
      <ns0:c r="B23" s="8"/>
      <ns0:c r="C23" s="7"/>
      <ns0:c r="D23" s="7"/>
      <ns0:c r="E23" s="7"/>
      <ns0:c r="F23" s="7"/>
      <ns0:c r="G23" s="4"/>
    </ns0:row>
    <ns0:row r="24" customFormat="false" ht="28" hidden="false" customHeight="true" outlineLevel="0" collapsed="false">
      <ns0:c r="A24" s="9" t="s">
        <ns0:v>29</ns0:v>
      </ns0:c>
      <ns0:c r="B24" s="9"/>
      <ns0:c r="C24" s="10"/>
      <ns0:c r="D24" s="10" t="n">
        <ns0:f aca="false">SUM(D6:D22)</ns0:f>
        <ns0:v>115393.8</ns0:v>
      </ns0:c>
      <ns0:c r="E24" s="10" t="n">
        <ns0:f aca="false">SUM(E6:E22)</ns0:f>
        <ns0:v>114153.8</ns0:v>
      </ns0:c>
      <ns0:c r="F24" s="10" t="n">
        <ns0:f aca="false">SUM(F6:F22)</ns0:f>
        <ns0:v>1240</ns0:v>
      </ns0:c>
      <ns0:c r="G24" s="11"/>
    </ns0:row>
    <ns0:row r="25" customFormat="false" ht="28" hidden="false" customHeight="true" outlineLevel="0" collapsed="false">
      <ns0:c r="A25" s="9" t="s">
        <ns0:v>30</ns0:v>
      </ns0:c>
      <ns0:c r="B25" s="12" t="n">
        <ns0:v>0.19</ns0:v>
      </ns0:c>
      <ns0:c r="C25" s="10"/>
      <ns0:c r="D25" s="10" t="n">
        <ns0:f aca="false">ROUND(D24*$B$25,2)</ns0:f>
        <ns0:v>21924.82</ns0:v>
      </ns0:c>
      <ns0:c r="E25" s="10" t="n">
        <ns0:f aca="false">ROUND(E24*$B$25,2)</ns0:f>
        <ns0:v>21689.22</ns0:v>
      </ns0:c>
      <ns0:c r="F25" s="10" t="n">
        <ns0:f aca="false">ROUND(F24*$B$25,2)</ns0:f>
        <ns0:v>235.6</ns0:v>
      </ns0:c>
      <ns0:c r="G25" s="11"/>
    </ns0:row>
    <ns0:row r="26" customFormat="false" ht="28" hidden="false" customHeight="true" outlineLevel="0" collapsed="false">
      <ns0:c r="A26" s="9" t="s">
        <ns0:v>31</ns0:v>
      </ns0:c>
      <ns0:c r="B26" s="9"/>
      <ns0:c r="C26" s="10"/>
      <ns0:c r="D26" s="10" t="n">
        <ns0:f aca="false">D24+D25</ns0:f>
        <ns0:v>137318.62</ns0:v>
      </ns0:c>
      <ns0:c r="E26" s="10" t="n">
        <ns0:f aca="false">E24+E25</ns0:f>
        <ns0:v>135843.02</ns0:v>
      </ns0:c>
      <ns0:c r="F26" s="10" t="n">
        <ns0:f aca="false">F24+F25</ns0:f>
        <ns0:v>1475.6</ns0:v>
      </ns0:c>
      <ns0:c r="G26" s="11"/>
    </ns0:row>
    <ns0:row r="27" customFormat="false" ht="28" hidden="false" customHeight="true" outlineLevel="0" collapsed="false">
      <ns0:c r="A27" s="8"/>
      <ns0:c r="B27" s="8"/>
      <ns0:c r="C27" s="7"/>
      <ns0:c r="D27" s="7"/>
      <ns0:c r="E27" s="7"/>
      <ns0:c r="F27" s="7"/>
      <ns0:c r="G27" s="4"/>
    </ns0:row>
    <ns0:row r="28" customFormat="false" ht="28" hidden="false" customHeight="true" outlineLevel="0" collapsed="false">
      <ns0:c r="A28" s="8" t="s">
        <ns0:v>32</ns0:v>
      </ns0:c>
      <ns0:c r="B28" s="8"/>
      <ns0:c r="C28" s="7"/>
      <ns0:c r="D28" s="6" t="n">
        <ns0:v>35700</ns0:v>
      </ns0:c>
      <ns0:c r="E28" s="7"/>
      <ns0:c r="F28" s="7"/>
      <ns0:c r="G28" s="4" t="s">
        <ns0:v>33</ns0:v>
      </ns0:c>
    </ns0:row>
    <ns0:row r="29" customFormat="false" ht="28" hidden="false" customHeight="true" outlineLevel="0" collapsed="false">
      <ns0:c r="A29" s="8" t="s">
        <ns0:v>34</ns0:v>
      </ns0:c>
      <ns0:c r="B29" s="8"/>
      <ns0:c r="C29" s="7"/>
      <ns0:c r="D29" s="6" t="n">
        <ns0:v>47600</ns0:v>
      </ns0:c>
      <ns0:c r="E29" s="7"/>
      <ns0:c r="F29" s="7"/>
      <ns0:c r="G29" s="4" t="s">
        <ns0:v>33</ns0:v>
      </ns0:c>
    </ns0:row>
    <ns0:row r="30" customFormat="false" ht="28" hidden="false" customHeight="true" outlineLevel="0" collapsed="false">
      <ns0:c r="A30" s="9" t="s">
        <ns0:v>35</ns0:v>
      </ns0:c>
      <ns0:c r="B30" s="9"/>
      <ns0:c r="C30" s="10"/>
      <ns0:c r="D30" s="10" t="n">
        <ns0:f aca="false">D26-SUM(D28:D29)</ns0:f>
        <ns0:v>54018.62</ns0:v>
      </ns0:c>
      <ns0:c r="E30" s="10" t="n">
        <ns0:f aca="false">E26-SUM(D28:D29)</ns0:f>
        <ns0:v>52543.02</ns0:v>
      </ns0:c>
      <ns0:c r="F30" s="10" t="n">
        <ns0:f aca="false">D30-E30</ns0:f>
        <ns0:v>1475.59999999998</ns0:v>
      </ns0:c>
      <ns0:c r="G30" s="9"/>
    </ns0:row>
    <ns0:row r="31" customFormat="false" ht="28" hidden="false" customHeight="true" outlineLevel="0" collapsed="false">
      <ns0:c r="A31" s="8"/>
      <ns0:c r="B31" s="8"/>
      <ns0:c r="C31" s="8"/>
      <ns0:c r="D31" s="8"/>
      <ns0:c r="E31" s="8"/>
      <ns0:c r="F31" s="8"/>
      <ns0:c r="G31" s="8"/>
    </ns0:row>
    <ns0:row r="32" customFormat="false" ht="28" hidden="false" customHeight="true" outlineLevel="0" collapsed="false">
      <ns0:c r="A32" s="8" t="s">
        <ns0:v>36</ns0:v>
      </ns0:c>
      <ns0:c r="B32" s="8"/>
      <ns0:c r="C32" s="8"/>
      <ns0:c r="D32" s="8"/>
      <ns0:c r="E32" s="8"/>
      <ns0:c r="F32" s="8"/>
      <ns0:c r="G32" s="8"/>
    </ns0:row>
    <ns0:row r="33" customFormat="false" ht="28" hidden="false" customHeight="true" outlineLevel="0" collapsed="false">
      <ns0:c r="A33" s="8" t="s">
        <ns0:v>37</ns0:v>
      </ns0:c>
      <ns0:c r="B33" s="8"/>
      <ns0:c r="C33" s="8"/>
      <ns0:c r="D33" s="8"/>
      <ns0:c r="E33" s="8"/>
      <ns0:c r="F33" s="8"/>
      <ns0:c r="G33" s="8"/>
    </ns0:row>
    <ns0:row r="34" customFormat="false" ht="28" hidden="false" customHeight="true" outlineLevel="0" collapsed="false">
      <ns0:c r="A34" s="8" t="s">
        <ns0:v>38</ns0:v>
      </ns0:c>
      <ns0:c r="B34" s="8"/>
      <ns0:c r="C34" s="8"/>
      <ns0:c r="D34" s="8"/>
      <ns0:c r="E34" s="8"/>
      <ns0:c r="F34" s="8"/>
      <ns0:c r="G34" s="8"/>
    </ns0:row>
    <ns0:row r="35" customFormat="false" ht="34" hidden="false" customHeight="true" outlineLevel="0" collapsed="false">
      <ns0:c r="A35" s="8"/>
      <ns0:c r="B35" s="8"/>
      <ns0:c r="C35" s="8"/>
      <ns0:c r="D35" s="8"/>
      <ns0:c r="E35" s="8"/>
      <ns0:c r="F35" s="8"/>
      <ns0:c r="G35" s="8"/>
    </ns0:row>
    <ns0:row r="36" customFormat="false" ht="34" hidden="false" customHeight="true" outlineLevel="0" collapsed="false">
      <ns0:c r="A36" s="8"/>
      <ns0:c r="B36" s="8"/>
      <ns0:c r="C36" s="8"/>
      <ns0:c r="D36" s="8"/>
      <ns0:c r="E36" s="8"/>
      <ns0:c r="F36" s="8"/>
      <ns0:c r="G36" s="8"/>
    </ns0:row>
    <ns0:row r="37" customFormat="false" ht="34" hidden="false" customHeight="true" outlineLevel="0" collapsed="false">
      <ns0:c r="A37" s="8"/>
      <ns0:c r="B37" s="8"/>
      <ns0:c r="C37" s="8"/>
      <ns0:c r="D37" s="8"/>
      <ns0:c r="E37" s="8"/>
      <ns0:c r="F37" s="8"/>
      <ns0:c r="G37" s="8"/>
    </ns0:row>
    <ns0:row r="38" customFormat="false" ht="34" hidden="false" customHeight="true" outlineLevel="0" collapsed="false">
      <ns0:c r="A38" s="8"/>
      <ns0:c r="B38" s="8"/>
      <ns0:c r="C38" s="8"/>
      <ns0:c r="D38" s="8"/>
      <ns0:c r="E38" s="8"/>
      <ns0:c r="F38" s="8"/>
      <ns0:c r="G38" s="8"/>
    </ns0:row>
    <ns0:row r="39" customFormat="false" ht="34" hidden="false" customHeight="true" outlineLevel="0" collapsed="false">
      <ns0:c r="A39" s="8"/>
      <ns0:c r="B39" s="8"/>
      <ns0:c r="C39" s="8"/>
      <ns0:c r="D39" s="8"/>
      <ns0:c r="E39" s="8"/>
      <ns0:c r="F39" s="8"/>
      <ns0:c r="G39" s="8"/>
    </ns0:row>
    <ns0:row r="40" customFormat="false" ht="34" hidden="false" customHeight="true" outlineLevel="0" collapsed="false">
      <ns0:c r="A40" s="8"/>
      <ns0:c r="B40" s="8"/>
      <ns0:c r="C40" s="8"/>
      <ns0:c r="D40" s="8"/>
      <ns0:c r="E40" s="8"/>
      <ns0:c r="F40" s="8"/>
      <ns0:c r="G40" s="8"/>
    </ns0:row>
    <ns0:row r="41" customFormat="false" ht="15" hidden="false" customHeight="false" outlineLevel="0" collapsed="false">
      <ns0:c r="A41" s="1"/>
      <ns0:c r="B41" s="1"/>
      <ns0:c r="C41" s="1"/>
      <ns0:c r="D41" s="1"/>
      <ns0:c r="E41" s="1"/>
      <ns0:c r="F41" s="1"/>
      <ns0:c r="G41" s="1"/>
    </ns0:row>
    <ns0:row r="42" customFormat="false" ht="15" hidden="false" customHeight="false" outlineLevel="0" collapsed="false">
      <ns0:c r="A42" s="1"/>
      <ns0:c r="B42" s="1"/>
      <ns0:c r="C42" s="1"/>
      <ns0:c r="D42" s="1"/>
      <ns0:c r="E42" s="1"/>
      <ns0:c r="F42" s="1"/>
      <ns0:c r="G42" s="1"/>
    </ns0:row>
    <ns0:row r="43" customFormat="false" ht="15" hidden="false" customHeight="false" outlineLevel="0" collapsed="false">
      <ns0:c r="A43" s="1"/>
      <ns0:c r="B43" s="1"/>
      <ns0:c r="C43" s="1"/>
      <ns0:c r="D43" s="1"/>
      <ns0:c r="E43" s="1"/>
      <ns0:c r="F43" s="1"/>
      <ns0:c r="G43" s="1"/>
    </ns0:row>
    <ns0:row r="44" customFormat="false" ht="15" hidden="false" customHeight="false" outlineLevel="0" collapsed="false">
      <ns0:c r="A44" s="1"/>
      <ns0:c r="B44" s="1"/>
      <ns0:c r="C44" s="1"/>
      <ns0:c r="D44" s="1"/>
      <ns0:c r="E44" s="1"/>
      <ns0:c r="F44" s="1"/>
      <ns0:c r="G44" s="1"/>
    </ns0:row>
    <ns0:row r="45" customFormat="false" ht="15" hidden="false" customHeight="false" outlineLevel="0" collapsed="false">
      <ns0:c r="A45" s="1"/>
      <ns0:c r="B45" s="1"/>
      <ns0:c r="C45" s="1"/>
      <ns0:c r="D45" s="1"/>
      <ns0:c r="E45" s="1"/>
      <ns0:c r="F45" s="1"/>
      <ns0:c r="G45" s="1"/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45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8"/>
    <ns0:col collapsed="false" customWidth="true" hidden="false" outlineLevel="0" max="2" min="2" style="0" width="22"/>
    <ns0:col collapsed="false" customWidth="true" hidden="false" outlineLevel="0" max="3" min="3" style="0" width="15"/>
    <ns0:col collapsed="false" customWidth="true" hidden="false" outlineLevel="0" max="4" min="4" style="0" width="23"/>
    <ns0:col collapsed="false" customWidth="true" hidden="false" outlineLevel="0" max="5" min="5" style="0" width="32"/>
    <ns0:col collapsed="false" customWidth="true" hidden="false" outlineLevel="0" max="6" min="6" style="0" width="36"/>
  </ns0:cols>
  <ns0:sheetData>
    <ns0:row r="1" customFormat="false" ht="15" hidden="false" customHeight="false" outlineLevel="0" collapsed="false">
      <ns0:c r="A1" s="1"/>
      <ns0:c r="B1" s="1"/>
      <ns0:c r="C1" s="1"/>
      <ns0:c r="D1" s="1"/>
      <ns0:c r="E1" s="1"/>
      <ns0:c r="F1" s="1"/>
    </ns0:row>
    <ns0:row r="2" customFormat="false" ht="18.55" hidden="false" customHeight="false" outlineLevel="0" collapsed="false">
      <ns0:c r="A2" s="2" t="s">
        <ns0:v>39</ns0:v>
      </ns0:c>
      <ns0:c r="B2" s="1"/>
      <ns0:c r="C2" s="1"/>
      <ns0:c r="D2" s="1"/>
      <ns0:c r="E2" s="1"/>
      <ns0:c r="F2" s="1"/>
    </ns0:row>
    <ns0:row r="3" customFormat="false" ht="15" hidden="false" customHeight="false" outlineLevel="0" collapsed="false">
      <ns0:c r="A3" s="1" t="s">
        <ns0:v>40</ns0:v>
      </ns0:c>
      <ns0:c r="B3" s="1"/>
      <ns0:c r="C3" s="1"/>
      <ns0:c r="D3" s="1"/>
      <ns0:c r="E3" s="1"/>
      <ns0:c r="F3" s="1"/>
    </ns0:row>
    <ns0:row r="4" customFormat="false" ht="15" hidden="false" customHeight="false" outlineLevel="0" collapsed="false">
      <ns0:c r="A4" s="1"/>
      <ns0:c r="B4" s="1"/>
      <ns0:c r="C4" s="1"/>
      <ns0:c r="D4" s="1"/>
      <ns0:c r="E4" s="1"/>
      <ns0:c r="F4" s="1"/>
    </ns0:row>
    <ns0:row r="5" customFormat="false" ht="36" hidden="false" customHeight="true" outlineLevel="0" collapsed="false">
      <ns0:c r="A5" s="3" t="s">
        <ns0:v>41</ns0:v>
      </ns0:c>
      <ns0:c r="B5" s="3" t="s">
        <ns0:v>42</ns0:v>
      </ns0:c>
      <ns0:c r="C5" s="3" t="s">
        <ns0:v>43</ns0:v>
      </ns0:c>
      <ns0:c r="D5" s="3" t="s">
        <ns0:v>44</ns0:v>
      </ns0:c>
      <ns0:c r="E5" s="3" t="s">
        <ns0:v>45</ns0:v>
      </ns0:c>
      <ns0:c r="F5" s="3" t="s">
        <ns0:v>46</ns0:v>
      </ns0:c>
    </ns0:row>
    <ns0:row r="6" customFormat="false" ht="48" hidden="false" customHeight="true" outlineLevel="0" collapsed="false">
      <ns0:c r="A6" s="8" t="s">
        <ns0:v>47</ns0:v>
      </ns0:c>
      <ns0:c r="B6" s="7" t="n">
        <ns0:f aca="false">Rechnung!E24</ns0:f>
        <ns0:v>114153.8</ns0:v>
      </ns0:c>
      <ns0:c r="C6" s="13" t="n">
        <ns0:v>0.19</ns0:v>
      </ns0:c>
      <ns0:c r="D6" s="7" t="n">
        <ns0:f aca="false">ROUND(B6*(1+C6),2)</ns0:f>
        <ns0:v>135843.02</ns0:v>
      </ns0:c>
      <ns0:c r="E6" s="4" t="s">
        <ns0:v>48</ns0:v>
      </ns0:c>
      <ns0:c r="F6" s="4" t="s">
        <ns0:v>49</ns0:v>
      </ns0:c>
    </ns0:row>
    <ns0:row r="7" customFormat="false" ht="48" hidden="false" customHeight="true" outlineLevel="0" collapsed="false">
      <ns0:c r="A7" s="8" t="s">
        <ns0:v>50</ns0:v>
      </ns0:c>
      <ns0:c r="B7" s="6" t="n">
        <ns0:v>54200</ns0:v>
      </ns0:c>
      <ns0:c r="C7" s="13" t="n">
        <ns0:v>0.19</ns0:v>
      </ns0:c>
      <ns0:c r="D7" s="7" t="n">
        <ns0:f aca="false">ROUND(B7*(1+C7),2)</ns0:f>
        <ns0:v>64498</ns0:v>
      </ns0:c>
      <ns0:c r="E7" s="4" t="s">
        <ns0:v>51</ns0:v>
      </ns0:c>
      <ns0:c r="F7" s="4" t="s">
        <ns0:v>52</ns0:v>
      </ns0:c>
    </ns0:row>
    <ns0:row r="8" customFormat="false" ht="48" hidden="false" customHeight="true" outlineLevel="0" collapsed="false">
      <ns0:c r="A8" s="8" t="s">
        <ns0:v>53</ns0:v>
      </ns0:c>
      <ns0:c r="B8" s="6" t="n">
        <ns0:v>27400</ns0:v>
      </ns0:c>
      <ns0:c r="C8" s="13" t="n">
        <ns0:v>0.19</ns0:v>
      </ns0:c>
      <ns0:c r="D8" s="7" t="n">
        <ns0:f aca="false">ROUND(B8*(1+C8),2)</ns0:f>
        <ns0:v>32606</ns0:v>
      </ns0:c>
      <ns0:c r="E8" s="4" t="s">
        <ns0:v>54</ns0:v>
      </ns0:c>
      <ns0:c r="F8" s="4" t="s">
        <ns0:v>52</ns0:v>
      </ns0:c>
    </ns0:row>
    <ns0:row r="9" customFormat="false" ht="48" hidden="false" customHeight="true" outlineLevel="0" collapsed="false">
      <ns0:c r="A9" s="8" t="s">
        <ns0:v>55</ns0:v>
      </ns0:c>
      <ns0:c r="B9" s="6" t="n">
        <ns0:v>61800</ns0:v>
      </ns0:c>
      <ns0:c r="C9" s="13" t="n">
        <ns0:v>0.19</ns0:v>
      </ns0:c>
      <ns0:c r="D9" s="7" t="n">
        <ns0:f aca="false">ROUND(B9*(1+C9),2)</ns0:f>
        <ns0:v>73542</ns0:v>
      </ns0:c>
      <ns0:c r="E9" s="4" t="s">
        <ns0:v>56</ns0:v>
      </ns0:c>
      <ns0:c r="F9" s="4" t="s">
        <ns0:v>52</ns0:v>
      </ns0:c>
    </ns0:row>
    <ns0:row r="10" customFormat="false" ht="48" hidden="false" customHeight="true" outlineLevel="0" collapsed="false">
      <ns0:c r="A10" s="8" t="s">
        <ns0:v>57</ns0:v>
      </ns0:c>
      <ns0:c r="B10" s="6" t="n">
        <ns0:v>23600</ns0:v>
      </ns0:c>
      <ns0:c r="C10" s="13" t="n">
        <ns0:v>0.19</ns0:v>
      </ns0:c>
      <ns0:c r="D10" s="7" t="n">
        <ns0:f aca="false">ROUND(B10*(1+C10),2)</ns0:f>
        <ns0:v>28084</ns0:v>
      </ns0:c>
      <ns0:c r="E10" s="4" t="s">
        <ns0:v>58</ns0:v>
      </ns0:c>
      <ns0:c r="F10" s="4" t="s">
        <ns0:v>52</ns0:v>
      </ns0:c>
    </ns0:row>
    <ns0:row r="11" customFormat="false" ht="48" hidden="false" customHeight="true" outlineLevel="0" collapsed="false">
      <ns0:c r="A11" s="8" t="s">
        <ns0:v>59</ns0:v>
      </ns0:c>
      <ns0:c r="B11" s="6" t="n">
        <ns0:v>12900</ns0:v>
      </ns0:c>
      <ns0:c r="C11" s="13" t="n">
        <ns0:v>0.19</ns0:v>
      </ns0:c>
      <ns0:c r="D11" s="7" t="n">
        <ns0:f aca="false">ROUND(B11*(1+C11),2)</ns0:f>
        <ns0:v>15351</ns0:v>
      </ns0:c>
      <ns0:c r="E11" s="4" t="s">
        <ns0:v>60</ns0:v>
      </ns0:c>
      <ns0:c r="F11" s="4" t="s">
        <ns0:v>52</ns0:v>
      </ns0:c>
    </ns0:row>
    <ns0:row r="12" customFormat="false" ht="48" hidden="false" customHeight="true" outlineLevel="0" collapsed="false">
      <ns0:c r="A12" s="8" t="s">
        <ns0:v>61</ns0:v>
      </ns0:c>
      <ns0:c r="B12" s="6" t="n">
        <ns0:v>53040</ns0:v>
      </ns0:c>
      <ns0:c r="C12" s="13" t="n">
        <ns0:v>0.19</ns0:v>
      </ns0:c>
      <ns0:c r="D12" s="7" t="n">
        <ns0:f aca="false">ROUND(B12*(1+C12),2)</ns0:f>
        <ns0:v>63117.6</ns0:v>
      </ns0:c>
      <ns0:c r="E12" s="4" t="s">
        <ns0:v>62</ns0:v>
      </ns0:c>
      <ns0:c r="F12" s="4" t="s">
        <ns0:v>63</ns0:v>
      </ns0:c>
    </ns0:row>
    <ns0:row r="13" customFormat="false" ht="48" hidden="false" customHeight="true" outlineLevel="0" collapsed="false">
      <ns0:c r="A13" s="8" t="s">
        <ns0:v>64</ns0:v>
      </ns0:c>
      <ns0:c r="B13" s="6" t="n">
        <ns0:v>4650</ns0:v>
      </ns0:c>
      <ns0:c r="C13" s="13" t="n">
        <ns0:v>0.19</ns0:v>
      </ns0:c>
      <ns0:c r="D13" s="7" t="n">
        <ns0:f aca="false">ROUND(B13*(1+C13),2)</ns0:f>
        <ns0:v>5533.5</ns0:v>
      </ns0:c>
      <ns0:c r="E13" s="4" t="s">
        <ns0:v>65</ns0:v>
      </ns0:c>
      <ns0:c r="F13" s="4" t="s">
        <ns0:v>66</ns0:v>
      </ns0:c>
    </ns0:row>
    <ns0:row r="14" customFormat="false" ht="48" hidden="false" customHeight="true" outlineLevel="0" collapsed="false">
      <ns0:c r="A14" s="8" t="s">
        <ns0:v>67</ns0:v>
      </ns0:c>
      <ns0:c r="B14" s="6" t="n">
        <ns0:v>1780</ns0:v>
      </ns0:c>
      <ns0:c r="C14" s="13" t="n">
        <ns0:v>0</ns0:v>
      </ns0:c>
      <ns0:c r="D14" s="7" t="n">
        <ns0:f aca="false">ROUND(B14*(1+C14),2)</ns0:f>
        <ns0:v>1780</ns0:v>
      </ns0:c>
      <ns0:c r="E14" s="4" t="s">
        <ns0:v>68</ns0:v>
      </ns0:c>
      <ns0:c r="F14" s="4" t="s">
        <ns0:v>69</ns0:v>
      </ns0:c>
    </ns0:row>
    <ns0:row r="15" customFormat="false" ht="34" hidden="false" customHeight="true" outlineLevel="0" collapsed="false">
      <ns0:c r="A15" s="8"/>
      <ns0:c r="B15" s="7"/>
      <ns0:c r="C15" s="8"/>
      <ns0:c r="D15" s="7"/>
      <ns0:c r="E15" s="8"/>
      <ns0:c r="F15" s="8"/>
    </ns0:row>
    <ns0:row r="16" customFormat="false" ht="34" hidden="false" customHeight="true" outlineLevel="0" collapsed="false">
      <ns0:c r="A16" s="14" t="s">
        <ns0:v>70</ns0:v>
      </ns0:c>
      <ns0:c r="B16" s="15" t="n">
        <ns0:f aca="false">SUM(B6:B14)</ns0:f>
        <ns0:v>353523.8</ns0:v>
      </ns0:c>
      <ns0:c r="C16" s="14"/>
      <ns0:c r="D16" s="15" t="n">
        <ns0:f aca="false">SUM(D6:D14)</ns0:f>
        <ns0:v>420355.12</ns0:v>
      </ns0:c>
      <ns0:c r="E16" s="14"/>
      <ns0:c r="F16" s="14"/>
    </ns0:row>
    <ns0:row r="17" customFormat="false" ht="34" hidden="false" customHeight="true" outlineLevel="0" collapsed="false">
      <ns0:c r="A17" s="8" t="s">
        <ns0:v>71</ns0:v>
      </ns0:c>
      <ns0:c r="B17" s="5" t="n">
        <ns0:v>960</ns0:v>
      </ns0:c>
      <ns0:c r="C17" s="5" t="n">
        <ns0:v>0.19</ns0:v>
      </ns0:c>
      <ns0:c r="D17" s="7" t="n">
        <ns0:f aca="false">ROUND(B17*(1+C17),2)</ns0:f>
        <ns0:v>1142.4</ns0:v>
      </ns0:c>
      <ns0:c r="E17" s="8"/>
      <ns0:c r="F17" s="8"/>
    </ns0:row>
    <ns0:row r="18" customFormat="false" ht="34" hidden="false" customHeight="true" outlineLevel="0" collapsed="false">
      <ns0:c r="A18" s="8" t="s">
        <ns0:v>72</ns0:v>
      </ns0:c>
      <ns0:c r="B18" s="8"/>
      <ns0:c r="C18" s="8"/>
      <ns0:c r="D18" s="6" t="n">
        <ns0:v>430000</ns0:v>
      </ns0:c>
      <ns0:c r="E18" s="8"/>
      <ns0:c r="F18" s="8"/>
    </ns0:row>
    <ns0:row r="19" customFormat="false" ht="34" hidden="false" customHeight="true" outlineLevel="0" collapsed="false">
      <ns0:c r="A19" s="8" t="s">
        <ns0:v>73</ns0:v>
      </ns0:c>
      <ns0:c r="B19" s="8"/>
      <ns0:c r="C19" s="8"/>
      <ns0:c r="D19" s="7" t="n">
        <ns0:f aca="false">D18-D16-D17</ns0:f>
        <ns0:v>8502.48000000001</ns0:v>
      </ns0:c>
      <ns0:c r="E19" s="8"/>
      <ns0:c r="F19" s="8"/>
    </ns0:row>
    <ns0:row r="20" customFormat="false" ht="34" hidden="false" customHeight="true" outlineLevel="0" collapsed="false">
      <ns0:c r="A20" s="8"/>
      <ns0:c r="B20" s="8"/>
      <ns0:c r="C20" s="8"/>
      <ns0:c r="D20" s="7"/>
      <ns0:c r="E20" s="8"/>
      <ns0:c r="F20" s="8"/>
    </ns0:row>
    <ns0:row r="21" customFormat="false" ht="34" hidden="false" customHeight="true" outlineLevel="0" collapsed="false">
      <ns0:c r="A21" s="8" t="s">
        <ns0:v>74</ns0:v>
      </ns0:c>
      <ns0:c r="B21" s="8"/>
      <ns0:c r="C21" s="8"/>
      <ns0:c r="D21" s="7" t="n">
        <ns0:f aca="false">Rechnung!F26</ns0:f>
        <ns0:v>1475.6</ns0:v>
      </ns0:c>
      <ns0:c r="E21" s="8"/>
      <ns0:c r="F21" s="8"/>
    </ns0:row>
    <ns0:row r="22" customFormat="false" ht="34" hidden="false" customHeight="true" outlineLevel="0" collapsed="false">
      <ns0:c r="A22" s="8" t="s">
        <ns0:v>75</ns0:v>
      </ns0:c>
      <ns0:c r="B22" s="8"/>
      <ns0:c r="C22" s="8"/>
      <ns0:c r="D22" s="7" t="n">
        <ns0:f aca="false">D16+D17+D21</ns0:f>
        <ns0:v>422973.12</ns0:v>
      </ns0:c>
      <ns0:c r="E22" s="8"/>
      <ns0:c r="F22" s="8"/>
    </ns0:row>
    <ns0:row r="23" customFormat="false" ht="34" hidden="false" customHeight="true" outlineLevel="0" collapsed="false">
      <ns0:c r="A23" s="8"/>
      <ns0:c r="B23" s="8"/>
      <ns0:c r="C23" s="8"/>
      <ns0:c r="D23" s="8"/>
      <ns0:c r="E23" s="8"/>
      <ns0:c r="F23" s="8"/>
    </ns0:row>
    <ns0:row r="24" customFormat="false" ht="34" hidden="false" customHeight="true" outlineLevel="0" collapsed="false">
      <ns0:c r="A24" s="8" t="s">
        <ns0:v>76</ns0:v>
      </ns0:c>
      <ns0:c r="B24" s="8"/>
      <ns0:c r="C24" s="8"/>
      <ns0:c r="D24" s="8"/>
      <ns0:c r="E24" s="8"/>
      <ns0:c r="F24" s="8"/>
    </ns0:row>
    <ns0:row r="25" customFormat="false" ht="34" hidden="false" customHeight="true" outlineLevel="0" collapsed="false">
      <ns0:c r="A25" s="8" t="s">
        <ns0:v>77</ns0:v>
      </ns0:c>
      <ns0:c r="B25" s="8"/>
      <ns0:c r="C25" s="8"/>
      <ns0:c r="D25" s="8"/>
      <ns0:c r="E25" s="8"/>
      <ns0:c r="F25" s="8"/>
    </ns0:row>
    <ns0:row r="26" customFormat="false" ht="34" hidden="false" customHeight="true" outlineLevel="0" collapsed="false">
      <ns0:c r="A26" s="8" t="s">
        <ns0:v>78</ns0:v>
      </ns0:c>
      <ns0:c r="B26" s="8"/>
      <ns0:c r="C26" s="8"/>
      <ns0:c r="D26" s="8"/>
      <ns0:c r="E26" s="8"/>
      <ns0:c r="F26" s="8"/>
    </ns0:row>
    <ns0:row r="27" customFormat="false" ht="34" hidden="false" customHeight="true" outlineLevel="0" collapsed="false">
      <ns0:c r="A27" s="8"/>
      <ns0:c r="B27" s="8"/>
      <ns0:c r="C27" s="8"/>
      <ns0:c r="D27" s="8"/>
      <ns0:c r="E27" s="8"/>
      <ns0:c r="F27" s="8"/>
    </ns0:row>
    <ns0:row r="28" customFormat="false" ht="34" hidden="false" customHeight="true" outlineLevel="0" collapsed="false">
      <ns0:c r="A28" s="8" t="s">
        <ns0:v>79</ns0:v>
      </ns0:c>
      <ns0:c r="B28" s="8"/>
      <ns0:c r="C28" s="8"/>
      <ns0:c r="D28" s="8"/>
      <ns0:c r="E28" s="8"/>
      <ns0:c r="F28" s="8"/>
    </ns0:row>
    <ns0:row r="29" customFormat="false" ht="34" hidden="false" customHeight="true" outlineLevel="0" collapsed="false">
      <ns0:c r="A29" s="8"/>
      <ns0:c r="B29" s="8"/>
      <ns0:c r="C29" s="8"/>
      <ns0:c r="D29" s="8"/>
      <ns0:c r="E29" s="8"/>
      <ns0:c r="F29" s="8"/>
    </ns0:row>
    <ns0:row r="30" customFormat="false" ht="34" hidden="false" customHeight="true" outlineLevel="0" collapsed="false">
      <ns0:c r="A30" s="8"/>
      <ns0:c r="B30" s="8"/>
      <ns0:c r="C30" s="8"/>
      <ns0:c r="D30" s="8"/>
      <ns0:c r="E30" s="8"/>
      <ns0:c r="F30" s="8"/>
    </ns0:row>
    <ns0:row r="31" customFormat="false" ht="34" hidden="false" customHeight="true" outlineLevel="0" collapsed="false">
      <ns0:c r="A31" s="8"/>
      <ns0:c r="B31" s="8"/>
      <ns0:c r="C31" s="8"/>
      <ns0:c r="D31" s="8"/>
      <ns0:c r="E31" s="8"/>
      <ns0:c r="F31" s="8"/>
    </ns0:row>
    <ns0:row r="32" customFormat="false" ht="34" hidden="false" customHeight="true" outlineLevel="0" collapsed="false">
      <ns0:c r="A32" s="8"/>
      <ns0:c r="B32" s="8"/>
      <ns0:c r="C32" s="8"/>
      <ns0:c r="D32" s="8"/>
      <ns0:c r="E32" s="8"/>
      <ns0:c r="F32" s="8"/>
    </ns0:row>
    <ns0:row r="33" customFormat="false" ht="34" hidden="false" customHeight="true" outlineLevel="0" collapsed="false">
      <ns0:c r="A33" s="8"/>
      <ns0:c r="B33" s="8"/>
      <ns0:c r="C33" s="8"/>
      <ns0:c r="D33" s="8"/>
      <ns0:c r="E33" s="8"/>
      <ns0:c r="F33" s="8"/>
    </ns0:row>
    <ns0:row r="34" customFormat="false" ht="34" hidden="false" customHeight="true" outlineLevel="0" collapsed="false">
      <ns0:c r="A34" s="8"/>
      <ns0:c r="B34" s="8"/>
      <ns0:c r="C34" s="8"/>
      <ns0:c r="D34" s="8"/>
      <ns0:c r="E34" s="8"/>
      <ns0:c r="F34" s="8"/>
    </ns0:row>
    <ns0:row r="35" customFormat="false" ht="34" hidden="false" customHeight="true" outlineLevel="0" collapsed="false">
      <ns0:c r="A35" s="8"/>
      <ns0:c r="B35" s="8"/>
      <ns0:c r="C35" s="8"/>
      <ns0:c r="D35" s="8"/>
      <ns0:c r="E35" s="8"/>
      <ns0:c r="F35" s="8"/>
    </ns0:row>
    <ns0:row r="36" customFormat="false" ht="34" hidden="false" customHeight="true" outlineLevel="0" collapsed="false">
      <ns0:c r="A36" s="8"/>
      <ns0:c r="B36" s="8"/>
      <ns0:c r="C36" s="8"/>
      <ns0:c r="D36" s="8"/>
      <ns0:c r="E36" s="8"/>
      <ns0:c r="F36" s="8"/>
    </ns0:row>
    <ns0:row r="37" customFormat="false" ht="34" hidden="false" customHeight="true" outlineLevel="0" collapsed="false">
      <ns0:c r="A37" s="8"/>
      <ns0:c r="B37" s="8"/>
      <ns0:c r="C37" s="8"/>
      <ns0:c r="D37" s="8"/>
      <ns0:c r="E37" s="8"/>
      <ns0:c r="F37" s="8"/>
    </ns0:row>
    <ns0:row r="38" customFormat="false" ht="34" hidden="false" customHeight="true" outlineLevel="0" collapsed="false">
      <ns0:c r="A38" s="8"/>
      <ns0:c r="B38" s="8"/>
      <ns0:c r="C38" s="8"/>
      <ns0:c r="D38" s="8"/>
      <ns0:c r="E38" s="8"/>
      <ns0:c r="F38" s="8"/>
    </ns0:row>
    <ns0:row r="39" customFormat="false" ht="34" hidden="false" customHeight="true" outlineLevel="0" collapsed="false">
      <ns0:c r="A39" s="8"/>
      <ns0:c r="B39" s="8"/>
      <ns0:c r="C39" s="8"/>
      <ns0:c r="D39" s="8"/>
      <ns0:c r="E39" s="8"/>
      <ns0:c r="F39" s="8"/>
    </ns0:row>
    <ns0:row r="40" customFormat="false" ht="34" hidden="false" customHeight="true" outlineLevel="0" collapsed="false">
      <ns0:c r="A40" s="8"/>
      <ns0:c r="B40" s="8"/>
      <ns0:c r="C40" s="8"/>
      <ns0:c r="D40" s="8"/>
      <ns0:c r="E40" s="8"/>
      <ns0:c r="F40" s="8"/>
    </ns0:row>
    <ns0:row r="41" customFormat="false" ht="15" hidden="false" customHeight="false" outlineLevel="0" collapsed="false">
      <ns0:c r="A41" s="1"/>
      <ns0:c r="B41" s="1"/>
      <ns0:c r="C41" s="1"/>
      <ns0:c r="D41" s="1"/>
      <ns0:c r="E41" s="1"/>
      <ns0:c r="F41" s="1"/>
    </ns0:row>
    <ns0:row r="42" customFormat="false" ht="15" hidden="false" customHeight="false" outlineLevel="0" collapsed="false">
      <ns0:c r="A42" s="1"/>
      <ns0:c r="B42" s="1"/>
      <ns0:c r="C42" s="1"/>
      <ns0:c r="D42" s="1"/>
      <ns0:c r="E42" s="1"/>
      <ns0:c r="F42" s="1"/>
    </ns0:row>
    <ns0:row r="43" customFormat="false" ht="15" hidden="false" customHeight="false" outlineLevel="0" collapsed="false">
      <ns0:c r="A43" s="1"/>
      <ns0:c r="B43" s="1"/>
      <ns0:c r="C43" s="1"/>
      <ns0:c r="D43" s="1"/>
      <ns0:c r="E43" s="1"/>
      <ns0:c r="F43" s="1"/>
    </ns0:row>
    <ns0:row r="44" customFormat="false" ht="15" hidden="false" customHeight="false" outlineLevel="0" collapsed="false">
      <ns0:c r="A44" s="1"/>
      <ns0:c r="B44" s="1"/>
      <ns0:c r="C44" s="1"/>
      <ns0:c r="D44" s="1"/>
      <ns0:c r="E44" s="1"/>
      <ns0:c r="F44" s="1"/>
    </ns0:row>
    <ns0:row r="45" customFormat="false" ht="15" hidden="false" customHeight="false" outlineLevel="0" collapsed="false">
      <ns0:c r="A45" s="1"/>
      <ns0:c r="B45" s="1"/>
      <ns0:c r="C45" s="1"/>
      <ns0:c r="D45" s="1"/>
      <ns0:c r="E45" s="1"/>
      <ns0:c r="F45" s="1"/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