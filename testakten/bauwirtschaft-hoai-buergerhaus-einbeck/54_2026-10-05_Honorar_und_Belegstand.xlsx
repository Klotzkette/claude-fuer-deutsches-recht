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Honorar" sheetId="1" state="visible" ns1:id="rId3"/>
    <ns0:sheet name="Leistungsbelege" sheetId="2" state="visible" ns1:id="rId4"/>
  </ns0:sheets>
  <ns0:definedNames>
    <ns0:definedName name="_xlnm.Print_Area" localSheetId="0">'Honorar'!A1:G33</ns0:definedName>
    <ns0:definedName name="_xlnm.Print_Titles" localSheetId="0">'Honorar'!$7:$7</ns0:definedName>
    <ns0:definedName name="_xlnm.Print_Area" localSheetId="1">'Leistungsbelege'!A1:D29</ns0:definedName>
    <ns0:definedName name="_xlnm.Print_Titles" localSheetId="1">'Leistungsbelege'!$7:$7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<sst xmlns="http://schemas.openxmlformats.org/spreadsheetml/2006/main" count="72" uniqueCount="66">
  <si>
    <t xml:space="preserve">Honorarzuordnung und Leistungsanteile</t>
  </si>
  <si>
    <t xml:space="preserve">Hartwig Architektur · 05.10.2026 · Vertragspauschale, keine neue Honorarschlussrechnung</t>
  </si>
  <si>
    <t xml:space="preserve">Pauschale Grundleistungen</t>
  </si>
  <si>
    <t xml:space="preserve">02, Abschnitt 2</t>
  </si>
  <si>
    <t xml:space="preserve">Leistungsphase</t>
  </si>
  <si>
    <t xml:space="preserve">Vertragsanteil</t>
  </si>
  <si>
    <t xml:space="preserve">Pauschale EUR</t>
  </si>
  <si>
    <t xml:space="preserve">Rechenanteil</t>
  </si>
  <si>
    <t xml:space="preserve">Ansatz EUR</t>
  </si>
  <si>
    <t xml:space="preserve">Rest EUR</t>
  </si>
  <si>
    <t xml:space="preserve">Belegstatus</t>
  </si>
  <si>
    <t xml:space="preserve">1 Grundlagen</t>
  </si>
  <si>
    <t xml:space="preserve">2 Vorplanung</t>
  </si>
  <si>
    <t xml:space="preserve">3 Entwurf</t>
  </si>
  <si>
    <t xml:space="preserve">4 Genehmigung</t>
  </si>
  <si>
    <t xml:space="preserve">5 Ausführung</t>
  </si>
  <si>
    <t xml:space="preserve">6 LV und Mengen</t>
  </si>
  <si>
    <t xml:space="preserve">7 Vergabe</t>
  </si>
  <si>
    <t xml:space="preserve">8 Überwachung</t>
  </si>
  <si>
    <t xml:space="preserve">9 Betreuung</t>
  </si>
  <si>
    <t xml:space="preserve">Grundleistungen</t>
  </si>
  <si>
    <t xml:space="preserve">Bestandsarbeiten</t>
  </si>
  <si>
    <t xml:space="preserve">02 und 04, gesonderte Pauschale</t>
  </si>
  <si>
    <t xml:space="preserve">Nebenkosten</t>
  </si>
  <si>
    <t xml:space="preserve">02, pauschal vereinbart</t>
  </si>
  <si>
    <t xml:space="preserve">Gesamt netto</t>
  </si>
  <si>
    <t xml:space="preserve">Umsatzsteuer</t>
  </si>
  <si>
    <t xml:space="preserve">Ansatz brutto</t>
  </si>
  <si>
    <t xml:space="preserve">Offene Belegfragen</t>
  </si>
  <si>
    <t xml:space="preserve">Gelbe Rechenanteile sind Annahmen zur Pauschalzuordnung, keine Abnahme oder Fälligkeitsentscheidung.</t>
  </si>
  <si>
    <t xml:space="preserve">100 Prozent in Phase 8 schließt die offenen Belegfragen nicht. Rückfragen stehen unabhängig im rechten Blatt.</t>
  </si>
  <si>
    <t xml:space="preserve">Ausgangsstand wie 37/40: 53.040,00 EUR netto zugeordnet; 960,00 EUR für laufende Betreuung verbleiben.</t>
  </si>
  <si>
    <t xml:space="preserve">Leistungsbelege und offene Fragen</t>
  </si>
  <si>
    <t xml:space="preserve">Grundlage: Vertrag 02, Erläuterung 52 und vorhandene Projektunterlagen.</t>
  </si>
  <si>
    <t xml:space="preserve">Phase</t>
  </si>
  <si>
    <t xml:space="preserve">Beleg und konkretes Ergebnis</t>
  </si>
  <si>
    <t xml:space="preserve">Offene Frage</t>
  </si>
  <si>
    <t xml:space="preserve">Status</t>
  </si>
  <si>
    <t xml:space="preserve">03/04: Untersuchungsbedarf und Bestandsaufnahme.</t>
  </si>
  <si>
    <t xml:space="preserve">Zusatzleistung Bestand separat vergütet.</t>
  </si>
  <si>
    <t xml:space="preserve">Belegt</t>
  </si>
  <si>
    <t xml:space="preserve">05/06: Variantenvergleich und Nordanbauentscheidung.</t>
  </si>
  <si>
    <t xml:space="preserve">Keine weitere Umnutzungsvariante beauftragt.</t>
  </si>
  <si>
    <t xml:space="preserve">07–10: Entwurf, Kosten und Fachplanerabstimmung.</t>
  </si>
  <si>
    <t xml:space="preserve">Gebührenansatz in 09 ist frühe Steuerpauschale.</t>
  </si>
  <si>
    <t xml:space="preserve">11–17: Antrag, Ergänzung und Bescheid.</t>
  </si>
  <si>
    <t xml:space="preserve">Späterer Gymnastikwunsch ist nicht mit umfasst.</t>
  </si>
  <si>
    <t xml:space="preserve">18–22: Abruf, AP-01, D-12 und Portalstände.</t>
  </si>
  <si>
    <t xml:space="preserve">Auflösung abweichender Höheninformation prüfen.</t>
  </si>
  <si>
    <t xml:space="preserve">Rückfrage</t>
  </si>
  <si>
    <t xml:space="preserve">23/24: zwölf LV-Positionen mit Mengen und Preisen.</t>
  </si>
  <si>
    <t xml:space="preserve">Kein Nachweis der tatsächlichen Ausführung allein durch LV.</t>
  </si>
  <si>
    <t xml:space="preserve">25–28: Angebote, Preisspiegel und Zuschlag.</t>
  </si>
  <si>
    <t xml:space="preserve">Nachtrag N01 wurde nur teilweise beauftragt.</t>
  </si>
  <si>
    <t xml:space="preserve">30/35–40: Bauablauf, Aufmaß, Prüfung und Übergabe.</t>
  </si>
  <si>
    <t xml:space="preserve">Einzelblatt Nachkontrolle und Architekturabnahme fehlen.</t>
  </si>
  <si>
    <t xml:space="preserve">41–44/50/51: Begehung, Bewertung und Untersuchungsvorschlag.</t>
  </si>
  <si>
    <t xml:space="preserve">Ursache offen; weitere Betreuung und Kontrollbegehung stehen aus.</t>
  </si>
  <si>
    <t xml:space="preserve">Laufend</t>
  </si>
  <si>
    <t xml:space="preserve">1 Bedienung</t>
  </si>
  <si>
    <t xml:space="preserve">Status nur nach Belegabgleich ändern. Eine hohe Prozentzahl im Honorarblatt schließt keine Belegfrage.</t>
  </si>
  <si>
    <t xml:space="preserve">2 Vertragsgrundlage</t>
  </si>
  <si>
    <t xml:space="preserve">02 vereinbart 48.000 EUR für Grundleistungen sowie jeweils 3.000 EUR für Bestand und Nebenkosten.</t>
  </si>
  <si>
    <t xml:space="preserve">3 Grenzen</t>
  </si>
  <si>
    <t xml:space="preserve">Kein Saldo aus Rechnungen und Zahlungen. Keine automatische Honoraranpassung anhand der Baukosten.</t>
  </si>
  <si>
    <t xml:space="preserve">Die Unterlage 52 erläutert die einzelnen Ergebnisse. Die Zuordnung behauptet keine lückenlose Überwachung.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</si>
</sst>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Times New Roman"/>
      <family val="0"/>
      <charset val="1"/>
    </font>
    <font>
      <b val="true"/>
      <sz val="15"/>
      <color rgb="FF111111"/>
      <name val="Times New Roman"/>
      <family val="0"/>
      <charset val="1"/>
    </font>
    <font>
      <i val="true"/>
      <sz val="11"/>
      <color rgb="FF111111"/>
      <name val="Times New Roman"/>
      <family val="0"/>
      <charset val="1"/>
    </font>
    <font>
      <sz val="11"/>
      <color rgb="FF174B99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8EDF0"/>
      </patternFill>
    </fill>
    <fill>
      <patternFill patternType="solid">
        <fgColor rgb="FF344956"/>
        <bgColor rgb="FF174B99"/>
      </patternFill>
    </fill>
    <fill>
      <patternFill patternType="solid">
        <fgColor rgb="FFE8EDF0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D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74B99"/>
      <rgbColor rgb="FF3449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3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9"/>
    <ns0:col collapsed="false" customWidth="true" hidden="false" outlineLevel="0" max="2" min="2" style="0" width="14"/>
    <ns0:col collapsed="false" customWidth="true" hidden="false" outlineLevel="0" max="3" min="3" style="0" width="17"/>
    <ns0:col collapsed="false" customWidth="true" hidden="false" outlineLevel="0" max="4" min="4" style="0" width="14"/>
    <ns0:col collapsed="false" customWidth="true" hidden="false" outlineLevel="0" max="6" min="5" style="0" width="17"/>
    <ns0:col collapsed="false" customWidth="true" hidden="false" outlineLevel="0" max="7" min="7" style="0" width="32"/>
  </ns0:cols>
  <ns0:sheetData>
    <ns0:row r="1" customFormat="false" ht="8" hidden="false" customHeight="tru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20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</ns0:row>
    <ns0:row r="3" customFormat="false" ht="20" hidden="false" customHeight="true" outlineLevel="0" collapsed="false">
      <ns0:c r="A3" s="3" t="s">
        <ns0:v>1</ns0:v>
      </ns0:c>
      <ns0:c r="B3" s="1"/>
      <ns0:c r="C3" s="1"/>
      <ns0:c r="D3" s="1"/>
      <ns0:c r="E3" s="1"/>
      <ns0:c r="F3" s="1"/>
      <ns0:c r="G3" s="1"/>
    </ns0:row>
    <ns0:row r="4" customFormat="false" ht="12" hidden="false" customHeight="tru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12" hidden="false" customHeight="true" outlineLevel="0" collapsed="false">
      <ns0:c r="A5" s="1" t="s">
        <ns0:v>2</ns0:v>
      </ns0:c>
      <ns0:c r="B5" s="1"/>
      <ns0:c r="C5" s="4" t="n">
        <ns0:v>48000</ns0:v>
      </ns0:c>
      <ns0:c r="D5" s="1"/>
      <ns0:c r="E5" s="1"/>
      <ns0:c r="F5" s="1"/>
      <ns0:c r="G5" s="1" t="s">
        <ns0:v>3</ns0:v>
      </ns0:c>
    </ns0:row>
    <ns0:row r="6" customFormat="false" ht="12" hidden="false" customHeight="true" outlineLevel="0" collapsed="false">
      <ns0:c r="A6" s="1"/>
      <ns0:c r="B6" s="1"/>
      <ns0:c r="C6" s="5"/>
      <ns0:c r="D6" s="1"/>
      <ns0:c r="E6" s="1"/>
      <ns0:c r="F6" s="1"/>
      <ns0:c r="G6" s="1"/>
    </ns0:row>
    <ns0:row r="7" customFormat="false" ht="38" hidden="false" customHeight="true" outlineLevel="0" collapsed="false">
      <ns0:c r="A7" s="6" t="s">
        <ns0:v>4</ns0:v>
      </ns0:c>
      <ns0:c r="B7" s="6" t="s">
        <ns0:v>5</ns0:v>
      </ns0:c>
      <ns0:c r="C7" s="7" t="s">
        <ns0:v>6</ns0:v>
      </ns0:c>
      <ns0:c r="D7" s="6" t="s">
        <ns0:v>7</ns0:v>
      </ns0:c>
      <ns0:c r="E7" s="6" t="s">
        <ns0:v>8</ns0:v>
      </ns0:c>
      <ns0:c r="F7" s="6" t="s">
        <ns0:v>9</ns0:v>
      </ns0:c>
      <ns0:c r="G7" s="6" t="s">
        <ns0:v>10</ns0:v>
      </ns0:c>
    </ns0:row>
    <ns0:row r="8" customFormat="false" ht="39" hidden="false" customHeight="true" outlineLevel="0" collapsed="false">
      <ns0:c r="A8" s="8" t="s">
        <ns0:v>11</ns0:v>
      </ns0:c>
      <ns0:c r="B8" s="9" t="n">
        <ns0:v>0.02</ns0:v>
      </ns0:c>
      <ns0:c r="C8" s="10" t="n">
        <ns0:f aca="false">IF(AND(ISNUMBER($C$5),ISNUMBER(B8),B8&gt;=0,B8&lt;=1),ROUND($C$5*B8,2),"Eingabe fehlt")</ns0:f>
        <ns0:v>960</ns0:v>
      </ns0:c>
      <ns0:c r="D8" s="9" t="n">
        <ns0:v>1</ns0:v>
      </ns0:c>
      <ns0:c r="E8" s="10" t="n">
        <ns0:f aca="false">IF(OR(NOT(ISNUMBER(C8)),NOT(ISNUMBER(D8)),D8&lt;0,D8&gt;1),"Anteil prüfen",ROUND(C8*D8,2))</ns0:f>
        <ns0:v>960</ns0:v>
      </ns0:c>
      <ns0:c r="F8" s="10" t="n">
        <ns0:f aca="false">IF(AND(ISNUMBER(C8),ISNUMBER(E8)),C8-E8,"Offen")</ns0:f>
        <ns0:v>0</ns0:v>
      </ns0:c>
      <ns0:c r="G8" s="8" t="str">
        <ns0:f aca="false">Leistungsbelege!D8</ns0:f>
        <ns0:v>Belegt</ns0:v>
      </ns0:c>
    </ns0:row>
    <ns0:row r="9" customFormat="false" ht="39" hidden="false" customHeight="true" outlineLevel="0" collapsed="false">
      <ns0:c r="A9" s="8" t="s">
        <ns0:v>12</ns0:v>
      </ns0:c>
      <ns0:c r="B9" s="9" t="n">
        <ns0:v>0.07</ns0:v>
      </ns0:c>
      <ns0:c r="C9" s="10" t="n">
        <ns0:f aca="false">IF(AND(ISNUMBER($C$5),ISNUMBER(B9),B9&gt;=0,B9&lt;=1),ROUND($C$5*B9,2),"Eingabe fehlt")</ns0:f>
        <ns0:v>3360</ns0:v>
      </ns0:c>
      <ns0:c r="D9" s="9" t="n">
        <ns0:v>1</ns0:v>
      </ns0:c>
      <ns0:c r="E9" s="10" t="n">
        <ns0:f aca="false">IF(OR(NOT(ISNUMBER(C9)),NOT(ISNUMBER(D9)),D9&lt;0,D9&gt;1),"Anteil prüfen",ROUND(C9*D9,2))</ns0:f>
        <ns0:v>3360</ns0:v>
      </ns0:c>
      <ns0:c r="F9" s="10" t="n">
        <ns0:f aca="false">IF(AND(ISNUMBER(C9),ISNUMBER(E9)),C9-E9,"Offen")</ns0:f>
        <ns0:v>0</ns0:v>
      </ns0:c>
      <ns0:c r="G9" s="8" t="str">
        <ns0:f aca="false">Leistungsbelege!D9</ns0:f>
        <ns0:v>Belegt</ns0:v>
      </ns0:c>
    </ns0:row>
    <ns0:row r="10" customFormat="false" ht="39" hidden="false" customHeight="true" outlineLevel="0" collapsed="false">
      <ns0:c r="A10" s="8" t="s">
        <ns0:v>13</ns0:v>
      </ns0:c>
      <ns0:c r="B10" s="9" t="n">
        <ns0:v>0.15</ns0:v>
      </ns0:c>
      <ns0:c r="C10" s="10" t="n">
        <ns0:f aca="false">IF(AND(ISNUMBER($C$5),ISNUMBER(B10),B10&gt;=0,B10&lt;=1),ROUND($C$5*B10,2),"Eingabe fehlt")</ns0:f>
        <ns0:v>7200</ns0:v>
      </ns0:c>
      <ns0:c r="D10" s="9" t="n">
        <ns0:v>1</ns0:v>
      </ns0:c>
      <ns0:c r="E10" s="10" t="n">
        <ns0:f aca="false">IF(OR(NOT(ISNUMBER(C10)),NOT(ISNUMBER(D10)),D10&lt;0,D10&gt;1),"Anteil prüfen",ROUND(C10*D10,2))</ns0:f>
        <ns0:v>7200</ns0:v>
      </ns0:c>
      <ns0:c r="F10" s="10" t="n">
        <ns0:f aca="false">IF(AND(ISNUMBER(C10),ISNUMBER(E10)),C10-E10,"Offen")</ns0:f>
        <ns0:v>0</ns0:v>
      </ns0:c>
      <ns0:c r="G10" s="8" t="str">
        <ns0:f aca="false">Leistungsbelege!D10</ns0:f>
        <ns0:v>Belegt</ns0:v>
      </ns0:c>
    </ns0:row>
    <ns0:row r="11" customFormat="false" ht="39" hidden="false" customHeight="true" outlineLevel="0" collapsed="false">
      <ns0:c r="A11" s="8" t="s">
        <ns0:v>14</ns0:v>
      </ns0:c>
      <ns0:c r="B11" s="9" t="n">
        <ns0:v>0.03</ns0:v>
      </ns0:c>
      <ns0:c r="C11" s="10" t="n">
        <ns0:f aca="false">IF(AND(ISNUMBER($C$5),ISNUMBER(B11),B11&gt;=0,B11&lt;=1),ROUND($C$5*B11,2),"Eingabe fehlt")</ns0:f>
        <ns0:v>1440</ns0:v>
      </ns0:c>
      <ns0:c r="D11" s="9" t="n">
        <ns0:v>1</ns0:v>
      </ns0:c>
      <ns0:c r="E11" s="10" t="n">
        <ns0:f aca="false">IF(OR(NOT(ISNUMBER(C11)),NOT(ISNUMBER(D11)),D11&lt;0,D11&gt;1),"Anteil prüfen",ROUND(C11*D11,2))</ns0:f>
        <ns0:v>1440</ns0:v>
      </ns0:c>
      <ns0:c r="F11" s="10" t="n">
        <ns0:f aca="false">IF(AND(ISNUMBER(C11),ISNUMBER(E11)),C11-E11,"Offen")</ns0:f>
        <ns0:v>0</ns0:v>
      </ns0:c>
      <ns0:c r="G11" s="8" t="str">
        <ns0:f aca="false">Leistungsbelege!D11</ns0:f>
        <ns0:v>Belegt</ns0:v>
      </ns0:c>
    </ns0:row>
    <ns0:row r="12" customFormat="false" ht="39" hidden="false" customHeight="true" outlineLevel="0" collapsed="false">
      <ns0:c r="A12" s="8" t="s">
        <ns0:v>15</ns0:v>
      </ns0:c>
      <ns0:c r="B12" s="9" t="n">
        <ns0:v>0.25</ns0:v>
      </ns0:c>
      <ns0:c r="C12" s="10" t="n">
        <ns0:f aca="false">IF(AND(ISNUMBER($C$5),ISNUMBER(B12),B12&gt;=0,B12&lt;=1),ROUND($C$5*B12,2),"Eingabe fehlt")</ns0:f>
        <ns0:v>12000</ns0:v>
      </ns0:c>
      <ns0:c r="D12" s="9" t="n">
        <ns0:v>1</ns0:v>
      </ns0:c>
      <ns0:c r="E12" s="10" t="n">
        <ns0:f aca="false">IF(OR(NOT(ISNUMBER(C12)),NOT(ISNUMBER(D12)),D12&lt;0,D12&gt;1),"Anteil prüfen",ROUND(C12*D12,2))</ns0:f>
        <ns0:v>12000</ns0:v>
      </ns0:c>
      <ns0:c r="F12" s="10" t="n">
        <ns0:f aca="false">IF(AND(ISNUMBER(C12),ISNUMBER(E12)),C12-E12,"Offen")</ns0:f>
        <ns0:v>0</ns0:v>
      </ns0:c>
      <ns0:c r="G12" s="8" t="str">
        <ns0:f aca="false">Leistungsbelege!D12</ns0:f>
        <ns0:v>Rückfrage</ns0:v>
      </ns0:c>
    </ns0:row>
    <ns0:row r="13" customFormat="false" ht="39" hidden="false" customHeight="true" outlineLevel="0" collapsed="false">
      <ns0:c r="A13" s="8" t="s">
        <ns0:v>16</ns0:v>
      </ns0:c>
      <ns0:c r="B13" s="9" t="n">
        <ns0:v>0.1</ns0:v>
      </ns0:c>
      <ns0:c r="C13" s="10" t="n">
        <ns0:f aca="false">IF(AND(ISNUMBER($C$5),ISNUMBER(B13),B13&gt;=0,B13&lt;=1),ROUND($C$5*B13,2),"Eingabe fehlt")</ns0:f>
        <ns0:v>4800</ns0:v>
      </ns0:c>
      <ns0:c r="D13" s="9" t="n">
        <ns0:v>1</ns0:v>
      </ns0:c>
      <ns0:c r="E13" s="10" t="n">
        <ns0:f aca="false">IF(OR(NOT(ISNUMBER(C13)),NOT(ISNUMBER(D13)),D13&lt;0,D13&gt;1),"Anteil prüfen",ROUND(C13*D13,2))</ns0:f>
        <ns0:v>4800</ns0:v>
      </ns0:c>
      <ns0:c r="F13" s="10" t="n">
        <ns0:f aca="false">IF(AND(ISNUMBER(C13),ISNUMBER(E13)),C13-E13,"Offen")</ns0:f>
        <ns0:v>0</ns0:v>
      </ns0:c>
      <ns0:c r="G13" s="8" t="str">
        <ns0:f aca="false">Leistungsbelege!D13</ns0:f>
        <ns0:v>Belegt</ns0:v>
      </ns0:c>
    </ns0:row>
    <ns0:row r="14" customFormat="false" ht="39" hidden="false" customHeight="true" outlineLevel="0" collapsed="false">
      <ns0:c r="A14" s="8" t="s">
        <ns0:v>17</ns0:v>
      </ns0:c>
      <ns0:c r="B14" s="9" t="n">
        <ns0:v>0.04</ns0:v>
      </ns0:c>
      <ns0:c r="C14" s="10" t="n">
        <ns0:f aca="false">IF(AND(ISNUMBER($C$5),ISNUMBER(B14),B14&gt;=0,B14&lt;=1),ROUND($C$5*B14,2),"Eingabe fehlt")</ns0:f>
        <ns0:v>1920</ns0:v>
      </ns0:c>
      <ns0:c r="D14" s="9" t="n">
        <ns0:v>1</ns0:v>
      </ns0:c>
      <ns0:c r="E14" s="10" t="n">
        <ns0:f aca="false">IF(OR(NOT(ISNUMBER(C14)),NOT(ISNUMBER(D14)),D14&lt;0,D14&gt;1),"Anteil prüfen",ROUND(C14*D14,2))</ns0:f>
        <ns0:v>1920</ns0:v>
      </ns0:c>
      <ns0:c r="F14" s="10" t="n">
        <ns0:f aca="false">IF(AND(ISNUMBER(C14),ISNUMBER(E14)),C14-E14,"Offen")</ns0:f>
        <ns0:v>0</ns0:v>
      </ns0:c>
      <ns0:c r="G14" s="8" t="str">
        <ns0:f aca="false">Leistungsbelege!D14</ns0:f>
        <ns0:v>Belegt</ns0:v>
      </ns0:c>
    </ns0:row>
    <ns0:row r="15" customFormat="false" ht="39" hidden="false" customHeight="true" outlineLevel="0" collapsed="false">
      <ns0:c r="A15" s="8" t="s">
        <ns0:v>18</ns0:v>
      </ns0:c>
      <ns0:c r="B15" s="9" t="n">
        <ns0:v>0.32</ns0:v>
      </ns0:c>
      <ns0:c r="C15" s="10" t="n">
        <ns0:f aca="false">IF(AND(ISNUMBER($C$5),ISNUMBER(B15),B15&gt;=0,B15&lt;=1),ROUND($C$5*B15,2),"Eingabe fehlt")</ns0:f>
        <ns0:v>15360</ns0:v>
      </ns0:c>
      <ns0:c r="D15" s="9" t="n">
        <ns0:v>1</ns0:v>
      </ns0:c>
      <ns0:c r="E15" s="10" t="n">
        <ns0:f aca="false">IF(OR(NOT(ISNUMBER(C15)),NOT(ISNUMBER(D15)),D15&lt;0,D15&gt;1),"Anteil prüfen",ROUND(C15*D15,2))</ns0:f>
        <ns0:v>15360</ns0:v>
      </ns0:c>
      <ns0:c r="F15" s="10" t="n">
        <ns0:f aca="false">IF(AND(ISNUMBER(C15),ISNUMBER(E15)),C15-E15,"Offen")</ns0:f>
        <ns0:v>0</ns0:v>
      </ns0:c>
      <ns0:c r="G15" s="8" t="str">
        <ns0:f aca="false">Leistungsbelege!D15</ns0:f>
        <ns0:v>Rückfrage</ns0:v>
      </ns0:c>
    </ns0:row>
    <ns0:row r="16" customFormat="false" ht="39" hidden="false" customHeight="true" outlineLevel="0" collapsed="false">
      <ns0:c r="A16" s="8" t="s">
        <ns0:v>19</ns0:v>
      </ns0:c>
      <ns0:c r="B16" s="9" t="n">
        <ns0:v>0.02</ns0:v>
      </ns0:c>
      <ns0:c r="C16" s="10" t="n">
        <ns0:f aca="false">IF(AND(ISNUMBER($C$5),ISNUMBER(B16),B16&gt;=0,B16&lt;=1),ROUND($C$5*B16,2),"Eingabe fehlt")</ns0:f>
        <ns0:v>960</ns0:v>
      </ns0:c>
      <ns0:c r="D16" s="9" t="n">
        <ns0:v>0</ns0:v>
      </ns0:c>
      <ns0:c r="E16" s="10" t="n">
        <ns0:f aca="false">IF(OR(NOT(ISNUMBER(C16)),NOT(ISNUMBER(D16)),D16&lt;0,D16&gt;1),"Anteil prüfen",ROUND(C16*D16,2))</ns0:f>
        <ns0:v>0</ns0:v>
      </ns0:c>
      <ns0:c r="F16" s="10" t="n">
        <ns0:f aca="false">IF(AND(ISNUMBER(C16),ISNUMBER(E16)),C16-E16,"Offen")</ns0:f>
        <ns0:v>960</ns0:v>
      </ns0:c>
      <ns0:c r="G16" s="8" t="str">
        <ns0:f aca="false">Leistungsbelege!D16</ns0:f>
        <ns0:v>Laufend</ns0:v>
      </ns0:c>
    </ns0:row>
    <ns0:row r="17" customFormat="false" ht="20" hidden="false" customHeight="true" outlineLevel="0" collapsed="false">
      <ns0:c r="A17" s="8"/>
      <ns0:c r="B17" s="11"/>
      <ns0:c r="C17" s="10"/>
      <ns0:c r="D17" s="8"/>
      <ns0:c r="E17" s="10"/>
      <ns0:c r="F17" s="10"/>
      <ns0:c r="G17" s="8"/>
    </ns0:row>
    <ns0:row r="18" customFormat="false" ht="20" hidden="false" customHeight="true" outlineLevel="0" collapsed="false">
      <ns0:c r="A18" s="12" t="s">
        <ns0:v>20</ns0:v>
      </ns0:c>
      <ns0:c r="B18" s="13" t="n">
        <ns0:f aca="false">IF(COUNT(B8:B16)=9,SUM(B8:B16),"Anteil prüfen")</ns0:f>
        <ns0:v>1</ns0:v>
      </ns0:c>
      <ns0:c r="C18" s="14" t="n">
        <ns0:f aca="false">IF(AND(COUNT(C8:C16)=9,ABS(SUM(B8:B16)-1)&lt;0.000001),SUM(C8:C16),"Vertrag prüfen")</ns0:f>
        <ns0:v>48000</ns0:v>
      </ns0:c>
      <ns0:c r="D18" s="12"/>
      <ns0:c r="E18" s="14" t="n">
        <ns0:f aca="false">IF(OR(COUNT(E8:E16)&lt;&gt;9,NOT(ISNUMBER(C18))),"Anteil prüfen",SUM(E8:E16))</ns0:f>
        <ns0:v>47040</ns0:v>
      </ns0:c>
      <ns0:c r="F18" s="14" t="n">
        <ns0:f aca="false">IF(AND(ISNUMBER(C18),ISNUMBER(E18)),C18-E18,"Offen")</ns0:f>
        <ns0:v>960</ns0:v>
      </ns0:c>
      <ns0:c r="G18" s="12"/>
    </ns0:row>
    <ns0:row r="19" customFormat="false" ht="42" hidden="false" customHeight="true" outlineLevel="0" collapsed="false">
      <ns0:c r="A19" s="8" t="s">
        <ns0:v>21</ns0:v>
      </ns0:c>
      <ns0:c r="B19" s="8"/>
      <ns0:c r="C19" s="15" t="n">
        <ns0:v>3000</ns0:v>
      </ns0:c>
      <ns0:c r="D19" s="8"/>
      <ns0:c r="E19" s="10" t="n">
        <ns0:f aca="false">IF(ISNUMBER(C19),C19,"Eingabe fehlt")</ns0:f>
        <ns0:v>3000</ns0:v>
      </ns0:c>
      <ns0:c r="F19" s="10"/>
      <ns0:c r="G19" s="8" t="s">
        <ns0:v>22</ns0:v>
      </ns0:c>
    </ns0:row>
    <ns0:row r="20" customFormat="false" ht="42" hidden="false" customHeight="true" outlineLevel="0" collapsed="false">
      <ns0:c r="A20" s="8" t="s">
        <ns0:v>23</ns0:v>
      </ns0:c>
      <ns0:c r="B20" s="8"/>
      <ns0:c r="C20" s="15" t="n">
        <ns0:v>3000</ns0:v>
      </ns0:c>
      <ns0:c r="D20" s="8"/>
      <ns0:c r="E20" s="10" t="n">
        <ns0:f aca="false">IF(ISNUMBER(C20),C20,"Eingabe fehlt")</ns0:f>
        <ns0:v>3000</ns0:v>
      </ns0:c>
      <ns0:c r="F20" s="10"/>
      <ns0:c r="G20" s="8" t="s">
        <ns0:v>24</ns0:v>
      </ns0:c>
    </ns0:row>
    <ns0:row r="21" customFormat="false" ht="20" hidden="false" customHeight="true" outlineLevel="0" collapsed="false">
      <ns0:c r="A21" s="8"/>
      <ns0:c r="B21" s="8"/>
      <ns0:c r="C21" s="10"/>
      <ns0:c r="D21" s="8"/>
      <ns0:c r="E21" s="10"/>
      <ns0:c r="F21" s="10"/>
      <ns0:c r="G21" s="8"/>
    </ns0:row>
    <ns0:row r="22" customFormat="false" ht="20" hidden="false" customHeight="true" outlineLevel="0" collapsed="false">
      <ns0:c r="A22" s="12" t="s">
        <ns0:v>25</ns0:v>
      </ns0:c>
      <ns0:c r="B22" s="12"/>
      <ns0:c r="C22" s="14" t="n">
        <ns0:f aca="false">IF(COUNT(C18:C20)=3,SUM(C18:C20),"Eingabe fehlt")</ns0:f>
        <ns0:v>54000</ns0:v>
      </ns0:c>
      <ns0:c r="D22" s="12"/>
      <ns0:c r="E22" s="14" t="n">
        <ns0:f aca="false">IF(NOT(ISNUMBER(E18)),"Anteil prüfen",IF(COUNT(E18:E20)=3,SUM(E18:E20),"Eingabe fehlt"))</ns0:f>
        <ns0:v>53040</ns0:v>
      </ns0:c>
      <ns0:c r="F22" s="14" t="n">
        <ns0:f aca="false">IF(AND(ISNUMBER(C22),ISNUMBER(E22)),C22-E22,"Offen")</ns0:f>
        <ns0:v>960</ns0:v>
      </ns0:c>
      <ns0:c r="G22" s="12"/>
    </ns0:row>
    <ns0:row r="23" customFormat="false" ht="20" hidden="false" customHeight="true" outlineLevel="0" collapsed="false">
      <ns0:c r="A23" s="12" t="s">
        <ns0:v>26</ns0:v>
      </ns0:c>
      <ns0:c r="B23" s="16" t="n">
        <ns0:v>0.19</ns0:v>
      </ns0:c>
      <ns0:c r="C23" s="12"/>
      <ns0:c r="D23" s="12"/>
      <ns0:c r="E23" s="14" t="n">
        <ns0:f aca="false">IF(AND(ISNUMBER(E22),ISNUMBER(B23)),ROUND(E22*B23,2),"Offen")</ns0:f>
        <ns0:v>10077.6</ns0:v>
      </ns0:c>
      <ns0:c r="F23" s="14"/>
      <ns0:c r="G23" s="12"/>
    </ns0:row>
    <ns0:row r="24" customFormat="false" ht="20" hidden="false" customHeight="true" outlineLevel="0" collapsed="false">
      <ns0:c r="A24" s="12" t="s">
        <ns0:v>27</ns0:v>
      </ns0:c>
      <ns0:c r="B24" s="12"/>
      <ns0:c r="C24" s="12"/>
      <ns0:c r="D24" s="12"/>
      <ns0:c r="E24" s="14" t="n">
        <ns0:f aca="false">IF(ISNUMBER(E23),E22+E23,"Offen")</ns0:f>
        <ns0:v>63117.6</ns0:v>
      </ns0:c>
      <ns0:c r="F24" s="12"/>
      <ns0:c r="G24" s="12"/>
    </ns0:row>
    <ns0:row r="25" customFormat="false" ht="20" hidden="false" customHeight="true" outlineLevel="0" collapsed="false">
      <ns0:c r="A25" s="8"/>
      <ns0:c r="B25" s="8"/>
      <ns0:c r="C25" s="8"/>
      <ns0:c r="D25" s="8"/>
      <ns0:c r="E25" s="8"/>
      <ns0:c r="F25" s="8"/>
      <ns0:c r="G25" s="8"/>
    </ns0:row>
    <ns0:row r="26" customFormat="false" ht="20" hidden="false" customHeight="true" outlineLevel="0" collapsed="false">
      <ns0:c r="A26" s="8" t="s">
        <ns0:v>28</ns0:v>
      </ns0:c>
      <ns0:c r="B26" s="8"/>
      <ns0:c r="C26" s="8"/>
      <ns0:c r="D26" s="8"/>
      <ns0:c r="E26" s="8"/>
      <ns0:c r="F26" s="8"/>
      <ns0:c r="G26" s="8" t="n">
        <ns0:f aca="false">COUNTIFS(Leistungsbelege!D8:D16,"&lt;&gt;Belegt")</ns0:f>
        <ns0:v>3</ns0:v>
      </ns0:c>
    </ns0:row>
    <ns0:row r="27" customFormat="false" ht="20" hidden="false" customHeight="true" outlineLevel="0" collapsed="false">
      <ns0:c r="A27" s="8"/>
      <ns0:c r="B27" s="8"/>
      <ns0:c r="C27" s="8"/>
      <ns0:c r="D27" s="8"/>
      <ns0:c r="E27" s="8"/>
      <ns0:c r="F27" s="8"/>
      <ns0:c r="G27" s="8"/>
    </ns0:row>
    <ns0:row r="28" customFormat="false" ht="20" hidden="false" customHeight="true" outlineLevel="0" collapsed="false">
      <ns0:c r="A28" s="1" t="s">
        <ns0:v>29</ns0:v>
      </ns0:c>
      <ns0:c r="B28" s="8"/>
      <ns0:c r="C28" s="8"/>
      <ns0:c r="D28" s="8"/>
      <ns0:c r="E28" s="8"/>
      <ns0:c r="F28" s="8"/>
      <ns0:c r="G28" s="8"/>
    </ns0:row>
    <ns0:row r="29" customFormat="false" ht="20" hidden="false" customHeight="true" outlineLevel="0" collapsed="false">
      <ns0:c r="A29" s="8"/>
      <ns0:c r="B29" s="8"/>
      <ns0:c r="C29" s="8"/>
      <ns0:c r="D29" s="8"/>
      <ns0:c r="E29" s="8"/>
      <ns0:c r="F29" s="8"/>
      <ns0:c r="G29" s="8"/>
    </ns0:row>
    <ns0:row r="30" customFormat="false" ht="20" hidden="false" customHeight="true" outlineLevel="0" collapsed="false">
      <ns0:c r="A30" s="1" t="s">
        <ns0:v>30</ns0:v>
      </ns0:c>
      <ns0:c r="B30" s="8"/>
      <ns0:c r="C30" s="8"/>
      <ns0:c r="D30" s="8"/>
      <ns0:c r="E30" s="8"/>
      <ns0:c r="F30" s="8"/>
      <ns0:c r="G30" s="8"/>
    </ns0:row>
    <ns0:row r="31" customFormat="false" ht="20" hidden="false" customHeight="true" outlineLevel="0" collapsed="false">
      <ns0:c r="A31" s="8"/>
      <ns0:c r="B31" s="8"/>
      <ns0:c r="C31" s="8"/>
      <ns0:c r="D31" s="8"/>
      <ns0:c r="E31" s="8"/>
      <ns0:c r="F31" s="8"/>
      <ns0:c r="G31" s="8"/>
    </ns0:row>
    <ns0:row r="32" customFormat="false" ht="20" hidden="false" customHeight="true" outlineLevel="0" collapsed="false">
      <ns0:c r="A32" s="1" t="s">
        <ns0:v>31</ns0:v>
      </ns0:c>
      <ns0:c r="B32" s="8"/>
      <ns0:c r="C32" s="8"/>
      <ns0:c r="D32" s="8"/>
      <ns0:c r="E32" s="8"/>
      <ns0:c r="F32" s="8"/>
      <ns0:c r="G32" s="8"/>
    </ns0:row>
    <ns0:row r="33" customFormat="false" ht="20" hidden="false" customHeight="true" outlineLevel="0" collapsed="false">
      <ns0:c r="A33" s="8"/>
      <ns0:c r="B33" s="8"/>
      <ns0:c r="C33" s="8"/>
      <ns0:c r="D33" s="8"/>
      <ns0:c r="E33" s="8"/>
      <ns0:c r="F33" s="8"/>
      <ns0:c r="G33" s="8"/>
    </ns0:row>
    <ns0:row r="34" customFormat="false" ht="20" hidden="false" customHeight="true" outlineLevel="0" collapsed="false">
      <ns0:c r="A34" s="8"/>
      <ns0:c r="B34" s="8"/>
      <ns0:c r="C34" s="8"/>
      <ns0:c r="D34" s="8"/>
      <ns0:c r="E34" s="8"/>
      <ns0:c r="F34" s="8"/>
      <ns0:c r="G34" s="8"/>
    </ns0:row>
  </ns0:sheetData>
  <ns0:dataValidations count="1">
    <ns0:dataValidation allowBlank="false" errorStyle="stop" operator="between" showDropDown="false" showErrorMessage="false" showInputMessage="false" sqref="D8:D16" type="decimal">
      <ns0:formula1>0</ns0:formula1>
      <ns0:formula2>1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D3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4"/>
    <ns0:col collapsed="false" customWidth="true" hidden="false" outlineLevel="0" max="2" min="2" style="0" width="60"/>
    <ns0:col collapsed="false" customWidth="true" hidden="false" outlineLevel="0" max="3" min="3" style="0" width="46"/>
    <ns0:col collapsed="false" customWidth="true" hidden="false" outlineLevel="0" max="4" min="4" style="0" width="18"/>
  </ns0:cols>
  <ns0:sheetData>
    <ns0:row r="1" customFormat="false" ht="8" hidden="false" customHeight="true" outlineLevel="0" collapsed="false">
      <ns0:c r="A1" s="1"/>
      <ns0:c r="B1" s="1"/>
      <ns0:c r="C1" s="1"/>
      <ns0:c r="D1" s="1"/>
    </ns0:row>
    <ns0:row r="2" customFormat="false" ht="20" hidden="false" customHeight="true" outlineLevel="0" collapsed="false">
      <ns0:c r="A2" s="2" t="s">
        <ns0:v>32</ns0:v>
      </ns0:c>
      <ns0:c r="B2" s="1"/>
      <ns0:c r="C2" s="1"/>
      <ns0:c r="D2" s="1"/>
    </ns0:row>
    <ns0:row r="3" customFormat="false" ht="20" hidden="false" customHeight="true" outlineLevel="0" collapsed="false">
      <ns0:c r="A3" s="3" t="s">
        <ns0:v>33</ns0:v>
      </ns0:c>
      <ns0:c r="B3" s="1"/>
      <ns0:c r="C3" s="1"/>
      <ns0:c r="D3" s="1"/>
    </ns0:row>
    <ns0:row r="4" customFormat="false" ht="12" hidden="false" customHeight="true" outlineLevel="0" collapsed="false">
      <ns0:c r="A4" s="1"/>
      <ns0:c r="B4" s="1"/>
      <ns0:c r="C4" s="1"/>
      <ns0:c r="D4" s="1"/>
    </ns0:row>
    <ns0:row r="5" customFormat="false" ht="12" hidden="false" customHeight="true" outlineLevel="0" collapsed="false">
      <ns0:c r="A5" s="1"/>
      <ns0:c r="B5" s="1"/>
      <ns0:c r="C5" s="1"/>
      <ns0:c r="D5" s="1"/>
    </ns0:row>
    <ns0:row r="6" customFormat="false" ht="12" hidden="false" customHeight="true" outlineLevel="0" collapsed="false">
      <ns0:c r="A6" s="1"/>
      <ns0:c r="B6" s="1"/>
      <ns0:c r="C6" s="1"/>
      <ns0:c r="D6" s="1"/>
    </ns0:row>
    <ns0:row r="7" customFormat="false" ht="38" hidden="false" customHeight="true" outlineLevel="0" collapsed="false">
      <ns0:c r="A7" s="6" t="s">
        <ns0:v>34</ns0:v>
      </ns0:c>
      <ns0:c r="B7" s="6" t="s">
        <ns0:v>35</ns0:v>
      </ns0:c>
      <ns0:c r="C7" s="6" t="s">
        <ns0:v>36</ns0:v>
      </ns0:c>
      <ns0:c r="D7" s="6" t="s">
        <ns0:v>37</ns0:v>
      </ns0:c>
    </ns0:row>
    <ns0:row r="8" customFormat="false" ht="61" hidden="false" customHeight="true" outlineLevel="0" collapsed="false">
      <ns0:c r="A8" s="8" t="n">
        <ns0:v>1</ns0:v>
      </ns0:c>
      <ns0:c r="B8" s="8" t="s">
        <ns0:v>38</ns0:v>
      </ns0:c>
      <ns0:c r="C8" s="8" t="s">
        <ns0:v>39</ns0:v>
      </ns0:c>
      <ns0:c r="D8" s="17" t="s">
        <ns0:v>40</ns0:v>
      </ns0:c>
    </ns0:row>
    <ns0:row r="9" customFormat="false" ht="61" hidden="false" customHeight="true" outlineLevel="0" collapsed="false">
      <ns0:c r="A9" s="8" t="n">
        <ns0:v>2</ns0:v>
      </ns0:c>
      <ns0:c r="B9" s="8" t="s">
        <ns0:v>41</ns0:v>
      </ns0:c>
      <ns0:c r="C9" s="8" t="s">
        <ns0:v>42</ns0:v>
      </ns0:c>
      <ns0:c r="D9" s="17" t="s">
        <ns0:v>40</ns0:v>
      </ns0:c>
    </ns0:row>
    <ns0:row r="10" customFormat="false" ht="61" hidden="false" customHeight="true" outlineLevel="0" collapsed="false">
      <ns0:c r="A10" s="8" t="n">
        <ns0:v>3</ns0:v>
      </ns0:c>
      <ns0:c r="B10" s="8" t="s">
        <ns0:v>43</ns0:v>
      </ns0:c>
      <ns0:c r="C10" s="8" t="s">
        <ns0:v>44</ns0:v>
      </ns0:c>
      <ns0:c r="D10" s="17" t="s">
        <ns0:v>40</ns0:v>
      </ns0:c>
    </ns0:row>
    <ns0:row r="11" customFormat="false" ht="61" hidden="false" customHeight="true" outlineLevel="0" collapsed="false">
      <ns0:c r="A11" s="8" t="n">
        <ns0:v>4</ns0:v>
      </ns0:c>
      <ns0:c r="B11" s="8" t="s">
        <ns0:v>45</ns0:v>
      </ns0:c>
      <ns0:c r="C11" s="8" t="s">
        <ns0:v>46</ns0:v>
      </ns0:c>
      <ns0:c r="D11" s="17" t="s">
        <ns0:v>40</ns0:v>
      </ns0:c>
    </ns0:row>
    <ns0:row r="12" customFormat="false" ht="61" hidden="false" customHeight="true" outlineLevel="0" collapsed="false">
      <ns0:c r="A12" s="8" t="n">
        <ns0:v>5</ns0:v>
      </ns0:c>
      <ns0:c r="B12" s="8" t="s">
        <ns0:v>47</ns0:v>
      </ns0:c>
      <ns0:c r="C12" s="8" t="s">
        <ns0:v>48</ns0:v>
      </ns0:c>
      <ns0:c r="D12" s="17" t="s">
        <ns0:v>49</ns0:v>
      </ns0:c>
    </ns0:row>
    <ns0:row r="13" customFormat="false" ht="61" hidden="false" customHeight="true" outlineLevel="0" collapsed="false">
      <ns0:c r="A13" s="8" t="n">
        <ns0:v>6</ns0:v>
      </ns0:c>
      <ns0:c r="B13" s="8" t="s">
        <ns0:v>50</ns0:v>
      </ns0:c>
      <ns0:c r="C13" s="8" t="s">
        <ns0:v>51</ns0:v>
      </ns0:c>
      <ns0:c r="D13" s="17" t="s">
        <ns0:v>40</ns0:v>
      </ns0:c>
    </ns0:row>
    <ns0:row r="14" customFormat="false" ht="61" hidden="false" customHeight="true" outlineLevel="0" collapsed="false">
      <ns0:c r="A14" s="8" t="n">
        <ns0:v>7</ns0:v>
      </ns0:c>
      <ns0:c r="B14" s="8" t="s">
        <ns0:v>52</ns0:v>
      </ns0:c>
      <ns0:c r="C14" s="8" t="s">
        <ns0:v>53</ns0:v>
      </ns0:c>
      <ns0:c r="D14" s="17" t="s">
        <ns0:v>40</ns0:v>
      </ns0:c>
    </ns0:row>
    <ns0:row r="15" customFormat="false" ht="61" hidden="false" customHeight="true" outlineLevel="0" collapsed="false">
      <ns0:c r="A15" s="8" t="n">
        <ns0:v>8</ns0:v>
      </ns0:c>
      <ns0:c r="B15" s="8" t="s">
        <ns0:v>54</ns0:v>
      </ns0:c>
      <ns0:c r="C15" s="8" t="s">
        <ns0:v>55</ns0:v>
      </ns0:c>
      <ns0:c r="D15" s="17" t="s">
        <ns0:v>49</ns0:v>
      </ns0:c>
    </ns0:row>
    <ns0:row r="16" customFormat="false" ht="61" hidden="false" customHeight="true" outlineLevel="0" collapsed="false">
      <ns0:c r="A16" s="8" t="n">
        <ns0:v>9</ns0:v>
      </ns0:c>
      <ns0:c r="B16" s="8" t="s">
        <ns0:v>56</ns0:v>
      </ns0:c>
      <ns0:c r="C16" s="8" t="s">
        <ns0:v>57</ns0:v>
      </ns0:c>
      <ns0:c r="D16" s="17" t="s">
        <ns0:v>58</ns0:v>
      </ns0:c>
    </ns0:row>
    <ns0:row r="17" customFormat="false" ht="20" hidden="false" customHeight="true" outlineLevel="0" collapsed="false">
      <ns0:c r="A17" s="8"/>
      <ns0:c r="B17" s="8"/>
      <ns0:c r="C17" s="8"/>
      <ns0:c r="D17" s="8"/>
    </ns0:row>
    <ns0:row r="18" customFormat="false" ht="20" hidden="false" customHeight="true" outlineLevel="0" collapsed="false">
      <ns0:c r="A18" s="8"/>
      <ns0:c r="B18" s="8"/>
      <ns0:c r="C18" s="8"/>
      <ns0:c r="D18" s="8"/>
    </ns0:row>
    <ns0:row r="19" customFormat="false" ht="20" hidden="false" customHeight="true" outlineLevel="0" collapsed="false">
      <ns0:c r="A19" s="1" t="s">
        <ns0:v>59</ns0:v>
      </ns0:c>
      <ns0:c r="B19" s="8"/>
      <ns0:c r="C19" s="8"/>
      <ns0:c r="D19" s="8"/>
    </ns0:row>
    <ns0:row r="20" customFormat="false" ht="20" hidden="false" customHeight="true" outlineLevel="0" collapsed="false">
      <ns0:c r="A20" s="1" t="s">
        <ns0:v>60</ns0:v>
      </ns0:c>
      <ns0:c r="B20" s="8"/>
      <ns0:c r="C20" s="8"/>
      <ns0:c r="D20" s="8"/>
    </ns0:row>
    <ns0:row r="21" customFormat="false" ht="20" hidden="false" customHeight="true" outlineLevel="0" collapsed="false">
      <ns0:c r="A21" s="8"/>
      <ns0:c r="B21" s="8"/>
      <ns0:c r="C21" s="8"/>
      <ns0:c r="D21" s="8"/>
    </ns0:row>
    <ns0:row r="22" customFormat="false" ht="20" hidden="false" customHeight="true" outlineLevel="0" collapsed="false">
      <ns0:c r="A22" s="1" t="s">
        <ns0:v>61</ns0:v>
      </ns0:c>
      <ns0:c r="B22" s="8"/>
      <ns0:c r="C22" s="8"/>
      <ns0:c r="D22" s="8"/>
    </ns0:row>
    <ns0:row r="23" customFormat="false" ht="20" hidden="false" customHeight="true" outlineLevel="0" collapsed="false">
      <ns0:c r="A23" s="1" t="s">
        <ns0:v>62</ns0:v>
      </ns0:c>
      <ns0:c r="B23" s="8"/>
      <ns0:c r="C23" s="8"/>
      <ns0:c r="D23" s="8"/>
    </ns0:row>
    <ns0:row r="24" customFormat="false" ht="20" hidden="false" customHeight="true" outlineLevel="0" collapsed="false">
      <ns0:c r="A24" s="8"/>
      <ns0:c r="B24" s="8"/>
      <ns0:c r="C24" s="8"/>
      <ns0:c r="D24" s="8"/>
    </ns0:row>
    <ns0:row r="25" customFormat="false" ht="20" hidden="false" customHeight="true" outlineLevel="0" collapsed="false">
      <ns0:c r="A25" s="1" t="s">
        <ns0:v>63</ns0:v>
      </ns0:c>
      <ns0:c r="B25" s="8"/>
      <ns0:c r="C25" s="8"/>
      <ns0:c r="D25" s="8"/>
    </ns0:row>
    <ns0:row r="26" customFormat="false" ht="20" hidden="false" customHeight="true" outlineLevel="0" collapsed="false">
      <ns0:c r="A26" s="1" t="s">
        <ns0:v>64</ns0:v>
      </ns0:c>
      <ns0:c r="B26" s="8"/>
      <ns0:c r="C26" s="8"/>
      <ns0:c r="D26" s="8"/>
    </ns0:row>
    <ns0:row r="27" customFormat="false" ht="20" hidden="false" customHeight="true" outlineLevel="0" collapsed="false">
      <ns0:c r="A27" s="8"/>
      <ns0:c r="B27" s="8"/>
      <ns0:c r="C27" s="8"/>
      <ns0:c r="D27" s="8"/>
    </ns0:row>
    <ns0:row r="28" customFormat="false" ht="20" hidden="false" customHeight="true" outlineLevel="0" collapsed="false">
      <ns0:c r="A28" s="1" t="s">
        <ns0:v>65</ns0:v>
      </ns0:c>
      <ns0:c r="B28" s="8"/>
      <ns0:c r="C28" s="8"/>
      <ns0:c r="D28" s="8"/>
    </ns0:row>
    <ns0:row r="29" customFormat="false" ht="20" hidden="false" customHeight="true" outlineLevel="0" collapsed="false">
      <ns0:c r="A29" s="8"/>
      <ns0:c r="B29" s="8"/>
      <ns0:c r="C29" s="8"/>
      <ns0:c r="D29" s="8"/>
    </ns0:row>
    <ns0:row r="30" customFormat="false" ht="20" hidden="false" customHeight="true" outlineLevel="0" collapsed="false">
      <ns0:c r="A30" s="8"/>
      <ns0:c r="B30" s="8"/>
      <ns0:c r="C30" s="8"/>
      <ns0:c r="D30" s="8"/>
    </ns0:row>
  </ns0:sheetData>
  <ns0:dataValidations count="1">
    <ns0:dataValidation allowBlank="false" errorStyle="stop" operator="between" showDropDown="false" showErrorMessage="false" showInputMessage="false" sqref="D8:D16" type="list">
      <ns0:formula1>"Belegt,Rückfrage,Laufend"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