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3fb87f96a47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ahlungen" sheetId="1" r:id="Rcc5f84090ccd46c6"/>
    <x:sheet xmlns:r="http://schemas.openxmlformats.org/officeDocument/2006/relationships" name="Zeitplan" sheetId="2" r:id="R519affb6c8eb45d8"/>
  </x:sheets>
  <x:definedNames>
    <x:definedName name="_xlnm.Print_Area" localSheetId="0">'Zahlungen'!$A$1:$G$35</x:definedName>
    <x:definedName name="_xlnm.Print_Area" localSheetId="1">'Zeitplan'!$A$1:$F$18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;&quot;-&quot;"/>
    <x:numFmt numFmtId="201" formatCode="0%"/>
    <x:numFmt numFmtId="202" formatCode="yyyy-mm-dd"/>
    <x:numFmt numFmtId="203" formatCode="0"/>
  </x:numFmts>
  <x:fonts count="8">
    <x:font>
      <x:sz val="11"/>
      <x:name val="Carlito"/>
    </x:font>
    <x:font>
      <x:sz val="11"/>
      <x:color rgb="FF16191C"/>
      <x:name val="Times New Roman"/>
    </x:font>
    <x:font>
      <x:b/>
      <x:sz val="16"/>
      <x:color rgb="FF16191C"/>
      <x:name val="Times New Roman"/>
    </x:font>
    <x:font>
      <x:sz val="11"/>
      <x:color rgb="FF164EA2"/>
      <x:name val="Times New Roman"/>
    </x:font>
    <x:font>
      <x:sz val="11"/>
      <x:color rgb="FF000000"/>
      <x:name val="Times New Roman"/>
    </x:font>
    <x:font>
      <x:b/>
      <x:sz val="11"/>
      <x:color rgb="FFFFFFFF"/>
      <x:name val="Times New Roman"/>
    </x:font>
    <x:font>
      <x:b/>
      <x:sz val="11"/>
      <x:color rgb="FF16191C"/>
      <x:name val="Times New Roman"/>
    </x:font>
    <x:font>
      <x:b/>
      <x:sz val="11"/>
      <x:color rgb="FF00000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384B50"/>
      </x:patternFill>
    </x:fill>
    <x:fill>
      <x:patternFill patternType="solid">
        <x:fgColor rgb="FFE6EEEB"/>
      </x:patternFill>
    </x:fill>
  </x:fills>
  <x:borders count="3">
    <x:border/>
    <x:border>
      <x:bottom style="thin">
        <x:color rgb="FF9EA7AA"/>
      </x:bottom>
    </x:border>
    <x:border>
      <x:top style="thin">
        <x:color rgb="FF748781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2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1" fontId="7" fillId="3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0" fontId="6" fillId="3" borderId="2" xfId="0" applyNumberFormat="1" applyFont="1" applyFill="1" applyBorder="1" applyAlignment="1">
      <x:alignment vertical="center"/>
    </x:xf>
    <x:xf numFmtId="201" fontId="7" fillId="3" borderId="2" xfId="0" applyNumberFormat="1" applyFont="1" applyFill="1" applyBorder="1" applyAlignment="1">
      <x:alignment vertical="center"/>
    </x:xf>
    <x:xf numFmtId="200" fontId="7" fillId="3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322e4f9e734565" /><Relationship Type="http://schemas.openxmlformats.org/officeDocument/2006/relationships/theme" Target="/xl/theme/theme1.xml" Id="R4aac92ee95404abc" /><Relationship Type="http://schemas.openxmlformats.org/officeDocument/2006/relationships/sharedStrings" Target="/xl/sharedStrings.xml" Id="R13708a694c32471f" /><Relationship Type="http://schemas.openxmlformats.org/officeDocument/2006/relationships/worksheet" Target="/xl/worksheets/sheet1.xml" Id="Rcc5f84090ccd46c6" /><Relationship Type="http://schemas.openxmlformats.org/officeDocument/2006/relationships/worksheet" Target="/xl/worksheets/sheet2.xml" Id="R519affb6c8eb45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26.110000610351562" hidden="0" customWidth="1"/>
    <x:col min="2" max="2" width="11.670000076293945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15" hidden="0" customWidth="1"/>
    <x:col min="7" max="7" width="40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</x:row>
    <x:row r="2" ht="31" customHeight="1">
      <x:c r="A2" s="3" t="str">
        <x:v>Linie 3 Meilensteinzahlungen</x:v>
      </x:c>
      <x:c r="B2" s="2"/>
      <x:c r="C2" s="2"/>
      <x:c r="D2" s="2"/>
      <x:c r="E2" s="2"/>
      <x:c r="F2" s="2"/>
      <x:c r="G2" s="2"/>
    </x:row>
    <x:row r="3" ht="24" customHeight="1">
      <x:c r="A3" s="4" t="str">
        <x:v>Miriam Seidel, Wertau | Stand 22.09.2026 | Hauptauftrag und Zahlungsfolge noch nicht vereinbart</x:v>
      </x:c>
      <x:c r="B3" s="4"/>
      <x:c r="C3" s="4"/>
      <x:c r="D3" s="4"/>
      <x:c r="E3" s="4"/>
      <x:c r="F3" s="4"/>
      <x:c r="G3" s="4"/>
    </x:row>
    <x:row r="4" ht="24" customHeight="1">
      <x:c r="A4" s="2"/>
      <x:c r="B4" s="2"/>
      <x:c r="C4" s="2"/>
      <x:c r="D4" s="2"/>
      <x:c r="E4" s="2"/>
      <x:c r="F4" s="2"/>
      <x:c r="G4" s="2"/>
    </x:row>
    <x:row r="5" ht="24" customHeight="1">
      <x:c r="A5" s="2" t="str">
        <x:v>Hauptpreis netto EUR</x:v>
      </x:c>
      <x:c r="B5" s="6" t="n">
        <x:v>675000</x:v>
      </x:c>
      <x:c r="C5" s="2"/>
      <x:c r="D5" s="2" t="str">
        <x:v>Quellen: HP-2618 Rev. 2 und LOI WA-26-08.</x:v>
      </x:c>
      <x:c r="E5" s="2"/>
      <x:c r="F5" s="2"/>
      <x:c r="G5" s="2"/>
    </x:row>
    <x:row r="6" ht="24" customHeight="1">
      <x:c r="A6" s="2" t="str">
        <x:v>Umsatzsteuer</x:v>
      </x:c>
      <x:c r="B6" s="7" t="n">
        <x:v>0.19</x:v>
      </x:c>
      <x:c r="C6" s="2"/>
      <x:c r="D6" s="2"/>
      <x:c r="E6" s="2"/>
      <x:c r="F6" s="2"/>
      <x:c r="G6" s="2"/>
    </x:row>
    <x:row r="7" ht="24" customHeight="1">
      <x:c r="A7" s="2" t="str">
        <x:v>Vorplanung bezahlt netto EUR</x:v>
      </x:c>
      <x:c r="B7" s="6" t="n">
        <x:v>9500</x:v>
      </x:c>
      <x:c r="C7" s="2"/>
      <x:c r="D7" s="2" t="str">
        <x:v>Vorplanung überwiesen am 12.08.2026.</x:v>
      </x:c>
      <x:c r="E7" s="2"/>
      <x:c r="F7" s="2"/>
      <x:c r="G7" s="2"/>
    </x:row>
    <x:row r="8" ht="24" customHeight="1">
      <x:c r="A8" s="2" t="str">
        <x:v>Vorplanung Steuer EUR</x:v>
      </x:c>
      <x:c r="B8" s="9" t="n">
        <x:f>ROUND(B7*B6,2)</x:f>
        <x:v>1805</x:v>
      </x:c>
      <x:c r="C8" s="2"/>
      <x:c r="D8" s="2"/>
      <x:c r="E8" s="2"/>
      <x:c r="F8" s="2"/>
      <x:c r="G8" s="2"/>
    </x:row>
    <x:row r="9" ht="24" customHeight="1">
      <x:c r="A9" s="2" t="str">
        <x:v>Vorplanung bezahlt brutto EUR</x:v>
      </x:c>
      <x:c r="B9" s="9" t="n">
        <x:f>B7+B8</x:f>
        <x:v>11305</x:v>
      </x:c>
      <x:c r="C9" s="2"/>
      <x:c r="D9" s="2" t="str">
        <x:v>Keine Rechnung und keine Zahlung zum Hauptauftrag.</x:v>
      </x:c>
      <x:c r="E9" s="2"/>
      <x:c r="F9" s="2"/>
      <x:c r="G9" s="2"/>
    </x:row>
    <x:row r="10" ht="24" customHeight="1">
      <x:c r="A10" s="2"/>
      <x:c r="B10" s="2"/>
      <x:c r="C10" s="2"/>
      <x:c r="D10" s="2"/>
      <x:c r="E10" s="2"/>
      <x:c r="F10" s="2"/>
      <x:c r="G10" s="2"/>
    </x:row>
    <x:row r="11" ht="24" customHeight="1">
      <x:c r="A11" s="2"/>
      <x:c r="B11" s="2"/>
      <x:c r="C11" s="2"/>
      <x:c r="D11" s="2"/>
      <x:c r="E11" s="2"/>
      <x:c r="F11" s="2"/>
      <x:c r="G11" s="2"/>
    </x:row>
    <x:row r="12" ht="34" customHeight="1">
      <x:c r="A12" s="13" t="str">
        <x:v>Stufe nach Helix-Entwurf</x:v>
      </x:c>
      <x:c r="B12" s="13" t="str">
        <x:v>Anteil</x:v>
      </x:c>
      <x:c r="C12" s="13" t="str">
        <x:v>Netto EUR</x:v>
      </x:c>
      <x:c r="D12" s="13" t="str">
        <x:v>Steuer EUR</x:v>
      </x:c>
      <x:c r="E12" s="13" t="str">
        <x:v>Brutto EUR</x:v>
      </x:c>
      <x:c r="F12" s="13" t="str">
        <x:v>Plantermin</x:v>
      </x:c>
      <x:c r="G12" s="13" t="str">
        <x:v>Auslöser im Entwurf</x:v>
      </x:c>
    </x:row>
    <x:row r="13" ht="24" customHeight="1">
      <x:c r="A13" s="2" t="str">
        <x:v>1 Vertrag</x:v>
      </x:c>
      <x:c r="B13" s="7" t="n">
        <x:v>0.2</x:v>
      </x:c>
      <x:c r="C13" s="9" t="n">
        <x:f>ROUND($B$5*B13,2)</x:f>
        <x:v>135000</x:v>
      </x:c>
      <x:c r="D13" s="9" t="n">
        <x:f>ROUND(C13*$B$6,2)</x:f>
        <x:v>25650</x:v>
      </x:c>
      <x:c r="E13" s="9" t="n">
        <x:f>C13+D13</x:f>
        <x:v>160650</x:v>
      </x:c>
      <x:c r="F13" s="14" t="n">
        <x:v>46295</x:v>
      </x:c>
      <x:c r="G13" s="2" t="str">
        <x:v>Unterzeichnung, noch ausstehend</x:v>
      </x:c>
    </x:row>
    <x:row r="14" ht="24" customHeight="1">
      <x:c r="A14" s="2" t="str">
        <x:v>2 Versandbereitschaft</x:v>
      </x:c>
      <x:c r="B14" s="7" t="n">
        <x:v>0.4</x:v>
      </x:c>
      <x:c r="C14" s="9" t="n">
        <x:f>ROUND($B$5*B14,2)</x:f>
        <x:v>270000</x:v>
      </x:c>
      <x:c r="D14" s="9" t="n">
        <x:f>ROUND(C14*$B$6,2)</x:f>
        <x:v>51300</x:v>
      </x:c>
      <x:c r="E14" s="9" t="n">
        <x:f>C14+D14</x:f>
        <x:v>321300</x:v>
      </x:c>
      <x:c r="F14" s="14" t="n">
        <x:v>46552</x:v>
      </x:c>
      <x:c r="G14" s="2" t="str">
        <x:v>Meldung nach Werkprüfung</x:v>
      </x:c>
    </x:row>
    <x:row r="15" ht="24" customHeight="1">
      <x:c r="A15" s="2" t="str">
        <x:v>3 Montage</x:v>
      </x:c>
      <x:c r="B15" s="7" t="n">
        <x:v>0.3</x:v>
      </x:c>
      <x:c r="C15" s="9" t="n">
        <x:f>ROUND($B$5*B15,2)</x:f>
        <x:v>202500</x:v>
      </x:c>
      <x:c r="D15" s="9" t="n">
        <x:f>ROUND(C15*$B$6,2)</x:f>
        <x:v>38475</x:v>
      </x:c>
      <x:c r="E15" s="9" t="n">
        <x:f>C15+D15</x:f>
        <x:v>240975</x:v>
      </x:c>
      <x:c r="F15" s="14" t="n">
        <x:v>46596</x:v>
      </x:c>
      <x:c r="G15" s="2" t="str">
        <x:v>Mechanisch und elektrisch fertig</x:v>
      </x:c>
    </x:row>
    <x:row r="16" ht="24" customHeight="1">
      <x:c r="A16" s="2" t="str">
        <x:v>4 Abnahme</x:v>
      </x:c>
      <x:c r="B16" s="7" t="n">
        <x:v>0.1</x:v>
      </x:c>
      <x:c r="C16" s="9" t="n">
        <x:f>ROUND($B$5*B16,2)</x:f>
        <x:v>67500</x:v>
      </x:c>
      <x:c r="D16" s="9" t="n">
        <x:f>ROUND(C16*$B$6,2)</x:f>
        <x:v>12825</x:v>
      </x:c>
      <x:c r="E16" s="9" t="n">
        <x:f>C16+D16</x:f>
        <x:v>80325</x:v>
      </x:c>
      <x:c r="F16" s="14" t="n">
        <x:v>46598</x:v>
      </x:c>
      <x:c r="G16" s="2" t="str">
        <x:v>Abnahme; Verfahren noch offen</x:v>
      </x:c>
    </x:row>
    <x:row r="17" ht="24" customHeight="1">
      <x:c r="A17" s="23" t="str">
        <x:v>Summe Hauptpreis</x:v>
      </x:c>
      <x:c r="B17" s="24" t="n">
        <x:f>SUM(B13:B16)</x:f>
        <x:v>1.0000000000000002</x:v>
      </x:c>
      <x:c r="C17" s="25" t="n">
        <x:f>SUM(C13:C16)</x:f>
        <x:v>675000</x:v>
      </x:c>
      <x:c r="D17" s="25" t="n">
        <x:f>SUM(D13:D16)</x:f>
        <x:v>128250</x:v>
      </x:c>
      <x:c r="E17" s="25" t="n">
        <x:f>SUM(E13:E16)</x:f>
        <x:v>803250</x:v>
      </x:c>
      <x:c r="F17" s="23"/>
      <x:c r="G17" s="23"/>
    </x:row>
    <x:row r="18" ht="24" customHeight="1">
      <x:c r="A18" s="2"/>
      <x:c r="B18" s="2"/>
      <x:c r="C18" s="2"/>
      <x:c r="D18" s="2"/>
      <x:c r="E18" s="2"/>
      <x:c r="F18" s="2"/>
      <x:c r="G18" s="2"/>
    </x:row>
    <x:row r="19" ht="24" customHeight="1">
      <x:c r="A19" s="2"/>
      <x:c r="B19" s="2"/>
      <x:c r="C19" s="2"/>
      <x:c r="D19" s="2"/>
      <x:c r="E19" s="2"/>
      <x:c r="F19" s="2"/>
      <x:c r="G19" s="2"/>
    </x:row>
    <x:row r="20" ht="24" customHeight="1">
      <x:c r="A20" s="2" t="str">
        <x:v>Unterschiedliche Behandlung der Vorplanung, keine Verrechnung freigegeben</x:v>
      </x:c>
      <x:c r="B20" s="2"/>
      <x:c r="C20" s="2"/>
      <x:c r="D20" s="2"/>
      <x:c r="E20" s="2"/>
      <x:c r="F20" s="2"/>
      <x:c r="G20" s="2"/>
    </x:row>
    <x:row r="21" ht="24" customHeight="1">
      <x:c r="A21" s="2"/>
      <x:c r="B21" s="2"/>
      <x:c r="C21" s="2"/>
      <x:c r="D21" s="2"/>
      <x:c r="E21" s="2"/>
      <x:c r="F21" s="2"/>
      <x:c r="G21" s="2"/>
    </x:row>
    <x:row r="22" ht="34" customHeight="1">
      <x:c r="A22" s="13" t="str">
        <x:v>Berechnungsstand</x:v>
      </x:c>
      <x:c r="B22" s="13" t="str">
        <x:v>Bezug</x:v>
      </x:c>
      <x:c r="C22" s="13" t="str">
        <x:v>Netto EUR</x:v>
      </x:c>
      <x:c r="D22" s="13" t="str">
        <x:v>Steuer EUR</x:v>
      </x:c>
      <x:c r="E22" s="13" t="str">
        <x:v>Brutto EUR</x:v>
      </x:c>
      <x:c r="F22" s="13" t="str">
        <x:v>Stand</x:v>
      </x:c>
      <x:c r="G22" s="13" t="str">
        <x:v>Position der Beteiligten</x:v>
      </x:c>
    </x:row>
    <x:row r="23" ht="24" customHeight="1">
      <x:c r="A23" s="2" t="str">
        <x:v>Wertau: erste Rate</x:v>
      </x:c>
      <x:c r="B23" s="2" t="str">
        <x:v>mit Abzug</x:v>
      </x:c>
      <x:c r="C23" s="9" t="n">
        <x:f>C13-$B$7</x:f>
        <x:v>125500</x:v>
      </x:c>
      <x:c r="D23" s="9" t="n">
        <x:f>ROUND(C23*$B$6,2)</x:f>
        <x:v>23845</x:v>
      </x:c>
      <x:c r="E23" s="9" t="n">
        <x:f>C23+D23</x:f>
        <x:v>149345</x:v>
      </x:c>
      <x:c r="F23" s="2" t="str">
        <x:v>nicht vereinbart</x:v>
      </x:c>
      <x:c r="G23" s="2" t="str">
        <x:v>E-Mail Seidel 18.09.2026</x:v>
      </x:c>
    </x:row>
    <x:row r="24" ht="24" customHeight="1">
      <x:c r="A24" s="2" t="str">
        <x:v>Wertau: Gesamtaufwand</x:v>
      </x:c>
      <x:c r="B24" s="2" t="str">
        <x:v>inkl. LOI</x:v>
      </x:c>
      <x:c r="C24" s="9" t="n">
        <x:f>$B$5</x:f>
        <x:v>675000</x:v>
      </x:c>
      <x:c r="D24" s="9" t="n">
        <x:f>ROUND(C24*$B$6,2)</x:f>
        <x:v>128250</x:v>
      </x:c>
      <x:c r="E24" s="9" t="n">
        <x:f>C24+D24</x:f>
        <x:v>803250</x:v>
      </x:c>
      <x:c r="F24" s="2" t="str">
        <x:v>nicht vereinbart</x:v>
      </x:c>
      <x:c r="G24" s="2" t="str">
        <x:v>Budget einschließlich Vorplanung</x:v>
      </x:c>
    </x:row>
    <x:row r="25" ht="24" customHeight="1">
      <x:c r="A25" s="2" t="str">
        <x:v>Helix: erste Rate</x:v>
      </x:c>
      <x:c r="B25" s="2" t="str">
        <x:v>ohne Abzug</x:v>
      </x:c>
      <x:c r="C25" s="9" t="n">
        <x:f>C13</x:f>
        <x:v>135000</x:v>
      </x:c>
      <x:c r="D25" s="9" t="n">
        <x:f>ROUND(C25*$B$6,2)</x:f>
        <x:v>25650</x:v>
      </x:c>
      <x:c r="E25" s="9" t="n">
        <x:f>C25+D25</x:f>
        <x:v>160650</x:v>
      </x:c>
      <x:c r="F25" s="2" t="str">
        <x:v>nicht vereinbart</x:v>
      </x:c>
      <x:c r="G25" s="2" t="str">
        <x:v>E-Mail Rehm 18.09.2026</x:v>
      </x:c>
    </x:row>
    <x:row r="26" ht="24" customHeight="1">
      <x:c r="A26" s="2" t="str">
        <x:v>Helix: Gesamtaufwand</x:v>
      </x:c>
      <x:c r="B26" s="2" t="str">
        <x:v>inkl. LOI</x:v>
      </x:c>
      <x:c r="C26" s="9" t="n">
        <x:f>$B$5+$B$7</x:f>
        <x:v>684500</x:v>
      </x:c>
      <x:c r="D26" s="9" t="n">
        <x:f>ROUND(C26*$B$6,2)</x:f>
        <x:v>130055</x:v>
      </x:c>
      <x:c r="E26" s="9" t="n">
        <x:f>C26+D26</x:f>
        <x:v>814555</x:v>
      </x:c>
      <x:c r="F26" s="2" t="str">
        <x:v>nicht vereinbart</x:v>
      </x:c>
      <x:c r="G26" s="2" t="str">
        <x:v>Vorplanung zusätzlich zum Hauptpreis</x:v>
      </x:c>
    </x:row>
    <x:row r="27" ht="24" customHeight="1">
      <x:c r="A27" s="2"/>
      <x:c r="B27" s="2"/>
      <x:c r="C27" s="2"/>
      <x:c r="D27" s="2"/>
      <x:c r="E27" s="2"/>
      <x:c r="F27" s="2"/>
      <x:c r="G27" s="2"/>
    </x:row>
    <x:row r="28" ht="24" customHeight="1">
      <x:c r="A28" s="2"/>
      <x:c r="B28" s="2"/>
      <x:c r="C28" s="2"/>
      <x:c r="D28" s="2"/>
      <x:c r="E28" s="2"/>
      <x:c r="F28" s="2"/>
      <x:c r="G28" s="2"/>
    </x:row>
    <x:row r="29" ht="24" customHeight="1">
      <x:c r="A29" s="2" t="str">
        <x:v>Option N01 netto EUR</x:v>
      </x:c>
      <x:c r="B29" s="2"/>
      <x:c r="C29" s="6" t="n">
        <x:v>24000</x:v>
      </x:c>
      <x:c r="D29" s="9" t="n">
        <x:f>ROUND(C29*$B$6,2)</x:f>
        <x:v>4560</x:v>
      </x:c>
      <x:c r="E29" s="9" t="n">
        <x:f>C29+D29</x:f>
        <x:v>28560</x:v>
      </x:c>
      <x:c r="F29" s="2"/>
      <x:c r="G29" s="2" t="str">
        <x:v>Nicht bestellt; außerhalb der Zahlungsstufen</x:v>
      </x:c>
    </x:row>
    <x:row r="30" ht="24" customHeight="1">
      <x:c r="A30" s="2"/>
      <x:c r="B30" s="2"/>
      <x:c r="C30" s="2"/>
      <x:c r="D30" s="2"/>
      <x:c r="E30" s="2"/>
      <x:c r="F30" s="2"/>
      <x:c r="G30" s="2"/>
    </x:row>
    <x:row r="31" ht="24" customHeight="1">
      <x:c r="A31" s="2"/>
      <x:c r="B31" s="2"/>
      <x:c r="C31" s="2"/>
      <x:c r="D31" s="2"/>
      <x:c r="E31" s="2"/>
      <x:c r="F31" s="2"/>
      <x:c r="G31" s="2"/>
    </x:row>
    <x:row r="32" ht="24" customHeight="1">
      <x:c r="A32" s="2" t="str">
        <x:v>Wertau schlägt die 30-Prozent-Stufe erst nach erfolgreichem Leistungslauf vor.</x:v>
      </x:c>
      <x:c r="B32" s="2"/>
      <x:c r="C32" s="2"/>
      <x:c r="D32" s="2"/>
      <x:c r="E32" s="2"/>
      <x:c r="F32" s="2"/>
      <x:c r="G32" s="2"/>
    </x:row>
    <x:row r="33" ht="24" customHeight="1">
      <x:c r="A33" s="2" t="str">
        <x:v>Die Plantermine begründen keine Fälligkeit. Helix schlägt 14 Kalendertage ab Rechnung vor.</x:v>
      </x:c>
      <x:c r="B33" s="2"/>
      <x:c r="C33" s="2"/>
      <x:c r="D33" s="2"/>
      <x:c r="E33" s="2"/>
      <x:c r="F33" s="2"/>
      <x:c r="G33" s="2"/>
    </x:row>
    <x:row r="34" ht="24" customHeight="1">
      <x:c r="A34" s="2" t="str">
        <x:v>Der Nachtrag N01 wird nicht in Hauptpreis oder bereits bezahlte Vorplanung eingerechnet.</x:v>
      </x:c>
      <x:c r="B34" s="2"/>
      <x:c r="C34" s="2"/>
      <x:c r="D34" s="2"/>
      <x:c r="E34" s="2"/>
      <x:c r="F34" s="2"/>
      <x:c r="G34" s="2"/>
    </x:row>
    <x:row r="35" ht="24" customHeight="1">
      <x:c r="A35" s="2"/>
      <x:c r="B35" s="2"/>
      <x:c r="C35" s="2"/>
      <x:c r="D35" s="2"/>
      <x:c r="E35" s="2"/>
      <x:c r="F35" s="2"/>
      <x:c r="G35" s="2"/>
    </x:row>
  </x:sheetData>
  <x:pageMargins left="0.25" right="0.25" top="0.35" bottom="0.35" header="0.15" footer="0.15"/>
  <x:pageSetup paperSize="8" orientation="landscape" fitToWidth="1" fitToHeight="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.670000076293945" hidden="0" customWidth="1"/>
    <x:col min="2" max="2" width="15.5600004196167" hidden="0" customWidth="1"/>
    <x:col min="3" max="3" width="15.5600004196167" hidden="0" customWidth="1"/>
    <x:col min="4" max="4" width="13.329999923706055" hidden="0" customWidth="1"/>
    <x:col min="5" max="5" width="21.110000610351562" hidden="0" customWidth="1"/>
    <x:col min="6" max="6" width="54.439998626708984" hidden="0" customWidth="1"/>
  </x:cols>
  <x:sheetData>
    <x:row r="1" ht="8" customHeight="1">
      <x:c r="A1" s="2"/>
      <x:c r="B1" s="2"/>
      <x:c r="C1" s="2"/>
      <x:c r="D1" s="2"/>
      <x:c r="E1" s="2"/>
      <x:c r="F1" s="2"/>
    </x:row>
    <x:row r="2" ht="31" customHeight="1">
      <x:c r="A2" s="3" t="str">
        <x:v>Linie 3 Zeitplan</x:v>
      </x:c>
      <x:c r="B2" s="2"/>
      <x:c r="C2" s="2"/>
      <x:c r="D2" s="2"/>
      <x:c r="E2" s="2"/>
      <x:c r="F2" s="2"/>
    </x:row>
    <x:row r="3" ht="24" customHeight="1">
      <x:c r="A3" s="4" t="str">
        <x:v>Paula König / Timo Brandt | Planungsstand 22.09.2026 | Ausführung 2027</x:v>
      </x:c>
      <x:c r="B3" s="4"/>
      <x:c r="C3" s="4"/>
      <x:c r="D3" s="4"/>
      <x:c r="E3" s="4"/>
      <x:c r="F3" s="4"/>
    </x:row>
    <x:row r="4" ht="24" customHeight="1">
      <x:c r="A4" s="2"/>
      <x:c r="B4" s="2"/>
      <x:c r="C4" s="2"/>
      <x:c r="D4" s="2"/>
      <x:c r="E4" s="2"/>
      <x:c r="F4" s="2"/>
    </x:row>
    <x:row r="5" ht="34" customHeight="1">
      <x:c r="A5" s="13" t="str">
        <x:v>Vorgang</x:v>
      </x:c>
      <x:c r="B5" s="13" t="str">
        <x:v>Bisher geplant</x:v>
      </x:c>
      <x:c r="C5" s="13" t="str">
        <x:v>Neu besprochen</x:v>
      </x:c>
      <x:c r="D5" s="13" t="str">
        <x:v>Delta Tage</x:v>
      </x:c>
      <x:c r="E5" s="13" t="str">
        <x:v>Verantwortlich</x:v>
      </x:c>
      <x:c r="F5" s="13" t="str">
        <x:v>Voraussetzung oder Stand</x:v>
      </x:c>
    </x:row>
    <x:row r="6" ht="39" customHeight="1">
      <x:c r="A6" s="2" t="str">
        <x:v>Anschlussdaten</x:v>
      </x:c>
      <x:c r="B6" s="14" t="n">
        <x:v>46283</x:v>
      </x:c>
      <x:c r="C6" s="14"/>
      <x:c r="D6" s="27" t="str">
        <x:f>IF(C6="","",C6-B6)</x:f>
        <x:v/>
      </x:c>
      <x:c r="E6" s="2" t="str">
        <x:v>Wertau</x:v>
      </x:c>
      <x:c r="F6" s="26" t="str">
        <x:v>Nicht abschließend bestätigt</x:v>
      </x:c>
    </x:row>
    <x:row r="7" ht="39" customHeight="1">
      <x:c r="A7" s="2" t="str">
        <x:v>Vertrag</x:v>
      </x:c>
      <x:c r="B7" s="14" t="n">
        <x:v>46295</x:v>
      </x:c>
      <x:c r="C7" s="14" t="n">
        <x:v>46295</x:v>
      </x:c>
      <x:c r="D7" s="27" t="n">
        <x:f>IF(C7="","",C7-B7)</x:f>
        <x:v>0</x:v>
      </x:c>
      <x:c r="E7" s="2" t="str">
        <x:v>Beide Parteien</x:v>
      </x:c>
      <x:c r="F7" s="26" t="str">
        <x:v>Planannahme, noch keine Unterzeichnung</x:v>
      </x:c>
    </x:row>
    <x:row r="8" ht="39" customHeight="1">
      <x:c r="A8" s="2" t="str">
        <x:v>E1 energisiert</x:v>
      </x:c>
      <x:c r="B8" s="14" t="n">
        <x:v>46549</x:v>
      </x:c>
      <x:c r="C8" s="14" t="n">
        <x:v>46577</x:v>
      </x:c>
      <x:c r="D8" s="27" t="n">
        <x:f>IF(C8="","",C8-B8)</x:f>
        <x:v>28</x:v>
      </x:c>
      <x:c r="E8" s="2" t="str">
        <x:v>Wertau</x:v>
      </x:c>
      <x:c r="F8" s="26" t="str">
        <x:v>Frühester Termin, Prüfprotokoll fehlt</x:v>
      </x:c>
    </x:row>
    <x:row r="9" ht="39" customHeight="1">
      <x:c r="A9" s="2" t="str">
        <x:v>Werkprüfung</x:v>
      </x:c>
      <x:c r="B9" s="14" t="n">
        <x:v>46552</x:v>
      </x:c>
      <x:c r="C9" s="14" t="n">
        <x:v>46552</x:v>
      </x:c>
      <x:c r="D9" s="27" t="n">
        <x:f>IF(C9="","",C9-B9)</x:f>
        <x:v>0</x:v>
      </x:c>
      <x:c r="E9" s="2" t="str">
        <x:v>Helix</x:v>
      </x:c>
      <x:c r="F9" s="26" t="str">
        <x:v>Mit Simulator, nicht mit Bestandslinie</x:v>
      </x:c>
    </x:row>
    <x:row r="10" ht="39" customHeight="1">
      <x:c r="A10" s="2" t="str">
        <x:v>Anlieferung</x:v>
      </x:c>
      <x:c r="B10" s="14" t="n">
        <x:v>46580</x:v>
      </x:c>
      <x:c r="C10" s="14" t="n">
        <x:v>46580</x:v>
      </x:c>
      <x:c r="D10" s="27" t="n">
        <x:f>IF(C10="","",C10-B10)</x:f>
        <x:v>0</x:v>
      </x:c>
      <x:c r="E10" s="2" t="str">
        <x:v>Helix / Wertau</x:v>
      </x:c>
      <x:c r="F10" s="26" t="str">
        <x:v>Nordfläche erst ab 19.07. zugesagt</x:v>
      </x:c>
    </x:row>
    <x:row r="11" ht="39" customHeight="1">
      <x:c r="A11" s="2" t="str">
        <x:v>Montagebeginn</x:v>
      </x:c>
      <x:c r="B11" s="14" t="n">
        <x:v>46587</x:v>
      </x:c>
      <x:c r="C11" s="14" t="n">
        <x:v>46587</x:v>
      </x:c>
      <x:c r="D11" s="27" t="n">
        <x:f>IF(C11="","",C11-B11)</x:f>
        <x:v>0</x:v>
      </x:c>
      <x:c r="E11" s="2" t="str">
        <x:v>Helix</x:v>
      </x:c>
      <x:c r="F11" s="26" t="str">
        <x:v>Strom und Baufreiheit erforderlich</x:v>
      </x:c>
    </x:row>
    <x:row r="12" ht="39" customHeight="1">
      <x:c r="A12" s="2" t="str">
        <x:v>Leistungslauf / Reserve</x:v>
      </x:c>
      <x:c r="B12" s="14" t="n">
        <x:v>46597</x:v>
      </x:c>
      <x:c r="C12" s="14" t="n">
        <x:v>46598</x:v>
      </x:c>
      <x:c r="D12" s="27" t="n">
        <x:f>IF(C12="","",C12-B12)</x:f>
        <x:v>1</x:v>
      </x:c>
      <x:c r="E12" s="2" t="str">
        <x:v>Beide Parteien</x:v>
      </x:c>
      <x:c r="F12" s="26" t="str">
        <x:v>Zwei Läufe von Wertau verlangt; nicht terminiert</x:v>
      </x:c>
    </x:row>
    <x:row r="13" ht="39" customHeight="1">
      <x:c r="A13" s="2" t="str">
        <x:v>Produktionsstart</x:v>
      </x:c>
      <x:c r="B13" s="14" t="n">
        <x:v>46601</x:v>
      </x:c>
      <x:c r="C13" s="14" t="n">
        <x:v>46601</x:v>
      </x:c>
      <x:c r="D13" s="27" t="n">
        <x:f>IF(C13="","",C13-B13)</x:f>
        <x:v>0</x:v>
      </x:c>
      <x:c r="E13" s="2" t="str">
        <x:v>Wertau</x:v>
      </x:c>
      <x:c r="F13" s="26" t="str">
        <x:v>Gewünschter Start; keine Terminbestätigung</x:v>
      </x:c>
    </x:row>
    <x:row r="14" ht="24" customHeight="1">
      <x:c r="A14" s="2"/>
      <x:c r="B14" s="2"/>
      <x:c r="C14" s="2"/>
      <x:c r="D14" s="2"/>
      <x:c r="E14" s="2"/>
      <x:c r="F14" s="2"/>
    </x:row>
    <x:row r="15" ht="24" customHeight="1">
      <x:c r="A15" s="2"/>
      <x:c r="B15" s="2"/>
      <x:c r="C15" s="2"/>
      <x:c r="D15" s="2"/>
      <x:c r="E15" s="2"/>
      <x:c r="F15" s="2"/>
    </x:row>
    <x:row r="16" ht="24" customHeight="1">
      <x:c r="A16" s="2" t="str">
        <x:v>Quelle: TP-2618 Rev. 1, E-Mails 10.09. und 14.09., Chat vom 16.09.2026.</x:v>
      </x:c>
      <x:c r="B16" s="2"/>
      <x:c r="C16" s="2"/>
      <x:c r="D16" s="2"/>
      <x:c r="E16" s="2"/>
      <x:c r="F16" s="2"/>
    </x:row>
    <x:row r="17" ht="24" customHeight="1">
      <x:c r="A17" s="2" t="str">
        <x:v>Optivis: 26. bis 28.07. reserviert; nächster genannter Termin ab 16.08.2027.</x:v>
      </x:c>
      <x:c r="B17" s="2"/>
      <x:c r="C17" s="2"/>
      <x:c r="D17" s="2"/>
      <x:c r="E17" s="2"/>
      <x:c r="F17" s="2"/>
    </x:row>
    <x:row r="18" ht="24" customHeight="1">
      <x:c r="A18" s="2"/>
      <x:c r="B18" s="2"/>
      <x:c r="C18" s="2"/>
      <x:c r="D18" s="2"/>
      <x:c r="E18" s="2"/>
      <x:c r="F18" s="2"/>
    </x:row>
  </x:sheetData>
  <x:pageMargins left="0.25" right="0.25" top="0.35" bottom="0.35" header="0.15" footer="0.15"/>
  <x:pageSetup paperSize="8" orientation="landscape" fitToWidth="1" fitToHeight="1"/>
</x:worksheet>
</file>