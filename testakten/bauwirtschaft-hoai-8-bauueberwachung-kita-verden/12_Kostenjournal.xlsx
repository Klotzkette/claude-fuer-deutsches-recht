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Kostenjournal" sheetId="1" state="visible" ns1:id="rId3"/>
  </ns0:sheets>
  <ns0:definedNames>
    <ns0:definedName name="_xlnm.Print_Area" localSheetId="0">'Kostenjournal'!A1:G27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<sst xmlns="http://schemas.openxmlformats.org/spreadsheetml/2006/main" count="24" uniqueCount="24">
  <si>
    <t xml:space="preserve">Kita Mühlenwiese, Kostenjournal</t>
  </si>
  <si>
    <t xml:space="preserve">Fenja Rost | 17.08.2026 | Vertrags- und Rechnungseingangsstand</t>
  </si>
  <si>
    <t xml:space="preserve">Verträge mit Änderungen netto EUR</t>
  </si>
  <si>
    <t xml:space="preserve">Rechnungseingang netto EUR</t>
  </si>
  <si>
    <t xml:space="preserve">Rechnungseingang brutto EUR</t>
  </si>
  <si>
    <t xml:space="preserve">Gewerk / Bezug</t>
  </si>
  <si>
    <t xml:space="preserve">Vertrag netto</t>
  </si>
  <si>
    <t xml:space="preserve">Änderung netto</t>
  </si>
  <si>
    <t xml:space="preserve">Summe netto</t>
  </si>
  <si>
    <t xml:space="preserve">Rechnung netto</t>
  </si>
  <si>
    <t xml:space="preserve">Steuer</t>
  </si>
  <si>
    <t xml:space="preserve">Rechnung brutto</t>
  </si>
  <si>
    <t xml:space="preserve">Rohbau, SR-H2607</t>
  </si>
  <si>
    <t xml:space="preserve">Dach, AD-26081</t>
  </si>
  <si>
    <t xml:space="preserve">Fenster/Türen, LK-2608</t>
  </si>
  <si>
    <t xml:space="preserve">Elektro, EW-2608</t>
  </si>
  <si>
    <t xml:space="preserve">Planung, RA-2606</t>
  </si>
  <si>
    <t xml:space="preserve">Gebühren, G-26-041</t>
  </si>
  <si>
    <t xml:space="preserve">Quelle: Kassenordner VM-26, Rechnungseingänge bis 17.08.2026.</t>
  </si>
  <si>
    <t xml:space="preserve">Eingangsrechnungen sind erfasst, nicht durch diese Tabelle technisch geprüft.</t>
  </si>
  <si>
    <t xml:space="preserve">Dach: Vertrag 10.04. und N1 11.07.; Rechnung AD-26081. N2 steht nur in der Rechnung.</t>
  </si>
  <si>
    <t xml:space="preserve">Andere Schlussbelege verwahrt die Kasse; in dieser Dachakte nicht als Original enthalten.</t>
  </si>
  <si>
    <t xml:space="preserve">Gebühren ohne Umsatzsteuer. Zahlungen stehen im gesonderten Journal, nicht in Spalte E.</t>
  </si>
  <si>
    <t xml:space="preserve">Erfasst: Fenja Rost. Planung: Abschlagsstand, noch keine Schlussrechnung.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</si>
</sst>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7]#,##0.00"/>
    <numFmt numFmtId="166" formatCode="0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629"/>
      <name val="Arial"/>
      <family val="0"/>
      <charset val="1"/>
    </font>
    <font>
      <b val="true"/>
      <sz val="15"/>
      <color rgb="FF20262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54C58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54C58"/>
      <rgbColor rgb="FF2026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28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6.11"/>
    <ns0:col collapsed="false" customWidth="true" hidden="false" outlineLevel="0" max="2" min="2" style="0" width="14.44"/>
    <ns0:col collapsed="false" customWidth="true" hidden="false" outlineLevel="0" max="3" min="3" style="0" width="13.89"/>
    <ns0:col collapsed="false" customWidth="true" hidden="false" outlineLevel="0" max="5" min="4" style="0" width="14.44"/>
    <ns0:col collapsed="false" customWidth="true" hidden="false" outlineLevel="0" max="6" min="6" style="0" width="9.44"/>
    <ns0:col collapsed="false" customWidth="true" hidden="false" outlineLevel="0" max="7" min="7" style="0" width="16.11"/>
  </ns0:cols>
  <ns0:sheetData>
    <ns0:row r="1" customFormat="false" ht="18" hidden="false" customHeight="tru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18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</ns0:row>
    <ns0:row r="3" customFormat="false" ht="18" hidden="false" customHeight="true" outlineLevel="0" collapsed="false">
      <ns0:c r="A3" s="1" t="s">
        <ns0:v>1</ns0:v>
      </ns0:c>
      <ns0:c r="B3" s="1"/>
      <ns0:c r="C3" s="1"/>
      <ns0:c r="D3" s="1"/>
      <ns0:c r="E3" s="1"/>
      <ns0:c r="F3" s="1"/>
      <ns0:c r="G3" s="1"/>
    </ns0:row>
    <ns0:row r="4" customFormat="false" ht="18" hidden="false" customHeight="tru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18" hidden="false" customHeight="true" outlineLevel="0" collapsed="false">
      <ns0:c r="A5" s="1" t="s">
        <ns0:v>2</ns0:v>
      </ns0:c>
      <ns0:c r="B5" s="1"/>
      <ns0:c r="C5" s="1"/>
      <ns0:c r="D5" s="3" t="n">
        <ns0:f aca="false">SUM(D11:D16)</ns0:f>
        <ns0:v>394586</ns0:v>
      </ns0:c>
      <ns0:c r="E5" s="1"/>
      <ns0:c r="F5" s="1"/>
      <ns0:c r="G5" s="1"/>
    </ns0:row>
    <ns0:row r="6" customFormat="false" ht="18" hidden="false" customHeight="true" outlineLevel="0" collapsed="false">
      <ns0:c r="A6" s="1" t="s">
        <ns0:v>3</ns0:v>
      </ns0:c>
      <ns0:c r="B6" s="1"/>
      <ns0:c r="C6" s="1"/>
      <ns0:c r="D6" s="1"/>
      <ns0:c r="E6" s="3" t="n">
        <ns0:f aca="false">SUM(E11:E16)</ns0:f>
        <ns0:v>377840</ns0:v>
      </ns0:c>
      <ns0:c r="F6" s="1"/>
      <ns0:c r="G6" s="1"/>
    </ns0:row>
    <ns0:row r="7" customFormat="false" ht="18" hidden="false" customHeight="true" outlineLevel="0" collapsed="false">
      <ns0:c r="A7" s="1" t="s">
        <ns0:v>4</ns0:v>
      </ns0:c>
      <ns0:c r="B7" s="1"/>
      <ns0:c r="C7" s="1"/>
      <ns0:c r="D7" s="1"/>
      <ns0:c r="E7" s="1"/>
      <ns0:c r="F7" s="1"/>
      <ns0:c r="G7" s="3" t="n">
        <ns0:f aca="false">SUM(G11:G16)</ns0:f>
        <ns0:v>448964.6</ns0:v>
      </ns0:c>
    </ns0:row>
    <ns0:row r="8" customFormat="false" ht="18" hidden="false" customHeight="true" outlineLevel="0" collapsed="false">
      <ns0:c r="A8" s="1"/>
      <ns0:c r="B8" s="1"/>
      <ns0:c r="C8" s="1"/>
      <ns0:c r="D8" s="1"/>
      <ns0:c r="E8" s="1"/>
      <ns0:c r="F8" s="1"/>
      <ns0:c r="G8" s="1"/>
    </ns0:row>
    <ns0:row r="9" customFormat="false" ht="18" hidden="false" customHeight="true" outlineLevel="0" collapsed="false">
      <ns0:c r="A9" s="1"/>
      <ns0:c r="B9" s="1"/>
      <ns0:c r="C9" s="1"/>
      <ns0:c r="D9" s="1"/>
      <ns0:c r="E9" s="1"/>
      <ns0:c r="F9" s="1"/>
      <ns0:c r="G9" s="1"/>
    </ns0:row>
    <ns0:row r="10" customFormat="false" ht="29" hidden="false" customHeight="true" outlineLevel="0" collapsed="false">
      <ns0:c r="A10" s="4" t="s">
        <ns0:v>5</ns0:v>
      </ns0:c>
      <ns0:c r="B10" s="4" t="s">
        <ns0:v>6</ns0:v>
      </ns0:c>
      <ns0:c r="C10" s="4" t="s">
        <ns0:v>7</ns0:v>
      </ns0:c>
      <ns0:c r="D10" s="4" t="s">
        <ns0:v>8</ns0:v>
      </ns0:c>
      <ns0:c r="E10" s="4" t="s">
        <ns0:v>9</ns0:v>
      </ns0:c>
      <ns0:c r="F10" s="4" t="s">
        <ns0:v>10</ns0:v>
      </ns0:c>
      <ns0:c r="G10" s="4" t="s">
        <ns0:v>11</ns0:v>
      </ns0:c>
    </ns0:row>
    <ns0:row r="11" customFormat="false" ht="18" hidden="false" customHeight="true" outlineLevel="0" collapsed="false">
      <ns0:c r="A11" s="1" t="s">
        <ns0:v>12</ns0:v>
      </ns0:c>
      <ns0:c r="B11" s="3" t="n">
        <ns0:v>168000</ns0:v>
      </ns0:c>
      <ns0:c r="C11" s="3" t="n">
        <ns0:v>0</ns0:v>
      </ns0:c>
      <ns0:c r="D11" s="3" t="n">
        <ns0:f aca="false">SUM(B11:C11)</ns0:f>
        <ns0:v>168000</ns0:v>
      </ns0:c>
      <ns0:c r="E11" s="3" t="n">
        <ns0:v>168000</ns0:v>
      </ns0:c>
      <ns0:c r="F11" s="5" t="n">
        <ns0:v>0.19</ns0:v>
      </ns0:c>
      <ns0:c r="G11" s="3" t="n">
        <ns0:f aca="false">ROUND(E11*(1+F11),2)</ns0:f>
        <ns0:v>199920</ns0:v>
      </ns0:c>
    </ns0:row>
    <ns0:row r="12" customFormat="false" ht="18" hidden="false" customHeight="true" outlineLevel="0" collapsed="false">
      <ns0:c r="A12" s="1" t="s">
        <ns0:v>13</ns0:v>
      </ns0:c>
      <ns0:c r="B12" s="3" t="n">
        <ns0:v>36986</ns0:v>
      </ns0:c>
      <ns0:c r="C12" s="3" t="n">
        <ns0:v>900</ns0:v>
      </ns0:c>
      <ns0:c r="D12" s="3" t="n">
        <ns0:f aca="false">SUM(B12:C12)</ns0:f>
        <ns0:v>37886</ns0:v>
      </ns0:c>
      <ns0:c r="E12" s="3" t="n">
        <ns0:v>39640</ns0:v>
      </ns0:c>
      <ns0:c r="F12" s="5" t="n">
        <ns0:v>0.19</ns0:v>
      </ns0:c>
      <ns0:c r="G12" s="3" t="n">
        <ns0:f aca="false">ROUND(E12*(1+F12),2)</ns0:f>
        <ns0:v>47171.6</ns0:v>
      </ns0:c>
    </ns0:row>
    <ns0:row r="13" customFormat="false" ht="18" hidden="false" customHeight="true" outlineLevel="0" collapsed="false">
      <ns0:c r="A13" s="1" t="s">
        <ns0:v>14</ns0:v>
      </ns0:c>
      <ns0:c r="B13" s="3" t="n">
        <ns0:v>44000</ns0:v>
      </ns0:c>
      <ns0:c r="C13" s="3" t="n">
        <ns0:v>1200</ns0:v>
      </ns0:c>
      <ns0:c r="D13" s="3" t="n">
        <ns0:f aca="false">SUM(B13:C13)</ns0:f>
        <ns0:v>45200</ns0:v>
      </ns0:c>
      <ns0:c r="E13" s="3" t="n">
        <ns0:v>45200</ns0:v>
      </ns0:c>
      <ns0:c r="F13" s="5" t="n">
        <ns0:v>0.19</ns0:v>
      </ns0:c>
      <ns0:c r="G13" s="3" t="n">
        <ns0:f aca="false">ROUND(E13*(1+F13),2)</ns0:f>
        <ns0:v>53788</ns0:v>
      </ns0:c>
    </ns0:row>
    <ns0:row r="14" customFormat="false" ht="18" hidden="false" customHeight="true" outlineLevel="0" collapsed="false">
      <ns0:c r="A14" s="1" t="s">
        <ns0:v>15</ns0:v>
      </ns0:c>
      <ns0:c r="B14" s="3" t="n">
        <ns0:v>62000</ns0:v>
      </ns0:c>
      <ns0:c r="C14" s="3" t="n">
        <ns0:v>0</ns0:v>
      </ns0:c>
      <ns0:c r="D14" s="3" t="n">
        <ns0:f aca="false">SUM(B14:C14)</ns0:f>
        <ns0:v>62000</ns0:v>
      </ns0:c>
      <ns0:c r="E14" s="3" t="n">
        <ns0:v>61500</ns0:v>
      </ns0:c>
      <ns0:c r="F14" s="5" t="n">
        <ns0:v>0.19</ns0:v>
      </ns0:c>
      <ns0:c r="G14" s="3" t="n">
        <ns0:f aca="false">ROUND(E14*(1+F14),2)</ns0:f>
        <ns0:v>73185</ns0:v>
      </ns0:c>
    </ns0:row>
    <ns0:row r="15" customFormat="false" ht="18" hidden="false" customHeight="true" outlineLevel="0" collapsed="false">
      <ns0:c r="A15" s="1" t="s">
        <ns0:v>16</ns0:v>
      </ns0:c>
      <ns0:c r="B15" s="3" t="n">
        <ns0:v>78000</ns0:v>
      </ns0:c>
      <ns0:c r="C15" s="3" t="n">
        <ns0:v>0</ns0:v>
      </ns0:c>
      <ns0:c r="D15" s="3" t="n">
        <ns0:f aca="false">SUM(B15:C15)</ns0:f>
        <ns0:v>78000</ns0:v>
      </ns0:c>
      <ns0:c r="E15" s="3" t="n">
        <ns0:v>60000</ns0:v>
      </ns0:c>
      <ns0:c r="F15" s="5" t="n">
        <ns0:v>0.19</ns0:v>
      </ns0:c>
      <ns0:c r="G15" s="3" t="n">
        <ns0:f aca="false">ROUND(E15*(1+F15),2)</ns0:f>
        <ns0:v>71400</ns0:v>
      </ns0:c>
    </ns0:row>
    <ns0:row r="16" customFormat="false" ht="18" hidden="false" customHeight="true" outlineLevel="0" collapsed="false">
      <ns0:c r="A16" s="1" t="s">
        <ns0:v>17</ns0:v>
      </ns0:c>
      <ns0:c r="B16" s="3" t="n">
        <ns0:v>3500</ns0:v>
      </ns0:c>
      <ns0:c r="C16" s="3" t="n">
        <ns0:v>0</ns0:v>
      </ns0:c>
      <ns0:c r="D16" s="3" t="n">
        <ns0:f aca="false">SUM(B16:C16)</ns0:f>
        <ns0:v>3500</ns0:v>
      </ns0:c>
      <ns0:c r="E16" s="3" t="n">
        <ns0:v>3500</ns0:v>
      </ns0:c>
      <ns0:c r="F16" s="5" t="n">
        <ns0:v>0</ns0:v>
      </ns0:c>
      <ns0:c r="G16" s="3" t="n">
        <ns0:f aca="false">ROUND(E16*(1+F16),2)</ns0:f>
        <ns0:v>3500</ns0:v>
      </ns0:c>
    </ns0:row>
    <ns0:row r="17" customFormat="false" ht="18" hidden="false" customHeight="true" outlineLevel="0" collapsed="false">
      <ns0:c r="A17" s="1"/>
      <ns0:c r="B17" s="1"/>
      <ns0:c r="C17" s="1"/>
      <ns0:c r="D17" s="1"/>
      <ns0:c r="E17" s="1"/>
      <ns0:c r="F17" s="1"/>
      <ns0:c r="G17" s="1"/>
    </ns0:row>
    <ns0:row r="18" customFormat="false" ht="18" hidden="false" customHeight="true" outlineLevel="0" collapsed="false">
      <ns0:c r="A18" s="1"/>
      <ns0:c r="B18" s="1"/>
      <ns0:c r="C18" s="1"/>
      <ns0:c r="D18" s="1"/>
      <ns0:c r="E18" s="1"/>
      <ns0:c r="F18" s="1"/>
      <ns0:c r="G18" s="1"/>
    </ns0:row>
    <ns0:row r="19" customFormat="false" ht="18" hidden="false" customHeight="true" outlineLevel="0" collapsed="false">
      <ns0:c r="A19" s="1" t="s">
        <ns0:v>18</ns0:v>
      </ns0:c>
      <ns0:c r="B19" s="1"/>
      <ns0:c r="C19" s="1"/>
      <ns0:c r="D19" s="1"/>
      <ns0:c r="E19" s="1"/>
      <ns0:c r="F19" s="1"/>
      <ns0:c r="G19" s="1"/>
    </ns0:row>
    <ns0:row r="20" customFormat="false" ht="18" hidden="false" customHeight="true" outlineLevel="0" collapsed="false">
      <ns0:c r="A20" s="1" t="s">
        <ns0:v>19</ns0:v>
      </ns0:c>
      <ns0:c r="B20" s="1"/>
      <ns0:c r="C20" s="1"/>
      <ns0:c r="D20" s="1"/>
      <ns0:c r="E20" s="1"/>
      <ns0:c r="F20" s="1"/>
      <ns0:c r="G20" s="1"/>
    </ns0:row>
    <ns0:row r="21" customFormat="false" ht="18" hidden="false" customHeight="true" outlineLevel="0" collapsed="false">
      <ns0:c r="A21" s="1" t="s">
        <ns0:v>20</ns0:v>
      </ns0:c>
      <ns0:c r="B21" s="1"/>
      <ns0:c r="C21" s="1"/>
      <ns0:c r="D21" s="1"/>
      <ns0:c r="E21" s="1"/>
      <ns0:c r="F21" s="1"/>
      <ns0:c r="G21" s="1"/>
    </ns0:row>
    <ns0:row r="22" customFormat="false" ht="18" hidden="false" customHeight="true" outlineLevel="0" collapsed="false">
      <ns0:c r="A22" s="1" t="s">
        <ns0:v>21</ns0:v>
      </ns0:c>
      <ns0:c r="B22" s="1"/>
      <ns0:c r="C22" s="1"/>
      <ns0:c r="D22" s="1"/>
      <ns0:c r="E22" s="1"/>
      <ns0:c r="F22" s="1"/>
      <ns0:c r="G22" s="1"/>
    </ns0:row>
    <ns0:row r="23" customFormat="false" ht="18" hidden="false" customHeight="true" outlineLevel="0" collapsed="false">
      <ns0:c r="A23" s="1"/>
      <ns0:c r="B23" s="1"/>
      <ns0:c r="C23" s="1"/>
      <ns0:c r="D23" s="1"/>
      <ns0:c r="E23" s="1"/>
      <ns0:c r="F23" s="1"/>
      <ns0:c r="G23" s="1"/>
    </ns0:row>
    <ns0:row r="24" customFormat="false" ht="18" hidden="false" customHeight="true" outlineLevel="0" collapsed="false">
      <ns0:c r="A24" s="1" t="s">
        <ns0:v>22</ns0:v>
      </ns0:c>
      <ns0:c r="B24" s="1"/>
      <ns0:c r="C24" s="1"/>
      <ns0:c r="D24" s="1"/>
      <ns0:c r="E24" s="1"/>
      <ns0:c r="F24" s="1"/>
      <ns0:c r="G24" s="1"/>
    </ns0:row>
    <ns0:row r="25" customFormat="false" ht="18" hidden="false" customHeight="true" outlineLevel="0" collapsed="false">
      <ns0:c r="A25" s="1"/>
      <ns0:c r="B25" s="1"/>
      <ns0:c r="C25" s="1"/>
      <ns0:c r="D25" s="1"/>
      <ns0:c r="E25" s="1"/>
      <ns0:c r="F25" s="1"/>
      <ns0:c r="G25" s="1"/>
    </ns0:row>
    <ns0:row r="26" customFormat="false" ht="18" hidden="false" customHeight="true" outlineLevel="0" collapsed="false">
      <ns0:c r="A26" s="1" t="s">
        <ns0:v>23</ns0:v>
      </ns0:c>
      <ns0:c r="B26" s="1"/>
      <ns0:c r="C26" s="1"/>
      <ns0:c r="D26" s="1"/>
      <ns0:c r="E26" s="1"/>
      <ns0:c r="F26" s="1"/>
      <ns0:c r="G26" s="1"/>
    </ns0:row>
    <ns0:row r="27" customFormat="false" ht="18" hidden="false" customHeight="true" outlineLevel="0" collapsed="false">
      <ns0:c r="A27" s="1"/>
      <ns0:c r="B27" s="1"/>
      <ns0:c r="C27" s="1"/>
      <ns0:c r="D27" s="1"/>
      <ns0:c r="E27" s="1"/>
      <ns0:c r="F27" s="1"/>
      <ns0:c r="G27" s="1"/>
    </ns0:row>
    <ns0:row r="28" customFormat="false" ht="18" hidden="false" customHeight="true" outlineLevel="0" collapsed="false">
      <ns0:c r="A28" s="1"/>
      <ns0:c r="B28" s="1"/>
      <ns0:c r="C28" s="1"/>
      <ns0:c r="D28" s="1"/>
      <ns0:c r="E28" s="1"/>
      <ns0:c r="F28" s="1"/>
      <ns0:c r="G28" s="1"/>
    </ns0:row>
  </ns0:sheetData>
  <ns0:printOptions headings="false" gridLines="false" gridLinesSet="true" horizontalCentered="false" verticalCentered="false"/>
  <ns0:pageMargins left="0.3" right="0.3" top="0.3" bottom="0.3" header="0.1" footer="0.1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