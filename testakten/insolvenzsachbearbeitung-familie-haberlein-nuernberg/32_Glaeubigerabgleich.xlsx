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b190a9a9b4d51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bgleich" sheetId="1" ns1:id="R906c8f480fe04af5"/>
  </ns0:sheets>
  <ns0:definedNames>
    <ns0:definedName name="_xlnm.Print_Area" localSheetId="0">'Abgleich'!$A$1:$F$30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&quot;-&quot;"/>
  </x:numFmts>
  <x:fonts count="7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sz val="11"/>
      <x:color rgb="FF555555"/>
      <x:name val="Times New Roman"/>
    </x:font>
    <x:font>
      <x:b/>
      <x:sz val="11"/>
      <x:color rgb="FFFFFFFF"/>
      <x:name val="Times New Roman"/>
    </x:font>
    <x:font>
      <x:sz val="11"/>
      <x:color rgb="FF0000FF"/>
      <x:name val="Times New Roman"/>
    </x:font>
    <x:font>
      <x:b/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473db4d394ca7" /><Relationship Type="http://schemas.openxmlformats.org/officeDocument/2006/relationships/theme" Target="/xl/theme/theme1.xml" Id="R5d3c2f25a07a43fc" /><Relationship Type="http://schemas.openxmlformats.org/officeDocument/2006/relationships/sharedStrings" Target="/xl/sharedStrings.xml" Id="R27d1b3b375154d8d" /><Relationship Type="http://schemas.openxmlformats.org/officeDocument/2006/relationships/worksheet" Target="/xl/worksheets/sheet1.xml" Id="R906c8f480fe0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5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</ns0:cols>
  <ns0:sheetData>
    <ns0:row r="1" ht="16" customHeight="1">
      <ns0:c r="A1" s="2"/>
      <ns0:c r="B1" s="2"/>
      <ns0:c r="C1" s="2"/>
      <ns0:c r="D1" s="2"/>
      <ns0:c r="E1" s="2"/>
      <ns0:c r="F1" s="2"/>
    </ns0:row>
    <ns0:row r="2" ht="24" customHeight="1">
      <ns0:c r="A2" s="3" t="str">
        <ns0:v>Kreditkonten und persönliche Haftung</ns0:v>
      </ns0:c>
      <ns0:c r="B2" s="2"/>
      <ns0:c r="C2" s="2"/>
      <ns0:c r="D2" s="2"/>
      <ns0:c r="E2" s="2"/>
      <ns0:c r="F2" s="2"/>
    </ns0:row>
    <ns0:row r="3" ht="16" customHeight="1">
      <ns0:c r="A3" s="4" t="str">
        <ns0:v>Je Kredit-ID einmal erfasst. Beträge aus unterschiedlich alten Belegen. EUR.</ns0:v>
      </ns0:c>
      <ns0:c r="B3" s="2"/>
      <ns0:c r="C3" s="2"/>
      <ns0:c r="D3" s="2"/>
      <ns0:c r="E3" s="2"/>
      <ns0:c r="F3" s="2"/>
    </ns0:row>
    <ns0:row r="4" ht="16" customHeight="1">
      <ns0:c r="A4" s="2"/>
      <ns0:c r="B4" s="2"/>
      <ns0:c r="C4" s="2"/>
      <ns0:c r="D4" s="2"/>
      <ns0:c r="E4" s="2"/>
      <ns0:c r="F4" s="2"/>
    </ns0:row>
    <ns0:row r="5" ht="30" customHeight="1">
      <ns0:c r="A5" s="8" t="str">
        <ns0:v>Kredit-ID</ns0:v>
      </ns0:c>
      <ns0:c r="B5" s="8" t="str">
        <ns0:v>Kapital</ns0:v>
      </ns0:c>
      <ns0:c r="C5" s="8" t="str">
        <ns0:v>Bekannte Kosten</ns0:v>
      </ns0:c>
      <ns0:c r="D5" s="8" t="str">
        <ns0:v>Erfasst</ns0:v>
      </ns0:c>
      <ns0:c r="E5" s="8" t="str">
        <ns0:v>Fridolin</ns0:v>
      </ns0:c>
      <ns0:c r="F5" s="8" t="str">
        <ns0:v>Lale</ns0:v>
      </ns0:c>
    </ns0:row>
    <ns0:row r="6" ht="16" customHeight="1">
      <ns0:c r="A6" s="2" t="str">
        <ns0:v>H8831 Haus</ns0:v>
      </ns0:c>
      <ns0:c r="B6" s="10" t="n">
        <ns0:v>258000</ns0:v>
      </ns0:c>
      <ns0:c r="C6" s="10" t="n">
        <ns0:v>0</ns0:v>
      </ns0:c>
      <ns0:c r="D6" s="11" t="n">
        <ns0:f>B6+C6</ns0:f>
        <ns0:v>258000</ns0:v>
      </ns0:c>
      <ns0:c r="E6" s="11" t="n">
        <ns0:f>D6</ns0:f>
        <ns0:v>258000</ns0:v>
      </ns0:c>
      <ns0:c r="F6" s="11" t="n">
        <ns0:f>D6</ns0:f>
        <ns0:v>258000</ns0:v>
      </ns0:c>
    </ns0:row>
    <ns0:row r="7" ht="16" customHeight="1">
      <ns0:c r="A7" s="2" t="str">
        <ns0:v>K7742 Ratenkredit</ns0:v>
      </ns0:c>
      <ns0:c r="B7" s="10" t="n">
        <ns0:v>11800</ns0:v>
      </ns0:c>
      <ns0:c r="C7" s="10" t="n">
        <ns0:v>0</ns0:v>
      </ns0:c>
      <ns0:c r="D7" s="11" t="n">
        <ns0:f>B7+C7</ns0:f>
        <ns0:v>11800</ns0:v>
      </ns0:c>
      <ns0:c r="E7" s="11" t="n">
        <ns0:f>D7</ns0:f>
        <ns0:v>11800</ns0:v>
      </ns0:c>
      <ns0:c r="F7" s="11" t="n">
        <ns0:f>D7</ns0:f>
        <ns0:v>11800</ns0:v>
      </ns0:c>
    </ns0:row>
    <ns0:row r="8" ht="16" customHeight="1">
      <ns0:c r="A8" s="2" t="str">
        <ns0:v>E24188 Elektronik</ns0:v>
      </ns0:c>
      <ns0:c r="B8" s="10" t="n">
        <ns0:v>5400</ns0:v>
      </ns0:c>
      <ns0:c r="C8" s="10" t="n">
        <ns0:v>160</ns0:v>
      </ns0:c>
      <ns0:c r="D8" s="11" t="n">
        <ns0:f>B8+C8</ns0:f>
        <ns0:v>5560</ns0:v>
      </ns0:c>
      <ns0:c r="E8" s="11" t="n">
        <ns0:f>D8</ns0:f>
        <ns0:v>5560</ns0:v>
      </ns0:c>
      <ns0:c r="F8" s="11" t="n">
        <ns0:f>0</ns0:f>
        <ns0:v>0</ns0:v>
      </ns0:c>
    </ns0:row>
    <ns0:row r="9" ht="16" customHeight="1">
      <ns0:c r="A9" s="2" t="str">
        <ns0:v>Dispo Lale</ns0:v>
      </ns0:c>
      <ns0:c r="B9" s="10" t="n">
        <ns0:v>2120</ns0:v>
      </ns0:c>
      <ns0:c r="C9" s="10" t="n">
        <ns0:v>0</ns0:v>
      </ns0:c>
      <ns0:c r="D9" s="11" t="n">
        <ns0:f>B9+C9</ns0:f>
        <ns0:v>2120</ns0:v>
      </ns0:c>
      <ns0:c r="E9" s="11" t="n">
        <ns0:f>0</ns0:f>
        <ns0:v>0</ns0:v>
      </ns0:c>
      <ns0:c r="F9" s="11" t="n">
        <ns0:f>D9</ns0:f>
        <ns0:v>2120</ns0:v>
      </ns0:c>
    </ns0:row>
    <ns0:row r="10" ht="16" customHeight="1">
      <ns0:c r="A10" s="2"/>
      <ns0:c r="B10" s="2"/>
      <ns0:c r="C10" s="2"/>
      <ns0:c r="D10" s="11"/>
      <ns0:c r="E10" s="11"/>
      <ns0:c r="F10" s="11"/>
    </ns0:row>
    <ns0:row r="11" ht="16" customHeight="1">
      <ns0:c r="A11" s="14" t="str">
        <ns0:v>Summe je Auswertung</ns0:v>
      </ns0:c>
      <ns0:c r="B11" s="15" t="n">
        <ns0:f>SUM(B6:B9)</ns0:f>
        <ns0:v>277320</ns0:v>
      </ns0:c>
      <ns0:c r="C11" s="15" t="n">
        <ns0:f>SUM(C6:C9)</ns0:f>
        <ns0:v>160</ns0:v>
      </ns0:c>
      <ns0:c r="D11" s="15" t="n">
        <ns0:f>SUM(D6:D9)</ns0:f>
        <ns0:v>277480</ns0:v>
      </ns0:c>
      <ns0:c r="E11" s="15" t="n">
        <ns0:f>SUM(E6:E9)</ns0:f>
        <ns0:v>275360</ns0:v>
      </ns0:c>
      <ns0:c r="F11" s="15" t="n">
        <ns0:f>SUM(F6:F9)</ns0:f>
        <ns0:v>271920</ns0:v>
      </ns0:c>
    </ns0:row>
    <ns0:row r="12" ht="16" customHeight="1">
      <ns0:c r="A12" s="2"/>
      <ns0:c r="B12" s="2"/>
      <ns0:c r="C12" s="2"/>
      <ns0:c r="D12" s="2"/>
      <ns0:c r="E12" s="2"/>
      <ns0:c r="F12" s="2"/>
    </ns0:row>
    <ns0:row r="13" ht="16" customHeight="1">
      <ns0:c r="A13" s="2"/>
      <ns0:c r="B13" s="2"/>
      <ns0:c r="C13" s="2"/>
      <ns0:c r="D13" s="2"/>
      <ns0:c r="E13" s="2"/>
      <ns0:c r="F13" s="2"/>
    </ns0:row>
    <ns0:row r="14" ht="16" customHeight="1">
      <ns0:c r="A14" s="4" t="str">
        <ns0:v>D: wirtschaftliche Konten einmal. E/F: persönliche Haftung je Verfahren.</ns0:v>
      </ns0:c>
      <ns0:c r="B14" s="2"/>
      <ns0:c r="C14" s="2"/>
      <ns0:c r="D14" s="2"/>
      <ns0:c r="E14" s="2"/>
      <ns0:c r="F14" s="2"/>
    </ns0:row>
    <ns0:row r="15" ht="16" customHeight="1">
      <ns0:c r="A15" s="4" t="str">
        <ns0:v>E und F nicht zur wirtschaftlichen Gesamtbelastung addieren.</ns0:v>
      </ns0:c>
      <ns0:c r="B15" s="2"/>
      <ns0:c r="C15" s="2"/>
      <ns0:c r="D15" s="2"/>
      <ns0:c r="E15" s="2"/>
      <ns0:c r="F15" s="2"/>
    </ns0:row>
    <ns0:row r="16" ht="16" customHeight="1">
      <ns0:c r="A16" s="4" t="str">
        <ns0:v>Gemeinsame Haftung wird nicht allein wegen der Ehe halbiert.</ns0:v>
      </ns0:c>
      <ns0:c r="B16" s="2"/>
      <ns0:c r="C16" s="2"/>
      <ns0:c r="D16" s="2"/>
      <ns0:c r="E16" s="2"/>
      <ns0:c r="F16" s="2"/>
    </ns0:row>
    <ns0:row r="17" ht="16" customHeight="1">
      <ns0:c r="A17" s="4" t="str">
        <ns0:v>H8831: Kapitalstand 30.06.2026, Aktualisierung und Ablösesaldo fehlen.</ns0:v>
      </ns0:c>
      <ns0:c r="B17" s="2"/>
      <ns0:c r="C17" s="2"/>
      <ns0:c r="D17" s="2"/>
      <ns0:c r="E17" s="2"/>
      <ns0:c r="F17" s="2"/>
    </ns0:row>
    <ns0:row r="18" ht="16" customHeight="1">
      <ns0:c r="A18" s="4" t="str">
        <ns0:v>K7742: 19_Gemeinsamer_Kredit.pdf. Zinsen und Kosten nachfordern.</ns0:v>
      </ns0:c>
      <ns0:c r="B18" s="2"/>
      <ns0:c r="C18" s="2"/>
      <ns0:c r="D18" s="2"/>
      <ns0:c r="E18" s="2"/>
      <ns0:c r="F18" s="2"/>
    </ns0:row>
    <ns0:row r="19" ht="16" customHeight="1">
      <ns0:c r="A19" s="4" t="str">
        <ns0:v>E24188: 18_Elektronik_Finanzierung.pdf und Titel in 13_Pfaendungsbeschluss.pdf.</ns0:v>
      </ns0:c>
      <ns0:c r="B19" s="2"/>
      <ns0:c r="C19" s="2"/>
      <ns0:c r="D19" s="2"/>
      <ns0:c r="E19" s="2"/>
      <ns0:c r="F19" s="2"/>
    </ns0:row>
    <ns0:row r="20" ht="16" customHeight="1">
      <ns0:c r="A20" s="4" t="str">
        <ns0:v>Die Entwicklung von Kaufpreis 5.000 zu Kapital 5.400 EUR bleibt ungeklärt.</ns0:v>
      </ns0:c>
      <ns0:c r="B20" s="2"/>
      <ns0:c r="C20" s="2"/>
      <ns0:c r="D20" s="2"/>
      <ns0:c r="E20" s="2"/>
      <ns0:c r="F20" s="2"/>
    </ns0:row>
    <ns0:row r="21" ht="16" customHeight="1">
      <ns0:c r="A21" s="4" t="str">
        <ns0:v>Dispo: 15_Konto_Lale.pdf, Stand 30.09.2026. Q3-Zinsen noch offen.</ns0:v>
      </ns0:c>
      <ns0:c r="B21" s="2"/>
      <ns0:c r="C21" s="2"/>
      <ns0:c r="D21" s="2"/>
      <ns0:c r="E21" s="2"/>
      <ns0:c r="F21" s="2"/>
    </ns0:row>
    <ns0:row r="22" ht="16" customHeight="1">
      <ns0:c r="A22" s="4" t="str">
        <ns0:v>Null in Kosten bedeutet hier: noch keine gesonderte Kostenposition erfasst.</ns0:v>
      </ns0:c>
      <ns0:c r="B22" s="2"/>
      <ns0:c r="C22" s="2"/>
      <ns0:c r="D22" s="2"/>
      <ns0:c r="E22" s="2"/>
      <ns0:c r="F22" s="2"/>
    </ns0:row>
    <ns0:row r="23" ht="16" customHeight="1">
      <ns0:c r="A23" s="4" t="str">
        <ns0:v>Null in E/F bedeutet: nach dem vorhandenen Vertrag kein Mitschuldner.</ns0:v>
      </ns0:c>
      <ns0:c r="B23" s="2"/>
      <ns0:c r="C23" s="2"/>
      <ns0:c r="D23" s="2"/>
      <ns0:c r="E23" s="2"/>
      <ns0:c r="F23" s="2"/>
    </ns0:row>
    <ns0:row r="24" ht="16" customHeight="1">
      <ns0:c r="A24" s="4" t="str">
        <ns0:v>Grundschuld nominal 310.000 EUR nicht zusätzlich als Kredit addieren.</ns0:v>
      </ns0:c>
      <ns0:c r="B24" s="2"/>
      <ns0:c r="C24" s="2"/>
      <ns0:c r="D24" s="2"/>
      <ns0:c r="E24" s="2"/>
      <ns0:c r="F24" s="2"/>
    </ns0:row>
    <ns0:row r="25" ht="16" customHeight="1">
      <ns0:c r="A25" s="4" t="str">
        <ns0:v>Hausrückstände 4.320 EUR können Kapitalanteile enthalten. Kein Doppelansatz.</ns0:v>
      </ns0:c>
      <ns0:c r="B25" s="2"/>
      <ns0:c r="C25" s="2"/>
      <ns0:c r="D25" s="2"/>
      <ns0:c r="E25" s="2"/>
      <ns0:c r="F25" s="2"/>
    </ns0:row>
    <ns0:row r="26" ht="16" customHeight="1">
      <ns0:c r="A26" s="4" t="str">
        <ns0:v>Besicherung und Ausfallforderung sind noch nicht abschließend geprüft.</ns0:v>
      </ns0:c>
      <ns0:c r="B26" s="2"/>
      <ns0:c r="C26" s="2"/>
      <ns0:c r="D26" s="2"/>
      <ns0:c r="E26" s="2"/>
      <ns0:c r="F26" s="2"/>
    </ns0:row>
    <ns0:row r="27" ht="16" customHeight="1">
      <ns0:c r="A27" s="4" t="str">
        <ns0:v>Dies ist keine geprüfte Insolvenztabelle. Eröffnungsstände nachfordern.</ns0:v>
      </ns0:c>
      <ns0:c r="B27" s="2"/>
      <ns0:c r="C27" s="2"/>
      <ns0:c r="D27" s="2"/>
      <ns0:c r="E27" s="2"/>
      <ns0:c r="F27" s="2"/>
    </ns0:row>
    <ns0:row r="28" ht="16" customHeight="1">
      <ns0:c r="A28" s="4" t="str">
        <ns0:v>Blau: Belegwerte. Schwarz: Formeln. Stand 14.10.2026, Ottilie Gündling.</ns0:v>
      </ns0:c>
      <ns0:c r="B28" s="2"/>
      <ns0:c r="C28" s="2"/>
      <ns0:c r="D28" s="2"/>
      <ns0:c r="E28" s="2"/>
      <ns0:c r="F28" s="2"/>
    </ns0:row>
    <ns0:row r="29" ht="16" customHeight="1">
      <ns0:c r="A29" s="2"/>
      <ns0:c r="B29" s="2"/>
      <ns0:c r="C29" s="2"/>
      <ns0:c r="D29" s="2"/>
      <ns0:c r="E29" s="2"/>
      <ns0:c r="F29" s="2"/>
    </ns0:row>
    <ns0:row r="30" ht="16" customHeight="1">
      <ns0:c r="A30" s="2"/>
      <ns0:c r="B30" s="2"/>
      <ns0:c r="C30" s="2"/>
      <ns0:c r="D30" s="2"/>
      <ns0:c r="E30" s="2"/>
      <ns0:c r="F30" s="2"/>
    </ns0:row>
    <ns0:row r="31" ht="16" customHeight="1">
      <ns0:c r="A31" s="2"/>
      <ns0:c r="B31" s="2"/>
      <ns0:c r="C31" s="2"/>
      <ns0:c r="D31" s="2"/>
      <ns0:c r="E31" s="2"/>
      <ns0:c r="F31" s="2"/>
    </ns0:row>
    <ns0:row r="32" ht="16" customHeight="1">
      <ns0:c r="A32" s="2"/>
      <ns0:c r="B32" s="2"/>
      <ns0:c r="C32" s="2"/>
      <ns0:c r="D32" s="2"/>
      <ns0:c r="E32" s="2"/>
      <ns0:c r="F32" s="2"/>
    </ns0:row>
    <ns0:row r="33" ht="16" customHeight="1">
      <ns0:c r="A33" s="2"/>
      <ns0:c r="B33" s="2"/>
      <ns0:c r="C33" s="2"/>
      <ns0:c r="D33" s="2"/>
      <ns0:c r="E33" s="2"/>
      <ns0:c r="F33" s="2"/>
    </ns0:row>
    <ns0:row r="34" ht="16" customHeight="1">
      <ns0:c r="A34" s="2"/>
      <ns0:c r="B34" s="2"/>
      <ns0:c r="C34" s="2"/>
      <ns0:c r="D34" s="2"/>
      <ns0:c r="E34" s="2"/>
      <ns0:c r="F34" s="2"/>
    </ns0:row>
  </ns0:sheetData>
  <ns0:pageMargins left="0.25" right="0.25" top="0.25" bottom="0.25" header="0.25" footer="0.25"/>
  <ns0:pageSetup orientation="landscape" paperSize="9" fitToWidth="1" fitToHeight="0"/>
</ns0:worksheet>
</file>