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c6e1aabc84e86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Haushalt" sheetId="1" ns1:id="Rb157d8aa933142d3"/>
    <ns0:sheet name="Konten" sheetId="2" ns1:id="R2c08123adae84df2"/>
  </ns0:sheets>
  <ns0:definedNames>
    <ns0:definedName name="_xlnm.Print_Area" localSheetId="0">'Haushalt'!$A$1:$D$36</ns0:definedName>
    <ns0:definedName name="_xlnm.Print_Area" localSheetId="1">'Konten'!$A$1:$E$20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  @"/>
    <x:numFmt numFmtId="201" formatCode="#,##0.00;[Red](#,##0.00);&quot;-&quot;"/>
  </x:numFmts>
  <x:fonts count="7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sz val="11"/>
      <x:color rgb="FF555555"/>
      <x:name val="Times New Roman"/>
    </x:font>
    <x:font>
      <x:b/>
      <x:sz val="11"/>
      <x:color rgb="FFFFFFFF"/>
      <x:name val="Times New Roman"/>
    </x:font>
    <x:font>
      <x:sz val="11"/>
      <x:color rgb="FF0000FF"/>
      <x:name val="Times New Roman"/>
    </x:font>
    <x:font>
      <x:b/>
      <x:sz val="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93C5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192A0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22ba8acfe441c" /><Relationship Type="http://schemas.openxmlformats.org/officeDocument/2006/relationships/theme" Target="/xl/theme/theme1.xml" Id="R240c8902146b4bcc" /><Relationship Type="http://schemas.openxmlformats.org/officeDocument/2006/relationships/sharedStrings" Target="/xl/sharedStrings.xml" Id="Rda5ad2d625624725" /><Relationship Type="http://schemas.openxmlformats.org/officeDocument/2006/relationships/worksheet" Target="/xl/worksheets/sheet1.xml" Id="Rb157d8aa933142d3" /><Relationship Type="http://schemas.openxmlformats.org/officeDocument/2006/relationships/worksheet" Target="/xl/worksheets/sheet2.xml" Id="R2c08123adae84d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37" hidden="0" customWidth="1"/>
    <ns0:col min="2" max="2" width="20" hidden="0" customWidth="1"/>
    <ns0:col min="3" max="3" width="20" hidden="0" customWidth="1"/>
    <ns0:col min="4" max="4" width="43" hidden="0" customWidth="1"/>
  </ns0:cols>
  <ns0:sheetData>
    <ns0:row r="1" ht="6" customHeight="1">
      <ns0:c r="A1" s="2"/>
      <ns0:c r="B1" s="2"/>
      <ns0:c r="C1" s="2"/>
      <ns0:c r="D1" s="2"/>
    </ns0:row>
    <ns0:row r="2" ht="24" customHeight="1">
      <ns0:c r="A2" s="3" t="str">
        <ns0:v>Haushalt Haberlein</ns0:v>
      </ns0:c>
      <ns0:c r="B2" s="2"/>
      <ns0:c r="C2" s="2"/>
      <ns0:c r="D2" s="2"/>
    </ns0:row>
    <ns0:row r="3" ht="16" customHeight="1">
      <ns0:c r="A3" s="4" t="str">
        <ns0:v>September 2026. Kontobewegungen und Monatsbedarf getrennt prüfen. EUR.</ns0:v>
      </ns0:c>
      <ns0:c r="B3" s="2"/>
      <ns0:c r="C3" s="2"/>
      <ns0:c r="D3" s="2"/>
    </ns0:row>
    <ns0:row r="4" ht="6" customHeight="1">
      <ns0:c r="A4" s="2"/>
      <ns0:c r="B4" s="2"/>
      <ns0:c r="C4" s="2"/>
      <ns0:c r="D4" s="2"/>
    </ns0:row>
    <ns0:row r="5" ht="30" customHeight="1">
      <ns0:c r="A5" s="8" t="str">
        <ns0:v>Position</ns0:v>
      </ns0:c>
      <ns0:c r="B5" s="8" t="str">
        <ns0:v>Einnahmen</ns0:v>
      </ns0:c>
      <ns0:c r="C5" s="8" t="str">
        <ns0:v>Ausgaben</ns0:v>
      </ns0:c>
      <ns0:c r="D5" s="8" t="str">
        <ns0:v>Beleg / Abgrenzung</ns0:v>
      </ns0:c>
    </ns0:row>
    <ns0:row r="6" ht="16" customHeight="1">
      <ns0:c r="A6" s="2" t="str">
        <ns0:v>Entgelt Fridolin</ns0:v>
      </ns0:c>
      <ns0:c r="B6" s="11" t="n">
        <ns0:v>3120</ns0:v>
      </ns0:c>
      <ns0:c r="C6" s="2"/>
      <ns0:c r="D6" s="9" t="str">
        <ns0:v>10_Entgelt_Fridolin.pdf</ns0:v>
      </ns0:c>
    </ns0:row>
    <ns0:row r="7" ht="16" customHeight="1">
      <ns0:c r="A7" s="2" t="str">
        <ns0:v>Entgelt Lale</ns0:v>
      </ns0:c>
      <ns0:c r="B7" s="11" t="n">
        <ns0:v>1380</ns0:v>
      </ns0:c>
      <ns0:c r="C7" s="2"/>
      <ns0:c r="D7" s="9" t="str">
        <ns0:v>11_Entgelt_Lale.pdf</ns0:v>
      </ns0:c>
    </ns0:row>
    <ns0:row r="8" ht="16" customHeight="1">
      <ns0:c r="A8" s="2" t="str">
        <ns0:v>Kindergeld</ns0:v>
      </ns0:c>
      <ns0:c r="B8" s="11" t="n">
        <ns0:v>518</ns0:v>
      </ns0:c>
      <ns0:c r="C8" s="2"/>
      <ns0:c r="D8" s="9" t="str">
        <ns0:v>15_Konto_Lale.pdf</ns0:v>
      </ns0:c>
    </ns0:row>
    <ns0:row r="9" ht="6" customHeight="1">
      <ns0:c r="A9" s="2"/>
      <ns0:c r="B9" s="2"/>
      <ns0:c r="C9" s="2"/>
      <ns0:c r="D9" s="9"/>
    </ns0:row>
    <ns0:row r="10" ht="16" customHeight="1">
      <ns0:c r="A10" s="2" t="str">
        <ns0:v>Hausrate</ns0:v>
      </ns0:c>
      <ns0:c r="B10" s="2"/>
      <ns0:c r="C10" s="11" t="n">
        <ns0:v>1440</ns0:v>
      </ns0:c>
      <ns0:c r="D10" s="9" t="str">
        <ns0:v>33_Haushaltskonto.pdf</ns0:v>
      </ns0:c>
    </ns0:row>
    <ns0:row r="11" ht="16" customHeight="1">
      <ns0:c r="A11" s="2" t="str">
        <ns0:v>Lebensmittel</ns0:v>
      </ns0:c>
      <ns0:c r="B11" s="2"/>
      <ns0:c r="C11" s="11" t="n">
        <ns0:v>760</ns0:v>
      </ns0:c>
      <ns0:c r="D11" s="9" t="str">
        <ns0:v>33_Haushaltskonto.pdf</ns0:v>
      </ns0:c>
    </ns0:row>
    <ns0:row r="12" ht="16" customHeight="1">
      <ns0:c r="A12" s="2" t="str">
        <ns0:v>Energie und Wasser</ns0:v>
      </ns0:c>
      <ns0:c r="B12" s="2"/>
      <ns0:c r="C12" s="11" t="n">
        <ns0:v>420</ns0:v>
      </ns0:c>
      <ns0:c r="D12" s="9" t="str">
        <ns0:v>33_Haushaltskonto.pdf</ns0:v>
      </ns0:c>
    </ns0:row>
    <ns0:row r="13" ht="16" customHeight="1">
      <ns0:c r="A13" s="2" t="str">
        <ns0:v>Schule und Verein</ns0:v>
      </ns0:c>
      <ns0:c r="B13" s="2"/>
      <ns0:c r="C13" s="11" t="n">
        <ns0:v>140</ns0:v>
      </ns0:c>
      <ns0:c r="D13" s="9" t="str">
        <ns0:v>33_Haushaltskonto.pdf</ns0:v>
      </ns0:c>
    </ns0:row>
    <ns0:row r="14" ht="16" customHeight="1">
      <ns0:c r="A14" s="2" t="str">
        <ns0:v>Mobilität Haushaltskonto</ns0:v>
      </ns0:c>
      <ns0:c r="B14" s="2"/>
      <ns0:c r="C14" s="11" t="n">
        <ns0:v>80</ns0:v>
      </ns0:c>
      <ns0:c r="D14" s="9" t="str">
        <ns0:v>33_Haushaltskonto.pdf</ns0:v>
      </ns0:c>
    </ns0:row>
    <ns0:row r="15" ht="16" customHeight="1">
      <ns0:c r="A15" s="2" t="str">
        <ns0:v>Telefon und Internet</ns0:v>
      </ns0:c>
      <ns0:c r="B15" s="2"/>
      <ns0:c r="C15" s="11" t="n">
        <ns0:v>79</ns0:v>
      </ns0:c>
      <ns0:c r="D15" s="9" t="str">
        <ns0:v>33_Haushaltskonto.pdf</ns0:v>
      </ns0:c>
    </ns0:row>
    <ns0:row r="16" ht="16" customHeight="1">
      <ns0:c r="A16" s="2" t="str">
        <ns0:v>Hausrat / Haftpflicht</ns0:v>
      </ns0:c>
      <ns0:c r="B16" s="2"/>
      <ns0:c r="C16" s="11" t="n">
        <ns0:v>95</ns0:v>
      </ns0:c>
      <ns0:c r="D16" s="9" t="str">
        <ns0:v>14_Konto_Fridolin.pdf</ns0:v>
      </ns0:c>
    </ns0:row>
    <ns0:row r="17" ht="16" customHeight="1">
      <ns0:c r="A17" s="2" t="str">
        <ns0:v>Supermarkt / Apotheke Fridolin</ns0:v>
      </ns0:c>
      <ns0:c r="B17" s="2"/>
      <ns0:c r="C17" s="11" t="n">
        <ns0:v>83.4</ns0:v>
      </ns0:c>
      <ns0:c r="D17" s="9" t="str">
        <ns0:v>14_Konto_Fridolin.pdf</ns0:v>
      </ns0:c>
    </ns0:row>
    <ns0:row r="18" ht="16" customHeight="1">
      <ns0:c r="A18" s="2"/>
      <ns0:c r="B18" s="2"/>
      <ns0:c r="C18" s="2"/>
      <ns0:c r="D18" s="9"/>
    </ns0:row>
    <ns0:row r="19" ht="6" customHeight="1">
      <ns0:c r="A19" s="2"/>
      <ns0:c r="B19" s="2"/>
      <ns0:c r="C19" s="2"/>
      <ns0:c r="D19" s="9"/>
    </ns0:row>
    <ns0:row r="20" ht="16" customHeight="1">
      <ns0:c r="A20" s="16" t="str">
        <ns0:v>Erfasste Beträge</ns0:v>
      </ns0:c>
      <ns0:c r="B20" s="17" t="n">
        <ns0:f>SUM(B6:B8)</ns0:f>
        <ns0:v>5018</ns0:v>
      </ns0:c>
      <ns0:c r="C20" s="17" t="n">
        <ns0:f>SUM(C10:C17)</ns0:f>
        <ns0:v>3097.4</ns0:v>
      </ns0:c>
      <ns0:c r="D20" s="18"/>
    </ns0:row>
    <ns0:row r="21" ht="6" customHeight="1">
      <ns0:c r="A21" s="19"/>
      <ns0:c r="B21" s="20"/>
      <ns0:c r="C21" s="20"/>
      <ns0:c r="D21" s="21"/>
    </ns0:row>
    <ns0:row r="22" ht="16" customHeight="1">
      <ns0:c r="A22" s="19" t="str">
        <ns0:v>Eingänge abzüglich Abflüsse</ns0:v>
      </ns0:c>
      <ns0:c r="B22" s="20" t="n">
        <ns0:f>B20-C20</ns0:f>
        <ns0:v>1920.6</ns0:v>
      </ns0:c>
      <ns0:c r="C22" s="20"/>
      <ns0:c r="D22" s="21" t="str">
        <ns0:v>Keine freie Rate und kein pfändbarer Betrag</ns0:v>
      </ns0:c>
    </ns0:row>
    <ns0:row r="23" ht="6" customHeight="1">
      <ns0:c r="A23" s="2"/>
      <ns0:c r="B23" s="2"/>
      <ns0:c r="C23" s="2"/>
      <ns0:c r="D23" s="2"/>
    </ns0:row>
    <ns0:row r="24" ht="6" customHeight="1">
      <ns0:c r="A24" s="2"/>
      <ns0:c r="B24" s="2"/>
      <ns0:c r="C24" s="2"/>
      <ns0:c r="D24" s="2"/>
    </ns0:row>
    <ns0:row r="25" ht="16" customHeight="1">
      <ns0:c r="A25" s="4" t="str">
        <ns0:v>Blau: veränderbare Belegwerte. Schwarz: berechnete Summen.</ns0:v>
      </ns0:c>
      <ns0:c r="B25" s="2"/>
      <ns0:c r="C25" s="2"/>
      <ns0:c r="D25" s="2"/>
    </ns0:row>
    <ns0:row r="26" ht="16" customHeight="1">
      <ns0:c r="A26" s="4" t="str">
        <ns0:v>Überträge auf das Haushaltskonto sind keine zusätzlichen Einnahmen.</ns0:v>
      </ns0:c>
      <ns0:c r="B26" s="2"/>
      <ns0:c r="C26" s="2"/>
      <ns0:c r="D26" s="2"/>
    </ns0:row>
    <ns0:row r="27" ht="16" customHeight="1">
      <ns0:c r="A27" s="4" t="str">
        <ns0:v>Der Übertrag von 120 EUR gehört zu den internen Kontobewegungen.</ns0:v>
      </ns0:c>
      <ns0:c r="B27" s="2"/>
      <ns0:c r="C27" s="2"/>
      <ns0:c r="D27" s="2"/>
    </ns0:row>
    <ns0:row r="28" ht="16" customHeight="1">
      <ns0:c r="A28" s="4" t="str">
        <ns0:v>September enthält keine Zahlung auf den Kredit K7742 oder E24188.</ns0:v>
      </ns0:c>
      <ns0:c r="B28" s="2"/>
      <ns0:c r="C28" s="2"/>
      <ns0:c r="D28" s="2"/>
    </ns0:row>
    <ns0:row r="29" ht="16" customHeight="1">
      <ns0:c r="A29" s="4" t="str">
        <ns0:v>Gebäudeversicherung, Kleidung, Gesundheit und weitere Kosten sind offen.</ns0:v>
      </ns0:c>
      <ns0:c r="B29" s="2"/>
      <ns0:c r="C29" s="2"/>
      <ns0:c r="D29" s="2"/>
    </ns0:row>
    <ns0:row r="30" ht="16" customHeight="1">
      <ns0:c r="A30" s="4" t="str">
        <ns0:v>Der rechnerische Rest darf deshalb nicht als verfügbare Planrate gelten.</ns0:v>
      </ns0:c>
      <ns0:c r="B30" s="2"/>
      <ns0:c r="C30" s="2"/>
      <ns0:c r="D30" s="2"/>
    </ns0:row>
    <ns0:row r="31" ht="16" customHeight="1">
      <ns0:c r="A31" s="4" t="str">
        <ns0:v>Hausrückstände 4.320 EUR sind keine zweite monatliche Hausrate.</ns0:v>
      </ns0:c>
      <ns0:c r="B31" s="2"/>
      <ns0:c r="C31" s="2"/>
      <ns0:c r="D31" s="2"/>
    </ns0:row>
    <ns0:row r="32" ht="16" customHeight="1">
      <ns0:c r="A32" s="4" t="str">
        <ns0:v>Kaution 2.700 EUR wäre erst bei Anmietung fällig. Noch kein Vertrag.</ns0:v>
      </ns0:c>
      <ns0:c r="B32" s="2"/>
      <ns0:c r="C32" s="2"/>
      <ns0:c r="D32" s="2"/>
    </ns0:row>
    <ns0:row r="33" ht="16" customHeight="1">
      <ns0:c r="A33" s="4" t="str">
        <ns0:v>Die angekündigte Hilfe des Bruders ist entfallen und kein Einkommen.</ns0:v>
      </ns0:c>
      <ns0:c r="B33" s="2"/>
      <ns0:c r="C33" s="2"/>
      <ns0:c r="D33" s="2"/>
    </ns0:row>
    <ns0:row r="34" ht="16" customHeight="1">
      <ns0:c r="A34" s="4" t="str">
        <ns0:v>Lohnpfändung, Kontopfändung und Haushaltsbedarf getrennt berechnen.</ns0:v>
      </ns0:c>
      <ns0:c r="B34" s="2"/>
      <ns0:c r="C34" s="2"/>
      <ns0:c r="D34" s="2"/>
    </ns0:row>
    <ns0:row r="35" ht="16" customHeight="1">
      <ns0:c r="A35" s="4" t="str">
        <ns0:v>Stand der Zusammenstellung: 14.10.2026, Ottilie Gündling.</ns0:v>
      </ns0:c>
      <ns0:c r="B35" s="2"/>
      <ns0:c r="C35" s="2"/>
      <ns0:c r="D35" s="2"/>
    </ns0:row>
    <ns0:row r="36" ht="16" customHeight="1">
      <ns0:c r="A36" s="2"/>
      <ns0:c r="B36" s="2"/>
      <ns0:c r="C36" s="2"/>
      <ns0:c r="D36" s="2"/>
    </ns0:row>
    <ns0:row r="37" ht="16" customHeight="1">
      <ns0:c r="A37" s="2"/>
      <ns0:c r="B37" s="2"/>
      <ns0:c r="C37" s="2"/>
      <ns0:c r="D37" s="2"/>
    </ns0:row>
    <ns0:row r="38" ht="16" customHeight="1">
      <ns0:c r="A38" s="2"/>
      <ns0:c r="B38" s="2"/>
      <ns0:c r="C38" s="2"/>
      <ns0:c r="D38" s="2"/>
    </ns0:row>
  </ns0:sheetData>
  <ns0:pageMargins left="0.25" right="0.25" top="0.25" bottom="0.25" header="0.25" footer="0.25"/>
  <ns0:pageSetup orientation="landscape" paperSize="9" fitToWidth="1" fitToHeight="0"/>
</ns0:worksheet>
</file>

<file path=xl/worksheets/sheet2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32" hidden="0" customWidth="1"/>
    <ns0:col min="2" max="2" width="20" hidden="0" customWidth="1"/>
    <ns0:col min="3" max="3" width="20" hidden="0" customWidth="1"/>
    <ns0:col min="4" max="4" width="20" hidden="0" customWidth="1"/>
    <ns0:col min="5" max="5" width="20" hidden="0" customWidth="1"/>
  </ns0:cols>
  <ns0:sheetData>
    <ns0:row r="1" ht="16" customHeight="1">
      <ns0:c r="A1" s="2"/>
      <ns0:c r="B1" s="2"/>
      <ns0:c r="C1" s="2"/>
      <ns0:c r="D1" s="2"/>
      <ns0:c r="E1" s="2"/>
    </ns0:row>
    <ns0:row r="2" ht="24" customHeight="1">
      <ns0:c r="A2" s="3" t="str">
        <ns0:v>Kontenabgleich September 2026</ns0:v>
      </ns0:c>
      <ns0:c r="B2" s="2"/>
      <ns0:c r="C2" s="2"/>
      <ns0:c r="D2" s="2"/>
      <ns0:c r="E2" s="2"/>
    </ns0:row>
    <ns0:row r="3" ht="16" customHeight="1">
      <ns0:c r="A3" s="4" t="str">
        <ns0:v>Kontrollrechnung aus den drei Auszügen. Interne Überträge nicht konsolidiert.</ns0:v>
      </ns0:c>
      <ns0:c r="B3" s="2"/>
      <ns0:c r="C3" s="2"/>
      <ns0:c r="D3" s="2"/>
      <ns0:c r="E3" s="2"/>
    </ns0:row>
    <ns0:row r="4" ht="16" customHeight="1">
      <ns0:c r="A4" s="2"/>
      <ns0:c r="B4" s="2"/>
      <ns0:c r="C4" s="2"/>
      <ns0:c r="D4" s="2"/>
      <ns0:c r="E4" s="2"/>
    </ns0:row>
    <ns0:row r="5" ht="30" customHeight="1">
      <ns0:c r="A5" s="8" t="str">
        <ns0:v>Konto</ns0:v>
      </ns0:c>
      <ns0:c r="B5" s="8" t="str">
        <ns0:v>Anfang</ns0:v>
      </ns0:c>
      <ns0:c r="C5" s="8" t="str">
        <ns0:v>Eingänge</ns0:v>
      </ns0:c>
      <ns0:c r="D5" s="8" t="str">
        <ns0:v>Abgänge</ns0:v>
      </ns0:c>
      <ns0:c r="E5" s="8" t="str">
        <ns0:v>Ende</ns0:v>
      </ns0:c>
    </ns0:row>
    <ns0:row r="6" ht="16" customHeight="1">
      <ns0:c r="A6" s="2" t="str">
        <ns0:v>Fridolin 1812</ns0:v>
      </ns0:c>
      <ns0:c r="B6" s="11" t="n">
        <ns0:v>184.3</ns0:v>
      </ns0:c>
      <ns0:c r="C6" s="11" t="n">
        <ns0:v>3120</ns0:v>
      </ns0:c>
      <ns0:c r="D6" s="11" t="n">
        <ns0:v>2798.4</ns0:v>
      </ns0:c>
      <ns0:c r="E6" s="12" t="n">
        <ns0:f>B6+C6-D6</ns0:f>
        <ns0:v>505.9000000000001</ns0:v>
      </ns0:c>
    </ns0:row>
    <ns0:row r="7" ht="16" customHeight="1">
      <ns0:c r="A7" s="2" t="str">
        <ns0:v>Lale 7044</ns0:v>
      </ns0:c>
      <ns0:c r="B7" s="11" t="n">
        <ns0:v>-2200</ns0:v>
      </ns0:c>
      <ns0:c r="C7" s="11" t="n">
        <ns0:v>1898</ns0:v>
      </ns0:c>
      <ns0:c r="D7" s="11" t="n">
        <ns0:v>1818</ns0:v>
      </ns0:c>
      <ns0:c r="E7" s="12" t="n">
        <ns0:f>B7+C7-D7</ns0:f>
        <ns0:v>-2120</ns0:v>
      </ns0:c>
    </ns0:row>
    <ns0:row r="8" ht="16" customHeight="1">
      <ns0:c r="A8" s="2" t="str">
        <ns0:v>Gemeinsam 3388</ns0:v>
      </ns0:c>
      <ns0:c r="B8" s="11" t="n">
        <ns0:v>72</ns0:v>
      </ns0:c>
      <ns0:c r="C8" s="11" t="n">
        <ns0:v>4438</ns0:v>
      </ns0:c>
      <ns0:c r="D8" s="11" t="n">
        <ns0:v>2919</ns0:v>
      </ns0:c>
      <ns0:c r="E8" s="12" t="n">
        <ns0:f>B8+C8-D8</ns0:f>
        <ns0:v>1591</ns0:v>
      </ns0:c>
    </ns0:row>
    <ns0:row r="9" ht="16" customHeight="1">
      <ns0:c r="A9" s="2"/>
      <ns0:c r="B9" s="2"/>
      <ns0:c r="C9" s="2"/>
      <ns0:c r="D9" s="2"/>
      <ns0:c r="E9" s="2"/>
    </ns0:row>
    <ns0:row r="10" ht="16" customHeight="1">
      <ns0:c r="A10" s="2"/>
      <ns0:c r="B10" s="2"/>
      <ns0:c r="C10" s="2"/>
      <ns0:c r="D10" s="2"/>
      <ns0:c r="E10" s="2"/>
    </ns0:row>
    <ns0:row r="11" ht="16" customHeight="1">
      <ns0:c r="A11" s="4" t="str">
        <ns0:v>Quellen: 14_Konto_Fridolin.pdf, 15_Konto_Lale.pdf, 33_Haushaltskonto.pdf.</ns0:v>
      </ns0:c>
      <ns0:c r="B11" s="2"/>
      <ns0:c r="C11" s="2"/>
      <ns0:c r="D11" s="2"/>
      <ns0:c r="E11" s="2"/>
    </ns0:row>
    <ns0:row r="12" ht="16" customHeight="1">
      <ns0:c r="A12" s="2"/>
      <ns0:c r="B12" s="2"/>
      <ns0:c r="C12" s="2"/>
      <ns0:c r="D12" s="2"/>
      <ns0:c r="E12" s="2"/>
    </ns0:row>
    <ns0:row r="13" ht="16" customHeight="1">
      <ns0:c r="A13" s="4" t="str">
        <ns0:v>Keine Summierung aller Eingänge: 4.438 EUR sind interne Überträge.</ns0:v>
      </ns0:c>
      <ns0:c r="B13" s="2"/>
      <ns0:c r="C13" s="2"/>
      <ns0:c r="D13" s="2"/>
      <ns0:c r="E13" s="2"/>
    </ns0:row>
    <ns0:row r="14" ht="16" customHeight="1">
      <ns0:c r="A14" s="2"/>
      <ns0:c r="B14" s="2"/>
      <ns0:c r="C14" s="2"/>
      <ns0:c r="D14" s="2"/>
      <ns0:c r="E14" s="2"/>
    </ns0:row>
    <ns0:row r="15" ht="16" customHeight="1">
      <ns0:c r="A15" s="4" t="str">
        <ns0:v>Der negative Endsaldo Lales ist ein Kreditstand, keine Haushaltsausgabe.</ns0:v>
      </ns0:c>
      <ns0:c r="B15" s="2"/>
      <ns0:c r="C15" s="2"/>
      <ns0:c r="D15" s="2"/>
      <ns0:c r="E15" s="2"/>
    </ns0:row>
    <ns0:row r="16" ht="16" customHeight="1">
      <ns0:c r="A16" s="2"/>
      <ns0:c r="B16" s="2"/>
      <ns0:c r="C16" s="2"/>
      <ns0:c r="D16" s="2"/>
      <ns0:c r="E16" s="2"/>
    </ns0:row>
    <ns0:row r="17" ht="16" customHeight="1">
      <ns0:c r="A17" s="4" t="str">
        <ns0:v>Zinsen des dritten Quartals sind am 30.09. noch nicht gebucht.</ns0:v>
      </ns0:c>
      <ns0:c r="B17" s="2"/>
      <ns0:c r="C17" s="2"/>
      <ns0:c r="D17" s="2"/>
      <ns0:c r="E17" s="2"/>
    </ns0:row>
    <ns0:row r="18" ht="16" customHeight="1">
      <ns0:c r="A18" s="2"/>
      <ns0:c r="B18" s="2"/>
      <ns0:c r="C18" s="2"/>
      <ns0:c r="D18" s="2"/>
      <ns0:c r="E18" s="2"/>
    </ns0:row>
    <ns0:row r="19" ht="16" customHeight="1">
      <ns0:c r="A19" s="4" t="str">
        <ns0:v>Guthaben allein belegt weder Verfügungsbefugnis noch Pfändungsschutz.</ns0:v>
      </ns0:c>
      <ns0:c r="B19" s="2"/>
      <ns0:c r="C19" s="2"/>
      <ns0:c r="D19" s="2"/>
      <ns0:c r="E19" s="2"/>
    </ns0:row>
    <ns0:row r="20" ht="16" customHeight="1">
      <ns0:c r="A20" s="2"/>
      <ns0:c r="B20" s="2"/>
      <ns0:c r="C20" s="2"/>
      <ns0:c r="D20" s="2"/>
      <ns0:c r="E20" s="2"/>
    </ns0:row>
    <ns0:row r="21" ht="16" customHeight="1">
      <ns0:c r="A21" s="2"/>
      <ns0:c r="B21" s="2"/>
      <ns0:c r="C21" s="2"/>
      <ns0:c r="D21" s="2"/>
      <ns0:c r="E21" s="2"/>
    </ns0:row>
    <ns0:row r="22" ht="16" customHeight="1">
      <ns0:c r="A22" s="2"/>
      <ns0:c r="B22" s="2"/>
      <ns0:c r="C22" s="2"/>
      <ns0:c r="D22" s="2"/>
      <ns0:c r="E22" s="2"/>
    </ns0:row>
    <ns0:row r="23" ht="16" customHeight="1">
      <ns0:c r="A23" s="2"/>
      <ns0:c r="B23" s="2"/>
      <ns0:c r="C23" s="2"/>
      <ns0:c r="D23" s="2"/>
      <ns0:c r="E23" s="2"/>
    </ns0:row>
  </ns0:sheetData>
  <ns0:pageMargins left="0.25" right="0.25" top="0.25" bottom="0.25" header="0.25" footer="0.25"/>
  <ns0:pageSetup orientation="landscape" paperSize="9" fitToWidth="1" fitToHeight="0"/>
</ns0:worksheet>
</file>