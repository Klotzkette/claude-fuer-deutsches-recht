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6058ecc1c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ne_Posten" sheetId="1" r:id="Rc8a0c3d53bf64db5"/>
    <x:sheet xmlns:r="http://schemas.openxmlformats.org/officeDocument/2006/relationships" name="Zahlungseingaenge" sheetId="2" r:id="R6211f07516d84ae9"/>
    <x:sheet xmlns:r="http://schemas.openxmlformats.org/officeDocument/2006/relationships" name="Abgrenzungen" sheetId="3" r:id="R526af12109d74548"/>
    <x:sheet xmlns:r="http://schemas.openxmlformats.org/officeDocument/2006/relationships" name="Inventar_Ueberleitung" sheetId="4" r:id="R59c49d540147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bccb0c84c4e19" /><Relationship Type="http://schemas.openxmlformats.org/officeDocument/2006/relationships/theme" Target="/xl/theme/theme1.xml" Id="Ra7c13df175214871" /><Relationship Type="http://schemas.openxmlformats.org/officeDocument/2006/relationships/sharedStrings" Target="/xl/sharedStrings.xml" Id="R65a6a0cc3ee34b3e" /><Relationship Type="http://schemas.openxmlformats.org/officeDocument/2006/relationships/worksheet" Target="/xl/worksheets/sheet1.xml" Id="Rc8a0c3d53bf64db5" /><Relationship Type="http://schemas.openxmlformats.org/officeDocument/2006/relationships/worksheet" Target="/xl/worksheets/sheet2.xml" Id="R6211f07516d84ae9" /><Relationship Type="http://schemas.openxmlformats.org/officeDocument/2006/relationships/worksheet" Target="/xl/worksheets/sheet3.xml" Id="R526af12109d74548" /><Relationship Type="http://schemas.openxmlformats.org/officeDocument/2006/relationships/worksheet" Target="/xl/worksheets/sheet4.xml" Id="R59c49d540147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5" hidden="0" customWidth="1"/>
    <x:col min="5" max="5" width="13" hidden="0" customWidth="1"/>
    <x:col min="6" max="6" width="15" hidden="0" customWidth="1"/>
    <x:col min="7" max="7" width="20" hidden="0" customWidth="1"/>
    <x:col min="8" max="8" width="23" hidden="0" customWidth="1"/>
  </x:cols>
  <x:sheetData>
    <x:row r="1" ht="24" customHeight="1">
      <x:c r="A1" s="4" t="str">
        <x:v>Offene Lizenz- und Vertriebsforderungen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Debitor</x:v>
      </x:c>
      <x:c r="B5" s="11" t="str">
        <x:v>Vertrag</x:v>
      </x:c>
      <x:c r="C5" s="11" t="str">
        <x:v>Rechnung</x:v>
      </x:c>
      <x:c r="D5" s="11" t="str">
        <x:v>Fälligkeit</x:v>
      </x:c>
      <x:c r="E5" s="11" t="str">
        <x:v>Brutto EUR</x:v>
      </x:c>
      <x:c r="F5" s="11" t="str">
        <x:v>Zahlweg</x:v>
      </x:c>
      <x:c r="G5" s="11" t="str">
        <x:v>Status</x:v>
      </x:c>
      <x:c r="H5" s="11" t="str">
        <x:v>Einwand</x:v>
      </x:c>
    </x:row>
    <x:row r="6" ht="34" customHeight="1">
      <x:c r="A6" s="14" t="str">
        <x:v>Rheinbild Mediathek</x:v>
      </x:c>
      <x:c r="B6" s="14" t="str">
        <x:v>18.08.2025</x:v>
      </x:c>
      <x:c r="C6" s="14" t="str">
        <x:v>KL-2026-118</x:v>
      </x:c>
      <x:c r="D6" s="14" t="str">
        <x:v>01.04.2027</x:v>
      </x:c>
      <x:c r="E6" s="14" t="n">
        <x:v>107100</x:v>
      </x:c>
      <x:c r="F6" s="14" t="str">
        <x:v>Projektkonto</x:v>
      </x:c>
      <x:c r="G6" s="14" t="str">
        <x:v>zukünftig</x:v>
      </x:c>
      <x:c r="H6" s="14" t="str">
        <x:v>keiner mitgeteilt</x:v>
      </x:c>
    </x:row>
    <x:row r="7" ht="34" customHeight="1">
      <x:c r="A7" s="15" t="str">
        <x:v>Südwest-Fernsehkontor</x:v>
      </x:c>
      <x:c r="B7" s="15" t="str">
        <x:v>02.02.2026</x:v>
      </x:c>
      <x:c r="C7" s="15" t="str">
        <x:v>KL-2026-204</x:v>
      </x:c>
      <x:c r="D7" s="15" t="str">
        <x:v>02.11.2026</x:v>
      </x:c>
      <x:c r="E7" s="15" t="n">
        <x:v>83300</x:v>
      </x:c>
      <x:c r="F7" s="15" t="str">
        <x:v>Projektkonto</x:v>
      </x:c>
      <x:c r="G7" s="15" t="str">
        <x:v>offen</x:v>
      </x:c>
      <x:c r="H7" s="15" t="str">
        <x:v>Archivnachweis angefragt</x:v>
      </x:c>
    </x:row>
    <x:row r="8" ht="34" customHeight="1">
      <x:c r="A8" s="14" t="str">
        <x:v>Festival Lumière du Rhin</x:v>
      </x:c>
      <x:c r="B8" s="14" t="str">
        <x:v>12.01.2026</x:v>
      </x:c>
      <x:c r="C8" s="14" t="str">
        <x:v>KL-2026-087</x:v>
      </x:c>
      <x:c r="D8" s="14" t="str">
        <x:v>15.03.2026</x:v>
      </x:c>
      <x:c r="E8" s="14" t="n">
        <x:v>3800</x:v>
      </x:c>
      <x:c r="F8" s="14" t="str">
        <x:v>operatives Konto</x:v>
      </x:c>
      <x:c r="G8" s="14" t="str">
        <x:v>überfällig</x:v>
      </x:c>
      <x:c r="H8" s="14" t="str">
        <x:v>Quellensteuerbescheinigung</x:v>
      </x:c>
    </x:row>
    <x:row r="9" ht="34" customHeight="1">
      <x:c r="A9" s="15" t="str">
        <x:v>Heidelberger Filmnacht e.V.</x:v>
      </x:c>
      <x:c r="B9" s="15" t="str">
        <x:v>05.02.2026</x:v>
      </x:c>
      <x:c r="C9" s="15" t="str">
        <x:v>KL-2026-101</x:v>
      </x:c>
      <x:c r="D9" s="15" t="str">
        <x:v>30.04.2026</x:v>
      </x:c>
      <x:c r="E9" s="15" t="n">
        <x:v>1428</x:v>
      </x:c>
      <x:c r="F9" s="15" t="str">
        <x:v>operatives Konto</x:v>
      </x:c>
      <x:c r="G9" s="15" t="str">
        <x:v>teilbezahlt</x:v>
      </x:c>
      <x:c r="H9" s="15" t="str">
        <x:v>Gutschrift 238 EUR</x:v>
      </x:c>
    </x:row>
    <x:row r="10" ht="34" customHeight="1">
      <x:c r="A10" s="14" t="str">
        <x:v>Pfalzstern Filmverleih</x:v>
      </x:c>
      <x:c r="B10" s="14" t="str">
        <x:v>Deal Memo</x:v>
      </x:c>
      <x:c r="C10" s="14" t="str">
        <x:v>Abrechnung Q2</x:v>
      </x:c>
      <x:c r="D10" s="14" t="str">
        <x:v>noch nicht fällig</x:v>
      </x:c>
      <x:c r="E10" s="14" t="n">
        <x:v>0</x:v>
      </x:c>
      <x:c r="F10" s="14" t="str">
        <x:v>n/a</x:v>
      </x:c>
      <x:c r="G10" s="14" t="str">
        <x:v>negativer Verleihstand</x:v>
      </x:c>
      <x:c r="H10" s="14" t="str">
        <x:v>Vorkosten</x:v>
      </x:c>
    </x:row>
    <x:row r="11" ht="34" customHeight="1">
      <x:c r="A11" s="15" t="str">
        <x:v>Rheinbild Mediathek</x:v>
      </x:c>
      <x:c r="B11" s="15" t="str">
        <x:v>18.08.2025</x:v>
      </x:c>
      <x:c r="C11" s="15" t="str">
        <x:v>KL-2026-119</x:v>
      </x:c>
      <x:c r="D11" s="15" t="str">
        <x:v>01.04.2026</x:v>
      </x:c>
      <x:c r="E11" s="15" t="n">
        <x:v>107100</x:v>
      </x:c>
      <x:c r="F11" s="15" t="str">
        <x:v>operatives Konto</x:v>
      </x:c>
      <x:c r="G11" s="15" t="str">
        <x:v>bezahlt 06.04.2026</x:v>
      </x:c>
      <x:c r="H11" s="15" t="str">
        <x:v>abweichender Zahlweg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5" hidden="0" customWidth="1"/>
    <x:col min="5" max="5" width="25" hidden="0" customWidth="1"/>
    <x:col min="6" max="6" width="19" hidden="0" customWidth="1"/>
  </x:cols>
  <x:sheetData>
    <x:row r="1" ht="24" customHeight="1">
      <x:c r="A1" s="4" t="str">
        <x:v>Offene Lizenz- und Vertriebsforderungen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Datum</x:v>
      </x:c>
      <x:c r="B5" s="11" t="str">
        <x:v>Zahler</x:v>
      </x:c>
      <x:c r="C5" s="11" t="str">
        <x:v>Betrag EUR</x:v>
      </x:c>
      <x:c r="D5" s="11" t="str">
        <x:v>Konto</x:v>
      </x:c>
      <x:c r="E5" s="11" t="str">
        <x:v>Zuordnung Buchhaltung</x:v>
      </x:c>
      <x:c r="F5" s="11" t="str">
        <x:v>Abweichung</x:v>
      </x:c>
    </x:row>
    <x:row r="6" ht="34" customHeight="1">
      <x:c r="A6" s="14" t="str">
        <x:v>19.08.2025</x:v>
      </x:c>
      <x:c r="B6" s="14" t="str">
        <x:v>Rheinbild</x:v>
      </x:c>
      <x:c r="C6" s="14" t="n">
        <x:v>90000</x:v>
      </x:c>
      <x:c r="D6" s="14" t="str">
        <x:v>Projektkonto</x:v>
      </x:c>
      <x:c r="E6" s="14" t="str">
        <x:v>Mindestgarantie Rate 1 netto</x:v>
      </x:c>
      <x:c r="F6" s="14" t="str">
        <x:v>keine</x:v>
      </x:c>
    </x:row>
    <x:row r="7" ht="34" customHeight="1">
      <x:c r="A7" s="15" t="str">
        <x:v>06.04.2026</x:v>
      </x:c>
      <x:c r="B7" s="15" t="str">
        <x:v>Rheinbild</x:v>
      </x:c>
      <x:c r="C7" s="15" t="n">
        <x:v>107100</x:v>
      </x:c>
      <x:c r="D7" s="15" t="str">
        <x:v>operatives Konto</x:v>
      </x:c>
      <x:c r="E7" s="15" t="str">
        <x:v>Rate 2 brutto</x:v>
      </x:c>
      <x:c r="F7" s="15" t="str">
        <x:v>nicht Projektkonto</x:v>
      </x:c>
    </x:row>
    <x:row r="8" ht="34" customHeight="1">
      <x:c r="A8" s="14" t="str">
        <x:v>10.02.2026</x:v>
      </x:c>
      <x:c r="B8" s="14" t="str">
        <x:v>Südwest</x:v>
      </x:c>
      <x:c r="C8" s="14" t="n">
        <x:v>83300</x:v>
      </x:c>
      <x:c r="D8" s="14" t="str">
        <x:v>Projektkonto</x:v>
      </x:c>
      <x:c r="E8" s="14" t="str">
        <x:v>Rate 1 brutto</x:v>
      </x:c>
      <x:c r="F8" s="14" t="str">
        <x:v>keine</x:v>
      </x:c>
    </x:row>
    <x:row r="9" ht="34" customHeight="1">
      <x:c r="A9" s="15" t="str">
        <x:v>18.05.2026</x:v>
      </x:c>
      <x:c r="B9" s="15" t="str">
        <x:v>Südwest</x:v>
      </x:c>
      <x:c r="C9" s="15" t="n">
        <x:v>83300</x:v>
      </x:c>
      <x:c r="D9" s="15" t="str">
        <x:v>Projektkonto</x:v>
      </x:c>
      <x:c r="E9" s="15" t="str">
        <x:v>Rate 2 brutto</x:v>
      </x:c>
      <x:c r="F9" s="15" t="str">
        <x:v>keine</x:v>
      </x:c>
    </x:row>
    <x:row r="10" ht="34" customHeight="1">
      <x:c r="A10" s="14" t="str">
        <x:v>06.10.2026</x:v>
      </x:c>
      <x:c r="B10" s="14" t="str">
        <x:v>Rheinbild</x:v>
      </x:c>
      <x:c r="C10" s="14" t="n">
        <x:v>17850</x:v>
      </x:c>
      <x:c r="D10" s="14" t="str">
        <x:v>Massekonto</x:v>
      </x:c>
      <x:c r="E10" s="14" t="str">
        <x:v>technische Nachvergütung</x:v>
      </x:c>
      <x:c r="F10" s="14" t="str">
        <x:v>Vertragsposten unklar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9" hidden="0" customWidth="1"/>
    <x:col min="4" max="4" width="24" hidden="0" customWidth="1"/>
    <x:col min="5" max="5" width="15" hidden="0" customWidth="1"/>
  </x:cols>
  <x:sheetData>
    <x:row r="1" ht="24" customHeight="1">
      <x:c r="A1" s="4" t="str">
        <x:v>Offene Lizenz- und Vertriebsforderungen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Position</x:v>
      </x:c>
      <x:c r="B5" s="11" t="str">
        <x:v>Buchhaltung</x:v>
      </x:c>
      <x:c r="C5" s="11" t="str">
        <x:v>APA-Anlage</x:v>
      </x:c>
      <x:c r="D5" s="11" t="str">
        <x:v>Bankliste</x:v>
      </x:c>
      <x:c r="E5" s="11" t="str">
        <x:v>Klärung</x:v>
      </x:c>
    </x:row>
    <x:row r="6" ht="34" customHeight="1">
      <x:c r="A6" s="14" t="str">
        <x:v>Südwest Rate 3</x:v>
      </x:c>
      <x:c r="B6" s="14" t="str">
        <x:v>Forderung</x:v>
      </x:c>
      <x:c r="C6" s="14" t="str">
        <x:v>übertragene Forderung</x:v>
      </x:c>
      <x:c r="D6" s="14" t="str">
        <x:v>sicherungsabgetreten</x:v>
      </x:c>
      <x:c r="E6" s="14" t="str">
        <x:v>Zahlungsempfänger</x:v>
      </x:c>
    </x:row>
    <x:row r="7" ht="34" customHeight="1">
      <x:c r="A7" s="15" t="str">
        <x:v>Rheinbild Rate 2027</x:v>
      </x:c>
      <x:c r="B7" s="15" t="str">
        <x:v>zukünftige Forderung</x:v>
      </x:c>
      <x:c r="C7" s="15" t="str">
        <x:v>Erwerbererlös</x:v>
      </x:c>
      <x:c r="D7" s="15" t="str">
        <x:v>sicherungsabgetreten</x:v>
      </x:c>
      <x:c r="E7" s="15" t="str">
        <x:v>Vertragsübernahme</x:v>
      </x:c>
    </x:row>
    <x:row r="8" ht="34" customHeight="1">
      <x:c r="A8" s="14" t="str">
        <x:v>Festival Lumière</x:v>
      </x:c>
      <x:c r="B8" s="14" t="str">
        <x:v>Forderung</x:v>
      </x:c>
      <x:c r="C8" s="14" t="str">
        <x:v>nicht aufgeführt</x:v>
      </x:c>
      <x:c r="D8" s="14" t="str">
        <x:v>sicherungsabgetreten</x:v>
      </x:c>
      <x:c r="E8" s="14" t="str">
        <x:v>Auslandsbeleg</x:v>
      </x:c>
    </x:row>
    <x:row r="9" ht="34" customHeight="1">
      <x:c r="A9" s="15" t="str">
        <x:v>Pfalzstern Abrechnung</x:v>
      </x:c>
      <x:c r="B9" s="15" t="str">
        <x:v>kein Aktivposten</x:v>
      </x:c>
      <x:c r="C9" s="15" t="str">
        <x:v>Vertrag übertragen</x:v>
      </x:c>
      <x:c r="D9" s="15" t="str">
        <x:v>Globalzession bei Entstehen</x:v>
      </x:c>
      <x:c r="E9" s="15" t="str">
        <x:v>Vorkosten prüfen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7" hidden="0" customWidth="1"/>
    <x:col min="3" max="3" width="48" hidden="0" customWidth="1"/>
  </x:cols>
  <x:sheetData>
    <x:row r="1" ht="24" customHeight="1">
      <x:c r="A1" s="4" t="str">
        <x:v>Offene Lizenz- und Vertriebsforderungen</x:v>
      </x:c>
      <x:c r="B1" s="4"/>
      <x:c r="C1" s="4"/>
    </x:row>
    <x:row r="2" ht="24" customHeight="1">
      <x:c r="A2" s="4"/>
      <x:c r="B2" s="4"/>
      <x:c r="C2" s="4"/>
    </x:row>
    <x:row r="3" ht="28" customHeight="1">
      <x:c r="A3" s="8" t="str">
        <x:v>Arbeitsstand aus den beigefügten Aktenstücken; offene Angaben bleiben offen und sind nicht als Nullwert zu behandeln. Die Überleitung ersetzt die frühere, nicht abgestimmte Arbeitssumme von 321.628 EUR.</x:v>
      </x:c>
      <x:c r="B3" s="8"/>
      <x:c r="C3" s="8"/>
    </x:row>
    <x:row r="5" ht="36" customHeight="1">
      <x:c r="A5" s="11" t="str">
        <x:v>Position</x:v>
      </x:c>
      <x:c r="B5" s="11" t="str">
        <x:v>Betrag EUR</x:v>
      </x:c>
      <x:c r="C5" s="11" t="str">
        <x:v>Berechnung/Einordnung</x:v>
      </x:c>
    </x:row>
    <x:row r="6" ht="34" customHeight="1">
      <x:c r="A6" s="14" t="str">
        <x:v>Bruttolistenwert aller sechs Zeilen</x:v>
      </x:c>
      <x:c r="B6" s="14" t="n">
        <x:f>SUM(Offene_Posten!$E$6:$E$11)</x:f>
        <x:v>302728</x:v>
      </x:c>
      <x:c r="C6" s="14" t="str">
        <x:v>302.728 EUR einschließlich bereits bezahlter Rheinbild-Rate KL-2026-119</x:v>
      </x:c>
    </x:row>
    <x:row r="7" ht="34" customHeight="1">
      <x:c r="A7" s="15" t="str">
        <x:v>abzüglich bezahlte Rheinbild-Rate KL-2026-119</x:v>
      </x:c>
      <x:c r="B7" s="15" t="n">
        <x:v>-107100</x:v>
      </x:c>
      <x:c r="C7" s="15" t="str">
        <x:v>Zahlung 06.04.2026 auf operatives Konto</x:v>
      </x:c>
    </x:row>
    <x:row r="8" ht="34" customHeight="1">
      <x:c r="A8" s="14" t="str">
        <x:v>nominell offen oder zukünftig</x:v>
      </x:c>
      <x:c r="B8" s="14" t="n">
        <x:f>B6+B7</x:f>
        <x:v>195628</x:v>
      </x:c>
      <x:c r="C8" s="14" t="str">
        <x:v>195.628 EUR; Teilzahlung und Einwendungen gesondert prüfen</x:v>
      </x:c>
    </x:row>
    <x:row r="9" ht="34" customHeight="1">
      <x:c r="A9" s="15" t="str">
        <x:v>technische Nachvergütung Rheinbild</x:v>
      </x:c>
      <x:c r="B9" s="15" t="n">
        <x:v>17850</x:v>
      </x:c>
      <x:c r="C9" s="15" t="str">
        <x:v>Zahlung 06.10.2026 auf Massekonto; nicht Bestandteil der sechs Bruttolistenzeilen</x:v>
      </x:c>
    </x:row>
    <x:row r="10" ht="34" customHeight="1">
      <x:c r="A10" s="14" t="str">
        <x:v>Kontrolle Inventarvermerk</x:v>
      </x:c>
      <x:c r="B10" s="14" t="n">
        <x:f>B8-195628</x:f>
        <x:v>0</x:v>
      </x:c>
      <x:c r="C10" s="14" t="str">
        <x:v>muss 0 ergeben</x:v>
      </x:c>
    </x:row>
  </x:sheetData>
  <x:mergeCells>
    <x:mergeCell ref="A1:C2"/>
    <x:mergeCell ref="A3:C3"/>
  </x:mergeCells>
  <x:pageMargins left="0.7" right="0.7" top="0.75" bottom="0.75" header="0.3" footer="0.3"/>
</x:worksheet>
</file>