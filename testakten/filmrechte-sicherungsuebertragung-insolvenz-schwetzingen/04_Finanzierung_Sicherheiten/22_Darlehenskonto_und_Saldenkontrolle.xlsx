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c3365d896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rlehenskonto" sheetId="1" r:id="Rfec40c92c6d442a1"/>
    <x:sheet xmlns:r="http://schemas.openxmlformats.org/officeDocument/2006/relationships" name="Kontrollsummen" sheetId="2" r:id="R139a4826885e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e511ec8914258" /><Relationship Type="http://schemas.openxmlformats.org/officeDocument/2006/relationships/theme" Target="/xl/theme/theme1.xml" Id="R4f9b495284c4492b" /><Relationship Type="http://schemas.openxmlformats.org/officeDocument/2006/relationships/sharedStrings" Target="/xl/sharedStrings.xml" Id="Rdebaa38db4c441fb" /><Relationship Type="http://schemas.openxmlformats.org/officeDocument/2006/relationships/worksheet" Target="/xl/worksheets/sheet1.xml" Id="Rfec40c92c6d442a1" /><Relationship Type="http://schemas.openxmlformats.org/officeDocument/2006/relationships/worksheet" Target="/xl/worksheets/sheet2.xml" Id="R139a4826885e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0" hidden="0" customWidth="1"/>
    <x:col min="5" max="5" width="29" hidden="0" customWidth="1"/>
    <x:col min="6" max="6" width="13" hidden="0" customWidth="1"/>
    <x:col min="7" max="7" width="13" hidden="0" customWidth="1"/>
    <x:col min="8" max="8" width="14" hidden="0" customWidth="1"/>
    <x:col min="9" max="9" width="17" hidden="0" customWidth="1"/>
    <x:col min="10" max="10" width="15" hidden="0" customWidth="1"/>
    <x:col min="11" max="11" width="23" hidden="0" customWidth="1"/>
    <x:col min="12" max="12" width="17" hidden="0" customWidth="1"/>
    <x:col min="13" max="13" width="25" hidden="0" customWidth="1"/>
  </x:cols>
  <x:sheetData>
    <x:row r="1" ht="24" customHeight="1">
      <x:c r="A1" s="4" t="str">
        <x:v>Darlehenskonto KD-2417-01 und Saldenkontrolle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8" customHeight="1">
      <x:c r="A3" s="8" t="str">
        <x:v>Arbeitsstand aus den beigefügten Aktenstücken; offene Angaben bleiben offen und sind nicht als Nullwert zu behandeln. Frühere Zinsperioden wurden ausgeglichen; ausgewiesen sind die am Stichtag offenen Zinsen und Gebühren.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5" ht="36" customHeight="1">
      <x:c r="A5" s="11" t="str">
        <x:v>Beleg-ID</x:v>
      </x:c>
      <x:c r="B5" s="11" t="str">
        <x:v>Buchungstag</x:v>
      </x:c>
      <x:c r="C5" s="11" t="str">
        <x:v>Valuta</x:v>
      </x:c>
      <x:c r="D5" s="11" t="str">
        <x:v>Kreditteil</x:v>
      </x:c>
      <x:c r="E5" s="11" t="str">
        <x:v>Vorgang</x:v>
      </x:c>
      <x:c r="F5" s="11" t="str">
        <x:v>Auszahlung EUR</x:v>
      </x:c>
      <x:c r="G5" s="11" t="str">
        <x:v>Tilgung EUR</x:v>
      </x:c>
      <x:c r="H5" s="11" t="str">
        <x:v>Zins/Gebühr EUR</x:v>
      </x:c>
      <x:c r="I5" s="11" t="str">
        <x:v>Kapitalbewegung EUR</x:v>
      </x:c>
      <x:c r="J5" s="11" t="str">
        <x:v>Kapitalsaldo EUR</x:v>
      </x:c>
      <x:c r="K5" s="11" t="str">
        <x:v>Offene Zinsen/Gebühren EUR</x:v>
      </x:c>
      <x:c r="L5" s="11" t="str">
        <x:v>Gesamtforderung EUR</x:v>
      </x:c>
      <x:c r="M5" s="11" t="str">
        <x:v>Gegenbeleg</x:v>
      </x:c>
    </x:row>
    <x:row r="6" ht="34" customHeight="1">
      <x:c r="A6" s="14" t="str">
        <x:v>PL-01</x:v>
      </x:c>
      <x:c r="B6" s="14" t="str">
        <x:v>23.04.2024</x:v>
      </x:c>
      <x:c r="C6" s="14" t="str">
        <x:v>23.04.2024</x:v>
      </x:c>
      <x:c r="D6" s="14" t="str">
        <x:v>Produktionslinie</x:v>
      </x:c>
      <x:c r="E6" s="14" t="str">
        <x:v>Auszahlung</x:v>
      </x:c>
      <x:c r="F6" s="14" t="n">
        <x:v>620000</x:v>
      </x:c>
      <x:c r="G6" s="14" t="n">
        <x:v>0</x:v>
      </x:c>
      <x:c r="H6" s="14" t="n">
        <x:v>0</x:v>
      </x:c>
      <x:c r="I6" s="14" t="n">
        <x:f>F6-G6</x:f>
        <x:v>620000</x:v>
      </x:c>
      <x:c r="J6" s="14" t="n">
        <x:f>SUM($I$6:I6)</x:f>
        <x:v>620000</x:v>
      </x:c>
      <x:c r="K6" s="14" t="n">
        <x:f>SUM($H$6:H6)</x:f>
        <x:v>0</x:v>
      </x:c>
      <x:c r="L6" s="14" t="n">
        <x:f>J6+K6</x:f>
        <x:v>620000</x:v>
      </x:c>
      <x:c r="M6" s="14" t="str">
        <x:v>PMB-KLP-240423-01</x:v>
      </x:c>
    </x:row>
    <x:row r="7" ht="34" customHeight="1">
      <x:c r="A7" s="15" t="str">
        <x:v>PL-02</x:v>
      </x:c>
      <x:c r="B7" s="15" t="str">
        <x:v>12.07.2024</x:v>
      </x:c>
      <x:c r="C7" s="15" t="str">
        <x:v>12.07.2024</x:v>
      </x:c>
      <x:c r="D7" s="15" t="str">
        <x:v>Produktionslinie</x:v>
      </x:c>
      <x:c r="E7" s="15" t="str">
        <x:v>Auszahlung</x:v>
      </x:c>
      <x:c r="F7" s="15" t="n">
        <x:v>480000</x:v>
      </x:c>
      <x:c r="G7" s="15" t="n">
        <x:v>0</x:v>
      </x:c>
      <x:c r="H7" s="15" t="n">
        <x:v>0</x:v>
      </x:c>
      <x:c r="I7" s="15" t="n">
        <x:f>F7-G7</x:f>
        <x:v>480000</x:v>
      </x:c>
      <x:c r="J7" s="15" t="n">
        <x:f>SUM($I$6:I7)</x:f>
        <x:v>1100000</x:v>
      </x:c>
      <x:c r="K7" s="15" t="n">
        <x:f>SUM($H$6:H7)</x:f>
        <x:v>0</x:v>
      </x:c>
      <x:c r="L7" s="15" t="n">
        <x:f>J7+K7</x:f>
        <x:v>1100000</x:v>
      </x:c>
      <x:c r="M7" s="15" t="str">
        <x:v>PMB-KLP-240712-02</x:v>
      </x:c>
    </x:row>
    <x:row r="8" ht="34" customHeight="1">
      <x:c r="A8" s="14" t="str">
        <x:v>PL-03</x:v>
      </x:c>
      <x:c r="B8" s="14" t="str">
        <x:v>29.11.2024</x:v>
      </x:c>
      <x:c r="C8" s="14" t="str">
        <x:v>29.11.2024</x:v>
      </x:c>
      <x:c r="D8" s="14" t="str">
        <x:v>Produktionslinie</x:v>
      </x:c>
      <x:c r="E8" s="14" t="str">
        <x:v>Auszahlung</x:v>
      </x:c>
      <x:c r="F8" s="14" t="n">
        <x:v>420000</x:v>
      </x:c>
      <x:c r="G8" s="14" t="n">
        <x:v>0</x:v>
      </x:c>
      <x:c r="H8" s="14" t="n">
        <x:v>0</x:v>
      </x:c>
      <x:c r="I8" s="14" t="n">
        <x:f>F8-G8</x:f>
        <x:v>420000</x:v>
      </x:c>
      <x:c r="J8" s="14" t="n">
        <x:f>SUM($I$6:I8)</x:f>
        <x:v>1520000</x:v>
      </x:c>
      <x:c r="K8" s="14" t="n">
        <x:f>SUM($H$6:H8)</x:f>
        <x:v>0</x:v>
      </x:c>
      <x:c r="L8" s="14" t="n">
        <x:f>J8+K8</x:f>
        <x:v>1520000</x:v>
      </x:c>
      <x:c r="M8" s="14" t="str">
        <x:v>PMB-KLP-241129-03</x:v>
      </x:c>
    </x:row>
    <x:row r="9" ht="34" customHeight="1">
      <x:c r="A9" s="15" t="str">
        <x:v>FT-01</x:v>
      </x:c>
      <x:c r="B9" s="15" t="str">
        <x:v>15.01.2025</x:v>
      </x:c>
      <x:c r="C9" s="15" t="str">
        <x:v>15.01.2025</x:v>
      </x:c>
      <x:c r="D9" s="15" t="str">
        <x:v>Fertigstellungstranche</x:v>
      </x:c>
      <x:c r="E9" s="15" t="str">
        <x:v>Auszahlung</x:v>
      </x:c>
      <x:c r="F9" s="15" t="n">
        <x:v>250000</x:v>
      </x:c>
      <x:c r="G9" s="15" t="n">
        <x:v>0</x:v>
      </x:c>
      <x:c r="H9" s="15" t="n">
        <x:v>0</x:v>
      </x:c>
      <x:c r="I9" s="15" t="n">
        <x:f>F9-G9</x:f>
        <x:v>250000</x:v>
      </x:c>
      <x:c r="J9" s="15" t="n">
        <x:f>SUM($I$6:I9)</x:f>
        <x:v>1770000</x:v>
      </x:c>
      <x:c r="K9" s="15" t="n">
        <x:f>SUM($H$6:H9)</x:f>
        <x:v>0</x:v>
      </x:c>
      <x:c r="L9" s="15" t="n">
        <x:f>J9+K9</x:f>
        <x:v>1770000</x:v>
      </x:c>
      <x:c r="M9" s="15" t="str">
        <x:v>PMB-KLP-250115-05</x:v>
      </x:c>
    </x:row>
    <x:row r="10" ht="34" customHeight="1">
      <x:c r="A10" s="14" t="str">
        <x:v>PL-04</x:v>
      </x:c>
      <x:c r="B10" s="14" t="str">
        <x:v>04.04.2025</x:v>
      </x:c>
      <x:c r="C10" s="14" t="str">
        <x:v>04.04.2025</x:v>
      </x:c>
      <x:c r="D10" s="14" t="str">
        <x:v>Produktionslinie</x:v>
      </x:c>
      <x:c r="E10" s="14" t="str">
        <x:v>Auszahlung</x:v>
      </x:c>
      <x:c r="F10" s="14" t="n">
        <x:v>210000</x:v>
      </x:c>
      <x:c r="G10" s="14" t="n">
        <x:v>0</x:v>
      </x:c>
      <x:c r="H10" s="14" t="n">
        <x:v>0</x:v>
      </x:c>
      <x:c r="I10" s="14" t="n">
        <x:f>F10-G10</x:f>
        <x:v>210000</x:v>
      </x:c>
      <x:c r="J10" s="14" t="n">
        <x:f>SUM($I$6:I10)</x:f>
        <x:v>1980000</x:v>
      </x:c>
      <x:c r="K10" s="14" t="n">
        <x:f>SUM($H$6:H10)</x:f>
        <x:v>0</x:v>
      </x:c>
      <x:c r="L10" s="14" t="n">
        <x:f>J10+K10</x:f>
        <x:v>1980000</x:v>
      </x:c>
      <x:c r="M10" s="14" t="str">
        <x:v>PMB-KLP-250404-04</x:v>
      </x:c>
    </x:row>
    <x:row r="11" ht="34" customHeight="1">
      <x:c r="A11" s="15" t="str">
        <x:v>FT-02</x:v>
      </x:c>
      <x:c r="B11" s="15" t="str">
        <x:v>19.05.2025</x:v>
      </x:c>
      <x:c r="C11" s="15" t="str">
        <x:v>19.05.2025</x:v>
      </x:c>
      <x:c r="D11" s="15" t="str">
        <x:v>Fertigstellungstranche</x:v>
      </x:c>
      <x:c r="E11" s="15" t="str">
        <x:v>Auszahlung</x:v>
      </x:c>
      <x:c r="F11" s="15" t="n">
        <x:v>170000</x:v>
      </x:c>
      <x:c r="G11" s="15" t="n">
        <x:v>0</x:v>
      </x:c>
      <x:c r="H11" s="15" t="n">
        <x:v>0</x:v>
      </x:c>
      <x:c r="I11" s="15" t="n">
        <x:f>F11-G11</x:f>
        <x:v>170000</x:v>
      </x:c>
      <x:c r="J11" s="15" t="n">
        <x:f>SUM($I$6:I11)</x:f>
        <x:v>2150000</x:v>
      </x:c>
      <x:c r="K11" s="15" t="n">
        <x:f>SUM($H$6:H11)</x:f>
        <x:v>0</x:v>
      </x:c>
      <x:c r="L11" s="15" t="n">
        <x:f>J11+K11</x:f>
        <x:v>2150000</x:v>
      </x:c>
      <x:c r="M11" s="15" t="str">
        <x:v>PMB-KLP-250519-06</x:v>
      </x:c>
    </x:row>
    <x:row r="12" ht="34" customHeight="1">
      <x:c r="A12" s="14" t="str">
        <x:v>RZ-01</x:v>
      </x:c>
      <x:c r="B12" s="14" t="str">
        <x:v>29.08.2025</x:v>
      </x:c>
      <x:c r="C12" s="14" t="str">
        <x:v>29.08.2025</x:v>
      </x:c>
      <x:c r="D12" s="14" t="str">
        <x:v>Gesamtfazilität</x:v>
      </x:c>
      <x:c r="E12" s="14" t="str">
        <x:v>Kapitalrückführung</x:v>
      </x:c>
      <x:c r="F12" s="14" t="n">
        <x:v>0</x:v>
      </x:c>
      <x:c r="G12" s="14" t="n">
        <x:v>180000</x:v>
      </x:c>
      <x:c r="H12" s="14" t="n">
        <x:v>0</x:v>
      </x:c>
      <x:c r="I12" s="14" t="n">
        <x:f>F12-G12</x:f>
        <x:v>-180000</x:v>
      </x:c>
      <x:c r="J12" s="14" t="n">
        <x:f>SUM($I$6:I12)</x:f>
        <x:v>1970000</x:v>
      </x:c>
      <x:c r="K12" s="14" t="n">
        <x:f>SUM($H$6:H12)</x:f>
        <x:v>0</x:v>
      </x:c>
      <x:c r="L12" s="14" t="n">
        <x:f>J12+K12</x:f>
        <x:v>1970000</x:v>
      </x:c>
      <x:c r="M12" s="14" t="str">
        <x:v>PMB-KLP-250829-R1</x:v>
      </x:c>
    </x:row>
    <x:row r="13" ht="34" customHeight="1">
      <x:c r="A13" s="15" t="str">
        <x:v>RZ-02</x:v>
      </x:c>
      <x:c r="B13" s="15" t="str">
        <x:v>15.02.2026</x:v>
      </x:c>
      <x:c r="C13" s="15" t="str">
        <x:v>15.02.2026</x:v>
      </x:c>
      <x:c r="D13" s="15" t="str">
        <x:v>Gesamtfazilität</x:v>
      </x:c>
      <x:c r="E13" s="15" t="str">
        <x:v>Kapitalrückführung</x:v>
      </x:c>
      <x:c r="F13" s="15" t="n">
        <x:v>0</x:v>
      </x:c>
      <x:c r="G13" s="15" t="n">
        <x:v>220000</x:v>
      </x:c>
      <x:c r="H13" s="15" t="n">
        <x:v>0</x:v>
      </x:c>
      <x:c r="I13" s="15" t="n">
        <x:f>F13-G13</x:f>
        <x:v>-220000</x:v>
      </x:c>
      <x:c r="J13" s="15" t="n">
        <x:f>SUM($I$6:I13)</x:f>
        <x:v>1750000</x:v>
      </x:c>
      <x:c r="K13" s="15" t="n">
        <x:f>SUM($H$6:H13)</x:f>
        <x:v>0</x:v>
      </x:c>
      <x:c r="L13" s="15" t="n">
        <x:f>J13+K13</x:f>
        <x:v>1750000</x:v>
      </x:c>
      <x:c r="M13" s="15" t="str">
        <x:v>PMB-KLP-260215-R2</x:v>
      </x:c>
    </x:row>
    <x:row r="14" ht="34" customHeight="1">
      <x:c r="A14" s="14" t="str">
        <x:v>RZ-03</x:v>
      </x:c>
      <x:c r="B14" s="14" t="str">
        <x:v>20.05.2026</x:v>
      </x:c>
      <x:c r="C14" s="14" t="str">
        <x:v>20.05.2026</x:v>
      </x:c>
      <x:c r="D14" s="14" t="str">
        <x:v>Gesamtfazilität</x:v>
      </x:c>
      <x:c r="E14" s="14" t="str">
        <x:v>Kapitalrückführung</x:v>
      </x:c>
      <x:c r="F14" s="14" t="n">
        <x:v>0</x:v>
      </x:c>
      <x:c r="G14" s="14" t="n">
        <x:v>310000</x:v>
      </x:c>
      <x:c r="H14" s="14" t="n">
        <x:v>0</x:v>
      </x:c>
      <x:c r="I14" s="14" t="n">
        <x:f>F14-G14</x:f>
        <x:v>-310000</x:v>
      </x:c>
      <x:c r="J14" s="14" t="n">
        <x:f>SUM($I$6:I14)</x:f>
        <x:v>1440000</x:v>
      </x:c>
      <x:c r="K14" s="14" t="n">
        <x:f>SUM($H$6:H14)</x:f>
        <x:v>0</x:v>
      </x:c>
      <x:c r="L14" s="14" t="n">
        <x:f>J14+K14</x:f>
        <x:v>1440000</x:v>
      </x:c>
      <x:c r="M14" s="14" t="str">
        <x:v>PMB-KLP-260520-R3</x:v>
      </x:c>
    </x:row>
    <x:row r="15" ht="34" customHeight="1">
      <x:c r="A15" s="15" t="str">
        <x:v>ZI-2026-Q2</x:v>
      </x:c>
      <x:c r="B15" s="15" t="str">
        <x:v>30.06.2026</x:v>
      </x:c>
      <x:c r="C15" s="15" t="str">
        <x:v>30.06.2026</x:v>
      </x:c>
      <x:c r="D15" s="15" t="str">
        <x:v>Nebenforderungen</x:v>
      </x:c>
      <x:c r="E15" s="15" t="str">
        <x:v>offene Vertragszinsen</x:v>
      </x:c>
      <x:c r="F15" s="15" t="n">
        <x:v>0</x:v>
      </x:c>
      <x:c r="G15" s="15" t="n">
        <x:v>0</x:v>
      </x:c>
      <x:c r="H15" s="15" t="n">
        <x:v>17340</x:v>
      </x:c>
      <x:c r="I15" s="15" t="n">
        <x:f>F15-G15</x:f>
        <x:v>0</x:v>
      </x:c>
      <x:c r="J15" s="15" t="n">
        <x:f>SUM($I$6:I15)</x:f>
        <x:v>1440000</x:v>
      </x:c>
      <x:c r="K15" s="15" t="n">
        <x:f>SUM($H$6:H15)</x:f>
        <x:v>17340</x:v>
      </x:c>
      <x:c r="L15" s="15" t="n">
        <x:f>J15+K15</x:f>
        <x:v>1457340</x:v>
      </x:c>
      <x:c r="M15" s="15" t="str">
        <x:v>Zinsabschluss Q2/2026</x:v>
      </x:c>
    </x:row>
    <x:row r="16" ht="34" customHeight="1">
      <x:c r="A16" s="14" t="str">
        <x:v>ZI-2026-Q3</x:v>
      </x:c>
      <x:c r="B16" s="14" t="str">
        <x:v>30.09.2026</x:v>
      </x:c>
      <x:c r="C16" s="14" t="str">
        <x:v>30.09.2026</x:v>
      </x:c>
      <x:c r="D16" s="14" t="str">
        <x:v>Nebenforderungen</x:v>
      </x:c>
      <x:c r="E16" s="14" t="str">
        <x:v>offene Vertragszinsen</x:v>
      </x:c>
      <x:c r="F16" s="14" t="n">
        <x:v>0</x:v>
      </x:c>
      <x:c r="G16" s="14" t="n">
        <x:v>0</x:v>
      </x:c>
      <x:c r="H16" s="14" t="n">
        <x:v>15990.44</x:v>
      </x:c>
      <x:c r="I16" s="14" t="n">
        <x:f>F16-G16</x:f>
        <x:v>0</x:v>
      </x:c>
      <x:c r="J16" s="14" t="n">
        <x:f>SUM($I$6:I16)</x:f>
        <x:v>1440000</x:v>
      </x:c>
      <x:c r="K16" s="14" t="n">
        <x:f>SUM($H$6:H16)</x:f>
        <x:v>33330.44</x:v>
      </x:c>
      <x:c r="L16" s="14" t="n">
        <x:f>J16+K16</x:f>
        <x:v>1473330.44</x:v>
      </x:c>
      <x:c r="M16" s="14" t="str">
        <x:v>Zinsabschluss Q3/2026</x:v>
      </x:c>
    </x:row>
    <x:row r="17" ht="34" customHeight="1">
      <x:c r="A17" s="15" t="str">
        <x:v>ZG-2026-1022</x:v>
      </x:c>
      <x:c r="B17" s="15" t="str">
        <x:v>22.10.2026</x:v>
      </x:c>
      <x:c r="C17" s="15" t="str">
        <x:v>22.10.2026</x:v>
      </x:c>
      <x:c r="D17" s="15" t="str">
        <x:v>Nebenforderungen</x:v>
      </x:c>
      <x:c r="E17" s="15" t="str">
        <x:v>aufgelaufene Zinsen und Gebühren</x:v>
      </x:c>
      <x:c r="F17" s="15" t="n">
        <x:v>0</x:v>
      </x:c>
      <x:c r="G17" s="15" t="n">
        <x:v>0</x:v>
      </x:c>
      <x:c r="H17" s="15" t="n">
        <x:v>3500</x:v>
      </x:c>
      <x:c r="I17" s="15" t="n">
        <x:f>F17-G17</x:f>
        <x:v>0</x:v>
      </x:c>
      <x:c r="J17" s="15" t="n">
        <x:f>SUM($I$6:I17)</x:f>
        <x:v>1440000</x:v>
      </x:c>
      <x:c r="K17" s="15" t="n">
        <x:f>SUM($H$6:H17)</x:f>
        <x:v>36830.44</x:v>
      </x:c>
      <x:c r="L17" s="15" t="n">
        <x:f>J17+K17</x:f>
        <x:v>1476830.44</x:v>
      </x:c>
      <x:c r="M17" s="15" t="str">
        <x:v>Zwischenabschluss 22.10.2026</x:v>
      </x:c>
    </x:row>
  </x:sheetData>
  <x:mergeCells>
    <x:mergeCell ref="A1:M2"/>
    <x:mergeCell ref="A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3" hidden="0" customWidth="1"/>
    <x:col min="3" max="3" width="48" hidden="0" customWidth="1"/>
    <x:col min="4" max="4" width="13" hidden="0" customWidth="1"/>
    <x:col min="5" max="5" width="29" hidden="0" customWidth="1"/>
  </x:cols>
  <x:sheetData>
    <x:row r="1" ht="24" customHeight="1">
      <x:c r="A1" s="4" t="str">
        <x:v>Darlehenskonto KD-2417-01 und Saldenkontrolle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Alle Kontrollen müssen null beziehungsweise Status OK ergeben.</x:v>
      </x:c>
      <x:c r="B3" s="8"/>
      <x:c r="C3" s="8"/>
      <x:c r="D3" s="8"/>
      <x:c r="E3" s="8"/>
    </x:row>
    <x:row r="5" ht="36" customHeight="1">
      <x:c r="A5" s="11" t="str">
        <x:v>Kontrolle</x:v>
      </x:c>
      <x:c r="B5" s="11" t="str">
        <x:v>Soll EUR</x:v>
      </x:c>
      <x:c r="C5" s="11" t="str">
        <x:v>Berechnet EUR</x:v>
      </x:c>
      <x:c r="D5" s="11" t="str">
        <x:v>Differenz EUR</x:v>
      </x:c>
      <x:c r="E5" s="11" t="str">
        <x:v>Status</x:v>
      </x:c>
    </x:row>
    <x:row r="6" ht="34" customHeight="1">
      <x:c r="A6" s="14" t="str">
        <x:v>Ziehungen Produktionslinie</x:v>
      </x:c>
      <x:c r="B6" s="14" t="n">
        <x:v>1730000</x:v>
      </x:c>
      <x:c r="C6" s="14" t="n">
        <x:f>SUMIF(Darlehenskonto!$D$6:$D$17,"Produktionslinie",Darlehenskonto!$F$6:$F$17)</x:f>
        <x:v>1730000</x:v>
      </x:c>
      <x:c r="D6" s="14" t="n">
        <x:f>C6-B6</x:f>
        <x:v>0</x:v>
      </x:c>
      <x:c r="E6" s="14" t="str">
        <x:f>IF(D6=0,"OK","FEHLER")</x:f>
        <x:v>OK</x:v>
      </x:c>
    </x:row>
    <x:row r="7" ht="34" customHeight="1">
      <x:c r="A7" s="15" t="str">
        <x:v>Ungenutzte Produktionslinie</x:v>
      </x:c>
      <x:c r="B7" s="15" t="n">
        <x:v>120000</x:v>
      </x:c>
      <x:c r="C7" s="15" t="n">
        <x:f>1850000-C6</x:f>
        <x:v>120000</x:v>
      </x:c>
      <x:c r="D7" s="15" t="n">
        <x:f>C7-B7</x:f>
        <x:v>0</x:v>
      </x:c>
      <x:c r="E7" s="15" t="str">
        <x:f>IF(D7=0,"OK","FEHLER")</x:f>
        <x:v>OK</x:v>
      </x:c>
    </x:row>
    <x:row r="8" ht="34" customHeight="1">
      <x:c r="A8" s="14" t="str">
        <x:v>Ziehungen Fertigstellungstranche</x:v>
      </x:c>
      <x:c r="B8" s="14" t="n">
        <x:v>420000</x:v>
      </x:c>
      <x:c r="C8" s="14" t="n">
        <x:f>SUMIF(Darlehenskonto!$D$6:$D$17,"Fertigstellungstranche",Darlehenskonto!$F$6:$F$17)</x:f>
        <x:v>420000</x:v>
      </x:c>
      <x:c r="D8" s="14" t="n">
        <x:f>C8-B8</x:f>
        <x:v>0</x:v>
      </x:c>
      <x:c r="E8" s="14" t="str">
        <x:f>IF(D8=0,"OK","FEHLER")</x:f>
        <x:v>OK</x:v>
      </x:c>
    </x:row>
    <x:row r="9" ht="34" customHeight="1">
      <x:c r="A9" s="15" t="str">
        <x:v>Gesamtvalutierung</x:v>
      </x:c>
      <x:c r="B9" s="15" t="n">
        <x:v>2150000</x:v>
      </x:c>
      <x:c r="C9" s="15" t="n">
        <x:f>SUM(Darlehenskonto!$F$6:$F$17)</x:f>
        <x:v>2150000</x:v>
      </x:c>
      <x:c r="D9" s="15" t="n">
        <x:f>C9-B9</x:f>
        <x:v>0</x:v>
      </x:c>
      <x:c r="E9" s="15" t="str">
        <x:f>IF(D9=0,"OK","FEHLER")</x:f>
        <x:v>OK</x:v>
      </x:c>
    </x:row>
    <x:row r="10" ht="34" customHeight="1">
      <x:c r="A10" s="14" t="str">
        <x:v>Kapitalrückführungen</x:v>
      </x:c>
      <x:c r="B10" s="14" t="n">
        <x:v>710000</x:v>
      </x:c>
      <x:c r="C10" s="14" t="n">
        <x:f>SUM(Darlehenskonto!$G$6:$G$17)</x:f>
        <x:v>710000</x:v>
      </x:c>
      <x:c r="D10" s="14" t="n">
        <x:f>C10-B10</x:f>
        <x:v>0</x:v>
      </x:c>
      <x:c r="E10" s="14" t="str">
        <x:f>IF(D10=0,"OK","FEHLER")</x:f>
        <x:v>OK</x:v>
      </x:c>
    </x:row>
    <x:row r="11" ht="34" customHeight="1">
      <x:c r="A11" s="15" t="str">
        <x:v>Offenes Kapital</x:v>
      </x:c>
      <x:c r="B11" s="15" t="n">
        <x:v>1440000</x:v>
      </x:c>
      <x:c r="C11" s="15" t="n">
        <x:f>C9-C10</x:f>
        <x:v>1440000</x:v>
      </x:c>
      <x:c r="D11" s="15" t="n">
        <x:f>C11-B11</x:f>
        <x:v>0</x:v>
      </x:c>
      <x:c r="E11" s="15" t="str">
        <x:f>IF(D11=0,"OK","FEHLER")</x:f>
        <x:v>OK</x:v>
      </x:c>
    </x:row>
    <x:row r="12" ht="34" customHeight="1">
      <x:c r="A12" s="14" t="str">
        <x:v>Offene Zinsen und Gebühren</x:v>
      </x:c>
      <x:c r="B12" s="14" t="n">
        <x:v>36830.44</x:v>
      </x:c>
      <x:c r="C12" s="14" t="n">
        <x:f>SUM(Darlehenskonto!$H$6:$H$17)</x:f>
        <x:v>36830.44</x:v>
      </x:c>
      <x:c r="D12" s="14" t="n">
        <x:f>C12-B12</x:f>
        <x:v>0</x:v>
      </x:c>
      <x:c r="E12" s="14" t="str">
        <x:f>IF(ABS(D12)&lt;0.01,"OK","FEHLER")</x:f>
        <x:v>OK</x:v>
      </x:c>
    </x:row>
    <x:row r="13" ht="34" customHeight="1">
      <x:c r="A13" s="15" t="str">
        <x:v>Gesamtforderung</x:v>
      </x:c>
      <x:c r="B13" s="15" t="n">
        <x:v>1476830.44</x:v>
      </x:c>
      <x:c r="C13" s="15" t="n">
        <x:f>C11+C12</x:f>
        <x:v>1476830.44</x:v>
      </x:c>
      <x:c r="D13" s="15" t="n">
        <x:f>C13-B13</x:f>
        <x:v>0</x:v>
      </x:c>
      <x:c r="E13" s="15" t="str">
        <x:f>IF(ABS(D13)&lt;0.01,"OK","FEHLER")</x:f>
        <x:v>OK</x:v>
      </x:c>
    </x:row>
    <x:row r="14" ht="34" customHeight="1">
      <x:c r="A14" s="14" t="str">
        <x:v>Abgleich letzter Kontosaldo</x:v>
      </x:c>
      <x:c r="B14" s="14" t="n">
        <x:v>1476830.44</x:v>
      </x:c>
      <x:c r="C14" s="14" t="n">
        <x:f>Darlehenskonto!L17</x:f>
        <x:v>1476830.44</x:v>
      </x:c>
      <x:c r="D14" s="14" t="n">
        <x:f>C14-B14</x:f>
        <x:v>0</x:v>
      </x:c>
      <x:c r="E14" s="14" t="str">
        <x:f>IF(ABS(D14)&lt;0.01,"OK","FEHLER")</x:f>
        <x:v>OK</x:v>
      </x:c>
    </x:row>
    <x:row r="15" ht="34" customHeight="1">
      <x:c r="A15" s="15" t="str">
        <x:v>Gesamtkontrolle</x:v>
      </x:c>
      <x:c r="B15" s="15" t="n">
        <x:v>0</x:v>
      </x:c>
      <x:c r="C15" s="15" t="n">
        <x:f>C13-C14</x:f>
        <x:v>0</x:v>
      </x:c>
      <x:c r="D15" s="15" t="n">
        <x:f>C15-B15</x:f>
        <x:v>0</x:v>
      </x:c>
      <x:c r="E15" s="15" t="str">
        <x:f>IF(ABS(D15)&lt;0.01,"OK","FEHLER")</x:f>
        <x:v>OK</x:v>
      </x:c>
    </x:row>
  </x:sheetData>
  <x:mergeCells>
    <x:mergeCell ref="A1:E2"/>
    <x:mergeCell ref="A3:E3"/>
  </x:mergeCells>
  <x:pageMargins left="0.7" right="0.7" top="0.75" bottom="0.75" header="0.3" footer="0.3"/>
</x:worksheet>
</file>