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d376facc146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P_Nachweise" sheetId="1" r:id="R7aabb1be7b5e44c0"/>
    <x:sheet xmlns:r="http://schemas.openxmlformats.org/officeDocument/2006/relationships" name="Ziehungen" sheetId="2" r:id="R39049f766d7c480a"/>
    <x:sheet xmlns:r="http://schemas.openxmlformats.org/officeDocument/2006/relationships" name="Kontrollsummen" sheetId="3" r:id="R85120995cdac4f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02d98004d745bf" /><Relationship Type="http://schemas.openxmlformats.org/officeDocument/2006/relationships/theme" Target="/xl/theme/theme1.xml" Id="R8fe43272636d4280" /><Relationship Type="http://schemas.openxmlformats.org/officeDocument/2006/relationships/sharedStrings" Target="/xl/sharedStrings.xml" Id="Rfbeedac3025648e5" /><Relationship Type="http://schemas.openxmlformats.org/officeDocument/2006/relationships/worksheet" Target="/xl/worksheets/sheet1.xml" Id="R7aabb1be7b5e44c0" /><Relationship Type="http://schemas.openxmlformats.org/officeDocument/2006/relationships/worksheet" Target="/xl/worksheets/sheet2.xml" Id="R39049f766d7c480a" /><Relationship Type="http://schemas.openxmlformats.org/officeDocument/2006/relationships/worksheet" Target="/xl/worksheets/sheet3.xml" Id="R85120995cdac4f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42" hidden="0" customWidth="1"/>
    <x:col min="3" max="3" width="14" hidden="0" customWidth="1"/>
    <x:col min="4" max="4" width="48" hidden="0" customWidth="1"/>
    <x:col min="5" max="5" width="13" hidden="0" customWidth="1"/>
    <x:col min="6" max="6" width="13" hidden="0" customWidth="1"/>
    <x:col min="7" max="7" width="13" hidden="0" customWidth="1"/>
    <x:col min="8" max="8" width="48" hidden="0" customWidth="1"/>
  </x:cols>
  <x:sheetData>
    <x:row r="1" ht="24" customHeight="1">
      <x:c r="A1" s="4" t="str">
        <x:v>CP-Checkliste und Ziehungsregister Produktionsfinanzierung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  <x:c r="G3" s="8"/>
      <x:c r="H3" s="8"/>
    </x:row>
    <x:row r="5" ht="36" customHeight="1">
      <x:c r="A5" s="11" t="str">
        <x:v>CP-ID</x:v>
      </x:c>
      <x:c r="B5" s="11" t="str">
        <x:v>Auszahlungsvoraussetzung</x:v>
      </x:c>
      <x:c r="C5" s="11" t="str">
        <x:v>Gilt für</x:v>
      </x:c>
      <x:c r="D5" s="11" t="str">
        <x:v>Nachweis</x:v>
      </x:c>
      <x:c r="E5" s="11" t="str">
        <x:v>Prüfdatum</x:v>
      </x:c>
      <x:c r="F5" s="11" t="str">
        <x:v>Status</x:v>
      </x:c>
      <x:c r="G5" s="11" t="str">
        <x:v>Prüfer</x:v>
      </x:c>
      <x:c r="H5" s="11" t="str">
        <x:v>Hinweis</x:v>
      </x:c>
    </x:row>
    <x:row r="6" ht="34" customHeight="1">
      <x:c r="A6" s="14" t="str">
        <x:v>CP-01</x:v>
      </x:c>
      <x:c r="B6" s="14" t="str">
        <x:v>Produktionsdarlehen beiderseits unterzeichnet</x:v>
      </x:c>
      <x:c r="C6" s="14" t="str">
        <x:v>PL-01 bis PL-04</x:v>
      </x:c>
      <x:c r="D6" s="14" t="str">
        <x:v>KLP-2024-0418 vom 18./19.04.2024</x:v>
      </x:c>
      <x:c r="E6" s="14" t="str">
        <x:v>22.04.2024</x:v>
      </x:c>
      <x:c r="F6" s="14" t="str">
        <x:v>erfüllt</x:v>
      </x:c>
      <x:c r="G6" s="14" t="str">
        <x:v>Hanno Seubert</x:v>
      </x:c>
      <x:c r="H6" s="14" t="str">
        <x:v>Original im Kredittresor</x:v>
      </x:c>
    </x:row>
    <x:row r="7" ht="34" customHeight="1">
      <x:c r="A7" s="15" t="str">
        <x:v>CP-02</x:v>
      </x:c>
      <x:c r="B7" s="15" t="str">
        <x:v>Projektkonto eröffnet und verfügungsbereit</x:v>
      </x:c>
      <x:c r="C7" s="15" t="str">
        <x:v>alle Abrufe</x:v>
      </x:c>
      <x:c r="D7" s="15" t="str">
        <x:v>Kontoeröffnung 18.04.2024 / IBAN DE00 0000 0000 0000 0000 00</x:v>
      </x:c>
      <x:c r="E7" s="15" t="str">
        <x:v>22.04.2024</x:v>
      </x:c>
      <x:c r="F7" s="15" t="str">
        <x:v>erfüllt</x:v>
      </x:c>
      <x:c r="G7" s="15" t="str">
        <x:v>Hanno Seubert</x:v>
      </x:c>
      <x:c r="H7" s="15" t="str">
        <x:v>Auszahlungen nur auf Projektkonto</x:v>
      </x:c>
    </x:row>
    <x:row r="8" ht="34" customHeight="1">
      <x:c r="A8" s="14" t="str">
        <x:v>CP-03</x:v>
      </x:c>
      <x:c r="B8" s="14" t="str">
        <x:v>IP-Sicherungsvertrag unterzeichnet</x:v>
      </x:c>
      <x:c r="C8" s="14" t="str">
        <x:v>alle Abrufe</x:v>
      </x:c>
      <x:c r="D8" s="14" t="str">
        <x:v>Urkunde 19.04.2024</x:v>
      </x:c>
      <x:c r="E8" s="14" t="str">
        <x:v>22.04.2024</x:v>
      </x:c>
      <x:c r="F8" s="14" t="str">
        <x:v>erfüllt</x:v>
      </x:c>
      <x:c r="G8" s="14" t="str">
        <x:v>Bettina Karg</x:v>
      </x:c>
      <x:c r="H8" s="14" t="str">
        <x:v>Anlage B bleibt inhaltlich lückenhaft</x:v>
      </x:c>
    </x:row>
    <x:row r="9" ht="34" customHeight="1">
      <x:c r="A9" s="15" t="str">
        <x:v>CP-04</x:v>
      </x:c>
      <x:c r="B9" s="15" t="str">
        <x:v>Sicherungsübereignung Medien und Geräte</x:v>
      </x:c>
      <x:c r="C9" s="15" t="str">
        <x:v>alle Abrufe</x:v>
      </x:c>
      <x:c r="D9" s="15" t="str">
        <x:v>Urkunde 19.04.2024</x:v>
      </x:c>
      <x:c r="E9" s="15" t="str">
        <x:v>22.04.2024</x:v>
      </x:c>
      <x:c r="F9" s="15" t="str">
        <x:v>erfüllt</x:v>
      </x:c>
      <x:c r="G9" s="15" t="str">
        <x:v>Bettina Karg</x:v>
      </x:c>
      <x:c r="H9" s="15" t="str">
        <x:v>Besitzmittlungsbestätigung Komet weiterhin offen</x:v>
      </x:c>
    </x:row>
    <x:row r="10" ht="34" customHeight="1">
      <x:c r="A10" s="14" t="str">
        <x:v>CP-05</x:v>
      </x:c>
      <x:c r="B10" s="14" t="str">
        <x:v>Produktionsbudget und Mittelverwendung</x:v>
      </x:c>
      <x:c r="C10" s="14" t="str">
        <x:v>PL-01</x:v>
      </x:c>
      <x:c r="D10" s="14" t="str">
        <x:v>Budgetstand 17.04.2024 / Zahlungsplan Drehstart</x:v>
      </x:c>
      <x:c r="E10" s="14" t="str">
        <x:v>22.04.2024</x:v>
      </x:c>
      <x:c r="F10" s="14" t="str">
        <x:v>erfüllt</x:v>
      </x:c>
      <x:c r="G10" s="14" t="str">
        <x:v>Hanno Seubert</x:v>
      </x:c>
      <x:c r="H10" s="14" t="str">
        <x:v>Budgetprüfung ist keine Rechteprüfung</x:v>
      </x:c>
    </x:row>
    <x:row r="11" ht="34" customHeight="1">
      <x:c r="A11" s="15" t="str">
        <x:v>CP-06</x:v>
      </x:c>
      <x:c r="B11" s="15" t="str">
        <x:v>Kostenbericht und Drehfortschritt</x:v>
      </x:c>
      <x:c r="C11" s="15" t="str">
        <x:v>PL-02</x:v>
      </x:c>
      <x:c r="D11" s="15" t="str">
        <x:v>Kostenbericht 30.06.2024 / Drehbericht 05.07.2024</x:v>
      </x:c>
      <x:c r="E11" s="15" t="str">
        <x:v>11.07.2024</x:v>
      </x:c>
      <x:c r="F11" s="15" t="str">
        <x:v>erfüllt</x:v>
      </x:c>
      <x:c r="G11" s="15" t="str">
        <x:v>Hanno Seubert</x:v>
      </x:c>
      <x:c r="H11" s="15" t="str">
        <x:v>keine Planüberschreitung über Toleranz</x:v>
      </x:c>
    </x:row>
    <x:row r="12" ht="34" customHeight="1">
      <x:c r="A12" s="14" t="str">
        <x:v>CP-07</x:v>
      </x:c>
      <x:c r="B12" s="14" t="str">
        <x:v>Rohschnitt und Restkostenplan</x:v>
      </x:c>
      <x:c r="C12" s="14" t="str">
        <x:v>PL-03</x:v>
      </x:c>
      <x:c r="D12" s="14" t="str">
        <x:v>Rohschnittabnahme 22.11.2024 / Restkostenplan 25.11.2024</x:v>
      </x:c>
      <x:c r="E12" s="14" t="str">
        <x:v>28.11.2024</x:v>
      </x:c>
      <x:c r="F12" s="14" t="str">
        <x:v>erfüllt</x:v>
      </x:c>
      <x:c r="G12" s="14" t="str">
        <x:v>Bettina Karg</x:v>
      </x:c>
      <x:c r="H12" s="14" t="str">
        <x:v>Rohschnittprotokoll im Produktionsdatenraum</x:v>
      </x:c>
    </x:row>
    <x:row r="13" ht="34" customHeight="1">
      <x:c r="A13" s="15" t="str">
        <x:v>CP-08</x:v>
      </x:c>
      <x:c r="B13" s="15" t="str">
        <x:v>Nachtrag Fertigstellungstranche unterzeichnet</x:v>
      </x:c>
      <x:c r="C13" s="15" t="str">
        <x:v>FT-01 und FT-02</x:v>
      </x:c>
      <x:c r="D13" s="15" t="str">
        <x:v>Nachtrag 10.01.2025</x:v>
      </x:c>
      <x:c r="E13" s="15" t="str">
        <x:v>13.01.2025</x:v>
      </x:c>
      <x:c r="F13" s="15" t="str">
        <x:v>erfüllt</x:v>
      </x:c>
      <x:c r="G13" s="15" t="str">
        <x:v>Hanno Seubert</x:v>
      </x:c>
      <x:c r="H13" s="15" t="str">
        <x:v>zusätzlicher Höchstbetrag 420.000 EUR</x:v>
      </x:c>
    </x:row>
    <x:row r="14" ht="34" customHeight="1">
      <x:c r="A14" s="14" t="str">
        <x:v>CP-09</x:v>
      </x:c>
      <x:c r="B14" s="14" t="str">
        <x:v>Fertigstellungsbudget und Postproduktionsplan</x:v>
      </x:c>
      <x:c r="C14" s="14" t="str">
        <x:v>FT-01</x:v>
      </x:c>
      <x:c r="D14" s="14" t="str">
        <x:v>Budget 08.01.2025 / Komet-Plan 09.01.2025</x:v>
      </x:c>
      <x:c r="E14" s="14" t="str">
        <x:v>14.01.2025</x:v>
      </x:c>
      <x:c r="F14" s="14" t="str">
        <x:v>erfüllt</x:v>
      </x:c>
      <x:c r="G14" s="14" t="str">
        <x:v>Bettina Karg</x:v>
      </x:c>
      <x:c r="H14" s="14" t="str">
        <x:v>erste Fertigstellungsvaluta</x:v>
      </x:c>
    </x:row>
    <x:row r="15" ht="34" customHeight="1">
      <x:c r="A15" s="15" t="str">
        <x:v>CP-10</x:v>
      </x:c>
      <x:c r="B15" s="15" t="str">
        <x:v>Sicherungsabtretung Lizenzforderungen</x:v>
      </x:c>
      <x:c r="C15" s="15" t="str">
        <x:v>PL-04 und FT-02</x:v>
      </x:c>
      <x:c r="D15" s="15" t="str">
        <x:v>Urkunde 21.02.2025</x:v>
      </x:c>
      <x:c r="E15" s="15" t="str">
        <x:v>03.04.2025</x:v>
      </x:c>
      <x:c r="F15" s="15" t="str">
        <x:v>erfüllt</x:v>
      </x:c>
      <x:c r="G15" s="15" t="str">
        <x:v>Hanno Seubert</x:v>
      </x:c>
      <x:c r="H15" s="15" t="str">
        <x:v>vor erstem Lizenzvertrag bestellt</x:v>
      </x:c>
    </x:row>
    <x:row r="16" ht="34" customHeight="1">
      <x:c r="A16" s="14" t="str">
        <x:v>CP-11</x:v>
      </x:c>
      <x:c r="B16" s="14" t="str">
        <x:v>Aktualisierter Liquiditäts- und Produktionsplan</x:v>
      </x:c>
      <x:c r="C16" s="14" t="str">
        <x:v>PL-04</x:v>
      </x:c>
      <x:c r="D16" s="14" t="str">
        <x:v>Planstand 31.03.2025</x:v>
      </x:c>
      <x:c r="E16" s="14" t="str">
        <x:v>03.04.2025</x:v>
      </x:c>
      <x:c r="F16" s="14" t="str">
        <x:v>erfüllt</x:v>
      </x:c>
      <x:c r="G16" s="14" t="str">
        <x:v>Bettina Karg</x:v>
      </x:c>
      <x:c r="H16" s="14" t="str">
        <x:v>Produktionslinie danach 120.000 EUR ungenutzt</x:v>
      </x:c>
    </x:row>
    <x:row r="17" ht="34" customHeight="1">
      <x:c r="A17" s="15" t="str">
        <x:v>CP-12</x:v>
      </x:c>
      <x:c r="B17" s="15" t="str">
        <x:v>Mastering- und Fertigstellungsbericht</x:v>
      </x:c>
      <x:c r="C17" s="15" t="str">
        <x:v>FT-02</x:v>
      </x:c>
      <x:c r="D17" s="15" t="str">
        <x:v>Komet-Bericht 12.05.2025 / Kostenbericht 14.05.2025</x:v>
      </x:c>
      <x:c r="E17" s="15" t="str">
        <x:v>16.05.2025</x:v>
      </x:c>
      <x:c r="F17" s="15" t="str">
        <x:v>erfüllt</x:v>
      </x:c>
      <x:c r="G17" s="15" t="str">
        <x:v>Hanno Seubert</x:v>
      </x:c>
      <x:c r="H17" s="15" t="str">
        <x:v>Rechtekettenlücken werden nicht als geschlossen bestätigt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13" hidden="0" customWidth="1"/>
    <x:col min="8" max="8" width="37" hidden="0" customWidth="1"/>
  </x:cols>
  <x:sheetData>
    <x:row r="1" ht="24" customHeight="1">
      <x:c r="A1" s="4" t="str">
        <x:v>CP-Checkliste und Ziehungsregister Produktionsfinanzierung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  <x:c r="G3" s="8"/>
      <x:c r="H3" s="8"/>
    </x:row>
    <x:row r="5" ht="36" customHeight="1">
      <x:c r="A5" s="11" t="str">
        <x:v>Abruf</x:v>
      </x:c>
      <x:c r="B5" s="11" t="str">
        <x:v>Kreditteil</x:v>
      </x:c>
      <x:c r="C5" s="11" t="str">
        <x:v>Abrufdatum</x:v>
      </x:c>
      <x:c r="D5" s="11" t="str">
        <x:v>Valuta</x:v>
      </x:c>
      <x:c r="E5" s="11" t="str">
        <x:v>Betrag EUR</x:v>
      </x:c>
      <x:c r="F5" s="11" t="str">
        <x:v>Bankbeleg</x:v>
      </x:c>
      <x:c r="G5" s="11" t="str">
        <x:v>CP-Status</x:v>
      </x:c>
      <x:c r="H5" s="11" t="str">
        <x:v>Verwendungszweck</x:v>
      </x:c>
    </x:row>
    <x:row r="6" ht="34" customHeight="1">
      <x:c r="A6" s="14" t="str">
        <x:v>PL-01</x:v>
      </x:c>
      <x:c r="B6" s="14" t="str">
        <x:v>Produktionslinie</x:v>
      </x:c>
      <x:c r="C6" s="14" t="str">
        <x:v>22.04.2024</x:v>
      </x:c>
      <x:c r="D6" s="14" t="str">
        <x:v>23.04.2024</x:v>
      </x:c>
      <x:c r="E6" s="14" t="n">
        <x:v>620000</x:v>
      </x:c>
      <x:c r="F6" s="14" t="str">
        <x:v>10_Bankfreigabe_PL01_620000.pdf / PMB-KLP-240423-01</x:v>
      </x:c>
      <x:c r="G6" s="14" t="str">
        <x:v>erfüllt</x:v>
      </x:c>
      <x:c r="H6" s="14" t="str">
        <x:v>Drehvorbereitung und erste Drehphase</x:v>
      </x:c>
    </x:row>
    <x:row r="7" ht="34" customHeight="1">
      <x:c r="A7" s="15" t="str">
        <x:v>PL-02</x:v>
      </x:c>
      <x:c r="B7" s="15" t="str">
        <x:v>Produktionslinie</x:v>
      </x:c>
      <x:c r="C7" s="15" t="str">
        <x:v>10.07.2024</x:v>
      </x:c>
      <x:c r="D7" s="15" t="str">
        <x:v>12.07.2024</x:v>
      </x:c>
      <x:c r="E7" s="15" t="n">
        <x:v>480000</x:v>
      </x:c>
      <x:c r="F7" s="15" t="str">
        <x:v>12_Bankfreigabe_PL02_480000.pdf / PMB-KLP-240712-02</x:v>
      </x:c>
      <x:c r="G7" s="15" t="str">
        <x:v>erfüllt</x:v>
      </x:c>
      <x:c r="H7" s="15" t="str">
        <x:v>Hauptdreh und Motivkosten</x:v>
      </x:c>
    </x:row>
    <x:row r="8" ht="34" customHeight="1">
      <x:c r="A8" s="14" t="str">
        <x:v>PL-03</x:v>
      </x:c>
      <x:c r="B8" s="14" t="str">
        <x:v>Produktionslinie</x:v>
      </x:c>
      <x:c r="C8" s="14" t="str">
        <x:v>27.11.2024</x:v>
      </x:c>
      <x:c r="D8" s="14" t="str">
        <x:v>29.11.2024</x:v>
      </x:c>
      <x:c r="E8" s="14" t="n">
        <x:v>420000</x:v>
      </x:c>
      <x:c r="F8" s="14" t="str">
        <x:v>14_Bankfreigabe_PL03_420000.pdf / PMB-KLP-241129-03</x:v>
      </x:c>
      <x:c r="G8" s="14" t="str">
        <x:v>erfüllt</x:v>
      </x:c>
      <x:c r="H8" s="14" t="str">
        <x:v>Schnitt, Ton und Restkosten</x:v>
      </x:c>
    </x:row>
    <x:row r="9" ht="34" customHeight="1">
      <x:c r="A9" s="15" t="str">
        <x:v>PL-04</x:v>
      </x:c>
      <x:c r="B9" s="15" t="str">
        <x:v>Produktionslinie</x:v>
      </x:c>
      <x:c r="C9" s="15" t="str">
        <x:v>02.04.2025</x:v>
      </x:c>
      <x:c r="D9" s="15" t="str">
        <x:v>04.04.2025</x:v>
      </x:c>
      <x:c r="E9" s="15" t="n">
        <x:v>210000</x:v>
      </x:c>
      <x:c r="F9" s="15" t="str">
        <x:v>16_Bankfreigabe_PL04_210000.pdf / PMB-KLP-250404-04</x:v>
      </x:c>
      <x:c r="G9" s="15" t="str">
        <x:v>erfüllt</x:v>
      </x:c>
      <x:c r="H9" s="15" t="str">
        <x:v>Restproduktion und Liefermaterial</x:v>
      </x:c>
    </x:row>
    <x:row r="10" ht="34" customHeight="1">
      <x:c r="A10" s="14" t="str">
        <x:v>FT-01</x:v>
      </x:c>
      <x:c r="B10" s="14" t="str">
        <x:v>Fertigstellungstranche</x:v>
      </x:c>
      <x:c r="C10" s="14" t="str">
        <x:v>13.01.2025</x:v>
      </x:c>
      <x:c r="D10" s="14" t="str">
        <x:v>15.01.2025</x:v>
      </x:c>
      <x:c r="E10" s="14" t="n">
        <x:v>250000</x:v>
      </x:c>
      <x:c r="F10" s="14" t="str">
        <x:v>18_Bankfreigabe_FT01_250000.pdf / PMB-KLP-250115-05</x:v>
      </x:c>
      <x:c r="G10" s="14" t="str">
        <x:v>erfüllt</x:v>
      </x:c>
      <x:c r="H10" s="14" t="str">
        <x:v>Postproduktion und Mastering Teil 1</x:v>
      </x:c>
    </x:row>
    <x:row r="11" ht="34" customHeight="1">
      <x:c r="A11" s="15" t="str">
        <x:v>FT-02</x:v>
      </x:c>
      <x:c r="B11" s="15" t="str">
        <x:v>Fertigstellungstranche</x:v>
      </x:c>
      <x:c r="C11" s="15" t="str">
        <x:v>16.05.2025</x:v>
      </x:c>
      <x:c r="D11" s="15" t="str">
        <x:v>19.05.2025</x:v>
      </x:c>
      <x:c r="E11" s="15" t="n">
        <x:v>170000</x:v>
      </x:c>
      <x:c r="F11" s="15" t="str">
        <x:v>20_Bankfreigabe_FT02_170000.pdf / PMB-KLP-250519-06</x:v>
      </x:c>
      <x:c r="G11" s="15" t="str">
        <x:v>erfüllt</x:v>
      </x:c>
      <x:c r="H11" s="15" t="str">
        <x:v>Mastering, Barrierefreiheit und Lieferung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14" hidden="0" customWidth="1"/>
    <x:col min="3" max="3" width="48" hidden="0" customWidth="1"/>
    <x:col min="4" max="4" width="13" hidden="0" customWidth="1"/>
    <x:col min="5" max="5" width="22" hidden="0" customWidth="1"/>
  </x:cols>
  <x:sheetData>
    <x:row r="1" ht="24" customHeight="1">
      <x:c r="A1" s="4" t="str">
        <x:v>CP-Checkliste und Ziehungsregister Produktionsfinanzierung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8" customHeight="1">
      <x:c r="A3" s="8" t="str">
        <x:v>Arbeitsstand aus den beigefügten Aktenstücken; offene Angaben bleiben offen und sind nicht als Nullwert zu behandeln. Formeln gleichen die sechs Einzelvaluten mit den zugesagten Kreditteilen ab.</x:v>
      </x:c>
      <x:c r="B3" s="8"/>
      <x:c r="C3" s="8"/>
      <x:c r="D3" s="8"/>
      <x:c r="E3" s="8"/>
    </x:row>
    <x:row r="5" ht="36" customHeight="1">
      <x:c r="A5" s="11" t="str">
        <x:v>Kontrolle</x:v>
      </x:c>
      <x:c r="B5" s="11" t="str">
        <x:v>Soll EUR/Anzahl</x:v>
      </x:c>
      <x:c r="C5" s="11" t="str">
        <x:v>Berechnet</x:v>
      </x:c>
      <x:c r="D5" s="11" t="str">
        <x:v>Differenz</x:v>
      </x:c>
      <x:c r="E5" s="11" t="str">
        <x:v>Status</x:v>
      </x:c>
    </x:row>
    <x:row r="6" ht="34" customHeight="1">
      <x:c r="A6" s="14" t="str">
        <x:v>Ziehungen Produktionslinie</x:v>
      </x:c>
      <x:c r="B6" s="14" t="n">
        <x:v>1730000</x:v>
      </x:c>
      <x:c r="C6" s="14" t="n">
        <x:f>SUMIF(Ziehungen!$B$6:$B$11,"Produktionslinie",Ziehungen!$E$6:$E$11)</x:f>
        <x:v>1730000</x:v>
      </x:c>
      <x:c r="D6" s="14" t="n">
        <x:f>C6-B6</x:f>
        <x:v>0</x:v>
      </x:c>
      <x:c r="E6" s="14" t="str">
        <x:f>IF(D6=0,"OK","FEHLER")</x:f>
        <x:v>OK</x:v>
      </x:c>
    </x:row>
    <x:row r="7" ht="34" customHeight="1">
      <x:c r="A7" s="15" t="str">
        <x:v>Ungenutzte Produktionslinie</x:v>
      </x:c>
      <x:c r="B7" s="15" t="n">
        <x:v>120000</x:v>
      </x:c>
      <x:c r="C7" s="15" t="n">
        <x:f>1850000-C6</x:f>
        <x:v>120000</x:v>
      </x:c>
      <x:c r="D7" s="15" t="n">
        <x:f>C7-B7</x:f>
        <x:v>0</x:v>
      </x:c>
      <x:c r="E7" s="15" t="str">
        <x:f>IF(D7=0,"OK","FEHLER")</x:f>
        <x:v>OK</x:v>
      </x:c>
    </x:row>
    <x:row r="8" ht="34" customHeight="1">
      <x:c r="A8" s="14" t="str">
        <x:v>Ziehungen Fertigstellungstranche</x:v>
      </x:c>
      <x:c r="B8" s="14" t="n">
        <x:v>420000</x:v>
      </x:c>
      <x:c r="C8" s="14" t="n">
        <x:f>SUMIF(Ziehungen!$B$6:$B$11,"Fertigstellungstranche",Ziehungen!$E$6:$E$11)</x:f>
        <x:v>420000</x:v>
      </x:c>
      <x:c r="D8" s="14" t="n">
        <x:f>C8-B8</x:f>
        <x:v>0</x:v>
      </x:c>
      <x:c r="E8" s="14" t="str">
        <x:f>IF(D8=0,"OK","FEHLER")</x:f>
        <x:v>OK</x:v>
      </x:c>
    </x:row>
    <x:row r="9" ht="34" customHeight="1">
      <x:c r="A9" s="15" t="str">
        <x:v>Ungenutzte Fertigstellungstranche</x:v>
      </x:c>
      <x:c r="B9" s="15" t="n">
        <x:v>0</x:v>
      </x:c>
      <x:c r="C9" s="15" t="n">
        <x:f>420000-C8</x:f>
        <x:v>0</x:v>
      </x:c>
      <x:c r="D9" s="15" t="n">
        <x:f>C9-B9</x:f>
        <x:v>0</x:v>
      </x:c>
      <x:c r="E9" s="15" t="str">
        <x:f>IF(D9=0,"OK","FEHLER")</x:f>
        <x:v>OK</x:v>
      </x:c>
    </x:row>
    <x:row r="10" ht="34" customHeight="1">
      <x:c r="A10" s="14" t="str">
        <x:v>Gesamtvalutierung</x:v>
      </x:c>
      <x:c r="B10" s="14" t="n">
        <x:v>2150000</x:v>
      </x:c>
      <x:c r="C10" s="14" t="n">
        <x:f>SUM(Ziehungen!$E$6:$E$11)</x:f>
        <x:v>2150000</x:v>
      </x:c>
      <x:c r="D10" s="14" t="n">
        <x:f>C10-B10</x:f>
        <x:v>0</x:v>
      </x:c>
      <x:c r="E10" s="14" t="str">
        <x:f>IF(D10=0,"OK","FEHLER")</x:f>
        <x:v>OK</x:v>
      </x:c>
    </x:row>
    <x:row r="11" ht="34" customHeight="1">
      <x:c r="A11" s="15" t="str">
        <x:v>Anzahl Ziehungen</x:v>
      </x:c>
      <x:c r="B11" s="15" t="n">
        <x:v>6</x:v>
      </x:c>
      <x:c r="C11" s="15" t="n">
        <x:f>COUNTA(Ziehungen!$A$6:$A$11)</x:f>
        <x:v>6</x:v>
      </x:c>
      <x:c r="D11" s="15" t="n">
        <x:f>C11-B11</x:f>
        <x:v>0</x:v>
      </x:c>
      <x:c r="E11" s="15" t="str">
        <x:f>IF(D11=0,"OK","FEHLER")</x:f>
        <x:v>OK</x:v>
      </x:c>
    </x:row>
  </x:sheetData>
  <x:mergeCells>
    <x:mergeCell ref="A1:E2"/>
    <x:mergeCell ref="A3:E3"/>
  </x:mergeCells>
  <x:pageMargins left="0.7" right="0.7" top="0.75" bottom="0.75" header="0.3" footer="0.3"/>
</x:worksheet>
</file>