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e70b97bbb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kosten" sheetId="1" r:id="R6670ff7e00b94e42"/>
    <x:sheet xmlns:r="http://schemas.openxmlformats.org/officeDocument/2006/relationships" name="Plaetze" sheetId="2" r:id="R0b0c413a0722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f1a4a4f68478c" /><Relationship Type="http://schemas.openxmlformats.org/officeDocument/2006/relationships/theme" Target="/xl/theme/theme1.xml" Id="R5c4bb987f4a041fc" /><Relationship Type="http://schemas.openxmlformats.org/officeDocument/2006/relationships/sharedStrings" Target="/xl/sharedStrings.xml" Id="Rdfa40a0d770a4dd4" /><Relationship Type="http://schemas.openxmlformats.org/officeDocument/2006/relationships/worksheet" Target="/xl/worksheets/sheet1.xml" Id="R6670ff7e00b94e42" /><Relationship Type="http://schemas.openxmlformats.org/officeDocument/2006/relationships/worksheet" Target="/xl/worksheets/sheet2.xml" Id="R0b0c413a072246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6" customHeight="1">
      <x:c r="A1" s="6" t="str">
        <x:v>Position</x:v>
      </x:c>
      <x:c r="B1" s="6" t="str">
        <x:v>Angebot EUR</x:v>
      </x:c>
      <x:c r="C1" s="6" t="str">
        <x:v>Beauftragt EUR</x:v>
      </x:c>
      <x:c r="D1" s="6" t="str">
        <x:v>Bezahlt EUR</x:v>
      </x:c>
      <x:c r="E1" s="6" t="str">
        <x:v>Offen EUR</x:v>
      </x:c>
    </x:row>
    <x:row r="2" ht="24" customHeight="1">
      <x:c r="A2" s="3" t="str">
        <x:v>Inventar</x:v>
      </x:c>
      <x:c r="B2" s="8" t="n">
        <x:v>18000</x:v>
      </x:c>
      <x:c r="C2" s="8" t="n">
        <x:v>18000</x:v>
      </x:c>
      <x:c r="D2" s="8" t="n">
        <x:v>18000</x:v>
      </x:c>
      <x:c r="E2" s="8" t="n">
        <x:f>C2-D2</x:f>
        <x:v>0</x:v>
      </x:c>
    </x:row>
    <x:row r="3" ht="24" customHeight="1">
      <x:c r="A3" s="3" t="str">
        <x:v>Kuehlreparatur</x:v>
      </x:c>
      <x:c r="B3" s="8" t="n">
        <x:v>420</x:v>
      </x:c>
      <x:c r="C3" s="8" t="n">
        <x:v>420</x:v>
      </x:c>
      <x:c r="D3" s="8" t="n">
        <x:v>420</x:v>
      </x:c>
      <x:c r="E3" s="8" t="n">
        <x:f>C3-D3</x:f>
        <x:v>0</x:v>
      </x:c>
    </x:row>
    <x:row r="4" ht="24" customHeight="1">
      <x:c r="A4" s="3" t="str">
        <x:v>Abluftwartung</x:v>
      </x:c>
      <x:c r="B4" s="8" t="n">
        <x:v>680</x:v>
      </x:c>
      <x:c r="C4" s="8" t="n">
        <x:v>680</x:v>
      </x:c>
      <x:c r="D4" s="8" t="n">
        <x:v>0</x:v>
      </x:c>
      <x:c r="E4" s="8" t="n">
        <x:f>C4-D4</x:f>
        <x:v>680</x:v>
      </x:c>
    </x:row>
    <x:row r="5" ht="24" customHeight="1">
      <x:c r="A5" s="3" t="str">
        <x:v>Gehwegmoebel</x:v>
      </x:c>
      <x:c r="B5" s="8" t="n">
        <x:v>950</x:v>
      </x:c>
      <x:c r="C5" s="8" t="n">
        <x:v>0</x:v>
      </x:c>
      <x:c r="D5" s="8" t="n">
        <x:v>0</x:v>
      </x:c>
      <x:c r="E5" s="8" t="n">
        <x:f>C5-D5</x:f>
        <x:v>0</x:v>
      </x:c>
    </x:row>
    <x:row r="6" ht="24" customHeight="1">
      <x:c r="A6" s="3" t="str">
        <x:v>Summe</x:v>
      </x:c>
      <x:c r="B6" s="8" t="n">
        <x:f>SUM(B2:B5)</x:f>
        <x:v>20050</x:v>
      </x:c>
      <x:c r="C6" s="8" t="n">
        <x:f>SUM(C2:C5)</x:f>
        <x:v>19100</x:v>
      </x:c>
      <x:c r="D6" s="8" t="n">
        <x:f>SUM(D2:D5)</x:f>
        <x:v>18420</x:v>
      </x:c>
      <x:c r="E6" s="8" t="n">
        <x:f>SUM(E2:E5)</x:f>
        <x:v>680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20" hidden="0" customWidth="1"/>
    <x:col min="4" max="4" width="14" hidden="0" customWidth="1"/>
    <x:col min="5" max="5" width="54" hidden="0" customWidth="1"/>
  </x:cols>
  <x:sheetData>
    <x:row r="1" ht="36" customHeight="1">
      <x:c r="A1" s="6" t="str">
        <x:v>Bereich</x:v>
      </x:c>
      <x:c r="B1" s="6" t="str">
        <x:v>Plan</x:v>
      </x:c>
      <x:c r="C1" s="6" t="str">
        <x:v>Alter Bescheid</x:v>
      </x:c>
      <x:c r="D1" s="6" t="str">
        <x:v>Differenz</x:v>
      </x:c>
      <x:c r="E1" s="6" t="str">
        <x:v>Notiz</x:v>
      </x:c>
    </x:row>
    <x:row r="2" ht="24" customHeight="1">
      <x:c r="A2" s="3" t="str">
        <x:v>Gastraum</x:v>
      </x:c>
      <x:c r="B2" s="10" t="n">
        <x:v>24</x:v>
      </x:c>
      <x:c r="C2" s="10" t="n">
        <x:v>24</x:v>
      </x:c>
      <x:c r="D2" s="10" t="n">
        <x:f>B2-C2</x:f>
        <x:v>0</x:v>
      </x:c>
      <x:c r="E2" s="3" t="str">
        <x:v>Betriebskonzept vom 24. September.</x:v>
      </x:c>
    </x:row>
    <x:row r="3" ht="38" customHeight="1">
      <x:c r="A3" s="3" t="str">
        <x:v>Gehweg</x:v>
      </x:c>
      <x:c r="B3" s="10" t="n">
        <x:v>12</x:v>
      </x:c>
      <x:c r="C3" s="10" t="n">
        <x:v>0</x:v>
      </x:c>
      <x:c r="D3" s="10" t="n">
        <x:f>B3-C3</x:f>
        <x:v>12</x:v>
      </x:c>
      <x:c r="E3" s="3" t="str">
        <x:v>Antragsskizze noch offen; alte Unterlage fehlt.</x:v>
      </x:c>
    </x:row>
    <x:row r="4" ht="24" customHeight="1">
      <x:c r="A4" s="3" t="str">
        <x:v>Keller</x:v>
      </x:c>
      <x:c r="B4" s="10" t="n">
        <x:v>0</x:v>
      </x:c>
      <x:c r="C4" s="10" t="n">
        <x:v>0</x:v>
      </x:c>
      <x:c r="D4" s="10" t="n">
        <x:f>B4-C4</x:f>
        <x:v>0</x:v>
      </x:c>
      <x:c r="E4" s="3" t="str">
        <x:v>Lager, keine Gaeste.</x:v>
      </x:c>
    </x:row>
  </x:sheetData>
  <x:pageMargins left="0.4" right="0.4" top="0.4" bottom="0.4" header="0.15" footer="0.15"/>
  <x:pageSetup paperSize="9" orientation="landscape" fitToWidth="1" fitToHeight="0"/>
</x:worksheet>
</file>