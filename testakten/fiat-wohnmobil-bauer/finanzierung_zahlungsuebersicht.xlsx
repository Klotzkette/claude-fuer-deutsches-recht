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'Zahlungsuebersicht'!$A$4:$E$7</definedName>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DD.MM.YYYY"/>
    <numFmt numFmtId="166" formatCode="#,##0.00 [$€-407]"/>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165" fontId="0" fillId="0" borderId="1" applyAlignment="1" pivotButton="0" quotePrefix="0" xfId="0">
      <alignment vertical="top" wrapText="1"/>
    </xf>
    <xf numFmtId="0" fontId="0" fillId="0" borderId="1" applyAlignment="1" pivotButton="0" quotePrefix="0" xfId="0">
      <alignment vertical="top" wrapText="1"/>
    </xf>
    <xf numFmtId="166" fontId="0" fillId="0" borderId="1" applyAlignment="1" pivotButton="0" quotePrefix="0" xfId="0">
      <alignment vertical="top" wrapText="1"/>
    </xf>
    <xf numFmtId="1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E32"/>
  <sheetViews>
    <sheetView showGridLines="0" workbookViewId="0">
      <pane ySplit="4" topLeftCell="A5" activePane="bottomLeft" state="frozen"/>
      <selection pane="bottomLeft" activeCell="A1" sqref="A1"/>
    </sheetView>
  </sheetViews>
  <sheetFormatPr baseColWidth="8" defaultRowHeight="14"/>
  <cols>
    <col width="22" customWidth="1" min="1" max="1"/>
    <col width="22" customWidth="1" min="2" max="2"/>
    <col width="22" customWidth="1" min="3" max="3"/>
    <col width="22" customWidth="1" min="4" max="4"/>
    <col width="22" customWidth="1" min="5" max="5"/>
  </cols>
  <sheetData>
    <row r="1" ht="24" customHeight="1">
      <c r="A1" s="1" t="inlineStr">
        <is>
          <t>Zahlungs-, Nutzungs- und Kostenrechnung</t>
        </is>
      </c>
    </row>
    <row r="2">
      <c r="A2" s="2" t="inlineStr">
        <is>
          <t>Stand: 25. Juli 2026. Sämtliche Schadenswerte sind interne Szenarien und keine Anspruchsbezifferung.</t>
        </is>
      </c>
    </row>
    <row r="3">
      <c r="A3" s="3" t="inlineStr">
        <is>
          <t>Kaufpreiszahlung</t>
        </is>
      </c>
    </row>
    <row r="4" ht="16" customHeight="1">
      <c r="A4" s="4" t="inlineStr">
        <is>
          <t>Datum</t>
        </is>
      </c>
      <c r="B4" s="4" t="inlineStr">
        <is>
          <t>Zahlung</t>
        </is>
      </c>
      <c r="C4" s="4" t="inlineStr">
        <is>
          <t>Betrag</t>
        </is>
      </c>
    </row>
    <row r="5" ht="30" customHeight="1">
      <c r="A5" s="5" t="n">
        <v>43585</v>
      </c>
      <c r="B5" s="6" t="inlineStr">
        <is>
          <t>Anzahlung vom Gemeinschaftskonto</t>
        </is>
      </c>
      <c r="C5" s="7" t="n">
        <v>10000</v>
      </c>
    </row>
    <row r="6" ht="30" customHeight="1">
      <c r="A6" s="5" t="n">
        <v>43598</v>
      </c>
      <c r="B6" s="6" t="inlineStr">
        <is>
          <t>Schlusszahlung vom Gemeinschaftskonto</t>
        </is>
      </c>
      <c r="C6" s="7" t="n">
        <v>52000</v>
      </c>
    </row>
    <row r="7" ht="16" customHeight="1">
      <c r="A7" s="6" t="inlineStr"/>
      <c r="B7" s="6" t="inlineStr">
        <is>
          <t>Gesamtkaufpreis</t>
        </is>
      </c>
      <c r="C7" s="7" t="n">
        <v>62000</v>
      </c>
    </row>
    <row r="8"/>
    <row r="9">
      <c r="A9" s="2" t="inlineStr">
        <is>
          <t>Der Kaufpreis umfasst Basisfahrzeug, Wohnaufbau und Sonderausstattung. Finanzierungskosten bestehen nicht.</t>
        </is>
      </c>
    </row>
    <row r="10">
      <c r="A10" s="3" t="inlineStr">
        <is>
          <t>Kilometerbezogene Kontrollrechnung</t>
        </is>
      </c>
    </row>
    <row r="11" ht="30" customHeight="1">
      <c r="A11" s="2" t="inlineStr">
        <is>
          <t>Bei Übergabe standen 38 km, am 8. Juli 2026 41.327 km auf dem Zähler. Gefahren wurden damit 41.289 km. Unterstellt man eine Gesamtlaufleistung von 250.000 km, betrug die bei Erwerb verbleibende Laufleistung 249.962 km.</t>
        </is>
      </c>
    </row>
    <row r="12" ht="30" customHeight="1">
      <c r="A12" s="6" t="inlineStr">
        <is>
          <t>62.000,00 EUR × 41.289 km ÷ 249.962 km</t>
        </is>
      </c>
      <c r="B12" s="7">
        <f>C7*41289/249962</f>
        <v/>
      </c>
    </row>
    <row r="13">
      <c r="A13" s="2" t="inlineStr">
        <is>
          <t>Die Gesamtlaufleistung ist eine Schätzannahme und bei einem Wohnmobil nicht zwingend die gerichtliche Methode.</t>
        </is>
      </c>
    </row>
    <row r="14">
      <c r="A14" s="3" t="inlineStr">
        <is>
          <t>Zeitbezogene Kontrollrechnung</t>
        </is>
      </c>
    </row>
    <row r="15" ht="30" customHeight="1">
      <c r="A15" s="2" t="inlineStr">
        <is>
          <t>Zwischen Übergabe am 14. Mai 2019 und dem Berechnungsstichtag 25. Juli 2026 liegen 86 volle Monate. Bei einer angenommenen Gesamtnutzungsdauer von 15 Jahren beziehungsweise 180 Monaten ergibt sich:</t>
        </is>
      </c>
    </row>
    <row r="16" ht="30" customHeight="1">
      <c r="A16" s="6" t="inlineStr">
        <is>
          <t>62.000,00 EUR × 86 Monate ÷ 180 Monate</t>
        </is>
      </c>
      <c r="B16" s="7">
        <f>C7*86/180</f>
        <v/>
      </c>
    </row>
    <row r="17" ht="58" customHeight="1">
      <c r="A17" s="2" t="inlineStr">
        <is>
          <t>Der BGH hat in VIa ZR 549/24 nicht generell eine Laufzeit von 15 Jahren vorgeschrieben. Er hat aber eine zeitanteilige Schätzung bei atypisch niedriger Jahresfahrleistung als vom tatrichterlichen Ermessen gedeckt angesehen. Die Bauer-Akte weist seit Übergabe im Durchschnitt nur rund 5.760 km pro Jahr aus. Deshalb muss diese deutlich höhere Variante ernsthaft in die Wirtschaftlichkeitsprüfung einfließen.</t>
        </is>
      </c>
    </row>
    <row r="18">
      <c r="A18" s="3" t="inlineStr">
        <is>
          <t>Differenzschaden und Vorteilsausgleich</t>
        </is>
      </c>
    </row>
    <row r="19" ht="44" customHeight="1">
      <c r="A19" s="4" t="inlineStr">
        <is>
          <t>Quote</t>
        </is>
      </c>
      <c r="B19" s="4" t="inlineStr">
        <is>
          <t>Bruttodifferenz</t>
        </is>
      </c>
      <c r="C19" s="4" t="inlineStr">
        <is>
          <t>angenommener Wert bei Erwerb</t>
        </is>
      </c>
      <c r="D19" s="4" t="inlineStr">
        <is>
          <t>Beginn der Restwertanrechnung bei Kilometermethode</t>
        </is>
      </c>
      <c r="E19" s="4" t="inlineStr">
        <is>
          <t>Beginn der Restwertanrechnung bei Zeitmethode</t>
        </is>
      </c>
    </row>
    <row r="20" ht="16" customHeight="1">
      <c r="A20" s="8" t="n">
        <v>0.05</v>
      </c>
      <c r="B20" s="7" t="n">
        <v>3100</v>
      </c>
      <c r="C20" s="7" t="n">
        <v>58900</v>
      </c>
      <c r="D20" s="7" t="n">
        <v>48658.77</v>
      </c>
      <c r="E20" s="7" t="n">
        <v>29277.78</v>
      </c>
    </row>
    <row r="21" ht="16" customHeight="1">
      <c r="A21" s="8" t="n">
        <v>0.1</v>
      </c>
      <c r="B21" s="7" t="n">
        <v>6200</v>
      </c>
      <c r="C21" s="7" t="n">
        <v>55800</v>
      </c>
      <c r="D21" s="7" t="n">
        <v>45558.77</v>
      </c>
      <c r="E21" s="7" t="n">
        <v>26177.78</v>
      </c>
    </row>
    <row r="22" ht="16" customHeight="1">
      <c r="A22" s="8" t="n">
        <v>0.15</v>
      </c>
      <c r="B22" s="7" t="n">
        <v>9300</v>
      </c>
      <c r="C22" s="7" t="n">
        <v>52700</v>
      </c>
      <c r="D22" s="7" t="n">
        <v>42458.77</v>
      </c>
      <c r="E22" s="7" t="n">
        <v>23077.78</v>
      </c>
    </row>
    <row r="23"/>
    <row r="24" ht="58" customHeight="1">
      <c r="A24" s="2" t="inlineStr">
        <is>
          <t>Die Anrechnung beginnt, wenn Nutzungen und aktueller Restwert zusammen den jeweiligen angenommenen Fahrzeugwert bei Erwerb übersteigen. Vollständig aufgezehrt wäre jede Bruttodifferenz bei einem Restwert von 51.758,77 EUR unter der Kilometermethode beziehungsweise 32.377,78 EUR unter der Zeitmethode. Ein aktueller Restwertbeleg fehlt. Ohne ihn gibt es keinen belastbaren Nettoanspruch.</t>
        </is>
      </c>
    </row>
    <row r="25">
      <c r="A25" s="3" t="inlineStr">
        <is>
          <t>Gesetzliches Prozesskostenrisiko im Höchstszenario</t>
        </is>
      </c>
    </row>
    <row r="26" ht="58" customHeight="1">
      <c r="A26" s="2" t="inlineStr">
        <is>
          <t>Für einen Zahlungsantrag von 9.300,00 EUR wird nach den am 25. Juli 2026 geltenden Tabellen die Wertstufe bis 10.000,00 EUR verwendet. Unterstellt sind volle Verfahrens- und Terminsgebühren für beide Seiten, 19 % Umsatzsteuer und volle Gerichtsgebühren. Nicht enthalten sind Sachverständige, Übersetzungen, Auslandszustellung, Reisen und Vergleichsgebühren.</t>
        </is>
      </c>
    </row>
    <row r="27" ht="16" customHeight="1">
      <c r="A27" s="4" t="inlineStr">
        <is>
          <t>Instanz</t>
        </is>
      </c>
      <c r="B27" s="4" t="inlineStr">
        <is>
          <t>Gericht</t>
        </is>
      </c>
      <c r="C27" s="4" t="inlineStr">
        <is>
          <t>beide Rechtsanwälte</t>
        </is>
      </c>
      <c r="D27" s="4" t="inlineStr">
        <is>
          <t>Summe</t>
        </is>
      </c>
    </row>
    <row r="28" ht="16" customHeight="1">
      <c r="A28" s="6" t="inlineStr">
        <is>
          <t>erste Instanz</t>
        </is>
      </c>
      <c r="B28" s="7" t="n">
        <v>849</v>
      </c>
      <c r="C28" s="7" t="n">
        <v>3927</v>
      </c>
      <c r="D28" s="7" t="n">
        <v>4776</v>
      </c>
    </row>
    <row r="29" ht="16" customHeight="1">
      <c r="A29" s="6" t="inlineStr">
        <is>
          <t>Berufung</t>
        </is>
      </c>
      <c r="B29" s="7" t="n">
        <v>1132</v>
      </c>
      <c r="C29" s="7" t="n">
        <v>4392.52</v>
      </c>
      <c r="D29" s="7" t="n">
        <v>5524.52</v>
      </c>
    </row>
    <row r="30" ht="16" customHeight="1">
      <c r="A30" s="6" t="inlineStr">
        <is>
          <t>beide Instanzen</t>
        </is>
      </c>
      <c r="B30" s="7" t="n">
        <v>1981</v>
      </c>
      <c r="C30" s="7" t="n">
        <v>8319.52</v>
      </c>
      <c r="D30" s="7" t="n">
        <v>10300.52</v>
      </c>
    </row>
    <row r="31"/>
    <row r="32" ht="30" customHeight="1">
      <c r="A32" s="2" t="inlineStr">
        <is>
          <t>Schon ohne technische Begutachtung liegt das Risiko beider Instanzen über dem maximalen Bruttodifferenzschaden. Mit Restwert- und Nutzungsausgleich kann der wirtschaftliche Abstand erheblich größer sein.</t>
        </is>
      </c>
    </row>
  </sheetData>
  <autoFilter ref="A4:E7"/>
  <mergeCells count="15">
    <mergeCell ref="A18:E18"/>
    <mergeCell ref="A24:E24"/>
    <mergeCell ref="A2:E2"/>
    <mergeCell ref="A26:E26"/>
    <mergeCell ref="A15:E15"/>
    <mergeCell ref="A10:E10"/>
    <mergeCell ref="A25:E25"/>
    <mergeCell ref="A11:E11"/>
    <mergeCell ref="A1:E1"/>
    <mergeCell ref="A32:E32"/>
    <mergeCell ref="A13:E13"/>
    <mergeCell ref="A14:E14"/>
    <mergeCell ref="A17:E17"/>
    <mergeCell ref="A9:E9"/>
    <mergeCell ref="A3:E3"/>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