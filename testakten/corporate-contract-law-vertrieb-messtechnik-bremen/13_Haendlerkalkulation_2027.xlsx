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c40fe3d23048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lkulation" sheetId="1" r:id="R849ba215b7384ec6"/>
    <x:sheet xmlns:r="http://schemas.openxmlformats.org/officeDocument/2006/relationships" name="Monatsforecast" sheetId="2" r:id="Raf0c419115304892"/>
  </x:sheets>
  <x:definedNames>
    <x:definedName name="_xlnm.Print_Area" localSheetId="0">'Kalkulation'!$A$1:$H$35</x:definedName>
    <x:definedName name="_xlnm.Print_Area" localSheetId="1">'Monatsforecast'!$A$1:$G$24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;(#,##0.00);&quot;-&quot;"/>
    <x:numFmt numFmtId="201" formatCode="0.0%"/>
    <x:numFmt numFmtId="202" formatCode="yyyy-mm-dd"/>
    <x:numFmt numFmtId="203" formatCode="0"/>
    <x:numFmt numFmtId="204" formatCode="yyyy-mm"/>
  </x:numFmts>
  <x:fonts count="9">
    <x:font>
      <x:sz val="11"/>
      <x:name val="Carlito"/>
    </x:font>
    <x:font>
      <x:sz val="11"/>
      <x:color rgb="FF16191C"/>
      <x:name val="Times New Roman"/>
    </x:font>
    <x:font>
      <x:b/>
      <x:sz val="16"/>
      <x:color rgb="FF16191C"/>
      <x:name val="Times New Roman"/>
    </x:font>
    <x:font>
      <x:sz val="11"/>
      <x:color rgb="FF164EA2"/>
      <x:name val="Times New Roman"/>
    </x:font>
    <x:font>
      <x:b/>
      <x:sz val="11"/>
      <x:color rgb="FFFFFFFF"/>
      <x:name val="Times New Roman"/>
    </x:font>
    <x:font>
      <x:sz val="11"/>
      <x:color rgb="FF000000"/>
      <x:name val="Times New Roman"/>
    </x:font>
    <x:font>
      <x:b/>
      <x:sz val="11"/>
      <x:color rgb="FF16191C"/>
      <x:name val="Times New Roman"/>
    </x:font>
    <x:font>
      <x:b/>
      <x:sz val="11"/>
      <x:color rgb="FF000000"/>
      <x:name val="Times New Roman"/>
    </x:font>
    <x:font>
      <x:sz val="11"/>
      <x:color rgb="FF286047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384B50"/>
      </x:patternFill>
    </x:fill>
    <x:fill>
      <x:patternFill patternType="solid">
        <x:fgColor rgb="FFE6EEEB"/>
      </x:patternFill>
    </x:fill>
  </x:fills>
  <x:borders count="3">
    <x:border/>
    <x:border>
      <x:bottom style="thin">
        <x:color rgb="FF9EA7AA"/>
      </x:bottom>
    </x:border>
    <x:border>
      <x:top style="thin">
        <x:color rgb="FF748781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200" fontId="7" fillId="3" borderId="0" xfId="0" applyNumberFormat="1" applyFont="1" applyFill="1" applyBorder="1" applyAlignment="1">
      <x:alignment vertical="center"/>
    </x:xf>
    <x:xf numFmtId="201" fontId="7" fillId="3" borderId="0" xfId="0" applyNumberFormat="1" applyFont="1" applyFill="1" applyBorder="1" applyAlignment="1">
      <x:alignment vertical="center"/>
    </x:xf>
    <x:xf numFmtId="0" fontId="6" fillId="3" borderId="2" xfId="0" applyNumberFormat="1" applyFont="1" applyFill="1" applyBorder="1" applyAlignment="1">
      <x:alignment vertical="center"/>
    </x:xf>
    <x:xf numFmtId="0" fontId="7" fillId="3" borderId="2" xfId="0" applyNumberFormat="1" applyFont="1" applyFill="1" applyBorder="1" applyAlignment="1">
      <x:alignment vertical="center"/>
    </x:xf>
    <x:xf numFmtId="200" fontId="6" fillId="3" borderId="2" xfId="0" applyNumberFormat="1" applyFont="1" applyFill="1" applyBorder="1" applyAlignment="1">
      <x:alignment vertical="center"/>
    </x:xf>
    <x:xf numFmtId="200" fontId="7" fillId="3" borderId="2" xfId="0" applyNumberFormat="1" applyFont="1" applyFill="1" applyBorder="1" applyAlignment="1">
      <x:alignment vertical="center"/>
    </x:xf>
    <x:xf numFmtId="201" fontId="7" fillId="3" borderId="2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a404ce9e994d42" /><Relationship Type="http://schemas.openxmlformats.org/officeDocument/2006/relationships/theme" Target="/xl/theme/theme1.xml" Id="R91935b42317842b2" /><Relationship Type="http://schemas.openxmlformats.org/officeDocument/2006/relationships/sharedStrings" Target="/xl/sharedStrings.xml" Id="R541d788bc5e6412b" /><Relationship Type="http://schemas.openxmlformats.org/officeDocument/2006/relationships/worksheet" Target="/xl/worksheets/sheet1.xml" Id="R849ba215b7384ec6" /><Relationship Type="http://schemas.openxmlformats.org/officeDocument/2006/relationships/worksheet" Target="/xl/worksheets/sheet2.xml" Id="Raf0c4191153048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28.329999923706055" hidden="0" customWidth="1"/>
    <x:col min="2" max="2" width="10.5600004196167" hidden="0" customWidth="1"/>
    <x:col min="3" max="3" width="16.110000610351562" hidden="0" customWidth="1"/>
    <x:col min="4" max="4" width="16.110000610351562" hidden="0" customWidth="1"/>
    <x:col min="5" max="5" width="16.670000076293945" hidden="0" customWidth="1"/>
    <x:col min="6" max="6" width="17.219999313354492" hidden="0" customWidth="1"/>
    <x:col min="7" max="7" width="16.670000076293945" hidden="0" customWidth="1"/>
    <x:col min="8" max="8" width="15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  <x:c r="H1" s="2"/>
    </x:row>
    <x:row r="2" ht="31" customHeight="1">
      <x:c r="A2" s="3" t="str">
        <x:v>Luminara Händlerkalkulation 2027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 t="str">
        <x:v>Marco Rinaldi | 07.09.2026 | Eigene Verkaufspreise; noch kein Vertriebsvertrag</x:v>
      </x:c>
      <x:c r="B3" s="4"/>
      <x:c r="C3" s="4"/>
      <x:c r="D3" s="4"/>
      <x:c r="E3" s="4"/>
      <x:c r="F3" s="4"/>
      <x:c r="G3" s="4"/>
      <x:c r="H3" s="4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24" customHeight="1">
      <x:c r="A5" s="2" t="str">
        <x:v>Produkt</x:v>
      </x:c>
      <x:c r="B5" s="2" t="str">
        <x:v>Bezug EUR</x:v>
      </x:c>
      <x:c r="C5" s="2" t="str">
        <x:v>Verkauf EUR</x:v>
      </x:c>
      <x:c r="D5" s="2" t="str">
        <x:v>Betriebliche Herkunft</x:v>
      </x:c>
      <x:c r="E5" s="2"/>
      <x:c r="F5" s="2" t="str">
        <x:v>Lokale Handlingkosten EUR / Stück</x:v>
      </x:c>
      <x:c r="G5" s="2"/>
      <x:c r="H5" s="2"/>
    </x:row>
    <x:row r="6" ht="24" customHeight="1">
      <x:c r="A6" s="2" t="str">
        <x:v>M24</x:v>
      </x:c>
      <x:c r="B6" s="6" t="n">
        <x:v>420</x:v>
      </x:c>
      <x:c r="C6" s="6" t="n">
        <x:v>585</x:v>
      </x:c>
      <x:c r="D6" s="2" t="str">
        <x:v>WM-IT-260714 / Marco</x:v>
      </x:c>
      <x:c r="E6" s="2"/>
      <x:c r="F6" s="6" t="n">
        <x:v>8</x:v>
      </x:c>
      <x:c r="G6" s="2"/>
      <x:c r="H6" s="2"/>
    </x:row>
    <x:row r="7" ht="24" customHeight="1">
      <x:c r="A7" s="2" t="str">
        <x:v>M48</x:v>
      </x:c>
      <x:c r="B7" s="6" t="n">
        <x:v>690</x:v>
      </x:c>
      <x:c r="C7" s="6" t="n">
        <x:v>950</x:v>
      </x:c>
      <x:c r="D7" s="2" t="str">
        <x:v>WM-IT-260714 / Marco</x:v>
      </x:c>
      <x:c r="E7" s="2"/>
      <x:c r="F7" s="2"/>
      <x:c r="G7" s="2"/>
      <x:c r="H7" s="2"/>
    </x:row>
    <x:row r="8" ht="24" customHeight="1">
      <x:c r="A8" s="2"/>
      <x:c r="B8" s="2"/>
      <x:c r="C8" s="2"/>
      <x:c r="D8" s="2"/>
      <x:c r="E8" s="2"/>
      <x:c r="F8" s="2" t="str">
        <x:v>Messe / Werbung / Schulung EUR</x:v>
      </x:c>
      <x:c r="G8" s="2"/>
      <x:c r="H8" s="2"/>
    </x:row>
    <x:row r="9" ht="24" customHeight="1">
      <x:c r="A9" s="2"/>
      <x:c r="B9" s="2"/>
      <x:c r="C9" s="2"/>
      <x:c r="D9" s="2"/>
      <x:c r="E9" s="2"/>
      <x:c r="F9" s="6" t="n">
        <x:v>9000</x:v>
      </x:c>
      <x:c r="G9" s="2"/>
      <x:c r="H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</x:row>
    <x:row r="12" ht="34" customHeight="1">
      <x:c r="A12" s="10" t="str">
        <x:v>Erstbevorratung</x:v>
      </x:c>
      <x:c r="B12" s="10" t="str">
        <x:v>Stück</x:v>
      </x:c>
      <x:c r="C12" s="10" t="str">
        <x:v>Einkauf / Stk.</x:v>
      </x:c>
      <x:c r="D12" s="10" t="str">
        <x:v>Verkauf / Stk.</x:v>
      </x:c>
      <x:c r="E12" s="10" t="str">
        <x:v>Einkauf gesamt</x:v>
      </x:c>
      <x:c r="F12" s="10" t="str">
        <x:v>Verkauf gesamt</x:v>
      </x:c>
      <x:c r="G12" s="10" t="str">
        <x:v>Handelsspanne</x:v>
      </x:c>
      <x:c r="H12" s="10" t="str">
        <x:v>Spanne in %</x:v>
      </x:c>
    </x:row>
    <x:row r="13" ht="24" customHeight="1">
      <x:c r="A13" s="2" t="str">
        <x:v>M24</x:v>
      </x:c>
      <x:c r="B13" s="2" t="n">
        <x:v>60</x:v>
      </x:c>
      <x:c r="C13" s="12" t="n">
        <x:f>B6</x:f>
        <x:v>420</x:v>
      </x:c>
      <x:c r="D13" s="12" t="n">
        <x:f>C6</x:f>
        <x:v>585</x:v>
      </x:c>
      <x:c r="E13" s="12" t="n">
        <x:f>B13*C13</x:f>
        <x:v>25200</x:v>
      </x:c>
      <x:c r="F13" s="12" t="n">
        <x:f>B13*D13</x:f>
        <x:v>35100</x:v>
      </x:c>
      <x:c r="G13" s="12" t="n">
        <x:f>F13-E13</x:f>
        <x:v>9900</x:v>
      </x:c>
      <x:c r="H13" s="14" t="n">
        <x:f>IF(F13=0,0,G13/F13)</x:f>
        <x:v>0.28205128205128205</x:v>
      </x:c>
    </x:row>
    <x:row r="14" ht="24" customHeight="1">
      <x:c r="A14" s="2" t="str">
        <x:v>M48</x:v>
      </x:c>
      <x:c r="B14" s="2" t="n">
        <x:v>15</x:v>
      </x:c>
      <x:c r="C14" s="12" t="n">
        <x:f>B7</x:f>
        <x:v>690</x:v>
      </x:c>
      <x:c r="D14" s="12" t="n">
        <x:f>C7</x:f>
        <x:v>950</x:v>
      </x:c>
      <x:c r="E14" s="12" t="n">
        <x:f>B14*C14</x:f>
        <x:v>10350</x:v>
      </x:c>
      <x:c r="F14" s="12" t="n">
        <x:f>B14*D14</x:f>
        <x:v>14250</x:v>
      </x:c>
      <x:c r="G14" s="12" t="n">
        <x:f>F14-E14</x:f>
        <x:v>3900</x:v>
      </x:c>
      <x:c r="H14" s="14" t="n">
        <x:f>IF(F14=0,0,G14/F14)</x:f>
        <x:v>0.2736842105263158</x:v>
      </x:c>
    </x:row>
    <x:row r="15" ht="24" customHeight="1">
      <x:c r="A15" s="25" t="str">
        <x:v>Summe</x:v>
      </x:c>
      <x:c r="B15" s="26" t="n">
        <x:f>SUM(B13:B14)</x:f>
        <x:v>75</x:v>
      </x:c>
      <x:c r="C15" s="27"/>
      <x:c r="D15" s="27"/>
      <x:c r="E15" s="28" t="n">
        <x:f>SUM(E13:E14)</x:f>
        <x:v>35550</x:v>
      </x:c>
      <x:c r="F15" s="28" t="n">
        <x:f>SUM(F13:F14)</x:f>
        <x:v>49350</x:v>
      </x:c>
      <x:c r="G15" s="28" t="n">
        <x:f>SUM(G13:G14)</x:f>
        <x:v>13800</x:v>
      </x:c>
      <x:c r="H15" s="29" t="n">
        <x:f>IF(F15=0,0,G15/F15)</x:f>
        <x:v>0.2796352583586626</x:v>
      </x:c>
    </x:row>
    <x:row r="16" ht="24" customHeight="1">
      <x:c r="A16" s="2"/>
      <x:c r="B16" s="2"/>
      <x:c r="C16" s="2"/>
      <x:c r="D16" s="2"/>
      <x:c r="E16" s="2"/>
      <x:c r="F16" s="2"/>
      <x:c r="G16" s="2"/>
      <x:c r="H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</x:row>
    <x:row r="18" ht="24" customHeight="1">
      <x:c r="A18" s="2" t="str">
        <x:v>Jahresplanung netto EUR</x:v>
      </x:c>
      <x:c r="B18" s="2"/>
      <x:c r="C18" s="2"/>
      <x:c r="D18" s="2"/>
      <x:c r="E18" s="31" t="n">
        <x:f>'Monatsforecast'!F18</x:f>
        <x:v>202830</x:v>
      </x:c>
      <x:c r="F18" s="13"/>
      <x:c r="G18" s="13"/>
      <x:c r="H18" s="2"/>
    </x:row>
    <x:row r="19" ht="24" customHeight="1">
      <x:c r="A19" s="2" t="str">
        <x:v>Geplanter eigener Verkauf</x:v>
      </x:c>
      <x:c r="B19" s="2"/>
      <x:c r="C19" s="2"/>
      <x:c r="D19" s="2"/>
      <x:c r="E19" s="13"/>
      <x:c r="F19" s="31" t="n">
        <x:f>'Monatsforecast'!B18*C6+'Monatsforecast'!C18*C7</x:f>
        <x:v>281550</x:v>
      </x:c>
      <x:c r="G19" s="13"/>
      <x:c r="H19" s="2"/>
    </x:row>
    <x:row r="20" ht="24" customHeight="1">
      <x:c r="A20" s="2" t="str">
        <x:v>Handling und Markteinführung</x:v>
      </x:c>
      <x:c r="B20" s="2"/>
      <x:c r="C20" s="2"/>
      <x:c r="D20" s="2"/>
      <x:c r="E20" s="13"/>
      <x:c r="F20" s="31" t="n">
        <x:f>('Monatsforecast'!B18+'Monatsforecast'!C18)*F6+F9</x:f>
        <x:v>12416</x:v>
      </x:c>
      <x:c r="G20" s="13"/>
      <x:c r="H20" s="2"/>
    </x:row>
    <x:row r="21" ht="24" customHeight="1">
      <x:c r="A21" s="2" t="str">
        <x:v>Beitrag vor weiteren Kosten</x:v>
      </x:c>
      <x:c r="B21" s="2"/>
      <x:c r="C21" s="2"/>
      <x:c r="D21" s="2"/>
      <x:c r="E21" s="13"/>
      <x:c r="F21" s="13"/>
      <x:c r="G21" s="12" t="n">
        <x:f>F19-E18-F20</x:f>
        <x:v>66304</x:v>
      </x:c>
      <x:c r="H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</x:row>
    <x:row r="23" ht="24" customHeight="1">
      <x:c r="A23" s="2" t="str">
        <x:v>Mindestbezug Weserblick EUR</x:v>
      </x:c>
      <x:c r="B23" s="2"/>
      <x:c r="C23" s="2"/>
      <x:c r="D23" s="2"/>
      <x:c r="E23" s="6" t="n">
        <x:v>180000</x:v>
      </x:c>
      <x:c r="F23" s="2"/>
      <x:c r="G23" s="2"/>
      <x:c r="H23" s="2"/>
    </x:row>
    <x:row r="24" ht="24" customHeight="1">
      <x:c r="A24" s="2" t="str">
        <x:v>Mindestbezug Luminara EUR</x:v>
      </x:c>
      <x:c r="B24" s="2"/>
      <x:c r="C24" s="2"/>
      <x:c r="D24" s="2"/>
      <x:c r="E24" s="6" t="n">
        <x:v>150000</x:v>
      </x:c>
      <x:c r="F24" s="2"/>
      <x:c r="G24" s="2"/>
      <x:c r="H24" s="2"/>
    </x:row>
    <x:row r="25" ht="24" customHeight="1">
      <x:c r="A25" s="2" t="str">
        <x:v>Plan minus Weserblick</x:v>
      </x:c>
      <x:c r="B25" s="2"/>
      <x:c r="C25" s="2"/>
      <x:c r="D25" s="2"/>
      <x:c r="E25" s="2"/>
      <x:c r="F25" s="2"/>
      <x:c r="G25" s="12" t="n">
        <x:f>E18-E23</x:f>
        <x:v>22830</x:v>
      </x:c>
      <x:c r="H25" s="2"/>
    </x:row>
    <x:row r="26" ht="24" customHeight="1">
      <x:c r="A26" s="2" t="str">
        <x:v>Plan minus Luminara</x:v>
      </x:c>
      <x:c r="B26" s="2"/>
      <x:c r="C26" s="2"/>
      <x:c r="D26" s="2"/>
      <x:c r="E26" s="2"/>
      <x:c r="F26" s="2"/>
      <x:c r="G26" s="12" t="n">
        <x:f>E18-E24</x:f>
        <x:v>52830</x:v>
      </x:c>
      <x:c r="H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</x:row>
    <x:row r="28" ht="24" customHeight="1">
      <x:c r="A28" s="2" t="str">
        <x:v>Lieferdatum geplant</x:v>
      </x:c>
      <x:c r="B28" s="2"/>
      <x:c r="C28" s="32" t="n">
        <x:v>46398</x:v>
      </x:c>
      <x:c r="D28" s="2" t="str">
        <x:v>Ziel Tage, verlangt</x:v>
      </x:c>
      <x:c r="E28" s="2"/>
      <x:c r="F28" s="33" t="n">
        <x:v>45</x:v>
      </x:c>
      <x:c r="G28" s="2" t="str">
        <x:v>Zieldatum</x:v>
      </x:c>
      <x:c r="H28" s="34" t="n">
        <x:f>C28+F28</x:f>
        <x:v>46443</x:v>
      </x:c>
    </x:row>
    <x:row r="29" ht="24" customHeight="1">
      <x:c r="A29" s="2"/>
      <x:c r="B29" s="2"/>
      <x:c r="C29" s="2"/>
      <x:c r="D29" s="2"/>
      <x:c r="E29" s="2"/>
      <x:c r="F29" s="2"/>
      <x:c r="G29" s="2"/>
      <x:c r="H29" s="2"/>
    </x:row>
    <x:row r="30" ht="24" customHeight="1">
      <x:c r="A30" s="2" t="str">
        <x:v>Herstellerangebot Anzahlung</x:v>
      </x:c>
      <x:c r="B30" s="2"/>
      <x:c r="C30" s="2"/>
      <x:c r="D30" s="2"/>
      <x:c r="E30" s="12" t="n">
        <x:f>E15*30%</x:f>
        <x:v>10665</x:v>
      </x:c>
      <x:c r="F30" s="2"/>
      <x:c r="G30" s="2"/>
      <x:c r="H30" s="2"/>
    </x:row>
    <x:row r="31" ht="24" customHeight="1">
      <x:c r="A31" s="2" t="str">
        <x:v>Herstellerangebot vor Versand</x:v>
      </x:c>
      <x:c r="B31" s="2"/>
      <x:c r="C31" s="2"/>
      <x:c r="D31" s="2"/>
      <x:c r="E31" s="12" t="n">
        <x:f>E15*40%</x:f>
        <x:v>14220</x:v>
      </x:c>
      <x:c r="F31" s="2"/>
      <x:c r="G31" s="2"/>
      <x:c r="H31" s="2"/>
    </x:row>
    <x:row r="32" ht="24" customHeight="1">
      <x:c r="A32" s="2" t="str">
        <x:v>Herstellerangebot Rest</x:v>
      </x:c>
      <x:c r="B32" s="2"/>
      <x:c r="C32" s="2"/>
      <x:c r="D32" s="2"/>
      <x:c r="E32" s="12" t="n">
        <x:f>E15*30%</x:f>
        <x:v>10665</x:v>
      </x:c>
      <x:c r="F32" s="2"/>
      <x:c r="G32" s="2"/>
      <x:c r="H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</x:row>
    <x:row r="34" ht="24" customHeight="1">
      <x:c r="A34" s="2" t="str">
        <x:v>Alle Beträge netto. Eigenhandel, keine Provision. Steueransatz der Proforma unter Nachweisvorbehalt.</x:v>
      </x:c>
      <x:c r="B34" s="2"/>
      <x:c r="C34" s="2"/>
      <x:c r="D34" s="2"/>
      <x:c r="E34" s="2"/>
      <x:c r="F34" s="2"/>
      <x:c r="G34" s="2"/>
      <x:c r="H34" s="2"/>
    </x:row>
    <x:row r="35" ht="24" customHeight="1">
      <x:c r="A35" s="2" t="str">
        <x:v>Nicht enthalten: laufende Personalkosten, Finanzierung, weitere Serviceeinsätze und Steuern.</x:v>
      </x:c>
      <x:c r="B35" s="2"/>
      <x:c r="C35" s="2"/>
      <x:c r="D35" s="2"/>
      <x:c r="E35" s="2"/>
      <x:c r="F35" s="2"/>
      <x:c r="G35" s="2"/>
      <x:c r="H35" s="2"/>
    </x:row>
  </x:sheetData>
  <x:pageMargins left="0.25" right="0.25" top="0.35" bottom="0.35" header="0.15" footer="0.15"/>
  <x:pageSetup paperSize="8" orientation="landscape" fitToWidth="1" fitToHeight="1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.110000610351562" hidden="0" customWidth="1"/>
    <x:col min="2" max="2" width="13.329999923706055" hidden="0" customWidth="1"/>
    <x:col min="3" max="3" width="13.329999923706055" hidden="0" customWidth="1"/>
    <x:col min="4" max="4" width="17.219999313354492" hidden="0" customWidth="1"/>
    <x:col min="5" max="5" width="17.219999313354492" hidden="0" customWidth="1"/>
    <x:col min="6" max="6" width="18.329999923706055" hidden="0" customWidth="1"/>
    <x:col min="7" max="7" width="41.11000061035156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</x:row>
    <x:row r="2" ht="31" customHeight="1">
      <x:c r="A2" s="3" t="str">
        <x:v>Geplanter Bezug 2027</x:v>
      </x:c>
      <x:c r="B2" s="2"/>
      <x:c r="C2" s="2"/>
      <x:c r="D2" s="2"/>
      <x:c r="E2" s="2"/>
      <x:c r="F2" s="2"/>
      <x:c r="G2" s="2"/>
    </x:row>
    <x:row r="3" ht="24" customHeight="1">
      <x:c r="A3" s="4" t="str">
        <x:v>Luminara | Planung vom 07.09.2026 | Erstbevorratung bereits im Januar enthalten</x:v>
      </x:c>
      <x:c r="B3" s="4"/>
      <x:c r="C3" s="4"/>
      <x:c r="D3" s="4"/>
      <x:c r="E3" s="4"/>
      <x:c r="F3" s="4"/>
      <x:c r="G3" s="4"/>
    </x:row>
    <x:row r="4" ht="24" customHeight="1">
      <x:c r="A4" s="2"/>
      <x:c r="B4" s="2"/>
      <x:c r="C4" s="2"/>
      <x:c r="D4" s="2"/>
      <x:c r="E4" s="2"/>
      <x:c r="F4" s="2"/>
      <x:c r="G4" s="2"/>
    </x:row>
    <x:row r="5" ht="34" customHeight="1">
      <x:c r="A5" s="10" t="str">
        <x:v>Monat</x:v>
      </x:c>
      <x:c r="B5" s="10" t="str">
        <x:v>M24 Stück</x:v>
      </x:c>
      <x:c r="C5" s="10" t="str">
        <x:v>M48 Stück</x:v>
      </x:c>
      <x:c r="D5" s="10" t="str">
        <x:v>M24 Einkauf EUR</x:v>
      </x:c>
      <x:c r="E5" s="10" t="str">
        <x:v>M48 Einkauf EUR</x:v>
      </x:c>
      <x:c r="F5" s="10" t="str">
        <x:v>Bezug gesamt EUR</x:v>
      </x:c>
      <x:c r="G5" s="10" t="str">
        <x:v>Planungsstatus</x:v>
      </x:c>
    </x:row>
    <x:row r="6" ht="24" customHeight="1">
      <x:c r="A6" s="35" t="n">
        <x:v>46388</x:v>
      </x:c>
      <x:c r="B6" s="33" t="n">
        <x:v>60</x:v>
      </x:c>
      <x:c r="C6" s="33" t="n">
        <x:v>15</x:v>
      </x:c>
      <x:c r="D6" s="31" t="n">
        <x:f>B6*'Kalkulation'!$B$6</x:f>
        <x:v>25200</x:v>
      </x:c>
      <x:c r="E6" s="31" t="n">
        <x:f>C6*'Kalkulation'!$B$7</x:f>
        <x:v>10350</x:v>
      </x:c>
      <x:c r="F6" s="12" t="n">
        <x:f>D6+E6</x:f>
        <x:v>35550</x:v>
      </x:c>
      <x:c r="G6" s="2" t="str">
        <x:v>Erstbevorratung enthalten</x:v>
      </x:c>
    </x:row>
    <x:row r="7" ht="24" customHeight="1">
      <x:c r="A7" s="35" t="n">
        <x:v>46419</x:v>
      </x:c>
      <x:c r="B7" s="33" t="n">
        <x:v>20</x:v>
      </x:c>
      <x:c r="C7" s="33" t="n">
        <x:v>5</x:v>
      </x:c>
      <x:c r="D7" s="31" t="n">
        <x:f>B7*'Kalkulation'!$B$6</x:f>
        <x:v>8400</x:v>
      </x:c>
      <x:c r="E7" s="31" t="n">
        <x:f>C7*'Kalkulation'!$B$7</x:f>
        <x:v>3450</x:v>
      </x:c>
      <x:c r="F7" s="12" t="n">
        <x:f>D7+E7</x:f>
        <x:v>11850</x:v>
      </x:c>
      <x:c r="G7" s="2" t="str">
        <x:v>unverbindliche Mengenplanung</x:v>
      </x:c>
    </x:row>
    <x:row r="8" ht="24" customHeight="1">
      <x:c r="A8" s="35" t="n">
        <x:v>46447</x:v>
      </x:c>
      <x:c r="B8" s="33" t="n">
        <x:v>22</x:v>
      </x:c>
      <x:c r="C8" s="33" t="n">
        <x:v>5</x:v>
      </x:c>
      <x:c r="D8" s="31" t="n">
        <x:f>B8*'Kalkulation'!$B$6</x:f>
        <x:v>9240</x:v>
      </x:c>
      <x:c r="E8" s="31" t="n">
        <x:f>C8*'Kalkulation'!$B$7</x:f>
        <x:v>3450</x:v>
      </x:c>
      <x:c r="F8" s="12" t="n">
        <x:f>D8+E8</x:f>
        <x:v>12690</x:v>
      </x:c>
      <x:c r="G8" s="2" t="str">
        <x:v>unverbindliche Mengenplanung</x:v>
      </x:c>
    </x:row>
    <x:row r="9" ht="24" customHeight="1">
      <x:c r="A9" s="35" t="n">
        <x:v>46478</x:v>
      </x:c>
      <x:c r="B9" s="33" t="n">
        <x:v>24</x:v>
      </x:c>
      <x:c r="C9" s="33" t="n">
        <x:v>6</x:v>
      </x:c>
      <x:c r="D9" s="31" t="n">
        <x:f>B9*'Kalkulation'!$B$6</x:f>
        <x:v>10080</x:v>
      </x:c>
      <x:c r="E9" s="31" t="n">
        <x:f>C9*'Kalkulation'!$B$7</x:f>
        <x:v>4140</x:v>
      </x:c>
      <x:c r="F9" s="12" t="n">
        <x:f>D9+E9</x:f>
        <x:v>14220</x:v>
      </x:c>
      <x:c r="G9" s="2" t="str">
        <x:v>unverbindliche Mengenplanung</x:v>
      </x:c>
    </x:row>
    <x:row r="10" ht="24" customHeight="1">
      <x:c r="A10" s="35" t="n">
        <x:v>46508</x:v>
      </x:c>
      <x:c r="B10" s="33" t="n">
        <x:v>26</x:v>
      </x:c>
      <x:c r="C10" s="33" t="n">
        <x:v>7</x:v>
      </x:c>
      <x:c r="D10" s="31" t="n">
        <x:f>B10*'Kalkulation'!$B$6</x:f>
        <x:v>10920</x:v>
      </x:c>
      <x:c r="E10" s="31" t="n">
        <x:f>C10*'Kalkulation'!$B$7</x:f>
        <x:v>4830</x:v>
      </x:c>
      <x:c r="F10" s="12" t="n">
        <x:f>D10+E10</x:f>
        <x:v>15750</x:v>
      </x:c>
      <x:c r="G10" s="2" t="str">
        <x:v>unverbindliche Mengenplanung</x:v>
      </x:c>
    </x:row>
    <x:row r="11" ht="24" customHeight="1">
      <x:c r="A11" s="35" t="n">
        <x:v>46539</x:v>
      </x:c>
      <x:c r="B11" s="33" t="n">
        <x:v>28</x:v>
      </x:c>
      <x:c r="C11" s="33" t="n">
        <x:v>7</x:v>
      </x:c>
      <x:c r="D11" s="31" t="n">
        <x:f>B11*'Kalkulation'!$B$6</x:f>
        <x:v>11760</x:v>
      </x:c>
      <x:c r="E11" s="31" t="n">
        <x:f>C11*'Kalkulation'!$B$7</x:f>
        <x:v>4830</x:v>
      </x:c>
      <x:c r="F11" s="12" t="n">
        <x:f>D11+E11</x:f>
        <x:v>16590</x:v>
      </x:c>
      <x:c r="G11" s="2" t="str">
        <x:v>unverbindliche Mengenplanung</x:v>
      </x:c>
    </x:row>
    <x:row r="12" ht="24" customHeight="1">
      <x:c r="A12" s="35" t="n">
        <x:v>46569</x:v>
      </x:c>
      <x:c r="B12" s="33" t="n">
        <x:v>18</x:v>
      </x:c>
      <x:c r="C12" s="33" t="n">
        <x:v>4</x:v>
      </x:c>
      <x:c r="D12" s="31" t="n">
        <x:f>B12*'Kalkulation'!$B$6</x:f>
        <x:v>7560</x:v>
      </x:c>
      <x:c r="E12" s="31" t="n">
        <x:f>C12*'Kalkulation'!$B$7</x:f>
        <x:v>2760</x:v>
      </x:c>
      <x:c r="F12" s="12" t="n">
        <x:f>D12+E12</x:f>
        <x:v>10320</x:v>
      </x:c>
      <x:c r="G12" s="2" t="str">
        <x:v>unverbindliche Mengenplanung</x:v>
      </x:c>
    </x:row>
    <x:row r="13" ht="24" customHeight="1">
      <x:c r="A13" s="35" t="n">
        <x:v>46600</x:v>
      </x:c>
      <x:c r="B13" s="33" t="n">
        <x:v>12</x:v>
      </x:c>
      <x:c r="C13" s="33" t="n">
        <x:v>3</x:v>
      </x:c>
      <x:c r="D13" s="31" t="n">
        <x:f>B13*'Kalkulation'!$B$6</x:f>
        <x:v>5040</x:v>
      </x:c>
      <x:c r="E13" s="31" t="n">
        <x:f>C13*'Kalkulation'!$B$7</x:f>
        <x:v>2070</x:v>
      </x:c>
      <x:c r="F13" s="12" t="n">
        <x:f>D13+E13</x:f>
        <x:v>7110</x:v>
      </x:c>
      <x:c r="G13" s="2" t="str">
        <x:v>unverbindliche Mengenplanung</x:v>
      </x:c>
    </x:row>
    <x:row r="14" ht="24" customHeight="1">
      <x:c r="A14" s="35" t="n">
        <x:v>46631</x:v>
      </x:c>
      <x:c r="B14" s="33" t="n">
        <x:v>30</x:v>
      </x:c>
      <x:c r="C14" s="33" t="n">
        <x:v>8</x:v>
      </x:c>
      <x:c r="D14" s="31" t="n">
        <x:f>B14*'Kalkulation'!$B$6</x:f>
        <x:v>12600</x:v>
      </x:c>
      <x:c r="E14" s="31" t="n">
        <x:f>C14*'Kalkulation'!$B$7</x:f>
        <x:v>5520</x:v>
      </x:c>
      <x:c r="F14" s="12" t="n">
        <x:f>D14+E14</x:f>
        <x:v>18120</x:v>
      </x:c>
      <x:c r="G14" s="2" t="str">
        <x:v>unverbindliche Mengenplanung</x:v>
      </x:c>
    </x:row>
    <x:row r="15" ht="24" customHeight="1">
      <x:c r="A15" s="35" t="n">
        <x:v>46661</x:v>
      </x:c>
      <x:c r="B15" s="33" t="n">
        <x:v>34</x:v>
      </x:c>
      <x:c r="C15" s="33" t="n">
        <x:v>9</x:v>
      </x:c>
      <x:c r="D15" s="31" t="n">
        <x:f>B15*'Kalkulation'!$B$6</x:f>
        <x:v>14280</x:v>
      </x:c>
      <x:c r="E15" s="31" t="n">
        <x:f>C15*'Kalkulation'!$B$7</x:f>
        <x:v>6210</x:v>
      </x:c>
      <x:c r="F15" s="12" t="n">
        <x:f>D15+E15</x:f>
        <x:v>20490</x:v>
      </x:c>
      <x:c r="G15" s="2" t="str">
        <x:v>unverbindliche Mengenplanung</x:v>
      </x:c>
    </x:row>
    <x:row r="16" ht="24" customHeight="1">
      <x:c r="A16" s="35" t="n">
        <x:v>46692</x:v>
      </x:c>
      <x:c r="B16" s="33" t="n">
        <x:v>36</x:v>
      </x:c>
      <x:c r="C16" s="33" t="n">
        <x:v>10</x:v>
      </x:c>
      <x:c r="D16" s="31" t="n">
        <x:f>B16*'Kalkulation'!$B$6</x:f>
        <x:v>15120</x:v>
      </x:c>
      <x:c r="E16" s="31" t="n">
        <x:f>C16*'Kalkulation'!$B$7</x:f>
        <x:v>6900</x:v>
      </x:c>
      <x:c r="F16" s="12" t="n">
        <x:f>D16+E16</x:f>
        <x:v>22020</x:v>
      </x:c>
      <x:c r="G16" s="2" t="str">
        <x:v>unverbindliche Mengenplanung</x:v>
      </x:c>
    </x:row>
    <x:row r="17" ht="24" customHeight="1">
      <x:c r="A17" s="35" t="n">
        <x:v>46722</x:v>
      </x:c>
      <x:c r="B17" s="33" t="n">
        <x:v>30</x:v>
      </x:c>
      <x:c r="C17" s="33" t="n">
        <x:v>8</x:v>
      </x:c>
      <x:c r="D17" s="31" t="n">
        <x:f>B17*'Kalkulation'!$B$6</x:f>
        <x:v>12600</x:v>
      </x:c>
      <x:c r="E17" s="31" t="n">
        <x:f>C17*'Kalkulation'!$B$7</x:f>
        <x:v>5520</x:v>
      </x:c>
      <x:c r="F17" s="12" t="n">
        <x:f>D17+E17</x:f>
        <x:v>18120</x:v>
      </x:c>
      <x:c r="G17" s="2" t="str">
        <x:v>unverbindliche Mengenplanung</x:v>
      </x:c>
    </x:row>
    <x:row r="18" ht="24" customHeight="1">
      <x:c r="A18" s="25" t="str">
        <x:v>Jahr 2027</x:v>
      </x:c>
      <x:c r="B18" s="26" t="n">
        <x:f>SUM(B6:B17)</x:f>
        <x:v>340</x:v>
      </x:c>
      <x:c r="C18" s="26" t="n">
        <x:f>SUM(C6:C17)</x:f>
        <x:v>87</x:v>
      </x:c>
      <x:c r="D18" s="28" t="n">
        <x:f>SUM(D6:D17)</x:f>
        <x:v>142800</x:v>
      </x:c>
      <x:c r="E18" s="28" t="n">
        <x:f>SUM(E6:E17)</x:f>
        <x:v>60030</x:v>
      </x:c>
      <x:c r="F18" s="28" t="n">
        <x:f>SUM(F6:F17)</x:f>
        <x:v>202830</x:v>
      </x:c>
      <x:c r="G18" s="25"/>
    </x:row>
    <x:row r="19" ht="24" customHeight="1">
      <x:c r="A19" s="2"/>
      <x:c r="B19" s="2"/>
      <x:c r="C19" s="2"/>
      <x:c r="D19" s="2"/>
      <x:c r="E19" s="2"/>
      <x:c r="F19" s="2"/>
      <x:c r="G19" s="2"/>
    </x:row>
    <x:row r="20" ht="24" customHeight="1">
      <x:c r="A20" s="2"/>
      <x:c r="B20" s="2"/>
      <x:c r="C20" s="2"/>
      <x:c r="D20" s="2"/>
      <x:c r="E20" s="2"/>
      <x:c r="F20" s="2"/>
      <x:c r="G20" s="2"/>
    </x:row>
    <x:row r="21" ht="24" customHeight="1">
      <x:c r="A21" s="2" t="str">
        <x:v>Quelle: 14_Monthly_forecast_2027.csv. Keine bestätigten Bestellungen.</x:v>
      </x:c>
      <x:c r="B21" s="2"/>
      <x:c r="C21" s="2"/>
      <x:c r="D21" s="2"/>
      <x:c r="E21" s="2"/>
      <x:c r="F21" s="2"/>
      <x:c r="G21" s="2"/>
    </x:row>
    <x:row r="22" ht="24" customHeight="1">
      <x:c r="A22" s="2" t="str">
        <x:v>Direktkundengeschäfte und sechs Leihgeräte sind nicht in diesen Mengen enthalten.</x:v>
      </x:c>
      <x:c r="B22" s="2"/>
      <x:c r="C22" s="2"/>
      <x:c r="D22" s="2"/>
      <x:c r="E22" s="2"/>
      <x:c r="F22" s="2"/>
      <x:c r="G22" s="2"/>
    </x:row>
    <x:row r="23" ht="24" customHeight="1">
      <x:c r="A23" s="2" t="str">
        <x:v>Die Januarzeile enthält 60 M24 und 15 M48 im Wert von 35.550 EUR.</x:v>
      </x:c>
      <x:c r="B23" s="2"/>
      <x:c r="C23" s="2"/>
      <x:c r="D23" s="2"/>
      <x:c r="E23" s="2"/>
      <x:c r="F23" s="2"/>
      <x:c r="G23" s="2"/>
    </x:row>
    <x:row r="24" ht="24" customHeight="1">
      <x:c r="A24" s="2"/>
      <x:c r="B24" s="2"/>
      <x:c r="C24" s="2"/>
      <x:c r="D24" s="2"/>
      <x:c r="E24" s="2"/>
      <x:c r="F24" s="2"/>
      <x:c r="G24" s="2"/>
    </x:row>
  </x:sheetData>
  <x:pageMargins left="0.25" right="0.25" top="0.35" bottom="0.35" header="0.15" footer="0.15"/>
  <x:pageSetup paperSize="8" orientation="landscape" fitToWidth="1" fitToHeight="1"/>
</x:worksheet>
</file>