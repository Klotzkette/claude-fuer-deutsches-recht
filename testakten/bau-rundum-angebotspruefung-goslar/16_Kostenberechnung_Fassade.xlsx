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e43f91109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ostenberechnung" sheetId="1" r:id="R2a537cc5c3dc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.0%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21d912ebb435d" /><Relationship Type="http://schemas.openxmlformats.org/officeDocument/2006/relationships/theme" Target="/xl/theme/theme1.xml" Id="R92bd8086c96f48af" /><Relationship Type="http://schemas.openxmlformats.org/officeDocument/2006/relationships/sharedStrings" Target="/xl/sharedStrings.xml" Id="R27e5c99dfadc4f24" /><Relationship Type="http://schemas.openxmlformats.org/officeDocument/2006/relationships/worksheet" Target="/xl/worksheets/sheet1.xml" Id="R2a537cc5c3dc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Kostenberechnung F03 vor Ausschreibung</ns0:v>
      </ns0:c>
      <ns0:c r="B2" s="8"/>
      <ns0:c r="C2" s="8"/>
      <ns0:c r="D2" s="8"/>
      <ns0:c r="E2" s="8"/>
      <ns0:c r="F2" s="8"/>
    </ns0:row>
    <ns0:row r="3" ht="28" customHeight="1">
      <ns0:c r="A3" s="6" t="str">
        <ns0:v>Kantenraum / Jonas Blume | 2026-08-28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Position</ns0:v>
      </ns0:c>
      <ns0:c r="B5" s="10" t="str">
        <ns0:v>Leistung</ns0:v>
      </ns0:c>
      <ns0:c r="C5" s="10" t="str">
        <ns0:v>Einheit</ns0:v>
      </ns0:c>
      <ns0:c r="D5" s="10" t="str">
        <ns0:v>Menge</ns0:v>
      </ns0:c>
      <ns0:c r="E5" s="10" t="str">
        <ns0:v>EP netto EUR</ns0:v>
      </ns0:c>
      <ns0:c r="F5" s="10" t="str">
        <ns0:v>Betrag netto EUR</ns0:v>
      </ns0:c>
    </ns0:row>
    <ns0:row r="6" ht="22" customHeight="1">
      <ns0:c r="A6" s="11" t="str">
        <ns0:v>01.010</ns0:v>
      </ns0:c>
      <ns0:c r="B6" s="11" t="str">
        <ns0:v>Aluminiumfenster F1</ns0:v>
      </ns0:c>
      <ns0:c r="C6" s="11" t="str">
        <ns0:v>m²</ns0:v>
      </ns0:c>
      <ns0:c r="D6" s="13" t="n">
        <ns0:v>240</ns0:v>
      </ns0:c>
      <ns0:c r="E6" s="13" t="n">
        <ns0:v>320</ns0:v>
      </ns0:c>
      <ns0:c r="F6" s="13" t="n">
        <ns0:f>ROUND(D6*E6,2)</ns0:f>
        <ns0:v>76800</ns0:v>
      </ns0:c>
    </ns0:row>
    <ns0:row r="7" ht="22" customHeight="1">
      <ns0:c r="A7" s="7" t="str">
        <ns0:v>01.020</ns0:v>
      </ns0:c>
      <ns0:c r="B7" s="7" t="str">
        <ns0:v>Türanlage T1</ns0:v>
      </ns0:c>
      <ns0:c r="C7" s="7" t="str">
        <ns0:v>St</ns0:v>
      </ns0:c>
      <ns0:c r="D7" s="14" t="n">
        <ns0:v>18</ns0:v>
      </ns0:c>
      <ns0:c r="E7" s="14" t="n">
        <ns0:v>1900</ns0:v>
      </ns0:c>
      <ns0:c r="F7" s="14" t="n">
        <ns0:f>ROUND(D7*E7,2)</ns0:f>
        <ns0:v>34200</ns0:v>
      </ns0:c>
    </ns0:row>
    <ns0:row r="8" ht="22" customHeight="1">
      <ns0:c r="A8" s="11" t="str">
        <ns0:v>02.010</ns0:v>
      </ns0:c>
      <ns0:c r="B8" s="11" t="str">
        <ns0:v>Pfosten Riegel F2</ns0:v>
      </ns0:c>
      <ns0:c r="C8" s="11" t="str">
        <ns0:v>m²</ns0:v>
      </ns0:c>
      <ns0:c r="D8" s="13" t="n">
        <ns0:v>120</ns0:v>
      </ns0:c>
      <ns0:c r="E8" s="13" t="n">
        <ns0:v>680</ns0:v>
      </ns0:c>
      <ns0:c r="F8" s="13" t="n">
        <ns0:f>ROUND(D8*E8,2)</ns0:f>
        <ns0:v>81600</ns0:v>
      </ns0:c>
    </ns0:row>
    <ns0:row r="9" ht="22" customHeight="1">
      <ns0:c r="A9" s="7" t="str">
        <ns0:v>02.020</ns0:v>
      </ns0:c>
      <ns0:c r="B9" s="7" t="str">
        <ns0:v>Sonnenschutz</ns0:v>
      </ns0:c>
      <ns0:c r="C9" s="7" t="str">
        <ns0:v>St</ns0:v>
      </ns0:c>
      <ns0:c r="D9" s="14" t="n">
        <ns0:v>60</ns0:v>
      </ns0:c>
      <ns0:c r="E9" s="14" t="n">
        <ns0:v>810</ns0:v>
      </ns0:c>
      <ns0:c r="F9" s="14" t="n">
        <ns0:f>ROUND(D9*E9,2)</ns0:f>
        <ns0:v>48600</ns0:v>
      </ns0:c>
    </ns0:row>
    <ns0:row r="10" ht="22" customHeight="1">
      <ns0:c r="A10" s="11" t="str">
        <ns0:v>03.010</ns0:v>
      </ns0:c>
      <ns0:c r="B10" s="11" t="str">
        <ns0:v>Rauchabzug R1</ns0:v>
      </ns0:c>
      <ns0:c r="C10" s="11" t="str">
        <ns0:v>St</ns0:v>
      </ns0:c>
      <ns0:c r="D10" s="13" t="n">
        <ns0:v>24</ns0:v>
      </ns0:c>
      <ns0:c r="E10" s="13" t="n">
        <ns0:v>1490</ns0:v>
      </ns0:c>
      <ns0:c r="F10" s="13" t="n">
        <ns0:f>ROUND(D10*E10,2)</ns0:f>
        <ns0:v>35760</ns0:v>
      </ns0:c>
    </ns0:row>
    <ns0:row r="11" ht="22" customHeight="1">
      <ns0:c r="A11" s="7" t="str">
        <ns0:v>04.010</ns0:v>
      </ns0:c>
      <ns0:c r="B11" s="7" t="str">
        <ns0:v>Baustelleneinrichtung</ns0:v>
      </ns0:c>
      <ns0:c r="C11" s="7" t="str">
        <ns0:v>psch</ns0:v>
      </ns0:c>
      <ns0:c r="D11" s="14" t="n">
        <ns0:v>1</ns0:v>
      </ns0:c>
      <ns0:c r="E11" s="14" t="n">
        <ns0:v>10000</ns0:v>
      </ns0:c>
      <ns0:c r="F11" s="14" t="n">
        <ns0:f>ROUND(D11*E11,2)</ns0:f>
        <ns0:v>10000</ns0:v>
      </ns0:c>
    </ns0:row>
    <ns0:row r="12" ht="22" customHeight="1">
      <ns0:c r="A12" s="11" t="str">
        <ns0:v>04.020</ns0:v>
      </ns0:c>
      <ns0:c r="B12" s="11" t="str">
        <ns0:v>Anschlussdetail D4</ns0:v>
      </ns0:c>
      <ns0:c r="C12" s="11" t="str">
        <ns0:v>St</ns0:v>
      </ns0:c>
      <ns0:c r="D12" s="13" t="n">
        <ns0:v>16</ns0:v>
      </ns0:c>
      <ns0:c r="E12" s="13" t="n">
        <ns0:v>2100</ns0:v>
      </ns0:c>
      <ns0:c r="F12" s="13" t="n">
        <ns0:f>ROUND(D12*E12,2)</ns0:f>
        <ns0:v>33600</ns0:v>
      </ns0:c>
    </ns0:row>
    <ns0:row r="13" ht="22" customHeight="1">
      <ns0:c r="A13" s="7" t="str">
        <ns0:v>04.030</ns0:v>
      </ns0:c>
      <ns0:c r="B13" s="7" t="str">
        <ns0:v>Laibungsbekleidung</ns0:v>
      </ns0:c>
      <ns0:c r="C13" s="7" t="str">
        <ns0:v>m</ns0:v>
      </ns0:c>
      <ns0:c r="D13" s="14" t="n">
        <ns0:v>80</ns0:v>
      </ns0:c>
      <ns0:c r="E13" s="14" t="n">
        <ns0:v>160</ns0:v>
      </ns0:c>
      <ns0:c r="F13" s="14" t="n">
        <ns0:f>ROUND(D13*E13,2)</ns0:f>
        <ns0:v>12800</ns0:v>
      </ns0:c>
    </ns0:row>
    <ns0:row r="14" ht="22" customHeight="1">
      <ns0:c r="A14" s="11" t="str">
        <ns0:v>Netto</ns0:v>
      </ns0:c>
      <ns0:c r="B14" s="11" t="str"/>
      <ns0:c r="C14" s="11" t="str"/>
      <ns0:c r="D14" s="13" t="str"/>
      <ns0:c r="E14" s="13" t="str"/>
      <ns0:c r="F14" s="13" t="n">
        <ns0:f>SUM(F6:F13)</ns0:f>
        <ns0:v>333360</ns0:v>
      </ns0:c>
    </ns0:row>
    <ns0:row r="15" ht="22" customHeight="1">
      <ns0:c r="A15" s="7" t="str">
        <ns0:v>Umsatzsteuer</ns0:v>
      </ns0:c>
      <ns0:c r="B15" s="15" t="n">
        <ns0:v>0.19</ns0:v>
      </ns0:c>
      <ns0:c r="C15" s="7" t="str"/>
      <ns0:c r="D15" s="14" t="str"/>
      <ns0:c r="E15" s="14" t="str"/>
      <ns0:c r="F15" s="14" t="n">
        <ns0:f>ROUND(F14*B15,2)</ns0:f>
        <ns0:v>63338.4</ns0:v>
      </ns0:c>
    </ns0:row>
    <ns0:row r="16" ht="22" customHeight="1">
      <ns0:c r="A16" s="11" t="str">
        <ns0:v>Brutto</ns0:v>
      </ns0:c>
      <ns0:c r="B16" s="11" t="str"/>
      <ns0:c r="C16" s="11" t="str"/>
      <ns0:c r="D16" s="13" t="str"/>
      <ns0:c r="E16" s="13" t="str"/>
      <ns0:c r="F16" s="13" t="n">
        <ns0:f>F14+F15</ns0:f>
        <ns0:v>396698.4</ns0:v>
      </ns0:c>
    </ns0:row>
    <ns0:row r="17" ht="22" customHeight="1">
      <ns0:c r="A17" s="6"/>
      <ns0:c r="B17" s="6"/>
      <ns0:c r="C17" s="6"/>
      <ns0:c r="D17" s="6"/>
      <ns0:c r="E17" s="6"/>
      <ns0:c r="F17" s="6"/>
    </ns0:row>
    <ns0:row r="18" ht="22" customHeight="1">
      <ns0:c r="A18" s="6" t="str">
        <ns0:v>Interne Kostenberechnung vor Angebotsabgabe, keine Angebotswertung.</ns0:v>
      </ns0:c>
      <ns0:c r="B18" s="6"/>
      <ns0:c r="C18" s="6"/>
      <ns0:c r="D18" s="6"/>
      <ns0:c r="E18" s="6"/>
      <ns0:c r="F18" s="6"/>
    </ns0:row>
    <ns0:row r="19" ht="22" customHeight="1">
      <ns0:c r="A19" s="6" t="str">
        <ns0:v>Gez. Jonas Blume; 28.08.2026. Bezugsmenge: LV F03 Revision 2.</ns0:v>
      </ns0:c>
      <ns0:c r="B19" s="6"/>
      <ns0:c r="C19" s="6"/>
      <ns0:c r="D19" s="6"/>
      <ns0:c r="E19" s="6"/>
      <ns0:c r="F19" s="6"/>
    </ns0:row>
  </ns0:sheetData>
  <ns0:mergeCells>
    <ns0:mergeCell ref="A2:F2"/>
    <ns0:mergeCell ref="A3:F3"/>
    <ns0:mergeCell ref="A18:F18"/>
    <ns0:mergeCell ref="A19:F19"/>
  </ns0:mergeCells>
  <ns0:pageMargins left="0.3" right="0.3" top="0.4" bottom="0.4" header="0.2" footer="0.2"/>
  <ns0:pageSetup paperSize="9" orientation="landscape" fitToWidth="1" fitToHeight="1"/>
</ns0:worksheet>
</file>