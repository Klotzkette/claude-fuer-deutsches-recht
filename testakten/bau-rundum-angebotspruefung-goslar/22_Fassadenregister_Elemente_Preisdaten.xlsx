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ensterelemente" sheetId="1" state="visible" r:id="rId3"/>
    <sheet name="Positionspreise" sheetId="2" state="visible" r:id="rId4"/>
    <sheet name="Verfahrensjournal" sheetId="3" state="visible" r:id="rId5"/>
  </sheets>
  <definedNames>
    <definedName function="false" hidden="false" localSheetId="0" name="_xlnm.Print_Area" vbProcedure="false">Fensterelemente!$A$1:$I$106</definedName>
    <definedName function="false" hidden="false" localSheetId="0" name="_xlnm.Print_Titles" vbProcedure="false">Fensterelemente!$8:$8</definedName>
    <definedName function="false" hidden="false" localSheetId="1" name="_xlnm.Print_Area" vbProcedure="false">Positionspreise!$A$1:$I$32</definedName>
    <definedName function="false" hidden="false" localSheetId="1" name="_xlnm.Print_Titles" vbProcedure="false">Positionspreise!$8:$8</definedName>
    <definedName function="false" hidden="false" localSheetId="2" name="_xlnm.Print_Area" vbProcedure="false">Verfahrensjournal!$A$1:$G$28</definedName>
    <definedName function="false" hidden="false" localSheetId="2" name="_xlnm.Print_Titles" vbProcedure="false">Verfahrensjournal!$8:$8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<sst xmlns="http://schemas.openxmlformats.org/spreadsheetml/2006/main" count="617" uniqueCount="241">
  <si>
    <t xml:space="preserve">F1: Geometrisches Elementregister</t>
  </si>
  <si>
    <t xml:space="preserve">Neues internes Zählregister aus 17_Elementabmessungen_F1.docx: 98 Elemente. Laufnummern innerhalb der vier Maßgruppen; keine neuen Montageorte oder Aufmaßwerte.</t>
  </si>
  <si>
    <t xml:space="preserve">Sabine Kern, Kantenraum Ingenieure GmbH, Stand 06.10.2026</t>
  </si>
  <si>
    <t xml:space="preserve">Positionen</t>
  </si>
  <si>
    <t xml:space="preserve">Anzahl</t>
  </si>
  <si>
    <t xml:space="preserve">Fläche m²</t>
  </si>
  <si>
    <t xml:space="preserve">Registerkennung</t>
  </si>
  <si>
    <t xml:space="preserve">Maßgruppe</t>
  </si>
  <si>
    <t xml:space="preserve">Breite m</t>
  </si>
  <si>
    <t xml:space="preserve">Höhe m</t>
  </si>
  <si>
    <t xml:space="preserve">Teilung</t>
  </si>
  <si>
    <t xml:space="preserve">Beleg</t>
  </si>
  <si>
    <t xml:space="preserve">Planstand</t>
  </si>
  <si>
    <t xml:space="preserve">F1-01-001</t>
  </si>
  <si>
    <t xml:space="preserve">F1-01</t>
  </si>
  <si>
    <t xml:space="preserve">Teilung gemäß Planstand</t>
  </si>
  <si>
    <t xml:space="preserve">JB-06</t>
  </si>
  <si>
    <t xml:space="preserve">F1-01-002</t>
  </si>
  <si>
    <t xml:space="preserve">F1-01-003</t>
  </si>
  <si>
    <t xml:space="preserve">F1-01-004</t>
  </si>
  <si>
    <t xml:space="preserve">F1-01-005</t>
  </si>
  <si>
    <t xml:space="preserve">F1-01-006</t>
  </si>
  <si>
    <t xml:space="preserve">F1-01-007</t>
  </si>
  <si>
    <t xml:space="preserve">F1-01-008</t>
  </si>
  <si>
    <t xml:space="preserve">F1-01-009</t>
  </si>
  <si>
    <t xml:space="preserve">F1-01-010</t>
  </si>
  <si>
    <t xml:space="preserve">F1-01-011</t>
  </si>
  <si>
    <t xml:space="preserve">F1-01-012</t>
  </si>
  <si>
    <t xml:space="preserve">F1-01-013</t>
  </si>
  <si>
    <t xml:space="preserve">F1-01-014</t>
  </si>
  <si>
    <t xml:space="preserve">F1-01-015</t>
  </si>
  <si>
    <t xml:space="preserve">F1-01-016</t>
  </si>
  <si>
    <t xml:space="preserve">F1-01-017</t>
  </si>
  <si>
    <t xml:space="preserve">F1-01-018</t>
  </si>
  <si>
    <t xml:space="preserve">F1-01-019</t>
  </si>
  <si>
    <t xml:space="preserve">F1-01-020</t>
  </si>
  <si>
    <t xml:space="preserve">F1-01-021</t>
  </si>
  <si>
    <t xml:space="preserve">F1-01-022</t>
  </si>
  <si>
    <t xml:space="preserve">F1-01-023</t>
  </si>
  <si>
    <t xml:space="preserve">F1-01-024</t>
  </si>
  <si>
    <t xml:space="preserve">F1-01-025</t>
  </si>
  <si>
    <t xml:space="preserve">F1-01-026</t>
  </si>
  <si>
    <t xml:space="preserve">F1-01-027</t>
  </si>
  <si>
    <t xml:space="preserve">F1-01-028</t>
  </si>
  <si>
    <t xml:space="preserve">F1-01-029</t>
  </si>
  <si>
    <t xml:space="preserve">F1-01-030</t>
  </si>
  <si>
    <t xml:space="preserve">F1-01-031</t>
  </si>
  <si>
    <t xml:space="preserve">F1-01-032</t>
  </si>
  <si>
    <t xml:space="preserve">F1-01-033</t>
  </si>
  <si>
    <t xml:space="preserve">F1-01-034</t>
  </si>
  <si>
    <t xml:space="preserve">F1-01-035</t>
  </si>
  <si>
    <t xml:space="preserve">F1-01-036</t>
  </si>
  <si>
    <t xml:space="preserve">F1-01-037</t>
  </si>
  <si>
    <t xml:space="preserve">F1-01-038</t>
  </si>
  <si>
    <t xml:space="preserve">F1-01-039</t>
  </si>
  <si>
    <t xml:space="preserve">F1-01-040</t>
  </si>
  <si>
    <t xml:space="preserve">F1-02-001</t>
  </si>
  <si>
    <t xml:space="preserve">F1-02</t>
  </si>
  <si>
    <t xml:space="preserve">F1-02-002</t>
  </si>
  <si>
    <t xml:space="preserve">F1-02-003</t>
  </si>
  <si>
    <t xml:space="preserve">F1-02-004</t>
  </si>
  <si>
    <t xml:space="preserve">F1-02-005</t>
  </si>
  <si>
    <t xml:space="preserve">F1-02-006</t>
  </si>
  <si>
    <t xml:space="preserve">F1-02-007</t>
  </si>
  <si>
    <t xml:space="preserve">F1-02-008</t>
  </si>
  <si>
    <t xml:space="preserve">F1-02-009</t>
  </si>
  <si>
    <t xml:space="preserve">F1-02-010</t>
  </si>
  <si>
    <t xml:space="preserve">F1-02-011</t>
  </si>
  <si>
    <t xml:space="preserve">F1-02-012</t>
  </si>
  <si>
    <t xml:space="preserve">F1-02-013</t>
  </si>
  <si>
    <t xml:space="preserve">F1-02-014</t>
  </si>
  <si>
    <t xml:space="preserve">F1-02-015</t>
  </si>
  <si>
    <t xml:space="preserve">F1-02-016</t>
  </si>
  <si>
    <t xml:space="preserve">F1-02-017</t>
  </si>
  <si>
    <t xml:space="preserve">F1-02-018</t>
  </si>
  <si>
    <t xml:space="preserve">F1-02-019</t>
  </si>
  <si>
    <t xml:space="preserve">F1-02-020</t>
  </si>
  <si>
    <t xml:space="preserve">F1-02-021</t>
  </si>
  <si>
    <t xml:space="preserve">F1-02-022</t>
  </si>
  <si>
    <t xml:space="preserve">F1-02-023</t>
  </si>
  <si>
    <t xml:space="preserve">F1-03-001</t>
  </si>
  <si>
    <t xml:space="preserve">F1-03</t>
  </si>
  <si>
    <t xml:space="preserve">oberer Flügel fest</t>
  </si>
  <si>
    <t xml:space="preserve">F1-03-002</t>
  </si>
  <si>
    <t xml:space="preserve">F1-03-003</t>
  </si>
  <si>
    <t xml:space="preserve">F1-03-004</t>
  </si>
  <si>
    <t xml:space="preserve">F1-03-005</t>
  </si>
  <si>
    <t xml:space="preserve">F1-03-006</t>
  </si>
  <si>
    <t xml:space="preserve">F1-03-007</t>
  </si>
  <si>
    <t xml:space="preserve">F1-03-008</t>
  </si>
  <si>
    <t xml:space="preserve">F1-03-009</t>
  </si>
  <si>
    <t xml:space="preserve">F1-03-010</t>
  </si>
  <si>
    <t xml:space="preserve">F1-03-011</t>
  </si>
  <si>
    <t xml:space="preserve">F1-03-012</t>
  </si>
  <si>
    <t xml:space="preserve">F1-03-013</t>
  </si>
  <si>
    <t xml:space="preserve">F1-03-014</t>
  </si>
  <si>
    <t xml:space="preserve">F1-03-015</t>
  </si>
  <si>
    <t xml:space="preserve">F1-03-016</t>
  </si>
  <si>
    <t xml:space="preserve">F1-03-017</t>
  </si>
  <si>
    <t xml:space="preserve">F1-03-018</t>
  </si>
  <si>
    <t xml:space="preserve">F1-04-001</t>
  </si>
  <si>
    <t xml:space="preserve">F1-04</t>
  </si>
  <si>
    <t xml:space="preserve">F1-04-002</t>
  </si>
  <si>
    <t xml:space="preserve">F1-04-003</t>
  </si>
  <si>
    <t xml:space="preserve">F1-04-004</t>
  </si>
  <si>
    <t xml:space="preserve">F1-04-005</t>
  </si>
  <si>
    <t xml:space="preserve">F1-04-006</t>
  </si>
  <si>
    <t xml:space="preserve">F1-04-007</t>
  </si>
  <si>
    <t xml:space="preserve">F1-04-008</t>
  </si>
  <si>
    <t xml:space="preserve">F1-04-009</t>
  </si>
  <si>
    <t xml:space="preserve">F1-04-010</t>
  </si>
  <si>
    <t xml:space="preserve">F1-04-011</t>
  </si>
  <si>
    <t xml:space="preserve">F1-04-012</t>
  </si>
  <si>
    <t xml:space="preserve">F1-04-013</t>
  </si>
  <si>
    <t xml:space="preserve">F1-04-014</t>
  </si>
  <si>
    <t xml:space="preserve">F1-04-015</t>
  </si>
  <si>
    <t xml:space="preserve">F1-04-016</t>
  </si>
  <si>
    <t xml:space="preserve">Positionspreise der drei Hauptangebote</t>
  </si>
  <si>
    <t xml:space="preserve">08_Preisdaten_Export.csv und Angebote 05 bis 07. Eingetragener Gesamtpreis und Rechenbetrag getrennt; Rautenbau-Skonto nicht als unbedingter Nachlass geführt.</t>
  </si>
  <si>
    <t xml:space="preserve">Bieter</t>
  </si>
  <si>
    <t xml:space="preserve">Position</t>
  </si>
  <si>
    <t xml:space="preserve">Einheit</t>
  </si>
  <si>
    <t xml:space="preserve">Menge</t>
  </si>
  <si>
    <t xml:space="preserve">EP netto EUR</t>
  </si>
  <si>
    <t xml:space="preserve">GP eingetragen EUR</t>
  </si>
  <si>
    <t xml:space="preserve">Menge × EP EUR</t>
  </si>
  <si>
    <t xml:space="preserve">Nachlass</t>
  </si>
  <si>
    <t xml:space="preserve">Rechenbetrag EUR</t>
  </si>
  <si>
    <t xml:space="preserve">Rautenbau</t>
  </si>
  <si>
    <t xml:space="preserve">01.010</t>
  </si>
  <si>
    <t xml:space="preserve">m²</t>
  </si>
  <si>
    <t xml:space="preserve">01.020</t>
  </si>
  <si>
    <t xml:space="preserve">St</t>
  </si>
  <si>
    <t xml:space="preserve">02.010</t>
  </si>
  <si>
    <t xml:space="preserve">02.020</t>
  </si>
  <si>
    <t xml:space="preserve">03.010</t>
  </si>
  <si>
    <t xml:space="preserve">04.010</t>
  </si>
  <si>
    <t xml:space="preserve">psch</t>
  </si>
  <si>
    <t xml:space="preserve">04.020</t>
  </si>
  <si>
    <t xml:space="preserve">04.030</t>
  </si>
  <si>
    <t xml:space="preserve">m</t>
  </si>
  <si>
    <t xml:space="preserve">Okerfenster</t>
  </si>
  <si>
    <t xml:space="preserve">Bergglas</t>
  </si>
  <si>
    <t xml:space="preserve">Eingang, Zugriff und Terminbindungen</t>
  </si>
  <si>
    <t xml:space="preserve">Neues internes Journal aus den aufgeführten Unterlagen. Bietertermine und Mitteilungen sind nach Urheber erfasst; Versandfreigaben gesondert.</t>
  </si>
  <si>
    <t xml:space="preserve">Datum</t>
  </si>
  <si>
    <t xml:space="preserve">Uhrzeit</t>
  </si>
  <si>
    <t xml:space="preserve">Vorgang</t>
  </si>
  <si>
    <t xml:space="preserve">Beteiligte</t>
  </si>
  <si>
    <t xml:space="preserve">Objekt / Bezug</t>
  </si>
  <si>
    <t xml:space="preserve">Status</t>
  </si>
  <si>
    <t xml:space="preserve">Quelle</t>
  </si>
  <si>
    <t xml:space="preserve">Bereitstellung</t>
  </si>
  <si>
    <t xml:space="preserve">Miriam Ehlers</t>
  </si>
  <si>
    <t xml:space="preserve">F03 / Ausgabe 1</t>
  </si>
  <si>
    <t xml:space="preserve">bekanntgemacht</t>
  </si>
  <si>
    <t xml:space="preserve">01_Verfahrensbedingungen.docx</t>
  </si>
  <si>
    <t xml:space="preserve">13:00</t>
  </si>
  <si>
    <t xml:space="preserve">Antwort Steuerung</t>
  </si>
  <si>
    <t xml:space="preserve">gleichzeitig veröffentlicht</t>
  </si>
  <si>
    <t xml:space="preserve">03_Bieterantwort_Steuerung.eml</t>
  </si>
  <si>
    <t xml:space="preserve">14:12</t>
  </si>
  <si>
    <t xml:space="preserve">Angebotseingang</t>
  </si>
  <si>
    <t xml:space="preserve">Hauptangebot</t>
  </si>
  <si>
    <t xml:space="preserve">verschlüsselt</t>
  </si>
  <si>
    <t xml:space="preserve">04_Oeffnungsniederschrift.pdf</t>
  </si>
  <si>
    <t xml:space="preserve">09:41</t>
  </si>
  <si>
    <t xml:space="preserve">09:58</t>
  </si>
  <si>
    <t xml:space="preserve">09:59:59</t>
  </si>
  <si>
    <t xml:space="preserve">Inhaltszugriff</t>
  </si>
  <si>
    <t xml:space="preserve">System</t>
  </si>
  <si>
    <t xml:space="preserve">drei Container</t>
  </si>
  <si>
    <t xml:space="preserve">gesperrt</t>
  </si>
  <si>
    <t xml:space="preserve">18_Zugriffsjournal_Pruefraum.csv</t>
  </si>
  <si>
    <t xml:space="preserve">10:03:12</t>
  </si>
  <si>
    <t xml:space="preserve">Gemeinsame Öffnung</t>
  </si>
  <si>
    <t xml:space="preserve">Ehlers / Schütz</t>
  </si>
  <si>
    <t xml:space="preserve">ausgeführt</t>
  </si>
  <si>
    <t xml:space="preserve">10:21:09</t>
  </si>
  <si>
    <t xml:space="preserve">Export Hauptangebote</t>
  </si>
  <si>
    <t xml:space="preserve">David Schütz</t>
  </si>
  <si>
    <t xml:space="preserve">05 / 06 / 07</t>
  </si>
  <si>
    <t xml:space="preserve">geschützter Arbeitsordner</t>
  </si>
  <si>
    <t xml:space="preserve">12:44</t>
  </si>
  <si>
    <t xml:space="preserve">E1 und Profil</t>
  </si>
  <si>
    <t xml:space="preserve">Enno Voss</t>
  </si>
  <si>
    <t xml:space="preserve">OV78 / G3</t>
  </si>
  <si>
    <t xml:space="preserve">E1 nicht beigefügt</t>
  </si>
  <si>
    <t xml:space="preserve">11_Okerfenster_Erlaeuterung.eml</t>
  </si>
  <si>
    <t xml:space="preserve">14:05:18</t>
  </si>
  <si>
    <t xml:space="preserve">Produktblatt gelesen</t>
  </si>
  <si>
    <t xml:space="preserve">Jonas Blume</t>
  </si>
  <si>
    <t xml:space="preserve">OV78</t>
  </si>
  <si>
    <t xml:space="preserve">zugelassen</t>
  </si>
  <si>
    <t xml:space="preserve">14:11:42</t>
  </si>
  <si>
    <t xml:space="preserve">Preisdaten heruntergeladen</t>
  </si>
  <si>
    <t xml:space="preserve">Sabine Kern</t>
  </si>
  <si>
    <t xml:space="preserve">08_Preisdaten_Export.csv</t>
  </si>
  <si>
    <t xml:space="preserve">Arbeitskopie</t>
  </si>
  <si>
    <t xml:space="preserve">15:32</t>
  </si>
  <si>
    <t xml:space="preserve">Auskunft verlangt</t>
  </si>
  <si>
    <t xml:space="preserve">Nora Baumeister</t>
  </si>
  <si>
    <t xml:space="preserve">fremde Preis- und Produktblätter</t>
  </si>
  <si>
    <t xml:space="preserve">Bieterforderung</t>
  </si>
  <si>
    <t xml:space="preserve">12_Rautenbau_Auskunftsverlangen.eml</t>
  </si>
  <si>
    <t xml:space="preserve">08:46:03</t>
  </si>
  <si>
    <t xml:space="preserve">Bergglas-Angebot angefragt</t>
  </si>
  <si>
    <t xml:space="preserve">Carsten Möller</t>
  </si>
  <si>
    <t xml:space="preserve">07_Angebot_Bergglas.pdf</t>
  </si>
  <si>
    <t xml:space="preserve">Zugriff abgewiesen</t>
  </si>
  <si>
    <t xml:space="preserve">09:12:24</t>
  </si>
  <si>
    <t xml:space="preserve">Versandfreigabe abgefragt</t>
  </si>
  <si>
    <t xml:space="preserve">externer Versand</t>
  </si>
  <si>
    <t xml:space="preserve">keine Freigabe vorhanden</t>
  </si>
  <si>
    <t xml:space="preserve">11:37</t>
  </si>
  <si>
    <t xml:space="preserve">Nordlicht-Schreiben eingegangen</t>
  </si>
  <si>
    <t xml:space="preserve">24 Rauchabzüge</t>
  </si>
  <si>
    <t xml:space="preserve">keine unterschriebene N2</t>
  </si>
  <si>
    <t xml:space="preserve">21_Okerfenster_Nordlicht.eml</t>
  </si>
  <si>
    <t xml:space="preserve">Antwort von Bieter erbeten</t>
  </si>
  <si>
    <t xml:space="preserve">Auskunftsanfrage</t>
  </si>
  <si>
    <t xml:space="preserve">Termin laut Bieter</t>
  </si>
  <si>
    <t xml:space="preserve">Technischer Bearbeitungsstand</t>
  </si>
  <si>
    <t xml:space="preserve">Jonas Blume / Sabine Kern</t>
  </si>
  <si>
    <t xml:space="preserve">F03</t>
  </si>
  <si>
    <t xml:space="preserve">erste Fundstellen vorgesehen</t>
  </si>
  <si>
    <t xml:space="preserve">13_Vertraulichkeit_Projektgruppe.docx</t>
  </si>
  <si>
    <t xml:space="preserve">Ende Bindefrist</t>
  </si>
  <si>
    <t xml:space="preserve">Vergabestelle</t>
  </si>
  <si>
    <t xml:space="preserve">drei Hauptangebote</t>
  </si>
  <si>
    <t xml:space="preserve">Frist laut Bedingungen</t>
  </si>
  <si>
    <t xml:space="preserve">Aufmaß vor Ort</t>
  </si>
  <si>
    <t xml:space="preserve">Fassadenlos F03</t>
  </si>
  <si>
    <t xml:space="preserve">Bildungsforum Oker</t>
  </si>
  <si>
    <t xml:space="preserve">ab diesem Tag möglich</t>
  </si>
  <si>
    <t xml:space="preserve">02_Leistungsverzeichnis.pdf</t>
  </si>
  <si>
    <t xml:space="preserve">Kolonne Nordlicht</t>
  </si>
  <si>
    <t xml:space="preserve">Sven Martens</t>
  </si>
  <si>
    <t xml:space="preserve">Rauchabzugsmontage</t>
  </si>
  <si>
    <t xml:space="preserve">unter Zugangsvorbehalt</t>
  </si>
  <si>
    <t xml:space="preserve">19_Nordlicht_Kapazitaetsvorbehalt.pdf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</si>
</sst>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[$-407]#,##0.00\ ;\(#,##0.00&quot;) &quot;;&quot;– &quot;"/>
    <numFmt numFmtId="167" formatCode="\ @"/>
    <numFmt numFmtId="168" formatCode="dd\.mm\.yyyy\ "/>
    <numFmt numFmtId="169" formatCode="[$-407]0.0%\ 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70475D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sz val="9"/>
      <color rgb="FF202D32"/>
      <name val="Arial"/>
      <family val="0"/>
      <charset val="1"/>
    </font>
    <font>
      <b val="true"/>
      <sz val="13"/>
      <color rgb="FF7047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45E9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0475D"/>
        <bgColor rgb="FF536269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475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1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1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2">
    <dxf>
      <fill>
        <patternFill patternType="solid">
          <fgColor rgb="FF70475D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ill>
        <patternFill patternType="solid">
          <fgColor rgb="FF245E9A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5" type="wholeTable"/>
      <tableStyleElement dxfId="6" type="firstColumnStripe"/>
      <tableStyleElement dxfId="7" type="firstRowStripe"/>
      <tableStyleElement dxfId="8" type="lastColumn"/>
      <tableStyleElement dxfId="9" type="firstColumn"/>
      <tableStyleElement dxfId="10" type="headerRow"/>
      <tableStyleElement dxfId="11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808080"/>
      <rgbColor rgb="FF9999FF"/>
      <rgbColor rgb="FF70475D"/>
      <rgbColor rgb="FFF0F4F3"/>
      <rgbColor rgb="FFCCFFFF"/>
      <rgbColor rgb="FF660066"/>
      <rgbColor rgb="FFFF8080"/>
      <rgbColor rgb="FF245E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8_1" displayName="Register8_1" ref="A8:I106" headerRowCount="1" totalsRowCount="0" totalsRowShown="0">
  <autoFilter ref="A8:I106"/>
  <tableColumns count="9">
    <tableColumn id="1" name="Registerkennung"/>
    <tableColumn id="2" name="Maßgruppe"/>
    <tableColumn id="3" name="Anzahl"/>
    <tableColumn id="4" name="Breite m"/>
    <tableColumn id="5" name="Höhe m"/>
    <tableColumn id="6" name="Teilung"/>
    <tableColumn id="7" name="Fläche m²"/>
    <tableColumn id="8" name="Beleg"/>
    <tableColumn id="9" name="Plansta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8_2" displayName="Register8_2" ref="A8:I32" headerRowCount="1" totalsRowCount="0" totalsRowShown="0">
  <autoFilter ref="A8:I32"/>
  <tableColumns count="9">
    <tableColumn id="1" name="Bieter"/>
    <tableColumn id="2" name="Position"/>
    <tableColumn id="3" name="Einheit"/>
    <tableColumn id="4" name="Menge"/>
    <tableColumn id="5" name="EP netto EUR"/>
    <tableColumn id="6" name="GP eingetragen EUR"/>
    <tableColumn id="7" name="Menge × EP EUR"/>
    <tableColumn id="8" name="Nachlass"/>
    <tableColumn id="9" name="Rechenbetrag EU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8_3" displayName="Register8_3" ref="A8:G28" headerRowCount="1" totalsRowCount="0" totalsRowShown="0">
  <autoFilter ref="A8:G28"/>
  <tableColumns count="7">
    <tableColumn id="1" name="Datum"/>
    <tableColumn id="2" name="Uhrzeit"/>
    <tableColumn id="3" name="Vorgang"/>
    <tableColumn id="4" name="Beteiligte"/>
    <tableColumn id="5" name="Objekt / Bezug"/>
    <tableColumn id="6" name="Status"/>
    <tableColumn id="7" name="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475D"/>
    <pageSetUpPr fitToPage="true"/>
  </sheetPr>
  <dimension ref="A1:I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29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5" t="s">
        <v>4</v>
      </c>
      <c r="D4" s="4"/>
      <c r="E4" s="4"/>
      <c r="F4" s="4"/>
      <c r="G4" s="5" t="s">
        <v>5</v>
      </c>
      <c r="H4" s="4"/>
      <c r="I4" s="4"/>
    </row>
    <row r="5" customFormat="false" ht="29" hidden="false" customHeight="true" outlineLevel="0" collapsed="false">
      <c r="A5" s="6" t="n">
        <v>98</v>
      </c>
      <c r="B5" s="6"/>
      <c r="C5" s="7" t="n">
        <f aca="false">SUM(C9:C106)</f>
        <v>98</v>
      </c>
      <c r="D5" s="6"/>
      <c r="E5" s="6"/>
      <c r="F5" s="6"/>
      <c r="G5" s="8" t="n">
        <f aca="false">SUM(G9:G106)</f>
        <v>240</v>
      </c>
      <c r="H5" s="6"/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9" t="s">
        <v>6</v>
      </c>
      <c r="B8" s="9" t="s">
        <v>7</v>
      </c>
      <c r="C8" s="9" t="s">
        <v>4</v>
      </c>
      <c r="D8" s="9" t="s">
        <v>8</v>
      </c>
      <c r="E8" s="9" t="s">
        <v>9</v>
      </c>
      <c r="F8" s="9" t="s">
        <v>10</v>
      </c>
      <c r="G8" s="9" t="s">
        <v>5</v>
      </c>
      <c r="H8" s="9" t="s">
        <v>11</v>
      </c>
      <c r="I8" s="9" t="s">
        <v>12</v>
      </c>
    </row>
    <row r="9" customFormat="false" ht="22" hidden="false" customHeight="true" outlineLevel="0" collapsed="false">
      <c r="A9" s="10" t="s">
        <v>13</v>
      </c>
      <c r="B9" s="10" t="s">
        <v>14</v>
      </c>
      <c r="C9" s="11" t="n">
        <v>1</v>
      </c>
      <c r="D9" s="12" t="n">
        <v>1.2</v>
      </c>
      <c r="E9" s="12" t="n">
        <v>1.5</v>
      </c>
      <c r="F9" s="10" t="s">
        <v>15</v>
      </c>
      <c r="G9" s="12" t="n">
        <f aca="false">ROUND(C9*D9*E9,2)</f>
        <v>1.8</v>
      </c>
      <c r="H9" s="10" t="s">
        <v>16</v>
      </c>
      <c r="I9" s="13" t="n">
        <v>46269</v>
      </c>
    </row>
    <row r="10" customFormat="false" ht="22" hidden="false" customHeight="true" outlineLevel="0" collapsed="false">
      <c r="A10" s="14" t="s">
        <v>17</v>
      </c>
      <c r="B10" s="14" t="s">
        <v>14</v>
      </c>
      <c r="C10" s="15" t="n">
        <v>1</v>
      </c>
      <c r="D10" s="16" t="n">
        <v>1.2</v>
      </c>
      <c r="E10" s="16" t="n">
        <v>1.5</v>
      </c>
      <c r="F10" s="14" t="s">
        <v>15</v>
      </c>
      <c r="G10" s="16" t="n">
        <f aca="false">ROUND(C10*D10*E10,2)</f>
        <v>1.8</v>
      </c>
      <c r="H10" s="14" t="s">
        <v>16</v>
      </c>
      <c r="I10" s="17" t="n">
        <v>46269</v>
      </c>
    </row>
    <row r="11" customFormat="false" ht="22" hidden="false" customHeight="true" outlineLevel="0" collapsed="false">
      <c r="A11" s="10" t="s">
        <v>18</v>
      </c>
      <c r="B11" s="10" t="s">
        <v>14</v>
      </c>
      <c r="C11" s="11" t="n">
        <v>1</v>
      </c>
      <c r="D11" s="12" t="n">
        <v>1.2</v>
      </c>
      <c r="E11" s="12" t="n">
        <v>1.5</v>
      </c>
      <c r="F11" s="10" t="s">
        <v>15</v>
      </c>
      <c r="G11" s="12" t="n">
        <f aca="false">ROUND(C11*D11*E11,2)</f>
        <v>1.8</v>
      </c>
      <c r="H11" s="10" t="s">
        <v>16</v>
      </c>
      <c r="I11" s="13" t="n">
        <v>46269</v>
      </c>
    </row>
    <row r="12" customFormat="false" ht="22" hidden="false" customHeight="true" outlineLevel="0" collapsed="false">
      <c r="A12" s="14" t="s">
        <v>19</v>
      </c>
      <c r="B12" s="14" t="s">
        <v>14</v>
      </c>
      <c r="C12" s="15" t="n">
        <v>1</v>
      </c>
      <c r="D12" s="16" t="n">
        <v>1.2</v>
      </c>
      <c r="E12" s="16" t="n">
        <v>1.5</v>
      </c>
      <c r="F12" s="14" t="s">
        <v>15</v>
      </c>
      <c r="G12" s="16" t="n">
        <f aca="false">ROUND(C12*D12*E12,2)</f>
        <v>1.8</v>
      </c>
      <c r="H12" s="14" t="s">
        <v>16</v>
      </c>
      <c r="I12" s="17" t="n">
        <v>46269</v>
      </c>
    </row>
    <row r="13" customFormat="false" ht="22" hidden="false" customHeight="true" outlineLevel="0" collapsed="false">
      <c r="A13" s="10" t="s">
        <v>20</v>
      </c>
      <c r="B13" s="10" t="s">
        <v>14</v>
      </c>
      <c r="C13" s="11" t="n">
        <v>1</v>
      </c>
      <c r="D13" s="12" t="n">
        <v>1.2</v>
      </c>
      <c r="E13" s="12" t="n">
        <v>1.5</v>
      </c>
      <c r="F13" s="10" t="s">
        <v>15</v>
      </c>
      <c r="G13" s="12" t="n">
        <f aca="false">ROUND(C13*D13*E13,2)</f>
        <v>1.8</v>
      </c>
      <c r="H13" s="10" t="s">
        <v>16</v>
      </c>
      <c r="I13" s="13" t="n">
        <v>46269</v>
      </c>
    </row>
    <row r="14" customFormat="false" ht="22" hidden="false" customHeight="true" outlineLevel="0" collapsed="false">
      <c r="A14" s="14" t="s">
        <v>21</v>
      </c>
      <c r="B14" s="14" t="s">
        <v>14</v>
      </c>
      <c r="C14" s="15" t="n">
        <v>1</v>
      </c>
      <c r="D14" s="16" t="n">
        <v>1.2</v>
      </c>
      <c r="E14" s="16" t="n">
        <v>1.5</v>
      </c>
      <c r="F14" s="14" t="s">
        <v>15</v>
      </c>
      <c r="G14" s="16" t="n">
        <f aca="false">ROUND(C14*D14*E14,2)</f>
        <v>1.8</v>
      </c>
      <c r="H14" s="14" t="s">
        <v>16</v>
      </c>
      <c r="I14" s="17" t="n">
        <v>46269</v>
      </c>
    </row>
    <row r="15" customFormat="false" ht="22" hidden="false" customHeight="true" outlineLevel="0" collapsed="false">
      <c r="A15" s="10" t="s">
        <v>22</v>
      </c>
      <c r="B15" s="10" t="s">
        <v>14</v>
      </c>
      <c r="C15" s="11" t="n">
        <v>1</v>
      </c>
      <c r="D15" s="12" t="n">
        <v>1.2</v>
      </c>
      <c r="E15" s="12" t="n">
        <v>1.5</v>
      </c>
      <c r="F15" s="10" t="s">
        <v>15</v>
      </c>
      <c r="G15" s="12" t="n">
        <f aca="false">ROUND(C15*D15*E15,2)</f>
        <v>1.8</v>
      </c>
      <c r="H15" s="10" t="s">
        <v>16</v>
      </c>
      <c r="I15" s="13" t="n">
        <v>46269</v>
      </c>
    </row>
    <row r="16" customFormat="false" ht="22" hidden="false" customHeight="true" outlineLevel="0" collapsed="false">
      <c r="A16" s="14" t="s">
        <v>23</v>
      </c>
      <c r="B16" s="14" t="s">
        <v>14</v>
      </c>
      <c r="C16" s="15" t="n">
        <v>1</v>
      </c>
      <c r="D16" s="16" t="n">
        <v>1.2</v>
      </c>
      <c r="E16" s="16" t="n">
        <v>1.5</v>
      </c>
      <c r="F16" s="14" t="s">
        <v>15</v>
      </c>
      <c r="G16" s="16" t="n">
        <f aca="false">ROUND(C16*D16*E16,2)</f>
        <v>1.8</v>
      </c>
      <c r="H16" s="14" t="s">
        <v>16</v>
      </c>
      <c r="I16" s="17" t="n">
        <v>46269</v>
      </c>
    </row>
    <row r="17" customFormat="false" ht="22" hidden="false" customHeight="true" outlineLevel="0" collapsed="false">
      <c r="A17" s="10" t="s">
        <v>24</v>
      </c>
      <c r="B17" s="10" t="s">
        <v>14</v>
      </c>
      <c r="C17" s="11" t="n">
        <v>1</v>
      </c>
      <c r="D17" s="12" t="n">
        <v>1.2</v>
      </c>
      <c r="E17" s="12" t="n">
        <v>1.5</v>
      </c>
      <c r="F17" s="10" t="s">
        <v>15</v>
      </c>
      <c r="G17" s="12" t="n">
        <f aca="false">ROUND(C17*D17*E17,2)</f>
        <v>1.8</v>
      </c>
      <c r="H17" s="10" t="s">
        <v>16</v>
      </c>
      <c r="I17" s="13" t="n">
        <v>46269</v>
      </c>
    </row>
    <row r="18" customFormat="false" ht="22" hidden="false" customHeight="true" outlineLevel="0" collapsed="false">
      <c r="A18" s="14" t="s">
        <v>25</v>
      </c>
      <c r="B18" s="14" t="s">
        <v>14</v>
      </c>
      <c r="C18" s="15" t="n">
        <v>1</v>
      </c>
      <c r="D18" s="16" t="n">
        <v>1.2</v>
      </c>
      <c r="E18" s="16" t="n">
        <v>1.5</v>
      </c>
      <c r="F18" s="14" t="s">
        <v>15</v>
      </c>
      <c r="G18" s="16" t="n">
        <f aca="false">ROUND(C18*D18*E18,2)</f>
        <v>1.8</v>
      </c>
      <c r="H18" s="14" t="s">
        <v>16</v>
      </c>
      <c r="I18" s="17" t="n">
        <v>46269</v>
      </c>
    </row>
    <row r="19" customFormat="false" ht="22" hidden="false" customHeight="true" outlineLevel="0" collapsed="false">
      <c r="A19" s="10" t="s">
        <v>26</v>
      </c>
      <c r="B19" s="10" t="s">
        <v>14</v>
      </c>
      <c r="C19" s="11" t="n">
        <v>1</v>
      </c>
      <c r="D19" s="12" t="n">
        <v>1.2</v>
      </c>
      <c r="E19" s="12" t="n">
        <v>1.5</v>
      </c>
      <c r="F19" s="10" t="s">
        <v>15</v>
      </c>
      <c r="G19" s="12" t="n">
        <f aca="false">ROUND(C19*D19*E19,2)</f>
        <v>1.8</v>
      </c>
      <c r="H19" s="10" t="s">
        <v>16</v>
      </c>
      <c r="I19" s="13" t="n">
        <v>46269</v>
      </c>
    </row>
    <row r="20" customFormat="false" ht="22" hidden="false" customHeight="true" outlineLevel="0" collapsed="false">
      <c r="A20" s="14" t="s">
        <v>27</v>
      </c>
      <c r="B20" s="14" t="s">
        <v>14</v>
      </c>
      <c r="C20" s="15" t="n">
        <v>1</v>
      </c>
      <c r="D20" s="16" t="n">
        <v>1.2</v>
      </c>
      <c r="E20" s="16" t="n">
        <v>1.5</v>
      </c>
      <c r="F20" s="14" t="s">
        <v>15</v>
      </c>
      <c r="G20" s="16" t="n">
        <f aca="false">ROUND(C20*D20*E20,2)</f>
        <v>1.8</v>
      </c>
      <c r="H20" s="14" t="s">
        <v>16</v>
      </c>
      <c r="I20" s="17" t="n">
        <v>46269</v>
      </c>
    </row>
    <row r="21" customFormat="false" ht="22" hidden="false" customHeight="true" outlineLevel="0" collapsed="false">
      <c r="A21" s="10" t="s">
        <v>28</v>
      </c>
      <c r="B21" s="10" t="s">
        <v>14</v>
      </c>
      <c r="C21" s="11" t="n">
        <v>1</v>
      </c>
      <c r="D21" s="12" t="n">
        <v>1.2</v>
      </c>
      <c r="E21" s="12" t="n">
        <v>1.5</v>
      </c>
      <c r="F21" s="10" t="s">
        <v>15</v>
      </c>
      <c r="G21" s="12" t="n">
        <f aca="false">ROUND(C21*D21*E21,2)</f>
        <v>1.8</v>
      </c>
      <c r="H21" s="10" t="s">
        <v>16</v>
      </c>
      <c r="I21" s="13" t="n">
        <v>46269</v>
      </c>
    </row>
    <row r="22" customFormat="false" ht="22" hidden="false" customHeight="true" outlineLevel="0" collapsed="false">
      <c r="A22" s="14" t="s">
        <v>29</v>
      </c>
      <c r="B22" s="14" t="s">
        <v>14</v>
      </c>
      <c r="C22" s="15" t="n">
        <v>1</v>
      </c>
      <c r="D22" s="16" t="n">
        <v>1.2</v>
      </c>
      <c r="E22" s="16" t="n">
        <v>1.5</v>
      </c>
      <c r="F22" s="14" t="s">
        <v>15</v>
      </c>
      <c r="G22" s="16" t="n">
        <f aca="false">ROUND(C22*D22*E22,2)</f>
        <v>1.8</v>
      </c>
      <c r="H22" s="14" t="s">
        <v>16</v>
      </c>
      <c r="I22" s="17" t="n">
        <v>46269</v>
      </c>
    </row>
    <row r="23" customFormat="false" ht="22" hidden="false" customHeight="true" outlineLevel="0" collapsed="false">
      <c r="A23" s="10" t="s">
        <v>30</v>
      </c>
      <c r="B23" s="10" t="s">
        <v>14</v>
      </c>
      <c r="C23" s="11" t="n">
        <v>1</v>
      </c>
      <c r="D23" s="12" t="n">
        <v>1.2</v>
      </c>
      <c r="E23" s="12" t="n">
        <v>1.5</v>
      </c>
      <c r="F23" s="10" t="s">
        <v>15</v>
      </c>
      <c r="G23" s="12" t="n">
        <f aca="false">ROUND(C23*D23*E23,2)</f>
        <v>1.8</v>
      </c>
      <c r="H23" s="10" t="s">
        <v>16</v>
      </c>
      <c r="I23" s="13" t="n">
        <v>46269</v>
      </c>
    </row>
    <row r="24" customFormat="false" ht="22" hidden="false" customHeight="true" outlineLevel="0" collapsed="false">
      <c r="A24" s="14" t="s">
        <v>31</v>
      </c>
      <c r="B24" s="14" t="s">
        <v>14</v>
      </c>
      <c r="C24" s="15" t="n">
        <v>1</v>
      </c>
      <c r="D24" s="16" t="n">
        <v>1.2</v>
      </c>
      <c r="E24" s="16" t="n">
        <v>1.5</v>
      </c>
      <c r="F24" s="14" t="s">
        <v>15</v>
      </c>
      <c r="G24" s="16" t="n">
        <f aca="false">ROUND(C24*D24*E24,2)</f>
        <v>1.8</v>
      </c>
      <c r="H24" s="14" t="s">
        <v>16</v>
      </c>
      <c r="I24" s="17" t="n">
        <v>46269</v>
      </c>
    </row>
    <row r="25" customFormat="false" ht="22" hidden="false" customHeight="true" outlineLevel="0" collapsed="false">
      <c r="A25" s="10" t="s">
        <v>32</v>
      </c>
      <c r="B25" s="10" t="s">
        <v>14</v>
      </c>
      <c r="C25" s="11" t="n">
        <v>1</v>
      </c>
      <c r="D25" s="12" t="n">
        <v>1.2</v>
      </c>
      <c r="E25" s="12" t="n">
        <v>1.5</v>
      </c>
      <c r="F25" s="10" t="s">
        <v>15</v>
      </c>
      <c r="G25" s="12" t="n">
        <f aca="false">ROUND(C25*D25*E25,2)</f>
        <v>1.8</v>
      </c>
      <c r="H25" s="10" t="s">
        <v>16</v>
      </c>
      <c r="I25" s="13" t="n">
        <v>46269</v>
      </c>
    </row>
    <row r="26" customFormat="false" ht="22" hidden="false" customHeight="true" outlineLevel="0" collapsed="false">
      <c r="A26" s="14" t="s">
        <v>33</v>
      </c>
      <c r="B26" s="14" t="s">
        <v>14</v>
      </c>
      <c r="C26" s="15" t="n">
        <v>1</v>
      </c>
      <c r="D26" s="16" t="n">
        <v>1.2</v>
      </c>
      <c r="E26" s="16" t="n">
        <v>1.5</v>
      </c>
      <c r="F26" s="14" t="s">
        <v>15</v>
      </c>
      <c r="G26" s="16" t="n">
        <f aca="false">ROUND(C26*D26*E26,2)</f>
        <v>1.8</v>
      </c>
      <c r="H26" s="14" t="s">
        <v>16</v>
      </c>
      <c r="I26" s="17" t="n">
        <v>46269</v>
      </c>
    </row>
    <row r="27" customFormat="false" ht="22" hidden="false" customHeight="true" outlineLevel="0" collapsed="false">
      <c r="A27" s="10" t="s">
        <v>34</v>
      </c>
      <c r="B27" s="10" t="s">
        <v>14</v>
      </c>
      <c r="C27" s="11" t="n">
        <v>1</v>
      </c>
      <c r="D27" s="12" t="n">
        <v>1.2</v>
      </c>
      <c r="E27" s="12" t="n">
        <v>1.5</v>
      </c>
      <c r="F27" s="10" t="s">
        <v>15</v>
      </c>
      <c r="G27" s="12" t="n">
        <f aca="false">ROUND(C27*D27*E27,2)</f>
        <v>1.8</v>
      </c>
      <c r="H27" s="10" t="s">
        <v>16</v>
      </c>
      <c r="I27" s="13" t="n">
        <v>46269</v>
      </c>
    </row>
    <row r="28" customFormat="false" ht="22" hidden="false" customHeight="true" outlineLevel="0" collapsed="false">
      <c r="A28" s="14" t="s">
        <v>35</v>
      </c>
      <c r="B28" s="14" t="s">
        <v>14</v>
      </c>
      <c r="C28" s="15" t="n">
        <v>1</v>
      </c>
      <c r="D28" s="16" t="n">
        <v>1.2</v>
      </c>
      <c r="E28" s="16" t="n">
        <v>1.5</v>
      </c>
      <c r="F28" s="14" t="s">
        <v>15</v>
      </c>
      <c r="G28" s="16" t="n">
        <f aca="false">ROUND(C28*D28*E28,2)</f>
        <v>1.8</v>
      </c>
      <c r="H28" s="14" t="s">
        <v>16</v>
      </c>
      <c r="I28" s="17" t="n">
        <v>46269</v>
      </c>
    </row>
    <row r="29" customFormat="false" ht="22" hidden="false" customHeight="true" outlineLevel="0" collapsed="false">
      <c r="A29" s="10" t="s">
        <v>36</v>
      </c>
      <c r="B29" s="10" t="s">
        <v>14</v>
      </c>
      <c r="C29" s="11" t="n">
        <v>1</v>
      </c>
      <c r="D29" s="12" t="n">
        <v>1.2</v>
      </c>
      <c r="E29" s="12" t="n">
        <v>1.5</v>
      </c>
      <c r="F29" s="10" t="s">
        <v>15</v>
      </c>
      <c r="G29" s="12" t="n">
        <f aca="false">ROUND(C29*D29*E29,2)</f>
        <v>1.8</v>
      </c>
      <c r="H29" s="10" t="s">
        <v>16</v>
      </c>
      <c r="I29" s="13" t="n">
        <v>46269</v>
      </c>
    </row>
    <row r="30" customFormat="false" ht="22" hidden="false" customHeight="true" outlineLevel="0" collapsed="false">
      <c r="A30" s="14" t="s">
        <v>37</v>
      </c>
      <c r="B30" s="14" t="s">
        <v>14</v>
      </c>
      <c r="C30" s="15" t="n">
        <v>1</v>
      </c>
      <c r="D30" s="16" t="n">
        <v>1.2</v>
      </c>
      <c r="E30" s="16" t="n">
        <v>1.5</v>
      </c>
      <c r="F30" s="14" t="s">
        <v>15</v>
      </c>
      <c r="G30" s="16" t="n">
        <f aca="false">ROUND(C30*D30*E30,2)</f>
        <v>1.8</v>
      </c>
      <c r="H30" s="14" t="s">
        <v>16</v>
      </c>
      <c r="I30" s="17" t="n">
        <v>46269</v>
      </c>
    </row>
    <row r="31" customFormat="false" ht="22" hidden="false" customHeight="true" outlineLevel="0" collapsed="false">
      <c r="A31" s="10" t="s">
        <v>38</v>
      </c>
      <c r="B31" s="10" t="s">
        <v>14</v>
      </c>
      <c r="C31" s="11" t="n">
        <v>1</v>
      </c>
      <c r="D31" s="12" t="n">
        <v>1.2</v>
      </c>
      <c r="E31" s="12" t="n">
        <v>1.5</v>
      </c>
      <c r="F31" s="10" t="s">
        <v>15</v>
      </c>
      <c r="G31" s="12" t="n">
        <f aca="false">ROUND(C31*D31*E31,2)</f>
        <v>1.8</v>
      </c>
      <c r="H31" s="10" t="s">
        <v>16</v>
      </c>
      <c r="I31" s="13" t="n">
        <v>46269</v>
      </c>
    </row>
    <row r="32" customFormat="false" ht="22" hidden="false" customHeight="true" outlineLevel="0" collapsed="false">
      <c r="A32" s="14" t="s">
        <v>39</v>
      </c>
      <c r="B32" s="14" t="s">
        <v>14</v>
      </c>
      <c r="C32" s="15" t="n">
        <v>1</v>
      </c>
      <c r="D32" s="16" t="n">
        <v>1.2</v>
      </c>
      <c r="E32" s="16" t="n">
        <v>1.5</v>
      </c>
      <c r="F32" s="14" t="s">
        <v>15</v>
      </c>
      <c r="G32" s="16" t="n">
        <f aca="false">ROUND(C32*D32*E32,2)</f>
        <v>1.8</v>
      </c>
      <c r="H32" s="14" t="s">
        <v>16</v>
      </c>
      <c r="I32" s="17" t="n">
        <v>46269</v>
      </c>
    </row>
    <row r="33" customFormat="false" ht="22" hidden="false" customHeight="true" outlineLevel="0" collapsed="false">
      <c r="A33" s="10" t="s">
        <v>40</v>
      </c>
      <c r="B33" s="10" t="s">
        <v>14</v>
      </c>
      <c r="C33" s="11" t="n">
        <v>1</v>
      </c>
      <c r="D33" s="12" t="n">
        <v>1.2</v>
      </c>
      <c r="E33" s="12" t="n">
        <v>1.5</v>
      </c>
      <c r="F33" s="10" t="s">
        <v>15</v>
      </c>
      <c r="G33" s="12" t="n">
        <f aca="false">ROUND(C33*D33*E33,2)</f>
        <v>1.8</v>
      </c>
      <c r="H33" s="10" t="s">
        <v>16</v>
      </c>
      <c r="I33" s="13" t="n">
        <v>46269</v>
      </c>
    </row>
    <row r="34" customFormat="false" ht="22" hidden="false" customHeight="true" outlineLevel="0" collapsed="false">
      <c r="A34" s="14" t="s">
        <v>41</v>
      </c>
      <c r="B34" s="14" t="s">
        <v>14</v>
      </c>
      <c r="C34" s="15" t="n">
        <v>1</v>
      </c>
      <c r="D34" s="16" t="n">
        <v>1.2</v>
      </c>
      <c r="E34" s="16" t="n">
        <v>1.5</v>
      </c>
      <c r="F34" s="14" t="s">
        <v>15</v>
      </c>
      <c r="G34" s="16" t="n">
        <f aca="false">ROUND(C34*D34*E34,2)</f>
        <v>1.8</v>
      </c>
      <c r="H34" s="14" t="s">
        <v>16</v>
      </c>
      <c r="I34" s="17" t="n">
        <v>46269</v>
      </c>
    </row>
    <row r="35" customFormat="false" ht="22" hidden="false" customHeight="true" outlineLevel="0" collapsed="false">
      <c r="A35" s="10" t="s">
        <v>42</v>
      </c>
      <c r="B35" s="10" t="s">
        <v>14</v>
      </c>
      <c r="C35" s="11" t="n">
        <v>1</v>
      </c>
      <c r="D35" s="12" t="n">
        <v>1.2</v>
      </c>
      <c r="E35" s="12" t="n">
        <v>1.5</v>
      </c>
      <c r="F35" s="10" t="s">
        <v>15</v>
      </c>
      <c r="G35" s="12" t="n">
        <f aca="false">ROUND(C35*D35*E35,2)</f>
        <v>1.8</v>
      </c>
      <c r="H35" s="10" t="s">
        <v>16</v>
      </c>
      <c r="I35" s="13" t="n">
        <v>46269</v>
      </c>
    </row>
    <row r="36" customFormat="false" ht="22" hidden="false" customHeight="true" outlineLevel="0" collapsed="false">
      <c r="A36" s="14" t="s">
        <v>43</v>
      </c>
      <c r="B36" s="14" t="s">
        <v>14</v>
      </c>
      <c r="C36" s="15" t="n">
        <v>1</v>
      </c>
      <c r="D36" s="16" t="n">
        <v>1.2</v>
      </c>
      <c r="E36" s="16" t="n">
        <v>1.5</v>
      </c>
      <c r="F36" s="14" t="s">
        <v>15</v>
      </c>
      <c r="G36" s="16" t="n">
        <f aca="false">ROUND(C36*D36*E36,2)</f>
        <v>1.8</v>
      </c>
      <c r="H36" s="14" t="s">
        <v>16</v>
      </c>
      <c r="I36" s="17" t="n">
        <v>46269</v>
      </c>
    </row>
    <row r="37" customFormat="false" ht="22" hidden="false" customHeight="true" outlineLevel="0" collapsed="false">
      <c r="A37" s="10" t="s">
        <v>44</v>
      </c>
      <c r="B37" s="10" t="s">
        <v>14</v>
      </c>
      <c r="C37" s="11" t="n">
        <v>1</v>
      </c>
      <c r="D37" s="12" t="n">
        <v>1.2</v>
      </c>
      <c r="E37" s="12" t="n">
        <v>1.5</v>
      </c>
      <c r="F37" s="10" t="s">
        <v>15</v>
      </c>
      <c r="G37" s="12" t="n">
        <f aca="false">ROUND(C37*D37*E37,2)</f>
        <v>1.8</v>
      </c>
      <c r="H37" s="10" t="s">
        <v>16</v>
      </c>
      <c r="I37" s="13" t="n">
        <v>46269</v>
      </c>
    </row>
    <row r="38" customFormat="false" ht="22" hidden="false" customHeight="true" outlineLevel="0" collapsed="false">
      <c r="A38" s="14" t="s">
        <v>45</v>
      </c>
      <c r="B38" s="14" t="s">
        <v>14</v>
      </c>
      <c r="C38" s="15" t="n">
        <v>1</v>
      </c>
      <c r="D38" s="16" t="n">
        <v>1.2</v>
      </c>
      <c r="E38" s="16" t="n">
        <v>1.5</v>
      </c>
      <c r="F38" s="14" t="s">
        <v>15</v>
      </c>
      <c r="G38" s="16" t="n">
        <f aca="false">ROUND(C38*D38*E38,2)</f>
        <v>1.8</v>
      </c>
      <c r="H38" s="14" t="s">
        <v>16</v>
      </c>
      <c r="I38" s="17" t="n">
        <v>46269</v>
      </c>
    </row>
    <row r="39" customFormat="false" ht="22" hidden="false" customHeight="true" outlineLevel="0" collapsed="false">
      <c r="A39" s="10" t="s">
        <v>46</v>
      </c>
      <c r="B39" s="10" t="s">
        <v>14</v>
      </c>
      <c r="C39" s="11" t="n">
        <v>1</v>
      </c>
      <c r="D39" s="12" t="n">
        <v>1.2</v>
      </c>
      <c r="E39" s="12" t="n">
        <v>1.5</v>
      </c>
      <c r="F39" s="10" t="s">
        <v>15</v>
      </c>
      <c r="G39" s="12" t="n">
        <f aca="false">ROUND(C39*D39*E39,2)</f>
        <v>1.8</v>
      </c>
      <c r="H39" s="10" t="s">
        <v>16</v>
      </c>
      <c r="I39" s="13" t="n">
        <v>46269</v>
      </c>
    </row>
    <row r="40" customFormat="false" ht="22" hidden="false" customHeight="true" outlineLevel="0" collapsed="false">
      <c r="A40" s="14" t="s">
        <v>47</v>
      </c>
      <c r="B40" s="14" t="s">
        <v>14</v>
      </c>
      <c r="C40" s="15" t="n">
        <v>1</v>
      </c>
      <c r="D40" s="16" t="n">
        <v>1.2</v>
      </c>
      <c r="E40" s="16" t="n">
        <v>1.5</v>
      </c>
      <c r="F40" s="14" t="s">
        <v>15</v>
      </c>
      <c r="G40" s="16" t="n">
        <f aca="false">ROUND(C40*D40*E40,2)</f>
        <v>1.8</v>
      </c>
      <c r="H40" s="14" t="s">
        <v>16</v>
      </c>
      <c r="I40" s="17" t="n">
        <v>46269</v>
      </c>
    </row>
    <row r="41" customFormat="false" ht="22" hidden="false" customHeight="true" outlineLevel="0" collapsed="false">
      <c r="A41" s="10" t="s">
        <v>48</v>
      </c>
      <c r="B41" s="10" t="s">
        <v>14</v>
      </c>
      <c r="C41" s="11" t="n">
        <v>1</v>
      </c>
      <c r="D41" s="12" t="n">
        <v>1.2</v>
      </c>
      <c r="E41" s="12" t="n">
        <v>1.5</v>
      </c>
      <c r="F41" s="10" t="s">
        <v>15</v>
      </c>
      <c r="G41" s="12" t="n">
        <f aca="false">ROUND(C41*D41*E41,2)</f>
        <v>1.8</v>
      </c>
      <c r="H41" s="10" t="s">
        <v>16</v>
      </c>
      <c r="I41" s="13" t="n">
        <v>46269</v>
      </c>
    </row>
    <row r="42" customFormat="false" ht="22" hidden="false" customHeight="true" outlineLevel="0" collapsed="false">
      <c r="A42" s="14" t="s">
        <v>49</v>
      </c>
      <c r="B42" s="14" t="s">
        <v>14</v>
      </c>
      <c r="C42" s="15" t="n">
        <v>1</v>
      </c>
      <c r="D42" s="16" t="n">
        <v>1.2</v>
      </c>
      <c r="E42" s="16" t="n">
        <v>1.5</v>
      </c>
      <c r="F42" s="14" t="s">
        <v>15</v>
      </c>
      <c r="G42" s="16" t="n">
        <f aca="false">ROUND(C42*D42*E42,2)</f>
        <v>1.8</v>
      </c>
      <c r="H42" s="14" t="s">
        <v>16</v>
      </c>
      <c r="I42" s="17" t="n">
        <v>46269</v>
      </c>
    </row>
    <row r="43" customFormat="false" ht="22" hidden="false" customHeight="true" outlineLevel="0" collapsed="false">
      <c r="A43" s="10" t="s">
        <v>50</v>
      </c>
      <c r="B43" s="10" t="s">
        <v>14</v>
      </c>
      <c r="C43" s="11" t="n">
        <v>1</v>
      </c>
      <c r="D43" s="12" t="n">
        <v>1.2</v>
      </c>
      <c r="E43" s="12" t="n">
        <v>1.5</v>
      </c>
      <c r="F43" s="10" t="s">
        <v>15</v>
      </c>
      <c r="G43" s="12" t="n">
        <f aca="false">ROUND(C43*D43*E43,2)</f>
        <v>1.8</v>
      </c>
      <c r="H43" s="10" t="s">
        <v>16</v>
      </c>
      <c r="I43" s="13" t="n">
        <v>46269</v>
      </c>
    </row>
    <row r="44" customFormat="false" ht="22" hidden="false" customHeight="true" outlineLevel="0" collapsed="false">
      <c r="A44" s="14" t="s">
        <v>51</v>
      </c>
      <c r="B44" s="14" t="s">
        <v>14</v>
      </c>
      <c r="C44" s="15" t="n">
        <v>1</v>
      </c>
      <c r="D44" s="16" t="n">
        <v>1.2</v>
      </c>
      <c r="E44" s="16" t="n">
        <v>1.5</v>
      </c>
      <c r="F44" s="14" t="s">
        <v>15</v>
      </c>
      <c r="G44" s="16" t="n">
        <f aca="false">ROUND(C44*D44*E44,2)</f>
        <v>1.8</v>
      </c>
      <c r="H44" s="14" t="s">
        <v>16</v>
      </c>
      <c r="I44" s="17" t="n">
        <v>46269</v>
      </c>
    </row>
    <row r="45" customFormat="false" ht="22" hidden="false" customHeight="true" outlineLevel="0" collapsed="false">
      <c r="A45" s="10" t="s">
        <v>52</v>
      </c>
      <c r="B45" s="10" t="s">
        <v>14</v>
      </c>
      <c r="C45" s="11" t="n">
        <v>1</v>
      </c>
      <c r="D45" s="12" t="n">
        <v>1.2</v>
      </c>
      <c r="E45" s="12" t="n">
        <v>1.5</v>
      </c>
      <c r="F45" s="10" t="s">
        <v>15</v>
      </c>
      <c r="G45" s="12" t="n">
        <f aca="false">ROUND(C45*D45*E45,2)</f>
        <v>1.8</v>
      </c>
      <c r="H45" s="10" t="s">
        <v>16</v>
      </c>
      <c r="I45" s="13" t="n">
        <v>46269</v>
      </c>
    </row>
    <row r="46" customFormat="false" ht="22" hidden="false" customHeight="true" outlineLevel="0" collapsed="false">
      <c r="A46" s="14" t="s">
        <v>53</v>
      </c>
      <c r="B46" s="14" t="s">
        <v>14</v>
      </c>
      <c r="C46" s="15" t="n">
        <v>1</v>
      </c>
      <c r="D46" s="16" t="n">
        <v>1.2</v>
      </c>
      <c r="E46" s="16" t="n">
        <v>1.5</v>
      </c>
      <c r="F46" s="14" t="s">
        <v>15</v>
      </c>
      <c r="G46" s="16" t="n">
        <f aca="false">ROUND(C46*D46*E46,2)</f>
        <v>1.8</v>
      </c>
      <c r="H46" s="14" t="s">
        <v>16</v>
      </c>
      <c r="I46" s="17" t="n">
        <v>46269</v>
      </c>
    </row>
    <row r="47" customFormat="false" ht="22" hidden="false" customHeight="true" outlineLevel="0" collapsed="false">
      <c r="A47" s="10" t="s">
        <v>54</v>
      </c>
      <c r="B47" s="10" t="s">
        <v>14</v>
      </c>
      <c r="C47" s="11" t="n">
        <v>1</v>
      </c>
      <c r="D47" s="12" t="n">
        <v>1.2</v>
      </c>
      <c r="E47" s="12" t="n">
        <v>1.5</v>
      </c>
      <c r="F47" s="10" t="s">
        <v>15</v>
      </c>
      <c r="G47" s="12" t="n">
        <f aca="false">ROUND(C47*D47*E47,2)</f>
        <v>1.8</v>
      </c>
      <c r="H47" s="10" t="s">
        <v>16</v>
      </c>
      <c r="I47" s="13" t="n">
        <v>46269</v>
      </c>
    </row>
    <row r="48" customFormat="false" ht="22" hidden="false" customHeight="true" outlineLevel="0" collapsed="false">
      <c r="A48" s="14" t="s">
        <v>55</v>
      </c>
      <c r="B48" s="14" t="s">
        <v>14</v>
      </c>
      <c r="C48" s="15" t="n">
        <v>1</v>
      </c>
      <c r="D48" s="16" t="n">
        <v>1.2</v>
      </c>
      <c r="E48" s="16" t="n">
        <v>1.5</v>
      </c>
      <c r="F48" s="14" t="s">
        <v>15</v>
      </c>
      <c r="G48" s="16" t="n">
        <f aca="false">ROUND(C48*D48*E48,2)</f>
        <v>1.8</v>
      </c>
      <c r="H48" s="14" t="s">
        <v>16</v>
      </c>
      <c r="I48" s="17" t="n">
        <v>46269</v>
      </c>
    </row>
    <row r="49" customFormat="false" ht="22" hidden="false" customHeight="true" outlineLevel="0" collapsed="false">
      <c r="A49" s="10" t="s">
        <v>56</v>
      </c>
      <c r="B49" s="10" t="s">
        <v>57</v>
      </c>
      <c r="C49" s="11" t="n">
        <v>1</v>
      </c>
      <c r="D49" s="12" t="n">
        <v>1.5</v>
      </c>
      <c r="E49" s="12" t="n">
        <v>2</v>
      </c>
      <c r="F49" s="10" t="s">
        <v>15</v>
      </c>
      <c r="G49" s="12" t="n">
        <f aca="false">ROUND(C49*D49*E49,2)</f>
        <v>3</v>
      </c>
      <c r="H49" s="10" t="s">
        <v>16</v>
      </c>
      <c r="I49" s="13" t="n">
        <v>46269</v>
      </c>
    </row>
    <row r="50" customFormat="false" ht="22" hidden="false" customHeight="true" outlineLevel="0" collapsed="false">
      <c r="A50" s="14" t="s">
        <v>58</v>
      </c>
      <c r="B50" s="14" t="s">
        <v>57</v>
      </c>
      <c r="C50" s="15" t="n">
        <v>1</v>
      </c>
      <c r="D50" s="16" t="n">
        <v>1.5</v>
      </c>
      <c r="E50" s="16" t="n">
        <v>2</v>
      </c>
      <c r="F50" s="14" t="s">
        <v>15</v>
      </c>
      <c r="G50" s="16" t="n">
        <f aca="false">ROUND(C50*D50*E50,2)</f>
        <v>3</v>
      </c>
      <c r="H50" s="14" t="s">
        <v>16</v>
      </c>
      <c r="I50" s="17" t="n">
        <v>46269</v>
      </c>
    </row>
    <row r="51" customFormat="false" ht="22" hidden="false" customHeight="true" outlineLevel="0" collapsed="false">
      <c r="A51" s="10" t="s">
        <v>59</v>
      </c>
      <c r="B51" s="10" t="s">
        <v>57</v>
      </c>
      <c r="C51" s="11" t="n">
        <v>1</v>
      </c>
      <c r="D51" s="12" t="n">
        <v>1.5</v>
      </c>
      <c r="E51" s="12" t="n">
        <v>2</v>
      </c>
      <c r="F51" s="10" t="s">
        <v>15</v>
      </c>
      <c r="G51" s="12" t="n">
        <f aca="false">ROUND(C51*D51*E51,2)</f>
        <v>3</v>
      </c>
      <c r="H51" s="10" t="s">
        <v>16</v>
      </c>
      <c r="I51" s="13" t="n">
        <v>46269</v>
      </c>
    </row>
    <row r="52" customFormat="false" ht="22" hidden="false" customHeight="true" outlineLevel="0" collapsed="false">
      <c r="A52" s="14" t="s">
        <v>60</v>
      </c>
      <c r="B52" s="14" t="s">
        <v>57</v>
      </c>
      <c r="C52" s="15" t="n">
        <v>1</v>
      </c>
      <c r="D52" s="16" t="n">
        <v>1.5</v>
      </c>
      <c r="E52" s="16" t="n">
        <v>2</v>
      </c>
      <c r="F52" s="14" t="s">
        <v>15</v>
      </c>
      <c r="G52" s="16" t="n">
        <f aca="false">ROUND(C52*D52*E52,2)</f>
        <v>3</v>
      </c>
      <c r="H52" s="14" t="s">
        <v>16</v>
      </c>
      <c r="I52" s="17" t="n">
        <v>46269</v>
      </c>
    </row>
    <row r="53" customFormat="false" ht="22" hidden="false" customHeight="true" outlineLevel="0" collapsed="false">
      <c r="A53" s="10" t="s">
        <v>61</v>
      </c>
      <c r="B53" s="10" t="s">
        <v>57</v>
      </c>
      <c r="C53" s="11" t="n">
        <v>1</v>
      </c>
      <c r="D53" s="12" t="n">
        <v>1.5</v>
      </c>
      <c r="E53" s="12" t="n">
        <v>2</v>
      </c>
      <c r="F53" s="10" t="s">
        <v>15</v>
      </c>
      <c r="G53" s="12" t="n">
        <f aca="false">ROUND(C53*D53*E53,2)</f>
        <v>3</v>
      </c>
      <c r="H53" s="10" t="s">
        <v>16</v>
      </c>
      <c r="I53" s="13" t="n">
        <v>46269</v>
      </c>
    </row>
    <row r="54" customFormat="false" ht="22" hidden="false" customHeight="true" outlineLevel="0" collapsed="false">
      <c r="A54" s="14" t="s">
        <v>62</v>
      </c>
      <c r="B54" s="14" t="s">
        <v>57</v>
      </c>
      <c r="C54" s="15" t="n">
        <v>1</v>
      </c>
      <c r="D54" s="16" t="n">
        <v>1.5</v>
      </c>
      <c r="E54" s="16" t="n">
        <v>2</v>
      </c>
      <c r="F54" s="14" t="s">
        <v>15</v>
      </c>
      <c r="G54" s="16" t="n">
        <f aca="false">ROUND(C54*D54*E54,2)</f>
        <v>3</v>
      </c>
      <c r="H54" s="14" t="s">
        <v>16</v>
      </c>
      <c r="I54" s="17" t="n">
        <v>46269</v>
      </c>
    </row>
    <row r="55" customFormat="false" ht="22" hidden="false" customHeight="true" outlineLevel="0" collapsed="false">
      <c r="A55" s="10" t="s">
        <v>63</v>
      </c>
      <c r="B55" s="10" t="s">
        <v>57</v>
      </c>
      <c r="C55" s="11" t="n">
        <v>1</v>
      </c>
      <c r="D55" s="12" t="n">
        <v>1.5</v>
      </c>
      <c r="E55" s="12" t="n">
        <v>2</v>
      </c>
      <c r="F55" s="10" t="s">
        <v>15</v>
      </c>
      <c r="G55" s="12" t="n">
        <f aca="false">ROUND(C55*D55*E55,2)</f>
        <v>3</v>
      </c>
      <c r="H55" s="10" t="s">
        <v>16</v>
      </c>
      <c r="I55" s="13" t="n">
        <v>46269</v>
      </c>
    </row>
    <row r="56" customFormat="false" ht="22" hidden="false" customHeight="true" outlineLevel="0" collapsed="false">
      <c r="A56" s="14" t="s">
        <v>64</v>
      </c>
      <c r="B56" s="14" t="s">
        <v>57</v>
      </c>
      <c r="C56" s="15" t="n">
        <v>1</v>
      </c>
      <c r="D56" s="16" t="n">
        <v>1.5</v>
      </c>
      <c r="E56" s="16" t="n">
        <v>2</v>
      </c>
      <c r="F56" s="14" t="s">
        <v>15</v>
      </c>
      <c r="G56" s="16" t="n">
        <f aca="false">ROUND(C56*D56*E56,2)</f>
        <v>3</v>
      </c>
      <c r="H56" s="14" t="s">
        <v>16</v>
      </c>
      <c r="I56" s="17" t="n">
        <v>46269</v>
      </c>
    </row>
    <row r="57" customFormat="false" ht="22" hidden="false" customHeight="true" outlineLevel="0" collapsed="false">
      <c r="A57" s="10" t="s">
        <v>65</v>
      </c>
      <c r="B57" s="10" t="s">
        <v>57</v>
      </c>
      <c r="C57" s="11" t="n">
        <v>1</v>
      </c>
      <c r="D57" s="12" t="n">
        <v>1.5</v>
      </c>
      <c r="E57" s="12" t="n">
        <v>2</v>
      </c>
      <c r="F57" s="10" t="s">
        <v>15</v>
      </c>
      <c r="G57" s="12" t="n">
        <f aca="false">ROUND(C57*D57*E57,2)</f>
        <v>3</v>
      </c>
      <c r="H57" s="10" t="s">
        <v>16</v>
      </c>
      <c r="I57" s="13" t="n">
        <v>46269</v>
      </c>
    </row>
    <row r="58" customFormat="false" ht="22" hidden="false" customHeight="true" outlineLevel="0" collapsed="false">
      <c r="A58" s="14" t="s">
        <v>66</v>
      </c>
      <c r="B58" s="14" t="s">
        <v>57</v>
      </c>
      <c r="C58" s="15" t="n">
        <v>1</v>
      </c>
      <c r="D58" s="16" t="n">
        <v>1.5</v>
      </c>
      <c r="E58" s="16" t="n">
        <v>2</v>
      </c>
      <c r="F58" s="14" t="s">
        <v>15</v>
      </c>
      <c r="G58" s="16" t="n">
        <f aca="false">ROUND(C58*D58*E58,2)</f>
        <v>3</v>
      </c>
      <c r="H58" s="14" t="s">
        <v>16</v>
      </c>
      <c r="I58" s="17" t="n">
        <v>46269</v>
      </c>
    </row>
    <row r="59" customFormat="false" ht="22" hidden="false" customHeight="true" outlineLevel="0" collapsed="false">
      <c r="A59" s="10" t="s">
        <v>67</v>
      </c>
      <c r="B59" s="10" t="s">
        <v>57</v>
      </c>
      <c r="C59" s="11" t="n">
        <v>1</v>
      </c>
      <c r="D59" s="12" t="n">
        <v>1.5</v>
      </c>
      <c r="E59" s="12" t="n">
        <v>2</v>
      </c>
      <c r="F59" s="10" t="s">
        <v>15</v>
      </c>
      <c r="G59" s="12" t="n">
        <f aca="false">ROUND(C59*D59*E59,2)</f>
        <v>3</v>
      </c>
      <c r="H59" s="10" t="s">
        <v>16</v>
      </c>
      <c r="I59" s="13" t="n">
        <v>46269</v>
      </c>
    </row>
    <row r="60" customFormat="false" ht="22" hidden="false" customHeight="true" outlineLevel="0" collapsed="false">
      <c r="A60" s="14" t="s">
        <v>68</v>
      </c>
      <c r="B60" s="14" t="s">
        <v>57</v>
      </c>
      <c r="C60" s="15" t="n">
        <v>1</v>
      </c>
      <c r="D60" s="16" t="n">
        <v>1.5</v>
      </c>
      <c r="E60" s="16" t="n">
        <v>2</v>
      </c>
      <c r="F60" s="14" t="s">
        <v>15</v>
      </c>
      <c r="G60" s="16" t="n">
        <f aca="false">ROUND(C60*D60*E60,2)</f>
        <v>3</v>
      </c>
      <c r="H60" s="14" t="s">
        <v>16</v>
      </c>
      <c r="I60" s="17" t="n">
        <v>46269</v>
      </c>
    </row>
    <row r="61" customFormat="false" ht="22" hidden="false" customHeight="true" outlineLevel="0" collapsed="false">
      <c r="A61" s="10" t="s">
        <v>69</v>
      </c>
      <c r="B61" s="10" t="s">
        <v>57</v>
      </c>
      <c r="C61" s="11" t="n">
        <v>1</v>
      </c>
      <c r="D61" s="12" t="n">
        <v>1.5</v>
      </c>
      <c r="E61" s="12" t="n">
        <v>2</v>
      </c>
      <c r="F61" s="10" t="s">
        <v>15</v>
      </c>
      <c r="G61" s="12" t="n">
        <f aca="false">ROUND(C61*D61*E61,2)</f>
        <v>3</v>
      </c>
      <c r="H61" s="10" t="s">
        <v>16</v>
      </c>
      <c r="I61" s="13" t="n">
        <v>46269</v>
      </c>
    </row>
    <row r="62" customFormat="false" ht="22" hidden="false" customHeight="true" outlineLevel="0" collapsed="false">
      <c r="A62" s="14" t="s">
        <v>70</v>
      </c>
      <c r="B62" s="14" t="s">
        <v>57</v>
      </c>
      <c r="C62" s="15" t="n">
        <v>1</v>
      </c>
      <c r="D62" s="16" t="n">
        <v>1.5</v>
      </c>
      <c r="E62" s="16" t="n">
        <v>2</v>
      </c>
      <c r="F62" s="14" t="s">
        <v>15</v>
      </c>
      <c r="G62" s="16" t="n">
        <f aca="false">ROUND(C62*D62*E62,2)</f>
        <v>3</v>
      </c>
      <c r="H62" s="14" t="s">
        <v>16</v>
      </c>
      <c r="I62" s="17" t="n">
        <v>46269</v>
      </c>
    </row>
    <row r="63" customFormat="false" ht="22" hidden="false" customHeight="true" outlineLevel="0" collapsed="false">
      <c r="A63" s="10" t="s">
        <v>71</v>
      </c>
      <c r="B63" s="10" t="s">
        <v>57</v>
      </c>
      <c r="C63" s="11" t="n">
        <v>1</v>
      </c>
      <c r="D63" s="12" t="n">
        <v>1.5</v>
      </c>
      <c r="E63" s="12" t="n">
        <v>2</v>
      </c>
      <c r="F63" s="10" t="s">
        <v>15</v>
      </c>
      <c r="G63" s="12" t="n">
        <f aca="false">ROUND(C63*D63*E63,2)</f>
        <v>3</v>
      </c>
      <c r="H63" s="10" t="s">
        <v>16</v>
      </c>
      <c r="I63" s="13" t="n">
        <v>46269</v>
      </c>
    </row>
    <row r="64" customFormat="false" ht="22" hidden="false" customHeight="true" outlineLevel="0" collapsed="false">
      <c r="A64" s="14" t="s">
        <v>72</v>
      </c>
      <c r="B64" s="14" t="s">
        <v>57</v>
      </c>
      <c r="C64" s="15" t="n">
        <v>1</v>
      </c>
      <c r="D64" s="16" t="n">
        <v>1.5</v>
      </c>
      <c r="E64" s="16" t="n">
        <v>2</v>
      </c>
      <c r="F64" s="14" t="s">
        <v>15</v>
      </c>
      <c r="G64" s="16" t="n">
        <f aca="false">ROUND(C64*D64*E64,2)</f>
        <v>3</v>
      </c>
      <c r="H64" s="14" t="s">
        <v>16</v>
      </c>
      <c r="I64" s="17" t="n">
        <v>46269</v>
      </c>
    </row>
    <row r="65" customFormat="false" ht="22" hidden="false" customHeight="true" outlineLevel="0" collapsed="false">
      <c r="A65" s="10" t="s">
        <v>73</v>
      </c>
      <c r="B65" s="10" t="s">
        <v>57</v>
      </c>
      <c r="C65" s="11" t="n">
        <v>1</v>
      </c>
      <c r="D65" s="12" t="n">
        <v>1.5</v>
      </c>
      <c r="E65" s="12" t="n">
        <v>2</v>
      </c>
      <c r="F65" s="10" t="s">
        <v>15</v>
      </c>
      <c r="G65" s="12" t="n">
        <f aca="false">ROUND(C65*D65*E65,2)</f>
        <v>3</v>
      </c>
      <c r="H65" s="10" t="s">
        <v>16</v>
      </c>
      <c r="I65" s="13" t="n">
        <v>46269</v>
      </c>
    </row>
    <row r="66" customFormat="false" ht="22" hidden="false" customHeight="true" outlineLevel="0" collapsed="false">
      <c r="A66" s="14" t="s">
        <v>74</v>
      </c>
      <c r="B66" s="14" t="s">
        <v>57</v>
      </c>
      <c r="C66" s="15" t="n">
        <v>1</v>
      </c>
      <c r="D66" s="16" t="n">
        <v>1.5</v>
      </c>
      <c r="E66" s="16" t="n">
        <v>2</v>
      </c>
      <c r="F66" s="14" t="s">
        <v>15</v>
      </c>
      <c r="G66" s="16" t="n">
        <f aca="false">ROUND(C66*D66*E66,2)</f>
        <v>3</v>
      </c>
      <c r="H66" s="14" t="s">
        <v>16</v>
      </c>
      <c r="I66" s="17" t="n">
        <v>46269</v>
      </c>
    </row>
    <row r="67" customFormat="false" ht="22" hidden="false" customHeight="true" outlineLevel="0" collapsed="false">
      <c r="A67" s="10" t="s">
        <v>75</v>
      </c>
      <c r="B67" s="10" t="s">
        <v>57</v>
      </c>
      <c r="C67" s="11" t="n">
        <v>1</v>
      </c>
      <c r="D67" s="12" t="n">
        <v>1.5</v>
      </c>
      <c r="E67" s="12" t="n">
        <v>2</v>
      </c>
      <c r="F67" s="10" t="s">
        <v>15</v>
      </c>
      <c r="G67" s="12" t="n">
        <f aca="false">ROUND(C67*D67*E67,2)</f>
        <v>3</v>
      </c>
      <c r="H67" s="10" t="s">
        <v>16</v>
      </c>
      <c r="I67" s="13" t="n">
        <v>46269</v>
      </c>
    </row>
    <row r="68" customFormat="false" ht="22" hidden="false" customHeight="true" outlineLevel="0" collapsed="false">
      <c r="A68" s="14" t="s">
        <v>76</v>
      </c>
      <c r="B68" s="14" t="s">
        <v>57</v>
      </c>
      <c r="C68" s="15" t="n">
        <v>1</v>
      </c>
      <c r="D68" s="16" t="n">
        <v>1.5</v>
      </c>
      <c r="E68" s="16" t="n">
        <v>2</v>
      </c>
      <c r="F68" s="14" t="s">
        <v>15</v>
      </c>
      <c r="G68" s="16" t="n">
        <f aca="false">ROUND(C68*D68*E68,2)</f>
        <v>3</v>
      </c>
      <c r="H68" s="14" t="s">
        <v>16</v>
      </c>
      <c r="I68" s="17" t="n">
        <v>46269</v>
      </c>
    </row>
    <row r="69" customFormat="false" ht="22" hidden="false" customHeight="true" outlineLevel="0" collapsed="false">
      <c r="A69" s="10" t="s">
        <v>77</v>
      </c>
      <c r="B69" s="10" t="s">
        <v>57</v>
      </c>
      <c r="C69" s="11" t="n">
        <v>1</v>
      </c>
      <c r="D69" s="12" t="n">
        <v>1.5</v>
      </c>
      <c r="E69" s="12" t="n">
        <v>2</v>
      </c>
      <c r="F69" s="10" t="s">
        <v>15</v>
      </c>
      <c r="G69" s="12" t="n">
        <f aca="false">ROUND(C69*D69*E69,2)</f>
        <v>3</v>
      </c>
      <c r="H69" s="10" t="s">
        <v>16</v>
      </c>
      <c r="I69" s="13" t="n">
        <v>46269</v>
      </c>
    </row>
    <row r="70" customFormat="false" ht="22" hidden="false" customHeight="true" outlineLevel="0" collapsed="false">
      <c r="A70" s="14" t="s">
        <v>78</v>
      </c>
      <c r="B70" s="14" t="s">
        <v>57</v>
      </c>
      <c r="C70" s="15" t="n">
        <v>1</v>
      </c>
      <c r="D70" s="16" t="n">
        <v>1.5</v>
      </c>
      <c r="E70" s="16" t="n">
        <v>2</v>
      </c>
      <c r="F70" s="14" t="s">
        <v>15</v>
      </c>
      <c r="G70" s="16" t="n">
        <f aca="false">ROUND(C70*D70*E70,2)</f>
        <v>3</v>
      </c>
      <c r="H70" s="14" t="s">
        <v>16</v>
      </c>
      <c r="I70" s="17" t="n">
        <v>46269</v>
      </c>
    </row>
    <row r="71" customFormat="false" ht="22" hidden="false" customHeight="true" outlineLevel="0" collapsed="false">
      <c r="A71" s="10" t="s">
        <v>79</v>
      </c>
      <c r="B71" s="10" t="s">
        <v>57</v>
      </c>
      <c r="C71" s="11" t="n">
        <v>1</v>
      </c>
      <c r="D71" s="12" t="n">
        <v>1.5</v>
      </c>
      <c r="E71" s="12" t="n">
        <v>2</v>
      </c>
      <c r="F71" s="10" t="s">
        <v>15</v>
      </c>
      <c r="G71" s="12" t="n">
        <f aca="false">ROUND(C71*D71*E71,2)</f>
        <v>3</v>
      </c>
      <c r="H71" s="10" t="s">
        <v>16</v>
      </c>
      <c r="I71" s="13" t="n">
        <v>46269</v>
      </c>
    </row>
    <row r="72" customFormat="false" ht="22" hidden="false" customHeight="true" outlineLevel="0" collapsed="false">
      <c r="A72" s="14" t="s">
        <v>79</v>
      </c>
      <c r="B72" s="14" t="s">
        <v>57</v>
      </c>
      <c r="C72" s="15" t="n">
        <v>1</v>
      </c>
      <c r="D72" s="16" t="n">
        <v>1.5</v>
      </c>
      <c r="E72" s="16" t="n">
        <v>2</v>
      </c>
      <c r="F72" s="14" t="s">
        <v>15</v>
      </c>
      <c r="G72" s="16" t="n">
        <f aca="false">ROUND(C72*D72*E72,2)</f>
        <v>3</v>
      </c>
      <c r="H72" s="14" t="s">
        <v>16</v>
      </c>
      <c r="I72" s="17" t="n">
        <v>46269</v>
      </c>
    </row>
    <row r="73" customFormat="false" ht="22" hidden="false" customHeight="true" outlineLevel="0" collapsed="false">
      <c r="A73" s="10" t="s">
        <v>80</v>
      </c>
      <c r="B73" s="10" t="s">
        <v>81</v>
      </c>
      <c r="C73" s="11" t="n">
        <v>1</v>
      </c>
      <c r="D73" s="12" t="n">
        <v>2</v>
      </c>
      <c r="E73" s="12" t="n">
        <v>2</v>
      </c>
      <c r="F73" s="10" t="s">
        <v>82</v>
      </c>
      <c r="G73" s="12" t="n">
        <f aca="false">ROUND(C73*D73*E73,2)</f>
        <v>4</v>
      </c>
      <c r="H73" s="10" t="s">
        <v>16</v>
      </c>
      <c r="I73" s="13" t="n">
        <v>46269</v>
      </c>
    </row>
    <row r="74" customFormat="false" ht="22" hidden="false" customHeight="true" outlineLevel="0" collapsed="false">
      <c r="A74" s="14" t="s">
        <v>83</v>
      </c>
      <c r="B74" s="14" t="s">
        <v>81</v>
      </c>
      <c r="C74" s="15" t="n">
        <v>1</v>
      </c>
      <c r="D74" s="16" t="n">
        <v>2</v>
      </c>
      <c r="E74" s="16" t="n">
        <v>2</v>
      </c>
      <c r="F74" s="14" t="s">
        <v>82</v>
      </c>
      <c r="G74" s="16" t="n">
        <f aca="false">ROUND(C74*D74*E74,2)</f>
        <v>4</v>
      </c>
      <c r="H74" s="14" t="s">
        <v>16</v>
      </c>
      <c r="I74" s="17" t="n">
        <v>46269</v>
      </c>
    </row>
    <row r="75" customFormat="false" ht="22" hidden="false" customHeight="true" outlineLevel="0" collapsed="false">
      <c r="A75" s="10" t="s">
        <v>84</v>
      </c>
      <c r="B75" s="10" t="s">
        <v>81</v>
      </c>
      <c r="C75" s="11" t="n">
        <v>1</v>
      </c>
      <c r="D75" s="12" t="n">
        <v>2</v>
      </c>
      <c r="E75" s="12" t="n">
        <v>2</v>
      </c>
      <c r="F75" s="10" t="s">
        <v>82</v>
      </c>
      <c r="G75" s="12" t="n">
        <f aca="false">ROUND(C75*D75*E75,2)</f>
        <v>4</v>
      </c>
      <c r="H75" s="10" t="s">
        <v>16</v>
      </c>
      <c r="I75" s="13" t="n">
        <v>46269</v>
      </c>
    </row>
    <row r="76" customFormat="false" ht="22" hidden="false" customHeight="true" outlineLevel="0" collapsed="false">
      <c r="A76" s="14" t="s">
        <v>85</v>
      </c>
      <c r="B76" s="14" t="s">
        <v>81</v>
      </c>
      <c r="C76" s="15" t="n">
        <v>1</v>
      </c>
      <c r="D76" s="16" t="n">
        <v>2</v>
      </c>
      <c r="E76" s="16" t="n">
        <v>2</v>
      </c>
      <c r="F76" s="14" t="s">
        <v>82</v>
      </c>
      <c r="G76" s="16" t="n">
        <f aca="false">ROUND(C76*D76*E76,2)</f>
        <v>4</v>
      </c>
      <c r="H76" s="14" t="s">
        <v>16</v>
      </c>
      <c r="I76" s="17" t="n">
        <v>46269</v>
      </c>
    </row>
    <row r="77" customFormat="false" ht="22" hidden="false" customHeight="true" outlineLevel="0" collapsed="false">
      <c r="A77" s="10" t="s">
        <v>86</v>
      </c>
      <c r="B77" s="10" t="s">
        <v>81</v>
      </c>
      <c r="C77" s="11" t="n">
        <v>1</v>
      </c>
      <c r="D77" s="12" t="n">
        <v>2</v>
      </c>
      <c r="E77" s="12" t="n">
        <v>2</v>
      </c>
      <c r="F77" s="10" t="s">
        <v>82</v>
      </c>
      <c r="G77" s="12" t="n">
        <f aca="false">ROUND(C77*D77*E77,2)</f>
        <v>4</v>
      </c>
      <c r="H77" s="10" t="s">
        <v>16</v>
      </c>
      <c r="I77" s="13" t="n">
        <v>46269</v>
      </c>
    </row>
    <row r="78" customFormat="false" ht="22" hidden="false" customHeight="true" outlineLevel="0" collapsed="false">
      <c r="A78" s="14" t="s">
        <v>87</v>
      </c>
      <c r="B78" s="14" t="s">
        <v>81</v>
      </c>
      <c r="C78" s="15" t="n">
        <v>1</v>
      </c>
      <c r="D78" s="16" t="n">
        <v>2</v>
      </c>
      <c r="E78" s="16" t="n">
        <v>2</v>
      </c>
      <c r="F78" s="14" t="s">
        <v>82</v>
      </c>
      <c r="G78" s="16" t="n">
        <f aca="false">ROUND(C78*D78*E78,2)</f>
        <v>4</v>
      </c>
      <c r="H78" s="14" t="s">
        <v>16</v>
      </c>
      <c r="I78" s="17" t="n">
        <v>46269</v>
      </c>
    </row>
    <row r="79" customFormat="false" ht="22" hidden="false" customHeight="true" outlineLevel="0" collapsed="false">
      <c r="A79" s="10" t="s">
        <v>88</v>
      </c>
      <c r="B79" s="10" t="s">
        <v>81</v>
      </c>
      <c r="C79" s="11" t="n">
        <v>1</v>
      </c>
      <c r="D79" s="12" t="n">
        <v>2</v>
      </c>
      <c r="E79" s="12" t="n">
        <v>2</v>
      </c>
      <c r="F79" s="10" t="s">
        <v>82</v>
      </c>
      <c r="G79" s="12" t="n">
        <f aca="false">ROUND(C79*D79*E79,2)</f>
        <v>4</v>
      </c>
      <c r="H79" s="10" t="s">
        <v>16</v>
      </c>
      <c r="I79" s="13" t="n">
        <v>46269</v>
      </c>
    </row>
    <row r="80" customFormat="false" ht="22" hidden="false" customHeight="true" outlineLevel="0" collapsed="false">
      <c r="A80" s="14" t="s">
        <v>89</v>
      </c>
      <c r="B80" s="14" t="s">
        <v>81</v>
      </c>
      <c r="C80" s="15" t="n">
        <v>1</v>
      </c>
      <c r="D80" s="16" t="n">
        <v>2</v>
      </c>
      <c r="E80" s="16" t="n">
        <v>2</v>
      </c>
      <c r="F80" s="14" t="s">
        <v>82</v>
      </c>
      <c r="G80" s="16" t="n">
        <f aca="false">ROUND(C80*D80*E80,2)</f>
        <v>4</v>
      </c>
      <c r="H80" s="14" t="s">
        <v>16</v>
      </c>
      <c r="I80" s="17" t="n">
        <v>46269</v>
      </c>
    </row>
    <row r="81" customFormat="false" ht="22" hidden="false" customHeight="true" outlineLevel="0" collapsed="false">
      <c r="A81" s="10" t="s">
        <v>90</v>
      </c>
      <c r="B81" s="10" t="s">
        <v>81</v>
      </c>
      <c r="C81" s="11" t="n">
        <v>1</v>
      </c>
      <c r="D81" s="12" t="n">
        <v>2</v>
      </c>
      <c r="E81" s="12" t="n">
        <v>2</v>
      </c>
      <c r="F81" s="10" t="s">
        <v>82</v>
      </c>
      <c r="G81" s="12" t="n">
        <f aca="false">ROUND(C81*D81*E81,2)</f>
        <v>4</v>
      </c>
      <c r="H81" s="10" t="s">
        <v>16</v>
      </c>
      <c r="I81" s="13" t="n">
        <v>46269</v>
      </c>
    </row>
    <row r="82" customFormat="false" ht="22" hidden="false" customHeight="true" outlineLevel="0" collapsed="false">
      <c r="A82" s="14" t="s">
        <v>91</v>
      </c>
      <c r="B82" s="14" t="s">
        <v>81</v>
      </c>
      <c r="C82" s="15" t="n">
        <v>1</v>
      </c>
      <c r="D82" s="16" t="n">
        <v>2</v>
      </c>
      <c r="E82" s="16" t="n">
        <v>2</v>
      </c>
      <c r="F82" s="14" t="s">
        <v>82</v>
      </c>
      <c r="G82" s="16" t="n">
        <f aca="false">ROUND(C82*D82*E82,2)</f>
        <v>4</v>
      </c>
      <c r="H82" s="14" t="s">
        <v>16</v>
      </c>
      <c r="I82" s="17" t="n">
        <v>46269</v>
      </c>
    </row>
    <row r="83" customFormat="false" ht="22" hidden="false" customHeight="true" outlineLevel="0" collapsed="false">
      <c r="A83" s="10" t="s">
        <v>92</v>
      </c>
      <c r="B83" s="10" t="s">
        <v>81</v>
      </c>
      <c r="C83" s="11" t="n">
        <v>1</v>
      </c>
      <c r="D83" s="12" t="n">
        <v>2</v>
      </c>
      <c r="E83" s="12" t="n">
        <v>2</v>
      </c>
      <c r="F83" s="10" t="s">
        <v>82</v>
      </c>
      <c r="G83" s="12" t="n">
        <f aca="false">ROUND(C83*D83*E83,2)</f>
        <v>4</v>
      </c>
      <c r="H83" s="10" t="s">
        <v>16</v>
      </c>
      <c r="I83" s="13" t="n">
        <v>46269</v>
      </c>
    </row>
    <row r="84" customFormat="false" ht="22" hidden="false" customHeight="true" outlineLevel="0" collapsed="false">
      <c r="A84" s="14" t="s">
        <v>93</v>
      </c>
      <c r="B84" s="14" t="s">
        <v>81</v>
      </c>
      <c r="C84" s="15" t="n">
        <v>1</v>
      </c>
      <c r="D84" s="16" t="n">
        <v>2</v>
      </c>
      <c r="E84" s="16" t="n">
        <v>2</v>
      </c>
      <c r="F84" s="14" t="s">
        <v>82</v>
      </c>
      <c r="G84" s="16" t="n">
        <f aca="false">ROUND(C84*D84*E84,2)</f>
        <v>4</v>
      </c>
      <c r="H84" s="14" t="s">
        <v>16</v>
      </c>
      <c r="I84" s="17" t="n">
        <v>46269</v>
      </c>
    </row>
    <row r="85" customFormat="false" ht="22" hidden="false" customHeight="true" outlineLevel="0" collapsed="false">
      <c r="A85" s="10" t="s">
        <v>94</v>
      </c>
      <c r="B85" s="10" t="s">
        <v>81</v>
      </c>
      <c r="C85" s="11" t="n">
        <v>1</v>
      </c>
      <c r="D85" s="12" t="n">
        <v>2</v>
      </c>
      <c r="E85" s="12" t="n">
        <v>2</v>
      </c>
      <c r="F85" s="10" t="s">
        <v>82</v>
      </c>
      <c r="G85" s="12" t="n">
        <f aca="false">ROUND(C85*D85*E85,2)</f>
        <v>4</v>
      </c>
      <c r="H85" s="10" t="s">
        <v>16</v>
      </c>
      <c r="I85" s="13" t="n">
        <v>46269</v>
      </c>
    </row>
    <row r="86" customFormat="false" ht="22" hidden="false" customHeight="true" outlineLevel="0" collapsed="false">
      <c r="A86" s="14" t="s">
        <v>95</v>
      </c>
      <c r="B86" s="14" t="s">
        <v>81</v>
      </c>
      <c r="C86" s="15" t="n">
        <v>1</v>
      </c>
      <c r="D86" s="16" t="n">
        <v>2</v>
      </c>
      <c r="E86" s="16" t="n">
        <v>2</v>
      </c>
      <c r="F86" s="14" t="s">
        <v>82</v>
      </c>
      <c r="G86" s="16" t="n">
        <f aca="false">ROUND(C86*D86*E86,2)</f>
        <v>4</v>
      </c>
      <c r="H86" s="14" t="s">
        <v>16</v>
      </c>
      <c r="I86" s="17" t="n">
        <v>46269</v>
      </c>
    </row>
    <row r="87" customFormat="false" ht="22" hidden="false" customHeight="true" outlineLevel="0" collapsed="false">
      <c r="A87" s="10" t="s">
        <v>96</v>
      </c>
      <c r="B87" s="10" t="s">
        <v>81</v>
      </c>
      <c r="C87" s="11" t="n">
        <v>1</v>
      </c>
      <c r="D87" s="12" t="n">
        <v>2</v>
      </c>
      <c r="E87" s="12" t="n">
        <v>2</v>
      </c>
      <c r="F87" s="10" t="s">
        <v>82</v>
      </c>
      <c r="G87" s="12" t="n">
        <f aca="false">ROUND(C87*D87*E87,2)</f>
        <v>4</v>
      </c>
      <c r="H87" s="10" t="s">
        <v>16</v>
      </c>
      <c r="I87" s="13" t="n">
        <v>46269</v>
      </c>
    </row>
    <row r="88" customFormat="false" ht="22" hidden="false" customHeight="true" outlineLevel="0" collapsed="false">
      <c r="A88" s="14" t="s">
        <v>97</v>
      </c>
      <c r="B88" s="14" t="s">
        <v>81</v>
      </c>
      <c r="C88" s="15" t="n">
        <v>1</v>
      </c>
      <c r="D88" s="16" t="n">
        <v>2</v>
      </c>
      <c r="E88" s="16" t="n">
        <v>2</v>
      </c>
      <c r="F88" s="14" t="s">
        <v>82</v>
      </c>
      <c r="G88" s="16" t="n">
        <f aca="false">ROUND(C88*D88*E88,2)</f>
        <v>4</v>
      </c>
      <c r="H88" s="14" t="s">
        <v>16</v>
      </c>
      <c r="I88" s="17" t="n">
        <v>46269</v>
      </c>
    </row>
    <row r="89" customFormat="false" ht="22" hidden="false" customHeight="true" outlineLevel="0" collapsed="false">
      <c r="A89" s="10" t="s">
        <v>98</v>
      </c>
      <c r="B89" s="10" t="s">
        <v>81</v>
      </c>
      <c r="C89" s="11" t="n">
        <v>1</v>
      </c>
      <c r="D89" s="12" t="n">
        <v>2</v>
      </c>
      <c r="E89" s="12" t="n">
        <v>2</v>
      </c>
      <c r="F89" s="10" t="s">
        <v>82</v>
      </c>
      <c r="G89" s="12" t="n">
        <f aca="false">ROUND(C89*D89*E89,2)</f>
        <v>4</v>
      </c>
      <c r="H89" s="10" t="s">
        <v>16</v>
      </c>
      <c r="I89" s="13" t="n">
        <v>46269</v>
      </c>
    </row>
    <row r="90" customFormat="false" ht="22" hidden="false" customHeight="true" outlineLevel="0" collapsed="false">
      <c r="A90" s="14" t="s">
        <v>99</v>
      </c>
      <c r="B90" s="14" t="s">
        <v>81</v>
      </c>
      <c r="C90" s="15" t="n">
        <v>1</v>
      </c>
      <c r="D90" s="16" t="n">
        <v>2</v>
      </c>
      <c r="E90" s="16" t="n">
        <v>2</v>
      </c>
      <c r="F90" s="14" t="s">
        <v>82</v>
      </c>
      <c r="G90" s="16" t="n">
        <f aca="false">ROUND(C90*D90*E90,2)</f>
        <v>4</v>
      </c>
      <c r="H90" s="14" t="s">
        <v>16</v>
      </c>
      <c r="I90" s="17" t="n">
        <v>46269</v>
      </c>
    </row>
    <row r="91" customFormat="false" ht="22" hidden="false" customHeight="true" outlineLevel="0" collapsed="false">
      <c r="A91" s="10" t="s">
        <v>100</v>
      </c>
      <c r="B91" s="10" t="s">
        <v>101</v>
      </c>
      <c r="C91" s="11" t="n">
        <v>1</v>
      </c>
      <c r="D91" s="12" t="n">
        <v>1</v>
      </c>
      <c r="E91" s="12" t="n">
        <v>1.5</v>
      </c>
      <c r="F91" s="10" t="s">
        <v>15</v>
      </c>
      <c r="G91" s="12" t="n">
        <f aca="false">ROUND(C91*D91*E91,2)</f>
        <v>1.5</v>
      </c>
      <c r="H91" s="10" t="s">
        <v>16</v>
      </c>
      <c r="I91" s="13" t="n">
        <v>46269</v>
      </c>
    </row>
    <row r="92" customFormat="false" ht="22" hidden="false" customHeight="true" outlineLevel="0" collapsed="false">
      <c r="A92" s="14" t="s">
        <v>102</v>
      </c>
      <c r="B92" s="14" t="s">
        <v>101</v>
      </c>
      <c r="C92" s="15" t="n">
        <v>1</v>
      </c>
      <c r="D92" s="16" t="n">
        <v>1</v>
      </c>
      <c r="E92" s="16" t="n">
        <v>1.5</v>
      </c>
      <c r="F92" s="14" t="s">
        <v>15</v>
      </c>
      <c r="G92" s="16" t="n">
        <f aca="false">ROUND(C92*D92*E92,2)</f>
        <v>1.5</v>
      </c>
      <c r="H92" s="14" t="s">
        <v>16</v>
      </c>
      <c r="I92" s="17" t="n">
        <v>46269</v>
      </c>
    </row>
    <row r="93" customFormat="false" ht="22" hidden="false" customHeight="true" outlineLevel="0" collapsed="false">
      <c r="A93" s="10" t="s">
        <v>103</v>
      </c>
      <c r="B93" s="10" t="s">
        <v>101</v>
      </c>
      <c r="C93" s="11" t="n">
        <v>1</v>
      </c>
      <c r="D93" s="12" t="n">
        <v>1</v>
      </c>
      <c r="E93" s="12" t="n">
        <v>1.5</v>
      </c>
      <c r="F93" s="10" t="s">
        <v>15</v>
      </c>
      <c r="G93" s="12" t="n">
        <f aca="false">ROUND(C93*D93*E93,2)</f>
        <v>1.5</v>
      </c>
      <c r="H93" s="10" t="s">
        <v>16</v>
      </c>
      <c r="I93" s="13" t="n">
        <v>46269</v>
      </c>
    </row>
    <row r="94" customFormat="false" ht="22" hidden="false" customHeight="true" outlineLevel="0" collapsed="false">
      <c r="A94" s="14" t="s">
        <v>104</v>
      </c>
      <c r="B94" s="14" t="s">
        <v>101</v>
      </c>
      <c r="C94" s="15" t="n">
        <v>1</v>
      </c>
      <c r="D94" s="16" t="n">
        <v>1</v>
      </c>
      <c r="E94" s="16" t="n">
        <v>1.5</v>
      </c>
      <c r="F94" s="14" t="s">
        <v>15</v>
      </c>
      <c r="G94" s="16" t="n">
        <f aca="false">ROUND(C94*D94*E94,2)</f>
        <v>1.5</v>
      </c>
      <c r="H94" s="14" t="s">
        <v>16</v>
      </c>
      <c r="I94" s="17" t="n">
        <v>46269</v>
      </c>
    </row>
    <row r="95" customFormat="false" ht="22" hidden="false" customHeight="true" outlineLevel="0" collapsed="false">
      <c r="A95" s="10" t="s">
        <v>105</v>
      </c>
      <c r="B95" s="10" t="s">
        <v>101</v>
      </c>
      <c r="C95" s="11" t="n">
        <v>1</v>
      </c>
      <c r="D95" s="12" t="n">
        <v>1</v>
      </c>
      <c r="E95" s="12" t="n">
        <v>1.5</v>
      </c>
      <c r="F95" s="10" t="s">
        <v>15</v>
      </c>
      <c r="G95" s="12" t="n">
        <f aca="false">ROUND(C95*D95*E95,2)</f>
        <v>1.5</v>
      </c>
      <c r="H95" s="10" t="s">
        <v>16</v>
      </c>
      <c r="I95" s="13" t="n">
        <v>46269</v>
      </c>
    </row>
    <row r="96" customFormat="false" ht="22" hidden="false" customHeight="true" outlineLevel="0" collapsed="false">
      <c r="A96" s="14" t="s">
        <v>106</v>
      </c>
      <c r="B96" s="14" t="s">
        <v>101</v>
      </c>
      <c r="C96" s="15" t="n">
        <v>1</v>
      </c>
      <c r="D96" s="16" t="n">
        <v>1</v>
      </c>
      <c r="E96" s="16" t="n">
        <v>1.5</v>
      </c>
      <c r="F96" s="14" t="s">
        <v>15</v>
      </c>
      <c r="G96" s="16" t="n">
        <f aca="false">ROUND(C96*D96*E96,2)</f>
        <v>1.5</v>
      </c>
      <c r="H96" s="14" t="s">
        <v>16</v>
      </c>
      <c r="I96" s="17" t="n">
        <v>46269</v>
      </c>
    </row>
    <row r="97" customFormat="false" ht="22" hidden="false" customHeight="true" outlineLevel="0" collapsed="false">
      <c r="A97" s="10" t="s">
        <v>107</v>
      </c>
      <c r="B97" s="10" t="s">
        <v>101</v>
      </c>
      <c r="C97" s="11" t="n">
        <v>1</v>
      </c>
      <c r="D97" s="12" t="n">
        <v>1</v>
      </c>
      <c r="E97" s="12" t="n">
        <v>1.5</v>
      </c>
      <c r="F97" s="10" t="s">
        <v>15</v>
      </c>
      <c r="G97" s="12" t="n">
        <f aca="false">ROUND(C97*D97*E97,2)</f>
        <v>1.5</v>
      </c>
      <c r="H97" s="10" t="s">
        <v>16</v>
      </c>
      <c r="I97" s="13" t="n">
        <v>46269</v>
      </c>
    </row>
    <row r="98" customFormat="false" ht="22" hidden="false" customHeight="true" outlineLevel="0" collapsed="false">
      <c r="A98" s="14" t="s">
        <v>108</v>
      </c>
      <c r="B98" s="14" t="s">
        <v>101</v>
      </c>
      <c r="C98" s="15" t="n">
        <v>1</v>
      </c>
      <c r="D98" s="16" t="n">
        <v>1</v>
      </c>
      <c r="E98" s="16" t="n">
        <v>1.5</v>
      </c>
      <c r="F98" s="14" t="s">
        <v>15</v>
      </c>
      <c r="G98" s="16" t="n">
        <f aca="false">ROUND(C98*D98*E98,2)</f>
        <v>1.5</v>
      </c>
      <c r="H98" s="14" t="s">
        <v>16</v>
      </c>
      <c r="I98" s="17" t="n">
        <v>46269</v>
      </c>
    </row>
    <row r="99" customFormat="false" ht="22" hidden="false" customHeight="true" outlineLevel="0" collapsed="false">
      <c r="A99" s="10" t="s">
        <v>109</v>
      </c>
      <c r="B99" s="10" t="s">
        <v>101</v>
      </c>
      <c r="C99" s="11" t="n">
        <v>1</v>
      </c>
      <c r="D99" s="12" t="n">
        <v>1</v>
      </c>
      <c r="E99" s="12" t="n">
        <v>1.5</v>
      </c>
      <c r="F99" s="10" t="s">
        <v>15</v>
      </c>
      <c r="G99" s="12" t="n">
        <f aca="false">ROUND(C99*D99*E99,2)</f>
        <v>1.5</v>
      </c>
      <c r="H99" s="10" t="s">
        <v>16</v>
      </c>
      <c r="I99" s="13" t="n">
        <v>46269</v>
      </c>
    </row>
    <row r="100" customFormat="false" ht="22" hidden="false" customHeight="true" outlineLevel="0" collapsed="false">
      <c r="A100" s="14" t="s">
        <v>110</v>
      </c>
      <c r="B100" s="14" t="s">
        <v>101</v>
      </c>
      <c r="C100" s="15" t="n">
        <v>1</v>
      </c>
      <c r="D100" s="16" t="n">
        <v>1</v>
      </c>
      <c r="E100" s="16" t="n">
        <v>1.5</v>
      </c>
      <c r="F100" s="14" t="s">
        <v>15</v>
      </c>
      <c r="G100" s="16" t="n">
        <f aca="false">ROUND(C100*D100*E100,2)</f>
        <v>1.5</v>
      </c>
      <c r="H100" s="14" t="s">
        <v>16</v>
      </c>
      <c r="I100" s="17" t="n">
        <v>46269</v>
      </c>
    </row>
    <row r="101" customFormat="false" ht="22" hidden="false" customHeight="true" outlineLevel="0" collapsed="false">
      <c r="A101" s="10" t="s">
        <v>111</v>
      </c>
      <c r="B101" s="10" t="s">
        <v>101</v>
      </c>
      <c r="C101" s="11" t="n">
        <v>1</v>
      </c>
      <c r="D101" s="12" t="n">
        <v>1</v>
      </c>
      <c r="E101" s="12" t="n">
        <v>1.5</v>
      </c>
      <c r="F101" s="10" t="s">
        <v>15</v>
      </c>
      <c r="G101" s="12" t="n">
        <f aca="false">ROUND(C101*D101*E101,2)</f>
        <v>1.5</v>
      </c>
      <c r="H101" s="10" t="s">
        <v>16</v>
      </c>
      <c r="I101" s="13" t="n">
        <v>46269</v>
      </c>
    </row>
    <row r="102" customFormat="false" ht="22" hidden="false" customHeight="true" outlineLevel="0" collapsed="false">
      <c r="A102" s="14" t="s">
        <v>112</v>
      </c>
      <c r="B102" s="14" t="s">
        <v>101</v>
      </c>
      <c r="C102" s="15" t="n">
        <v>1</v>
      </c>
      <c r="D102" s="16" t="n">
        <v>1</v>
      </c>
      <c r="E102" s="16" t="n">
        <v>1.5</v>
      </c>
      <c r="F102" s="14" t="s">
        <v>15</v>
      </c>
      <c r="G102" s="16" t="n">
        <f aca="false">ROUND(C102*D102*E102,2)</f>
        <v>1.5</v>
      </c>
      <c r="H102" s="14" t="s">
        <v>16</v>
      </c>
      <c r="I102" s="17" t="n">
        <v>46269</v>
      </c>
    </row>
    <row r="103" customFormat="false" ht="22" hidden="false" customHeight="true" outlineLevel="0" collapsed="false">
      <c r="A103" s="10" t="s">
        <v>113</v>
      </c>
      <c r="B103" s="10" t="s">
        <v>101</v>
      </c>
      <c r="C103" s="11" t="n">
        <v>1</v>
      </c>
      <c r="D103" s="12" t="n">
        <v>1</v>
      </c>
      <c r="E103" s="12" t="n">
        <v>1.5</v>
      </c>
      <c r="F103" s="10" t="s">
        <v>15</v>
      </c>
      <c r="G103" s="12" t="n">
        <f aca="false">ROUND(C103*D103*E103,2)</f>
        <v>1.5</v>
      </c>
      <c r="H103" s="10" t="s">
        <v>16</v>
      </c>
      <c r="I103" s="13" t="n">
        <v>46269</v>
      </c>
    </row>
    <row r="104" customFormat="false" ht="22" hidden="false" customHeight="true" outlineLevel="0" collapsed="false">
      <c r="A104" s="14" t="s">
        <v>114</v>
      </c>
      <c r="B104" s="14" t="s">
        <v>101</v>
      </c>
      <c r="C104" s="15" t="n">
        <v>1</v>
      </c>
      <c r="D104" s="16" t="n">
        <v>1</v>
      </c>
      <c r="E104" s="16" t="n">
        <v>1.5</v>
      </c>
      <c r="F104" s="14" t="s">
        <v>15</v>
      </c>
      <c r="G104" s="16" t="n">
        <f aca="false">ROUND(C104*D104*E104,2)</f>
        <v>1.5</v>
      </c>
      <c r="H104" s="14" t="s">
        <v>16</v>
      </c>
      <c r="I104" s="17" t="n">
        <v>46269</v>
      </c>
    </row>
    <row r="105" customFormat="false" ht="22" hidden="false" customHeight="true" outlineLevel="0" collapsed="false">
      <c r="A105" s="10" t="s">
        <v>115</v>
      </c>
      <c r="B105" s="10" t="s">
        <v>101</v>
      </c>
      <c r="C105" s="11" t="n">
        <v>1</v>
      </c>
      <c r="D105" s="12" t="n">
        <v>1</v>
      </c>
      <c r="E105" s="12" t="n">
        <v>1.5</v>
      </c>
      <c r="F105" s="10" t="s">
        <v>15</v>
      </c>
      <c r="G105" s="12" t="n">
        <f aca="false">ROUND(C105*D105*E105,2)</f>
        <v>1.5</v>
      </c>
      <c r="H105" s="10" t="s">
        <v>16</v>
      </c>
      <c r="I105" s="13" t="n">
        <v>46269</v>
      </c>
    </row>
    <row r="106" customFormat="false" ht="22" hidden="false" customHeight="true" outlineLevel="0" collapsed="false">
      <c r="A106" s="14" t="s">
        <v>116</v>
      </c>
      <c r="B106" s="14" t="s">
        <v>101</v>
      </c>
      <c r="C106" s="15" t="n">
        <v>1</v>
      </c>
      <c r="D106" s="16" t="n">
        <v>1</v>
      </c>
      <c r="E106" s="16" t="n">
        <v>1.5</v>
      </c>
      <c r="F106" s="14" t="s">
        <v>15</v>
      </c>
      <c r="G106" s="16" t="n">
        <f aca="false">ROUND(C106*D106*E106,2)</f>
        <v>1.5</v>
      </c>
      <c r="H106" s="14" t="s">
        <v>16</v>
      </c>
      <c r="I106" s="17" t="n">
        <v>46269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2026-10-06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1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21"/>
  </cols>
  <sheetData>
    <row r="1" customFormat="false" ht="34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118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9" hidden="false" customHeight="true" outlineLevel="0" collapsed="false">
      <c r="A5" s="6" t="n">
        <v>24</v>
      </c>
      <c r="B5" s="6"/>
      <c r="C5" s="6"/>
      <c r="D5" s="6"/>
      <c r="E5" s="6"/>
      <c r="F5" s="6"/>
      <c r="G5" s="6"/>
      <c r="H5" s="6"/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9" t="s">
        <v>119</v>
      </c>
      <c r="B8" s="9" t="s">
        <v>120</v>
      </c>
      <c r="C8" s="9" t="s">
        <v>121</v>
      </c>
      <c r="D8" s="9" t="s">
        <v>122</v>
      </c>
      <c r="E8" s="9" t="s">
        <v>123</v>
      </c>
      <c r="F8" s="9" t="s">
        <v>124</v>
      </c>
      <c r="G8" s="9" t="s">
        <v>125</v>
      </c>
      <c r="H8" s="9" t="s">
        <v>126</v>
      </c>
      <c r="I8" s="9" t="s">
        <v>127</v>
      </c>
    </row>
    <row r="9" customFormat="false" ht="22" hidden="false" customHeight="true" outlineLevel="0" collapsed="false">
      <c r="A9" s="10" t="s">
        <v>128</v>
      </c>
      <c r="B9" s="10" t="s">
        <v>129</v>
      </c>
      <c r="C9" s="10" t="s">
        <v>130</v>
      </c>
      <c r="D9" s="18" t="n">
        <v>240</v>
      </c>
      <c r="E9" s="18" t="n">
        <v>315</v>
      </c>
      <c r="F9" s="18" t="n">
        <v>75600</v>
      </c>
      <c r="G9" s="12" t="n">
        <f aca="false">ROUND(D9*E9,2)</f>
        <v>75600</v>
      </c>
      <c r="H9" s="19" t="n">
        <v>0</v>
      </c>
      <c r="I9" s="12" t="n">
        <f aca="false">ROUND(G9*(1-H9),2)</f>
        <v>75600</v>
      </c>
    </row>
    <row r="10" customFormat="false" ht="22" hidden="false" customHeight="true" outlineLevel="0" collapsed="false">
      <c r="A10" s="14" t="s">
        <v>128</v>
      </c>
      <c r="B10" s="14" t="s">
        <v>131</v>
      </c>
      <c r="C10" s="14" t="s">
        <v>132</v>
      </c>
      <c r="D10" s="20" t="n">
        <v>18</v>
      </c>
      <c r="E10" s="20" t="n">
        <v>1900</v>
      </c>
      <c r="F10" s="20" t="n">
        <v>34200</v>
      </c>
      <c r="G10" s="16" t="n">
        <f aca="false">ROUND(D10*E10,2)</f>
        <v>34200</v>
      </c>
      <c r="H10" s="21" t="n">
        <v>0</v>
      </c>
      <c r="I10" s="16" t="n">
        <f aca="false">ROUND(G10*(1-H10),2)</f>
        <v>34200</v>
      </c>
    </row>
    <row r="11" customFormat="false" ht="22" hidden="false" customHeight="true" outlineLevel="0" collapsed="false">
      <c r="A11" s="10" t="s">
        <v>128</v>
      </c>
      <c r="B11" s="10" t="s">
        <v>133</v>
      </c>
      <c r="C11" s="10" t="s">
        <v>130</v>
      </c>
      <c r="D11" s="18" t="n">
        <v>120</v>
      </c>
      <c r="E11" s="18" t="n">
        <v>680</v>
      </c>
      <c r="F11" s="18" t="n">
        <v>81600</v>
      </c>
      <c r="G11" s="12" t="n">
        <f aca="false">ROUND(D11*E11,2)</f>
        <v>81600</v>
      </c>
      <c r="H11" s="19" t="n">
        <v>0</v>
      </c>
      <c r="I11" s="12" t="n">
        <f aca="false">ROUND(G11*(1-H11),2)</f>
        <v>81600</v>
      </c>
    </row>
    <row r="12" customFormat="false" ht="22" hidden="false" customHeight="true" outlineLevel="0" collapsed="false">
      <c r="A12" s="14" t="s">
        <v>128</v>
      </c>
      <c r="B12" s="14" t="s">
        <v>134</v>
      </c>
      <c r="C12" s="14" t="s">
        <v>132</v>
      </c>
      <c r="D12" s="20" t="n">
        <v>60</v>
      </c>
      <c r="E12" s="20" t="n">
        <v>820</v>
      </c>
      <c r="F12" s="20" t="n">
        <v>49200</v>
      </c>
      <c r="G12" s="16" t="n">
        <f aca="false">ROUND(D12*E12,2)</f>
        <v>49200</v>
      </c>
      <c r="H12" s="21" t="n">
        <v>0</v>
      </c>
      <c r="I12" s="16" t="n">
        <f aca="false">ROUND(G12*(1-H12),2)</f>
        <v>49200</v>
      </c>
    </row>
    <row r="13" customFormat="false" ht="22" hidden="false" customHeight="true" outlineLevel="0" collapsed="false">
      <c r="A13" s="10" t="s">
        <v>128</v>
      </c>
      <c r="B13" s="10" t="s">
        <v>135</v>
      </c>
      <c r="C13" s="10" t="s">
        <v>132</v>
      </c>
      <c r="D13" s="18" t="n">
        <v>24</v>
      </c>
      <c r="E13" s="18" t="n">
        <v>1450</v>
      </c>
      <c r="F13" s="18" t="n">
        <v>34800</v>
      </c>
      <c r="G13" s="12" t="n">
        <f aca="false">ROUND(D13*E13,2)</f>
        <v>34800</v>
      </c>
      <c r="H13" s="19" t="n">
        <v>0</v>
      </c>
      <c r="I13" s="12" t="n">
        <f aca="false">ROUND(G13*(1-H13),2)</f>
        <v>34800</v>
      </c>
    </row>
    <row r="14" customFormat="false" ht="22" hidden="false" customHeight="true" outlineLevel="0" collapsed="false">
      <c r="A14" s="14" t="s">
        <v>128</v>
      </c>
      <c r="B14" s="14" t="s">
        <v>136</v>
      </c>
      <c r="C14" s="14" t="s">
        <v>137</v>
      </c>
      <c r="D14" s="20" t="n">
        <v>1</v>
      </c>
      <c r="E14" s="20" t="n">
        <v>9800</v>
      </c>
      <c r="F14" s="20" t="n">
        <v>9800</v>
      </c>
      <c r="G14" s="16" t="n">
        <f aca="false">ROUND(D14*E14,2)</f>
        <v>9800</v>
      </c>
      <c r="H14" s="21" t="n">
        <v>0</v>
      </c>
      <c r="I14" s="16" t="n">
        <f aca="false">ROUND(G14*(1-H14),2)</f>
        <v>9800</v>
      </c>
    </row>
    <row r="15" customFormat="false" ht="22" hidden="false" customHeight="true" outlineLevel="0" collapsed="false">
      <c r="A15" s="10" t="s">
        <v>128</v>
      </c>
      <c r="B15" s="10" t="s">
        <v>138</v>
      </c>
      <c r="C15" s="10" t="s">
        <v>132</v>
      </c>
      <c r="D15" s="18" t="n">
        <v>16</v>
      </c>
      <c r="E15" s="18" t="n">
        <v>2150</v>
      </c>
      <c r="F15" s="18" t="n">
        <v>34400</v>
      </c>
      <c r="G15" s="12" t="n">
        <f aca="false">ROUND(D15*E15,2)</f>
        <v>34400</v>
      </c>
      <c r="H15" s="19" t="n">
        <v>0</v>
      </c>
      <c r="I15" s="12" t="n">
        <f aca="false">ROUND(G15*(1-H15),2)</f>
        <v>34400</v>
      </c>
    </row>
    <row r="16" customFormat="false" ht="22" hidden="false" customHeight="true" outlineLevel="0" collapsed="false">
      <c r="A16" s="14" t="s">
        <v>128</v>
      </c>
      <c r="B16" s="14" t="s">
        <v>139</v>
      </c>
      <c r="C16" s="14" t="s">
        <v>140</v>
      </c>
      <c r="D16" s="20" t="n">
        <v>80</v>
      </c>
      <c r="E16" s="20" t="n">
        <v>165</v>
      </c>
      <c r="F16" s="20" t="n">
        <v>13200</v>
      </c>
      <c r="G16" s="16" t="n">
        <f aca="false">ROUND(D16*E16,2)</f>
        <v>13200</v>
      </c>
      <c r="H16" s="21" t="n">
        <v>0</v>
      </c>
      <c r="I16" s="16" t="n">
        <f aca="false">ROUND(G16*(1-H16),2)</f>
        <v>13200</v>
      </c>
    </row>
    <row r="17" customFormat="false" ht="22" hidden="false" customHeight="true" outlineLevel="0" collapsed="false">
      <c r="A17" s="10" t="s">
        <v>141</v>
      </c>
      <c r="B17" s="10" t="s">
        <v>129</v>
      </c>
      <c r="C17" s="10" t="s">
        <v>130</v>
      </c>
      <c r="D17" s="18" t="n">
        <v>240</v>
      </c>
      <c r="E17" s="18" t="n">
        <v>302</v>
      </c>
      <c r="F17" s="18" t="n">
        <v>72480</v>
      </c>
      <c r="G17" s="12" t="n">
        <f aca="false">ROUND(D17*E17,2)</f>
        <v>72480</v>
      </c>
      <c r="H17" s="19" t="n">
        <v>0</v>
      </c>
      <c r="I17" s="12" t="n">
        <f aca="false">ROUND(G17*(1-H17),2)</f>
        <v>72480</v>
      </c>
    </row>
    <row r="18" customFormat="false" ht="22" hidden="false" customHeight="true" outlineLevel="0" collapsed="false">
      <c r="A18" s="14" t="s">
        <v>141</v>
      </c>
      <c r="B18" s="14" t="s">
        <v>131</v>
      </c>
      <c r="C18" s="14" t="s">
        <v>132</v>
      </c>
      <c r="D18" s="20" t="n">
        <v>18</v>
      </c>
      <c r="E18" s="20" t="n">
        <v>1840</v>
      </c>
      <c r="F18" s="20" t="n">
        <v>33120</v>
      </c>
      <c r="G18" s="16" t="n">
        <f aca="false">ROUND(D18*E18,2)</f>
        <v>33120</v>
      </c>
      <c r="H18" s="21" t="n">
        <v>0</v>
      </c>
      <c r="I18" s="16" t="n">
        <f aca="false">ROUND(G18*(1-H18),2)</f>
        <v>33120</v>
      </c>
    </row>
    <row r="19" customFormat="false" ht="22" hidden="false" customHeight="true" outlineLevel="0" collapsed="false">
      <c r="A19" s="10" t="s">
        <v>141</v>
      </c>
      <c r="B19" s="10" t="s">
        <v>133</v>
      </c>
      <c r="C19" s="10" t="s">
        <v>130</v>
      </c>
      <c r="D19" s="18" t="n">
        <v>120</v>
      </c>
      <c r="E19" s="18" t="n">
        <v>645</v>
      </c>
      <c r="F19" s="18" t="n">
        <v>77400</v>
      </c>
      <c r="G19" s="12" t="n">
        <f aca="false">ROUND(D19*E19,2)</f>
        <v>77400</v>
      </c>
      <c r="H19" s="19" t="n">
        <v>0</v>
      </c>
      <c r="I19" s="12" t="n">
        <f aca="false">ROUND(G19*(1-H19),2)</f>
        <v>77400</v>
      </c>
    </row>
    <row r="20" customFormat="false" ht="22" hidden="false" customHeight="true" outlineLevel="0" collapsed="false">
      <c r="A20" s="14" t="s">
        <v>141</v>
      </c>
      <c r="B20" s="14" t="s">
        <v>134</v>
      </c>
      <c r="C20" s="14" t="s">
        <v>132</v>
      </c>
      <c r="D20" s="20" t="n">
        <v>60</v>
      </c>
      <c r="E20" s="20" t="n">
        <v>805</v>
      </c>
      <c r="F20" s="20" t="n">
        <v>48300</v>
      </c>
      <c r="G20" s="16" t="n">
        <f aca="false">ROUND(D20*E20,2)</f>
        <v>48300</v>
      </c>
      <c r="H20" s="21" t="n">
        <v>0</v>
      </c>
      <c r="I20" s="16" t="n">
        <f aca="false">ROUND(G20*(1-H20),2)</f>
        <v>48300</v>
      </c>
    </row>
    <row r="21" customFormat="false" ht="22" hidden="false" customHeight="true" outlineLevel="0" collapsed="false">
      <c r="A21" s="10" t="s">
        <v>141</v>
      </c>
      <c r="B21" s="10" t="s">
        <v>135</v>
      </c>
      <c r="C21" s="10" t="s">
        <v>132</v>
      </c>
      <c r="D21" s="18" t="n">
        <v>24</v>
      </c>
      <c r="E21" s="18" t="n">
        <v>1430</v>
      </c>
      <c r="F21" s="18" t="n">
        <v>34320</v>
      </c>
      <c r="G21" s="12" t="n">
        <f aca="false">ROUND(D21*E21,2)</f>
        <v>34320</v>
      </c>
      <c r="H21" s="19" t="n">
        <v>0</v>
      </c>
      <c r="I21" s="12" t="n">
        <f aca="false">ROUND(G21*(1-H21),2)</f>
        <v>34320</v>
      </c>
    </row>
    <row r="22" customFormat="false" ht="22" hidden="false" customHeight="true" outlineLevel="0" collapsed="false">
      <c r="A22" s="14" t="s">
        <v>141</v>
      </c>
      <c r="B22" s="14" t="s">
        <v>136</v>
      </c>
      <c r="C22" s="14" t="s">
        <v>137</v>
      </c>
      <c r="D22" s="20" t="n">
        <v>1</v>
      </c>
      <c r="E22" s="20" t="n">
        <v>11500</v>
      </c>
      <c r="F22" s="20" t="n">
        <v>11500</v>
      </c>
      <c r="G22" s="16" t="n">
        <f aca="false">ROUND(D22*E22,2)</f>
        <v>11500</v>
      </c>
      <c r="H22" s="21" t="n">
        <v>0</v>
      </c>
      <c r="I22" s="16" t="n">
        <f aca="false">ROUND(G22*(1-H22),2)</f>
        <v>11500</v>
      </c>
    </row>
    <row r="23" customFormat="false" ht="22" hidden="false" customHeight="true" outlineLevel="0" collapsed="false">
      <c r="A23" s="10" t="s">
        <v>141</v>
      </c>
      <c r="B23" s="10" t="s">
        <v>138</v>
      </c>
      <c r="C23" s="10" t="s">
        <v>132</v>
      </c>
      <c r="D23" s="18" t="n">
        <v>16</v>
      </c>
      <c r="E23" s="18" t="n">
        <v>2200</v>
      </c>
      <c r="F23" s="18" t="n">
        <v>35200</v>
      </c>
      <c r="G23" s="12" t="n">
        <f aca="false">ROUND(D23*E23,2)</f>
        <v>35200</v>
      </c>
      <c r="H23" s="19" t="n">
        <v>0</v>
      </c>
      <c r="I23" s="12" t="n">
        <f aca="false">ROUND(G23*(1-H23),2)</f>
        <v>35200</v>
      </c>
    </row>
    <row r="24" customFormat="false" ht="22" hidden="false" customHeight="true" outlineLevel="0" collapsed="false">
      <c r="A24" s="14" t="s">
        <v>141</v>
      </c>
      <c r="B24" s="14" t="s">
        <v>139</v>
      </c>
      <c r="C24" s="14" t="s">
        <v>140</v>
      </c>
      <c r="D24" s="20" t="n">
        <v>80</v>
      </c>
      <c r="E24" s="20" t="n">
        <v>160</v>
      </c>
      <c r="F24" s="20" t="n">
        <v>12800</v>
      </c>
      <c r="G24" s="16" t="n">
        <f aca="false">ROUND(D24*E24,2)</f>
        <v>12800</v>
      </c>
      <c r="H24" s="21" t="n">
        <v>0</v>
      </c>
      <c r="I24" s="16" t="n">
        <f aca="false">ROUND(G24*(1-H24),2)</f>
        <v>12800</v>
      </c>
    </row>
    <row r="25" customFormat="false" ht="22" hidden="false" customHeight="true" outlineLevel="0" collapsed="false">
      <c r="A25" s="10" t="s">
        <v>142</v>
      </c>
      <c r="B25" s="10" t="s">
        <v>129</v>
      </c>
      <c r="C25" s="10" t="s">
        <v>130</v>
      </c>
      <c r="D25" s="18" t="n">
        <v>240</v>
      </c>
      <c r="E25" s="18" t="n">
        <v>328</v>
      </c>
      <c r="F25" s="18" t="n">
        <v>78720</v>
      </c>
      <c r="G25" s="12" t="n">
        <f aca="false">ROUND(D25*E25,2)</f>
        <v>78720</v>
      </c>
      <c r="H25" s="19" t="n">
        <v>0.02</v>
      </c>
      <c r="I25" s="12" t="n">
        <f aca="false">ROUND(G25*(1-H25),2)</f>
        <v>77145.6</v>
      </c>
    </row>
    <row r="26" customFormat="false" ht="22" hidden="false" customHeight="true" outlineLevel="0" collapsed="false">
      <c r="A26" s="14" t="s">
        <v>142</v>
      </c>
      <c r="B26" s="14" t="s">
        <v>131</v>
      </c>
      <c r="C26" s="14" t="s">
        <v>132</v>
      </c>
      <c r="D26" s="20" t="n">
        <v>18</v>
      </c>
      <c r="E26" s="20" t="n">
        <v>1810</v>
      </c>
      <c r="F26" s="20" t="n">
        <v>32580</v>
      </c>
      <c r="G26" s="16" t="n">
        <f aca="false">ROUND(D26*E26,2)</f>
        <v>32580</v>
      </c>
      <c r="H26" s="21" t="n">
        <v>0.02</v>
      </c>
      <c r="I26" s="16" t="n">
        <f aca="false">ROUND(G26*(1-H26),2)</f>
        <v>31928.4</v>
      </c>
    </row>
    <row r="27" customFormat="false" ht="22" hidden="false" customHeight="true" outlineLevel="0" collapsed="false">
      <c r="A27" s="10" t="s">
        <v>142</v>
      </c>
      <c r="B27" s="10" t="s">
        <v>133</v>
      </c>
      <c r="C27" s="10" t="s">
        <v>130</v>
      </c>
      <c r="D27" s="18" t="n">
        <v>120</v>
      </c>
      <c r="E27" s="18" t="n">
        <v>670</v>
      </c>
      <c r="F27" s="18" t="n">
        <v>80400</v>
      </c>
      <c r="G27" s="12" t="n">
        <f aca="false">ROUND(D27*E27,2)</f>
        <v>80400</v>
      </c>
      <c r="H27" s="19" t="n">
        <v>0.02</v>
      </c>
      <c r="I27" s="12" t="n">
        <f aca="false">ROUND(G27*(1-H27),2)</f>
        <v>78792</v>
      </c>
    </row>
    <row r="28" customFormat="false" ht="22" hidden="false" customHeight="true" outlineLevel="0" collapsed="false">
      <c r="A28" s="14" t="s">
        <v>142</v>
      </c>
      <c r="B28" s="14" t="s">
        <v>134</v>
      </c>
      <c r="C28" s="14" t="s">
        <v>132</v>
      </c>
      <c r="D28" s="20" t="n">
        <v>60</v>
      </c>
      <c r="E28" s="20" t="n">
        <v>790</v>
      </c>
      <c r="F28" s="20" t="n">
        <v>47400</v>
      </c>
      <c r="G28" s="16" t="n">
        <f aca="false">ROUND(D28*E28,2)</f>
        <v>47400</v>
      </c>
      <c r="H28" s="21" t="n">
        <v>0.02</v>
      </c>
      <c r="I28" s="16" t="n">
        <f aca="false">ROUND(G28*(1-H28),2)</f>
        <v>46452</v>
      </c>
    </row>
    <row r="29" customFormat="false" ht="22" hidden="false" customHeight="true" outlineLevel="0" collapsed="false">
      <c r="A29" s="10" t="s">
        <v>142</v>
      </c>
      <c r="B29" s="10" t="s">
        <v>135</v>
      </c>
      <c r="C29" s="10" t="s">
        <v>132</v>
      </c>
      <c r="D29" s="18" t="n">
        <v>24</v>
      </c>
      <c r="E29" s="18" t="n">
        <v>1510</v>
      </c>
      <c r="F29" s="18" t="n">
        <v>36240</v>
      </c>
      <c r="G29" s="12" t="n">
        <f aca="false">ROUND(D29*E29,2)</f>
        <v>36240</v>
      </c>
      <c r="H29" s="19" t="n">
        <v>0.02</v>
      </c>
      <c r="I29" s="12" t="n">
        <f aca="false">ROUND(G29*(1-H29),2)</f>
        <v>35515.2</v>
      </c>
    </row>
    <row r="30" customFormat="false" ht="22" hidden="false" customHeight="true" outlineLevel="0" collapsed="false">
      <c r="A30" s="14" t="s">
        <v>142</v>
      </c>
      <c r="B30" s="14" t="s">
        <v>136</v>
      </c>
      <c r="C30" s="14" t="s">
        <v>137</v>
      </c>
      <c r="D30" s="20" t="n">
        <v>1</v>
      </c>
      <c r="E30" s="20" t="n">
        <v>8700</v>
      </c>
      <c r="F30" s="20" t="n">
        <v>8700</v>
      </c>
      <c r="G30" s="16" t="n">
        <f aca="false">ROUND(D30*E30,2)</f>
        <v>8700</v>
      </c>
      <c r="H30" s="21" t="n">
        <v>0.02</v>
      </c>
      <c r="I30" s="16" t="n">
        <f aca="false">ROUND(G30*(1-H30),2)</f>
        <v>8526</v>
      </c>
    </row>
    <row r="31" customFormat="false" ht="22" hidden="false" customHeight="true" outlineLevel="0" collapsed="false">
      <c r="A31" s="10" t="s">
        <v>142</v>
      </c>
      <c r="B31" s="10" t="s">
        <v>138</v>
      </c>
      <c r="C31" s="10" t="s">
        <v>132</v>
      </c>
      <c r="D31" s="18" t="n">
        <v>16</v>
      </c>
      <c r="E31" s="18" t="n">
        <v>2090</v>
      </c>
      <c r="F31" s="18" t="n">
        <v>33000</v>
      </c>
      <c r="G31" s="12" t="n">
        <f aca="false">ROUND(D31*E31,2)</f>
        <v>33440</v>
      </c>
      <c r="H31" s="19" t="n">
        <v>0.02</v>
      </c>
      <c r="I31" s="12" t="n">
        <f aca="false">ROUND(G31*(1-H31),2)</f>
        <v>32771.2</v>
      </c>
    </row>
    <row r="32" customFormat="false" ht="22" hidden="false" customHeight="true" outlineLevel="0" collapsed="false">
      <c r="A32" s="14" t="s">
        <v>142</v>
      </c>
      <c r="B32" s="14" t="s">
        <v>139</v>
      </c>
      <c r="C32" s="14" t="s">
        <v>140</v>
      </c>
      <c r="D32" s="20" t="n">
        <v>80</v>
      </c>
      <c r="E32" s="20" t="n">
        <v>155</v>
      </c>
      <c r="F32" s="20" t="n">
        <v>12400</v>
      </c>
      <c r="G32" s="16" t="n">
        <f aca="false">ROUND(D32*E32,2)</f>
        <v>12400</v>
      </c>
      <c r="H32" s="21" t="n">
        <v>0.02</v>
      </c>
      <c r="I32" s="16" t="n">
        <f aca="false">ROUND(G32*(1-H32),2)</f>
        <v>12152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2026-10-06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33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29"/>
    <col collapsed="false" customWidth="true" hidden="false" outlineLevel="0" max="7" min="7" style="0" width="43"/>
  </cols>
  <sheetData>
    <row r="1" customFormat="false" ht="34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</row>
    <row r="2" customFormat="false" ht="29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29" hidden="false" customHeight="true" outlineLevel="0" collapsed="false">
      <c r="A5" s="6" t="n">
        <v>20</v>
      </c>
      <c r="B5" s="6"/>
      <c r="C5" s="6"/>
      <c r="D5" s="6"/>
      <c r="E5" s="6"/>
      <c r="F5" s="6"/>
      <c r="G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</row>
    <row r="8" customFormat="false" ht="42" hidden="false" customHeight="true" outlineLevel="0" collapsed="false">
      <c r="A8" s="9" t="s">
        <v>145</v>
      </c>
      <c r="B8" s="9" t="s">
        <v>146</v>
      </c>
      <c r="C8" s="9" t="s">
        <v>147</v>
      </c>
      <c r="D8" s="9" t="s">
        <v>148</v>
      </c>
      <c r="E8" s="9" t="s">
        <v>149</v>
      </c>
      <c r="F8" s="9" t="s">
        <v>150</v>
      </c>
      <c r="G8" s="9" t="s">
        <v>151</v>
      </c>
    </row>
    <row r="9" customFormat="false" ht="22" hidden="false" customHeight="true" outlineLevel="0" collapsed="false">
      <c r="A9" s="13" t="n">
        <v>46272</v>
      </c>
      <c r="B9" s="10"/>
      <c r="C9" s="10" t="s">
        <v>152</v>
      </c>
      <c r="D9" s="10" t="s">
        <v>153</v>
      </c>
      <c r="E9" s="10" t="s">
        <v>154</v>
      </c>
      <c r="F9" s="10" t="s">
        <v>155</v>
      </c>
      <c r="G9" s="10" t="s">
        <v>156</v>
      </c>
    </row>
    <row r="10" customFormat="false" ht="34" hidden="false" customHeight="true" outlineLevel="0" collapsed="false">
      <c r="A10" s="17" t="n">
        <v>46287</v>
      </c>
      <c r="B10" s="14" t="s">
        <v>157</v>
      </c>
      <c r="C10" s="14" t="s">
        <v>158</v>
      </c>
      <c r="D10" s="14" t="s">
        <v>153</v>
      </c>
      <c r="E10" s="14" t="s">
        <v>134</v>
      </c>
      <c r="F10" s="14" t="s">
        <v>159</v>
      </c>
      <c r="G10" s="14" t="s">
        <v>160</v>
      </c>
    </row>
    <row r="11" customFormat="false" ht="22" hidden="false" customHeight="true" outlineLevel="0" collapsed="false">
      <c r="A11" s="13" t="n">
        <v>46297</v>
      </c>
      <c r="B11" s="10" t="s">
        <v>161</v>
      </c>
      <c r="C11" s="10" t="s">
        <v>162</v>
      </c>
      <c r="D11" s="10" t="s">
        <v>128</v>
      </c>
      <c r="E11" s="10" t="s">
        <v>163</v>
      </c>
      <c r="F11" s="10" t="s">
        <v>164</v>
      </c>
      <c r="G11" s="10" t="s">
        <v>165</v>
      </c>
    </row>
    <row r="12" customFormat="false" ht="22" hidden="false" customHeight="true" outlineLevel="0" collapsed="false">
      <c r="A12" s="17" t="n">
        <v>46300</v>
      </c>
      <c r="B12" s="14" t="s">
        <v>166</v>
      </c>
      <c r="C12" s="14" t="s">
        <v>162</v>
      </c>
      <c r="D12" s="14" t="s">
        <v>141</v>
      </c>
      <c r="E12" s="14" t="s">
        <v>163</v>
      </c>
      <c r="F12" s="14" t="s">
        <v>164</v>
      </c>
      <c r="G12" s="14" t="s">
        <v>165</v>
      </c>
    </row>
    <row r="13" customFormat="false" ht="22" hidden="false" customHeight="true" outlineLevel="0" collapsed="false">
      <c r="A13" s="13" t="n">
        <v>46300</v>
      </c>
      <c r="B13" s="10" t="s">
        <v>167</v>
      </c>
      <c r="C13" s="10" t="s">
        <v>162</v>
      </c>
      <c r="D13" s="10" t="s">
        <v>142</v>
      </c>
      <c r="E13" s="10" t="s">
        <v>163</v>
      </c>
      <c r="F13" s="10" t="s">
        <v>164</v>
      </c>
      <c r="G13" s="10" t="s">
        <v>165</v>
      </c>
    </row>
    <row r="14" customFormat="false" ht="22" hidden="false" customHeight="true" outlineLevel="0" collapsed="false">
      <c r="A14" s="17" t="n">
        <v>46300</v>
      </c>
      <c r="B14" s="14" t="s">
        <v>168</v>
      </c>
      <c r="C14" s="14" t="s">
        <v>169</v>
      </c>
      <c r="D14" s="14" t="s">
        <v>170</v>
      </c>
      <c r="E14" s="14" t="s">
        <v>171</v>
      </c>
      <c r="F14" s="14" t="s">
        <v>172</v>
      </c>
      <c r="G14" s="14" t="s">
        <v>173</v>
      </c>
    </row>
    <row r="15" customFormat="false" ht="22" hidden="false" customHeight="true" outlineLevel="0" collapsed="false">
      <c r="A15" s="13" t="n">
        <v>46300</v>
      </c>
      <c r="B15" s="10" t="s">
        <v>174</v>
      </c>
      <c r="C15" s="10" t="s">
        <v>175</v>
      </c>
      <c r="D15" s="10" t="s">
        <v>176</v>
      </c>
      <c r="E15" s="10" t="s">
        <v>171</v>
      </c>
      <c r="F15" s="10" t="s">
        <v>177</v>
      </c>
      <c r="G15" s="10" t="s">
        <v>173</v>
      </c>
    </row>
    <row r="16" customFormat="false" ht="22" hidden="false" customHeight="true" outlineLevel="0" collapsed="false">
      <c r="A16" s="17" t="n">
        <v>46300</v>
      </c>
      <c r="B16" s="14" t="s">
        <v>178</v>
      </c>
      <c r="C16" s="14" t="s">
        <v>179</v>
      </c>
      <c r="D16" s="14" t="s">
        <v>180</v>
      </c>
      <c r="E16" s="14" t="s">
        <v>181</v>
      </c>
      <c r="F16" s="14" t="s">
        <v>182</v>
      </c>
      <c r="G16" s="14" t="s">
        <v>173</v>
      </c>
    </row>
    <row r="17" customFormat="false" ht="22" hidden="false" customHeight="true" outlineLevel="0" collapsed="false">
      <c r="A17" s="13" t="n">
        <v>46300</v>
      </c>
      <c r="B17" s="10" t="s">
        <v>183</v>
      </c>
      <c r="C17" s="10" t="s">
        <v>184</v>
      </c>
      <c r="D17" s="10" t="s">
        <v>185</v>
      </c>
      <c r="E17" s="10" t="s">
        <v>186</v>
      </c>
      <c r="F17" s="10" t="s">
        <v>187</v>
      </c>
      <c r="G17" s="10" t="s">
        <v>188</v>
      </c>
    </row>
    <row r="18" customFormat="false" ht="22" hidden="false" customHeight="true" outlineLevel="0" collapsed="false">
      <c r="A18" s="17" t="n">
        <v>46300</v>
      </c>
      <c r="B18" s="14" t="s">
        <v>189</v>
      </c>
      <c r="C18" s="14" t="s">
        <v>190</v>
      </c>
      <c r="D18" s="14" t="s">
        <v>191</v>
      </c>
      <c r="E18" s="14" t="s">
        <v>192</v>
      </c>
      <c r="F18" s="14" t="s">
        <v>193</v>
      </c>
      <c r="G18" s="14" t="s">
        <v>173</v>
      </c>
    </row>
    <row r="19" customFormat="false" ht="22" hidden="false" customHeight="true" outlineLevel="0" collapsed="false">
      <c r="A19" s="13" t="n">
        <v>46300</v>
      </c>
      <c r="B19" s="10" t="s">
        <v>194</v>
      </c>
      <c r="C19" s="10" t="s">
        <v>195</v>
      </c>
      <c r="D19" s="10" t="s">
        <v>196</v>
      </c>
      <c r="E19" s="10" t="s">
        <v>197</v>
      </c>
      <c r="F19" s="10" t="s">
        <v>198</v>
      </c>
      <c r="G19" s="10" t="s">
        <v>173</v>
      </c>
    </row>
    <row r="20" customFormat="false" ht="34" hidden="false" customHeight="true" outlineLevel="0" collapsed="false">
      <c r="A20" s="17" t="n">
        <v>46300</v>
      </c>
      <c r="B20" s="14" t="s">
        <v>199</v>
      </c>
      <c r="C20" s="14" t="s">
        <v>200</v>
      </c>
      <c r="D20" s="14" t="s">
        <v>201</v>
      </c>
      <c r="E20" s="14" t="s">
        <v>202</v>
      </c>
      <c r="F20" s="14" t="s">
        <v>203</v>
      </c>
      <c r="G20" s="14" t="s">
        <v>204</v>
      </c>
    </row>
    <row r="21" customFormat="false" ht="22" hidden="false" customHeight="true" outlineLevel="0" collapsed="false">
      <c r="A21" s="13" t="n">
        <v>46301</v>
      </c>
      <c r="B21" s="10" t="s">
        <v>205</v>
      </c>
      <c r="C21" s="10" t="s">
        <v>206</v>
      </c>
      <c r="D21" s="10" t="s">
        <v>207</v>
      </c>
      <c r="E21" s="10" t="s">
        <v>208</v>
      </c>
      <c r="F21" s="10" t="s">
        <v>209</v>
      </c>
      <c r="G21" s="10" t="s">
        <v>173</v>
      </c>
    </row>
    <row r="22" customFormat="false" ht="22" hidden="false" customHeight="true" outlineLevel="0" collapsed="false">
      <c r="A22" s="17" t="n">
        <v>46301</v>
      </c>
      <c r="B22" s="14" t="s">
        <v>210</v>
      </c>
      <c r="C22" s="14" t="s">
        <v>211</v>
      </c>
      <c r="D22" s="14" t="s">
        <v>153</v>
      </c>
      <c r="E22" s="14" t="s">
        <v>212</v>
      </c>
      <c r="F22" s="14" t="s">
        <v>213</v>
      </c>
      <c r="G22" s="14" t="s">
        <v>173</v>
      </c>
    </row>
    <row r="23" customFormat="false" ht="34" hidden="false" customHeight="true" outlineLevel="0" collapsed="false">
      <c r="A23" s="13" t="n">
        <v>46301</v>
      </c>
      <c r="B23" s="10" t="s">
        <v>214</v>
      </c>
      <c r="C23" s="10" t="s">
        <v>215</v>
      </c>
      <c r="D23" s="10" t="s">
        <v>185</v>
      </c>
      <c r="E23" s="10" t="s">
        <v>216</v>
      </c>
      <c r="F23" s="10" t="s">
        <v>217</v>
      </c>
      <c r="G23" s="10" t="s">
        <v>218</v>
      </c>
    </row>
    <row r="24" customFormat="false" ht="22" hidden="false" customHeight="true" outlineLevel="0" collapsed="false">
      <c r="A24" s="17" t="n">
        <v>46302</v>
      </c>
      <c r="B24" s="14"/>
      <c r="C24" s="14" t="s">
        <v>219</v>
      </c>
      <c r="D24" s="14" t="s">
        <v>201</v>
      </c>
      <c r="E24" s="14" t="s">
        <v>220</v>
      </c>
      <c r="F24" s="14" t="s">
        <v>221</v>
      </c>
      <c r="G24" s="14" t="s">
        <v>204</v>
      </c>
    </row>
    <row r="25" customFormat="false" ht="34" hidden="false" customHeight="true" outlineLevel="0" collapsed="false">
      <c r="A25" s="13" t="n">
        <v>46303</v>
      </c>
      <c r="B25" s="10"/>
      <c r="C25" s="10" t="s">
        <v>222</v>
      </c>
      <c r="D25" s="10" t="s">
        <v>223</v>
      </c>
      <c r="E25" s="10" t="s">
        <v>224</v>
      </c>
      <c r="F25" s="10" t="s">
        <v>225</v>
      </c>
      <c r="G25" s="10" t="s">
        <v>226</v>
      </c>
    </row>
    <row r="26" customFormat="false" ht="22" hidden="false" customHeight="true" outlineLevel="0" collapsed="false">
      <c r="A26" s="17" t="n">
        <v>46359</v>
      </c>
      <c r="B26" s="14"/>
      <c r="C26" s="14" t="s">
        <v>227</v>
      </c>
      <c r="D26" s="14" t="s">
        <v>228</v>
      </c>
      <c r="E26" s="14" t="s">
        <v>229</v>
      </c>
      <c r="F26" s="14" t="s">
        <v>230</v>
      </c>
      <c r="G26" s="14" t="s">
        <v>156</v>
      </c>
    </row>
    <row r="27" customFormat="false" ht="22" hidden="false" customHeight="true" outlineLevel="0" collapsed="false">
      <c r="A27" s="13" t="n">
        <v>46363</v>
      </c>
      <c r="B27" s="10"/>
      <c r="C27" s="10" t="s">
        <v>231</v>
      </c>
      <c r="D27" s="10" t="s">
        <v>232</v>
      </c>
      <c r="E27" s="10" t="s">
        <v>233</v>
      </c>
      <c r="F27" s="10" t="s">
        <v>234</v>
      </c>
      <c r="G27" s="10" t="s">
        <v>235</v>
      </c>
    </row>
    <row r="28" customFormat="false" ht="22" hidden="false" customHeight="true" outlineLevel="0" collapsed="false">
      <c r="A28" s="17" t="n">
        <v>46496</v>
      </c>
      <c r="B28" s="14"/>
      <c r="C28" s="14" t="s">
        <v>236</v>
      </c>
      <c r="D28" s="14" t="s">
        <v>237</v>
      </c>
      <c r="E28" s="14" t="s">
        <v>238</v>
      </c>
      <c r="F28" s="14" t="s">
        <v>239</v>
      </c>
      <c r="G28" s="14" t="s">
        <v>240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2026-10-06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