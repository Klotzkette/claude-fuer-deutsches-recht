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89ac7f089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stand" sheetId="1" r:id="Rc158918a6f274064"/>
  </x:sheets>
  <x:definedNames>
    <x:definedName name="_xlnm.Print_Area" localSheetId="0">'Arbeitsstand'!$A$1:$D$26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bf1d602554703" /><Relationship Type="http://schemas.openxmlformats.org/officeDocument/2006/relationships/theme" Target="/xl/theme/theme1.xml" Id="R7c673cea2ee64823" /><Relationship Type="http://schemas.openxmlformats.org/officeDocument/2006/relationships/sharedStrings" Target="/xl/sharedStrings.xml" Id="Rb5c7a69cc62f49ea" /><Relationship Type="http://schemas.openxmlformats.org/officeDocument/2006/relationships/worksheet" Target="/xl/worksheets/sheet1.xml" Id="Rc158918a6f2740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23" hidden="0" customWidth="1"/>
    <x:col min="4" max="4" width="30" hidden="0" customWidth="1"/>
  </x:cols>
  <x:sheetData>
    <x:row r="1" ht="8" customHeight="1">
      <x:c r="A1" s="2"/>
      <x:c r="B1" s="2"/>
      <x:c r="C1" s="2"/>
      <x:c r="D1" s="2"/>
    </x:row>
    <x:row r="2" ht="28" customHeight="1">
      <x:c r="A2" s="3" t="str">
        <x:v>Mainbogen und der Vorfall in der Übungsleitstelle</x:v>
      </x:c>
      <x:c r="B2" s="2"/>
      <x:c r="C2" s="2"/>
      <x:c r="D2" s="2"/>
    </x:row>
    <x:row r="3" ht="18" customHeight="1">
      <x:c r="A3" s="4" t="str">
        <x:v>Stand 09.10.2026. Blaue Zahlen sind Eingaben, schwarze Zahlen werden berechnet.</x:v>
      </x:c>
      <x:c r="B3" s="2"/>
      <x:c r="C3" s="2"/>
      <x:c r="D3" s="2"/>
    </x:row>
    <x:row r="4" ht="8" customHeight="1">
      <x:c r="A4" s="2"/>
      <x:c r="B4" s="2"/>
      <x:c r="C4" s="2"/>
      <x:c r="D4" s="2"/>
    </x:row>
    <x:row r="5" ht="30" customHeight="1">
      <x:c r="A5" s="8" t="str">
        <x:v>Ereignis im Szenario</x:v>
      </x:c>
      <x:c r="B5" s="8" t="str">
        <x:v>Minuten ab 08:10</x:v>
      </x:c>
      <x:c r="C5" s="8" t="str">
        <x:v>Minuten je Stunde</x:v>
      </x:c>
      <x:c r="D5" s="8" t="str">
        <x:v>Stundenabstand</x:v>
      </x:c>
    </x:row>
    <x:row r="6" ht="18" customHeight="1">
      <x:c r="A6" s="13" t="str">
        <x:v>Erste Beobachtung</x:v>
      </x:c>
      <x:c r="B6" s="15" t="n">
        <x:v>0</x:v>
      </x:c>
      <x:c r="C6" s="15" t="n">
        <x:v>60</x:v>
      </x:c>
      <x:c r="D6" s="14" t="n">
        <x:f>B6/C6</x:f>
        <x:v>0</x:v>
      </x:c>
    </x:row>
    <x:row r="7" ht="18" customHeight="1">
      <x:c r="A7" s="13" t="str">
        <x:v>Betreiber schwere Folge</x:v>
      </x:c>
      <x:c r="B7" s="15" t="n">
        <x:v>130</x:v>
      </x:c>
      <x:c r="C7" s="15" t="n">
        <x:v>60</x:v>
      </x:c>
      <x:c r="D7" s="14" t="n">
        <x:f>B7/C7</x:f>
        <x:v>2.1666666666666665</x:v>
      </x:c>
    </x:row>
    <x:row r="8" ht="18" customHeight="1">
      <x:c r="A8" s="13" t="str">
        <x:v>Anbieter schwere Folge</x:v>
      </x:c>
      <x:c r="B8" s="15" t="n">
        <x:v>155</x:v>
      </x:c>
      <x:c r="C8" s="15" t="n">
        <x:v>60</x:v>
      </x:c>
      <x:c r="D8" s="14" t="n">
        <x:f>B8/C8</x:f>
        <x:v>2.5833333333333335</x:v>
      </x:c>
    </x:row>
    <x:row r="9" ht="18" customHeight="1">
      <x:c r="A9" s="13" t="str">
        <x:v>Anbieter Kausalitätsverdacht</x:v>
      </x:c>
      <x:c r="B9" s="15" t="n">
        <x:v>230</x:v>
      </x:c>
      <x:c r="C9" s="15" t="n">
        <x:v>60</x:v>
      </x:c>
      <x:c r="D9" s="14" t="n">
        <x:f>B9/C9</x:f>
        <x:v>3.8333333333333335</x:v>
      </x:c>
    </x:row>
    <x:row r="10" ht="8" customHeight="1">
      <x:c r="A10" s="13"/>
      <x:c r="B10" s="13"/>
      <x:c r="C10" s="13"/>
      <x:c r="D10" s="13"/>
    </x:row>
    <x:row r="11" ht="8" customHeight="1">
      <x:c r="A11" s="13"/>
      <x:c r="B11" s="13"/>
      <x:c r="C11" s="13"/>
      <x:c r="D11" s="13"/>
    </x:row>
    <x:row r="12" ht="26" customHeight="1">
      <x:c r="A12" s="12" t="str">
        <x:v>Arbeitsfrage</x:v>
      </x:c>
      <x:c r="B12" s="12" t="str">
        <x:v>Eingabe</x:v>
      </x:c>
      <x:c r="C12" s="12" t="str">
        <x:v>Einheit</x:v>
      </x:c>
      <x:c r="D12" s="12" t="str">
        <x:v>Ergebnis</x:v>
      </x:c>
    </x:row>
    <x:row r="13" ht="18" customHeight="1">
      <x:c r="A13" s="13" t="str">
        <x:v>Vergleich kurzer Pfad</x:v>
      </x:c>
      <x:c r="B13" s="15" t="n">
        <x:v>2</x:v>
      </x:c>
      <x:c r="C13" s="13" t="str">
        <x:v>Tage</x:v>
      </x:c>
      <x:c r="D13" s="16" t="n">
        <x:f>B13*24</x:f>
        <x:v>48</x:v>
      </x:c>
    </x:row>
    <x:row r="14" ht="18" customHeight="1">
      <x:c r="A14" s="13" t="str">
        <x:v>Vergleich regulärer Pfad</x:v>
      </x:c>
      <x:c r="B14" s="15" t="n">
        <x:v>15</x:v>
      </x:c>
      <x:c r="C14" s="13" t="str">
        <x:v>Tage</x:v>
      </x:c>
      <x:c r="D14" s="16" t="n">
        <x:f>B14*24</x:f>
        <x:v>360</x:v>
      </x:c>
    </x:row>
    <x:row r="15" ht="8" customHeight="1">
      <x:c r="A15" s="13"/>
      <x:c r="B15" s="13"/>
      <x:c r="C15" s="13"/>
      <x:c r="D15" s="13"/>
    </x:row>
    <x:row r="16" ht="8" customHeight="1">
      <x:c r="A16" s="13"/>
      <x:c r="B16" s="13"/>
      <x:c r="C16" s="13"/>
      <x:c r="D16" s="13"/>
    </x:row>
    <x:row r="17" ht="8" customHeight="1">
      <x:c r="A17" s="13"/>
      <x:c r="B17" s="13"/>
      <x:c r="C17" s="13"/>
      <x:c r="D17" s="13"/>
    </x:row>
    <x:row r="18" ht="8" customHeight="1">
      <x:c r="A18" s="13"/>
      <x:c r="B18" s="13"/>
      <x:c r="C18" s="13"/>
      <x:c r="D18" s="13"/>
    </x:row>
    <x:row r="19" ht="8" customHeight="1">
      <x:c r="A19" s="13"/>
      <x:c r="B19" s="13"/>
      <x:c r="C19" s="13"/>
      <x:c r="D19" s="13"/>
    </x:row>
    <x:row r="20" ht="18" customHeight="1">
      <x:c r="A20" s="17" t="str">
        <x:v>Alle Ereignisse sind erfundene Übungswerte zum 08.12.2027.</x:v>
      </x:c>
      <x:c r="B20" s="13"/>
      <x:c r="C20" s="13"/>
      <x:c r="D20" s="13"/>
    </x:row>
    <x:row r="21" ht="18" customHeight="1">
      <x:c r="A21" s="17" t="str">
        <x:v>Quelle: 02_Uebungschronologie.docx. Heute Aktenstand 09.10.2026.</x:v>
      </x:c>
      <x:c r="B21" s="13"/>
      <x:c r="C21" s="13"/>
      <x:c r="D21" s="13"/>
    </x:row>
    <x:row r="22" ht="18" customHeight="1">
      <x:c r="A22" s="17" t="str">
        <x:v>Zeitpunkt null ist kein automatisch festgelegter rechtlicher Fristbeginn.</x:v>
      </x:c>
      <x:c r="B22" s="13"/>
      <x:c r="C22" s="13"/>
      <x:c r="D22" s="13"/>
    </x:row>
    <x:row r="23" ht="18" customHeight="1">
      <x:c r="A23" s="17" t="str">
        <x:v>48 oder 360 Stunden sind Rechenvergleiche; unverzügliches Handeln gesondert prüfen.</x:v>
      </x:c>
      <x:c r="B23" s="13"/>
      <x:c r="C23" s="13"/>
      <x:c r="D23" s="13"/>
    </x:row>
    <x:row r="24" ht="8" customHeight="1">
      <x:c r="A24" s="13"/>
      <x:c r="B24" s="13"/>
      <x:c r="C24" s="13"/>
      <x:c r="D24" s="13"/>
    </x:row>
    <x:row r="25" ht="8" customHeight="1">
      <x:c r="A25" s="13"/>
      <x:c r="B25" s="13"/>
      <x:c r="C25" s="13"/>
      <x:c r="D25" s="13"/>
    </x:row>
    <x:row r="26" ht="8" customHeight="1">
      <x:c r="A26" s="13"/>
      <x:c r="B26" s="13"/>
      <x:c r="C26" s="13"/>
      <x:c r="D26" s="13"/>
    </x:row>
    <x:row r="27" ht="8" customHeight="1">
      <x:c r="A27" s="13"/>
      <x:c r="B27" s="13"/>
      <x:c r="C27" s="13"/>
      <x:c r="D27" s="13"/>
    </x:row>
    <x:row r="28" ht="8" customHeight="1">
      <x:c r="A28" s="13"/>
      <x:c r="B28" s="13"/>
      <x:c r="C28" s="13"/>
      <x:c r="D28" s="13"/>
    </x:row>
    <x:row r="29" ht="8" customHeight="1">
      <x:c r="A29" s="13"/>
      <x:c r="B29" s="13"/>
      <x:c r="C29" s="13"/>
      <x:c r="D29" s="13"/>
    </x:row>
  </x:sheetData>
  <x:pageMargins left="0.3" right="0.3" top="0.35" bottom="0.35" header="0.15" footer="0.15"/>
  <x:pageSetup paperSize="9" orientation="landscape" fitToWidth="1" fitToHeight="0"/>
</x:worksheet>
</file>