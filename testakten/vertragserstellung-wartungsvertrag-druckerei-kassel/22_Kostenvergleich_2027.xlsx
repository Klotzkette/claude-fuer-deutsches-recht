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gleich" sheetId="1" state="visible" r:id="rId3"/>
    <sheet name="Ansätze" sheetId="2" state="visible" r:id="rId4"/>
  </sheets>
  <definedNames>
    <definedName function="false" hidden="false" localSheetId="1" name="_xlnm.Print_Area" vbProcedure="false">Ansätze!$A$1:$F$26</definedName>
    <definedName function="false" hidden="false" localSheetId="1" name="_xlnm.Print_Titles" vbProcedure="false">Ansätze!$1:$2</definedName>
    <definedName function="false" hidden="false" localSheetId="0" name="_xlnm.Print_Area" vbProcedure="false">Vergleich!$A$1:$D$26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<sst xmlns="http://schemas.openxmlformats.org/spreadsheetml/2006/main" count="85" uniqueCount="75">
  <si>
    <t xml:space="preserve">Fuldabogen Spezialdruck GmbH</t>
  </si>
  <si>
    <t xml:space="preserve">Kostenvergleich 2027</t>
  </si>
  <si>
    <t xml:space="preserve">Leonie Hartung · 22.09.2026 · Nettobeträge in EUR; keine Preisfreigabe</t>
  </si>
  <si>
    <t xml:space="preserve">Position</t>
  </si>
  <si>
    <t xml:space="preserve">Werkspur bis 9.600 h</t>
  </si>
  <si>
    <t xml:space="preserve">Werkspur bei Planung</t>
  </si>
  <si>
    <t xml:space="preserve">Druckerei Vorschlag</t>
  </si>
  <si>
    <t xml:space="preserve">Jährliche Betreuung</t>
  </si>
  <si>
    <t xml:space="preserve">Material über Kontingent</t>
  </si>
  <si>
    <t xml:space="preserve">Einmaliger Umbau</t>
  </si>
  <si>
    <t xml:space="preserve">Gesamt netto 2027</t>
  </si>
  <si>
    <t xml:space="preserve">Umsatzsteuer</t>
  </si>
  <si>
    <t xml:space="preserve">Gesamt brutto 2027</t>
  </si>
  <si>
    <t xml:space="preserve">Mehrbetrag zur Gegenfassung netto</t>
  </si>
  <si>
    <t xml:space="preserve">Monat inkl. Bereitschaft / Remote</t>
  </si>
  <si>
    <t xml:space="preserve">Jahresstunden des Preisstands</t>
  </si>
  <si>
    <t xml:space="preserve">Enthaltene Entstörungsstunden</t>
  </si>
  <si>
    <t xml:space="preserve">Angenommene Entstörungsstunden</t>
  </si>
  <si>
    <t xml:space="preserve">Zusätzliche Entstörungsstunden netto</t>
  </si>
  <si>
    <t xml:space="preserve">Betreuung 2028 nur bei maximaler Erhöhung</t>
  </si>
  <si>
    <t xml:space="preserve">Mehrbetrag Betreuung gegenüber 2027</t>
  </si>
  <si>
    <t xml:space="preserve">Bis 9.600 h: Angebotsuntergrenze, nicht die Planung von 10.900 h.</t>
  </si>
  <si>
    <t xml:space="preserve">Materialansatz ohne Motoren, Rechner und UV-Leuchtmittel; nur Stückpreise bis 750 EUR.</t>
  </si>
  <si>
    <t xml:space="preserve">36 Entstörungsstunden liegen in allen Kontingenten. Zusätzliche Stunden sind hier nicht angesetzt.</t>
  </si>
  <si>
    <t xml:space="preserve">2028: vertragliche Erhöhungsgrenzen, keine Prognose und kein vorhandener Indexnachweis.</t>
  </si>
  <si>
    <t xml:space="preserve">Altvertrag: 19.200 EUR netto pro Jahr, Ende 31.12.2026; keine Verlängerungsofferte.</t>
  </si>
  <si>
    <t xml:space="preserve">Ansätze und Quellen</t>
  </si>
  <si>
    <t xml:space="preserve">Budget B-2027/09 · Eingaben aus den bezeichneten Unterlagen</t>
  </si>
  <si>
    <t xml:space="preserve">Treiber</t>
  </si>
  <si>
    <t xml:space="preserve">Wert</t>
  </si>
  <si>
    <t xml:space="preserve">Einheit</t>
  </si>
  <si>
    <t xml:space="preserve">Quelle</t>
  </si>
  <si>
    <t xml:space="preserve">K1 Planung 2027</t>
  </si>
  <si>
    <t xml:space="preserve">h</t>
  </si>
  <si>
    <t xml:space="preserve">25_Budgetansatz_Einkauf_2026-09-22.pdf, Ziffer 1</t>
  </si>
  <si>
    <t xml:space="preserve">K2 Planung 2027</t>
  </si>
  <si>
    <t xml:space="preserve">Gedeckter Teileverbrauch</t>
  </si>
  <si>
    <t xml:space="preserve">EUR netto</t>
  </si>
  <si>
    <t xml:space="preserve">25_Budgetansatz_Einkauf_2026-09-22.pdf, Ziffer 1; Einkaufsreserve</t>
  </si>
  <si>
    <t xml:space="preserve">Satz</t>
  </si>
  <si>
    <t xml:space="preserve">25_Budgetansatz_Einkauf_2026-09-22.pdf, Ziffer 2</t>
  </si>
  <si>
    <t xml:space="preserve">Preisstand</t>
  </si>
  <si>
    <t xml:space="preserve">Monat EUR</t>
  </si>
  <si>
    <t xml:space="preserve">Teile EUR/Jahr</t>
  </si>
  <si>
    <t xml:space="preserve">Arbeit h/Jahr</t>
  </si>
  <si>
    <t xml:space="preserve">Umbau EUR</t>
  </si>
  <si>
    <t xml:space="preserve">Anpassung max.</t>
  </si>
  <si>
    <t xml:space="preserve">Werkspur ≤ 9.600 h</t>
  </si>
  <si>
    <t xml:space="preserve">Werkspur &gt; 9.600 h</t>
  </si>
  <si>
    <t xml:space="preserve">Druckerei ≤ 12.000 h</t>
  </si>
  <si>
    <t xml:space="preserve">Werkspur Bereitschaft</t>
  </si>
  <si>
    <t xml:space="preserve">EUR/Monat</t>
  </si>
  <si>
    <t xml:space="preserve">16_Lieferantenfassung_2026-09-18.docx, Ziffer 10</t>
  </si>
  <si>
    <t xml:space="preserve">Werkspur Remote</t>
  </si>
  <si>
    <t xml:space="preserve">Werkspur Zeilen 10/11</t>
  </si>
  <si>
    <t xml:space="preserve">16_Lieferantenfassung_2026-09-18.docx, Ziffern 4, 7, 10 bis 12</t>
  </si>
  <si>
    <t xml:space="preserve">Druckerei Zeile 12</t>
  </si>
  <si>
    <t xml:space="preserve">20_Druckereifassung_2026-09-21.docx, Ziffern 4, 7, 10 bis 12</t>
  </si>
  <si>
    <t xml:space="preserve">Entstörungsansatz 2027</t>
  </si>
  <si>
    <t xml:space="preserve">Monate im Kalenderjahr</t>
  </si>
  <si>
    <t xml:space="preserve">Monate</t>
  </si>
  <si>
    <t xml:space="preserve">Rechenkonstante: Januar bis Dezember</t>
  </si>
  <si>
    <t xml:space="preserve">Untere Stufengrenze</t>
  </si>
  <si>
    <t xml:space="preserve">Mehrstunde Anbieter / Kunde</t>
  </si>
  <si>
    <t xml:space="preserve">EUR/h</t>
  </si>
  <si>
    <t xml:space="preserve">Vertragsfassungen, jeweils Ziffer 4</t>
  </si>
  <si>
    <t xml:space="preserve">Zahlungsabgleich Bestand</t>
  </si>
  <si>
    <t xml:space="preserve">Brutto EUR</t>
  </si>
  <si>
    <t xml:space="preserve">Bezahlt EUR</t>
  </si>
  <si>
    <t xml:space="preserve">Offen EUR</t>
  </si>
  <si>
    <t xml:space="preserve">WS-260701</t>
  </si>
  <si>
    <t xml:space="preserve">09_Rechnung_WS-260701.pdf; 11_Zahlungsjournal_2026-09-22.csv</t>
  </si>
  <si>
    <t xml:space="preserve">WS-260914</t>
  </si>
  <si>
    <t xml:space="preserve">10_Rechnung_WS-260914.pdf; 11_Zahlungsjournal_2026-09-22.csv</t>
  </si>
  <si>
    <t xml:space="preserve">Budgetmaterial 2027 ist kein Ist-Verbrauch. Materialliste 2026 enthält 1.283 EUR netto.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</si>
</sst>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;\-"/>
    <numFmt numFmtId="166" formatCode="#,##0"/>
    <numFmt numFmtId="167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3"/>
      <color rgb="FF20252B"/>
      <name val="Arial"/>
      <family val="0"/>
      <charset val="1"/>
    </font>
    <font>
      <sz val="10"/>
      <color rgb="FF20252B"/>
      <name val="Arial"/>
      <family val="0"/>
      <charset val="1"/>
    </font>
    <font>
      <sz val="9"/>
      <color rgb="FF5050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0252B"/>
      <name val="Arial"/>
      <family val="0"/>
      <charset val="1"/>
    </font>
    <font>
      <sz val="10"/>
      <color rgb="FF20589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94754"/>
        <bgColor rgb="FF505050"/>
      </patternFill>
    </fill>
    <fill>
      <patternFill patternType="solid">
        <fgColor rgb="FFE9EE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3BDB6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DB6"/>
      <rgbColor rgb="FF808080"/>
      <rgbColor rgb="FF9999FF"/>
      <rgbColor rgb="FF993366"/>
      <rgbColor rgb="FFE9EEE9"/>
      <rgbColor rgb="FFCCFFFF"/>
      <rgbColor rgb="FF660066"/>
      <rgbColor rgb="FFFF8080"/>
      <rgbColor rgb="FF20589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5050"/>
      <rgbColor rgb="FF969696"/>
      <rgbColor rgb="FF003366"/>
      <rgbColor rgb="FF339966"/>
      <rgbColor rgb="FF003300"/>
      <rgbColor rgb="FF333300"/>
      <rgbColor rgb="FF993300"/>
      <rgbColor rgb="FF993366"/>
      <rgbColor rgb="FF394754"/>
      <rgbColor rgb="FF202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67"/>
    <col collapsed="false" customWidth="true" hidden="false" outlineLevel="0" max="4" min="2" style="0" width="18.89"/>
  </cols>
  <sheetData>
    <row r="1" customFormat="false" ht="23" hidden="false" customHeight="true" outlineLevel="0" collapsed="false">
      <c r="A1" s="1" t="s">
        <v>0</v>
      </c>
      <c r="B1" s="2"/>
      <c r="C1" s="2"/>
      <c r="D1" s="2"/>
    </row>
    <row r="2" customFormat="false" ht="23" hidden="false" customHeight="true" outlineLevel="0" collapsed="false">
      <c r="A2" s="1" t="s">
        <v>1</v>
      </c>
      <c r="B2" s="2"/>
      <c r="C2" s="2"/>
      <c r="D2" s="2"/>
    </row>
    <row r="3" customFormat="false" ht="17.5" hidden="false" customHeight="true" outlineLevel="0" collapsed="false">
      <c r="A3" s="3" t="s">
        <v>2</v>
      </c>
      <c r="B3" s="2"/>
      <c r="C3" s="2"/>
      <c r="D3" s="2"/>
    </row>
    <row r="4" customFormat="false" ht="17.5" hidden="false" customHeight="true" outlineLevel="0" collapsed="false">
      <c r="A4" s="2"/>
      <c r="B4" s="2"/>
      <c r="C4" s="2"/>
      <c r="D4" s="2"/>
    </row>
    <row r="5" customFormat="false" ht="3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7.5" hidden="false" customHeight="true" outlineLevel="0" collapsed="false">
      <c r="A6" s="2" t="s">
        <v>7</v>
      </c>
      <c r="B6" s="5" t="n">
        <f aca="false">B14*Ansätze!$B$19</f>
        <v>32640</v>
      </c>
      <c r="C6" s="5" t="n">
        <f aca="false">C14*Ansätze!$B$19</f>
        <v>35520</v>
      </c>
      <c r="D6" s="5" t="n">
        <f aca="false">D14*Ansätze!$B$19</f>
        <v>29400</v>
      </c>
    </row>
    <row r="7" customFormat="false" ht="17.5" hidden="false" customHeight="true" outlineLevel="0" collapsed="false">
      <c r="A7" s="2" t="s">
        <v>8</v>
      </c>
      <c r="B7" s="5" t="n">
        <f aca="false">MAX(Ansätze!$B$7-Ansätze!C10,0)</f>
        <v>400</v>
      </c>
      <c r="C7" s="5" t="n">
        <f aca="false">MAX(Ansätze!$B$7-Ansätze!C11,0)</f>
        <v>400</v>
      </c>
      <c r="D7" s="5" t="n">
        <f aca="false">MAX(Ansätze!$B$7-Ansätze!C12,0)</f>
        <v>0</v>
      </c>
    </row>
    <row r="8" customFormat="false" ht="17.5" hidden="false" customHeight="true" outlineLevel="0" collapsed="false">
      <c r="A8" s="2" t="s">
        <v>9</v>
      </c>
      <c r="B8" s="5" t="n">
        <f aca="false">Ansätze!E10</f>
        <v>4800</v>
      </c>
      <c r="C8" s="5" t="n">
        <f aca="false">Ansätze!E11</f>
        <v>4800</v>
      </c>
      <c r="D8" s="5" t="n">
        <f aca="false">Ansätze!E12</f>
        <v>4200</v>
      </c>
    </row>
    <row r="9" customFormat="false" ht="22" hidden="false" customHeight="true" outlineLevel="0" collapsed="false">
      <c r="A9" s="6" t="s">
        <v>10</v>
      </c>
      <c r="B9" s="7" t="n">
        <f aca="false">SUM(B6:B8,B18)</f>
        <v>37840</v>
      </c>
      <c r="C9" s="7" t="n">
        <f aca="false">SUM(C6:C8,C18)</f>
        <v>40720</v>
      </c>
      <c r="D9" s="7" t="n">
        <f aca="false">SUM(D6:D8,D18)</f>
        <v>33600</v>
      </c>
    </row>
    <row r="10" customFormat="false" ht="17.5" hidden="false" customHeight="true" outlineLevel="0" collapsed="false">
      <c r="A10" s="2" t="s">
        <v>11</v>
      </c>
      <c r="B10" s="5" t="n">
        <f aca="false">ROUND(B9*Ansätze!$B$8,2)</f>
        <v>7189.6</v>
      </c>
      <c r="C10" s="5" t="n">
        <f aca="false">ROUND(C9*Ansätze!$B$8,2)</f>
        <v>7736.8</v>
      </c>
      <c r="D10" s="5" t="n">
        <f aca="false">ROUND(D9*Ansätze!$B$8,2)</f>
        <v>6384</v>
      </c>
    </row>
    <row r="11" customFormat="false" ht="22" hidden="false" customHeight="true" outlineLevel="0" collapsed="false">
      <c r="A11" s="6" t="s">
        <v>12</v>
      </c>
      <c r="B11" s="7" t="n">
        <f aca="false">SUM(B9:B10)</f>
        <v>45029.6</v>
      </c>
      <c r="C11" s="7" t="n">
        <f aca="false">SUM(C9:C10)</f>
        <v>48456.8</v>
      </c>
      <c r="D11" s="7" t="n">
        <f aca="false">SUM(D9:D10)</f>
        <v>39984</v>
      </c>
    </row>
    <row r="12" customFormat="false" ht="17.5" hidden="false" customHeight="true" outlineLevel="0" collapsed="false">
      <c r="A12" s="2" t="s">
        <v>13</v>
      </c>
      <c r="B12" s="5" t="n">
        <f aca="false">B9-$D$9</f>
        <v>4240</v>
      </c>
      <c r="C12" s="5" t="n">
        <f aca="false">C9-$D$9</f>
        <v>7120</v>
      </c>
      <c r="D12" s="5" t="n">
        <f aca="false">D9-$D$9</f>
        <v>0</v>
      </c>
    </row>
    <row r="13" customFormat="false" ht="17.5" hidden="false" customHeight="true" outlineLevel="0" collapsed="false">
      <c r="A13" s="2"/>
      <c r="B13" s="2"/>
      <c r="C13" s="2"/>
      <c r="D13" s="2"/>
    </row>
    <row r="14" customFormat="false" ht="17.5" hidden="false" customHeight="true" outlineLevel="0" collapsed="false">
      <c r="A14" s="2" t="s">
        <v>14</v>
      </c>
      <c r="B14" s="5" t="n">
        <f aca="false">SUM(Ansätze!B10,Ansätze!$B$14:$B$15)</f>
        <v>2720</v>
      </c>
      <c r="C14" s="5" t="n">
        <f aca="false">IF(SUM(Ansätze!B5:B6)&lt;=Ansätze!B20,Ansätze!B10,Ansätze!B11)+SUM(Ansätze!B14:B15)</f>
        <v>2960</v>
      </c>
      <c r="D14" s="5" t="n">
        <f aca="false">Ansätze!B12</f>
        <v>2450</v>
      </c>
    </row>
    <row r="15" customFormat="false" ht="17.5" hidden="false" customHeight="true" outlineLevel="0" collapsed="false">
      <c r="A15" s="2" t="s">
        <v>15</v>
      </c>
      <c r="B15" s="8" t="n">
        <f aca="false">Ansätze!B20</f>
        <v>9600</v>
      </c>
      <c r="C15" s="8" t="n">
        <f aca="false">SUM(Ansätze!B5:B6)</f>
        <v>10900</v>
      </c>
      <c r="D15" s="8" t="n">
        <f aca="false">C15</f>
        <v>10900</v>
      </c>
    </row>
    <row r="16" customFormat="false" ht="17.5" hidden="false" customHeight="true" outlineLevel="0" collapsed="false">
      <c r="A16" s="2" t="s">
        <v>16</v>
      </c>
      <c r="B16" s="8" t="n">
        <f aca="false">Ansätze!D10</f>
        <v>40</v>
      </c>
      <c r="C16" s="8" t="n">
        <f aca="false">Ansätze!D11</f>
        <v>40</v>
      </c>
      <c r="D16" s="8" t="n">
        <f aca="false">Ansätze!D12</f>
        <v>60</v>
      </c>
    </row>
    <row r="17" customFormat="false" ht="17.5" hidden="false" customHeight="true" outlineLevel="0" collapsed="false">
      <c r="A17" s="2" t="s">
        <v>17</v>
      </c>
      <c r="B17" s="8" t="n">
        <f aca="false">Ansätze!$B$18</f>
        <v>36</v>
      </c>
      <c r="C17" s="8" t="n">
        <f aca="false">Ansätze!$B$18</f>
        <v>36</v>
      </c>
      <c r="D17" s="8" t="n">
        <f aca="false">Ansätze!$B$18</f>
        <v>36</v>
      </c>
    </row>
    <row r="18" customFormat="false" ht="17.5" hidden="false" customHeight="true" outlineLevel="0" collapsed="false">
      <c r="A18" s="2" t="s">
        <v>18</v>
      </c>
      <c r="B18" s="5" t="n">
        <f aca="false">MAX(B17-B16,0)*Ansätze!$B$21</f>
        <v>0</v>
      </c>
      <c r="C18" s="5" t="n">
        <f aca="false">MAX(C17-C16,0)*Ansätze!$B$21</f>
        <v>0</v>
      </c>
      <c r="D18" s="5" t="n">
        <f aca="false">MAX(D17-D16,0)*Ansätze!$C$21</f>
        <v>0</v>
      </c>
    </row>
    <row r="19" customFormat="false" ht="31" hidden="false" customHeight="true" outlineLevel="0" collapsed="false">
      <c r="A19" s="6" t="s">
        <v>19</v>
      </c>
      <c r="B19" s="7" t="n">
        <f aca="false">ROUND(B6*(1+Ansätze!F10),2)</f>
        <v>34272</v>
      </c>
      <c r="C19" s="7" t="n">
        <f aca="false">ROUND(C6*(1+Ansätze!F11),2)</f>
        <v>37296</v>
      </c>
      <c r="D19" s="7" t="n">
        <f aca="false">ROUND(D6*(1+Ansätze!F12),2)</f>
        <v>30282</v>
      </c>
    </row>
    <row r="20" customFormat="false" ht="17.5" hidden="false" customHeight="true" outlineLevel="0" collapsed="false">
      <c r="A20" s="2" t="s">
        <v>20</v>
      </c>
      <c r="B20" s="5" t="n">
        <f aca="false">B19-B6</f>
        <v>1632</v>
      </c>
      <c r="C20" s="5" t="n">
        <f aca="false">C19-C6</f>
        <v>1776</v>
      </c>
      <c r="D20" s="5" t="n">
        <f aca="false">D19-D6</f>
        <v>882</v>
      </c>
    </row>
    <row r="21" customFormat="false" ht="17.5" hidden="false" customHeight="true" outlineLevel="0" collapsed="false">
      <c r="A21" s="2"/>
      <c r="B21" s="2"/>
      <c r="C21" s="2"/>
      <c r="D21" s="2"/>
    </row>
    <row r="22" customFormat="false" ht="16" hidden="false" customHeight="true" outlineLevel="0" collapsed="false">
      <c r="A22" s="3" t="s">
        <v>21</v>
      </c>
      <c r="B22" s="2"/>
      <c r="C22" s="2"/>
      <c r="D22" s="2"/>
    </row>
    <row r="23" customFormat="false" ht="16" hidden="false" customHeight="true" outlineLevel="0" collapsed="false">
      <c r="A23" s="3" t="s">
        <v>22</v>
      </c>
      <c r="B23" s="2"/>
      <c r="C23" s="2"/>
      <c r="D23" s="2"/>
    </row>
    <row r="24" customFormat="false" ht="16" hidden="false" customHeight="true" outlineLevel="0" collapsed="false">
      <c r="A24" s="3" t="s">
        <v>23</v>
      </c>
      <c r="B24" s="2"/>
      <c r="C24" s="2"/>
      <c r="D24" s="2"/>
    </row>
    <row r="25" customFormat="false" ht="16" hidden="false" customHeight="true" outlineLevel="0" collapsed="false">
      <c r="A25" s="3" t="s">
        <v>24</v>
      </c>
      <c r="B25" s="2"/>
      <c r="C25" s="2"/>
      <c r="D25" s="2"/>
    </row>
    <row r="26" customFormat="false" ht="16" hidden="false" customHeight="true" outlineLevel="0" collapsed="false">
      <c r="A26" s="3" t="s">
        <v>25</v>
      </c>
      <c r="B26" s="2"/>
      <c r="C26" s="2"/>
      <c r="D26" s="2"/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&amp;C&amp;"Calibri"&amp;11Fuldabogen · Leonie Hartung · 22.09.2026 · 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22"/>
    <col collapsed="false" customWidth="true" hidden="false" outlineLevel="0" max="2" min="2" style="0" width="12"/>
    <col collapsed="false" customWidth="true" hidden="false" outlineLevel="0" max="4" min="3" style="0" width="12.67"/>
    <col collapsed="false" customWidth="true" hidden="false" outlineLevel="0" max="5" min="5" style="0" width="34.44"/>
    <col collapsed="false" customWidth="true" hidden="false" outlineLevel="0" max="6" min="6" style="0" width="12.78"/>
  </cols>
  <sheetData>
    <row r="1" customFormat="false" ht="23" hidden="false" customHeight="true" outlineLevel="0" collapsed="false">
      <c r="A1" s="1" t="s">
        <v>26</v>
      </c>
      <c r="B1" s="2"/>
      <c r="C1" s="2"/>
      <c r="D1" s="2"/>
      <c r="E1" s="2"/>
      <c r="F1" s="2"/>
    </row>
    <row r="2" customFormat="false" ht="21" hidden="false" customHeight="true" outlineLevel="0" collapsed="false">
      <c r="A2" s="2" t="s">
        <v>27</v>
      </c>
      <c r="B2" s="2"/>
      <c r="C2" s="2"/>
      <c r="D2" s="2"/>
      <c r="E2" s="2"/>
      <c r="F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</row>
    <row r="4" customFormat="false" ht="32" hidden="false" customHeight="true" outlineLevel="0" collapsed="false">
      <c r="A4" s="4" t="s">
        <v>28</v>
      </c>
      <c r="B4" s="4" t="s">
        <v>29</v>
      </c>
      <c r="C4" s="4" t="s">
        <v>30</v>
      </c>
      <c r="D4" s="4"/>
      <c r="E4" s="4" t="s">
        <v>31</v>
      </c>
      <c r="F4" s="4"/>
    </row>
    <row r="5" customFormat="false" ht="31" hidden="false" customHeight="true" outlineLevel="0" collapsed="false">
      <c r="A5" s="9" t="s">
        <v>32</v>
      </c>
      <c r="B5" s="10" t="n">
        <v>5400</v>
      </c>
      <c r="C5" s="2" t="s">
        <v>33</v>
      </c>
      <c r="D5" s="2"/>
      <c r="E5" s="11" t="s">
        <v>34</v>
      </c>
      <c r="F5" s="2"/>
    </row>
    <row r="6" customFormat="false" ht="31" hidden="false" customHeight="true" outlineLevel="0" collapsed="false">
      <c r="A6" s="9" t="s">
        <v>35</v>
      </c>
      <c r="B6" s="10" t="n">
        <v>5500</v>
      </c>
      <c r="C6" s="2" t="s">
        <v>33</v>
      </c>
      <c r="D6" s="2"/>
      <c r="E6" s="11" t="s">
        <v>34</v>
      </c>
      <c r="F6" s="2"/>
    </row>
    <row r="7" customFormat="false" ht="31" hidden="false" customHeight="true" outlineLevel="0" collapsed="false">
      <c r="A7" s="9" t="s">
        <v>36</v>
      </c>
      <c r="B7" s="12" t="n">
        <v>3900</v>
      </c>
      <c r="C7" s="2" t="s">
        <v>37</v>
      </c>
      <c r="D7" s="2"/>
      <c r="E7" s="11" t="s">
        <v>38</v>
      </c>
      <c r="F7" s="2"/>
    </row>
    <row r="8" customFormat="false" ht="31" hidden="false" customHeight="true" outlineLevel="0" collapsed="false">
      <c r="A8" s="9" t="s">
        <v>11</v>
      </c>
      <c r="B8" s="13" t="n">
        <v>0.19</v>
      </c>
      <c r="C8" s="2" t="s">
        <v>39</v>
      </c>
      <c r="D8" s="2"/>
      <c r="E8" s="11" t="s">
        <v>40</v>
      </c>
      <c r="F8" s="2"/>
    </row>
    <row r="9" customFormat="false" ht="32" hidden="false" customHeight="tru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customFormat="false" ht="21" hidden="false" customHeight="true" outlineLevel="0" collapsed="false">
      <c r="A10" s="9" t="s">
        <v>47</v>
      </c>
      <c r="B10" s="12" t="n">
        <v>2150</v>
      </c>
      <c r="C10" s="12" t="n">
        <v>3500</v>
      </c>
      <c r="D10" s="10" t="n">
        <v>40</v>
      </c>
      <c r="E10" s="12" t="n">
        <v>4800</v>
      </c>
      <c r="F10" s="13" t="n">
        <v>0.05</v>
      </c>
    </row>
    <row r="11" customFormat="false" ht="21" hidden="false" customHeight="true" outlineLevel="0" collapsed="false">
      <c r="A11" s="9" t="s">
        <v>48</v>
      </c>
      <c r="B11" s="12" t="n">
        <v>2390</v>
      </c>
      <c r="C11" s="12" t="n">
        <v>3500</v>
      </c>
      <c r="D11" s="10" t="n">
        <v>40</v>
      </c>
      <c r="E11" s="12" t="n">
        <v>4800</v>
      </c>
      <c r="F11" s="13" t="n">
        <v>0.05</v>
      </c>
    </row>
    <row r="12" customFormat="false" ht="21" hidden="false" customHeight="true" outlineLevel="0" collapsed="false">
      <c r="A12" s="9" t="s">
        <v>49</v>
      </c>
      <c r="B12" s="12" t="n">
        <v>2450</v>
      </c>
      <c r="C12" s="12" t="n">
        <v>6000</v>
      </c>
      <c r="D12" s="10" t="n">
        <v>60</v>
      </c>
      <c r="E12" s="12" t="n">
        <v>4200</v>
      </c>
      <c r="F12" s="13" t="n">
        <v>0.03</v>
      </c>
    </row>
    <row r="13" customFormat="false" ht="21" hidden="false" customHeight="true" outlineLevel="0" collapsed="false">
      <c r="A13" s="9"/>
      <c r="B13" s="2"/>
      <c r="C13" s="2"/>
      <c r="D13" s="2"/>
      <c r="E13" s="2"/>
      <c r="F13" s="2"/>
    </row>
    <row r="14" customFormat="false" ht="31" hidden="false" customHeight="true" outlineLevel="0" collapsed="false">
      <c r="A14" s="9" t="s">
        <v>50</v>
      </c>
      <c r="B14" s="12" t="n">
        <v>450</v>
      </c>
      <c r="C14" s="2" t="s">
        <v>51</v>
      </c>
      <c r="D14" s="2"/>
      <c r="E14" s="11" t="s">
        <v>52</v>
      </c>
      <c r="F14" s="2"/>
    </row>
    <row r="15" customFormat="false" ht="31" hidden="false" customHeight="true" outlineLevel="0" collapsed="false">
      <c r="A15" s="9" t="s">
        <v>53</v>
      </c>
      <c r="B15" s="12" t="n">
        <v>120</v>
      </c>
      <c r="C15" s="2" t="s">
        <v>51</v>
      </c>
      <c r="D15" s="2"/>
      <c r="E15" s="11" t="s">
        <v>52</v>
      </c>
      <c r="F15" s="2"/>
    </row>
    <row r="16" customFormat="false" ht="31" hidden="false" customHeight="true" outlineLevel="0" collapsed="false">
      <c r="A16" s="9" t="s">
        <v>54</v>
      </c>
      <c r="B16" s="2"/>
      <c r="C16" s="2"/>
      <c r="D16" s="2"/>
      <c r="E16" s="11" t="s">
        <v>55</v>
      </c>
      <c r="F16" s="2"/>
    </row>
    <row r="17" customFormat="false" ht="31" hidden="false" customHeight="true" outlineLevel="0" collapsed="false">
      <c r="A17" s="9" t="s">
        <v>56</v>
      </c>
      <c r="B17" s="2"/>
      <c r="C17" s="2"/>
      <c r="D17" s="2"/>
      <c r="E17" s="11" t="s">
        <v>57</v>
      </c>
      <c r="F17" s="2"/>
    </row>
    <row r="18" customFormat="false" ht="31" hidden="false" customHeight="true" outlineLevel="0" collapsed="false">
      <c r="A18" s="9" t="s">
        <v>58</v>
      </c>
      <c r="B18" s="10" t="n">
        <v>36</v>
      </c>
      <c r="C18" s="2" t="s">
        <v>33</v>
      </c>
      <c r="D18" s="2"/>
      <c r="E18" s="11" t="s">
        <v>34</v>
      </c>
      <c r="F18" s="2"/>
    </row>
    <row r="19" customFormat="false" ht="31" hidden="false" customHeight="true" outlineLevel="0" collapsed="false">
      <c r="A19" s="9" t="s">
        <v>59</v>
      </c>
      <c r="B19" s="10" t="n">
        <v>12</v>
      </c>
      <c r="C19" s="2" t="s">
        <v>60</v>
      </c>
      <c r="D19" s="2"/>
      <c r="E19" s="11" t="s">
        <v>61</v>
      </c>
      <c r="F19" s="2"/>
    </row>
    <row r="20" customFormat="false" ht="31" hidden="false" customHeight="true" outlineLevel="0" collapsed="false">
      <c r="A20" s="9" t="s">
        <v>62</v>
      </c>
      <c r="B20" s="10" t="n">
        <v>9600</v>
      </c>
      <c r="C20" s="2" t="s">
        <v>33</v>
      </c>
      <c r="D20" s="2"/>
      <c r="E20" s="11" t="s">
        <v>52</v>
      </c>
      <c r="F20" s="2"/>
    </row>
    <row r="21" customFormat="false" ht="31" hidden="false" customHeight="true" outlineLevel="0" collapsed="false">
      <c r="A21" s="9" t="s">
        <v>63</v>
      </c>
      <c r="B21" s="12" t="n">
        <v>125</v>
      </c>
      <c r="C21" s="12" t="n">
        <v>115</v>
      </c>
      <c r="D21" s="2" t="s">
        <v>64</v>
      </c>
      <c r="E21" s="2" t="s">
        <v>65</v>
      </c>
      <c r="F21" s="2"/>
    </row>
    <row r="22" customFormat="false" ht="32" hidden="false" customHeight="true" outlineLevel="0" collapsed="false">
      <c r="A22" s="4" t="s">
        <v>66</v>
      </c>
      <c r="B22" s="4" t="s">
        <v>67</v>
      </c>
      <c r="C22" s="4" t="s">
        <v>68</v>
      </c>
      <c r="D22" s="4" t="s">
        <v>69</v>
      </c>
      <c r="E22" s="4" t="s">
        <v>31</v>
      </c>
      <c r="F22" s="4"/>
    </row>
    <row r="23" customFormat="false" ht="31" hidden="false" customHeight="true" outlineLevel="0" collapsed="false">
      <c r="A23" s="9" t="s">
        <v>70</v>
      </c>
      <c r="B23" s="12" t="n">
        <v>5712</v>
      </c>
      <c r="C23" s="5" t="n">
        <f aca="false">3000+2712</f>
        <v>5712</v>
      </c>
      <c r="D23" s="5" t="n">
        <f aca="false">B23-C23</f>
        <v>0</v>
      </c>
      <c r="E23" s="11" t="s">
        <v>71</v>
      </c>
      <c r="F23" s="2"/>
    </row>
    <row r="24" customFormat="false" ht="31" hidden="false" customHeight="true" outlineLevel="0" collapsed="false">
      <c r="A24" s="9" t="s">
        <v>72</v>
      </c>
      <c r="B24" s="12" t="n">
        <v>2064.65</v>
      </c>
      <c r="C24" s="5" t="n">
        <f aca="false">1000+500</f>
        <v>1500</v>
      </c>
      <c r="D24" s="5" t="n">
        <f aca="false">B24-C24</f>
        <v>564.65</v>
      </c>
      <c r="E24" s="11" t="s">
        <v>73</v>
      </c>
      <c r="F24" s="2"/>
    </row>
    <row r="25" customFormat="false" ht="21" hidden="false" customHeight="true" outlineLevel="0" collapsed="false">
      <c r="A25" s="2"/>
      <c r="B25" s="2"/>
      <c r="C25" s="2"/>
      <c r="D25" s="2"/>
      <c r="E25" s="2"/>
      <c r="F25" s="2"/>
    </row>
    <row r="26" customFormat="false" ht="21" hidden="false" customHeight="true" outlineLevel="0" collapsed="false">
      <c r="A26" s="2" t="s">
        <v>74</v>
      </c>
      <c r="B26" s="2"/>
      <c r="C26" s="2"/>
      <c r="D26" s="2"/>
      <c r="E26" s="2"/>
      <c r="F26" s="2"/>
    </row>
  </sheetData>
  <dataValidations count="4">
    <dataValidation allowBlank="false" errorStyle="stop" operator="greaterThanOrEqual" showDropDown="false" showErrorMessage="false" showInputMessage="false" sqref="B5:B7" type="decimal">
      <formula1>0</formula1>
      <formula2>0</formula2>
    </dataValidation>
    <dataValidation allowBlank="false" errorStyle="stop" operator="greaterThanOrEqual" showDropDown="false" showErrorMessage="false" showInputMessage="false" sqref="B10:F12" type="decimal">
      <formula1>0</formula1>
      <formula2>0</formula2>
    </dataValidation>
    <dataValidation allowBlank="false" errorStyle="stop" operator="greaterThanOrEqual" showDropDown="false" showErrorMessage="false" showInputMessage="false" sqref="B14:B15" type="decimal">
      <formula1>0</formula1>
      <formula2>0</formula2>
    </dataValidation>
    <dataValidation allowBlank="false" errorStyle="stop" operator="greaterThanOrEqual" showDropDown="false" showErrorMessage="false" showInputMessage="false" sqref="B18:B20" type="decimal">
      <formula1>0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&amp;C&amp;"Calibri"&amp;11Fuldabogen · Leonie Hartung · 22.09.2026 · Seite &amp;P</oddFooter>
  </headerFooter>
  <rowBreaks count="1" manualBreakCount="1">
    <brk id="1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