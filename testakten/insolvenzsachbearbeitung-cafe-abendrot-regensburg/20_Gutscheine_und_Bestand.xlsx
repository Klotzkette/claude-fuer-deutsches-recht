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c1554a99034bbf" /></Relationships>
</file>

<file path=xl/workbook.xml><?xml version="1.0" encoding="utf-8"?>
<ns0:workbook xmlns:ns0="http://schemas.openxmlformats.org/spreadsheetml/2006/main" xmlns:ns1="http://schemas.openxmlformats.org/officeDocument/2006/relationships">
  <ns0:sheets>
    <ns0:sheet name="Arbeitsstand" sheetId="1" ns1:id="R14182d34f0c44061"/>
  </ns0:sheets>
  <ns0:definedNames>
    <ns0:definedName name="_xlnm.Print_Area" localSheetId="0">'Arbeitsstand'!$A$1:$E$22</ns0:definedName>
  </ns0:definedNames>
</ns0: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407]#,##0.00&quot;  &quot;"/>
    <x:numFmt numFmtId="201" formatCode="  @"/>
  </x:numFmts>
  <x:fonts count="8">
    <x:font>
      <x:sz val="11"/>
      <x:name val="Carlito"/>
    </x:font>
    <x:font>
      <x:sz val="11"/>
      <x:name val="Times New Roman"/>
    </x:font>
    <x:font>
      <x:b/>
      <x:sz val="15"/>
      <x:name val="Times New Roman"/>
    </x:font>
    <x:font>
      <x:i/>
      <x:sz val="11"/>
      <x:color rgb="FF555555"/>
      <x:name val="Times New Roman"/>
    </x:font>
    <x:font>
      <x:sz val="11"/>
      <x:color rgb="FF0000FF"/>
      <x:name val="Times New Roman"/>
    </x:font>
    <x:font>
      <x:b/>
      <x:sz val="11"/>
      <x:color rgb="FFFFFFFF"/>
      <x:name val="Times New Roman"/>
    </x:font>
    <x:font>
      <x:b/>
      <x:sz val="11"/>
      <x:name val="Times New Roman"/>
    </x:font>
    <x:font>
      <x:sz val="11"/>
      <x:color rgb="FF444444"/>
      <x:name val="Times New Roman"/>
    </x:font>
  </x:fonts>
  <x:fills count="3">
    <x:fill>
      <x:patternFill patternType="none"/>
    </x:fill>
    <x:fill>
      <x:patternFill patternType="gray125"/>
    </x:fill>
    <x:fill>
      <x:patternFill patternType="solid">
        <x:fgColor rgb="FF33465B"/>
      </x:patternFill>
    </x:fill>
  </x:fills>
  <x:borders count="2">
    <x:border>
      <x:left/>
      <x:right/>
      <x:top/>
      <x:bottom/>
      <x:diagonal/>
    </x:border>
    <x:border>
      <x:left/>
      <x:right/>
      <x:top style="thin">
        <x:color rgb="FF8899AA"/>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0" fontId="6" fillId="0" borderId="1" xfId="0" applyNumberFormat="1" applyFont="1" applyFill="1" applyBorder="1" applyAlignment="1">
      <x:alignment vertical="center"/>
    </x:xf>
    <x:xf numFmtId="0"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7" fillId="0" borderId="0" xfId="0" applyNumberFormat="1" applyFont="1" applyFill="1" applyBorder="1" applyAlignment="1">
      <x:alignment vertical="top" wrapText="1"/>
    </x:xf>
    <x:xf numFmtId="201"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88eeda86224040" /><Relationship Type="http://schemas.openxmlformats.org/officeDocument/2006/relationships/theme" Target="/xl/theme/theme1.xml" Id="R8347cc0cb6f442a4" /><Relationship Type="http://schemas.openxmlformats.org/officeDocument/2006/relationships/sharedStrings" Target="/xl/sharedStrings.xml" Id="R49a1a2b130354afe" /><Relationship Type="http://schemas.openxmlformats.org/officeDocument/2006/relationships/worksheet" Target="/xl/worksheets/sheet1.xml" Id="R14182d34f0c440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Views>
    <ns0:sheetView showGridLines="0" workbookViewId="0"/>
  </ns0:sheetViews>
  <ns0:sheetFormatPr defaultRowHeight="15"/>
  <ns0:cols>
    <ns0:col min="1" max="1" width="32" hidden="0" customWidth="1"/>
    <ns0:col min="2" max="2" width="18" hidden="0" customWidth="1"/>
    <ns0:col min="3" max="3" width="25" hidden="0" customWidth="1"/>
    <ns0:col min="4" max="4" width="20" hidden="0" customWidth="1"/>
    <ns0:col min="5" max="5" width="30" hidden="0" customWidth="1"/>
  </ns0:cols>
  <ns0:sheetData>
    <ns0:row r="1" ht="15" customHeight="1">
      <ns0:c r="A1" s="2"/>
      <ns0:c r="B1" s="2"/>
      <ns0:c r="C1" s="2"/>
      <ns0:c r="D1" s="2"/>
      <ns0:c r="E1" s="2"/>
      <ns0:c r="F1" s="2"/>
    </ns0:row>
    <ns0:row r="2" ht="25" customHeight="1">
      <ns0:c r="A2" s="3" t="str">
        <ns0:v>Gutscheine und Standortabgleich</ns0:v>
      </ns0:c>
      <ns0:c r="B2" s="2"/>
      <ns0:c r="C2" s="2"/>
      <ns0:c r="D2" s="2"/>
      <ns0:c r="E2" s="2"/>
      <ns0:c r="F2" s="2"/>
    </ns0:row>
    <ns0:row r="3" ht="18" customHeight="1">
      <ns0:c r="A3" s="4" t="str">
        <ns0:v>Nora Tauber | Stand 12.10.2026</ns0:v>
      </ns0:c>
      <ns0:c r="B3" s="2"/>
      <ns0:c r="C3" s="2"/>
      <ns0:c r="D3" s="2"/>
      <ns0:c r="E3" s="2"/>
      <ns0:c r="F3" s="2"/>
    </ns0:row>
    <ns0:row r="4" ht="15" customHeight="1">
      <ns0:c r="A4" s="2"/>
      <ns0:c r="B4" s="2"/>
      <ns0:c r="C4" s="2"/>
      <ns0:c r="D4" s="2"/>
      <ns0:c r="E4" s="2"/>
      <ns0:c r="F4" s="2"/>
    </ns0:row>
    <ns0:row r="5" ht="32" customHeight="1">
      <ns0:c r="A5" s="11" t="str">
        <ns0:v>Gutscheine</ns0:v>
      </ns0:c>
      <ns0:c r="B5" s="11" t="str">
        <ns0:v>Stück</ns0:v>
      </ns0:c>
      <ns0:c r="C5" s="11" t="str">
        <ns0:v>Nennwert EUR</ns0:v>
      </ns0:c>
      <ns0:c r="D5" s="11" t="str">
        <ns0:v>Gesamt EUR</ns0:v>
      </ns0:c>
      <ns0:c r="E5" s="11" t="str">
        <ns0:v>Beleg</ns0:v>
      </ns0:c>
      <ns0:c r="F5" s="2"/>
    </ns0:row>
    <ns0:row r="6" ht="22" customHeight="1">
      <ns0:c r="A6" s="2" t="str">
        <ns0:v>Verkauft</ns0:v>
      </ns0:c>
      <ns0:c r="B6" s="5" t="n">
        <ns0:v>80</ns0:v>
      </ns0:c>
      <ns0:c r="C6" s="6" t="n">
        <ns0:v>25</ns0:v>
      </ns0:c>
      <ns0:c r="D6" s="7" t="n">
        <ns0:f>B6*C6</ns0:f>
        <ns0:v>2000</ns0:v>
      </ns0:c>
      <ns0:c r="E6" s="19" t="str">
        <ns0:v>07 Journal G001–080</ns0:v>
      </ns0:c>
      <ns0:c r="F6" s="2"/>
    </ns0:row>
    <ns0:row r="7" ht="22" customHeight="1">
      <ns0:c r="A7" s="2" t="str">
        <ns0:v>Eingelöst</ns0:v>
      </ns0:c>
      <ns0:c r="B7" s="5" t="n">
        <ns0:v>44</ns0:v>
      </ns0:c>
      <ns0:c r="C7" s="6" t="n">
        <ns0:v>25</ns0:v>
      </ns0:c>
      <ns0:c r="D7" s="7" t="n">
        <ns0:f>B7*C7</ns0:f>
        <ns0:v>1100</ns0:v>
      </ns0:c>
      <ns0:c r="E7" s="19" t="str">
        <ns0:v>07 Journal</ns0:v>
      </ns0:c>
      <ns0:c r="F7" s="2"/>
    </ns0:row>
    <ns0:row r="8" ht="22" customHeight="1">
      <ns0:c r="A8" s="2" t="str">
        <ns0:v>Vorbereitet unverkauft</ns0:v>
      </ns0:c>
      <ns0:c r="B8" s="5" t="n">
        <ns0:v>20</ns0:v>
      </ns0:c>
      <ns0:c r="C8" s="6" t="n">
        <ns0:v>25</ns0:v>
      </ns0:c>
      <ns0:c r="D8" s="7" t="n">
        <ns0:f>B8*C8</ns0:f>
        <ns0:v>500</ns0:v>
      </ns0:c>
      <ns0:c r="E8" s="19" t="str">
        <ns0:v>06–07 G081–100</ns0:v>
      </ns0:c>
      <ns0:c r="F8" s="2"/>
    </ns0:row>
    <ns0:row r="9" ht="22" customHeight="1">
      <ns0:c r="A9" s="2"/>
      <ns0:c r="B9" s="2"/>
      <ns0:c r="C9" s="7"/>
      <ns0:c r="D9" s="7"/>
      <ns0:c r="E9" s="2"/>
      <ns0:c r="F9" s="2"/>
    </ns0:row>
    <ns0:row r="10" ht="22" customHeight="1">
      <ns0:c r="A10" s="2" t="str">
        <ns0:v>Verkauft und noch offen</ns0:v>
      </ns0:c>
      <ns0:c r="B10" s="2" t="n">
        <ns0:f>B6-B7</ns0:f>
        <ns0:v>36</ns0:v>
      </ns0:c>
      <ns0:c r="C10" s="7"/>
      <ns0:c r="D10" s="7" t="n">
        <ns0:f>D6-D7</ns0:f>
        <ns0:v>900</ns0:v>
      </ns0:c>
      <ns0:c r="E10" s="2"/>
      <ns0:c r="F10" s="2"/>
    </ns0:row>
    <ns0:row r="11" ht="22" customHeight="1">
      <ns0:c r="A11" s="2"/>
      <ns0:c r="B11" s="2"/>
      <ns0:c r="C11" s="2"/>
      <ns0:c r="D11" s="2"/>
      <ns0:c r="E11" s="2"/>
      <ns0:c r="F11" s="2"/>
    </ns0:row>
    <ns0:row r="12" ht="22" customHeight="1">
      <ns0:c r="A12" s="2" t="str">
        <ns0:v>Standort</ns0:v>
      </ns0:c>
      <ns0:c r="B12" s="2" t="str">
        <ns0:v>Betrag EUR</ns0:v>
      </ns0:c>
      <ns0:c r="C12" s="2" t="str">
        <ns0:v>Beleg</ns0:v>
      </ns0:c>
      <ns0:c r="D12" s="2"/>
      <ns0:c r="E12" s="2"/>
      <ns0:c r="F12" s="2"/>
    </ns0:row>
    <ns0:row r="13" ht="22" customHeight="1">
      <ns0:c r="A13" s="2" t="str">
        <ns0:v>Backsteg</ns0:v>
      </ns0:c>
      <ns0:c r="B13" s="6" t="n">
        <ns0:v>1640</ns0:v>
      </ns0:c>
      <ns0:c r="C13" s="19" t="str">
        <ns0:v>09 Bestandsaufnahme</ns0:v>
      </ns0:c>
      <ns0:c r="D13" s="2"/>
      <ns0:c r="E13" s="2"/>
      <ns0:c r="F13" s="2"/>
    </ns0:row>
    <ns0:row r="14" ht="22" customHeight="1">
      <ns0:c r="A14" s="2" t="str">
        <ns0:v>Mühlenbogen</ns0:v>
      </ns0:c>
      <ns0:c r="B14" s="6" t="n">
        <ns0:v>860</ns0:v>
      </ns0:c>
      <ns0:c r="C14" s="19" t="str">
        <ns0:v>08–10 Korrektur</ns0:v>
      </ns0:c>
      <ns0:c r="D14" s="2"/>
      <ns0:c r="E14" s="2"/>
      <ns0:c r="F14" s="2"/>
    </ns0:row>
    <ns0:row r="15" ht="22" customHeight="1">
      <ns0:c r="A15" s="14" t="str">
        <ns0:v>Standorte gesamt</ns0:v>
      </ns0:c>
      <ns0:c r="B15" s="15" t="n">
        <ns0:f>SUM(B13:B14)</ns0:f>
        <ns0:v>2500</ns0:v>
      </ns0:c>
      <ns0:c r="C15" s="14"/>
      <ns0:c r="D15" s="14"/>
      <ns0:c r="E15" s="14"/>
      <ns0:c r="F15" s="2"/>
    </ns0:row>
    <ns0:row r="16" ht="15" customHeight="1">
      <ns0:c r="A16" s="2"/>
      <ns0:c r="B16" s="2"/>
      <ns0:c r="C16" s="2"/>
      <ns0:c r="D16" s="2"/>
      <ns0:c r="E16" s="2"/>
      <ns0:c r="F16" s="2"/>
    </ns0:row>
    <ns0:row r="17" ht="15" customHeight="1">
      <ns0:c r="A17" s="2"/>
      <ns0:c r="B17" s="2"/>
      <ns0:c r="C17" s="2"/>
      <ns0:c r="D17" s="2"/>
      <ns0:c r="E17" s="2"/>
      <ns0:c r="F17" s="2"/>
    </ns0:row>
    <ns0:row r="18" ht="22" customHeight="1">
      <ns0:c r="A18" s="18" t="str">
        <ns0:v>Die offene Gutscheinzahl wird aus verkauften minus eingelösten Karten berechnet. Die unverkauften Karten sind kein zusätzlicher Verkauf. Die Standortwerte berücksichtigen den internen Transfer von 200 EUR bereits. Die Werte entscheiden nicht über Rang, Einlösung oder Rückzahlung.</ns0:v>
      </ns0:c>
      <ns0:c r="B18" s="18"/>
      <ns0:c r="C18" s="18"/>
      <ns0:c r="D18" s="18"/>
      <ns0:c r="E18" s="18"/>
      <ns0:c r="F18" s="2"/>
    </ns0:row>
    <ns0:row r="19" ht="22" customHeight="1">
      <ns0:c r="A19" s="18"/>
      <ns0:c r="B19" s="18"/>
      <ns0:c r="C19" s="18"/>
      <ns0:c r="D19" s="18"/>
      <ns0:c r="E19" s="18"/>
      <ns0:c r="F19" s="2"/>
    </ns0:row>
    <ns0:row r="20" ht="15" customHeight="1">
      <ns0:c r="A20" s="2"/>
      <ns0:c r="B20" s="2"/>
      <ns0:c r="C20" s="2"/>
      <ns0:c r="D20" s="2"/>
      <ns0:c r="E20" s="2"/>
      <ns0:c r="F20" s="2"/>
    </ns0:row>
    <ns0:row r="21" ht="22" customHeight="1">
      <ns0:c r="A21" s="18" t="str">
        <ns0:v>Blaue Zahlen sind Eingaben aus den genannten Aktenstücken. Schwarze Ergebnisse sind Formeln. Die Belegangaben beziehen sich auf die Dateinummern derselben Akte.</ns0:v>
      </ns0:c>
      <ns0:c r="B21" s="18"/>
      <ns0:c r="C21" s="18"/>
      <ns0:c r="D21" s="18"/>
      <ns0:c r="E21" s="18"/>
      <ns0:c r="F21" s="2"/>
    </ns0:row>
    <ns0:row r="22" ht="22" customHeight="1">
      <ns0:c r="A22" s="18"/>
      <ns0:c r="B22" s="18"/>
      <ns0:c r="C22" s="18"/>
      <ns0:c r="D22" s="18"/>
      <ns0:c r="E22" s="18"/>
      <ns0:c r="F22" s="2"/>
    </ns0:row>
    <ns0:row r="23" ht="15" customHeight="1">
      <ns0:c r="A23" s="2"/>
      <ns0:c r="B23" s="2"/>
      <ns0:c r="C23" s="2"/>
      <ns0:c r="D23" s="2"/>
      <ns0:c r="E23" s="2"/>
      <ns0:c r="F23" s="2"/>
    </ns0:row>
    <ns0:row r="24" ht="15" customHeight="1">
      <ns0:c r="A24" s="2"/>
      <ns0:c r="B24" s="2"/>
      <ns0:c r="C24" s="2"/>
      <ns0:c r="D24" s="2"/>
      <ns0:c r="E24" s="2"/>
      <ns0:c r="F24" s="2"/>
    </ns0:row>
    <ns0:row r="25" ht="15" customHeight="1">
      <ns0:c r="A25" s="2"/>
      <ns0:c r="B25" s="2"/>
      <ns0:c r="C25" s="2"/>
      <ns0:c r="D25" s="2"/>
      <ns0:c r="E25" s="2"/>
      <ns0:c r="F25" s="2"/>
    </ns0:row>
    <ns0:row r="26" ht="15" customHeight="1">
      <ns0:c r="A26" s="2"/>
      <ns0:c r="B26" s="2"/>
      <ns0:c r="C26" s="2"/>
      <ns0:c r="D26" s="2"/>
      <ns0:c r="E26" s="2"/>
      <ns0:c r="F26" s="2"/>
    </ns0:row>
    <ns0:row r="27" ht="15" customHeight="1">
      <ns0:c r="A27" s="2"/>
      <ns0:c r="B27" s="2"/>
      <ns0:c r="C27" s="2"/>
      <ns0:c r="D27" s="2"/>
      <ns0:c r="E27" s="2"/>
      <ns0:c r="F27" s="2"/>
    </ns0:row>
    <ns0:row r="28" ht="15" customHeight="1">
      <ns0:c r="A28" s="2"/>
      <ns0:c r="B28" s="2"/>
      <ns0:c r="C28" s="2"/>
      <ns0:c r="D28" s="2"/>
      <ns0:c r="E28" s="2"/>
      <ns0:c r="F28" s="2"/>
    </ns0:row>
  </ns0:sheetData>
  <ns0:mergeCells>
    <ns0:mergeCell ref="A18:E19"/>
    <ns0:mergeCell ref="A21:E22"/>
  </ns0:mergeCells>
  <ns0:pageMargins left="0.7" right="0.7" top="0.75" bottom="0.75" header="0.3" footer="0.3"/>
  <ns0:pageSetup orientation="landscape" paperSize="9" fitToWidth="1" fitToHeight="0"/>
</ns0:worksheet>
</file>