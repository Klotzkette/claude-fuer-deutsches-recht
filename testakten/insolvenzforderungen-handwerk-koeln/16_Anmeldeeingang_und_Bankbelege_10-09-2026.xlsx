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nmeldeeingang" sheetId="1" state="visible" r:id="rId3"/>
    <sheet name="Bankbelege" sheetId="2" state="visible" r:id="rId4"/>
  </sheets>
  <definedNames>
    <definedName function="false" hidden="false" localSheetId="0" name="_xlnm.Print_Area" vbProcedure="false">Anmeldeeingang!$A$1:$G$19</definedName>
    <definedName function="false" hidden="false" localSheetId="0" name="_xlnm.Print_Titles" vbProcedure="false">Anmeldeeingang!$1:$5</definedName>
    <definedName function="false" hidden="false" localSheetId="1" name="_xlnm.Print_Area" vbProcedure="false">Bankbelege!$A$1:$E$25</definedName>
    <definedName function="false" hidden="false" localSheetId="1" name="_xlnm.Print_Titles" vbProcedure="false">Bankbelege!$1:$5</definedName>
  </definedName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<sst xmlns="http://schemas.openxmlformats.org/spreadsheetml/2006/main" count="92" uniqueCount="84">
  <si>
    <t xml:space="preserve">Rheinsteg | Anmeldeeingang</t>
  </si>
  <si>
    <t xml:space="preserve">Tervens &amp; Sander | Stand 10.09.2026 | Erfasst: Mara Telskow</t>
  </si>
  <si>
    <t xml:space="preserve">Nr.</t>
  </si>
  <si>
    <t xml:space="preserve">Gläubiger</t>
  </si>
  <si>
    <t xml:space="preserve">Eingang</t>
  </si>
  <si>
    <t xml:space="preserve">Hauptforderung
EUR</t>
  </si>
  <si>
    <t xml:space="preserve">Zinsen/Kosten
EUR</t>
  </si>
  <si>
    <t xml:space="preserve">Übermittlung</t>
  </si>
  <si>
    <t xml:space="preserve">Beleg</t>
  </si>
  <si>
    <t xml:space="preserve">01</t>
  </si>
  <si>
    <t xml:space="preserve">Konturlinie Kommunikation GmbH</t>
  </si>
  <si>
    <t xml:space="preserve">E-Mail mit PDF</t>
  </si>
  <si>
    <t xml:space="preserve">Anmeldung 01, Unterlage 17</t>
  </si>
  <si>
    <t xml:space="preserve">02</t>
  </si>
  <si>
    <t xml:space="preserve">Stahlkontor Marvink GmbH</t>
  </si>
  <si>
    <t xml:space="preserve">Anmeldung 02, Unterlage 21</t>
  </si>
  <si>
    <t xml:space="preserve">03</t>
  </si>
  <si>
    <t xml:space="preserve">Torwinkel Gewerbehöfe GmbH</t>
  </si>
  <si>
    <t xml:space="preserve">Anmeldung 03, Unterlage 25</t>
  </si>
  <si>
    <t xml:space="preserve">04</t>
  </si>
  <si>
    <t xml:space="preserve">Rheinlicht Energievertrieb GmbH</t>
  </si>
  <si>
    <t xml:space="preserve">Anmeldung 04, Unterlage 28</t>
  </si>
  <si>
    <t xml:space="preserve">05</t>
  </si>
  <si>
    <t xml:space="preserve">Werknetz IT Service GmbH</t>
  </si>
  <si>
    <t xml:space="preserve">Anmeldung 05, Unterlage 32</t>
  </si>
  <si>
    <t xml:space="preserve">06</t>
  </si>
  <si>
    <t xml:space="preserve">Baukontor Elsterfeld GmbH</t>
  </si>
  <si>
    <t xml:space="preserve">Anmeldung 06, Unterlage 36</t>
  </si>
  <si>
    <t xml:space="preserve">07</t>
  </si>
  <si>
    <t xml:space="preserve">Brückenbogen Objektfinanz GmbH</t>
  </si>
  <si>
    <t xml:space="preserve">Anmeldung 07, Unterlage 41</t>
  </si>
  <si>
    <t xml:space="preserve">08</t>
  </si>
  <si>
    <t xml:space="preserve">Hubwerk Sennfeld GmbH</t>
  </si>
  <si>
    <t xml:space="preserve">Anmeldung 08, Unterlage 45</t>
  </si>
  <si>
    <t xml:space="preserve">09</t>
  </si>
  <si>
    <t xml:space="preserve">Feldek Beteiligungen GmbH</t>
  </si>
  <si>
    <t xml:space="preserve">Post</t>
  </si>
  <si>
    <t xml:space="preserve">Anmeldung 09, Unterlage 50</t>
  </si>
  <si>
    <t xml:space="preserve">10</t>
  </si>
  <si>
    <t xml:space="preserve">Fugenklar Ausbau GmbH</t>
  </si>
  <si>
    <t xml:space="preserve">Anmeldung 10, Unterlage 54</t>
  </si>
  <si>
    <t xml:space="preserve">Eingangssumme</t>
  </si>
  <si>
    <t xml:space="preserve">Beträge laut Anmeldung; keine Aussage zur materiellen Prüfung oder Feststellung.</t>
  </si>
  <si>
    <t xml:space="preserve">Rheinsteg | Betriebskonto 1237400</t>
  </si>
  <si>
    <t xml:space="preserve">Quelle: Kontoauszug 2026/06 vom 30.06.2026, Unterlage 15</t>
  </si>
  <si>
    <t xml:space="preserve">Valuta</t>
  </si>
  <si>
    <t xml:space="preserve">Buchungstext</t>
  </si>
  <si>
    <t xml:space="preserve">Soll EUR</t>
  </si>
  <si>
    <t xml:space="preserve">Haben EUR</t>
  </si>
  <si>
    <t xml:space="preserve">Belegreferenz</t>
  </si>
  <si>
    <t xml:space="preserve">Anfangsbestand</t>
  </si>
  <si>
    <t xml:space="preserve">AB-0420</t>
  </si>
  <si>
    <t xml:space="preserve">Baukontor Elsterfeld; B-260331</t>
  </si>
  <si>
    <t xml:space="preserve">ZA-0424-17</t>
  </si>
  <si>
    <t xml:space="preserve">Kundeneingang Kiesbogen</t>
  </si>
  <si>
    <t xml:space="preserve">ZE-0428-06</t>
  </si>
  <si>
    <t xml:space="preserve">Betriebsausgaben April, ohne Nettoentgelte</t>
  </si>
  <si>
    <t xml:space="preserve">ZA-0430-S</t>
  </si>
  <si>
    <t xml:space="preserve">Einzahlung Kassenbestand</t>
  </si>
  <si>
    <t xml:space="preserve">ZE-0506-K</t>
  </si>
  <si>
    <t xml:space="preserve">Miete Mai 2026</t>
  </si>
  <si>
    <t xml:space="preserve">ZA-0508-03</t>
  </si>
  <si>
    <t xml:space="preserve">Freie Kundeneingänge Mai</t>
  </si>
  <si>
    <t xml:space="preserve">ZE-0522-S</t>
  </si>
  <si>
    <t xml:space="preserve">Neubestellungen NB-0513 und NB-0514</t>
  </si>
  <si>
    <t xml:space="preserve">ZA-0527-NB</t>
  </si>
  <si>
    <t xml:space="preserve">Betriebsausgaben Mai, ohne Nettoentgelte</t>
  </si>
  <si>
    <t xml:space="preserve">ZA-0529-S</t>
  </si>
  <si>
    <t xml:space="preserve">Miete Juni 2026</t>
  </si>
  <si>
    <t xml:space="preserve">ZA-0605-03</t>
  </si>
  <si>
    <t xml:space="preserve">Freie Kundeneingänge Juni</t>
  </si>
  <si>
    <t xml:space="preserve">ZE-0612-S</t>
  </si>
  <si>
    <t xml:space="preserve">Neubestellung NB-0515</t>
  </si>
  <si>
    <t xml:space="preserve">ZA-0622-NB</t>
  </si>
  <si>
    <t xml:space="preserve">Betriebsausgaben Juni, ohne Nettoentgelte</t>
  </si>
  <si>
    <t xml:space="preserve">ZA-0626-S</t>
  </si>
  <si>
    <t xml:space="preserve">Freier Kundeneingang Südsteg</t>
  </si>
  <si>
    <t xml:space="preserve">ZE-0630-01</t>
  </si>
  <si>
    <t xml:space="preserve">Laufende Betriebsausgaben</t>
  </si>
  <si>
    <t xml:space="preserve">ZA-0630-S</t>
  </si>
  <si>
    <t xml:space="preserve">Finanzierungsentgelt IG-2605-RS</t>
  </si>
  <si>
    <t xml:space="preserve">ZA-0630-IG</t>
  </si>
  <si>
    <t xml:space="preserve">Schlussbestand EUR</t>
  </si>
  <si>
    <t xml:space="preserve">Anfangsbestand als Haben erfasst; das Vorfinanzierungs-Unterkonto ist nicht enthalten.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</si>
</sst>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0"/>
    <numFmt numFmtId="166" formatCode="dd\.mm\.yyyy"/>
    <numFmt numFmtId="167" formatCode="#,##0.00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20252B"/>
      <name val="Arial"/>
      <family val="0"/>
      <charset val="1"/>
    </font>
    <font>
      <b val="true"/>
      <sz val="14"/>
      <color rgb="FF20252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20252B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34E54"/>
        <bgColor rgb="FF156082"/>
      </patternFill>
    </fill>
    <fill>
      <patternFill patternType="solid">
        <fgColor rgb="FFF0F3F3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4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4" fillId="3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4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center" textRotation="0" wrapText="true" indent="1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334E54"/>
          <bgColor rgb="FF000000"/>
        </patternFill>
      </fill>
    </dxf>
    <dxf>
      <fill>
        <patternFill patternType="solid">
          <fgColor rgb="FFF0F3F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0252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color rgb="FF000000"/>
      </font>
      <border diagonalUp="false" diagonalDown="false"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 diagonalUp="false" diagonalDown="false">
        <left/>
        <right/>
        <top style="double">
          <color theme="4"/>
        </top>
        <bottom/>
        <diagonal/>
      </border>
    </dxf>
  </dxfs>
  <tableStyles count="1">
    <tableStyle count="7" name="TableStyleMedium2">
      <tableStyleElement dxfId="5" type="wholeTable"/>
      <tableStyleElement dxfId="6" type="firstColumnStripe"/>
      <tableStyleElement dxfId="7" type="firstRowStripe"/>
      <tableStyleElement dxfId="8" type="lastColumn"/>
      <tableStyleElement dxfId="9" type="firstColumn"/>
      <tableStyleElement dxfId="10" type="headerRow"/>
      <tableStyleElement dxfId="11" type="totalRow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C0C0C0"/>
      <rgbColor rgb="FF808080"/>
      <rgbColor rgb="FF9999FF"/>
      <rgbColor rgb="FF993366"/>
      <rgbColor rgb="FFF0F3F3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46B1E1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4E54"/>
      <rgbColor rgb="FF2025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AnmeldeeingangRheinsteg" displayName="AnmeldeeingangRheinsteg" ref="A5:G15" headerRowCount="1" totalsRowCount="0" totalsRowShown="0">
  <tableColumns count="7">
    <tableColumn id="1" name="Nr."/>
    <tableColumn id="2" name="Gläubiger"/>
    <tableColumn id="3" name="Eingang"/>
    <tableColumn id="4" name="Hauptforderung&#10;EUR"/>
    <tableColumn id="5" name="Zinsen/Kosten&#10;EUR"/>
    <tableColumn id="6" name="Übermittlung"/>
    <tableColumn id="7" name="Bele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BankbelegeRheinsteg" displayName="BankbelegeRheinsteg" ref="A5:E21" headerRowCount="1" totalsRowCount="0" totalsRowShown="0">
  <tableColumns count="5">
    <tableColumn id="1" name="Valuta"/>
    <tableColumn id="2" name="Buchungstext"/>
    <tableColumn id="3" name="Soll EUR"/>
    <tableColumn id="4" name="Haben EUR"/>
    <tableColumn id="5" name="Belegreferenz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4"/>
    <col collapsed="false" customWidth="true" hidden="false" outlineLevel="0" max="3" min="3" style="1" width="18"/>
    <col collapsed="false" customWidth="true" hidden="false" outlineLevel="0" max="5" min="4" style="1" width="15"/>
    <col collapsed="false" customWidth="true" hidden="false" outlineLevel="0" max="6" min="6" style="1" width="18"/>
    <col collapsed="false" customWidth="true" hidden="false" outlineLevel="0" max="7" min="7" style="1" width="23"/>
  </cols>
  <sheetData>
    <row r="1" customFormat="false" ht="9.75" hidden="false" customHeight="true" outlineLevel="0" collapsed="false">
      <c r="A1" s="2"/>
      <c r="B1" s="2"/>
      <c r="C1" s="2"/>
      <c r="D1" s="2"/>
      <c r="E1" s="2"/>
      <c r="F1" s="2"/>
      <c r="G1" s="2"/>
    </row>
    <row r="2" customFormat="false" ht="27" hidden="false" customHeight="true" outlineLevel="0" collapsed="false">
      <c r="A2" s="3" t="s">
        <v>0</v>
      </c>
      <c r="B2" s="2"/>
      <c r="C2" s="2"/>
      <c r="D2" s="2"/>
      <c r="E2" s="2"/>
      <c r="F2" s="2"/>
      <c r="G2" s="2"/>
    </row>
    <row r="3" customFormat="false" ht="15" hidden="false" customHeight="true" outlineLevel="0" collapsed="false">
      <c r="A3" s="2" t="s">
        <v>1</v>
      </c>
      <c r="B3" s="2"/>
      <c r="C3" s="2"/>
      <c r="D3" s="2"/>
      <c r="E3" s="2"/>
      <c r="F3" s="2"/>
      <c r="G3" s="2"/>
    </row>
    <row r="4" customFormat="false" ht="9.75" hidden="false" customHeight="true" outlineLevel="0" collapsed="false">
      <c r="A4" s="2"/>
      <c r="B4" s="2"/>
      <c r="C4" s="2"/>
      <c r="D4" s="2"/>
      <c r="E4" s="2"/>
      <c r="F4" s="2"/>
      <c r="G4" s="2"/>
    </row>
    <row r="5" customFormat="false" ht="31.5" hidden="false" customHeight="true" outlineLevel="0" collapsed="false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</row>
    <row r="6" customFormat="false" ht="27.75" hidden="false" customHeight="true" outlineLevel="0" collapsed="false">
      <c r="A6" s="5" t="s">
        <v>9</v>
      </c>
      <c r="B6" s="6" t="s">
        <v>10</v>
      </c>
      <c r="C6" s="7" t="n">
        <v>46223.5</v>
      </c>
      <c r="D6" s="8" t="n">
        <v>6426</v>
      </c>
      <c r="E6" s="8" t="n">
        <v>0</v>
      </c>
      <c r="F6" s="9" t="s">
        <v>11</v>
      </c>
      <c r="G6" s="6" t="s">
        <v>12</v>
      </c>
    </row>
    <row r="7" customFormat="false" ht="27.75" hidden="false" customHeight="true" outlineLevel="0" collapsed="false">
      <c r="A7" s="10" t="s">
        <v>13</v>
      </c>
      <c r="B7" s="11" t="s">
        <v>14</v>
      </c>
      <c r="C7" s="12" t="n">
        <v>46224.5</v>
      </c>
      <c r="D7" s="13" t="n">
        <v>17850</v>
      </c>
      <c r="E7" s="13" t="n">
        <v>0</v>
      </c>
      <c r="F7" s="14" t="s">
        <v>11</v>
      </c>
      <c r="G7" s="11" t="s">
        <v>15</v>
      </c>
    </row>
    <row r="8" customFormat="false" ht="27.75" hidden="false" customHeight="true" outlineLevel="0" collapsed="false">
      <c r="A8" s="5" t="s">
        <v>16</v>
      </c>
      <c r="B8" s="6" t="s">
        <v>17</v>
      </c>
      <c r="C8" s="7" t="n">
        <v>46226.5</v>
      </c>
      <c r="D8" s="8" t="n">
        <v>11424</v>
      </c>
      <c r="E8" s="8" t="n">
        <v>0</v>
      </c>
      <c r="F8" s="9" t="s">
        <v>11</v>
      </c>
      <c r="G8" s="6" t="s">
        <v>18</v>
      </c>
    </row>
    <row r="9" customFormat="false" ht="27.75" hidden="false" customHeight="true" outlineLevel="0" collapsed="false">
      <c r="A9" s="10" t="s">
        <v>19</v>
      </c>
      <c r="B9" s="11" t="s">
        <v>20</v>
      </c>
      <c r="C9" s="12" t="n">
        <v>46231.5</v>
      </c>
      <c r="D9" s="13" t="n">
        <v>4284</v>
      </c>
      <c r="E9" s="13" t="n">
        <v>0</v>
      </c>
      <c r="F9" s="14" t="s">
        <v>11</v>
      </c>
      <c r="G9" s="11" t="s">
        <v>21</v>
      </c>
    </row>
    <row r="10" customFormat="false" ht="27.75" hidden="false" customHeight="true" outlineLevel="0" collapsed="false">
      <c r="A10" s="5" t="s">
        <v>22</v>
      </c>
      <c r="B10" s="6" t="s">
        <v>23</v>
      </c>
      <c r="C10" s="7" t="n">
        <v>46237.5</v>
      </c>
      <c r="D10" s="8" t="n">
        <v>2856</v>
      </c>
      <c r="E10" s="8" t="n">
        <v>0</v>
      </c>
      <c r="F10" s="9" t="s">
        <v>11</v>
      </c>
      <c r="G10" s="6" t="s">
        <v>24</v>
      </c>
    </row>
    <row r="11" customFormat="false" ht="27.75" hidden="false" customHeight="true" outlineLevel="0" collapsed="false">
      <c r="A11" s="10" t="s">
        <v>25</v>
      </c>
      <c r="B11" s="11" t="s">
        <v>26</v>
      </c>
      <c r="C11" s="12" t="n">
        <v>46240.5</v>
      </c>
      <c r="D11" s="13" t="n">
        <v>14280</v>
      </c>
      <c r="E11" s="13" t="n">
        <v>0</v>
      </c>
      <c r="F11" s="14" t="s">
        <v>11</v>
      </c>
      <c r="G11" s="11" t="s">
        <v>27</v>
      </c>
    </row>
    <row r="12" customFormat="false" ht="27.75" hidden="false" customHeight="true" outlineLevel="0" collapsed="false">
      <c r="A12" s="5" t="s">
        <v>28</v>
      </c>
      <c r="B12" s="6" t="s">
        <v>29</v>
      </c>
      <c r="C12" s="7" t="n">
        <v>46244.5</v>
      </c>
      <c r="D12" s="8" t="n">
        <v>48000</v>
      </c>
      <c r="E12" s="8" t="n">
        <v>0</v>
      </c>
      <c r="F12" s="9" t="s">
        <v>11</v>
      </c>
      <c r="G12" s="6" t="s">
        <v>30</v>
      </c>
    </row>
    <row r="13" customFormat="false" ht="27.75" hidden="false" customHeight="true" outlineLevel="0" collapsed="false">
      <c r="A13" s="10" t="s">
        <v>31</v>
      </c>
      <c r="B13" s="11" t="s">
        <v>32</v>
      </c>
      <c r="C13" s="12" t="n">
        <v>46245.5</v>
      </c>
      <c r="D13" s="13" t="n">
        <v>23800</v>
      </c>
      <c r="E13" s="13" t="n">
        <v>0</v>
      </c>
      <c r="F13" s="14" t="s">
        <v>11</v>
      </c>
      <c r="G13" s="11" t="s">
        <v>33</v>
      </c>
    </row>
    <row r="14" customFormat="false" ht="27.75" hidden="false" customHeight="true" outlineLevel="0" collapsed="false">
      <c r="A14" s="5" t="s">
        <v>34</v>
      </c>
      <c r="B14" s="6" t="s">
        <v>35</v>
      </c>
      <c r="C14" s="7" t="n">
        <v>46246.5</v>
      </c>
      <c r="D14" s="8" t="n">
        <v>60000</v>
      </c>
      <c r="E14" s="8" t="n">
        <v>0</v>
      </c>
      <c r="F14" s="9" t="s">
        <v>36</v>
      </c>
      <c r="G14" s="6" t="s">
        <v>37</v>
      </c>
    </row>
    <row r="15" customFormat="false" ht="27.75" hidden="false" customHeight="true" outlineLevel="0" collapsed="false">
      <c r="A15" s="10" t="s">
        <v>38</v>
      </c>
      <c r="B15" s="11" t="s">
        <v>39</v>
      </c>
      <c r="C15" s="12" t="n">
        <v>46266.5</v>
      </c>
      <c r="D15" s="13" t="n">
        <v>8330</v>
      </c>
      <c r="E15" s="13" t="n">
        <v>0</v>
      </c>
      <c r="F15" s="14" t="s">
        <v>11</v>
      </c>
      <c r="G15" s="11" t="s">
        <v>40</v>
      </c>
    </row>
    <row r="16" customFormat="false" ht="27.75" hidden="false" customHeight="true" outlineLevel="0" collapsed="false">
      <c r="A16" s="15"/>
      <c r="B16" s="15"/>
      <c r="C16" s="15"/>
      <c r="D16" s="16"/>
      <c r="E16" s="16"/>
      <c r="F16" s="15"/>
      <c r="G16" s="15"/>
    </row>
    <row r="17" customFormat="false" ht="27.75" hidden="false" customHeight="true" outlineLevel="0" collapsed="false">
      <c r="A17" s="17"/>
      <c r="B17" s="17"/>
      <c r="C17" s="18" t="s">
        <v>41</v>
      </c>
      <c r="D17" s="19" t="n">
        <f aca="false">SUM(D6:D15)</f>
        <v>197250</v>
      </c>
      <c r="E17" s="19" t="n">
        <f aca="false">SUM(E6:E15)</f>
        <v>0</v>
      </c>
      <c r="F17" s="17"/>
      <c r="G17" s="17"/>
    </row>
    <row r="18" customFormat="false" ht="27.75" hidden="false" customHeight="true" outlineLevel="0" collapsed="false"/>
    <row r="19" customFormat="false" ht="27.75" hidden="false" customHeight="true" outlineLevel="0" collapsed="false">
      <c r="A19" s="1" t="s">
        <v>42</v>
      </c>
    </row>
  </sheetData>
  <printOptions headings="false" gridLines="false" gridLinesSet="true" horizontalCentered="false" verticalCentered="false"/>
  <pageMargins left="0.25" right="0.25" top="0.35" bottom="0.4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53"/>
    <col collapsed="false" customWidth="true" hidden="false" outlineLevel="0" max="4" min="3" style="1" width="16"/>
    <col collapsed="false" customWidth="true" hidden="false" outlineLevel="0" max="5" min="5" style="1" width="17"/>
  </cols>
  <sheetData>
    <row r="1" customFormat="false" ht="9.75" hidden="false" customHeight="true" outlineLevel="0" collapsed="false">
      <c r="A1" s="2"/>
      <c r="B1" s="2"/>
      <c r="C1" s="2"/>
      <c r="D1" s="2"/>
      <c r="E1" s="2"/>
    </row>
    <row r="2" customFormat="false" ht="27" hidden="false" customHeight="true" outlineLevel="0" collapsed="false">
      <c r="A2" s="3" t="s">
        <v>43</v>
      </c>
      <c r="B2" s="2"/>
      <c r="C2" s="2"/>
      <c r="D2" s="2"/>
      <c r="E2" s="2"/>
    </row>
    <row r="3" customFormat="false" ht="15" hidden="false" customHeight="true" outlineLevel="0" collapsed="false">
      <c r="A3" s="2" t="s">
        <v>44</v>
      </c>
      <c r="B3" s="2"/>
      <c r="C3" s="2"/>
      <c r="D3" s="2"/>
      <c r="E3" s="2"/>
    </row>
    <row r="4" customFormat="false" ht="9.75" hidden="false" customHeight="true" outlineLevel="0" collapsed="false">
      <c r="A4" s="2"/>
      <c r="B4" s="2"/>
      <c r="C4" s="2"/>
      <c r="D4" s="2"/>
      <c r="E4" s="2"/>
    </row>
    <row r="5" customFormat="false" ht="31.5" hidden="false" customHeight="true" outlineLevel="0" collapsed="false">
      <c r="A5" s="4" t="s">
        <v>45</v>
      </c>
      <c r="B5" s="4" t="s">
        <v>46</v>
      </c>
      <c r="C5" s="4" t="s">
        <v>47</v>
      </c>
      <c r="D5" s="4" t="s">
        <v>48</v>
      </c>
      <c r="E5" s="4" t="s">
        <v>49</v>
      </c>
    </row>
    <row r="6" customFormat="false" ht="19.5" hidden="false" customHeight="true" outlineLevel="0" collapsed="false">
      <c r="A6" s="7" t="n">
        <v>46132.5</v>
      </c>
      <c r="B6" s="20" t="s">
        <v>50</v>
      </c>
      <c r="C6" s="8" t="n">
        <v>0</v>
      </c>
      <c r="D6" s="8" t="n">
        <v>25000</v>
      </c>
      <c r="E6" s="15" t="s">
        <v>51</v>
      </c>
    </row>
    <row r="7" customFormat="false" ht="19.5" hidden="false" customHeight="true" outlineLevel="0" collapsed="false">
      <c r="A7" s="12" t="n">
        <v>46136.5</v>
      </c>
      <c r="B7" s="21" t="s">
        <v>52</v>
      </c>
      <c r="C7" s="13" t="n">
        <v>3570</v>
      </c>
      <c r="D7" s="13" t="n">
        <v>0</v>
      </c>
      <c r="E7" s="17" t="s">
        <v>53</v>
      </c>
    </row>
    <row r="8" customFormat="false" ht="19.5" hidden="false" customHeight="true" outlineLevel="0" collapsed="false">
      <c r="A8" s="7" t="n">
        <v>46140.5</v>
      </c>
      <c r="B8" s="20" t="s">
        <v>54</v>
      </c>
      <c r="C8" s="8" t="n">
        <v>0</v>
      </c>
      <c r="D8" s="8" t="n">
        <v>22150</v>
      </c>
      <c r="E8" s="15" t="s">
        <v>55</v>
      </c>
    </row>
    <row r="9" customFormat="false" ht="19.5" hidden="false" customHeight="true" outlineLevel="0" collapsed="false">
      <c r="A9" s="12" t="n">
        <v>46142.5</v>
      </c>
      <c r="B9" s="21" t="s">
        <v>56</v>
      </c>
      <c r="C9" s="13" t="n">
        <v>20000</v>
      </c>
      <c r="D9" s="13" t="n">
        <v>0</v>
      </c>
      <c r="E9" s="17" t="s">
        <v>57</v>
      </c>
    </row>
    <row r="10" customFormat="false" ht="19.5" hidden="false" customHeight="true" outlineLevel="0" collapsed="false">
      <c r="A10" s="7" t="n">
        <v>46148.5</v>
      </c>
      <c r="B10" s="20" t="s">
        <v>58</v>
      </c>
      <c r="C10" s="8" t="n">
        <v>0</v>
      </c>
      <c r="D10" s="8" t="n">
        <v>2300</v>
      </c>
      <c r="E10" s="15" t="s">
        <v>59</v>
      </c>
    </row>
    <row r="11" customFormat="false" ht="19.5" hidden="false" customHeight="true" outlineLevel="0" collapsed="false">
      <c r="A11" s="12" t="n">
        <v>46150.5</v>
      </c>
      <c r="B11" s="21" t="s">
        <v>60</v>
      </c>
      <c r="C11" s="13" t="n">
        <v>5712</v>
      </c>
      <c r="D11" s="13" t="n">
        <v>0</v>
      </c>
      <c r="E11" s="17" t="s">
        <v>61</v>
      </c>
    </row>
    <row r="12" customFormat="false" ht="19.5" hidden="false" customHeight="true" outlineLevel="0" collapsed="false">
      <c r="A12" s="7" t="n">
        <v>46164.5</v>
      </c>
      <c r="B12" s="20" t="s">
        <v>62</v>
      </c>
      <c r="C12" s="8" t="n">
        <v>0</v>
      </c>
      <c r="D12" s="8" t="n">
        <v>106000</v>
      </c>
      <c r="E12" s="15" t="s">
        <v>63</v>
      </c>
    </row>
    <row r="13" customFormat="false" ht="19.5" hidden="false" customHeight="true" outlineLevel="0" collapsed="false">
      <c r="A13" s="12" t="n">
        <v>46169.5</v>
      </c>
      <c r="B13" s="21" t="s">
        <v>64</v>
      </c>
      <c r="C13" s="13" t="n">
        <v>26180</v>
      </c>
      <c r="D13" s="13" t="n">
        <v>0</v>
      </c>
      <c r="E13" s="17" t="s">
        <v>65</v>
      </c>
    </row>
    <row r="14" customFormat="false" ht="19.5" hidden="false" customHeight="true" outlineLevel="0" collapsed="false">
      <c r="A14" s="7" t="n">
        <v>46171.5</v>
      </c>
      <c r="B14" s="20" t="s">
        <v>66</v>
      </c>
      <c r="C14" s="8" t="n">
        <v>48408</v>
      </c>
      <c r="D14" s="8" t="n">
        <v>0</v>
      </c>
      <c r="E14" s="15" t="s">
        <v>67</v>
      </c>
    </row>
    <row r="15" customFormat="false" ht="19.5" hidden="false" customHeight="true" outlineLevel="0" collapsed="false">
      <c r="A15" s="12" t="n">
        <v>46178.5</v>
      </c>
      <c r="B15" s="21" t="s">
        <v>68</v>
      </c>
      <c r="C15" s="13" t="n">
        <v>5712</v>
      </c>
      <c r="D15" s="13" t="n">
        <v>0</v>
      </c>
      <c r="E15" s="17" t="s">
        <v>69</v>
      </c>
    </row>
    <row r="16" customFormat="false" ht="19.5" hidden="false" customHeight="true" outlineLevel="0" collapsed="false">
      <c r="A16" s="7" t="n">
        <v>46185.5</v>
      </c>
      <c r="B16" s="20" t="s">
        <v>70</v>
      </c>
      <c r="C16" s="8" t="n">
        <v>0</v>
      </c>
      <c r="D16" s="8" t="n">
        <v>122000</v>
      </c>
      <c r="E16" s="15" t="s">
        <v>71</v>
      </c>
    </row>
    <row r="17" customFormat="false" ht="19.5" hidden="false" customHeight="true" outlineLevel="0" collapsed="false">
      <c r="A17" s="12" t="n">
        <v>46195.5</v>
      </c>
      <c r="B17" s="21" t="s">
        <v>72</v>
      </c>
      <c r="C17" s="13" t="n">
        <v>9520</v>
      </c>
      <c r="D17" s="13" t="n">
        <v>0</v>
      </c>
      <c r="E17" s="17" t="s">
        <v>73</v>
      </c>
    </row>
    <row r="18" customFormat="false" ht="19.5" hidden="false" customHeight="true" outlineLevel="0" collapsed="false">
      <c r="A18" s="7" t="n">
        <v>46199.5</v>
      </c>
      <c r="B18" s="20" t="s">
        <v>74</v>
      </c>
      <c r="C18" s="8" t="n">
        <v>67912</v>
      </c>
      <c r="D18" s="8" t="n">
        <v>0</v>
      </c>
      <c r="E18" s="15" t="s">
        <v>75</v>
      </c>
    </row>
    <row r="19" customFormat="false" ht="19.5" hidden="false" customHeight="true" outlineLevel="0" collapsed="false">
      <c r="A19" s="12" t="n">
        <v>46203.5</v>
      </c>
      <c r="B19" s="21" t="s">
        <v>76</v>
      </c>
      <c r="C19" s="13" t="n">
        <v>0</v>
      </c>
      <c r="D19" s="13" t="n">
        <v>65000</v>
      </c>
      <c r="E19" s="17" t="s">
        <v>77</v>
      </c>
    </row>
    <row r="20" customFormat="false" ht="19.5" hidden="false" customHeight="true" outlineLevel="0" collapsed="false">
      <c r="A20" s="7" t="n">
        <v>46203.5</v>
      </c>
      <c r="B20" s="20" t="s">
        <v>78</v>
      </c>
      <c r="C20" s="8" t="n">
        <v>10700</v>
      </c>
      <c r="D20" s="8" t="n">
        <v>0</v>
      </c>
      <c r="E20" s="15" t="s">
        <v>79</v>
      </c>
    </row>
    <row r="21" customFormat="false" ht="19.5" hidden="false" customHeight="true" outlineLevel="0" collapsed="false">
      <c r="A21" s="12" t="n">
        <v>46203.5</v>
      </c>
      <c r="B21" s="21" t="s">
        <v>80</v>
      </c>
      <c r="C21" s="13" t="n">
        <v>1884</v>
      </c>
      <c r="D21" s="13" t="n">
        <v>0</v>
      </c>
      <c r="E21" s="17" t="s">
        <v>81</v>
      </c>
    </row>
    <row r="22" customFormat="false" ht="19.5" hidden="false" customHeight="true" outlineLevel="0" collapsed="false">
      <c r="A22" s="15"/>
      <c r="B22" s="15"/>
      <c r="C22" s="16"/>
      <c r="D22" s="16"/>
      <c r="E22" s="15"/>
    </row>
    <row r="23" customFormat="false" ht="19.5" hidden="false" customHeight="true" outlineLevel="0" collapsed="false">
      <c r="A23" s="17"/>
      <c r="B23" s="18" t="s">
        <v>82</v>
      </c>
      <c r="C23" s="19"/>
      <c r="D23" s="19" t="n">
        <f aca="false">SUM(D6:D21)-SUM(C6:C21)</f>
        <v>142852</v>
      </c>
      <c r="E23" s="17"/>
    </row>
    <row r="24" customFormat="false" ht="19.5" hidden="false" customHeight="true" outlineLevel="0" collapsed="false"/>
    <row r="25" customFormat="false" ht="19.5" hidden="false" customHeight="true" outlineLevel="0" collapsed="false">
      <c r="A25" s="1" t="s">
        <v>83</v>
      </c>
    </row>
  </sheetData>
  <printOptions headings="false" gridLines="false" gridLinesSet="true" horizontalCentered="false" verticalCentered="false"/>
  <pageMargins left="0.25" right="0.25" top="0.35" bottom="0.4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2026-10-01T09:21:10Z</dcterms:created>
  <dc:creator>openpyxl</dc:creator>
  <dc:description/>
  <dc:language>en-US</dc:language>
  <cp:lastModifiedBy/>
  <dcterms:modified xsi:type="dcterms:W3CDTF">2026-10-01T09:29:29Z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