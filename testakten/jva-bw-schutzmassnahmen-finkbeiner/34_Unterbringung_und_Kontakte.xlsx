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25193813c4d49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aumwerte" sheetId="1" ns1:id="Rb2bf376427bc4ea2"/>
    <sheet name="Zeiträume" sheetId="2" ns1:id="Rc1fefae3374c4f68"/>
    <sheet name="Kontakte" sheetId="3" ns1:id="R1cad6b8fac704163"/>
    <sheet name="Erläuterung" sheetId="4" ns1:id="Rc40935cef5d148d9"/>
  </sheets>
  <definedNames>
    <definedName name="_xlnm.Print_Area" localSheetId="0">'Raumwerte'!A1:F11</definedName>
    <definedName name="_xlnm.Print_Titles" localSheetId="0">'Raumwerte'!$5:$5</definedName>
    <definedName name="_xlnm.Print_Area" localSheetId="1">'Zeiträume'!A1:D9</definedName>
    <definedName name="_xlnm.Print_Titles" localSheetId="1">'Zeiträume'!$5:$5</definedName>
    <definedName name="_xlnm.Print_Area" localSheetId="2">'Kontakte'!A1:D24</definedName>
    <definedName name="_xlnm.Print_Titles" localSheetId="2">'Kontakte'!$5:$5</definedName>
    <definedName name="_xlnm.Print_Area" localSheetId="3">'Erläuterung'!A1:B10</definedName>
    <definedName name="_xlnm.Print_Titles" localSheetId="3">'Erläuterung'!$5:$5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2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a396d3efd49cc" /><Relationship Type="http://schemas.openxmlformats.org/officeDocument/2006/relationships/theme" Target="/xl/theme/theme1.xml" Id="R14e18b7345254d5f" /><Relationship Type="http://schemas.openxmlformats.org/officeDocument/2006/relationships/sharedStrings" Target="/xl/sharedStrings.xml" Id="R44af4255ac2b48ab" /><Relationship Type="http://schemas.openxmlformats.org/officeDocument/2006/relationships/worksheet" Target="/xl/worksheets/sheet1.xml" Id="Rb2bf376427bc4ea2" /><Relationship Type="http://schemas.openxmlformats.org/officeDocument/2006/relationships/worksheet" Target="/xl/worksheets/sheet2.xml" Id="Rc1fefae3374c4f68" /><Relationship Type="http://schemas.openxmlformats.org/officeDocument/2006/relationships/worksheet" Target="/xl/worksheets/sheet3.xml" Id="R1cad6b8fac704163" /><Relationship Type="http://schemas.openxmlformats.org/officeDocument/2006/relationships/worksheet" Target="/xl/worksheets/sheet4.xml" Id="Rc40935cef5d1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38" hidden="0" customWidth="1"/>
    <col min="2" max="2" width="19" hidden="0" customWidth="1"/>
    <col min="3" max="3" width="19" hidden="0" customWidth="1"/>
    <col min="4" max="4" width="15" hidden="0" customWidth="1"/>
    <col min="5" max="5" width="22" hidden="0" customWidth="1"/>
    <col min="6" max="6" width="24" hidden="0" customWidth="1"/>
  </cols>
  <sheetData>
    <row r="1">
      <c r="A1" s="1"/>
      <c r="B1" s="1"/>
      <c r="C1" s="1"/>
      <c r="D1" s="1"/>
      <c r="E1" s="1"/>
      <c r="F1" s="1"/>
    </row>
    <row r="2" ht="27" customHeight="1">
      <c r="A2" s="2" t="str">
        <v>Technische Flächenberechnung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31" customHeight="1">
      <c r="A5" s="6" t="str">
        <v>Planstand</v>
      </c>
      <c r="B5" s="6" t="str">
        <v>Gesamt m²</v>
      </c>
      <c r="C5" s="6" t="str">
        <v>Sanitär m²</v>
      </c>
      <c r="D5" s="6" t="str">
        <v>Personen</v>
      </c>
      <c r="E5" s="6" t="str">
        <v>Restfläche m²</v>
      </c>
      <c r="F5" s="6" t="str">
        <v>Rest je Person m²</v>
      </c>
    </row>
    <row r="6" ht="42" customHeight="1">
      <c r="A6" s="8" t="str">
        <v>B 12 Plan 2018</v>
      </c>
      <c r="B6" s="10" t="n">
        <v>14.2</v>
      </c>
      <c r="C6" s="10" t="n">
        <v>1.8</v>
      </c>
      <c r="D6" s="8" t="n">
        <v>2</v>
      </c>
      <c r="E6" s="10" t="n">
        <f>B6-C6</f>
        <v>12.399999999999999</v>
      </c>
      <c r="F6" s="10" t="n">
        <f>IF(D6&gt;0,E6/D6,"Personenzahl fehlt")</f>
        <v>6.199999999999999</v>
      </c>
    </row>
    <row r="7" ht="42" customHeight="1">
      <c r="A7" s="9" t="str">
        <v>B 12 Aufmaß 07.10.</v>
      </c>
      <c r="B7" s="11" t="n">
        <v>13.86</v>
      </c>
      <c r="C7" s="11" t="n">
        <v>1.92</v>
      </c>
      <c r="D7" s="9" t="n">
        <v>2</v>
      </c>
      <c r="E7" s="11" t="n">
        <f>B7-C7</f>
        <v>11.94</v>
      </c>
      <c r="F7" s="11" t="n">
        <f>IF(D7&gt;0,E7/D7,"Personenzahl fehlt")</f>
        <v>5.97</v>
      </c>
    </row>
    <row r="8" ht="42" customHeight="1">
      <c r="A8" s="8" t="str">
        <v>B 12 Aufmaß, drei Personen</v>
      </c>
      <c r="B8" s="10" t="n">
        <v>13.86</v>
      </c>
      <c r="C8" s="10" t="n">
        <v>1.92</v>
      </c>
      <c r="D8" s="8" t="n">
        <v>3</v>
      </c>
      <c r="E8" s="10" t="n">
        <f>B8-C8</f>
        <v>11.94</v>
      </c>
      <c r="F8" s="10" t="n">
        <f>IF(D8&gt;0,E8/D8,"Personenzahl fehlt")</f>
        <v>3.98</v>
      </c>
    </row>
    <row r="11" ht="47" customHeight="1">
      <c r="A11" t="str">
        <v>Quelle</v>
      </c>
      <c r="B11" t="str">
        <v>20_Raumblatt_B12_und_Aufmass.pdf</v>
      </c>
    </row>
  </sheetData>
  <mergeCells>
    <mergeCell ref="B11:F11"/>
  </mergeCells>
  <pageMargins left="0.3" right="0.3" top="0.3" bottom="0.3" header="0.15" footer="0.15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8" hidden="0" customWidth="1"/>
    <col min="2" max="2" width="25" hidden="0" customWidth="1"/>
    <col min="3" max="3" width="16" hidden="0" customWidth="1"/>
    <col min="4" max="4" width="91" hidden="0" customWidth="1"/>
  </cols>
  <sheetData>
    <row r="1">
      <c r="A1" s="1"/>
      <c r="B1" s="1"/>
      <c r="C1" s="1"/>
      <c r="D1" s="1"/>
    </row>
    <row r="2" ht="27" customHeight="1">
      <c r="A2" s="2" t="str">
        <v>Kalenderdaten der Unterbringung</v>
      </c>
      <c r="B2" s="1"/>
      <c r="C2" s="1"/>
      <c r="D2" s="1"/>
    </row>
    <row r="3">
      <c r="A3" s="1"/>
      <c r="B3" s="1"/>
      <c r="C3" s="1"/>
      <c r="D3" s="1"/>
    </row>
    <row r="4">
      <c r="A4" s="1"/>
      <c r="B4" s="1"/>
      <c r="C4" s="1"/>
      <c r="D4" s="1"/>
    </row>
    <row r="5" ht="31" customHeight="1">
      <c r="A5" s="6" t="str">
        <v>Von</v>
      </c>
      <c r="B5" s="6" t="str">
        <v>Bis Stand oder Wechsel</v>
      </c>
      <c r="C5" s="6" t="str">
        <v>Personen</v>
      </c>
      <c r="D5" s="6" t="str">
        <v>Dokumentierter Ablauf</v>
      </c>
    </row>
    <row r="6" ht="42" customHeight="1">
      <c r="A6" s="12" t="n">
        <v>46293</v>
      </c>
      <c r="B6" s="12" t="n">
        <v>46296</v>
      </c>
      <c r="C6" s="8" t="n">
        <v>1</v>
      </c>
      <c r="D6" s="8" t="str">
        <v>Besonders gesicherter Raum; Uhrzeiten 18.40/10.20</v>
      </c>
    </row>
    <row r="7" ht="42" customHeight="1">
      <c r="A7" s="13" t="n">
        <v>46296</v>
      </c>
      <c r="B7" s="13" t="n">
        <v>46298</v>
      </c>
      <c r="C7" s="9" t="n">
        <v>2</v>
      </c>
      <c r="D7" s="9" t="str">
        <v>B 12; dritter Einzug erst03.10.18.00</v>
      </c>
    </row>
    <row r="8" ht="42" customHeight="1">
      <c r="A8" s="12" t="n">
        <v>46298</v>
      </c>
      <c r="B8" s="12" t="n">
        <v>46301</v>
      </c>
      <c r="C8" s="8" t="n">
        <v>3</v>
      </c>
      <c r="D8" s="8" t="str">
        <v>B 12; dritte Person bis06.10.09.00</v>
      </c>
    </row>
    <row r="9" ht="42" customHeight="1">
      <c r="A9" s="13" t="n">
        <v>46301</v>
      </c>
      <c r="B9" s="13" t="n">
        <v>46311</v>
      </c>
      <c r="C9" s="9" t="n">
        <v>2</v>
      </c>
      <c r="D9" s="9" t="str">
        <v>B 12; aktueller Zustand bisStichtag</v>
      </c>
    </row>
  </sheetData>
  <pageMargins left="0.3" right="0.3" top="0.3" bottom="0.3" header="0.15" footer="0.15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8" hidden="0" customWidth="1"/>
    <col min="2" max="2" width="23" hidden="0" customWidth="1"/>
    <col min="3" max="3" width="24" hidden="0" customWidth="1"/>
    <col min="4" max="4" width="89" hidden="0" customWidth="1"/>
  </cols>
  <sheetData>
    <row r="1">
      <c r="A1" s="1"/>
      <c r="B1" s="1"/>
      <c r="C1" s="1"/>
      <c r="D1" s="1"/>
    </row>
    <row r="2" ht="27" customHeight="1">
      <c r="A2" s="2" t="str">
        <v>Übertragene Kontakt und Öffnungsminuten</v>
      </c>
      <c r="B2" s="1"/>
      <c r="C2" s="1"/>
      <c r="D2" s="1"/>
    </row>
    <row r="3">
      <c r="A3" s="1"/>
      <c r="B3" s="1"/>
      <c r="C3" s="1"/>
      <c r="D3" s="1"/>
    </row>
    <row r="4">
      <c r="A4" s="1"/>
      <c r="B4" s="1"/>
      <c r="C4" s="1"/>
      <c r="D4" s="1"/>
    </row>
    <row r="5" ht="31" customHeight="1">
      <c r="A5" s="6" t="str">
        <v>Datum</v>
      </c>
      <c r="B5" s="6" t="str">
        <v>Kontaktminuten</v>
      </c>
      <c r="C5" s="6" t="str">
        <v>Minuten außerhalb</v>
      </c>
      <c r="D5" s="6" t="str">
        <v>Beleg oder Lücke</v>
      </c>
    </row>
    <row r="6" ht="42" customHeight="1">
      <c r="A6" s="12" t="n">
        <v>46296</v>
      </c>
      <c r="B6" s="8" t="n">
        <v>20</v>
      </c>
      <c r="C6" s="8" t="n">
        <v>60</v>
      </c>
      <c r="D6" s="8" t="str">
        <v>B-1001; Wechsel aus Schutzbereich</v>
      </c>
    </row>
    <row r="7" ht="42" customHeight="1">
      <c r="A7" s="13" t="n">
        <v>46297</v>
      </c>
      <c r="B7" s="9" t="n">
        <v>40</v>
      </c>
      <c r="C7" s="9" t="n">
        <v>90</v>
      </c>
      <c r="D7" s="9" t="str">
        <v>B-1002</v>
      </c>
    </row>
    <row r="8" ht="42" customHeight="1">
      <c r="A8" s="12" t="n">
        <v>46298</v>
      </c>
      <c r="B8" s="8" t="n">
        <v>30</v>
      </c>
      <c r="C8" s="8" t="n">
        <v>60</v>
      </c>
      <c r="D8" s="8" t="str">
        <v>B-1003; dritte Person ab18.00</v>
      </c>
    </row>
    <row r="9" ht="42" customHeight="1">
      <c r="A9" s="13" t="n">
        <v>46299</v>
      </c>
      <c r="B9" s="9" t="n">
        <v>15</v>
      </c>
      <c r="C9" s="9" t="n">
        <v>45</v>
      </c>
      <c r="D9" s="9" t="str">
        <v>B-1004; Sonntagsablauf</v>
      </c>
    </row>
    <row r="10" ht="42" customHeight="1">
      <c r="A10" s="12" t="n">
        <v>46300</v>
      </c>
      <c r="B10" s="8"/>
      <c r="C10" s="8"/>
      <c r="D10" s="8" t="str">
        <v>B-1005 im Auszug nicht enthalten</v>
      </c>
    </row>
    <row r="11" ht="42" customHeight="1">
      <c r="A11" s="13" t="n">
        <v>46301</v>
      </c>
      <c r="B11" s="9" t="n">
        <v>25</v>
      </c>
      <c r="C11" s="9" t="n">
        <v>75</v>
      </c>
      <c r="D11" s="9" t="str">
        <v>B-1006; dritte Person bis09.00</v>
      </c>
    </row>
    <row r="12" ht="42" customHeight="1">
      <c r="A12" s="12" t="n">
        <v>46302</v>
      </c>
      <c r="B12" s="8" t="n">
        <v>30</v>
      </c>
      <c r="C12" s="8" t="n">
        <v>90</v>
      </c>
      <c r="D12" s="8" t="str">
        <v>B-1007; technischer Termin nicht eingerechnet</v>
      </c>
    </row>
    <row r="13" ht="42" customHeight="1">
      <c r="A13" s="13" t="n">
        <v>46303</v>
      </c>
      <c r="B13" s="9" t="n">
        <v>40</v>
      </c>
      <c r="C13" s="9" t="n">
        <v>90</v>
      </c>
      <c r="D13" s="9" t="str">
        <v>B-1008</v>
      </c>
    </row>
    <row r="14" ht="42" customHeight="1">
      <c r="A14" s="12" t="n">
        <v>46304</v>
      </c>
      <c r="B14" s="8" t="n">
        <v>25</v>
      </c>
      <c r="C14" s="8" t="n">
        <v>60</v>
      </c>
      <c r="D14" s="8" t="str">
        <v>B-1009</v>
      </c>
    </row>
    <row r="15" ht="42" customHeight="1">
      <c r="A15" s="13" t="n">
        <v>46305</v>
      </c>
      <c r="B15" s="9" t="n">
        <v>15</v>
      </c>
      <c r="C15" s="9" t="n">
        <v>60</v>
      </c>
      <c r="D15" s="9" t="str">
        <v>B-1010</v>
      </c>
    </row>
    <row r="16" ht="42" customHeight="1">
      <c r="A16" s="12" t="n">
        <v>46306</v>
      </c>
      <c r="B16" s="8" t="n">
        <v>15</v>
      </c>
      <c r="C16" s="8" t="n">
        <v>45</v>
      </c>
      <c r="D16" s="8" t="str">
        <v>B-1011</v>
      </c>
    </row>
    <row r="17" ht="42" customHeight="1">
      <c r="A17" s="13" t="n">
        <v>46307</v>
      </c>
      <c r="B17" s="9" t="n">
        <v>30</v>
      </c>
      <c r="C17" s="9" t="n">
        <v>90</v>
      </c>
      <c r="D17" s="9" t="str">
        <v>B-1012</v>
      </c>
    </row>
    <row r="18" ht="42" customHeight="1">
      <c r="A18" s="12" t="n">
        <v>46308</v>
      </c>
      <c r="B18" s="8" t="n">
        <v>40</v>
      </c>
      <c r="C18" s="8" t="n">
        <v>90</v>
      </c>
      <c r="D18" s="8" t="str">
        <v>B-1013</v>
      </c>
    </row>
    <row r="19" ht="42" customHeight="1">
      <c r="A19" s="13" t="n">
        <v>46309</v>
      </c>
      <c r="B19" s="9" t="n">
        <v>30</v>
      </c>
      <c r="C19" s="9" t="n">
        <v>90</v>
      </c>
      <c r="D19" s="9" t="str">
        <v>B-1014</v>
      </c>
    </row>
    <row r="20" ht="42" customHeight="1">
      <c r="A20" s="12" t="n">
        <v>46310</v>
      </c>
      <c r="B20" s="8" t="n">
        <v>52</v>
      </c>
      <c r="C20" s="8" t="n">
        <v>90</v>
      </c>
      <c r="D20" s="8" t="str">
        <v>B-1015; Anwalt10.10bis11.02</v>
      </c>
    </row>
    <row r="21" ht="42" customHeight="1">
      <c r="A21" s="13" t="n">
        <v>46311</v>
      </c>
      <c r="B21" s="9"/>
      <c r="C21" s="9"/>
      <c r="D21" s="9" t="str">
        <v>Tag noch nicht abgeschlossen</v>
      </c>
    </row>
    <row r="23" ht="52" customHeight="1">
      <c r="A23" s="8" t="str">
        <v>Erfasste Minuten</v>
      </c>
      <c r="B23" s="8" t="n">
        <f>SUM(B6:B21)</f>
        <v>407</v>
      </c>
      <c r="C23" s="8" t="n">
        <f>SUM(C6:C21)</f>
        <v>1035</v>
      </c>
      <c r="D23" s="8" t="str">
        <v>Nur vorhandene Einträge; fehlende Tage nicht aufgefüllt</v>
      </c>
    </row>
    <row r="24" ht="52" customHeight="1">
      <c r="A24" s="8" t="str">
        <v>Fehlende Felder</v>
      </c>
      <c r="B24" s="8" t="n">
        <f>COUNTBLANK(B6:B21)</f>
        <v>2</v>
      </c>
      <c r="C24" s="8" t="n">
        <f>COUNTBLANK(C6:C21)</f>
        <v>2</v>
      </c>
      <c r="D24" s="8" t="str">
        <v>Leere Felder sind unbekannt und keine Nullwerte</v>
      </c>
    </row>
  </sheetData>
  <pageMargins left="0.3" right="0.3" top="0.3" bottom="0.3" header="0.15" footer="0.15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6" hidden="0" customWidth="1"/>
    <col min="2" max="2" width="97" hidden="0" customWidth="1"/>
  </cols>
  <sheetData>
    <row r="1">
      <c r="A1" s="1"/>
      <c r="B1" s="1"/>
    </row>
    <row r="2" ht="27" customHeight="1">
      <c r="A2" s="2" t="str">
        <v>Hinweise zur Benutzung</v>
      </c>
      <c r="B2" s="1"/>
    </row>
    <row r="3">
      <c r="A3" s="1"/>
      <c r="B3" s="1"/>
    </row>
    <row r="4">
      <c r="A4" s="1"/>
      <c r="B4" s="1"/>
    </row>
    <row r="5" ht="31" customHeight="1">
      <c r="A5" s="6" t="str">
        <v>Thema</v>
      </c>
      <c r="B5" s="6" t="str">
        <v>Erläuterung</v>
      </c>
    </row>
    <row r="6" ht="68" customHeight="1">
      <c r="A6" s="8" t="str">
        <v>Herkunft</v>
      </c>
      <c r="B6" s="8" t="str">
        <v>Arbeitsauszug der fiktiven Anstalt aus Raumblatt, Belegungsdienst und Stationsjournal. Es handelt sich nicht um eine vollständige Gesundheits- oder Vollzugsakte.</v>
      </c>
    </row>
    <row r="7" ht="68" customHeight="1">
      <c r="A7" s="9" t="str">
        <v>Messwerte</v>
      </c>
      <c r="B7" s="9" t="str">
        <v>Die Raumwerte werden aus dem jeweils bezeichneten Plan übernommen. Gesamtfläche minus Sanitärfläche ist eine technische Rechengröße. Es gibt keine automatische rechtliche Ampel.</v>
      </c>
    </row>
    <row r="8" ht="68" customHeight="1">
      <c r="A8" s="8" t="str">
        <v>Zeiträume</v>
      </c>
      <c r="B8" s="8" t="str">
        <v>Die Periodentabelle zeigt Kalenderdatendifferenzen, keine auf volle Tage gerundeten Haftzeiten. Uhrzeiten stehen in den Belegtexten. Raumflächen werden technisch berechnet; keine Formel entscheidet über Menschenwürde oder Rechtmäßigkeit. Kontaktminuten sind nicht identisch mit Öffnungsminuten. Fehlende Übertragungen bleiben leer und dürfen nicht als null behandelt werden.</v>
      </c>
    </row>
    <row r="9" ht="68" customHeight="1">
      <c r="A9" s="9" t="str">
        <v>Fehlende Einträge</v>
      </c>
      <c r="B9" s="9" t="str">
        <v>Leere Kontakt- oder Öffnungsminuten werden nicht als null summiert. Eine Null steht für einen dokumentierten Nullwert. Ein fehlender Tag ist nicht durch einen Nachbartag zu ersetzen.</v>
      </c>
    </row>
    <row r="10" ht="68" customHeight="1">
      <c r="A10" s="8" t="str">
        <v>Nächster Schritt</v>
      </c>
      <c r="B10" s="8" t="str">
        <v>Fehlende Journalauszüge, aktuelle Anordnungen und konkrete Alternativen anfordern. Die Rechnung ersetzt keine Prüfung von Landesrecht, Schutzbedarf, Privatheit oder Rechtsschutz.</v>
      </c>
    </row>
  </sheetData>
  <pageMargins left="0.3" right="0.3" top="0.3" bottom="0.3" header="0.15" footer="0.15"/>
  <pageSetup orientation="landscape" paperSize="9" fitToWidth="1" fitToHeight="0"/>
</worksheet>
</file>