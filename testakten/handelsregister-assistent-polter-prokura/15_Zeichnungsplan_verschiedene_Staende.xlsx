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bf0402127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t_und_System" sheetId="1" r:id="Rb696de9a81ea46d7"/>
    <x:sheet xmlns:r="http://schemas.openxmlformats.org/officeDocument/2006/relationships" name="Zahlungsjournal" sheetId="2" r:id="R058492127bdf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95e1db9ea43db" /><Relationship Type="http://schemas.openxmlformats.org/officeDocument/2006/relationships/theme" Target="/xl/theme/theme1.xml" Id="Rd513e8462ca24521" /><Relationship Type="http://schemas.openxmlformats.org/officeDocument/2006/relationships/sharedStrings" Target="/xl/sharedStrings.xml" Id="Rc16b7dca55ce4c5e" /><Relationship Type="http://schemas.openxmlformats.org/officeDocument/2006/relationships/worksheet" Target="/xl/worksheets/sheet1.xml" Id="Rb696de9a81ea46d7" /><Relationship Type="http://schemas.openxmlformats.org/officeDocument/2006/relationships/worksheet" Target="/xl/worksheets/sheet2.xml" Id="R058492127bdf49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8" customHeight="1">
      <x:c r="A1" s="6" t="str">
        <x:v>Person</x:v>
      </x:c>
      <x:c r="B1" s="6" t="str">
        <x:v>Funktion laut interner Liste</x:v>
      </x:c>
      <x:c r="C1" s="6" t="str">
        <x:v>Registerstand 30.09.</x:v>
      </x:c>
      <x:c r="D1" s="6" t="str">
        <x:v>Bankzugriff</x:v>
      </x:c>
      <x:c r="E1" s="6" t="str">
        <x:v>Letzte Änderung</x:v>
      </x:c>
      <x:c r="F1" s="6" t="str">
        <x:v>Bemerkung</x:v>
      </x:c>
    </x:row>
    <x:row r="2" ht="38" customHeight="1">
      <x:c r="A2" s="3" t="str">
        <x:v>Hieronymus Knautsch</x:v>
      </x:c>
      <x:c r="B2" s="3" t="str">
        <x:v>GF bis 30.09.</x:v>
      </x:c>
      <x:c r="C2" s="3" t="str">
        <x:v>GF einzeln</x:v>
      </x:c>
      <x:c r="D2" s="3" t="str">
        <x:v>Administrator</x:v>
      </x:c>
      <x:c r="E2" s="7" t="n">
        <x:v>44743</x:v>
      </x:c>
      <x:c r="F2" s="3" t="str">
        <x:v>Sperrung zum 01.10. angefragt</x:v>
      </x:c>
    </x:row>
    <x:row r="3" ht="38" customHeight="1">
      <x:c r="A3" s="3" t="str">
        <x:v>Aylin Yılmaz</x:v>
      </x:c>
      <x:c r="B3" s="3" t="str">
        <x:v>GF ab 01.10.</x:v>
      </x:c>
      <x:c r="C3" s="3" t="str">
        <x:v>noch nicht eingetragen</x:v>
      </x:c>
      <x:c r="D3" s="3" t="str">
        <x:v>Leserecht</x:v>
      </x:c>
      <x:c r="E3" s="7" t="n">
        <x:v>46290</x:v>
      </x:c>
      <x:c r="F3" s="3" t="str">
        <x:v>Unterschriftsprobe fehlt</x:v>
      </x:c>
    </x:row>
    <x:row r="4" ht="38" customHeight="1">
      <x:c r="A4" s="3" t="str">
        <x:v>Erna-Louise Zickzack</x:v>
      </x:c>
      <x:c r="B4" s="3" t="str">
        <x:v>Einkauf/Personal</x:v>
      </x:c>
      <x:c r="C4" s="3" t="str">
        <x:v>Gesamtprokura</x:v>
      </x:c>
      <x:c r="D4" s="3" t="str">
        <x:v>Freigabe bis 20000</x:v>
      </x:c>
      <x:c r="E4" s="7" t="n">
        <x:v>46280</x:v>
      </x:c>
      <x:c r="F4" s="3" t="str">
        <x:v>Personalnotiz: Prokura beendet</x:v>
      </x:c>
    </x:row>
    <x:row r="5" ht="24" customHeight="1">
      <x:c r="A5" s="3" t="str">
        <x:v>Lenja Özdemir</x:v>
      </x:c>
      <x:c r="B5" s="3" t="str">
        <x:v>Personalverwaltung</x:v>
      </x:c>
      <x:c r="C5" s="3" t="str">
        <x:v>keine Eintragung</x:v>
      </x:c>
      <x:c r="D5" s="3" t="str">
        <x:v>kein Zugriff</x:v>
      </x:c>
      <x:c r="E5" s="7" t="n">
        <x:v>45691</x:v>
      </x:c>
      <x:c r="F5" s="3" t="str">
        <x:v>führt Stammdaten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6" customHeight="1">
      <x:c r="A1" s="6" t="str">
        <x:v>Datum</x:v>
      </x:c>
      <x:c r="B1" s="6" t="str">
        <x:v>Vorgang</x:v>
      </x:c>
      <x:c r="C1" s="6" t="str">
        <x:v>Netto EUR</x:v>
      </x:c>
      <x:c r="D1" s="6" t="str">
        <x:v>USt EUR</x:v>
      </x:c>
      <x:c r="E1" s="6" t="str">
        <x:v>Brutto EUR</x:v>
      </x:c>
      <x:c r="F1" s="6" t="str">
        <x:v>Status</x:v>
      </x:c>
    </x:row>
    <x:row r="2" ht="24" customHeight="1">
      <x:c r="A2" s="7" t="n">
        <x:v>46294</x:v>
      </x:c>
      <x:c r="B2" s="3" t="str">
        <x:v>Traversen Angebot</x:v>
      </x:c>
      <x:c r="C2" s="9" t="n">
        <x:v>38400</x:v>
      </x:c>
      <x:c r="D2" s="9" t="n">
        <x:f>ROUND(C2*0.19,2)</x:f>
        <x:v>7296</x:v>
      </x:c>
      <x:c r="E2" s="9" t="n">
        <x:f>C2+D2</x:f>
        <x:v>45696</x:v>
      </x:c>
      <x:c r="F2" s="3" t="str">
        <x:v>keine Zahlung</x:v>
      </x:c>
    </x:row>
    <x:row r="3" ht="24" customHeight="1">
      <x:c r="A3" s="7" t="n">
        <x:v>46295</x:v>
      </x:c>
      <x:c r="B3" s="3" t="str">
        <x:v>Anzahlung geplant</x:v>
      </x:c>
      <x:c r="C3" s="9" t="n">
        <x:f>ROUND(C2*0.3,2)</x:f>
        <x:v>11520</x:v>
      </x:c>
      <x:c r="D3" s="9" t="n">
        <x:f>ROUND(D2*0.3,2)</x:f>
        <x:v>2188.8</x:v>
      </x:c>
      <x:c r="E3" s="9" t="n">
        <x:f>C3+D3</x:f>
        <x:v>13708.8</x:v>
      </x:c>
      <x:c r="F3" s="3" t="str">
        <x:v>nicht freigegeben</x:v>
      </x:c>
    </x:row>
    <x:row r="4" ht="24" customHeight="1">
      <x:c r="A4" s="7" t="n">
        <x:v>46295</x:v>
      </x:c>
      <x:c r="B4" s="3" t="str">
        <x:v>Büromaterial</x:v>
      </x:c>
      <x:c r="C4" s="9" t="n">
        <x:v>148.9</x:v>
      </x:c>
      <x:c r="D4" s="9" t="n">
        <x:f>ROUND(C4*0.19,2)</x:f>
        <x:v>28.29</x:v>
      </x:c>
      <x:c r="E4" s="9" t="n">
        <x:f>C4+D4</x:f>
        <x:v>177.19</x:v>
      </x:c>
      <x:c r="F4" s="3" t="str">
        <x:v>bezahlt</x:v>
      </x:c>
    </x:row>
  </x:sheetData>
  <x:pageMargins left="0.7" right="0.7" top="0.75" bottom="0.75" header="0.3" footer="0.3"/>
</x:worksheet>
</file>