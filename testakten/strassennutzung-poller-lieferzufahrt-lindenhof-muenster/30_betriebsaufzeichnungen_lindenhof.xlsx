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52fb62e6844936" /></Relationships>
</file>

<file path=xl/workbook.xml><?xml version="1.0" encoding="utf-8"?>
<workbook xmlns="http://schemas.openxmlformats.org/spreadsheetml/2006/main">
  <sheets>
    <sheet xmlns:r="http://schemas.openxmlformats.org/officeDocument/2006/relationships" name="Lieferfahrten" sheetId="1" r:id="Rb138e64b852943c5"/>
    <sheet xmlns:r="http://schemas.openxmlformats.org/officeDocument/2006/relationships" name="Schlüsselvorgänge" sheetId="2" r:id="R144c0d10ddd54d10"/>
    <sheet xmlns:r="http://schemas.openxmlformats.org/officeDocument/2006/relationships" name="Beobachtungen" sheetId="3" r:id="R1b3eb71578b3480b"/>
  </sheets>
  <definedNames>
    <definedName name="_xlnm.Print_Area" localSheetId="0">'Lieferfahrten'!$A$1:$K$31</definedName>
    <definedName name="_xlnm.Print_Titles" localSheetId="0">'Lieferfahrten'!$1:$7</definedName>
    <definedName name="_xlnm.Print_Area" localSheetId="1">'Schlüsselvorgänge'!$A$1:$I$24</definedName>
    <definedName name="_xlnm.Print_Titles" localSheetId="1">'Schlüsselvorgänge'!$1:$7</definedName>
    <definedName name="_xlnm.Print_Area" localSheetId="2">'Beobachtungen'!$A$1:$J$25</definedName>
    <definedName name="_xlnm.Print_Titles" localSheetId="2">'Beobachtungen'!$1:$7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&quot; &quot;@"/>
    <x:numFmt numFmtId="201" formatCode="dd&quot;.&quot;mm&quot;.&quot;yyyy&quot;  &quot;"/>
    <x:numFmt numFmtId="202" formatCode="hh:mm&quot;  &quot;"/>
    <x:numFmt numFmtId="203" formatCode="0&quot;  &quot;"/>
    <x:numFmt numFmtId="204" formatCode="0.00&quot;  &quot;"/>
    <x:numFmt numFmtId="205" formatCode="0"/>
    <x:numFmt numFmtId="206" formatCode="0.00"/>
    <x:numFmt numFmtId="207" formatCode="dd&quot;.&quot;mm&quot;.&quot;yyyy hh:mm&quot;  &quot;"/>
  </x:numFmts>
  <x:fonts count="6">
    <x:font>
      <x:sz val="11"/>
      <x:name val="Carlito"/>
    </x:font>
    <x:font>
      <x:sz val="11"/>
      <x:color rgb="FF25312E"/>
      <x:name val="Arial"/>
    </x:font>
    <x:font>
      <x:b/>
      <x:sz val="15"/>
      <x:color rgb="FF35574B"/>
      <x:name val="Arial"/>
    </x:font>
    <x:font>
      <x:i/>
      <x:sz val="11"/>
      <x:color rgb="FF56645D"/>
      <x:name val="Arial"/>
    </x:font>
    <x:font>
      <x:b/>
      <x:sz val="11"/>
      <x:color rgb="FFFFFFFF"/>
      <x:name val="Arial"/>
    </x:font>
    <x:font>
      <x:b/>
      <x:sz val="11"/>
      <x:color rgb="FF25312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5574B"/>
      </x:patternFill>
    </x:fill>
    <x:fill>
      <x:patternFill patternType="solid">
        <x:fgColor rgb="FFF1F5F2"/>
      </x:patternFill>
    </x:fill>
  </x:fills>
  <x:borders count="5">
    <x:border/>
    <x:border>
      <x:bottom style="thin">
        <x:color rgb="FFCBD5CE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2" borderId="2" xfId="0" applyNumberFormat="1" applyFont="1" applyFill="1" applyBorder="1" applyAlignment="1">
      <x:alignment horizontal="left" vertical="center"/>
    </x:xf>
    <x:xf numFmtId="0" fontId="4" fillId="2" borderId="3" xfId="0" applyNumberFormat="1" applyFont="1" applyFill="1" applyBorder="1" applyAlignment="1">
      <x:alignment horizontal="left" vertical="center"/>
    </x:xf>
    <x:xf numFmtId="0" fontId="4" fillId="2" borderId="4" xfId="0" applyNumberFormat="1" applyFont="1" applyFill="1" applyBorder="1" applyAlignment="1">
      <x:alignment horizontal="left" vertical="center"/>
    </x:xf>
    <x:xf numFmtId="0" fontId="4" fillId="2" borderId="2" xfId="0" applyNumberFormat="1" applyFont="1" applyFill="1" applyBorder="1" applyAlignment="1">
      <x:alignment horizontal="left" vertical="center" wrapText="1"/>
    </x:xf>
    <x:xf numFmtId="0" fontId="4" fillId="2" borderId="3" xfId="0" applyNumberFormat="1" applyFont="1" applyFill="1" applyBorder="1" applyAlignment="1">
      <x:alignment horizontal="left" vertical="center" wrapText="1"/>
    </x:xf>
    <x:xf numFmtId="0" fontId="4" fillId="2" borderId="4" xfId="0" applyNumberFormat="1" applyFont="1" applyFill="1" applyBorder="1" applyAlignment="1">
      <x:alignment horizontal="left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horizontal="left" vertical="center" wrapText="0"/>
    </x:xf>
    <x:xf numFmtId="0" fontId="1" fillId="0" borderId="0" xfId="0" applyNumberFormat="1" applyFont="1" applyFill="1" applyBorder="1" applyAlignment="1">
      <x:alignment horizontal="left" vertical="center" wrapText="0"/>
    </x:xf>
    <x:xf numFmtId="0" fontId="1" fillId="3" borderId="0" xfId="0" applyNumberFormat="1" applyFont="1" applyFill="1" applyBorder="1" applyAlignment="1">
      <x:alignment horizontal="right" vertical="center" wrapText="0"/>
    </x:xf>
    <x:xf numFmtId="0" fontId="1" fillId="0" borderId="0" xfId="0" applyNumberFormat="1" applyFont="1" applyFill="1" applyBorder="1" applyAlignment="1">
      <x:alignment horizontal="right" vertical="center" wrapText="0"/>
    </x:xf>
    <x:xf numFmtId="201" fontId="1" fillId="3" borderId="0" xfId="0" applyNumberFormat="1" applyFont="1" applyFill="1" applyBorder="1" applyAlignment="1">
      <x:alignment horizontal="right" vertical="center" wrapText="0"/>
    </x:xf>
    <x:xf numFmtId="201" fontId="1" fillId="0" borderId="0" xfId="0" applyNumberFormat="1" applyFont="1" applyFill="1" applyBorder="1" applyAlignment="1">
      <x:alignment horizontal="right" vertical="center" wrapText="0"/>
    </x:xf>
    <x:xf numFmtId="202" fontId="1" fillId="3" borderId="0" xfId="0" applyNumberFormat="1" applyFont="1" applyFill="1" applyBorder="1" applyAlignment="1">
      <x:alignment horizontal="right" vertical="center" wrapText="0"/>
    </x:xf>
    <x:xf numFmtId="202" fontId="1" fillId="0" borderId="0" xfId="0" applyNumberFormat="1" applyFont="1" applyFill="1" applyBorder="1" applyAlignment="1">
      <x:alignment horizontal="right" vertical="center" wrapText="0"/>
    </x:xf>
    <x:xf numFmtId="203" fontId="1" fillId="3" borderId="0" xfId="0" applyNumberFormat="1" applyFont="1" applyFill="1" applyBorder="1" applyAlignment="1">
      <x:alignment horizontal="right" vertical="center" wrapText="0"/>
    </x:xf>
    <x:xf numFmtId="203" fontId="1" fillId="0" borderId="0" xfId="0" applyNumberFormat="1" applyFont="1" applyFill="1" applyBorder="1" applyAlignment="1">
      <x:alignment horizontal="right" vertical="center" wrapText="0"/>
    </x:xf>
    <x:xf numFmtId="204" fontId="1" fillId="3" borderId="0" xfId="0" applyNumberFormat="1" applyFont="1" applyFill="1" applyBorder="1" applyAlignment="1">
      <x:alignment horizontal="right" vertical="center" wrapText="0"/>
    </x:xf>
    <x:xf numFmtId="204" fontId="1" fillId="0" borderId="0" xfId="0" applyNumberFormat="1" applyFont="1" applyFill="1" applyBorder="1" applyAlignment="1">
      <x:alignment horizontal="right" vertical="center" wrapText="0"/>
    </x:xf>
    <x:xf numFmtId="205" fontId="1" fillId="0" borderId="0" xfId="0" applyNumberFormat="1" applyFont="1" applyFill="1" applyBorder="1" applyAlignment="1">
      <x:alignment horizontal="left" vertical="center"/>
    </x:xf>
    <x:xf numFmtId="206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5" fontId="1" fillId="0" borderId="0" xfId="0" applyNumberFormat="1" applyFont="1" applyFill="1" applyBorder="1" applyAlignment="1">
      <x:alignment horizontal="right" vertical="center"/>
    </x:xf>
    <x:xf numFmtId="206" fontId="1" fillId="0" borderId="0" xfId="0" applyNumberFormat="1" applyFont="1" applyFill="1" applyBorder="1" applyAlignment="1">
      <x:alignment horizontal="right" vertical="center"/>
    </x:xf>
    <x:xf numFmtId="205" fontId="5" fillId="0" borderId="0" xfId="0" applyNumberFormat="1" applyFont="1" applyFill="1" applyBorder="1" applyAlignment="1">
      <x:alignment horizontal="right" vertical="center"/>
    </x:xf>
    <x:xf numFmtId="206" fontId="5" fillId="0" borderId="0" xfId="0" applyNumberFormat="1" applyFont="1" applyFill="1" applyBorder="1" applyAlignment="1">
      <x:alignment horizontal="right" vertical="center"/>
    </x:xf>
    <x:xf numFmtId="207" fontId="1" fillId="3" borderId="0" xfId="0" applyNumberFormat="1" applyFont="1" applyFill="1" applyBorder="1" applyAlignment="1">
      <x:alignment horizontal="right" vertical="center" wrapText="0"/>
    </x:xf>
    <x:xf numFmtId="207" fontId="1" fillId="0" borderId="0" xfId="0" applyNumberFormat="1" applyFont="1" applyFill="1" applyBorder="1" applyAlignment="1">
      <x:alignment horizontal="right" vertical="center" wrapText="0"/>
    </x:xf>
    <x:xf numFmtId="205" fontId="1" fillId="3" borderId="0" xfId="0" applyNumberFormat="1" applyFont="1" applyFill="1" applyBorder="1" applyAlignment="1">
      <x:alignment horizontal="left" vertical="center" wrapText="1"/>
    </x:xf>
    <x:xf numFmtId="205" fontId="1" fillId="0" borderId="0" xfId="0" applyNumberFormat="1" applyFont="1" applyFill="1" applyBorder="1" applyAlignment="1">
      <x:alignment horizontal="left" vertical="center" wrapText="1"/>
    </x:xf>
    <x:xf numFmtId="205" fontId="1" fillId="3" borderId="0" xfId="0" applyNumberFormat="1" applyFont="1" applyFill="1" applyBorder="1" applyAlignment="1">
      <x:alignment horizontal="right" vertical="center" wrapText="1"/>
    </x:xf>
    <x:xf numFmtId="205" fontId="1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2a00ca0b0141dc" /><Relationship Type="http://schemas.openxmlformats.org/officeDocument/2006/relationships/theme" Target="/xl/theme/theme1.xml" Id="R0bf38761a20e4a14" /><Relationship Type="http://schemas.openxmlformats.org/officeDocument/2006/relationships/sharedStrings" Target="/xl/sharedStrings.xml" Id="R7953a65dd66f4ed5" /><Relationship Type="http://schemas.openxmlformats.org/officeDocument/2006/relationships/worksheet" Target="/xl/worksheets/sheet1.xml" Id="Rb138e64b852943c5" /><Relationship Type="http://schemas.openxmlformats.org/officeDocument/2006/relationships/worksheet" Target="/xl/worksheets/sheet2.xml" Id="R144c0d10ddd54d10" /><Relationship Type="http://schemas.openxmlformats.org/officeDocument/2006/relationships/worksheet" Target="/xl/worksheets/sheet3.xml" Id="R1b3eb71578b3480b" /></Relationships>
</file>

<file path=xl/tables/table1.xml><?xml version="1.0" encoding="utf-8"?>
<x:table xmlns:x="http://schemas.openxmlformats.org/spreadsheetml/2006/main" id="1" name="Lindenhof_Lieferfahrten" displayName="Lindenhof_Lieferfahrten" ref="A7:K31" headerRowCount="1" totalsRowCount="0" totalsRowShown="0">
  <x:autoFilter ref="A7:K31"/>
  <x:tableColumns count="11">
    <x:tableColumn id="1" name="Fahrt-ID"/>
    <x:tableColumn id="2" name="Datum"/>
    <x:tableColumn id="3" name="Ankunft"/>
    <x:tableColumn id="4" name="Betrieb"/>
    <x:tableColumn id="5" name="Fahrer"/>
    <x:tableColumn id="6" name="Fahrzeug"/>
    <x:tableColumn id="7" name="Zugang"/>
    <x:tableColumn id="8" name="Wartezeit&#10;(min)"/>
    <x:tableColumn id="9" name="Zusatz-&#10;entgelt&#10;netto (EUR)"/>
    <x:tableColumn id="10" name="Beleg"/>
    <x:tableColumn id="11" name="Notiz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ndenhof_Schluesselvorgaenge" displayName="Lindenhof_Schluesselvorgaenge" ref="A7:I24" headerRowCount="1" totalsRowCount="0" totalsRowShown="0">
  <x:autoFilter ref="A7:I24"/>
  <x:tableColumns count="9">
    <x:tableColumn id="1" name="Vorgang-ID"/>
    <x:tableColumn id="2" name="Datum"/>
    <x:tableColumn id="3" name="Uhrzeit"/>
    <x:tableColumn id="4" name="Schlüssel"/>
    <x:tableColumn id="5" name="Von"/>
    <x:tableColumn id="6" name="An"/>
    <x:tableColumn id="7" name="Vorgang"/>
    <x:tableColumn id="8" name="Rückgabe bis"/>
    <x:tableColumn id="9" name="Notiz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indenhof_Beobachtungen" displayName="Lindenhof_Beobachtungen" ref="A7:J25" headerRowCount="1" totalsRowCount="0" totalsRowShown="0">
  <x:autoFilter ref="A7:J25"/>
  <x:tableColumns count="10">
    <x:tableColumn id="1" name="Beobachtung-ID"/>
    <x:tableColumn id="2" name="Datum"/>
    <x:tableColumn id="3" name="Von"/>
    <x:tableColumn id="4" name="Bis"/>
    <x:tableColumn id="5" name="Ort"/>
    <x:tableColumn id="6" name="Erfasser"/>
    <x:tableColumn id="7" name="Fahrzeuge&#10;(Anzahl)"/>
    <x:tableColumn id="8" name="Restbreite&#10;(m)"/>
    <x:tableColumn id="9" name="Beobachtung"/>
    <x:tableColumn id="10" name="Dauer&#10;(min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e5f2e8a896471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66e03735cc94f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bf0d751dafb4824" /></Relationships>
</file>

<file path=xl/worksheets/sheet1.xml><?xml version="1.0" encoding="utf-8"?>
<worksheet xmlns="http://schemas.openxmlformats.org/spreadsheetml/2006/main">
  <sheetPr>
    <pageSetUpPr fitToPage="1"/>
  </sheetPr>
  <sheetViews>
    <sheetView showGridLines="0" workbookViewId="0">
      <pane xSplit="2" ySplit="7" topLeftCell="C8" activePane="bottomRight" state="frozen"/>
    </sheetView>
  </sheetViews>
  <sheetFormatPr defaultRowHeight="15"/>
  <cols>
    <col min="1" max="1" width="7.920000076293945" hidden="0" customWidth="1"/>
    <col min="2" max="2" width="12.359999656677246" hidden="0" customWidth="1"/>
    <col min="3" max="3" width="8.609999656677246" hidden="0" customWidth="1"/>
    <col min="4" max="4" width="16.110000610351562" hidden="0" customWidth="1"/>
    <col min="5" max="5" width="13.0600004196167" hidden="0" customWidth="1"/>
    <col min="6" max="6" width="14.859999656677246" hidden="0" customWidth="1"/>
    <col min="7" max="7" width="13.75" hidden="0" customWidth="1"/>
    <col min="8" max="8" width="9.720000267028809" hidden="0" customWidth="1"/>
    <col min="9" max="9" width="13.470000267028809" hidden="0" customWidth="1"/>
    <col min="10" max="10" width="14.579999923706055" hidden="0" customWidth="1"/>
    <col min="11" max="11" width="26.670000076293945" hidden="0" customWidth="1"/>
  </cols>
  <sheetData>
    <row r="1" ht="8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</row>
    <row r="2" ht="25" customHeight="1">
      <c r="A2" s="4" t="str">
        <v>Lieferfahrten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ht="20" customHeight="1">
      <c r="A3" s="3" t="str">
        <v>Lindenhof Vorrat, Münster</v>
      </c>
      <c r="B3" s="3"/>
      <c r="C3" s="3"/>
      <c r="D3" s="3"/>
      <c r="E3" s="3"/>
      <c r="F3" s="3"/>
      <c r="G3" s="3" t="str">
        <v>Summen</v>
      </c>
      <c r="H3" s="36" t="str">
        <v>Minuten</v>
      </c>
      <c r="I3" s="36" t="str">
        <v>Netto EUR</v>
      </c>
      <c r="J3" s="3"/>
      <c r="K3" s="3"/>
    </row>
    <row r="4" ht="20" customHeight="1">
      <c r="A4" s="5" t="str">
        <v>Quelle: 23_fahrtenbuch_2026-08-24_bis_09-08.csv</v>
      </c>
      <c r="B4" s="3"/>
      <c r="C4" s="3"/>
      <c r="D4" s="3"/>
      <c r="E4" s="3"/>
      <c r="F4" s="3"/>
      <c r="G4" s="3"/>
      <c r="H4" s="39" t="n">
        <f>SUM(H8:H31)</f>
        <v>281</v>
      </c>
      <c r="I4" s="40" t="n">
        <f>SUM(I8:I31)</f>
        <v>192</v>
      </c>
      <c r="J4" s="3"/>
      <c r="K4" s="3"/>
    </row>
    <row r="5" ht="6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</row>
    <row r="6" ht="8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ht="52" customHeight="1">
      <c r="A7" s="15" t="str">
        <v>Fahrt-ID</v>
      </c>
      <c r="B7" s="16" t="str">
        <v>Datum</v>
      </c>
      <c r="C7" s="16" t="str">
        <v>Ankunft</v>
      </c>
      <c r="D7" s="16" t="str">
        <v>Betrieb</v>
      </c>
      <c r="E7" s="16" t="str">
        <v>Fahrer</v>
      </c>
      <c r="F7" s="16" t="str">
        <v>Fahrzeug</v>
      </c>
      <c r="G7" s="16" t="str">
        <v>Zugang</v>
      </c>
      <c r="H7" s="16" t="str">
        <v>Wartezeit
(min)</v>
      </c>
      <c r="I7" s="16" t="str">
        <v>Zusatz-
entgelt
netto (EUR)</v>
      </c>
      <c r="J7" s="16" t="str">
        <v>Beleg</v>
      </c>
      <c r="K7" s="17" t="str">
        <v>Notiz</v>
      </c>
    </row>
    <row r="8" ht="40" customHeight="1">
      <c r="A8" s="20" t="str">
        <v>F01</v>
      </c>
      <c r="B8" s="26" t="n">
        <v>46258</v>
      </c>
      <c r="C8" s="28" t="n">
        <v>0.3</v>
      </c>
      <c r="D8" s="20" t="str">
        <v>Frischefahrt West</v>
      </c>
      <c r="E8" s="20" t="str">
        <v>André Lüke</v>
      </c>
      <c r="F8" s="20" t="str">
        <v>Kühltransporter 3,5 t</v>
      </c>
      <c r="G8" s="20" t="str">
        <v>West / Hof</v>
      </c>
      <c r="H8" s="30" t="n">
        <v>8</v>
      </c>
      <c r="I8" s="32" t="n">
        <v>0</v>
      </c>
      <c r="J8" s="20" t="str">
        <v>Lieferschein FW-8241</v>
      </c>
      <c r="K8" s="20" t="str">
        <v>Öffnung durch Arslan; Hofannahme</v>
      </c>
    </row>
    <row r="9" ht="40" customHeight="1">
      <c r="A9" s="21" t="str">
        <v>F02</v>
      </c>
      <c r="B9" s="27" t="n">
        <v>46258</v>
      </c>
      <c r="C9" s="29" t="n">
        <v>0.44583333333333336</v>
      </c>
      <c r="D9" s="21" t="str">
        <v>Getränke Röttger</v>
      </c>
      <c r="E9" s="21" t="str">
        <v>Jens Rößler</v>
      </c>
      <c r="F9" s="21" t="str">
        <v>Lkw 7,5 t</v>
      </c>
      <c r="G9" s="21" t="str">
        <v>Lindenplatz</v>
      </c>
      <c r="H9" s="31" t="n">
        <v>18</v>
      </c>
      <c r="I9" s="33" t="n">
        <v>12</v>
      </c>
      <c r="J9" s="21" t="str">
        <v>Ankündigung GR-24</v>
      </c>
      <c r="K9" s="21" t="str">
        <v>Handwagen ab Ladebucht; Zuschlag angekündigt</v>
      </c>
    </row>
    <row r="10" ht="40" customHeight="1">
      <c r="A10" s="20" t="str">
        <v>F03</v>
      </c>
      <c r="B10" s="26" t="n">
        <v>46259</v>
      </c>
      <c r="C10" s="28" t="n">
        <v>0.42916666666666664</v>
      </c>
      <c r="D10" s="20" t="str">
        <v>Frischefahrt West</v>
      </c>
      <c r="E10" s="20" t="str">
        <v>André Lüke</v>
      </c>
      <c r="F10" s="20" t="str">
        <v>Kühltransporter 3,5 t</v>
      </c>
      <c r="G10" s="20" t="str">
        <v>Lindenplatz</v>
      </c>
      <c r="H10" s="30" t="n">
        <v>17</v>
      </c>
      <c r="I10" s="32" t="n">
        <v>18</v>
      </c>
      <c r="J10" s="20" t="str">
        <v>FW-260914-118 / 1</v>
      </c>
      <c r="K10" s="20" t="str">
        <v>Übergabe außerhalb Hofannahme</v>
      </c>
    </row>
    <row r="11" ht="40" customHeight="1">
      <c r="A11" s="21" t="str">
        <v>F04</v>
      </c>
      <c r="B11" s="27" t="n">
        <v>46259</v>
      </c>
      <c r="C11" s="29" t="n">
        <v>0.5458333333333333</v>
      </c>
      <c r="D11" s="21" t="str">
        <v>Paketdienst Auenkurier</v>
      </c>
      <c r="E11" s="21" t="str">
        <v>Nina Voß</v>
      </c>
      <c r="F11" s="21" t="str">
        <v>Kastenwagen 2,8 t</v>
      </c>
      <c r="G11" s="21" t="str">
        <v>Ost / Hof</v>
      </c>
      <c r="H11" s="31" t="n">
        <v>0</v>
      </c>
      <c r="I11" s="33" t="n">
        <v>0</v>
      </c>
      <c r="J11" s="21" t="str">
        <v>Empfang AK-825</v>
      </c>
      <c r="K11" s="21" t="str">
        <v>Zwei Kartons; kurze Einfahrt ohne Einweiser</v>
      </c>
    </row>
    <row r="12" ht="40" customHeight="1">
      <c r="A12" s="20" t="str">
        <v>F05</v>
      </c>
      <c r="B12" s="26" t="n">
        <v>46260</v>
      </c>
      <c r="C12" s="28" t="n">
        <v>0.3375</v>
      </c>
      <c r="D12" s="20" t="str">
        <v>Gemüsehof Berken</v>
      </c>
      <c r="E12" s="20" t="str">
        <v>Paul Öster</v>
      </c>
      <c r="F12" s="20" t="str">
        <v>Transporter 3,5 t</v>
      </c>
      <c r="G12" s="20" t="str">
        <v>West / Hof</v>
      </c>
      <c r="H12" s="30" t="n">
        <v>5</v>
      </c>
      <c r="I12" s="32" t="n">
        <v>0</v>
      </c>
      <c r="J12" s="20" t="str">
        <v>Lieferschein GB-826</v>
      </c>
      <c r="K12" s="20" t="str">
        <v>Kisten kurz auf Gehweg; nach Hinweis weggeräumt</v>
      </c>
    </row>
    <row r="13" ht="40" customHeight="1">
      <c r="A13" s="21" t="str">
        <v>F06</v>
      </c>
      <c r="B13" s="27" t="n">
        <v>46260</v>
      </c>
      <c r="C13" s="29" t="n">
        <v>0.43472222222222223</v>
      </c>
      <c r="D13" s="21" t="str">
        <v>Frischefahrt West</v>
      </c>
      <c r="E13" s="21" t="str">
        <v>André Lüke</v>
      </c>
      <c r="F13" s="21" t="str">
        <v>Kühltransporter 3,5 t</v>
      </c>
      <c r="G13" s="21" t="str">
        <v>Lindenplatz</v>
      </c>
      <c r="H13" s="31" t="n">
        <v>19</v>
      </c>
      <c r="I13" s="33" t="n">
        <v>18</v>
      </c>
      <c r="J13" s="21" t="str">
        <v>FW-260914-118 / 2</v>
      </c>
      <c r="K13" s="21" t="str">
        <v>Tourzeit von Arslan notiert</v>
      </c>
    </row>
    <row r="14" ht="40" customHeight="1">
      <c r="A14" s="20" t="str">
        <v>F07</v>
      </c>
      <c r="B14" s="26" t="n">
        <v>46261</v>
      </c>
      <c r="C14" s="28" t="n">
        <v>0.3923611111111111</v>
      </c>
      <c r="D14" s="20" t="str">
        <v>Getränke Röttger</v>
      </c>
      <c r="E14" s="20" t="str">
        <v>Jens Rößler</v>
      </c>
      <c r="F14" s="20" t="str">
        <v>Lkw 7,5 t</v>
      </c>
      <c r="G14" s="20" t="str">
        <v>West / vor Tor</v>
      </c>
      <c r="H14" s="30" t="n">
        <v>8</v>
      </c>
      <c r="I14" s="32" t="n">
        <v>0</v>
      </c>
      <c r="J14" s="20" t="str">
        <v>Lieferschein GR-827</v>
      </c>
      <c r="K14" s="20" t="str">
        <v>Zu hoch für Hof; Straßenentladung elf Minuten</v>
      </c>
    </row>
    <row r="15" ht="40" customHeight="1">
      <c r="A15" s="21" t="str">
        <v>F08</v>
      </c>
      <c r="B15" s="27" t="n">
        <v>46261</v>
      </c>
      <c r="C15" s="29" t="n">
        <v>0.46319444444444446</v>
      </c>
      <c r="D15" s="21" t="str">
        <v>Frischefahrt West</v>
      </c>
      <c r="E15" s="21" t="str">
        <v>Heike Möller</v>
      </c>
      <c r="F15" s="21" t="str">
        <v>Kühltransporter 3,5 t</v>
      </c>
      <c r="G15" s="21" t="str">
        <v>Lindenplatz</v>
      </c>
      <c r="H15" s="31" t="n">
        <v>22</v>
      </c>
      <c r="I15" s="33" t="n">
        <v>18</v>
      </c>
      <c r="J15" s="21" t="str">
        <v>FW-260914-118 / 3</v>
      </c>
      <c r="K15" s="21" t="str">
        <v>Hölscher zunächst allein im Verkauf</v>
      </c>
    </row>
    <row r="16" ht="40" customHeight="1">
      <c r="A16" s="20" t="str">
        <v>F09</v>
      </c>
      <c r="B16" s="26" t="n">
        <v>46262</v>
      </c>
      <c r="C16" s="28" t="n">
        <v>0.4263888888888889</v>
      </c>
      <c r="D16" s="20" t="str">
        <v>Frischefahrt West</v>
      </c>
      <c r="E16" s="20" t="str">
        <v>André Lüke</v>
      </c>
      <c r="F16" s="20" t="str">
        <v>Kühltransporter 3,5 t</v>
      </c>
      <c r="G16" s="20" t="str">
        <v>Lindenplatz</v>
      </c>
      <c r="H16" s="30" t="n">
        <v>16</v>
      </c>
      <c r="I16" s="32" t="n">
        <v>18</v>
      </c>
      <c r="J16" s="20" t="str">
        <v>FW-260914-118 / 4</v>
      </c>
      <c r="K16" s="20" t="str">
        <v>Vier Rollkisten mit eigenem Handwagen übernommen</v>
      </c>
    </row>
    <row r="17" ht="40" customHeight="1">
      <c r="A17" s="21" t="str">
        <v>F10</v>
      </c>
      <c r="B17" s="27" t="n">
        <v>46262</v>
      </c>
      <c r="C17" s="29" t="n">
        <v>0.5986111111111111</v>
      </c>
      <c r="D17" s="21" t="str">
        <v>Paketdienst Auenkurier</v>
      </c>
      <c r="E17" s="21" t="str">
        <v>Nina Voß</v>
      </c>
      <c r="F17" s="21" t="str">
        <v>Kastenwagen 2,8 t</v>
      </c>
      <c r="G17" s="21" t="str">
        <v>Ost / Hof</v>
      </c>
      <c r="H17" s="31" t="n">
        <v>0</v>
      </c>
      <c r="I17" s="33" t="n">
        <v>0</v>
      </c>
      <c r="J17" s="21" t="str">
        <v>Empfang AK-828</v>
      </c>
      <c r="K17" s="21" t="str">
        <v>Drei Kartons; keine Schlüsselöffnung</v>
      </c>
    </row>
    <row r="18" ht="40" customHeight="1">
      <c r="A18" s="20" t="str">
        <v>F11</v>
      </c>
      <c r="B18" s="26" t="n">
        <v>46265</v>
      </c>
      <c r="C18" s="28" t="n">
        <v>0.44027777777777777</v>
      </c>
      <c r="D18" s="20" t="str">
        <v>Frischefahrt West</v>
      </c>
      <c r="E18" s="20" t="str">
        <v>Heike Möller</v>
      </c>
      <c r="F18" s="20" t="str">
        <v>Kühltransporter 3,5 t</v>
      </c>
      <c r="G18" s="20" t="str">
        <v>Lindenplatz</v>
      </c>
      <c r="H18" s="30" t="n">
        <v>18</v>
      </c>
      <c r="I18" s="32" t="n">
        <v>18</v>
      </c>
      <c r="J18" s="20" t="str">
        <v>FW-260914-118 / 5</v>
      </c>
      <c r="K18" s="20" t="str">
        <v>Keine Öffnung nach 10 Uhr</v>
      </c>
    </row>
    <row r="19" ht="55" customHeight="1">
      <c r="A19" s="21" t="str">
        <v>F12</v>
      </c>
      <c r="B19" s="27" t="n">
        <v>46265</v>
      </c>
      <c r="C19" s="29" t="n">
        <v>0.5111111111111111</v>
      </c>
      <c r="D19" s="21" t="str">
        <v>Getränke Röttger</v>
      </c>
      <c r="E19" s="21" t="str">
        <v>Jens Rößler</v>
      </c>
      <c r="F19" s="21" t="str">
        <v>Lkw 7,5 t</v>
      </c>
      <c r="G19" s="21" t="str">
        <v>Lindenplatz</v>
      </c>
      <c r="H19" s="31" t="n">
        <v>15</v>
      </c>
      <c r="I19" s="33" t="n">
        <v>12</v>
      </c>
      <c r="J19" s="21" t="str">
        <v>Ankündigung GR-31</v>
      </c>
      <c r="K19" s="21" t="str">
        <v>Zuschlag nur angekündigt; Leergebinde mitgenommen</v>
      </c>
    </row>
    <row r="20" ht="40" customHeight="1">
      <c r="A20" s="20" t="str">
        <v>F13</v>
      </c>
      <c r="B20" s="26" t="n">
        <v>46266</v>
      </c>
      <c r="C20" s="28" t="n">
        <v>0.34375</v>
      </c>
      <c r="D20" s="20" t="str">
        <v>Gemüsehof Berken</v>
      </c>
      <c r="E20" s="20" t="str">
        <v>Paul Öster</v>
      </c>
      <c r="F20" s="20" t="str">
        <v>Transporter 3,5 t</v>
      </c>
      <c r="G20" s="20" t="str">
        <v>West / Hof</v>
      </c>
      <c r="H20" s="30" t="n">
        <v>3</v>
      </c>
      <c r="I20" s="32" t="n">
        <v>0</v>
      </c>
      <c r="J20" s="20" t="str">
        <v>Lieferschein GB-901</v>
      </c>
      <c r="K20" s="20" t="str">
        <v>Arslan wartet an P1</v>
      </c>
    </row>
    <row r="21" ht="40" customHeight="1">
      <c r="A21" s="21" t="str">
        <v>F14</v>
      </c>
      <c r="B21" s="27" t="n">
        <v>46266</v>
      </c>
      <c r="C21" s="29" t="n">
        <v>0.45</v>
      </c>
      <c r="D21" s="21" t="str">
        <v>Frischefahrt West</v>
      </c>
      <c r="E21" s="21" t="str">
        <v>André Lüke</v>
      </c>
      <c r="F21" s="21" t="str">
        <v>Kühltransporter 3,5 t</v>
      </c>
      <c r="G21" s="21" t="str">
        <v>Lindenplatz</v>
      </c>
      <c r="H21" s="31" t="n">
        <v>21</v>
      </c>
      <c r="I21" s="33" t="n">
        <v>18</v>
      </c>
      <c r="J21" s="21" t="str">
        <v>FW-260914-118 / 6</v>
      </c>
      <c r="K21" s="21" t="str">
        <v>Wartezeit bis Beginn der Übergabe</v>
      </c>
    </row>
    <row r="22" ht="40" customHeight="1">
      <c r="A22" s="20" t="str">
        <v>F15</v>
      </c>
      <c r="B22" s="26" t="n">
        <v>46267</v>
      </c>
      <c r="C22" s="28" t="n">
        <v>0.4666666666666667</v>
      </c>
      <c r="D22" s="20" t="str">
        <v>Frischefahrt West</v>
      </c>
      <c r="E22" s="20" t="str">
        <v>Heike Möller</v>
      </c>
      <c r="F22" s="20" t="str">
        <v>Kühltransporter 3,5 t</v>
      </c>
      <c r="G22" s="20" t="str">
        <v>Lindenplatz</v>
      </c>
      <c r="H22" s="30" t="n">
        <v>24</v>
      </c>
      <c r="I22" s="32" t="n">
        <v>18</v>
      </c>
      <c r="J22" s="20" t="str">
        <v>FW-260914-118 / 7</v>
      </c>
      <c r="K22" s="20" t="str">
        <v>Kombi vor Hoftor; Handwagen musste kurz warten</v>
      </c>
    </row>
    <row r="23" ht="40" customHeight="1">
      <c r="A23" s="21" t="str">
        <v>F16</v>
      </c>
      <c r="B23" s="27" t="n">
        <v>46267</v>
      </c>
      <c r="C23" s="29" t="n">
        <v>0.5680555555555555</v>
      </c>
      <c r="D23" s="21" t="str">
        <v>Paketdienst Auenkurier</v>
      </c>
      <c r="E23" s="21" t="str">
        <v>Nina Voß</v>
      </c>
      <c r="F23" s="21" t="str">
        <v>Kastenwagen 2,8 t</v>
      </c>
      <c r="G23" s="21" t="str">
        <v>Ost / Hof</v>
      </c>
      <c r="H23" s="31" t="n">
        <v>0</v>
      </c>
      <c r="I23" s="33" t="n">
        <v>0</v>
      </c>
      <c r="J23" s="21" t="str">
        <v>Empfang AK-902</v>
      </c>
      <c r="K23" s="21" t="str">
        <v>Hoftor wieder frei</v>
      </c>
    </row>
    <row r="24" ht="40" customHeight="1">
      <c r="A24" s="20" t="str">
        <v>F17</v>
      </c>
      <c r="B24" s="26" t="n">
        <v>46268</v>
      </c>
      <c r="C24" s="28" t="n">
        <v>0.33194444444444443</v>
      </c>
      <c r="D24" s="20" t="str">
        <v>Gemüsehof Berken</v>
      </c>
      <c r="E24" s="20" t="str">
        <v>Paul Öster</v>
      </c>
      <c r="F24" s="20" t="str">
        <v>Transporter 3,5 t</v>
      </c>
      <c r="G24" s="20" t="str">
        <v>West / Hof</v>
      </c>
      <c r="H24" s="30" t="n">
        <v>4</v>
      </c>
      <c r="I24" s="32" t="n">
        <v>0</v>
      </c>
      <c r="J24" s="20" t="str">
        <v>Lieferschein GB-903</v>
      </c>
      <c r="K24" s="20" t="str">
        <v>Öffnung und Schließung durch Arslan</v>
      </c>
    </row>
    <row r="25" ht="40" customHeight="1">
      <c r="A25" s="21" t="str">
        <v>F18</v>
      </c>
      <c r="B25" s="27" t="n">
        <v>46268</v>
      </c>
      <c r="C25" s="29" t="n">
        <v>0.4826388888888889</v>
      </c>
      <c r="D25" s="21" t="str">
        <v>Getränke Röttger</v>
      </c>
      <c r="E25" s="21" t="str">
        <v>Jens Rößler</v>
      </c>
      <c r="F25" s="21" t="str">
        <v>Lkw 7,5 t</v>
      </c>
      <c r="G25" s="21" t="str">
        <v>Lindenplatz</v>
      </c>
      <c r="H25" s="31" t="n">
        <v>20</v>
      </c>
      <c r="I25" s="33" t="n">
        <v>12</v>
      </c>
      <c r="J25" s="21" t="str">
        <v>Ankündigung GR-03</v>
      </c>
      <c r="K25" s="21" t="str">
        <v>Zwei Handwagenwege; Zuschlag angekündigt</v>
      </c>
    </row>
    <row r="26" ht="55" customHeight="1">
      <c r="A26" s="20" t="str">
        <v>F19</v>
      </c>
      <c r="B26" s="26" t="n">
        <v>46269</v>
      </c>
      <c r="C26" s="28" t="n">
        <v>0.39305555555555555</v>
      </c>
      <c r="D26" s="20" t="str">
        <v>Frischefahrt West</v>
      </c>
      <c r="E26" s="20" t="str">
        <v>André Lüke</v>
      </c>
      <c r="F26" s="20" t="str">
        <v>Kühltransporter 3,5 t</v>
      </c>
      <c r="G26" s="20" t="str">
        <v>West / Hof</v>
      </c>
      <c r="H26" s="30" t="n">
        <v>12</v>
      </c>
      <c r="I26" s="32" t="n">
        <v>0</v>
      </c>
      <c r="J26" s="20" t="str">
        <v>Lieferschein FW-904</v>
      </c>
      <c r="K26" s="20" t="str">
        <v>Durchfahrt um 09:38; späteres Schließen laut Chat 10:19</v>
      </c>
    </row>
    <row r="27" ht="55" customHeight="1">
      <c r="A27" s="21" t="str">
        <v>F20</v>
      </c>
      <c r="B27" s="27" t="n">
        <v>46269</v>
      </c>
      <c r="C27" s="29" t="n">
        <v>0.45694444444444443</v>
      </c>
      <c r="D27" s="21" t="str">
        <v>Getränke Röttger</v>
      </c>
      <c r="E27" s="21" t="str">
        <v>Jens Rößler</v>
      </c>
      <c r="F27" s="21" t="str">
        <v>Lkw 7,5 t</v>
      </c>
      <c r="G27" s="21" t="str">
        <v>Lindenplatz</v>
      </c>
      <c r="H27" s="31" t="n">
        <v>17</v>
      </c>
      <c r="I27" s="33" t="n">
        <v>12</v>
      </c>
      <c r="J27" s="21" t="str">
        <v>Ankündigung GR-04</v>
      </c>
      <c r="K27" s="21" t="str">
        <v>P1 bereits wieder eingesetzt; Zuschlag angekündigt</v>
      </c>
    </row>
    <row r="28" ht="55" customHeight="1">
      <c r="A28" s="20" t="str">
        <v>F21</v>
      </c>
      <c r="B28" s="26" t="n">
        <v>46272</v>
      </c>
      <c r="C28" s="28" t="n">
        <v>0.43125</v>
      </c>
      <c r="D28" s="20" t="str">
        <v>Frischefahrt West</v>
      </c>
      <c r="E28" s="20" t="str">
        <v>Heike Möller</v>
      </c>
      <c r="F28" s="20" t="str">
        <v>Kühltransporter 3,5 t</v>
      </c>
      <c r="G28" s="20" t="str">
        <v>Lindenplatz</v>
      </c>
      <c r="H28" s="30" t="n">
        <v>23</v>
      </c>
      <c r="I28" s="32" t="n">
        <v>18</v>
      </c>
      <c r="J28" s="20" t="str">
        <v>FW-260914-118 / 8</v>
      </c>
      <c r="K28" s="20" t="str">
        <v>Übergabe am Lindenplatz; Zuordnung fremder Lieferwagen offen</v>
      </c>
    </row>
    <row r="29" ht="40" customHeight="1">
      <c r="A29" s="21" t="str">
        <v>F22</v>
      </c>
      <c r="B29" s="27" t="n">
        <v>46272</v>
      </c>
      <c r="C29" s="29" t="n">
        <v>0.5861111111111111</v>
      </c>
      <c r="D29" s="21" t="str">
        <v>Paketdienst Auenkurier</v>
      </c>
      <c r="E29" s="21" t="str">
        <v>Nina Voß</v>
      </c>
      <c r="F29" s="21" t="str">
        <v>Kastenwagen 2,8 t</v>
      </c>
      <c r="G29" s="21" t="str">
        <v>Ost / Hof</v>
      </c>
      <c r="H29" s="31" t="n">
        <v>0</v>
      </c>
      <c r="I29" s="33" t="n">
        <v>0</v>
      </c>
      <c r="J29" s="21" t="str">
        <v>Empfang AK-907</v>
      </c>
      <c r="K29" s="21" t="str">
        <v>Keine Polleröffnung</v>
      </c>
    </row>
    <row r="30" ht="40" customHeight="1">
      <c r="A30" s="20" t="str">
        <v>F23</v>
      </c>
      <c r="B30" s="26" t="n">
        <v>46273</v>
      </c>
      <c r="C30" s="28" t="n">
        <v>0.3416666666666667</v>
      </c>
      <c r="D30" s="20" t="str">
        <v>Gemüsehof Berken</v>
      </c>
      <c r="E30" s="20" t="str">
        <v>Paul Öster</v>
      </c>
      <c r="F30" s="20" t="str">
        <v>Transporter 3,5 t</v>
      </c>
      <c r="G30" s="20" t="str">
        <v>West / Hof</v>
      </c>
      <c r="H30" s="30" t="n">
        <v>4</v>
      </c>
      <c r="I30" s="32" t="n">
        <v>0</v>
      </c>
      <c r="J30" s="20" t="str">
        <v>Lieferschein GB-908</v>
      </c>
      <c r="K30" s="20" t="str">
        <v>Tor durch Arslan geöffnet</v>
      </c>
    </row>
    <row r="31" ht="40" customHeight="1">
      <c r="A31" s="21" t="str">
        <v>F24</v>
      </c>
      <c r="B31" s="27" t="n">
        <v>46273</v>
      </c>
      <c r="C31" s="29" t="n">
        <v>0.3861111111111111</v>
      </c>
      <c r="D31" s="21" t="str">
        <v>Getränke Röttger</v>
      </c>
      <c r="E31" s="21" t="str">
        <v>Jens Rößler</v>
      </c>
      <c r="F31" s="21" t="str">
        <v>Lkw 7,5 t</v>
      </c>
      <c r="G31" s="21" t="str">
        <v>West / vor Tor</v>
      </c>
      <c r="H31" s="31" t="n">
        <v>7</v>
      </c>
      <c r="I31" s="33" t="n">
        <v>0</v>
      </c>
      <c r="J31" s="21" t="str">
        <v>Lieferschein GR-908</v>
      </c>
      <c r="K31" s="21" t="str">
        <v>Straßenentladung neun Minuten; kein Hofeintritt</v>
      </c>
    </row>
  </sheetData>
  <printOptions gridLines="0" headings="0"/>
  <pageMargins left="0.25" right="0.25" top="0.3" bottom="0.4" header="0.12" footer="0.18"/>
  <pageSetup paperSize="9" orientation="landscape" fitToWidth="1" fitToHeight="0"/>
  <headerFooter>
    <oddFooter>&amp;LLindenhof Vorrat, Münster&amp;CLieferfahrten&amp;RSeite &amp;P von &amp;N</oddFooter>
  </headerFooter>
  <tableParts count="1">
    <tablePart xmlns:r="http://schemas.openxmlformats.org/officeDocument/2006/relationships" r:id="R6be5f2e8a8964718"/>
  </tableParts>
</worksheet>
</file>

<file path=xl/worksheets/sheet2.xml><?xml version="1.0" encoding="utf-8"?>
<worksheet xmlns="http://schemas.openxmlformats.org/spreadsheetml/2006/main">
  <sheetPr>
    <pageSetUpPr fitToPage="1"/>
  </sheetPr>
  <sheetViews>
    <sheetView showGridLines="0" workbookViewId="0">
      <pane xSplit="2" ySplit="7" topLeftCell="C8" activePane="bottomRight" state="frozen"/>
    </sheetView>
  </sheetViews>
  <sheetFormatPr defaultRowHeight="15"/>
  <cols>
    <col min="1" max="1" width="10.829999923706055" hidden="0" customWidth="1"/>
    <col min="2" max="2" width="12.359999656677246" hidden="0" customWidth="1"/>
    <col min="3" max="3" width="8.890000343322754" hidden="0" customWidth="1"/>
    <col min="4" max="4" width="10.6899995803833" hidden="0" customWidth="1"/>
    <col min="5" max="5" width="15" hidden="0" customWidth="1"/>
    <col min="6" max="6" width="16.110000610351562" hidden="0" customWidth="1"/>
    <col min="7" max="7" width="20.690000534057617" hidden="0" customWidth="1"/>
    <col min="8" max="8" width="22.360000610351562" hidden="0" customWidth="1"/>
    <col min="9" max="9" width="31.389999389648438" hidden="0" customWidth="1"/>
  </cols>
  <sheetData>
    <row r="1" ht="8" customHeight="1">
      <c r="A1" s="3"/>
      <c r="B1" s="3"/>
      <c r="C1" s="3"/>
      <c r="D1" s="3"/>
      <c r="E1" s="3"/>
      <c r="F1" s="3"/>
      <c r="G1" s="3"/>
      <c r="H1" s="3"/>
      <c r="I1" s="3"/>
    </row>
    <row r="2" ht="25" customHeight="1">
      <c r="A2" s="4" t="str">
        <v>Schlüsselvorgänge</v>
      </c>
      <c r="B2" s="3"/>
      <c r="C2" s="3"/>
      <c r="D2" s="3"/>
      <c r="E2" s="3"/>
      <c r="F2" s="3"/>
      <c r="G2" s="3"/>
      <c r="H2" s="3"/>
      <c r="I2" s="3"/>
    </row>
    <row r="3" ht="20" customHeight="1">
      <c r="A3" s="3" t="str">
        <v>Lindenhof Vorrat, Münster</v>
      </c>
      <c r="B3" s="3"/>
      <c r="C3" s="3"/>
      <c r="D3" s="3"/>
      <c r="E3" s="3"/>
      <c r="F3" s="3"/>
      <c r="G3" s="3"/>
      <c r="H3" s="3"/>
      <c r="I3" s="3"/>
    </row>
    <row r="4" ht="20" customHeight="1">
      <c r="A4" s="5" t="str">
        <v>Quelle: 24_schluesseljournal_2026-08-21_bis_09-22.csv</v>
      </c>
      <c r="B4" s="3"/>
      <c r="C4" s="3"/>
      <c r="D4" s="3"/>
      <c r="E4" s="3"/>
      <c r="F4" s="3"/>
      <c r="G4" s="3"/>
      <c r="H4" s="3"/>
      <c r="I4" s="3"/>
    </row>
    <row r="5" ht="6" customHeight="1">
      <c r="A5" s="6"/>
      <c r="B5" s="6"/>
      <c r="C5" s="6"/>
      <c r="D5" s="6"/>
      <c r="E5" s="6"/>
      <c r="F5" s="6"/>
      <c r="G5" s="6"/>
      <c r="H5" s="6"/>
      <c r="I5" s="6"/>
    </row>
    <row r="6" ht="8" customHeight="1">
      <c r="A6" s="3"/>
      <c r="B6" s="3"/>
      <c r="C6" s="3"/>
      <c r="D6" s="3"/>
      <c r="E6" s="3"/>
      <c r="F6" s="3"/>
      <c r="G6" s="3"/>
      <c r="H6" s="3"/>
      <c r="I6" s="3"/>
    </row>
    <row r="7" ht="52" customHeight="1">
      <c r="A7" s="15" t="str">
        <v>Vorgang-ID</v>
      </c>
      <c r="B7" s="16" t="str">
        <v>Datum</v>
      </c>
      <c r="C7" s="16" t="str">
        <v>Uhrzeit</v>
      </c>
      <c r="D7" s="16" t="str">
        <v>Schlüssel</v>
      </c>
      <c r="E7" s="16" t="str">
        <v>Von</v>
      </c>
      <c r="F7" s="16" t="str">
        <v>An</v>
      </c>
      <c r="G7" s="16" t="str">
        <v>Vorgang</v>
      </c>
      <c r="H7" s="16" t="str">
        <v>Rückgabe bis</v>
      </c>
      <c r="I7" s="17" t="str">
        <v>Notiz</v>
      </c>
    </row>
    <row r="8" ht="40" customHeight="1">
      <c r="A8" s="20" t="str">
        <v>S01</v>
      </c>
      <c r="B8" s="26" t="n">
        <v>46255</v>
      </c>
      <c r="C8" s="28" t="n">
        <v>0.3472222222222222</v>
      </c>
      <c r="D8" s="20" t="str">
        <v>LB-17</v>
      </c>
      <c r="E8" s="20" t="str">
        <v>Tobias Korte</v>
      </c>
      <c r="F8" s="20" t="str">
        <v>Mara Hölscher</v>
      </c>
      <c r="G8" s="20" t="str">
        <v>Ausgabe Werkhof</v>
      </c>
      <c r="H8" s="41" t="n">
        <v>46311.5</v>
      </c>
      <c r="I8" s="20" t="str">
        <v>Einweisung; nur ein Straßenschlüssel ausgegeben</v>
      </c>
    </row>
    <row r="9" ht="34" customHeight="1">
      <c r="A9" s="21" t="str">
        <v>S02</v>
      </c>
      <c r="B9" s="27" t="n">
        <v>46258</v>
      </c>
      <c r="C9" s="29" t="n">
        <v>0.2673611111111111</v>
      </c>
      <c r="D9" s="21" t="str">
        <v>LB-17</v>
      </c>
      <c r="E9" s="21" t="str">
        <v>Mara Hölscher</v>
      </c>
      <c r="F9" s="21" t="str">
        <v>Deniz Arslan</v>
      </c>
      <c r="G9" s="21" t="str">
        <v>Interne Übergabe</v>
      </c>
      <c r="H9" s="42" t="n">
        <v>46258.416666666664</v>
      </c>
      <c r="I9" s="21" t="str">
        <v>Kassenschubfach; Frühdienst</v>
      </c>
    </row>
    <row r="10" ht="34" customHeight="1">
      <c r="A10" s="20" t="str">
        <v>S03</v>
      </c>
      <c r="B10" s="26" t="n">
        <v>46258</v>
      </c>
      <c r="C10" s="28" t="n">
        <v>0.4083333333333333</v>
      </c>
      <c r="D10" s="20" t="str">
        <v>LB-17</v>
      </c>
      <c r="E10" s="20" t="str">
        <v>Deniz Arslan</v>
      </c>
      <c r="F10" s="20" t="str">
        <v>Mara Hölscher</v>
      </c>
      <c r="G10" s="20" t="str">
        <v>Interne Rückgabe</v>
      </c>
      <c r="H10" s="41"/>
      <c r="I10" s="20" t="str">
        <v>Pfosten verriegelt</v>
      </c>
    </row>
    <row r="11" ht="40" customHeight="1">
      <c r="A11" s="21" t="str">
        <v>S04</v>
      </c>
      <c r="B11" s="27" t="n">
        <v>46259</v>
      </c>
      <c r="C11" s="29" t="n">
        <v>0.4131944444444444</v>
      </c>
      <c r="D11" s="21" t="str">
        <v>LB-17</v>
      </c>
      <c r="E11" s="21" t="str">
        <v>Mara Hölscher</v>
      </c>
      <c r="F11" s="21" t="str">
        <v>Kassenschubfach</v>
      </c>
      <c r="G11" s="21" t="str">
        <v>Verwahrung</v>
      </c>
      <c r="H11" s="42"/>
      <c r="I11" s="21" t="str">
        <v>Keine Öffnung für spätere Frischefahrt</v>
      </c>
    </row>
    <row r="12" ht="34" customHeight="1">
      <c r="A12" s="20" t="str">
        <v>S05</v>
      </c>
      <c r="B12" s="26" t="n">
        <v>46260</v>
      </c>
      <c r="C12" s="28" t="n">
        <v>0.3263888888888889</v>
      </c>
      <c r="D12" s="20" t="str">
        <v>LB-17</v>
      </c>
      <c r="E12" s="20" t="str">
        <v>Mara Hölscher</v>
      </c>
      <c r="F12" s="20" t="str">
        <v>Deniz Arslan</v>
      </c>
      <c r="G12" s="20" t="str">
        <v>Interne Übergabe</v>
      </c>
      <c r="H12" s="41" t="n">
        <v>46260.416666666664</v>
      </c>
      <c r="I12" s="20" t="str">
        <v>Gemüseanlieferung</v>
      </c>
    </row>
    <row r="13" ht="40" customHeight="1">
      <c r="A13" s="21" t="str">
        <v>S06</v>
      </c>
      <c r="B13" s="27" t="n">
        <v>46260</v>
      </c>
      <c r="C13" s="29" t="n">
        <v>0.4027777777777778</v>
      </c>
      <c r="D13" s="21" t="str">
        <v>LB-17</v>
      </c>
      <c r="E13" s="21" t="str">
        <v>Deniz Arslan</v>
      </c>
      <c r="F13" s="21" t="str">
        <v>Kassenschubfach</v>
      </c>
      <c r="G13" s="21" t="str">
        <v>Verwahrung</v>
      </c>
      <c r="H13" s="42"/>
      <c r="I13" s="21" t="str">
        <v>Rückgabe von Hölscher gesehen</v>
      </c>
    </row>
    <row r="14" ht="40" customHeight="1">
      <c r="A14" s="20" t="str">
        <v>S07</v>
      </c>
      <c r="B14" s="26" t="n">
        <v>46261</v>
      </c>
      <c r="C14" s="28" t="n">
        <v>0.5055555555555555</v>
      </c>
      <c r="D14" s="20" t="str">
        <v>LB-18</v>
      </c>
      <c r="E14" s="20" t="str">
        <v>Mara Hölscher</v>
      </c>
      <c r="F14" s="20" t="str">
        <v>Johanna Rensing</v>
      </c>
      <c r="G14" s="20" t="str">
        <v>Zusatzantrag</v>
      </c>
      <c r="H14" s="41"/>
      <c r="I14" s="20" t="str">
        <v>Nicht ausgegeben; E-Mail vom selben Tag</v>
      </c>
    </row>
    <row r="15" ht="55" customHeight="1">
      <c r="A15" s="21" t="str">
        <v>S08</v>
      </c>
      <c r="B15" s="27" t="n">
        <v>46265</v>
      </c>
      <c r="C15" s="29" t="n">
        <v>0.33541666666666664</v>
      </c>
      <c r="D15" s="21" t="str">
        <v>LB-17</v>
      </c>
      <c r="E15" s="21" t="str">
        <v>Deniz Arslan</v>
      </c>
      <c r="F15" s="21" t="str">
        <v>Tobias Korte</v>
      </c>
      <c r="G15" s="21" t="str">
        <v>Störungsmeldung</v>
      </c>
      <c r="H15" s="42"/>
      <c r="I15" s="21" t="str">
        <v>Telefonisch schwergängiges Drehen gemeldet; kein Schlüsselwechsel</v>
      </c>
    </row>
    <row r="16" ht="34" customHeight="1">
      <c r="A16" s="20" t="str">
        <v>S09</v>
      </c>
      <c r="B16" s="26" t="n">
        <v>46266</v>
      </c>
      <c r="C16" s="28" t="n">
        <v>0.3298611111111111</v>
      </c>
      <c r="D16" s="20" t="str">
        <v>LB-17</v>
      </c>
      <c r="E16" s="20" t="str">
        <v>Mara Hölscher</v>
      </c>
      <c r="F16" s="20" t="str">
        <v>Deniz Arslan</v>
      </c>
      <c r="G16" s="20" t="str">
        <v>Interne Übergabe</v>
      </c>
      <c r="H16" s="41" t="n">
        <v>46266.416666666664</v>
      </c>
      <c r="I16" s="20" t="str">
        <v>Gemüseanlieferung</v>
      </c>
    </row>
    <row r="17" ht="40" customHeight="1">
      <c r="A17" s="21" t="str">
        <v>S10</v>
      </c>
      <c r="B17" s="27" t="n">
        <v>46266</v>
      </c>
      <c r="C17" s="29" t="n">
        <v>0.40625</v>
      </c>
      <c r="D17" s="21" t="str">
        <v>LB-17</v>
      </c>
      <c r="E17" s="21" t="str">
        <v>Deniz Arslan</v>
      </c>
      <c r="F17" s="21" t="str">
        <v>Kassenschubfach</v>
      </c>
      <c r="G17" s="21" t="str">
        <v>Verwahrung</v>
      </c>
      <c r="H17" s="42"/>
      <c r="I17" s="21" t="str">
        <v>Pfosten verriegelt</v>
      </c>
    </row>
    <row r="18" ht="34" customHeight="1">
      <c r="A18" s="20" t="str">
        <v>S11</v>
      </c>
      <c r="B18" s="26" t="n">
        <v>46269</v>
      </c>
      <c r="C18" s="28" t="n">
        <v>0.3888888888888889</v>
      </c>
      <c r="D18" s="20" t="str">
        <v>LB-17</v>
      </c>
      <c r="E18" s="20" t="str">
        <v>Mara Hölscher</v>
      </c>
      <c r="F18" s="20" t="str">
        <v>Deniz Arslan</v>
      </c>
      <c r="G18" s="20" t="str">
        <v>Interne Übergabe</v>
      </c>
      <c r="H18" s="41" t="n">
        <v>46269.416666666664</v>
      </c>
      <c r="I18" s="20" t="str">
        <v>Frischefahrt angekündigt</v>
      </c>
    </row>
    <row r="19" ht="55" customHeight="1">
      <c r="A19" s="21" t="str">
        <v>S12</v>
      </c>
      <c r="B19" s="27" t="n">
        <v>46269</v>
      </c>
      <c r="C19" s="29" t="n">
        <v>0.42986111111111114</v>
      </c>
      <c r="D19" s="21" t="str">
        <v>LB-17</v>
      </c>
      <c r="E19" s="21" t="str">
        <v>Mara Hölscher</v>
      </c>
      <c r="F19" s="21" t="str">
        <v>Kassenschubfach</v>
      </c>
      <c r="G19" s="21" t="str">
        <v>Verwahrung</v>
      </c>
      <c r="H19" s="42"/>
      <c r="I19" s="21" t="str">
        <v>Schließen laut Chat; Zeitpunkt Rückgabe Arslan an Hölscher nicht notiert</v>
      </c>
    </row>
    <row r="20" ht="40" customHeight="1">
      <c r="A20" s="20" t="str">
        <v>S13</v>
      </c>
      <c r="B20" s="26" t="n">
        <v>46274</v>
      </c>
      <c r="C20" s="28" t="n">
        <v>0.3541666666666667</v>
      </c>
      <c r="D20" s="20" t="str">
        <v>LB-17</v>
      </c>
      <c r="E20" s="20" t="str">
        <v>Mara Hölscher</v>
      </c>
      <c r="F20" s="20" t="str">
        <v>Tobias Korte</v>
      </c>
      <c r="G20" s="20" t="str">
        <v>Funktionsprobe vor Ort</v>
      </c>
      <c r="H20" s="41" t="n">
        <v>46274.39236111111</v>
      </c>
      <c r="I20" s="20" t="str">
        <v>Keine dauerhafte Rückgabe an Stadt</v>
      </c>
    </row>
    <row r="21" ht="40" customHeight="1">
      <c r="A21" s="21" t="str">
        <v>S14</v>
      </c>
      <c r="B21" s="27" t="n">
        <v>46274</v>
      </c>
      <c r="C21" s="29" t="n">
        <v>0.3923611111111111</v>
      </c>
      <c r="D21" s="21" t="str">
        <v>LB-17</v>
      </c>
      <c r="E21" s="21" t="str">
        <v>Tobias Korte</v>
      </c>
      <c r="F21" s="21" t="str">
        <v>Mara Hölscher</v>
      </c>
      <c r="G21" s="21" t="str">
        <v>Rückgabe nach Probe</v>
      </c>
      <c r="H21" s="42" t="n">
        <v>46311.5</v>
      </c>
      <c r="I21" s="21" t="str">
        <v>Derselbe Schlüssel; Versuch unverändert</v>
      </c>
    </row>
    <row r="22" ht="40" customHeight="1">
      <c r="A22" s="20" t="str">
        <v>S15</v>
      </c>
      <c r="B22" s="26" t="n">
        <v>46280</v>
      </c>
      <c r="C22" s="28" t="n">
        <v>0.4625</v>
      </c>
      <c r="D22" s="20" t="str">
        <v>LB-18</v>
      </c>
      <c r="E22" s="20" t="str">
        <v>Johanna Rensing</v>
      </c>
      <c r="F22" s="20" t="str">
        <v>Mara Hölscher</v>
      </c>
      <c r="G22" s="20" t="str">
        <v>Statusmitteilung</v>
      </c>
      <c r="H22" s="41"/>
      <c r="I22" s="20" t="str">
        <v>In Prüfung; nicht ausgegeben</v>
      </c>
    </row>
    <row r="23" ht="40" customHeight="1">
      <c r="A23" s="21" t="str">
        <v>S16</v>
      </c>
      <c r="B23" s="27" t="n">
        <v>46287</v>
      </c>
      <c r="C23" s="29" t="n">
        <v>0.6541666666666667</v>
      </c>
      <c r="D23" s="21" t="str">
        <v>LB-17</v>
      </c>
      <c r="E23" s="21" t="str">
        <v>Betriebsablage</v>
      </c>
      <c r="F23" s="21" t="str">
        <v>Mara Hölscher</v>
      </c>
      <c r="G23" s="21" t="str">
        <v>Bestandsabgleich</v>
      </c>
      <c r="H23" s="42" t="n">
        <v>46311.5</v>
      </c>
      <c r="I23" s="21" t="str">
        <v>Ausgegeben; Versuch bis 15.10.2026</v>
      </c>
    </row>
    <row r="24" ht="40" customHeight="1">
      <c r="A24" s="20" t="str">
        <v>S17</v>
      </c>
      <c r="B24" s="26" t="n">
        <v>46287</v>
      </c>
      <c r="C24" s="28" t="n">
        <v>0.6541666666666667</v>
      </c>
      <c r="D24" s="20" t="str">
        <v>LB-18</v>
      </c>
      <c r="E24" s="20" t="str">
        <v>Betriebsablage</v>
      </c>
      <c r="F24" s="20" t="str">
        <v>Mara Hölscher</v>
      </c>
      <c r="G24" s="20" t="str">
        <v>Bestandsabgleich</v>
      </c>
      <c r="H24" s="41"/>
      <c r="I24" s="20" t="str">
        <v>Nicht ausgegeben; Zusatzantrag in Prüfung</v>
      </c>
    </row>
  </sheetData>
  <printOptions gridLines="0" headings="0"/>
  <pageMargins left="0.25" right="0.25" top="0.3" bottom="0.4" header="0.12" footer="0.18"/>
  <pageSetup paperSize="9" orientation="landscape" fitToWidth="1" fitToHeight="0"/>
  <headerFooter>
    <oddFooter>&amp;LLindenhof Vorrat, Münster&amp;CSchlüsselvorgänge&amp;RSeite &amp;P von &amp;N</oddFooter>
  </headerFooter>
  <tableParts count="1">
    <tablePart xmlns:r="http://schemas.openxmlformats.org/officeDocument/2006/relationships" r:id="Rd66e03735cc94f2d"/>
  </tableParts>
</worksheet>
</file>

<file path=xl/worksheets/sheet3.xml><?xml version="1.0" encoding="utf-8"?>
<worksheet xmlns="http://schemas.openxmlformats.org/spreadsheetml/2006/main">
  <sheetPr>
    <pageSetUpPr fitToPage="1"/>
  </sheetPr>
  <sheetViews>
    <sheetView showGridLines="0" workbookViewId="0">
      <pane xSplit="2" ySplit="7" topLeftCell="C8" activePane="bottomRight" state="frozen"/>
    </sheetView>
  </sheetViews>
  <sheetFormatPr defaultRowHeight="15"/>
  <cols>
    <col min="1" max="1" width="13.609999656677246" hidden="0" customWidth="1"/>
    <col min="2" max="2" width="12.359999656677246" hidden="0" customWidth="1"/>
    <col min="3" max="3" width="8.609999656677246" hidden="0" customWidth="1"/>
    <col min="4" max="4" width="8.609999656677246" hidden="0" customWidth="1"/>
    <col min="5" max="5" width="19.860000610351562" hidden="0" customWidth="1"/>
    <col min="6" max="6" width="15.140000343322754" hidden="0" customWidth="1"/>
    <col min="7" max="7" width="10.829999923706055" hidden="0" customWidth="1"/>
    <col min="8" max="8" width="11.390000343322754" hidden="0" customWidth="1"/>
    <col min="9" max="9" width="34.16999816894531" hidden="0" customWidth="1"/>
    <col min="10" max="10" width="9.859999656677246" hidden="0" customWidth="1"/>
  </cols>
  <sheetData>
    <row r="1" ht="8" customHeight="1">
      <c r="A1" s="3"/>
      <c r="B1" s="3"/>
      <c r="C1" s="3"/>
      <c r="D1" s="3"/>
      <c r="E1" s="3"/>
      <c r="F1" s="3"/>
      <c r="G1" s="3"/>
      <c r="H1" s="3"/>
      <c r="I1" s="3"/>
      <c r="J1" s="3"/>
    </row>
    <row r="2" ht="25" customHeight="1">
      <c r="A2" s="4" t="str">
        <v>Beobachtungen</v>
      </c>
      <c r="B2" s="3"/>
      <c r="C2" s="3"/>
      <c r="D2" s="3"/>
      <c r="E2" s="3"/>
      <c r="F2" s="3"/>
      <c r="G2" s="3"/>
      <c r="H2" s="3"/>
      <c r="I2" s="3"/>
      <c r="J2" s="3"/>
    </row>
    <row r="3" ht="20" customHeight="1">
      <c r="A3" s="3" t="str">
        <v>Lindenhof Vorrat, Münster</v>
      </c>
      <c r="B3" s="3"/>
      <c r="C3" s="3"/>
      <c r="D3" s="3"/>
      <c r="E3" s="3"/>
      <c r="F3" s="3"/>
      <c r="G3" s="3"/>
      <c r="H3" s="3"/>
      <c r="I3" s="3"/>
      <c r="J3" s="3"/>
    </row>
    <row r="4" ht="20" customHeight="1">
      <c r="A4" s="5" t="str">
        <v>Quelle: 25_beobachtungen_lindenbogen_2026-08-24_bis_09-18.csv</v>
      </c>
      <c r="B4" s="3"/>
      <c r="C4" s="3"/>
      <c r="D4" s="3"/>
      <c r="E4" s="3"/>
      <c r="F4" s="3"/>
      <c r="G4" s="3"/>
      <c r="H4" s="3"/>
      <c r="I4" s="3"/>
      <c r="J4" s="3"/>
    </row>
    <row r="5" ht="6" customHeight="1">
      <c r="A5" s="6"/>
      <c r="B5" s="6"/>
      <c r="C5" s="6"/>
      <c r="D5" s="6"/>
      <c r="E5" s="6"/>
      <c r="F5" s="6"/>
      <c r="G5" s="6"/>
      <c r="H5" s="6"/>
      <c r="I5" s="6"/>
      <c r="J5" s="6"/>
    </row>
    <row r="6" ht="8" customHeight="1">
      <c r="A6" s="3"/>
      <c r="B6" s="3"/>
      <c r="C6" s="3"/>
      <c r="D6" s="3"/>
      <c r="E6" s="3"/>
      <c r="F6" s="3"/>
      <c r="G6" s="3"/>
      <c r="H6" s="3"/>
      <c r="I6" s="3"/>
      <c r="J6" s="3"/>
    </row>
    <row r="7" ht="52" customHeight="1">
      <c r="A7" s="15" t="str">
        <v>Beobachtung-ID</v>
      </c>
      <c r="B7" s="16" t="str">
        <v>Datum</v>
      </c>
      <c r="C7" s="16" t="str">
        <v>Von</v>
      </c>
      <c r="D7" s="16" t="str">
        <v>Bis</v>
      </c>
      <c r="E7" s="16" t="str">
        <v>Ort</v>
      </c>
      <c r="F7" s="16" t="str">
        <v>Erfasser</v>
      </c>
      <c r="G7" s="16" t="str">
        <v>Fahrzeuge
(Anzahl)</v>
      </c>
      <c r="H7" s="16" t="str">
        <v>Restbreite
(m)</v>
      </c>
      <c r="I7" s="16" t="str">
        <v>Beobachtung</v>
      </c>
      <c r="J7" s="17" t="str">
        <v>Dauer
(min)</v>
      </c>
    </row>
    <row r="8" ht="40" customHeight="1">
      <c r="A8" s="20" t="str">
        <v>B01</v>
      </c>
      <c r="B8" s="26" t="n">
        <v>46258</v>
      </c>
      <c r="C8" s="28" t="n">
        <v>0.3</v>
      </c>
      <c r="D8" s="28" t="n">
        <v>0.30833333333333335</v>
      </c>
      <c r="E8" s="20" t="str">
        <v>P1</v>
      </c>
      <c r="F8" s="20" t="str">
        <v>Deniz Arslan</v>
      </c>
      <c r="G8" s="30" t="n">
        <v>1</v>
      </c>
      <c r="H8" s="32" t="n">
        <v>3.2</v>
      </c>
      <c r="I8" s="20" t="str">
        <v>Frischefahrt passiert; Breite bei geöffnetem Pfosten</v>
      </c>
      <c r="J8" s="45" t="n">
        <f>IF(AND(ISNUMBER(C8),ISNUMBER(D8),D8&gt;=C8),ROUND((D8-C8)*1440,0),"")</f>
        <v>12</v>
      </c>
    </row>
    <row r="9" ht="40" customHeight="1">
      <c r="A9" s="21" t="str">
        <v>B02</v>
      </c>
      <c r="B9" s="27" t="n">
        <v>46258</v>
      </c>
      <c r="C9" s="29" t="n">
        <v>0.6388888888888888</v>
      </c>
      <c r="D9" s="29" t="n">
        <v>0.6493055555555556</v>
      </c>
      <c r="E9" s="21" t="str">
        <v>Vor Hoftor 18</v>
      </c>
      <c r="F9" s="21" t="str">
        <v>Ute Wegner</v>
      </c>
      <c r="G9" s="31" t="n">
        <v>1</v>
      </c>
      <c r="H9" s="33" t="n">
        <v>2.7</v>
      </c>
      <c r="I9" s="21" t="str">
        <v>Pkw halb vor Tor; Ziel unbekannt; Restfahrbahn geschätzt</v>
      </c>
      <c r="J9" s="46" t="n">
        <f>IF(AND(ISNUMBER(C9),ISNUMBER(D9),D9&gt;=C9),ROUND((D9-C9)*1440,0),"")</f>
        <v>15</v>
      </c>
    </row>
    <row r="10" ht="40" customHeight="1">
      <c r="A10" s="20" t="str">
        <v>B03</v>
      </c>
      <c r="B10" s="26" t="n">
        <v>46260</v>
      </c>
      <c r="C10" s="28" t="n">
        <v>0.34305555555555556</v>
      </c>
      <c r="D10" s="28" t="n">
        <v>0.3458333333333333</v>
      </c>
      <c r="E10" s="20" t="str">
        <v>Gehweg Süd vor 18</v>
      </c>
      <c r="F10" s="20" t="str">
        <v>Selma Aydin</v>
      </c>
      <c r="G10" s="30" t="n">
        <v>0</v>
      </c>
      <c r="H10" s="32" t="n">
        <v>0.95</v>
      </c>
      <c r="I10" s="20" t="str">
        <v>Restgehweg neben Kisten; danach freigeräumt</v>
      </c>
      <c r="J10" s="45" t="n">
        <f>IF(AND(ISNUMBER(C10),ISNUMBER(D10),D10&gt;=C10),ROUND((D10-C10)*1440,0),"")</f>
        <v>4</v>
      </c>
    </row>
    <row r="11" ht="40" customHeight="1">
      <c r="A11" s="21" t="str">
        <v>B04</v>
      </c>
      <c r="B11" s="27" t="n">
        <v>46261</v>
      </c>
      <c r="C11" s="29" t="n">
        <v>0.39791666666666664</v>
      </c>
      <c r="D11" s="29" t="n">
        <v>0.40555555555555556</v>
      </c>
      <c r="E11" s="21" t="str">
        <v>Fahrbahn vor Hoftor</v>
      </c>
      <c r="F11" s="21" t="str">
        <v>Deniz Arslan</v>
      </c>
      <c r="G11" s="31" t="n">
        <v>1</v>
      </c>
      <c r="H11" s="33" t="n">
        <v>2.25</v>
      </c>
      <c r="I11" s="21" t="str">
        <v>Getränke-Lkw entlädt; rechnerisch 4,80 minus 2,55 ohne Spiegel</v>
      </c>
      <c r="J11" s="46" t="n">
        <f>IF(AND(ISNUMBER(C11),ISNUMBER(D11),D11&gt;=C11),ROUND((D11-C11)*1440,0),"")</f>
        <v>11</v>
      </c>
    </row>
    <row r="12" ht="40" customHeight="1">
      <c r="A12" s="20" t="str">
        <v>B05</v>
      </c>
      <c r="B12" s="26" t="n">
        <v>46262</v>
      </c>
      <c r="C12" s="28" t="n">
        <v>0.6736111111111112</v>
      </c>
      <c r="D12" s="28" t="n">
        <v>0.6819444444444445</v>
      </c>
      <c r="E12" s="20" t="str">
        <v>Vor Hoftor 18</v>
      </c>
      <c r="F12" s="20" t="str">
        <v>Ute Wegner</v>
      </c>
      <c r="G12" s="30" t="n">
        <v>1</v>
      </c>
      <c r="H12" s="32"/>
      <c r="I12" s="20" t="str">
        <v>Fahrer trägt Tüte aus Laden; keine Breitenmessung</v>
      </c>
      <c r="J12" s="45" t="n">
        <f>IF(AND(ISNUMBER(C12),ISNUMBER(D12),D12&gt;=C12),ROUND((D12-C12)*1440,0),"")</f>
        <v>12</v>
      </c>
    </row>
    <row r="13" ht="55" customHeight="1">
      <c r="A13" s="21" t="str">
        <v>B06</v>
      </c>
      <c r="B13" s="27" t="n">
        <v>46265</v>
      </c>
      <c r="C13" s="29" t="n">
        <v>0.33541666666666664</v>
      </c>
      <c r="D13" s="29" t="n">
        <v>0.33819444444444446</v>
      </c>
      <c r="E13" s="21" t="str">
        <v>P1</v>
      </c>
      <c r="F13" s="21" t="str">
        <v>Deniz Arslan</v>
      </c>
      <c r="G13" s="31" t="n">
        <v>0</v>
      </c>
      <c r="H13" s="33"/>
      <c r="I13" s="21" t="str">
        <v>Schlüssel ließ sich zunächst schwer drehen; keine Fahrzeugzählung</v>
      </c>
      <c r="J13" s="46" t="n">
        <f>IF(AND(ISNUMBER(C13),ISNUMBER(D13),D13&gt;=C13),ROUND((D13-C13)*1440,0),"")</f>
        <v>4</v>
      </c>
    </row>
    <row r="14" ht="40" customHeight="1">
      <c r="A14" s="20" t="str">
        <v>B07</v>
      </c>
      <c r="B14" s="26" t="n">
        <v>46266</v>
      </c>
      <c r="C14" s="28" t="n">
        <v>0.4756944444444444</v>
      </c>
      <c r="D14" s="28" t="n">
        <v>0.4861111111111111</v>
      </c>
      <c r="E14" s="20" t="str">
        <v>Vor Haus 16</v>
      </c>
      <c r="F14" s="20" t="str">
        <v>Ute Wegner</v>
      </c>
      <c r="G14" s="30" t="n">
        <v>0</v>
      </c>
      <c r="H14" s="32" t="n">
        <v>4.8</v>
      </c>
      <c r="I14" s="20" t="str">
        <v>Kein abgestelltes Fahrzeug in diesem Abschnitt</v>
      </c>
      <c r="J14" s="45" t="n">
        <f>IF(AND(ISNUMBER(C14),ISNUMBER(D14),D14&gt;=C14),ROUND((D14-C14)*1440,0),"")</f>
        <v>15</v>
      </c>
    </row>
    <row r="15" ht="40" customHeight="1">
      <c r="A15" s="21" t="str">
        <v>B08</v>
      </c>
      <c r="B15" s="27" t="n">
        <v>46267</v>
      </c>
      <c r="C15" s="29" t="n">
        <v>0.46041666666666664</v>
      </c>
      <c r="D15" s="29" t="n">
        <v>0.47152777777777777</v>
      </c>
      <c r="E15" s="21" t="str">
        <v>Vor Hoftor 18</v>
      </c>
      <c r="F15" s="21" t="str">
        <v>Ute Wegner</v>
      </c>
      <c r="G15" s="31" t="n">
        <v>1</v>
      </c>
      <c r="H15" s="33" t="n">
        <v>2.65</v>
      </c>
      <c r="I15" s="21" t="str">
        <v>Dunkler Kombi; Restfahrbahn nur punktuell gemessen</v>
      </c>
      <c r="J15" s="46" t="n">
        <f>IF(AND(ISNUMBER(C15),ISNUMBER(D15),D15&gt;=C15),ROUND((D15-C15)*1440,0),"")</f>
        <v>16</v>
      </c>
    </row>
    <row r="16" ht="40" customHeight="1">
      <c r="A16" s="20" t="str">
        <v>B09</v>
      </c>
      <c r="B16" s="26" t="n">
        <v>46267</v>
      </c>
      <c r="C16" s="28" t="n">
        <v>0.46458333333333335</v>
      </c>
      <c r="D16" s="28" t="n">
        <v>0.46597222222222223</v>
      </c>
      <c r="E16" s="20" t="str">
        <v>Eschenring Haltestelle</v>
      </c>
      <c r="F16" s="20" t="str">
        <v>Elke Struck</v>
      </c>
      <c r="G16" s="30" t="n">
        <v>1</v>
      </c>
      <c r="H16" s="32"/>
      <c r="I16" s="20" t="str">
        <v>Lieferwagen nahe Einmündung; betriebliche Meldung über Kemper</v>
      </c>
      <c r="J16" s="45" t="n">
        <f>IF(AND(ISNUMBER(C16),ISNUMBER(D16),D16&gt;=C16),ROUND((D16-C16)*1440,0),"")</f>
        <v>2</v>
      </c>
    </row>
    <row r="17" ht="40" customHeight="1">
      <c r="A17" s="21" t="str">
        <v>B10</v>
      </c>
      <c r="B17" s="27" t="n">
        <v>46268</v>
      </c>
      <c r="C17" s="29" t="n">
        <v>0.71875</v>
      </c>
      <c r="D17" s="29" t="n">
        <v>0.7277777777777777</v>
      </c>
      <c r="E17" s="21" t="str">
        <v>Vor Haus 14</v>
      </c>
      <c r="F17" s="21" t="str">
        <v>Ute Wegner</v>
      </c>
      <c r="G17" s="31" t="n">
        <v>2</v>
      </c>
      <c r="H17" s="33"/>
      <c r="I17" s="21" t="str">
        <v>Zwei Abholer nacheinander; Kundenzuordnung unklar</v>
      </c>
      <c r="J17" s="46" t="n">
        <f>IF(AND(ISNUMBER(C17),ISNUMBER(D17),D17&gt;=C17),ROUND((D17-C17)*1440,0),"")</f>
        <v>13</v>
      </c>
    </row>
    <row r="18" ht="40" customHeight="1">
      <c r="A18" s="20" t="str">
        <v>B11</v>
      </c>
      <c r="B18" s="26" t="n">
        <v>46269</v>
      </c>
      <c r="C18" s="28" t="n">
        <v>0.39861111111111114</v>
      </c>
      <c r="D18" s="28" t="n">
        <v>0.3993055555555556</v>
      </c>
      <c r="E18" s="20" t="str">
        <v>P1 Gehweg Süd</v>
      </c>
      <c r="F18" s="20" t="str">
        <v>Selma Aydin</v>
      </c>
      <c r="G18" s="30" t="n">
        <v>0</v>
      </c>
      <c r="H18" s="32"/>
      <c r="I18" s="20" t="str">
        <v>Pfosten lag schräg neben Halterung; keine Breitenmessung</v>
      </c>
      <c r="J18" s="45" t="n">
        <f>IF(AND(ISNUMBER(C18),ISNUMBER(D18),D18&gt;=C18),ROUND((D18-C18)*1440,0),"")</f>
        <v>1</v>
      </c>
    </row>
    <row r="19" ht="40" customHeight="1">
      <c r="A19" s="21" t="str">
        <v>B12</v>
      </c>
      <c r="B19" s="27" t="n">
        <v>46269</v>
      </c>
      <c r="C19" s="29" t="n">
        <v>0.425</v>
      </c>
      <c r="D19" s="29" t="n">
        <v>0.42916666666666664</v>
      </c>
      <c r="E19" s="21" t="str">
        <v>P1 Richtung Osten</v>
      </c>
      <c r="F19" s="21" t="str">
        <v>Ute Wegner</v>
      </c>
      <c r="G19" s="31" t="n">
        <v>2</v>
      </c>
      <c r="H19" s="33" t="n">
        <v>3.2</v>
      </c>
      <c r="I19" s="21" t="str">
        <v>Zwei Pkw durch offene Passage; Ziele nicht beobachtet</v>
      </c>
      <c r="J19" s="46" t="n">
        <f>IF(AND(ISNUMBER(C19),ISNUMBER(D19),D19&gt;=C19),ROUND((D19-C19)*1440,0),"")</f>
        <v>6</v>
      </c>
    </row>
    <row r="20" ht="40" customHeight="1">
      <c r="A20" s="20" t="str">
        <v>B13</v>
      </c>
      <c r="B20" s="26" t="n">
        <v>46269</v>
      </c>
      <c r="C20" s="28" t="n">
        <v>0.4305555555555556</v>
      </c>
      <c r="D20" s="28" t="n">
        <v>0.43125</v>
      </c>
      <c r="E20" s="20" t="str">
        <v>P1</v>
      </c>
      <c r="F20" s="20" t="str">
        <v>Ute Wegner</v>
      </c>
      <c r="G20" s="30" t="n">
        <v>0</v>
      </c>
      <c r="H20" s="32" t="n">
        <v>1.5</v>
      </c>
      <c r="I20" s="20" t="str">
        <v>Mittelpfosten eingesetzt; Wert je seitlicher Öffnung</v>
      </c>
      <c r="J20" s="45" t="n">
        <f>IF(AND(ISNUMBER(C20),ISNUMBER(D20),D20&gt;=C20),ROUND((D20-C20)*1440,0),"")</f>
        <v>1</v>
      </c>
    </row>
    <row r="21" ht="40" customHeight="1">
      <c r="A21" s="21" t="str">
        <v>B14</v>
      </c>
      <c r="B21" s="27" t="n">
        <v>46272</v>
      </c>
      <c r="C21" s="29" t="n">
        <v>0.42916666666666664</v>
      </c>
      <c r="D21" s="29" t="n">
        <v>0.4354166666666667</v>
      </c>
      <c r="E21" s="21" t="str">
        <v>Vor Hoftor 18</v>
      </c>
      <c r="F21" s="21" t="str">
        <v>Ute Wegner</v>
      </c>
      <c r="G21" s="31" t="n">
        <v>1</v>
      </c>
      <c r="H21" s="33" t="n">
        <v>2.55</v>
      </c>
      <c r="I21" s="21" t="str">
        <v>Lieferwagen; Firmenname nicht erkannt; Restfahrbahn geschätzt</v>
      </c>
      <c r="J21" s="46" t="n">
        <f>IF(AND(ISNUMBER(C21),ISNUMBER(D21),D21&gt;=C21),ROUND((D21-C21)*1440,0),"")</f>
        <v>9</v>
      </c>
    </row>
    <row r="22" ht="40" customHeight="1">
      <c r="A22" s="20" t="str">
        <v>B15</v>
      </c>
      <c r="B22" s="26" t="n">
        <v>46273</v>
      </c>
      <c r="C22" s="28" t="n">
        <v>0.3909722222222222</v>
      </c>
      <c r="D22" s="28" t="n">
        <v>0.3972222222222222</v>
      </c>
      <c r="E22" s="20" t="str">
        <v>Fahrbahn vor Hoftor</v>
      </c>
      <c r="F22" s="20" t="str">
        <v>Deniz Arslan</v>
      </c>
      <c r="G22" s="30" t="n">
        <v>1</v>
      </c>
      <c r="H22" s="32" t="n">
        <v>2.25</v>
      </c>
      <c r="I22" s="20" t="str">
        <v>Getränkeentladung; rechnerischer Wert ohne Spiegel</v>
      </c>
      <c r="J22" s="45" t="n">
        <f>IF(AND(ISNUMBER(C22),ISNUMBER(D22),D22&gt;=C22),ROUND((D22-C22)*1440,0),"")</f>
        <v>9</v>
      </c>
    </row>
    <row r="23" ht="40" customHeight="1">
      <c r="A23" s="21" t="str">
        <v>B16</v>
      </c>
      <c r="B23" s="27" t="n">
        <v>46274</v>
      </c>
      <c r="C23" s="29" t="n">
        <v>0.3659722222222222</v>
      </c>
      <c r="D23" s="29" t="n">
        <v>0.36736111111111114</v>
      </c>
      <c r="E23" s="21" t="str">
        <v>Einmündung Eschenring</v>
      </c>
      <c r="F23" s="21" t="str">
        <v>Tobias Korte</v>
      </c>
      <c r="G23" s="31" t="n">
        <v>1</v>
      </c>
      <c r="H23" s="33"/>
      <c r="I23" s="21" t="str">
        <v>Betriebstransporter zwei Ansätze mit Einweiser; Pkw wartete</v>
      </c>
      <c r="J23" s="46" t="n">
        <f>IF(AND(ISNUMBER(C23),ISNUMBER(D23),D23&gt;=C23),ROUND((D23-C23)*1440,0),"")</f>
        <v>2</v>
      </c>
    </row>
    <row r="24" ht="40" customHeight="1">
      <c r="A24" s="20" t="str">
        <v>B17</v>
      </c>
      <c r="B24" s="26" t="n">
        <v>46275</v>
      </c>
      <c r="C24" s="28" t="n">
        <v>0.32083333333333336</v>
      </c>
      <c r="D24" s="28" t="n">
        <v>0.33055555555555555</v>
      </c>
      <c r="E24" s="20" t="str">
        <v>P1</v>
      </c>
      <c r="F24" s="20" t="str">
        <v>Lars Feldkamp</v>
      </c>
      <c r="G24" s="30" t="n">
        <v>0</v>
      </c>
      <c r="H24" s="32"/>
      <c r="I24" s="20" t="str">
        <v>Öffnungsprobe; keine Einsatzfahrzeugbefahrung</v>
      </c>
      <c r="J24" s="45" t="n">
        <f>IF(AND(ISNUMBER(C24),ISNUMBER(D24),D24&gt;=C24),ROUND((D24-C24)*1440,0),"")</f>
        <v>14</v>
      </c>
    </row>
    <row r="25" ht="40" customHeight="1">
      <c r="A25" s="21" t="str">
        <v>B18</v>
      </c>
      <c r="B25" s="27" t="n">
        <v>46283</v>
      </c>
      <c r="C25" s="29" t="n">
        <v>0.6284722222222222</v>
      </c>
      <c r="D25" s="29" t="n">
        <v>0.6388888888888888</v>
      </c>
      <c r="E25" s="21" t="str">
        <v>Gehweg Süd vor 18</v>
      </c>
      <c r="F25" s="21" t="str">
        <v>Selma Aydin</v>
      </c>
      <c r="G25" s="31" t="n">
        <v>0</v>
      </c>
      <c r="H25" s="33" t="n">
        <v>2</v>
      </c>
      <c r="I25" s="21" t="str">
        <v>Keine Kisten; Gehweg durchgehend frei</v>
      </c>
      <c r="J25" s="46" t="n">
        <f>IF(AND(ISNUMBER(C25),ISNUMBER(D25),D25&gt;=C25),ROUND((D25-C25)*1440,0),"")</f>
        <v>15</v>
      </c>
    </row>
  </sheetData>
  <printOptions gridLines="0" headings="0"/>
  <pageMargins left="0.25" right="0.25" top="0.3" bottom="0.4" header="0.12" footer="0.18"/>
  <pageSetup paperSize="9" orientation="landscape" fitToWidth="1" fitToHeight="0"/>
  <headerFooter>
    <oddFooter>&amp;LLindenhof Vorrat, Münster&amp;CBeobachtungen&amp;RSeite &amp;P von &amp;N</oddFooter>
  </headerFooter>
  <tableParts count="1">
    <tablePart xmlns:r="http://schemas.openxmlformats.org/officeDocument/2006/relationships" r:id="R2bf0d751dafb4824"/>
  </tableParts>
</worksheet>
</file>