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dc7599187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7f5bab187b046a4"/>
    <x:sheet xmlns:r="http://schemas.openxmlformats.org/officeDocument/2006/relationships" name="Berichtsperioden" sheetId="2" r:id="Rdbddf6115f6e4606"/>
    <x:sheet xmlns:r="http://schemas.openxmlformats.org/officeDocument/2006/relationships" name="Kontenjournal" sheetId="3" r:id="Re683737be1bb4167"/>
    <x:sheet xmlns:r="http://schemas.openxmlformats.org/officeDocument/2006/relationships" name="Forderungen" sheetId="4" r:id="Rf94d1c360eca4b99"/>
    <x:sheet xmlns:r="http://schemas.openxmlformats.org/officeDocument/2006/relationships" name="Belegmatrix" sheetId="5" r:id="Rb4391b8a61264ca8"/>
    <x:sheet xmlns:r="http://schemas.openxmlformats.org/officeDocument/2006/relationships" name="Schlussreife" sheetId="6" r:id="Rb46052d1ddc1478c"/>
  </x:sheets>
  <x:definedNames>
    <x:definedName name="_xlnm.Print_Area" localSheetId="0">'Übersicht'!$A$1:$F$13</x:definedName>
    <x:definedName name="_xlnm.Print_Area" localSheetId="1">'Berichtsperioden'!$A$1:$I$26</x:definedName>
    <x:definedName name="_xlnm.Print_Titles" localSheetId="1">'Berichtsperioden'!$1:$4</x:definedName>
    <x:definedName name="_xlnm.Print_Area" localSheetId="2">'Kontenjournal'!$A$1:$H$92</x:definedName>
    <x:definedName name="_xlnm.Print_Titles" localSheetId="2">'Kontenjournal'!$1:$4</x:definedName>
    <x:definedName name="_xlnm.Print_Area" localSheetId="3">'Forderungen'!$A$1:$F$30</x:definedName>
    <x:definedName name="_xlnm.Print_Titles" localSheetId="3">'Forderungen'!$1:$4</x:definedName>
    <x:definedName name="_xlnm.Print_Area" localSheetId="4">'Belegmatrix'!$A$1:$E$22</x:definedName>
    <x:definedName name="_xlnm.Print_Titles" localSheetId="4">'Belegmatrix'!$1:$4</x:definedName>
    <x:definedName name="_xlnm.Print_Area" localSheetId="5">'Schlussreife'!$A$1:$C$21</x:definedName>
    <x:definedName name="_xlnm.Print_Titles" localSheetId="5">'Schlussreife'!$1:$4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EUR]"/>
    <x:numFmt numFmtId="201" formatCode="0.000000%"/>
    <x:numFmt numFmtId="202" formatCode="dd.mm.yyyy"/>
  </x:numFmts>
  <x:fonts count="10">
    <x:font>
      <x:sz val="11"/>
      <x:name val="Carlito"/>
    </x:font>
    <x:font>
      <x:b/>
      <x:sz val="16"/>
      <x:name val="Times New Roman"/>
    </x:font>
    <x:font>
      <x:i/>
      <x:sz val="11"/>
      <x:color rgb="FF555555"/>
      <x:name val="Times New Roman"/>
    </x:font>
    <x:font>
      <x:b/>
      <x:sz val="10"/>
      <x:color rgb="FFFFFFFF"/>
      <x:name val="Times New Roman"/>
    </x:font>
    <x:font>
      <x:b/>
      <x:sz val="10"/>
      <x:name val="Times New Roman"/>
    </x:font>
    <x:font>
      <x:sz val="10"/>
      <x:name val="Times New Roman"/>
    </x:font>
    <x:font>
      <x:b/>
      <x:sz val="14"/>
      <x:name val="Times New Roman"/>
    </x:font>
    <x:font>
      <x:b/>
      <x:sz val="9"/>
      <x:color rgb="FFFFFFFF"/>
      <x:name val="Times New Roman"/>
    </x:font>
    <x:font>
      <x:sz val="9"/>
      <x:name val="Times New Roman"/>
    </x:font>
    <x:font>
      <x:b/>
      <x:sz val="9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7">
    <x:border>
      <x:left/>
      <x:right/>
      <x:top/>
      <x:bottom/>
      <x:diagonal/>
    </x:border>
    <x:border>
      <x:left style="thin">
        <x:color rgb="FFA6A6A6"/>
      </x:left>
      <x:right/>
      <x:top style="thin">
        <x:color rgb="FFA6A6A6"/>
      </x:top>
      <x:bottom/>
      <x:diagonal/>
    </x:border>
    <x:border>
      <x:left/>
      <x:right style="thin">
        <x:color rgb="FFA6A6A6"/>
      </x:right>
      <x:top style="thin">
        <x:color rgb="FFA6A6A6"/>
      </x:top>
      <x:bottom/>
      <x:diagonal/>
    </x:border>
    <x:border>
      <x:left style="thin">
        <x:color rgb="FFA6A6A6"/>
      </x:left>
      <x:right/>
      <x:top/>
      <x:bottom/>
      <x:diagonal/>
    </x:border>
    <x:border>
      <x:left/>
      <x:right style="thin">
        <x:color rgb="FFA6A6A6"/>
      </x:right>
      <x:top/>
      <x:bottom/>
      <x:diagonal/>
    </x:border>
    <x:border>
      <x:left style="thin">
        <x:color rgb="FFA6A6A6"/>
      </x:left>
      <x:right/>
      <x:top/>
      <x:bottom style="thin">
        <x:color rgb="FFA6A6A6"/>
      </x:bottom>
      <x:diagonal/>
    </x:border>
    <x:border>
      <x:left/>
      <x:right style="thin">
        <x:color rgb="FFA6A6A6"/>
      </x:right>
      <x:top/>
      <x:bottom style="thin">
        <x:color rgb="FFA6A6A6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4" xfId="0" applyNumberFormat="1" applyFont="1" applyFill="1" applyBorder="1"/>
    <x:xf numFmtId="201" fontId="5" fillId="0" borderId="4" xfId="0" applyNumberFormat="1" applyFont="1" applyFill="1" applyBorder="1"/>
    <x:xf numFmtId="0" fontId="4" fillId="0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201" fontId="8" fillId="0" borderId="0" xfId="0" applyNumberFormat="1" applyFont="1" applyFill="1" applyBorder="1"/>
    <x:xf numFmtId="201" fontId="8" fillId="4" borderId="0" xfId="0" applyNumberFormat="1" applyFont="1" applyFill="1" applyBorder="1"/>
    <x:xf numFmtId="201" fontId="9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efec1a7654ab4" /><Relationship Type="http://schemas.openxmlformats.org/officeDocument/2006/relationships/theme" Target="/xl/theme/theme1.xml" Id="R44d0dc6bd87d4911" /><Relationship Type="http://schemas.openxmlformats.org/officeDocument/2006/relationships/sharedStrings" Target="/xl/sharedStrings.xml" Id="Rdd1537bf1d154c38" /><Relationship Type="http://schemas.openxmlformats.org/officeDocument/2006/relationships/worksheet" Target="/xl/worksheets/sheet1.xml" Id="Re7f5bab187b046a4" /><Relationship Type="http://schemas.openxmlformats.org/officeDocument/2006/relationships/worksheet" Target="/xl/worksheets/sheet2.xml" Id="Rdbddf6115f6e4606" /><Relationship Type="http://schemas.openxmlformats.org/officeDocument/2006/relationships/worksheet" Target="/xl/worksheets/sheet3.xml" Id="Re683737be1bb4167" /><Relationship Type="http://schemas.openxmlformats.org/officeDocument/2006/relationships/worksheet" Target="/xl/worksheets/sheet4.xml" Id="Rf94d1c360eca4b99" /><Relationship Type="http://schemas.openxmlformats.org/officeDocument/2006/relationships/worksheet" Target="/xl/worksheets/sheet5.xml" Id="Rb4391b8a61264ca8" /><Relationship Type="http://schemas.openxmlformats.org/officeDocument/2006/relationships/worksheet" Target="/xl/worksheets/sheet6.xml" Id="Rb46052d1ddc1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42" hidden="0" customWidth="1"/>
    <x:col min="2" max="2" width="4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2">
      <x:c r="A2" s="35" t="str">
        <x:v>Klangbogen Bühnen- und Probenraumtechnik GmbH</x:v>
      </x:c>
      <x:c r="B2" s="36"/>
    </x:row>
    <x:row r="3">
      <x:c r="A3" s="37" t="str">
        <x:v>Verfahrensrechnung und Schlussreife zum 28. November 2026</x:v>
      </x:c>
      <x:c r="B3" s="36"/>
    </x:row>
    <x:row r="4">
      <x:c r="A4" s="36"/>
      <x:c r="B4" s="36"/>
    </x:row>
    <x:row r="5">
      <x:c r="A5" s="38" t="str">
        <x:v>Kennzahl</x:v>
      </x:c>
      <x:c r="B5" s="39" t="str">
        <x:v>Wert</x:v>
      </x:c>
    </x:row>
    <x:row r="6">
      <x:c r="A6" s="40" t="str">
        <x:v>Zwischenberichte</x:v>
      </x:c>
      <x:c r="B6" s="41" t="n">
        <x:v>22</x:v>
      </x:c>
    </x:row>
    <x:row r="7">
      <x:c r="A7" s="40" t="str">
        <x:v>Berichtsseiten</x:v>
      </x:c>
      <x:c r="B7" s="41" t="n">
        <x:v>233</x:v>
      </x:c>
    </x:row>
    <x:row r="8">
      <x:c r="A8" s="40" t="str">
        <x:v>Massebestand letzter Stichtag</x:v>
      </x:c>
      <x:c r="B8" s="42" t="n">
        <x:f>Berichtsperioden!G26</x:f>
        <x:v>538776.34</x:v>
      </x:c>
    </x:row>
    <x:row r="9">
      <x:c r="A9" s="40" t="str">
        <x:v>Festgestellte ordentliche Forderungen</x:v>
      </x:c>
      <x:c r="B9" s="42" t="n">
        <x:f>Forderungen!E30</x:f>
        <x:v>1764825.62</x:v>
      </x:c>
    </x:row>
    <x:row r="10">
      <x:c r="A10" s="40" t="str">
        <x:v>Schlusskosten und Reserven</x:v>
      </x:c>
      <x:c r="B10" s="42" t="n">
        <x:f>Schlussreife!B11</x:f>
        <x:v>119776.27</x:v>
      </x:c>
    </x:row>
    <x:row r="11">
      <x:c r="A11" s="40" t="str">
        <x:v>Rechnerische Verteilungsmasse</x:v>
      </x:c>
      <x:c r="B11" s="42" t="n">
        <x:f>Schlussreife!B12</x:f>
        <x:v>419000.06999999995</x:v>
      </x:c>
    </x:row>
    <x:row r="12">
      <x:c r="A12" s="40" t="str">
        <x:v>Vorläufige Quote</x:v>
      </x:c>
      <x:c r="B12" s="43" t="n">
        <x:f>Schlussreife!B13</x:f>
        <x:v>0.23741726392208648</x:v>
      </x:c>
    </x:row>
    <x:row r="13">
      <x:c r="A13" s="44" t="str">
        <x:v>Status</x:v>
      </x:c>
      <x:c r="B13" s="45" t="str">
        <x:v>Schlussbericht erstellen; Freigabe und gerichtliche Gates offen</x:v>
      </x:c>
    </x:row>
  </x:sheetData>
  <x:mergeCells>
    <x:mergeCell ref="A2:F2"/>
    <x:mergeCell ref="A3:F3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

<file path=xl/worksheets/sheet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</x:cols>
  <x:sheetData>
    <x:row r="2">
      <x:c r="A2" s="46" t="str">
        <x:v>22 Berichtsperioden</x:v>
      </x:c>
      <x:c r="B2" s="36"/>
      <x:c r="C2" s="36"/>
      <x:c r="D2" s="36"/>
      <x:c r="E2" s="36"/>
      <x:c r="F2" s="36"/>
      <x:c r="G2" s="36"/>
      <x:c r="H2" s="36"/>
      <x:c r="I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>
      <x:c r="A4" s="47" t="str">
        <x:v>Nr.</x:v>
      </x:c>
      <x:c r="B4" s="47" t="str">
        <x:v>Stichtag</x:v>
      </x:c>
      <x:c r="C4" s="47" t="str">
        <x:v>Tage seit Vorbericht</x:v>
      </x:c>
      <x:c r="D4" s="47" t="str">
        <x:v>Anfangsbestand</x:v>
      </x:c>
      <x:c r="E4" s="47" t="str">
        <x:v>Einnahmen</x:v>
      </x:c>
      <x:c r="F4" s="47" t="str">
        <x:v>Ausgaben</x:v>
      </x:c>
      <x:c r="G4" s="47" t="str">
        <x:v>Endbestand</x:v>
      </x:c>
      <x:c r="H4" s="47" t="str">
        <x:v>Schwerpunkt</x:v>
      </x:c>
      <x:c r="I4" s="47" t="str">
        <x:v>Offene Punkte</x:v>
      </x:c>
    </x:row>
    <x:row r="5">
      <x:c r="A5" s="48" t="n">
        <x:v>1</x:v>
      </x:c>
      <x:c r="B5" s="49" t="n">
        <x:v>42518</x:v>
      </x:c>
      <x:c r="C5" s="48" t="n">
        <x:v>188</x:v>
      </x:c>
      <x:c r="D5" s="50" t="n">
        <x:v>0</x:v>
      </x:c>
      <x:c r="E5" s="50" t="n">
        <x:v>237800</x:v>
      </x:c>
      <x:c r="F5" s="50" t="n">
        <x:v>52867.83</x:v>
      </x:c>
      <x:c r="G5" s="50" t="n">
        <x:f>D5+E5-F5</x:f>
        <x:v>184932.16999999998</x:v>
      </x:c>
      <x:c r="H5" s="51" t="str">
        <x:v>Betriebsstilllegung und erster Kaufpreis</x:v>
      </x:c>
      <x:c r="I5" s="51" t="str">
        <x:v>Restkaufpreis; Steuer; erste Tabelle</x:v>
      </x:c>
    </x:row>
    <x:row r="6">
      <x:c r="A6" s="48" t="n">
        <x:v>2</x:v>
      </x:c>
      <x:c r="B6" s="49" t="n">
        <x:v>42706</x:v>
      </x:c>
      <x:c r="C6" s="48" t="n">
        <x:v>188</x:v>
      </x:c>
      <x:c r="D6" s="50" t="n">
        <x:f>G5</x:f>
        <x:v>184932.16999999998</x:v>
      </x:c>
      <x:c r="E6" s="50" t="n">
        <x:v>85133.63</x:v>
      </x:c>
      <x:c r="F6" s="50" t="n">
        <x:v>21450</x:v>
      </x:c>
      <x:c r="G6" s="50" t="n">
        <x:f>D6+E6-F6</x:f>
        <x:v>248615.8</x:v>
      </x:c>
      <x:c r="H6" s="51" t="str">
        <x:v>Asset Deal, Personal und Aussonderung</x:v>
      </x:c>
      <x:c r="I6" s="51" t="str">
        <x:v>Sicherheiten; Personal; Kaufpreisrate</x:v>
      </x:c>
    </x:row>
    <x:row r="7">
      <x:c r="A7" s="48" t="n">
        <x:v>3</x:v>
      </x:c>
      <x:c r="B7" s="49" t="n">
        <x:v>42889</x:v>
      </x:c>
      <x:c r="C7" s="48" t="n">
        <x:v>183</x:v>
      </x:c>
      <x:c r="D7" s="50" t="n">
        <x:f>G6</x:f>
        <x:v>248615.8</x:v>
      </x:c>
      <x:c r="E7" s="50" t="n">
        <x:v>59599.75</x:v>
      </x:c>
      <x:c r="F7" s="50" t="n">
        <x:v>18775</x:v>
      </x:c>
      <x:c r="G7" s="50" t="n">
        <x:f>D7+E7-F7</x:f>
        <x:v>289440.55</x:v>
      </x:c>
      <x:c r="H7" s="51" t="str">
        <x:v>Restkaufpreis und Anfechtungsprüfung</x:v>
      </x:c>
      <x:c r="I7" s="51" t="str">
        <x:v>Einbehalt; Gesellschafterkonto</x:v>
      </x:c>
    </x:row>
    <x:row r="8">
      <x:c r="A8" s="48" t="n">
        <x:v>4</x:v>
      </x:c>
      <x:c r="B8" s="49" t="n">
        <x:v>43066</x:v>
      </x:c>
      <x:c r="C8" s="48" t="n">
        <x:v>177</x:v>
      </x:c>
      <x:c r="D8" s="50" t="n">
        <x:f>G7</x:f>
        <x:v>289440.55</x:v>
      </x:c>
      <x:c r="E8" s="50" t="n">
        <x:v>12361.86</x:v>
      </x:c>
      <x:c r="F8" s="50" t="n">
        <x:v>26900</x:v>
      </x:c>
      <x:c r="G8" s="50" t="n">
        <x:f>D8+E8-F8</x:f>
        <x:v>274902.41</x:v>
      </x:c>
      <x:c r="H8" s="51" t="str">
        <x:v>Gewährleistungsstreit und Organansprüche</x:v>
      </x:c>
      <x:c r="I8" s="51" t="str">
        <x:v>Gutachten; Deckung; Liquiditätsstatus</x:v>
      </x:c>
    </x:row>
    <x:row r="9">
      <x:c r="A9" s="48" t="n">
        <x:v>5</x:v>
      </x:c>
      <x:c r="B9" s="49" t="n">
        <x:v>43248</x:v>
      </x:c>
      <x:c r="C9" s="48" t="n">
        <x:v>182</x:v>
      </x:c>
      <x:c r="D9" s="50" t="n">
        <x:f>G8</x:f>
        <x:v>274902.41</x:v>
      </x:c>
      <x:c r="E9" s="50" t="n">
        <x:v>52495.77</x:v>
      </x:c>
      <x:c r="F9" s="50" t="n">
        <x:v>15644</x:v>
      </x:c>
      <x:c r="G9" s="50" t="n">
        <x:f>D9+E9-F9</x:f>
        <x:v>311754.18</x:v>
      </x:c>
      <x:c r="H9" s="51" t="str">
        <x:v>Sicherheitenabrechnung</x:v>
      </x:c>
      <x:c r="I9" s="51" t="str">
        <x:v>Sicherheitenrest; Vergleich</x:v>
      </x:c>
    </x:row>
    <x:row r="10">
      <x:c r="A10" s="48" t="n">
        <x:v>6</x:v>
      </x:c>
      <x:c r="B10" s="49" t="n">
        <x:v>43441</x:v>
      </x:c>
      <x:c r="C10" s="48" t="n">
        <x:v>193</x:v>
      </x:c>
      <x:c r="D10" s="50" t="n">
        <x:f>G9</x:f>
        <x:v>311754.18</x:v>
      </x:c>
      <x:c r="E10" s="50" t="n">
        <x:v>36174.74</x:v>
      </x:c>
      <x:c r="F10" s="50" t="n">
        <x:v>18920</x:v>
      </x:c>
      <x:c r="G10" s="50" t="n">
        <x:f>D10+E10-F10</x:f>
        <x:v>329008.92</x:v>
      </x:c>
      <x:c r="H10" s="51" t="str">
        <x:v>Steuerliche Aufarbeitung</x:v>
      </x:c>
      <x:c r="I10" s="51" t="str">
        <x:v>Steuerkonten; Vergleich; D&amp;O</x:v>
      </x:c>
    </x:row>
    <x:row r="11">
      <x:c r="A11" s="48" t="n">
        <x:v>7</x:v>
      </x:c>
      <x:c r="B11" s="49" t="n">
        <x:v>43613</x:v>
      </x:c>
      <x:c r="C11" s="48" t="n">
        <x:v>172</x:v>
      </x:c>
      <x:c r="D11" s="50" t="n">
        <x:f>G10</x:f>
        <x:v>329008.92</x:v>
      </x:c>
      <x:c r="E11" s="50" t="n">
        <x:v>31057.39</x:v>
      </x:c>
      <x:c r="F11" s="50" t="n">
        <x:v>17406</x:v>
      </x:c>
      <x:c r="G11" s="50" t="n">
        <x:f>D11+E11-F11</x:f>
        <x:v>342660.31</x:v>
      </x:c>
      <x:c r="H11" s="51" t="str">
        <x:v>Kaufpreisvergleich</x:v>
      </x:c>
      <x:c r="I11" s="51" t="str">
        <x:v>Organhaftung; Restdebitoren</x:v>
      </x:c>
    </x:row>
    <x:row r="12">
      <x:c r="A12" s="48" t="n">
        <x:v>8</x:v>
      </x:c>
      <x:c r="B12" s="49" t="n">
        <x:v>43794</x:v>
      </x:c>
      <x:c r="C12" s="48" t="n">
        <x:v>181</x:v>
      </x:c>
      <x:c r="D12" s="50" t="n">
        <x:f>G11</x:f>
        <x:v>342660.31</x:v>
      </x:c>
      <x:c r="E12" s="50" t="n">
        <x:v>16674.96</x:v>
      </x:c>
      <x:c r="F12" s="50" t="n">
        <x:v>21851</x:v>
      </x:c>
      <x:c r="G12" s="50" t="n">
        <x:f>D12+E12-F12</x:f>
        <x:v>337484.27</x:v>
      </x:c>
      <x:c r="H12" s="51" t="str">
        <x:v>Bankauskunft und D&amp;O-Deckung</x:v>
      </x:c>
      <x:c r="I12" s="51" t="str">
        <x:v>Deckung; Aufrechnung; Nachmeldungen</x:v>
      </x:c>
    </x:row>
    <x:row r="13">
      <x:c r="A13" s="48" t="n">
        <x:v>9</x:v>
      </x:c>
      <x:c r="B13" s="49" t="n">
        <x:v>43975</x:v>
      </x:c>
      <x:c r="C13" s="48" t="n">
        <x:v>181</x:v>
      </x:c>
      <x:c r="D13" s="50" t="n">
        <x:f>G12</x:f>
        <x:v>337484.27</x:v>
      </x:c>
      <x:c r="E13" s="50" t="n">
        <x:v>49064.69</x:v>
      </x:c>
      <x:c r="F13" s="50" t="n">
        <x:v>15320</x:v>
      </x:c>
      <x:c r="G13" s="50" t="n">
        <x:f>D13+E13-F13</x:f>
        <x:v>371228.96</x:v>
      </x:c>
      <x:c r="H13" s="51" t="str">
        <x:v>Versicherungsleistung und Tabelle</x:v>
      </x:c>
      <x:c r="I13" s="51" t="str">
        <x:v>Gutachten; Steuer; Widersprüche</x:v>
      </x:c>
    </x:row>
    <x:row r="14">
      <x:c r="A14" s="48" t="n">
        <x:v>10</x:v>
      </x:c>
      <x:c r="B14" s="49" t="n">
        <x:v>44155</x:v>
      </x:c>
      <x:c r="C14" s="48" t="n">
        <x:v>180</x:v>
      </x:c>
      <x:c r="D14" s="50" t="n">
        <x:f>G13</x:f>
        <x:v>371228.96</x:v>
      </x:c>
      <x:c r="E14" s="50" t="n">
        <x:v>31568.56</x:v>
      </x:c>
      <x:c r="F14" s="50" t="n">
        <x:v>17880</x:v>
      </x:c>
      <x:c r="G14" s="50" t="n">
        <x:f>D14+E14-F14</x:f>
        <x:v>384917.52</x:v>
      </x:c>
      <x:c r="H14" s="51" t="str">
        <x:v>Organhaftungsgutachten</x:v>
      </x:c>
      <x:c r="I14" s="51" t="str">
        <x:v>Haftungsbetrag; Betriebsprüfung</x:v>
      </x:c>
    </x:row>
    <x:row r="15">
      <x:c r="A15" s="48" t="n">
        <x:v>11</x:v>
      </x:c>
      <x:c r="B15" s="49" t="n">
        <x:v>44339</x:v>
      </x:c>
      <x:c r="C15" s="48" t="n">
        <x:v>184</x:v>
      </x:c>
      <x:c r="D15" s="50" t="n">
        <x:f>G14</x:f>
        <x:v>384917.52</x:v>
      </x:c>
      <x:c r="E15" s="50" t="n">
        <x:v>35620.59</x:v>
      </x:c>
      <x:c r="F15" s="50" t="n">
        <x:v>19450</x:v>
      </x:c>
      <x:c r="G15" s="50" t="n">
        <x:f>D15+E15-F15</x:f>
        <x:v>401088.11</x:v>
      </x:c>
      <x:c r="H15" s="51" t="str">
        <x:v>Haftungsanmeldung</x:v>
      </x:c>
      <x:c r="I15" s="51" t="str">
        <x:v>Landbühne-Zahlung; Mediation; Steuer; Rangfrage</x:v>
      </x:c>
    </x:row>
    <x:row r="16">
      <x:c r="A16" s="48" t="n">
        <x:v>12</x:v>
      </x:c>
      <x:c r="B16" s="49" t="n">
        <x:v>44529</x:v>
      </x:c>
      <x:c r="C16" s="48" t="n">
        <x:v>190</x:v>
      </x:c>
      <x:c r="D16" s="50" t="n">
        <x:f>G15</x:f>
        <x:v>401088.11</x:v>
      </x:c>
      <x:c r="E16" s="50" t="n">
        <x:v>46718.31</x:v>
      </x:c>
      <x:c r="F16" s="50" t="n">
        <x:v>18250</x:v>
      </x:c>
      <x:c r="G16" s="50" t="n">
        <x:f>D16+E16-F16</x:f>
        <x:v>429556.42</x:v>
      </x:c>
      <x:c r="H16" s="51" t="str">
        <x:v>Landbühne-Zahlung, Mediation und Steuerkonten</x:v>
      </x:c>
      <x:c r="I16" s="51" t="str">
        <x:v>D&amp;O-Mediation; Steuer; 17 Positionen</x:v>
      </x:c>
    </x:row>
    <x:row r="17">
      <x:c r="A17" s="48" t="n">
        <x:v>13</x:v>
      </x:c>
      <x:c r="B17" s="49" t="n">
        <x:v>44704</x:v>
      </x:c>
      <x:c r="C17" s="48" t="n">
        <x:v>175</x:v>
      </x:c>
      <x:c r="D17" s="50" t="n">
        <x:f>G16</x:f>
        <x:v>429556.42</x:v>
      </x:c>
      <x:c r="E17" s="50" t="n">
        <x:v>32634.67</x:v>
      </x:c>
      <x:c r="F17" s="50" t="n">
        <x:v>14960</x:v>
      </x:c>
      <x:c r="G17" s="50" t="n">
        <x:f>D17+E17-F17</x:f>
        <x:v>447231.08999999997</x:v>
      </x:c>
      <x:c r="H17" s="51" t="str">
        <x:v>42 Nachweisseiten zur Forderungstabelle</x:v>
      </x:c>
      <x:c r="I17" s="51" t="str">
        <x:v>42 Nachweisseiten; D&amp;O; Bescheid</x:v>
      </x:c>
    </x:row>
    <x:row r="18">
      <x:c r="A18" s="48" t="n">
        <x:v>14</x:v>
      </x:c>
      <x:c r="B18" s="49" t="n">
        <x:v>44962</x:v>
      </x:c>
      <x:c r="C18" s="48" t="n">
        <x:v>258</x:v>
      </x:c>
      <x:c r="D18" s="50" t="n">
        <x:f>G17</x:f>
        <x:v>447231.08999999997</x:v>
      </x:c>
      <x:c r="E18" s="50" t="n">
        <x:v>10310.75</x:v>
      </x:c>
      <x:c r="F18" s="50" t="n">
        <x:v>18770</x:v>
      </x:c>
      <x:c r="G18" s="50" t="n">
        <x:f>D18+E18-F18</x:f>
        <x:v>438771.83999999997</x:v>
      </x:c>
      <x:c r="H18" s="51" t="str">
        <x:v>Nachweislauf</x:v>
      </x:c>
      <x:c r="I18" s="51" t="str">
        <x:v>Rechtsnachfolge; Vergleich; Bescheid</x:v>
      </x:c>
    </x:row>
    <x:row r="19">
      <x:c r="A19" s="48" t="n">
        <x:v>15</x:v>
      </x:c>
      <x:c r="B19" s="49" t="n">
        <x:v>45235</x:v>
      </x:c>
      <x:c r="C19" s="48" t="n">
        <x:v>273</x:v>
      </x:c>
      <x:c r="D19" s="50" t="n">
        <x:f>G18</x:f>
        <x:v>438771.83999999997</x:v>
      </x:c>
      <x:c r="E19" s="50" t="n">
        <x:v>46978.71</x:v>
      </x:c>
      <x:c r="F19" s="50" t="n">
        <x:v>17330</x:v>
      </x:c>
      <x:c r="G19" s="50" t="n">
        <x:f>D19+E19-F19</x:f>
        <x:v>468420.55</x:v>
      </x:c>
      <x:c r="H19" s="51" t="str">
        <x:v>Parallelverfahren und Steuererstattung</x:v>
      </x:c>
      <x:c r="I19" s="51" t="str">
        <x:v>Parallelverfahren; Bestandskraft</x:v>
      </x:c>
    </x:row>
    <x:row r="20">
      <x:c r="A20" s="48" t="n">
        <x:v>16</x:v>
      </x:c>
      <x:c r="B20" s="49" t="n">
        <x:v>45381</x:v>
      </x:c>
      <x:c r="C20" s="48" t="n">
        <x:v>146</x:v>
      </x:c>
      <x:c r="D20" s="50" t="n">
        <x:f>G19</x:f>
        <x:v>468420.55</x:v>
      </x:c>
      <x:c r="E20" s="50" t="n">
        <x:v>36283.18</x:v>
      </x:c>
      <x:c r="F20" s="50" t="n">
        <x:v>15487</x:v>
      </x:c>
      <x:c r="G20" s="50" t="n">
        <x:f>D20+E20-F20</x:f>
        <x:v>489216.73</x:v>
      </x:c>
      <x:c r="H20" s="51" t="str">
        <x:v>D&amp;O-Vergleichszustimmung</x:v>
      </x:c>
      <x:c r="I20" s="51" t="str">
        <x:v>Ausschusszustimmung; Vergleichsraten; Kosten</x:v>
      </x:c>
    </x:row>
    <x:row r="21">
      <x:c r="A21" s="48" t="n">
        <x:v>17</x:v>
      </x:c>
      <x:c r="B21" s="49" t="n">
        <x:v>45440</x:v>
      </x:c>
      <x:c r="C21" s="48" t="n">
        <x:v>59</x:v>
      </x:c>
      <x:c r="D21" s="50" t="n">
        <x:f>G20</x:f>
        <x:v>489216.73</x:v>
      </x:c>
      <x:c r="E21" s="50" t="n">
        <x:v>13141.47</x:v>
      </x:c>
      <x:c r="F21" s="50" t="n">
        <x:v>19450</x:v>
      </x:c>
      <x:c r="G21" s="50" t="n">
        <x:f>D21+E21-F21</x:f>
        <x:v>482908.19999999995</x:v>
      </x:c>
      <x:c r="H21" s="51" t="str">
        <x:v>D&amp;O-Vergleichsrate 1 (13.141,47 EUR)</x:v>
      </x:c>
      <x:c r="I21" s="51" t="str">
        <x:v>Zweite Rate 33.621,71 EUR; Zustellnachweise</x:v>
      </x:c>
    </x:row>
    <x:row r="22">
      <x:c r="A22" s="48" t="n">
        <x:v>18</x:v>
      </x:c>
      <x:c r="B22" s="49" t="n">
        <x:v>45621</x:v>
      </x:c>
      <x:c r="C22" s="48" t="n">
        <x:v>181</x:v>
      </x:c>
      <x:c r="D22" s="50" t="n">
        <x:f>G21</x:f>
        <x:v>482908.19999999995</x:v>
      </x:c>
      <x:c r="E22" s="50" t="n">
        <x:v>33621.71</x:v>
      </x:c>
      <x:c r="F22" s="50" t="n">
        <x:v>17755</x:v>
      </x:c>
      <x:c r="G22" s="50" t="n">
        <x:f>D22+E22-F22</x:f>
        <x:v>498774.91</x:v>
      </x:c>
      <x:c r="H22" s="51" t="str">
        <x:v>D&amp;O-Vergleichsrate 2 (33.621,71 EUR) und Prozessabschluss</x:v>
      </x:c>
      <x:c r="I22" s="51" t="str">
        <x:v>Kosten; Steuer; vorläufiger Tabellenstand</x:v>
      </x:c>
    </x:row>
    <x:row r="23">
      <x:c r="A23" s="48" t="n">
        <x:v>19</x:v>
      </x:c>
      <x:c r="B23" s="49" t="n">
        <x:v>45795</x:v>
      </x:c>
      <x:c r="C23" s="48" t="n">
        <x:v>174</x:v>
      </x:c>
      <x:c r="D23" s="50" t="n">
        <x:f>G22</x:f>
        <x:v>498774.91</x:v>
      </x:c>
      <x:c r="E23" s="50" t="n">
        <x:v>30454.71</x:v>
      </x:c>
      <x:c r="F23" s="50" t="n">
        <x:v>14898</x:v>
      </x:c>
      <x:c r="G23" s="50" t="n">
        <x:f>D23+E23-F23</x:f>
        <x:v>514331.62</x:v>
      </x:c>
      <x:c r="H23" s="51" t="str">
        <x:v>Steuerabschluss</x:v>
      </x:c>
      <x:c r="I23" s="51" t="str">
        <x:v>Erbnachweise; Kosten; Archiv</x:v>
      </x:c>
    </x:row>
    <x:row r="24">
      <x:c r="A24" s="48" t="n">
        <x:v>20</x:v>
      </x:c>
      <x:c r="B24" s="49" t="n">
        <x:v>45969</x:v>
      </x:c>
      <x:c r="C24" s="48" t="n">
        <x:v>174</x:v>
      </x:c>
      <x:c r="D24" s="50" t="n">
        <x:f>G23</x:f>
        <x:v>514331.62</x:v>
      </x:c>
      <x:c r="E24" s="50" t="n">
        <x:v>22880.86</x:v>
      </x:c>
      <x:c r="F24" s="50" t="n">
        <x:v>13406</x:v>
      </x:c>
      <x:c r="G24" s="50" t="n">
        <x:f>D24+E24-F24</x:f>
        <x:v>523806.48</x:v>
      </x:c>
      <x:c r="H24" s="51" t="str">
        <x:v>Vorläufiger Tabellenstand und Schlusskosten</x:v>
      </x:c>
      <x:c r="I24" s="51" t="str">
        <x:v>Letzter Tabellennachtrag; Vergütung; Bank</x:v>
      </x:c>
    </x:row>
    <x:row r="25">
      <x:c r="A25" s="48" t="n">
        <x:v>21</x:v>
      </x:c>
      <x:c r="B25" s="49" t="n">
        <x:v>46178</x:v>
      </x:c>
      <x:c r="C25" s="48" t="n">
        <x:v>209</x:v>
      </x:c>
      <x:c r="D25" s="50" t="n">
        <x:f>G24</x:f>
        <x:v>523806.48</x:v>
      </x:c>
      <x:c r="E25" s="50" t="n">
        <x:v>19376.23</x:v>
      </x:c>
      <x:c r="F25" s="50" t="n">
        <x:v>11740</x:v>
      </x:c>
      <x:c r="G25" s="50" t="n">
        <x:f>D25+E25-F25</x:f>
        <x:v>531442.71</x:v>
      </x:c>
      <x:c r="H25" s="51" t="str">
        <x:v>Finaler Tabellenfreeze und Bankabgleich</x:v>
      </x:c>
      <x:c r="I25" s="51" t="str">
        <x:v>Banknachweis; Freigabe</x:v>
      </x:c>
    </x:row>
    <x:row r="26">
      <x:c r="A26" s="48" t="n">
        <x:v>22</x:v>
      </x:c>
      <x:c r="B26" s="49" t="n">
        <x:v>46354</x:v>
      </x:c>
      <x:c r="C26" s="48" t="n">
        <x:v>176</x:v>
      </x:c>
      <x:c r="D26" s="50" t="n">
        <x:f>G25</x:f>
        <x:v>531442.71</x:v>
      </x:c>
      <x:c r="E26" s="50" t="n">
        <x:v>17203.63</x:v>
      </x:c>
      <x:c r="F26" s="50" t="n">
        <x:v>9870</x:v>
      </x:c>
      <x:c r="G26" s="50" t="n">
        <x:f>D26+E26-F26</x:f>
        <x:v>538776.34</x:v>
      </x:c>
      <x:c r="H26" s="51" t="str">
        <x:v>Schlussreife</x:v>
      </x:c>
      <x:c r="I26" s="51" t="str">
        <x:v>Freigabe; Gericht; Verteilung</x:v>
      </x:c>
    </x:row>
  </x:sheetData>
  <x:mergeCells>
    <x:mergeCell ref="A2:I2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

<file path=xl/worksheets/sheet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9" hidden="0" customWidth="1"/>
    <x:col min="5" max="5" width="34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46" t="str">
        <x:v>Kontenjournal nach Berichtsperioden</x:v>
      </x:c>
      <x:c r="B2" s="36"/>
      <x:c r="C2" s="36"/>
      <x:c r="D2" s="36"/>
      <x:c r="E2" s="36"/>
      <x:c r="F2" s="36"/>
      <x:c r="G2" s="36"/>
      <x:c r="H2" s="36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52" t="str">
        <x:v>Beleg-ID</x:v>
      </x:c>
      <x:c r="B4" s="52" t="str">
        <x:v>Datum</x:v>
      </x:c>
      <x:c r="C4" s="52" t="str">
        <x:v>Bericht</x:v>
      </x:c>
      <x:c r="D4" s="52" t="str">
        <x:v>Art</x:v>
      </x:c>
      <x:c r="E4" s="52" t="str">
        <x:v>Buchungstext</x:v>
      </x:c>
      <x:c r="F4" s="52" t="str">
        <x:v>Einnahme</x:v>
      </x:c>
      <x:c r="G4" s="52" t="str">
        <x:v>Ausgabe</x:v>
      </x:c>
      <x:c r="H4" s="52" t="str">
        <x:v>Laufender Saldo</x:v>
      </x:c>
    </x:row>
    <x:row r="5">
      <x:c r="A5" s="48" t="str">
        <x:v>B-0001</x:v>
      </x:c>
      <x:c r="B5" s="49" t="n">
        <x:v>42347</x:v>
      </x:c>
      <x:c r="C5" s="48" t="n">
        <x:v>1</x:v>
      </x:c>
      <x:c r="D5" s="48" t="str">
        <x:v>E</x:v>
      </x:c>
      <x:c r="E5" s="48" t="str">
        <x:v>Verwertungserlös</x:v>
      </x:c>
      <x:c r="F5" s="50" t="n">
        <x:v>161704</x:v>
      </x:c>
      <x:c r="G5" s="50" t="n">
        <x:v>0</x:v>
      </x:c>
      <x:c r="H5" s="50" t="n">
        <x:f>F5-G5</x:f>
        <x:v>161704</x:v>
      </x:c>
    </x:row>
    <x:row r="6">
      <x:c r="A6" s="48" t="str">
        <x:v>B-0002</x:v>
      </x:c>
      <x:c r="B6" s="49" t="n">
        <x:v>42369</x:v>
      </x:c>
      <x:c r="C6" s="48" t="n">
        <x:v>1</x:v>
      </x:c>
      <x:c r="D6" s="48" t="str">
        <x:v>A</x:v>
      </x:c>
      <x:c r="E6" s="48" t="str">
        <x:v>Rechts- und Gutachterkosten</x:v>
      </x:c>
      <x:c r="F6" s="50" t="n">
        <x:v>0</x:v>
      </x:c>
      <x:c r="G6" s="50" t="n">
        <x:v>32249.38</x:v>
      </x:c>
      <x:c r="H6" s="50" t="n">
        <x:f>H5+F6-G6</x:f>
        <x:v>129454.62</x:v>
      </x:c>
    </x:row>
    <x:row r="7">
      <x:c r="A7" s="48" t="str">
        <x:v>B-0003</x:v>
      </x:c>
      <x:c r="B7" s="49" t="n">
        <x:v>42487</x:v>
      </x:c>
      <x:c r="C7" s="48" t="n">
        <x:v>1</x:v>
      </x:c>
      <x:c r="D7" s="48" t="str">
        <x:v>E</x:v>
      </x:c>
      <x:c r="E7" s="48" t="str">
        <x:v>Forderungseinzug</x:v>
      </x:c>
      <x:c r="F7" s="50" t="n">
        <x:v>76096</x:v>
      </x:c>
      <x:c r="G7" s="50" t="n">
        <x:v>0</x:v>
      </x:c>
      <x:c r="H7" s="50" t="n">
        <x:f>H6+F7-G7</x:f>
        <x:v>205550.62</x:v>
      </x:c>
    </x:row>
    <x:row r="8">
      <x:c r="A8" s="48" t="str">
        <x:v>B-0004</x:v>
      </x:c>
      <x:c r="B8" s="49" t="n">
        <x:v>42509</x:v>
      </x:c>
      <x:c r="C8" s="48" t="n">
        <x:v>1</x:v>
      </x:c>
      <x:c r="D8" s="48" t="str">
        <x:v>A</x:v>
      </x:c>
      <x:c r="E8" s="48" t="str">
        <x:v>Massebüro und Bank</x:v>
      </x:c>
      <x:c r="F8" s="50" t="n">
        <x:v>0</x:v>
      </x:c>
      <x:c r="G8" s="50" t="n">
        <x:v>20618.45</x:v>
      </x:c>
      <x:c r="H8" s="50" t="n">
        <x:f>H7+F8-G8</x:f>
        <x:v>184932.16999999998</x:v>
      </x:c>
    </x:row>
    <x:row r="9">
      <x:c r="A9" s="48" t="str">
        <x:v>B-0005</x:v>
      </x:c>
      <x:c r="B9" s="49" t="n">
        <x:v>42536</x:v>
      </x:c>
      <x:c r="C9" s="48" t="n">
        <x:v>2</x:v>
      </x:c>
      <x:c r="D9" s="48" t="str">
        <x:v>E</x:v>
      </x:c>
      <x:c r="E9" s="48" t="str">
        <x:v>Forderungseinzug</x:v>
      </x:c>
      <x:c r="F9" s="50" t="n">
        <x:v>57890.87</x:v>
      </x:c>
      <x:c r="G9" s="50" t="n">
        <x:v>0</x:v>
      </x:c>
      <x:c r="H9" s="50" t="n">
        <x:f>H8+F9-G9</x:f>
        <x:v>242823.03999999998</x:v>
      </x:c>
    </x:row>
    <x:row r="10">
      <x:c r="A10" s="48" t="str">
        <x:v>B-0006</x:v>
      </x:c>
      <x:c r="B10" s="49" t="n">
        <x:v>42558</x:v>
      </x:c>
      <x:c r="C10" s="48" t="n">
        <x:v>2</x:v>
      </x:c>
      <x:c r="D10" s="48" t="str">
        <x:v>A</x:v>
      </x:c>
      <x:c r="E10" s="48" t="str">
        <x:v>Massebüro und Bank</x:v>
      </x:c>
      <x:c r="F10" s="50" t="n">
        <x:v>0</x:v>
      </x:c>
      <x:c r="G10" s="50" t="n">
        <x:v>13084.5</x:v>
      </x:c>
      <x:c r="H10" s="50" t="n">
        <x:f>H9+F10-G10</x:f>
        <x:v>229738.53999999998</x:v>
      </x:c>
    </x:row>
    <x:row r="11">
      <x:c r="A11" s="48" t="str">
        <x:v>B-0007</x:v>
      </x:c>
      <x:c r="B11" s="49" t="n">
        <x:v>42675</x:v>
      </x:c>
      <x:c r="C11" s="48" t="n">
        <x:v>2</x:v>
      </x:c>
      <x:c r="D11" s="48" t="str">
        <x:v>E</x:v>
      </x:c>
      <x:c r="E11" s="48" t="str">
        <x:v>Vergleichszahlung</x:v>
      </x:c>
      <x:c r="F11" s="50" t="n">
        <x:v>27242.76</x:v>
      </x:c>
      <x:c r="G11" s="50" t="n">
        <x:v>0</x:v>
      </x:c>
      <x:c r="H11" s="50" t="n">
        <x:f>H10+F11-G11</x:f>
        <x:v>256981.3</x:v>
      </x:c>
    </x:row>
    <x:row r="12">
      <x:c r="A12" s="48" t="str">
        <x:v>B-0008</x:v>
      </x:c>
      <x:c r="B12" s="49" t="n">
        <x:v>42697</x:v>
      </x:c>
      <x:c r="C12" s="48" t="n">
        <x:v>2</x:v>
      </x:c>
      <x:c r="D12" s="48" t="str">
        <x:v>A</x:v>
      </x:c>
      <x:c r="E12" s="48" t="str">
        <x:v>Steuerberatung</x:v>
      </x:c>
      <x:c r="F12" s="50" t="n">
        <x:v>0</x:v>
      </x:c>
      <x:c r="G12" s="50" t="n">
        <x:v>8365.5</x:v>
      </x:c>
      <x:c r="H12" s="50" t="n">
        <x:f>H11+F12-G12</x:f>
        <x:v>248615.8</x:v>
      </x:c>
    </x:row>
    <x:row r="13">
      <x:c r="A13" s="48" t="str">
        <x:v>B-0009</x:v>
      </x:c>
      <x:c r="B13" s="49" t="n">
        <x:v>42724</x:v>
      </x:c>
      <x:c r="C13" s="48" t="n">
        <x:v>3</x:v>
      </x:c>
      <x:c r="D13" s="48" t="str">
        <x:v>E</x:v>
      </x:c>
      <x:c r="E13" s="48" t="str">
        <x:v>Vergleichszahlung</x:v>
      </x:c>
      <x:c r="F13" s="50" t="n">
        <x:v>40527.83</x:v>
      </x:c>
      <x:c r="G13" s="50" t="n">
        <x:v>0</x:v>
      </x:c>
      <x:c r="H13" s="50" t="n">
        <x:f>H12+F13-G13</x:f>
        <x:v>289143.63</x:v>
      </x:c>
    </x:row>
    <x:row r="14">
      <x:c r="A14" s="48" t="str">
        <x:v>B-0010</x:v>
      </x:c>
      <x:c r="B14" s="49" t="n">
        <x:v>42746</x:v>
      </x:c>
      <x:c r="C14" s="48" t="n">
        <x:v>3</x:v>
      </x:c>
      <x:c r="D14" s="48" t="str">
        <x:v>A</x:v>
      </x:c>
      <x:c r="E14" s="48" t="str">
        <x:v>Steuerberatung</x:v>
      </x:c>
      <x:c r="F14" s="50" t="n">
        <x:v>0</x:v>
      </x:c>
      <x:c r="G14" s="50" t="n">
        <x:v>11452.75</x:v>
      </x:c>
      <x:c r="H14" s="50" t="n">
        <x:f>H13+F14-G14</x:f>
        <x:v>277690.88</x:v>
      </x:c>
    </x:row>
    <x:row r="15">
      <x:c r="A15" s="48" t="str">
        <x:v>B-0011</x:v>
      </x:c>
      <x:c r="B15" s="49" t="n">
        <x:v>42858</x:v>
      </x:c>
      <x:c r="C15" s="48" t="n">
        <x:v>3</x:v>
      </x:c>
      <x:c r="D15" s="48" t="str">
        <x:v>E</x:v>
      </x:c>
      <x:c r="E15" s="48" t="str">
        <x:v>Steuer- oder Zinsgutschrift</x:v>
      </x:c>
      <x:c r="F15" s="50" t="n">
        <x:v>19071.92</x:v>
      </x:c>
      <x:c r="G15" s="50" t="n">
        <x:v>0</x:v>
      </x:c>
      <x:c r="H15" s="50" t="n">
        <x:f>H14+F15-G15</x:f>
        <x:v>296762.8</x:v>
      </x:c>
    </x:row>
    <x:row r="16">
      <x:c r="A16" s="48" t="str">
        <x:v>B-0012</x:v>
      </x:c>
      <x:c r="B16" s="49" t="n">
        <x:v>42880</x:v>
      </x:c>
      <x:c r="C16" s="48" t="n">
        <x:v>3</x:v>
      </x:c>
      <x:c r="D16" s="48" t="str">
        <x:v>A</x:v>
      </x:c>
      <x:c r="E16" s="48" t="str">
        <x:v>Archiv und Nachlauf</x:v>
      </x:c>
      <x:c r="F16" s="50" t="n">
        <x:v>0</x:v>
      </x:c>
      <x:c r="G16" s="50" t="n">
        <x:v>7322.25</x:v>
      </x:c>
      <x:c r="H16" s="50" t="n">
        <x:f>H15+F16-G16</x:f>
        <x:v>289440.55</x:v>
      </x:c>
    </x:row>
    <x:row r="17">
      <x:c r="A17" s="48" t="str">
        <x:v>B-0013</x:v>
      </x:c>
      <x:c r="B17" s="49" t="n">
        <x:v>42907</x:v>
      </x:c>
      <x:c r="C17" s="48" t="n">
        <x:v>4</x:v>
      </x:c>
      <x:c r="D17" s="48" t="str">
        <x:v>E</x:v>
      </x:c>
      <x:c r="E17" s="48" t="str">
        <x:v>Steuer- oder Zinsgutschrift</x:v>
      </x:c>
      <x:c r="F17" s="50" t="n">
        <x:v>8406.06</x:v>
      </x:c>
      <x:c r="G17" s="50" t="n">
        <x:v>0</x:v>
      </x:c>
      <x:c r="H17" s="50" t="n">
        <x:f>H16+F17-G17</x:f>
        <x:v>297846.61</x:v>
      </x:c>
    </x:row>
    <x:row r="18">
      <x:c r="A18" s="48" t="str">
        <x:v>B-0014</x:v>
      </x:c>
      <x:c r="B18" s="49" t="n">
        <x:v>42929</x:v>
      </x:c>
      <x:c r="C18" s="48" t="n">
        <x:v>4</x:v>
      </x:c>
      <x:c r="D18" s="48" t="str">
        <x:v>A</x:v>
      </x:c>
      <x:c r="E18" s="48" t="str">
        <x:v>Archiv und Nachlauf</x:v>
      </x:c>
      <x:c r="F18" s="50" t="n">
        <x:v>0</x:v>
      </x:c>
      <x:c r="G18" s="50" t="n">
        <x:v>16409</x:v>
      </x:c>
      <x:c r="H18" s="50" t="n">
        <x:f>H17+F18-G18</x:f>
        <x:v>281437.61</x:v>
      </x:c>
    </x:row>
    <x:row r="19">
      <x:c r="A19" s="48" t="str">
        <x:v>B-0015</x:v>
      </x:c>
      <x:c r="B19" s="49" t="n">
        <x:v>43035</x:v>
      </x:c>
      <x:c r="C19" s="48" t="n">
        <x:v>4</x:v>
      </x:c>
      <x:c r="D19" s="48" t="str">
        <x:v>E</x:v>
      </x:c>
      <x:c r="E19" s="48" t="str">
        <x:v>Verwertungserlös</x:v>
      </x:c>
      <x:c r="F19" s="50" t="n">
        <x:v>3955.8</x:v>
      </x:c>
      <x:c r="G19" s="50" t="n">
        <x:v>0</x:v>
      </x:c>
      <x:c r="H19" s="50" t="n">
        <x:f>H18+F19-G19</x:f>
        <x:v>285393.41</x:v>
      </x:c>
    </x:row>
    <x:row r="20">
      <x:c r="A20" s="48" t="str">
        <x:v>B-0016</x:v>
      </x:c>
      <x:c r="B20" s="49" t="n">
        <x:v>43057</x:v>
      </x:c>
      <x:c r="C20" s="48" t="n">
        <x:v>4</x:v>
      </x:c>
      <x:c r="D20" s="48" t="str">
        <x:v>A</x:v>
      </x:c>
      <x:c r="E20" s="48" t="str">
        <x:v>Rechts- und Gutachterkosten</x:v>
      </x:c>
      <x:c r="F20" s="50" t="n">
        <x:v>0</x:v>
      </x:c>
      <x:c r="G20" s="50" t="n">
        <x:v>10491</x:v>
      </x:c>
      <x:c r="H20" s="50" t="n">
        <x:f>H19+F20-G20</x:f>
        <x:v>274902.41</x:v>
      </x:c>
    </x:row>
    <x:row r="21">
      <x:c r="A21" s="48" t="str">
        <x:v>B-0017</x:v>
      </x:c>
      <x:c r="B21" s="49" t="n">
        <x:v>43084</x:v>
      </x:c>
      <x:c r="C21" s="48" t="n">
        <x:v>5</x:v>
      </x:c>
      <x:c r="D21" s="48" t="str">
        <x:v>E</x:v>
      </x:c>
      <x:c r="E21" s="48" t="str">
        <x:v>Verwertungserlös</x:v>
      </x:c>
      <x:c r="F21" s="50" t="n">
        <x:v>35697.12</x:v>
      </x:c>
      <x:c r="G21" s="50" t="n">
        <x:v>0</x:v>
      </x:c>
      <x:c r="H21" s="50" t="n">
        <x:f>H20+F21-G21</x:f>
        <x:v>310599.52999999997</x:v>
      </x:c>
    </x:row>
    <x:row r="22">
      <x:c r="A22" s="48" t="str">
        <x:v>B-0018</x:v>
      </x:c>
      <x:c r="B22" s="49" t="n">
        <x:v>43106</x:v>
      </x:c>
      <x:c r="C22" s="48" t="n">
        <x:v>5</x:v>
      </x:c>
      <x:c r="D22" s="48" t="str">
        <x:v>A</x:v>
      </x:c>
      <x:c r="E22" s="48" t="str">
        <x:v>Rechts- und Gutachterkosten</x:v>
      </x:c>
      <x:c r="F22" s="50" t="n">
        <x:v>0</x:v>
      </x:c>
      <x:c r="G22" s="50" t="n">
        <x:v>9542.84</x:v>
      </x:c>
      <x:c r="H22" s="50" t="n">
        <x:f>H21+F22-G22</x:f>
        <x:v>301056.68999999994</x:v>
      </x:c>
    </x:row>
    <x:row r="23">
      <x:c r="A23" s="48" t="str">
        <x:v>B-0019</x:v>
      </x:c>
      <x:c r="B23" s="49" t="n">
        <x:v>43217</x:v>
      </x:c>
      <x:c r="C23" s="48" t="n">
        <x:v>5</x:v>
      </x:c>
      <x:c r="D23" s="48" t="str">
        <x:v>E</x:v>
      </x:c>
      <x:c r="E23" s="48" t="str">
        <x:v>Forderungseinzug</x:v>
      </x:c>
      <x:c r="F23" s="50" t="n">
        <x:v>16798.65</x:v>
      </x:c>
      <x:c r="G23" s="50" t="n">
        <x:v>0</x:v>
      </x:c>
      <x:c r="H23" s="50" t="n">
        <x:f>H22+F23-G23</x:f>
        <x:v>317855.33999999997</x:v>
      </x:c>
    </x:row>
    <x:row r="24">
      <x:c r="A24" s="48" t="str">
        <x:v>B-0020</x:v>
      </x:c>
      <x:c r="B24" s="49" t="n">
        <x:v>43239</x:v>
      </x:c>
      <x:c r="C24" s="48" t="n">
        <x:v>5</x:v>
      </x:c>
      <x:c r="D24" s="48" t="str">
        <x:v>A</x:v>
      </x:c>
      <x:c r="E24" s="48" t="str">
        <x:v>Massebüro und Bank</x:v>
      </x:c>
      <x:c r="F24" s="50" t="n">
        <x:v>0</x:v>
      </x:c>
      <x:c r="G24" s="50" t="n">
        <x:v>6101.16</x:v>
      </x:c>
      <x:c r="H24" s="50" t="n">
        <x:f>H23+F24-G24</x:f>
        <x:v>311754.18</x:v>
      </x:c>
    </x:row>
    <x:row r="25">
      <x:c r="A25" s="48" t="str">
        <x:v>B-0021</x:v>
      </x:c>
      <x:c r="B25" s="49" t="n">
        <x:v>43266</x:v>
      </x:c>
      <x:c r="C25" s="48" t="n">
        <x:v>6</x:v>
      </x:c>
      <x:c r="D25" s="48" t="str">
        <x:v>E</x:v>
      </x:c>
      <x:c r="E25" s="48" t="str">
        <x:v>Forderungseinzug</x:v>
      </x:c>
      <x:c r="F25" s="50" t="n">
        <x:v>24598.82</x:v>
      </x:c>
      <x:c r="G25" s="50" t="n">
        <x:v>0</x:v>
      </x:c>
      <x:c r="H25" s="50" t="n">
        <x:f>H24+F25-G25</x:f>
        <x:v>336353</x:v>
      </x:c>
    </x:row>
    <x:row r="26">
      <x:c r="A26" s="48" t="str">
        <x:v>B-0022</x:v>
      </x:c>
      <x:c r="B26" s="49" t="n">
        <x:v>43288</x:v>
      </x:c>
      <x:c r="C26" s="48" t="n">
        <x:v>6</x:v>
      </x:c>
      <x:c r="D26" s="48" t="str">
        <x:v>A</x:v>
      </x:c>
      <x:c r="E26" s="48" t="str">
        <x:v>Massebüro und Bank</x:v>
      </x:c>
      <x:c r="F26" s="50" t="n">
        <x:v>0</x:v>
      </x:c>
      <x:c r="G26" s="50" t="n">
        <x:v>11541.2</x:v>
      </x:c>
      <x:c r="H26" s="50" t="n">
        <x:f>H25+F26-G26</x:f>
        <x:v>324811.8</x:v>
      </x:c>
    </x:row>
    <x:row r="27">
      <x:c r="A27" s="48" t="str">
        <x:v>B-0023</x:v>
      </x:c>
      <x:c r="B27" s="49" t="n">
        <x:v>43410</x:v>
      </x:c>
      <x:c r="C27" s="48" t="n">
        <x:v>6</x:v>
      </x:c>
      <x:c r="D27" s="48" t="str">
        <x:v>E</x:v>
      </x:c>
      <x:c r="E27" s="48" t="str">
        <x:v>Vergleichszahlung</x:v>
      </x:c>
      <x:c r="F27" s="50" t="n">
        <x:v>11575.92</x:v>
      </x:c>
      <x:c r="G27" s="50" t="n">
        <x:v>0</x:v>
      </x:c>
      <x:c r="H27" s="50" t="n">
        <x:f>H26+F27-G27</x:f>
        <x:v>336387.72</x:v>
      </x:c>
    </x:row>
    <x:row r="28">
      <x:c r="A28" s="48" t="str">
        <x:v>B-0024</x:v>
      </x:c>
      <x:c r="B28" s="49" t="n">
        <x:v>43432</x:v>
      </x:c>
      <x:c r="C28" s="48" t="n">
        <x:v>6</x:v>
      </x:c>
      <x:c r="D28" s="48" t="str">
        <x:v>A</x:v>
      </x:c>
      <x:c r="E28" s="48" t="str">
        <x:v>Steuerberatung</x:v>
      </x:c>
      <x:c r="F28" s="50" t="n">
        <x:v>0</x:v>
      </x:c>
      <x:c r="G28" s="50" t="n">
        <x:v>7378.8</x:v>
      </x:c>
      <x:c r="H28" s="50" t="n">
        <x:f>H27+F28-G28</x:f>
        <x:v>329008.92</x:v>
      </x:c>
    </x:row>
    <x:row r="29">
      <x:c r="A29" s="48" t="str">
        <x:v>B-0025</x:v>
      </x:c>
      <x:c r="B29" s="49" t="n">
        <x:v>43481</x:v>
      </x:c>
      <x:c r="C29" s="48" t="n">
        <x:v>7</x:v>
      </x:c>
      <x:c r="D29" s="48" t="str">
        <x:v>A</x:v>
      </x:c>
      <x:c r="E29" s="48" t="str">
        <x:v>Steuerberatung</x:v>
      </x:c>
      <x:c r="F29" s="50" t="n">
        <x:v>0</x:v>
      </x:c>
      <x:c r="G29" s="50" t="n">
        <x:v>10617.66</x:v>
      </x:c>
      <x:c r="H29" s="50" t="n">
        <x:f>H28+F29-G29</x:f>
        <x:v>318391.26</x:v>
      </x:c>
    </x:row>
    <x:row r="30">
      <x:c r="A30" s="48" t="str">
        <x:v>B-0026</x:v>
      </x:c>
      <x:c r="B30" s="49" t="n">
        <x:v>43539</x:v>
      </x:c>
      <x:c r="C30" s="48" t="n">
        <x:v>7</x:v>
      </x:c>
      <x:c r="D30" s="48" t="str">
        <x:v>E</x:v>
      </x:c>
      <x:c r="E30" s="48" t="str">
        <x:v>Kaufpreisvergleich</x:v>
      </x:c>
      <x:c r="F30" s="50" t="n">
        <x:v>30000</x:v>
      </x:c>
      <x:c r="G30" s="50" t="n">
        <x:v>0</x:v>
      </x:c>
      <x:c r="H30" s="50" t="n">
        <x:f>H29+F30-G30</x:f>
        <x:v>348391.26</x:v>
      </x:c>
    </x:row>
    <x:row r="31">
      <x:c r="A31" s="48" t="str">
        <x:v>B-0027</x:v>
      </x:c>
      <x:c r="B31" s="49" t="n">
        <x:v>43573</x:v>
      </x:c>
      <x:c r="C31" s="48" t="n">
        <x:v>7</x:v>
      </x:c>
      <x:c r="D31" s="48" t="str">
        <x:v>E</x:v>
      </x:c>
      <x:c r="E31" s="48" t="str">
        <x:v>Theater-Schlussrechnungen</x:v>
      </x:c>
      <x:c r="F31" s="50" t="n">
        <x:v>1057.39</x:v>
      </x:c>
      <x:c r="G31" s="50" t="n">
        <x:v>0</x:v>
      </x:c>
      <x:c r="H31" s="50" t="n">
        <x:f>H30+F31-G31</x:f>
        <x:v>349448.65</x:v>
      </x:c>
    </x:row>
    <x:row r="32">
      <x:c r="A32" s="48" t="str">
        <x:v>B-0028</x:v>
      </x:c>
      <x:c r="B32" s="49" t="n">
        <x:v>43604</x:v>
      </x:c>
      <x:c r="C32" s="48" t="n">
        <x:v>7</x:v>
      </x:c>
      <x:c r="D32" s="48" t="str">
        <x:v>A</x:v>
      </x:c>
      <x:c r="E32" s="48" t="str">
        <x:v>Archiv und Nachlauf</x:v>
      </x:c>
      <x:c r="F32" s="50" t="n">
        <x:v>0</x:v>
      </x:c>
      <x:c r="G32" s="50" t="n">
        <x:v>6788.34</x:v>
      </x:c>
      <x:c r="H32" s="50" t="n">
        <x:f>H31+F32-G32</x:f>
        <x:v>342660.31</x:v>
      </x:c>
    </x:row>
    <x:row r="33">
      <x:c r="A33" s="48" t="str">
        <x:v>B-0029</x:v>
      </x:c>
      <x:c r="B33" s="49" t="n">
        <x:v>43631</x:v>
      </x:c>
      <x:c r="C33" s="48" t="n">
        <x:v>8</x:v>
      </x:c>
      <x:c r="D33" s="48" t="str">
        <x:v>E</x:v>
      </x:c>
      <x:c r="E33" s="48" t="str">
        <x:v>Steuer- oder Zinsgutschrift</x:v>
      </x:c>
      <x:c r="F33" s="50" t="n">
        <x:v>11338.97</x:v>
      </x:c>
      <x:c r="G33" s="50" t="n">
        <x:v>0</x:v>
      </x:c>
      <x:c r="H33" s="50" t="n">
        <x:f>H32+F33-G33</x:f>
        <x:v>353999.27999999997</x:v>
      </x:c>
    </x:row>
    <x:row r="34">
      <x:c r="A34" s="48" t="str">
        <x:v>B-0030</x:v>
      </x:c>
      <x:c r="B34" s="49" t="n">
        <x:v>43653</x:v>
      </x:c>
      <x:c r="C34" s="48" t="n">
        <x:v>8</x:v>
      </x:c>
      <x:c r="D34" s="48" t="str">
        <x:v>A</x:v>
      </x:c>
      <x:c r="E34" s="48" t="str">
        <x:v>Archiv und Nachlauf</x:v>
      </x:c>
      <x:c r="F34" s="50" t="n">
        <x:v>0</x:v>
      </x:c>
      <x:c r="G34" s="50" t="n">
        <x:v>13329.11</x:v>
      </x:c>
      <x:c r="H34" s="50" t="n">
        <x:f>H33+F34-G34</x:f>
        <x:v>340670.17</x:v>
      </x:c>
    </x:row>
    <x:row r="35">
      <x:c r="A35" s="48" t="str">
        <x:v>B-0031</x:v>
      </x:c>
      <x:c r="B35" s="49" t="n">
        <x:v>43763</x:v>
      </x:c>
      <x:c r="C35" s="48" t="n">
        <x:v>8</x:v>
      </x:c>
      <x:c r="D35" s="48" t="str">
        <x:v>E</x:v>
      </x:c>
      <x:c r="E35" s="48" t="str">
        <x:v>Verwertungserlös</x:v>
      </x:c>
      <x:c r="F35" s="50" t="n">
        <x:v>5335.99</x:v>
      </x:c>
      <x:c r="G35" s="50" t="n">
        <x:v>0</x:v>
      </x:c>
      <x:c r="H35" s="50" t="n">
        <x:f>H34+F35-G35</x:f>
        <x:v>346006.16</x:v>
      </x:c>
    </x:row>
    <x:row r="36">
      <x:c r="A36" s="48" t="str">
        <x:v>B-0032</x:v>
      </x:c>
      <x:c r="B36" s="49" t="n">
        <x:v>43785</x:v>
      </x:c>
      <x:c r="C36" s="48" t="n">
        <x:v>8</x:v>
      </x:c>
      <x:c r="D36" s="48" t="str">
        <x:v>A</x:v>
      </x:c>
      <x:c r="E36" s="48" t="str">
        <x:v>Rechts- und Gutachterkosten</x:v>
      </x:c>
      <x:c r="F36" s="50" t="n">
        <x:v>0</x:v>
      </x:c>
      <x:c r="G36" s="50" t="n">
        <x:v>8521.89</x:v>
      </x:c>
      <x:c r="H36" s="50" t="n">
        <x:f>H35+F36-G36</x:f>
        <x:v>337484.26999999996</x:v>
      </x:c>
    </x:row>
    <x:row r="37">
      <x:c r="A37" s="48" t="str">
        <x:v>B-0033</x:v>
      </x:c>
      <x:c r="B37" s="49" t="n">
        <x:v>43834</x:v>
      </x:c>
      <x:c r="C37" s="48" t="n">
        <x:v>9</x:v>
      </x:c>
      <x:c r="D37" s="48" t="str">
        <x:v>A</x:v>
      </x:c>
      <x:c r="E37" s="48" t="str">
        <x:v>Rechts- und Gutachterkosten</x:v>
      </x:c>
      <x:c r="F37" s="50" t="n">
        <x:v>0</x:v>
      </x:c>
      <x:c r="G37" s="50" t="n">
        <x:v>9345.2</x:v>
      </x:c>
      <x:c r="H37" s="50" t="n">
        <x:f>H36+F37-G37</x:f>
        <x:v>328139.06999999995</x:v>
      </x:c>
    </x:row>
    <x:row r="38">
      <x:c r="A38" s="48" t="str">
        <x:v>B-0034</x:v>
      </x:c>
      <x:c r="B38" s="49" t="n">
        <x:v>43846</x:v>
      </x:c>
      <x:c r="C38" s="48" t="n">
        <x:v>9</x:v>
      </x:c>
      <x:c r="D38" s="48" t="str">
        <x:v>E</x:v>
      </x:c>
      <x:c r="E38" s="48" t="str">
        <x:v>Sachversicherungsleistung</x:v>
      </x:c>
      <x:c r="F38" s="50" t="n">
        <x:v>28420</x:v>
      </x:c>
      <x:c r="G38" s="50" t="n">
        <x:v>0</x:v>
      </x:c>
      <x:c r="H38" s="50" t="n">
        <x:f>H37+F38-G38</x:f>
        <x:v>356559.06999999995</x:v>
      </x:c>
    </x:row>
    <x:row r="39">
      <x:c r="A39" s="48" t="str">
        <x:v>B-0035</x:v>
      </x:c>
      <x:c r="B39" s="49" t="n">
        <x:v>43941</x:v>
      </x:c>
      <x:c r="C39" s="48" t="n">
        <x:v>9</x:v>
      </x:c>
      <x:c r="D39" s="48" t="str">
        <x:v>E</x:v>
      </x:c>
      <x:c r="E39" s="48" t="str">
        <x:v>Projektvergleich mit Zinsen</x:v>
      </x:c>
      <x:c r="F39" s="50" t="n">
        <x:v>20644.69</x:v>
      </x:c>
      <x:c r="G39" s="50" t="n">
        <x:v>0</x:v>
      </x:c>
      <x:c r="H39" s="50" t="n">
        <x:f>H38+F39-G39</x:f>
        <x:v>377203.75999999995</x:v>
      </x:c>
    </x:row>
    <x:row r="40">
      <x:c r="A40" s="48" t="str">
        <x:v>B-0036</x:v>
      </x:c>
      <x:c r="B40" s="49" t="n">
        <x:v>43966</x:v>
      </x:c>
      <x:c r="C40" s="48" t="n">
        <x:v>9</x:v>
      </x:c>
      <x:c r="D40" s="48" t="str">
        <x:v>A</x:v>
      </x:c>
      <x:c r="E40" s="48" t="str">
        <x:v>Massebüro und Bank</x:v>
      </x:c>
      <x:c r="F40" s="50" t="n">
        <x:v>0</x:v>
      </x:c>
      <x:c r="G40" s="50" t="n">
        <x:v>5974.8</x:v>
      </x:c>
      <x:c r="H40" s="50" t="n">
        <x:f>H39+F40-G40</x:f>
        <x:v>371228.95999999996</x:v>
      </x:c>
    </x:row>
    <x:row r="41">
      <x:c r="A41" s="48" t="str">
        <x:v>B-0037</x:v>
      </x:c>
      <x:c r="B41" s="49" t="n">
        <x:v>43993</x:v>
      </x:c>
      <x:c r="C41" s="48" t="n">
        <x:v>10</x:v>
      </x:c>
      <x:c r="D41" s="48" t="str">
        <x:v>E</x:v>
      </x:c>
      <x:c r="E41" s="48" t="str">
        <x:v>Forderungseinzug</x:v>
      </x:c>
      <x:c r="F41" s="50" t="n">
        <x:v>21466.62</x:v>
      </x:c>
      <x:c r="G41" s="50" t="n">
        <x:v>0</x:v>
      </x:c>
      <x:c r="H41" s="50" t="n">
        <x:f>H40+F41-G41</x:f>
        <x:v>392695.57999999996</x:v>
      </x:c>
    </x:row>
    <x:row r="42">
      <x:c r="A42" s="48" t="str">
        <x:v>B-0038</x:v>
      </x:c>
      <x:c r="B42" s="49" t="n">
        <x:v>44015</x:v>
      </x:c>
      <x:c r="C42" s="48" t="n">
        <x:v>10</x:v>
      </x:c>
      <x:c r="D42" s="48" t="str">
        <x:v>A</x:v>
      </x:c>
      <x:c r="E42" s="48" t="str">
        <x:v>Massebüro und Bank</x:v>
      </x:c>
      <x:c r="F42" s="50" t="n">
        <x:v>0</x:v>
      </x:c>
      <x:c r="G42" s="50" t="n">
        <x:v>10906.8</x:v>
      </x:c>
      <x:c r="H42" s="50" t="n">
        <x:f>H41+F42-G42</x:f>
        <x:v>381788.77999999997</x:v>
      </x:c>
    </x:row>
    <x:row r="43">
      <x:c r="A43" s="48" t="str">
        <x:v>B-0039</x:v>
      </x:c>
      <x:c r="B43" s="49" t="n">
        <x:v>44124</x:v>
      </x:c>
      <x:c r="C43" s="48" t="n">
        <x:v>10</x:v>
      </x:c>
      <x:c r="D43" s="48" t="str">
        <x:v>E</x:v>
      </x:c>
      <x:c r="E43" s="48" t="str">
        <x:v>Vergleichszahlung</x:v>
      </x:c>
      <x:c r="F43" s="50" t="n">
        <x:v>10101.94</x:v>
      </x:c>
      <x:c r="G43" s="50" t="n">
        <x:v>0</x:v>
      </x:c>
      <x:c r="H43" s="50" t="n">
        <x:f>H42+F43-G43</x:f>
        <x:v>391890.72</x:v>
      </x:c>
    </x:row>
    <x:row r="44">
      <x:c r="A44" s="48" t="str">
        <x:v>B-0040</x:v>
      </x:c>
      <x:c r="B44" s="49" t="n">
        <x:v>44146</x:v>
      </x:c>
      <x:c r="C44" s="48" t="n">
        <x:v>10</x:v>
      </x:c>
      <x:c r="D44" s="48" t="str">
        <x:v>A</x:v>
      </x:c>
      <x:c r="E44" s="48" t="str">
        <x:v>Steuerberatung</x:v>
      </x:c>
      <x:c r="F44" s="50" t="n">
        <x:v>0</x:v>
      </x:c>
      <x:c r="G44" s="50" t="n">
        <x:v>6973.2</x:v>
      </x:c>
      <x:c r="H44" s="50" t="n">
        <x:f>H43+F44-G44</x:f>
        <x:v>384917.51999999996</x:v>
      </x:c>
    </x:row>
    <x:row r="45">
      <x:c r="A45" s="48" t="str">
        <x:v>B-0041</x:v>
      </x:c>
      <x:c r="B45" s="49" t="n">
        <x:v>44195</x:v>
      </x:c>
      <x:c r="C45" s="48" t="n">
        <x:v>11</x:v>
      </x:c>
      <x:c r="D45" s="48" t="str">
        <x:v>A</x:v>
      </x:c>
      <x:c r="E45" s="48" t="str">
        <x:v>Steuerberatung</x:v>
      </x:c>
      <x:c r="F45" s="50" t="n">
        <x:v>0</x:v>
      </x:c>
      <x:c r="G45" s="50" t="n">
        <x:v>11864.5</x:v>
      </x:c>
      <x:c r="H45" s="50" t="n">
        <x:f>H44+F45-G45</x:f>
        <x:v>373053.01999999996</x:v>
      </x:c>
    </x:row>
    <x:row r="46">
      <x:c r="A46" s="48" t="str">
        <x:v>B-0042</x:v>
      </x:c>
      <x:c r="B46" s="49" t="n">
        <x:v>44211</x:v>
      </x:c>
      <x:c r="C46" s="48" t="n">
        <x:v>11</x:v>
      </x:c>
      <x:c r="D46" s="48" t="str">
        <x:v>E</x:v>
      </x:c>
      <x:c r="E46" s="48" t="str">
        <x:v>Restdebitoren Theaterprojekte</x:v>
      </x:c>
      <x:c r="F46" s="50" t="n">
        <x:v>24222</x:v>
      </x:c>
      <x:c r="G46" s="50" t="n">
        <x:v>0</x:v>
      </x:c>
      <x:c r="H46" s="50" t="n">
        <x:f>H45+F46-G46</x:f>
        <x:v>397275.01999999996</x:v>
      </x:c>
    </x:row>
    <x:row r="47">
      <x:c r="A47" s="48" t="str">
        <x:v>B-0043</x:v>
      </x:c>
      <x:c r="B47" s="49" t="n">
        <x:v>44308</x:v>
      </x:c>
      <x:c r="C47" s="48" t="n">
        <x:v>11</x:v>
      </x:c>
      <x:c r="D47" s="48" t="str">
        <x:v>E</x:v>
      </x:c>
      <x:c r="E47" s="48" t="str">
        <x:v>Weitere Forderungseinzüge</x:v>
      </x:c>
      <x:c r="F47" s="50" t="n">
        <x:v>11398.59</x:v>
      </x:c>
      <x:c r="G47" s="50" t="n">
        <x:v>0</x:v>
      </x:c>
      <x:c r="H47" s="50" t="n">
        <x:f>H46+F47-G47</x:f>
        <x:v>408673.61</x:v>
      </x:c>
    </x:row>
    <x:row r="48">
      <x:c r="A48" s="48" t="str">
        <x:v>B-0044</x:v>
      </x:c>
      <x:c r="B48" s="49" t="n">
        <x:v>44330</x:v>
      </x:c>
      <x:c r="C48" s="48" t="n">
        <x:v>11</x:v>
      </x:c>
      <x:c r="D48" s="48" t="str">
        <x:v>A</x:v>
      </x:c>
      <x:c r="E48" s="48" t="str">
        <x:v>Archiv und Nachlauf</x:v>
      </x:c>
      <x:c r="F48" s="50" t="n">
        <x:v>0</x:v>
      </x:c>
      <x:c r="G48" s="50" t="n">
        <x:v>7585.5</x:v>
      </x:c>
      <x:c r="H48" s="50" t="n">
        <x:f>H47+F48-G48</x:f>
        <x:v>401088.11</x:v>
      </x:c>
    </x:row>
    <x:row r="49">
      <x:c r="A49" s="48" t="str">
        <x:v>B-0045</x:v>
      </x:c>
      <x:c r="B49" s="49" t="n">
        <x:v>44379</x:v>
      </x:c>
      <x:c r="C49" s="48" t="n">
        <x:v>12</x:v>
      </x:c>
      <x:c r="D49" s="48" t="str">
        <x:v>A</x:v>
      </x:c>
      <x:c r="E49" s="48" t="str">
        <x:v>Archiv und Nachlauf</x:v>
      </x:c>
      <x:c r="F49" s="50" t="n">
        <x:v>0</x:v>
      </x:c>
      <x:c r="G49" s="50" t="n">
        <x:v>11132.5</x:v>
      </x:c>
      <x:c r="H49" s="50" t="n">
        <x:f>H48+F49-G49</x:f>
        <x:v>389955.61</x:v>
      </x:c>
    </x:row>
    <x:row r="50">
      <x:c r="A50" s="48" t="str">
        <x:v>B-0046</x:v>
      </x:c>
      <x:c r="B50" s="49" t="n">
        <x:v>44396</x:v>
      </x:c>
      <x:c r="C50" s="48" t="n">
        <x:v>12</x:v>
      </x:c>
      <x:c r="D50" s="48" t="str">
        <x:v>E</x:v>
      </x:c>
      <x:c r="E50" s="48" t="str">
        <x:v>Landbühne-Vergleich</x:v>
      </x:c>
      <x:c r="F50" s="50" t="n">
        <x:v>35620.59</x:v>
      </x:c>
      <x:c r="G50" s="50" t="n">
        <x:v>0</x:v>
      </x:c>
      <x:c r="H50" s="50" t="n">
        <x:f>H49+F50-G50</x:f>
        <x:v>425576.19999999995</x:v>
      </x:c>
    </x:row>
    <x:row r="51">
      <x:c r="A51" s="48" t="str">
        <x:v>B-0047</x:v>
      </x:c>
      <x:c r="B51" s="49" t="n">
        <x:v>44498</x:v>
      </x:c>
      <x:c r="C51" s="48" t="n">
        <x:v>12</x:v>
      </x:c>
      <x:c r="D51" s="48" t="str">
        <x:v>E</x:v>
      </x:c>
      <x:c r="E51" s="48" t="str">
        <x:v>Weitere Forderungseinzüge</x:v>
      </x:c>
      <x:c r="F51" s="50" t="n">
        <x:v>11097.72</x:v>
      </x:c>
      <x:c r="G51" s="50" t="n">
        <x:v>0</x:v>
      </x:c>
      <x:c r="H51" s="50" t="n">
        <x:f>H50+F51-G51</x:f>
        <x:v>436673.9199999999</x:v>
      </x:c>
    </x:row>
    <x:row r="52">
      <x:c r="A52" s="48" t="str">
        <x:v>B-0048</x:v>
      </x:c>
      <x:c r="B52" s="49" t="n">
        <x:v>44520</x:v>
      </x:c>
      <x:c r="C52" s="48" t="n">
        <x:v>12</x:v>
      </x:c>
      <x:c r="D52" s="48" t="str">
        <x:v>A</x:v>
      </x:c>
      <x:c r="E52" s="48" t="str">
        <x:v>Rechts- und Gutachterkosten</x:v>
      </x:c>
      <x:c r="F52" s="50" t="n">
        <x:v>0</x:v>
      </x:c>
      <x:c r="G52" s="50" t="n">
        <x:v>7117.5</x:v>
      </x:c>
      <x:c r="H52" s="50" t="n">
        <x:f>H51+F52-G52</x:f>
        <x:v>429556.4199999999</x:v>
      </x:c>
    </x:row>
    <x:row r="53">
      <x:c r="A53" s="48" t="str">
        <x:v>B-0049</x:v>
      </x:c>
      <x:c r="B53" s="49" t="n">
        <x:v>44547</x:v>
      </x:c>
      <x:c r="C53" s="48" t="n">
        <x:v>13</x:v>
      </x:c>
      <x:c r="D53" s="48" t="str">
        <x:v>E</x:v>
      </x:c>
      <x:c r="E53" s="48" t="str">
        <x:v>Verwertungserlös</x:v>
      </x:c>
      <x:c r="F53" s="50" t="n">
        <x:v>22191.58</x:v>
      </x:c>
      <x:c r="G53" s="50" t="n">
        <x:v>0</x:v>
      </x:c>
      <x:c r="H53" s="50" t="n">
        <x:f>H52+F53-G53</x:f>
        <x:v>451747.99999999994</x:v>
      </x:c>
    </x:row>
    <x:row r="54">
      <x:c r="A54" s="48" t="str">
        <x:v>B-0050</x:v>
      </x:c>
      <x:c r="B54" s="49" t="n">
        <x:v>44569</x:v>
      </x:c>
      <x:c r="C54" s="48" t="n">
        <x:v>13</x:v>
      </x:c>
      <x:c r="D54" s="48" t="str">
        <x:v>A</x:v>
      </x:c>
      <x:c r="E54" s="48" t="str">
        <x:v>Rechts- und Gutachterkosten</x:v>
      </x:c>
      <x:c r="F54" s="50" t="n">
        <x:v>0</x:v>
      </x:c>
      <x:c r="G54" s="50" t="n">
        <x:v>9125.6</x:v>
      </x:c>
      <x:c r="H54" s="50" t="n">
        <x:f>H53+F54-G54</x:f>
        <x:v>442622.39999999997</x:v>
      </x:c>
    </x:row>
    <x:row r="55">
      <x:c r="A55" s="48" t="str">
        <x:v>B-0051</x:v>
      </x:c>
      <x:c r="B55" s="49" t="n">
        <x:v>44673</x:v>
      </x:c>
      <x:c r="C55" s="48" t="n">
        <x:v>13</x:v>
      </x:c>
      <x:c r="D55" s="48" t="str">
        <x:v>E</x:v>
      </x:c>
      <x:c r="E55" s="48" t="str">
        <x:v>Forderungseinzug</x:v>
      </x:c>
      <x:c r="F55" s="50" t="n">
        <x:v>10443.09</x:v>
      </x:c>
      <x:c r="G55" s="50" t="n">
        <x:v>0</x:v>
      </x:c>
      <x:c r="H55" s="50" t="n">
        <x:f>H54+F55-G55</x:f>
        <x:v>453065.49</x:v>
      </x:c>
    </x:row>
    <x:row r="56">
      <x:c r="A56" s="48" t="str">
        <x:v>B-0052</x:v>
      </x:c>
      <x:c r="B56" s="49" t="n">
        <x:v>44695</x:v>
      </x:c>
      <x:c r="C56" s="48" t="n">
        <x:v>13</x:v>
      </x:c>
      <x:c r="D56" s="48" t="str">
        <x:v>A</x:v>
      </x:c>
      <x:c r="E56" s="48" t="str">
        <x:v>Massebüro und Bank</x:v>
      </x:c>
      <x:c r="F56" s="50" t="n">
        <x:v>0</x:v>
      </x:c>
      <x:c r="G56" s="50" t="n">
        <x:v>5834.4</x:v>
      </x:c>
      <x:c r="H56" s="50" t="n">
        <x:f>H55+F56-G56</x:f>
        <x:v>447231.08999999997</x:v>
      </x:c>
    </x:row>
    <x:row r="57">
      <x:c r="A57" s="48" t="str">
        <x:v>B-0053</x:v>
      </x:c>
      <x:c r="B57" s="49" t="n">
        <x:v>44722</x:v>
      </x:c>
      <x:c r="C57" s="48" t="n">
        <x:v>14</x:v>
      </x:c>
      <x:c r="D57" s="48" t="str">
        <x:v>E</x:v>
      </x:c>
      <x:c r="E57" s="48" t="str">
        <x:v>Forderungseinzug</x:v>
      </x:c>
      <x:c r="F57" s="50" t="n">
        <x:v>7011.31</x:v>
      </x:c>
      <x:c r="G57" s="50" t="n">
        <x:v>0</x:v>
      </x:c>
      <x:c r="H57" s="50" t="n">
        <x:f>H56+F57-G57</x:f>
        <x:v>454242.39999999997</x:v>
      </x:c>
    </x:row>
    <x:row r="58">
      <x:c r="A58" s="48" t="str">
        <x:v>B-0054</x:v>
      </x:c>
      <x:c r="B58" s="49" t="n">
        <x:v>44744</x:v>
      </x:c>
      <x:c r="C58" s="48" t="n">
        <x:v>14</x:v>
      </x:c>
      <x:c r="D58" s="48" t="str">
        <x:v>A</x:v>
      </x:c>
      <x:c r="E58" s="48" t="str">
        <x:v>Massebüro und Bank</x:v>
      </x:c>
      <x:c r="F58" s="50" t="n">
        <x:v>0</x:v>
      </x:c>
      <x:c r="G58" s="50" t="n">
        <x:v>11449.7</x:v>
      </x:c>
      <x:c r="H58" s="50" t="n">
        <x:f>H57+F58-G58</x:f>
        <x:v>442792.69999999995</x:v>
      </x:c>
    </x:row>
    <x:row r="59">
      <x:c r="A59" s="48" t="str">
        <x:v>B-0055</x:v>
      </x:c>
      <x:c r="B59" s="49" t="n">
        <x:v>44931</x:v>
      </x:c>
      <x:c r="C59" s="48" t="n">
        <x:v>14</x:v>
      </x:c>
      <x:c r="D59" s="48" t="str">
        <x:v>E</x:v>
      </x:c>
      <x:c r="E59" s="48" t="str">
        <x:v>Vergleichszahlung</x:v>
      </x:c>
      <x:c r="F59" s="50" t="n">
        <x:v>3299.44</x:v>
      </x:c>
      <x:c r="G59" s="50" t="n">
        <x:v>0</x:v>
      </x:c>
      <x:c r="H59" s="50" t="n">
        <x:f>H58+F59-G59</x:f>
        <x:v>446092.13999999996</x:v>
      </x:c>
    </x:row>
    <x:row r="60">
      <x:c r="A60" s="48" t="str">
        <x:v>B-0056</x:v>
      </x:c>
      <x:c r="B60" s="49" t="n">
        <x:v>44953</x:v>
      </x:c>
      <x:c r="C60" s="48" t="n">
        <x:v>14</x:v>
      </x:c>
      <x:c r="D60" s="48" t="str">
        <x:v>A</x:v>
      </x:c>
      <x:c r="E60" s="48" t="str">
        <x:v>Steuerberatung</x:v>
      </x:c>
      <x:c r="F60" s="50" t="n">
        <x:v>0</x:v>
      </x:c>
      <x:c r="G60" s="50" t="n">
        <x:v>7320.3</x:v>
      </x:c>
      <x:c r="H60" s="50" t="n">
        <x:f>H59+F60-G60</x:f>
        <x:v>438771.83999999997</x:v>
      </x:c>
    </x:row>
    <x:row r="61">
      <x:c r="A61" s="48" t="str">
        <x:v>B-0057</x:v>
      </x:c>
      <x:c r="B61" s="49" t="n">
        <x:v>45002</x:v>
      </x:c>
      <x:c r="C61" s="48" t="n">
        <x:v>15</x:v>
      </x:c>
      <x:c r="D61" s="48" t="str">
        <x:v>A</x:v>
      </x:c>
      <x:c r="E61" s="48" t="str">
        <x:v>Steuerberatung</x:v>
      </x:c>
      <x:c r="F61" s="50" t="n">
        <x:v>0</x:v>
      </x:c>
      <x:c r="G61" s="50" t="n">
        <x:v>10571.3</x:v>
      </x:c>
      <x:c r="H61" s="50" t="n">
        <x:f>H60+F61-G61</x:f>
        <x:v>428200.54</x:v>
      </x:c>
    </x:row>
    <x:row r="62">
      <x:c r="A62" s="48" t="str">
        <x:v>B-0058</x:v>
      </x:c>
      <x:c r="B62" s="49" t="n">
        <x:v>45028</x:v>
      </x:c>
      <x:c r="C62" s="48" t="n">
        <x:v>15</x:v>
      </x:c>
      <x:c r="D62" s="48" t="str">
        <x:v>E</x:v>
      </x:c>
      <x:c r="E62" s="48" t="str">
        <x:v>Steuererstattung Änderungsbescheid</x:v>
      </x:c>
      <x:c r="F62" s="50" t="n">
        <x:v>30454.71</x:v>
      </x:c>
      <x:c r="G62" s="50" t="n">
        <x:v>0</x:v>
      </x:c>
      <x:c r="H62" s="50" t="n">
        <x:f>H61+F62-G62</x:f>
        <x:v>458655.25</x:v>
      </x:c>
    </x:row>
    <x:row r="63">
      <x:c r="A63" s="48" t="str">
        <x:v>B-0059</x:v>
      </x:c>
      <x:c r="B63" s="49" t="n">
        <x:v>45190</x:v>
      </x:c>
      <x:c r="C63" s="48" t="n">
        <x:v>15</x:v>
      </x:c>
      <x:c r="D63" s="48" t="str">
        <x:v>E</x:v>
      </x:c>
      <x:c r="E63" s="48" t="str">
        <x:v>Erstattung Parallelverfahren</x:v>
      </x:c>
      <x:c r="F63" s="50" t="n">
        <x:v>16524</x:v>
      </x:c>
      <x:c r="G63" s="50" t="n">
        <x:v>0</x:v>
      </x:c>
      <x:c r="H63" s="50" t="n">
        <x:f>H62+F63-G63</x:f>
        <x:v>475179.25</x:v>
      </x:c>
    </x:row>
    <x:row r="64">
      <x:c r="A64" s="48" t="str">
        <x:v>B-0060</x:v>
      </x:c>
      <x:c r="B64" s="49" t="n">
        <x:v>45226</x:v>
      </x:c>
      <x:c r="C64" s="48" t="n">
        <x:v>15</x:v>
      </x:c>
      <x:c r="D64" s="48" t="str">
        <x:v>A</x:v>
      </x:c>
      <x:c r="E64" s="48" t="str">
        <x:v>Archiv und Nachlauf</x:v>
      </x:c>
      <x:c r="F64" s="50" t="n">
        <x:v>0</x:v>
      </x:c>
      <x:c r="G64" s="50" t="n">
        <x:v>6758.7</x:v>
      </x:c>
      <x:c r="H64" s="50" t="n">
        <x:f>H63+F64-G64</x:f>
        <x:v>468420.55</x:v>
      </x:c>
    </x:row>
    <x:row r="65">
      <x:c r="A65" s="48" t="str">
        <x:v>B-0061</x:v>
      </x:c>
      <x:c r="B65" s="49" t="n">
        <x:v>45253</x:v>
      </x:c>
      <x:c r="C65" s="48" t="n">
        <x:v>16</x:v>
      </x:c>
      <x:c r="D65" s="48" t="str">
        <x:v>E</x:v>
      </x:c>
      <x:c r="E65" s="48" t="str">
        <x:v>Steuer- oder Zinsgutschrift</x:v>
      </x:c>
      <x:c r="F65" s="50" t="n">
        <x:v>24672.56</x:v>
      </x:c>
      <x:c r="G65" s="50" t="n">
        <x:v>0</x:v>
      </x:c>
      <x:c r="H65" s="50" t="n">
        <x:f>H64+F65-G65</x:f>
        <x:v>493093.11</x:v>
      </x:c>
    </x:row>
    <x:row r="66">
      <x:c r="A66" s="48" t="str">
        <x:v>B-0062</x:v>
      </x:c>
      <x:c r="B66" s="49" t="n">
        <x:v>45275</x:v>
      </x:c>
      <x:c r="C66" s="48" t="n">
        <x:v>16</x:v>
      </x:c>
      <x:c r="D66" s="48" t="str">
        <x:v>A</x:v>
      </x:c>
      <x:c r="E66" s="48" t="str">
        <x:v>Archiv und Nachlauf</x:v>
      </x:c>
      <x:c r="F66" s="50" t="n">
        <x:v>0</x:v>
      </x:c>
      <x:c r="G66" s="50" t="n">
        <x:v>9447.07</x:v>
      </x:c>
      <x:c r="H66" s="50" t="n">
        <x:f>H65+F66-G66</x:f>
        <x:v>483646.04</x:v>
      </x:c>
    </x:row>
    <x:row r="67">
      <x:c r="A67" s="48" t="str">
        <x:v>B-0063</x:v>
      </x:c>
      <x:c r="B67" s="49" t="n">
        <x:v>45350</x:v>
      </x:c>
      <x:c r="C67" s="48" t="n">
        <x:v>16</x:v>
      </x:c>
      <x:c r="D67" s="48" t="str">
        <x:v>E</x:v>
      </x:c>
      <x:c r="E67" s="48" t="str">
        <x:v>Verwertungserlös</x:v>
      </x:c>
      <x:c r="F67" s="50" t="n">
        <x:v>11610.62</x:v>
      </x:c>
      <x:c r="G67" s="50" t="n">
        <x:v>0</x:v>
      </x:c>
      <x:c r="H67" s="50" t="n">
        <x:f>H66+F67-G67</x:f>
        <x:v>495256.66</x:v>
      </x:c>
    </x:row>
    <x:row r="68">
      <x:c r="A68" s="48" t="str">
        <x:v>B-0064</x:v>
      </x:c>
      <x:c r="B68" s="49" t="n">
        <x:v>45372</x:v>
      </x:c>
      <x:c r="C68" s="48" t="n">
        <x:v>16</x:v>
      </x:c>
      <x:c r="D68" s="48" t="str">
        <x:v>A</x:v>
      </x:c>
      <x:c r="E68" s="48" t="str">
        <x:v>Rechts- und Gutachterkosten</x:v>
      </x:c>
      <x:c r="F68" s="50" t="n">
        <x:v>0</x:v>
      </x:c>
      <x:c r="G68" s="50" t="n">
        <x:v>6039.93</x:v>
      </x:c>
      <x:c r="H68" s="50" t="n">
        <x:f>H67+F68-G68</x:f>
        <x:v>489216.73</x:v>
      </x:c>
    </x:row>
    <x:row r="69">
      <x:c r="A69" s="48" t="str">
        <x:v>B-0065</x:v>
      </x:c>
      <x:c r="B69" s="49" t="n">
        <x:v>45399</x:v>
      </x:c>
      <x:c r="C69" s="48" t="n">
        <x:v>17</x:v>
      </x:c>
      <x:c r="D69" s="48" t="str">
        <x:v>E</x:v>
      </x:c>
      <x:c r="E69" s="48" t="str">
        <x:v>D&amp;O-Vergleichsrate 1 (Teilbuchung)</x:v>
      </x:c>
      <x:c r="F69" s="50" t="n">
        <x:v>8936.2</x:v>
      </x:c>
      <x:c r="G69" s="50" t="n">
        <x:v>0</x:v>
      </x:c>
      <x:c r="H69" s="50" t="n">
        <x:f>H68+F69-G69</x:f>
        <x:v>498152.93</x:v>
      </x:c>
    </x:row>
    <x:row r="70">
      <x:c r="A70" s="48" t="str">
        <x:v>B-0066</x:v>
      </x:c>
      <x:c r="B70" s="49" t="n">
        <x:v>45409</x:v>
      </x:c>
      <x:c r="C70" s="48" t="n">
        <x:v>17</x:v>
      </x:c>
      <x:c r="D70" s="48" t="str">
        <x:v>E</x:v>
      </x:c>
      <x:c r="E70" s="48" t="str">
        <x:v>D&amp;O-Vergleichsrate 1 (Restbuchung)</x:v>
      </x:c>
      <x:c r="F70" s="50" t="n">
        <x:v>4205.27</x:v>
      </x:c>
      <x:c r="G70" s="50" t="n">
        <x:v>0</x:v>
      </x:c>
      <x:c r="H70" s="50" t="n">
        <x:f>H69+F70-G70</x:f>
        <x:v>502358.2</x:v>
      </x:c>
    </x:row>
    <x:row r="71">
      <x:c r="A71" s="48" t="str">
        <x:v>B-0067</x:v>
      </x:c>
      <x:c r="B71" s="49" t="n">
        <x:v>45421</x:v>
      </x:c>
      <x:c r="C71" s="48" t="n">
        <x:v>17</x:v>
      </x:c>
      <x:c r="D71" s="48" t="str">
        <x:v>A</x:v>
      </x:c>
      <x:c r="E71" s="48" t="str">
        <x:v>Rechts- und Gutachterkosten</x:v>
      </x:c>
      <x:c r="F71" s="50" t="n">
        <x:v>0</x:v>
      </x:c>
      <x:c r="G71" s="50" t="n">
        <x:v>11864.5</x:v>
      </x:c>
      <x:c r="H71" s="50" t="n">
        <x:f>H70+F71-G71</x:f>
        <x:v>490493.7</x:v>
      </x:c>
    </x:row>
    <x:row r="72">
      <x:c r="A72" s="48" t="str">
        <x:v>B-0068</x:v>
      </x:c>
      <x:c r="B72" s="49" t="n">
        <x:v>45431</x:v>
      </x:c>
      <x:c r="C72" s="48" t="n">
        <x:v>17</x:v>
      </x:c>
      <x:c r="D72" s="48" t="str">
        <x:v>A</x:v>
      </x:c>
      <x:c r="E72" s="48" t="str">
        <x:v>Massebüro und Bank</x:v>
      </x:c>
      <x:c r="F72" s="50" t="n">
        <x:v>0</x:v>
      </x:c>
      <x:c r="G72" s="50" t="n">
        <x:v>7585.5</x:v>
      </x:c>
      <x:c r="H72" s="50" t="n">
        <x:f>H71+F72-G72</x:f>
        <x:v>482908.2</x:v>
      </x:c>
    </x:row>
    <x:row r="73">
      <x:c r="A73" s="48" t="str">
        <x:v>B-0069</x:v>
      </x:c>
      <x:c r="B73" s="49" t="n">
        <x:v>45458</x:v>
      </x:c>
      <x:c r="C73" s="48" t="n">
        <x:v>18</x:v>
      </x:c>
      <x:c r="D73" s="48" t="str">
        <x:v>E</x:v>
      </x:c>
      <x:c r="E73" s="48" t="str">
        <x:v>D&amp;O-Vergleichsrate 2 (Teilbuchung)</x:v>
      </x:c>
      <x:c r="F73" s="50" t="n">
        <x:v>22862.76</x:v>
      </x:c>
      <x:c r="G73" s="50" t="n">
        <x:v>0</x:v>
      </x:c>
      <x:c r="H73" s="50" t="n">
        <x:f>H72+F73-G73</x:f>
        <x:v>505770.96</x:v>
      </x:c>
    </x:row>
    <x:row r="74">
      <x:c r="A74" s="48" t="str">
        <x:v>B-0070</x:v>
      </x:c>
      <x:c r="B74" s="49" t="n">
        <x:v>45480</x:v>
      </x:c>
      <x:c r="C74" s="48" t="n">
        <x:v>18</x:v>
      </x:c>
      <x:c r="D74" s="48" t="str">
        <x:v>A</x:v>
      </x:c>
      <x:c r="E74" s="48" t="str">
        <x:v>Massebüro und Bank</x:v>
      </x:c>
      <x:c r="F74" s="50" t="n">
        <x:v>0</x:v>
      </x:c>
      <x:c r="G74" s="50" t="n">
        <x:v>10830.55</x:v>
      </x:c>
      <x:c r="H74" s="50" t="n">
        <x:f>H73+F74-G74</x:f>
        <x:v>494940.41000000003</x:v>
      </x:c>
    </x:row>
    <x:row r="75">
      <x:c r="A75" s="48" t="str">
        <x:v>B-0071</x:v>
      </x:c>
      <x:c r="B75" s="49" t="n">
        <x:v>45590</x:v>
      </x:c>
      <x:c r="C75" s="48" t="n">
        <x:v>18</x:v>
      </x:c>
      <x:c r="D75" s="48" t="str">
        <x:v>E</x:v>
      </x:c>
      <x:c r="E75" s="48" t="str">
        <x:v>D&amp;O-Vergleichsrate 2 (Restbuchung)</x:v>
      </x:c>
      <x:c r="F75" s="50" t="n">
        <x:v>10758.95</x:v>
      </x:c>
      <x:c r="G75" s="50" t="n">
        <x:v>0</x:v>
      </x:c>
      <x:c r="H75" s="50" t="n">
        <x:f>H74+F75-G75</x:f>
        <x:v>505699.36000000004</x:v>
      </x:c>
    </x:row>
    <x:row r="76">
      <x:c r="A76" s="48" t="str">
        <x:v>B-0072</x:v>
      </x:c>
      <x:c r="B76" s="49" t="n">
        <x:v>45612</x:v>
      </x:c>
      <x:c r="C76" s="48" t="n">
        <x:v>18</x:v>
      </x:c>
      <x:c r="D76" s="48" t="str">
        <x:v>A</x:v>
      </x:c>
      <x:c r="E76" s="48" t="str">
        <x:v>Steuerberatung</x:v>
      </x:c>
      <x:c r="F76" s="50" t="n">
        <x:v>0</x:v>
      </x:c>
      <x:c r="G76" s="50" t="n">
        <x:v>6924.45</x:v>
      </x:c>
      <x:c r="H76" s="50" t="n">
        <x:f>H75+F76-G76</x:f>
        <x:v>498774.91000000003</x:v>
      </x:c>
    </x:row>
    <x:row r="77">
      <x:c r="A77" s="48" t="str">
        <x:v>B-0073</x:v>
      </x:c>
      <x:c r="B77" s="49" t="n">
        <x:v>45661</x:v>
      </x:c>
      <x:c r="C77" s="48" t="n">
        <x:v>19</x:v>
      </x:c>
      <x:c r="D77" s="48" t="str">
        <x:v>A</x:v>
      </x:c>
      <x:c r="E77" s="48" t="str">
        <x:v>Steuerberatung</x:v>
      </x:c>
      <x:c r="F77" s="50" t="n">
        <x:v>0</x:v>
      </x:c>
      <x:c r="G77" s="50" t="n">
        <x:v>9087.78</x:v>
      </x:c>
      <x:c r="H77" s="50" t="n">
        <x:f>H76+F77-G77</x:f>
        <x:v>489687.13</x:v>
      </x:c>
    </x:row>
    <x:row r="78">
      <x:c r="A78" s="48" t="str">
        <x:v>B-0074</x:v>
      </x:c>
      <x:c r="B78" s="49" t="n">
        <x:v>45673</x:v>
      </x:c>
      <x:c r="C78" s="48" t="n">
        <x:v>19</x:v>
      </x:c>
      <x:c r="D78" s="48" t="str">
        <x:v>E</x:v>
      </x:c>
      <x:c r="E78" s="48" t="str">
        <x:v>Steuerliche Abschlussgutschrift</x:v>
      </x:c>
      <x:c r="F78" s="50" t="n">
        <x:v>20709.2</x:v>
      </x:c>
      <x:c r="G78" s="50" t="n">
        <x:v>0</x:v>
      </x:c>
      <x:c r="H78" s="50" t="n">
        <x:f>H77+F78-G78</x:f>
        <x:v>510396.33</x:v>
      </x:c>
    </x:row>
    <x:row r="79">
      <x:c r="A79" s="48" t="str">
        <x:v>B-0075</x:v>
      </x:c>
      <x:c r="B79" s="49" t="n">
        <x:v>45764</x:v>
      </x:c>
      <x:c r="C79" s="48" t="n">
        <x:v>19</x:v>
      </x:c>
      <x:c r="D79" s="48" t="str">
        <x:v>E</x:v>
      </x:c>
      <x:c r="E79" s="48" t="str">
        <x:v>Zinsgutschrift</x:v>
      </x:c>
      <x:c r="F79" s="50" t="n">
        <x:v>9745.51</x:v>
      </x:c>
      <x:c r="G79" s="50" t="n">
        <x:v>0</x:v>
      </x:c>
      <x:c r="H79" s="50" t="n">
        <x:f>H78+F79-G79</x:f>
        <x:v>520141.84</x:v>
      </x:c>
    </x:row>
    <x:row r="80">
      <x:c r="A80" s="48" t="str">
        <x:v>B-0076</x:v>
      </x:c>
      <x:c r="B80" s="49" t="n">
        <x:v>45786</x:v>
      </x:c>
      <x:c r="C80" s="48" t="n">
        <x:v>19</x:v>
      </x:c>
      <x:c r="D80" s="48" t="str">
        <x:v>A</x:v>
      </x:c>
      <x:c r="E80" s="48" t="str">
        <x:v>Archiv und Nachlauf</x:v>
      </x:c>
      <x:c r="F80" s="50" t="n">
        <x:v>0</x:v>
      </x:c>
      <x:c r="G80" s="50" t="n">
        <x:v>5810.22</x:v>
      </x:c>
      <x:c r="H80" s="50" t="n">
        <x:f>H79+F80-G80</x:f>
        <x:v>514331.62000000005</x:v>
      </x:c>
    </x:row>
    <x:row r="81">
      <x:c r="A81" s="48" t="str">
        <x:v>B-0077</x:v>
      </x:c>
      <x:c r="B81" s="49" t="n">
        <x:v>45813</x:v>
      </x:c>
      <x:c r="C81" s="48" t="n">
        <x:v>20</x:v>
      </x:c>
      <x:c r="D81" s="48" t="str">
        <x:v>E</x:v>
      </x:c>
      <x:c r="E81" s="48" t="str">
        <x:v>Steuer- oder Zinsgutschrift</x:v>
      </x:c>
      <x:c r="F81" s="50" t="n">
        <x:v>15558.98</x:v>
      </x:c>
      <x:c r="G81" s="50" t="n">
        <x:v>0</x:v>
      </x:c>
      <x:c r="H81" s="50" t="n">
        <x:f>H80+F81-G81</x:f>
        <x:v>529890.6000000001</x:v>
      </x:c>
    </x:row>
    <x:row r="82">
      <x:c r="A82" s="48" t="str">
        <x:v>B-0078</x:v>
      </x:c>
      <x:c r="B82" s="49" t="n">
        <x:v>45835</x:v>
      </x:c>
      <x:c r="C82" s="48" t="n">
        <x:v>20</x:v>
      </x:c>
      <x:c r="D82" s="48" t="str">
        <x:v>A</x:v>
      </x:c>
      <x:c r="E82" s="48" t="str">
        <x:v>Archiv und Nachlauf</x:v>
      </x:c>
      <x:c r="F82" s="50" t="n">
        <x:v>0</x:v>
      </x:c>
      <x:c r="G82" s="50" t="n">
        <x:v>8177.66</x:v>
      </x:c>
      <x:c r="H82" s="50" t="n">
        <x:f>H81+F82-G82</x:f>
        <x:v>521712.9400000001</x:v>
      </x:c>
    </x:row>
    <x:row r="83">
      <x:c r="A83" s="48" t="str">
        <x:v>B-0079</x:v>
      </x:c>
      <x:c r="B83" s="49" t="n">
        <x:v>45938</x:v>
      </x:c>
      <x:c r="C83" s="48" t="n">
        <x:v>20</x:v>
      </x:c>
      <x:c r="D83" s="48" t="str">
        <x:v>E</x:v>
      </x:c>
      <x:c r="E83" s="48" t="str">
        <x:v>Verwertungserlös</x:v>
      </x:c>
      <x:c r="F83" s="50" t="n">
        <x:v>7321.88</x:v>
      </x:c>
      <x:c r="G83" s="50" t="n">
        <x:v>0</x:v>
      </x:c>
      <x:c r="H83" s="50" t="n">
        <x:f>H82+F83-G83</x:f>
        <x:v>529034.8200000001</x:v>
      </x:c>
    </x:row>
    <x:row r="84">
      <x:c r="A84" s="48" t="str">
        <x:v>B-0080</x:v>
      </x:c>
      <x:c r="B84" s="49" t="n">
        <x:v>45960</x:v>
      </x:c>
      <x:c r="C84" s="48" t="n">
        <x:v>20</x:v>
      </x:c>
      <x:c r="D84" s="48" t="str">
        <x:v>A</x:v>
      </x:c>
      <x:c r="E84" s="48" t="str">
        <x:v>Rechts- und Gutachterkosten</x:v>
      </x:c>
      <x:c r="F84" s="50" t="n">
        <x:v>0</x:v>
      </x:c>
      <x:c r="G84" s="50" t="n">
        <x:v>5228.34</x:v>
      </x:c>
      <x:c r="H84" s="50" t="n">
        <x:f>H83+F84-G84</x:f>
        <x:v>523806.48000000004</x:v>
      </x:c>
    </x:row>
    <x:row r="85">
      <x:c r="A85" s="48" t="str">
        <x:v>B-0081</x:v>
      </x:c>
      <x:c r="B85" s="49" t="n">
        <x:v>45987</x:v>
      </x:c>
      <x:c r="C85" s="48" t="n">
        <x:v>21</x:v>
      </x:c>
      <x:c r="D85" s="48" t="str">
        <x:v>E</x:v>
      </x:c>
      <x:c r="E85" s="48" t="str">
        <x:v>Verwertungserlös</x:v>
      </x:c>
      <x:c r="F85" s="50" t="n">
        <x:v>13175.84</x:v>
      </x:c>
      <x:c r="G85" s="50" t="n">
        <x:v>0</x:v>
      </x:c>
      <x:c r="H85" s="50" t="n">
        <x:f>H84+F85-G85</x:f>
        <x:v>536982.3200000001</x:v>
      </x:c>
    </x:row>
    <x:row r="86">
      <x:c r="A86" s="48" t="str">
        <x:v>B-0082</x:v>
      </x:c>
      <x:c r="B86" s="49" t="n">
        <x:v>46009</x:v>
      </x:c>
      <x:c r="C86" s="48" t="n">
        <x:v>21</x:v>
      </x:c>
      <x:c r="D86" s="48" t="str">
        <x:v>A</x:v>
      </x:c>
      <x:c r="E86" s="48" t="str">
        <x:v>Rechts- und Gutachterkosten</x:v>
      </x:c>
      <x:c r="F86" s="50" t="n">
        <x:v>0</x:v>
      </x:c>
      <x:c r="G86" s="50" t="n">
        <x:v>7161.4</x:v>
      </x:c>
      <x:c r="H86" s="50" t="n">
        <x:f>H85+F86-G86</x:f>
        <x:v>529820.92</x:v>
      </x:c>
    </x:row>
    <x:row r="87">
      <x:c r="A87" s="48" t="str">
        <x:v>B-0083</x:v>
      </x:c>
      <x:c r="B87" s="49" t="n">
        <x:v>46147</x:v>
      </x:c>
      <x:c r="C87" s="48" t="n">
        <x:v>21</x:v>
      </x:c>
      <x:c r="D87" s="48" t="str">
        <x:v>E</x:v>
      </x:c>
      <x:c r="E87" s="48" t="str">
        <x:v>Forderungseinzug</x:v>
      </x:c>
      <x:c r="F87" s="50" t="n">
        <x:v>6200.39</x:v>
      </x:c>
      <x:c r="G87" s="50" t="n">
        <x:v>0</x:v>
      </x:c>
      <x:c r="H87" s="50" t="n">
        <x:f>H86+F87-G87</x:f>
        <x:v>536021.31</x:v>
      </x:c>
    </x:row>
    <x:row r="88">
      <x:c r="A88" s="48" t="str">
        <x:v>B-0084</x:v>
      </x:c>
      <x:c r="B88" s="49" t="n">
        <x:v>46169</x:v>
      </x:c>
      <x:c r="C88" s="48" t="n">
        <x:v>21</x:v>
      </x:c>
      <x:c r="D88" s="48" t="str">
        <x:v>A</x:v>
      </x:c>
      <x:c r="E88" s="48" t="str">
        <x:v>Massebüro und Bank</x:v>
      </x:c>
      <x:c r="F88" s="50" t="n">
        <x:v>0</x:v>
      </x:c>
      <x:c r="G88" s="50" t="n">
        <x:v>4578.6</x:v>
      </x:c>
      <x:c r="H88" s="50" t="n">
        <x:f>H87+F88-G88</x:f>
        <x:v>531442.7100000001</x:v>
      </x:c>
    </x:row>
    <x:row r="89">
      <x:c r="A89" s="48" t="str">
        <x:v>B-0085</x:v>
      </x:c>
      <x:c r="B89" s="49" t="n">
        <x:v>46195</x:v>
      </x:c>
      <x:c r="C89" s="48" t="n">
        <x:v>22</x:v>
      </x:c>
      <x:c r="D89" s="48" t="str">
        <x:v>E</x:v>
      </x:c>
      <x:c r="E89" s="48" t="str">
        <x:v>Steuererstattung</x:v>
      </x:c>
      <x:c r="F89" s="50" t="n">
        <x:v>11698.47</x:v>
      </x:c>
      <x:c r="G89" s="50" t="n">
        <x:v>0</x:v>
      </x:c>
      <x:c r="H89" s="50" t="n">
        <x:f>H88+F89-G89</x:f>
        <x:v>543141.18</x:v>
      </x:c>
    </x:row>
    <x:row r="90">
      <x:c r="A90" s="48" t="str">
        <x:v>B-0086</x:v>
      </x:c>
      <x:c r="B90" s="49" t="n">
        <x:v>46218</x:v>
      </x:c>
      <x:c r="C90" s="48" t="n">
        <x:v>22</x:v>
      </x:c>
      <x:c r="D90" s="48" t="str">
        <x:v>A</x:v>
      </x:c>
      <x:c r="E90" s="48" t="str">
        <x:v>Massebüro und Bank</x:v>
      </x:c>
      <x:c r="F90" s="50" t="n">
        <x:v>0</x:v>
      </x:c>
      <x:c r="G90" s="50" t="n">
        <x:v>6020.7</x:v>
      </x:c>
      <x:c r="H90" s="50" t="n">
        <x:f>H89+F90-G90</x:f>
        <x:v>537120.4800000001</x:v>
      </x:c>
    </x:row>
    <x:row r="91">
      <x:c r="A91" s="48" t="str">
        <x:v>B-0087</x:v>
      </x:c>
      <x:c r="B91" s="49" t="n">
        <x:v>46323</x:v>
      </x:c>
      <x:c r="C91" s="48" t="n">
        <x:v>22</x:v>
      </x:c>
      <x:c r="D91" s="48" t="str">
        <x:v>E</x:v>
      </x:c>
      <x:c r="E91" s="48" t="str">
        <x:v>Zinsgutschrift</x:v>
      </x:c>
      <x:c r="F91" s="50" t="n">
        <x:v>5505.16</x:v>
      </x:c>
      <x:c r="G91" s="50" t="n">
        <x:v>0</x:v>
      </x:c>
      <x:c r="H91" s="50" t="n">
        <x:f>H90+F91-G91</x:f>
        <x:v>542625.6400000001</x:v>
      </x:c>
    </x:row>
    <x:row r="92">
      <x:c r="A92" s="48" t="str">
        <x:v>B-0088</x:v>
      </x:c>
      <x:c r="B92" s="49" t="n">
        <x:v>46345</x:v>
      </x:c>
      <x:c r="C92" s="48" t="n">
        <x:v>22</x:v>
      </x:c>
      <x:c r="D92" s="48" t="str">
        <x:v>A</x:v>
      </x:c>
      <x:c r="E92" s="48" t="str">
        <x:v>Steuerberatung</x:v>
      </x:c>
      <x:c r="F92" s="50" t="n">
        <x:v>0</x:v>
      </x:c>
      <x:c r="G92" s="50" t="n">
        <x:v>3849.3</x:v>
      </x:c>
      <x:c r="H92" s="50" t="n">
        <x:f>H91+F92-G92</x:f>
        <x:v>538776.3400000001</x:v>
      </x:c>
    </x:row>
  </x:sheetData>
  <x:mergeCells>
    <x:mergeCell ref="A2:H2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

<file path=xl/worksheets/sheet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6" hidden="0" customWidth="1"/>
    <x:col min="3" max="3" width="30" hidden="0" customWidth="1"/>
    <x:col min="4" max="4" width="18" hidden="0" customWidth="1"/>
    <x:col min="5" max="5" width="18" hidden="0" customWidth="1"/>
    <x:col min="6" max="6" width="15" hidden="0" customWidth="1"/>
  </x:cols>
  <x:sheetData>
    <x:row r="2">
      <x:c r="A2" s="46" t="str">
        <x:v>Forderungstabelle für die Schlussrechnung</x:v>
      </x:c>
      <x:c r="B2" s="36"/>
      <x:c r="C2" s="36"/>
      <x:c r="D2" s="36"/>
      <x:c r="E2" s="36"/>
      <x:c r="F2" s="36"/>
    </x:row>
    <x:row r="3">
      <x:c r="A3" s="36"/>
      <x:c r="B3" s="36"/>
      <x:c r="C3" s="36"/>
      <x:c r="D3" s="36"/>
      <x:c r="E3" s="36"/>
      <x:c r="F3" s="36"/>
    </x:row>
    <x:row r="4">
      <x:c r="A4" s="52" t="str">
        <x:v>ID</x:v>
      </x:c>
      <x:c r="B4" s="52" t="str">
        <x:v>Gläubiger</x:v>
      </x:c>
      <x:c r="C4" s="52" t="str">
        <x:v>Grund</x:v>
      </x:c>
      <x:c r="D4" s="52" t="str">
        <x:v>Angemeldet</x:v>
      </x:c>
      <x:c r="E4" s="52" t="str">
        <x:v>Festgestellt</x:v>
      </x:c>
      <x:c r="F4" s="52" t="str">
        <x:v>Status</x:v>
      </x:c>
    </x:row>
    <x:row r="5">
      <x:c r="A5" s="48" t="str">
        <x:v>F-001</x:v>
      </x:c>
      <x:c r="B5" s="48" t="str">
        <x:v>Frankenbogen Bank eG</x:v>
      </x:c>
      <x:c r="C5" s="48" t="str">
        <x:v>Ausfall nach Sicherheitenabrechnung</x:v>
      </x:c>
      <x:c r="D5" s="50" t="n">
        <x:v>455820</x:v>
      </x:c>
      <x:c r="E5" s="50" t="n">
        <x:v>252208.07</x:v>
      </x:c>
      <x:c r="F5" s="48" t="str">
        <x:v>teilweise festgestellt</x:v>
      </x:c>
    </x:row>
    <x:row r="6">
      <x:c r="A6" s="48" t="str">
        <x:v>F-002</x:v>
      </x:c>
      <x:c r="B6" s="48" t="str">
        <x:v>Finanzamt Bamberg</x:v>
      </x:c>
      <x:c r="C6" s="48" t="str">
        <x:v>Steuern</x:v>
      </x:c>
      <x:c r="D6" s="50" t="n">
        <x:v>220000</x:v>
      </x:c>
      <x:c r="E6" s="50" t="n">
        <x:v>178550</x:v>
      </x:c>
      <x:c r="F6" s="48" t="str">
        <x:v>teilweise festgestellt</x:v>
      </x:c>
    </x:row>
    <x:row r="7">
      <x:c r="A7" s="48" t="str">
        <x:v>F-003</x:v>
      </x:c>
      <x:c r="B7" s="48" t="str">
        <x:v>BKK Bühnenhandwerk</x:v>
      </x:c>
      <x:c r="C7" s="48" t="str">
        <x:v>Sozialversicherung</x:v>
      </x:c>
      <x:c r="D7" s="50" t="n">
        <x:v>150000</x:v>
      </x:c>
      <x:c r="E7" s="50" t="n">
        <x:v>133420.75</x:v>
      </x:c>
      <x:c r="F7" s="48" t="str">
        <x:v>teilweise festgestellt</x:v>
      </x:c>
    </x:row>
    <x:row r="8">
      <x:c r="A8" s="48" t="str">
        <x:v>F-004</x:v>
      </x:c>
      <x:c r="B8" s="48" t="str">
        <x:v>Agentur für Arbeit</x:v>
      </x:c>
      <x:c r="C8" s="48" t="str">
        <x:v>Übergegangene Ansprüche</x:v>
      </x:c>
      <x:c r="D8" s="50" t="n">
        <x:v>160000</x:v>
      </x:c>
      <x:c r="E8" s="50" t="n">
        <x:v>112844.2</x:v>
      </x:c>
      <x:c r="F8" s="48" t="str">
        <x:v>teilweise festgestellt</x:v>
      </x:c>
    </x:row>
    <x:row r="9">
      <x:c r="A9" s="48" t="str">
        <x:v>F-005</x:v>
      </x:c>
      <x:c r="B9" s="48" t="str">
        <x:v>Beschäftigtenpool Klangbogen</x:v>
      </x:c>
      <x:c r="C9" s="48" t="str">
        <x:v>Arbeitnehmerforderungen</x:v>
      </x:c>
      <x:c r="D9" s="50" t="n">
        <x:v>130000</x:v>
      </x:c>
      <x:c r="E9" s="50" t="n">
        <x:v>96512.55</x:v>
      </x:c>
      <x:c r="F9" s="48" t="str">
        <x:v>teilweise festgestellt</x:v>
      </x:c>
    </x:row>
    <x:row r="10">
      <x:c r="A10" s="48" t="str">
        <x:v>F-006</x:v>
      </x:c>
      <x:c r="B10" s="48" t="str">
        <x:v>Hainwerk Hallen KG</x:v>
      </x:c>
      <x:c r="C10" s="48" t="str">
        <x:v>Miete</x:v>
      </x:c>
      <x:c r="D10" s="50" t="n">
        <x:v>120000</x:v>
      </x:c>
      <x:c r="E10" s="50" t="n">
        <x:v>89334.11</x:v>
      </x:c>
      <x:c r="F10" s="48" t="str">
        <x:v>teilweise festgestellt</x:v>
      </x:c>
    </x:row>
    <x:row r="11">
      <x:c r="A11" s="48" t="str">
        <x:v>F-007</x:v>
      </x:c>
      <x:c r="B11" s="48" t="str">
        <x:v>Frankenlift Leasing GmbH</x:v>
      </x:c>
      <x:c r="C11" s="48" t="str">
        <x:v>Leasing</x:v>
      </x:c>
      <x:c r="D11" s="50" t="n">
        <x:v>110000</x:v>
      </x:c>
      <x:c r="E11" s="50" t="n">
        <x:v>85200</x:v>
      </x:c>
      <x:c r="F11" s="48" t="str">
        <x:v>teilweise festgestellt</x:v>
      </x:c>
    </x:row>
    <x:row r="12">
      <x:c r="A12" s="48" t="str">
        <x:v>F-008</x:v>
      </x:c>
      <x:c r="B12" s="48" t="str">
        <x:v>Böhlein Metallbau GmbH</x:v>
      </x:c>
      <x:c r="C12" s="48" t="str">
        <x:v>Lieferung</x:v>
      </x:c>
      <x:c r="D12" s="50" t="n">
        <x:v>100000</x:v>
      </x:c>
      <x:c r="E12" s="50" t="n">
        <x:v>78450.6</x:v>
      </x:c>
      <x:c r="F12" s="48" t="str">
        <x:v>teilweise festgestellt</x:v>
      </x:c>
    </x:row>
    <x:row r="13">
      <x:c r="A13" s="48" t="str">
        <x:v>F-009</x:v>
      </x:c>
      <x:c r="B13" s="48" t="str">
        <x:v>Pfrang Antriebstechnik KG</x:v>
      </x:c>
      <x:c r="C13" s="48" t="str">
        <x:v>Lieferung</x:v>
      </x:c>
      <x:c r="D13" s="50" t="n">
        <x:v>98000</x:v>
      </x:c>
      <x:c r="E13" s="50" t="n">
        <x:v>75118.19</x:v>
      </x:c>
      <x:c r="F13" s="48" t="str">
        <x:v>teilweise festgestellt</x:v>
      </x:c>
    </x:row>
    <x:row r="14">
      <x:c r="A14" s="48" t="str">
        <x:v>F-010</x:v>
      </x:c>
      <x:c r="B14" s="48" t="str">
        <x:v>Jöns Lichtsteuerung eG</x:v>
      </x:c>
      <x:c r="C14" s="48" t="str">
        <x:v>Lieferung</x:v>
      </x:c>
      <x:c r="D14" s="50" t="n">
        <x:v>90000</x:v>
      </x:c>
      <x:c r="E14" s="50" t="n">
        <x:v>69350.22</x:v>
      </x:c>
      <x:c r="F14" s="48" t="str">
        <x:v>teilweise festgestellt</x:v>
      </x:c>
    </x:row>
    <x:row r="15">
      <x:c r="A15" s="48" t="str">
        <x:v>F-011</x:v>
      </x:c>
      <x:c r="B15" s="48" t="str">
        <x:v>Eyrich Raumakustik GmbH</x:v>
      </x:c>
      <x:c r="C15" s="48" t="str">
        <x:v>Lieferung</x:v>
      </x:c>
      <x:c r="D15" s="50" t="n">
        <x:v>85000</x:v>
      </x:c>
      <x:c r="E15" s="50" t="n">
        <x:v>64985.4</x:v>
      </x:c>
      <x:c r="F15" s="48" t="str">
        <x:v>teilweise festgestellt</x:v>
      </x:c>
    </x:row>
    <x:row r="16">
      <x:c r="A16" s="48" t="str">
        <x:v>F-012</x:v>
      </x:c>
      <x:c r="B16" s="48" t="str">
        <x:v>Kraußold Steuerungstechnik</x:v>
      </x:c>
      <x:c r="C16" s="48" t="str">
        <x:v>Dienstleistung</x:v>
      </x:c>
      <x:c r="D16" s="50" t="n">
        <x:v>80000</x:v>
      </x:c>
      <x:c r="E16" s="50" t="n">
        <x:v>61740.33</x:v>
      </x:c>
      <x:c r="F16" s="48" t="str">
        <x:v>teilweise festgestellt</x:v>
      </x:c>
    </x:row>
    <x:row r="17">
      <x:c r="A17" s="48" t="str">
        <x:v>F-013</x:v>
      </x:c>
      <x:c r="B17" s="48" t="str">
        <x:v>Ruckdeschel Transport KG</x:v>
      </x:c>
      <x:c r="C17" s="48" t="str">
        <x:v>Transport</x:v>
      </x:c>
      <x:c r="D17" s="50" t="n">
        <x:v>75000</x:v>
      </x:c>
      <x:c r="E17" s="50" t="n">
        <x:v>58220</x:v>
      </x:c>
      <x:c r="F17" s="48" t="str">
        <x:v>teilweise festgestellt</x:v>
      </x:c>
    </x:row>
    <x:row r="18">
      <x:c r="A18" s="48" t="str">
        <x:v>F-014</x:v>
      </x:c>
      <x:c r="B18" s="48" t="str">
        <x:v>Seubelt Softwarepflege GmbH</x:v>
      </x:c>
      <x:c r="C18" s="48" t="str">
        <x:v>Dienstleistung</x:v>
      </x:c>
      <x:c r="D18" s="50" t="n">
        <x:v>70000</x:v>
      </x:c>
      <x:c r="E18" s="50" t="n">
        <x:v>54832.16</x:v>
      </x:c>
      <x:c r="F18" s="48" t="str">
        <x:v>teilweise festgestellt</x:v>
      </x:c>
    </x:row>
    <x:row r="19">
      <x:c r="A19" s="48" t="str">
        <x:v>F-015</x:v>
      </x:c>
      <x:c r="B19" s="48" t="str">
        <x:v>Thalhammer Sicherheitstechnik</x:v>
      </x:c>
      <x:c r="C19" s="48" t="str">
        <x:v>Dienstleistung</x:v>
      </x:c>
      <x:c r="D19" s="50" t="n">
        <x:v>65000</x:v>
      </x:c>
      <x:c r="E19" s="50" t="n">
        <x:v>49500</x:v>
      </x:c>
      <x:c r="F19" s="48" t="str">
        <x:v>teilweise festgestellt</x:v>
      </x:c>
    </x:row>
    <x:row r="20">
      <x:c r="A20" s="48" t="str">
        <x:v>F-016</x:v>
      </x:c>
      <x:c r="B20" s="48" t="str">
        <x:v>Landbühne Nord Projektgesellschaft</x:v>
      </x:c>
      <x:c r="C20" s="48" t="str">
        <x:v>Gewährleistung</x:v>
      </x:c>
      <x:c r="D20" s="50" t="n">
        <x:v>60000</x:v>
      </x:c>
      <x:c r="E20" s="50" t="n">
        <x:v>45780.25</x:v>
      </x:c>
      <x:c r="F20" s="48" t="str">
        <x:v>teilweise festgestellt</x:v>
      </x:c>
    </x:row>
    <x:row r="21">
      <x:c r="A21" s="48" t="str">
        <x:v>F-017</x:v>
      </x:c>
      <x:c r="B21" s="48" t="str">
        <x:v>Mainfranken Energie AG</x:v>
      </x:c>
      <x:c r="C21" s="48" t="str">
        <x:v>Energie</x:v>
      </x:c>
      <x:c r="D21" s="50" t="n">
        <x:v>55000</x:v>
      </x:c>
      <x:c r="E21" s="50" t="n">
        <x:v>42315.77</x:v>
      </x:c>
      <x:c r="F21" s="48" t="str">
        <x:v>teilweise festgestellt</x:v>
      </x:c>
    </x:row>
    <x:row r="22">
      <x:c r="A22" s="48" t="str">
        <x:v>F-018</x:v>
      </x:c>
      <x:c r="B22" s="48" t="str">
        <x:v>Zink Archivdienste GmbH</x:v>
      </x:c>
      <x:c r="C22" s="48" t="str">
        <x:v>Archiv</x:v>
      </x:c>
      <x:c r="D22" s="50" t="n">
        <x:v>50000</x:v>
      </x:c>
      <x:c r="E22" s="50" t="n">
        <x:v>38904.6</x:v>
      </x:c>
      <x:c r="F22" s="48" t="str">
        <x:v>teilweise festgestellt</x:v>
      </x:c>
    </x:row>
    <x:row r="23">
      <x:c r="A23" s="48" t="str">
        <x:v>F-019</x:v>
      </x:c>
      <x:c r="B23" s="48" t="str">
        <x:v>Wölfel Versicherungsmakler KG</x:v>
      </x:c>
      <x:c r="C23" s="48" t="str">
        <x:v>Versicherung</x:v>
      </x:c>
      <x:c r="D23" s="50" t="n">
        <x:v>47000</x:v>
      </x:c>
      <x:c r="E23" s="50" t="n">
        <x:v>35211.9</x:v>
      </x:c>
      <x:c r="F23" s="48" t="str">
        <x:v>teilweise festgestellt</x:v>
      </x:c>
    </x:row>
    <x:row r="24">
      <x:c r="A24" s="48" t="str">
        <x:v>F-020</x:v>
      </x:c>
      <x:c r="B24" s="48" t="str">
        <x:v>Endres IT-Service GmbH</x:v>
      </x:c>
      <x:c r="C24" s="48" t="str">
        <x:v>IT</x:v>
      </x:c>
      <x:c r="D24" s="50" t="n">
        <x:v>42000</x:v>
      </x:c>
      <x:c r="E24" s="50" t="n">
        <x:v>31700</x:v>
      </x:c>
      <x:c r="F24" s="48" t="str">
        <x:v>teilweise festgestellt</x:v>
      </x:c>
    </x:row>
    <x:row r="25">
      <x:c r="A25" s="48" t="str">
        <x:v>F-021</x:v>
      </x:c>
      <x:c r="B25" s="48" t="str">
        <x:v>Kilian Prüftechnik GmbH</x:v>
      </x:c>
      <x:c r="C25" s="48" t="str">
        <x:v>Prüfung</x:v>
      </x:c>
      <x:c r="D25" s="50" t="n">
        <x:v>38000</x:v>
      </x:c>
      <x:c r="E25" s="50" t="n">
        <x:v>28650.55</x:v>
      </x:c>
      <x:c r="F25" s="48" t="str">
        <x:v>teilweise festgestellt</x:v>
      </x:c>
    </x:row>
    <x:row r="26">
      <x:c r="A26" s="48" t="str">
        <x:v>F-022</x:v>
      </x:c>
      <x:c r="B26" s="48" t="str">
        <x:v>Almut Eyrich Beratungsbüro</x:v>
      </x:c>
      <x:c r="C26" s="48" t="str">
        <x:v>Beratung</x:v>
      </x:c>
      <x:c r="D26" s="50" t="n">
        <x:v>35000</x:v>
      </x:c>
      <x:c r="E26" s="50" t="n">
        <x:v>25440.1</x:v>
      </x:c>
      <x:c r="F26" s="48" t="str">
        <x:v>teilweise festgestellt</x:v>
      </x:c>
    </x:row>
    <x:row r="27">
      <x:c r="A27" s="48" t="str">
        <x:v>F-023</x:v>
      </x:c>
      <x:c r="B27" s="48" t="str">
        <x:v>Veit Claassen Montage</x:v>
      </x:c>
      <x:c r="C27" s="48" t="str">
        <x:v>Montage</x:v>
      </x:c>
      <x:c r="D27" s="50" t="n">
        <x:v>30000</x:v>
      </x:c>
      <x:c r="E27" s="50" t="n">
        <x:v>22315.12</x:v>
      </x:c>
      <x:c r="F27" s="48" t="str">
        <x:v>teilweise festgestellt</x:v>
      </x:c>
    </x:row>
    <x:row r="28">
      <x:c r="A28" s="48" t="str">
        <x:v>F-024</x:v>
      </x:c>
      <x:c r="B28" s="48" t="str">
        <x:v>Kunigunde Karg Reinigung</x:v>
      </x:c>
      <x:c r="C28" s="48" t="str">
        <x:v>Reinigung</x:v>
      </x:c>
      <x:c r="D28" s="50" t="n">
        <x:v>26000</x:v>
      </x:c>
      <x:c r="E28" s="50" t="n">
        <x:v>18996.3</x:v>
      </x:c>
      <x:c r="F28" s="48" t="str">
        <x:v>teilweise festgestellt</x:v>
      </x:c>
    </x:row>
    <x:row r="29">
      <x:c r="A29" s="48" t="str">
        <x:v>F-025</x:v>
      </x:c>
      <x:c r="B29" s="48" t="str">
        <x:v>Jodokus Böhlein Werkzeuge</x:v>
      </x:c>
      <x:c r="C29" s="48" t="str">
        <x:v>Werkzeuge</x:v>
      </x:c>
      <x:c r="D29" s="50" t="n">
        <x:v>30000</x:v>
      </x:c>
      <x:c r="E29" s="50" t="n">
        <x:v>15244.45</x:v>
      </x:c>
      <x:c r="F29" s="48" t="str">
        <x:v>teilweise festgestellt</x:v>
      </x:c>
    </x:row>
    <x:row r="30">
      <x:c r="A30" s="53" t="str">
        <x:v>Summe</x:v>
      </x:c>
      <x:c r="B30" s="53"/>
      <x:c r="C30" s="53"/>
      <x:c r="D30" s="54" t="n">
        <x:f>SUM(D5:D29)</x:f>
        <x:v>2421820</x:v>
      </x:c>
      <x:c r="E30" s="54" t="n">
        <x:f>SUM(E5:E29)</x:f>
        <x:v>1764825.62</x:v>
      </x:c>
      <x:c r="F30" s="53"/>
    </x:row>
  </x:sheetData>
  <x:mergeCells>
    <x:mergeCell ref="A2:F2"/>
    <x:mergeCell ref="A30:C30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

<file path=xl/worksheets/sheet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54" hidden="0" customWidth="1"/>
    <x:col min="4" max="4" width="16" hidden="0" customWidth="1"/>
    <x:col min="5" max="5" width="16" hidden="0" customWidth="1"/>
  </x:cols>
  <x:sheetData>
    <x:row r="2">
      <x:c r="A2" s="46" t="str">
        <x:v>Belegmatrix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>
      <x:c r="A4" s="52" t="str">
        <x:v>Beleg-ID</x:v>
      </x:c>
      <x:c r="B4" s="52" t="str">
        <x:v>Unterlage</x:v>
      </x:c>
      <x:c r="C4" s="52" t="str">
        <x:v>Pfad oder Hinweis</x:v>
      </x:c>
      <x:c r="D4" s="52" t="str">
        <x:v>Status</x:v>
      </x:c>
      <x:c r="E4" s="52" t="str">
        <x:v>Verwendung</x:v>
      </x:c>
    </x:row>
    <x:row r="5">
      <x:c r="A5" s="48" t="str">
        <x:v>N-001</x:v>
      </x:c>
      <x:c r="B5" s="48" t="str">
        <x:v>Eröffnungsbeschluss</x:v>
      </x:c>
      <x:c r="C5" s="48" t="str">
        <x:v>belege/01_eroeffnungsbeschluss_2015-11-22.pdf</x:v>
      </x:c>
      <x:c r="D5" s="55" t="str">
        <x:v>vorhanden</x:v>
      </x:c>
      <x:c r="E5" s="48" t="str">
        <x:v>Verfahrensbeginn</x:v>
      </x:c>
    </x:row>
    <x:row r="6">
      <x:c r="A6" s="48" t="str">
        <x:v>N-002</x:v>
      </x:c>
      <x:c r="B6" s="48" t="str">
        <x:v>Berichtsanordnung</x:v>
      </x:c>
      <x:c r="C6" s="48" t="str">
        <x:v>belege/02_berichtsanordnung_2015-12-15.pdf</x:v>
      </x:c>
      <x:c r="D6" s="55" t="str">
        <x:v>vorhanden</x:v>
      </x:c>
      <x:c r="E6" s="48" t="str">
        <x:v>Turnus</x:v>
      </x:c>
    </x:row>
    <x:row r="7">
      <x:c r="A7" s="48" t="str">
        <x:v>N-003</x:v>
      </x:c>
      <x:c r="B7" s="48" t="str">
        <x:v>22 Zwischenberichte</x:v>
      </x:c>
      <x:c r="C7" s="48" t="str">
        <x:v>zwischenberichte/01 bis 22</x:v>
      </x:c>
      <x:c r="D7" s="55" t="str">
        <x:v>vorhanden</x:v>
      </x:c>
      <x:c r="E7" s="48" t="str">
        <x:v>Chronologie</x:v>
      </x:c>
    </x:row>
    <x:row r="8">
      <x:c r="A8" s="48" t="str">
        <x:v>N-004</x:v>
      </x:c>
      <x:c r="B8" s="48" t="str">
        <x:v>Vergleich Landbühne</x:v>
      </x:c>
      <x:c r="C8" s="48" t="str">
        <x:v>belege/05_vergleich_landbuehne_2021-07-14.pdf</x:v>
      </x:c>
      <x:c r="D8" s="55" t="str">
        <x:v>vorhanden</x:v>
      </x:c>
      <x:c r="E8" s="48" t="str">
        <x:v>Aktivvorgang</x:v>
      </x:c>
    </x:row>
    <x:row r="9">
      <x:c r="A9" s="48" t="str">
        <x:v>N-005</x:v>
      </x:c>
      <x:c r="B9" s="48" t="str">
        <x:v>Prozesskosten</x:v>
      </x:c>
      <x:c r="C9" s="48" t="str">
        <x:v>belege/06_prozesskostenabrechnung_2024-09-18.pdf</x:v>
      </x:c>
      <x:c r="D9" s="55" t="str">
        <x:v>vorhanden</x:v>
      </x:c>
      <x:c r="E9" s="48" t="str">
        <x:v>Kosten</x:v>
      </x:c>
    </x:row>
    <x:row r="10">
      <x:c r="A10" s="48" t="str">
        <x:v>N-006</x:v>
      </x:c>
      <x:c r="B10" s="48" t="str">
        <x:v>Steuerabschluss</x:v>
      </x:c>
      <x:c r="C10" s="48" t="str">
        <x:v>belege/04_steuerbescheid_2026-09-15.pdf</x:v>
      </x:c>
      <x:c r="D10" s="55" t="str">
        <x:v>vorhanden</x:v>
      </x:c>
      <x:c r="E10" s="48" t="str">
        <x:v>Steuern</x:v>
      </x:c>
    </x:row>
    <x:row r="11">
      <x:c r="A11" s="48" t="str">
        <x:v>N-007</x:v>
      </x:c>
      <x:c r="B11" s="48" t="str">
        <x:v>Bankbestätigung</x:v>
      </x:c>
      <x:c r="C11" s="48" t="str">
        <x:v>belege/03_bankbestaetigung_2026-11-30.pdf</x:v>
      </x:c>
      <x:c r="D11" s="55" t="str">
        <x:v>vorhanden</x:v>
      </x:c>
      <x:c r="E11" s="48" t="str">
        <x:v>Massebestand</x:v>
      </x:c>
    </x:row>
    <x:row r="12">
      <x:c r="A12" s="48" t="str">
        <x:v>N-008</x:v>
      </x:c>
      <x:c r="B12" s="48" t="str">
        <x:v>Forderungstabelle</x:v>
      </x:c>
      <x:c r="C12" s="48" t="str">
        <x:v>belege/07_tabellenauszug_2026-11-30.pdf</x:v>
      </x:c>
      <x:c r="D12" s="55" t="str">
        <x:v>vorhanden</x:v>
      </x:c>
      <x:c r="E12" s="48" t="str">
        <x:v>Forderungsbasis</x:v>
      </x:c>
    </x:row>
    <x:row r="13">
      <x:c r="A13" s="48" t="str">
        <x:v>N-009</x:v>
      </x:c>
      <x:c r="B13" s="48" t="str">
        <x:v>Ausschussstellungnahme</x:v>
      </x:c>
      <x:c r="C13" s="48" t="str">
        <x:v>belege/08_glaeubigerausschuss_stellungnahme_2026-12-02.pdf</x:v>
      </x:c>
      <x:c r="D13" s="55" t="str">
        <x:v>vorhanden</x:v>
      </x:c>
      <x:c r="E13" s="48" t="str">
        <x:v>Kontrolle</x:v>
      </x:c>
    </x:row>
    <x:row r="14">
      <x:c r="A14" s="48" t="str">
        <x:v>N-010</x:v>
      </x:c>
      <x:c r="B14" s="48" t="str">
        <x:v>Abschlussreifevermerk</x:v>
      </x:c>
      <x:c r="C14" s="48" t="str">
        <x:v>belege/09_abschlussreifevermerk_2026-12-05.pdf</x:v>
      </x:c>
      <x:c r="D14" s="55" t="str">
        <x:v>vorhanden</x:v>
      </x:c>
      <x:c r="E14" s="48" t="str">
        <x:v>Schlussberichtsanlass</x:v>
      </x:c>
    </x:row>
    <x:row r="15">
      <x:c r="A15" s="48" t="str">
        <x:v>N-011</x:v>
      </x:c>
      <x:c r="B15" s="48" t="str">
        <x:v>Steuerkonto-Aktenvermerk</x:v>
      </x:c>
      <x:c r="C15" s="48" t="str">
        <x:v>belege/11_aktenvermerk_steuerkonto_2026-10-29.pdf</x:v>
      </x:c>
      <x:c r="D15" s="55" t="str">
        <x:v>vorhanden</x:v>
      </x:c>
      <x:c r="E15" s="48" t="str">
        <x:v>Steuern</x:v>
      </x:c>
    </x:row>
    <x:row r="16">
      <x:c r="A16" s="48" t="str">
        <x:v>N-012</x:v>
      </x:c>
      <x:c r="B16" s="48" t="str">
        <x:v>Wirtschaftlichkeitsprüfung Landbühne</x:v>
      </x:c>
      <x:c r="C16" s="48" t="str">
        <x:v>belege/12_wirtschaftlichkeitspruefung_landbuehne_2021-07-12.pdf</x:v>
      </x:c>
      <x:c r="D16" s="55" t="str">
        <x:v>vorhanden</x:v>
      </x:c>
      <x:c r="E16" s="48" t="str">
        <x:v>Vergleich</x:v>
      </x:c>
    </x:row>
    <x:row r="17">
      <x:c r="A17" s="48" t="str">
        <x:v>N-013</x:v>
      </x:c>
      <x:c r="B17" s="48" t="str">
        <x:v>Ausschusszustimmung Landbühne</x:v>
      </x:c>
      <x:c r="C17" s="48" t="str">
        <x:v>belege/13_glaeubigerausschuss_zustimmung_landbuehne_2021-07-13.pdf</x:v>
      </x:c>
      <x:c r="D17" s="55" t="str">
        <x:v>vorhanden</x:v>
      </x:c>
      <x:c r="E17" s="48" t="str">
        <x:v>Vergleich</x:v>
      </x:c>
    </x:row>
    <x:row r="18">
      <x:c r="A18" s="48" t="str">
        <x:v>N-014</x:v>
      </x:c>
      <x:c r="B18" s="48" t="str">
        <x:v>Ausschusszustimmung D&amp;O</x:v>
      </x:c>
      <x:c r="C18" s="48" t="str">
        <x:v>belege/14_glaeubigerausschuss_zustimmung_d-und-o_2024-04-04.pdf</x:v>
      </x:c>
      <x:c r="D18" s="55" t="str">
        <x:v>vorhanden</x:v>
      </x:c>
      <x:c r="E18" s="48" t="str">
        <x:v>Organhaftung</x:v>
      </x:c>
    </x:row>
    <x:row r="19">
      <x:c r="A19" s="48" t="str">
        <x:v>N-015</x:v>
      </x:c>
      <x:c r="B19" s="48" t="str">
        <x:v>D&amp;O-Vergleich</x:v>
      </x:c>
      <x:c r="C19" s="48" t="str">
        <x:v>belege/15_vergleich_d-und-o_2024-04-05.pdf</x:v>
      </x:c>
      <x:c r="D19" s="55" t="str">
        <x:v>vorhanden</x:v>
      </x:c>
      <x:c r="E19" s="48" t="str">
        <x:v>Organhaftung</x:v>
      </x:c>
    </x:row>
    <x:row r="20">
      <x:c r="A20" s="48" t="str">
        <x:v>N-016</x:v>
      </x:c>
      <x:c r="B20" s="48" t="str">
        <x:v>Kontenabstimmung</x:v>
      </x:c>
      <x:c r="C20" s="48" t="str">
        <x:v>belege/10_kontenabstimmung_2026-12-05.pdf</x:v>
      </x:c>
      <x:c r="D20" s="55" t="str">
        <x:v>vorhanden</x:v>
      </x:c>
      <x:c r="E20" s="48" t="str">
        <x:v>Schlussrechnung</x:v>
      </x:c>
    </x:row>
    <x:row r="21">
      <x:c r="A21" s="48" t="str">
        <x:v>N-017</x:v>
      </x:c>
      <x:c r="B21" s="48" t="str">
        <x:v>Namentliche Freigabe</x:v>
      </x:c>
      <x:c r="C21" s="48" t="str">
        <x:v>noch nicht vorhanden</x:v>
      </x:c>
      <x:c r="D21" s="56" t="str">
        <x:v>offen</x:v>
      </x:c>
      <x:c r="E21" s="48" t="str">
        <x:v>Gate</x:v>
      </x:c>
    </x:row>
    <x:row r="22">
      <x:c r="A22" s="48" t="str">
        <x:v>N-018</x:v>
      </x:c>
      <x:c r="B22" s="48" t="str">
        <x:v>Gerichtliche Zustimmung</x:v>
      </x:c>
      <x:c r="C22" s="48" t="str">
        <x:v>noch nicht vorhanden</x:v>
      </x:c>
      <x:c r="D22" s="56" t="str">
        <x:v>offen</x:v>
      </x:c>
      <x:c r="E22" s="48" t="str">
        <x:v>Gate</x:v>
      </x:c>
    </x:row>
  </x:sheetData>
  <x:mergeCells>
    <x:mergeCell ref="A2:E2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

<file path=xl/worksheets/sheet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43" hidden="0" customWidth="1"/>
  </x:cols>
  <x:sheetData>
    <x:row r="2">
      <x:c r="A2" s="46" t="str">
        <x:v>Schlussreife und offene Gates</x:v>
      </x:c>
      <x:c r="B2" s="36"/>
      <x:c r="C2" s="36"/>
    </x:row>
    <x:row r="3">
      <x:c r="A3" s="36"/>
      <x:c r="B3" s="36"/>
      <x:c r="C3" s="36"/>
    </x:row>
    <x:row r="4">
      <x:c r="A4" s="52" t="str">
        <x:v>Position</x:v>
      </x:c>
      <x:c r="B4" s="52" t="str">
        <x:v>Betrag oder Status</x:v>
      </x:c>
      <x:c r="C4" s="52" t="str">
        <x:v>Beleg oder Voraussetzung</x:v>
      </x:c>
    </x:row>
    <x:row r="5">
      <x:c r="A5" s="48" t="str">
        <x:v>Vergütung und Auslagen Insolvenzverwaltung</x:v>
      </x:c>
      <x:c r="B5" s="50" t="n">
        <x:v>93975.27</x:v>
      </x:c>
      <x:c r="C5" s="48" t="str">
        <x:v>gerichtliche Festsetzung offen</x:v>
      </x:c>
    </x:row>
    <x:row r="6">
      <x:c r="A6" s="48" t="str">
        <x:v>Gerichtskosten</x:v>
      </x:c>
      <x:c r="B6" s="50" t="n">
        <x:v>8912</x:v>
      </x:c>
      <x:c r="C6" s="48" t="str">
        <x:v>Kostenrechnung offen</x:v>
      </x:c>
    </x:row>
    <x:row r="7">
      <x:c r="A7" s="48" t="str">
        <x:v>Steuerberatung und Schlussdeklarationen</x:v>
      </x:c>
      <x:c r="B7" s="50" t="n">
        <x:v>4980.6</x:v>
      </x:c>
      <x:c r="C7" s="48" t="str">
        <x:v>belegt</x:v>
      </x:c>
    </x:row>
    <x:row r="8">
      <x:c r="A8" s="48" t="str">
        <x:v>Archivierung und Vernichtung</x:v>
      </x:c>
      <x:c r="B8" s="50" t="n">
        <x:v>6902</x:v>
      </x:c>
      <x:c r="C8" s="48" t="str">
        <x:v>Angebot belegt</x:v>
      </x:c>
    </x:row>
    <x:row r="9">
      <x:c r="A9" s="48" t="str">
        <x:v>Bank- und Verteilungskosten</x:v>
      </x:c>
      <x:c r="B9" s="50" t="n">
        <x:v>1147.5</x:v>
      </x:c>
      <x:c r="C9" s="48" t="str">
        <x:v>kalkuliert</x:v>
      </x:c>
    </x:row>
    <x:row r="10">
      <x:c r="A10" s="48" t="str">
        <x:v>Technischer Nachlauf</x:v>
      </x:c>
      <x:c r="B10" s="50" t="n">
        <x:v>3858.9</x:v>
      </x:c>
      <x:c r="C10" s="48" t="str">
        <x:v>Reserve</x:v>
      </x:c>
    </x:row>
    <x:row r="11">
      <x:c r="A11" s="53" t="str">
        <x:v>Summe Schlusskosten und Reserven</x:v>
      </x:c>
      <x:c r="B11" s="54" t="n">
        <x:f>SUM(B5:B10)</x:f>
        <x:v>119776.27</x:v>
      </x:c>
      <x:c r="C11" s="53" t="str">
        <x:v>Summe Positionen 5 bis 10</x:v>
      </x:c>
    </x:row>
    <x:row r="12">
      <x:c r="A12" s="53" t="str">
        <x:v>Rechnerische Verteilungsmasse</x:v>
      </x:c>
      <x:c r="B12" s="54" t="n">
        <x:f>Berichtsperioden!G26-B11</x:f>
        <x:v>419000.06999999995</x:v>
      </x:c>
      <x:c r="C12" s="53" t="str">
        <x:v>Massebestand abzüglich Reserven</x:v>
      </x:c>
    </x:row>
    <x:row r="13">
      <x:c r="A13" s="53" t="str">
        <x:v>Vorläufige Quote</x:v>
      </x:c>
      <x:c r="B13" s="57" t="n">
        <x:f>B12/Forderungen!E30</x:f>
        <x:v>0.23741726392208648</x:v>
      </x:c>
      <x:c r="C13" s="53" t="str">
        <x:v>Verteilungsmasse geteilt durch festgestellte Forderungen</x:v>
      </x:c>
    </x:row>
    <x:row r="14">
      <x:c r="A14" s="48"/>
      <x:c r="B14" s="48"/>
      <x:c r="C14" s="48"/>
    </x:row>
    <x:row r="15">
      <x:c r="A15" s="52" t="str">
        <x:v>Gate</x:v>
      </x:c>
      <x:c r="B15" s="52" t="str">
        <x:v>Status</x:v>
      </x:c>
      <x:c r="C15" s="52" t="str">
        <x:v>Erforderlicher Nachweis</x:v>
      </x:c>
    </x:row>
    <x:row r="16">
      <x:c r="A16" s="48" t="str">
        <x:v>Namentliche Freigabe Schlussbericht</x:v>
      </x:c>
      <x:c r="B16" s="56" t="str">
        <x:v>offen</x:v>
      </x:c>
      <x:c r="C16" s="48" t="str">
        <x:v>Freigabevermerk</x:v>
      </x:c>
    </x:row>
    <x:row r="17">
      <x:c r="A17" s="48" t="str">
        <x:v>Vergütungsfestsetzung</x:v>
      </x:c>
      <x:c r="B17" s="56" t="str">
        <x:v>offen</x:v>
      </x:c>
      <x:c r="C17" s="48" t="str">
        <x:v>Gerichtlicher Beschluss</x:v>
      </x:c>
    </x:row>
    <x:row r="18">
      <x:c r="A18" s="48" t="str">
        <x:v>Gerichtskostenrechnung</x:v>
      </x:c>
      <x:c r="B18" s="56" t="str">
        <x:v>offen</x:v>
      </x:c>
      <x:c r="C18" s="48" t="str">
        <x:v>Kostenrechnung</x:v>
      </x:c>
    </x:row>
    <x:row r="19">
      <x:c r="A19" s="48" t="str">
        <x:v>Zustimmung Schlussverteilung</x:v>
      </x:c>
      <x:c r="B19" s="56" t="str">
        <x:v>offen</x:v>
      </x:c>
      <x:c r="C19" s="48" t="str">
        <x:v>Gerichtliche Verfügung</x:v>
      </x:c>
    </x:row>
    <x:row r="20">
      <x:c r="A20" s="48" t="str">
        <x:v>Auszahlungsvollzug</x:v>
      </x:c>
      <x:c r="B20" s="56" t="str">
        <x:v>offen</x:v>
      </x:c>
      <x:c r="C20" s="48" t="str">
        <x:v>Bankprotokoll und Vier-Augen-Freigabe</x:v>
      </x:c>
    </x:row>
    <x:row r="21">
      <x:c r="A21" s="48" t="str">
        <x:v>Aufhebung</x:v>
      </x:c>
      <x:c r="B21" s="56" t="str">
        <x:v>offen</x:v>
      </x:c>
      <x:c r="C21" s="48" t="str">
        <x:v>Gerichtlicher Aufhebungsbeschluss</x:v>
      </x:c>
    </x:row>
  </x:sheetData>
  <x:mergeCells>
    <x:mergeCell ref="A2:C2"/>
  </x:mergeCells>
  <x:printOptions horizontalCentered="1" verticalCentered="0"/>
  <x:pageMargins left="0.25" right="0.25" top="0.45" bottom="0.45" header="0.2" footer="0.2"/>
  <x:pageSetup paperSize="9" orientation="landscape" fitToWidth="1" fitToHeight="0" blackAndWhite="0" draft="0"/>
</x:worksheet>
</file>