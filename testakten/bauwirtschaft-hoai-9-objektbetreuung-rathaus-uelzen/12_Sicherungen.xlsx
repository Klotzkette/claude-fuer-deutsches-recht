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Sicherungen" sheetId="1" state="visible" ns1:id="rId3"/>
  </ns0:sheets>
  <ns0:definedNames>
    <ns0:definedName name="_xlnm.Print_Area" localSheetId="0">'Sicherungen'!A1:F24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<sst xmlns="http://schemas.openxmlformats.org/spreadsheetml/2006/main" count="18" uniqueCount="18">
  <si>
    <t xml:space="preserve">Rathaus Westflügel, Sicherungseinbehalte</t>
  </si>
  <si>
    <t xml:space="preserve">Kasse | 24.09.2026 | Konto 8842, keine Bankverbindung</t>
  </si>
  <si>
    <t xml:space="preserve">Bestand Einbehalte EUR</t>
  </si>
  <si>
    <t xml:space="preserve">Vertrag / Kreditor</t>
  </si>
  <si>
    <t xml:space="preserve">Abrechnung brutto</t>
  </si>
  <si>
    <t xml:space="preserve">Satz</t>
  </si>
  <si>
    <t xml:space="preserve">Einbehalt EUR</t>
  </si>
  <si>
    <t xml:space="preserve">Freigaben EUR</t>
  </si>
  <si>
    <t xml:space="preserve">Bestand EUR</t>
  </si>
  <si>
    <t xml:space="preserve">UR-21-D / Ilmenaudach</t>
  </si>
  <si>
    <t xml:space="preserve">UR-21-M / Heideprofil</t>
  </si>
  <si>
    <t xml:space="preserve">Quelle: Sicherungskonto 8842, Buchungen 18.11. und 16.12.2021.</t>
  </si>
  <si>
    <t xml:space="preserve">Beide Beträge sind Bareinbehalte aus Schlusszahlungen; keine Bürgschaft abgelöst.</t>
  </si>
  <si>
    <t xml:space="preserve">Dach: Abnahme 15.10.2021. Metallbau: Abnahme 12.11.2021.</t>
  </si>
  <si>
    <t xml:space="preserve">Jeweilige Vertragsvereinbarung: fünf Jahre ab Abnahme; Rückgabe nach Sicherungsabrede.</t>
  </si>
  <si>
    <t xml:space="preserve">Es liegt am 24.09.2026 keine Auszahlungsanordnung vor.</t>
  </si>
  <si>
    <t xml:space="preserve">Der Kassenbestand trifft keine Aussage zur Freigabefähigkeit oder Anspruchshöhe.</t>
  </si>
  <si>
    <t xml:space="preserve">Erfasst: Rike Born, Stadtkasse. Originalbelege im Vertragsordner UR-21.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</si>
</sst>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7]#,##0.00"/>
    <numFmt numFmtId="166" formatCode="0%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629"/>
      <name val="Arial"/>
      <family val="0"/>
      <charset val="1"/>
    </font>
    <font>
      <b val="true"/>
      <sz val="15"/>
      <color rgb="FF20262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54C58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54C58"/>
      <rgbColor rgb="FF2026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F25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5"/>
    <ns0:col collapsed="false" customWidth="true" hidden="false" outlineLevel="0" max="2" min="2" style="0" width="16.11"/>
    <ns0:col collapsed="false" customWidth="true" hidden="false" outlineLevel="0" max="3" min="3" style="0" width="10.56"/>
    <ns0:col collapsed="false" customWidth="true" hidden="false" outlineLevel="0" max="4" min="4" style="0" width="16.11"/>
    <ns0:col collapsed="false" customWidth="true" hidden="false" outlineLevel="0" max="5" min="5" style="0" width="15.56"/>
    <ns0:col collapsed="false" customWidth="true" hidden="false" outlineLevel="0" max="6" min="6" style="0" width="16.11"/>
  </ns0:cols>
  <ns0:sheetData>
    <ns0:row r="1" customFormat="false" ht="18" hidden="false" customHeight="true" outlineLevel="0" collapsed="false">
      <ns0:c r="A1" s="1"/>
      <ns0:c r="B1" s="1"/>
      <ns0:c r="C1" s="1"/>
      <ns0:c r="D1" s="1"/>
      <ns0:c r="E1" s="1"/>
      <ns0:c r="F1" s="1"/>
    </ns0:row>
    <ns0:row r="2" customFormat="false" ht="18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</ns0:row>
    <ns0:row r="3" customFormat="false" ht="18" hidden="false" customHeight="true" outlineLevel="0" collapsed="false">
      <ns0:c r="A3" s="1" t="s">
        <ns0:v>1</ns0:v>
      </ns0:c>
      <ns0:c r="B3" s="1"/>
      <ns0:c r="C3" s="1"/>
      <ns0:c r="D3" s="1"/>
      <ns0:c r="E3" s="1"/>
      <ns0:c r="F3" s="1"/>
    </ns0:row>
    <ns0:row r="4" customFormat="false" ht="18" hidden="false" customHeight="true" outlineLevel="0" collapsed="false">
      <ns0:c r="A4" s="1"/>
      <ns0:c r="B4" s="1"/>
      <ns0:c r="C4" s="1"/>
      <ns0:c r="D4" s="1"/>
      <ns0:c r="E4" s="1"/>
      <ns0:c r="F4" s="1"/>
    </ns0:row>
    <ns0:row r="5" customFormat="false" ht="18" hidden="false" customHeight="true" outlineLevel="0" collapsed="false">
      <ns0:c r="A5" s="1" t="s">
        <ns0:v>2</ns0:v>
      </ns0:c>
      <ns0:c r="B5" s="1"/>
      <ns0:c r="C5" s="1"/>
      <ns0:c r="D5" s="1"/>
      <ns0:c r="E5" s="1"/>
      <ns0:c r="F5" s="3" t="n">
        <ns0:f aca="false">SUM(F10:F11)</ns0:f>
        <ns0:v>7485.1</ns0:v>
      </ns0:c>
    </ns0:row>
    <ns0:row r="6" customFormat="false" ht="18" hidden="false" customHeight="true" outlineLevel="0" collapsed="false">
      <ns0:c r="A6" s="1"/>
      <ns0:c r="B6" s="1"/>
      <ns0:c r="C6" s="1"/>
      <ns0:c r="D6" s="1"/>
      <ns0:c r="E6" s="1"/>
      <ns0:c r="F6" s="1"/>
    </ns0:row>
    <ns0:row r="7" customFormat="false" ht="18" hidden="false" customHeight="true" outlineLevel="0" collapsed="false">
      <ns0:c r="A7" s="1"/>
      <ns0:c r="B7" s="1"/>
      <ns0:c r="C7" s="1"/>
      <ns0:c r="D7" s="1"/>
      <ns0:c r="E7" s="1"/>
      <ns0:c r="F7" s="1"/>
    </ns0:row>
    <ns0:row r="8" customFormat="false" ht="18" hidden="false" customHeight="true" outlineLevel="0" collapsed="false">
      <ns0:c r="A8" s="1"/>
      <ns0:c r="B8" s="1"/>
      <ns0:c r="C8" s="1"/>
      <ns0:c r="D8" s="1"/>
      <ns0:c r="E8" s="1"/>
      <ns0:c r="F8" s="1"/>
    </ns0:row>
    <ns0:row r="9" customFormat="false" ht="29" hidden="false" customHeight="true" outlineLevel="0" collapsed="false">
      <ns0:c r="A9" s="4" t="s">
        <ns0:v>3</ns0:v>
      </ns0:c>
      <ns0:c r="B9" s="4" t="s">
        <ns0:v>4</ns0:v>
      </ns0:c>
      <ns0:c r="C9" s="4" t="s">
        <ns0:v>5</ns0:v>
      </ns0:c>
      <ns0:c r="D9" s="4" t="s">
        <ns0:v>6</ns0:v>
      </ns0:c>
      <ns0:c r="E9" s="4" t="s">
        <ns0:v>7</ns0:v>
      </ns0:c>
      <ns0:c r="F9" s="4" t="s">
        <ns0:v>8</ns0:v>
      </ns0:c>
    </ns0:row>
    <ns0:row r="10" customFormat="false" ht="18" hidden="false" customHeight="true" outlineLevel="0" collapsed="false">
      <ns0:c r="A10" s="1" t="s">
        <ns0:v>9</ns0:v>
      </ns0:c>
      <ns0:c r="B10" s="3" t="n">
        <ns0:v>92820</ns0:v>
      </ns0:c>
      <ns0:c r="C10" s="5" t="n">
        <ns0:v>0.05</ns0:v>
      </ns0:c>
      <ns0:c r="D10" s="3" t="n">
        <ns0:f aca="false">ROUND(B10*C10,2)</ns0:f>
        <ns0:v>4641</ns0:v>
      </ns0:c>
      <ns0:c r="E10" s="3" t="n">
        <ns0:v>0</ns0:v>
      </ns0:c>
      <ns0:c r="F10" s="3" t="n">
        <ns0:f aca="false">D10-E10</ns0:f>
        <ns0:v>4641</ns0:v>
      </ns0:c>
    </ns0:row>
    <ns0:row r="11" customFormat="false" ht="18" hidden="false" customHeight="true" outlineLevel="0" collapsed="false">
      <ns0:c r="A11" s="1" t="s">
        <ns0:v>10</ns0:v>
      </ns0:c>
      <ns0:c r="B11" s="3" t="n">
        <ns0:v>56882</ns0:v>
      </ns0:c>
      <ns0:c r="C11" s="5" t="n">
        <ns0:v>0.05</ns0:v>
      </ns0:c>
      <ns0:c r="D11" s="3" t="n">
        <ns0:f aca="false">ROUND(B11*C11,2)</ns0:f>
        <ns0:v>2844.1</ns0:v>
      </ns0:c>
      <ns0:c r="E11" s="3" t="n">
        <ns0:v>0</ns0:v>
      </ns0:c>
      <ns0:c r="F11" s="3" t="n">
        <ns0:f aca="false">D11-E11</ns0:f>
        <ns0:v>2844.1</ns0:v>
      </ns0:c>
    </ns0:row>
    <ns0:row r="12" customFormat="false" ht="18" hidden="false" customHeight="true" outlineLevel="0" collapsed="false">
      <ns0:c r="A12" s="1"/>
      <ns0:c r="B12" s="1"/>
      <ns0:c r="C12" s="1"/>
      <ns0:c r="D12" s="1"/>
      <ns0:c r="E12" s="1"/>
      <ns0:c r="F12" s="1"/>
    </ns0:row>
    <ns0:row r="13" customFormat="false" ht="18" hidden="false" customHeight="true" outlineLevel="0" collapsed="false">
      <ns0:c r="A13" s="1"/>
      <ns0:c r="B13" s="1"/>
      <ns0:c r="C13" s="1"/>
      <ns0:c r="D13" s="1"/>
      <ns0:c r="E13" s="1"/>
      <ns0:c r="F13" s="1"/>
    </ns0:row>
    <ns0:row r="14" customFormat="false" ht="18" hidden="false" customHeight="true" outlineLevel="0" collapsed="false">
      <ns0:c r="A14" s="1" t="s">
        <ns0:v>11</ns0:v>
      </ns0:c>
      <ns0:c r="B14" s="1"/>
      <ns0:c r="C14" s="1"/>
      <ns0:c r="D14" s="1"/>
      <ns0:c r="E14" s="1"/>
      <ns0:c r="F14" s="1"/>
    </ns0:row>
    <ns0:row r="15" customFormat="false" ht="18" hidden="false" customHeight="true" outlineLevel="0" collapsed="false">
      <ns0:c r="A15" s="1" t="s">
        <ns0:v>12</ns0:v>
      </ns0:c>
      <ns0:c r="B15" s="1"/>
      <ns0:c r="C15" s="1"/>
      <ns0:c r="D15" s="1"/>
      <ns0:c r="E15" s="1"/>
      <ns0:c r="F15" s="1"/>
    </ns0:row>
    <ns0:row r="16" customFormat="false" ht="18" hidden="false" customHeight="true" outlineLevel="0" collapsed="false">
      <ns0:c r="A16" s="1"/>
      <ns0:c r="B16" s="1"/>
      <ns0:c r="C16" s="1"/>
      <ns0:c r="D16" s="1"/>
      <ns0:c r="E16" s="1"/>
      <ns0:c r="F16" s="1"/>
    </ns0:row>
    <ns0:row r="17" customFormat="false" ht="18" hidden="false" customHeight="true" outlineLevel="0" collapsed="false">
      <ns0:c r="A17" s="1" t="s">
        <ns0:v>13</ns0:v>
      </ns0:c>
      <ns0:c r="B17" s="1"/>
      <ns0:c r="C17" s="1"/>
      <ns0:c r="D17" s="1"/>
      <ns0:c r="E17" s="1"/>
      <ns0:c r="F17" s="1"/>
    </ns0:row>
    <ns0:row r="18" customFormat="false" ht="18" hidden="false" customHeight="true" outlineLevel="0" collapsed="false">
      <ns0:c r="A18" s="1" t="s">
        <ns0:v>14</ns0:v>
      </ns0:c>
      <ns0:c r="B18" s="1"/>
      <ns0:c r="C18" s="1"/>
      <ns0:c r="D18" s="1"/>
      <ns0:c r="E18" s="1"/>
      <ns0:c r="F18" s="1"/>
    </ns0:row>
    <ns0:row r="19" customFormat="false" ht="18" hidden="false" customHeight="true" outlineLevel="0" collapsed="false">
      <ns0:c r="A19" s="1"/>
      <ns0:c r="B19" s="1"/>
      <ns0:c r="C19" s="1"/>
      <ns0:c r="D19" s="1"/>
      <ns0:c r="E19" s="1"/>
      <ns0:c r="F19" s="1"/>
    </ns0:row>
    <ns0:row r="20" customFormat="false" ht="18" hidden="false" customHeight="true" outlineLevel="0" collapsed="false">
      <ns0:c r="A20" s="1" t="s">
        <ns0:v>15</ns0:v>
      </ns0:c>
      <ns0:c r="B20" s="1"/>
      <ns0:c r="C20" s="1"/>
      <ns0:c r="D20" s="1"/>
      <ns0:c r="E20" s="1"/>
      <ns0:c r="F20" s="1"/>
    </ns0:row>
    <ns0:row r="21" customFormat="false" ht="18" hidden="false" customHeight="true" outlineLevel="0" collapsed="false">
      <ns0:c r="A21" s="1" t="s">
        <ns0:v>16</ns0:v>
      </ns0:c>
      <ns0:c r="B21" s="1"/>
      <ns0:c r="C21" s="1"/>
      <ns0:c r="D21" s="1"/>
      <ns0:c r="E21" s="1"/>
      <ns0:c r="F21" s="1"/>
    </ns0:row>
    <ns0:row r="22" customFormat="false" ht="18" hidden="false" customHeight="true" outlineLevel="0" collapsed="false">
      <ns0:c r="A22" s="1"/>
      <ns0:c r="B22" s="1"/>
      <ns0:c r="C22" s="1"/>
      <ns0:c r="D22" s="1"/>
      <ns0:c r="E22" s="1"/>
      <ns0:c r="F22" s="1"/>
    </ns0:row>
    <ns0:row r="23" customFormat="false" ht="18" hidden="false" customHeight="true" outlineLevel="0" collapsed="false">
      <ns0:c r="A23" s="1" t="s">
        <ns0:v>17</ns0:v>
      </ns0:c>
      <ns0:c r="B23" s="1"/>
      <ns0:c r="C23" s="1"/>
      <ns0:c r="D23" s="1"/>
      <ns0:c r="E23" s="1"/>
      <ns0:c r="F23" s="1"/>
    </ns0:row>
    <ns0:row r="24" customFormat="false" ht="18" hidden="false" customHeight="true" outlineLevel="0" collapsed="false">
      <ns0:c r="A24" s="1"/>
      <ns0:c r="B24" s="1"/>
      <ns0:c r="C24" s="1"/>
      <ns0:c r="D24" s="1"/>
      <ns0:c r="E24" s="1"/>
      <ns0:c r="F24" s="1"/>
    </ns0:row>
    <ns0:row r="25" customFormat="false" ht="18" hidden="false" customHeight="true" outlineLevel="0" collapsed="false">
      <ns0:c r="A25" s="1"/>
      <ns0:c r="B25" s="1"/>
      <ns0:c r="C25" s="1"/>
      <ns0:c r="D25" s="1"/>
      <ns0:c r="E25" s="1"/>
      <ns0:c r="F25" s="1"/>
    </ns0:row>
  </ns0:sheetData>
  <ns0:printOptions headings="false" gridLines="false" gridLinesSet="true" horizontalCentered="false" verticalCentered="false"/>
  <ns0:pageMargins left="0.3" right="0.3" top="0.3" bottom="0.3" header="0.1" footer="0.1"/>
  <ns0:pageSetup paperSize="9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