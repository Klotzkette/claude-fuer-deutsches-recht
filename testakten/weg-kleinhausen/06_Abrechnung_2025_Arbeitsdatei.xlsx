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brechnungsentwurf" sheetId="1" state="visible" r:id="rId3"/>
    <sheet name="Vorschuesse" sheetId="2" state="visible" r:id="rId4"/>
    <sheet name="Bankbuch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<sst xmlns="http://schemas.openxmlformats.org/spreadsheetml/2006/main" count="284" uniqueCount="62">
  <si>
    <t xml:space="preserve">Kostenart</t>
  </si>
  <si>
    <t xml:space="preserve">Gesamt EUR</t>
  </si>
  <si>
    <t xml:space="preserve">Belegnummer</t>
  </si>
  <si>
    <t xml:space="preserve">Je Wohnung EUR</t>
  </si>
  <si>
    <t xml:space="preserve">Wasser und Abwasser</t>
  </si>
  <si>
    <t xml:space="preserve">WA-2025-05</t>
  </si>
  <si>
    <t xml:space="preserve">Müllabfuhr</t>
  </si>
  <si>
    <t xml:space="preserve">MU-2025-05</t>
  </si>
  <si>
    <t xml:space="preserve">Gebäudeversicherung</t>
  </si>
  <si>
    <t xml:space="preserve">GV-2025-05</t>
  </si>
  <si>
    <t xml:space="preserve">Allgemeinstrom</t>
  </si>
  <si>
    <t xml:space="preserve">ST-2025-05</t>
  </si>
  <si>
    <t xml:space="preserve">Treppenhausreinigung</t>
  </si>
  <si>
    <t xml:space="preserve">R-2025-71</t>
  </si>
  <si>
    <t xml:space="preserve">Kleinreparatur</t>
  </si>
  <si>
    <t xml:space="preserve">HR-2025-48</t>
  </si>
  <si>
    <t xml:space="preserve">Verwaltung</t>
  </si>
  <si>
    <t xml:space="preserve">HV-2025-05</t>
  </si>
  <si>
    <t xml:space="preserve">Bankentgelte</t>
  </si>
  <si>
    <t xml:space="preserve">BK-2025-05</t>
  </si>
  <si>
    <t xml:space="preserve">Kosten gesamt</t>
  </si>
  <si>
    <t xml:space="preserve">Kostenvorschüsse 2025</t>
  </si>
  <si>
    <t xml:space="preserve">Beschluss vom 15.11.2024</t>
  </si>
  <si>
    <t xml:space="preserve">Guthaben laut Entwurf</t>
  </si>
  <si>
    <t xml:space="preserve">Fassung vom 15.09.2026</t>
  </si>
  <si>
    <t xml:space="preserve">Einheit</t>
  </si>
  <si>
    <t xml:space="preserve">Eigentümer</t>
  </si>
  <si>
    <t xml:space="preserve">Kosten monatlich EUR</t>
  </si>
  <si>
    <t xml:space="preserve">Rücklage monatlich EUR</t>
  </si>
  <si>
    <t xml:space="preserve">Kostensoll Jahr EUR</t>
  </si>
  <si>
    <t xml:space="preserve">Rücklagensoll Jahr EUR</t>
  </si>
  <si>
    <t xml:space="preserve">Eingegangen EUR</t>
  </si>
  <si>
    <t xml:space="preserve">Offen EUR</t>
  </si>
  <si>
    <t xml:space="preserve">WE01</t>
  </si>
  <si>
    <t xml:space="preserve">Marta Blum</t>
  </si>
  <si>
    <t xml:space="preserve">WE02</t>
  </si>
  <si>
    <t xml:space="preserve">Otto Freund</t>
  </si>
  <si>
    <t xml:space="preserve">WE03</t>
  </si>
  <si>
    <t xml:space="preserve">Nora Sommer</t>
  </si>
  <si>
    <t xml:space="preserve">WE04</t>
  </si>
  <si>
    <t xml:space="preserve">Emil Kurz</t>
  </si>
  <si>
    <t xml:space="preserve">WE05</t>
  </si>
  <si>
    <t xml:space="preserve">Aylin Berg</t>
  </si>
  <si>
    <t xml:space="preserve">Summe</t>
  </si>
  <si>
    <t xml:space="preserve">Buchungstag</t>
  </si>
  <si>
    <t xml:space="preserve">Buchung</t>
  </si>
  <si>
    <t xml:space="preserve">Eingang EUR</t>
  </si>
  <si>
    <t xml:space="preserve">Ausgang EUR</t>
  </si>
  <si>
    <t xml:space="preserve">Saldo EUR</t>
  </si>
  <si>
    <t xml:space="preserve">Referenz</t>
  </si>
  <si>
    <t xml:space="preserve">Anfangsbestand Betriebskonto</t>
  </si>
  <si>
    <t xml:space="preserve">Vortrag 2024</t>
  </si>
  <si>
    <t xml:space="preserve">Hausgeld WE01 Marta Blum</t>
  </si>
  <si>
    <t xml:space="preserve">Hausgeld WE02 Otto Freund</t>
  </si>
  <si>
    <t xml:space="preserve">Hausgeld WE03 Nora Sommer</t>
  </si>
  <si>
    <t xml:space="preserve">Hausgeld WE04 Emil Kurz</t>
  </si>
  <si>
    <t xml:space="preserve">Hausgeld WE05 Aylin Berg</t>
  </si>
  <si>
    <t xml:space="preserve">R-2025-17</t>
  </si>
  <si>
    <t xml:space="preserve">Kontoführung</t>
  </si>
  <si>
    <t xml:space="preserve">Türschließer eingestellt</t>
  </si>
  <si>
    <t xml:space="preserve">Übertrag Rücklagenkonto</t>
  </si>
  <si>
    <t xml:space="preserve">RL-2025-01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</si>
</sst>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6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63641"/>
        <bgColor rgb="FF17263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630"/>
      <rgbColor rgb="FF333300"/>
      <rgbColor rgb="FF993300"/>
      <rgbColor rgb="FF993366"/>
      <rgbColor rgb="FF333399"/>
      <rgbColor rgb="FF26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33"/>
    <col collapsed="false" customWidth="true" hidden="false" outlineLevel="0" max="4" min="4" style="0" width="2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4" hidden="false" customHeight="true" outlineLevel="0" collapsed="false">
      <c r="A2" s="2" t="s">
        <v>4</v>
      </c>
      <c r="B2" s="3" t="n">
        <v>1600</v>
      </c>
      <c r="C2" s="2" t="s">
        <v>5</v>
      </c>
      <c r="D2" s="3" t="n">
        <f aca="false">B2/5</f>
        <v>320</v>
      </c>
    </row>
    <row r="3" customFormat="false" ht="24" hidden="false" customHeight="true" outlineLevel="0" collapsed="false">
      <c r="A3" s="2" t="s">
        <v>6</v>
      </c>
      <c r="B3" s="3" t="n">
        <v>600</v>
      </c>
      <c r="C3" s="2" t="s">
        <v>7</v>
      </c>
      <c r="D3" s="3" t="n">
        <f aca="false">B3/5</f>
        <v>120</v>
      </c>
    </row>
    <row r="4" customFormat="false" ht="24" hidden="false" customHeight="true" outlineLevel="0" collapsed="false">
      <c r="A4" s="2" t="s">
        <v>8</v>
      </c>
      <c r="B4" s="3" t="n">
        <v>1000</v>
      </c>
      <c r="C4" s="2" t="s">
        <v>9</v>
      </c>
      <c r="D4" s="3" t="n">
        <f aca="false">B4/5</f>
        <v>200</v>
      </c>
    </row>
    <row r="5" customFormat="false" ht="24" hidden="false" customHeight="true" outlineLevel="0" collapsed="false">
      <c r="A5" s="2" t="s">
        <v>10</v>
      </c>
      <c r="B5" s="3" t="n">
        <v>260</v>
      </c>
      <c r="C5" s="2" t="s">
        <v>11</v>
      </c>
      <c r="D5" s="3" t="n">
        <f aca="false">B5/5</f>
        <v>52</v>
      </c>
    </row>
    <row r="6" customFormat="false" ht="24" hidden="false" customHeight="true" outlineLevel="0" collapsed="false">
      <c r="A6" s="2" t="s">
        <v>12</v>
      </c>
      <c r="B6" s="3" t="n">
        <v>960</v>
      </c>
      <c r="C6" s="2" t="s">
        <v>13</v>
      </c>
      <c r="D6" s="3" t="n">
        <f aca="false">B6/5</f>
        <v>192</v>
      </c>
    </row>
    <row r="7" customFormat="false" ht="24" hidden="false" customHeight="true" outlineLevel="0" collapsed="false">
      <c r="A7" s="2" t="s">
        <v>14</v>
      </c>
      <c r="B7" s="3" t="n">
        <v>300</v>
      </c>
      <c r="C7" s="2" t="s">
        <v>15</v>
      </c>
      <c r="D7" s="3" t="n">
        <f aca="false">B7/5</f>
        <v>60</v>
      </c>
    </row>
    <row r="8" customFormat="false" ht="24" hidden="false" customHeight="true" outlineLevel="0" collapsed="false">
      <c r="A8" s="2" t="s">
        <v>16</v>
      </c>
      <c r="B8" s="3" t="n">
        <v>900</v>
      </c>
      <c r="C8" s="2" t="s">
        <v>17</v>
      </c>
      <c r="D8" s="3" t="n">
        <f aca="false">B8/5</f>
        <v>180</v>
      </c>
    </row>
    <row r="9" customFormat="false" ht="24" hidden="false" customHeight="true" outlineLevel="0" collapsed="false">
      <c r="A9" s="2" t="s">
        <v>18</v>
      </c>
      <c r="B9" s="3" t="n">
        <v>60</v>
      </c>
      <c r="C9" s="2" t="s">
        <v>19</v>
      </c>
      <c r="D9" s="3" t="n">
        <f aca="false">B9/5</f>
        <v>12</v>
      </c>
    </row>
    <row r="10" customFormat="false" ht="24" hidden="false" customHeight="true" outlineLevel="0" collapsed="false">
      <c r="A10" s="2" t="s">
        <v>20</v>
      </c>
      <c r="B10" s="3" t="n">
        <f aca="false">SUM(B2:B9)</f>
        <v>5680</v>
      </c>
      <c r="C10" s="2"/>
      <c r="D10" s="3" t="n">
        <f aca="false">SUM(D2:D9)</f>
        <v>1136</v>
      </c>
    </row>
    <row r="11" customFormat="false" ht="24" hidden="false" customHeight="true" outlineLevel="0" collapsed="false">
      <c r="A11" s="2"/>
      <c r="B11" s="3"/>
      <c r="C11" s="2"/>
      <c r="D11" s="3"/>
    </row>
    <row r="12" customFormat="false" ht="24" hidden="false" customHeight="true" outlineLevel="0" collapsed="false">
      <c r="A12" s="2" t="s">
        <v>21</v>
      </c>
      <c r="B12" s="3" t="n">
        <f aca="false">Vorschuesse!E7</f>
        <v>6000</v>
      </c>
      <c r="C12" s="2" t="s">
        <v>22</v>
      </c>
      <c r="D12" s="3" t="n">
        <f aca="false">B12/5</f>
        <v>1200</v>
      </c>
    </row>
    <row r="13" customFormat="false" ht="24" hidden="false" customHeight="true" outlineLevel="0" collapsed="false">
      <c r="A13" s="2" t="s">
        <v>23</v>
      </c>
      <c r="B13" s="3" t="n">
        <f aca="false">B12-B10</f>
        <v>320</v>
      </c>
      <c r="C13" s="2" t="s">
        <v>24</v>
      </c>
      <c r="D13" s="3" t="n">
        <f aca="false">D12-D10</f>
        <v>64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.55"/>
    <col collapsed="false" customWidth="true" hidden="false" outlineLevel="0" max="7" min="3" style="0" width="15.81"/>
    <col collapsed="false" customWidth="true" hidden="false" outlineLevel="0" max="8" min="8" style="0" width="14.4"/>
  </cols>
  <sheetData>
    <row r="1" customFormat="false" ht="53" hidden="false" customHeight="tru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customFormat="false" ht="24" hidden="false" customHeight="true" outlineLevel="0" collapsed="false">
      <c r="A2" s="2" t="s">
        <v>33</v>
      </c>
      <c r="B2" s="2" t="s">
        <v>34</v>
      </c>
      <c r="C2" s="3" t="n">
        <v>100</v>
      </c>
      <c r="D2" s="3" t="n">
        <v>25</v>
      </c>
      <c r="E2" s="3" t="n">
        <f aca="false">C2*12</f>
        <v>1200</v>
      </c>
      <c r="F2" s="3" t="n">
        <f aca="false">D2*12</f>
        <v>300</v>
      </c>
      <c r="G2" s="3" t="n">
        <f aca="false">SUMIFS(Bankbuch!$C$3:$C$118,Bankbuch!$F$3:$F$118,A2)</f>
        <v>1500</v>
      </c>
      <c r="H2" s="3" t="n">
        <f aca="false">E2+F2-G2</f>
        <v>0</v>
      </c>
    </row>
    <row r="3" customFormat="false" ht="24" hidden="false" customHeight="true" outlineLevel="0" collapsed="false">
      <c r="A3" s="2" t="s">
        <v>35</v>
      </c>
      <c r="B3" s="2" t="s">
        <v>36</v>
      </c>
      <c r="C3" s="3" t="n">
        <v>100</v>
      </c>
      <c r="D3" s="3" t="n">
        <v>25</v>
      </c>
      <c r="E3" s="3" t="n">
        <f aca="false">C3*12</f>
        <v>1200</v>
      </c>
      <c r="F3" s="3" t="n">
        <f aca="false">D3*12</f>
        <v>300</v>
      </c>
      <c r="G3" s="3" t="n">
        <f aca="false">SUMIFS(Bankbuch!$C$3:$C$118,Bankbuch!$F$3:$F$118,A3)</f>
        <v>1500</v>
      </c>
      <c r="H3" s="3" t="n">
        <f aca="false">E3+F3-G3</f>
        <v>0</v>
      </c>
    </row>
    <row r="4" customFormat="false" ht="24" hidden="false" customHeight="true" outlineLevel="0" collapsed="false">
      <c r="A4" s="2" t="s">
        <v>37</v>
      </c>
      <c r="B4" s="2" t="s">
        <v>38</v>
      </c>
      <c r="C4" s="3" t="n">
        <v>100</v>
      </c>
      <c r="D4" s="3" t="n">
        <v>25</v>
      </c>
      <c r="E4" s="3" t="n">
        <f aca="false">C4*12</f>
        <v>1200</v>
      </c>
      <c r="F4" s="3" t="n">
        <f aca="false">D4*12</f>
        <v>300</v>
      </c>
      <c r="G4" s="3" t="n">
        <f aca="false">SUMIFS(Bankbuch!$C$3:$C$118,Bankbuch!$F$3:$F$118,A4)</f>
        <v>1500</v>
      </c>
      <c r="H4" s="3" t="n">
        <f aca="false">E4+F4-G4</f>
        <v>0</v>
      </c>
    </row>
    <row r="5" customFormat="false" ht="24" hidden="false" customHeight="true" outlineLevel="0" collapsed="false">
      <c r="A5" s="2" t="s">
        <v>39</v>
      </c>
      <c r="B5" s="2" t="s">
        <v>40</v>
      </c>
      <c r="C5" s="3" t="n">
        <v>100</v>
      </c>
      <c r="D5" s="3" t="n">
        <v>25</v>
      </c>
      <c r="E5" s="3" t="n">
        <f aca="false">C5*12</f>
        <v>1200</v>
      </c>
      <c r="F5" s="3" t="n">
        <f aca="false">D5*12</f>
        <v>300</v>
      </c>
      <c r="G5" s="3" t="n">
        <f aca="false">SUMIFS(Bankbuch!$C$3:$C$118,Bankbuch!$F$3:$F$118,A5)</f>
        <v>1500</v>
      </c>
      <c r="H5" s="3" t="n">
        <f aca="false">E5+F5-G5</f>
        <v>0</v>
      </c>
    </row>
    <row r="6" customFormat="false" ht="24" hidden="false" customHeight="true" outlineLevel="0" collapsed="false">
      <c r="A6" s="2" t="s">
        <v>41</v>
      </c>
      <c r="B6" s="2" t="s">
        <v>42</v>
      </c>
      <c r="C6" s="3" t="n">
        <v>100</v>
      </c>
      <c r="D6" s="3" t="n">
        <v>25</v>
      </c>
      <c r="E6" s="3" t="n">
        <f aca="false">C6*12</f>
        <v>1200</v>
      </c>
      <c r="F6" s="3" t="n">
        <f aca="false">D6*12</f>
        <v>300</v>
      </c>
      <c r="G6" s="3" t="n">
        <f aca="false">SUMIFS(Bankbuch!$C$3:$C$118,Bankbuch!$F$3:$F$118,A6)</f>
        <v>1500</v>
      </c>
      <c r="H6" s="3" t="n">
        <f aca="false">E6+F6-G6</f>
        <v>0</v>
      </c>
    </row>
    <row r="7" customFormat="false" ht="24" hidden="false" customHeight="true" outlineLevel="0" collapsed="false">
      <c r="A7" s="2" t="s">
        <v>43</v>
      </c>
      <c r="B7" s="2"/>
      <c r="C7" s="3" t="n">
        <f aca="false">SUM(C2:C6)</f>
        <v>500</v>
      </c>
      <c r="D7" s="3" t="n">
        <f aca="false">SUM(D2:D6)</f>
        <v>125</v>
      </c>
      <c r="E7" s="3" t="n">
        <f aca="false">SUM(E2:E6)</f>
        <v>6000</v>
      </c>
      <c r="F7" s="3" t="n">
        <f aca="false">SUM(F2:F6)</f>
        <v>1500</v>
      </c>
      <c r="G7" s="3" t="n">
        <f aca="false">SUM(G2:G6)</f>
        <v>7500</v>
      </c>
      <c r="H7" s="3" t="n">
        <f aca="false">SUM(H2:H6)</f>
        <v>0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53"/>
    <col collapsed="false" customWidth="true" hidden="false" outlineLevel="0" max="2" min="2" style="0" width="32.92"/>
    <col collapsed="false" customWidth="true" hidden="false" outlineLevel="0" max="5" min="3" style="0" width="17.53"/>
    <col collapsed="false" customWidth="true" hidden="false" outlineLevel="0" max="6" min="6" style="0" width="22.96"/>
  </cols>
  <sheetData>
    <row r="1" customFormat="false" ht="36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customFormat="false" ht="38" hidden="false" customHeight="true" outlineLevel="0" collapsed="false">
      <c r="A2" s="4" t="n">
        <v>45658</v>
      </c>
      <c r="B2" s="2" t="s">
        <v>50</v>
      </c>
      <c r="C2" s="3" t="n">
        <v>1000</v>
      </c>
      <c r="D2" s="3" t="n">
        <v>0</v>
      </c>
      <c r="E2" s="3" t="n">
        <f aca="false">C2-D2</f>
        <v>1000</v>
      </c>
      <c r="F2" s="2" t="s">
        <v>51</v>
      </c>
    </row>
    <row r="3" customFormat="false" ht="24" hidden="false" customHeight="true" outlineLevel="0" collapsed="false">
      <c r="A3" s="4" t="n">
        <v>45663</v>
      </c>
      <c r="B3" s="2" t="s">
        <v>52</v>
      </c>
      <c r="C3" s="3" t="n">
        <v>125</v>
      </c>
      <c r="D3" s="3" t="n">
        <v>0</v>
      </c>
      <c r="E3" s="3" t="n">
        <f aca="false">E2+C3-D3</f>
        <v>1125</v>
      </c>
      <c r="F3" s="2" t="s">
        <v>33</v>
      </c>
    </row>
    <row r="4" customFormat="false" ht="24" hidden="false" customHeight="true" outlineLevel="0" collapsed="false">
      <c r="A4" s="4" t="n">
        <v>45663</v>
      </c>
      <c r="B4" s="2" t="s">
        <v>53</v>
      </c>
      <c r="C4" s="3" t="n">
        <v>125</v>
      </c>
      <c r="D4" s="3" t="n">
        <v>0</v>
      </c>
      <c r="E4" s="3" t="n">
        <f aca="false">E3+C4-D4</f>
        <v>1250</v>
      </c>
      <c r="F4" s="2" t="s">
        <v>35</v>
      </c>
    </row>
    <row r="5" customFormat="false" ht="24" hidden="false" customHeight="true" outlineLevel="0" collapsed="false">
      <c r="A5" s="4" t="n">
        <v>45663</v>
      </c>
      <c r="B5" s="2" t="s">
        <v>54</v>
      </c>
      <c r="C5" s="3" t="n">
        <v>125</v>
      </c>
      <c r="D5" s="3" t="n">
        <v>0</v>
      </c>
      <c r="E5" s="3" t="n">
        <f aca="false">E4+C5-D5</f>
        <v>1375</v>
      </c>
      <c r="F5" s="2" t="s">
        <v>37</v>
      </c>
    </row>
    <row r="6" customFormat="false" ht="24" hidden="false" customHeight="true" outlineLevel="0" collapsed="false">
      <c r="A6" s="4" t="n">
        <v>45663</v>
      </c>
      <c r="B6" s="2" t="s">
        <v>55</v>
      </c>
      <c r="C6" s="3" t="n">
        <v>125</v>
      </c>
      <c r="D6" s="3" t="n">
        <v>0</v>
      </c>
      <c r="E6" s="3" t="n">
        <f aca="false">E5+C6-D6</f>
        <v>1500</v>
      </c>
      <c r="F6" s="2" t="s">
        <v>39</v>
      </c>
    </row>
    <row r="7" customFormat="false" ht="24" hidden="false" customHeight="true" outlineLevel="0" collapsed="false">
      <c r="A7" s="4" t="n">
        <v>45663</v>
      </c>
      <c r="B7" s="2" t="s">
        <v>56</v>
      </c>
      <c r="C7" s="3" t="n">
        <v>125</v>
      </c>
      <c r="D7" s="3" t="n">
        <v>0</v>
      </c>
      <c r="E7" s="3" t="n">
        <f aca="false">E6+C7-D7</f>
        <v>1625</v>
      </c>
      <c r="F7" s="2" t="s">
        <v>41</v>
      </c>
    </row>
    <row r="8" customFormat="false" ht="24" hidden="false" customHeight="true" outlineLevel="0" collapsed="false">
      <c r="A8" s="4" t="n">
        <v>45672</v>
      </c>
      <c r="B8" s="2" t="s">
        <v>8</v>
      </c>
      <c r="C8" s="3" t="n">
        <v>0</v>
      </c>
      <c r="D8" s="3" t="n">
        <v>1000</v>
      </c>
      <c r="E8" s="3" t="n">
        <f aca="false">E7+C8-D8</f>
        <v>625</v>
      </c>
      <c r="F8" s="2" t="s">
        <v>9</v>
      </c>
    </row>
    <row r="9" customFormat="false" ht="24" hidden="false" customHeight="true" outlineLevel="0" collapsed="false">
      <c r="A9" s="4" t="n">
        <v>45677</v>
      </c>
      <c r="B9" s="2" t="s">
        <v>12</v>
      </c>
      <c r="C9" s="3" t="n">
        <v>0</v>
      </c>
      <c r="D9" s="3" t="n">
        <v>80</v>
      </c>
      <c r="E9" s="3" t="n">
        <f aca="false">E8+C9-D9</f>
        <v>545</v>
      </c>
      <c r="F9" s="2" t="s">
        <v>57</v>
      </c>
    </row>
    <row r="10" customFormat="false" ht="24" hidden="false" customHeight="true" outlineLevel="0" collapsed="false">
      <c r="A10" s="4" t="n">
        <v>45677</v>
      </c>
      <c r="B10" s="2" t="s">
        <v>10</v>
      </c>
      <c r="C10" s="3" t="n">
        <v>0</v>
      </c>
      <c r="D10" s="3" t="n">
        <v>20</v>
      </c>
      <c r="E10" s="3" t="n">
        <f aca="false">E9+C10-D10</f>
        <v>525</v>
      </c>
      <c r="F10" s="2" t="s">
        <v>11</v>
      </c>
    </row>
    <row r="11" customFormat="false" ht="24" hidden="false" customHeight="true" outlineLevel="0" collapsed="false">
      <c r="A11" s="4" t="n">
        <v>45684</v>
      </c>
      <c r="B11" s="2" t="s">
        <v>16</v>
      </c>
      <c r="C11" s="3" t="n">
        <v>0</v>
      </c>
      <c r="D11" s="3" t="n">
        <v>75</v>
      </c>
      <c r="E11" s="3" t="n">
        <f aca="false">E10+C11-D11</f>
        <v>450</v>
      </c>
      <c r="F11" s="2" t="s">
        <v>17</v>
      </c>
    </row>
    <row r="12" customFormat="false" ht="24" hidden="false" customHeight="true" outlineLevel="0" collapsed="false">
      <c r="A12" s="4" t="n">
        <v>45685</v>
      </c>
      <c r="B12" s="2" t="s">
        <v>58</v>
      </c>
      <c r="C12" s="3" t="n">
        <v>0</v>
      </c>
      <c r="D12" s="3" t="n">
        <v>5</v>
      </c>
      <c r="E12" s="3" t="n">
        <f aca="false">E11+C12-D12</f>
        <v>445</v>
      </c>
      <c r="F12" s="2" t="s">
        <v>19</v>
      </c>
    </row>
    <row r="13" customFormat="false" ht="24" hidden="false" customHeight="true" outlineLevel="0" collapsed="false">
      <c r="A13" s="4" t="n">
        <v>45693</v>
      </c>
      <c r="B13" s="2" t="s">
        <v>52</v>
      </c>
      <c r="C13" s="3" t="n">
        <v>125</v>
      </c>
      <c r="D13" s="3" t="n">
        <v>0</v>
      </c>
      <c r="E13" s="3" t="n">
        <f aca="false">E12+C13-D13</f>
        <v>570</v>
      </c>
      <c r="F13" s="2" t="s">
        <v>33</v>
      </c>
    </row>
    <row r="14" customFormat="false" ht="24" hidden="false" customHeight="true" outlineLevel="0" collapsed="false">
      <c r="A14" s="4" t="n">
        <v>45693</v>
      </c>
      <c r="B14" s="2" t="s">
        <v>53</v>
      </c>
      <c r="C14" s="3" t="n">
        <v>125</v>
      </c>
      <c r="D14" s="3" t="n">
        <v>0</v>
      </c>
      <c r="E14" s="3" t="n">
        <f aca="false">E13+C14-D14</f>
        <v>695</v>
      </c>
      <c r="F14" s="2" t="s">
        <v>35</v>
      </c>
    </row>
    <row r="15" customFormat="false" ht="24" hidden="false" customHeight="true" outlineLevel="0" collapsed="false">
      <c r="A15" s="4" t="n">
        <v>45693</v>
      </c>
      <c r="B15" s="2" t="s">
        <v>54</v>
      </c>
      <c r="C15" s="3" t="n">
        <v>125</v>
      </c>
      <c r="D15" s="3" t="n">
        <v>0</v>
      </c>
      <c r="E15" s="3" t="n">
        <f aca="false">E14+C15-D15</f>
        <v>820</v>
      </c>
      <c r="F15" s="2" t="s">
        <v>37</v>
      </c>
    </row>
    <row r="16" customFormat="false" ht="24" hidden="false" customHeight="true" outlineLevel="0" collapsed="false">
      <c r="A16" s="4" t="n">
        <v>45693</v>
      </c>
      <c r="B16" s="2" t="s">
        <v>55</v>
      </c>
      <c r="C16" s="3" t="n">
        <v>125</v>
      </c>
      <c r="D16" s="3" t="n">
        <v>0</v>
      </c>
      <c r="E16" s="3" t="n">
        <f aca="false">E15+C16-D16</f>
        <v>945</v>
      </c>
      <c r="F16" s="2" t="s">
        <v>39</v>
      </c>
    </row>
    <row r="17" customFormat="false" ht="24" hidden="false" customHeight="true" outlineLevel="0" collapsed="false">
      <c r="A17" s="4" t="n">
        <v>45693</v>
      </c>
      <c r="B17" s="2" t="s">
        <v>56</v>
      </c>
      <c r="C17" s="3" t="n">
        <v>125</v>
      </c>
      <c r="D17" s="3" t="n">
        <v>0</v>
      </c>
      <c r="E17" s="3" t="n">
        <f aca="false">E16+C17-D17</f>
        <v>1070</v>
      </c>
      <c r="F17" s="2" t="s">
        <v>41</v>
      </c>
    </row>
    <row r="18" customFormat="false" ht="24" hidden="false" customHeight="true" outlineLevel="0" collapsed="false">
      <c r="A18" s="4" t="n">
        <v>45706</v>
      </c>
      <c r="B18" s="2" t="s">
        <v>6</v>
      </c>
      <c r="C18" s="3" t="n">
        <v>0</v>
      </c>
      <c r="D18" s="3" t="n">
        <v>600</v>
      </c>
      <c r="E18" s="3" t="n">
        <f aca="false">E17+C18-D18</f>
        <v>470</v>
      </c>
      <c r="F18" s="2" t="s">
        <v>7</v>
      </c>
    </row>
    <row r="19" customFormat="false" ht="24" hidden="false" customHeight="true" outlineLevel="0" collapsed="false">
      <c r="A19" s="4" t="n">
        <v>45706</v>
      </c>
      <c r="B19" s="2" t="s">
        <v>10</v>
      </c>
      <c r="C19" s="3" t="n">
        <v>0</v>
      </c>
      <c r="D19" s="3" t="n">
        <v>20</v>
      </c>
      <c r="E19" s="3" t="n">
        <f aca="false">E18+C19-D19</f>
        <v>450</v>
      </c>
      <c r="F19" s="2" t="s">
        <v>11</v>
      </c>
    </row>
    <row r="20" customFormat="false" ht="24" hidden="false" customHeight="true" outlineLevel="0" collapsed="false">
      <c r="A20" s="4" t="n">
        <v>45708</v>
      </c>
      <c r="B20" s="2" t="s">
        <v>12</v>
      </c>
      <c r="C20" s="3" t="n">
        <v>0</v>
      </c>
      <c r="D20" s="3" t="n">
        <v>80</v>
      </c>
      <c r="E20" s="3" t="n">
        <f aca="false">E19+C20-D20</f>
        <v>370</v>
      </c>
      <c r="F20" s="2" t="s">
        <v>57</v>
      </c>
    </row>
    <row r="21" customFormat="false" ht="24" hidden="false" customHeight="true" outlineLevel="0" collapsed="false">
      <c r="A21" s="4" t="n">
        <v>45713</v>
      </c>
      <c r="B21" s="2" t="s">
        <v>16</v>
      </c>
      <c r="C21" s="3" t="n">
        <v>0</v>
      </c>
      <c r="D21" s="3" t="n">
        <v>75</v>
      </c>
      <c r="E21" s="3" t="n">
        <f aca="false">E20+C21-D21</f>
        <v>295</v>
      </c>
      <c r="F21" s="2" t="s">
        <v>17</v>
      </c>
    </row>
    <row r="22" customFormat="false" ht="24" hidden="false" customHeight="true" outlineLevel="0" collapsed="false">
      <c r="A22" s="4" t="n">
        <v>45716</v>
      </c>
      <c r="B22" s="2" t="s">
        <v>58</v>
      </c>
      <c r="C22" s="3" t="n">
        <v>0</v>
      </c>
      <c r="D22" s="3" t="n">
        <v>5</v>
      </c>
      <c r="E22" s="3" t="n">
        <f aca="false">E21+C22-D22</f>
        <v>290</v>
      </c>
      <c r="F22" s="2" t="s">
        <v>19</v>
      </c>
    </row>
    <row r="23" customFormat="false" ht="24" hidden="false" customHeight="true" outlineLevel="0" collapsed="false">
      <c r="A23" s="4" t="n">
        <v>45721</v>
      </c>
      <c r="B23" s="2" t="s">
        <v>52</v>
      </c>
      <c r="C23" s="3" t="n">
        <v>125</v>
      </c>
      <c r="D23" s="3" t="n">
        <v>0</v>
      </c>
      <c r="E23" s="3" t="n">
        <f aca="false">E22+C23-D23</f>
        <v>415</v>
      </c>
      <c r="F23" s="2" t="s">
        <v>33</v>
      </c>
    </row>
    <row r="24" customFormat="false" ht="24" hidden="false" customHeight="true" outlineLevel="0" collapsed="false">
      <c r="A24" s="4" t="n">
        <v>45721</v>
      </c>
      <c r="B24" s="2" t="s">
        <v>53</v>
      </c>
      <c r="C24" s="3" t="n">
        <v>125</v>
      </c>
      <c r="D24" s="3" t="n">
        <v>0</v>
      </c>
      <c r="E24" s="3" t="n">
        <f aca="false">E23+C24-D24</f>
        <v>540</v>
      </c>
      <c r="F24" s="2" t="s">
        <v>35</v>
      </c>
    </row>
    <row r="25" customFormat="false" ht="24" hidden="false" customHeight="true" outlineLevel="0" collapsed="false">
      <c r="A25" s="4" t="n">
        <v>45721</v>
      </c>
      <c r="B25" s="2" t="s">
        <v>54</v>
      </c>
      <c r="C25" s="3" t="n">
        <v>125</v>
      </c>
      <c r="D25" s="3" t="n">
        <v>0</v>
      </c>
      <c r="E25" s="3" t="n">
        <f aca="false">E24+C25-D25</f>
        <v>665</v>
      </c>
      <c r="F25" s="2" t="s">
        <v>37</v>
      </c>
    </row>
    <row r="26" customFormat="false" ht="24" hidden="false" customHeight="true" outlineLevel="0" collapsed="false">
      <c r="A26" s="4" t="n">
        <v>45721</v>
      </c>
      <c r="B26" s="2" t="s">
        <v>55</v>
      </c>
      <c r="C26" s="3" t="n">
        <v>125</v>
      </c>
      <c r="D26" s="3" t="n">
        <v>0</v>
      </c>
      <c r="E26" s="3" t="n">
        <f aca="false">E25+C26-D26</f>
        <v>790</v>
      </c>
      <c r="F26" s="2" t="s">
        <v>39</v>
      </c>
    </row>
    <row r="27" customFormat="false" ht="24" hidden="false" customHeight="true" outlineLevel="0" collapsed="false">
      <c r="A27" s="4" t="n">
        <v>45721</v>
      </c>
      <c r="B27" s="2" t="s">
        <v>56</v>
      </c>
      <c r="C27" s="3" t="n">
        <v>125</v>
      </c>
      <c r="D27" s="3" t="n">
        <v>0</v>
      </c>
      <c r="E27" s="3" t="n">
        <f aca="false">E26+C27-D27</f>
        <v>915</v>
      </c>
      <c r="F27" s="2" t="s">
        <v>41</v>
      </c>
    </row>
    <row r="28" customFormat="false" ht="24" hidden="false" customHeight="true" outlineLevel="0" collapsed="false">
      <c r="A28" s="4" t="n">
        <v>45730</v>
      </c>
      <c r="B28" s="2" t="s">
        <v>4</v>
      </c>
      <c r="C28" s="3" t="n">
        <v>0</v>
      </c>
      <c r="D28" s="3" t="n">
        <v>400</v>
      </c>
      <c r="E28" s="3" t="n">
        <f aca="false">E27+C28-D28</f>
        <v>515</v>
      </c>
      <c r="F28" s="2" t="s">
        <v>5</v>
      </c>
    </row>
    <row r="29" customFormat="false" ht="24" hidden="false" customHeight="true" outlineLevel="0" collapsed="false">
      <c r="A29" s="4" t="n">
        <v>45734</v>
      </c>
      <c r="B29" s="2" t="s">
        <v>10</v>
      </c>
      <c r="C29" s="3" t="n">
        <v>0</v>
      </c>
      <c r="D29" s="3" t="n">
        <v>20</v>
      </c>
      <c r="E29" s="3" t="n">
        <f aca="false">E28+C29-D29</f>
        <v>495</v>
      </c>
      <c r="F29" s="2" t="s">
        <v>11</v>
      </c>
    </row>
    <row r="30" customFormat="false" ht="24" hidden="false" customHeight="true" outlineLevel="0" collapsed="false">
      <c r="A30" s="4" t="n">
        <v>45736</v>
      </c>
      <c r="B30" s="2" t="s">
        <v>12</v>
      </c>
      <c r="C30" s="3" t="n">
        <v>0</v>
      </c>
      <c r="D30" s="3" t="n">
        <v>80</v>
      </c>
      <c r="E30" s="3" t="n">
        <f aca="false">E29+C30-D30</f>
        <v>415</v>
      </c>
      <c r="F30" s="2" t="s">
        <v>57</v>
      </c>
    </row>
    <row r="31" customFormat="false" ht="24" hidden="false" customHeight="true" outlineLevel="0" collapsed="false">
      <c r="A31" s="4" t="n">
        <v>45741</v>
      </c>
      <c r="B31" s="2" t="s">
        <v>16</v>
      </c>
      <c r="C31" s="3" t="n">
        <v>0</v>
      </c>
      <c r="D31" s="3" t="n">
        <v>75</v>
      </c>
      <c r="E31" s="3" t="n">
        <f aca="false">E30+C31-D31</f>
        <v>340</v>
      </c>
      <c r="F31" s="2" t="s">
        <v>17</v>
      </c>
    </row>
    <row r="32" customFormat="false" ht="24" hidden="false" customHeight="true" outlineLevel="0" collapsed="false">
      <c r="A32" s="4" t="n">
        <v>45744</v>
      </c>
      <c r="B32" s="2" t="s">
        <v>58</v>
      </c>
      <c r="C32" s="3" t="n">
        <v>0</v>
      </c>
      <c r="D32" s="3" t="n">
        <v>5</v>
      </c>
      <c r="E32" s="3" t="n">
        <f aca="false">E31+C32-D32</f>
        <v>335</v>
      </c>
      <c r="F32" s="2" t="s">
        <v>19</v>
      </c>
    </row>
    <row r="33" customFormat="false" ht="24" hidden="false" customHeight="true" outlineLevel="0" collapsed="false">
      <c r="A33" s="4" t="n">
        <v>45754</v>
      </c>
      <c r="B33" s="2" t="s">
        <v>52</v>
      </c>
      <c r="C33" s="3" t="n">
        <v>125</v>
      </c>
      <c r="D33" s="3" t="n">
        <v>0</v>
      </c>
      <c r="E33" s="3" t="n">
        <f aca="false">E32+C33-D33</f>
        <v>460</v>
      </c>
      <c r="F33" s="2" t="s">
        <v>33</v>
      </c>
    </row>
    <row r="34" customFormat="false" ht="24" hidden="false" customHeight="true" outlineLevel="0" collapsed="false">
      <c r="A34" s="4" t="n">
        <v>45754</v>
      </c>
      <c r="B34" s="2" t="s">
        <v>53</v>
      </c>
      <c r="C34" s="3" t="n">
        <v>125</v>
      </c>
      <c r="D34" s="3" t="n">
        <v>0</v>
      </c>
      <c r="E34" s="3" t="n">
        <f aca="false">E33+C34-D34</f>
        <v>585</v>
      </c>
      <c r="F34" s="2" t="s">
        <v>35</v>
      </c>
    </row>
    <row r="35" customFormat="false" ht="24" hidden="false" customHeight="true" outlineLevel="0" collapsed="false">
      <c r="A35" s="4" t="n">
        <v>45754</v>
      </c>
      <c r="B35" s="2" t="s">
        <v>54</v>
      </c>
      <c r="C35" s="3" t="n">
        <v>125</v>
      </c>
      <c r="D35" s="3" t="n">
        <v>0</v>
      </c>
      <c r="E35" s="3" t="n">
        <f aca="false">E34+C35-D35</f>
        <v>710</v>
      </c>
      <c r="F35" s="2" t="s">
        <v>37</v>
      </c>
    </row>
    <row r="36" customFormat="false" ht="24" hidden="false" customHeight="true" outlineLevel="0" collapsed="false">
      <c r="A36" s="4" t="n">
        <v>45754</v>
      </c>
      <c r="B36" s="2" t="s">
        <v>55</v>
      </c>
      <c r="C36" s="3" t="n">
        <v>125</v>
      </c>
      <c r="D36" s="3" t="n">
        <v>0</v>
      </c>
      <c r="E36" s="3" t="n">
        <f aca="false">E35+C36-D36</f>
        <v>835</v>
      </c>
      <c r="F36" s="2" t="s">
        <v>39</v>
      </c>
    </row>
    <row r="37" customFormat="false" ht="24" hidden="false" customHeight="true" outlineLevel="0" collapsed="false">
      <c r="A37" s="4" t="n">
        <v>45754</v>
      </c>
      <c r="B37" s="2" t="s">
        <v>56</v>
      </c>
      <c r="C37" s="3" t="n">
        <v>125</v>
      </c>
      <c r="D37" s="3" t="n">
        <v>0</v>
      </c>
      <c r="E37" s="3" t="n">
        <f aca="false">E36+C37-D37</f>
        <v>960</v>
      </c>
      <c r="F37" s="2" t="s">
        <v>41</v>
      </c>
    </row>
    <row r="38" customFormat="false" ht="24" hidden="false" customHeight="true" outlineLevel="0" collapsed="false">
      <c r="A38" s="4" t="n">
        <v>45769</v>
      </c>
      <c r="B38" s="2" t="s">
        <v>12</v>
      </c>
      <c r="C38" s="3" t="n">
        <v>0</v>
      </c>
      <c r="D38" s="3" t="n">
        <v>80</v>
      </c>
      <c r="E38" s="3" t="n">
        <f aca="false">E37+C38-D38</f>
        <v>880</v>
      </c>
      <c r="F38" s="2" t="s">
        <v>57</v>
      </c>
    </row>
    <row r="39" customFormat="false" ht="24" hidden="false" customHeight="true" outlineLevel="0" collapsed="false">
      <c r="A39" s="4" t="n">
        <v>45769</v>
      </c>
      <c r="B39" s="2" t="s">
        <v>10</v>
      </c>
      <c r="C39" s="3" t="n">
        <v>0</v>
      </c>
      <c r="D39" s="3" t="n">
        <v>20</v>
      </c>
      <c r="E39" s="3" t="n">
        <f aca="false">E38+C39-D39</f>
        <v>860</v>
      </c>
      <c r="F39" s="2" t="s">
        <v>11</v>
      </c>
    </row>
    <row r="40" customFormat="false" ht="24" hidden="false" customHeight="true" outlineLevel="0" collapsed="false">
      <c r="A40" s="4" t="n">
        <v>45772</v>
      </c>
      <c r="B40" s="2" t="s">
        <v>16</v>
      </c>
      <c r="C40" s="3" t="n">
        <v>0</v>
      </c>
      <c r="D40" s="3" t="n">
        <v>75</v>
      </c>
      <c r="E40" s="3" t="n">
        <f aca="false">E39+C40-D40</f>
        <v>785</v>
      </c>
      <c r="F40" s="2" t="s">
        <v>17</v>
      </c>
    </row>
    <row r="41" customFormat="false" ht="24" hidden="false" customHeight="true" outlineLevel="0" collapsed="false">
      <c r="A41" s="4" t="n">
        <v>45775</v>
      </c>
      <c r="B41" s="2" t="s">
        <v>58</v>
      </c>
      <c r="C41" s="3" t="n">
        <v>0</v>
      </c>
      <c r="D41" s="3" t="n">
        <v>5</v>
      </c>
      <c r="E41" s="3" t="n">
        <f aca="false">E40+C41-D41</f>
        <v>780</v>
      </c>
      <c r="F41" s="2" t="s">
        <v>19</v>
      </c>
    </row>
    <row r="42" customFormat="false" ht="24" hidden="false" customHeight="true" outlineLevel="0" collapsed="false">
      <c r="A42" s="4" t="n">
        <v>45782</v>
      </c>
      <c r="B42" s="2" t="s">
        <v>52</v>
      </c>
      <c r="C42" s="3" t="n">
        <v>125</v>
      </c>
      <c r="D42" s="3" t="n">
        <v>0</v>
      </c>
      <c r="E42" s="3" t="n">
        <f aca="false">E41+C42-D42</f>
        <v>905</v>
      </c>
      <c r="F42" s="2" t="s">
        <v>33</v>
      </c>
    </row>
    <row r="43" customFormat="false" ht="24" hidden="false" customHeight="true" outlineLevel="0" collapsed="false">
      <c r="A43" s="4" t="n">
        <v>45782</v>
      </c>
      <c r="B43" s="2" t="s">
        <v>53</v>
      </c>
      <c r="C43" s="3" t="n">
        <v>125</v>
      </c>
      <c r="D43" s="3" t="n">
        <v>0</v>
      </c>
      <c r="E43" s="3" t="n">
        <f aca="false">E42+C43-D43</f>
        <v>1030</v>
      </c>
      <c r="F43" s="2" t="s">
        <v>35</v>
      </c>
    </row>
    <row r="44" customFormat="false" ht="24" hidden="false" customHeight="true" outlineLevel="0" collapsed="false">
      <c r="A44" s="4" t="n">
        <v>45782</v>
      </c>
      <c r="B44" s="2" t="s">
        <v>54</v>
      </c>
      <c r="C44" s="3" t="n">
        <v>125</v>
      </c>
      <c r="D44" s="3" t="n">
        <v>0</v>
      </c>
      <c r="E44" s="3" t="n">
        <f aca="false">E43+C44-D44</f>
        <v>1155</v>
      </c>
      <c r="F44" s="2" t="s">
        <v>37</v>
      </c>
    </row>
    <row r="45" customFormat="false" ht="24" hidden="false" customHeight="true" outlineLevel="0" collapsed="false">
      <c r="A45" s="4" t="n">
        <v>45782</v>
      </c>
      <c r="B45" s="2" t="s">
        <v>55</v>
      </c>
      <c r="C45" s="3" t="n">
        <v>125</v>
      </c>
      <c r="D45" s="3" t="n">
        <v>0</v>
      </c>
      <c r="E45" s="3" t="n">
        <f aca="false">E44+C45-D45</f>
        <v>1280</v>
      </c>
      <c r="F45" s="2" t="s">
        <v>39</v>
      </c>
    </row>
    <row r="46" customFormat="false" ht="24" hidden="false" customHeight="true" outlineLevel="0" collapsed="false">
      <c r="A46" s="4" t="n">
        <v>45782</v>
      </c>
      <c r="B46" s="2" t="s">
        <v>56</v>
      </c>
      <c r="C46" s="3" t="n">
        <v>125</v>
      </c>
      <c r="D46" s="3" t="n">
        <v>0</v>
      </c>
      <c r="E46" s="3" t="n">
        <f aca="false">E45+C46-D46</f>
        <v>1405</v>
      </c>
      <c r="F46" s="2" t="s">
        <v>41</v>
      </c>
    </row>
    <row r="47" customFormat="false" ht="24" hidden="false" customHeight="true" outlineLevel="0" collapsed="false">
      <c r="A47" s="4" t="n">
        <v>45796</v>
      </c>
      <c r="B47" s="2" t="s">
        <v>10</v>
      </c>
      <c r="C47" s="3" t="n">
        <v>0</v>
      </c>
      <c r="D47" s="3" t="n">
        <v>20</v>
      </c>
      <c r="E47" s="3" t="n">
        <f aca="false">E46+C47-D47</f>
        <v>1385</v>
      </c>
      <c r="F47" s="2" t="s">
        <v>11</v>
      </c>
    </row>
    <row r="48" customFormat="false" ht="24" hidden="false" customHeight="true" outlineLevel="0" collapsed="false">
      <c r="A48" s="4" t="n">
        <v>45797</v>
      </c>
      <c r="B48" s="2" t="s">
        <v>12</v>
      </c>
      <c r="C48" s="3" t="n">
        <v>0</v>
      </c>
      <c r="D48" s="3" t="n">
        <v>80</v>
      </c>
      <c r="E48" s="3" t="n">
        <f aca="false">E47+C48-D48</f>
        <v>1305</v>
      </c>
      <c r="F48" s="2" t="s">
        <v>57</v>
      </c>
    </row>
    <row r="49" customFormat="false" ht="24" hidden="false" customHeight="true" outlineLevel="0" collapsed="false">
      <c r="A49" s="4" t="n">
        <v>45803</v>
      </c>
      <c r="B49" s="2" t="s">
        <v>16</v>
      </c>
      <c r="C49" s="3" t="n">
        <v>0</v>
      </c>
      <c r="D49" s="3" t="n">
        <v>75</v>
      </c>
      <c r="E49" s="3" t="n">
        <f aca="false">E48+C49-D49</f>
        <v>1230</v>
      </c>
      <c r="F49" s="2" t="s">
        <v>17</v>
      </c>
    </row>
    <row r="50" customFormat="false" ht="24" hidden="false" customHeight="true" outlineLevel="0" collapsed="false">
      <c r="A50" s="4" t="n">
        <v>45805</v>
      </c>
      <c r="B50" s="2" t="s">
        <v>58</v>
      </c>
      <c r="C50" s="3" t="n">
        <v>0</v>
      </c>
      <c r="D50" s="3" t="n">
        <v>5</v>
      </c>
      <c r="E50" s="3" t="n">
        <f aca="false">E49+C50-D50</f>
        <v>1225</v>
      </c>
      <c r="F50" s="2" t="s">
        <v>19</v>
      </c>
    </row>
    <row r="51" customFormat="false" ht="24" hidden="false" customHeight="true" outlineLevel="0" collapsed="false">
      <c r="A51" s="4" t="n">
        <v>45813</v>
      </c>
      <c r="B51" s="2" t="s">
        <v>52</v>
      </c>
      <c r="C51" s="3" t="n">
        <v>125</v>
      </c>
      <c r="D51" s="3" t="n">
        <v>0</v>
      </c>
      <c r="E51" s="3" t="n">
        <f aca="false">E50+C51-D51</f>
        <v>1350</v>
      </c>
      <c r="F51" s="2" t="s">
        <v>33</v>
      </c>
    </row>
    <row r="52" customFormat="false" ht="24" hidden="false" customHeight="true" outlineLevel="0" collapsed="false">
      <c r="A52" s="4" t="n">
        <v>45813</v>
      </c>
      <c r="B52" s="2" t="s">
        <v>53</v>
      </c>
      <c r="C52" s="3" t="n">
        <v>125</v>
      </c>
      <c r="D52" s="3" t="n">
        <v>0</v>
      </c>
      <c r="E52" s="3" t="n">
        <f aca="false">E51+C52-D52</f>
        <v>1475</v>
      </c>
      <c r="F52" s="2" t="s">
        <v>35</v>
      </c>
    </row>
    <row r="53" customFormat="false" ht="24" hidden="false" customHeight="true" outlineLevel="0" collapsed="false">
      <c r="A53" s="4" t="n">
        <v>45813</v>
      </c>
      <c r="B53" s="2" t="s">
        <v>54</v>
      </c>
      <c r="C53" s="3" t="n">
        <v>125</v>
      </c>
      <c r="D53" s="3" t="n">
        <v>0</v>
      </c>
      <c r="E53" s="3" t="n">
        <f aca="false">E52+C53-D53</f>
        <v>1600</v>
      </c>
      <c r="F53" s="2" t="s">
        <v>37</v>
      </c>
    </row>
    <row r="54" customFormat="false" ht="24" hidden="false" customHeight="true" outlineLevel="0" collapsed="false">
      <c r="A54" s="4" t="n">
        <v>45813</v>
      </c>
      <c r="B54" s="2" t="s">
        <v>55</v>
      </c>
      <c r="C54" s="3" t="n">
        <v>125</v>
      </c>
      <c r="D54" s="3" t="n">
        <v>0</v>
      </c>
      <c r="E54" s="3" t="n">
        <f aca="false">E53+C54-D54</f>
        <v>1725</v>
      </c>
      <c r="F54" s="2" t="s">
        <v>39</v>
      </c>
    </row>
    <row r="55" customFormat="false" ht="24" hidden="false" customHeight="true" outlineLevel="0" collapsed="false">
      <c r="A55" s="4" t="n">
        <v>45813</v>
      </c>
      <c r="B55" s="2" t="s">
        <v>56</v>
      </c>
      <c r="C55" s="3" t="n">
        <v>125</v>
      </c>
      <c r="D55" s="3" t="n">
        <v>0</v>
      </c>
      <c r="E55" s="3" t="n">
        <f aca="false">E54+C55-D55</f>
        <v>1850</v>
      </c>
      <c r="F55" s="2" t="s">
        <v>41</v>
      </c>
    </row>
    <row r="56" customFormat="false" ht="24" hidden="false" customHeight="true" outlineLevel="0" collapsed="false">
      <c r="A56" s="4" t="n">
        <v>45824</v>
      </c>
      <c r="B56" s="2" t="s">
        <v>4</v>
      </c>
      <c r="C56" s="3" t="n">
        <v>0</v>
      </c>
      <c r="D56" s="3" t="n">
        <v>400</v>
      </c>
      <c r="E56" s="3" t="n">
        <f aca="false">E55+C56-D56</f>
        <v>1450</v>
      </c>
      <c r="F56" s="2" t="s">
        <v>5</v>
      </c>
    </row>
    <row r="57" customFormat="false" ht="24" hidden="false" customHeight="true" outlineLevel="0" collapsed="false">
      <c r="A57" s="4" t="n">
        <v>45826</v>
      </c>
      <c r="B57" s="2" t="s">
        <v>10</v>
      </c>
      <c r="C57" s="3" t="n">
        <v>0</v>
      </c>
      <c r="D57" s="3" t="n">
        <v>20</v>
      </c>
      <c r="E57" s="3" t="n">
        <f aca="false">E56+C57-D57</f>
        <v>1430</v>
      </c>
      <c r="F57" s="2" t="s">
        <v>11</v>
      </c>
    </row>
    <row r="58" customFormat="false" ht="24" hidden="false" customHeight="true" outlineLevel="0" collapsed="false">
      <c r="A58" s="4" t="n">
        <v>45828</v>
      </c>
      <c r="B58" s="2" t="s">
        <v>12</v>
      </c>
      <c r="C58" s="3" t="n">
        <v>0</v>
      </c>
      <c r="D58" s="3" t="n">
        <v>80</v>
      </c>
      <c r="E58" s="3" t="n">
        <f aca="false">E57+C58-D58</f>
        <v>1350</v>
      </c>
      <c r="F58" s="2" t="s">
        <v>57</v>
      </c>
    </row>
    <row r="59" customFormat="false" ht="24" hidden="false" customHeight="true" outlineLevel="0" collapsed="false">
      <c r="A59" s="4" t="n">
        <v>45832</v>
      </c>
      <c r="B59" s="2" t="s">
        <v>59</v>
      </c>
      <c r="C59" s="3" t="n">
        <v>0</v>
      </c>
      <c r="D59" s="3" t="n">
        <v>300</v>
      </c>
      <c r="E59" s="3" t="n">
        <f aca="false">E58+C59-D59</f>
        <v>1050</v>
      </c>
      <c r="F59" s="2" t="s">
        <v>15</v>
      </c>
    </row>
    <row r="60" customFormat="false" ht="24" hidden="false" customHeight="true" outlineLevel="0" collapsed="false">
      <c r="A60" s="4" t="n">
        <v>45833</v>
      </c>
      <c r="B60" s="2" t="s">
        <v>16</v>
      </c>
      <c r="C60" s="3" t="n">
        <v>0</v>
      </c>
      <c r="D60" s="3" t="n">
        <v>75</v>
      </c>
      <c r="E60" s="3" t="n">
        <f aca="false">E59+C60-D60</f>
        <v>975</v>
      </c>
      <c r="F60" s="2" t="s">
        <v>17</v>
      </c>
    </row>
    <row r="61" customFormat="false" ht="24" hidden="false" customHeight="true" outlineLevel="0" collapsed="false">
      <c r="A61" s="4" t="n">
        <v>45838</v>
      </c>
      <c r="B61" s="2" t="s">
        <v>58</v>
      </c>
      <c r="C61" s="3" t="n">
        <v>0</v>
      </c>
      <c r="D61" s="3" t="n">
        <v>5</v>
      </c>
      <c r="E61" s="3" t="n">
        <f aca="false">E60+C61-D61</f>
        <v>970</v>
      </c>
      <c r="F61" s="2" t="s">
        <v>19</v>
      </c>
    </row>
    <row r="62" customFormat="false" ht="24" hidden="false" customHeight="true" outlineLevel="0" collapsed="false">
      <c r="A62" s="4" t="n">
        <v>45845</v>
      </c>
      <c r="B62" s="2" t="s">
        <v>52</v>
      </c>
      <c r="C62" s="3" t="n">
        <v>125</v>
      </c>
      <c r="D62" s="3" t="n">
        <v>0</v>
      </c>
      <c r="E62" s="3" t="n">
        <f aca="false">E61+C62-D62</f>
        <v>1095</v>
      </c>
      <c r="F62" s="2" t="s">
        <v>33</v>
      </c>
    </row>
    <row r="63" customFormat="false" ht="24" hidden="false" customHeight="true" outlineLevel="0" collapsed="false">
      <c r="A63" s="4" t="n">
        <v>45845</v>
      </c>
      <c r="B63" s="2" t="s">
        <v>53</v>
      </c>
      <c r="C63" s="3" t="n">
        <v>125</v>
      </c>
      <c r="D63" s="3" t="n">
        <v>0</v>
      </c>
      <c r="E63" s="3" t="n">
        <f aca="false">E62+C63-D63</f>
        <v>1220</v>
      </c>
      <c r="F63" s="2" t="s">
        <v>35</v>
      </c>
    </row>
    <row r="64" customFormat="false" ht="24" hidden="false" customHeight="true" outlineLevel="0" collapsed="false">
      <c r="A64" s="4" t="n">
        <v>45845</v>
      </c>
      <c r="B64" s="2" t="s">
        <v>54</v>
      </c>
      <c r="C64" s="3" t="n">
        <v>125</v>
      </c>
      <c r="D64" s="3" t="n">
        <v>0</v>
      </c>
      <c r="E64" s="3" t="n">
        <f aca="false">E63+C64-D64</f>
        <v>1345</v>
      </c>
      <c r="F64" s="2" t="s">
        <v>37</v>
      </c>
    </row>
    <row r="65" customFormat="false" ht="24" hidden="false" customHeight="true" outlineLevel="0" collapsed="false">
      <c r="A65" s="4" t="n">
        <v>45845</v>
      </c>
      <c r="B65" s="2" t="s">
        <v>55</v>
      </c>
      <c r="C65" s="3" t="n">
        <v>125</v>
      </c>
      <c r="D65" s="3" t="n">
        <v>0</v>
      </c>
      <c r="E65" s="3" t="n">
        <f aca="false">E64+C65-D65</f>
        <v>1470</v>
      </c>
      <c r="F65" s="2" t="s">
        <v>39</v>
      </c>
    </row>
    <row r="66" customFormat="false" ht="24" hidden="false" customHeight="true" outlineLevel="0" collapsed="false">
      <c r="A66" s="4" t="n">
        <v>45845</v>
      </c>
      <c r="B66" s="2" t="s">
        <v>56</v>
      </c>
      <c r="C66" s="3" t="n">
        <v>125</v>
      </c>
      <c r="D66" s="3" t="n">
        <v>0</v>
      </c>
      <c r="E66" s="3" t="n">
        <f aca="false">E65+C66-D66</f>
        <v>1595</v>
      </c>
      <c r="F66" s="2" t="s">
        <v>41</v>
      </c>
    </row>
    <row r="67" customFormat="false" ht="24" hidden="false" customHeight="true" outlineLevel="0" collapsed="false">
      <c r="A67" s="4" t="n">
        <v>45856</v>
      </c>
      <c r="B67" s="2" t="s">
        <v>10</v>
      </c>
      <c r="C67" s="3" t="n">
        <v>0</v>
      </c>
      <c r="D67" s="3" t="n">
        <v>20</v>
      </c>
      <c r="E67" s="3" t="n">
        <f aca="false">E66+C67-D67</f>
        <v>1575</v>
      </c>
      <c r="F67" s="2" t="s">
        <v>11</v>
      </c>
    </row>
    <row r="68" customFormat="false" ht="24" hidden="false" customHeight="true" outlineLevel="0" collapsed="false">
      <c r="A68" s="4" t="n">
        <v>45859</v>
      </c>
      <c r="B68" s="2" t="s">
        <v>12</v>
      </c>
      <c r="C68" s="3" t="n">
        <v>0</v>
      </c>
      <c r="D68" s="3" t="n">
        <v>80</v>
      </c>
      <c r="E68" s="3" t="n">
        <f aca="false">E67+C68-D68</f>
        <v>1495</v>
      </c>
      <c r="F68" s="2" t="s">
        <v>57</v>
      </c>
    </row>
    <row r="69" customFormat="false" ht="24" hidden="false" customHeight="true" outlineLevel="0" collapsed="false">
      <c r="A69" s="4" t="n">
        <v>45863</v>
      </c>
      <c r="B69" s="2" t="s">
        <v>16</v>
      </c>
      <c r="C69" s="3" t="n">
        <v>0</v>
      </c>
      <c r="D69" s="3" t="n">
        <v>75</v>
      </c>
      <c r="E69" s="3" t="n">
        <f aca="false">E68+C69-D69</f>
        <v>1420</v>
      </c>
      <c r="F69" s="2" t="s">
        <v>17</v>
      </c>
    </row>
    <row r="70" customFormat="false" ht="24" hidden="false" customHeight="true" outlineLevel="0" collapsed="false">
      <c r="A70" s="4" t="n">
        <v>45866</v>
      </c>
      <c r="B70" s="2" t="s">
        <v>58</v>
      </c>
      <c r="C70" s="3" t="n">
        <v>0</v>
      </c>
      <c r="D70" s="3" t="n">
        <v>5</v>
      </c>
      <c r="E70" s="3" t="n">
        <f aca="false">E69+C70-D70</f>
        <v>1415</v>
      </c>
      <c r="F70" s="2" t="s">
        <v>19</v>
      </c>
    </row>
    <row r="71" customFormat="false" ht="24" hidden="false" customHeight="true" outlineLevel="0" collapsed="false">
      <c r="A71" s="4" t="n">
        <v>45874</v>
      </c>
      <c r="B71" s="2" t="s">
        <v>52</v>
      </c>
      <c r="C71" s="3" t="n">
        <v>125</v>
      </c>
      <c r="D71" s="3" t="n">
        <v>0</v>
      </c>
      <c r="E71" s="3" t="n">
        <f aca="false">E70+C71-D71</f>
        <v>1540</v>
      </c>
      <c r="F71" s="2" t="s">
        <v>33</v>
      </c>
    </row>
    <row r="72" customFormat="false" ht="24" hidden="false" customHeight="true" outlineLevel="0" collapsed="false">
      <c r="A72" s="4" t="n">
        <v>45874</v>
      </c>
      <c r="B72" s="2" t="s">
        <v>53</v>
      </c>
      <c r="C72" s="3" t="n">
        <v>125</v>
      </c>
      <c r="D72" s="3" t="n">
        <v>0</v>
      </c>
      <c r="E72" s="3" t="n">
        <f aca="false">E71+C72-D72</f>
        <v>1665</v>
      </c>
      <c r="F72" s="2" t="s">
        <v>35</v>
      </c>
    </row>
    <row r="73" customFormat="false" ht="24" hidden="false" customHeight="true" outlineLevel="0" collapsed="false">
      <c r="A73" s="4" t="n">
        <v>45874</v>
      </c>
      <c r="B73" s="2" t="s">
        <v>54</v>
      </c>
      <c r="C73" s="3" t="n">
        <v>125</v>
      </c>
      <c r="D73" s="3" t="n">
        <v>0</v>
      </c>
      <c r="E73" s="3" t="n">
        <f aca="false">E72+C73-D73</f>
        <v>1790</v>
      </c>
      <c r="F73" s="2" t="s">
        <v>37</v>
      </c>
    </row>
    <row r="74" customFormat="false" ht="24" hidden="false" customHeight="true" outlineLevel="0" collapsed="false">
      <c r="A74" s="4" t="n">
        <v>45874</v>
      </c>
      <c r="B74" s="2" t="s">
        <v>55</v>
      </c>
      <c r="C74" s="3" t="n">
        <v>125</v>
      </c>
      <c r="D74" s="3" t="n">
        <v>0</v>
      </c>
      <c r="E74" s="3" t="n">
        <f aca="false">E73+C74-D74</f>
        <v>1915</v>
      </c>
      <c r="F74" s="2" t="s">
        <v>39</v>
      </c>
    </row>
    <row r="75" customFormat="false" ht="24" hidden="false" customHeight="true" outlineLevel="0" collapsed="false">
      <c r="A75" s="4" t="n">
        <v>45874</v>
      </c>
      <c r="B75" s="2" t="s">
        <v>56</v>
      </c>
      <c r="C75" s="3" t="n">
        <v>125</v>
      </c>
      <c r="D75" s="3" t="n">
        <v>0</v>
      </c>
      <c r="E75" s="3" t="n">
        <f aca="false">E74+C75-D75</f>
        <v>2040</v>
      </c>
      <c r="F75" s="2" t="s">
        <v>41</v>
      </c>
    </row>
    <row r="76" customFormat="false" ht="24" hidden="false" customHeight="true" outlineLevel="0" collapsed="false">
      <c r="A76" s="4" t="n">
        <v>45887</v>
      </c>
      <c r="B76" s="2" t="s">
        <v>10</v>
      </c>
      <c r="C76" s="3" t="n">
        <v>0</v>
      </c>
      <c r="D76" s="3" t="n">
        <v>20</v>
      </c>
      <c r="E76" s="3" t="n">
        <f aca="false">E75+C76-D76</f>
        <v>2020</v>
      </c>
      <c r="F76" s="2" t="s">
        <v>11</v>
      </c>
    </row>
    <row r="77" customFormat="false" ht="24" hidden="false" customHeight="true" outlineLevel="0" collapsed="false">
      <c r="A77" s="4" t="n">
        <v>45889</v>
      </c>
      <c r="B77" s="2" t="s">
        <v>12</v>
      </c>
      <c r="C77" s="3" t="n">
        <v>0</v>
      </c>
      <c r="D77" s="3" t="n">
        <v>80</v>
      </c>
      <c r="E77" s="3" t="n">
        <f aca="false">E76+C77-D77</f>
        <v>1940</v>
      </c>
      <c r="F77" s="2" t="s">
        <v>57</v>
      </c>
    </row>
    <row r="78" customFormat="false" ht="24" hidden="false" customHeight="true" outlineLevel="0" collapsed="false">
      <c r="A78" s="4" t="n">
        <v>45894</v>
      </c>
      <c r="B78" s="2" t="s">
        <v>16</v>
      </c>
      <c r="C78" s="3" t="n">
        <v>0</v>
      </c>
      <c r="D78" s="3" t="n">
        <v>75</v>
      </c>
      <c r="E78" s="3" t="n">
        <f aca="false">E77+C78-D78</f>
        <v>1865</v>
      </c>
      <c r="F78" s="2" t="s">
        <v>17</v>
      </c>
    </row>
    <row r="79" customFormat="false" ht="24" hidden="false" customHeight="true" outlineLevel="0" collapsed="false">
      <c r="A79" s="4" t="n">
        <v>45897</v>
      </c>
      <c r="B79" s="2" t="s">
        <v>58</v>
      </c>
      <c r="C79" s="3" t="n">
        <v>0</v>
      </c>
      <c r="D79" s="3" t="n">
        <v>5</v>
      </c>
      <c r="E79" s="3" t="n">
        <f aca="false">E78+C79-D79</f>
        <v>1860</v>
      </c>
      <c r="F79" s="2" t="s">
        <v>19</v>
      </c>
    </row>
    <row r="80" customFormat="false" ht="24" hidden="false" customHeight="true" outlineLevel="0" collapsed="false">
      <c r="A80" s="4" t="n">
        <v>45905</v>
      </c>
      <c r="B80" s="2" t="s">
        <v>52</v>
      </c>
      <c r="C80" s="3" t="n">
        <v>125</v>
      </c>
      <c r="D80" s="3" t="n">
        <v>0</v>
      </c>
      <c r="E80" s="3" t="n">
        <f aca="false">E79+C80-D80</f>
        <v>1985</v>
      </c>
      <c r="F80" s="2" t="s">
        <v>33</v>
      </c>
    </row>
    <row r="81" customFormat="false" ht="24" hidden="false" customHeight="true" outlineLevel="0" collapsed="false">
      <c r="A81" s="4" t="n">
        <v>45905</v>
      </c>
      <c r="B81" s="2" t="s">
        <v>53</v>
      </c>
      <c r="C81" s="3" t="n">
        <v>125</v>
      </c>
      <c r="D81" s="3" t="n">
        <v>0</v>
      </c>
      <c r="E81" s="3" t="n">
        <f aca="false">E80+C81-D81</f>
        <v>2110</v>
      </c>
      <c r="F81" s="2" t="s">
        <v>35</v>
      </c>
    </row>
    <row r="82" customFormat="false" ht="24" hidden="false" customHeight="true" outlineLevel="0" collapsed="false">
      <c r="A82" s="4" t="n">
        <v>45905</v>
      </c>
      <c r="B82" s="2" t="s">
        <v>54</v>
      </c>
      <c r="C82" s="3" t="n">
        <v>125</v>
      </c>
      <c r="D82" s="3" t="n">
        <v>0</v>
      </c>
      <c r="E82" s="3" t="n">
        <f aca="false">E81+C82-D82</f>
        <v>2235</v>
      </c>
      <c r="F82" s="2" t="s">
        <v>37</v>
      </c>
    </row>
    <row r="83" customFormat="false" ht="24" hidden="false" customHeight="true" outlineLevel="0" collapsed="false">
      <c r="A83" s="4" t="n">
        <v>45905</v>
      </c>
      <c r="B83" s="2" t="s">
        <v>55</v>
      </c>
      <c r="C83" s="3" t="n">
        <v>125</v>
      </c>
      <c r="D83" s="3" t="n">
        <v>0</v>
      </c>
      <c r="E83" s="3" t="n">
        <f aca="false">E82+C83-D83</f>
        <v>2360</v>
      </c>
      <c r="F83" s="2" t="s">
        <v>39</v>
      </c>
    </row>
    <row r="84" customFormat="false" ht="24" hidden="false" customHeight="true" outlineLevel="0" collapsed="false">
      <c r="A84" s="4" t="n">
        <v>45905</v>
      </c>
      <c r="B84" s="2" t="s">
        <v>56</v>
      </c>
      <c r="C84" s="3" t="n">
        <v>125</v>
      </c>
      <c r="D84" s="3" t="n">
        <v>0</v>
      </c>
      <c r="E84" s="3" t="n">
        <f aca="false">E83+C84-D84</f>
        <v>2485</v>
      </c>
      <c r="F84" s="2" t="s">
        <v>41</v>
      </c>
    </row>
    <row r="85" customFormat="false" ht="24" hidden="false" customHeight="true" outlineLevel="0" collapsed="false">
      <c r="A85" s="4" t="n">
        <v>45915</v>
      </c>
      <c r="B85" s="2" t="s">
        <v>4</v>
      </c>
      <c r="C85" s="3" t="n">
        <v>0</v>
      </c>
      <c r="D85" s="3" t="n">
        <v>400</v>
      </c>
      <c r="E85" s="3" t="n">
        <f aca="false">E84+C85-D85</f>
        <v>2085</v>
      </c>
      <c r="F85" s="2" t="s">
        <v>5</v>
      </c>
    </row>
    <row r="86" customFormat="false" ht="24" hidden="false" customHeight="true" outlineLevel="0" collapsed="false">
      <c r="A86" s="4" t="n">
        <v>45918</v>
      </c>
      <c r="B86" s="2" t="s">
        <v>10</v>
      </c>
      <c r="C86" s="3" t="n">
        <v>0</v>
      </c>
      <c r="D86" s="3" t="n">
        <v>20</v>
      </c>
      <c r="E86" s="3" t="n">
        <f aca="false">E85+C86-D86</f>
        <v>2065</v>
      </c>
      <c r="F86" s="2" t="s">
        <v>11</v>
      </c>
    </row>
    <row r="87" customFormat="false" ht="24" hidden="false" customHeight="true" outlineLevel="0" collapsed="false">
      <c r="A87" s="4" t="n">
        <v>45922</v>
      </c>
      <c r="B87" s="2" t="s">
        <v>12</v>
      </c>
      <c r="C87" s="3" t="n">
        <v>0</v>
      </c>
      <c r="D87" s="3" t="n">
        <v>80</v>
      </c>
      <c r="E87" s="3" t="n">
        <f aca="false">E86+C87-D87</f>
        <v>1985</v>
      </c>
      <c r="F87" s="2" t="s">
        <v>57</v>
      </c>
    </row>
    <row r="88" customFormat="false" ht="24" hidden="false" customHeight="true" outlineLevel="0" collapsed="false">
      <c r="A88" s="4" t="n">
        <v>45925</v>
      </c>
      <c r="B88" s="2" t="s">
        <v>16</v>
      </c>
      <c r="C88" s="3" t="n">
        <v>0</v>
      </c>
      <c r="D88" s="3" t="n">
        <v>75</v>
      </c>
      <c r="E88" s="3" t="n">
        <f aca="false">E87+C88-D88</f>
        <v>1910</v>
      </c>
      <c r="F88" s="2" t="s">
        <v>17</v>
      </c>
    </row>
    <row r="89" customFormat="false" ht="24" hidden="false" customHeight="true" outlineLevel="0" collapsed="false">
      <c r="A89" s="4" t="n">
        <v>45929</v>
      </c>
      <c r="B89" s="2" t="s">
        <v>58</v>
      </c>
      <c r="C89" s="3" t="n">
        <v>0</v>
      </c>
      <c r="D89" s="3" t="n">
        <v>5</v>
      </c>
      <c r="E89" s="3" t="n">
        <f aca="false">E88+C89-D89</f>
        <v>1905</v>
      </c>
      <c r="F89" s="2" t="s">
        <v>19</v>
      </c>
    </row>
    <row r="90" customFormat="false" ht="24" hidden="false" customHeight="true" outlineLevel="0" collapsed="false">
      <c r="A90" s="4" t="n">
        <v>45936</v>
      </c>
      <c r="B90" s="2" t="s">
        <v>52</v>
      </c>
      <c r="C90" s="3" t="n">
        <v>125</v>
      </c>
      <c r="D90" s="3" t="n">
        <v>0</v>
      </c>
      <c r="E90" s="3" t="n">
        <f aca="false">E89+C90-D90</f>
        <v>2030</v>
      </c>
      <c r="F90" s="2" t="s">
        <v>33</v>
      </c>
    </row>
    <row r="91" customFormat="false" ht="24" hidden="false" customHeight="true" outlineLevel="0" collapsed="false">
      <c r="A91" s="4" t="n">
        <v>45936</v>
      </c>
      <c r="B91" s="2" t="s">
        <v>53</v>
      </c>
      <c r="C91" s="3" t="n">
        <v>125</v>
      </c>
      <c r="D91" s="3" t="n">
        <v>0</v>
      </c>
      <c r="E91" s="3" t="n">
        <f aca="false">E90+C91-D91</f>
        <v>2155</v>
      </c>
      <c r="F91" s="2" t="s">
        <v>35</v>
      </c>
    </row>
    <row r="92" customFormat="false" ht="24" hidden="false" customHeight="true" outlineLevel="0" collapsed="false">
      <c r="A92" s="4" t="n">
        <v>45936</v>
      </c>
      <c r="B92" s="2" t="s">
        <v>54</v>
      </c>
      <c r="C92" s="3" t="n">
        <v>125</v>
      </c>
      <c r="D92" s="3" t="n">
        <v>0</v>
      </c>
      <c r="E92" s="3" t="n">
        <f aca="false">E91+C92-D92</f>
        <v>2280</v>
      </c>
      <c r="F92" s="2" t="s">
        <v>37</v>
      </c>
    </row>
    <row r="93" customFormat="false" ht="24" hidden="false" customHeight="true" outlineLevel="0" collapsed="false">
      <c r="A93" s="4" t="n">
        <v>45936</v>
      </c>
      <c r="B93" s="2" t="s">
        <v>55</v>
      </c>
      <c r="C93" s="3" t="n">
        <v>125</v>
      </c>
      <c r="D93" s="3" t="n">
        <v>0</v>
      </c>
      <c r="E93" s="3" t="n">
        <f aca="false">E92+C93-D93</f>
        <v>2405</v>
      </c>
      <c r="F93" s="2" t="s">
        <v>39</v>
      </c>
    </row>
    <row r="94" customFormat="false" ht="24" hidden="false" customHeight="true" outlineLevel="0" collapsed="false">
      <c r="A94" s="4" t="n">
        <v>45936</v>
      </c>
      <c r="B94" s="2" t="s">
        <v>56</v>
      </c>
      <c r="C94" s="3" t="n">
        <v>125</v>
      </c>
      <c r="D94" s="3" t="n">
        <v>0</v>
      </c>
      <c r="E94" s="3" t="n">
        <f aca="false">E93+C94-D94</f>
        <v>2530</v>
      </c>
      <c r="F94" s="2" t="s">
        <v>41</v>
      </c>
    </row>
    <row r="95" customFormat="false" ht="24" hidden="false" customHeight="true" outlineLevel="0" collapsed="false">
      <c r="A95" s="4" t="n">
        <v>45950</v>
      </c>
      <c r="B95" s="2" t="s">
        <v>12</v>
      </c>
      <c r="C95" s="3" t="n">
        <v>0</v>
      </c>
      <c r="D95" s="3" t="n">
        <v>80</v>
      </c>
      <c r="E95" s="3" t="n">
        <f aca="false">E94+C95-D95</f>
        <v>2450</v>
      </c>
      <c r="F95" s="2" t="s">
        <v>57</v>
      </c>
    </row>
    <row r="96" customFormat="false" ht="24" hidden="false" customHeight="true" outlineLevel="0" collapsed="false">
      <c r="A96" s="4" t="n">
        <v>45950</v>
      </c>
      <c r="B96" s="2" t="s">
        <v>10</v>
      </c>
      <c r="C96" s="3" t="n">
        <v>0</v>
      </c>
      <c r="D96" s="3" t="n">
        <v>20</v>
      </c>
      <c r="E96" s="3" t="n">
        <f aca="false">E95+C96-D96</f>
        <v>2430</v>
      </c>
      <c r="F96" s="2" t="s">
        <v>11</v>
      </c>
    </row>
    <row r="97" customFormat="false" ht="24" hidden="false" customHeight="true" outlineLevel="0" collapsed="false">
      <c r="A97" s="4" t="n">
        <v>45957</v>
      </c>
      <c r="B97" s="2" t="s">
        <v>16</v>
      </c>
      <c r="C97" s="3" t="n">
        <v>0</v>
      </c>
      <c r="D97" s="3" t="n">
        <v>75</v>
      </c>
      <c r="E97" s="3" t="n">
        <f aca="false">E96+C97-D97</f>
        <v>2355</v>
      </c>
      <c r="F97" s="2" t="s">
        <v>17</v>
      </c>
    </row>
    <row r="98" customFormat="false" ht="24" hidden="false" customHeight="true" outlineLevel="0" collapsed="false">
      <c r="A98" s="4" t="n">
        <v>45958</v>
      </c>
      <c r="B98" s="2" t="s">
        <v>58</v>
      </c>
      <c r="C98" s="3" t="n">
        <v>0</v>
      </c>
      <c r="D98" s="3" t="n">
        <v>5</v>
      </c>
      <c r="E98" s="3" t="n">
        <f aca="false">E97+C98-D98</f>
        <v>2350</v>
      </c>
      <c r="F98" s="2" t="s">
        <v>19</v>
      </c>
    </row>
    <row r="99" customFormat="false" ht="24" hidden="false" customHeight="true" outlineLevel="0" collapsed="false">
      <c r="A99" s="4" t="n">
        <v>45966</v>
      </c>
      <c r="B99" s="2" t="s">
        <v>52</v>
      </c>
      <c r="C99" s="3" t="n">
        <v>125</v>
      </c>
      <c r="D99" s="3" t="n">
        <v>0</v>
      </c>
      <c r="E99" s="3" t="n">
        <f aca="false">E98+C99-D99</f>
        <v>2475</v>
      </c>
      <c r="F99" s="2" t="s">
        <v>33</v>
      </c>
    </row>
    <row r="100" customFormat="false" ht="24" hidden="false" customHeight="true" outlineLevel="0" collapsed="false">
      <c r="A100" s="4" t="n">
        <v>45966</v>
      </c>
      <c r="B100" s="2" t="s">
        <v>53</v>
      </c>
      <c r="C100" s="3" t="n">
        <v>125</v>
      </c>
      <c r="D100" s="3" t="n">
        <v>0</v>
      </c>
      <c r="E100" s="3" t="n">
        <f aca="false">E99+C100-D100</f>
        <v>2600</v>
      </c>
      <c r="F100" s="2" t="s">
        <v>35</v>
      </c>
    </row>
    <row r="101" customFormat="false" ht="24" hidden="false" customHeight="true" outlineLevel="0" collapsed="false">
      <c r="A101" s="4" t="n">
        <v>45966</v>
      </c>
      <c r="B101" s="2" t="s">
        <v>54</v>
      </c>
      <c r="C101" s="3" t="n">
        <v>125</v>
      </c>
      <c r="D101" s="3" t="n">
        <v>0</v>
      </c>
      <c r="E101" s="3" t="n">
        <f aca="false">E100+C101-D101</f>
        <v>2725</v>
      </c>
      <c r="F101" s="2" t="s">
        <v>37</v>
      </c>
    </row>
    <row r="102" customFormat="false" ht="24" hidden="false" customHeight="true" outlineLevel="0" collapsed="false">
      <c r="A102" s="4" t="n">
        <v>45966</v>
      </c>
      <c r="B102" s="2" t="s">
        <v>55</v>
      </c>
      <c r="C102" s="3" t="n">
        <v>125</v>
      </c>
      <c r="D102" s="3" t="n">
        <v>0</v>
      </c>
      <c r="E102" s="3" t="n">
        <f aca="false">E101+C102-D102</f>
        <v>2850</v>
      </c>
      <c r="F102" s="2" t="s">
        <v>39</v>
      </c>
    </row>
    <row r="103" customFormat="false" ht="24" hidden="false" customHeight="true" outlineLevel="0" collapsed="false">
      <c r="A103" s="4" t="n">
        <v>45966</v>
      </c>
      <c r="B103" s="2" t="s">
        <v>56</v>
      </c>
      <c r="C103" s="3" t="n">
        <v>125</v>
      </c>
      <c r="D103" s="3" t="n">
        <v>0</v>
      </c>
      <c r="E103" s="3" t="n">
        <f aca="false">E102+C103-D103</f>
        <v>2975</v>
      </c>
      <c r="F103" s="2" t="s">
        <v>41</v>
      </c>
    </row>
    <row r="104" customFormat="false" ht="24" hidden="false" customHeight="true" outlineLevel="0" collapsed="false">
      <c r="A104" s="4" t="n">
        <v>45979</v>
      </c>
      <c r="B104" s="2" t="s">
        <v>10</v>
      </c>
      <c r="C104" s="3" t="n">
        <v>0</v>
      </c>
      <c r="D104" s="3" t="n">
        <v>20</v>
      </c>
      <c r="E104" s="3" t="n">
        <f aca="false">E103+C104-D104</f>
        <v>2955</v>
      </c>
      <c r="F104" s="2" t="s">
        <v>11</v>
      </c>
    </row>
    <row r="105" customFormat="false" ht="24" hidden="false" customHeight="true" outlineLevel="0" collapsed="false">
      <c r="A105" s="4" t="n">
        <v>45981</v>
      </c>
      <c r="B105" s="2" t="s">
        <v>12</v>
      </c>
      <c r="C105" s="3" t="n">
        <v>0</v>
      </c>
      <c r="D105" s="3" t="n">
        <v>80</v>
      </c>
      <c r="E105" s="3" t="n">
        <f aca="false">E104+C105-D105</f>
        <v>2875</v>
      </c>
      <c r="F105" s="2" t="s">
        <v>57</v>
      </c>
    </row>
    <row r="106" customFormat="false" ht="24" hidden="false" customHeight="true" outlineLevel="0" collapsed="false">
      <c r="A106" s="4" t="n">
        <v>45986</v>
      </c>
      <c r="B106" s="2" t="s">
        <v>16</v>
      </c>
      <c r="C106" s="3" t="n">
        <v>0</v>
      </c>
      <c r="D106" s="3" t="n">
        <v>75</v>
      </c>
      <c r="E106" s="3" t="n">
        <f aca="false">E105+C106-D106</f>
        <v>2800</v>
      </c>
      <c r="F106" s="2" t="s">
        <v>17</v>
      </c>
    </row>
    <row r="107" customFormat="false" ht="24" hidden="false" customHeight="true" outlineLevel="0" collapsed="false">
      <c r="A107" s="4" t="n">
        <v>45989</v>
      </c>
      <c r="B107" s="2" t="s">
        <v>58</v>
      </c>
      <c r="C107" s="3" t="n">
        <v>0</v>
      </c>
      <c r="D107" s="3" t="n">
        <v>5</v>
      </c>
      <c r="E107" s="3" t="n">
        <f aca="false">E106+C107-D107</f>
        <v>2795</v>
      </c>
      <c r="F107" s="2" t="s">
        <v>19</v>
      </c>
    </row>
    <row r="108" customFormat="false" ht="24" hidden="false" customHeight="true" outlineLevel="0" collapsed="false">
      <c r="A108" s="4" t="n">
        <v>45996</v>
      </c>
      <c r="B108" s="2" t="s">
        <v>52</v>
      </c>
      <c r="C108" s="3" t="n">
        <v>125</v>
      </c>
      <c r="D108" s="3" t="n">
        <v>0</v>
      </c>
      <c r="E108" s="3" t="n">
        <f aca="false">E107+C108-D108</f>
        <v>2920</v>
      </c>
      <c r="F108" s="2" t="s">
        <v>33</v>
      </c>
    </row>
    <row r="109" customFormat="false" ht="24" hidden="false" customHeight="true" outlineLevel="0" collapsed="false">
      <c r="A109" s="4" t="n">
        <v>45996</v>
      </c>
      <c r="B109" s="2" t="s">
        <v>53</v>
      </c>
      <c r="C109" s="3" t="n">
        <v>125</v>
      </c>
      <c r="D109" s="3" t="n">
        <v>0</v>
      </c>
      <c r="E109" s="3" t="n">
        <f aca="false">E108+C109-D109</f>
        <v>3045</v>
      </c>
      <c r="F109" s="2" t="s">
        <v>35</v>
      </c>
    </row>
    <row r="110" customFormat="false" ht="24" hidden="false" customHeight="true" outlineLevel="0" collapsed="false">
      <c r="A110" s="4" t="n">
        <v>45996</v>
      </c>
      <c r="B110" s="2" t="s">
        <v>54</v>
      </c>
      <c r="C110" s="3" t="n">
        <v>125</v>
      </c>
      <c r="D110" s="3" t="n">
        <v>0</v>
      </c>
      <c r="E110" s="3" t="n">
        <f aca="false">E109+C110-D110</f>
        <v>3170</v>
      </c>
      <c r="F110" s="2" t="s">
        <v>37</v>
      </c>
    </row>
    <row r="111" customFormat="false" ht="24" hidden="false" customHeight="true" outlineLevel="0" collapsed="false">
      <c r="A111" s="4" t="n">
        <v>45996</v>
      </c>
      <c r="B111" s="2" t="s">
        <v>55</v>
      </c>
      <c r="C111" s="3" t="n">
        <v>125</v>
      </c>
      <c r="D111" s="3" t="n">
        <v>0</v>
      </c>
      <c r="E111" s="3" t="n">
        <f aca="false">E110+C111-D111</f>
        <v>3295</v>
      </c>
      <c r="F111" s="2" t="s">
        <v>39</v>
      </c>
    </row>
    <row r="112" customFormat="false" ht="24" hidden="false" customHeight="true" outlineLevel="0" collapsed="false">
      <c r="A112" s="4" t="n">
        <v>45996</v>
      </c>
      <c r="B112" s="2" t="s">
        <v>56</v>
      </c>
      <c r="C112" s="3" t="n">
        <v>125</v>
      </c>
      <c r="D112" s="3" t="n">
        <v>0</v>
      </c>
      <c r="E112" s="3" t="n">
        <f aca="false">E111+C112-D112</f>
        <v>3420</v>
      </c>
      <c r="F112" s="2" t="s">
        <v>41</v>
      </c>
    </row>
    <row r="113" customFormat="false" ht="24" hidden="false" customHeight="true" outlineLevel="0" collapsed="false">
      <c r="A113" s="4" t="n">
        <v>46006</v>
      </c>
      <c r="B113" s="2" t="s">
        <v>4</v>
      </c>
      <c r="C113" s="3" t="n">
        <v>0</v>
      </c>
      <c r="D113" s="3" t="n">
        <v>400</v>
      </c>
      <c r="E113" s="3" t="n">
        <f aca="false">E112+C113-D113</f>
        <v>3020</v>
      </c>
      <c r="F113" s="2" t="s">
        <v>5</v>
      </c>
    </row>
    <row r="114" customFormat="false" ht="24" hidden="false" customHeight="true" outlineLevel="0" collapsed="false">
      <c r="A114" s="4" t="n">
        <v>46009</v>
      </c>
      <c r="B114" s="2" t="s">
        <v>10</v>
      </c>
      <c r="C114" s="3" t="n">
        <v>0</v>
      </c>
      <c r="D114" s="3" t="n">
        <v>20</v>
      </c>
      <c r="E114" s="3" t="n">
        <f aca="false">E113+C114-D114</f>
        <v>3000</v>
      </c>
      <c r="F114" s="2" t="s">
        <v>11</v>
      </c>
    </row>
    <row r="115" customFormat="false" ht="24" hidden="false" customHeight="true" outlineLevel="0" collapsed="false">
      <c r="A115" s="4" t="n">
        <v>46013</v>
      </c>
      <c r="B115" s="2" t="s">
        <v>12</v>
      </c>
      <c r="C115" s="3" t="n">
        <v>0</v>
      </c>
      <c r="D115" s="3" t="n">
        <v>80</v>
      </c>
      <c r="E115" s="3" t="n">
        <f aca="false">E114+C115-D115</f>
        <v>2920</v>
      </c>
      <c r="F115" s="2" t="s">
        <v>57</v>
      </c>
    </row>
    <row r="116" customFormat="false" ht="24" hidden="false" customHeight="true" outlineLevel="0" collapsed="false">
      <c r="A116" s="4" t="n">
        <v>46020</v>
      </c>
      <c r="B116" s="2" t="s">
        <v>58</v>
      </c>
      <c r="C116" s="3" t="n">
        <v>0</v>
      </c>
      <c r="D116" s="3" t="n">
        <v>5</v>
      </c>
      <c r="E116" s="3" t="n">
        <f aca="false">E115+C116-D116</f>
        <v>2915</v>
      </c>
      <c r="F116" s="2" t="s">
        <v>19</v>
      </c>
    </row>
    <row r="117" customFormat="false" ht="24" hidden="false" customHeight="true" outlineLevel="0" collapsed="false">
      <c r="A117" s="4" t="n">
        <v>46020</v>
      </c>
      <c r="B117" s="2" t="s">
        <v>16</v>
      </c>
      <c r="C117" s="3" t="n">
        <v>0</v>
      </c>
      <c r="D117" s="3" t="n">
        <v>75</v>
      </c>
      <c r="E117" s="3" t="n">
        <f aca="false">E116+C117-D117</f>
        <v>2840</v>
      </c>
      <c r="F117" s="2" t="s">
        <v>17</v>
      </c>
    </row>
    <row r="118" customFormat="false" ht="24" hidden="false" customHeight="true" outlineLevel="0" collapsed="false">
      <c r="A118" s="4" t="n">
        <v>46020</v>
      </c>
      <c r="B118" s="2" t="s">
        <v>60</v>
      </c>
      <c r="C118" s="3" t="n">
        <v>0</v>
      </c>
      <c r="D118" s="3" t="n">
        <v>1500</v>
      </c>
      <c r="E118" s="3" t="n">
        <f aca="false">E117+C118-D118</f>
        <v>1340</v>
      </c>
      <c r="F118" s="2" t="s">
        <v>61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