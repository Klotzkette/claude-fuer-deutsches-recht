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a2391181a446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rgütung" sheetId="1" r:id="Rb0dfc2886d474c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mm yyyy"/>
    <x:numFmt numFmtId="201" formatCode="#,##0.00&quot;  &quot;"/>
  </x:numFmts>
  <x:fonts count="6">
    <x:font>
      <x:sz val="11"/>
      <x:name val="Carlito"/>
    </x:font>
    <x:font>
      <x:sz val="11"/>
      <x:color rgb="FF222222"/>
      <x:name val="Arial"/>
    </x:font>
    <x:font>
      <x:b/>
      <x:sz val="15"/>
      <x:color rgb="FFFFFFFF"/>
      <x:name val="Arial"/>
    </x:font>
    <x:font>
      <x:sz val="10"/>
      <x:color rgb="FF56616B"/>
      <x:name val="Arial"/>
    </x:font>
    <x:font>
      <x:b/>
      <x:sz val="11"/>
      <x:color rgb="FF222222"/>
      <x:name val="Arial"/>
    </x:font>
    <x:font>
      <x:sz val="11"/>
      <x:color rgb="FF1F5B9E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C50"/>
      </x:patternFill>
    </x:fill>
    <x:fill>
      <x:patternFill patternType="solid">
        <x:fgColor rgb="FFE5EBEF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201" fontId="4" fillId="3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d163bb68f74418" /><Relationship Type="http://schemas.openxmlformats.org/officeDocument/2006/relationships/theme" Target="/xl/theme/theme1.xml" Id="R43c12f4389694734" /><Relationship Type="http://schemas.openxmlformats.org/officeDocument/2006/relationships/sharedStrings" Target="/xl/sharedStrings.xml" Id="R3f1ae3af851b47d0" /><Relationship Type="http://schemas.openxmlformats.org/officeDocument/2006/relationships/worksheet" Target="/xl/worksheets/sheet1.xml" Id="Rb0dfc2886d474c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19" hidden="0" customWidth="1"/>
    <x:col min="3" max="3" width="19" hidden="0" customWidth="1"/>
    <x:col min="4" max="4" width="19" hidden="0" customWidth="1"/>
    <x:col min="5" max="5" width="45" hidden="0" customWidth="1"/>
  </x:cols>
  <x:sheetData>
    <x:row r="1" ht="34" customHeight="1">
      <x:c r="A1" s="4" t="str">
        <x:v>Fadenwerk Sensorik GmbH</x:v>
      </x:c>
      <x:c r="B1" s="4"/>
      <x:c r="C1" s="4"/>
      <x:c r="D1" s="4"/>
      <x:c r="E1" s="4"/>
    </x:row>
    <x:row r="2" ht="23" customHeight="1">
      <x:c r="A2" s="5" t="str">
        <x:v>Interne Buchhaltung | Stand 30.09.2026 | Beträge in EUR</x:v>
      </x:c>
      <x:c r="B2" s="5"/>
      <x:c r="C2" s="5"/>
      <x:c r="D2" s="5"/>
      <x:c r="E2" s="5"/>
    </x:row>
    <x:row r="3" ht="23" customHeight="1">
      <x:c r="A3" s="2" t="str">
        <x:v>Leander Vogt | Monatswerte aus der Vertragsablage</x:v>
      </x:c>
      <x:c r="B3" s="2"/>
      <x:c r="C3" s="2"/>
      <x:c r="D3" s="2"/>
      <x:c r="E3" s="2"/>
    </x:row>
    <x:row r="4" ht="36" customHeight="1">
      <x:c r="A4" s="8" t="str">
        <x:v>Monat</x:v>
      </x:c>
      <x:c r="B4" s="9" t="str">
        <x:v>Festvergütung</x:v>
      </x:c>
      <x:c r="C4" s="9" t="str">
        <x:v>Sondervergütung</x:v>
      </x:c>
      <x:c r="D4" s="9" t="str">
        <x:v>Brutto gesamt</x:v>
      </x:c>
      <x:c r="E4" s="8" t="str">
        <x:v>Vertragsgrundlage</x:v>
      </x:c>
    </x:row>
    <x:row r="5" ht="23" customHeight="1">
      <x:c r="A5" s="10" t="n">
        <x:v>45658</x:v>
      </x:c>
      <x:c r="B5" s="14" t="n">
        <x:v>6500</x:v>
      </x:c>
      <x:c r="C5" s="14" t="n">
        <x:v>0</x:v>
      </x:c>
      <x:c r="D5" s="15" t="n">
        <x:f>B5+C5</x:f>
        <x:v>6500</x:v>
      </x:c>
      <x:c r="E5" s="2" t="str">
        <x:v>Anstellungsvertrag, Datei 06</x:v>
      </x:c>
    </x:row>
    <x:row r="6" ht="23" customHeight="1">
      <x:c r="A6" s="10" t="n">
        <x:v>45689</x:v>
      </x:c>
      <x:c r="B6" s="14" t="n">
        <x:v>6500</x:v>
      </x:c>
      <x:c r="C6" s="14" t="n">
        <x:v>0</x:v>
      </x:c>
      <x:c r="D6" s="15" t="n">
        <x:f>B6+C6</x:f>
        <x:v>6500</x:v>
      </x:c>
      <x:c r="E6" s="2" t="str">
        <x:v>Anstellungsvertrag, Datei 06</x:v>
      </x:c>
    </x:row>
    <x:row r="7" ht="23" customHeight="1">
      <x:c r="A7" s="10" t="n">
        <x:v>45717</x:v>
      </x:c>
      <x:c r="B7" s="14" t="n">
        <x:v>6500</x:v>
      </x:c>
      <x:c r="C7" s="14" t="n">
        <x:v>0</x:v>
      </x:c>
      <x:c r="D7" s="15" t="n">
        <x:f>B7+C7</x:f>
        <x:v>6500</x:v>
      </x:c>
      <x:c r="E7" s="2" t="str">
        <x:v>Anstellungsvertrag, Datei 06</x:v>
      </x:c>
    </x:row>
    <x:row r="8" ht="23" customHeight="1">
      <x:c r="A8" s="10" t="n">
        <x:v>45748</x:v>
      </x:c>
      <x:c r="B8" s="14" t="n">
        <x:v>6500</x:v>
      </x:c>
      <x:c r="C8" s="14" t="n">
        <x:v>0</x:v>
      </x:c>
      <x:c r="D8" s="15" t="n">
        <x:f>B8+C8</x:f>
        <x:v>6500</x:v>
      </x:c>
      <x:c r="E8" s="2" t="str">
        <x:v>Anstellungsvertrag, Datei 06</x:v>
      </x:c>
    </x:row>
    <x:row r="9" ht="23" customHeight="1">
      <x:c r="A9" s="10" t="n">
        <x:v>45778</x:v>
      </x:c>
      <x:c r="B9" s="14" t="n">
        <x:v>6500</x:v>
      </x:c>
      <x:c r="C9" s="14" t="n">
        <x:v>0</x:v>
      </x:c>
      <x:c r="D9" s="15" t="n">
        <x:f>B9+C9</x:f>
        <x:v>6500</x:v>
      </x:c>
      <x:c r="E9" s="2" t="str">
        <x:v>Anstellungsvertrag, Datei 06</x:v>
      </x:c>
    </x:row>
    <x:row r="10" ht="23" customHeight="1">
      <x:c r="A10" s="10" t="n">
        <x:v>45809</x:v>
      </x:c>
      <x:c r="B10" s="14" t="n">
        <x:v>6500</x:v>
      </x:c>
      <x:c r="C10" s="14" t="n">
        <x:v>0</x:v>
      </x:c>
      <x:c r="D10" s="15" t="n">
        <x:f>B10+C10</x:f>
        <x:v>6500</x:v>
      </x:c>
      <x:c r="E10" s="2" t="str">
        <x:v>Anstellungsvertrag, Datei 06</x:v>
      </x:c>
    </x:row>
    <x:row r="11" ht="23" customHeight="1">
      <x:c r="A11" s="10" t="n">
        <x:v>45839</x:v>
      </x:c>
      <x:c r="B11" s="14" t="n">
        <x:v>6500</x:v>
      </x:c>
      <x:c r="C11" s="14" t="n">
        <x:v>0</x:v>
      </x:c>
      <x:c r="D11" s="15" t="n">
        <x:f>B11+C11</x:f>
        <x:v>6500</x:v>
      </x:c>
      <x:c r="E11" s="2" t="str">
        <x:v>Anstellungsvertrag, Datei 06</x:v>
      </x:c>
    </x:row>
    <x:row r="12" ht="23" customHeight="1">
      <x:c r="A12" s="10" t="n">
        <x:v>45870</x:v>
      </x:c>
      <x:c r="B12" s="14" t="n">
        <x:v>6500</x:v>
      </x:c>
      <x:c r="C12" s="14" t="n">
        <x:v>0</x:v>
      </x:c>
      <x:c r="D12" s="15" t="n">
        <x:f>B12+C12</x:f>
        <x:v>6500</x:v>
      </x:c>
      <x:c r="E12" s="2" t="str">
        <x:v>Anstellungsvertrag, Datei 06</x:v>
      </x:c>
    </x:row>
    <x:row r="13" ht="23" customHeight="1">
      <x:c r="A13" s="10" t="n">
        <x:v>45901</x:v>
      </x:c>
      <x:c r="B13" s="14" t="n">
        <x:v>6500</x:v>
      </x:c>
      <x:c r="C13" s="14" t="n">
        <x:v>0</x:v>
      </x:c>
      <x:c r="D13" s="15" t="n">
        <x:f>B13+C13</x:f>
        <x:v>6500</x:v>
      </x:c>
      <x:c r="E13" s="2" t="str">
        <x:v>Anstellungsvertrag, Datei 06</x:v>
      </x:c>
    </x:row>
    <x:row r="14" ht="23" customHeight="1">
      <x:c r="A14" s="10" t="n">
        <x:v>45931</x:v>
      </x:c>
      <x:c r="B14" s="14" t="n">
        <x:v>6500</x:v>
      </x:c>
      <x:c r="C14" s="14" t="n">
        <x:v>0</x:v>
      </x:c>
      <x:c r="D14" s="15" t="n">
        <x:f>B14+C14</x:f>
        <x:v>6500</x:v>
      </x:c>
      <x:c r="E14" s="2" t="str">
        <x:v>Anstellungsvertrag, Datei 06</x:v>
      </x:c>
    </x:row>
    <x:row r="15" ht="23" customHeight="1">
      <x:c r="A15" s="10" t="n">
        <x:v>45962</x:v>
      </x:c>
      <x:c r="B15" s="14" t="n">
        <x:v>6500</x:v>
      </x:c>
      <x:c r="C15" s="14" t="n">
        <x:v>0</x:v>
      </x:c>
      <x:c r="D15" s="15" t="n">
        <x:f>B15+C15</x:f>
        <x:v>6500</x:v>
      </x:c>
      <x:c r="E15" s="2" t="str">
        <x:v>Anstellungsvertrag, Datei 06</x:v>
      </x:c>
    </x:row>
    <x:row r="16" ht="23" customHeight="1">
      <x:c r="A16" s="10" t="n">
        <x:v>45992</x:v>
      </x:c>
      <x:c r="B16" s="14" t="n">
        <x:v>6500</x:v>
      </x:c>
      <x:c r="C16" s="14" t="n">
        <x:v>0</x:v>
      </x:c>
      <x:c r="D16" s="15" t="n">
        <x:f>B16+C16</x:f>
        <x:v>6500</x:v>
      </x:c>
      <x:c r="E16" s="2" t="str">
        <x:v>Anstellungsvertrag, Datei 06</x:v>
      </x:c>
    </x:row>
    <x:row r="17" ht="23" customHeight="1">
      <x:c r="A17" s="10" t="n">
        <x:v>46023</x:v>
      </x:c>
      <x:c r="B17" s="14" t="n">
        <x:v>7200</x:v>
      </x:c>
      <x:c r="C17" s="14" t="n">
        <x:v>0</x:v>
      </x:c>
      <x:c r="D17" s="15" t="n">
        <x:f>B17+C17</x:f>
        <x:v>7200</x:v>
      </x:c>
      <x:c r="E17" s="2" t="str">
        <x:v>Nachtrag 12.12.2025, Datei 11</x:v>
      </x:c>
    </x:row>
    <x:row r="18" ht="23" customHeight="1">
      <x:c r="A18" s="10" t="n">
        <x:v>46054</x:v>
      </x:c>
      <x:c r="B18" s="14" t="n">
        <x:v>7200</x:v>
      </x:c>
      <x:c r="C18" s="14" t="n">
        <x:v>0</x:v>
      </x:c>
      <x:c r="D18" s="15" t="n">
        <x:f>B18+C18</x:f>
        <x:v>7200</x:v>
      </x:c>
      <x:c r="E18" s="2" t="str">
        <x:v>Nachtrag 12.12.2025, Datei 11</x:v>
      </x:c>
    </x:row>
    <x:row r="19" ht="23" customHeight="1">
      <x:c r="A19" s="10" t="n">
        <x:v>46082</x:v>
      </x:c>
      <x:c r="B19" s="14" t="n">
        <x:v>7200</x:v>
      </x:c>
      <x:c r="C19" s="14" t="n">
        <x:v>0</x:v>
      </x:c>
      <x:c r="D19" s="15" t="n">
        <x:f>B19+C19</x:f>
        <x:v>7200</x:v>
      </x:c>
      <x:c r="E19" s="2" t="str">
        <x:v>Nachtrag 12.12.2025, Datei 11</x:v>
      </x:c>
    </x:row>
    <x:row r="20" ht="23" customHeight="1">
      <x:c r="A20" s="10" t="n">
        <x:v>46113</x:v>
      </x:c>
      <x:c r="B20" s="14" t="n">
        <x:v>7200</x:v>
      </x:c>
      <x:c r="C20" s="14" t="n">
        <x:v>0</x:v>
      </x:c>
      <x:c r="D20" s="15" t="n">
        <x:f>B20+C20</x:f>
        <x:v>7200</x:v>
      </x:c>
      <x:c r="E20" s="2" t="str">
        <x:v>Nachtrag 12.12.2025, Datei 11</x:v>
      </x:c>
    </x:row>
    <x:row r="21" ht="23" customHeight="1">
      <x:c r="A21" s="10" t="n">
        <x:v>46143</x:v>
      </x:c>
      <x:c r="B21" s="14" t="n">
        <x:v>7200</x:v>
      </x:c>
      <x:c r="C21" s="14" t="n">
        <x:v>0</x:v>
      </x:c>
      <x:c r="D21" s="15" t="n">
        <x:f>B21+C21</x:f>
        <x:v>7200</x:v>
      </x:c>
      <x:c r="E21" s="2" t="str">
        <x:v>Nachtrag 12.12.2025, Datei 11</x:v>
      </x:c>
    </x:row>
    <x:row r="22" ht="23" customHeight="1">
      <x:c r="A22" s="10" t="n">
        <x:v>46174</x:v>
      </x:c>
      <x:c r="B22" s="14" t="n">
        <x:v>7200</x:v>
      </x:c>
      <x:c r="C22" s="14" t="n">
        <x:v>0</x:v>
      </x:c>
      <x:c r="D22" s="15" t="n">
        <x:f>B22+C22</x:f>
        <x:v>7200</x:v>
      </x:c>
      <x:c r="E22" s="2" t="str">
        <x:v>Nachtrag 12.12.2025, Datei 11</x:v>
      </x:c>
    </x:row>
    <x:row r="23" ht="23" customHeight="1">
      <x:c r="A23" s="10" t="n">
        <x:v>46204</x:v>
      </x:c>
      <x:c r="B23" s="14" t="n">
        <x:v>7200</x:v>
      </x:c>
      <x:c r="C23" s="14" t="n">
        <x:v>0</x:v>
      </x:c>
      <x:c r="D23" s="15" t="n">
        <x:f>B23+C23</x:f>
        <x:v>7200</x:v>
      </x:c>
      <x:c r="E23" s="2" t="str">
        <x:v>Nachtrag 12.12.2025, Datei 11</x:v>
      </x:c>
    </x:row>
    <x:row r="24" ht="23" customHeight="1">
      <x:c r="A24" s="10" t="n">
        <x:v>46235</x:v>
      </x:c>
      <x:c r="B24" s="14" t="n">
        <x:v>7200</x:v>
      </x:c>
      <x:c r="C24" s="14" t="n">
        <x:v>0</x:v>
      </x:c>
      <x:c r="D24" s="15" t="n">
        <x:f>B24+C24</x:f>
        <x:v>7200</x:v>
      </x:c>
      <x:c r="E24" s="2" t="str">
        <x:v>Nachtrag 12.12.2025, Datei 11</x:v>
      </x:c>
    </x:row>
    <x:row r="25" ht="23" customHeight="1">
      <x:c r="A25" s="10" t="n">
        <x:v>46266</x:v>
      </x:c>
      <x:c r="B25" s="14" t="n">
        <x:v>7200</x:v>
      </x:c>
      <x:c r="C25" s="14" t="n">
        <x:v>0</x:v>
      </x:c>
      <x:c r="D25" s="15" t="n">
        <x:f>B25+C25</x:f>
        <x:v>7200</x:v>
      </x:c>
      <x:c r="E25" s="2" t="str">
        <x:v>Nachtrag 12.12.2025, Datei 11</x:v>
      </x:c>
    </x:row>
    <x:row r="26" ht="23" customHeight="1">
      <x:c r="A26" s="2"/>
      <x:c r="B26" s="15"/>
      <x:c r="C26" s="15"/>
      <x:c r="D26" s="15"/>
      <x:c r="E26" s="2"/>
    </x:row>
    <x:row r="27" ht="23" customHeight="1">
      <x:c r="A27" s="7" t="str">
        <x:v>Jahr 2025</x:v>
      </x:c>
      <x:c r="B27" s="17"/>
      <x:c r="C27" s="17"/>
      <x:c r="D27" s="17" t="n">
        <x:f>SUM(D5:D16)</x:f>
        <x:v>78000</x:v>
      </x:c>
      <x:c r="E27" s="7"/>
    </x:row>
    <x:row r="28" ht="23" customHeight="1">
      <x:c r="A28" s="7" t="str">
        <x:v>Januar bis September 2026</x:v>
      </x:c>
      <x:c r="B28" s="17"/>
      <x:c r="C28" s="17"/>
      <x:c r="D28" s="17" t="n">
        <x:f>SUM(D17:D25)</x:f>
        <x:v>64800</x:v>
      </x:c>
      <x:c r="E28" s="7"/>
    </x:row>
    <x:row r="29" ht="23" customHeight="1">
      <x:c r="A29" s="7" t="str">
        <x:v>Gesamter dokumentierter Zeitraum</x:v>
      </x:c>
      <x:c r="B29" s="17"/>
      <x:c r="C29" s="17"/>
      <x:c r="D29" s="17" t="n">
        <x:f>SUM(D27:D28)</x:f>
        <x:v>142800</x:v>
      </x:c>
      <x:c r="E29" s="7"/>
    </x:row>
    <x:row r="30" ht="23" customHeight="1">
      <x:c r="A30" s="2"/>
      <x:c r="B30" s="2"/>
      <x:c r="C30" s="2"/>
      <x:c r="D30" s="2"/>
      <x:c r="E30" s="2"/>
    </x:row>
    <x:row r="31" ht="23" customHeight="1">
      <x:c r="A31" s="19" t="str">
        <x:v>Auslagen und Gesellschafterdarlehen sind hier nicht als Vergütung erfasst. Zahlungsübersicht: Datei 25; Einzelabrechnung und Bankbuchung August: Dateien 12 und 13.</x:v>
      </x:c>
      <x:c r="B31" s="19"/>
      <x:c r="C31" s="19"/>
      <x:c r="D31" s="19"/>
      <x:c r="E31" s="19"/>
    </x:row>
    <x:row r="32" ht="23" customHeight="1">
      <x:c r="A32" s="19"/>
      <x:c r="B32" s="19"/>
      <x:c r="C32" s="19"/>
      <x:c r="D32" s="19"/>
      <x:c r="E32" s="19"/>
    </x:row>
    <x:row r="33" ht="23" customHeight="1">
      <x:c r="A33" s="2"/>
      <x:c r="B33" s="2"/>
      <x:c r="C33" s="2"/>
      <x:c r="D33" s="2"/>
      <x:c r="E33" s="2"/>
    </x:row>
    <x:row r="34" ht="23" customHeight="1">
      <x:c r="A34" s="2"/>
      <x:c r="B34" s="2"/>
      <x:c r="C34" s="2"/>
      <x:c r="D34" s="2"/>
      <x:c r="E34" s="2"/>
    </x:row>
  </x:sheetData>
  <x:mergeCells>
    <x:mergeCell ref="A1:E1"/>
    <x:mergeCell ref="A2:E2"/>
    <x:mergeCell ref="A3:E3"/>
    <x:mergeCell ref="A27:C27"/>
    <x:mergeCell ref="A28:C28"/>
    <x:mergeCell ref="A29:C29"/>
    <x:mergeCell ref="A31:E32"/>
  </x:mergeCells>
  <x:pageMargins left="0.7" right="0.7" top="0.75" bottom="0.75" header="0.3" footer="0.3"/>
</x:worksheet>
</file>