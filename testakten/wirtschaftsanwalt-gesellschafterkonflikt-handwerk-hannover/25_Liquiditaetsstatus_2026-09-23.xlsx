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7d9ebf96f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hlungsstand" sheetId="1" r:id="R03be6e817479402d"/>
    <x:sheet xmlns:r="http://schemas.openxmlformats.org/officeDocument/2006/relationships" name="Eingänge" sheetId="2" r:id="Reb19d615eb3841cf"/>
    <x:sheet xmlns:r="http://schemas.openxmlformats.org/officeDocument/2006/relationships" name="Ausgänge" sheetId="3" r:id="R1e4a35c304914740"/>
  </x:sheets>
  <x:definedNames>
    <x:definedName name="_xlnm.Print_Area" localSheetId="0">'Zahlungsstand'!$A$1:$F$33</x:definedName>
    <x:definedName name="_xlnm.Print_Area" localSheetId="1">'Eingänge'!$A$1:$F$24</x:definedName>
    <x:definedName name="_xlnm.Print_Area" localSheetId="2">'Ausgänge'!$A$1:$F$24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yyyy-mm-dd"/>
    <x:numFmt numFmtId="202" formatCode="#,##0.00;(#,##0.00);0.00"/>
  </x:numFmts>
  <x:fonts count="10">
    <x:font>
      <x:sz val="11"/>
      <x:name val="Carlito"/>
    </x:font>
    <x:font>
      <x:sz val="11"/>
      <x:color rgb="FF202427"/>
      <x:name val="Times New Roman"/>
    </x:font>
    <x:font>
      <x:b/>
      <x:sz val="16"/>
      <x:color rgb="FF202427"/>
      <x:name val="Times New Roman"/>
    </x:font>
    <x:font>
      <x:b/>
      <x:sz val="11"/>
      <x:color rgb="FFFFFFFF"/>
      <x:name val="Times New Roman"/>
    </x:font>
    <x:font>
      <x:sz val="11"/>
      <x:color rgb="FF16191C"/>
      <x:name val="Times New Roman"/>
    </x:font>
    <x:font>
      <x:sz val="11"/>
      <x:color rgb="FF276647"/>
      <x:name val="Times New Roman"/>
    </x:font>
    <x:font>
      <x:sz val="11"/>
      <x:color rgb="FF2054A0"/>
      <x:name val="Times New Roman"/>
    </x:font>
    <x:font>
      <x:b/>
      <x:sz val="11"/>
      <x:color rgb="FF202427"/>
      <x:name val="Times New Roman"/>
    </x:font>
    <x:font>
      <x:b/>
      <x:sz val="11"/>
      <x:color rgb="FF16191C"/>
      <x:name val="Times New Roman"/>
    </x:font>
    <x:font>
      <x:b/>
      <x:sz val="11"/>
      <x:color rgb="FF276647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354E48"/>
      </x:patternFill>
    </x:fill>
    <x:fill>
      <x:patternFill patternType="solid">
        <x:fgColor rgb="FFFFF4D4"/>
      </x:patternFill>
    </x:fill>
    <x:fill>
      <x:patternFill patternType="solid">
        <x:fgColor rgb="FFE6EEEB"/>
      </x:patternFill>
    </x:fill>
  </x:fills>
  <x:borders count="3">
    <x:border/>
    <x:border>
      <x:bottom style="thin">
        <x:color rgb="FF80918C"/>
      </x:bottom>
    </x:border>
    <x:border>
      <x:top style="thin">
        <x:color rgb="FF869790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200" fontId="8" fillId="4" borderId="2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7" fillId="4" borderId="2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D342C"/>
      </x:font>
      <x:fill>
        <x:patternFill patternType="solid">
          <x:bgColor rgb="FFF9E6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7c2850b7f464f" /><Relationship Type="http://schemas.openxmlformats.org/officeDocument/2006/relationships/theme" Target="/xl/theme/theme1.xml" Id="R2fbd48ba20454dc9" /><Relationship Type="http://schemas.openxmlformats.org/officeDocument/2006/relationships/sharedStrings" Target="/xl/sharedStrings.xml" Id="Rd42f27398eed475a" /><Relationship Type="http://schemas.openxmlformats.org/officeDocument/2006/relationships/worksheet" Target="/xl/worksheets/sheet1.xml" Id="R03be6e817479402d" /><Relationship Type="http://schemas.openxmlformats.org/officeDocument/2006/relationships/worksheet" Target="/xl/worksheets/sheet2.xml" Id="Reb19d615eb3841cf" /><Relationship Type="http://schemas.openxmlformats.org/officeDocument/2006/relationships/worksheet" Target="/xl/worksheets/sheet3.xml" Id="R1e4a35c3049147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6.110000610351562" hidden="0" customWidth="1"/>
    <x:col min="6" max="6" width="20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30" customHeight="1">
      <x:c r="A2" s="3" t="str">
        <x:v>NB Gebäudetechnik Zahlungsstand</x:v>
      </x:c>
      <x:c r="B2" s="2"/>
      <x:c r="C2" s="2"/>
      <x:c r="D2" s="2"/>
      <x:c r="E2" s="2"/>
      <x:c r="F2" s="2"/>
    </x:row>
    <x:row r="3" ht="16" customHeight="1">
      <x:c r="A3" s="4" t="str">
        <x:v>Bettina Kruse · 23.09.2026, 13:00 Uhr · Beträge EUR · Planung bis 02.10.2026</x:v>
      </x:c>
      <x:c r="B3" s="4"/>
      <x:c r="C3" s="4"/>
      <x:c r="D3" s="4"/>
      <x:c r="E3" s="4"/>
      <x:c r="F3" s="4"/>
    </x:row>
    <x:row r="4" ht="16" customHeight="1">
      <x:c r="A4" s="2"/>
      <x:c r="B4" s="2"/>
      <x:c r="C4" s="2"/>
      <x:c r="D4" s="2"/>
      <x:c r="E4" s="2"/>
      <x:c r="F4" s="2"/>
    </x:row>
    <x:row r="5" ht="16" customHeight="1">
      <x:c r="A5" s="2" t="str">
        <x:v>Bank gebucht</x:v>
      </x:c>
      <x:c r="B5" s="16" t="n">
        <x:v>-14250.6</x:v>
      </x:c>
      <x:c r="C5" s="2" t="str">
        <x:v>18 Bankansicht vom 23.09., 08:10 Uhr</x:v>
      </x:c>
      <x:c r="D5" s="2"/>
      <x:c r="E5" s="2"/>
      <x:c r="F5" s="2"/>
    </x:row>
    <x:row r="6" ht="16" customHeight="1">
      <x:c r="A6" s="2" t="str">
        <x:v>Kreditlinie gültig</x:v>
      </x:c>
      <x:c r="B6" s="16" t="n">
        <x:v>40000</x:v>
      </x:c>
      <x:c r="C6" s="2" t="str">
        <x:v>17 Bankbrief / 22 Anrufnotiz, bislang unverändert</x:v>
      </x:c>
      <x:c r="D6" s="2"/>
      <x:c r="E6" s="2"/>
      <x:c r="F6" s="2"/>
    </x:row>
    <x:row r="7" ht="16" customHeight="1">
      <x:c r="A7" s="2" t="str">
        <x:v>Vormerkungen</x:v>
      </x:c>
      <x:c r="B7" s="16" t="n">
        <x:v>0</x:v>
      </x:c>
      <x:c r="C7" s="2" t="str">
        <x:v>18 Bankansicht; keine weiteren Konten laut 22 Anrufnotiz</x:v>
      </x:c>
      <x:c r="D7" s="2"/>
      <x:c r="E7" s="2"/>
      <x:c r="F7" s="2"/>
    </x:row>
    <x:row r="8" ht="16" customHeight="1">
      <x:c r="A8" s="2" t="str">
        <x:v>Stichtag</x:v>
      </x:c>
      <x:c r="B8" s="15" t="n">
        <x:v>46288</x:v>
      </x:c>
      <x:c r="C8" s="2" t="str">
        <x:v>Planende</x:v>
      </x:c>
      <x:c r="D8" s="15" t="n">
        <x:v>46297</x:v>
      </x:c>
      <x:c r="E8" s="2"/>
      <x:c r="F8" s="2"/>
    </x:row>
    <x:row r="9" ht="16" customHeight="1">
      <x:c r="A9" s="25" t="str">
        <x:v>Verfügbar</x:v>
      </x:c>
      <x:c r="B9" s="26" t="n">
        <x:f>B5+B6-B7</x:f>
        <x:v>25749.4</x:v>
      </x:c>
      <x:c r="C9" s="2"/>
      <x:c r="D9" s="2"/>
      <x:c r="E9" s="2"/>
      <x:c r="F9" s="2"/>
    </x:row>
    <x:row r="10" ht="16" customHeight="1">
      <x:c r="A10" s="2"/>
      <x:c r="B10" s="2"/>
      <x:c r="C10" s="2"/>
      <x:c r="D10" s="2"/>
      <x:c r="E10" s="2"/>
      <x:c r="F10" s="2"/>
    </x:row>
    <x:row r="11" ht="32" customHeight="1">
      <x:c r="A11" s="8" t="str">
        <x:v>Tag</x:v>
      </x:c>
      <x:c r="B11" s="8" t="str">
        <x:v>Anfang Bank</x:v>
      </x:c>
      <x:c r="C11" s="8" t="str">
        <x:v>Eingänge</x:v>
      </x:c>
      <x:c r="D11" s="8" t="str">
        <x:v>Ausgänge</x:v>
      </x:c>
      <x:c r="E11" s="8" t="str">
        <x:v>Bank rechnerisch</x:v>
      </x:c>
      <x:c r="F11" s="8" t="str">
        <x:v>Mit gültiger Linie</x:v>
      </x:c>
    </x:row>
    <x:row r="12" ht="16" customHeight="1">
      <x:c r="A12" s="15" t="n">
        <x:v>46288</x:v>
      </x:c>
      <x:c r="B12" s="13" t="n">
        <x:f>$B$5</x:f>
        <x:v>-14250.6</x:v>
      </x:c>
      <x:c r="C12" s="20" t="n">
        <x:f>SUMIFS('Eingänge'!$C$6:$C$10,'Eingänge'!$E$6:$E$10,A12)</x:f>
        <x:v>0</x:v>
      </x:c>
      <x:c r="D12" s="20" t="n">
        <x:f>SUMIFS('Ausgänge'!$C$6:$C$16,'Ausgänge'!$E$6:$E$16,A12)</x:f>
        <x:v>29274</x:v>
      </x:c>
      <x:c r="E12" s="13" t="n">
        <x:f>B12+C12-D12</x:f>
        <x:v>-43524.6</x:v>
      </x:c>
      <x:c r="F12" s="13" t="n">
        <x:f>E12+$B$6-$B$7</x:f>
        <x:v>-3524.5999999999985</x:v>
      </x:c>
    </x:row>
    <x:row r="13" ht="16" customHeight="1">
      <x:c r="A13" s="15" t="n">
        <x:v>46289</x:v>
      </x:c>
      <x:c r="B13" s="13" t="n">
        <x:f>E12</x:f>
        <x:v>-43524.6</x:v>
      </x:c>
      <x:c r="C13" s="20" t="n">
        <x:f>SUMIFS('Eingänge'!$C$6:$C$10,'Eingänge'!$E$6:$E$10,A13)</x:f>
        <x:v>0</x:v>
      </x:c>
      <x:c r="D13" s="20" t="n">
        <x:f>SUMIFS('Ausgänge'!$C$6:$C$16,'Ausgänge'!$E$6:$E$16,A13)</x:f>
        <x:v>0</x:v>
      </x:c>
      <x:c r="E13" s="13" t="n">
        <x:f>B13+C13-D13</x:f>
        <x:v>-43524.6</x:v>
      </x:c>
      <x:c r="F13" s="13" t="n">
        <x:f>E13+$B$6-$B$7</x:f>
        <x:v>-3524.5999999999985</x:v>
      </x:c>
    </x:row>
    <x:row r="14" ht="16" customHeight="1">
      <x:c r="A14" s="15" t="n">
        <x:v>46290</x:v>
      </x:c>
      <x:c r="B14" s="13" t="n">
        <x:f>E13</x:f>
        <x:v>-43524.6</x:v>
      </x:c>
      <x:c r="C14" s="20" t="n">
        <x:f>SUMIFS('Eingänge'!$C$6:$C$10,'Eingänge'!$E$6:$E$10,A14)</x:f>
        <x:v>8450</x:v>
      </x:c>
      <x:c r="D14" s="20" t="n">
        <x:f>SUMIFS('Ausgänge'!$C$6:$C$16,'Ausgänge'!$E$6:$E$16,A14)</x:f>
        <x:v>4879</x:v>
      </x:c>
      <x:c r="E14" s="13" t="n">
        <x:f>B14+C14-D14</x:f>
        <x:v>-39953.6</x:v>
      </x:c>
      <x:c r="F14" s="13" t="n">
        <x:f>E14+$B$6-$B$7</x:f>
        <x:v>46.400000000001455</x:v>
      </x:c>
    </x:row>
    <x:row r="15" ht="16" customHeight="1">
      <x:c r="A15" s="15" t="n">
        <x:v>46291</x:v>
      </x:c>
      <x:c r="B15" s="13" t="n">
        <x:f>E14</x:f>
        <x:v>-39953.6</x:v>
      </x:c>
      <x:c r="C15" s="20" t="n">
        <x:f>SUMIFS('Eingänge'!$C$6:$C$10,'Eingänge'!$E$6:$E$10,A15)</x:f>
        <x:v>0</x:v>
      </x:c>
      <x:c r="D15" s="20" t="n">
        <x:f>SUMIFS('Ausgänge'!$C$6:$C$16,'Ausgänge'!$E$6:$E$16,A15)</x:f>
        <x:v>0</x:v>
      </x:c>
      <x:c r="E15" s="13" t="n">
        <x:f>B15+C15-D15</x:f>
        <x:v>-39953.6</x:v>
      </x:c>
      <x:c r="F15" s="13" t="n">
        <x:f>E15+$B$6-$B$7</x:f>
        <x:v>46.400000000001455</x:v>
      </x:c>
    </x:row>
    <x:row r="16" ht="16" customHeight="1">
      <x:c r="A16" s="15" t="n">
        <x:v>46292</x:v>
      </x:c>
      <x:c r="B16" s="13" t="n">
        <x:f>E15</x:f>
        <x:v>-39953.6</x:v>
      </x:c>
      <x:c r="C16" s="20" t="n">
        <x:f>SUMIFS('Eingänge'!$C$6:$C$10,'Eingänge'!$E$6:$E$10,A16)</x:f>
        <x:v>0</x:v>
      </x:c>
      <x:c r="D16" s="20" t="n">
        <x:f>SUMIFS('Ausgänge'!$C$6:$C$16,'Ausgänge'!$E$6:$E$16,A16)</x:f>
        <x:v>0</x:v>
      </x:c>
      <x:c r="E16" s="13" t="n">
        <x:f>B16+C16-D16</x:f>
        <x:v>-39953.6</x:v>
      </x:c>
      <x:c r="F16" s="13" t="n">
        <x:f>E16+$B$6-$B$7</x:f>
        <x:v>46.400000000001455</x:v>
      </x:c>
    </x:row>
    <x:row r="17" ht="16" customHeight="1">
      <x:c r="A17" s="15" t="n">
        <x:v>46293</x:v>
      </x:c>
      <x:c r="B17" s="13" t="n">
        <x:f>E16</x:f>
        <x:v>-39953.6</x:v>
      </x:c>
      <x:c r="C17" s="20" t="n">
        <x:f>SUMIFS('Eingänge'!$C$6:$C$10,'Eingänge'!$E$6:$E$10,A17)</x:f>
        <x:v>0</x:v>
      </x:c>
      <x:c r="D17" s="20" t="n">
        <x:f>SUMIFS('Ausgänge'!$C$6:$C$16,'Ausgänge'!$E$6:$E$16,A17)</x:f>
        <x:v>19103.9</x:v>
      </x:c>
      <x:c r="E17" s="13" t="n">
        <x:f>B17+C17-D17</x:f>
        <x:v>-59057.5</x:v>
      </x:c>
      <x:c r="F17" s="13" t="n">
        <x:f>E17+$B$6-$B$7</x:f>
        <x:v>-19057.5</x:v>
      </x:c>
    </x:row>
    <x:row r="18" ht="16" customHeight="1">
      <x:c r="A18" s="15" t="n">
        <x:v>46294</x:v>
      </x:c>
      <x:c r="B18" s="13" t="n">
        <x:f>E17</x:f>
        <x:v>-59057.5</x:v>
      </x:c>
      <x:c r="C18" s="20" t="n">
        <x:f>SUMIFS('Eingänge'!$C$6:$C$10,'Eingänge'!$E$6:$E$10,A18)</x:f>
        <x:v>9790</x:v>
      </x:c>
      <x:c r="D18" s="20" t="n">
        <x:f>SUMIFS('Ausgänge'!$C$6:$C$16,'Ausgänge'!$E$6:$E$16,A18)</x:f>
        <x:v>0</x:v>
      </x:c>
      <x:c r="E18" s="13" t="n">
        <x:f>B18+C18-D18</x:f>
        <x:v>-49267.5</x:v>
      </x:c>
      <x:c r="F18" s="13" t="n">
        <x:f>E18+$B$6-$B$7</x:f>
        <x:v>-9267.5</x:v>
      </x:c>
    </x:row>
    <x:row r="19" ht="16" customHeight="1">
      <x:c r="A19" s="15" t="n">
        <x:v>46295</x:v>
      </x:c>
      <x:c r="B19" s="13" t="n">
        <x:f>E18</x:f>
        <x:v>-49267.5</x:v>
      </x:c>
      <x:c r="C19" s="20" t="n">
        <x:f>SUMIFS('Eingänge'!$C$6:$C$10,'Eingänge'!$E$6:$E$10,A19)</x:f>
        <x:v>0</x:v>
      </x:c>
      <x:c r="D19" s="20" t="n">
        <x:f>SUMIFS('Ausgänge'!$C$6:$C$16,'Ausgänge'!$E$6:$E$16,A19)</x:f>
        <x:v>40808.4</x:v>
      </x:c>
      <x:c r="E19" s="13" t="n">
        <x:f>B19+C19-D19</x:f>
        <x:v>-90075.9</x:v>
      </x:c>
      <x:c r="F19" s="13" t="n">
        <x:f>E19+$B$6-$B$7</x:f>
        <x:v>-50075.899999999994</x:v>
      </x:c>
    </x:row>
    <x:row r="20" ht="16" customHeight="1">
      <x:c r="A20" s="15" t="n">
        <x:v>46296</x:v>
      </x:c>
      <x:c r="B20" s="13" t="n">
        <x:f>E19</x:f>
        <x:v>-90075.9</x:v>
      </x:c>
      <x:c r="C20" s="20" t="n">
        <x:f>SUMIFS('Eingänge'!$C$6:$C$10,'Eingänge'!$E$6:$E$10,A20)</x:f>
        <x:v>0</x:v>
      </x:c>
      <x:c r="D20" s="20" t="n">
        <x:f>SUMIFS('Ausgänge'!$C$6:$C$16,'Ausgänge'!$E$6:$E$16,A20)</x:f>
        <x:v>3450</x:v>
      </x:c>
      <x:c r="E20" s="13" t="n">
        <x:f>B20+C20-D20</x:f>
        <x:v>-93525.9</x:v>
      </x:c>
      <x:c r="F20" s="13" t="n">
        <x:f>E20+$B$6-$B$7</x:f>
        <x:v>-53525.899999999994</x:v>
      </x:c>
    </x:row>
    <x:row r="21" ht="16" customHeight="1">
      <x:c r="A21" s="15" t="n">
        <x:v>46297</x:v>
      </x:c>
      <x:c r="B21" s="13" t="n">
        <x:f>E20</x:f>
        <x:v>-93525.9</x:v>
      </x:c>
      <x:c r="C21" s="20" t="n">
        <x:f>SUMIFS('Eingänge'!$C$6:$C$10,'Eingänge'!$E$6:$E$10,A21)</x:f>
        <x:v>0</x:v>
      </x:c>
      <x:c r="D21" s="20" t="n">
        <x:f>SUMIFS('Ausgänge'!$C$6:$C$16,'Ausgänge'!$E$6:$E$16,A21)</x:f>
        <x:v>892.5</x:v>
      </x:c>
      <x:c r="E21" s="13" t="n">
        <x:f>B21+C21-D21</x:f>
        <x:v>-94418.4</x:v>
      </x:c>
      <x:c r="F21" s="13" t="n">
        <x:f>E21+$B$6-$B$7</x:f>
        <x:v>-54418.399999999994</x:v>
      </x:c>
    </x:row>
    <x:row r="22" ht="16" customHeight="1">
      <x:c r="A22" s="2"/>
      <x:c r="B22" s="12"/>
      <x:c r="C22" s="12"/>
      <x:c r="D22" s="12"/>
      <x:c r="E22" s="12"/>
      <x:c r="F22" s="12"/>
    </x:row>
    <x:row r="23" ht="16" customHeight="1">
      <x:c r="A23" s="25" t="str">
        <x:v>Summe im Zeitraum</x:v>
      </x:c>
      <x:c r="B23" s="29"/>
      <x:c r="C23" s="26" t="n">
        <x:f>SUM(C12:C21)</x:f>
        <x:v>18240</x:v>
      </x:c>
      <x:c r="D23" s="26" t="n">
        <x:f>SUM(D12:D21)</x:f>
        <x:v>98407.8</x:v>
      </x:c>
      <x:c r="E23" s="29"/>
      <x:c r="F23" s="29"/>
    </x:row>
    <x:row r="24" ht="16" customHeight="1">
      <x:c r="A24" s="23" t="str">
        <x:v>Stand am Planende</x:v>
      </x:c>
      <x:c r="B24" s="28"/>
      <x:c r="C24" s="28"/>
      <x:c r="D24" s="28"/>
      <x:c r="E24" s="24" t="n">
        <x:f>E21</x:f>
        <x:v>-94418.4</x:v>
      </x:c>
      <x:c r="F24" s="24" t="n">
        <x:f>F21</x:f>
        <x:v>-54418.399999999994</x:v>
      </x:c>
    </x:row>
    <x:row r="25" ht="16" customHeight="1">
      <x:c r="A25" s="2"/>
      <x:c r="B25" s="2"/>
      <x:c r="C25" s="2"/>
      <x:c r="D25" s="2"/>
      <x:c r="E25" s="2"/>
      <x:c r="F25" s="2"/>
    </x:row>
    <x:row r="26" ht="16" customHeight="1">
      <x:c r="A26" s="2" t="str">
        <x:v>Zusatzlinie 30.000 EUR: noch nicht freigeschaltet, ohne Ansatz (17 Bankbrief / 22 Anruf).</x:v>
      </x:c>
      <x:c r="B26" s="2"/>
      <x:c r="C26" s="2"/>
      <x:c r="D26" s="2"/>
      <x:c r="E26" s="2"/>
      <x:c r="F26" s="2"/>
    </x:row>
    <x:row r="27" ht="16" customHeight="1">
      <x:c r="A27" s="2" t="str">
        <x:v>Neue Bürgschaften und August-BWA fehlen; kein bestätigter Bereitstellungstag.</x:v>
      </x:c>
      <x:c r="B27" s="2"/>
      <x:c r="C27" s="2"/>
      <x:c r="D27" s="2"/>
      <x:c r="E27" s="2"/>
      <x:c r="F27" s="2"/>
    </x:row>
    <x:row r="28" ht="16" customHeight="1">
      <x:c r="A28" s="2"/>
      <x:c r="B28" s="2"/>
      <x:c r="C28" s="2"/>
      <x:c r="D28" s="2"/>
      <x:c r="E28" s="2"/>
      <x:c r="F28" s="2"/>
    </x:row>
    <x:row r="29" ht="16" customHeight="1">
      <x:c r="A29" s="2" t="str">
        <x:v>Eingänge: 8.450 EUR mündlich angekündigt, 9.790 EUR eigene Erwartung; keine Gutschriften.</x:v>
      </x:c>
      <x:c r="B29" s="2"/>
      <x:c r="C29" s="2"/>
      <x:c r="D29" s="2"/>
      <x:c r="E29" s="2"/>
      <x:c r="F29" s="2"/>
    </x:row>
    <x:row r="30" ht="16" customHeight="1">
      <x:c r="A30" s="2" t="str">
        <x:v>Negative Werte zeigen den rechnerischen Stand bei den eingetragenen Zahlungstagen.</x:v>
      </x:c>
      <x:c r="B30" s="2"/>
      <x:c r="C30" s="2"/>
      <x:c r="D30" s="2"/>
      <x:c r="E30" s="2"/>
      <x:c r="F30" s="2"/>
    </x:row>
    <x:row r="31" ht="16" customHeight="1">
      <x:c r="A31" s="2" t="str">
        <x:v>Sie sind keine ausgeführten Überweisungen. Nicht terminierte Einnahmen bleiben daneben offen.</x:v>
      </x:c>
      <x:c r="B31" s="2"/>
      <x:c r="C31" s="2"/>
      <x:c r="D31" s="2"/>
      <x:c r="E31" s="2"/>
      <x:c r="F31" s="2"/>
    </x:row>
    <x:row r="32" ht="16" customHeight="1">
      <x:c r="A32" s="2" t="str">
        <x:v>Stand und Termine stammen aus den bezeichneten Belegen; offene Oktoberbeträge fehlen noch.</x:v>
      </x:c>
      <x:c r="B32" s="2"/>
      <x:c r="C32" s="2"/>
      <x:c r="D32" s="2"/>
      <x:c r="E32" s="2"/>
      <x:c r="F32" s="2"/>
    </x:row>
    <x:row r="33" ht="16" customHeight="1">
      <x:c r="A33" s="2"/>
      <x:c r="B33" s="2"/>
      <x:c r="C33" s="2"/>
      <x:c r="D33" s="2"/>
      <x:c r="E33" s="2"/>
      <x:c r="F33" s="2"/>
    </x:row>
  </x:sheetData>
  <x:conditionalFormatting sqref="F12:F21">
    <x:cfRule type="cellIs" dxfId="0" priority="1" operator="lessThan">
      <x:formula>0</x:formula>
    </x:cfRule>
  </x:conditionalFormatting>
  <x:pageMargins left=".25" right=".25" top=".35" bottom=".35" header=".15" footer="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2.780000686645508" hidden="0" customWidth="1"/>
    <x:col min="3" max="3" width="14.4399995803833" hidden="0" customWidth="1"/>
    <x:col min="4" max="4" width="12.779999732971191" hidden="0" customWidth="1"/>
    <x:col min="5" max="5" width="12.779999732971191" hidden="0" customWidth="1"/>
    <x:col min="6" max="6" width="28.889999389648438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30" customHeight="1">
      <x:c r="A2" s="3" t="str">
        <x:v>Offene Kundenposten</x:v>
      </x:c>
      <x:c r="B2" s="2"/>
      <x:c r="C2" s="2"/>
      <x:c r="D2" s="2"/>
      <x:c r="E2" s="2"/>
      <x:c r="F2" s="2"/>
    </x:row>
    <x:row r="3" ht="16" customHeight="1">
      <x:c r="A3" s="4" t="str">
        <x:v>Stand 23.09.2026 · offene Bruttobeträge · Zahlungstermine nur soweit eingetragen</x:v>
      </x:c>
      <x:c r="B3" s="4"/>
      <x:c r="C3" s="4"/>
      <x:c r="D3" s="4"/>
      <x:c r="E3" s="4"/>
      <x:c r="F3" s="4"/>
    </x:row>
    <x:row r="4" ht="16" customHeight="1">
      <x:c r="A4" s="2"/>
      <x:c r="B4" s="2"/>
      <x:c r="C4" s="2"/>
      <x:c r="D4" s="2"/>
      <x:c r="E4" s="2"/>
      <x:c r="F4" s="2"/>
    </x:row>
    <x:row r="5" ht="32" customHeight="1">
      <x:c r="A5" s="8" t="str">
        <x:v>Beleg</x:v>
      </x:c>
      <x:c r="B5" s="8" t="str">
        <x:v>Kunde</x:v>
      </x:c>
      <x:c r="C5" s="8" t="str">
        <x:v>Offen EUR</x:v>
      </x:c>
      <x:c r="D5" s="8" t="str">
        <x:v>Fälligkeit</x:v>
      </x:c>
      <x:c r="E5" s="8" t="str">
        <x:v>Eingang geplant</x:v>
      </x:c>
      <x:c r="F5" s="8" t="str">
        <x:v>Quelle / Terminstand</x:v>
      </x:c>
    </x:row>
    <x:row r="6" ht="38" customHeight="1">
      <x:c r="A6" s="2" t="str">
        <x:v>NB-260902</x:v>
      </x:c>
      <x:c r="B6" s="9" t="str">
        <x:v>Hofgarten Gewerbehöfe</x:v>
      </x:c>
      <x:c r="C6" s="16" t="n">
        <x:v>20000</x:v>
      </x:c>
      <x:c r="D6" s="17" t="n">
        <x:v>46281</x:v>
      </x:c>
      <x:c r="E6" s="18"/>
      <x:c r="F6" s="9" t="str">
        <x:v>19 CSV, Zeile 2; 24 EML: kein Zahlungstag</x:v>
      </x:c>
    </x:row>
    <x:row r="7" ht="38" customHeight="1">
      <x:c r="A7" s="2" t="str">
        <x:v>NB-260910</x:v>
      </x:c>
      <x:c r="B7" s="9" t="str">
        <x:v>Hartung Hausverwaltung</x:v>
      </x:c>
      <x:c r="C7" s="16" t="n">
        <x:v>8450</x:v>
      </x:c>
      <x:c r="D7" s="17" t="n">
        <x:v>46289</x:v>
      </x:c>
      <x:c r="E7" s="18" t="n">
        <x:v>46290</x:v>
      </x:c>
      <x:c r="F7" s="9" t="str">
        <x:v>19 CSV, Zeile 3; 23 Notiz: mündlich angekündigt</x:v>
      </x:c>
    </x:row>
    <x:row r="8" ht="38" customHeight="1">
      <x:c r="A8" s="2" t="str">
        <x:v>NB-260914</x:v>
      </x:c>
      <x:c r="B8" s="9" t="str">
        <x:v>Praxis Riedgarten</x:v>
      </x:c>
      <x:c r="C8" s="16" t="n">
        <x:v>9790</x:v>
      </x:c>
      <x:c r="D8" s="17" t="n">
        <x:v>46293</x:v>
      </x:c>
      <x:c r="E8" s="18" t="n">
        <x:v>46294</x:v>
      </x:c>
      <x:c r="F8" s="9" t="str">
        <x:v>19 CSV, Zeile 4; 23 Notiz: eigene Erwartung</x:v>
      </x:c>
    </x:row>
    <x:row r="9" ht="38" customHeight="1">
      <x:c r="A9" s="2" t="str">
        <x:v>NB-260916</x:v>
      </x:c>
      <x:c r="B9" s="9" t="str">
        <x:v>WEG Lenzstraße 14</x:v>
      </x:c>
      <x:c r="C9" s="16" t="n">
        <x:v>3570</x:v>
      </x:c>
      <x:c r="D9" s="17" t="n">
        <x:v>46295</x:v>
      </x:c>
      <x:c r="E9" s="18"/>
      <x:c r="F9" s="9" t="str">
        <x:v>19 CSV, Zeile 5; Zahlungslauf offen</x:v>
      </x:c>
    </x:row>
    <x:row r="10" ht="38" customHeight="1">
      <x:c r="A10" s="2" t="str">
        <x:v>NB-260921</x:v>
      </x:c>
      <x:c r="B10" s="9" t="str">
        <x:v>Borkel Metallbau</x:v>
      </x:c>
      <x:c r="C10" s="16" t="n">
        <x:v>6545</x:v>
      </x:c>
      <x:c r="D10" s="17" t="n">
        <x:v>46300</x:v>
      </x:c>
      <x:c r="E10" s="18"/>
      <x:c r="F10" s="9" t="str">
        <x:v>19 CSV, Zeile 6; Termin nicht erfragt</x:v>
      </x:c>
    </x:row>
    <x:row r="11" ht="16" customHeight="1">
      <x:c r="A11" s="25" t="str">
        <x:v>Offene Posten gesamt</x:v>
      </x:c>
      <x:c r="B11" s="25"/>
      <x:c r="C11" s="26" t="n">
        <x:f>SUM(C6:C10)</x:f>
        <x:v>48355</x:v>
      </x:c>
      <x:c r="D11" s="25"/>
      <x:c r="E11" s="25"/>
      <x:c r="F11" s="25"/>
    </x:row>
    <x:row r="12" ht="16" customHeight="1">
      <x:c r="A12" s="2"/>
      <x:c r="B12" s="2"/>
      <x:c r="C12" s="12"/>
      <x:c r="D12" s="2"/>
      <x:c r="E12" s="2"/>
      <x:c r="F12" s="2"/>
    </x:row>
    <x:row r="13" ht="16" customHeight="1">
      <x:c r="A13" s="2" t="str">
        <x:v>Terminierte Eingänge im Planzeitraum</x:v>
      </x:c>
      <x:c r="B13" s="2"/>
      <x:c r="C13" s="12"/>
      <x:c r="D13" s="2"/>
      <x:c r="E13" s="2"/>
      <x:c r="F13" s="2"/>
    </x:row>
    <x:row r="14" ht="16" customHeight="1">
      <x:c r="A14" s="2"/>
      <x:c r="B14" s="2"/>
      <x:c r="C14" s="14" t="n">
        <x:f>SUMIFS(C6:C10,E6:E10,"&gt;="&amp;'Zahlungsstand'!$B$8,E6:E10,"&lt;="&amp;'Zahlungsstand'!$D$8)</x:f>
        <x:v>18240</x:v>
      </x:c>
      <x:c r="D14" s="2"/>
      <x:c r="E14" s="2"/>
      <x:c r="F14" s="2"/>
    </x:row>
    <x:row r="15" ht="16" customHeight="1">
      <x:c r="A15" s="2"/>
      <x:c r="B15" s="2"/>
      <x:c r="C15" s="12"/>
      <x:c r="D15" s="2"/>
      <x:c r="E15" s="2"/>
      <x:c r="F15" s="2"/>
    </x:row>
    <x:row r="16" ht="16" customHeight="1">
      <x:c r="A16" s="25" t="str">
        <x:v>Ohne Eingang im Planzeitraum</x:v>
      </x:c>
      <x:c r="B16" s="25"/>
      <x:c r="C16" s="26" t="n">
        <x:f>C11-C14</x:f>
        <x:v>30115</x:v>
      </x:c>
      <x:c r="D16" s="25"/>
      <x:c r="E16" s="25"/>
      <x:c r="F16" s="25"/>
    </x:row>
    <x:row r="17" ht="16" customHeight="1">
      <x:c r="A17" s="2"/>
      <x:c r="B17" s="2"/>
      <x:c r="C17" s="2"/>
      <x:c r="D17" s="2"/>
      <x:c r="E17" s="2"/>
      <x:c r="F17" s="2"/>
    </x:row>
    <x:row r="18" ht="16" customHeight="1">
      <x:c r="A18" s="2" t="str">
        <x:v>Kein gebuchter Erlass oder Abschlag auf den Forderungswert.</x:v>
      </x:c>
      <x:c r="B18" s="2"/>
      <x:c r="C18" s="2"/>
      <x:c r="D18" s="2"/>
      <x:c r="E18" s="2"/>
      <x:c r="F18" s="2"/>
    </x:row>
    <x:row r="19" ht="16" customHeight="1">
      <x:c r="A19" s="2" t="str">
        <x:v>Der Einbehalt bleibt vollständig offen; ein Eingangstag ist nicht zugesagt.</x:v>
      </x:c>
      <x:c r="B19" s="2"/>
      <x:c r="C19" s="2"/>
      <x:c r="D19" s="2"/>
      <x:c r="E19" s="2"/>
      <x:c r="F19" s="2"/>
    </x:row>
    <x:row r="20" ht="16" customHeight="1">
      <x:c r="A20" s="2"/>
      <x:c r="B20" s="2"/>
      <x:c r="C20" s="2"/>
      <x:c r="D20" s="2"/>
      <x:c r="E20" s="2"/>
      <x:c r="F20" s="2"/>
    </x:row>
    <x:row r="21" ht="16" customHeight="1">
      <x:c r="A21" s="2" t="str">
        <x:v>Die Schlussrate Hofgarten von 42.840,00 EUR ist noch nicht fakturiert.</x:v>
      </x:c>
      <x:c r="B21" s="2"/>
      <x:c r="C21" s="2"/>
      <x:c r="D21" s="2"/>
      <x:c r="E21" s="2"/>
      <x:c r="F21" s="2"/>
    </x:row>
    <x:row r="22" ht="16" customHeight="1">
      <x:c r="A22" s="2" t="str">
        <x:v>Sie ist weder in der OP-Summe noch als Eingang im Plan enthalten (09 Vertrag, 23 Notiz).</x:v>
      </x:c>
      <x:c r="B22" s="2"/>
      <x:c r="C22" s="2"/>
      <x:c r="D22" s="2"/>
      <x:c r="E22" s="2"/>
      <x:c r="F22" s="2"/>
    </x:row>
    <x:row r="23" ht="16" customHeight="1">
      <x:c r="A23" s="2"/>
      <x:c r="B23" s="2"/>
      <x:c r="C23" s="2"/>
      <x:c r="D23" s="2"/>
      <x:c r="E23" s="2"/>
      <x:c r="F23" s="2"/>
    </x:row>
    <x:row r="24" ht="16" customHeight="1">
      <x:c r="A24" s="2"/>
      <x:c r="B24" s="2"/>
      <x:c r="C24" s="2"/>
      <x:c r="D24" s="2"/>
      <x:c r="E24" s="2"/>
      <x:c r="F24" s="2"/>
    </x:row>
  </x:sheetData>
  <x:pageMargins left=".25" right=".25" top=".35" bottom=".35" header=".15" footer=".15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2.780000686645508" hidden="0" customWidth="1"/>
    <x:col min="3" max="3" width="14.4399995803833" hidden="0" customWidth="1"/>
    <x:col min="4" max="4" width="12.779999732971191" hidden="0" customWidth="1"/>
    <x:col min="5" max="5" width="12.779999732971191" hidden="0" customWidth="1"/>
    <x:col min="6" max="6" width="28.889999389648438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30" customHeight="1">
      <x:c r="A2" s="3" t="str">
        <x:v>Offene Zahlungen</x:v>
      </x:c>
      <x:c r="B2" s="2"/>
      <x:c r="C2" s="2"/>
      <x:c r="D2" s="2"/>
      <x:c r="E2" s="2"/>
      <x:c r="F2" s="2"/>
    </x:row>
    <x:row r="3" ht="16" customHeight="1">
      <x:c r="A3" s="4" t="str">
        <x:v>Stand 23.09.2026 · Kreditoren und Lohnkreis getrennt · Beträge EUR</x:v>
      </x:c>
      <x:c r="B3" s="4"/>
      <x:c r="C3" s="4"/>
      <x:c r="D3" s="4"/>
      <x:c r="E3" s="4"/>
      <x:c r="F3" s="4"/>
    </x:row>
    <x:row r="4" ht="16" customHeight="1">
      <x:c r="A4" s="2"/>
      <x:c r="B4" s="2"/>
      <x:c r="C4" s="2"/>
      <x:c r="D4" s="2"/>
      <x:c r="E4" s="2"/>
      <x:c r="F4" s="2"/>
    </x:row>
    <x:row r="5" ht="32" customHeight="1">
      <x:c r="A5" s="8" t="str">
        <x:v>Beleg</x:v>
      </x:c>
      <x:c r="B5" s="8" t="str">
        <x:v>Zahlung an / Art</x:v>
      </x:c>
      <x:c r="C5" s="8" t="str">
        <x:v>Betrag EUR</x:v>
      </x:c>
      <x:c r="D5" s="8" t="str">
        <x:v>Fälligkeit</x:v>
      </x:c>
      <x:c r="E5" s="8" t="str">
        <x:v>Ausgang geplant</x:v>
      </x:c>
      <x:c r="F5" s="8" t="str">
        <x:v>Quelle / Stand</x:v>
      </x:c>
    </x:row>
    <x:row r="6" ht="27" customHeight="1">
      <x:c r="A6" s="2" t="str">
        <x:v>RH-268417</x:v>
      </x:c>
      <x:c r="B6" s="9" t="str">
        <x:v>Rößler Haustechnik</x:v>
      </x:c>
      <x:c r="C6" s="16" t="n">
        <x:v>29274</x:v>
      </x:c>
      <x:c r="D6" s="17" t="n">
        <x:v>46272</x:v>
      </x:c>
      <x:c r="E6" s="18" t="n">
        <x:v>46288</x:v>
      </x:c>
      <x:c r="F6" s="9" t="str">
        <x:v>20 CSV, Z. 2; 23 Notiz: überfällig, noch unbezahlt</x:v>
      </x:c>
    </x:row>
    <x:row r="7" ht="27" customHeight="1">
      <x:c r="A7" s="2" t="str">
        <x:v>EW-260909</x:v>
      </x:c>
      <x:c r="B7" s="9" t="str">
        <x:v>Elektro Wende</x:v>
      </x:c>
      <x:c r="C7" s="16" t="n">
        <x:v>4879</x:v>
      </x:c>
      <x:c r="D7" s="17" t="n">
        <x:v>46290</x:v>
      </x:c>
      <x:c r="E7" s="18" t="n">
        <x:v>46290</x:v>
      </x:c>
      <x:c r="F7" s="9" t="str">
        <x:v>20 CSV, Z. 3; Werkstatt, nicht Hofgarten</x:v>
      </x:c>
    </x:row>
    <x:row r="8" ht="27" customHeight="1">
      <x:c r="A8" s="2" t="str">
        <x:v>LF-09-884</x:v>
      </x:c>
      <x:c r="B8" s="9" t="str">
        <x:v>Leine Fahrzeugleasing</x:v>
      </x:c>
      <x:c r="C8" s="16" t="n">
        <x:v>2153.9</x:v>
      </x:c>
      <x:c r="D8" s="17" t="n">
        <x:v>46293</x:v>
      </x:c>
      <x:c r="E8" s="18" t="n">
        <x:v>46293</x:v>
      </x:c>
      <x:c r="F8" s="9" t="str">
        <x:v>20 CSV, Z. 4; Lastschrift</x:v>
      </x:c>
    </x:row>
    <x:row r="9" ht="27" customHeight="1">
      <x:c r="A9" s="2" t="str">
        <x:v>EN-260930</x:v>
      </x:c>
      <x:c r="B9" s="9" t="str">
        <x:v>Energieversorgung Südstadt</x:v>
      </x:c>
      <x:c r="C9" s="16" t="n">
        <x:v>1128.4</x:v>
      </x:c>
      <x:c r="D9" s="17" t="n">
        <x:v>46295</x:v>
      </x:c>
      <x:c r="E9" s="18" t="n">
        <x:v>46295</x:v>
      </x:c>
      <x:c r="F9" s="9" t="str">
        <x:v>20 CSV, Z. 5; Lastschrift</x:v>
      </x:c>
    </x:row>
    <x:row r="10" ht="27" customHeight="1">
      <x:c r="A10" s="2" t="str">
        <x:v>MI-2026-10</x:v>
      </x:c>
      <x:c r="B10" s="9" t="str">
        <x:v>Hägenhof Gewerbemiete</x:v>
      </x:c>
      <x:c r="C10" s="16" t="n">
        <x:v>3450</x:v>
      </x:c>
      <x:c r="D10" s="17" t="n">
        <x:v>46296</x:v>
      </x:c>
      <x:c r="E10" s="18" t="n">
        <x:v>46296</x:v>
      </x:c>
      <x:c r="F10" s="9" t="str">
        <x:v>20 CSV, Z. 6; Dauerauftrag</x:v>
      </x:c>
    </x:row>
    <x:row r="11" ht="27" customHeight="1">
      <x:c r="A11" s="2" t="str">
        <x:v>SK-26218</x:v>
      </x:c>
      <x:c r="B11" s="9" t="str">
        <x:v>Küster und Lohse</x:v>
      </x:c>
      <x:c r="C11" s="16" t="n">
        <x:v>892.5</x:v>
      </x:c>
      <x:c r="D11" s="17" t="n">
        <x:v>46297</x:v>
      </x:c>
      <x:c r="E11" s="18" t="n">
        <x:v>46297</x:v>
      </x:c>
      <x:c r="F11" s="9" t="str">
        <x:v>20 CSV, Z. 7; Finanzbuchhaltung</x:v>
      </x:c>
    </x:row>
    <x:row r="12" ht="27" customHeight="1">
      <x:c r="A12" s="2" t="str">
        <x:v>SV-2026-09</x:v>
      </x:c>
      <x:c r="B12" s="9" t="str">
        <x:v>Sozialversicherung</x:v>
      </x:c>
      <x:c r="C12" s="16" t="n">
        <x:v>16950</x:v>
      </x:c>
      <x:c r="D12" s="17" t="n">
        <x:v>46293</x:v>
      </x:c>
      <x:c r="E12" s="18" t="n">
        <x:v>46293</x:v>
      </x:c>
      <x:c r="F12" s="9" t="str">
        <x:v>21 EML; vorläufig, Nachmeldung offen</x:v>
      </x:c>
    </x:row>
    <x:row r="13" ht="27" customHeight="1">
      <x:c r="A13" s="2" t="str">
        <x:v>NET-2026-09</x:v>
      </x:c>
      <x:c r="B13" s="9" t="str">
        <x:v>15 Beschäftigte netto</x:v>
      </x:c>
      <x:c r="C13" s="16" t="n">
        <x:v>31800</x:v>
      </x:c>
      <x:c r="D13" s="17" t="n">
        <x:v>46295</x:v>
      </x:c>
      <x:c r="E13" s="18" t="n">
        <x:v>46295</x:v>
      </x:c>
      <x:c r="F13" s="9" t="str">
        <x:v>21 EML; Bankdatei bis 29.09., 14 Uhr</x:v>
      </x:c>
    </x:row>
    <x:row r="14" ht="27" customHeight="1">
      <x:c r="A14" s="2" t="str">
        <x:v>GF-2026-09</x:v>
      </x:c>
      <x:c r="B14" s="9" t="str">
        <x:v>2 Geschäftsführer netto</x:v>
      </x:c>
      <x:c r="C14" s="16" t="n">
        <x:v>7400</x:v>
      </x:c>
      <x:c r="D14" s="17" t="n">
        <x:v>46295</x:v>
      </x:c>
      <x:c r="E14" s="18" t="n">
        <x:v>46295</x:v>
      </x:c>
      <x:c r="F14" s="9" t="str">
        <x:v>21 EML; keine Gehaltsänderung gebucht</x:v>
      </x:c>
    </x:row>
    <x:row r="15" ht="27" customHeight="1">
      <x:c r="A15" s="2" t="str">
        <x:v>LG-Q3-2026</x:v>
      </x:c>
      <x:c r="B15" s="9" t="str">
        <x:v>Bankzinsen und Gebühren</x:v>
      </x:c>
      <x:c r="C15" s="16" t="n">
        <x:v>480</x:v>
      </x:c>
      <x:c r="D15" s="17" t="n">
        <x:v>46295</x:v>
      </x:c>
      <x:c r="E15" s="18" t="n">
        <x:v>46295</x:v>
      </x:c>
      <x:c r="F15" s="9" t="str">
        <x:v>22 Anrufnotiz; mündliche Schätzung</x:v>
      </x:c>
    </x:row>
    <x:row r="16" ht="27" customHeight="1">
      <x:c r="A16" s="2" t="str">
        <x:v>LST-2026-09</x:v>
      </x:c>
      <x:c r="B16" s="9" t="str">
        <x:v>Lohnsteuer September</x:v>
      </x:c>
      <x:c r="C16" s="16" t="n">
        <x:v>8260</x:v>
      </x:c>
      <x:c r="D16" s="17" t="n">
        <x:v>46307</x:v>
      </x:c>
      <x:c r="E16" s="18" t="n">
        <x:v>46307</x:v>
      </x:c>
      <x:c r="F16" s="9" t="str">
        <x:v>21 EML; außerhalb des Planzeitraums</x:v>
      </x:c>
    </x:row>
    <x:row r="17" ht="16" customHeight="1">
      <x:c r="A17" s="2"/>
      <x:c r="B17" s="2"/>
      <x:c r="C17" s="12"/>
      <x:c r="D17" s="2"/>
      <x:c r="E17" s="2"/>
      <x:c r="F17" s="2"/>
    </x:row>
    <x:row r="18" ht="16" customHeight="1">
      <x:c r="A18" s="25" t="str">
        <x:v>Kreditoren laut CSV</x:v>
      </x:c>
      <x:c r="B18" s="25"/>
      <x:c r="C18" s="26" t="n">
        <x:f>SUM(C6:C11)</x:f>
        <x:v>41777.8</x:v>
      </x:c>
      <x:c r="D18" s="25"/>
      <x:c r="E18" s="25"/>
      <x:c r="F18" s="25"/>
    </x:row>
    <x:row r="19" ht="16" customHeight="1">
      <x:c r="A19" s="23" t="str">
        <x:v>Ausgänge bis 02.10.</x:v>
      </x:c>
      <x:c r="B19" s="23"/>
      <x:c r="C19" s="31" t="n">
        <x:f>SUMIFS(C6:C16,E6:E16,"&gt;="&amp;'Zahlungsstand'!$B$8,E6:E16,"&lt;="&amp;'Zahlungsstand'!$D$8)</x:f>
        <x:v>98407.8</x:v>
      </x:c>
      <x:c r="D19" s="23"/>
      <x:c r="E19" s="23"/>
      <x:c r="F19" s="23"/>
    </x:row>
    <x:row r="20" ht="16" customHeight="1">
      <x:c r="A20" s="2"/>
      <x:c r="B20" s="2"/>
      <x:c r="C20" s="2"/>
      <x:c r="D20" s="2"/>
      <x:c r="E20" s="2"/>
      <x:c r="F20" s="2"/>
    </x:row>
    <x:row r="21" ht="16" customHeight="1">
      <x:c r="A21" s="2" t="str">
        <x:v>Ratenanfrage vom 23.09., 12:15 Uhr (26 EML) noch nicht angenommen.</x:v>
      </x:c>
      <x:c r="B21" s="2"/>
      <x:c r="C21" s="2"/>
      <x:c r="D21" s="2"/>
      <x:c r="E21" s="2"/>
      <x:c r="F21" s="2"/>
    </x:row>
    <x:row r="22" ht="16" customHeight="1">
      <x:c r="A22" s="2" t="str">
        <x:v>350 EUR Aufstockungsgebühr nur bei Kreditabschluss; derzeit nicht eingeplant.</x:v>
      </x:c>
      <x:c r="B22" s="2"/>
      <x:c r="C22" s="2"/>
      <x:c r="D22" s="2"/>
      <x:c r="E22" s="2"/>
      <x:c r="F22" s="2"/>
    </x:row>
    <x:row r="23" ht="16" customHeight="1">
      <x:c r="A23" s="2" t="str">
        <x:v>USt-Zahlbetrag Oktober und Zusatzarbeiten Hofgarten noch unbekannt (21 EML / 23 Notiz).</x:v>
      </x:c>
      <x:c r="B23" s="2"/>
      <x:c r="C23" s="2"/>
      <x:c r="D23" s="2"/>
      <x:c r="E23" s="2"/>
      <x:c r="F23" s="2"/>
    </x:row>
    <x:row r="24" ht="16" customHeight="1">
      <x:c r="A24" s="2"/>
      <x:c r="B24" s="2"/>
      <x:c r="C24" s="2"/>
      <x:c r="D24" s="2"/>
      <x:c r="E24" s="2"/>
      <x:c r="F24" s="2"/>
    </x:row>
  </x:sheetData>
  <x:pageMargins left=".25" right=".25" top=".35" bottom=".35" header=".15" footer=".15"/>
  <x:pageSetup paperSize="9" orientation="landscape" fitToWidth="1" fitToHeight="1"/>
</x:worksheet>
</file>