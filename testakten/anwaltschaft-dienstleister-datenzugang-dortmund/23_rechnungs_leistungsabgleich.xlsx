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d1b448398a4150" /></Relationships>
</file>

<file path=xl/workbook.xml><?xml version="1.0" encoding="utf-8"?>
<workbook xmlns="http://schemas.openxmlformats.org/spreadsheetml/2006/main">
  <sheets>
    <sheet xmlns:r="http://schemas.openxmlformats.org/officeDocument/2006/relationships" name="Rechnungsabgleich" sheetId="1" r:id="R9a2fff86d69e4485"/>
    <sheet xmlns:r="http://schemas.openxmlformats.org/officeDocument/2006/relationships" name="Stunden" sheetId="2" r:id="R63b4e27a530f4644"/>
  </sheets>
  <definedNames>
    <definedName name="_xlnm.Print_Area" localSheetId="0">'Rechnungsabgleich'!$A$1:$H$26</definedName>
    <definedName name="_xlnm.Print_Area" localSheetId="1">'Stunden'!$A$1:$G$21</definedName>
  </definedNames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.00&quot;  &quot;"/>
    <x:numFmt numFmtId="201" formatCode="0%"/>
    <x:numFmt numFmtId="202" formatCode="dd&quot;.&quot;mm&quot;.&quot;yyyy"/>
    <x:numFmt numFmtId="203" formatCode="hh:mm"/>
    <x:numFmt numFmtId="204" formatCode="0.00"/>
  </x:numFmts>
  <x:fonts count="6">
    <x:font>
      <x:sz val="11"/>
      <x:name val="Carlito"/>
    </x:font>
    <x:font>
      <x:sz val="11"/>
      <x:color rgb="FF202C32"/>
      <x:name val="Arial"/>
    </x:font>
    <x:font>
      <x:b/>
      <x:sz val="15"/>
      <x:color rgb="FF263E46"/>
      <x:name val="Arial"/>
    </x:font>
    <x:font>
      <x:b/>
      <x:sz val="11"/>
      <x:color rgb="FFFFFFFF"/>
      <x:name val="Arial"/>
    </x:font>
    <x:font>
      <x:sz val="11"/>
      <x:color rgb="FF23557C"/>
      <x:name val="Arial"/>
    </x:font>
    <x:font>
      <x:b/>
      <x:sz val="11"/>
      <x:color rgb="FF202C32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54E58"/>
      </x:patternFill>
    </x:fill>
    <x:fill>
      <x:patternFill patternType="solid">
        <x:fgColor rgb="FFE9EFF0"/>
      </x:patternFill>
    </x:fill>
  </x:fills>
  <x:borders count="2">
    <x:border/>
    <x:border>
      <x:top style="thin">
        <x:color rgb="FF9AABAF"/>
      </x:top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vertical="center"/>
    </x:xf>
    <x:xf numFmtId="0" fontId="5" fillId="3" borderId="1" xfId="0" applyNumberFormat="1" applyFont="1" applyFill="1" applyBorder="1" applyAlignment="1">
      <x:alignment vertical="center"/>
    </x:xf>
    <x:xf numFmtId="200" fontId="5" fillId="3" borderId="1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4" fontId="1" fillId="3" borderId="0" xfId="0" applyNumberFormat="1" applyFont="1" applyFill="1" applyBorder="1" applyAlignment="1">
      <x:alignment vertical="center"/>
    </x:xf>
    <x:xf numFmtId="204" fontId="5" fillId="3" borderId="0" xfId="0" applyNumberFormat="1" applyFont="1" applyFill="1" applyBorder="1" applyAlignment="1">
      <x:alignment vertical="center"/>
    </x:xf>
    <x:xf numFmtId="204" fontId="5" fillId="3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927236831540e3" /><Relationship Type="http://schemas.openxmlformats.org/officeDocument/2006/relationships/theme" Target="/xl/theme/theme1.xml" Id="R74ef19b704804eb9" /><Relationship Type="http://schemas.openxmlformats.org/officeDocument/2006/relationships/sharedStrings" Target="/xl/sharedStrings.xml" Id="Re59cf5dff8ce4161" /><Relationship Type="http://schemas.openxmlformats.org/officeDocument/2006/relationships/worksheet" Target="/xl/worksheets/sheet1.xml" Id="R9a2fff86d69e4485" /><Relationship Type="http://schemas.openxmlformats.org/officeDocument/2006/relationships/worksheet" Target="/xl/worksheets/sheet2.xml" Id="R63b4e27a530f464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pageSetUpPr fitToPage="1"/>
  </sheetPr>
  <sheetViews>
    <sheetView showGridLines="0" workbookViewId="0">
      <pane ySplit="6" topLeftCell="A7" activePane="bottomLeft" state="frozen"/>
    </sheetView>
  </sheetViews>
  <sheetFormatPr defaultRowHeight="15"/>
  <cols>
    <col min="1" max="1" width="38.88999938964844" hidden="0" customWidth="1"/>
    <col min="2" max="2" width="10" hidden="0" customWidth="1"/>
    <col min="3" max="3" width="13.890000343322754" hidden="0" customWidth="1"/>
    <col min="4" max="4" width="13.890000343322754" hidden="0" customWidth="1"/>
    <col min="5" max="5" width="12.779999732971191" hidden="0" customWidth="1"/>
    <col min="6" max="6" width="13.890000343322754" hidden="0" customWidth="1"/>
    <col min="7" max="7" width="13.890000343322754" hidden="0" customWidth="1"/>
    <col min="8" max="8" width="13.890000343322754" hidden="0" customWidth="1"/>
  </cols>
  <sheetData>
    <row r="1" ht="26" customHeight="1">
      <c r="A1" s="2"/>
      <c r="B1" s="2"/>
      <c r="C1" s="2"/>
      <c r="D1" s="2"/>
      <c r="E1" s="2"/>
      <c r="F1" s="2"/>
      <c r="G1" s="2"/>
      <c r="H1" s="2"/>
    </row>
    <row r="2" ht="26" customHeight="1">
      <c r="A2" s="3" t="str">
        <v>Kettenlicht / Rechnungs- und Leistungsabgleich</v>
      </c>
      <c r="B2" s="2"/>
      <c r="C2" s="2"/>
      <c r="D2" s="2"/>
      <c r="E2" s="2"/>
      <c r="F2" s="2"/>
      <c r="G2" s="2"/>
      <c r="H2" s="2"/>
    </row>
    <row r="3" ht="26" customHeight="1">
      <c r="A3" s="2" t="str">
        <v>Maren Fink, 23.09.2026 · EUR · Erfasste Rechnungen und gebuchte Zahlungen</v>
      </c>
      <c r="B3" s="2"/>
      <c r="C3" s="2"/>
      <c r="D3" s="2"/>
      <c r="E3" s="2"/>
      <c r="F3" s="2"/>
      <c r="G3" s="2"/>
      <c r="H3" s="2"/>
    </row>
    <row r="4" ht="26" customHeight="1">
      <c r="A4" s="2"/>
      <c r="B4" s="2"/>
      <c r="C4" s="2"/>
      <c r="D4" s="2"/>
      <c r="E4" s="2"/>
      <c r="F4" s="2"/>
      <c r="G4" s="2"/>
      <c r="H4" s="2"/>
    </row>
    <row r="5" ht="26" customHeight="1">
      <c r="A5" s="2" t="str">
        <v>Offen laut erfassten Rechnungen, brutto</v>
      </c>
      <c r="B5" s="2"/>
      <c r="C5" s="2"/>
      <c r="D5" s="2"/>
      <c r="E5" s="2"/>
      <c r="F5" s="2"/>
      <c r="G5" s="2"/>
      <c r="H5" s="4" t="n">
        <f>H13</f>
        <v>3272.5</v>
      </c>
    </row>
    <row r="6" ht="43" customHeight="1">
      <c r="A6" s="8" t="str">
        <v>Rechnung und Leistung</v>
      </c>
      <c r="B6" s="8" t="str">
        <v>Menge</v>
      </c>
      <c r="C6" s="8" t="str">
        <v>Satz netto EUR</v>
      </c>
      <c r="D6" s="8" t="str">
        <v>Netto EUR</v>
      </c>
      <c r="E6" s="8" t="str">
        <v>USt EUR</v>
      </c>
      <c r="F6" s="8" t="str">
        <v>Brutto EUR</v>
      </c>
      <c r="G6" s="8" t="str">
        <v>Bezahlt EUR</v>
      </c>
      <c r="H6" s="8" t="str">
        <v>Rest EUR</v>
      </c>
    </row>
    <row r="7" ht="26" customHeight="1">
      <c r="A7" s="2" t="str">
        <v>ND-2024-021 / Einrichtung Rate 1</v>
      </c>
      <c r="B7" s="10" t="n">
        <v>1</v>
      </c>
      <c r="C7" s="11" t="n">
        <v>4500</v>
      </c>
      <c r="D7" s="4" t="n">
        <f>ROUND(B7*C7,2)</f>
        <v>4500</v>
      </c>
      <c r="E7" s="4" t="n">
        <f>ROUND(D7*$B$16,2)</f>
        <v>855</v>
      </c>
      <c r="F7" s="4" t="n">
        <f>SUM(D7:E7)</f>
        <v>5355</v>
      </c>
      <c r="G7" s="11" t="n">
        <v>5355</v>
      </c>
      <c r="H7" s="4" t="n">
        <f>F7-G7</f>
        <v>0</v>
      </c>
    </row>
    <row r="8" ht="26" customHeight="1">
      <c r="A8" s="2" t="str">
        <v>ND-2024-119 / Einrichtung Rate 2</v>
      </c>
      <c r="B8" s="10" t="n">
        <v>1</v>
      </c>
      <c r="C8" s="11" t="n">
        <v>4500</v>
      </c>
      <c r="D8" s="4" t="n">
        <f>ROUND(B8*C8,2)</f>
        <v>4500</v>
      </c>
      <c r="E8" s="4" t="n">
        <f>ROUND(D8*$B$16,2)</f>
        <v>855</v>
      </c>
      <c r="F8" s="4" t="n">
        <f>SUM(D8:E8)</f>
        <v>5355</v>
      </c>
      <c r="G8" s="11" t="n">
        <v>5355</v>
      </c>
      <c r="H8" s="4" t="n">
        <f>F8-G8</f>
        <v>0</v>
      </c>
    </row>
    <row r="9" ht="26" customHeight="1">
      <c r="A9" s="2" t="str">
        <v>ND-2026-388 / Betrieb September</v>
      </c>
      <c r="B9" s="10" t="n">
        <v>1</v>
      </c>
      <c r="C9" s="11" t="n">
        <v>450</v>
      </c>
      <c r="D9" s="4" t="n">
        <f>ROUND(B9*C9,2)</f>
        <v>450</v>
      </c>
      <c r="E9" s="4" t="n">
        <f>ROUND(D9*$B$16,2)</f>
        <v>85.5</v>
      </c>
      <c r="F9" s="4" t="n">
        <f>SUM(D9:E9)</f>
        <v>535.5</v>
      </c>
      <c r="G9" s="11" t="n">
        <v>0</v>
      </c>
      <c r="H9" s="4" t="n">
        <f>F9-G9</f>
        <v>535.5</v>
      </c>
    </row>
    <row r="10" ht="26" customHeight="1">
      <c r="A10" s="2" t="str">
        <v>ND-2026-388 / Zweiter Testmandant</v>
      </c>
      <c r="B10" s="10" t="n">
        <v>1</v>
      </c>
      <c r="C10" s="11" t="n">
        <v>800</v>
      </c>
      <c r="D10" s="4" t="n">
        <f>ROUND(B10*C10,2)</f>
        <v>800</v>
      </c>
      <c r="E10" s="4" t="n">
        <f>ROUND(D10*$B$16,2)</f>
        <v>152</v>
      </c>
      <c r="F10" s="4" t="n">
        <f>SUM(D10:E10)</f>
        <v>952</v>
      </c>
      <c r="G10" s="11" t="n">
        <v>0</v>
      </c>
      <c r="H10" s="4" t="n">
        <f>F10-G10</f>
        <v>952</v>
      </c>
    </row>
    <row r="11" ht="26" customHeight="1">
      <c r="A11" s="2" t="str">
        <v>ND-2026-388 / Importbereinigung</v>
      </c>
      <c r="B11" s="10" t="n">
        <f>'Stunden'!D10</f>
        <v>12</v>
      </c>
      <c r="C11" s="11" t="n">
        <v>125</v>
      </c>
      <c r="D11" s="4" t="n">
        <f>ROUND(B11*C11,2)</f>
        <v>1500</v>
      </c>
      <c r="E11" s="4" t="n">
        <f>ROUND(D11*$B$16,2)</f>
        <v>285</v>
      </c>
      <c r="F11" s="4" t="n">
        <f>SUM(D11:E11)</f>
        <v>1785</v>
      </c>
      <c r="G11" s="11" t="n">
        <v>0</v>
      </c>
      <c r="H11" s="4" t="n">
        <f>F11-G11</f>
        <v>1785</v>
      </c>
    </row>
    <row r="12" ht="26" customHeight="1">
      <c r="A12" s="2"/>
      <c r="B12" s="2"/>
      <c r="C12" s="4"/>
      <c r="D12" s="4"/>
      <c r="E12" s="4"/>
      <c r="F12" s="4"/>
      <c r="G12" s="4"/>
      <c r="H12" s="4"/>
    </row>
    <row r="13" ht="26" customHeight="1">
      <c r="A13" s="16" t="str">
        <v>Gesamt</v>
      </c>
      <c r="B13" s="16"/>
      <c r="C13" s="17"/>
      <c r="D13" s="17" t="n">
        <f>SUM(D7:D11)</f>
        <v>11750</v>
      </c>
      <c r="E13" s="17" t="n">
        <f>SUM(E7:E11)</f>
        <v>2232.5</v>
      </c>
      <c r="F13" s="17" t="n">
        <f>SUM(F7:F11)</f>
        <v>13982.5</v>
      </c>
      <c r="G13" s="17" t="n">
        <f>SUM(G7:G11)</f>
        <v>10710</v>
      </c>
      <c r="H13" s="17" t="n">
        <f>SUM(H7:H11)</f>
        <v>3272.5</v>
      </c>
    </row>
    <row r="14" ht="26" customHeight="1">
      <c r="A14" s="2"/>
      <c r="B14" s="2"/>
      <c r="C14" s="2"/>
      <c r="D14" s="2"/>
      <c r="E14" s="2"/>
      <c r="F14" s="2"/>
      <c r="G14" s="2"/>
      <c r="H14" s="2"/>
    </row>
    <row r="15" ht="26" customHeight="1">
      <c r="A15" s="2"/>
      <c r="B15" s="2"/>
      <c r="C15" s="2"/>
      <c r="D15" s="2"/>
      <c r="E15" s="2"/>
      <c r="F15" s="2"/>
      <c r="G15" s="2"/>
      <c r="H15" s="2"/>
    </row>
    <row r="16" ht="26" customHeight="1">
      <c r="A16" s="2" t="str">
        <v>Umsatzsteuersatz</v>
      </c>
      <c r="B16" s="9" t="n">
        <v>0.19</v>
      </c>
      <c r="C16" s="2"/>
      <c r="D16" s="2"/>
      <c r="E16" s="2"/>
      <c r="F16" s="2"/>
      <c r="G16" s="2"/>
      <c r="H16" s="2"/>
    </row>
    <row r="17" ht="26" customHeight="1">
      <c r="A17" s="2"/>
      <c r="B17" s="2"/>
      <c r="C17" s="2"/>
      <c r="D17" s="2"/>
      <c r="E17" s="2"/>
      <c r="F17" s="2"/>
      <c r="G17" s="2"/>
      <c r="H17" s="2"/>
    </row>
    <row r="18" ht="26" customHeight="1">
      <c r="A18" s="2" t="str">
        <v>ND-2026-388 netto</v>
      </c>
      <c r="B18" s="2"/>
      <c r="C18" s="2"/>
      <c r="D18" s="4" t="n">
        <f>SUM(D9:D11)</f>
        <v>2750</v>
      </c>
      <c r="E18" s="2"/>
      <c r="F18" s="2"/>
      <c r="G18" s="2"/>
      <c r="H18" s="2"/>
    </row>
    <row r="19" ht="26" customHeight="1">
      <c r="A19" s="2"/>
      <c r="B19" s="2"/>
      <c r="C19" s="2"/>
      <c r="D19" s="2"/>
      <c r="E19" s="2"/>
      <c r="F19" s="2"/>
      <c r="G19" s="2"/>
      <c r="H19" s="2"/>
    </row>
    <row r="20" ht="26" customHeight="1">
      <c r="A20" s="2" t="str">
        <v>Belege: Rechnungen ND-2024-021, ND-2024-119 und ND-2026-388.</v>
      </c>
      <c r="B20" s="2"/>
      <c r="C20" s="2"/>
      <c r="D20" s="2"/>
      <c r="E20" s="2"/>
      <c r="F20" s="2"/>
      <c r="G20" s="2"/>
      <c r="H20" s="2"/>
    </row>
    <row r="21" ht="26" customHeight="1">
      <c r="A21" s="2" t="str">
        <v>Zahlungen: Umsatzanzeige vom 21.09.2026, Referenzen RB240125-1862 und RB240410-0941.</v>
      </c>
      <c r="B21" s="2"/>
      <c r="C21" s="2"/>
      <c r="D21" s="2"/>
      <c r="E21" s="2"/>
      <c r="F21" s="2"/>
      <c r="G21" s="2"/>
      <c r="H21" s="2"/>
    </row>
    <row r="22" ht="26" customHeight="1">
      <c r="A22" s="2" t="str">
        <v>Septemberrechnung: Bis 23.09.2026 keine Zahlung in der Buchhaltung erfasst.</v>
      </c>
      <c r="B22" s="2"/>
      <c r="C22" s="2"/>
      <c r="D22" s="2"/>
      <c r="E22" s="2"/>
      <c r="F22" s="2"/>
      <c r="G22" s="2"/>
      <c r="H22" s="2"/>
    </row>
    <row r="23" ht="26" customHeight="1">
      <c r="A23" s="2" t="str">
        <v>Die laufenden Monatsrechnungen bis August sind in dieser Auswahl nicht enthalten.</v>
      </c>
      <c r="B23" s="2"/>
      <c r="C23" s="2"/>
      <c r="D23" s="2"/>
      <c r="E23" s="2"/>
      <c r="F23" s="2"/>
      <c r="G23" s="2"/>
      <c r="H23" s="2"/>
    </row>
    <row r="24" ht="26" customHeight="1">
      <c r="A24" s="2" t="str">
        <v>Zum Betrieb am 09. bis 12.09.2026: Ticket ND-6721. Keine Gutschrift eingegangen.</v>
      </c>
      <c r="B24" s="2"/>
      <c r="C24" s="2"/>
      <c r="D24" s="2"/>
      <c r="E24" s="2"/>
      <c r="F24" s="2"/>
      <c r="G24" s="2"/>
      <c r="H24" s="2"/>
    </row>
    <row r="25" ht="26" customHeight="1">
      <c r="A25" s="2" t="str">
        <v>Zur Importarbeit: zunächst vier Stunden per E-Mail vom 25.08. freigegeben; zwölf Stunden berechnet.</v>
      </c>
      <c r="B25" s="2"/>
      <c r="C25" s="2"/>
      <c r="D25" s="2"/>
      <c r="E25" s="2"/>
      <c r="F25" s="2"/>
      <c r="G25" s="2"/>
      <c r="H25" s="2"/>
    </row>
    <row r="26" ht="26" customHeight="1">
      <c r="A26" s="2"/>
      <c r="B26" s="2"/>
      <c r="C26" s="2"/>
      <c r="D26" s="2"/>
      <c r="E26" s="2"/>
      <c r="F26" s="2"/>
      <c r="G26" s="2"/>
      <c r="H26" s="2"/>
    </row>
    <row r="27" ht="26" customHeight="1">
      <c r="A27" s="2"/>
      <c r="B27" s="2"/>
      <c r="C27" s="2"/>
      <c r="D27" s="2"/>
      <c r="E27" s="2"/>
      <c r="F27" s="2"/>
      <c r="G27" s="2"/>
      <c r="H27" s="2"/>
    </row>
  </sheetData>
  <printOptions gridLines="0" headings="0"/>
  <pageMargins left="0.3" right="0.3" top="0.35" bottom="0.35" header="0.15" footer="0.15"/>
  <pageSetup paperSize="9" orientation="landscape" fitToWidth="1" fitToHeight="1"/>
</worksheet>
</file>

<file path=xl/worksheets/sheet2.xml><?xml version="1.0" encoding="utf-8"?>
<worksheet xmlns="http://schemas.openxmlformats.org/spreadsheetml/2006/main">
  <sheetPr>
    <pageSetUpPr fitToPage="1"/>
  </sheetPr>
  <sheetViews>
    <sheetView showGridLines="0" workbookViewId="0">
      <pane ySplit="6" topLeftCell="A7" activePane="bottomLeft" state="frozen"/>
    </sheetView>
  </sheetViews>
  <sheetFormatPr defaultRowHeight="15"/>
  <cols>
    <col min="1" max="1" width="15.5600004196167" hidden="0" customWidth="1"/>
    <col min="2" max="2" width="15" hidden="0" customWidth="1"/>
    <col min="3" max="3" width="12.779999732971191" hidden="0" customWidth="1"/>
    <col min="4" max="4" width="12.220000267028809" hidden="0" customWidth="1"/>
    <col min="5" max="5" width="14.4399995803833" hidden="0" customWidth="1"/>
    <col min="6" max="6" width="12.779999732971191" hidden="0" customWidth="1"/>
    <col min="7" max="7" width="31.110000610351562" hidden="0" customWidth="1"/>
  </cols>
  <sheetData>
    <row r="1" ht="26" customHeight="1">
      <c r="A1" s="2"/>
      <c r="B1" s="2"/>
      <c r="C1" s="2"/>
      <c r="D1" s="2"/>
      <c r="E1" s="2"/>
      <c r="F1" s="2"/>
      <c r="G1" s="2"/>
    </row>
    <row r="2" ht="26" customHeight="1">
      <c r="A2" s="3" t="str">
        <v>Importbereinigung / Zeitbuchungen Netzraum</v>
      </c>
      <c r="B2" s="2"/>
      <c r="C2" s="2"/>
      <c r="D2" s="2"/>
      <c r="E2" s="2"/>
      <c r="F2" s="2"/>
      <c r="G2" s="2"/>
    </row>
    <row r="3" ht="26" customHeight="1">
      <c r="A3" s="2" t="str">
        <v>Abschrift der Zeitangaben aus ND-2026-388 durch Maren Fink, 23.09.2026</v>
      </c>
      <c r="B3" s="2"/>
      <c r="C3" s="2"/>
      <c r="D3" s="2"/>
      <c r="E3" s="2"/>
      <c r="F3" s="2"/>
      <c r="G3" s="2"/>
    </row>
    <row r="4" ht="26" customHeight="1">
      <c r="A4" s="2" t="str">
        <v>Angebot vom 24.08.2026: zwölf Stunden geschätzt, 125 EUR netto je Stunde.</v>
      </c>
      <c r="B4" s="2"/>
      <c r="C4" s="2"/>
      <c r="D4" s="2"/>
      <c r="E4" s="2"/>
      <c r="F4" s="2"/>
      <c r="G4" s="2"/>
    </row>
    <row r="5" ht="26" customHeight="1">
      <c r="A5" s="2"/>
      <c r="B5" s="2"/>
      <c r="C5" s="2"/>
      <c r="D5" s="2"/>
      <c r="E5" s="2"/>
      <c r="F5" s="2"/>
      <c r="G5" s="2"/>
    </row>
    <row r="6" ht="43" customHeight="1">
      <c r="A6" s="8" t="str">
        <v>Datum</v>
      </c>
      <c r="B6" s="8" t="str">
        <v>Von</v>
      </c>
      <c r="C6" s="8" t="str">
        <v>Bis</v>
      </c>
      <c r="D6" s="8" t="str">
        <v>Stunden</v>
      </c>
      <c r="E6" s="8" t="str">
        <v>Satz netto EUR</v>
      </c>
      <c r="F6" s="8" t="str">
        <v>Betrag EUR</v>
      </c>
      <c r="G6" s="8" t="str">
        <v>Bearbeitung</v>
      </c>
    </row>
    <row r="7" ht="26" customHeight="1">
      <c r="A7" s="18" t="n">
        <v>46267</v>
      </c>
      <c r="B7" s="19" t="n">
        <v>0.375</v>
      </c>
      <c r="C7" s="19" t="n">
        <v>0.5416666666666666</v>
      </c>
      <c r="D7" s="20" t="n">
        <f>ROUND((C7-B7)*24,2)</f>
        <v>4</v>
      </c>
      <c r="E7" s="4" t="n">
        <v>125</v>
      </c>
      <c r="F7" s="4" t="n">
        <f>ROUND(D7*E7,2)</f>
        <v>500</v>
      </c>
      <c r="G7" s="2" t="str">
        <v>Nils Böttcher</v>
      </c>
    </row>
    <row r="8" ht="26" customHeight="1">
      <c r="A8" s="18" t="n">
        <v>46268</v>
      </c>
      <c r="B8" s="19" t="n">
        <v>0.4166666666666667</v>
      </c>
      <c r="C8" s="19" t="n">
        <v>0.625</v>
      </c>
      <c r="D8" s="20" t="n">
        <f>ROUND((C8-B8)*24,2)</f>
        <v>5</v>
      </c>
      <c r="E8" s="4" t="n">
        <v>125</v>
      </c>
      <c r="F8" s="4" t="n">
        <f>ROUND(D8*E8,2)</f>
        <v>625</v>
      </c>
      <c r="G8" s="2" t="str">
        <v>Nils Böttcher</v>
      </c>
    </row>
    <row r="9" ht="26" customHeight="1">
      <c r="A9" s="18" t="n">
        <v>46269</v>
      </c>
      <c r="B9" s="19" t="n">
        <v>0.375</v>
      </c>
      <c r="C9" s="19" t="n">
        <v>0.5</v>
      </c>
      <c r="D9" s="20" t="n">
        <f>ROUND((C9-B9)*24,2)</f>
        <v>3</v>
      </c>
      <c r="E9" s="4" t="n">
        <v>125</v>
      </c>
      <c r="F9" s="4" t="n">
        <f>ROUND(D9*E9,2)</f>
        <v>375</v>
      </c>
      <c r="G9" s="2" t="str">
        <v>Nils Böttcher</v>
      </c>
    </row>
    <row r="10" ht="26" customHeight="1">
      <c r="A10" s="16" t="str">
        <v>Summe</v>
      </c>
      <c r="B10" s="16"/>
      <c r="C10" s="16"/>
      <c r="D10" s="23" t="n">
        <f>SUM(D7:D9)</f>
        <v>12</v>
      </c>
      <c r="E10" s="17"/>
      <c r="F10" s="17" t="n">
        <f>SUM(F7:F9)</f>
        <v>1500</v>
      </c>
      <c r="G10" s="16"/>
    </row>
    <row r="11" ht="26" customHeight="1">
      <c r="A11" s="2"/>
      <c r="B11" s="2"/>
      <c r="C11" s="2"/>
      <c r="D11" s="2"/>
      <c r="E11" s="2"/>
      <c r="F11" s="2"/>
      <c r="G11" s="2"/>
    </row>
    <row r="12" ht="26" customHeight="1">
      <c r="A12" s="2"/>
      <c r="B12" s="2"/>
      <c r="C12" s="2"/>
      <c r="D12" s="2"/>
      <c r="E12" s="2"/>
      <c r="F12" s="2"/>
      <c r="G12" s="2"/>
    </row>
    <row r="13" ht="26" customHeight="1">
      <c r="A13" s="2" t="str">
        <v>E-Mail-Freigabe 25.08.</v>
      </c>
      <c r="B13" s="2"/>
      <c r="C13" s="2"/>
      <c r="D13" s="2" t="n">
        <v>4</v>
      </c>
      <c r="E13" s="4" t="n">
        <v>125</v>
      </c>
      <c r="F13" s="4" t="n">
        <f>D13*E13</f>
        <v>500</v>
      </c>
      <c r="G13" s="2"/>
    </row>
    <row r="14" ht="26" customHeight="1">
      <c r="A14" s="2" t="str">
        <v>Mehrstunden zur E-Mail</v>
      </c>
      <c r="B14" s="2"/>
      <c r="C14" s="2"/>
      <c r="D14" s="2" t="n">
        <f>D10-D13</f>
        <v>8</v>
      </c>
      <c r="E14" s="4"/>
      <c r="F14" s="4" t="n">
        <f>F10-F13</f>
        <v>1000</v>
      </c>
      <c r="G14" s="2"/>
    </row>
    <row r="15" ht="26" customHeight="1">
      <c r="A15" s="2"/>
      <c r="B15" s="2"/>
      <c r="C15" s="2"/>
      <c r="D15" s="2"/>
      <c r="E15" s="2"/>
      <c r="F15" s="2"/>
      <c r="G15" s="2"/>
    </row>
    <row r="16" ht="26" customHeight="1">
      <c r="A16" s="2"/>
      <c r="B16" s="2"/>
      <c r="C16" s="2"/>
      <c r="D16" s="2"/>
      <c r="E16" s="2"/>
      <c r="F16" s="2"/>
      <c r="G16" s="2"/>
    </row>
    <row r="17" ht="26" customHeight="1">
      <c r="A17" s="2" t="str">
        <v>02.09.: erste Zuordnungsliste erstellt. 03.09.: weitere Zuordnungen telefonisch mit Tom besprochen.</v>
      </c>
      <c r="B17" s="2"/>
      <c r="C17" s="2"/>
      <c r="D17" s="2"/>
      <c r="E17" s="2"/>
      <c r="F17" s="2"/>
      <c r="G17" s="2"/>
    </row>
    <row r="18" ht="26" customHeight="1">
      <c r="A18" s="2" t="str">
        <v>04.09.: restliche Importzeilen bearbeitet. Quelle für die Stunden: Rechnung vom 07.09.</v>
      </c>
      <c r="B18" s="2"/>
      <c r="C18" s="2"/>
      <c r="D18" s="2"/>
      <c r="E18" s="2"/>
      <c r="F18" s="2"/>
      <c r="G18" s="2"/>
    </row>
    <row r="19" ht="26" customHeight="1">
      <c r="A19" s="2" t="str">
        <v>Jana Römer bat am 25.08. vor weiteren Stunden um eine Rückmeldung.</v>
      </c>
      <c r="B19" s="2"/>
      <c r="C19" s="2"/>
      <c r="D19" s="2"/>
      <c r="E19" s="2"/>
      <c r="F19" s="2"/>
      <c r="G19" s="2"/>
    </row>
    <row r="20" ht="26" customHeight="1">
      <c r="A20" s="2" t="str">
        <v>Zum Telefonat am 03.09.: Darstellungen in E-Mail vom 16.09. und Chat vom 22.09.</v>
      </c>
      <c r="B20" s="2"/>
      <c r="C20" s="2"/>
      <c r="D20" s="2"/>
      <c r="E20" s="2"/>
      <c r="F20" s="2"/>
      <c r="G20" s="2"/>
    </row>
    <row r="21" ht="26" customHeight="1">
      <c r="A21" s="2"/>
      <c r="B21" s="2"/>
      <c r="C21" s="2"/>
      <c r="D21" s="2"/>
      <c r="E21" s="2"/>
      <c r="F21" s="2"/>
      <c r="G21" s="2"/>
    </row>
    <row r="22" ht="26" customHeight="1">
      <c r="A22" s="2"/>
      <c r="B22" s="2"/>
      <c r="C22" s="2"/>
      <c r="D22" s="2"/>
      <c r="E22" s="2"/>
      <c r="F22" s="2"/>
      <c r="G22" s="2"/>
    </row>
  </sheetData>
  <printOptions gridLines="0" headings="0"/>
  <pageMargins left="0.3" right="0.3" top="0.35" bottom="0.35" header="0.15" footer="0.15"/>
  <pageSetup paperSize="9" orientation="landscape" fitToWidth="1" fitToHeight="1"/>
</worksheet>
</file>