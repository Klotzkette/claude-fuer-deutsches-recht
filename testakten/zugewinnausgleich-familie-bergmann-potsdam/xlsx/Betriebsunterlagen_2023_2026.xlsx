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5d41c336c495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Jahreszahlen" sheetId="1" r:id="Recba74164f334030"/>
    <sheet xmlns:r="http://schemas.openxmlformats.org/officeDocument/2006/relationships" name="OffenePosten" sheetId="2" r:id="R8782afcb9e5f4560"/>
    <sheet xmlns:r="http://schemas.openxmlformats.org/officeDocument/2006/relationships" name="Inventar" sheetId="3" r:id="R97f70abac14e48fa"/>
  </sheets>
  <definedNames>
    <definedName name="_xlnm.Print_Area" localSheetId="0">'Jahreszahlen'!$A$1:$E$20</definedName>
    <definedName name="_xlnm.Print_Titles" localSheetId="0">'Jahreszahlen'!$1:$9</definedName>
    <definedName name="_xlnm.Print_Area" localSheetId="1">'OffenePosten'!$A$1:$I$17</definedName>
    <definedName name="_xlnm.Print_Titles" localSheetId="1">'OffenePosten'!$1:$9</definedName>
    <definedName name="_xlnm.Print_Area" localSheetId="2">'Inventar'!$A$1:$H$17</definedName>
    <definedName name="_xlnm.Print_Titles" localSheetId="2">'Inventar'!$1:$9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-407]#,##0.00&quot;  &quot;;[$-407]-#,##0.00&quot;  &quot;;[$-407]0.00&quot;  &quot;"/>
    <x:numFmt numFmtId="201" formatCode="dd&quot;.&quot;mm&quot;.&quot;yyyy"/>
  </x:numFmts>
  <x:fonts count="6">
    <x:font>
      <x:sz val="11"/>
      <x:name val="Carlito"/>
    </x:font>
    <x:font>
      <x:sz val="11"/>
      <x:color rgb="FF27332F"/>
      <x:name val="Arial"/>
    </x:font>
    <x:font>
      <x:b/>
      <x:sz val="16"/>
      <x:color rgb="FF375B4C"/>
      <x:name val="Arial"/>
    </x:font>
    <x:font>
      <x:i/>
      <x:sz val="11"/>
      <x:color rgb="FF64706A"/>
      <x:name val="Arial"/>
    </x:font>
    <x:font>
      <x:b/>
      <x:sz val="11"/>
      <x:color rgb="FFFFFFFF"/>
      <x:name val="Arial"/>
    </x:font>
    <x:font>
      <x:b/>
      <x:sz val="11"/>
      <x:color rgb="FF27332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5B4C"/>
      </x:patternFill>
    </x:fill>
    <x:fill>
      <x:patternFill patternType="solid">
        <x:fgColor rgb="FFEFF4F0"/>
      </x:patternFill>
    </x:fill>
  </x:fills>
  <x:borders count="5">
    <x:border/>
    <x:border>
      <x:bottom style="thin">
        <x:color rgb="FFB8C9B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0"/>
    </x:xf>
    <x:xf numFmtId="201" fontId="1" fillId="0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1f926cd8f4cda" /><Relationship Type="http://schemas.openxmlformats.org/officeDocument/2006/relationships/theme" Target="/xl/theme/theme1.xml" Id="R0521abb666744db4" /><Relationship Type="http://schemas.openxmlformats.org/officeDocument/2006/relationships/sharedStrings" Target="/xl/sharedStrings.xml" Id="R6c8fc5f0e0d04f0a" /><Relationship Type="http://schemas.openxmlformats.org/officeDocument/2006/relationships/worksheet" Target="/xl/worksheets/sheet1.xml" Id="Recba74164f334030" /><Relationship Type="http://schemas.openxmlformats.org/officeDocument/2006/relationships/worksheet" Target="/xl/worksheets/sheet2.xml" Id="R8782afcb9e5f4560" /><Relationship Type="http://schemas.openxmlformats.org/officeDocument/2006/relationships/worksheet" Target="/xl/worksheets/sheet3.xml" Id="R97f70abac14e48fa" /></Relationships>
</file>

<file path=xl/tables/table1.xml><?xml version="1.0" encoding="utf-8"?>
<x:table xmlns:x="http://schemas.openxmlformats.org/spreadsheetml/2006/main" id="1" name="Bergmann_Jahreszahlen" displayName="Bergmann_Jahreszahlen" ref="A9:E20" headerRowCount="1" totalsRowCount="0" totalsRowShown="0">
  <x:autoFilter ref="A9:E20"/>
  <x:tableColumns count="5">
    <x:tableColumn id="1" name="Position"/>
    <x:tableColumn id="2" name="2023 EUR"/>
    <x:tableColumn id="3" name="2024 EUR"/>
    <x:tableColumn id="4" name="2025 EUR"/>
    <x:tableColumn id="5" name="Belegdate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rgmann_OffenePosten" displayName="Bergmann_OffenePosten" ref="A9:I17" headerRowCount="1" totalsRowCount="0" totalsRowShown="0">
  <x:autoFilter ref="A9:I17"/>
  <x:tableColumns count="9">
    <x:tableColumn id="1" name="Rechnungs-&#10;nummer"/>
    <x:tableColumn id="2" name="Rechnungs-&#10;datum"/>
    <x:tableColumn id="3" name="Fälligkeit"/>
    <x:tableColumn id="4" name="Auftraggeber"/>
    <x:tableColumn id="5" name="Brutto EUR"/>
    <x:tableColumn id="6" name="Bezahlt EUR"/>
    <x:tableColumn id="7" name="Rest EUR"/>
    <x:tableColumn id="8" name="Bemerkung"/>
    <x:tableColumn id="9" name="Belegdate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rgmann_Inventar" displayName="Bergmann_Inventar" ref="A9:H17" headerRowCount="1" totalsRowCount="0" totalsRowShown="0">
  <x:autoFilter ref="A9:H17"/>
  <x:tableColumns count="8">
    <x:tableColumn id="1" name="Inventarnummer"/>
    <x:tableColumn id="2" name="Gegenstand"/>
    <x:tableColumn id="3" name="Anschaffung"/>
    <x:tableColumn id="4" name="Anschaffungs-&#10;kosten EUR"/>
    <x:tableColumn id="5" name="Buchwert EUR"/>
    <x:tableColumn id="6" name="Händlerangebot&#10;EUR"/>
    <x:tableColumn id="7" name="Bemerkung"/>
    <x:tableColumn id="8" name="Belegdate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7cedd0a2be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ec105979cd45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b36fb7ca3847c9" /></Relationships>
</file>

<file path=xl/worksheets/sheet1.xml><?xml version="1.0" encoding="utf-8"?>
<worksheet xmlns="http://schemas.openxmlformats.org/spreadsheetml/2006/main">
  <sheetPr>
    <tabColor rgb="FF375B4C"/>
    <pageSetUpPr fitToPage="1"/>
  </sheetPr>
  <sheetViews>
    <sheetView showGridLines="0" workbookViewId="0">
      <pane xSplit="1" ySplit="9" topLeftCell="B10" activePane="bottomRight" state="frozen"/>
    </sheetView>
  </sheetViews>
  <sheetFormatPr defaultRowHeight="15"/>
  <cols>
    <col min="1" max="1" width="37.779998779296875" hidden="0" customWidth="1"/>
    <col min="2" max="2" width="16.219999313354492" hidden="0" customWidth="1"/>
    <col min="3" max="3" width="16.219999313354492" hidden="0" customWidth="1"/>
    <col min="4" max="4" width="16.219999313354492" hidden="0" customWidth="1"/>
    <col min="5" max="5" width="38.88999938964844" hidden="0" customWidth="1"/>
  </cols>
  <sheetData>
    <row r="1" ht="9" customHeight="1">
      <c r="A1" s="2"/>
      <c r="B1" s="2"/>
      <c r="C1" s="2"/>
      <c r="D1" s="2"/>
      <c r="E1" s="2"/>
    </row>
    <row r="2" ht="30" customHeight="1">
      <c r="A2" s="3" t="str">
        <v>Betriebszahlen 2023 bis 2025</v>
      </c>
      <c r="B2" s="2"/>
      <c r="C2" s="2"/>
      <c r="D2" s="2"/>
      <c r="E2" s="2"/>
    </row>
    <row r="3" ht="24" customHeight="1">
      <c r="A3" s="2" t="str">
        <v>Jonas Bergmann, Potsdam</v>
      </c>
      <c r="B3" s="2"/>
      <c r="C3" s="2"/>
      <c r="D3" s="2"/>
      <c r="E3" s="2"/>
    </row>
    <row r="4" ht="24" customHeight="1">
      <c r="A4" s="4" t="str">
        <v>Betriebswirtschaftliche Mehrjahresübersicht. Nettoangaben in EUR, ohne Umsatzsteuerbewegungen.</v>
      </c>
      <c r="B4" s="4"/>
      <c r="C4" s="4"/>
      <c r="D4" s="4"/>
      <c r="E4" s="4"/>
    </row>
    <row r="5" ht="24" customHeight="1">
      <c r="A5" s="2"/>
      <c r="B5" s="25" t="n">
        <v>2023</v>
      </c>
      <c r="C5" s="25" t="n">
        <v>2024</v>
      </c>
      <c r="D5" s="25" t="n">
        <v>2025</v>
      </c>
      <c r="E5" s="2"/>
    </row>
    <row r="6" ht="24" customHeight="1">
      <c r="A6" s="2" t="str">
        <v>Ergebnis EUR</v>
      </c>
      <c r="B6" s="28" t="n">
        <f>SUM(B10:B20)</f>
        <v>97360</v>
      </c>
      <c r="C6" s="28" t="n">
        <f>SUM(C10:C20)</f>
        <v>104700</v>
      </c>
      <c r="D6" s="28" t="n">
        <f>SUM(D10:D20)</f>
        <v>89320</v>
      </c>
      <c r="E6" s="2"/>
    </row>
    <row r="7" ht="24" customHeight="1">
      <c r="A7" s="5" t="str">
        <v>Quelle: zahlenwerk/Euer_Jonas_2023_2025.csv</v>
      </c>
      <c r="B7" s="2"/>
      <c r="C7" s="2"/>
      <c r="D7" s="2"/>
      <c r="E7" s="2"/>
    </row>
    <row r="8" ht="8" customHeight="1">
      <c r="A8" s="2"/>
      <c r="B8" s="2"/>
      <c r="C8" s="2"/>
      <c r="D8" s="2"/>
      <c r="E8" s="2"/>
    </row>
    <row r="9" ht="38" customHeight="1">
      <c r="A9" s="14" t="str">
        <v>Position</v>
      </c>
      <c r="B9" s="15" t="str">
        <v>2023 EUR</v>
      </c>
      <c r="C9" s="15" t="str">
        <v>2024 EUR</v>
      </c>
      <c r="D9" s="15" t="str">
        <v>2025 EUR</v>
      </c>
      <c r="E9" s="16" t="str">
        <v>Belegdatei</v>
      </c>
    </row>
    <row r="10" ht="28" customHeight="1">
      <c r="A10" s="18" t="str">
        <v>Honorare Projektplanung</v>
      </c>
      <c r="B10" s="23" t="n">
        <v>186420</v>
      </c>
      <c r="C10" s="23" t="n">
        <v>199860</v>
      </c>
      <c r="D10" s="23" t="n">
        <v>176480</v>
      </c>
      <c r="E10" s="18" t="str">
        <v>belege/Betriebszahlen_2023_2025.pdf</v>
      </c>
    </row>
    <row r="11" ht="28" customHeight="1">
      <c r="A11" s="17" t="str">
        <v>Erlöse Schulungen</v>
      </c>
      <c r="B11" s="24" t="n">
        <v>12400</v>
      </c>
      <c r="C11" s="24" t="n">
        <v>16600</v>
      </c>
      <c r="D11" s="24" t="n">
        <v>14750</v>
      </c>
      <c r="E11" s="17" t="str">
        <v>belege/Betriebszahlen_2023_2025.pdf</v>
      </c>
    </row>
    <row r="12" ht="28" customHeight="1">
      <c r="A12" s="18" t="str">
        <v>Fremdleistungen</v>
      </c>
      <c r="B12" s="23" t="n">
        <v>-34280</v>
      </c>
      <c r="C12" s="23" t="n">
        <v>-39540</v>
      </c>
      <c r="D12" s="23" t="n">
        <v>-31260</v>
      </c>
      <c r="E12" s="18" t="str">
        <v>belege/Betriebszahlen_2023_2025.pdf</v>
      </c>
    </row>
    <row r="13" ht="28" customHeight="1">
      <c r="A13" s="17" t="str">
        <v>Büromiete</v>
      </c>
      <c r="B13" s="24" t="n">
        <v>-12600</v>
      </c>
      <c r="C13" s="24" t="n">
        <v>-13200</v>
      </c>
      <c r="D13" s="24" t="n">
        <v>-13800</v>
      </c>
      <c r="E13" s="17" t="str">
        <v>belege/Betriebszahlen_2023_2025.pdf</v>
      </c>
    </row>
    <row r="14" ht="28" customHeight="1">
      <c r="A14" s="18" t="str">
        <v>Personal Aushilfe</v>
      </c>
      <c r="B14" s="23" t="n">
        <v>-15640</v>
      </c>
      <c r="C14" s="23" t="n">
        <v>-17280</v>
      </c>
      <c r="D14" s="23" t="n">
        <v>-18480</v>
      </c>
      <c r="E14" s="18" t="str">
        <v>belege/Betriebszahlen_2023_2025.pdf</v>
      </c>
    </row>
    <row r="15" ht="28" customHeight="1">
      <c r="A15" s="17" t="str">
        <v>Software und Daten</v>
      </c>
      <c r="B15" s="24" t="n">
        <v>-6840</v>
      </c>
      <c r="C15" s="24" t="n">
        <v>-7440</v>
      </c>
      <c r="D15" s="24" t="n">
        <v>-8520</v>
      </c>
      <c r="E15" s="17" t="str">
        <v>belege/Betriebszahlen_2023_2025.pdf</v>
      </c>
    </row>
    <row r="16" ht="28" customHeight="1">
      <c r="A16" s="18" t="str">
        <v>Fahrten und Reisen</v>
      </c>
      <c r="B16" s="23" t="n">
        <v>-7940</v>
      </c>
      <c r="C16" s="23" t="n">
        <v>-8610</v>
      </c>
      <c r="D16" s="23" t="n">
        <v>-6260</v>
      </c>
      <c r="E16" s="18" t="str">
        <v>belege/Betriebszahlen_2023_2025.pdf</v>
      </c>
    </row>
    <row r="17" ht="28" customHeight="1">
      <c r="A17" s="17" t="str">
        <v>Versicherung und Beiträge</v>
      </c>
      <c r="B17" s="24" t="n">
        <v>-3180</v>
      </c>
      <c r="C17" s="24" t="n">
        <v>-3240</v>
      </c>
      <c r="D17" s="24" t="n">
        <v>-3390</v>
      </c>
      <c r="E17" s="17" t="str">
        <v>belege/Betriebszahlen_2023_2025.pdf</v>
      </c>
    </row>
    <row r="18" ht="28" customHeight="1">
      <c r="A18" s="18" t="str">
        <v>Abschreibungen</v>
      </c>
      <c r="B18" s="23" t="n">
        <v>-10400</v>
      </c>
      <c r="C18" s="23" t="n">
        <v>-11600</v>
      </c>
      <c r="D18" s="23" t="n">
        <v>-9850</v>
      </c>
      <c r="E18" s="18" t="str">
        <v>belege/Betriebszahlen_2023_2025.pdf</v>
      </c>
    </row>
    <row r="19" ht="28" customHeight="1">
      <c r="A19" s="17" t="str">
        <v>Finanzierungskosten</v>
      </c>
      <c r="B19" s="24" t="n">
        <v>-1820</v>
      </c>
      <c r="C19" s="24" t="n">
        <v>-1660</v>
      </c>
      <c r="D19" s="24" t="n">
        <v>-1420</v>
      </c>
      <c r="E19" s="17" t="str">
        <v>belege/Betriebszahlen_2023_2025.pdf</v>
      </c>
    </row>
    <row r="20" ht="28" customHeight="1">
      <c r="A20" s="18" t="str">
        <v>Sonstiger Aufwand</v>
      </c>
      <c r="B20" s="23" t="n">
        <v>-8760</v>
      </c>
      <c r="C20" s="23" t="n">
        <v>-9190</v>
      </c>
      <c r="D20" s="23" t="n">
        <v>-8930</v>
      </c>
      <c r="E20" s="18" t="str">
        <v>belege/Betriebszahlen_2023_2025.pdf</v>
      </c>
    </row>
  </sheetData>
  <printOptions gridLines="0" headings="0"/>
  <pageMargins left="0.3" right="0.3" top="0.35" bottom="0.4" header="0.15" footer="0.18"/>
  <pageSetup paperSize="9" orientation="landscape" fitToWidth="1" fitToHeight="0"/>
  <headerFooter>
    <oddFooter>&amp;LFamilie Bergmann, Potsdam&amp;CJahreszahlen&amp;RSeite &amp;P von &amp;N</oddFooter>
  </headerFooter>
  <tableParts count="1">
    <tablePart xmlns:r="http://schemas.openxmlformats.org/officeDocument/2006/relationships" r:id="R537cedd0a2be4cfc"/>
  </tableParts>
</worksheet>
</file>

<file path=xl/worksheets/sheet2.xml><?xml version="1.0" encoding="utf-8"?>
<worksheet xmlns="http://schemas.openxmlformats.org/spreadsheetml/2006/main">
  <sheetPr>
    <tabColor rgb="FF375B4C"/>
    <pageSetUpPr fitToPage="1"/>
  </sheetPr>
  <sheetViews>
    <sheetView showGridLines="0" workbookViewId="0">
      <pane xSplit="1" ySplit="9" topLeftCell="B10" activePane="bottomRight" state="frozen"/>
    </sheetView>
  </sheetViews>
  <sheetFormatPr defaultRowHeight="15"/>
  <cols>
    <col min="1" max="1" width="17.780000686645508" hidden="0" customWidth="1"/>
    <col min="2" max="2" width="14.4399995803833" hidden="0" customWidth="1"/>
    <col min="3" max="3" width="14.4399995803833" hidden="0" customWidth="1"/>
    <col min="4" max="4" width="23.889999389648438" hidden="0" customWidth="1"/>
    <col min="5" max="5" width="14.779999732971191" hidden="0" customWidth="1"/>
    <col min="6" max="6" width="14.779999732971191" hidden="0" customWidth="1"/>
    <col min="7" max="7" width="14.779999732971191" hidden="0" customWidth="1"/>
    <col min="8" max="8" width="29.440000534057617" hidden="0" customWidth="1"/>
    <col min="9" max="9" width="36.66999816894531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  <c r="I1" s="2"/>
    </row>
    <row r="2" ht="30" customHeight="1">
      <c r="A2" s="3" t="str">
        <v>Offene Posten</v>
      </c>
      <c r="B2" s="2"/>
      <c r="C2" s="2"/>
      <c r="D2" s="2"/>
      <c r="E2" s="2"/>
      <c r="F2" s="2"/>
      <c r="G2" s="2"/>
      <c r="H2" s="2"/>
      <c r="I2" s="2"/>
    </row>
    <row r="3" ht="24" customHeight="1">
      <c r="A3" s="2" t="str">
        <v>Jonas Bergmann, Potsdam</v>
      </c>
      <c r="B3" s="2"/>
      <c r="C3" s="2"/>
      <c r="D3" s="2"/>
      <c r="E3" s="2"/>
      <c r="F3" s="2"/>
      <c r="G3" s="2"/>
      <c r="H3" s="2"/>
      <c r="I3" s="2"/>
    </row>
    <row r="4" ht="24" customHeight="1">
      <c r="A4" s="4" t="str">
        <v>Stand 08.07.2026. Rechnungsbeträge und Zahlungen in EUR.</v>
      </c>
      <c r="B4" s="4"/>
      <c r="C4" s="4"/>
      <c r="D4" s="4"/>
      <c r="E4" s="4"/>
      <c r="F4" s="4"/>
      <c r="G4" s="4"/>
      <c r="H4" s="4"/>
      <c r="I4" s="4"/>
    </row>
    <row r="5" ht="24" customHeight="1">
      <c r="A5" s="2"/>
      <c r="B5" s="2"/>
      <c r="C5" s="2"/>
      <c r="D5" s="2"/>
      <c r="E5" s="25" t="str">
        <v>Brutto</v>
      </c>
      <c r="F5" s="25" t="str">
        <v>Bezahlt</v>
      </c>
      <c r="G5" s="25" t="str">
        <v>Rest</v>
      </c>
      <c r="H5" s="2"/>
      <c r="I5" s="2"/>
    </row>
    <row r="6" ht="24" customHeight="1">
      <c r="A6" s="2" t="str">
        <v>Summen EUR</v>
      </c>
      <c r="B6" s="2"/>
      <c r="C6" s="2"/>
      <c r="D6" s="2"/>
      <c r="E6" s="28" t="n">
        <f>SUM(E10:E17)</f>
        <v>27132</v>
      </c>
      <c r="F6" s="28" t="n">
        <f>SUM(F10:F17)</f>
        <v>4760</v>
      </c>
      <c r="G6" s="28" t="n">
        <f>SUM(G10:G17)</f>
        <v>22372</v>
      </c>
      <c r="H6" s="2"/>
      <c r="I6" s="2"/>
    </row>
    <row r="7" ht="24" customHeight="1">
      <c r="A7" s="5" t="str">
        <v>Quelle: zahlenwerk/Offene_Posten_2026-07-08.csv</v>
      </c>
      <c r="B7" s="2"/>
      <c r="C7" s="2"/>
      <c r="D7" s="2"/>
      <c r="E7" s="2"/>
      <c r="F7" s="2"/>
      <c r="G7" s="2"/>
      <c r="H7" s="2"/>
      <c r="I7" s="2"/>
    </row>
    <row r="8" ht="8" customHeight="1">
      <c r="A8" s="2"/>
      <c r="B8" s="2"/>
      <c r="C8" s="2"/>
      <c r="D8" s="2"/>
      <c r="E8" s="2"/>
      <c r="F8" s="2"/>
      <c r="G8" s="2"/>
      <c r="H8" s="2"/>
      <c r="I8" s="2"/>
    </row>
    <row r="9" ht="38" customHeight="1">
      <c r="A9" s="14" t="str">
        <v>Rechnungs-
nummer</v>
      </c>
      <c r="B9" s="15" t="str">
        <v>Rechnungs-
datum</v>
      </c>
      <c r="C9" s="15" t="str">
        <v>Fälligkeit</v>
      </c>
      <c r="D9" s="15" t="str">
        <v>Auftraggeber</v>
      </c>
      <c r="E9" s="15" t="str">
        <v>Brutto EUR</v>
      </c>
      <c r="F9" s="15" t="str">
        <v>Bezahlt EUR</v>
      </c>
      <c r="G9" s="15" t="str">
        <v>Rest EUR</v>
      </c>
      <c r="H9" s="15" t="str">
        <v>Bemerkung</v>
      </c>
      <c r="I9" s="16" t="str">
        <v>Belegdatei</v>
      </c>
    </row>
    <row r="10" ht="38" customHeight="1">
      <c r="A10" s="18" t="str">
        <v>BLP-26-031</v>
      </c>
      <c r="B10" s="33" t="n">
        <v>46162</v>
      </c>
      <c r="C10" s="33" t="n">
        <v>46176</v>
      </c>
      <c r="D10" s="18" t="str">
        <v>Havelhallen GmbH</v>
      </c>
      <c r="E10" s="23" t="n">
        <v>7140</v>
      </c>
      <c r="F10" s="23" t="n">
        <v>3570</v>
      </c>
      <c r="G10" s="23" t="n">
        <v>3570</v>
      </c>
      <c r="H10" s="18" t="str">
        <v>Rest nach Teilzahlung 10.06. / Rückfrage zu Aufmaß</v>
      </c>
      <c r="I10" s="18" t="str">
        <v>belege/Offene_Posten_2026-07-08.pdf</v>
      </c>
    </row>
    <row r="11" ht="28" customHeight="1">
      <c r="A11" s="17" t="str">
        <v>BLP-26-036</v>
      </c>
      <c r="B11" s="34" t="n">
        <v>46177</v>
      </c>
      <c r="C11" s="34" t="n">
        <v>46191</v>
      </c>
      <c r="D11" s="17" t="str">
        <v>Nordbogen Werkstätten</v>
      </c>
      <c r="E11" s="24" t="n">
        <v>4284</v>
      </c>
      <c r="F11" s="24" t="n">
        <v>0</v>
      </c>
      <c r="G11" s="24" t="n">
        <v>4284</v>
      </c>
      <c r="H11" s="17" t="str">
        <v>Zahlung für 15.07. angekündigt</v>
      </c>
      <c r="I11" s="17" t="str">
        <v>belege/Offene_Posten_2026-07-08.pdf</v>
      </c>
    </row>
    <row r="12" ht="38" customHeight="1">
      <c r="A12" s="18" t="str">
        <v>BLP-26-038</v>
      </c>
      <c r="B12" s="33" t="n">
        <v>46183</v>
      </c>
      <c r="C12" s="33" t="n">
        <v>46197</v>
      </c>
      <c r="D12" s="18" t="str">
        <v>Kulturhof West</v>
      </c>
      <c r="E12" s="23" t="n">
        <v>2380</v>
      </c>
      <c r="F12" s="23" t="n">
        <v>1190</v>
      </c>
      <c r="G12" s="23" t="n">
        <v>1190</v>
      </c>
      <c r="H12" s="18" t="str">
        <v>Einbehalt wegen fehlender Dokumentation</v>
      </c>
      <c r="I12" s="18" t="str">
        <v>belege/Offene_Posten_2026-07-08.pdf</v>
      </c>
    </row>
    <row r="13" ht="28" customHeight="1">
      <c r="A13" s="17" t="str">
        <v>BLP-26-041</v>
      </c>
      <c r="B13" s="34" t="n">
        <v>46192</v>
      </c>
      <c r="C13" s="34" t="n">
        <v>46206</v>
      </c>
      <c r="D13" s="17" t="str">
        <v>Schulcampus Teltow</v>
      </c>
      <c r="E13" s="24" t="n">
        <v>5950</v>
      </c>
      <c r="F13" s="24" t="n">
        <v>0</v>
      </c>
      <c r="G13" s="24" t="n">
        <v>5950</v>
      </c>
      <c r="H13" s="17" t="str">
        <v>Prüflauf beim Auftraggeber</v>
      </c>
      <c r="I13" s="17" t="str">
        <v>belege/Offene_Posten_2026-07-08.pdf</v>
      </c>
    </row>
    <row r="14" ht="28" customHeight="1">
      <c r="A14" s="18" t="str">
        <v>BLP-26-044</v>
      </c>
      <c r="B14" s="33" t="n">
        <v>46198</v>
      </c>
      <c r="C14" s="33" t="n">
        <v>46212</v>
      </c>
      <c r="D14" s="18" t="str">
        <v>Riedel Ladenbau</v>
      </c>
      <c r="E14" s="23" t="n">
        <v>3213</v>
      </c>
      <c r="F14" s="23" t="n">
        <v>0</v>
      </c>
      <c r="G14" s="23" t="n">
        <v>3213</v>
      </c>
      <c r="H14" s="18" t="str">
        <v>Noch nicht fällig am Auskunftstag</v>
      </c>
      <c r="I14" s="18" t="str">
        <v>belege/Offene_Posten_2026-07-08.pdf</v>
      </c>
    </row>
    <row r="15" ht="38" customHeight="1">
      <c r="A15" s="17" t="str">
        <v>BLP-26-047</v>
      </c>
      <c r="B15" s="34" t="n">
        <v>46204</v>
      </c>
      <c r="C15" s="34" t="n">
        <v>46218</v>
      </c>
      <c r="D15" s="17" t="str">
        <v>Havelhallen GmbH</v>
      </c>
      <c r="E15" s="24" t="n">
        <v>1785</v>
      </c>
      <c r="F15" s="24" t="n">
        <v>0</v>
      </c>
      <c r="G15" s="24" t="n">
        <v>1785</v>
      </c>
      <c r="H15" s="17" t="str">
        <v>Zweite Halle / gesonderte Beauftragung</v>
      </c>
      <c r="I15" s="17" t="str">
        <v>belege/Offene_Posten_2026-07-08.pdf</v>
      </c>
    </row>
    <row r="16" ht="28" customHeight="1">
      <c r="A16" s="18" t="str">
        <v>BLP-26-048</v>
      </c>
      <c r="B16" s="33" t="n">
        <v>46205</v>
      </c>
      <c r="C16" s="33" t="n">
        <v>46219</v>
      </c>
      <c r="D16" s="18" t="str">
        <v>Dahlmann Haustechnik</v>
      </c>
      <c r="E16" s="23" t="n">
        <v>1428</v>
      </c>
      <c r="F16" s="23" t="n">
        <v>0</v>
      </c>
      <c r="G16" s="23" t="n">
        <v>1428</v>
      </c>
      <c r="H16" s="18" t="str">
        <v>Rechnung per E-Mail bestätigt</v>
      </c>
      <c r="I16" s="18" t="str">
        <v>belege/Offene_Posten_2026-07-08.pdf</v>
      </c>
    </row>
    <row r="17" ht="28" customHeight="1">
      <c r="A17" s="17" t="str">
        <v>BLP-26-049</v>
      </c>
      <c r="B17" s="34" t="n">
        <v>46206</v>
      </c>
      <c r="C17" s="34" t="n">
        <v>46220</v>
      </c>
      <c r="D17" s="17" t="str">
        <v>Parkterrassen Gastronomie</v>
      </c>
      <c r="E17" s="24" t="n">
        <v>952</v>
      </c>
      <c r="F17" s="24" t="n">
        <v>0</v>
      </c>
      <c r="G17" s="24" t="n">
        <v>952</v>
      </c>
      <c r="H17" s="17" t="str">
        <v>Kontoverbindung nochmals angefragt</v>
      </c>
      <c r="I17" s="17" t="str">
        <v>belege/Offene_Posten_2026-07-08.pdf</v>
      </c>
    </row>
  </sheetData>
  <printOptions gridLines="0" headings="0"/>
  <pageMargins left="0.3" right="0.3" top="0.35" bottom="0.4" header="0.15" footer="0.18"/>
  <pageSetup paperSize="8" orientation="landscape" fitToWidth="1" fitToHeight="0"/>
  <headerFooter>
    <oddFooter>&amp;LFamilie Bergmann, Potsdam&amp;COffenePosten&amp;RSeite &amp;P von &amp;N</oddFooter>
  </headerFooter>
  <tableParts count="1">
    <tablePart xmlns:r="http://schemas.openxmlformats.org/officeDocument/2006/relationships" r:id="R2eec105979cd452f"/>
  </tableParts>
</worksheet>
</file>

<file path=xl/worksheets/sheet3.xml><?xml version="1.0" encoding="utf-8"?>
<worksheet xmlns="http://schemas.openxmlformats.org/spreadsheetml/2006/main">
  <sheetPr>
    <tabColor rgb="FF375B4C"/>
    <pageSetUpPr fitToPage="1"/>
  </sheetPr>
  <sheetViews>
    <sheetView showGridLines="0" workbookViewId="0">
      <pane xSplit="1" ySplit="9" topLeftCell="B10" activePane="bottomRight" state="frozen"/>
    </sheetView>
  </sheetViews>
  <sheetFormatPr defaultRowHeight="15"/>
  <cols>
    <col min="1" max="1" width="17.110000610351562" hidden="0" customWidth="1"/>
    <col min="2" max="2" width="29.329999923706055" hidden="0" customWidth="1"/>
    <col min="3" max="3" width="14.670000076293945" hidden="0" customWidth="1"/>
    <col min="4" max="4" width="16.670000076293945" hidden="0" customWidth="1"/>
    <col min="5" max="5" width="16" hidden="0" customWidth="1"/>
    <col min="6" max="6" width="16.889999389648438" hidden="0" customWidth="1"/>
    <col min="7" max="7" width="31.110000610351562" hidden="0" customWidth="1"/>
    <col min="8" max="8" width="36.66999816894531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</row>
    <row r="2" ht="30" customHeight="1">
      <c r="A2" s="3" t="str">
        <v>Inventarverzeichnis</v>
      </c>
      <c r="B2" s="2"/>
      <c r="C2" s="2"/>
      <c r="D2" s="2"/>
      <c r="E2" s="2"/>
      <c r="F2" s="2"/>
      <c r="G2" s="2"/>
      <c r="H2" s="2"/>
    </row>
    <row r="3" ht="24" customHeight="1">
      <c r="A3" s="2" t="str">
        <v>Jonas Bergmann, Potsdam</v>
      </c>
      <c r="B3" s="2"/>
      <c r="C3" s="2"/>
      <c r="D3" s="2"/>
      <c r="E3" s="2"/>
      <c r="F3" s="2"/>
      <c r="G3" s="2"/>
      <c r="H3" s="2"/>
    </row>
    <row r="4" ht="24" customHeight="1">
      <c r="A4" s="4" t="str">
        <v>Stand 08.07.2026. Anschaffungskosten, Buchwerte und Händlerangebote in EUR.</v>
      </c>
      <c r="B4" s="4"/>
      <c r="C4" s="4"/>
      <c r="D4" s="4"/>
      <c r="E4" s="4"/>
      <c r="F4" s="4"/>
      <c r="G4" s="4"/>
      <c r="H4" s="4"/>
    </row>
    <row r="5" ht="24" customHeight="1">
      <c r="A5" s="2"/>
      <c r="B5" s="2"/>
      <c r="C5" s="2"/>
      <c r="D5" s="2"/>
      <c r="E5" s="2"/>
      <c r="F5" s="2"/>
      <c r="G5" s="2"/>
      <c r="H5" s="2"/>
    </row>
    <row r="6" ht="24" customHeight="1">
      <c r="A6" s="2"/>
      <c r="B6" s="2"/>
      <c r="C6" s="2"/>
      <c r="D6" s="2"/>
      <c r="E6" s="2"/>
      <c r="F6" s="2"/>
      <c r="G6" s="2"/>
      <c r="H6" s="2"/>
    </row>
    <row r="7" ht="24" customHeight="1">
      <c r="A7" s="5" t="str">
        <v>Quelle: zahlenwerk/Inventar_Jonas_2026-07-08.csv</v>
      </c>
      <c r="B7" s="2"/>
      <c r="C7" s="2"/>
      <c r="D7" s="2"/>
      <c r="E7" s="2"/>
      <c r="F7" s="2"/>
      <c r="G7" s="2"/>
      <c r="H7" s="2"/>
    </row>
    <row r="8" ht="8" customHeight="1">
      <c r="A8" s="2"/>
      <c r="B8" s="2"/>
      <c r="C8" s="2"/>
      <c r="D8" s="2"/>
      <c r="E8" s="2"/>
      <c r="F8" s="2"/>
      <c r="G8" s="2"/>
      <c r="H8" s="2"/>
    </row>
    <row r="9" ht="38" customHeight="1">
      <c r="A9" s="14" t="str">
        <v>Inventarnummer</v>
      </c>
      <c r="B9" s="15" t="str">
        <v>Gegenstand</v>
      </c>
      <c r="C9" s="15" t="str">
        <v>Anschaffung</v>
      </c>
      <c r="D9" s="15" t="str">
        <v>Anschaffungs-
kosten EUR</v>
      </c>
      <c r="E9" s="15" t="str">
        <v>Buchwert EUR</v>
      </c>
      <c r="F9" s="15" t="str">
        <v>Händlerangebot
EUR</v>
      </c>
      <c r="G9" s="15" t="str">
        <v>Bemerkung</v>
      </c>
      <c r="H9" s="16" t="str">
        <v>Belegdatei</v>
      </c>
    </row>
    <row r="10" ht="28" customHeight="1">
      <c r="A10" s="18" t="str">
        <v>IT-2019-01</v>
      </c>
      <c r="B10" s="18" t="str">
        <v>CAD-Arbeitsstation</v>
      </c>
      <c r="C10" s="33" t="n">
        <v>43752</v>
      </c>
      <c r="D10" s="23" t="n">
        <v>3800</v>
      </c>
      <c r="E10" s="23" t="n">
        <v>1</v>
      </c>
      <c r="F10" s="23" t="n">
        <v>380</v>
      </c>
      <c r="G10" s="18" t="str">
        <v>Tastatur ersetzt / ohne Datenplatten</v>
      </c>
      <c r="H10" s="18" t="str">
        <v>belege/Inventar_Haendlerangebot_2026.pdf</v>
      </c>
    </row>
    <row r="11" ht="28" customHeight="1">
      <c r="A11" s="17" t="str">
        <v>IT-2023-02</v>
      </c>
      <c r="B11" s="17" t="str">
        <v>Notebook Projektarbeit</v>
      </c>
      <c r="C11" s="34" t="n">
        <v>44963</v>
      </c>
      <c r="D11" s="24" t="n">
        <v>2450</v>
      </c>
      <c r="E11" s="24" t="n">
        <v>1</v>
      </c>
      <c r="F11" s="24" t="n">
        <v>620</v>
      </c>
      <c r="G11" s="17" t="str">
        <v>Akku 76 Prozent / Netzteil vorhanden</v>
      </c>
      <c r="H11" s="17" t="str">
        <v>belege/Inventar_Haendlerangebot_2026.pdf</v>
      </c>
    </row>
    <row r="12" ht="28" customHeight="1">
      <c r="A12" s="18" t="str">
        <v>ME-2021-03</v>
      </c>
      <c r="B12" s="18" t="str">
        <v>Lichtmessgerät</v>
      </c>
      <c r="C12" s="33" t="n">
        <v>44298</v>
      </c>
      <c r="D12" s="23" t="n">
        <v>5200</v>
      </c>
      <c r="E12" s="23" t="n">
        <v>1300</v>
      </c>
      <c r="F12" s="23" t="n">
        <v>2150</v>
      </c>
      <c r="G12" s="18" t="str">
        <v>Kalibrierung 2025</v>
      </c>
      <c r="H12" s="18" t="str">
        <v>belege/Inventar_Haendlerangebot_2026.pdf</v>
      </c>
    </row>
    <row r="13" ht="28" customHeight="1">
      <c r="A13" s="17" t="str">
        <v>ME-2024-04</v>
      </c>
      <c r="B13" s="17" t="str">
        <v>Laser-Distanzmessgerät</v>
      </c>
      <c r="C13" s="34" t="n">
        <v>45461</v>
      </c>
      <c r="D13" s="24" t="n">
        <v>1680</v>
      </c>
      <c r="E13" s="24" t="n">
        <v>784</v>
      </c>
      <c r="F13" s="24" t="n">
        <v>920</v>
      </c>
      <c r="G13" s="17" t="str">
        <v>Koffer fehlt</v>
      </c>
      <c r="H13" s="17" t="str">
        <v>belege/Inventar_Haendlerangebot_2026.pdf</v>
      </c>
    </row>
    <row r="14" ht="28" customHeight="1">
      <c r="A14" s="18" t="str">
        <v>BU-2018-05</v>
      </c>
      <c r="B14" s="18" t="str">
        <v>Planablage und Schränke</v>
      </c>
      <c r="C14" s="33" t="n">
        <v>43346</v>
      </c>
      <c r="D14" s="23" t="n">
        <v>3100</v>
      </c>
      <c r="E14" s="23" t="n">
        <v>1</v>
      </c>
      <c r="F14" s="23" t="n">
        <v>250</v>
      </c>
      <c r="G14" s="18" t="str">
        <v>Abholung durch Käufer</v>
      </c>
      <c r="H14" s="18" t="str">
        <v>belege/Inventar_Haendlerangebot_2026.pdf</v>
      </c>
    </row>
    <row r="15" ht="28" customHeight="1">
      <c r="A15" s="17" t="str">
        <v>IT-2025-06</v>
      </c>
      <c r="B15" s="17" t="str">
        <v>Großformatdrucker</v>
      </c>
      <c r="C15" s="34" t="n">
        <v>45677</v>
      </c>
      <c r="D15" s="24" t="n">
        <v>2850</v>
      </c>
      <c r="E15" s="24" t="n">
        <v>2137.5</v>
      </c>
      <c r="F15" s="24" t="n">
        <v>1550</v>
      </c>
      <c r="G15" s="17" t="str">
        <v>Wartung Juni 2026</v>
      </c>
      <c r="H15" s="17" t="str">
        <v>belege/Inventar_Haendlerangebot_2026.pdf</v>
      </c>
    </row>
    <row r="16" ht="28" customHeight="1">
      <c r="A16" s="18" t="str">
        <v>ME-2020-07</v>
      </c>
      <c r="B16" s="18" t="str">
        <v>Leuchten-Prüfstand</v>
      </c>
      <c r="C16" s="33" t="n">
        <v>44144</v>
      </c>
      <c r="D16" s="23" t="n">
        <v>4600</v>
      </c>
      <c r="E16" s="23" t="n">
        <v>920</v>
      </c>
      <c r="F16" s="23" t="n">
        <v>1800</v>
      </c>
      <c r="G16" s="18" t="str">
        <v>Sonderanfertigung ohne Gewähr</v>
      </c>
      <c r="H16" s="18" t="str">
        <v>belege/Inventar_Haendlerangebot_2026.pdf</v>
      </c>
    </row>
    <row r="17" ht="28" customHeight="1">
      <c r="A17" s="17" t="str">
        <v>BU-2022-08</v>
      </c>
      <c r="B17" s="17" t="str">
        <v>Büromöbel Nebenraum</v>
      </c>
      <c r="C17" s="34" t="n">
        <v>44627</v>
      </c>
      <c r="D17" s="24" t="n">
        <v>2180</v>
      </c>
      <c r="E17" s="24" t="n">
        <v>908.33</v>
      </c>
      <c r="F17" s="24" t="n">
        <v>450</v>
      </c>
      <c r="G17" s="17" t="str">
        <v>Vier Tische und sechs Stühle</v>
      </c>
      <c r="H17" s="17" t="str">
        <v>belege/Inventar_Haendlerangebot_2026.pdf</v>
      </c>
    </row>
  </sheetData>
  <printOptions gridLines="0" headings="0"/>
  <pageMargins left="0.3" right="0.3" top="0.35" bottom="0.4" header="0.15" footer="0.18"/>
  <pageSetup paperSize="8" orientation="landscape" fitToWidth="1" fitToHeight="0"/>
  <headerFooter>
    <oddFooter>&amp;LFamilie Bergmann, Potsdam&amp;CInventar&amp;RSeite &amp;P von &amp;N</oddFooter>
  </headerFooter>
  <tableParts count="1">
    <tablePart xmlns:r="http://schemas.openxmlformats.org/officeDocument/2006/relationships" r:id="R82b36fb7ca3847c9"/>
  </tableParts>
</worksheet>
</file>