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0e1bf37334ff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ara" sheetId="1" r:id="Rf6730a2e05544bbc"/>
    <sheet xmlns:r="http://schemas.openxmlformats.org/officeDocument/2006/relationships" name="Jonas" sheetId="2" r:id="R98110ec565964af2"/>
    <sheet xmlns:r="http://schemas.openxmlformats.org/officeDocument/2006/relationships" name="Haushalt" sheetId="3" r:id="Rb95f879bc3594bdf"/>
  </sheets>
  <definedNames>
    <definedName name="_xlnm.Print_Area" localSheetId="0">'Mara'!$A$1:$H$147</definedName>
    <definedName name="_xlnm.Print_Titles" localSheetId="0">'Mara'!$1:$9</definedName>
    <definedName name="_xlnm.Print_Area" localSheetId="1">'Jonas'!$A$1:$H$165</definedName>
    <definedName name="_xlnm.Print_Titles" localSheetId="1">'Jonas'!$1:$9</definedName>
    <definedName name="_xlnm.Print_Area" localSheetId="2">'Haushalt'!$A$1:$H$199</definedName>
    <definedName name="_xlnm.Print_Titles" localSheetId="2">'Haushalt'!$1:$9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[$-407]#,##0.00&quot;  &quot;;[$-407]-#,##0.00&quot;  &quot;;[$-407]0.00&quot;  &quot;"/>
    <x:numFmt numFmtId="201" formatCode="dd&quot;.&quot;mm&quot;.&quot;yyyy"/>
  </x:numFmts>
  <x:fonts count="6">
    <x:font>
      <x:sz val="11"/>
      <x:name val="Carlito"/>
    </x:font>
    <x:font>
      <x:sz val="11"/>
      <x:color rgb="FF27332F"/>
      <x:name val="Arial"/>
    </x:font>
    <x:font>
      <x:b/>
      <x:sz val="16"/>
      <x:color rgb="FF375B4C"/>
      <x:name val="Arial"/>
    </x:font>
    <x:font>
      <x:i/>
      <x:sz val="11"/>
      <x:color rgb="FF64706A"/>
      <x:name val="Arial"/>
    </x:font>
    <x:font>
      <x:b/>
      <x:sz val="11"/>
      <x:color rgb="FFFFFFFF"/>
      <x:name val="Arial"/>
    </x:font>
    <x:font>
      <x:b/>
      <x:sz val="11"/>
      <x:color rgb="FF27332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5B4C"/>
      </x:patternFill>
    </x:fill>
    <x:fill>
      <x:patternFill patternType="solid">
        <x:fgColor rgb="FFEFF4F0"/>
      </x:patternFill>
    </x:fill>
  </x:fills>
  <x:borders count="5">
    <x:border/>
    <x:border>
      <x:bottom style="thin">
        <x:color rgb="FFB8C9BE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horizontal="center" vertical="center" wrapText="0"/>
    </x:xf>
    <x:xf numFmtId="201" fontId="1" fillId="0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3" fillId="3" borderId="0" xfId="0" applyNumberFormat="1" applyFont="1" applyFill="1" applyBorder="1" applyAlignment="1">
      <x:alignment horizontal="center" vertical="center" wrapText="0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28e55069e4df8" /><Relationship Type="http://schemas.openxmlformats.org/officeDocument/2006/relationships/theme" Target="/xl/theme/theme1.xml" Id="Rc1c944f4c3f84889" /><Relationship Type="http://schemas.openxmlformats.org/officeDocument/2006/relationships/sharedStrings" Target="/xl/sharedStrings.xml" Id="R1a03d38ec90f47f9" /><Relationship Type="http://schemas.openxmlformats.org/officeDocument/2006/relationships/worksheet" Target="/xl/worksheets/sheet1.xml" Id="Rf6730a2e05544bbc" /><Relationship Type="http://schemas.openxmlformats.org/officeDocument/2006/relationships/worksheet" Target="/xl/worksheets/sheet2.xml" Id="R98110ec565964af2" /><Relationship Type="http://schemas.openxmlformats.org/officeDocument/2006/relationships/worksheet" Target="/xl/worksheets/sheet3.xml" Id="Rb95f879bc3594bdf" /></Relationships>
</file>

<file path=xl/tables/table1.xml><?xml version="1.0" encoding="utf-8"?>
<x:table xmlns:x="http://schemas.openxmlformats.org/spreadsheetml/2006/main" id="1" name="Bergmann_Mara" displayName="Bergmann_Mara" ref="A9:H147" headerRowCount="1" totalsRowCount="0" totalsRowShown="0">
  <x:autoFilter ref="A9:H147"/>
  <x:tableColumns count="8">
    <x:tableColumn id="1" name="Buchungstag"/>
    <x:tableColumn id="2" name="Valuta"/>
    <x:tableColumn id="3" name="Referenz"/>
    <x:tableColumn id="4" name="Auftraggeber / Empfänger"/>
    <x:tableColumn id="5" name="Buchungstext"/>
    <x:tableColumn id="6" name="Betrag EUR"/>
    <x:tableColumn id="7" name="Saldo EUR"/>
    <x:tableColumn id="8" name="Belegdate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rgmann_Jonas" displayName="Bergmann_Jonas" ref="A9:H165" headerRowCount="1" totalsRowCount="0" totalsRowShown="0">
  <x:autoFilter ref="A9:H165"/>
  <x:tableColumns count="8">
    <x:tableColumn id="1" name="Buchungstag"/>
    <x:tableColumn id="2" name="Valuta"/>
    <x:tableColumn id="3" name="Referenz"/>
    <x:tableColumn id="4" name="Auftraggeber / Empfänger"/>
    <x:tableColumn id="5" name="Buchungstext"/>
    <x:tableColumn id="6" name="Betrag EUR"/>
    <x:tableColumn id="7" name="Saldo EUR"/>
    <x:tableColumn id="8" name="Belegdate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rgmann_Haushalt" displayName="Bergmann_Haushalt" ref="A9:H199" headerRowCount="1" totalsRowCount="0" totalsRowShown="0">
  <x:autoFilter ref="A9:H199"/>
  <x:tableColumns count="8">
    <x:tableColumn id="1" name="Buchungstag"/>
    <x:tableColumn id="2" name="Valuta"/>
    <x:tableColumn id="3" name="Referenz"/>
    <x:tableColumn id="4" name="Auftraggeber / Empfänger"/>
    <x:tableColumn id="5" name="Buchungstext"/>
    <x:tableColumn id="6" name="Betrag EUR"/>
    <x:tableColumn id="7" name="Saldo EUR"/>
    <x:tableColumn id="8" name="Belegdate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485b75f1f44d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99665df8e945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08f2de37b447af" /></Relationships>
</file>

<file path=xl/worksheets/sheet1.xml><?xml version="1.0" encoding="utf-8"?>
<worksheet xmlns="http://schemas.openxmlformats.org/spreadsheetml/2006/main">
  <sheetPr>
    <tabColor rgb="FF375B4C"/>
    <pageSetUpPr fitToPage="1"/>
  </sheetPr>
  <sheetViews>
    <sheetView showGridLines="0" workbookViewId="0">
      <pane xSplit="1" ySplit="9" topLeftCell="B10" activePane="bottomRight" state="frozen"/>
    </sheetView>
  </sheetViews>
  <sheetFormatPr defaultRowHeight="15"/>
  <cols>
    <col min="1" max="1" width="14" hidden="0" customWidth="1"/>
    <col min="2" max="2" width="14" hidden="0" customWidth="1"/>
    <col min="3" max="3" width="22.670000076293945" hidden="0" customWidth="1"/>
    <col min="4" max="4" width="25.780000686645508" hidden="0" customWidth="1"/>
    <col min="5" max="5" width="34.439998626708984" hidden="0" customWidth="1"/>
    <col min="6" max="6" width="14.670000076293945" hidden="0" customWidth="1"/>
    <col min="7" max="7" width="14.670000076293945" hidden="0" customWidth="1"/>
    <col min="8" max="8" width="36.66999816894531" hidden="0" customWidth="1"/>
  </cols>
  <sheetData>
    <row r="1" ht="9" customHeight="1">
      <c r="A1" s="2"/>
      <c r="B1" s="2"/>
      <c r="C1" s="2"/>
      <c r="D1" s="2"/>
      <c r="E1" s="2"/>
      <c r="F1" s="2"/>
      <c r="G1" s="2"/>
      <c r="H1" s="2"/>
    </row>
    <row r="2" ht="30" customHeight="1">
      <c r="A2" s="3" t="str">
        <v>Kontoumsätze 2025/2026</v>
      </c>
      <c r="B2" s="2"/>
      <c r="C2" s="2"/>
      <c r="D2" s="2"/>
      <c r="E2" s="2"/>
      <c r="F2" s="2"/>
      <c r="G2" s="2"/>
      <c r="H2" s="2"/>
    </row>
    <row r="3" ht="24" customHeight="1">
      <c r="A3" s="2" t="str">
        <v>Konto Mara. Kontoinhaberin: Mara Bergmann</v>
      </c>
      <c r="B3" s="2"/>
      <c r="C3" s="2"/>
      <c r="D3" s="2"/>
      <c r="E3" s="2"/>
      <c r="F3" s="2"/>
      <c r="G3" s="2"/>
      <c r="H3" s="2"/>
    </row>
    <row r="4" ht="24" customHeight="1">
      <c r="A4" s="4" t="str">
        <v>Familie Bergmann, Potsdam. Buchungen 01.04.2025 bis 08.07.2026 mit Vortrag zum 31.03.2025.</v>
      </c>
      <c r="B4" s="4"/>
      <c r="C4" s="4"/>
      <c r="D4" s="4"/>
      <c r="E4" s="4"/>
      <c r="F4" s="4"/>
      <c r="G4" s="4"/>
      <c r="H4" s="4"/>
    </row>
    <row r="5" ht="24" customHeight="1">
      <c r="A5" s="2"/>
      <c r="B5" s="2"/>
      <c r="C5" s="2"/>
      <c r="D5" s="2"/>
      <c r="E5" s="2"/>
      <c r="F5" s="2"/>
      <c r="G5" s="2"/>
      <c r="H5" s="2"/>
    </row>
    <row r="6" ht="24" customHeight="1">
      <c r="A6" s="2" t="str">
        <v>Eingänge EUR</v>
      </c>
      <c r="B6" s="33" t="n">
        <f>SUMIFS(F10:F147,F10:F147,"&gt;0")</f>
        <v>84402.3</v>
      </c>
      <c r="C6" s="2"/>
      <c r="D6" s="2" t="str">
        <v>Ausgänge EUR</v>
      </c>
      <c r="E6" s="33" t="n">
        <f>SUMIFS(F10:F147,F10:F147,"&lt;0")</f>
        <v>-59507.20000000001</v>
      </c>
      <c r="F6" s="2"/>
      <c r="G6" s="2" t="str">
        <v>Endsaldo EUR</v>
      </c>
      <c r="H6" s="34" t="n">
        <v>40075.55</v>
      </c>
    </row>
    <row r="7" ht="24" customHeight="1">
      <c r="A7" s="5" t="str">
        <v>Quelle: zahlenwerk/Konto_Mara_2025_2026.csv</v>
      </c>
      <c r="B7" s="2"/>
      <c r="C7" s="2"/>
      <c r="D7" s="2"/>
      <c r="E7" s="2"/>
      <c r="F7" s="2"/>
      <c r="G7" s="2"/>
      <c r="H7" s="2"/>
    </row>
    <row r="8" ht="8" customHeight="1">
      <c r="A8" s="2"/>
      <c r="B8" s="2"/>
      <c r="C8" s="2"/>
      <c r="D8" s="2"/>
      <c r="E8" s="2"/>
      <c r="F8" s="2"/>
      <c r="G8" s="2"/>
      <c r="H8" s="2"/>
    </row>
    <row r="9" ht="38" customHeight="1">
      <c r="A9" s="14" t="str">
        <v>Buchungstag</v>
      </c>
      <c r="B9" s="15" t="str">
        <v>Valuta</v>
      </c>
      <c r="C9" s="15" t="str">
        <v>Referenz</v>
      </c>
      <c r="D9" s="15" t="str">
        <v>Auftraggeber / Empfänger</v>
      </c>
      <c r="E9" s="15" t="str">
        <v>Buchungstext</v>
      </c>
      <c r="F9" s="15" t="str">
        <v>Betrag EUR</v>
      </c>
      <c r="G9" s="15" t="str">
        <v>Saldo EUR</v>
      </c>
      <c r="H9" s="16" t="str">
        <v>Belegdatei</v>
      </c>
    </row>
    <row r="10" ht="28" customHeight="1">
      <c r="A10" s="35" t="n">
        <v>45747</v>
      </c>
      <c r="B10" s="35" t="n">
        <v>45747</v>
      </c>
      <c r="C10" s="36" t="str">
        <v>VORTRAG</v>
      </c>
      <c r="D10" s="36" t="str">
        <v>Havelbogen Bank eG</v>
      </c>
      <c r="E10" s="36" t="str">
        <v>Saldovortrag 31.03.2025</v>
      </c>
      <c r="F10" s="37" t="n">
        <v>0</v>
      </c>
      <c r="G10" s="37" t="n">
        <v>15180.45</v>
      </c>
      <c r="H10" s="36" t="str">
        <v>belege/Saldenbestaetigung_2025-04-01.pdf</v>
      </c>
    </row>
    <row r="11" ht="28" customHeight="1">
      <c r="A11" s="30" t="n">
        <v>45749</v>
      </c>
      <c r="B11" s="30" t="n">
        <v>45749</v>
      </c>
      <c r="C11" s="17" t="str">
        <v>202504-M-H</v>
      </c>
      <c r="D11" s="17" t="str">
        <v>Mara und Jonas Bergmann</v>
      </c>
      <c r="E11" s="17" t="str">
        <v>Haushaltskonto / laufende Ausgaben</v>
      </c>
      <c r="F11" s="24" t="n">
        <v>-2300</v>
      </c>
      <c r="G11" s="24" t="n">
        <v>12880.45</v>
      </c>
      <c r="H11" s="17" t="str">
        <v>kontoauszuege/Mara_2025-04.pdf</v>
      </c>
    </row>
    <row r="12" ht="28" customHeight="1">
      <c r="A12" s="29" t="n">
        <v>45754</v>
      </c>
      <c r="B12" s="29" t="n">
        <v>45754</v>
      </c>
      <c r="C12" s="18" t="str">
        <v>202504-TG</v>
      </c>
      <c r="D12" s="18" t="str">
        <v>Havelbogen Bank eG</v>
      </c>
      <c r="E12" s="18" t="str">
        <v>Sparübertrag Tagesgeld 4421</v>
      </c>
      <c r="F12" s="23" t="n">
        <v>-600</v>
      </c>
      <c r="G12" s="23" t="n">
        <v>12280.45</v>
      </c>
      <c r="H12" s="18" t="str">
        <v>kontoauszuege/Mara_2025-04.pdf</v>
      </c>
    </row>
    <row r="13" ht="28" customHeight="1">
      <c r="A13" s="30" t="n">
        <v>45756</v>
      </c>
      <c r="B13" s="30" t="n">
        <v>45756</v>
      </c>
      <c r="C13" s="17" t="str">
        <v>202504-DEP</v>
      </c>
      <c r="D13" s="17" t="str">
        <v>Depotservice Havelbogen</v>
      </c>
      <c r="E13" s="17" t="str">
        <v>Fondssparplan D-8821 / Monatsrate</v>
      </c>
      <c r="F13" s="24" t="n">
        <v>-300</v>
      </c>
      <c r="G13" s="24" t="n">
        <v>11980.45</v>
      </c>
      <c r="H13" s="17" t="str">
        <v>kontoauszuege/Mara_2025-04.pdf</v>
      </c>
    </row>
    <row r="14" ht="28" customHeight="1">
      <c r="A14" s="29" t="n">
        <v>45758</v>
      </c>
      <c r="B14" s="29" t="n">
        <v>45758</v>
      </c>
      <c r="C14" s="18" t="str">
        <v>202504-KG</v>
      </c>
      <c r="D14" s="18" t="str">
        <v>Familienkasse</v>
      </c>
      <c r="E14" s="18" t="str">
        <v>Kindergeld Jule und Oskar</v>
      </c>
      <c r="F14" s="23" t="n">
        <v>510</v>
      </c>
      <c r="G14" s="23" t="n">
        <v>12490.45</v>
      </c>
      <c r="H14" s="18" t="str">
        <v>kontoauszuege/Mara_2025-04.pdf</v>
      </c>
    </row>
    <row r="15" ht="28" customHeight="1">
      <c r="A15" s="30" t="n">
        <v>45763</v>
      </c>
      <c r="B15" s="30" t="n">
        <v>45763</v>
      </c>
      <c r="C15" s="17" t="str">
        <v>202504-KARTE</v>
      </c>
      <c r="D15" s="17" t="str">
        <v>HavelCard Abrechnung</v>
      </c>
      <c r="E15" s="17" t="str">
        <v>Kartenabrechnung 04/2025 / Mara</v>
      </c>
      <c r="F15" s="24" t="n">
        <v>-243.38</v>
      </c>
      <c r="G15" s="24" t="n">
        <v>12247.07</v>
      </c>
      <c r="H15" s="17" t="str">
        <v>kontoauszuege/Mara_2025-04.pdf</v>
      </c>
    </row>
    <row r="16" ht="28" customHeight="1">
      <c r="A16" s="29" t="n">
        <v>45769</v>
      </c>
      <c r="B16" s="29" t="n">
        <v>45769</v>
      </c>
      <c r="C16" s="18" t="str">
        <v>202504-KFZ</v>
      </c>
      <c r="D16" s="18" t="str">
        <v>Waldsee Versicherung</v>
      </c>
      <c r="E16" s="18" t="str">
        <v>Pkw P-MB 418 / Monatsbeitrag</v>
      </c>
      <c r="F16" s="23" t="n">
        <v>-74.8</v>
      </c>
      <c r="G16" s="23" t="n">
        <v>12172.27</v>
      </c>
      <c r="H16" s="18" t="str">
        <v>kontoauszuege/Mara_2025-04.pdf</v>
      </c>
    </row>
    <row r="17" ht="28" customHeight="1">
      <c r="A17" s="30" t="n">
        <v>45775</v>
      </c>
      <c r="B17" s="30" t="n">
        <v>45775</v>
      </c>
      <c r="C17" s="17" t="str">
        <v>202504-ENTGELT</v>
      </c>
      <c r="D17" s="17" t="str">
        <v>Land Brandenburg</v>
      </c>
      <c r="E17" s="17" t="str">
        <v>Entgelt Personalnummer 048216</v>
      </c>
      <c r="F17" s="24" t="n">
        <v>4385.62</v>
      </c>
      <c r="G17" s="24" t="n">
        <v>16557.89</v>
      </c>
      <c r="H17" s="17" t="str">
        <v>kontoauszuege/Mara_2025-04.pdf</v>
      </c>
    </row>
    <row r="18" ht="28" customHeight="1">
      <c r="A18" s="29" t="n">
        <v>45777</v>
      </c>
      <c r="B18" s="29" t="n">
        <v>45777</v>
      </c>
      <c r="C18" s="18" t="str">
        <v>202504-GEB-MARA</v>
      </c>
      <c r="D18" s="18" t="str">
        <v>Havelbogen Bank eG</v>
      </c>
      <c r="E18" s="18" t="str">
        <v>Kontoführung / Monatsentgelt</v>
      </c>
      <c r="F18" s="23" t="n">
        <v>-6.9</v>
      </c>
      <c r="G18" s="23" t="n">
        <v>16550.99</v>
      </c>
      <c r="H18" s="18" t="str">
        <v>kontoauszuege/Mara_2025-04.pdf</v>
      </c>
    </row>
    <row r="19" ht="28" customHeight="1">
      <c r="A19" s="30" t="n">
        <v>45779</v>
      </c>
      <c r="B19" s="30" t="n">
        <v>45779</v>
      </c>
      <c r="C19" s="17" t="str">
        <v>202505-M-H</v>
      </c>
      <c r="D19" s="17" t="str">
        <v>Mara und Jonas Bergmann</v>
      </c>
      <c r="E19" s="17" t="str">
        <v>Haushaltskonto / laufende Ausgaben</v>
      </c>
      <c r="F19" s="24" t="n">
        <v>-2300</v>
      </c>
      <c r="G19" s="24" t="n">
        <v>14250.99</v>
      </c>
      <c r="H19" s="17" t="str">
        <v>kontoauszuege/Mara_2025-05.pdf</v>
      </c>
    </row>
    <row r="20" ht="28" customHeight="1">
      <c r="A20" s="29" t="n">
        <v>45782</v>
      </c>
      <c r="B20" s="29" t="n">
        <v>45782</v>
      </c>
      <c r="C20" s="18" t="str">
        <v>202505-TG</v>
      </c>
      <c r="D20" s="18" t="str">
        <v>Havelbogen Bank eG</v>
      </c>
      <c r="E20" s="18" t="str">
        <v>Sparübertrag Tagesgeld 4421</v>
      </c>
      <c r="F20" s="23" t="n">
        <v>-600</v>
      </c>
      <c r="G20" s="23" t="n">
        <v>13650.99</v>
      </c>
      <c r="H20" s="18" t="str">
        <v>kontoauszuege/Mara_2025-05.pdf</v>
      </c>
    </row>
    <row r="21" ht="28" customHeight="1">
      <c r="A21" s="30" t="n">
        <v>45786</v>
      </c>
      <c r="B21" s="30" t="n">
        <v>45786</v>
      </c>
      <c r="C21" s="17" t="str">
        <v>202505-DEP</v>
      </c>
      <c r="D21" s="17" t="str">
        <v>Depotservice Havelbogen</v>
      </c>
      <c r="E21" s="17" t="str">
        <v>Fondssparplan D-8821 / Monatsrate</v>
      </c>
      <c r="F21" s="24" t="n">
        <v>-300</v>
      </c>
      <c r="G21" s="24" t="n">
        <v>13350.99</v>
      </c>
      <c r="H21" s="17" t="str">
        <v>kontoauszuege/Mara_2025-05.pdf</v>
      </c>
    </row>
    <row r="22" ht="28" customHeight="1">
      <c r="A22" s="29" t="n">
        <v>45789</v>
      </c>
      <c r="B22" s="29" t="n">
        <v>45789</v>
      </c>
      <c r="C22" s="18" t="str">
        <v>202505-KG</v>
      </c>
      <c r="D22" s="18" t="str">
        <v>Familienkasse</v>
      </c>
      <c r="E22" s="18" t="str">
        <v>Kindergeld Jule und Oskar</v>
      </c>
      <c r="F22" s="23" t="n">
        <v>510</v>
      </c>
      <c r="G22" s="23" t="n">
        <v>13860.99</v>
      </c>
      <c r="H22" s="18" t="str">
        <v>kontoauszuege/Mara_2025-05.pdf</v>
      </c>
    </row>
    <row r="23" ht="28" customHeight="1">
      <c r="A23" s="30" t="n">
        <v>45793</v>
      </c>
      <c r="B23" s="30" t="n">
        <v>45793</v>
      </c>
      <c r="C23" s="17" t="str">
        <v>202505-KARTE</v>
      </c>
      <c r="D23" s="17" t="str">
        <v>HavelCard Abrechnung</v>
      </c>
      <c r="E23" s="17" t="str">
        <v>Kartenabrechnung 05/2025 / Mara</v>
      </c>
      <c r="F23" s="24" t="n">
        <v>-250.38</v>
      </c>
      <c r="G23" s="24" t="n">
        <v>13610.61</v>
      </c>
      <c r="H23" s="17" t="str">
        <v>kontoauszuege/Mara_2025-05.pdf</v>
      </c>
    </row>
    <row r="24" ht="28" customHeight="1">
      <c r="A24" s="29" t="n">
        <v>45798</v>
      </c>
      <c r="B24" s="29" t="n">
        <v>45798</v>
      </c>
      <c r="C24" s="18" t="str">
        <v>202505-KFZ</v>
      </c>
      <c r="D24" s="18" t="str">
        <v>Waldsee Versicherung</v>
      </c>
      <c r="E24" s="18" t="str">
        <v>Pkw P-MB 418 / Monatsbeitrag</v>
      </c>
      <c r="F24" s="23" t="n">
        <v>-74.8</v>
      </c>
      <c r="G24" s="23" t="n">
        <v>13535.81</v>
      </c>
      <c r="H24" s="18" t="str">
        <v>kontoauszuege/Mara_2025-05.pdf</v>
      </c>
    </row>
    <row r="25" ht="28" customHeight="1">
      <c r="A25" s="30" t="n">
        <v>45805</v>
      </c>
      <c r="B25" s="30" t="n">
        <v>45805</v>
      </c>
      <c r="C25" s="17" t="str">
        <v>202505-ENTGELT</v>
      </c>
      <c r="D25" s="17" t="str">
        <v>Land Brandenburg</v>
      </c>
      <c r="E25" s="17" t="str">
        <v>Entgelt Personalnummer 048216</v>
      </c>
      <c r="F25" s="24" t="n">
        <v>4385.62</v>
      </c>
      <c r="G25" s="24" t="n">
        <v>17921.43</v>
      </c>
      <c r="H25" s="17" t="str">
        <v>kontoauszuege/Mara_2025-05.pdf</v>
      </c>
    </row>
    <row r="26" ht="28" customHeight="1">
      <c r="A26" s="29" t="n">
        <v>45810</v>
      </c>
      <c r="B26" s="29" t="n">
        <v>45810</v>
      </c>
      <c r="C26" s="18" t="str">
        <v>202505-GEB-MARA</v>
      </c>
      <c r="D26" s="18" t="str">
        <v>Havelbogen Bank eG</v>
      </c>
      <c r="E26" s="18" t="str">
        <v>Kontoführung / Monatsentgelt</v>
      </c>
      <c r="F26" s="23" t="n">
        <v>-6.9</v>
      </c>
      <c r="G26" s="23" t="n">
        <v>17914.53</v>
      </c>
      <c r="H26" s="18" t="str">
        <v>kontoauszuege/Mara_2025-06.pdf</v>
      </c>
    </row>
    <row r="27" ht="28" customHeight="1">
      <c r="A27" s="30" t="n">
        <v>45810</v>
      </c>
      <c r="B27" s="30" t="n">
        <v>45810</v>
      </c>
      <c r="C27" s="17" t="str">
        <v>202506-M-H</v>
      </c>
      <c r="D27" s="17" t="str">
        <v>Mara und Jonas Bergmann</v>
      </c>
      <c r="E27" s="17" t="str">
        <v>Haushaltskonto / laufende Ausgaben</v>
      </c>
      <c r="F27" s="24" t="n">
        <v>-2300</v>
      </c>
      <c r="G27" s="24" t="n">
        <v>15614.53</v>
      </c>
      <c r="H27" s="17" t="str">
        <v>kontoauszuege/Mara_2025-06.pdf</v>
      </c>
    </row>
    <row r="28" ht="38" customHeight="1">
      <c r="A28" s="29" t="n">
        <v>45812</v>
      </c>
      <c r="B28" s="29" t="n">
        <v>45812</v>
      </c>
      <c r="C28" s="18" t="str">
        <v>202506-J-M</v>
      </c>
      <c r="D28" s="18" t="str">
        <v>Jonas Bergmann</v>
      </c>
      <c r="E28" s="18" t="str">
        <v>Für Jule und Oskar / vereinbarter Abschlag</v>
      </c>
      <c r="F28" s="23" t="n">
        <v>780</v>
      </c>
      <c r="G28" s="23" t="n">
        <v>16394.53</v>
      </c>
      <c r="H28" s="18" t="str">
        <v>kontoauszuege/Mara_2025-06.pdf</v>
      </c>
    </row>
    <row r="29" ht="28" customHeight="1">
      <c r="A29" s="30" t="n">
        <v>45813</v>
      </c>
      <c r="B29" s="30" t="n">
        <v>45813</v>
      </c>
      <c r="C29" s="17" t="str">
        <v>202506-TG</v>
      </c>
      <c r="D29" s="17" t="str">
        <v>Havelbogen Bank eG</v>
      </c>
      <c r="E29" s="17" t="str">
        <v>Sparübertrag Tagesgeld 4421</v>
      </c>
      <c r="F29" s="24" t="n">
        <v>-600</v>
      </c>
      <c r="G29" s="24" t="n">
        <v>15794.53</v>
      </c>
      <c r="H29" s="17" t="str">
        <v>kontoauszuege/Mara_2025-06.pdf</v>
      </c>
    </row>
    <row r="30" ht="28" customHeight="1">
      <c r="A30" s="29" t="n">
        <v>45818</v>
      </c>
      <c r="B30" s="29" t="n">
        <v>45818</v>
      </c>
      <c r="C30" s="18" t="str">
        <v>202506-DEP</v>
      </c>
      <c r="D30" s="18" t="str">
        <v>Depotservice Havelbogen</v>
      </c>
      <c r="E30" s="18" t="str">
        <v>Fondssparplan D-8821 / Monatsrate</v>
      </c>
      <c r="F30" s="23" t="n">
        <v>-300</v>
      </c>
      <c r="G30" s="23" t="n">
        <v>15494.53</v>
      </c>
      <c r="H30" s="18" t="str">
        <v>kontoauszuege/Mara_2025-06.pdf</v>
      </c>
    </row>
    <row r="31" ht="28" customHeight="1">
      <c r="A31" s="30" t="n">
        <v>45819</v>
      </c>
      <c r="B31" s="30" t="n">
        <v>45819</v>
      </c>
      <c r="C31" s="17" t="str">
        <v>202506-KG</v>
      </c>
      <c r="D31" s="17" t="str">
        <v>Familienkasse</v>
      </c>
      <c r="E31" s="17" t="str">
        <v>Kindergeld Jule und Oskar</v>
      </c>
      <c r="F31" s="24" t="n">
        <v>510</v>
      </c>
      <c r="G31" s="24" t="n">
        <v>16004.53</v>
      </c>
      <c r="H31" s="17" t="str">
        <v>kontoauszuege/Mara_2025-06.pdf</v>
      </c>
    </row>
    <row r="32" ht="28" customHeight="1">
      <c r="A32" s="29" t="n">
        <v>45824</v>
      </c>
      <c r="B32" s="29" t="n">
        <v>45824</v>
      </c>
      <c r="C32" s="18" t="str">
        <v>202506-KARTE</v>
      </c>
      <c r="D32" s="18" t="str">
        <v>HavelCard Abrechnung</v>
      </c>
      <c r="E32" s="18" t="str">
        <v>Kartenabrechnung 06/2025 / Mara</v>
      </c>
      <c r="F32" s="23" t="n">
        <v>-257.38</v>
      </c>
      <c r="G32" s="23" t="n">
        <v>15747.15</v>
      </c>
      <c r="H32" s="18" t="str">
        <v>kontoauszuege/Mara_2025-06.pdf</v>
      </c>
    </row>
    <row r="33" ht="28" customHeight="1">
      <c r="A33" s="30" t="n">
        <v>45831</v>
      </c>
      <c r="B33" s="30" t="n">
        <v>45831</v>
      </c>
      <c r="C33" s="17" t="str">
        <v>202506-KFZ</v>
      </c>
      <c r="D33" s="17" t="str">
        <v>Waldsee Versicherung</v>
      </c>
      <c r="E33" s="17" t="str">
        <v>Pkw P-MB 418 / Monatsbeitrag</v>
      </c>
      <c r="F33" s="24" t="n">
        <v>-74.8</v>
      </c>
      <c r="G33" s="24" t="n">
        <v>15672.35</v>
      </c>
      <c r="H33" s="17" t="str">
        <v>kontoauszuege/Mara_2025-06.pdf</v>
      </c>
    </row>
    <row r="34" ht="28" customHeight="1">
      <c r="A34" s="29" t="n">
        <v>45838</v>
      </c>
      <c r="B34" s="29" t="n">
        <v>45838</v>
      </c>
      <c r="C34" s="18" t="str">
        <v>202506-ENTGELT</v>
      </c>
      <c r="D34" s="18" t="str">
        <v>Land Brandenburg</v>
      </c>
      <c r="E34" s="18" t="str">
        <v>Entgelt Personalnummer 048216</v>
      </c>
      <c r="F34" s="23" t="n">
        <v>4385.62</v>
      </c>
      <c r="G34" s="23" t="n">
        <v>20057.97</v>
      </c>
      <c r="H34" s="18" t="str">
        <v>kontoauszuege/Mara_2025-06.pdf</v>
      </c>
    </row>
    <row r="35" ht="28" customHeight="1">
      <c r="A35" s="30" t="n">
        <v>45838</v>
      </c>
      <c r="B35" s="30" t="n">
        <v>45838</v>
      </c>
      <c r="C35" s="17" t="str">
        <v>202506-GEB-MARA</v>
      </c>
      <c r="D35" s="17" t="str">
        <v>Havelbogen Bank eG</v>
      </c>
      <c r="E35" s="17" t="str">
        <v>Kontoführung / Monatsentgelt</v>
      </c>
      <c r="F35" s="24" t="n">
        <v>-6.9</v>
      </c>
      <c r="G35" s="24" t="n">
        <v>20051.07</v>
      </c>
      <c r="H35" s="17" t="str">
        <v>kontoauszuege/Mara_2025-06.pdf</v>
      </c>
    </row>
    <row r="36" ht="28" customHeight="1">
      <c r="A36" s="29" t="n">
        <v>45840</v>
      </c>
      <c r="B36" s="29" t="n">
        <v>45840</v>
      </c>
      <c r="C36" s="18" t="str">
        <v>202507-M-H</v>
      </c>
      <c r="D36" s="18" t="str">
        <v>Mara und Jonas Bergmann</v>
      </c>
      <c r="E36" s="18" t="str">
        <v>Haushaltskonto / laufende Ausgaben</v>
      </c>
      <c r="F36" s="23" t="n">
        <v>-2300</v>
      </c>
      <c r="G36" s="23" t="n">
        <v>17751.07</v>
      </c>
      <c r="H36" s="18" t="str">
        <v>kontoauszuege/Mara_2025-07.pdf</v>
      </c>
    </row>
    <row r="37" ht="38" customHeight="1">
      <c r="A37" s="30" t="n">
        <v>45842</v>
      </c>
      <c r="B37" s="30" t="n">
        <v>45842</v>
      </c>
      <c r="C37" s="17" t="str">
        <v>202507-J-M</v>
      </c>
      <c r="D37" s="17" t="str">
        <v>Jonas Bergmann</v>
      </c>
      <c r="E37" s="17" t="str">
        <v>Für Jule und Oskar / vereinbarter Abschlag</v>
      </c>
      <c r="F37" s="24" t="n">
        <v>780</v>
      </c>
      <c r="G37" s="24" t="n">
        <v>18531.07</v>
      </c>
      <c r="H37" s="17" t="str">
        <v>kontoauszuege/Mara_2025-07.pdf</v>
      </c>
    </row>
    <row r="38" ht="28" customHeight="1">
      <c r="A38" s="29" t="n">
        <v>45845</v>
      </c>
      <c r="B38" s="29" t="n">
        <v>45845</v>
      </c>
      <c r="C38" s="18" t="str">
        <v>202507-TG</v>
      </c>
      <c r="D38" s="18" t="str">
        <v>Havelbogen Bank eG</v>
      </c>
      <c r="E38" s="18" t="str">
        <v>Sparübertrag Tagesgeld 4421</v>
      </c>
      <c r="F38" s="23" t="n">
        <v>-600</v>
      </c>
      <c r="G38" s="23" t="n">
        <v>17931.07</v>
      </c>
      <c r="H38" s="18" t="str">
        <v>kontoauszuege/Mara_2025-07.pdf</v>
      </c>
    </row>
    <row r="39" ht="28" customHeight="1">
      <c r="A39" s="30" t="n">
        <v>45847</v>
      </c>
      <c r="B39" s="30" t="n">
        <v>45847</v>
      </c>
      <c r="C39" s="17" t="str">
        <v>202507-DEP</v>
      </c>
      <c r="D39" s="17" t="str">
        <v>Depotservice Havelbogen</v>
      </c>
      <c r="E39" s="17" t="str">
        <v>Fondssparplan D-8821 / Monatsrate</v>
      </c>
      <c r="F39" s="24" t="n">
        <v>-300</v>
      </c>
      <c r="G39" s="24" t="n">
        <v>17631.07</v>
      </c>
      <c r="H39" s="17" t="str">
        <v>kontoauszuege/Mara_2025-07.pdf</v>
      </c>
    </row>
    <row r="40" ht="28" customHeight="1">
      <c r="A40" s="29" t="n">
        <v>45849</v>
      </c>
      <c r="B40" s="29" t="n">
        <v>45849</v>
      </c>
      <c r="C40" s="18" t="str">
        <v>202507-KG</v>
      </c>
      <c r="D40" s="18" t="str">
        <v>Familienkasse</v>
      </c>
      <c r="E40" s="18" t="str">
        <v>Kindergeld Jule und Oskar</v>
      </c>
      <c r="F40" s="23" t="n">
        <v>510</v>
      </c>
      <c r="G40" s="23" t="n">
        <v>18141.07</v>
      </c>
      <c r="H40" s="18" t="str">
        <v>kontoauszuege/Mara_2025-07.pdf</v>
      </c>
    </row>
    <row r="41" ht="28" customHeight="1">
      <c r="A41" s="30" t="n">
        <v>45854</v>
      </c>
      <c r="B41" s="30" t="n">
        <v>45854</v>
      </c>
      <c r="C41" s="17" t="str">
        <v>202507-KARTE</v>
      </c>
      <c r="D41" s="17" t="str">
        <v>HavelCard Abrechnung</v>
      </c>
      <c r="E41" s="17" t="str">
        <v>Kartenabrechnung 07/2025 / Mara</v>
      </c>
      <c r="F41" s="24" t="n">
        <v>-264.38</v>
      </c>
      <c r="G41" s="24" t="n">
        <v>17876.69</v>
      </c>
      <c r="H41" s="17" t="str">
        <v>kontoauszuege/Mara_2025-07.pdf</v>
      </c>
    </row>
    <row r="42" ht="28" customHeight="1">
      <c r="A42" s="29" t="n">
        <v>45859</v>
      </c>
      <c r="B42" s="29" t="n">
        <v>45859</v>
      </c>
      <c r="C42" s="18" t="str">
        <v>202507-KFZ</v>
      </c>
      <c r="D42" s="18" t="str">
        <v>Waldsee Versicherung</v>
      </c>
      <c r="E42" s="18" t="str">
        <v>Pkw P-MB 418 / Monatsbeitrag</v>
      </c>
      <c r="F42" s="23" t="n">
        <v>-74.8</v>
      </c>
      <c r="G42" s="23" t="n">
        <v>17801.89</v>
      </c>
      <c r="H42" s="18" t="str">
        <v>kontoauszuege/Mara_2025-07.pdf</v>
      </c>
    </row>
    <row r="43" ht="28" customHeight="1">
      <c r="A43" s="30" t="n">
        <v>45866</v>
      </c>
      <c r="B43" s="30" t="n">
        <v>45866</v>
      </c>
      <c r="C43" s="17" t="str">
        <v>202507-ENTGELT</v>
      </c>
      <c r="D43" s="17" t="str">
        <v>Land Brandenburg</v>
      </c>
      <c r="E43" s="17" t="str">
        <v>Entgelt Personalnummer 048216</v>
      </c>
      <c r="F43" s="24" t="n">
        <v>4385.62</v>
      </c>
      <c r="G43" s="24" t="n">
        <v>22187.51</v>
      </c>
      <c r="H43" s="17" t="str">
        <v>kontoauszuege/Mara_2025-07.pdf</v>
      </c>
    </row>
    <row r="44" ht="28" customHeight="1">
      <c r="A44" s="29" t="n">
        <v>45869</v>
      </c>
      <c r="B44" s="29" t="n">
        <v>45869</v>
      </c>
      <c r="C44" s="18" t="str">
        <v>202507-GEB-MARA</v>
      </c>
      <c r="D44" s="18" t="str">
        <v>Havelbogen Bank eG</v>
      </c>
      <c r="E44" s="18" t="str">
        <v>Kontoführung / Monatsentgelt</v>
      </c>
      <c r="F44" s="23" t="n">
        <v>-6.9</v>
      </c>
      <c r="G44" s="23" t="n">
        <v>22180.61</v>
      </c>
      <c r="H44" s="18" t="str">
        <v>kontoauszuege/Mara_2025-07.pdf</v>
      </c>
    </row>
    <row r="45" ht="38" customHeight="1">
      <c r="A45" s="30" t="n">
        <v>45873</v>
      </c>
      <c r="B45" s="30" t="n">
        <v>45873</v>
      </c>
      <c r="C45" s="17" t="str">
        <v>202508-J-M</v>
      </c>
      <c r="D45" s="17" t="str">
        <v>Jonas Bergmann</v>
      </c>
      <c r="E45" s="17" t="str">
        <v>Für Jule und Oskar / vereinbarter Abschlag</v>
      </c>
      <c r="F45" s="24" t="n">
        <v>780</v>
      </c>
      <c r="G45" s="24" t="n">
        <v>22960.61</v>
      </c>
      <c r="H45" s="17" t="str">
        <v>kontoauszuege/Mara_2025-08.pdf</v>
      </c>
    </row>
    <row r="46" ht="28" customHeight="1">
      <c r="A46" s="29" t="n">
        <v>45873</v>
      </c>
      <c r="B46" s="29" t="n">
        <v>45873</v>
      </c>
      <c r="C46" s="18" t="str">
        <v>202508-M-H</v>
      </c>
      <c r="D46" s="18" t="str">
        <v>Mara und Jonas Bergmann</v>
      </c>
      <c r="E46" s="18" t="str">
        <v>Haushaltskonto / laufende Ausgaben</v>
      </c>
      <c r="F46" s="23" t="n">
        <v>-2300</v>
      </c>
      <c r="G46" s="23" t="n">
        <v>20660.61</v>
      </c>
      <c r="H46" s="18" t="str">
        <v>kontoauszuege/Mara_2025-08.pdf</v>
      </c>
    </row>
    <row r="47" ht="28" customHeight="1">
      <c r="A47" s="30" t="n">
        <v>45874</v>
      </c>
      <c r="B47" s="30" t="n">
        <v>45874</v>
      </c>
      <c r="C47" s="17" t="str">
        <v>202508-TG</v>
      </c>
      <c r="D47" s="17" t="str">
        <v>Havelbogen Bank eG</v>
      </c>
      <c r="E47" s="17" t="str">
        <v>Sparübertrag Tagesgeld 4421</v>
      </c>
      <c r="F47" s="24" t="n">
        <v>-600</v>
      </c>
      <c r="G47" s="24" t="n">
        <v>20060.61</v>
      </c>
      <c r="H47" s="17" t="str">
        <v>kontoauszuege/Mara_2025-08.pdf</v>
      </c>
    </row>
    <row r="48" ht="28" customHeight="1">
      <c r="A48" s="29" t="n">
        <v>45880</v>
      </c>
      <c r="B48" s="29" t="n">
        <v>45880</v>
      </c>
      <c r="C48" s="18" t="str">
        <v>202508-DEP</v>
      </c>
      <c r="D48" s="18" t="str">
        <v>Depotservice Havelbogen</v>
      </c>
      <c r="E48" s="18" t="str">
        <v>Fondssparplan D-8821 / Monatsrate</v>
      </c>
      <c r="F48" s="23" t="n">
        <v>-300</v>
      </c>
      <c r="G48" s="23" t="n">
        <v>19760.61</v>
      </c>
      <c r="H48" s="18" t="str">
        <v>kontoauszuege/Mara_2025-08.pdf</v>
      </c>
    </row>
    <row r="49" ht="28" customHeight="1">
      <c r="A49" s="30" t="n">
        <v>45880</v>
      </c>
      <c r="B49" s="30" t="n">
        <v>45880</v>
      </c>
      <c r="C49" s="17" t="str">
        <v>202508-KG</v>
      </c>
      <c r="D49" s="17" t="str">
        <v>Familienkasse</v>
      </c>
      <c r="E49" s="17" t="str">
        <v>Kindergeld Jule und Oskar</v>
      </c>
      <c r="F49" s="24" t="n">
        <v>510</v>
      </c>
      <c r="G49" s="24" t="n">
        <v>20270.61</v>
      </c>
      <c r="H49" s="17" t="str">
        <v>kontoauszuege/Mara_2025-08.pdf</v>
      </c>
    </row>
    <row r="50" ht="28" customHeight="1">
      <c r="A50" s="29" t="n">
        <v>45887</v>
      </c>
      <c r="B50" s="29" t="n">
        <v>45887</v>
      </c>
      <c r="C50" s="18" t="str">
        <v>202508-KARTE</v>
      </c>
      <c r="D50" s="18" t="str">
        <v>HavelCard Abrechnung</v>
      </c>
      <c r="E50" s="18" t="str">
        <v>Kartenabrechnung 08/2025 / Mara</v>
      </c>
      <c r="F50" s="23" t="n">
        <v>-271.38</v>
      </c>
      <c r="G50" s="23" t="n">
        <v>19999.23</v>
      </c>
      <c r="H50" s="18" t="str">
        <v>kontoauszuege/Mara_2025-08.pdf</v>
      </c>
    </row>
    <row r="51" ht="28" customHeight="1">
      <c r="A51" s="30" t="n">
        <v>45890</v>
      </c>
      <c r="B51" s="30" t="n">
        <v>45890</v>
      </c>
      <c r="C51" s="17" t="str">
        <v>202508-KFZ</v>
      </c>
      <c r="D51" s="17" t="str">
        <v>Waldsee Versicherung</v>
      </c>
      <c r="E51" s="17" t="str">
        <v>Pkw P-MB 418 / Monatsbeitrag</v>
      </c>
      <c r="F51" s="24" t="n">
        <v>-74.8</v>
      </c>
      <c r="G51" s="24" t="n">
        <v>19924.43</v>
      </c>
      <c r="H51" s="17" t="str">
        <v>kontoauszuege/Mara_2025-08.pdf</v>
      </c>
    </row>
    <row r="52" ht="28" customHeight="1">
      <c r="A52" s="29" t="n">
        <v>45897</v>
      </c>
      <c r="B52" s="29" t="n">
        <v>45897</v>
      </c>
      <c r="C52" s="18" t="str">
        <v>202508-ENTGELT</v>
      </c>
      <c r="D52" s="18" t="str">
        <v>Land Brandenburg</v>
      </c>
      <c r="E52" s="18" t="str">
        <v>Entgelt Personalnummer 048216</v>
      </c>
      <c r="F52" s="23" t="n">
        <v>4385.62</v>
      </c>
      <c r="G52" s="23" t="n">
        <v>24310.05</v>
      </c>
      <c r="H52" s="18" t="str">
        <v>kontoauszuege/Mara_2025-08.pdf</v>
      </c>
    </row>
    <row r="53" ht="28" customHeight="1">
      <c r="A53" s="30" t="n">
        <v>45901</v>
      </c>
      <c r="B53" s="30" t="n">
        <v>45901</v>
      </c>
      <c r="C53" s="17" t="str">
        <v>202508-GEB-MARA</v>
      </c>
      <c r="D53" s="17" t="str">
        <v>Havelbogen Bank eG</v>
      </c>
      <c r="E53" s="17" t="str">
        <v>Kontoführung / Monatsentgelt</v>
      </c>
      <c r="F53" s="24" t="n">
        <v>-6.9</v>
      </c>
      <c r="G53" s="24" t="n">
        <v>24303.15</v>
      </c>
      <c r="H53" s="17" t="str">
        <v>kontoauszuege/Mara_2025-09.pdf</v>
      </c>
    </row>
    <row r="54" ht="28" customHeight="1">
      <c r="A54" s="29" t="n">
        <v>45902</v>
      </c>
      <c r="B54" s="29" t="n">
        <v>45902</v>
      </c>
      <c r="C54" s="18" t="str">
        <v>202509-M-H</v>
      </c>
      <c r="D54" s="18" t="str">
        <v>Mara und Jonas Bergmann</v>
      </c>
      <c r="E54" s="18" t="str">
        <v>Haushaltskonto / laufende Ausgaben</v>
      </c>
      <c r="F54" s="23" t="n">
        <v>-2300</v>
      </c>
      <c r="G54" s="23" t="n">
        <v>22003.15</v>
      </c>
      <c r="H54" s="18" t="str">
        <v>kontoauszuege/Mara_2025-09.pdf</v>
      </c>
    </row>
    <row r="55" ht="38" customHeight="1">
      <c r="A55" s="30" t="n">
        <v>45904</v>
      </c>
      <c r="B55" s="30" t="n">
        <v>45904</v>
      </c>
      <c r="C55" s="17" t="str">
        <v>202509-J-M</v>
      </c>
      <c r="D55" s="17" t="str">
        <v>Jonas Bergmann</v>
      </c>
      <c r="E55" s="17" t="str">
        <v>Für Jule und Oskar / vereinbarter Abschlag</v>
      </c>
      <c r="F55" s="24" t="n">
        <v>780</v>
      </c>
      <c r="G55" s="24" t="n">
        <v>22783.15</v>
      </c>
      <c r="H55" s="17" t="str">
        <v>kontoauszuege/Mara_2025-09.pdf</v>
      </c>
    </row>
    <row r="56" ht="28" customHeight="1">
      <c r="A56" s="29" t="n">
        <v>45905</v>
      </c>
      <c r="B56" s="29" t="n">
        <v>45905</v>
      </c>
      <c r="C56" s="18" t="str">
        <v>202509-TG</v>
      </c>
      <c r="D56" s="18" t="str">
        <v>Havelbogen Bank eG</v>
      </c>
      <c r="E56" s="18" t="str">
        <v>Sparübertrag Tagesgeld 4421</v>
      </c>
      <c r="F56" s="23" t="n">
        <v>-600</v>
      </c>
      <c r="G56" s="23" t="n">
        <v>22183.15</v>
      </c>
      <c r="H56" s="18" t="str">
        <v>kontoauszuege/Mara_2025-09.pdf</v>
      </c>
    </row>
    <row r="57" ht="28" customHeight="1">
      <c r="A57" s="30" t="n">
        <v>45909</v>
      </c>
      <c r="B57" s="30" t="n">
        <v>45909</v>
      </c>
      <c r="C57" s="17" t="str">
        <v>202509-DEP</v>
      </c>
      <c r="D57" s="17" t="str">
        <v>Depotservice Havelbogen</v>
      </c>
      <c r="E57" s="17" t="str">
        <v>Fondssparplan D-8821 / Monatsrate</v>
      </c>
      <c r="F57" s="24" t="n">
        <v>-300</v>
      </c>
      <c r="G57" s="24" t="n">
        <v>21883.15</v>
      </c>
      <c r="H57" s="17" t="str">
        <v>kontoauszuege/Mara_2025-09.pdf</v>
      </c>
    </row>
    <row r="58" ht="28" customHeight="1">
      <c r="A58" s="29" t="n">
        <v>45911</v>
      </c>
      <c r="B58" s="29" t="n">
        <v>45911</v>
      </c>
      <c r="C58" s="18" t="str">
        <v>202509-KG</v>
      </c>
      <c r="D58" s="18" t="str">
        <v>Familienkasse</v>
      </c>
      <c r="E58" s="18" t="str">
        <v>Kindergeld Jule und Oskar</v>
      </c>
      <c r="F58" s="23" t="n">
        <v>510</v>
      </c>
      <c r="G58" s="23" t="n">
        <v>22393.15</v>
      </c>
      <c r="H58" s="18" t="str">
        <v>kontoauszuege/Mara_2025-09.pdf</v>
      </c>
    </row>
    <row r="59" ht="28" customHeight="1">
      <c r="A59" s="30" t="n">
        <v>45916</v>
      </c>
      <c r="B59" s="30" t="n">
        <v>45916</v>
      </c>
      <c r="C59" s="17" t="str">
        <v>202509-KARTE</v>
      </c>
      <c r="D59" s="17" t="str">
        <v>HavelCard Abrechnung</v>
      </c>
      <c r="E59" s="17" t="str">
        <v>Kartenabrechnung 09/2025 / Mara</v>
      </c>
      <c r="F59" s="24" t="n">
        <v>-278.38</v>
      </c>
      <c r="G59" s="24" t="n">
        <v>22114.77</v>
      </c>
      <c r="H59" s="17" t="str">
        <v>kontoauszuege/Mara_2025-09.pdf</v>
      </c>
    </row>
    <row r="60" ht="28" customHeight="1">
      <c r="A60" s="29" t="n">
        <v>45922</v>
      </c>
      <c r="B60" s="29" t="n">
        <v>45922</v>
      </c>
      <c r="C60" s="18" t="str">
        <v>202509-KFZ</v>
      </c>
      <c r="D60" s="18" t="str">
        <v>Waldsee Versicherung</v>
      </c>
      <c r="E60" s="18" t="str">
        <v>Pkw P-MB 418 / Monatsbeitrag</v>
      </c>
      <c r="F60" s="23" t="n">
        <v>-74.8</v>
      </c>
      <c r="G60" s="23" t="n">
        <v>22039.97</v>
      </c>
      <c r="H60" s="18" t="str">
        <v>kontoauszuege/Mara_2025-09.pdf</v>
      </c>
    </row>
    <row r="61" ht="28" customHeight="1">
      <c r="A61" s="30" t="n">
        <v>45929</v>
      </c>
      <c r="B61" s="30" t="n">
        <v>45929</v>
      </c>
      <c r="C61" s="17" t="str">
        <v>202509-ENTGELT</v>
      </c>
      <c r="D61" s="17" t="str">
        <v>Land Brandenburg</v>
      </c>
      <c r="E61" s="17" t="str">
        <v>Entgelt Personalnummer 048216</v>
      </c>
      <c r="F61" s="24" t="n">
        <v>4385.62</v>
      </c>
      <c r="G61" s="24" t="n">
        <v>26425.59</v>
      </c>
      <c r="H61" s="17" t="str">
        <v>kontoauszuege/Mara_2025-09.pdf</v>
      </c>
    </row>
    <row r="62" ht="28" customHeight="1">
      <c r="A62" s="29" t="n">
        <v>45930</v>
      </c>
      <c r="B62" s="29" t="n">
        <v>45930</v>
      </c>
      <c r="C62" s="18" t="str">
        <v>202509-GEB-MARA</v>
      </c>
      <c r="D62" s="18" t="str">
        <v>Havelbogen Bank eG</v>
      </c>
      <c r="E62" s="18" t="str">
        <v>Kontoführung / Monatsentgelt</v>
      </c>
      <c r="F62" s="23" t="n">
        <v>-6.9</v>
      </c>
      <c r="G62" s="23" t="n">
        <v>26418.69</v>
      </c>
      <c r="H62" s="18" t="str">
        <v>kontoauszuege/Mara_2025-09.pdf</v>
      </c>
    </row>
    <row r="63" ht="28" customHeight="1">
      <c r="A63" s="30" t="n">
        <v>45932</v>
      </c>
      <c r="B63" s="30" t="n">
        <v>45932</v>
      </c>
      <c r="C63" s="17" t="str">
        <v>202510-M-H</v>
      </c>
      <c r="D63" s="17" t="str">
        <v>Mara und Jonas Bergmann</v>
      </c>
      <c r="E63" s="17" t="str">
        <v>Haushaltskonto / laufende Ausgaben</v>
      </c>
      <c r="F63" s="24" t="n">
        <v>-2300</v>
      </c>
      <c r="G63" s="24" t="n">
        <v>24118.69</v>
      </c>
      <c r="H63" s="17" t="str">
        <v>kontoauszuege/Mara_2025-10.pdf</v>
      </c>
    </row>
    <row r="64" ht="38" customHeight="1">
      <c r="A64" s="29" t="n">
        <v>45936</v>
      </c>
      <c r="B64" s="29" t="n">
        <v>45936</v>
      </c>
      <c r="C64" s="18" t="str">
        <v>202510-J-M</v>
      </c>
      <c r="D64" s="18" t="str">
        <v>Jonas Bergmann</v>
      </c>
      <c r="E64" s="18" t="str">
        <v>Für Jule und Oskar / vereinbarter Abschlag</v>
      </c>
      <c r="F64" s="23" t="n">
        <v>780</v>
      </c>
      <c r="G64" s="23" t="n">
        <v>24898.69</v>
      </c>
      <c r="H64" s="18" t="str">
        <v>kontoauszuege/Mara_2025-10.pdf</v>
      </c>
    </row>
    <row r="65" ht="28" customHeight="1">
      <c r="A65" s="30" t="n">
        <v>45936</v>
      </c>
      <c r="B65" s="30" t="n">
        <v>45936</v>
      </c>
      <c r="C65" s="17" t="str">
        <v>202510-TG</v>
      </c>
      <c r="D65" s="17" t="str">
        <v>Havelbogen Bank eG</v>
      </c>
      <c r="E65" s="17" t="str">
        <v>Sparübertrag Tagesgeld 4421</v>
      </c>
      <c r="F65" s="24" t="n">
        <v>-600</v>
      </c>
      <c r="G65" s="24" t="n">
        <v>24298.69</v>
      </c>
      <c r="H65" s="17" t="str">
        <v>kontoauszuege/Mara_2025-10.pdf</v>
      </c>
    </row>
    <row r="66" ht="28" customHeight="1">
      <c r="A66" s="29" t="n">
        <v>45939</v>
      </c>
      <c r="B66" s="29" t="n">
        <v>45939</v>
      </c>
      <c r="C66" s="18" t="str">
        <v>202510-DEP</v>
      </c>
      <c r="D66" s="18" t="str">
        <v>Depotservice Havelbogen</v>
      </c>
      <c r="E66" s="18" t="str">
        <v>Fondssparplan D-8821 / Monatsrate</v>
      </c>
      <c r="F66" s="23" t="n">
        <v>-300</v>
      </c>
      <c r="G66" s="23" t="n">
        <v>23998.69</v>
      </c>
      <c r="H66" s="18" t="str">
        <v>kontoauszuege/Mara_2025-10.pdf</v>
      </c>
    </row>
    <row r="67" ht="28" customHeight="1">
      <c r="A67" s="30" t="n">
        <v>45943</v>
      </c>
      <c r="B67" s="30" t="n">
        <v>45943</v>
      </c>
      <c r="C67" s="17" t="str">
        <v>202510-KG</v>
      </c>
      <c r="D67" s="17" t="str">
        <v>Familienkasse</v>
      </c>
      <c r="E67" s="17" t="str">
        <v>Kindergeld Jule und Oskar</v>
      </c>
      <c r="F67" s="24" t="n">
        <v>510</v>
      </c>
      <c r="G67" s="24" t="n">
        <v>24508.69</v>
      </c>
      <c r="H67" s="17" t="str">
        <v>kontoauszuege/Mara_2025-10.pdf</v>
      </c>
    </row>
    <row r="68" ht="28" customHeight="1">
      <c r="A68" s="29" t="n">
        <v>45946</v>
      </c>
      <c r="B68" s="29" t="n">
        <v>45946</v>
      </c>
      <c r="C68" s="18" t="str">
        <v>202510-KARTE</v>
      </c>
      <c r="D68" s="18" t="str">
        <v>HavelCard Abrechnung</v>
      </c>
      <c r="E68" s="18" t="str">
        <v>Kartenabrechnung 10/2025 / Mara</v>
      </c>
      <c r="F68" s="23" t="n">
        <v>-285.38</v>
      </c>
      <c r="G68" s="23" t="n">
        <v>24223.31</v>
      </c>
      <c r="H68" s="18" t="str">
        <v>kontoauszuege/Mara_2025-10.pdf</v>
      </c>
    </row>
    <row r="69" ht="28" customHeight="1">
      <c r="A69" s="30" t="n">
        <v>45951</v>
      </c>
      <c r="B69" s="30" t="n">
        <v>45951</v>
      </c>
      <c r="C69" s="17" t="str">
        <v>202510-KFZ</v>
      </c>
      <c r="D69" s="17" t="str">
        <v>Waldsee Versicherung</v>
      </c>
      <c r="E69" s="17" t="str">
        <v>Pkw P-MB 418 / Monatsbeitrag</v>
      </c>
      <c r="F69" s="24" t="n">
        <v>-74.8</v>
      </c>
      <c r="G69" s="24" t="n">
        <v>24148.51</v>
      </c>
      <c r="H69" s="17" t="str">
        <v>kontoauszuege/Mara_2025-10.pdf</v>
      </c>
    </row>
    <row r="70" ht="28" customHeight="1">
      <c r="A70" s="29" t="n">
        <v>45958</v>
      </c>
      <c r="B70" s="29" t="n">
        <v>45958</v>
      </c>
      <c r="C70" s="18" t="str">
        <v>202510-ENTGELT</v>
      </c>
      <c r="D70" s="18" t="str">
        <v>Land Brandenburg</v>
      </c>
      <c r="E70" s="18" t="str">
        <v>Entgelt Personalnummer 048216</v>
      </c>
      <c r="F70" s="23" t="n">
        <v>4385.62</v>
      </c>
      <c r="G70" s="23" t="n">
        <v>28534.13</v>
      </c>
      <c r="H70" s="18" t="str">
        <v>kontoauszuege/Mara_2025-10.pdf</v>
      </c>
    </row>
    <row r="71" ht="28" customHeight="1">
      <c r="A71" s="30" t="n">
        <v>45961</v>
      </c>
      <c r="B71" s="30" t="n">
        <v>45961</v>
      </c>
      <c r="C71" s="17" t="str">
        <v>202510-GEB-MARA</v>
      </c>
      <c r="D71" s="17" t="str">
        <v>Havelbogen Bank eG</v>
      </c>
      <c r="E71" s="17" t="str">
        <v>Kontoführung / Monatsentgelt</v>
      </c>
      <c r="F71" s="24" t="n">
        <v>-6.9</v>
      </c>
      <c r="G71" s="24" t="n">
        <v>28527.23</v>
      </c>
      <c r="H71" s="17" t="str">
        <v>kontoauszuege/Mara_2025-10.pdf</v>
      </c>
    </row>
    <row r="72" ht="28" customHeight="1">
      <c r="A72" s="29" t="n">
        <v>45964</v>
      </c>
      <c r="B72" s="29" t="n">
        <v>45964</v>
      </c>
      <c r="C72" s="18" t="str">
        <v>202511-M-H</v>
      </c>
      <c r="D72" s="18" t="str">
        <v>Mara und Jonas Bergmann</v>
      </c>
      <c r="E72" s="18" t="str">
        <v>Haushaltskonto / laufende Ausgaben</v>
      </c>
      <c r="F72" s="23" t="n">
        <v>-2300</v>
      </c>
      <c r="G72" s="23" t="n">
        <v>26227.23</v>
      </c>
      <c r="H72" s="18" t="str">
        <v>kontoauszuege/Mara_2025-11.pdf</v>
      </c>
    </row>
    <row r="73" ht="38" customHeight="1">
      <c r="A73" s="30" t="n">
        <v>45965</v>
      </c>
      <c r="B73" s="30" t="n">
        <v>45965</v>
      </c>
      <c r="C73" s="17" t="str">
        <v>202511-J-M</v>
      </c>
      <c r="D73" s="17" t="str">
        <v>Jonas Bergmann</v>
      </c>
      <c r="E73" s="17" t="str">
        <v>Für Jule und Oskar / vereinbarter Abschlag</v>
      </c>
      <c r="F73" s="24" t="n">
        <v>780</v>
      </c>
      <c r="G73" s="24" t="n">
        <v>27007.23</v>
      </c>
      <c r="H73" s="17" t="str">
        <v>kontoauszuege/Mara_2025-11.pdf</v>
      </c>
    </row>
    <row r="74" ht="28" customHeight="1">
      <c r="A74" s="29" t="n">
        <v>45966</v>
      </c>
      <c r="B74" s="29" t="n">
        <v>45966</v>
      </c>
      <c r="C74" s="18" t="str">
        <v>202511-TG</v>
      </c>
      <c r="D74" s="18" t="str">
        <v>Havelbogen Bank eG</v>
      </c>
      <c r="E74" s="18" t="str">
        <v>Sparübertrag Tagesgeld 4421</v>
      </c>
      <c r="F74" s="23" t="n">
        <v>-600</v>
      </c>
      <c r="G74" s="23" t="n">
        <v>26407.23</v>
      </c>
      <c r="H74" s="18" t="str">
        <v>kontoauszuege/Mara_2025-11.pdf</v>
      </c>
    </row>
    <row r="75" ht="28" customHeight="1">
      <c r="A75" s="30" t="n">
        <v>45971</v>
      </c>
      <c r="B75" s="30" t="n">
        <v>45971</v>
      </c>
      <c r="C75" s="17" t="str">
        <v>202511-DEP</v>
      </c>
      <c r="D75" s="17" t="str">
        <v>Depotservice Havelbogen</v>
      </c>
      <c r="E75" s="17" t="str">
        <v>Fondssparplan D-8821 / Monatsrate</v>
      </c>
      <c r="F75" s="24" t="n">
        <v>-300</v>
      </c>
      <c r="G75" s="24" t="n">
        <v>26107.23</v>
      </c>
      <c r="H75" s="17" t="str">
        <v>kontoauszuege/Mara_2025-11.pdf</v>
      </c>
    </row>
    <row r="76" ht="28" customHeight="1">
      <c r="A76" s="29" t="n">
        <v>45972</v>
      </c>
      <c r="B76" s="29" t="n">
        <v>45972</v>
      </c>
      <c r="C76" s="18" t="str">
        <v>202511-KG</v>
      </c>
      <c r="D76" s="18" t="str">
        <v>Familienkasse</v>
      </c>
      <c r="E76" s="18" t="str">
        <v>Kindergeld Jule und Oskar</v>
      </c>
      <c r="F76" s="23" t="n">
        <v>510</v>
      </c>
      <c r="G76" s="23" t="n">
        <v>26617.23</v>
      </c>
      <c r="H76" s="18" t="str">
        <v>kontoauszuege/Mara_2025-11.pdf</v>
      </c>
    </row>
    <row r="77" ht="28" customHeight="1">
      <c r="A77" s="30" t="n">
        <v>45978</v>
      </c>
      <c r="B77" s="30" t="n">
        <v>45978</v>
      </c>
      <c r="C77" s="17" t="str">
        <v>202511-KARTE</v>
      </c>
      <c r="D77" s="17" t="str">
        <v>HavelCard Abrechnung</v>
      </c>
      <c r="E77" s="17" t="str">
        <v>Kartenabrechnung 11/2025 / Mara</v>
      </c>
      <c r="F77" s="24" t="n">
        <v>-292.38</v>
      </c>
      <c r="G77" s="24" t="n">
        <v>26324.85</v>
      </c>
      <c r="H77" s="17" t="str">
        <v>kontoauszuege/Mara_2025-11.pdf</v>
      </c>
    </row>
    <row r="78" ht="28" customHeight="1">
      <c r="A78" s="29" t="n">
        <v>45982</v>
      </c>
      <c r="B78" s="29" t="n">
        <v>45982</v>
      </c>
      <c r="C78" s="18" t="str">
        <v>202511-KFZ</v>
      </c>
      <c r="D78" s="18" t="str">
        <v>Waldsee Versicherung</v>
      </c>
      <c r="E78" s="18" t="str">
        <v>Pkw P-MB 418 / Monatsbeitrag</v>
      </c>
      <c r="F78" s="23" t="n">
        <v>-74.8</v>
      </c>
      <c r="G78" s="23" t="n">
        <v>26250.05</v>
      </c>
      <c r="H78" s="18" t="str">
        <v>kontoauszuege/Mara_2025-11.pdf</v>
      </c>
    </row>
    <row r="79" ht="28" customHeight="1">
      <c r="A79" s="30" t="n">
        <v>45989</v>
      </c>
      <c r="B79" s="30" t="n">
        <v>45989</v>
      </c>
      <c r="C79" s="17" t="str">
        <v>202511-ENTGELT</v>
      </c>
      <c r="D79" s="17" t="str">
        <v>Land Brandenburg</v>
      </c>
      <c r="E79" s="17" t="str">
        <v>Entgelt Personalnummer 048216</v>
      </c>
      <c r="F79" s="24" t="n">
        <v>4385.62</v>
      </c>
      <c r="G79" s="24" t="n">
        <v>30635.67</v>
      </c>
      <c r="H79" s="17" t="str">
        <v>kontoauszuege/Mara_2025-11.pdf</v>
      </c>
    </row>
    <row r="80" ht="28" customHeight="1">
      <c r="A80" s="29" t="n">
        <v>45992</v>
      </c>
      <c r="B80" s="29" t="n">
        <v>45992</v>
      </c>
      <c r="C80" s="18" t="str">
        <v>202511-GEB-MARA</v>
      </c>
      <c r="D80" s="18" t="str">
        <v>Havelbogen Bank eG</v>
      </c>
      <c r="E80" s="18" t="str">
        <v>Kontoführung / Monatsentgelt</v>
      </c>
      <c r="F80" s="23" t="n">
        <v>-6.9</v>
      </c>
      <c r="G80" s="23" t="n">
        <v>30628.77</v>
      </c>
      <c r="H80" s="18" t="str">
        <v>kontoauszuege/Mara_2025-12.pdf</v>
      </c>
    </row>
    <row r="81" ht="28" customHeight="1">
      <c r="A81" s="30" t="n">
        <v>45993</v>
      </c>
      <c r="B81" s="30" t="n">
        <v>45993</v>
      </c>
      <c r="C81" s="17" t="str">
        <v>202512-M-H</v>
      </c>
      <c r="D81" s="17" t="str">
        <v>Mara und Jonas Bergmann</v>
      </c>
      <c r="E81" s="17" t="str">
        <v>Haushaltskonto / laufende Ausgaben</v>
      </c>
      <c r="F81" s="24" t="n">
        <v>-2300</v>
      </c>
      <c r="G81" s="24" t="n">
        <v>28328.77</v>
      </c>
      <c r="H81" s="17" t="str">
        <v>kontoauszuege/Mara_2025-12.pdf</v>
      </c>
    </row>
    <row r="82" ht="38" customHeight="1">
      <c r="A82" s="29" t="n">
        <v>45995</v>
      </c>
      <c r="B82" s="29" t="n">
        <v>45995</v>
      </c>
      <c r="C82" s="18" t="str">
        <v>202512-J-M</v>
      </c>
      <c r="D82" s="18" t="str">
        <v>Jonas Bergmann</v>
      </c>
      <c r="E82" s="18" t="str">
        <v>Für Jule und Oskar / vereinbarter Abschlag</v>
      </c>
      <c r="F82" s="23" t="n">
        <v>780</v>
      </c>
      <c r="G82" s="23" t="n">
        <v>29108.77</v>
      </c>
      <c r="H82" s="18" t="str">
        <v>kontoauszuege/Mara_2025-12.pdf</v>
      </c>
    </row>
    <row r="83" ht="28" customHeight="1">
      <c r="A83" s="30" t="n">
        <v>45996</v>
      </c>
      <c r="B83" s="30" t="n">
        <v>45996</v>
      </c>
      <c r="C83" s="17" t="str">
        <v>202512-TG</v>
      </c>
      <c r="D83" s="17" t="str">
        <v>Havelbogen Bank eG</v>
      </c>
      <c r="E83" s="17" t="str">
        <v>Sparübertrag Tagesgeld 4421</v>
      </c>
      <c r="F83" s="24" t="n">
        <v>-600</v>
      </c>
      <c r="G83" s="24" t="n">
        <v>28508.77</v>
      </c>
      <c r="H83" s="17" t="str">
        <v>kontoauszuege/Mara_2025-12.pdf</v>
      </c>
    </row>
    <row r="84" ht="28" customHeight="1">
      <c r="A84" s="29" t="n">
        <v>46000</v>
      </c>
      <c r="B84" s="29" t="n">
        <v>46000</v>
      </c>
      <c r="C84" s="18" t="str">
        <v>202512-DEP</v>
      </c>
      <c r="D84" s="18" t="str">
        <v>Depotservice Havelbogen</v>
      </c>
      <c r="E84" s="18" t="str">
        <v>Fondssparplan D-8821 / Monatsrate</v>
      </c>
      <c r="F84" s="23" t="n">
        <v>-300</v>
      </c>
      <c r="G84" s="23" t="n">
        <v>28208.77</v>
      </c>
      <c r="H84" s="18" t="str">
        <v>kontoauszuege/Mara_2025-12.pdf</v>
      </c>
    </row>
    <row r="85" ht="28" customHeight="1">
      <c r="A85" s="30" t="n">
        <v>46002</v>
      </c>
      <c r="B85" s="30" t="n">
        <v>46002</v>
      </c>
      <c r="C85" s="17" t="str">
        <v>202512-KG</v>
      </c>
      <c r="D85" s="17" t="str">
        <v>Familienkasse</v>
      </c>
      <c r="E85" s="17" t="str">
        <v>Kindergeld Jule und Oskar</v>
      </c>
      <c r="F85" s="24" t="n">
        <v>510</v>
      </c>
      <c r="G85" s="24" t="n">
        <v>28718.77</v>
      </c>
      <c r="H85" s="17" t="str">
        <v>kontoauszuege/Mara_2025-12.pdf</v>
      </c>
    </row>
    <row r="86" ht="28" customHeight="1">
      <c r="A86" s="29" t="n">
        <v>46007</v>
      </c>
      <c r="B86" s="29" t="n">
        <v>46007</v>
      </c>
      <c r="C86" s="18" t="str">
        <v>202512-KARTE</v>
      </c>
      <c r="D86" s="18" t="str">
        <v>HavelCard Abrechnung</v>
      </c>
      <c r="E86" s="18" t="str">
        <v>Kartenabrechnung 12/2025 / Mara</v>
      </c>
      <c r="F86" s="23" t="n">
        <v>-299.38</v>
      </c>
      <c r="G86" s="23" t="n">
        <v>28419.39</v>
      </c>
      <c r="H86" s="18" t="str">
        <v>kontoauszuege/Mara_2025-12.pdf</v>
      </c>
    </row>
    <row r="87" ht="28" customHeight="1">
      <c r="A87" s="30" t="n">
        <v>46013</v>
      </c>
      <c r="B87" s="30" t="n">
        <v>46013</v>
      </c>
      <c r="C87" s="17" t="str">
        <v>202512-KFZ</v>
      </c>
      <c r="D87" s="17" t="str">
        <v>Waldsee Versicherung</v>
      </c>
      <c r="E87" s="17" t="str">
        <v>Pkw P-MB 418 / Monatsbeitrag</v>
      </c>
      <c r="F87" s="24" t="n">
        <v>-74.8</v>
      </c>
      <c r="G87" s="24" t="n">
        <v>28344.59</v>
      </c>
      <c r="H87" s="17" t="str">
        <v>kontoauszuege/Mara_2025-12.pdf</v>
      </c>
    </row>
    <row r="88" ht="28" customHeight="1">
      <c r="A88" s="29" t="n">
        <v>46020</v>
      </c>
      <c r="B88" s="29" t="n">
        <v>46020</v>
      </c>
      <c r="C88" s="18" t="str">
        <v>202512-ENTGELT</v>
      </c>
      <c r="D88" s="18" t="str">
        <v>Land Brandenburg</v>
      </c>
      <c r="E88" s="18" t="str">
        <v>Entgelt Personalnummer 048216</v>
      </c>
      <c r="F88" s="23" t="n">
        <v>4385.62</v>
      </c>
      <c r="G88" s="23" t="n">
        <v>32730.21</v>
      </c>
      <c r="H88" s="18" t="str">
        <v>kontoauszuege/Mara_2025-12.pdf</v>
      </c>
    </row>
    <row r="89" ht="28" customHeight="1">
      <c r="A89" s="30" t="n">
        <v>46022</v>
      </c>
      <c r="B89" s="30" t="n">
        <v>46022</v>
      </c>
      <c r="C89" s="17" t="str">
        <v>202512-GEB-MARA</v>
      </c>
      <c r="D89" s="17" t="str">
        <v>Havelbogen Bank eG</v>
      </c>
      <c r="E89" s="17" t="str">
        <v>Kontoführung / Monatsentgelt</v>
      </c>
      <c r="F89" s="24" t="n">
        <v>-6.9</v>
      </c>
      <c r="G89" s="24" t="n">
        <v>32723.31</v>
      </c>
      <c r="H89" s="17" t="str">
        <v>kontoauszuege/Mara_2025-12.pdf</v>
      </c>
    </row>
    <row r="90" ht="28" customHeight="1">
      <c r="A90" s="29" t="n">
        <v>46024</v>
      </c>
      <c r="B90" s="29" t="n">
        <v>46024</v>
      </c>
      <c r="C90" s="18" t="str">
        <v>202601-M-H</v>
      </c>
      <c r="D90" s="18" t="str">
        <v>Mara und Jonas Bergmann</v>
      </c>
      <c r="E90" s="18" t="str">
        <v>Haushaltskonto / laufende Ausgaben</v>
      </c>
      <c r="F90" s="23" t="n">
        <v>-2300</v>
      </c>
      <c r="G90" s="23" t="n">
        <v>30423.31</v>
      </c>
      <c r="H90" s="18" t="str">
        <v>kontoauszuege/Mara_2026-01.pdf</v>
      </c>
    </row>
    <row r="91" ht="38" customHeight="1">
      <c r="A91" s="30" t="n">
        <v>46027</v>
      </c>
      <c r="B91" s="30" t="n">
        <v>46027</v>
      </c>
      <c r="C91" s="17" t="str">
        <v>202601-J-M</v>
      </c>
      <c r="D91" s="17" t="str">
        <v>Jonas Bergmann</v>
      </c>
      <c r="E91" s="17" t="str">
        <v>Für Jule und Oskar / vereinbarter Abschlag</v>
      </c>
      <c r="F91" s="24" t="n">
        <v>780</v>
      </c>
      <c r="G91" s="24" t="n">
        <v>31203.31</v>
      </c>
      <c r="H91" s="17" t="str">
        <v>kontoauszuege/Mara_2026-01.pdf</v>
      </c>
    </row>
    <row r="92" ht="28" customHeight="1">
      <c r="A92" s="29" t="n">
        <v>46027</v>
      </c>
      <c r="B92" s="29" t="n">
        <v>46027</v>
      </c>
      <c r="C92" s="18" t="str">
        <v>202601-TG</v>
      </c>
      <c r="D92" s="18" t="str">
        <v>Havelbogen Bank eG</v>
      </c>
      <c r="E92" s="18" t="str">
        <v>Sparübertrag Tagesgeld 4421</v>
      </c>
      <c r="F92" s="23" t="n">
        <v>-600</v>
      </c>
      <c r="G92" s="23" t="n">
        <v>30603.31</v>
      </c>
      <c r="H92" s="18" t="str">
        <v>kontoauszuege/Mara_2026-01.pdf</v>
      </c>
    </row>
    <row r="93" ht="28" customHeight="1">
      <c r="A93" s="30" t="n">
        <v>46031</v>
      </c>
      <c r="B93" s="30" t="n">
        <v>46031</v>
      </c>
      <c r="C93" s="17" t="str">
        <v>202601-DEP</v>
      </c>
      <c r="D93" s="17" t="str">
        <v>Depotservice Havelbogen</v>
      </c>
      <c r="E93" s="17" t="str">
        <v>Fondssparplan D-8821 / Monatsrate</v>
      </c>
      <c r="F93" s="24" t="n">
        <v>-300</v>
      </c>
      <c r="G93" s="24" t="n">
        <v>30303.31</v>
      </c>
      <c r="H93" s="17" t="str">
        <v>kontoauszuege/Mara_2026-01.pdf</v>
      </c>
    </row>
    <row r="94" ht="28" customHeight="1">
      <c r="A94" s="29" t="n">
        <v>46034</v>
      </c>
      <c r="B94" s="29" t="n">
        <v>46034</v>
      </c>
      <c r="C94" s="18" t="str">
        <v>202601-KG</v>
      </c>
      <c r="D94" s="18" t="str">
        <v>Familienkasse</v>
      </c>
      <c r="E94" s="18" t="str">
        <v>Kindergeld Jule und Oskar</v>
      </c>
      <c r="F94" s="23" t="n">
        <v>518</v>
      </c>
      <c r="G94" s="23" t="n">
        <v>30821.31</v>
      </c>
      <c r="H94" s="18" t="str">
        <v>kontoauszuege/Mara_2026-01.pdf</v>
      </c>
    </row>
    <row r="95" ht="28" customHeight="1">
      <c r="A95" s="30" t="n">
        <v>46038</v>
      </c>
      <c r="B95" s="30" t="n">
        <v>46038</v>
      </c>
      <c r="C95" s="17" t="str">
        <v>202601-KARTE</v>
      </c>
      <c r="D95" s="17" t="str">
        <v>HavelCard Abrechnung</v>
      </c>
      <c r="E95" s="17" t="str">
        <v>Kartenabrechnung 01/2026 / Mara</v>
      </c>
      <c r="F95" s="24" t="n">
        <v>-222.38</v>
      </c>
      <c r="G95" s="24" t="n">
        <v>30598.93</v>
      </c>
      <c r="H95" s="17" t="str">
        <v>kontoauszuege/Mara_2026-01.pdf</v>
      </c>
    </row>
    <row r="96" ht="28" customHeight="1">
      <c r="A96" s="29" t="n">
        <v>46043</v>
      </c>
      <c r="B96" s="29" t="n">
        <v>46043</v>
      </c>
      <c r="C96" s="18" t="str">
        <v>202601-KFZ</v>
      </c>
      <c r="D96" s="18" t="str">
        <v>Waldsee Versicherung</v>
      </c>
      <c r="E96" s="18" t="str">
        <v>Pkw P-MB 418 / Monatsbeitrag</v>
      </c>
      <c r="F96" s="23" t="n">
        <v>-74.8</v>
      </c>
      <c r="G96" s="23" t="n">
        <v>30524.13</v>
      </c>
      <c r="H96" s="18" t="str">
        <v>kontoauszuege/Mara_2026-01.pdf</v>
      </c>
    </row>
    <row r="97" ht="28" customHeight="1">
      <c r="A97" s="30" t="n">
        <v>46050</v>
      </c>
      <c r="B97" s="30" t="n">
        <v>46050</v>
      </c>
      <c r="C97" s="17" t="str">
        <v>202601-ENTGELT</v>
      </c>
      <c r="D97" s="17" t="str">
        <v>Land Brandenburg</v>
      </c>
      <c r="E97" s="17" t="str">
        <v>Entgelt Personalnummer 048216</v>
      </c>
      <c r="F97" s="24" t="n">
        <v>4385.62</v>
      </c>
      <c r="G97" s="24" t="n">
        <v>34909.75</v>
      </c>
      <c r="H97" s="17" t="str">
        <v>kontoauszuege/Mara_2026-01.pdf</v>
      </c>
    </row>
    <row r="98" ht="28" customHeight="1">
      <c r="A98" s="29" t="n">
        <v>46055</v>
      </c>
      <c r="B98" s="29" t="n">
        <v>46055</v>
      </c>
      <c r="C98" s="18" t="str">
        <v>202601-GEB-MARA</v>
      </c>
      <c r="D98" s="18" t="str">
        <v>Havelbogen Bank eG</v>
      </c>
      <c r="E98" s="18" t="str">
        <v>Kontoführung / Monatsentgelt</v>
      </c>
      <c r="F98" s="23" t="n">
        <v>-6.9</v>
      </c>
      <c r="G98" s="23" t="n">
        <v>34902.85</v>
      </c>
      <c r="H98" s="18" t="str">
        <v>kontoauszuege/Mara_2026-02.pdf</v>
      </c>
    </row>
    <row r="99" ht="28" customHeight="1">
      <c r="A99" s="30" t="n">
        <v>46055</v>
      </c>
      <c r="B99" s="30" t="n">
        <v>46055</v>
      </c>
      <c r="C99" s="17" t="str">
        <v>202602-M-H</v>
      </c>
      <c r="D99" s="17" t="str">
        <v>Mara und Jonas Bergmann</v>
      </c>
      <c r="E99" s="17" t="str">
        <v>Haushaltskonto / laufende Ausgaben</v>
      </c>
      <c r="F99" s="24" t="n">
        <v>-2300</v>
      </c>
      <c r="G99" s="24" t="n">
        <v>32602.85</v>
      </c>
      <c r="H99" s="17" t="str">
        <v>kontoauszuege/Mara_2026-02.pdf</v>
      </c>
    </row>
    <row r="100" ht="38" customHeight="1">
      <c r="A100" s="29" t="n">
        <v>46057</v>
      </c>
      <c r="B100" s="29" t="n">
        <v>46057</v>
      </c>
      <c r="C100" s="18" t="str">
        <v>202602-J-M</v>
      </c>
      <c r="D100" s="18" t="str">
        <v>Jonas Bergmann</v>
      </c>
      <c r="E100" s="18" t="str">
        <v>Für Jule und Oskar / vereinbarter Abschlag</v>
      </c>
      <c r="F100" s="23" t="n">
        <v>780</v>
      </c>
      <c r="G100" s="23" t="n">
        <v>33382.85</v>
      </c>
      <c r="H100" s="18" t="str">
        <v>kontoauszuege/Mara_2026-02.pdf</v>
      </c>
    </row>
    <row r="101" ht="28" customHeight="1">
      <c r="A101" s="30" t="n">
        <v>46058</v>
      </c>
      <c r="B101" s="30" t="n">
        <v>46058</v>
      </c>
      <c r="C101" s="17" t="str">
        <v>202602-TG</v>
      </c>
      <c r="D101" s="17" t="str">
        <v>Havelbogen Bank eG</v>
      </c>
      <c r="E101" s="17" t="str">
        <v>Sparübertrag Tagesgeld 4421</v>
      </c>
      <c r="F101" s="24" t="n">
        <v>-600</v>
      </c>
      <c r="G101" s="24" t="n">
        <v>32782.85</v>
      </c>
      <c r="H101" s="17" t="str">
        <v>kontoauszuege/Mara_2026-02.pdf</v>
      </c>
    </row>
    <row r="102" ht="28" customHeight="1">
      <c r="A102" s="29" t="n">
        <v>46062</v>
      </c>
      <c r="B102" s="29" t="n">
        <v>46062</v>
      </c>
      <c r="C102" s="18" t="str">
        <v>202602-DEP</v>
      </c>
      <c r="D102" s="18" t="str">
        <v>Depotservice Havelbogen</v>
      </c>
      <c r="E102" s="18" t="str">
        <v>Fondssparplan D-8821 / Monatsrate</v>
      </c>
      <c r="F102" s="23" t="n">
        <v>-300</v>
      </c>
      <c r="G102" s="23" t="n">
        <v>32482.85</v>
      </c>
      <c r="H102" s="18" t="str">
        <v>kontoauszuege/Mara_2026-02.pdf</v>
      </c>
    </row>
    <row r="103" ht="28" customHeight="1">
      <c r="A103" s="30" t="n">
        <v>46064</v>
      </c>
      <c r="B103" s="30" t="n">
        <v>46064</v>
      </c>
      <c r="C103" s="17" t="str">
        <v>202602-KG</v>
      </c>
      <c r="D103" s="17" t="str">
        <v>Familienkasse</v>
      </c>
      <c r="E103" s="17" t="str">
        <v>Kindergeld Jule und Oskar</v>
      </c>
      <c r="F103" s="24" t="n">
        <v>518</v>
      </c>
      <c r="G103" s="24" t="n">
        <v>33000.85</v>
      </c>
      <c r="H103" s="17" t="str">
        <v>kontoauszuege/Mara_2026-02.pdf</v>
      </c>
    </row>
    <row r="104" ht="28" customHeight="1">
      <c r="A104" s="29" t="n">
        <v>46069</v>
      </c>
      <c r="B104" s="29" t="n">
        <v>46069</v>
      </c>
      <c r="C104" s="18" t="str">
        <v>202602-KARTE</v>
      </c>
      <c r="D104" s="18" t="str">
        <v>HavelCard Abrechnung</v>
      </c>
      <c r="E104" s="18" t="str">
        <v>Kartenabrechnung 02/2026 / Mara</v>
      </c>
      <c r="F104" s="23" t="n">
        <v>-229.38</v>
      </c>
      <c r="G104" s="23" t="n">
        <v>32771.47</v>
      </c>
      <c r="H104" s="18" t="str">
        <v>kontoauszuege/Mara_2026-02.pdf</v>
      </c>
    </row>
    <row r="105" ht="28" customHeight="1">
      <c r="A105" s="30" t="n">
        <v>46076</v>
      </c>
      <c r="B105" s="30" t="n">
        <v>46076</v>
      </c>
      <c r="C105" s="17" t="str">
        <v>202602-KFZ</v>
      </c>
      <c r="D105" s="17" t="str">
        <v>Waldsee Versicherung</v>
      </c>
      <c r="E105" s="17" t="str">
        <v>Pkw P-MB 418 / Monatsbeitrag</v>
      </c>
      <c r="F105" s="24" t="n">
        <v>-74.8</v>
      </c>
      <c r="G105" s="24" t="n">
        <v>32696.67</v>
      </c>
      <c r="H105" s="17" t="str">
        <v>kontoauszuege/Mara_2026-02.pdf</v>
      </c>
    </row>
    <row r="106" ht="28" customHeight="1">
      <c r="A106" s="29" t="n">
        <v>46083</v>
      </c>
      <c r="B106" s="29" t="n">
        <v>46083</v>
      </c>
      <c r="C106" s="18" t="str">
        <v>202602-ENTGELT</v>
      </c>
      <c r="D106" s="18" t="str">
        <v>Land Brandenburg</v>
      </c>
      <c r="E106" s="18" t="str">
        <v>Entgelt Personalnummer 048216</v>
      </c>
      <c r="F106" s="23" t="n">
        <v>4385.62</v>
      </c>
      <c r="G106" s="23" t="n">
        <v>37082.29</v>
      </c>
      <c r="H106" s="18" t="str">
        <v>kontoauszuege/Mara_2026-03.pdf</v>
      </c>
    </row>
    <row r="107" ht="28" customHeight="1">
      <c r="A107" s="30" t="n">
        <v>46083</v>
      </c>
      <c r="B107" s="30" t="n">
        <v>46083</v>
      </c>
      <c r="C107" s="17" t="str">
        <v>202602-GEB-MARA</v>
      </c>
      <c r="D107" s="17" t="str">
        <v>Havelbogen Bank eG</v>
      </c>
      <c r="E107" s="17" t="str">
        <v>Kontoführung / Monatsentgelt</v>
      </c>
      <c r="F107" s="24" t="n">
        <v>-6.9</v>
      </c>
      <c r="G107" s="24" t="n">
        <v>37075.39</v>
      </c>
      <c r="H107" s="17" t="str">
        <v>kontoauszuege/Mara_2026-03.pdf</v>
      </c>
    </row>
    <row r="108" ht="28" customHeight="1">
      <c r="A108" s="29" t="n">
        <v>46083</v>
      </c>
      <c r="B108" s="29" t="n">
        <v>46083</v>
      </c>
      <c r="C108" s="18" t="str">
        <v>202603-M-H</v>
      </c>
      <c r="D108" s="18" t="str">
        <v>Mara und Jonas Bergmann</v>
      </c>
      <c r="E108" s="18" t="str">
        <v>Haushaltskonto / laufende Ausgaben</v>
      </c>
      <c r="F108" s="23" t="n">
        <v>-2300</v>
      </c>
      <c r="G108" s="23" t="n">
        <v>34775.39</v>
      </c>
      <c r="H108" s="18" t="str">
        <v>kontoauszuege/Mara_2026-03.pdf</v>
      </c>
    </row>
    <row r="109" ht="38" customHeight="1">
      <c r="A109" s="30" t="n">
        <v>46085</v>
      </c>
      <c r="B109" s="30" t="n">
        <v>46085</v>
      </c>
      <c r="C109" s="17" t="str">
        <v>202603-J-M</v>
      </c>
      <c r="D109" s="17" t="str">
        <v>Jonas Bergmann</v>
      </c>
      <c r="E109" s="17" t="str">
        <v>Für Jule und Oskar / vereinbarter Abschlag</v>
      </c>
      <c r="F109" s="24" t="n">
        <v>780</v>
      </c>
      <c r="G109" s="24" t="n">
        <v>35555.39</v>
      </c>
      <c r="H109" s="17" t="str">
        <v>kontoauszuege/Mara_2026-03.pdf</v>
      </c>
    </row>
    <row r="110" ht="28" customHeight="1">
      <c r="A110" s="29" t="n">
        <v>46086</v>
      </c>
      <c r="B110" s="29" t="n">
        <v>46086</v>
      </c>
      <c r="C110" s="18" t="str">
        <v>202603-TG</v>
      </c>
      <c r="D110" s="18" t="str">
        <v>Havelbogen Bank eG</v>
      </c>
      <c r="E110" s="18" t="str">
        <v>Sparübertrag Tagesgeld 4421</v>
      </c>
      <c r="F110" s="23" t="n">
        <v>-600</v>
      </c>
      <c r="G110" s="23" t="n">
        <v>34955.39</v>
      </c>
      <c r="H110" s="18" t="str">
        <v>kontoauszuege/Mara_2026-03.pdf</v>
      </c>
    </row>
    <row r="111" ht="28" customHeight="1">
      <c r="A111" s="30" t="n">
        <v>46090</v>
      </c>
      <c r="B111" s="30" t="n">
        <v>46090</v>
      </c>
      <c r="C111" s="17" t="str">
        <v>202603-DEP</v>
      </c>
      <c r="D111" s="17" t="str">
        <v>Depotservice Havelbogen</v>
      </c>
      <c r="E111" s="17" t="str">
        <v>Fondssparplan D-8821 / Monatsrate</v>
      </c>
      <c r="F111" s="24" t="n">
        <v>-300</v>
      </c>
      <c r="G111" s="24" t="n">
        <v>34655.39</v>
      </c>
      <c r="H111" s="17" t="str">
        <v>kontoauszuege/Mara_2026-03.pdf</v>
      </c>
    </row>
    <row r="112" ht="28" customHeight="1">
      <c r="A112" s="29" t="n">
        <v>46092</v>
      </c>
      <c r="B112" s="29" t="n">
        <v>46092</v>
      </c>
      <c r="C112" s="18" t="str">
        <v>202603-KG</v>
      </c>
      <c r="D112" s="18" t="str">
        <v>Familienkasse</v>
      </c>
      <c r="E112" s="18" t="str">
        <v>Kindergeld Jule und Oskar</v>
      </c>
      <c r="F112" s="23" t="n">
        <v>518</v>
      </c>
      <c r="G112" s="23" t="n">
        <v>35173.39</v>
      </c>
      <c r="H112" s="18" t="str">
        <v>kontoauszuege/Mara_2026-03.pdf</v>
      </c>
    </row>
    <row r="113" ht="28" customHeight="1">
      <c r="A113" s="30" t="n">
        <v>46097</v>
      </c>
      <c r="B113" s="30" t="n">
        <v>46097</v>
      </c>
      <c r="C113" s="17" t="str">
        <v>202603-KARTE</v>
      </c>
      <c r="D113" s="17" t="str">
        <v>HavelCard Abrechnung</v>
      </c>
      <c r="E113" s="17" t="str">
        <v>Kartenabrechnung 03/2026 / Mara</v>
      </c>
      <c r="F113" s="24" t="n">
        <v>-236.38</v>
      </c>
      <c r="G113" s="24" t="n">
        <v>34937.01</v>
      </c>
      <c r="H113" s="17" t="str">
        <v>kontoauszuege/Mara_2026-03.pdf</v>
      </c>
    </row>
    <row r="114" ht="28" customHeight="1">
      <c r="A114" s="29" t="n">
        <v>46104</v>
      </c>
      <c r="B114" s="29" t="n">
        <v>46104</v>
      </c>
      <c r="C114" s="18" t="str">
        <v>202603-KFZ</v>
      </c>
      <c r="D114" s="18" t="str">
        <v>Waldsee Versicherung</v>
      </c>
      <c r="E114" s="18" t="str">
        <v>Pkw P-MB 418 / Monatsbeitrag</v>
      </c>
      <c r="F114" s="23" t="n">
        <v>-74.8</v>
      </c>
      <c r="G114" s="23" t="n">
        <v>34862.21</v>
      </c>
      <c r="H114" s="18" t="str">
        <v>kontoauszuege/Mara_2026-03.pdf</v>
      </c>
    </row>
    <row r="115" ht="28" customHeight="1">
      <c r="A115" s="30" t="n">
        <v>46111</v>
      </c>
      <c r="B115" s="30" t="n">
        <v>46111</v>
      </c>
      <c r="C115" s="17" t="str">
        <v>202603-ENTGELT</v>
      </c>
      <c r="D115" s="17" t="str">
        <v>Land Brandenburg</v>
      </c>
      <c r="E115" s="17" t="str">
        <v>Entgelt Personalnummer 048216</v>
      </c>
      <c r="F115" s="24" t="n">
        <v>4385.62</v>
      </c>
      <c r="G115" s="24" t="n">
        <v>39247.83</v>
      </c>
      <c r="H115" s="17" t="str">
        <v>kontoauszuege/Mara_2026-03.pdf</v>
      </c>
    </row>
    <row r="116" ht="28" customHeight="1">
      <c r="A116" s="29" t="n">
        <v>46112</v>
      </c>
      <c r="B116" s="29" t="n">
        <v>46112</v>
      </c>
      <c r="C116" s="18" t="str">
        <v>202603-GEB-MARA</v>
      </c>
      <c r="D116" s="18" t="str">
        <v>Havelbogen Bank eG</v>
      </c>
      <c r="E116" s="18" t="str">
        <v>Kontoführung / Monatsentgelt</v>
      </c>
      <c r="F116" s="23" t="n">
        <v>-6.9</v>
      </c>
      <c r="G116" s="23" t="n">
        <v>39240.93</v>
      </c>
      <c r="H116" s="18" t="str">
        <v>kontoauszuege/Mara_2026-03.pdf</v>
      </c>
    </row>
    <row r="117" ht="28" customHeight="1">
      <c r="A117" s="30" t="n">
        <v>46114</v>
      </c>
      <c r="B117" s="30" t="n">
        <v>46114</v>
      </c>
      <c r="C117" s="17" t="str">
        <v>202604-M-H</v>
      </c>
      <c r="D117" s="17" t="str">
        <v>Mara und Jonas Bergmann</v>
      </c>
      <c r="E117" s="17" t="str">
        <v>Haushaltskonto / laufende Ausgaben</v>
      </c>
      <c r="F117" s="24" t="n">
        <v>-2300</v>
      </c>
      <c r="G117" s="24" t="n">
        <v>36940.93</v>
      </c>
      <c r="H117" s="17" t="str">
        <v>kontoauszuege/Mara_2026-04.pdf</v>
      </c>
    </row>
    <row r="118" ht="38" customHeight="1">
      <c r="A118" s="29" t="n">
        <v>46119</v>
      </c>
      <c r="B118" s="29" t="n">
        <v>46119</v>
      </c>
      <c r="C118" s="18" t="str">
        <v>202604-J-M</v>
      </c>
      <c r="D118" s="18" t="str">
        <v>Jonas Bergmann</v>
      </c>
      <c r="E118" s="18" t="str">
        <v>Für Jule und Oskar / vereinbarter Abschlag</v>
      </c>
      <c r="F118" s="23" t="n">
        <v>780</v>
      </c>
      <c r="G118" s="23" t="n">
        <v>37720.93</v>
      </c>
      <c r="H118" s="18" t="str">
        <v>kontoauszuege/Mara_2026-04.pdf</v>
      </c>
    </row>
    <row r="119" ht="28" customHeight="1">
      <c r="A119" s="30" t="n">
        <v>46119</v>
      </c>
      <c r="B119" s="30" t="n">
        <v>46119</v>
      </c>
      <c r="C119" s="17" t="str">
        <v>202604-TG</v>
      </c>
      <c r="D119" s="17" t="str">
        <v>Havelbogen Bank eG</v>
      </c>
      <c r="E119" s="17" t="str">
        <v>Sparübertrag Tagesgeld 4421</v>
      </c>
      <c r="F119" s="24" t="n">
        <v>-600</v>
      </c>
      <c r="G119" s="24" t="n">
        <v>37120.93</v>
      </c>
      <c r="H119" s="17" t="str">
        <v>kontoauszuege/Mara_2026-04.pdf</v>
      </c>
    </row>
    <row r="120" ht="28" customHeight="1">
      <c r="A120" s="29" t="n">
        <v>46121</v>
      </c>
      <c r="B120" s="29" t="n">
        <v>46121</v>
      </c>
      <c r="C120" s="18" t="str">
        <v>202604-DEP</v>
      </c>
      <c r="D120" s="18" t="str">
        <v>Depotservice Havelbogen</v>
      </c>
      <c r="E120" s="18" t="str">
        <v>Fondssparplan D-8821 / Monatsrate</v>
      </c>
      <c r="F120" s="23" t="n">
        <v>-300</v>
      </c>
      <c r="G120" s="23" t="n">
        <v>36820.93</v>
      </c>
      <c r="H120" s="18" t="str">
        <v>kontoauszuege/Mara_2026-04.pdf</v>
      </c>
    </row>
    <row r="121" ht="28" customHeight="1">
      <c r="A121" s="30" t="n">
        <v>46125</v>
      </c>
      <c r="B121" s="30" t="n">
        <v>46125</v>
      </c>
      <c r="C121" s="17" t="str">
        <v>202604-KG</v>
      </c>
      <c r="D121" s="17" t="str">
        <v>Familienkasse</v>
      </c>
      <c r="E121" s="17" t="str">
        <v>Kindergeld Jule und Oskar</v>
      </c>
      <c r="F121" s="24" t="n">
        <v>518</v>
      </c>
      <c r="G121" s="24" t="n">
        <v>37338.93</v>
      </c>
      <c r="H121" s="17" t="str">
        <v>kontoauszuege/Mara_2026-04.pdf</v>
      </c>
    </row>
    <row r="122" ht="28" customHeight="1">
      <c r="A122" s="29" t="n">
        <v>46128</v>
      </c>
      <c r="B122" s="29" t="n">
        <v>46128</v>
      </c>
      <c r="C122" s="18" t="str">
        <v>202604-KARTE</v>
      </c>
      <c r="D122" s="18" t="str">
        <v>HavelCard Abrechnung</v>
      </c>
      <c r="E122" s="18" t="str">
        <v>Kartenabrechnung 04/2026 / Mara</v>
      </c>
      <c r="F122" s="23" t="n">
        <v>-243.38</v>
      </c>
      <c r="G122" s="23" t="n">
        <v>37095.55</v>
      </c>
      <c r="H122" s="18" t="str">
        <v>kontoauszuege/Mara_2026-04.pdf</v>
      </c>
    </row>
    <row r="123" ht="28" customHeight="1">
      <c r="A123" s="30" t="n">
        <v>46133</v>
      </c>
      <c r="B123" s="30" t="n">
        <v>46133</v>
      </c>
      <c r="C123" s="17" t="str">
        <v>202604-KFZ</v>
      </c>
      <c r="D123" s="17" t="str">
        <v>Waldsee Versicherung</v>
      </c>
      <c r="E123" s="17" t="str">
        <v>Pkw P-MB 418 / Monatsbeitrag</v>
      </c>
      <c r="F123" s="24" t="n">
        <v>-74.8</v>
      </c>
      <c r="G123" s="24" t="n">
        <v>37020.75</v>
      </c>
      <c r="H123" s="17" t="str">
        <v>kontoauszuege/Mara_2026-04.pdf</v>
      </c>
    </row>
    <row r="124" ht="28" customHeight="1">
      <c r="A124" s="29" t="n">
        <v>46140</v>
      </c>
      <c r="B124" s="29" t="n">
        <v>46140</v>
      </c>
      <c r="C124" s="18" t="str">
        <v>202604-ENTGELT</v>
      </c>
      <c r="D124" s="18" t="str">
        <v>Land Brandenburg</v>
      </c>
      <c r="E124" s="18" t="str">
        <v>Entgelt Personalnummer 048216</v>
      </c>
      <c r="F124" s="23" t="n">
        <v>4385.62</v>
      </c>
      <c r="G124" s="23" t="n">
        <v>41406.37</v>
      </c>
      <c r="H124" s="18" t="str">
        <v>kontoauszuege/Mara_2026-04.pdf</v>
      </c>
    </row>
    <row r="125" ht="28" customHeight="1">
      <c r="A125" s="30" t="n">
        <v>46142</v>
      </c>
      <c r="B125" s="30" t="n">
        <v>46142</v>
      </c>
      <c r="C125" s="17" t="str">
        <v>202604-GEB-MARA</v>
      </c>
      <c r="D125" s="17" t="str">
        <v>Havelbogen Bank eG</v>
      </c>
      <c r="E125" s="17" t="str">
        <v>Kontoführung / Monatsentgelt</v>
      </c>
      <c r="F125" s="24" t="n">
        <v>-6.9</v>
      </c>
      <c r="G125" s="24" t="n">
        <v>41399.47</v>
      </c>
      <c r="H125" s="17" t="str">
        <v>kontoauszuege/Mara_2026-04.pdf</v>
      </c>
    </row>
    <row r="126" ht="38" customHeight="1">
      <c r="A126" s="29" t="n">
        <v>46146</v>
      </c>
      <c r="B126" s="29" t="n">
        <v>46146</v>
      </c>
      <c r="C126" s="18" t="str">
        <v>202605-J-M</v>
      </c>
      <c r="D126" s="18" t="str">
        <v>Jonas Bergmann</v>
      </c>
      <c r="E126" s="18" t="str">
        <v>Für Jule und Oskar / vereinbarter Abschlag</v>
      </c>
      <c r="F126" s="23" t="n">
        <v>780</v>
      </c>
      <c r="G126" s="23" t="n">
        <v>42179.47</v>
      </c>
      <c r="H126" s="18" t="str">
        <v>kontoauszuege/Mara_2026-05.pdf</v>
      </c>
    </row>
    <row r="127" ht="28" customHeight="1">
      <c r="A127" s="30" t="n">
        <v>46146</v>
      </c>
      <c r="B127" s="30" t="n">
        <v>46146</v>
      </c>
      <c r="C127" s="17" t="str">
        <v>202605-M-H</v>
      </c>
      <c r="D127" s="17" t="str">
        <v>Mara und Jonas Bergmann</v>
      </c>
      <c r="E127" s="17" t="str">
        <v>Haushaltskonto / laufende Ausgaben</v>
      </c>
      <c r="F127" s="24" t="n">
        <v>-2300</v>
      </c>
      <c r="G127" s="24" t="n">
        <v>39879.47</v>
      </c>
      <c r="H127" s="17" t="str">
        <v>kontoauszuege/Mara_2026-05.pdf</v>
      </c>
    </row>
    <row r="128" ht="28" customHeight="1">
      <c r="A128" s="29" t="n">
        <v>46147</v>
      </c>
      <c r="B128" s="29" t="n">
        <v>46147</v>
      </c>
      <c r="C128" s="18" t="str">
        <v>202605-TG</v>
      </c>
      <c r="D128" s="18" t="str">
        <v>Havelbogen Bank eG</v>
      </c>
      <c r="E128" s="18" t="str">
        <v>Sparübertrag Tagesgeld 4421</v>
      </c>
      <c r="F128" s="23" t="n">
        <v>-600</v>
      </c>
      <c r="G128" s="23" t="n">
        <v>39279.47</v>
      </c>
      <c r="H128" s="18" t="str">
        <v>kontoauszuege/Mara_2026-05.pdf</v>
      </c>
    </row>
    <row r="129" ht="28" customHeight="1">
      <c r="A129" s="30" t="n">
        <v>46153</v>
      </c>
      <c r="B129" s="30" t="n">
        <v>46153</v>
      </c>
      <c r="C129" s="17" t="str">
        <v>202605-DEP</v>
      </c>
      <c r="D129" s="17" t="str">
        <v>Depotservice Havelbogen</v>
      </c>
      <c r="E129" s="17" t="str">
        <v>Fondssparplan D-8821 / Monatsrate</v>
      </c>
      <c r="F129" s="24" t="n">
        <v>-300</v>
      </c>
      <c r="G129" s="24" t="n">
        <v>38979.47</v>
      </c>
      <c r="H129" s="17" t="str">
        <v>kontoauszuege/Mara_2026-05.pdf</v>
      </c>
    </row>
    <row r="130" ht="28" customHeight="1">
      <c r="A130" s="29" t="n">
        <v>46153</v>
      </c>
      <c r="B130" s="29" t="n">
        <v>46153</v>
      </c>
      <c r="C130" s="18" t="str">
        <v>202605-KG</v>
      </c>
      <c r="D130" s="18" t="str">
        <v>Familienkasse</v>
      </c>
      <c r="E130" s="18" t="str">
        <v>Kindergeld Jule und Oskar</v>
      </c>
      <c r="F130" s="23" t="n">
        <v>518</v>
      </c>
      <c r="G130" s="23" t="n">
        <v>39497.47</v>
      </c>
      <c r="H130" s="18" t="str">
        <v>kontoauszuege/Mara_2026-05.pdf</v>
      </c>
    </row>
    <row r="131" ht="28" customHeight="1">
      <c r="A131" s="30" t="n">
        <v>46160</v>
      </c>
      <c r="B131" s="30" t="n">
        <v>46160</v>
      </c>
      <c r="C131" s="17" t="str">
        <v>202605-KARTE</v>
      </c>
      <c r="D131" s="17" t="str">
        <v>HavelCard Abrechnung</v>
      </c>
      <c r="E131" s="17" t="str">
        <v>Kartenabrechnung 05/2026 / Mara</v>
      </c>
      <c r="F131" s="24" t="n">
        <v>-250.38</v>
      </c>
      <c r="G131" s="24" t="n">
        <v>39247.09</v>
      </c>
      <c r="H131" s="17" t="str">
        <v>kontoauszuege/Mara_2026-05.pdf</v>
      </c>
    </row>
    <row r="132" ht="38" customHeight="1">
      <c r="A132" s="29" t="n">
        <v>46160</v>
      </c>
      <c r="B132" s="29" t="n">
        <v>46160</v>
      </c>
      <c r="C132" s="18" t="str">
        <v>SONDER-202605</v>
      </c>
      <c r="D132" s="18" t="str">
        <v>Mara und Jonas Bergmann</v>
      </c>
      <c r="E132" s="18" t="str">
        <v>Sondertilgung Haus / Übertrag aus Rücklage</v>
      </c>
      <c r="F132" s="23" t="n">
        <v>-3500</v>
      </c>
      <c r="G132" s="23" t="n">
        <v>35747.09</v>
      </c>
      <c r="H132" s="18" t="str">
        <v>kontoauszuege/Mara_2026-05.pdf</v>
      </c>
    </row>
    <row r="133" ht="28" customHeight="1">
      <c r="A133" s="30" t="n">
        <v>46163</v>
      </c>
      <c r="B133" s="30" t="n">
        <v>46163</v>
      </c>
      <c r="C133" s="17" t="str">
        <v>202605-KFZ</v>
      </c>
      <c r="D133" s="17" t="str">
        <v>Waldsee Versicherung</v>
      </c>
      <c r="E133" s="17" t="str">
        <v>Pkw P-MB 418 / Monatsbeitrag</v>
      </c>
      <c r="F133" s="24" t="n">
        <v>-74.8</v>
      </c>
      <c r="G133" s="24" t="n">
        <v>35672.29</v>
      </c>
      <c r="H133" s="17" t="str">
        <v>kontoauszuege/Mara_2026-05.pdf</v>
      </c>
    </row>
    <row r="134" ht="28" customHeight="1">
      <c r="A134" s="29" t="n">
        <v>46170</v>
      </c>
      <c r="B134" s="29" t="n">
        <v>46170</v>
      </c>
      <c r="C134" s="18" t="str">
        <v>202605-ENTGELT</v>
      </c>
      <c r="D134" s="18" t="str">
        <v>Land Brandenburg</v>
      </c>
      <c r="E134" s="18" t="str">
        <v>Entgelt Personalnummer 048216</v>
      </c>
      <c r="F134" s="23" t="n">
        <v>4385.62</v>
      </c>
      <c r="G134" s="23" t="n">
        <v>40057.91</v>
      </c>
      <c r="H134" s="18" t="str">
        <v>kontoauszuege/Mara_2026-05.pdf</v>
      </c>
    </row>
    <row r="135" ht="28" customHeight="1">
      <c r="A135" s="30" t="n">
        <v>46174</v>
      </c>
      <c r="B135" s="30" t="n">
        <v>46174</v>
      </c>
      <c r="C135" s="17" t="str">
        <v>202605-GEB-MARA</v>
      </c>
      <c r="D135" s="17" t="str">
        <v>Havelbogen Bank eG</v>
      </c>
      <c r="E135" s="17" t="str">
        <v>Kontoführung / Monatsentgelt</v>
      </c>
      <c r="F135" s="24" t="n">
        <v>-6.9</v>
      </c>
      <c r="G135" s="24" t="n">
        <v>40051.01</v>
      </c>
      <c r="H135" s="17" t="str">
        <v>kontoauszuege/Mara_2026-06.pdf</v>
      </c>
    </row>
    <row r="136" ht="28" customHeight="1">
      <c r="A136" s="29" t="n">
        <v>46175</v>
      </c>
      <c r="B136" s="29" t="n">
        <v>46175</v>
      </c>
      <c r="C136" s="18" t="str">
        <v>202606-M-H</v>
      </c>
      <c r="D136" s="18" t="str">
        <v>Mara und Jonas Bergmann</v>
      </c>
      <c r="E136" s="18" t="str">
        <v>Haushaltskonto / laufende Ausgaben</v>
      </c>
      <c r="F136" s="23" t="n">
        <v>-2300</v>
      </c>
      <c r="G136" s="23" t="n">
        <v>37751.01</v>
      </c>
      <c r="H136" s="18" t="str">
        <v>kontoauszuege/Mara_2026-06.pdf</v>
      </c>
    </row>
    <row r="137" ht="38" customHeight="1">
      <c r="A137" s="30" t="n">
        <v>46177</v>
      </c>
      <c r="B137" s="30" t="n">
        <v>46177</v>
      </c>
      <c r="C137" s="17" t="str">
        <v>202606-J-M</v>
      </c>
      <c r="D137" s="17" t="str">
        <v>Jonas Bergmann</v>
      </c>
      <c r="E137" s="17" t="str">
        <v>Für Jule und Oskar / vereinbarter Abschlag</v>
      </c>
      <c r="F137" s="24" t="n">
        <v>780</v>
      </c>
      <c r="G137" s="24" t="n">
        <v>38531.01</v>
      </c>
      <c r="H137" s="17" t="str">
        <v>kontoauszuege/Mara_2026-06.pdf</v>
      </c>
    </row>
    <row r="138" ht="28" customHeight="1">
      <c r="A138" s="29" t="n">
        <v>46178</v>
      </c>
      <c r="B138" s="29" t="n">
        <v>46178</v>
      </c>
      <c r="C138" s="18" t="str">
        <v>202606-TG</v>
      </c>
      <c r="D138" s="18" t="str">
        <v>Havelbogen Bank eG</v>
      </c>
      <c r="E138" s="18" t="str">
        <v>Sparübertrag Tagesgeld 4421</v>
      </c>
      <c r="F138" s="23" t="n">
        <v>-600</v>
      </c>
      <c r="G138" s="23" t="n">
        <v>37931.01</v>
      </c>
      <c r="H138" s="18" t="str">
        <v>kontoauszuege/Mara_2026-06.pdf</v>
      </c>
    </row>
    <row r="139" ht="28" customHeight="1">
      <c r="A139" s="30" t="n">
        <v>46182</v>
      </c>
      <c r="B139" s="30" t="n">
        <v>46182</v>
      </c>
      <c r="C139" s="17" t="str">
        <v>202606-DEP</v>
      </c>
      <c r="D139" s="17" t="str">
        <v>Depotservice Havelbogen</v>
      </c>
      <c r="E139" s="17" t="str">
        <v>Fondssparplan D-8821 / Monatsrate</v>
      </c>
      <c r="F139" s="24" t="n">
        <v>-300</v>
      </c>
      <c r="G139" s="24" t="n">
        <v>37631.01</v>
      </c>
      <c r="H139" s="17" t="str">
        <v>kontoauszuege/Mara_2026-06.pdf</v>
      </c>
    </row>
    <row r="140" ht="28" customHeight="1">
      <c r="A140" s="29" t="n">
        <v>46184</v>
      </c>
      <c r="B140" s="29" t="n">
        <v>46184</v>
      </c>
      <c r="C140" s="18" t="str">
        <v>202606-KG</v>
      </c>
      <c r="D140" s="18" t="str">
        <v>Familienkasse</v>
      </c>
      <c r="E140" s="18" t="str">
        <v>Kindergeld Jule und Oskar</v>
      </c>
      <c r="F140" s="23" t="n">
        <v>518</v>
      </c>
      <c r="G140" s="23" t="n">
        <v>38149.01</v>
      </c>
      <c r="H140" s="18" t="str">
        <v>kontoauszuege/Mara_2026-06.pdf</v>
      </c>
    </row>
    <row r="141" ht="28" customHeight="1">
      <c r="A141" s="30" t="n">
        <v>46189</v>
      </c>
      <c r="B141" s="30" t="n">
        <v>46189</v>
      </c>
      <c r="C141" s="17" t="str">
        <v>202606-KARTE</v>
      </c>
      <c r="D141" s="17" t="str">
        <v>HavelCard Abrechnung</v>
      </c>
      <c r="E141" s="17" t="str">
        <v>Kartenabrechnung 06/2026 / Mara</v>
      </c>
      <c r="F141" s="24" t="n">
        <v>-257.38</v>
      </c>
      <c r="G141" s="24" t="n">
        <v>37891.63</v>
      </c>
      <c r="H141" s="17" t="str">
        <v>kontoauszuege/Mara_2026-06.pdf</v>
      </c>
    </row>
    <row r="142" ht="28" customHeight="1">
      <c r="A142" s="29" t="n">
        <v>46195</v>
      </c>
      <c r="B142" s="29" t="n">
        <v>46195</v>
      </c>
      <c r="C142" s="18" t="str">
        <v>202606-KFZ</v>
      </c>
      <c r="D142" s="18" t="str">
        <v>Waldsee Versicherung</v>
      </c>
      <c r="E142" s="18" t="str">
        <v>Pkw P-MB 418 / Monatsbeitrag</v>
      </c>
      <c r="F142" s="23" t="n">
        <v>-74.8</v>
      </c>
      <c r="G142" s="23" t="n">
        <v>37816.83</v>
      </c>
      <c r="H142" s="18" t="str">
        <v>kontoauszuege/Mara_2026-06.pdf</v>
      </c>
    </row>
    <row r="143" ht="28" customHeight="1">
      <c r="A143" s="30" t="n">
        <v>46202</v>
      </c>
      <c r="B143" s="30" t="n">
        <v>46202</v>
      </c>
      <c r="C143" s="17" t="str">
        <v>202606-ENTGELT</v>
      </c>
      <c r="D143" s="17" t="str">
        <v>Land Brandenburg</v>
      </c>
      <c r="E143" s="17" t="str">
        <v>Entgelt Personalnummer 048216</v>
      </c>
      <c r="F143" s="24" t="n">
        <v>4385.62</v>
      </c>
      <c r="G143" s="24" t="n">
        <v>42202.45</v>
      </c>
      <c r="H143" s="17" t="str">
        <v>kontoauszuege/Mara_2026-06.pdf</v>
      </c>
    </row>
    <row r="144" ht="28" customHeight="1">
      <c r="A144" s="29" t="n">
        <v>46203</v>
      </c>
      <c r="B144" s="29" t="n">
        <v>46203</v>
      </c>
      <c r="C144" s="18" t="str">
        <v>202606-GEB-MARA</v>
      </c>
      <c r="D144" s="18" t="str">
        <v>Havelbogen Bank eG</v>
      </c>
      <c r="E144" s="18" t="str">
        <v>Kontoführung / Monatsentgelt</v>
      </c>
      <c r="F144" s="23" t="n">
        <v>-6.9</v>
      </c>
      <c r="G144" s="23" t="n">
        <v>42195.55</v>
      </c>
      <c r="H144" s="18" t="str">
        <v>kontoauszuege/Mara_2026-06.pdf</v>
      </c>
    </row>
    <row r="145" ht="28" customHeight="1">
      <c r="A145" s="30" t="n">
        <v>46205</v>
      </c>
      <c r="B145" s="30" t="n">
        <v>46205</v>
      </c>
      <c r="C145" s="17" t="str">
        <v>202607-M-H</v>
      </c>
      <c r="D145" s="17" t="str">
        <v>Mara und Jonas Bergmann</v>
      </c>
      <c r="E145" s="17" t="str">
        <v>Haushaltskonto / laufende Ausgaben</v>
      </c>
      <c r="F145" s="24" t="n">
        <v>-2300</v>
      </c>
      <c r="G145" s="24" t="n">
        <v>39895.55</v>
      </c>
      <c r="H145" s="17" t="str">
        <v>kontoauszuege/Mara_2026-07.pdf</v>
      </c>
    </row>
    <row r="146" ht="38" customHeight="1">
      <c r="A146" s="29" t="n">
        <v>46209</v>
      </c>
      <c r="B146" s="29" t="n">
        <v>46209</v>
      </c>
      <c r="C146" s="18" t="str">
        <v>202607-J-M</v>
      </c>
      <c r="D146" s="18" t="str">
        <v>Jonas Bergmann</v>
      </c>
      <c r="E146" s="18" t="str">
        <v>Für Jule und Oskar / vereinbarter Abschlag</v>
      </c>
      <c r="F146" s="23" t="n">
        <v>780</v>
      </c>
      <c r="G146" s="23" t="n">
        <v>40675.55</v>
      </c>
      <c r="H146" s="18" t="str">
        <v>kontoauszuege/Mara_2026-07.pdf</v>
      </c>
    </row>
    <row r="147" ht="28" customHeight="1">
      <c r="A147" s="30" t="n">
        <v>46209</v>
      </c>
      <c r="B147" s="30" t="n">
        <v>46209</v>
      </c>
      <c r="C147" s="17" t="str">
        <v>202607-TG</v>
      </c>
      <c r="D147" s="17" t="str">
        <v>Havelbogen Bank eG</v>
      </c>
      <c r="E147" s="17" t="str">
        <v>Sparübertrag Tagesgeld 4421</v>
      </c>
      <c r="F147" s="24" t="n">
        <v>-600</v>
      </c>
      <c r="G147" s="24" t="n">
        <v>40075.55</v>
      </c>
      <c r="H147" s="17" t="str">
        <v>kontoauszuege/Mara_2026-07.pdf</v>
      </c>
    </row>
  </sheetData>
  <printOptions gridLines="0" headings="0"/>
  <pageMargins left="0.3" right="0.3" top="0.35" bottom="0.4" header="0.15" footer="0.18"/>
  <pageSetup paperSize="8" orientation="landscape" fitToWidth="1" fitToHeight="0"/>
  <headerFooter>
    <oddFooter>&amp;LFamilie Bergmann, Potsdam&amp;CMara&amp;RSeite &amp;P von &amp;N</oddFooter>
  </headerFooter>
  <tableParts count="1">
    <tablePart xmlns:r="http://schemas.openxmlformats.org/officeDocument/2006/relationships" r:id="R8c485b75f1f44d43"/>
  </tableParts>
</worksheet>
</file>

<file path=xl/worksheets/sheet2.xml><?xml version="1.0" encoding="utf-8"?>
<worksheet xmlns="http://schemas.openxmlformats.org/spreadsheetml/2006/main">
  <sheetPr>
    <tabColor rgb="FF375B4C"/>
    <pageSetUpPr fitToPage="1"/>
  </sheetPr>
  <sheetViews>
    <sheetView showGridLines="0" workbookViewId="0">
      <pane xSplit="1" ySplit="9" topLeftCell="B10" activePane="bottomRight" state="frozen"/>
    </sheetView>
  </sheetViews>
  <sheetFormatPr defaultRowHeight="15"/>
  <cols>
    <col min="1" max="1" width="14" hidden="0" customWidth="1"/>
    <col min="2" max="2" width="14" hidden="0" customWidth="1"/>
    <col min="3" max="3" width="22.670000076293945" hidden="0" customWidth="1"/>
    <col min="4" max="4" width="25.780000686645508" hidden="0" customWidth="1"/>
    <col min="5" max="5" width="34.439998626708984" hidden="0" customWidth="1"/>
    <col min="6" max="6" width="14.670000076293945" hidden="0" customWidth="1"/>
    <col min="7" max="7" width="14.670000076293945" hidden="0" customWidth="1"/>
    <col min="8" max="8" width="36.66999816894531" hidden="0" customWidth="1"/>
  </cols>
  <sheetData>
    <row r="1" ht="9" customHeight="1">
      <c r="A1" s="2"/>
      <c r="B1" s="2"/>
      <c r="C1" s="2"/>
      <c r="D1" s="2"/>
      <c r="E1" s="2"/>
      <c r="F1" s="2"/>
      <c r="G1" s="2"/>
      <c r="H1" s="2"/>
    </row>
    <row r="2" ht="30" customHeight="1">
      <c r="A2" s="3" t="str">
        <v>Kontoumsätze 2025/2026</v>
      </c>
      <c r="B2" s="2"/>
      <c r="C2" s="2"/>
      <c r="D2" s="2"/>
      <c r="E2" s="2"/>
      <c r="F2" s="2"/>
      <c r="G2" s="2"/>
      <c r="H2" s="2"/>
    </row>
    <row r="3" ht="24" customHeight="1">
      <c r="A3" s="2" t="str">
        <v>Konto Jonas. Kontoinhaber: Jonas Bergmann</v>
      </c>
      <c r="B3" s="2"/>
      <c r="C3" s="2"/>
      <c r="D3" s="2"/>
      <c r="E3" s="2"/>
      <c r="F3" s="2"/>
      <c r="G3" s="2"/>
      <c r="H3" s="2"/>
    </row>
    <row r="4" ht="24" customHeight="1">
      <c r="A4" s="4" t="str">
        <v>Familie Bergmann, Potsdam. Buchungen 01.04.2025 bis 08.07.2026 mit Vortrag zum 31.03.2025.</v>
      </c>
      <c r="B4" s="4"/>
      <c r="C4" s="4"/>
      <c r="D4" s="4"/>
      <c r="E4" s="4"/>
      <c r="F4" s="4"/>
      <c r="G4" s="4"/>
      <c r="H4" s="4"/>
    </row>
    <row r="5" ht="24" customHeight="1">
      <c r="A5" s="2"/>
      <c r="B5" s="2"/>
      <c r="C5" s="2"/>
      <c r="D5" s="2"/>
      <c r="E5" s="2"/>
      <c r="F5" s="2"/>
      <c r="G5" s="2"/>
      <c r="H5" s="2"/>
    </row>
    <row r="6" ht="24" customHeight="1">
      <c r="A6" s="2" t="str">
        <v>Eingänge EUR</v>
      </c>
      <c r="B6" s="33" t="n">
        <f>SUMIFS(F10:F165,F10:F165,"&gt;0")</f>
        <v>84394.36</v>
      </c>
      <c r="C6" s="2"/>
      <c r="D6" s="2" t="str">
        <v>Ausgänge EUR</v>
      </c>
      <c r="E6" s="33" t="n">
        <f>SUMIFS(F10:F165,F10:F165,"&lt;0")</f>
        <v>-66288.90000000004</v>
      </c>
      <c r="F6" s="2"/>
      <c r="G6" s="2" t="str">
        <v>Endsaldo EUR</v>
      </c>
      <c r="H6" s="34" t="n">
        <v>27345.64</v>
      </c>
    </row>
    <row r="7" ht="24" customHeight="1">
      <c r="A7" s="5" t="str">
        <v>Quelle: zahlenwerk/Konto_Jonas_2025_2026.csv</v>
      </c>
      <c r="B7" s="2"/>
      <c r="C7" s="2"/>
      <c r="D7" s="2"/>
      <c r="E7" s="2"/>
      <c r="F7" s="2"/>
      <c r="G7" s="2"/>
      <c r="H7" s="2"/>
    </row>
    <row r="8" ht="8" customHeight="1">
      <c r="A8" s="2"/>
      <c r="B8" s="2"/>
      <c r="C8" s="2"/>
      <c r="D8" s="2"/>
      <c r="E8" s="2"/>
      <c r="F8" s="2"/>
      <c r="G8" s="2"/>
      <c r="H8" s="2"/>
    </row>
    <row r="9" ht="38" customHeight="1">
      <c r="A9" s="14" t="str">
        <v>Buchungstag</v>
      </c>
      <c r="B9" s="15" t="str">
        <v>Valuta</v>
      </c>
      <c r="C9" s="15" t="str">
        <v>Referenz</v>
      </c>
      <c r="D9" s="15" t="str">
        <v>Auftraggeber / Empfänger</v>
      </c>
      <c r="E9" s="15" t="str">
        <v>Buchungstext</v>
      </c>
      <c r="F9" s="15" t="str">
        <v>Betrag EUR</v>
      </c>
      <c r="G9" s="15" t="str">
        <v>Saldo EUR</v>
      </c>
      <c r="H9" s="16" t="str">
        <v>Belegdatei</v>
      </c>
    </row>
    <row r="10" ht="28" customHeight="1">
      <c r="A10" s="35" t="n">
        <v>45747</v>
      </c>
      <c r="B10" s="35" t="n">
        <v>45747</v>
      </c>
      <c r="C10" s="36" t="str">
        <v>VORTRAG</v>
      </c>
      <c r="D10" s="36" t="str">
        <v>Havelbogen Bank eG</v>
      </c>
      <c r="E10" s="36" t="str">
        <v>Saldovortrag 31.03.2025</v>
      </c>
      <c r="F10" s="37" t="n">
        <v>0</v>
      </c>
      <c r="G10" s="37" t="n">
        <v>9240.18</v>
      </c>
      <c r="H10" s="36" t="str">
        <v>belege/Saldenbestaetigung_2025-04-01.pdf</v>
      </c>
    </row>
    <row r="11" ht="28" customHeight="1">
      <c r="A11" s="30" t="n">
        <v>45749</v>
      </c>
      <c r="B11" s="30" t="n">
        <v>45749</v>
      </c>
      <c r="C11" s="17" t="str">
        <v>202504-ENTNAHME</v>
      </c>
      <c r="D11" s="17" t="str">
        <v>Bergmann Licht &amp; Planung</v>
      </c>
      <c r="E11" s="17" t="str">
        <v>Privatentnahme Geschäftskonto 7712</v>
      </c>
      <c r="F11" s="24" t="n">
        <v>4700</v>
      </c>
      <c r="G11" s="24" t="n">
        <v>13940.18</v>
      </c>
      <c r="H11" s="17" t="str">
        <v>kontoauszuege/Jonas_2025-04.pdf</v>
      </c>
    </row>
    <row r="12" ht="28" customHeight="1">
      <c r="A12" s="29" t="n">
        <v>45750</v>
      </c>
      <c r="B12" s="29" t="n">
        <v>45750</v>
      </c>
      <c r="C12" s="18" t="str">
        <v>202504-J-H</v>
      </c>
      <c r="D12" s="18" t="str">
        <v>Mara und Jonas Bergmann</v>
      </c>
      <c r="E12" s="18" t="str">
        <v>Haus und Kinder / Dauerauftrag</v>
      </c>
      <c r="F12" s="23" t="n">
        <v>-950</v>
      </c>
      <c r="G12" s="23" t="n">
        <v>12990.18</v>
      </c>
      <c r="H12" s="18" t="str">
        <v>kontoauszuege/Jonas_2025-04.pdf</v>
      </c>
    </row>
    <row r="13" ht="28" customHeight="1">
      <c r="A13" s="30" t="n">
        <v>45750</v>
      </c>
      <c r="B13" s="30" t="n">
        <v>45750</v>
      </c>
      <c r="C13" s="17" t="str">
        <v>202504-MIETE</v>
      </c>
      <c r="D13" s="17" t="str">
        <v>Sven Hagedorn</v>
      </c>
      <c r="E13" s="17" t="str">
        <v>Miete Feuerbachstraße 9</v>
      </c>
      <c r="F13" s="24" t="n">
        <v>-890</v>
      </c>
      <c r="G13" s="24" t="n">
        <v>12100.18</v>
      </c>
      <c r="H13" s="17" t="str">
        <v>kontoauszuege/Jonas_2025-04.pdf</v>
      </c>
    </row>
    <row r="14" ht="28" customHeight="1">
      <c r="A14" s="29" t="n">
        <v>45754</v>
      </c>
      <c r="B14" s="29" t="n">
        <v>45754</v>
      </c>
      <c r="C14" s="18" t="str">
        <v>202504-OMA</v>
      </c>
      <c r="D14" s="18" t="str">
        <v>Ursula Bergmann</v>
      </c>
      <c r="E14" s="18" t="str">
        <v>Hilfe Haushalt und Pflege / Dauerauftrag</v>
      </c>
      <c r="F14" s="23" t="n">
        <v>-380</v>
      </c>
      <c r="G14" s="23" t="n">
        <v>11720.18</v>
      </c>
      <c r="H14" s="18" t="str">
        <v>kontoauszuege/Jonas_2025-04.pdf</v>
      </c>
    </row>
    <row r="15" ht="38" customHeight="1">
      <c r="A15" s="30" t="n">
        <v>45761</v>
      </c>
      <c r="B15" s="30" t="n">
        <v>45761</v>
      </c>
      <c r="C15" s="17" t="str">
        <v>202504-KV</v>
      </c>
      <c r="D15" s="17" t="str">
        <v>Krankenkasse</v>
      </c>
      <c r="E15" s="17" t="str">
        <v>Freiwillige Kranken- und Pflegeversicherung</v>
      </c>
      <c r="F15" s="24" t="n">
        <v>-612.44</v>
      </c>
      <c r="G15" s="24" t="n">
        <v>11107.74</v>
      </c>
      <c r="H15" s="17" t="str">
        <v>kontoauszuege/Jonas_2025-04.pdf</v>
      </c>
    </row>
    <row r="16" ht="28" customHeight="1">
      <c r="A16" s="29" t="n">
        <v>45761</v>
      </c>
      <c r="B16" s="29" t="n">
        <v>45761</v>
      </c>
      <c r="C16" s="18" t="str">
        <v>202504-RV</v>
      </c>
      <c r="D16" s="18" t="str">
        <v>Versorgungskasse</v>
      </c>
      <c r="E16" s="18" t="str">
        <v>Altersvorsorge Vertrag RV-62241</v>
      </c>
      <c r="F16" s="23" t="n">
        <v>-260</v>
      </c>
      <c r="G16" s="23" t="n">
        <v>10847.74</v>
      </c>
      <c r="H16" s="18" t="str">
        <v>kontoauszuege/Jonas_2025-04.pdf</v>
      </c>
    </row>
    <row r="17" ht="28" customHeight="1">
      <c r="A17" s="30" t="n">
        <v>45769</v>
      </c>
      <c r="B17" s="30" t="n">
        <v>45769</v>
      </c>
      <c r="C17" s="17" t="str">
        <v>202504-KARTE</v>
      </c>
      <c r="D17" s="17" t="str">
        <v>HavelCard Abrechnung</v>
      </c>
      <c r="E17" s="17" t="str">
        <v>Kartenabrechnung 04/2025 / Jonas</v>
      </c>
      <c r="F17" s="24" t="n">
        <v>-239.72</v>
      </c>
      <c r="G17" s="24" t="n">
        <v>10608.02</v>
      </c>
      <c r="H17" s="17" t="str">
        <v>kontoauszuege/Jonas_2025-04.pdf</v>
      </c>
    </row>
    <row r="18" ht="28" customHeight="1">
      <c r="A18" s="29" t="n">
        <v>45771</v>
      </c>
      <c r="B18" s="29" t="n">
        <v>45771</v>
      </c>
      <c r="C18" s="18" t="str">
        <v>202504-BAR</v>
      </c>
      <c r="D18" s="18" t="str">
        <v>Geldautomat Potsdam</v>
      </c>
      <c r="E18" s="18" t="str">
        <v>Bargeldauszahlung / Karte endet 2208</v>
      </c>
      <c r="F18" s="23" t="n">
        <v>-180</v>
      </c>
      <c r="G18" s="23" t="n">
        <v>10428.02</v>
      </c>
      <c r="H18" s="18" t="str">
        <v>kontoauszuege/Jonas_2025-04.pdf</v>
      </c>
    </row>
    <row r="19" ht="28" customHeight="1">
      <c r="A19" s="30" t="n">
        <v>45777</v>
      </c>
      <c r="B19" s="30" t="n">
        <v>45777</v>
      </c>
      <c r="C19" s="17" t="str">
        <v>202504-GEB-JONAS</v>
      </c>
      <c r="D19" s="17" t="str">
        <v>Havelbogen Bank eG</v>
      </c>
      <c r="E19" s="17" t="str">
        <v>Kontoführung / Monatsentgelt</v>
      </c>
      <c r="F19" s="24" t="n">
        <v>-6.9</v>
      </c>
      <c r="G19" s="24" t="n">
        <v>10421.12</v>
      </c>
      <c r="H19" s="17" t="str">
        <v>kontoauszuege/Jonas_2025-04.pdf</v>
      </c>
    </row>
    <row r="20" ht="28" customHeight="1">
      <c r="A20" s="29" t="n">
        <v>45779</v>
      </c>
      <c r="B20" s="29" t="n">
        <v>45779</v>
      </c>
      <c r="C20" s="18" t="str">
        <v>202505-ENTNAHME</v>
      </c>
      <c r="D20" s="18" t="str">
        <v>Bergmann Licht &amp; Planung</v>
      </c>
      <c r="E20" s="18" t="str">
        <v>Privatentnahme Geschäftskonto 7712</v>
      </c>
      <c r="F20" s="23" t="n">
        <v>4875</v>
      </c>
      <c r="G20" s="23" t="n">
        <v>15296.12</v>
      </c>
      <c r="H20" s="18" t="str">
        <v>kontoauszuege/Jonas_2025-05.pdf</v>
      </c>
    </row>
    <row r="21" ht="28" customHeight="1">
      <c r="A21" s="30" t="n">
        <v>45782</v>
      </c>
      <c r="B21" s="30" t="n">
        <v>45782</v>
      </c>
      <c r="C21" s="17" t="str">
        <v>202505-J-H</v>
      </c>
      <c r="D21" s="17" t="str">
        <v>Mara und Jonas Bergmann</v>
      </c>
      <c r="E21" s="17" t="str">
        <v>Haus und Kinder / Dauerauftrag</v>
      </c>
      <c r="F21" s="24" t="n">
        <v>-950</v>
      </c>
      <c r="G21" s="24" t="n">
        <v>14346.12</v>
      </c>
      <c r="H21" s="17" t="str">
        <v>kontoauszuege/Jonas_2025-05.pdf</v>
      </c>
    </row>
    <row r="22" ht="28" customHeight="1">
      <c r="A22" s="29" t="n">
        <v>45782</v>
      </c>
      <c r="B22" s="29" t="n">
        <v>45782</v>
      </c>
      <c r="C22" s="18" t="str">
        <v>202505-MIETE</v>
      </c>
      <c r="D22" s="18" t="str">
        <v>Sven Hagedorn</v>
      </c>
      <c r="E22" s="18" t="str">
        <v>Miete Feuerbachstraße 9</v>
      </c>
      <c r="F22" s="23" t="n">
        <v>-890</v>
      </c>
      <c r="G22" s="23" t="n">
        <v>13456.12</v>
      </c>
      <c r="H22" s="18" t="str">
        <v>kontoauszuege/Jonas_2025-05.pdf</v>
      </c>
    </row>
    <row r="23" ht="28" customHeight="1">
      <c r="A23" s="30" t="n">
        <v>45783</v>
      </c>
      <c r="B23" s="30" t="n">
        <v>45783</v>
      </c>
      <c r="C23" s="17" t="str">
        <v>202505-OMA</v>
      </c>
      <c r="D23" s="17" t="str">
        <v>Ursula Bergmann</v>
      </c>
      <c r="E23" s="17" t="str">
        <v>Hilfe Haushalt und Pflege / Dauerauftrag</v>
      </c>
      <c r="F23" s="24" t="n">
        <v>-380</v>
      </c>
      <c r="G23" s="24" t="n">
        <v>13076.12</v>
      </c>
      <c r="H23" s="17" t="str">
        <v>kontoauszuege/Jonas_2025-05.pdf</v>
      </c>
    </row>
    <row r="24" ht="38" customHeight="1">
      <c r="A24" s="29" t="n">
        <v>45789</v>
      </c>
      <c r="B24" s="29" t="n">
        <v>45789</v>
      </c>
      <c r="C24" s="18" t="str">
        <v>202505-KV</v>
      </c>
      <c r="D24" s="18" t="str">
        <v>Krankenkasse</v>
      </c>
      <c r="E24" s="18" t="str">
        <v>Freiwillige Kranken- und Pflegeversicherung</v>
      </c>
      <c r="F24" s="23" t="n">
        <v>-612.44</v>
      </c>
      <c r="G24" s="23" t="n">
        <v>12463.68</v>
      </c>
      <c r="H24" s="18" t="str">
        <v>kontoauszuege/Jonas_2025-05.pdf</v>
      </c>
    </row>
    <row r="25" ht="28" customHeight="1">
      <c r="A25" s="30" t="n">
        <v>45791</v>
      </c>
      <c r="B25" s="30" t="n">
        <v>45791</v>
      </c>
      <c r="C25" s="17" t="str">
        <v>202505-RV</v>
      </c>
      <c r="D25" s="17" t="str">
        <v>Versorgungskasse</v>
      </c>
      <c r="E25" s="17" t="str">
        <v>Altersvorsorge Vertrag RV-62241</v>
      </c>
      <c r="F25" s="24" t="n">
        <v>-260</v>
      </c>
      <c r="G25" s="24" t="n">
        <v>12203.68</v>
      </c>
      <c r="H25" s="17" t="str">
        <v>kontoauszuege/Jonas_2025-05.pdf</v>
      </c>
    </row>
    <row r="26" ht="28" customHeight="1">
      <c r="A26" s="29" t="n">
        <v>45796</v>
      </c>
      <c r="B26" s="29" t="n">
        <v>45796</v>
      </c>
      <c r="C26" s="18" t="str">
        <v>202505-KARTE</v>
      </c>
      <c r="D26" s="18" t="str">
        <v>HavelCard Abrechnung</v>
      </c>
      <c r="E26" s="18" t="str">
        <v>Kartenabrechnung 05/2025 / Jonas</v>
      </c>
      <c r="F26" s="23" t="n">
        <v>-250.72</v>
      </c>
      <c r="G26" s="23" t="n">
        <v>11952.96</v>
      </c>
      <c r="H26" s="18" t="str">
        <v>kontoauszuege/Jonas_2025-05.pdf</v>
      </c>
    </row>
    <row r="27" ht="28" customHeight="1">
      <c r="A27" s="30" t="n">
        <v>45803</v>
      </c>
      <c r="B27" s="30" t="n">
        <v>45803</v>
      </c>
      <c r="C27" s="17" t="str">
        <v>202505-BAR</v>
      </c>
      <c r="D27" s="17" t="str">
        <v>Geldautomat Potsdam</v>
      </c>
      <c r="E27" s="17" t="str">
        <v>Bargeldauszahlung / Karte endet 2208</v>
      </c>
      <c r="F27" s="24" t="n">
        <v>-180</v>
      </c>
      <c r="G27" s="24" t="n">
        <v>11772.96</v>
      </c>
      <c r="H27" s="17" t="str">
        <v>kontoauszuege/Jonas_2025-05.pdf</v>
      </c>
    </row>
    <row r="28" ht="28" customHeight="1">
      <c r="A28" s="29" t="n">
        <v>45810</v>
      </c>
      <c r="B28" s="29" t="n">
        <v>45810</v>
      </c>
      <c r="C28" s="18" t="str">
        <v>202505-GEB-JONAS</v>
      </c>
      <c r="D28" s="18" t="str">
        <v>Havelbogen Bank eG</v>
      </c>
      <c r="E28" s="18" t="str">
        <v>Kontoführung / Monatsentgelt</v>
      </c>
      <c r="F28" s="23" t="n">
        <v>-6.9</v>
      </c>
      <c r="G28" s="23" t="n">
        <v>11766.06</v>
      </c>
      <c r="H28" s="18" t="str">
        <v>kontoauszuege/Jonas_2025-06.pdf</v>
      </c>
    </row>
    <row r="29" ht="28" customHeight="1">
      <c r="A29" s="30" t="n">
        <v>45810</v>
      </c>
      <c r="B29" s="30" t="n">
        <v>45810</v>
      </c>
      <c r="C29" s="17" t="str">
        <v>202506-ENTNAHME</v>
      </c>
      <c r="D29" s="17" t="str">
        <v>Bergmann Licht &amp; Planung</v>
      </c>
      <c r="E29" s="17" t="str">
        <v>Privatentnahme Geschäftskonto 7712</v>
      </c>
      <c r="F29" s="24" t="n">
        <v>5050</v>
      </c>
      <c r="G29" s="24" t="n">
        <v>16816.06</v>
      </c>
      <c r="H29" s="17" t="str">
        <v>kontoauszuege/Jonas_2025-06.pdf</v>
      </c>
    </row>
    <row r="30" ht="28" customHeight="1">
      <c r="A30" s="29" t="n">
        <v>45811</v>
      </c>
      <c r="B30" s="29" t="n">
        <v>45811</v>
      </c>
      <c r="C30" s="18" t="str">
        <v>202506-J-H</v>
      </c>
      <c r="D30" s="18" t="str">
        <v>Mara und Jonas Bergmann</v>
      </c>
      <c r="E30" s="18" t="str">
        <v>Haus und Kinder / Dauerauftrag</v>
      </c>
      <c r="F30" s="23" t="n">
        <v>-950</v>
      </c>
      <c r="G30" s="23" t="n">
        <v>15866.06</v>
      </c>
      <c r="H30" s="18" t="str">
        <v>kontoauszuege/Jonas_2025-06.pdf</v>
      </c>
    </row>
    <row r="31" ht="28" customHeight="1">
      <c r="A31" s="30" t="n">
        <v>45811</v>
      </c>
      <c r="B31" s="30" t="n">
        <v>45811</v>
      </c>
      <c r="C31" s="17" t="str">
        <v>202506-MIETE</v>
      </c>
      <c r="D31" s="17" t="str">
        <v>Sven Hagedorn</v>
      </c>
      <c r="E31" s="17" t="str">
        <v>Miete Feuerbachstraße 9</v>
      </c>
      <c r="F31" s="24" t="n">
        <v>-890</v>
      </c>
      <c r="G31" s="24" t="n">
        <v>14976.06</v>
      </c>
      <c r="H31" s="17" t="str">
        <v>kontoauszuege/Jonas_2025-06.pdf</v>
      </c>
    </row>
    <row r="32" ht="38" customHeight="1">
      <c r="A32" s="29" t="n">
        <v>45812</v>
      </c>
      <c r="B32" s="29" t="n">
        <v>45812</v>
      </c>
      <c r="C32" s="18" t="str">
        <v>202506-J-M</v>
      </c>
      <c r="D32" s="18" t="str">
        <v>Mara Bergmann</v>
      </c>
      <c r="E32" s="18" t="str">
        <v>Für Jule und Oskar / vereinbarter Abschlag</v>
      </c>
      <c r="F32" s="23" t="n">
        <v>-780</v>
      </c>
      <c r="G32" s="23" t="n">
        <v>14196.06</v>
      </c>
      <c r="H32" s="18" t="str">
        <v>kontoauszuege/Jonas_2025-06.pdf</v>
      </c>
    </row>
    <row r="33" ht="28" customHeight="1">
      <c r="A33" s="30" t="n">
        <v>45814</v>
      </c>
      <c r="B33" s="30" t="n">
        <v>45814</v>
      </c>
      <c r="C33" s="17" t="str">
        <v>202506-OMA</v>
      </c>
      <c r="D33" s="17" t="str">
        <v>Ursula Bergmann</v>
      </c>
      <c r="E33" s="17" t="str">
        <v>Hilfe Haushalt und Pflege / Dauerauftrag</v>
      </c>
      <c r="F33" s="24" t="n">
        <v>-380</v>
      </c>
      <c r="G33" s="24" t="n">
        <v>13816.06</v>
      </c>
      <c r="H33" s="17" t="str">
        <v>kontoauszuege/Jonas_2025-06.pdf</v>
      </c>
    </row>
    <row r="34" ht="38" customHeight="1">
      <c r="A34" s="29" t="n">
        <v>45820</v>
      </c>
      <c r="B34" s="29" t="n">
        <v>45820</v>
      </c>
      <c r="C34" s="18" t="str">
        <v>202506-KV</v>
      </c>
      <c r="D34" s="18" t="str">
        <v>Krankenkasse</v>
      </c>
      <c r="E34" s="18" t="str">
        <v>Freiwillige Kranken- und Pflegeversicherung</v>
      </c>
      <c r="F34" s="23" t="n">
        <v>-612.44</v>
      </c>
      <c r="G34" s="23" t="n">
        <v>13203.62</v>
      </c>
      <c r="H34" s="18" t="str">
        <v>kontoauszuege/Jonas_2025-06.pdf</v>
      </c>
    </row>
    <row r="35" ht="28" customHeight="1">
      <c r="A35" s="30" t="n">
        <v>45824</v>
      </c>
      <c r="B35" s="30" t="n">
        <v>45824</v>
      </c>
      <c r="C35" s="17" t="str">
        <v>202506-RV</v>
      </c>
      <c r="D35" s="17" t="str">
        <v>Versorgungskasse</v>
      </c>
      <c r="E35" s="17" t="str">
        <v>Altersvorsorge Vertrag RV-62241</v>
      </c>
      <c r="F35" s="24" t="n">
        <v>-260</v>
      </c>
      <c r="G35" s="24" t="n">
        <v>12943.62</v>
      </c>
      <c r="H35" s="17" t="str">
        <v>kontoauszuege/Jonas_2025-06.pdf</v>
      </c>
    </row>
    <row r="36" ht="28" customHeight="1">
      <c r="A36" s="29" t="n">
        <v>45827</v>
      </c>
      <c r="B36" s="29" t="n">
        <v>45827</v>
      </c>
      <c r="C36" s="18" t="str">
        <v>202506-KARTE</v>
      </c>
      <c r="D36" s="18" t="str">
        <v>HavelCard Abrechnung</v>
      </c>
      <c r="E36" s="18" t="str">
        <v>Kartenabrechnung 06/2025 / Jonas</v>
      </c>
      <c r="F36" s="23" t="n">
        <v>-261.72</v>
      </c>
      <c r="G36" s="23" t="n">
        <v>12681.9</v>
      </c>
      <c r="H36" s="18" t="str">
        <v>kontoauszuege/Jonas_2025-06.pdf</v>
      </c>
    </row>
    <row r="37" ht="28" customHeight="1">
      <c r="A37" s="30" t="n">
        <v>45832</v>
      </c>
      <c r="B37" s="30" t="n">
        <v>45832</v>
      </c>
      <c r="C37" s="17" t="str">
        <v>202506-BAR</v>
      </c>
      <c r="D37" s="17" t="str">
        <v>Geldautomat Potsdam</v>
      </c>
      <c r="E37" s="17" t="str">
        <v>Bargeldauszahlung / Karte endet 2208</v>
      </c>
      <c r="F37" s="24" t="n">
        <v>-180</v>
      </c>
      <c r="G37" s="24" t="n">
        <v>12501.9</v>
      </c>
      <c r="H37" s="17" t="str">
        <v>kontoauszuege/Jonas_2025-06.pdf</v>
      </c>
    </row>
    <row r="38" ht="28" customHeight="1">
      <c r="A38" s="29" t="n">
        <v>45838</v>
      </c>
      <c r="B38" s="29" t="n">
        <v>45838</v>
      </c>
      <c r="C38" s="18" t="str">
        <v>202506-GEB-JONAS</v>
      </c>
      <c r="D38" s="18" t="str">
        <v>Havelbogen Bank eG</v>
      </c>
      <c r="E38" s="18" t="str">
        <v>Kontoführung / Monatsentgelt</v>
      </c>
      <c r="F38" s="23" t="n">
        <v>-6.9</v>
      </c>
      <c r="G38" s="23" t="n">
        <v>12495</v>
      </c>
      <c r="H38" s="18" t="str">
        <v>kontoauszuege/Jonas_2025-06.pdf</v>
      </c>
    </row>
    <row r="39" ht="28" customHeight="1">
      <c r="A39" s="30" t="n">
        <v>45840</v>
      </c>
      <c r="B39" s="30" t="n">
        <v>45840</v>
      </c>
      <c r="C39" s="17" t="str">
        <v>202507-ENTNAHME</v>
      </c>
      <c r="D39" s="17" t="str">
        <v>Bergmann Licht &amp; Planung</v>
      </c>
      <c r="E39" s="17" t="str">
        <v>Privatentnahme Geschäftskonto 7712</v>
      </c>
      <c r="F39" s="24" t="n">
        <v>5225</v>
      </c>
      <c r="G39" s="24" t="n">
        <v>17720</v>
      </c>
      <c r="H39" s="17" t="str">
        <v>kontoauszuege/Jonas_2025-07.pdf</v>
      </c>
    </row>
    <row r="40" ht="28" customHeight="1">
      <c r="A40" s="29" t="n">
        <v>45841</v>
      </c>
      <c r="B40" s="29" t="n">
        <v>45841</v>
      </c>
      <c r="C40" s="18" t="str">
        <v>202507-J-H</v>
      </c>
      <c r="D40" s="18" t="str">
        <v>Mara und Jonas Bergmann</v>
      </c>
      <c r="E40" s="18" t="str">
        <v>Haus und Kinder / Dauerauftrag</v>
      </c>
      <c r="F40" s="23" t="n">
        <v>-950</v>
      </c>
      <c r="G40" s="23" t="n">
        <v>16770</v>
      </c>
      <c r="H40" s="18" t="str">
        <v>kontoauszuege/Jonas_2025-07.pdf</v>
      </c>
    </row>
    <row r="41" ht="28" customHeight="1">
      <c r="A41" s="30" t="n">
        <v>45841</v>
      </c>
      <c r="B41" s="30" t="n">
        <v>45841</v>
      </c>
      <c r="C41" s="17" t="str">
        <v>202507-MIETE</v>
      </c>
      <c r="D41" s="17" t="str">
        <v>Sven Hagedorn</v>
      </c>
      <c r="E41" s="17" t="str">
        <v>Miete Feuerbachstraße 9</v>
      </c>
      <c r="F41" s="24" t="n">
        <v>-890</v>
      </c>
      <c r="G41" s="24" t="n">
        <v>15880</v>
      </c>
      <c r="H41" s="17" t="str">
        <v>kontoauszuege/Jonas_2025-07.pdf</v>
      </c>
    </row>
    <row r="42" ht="38" customHeight="1">
      <c r="A42" s="29" t="n">
        <v>45842</v>
      </c>
      <c r="B42" s="29" t="n">
        <v>45842</v>
      </c>
      <c r="C42" s="18" t="str">
        <v>202507-J-M</v>
      </c>
      <c r="D42" s="18" t="str">
        <v>Mara Bergmann</v>
      </c>
      <c r="E42" s="18" t="str">
        <v>Für Jule und Oskar / vereinbarter Abschlag</v>
      </c>
      <c r="F42" s="23" t="n">
        <v>-780</v>
      </c>
      <c r="G42" s="23" t="n">
        <v>15100</v>
      </c>
      <c r="H42" s="18" t="str">
        <v>kontoauszuege/Jonas_2025-07.pdf</v>
      </c>
    </row>
    <row r="43" ht="28" customHeight="1">
      <c r="A43" s="30" t="n">
        <v>45845</v>
      </c>
      <c r="B43" s="30" t="n">
        <v>45845</v>
      </c>
      <c r="C43" s="17" t="str">
        <v>202507-OMA</v>
      </c>
      <c r="D43" s="17" t="str">
        <v>Ursula Bergmann</v>
      </c>
      <c r="E43" s="17" t="str">
        <v>Hilfe Haushalt und Pflege / Dauerauftrag</v>
      </c>
      <c r="F43" s="24" t="n">
        <v>-380</v>
      </c>
      <c r="G43" s="24" t="n">
        <v>14720</v>
      </c>
      <c r="H43" s="17" t="str">
        <v>kontoauszuege/Jonas_2025-07.pdf</v>
      </c>
    </row>
    <row r="44" ht="38" customHeight="1">
      <c r="A44" s="29" t="n">
        <v>45852</v>
      </c>
      <c r="B44" s="29" t="n">
        <v>45852</v>
      </c>
      <c r="C44" s="18" t="str">
        <v>202507-KV</v>
      </c>
      <c r="D44" s="18" t="str">
        <v>Krankenkasse</v>
      </c>
      <c r="E44" s="18" t="str">
        <v>Freiwillige Kranken- und Pflegeversicherung</v>
      </c>
      <c r="F44" s="23" t="n">
        <v>-612.44</v>
      </c>
      <c r="G44" s="23" t="n">
        <v>14107.56</v>
      </c>
      <c r="H44" s="18" t="str">
        <v>kontoauszuege/Jonas_2025-07.pdf</v>
      </c>
    </row>
    <row r="45" ht="28" customHeight="1">
      <c r="A45" s="30" t="n">
        <v>45852</v>
      </c>
      <c r="B45" s="30" t="n">
        <v>45852</v>
      </c>
      <c r="C45" s="17" t="str">
        <v>202507-RV</v>
      </c>
      <c r="D45" s="17" t="str">
        <v>Versorgungskasse</v>
      </c>
      <c r="E45" s="17" t="str">
        <v>Altersvorsorge Vertrag RV-62241</v>
      </c>
      <c r="F45" s="24" t="n">
        <v>-260</v>
      </c>
      <c r="G45" s="24" t="n">
        <v>13847.56</v>
      </c>
      <c r="H45" s="17" t="str">
        <v>kontoauszuege/Jonas_2025-07.pdf</v>
      </c>
    </row>
    <row r="46" ht="28" customHeight="1">
      <c r="A46" s="29" t="n">
        <v>45859</v>
      </c>
      <c r="B46" s="29" t="n">
        <v>45859</v>
      </c>
      <c r="C46" s="18" t="str">
        <v>202507-KARTE</v>
      </c>
      <c r="D46" s="18" t="str">
        <v>HavelCard Abrechnung</v>
      </c>
      <c r="E46" s="18" t="str">
        <v>Kartenabrechnung 07/2025 / Jonas</v>
      </c>
      <c r="F46" s="23" t="n">
        <v>-272.72</v>
      </c>
      <c r="G46" s="23" t="n">
        <v>13574.84</v>
      </c>
      <c r="H46" s="18" t="str">
        <v>kontoauszuege/Jonas_2025-07.pdf</v>
      </c>
    </row>
    <row r="47" ht="28" customHeight="1">
      <c r="A47" s="30" t="n">
        <v>45862</v>
      </c>
      <c r="B47" s="30" t="n">
        <v>45862</v>
      </c>
      <c r="C47" s="17" t="str">
        <v>202507-BAR</v>
      </c>
      <c r="D47" s="17" t="str">
        <v>Geldautomat Potsdam</v>
      </c>
      <c r="E47" s="17" t="str">
        <v>Bargeldauszahlung / Karte endet 2208</v>
      </c>
      <c r="F47" s="24" t="n">
        <v>-180</v>
      </c>
      <c r="G47" s="24" t="n">
        <v>13394.84</v>
      </c>
      <c r="H47" s="17" t="str">
        <v>kontoauszuege/Jonas_2025-07.pdf</v>
      </c>
    </row>
    <row r="48" ht="28" customHeight="1">
      <c r="A48" s="29" t="n">
        <v>45869</v>
      </c>
      <c r="B48" s="29" t="n">
        <v>45869</v>
      </c>
      <c r="C48" s="18" t="str">
        <v>202507-GEB-JONAS</v>
      </c>
      <c r="D48" s="18" t="str">
        <v>Havelbogen Bank eG</v>
      </c>
      <c r="E48" s="18" t="str">
        <v>Kontoführung / Monatsentgelt</v>
      </c>
      <c r="F48" s="23" t="n">
        <v>-6.9</v>
      </c>
      <c r="G48" s="23" t="n">
        <v>13387.94</v>
      </c>
      <c r="H48" s="18" t="str">
        <v>kontoauszuege/Jonas_2025-07.pdf</v>
      </c>
    </row>
    <row r="49" ht="28" customHeight="1">
      <c r="A49" s="30" t="n">
        <v>45873</v>
      </c>
      <c r="B49" s="30" t="n">
        <v>45873</v>
      </c>
      <c r="C49" s="17" t="str">
        <v>202508-ENTNAHME</v>
      </c>
      <c r="D49" s="17" t="str">
        <v>Bergmann Licht &amp; Planung</v>
      </c>
      <c r="E49" s="17" t="str">
        <v>Privatentnahme Geschäftskonto 7712</v>
      </c>
      <c r="F49" s="24" t="n">
        <v>4700</v>
      </c>
      <c r="G49" s="24" t="n">
        <v>18087.94</v>
      </c>
      <c r="H49" s="17" t="str">
        <v>kontoauszuege/Jonas_2025-08.pdf</v>
      </c>
    </row>
    <row r="50" ht="28" customHeight="1">
      <c r="A50" s="29" t="n">
        <v>45873</v>
      </c>
      <c r="B50" s="29" t="n">
        <v>45873</v>
      </c>
      <c r="C50" s="18" t="str">
        <v>202508-J-H</v>
      </c>
      <c r="D50" s="18" t="str">
        <v>Mara und Jonas Bergmann</v>
      </c>
      <c r="E50" s="18" t="str">
        <v>Haus und Kinder / Dauerauftrag</v>
      </c>
      <c r="F50" s="23" t="n">
        <v>-950</v>
      </c>
      <c r="G50" s="23" t="n">
        <v>17137.94</v>
      </c>
      <c r="H50" s="18" t="str">
        <v>kontoauszuege/Jonas_2025-08.pdf</v>
      </c>
    </row>
    <row r="51" ht="38" customHeight="1">
      <c r="A51" s="30" t="n">
        <v>45873</v>
      </c>
      <c r="B51" s="30" t="n">
        <v>45873</v>
      </c>
      <c r="C51" s="17" t="str">
        <v>202508-J-M</v>
      </c>
      <c r="D51" s="17" t="str">
        <v>Mara Bergmann</v>
      </c>
      <c r="E51" s="17" t="str">
        <v>Für Jule und Oskar / vereinbarter Abschlag</v>
      </c>
      <c r="F51" s="24" t="n">
        <v>-780</v>
      </c>
      <c r="G51" s="24" t="n">
        <v>16357.94</v>
      </c>
      <c r="H51" s="17" t="str">
        <v>kontoauszuege/Jonas_2025-08.pdf</v>
      </c>
    </row>
    <row r="52" ht="28" customHeight="1">
      <c r="A52" s="29" t="n">
        <v>45873</v>
      </c>
      <c r="B52" s="29" t="n">
        <v>45873</v>
      </c>
      <c r="C52" s="18" t="str">
        <v>202508-MIETE</v>
      </c>
      <c r="D52" s="18" t="str">
        <v>Sven Hagedorn</v>
      </c>
      <c r="E52" s="18" t="str">
        <v>Miete Feuerbachstraße 9</v>
      </c>
      <c r="F52" s="23" t="n">
        <v>-890</v>
      </c>
      <c r="G52" s="23" t="n">
        <v>15467.94</v>
      </c>
      <c r="H52" s="18" t="str">
        <v>kontoauszuege/Jonas_2025-08.pdf</v>
      </c>
    </row>
    <row r="53" ht="28" customHeight="1">
      <c r="A53" s="30" t="n">
        <v>45875</v>
      </c>
      <c r="B53" s="30" t="n">
        <v>45875</v>
      </c>
      <c r="C53" s="17" t="str">
        <v>202508-OMA</v>
      </c>
      <c r="D53" s="17" t="str">
        <v>Ursula Bergmann</v>
      </c>
      <c r="E53" s="17" t="str">
        <v>Hilfe Haushalt und Pflege / Dauerauftrag</v>
      </c>
      <c r="F53" s="24" t="n">
        <v>-380</v>
      </c>
      <c r="G53" s="24" t="n">
        <v>15087.94</v>
      </c>
      <c r="H53" s="17" t="str">
        <v>kontoauszuege/Jonas_2025-08.pdf</v>
      </c>
    </row>
    <row r="54" ht="38" customHeight="1">
      <c r="A54" s="29" t="n">
        <v>45881</v>
      </c>
      <c r="B54" s="29" t="n">
        <v>45881</v>
      </c>
      <c r="C54" s="18" t="str">
        <v>202508-KV</v>
      </c>
      <c r="D54" s="18" t="str">
        <v>Krankenkasse</v>
      </c>
      <c r="E54" s="18" t="str">
        <v>Freiwillige Kranken- und Pflegeversicherung</v>
      </c>
      <c r="F54" s="23" t="n">
        <v>-612.44</v>
      </c>
      <c r="G54" s="23" t="n">
        <v>14475.5</v>
      </c>
      <c r="H54" s="18" t="str">
        <v>kontoauszuege/Jonas_2025-08.pdf</v>
      </c>
    </row>
    <row r="55" ht="28" customHeight="1">
      <c r="A55" s="30" t="n">
        <v>45883</v>
      </c>
      <c r="B55" s="30" t="n">
        <v>45883</v>
      </c>
      <c r="C55" s="17" t="str">
        <v>202508-RV</v>
      </c>
      <c r="D55" s="17" t="str">
        <v>Versorgungskasse</v>
      </c>
      <c r="E55" s="17" t="str">
        <v>Altersvorsorge Vertrag RV-62241</v>
      </c>
      <c r="F55" s="24" t="n">
        <v>-260</v>
      </c>
      <c r="G55" s="24" t="n">
        <v>14215.5</v>
      </c>
      <c r="H55" s="17" t="str">
        <v>kontoauszuege/Jonas_2025-08.pdf</v>
      </c>
    </row>
    <row r="56" ht="28" customHeight="1">
      <c r="A56" s="29" t="n">
        <v>45888</v>
      </c>
      <c r="B56" s="29" t="n">
        <v>45888</v>
      </c>
      <c r="C56" s="18" t="str">
        <v>202508-KARTE</v>
      </c>
      <c r="D56" s="18" t="str">
        <v>HavelCard Abrechnung</v>
      </c>
      <c r="E56" s="18" t="str">
        <v>Kartenabrechnung 08/2025 / Jonas</v>
      </c>
      <c r="F56" s="23" t="n">
        <v>-283.72</v>
      </c>
      <c r="G56" s="23" t="n">
        <v>13931.78</v>
      </c>
      <c r="H56" s="18" t="str">
        <v>kontoauszuege/Jonas_2025-08.pdf</v>
      </c>
    </row>
    <row r="57" ht="28" customHeight="1">
      <c r="A57" s="30" t="n">
        <v>45894</v>
      </c>
      <c r="B57" s="30" t="n">
        <v>45894</v>
      </c>
      <c r="C57" s="17" t="str">
        <v>202508-BAR</v>
      </c>
      <c r="D57" s="17" t="str">
        <v>Geldautomat Potsdam</v>
      </c>
      <c r="E57" s="17" t="str">
        <v>Bargeldauszahlung / Karte endet 2208</v>
      </c>
      <c r="F57" s="24" t="n">
        <v>-180</v>
      </c>
      <c r="G57" s="24" t="n">
        <v>13751.78</v>
      </c>
      <c r="H57" s="17" t="str">
        <v>kontoauszuege/Jonas_2025-08.pdf</v>
      </c>
    </row>
    <row r="58" ht="28" customHeight="1">
      <c r="A58" s="29" t="n">
        <v>45901</v>
      </c>
      <c r="B58" s="29" t="n">
        <v>45901</v>
      </c>
      <c r="C58" s="18" t="str">
        <v>202508-GEB-JONAS</v>
      </c>
      <c r="D58" s="18" t="str">
        <v>Havelbogen Bank eG</v>
      </c>
      <c r="E58" s="18" t="str">
        <v>Kontoführung / Monatsentgelt</v>
      </c>
      <c r="F58" s="23" t="n">
        <v>-6.9</v>
      </c>
      <c r="G58" s="23" t="n">
        <v>13744.88</v>
      </c>
      <c r="H58" s="18" t="str">
        <v>kontoauszuege/Jonas_2025-09.pdf</v>
      </c>
    </row>
    <row r="59" ht="28" customHeight="1">
      <c r="A59" s="30" t="n">
        <v>45902</v>
      </c>
      <c r="B59" s="30" t="n">
        <v>45902</v>
      </c>
      <c r="C59" s="17" t="str">
        <v>202509-ENTNAHME</v>
      </c>
      <c r="D59" s="17" t="str">
        <v>Bergmann Licht &amp; Planung</v>
      </c>
      <c r="E59" s="17" t="str">
        <v>Privatentnahme Geschäftskonto 7712</v>
      </c>
      <c r="F59" s="24" t="n">
        <v>4875</v>
      </c>
      <c r="G59" s="24" t="n">
        <v>18619.88</v>
      </c>
      <c r="H59" s="17" t="str">
        <v>kontoauszuege/Jonas_2025-09.pdf</v>
      </c>
    </row>
    <row r="60" ht="28" customHeight="1">
      <c r="A60" s="29" t="n">
        <v>45903</v>
      </c>
      <c r="B60" s="29" t="n">
        <v>45903</v>
      </c>
      <c r="C60" s="18" t="str">
        <v>202509-J-H</v>
      </c>
      <c r="D60" s="18" t="str">
        <v>Mara und Jonas Bergmann</v>
      </c>
      <c r="E60" s="18" t="str">
        <v>Haus und Kinder / Dauerauftrag</v>
      </c>
      <c r="F60" s="23" t="n">
        <v>-950</v>
      </c>
      <c r="G60" s="23" t="n">
        <v>17669.88</v>
      </c>
      <c r="H60" s="18" t="str">
        <v>kontoauszuege/Jonas_2025-09.pdf</v>
      </c>
    </row>
    <row r="61" ht="28" customHeight="1">
      <c r="A61" s="30" t="n">
        <v>45903</v>
      </c>
      <c r="B61" s="30" t="n">
        <v>45903</v>
      </c>
      <c r="C61" s="17" t="str">
        <v>202509-MIETE</v>
      </c>
      <c r="D61" s="17" t="str">
        <v>Sven Hagedorn</v>
      </c>
      <c r="E61" s="17" t="str">
        <v>Miete Feuerbachstraße 9</v>
      </c>
      <c r="F61" s="24" t="n">
        <v>-890</v>
      </c>
      <c r="G61" s="24" t="n">
        <v>16779.88</v>
      </c>
      <c r="H61" s="17" t="str">
        <v>kontoauszuege/Jonas_2025-09.pdf</v>
      </c>
    </row>
    <row r="62" ht="38" customHeight="1">
      <c r="A62" s="29" t="n">
        <v>45904</v>
      </c>
      <c r="B62" s="29" t="n">
        <v>45904</v>
      </c>
      <c r="C62" s="18" t="str">
        <v>202509-J-M</v>
      </c>
      <c r="D62" s="18" t="str">
        <v>Mara Bergmann</v>
      </c>
      <c r="E62" s="18" t="str">
        <v>Für Jule und Oskar / vereinbarter Abschlag</v>
      </c>
      <c r="F62" s="23" t="n">
        <v>-780</v>
      </c>
      <c r="G62" s="23" t="n">
        <v>15999.88</v>
      </c>
      <c r="H62" s="18" t="str">
        <v>kontoauszuege/Jonas_2025-09.pdf</v>
      </c>
    </row>
    <row r="63" ht="28" customHeight="1">
      <c r="A63" s="30" t="n">
        <v>45908</v>
      </c>
      <c r="B63" s="30" t="n">
        <v>45908</v>
      </c>
      <c r="C63" s="17" t="str">
        <v>202509-OMA</v>
      </c>
      <c r="D63" s="17" t="str">
        <v>Ursula Bergmann</v>
      </c>
      <c r="E63" s="17" t="str">
        <v>Hilfe Haushalt und Pflege / Dauerauftrag</v>
      </c>
      <c r="F63" s="24" t="n">
        <v>-380</v>
      </c>
      <c r="G63" s="24" t="n">
        <v>15619.88</v>
      </c>
      <c r="H63" s="17" t="str">
        <v>kontoauszuege/Jonas_2025-09.pdf</v>
      </c>
    </row>
    <row r="64" ht="38" customHeight="1">
      <c r="A64" s="29" t="n">
        <v>45912</v>
      </c>
      <c r="B64" s="29" t="n">
        <v>45912</v>
      </c>
      <c r="C64" s="18" t="str">
        <v>202509-KV</v>
      </c>
      <c r="D64" s="18" t="str">
        <v>Krankenkasse</v>
      </c>
      <c r="E64" s="18" t="str">
        <v>Freiwillige Kranken- und Pflegeversicherung</v>
      </c>
      <c r="F64" s="23" t="n">
        <v>-612.44</v>
      </c>
      <c r="G64" s="23" t="n">
        <v>15007.44</v>
      </c>
      <c r="H64" s="18" t="str">
        <v>kontoauszuege/Jonas_2025-09.pdf</v>
      </c>
    </row>
    <row r="65" ht="28" customHeight="1">
      <c r="A65" s="30" t="n">
        <v>45915</v>
      </c>
      <c r="B65" s="30" t="n">
        <v>45915</v>
      </c>
      <c r="C65" s="17" t="str">
        <v>202509-RV</v>
      </c>
      <c r="D65" s="17" t="str">
        <v>Versorgungskasse</v>
      </c>
      <c r="E65" s="17" t="str">
        <v>Altersvorsorge Vertrag RV-62241</v>
      </c>
      <c r="F65" s="24" t="n">
        <v>-260</v>
      </c>
      <c r="G65" s="24" t="n">
        <v>14747.44</v>
      </c>
      <c r="H65" s="17" t="str">
        <v>kontoauszuege/Jonas_2025-09.pdf</v>
      </c>
    </row>
    <row r="66" ht="28" customHeight="1">
      <c r="A66" s="29" t="n">
        <v>45919</v>
      </c>
      <c r="B66" s="29" t="n">
        <v>45919</v>
      </c>
      <c r="C66" s="18" t="str">
        <v>202509-KARTE</v>
      </c>
      <c r="D66" s="18" t="str">
        <v>HavelCard Abrechnung</v>
      </c>
      <c r="E66" s="18" t="str">
        <v>Kartenabrechnung 09/2025 / Jonas</v>
      </c>
      <c r="F66" s="23" t="n">
        <v>-294.72</v>
      </c>
      <c r="G66" s="23" t="n">
        <v>14452.72</v>
      </c>
      <c r="H66" s="18" t="str">
        <v>kontoauszuege/Jonas_2025-09.pdf</v>
      </c>
    </row>
    <row r="67" ht="28" customHeight="1">
      <c r="A67" s="30" t="n">
        <v>45924</v>
      </c>
      <c r="B67" s="30" t="n">
        <v>45924</v>
      </c>
      <c r="C67" s="17" t="str">
        <v>202509-BAR</v>
      </c>
      <c r="D67" s="17" t="str">
        <v>Geldautomat Potsdam</v>
      </c>
      <c r="E67" s="17" t="str">
        <v>Bargeldauszahlung / Karte endet 2208</v>
      </c>
      <c r="F67" s="24" t="n">
        <v>-180</v>
      </c>
      <c r="G67" s="24" t="n">
        <v>14272.72</v>
      </c>
      <c r="H67" s="17" t="str">
        <v>kontoauszuege/Jonas_2025-09.pdf</v>
      </c>
    </row>
    <row r="68" ht="28" customHeight="1">
      <c r="A68" s="29" t="n">
        <v>45930</v>
      </c>
      <c r="B68" s="29" t="n">
        <v>45930</v>
      </c>
      <c r="C68" s="18" t="str">
        <v>202509-GEB-JONAS</v>
      </c>
      <c r="D68" s="18" t="str">
        <v>Havelbogen Bank eG</v>
      </c>
      <c r="E68" s="18" t="str">
        <v>Kontoführung / Monatsentgelt</v>
      </c>
      <c r="F68" s="23" t="n">
        <v>-6.9</v>
      </c>
      <c r="G68" s="23" t="n">
        <v>14265.82</v>
      </c>
      <c r="H68" s="18" t="str">
        <v>kontoauszuege/Jonas_2025-09.pdf</v>
      </c>
    </row>
    <row r="69" ht="28" customHeight="1">
      <c r="A69" s="30" t="n">
        <v>45932</v>
      </c>
      <c r="B69" s="30" t="n">
        <v>45932</v>
      </c>
      <c r="C69" s="17" t="str">
        <v>202510-ENTNAHME</v>
      </c>
      <c r="D69" s="17" t="str">
        <v>Bergmann Licht &amp; Planung</v>
      </c>
      <c r="E69" s="17" t="str">
        <v>Privatentnahme Geschäftskonto 7712</v>
      </c>
      <c r="F69" s="24" t="n">
        <v>5050</v>
      </c>
      <c r="G69" s="24" t="n">
        <v>19315.82</v>
      </c>
      <c r="H69" s="17" t="str">
        <v>kontoauszuege/Jonas_2025-10.pdf</v>
      </c>
    </row>
    <row r="70" ht="28" customHeight="1">
      <c r="A70" s="29" t="n">
        <v>45936</v>
      </c>
      <c r="B70" s="29" t="n">
        <v>45936</v>
      </c>
      <c r="C70" s="18" t="str">
        <v>202510-J-H</v>
      </c>
      <c r="D70" s="18" t="str">
        <v>Mara und Jonas Bergmann</v>
      </c>
      <c r="E70" s="18" t="str">
        <v>Haus und Kinder / Dauerauftrag</v>
      </c>
      <c r="F70" s="23" t="n">
        <v>-950</v>
      </c>
      <c r="G70" s="23" t="n">
        <v>18365.82</v>
      </c>
      <c r="H70" s="18" t="str">
        <v>kontoauszuege/Jonas_2025-10.pdf</v>
      </c>
    </row>
    <row r="71" ht="38" customHeight="1">
      <c r="A71" s="30" t="n">
        <v>45936</v>
      </c>
      <c r="B71" s="30" t="n">
        <v>45936</v>
      </c>
      <c r="C71" s="17" t="str">
        <v>202510-J-M</v>
      </c>
      <c r="D71" s="17" t="str">
        <v>Mara Bergmann</v>
      </c>
      <c r="E71" s="17" t="str">
        <v>Für Jule und Oskar / vereinbarter Abschlag</v>
      </c>
      <c r="F71" s="24" t="n">
        <v>-780</v>
      </c>
      <c r="G71" s="24" t="n">
        <v>17585.82</v>
      </c>
      <c r="H71" s="17" t="str">
        <v>kontoauszuege/Jonas_2025-10.pdf</v>
      </c>
    </row>
    <row r="72" ht="28" customHeight="1">
      <c r="A72" s="29" t="n">
        <v>45936</v>
      </c>
      <c r="B72" s="29" t="n">
        <v>45936</v>
      </c>
      <c r="C72" s="18" t="str">
        <v>202510-MIETE</v>
      </c>
      <c r="D72" s="18" t="str">
        <v>Sven Hagedorn</v>
      </c>
      <c r="E72" s="18" t="str">
        <v>Miete Feuerbachstraße 9</v>
      </c>
      <c r="F72" s="23" t="n">
        <v>-890</v>
      </c>
      <c r="G72" s="23" t="n">
        <v>16695.82</v>
      </c>
      <c r="H72" s="18" t="str">
        <v>kontoauszuege/Jonas_2025-10.pdf</v>
      </c>
    </row>
    <row r="73" ht="28" customHeight="1">
      <c r="A73" s="30" t="n">
        <v>45936</v>
      </c>
      <c r="B73" s="30" t="n">
        <v>45936</v>
      </c>
      <c r="C73" s="17" t="str">
        <v>202510-OMA</v>
      </c>
      <c r="D73" s="17" t="str">
        <v>Ursula Bergmann</v>
      </c>
      <c r="E73" s="17" t="str">
        <v>Hilfe Haushalt und Pflege / Dauerauftrag</v>
      </c>
      <c r="F73" s="24" t="n">
        <v>-380</v>
      </c>
      <c r="G73" s="24" t="n">
        <v>16315.82</v>
      </c>
      <c r="H73" s="17" t="str">
        <v>kontoauszuege/Jonas_2025-10.pdf</v>
      </c>
    </row>
    <row r="74" ht="38" customHeight="1">
      <c r="A74" s="29" t="n">
        <v>45943</v>
      </c>
      <c r="B74" s="29" t="n">
        <v>45943</v>
      </c>
      <c r="C74" s="18" t="str">
        <v>202510-KV</v>
      </c>
      <c r="D74" s="18" t="str">
        <v>Krankenkasse</v>
      </c>
      <c r="E74" s="18" t="str">
        <v>Freiwillige Kranken- und Pflegeversicherung</v>
      </c>
      <c r="F74" s="23" t="n">
        <v>-612.44</v>
      </c>
      <c r="G74" s="23" t="n">
        <v>15703.38</v>
      </c>
      <c r="H74" s="18" t="str">
        <v>kontoauszuege/Jonas_2025-10.pdf</v>
      </c>
    </row>
    <row r="75" ht="28" customHeight="1">
      <c r="A75" s="30" t="n">
        <v>45944</v>
      </c>
      <c r="B75" s="30" t="n">
        <v>45944</v>
      </c>
      <c r="C75" s="17" t="str">
        <v>202510-RV</v>
      </c>
      <c r="D75" s="17" t="str">
        <v>Versorgungskasse</v>
      </c>
      <c r="E75" s="17" t="str">
        <v>Altersvorsorge Vertrag RV-62241</v>
      </c>
      <c r="F75" s="24" t="n">
        <v>-260</v>
      </c>
      <c r="G75" s="24" t="n">
        <v>15443.38</v>
      </c>
      <c r="H75" s="17" t="str">
        <v>kontoauszuege/Jonas_2025-10.pdf</v>
      </c>
    </row>
    <row r="76" ht="28" customHeight="1">
      <c r="A76" s="29" t="n">
        <v>45950</v>
      </c>
      <c r="B76" s="29" t="n">
        <v>45950</v>
      </c>
      <c r="C76" s="18" t="str">
        <v>202510-KARTE</v>
      </c>
      <c r="D76" s="18" t="str">
        <v>HavelCard Abrechnung</v>
      </c>
      <c r="E76" s="18" t="str">
        <v>Kartenabrechnung 10/2025 / Jonas</v>
      </c>
      <c r="F76" s="23" t="n">
        <v>-305.72</v>
      </c>
      <c r="G76" s="23" t="n">
        <v>15137.66</v>
      </c>
      <c r="H76" s="18" t="str">
        <v>kontoauszuege/Jonas_2025-10.pdf</v>
      </c>
    </row>
    <row r="77" ht="28" customHeight="1">
      <c r="A77" s="30" t="n">
        <v>45954</v>
      </c>
      <c r="B77" s="30" t="n">
        <v>45954</v>
      </c>
      <c r="C77" s="17" t="str">
        <v>202510-BAR</v>
      </c>
      <c r="D77" s="17" t="str">
        <v>Geldautomat Potsdam</v>
      </c>
      <c r="E77" s="17" t="str">
        <v>Bargeldauszahlung / Karte endet 2208</v>
      </c>
      <c r="F77" s="24" t="n">
        <v>-180</v>
      </c>
      <c r="G77" s="24" t="n">
        <v>14957.66</v>
      </c>
      <c r="H77" s="17" t="str">
        <v>kontoauszuege/Jonas_2025-10.pdf</v>
      </c>
    </row>
    <row r="78" ht="28" customHeight="1">
      <c r="A78" s="29" t="n">
        <v>45961</v>
      </c>
      <c r="B78" s="29" t="n">
        <v>45961</v>
      </c>
      <c r="C78" s="18" t="str">
        <v>202510-GEB-JONAS</v>
      </c>
      <c r="D78" s="18" t="str">
        <v>Havelbogen Bank eG</v>
      </c>
      <c r="E78" s="18" t="str">
        <v>Kontoführung / Monatsentgelt</v>
      </c>
      <c r="F78" s="23" t="n">
        <v>-6.9</v>
      </c>
      <c r="G78" s="23" t="n">
        <v>14950.76</v>
      </c>
      <c r="H78" s="18" t="str">
        <v>kontoauszuege/Jonas_2025-10.pdf</v>
      </c>
    </row>
    <row r="79" ht="28" customHeight="1">
      <c r="A79" s="30" t="n">
        <v>45964</v>
      </c>
      <c r="B79" s="30" t="n">
        <v>45964</v>
      </c>
      <c r="C79" s="17" t="str">
        <v>202511-ENTNAHME</v>
      </c>
      <c r="D79" s="17" t="str">
        <v>Bergmann Licht &amp; Planung</v>
      </c>
      <c r="E79" s="17" t="str">
        <v>Privatentnahme Geschäftskonto 7712</v>
      </c>
      <c r="F79" s="24" t="n">
        <v>5225</v>
      </c>
      <c r="G79" s="24" t="n">
        <v>20175.76</v>
      </c>
      <c r="H79" s="17" t="str">
        <v>kontoauszuege/Jonas_2025-11.pdf</v>
      </c>
    </row>
    <row r="80" ht="28" customHeight="1">
      <c r="A80" s="29" t="n">
        <v>45964</v>
      </c>
      <c r="B80" s="29" t="n">
        <v>45964</v>
      </c>
      <c r="C80" s="18" t="str">
        <v>202511-J-H</v>
      </c>
      <c r="D80" s="18" t="str">
        <v>Mara und Jonas Bergmann</v>
      </c>
      <c r="E80" s="18" t="str">
        <v>Haus und Kinder / Dauerauftrag</v>
      </c>
      <c r="F80" s="23" t="n">
        <v>-950</v>
      </c>
      <c r="G80" s="23" t="n">
        <v>19225.76</v>
      </c>
      <c r="H80" s="18" t="str">
        <v>kontoauszuege/Jonas_2025-11.pdf</v>
      </c>
    </row>
    <row r="81" ht="28" customHeight="1">
      <c r="A81" s="30" t="n">
        <v>45964</v>
      </c>
      <c r="B81" s="30" t="n">
        <v>45964</v>
      </c>
      <c r="C81" s="17" t="str">
        <v>202511-MIETE</v>
      </c>
      <c r="D81" s="17" t="str">
        <v>Sven Hagedorn</v>
      </c>
      <c r="E81" s="17" t="str">
        <v>Miete Feuerbachstraße 9</v>
      </c>
      <c r="F81" s="24" t="n">
        <v>-890</v>
      </c>
      <c r="G81" s="24" t="n">
        <v>18335.76</v>
      </c>
      <c r="H81" s="17" t="str">
        <v>kontoauszuege/Jonas_2025-11.pdf</v>
      </c>
    </row>
    <row r="82" ht="38" customHeight="1">
      <c r="A82" s="29" t="n">
        <v>45965</v>
      </c>
      <c r="B82" s="29" t="n">
        <v>45965</v>
      </c>
      <c r="C82" s="18" t="str">
        <v>202511-J-M</v>
      </c>
      <c r="D82" s="18" t="str">
        <v>Mara Bergmann</v>
      </c>
      <c r="E82" s="18" t="str">
        <v>Für Jule und Oskar / vereinbarter Abschlag</v>
      </c>
      <c r="F82" s="23" t="n">
        <v>-780</v>
      </c>
      <c r="G82" s="23" t="n">
        <v>17555.76</v>
      </c>
      <c r="H82" s="18" t="str">
        <v>kontoauszuege/Jonas_2025-11.pdf</v>
      </c>
    </row>
    <row r="83" ht="28" customHeight="1">
      <c r="A83" s="30" t="n">
        <v>45967</v>
      </c>
      <c r="B83" s="30" t="n">
        <v>45967</v>
      </c>
      <c r="C83" s="17" t="str">
        <v>202511-OMA</v>
      </c>
      <c r="D83" s="17" t="str">
        <v>Ursula Bergmann</v>
      </c>
      <c r="E83" s="17" t="str">
        <v>Hilfe Haushalt und Pflege / Dauerauftrag</v>
      </c>
      <c r="F83" s="24" t="n">
        <v>-380</v>
      </c>
      <c r="G83" s="24" t="n">
        <v>17175.76</v>
      </c>
      <c r="H83" s="17" t="str">
        <v>kontoauszuege/Jonas_2025-11.pdf</v>
      </c>
    </row>
    <row r="84" ht="38" customHeight="1">
      <c r="A84" s="29" t="n">
        <v>45973</v>
      </c>
      <c r="B84" s="29" t="n">
        <v>45973</v>
      </c>
      <c r="C84" s="18" t="str">
        <v>202511-KV</v>
      </c>
      <c r="D84" s="18" t="str">
        <v>Krankenkasse</v>
      </c>
      <c r="E84" s="18" t="str">
        <v>Freiwillige Kranken- und Pflegeversicherung</v>
      </c>
      <c r="F84" s="23" t="n">
        <v>-612.44</v>
      </c>
      <c r="G84" s="23" t="n">
        <v>16563.32</v>
      </c>
      <c r="H84" s="18" t="str">
        <v>kontoauszuege/Jonas_2025-11.pdf</v>
      </c>
    </row>
    <row r="85" ht="28" customHeight="1">
      <c r="A85" s="30" t="n">
        <v>45975</v>
      </c>
      <c r="B85" s="30" t="n">
        <v>45975</v>
      </c>
      <c r="C85" s="17" t="str">
        <v>202511-RV</v>
      </c>
      <c r="D85" s="17" t="str">
        <v>Versorgungskasse</v>
      </c>
      <c r="E85" s="17" t="str">
        <v>Altersvorsorge Vertrag RV-62241</v>
      </c>
      <c r="F85" s="24" t="n">
        <v>-260</v>
      </c>
      <c r="G85" s="24" t="n">
        <v>16303.32</v>
      </c>
      <c r="H85" s="17" t="str">
        <v>kontoauszuege/Jonas_2025-11.pdf</v>
      </c>
    </row>
    <row r="86" ht="28" customHeight="1">
      <c r="A86" s="29" t="n">
        <v>45980</v>
      </c>
      <c r="B86" s="29" t="n">
        <v>45980</v>
      </c>
      <c r="C86" s="18" t="str">
        <v>202511-KARTE</v>
      </c>
      <c r="D86" s="18" t="str">
        <v>HavelCard Abrechnung</v>
      </c>
      <c r="E86" s="18" t="str">
        <v>Kartenabrechnung 11/2025 / Jonas</v>
      </c>
      <c r="F86" s="23" t="n">
        <v>-316.72</v>
      </c>
      <c r="G86" s="23" t="n">
        <v>15986.6</v>
      </c>
      <c r="H86" s="18" t="str">
        <v>kontoauszuege/Jonas_2025-11.pdf</v>
      </c>
    </row>
    <row r="87" ht="28" customHeight="1">
      <c r="A87" s="30" t="n">
        <v>45985</v>
      </c>
      <c r="B87" s="30" t="n">
        <v>45985</v>
      </c>
      <c r="C87" s="17" t="str">
        <v>202511-BAR</v>
      </c>
      <c r="D87" s="17" t="str">
        <v>Geldautomat Potsdam</v>
      </c>
      <c r="E87" s="17" t="str">
        <v>Bargeldauszahlung / Karte endet 2208</v>
      </c>
      <c r="F87" s="24" t="n">
        <v>-180</v>
      </c>
      <c r="G87" s="24" t="n">
        <v>15806.6</v>
      </c>
      <c r="H87" s="17" t="str">
        <v>kontoauszuege/Jonas_2025-11.pdf</v>
      </c>
    </row>
    <row r="88" ht="28" customHeight="1">
      <c r="A88" s="29" t="n">
        <v>45992</v>
      </c>
      <c r="B88" s="29" t="n">
        <v>45992</v>
      </c>
      <c r="C88" s="18" t="str">
        <v>202511-GEB-JONAS</v>
      </c>
      <c r="D88" s="18" t="str">
        <v>Havelbogen Bank eG</v>
      </c>
      <c r="E88" s="18" t="str">
        <v>Kontoführung / Monatsentgelt</v>
      </c>
      <c r="F88" s="23" t="n">
        <v>-6.9</v>
      </c>
      <c r="G88" s="23" t="n">
        <v>15799.7</v>
      </c>
      <c r="H88" s="18" t="str">
        <v>kontoauszuege/Jonas_2025-12.pdf</v>
      </c>
    </row>
    <row r="89" ht="28" customHeight="1">
      <c r="A89" s="30" t="n">
        <v>45993</v>
      </c>
      <c r="B89" s="30" t="n">
        <v>45993</v>
      </c>
      <c r="C89" s="17" t="str">
        <v>202512-ENTNAHME</v>
      </c>
      <c r="D89" s="17" t="str">
        <v>Bergmann Licht &amp; Planung</v>
      </c>
      <c r="E89" s="17" t="str">
        <v>Privatentnahme Geschäftskonto 7712</v>
      </c>
      <c r="F89" s="24" t="n">
        <v>4700</v>
      </c>
      <c r="G89" s="24" t="n">
        <v>20499.7</v>
      </c>
      <c r="H89" s="17" t="str">
        <v>kontoauszuege/Jonas_2025-12.pdf</v>
      </c>
    </row>
    <row r="90" ht="28" customHeight="1">
      <c r="A90" s="29" t="n">
        <v>45994</v>
      </c>
      <c r="B90" s="29" t="n">
        <v>45994</v>
      </c>
      <c r="C90" s="18" t="str">
        <v>202512-J-H</v>
      </c>
      <c r="D90" s="18" t="str">
        <v>Mara und Jonas Bergmann</v>
      </c>
      <c r="E90" s="18" t="str">
        <v>Haus und Kinder / Dauerauftrag</v>
      </c>
      <c r="F90" s="23" t="n">
        <v>-950</v>
      </c>
      <c r="G90" s="23" t="n">
        <v>19549.7</v>
      </c>
      <c r="H90" s="18" t="str">
        <v>kontoauszuege/Jonas_2025-12.pdf</v>
      </c>
    </row>
    <row r="91" ht="28" customHeight="1">
      <c r="A91" s="30" t="n">
        <v>45994</v>
      </c>
      <c r="B91" s="30" t="n">
        <v>45994</v>
      </c>
      <c r="C91" s="17" t="str">
        <v>202512-MIETE</v>
      </c>
      <c r="D91" s="17" t="str">
        <v>Sven Hagedorn</v>
      </c>
      <c r="E91" s="17" t="str">
        <v>Miete Feuerbachstraße 9</v>
      </c>
      <c r="F91" s="24" t="n">
        <v>-890</v>
      </c>
      <c r="G91" s="24" t="n">
        <v>18659.7</v>
      </c>
      <c r="H91" s="17" t="str">
        <v>kontoauszuege/Jonas_2025-12.pdf</v>
      </c>
    </row>
    <row r="92" ht="38" customHeight="1">
      <c r="A92" s="29" t="n">
        <v>45995</v>
      </c>
      <c r="B92" s="29" t="n">
        <v>45995</v>
      </c>
      <c r="C92" s="18" t="str">
        <v>202512-J-M</v>
      </c>
      <c r="D92" s="18" t="str">
        <v>Mara Bergmann</v>
      </c>
      <c r="E92" s="18" t="str">
        <v>Für Jule und Oskar / vereinbarter Abschlag</v>
      </c>
      <c r="F92" s="23" t="n">
        <v>-780</v>
      </c>
      <c r="G92" s="23" t="n">
        <v>17879.7</v>
      </c>
      <c r="H92" s="18" t="str">
        <v>kontoauszuege/Jonas_2025-12.pdf</v>
      </c>
    </row>
    <row r="93" ht="28" customHeight="1">
      <c r="A93" s="30" t="n">
        <v>45999</v>
      </c>
      <c r="B93" s="30" t="n">
        <v>45999</v>
      </c>
      <c r="C93" s="17" t="str">
        <v>202512-OMA</v>
      </c>
      <c r="D93" s="17" t="str">
        <v>Ursula Bergmann</v>
      </c>
      <c r="E93" s="17" t="str">
        <v>Hilfe Haushalt und Pflege / Dauerauftrag</v>
      </c>
      <c r="F93" s="24" t="n">
        <v>-380</v>
      </c>
      <c r="G93" s="24" t="n">
        <v>17499.7</v>
      </c>
      <c r="H93" s="17" t="str">
        <v>kontoauszuege/Jonas_2025-12.pdf</v>
      </c>
    </row>
    <row r="94" ht="38" customHeight="1">
      <c r="A94" s="29" t="n">
        <v>46003</v>
      </c>
      <c r="B94" s="29" t="n">
        <v>46003</v>
      </c>
      <c r="C94" s="18" t="str">
        <v>202512-KV</v>
      </c>
      <c r="D94" s="18" t="str">
        <v>Krankenkasse</v>
      </c>
      <c r="E94" s="18" t="str">
        <v>Freiwillige Kranken- und Pflegeversicherung</v>
      </c>
      <c r="F94" s="23" t="n">
        <v>-612.44</v>
      </c>
      <c r="G94" s="23" t="n">
        <v>16887.26</v>
      </c>
      <c r="H94" s="18" t="str">
        <v>kontoauszuege/Jonas_2025-12.pdf</v>
      </c>
    </row>
    <row r="95" ht="28" customHeight="1">
      <c r="A95" s="30" t="n">
        <v>46006</v>
      </c>
      <c r="B95" s="30" t="n">
        <v>46006</v>
      </c>
      <c r="C95" s="17" t="str">
        <v>202512-RV</v>
      </c>
      <c r="D95" s="17" t="str">
        <v>Versorgungskasse</v>
      </c>
      <c r="E95" s="17" t="str">
        <v>Altersvorsorge Vertrag RV-62241</v>
      </c>
      <c r="F95" s="24" t="n">
        <v>-260</v>
      </c>
      <c r="G95" s="24" t="n">
        <v>16627.26</v>
      </c>
      <c r="H95" s="17" t="str">
        <v>kontoauszuege/Jonas_2025-12.pdf</v>
      </c>
    </row>
    <row r="96" ht="28" customHeight="1">
      <c r="A96" s="29" t="n">
        <v>46010</v>
      </c>
      <c r="B96" s="29" t="n">
        <v>46010</v>
      </c>
      <c r="C96" s="18" t="str">
        <v>202512-KARTE</v>
      </c>
      <c r="D96" s="18" t="str">
        <v>HavelCard Abrechnung</v>
      </c>
      <c r="E96" s="18" t="str">
        <v>Kartenabrechnung 12/2025 / Jonas</v>
      </c>
      <c r="F96" s="23" t="n">
        <v>-327.72</v>
      </c>
      <c r="G96" s="23" t="n">
        <v>16299.54</v>
      </c>
      <c r="H96" s="18" t="str">
        <v>kontoauszuege/Jonas_2025-12.pdf</v>
      </c>
    </row>
    <row r="97" ht="28" customHeight="1">
      <c r="A97" s="30" t="n">
        <v>46015</v>
      </c>
      <c r="B97" s="30" t="n">
        <v>46015</v>
      </c>
      <c r="C97" s="17" t="str">
        <v>202512-BAR</v>
      </c>
      <c r="D97" s="17" t="str">
        <v>Geldautomat Potsdam</v>
      </c>
      <c r="E97" s="17" t="str">
        <v>Bargeldauszahlung / Karte endet 2208</v>
      </c>
      <c r="F97" s="24" t="n">
        <v>-180</v>
      </c>
      <c r="G97" s="24" t="n">
        <v>16119.54</v>
      </c>
      <c r="H97" s="17" t="str">
        <v>kontoauszuege/Jonas_2025-12.pdf</v>
      </c>
    </row>
    <row r="98" ht="28" customHeight="1">
      <c r="A98" s="29" t="n">
        <v>46022</v>
      </c>
      <c r="B98" s="29" t="n">
        <v>46022</v>
      </c>
      <c r="C98" s="18" t="str">
        <v>202512-GEB-JONAS</v>
      </c>
      <c r="D98" s="18" t="str">
        <v>Havelbogen Bank eG</v>
      </c>
      <c r="E98" s="18" t="str">
        <v>Kontoführung / Monatsentgelt</v>
      </c>
      <c r="F98" s="23" t="n">
        <v>-6.9</v>
      </c>
      <c r="G98" s="23" t="n">
        <v>16112.64</v>
      </c>
      <c r="H98" s="18" t="str">
        <v>kontoauszuege/Jonas_2025-12.pdf</v>
      </c>
    </row>
    <row r="99" ht="28" customHeight="1">
      <c r="A99" s="30" t="n">
        <v>46024</v>
      </c>
      <c r="B99" s="30" t="n">
        <v>46024</v>
      </c>
      <c r="C99" s="17" t="str">
        <v>202601-ENTNAHME</v>
      </c>
      <c r="D99" s="17" t="str">
        <v>Bergmann Licht &amp; Planung</v>
      </c>
      <c r="E99" s="17" t="str">
        <v>Privatentnahme Geschäftskonto 7712</v>
      </c>
      <c r="F99" s="24" t="n">
        <v>4875</v>
      </c>
      <c r="G99" s="24" t="n">
        <v>20987.64</v>
      </c>
      <c r="H99" s="17" t="str">
        <v>kontoauszuege/Jonas_2026-01.pdf</v>
      </c>
    </row>
    <row r="100" ht="28" customHeight="1">
      <c r="A100" s="29" t="n">
        <v>46027</v>
      </c>
      <c r="B100" s="29" t="n">
        <v>46027</v>
      </c>
      <c r="C100" s="18" t="str">
        <v>202601-J-H</v>
      </c>
      <c r="D100" s="18" t="str">
        <v>Mara und Jonas Bergmann</v>
      </c>
      <c r="E100" s="18" t="str">
        <v>Haus und Kinder / Dauerauftrag</v>
      </c>
      <c r="F100" s="23" t="n">
        <v>-950</v>
      </c>
      <c r="G100" s="23" t="n">
        <v>20037.64</v>
      </c>
      <c r="H100" s="18" t="str">
        <v>kontoauszuege/Jonas_2026-01.pdf</v>
      </c>
    </row>
    <row r="101" ht="38" customHeight="1">
      <c r="A101" s="30" t="n">
        <v>46027</v>
      </c>
      <c r="B101" s="30" t="n">
        <v>46027</v>
      </c>
      <c r="C101" s="17" t="str">
        <v>202601-J-M</v>
      </c>
      <c r="D101" s="17" t="str">
        <v>Mara Bergmann</v>
      </c>
      <c r="E101" s="17" t="str">
        <v>Für Jule und Oskar / vereinbarter Abschlag</v>
      </c>
      <c r="F101" s="24" t="n">
        <v>-780</v>
      </c>
      <c r="G101" s="24" t="n">
        <v>19257.64</v>
      </c>
      <c r="H101" s="17" t="str">
        <v>kontoauszuege/Jonas_2026-01.pdf</v>
      </c>
    </row>
    <row r="102" ht="28" customHeight="1">
      <c r="A102" s="29" t="n">
        <v>46027</v>
      </c>
      <c r="B102" s="29" t="n">
        <v>46027</v>
      </c>
      <c r="C102" s="18" t="str">
        <v>202601-MIETE</v>
      </c>
      <c r="D102" s="18" t="str">
        <v>Sven Hagedorn</v>
      </c>
      <c r="E102" s="18" t="str">
        <v>Miete Feuerbachstraße 9</v>
      </c>
      <c r="F102" s="23" t="n">
        <v>-890</v>
      </c>
      <c r="G102" s="23" t="n">
        <v>18367.64</v>
      </c>
      <c r="H102" s="18" t="str">
        <v>kontoauszuege/Jonas_2026-01.pdf</v>
      </c>
    </row>
    <row r="103" ht="28" customHeight="1">
      <c r="A103" s="30" t="n">
        <v>46028</v>
      </c>
      <c r="B103" s="30" t="n">
        <v>46028</v>
      </c>
      <c r="C103" s="17" t="str">
        <v>202601-OMA</v>
      </c>
      <c r="D103" s="17" t="str">
        <v>Ursula Bergmann</v>
      </c>
      <c r="E103" s="17" t="str">
        <v>Hilfe Haushalt und Pflege / Dauerauftrag</v>
      </c>
      <c r="F103" s="24" t="n">
        <v>-380</v>
      </c>
      <c r="G103" s="24" t="n">
        <v>17987.64</v>
      </c>
      <c r="H103" s="17" t="str">
        <v>kontoauszuege/Jonas_2026-01.pdf</v>
      </c>
    </row>
    <row r="104" ht="38" customHeight="1">
      <c r="A104" s="29" t="n">
        <v>46034</v>
      </c>
      <c r="B104" s="29" t="n">
        <v>46034</v>
      </c>
      <c r="C104" s="18" t="str">
        <v>202601-KV</v>
      </c>
      <c r="D104" s="18" t="str">
        <v>Krankenkasse</v>
      </c>
      <c r="E104" s="18" t="str">
        <v>Freiwillige Kranken- und Pflegeversicherung</v>
      </c>
      <c r="F104" s="23" t="n">
        <v>-612.44</v>
      </c>
      <c r="G104" s="23" t="n">
        <v>17375.2</v>
      </c>
      <c r="H104" s="18" t="str">
        <v>kontoauszuege/Jonas_2026-01.pdf</v>
      </c>
    </row>
    <row r="105" ht="28" customHeight="1">
      <c r="A105" s="30" t="n">
        <v>46036</v>
      </c>
      <c r="B105" s="30" t="n">
        <v>46036</v>
      </c>
      <c r="C105" s="17" t="str">
        <v>202601-RV</v>
      </c>
      <c r="D105" s="17" t="str">
        <v>Versorgungskasse</v>
      </c>
      <c r="E105" s="17" t="str">
        <v>Altersvorsorge Vertrag RV-62241</v>
      </c>
      <c r="F105" s="24" t="n">
        <v>-260</v>
      </c>
      <c r="G105" s="24" t="n">
        <v>17115.2</v>
      </c>
      <c r="H105" s="17" t="str">
        <v>kontoauszuege/Jonas_2026-01.pdf</v>
      </c>
    </row>
    <row r="106" ht="28" customHeight="1">
      <c r="A106" s="29" t="n">
        <v>46041</v>
      </c>
      <c r="B106" s="29" t="n">
        <v>46041</v>
      </c>
      <c r="C106" s="18" t="str">
        <v>202601-KARTE</v>
      </c>
      <c r="D106" s="18" t="str">
        <v>HavelCard Abrechnung</v>
      </c>
      <c r="E106" s="18" t="str">
        <v>Kartenabrechnung 01/2026 / Jonas</v>
      </c>
      <c r="F106" s="23" t="n">
        <v>-206.72</v>
      </c>
      <c r="G106" s="23" t="n">
        <v>16908.48</v>
      </c>
      <c r="H106" s="18" t="str">
        <v>kontoauszuege/Jonas_2026-01.pdf</v>
      </c>
    </row>
    <row r="107" ht="28" customHeight="1">
      <c r="A107" s="30" t="n">
        <v>46048</v>
      </c>
      <c r="B107" s="30" t="n">
        <v>46048</v>
      </c>
      <c r="C107" s="17" t="str">
        <v>202601-BAR</v>
      </c>
      <c r="D107" s="17" t="str">
        <v>Geldautomat Potsdam</v>
      </c>
      <c r="E107" s="17" t="str">
        <v>Bargeldauszahlung / Karte endet 2208</v>
      </c>
      <c r="F107" s="24" t="n">
        <v>-180</v>
      </c>
      <c r="G107" s="24" t="n">
        <v>16728.48</v>
      </c>
      <c r="H107" s="17" t="str">
        <v>kontoauszuege/Jonas_2026-01.pdf</v>
      </c>
    </row>
    <row r="108" ht="28" customHeight="1">
      <c r="A108" s="29" t="n">
        <v>46055</v>
      </c>
      <c r="B108" s="29" t="n">
        <v>46055</v>
      </c>
      <c r="C108" s="18" t="str">
        <v>202601-GEB-JONAS</v>
      </c>
      <c r="D108" s="18" t="str">
        <v>Havelbogen Bank eG</v>
      </c>
      <c r="E108" s="18" t="str">
        <v>Kontoführung / Monatsentgelt</v>
      </c>
      <c r="F108" s="23" t="n">
        <v>-6.9</v>
      </c>
      <c r="G108" s="23" t="n">
        <v>16721.58</v>
      </c>
      <c r="H108" s="18" t="str">
        <v>kontoauszuege/Jonas_2026-02.pdf</v>
      </c>
    </row>
    <row r="109" ht="28" customHeight="1">
      <c r="A109" s="30" t="n">
        <v>46055</v>
      </c>
      <c r="B109" s="30" t="n">
        <v>46055</v>
      </c>
      <c r="C109" s="17" t="str">
        <v>202602-ENTNAHME</v>
      </c>
      <c r="D109" s="17" t="str">
        <v>Bergmann Licht &amp; Planung</v>
      </c>
      <c r="E109" s="17" t="str">
        <v>Privatentnahme Geschäftskonto 7712</v>
      </c>
      <c r="F109" s="24" t="n">
        <v>5050</v>
      </c>
      <c r="G109" s="24" t="n">
        <v>21771.58</v>
      </c>
      <c r="H109" s="17" t="str">
        <v>kontoauszuege/Jonas_2026-02.pdf</v>
      </c>
    </row>
    <row r="110" ht="28" customHeight="1">
      <c r="A110" s="29" t="n">
        <v>46056</v>
      </c>
      <c r="B110" s="29" t="n">
        <v>46056</v>
      </c>
      <c r="C110" s="18" t="str">
        <v>202602-J-H</v>
      </c>
      <c r="D110" s="18" t="str">
        <v>Mara und Jonas Bergmann</v>
      </c>
      <c r="E110" s="18" t="str">
        <v>Haus und Kinder / Dauerauftrag</v>
      </c>
      <c r="F110" s="23" t="n">
        <v>-950</v>
      </c>
      <c r="G110" s="23" t="n">
        <v>20821.58</v>
      </c>
      <c r="H110" s="18" t="str">
        <v>kontoauszuege/Jonas_2026-02.pdf</v>
      </c>
    </row>
    <row r="111" ht="28" customHeight="1">
      <c r="A111" s="30" t="n">
        <v>46056</v>
      </c>
      <c r="B111" s="30" t="n">
        <v>46056</v>
      </c>
      <c r="C111" s="17" t="str">
        <v>202602-MIETE</v>
      </c>
      <c r="D111" s="17" t="str">
        <v>Sven Hagedorn</v>
      </c>
      <c r="E111" s="17" t="str">
        <v>Miete Feuerbachstraße 9</v>
      </c>
      <c r="F111" s="24" t="n">
        <v>-890</v>
      </c>
      <c r="G111" s="24" t="n">
        <v>19931.58</v>
      </c>
      <c r="H111" s="17" t="str">
        <v>kontoauszuege/Jonas_2026-02.pdf</v>
      </c>
    </row>
    <row r="112" ht="38" customHeight="1">
      <c r="A112" s="29" t="n">
        <v>46057</v>
      </c>
      <c r="B112" s="29" t="n">
        <v>46057</v>
      </c>
      <c r="C112" s="18" t="str">
        <v>202602-J-M</v>
      </c>
      <c r="D112" s="18" t="str">
        <v>Mara Bergmann</v>
      </c>
      <c r="E112" s="18" t="str">
        <v>Für Jule und Oskar / vereinbarter Abschlag</v>
      </c>
      <c r="F112" s="23" t="n">
        <v>-780</v>
      </c>
      <c r="G112" s="23" t="n">
        <v>19151.58</v>
      </c>
      <c r="H112" s="18" t="str">
        <v>kontoauszuege/Jonas_2026-02.pdf</v>
      </c>
    </row>
    <row r="113" ht="28" customHeight="1">
      <c r="A113" s="30" t="n">
        <v>46059</v>
      </c>
      <c r="B113" s="30" t="n">
        <v>46059</v>
      </c>
      <c r="C113" s="17" t="str">
        <v>202602-OMA</v>
      </c>
      <c r="D113" s="17" t="str">
        <v>Ursula Bergmann</v>
      </c>
      <c r="E113" s="17" t="str">
        <v>Hilfe Haushalt und Pflege / Dauerauftrag</v>
      </c>
      <c r="F113" s="24" t="n">
        <v>-380</v>
      </c>
      <c r="G113" s="24" t="n">
        <v>18771.58</v>
      </c>
      <c r="H113" s="17" t="str">
        <v>kontoauszuege/Jonas_2026-02.pdf</v>
      </c>
    </row>
    <row r="114" ht="38" customHeight="1">
      <c r="A114" s="29" t="n">
        <v>46065</v>
      </c>
      <c r="B114" s="29" t="n">
        <v>46065</v>
      </c>
      <c r="C114" s="18" t="str">
        <v>202602-KV</v>
      </c>
      <c r="D114" s="18" t="str">
        <v>Krankenkasse</v>
      </c>
      <c r="E114" s="18" t="str">
        <v>Freiwillige Kranken- und Pflegeversicherung</v>
      </c>
      <c r="F114" s="23" t="n">
        <v>-612.44</v>
      </c>
      <c r="G114" s="23" t="n">
        <v>18159.14</v>
      </c>
      <c r="H114" s="18" t="str">
        <v>kontoauszuege/Jonas_2026-02.pdf</v>
      </c>
    </row>
    <row r="115" ht="28" customHeight="1">
      <c r="A115" s="30" t="n">
        <v>46069</v>
      </c>
      <c r="B115" s="30" t="n">
        <v>46069</v>
      </c>
      <c r="C115" s="17" t="str">
        <v>202602-RV</v>
      </c>
      <c r="D115" s="17" t="str">
        <v>Versorgungskasse</v>
      </c>
      <c r="E115" s="17" t="str">
        <v>Altersvorsorge Vertrag RV-62241</v>
      </c>
      <c r="F115" s="24" t="n">
        <v>-260</v>
      </c>
      <c r="G115" s="24" t="n">
        <v>17899.14</v>
      </c>
      <c r="H115" s="17" t="str">
        <v>kontoauszuege/Jonas_2026-02.pdf</v>
      </c>
    </row>
    <row r="116" ht="28" customHeight="1">
      <c r="A116" s="29" t="n">
        <v>46072</v>
      </c>
      <c r="B116" s="29" t="n">
        <v>46072</v>
      </c>
      <c r="C116" s="18" t="str">
        <v>202602-KARTE</v>
      </c>
      <c r="D116" s="18" t="str">
        <v>HavelCard Abrechnung</v>
      </c>
      <c r="E116" s="18" t="str">
        <v>Kartenabrechnung 02/2026 / Jonas</v>
      </c>
      <c r="F116" s="23" t="n">
        <v>-217.72</v>
      </c>
      <c r="G116" s="23" t="n">
        <v>17681.42</v>
      </c>
      <c r="H116" s="18" t="str">
        <v>kontoauszuege/Jonas_2026-02.pdf</v>
      </c>
    </row>
    <row r="117" ht="28" customHeight="1">
      <c r="A117" s="30" t="n">
        <v>46077</v>
      </c>
      <c r="B117" s="30" t="n">
        <v>46077</v>
      </c>
      <c r="C117" s="17" t="str">
        <v>202602-BAR</v>
      </c>
      <c r="D117" s="17" t="str">
        <v>Geldautomat Potsdam</v>
      </c>
      <c r="E117" s="17" t="str">
        <v>Bargeldauszahlung / Karte endet 2208</v>
      </c>
      <c r="F117" s="24" t="n">
        <v>-180</v>
      </c>
      <c r="G117" s="24" t="n">
        <v>17501.42</v>
      </c>
      <c r="H117" s="17" t="str">
        <v>kontoauszuege/Jonas_2026-02.pdf</v>
      </c>
    </row>
    <row r="118" ht="28" customHeight="1">
      <c r="A118" s="29" t="n">
        <v>46083</v>
      </c>
      <c r="B118" s="29" t="n">
        <v>46083</v>
      </c>
      <c r="C118" s="18" t="str">
        <v>202602-GEB-JONAS</v>
      </c>
      <c r="D118" s="18" t="str">
        <v>Havelbogen Bank eG</v>
      </c>
      <c r="E118" s="18" t="str">
        <v>Kontoführung / Monatsentgelt</v>
      </c>
      <c r="F118" s="23" t="n">
        <v>-6.9</v>
      </c>
      <c r="G118" s="23" t="n">
        <v>17494.52</v>
      </c>
      <c r="H118" s="18" t="str">
        <v>kontoauszuege/Jonas_2026-03.pdf</v>
      </c>
    </row>
    <row r="119" ht="28" customHeight="1">
      <c r="A119" s="30" t="n">
        <v>46083</v>
      </c>
      <c r="B119" s="30" t="n">
        <v>46083</v>
      </c>
      <c r="C119" s="17" t="str">
        <v>202603-ENTNAHME</v>
      </c>
      <c r="D119" s="17" t="str">
        <v>Bergmann Licht &amp; Planung</v>
      </c>
      <c r="E119" s="17" t="str">
        <v>Privatentnahme Geschäftskonto 7712</v>
      </c>
      <c r="F119" s="24" t="n">
        <v>5225</v>
      </c>
      <c r="G119" s="24" t="n">
        <v>22719.52</v>
      </c>
      <c r="H119" s="17" t="str">
        <v>kontoauszuege/Jonas_2026-03.pdf</v>
      </c>
    </row>
    <row r="120" ht="28" customHeight="1">
      <c r="A120" s="29" t="n">
        <v>46084</v>
      </c>
      <c r="B120" s="29" t="n">
        <v>46084</v>
      </c>
      <c r="C120" s="18" t="str">
        <v>202603-J-H</v>
      </c>
      <c r="D120" s="18" t="str">
        <v>Mara und Jonas Bergmann</v>
      </c>
      <c r="E120" s="18" t="str">
        <v>Haus und Kinder / Dauerauftrag</v>
      </c>
      <c r="F120" s="23" t="n">
        <v>-950</v>
      </c>
      <c r="G120" s="23" t="n">
        <v>21769.52</v>
      </c>
      <c r="H120" s="18" t="str">
        <v>kontoauszuege/Jonas_2026-03.pdf</v>
      </c>
    </row>
    <row r="121" ht="28" customHeight="1">
      <c r="A121" s="30" t="n">
        <v>46084</v>
      </c>
      <c r="B121" s="30" t="n">
        <v>46084</v>
      </c>
      <c r="C121" s="17" t="str">
        <v>202603-MIETE</v>
      </c>
      <c r="D121" s="17" t="str">
        <v>Sven Hagedorn</v>
      </c>
      <c r="E121" s="17" t="str">
        <v>Miete Feuerbachstraße 9</v>
      </c>
      <c r="F121" s="24" t="n">
        <v>-890</v>
      </c>
      <c r="G121" s="24" t="n">
        <v>20879.52</v>
      </c>
      <c r="H121" s="17" t="str">
        <v>kontoauszuege/Jonas_2026-03.pdf</v>
      </c>
    </row>
    <row r="122" ht="38" customHeight="1">
      <c r="A122" s="29" t="n">
        <v>46085</v>
      </c>
      <c r="B122" s="29" t="n">
        <v>46085</v>
      </c>
      <c r="C122" s="18" t="str">
        <v>202603-J-M</v>
      </c>
      <c r="D122" s="18" t="str">
        <v>Mara Bergmann</v>
      </c>
      <c r="E122" s="18" t="str">
        <v>Für Jule und Oskar / vereinbarter Abschlag</v>
      </c>
      <c r="F122" s="23" t="n">
        <v>-780</v>
      </c>
      <c r="G122" s="23" t="n">
        <v>20099.52</v>
      </c>
      <c r="H122" s="18" t="str">
        <v>kontoauszuege/Jonas_2026-03.pdf</v>
      </c>
    </row>
    <row r="123" ht="28" customHeight="1">
      <c r="A123" s="30" t="n">
        <v>46087</v>
      </c>
      <c r="B123" s="30" t="n">
        <v>46087</v>
      </c>
      <c r="C123" s="17" t="str">
        <v>202603-OMA</v>
      </c>
      <c r="D123" s="17" t="str">
        <v>Ursula Bergmann</v>
      </c>
      <c r="E123" s="17" t="str">
        <v>Hilfe Haushalt und Pflege / Dauerauftrag</v>
      </c>
      <c r="F123" s="24" t="n">
        <v>-380</v>
      </c>
      <c r="G123" s="24" t="n">
        <v>19719.52</v>
      </c>
      <c r="H123" s="17" t="str">
        <v>kontoauszuege/Jonas_2026-03.pdf</v>
      </c>
    </row>
    <row r="124" ht="38" customHeight="1">
      <c r="A124" s="29" t="n">
        <v>46093</v>
      </c>
      <c r="B124" s="29" t="n">
        <v>46093</v>
      </c>
      <c r="C124" s="18" t="str">
        <v>202603-KV</v>
      </c>
      <c r="D124" s="18" t="str">
        <v>Krankenkasse</v>
      </c>
      <c r="E124" s="18" t="str">
        <v>Freiwillige Kranken- und Pflegeversicherung</v>
      </c>
      <c r="F124" s="23" t="n">
        <v>-612.44</v>
      </c>
      <c r="G124" s="23" t="n">
        <v>19107.08</v>
      </c>
      <c r="H124" s="18" t="str">
        <v>kontoauszuege/Jonas_2026-03.pdf</v>
      </c>
    </row>
    <row r="125" ht="28" customHeight="1">
      <c r="A125" s="30" t="n">
        <v>46097</v>
      </c>
      <c r="B125" s="30" t="n">
        <v>46097</v>
      </c>
      <c r="C125" s="17" t="str">
        <v>202603-RV</v>
      </c>
      <c r="D125" s="17" t="str">
        <v>Versorgungskasse</v>
      </c>
      <c r="E125" s="17" t="str">
        <v>Altersvorsorge Vertrag RV-62241</v>
      </c>
      <c r="F125" s="24" t="n">
        <v>-260</v>
      </c>
      <c r="G125" s="24" t="n">
        <v>18847.08</v>
      </c>
      <c r="H125" s="17" t="str">
        <v>kontoauszuege/Jonas_2026-03.pdf</v>
      </c>
    </row>
    <row r="126" ht="28" customHeight="1">
      <c r="A126" s="29" t="n">
        <v>46100</v>
      </c>
      <c r="B126" s="29" t="n">
        <v>46100</v>
      </c>
      <c r="C126" s="18" t="str">
        <v>202603-KARTE</v>
      </c>
      <c r="D126" s="18" t="str">
        <v>HavelCard Abrechnung</v>
      </c>
      <c r="E126" s="18" t="str">
        <v>Kartenabrechnung 03/2026 / Jonas</v>
      </c>
      <c r="F126" s="23" t="n">
        <v>-228.72</v>
      </c>
      <c r="G126" s="23" t="n">
        <v>18618.36</v>
      </c>
      <c r="H126" s="18" t="str">
        <v>kontoauszuege/Jonas_2026-03.pdf</v>
      </c>
    </row>
    <row r="127" ht="28" customHeight="1">
      <c r="A127" s="30" t="n">
        <v>46105</v>
      </c>
      <c r="B127" s="30" t="n">
        <v>46105</v>
      </c>
      <c r="C127" s="17" t="str">
        <v>202603-BAR</v>
      </c>
      <c r="D127" s="17" t="str">
        <v>Geldautomat Potsdam</v>
      </c>
      <c r="E127" s="17" t="str">
        <v>Bargeldauszahlung / Karte endet 2208</v>
      </c>
      <c r="F127" s="24" t="n">
        <v>-180</v>
      </c>
      <c r="G127" s="24" t="n">
        <v>18438.36</v>
      </c>
      <c r="H127" s="17" t="str">
        <v>kontoauszuege/Jonas_2026-03.pdf</v>
      </c>
    </row>
    <row r="128" ht="28" customHeight="1">
      <c r="A128" s="29" t="n">
        <v>46112</v>
      </c>
      <c r="B128" s="29" t="n">
        <v>46112</v>
      </c>
      <c r="C128" s="18" t="str">
        <v>202603-GEB-JONAS</v>
      </c>
      <c r="D128" s="18" t="str">
        <v>Havelbogen Bank eG</v>
      </c>
      <c r="E128" s="18" t="str">
        <v>Kontoführung / Monatsentgelt</v>
      </c>
      <c r="F128" s="23" t="n">
        <v>-6.9</v>
      </c>
      <c r="G128" s="23" t="n">
        <v>18431.46</v>
      </c>
      <c r="H128" s="18" t="str">
        <v>kontoauszuege/Jonas_2026-03.pdf</v>
      </c>
    </row>
    <row r="129" ht="28" customHeight="1">
      <c r="A129" s="30" t="n">
        <v>46114</v>
      </c>
      <c r="B129" s="30" t="n">
        <v>46114</v>
      </c>
      <c r="C129" s="17" t="str">
        <v>202604-ENTNAHME</v>
      </c>
      <c r="D129" s="17" t="str">
        <v>Bergmann Licht &amp; Planung</v>
      </c>
      <c r="E129" s="17" t="str">
        <v>Privatentnahme Geschäftskonto 7712</v>
      </c>
      <c r="F129" s="24" t="n">
        <v>4700</v>
      </c>
      <c r="G129" s="24" t="n">
        <v>23131.46</v>
      </c>
      <c r="H129" s="17" t="str">
        <v>kontoauszuege/Jonas_2026-04.pdf</v>
      </c>
    </row>
    <row r="130" ht="28" customHeight="1">
      <c r="A130" s="29" t="n">
        <v>46119</v>
      </c>
      <c r="B130" s="29" t="n">
        <v>46119</v>
      </c>
      <c r="C130" s="18" t="str">
        <v>202604-J-H</v>
      </c>
      <c r="D130" s="18" t="str">
        <v>Mara und Jonas Bergmann</v>
      </c>
      <c r="E130" s="18" t="str">
        <v>Haus und Kinder / Dauerauftrag</v>
      </c>
      <c r="F130" s="23" t="n">
        <v>-950</v>
      </c>
      <c r="G130" s="23" t="n">
        <v>22181.46</v>
      </c>
      <c r="H130" s="18" t="str">
        <v>kontoauszuege/Jonas_2026-04.pdf</v>
      </c>
    </row>
    <row r="131" ht="38" customHeight="1">
      <c r="A131" s="30" t="n">
        <v>46119</v>
      </c>
      <c r="B131" s="30" t="n">
        <v>46119</v>
      </c>
      <c r="C131" s="17" t="str">
        <v>202604-J-M</v>
      </c>
      <c r="D131" s="17" t="str">
        <v>Mara Bergmann</v>
      </c>
      <c r="E131" s="17" t="str">
        <v>Für Jule und Oskar / vereinbarter Abschlag</v>
      </c>
      <c r="F131" s="24" t="n">
        <v>-780</v>
      </c>
      <c r="G131" s="24" t="n">
        <v>21401.46</v>
      </c>
      <c r="H131" s="17" t="str">
        <v>kontoauszuege/Jonas_2026-04.pdf</v>
      </c>
    </row>
    <row r="132" ht="28" customHeight="1">
      <c r="A132" s="29" t="n">
        <v>46119</v>
      </c>
      <c r="B132" s="29" t="n">
        <v>46119</v>
      </c>
      <c r="C132" s="18" t="str">
        <v>202604-MIETE</v>
      </c>
      <c r="D132" s="18" t="str">
        <v>Sven Hagedorn</v>
      </c>
      <c r="E132" s="18" t="str">
        <v>Miete Feuerbachstraße 9</v>
      </c>
      <c r="F132" s="23" t="n">
        <v>-890</v>
      </c>
      <c r="G132" s="23" t="n">
        <v>20511.46</v>
      </c>
      <c r="H132" s="18" t="str">
        <v>kontoauszuege/Jonas_2026-04.pdf</v>
      </c>
    </row>
    <row r="133" ht="28" customHeight="1">
      <c r="A133" s="30" t="n">
        <v>46119</v>
      </c>
      <c r="B133" s="30" t="n">
        <v>46119</v>
      </c>
      <c r="C133" s="17" t="str">
        <v>202604-OMA</v>
      </c>
      <c r="D133" s="17" t="str">
        <v>Ursula Bergmann</v>
      </c>
      <c r="E133" s="17" t="str">
        <v>Hilfe Haushalt und Pflege / Dauerauftrag</v>
      </c>
      <c r="F133" s="24" t="n">
        <v>-380</v>
      </c>
      <c r="G133" s="24" t="n">
        <v>20131.46</v>
      </c>
      <c r="H133" s="17" t="str">
        <v>kontoauszuege/Jonas_2026-04.pdf</v>
      </c>
    </row>
    <row r="134" ht="38" customHeight="1">
      <c r="A134" s="29" t="n">
        <v>46125</v>
      </c>
      <c r="B134" s="29" t="n">
        <v>46125</v>
      </c>
      <c r="C134" s="18" t="str">
        <v>202604-KV</v>
      </c>
      <c r="D134" s="18" t="str">
        <v>Krankenkasse</v>
      </c>
      <c r="E134" s="18" t="str">
        <v>Freiwillige Kranken- und Pflegeversicherung</v>
      </c>
      <c r="F134" s="23" t="n">
        <v>-612.44</v>
      </c>
      <c r="G134" s="23" t="n">
        <v>19519.02</v>
      </c>
      <c r="H134" s="18" t="str">
        <v>kontoauszuege/Jonas_2026-04.pdf</v>
      </c>
    </row>
    <row r="135" ht="28" customHeight="1">
      <c r="A135" s="30" t="n">
        <v>46126</v>
      </c>
      <c r="B135" s="30" t="n">
        <v>46126</v>
      </c>
      <c r="C135" s="17" t="str">
        <v>202604-RV</v>
      </c>
      <c r="D135" s="17" t="str">
        <v>Versorgungskasse</v>
      </c>
      <c r="E135" s="17" t="str">
        <v>Altersvorsorge Vertrag RV-62241</v>
      </c>
      <c r="F135" s="24" t="n">
        <v>-260</v>
      </c>
      <c r="G135" s="24" t="n">
        <v>19259.02</v>
      </c>
      <c r="H135" s="17" t="str">
        <v>kontoauszuege/Jonas_2026-04.pdf</v>
      </c>
    </row>
    <row r="136" ht="28" customHeight="1">
      <c r="A136" s="29" t="n">
        <v>46132</v>
      </c>
      <c r="B136" s="29" t="n">
        <v>46132</v>
      </c>
      <c r="C136" s="18" t="str">
        <v>202604-KARTE</v>
      </c>
      <c r="D136" s="18" t="str">
        <v>HavelCard Abrechnung</v>
      </c>
      <c r="E136" s="18" t="str">
        <v>Kartenabrechnung 04/2026 / Jonas</v>
      </c>
      <c r="F136" s="23" t="n">
        <v>-239.72</v>
      </c>
      <c r="G136" s="23" t="n">
        <v>19019.3</v>
      </c>
      <c r="H136" s="18" t="str">
        <v>kontoauszuege/Jonas_2026-04.pdf</v>
      </c>
    </row>
    <row r="137" ht="28" customHeight="1">
      <c r="A137" s="30" t="n">
        <v>46136</v>
      </c>
      <c r="B137" s="30" t="n">
        <v>46136</v>
      </c>
      <c r="C137" s="17" t="str">
        <v>202604-BAR</v>
      </c>
      <c r="D137" s="17" t="str">
        <v>Geldautomat Potsdam</v>
      </c>
      <c r="E137" s="17" t="str">
        <v>Bargeldauszahlung / Karte endet 2208</v>
      </c>
      <c r="F137" s="24" t="n">
        <v>-180</v>
      </c>
      <c r="G137" s="24" t="n">
        <v>18839.3</v>
      </c>
      <c r="H137" s="17" t="str">
        <v>kontoauszuege/Jonas_2026-04.pdf</v>
      </c>
    </row>
    <row r="138" ht="28" customHeight="1">
      <c r="A138" s="29" t="n">
        <v>46142</v>
      </c>
      <c r="B138" s="29" t="n">
        <v>46142</v>
      </c>
      <c r="C138" s="18" t="str">
        <v>202604-GEB-JONAS</v>
      </c>
      <c r="D138" s="18" t="str">
        <v>Havelbogen Bank eG</v>
      </c>
      <c r="E138" s="18" t="str">
        <v>Kontoführung / Monatsentgelt</v>
      </c>
      <c r="F138" s="23" t="n">
        <v>-6.9</v>
      </c>
      <c r="G138" s="23" t="n">
        <v>18832.4</v>
      </c>
      <c r="H138" s="18" t="str">
        <v>kontoauszuege/Jonas_2026-04.pdf</v>
      </c>
    </row>
    <row r="139" ht="28" customHeight="1">
      <c r="A139" s="30" t="n">
        <v>46146</v>
      </c>
      <c r="B139" s="30" t="n">
        <v>46146</v>
      </c>
      <c r="C139" s="17" t="str">
        <v>202605-ENTNAHME</v>
      </c>
      <c r="D139" s="17" t="str">
        <v>Bergmann Licht &amp; Planung</v>
      </c>
      <c r="E139" s="17" t="str">
        <v>Privatentnahme Geschäftskonto 7712</v>
      </c>
      <c r="F139" s="24" t="n">
        <v>4875</v>
      </c>
      <c r="G139" s="24" t="n">
        <v>23707.4</v>
      </c>
      <c r="H139" s="17" t="str">
        <v>kontoauszuege/Jonas_2026-05.pdf</v>
      </c>
    </row>
    <row r="140" ht="28" customHeight="1">
      <c r="A140" s="29" t="n">
        <v>46146</v>
      </c>
      <c r="B140" s="29" t="n">
        <v>46146</v>
      </c>
      <c r="C140" s="18" t="str">
        <v>202605-J-H</v>
      </c>
      <c r="D140" s="18" t="str">
        <v>Mara und Jonas Bergmann</v>
      </c>
      <c r="E140" s="18" t="str">
        <v>Haus und Kinder / Dauerauftrag</v>
      </c>
      <c r="F140" s="23" t="n">
        <v>-950</v>
      </c>
      <c r="G140" s="23" t="n">
        <v>22757.4</v>
      </c>
      <c r="H140" s="18" t="str">
        <v>kontoauszuege/Jonas_2026-05.pdf</v>
      </c>
    </row>
    <row r="141" ht="38" customHeight="1">
      <c r="A141" s="30" t="n">
        <v>46146</v>
      </c>
      <c r="B141" s="30" t="n">
        <v>46146</v>
      </c>
      <c r="C141" s="17" t="str">
        <v>202605-J-M</v>
      </c>
      <c r="D141" s="17" t="str">
        <v>Mara Bergmann</v>
      </c>
      <c r="E141" s="17" t="str">
        <v>Für Jule und Oskar / vereinbarter Abschlag</v>
      </c>
      <c r="F141" s="24" t="n">
        <v>-780</v>
      </c>
      <c r="G141" s="24" t="n">
        <v>21977.4</v>
      </c>
      <c r="H141" s="17" t="str">
        <v>kontoauszuege/Jonas_2026-05.pdf</v>
      </c>
    </row>
    <row r="142" ht="28" customHeight="1">
      <c r="A142" s="29" t="n">
        <v>46146</v>
      </c>
      <c r="B142" s="29" t="n">
        <v>46146</v>
      </c>
      <c r="C142" s="18" t="str">
        <v>202605-MIETE</v>
      </c>
      <c r="D142" s="18" t="str">
        <v>Sven Hagedorn</v>
      </c>
      <c r="E142" s="18" t="str">
        <v>Miete Feuerbachstraße 9</v>
      </c>
      <c r="F142" s="23" t="n">
        <v>-890</v>
      </c>
      <c r="G142" s="23" t="n">
        <v>21087.4</v>
      </c>
      <c r="H142" s="18" t="str">
        <v>kontoauszuege/Jonas_2026-05.pdf</v>
      </c>
    </row>
    <row r="143" ht="28" customHeight="1">
      <c r="A143" s="30" t="n">
        <v>46148</v>
      </c>
      <c r="B143" s="30" t="n">
        <v>46148</v>
      </c>
      <c r="C143" s="17" t="str">
        <v>202605-OMA</v>
      </c>
      <c r="D143" s="17" t="str">
        <v>Ursula Bergmann</v>
      </c>
      <c r="E143" s="17" t="str">
        <v>Hilfe Haushalt und Pflege / Dauerauftrag</v>
      </c>
      <c r="F143" s="24" t="n">
        <v>-380</v>
      </c>
      <c r="G143" s="24" t="n">
        <v>20707.4</v>
      </c>
      <c r="H143" s="17" t="str">
        <v>kontoauszuege/Jonas_2026-05.pdf</v>
      </c>
    </row>
    <row r="144" ht="38" customHeight="1">
      <c r="A144" s="29" t="n">
        <v>46154</v>
      </c>
      <c r="B144" s="29" t="n">
        <v>46154</v>
      </c>
      <c r="C144" s="18" t="str">
        <v>202605-KV</v>
      </c>
      <c r="D144" s="18" t="str">
        <v>Krankenkasse</v>
      </c>
      <c r="E144" s="18" t="str">
        <v>Freiwillige Kranken- und Pflegeversicherung</v>
      </c>
      <c r="F144" s="23" t="n">
        <v>-612.44</v>
      </c>
      <c r="G144" s="23" t="n">
        <v>20094.96</v>
      </c>
      <c r="H144" s="18" t="str">
        <v>kontoauszuege/Jonas_2026-05.pdf</v>
      </c>
    </row>
    <row r="145" ht="28" customHeight="1">
      <c r="A145" s="30" t="n">
        <v>46157</v>
      </c>
      <c r="B145" s="30" t="n">
        <v>46157</v>
      </c>
      <c r="C145" s="17" t="str">
        <v>202605-RV</v>
      </c>
      <c r="D145" s="17" t="str">
        <v>Versorgungskasse</v>
      </c>
      <c r="E145" s="17" t="str">
        <v>Altersvorsorge Vertrag RV-62241</v>
      </c>
      <c r="F145" s="24" t="n">
        <v>-260</v>
      </c>
      <c r="G145" s="24" t="n">
        <v>19834.96</v>
      </c>
      <c r="H145" s="17" t="str">
        <v>kontoauszuege/Jonas_2026-05.pdf</v>
      </c>
    </row>
    <row r="146" ht="28" customHeight="1">
      <c r="A146" s="29" t="n">
        <v>46161</v>
      </c>
      <c r="B146" s="29" t="n">
        <v>46161</v>
      </c>
      <c r="C146" s="18" t="str">
        <v>202605-KARTE</v>
      </c>
      <c r="D146" s="18" t="str">
        <v>HavelCard Abrechnung</v>
      </c>
      <c r="E146" s="18" t="str">
        <v>Kartenabrechnung 05/2026 / Jonas</v>
      </c>
      <c r="F146" s="23" t="n">
        <v>-250.72</v>
      </c>
      <c r="G146" s="23" t="n">
        <v>19584.24</v>
      </c>
      <c r="H146" s="18" t="str">
        <v>kontoauszuege/Jonas_2026-05.pdf</v>
      </c>
    </row>
    <row r="147" ht="28" customHeight="1">
      <c r="A147" s="30" t="n">
        <v>46168</v>
      </c>
      <c r="B147" s="30" t="n">
        <v>46168</v>
      </c>
      <c r="C147" s="17" t="str">
        <v>202605-BAR</v>
      </c>
      <c r="D147" s="17" t="str">
        <v>Geldautomat Potsdam</v>
      </c>
      <c r="E147" s="17" t="str">
        <v>Bargeldauszahlung / Karte endet 2208</v>
      </c>
      <c r="F147" s="24" t="n">
        <v>-180</v>
      </c>
      <c r="G147" s="24" t="n">
        <v>19404.24</v>
      </c>
      <c r="H147" s="17" t="str">
        <v>kontoauszuege/Jonas_2026-05.pdf</v>
      </c>
    </row>
    <row r="148" ht="28" customHeight="1">
      <c r="A148" s="29" t="n">
        <v>46174</v>
      </c>
      <c r="B148" s="29" t="n">
        <v>46174</v>
      </c>
      <c r="C148" s="18" t="str">
        <v>202605-GEB-JONAS</v>
      </c>
      <c r="D148" s="18" t="str">
        <v>Havelbogen Bank eG</v>
      </c>
      <c r="E148" s="18" t="str">
        <v>Kontoführung / Monatsentgelt</v>
      </c>
      <c r="F148" s="23" t="n">
        <v>-6.9</v>
      </c>
      <c r="G148" s="23" t="n">
        <v>19397.34</v>
      </c>
      <c r="H148" s="18" t="str">
        <v>kontoauszuege/Jonas_2026-06.pdf</v>
      </c>
    </row>
    <row r="149" ht="28" customHeight="1">
      <c r="A149" s="30" t="n">
        <v>46175</v>
      </c>
      <c r="B149" s="30" t="n">
        <v>46175</v>
      </c>
      <c r="C149" s="17" t="str">
        <v>202606-ENTNAHME</v>
      </c>
      <c r="D149" s="17" t="str">
        <v>Bergmann Licht &amp; Planung</v>
      </c>
      <c r="E149" s="17" t="str">
        <v>Privatentnahme Geschäftskonto 7712</v>
      </c>
      <c r="F149" s="24" t="n">
        <v>5050</v>
      </c>
      <c r="G149" s="24" t="n">
        <v>24447.34</v>
      </c>
      <c r="H149" s="17" t="str">
        <v>kontoauszuege/Jonas_2026-06.pdf</v>
      </c>
    </row>
    <row r="150" ht="28" customHeight="1">
      <c r="A150" s="29" t="n">
        <v>46176</v>
      </c>
      <c r="B150" s="29" t="n">
        <v>46176</v>
      </c>
      <c r="C150" s="18" t="str">
        <v>202606-J-H</v>
      </c>
      <c r="D150" s="18" t="str">
        <v>Mara und Jonas Bergmann</v>
      </c>
      <c r="E150" s="18" t="str">
        <v>Haus und Kinder / Dauerauftrag</v>
      </c>
      <c r="F150" s="23" t="n">
        <v>-950</v>
      </c>
      <c r="G150" s="23" t="n">
        <v>23497.34</v>
      </c>
      <c r="H150" s="18" t="str">
        <v>kontoauszuege/Jonas_2026-06.pdf</v>
      </c>
    </row>
    <row r="151" ht="28" customHeight="1">
      <c r="A151" s="30" t="n">
        <v>46176</v>
      </c>
      <c r="B151" s="30" t="n">
        <v>46176</v>
      </c>
      <c r="C151" s="17" t="str">
        <v>202606-MIETE</v>
      </c>
      <c r="D151" s="17" t="str">
        <v>Sven Hagedorn</v>
      </c>
      <c r="E151" s="17" t="str">
        <v>Miete Feuerbachstraße 9</v>
      </c>
      <c r="F151" s="24" t="n">
        <v>-890</v>
      </c>
      <c r="G151" s="24" t="n">
        <v>22607.34</v>
      </c>
      <c r="H151" s="17" t="str">
        <v>kontoauszuege/Jonas_2026-06.pdf</v>
      </c>
    </row>
    <row r="152" ht="38" customHeight="1">
      <c r="A152" s="29" t="n">
        <v>46177</v>
      </c>
      <c r="B152" s="29" t="n">
        <v>46177</v>
      </c>
      <c r="C152" s="18" t="str">
        <v>202606-J-M</v>
      </c>
      <c r="D152" s="18" t="str">
        <v>Mara Bergmann</v>
      </c>
      <c r="E152" s="18" t="str">
        <v>Für Jule und Oskar / vereinbarter Abschlag</v>
      </c>
      <c r="F152" s="23" t="n">
        <v>-780</v>
      </c>
      <c r="G152" s="23" t="n">
        <v>21827.34</v>
      </c>
      <c r="H152" s="18" t="str">
        <v>kontoauszuege/Jonas_2026-06.pdf</v>
      </c>
    </row>
    <row r="153" ht="28" customHeight="1">
      <c r="A153" s="30" t="n">
        <v>46181</v>
      </c>
      <c r="B153" s="30" t="n">
        <v>46181</v>
      </c>
      <c r="C153" s="17" t="str">
        <v>202606-OMA</v>
      </c>
      <c r="D153" s="17" t="str">
        <v>Ursula Bergmann</v>
      </c>
      <c r="E153" s="17" t="str">
        <v>Hilfe Haushalt und Pflege / Dauerauftrag</v>
      </c>
      <c r="F153" s="24" t="n">
        <v>-380</v>
      </c>
      <c r="G153" s="24" t="n">
        <v>21447.34</v>
      </c>
      <c r="H153" s="17" t="str">
        <v>kontoauszuege/Jonas_2026-06.pdf</v>
      </c>
    </row>
    <row r="154" ht="28" customHeight="1">
      <c r="A154" s="29" t="n">
        <v>46183</v>
      </c>
      <c r="B154" s="29" t="n">
        <v>46183</v>
      </c>
      <c r="C154" s="18" t="str">
        <v>KM-26-610</v>
      </c>
      <c r="D154" s="18" t="str">
        <v>Havelmetall Edelmetalle</v>
      </c>
      <c r="E154" s="18" t="str">
        <v>Ankauf KM-26-610 / eine Münze</v>
      </c>
      <c r="F154" s="23" t="n">
        <v>3120</v>
      </c>
      <c r="G154" s="23" t="n">
        <v>24567.34</v>
      </c>
      <c r="H154" s="18" t="str">
        <v>kontoauszuege/Jonas_2026-06.pdf</v>
      </c>
    </row>
    <row r="155" ht="38" customHeight="1">
      <c r="A155" s="30" t="n">
        <v>46185</v>
      </c>
      <c r="B155" s="30" t="n">
        <v>46185</v>
      </c>
      <c r="C155" s="17" t="str">
        <v>202606-KV</v>
      </c>
      <c r="D155" s="17" t="str">
        <v>Krankenkasse</v>
      </c>
      <c r="E155" s="17" t="str">
        <v>Freiwillige Kranken- und Pflegeversicherung</v>
      </c>
      <c r="F155" s="24" t="n">
        <v>-612.44</v>
      </c>
      <c r="G155" s="24" t="n">
        <v>23954.9</v>
      </c>
      <c r="H155" s="17" t="str">
        <v>kontoauszuege/Jonas_2026-06.pdf</v>
      </c>
    </row>
    <row r="156" ht="28" customHeight="1">
      <c r="A156" s="29" t="n">
        <v>46188</v>
      </c>
      <c r="B156" s="29" t="n">
        <v>46188</v>
      </c>
      <c r="C156" s="18" t="str">
        <v>202606-RV</v>
      </c>
      <c r="D156" s="18" t="str">
        <v>Versorgungskasse</v>
      </c>
      <c r="E156" s="18" t="str">
        <v>Altersvorsorge Vertrag RV-62241</v>
      </c>
      <c r="F156" s="23" t="n">
        <v>-260</v>
      </c>
      <c r="G156" s="23" t="n">
        <v>23694.9</v>
      </c>
      <c r="H156" s="18" t="str">
        <v>kontoauszuege/Jonas_2026-06.pdf</v>
      </c>
    </row>
    <row r="157" ht="28" customHeight="1">
      <c r="A157" s="30" t="n">
        <v>46189</v>
      </c>
      <c r="B157" s="30" t="n">
        <v>46189</v>
      </c>
      <c r="C157" s="17" t="str">
        <v>KK-260615-204</v>
      </c>
      <c r="D157" s="17" t="str">
        <v>KontoKontor Digital GmbH</v>
      </c>
      <c r="E157" s="17" t="str">
        <v>Auszahlung Verkauf KK-260615-204</v>
      </c>
      <c r="F157" s="24" t="n">
        <v>1874.36</v>
      </c>
      <c r="G157" s="24" t="n">
        <v>25569.26</v>
      </c>
      <c r="H157" s="17" t="str">
        <v>kontoauszuege/Jonas_2026-06.pdf</v>
      </c>
    </row>
    <row r="158" ht="28" customHeight="1">
      <c r="A158" s="29" t="n">
        <v>46192</v>
      </c>
      <c r="B158" s="29" t="n">
        <v>46192</v>
      </c>
      <c r="C158" s="18" t="str">
        <v>202606-KARTE</v>
      </c>
      <c r="D158" s="18" t="str">
        <v>HavelCard Abrechnung</v>
      </c>
      <c r="E158" s="18" t="str">
        <v>Kartenabrechnung 06/2026 / Jonas</v>
      </c>
      <c r="F158" s="23" t="n">
        <v>-261.72</v>
      </c>
      <c r="G158" s="23" t="n">
        <v>25307.54</v>
      </c>
      <c r="H158" s="18" t="str">
        <v>kontoauszuege/Jonas_2026-06.pdf</v>
      </c>
    </row>
    <row r="159" ht="28" customHeight="1">
      <c r="A159" s="30" t="n">
        <v>46197</v>
      </c>
      <c r="B159" s="30" t="n">
        <v>46197</v>
      </c>
      <c r="C159" s="17" t="str">
        <v>202606-BAR</v>
      </c>
      <c r="D159" s="17" t="str">
        <v>Geldautomat Potsdam</v>
      </c>
      <c r="E159" s="17" t="str">
        <v>Bargeldauszahlung / Karte endet 2208</v>
      </c>
      <c r="F159" s="24" t="n">
        <v>-180</v>
      </c>
      <c r="G159" s="24" t="n">
        <v>25127.54</v>
      </c>
      <c r="H159" s="17" t="str">
        <v>kontoauszuege/Jonas_2026-06.pdf</v>
      </c>
    </row>
    <row r="160" ht="28" customHeight="1">
      <c r="A160" s="29" t="n">
        <v>46203</v>
      </c>
      <c r="B160" s="29" t="n">
        <v>46203</v>
      </c>
      <c r="C160" s="18" t="str">
        <v>202606-GEB-JONAS</v>
      </c>
      <c r="D160" s="18" t="str">
        <v>Havelbogen Bank eG</v>
      </c>
      <c r="E160" s="18" t="str">
        <v>Kontoführung / Monatsentgelt</v>
      </c>
      <c r="F160" s="23" t="n">
        <v>-6.9</v>
      </c>
      <c r="G160" s="23" t="n">
        <v>25120.64</v>
      </c>
      <c r="H160" s="18" t="str">
        <v>kontoauszuege/Jonas_2026-06.pdf</v>
      </c>
    </row>
    <row r="161" ht="28" customHeight="1">
      <c r="A161" s="30" t="n">
        <v>46205</v>
      </c>
      <c r="B161" s="30" t="n">
        <v>46205</v>
      </c>
      <c r="C161" s="17" t="str">
        <v>202607-ENTNAHME</v>
      </c>
      <c r="D161" s="17" t="str">
        <v>Bergmann Licht &amp; Planung</v>
      </c>
      <c r="E161" s="17" t="str">
        <v>Privatentnahme Geschäftskonto 7712</v>
      </c>
      <c r="F161" s="24" t="n">
        <v>5225</v>
      </c>
      <c r="G161" s="24" t="n">
        <v>30345.64</v>
      </c>
      <c r="H161" s="17" t="str">
        <v>kontoauszuege/Jonas_2026-07.pdf</v>
      </c>
    </row>
    <row r="162" ht="28" customHeight="1">
      <c r="A162" s="29" t="n">
        <v>46206</v>
      </c>
      <c r="B162" s="29" t="n">
        <v>46206</v>
      </c>
      <c r="C162" s="18" t="str">
        <v>202607-J-H</v>
      </c>
      <c r="D162" s="18" t="str">
        <v>Mara und Jonas Bergmann</v>
      </c>
      <c r="E162" s="18" t="str">
        <v>Haus und Kinder / Dauerauftrag</v>
      </c>
      <c r="F162" s="23" t="n">
        <v>-950</v>
      </c>
      <c r="G162" s="23" t="n">
        <v>29395.64</v>
      </c>
      <c r="H162" s="18" t="str">
        <v>kontoauszuege/Jonas_2026-07.pdf</v>
      </c>
    </row>
    <row r="163" ht="28" customHeight="1">
      <c r="A163" s="30" t="n">
        <v>46206</v>
      </c>
      <c r="B163" s="30" t="n">
        <v>46206</v>
      </c>
      <c r="C163" s="17" t="str">
        <v>202607-MIETE</v>
      </c>
      <c r="D163" s="17" t="str">
        <v>Sven Hagedorn</v>
      </c>
      <c r="E163" s="17" t="str">
        <v>Miete Feuerbachstraße 9</v>
      </c>
      <c r="F163" s="24" t="n">
        <v>-890</v>
      </c>
      <c r="G163" s="24" t="n">
        <v>28505.64</v>
      </c>
      <c r="H163" s="17" t="str">
        <v>kontoauszuege/Jonas_2026-07.pdf</v>
      </c>
    </row>
    <row r="164" ht="38" customHeight="1">
      <c r="A164" s="29" t="n">
        <v>46209</v>
      </c>
      <c r="B164" s="29" t="n">
        <v>46209</v>
      </c>
      <c r="C164" s="18" t="str">
        <v>202607-J-M</v>
      </c>
      <c r="D164" s="18" t="str">
        <v>Mara Bergmann</v>
      </c>
      <c r="E164" s="18" t="str">
        <v>Für Jule und Oskar / vereinbarter Abschlag</v>
      </c>
      <c r="F164" s="23" t="n">
        <v>-780</v>
      </c>
      <c r="G164" s="23" t="n">
        <v>27725.64</v>
      </c>
      <c r="H164" s="18" t="str">
        <v>kontoauszuege/Jonas_2026-07.pdf</v>
      </c>
    </row>
    <row r="165" ht="28" customHeight="1">
      <c r="A165" s="30" t="n">
        <v>46209</v>
      </c>
      <c r="B165" s="30" t="n">
        <v>46209</v>
      </c>
      <c r="C165" s="17" t="str">
        <v>202607-OMA</v>
      </c>
      <c r="D165" s="17" t="str">
        <v>Ursula Bergmann</v>
      </c>
      <c r="E165" s="17" t="str">
        <v>Hilfe Haushalt und Pflege / Dauerauftrag</v>
      </c>
      <c r="F165" s="24" t="n">
        <v>-380</v>
      </c>
      <c r="G165" s="24" t="n">
        <v>27345.64</v>
      </c>
      <c r="H165" s="17" t="str">
        <v>kontoauszuege/Jonas_2026-07.pdf</v>
      </c>
    </row>
  </sheetData>
  <printOptions gridLines="0" headings="0"/>
  <pageMargins left="0.3" right="0.3" top="0.35" bottom="0.4" header="0.15" footer="0.18"/>
  <pageSetup paperSize="8" orientation="landscape" fitToWidth="1" fitToHeight="0"/>
  <headerFooter>
    <oddFooter>&amp;LFamilie Bergmann, Potsdam&amp;CJonas&amp;RSeite &amp;P von &amp;N</oddFooter>
  </headerFooter>
  <tableParts count="1">
    <tablePart xmlns:r="http://schemas.openxmlformats.org/officeDocument/2006/relationships" r:id="R3b99665df8e94547"/>
  </tableParts>
</worksheet>
</file>

<file path=xl/worksheets/sheet3.xml><?xml version="1.0" encoding="utf-8"?>
<worksheet xmlns="http://schemas.openxmlformats.org/spreadsheetml/2006/main">
  <sheetPr>
    <tabColor rgb="FF375B4C"/>
    <pageSetUpPr fitToPage="1"/>
  </sheetPr>
  <sheetViews>
    <sheetView showGridLines="0" workbookViewId="0">
      <pane xSplit="1" ySplit="9" topLeftCell="B10" activePane="bottomRight" state="frozen"/>
    </sheetView>
  </sheetViews>
  <sheetFormatPr defaultRowHeight="15"/>
  <cols>
    <col min="1" max="1" width="14" hidden="0" customWidth="1"/>
    <col min="2" max="2" width="14" hidden="0" customWidth="1"/>
    <col min="3" max="3" width="22.670000076293945" hidden="0" customWidth="1"/>
    <col min="4" max="4" width="25.780000686645508" hidden="0" customWidth="1"/>
    <col min="5" max="5" width="34.439998626708984" hidden="0" customWidth="1"/>
    <col min="6" max="6" width="14.670000076293945" hidden="0" customWidth="1"/>
    <col min="7" max="7" width="14.670000076293945" hidden="0" customWidth="1"/>
    <col min="8" max="8" width="36.66999816894531" hidden="0" customWidth="1"/>
  </cols>
  <sheetData>
    <row r="1" ht="9" customHeight="1">
      <c r="A1" s="2"/>
      <c r="B1" s="2"/>
      <c r="C1" s="2"/>
      <c r="D1" s="2"/>
      <c r="E1" s="2"/>
      <c r="F1" s="2"/>
      <c r="G1" s="2"/>
      <c r="H1" s="2"/>
    </row>
    <row r="2" ht="30" customHeight="1">
      <c r="A2" s="3" t="str">
        <v>Kontoumsätze 2025/2026</v>
      </c>
      <c r="B2" s="2"/>
      <c r="C2" s="2"/>
      <c r="D2" s="2"/>
      <c r="E2" s="2"/>
      <c r="F2" s="2"/>
      <c r="G2" s="2"/>
      <c r="H2" s="2"/>
    </row>
    <row r="3" ht="24" customHeight="1">
      <c r="A3" s="2" t="str">
        <v>Konto Haushalt. Kontoinhaber: Mara und Jonas Bergmann</v>
      </c>
      <c r="B3" s="2"/>
      <c r="C3" s="2"/>
      <c r="D3" s="2"/>
      <c r="E3" s="2"/>
      <c r="F3" s="2"/>
      <c r="G3" s="2"/>
      <c r="H3" s="2"/>
    </row>
    <row r="4" ht="24" customHeight="1">
      <c r="A4" s="4" t="str">
        <v>Familie Bergmann, Potsdam. Buchungen 01.04.2025 bis 08.07.2026 mit Vortrag zum 31.03.2025.</v>
      </c>
      <c r="B4" s="4"/>
      <c r="C4" s="4"/>
      <c r="D4" s="4"/>
      <c r="E4" s="4"/>
      <c r="F4" s="4"/>
      <c r="G4" s="4"/>
      <c r="H4" s="4"/>
    </row>
    <row r="5" ht="24" customHeight="1">
      <c r="A5" s="2"/>
      <c r="B5" s="2"/>
      <c r="C5" s="2"/>
      <c r="D5" s="2"/>
      <c r="E5" s="2"/>
      <c r="F5" s="2"/>
      <c r="G5" s="2"/>
      <c r="H5" s="2"/>
    </row>
    <row r="6" ht="24" customHeight="1">
      <c r="A6" s="2" t="str">
        <v>Eingänge EUR</v>
      </c>
      <c r="B6" s="33" t="n">
        <f>SUMIFS(F10:F199,F10:F199,"&gt;0")</f>
        <v>55500</v>
      </c>
      <c r="C6" s="2"/>
      <c r="D6" s="2" t="str">
        <v>Ausgänge EUR</v>
      </c>
      <c r="E6" s="33" t="n">
        <f>SUMIFS(F10:F199,F10:F199,"&lt;0")</f>
        <v>-43567.000000000015</v>
      </c>
      <c r="F6" s="2"/>
      <c r="G6" s="2" t="str">
        <v>Endsaldo EUR</v>
      </c>
      <c r="H6" s="34" t="n">
        <v>18208.8</v>
      </c>
    </row>
    <row r="7" ht="24" customHeight="1">
      <c r="A7" s="5" t="str">
        <v>Quelle: zahlenwerk/Konto_Haushalt_2025_2026.csv</v>
      </c>
      <c r="B7" s="2"/>
      <c r="C7" s="2"/>
      <c r="D7" s="2"/>
      <c r="E7" s="2"/>
      <c r="F7" s="2"/>
      <c r="G7" s="2"/>
      <c r="H7" s="2"/>
    </row>
    <row r="8" ht="8" customHeight="1">
      <c r="A8" s="2"/>
      <c r="B8" s="2"/>
      <c r="C8" s="2"/>
      <c r="D8" s="2"/>
      <c r="E8" s="2"/>
      <c r="F8" s="2"/>
      <c r="G8" s="2"/>
      <c r="H8" s="2"/>
    </row>
    <row r="9" ht="38" customHeight="1">
      <c r="A9" s="14" t="str">
        <v>Buchungstag</v>
      </c>
      <c r="B9" s="15" t="str">
        <v>Valuta</v>
      </c>
      <c r="C9" s="15" t="str">
        <v>Referenz</v>
      </c>
      <c r="D9" s="15" t="str">
        <v>Auftraggeber / Empfänger</v>
      </c>
      <c r="E9" s="15" t="str">
        <v>Buchungstext</v>
      </c>
      <c r="F9" s="15" t="str">
        <v>Betrag EUR</v>
      </c>
      <c r="G9" s="15" t="str">
        <v>Saldo EUR</v>
      </c>
      <c r="H9" s="16" t="str">
        <v>Belegdatei</v>
      </c>
    </row>
    <row r="10" ht="28" customHeight="1">
      <c r="A10" s="35" t="n">
        <v>45747</v>
      </c>
      <c r="B10" s="35" t="n">
        <v>45747</v>
      </c>
      <c r="C10" s="36" t="str">
        <v>VORTRAG</v>
      </c>
      <c r="D10" s="36" t="str">
        <v>Havelbogen Bank eG</v>
      </c>
      <c r="E10" s="36" t="str">
        <v>Saldovortrag 31.03.2025</v>
      </c>
      <c r="F10" s="37" t="n">
        <v>0</v>
      </c>
      <c r="G10" s="37" t="n">
        <v>6275.8</v>
      </c>
      <c r="H10" s="36" t="str">
        <v>belege/Saldenbestaetigung_2025-04-01.pdf</v>
      </c>
    </row>
    <row r="11" ht="28" customHeight="1">
      <c r="A11" s="30" t="n">
        <v>45749</v>
      </c>
      <c r="B11" s="30" t="n">
        <v>45749</v>
      </c>
      <c r="C11" s="17" t="str">
        <v>202504-M-H</v>
      </c>
      <c r="D11" s="17" t="str">
        <v>Mara Bergmann</v>
      </c>
      <c r="E11" s="17" t="str">
        <v>Übertrag Privatkonto 4401</v>
      </c>
      <c r="F11" s="24" t="n">
        <v>2300</v>
      </c>
      <c r="G11" s="24" t="n">
        <v>8575.8</v>
      </c>
      <c r="H11" s="17" t="str">
        <v>kontoauszuege/Haushalt_2025-04.pdf</v>
      </c>
    </row>
    <row r="12" ht="28" customHeight="1">
      <c r="A12" s="29" t="n">
        <v>45750</v>
      </c>
      <c r="B12" s="29" t="n">
        <v>45750</v>
      </c>
      <c r="C12" s="18" t="str">
        <v>202504-J-H</v>
      </c>
      <c r="D12" s="18" t="str">
        <v>Jonas Bergmann</v>
      </c>
      <c r="E12" s="18" t="str">
        <v>Übertrag Privatkonto 4402</v>
      </c>
      <c r="F12" s="23" t="n">
        <v>950</v>
      </c>
      <c r="G12" s="23" t="n">
        <v>9525.8</v>
      </c>
      <c r="H12" s="18" t="str">
        <v>kontoauszuege/Haushalt_2025-04.pdf</v>
      </c>
    </row>
    <row r="13" ht="28" customHeight="1">
      <c r="A13" s="30" t="n">
        <v>45754</v>
      </c>
      <c r="B13" s="30" t="n">
        <v>45754</v>
      </c>
      <c r="C13" s="17" t="str">
        <v>202504-HD</v>
      </c>
      <c r="D13" s="17" t="str">
        <v>Havelbogen Bank eG</v>
      </c>
      <c r="E13" s="17" t="str">
        <v>Annuität HD-2014-731</v>
      </c>
      <c r="F13" s="24" t="n">
        <v>-1380</v>
      </c>
      <c r="G13" s="24" t="n">
        <v>8145.8</v>
      </c>
      <c r="H13" s="17" t="str">
        <v>kontoauszuege/Haushalt_2025-04.pdf</v>
      </c>
    </row>
    <row r="14" ht="28" customHeight="1">
      <c r="A14" s="29" t="n">
        <v>45755</v>
      </c>
      <c r="B14" s="29" t="n">
        <v>45755</v>
      </c>
      <c r="C14" s="18" t="str">
        <v>202504-ENERGIE</v>
      </c>
      <c r="D14" s="18" t="str">
        <v>Stadtwerke Potsdam</v>
      </c>
      <c r="E14" s="18" t="str">
        <v>Strom und Wärme / Abschlag 7318</v>
      </c>
      <c r="F14" s="23" t="n">
        <v>-310</v>
      </c>
      <c r="G14" s="23" t="n">
        <v>7835.8</v>
      </c>
      <c r="H14" s="18" t="str">
        <v>kontoauszuege/Haushalt_2025-04.pdf</v>
      </c>
    </row>
    <row r="15" ht="28" customHeight="1">
      <c r="A15" s="30" t="n">
        <v>45757</v>
      </c>
      <c r="B15" s="30" t="n">
        <v>45757</v>
      </c>
      <c r="C15" s="17" t="str">
        <v>202504-ESSEN</v>
      </c>
      <c r="D15" s="17" t="str">
        <v>Schulcatering Havelküche</v>
      </c>
      <c r="E15" s="17" t="str">
        <v>Jule / Oskar / Monatsabrechnung</v>
      </c>
      <c r="F15" s="24" t="n">
        <v>-124.6</v>
      </c>
      <c r="G15" s="24" t="n">
        <v>7711.2</v>
      </c>
      <c r="H15" s="17" t="str">
        <v>kontoauszuege/Haushalt_2025-04.pdf</v>
      </c>
    </row>
    <row r="16" ht="28" customHeight="1">
      <c r="A16" s="29" t="n">
        <v>45761</v>
      </c>
      <c r="B16" s="29" t="n">
        <v>45761</v>
      </c>
      <c r="C16" s="18" t="str">
        <v>202504-SPORT</v>
      </c>
      <c r="D16" s="18" t="str">
        <v>Turnverein Bornim</v>
      </c>
      <c r="E16" s="18" t="str">
        <v>Beiträge Jule und Oskar</v>
      </c>
      <c r="F16" s="23" t="n">
        <v>-48</v>
      </c>
      <c r="G16" s="23" t="n">
        <v>7663.2</v>
      </c>
      <c r="H16" s="18" t="str">
        <v>kontoauszuege/Haushalt_2025-04.pdf</v>
      </c>
    </row>
    <row r="17" ht="28" customHeight="1">
      <c r="A17" s="30" t="n">
        <v>45762</v>
      </c>
      <c r="B17" s="30" t="n">
        <v>45762</v>
      </c>
      <c r="C17" s="17" t="str">
        <v>202504-NETZ</v>
      </c>
      <c r="D17" s="17" t="str">
        <v>Telekommunikation</v>
      </c>
      <c r="E17" s="17" t="str">
        <v>Internet Kastanienweg 18</v>
      </c>
      <c r="F17" s="24" t="n">
        <v>-44.9</v>
      </c>
      <c r="G17" s="24" t="n">
        <v>7618.3</v>
      </c>
      <c r="H17" s="17" t="str">
        <v>kontoauszuege/Haushalt_2025-04.pdf</v>
      </c>
    </row>
    <row r="18" ht="28" customHeight="1">
      <c r="A18" s="29" t="n">
        <v>45769</v>
      </c>
      <c r="B18" s="29" t="n">
        <v>45769</v>
      </c>
      <c r="C18" s="18" t="str">
        <v>202504-MARKT1</v>
      </c>
      <c r="D18" s="18" t="str">
        <v>Markt am Bornstedter Feld</v>
      </c>
      <c r="E18" s="18" t="str">
        <v>Kartenzahlung Haushalt</v>
      </c>
      <c r="F18" s="23" t="n">
        <v>-198.43</v>
      </c>
      <c r="G18" s="23" t="n">
        <v>7419.87</v>
      </c>
      <c r="H18" s="18" t="str">
        <v>kontoauszuege/Haushalt_2025-04.pdf</v>
      </c>
    </row>
    <row r="19" ht="28" customHeight="1">
      <c r="A19" s="30" t="n">
        <v>45769</v>
      </c>
      <c r="B19" s="30" t="n">
        <v>45769</v>
      </c>
      <c r="C19" s="17" t="str">
        <v>202504-MARKT2</v>
      </c>
      <c r="D19" s="17" t="str">
        <v>Lebensmittelmarkt Potsdam</v>
      </c>
      <c r="E19" s="17" t="str">
        <v>Kartenzahlung Haushalt</v>
      </c>
      <c r="F19" s="24" t="n">
        <v>-165.16</v>
      </c>
      <c r="G19" s="24" t="n">
        <v>7254.71</v>
      </c>
      <c r="H19" s="17" t="str">
        <v>kontoauszuege/Haushalt_2025-04.pdf</v>
      </c>
    </row>
    <row r="20" ht="28" customHeight="1">
      <c r="A20" s="29" t="n">
        <v>45775</v>
      </c>
      <c r="B20" s="29" t="n">
        <v>45775</v>
      </c>
      <c r="C20" s="18" t="str">
        <v>202504-DROGERIE</v>
      </c>
      <c r="D20" s="18" t="str">
        <v>Drogerie am Park</v>
      </c>
      <c r="E20" s="18" t="str">
        <v>Kartenzahlung / Haushalt und Schulbedarf</v>
      </c>
      <c r="F20" s="23" t="n">
        <v>-76.35</v>
      </c>
      <c r="G20" s="23" t="n">
        <v>7178.36</v>
      </c>
      <c r="H20" s="18" t="str">
        <v>kontoauszuege/Haushalt_2025-04.pdf</v>
      </c>
    </row>
    <row r="21" ht="28" customHeight="1">
      <c r="A21" s="30" t="n">
        <v>45775</v>
      </c>
      <c r="B21" s="30" t="n">
        <v>45775</v>
      </c>
      <c r="C21" s="17" t="str">
        <v>202504-GEB</v>
      </c>
      <c r="D21" s="17" t="str">
        <v>Waldsee Versicherung</v>
      </c>
      <c r="E21" s="17" t="str">
        <v>Wohngebäude / Monatsrate</v>
      </c>
      <c r="F21" s="24" t="n">
        <v>-39.8</v>
      </c>
      <c r="G21" s="24" t="n">
        <v>7138.56</v>
      </c>
      <c r="H21" s="17" t="str">
        <v>kontoauszuege/Haushalt_2025-04.pdf</v>
      </c>
    </row>
    <row r="22" ht="28" customHeight="1">
      <c r="A22" s="29" t="n">
        <v>45777</v>
      </c>
      <c r="B22" s="29" t="n">
        <v>45777</v>
      </c>
      <c r="C22" s="18" t="str">
        <v>202504-GEB-HAUSHALT</v>
      </c>
      <c r="D22" s="18" t="str">
        <v>Havelbogen Bank eG</v>
      </c>
      <c r="E22" s="18" t="str">
        <v>Kontoführung / Monatsentgelt</v>
      </c>
      <c r="F22" s="23" t="n">
        <v>-6.9</v>
      </c>
      <c r="G22" s="23" t="n">
        <v>7131.66</v>
      </c>
      <c r="H22" s="18" t="str">
        <v>kontoauszuege/Haushalt_2025-04.pdf</v>
      </c>
    </row>
    <row r="23" ht="28" customHeight="1">
      <c r="A23" s="30" t="n">
        <v>45779</v>
      </c>
      <c r="B23" s="30" t="n">
        <v>45779</v>
      </c>
      <c r="C23" s="17" t="str">
        <v>202505-M-H</v>
      </c>
      <c r="D23" s="17" t="str">
        <v>Mara Bergmann</v>
      </c>
      <c r="E23" s="17" t="str">
        <v>Übertrag Privatkonto 4401</v>
      </c>
      <c r="F23" s="24" t="n">
        <v>2300</v>
      </c>
      <c r="G23" s="24" t="n">
        <v>9431.66</v>
      </c>
      <c r="H23" s="17" t="str">
        <v>kontoauszuege/Haushalt_2025-05.pdf</v>
      </c>
    </row>
    <row r="24" ht="28" customHeight="1">
      <c r="A24" s="29" t="n">
        <v>45782</v>
      </c>
      <c r="B24" s="29" t="n">
        <v>45782</v>
      </c>
      <c r="C24" s="18" t="str">
        <v>202505-HD</v>
      </c>
      <c r="D24" s="18" t="str">
        <v>Havelbogen Bank eG</v>
      </c>
      <c r="E24" s="18" t="str">
        <v>Annuität HD-2014-731</v>
      </c>
      <c r="F24" s="23" t="n">
        <v>-1380</v>
      </c>
      <c r="G24" s="23" t="n">
        <v>8051.66</v>
      </c>
      <c r="H24" s="18" t="str">
        <v>kontoauszuege/Haushalt_2025-05.pdf</v>
      </c>
    </row>
    <row r="25" ht="28" customHeight="1">
      <c r="A25" s="30" t="n">
        <v>45782</v>
      </c>
      <c r="B25" s="30" t="n">
        <v>45782</v>
      </c>
      <c r="C25" s="17" t="str">
        <v>202505-J-H</v>
      </c>
      <c r="D25" s="17" t="str">
        <v>Jonas Bergmann</v>
      </c>
      <c r="E25" s="17" t="str">
        <v>Übertrag Privatkonto 4402</v>
      </c>
      <c r="F25" s="24" t="n">
        <v>950</v>
      </c>
      <c r="G25" s="24" t="n">
        <v>9001.66</v>
      </c>
      <c r="H25" s="17" t="str">
        <v>kontoauszuege/Haushalt_2025-05.pdf</v>
      </c>
    </row>
    <row r="26" ht="28" customHeight="1">
      <c r="A26" s="29" t="n">
        <v>45785</v>
      </c>
      <c r="B26" s="29" t="n">
        <v>45785</v>
      </c>
      <c r="C26" s="18" t="str">
        <v>202505-ENERGIE</v>
      </c>
      <c r="D26" s="18" t="str">
        <v>Stadtwerke Potsdam</v>
      </c>
      <c r="E26" s="18" t="str">
        <v>Strom und Wärme / Abschlag 7318</v>
      </c>
      <c r="F26" s="23" t="n">
        <v>-310</v>
      </c>
      <c r="G26" s="23" t="n">
        <v>8691.66</v>
      </c>
      <c r="H26" s="18" t="str">
        <v>kontoauszuege/Haushalt_2025-05.pdf</v>
      </c>
    </row>
    <row r="27" ht="28" customHeight="1">
      <c r="A27" s="30" t="n">
        <v>45789</v>
      </c>
      <c r="B27" s="30" t="n">
        <v>45789</v>
      </c>
      <c r="C27" s="17" t="str">
        <v>202505-ESSEN</v>
      </c>
      <c r="D27" s="17" t="str">
        <v>Schulcatering Havelküche</v>
      </c>
      <c r="E27" s="17" t="str">
        <v>Jule / Oskar / Monatsabrechnung</v>
      </c>
      <c r="F27" s="24" t="n">
        <v>-124.6</v>
      </c>
      <c r="G27" s="24" t="n">
        <v>8567.06</v>
      </c>
      <c r="H27" s="17" t="str">
        <v>kontoauszuege/Haushalt_2025-05.pdf</v>
      </c>
    </row>
    <row r="28" ht="28" customHeight="1">
      <c r="A28" s="29" t="n">
        <v>45789</v>
      </c>
      <c r="B28" s="29" t="n">
        <v>45789</v>
      </c>
      <c r="C28" s="18" t="str">
        <v>202505-SPORT</v>
      </c>
      <c r="D28" s="18" t="str">
        <v>Turnverein Bornim</v>
      </c>
      <c r="E28" s="18" t="str">
        <v>Beiträge Jule und Oskar</v>
      </c>
      <c r="F28" s="23" t="n">
        <v>-48</v>
      </c>
      <c r="G28" s="23" t="n">
        <v>8519.06</v>
      </c>
      <c r="H28" s="18" t="str">
        <v>kontoauszuege/Haushalt_2025-05.pdf</v>
      </c>
    </row>
    <row r="29" ht="28" customHeight="1">
      <c r="A29" s="30" t="n">
        <v>45792</v>
      </c>
      <c r="B29" s="30" t="n">
        <v>45792</v>
      </c>
      <c r="C29" s="17" t="str">
        <v>202505-NETZ</v>
      </c>
      <c r="D29" s="17" t="str">
        <v>Telekommunikation</v>
      </c>
      <c r="E29" s="17" t="str">
        <v>Internet Kastanienweg 18</v>
      </c>
      <c r="F29" s="24" t="n">
        <v>-44.9</v>
      </c>
      <c r="G29" s="24" t="n">
        <v>8474.16</v>
      </c>
      <c r="H29" s="17" t="str">
        <v>kontoauszuege/Haushalt_2025-05.pdf</v>
      </c>
    </row>
    <row r="30" ht="28" customHeight="1">
      <c r="A30" s="29" t="n">
        <v>45796</v>
      </c>
      <c r="B30" s="29" t="n">
        <v>45796</v>
      </c>
      <c r="C30" s="18" t="str">
        <v>202505-MARKT1</v>
      </c>
      <c r="D30" s="18" t="str">
        <v>Markt am Bornstedter Feld</v>
      </c>
      <c r="E30" s="18" t="str">
        <v>Kartenzahlung Haushalt</v>
      </c>
      <c r="F30" s="23" t="n">
        <v>-201.43</v>
      </c>
      <c r="G30" s="23" t="n">
        <v>8272.73</v>
      </c>
      <c r="H30" s="18" t="str">
        <v>kontoauszuege/Haushalt_2025-05.pdf</v>
      </c>
    </row>
    <row r="31" ht="28" customHeight="1">
      <c r="A31" s="30" t="n">
        <v>45799</v>
      </c>
      <c r="B31" s="30" t="n">
        <v>45799</v>
      </c>
      <c r="C31" s="17" t="str">
        <v>202505-MARKT2</v>
      </c>
      <c r="D31" s="17" t="str">
        <v>Lebensmittelmarkt Potsdam</v>
      </c>
      <c r="E31" s="17" t="str">
        <v>Kartenzahlung Haushalt</v>
      </c>
      <c r="F31" s="24" t="n">
        <v>-169.16</v>
      </c>
      <c r="G31" s="24" t="n">
        <v>8103.57</v>
      </c>
      <c r="H31" s="17" t="str">
        <v>kontoauszuege/Haushalt_2025-05.pdf</v>
      </c>
    </row>
    <row r="32" ht="28" customHeight="1">
      <c r="A32" s="29" t="n">
        <v>45803</v>
      </c>
      <c r="B32" s="29" t="n">
        <v>45803</v>
      </c>
      <c r="C32" s="18" t="str">
        <v>202505-GEB</v>
      </c>
      <c r="D32" s="18" t="str">
        <v>Waldsee Versicherung</v>
      </c>
      <c r="E32" s="18" t="str">
        <v>Wohngebäude / Monatsrate</v>
      </c>
      <c r="F32" s="23" t="n">
        <v>-39.8</v>
      </c>
      <c r="G32" s="23" t="n">
        <v>8063.77</v>
      </c>
      <c r="H32" s="18" t="str">
        <v>kontoauszuege/Haushalt_2025-05.pdf</v>
      </c>
    </row>
    <row r="33" ht="28" customHeight="1">
      <c r="A33" s="30" t="n">
        <v>45805</v>
      </c>
      <c r="B33" s="30" t="n">
        <v>45805</v>
      </c>
      <c r="C33" s="17" t="str">
        <v>202505-DROGERIE</v>
      </c>
      <c r="D33" s="17" t="str">
        <v>Drogerie am Park</v>
      </c>
      <c r="E33" s="17" t="str">
        <v>Kartenzahlung / Haushalt und Schulbedarf</v>
      </c>
      <c r="F33" s="24" t="n">
        <v>-78.35</v>
      </c>
      <c r="G33" s="24" t="n">
        <v>7985.42</v>
      </c>
      <c r="H33" s="17" t="str">
        <v>kontoauszuege/Haushalt_2025-05.pdf</v>
      </c>
    </row>
    <row r="34" ht="28" customHeight="1">
      <c r="A34" s="29" t="n">
        <v>45810</v>
      </c>
      <c r="B34" s="29" t="n">
        <v>45810</v>
      </c>
      <c r="C34" s="18" t="str">
        <v>202505-GEB-HAUSHALT</v>
      </c>
      <c r="D34" s="18" t="str">
        <v>Havelbogen Bank eG</v>
      </c>
      <c r="E34" s="18" t="str">
        <v>Kontoführung / Monatsentgelt</v>
      </c>
      <c r="F34" s="23" t="n">
        <v>-6.9</v>
      </c>
      <c r="G34" s="23" t="n">
        <v>7978.52</v>
      </c>
      <c r="H34" s="18" t="str">
        <v>kontoauszuege/Haushalt_2025-06.pdf</v>
      </c>
    </row>
    <row r="35" ht="28" customHeight="1">
      <c r="A35" s="30" t="n">
        <v>45810</v>
      </c>
      <c r="B35" s="30" t="n">
        <v>45810</v>
      </c>
      <c r="C35" s="17" t="str">
        <v>202506-M-H</v>
      </c>
      <c r="D35" s="17" t="str">
        <v>Mara Bergmann</v>
      </c>
      <c r="E35" s="17" t="str">
        <v>Übertrag Privatkonto 4401</v>
      </c>
      <c r="F35" s="24" t="n">
        <v>2300</v>
      </c>
      <c r="G35" s="24" t="n">
        <v>10278.52</v>
      </c>
      <c r="H35" s="17" t="str">
        <v>kontoauszuege/Haushalt_2025-06.pdf</v>
      </c>
    </row>
    <row r="36" ht="28" customHeight="1">
      <c r="A36" s="29" t="n">
        <v>45811</v>
      </c>
      <c r="B36" s="29" t="n">
        <v>45811</v>
      </c>
      <c r="C36" s="18" t="str">
        <v>202506-J-H</v>
      </c>
      <c r="D36" s="18" t="str">
        <v>Jonas Bergmann</v>
      </c>
      <c r="E36" s="18" t="str">
        <v>Übertrag Privatkonto 4402</v>
      </c>
      <c r="F36" s="23" t="n">
        <v>950</v>
      </c>
      <c r="G36" s="23" t="n">
        <v>11228.52</v>
      </c>
      <c r="H36" s="18" t="str">
        <v>kontoauszuege/Haushalt_2025-06.pdf</v>
      </c>
    </row>
    <row r="37" ht="28" customHeight="1">
      <c r="A37" s="30" t="n">
        <v>45813</v>
      </c>
      <c r="B37" s="30" t="n">
        <v>45813</v>
      </c>
      <c r="C37" s="17" t="str">
        <v>202506-HD</v>
      </c>
      <c r="D37" s="17" t="str">
        <v>Havelbogen Bank eG</v>
      </c>
      <c r="E37" s="17" t="str">
        <v>Annuität HD-2014-731</v>
      </c>
      <c r="F37" s="24" t="n">
        <v>-1380</v>
      </c>
      <c r="G37" s="24" t="n">
        <v>9848.52</v>
      </c>
      <c r="H37" s="17" t="str">
        <v>kontoauszuege/Haushalt_2025-06.pdf</v>
      </c>
    </row>
    <row r="38" ht="28" customHeight="1">
      <c r="A38" s="29" t="n">
        <v>45818</v>
      </c>
      <c r="B38" s="29" t="n">
        <v>45818</v>
      </c>
      <c r="C38" s="18" t="str">
        <v>202506-ENERGIE</v>
      </c>
      <c r="D38" s="18" t="str">
        <v>Stadtwerke Potsdam</v>
      </c>
      <c r="E38" s="18" t="str">
        <v>Strom und Wärme / Abschlag 7318</v>
      </c>
      <c r="F38" s="23" t="n">
        <v>-310</v>
      </c>
      <c r="G38" s="23" t="n">
        <v>9538.52</v>
      </c>
      <c r="H38" s="18" t="str">
        <v>kontoauszuege/Haushalt_2025-06.pdf</v>
      </c>
    </row>
    <row r="39" ht="28" customHeight="1">
      <c r="A39" s="30" t="n">
        <v>45818</v>
      </c>
      <c r="B39" s="30" t="n">
        <v>45818</v>
      </c>
      <c r="C39" s="17" t="str">
        <v>202506-ESSEN</v>
      </c>
      <c r="D39" s="17" t="str">
        <v>Schulcatering Havelküche</v>
      </c>
      <c r="E39" s="17" t="str">
        <v>Jule / Oskar / Monatsabrechnung</v>
      </c>
      <c r="F39" s="24" t="n">
        <v>-124.6</v>
      </c>
      <c r="G39" s="24" t="n">
        <v>9413.92</v>
      </c>
      <c r="H39" s="17" t="str">
        <v>kontoauszuege/Haushalt_2025-06.pdf</v>
      </c>
    </row>
    <row r="40" ht="38" customHeight="1">
      <c r="A40" s="29" t="n">
        <v>45818</v>
      </c>
      <c r="B40" s="29" t="n">
        <v>45818</v>
      </c>
      <c r="C40" s="18" t="str">
        <v>REISE-25182</v>
      </c>
      <c r="D40" s="18" t="str">
        <v>Ferienhof Achterwasser</v>
      </c>
      <c r="E40" s="18" t="str">
        <v>Restzahlung Urlaub 12.07.-19.07.2025 / Buchung 25182</v>
      </c>
      <c r="F40" s="23" t="n">
        <v>-1260</v>
      </c>
      <c r="G40" s="23" t="n">
        <v>8153.92</v>
      </c>
      <c r="H40" s="18" t="str">
        <v>kontoauszuege/Haushalt_2025-06.pdf</v>
      </c>
    </row>
    <row r="41" ht="28" customHeight="1">
      <c r="A41" s="30" t="n">
        <v>45820</v>
      </c>
      <c r="B41" s="30" t="n">
        <v>45820</v>
      </c>
      <c r="C41" s="17" t="str">
        <v>202506-SPORT</v>
      </c>
      <c r="D41" s="17" t="str">
        <v>Turnverein Bornim</v>
      </c>
      <c r="E41" s="17" t="str">
        <v>Beiträge Jule und Oskar</v>
      </c>
      <c r="F41" s="24" t="n">
        <v>-48</v>
      </c>
      <c r="G41" s="24" t="n">
        <v>8105.92</v>
      </c>
      <c r="H41" s="17" t="str">
        <v>kontoauszuege/Haushalt_2025-06.pdf</v>
      </c>
    </row>
    <row r="42" ht="28" customHeight="1">
      <c r="A42" s="29" t="n">
        <v>45824</v>
      </c>
      <c r="B42" s="29" t="n">
        <v>45824</v>
      </c>
      <c r="C42" s="18" t="str">
        <v>202506-NETZ</v>
      </c>
      <c r="D42" s="18" t="str">
        <v>Telekommunikation</v>
      </c>
      <c r="E42" s="18" t="str">
        <v>Internet Kastanienweg 18</v>
      </c>
      <c r="F42" s="23" t="n">
        <v>-44.9</v>
      </c>
      <c r="G42" s="23" t="n">
        <v>8061.02</v>
      </c>
      <c r="H42" s="18" t="str">
        <v>kontoauszuege/Haushalt_2025-06.pdf</v>
      </c>
    </row>
    <row r="43" ht="28" customHeight="1">
      <c r="A43" s="30" t="n">
        <v>45826</v>
      </c>
      <c r="B43" s="30" t="n">
        <v>45826</v>
      </c>
      <c r="C43" s="17" t="str">
        <v>202506-MARKT1</v>
      </c>
      <c r="D43" s="17" t="str">
        <v>Markt am Bornstedter Feld</v>
      </c>
      <c r="E43" s="17" t="str">
        <v>Kartenzahlung Haushalt</v>
      </c>
      <c r="F43" s="24" t="n">
        <v>-204.43</v>
      </c>
      <c r="G43" s="24" t="n">
        <v>7856.59</v>
      </c>
      <c r="H43" s="17" t="str">
        <v>kontoauszuege/Haushalt_2025-06.pdf</v>
      </c>
    </row>
    <row r="44" ht="28" customHeight="1">
      <c r="A44" s="29" t="n">
        <v>45831</v>
      </c>
      <c r="B44" s="29" t="n">
        <v>45831</v>
      </c>
      <c r="C44" s="18" t="str">
        <v>202506-MARKT2</v>
      </c>
      <c r="D44" s="18" t="str">
        <v>Lebensmittelmarkt Potsdam</v>
      </c>
      <c r="E44" s="18" t="str">
        <v>Kartenzahlung Haushalt</v>
      </c>
      <c r="F44" s="23" t="n">
        <v>-173.16</v>
      </c>
      <c r="G44" s="23" t="n">
        <v>7683.43</v>
      </c>
      <c r="H44" s="18" t="str">
        <v>kontoauszuege/Haushalt_2025-06.pdf</v>
      </c>
    </row>
    <row r="45" ht="28" customHeight="1">
      <c r="A45" s="30" t="n">
        <v>45834</v>
      </c>
      <c r="B45" s="30" t="n">
        <v>45834</v>
      </c>
      <c r="C45" s="17" t="str">
        <v>202506-GEB</v>
      </c>
      <c r="D45" s="17" t="str">
        <v>Waldsee Versicherung</v>
      </c>
      <c r="E45" s="17" t="str">
        <v>Wohngebäude / Monatsrate</v>
      </c>
      <c r="F45" s="24" t="n">
        <v>-39.8</v>
      </c>
      <c r="G45" s="24" t="n">
        <v>7643.63</v>
      </c>
      <c r="H45" s="17" t="str">
        <v>kontoauszuege/Haushalt_2025-06.pdf</v>
      </c>
    </row>
    <row r="46" ht="28" customHeight="1">
      <c r="A46" s="29" t="n">
        <v>45838</v>
      </c>
      <c r="B46" s="29" t="n">
        <v>45838</v>
      </c>
      <c r="C46" s="18" t="str">
        <v>202506-DROGERIE</v>
      </c>
      <c r="D46" s="18" t="str">
        <v>Drogerie am Park</v>
      </c>
      <c r="E46" s="18" t="str">
        <v>Kartenzahlung / Haushalt und Schulbedarf</v>
      </c>
      <c r="F46" s="23" t="n">
        <v>-80.35</v>
      </c>
      <c r="G46" s="23" t="n">
        <v>7563.28</v>
      </c>
      <c r="H46" s="18" t="str">
        <v>kontoauszuege/Haushalt_2025-06.pdf</v>
      </c>
    </row>
    <row r="47" ht="28" customHeight="1">
      <c r="A47" s="30" t="n">
        <v>45838</v>
      </c>
      <c r="B47" s="30" t="n">
        <v>45838</v>
      </c>
      <c r="C47" s="17" t="str">
        <v>202506-GEB-HAUSHALT</v>
      </c>
      <c r="D47" s="17" t="str">
        <v>Havelbogen Bank eG</v>
      </c>
      <c r="E47" s="17" t="str">
        <v>Kontoführung / Monatsentgelt</v>
      </c>
      <c r="F47" s="24" t="n">
        <v>-6.9</v>
      </c>
      <c r="G47" s="24" t="n">
        <v>7556.38</v>
      </c>
      <c r="H47" s="17" t="str">
        <v>kontoauszuege/Haushalt_2025-06.pdf</v>
      </c>
    </row>
    <row r="48" ht="28" customHeight="1">
      <c r="A48" s="29" t="n">
        <v>45840</v>
      </c>
      <c r="B48" s="29" t="n">
        <v>45840</v>
      </c>
      <c r="C48" s="18" t="str">
        <v>202507-M-H</v>
      </c>
      <c r="D48" s="18" t="str">
        <v>Mara Bergmann</v>
      </c>
      <c r="E48" s="18" t="str">
        <v>Übertrag Privatkonto 4401</v>
      </c>
      <c r="F48" s="23" t="n">
        <v>2300</v>
      </c>
      <c r="G48" s="23" t="n">
        <v>9856.38</v>
      </c>
      <c r="H48" s="18" t="str">
        <v>kontoauszuege/Haushalt_2025-07.pdf</v>
      </c>
    </row>
    <row r="49" ht="28" customHeight="1">
      <c r="A49" s="30" t="n">
        <v>45841</v>
      </c>
      <c r="B49" s="30" t="n">
        <v>45841</v>
      </c>
      <c r="C49" s="17" t="str">
        <v>202507-J-H</v>
      </c>
      <c r="D49" s="17" t="str">
        <v>Jonas Bergmann</v>
      </c>
      <c r="E49" s="17" t="str">
        <v>Übertrag Privatkonto 4402</v>
      </c>
      <c r="F49" s="24" t="n">
        <v>950</v>
      </c>
      <c r="G49" s="24" t="n">
        <v>10806.38</v>
      </c>
      <c r="H49" s="17" t="str">
        <v>kontoauszuege/Haushalt_2025-07.pdf</v>
      </c>
    </row>
    <row r="50" ht="28" customHeight="1">
      <c r="A50" s="29" t="n">
        <v>45845</v>
      </c>
      <c r="B50" s="29" t="n">
        <v>45845</v>
      </c>
      <c r="C50" s="18" t="str">
        <v>202507-HD</v>
      </c>
      <c r="D50" s="18" t="str">
        <v>Havelbogen Bank eG</v>
      </c>
      <c r="E50" s="18" t="str">
        <v>Annuität HD-2014-731</v>
      </c>
      <c r="F50" s="23" t="n">
        <v>-1380</v>
      </c>
      <c r="G50" s="23" t="n">
        <v>9426.38</v>
      </c>
      <c r="H50" s="18" t="str">
        <v>kontoauszuege/Haushalt_2025-07.pdf</v>
      </c>
    </row>
    <row r="51" ht="28" customHeight="1">
      <c r="A51" s="30" t="n">
        <v>45846</v>
      </c>
      <c r="B51" s="30" t="n">
        <v>45846</v>
      </c>
      <c r="C51" s="17" t="str">
        <v>202507-ENERGIE</v>
      </c>
      <c r="D51" s="17" t="str">
        <v>Stadtwerke Potsdam</v>
      </c>
      <c r="E51" s="17" t="str">
        <v>Strom und Wärme / Abschlag 7318</v>
      </c>
      <c r="F51" s="24" t="n">
        <v>-310</v>
      </c>
      <c r="G51" s="24" t="n">
        <v>9116.38</v>
      </c>
      <c r="H51" s="17" t="str">
        <v>kontoauszuege/Haushalt_2025-07.pdf</v>
      </c>
    </row>
    <row r="52" ht="28" customHeight="1">
      <c r="A52" s="29" t="n">
        <v>45848</v>
      </c>
      <c r="B52" s="29" t="n">
        <v>45848</v>
      </c>
      <c r="C52" s="18" t="str">
        <v>202507-ESSEN</v>
      </c>
      <c r="D52" s="18" t="str">
        <v>Schulcatering Havelküche</v>
      </c>
      <c r="E52" s="18" t="str">
        <v>Jule / Oskar / Monatsabrechnung</v>
      </c>
      <c r="F52" s="23" t="n">
        <v>-124.6</v>
      </c>
      <c r="G52" s="23" t="n">
        <v>8991.78</v>
      </c>
      <c r="H52" s="18" t="str">
        <v>kontoauszuege/Haushalt_2025-07.pdf</v>
      </c>
    </row>
    <row r="53" ht="28" customHeight="1">
      <c r="A53" s="30" t="n">
        <v>45852</v>
      </c>
      <c r="B53" s="30" t="n">
        <v>45852</v>
      </c>
      <c r="C53" s="17" t="str">
        <v>202507-SPORT</v>
      </c>
      <c r="D53" s="17" t="str">
        <v>Turnverein Bornim</v>
      </c>
      <c r="E53" s="17" t="str">
        <v>Beiträge Jule und Oskar</v>
      </c>
      <c r="F53" s="24" t="n">
        <v>-48</v>
      </c>
      <c r="G53" s="24" t="n">
        <v>8943.78</v>
      </c>
      <c r="H53" s="17" t="str">
        <v>kontoauszuege/Haushalt_2025-07.pdf</v>
      </c>
    </row>
    <row r="54" ht="28" customHeight="1">
      <c r="A54" s="29" t="n">
        <v>45853</v>
      </c>
      <c r="B54" s="29" t="n">
        <v>45853</v>
      </c>
      <c r="C54" s="18" t="str">
        <v>202507-NETZ</v>
      </c>
      <c r="D54" s="18" t="str">
        <v>Telekommunikation</v>
      </c>
      <c r="E54" s="18" t="str">
        <v>Internet Kastanienweg 18</v>
      </c>
      <c r="F54" s="23" t="n">
        <v>-44.9</v>
      </c>
      <c r="G54" s="23" t="n">
        <v>8898.88</v>
      </c>
      <c r="H54" s="18" t="str">
        <v>kontoauszuege/Haushalt_2025-07.pdf</v>
      </c>
    </row>
    <row r="55" ht="28" customHeight="1">
      <c r="A55" s="30" t="n">
        <v>45856</v>
      </c>
      <c r="B55" s="30" t="n">
        <v>45856</v>
      </c>
      <c r="C55" s="17" t="str">
        <v>202507-MARKT1</v>
      </c>
      <c r="D55" s="17" t="str">
        <v>Markt am Bornstedter Feld</v>
      </c>
      <c r="E55" s="17" t="str">
        <v>Kartenzahlung Haushalt</v>
      </c>
      <c r="F55" s="24" t="n">
        <v>-207.43</v>
      </c>
      <c r="G55" s="24" t="n">
        <v>8691.45</v>
      </c>
      <c r="H55" s="17" t="str">
        <v>kontoauszuege/Haushalt_2025-07.pdf</v>
      </c>
    </row>
    <row r="56" ht="28" customHeight="1">
      <c r="A56" s="29" t="n">
        <v>45860</v>
      </c>
      <c r="B56" s="29" t="n">
        <v>45860</v>
      </c>
      <c r="C56" s="18" t="str">
        <v>202507-MARKT2</v>
      </c>
      <c r="D56" s="18" t="str">
        <v>Lebensmittelmarkt Potsdam</v>
      </c>
      <c r="E56" s="18" t="str">
        <v>Kartenzahlung Haushalt</v>
      </c>
      <c r="F56" s="23" t="n">
        <v>-177.16</v>
      </c>
      <c r="G56" s="23" t="n">
        <v>8514.29</v>
      </c>
      <c r="H56" s="18" t="str">
        <v>kontoauszuege/Haushalt_2025-07.pdf</v>
      </c>
    </row>
    <row r="57" ht="28" customHeight="1">
      <c r="A57" s="30" t="n">
        <v>45866</v>
      </c>
      <c r="B57" s="30" t="n">
        <v>45866</v>
      </c>
      <c r="C57" s="17" t="str">
        <v>202507-DROGERIE</v>
      </c>
      <c r="D57" s="17" t="str">
        <v>Drogerie am Park</v>
      </c>
      <c r="E57" s="17" t="str">
        <v>Kartenzahlung / Haushalt und Schulbedarf</v>
      </c>
      <c r="F57" s="24" t="n">
        <v>-82.35</v>
      </c>
      <c r="G57" s="24" t="n">
        <v>8431.94</v>
      </c>
      <c r="H57" s="17" t="str">
        <v>kontoauszuege/Haushalt_2025-07.pdf</v>
      </c>
    </row>
    <row r="58" ht="28" customHeight="1">
      <c r="A58" s="29" t="n">
        <v>45866</v>
      </c>
      <c r="B58" s="29" t="n">
        <v>45866</v>
      </c>
      <c r="C58" s="18" t="str">
        <v>202507-GEB</v>
      </c>
      <c r="D58" s="18" t="str">
        <v>Waldsee Versicherung</v>
      </c>
      <c r="E58" s="18" t="str">
        <v>Wohngebäude / Monatsrate</v>
      </c>
      <c r="F58" s="23" t="n">
        <v>-39.8</v>
      </c>
      <c r="G58" s="23" t="n">
        <v>8392.14</v>
      </c>
      <c r="H58" s="18" t="str">
        <v>kontoauszuege/Haushalt_2025-07.pdf</v>
      </c>
    </row>
    <row r="59" ht="28" customHeight="1">
      <c r="A59" s="30" t="n">
        <v>45869</v>
      </c>
      <c r="B59" s="30" t="n">
        <v>45869</v>
      </c>
      <c r="C59" s="17" t="str">
        <v>202507-GEB-HAUSHALT</v>
      </c>
      <c r="D59" s="17" t="str">
        <v>Havelbogen Bank eG</v>
      </c>
      <c r="E59" s="17" t="str">
        <v>Kontoführung / Monatsentgelt</v>
      </c>
      <c r="F59" s="24" t="n">
        <v>-6.9</v>
      </c>
      <c r="G59" s="24" t="n">
        <v>8385.24</v>
      </c>
      <c r="H59" s="17" t="str">
        <v>kontoauszuege/Haushalt_2025-07.pdf</v>
      </c>
    </row>
    <row r="60" ht="28" customHeight="1">
      <c r="A60" s="29" t="n">
        <v>45873</v>
      </c>
      <c r="B60" s="29" t="n">
        <v>45873</v>
      </c>
      <c r="C60" s="18" t="str">
        <v>202508-J-H</v>
      </c>
      <c r="D60" s="18" t="str">
        <v>Jonas Bergmann</v>
      </c>
      <c r="E60" s="18" t="str">
        <v>Übertrag Privatkonto 4402</v>
      </c>
      <c r="F60" s="23" t="n">
        <v>950</v>
      </c>
      <c r="G60" s="23" t="n">
        <v>9335.24</v>
      </c>
      <c r="H60" s="18" t="str">
        <v>kontoauszuege/Haushalt_2025-08.pdf</v>
      </c>
    </row>
    <row r="61" ht="28" customHeight="1">
      <c r="A61" s="30" t="n">
        <v>45873</v>
      </c>
      <c r="B61" s="30" t="n">
        <v>45873</v>
      </c>
      <c r="C61" s="17" t="str">
        <v>202508-M-H</v>
      </c>
      <c r="D61" s="17" t="str">
        <v>Mara Bergmann</v>
      </c>
      <c r="E61" s="17" t="str">
        <v>Übertrag Privatkonto 4401</v>
      </c>
      <c r="F61" s="24" t="n">
        <v>2300</v>
      </c>
      <c r="G61" s="24" t="n">
        <v>11635.24</v>
      </c>
      <c r="H61" s="17" t="str">
        <v>kontoauszuege/Haushalt_2025-08.pdf</v>
      </c>
    </row>
    <row r="62" ht="28" customHeight="1">
      <c r="A62" s="29" t="n">
        <v>45874</v>
      </c>
      <c r="B62" s="29" t="n">
        <v>45874</v>
      </c>
      <c r="C62" s="18" t="str">
        <v>202508-HD</v>
      </c>
      <c r="D62" s="18" t="str">
        <v>Havelbogen Bank eG</v>
      </c>
      <c r="E62" s="18" t="str">
        <v>Annuität HD-2014-731</v>
      </c>
      <c r="F62" s="23" t="n">
        <v>-1380</v>
      </c>
      <c r="G62" s="23" t="n">
        <v>10255.24</v>
      </c>
      <c r="H62" s="18" t="str">
        <v>kontoauszuege/Haushalt_2025-08.pdf</v>
      </c>
    </row>
    <row r="63" ht="28" customHeight="1">
      <c r="A63" s="30" t="n">
        <v>45877</v>
      </c>
      <c r="B63" s="30" t="n">
        <v>45877</v>
      </c>
      <c r="C63" s="17" t="str">
        <v>202508-ENERGIE</v>
      </c>
      <c r="D63" s="17" t="str">
        <v>Stadtwerke Potsdam</v>
      </c>
      <c r="E63" s="17" t="str">
        <v>Strom und Wärme / Abschlag 7318</v>
      </c>
      <c r="F63" s="24" t="n">
        <v>-310</v>
      </c>
      <c r="G63" s="24" t="n">
        <v>9945.24</v>
      </c>
      <c r="H63" s="17" t="str">
        <v>kontoauszuege/Haushalt_2025-08.pdf</v>
      </c>
    </row>
    <row r="64" ht="28" customHeight="1">
      <c r="A64" s="29" t="n">
        <v>45880</v>
      </c>
      <c r="B64" s="29" t="n">
        <v>45880</v>
      </c>
      <c r="C64" s="18" t="str">
        <v>202508-ESSEN</v>
      </c>
      <c r="D64" s="18" t="str">
        <v>Schulcatering Havelküche</v>
      </c>
      <c r="E64" s="18" t="str">
        <v>Jule / Oskar / Monatsabrechnung</v>
      </c>
      <c r="F64" s="23" t="n">
        <v>-124.6</v>
      </c>
      <c r="G64" s="23" t="n">
        <v>9820.64</v>
      </c>
      <c r="H64" s="18" t="str">
        <v>kontoauszuege/Haushalt_2025-08.pdf</v>
      </c>
    </row>
    <row r="65" ht="28" customHeight="1">
      <c r="A65" s="30" t="n">
        <v>45881</v>
      </c>
      <c r="B65" s="30" t="n">
        <v>45881</v>
      </c>
      <c r="C65" s="17" t="str">
        <v>202508-SPORT</v>
      </c>
      <c r="D65" s="17" t="str">
        <v>Turnverein Bornim</v>
      </c>
      <c r="E65" s="17" t="str">
        <v>Beiträge Jule und Oskar</v>
      </c>
      <c r="F65" s="24" t="n">
        <v>-48</v>
      </c>
      <c r="G65" s="24" t="n">
        <v>9772.64</v>
      </c>
      <c r="H65" s="17" t="str">
        <v>kontoauszuege/Haushalt_2025-08.pdf</v>
      </c>
    </row>
    <row r="66" ht="28" customHeight="1">
      <c r="A66" s="29" t="n">
        <v>45884</v>
      </c>
      <c r="B66" s="29" t="n">
        <v>45884</v>
      </c>
      <c r="C66" s="18" t="str">
        <v>202508-NETZ</v>
      </c>
      <c r="D66" s="18" t="str">
        <v>Telekommunikation</v>
      </c>
      <c r="E66" s="18" t="str">
        <v>Internet Kastanienweg 18</v>
      </c>
      <c r="F66" s="23" t="n">
        <v>-44.9</v>
      </c>
      <c r="G66" s="23" t="n">
        <v>9727.74</v>
      </c>
      <c r="H66" s="18" t="str">
        <v>kontoauszuege/Haushalt_2025-08.pdf</v>
      </c>
    </row>
    <row r="67" ht="28" customHeight="1">
      <c r="A67" s="30" t="n">
        <v>45887</v>
      </c>
      <c r="B67" s="30" t="n">
        <v>45887</v>
      </c>
      <c r="C67" s="17" t="str">
        <v>202508-MARKT1</v>
      </c>
      <c r="D67" s="17" t="str">
        <v>Markt am Bornstedter Feld</v>
      </c>
      <c r="E67" s="17" t="str">
        <v>Kartenzahlung Haushalt</v>
      </c>
      <c r="F67" s="24" t="n">
        <v>-210.43</v>
      </c>
      <c r="G67" s="24" t="n">
        <v>9517.31</v>
      </c>
      <c r="H67" s="17" t="str">
        <v>kontoauszuege/Haushalt_2025-08.pdf</v>
      </c>
    </row>
    <row r="68" ht="28" customHeight="1">
      <c r="A68" s="29" t="n">
        <v>45891</v>
      </c>
      <c r="B68" s="29" t="n">
        <v>45891</v>
      </c>
      <c r="C68" s="18" t="str">
        <v>202508-MARKT2</v>
      </c>
      <c r="D68" s="18" t="str">
        <v>Lebensmittelmarkt Potsdam</v>
      </c>
      <c r="E68" s="18" t="str">
        <v>Kartenzahlung Haushalt</v>
      </c>
      <c r="F68" s="23" t="n">
        <v>-181.16</v>
      </c>
      <c r="G68" s="23" t="n">
        <v>9336.15</v>
      </c>
      <c r="H68" s="18" t="str">
        <v>kontoauszuege/Haushalt_2025-08.pdf</v>
      </c>
    </row>
    <row r="69" ht="28" customHeight="1">
      <c r="A69" s="30" t="n">
        <v>45895</v>
      </c>
      <c r="B69" s="30" t="n">
        <v>45895</v>
      </c>
      <c r="C69" s="17" t="str">
        <v>202508-GEB</v>
      </c>
      <c r="D69" s="17" t="str">
        <v>Waldsee Versicherung</v>
      </c>
      <c r="E69" s="17" t="str">
        <v>Wohngebäude / Monatsrate</v>
      </c>
      <c r="F69" s="24" t="n">
        <v>-39.8</v>
      </c>
      <c r="G69" s="24" t="n">
        <v>9296.35</v>
      </c>
      <c r="H69" s="17" t="str">
        <v>kontoauszuege/Haushalt_2025-08.pdf</v>
      </c>
    </row>
    <row r="70" ht="28" customHeight="1">
      <c r="A70" s="29" t="n">
        <v>45897</v>
      </c>
      <c r="B70" s="29" t="n">
        <v>45897</v>
      </c>
      <c r="C70" s="18" t="str">
        <v>202508-DROGERIE</v>
      </c>
      <c r="D70" s="18" t="str">
        <v>Drogerie am Park</v>
      </c>
      <c r="E70" s="18" t="str">
        <v>Kartenzahlung / Haushalt und Schulbedarf</v>
      </c>
      <c r="F70" s="23" t="n">
        <v>-84.35</v>
      </c>
      <c r="G70" s="23" t="n">
        <v>9212</v>
      </c>
      <c r="H70" s="18" t="str">
        <v>kontoauszuege/Haushalt_2025-08.pdf</v>
      </c>
    </row>
    <row r="71" ht="28" customHeight="1">
      <c r="A71" s="30" t="n">
        <v>45901</v>
      </c>
      <c r="B71" s="30" t="n">
        <v>45901</v>
      </c>
      <c r="C71" s="17" t="str">
        <v>202508-GEB-HAUSHALT</v>
      </c>
      <c r="D71" s="17" t="str">
        <v>Havelbogen Bank eG</v>
      </c>
      <c r="E71" s="17" t="str">
        <v>Kontoführung / Monatsentgelt</v>
      </c>
      <c r="F71" s="24" t="n">
        <v>-6.9</v>
      </c>
      <c r="G71" s="24" t="n">
        <v>9205.1</v>
      </c>
      <c r="H71" s="17" t="str">
        <v>kontoauszuege/Haushalt_2025-09.pdf</v>
      </c>
    </row>
    <row r="72" ht="28" customHeight="1">
      <c r="A72" s="29" t="n">
        <v>45902</v>
      </c>
      <c r="B72" s="29" t="n">
        <v>45902</v>
      </c>
      <c r="C72" s="18" t="str">
        <v>202509-M-H</v>
      </c>
      <c r="D72" s="18" t="str">
        <v>Mara Bergmann</v>
      </c>
      <c r="E72" s="18" t="str">
        <v>Übertrag Privatkonto 4401</v>
      </c>
      <c r="F72" s="23" t="n">
        <v>2300</v>
      </c>
      <c r="G72" s="23" t="n">
        <v>11505.1</v>
      </c>
      <c r="H72" s="18" t="str">
        <v>kontoauszuege/Haushalt_2025-09.pdf</v>
      </c>
    </row>
    <row r="73" ht="28" customHeight="1">
      <c r="A73" s="30" t="n">
        <v>45903</v>
      </c>
      <c r="B73" s="30" t="n">
        <v>45903</v>
      </c>
      <c r="C73" s="17" t="str">
        <v>202509-J-H</v>
      </c>
      <c r="D73" s="17" t="str">
        <v>Jonas Bergmann</v>
      </c>
      <c r="E73" s="17" t="str">
        <v>Übertrag Privatkonto 4402</v>
      </c>
      <c r="F73" s="24" t="n">
        <v>950</v>
      </c>
      <c r="G73" s="24" t="n">
        <v>12455.1</v>
      </c>
      <c r="H73" s="17" t="str">
        <v>kontoauszuege/Haushalt_2025-09.pdf</v>
      </c>
    </row>
    <row r="74" ht="28" customHeight="1">
      <c r="A74" s="29" t="n">
        <v>45905</v>
      </c>
      <c r="B74" s="29" t="n">
        <v>45905</v>
      </c>
      <c r="C74" s="18" t="str">
        <v>202509-HD</v>
      </c>
      <c r="D74" s="18" t="str">
        <v>Havelbogen Bank eG</v>
      </c>
      <c r="E74" s="18" t="str">
        <v>Annuität HD-2014-731</v>
      </c>
      <c r="F74" s="23" t="n">
        <v>-1380</v>
      </c>
      <c r="G74" s="23" t="n">
        <v>11075.1</v>
      </c>
      <c r="H74" s="18" t="str">
        <v>kontoauszuege/Haushalt_2025-09.pdf</v>
      </c>
    </row>
    <row r="75" ht="28" customHeight="1">
      <c r="A75" s="30" t="n">
        <v>45908</v>
      </c>
      <c r="B75" s="30" t="n">
        <v>45908</v>
      </c>
      <c r="C75" s="17" t="str">
        <v>202509-ENERGIE</v>
      </c>
      <c r="D75" s="17" t="str">
        <v>Stadtwerke Potsdam</v>
      </c>
      <c r="E75" s="17" t="str">
        <v>Strom und Wärme / Abschlag 7318</v>
      </c>
      <c r="F75" s="24" t="n">
        <v>-310</v>
      </c>
      <c r="G75" s="24" t="n">
        <v>10765.1</v>
      </c>
      <c r="H75" s="17" t="str">
        <v>kontoauszuege/Haushalt_2025-09.pdf</v>
      </c>
    </row>
    <row r="76" ht="28" customHeight="1">
      <c r="A76" s="29" t="n">
        <v>45910</v>
      </c>
      <c r="B76" s="29" t="n">
        <v>45910</v>
      </c>
      <c r="C76" s="18" t="str">
        <v>202509-ESSEN</v>
      </c>
      <c r="D76" s="18" t="str">
        <v>Schulcatering Havelküche</v>
      </c>
      <c r="E76" s="18" t="str">
        <v>Jule / Oskar / Monatsabrechnung</v>
      </c>
      <c r="F76" s="23" t="n">
        <v>-124.6</v>
      </c>
      <c r="G76" s="23" t="n">
        <v>10640.5</v>
      </c>
      <c r="H76" s="18" t="str">
        <v>kontoauszuege/Haushalt_2025-09.pdf</v>
      </c>
    </row>
    <row r="77" ht="28" customHeight="1">
      <c r="A77" s="30" t="n">
        <v>45912</v>
      </c>
      <c r="B77" s="30" t="n">
        <v>45912</v>
      </c>
      <c r="C77" s="17" t="str">
        <v>202509-SPORT</v>
      </c>
      <c r="D77" s="17" t="str">
        <v>Turnverein Bornim</v>
      </c>
      <c r="E77" s="17" t="str">
        <v>Beiträge Jule und Oskar</v>
      </c>
      <c r="F77" s="24" t="n">
        <v>-48</v>
      </c>
      <c r="G77" s="24" t="n">
        <v>10592.5</v>
      </c>
      <c r="H77" s="17" t="str">
        <v>kontoauszuege/Haushalt_2025-09.pdf</v>
      </c>
    </row>
    <row r="78" ht="28" customHeight="1">
      <c r="A78" s="29" t="n">
        <v>45915</v>
      </c>
      <c r="B78" s="29" t="n">
        <v>45915</v>
      </c>
      <c r="C78" s="18" t="str">
        <v>202509-NETZ</v>
      </c>
      <c r="D78" s="18" t="str">
        <v>Telekommunikation</v>
      </c>
      <c r="E78" s="18" t="str">
        <v>Internet Kastanienweg 18</v>
      </c>
      <c r="F78" s="23" t="n">
        <v>-44.9</v>
      </c>
      <c r="G78" s="23" t="n">
        <v>10547.6</v>
      </c>
      <c r="H78" s="18" t="str">
        <v>kontoauszuege/Haushalt_2025-09.pdf</v>
      </c>
    </row>
    <row r="79" ht="28" customHeight="1">
      <c r="A79" s="30" t="n">
        <v>45918</v>
      </c>
      <c r="B79" s="30" t="n">
        <v>45918</v>
      </c>
      <c r="C79" s="17" t="str">
        <v>202509-MARKT1</v>
      </c>
      <c r="D79" s="17" t="str">
        <v>Markt am Bornstedter Feld</v>
      </c>
      <c r="E79" s="17" t="str">
        <v>Kartenzahlung Haushalt</v>
      </c>
      <c r="F79" s="24" t="n">
        <v>-213.43</v>
      </c>
      <c r="G79" s="24" t="n">
        <v>10334.17</v>
      </c>
      <c r="H79" s="17" t="str">
        <v>kontoauszuege/Haushalt_2025-09.pdf</v>
      </c>
    </row>
    <row r="80" ht="28" customHeight="1">
      <c r="A80" s="29" t="n">
        <v>45922</v>
      </c>
      <c r="B80" s="29" t="n">
        <v>45922</v>
      </c>
      <c r="C80" s="18" t="str">
        <v>202509-MARKT2</v>
      </c>
      <c r="D80" s="18" t="str">
        <v>Lebensmittelmarkt Potsdam</v>
      </c>
      <c r="E80" s="18" t="str">
        <v>Kartenzahlung Haushalt</v>
      </c>
      <c r="F80" s="23" t="n">
        <v>-185.16</v>
      </c>
      <c r="G80" s="23" t="n">
        <v>10149.01</v>
      </c>
      <c r="H80" s="18" t="str">
        <v>kontoauszuege/Haushalt_2025-09.pdf</v>
      </c>
    </row>
    <row r="81" ht="28" customHeight="1">
      <c r="A81" s="30" t="n">
        <v>45926</v>
      </c>
      <c r="B81" s="30" t="n">
        <v>45926</v>
      </c>
      <c r="C81" s="17" t="str">
        <v>202509-GEB</v>
      </c>
      <c r="D81" s="17" t="str">
        <v>Waldsee Versicherung</v>
      </c>
      <c r="E81" s="17" t="str">
        <v>Wohngebäude / Monatsrate</v>
      </c>
      <c r="F81" s="24" t="n">
        <v>-39.8</v>
      </c>
      <c r="G81" s="24" t="n">
        <v>10109.21</v>
      </c>
      <c r="H81" s="17" t="str">
        <v>kontoauszuege/Haushalt_2025-09.pdf</v>
      </c>
    </row>
    <row r="82" ht="28" customHeight="1">
      <c r="A82" s="29" t="n">
        <v>45929</v>
      </c>
      <c r="B82" s="29" t="n">
        <v>45929</v>
      </c>
      <c r="C82" s="18" t="str">
        <v>202509-DROGERIE</v>
      </c>
      <c r="D82" s="18" t="str">
        <v>Drogerie am Park</v>
      </c>
      <c r="E82" s="18" t="str">
        <v>Kartenzahlung / Haushalt und Schulbedarf</v>
      </c>
      <c r="F82" s="23" t="n">
        <v>-86.35</v>
      </c>
      <c r="G82" s="23" t="n">
        <v>10022.86</v>
      </c>
      <c r="H82" s="18" t="str">
        <v>kontoauszuege/Haushalt_2025-09.pdf</v>
      </c>
    </row>
    <row r="83" ht="28" customHeight="1">
      <c r="A83" s="30" t="n">
        <v>45930</v>
      </c>
      <c r="B83" s="30" t="n">
        <v>45930</v>
      </c>
      <c r="C83" s="17" t="str">
        <v>202509-GEB-HAUSHALT</v>
      </c>
      <c r="D83" s="17" t="str">
        <v>Havelbogen Bank eG</v>
      </c>
      <c r="E83" s="17" t="str">
        <v>Kontoführung / Monatsentgelt</v>
      </c>
      <c r="F83" s="24" t="n">
        <v>-6.9</v>
      </c>
      <c r="G83" s="24" t="n">
        <v>10015.96</v>
      </c>
      <c r="H83" s="17" t="str">
        <v>kontoauszuege/Haushalt_2025-09.pdf</v>
      </c>
    </row>
    <row r="84" ht="28" customHeight="1">
      <c r="A84" s="29" t="n">
        <v>45932</v>
      </c>
      <c r="B84" s="29" t="n">
        <v>45932</v>
      </c>
      <c r="C84" s="18" t="str">
        <v>202510-M-H</v>
      </c>
      <c r="D84" s="18" t="str">
        <v>Mara Bergmann</v>
      </c>
      <c r="E84" s="18" t="str">
        <v>Übertrag Privatkonto 4401</v>
      </c>
      <c r="F84" s="23" t="n">
        <v>2300</v>
      </c>
      <c r="G84" s="23" t="n">
        <v>12315.96</v>
      </c>
      <c r="H84" s="18" t="str">
        <v>kontoauszuege/Haushalt_2025-10.pdf</v>
      </c>
    </row>
    <row r="85" ht="28" customHeight="1">
      <c r="A85" s="30" t="n">
        <v>45936</v>
      </c>
      <c r="B85" s="30" t="n">
        <v>45936</v>
      </c>
      <c r="C85" s="17" t="str">
        <v>202510-HD</v>
      </c>
      <c r="D85" s="17" t="str">
        <v>Havelbogen Bank eG</v>
      </c>
      <c r="E85" s="17" t="str">
        <v>Annuität HD-2014-731</v>
      </c>
      <c r="F85" s="24" t="n">
        <v>-1380</v>
      </c>
      <c r="G85" s="24" t="n">
        <v>10935.96</v>
      </c>
      <c r="H85" s="17" t="str">
        <v>kontoauszuege/Haushalt_2025-10.pdf</v>
      </c>
    </row>
    <row r="86" ht="28" customHeight="1">
      <c r="A86" s="29" t="n">
        <v>45936</v>
      </c>
      <c r="B86" s="29" t="n">
        <v>45936</v>
      </c>
      <c r="C86" s="18" t="str">
        <v>202510-J-H</v>
      </c>
      <c r="D86" s="18" t="str">
        <v>Jonas Bergmann</v>
      </c>
      <c r="E86" s="18" t="str">
        <v>Übertrag Privatkonto 4402</v>
      </c>
      <c r="F86" s="23" t="n">
        <v>950</v>
      </c>
      <c r="G86" s="23" t="n">
        <v>11885.96</v>
      </c>
      <c r="H86" s="18" t="str">
        <v>kontoauszuege/Haushalt_2025-10.pdf</v>
      </c>
    </row>
    <row r="87" ht="28" customHeight="1">
      <c r="A87" s="30" t="n">
        <v>45938</v>
      </c>
      <c r="B87" s="30" t="n">
        <v>45938</v>
      </c>
      <c r="C87" s="17" t="str">
        <v>202510-ENERGIE</v>
      </c>
      <c r="D87" s="17" t="str">
        <v>Stadtwerke Potsdam</v>
      </c>
      <c r="E87" s="17" t="str">
        <v>Strom und Wärme / Abschlag 7318</v>
      </c>
      <c r="F87" s="24" t="n">
        <v>-310</v>
      </c>
      <c r="G87" s="24" t="n">
        <v>11575.96</v>
      </c>
      <c r="H87" s="17" t="str">
        <v>kontoauszuege/Haushalt_2025-10.pdf</v>
      </c>
    </row>
    <row r="88" ht="28" customHeight="1">
      <c r="A88" s="29" t="n">
        <v>45940</v>
      </c>
      <c r="B88" s="29" t="n">
        <v>45940</v>
      </c>
      <c r="C88" s="18" t="str">
        <v>202510-ESSEN</v>
      </c>
      <c r="D88" s="18" t="str">
        <v>Schulcatering Havelküche</v>
      </c>
      <c r="E88" s="18" t="str">
        <v>Jule / Oskar / Monatsabrechnung</v>
      </c>
      <c r="F88" s="23" t="n">
        <v>-124.6</v>
      </c>
      <c r="G88" s="23" t="n">
        <v>11451.36</v>
      </c>
      <c r="H88" s="18" t="str">
        <v>kontoauszuege/Haushalt_2025-10.pdf</v>
      </c>
    </row>
    <row r="89" ht="28" customHeight="1">
      <c r="A89" s="30" t="n">
        <v>45943</v>
      </c>
      <c r="B89" s="30" t="n">
        <v>45943</v>
      </c>
      <c r="C89" s="17" t="str">
        <v>202510-SPORT</v>
      </c>
      <c r="D89" s="17" t="str">
        <v>Turnverein Bornim</v>
      </c>
      <c r="E89" s="17" t="str">
        <v>Beiträge Jule und Oskar</v>
      </c>
      <c r="F89" s="24" t="n">
        <v>-48</v>
      </c>
      <c r="G89" s="24" t="n">
        <v>11403.36</v>
      </c>
      <c r="H89" s="17" t="str">
        <v>kontoauszuege/Haushalt_2025-10.pdf</v>
      </c>
    </row>
    <row r="90" ht="28" customHeight="1">
      <c r="A90" s="29" t="n">
        <v>45945</v>
      </c>
      <c r="B90" s="29" t="n">
        <v>45945</v>
      </c>
      <c r="C90" s="18" t="str">
        <v>202510-NETZ</v>
      </c>
      <c r="D90" s="18" t="str">
        <v>Telekommunikation</v>
      </c>
      <c r="E90" s="18" t="str">
        <v>Internet Kastanienweg 18</v>
      </c>
      <c r="F90" s="23" t="n">
        <v>-44.9</v>
      </c>
      <c r="G90" s="23" t="n">
        <v>11358.46</v>
      </c>
      <c r="H90" s="18" t="str">
        <v>kontoauszuege/Haushalt_2025-10.pdf</v>
      </c>
    </row>
    <row r="91" ht="28" customHeight="1">
      <c r="A91" s="30" t="n">
        <v>45946</v>
      </c>
      <c r="B91" s="30" t="n">
        <v>45946</v>
      </c>
      <c r="C91" s="17" t="str">
        <v>HS-251012</v>
      </c>
      <c r="D91" s="17" t="str">
        <v>Havel Sanitär</v>
      </c>
      <c r="E91" s="17" t="str">
        <v>Rechnung HS-251012 / Zirkulationspumpe</v>
      </c>
      <c r="F91" s="24" t="n">
        <v>-487.9</v>
      </c>
      <c r="G91" s="24" t="n">
        <v>10870.56</v>
      </c>
      <c r="H91" s="17" t="str">
        <v>kontoauszuege/Haushalt_2025-10.pdf</v>
      </c>
    </row>
    <row r="92" ht="28" customHeight="1">
      <c r="A92" s="29" t="n">
        <v>45950</v>
      </c>
      <c r="B92" s="29" t="n">
        <v>45950</v>
      </c>
      <c r="C92" s="18" t="str">
        <v>202510-MARKT1</v>
      </c>
      <c r="D92" s="18" t="str">
        <v>Markt am Bornstedter Feld</v>
      </c>
      <c r="E92" s="18" t="str">
        <v>Kartenzahlung Haushalt</v>
      </c>
      <c r="F92" s="23" t="n">
        <v>-216.43</v>
      </c>
      <c r="G92" s="23" t="n">
        <v>10654.13</v>
      </c>
      <c r="H92" s="18" t="str">
        <v>kontoauszuege/Haushalt_2025-10.pdf</v>
      </c>
    </row>
    <row r="93" ht="28" customHeight="1">
      <c r="A93" s="30" t="n">
        <v>45952</v>
      </c>
      <c r="B93" s="30" t="n">
        <v>45952</v>
      </c>
      <c r="C93" s="17" t="str">
        <v>202510-MARKT2</v>
      </c>
      <c r="D93" s="17" t="str">
        <v>Lebensmittelmarkt Potsdam</v>
      </c>
      <c r="E93" s="17" t="str">
        <v>Kartenzahlung Haushalt</v>
      </c>
      <c r="F93" s="24" t="n">
        <v>-189.16</v>
      </c>
      <c r="G93" s="24" t="n">
        <v>10464.97</v>
      </c>
      <c r="H93" s="17" t="str">
        <v>kontoauszuege/Haushalt_2025-10.pdf</v>
      </c>
    </row>
    <row r="94" ht="28" customHeight="1">
      <c r="A94" s="29" t="n">
        <v>45957</v>
      </c>
      <c r="B94" s="29" t="n">
        <v>45957</v>
      </c>
      <c r="C94" s="18" t="str">
        <v>202510-GEB</v>
      </c>
      <c r="D94" s="18" t="str">
        <v>Waldsee Versicherung</v>
      </c>
      <c r="E94" s="18" t="str">
        <v>Wohngebäude / Monatsrate</v>
      </c>
      <c r="F94" s="23" t="n">
        <v>-39.8</v>
      </c>
      <c r="G94" s="23" t="n">
        <v>10425.17</v>
      </c>
      <c r="H94" s="18" t="str">
        <v>kontoauszuege/Haushalt_2025-10.pdf</v>
      </c>
    </row>
    <row r="95" ht="28" customHeight="1">
      <c r="A95" s="30" t="n">
        <v>45958</v>
      </c>
      <c r="B95" s="30" t="n">
        <v>45958</v>
      </c>
      <c r="C95" s="17" t="str">
        <v>202510-DROGERIE</v>
      </c>
      <c r="D95" s="17" t="str">
        <v>Drogerie am Park</v>
      </c>
      <c r="E95" s="17" t="str">
        <v>Kartenzahlung / Haushalt und Schulbedarf</v>
      </c>
      <c r="F95" s="24" t="n">
        <v>-88.35</v>
      </c>
      <c r="G95" s="24" t="n">
        <v>10336.82</v>
      </c>
      <c r="H95" s="17" t="str">
        <v>kontoauszuege/Haushalt_2025-10.pdf</v>
      </c>
    </row>
    <row r="96" ht="28" customHeight="1">
      <c r="A96" s="29" t="n">
        <v>45961</v>
      </c>
      <c r="B96" s="29" t="n">
        <v>45961</v>
      </c>
      <c r="C96" s="18" t="str">
        <v>202510-GEB-HAUSHALT</v>
      </c>
      <c r="D96" s="18" t="str">
        <v>Havelbogen Bank eG</v>
      </c>
      <c r="E96" s="18" t="str">
        <v>Kontoführung / Monatsentgelt</v>
      </c>
      <c r="F96" s="23" t="n">
        <v>-6.9</v>
      </c>
      <c r="G96" s="23" t="n">
        <v>10329.92</v>
      </c>
      <c r="H96" s="18" t="str">
        <v>kontoauszuege/Haushalt_2025-10.pdf</v>
      </c>
    </row>
    <row r="97" ht="28" customHeight="1">
      <c r="A97" s="30" t="n">
        <v>45964</v>
      </c>
      <c r="B97" s="30" t="n">
        <v>45964</v>
      </c>
      <c r="C97" s="17" t="str">
        <v>202511-J-H</v>
      </c>
      <c r="D97" s="17" t="str">
        <v>Jonas Bergmann</v>
      </c>
      <c r="E97" s="17" t="str">
        <v>Übertrag Privatkonto 4402</v>
      </c>
      <c r="F97" s="24" t="n">
        <v>950</v>
      </c>
      <c r="G97" s="24" t="n">
        <v>11279.92</v>
      </c>
      <c r="H97" s="17" t="str">
        <v>kontoauszuege/Haushalt_2025-11.pdf</v>
      </c>
    </row>
    <row r="98" ht="28" customHeight="1">
      <c r="A98" s="29" t="n">
        <v>45964</v>
      </c>
      <c r="B98" s="29" t="n">
        <v>45964</v>
      </c>
      <c r="C98" s="18" t="str">
        <v>202511-M-H</v>
      </c>
      <c r="D98" s="18" t="str">
        <v>Mara Bergmann</v>
      </c>
      <c r="E98" s="18" t="str">
        <v>Übertrag Privatkonto 4401</v>
      </c>
      <c r="F98" s="23" t="n">
        <v>2300</v>
      </c>
      <c r="G98" s="23" t="n">
        <v>13579.92</v>
      </c>
      <c r="H98" s="18" t="str">
        <v>kontoauszuege/Haushalt_2025-11.pdf</v>
      </c>
    </row>
    <row r="99" ht="28" customHeight="1">
      <c r="A99" s="30" t="n">
        <v>45966</v>
      </c>
      <c r="B99" s="30" t="n">
        <v>45966</v>
      </c>
      <c r="C99" s="17" t="str">
        <v>202511-HD</v>
      </c>
      <c r="D99" s="17" t="str">
        <v>Havelbogen Bank eG</v>
      </c>
      <c r="E99" s="17" t="str">
        <v>Annuität HD-2014-731</v>
      </c>
      <c r="F99" s="24" t="n">
        <v>-1380</v>
      </c>
      <c r="G99" s="24" t="n">
        <v>12199.92</v>
      </c>
      <c r="H99" s="17" t="str">
        <v>kontoauszuege/Haushalt_2025-11.pdf</v>
      </c>
    </row>
    <row r="100" ht="28" customHeight="1">
      <c r="A100" s="29" t="n">
        <v>45971</v>
      </c>
      <c r="B100" s="29" t="n">
        <v>45971</v>
      </c>
      <c r="C100" s="18" t="str">
        <v>202511-ENERGIE</v>
      </c>
      <c r="D100" s="18" t="str">
        <v>Stadtwerke Potsdam</v>
      </c>
      <c r="E100" s="18" t="str">
        <v>Strom und Wärme / Abschlag 7318</v>
      </c>
      <c r="F100" s="23" t="n">
        <v>-310</v>
      </c>
      <c r="G100" s="23" t="n">
        <v>11889.92</v>
      </c>
      <c r="H100" s="18" t="str">
        <v>kontoauszuege/Haushalt_2025-11.pdf</v>
      </c>
    </row>
    <row r="101" ht="28" customHeight="1">
      <c r="A101" s="30" t="n">
        <v>45971</v>
      </c>
      <c r="B101" s="30" t="n">
        <v>45971</v>
      </c>
      <c r="C101" s="17" t="str">
        <v>202511-ESSEN</v>
      </c>
      <c r="D101" s="17" t="str">
        <v>Schulcatering Havelküche</v>
      </c>
      <c r="E101" s="17" t="str">
        <v>Jule / Oskar / Monatsabrechnung</v>
      </c>
      <c r="F101" s="24" t="n">
        <v>-124.6</v>
      </c>
      <c r="G101" s="24" t="n">
        <v>11765.32</v>
      </c>
      <c r="H101" s="17" t="str">
        <v>kontoauszuege/Haushalt_2025-11.pdf</v>
      </c>
    </row>
    <row r="102" ht="28" customHeight="1">
      <c r="A102" s="29" t="n">
        <v>45973</v>
      </c>
      <c r="B102" s="29" t="n">
        <v>45973</v>
      </c>
      <c r="C102" s="18" t="str">
        <v>202511-SPORT</v>
      </c>
      <c r="D102" s="18" t="str">
        <v>Turnverein Bornim</v>
      </c>
      <c r="E102" s="18" t="str">
        <v>Beiträge Jule und Oskar</v>
      </c>
      <c r="F102" s="23" t="n">
        <v>-48</v>
      </c>
      <c r="G102" s="23" t="n">
        <v>11717.32</v>
      </c>
      <c r="H102" s="18" t="str">
        <v>kontoauszuege/Haushalt_2025-11.pdf</v>
      </c>
    </row>
    <row r="103" ht="28" customHeight="1">
      <c r="A103" s="30" t="n">
        <v>45978</v>
      </c>
      <c r="B103" s="30" t="n">
        <v>45978</v>
      </c>
      <c r="C103" s="17" t="str">
        <v>202511-NETZ</v>
      </c>
      <c r="D103" s="17" t="str">
        <v>Telekommunikation</v>
      </c>
      <c r="E103" s="17" t="str">
        <v>Internet Kastanienweg 18</v>
      </c>
      <c r="F103" s="24" t="n">
        <v>-44.9</v>
      </c>
      <c r="G103" s="24" t="n">
        <v>11672.42</v>
      </c>
      <c r="H103" s="17" t="str">
        <v>kontoauszuege/Haushalt_2025-11.pdf</v>
      </c>
    </row>
    <row r="104" ht="28" customHeight="1">
      <c r="A104" s="29" t="n">
        <v>45979</v>
      </c>
      <c r="B104" s="29" t="n">
        <v>45979</v>
      </c>
      <c r="C104" s="18" t="str">
        <v>202511-MARKT1</v>
      </c>
      <c r="D104" s="18" t="str">
        <v>Markt am Bornstedter Feld</v>
      </c>
      <c r="E104" s="18" t="str">
        <v>Kartenzahlung Haushalt</v>
      </c>
      <c r="F104" s="23" t="n">
        <v>-219.43</v>
      </c>
      <c r="G104" s="23" t="n">
        <v>11452.99</v>
      </c>
      <c r="H104" s="18" t="str">
        <v>kontoauszuege/Haushalt_2025-11.pdf</v>
      </c>
    </row>
    <row r="105" ht="28" customHeight="1">
      <c r="A105" s="30" t="n">
        <v>45985</v>
      </c>
      <c r="B105" s="30" t="n">
        <v>45985</v>
      </c>
      <c r="C105" s="17" t="str">
        <v>202511-MARKT2</v>
      </c>
      <c r="D105" s="17" t="str">
        <v>Lebensmittelmarkt Potsdam</v>
      </c>
      <c r="E105" s="17" t="str">
        <v>Kartenzahlung Haushalt</v>
      </c>
      <c r="F105" s="24" t="n">
        <v>-193.16</v>
      </c>
      <c r="G105" s="24" t="n">
        <v>11259.83</v>
      </c>
      <c r="H105" s="17" t="str">
        <v>kontoauszuege/Haushalt_2025-11.pdf</v>
      </c>
    </row>
    <row r="106" ht="28" customHeight="1">
      <c r="A106" s="29" t="n">
        <v>45987</v>
      </c>
      <c r="B106" s="29" t="n">
        <v>45987</v>
      </c>
      <c r="C106" s="18" t="str">
        <v>202511-GEB</v>
      </c>
      <c r="D106" s="18" t="str">
        <v>Waldsee Versicherung</v>
      </c>
      <c r="E106" s="18" t="str">
        <v>Wohngebäude / Monatsrate</v>
      </c>
      <c r="F106" s="23" t="n">
        <v>-39.8</v>
      </c>
      <c r="G106" s="23" t="n">
        <v>11220.03</v>
      </c>
      <c r="H106" s="18" t="str">
        <v>kontoauszuege/Haushalt_2025-11.pdf</v>
      </c>
    </row>
    <row r="107" ht="28" customHeight="1">
      <c r="A107" s="30" t="n">
        <v>45989</v>
      </c>
      <c r="B107" s="30" t="n">
        <v>45989</v>
      </c>
      <c r="C107" s="17" t="str">
        <v>202511-DROGERIE</v>
      </c>
      <c r="D107" s="17" t="str">
        <v>Drogerie am Park</v>
      </c>
      <c r="E107" s="17" t="str">
        <v>Kartenzahlung / Haushalt und Schulbedarf</v>
      </c>
      <c r="F107" s="24" t="n">
        <v>-90.35</v>
      </c>
      <c r="G107" s="24" t="n">
        <v>11129.68</v>
      </c>
      <c r="H107" s="17" t="str">
        <v>kontoauszuege/Haushalt_2025-11.pdf</v>
      </c>
    </row>
    <row r="108" ht="28" customHeight="1">
      <c r="A108" s="29" t="n">
        <v>45992</v>
      </c>
      <c r="B108" s="29" t="n">
        <v>45992</v>
      </c>
      <c r="C108" s="18" t="str">
        <v>202511-GEB-HAUSHALT</v>
      </c>
      <c r="D108" s="18" t="str">
        <v>Havelbogen Bank eG</v>
      </c>
      <c r="E108" s="18" t="str">
        <v>Kontoführung / Monatsentgelt</v>
      </c>
      <c r="F108" s="23" t="n">
        <v>-6.9</v>
      </c>
      <c r="G108" s="23" t="n">
        <v>11122.78</v>
      </c>
      <c r="H108" s="18" t="str">
        <v>kontoauszuege/Haushalt_2025-12.pdf</v>
      </c>
    </row>
    <row r="109" ht="28" customHeight="1">
      <c r="A109" s="30" t="n">
        <v>45993</v>
      </c>
      <c r="B109" s="30" t="n">
        <v>45993</v>
      </c>
      <c r="C109" s="17" t="str">
        <v>202512-M-H</v>
      </c>
      <c r="D109" s="17" t="str">
        <v>Mara Bergmann</v>
      </c>
      <c r="E109" s="17" t="str">
        <v>Übertrag Privatkonto 4401</v>
      </c>
      <c r="F109" s="24" t="n">
        <v>2300</v>
      </c>
      <c r="G109" s="24" t="n">
        <v>13422.78</v>
      </c>
      <c r="H109" s="17" t="str">
        <v>kontoauszuege/Haushalt_2025-12.pdf</v>
      </c>
    </row>
    <row r="110" ht="28" customHeight="1">
      <c r="A110" s="29" t="n">
        <v>45994</v>
      </c>
      <c r="B110" s="29" t="n">
        <v>45994</v>
      </c>
      <c r="C110" s="18" t="str">
        <v>202512-J-H</v>
      </c>
      <c r="D110" s="18" t="str">
        <v>Jonas Bergmann</v>
      </c>
      <c r="E110" s="18" t="str">
        <v>Übertrag Privatkonto 4402</v>
      </c>
      <c r="F110" s="23" t="n">
        <v>950</v>
      </c>
      <c r="G110" s="23" t="n">
        <v>14372.78</v>
      </c>
      <c r="H110" s="18" t="str">
        <v>kontoauszuege/Haushalt_2025-12.pdf</v>
      </c>
    </row>
    <row r="111" ht="28" customHeight="1">
      <c r="A111" s="30" t="n">
        <v>45996</v>
      </c>
      <c r="B111" s="30" t="n">
        <v>45996</v>
      </c>
      <c r="C111" s="17" t="str">
        <v>202512-HD</v>
      </c>
      <c r="D111" s="17" t="str">
        <v>Havelbogen Bank eG</v>
      </c>
      <c r="E111" s="17" t="str">
        <v>Annuität HD-2014-731</v>
      </c>
      <c r="F111" s="24" t="n">
        <v>-1380</v>
      </c>
      <c r="G111" s="24" t="n">
        <v>12992.78</v>
      </c>
      <c r="H111" s="17" t="str">
        <v>kontoauszuege/Haushalt_2025-12.pdf</v>
      </c>
    </row>
    <row r="112" ht="28" customHeight="1">
      <c r="A112" s="29" t="n">
        <v>45999</v>
      </c>
      <c r="B112" s="29" t="n">
        <v>45999</v>
      </c>
      <c r="C112" s="18" t="str">
        <v>202512-ENERGIE</v>
      </c>
      <c r="D112" s="18" t="str">
        <v>Stadtwerke Potsdam</v>
      </c>
      <c r="E112" s="18" t="str">
        <v>Strom und Wärme / Abschlag 7318</v>
      </c>
      <c r="F112" s="23" t="n">
        <v>-310</v>
      </c>
      <c r="G112" s="23" t="n">
        <v>12682.78</v>
      </c>
      <c r="H112" s="18" t="str">
        <v>kontoauszuege/Haushalt_2025-12.pdf</v>
      </c>
    </row>
    <row r="113" ht="28" customHeight="1">
      <c r="A113" s="30" t="n">
        <v>46001</v>
      </c>
      <c r="B113" s="30" t="n">
        <v>46001</v>
      </c>
      <c r="C113" s="17" t="str">
        <v>202512-ESSEN</v>
      </c>
      <c r="D113" s="17" t="str">
        <v>Schulcatering Havelküche</v>
      </c>
      <c r="E113" s="17" t="str">
        <v>Jule / Oskar / Monatsabrechnung</v>
      </c>
      <c r="F113" s="24" t="n">
        <v>-124.6</v>
      </c>
      <c r="G113" s="24" t="n">
        <v>12558.18</v>
      </c>
      <c r="H113" s="17" t="str">
        <v>kontoauszuege/Haushalt_2025-12.pdf</v>
      </c>
    </row>
    <row r="114" ht="28" customHeight="1">
      <c r="A114" s="29" t="n">
        <v>46003</v>
      </c>
      <c r="B114" s="29" t="n">
        <v>46003</v>
      </c>
      <c r="C114" s="18" t="str">
        <v>202512-SPORT</v>
      </c>
      <c r="D114" s="18" t="str">
        <v>Turnverein Bornim</v>
      </c>
      <c r="E114" s="18" t="str">
        <v>Beiträge Jule und Oskar</v>
      </c>
      <c r="F114" s="23" t="n">
        <v>-48</v>
      </c>
      <c r="G114" s="23" t="n">
        <v>12510.18</v>
      </c>
      <c r="H114" s="18" t="str">
        <v>kontoauszuege/Haushalt_2025-12.pdf</v>
      </c>
    </row>
    <row r="115" ht="28" customHeight="1">
      <c r="A115" s="30" t="n">
        <v>46006</v>
      </c>
      <c r="B115" s="30" t="n">
        <v>46006</v>
      </c>
      <c r="C115" s="17" t="str">
        <v>202512-NETZ</v>
      </c>
      <c r="D115" s="17" t="str">
        <v>Telekommunikation</v>
      </c>
      <c r="E115" s="17" t="str">
        <v>Internet Kastanienweg 18</v>
      </c>
      <c r="F115" s="24" t="n">
        <v>-44.9</v>
      </c>
      <c r="G115" s="24" t="n">
        <v>12465.28</v>
      </c>
      <c r="H115" s="17" t="str">
        <v>kontoauszuege/Haushalt_2025-12.pdf</v>
      </c>
    </row>
    <row r="116" ht="28" customHeight="1">
      <c r="A116" s="29" t="n">
        <v>46009</v>
      </c>
      <c r="B116" s="29" t="n">
        <v>46009</v>
      </c>
      <c r="C116" s="18" t="str">
        <v>202512-MARKT1</v>
      </c>
      <c r="D116" s="18" t="str">
        <v>Markt am Bornstedter Feld</v>
      </c>
      <c r="E116" s="18" t="str">
        <v>Kartenzahlung Haushalt</v>
      </c>
      <c r="F116" s="23" t="n">
        <v>-222.43</v>
      </c>
      <c r="G116" s="23" t="n">
        <v>12242.85</v>
      </c>
      <c r="H116" s="18" t="str">
        <v>kontoauszuege/Haushalt_2025-12.pdf</v>
      </c>
    </row>
    <row r="117" ht="28" customHeight="1">
      <c r="A117" s="30" t="n">
        <v>46013</v>
      </c>
      <c r="B117" s="30" t="n">
        <v>46013</v>
      </c>
      <c r="C117" s="17" t="str">
        <v>202512-MARKT2</v>
      </c>
      <c r="D117" s="17" t="str">
        <v>Lebensmittelmarkt Potsdam</v>
      </c>
      <c r="E117" s="17" t="str">
        <v>Kartenzahlung Haushalt</v>
      </c>
      <c r="F117" s="24" t="n">
        <v>-197.16</v>
      </c>
      <c r="G117" s="24" t="n">
        <v>12045.69</v>
      </c>
      <c r="H117" s="17" t="str">
        <v>kontoauszuege/Haushalt_2025-12.pdf</v>
      </c>
    </row>
    <row r="118" ht="28" customHeight="1">
      <c r="A118" s="29" t="n">
        <v>46020</v>
      </c>
      <c r="B118" s="29" t="n">
        <v>46020</v>
      </c>
      <c r="C118" s="18" t="str">
        <v>202512-DROGERIE</v>
      </c>
      <c r="D118" s="18" t="str">
        <v>Drogerie am Park</v>
      </c>
      <c r="E118" s="18" t="str">
        <v>Kartenzahlung / Haushalt und Schulbedarf</v>
      </c>
      <c r="F118" s="23" t="n">
        <v>-92.35</v>
      </c>
      <c r="G118" s="23" t="n">
        <v>11953.34</v>
      </c>
      <c r="H118" s="18" t="str">
        <v>kontoauszuege/Haushalt_2025-12.pdf</v>
      </c>
    </row>
    <row r="119" ht="28" customHeight="1">
      <c r="A119" s="30" t="n">
        <v>46020</v>
      </c>
      <c r="B119" s="30" t="n">
        <v>46020</v>
      </c>
      <c r="C119" s="17" t="str">
        <v>202512-GEB</v>
      </c>
      <c r="D119" s="17" t="str">
        <v>Waldsee Versicherung</v>
      </c>
      <c r="E119" s="17" t="str">
        <v>Wohngebäude / Monatsrate</v>
      </c>
      <c r="F119" s="24" t="n">
        <v>-39.8</v>
      </c>
      <c r="G119" s="24" t="n">
        <v>11913.54</v>
      </c>
      <c r="H119" s="17" t="str">
        <v>kontoauszuege/Haushalt_2025-12.pdf</v>
      </c>
    </row>
    <row r="120" ht="28" customHeight="1">
      <c r="A120" s="29" t="n">
        <v>46022</v>
      </c>
      <c r="B120" s="29" t="n">
        <v>46022</v>
      </c>
      <c r="C120" s="18" t="str">
        <v>202512-GEB-HAUSHALT</v>
      </c>
      <c r="D120" s="18" t="str">
        <v>Havelbogen Bank eG</v>
      </c>
      <c r="E120" s="18" t="str">
        <v>Kontoführung / Monatsentgelt</v>
      </c>
      <c r="F120" s="23" t="n">
        <v>-6.9</v>
      </c>
      <c r="G120" s="23" t="n">
        <v>11906.64</v>
      </c>
      <c r="H120" s="18" t="str">
        <v>kontoauszuege/Haushalt_2025-12.pdf</v>
      </c>
    </row>
    <row r="121" ht="28" customHeight="1">
      <c r="A121" s="30" t="n">
        <v>46024</v>
      </c>
      <c r="B121" s="30" t="n">
        <v>46024</v>
      </c>
      <c r="C121" s="17" t="str">
        <v>202601-M-H</v>
      </c>
      <c r="D121" s="17" t="str">
        <v>Mara Bergmann</v>
      </c>
      <c r="E121" s="17" t="str">
        <v>Übertrag Privatkonto 4401</v>
      </c>
      <c r="F121" s="24" t="n">
        <v>2300</v>
      </c>
      <c r="G121" s="24" t="n">
        <v>14206.64</v>
      </c>
      <c r="H121" s="17" t="str">
        <v>kontoauszuege/Haushalt_2026-01.pdf</v>
      </c>
    </row>
    <row r="122" ht="28" customHeight="1">
      <c r="A122" s="29" t="n">
        <v>46027</v>
      </c>
      <c r="B122" s="29" t="n">
        <v>46027</v>
      </c>
      <c r="C122" s="18" t="str">
        <v>202601-HD</v>
      </c>
      <c r="D122" s="18" t="str">
        <v>Havelbogen Bank eG</v>
      </c>
      <c r="E122" s="18" t="str">
        <v>Annuität HD-2014-731</v>
      </c>
      <c r="F122" s="23" t="n">
        <v>-1380</v>
      </c>
      <c r="G122" s="23" t="n">
        <v>12826.64</v>
      </c>
      <c r="H122" s="18" t="str">
        <v>kontoauszuege/Haushalt_2026-01.pdf</v>
      </c>
    </row>
    <row r="123" ht="28" customHeight="1">
      <c r="A123" s="30" t="n">
        <v>46027</v>
      </c>
      <c r="B123" s="30" t="n">
        <v>46027</v>
      </c>
      <c r="C123" s="17" t="str">
        <v>202601-J-H</v>
      </c>
      <c r="D123" s="17" t="str">
        <v>Jonas Bergmann</v>
      </c>
      <c r="E123" s="17" t="str">
        <v>Übertrag Privatkonto 4402</v>
      </c>
      <c r="F123" s="24" t="n">
        <v>950</v>
      </c>
      <c r="G123" s="24" t="n">
        <v>13776.64</v>
      </c>
      <c r="H123" s="17" t="str">
        <v>kontoauszuege/Haushalt_2026-01.pdf</v>
      </c>
    </row>
    <row r="124" ht="28" customHeight="1">
      <c r="A124" s="29" t="n">
        <v>46030</v>
      </c>
      <c r="B124" s="29" t="n">
        <v>46030</v>
      </c>
      <c r="C124" s="18" t="str">
        <v>202601-ENERGIE</v>
      </c>
      <c r="D124" s="18" t="str">
        <v>Stadtwerke Potsdam</v>
      </c>
      <c r="E124" s="18" t="str">
        <v>Strom und Wärme / Abschlag 7318</v>
      </c>
      <c r="F124" s="23" t="n">
        <v>-310</v>
      </c>
      <c r="G124" s="23" t="n">
        <v>13466.64</v>
      </c>
      <c r="H124" s="18" t="str">
        <v>kontoauszuege/Haushalt_2026-01.pdf</v>
      </c>
    </row>
    <row r="125" ht="28" customHeight="1">
      <c r="A125" s="30" t="n">
        <v>46034</v>
      </c>
      <c r="B125" s="30" t="n">
        <v>46034</v>
      </c>
      <c r="C125" s="17" t="str">
        <v>202601-ESSEN</v>
      </c>
      <c r="D125" s="17" t="str">
        <v>Schulcatering Havelküche</v>
      </c>
      <c r="E125" s="17" t="str">
        <v>Jule / Oskar / Monatsabrechnung</v>
      </c>
      <c r="F125" s="24" t="n">
        <v>-124.6</v>
      </c>
      <c r="G125" s="24" t="n">
        <v>13342.04</v>
      </c>
      <c r="H125" s="17" t="str">
        <v>kontoauszuege/Haushalt_2026-01.pdf</v>
      </c>
    </row>
    <row r="126" ht="28" customHeight="1">
      <c r="A126" s="29" t="n">
        <v>46034</v>
      </c>
      <c r="B126" s="29" t="n">
        <v>46034</v>
      </c>
      <c r="C126" s="18" t="str">
        <v>202601-SPORT</v>
      </c>
      <c r="D126" s="18" t="str">
        <v>Turnverein Bornim</v>
      </c>
      <c r="E126" s="18" t="str">
        <v>Beiträge Jule und Oskar</v>
      </c>
      <c r="F126" s="23" t="n">
        <v>-48</v>
      </c>
      <c r="G126" s="23" t="n">
        <v>13294.04</v>
      </c>
      <c r="H126" s="18" t="str">
        <v>kontoauszuege/Haushalt_2026-01.pdf</v>
      </c>
    </row>
    <row r="127" ht="28" customHeight="1">
      <c r="A127" s="30" t="n">
        <v>46037</v>
      </c>
      <c r="B127" s="30" t="n">
        <v>46037</v>
      </c>
      <c r="C127" s="17" t="str">
        <v>202601-NETZ</v>
      </c>
      <c r="D127" s="17" t="str">
        <v>Telekommunikation</v>
      </c>
      <c r="E127" s="17" t="str">
        <v>Internet Kastanienweg 18</v>
      </c>
      <c r="F127" s="24" t="n">
        <v>-44.9</v>
      </c>
      <c r="G127" s="24" t="n">
        <v>13249.14</v>
      </c>
      <c r="H127" s="17" t="str">
        <v>kontoauszuege/Haushalt_2026-01.pdf</v>
      </c>
    </row>
    <row r="128" ht="28" customHeight="1">
      <c r="A128" s="29" t="n">
        <v>46041</v>
      </c>
      <c r="B128" s="29" t="n">
        <v>46041</v>
      </c>
      <c r="C128" s="18" t="str">
        <v>202601-MARKT1</v>
      </c>
      <c r="D128" s="18" t="str">
        <v>Markt am Bornstedter Feld</v>
      </c>
      <c r="E128" s="18" t="str">
        <v>Kartenzahlung Haushalt</v>
      </c>
      <c r="F128" s="23" t="n">
        <v>-189.43</v>
      </c>
      <c r="G128" s="23" t="n">
        <v>13059.71</v>
      </c>
      <c r="H128" s="18" t="str">
        <v>kontoauszuege/Haushalt_2026-01.pdf</v>
      </c>
    </row>
    <row r="129" ht="28" customHeight="1">
      <c r="A129" s="30" t="n">
        <v>46044</v>
      </c>
      <c r="B129" s="30" t="n">
        <v>46044</v>
      </c>
      <c r="C129" s="17" t="str">
        <v>202601-MARKT2</v>
      </c>
      <c r="D129" s="17" t="str">
        <v>Lebensmittelmarkt Potsdam</v>
      </c>
      <c r="E129" s="17" t="str">
        <v>Kartenzahlung Haushalt</v>
      </c>
      <c r="F129" s="24" t="n">
        <v>-153.16</v>
      </c>
      <c r="G129" s="24" t="n">
        <v>12906.55</v>
      </c>
      <c r="H129" s="17" t="str">
        <v>kontoauszuege/Haushalt_2026-01.pdf</v>
      </c>
    </row>
    <row r="130" ht="28" customHeight="1">
      <c r="A130" s="29" t="n">
        <v>46048</v>
      </c>
      <c r="B130" s="29" t="n">
        <v>46048</v>
      </c>
      <c r="C130" s="18" t="str">
        <v>202601-GEB</v>
      </c>
      <c r="D130" s="18" t="str">
        <v>Waldsee Versicherung</v>
      </c>
      <c r="E130" s="18" t="str">
        <v>Wohngebäude / Monatsrate</v>
      </c>
      <c r="F130" s="23" t="n">
        <v>-39.8</v>
      </c>
      <c r="G130" s="23" t="n">
        <v>12866.75</v>
      </c>
      <c r="H130" s="18" t="str">
        <v>kontoauszuege/Haushalt_2026-01.pdf</v>
      </c>
    </row>
    <row r="131" ht="28" customHeight="1">
      <c r="A131" s="30" t="n">
        <v>46050</v>
      </c>
      <c r="B131" s="30" t="n">
        <v>46050</v>
      </c>
      <c r="C131" s="17" t="str">
        <v>202601-DROGERIE</v>
      </c>
      <c r="D131" s="17" t="str">
        <v>Drogerie am Park</v>
      </c>
      <c r="E131" s="17" t="str">
        <v>Kartenzahlung / Haushalt und Schulbedarf</v>
      </c>
      <c r="F131" s="24" t="n">
        <v>-70.35</v>
      </c>
      <c r="G131" s="24" t="n">
        <v>12796.4</v>
      </c>
      <c r="H131" s="17" t="str">
        <v>kontoauszuege/Haushalt_2026-01.pdf</v>
      </c>
    </row>
    <row r="132" ht="28" customHeight="1">
      <c r="A132" s="29" t="n">
        <v>46055</v>
      </c>
      <c r="B132" s="29" t="n">
        <v>46055</v>
      </c>
      <c r="C132" s="18" t="str">
        <v>202601-GEB-HAUSHALT</v>
      </c>
      <c r="D132" s="18" t="str">
        <v>Havelbogen Bank eG</v>
      </c>
      <c r="E132" s="18" t="str">
        <v>Kontoführung / Monatsentgelt</v>
      </c>
      <c r="F132" s="23" t="n">
        <v>-6.9</v>
      </c>
      <c r="G132" s="23" t="n">
        <v>12789.5</v>
      </c>
      <c r="H132" s="18" t="str">
        <v>kontoauszuege/Haushalt_2026-02.pdf</v>
      </c>
    </row>
    <row r="133" ht="28" customHeight="1">
      <c r="A133" s="30" t="n">
        <v>46055</v>
      </c>
      <c r="B133" s="30" t="n">
        <v>46055</v>
      </c>
      <c r="C133" s="17" t="str">
        <v>202602-M-H</v>
      </c>
      <c r="D133" s="17" t="str">
        <v>Mara Bergmann</v>
      </c>
      <c r="E133" s="17" t="str">
        <v>Übertrag Privatkonto 4401</v>
      </c>
      <c r="F133" s="24" t="n">
        <v>2300</v>
      </c>
      <c r="G133" s="24" t="n">
        <v>15089.5</v>
      </c>
      <c r="H133" s="17" t="str">
        <v>kontoauszuege/Haushalt_2026-02.pdf</v>
      </c>
    </row>
    <row r="134" ht="28" customHeight="1">
      <c r="A134" s="29" t="n">
        <v>46056</v>
      </c>
      <c r="B134" s="29" t="n">
        <v>46056</v>
      </c>
      <c r="C134" s="18" t="str">
        <v>202602-J-H</v>
      </c>
      <c r="D134" s="18" t="str">
        <v>Jonas Bergmann</v>
      </c>
      <c r="E134" s="18" t="str">
        <v>Übertrag Privatkonto 4402</v>
      </c>
      <c r="F134" s="23" t="n">
        <v>950</v>
      </c>
      <c r="G134" s="23" t="n">
        <v>16039.5</v>
      </c>
      <c r="H134" s="18" t="str">
        <v>kontoauszuege/Haushalt_2026-02.pdf</v>
      </c>
    </row>
    <row r="135" ht="28" customHeight="1">
      <c r="A135" s="30" t="n">
        <v>46058</v>
      </c>
      <c r="B135" s="30" t="n">
        <v>46058</v>
      </c>
      <c r="C135" s="17" t="str">
        <v>202602-HD</v>
      </c>
      <c r="D135" s="17" t="str">
        <v>Havelbogen Bank eG</v>
      </c>
      <c r="E135" s="17" t="str">
        <v>Annuität HD-2014-731</v>
      </c>
      <c r="F135" s="24" t="n">
        <v>-1380</v>
      </c>
      <c r="G135" s="24" t="n">
        <v>14659.5</v>
      </c>
      <c r="H135" s="17" t="str">
        <v>kontoauszuege/Haushalt_2026-02.pdf</v>
      </c>
    </row>
    <row r="136" ht="28" customHeight="1">
      <c r="A136" s="29" t="n">
        <v>46062</v>
      </c>
      <c r="B136" s="29" t="n">
        <v>46062</v>
      </c>
      <c r="C136" s="18" t="str">
        <v>202602-ENERGIE</v>
      </c>
      <c r="D136" s="18" t="str">
        <v>Stadtwerke Potsdam</v>
      </c>
      <c r="E136" s="18" t="str">
        <v>Strom und Wärme / Abschlag 7318</v>
      </c>
      <c r="F136" s="23" t="n">
        <v>-310</v>
      </c>
      <c r="G136" s="23" t="n">
        <v>14349.5</v>
      </c>
      <c r="H136" s="18" t="str">
        <v>kontoauszuege/Haushalt_2026-02.pdf</v>
      </c>
    </row>
    <row r="137" ht="28" customHeight="1">
      <c r="A137" s="30" t="n">
        <v>46063</v>
      </c>
      <c r="B137" s="30" t="n">
        <v>46063</v>
      </c>
      <c r="C137" s="17" t="str">
        <v>202602-ESSEN</v>
      </c>
      <c r="D137" s="17" t="str">
        <v>Schulcatering Havelküche</v>
      </c>
      <c r="E137" s="17" t="str">
        <v>Jule / Oskar / Monatsabrechnung</v>
      </c>
      <c r="F137" s="24" t="n">
        <v>-124.6</v>
      </c>
      <c r="G137" s="24" t="n">
        <v>14224.9</v>
      </c>
      <c r="H137" s="17" t="str">
        <v>kontoauszuege/Haushalt_2026-02.pdf</v>
      </c>
    </row>
    <row r="138" ht="28" customHeight="1">
      <c r="A138" s="29" t="n">
        <v>46065</v>
      </c>
      <c r="B138" s="29" t="n">
        <v>46065</v>
      </c>
      <c r="C138" s="18" t="str">
        <v>202602-SPORT</v>
      </c>
      <c r="D138" s="18" t="str">
        <v>Turnverein Bornim</v>
      </c>
      <c r="E138" s="18" t="str">
        <v>Beiträge Jule und Oskar</v>
      </c>
      <c r="F138" s="23" t="n">
        <v>-48</v>
      </c>
      <c r="G138" s="23" t="n">
        <v>14176.9</v>
      </c>
      <c r="H138" s="18" t="str">
        <v>kontoauszuege/Haushalt_2026-02.pdf</v>
      </c>
    </row>
    <row r="139" ht="28" customHeight="1">
      <c r="A139" s="30" t="n">
        <v>46069</v>
      </c>
      <c r="B139" s="30" t="n">
        <v>46069</v>
      </c>
      <c r="C139" s="17" t="str">
        <v>202602-NETZ</v>
      </c>
      <c r="D139" s="17" t="str">
        <v>Telekommunikation</v>
      </c>
      <c r="E139" s="17" t="str">
        <v>Internet Kastanienweg 18</v>
      </c>
      <c r="F139" s="24" t="n">
        <v>-44.9</v>
      </c>
      <c r="G139" s="24" t="n">
        <v>14132</v>
      </c>
      <c r="H139" s="17" t="str">
        <v>kontoauszuege/Haushalt_2026-02.pdf</v>
      </c>
    </row>
    <row r="140" ht="28" customHeight="1">
      <c r="A140" s="29" t="n">
        <v>46071</v>
      </c>
      <c r="B140" s="29" t="n">
        <v>46071</v>
      </c>
      <c r="C140" s="18" t="str">
        <v>202602-MARKT1</v>
      </c>
      <c r="D140" s="18" t="str">
        <v>Markt am Bornstedter Feld</v>
      </c>
      <c r="E140" s="18" t="str">
        <v>Kartenzahlung Haushalt</v>
      </c>
      <c r="F140" s="23" t="n">
        <v>-192.43</v>
      </c>
      <c r="G140" s="23" t="n">
        <v>13939.57</v>
      </c>
      <c r="H140" s="18" t="str">
        <v>kontoauszuege/Haushalt_2026-02.pdf</v>
      </c>
    </row>
    <row r="141" ht="28" customHeight="1">
      <c r="A141" s="30" t="n">
        <v>46076</v>
      </c>
      <c r="B141" s="30" t="n">
        <v>46076</v>
      </c>
      <c r="C141" s="17" t="str">
        <v>202602-MARKT2</v>
      </c>
      <c r="D141" s="17" t="str">
        <v>Lebensmittelmarkt Potsdam</v>
      </c>
      <c r="E141" s="17" t="str">
        <v>Kartenzahlung Haushalt</v>
      </c>
      <c r="F141" s="24" t="n">
        <v>-157.16</v>
      </c>
      <c r="G141" s="24" t="n">
        <v>13782.41</v>
      </c>
      <c r="H141" s="17" t="str">
        <v>kontoauszuege/Haushalt_2026-02.pdf</v>
      </c>
    </row>
    <row r="142" ht="28" customHeight="1">
      <c r="A142" s="29" t="n">
        <v>46079</v>
      </c>
      <c r="B142" s="29" t="n">
        <v>46079</v>
      </c>
      <c r="C142" s="18" t="str">
        <v>202602-GEB</v>
      </c>
      <c r="D142" s="18" t="str">
        <v>Waldsee Versicherung</v>
      </c>
      <c r="E142" s="18" t="str">
        <v>Wohngebäude / Monatsrate</v>
      </c>
      <c r="F142" s="23" t="n">
        <v>-39.8</v>
      </c>
      <c r="G142" s="23" t="n">
        <v>13742.61</v>
      </c>
      <c r="H142" s="18" t="str">
        <v>kontoauszuege/Haushalt_2026-02.pdf</v>
      </c>
    </row>
    <row r="143" ht="28" customHeight="1">
      <c r="A143" s="30" t="n">
        <v>46083</v>
      </c>
      <c r="B143" s="30" t="n">
        <v>46083</v>
      </c>
      <c r="C143" s="17" t="str">
        <v>202602-DROGERIE</v>
      </c>
      <c r="D143" s="17" t="str">
        <v>Drogerie am Park</v>
      </c>
      <c r="E143" s="17" t="str">
        <v>Kartenzahlung / Haushalt und Schulbedarf</v>
      </c>
      <c r="F143" s="24" t="n">
        <v>-72.35</v>
      </c>
      <c r="G143" s="24" t="n">
        <v>13670.26</v>
      </c>
      <c r="H143" s="17" t="str">
        <v>kontoauszuege/Haushalt_2026-03.pdf</v>
      </c>
    </row>
    <row r="144" ht="28" customHeight="1">
      <c r="A144" s="29" t="n">
        <v>46083</v>
      </c>
      <c r="B144" s="29" t="n">
        <v>46083</v>
      </c>
      <c r="C144" s="18" t="str">
        <v>202602-GEB-HAUSHALT</v>
      </c>
      <c r="D144" s="18" t="str">
        <v>Havelbogen Bank eG</v>
      </c>
      <c r="E144" s="18" t="str">
        <v>Kontoführung / Monatsentgelt</v>
      </c>
      <c r="F144" s="23" t="n">
        <v>-6.9</v>
      </c>
      <c r="G144" s="23" t="n">
        <v>13663.36</v>
      </c>
      <c r="H144" s="18" t="str">
        <v>kontoauszuege/Haushalt_2026-03.pdf</v>
      </c>
    </row>
    <row r="145" ht="28" customHeight="1">
      <c r="A145" s="30" t="n">
        <v>46083</v>
      </c>
      <c r="B145" s="30" t="n">
        <v>46083</v>
      </c>
      <c r="C145" s="17" t="str">
        <v>202603-M-H</v>
      </c>
      <c r="D145" s="17" t="str">
        <v>Mara Bergmann</v>
      </c>
      <c r="E145" s="17" t="str">
        <v>Übertrag Privatkonto 4401</v>
      </c>
      <c r="F145" s="24" t="n">
        <v>2300</v>
      </c>
      <c r="G145" s="24" t="n">
        <v>15963.36</v>
      </c>
      <c r="H145" s="17" t="str">
        <v>kontoauszuege/Haushalt_2026-03.pdf</v>
      </c>
    </row>
    <row r="146" ht="28" customHeight="1">
      <c r="A146" s="29" t="n">
        <v>46084</v>
      </c>
      <c r="B146" s="29" t="n">
        <v>46084</v>
      </c>
      <c r="C146" s="18" t="str">
        <v>202603-J-H</v>
      </c>
      <c r="D146" s="18" t="str">
        <v>Jonas Bergmann</v>
      </c>
      <c r="E146" s="18" t="str">
        <v>Übertrag Privatkonto 4402</v>
      </c>
      <c r="F146" s="23" t="n">
        <v>950</v>
      </c>
      <c r="G146" s="23" t="n">
        <v>16913.36</v>
      </c>
      <c r="H146" s="18" t="str">
        <v>kontoauszuege/Haushalt_2026-03.pdf</v>
      </c>
    </row>
    <row r="147" ht="28" customHeight="1">
      <c r="A147" s="30" t="n">
        <v>46086</v>
      </c>
      <c r="B147" s="30" t="n">
        <v>46086</v>
      </c>
      <c r="C147" s="17" t="str">
        <v>202603-HD</v>
      </c>
      <c r="D147" s="17" t="str">
        <v>Havelbogen Bank eG</v>
      </c>
      <c r="E147" s="17" t="str">
        <v>Annuität HD-2014-731</v>
      </c>
      <c r="F147" s="24" t="n">
        <v>-1380</v>
      </c>
      <c r="G147" s="24" t="n">
        <v>15533.36</v>
      </c>
      <c r="H147" s="17" t="str">
        <v>kontoauszuege/Haushalt_2026-03.pdf</v>
      </c>
    </row>
    <row r="148" ht="28" customHeight="1">
      <c r="A148" s="29" t="n">
        <v>46090</v>
      </c>
      <c r="B148" s="29" t="n">
        <v>46090</v>
      </c>
      <c r="C148" s="18" t="str">
        <v>202603-ENERGIE</v>
      </c>
      <c r="D148" s="18" t="str">
        <v>Stadtwerke Potsdam</v>
      </c>
      <c r="E148" s="18" t="str">
        <v>Strom und Wärme / Abschlag 7318</v>
      </c>
      <c r="F148" s="23" t="n">
        <v>-310</v>
      </c>
      <c r="G148" s="23" t="n">
        <v>15223.36</v>
      </c>
      <c r="H148" s="18" t="str">
        <v>kontoauszuege/Haushalt_2026-03.pdf</v>
      </c>
    </row>
    <row r="149" ht="28" customHeight="1">
      <c r="A149" s="30" t="n">
        <v>46091</v>
      </c>
      <c r="B149" s="30" t="n">
        <v>46091</v>
      </c>
      <c r="C149" s="17" t="str">
        <v>202603-ESSEN</v>
      </c>
      <c r="D149" s="17" t="str">
        <v>Schulcatering Havelküche</v>
      </c>
      <c r="E149" s="17" t="str">
        <v>Jule / Oskar / Monatsabrechnung</v>
      </c>
      <c r="F149" s="24" t="n">
        <v>-124.6</v>
      </c>
      <c r="G149" s="24" t="n">
        <v>15098.76</v>
      </c>
      <c r="H149" s="17" t="str">
        <v>kontoauszuege/Haushalt_2026-03.pdf</v>
      </c>
    </row>
    <row r="150" ht="28" customHeight="1">
      <c r="A150" s="29" t="n">
        <v>46093</v>
      </c>
      <c r="B150" s="29" t="n">
        <v>46093</v>
      </c>
      <c r="C150" s="18" t="str">
        <v>202603-SPORT</v>
      </c>
      <c r="D150" s="18" t="str">
        <v>Turnverein Bornim</v>
      </c>
      <c r="E150" s="18" t="str">
        <v>Beiträge Jule und Oskar</v>
      </c>
      <c r="F150" s="23" t="n">
        <v>-48</v>
      </c>
      <c r="G150" s="23" t="n">
        <v>15050.76</v>
      </c>
      <c r="H150" s="18" t="str">
        <v>kontoauszuege/Haushalt_2026-03.pdf</v>
      </c>
    </row>
    <row r="151" ht="28" customHeight="1">
      <c r="A151" s="30" t="n">
        <v>46097</v>
      </c>
      <c r="B151" s="30" t="n">
        <v>46097</v>
      </c>
      <c r="C151" s="17" t="str">
        <v>202603-NETZ</v>
      </c>
      <c r="D151" s="17" t="str">
        <v>Telekommunikation</v>
      </c>
      <c r="E151" s="17" t="str">
        <v>Internet Kastanienweg 18</v>
      </c>
      <c r="F151" s="24" t="n">
        <v>-44.9</v>
      </c>
      <c r="G151" s="24" t="n">
        <v>15005.86</v>
      </c>
      <c r="H151" s="17" t="str">
        <v>kontoauszuege/Haushalt_2026-03.pdf</v>
      </c>
    </row>
    <row r="152" ht="28" customHeight="1">
      <c r="A152" s="29" t="n">
        <v>46099</v>
      </c>
      <c r="B152" s="29" t="n">
        <v>46099</v>
      </c>
      <c r="C152" s="18" t="str">
        <v>202603-MARKT1</v>
      </c>
      <c r="D152" s="18" t="str">
        <v>Markt am Bornstedter Feld</v>
      </c>
      <c r="E152" s="18" t="str">
        <v>Kartenzahlung Haushalt</v>
      </c>
      <c r="F152" s="23" t="n">
        <v>-195.43</v>
      </c>
      <c r="G152" s="23" t="n">
        <v>14810.43</v>
      </c>
      <c r="H152" s="18" t="str">
        <v>kontoauszuege/Haushalt_2026-03.pdf</v>
      </c>
    </row>
    <row r="153" ht="28" customHeight="1">
      <c r="A153" s="30" t="n">
        <v>46104</v>
      </c>
      <c r="B153" s="30" t="n">
        <v>46104</v>
      </c>
      <c r="C153" s="17" t="str">
        <v>202603-MARKT2</v>
      </c>
      <c r="D153" s="17" t="str">
        <v>Lebensmittelmarkt Potsdam</v>
      </c>
      <c r="E153" s="17" t="str">
        <v>Kartenzahlung Haushalt</v>
      </c>
      <c r="F153" s="24" t="n">
        <v>-161.16</v>
      </c>
      <c r="G153" s="24" t="n">
        <v>14649.27</v>
      </c>
      <c r="H153" s="17" t="str">
        <v>kontoauszuege/Haushalt_2026-03.pdf</v>
      </c>
    </row>
    <row r="154" ht="28" customHeight="1">
      <c r="A154" s="29" t="n">
        <v>46107</v>
      </c>
      <c r="B154" s="29" t="n">
        <v>46107</v>
      </c>
      <c r="C154" s="18" t="str">
        <v>202603-GEB</v>
      </c>
      <c r="D154" s="18" t="str">
        <v>Waldsee Versicherung</v>
      </c>
      <c r="E154" s="18" t="str">
        <v>Wohngebäude / Monatsrate</v>
      </c>
      <c r="F154" s="23" t="n">
        <v>-39.8</v>
      </c>
      <c r="G154" s="23" t="n">
        <v>14609.47</v>
      </c>
      <c r="H154" s="18" t="str">
        <v>kontoauszuege/Haushalt_2026-03.pdf</v>
      </c>
    </row>
    <row r="155" ht="28" customHeight="1">
      <c r="A155" s="30" t="n">
        <v>46111</v>
      </c>
      <c r="B155" s="30" t="n">
        <v>46111</v>
      </c>
      <c r="C155" s="17" t="str">
        <v>202603-DROGERIE</v>
      </c>
      <c r="D155" s="17" t="str">
        <v>Drogerie am Park</v>
      </c>
      <c r="E155" s="17" t="str">
        <v>Kartenzahlung / Haushalt und Schulbedarf</v>
      </c>
      <c r="F155" s="24" t="n">
        <v>-74.35</v>
      </c>
      <c r="G155" s="24" t="n">
        <v>14535.12</v>
      </c>
      <c r="H155" s="17" t="str">
        <v>kontoauszuege/Haushalt_2026-03.pdf</v>
      </c>
    </row>
    <row r="156" ht="28" customHeight="1">
      <c r="A156" s="29" t="n">
        <v>46112</v>
      </c>
      <c r="B156" s="29" t="n">
        <v>46112</v>
      </c>
      <c r="C156" s="18" t="str">
        <v>202603-GEB-HAUSHALT</v>
      </c>
      <c r="D156" s="18" t="str">
        <v>Havelbogen Bank eG</v>
      </c>
      <c r="E156" s="18" t="str">
        <v>Kontoführung / Monatsentgelt</v>
      </c>
      <c r="F156" s="23" t="n">
        <v>-6.9</v>
      </c>
      <c r="G156" s="23" t="n">
        <v>14528.22</v>
      </c>
      <c r="H156" s="18" t="str">
        <v>kontoauszuege/Haushalt_2026-03.pdf</v>
      </c>
    </row>
    <row r="157" ht="28" customHeight="1">
      <c r="A157" s="30" t="n">
        <v>46114</v>
      </c>
      <c r="B157" s="30" t="n">
        <v>46114</v>
      </c>
      <c r="C157" s="17" t="str">
        <v>202604-M-H</v>
      </c>
      <c r="D157" s="17" t="str">
        <v>Mara Bergmann</v>
      </c>
      <c r="E157" s="17" t="str">
        <v>Übertrag Privatkonto 4401</v>
      </c>
      <c r="F157" s="24" t="n">
        <v>2300</v>
      </c>
      <c r="G157" s="24" t="n">
        <v>16828.22</v>
      </c>
      <c r="H157" s="17" t="str">
        <v>kontoauszuege/Haushalt_2026-04.pdf</v>
      </c>
    </row>
    <row r="158" ht="28" customHeight="1">
      <c r="A158" s="29" t="n">
        <v>46119</v>
      </c>
      <c r="B158" s="29" t="n">
        <v>46119</v>
      </c>
      <c r="C158" s="18" t="str">
        <v>202604-HD</v>
      </c>
      <c r="D158" s="18" t="str">
        <v>Havelbogen Bank eG</v>
      </c>
      <c r="E158" s="18" t="str">
        <v>Annuität HD-2014-731</v>
      </c>
      <c r="F158" s="23" t="n">
        <v>-1380</v>
      </c>
      <c r="G158" s="23" t="n">
        <v>15448.22</v>
      </c>
      <c r="H158" s="18" t="str">
        <v>kontoauszuege/Haushalt_2026-04.pdf</v>
      </c>
    </row>
    <row r="159" ht="28" customHeight="1">
      <c r="A159" s="30" t="n">
        <v>46119</v>
      </c>
      <c r="B159" s="30" t="n">
        <v>46119</v>
      </c>
      <c r="C159" s="17" t="str">
        <v>202604-J-H</v>
      </c>
      <c r="D159" s="17" t="str">
        <v>Jonas Bergmann</v>
      </c>
      <c r="E159" s="17" t="str">
        <v>Übertrag Privatkonto 4402</v>
      </c>
      <c r="F159" s="24" t="n">
        <v>950</v>
      </c>
      <c r="G159" s="24" t="n">
        <v>16398.22</v>
      </c>
      <c r="H159" s="17" t="str">
        <v>kontoauszuege/Haushalt_2026-04.pdf</v>
      </c>
    </row>
    <row r="160" ht="28" customHeight="1">
      <c r="A160" s="29" t="n">
        <v>46120</v>
      </c>
      <c r="B160" s="29" t="n">
        <v>46120</v>
      </c>
      <c r="C160" s="18" t="str">
        <v>202604-ENERGIE</v>
      </c>
      <c r="D160" s="18" t="str">
        <v>Stadtwerke Potsdam</v>
      </c>
      <c r="E160" s="18" t="str">
        <v>Strom und Wärme / Abschlag 7318</v>
      </c>
      <c r="F160" s="23" t="n">
        <v>-310</v>
      </c>
      <c r="G160" s="23" t="n">
        <v>16088.22</v>
      </c>
      <c r="H160" s="18" t="str">
        <v>kontoauszuege/Haushalt_2026-04.pdf</v>
      </c>
    </row>
    <row r="161" ht="28" customHeight="1">
      <c r="A161" s="30" t="n">
        <v>46122</v>
      </c>
      <c r="B161" s="30" t="n">
        <v>46122</v>
      </c>
      <c r="C161" s="17" t="str">
        <v>202604-ESSEN</v>
      </c>
      <c r="D161" s="17" t="str">
        <v>Schulcatering Havelküche</v>
      </c>
      <c r="E161" s="17" t="str">
        <v>Jule / Oskar / Monatsabrechnung</v>
      </c>
      <c r="F161" s="24" t="n">
        <v>-124.6</v>
      </c>
      <c r="G161" s="24" t="n">
        <v>15963.62</v>
      </c>
      <c r="H161" s="17" t="str">
        <v>kontoauszuege/Haushalt_2026-04.pdf</v>
      </c>
    </row>
    <row r="162" ht="28" customHeight="1">
      <c r="A162" s="29" t="n">
        <v>46125</v>
      </c>
      <c r="B162" s="29" t="n">
        <v>46125</v>
      </c>
      <c r="C162" s="18" t="str">
        <v>202604-SPORT</v>
      </c>
      <c r="D162" s="18" t="str">
        <v>Turnverein Bornim</v>
      </c>
      <c r="E162" s="18" t="str">
        <v>Beiträge Jule und Oskar</v>
      </c>
      <c r="F162" s="23" t="n">
        <v>-48</v>
      </c>
      <c r="G162" s="23" t="n">
        <v>15915.62</v>
      </c>
      <c r="H162" s="18" t="str">
        <v>kontoauszuege/Haushalt_2026-04.pdf</v>
      </c>
    </row>
    <row r="163" ht="28" customHeight="1">
      <c r="A163" s="30" t="n">
        <v>46127</v>
      </c>
      <c r="B163" s="30" t="n">
        <v>46127</v>
      </c>
      <c r="C163" s="17" t="str">
        <v>202604-NETZ</v>
      </c>
      <c r="D163" s="17" t="str">
        <v>Telekommunikation</v>
      </c>
      <c r="E163" s="17" t="str">
        <v>Internet Kastanienweg 18</v>
      </c>
      <c r="F163" s="24" t="n">
        <v>-44.9</v>
      </c>
      <c r="G163" s="24" t="n">
        <v>15870.72</v>
      </c>
      <c r="H163" s="17" t="str">
        <v>kontoauszuege/Haushalt_2026-04.pdf</v>
      </c>
    </row>
    <row r="164" ht="28" customHeight="1">
      <c r="A164" s="29" t="n">
        <v>46132</v>
      </c>
      <c r="B164" s="29" t="n">
        <v>46132</v>
      </c>
      <c r="C164" s="18" t="str">
        <v>202604-MARKT1</v>
      </c>
      <c r="D164" s="18" t="str">
        <v>Markt am Bornstedter Feld</v>
      </c>
      <c r="E164" s="18" t="str">
        <v>Kartenzahlung Haushalt</v>
      </c>
      <c r="F164" s="23" t="n">
        <v>-198.43</v>
      </c>
      <c r="G164" s="23" t="n">
        <v>15672.29</v>
      </c>
      <c r="H164" s="18" t="str">
        <v>kontoauszuege/Haushalt_2026-04.pdf</v>
      </c>
    </row>
    <row r="165" ht="28" customHeight="1">
      <c r="A165" s="30" t="n">
        <v>46134</v>
      </c>
      <c r="B165" s="30" t="n">
        <v>46134</v>
      </c>
      <c r="C165" s="17" t="str">
        <v>202604-MARKT2</v>
      </c>
      <c r="D165" s="17" t="str">
        <v>Lebensmittelmarkt Potsdam</v>
      </c>
      <c r="E165" s="17" t="str">
        <v>Kartenzahlung Haushalt</v>
      </c>
      <c r="F165" s="24" t="n">
        <v>-165.16</v>
      </c>
      <c r="G165" s="24" t="n">
        <v>15507.13</v>
      </c>
      <c r="H165" s="17" t="str">
        <v>kontoauszuege/Haushalt_2026-04.pdf</v>
      </c>
    </row>
    <row r="166" ht="28" customHeight="1">
      <c r="A166" s="29" t="n">
        <v>46139</v>
      </c>
      <c r="B166" s="29" t="n">
        <v>46139</v>
      </c>
      <c r="C166" s="18" t="str">
        <v>202604-GEB</v>
      </c>
      <c r="D166" s="18" t="str">
        <v>Waldsee Versicherung</v>
      </c>
      <c r="E166" s="18" t="str">
        <v>Wohngebäude / Monatsrate</v>
      </c>
      <c r="F166" s="23" t="n">
        <v>-39.8</v>
      </c>
      <c r="G166" s="23" t="n">
        <v>15467.33</v>
      </c>
      <c r="H166" s="18" t="str">
        <v>kontoauszuege/Haushalt_2026-04.pdf</v>
      </c>
    </row>
    <row r="167" ht="28" customHeight="1">
      <c r="A167" s="30" t="n">
        <v>46140</v>
      </c>
      <c r="B167" s="30" t="n">
        <v>46140</v>
      </c>
      <c r="C167" s="17" t="str">
        <v>202604-DROGERIE</v>
      </c>
      <c r="D167" s="17" t="str">
        <v>Drogerie am Park</v>
      </c>
      <c r="E167" s="17" t="str">
        <v>Kartenzahlung / Haushalt und Schulbedarf</v>
      </c>
      <c r="F167" s="24" t="n">
        <v>-76.35</v>
      </c>
      <c r="G167" s="24" t="n">
        <v>15390.98</v>
      </c>
      <c r="H167" s="17" t="str">
        <v>kontoauszuege/Haushalt_2026-04.pdf</v>
      </c>
    </row>
    <row r="168" ht="28" customHeight="1">
      <c r="A168" s="29" t="n">
        <v>46142</v>
      </c>
      <c r="B168" s="29" t="n">
        <v>46142</v>
      </c>
      <c r="C168" s="18" t="str">
        <v>202604-GEB-HAUSHALT</v>
      </c>
      <c r="D168" s="18" t="str">
        <v>Havelbogen Bank eG</v>
      </c>
      <c r="E168" s="18" t="str">
        <v>Kontoführung / Monatsentgelt</v>
      </c>
      <c r="F168" s="23" t="n">
        <v>-6.9</v>
      </c>
      <c r="G168" s="23" t="n">
        <v>15384.08</v>
      </c>
      <c r="H168" s="18" t="str">
        <v>kontoauszuege/Haushalt_2026-04.pdf</v>
      </c>
    </row>
    <row r="169" ht="28" customHeight="1">
      <c r="A169" s="30" t="n">
        <v>46146</v>
      </c>
      <c r="B169" s="30" t="n">
        <v>46146</v>
      </c>
      <c r="C169" s="17" t="str">
        <v>202605-J-H</v>
      </c>
      <c r="D169" s="17" t="str">
        <v>Jonas Bergmann</v>
      </c>
      <c r="E169" s="17" t="str">
        <v>Übertrag Privatkonto 4402</v>
      </c>
      <c r="F169" s="24" t="n">
        <v>950</v>
      </c>
      <c r="G169" s="24" t="n">
        <v>16334.08</v>
      </c>
      <c r="H169" s="17" t="str">
        <v>kontoauszuege/Haushalt_2026-05.pdf</v>
      </c>
    </row>
    <row r="170" ht="28" customHeight="1">
      <c r="A170" s="29" t="n">
        <v>46146</v>
      </c>
      <c r="B170" s="29" t="n">
        <v>46146</v>
      </c>
      <c r="C170" s="18" t="str">
        <v>202605-M-H</v>
      </c>
      <c r="D170" s="18" t="str">
        <v>Mara Bergmann</v>
      </c>
      <c r="E170" s="18" t="str">
        <v>Übertrag Privatkonto 4401</v>
      </c>
      <c r="F170" s="23" t="n">
        <v>2300</v>
      </c>
      <c r="G170" s="23" t="n">
        <v>18634.08</v>
      </c>
      <c r="H170" s="18" t="str">
        <v>kontoauszuege/Haushalt_2026-05.pdf</v>
      </c>
    </row>
    <row r="171" ht="28" customHeight="1">
      <c r="A171" s="30" t="n">
        <v>46147</v>
      </c>
      <c r="B171" s="30" t="n">
        <v>46147</v>
      </c>
      <c r="C171" s="17" t="str">
        <v>202605-HD</v>
      </c>
      <c r="D171" s="17" t="str">
        <v>Havelbogen Bank eG</v>
      </c>
      <c r="E171" s="17" t="str">
        <v>Annuität HD-2014-731</v>
      </c>
      <c r="F171" s="24" t="n">
        <v>-1380</v>
      </c>
      <c r="G171" s="24" t="n">
        <v>17254.08</v>
      </c>
      <c r="H171" s="17" t="str">
        <v>kontoauszuege/Haushalt_2026-05.pdf</v>
      </c>
    </row>
    <row r="172" ht="28" customHeight="1">
      <c r="A172" s="29" t="n">
        <v>46150</v>
      </c>
      <c r="B172" s="29" t="n">
        <v>46150</v>
      </c>
      <c r="C172" s="18" t="str">
        <v>202605-ENERGIE</v>
      </c>
      <c r="D172" s="18" t="str">
        <v>Stadtwerke Potsdam</v>
      </c>
      <c r="E172" s="18" t="str">
        <v>Strom und Wärme / Abschlag 7318</v>
      </c>
      <c r="F172" s="23" t="n">
        <v>-310</v>
      </c>
      <c r="G172" s="23" t="n">
        <v>16944.08</v>
      </c>
      <c r="H172" s="18" t="str">
        <v>kontoauszuege/Haushalt_2026-05.pdf</v>
      </c>
    </row>
    <row r="173" ht="28" customHeight="1">
      <c r="A173" s="30" t="n">
        <v>46153</v>
      </c>
      <c r="B173" s="30" t="n">
        <v>46153</v>
      </c>
      <c r="C173" s="17" t="str">
        <v>202605-ESSEN</v>
      </c>
      <c r="D173" s="17" t="str">
        <v>Schulcatering Havelküche</v>
      </c>
      <c r="E173" s="17" t="str">
        <v>Jule / Oskar / Monatsabrechnung</v>
      </c>
      <c r="F173" s="24" t="n">
        <v>-124.6</v>
      </c>
      <c r="G173" s="24" t="n">
        <v>16819.48</v>
      </c>
      <c r="H173" s="17" t="str">
        <v>kontoauszuege/Haushalt_2026-05.pdf</v>
      </c>
    </row>
    <row r="174" ht="28" customHeight="1">
      <c r="A174" s="29" t="n">
        <v>46154</v>
      </c>
      <c r="B174" s="29" t="n">
        <v>46154</v>
      </c>
      <c r="C174" s="18" t="str">
        <v>202605-SPORT</v>
      </c>
      <c r="D174" s="18" t="str">
        <v>Turnverein Bornim</v>
      </c>
      <c r="E174" s="18" t="str">
        <v>Beiträge Jule und Oskar</v>
      </c>
      <c r="F174" s="23" t="n">
        <v>-48</v>
      </c>
      <c r="G174" s="23" t="n">
        <v>16771.48</v>
      </c>
      <c r="H174" s="18" t="str">
        <v>kontoauszuege/Haushalt_2026-05.pdf</v>
      </c>
    </row>
    <row r="175" ht="28" customHeight="1">
      <c r="A175" s="30" t="n">
        <v>46154</v>
      </c>
      <c r="B175" s="30" t="n">
        <v>46154</v>
      </c>
      <c r="C175" s="17" t="str">
        <v>CAMP-26-417</v>
      </c>
      <c r="D175" s="17" t="str">
        <v>Jugendfahrt Sonnental</v>
      </c>
      <c r="E175" s="17" t="str">
        <v>Feriencamp Jule / Buchung 26-417</v>
      </c>
      <c r="F175" s="24" t="n">
        <v>-420</v>
      </c>
      <c r="G175" s="24" t="n">
        <v>16351.48</v>
      </c>
      <c r="H175" s="17" t="str">
        <v>kontoauszuege/Haushalt_2026-05.pdf</v>
      </c>
    </row>
    <row r="176" ht="28" customHeight="1">
      <c r="A176" s="29" t="n">
        <v>46157</v>
      </c>
      <c r="B176" s="29" t="n">
        <v>46157</v>
      </c>
      <c r="C176" s="18" t="str">
        <v>202605-NETZ</v>
      </c>
      <c r="D176" s="18" t="str">
        <v>Telekommunikation</v>
      </c>
      <c r="E176" s="18" t="str">
        <v>Internet Kastanienweg 18</v>
      </c>
      <c r="F176" s="23" t="n">
        <v>-44.9</v>
      </c>
      <c r="G176" s="23" t="n">
        <v>16306.58</v>
      </c>
      <c r="H176" s="18" t="str">
        <v>kontoauszuege/Haushalt_2026-05.pdf</v>
      </c>
    </row>
    <row r="177" ht="28" customHeight="1">
      <c r="A177" s="30" t="n">
        <v>46160</v>
      </c>
      <c r="B177" s="30" t="n">
        <v>46160</v>
      </c>
      <c r="C177" s="17" t="str">
        <v>202605-MARKT1</v>
      </c>
      <c r="D177" s="17" t="str">
        <v>Markt am Bornstedter Feld</v>
      </c>
      <c r="E177" s="17" t="str">
        <v>Kartenzahlung Haushalt</v>
      </c>
      <c r="F177" s="24" t="n">
        <v>-201.43</v>
      </c>
      <c r="G177" s="24" t="n">
        <v>16105.15</v>
      </c>
      <c r="H177" s="17" t="str">
        <v>kontoauszuege/Haushalt_2026-05.pdf</v>
      </c>
    </row>
    <row r="178" ht="28" customHeight="1">
      <c r="A178" s="29" t="n">
        <v>46160</v>
      </c>
      <c r="B178" s="29" t="n">
        <v>46160</v>
      </c>
      <c r="C178" s="18" t="str">
        <v>SONDER-202605</v>
      </c>
      <c r="D178" s="18" t="str">
        <v>Mara Bergmann</v>
      </c>
      <c r="E178" s="18" t="str">
        <v>Übertrag für Sondertilgung</v>
      </c>
      <c r="F178" s="23" t="n">
        <v>3500</v>
      </c>
      <c r="G178" s="23" t="n">
        <v>19605.15</v>
      </c>
      <c r="H178" s="18" t="str">
        <v>kontoauszuege/Haushalt_2026-05.pdf</v>
      </c>
    </row>
    <row r="179" ht="28" customHeight="1">
      <c r="A179" s="30" t="n">
        <v>46162</v>
      </c>
      <c r="B179" s="30" t="n">
        <v>46162</v>
      </c>
      <c r="C179" s="17" t="str">
        <v>HD-SONDER-202605</v>
      </c>
      <c r="D179" s="17" t="str">
        <v>Havelbogen Bank eG</v>
      </c>
      <c r="E179" s="17" t="str">
        <v>Sondertilgung HD-2014-731</v>
      </c>
      <c r="F179" s="24" t="n">
        <v>-3500</v>
      </c>
      <c r="G179" s="24" t="n">
        <v>16105.15</v>
      </c>
      <c r="H179" s="17" t="str">
        <v>kontoauszuege/Haushalt_2026-05.pdf</v>
      </c>
    </row>
    <row r="180" ht="28" customHeight="1">
      <c r="A180" s="29" t="n">
        <v>46164</v>
      </c>
      <c r="B180" s="29" t="n">
        <v>46164</v>
      </c>
      <c r="C180" s="18" t="str">
        <v>202605-MARKT2</v>
      </c>
      <c r="D180" s="18" t="str">
        <v>Lebensmittelmarkt Potsdam</v>
      </c>
      <c r="E180" s="18" t="str">
        <v>Kartenzahlung Haushalt</v>
      </c>
      <c r="F180" s="23" t="n">
        <v>-169.16</v>
      </c>
      <c r="G180" s="23" t="n">
        <v>15935.99</v>
      </c>
      <c r="H180" s="18" t="str">
        <v>kontoauszuege/Haushalt_2026-05.pdf</v>
      </c>
    </row>
    <row r="181" ht="28" customHeight="1">
      <c r="A181" s="30" t="n">
        <v>46168</v>
      </c>
      <c r="B181" s="30" t="n">
        <v>46168</v>
      </c>
      <c r="C181" s="17" t="str">
        <v>202605-GEB</v>
      </c>
      <c r="D181" s="17" t="str">
        <v>Waldsee Versicherung</v>
      </c>
      <c r="E181" s="17" t="str">
        <v>Wohngebäude / Monatsrate</v>
      </c>
      <c r="F181" s="24" t="n">
        <v>-39.8</v>
      </c>
      <c r="G181" s="24" t="n">
        <v>15896.19</v>
      </c>
      <c r="H181" s="17" t="str">
        <v>kontoauszuege/Haushalt_2026-05.pdf</v>
      </c>
    </row>
    <row r="182" ht="28" customHeight="1">
      <c r="A182" s="29" t="n">
        <v>46170</v>
      </c>
      <c r="B182" s="29" t="n">
        <v>46170</v>
      </c>
      <c r="C182" s="18" t="str">
        <v>202605-DROGERIE</v>
      </c>
      <c r="D182" s="18" t="str">
        <v>Drogerie am Park</v>
      </c>
      <c r="E182" s="18" t="str">
        <v>Kartenzahlung / Haushalt und Schulbedarf</v>
      </c>
      <c r="F182" s="23" t="n">
        <v>-78.35</v>
      </c>
      <c r="G182" s="23" t="n">
        <v>15817.84</v>
      </c>
      <c r="H182" s="18" t="str">
        <v>kontoauszuege/Haushalt_2026-05.pdf</v>
      </c>
    </row>
    <row r="183" ht="28" customHeight="1">
      <c r="A183" s="30" t="n">
        <v>46174</v>
      </c>
      <c r="B183" s="30" t="n">
        <v>46174</v>
      </c>
      <c r="C183" s="17" t="str">
        <v>202605-GEB-HAUSHALT</v>
      </c>
      <c r="D183" s="17" t="str">
        <v>Havelbogen Bank eG</v>
      </c>
      <c r="E183" s="17" t="str">
        <v>Kontoführung / Monatsentgelt</v>
      </c>
      <c r="F183" s="24" t="n">
        <v>-6.9</v>
      </c>
      <c r="G183" s="24" t="n">
        <v>15810.94</v>
      </c>
      <c r="H183" s="17" t="str">
        <v>kontoauszuege/Haushalt_2026-06.pdf</v>
      </c>
    </row>
    <row r="184" ht="28" customHeight="1">
      <c r="A184" s="29" t="n">
        <v>46175</v>
      </c>
      <c r="B184" s="29" t="n">
        <v>46175</v>
      </c>
      <c r="C184" s="18" t="str">
        <v>202606-M-H</v>
      </c>
      <c r="D184" s="18" t="str">
        <v>Mara Bergmann</v>
      </c>
      <c r="E184" s="18" t="str">
        <v>Übertrag Privatkonto 4401</v>
      </c>
      <c r="F184" s="23" t="n">
        <v>2300</v>
      </c>
      <c r="G184" s="23" t="n">
        <v>18110.94</v>
      </c>
      <c r="H184" s="18" t="str">
        <v>kontoauszuege/Haushalt_2026-06.pdf</v>
      </c>
    </row>
    <row r="185" ht="28" customHeight="1">
      <c r="A185" s="30" t="n">
        <v>46176</v>
      </c>
      <c r="B185" s="30" t="n">
        <v>46176</v>
      </c>
      <c r="C185" s="17" t="str">
        <v>202606-J-H</v>
      </c>
      <c r="D185" s="17" t="str">
        <v>Jonas Bergmann</v>
      </c>
      <c r="E185" s="17" t="str">
        <v>Übertrag Privatkonto 4402</v>
      </c>
      <c r="F185" s="24" t="n">
        <v>950</v>
      </c>
      <c r="G185" s="24" t="n">
        <v>19060.94</v>
      </c>
      <c r="H185" s="17" t="str">
        <v>kontoauszuege/Haushalt_2026-06.pdf</v>
      </c>
    </row>
    <row r="186" ht="28" customHeight="1">
      <c r="A186" s="29" t="n">
        <v>46178</v>
      </c>
      <c r="B186" s="29" t="n">
        <v>46178</v>
      </c>
      <c r="C186" s="18" t="str">
        <v>202606-HD</v>
      </c>
      <c r="D186" s="18" t="str">
        <v>Havelbogen Bank eG</v>
      </c>
      <c r="E186" s="18" t="str">
        <v>Annuität HD-2014-731</v>
      </c>
      <c r="F186" s="23" t="n">
        <v>-1380</v>
      </c>
      <c r="G186" s="23" t="n">
        <v>17680.94</v>
      </c>
      <c r="H186" s="18" t="str">
        <v>kontoauszuege/Haushalt_2026-06.pdf</v>
      </c>
    </row>
    <row r="187" ht="28" customHeight="1">
      <c r="A187" s="30" t="n">
        <v>46181</v>
      </c>
      <c r="B187" s="30" t="n">
        <v>46181</v>
      </c>
      <c r="C187" s="17" t="str">
        <v>202606-ENERGIE</v>
      </c>
      <c r="D187" s="17" t="str">
        <v>Stadtwerke Potsdam</v>
      </c>
      <c r="E187" s="17" t="str">
        <v>Strom und Wärme / Abschlag 7318</v>
      </c>
      <c r="F187" s="24" t="n">
        <v>-310</v>
      </c>
      <c r="G187" s="24" t="n">
        <v>17370.94</v>
      </c>
      <c r="H187" s="17" t="str">
        <v>kontoauszuege/Haushalt_2026-06.pdf</v>
      </c>
    </row>
    <row r="188" ht="28" customHeight="1">
      <c r="A188" s="29" t="n">
        <v>46183</v>
      </c>
      <c r="B188" s="29" t="n">
        <v>46183</v>
      </c>
      <c r="C188" s="18" t="str">
        <v>202606-ESSEN</v>
      </c>
      <c r="D188" s="18" t="str">
        <v>Schulcatering Havelküche</v>
      </c>
      <c r="E188" s="18" t="str">
        <v>Jule / Oskar / Monatsabrechnung</v>
      </c>
      <c r="F188" s="23" t="n">
        <v>-124.6</v>
      </c>
      <c r="G188" s="23" t="n">
        <v>17246.34</v>
      </c>
      <c r="H188" s="18" t="str">
        <v>kontoauszuege/Haushalt_2026-06.pdf</v>
      </c>
    </row>
    <row r="189" ht="28" customHeight="1">
      <c r="A189" s="30" t="n">
        <v>46185</v>
      </c>
      <c r="B189" s="30" t="n">
        <v>46185</v>
      </c>
      <c r="C189" s="17" t="str">
        <v>202606-SPORT</v>
      </c>
      <c r="D189" s="17" t="str">
        <v>Turnverein Bornim</v>
      </c>
      <c r="E189" s="17" t="str">
        <v>Beiträge Jule und Oskar</v>
      </c>
      <c r="F189" s="24" t="n">
        <v>-48</v>
      </c>
      <c r="G189" s="24" t="n">
        <v>17198.34</v>
      </c>
      <c r="H189" s="17" t="str">
        <v>kontoauszuege/Haushalt_2026-06.pdf</v>
      </c>
    </row>
    <row r="190" ht="28" customHeight="1">
      <c r="A190" s="29" t="n">
        <v>46188</v>
      </c>
      <c r="B190" s="29" t="n">
        <v>46188</v>
      </c>
      <c r="C190" s="18" t="str">
        <v>202606-NETZ</v>
      </c>
      <c r="D190" s="18" t="str">
        <v>Telekommunikation</v>
      </c>
      <c r="E190" s="18" t="str">
        <v>Internet Kastanienweg 18</v>
      </c>
      <c r="F190" s="23" t="n">
        <v>-44.9</v>
      </c>
      <c r="G190" s="23" t="n">
        <v>17153.44</v>
      </c>
      <c r="H190" s="18" t="str">
        <v>kontoauszuege/Haushalt_2026-06.pdf</v>
      </c>
    </row>
    <row r="191" ht="28" customHeight="1">
      <c r="A191" s="30" t="n">
        <v>46191</v>
      </c>
      <c r="B191" s="30" t="n">
        <v>46191</v>
      </c>
      <c r="C191" s="17" t="str">
        <v>202606-MARKT1</v>
      </c>
      <c r="D191" s="17" t="str">
        <v>Markt am Bornstedter Feld</v>
      </c>
      <c r="E191" s="17" t="str">
        <v>Kartenzahlung Haushalt</v>
      </c>
      <c r="F191" s="24" t="n">
        <v>-204.43</v>
      </c>
      <c r="G191" s="24" t="n">
        <v>16949.01</v>
      </c>
      <c r="H191" s="17" t="str">
        <v>kontoauszuege/Haushalt_2026-06.pdf</v>
      </c>
    </row>
    <row r="192" ht="28" customHeight="1">
      <c r="A192" s="29" t="n">
        <v>46195</v>
      </c>
      <c r="B192" s="29" t="n">
        <v>46195</v>
      </c>
      <c r="C192" s="18" t="str">
        <v>202606-MARKT2</v>
      </c>
      <c r="D192" s="18" t="str">
        <v>Lebensmittelmarkt Potsdam</v>
      </c>
      <c r="E192" s="18" t="str">
        <v>Kartenzahlung Haushalt</v>
      </c>
      <c r="F192" s="23" t="n">
        <v>-173.16</v>
      </c>
      <c r="G192" s="23" t="n">
        <v>16775.85</v>
      </c>
      <c r="H192" s="18" t="str">
        <v>kontoauszuege/Haushalt_2026-06.pdf</v>
      </c>
    </row>
    <row r="193" ht="28" customHeight="1">
      <c r="A193" s="30" t="n">
        <v>46199</v>
      </c>
      <c r="B193" s="30" t="n">
        <v>46199</v>
      </c>
      <c r="C193" s="17" t="str">
        <v>202606-GEB</v>
      </c>
      <c r="D193" s="17" t="str">
        <v>Waldsee Versicherung</v>
      </c>
      <c r="E193" s="17" t="str">
        <v>Wohngebäude / Monatsrate</v>
      </c>
      <c r="F193" s="24" t="n">
        <v>-39.8</v>
      </c>
      <c r="G193" s="24" t="n">
        <v>16736.05</v>
      </c>
      <c r="H193" s="17" t="str">
        <v>kontoauszuege/Haushalt_2026-06.pdf</v>
      </c>
    </row>
    <row r="194" ht="28" customHeight="1">
      <c r="A194" s="29" t="n">
        <v>46202</v>
      </c>
      <c r="B194" s="29" t="n">
        <v>46202</v>
      </c>
      <c r="C194" s="18" t="str">
        <v>202606-DROGERIE</v>
      </c>
      <c r="D194" s="18" t="str">
        <v>Drogerie am Park</v>
      </c>
      <c r="E194" s="18" t="str">
        <v>Kartenzahlung / Haushalt und Schulbedarf</v>
      </c>
      <c r="F194" s="23" t="n">
        <v>-80.35</v>
      </c>
      <c r="G194" s="23" t="n">
        <v>16655.7</v>
      </c>
      <c r="H194" s="18" t="str">
        <v>kontoauszuege/Haushalt_2026-06.pdf</v>
      </c>
    </row>
    <row r="195" ht="28" customHeight="1">
      <c r="A195" s="30" t="n">
        <v>46203</v>
      </c>
      <c r="B195" s="30" t="n">
        <v>46203</v>
      </c>
      <c r="C195" s="17" t="str">
        <v>202606-GEB-HAUSHALT</v>
      </c>
      <c r="D195" s="17" t="str">
        <v>Havelbogen Bank eG</v>
      </c>
      <c r="E195" s="17" t="str">
        <v>Kontoführung / Monatsentgelt</v>
      </c>
      <c r="F195" s="24" t="n">
        <v>-6.9</v>
      </c>
      <c r="G195" s="24" t="n">
        <v>16648.8</v>
      </c>
      <c r="H195" s="17" t="str">
        <v>kontoauszuege/Haushalt_2026-06.pdf</v>
      </c>
    </row>
    <row r="196" ht="28" customHeight="1">
      <c r="A196" s="29" t="n">
        <v>46205</v>
      </c>
      <c r="B196" s="29" t="n">
        <v>46205</v>
      </c>
      <c r="C196" s="18" t="str">
        <v>202607-M-H</v>
      </c>
      <c r="D196" s="18" t="str">
        <v>Mara Bergmann</v>
      </c>
      <c r="E196" s="18" t="str">
        <v>Übertrag Privatkonto 4401</v>
      </c>
      <c r="F196" s="23" t="n">
        <v>2300</v>
      </c>
      <c r="G196" s="23" t="n">
        <v>18948.8</v>
      </c>
      <c r="H196" s="18" t="str">
        <v>kontoauszuege/Haushalt_2026-07.pdf</v>
      </c>
    </row>
    <row r="197" ht="28" customHeight="1">
      <c r="A197" s="30" t="n">
        <v>46206</v>
      </c>
      <c r="B197" s="30" t="n">
        <v>46206</v>
      </c>
      <c r="C197" s="17" t="str">
        <v>202607-J-H</v>
      </c>
      <c r="D197" s="17" t="str">
        <v>Jonas Bergmann</v>
      </c>
      <c r="E197" s="17" t="str">
        <v>Übertrag Privatkonto 4402</v>
      </c>
      <c r="F197" s="24" t="n">
        <v>950</v>
      </c>
      <c r="G197" s="24" t="n">
        <v>19898.8</v>
      </c>
      <c r="H197" s="17" t="str">
        <v>kontoauszuege/Haushalt_2026-07.pdf</v>
      </c>
    </row>
    <row r="198" ht="28" customHeight="1">
      <c r="A198" s="29" t="n">
        <v>46209</v>
      </c>
      <c r="B198" s="29" t="n">
        <v>46209</v>
      </c>
      <c r="C198" s="18" t="str">
        <v>202607-HD</v>
      </c>
      <c r="D198" s="18" t="str">
        <v>Havelbogen Bank eG</v>
      </c>
      <c r="E198" s="18" t="str">
        <v>Annuität HD-2014-731</v>
      </c>
      <c r="F198" s="23" t="n">
        <v>-1380</v>
      </c>
      <c r="G198" s="23" t="n">
        <v>18518.8</v>
      </c>
      <c r="H198" s="18" t="str">
        <v>kontoauszuege/Haushalt_2026-07.pdf</v>
      </c>
    </row>
    <row r="199" ht="28" customHeight="1">
      <c r="A199" s="30" t="n">
        <v>46211</v>
      </c>
      <c r="B199" s="30" t="n">
        <v>46211</v>
      </c>
      <c r="C199" s="17" t="str">
        <v>202607-ENERGIE</v>
      </c>
      <c r="D199" s="17" t="str">
        <v>Stadtwerke Potsdam</v>
      </c>
      <c r="E199" s="17" t="str">
        <v>Strom und Wärme / Abschlag 7318</v>
      </c>
      <c r="F199" s="24" t="n">
        <v>-310</v>
      </c>
      <c r="G199" s="24" t="n">
        <v>18208.8</v>
      </c>
      <c r="H199" s="17" t="str">
        <v>kontoauszuege/Haushalt_2026-07.pdf</v>
      </c>
    </row>
  </sheetData>
  <printOptions gridLines="0" headings="0"/>
  <pageMargins left="0.3" right="0.3" top="0.35" bottom="0.4" header="0.15" footer="0.18"/>
  <pageSetup paperSize="8" orientation="landscape" fitToWidth="1" fitToHeight="0"/>
  <headerFooter>
    <oddFooter>&amp;LFamilie Bergmann, Potsdam&amp;CHaushalt&amp;RSeite &amp;P von &amp;N</oddFooter>
  </headerFooter>
  <tableParts count="1">
    <tablePart xmlns:r="http://schemas.openxmlformats.org/officeDocument/2006/relationships" r:id="R6108f2de37b447af"/>
  </tableParts>
</worksheet>
</file>