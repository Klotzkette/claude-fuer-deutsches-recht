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fb5e4d8e84b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albestand" sheetId="1" r:id="R6ee399661d0e4ab4"/>
    <x:sheet xmlns:r="http://schemas.openxmlformats.org/officeDocument/2006/relationships" name="Augustabrechnung" sheetId="2" r:id="R5e9a5c9e1de24b0c"/>
    <x:sheet xmlns:r="http://schemas.openxmlformats.org/officeDocument/2006/relationships" name="Arbeitsbedingungen" sheetId="3" r:id="Ra8134bcb9a2f4de4"/>
    <x:sheet xmlns:r="http://schemas.openxmlformats.org/officeDocument/2006/relationships" name="Mitteilungen" sheetId="4" r:id="Rae1862256255451f"/>
  </x:sheets>
  <x:definedNames>
    <x:definedName name="_xlnm.Print_Titles" localSheetId="0">'Personalbestand'!$1:$5</x:definedName>
    <x:definedName name="_xlnm.Print_Area" localSheetId="0">'Personalbestand'!$A$1:$F$55</x:definedName>
    <x:definedName name="_xlnm.Print_Titles" localSheetId="1">'Augustabrechnung'!$1:$5</x:definedName>
    <x:definedName name="_xlnm.Print_Area" localSheetId="1">'Augustabrechnung'!$A$1:$G$59</x:definedName>
    <x:definedName name="_xlnm.Print_Titles" localSheetId="2">'Arbeitsbedingungen'!$1:$5</x:definedName>
    <x:definedName name="_xlnm.Print_Area" localSheetId="2">'Arbeitsbedingungen'!$A$1:$G$55</x:definedName>
    <x:definedName name="_xlnm.Print_Titles" localSheetId="3">'Mitteilungen'!$1:$5</x:definedName>
    <x:definedName name="_xlnm.Print_Area" localSheetId="3">'Mitteilungen'!$A$1:$F$17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[$-407]#,##0.00;[Red][$-407](#,##0.00);&quot;-&quot;"/>
    <x:numFmt numFmtId="202" formatCode="0"/>
    <x:numFmt numFmtId="203" formatCode="[$-407]#,##0.00"/>
  </x:numFmts>
  <x:fonts count="7">
    <x:font>
      <x:sz val="11"/>
      <x:name val="Carlito"/>
    </x:font>
    <x:font>
      <x:sz val="11"/>
      <x:color rgb="FF202020"/>
      <x:name val="Arial"/>
    </x:font>
    <x:font>
      <x:b/>
      <x:sz val="15"/>
      <x:color rgb="FF111111"/>
      <x:name val="Arial"/>
    </x:font>
    <x:font>
      <x:i/>
      <x:sz val="10"/>
      <x:color rgb="FF444444"/>
      <x:name val="Arial"/>
    </x:font>
    <x:font>
      <x:b/>
      <x:sz val="11"/>
      <x:color rgb="FFFFFFFF"/>
      <x:name val="Arial"/>
    </x:font>
    <x:font>
      <x:b/>
      <x:sz val="11"/>
      <x:color rgb="FF202020"/>
      <x:name val="Arial"/>
    </x:font>
    <x:font>
      <x:sz val="10"/>
      <x:color rgb="FF44444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B464C"/>
      </x:patternFill>
    </x:fill>
    <x:fill>
      <x:patternFill patternType="solid">
        <x:fgColor rgb="FFF1F3F4"/>
      </x:patternFill>
    </x:fill>
  </x:fills>
  <x:borders count="3">
    <x:border/>
    <x:border>
      <x:bottom style="thin">
        <x:color rgb="FFA0A0A0"/>
      </x:bottom>
    </x:border>
    <x:border>
      <x:top style="thin">
        <x:color rgb="FF444444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9eb500d935479b" /><Relationship Type="http://schemas.openxmlformats.org/officeDocument/2006/relationships/theme" Target="/xl/theme/theme1.xml" Id="R3e9f9c8a382d406d" /><Relationship Type="http://schemas.openxmlformats.org/officeDocument/2006/relationships/sharedStrings" Target="/xl/sharedStrings.xml" Id="Rca5c6d4442e54581" /><Relationship Type="http://schemas.openxmlformats.org/officeDocument/2006/relationships/worksheet" Target="/xl/worksheets/sheet1.xml" Id="R6ee399661d0e4ab4" /><Relationship Type="http://schemas.openxmlformats.org/officeDocument/2006/relationships/worksheet" Target="/xl/worksheets/sheet2.xml" Id="R5e9a5c9e1de24b0c" /><Relationship Type="http://schemas.openxmlformats.org/officeDocument/2006/relationships/worksheet" Target="/xl/worksheets/sheet3.xml" Id="Ra8134bcb9a2f4de4" /><Relationship Type="http://schemas.openxmlformats.org/officeDocument/2006/relationships/worksheet" Target="/xl/worksheets/sheet4.xml" Id="Rae1862256255451f" /></Relationships>
</file>

<file path=xl/tables/table1.xml><?xml version="1.0" encoding="utf-8"?>
<x:table xmlns:x="http://schemas.openxmlformats.org/spreadsheetml/2006/main" id="1" name="T_Personalbestand" displayName="T_Personalbestand" ref="A5:F55" headerRowCount="1" totalsRowCount="0" totalsRowShown="0">
  <x:tableColumns count="6">
    <x:tableColumn id="1" name="Personal-Nr."/>
    <x:tableColumn id="2" name="Name"/>
    <x:tableColumn id="3" name="Eintritt"/>
    <x:tableColumn id="4" name="Geboren am"/>
    <x:tableColumn id="5" name="Bereich"/>
    <x:tableColumn id="6" name="Funk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Augustabrechnung" displayName="T_Augustabrechnung" ref="A5:G55" headerRowCount="1" totalsRowCount="0" totalsRowShown="0">
  <x:tableColumns count="7">
    <x:tableColumn id="1" name="Personal-Nr."/>
    <x:tableColumn id="2" name="Name"/>
    <x:tableColumn id="3" name="Brutto August"/>
    <x:tableColumn id="4" name="Zuschuss Mutterschutz"/>
    <x:tableColumn id="5" name="Netto inkl. Zuschuss"/>
    <x:tableColumn id="6" name="Abschlag gezahlt"/>
    <x:tableColumn id="7" name="Rest Auszahlu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Arbeitsbedingungen" displayName="T_Arbeitsbedingungen" ref="A5:G55" headerRowCount="1" totalsRowCount="0" totalsRowShown="0">
  <x:tableColumns count="7">
    <x:tableColumn id="1" name="Personal-Nr."/>
    <x:tableColumn id="2" name="Name"/>
    <x:tableColumn id="3" name="Stunden Woche"/>
    <x:tableColumn id="4" name="Tage Woche"/>
    <x:tableColumn id="5" name="Grundgehalt EUR"/>
    <x:tableColumn id="6" name="Kinder laut Mitteilung"/>
    <x:tableColumn id="7" name="Urlaub Portal 202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Mitteilungen" displayName="T_Mitteilungen" ref="A5:F17" headerRowCount="1" totalsRowCount="0" totalsRowShown="0">
  <x:tableColumns count="6">
    <x:tableColumn id="1" name="Personal-Nr."/>
    <x:tableColumn id="2" name="Name"/>
    <x:tableColumn id="3" name="Beleg oder Eingang"/>
    <x:tableColumn id="4" name="Mitteilung"/>
    <x:tableColumn id="5" name="Beleg"/>
    <x:tableColumn id="6" name="Zusatz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5a989e6f3042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1b04e88e3047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e87304c49f42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9cd9e065a654ce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.220000267028809" hidden="0" customWidth="1"/>
    <x:col min="2" max="2" width="22.440000534057617" hidden="0" customWidth="1"/>
    <x:col min="3" max="3" width="12.109999656677246" hidden="0" customWidth="1"/>
    <x:col min="4" max="4" width="12.109999656677246" hidden="0" customWidth="1"/>
    <x:col min="5" max="5" width="12.890000343322754" hidden="0" customWidth="1"/>
    <x:col min="6" max="6" width="26.78000068664550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Innovation Systems GmbH Personalbestand</x:v>
      </x:c>
      <x:c r="B2" s="2"/>
      <x:c r="C2" s="2"/>
      <x:c r="D2" s="2"/>
      <x:c r="E2" s="2"/>
      <x:c r="F2" s="2"/>
    </x:row>
    <x:row r="3">
      <x:c r="A3" s="4" t="str">
        <x:v>Stand 08.09.2026   Personalprogramm und Vertragsregistratur   50 Arbeitnehmer ohne Geschäftsführer</x:v>
      </x:c>
      <x:c r="B3" s="2"/>
      <x:c r="C3" s="2"/>
      <x:c r="D3" s="2"/>
      <x:c r="E3" s="2"/>
      <x:c r="F3" s="2"/>
    </x:row>
    <x:row r="4">
      <x:c r="A4" s="5"/>
      <x:c r="B4" s="5"/>
      <x:c r="C4" s="5"/>
      <x:c r="D4" s="5"/>
      <x:c r="E4" s="5"/>
      <x:c r="F4" s="5"/>
    </x:row>
    <x:row r="5" ht="38" customHeight="1">
      <x:c r="A5" s="9" t="str">
        <x:v>Personal-Nr.</x:v>
      </x:c>
      <x:c r="B5" s="9" t="str">
        <x:v>Name</x:v>
      </x:c>
      <x:c r="C5" s="9" t="str">
        <x:v>Eintritt</x:v>
      </x:c>
      <x:c r="D5" s="9" t="str">
        <x:v>Geboren am</x:v>
      </x:c>
      <x:c r="E5" s="9" t="str">
        <x:v>Bereich</x:v>
      </x:c>
      <x:c r="F5" s="9" t="str">
        <x:v>Funktion</x:v>
      </x:c>
    </x:row>
    <x:row r="6" ht="36" customHeight="1">
      <x:c r="A6" s="11" t="str">
        <x:v>P001</x:v>
      </x:c>
      <x:c r="B6" s="11" t="str">
        <x:v>Dr. Johanna Neumann</x:v>
      </x:c>
      <x:c r="C6" s="12" t="n">
        <x:v>45870</x:v>
      </x:c>
      <x:c r="D6" s="12" t="n">
        <x:v>26302</x:v>
      </x:c>
      <x:c r="E6" s="11" t="str">
        <x:v>Plattform</x:v>
      </x:c>
      <x:c r="F6" s="11" t="str">
        <x:v>Senior Software Engineer</x:v>
      </x:c>
    </x:row>
    <x:row r="7" ht="36" customHeight="1">
      <x:c r="A7" s="10" t="str">
        <x:v>P002</x:v>
      </x:c>
      <x:c r="B7" s="10" t="str">
        <x:v>Alexander Meyer</x:v>
      </x:c>
      <x:c r="C7" s="13" t="n">
        <x:v>45292</x:v>
      </x:c>
      <x:c r="D7" s="13" t="n">
        <x:v>28891</x:v>
      </x:c>
      <x:c r="E7" s="10" t="str">
        <x:v>Produkt</x:v>
      </x:c>
      <x:c r="F7" s="10" t="str">
        <x:v>Innovation Manager</x:v>
      </x:c>
    </x:row>
    <x:row r="8" ht="36" customHeight="1">
      <x:c r="A8" s="11" t="str">
        <x:v>P003</x:v>
      </x:c>
      <x:c r="B8" s="11" t="str">
        <x:v>Ben Wagner</x:v>
      </x:c>
      <x:c r="C8" s="12" t="n">
        <x:v>43678</x:v>
      </x:c>
      <x:c r="D8" s="12" t="n">
        <x:v>31477</x:v>
      </x:c>
      <x:c r="E8" s="11" t="str">
        <x:v>Verwaltung</x:v>
      </x:c>
      <x:c r="F8" s="11" t="str">
        <x:v>Assistent der Geschäftsführung</x:v>
      </x:c>
    </x:row>
    <x:row r="9" ht="36" customHeight="1">
      <x:c r="A9" s="10" t="str">
        <x:v>P004</x:v>
      </x:c>
      <x:c r="B9" s="10" t="str">
        <x:v>Elias Becker</x:v>
      </x:c>
      <x:c r="C9" s="13" t="n">
        <x:v>43983</x:v>
      </x:c>
      <x:c r="D9" s="13" t="n">
        <x:v>34066</x:v>
      </x:c>
      <x:c r="E9" s="10" t="str">
        <x:v>Personal</x:v>
      </x:c>
      <x:c r="F9" s="10" t="str">
        <x:v>HR-Manager</x:v>
      </x:c>
    </x:row>
    <x:row r="10" ht="36" customHeight="1">
      <x:c r="A10" s="11" t="str">
        <x:v>P005</x:v>
      </x:c>
      <x:c r="B10" s="11" t="str">
        <x:v>Maria Schneider</x:v>
      </x:c>
      <x:c r="C10" s="12" t="n">
        <x:v>44621</x:v>
      </x:c>
      <x:c r="D10" s="12" t="n">
        <x:v>28253</x:v>
      </x:c>
      <x:c r="E10" s="11" t="str">
        <x:v>Produkt</x:v>
      </x:c>
      <x:c r="F10" s="11" t="str">
        <x:v>Innovation Manager</x:v>
      </x:c>
    </x:row>
    <x:row r="11" ht="36" customHeight="1">
      <x:c r="A11" s="10" t="str">
        <x:v>P006</x:v>
      </x:c>
      <x:c r="B11" s="10" t="str">
        <x:v>Marie Müller</x:v>
      </x:c>
      <x:c r="C11" s="13" t="n">
        <x:v>43101</x:v>
      </x:c>
      <x:c r="D11" s="13" t="n">
        <x:v>30842</x:v>
      </x:c>
      <x:c r="E11" s="10" t="str">
        <x:v>Produkt</x:v>
      </x:c>
      <x:c r="F11" s="10" t="str">
        <x:v>Innovation Manager</x:v>
      </x:c>
    </x:row>
    <x:row r="12" ht="36" customHeight="1">
      <x:c r="A12" s="11" t="str">
        <x:v>P007</x:v>
      </x:c>
      <x:c r="B12" s="11" t="str">
        <x:v>Maximilian Fischer</x:v>
      </x:c>
      <x:c r="C12" s="12" t="n">
        <x:v>45292</x:v>
      </x:c>
      <x:c r="D12" s="12" t="n">
        <x:v>33429</x:v>
      </x:c>
      <x:c r="E12" s="11" t="str">
        <x:v>Produkt</x:v>
      </x:c>
      <x:c r="F12" s="11" t="str">
        <x:v>Innovation Manager</x:v>
      </x:c>
    </x:row>
    <x:row r="13" ht="36" customHeight="1">
      <x:c r="A13" s="10" t="str">
        <x:v>P008</x:v>
      </x:c>
      <x:c r="B13" s="10" t="str">
        <x:v>Paul Weber</x:v>
      </x:c>
      <x:c r="C13" s="13" t="n">
        <x:v>44287</x:v>
      </x:c>
      <x:c r="D13" s="13" t="n">
        <x:v>27617</x:v>
      </x:c>
      <x:c r="E13" s="10" t="str">
        <x:v>Produkt</x:v>
      </x:c>
      <x:c r="F13" s="10" t="str">
        <x:v>Innovation Manager</x:v>
      </x:c>
    </x:row>
    <x:row r="14" ht="36" customHeight="1">
      <x:c r="A14" s="11" t="str">
        <x:v>P009</x:v>
      </x:c>
      <x:c r="B14" s="11" t="str">
        <x:v>Sophie Schmidt</x:v>
      </x:c>
      <x:c r="C14" s="12" t="n">
        <x:v>44805</x:v>
      </x:c>
      <x:c r="D14" s="12" t="n">
        <x:v>30206</x:v>
      </x:c>
      <x:c r="E14" s="11" t="str">
        <x:v>Produkt</x:v>
      </x:c>
      <x:c r="F14" s="11" t="str">
        <x:v>Head of Innovation</x:v>
      </x:c>
    </x:row>
    <x:row r="15" ht="36" customHeight="1">
      <x:c r="A15" s="10" t="str">
        <x:v>P010</x:v>
      </x:c>
      <x:c r="B15" s="10" t="str">
        <x:v>Sven Krüger</x:v>
      </x:c>
      <x:c r="C15" s="13" t="n">
        <x:v>41395</x:v>
      </x:c>
      <x:c r="D15" s="13" t="n">
        <x:v>32794</x:v>
      </x:c>
      <x:c r="E15" s="10" t="str">
        <x:v>Firmware</x:v>
      </x:c>
      <x:c r="F15" s="10" t="str">
        <x:v>Leiter Firmwareentwicklung</x:v>
      </x:c>
    </x:row>
    <x:row r="16" ht="36" customHeight="1">
      <x:c r="A16" s="11" t="str">
        <x:v>P011</x:v>
      </x:c>
      <x:c r="B16" s="11" t="str">
        <x:v>Aylin Yılmaz</x:v>
      </x:c>
      <x:c r="C16" s="12" t="n">
        <x:v>43374</x:v>
      </x:c>
      <x:c r="D16" s="12" t="n">
        <x:v>26982</x:v>
      </x:c>
      <x:c r="E16" s="11" t="str">
        <x:v>Plattform</x:v>
      </x:c>
      <x:c r="F16" s="11" t="str">
        <x:v>Softwareentwickler</x:v>
      </x:c>
    </x:row>
    <x:row r="17" ht="36" customHeight="1">
      <x:c r="A17" s="10" t="str">
        <x:v>P012</x:v>
      </x:c>
      <x:c r="B17" s="10" t="str">
        <x:v>Thomas Groß</x:v>
      </x:c>
      <x:c r="C17" s="13" t="n">
        <x:v>42552</x:v>
      </x:c>
      <x:c r="D17" s="13" t="n">
        <x:v>29570</x:v>
      </x:c>
      <x:c r="E17" s="10" t="str">
        <x:v>Werkstatt</x:v>
      </x:c>
      <x:c r="F17" s="10" t="str">
        <x:v>Elektroniker für Prüftechnik</x:v>
      </x:c>
    </x:row>
    <x:row r="18" ht="36" customHeight="1">
      <x:c r="A18" s="11" t="str">
        <x:v>P013</x:v>
      </x:c>
      <x:c r="B18" s="11" t="str">
        <x:v>Katharina Voß</x:v>
      </x:c>
      <x:c r="C18" s="12" t="n">
        <x:v>43831</x:v>
      </x:c>
      <x:c r="D18" s="12" t="n">
        <x:v>31793</x:v>
      </x:c>
      <x:c r="E18" s="11" t="str">
        <x:v>Logistik</x:v>
      </x:c>
      <x:c r="F18" s="11" t="str">
        <x:v>Koordinator Lager und Versand</x:v>
      </x:c>
    </x:row>
    <x:row r="19" ht="36" customHeight="1">
      <x:c r="A19" s="10" t="str">
        <x:v>P014</x:v>
      </x:c>
      <x:c r="B19" s="10" t="str">
        <x:v>Lina Hoffmann</x:v>
      </x:c>
      <x:c r="C19" s="13" t="n">
        <x:v>44348</x:v>
      </x:c>
      <x:c r="D19" s="13" t="n">
        <x:v>34382</x:v>
      </x:c>
      <x:c r="E19" s="10" t="str">
        <x:v>Werkstatt</x:v>
      </x:c>
      <x:c r="F19" s="10" t="str">
        <x:v>Techniker Verbundwerkstoffe</x:v>
      </x:c>
    </x:row>
    <x:row r="20" ht="36" customHeight="1">
      <x:c r="A20" s="11" t="str">
        <x:v>P015</x:v>
      </x:c>
      <x:c r="B20" s="11" t="str">
        <x:v>Miriam Schulz</x:v>
      </x:c>
      <x:c r="C20" s="12" t="n">
        <x:v>44866</x:v>
      </x:c>
      <x:c r="D20" s="12" t="n">
        <x:v>33406</x:v>
      </x:c>
      <x:c r="E20" s="11" t="str">
        <x:v>Erprobung</x:v>
      </x:c>
      <x:c r="F20" s="11" t="str">
        <x:v>Testingenieur</x:v>
      </x:c>
    </x:row>
    <x:row r="21" ht="36" customHeight="1">
      <x:c r="A21" s="10" t="str">
        <x:v>P016</x:v>
      </x:c>
      <x:c r="B21" s="10" t="str">
        <x:v>Natalie Peters</x:v>
      </x:c>
      <x:c r="C21" s="13" t="n">
        <x:v>43525</x:v>
      </x:c>
      <x:c r="D21" s="13" t="n">
        <x:v>31156</x:v>
      </x:c>
      <x:c r="E21" s="10" t="str">
        <x:v>Plattform</x:v>
      </x:c>
      <x:c r="F21" s="10" t="str">
        <x:v>Backendentwickler</x:v>
      </x:c>
    </x:row>
    <x:row r="22" ht="36" customHeight="1">
      <x:c r="A22" s="11" t="str">
        <x:v>P017</x:v>
      </x:c>
      <x:c r="B22" s="11" t="str">
        <x:v>Daniel Roth</x:v>
      </x:c>
      <x:c r="C22" s="12" t="n">
        <x:v>42767</x:v>
      </x:c>
      <x:c r="D22" s="12" t="n">
        <x:v>33744</x:v>
      </x:c>
      <x:c r="E22" s="11" t="str">
        <x:v>Hardware</x:v>
      </x:c>
      <x:c r="F22" s="11" t="str">
        <x:v>Konstrukteur</x:v>
      </x:c>
    </x:row>
    <x:row r="23" ht="36" customHeight="1">
      <x:c r="A23" s="10" t="str">
        <x:v>P018</x:v>
      </x:c>
      <x:c r="B23" s="10" t="str">
        <x:v>Florian Kühn</x:v>
      </x:c>
      <x:c r="C23" s="13" t="n">
        <x:v>45383</x:v>
      </x:c>
      <x:c r="D23" s="13" t="n">
        <x:v>27932</x:v>
      </x:c>
      <x:c r="E23" s="10" t="str">
        <x:v>Werkstatt</x:v>
      </x:c>
      <x:c r="F23" s="10" t="str">
        <x:v>Montagetechniker</x:v>
      </x:c>
    </x:row>
    <x:row r="24" ht="36" customHeight="1">
      <x:c r="A24" s="11" t="str">
        <x:v>P019</x:v>
      </x:c>
      <x:c r="B24" s="11" t="str">
        <x:v>Sabine Berg</x:v>
      </x:c>
      <x:c r="C24" s="12" t="n">
        <x:v>44958</x:v>
      </x:c>
      <x:c r="D24" s="12" t="n">
        <x:v>30519</x:v>
      </x:c>
      <x:c r="E24" s="11" t="str">
        <x:v>Verwaltung</x:v>
      </x:c>
      <x:c r="F24" s="11" t="str">
        <x:v>Office Manager</x:v>
      </x:c>
    </x:row>
    <x:row r="25" ht="36" customHeight="1">
      <x:c r="A25" s="10" t="str">
        <x:v>P020</x:v>
      </x:c>
      <x:c r="B25" s="10" t="str">
        <x:v>Omar Haddad</x:v>
      </x:c>
      <x:c r="C25" s="13" t="n">
        <x:v>45566</x:v>
      </x:c>
      <x:c r="D25" s="13" t="n">
        <x:v>33108</x:v>
      </x:c>
      <x:c r="E25" s="10" t="str">
        <x:v>Firmware</x:v>
      </x:c>
      <x:c r="F25" s="10" t="str">
        <x:v>Embedded Software Engineer</x:v>
      </x:c>
    </x:row>
    <x:row r="26" ht="36" customHeight="1">
      <x:c r="A26" s="11" t="str">
        <x:v>P021</x:v>
      </x:c>
      <x:c r="B26" s="11" t="str">
        <x:v>Clara Fuchs</x:v>
      </x:c>
      <x:c r="C26" s="12" t="n">
        <x:v>45717</x:v>
      </x:c>
      <x:c r="D26" s="12" t="n">
        <x:v>27296</x:v>
      </x:c>
      <x:c r="E26" s="11" t="str">
        <x:v>Verwaltung</x:v>
      </x:c>
      <x:c r="F26" s="11" t="str">
        <x:v>Koordinator Büro und Einkauf</x:v>
      </x:c>
    </x:row>
    <x:row r="27" ht="36" customHeight="1">
      <x:c r="A27" s="10" t="str">
        <x:v>P022</x:v>
      </x:c>
      <x:c r="B27" s="10" t="str">
        <x:v>Jonas Winter</x:v>
      </x:c>
      <x:c r="C27" s="13" t="n">
        <x:v>45809</x:v>
      </x:c>
      <x:c r="D27" s="13" t="n">
        <x:v>29884</x:v>
      </x:c>
      <x:c r="E27" s="10" t="str">
        <x:v>Plattform</x:v>
      </x:c>
      <x:c r="F27" s="10" t="str">
        <x:v>Datentechniker</x:v>
      </x:c>
    </x:row>
    <x:row r="28" ht="36" customHeight="1">
      <x:c r="A28" s="11" t="str">
        <x:v>P023</x:v>
      </x:c>
      <x:c r="B28" s="11" t="str">
        <x:v>Lea Sommer</x:v>
      </x:c>
      <x:c r="C28" s="12" t="n">
        <x:v>45292</x:v>
      </x:c>
      <x:c r="D28" s="12" t="n">
        <x:v>32473</x:v>
      </x:c>
      <x:c r="E28" s="11" t="str">
        <x:v>Dokumentation</x:v>
      </x:c>
      <x:c r="F28" s="11" t="str">
        <x:v>Technischer Redakteur</x:v>
      </x:c>
    </x:row>
    <x:row r="29" ht="36" customHeight="1">
      <x:c r="A29" s="10" t="str">
        <x:v>P024</x:v>
      </x:c>
      <x:c r="B29" s="10" t="str">
        <x:v>Pavel Novák</x:v>
      </x:c>
      <x:c r="C29" s="13" t="n">
        <x:v>44044</x:v>
      </x:c>
      <x:c r="D29" s="13" t="n">
        <x:v>26637</x:v>
      </x:c>
      <x:c r="E29" s="10" t="str">
        <x:v>Plattform</x:v>
      </x:c>
      <x:c r="F29" s="10" t="str">
        <x:v>Computer Vision Engineer</x:v>
      </x:c>
    </x:row>
    <x:row r="30" ht="36" customHeight="1">
      <x:c r="A30" s="11" t="str">
        <x:v>P025</x:v>
      </x:c>
      <x:c r="B30" s="11" t="str">
        <x:v>Amir Rahimi</x:v>
      </x:c>
      <x:c r="C30" s="12" t="n">
        <x:v>44228</x:v>
      </x:c>
      <x:c r="D30" s="12" t="n">
        <x:v>28860</x:v>
      </x:c>
      <x:c r="E30" s="11" t="str">
        <x:v>Plattform</x:v>
      </x:c>
      <x:c r="F30" s="11" t="str">
        <x:v>Platform Engineer</x:v>
      </x:c>
    </x:row>
    <x:row r="31" ht="36" customHeight="1">
      <x:c r="A31" s="10" t="str">
        <x:v>P026</x:v>
      </x:c>
      <x:c r="B31" s="10" t="str">
        <x:v>Emily Turner</x:v>
      </x:c>
      <x:c r="C31" s="13" t="n">
        <x:v>45047</x:v>
      </x:c>
      <x:c r="D31" s="13" t="n">
        <x:v>31449</x:v>
      </x:c>
      <x:c r="E31" s="10" t="str">
        <x:v>Vertrieb</x:v>
      </x:c>
      <x:c r="F31" s="10" t="str">
        <x:v>Customer Integration Engineer</x:v>
      </x:c>
    </x:row>
    <x:row r="32" ht="36" customHeight="1">
      <x:c r="A32" s="11" t="str">
        <x:v>P027</x:v>
      </x:c>
      <x:c r="B32" s="11" t="str">
        <x:v>Lucía Martín</x:v>
      </x:c>
      <x:c r="C32" s="12" t="n">
        <x:v>45292</x:v>
      </x:c>
      <x:c r="D32" s="12" t="n">
        <x:v>34035</x:v>
      </x:c>
      <x:c r="E32" s="11" t="str">
        <x:v>Produkt</x:v>
      </x:c>
      <x:c r="F32" s="11" t="str">
        <x:v>UX Designer</x:v>
      </x:c>
    </x:row>
    <x:row r="33" ht="36" customHeight="1">
      <x:c r="A33" s="10" t="str">
        <x:v>P028</x:v>
      </x:c>
      <x:c r="B33" s="10" t="str">
        <x:v>Jakub Kowalski</x:v>
      </x:c>
      <x:c r="C33" s="13" t="n">
        <x:v>44805</x:v>
      </x:c>
      <x:c r="D33" s="13" t="n">
        <x:v>28223</x:v>
      </x:c>
      <x:c r="E33" s="10" t="str">
        <x:v>Plattform</x:v>
      </x:c>
      <x:c r="F33" s="10" t="str">
        <x:v>Security Engineer</x:v>
      </x:c>
    </x:row>
    <x:row r="34" ht="36" customHeight="1">
      <x:c r="A34" s="11" t="str">
        <x:v>P029</x:v>
      </x:c>
      <x:c r="B34" s="11" t="str">
        <x:v>Hannah Schröder</x:v>
      </x:c>
      <x:c r="C34" s="12" t="n">
        <x:v>44378</x:v>
      </x:c>
      <x:c r="D34" s="12" t="n">
        <x:v>30811</x:v>
      </x:c>
      <x:c r="E34" s="11" t="str">
        <x:v>Produkt</x:v>
      </x:c>
      <x:c r="F34" s="11" t="str">
        <x:v>Produktmanager</x:v>
      </x:c>
    </x:row>
    <x:row r="35" ht="36" customHeight="1">
      <x:c r="A35" s="10" t="str">
        <x:v>P030</x:v>
      </x:c>
      <x:c r="B35" s="10" t="str">
        <x:v>Dennis Wolf</x:v>
      </x:c>
      <x:c r="C35" s="13" t="n">
        <x:v>43891</x:v>
      </x:c>
      <x:c r="D35" s="13" t="n">
        <x:v>32251</x:v>
      </x:c>
      <x:c r="E35" s="10" t="str">
        <x:v>Werkstatt</x:v>
      </x:c>
      <x:c r="F35" s="10" t="str">
        <x:v>Kabelbaumfertiger</x:v>
      </x:c>
    </x:row>
    <x:row r="36" ht="36" customHeight="1">
      <x:c r="A36" s="11" t="str">
        <x:v>P031</x:v>
      </x:c>
      <x:c r="B36" s="11" t="str">
        <x:v>Nora Brandt</x:v>
      </x:c>
      <x:c r="C36" s="12" t="n">
        <x:v>45231</x:v>
      </x:c>
      <x:c r="D36" s="12" t="n">
        <x:v>27586</x:v>
      </x:c>
      <x:c r="E36" s="11" t="str">
        <x:v>Finanzen</x:v>
      </x:c>
      <x:c r="F36" s="11" t="str">
        <x:v>Sachbearbeiter Buchhaltung</x:v>
      </x:c>
    </x:row>
    <x:row r="37" ht="36" customHeight="1">
      <x:c r="A37" s="10" t="str">
        <x:v>P032</x:v>
      </x:c>
      <x:c r="B37" s="10" t="str">
        <x:v>Felix Hartmann</x:v>
      </x:c>
      <x:c r="C37" s="13" t="n">
        <x:v>45413</x:v>
      </x:c>
      <x:c r="D37" s="13" t="n">
        <x:v>30175</x:v>
      </x:c>
      <x:c r="E37" s="10" t="str">
        <x:v>Einkauf</x:v>
      </x:c>
      <x:c r="F37" s="10" t="str">
        <x:v>Einkäufer Elektronik</x:v>
      </x:c>
    </x:row>
    <x:row r="38" ht="36" customHeight="1">
      <x:c r="A38" s="11" t="str">
        <x:v>P033</x:v>
      </x:c>
      <x:c r="B38" s="11" t="str">
        <x:v>Robert Koch</x:v>
      </x:c>
      <x:c r="C38" s="12" t="n">
        <x:v>42036</x:v>
      </x:c>
      <x:c r="D38" s="12" t="n">
        <x:v>32764</x:v>
      </x:c>
      <x:c r="E38" s="11" t="str">
        <x:v>Hardware</x:v>
      </x:c>
      <x:c r="F38" s="11" t="str">
        <x:v>Entwicklungsingenieur Elektronik</x:v>
      </x:c>
    </x:row>
    <x:row r="39" ht="36" customHeight="1">
      <x:c r="A39" s="10" t="str">
        <x:v>P034</x:v>
      </x:c>
      <x:c r="B39" s="10" t="str">
        <x:v>Maja Seidel</x:v>
      </x:c>
      <x:c r="C39" s="13" t="n">
        <x:v>44440</x:v>
      </x:c>
      <x:c r="D39" s="13" t="n">
        <x:v>26951</x:v>
      </x:c>
      <x:c r="E39" s="10" t="str">
        <x:v>Qualität</x:v>
      </x:c>
      <x:c r="F39" s="10" t="str">
        <x:v>Qualitätskoordinator</x:v>
      </x:c>
    </x:row>
    <x:row r="40" ht="36" customHeight="1">
      <x:c r="A40" s="11" t="str">
        <x:v>P035</x:v>
      </x:c>
      <x:c r="B40" s="11" t="str">
        <x:v>Tim Berger</x:v>
      </x:c>
      <x:c r="C40" s="12" t="n">
        <x:v>44652</x:v>
      </x:c>
      <x:c r="D40" s="12" t="n">
        <x:v>29540</x:v>
      </x:c>
      <x:c r="E40" s="11" t="str">
        <x:v>Service</x:v>
      </x:c>
      <x:c r="F40" s="11" t="str">
        <x:v>Servicetechniker</x:v>
      </x:c>
    </x:row>
    <x:row r="41" ht="36" customHeight="1">
      <x:c r="A41" s="10" t="str">
        <x:v>P036</x:v>
      </x:c>
      <x:c r="B41" s="10" t="str">
        <x:v>Fatima Öztürk</x:v>
      </x:c>
      <x:c r="C41" s="13" t="n">
        <x:v>45658</x:v>
      </x:c>
      <x:c r="D41" s="13" t="n">
        <x:v>32127</x:v>
      </x:c>
      <x:c r="E41" s="10" t="str">
        <x:v>Erprobung</x:v>
      </x:c>
      <x:c r="F41" s="10" t="str">
        <x:v>Test Automation Engineer</x:v>
      </x:c>
    </x:row>
    <x:row r="42" ht="36" customHeight="1">
      <x:c r="A42" s="11" t="str">
        <x:v>P037</x:v>
      </x:c>
      <x:c r="B42" s="11" t="str">
        <x:v>Anton Winkler</x:v>
      </x:c>
      <x:c r="C42" s="12" t="n">
        <x:v>44166</x:v>
      </x:c>
      <x:c r="D42" s="12" t="n">
        <x:v>34351</x:v>
      </x:c>
      <x:c r="E42" s="11" t="str">
        <x:v>Firmware</x:v>
      </x:c>
      <x:c r="F42" s="11" t="str">
        <x:v>Systemingenieur</x:v>
      </x:c>
    </x:row>
    <x:row r="43" ht="36" customHeight="1">
      <x:c r="A43" s="10" t="str">
        <x:v>P038</x:v>
      </x:c>
      <x:c r="B43" s="10" t="str">
        <x:v>Greta Lorenz</x:v>
      </x:c>
      <x:c r="C43" s="13" t="n">
        <x:v>45200</x:v>
      </x:c>
      <x:c r="D43" s="13" t="n">
        <x:v>28539</x:v>
      </x:c>
      <x:c r="E43" s="10" t="str">
        <x:v>Qualität</x:v>
      </x:c>
      <x:c r="F43" s="10" t="str">
        <x:v>Koordinator Produktkonformität</x:v>
      </x:c>
    </x:row>
    <x:row r="44" ht="36" customHeight="1">
      <x:c r="A44" s="11" t="str">
        <x:v>P039</x:v>
      </x:c>
      <x:c r="B44" s="11" t="str">
        <x:v>Leon Richter</x:v>
      </x:c>
      <x:c r="C44" s="12" t="n">
        <x:v>45323</x:v>
      </x:c>
      <x:c r="D44" s="12" t="n">
        <x:v>31125</x:v>
      </x:c>
      <x:c r="E44" s="11" t="str">
        <x:v>Erprobung</x:v>
      </x:c>
      <x:c r="F44" s="11" t="str">
        <x:v>Labortechniker</x:v>
      </x:c>
    </x:row>
    <x:row r="45" ht="36" customHeight="1">
      <x:c r="A45" s="10" t="str">
        <x:v>P040</x:v>
      </x:c>
      <x:c r="B45" s="10" t="str">
        <x:v>Isabel Schwarz</x:v>
      </x:c>
      <x:c r="C45" s="13" t="n">
        <x:v>44197</x:v>
      </x:c>
      <x:c r="D45" s="13" t="n">
        <x:v>33714</x:v>
      </x:c>
      <x:c r="E45" s="10" t="str">
        <x:v>Vertrieb</x:v>
      </x:c>
      <x:c r="F45" s="10" t="str">
        <x:v>Key Account Manager</x:v>
      </x:c>
    </x:row>
    <x:row r="46" ht="36" customHeight="1">
      <x:c r="A46" s="11" t="str">
        <x:v>P041</x:v>
      </x:c>
      <x:c r="B46" s="11" t="str">
        <x:v>Erik Vogel</x:v>
      </x:c>
      <x:c r="C46" s="12" t="n">
        <x:v>43709</x:v>
      </x:c>
      <x:c r="D46" s="12" t="n">
        <x:v>27901</x:v>
      </x:c>
      <x:c r="E46" s="11" t="str">
        <x:v>Plattform</x:v>
      </x:c>
      <x:c r="F46" s="11" t="str">
        <x:v>DevOps Engineer</x:v>
      </x:c>
    </x:row>
    <x:row r="47" ht="36" customHeight="1">
      <x:c r="A47" s="10" t="str">
        <x:v>P042</x:v>
      </x:c>
      <x:c r="B47" s="10" t="str">
        <x:v>Melanie Krause</x:v>
      </x:c>
      <x:c r="C47" s="13" t="n">
        <x:v>45108</x:v>
      </x:c>
      <x:c r="D47" s="13" t="n">
        <x:v>30489</x:v>
      </x:c>
      <x:c r="E47" s="10" t="str">
        <x:v>Personal</x:v>
      </x:c>
      <x:c r="F47" s="10" t="str">
        <x:v>Sachbearbeiter Entgeltabrechnung</x:v>
      </x:c>
    </x:row>
    <x:row r="48" ht="36" customHeight="1">
      <x:c r="A48" s="11" t="str">
        <x:v>P043</x:v>
      </x:c>
      <x:c r="B48" s="11" t="str">
        <x:v>Yusuf Demir</x:v>
      </x:c>
      <x:c r="C48" s="12" t="n">
        <x:v>44713</x:v>
      </x:c>
      <x:c r="D48" s="12" t="n">
        <x:v>33077</x:v>
      </x:c>
      <x:c r="E48" s="11" t="str">
        <x:v>Werkstatt</x:v>
      </x:c>
      <x:c r="F48" s="11" t="str">
        <x:v>Montagefachkraft</x:v>
      </x:c>
    </x:row>
    <x:row r="49" ht="36" customHeight="1">
      <x:c r="A49" s="10" t="str">
        <x:v>P044</x:v>
      </x:c>
      <x:c r="B49" s="10" t="str">
        <x:v>Carolin Schütz</x:v>
      </x:c>
      <x:c r="C49" s="13" t="n">
        <x:v>45505</x:v>
      </x:c>
      <x:c r="D49" s="13" t="n">
        <x:v>27265</x:v>
      </x:c>
      <x:c r="E49" s="10" t="str">
        <x:v>Service</x:v>
      </x:c>
      <x:c r="F49" s="10" t="str">
        <x:v>Technischer Kundenbetreuer</x:v>
      </x:c>
    </x:row>
    <x:row r="50" ht="36" customHeight="1">
      <x:c r="A50" s="11" t="str">
        <x:v>P045</x:v>
      </x:c>
      <x:c r="B50" s="11" t="str">
        <x:v>Lukas Frank</x:v>
      </x:c>
      <x:c r="C50" s="12" t="n">
        <x:v>45748</x:v>
      </x:c>
      <x:c r="D50" s="12" t="n">
        <x:v>29854</x:v>
      </x:c>
      <x:c r="E50" s="11" t="str">
        <x:v>Plattform</x:v>
      </x:c>
      <x:c r="F50" s="11" t="str">
        <x:v>Entwickler Flugsimulation</x:v>
      </x:c>
    </x:row>
    <x:row r="51" ht="36" customHeight="1">
      <x:c r="A51" s="10" t="str">
        <x:v>P046</x:v>
      </x:c>
      <x:c r="B51" s="10" t="str">
        <x:v>Anja Keller</x:v>
      </x:c>
      <x:c r="C51" s="13" t="n">
        <x:v>44105</x:v>
      </x:c>
      <x:c r="D51" s="13" t="n">
        <x:v>32442</x:v>
      </x:c>
      <x:c r="E51" s="10" t="str">
        <x:v>Logistik</x:v>
      </x:c>
      <x:c r="F51" s="10" t="str">
        <x:v>Lagerfachkraft</x:v>
      </x:c>
    </x:row>
    <x:row r="52" ht="36" customHeight="1">
      <x:c r="A52" s="11" t="str">
        <x:v>P047</x:v>
      </x:c>
      <x:c r="B52" s="11" t="str">
        <x:v>Nils Seifert</x:v>
      </x:c>
      <x:c r="C52" s="12" t="n">
        <x:v>45352</x:v>
      </x:c>
      <x:c r="D52" s="12" t="n">
        <x:v>26607</x:v>
      </x:c>
      <x:c r="E52" s="11" t="str">
        <x:v>Plattform</x:v>
      </x:c>
      <x:c r="F52" s="11" t="str">
        <x:v>Appentwickler</x:v>
      </x:c>
    </x:row>
    <x:row r="53" ht="36" customHeight="1">
      <x:c r="A53" s="10" t="str">
        <x:v>P048</x:v>
      </x:c>
      <x:c r="B53" s="10" t="str">
        <x:v>Sofia Moretti</x:v>
      </x:c>
      <x:c r="C53" s="13" t="n">
        <x:v>45778</x:v>
      </x:c>
      <x:c r="D53" s="13" t="n">
        <x:v>29194</x:v>
      </x:c>
      <x:c r="E53" s="10" t="str">
        <x:v>Plattform</x:v>
      </x:c>
      <x:c r="F53" s="10" t="str">
        <x:v>Machine Learning Engineer</x:v>
      </x:c>
    </x:row>
    <x:row r="54" ht="36" customHeight="1">
      <x:c r="A54" s="11" t="str">
        <x:v>P049</x:v>
      </x:c>
      <x:c r="B54" s="11" t="str">
        <x:v>Moritz Bauer</x:v>
      </x:c>
      <x:c r="C54" s="12" t="n">
        <x:v>44593</x:v>
      </x:c>
      <x:c r="D54" s="12" t="n">
        <x:v>31418</x:v>
      </x:c>
      <x:c r="E54" s="11" t="str">
        <x:v>Erprobung</x:v>
      </x:c>
      <x:c r="F54" s="11" t="str">
        <x:v>Erprobungstechniker</x:v>
      </x:c>
    </x:row>
    <x:row r="55" ht="36" customHeight="1">
      <x:c r="A55" s="10" t="str">
        <x:v>P050</x:v>
      </x:c>
      <x:c r="B55" s="10" t="str">
        <x:v>Bettina Lange</x:v>
      </x:c>
      <x:c r="C55" s="13" t="n">
        <x:v>41944</x:v>
      </x:c>
      <x:c r="D55" s="13" t="n">
        <x:v>34007</x:v>
      </x:c>
      <x:c r="E55" s="10" t="str">
        <x:v>Einkauf</x:v>
      </x:c>
      <x:c r="F55" s="10" t="str">
        <x:v>Sachbearbeiter Einkauf</x:v>
      </x:c>
    </x:row>
    <x:row r="56">
      <x:c r="A56" s="2"/>
      <x:c r="B56" s="2"/>
      <x:c r="C56" s="2"/>
      <x:c r="D56" s="2"/>
      <x:c r="E56" s="2"/>
      <x:c r="F56" s="2"/>
    </x:row>
    <x:row r="57">
      <x:c r="A57" s="2"/>
      <x:c r="B57" s="2"/>
      <x:c r="C57" s="2"/>
      <x:c r="D57" s="2"/>
      <x:c r="E57" s="2"/>
      <x:c r="F57" s="2"/>
    </x:row>
  </x:sheetData>
  <x:pageMargins left="0.7" right="0.7" top="0.75" bottom="0.75" header="0.3" footer="0.3"/>
  <x:pageSetup orientation="landscape" paperSize="9" fitToWidth="1" fitToHeight="0"/>
  <x:tableParts count="1">
    <x:tablePart xmlns:r="http://schemas.openxmlformats.org/officeDocument/2006/relationships" r:id="R705a989e6f3042c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.220000267028809" hidden="0" customWidth="1"/>
    <x:col min="2" max="2" width="22.440000534057617" hidden="0" customWidth="1"/>
    <x:col min="3" max="3" width="13.890000343322754" hidden="0" customWidth="1"/>
    <x:col min="4" max="4" width="14.670000076293945" hidden="0" customWidth="1"/>
    <x:col min="5" max="5" width="13.890000343322754" hidden="0" customWidth="1"/>
    <x:col min="6" max="6" width="13.890000343322754" hidden="0" customWidth="1"/>
    <x:col min="7" max="7" width="14.779999732971191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Entgeltabrechnung August 2026</x:v>
      </x:c>
      <x:c r="B2" s="2"/>
      <x:c r="C2" s="2"/>
      <x:c r="D2" s="2"/>
      <x:c r="E2" s="2"/>
      <x:c r="F2" s="2"/>
      <x:c r="G2" s="2"/>
    </x:row>
    <x:row r="3">
      <x:c r="A3" s="4" t="str">
        <x:v>Lohnkontor Spree   Lauf 08-2026 vom 31.08.2026   EUR   Abschläge laut Bank am 28.08.2026</x:v>
      </x:c>
      <x:c r="B3" s="2"/>
      <x:c r="C3" s="2"/>
      <x:c r="D3" s="2"/>
      <x:c r="E3" s="2"/>
      <x:c r="F3" s="2"/>
      <x:c r="G3" s="2"/>
    </x:row>
    <x:row r="4">
      <x:c r="A4" s="5"/>
      <x:c r="B4" s="5"/>
      <x:c r="C4" s="5"/>
      <x:c r="D4" s="5"/>
      <x:c r="E4" s="5"/>
      <x:c r="F4" s="5"/>
      <x:c r="G4" s="5"/>
    </x:row>
    <x:row r="5" ht="38" customHeight="1">
      <x:c r="A5" s="9" t="str">
        <x:v>Personal-Nr.</x:v>
      </x:c>
      <x:c r="B5" s="9" t="str">
        <x:v>Name</x:v>
      </x:c>
      <x:c r="C5" s="9" t="str">
        <x:v>Brutto August</x:v>
      </x:c>
      <x:c r="D5" s="9" t="str">
        <x:v>Zuschuss Mutterschutz</x:v>
      </x:c>
      <x:c r="E5" s="9" t="str">
        <x:v>Netto inkl. Zuschuss</x:v>
      </x:c>
      <x:c r="F5" s="9" t="str">
        <x:v>Abschlag gezahlt</x:v>
      </x:c>
      <x:c r="G5" s="9" t="str">
        <x:v>Rest Auszahlung</x:v>
      </x:c>
    </x:row>
    <x:row r="6" ht="34" customHeight="1">
      <x:c r="A6" s="11" t="str">
        <x:v>P001</x:v>
      </x:c>
      <x:c r="B6" s="11" t="str">
        <x:v>Dr. Johanna Neumann</x:v>
      </x:c>
      <x:c r="C6" s="14" t="n">
        <x:v>10000</x:v>
      </x:c>
      <x:c r="D6" s="14" t="n">
        <x:v>0</x:v>
      </x:c>
      <x:c r="E6" s="14" t="n">
        <x:v>6131.27</x:v>
      </x:c>
      <x:c r="F6" s="14" t="n">
        <x:v>1000</x:v>
      </x:c>
      <x:c r="G6" s="14" t="n">
        <x:f>E6-F6</x:f>
        <x:v>5131.27</x:v>
      </x:c>
    </x:row>
    <x:row r="7" ht="34" customHeight="1">
      <x:c r="A7" s="10" t="str">
        <x:v>P002</x:v>
      </x:c>
      <x:c r="B7" s="10" t="str">
        <x:v>Alexander Meyer</x:v>
      </x:c>
      <x:c r="C7" s="15" t="n">
        <x:v>3400</x:v>
      </x:c>
      <x:c r="D7" s="15" t="n">
        <x:v>0</x:v>
      </x:c>
      <x:c r="E7" s="15" t="n">
        <x:v>2142.67</x:v>
      </x:c>
      <x:c r="F7" s="15" t="n">
        <x:v>1000</x:v>
      </x:c>
      <x:c r="G7" s="15" t="n">
        <x:f>E7-F7</x:f>
        <x:v>1142.67</x:v>
      </x:c>
    </x:row>
    <x:row r="8" ht="34" customHeight="1">
      <x:c r="A8" s="11" t="str">
        <x:v>P003</x:v>
      </x:c>
      <x:c r="B8" s="11" t="str">
        <x:v>Ben Wagner</x:v>
      </x:c>
      <x:c r="C8" s="14" t="n">
        <x:v>3500</x:v>
      </x:c>
      <x:c r="D8" s="14" t="n">
        <x:v>0</x:v>
      </x:c>
      <x:c r="E8" s="14" t="n">
        <x:v>2243.27</x:v>
      </x:c>
      <x:c r="F8" s="14" t="n">
        <x:v>1000</x:v>
      </x:c>
      <x:c r="G8" s="14" t="n">
        <x:f>E8-F8</x:f>
        <x:v>1243.27</x:v>
      </x:c>
    </x:row>
    <x:row r="9" ht="34" customHeight="1">
      <x:c r="A9" s="10" t="str">
        <x:v>P004</x:v>
      </x:c>
      <x:c r="B9" s="10" t="str">
        <x:v>Elias Becker</x:v>
      </x:c>
      <x:c r="C9" s="15" t="n">
        <x:v>2900</x:v>
      </x:c>
      <x:c r="D9" s="15" t="n">
        <x:v>0</x:v>
      </x:c>
      <x:c r="E9" s="15" t="n">
        <x:v>1895.97</x:v>
      </x:c>
      <x:c r="F9" s="15" t="n">
        <x:v>1000</x:v>
      </x:c>
      <x:c r="G9" s="15" t="n">
        <x:f>E9-F9</x:f>
        <x:v>895.97</x:v>
      </x:c>
    </x:row>
    <x:row r="10" ht="34" customHeight="1">
      <x:c r="A10" s="11" t="str">
        <x:v>P005</x:v>
      </x:c>
      <x:c r="B10" s="11" t="str">
        <x:v>Maria Schneider</x:v>
      </x:c>
      <x:c r="C10" s="14" t="n">
        <x:v>5200</x:v>
      </x:c>
      <x:c r="D10" s="14" t="n">
        <x:v>0</x:v>
      </x:c>
      <x:c r="E10" s="14" t="n">
        <x:v>3432.07</x:v>
      </x:c>
      <x:c r="F10" s="14" t="n">
        <x:v>1000</x:v>
      </x:c>
      <x:c r="G10" s="14" t="n">
        <x:f>E10-F10</x:f>
        <x:v>2432.07</x:v>
      </x:c>
    </x:row>
    <x:row r="11" ht="34" customHeight="1">
      <x:c r="A11" s="10" t="str">
        <x:v>P006</x:v>
      </x:c>
      <x:c r="B11" s="10" t="str">
        <x:v>Marie Müller</x:v>
      </x:c>
      <x:c r="C11" s="15" t="n">
        <x:v>4900</x:v>
      </x:c>
      <x:c r="D11" s="15" t="n">
        <x:v>0</x:v>
      </x:c>
      <x:c r="E11" s="15" t="n">
        <x:v>3020.27</x:v>
      </x:c>
      <x:c r="F11" s="15" t="n">
        <x:v>1000</x:v>
      </x:c>
      <x:c r="G11" s="15" t="n">
        <x:f>E11-F11</x:f>
        <x:v>2020.27</x:v>
      </x:c>
    </x:row>
    <x:row r="12" ht="34" customHeight="1">
      <x:c r="A12" s="11" t="str">
        <x:v>P007</x:v>
      </x:c>
      <x:c r="B12" s="11" t="str">
        <x:v>Maximilian Fischer</x:v>
      </x:c>
      <x:c r="C12" s="14" t="n">
        <x:v>3300</x:v>
      </x:c>
      <x:c r="D12" s="14" t="n">
        <x:v>0</x:v>
      </x:c>
      <x:c r="E12" s="14" t="n">
        <x:v>2080.57</x:v>
      </x:c>
      <x:c r="F12" s="14" t="n">
        <x:v>1000</x:v>
      </x:c>
      <x:c r="G12" s="14" t="n">
        <x:f>E12-F12</x:f>
        <x:v>1080.5700000000002</x:v>
      </x:c>
    </x:row>
    <x:row r="13" ht="34" customHeight="1">
      <x:c r="A13" s="10" t="str">
        <x:v>P008</x:v>
      </x:c>
      <x:c r="B13" s="10" t="str">
        <x:v>Paul Weber</x:v>
      </x:c>
      <x:c r="C13" s="15" t="n">
        <x:v>4900</x:v>
      </x:c>
      <x:c r="D13" s="15" t="n">
        <x:v>0</x:v>
      </x:c>
      <x:c r="E13" s="15" t="n">
        <x:v>3128.07</x:v>
      </x:c>
      <x:c r="F13" s="15" t="n">
        <x:v>1000</x:v>
      </x:c>
      <x:c r="G13" s="15" t="n">
        <x:f>E13-F13</x:f>
        <x:v>2128.07</x:v>
      </x:c>
    </x:row>
    <x:row r="14" ht="34" customHeight="1">
      <x:c r="A14" s="11" t="str">
        <x:v>P009</x:v>
      </x:c>
      <x:c r="B14" s="11" t="str">
        <x:v>Sophie Schmidt</x:v>
      </x:c>
      <x:c r="C14" s="14" t="n">
        <x:v>6900</x:v>
      </x:c>
      <x:c r="D14" s="14" t="n">
        <x:v>0</x:v>
      </x:c>
      <x:c r="E14" s="14" t="n">
        <x:v>4467.97</x:v>
      </x:c>
      <x:c r="F14" s="14" t="n">
        <x:v>1000</x:v>
      </x:c>
      <x:c r="G14" s="14" t="n">
        <x:f>E14-F14</x:f>
        <x:v>3467.9700000000003</x:v>
      </x:c>
    </x:row>
    <x:row r="15" ht="34" customHeight="1">
      <x:c r="A15" s="10" t="str">
        <x:v>P010</x:v>
      </x:c>
      <x:c r="B15" s="10" t="str">
        <x:v>Sven Krüger</x:v>
      </x:c>
      <x:c r="C15" s="15" t="n">
        <x:v>6100</x:v>
      </x:c>
      <x:c r="D15" s="15" t="n">
        <x:v>0</x:v>
      </x:c>
      <x:c r="E15" s="15" t="n">
        <x:v>4020.67</x:v>
      </x:c>
      <x:c r="F15" s="15" t="n">
        <x:v>1000</x:v>
      </x:c>
      <x:c r="G15" s="15" t="n">
        <x:f>E15-F15</x:f>
        <x:v>3020.67</x:v>
      </x:c>
    </x:row>
    <x:row r="16" ht="34" customHeight="1">
      <x:c r="A16" s="11" t="str">
        <x:v>P011</x:v>
      </x:c>
      <x:c r="B16" s="11" t="str">
        <x:v>Aylin Yılmaz</x:v>
      </x:c>
      <x:c r="C16" s="14" t="n">
        <x:v>6500</x:v>
      </x:c>
      <x:c r="D16" s="14" t="n">
        <x:v>0</x:v>
      </x:c>
      <x:c r="E16" s="14" t="n">
        <x:v>3996.27</x:v>
      </x:c>
      <x:c r="F16" s="14" t="n">
        <x:v>1000</x:v>
      </x:c>
      <x:c r="G16" s="14" t="n">
        <x:f>E16-F16</x:f>
        <x:v>2996.27</x:v>
      </x:c>
    </x:row>
    <x:row r="17" ht="34" customHeight="1">
      <x:c r="A17" s="10" t="str">
        <x:v>P012</x:v>
      </x:c>
      <x:c r="B17" s="10" t="str">
        <x:v>Thomas Groß</x:v>
      </x:c>
      <x:c r="C17" s="15" t="n">
        <x:v>4300</x:v>
      </x:c>
      <x:c r="D17" s="15" t="n">
        <x:v>0</x:v>
      </x:c>
      <x:c r="E17" s="15" t="n">
        <x:v>2701.57</x:v>
      </x:c>
      <x:c r="F17" s="15" t="n">
        <x:v>1000</x:v>
      </x:c>
      <x:c r="G17" s="15" t="n">
        <x:f>E17-F17</x:f>
        <x:v>1701.5700000000002</x:v>
      </x:c>
    </x:row>
    <x:row r="18" ht="34" customHeight="1">
      <x:c r="A18" s="11" t="str">
        <x:v>P013</x:v>
      </x:c>
      <x:c r="B18" s="11" t="str">
        <x:v>Katharina Voß</x:v>
      </x:c>
      <x:c r="C18" s="14" t="n">
        <x:v>4100</x:v>
      </x:c>
      <x:c r="D18" s="14" t="n">
        <x:v>0</x:v>
      </x:c>
      <x:c r="E18" s="14" t="n">
        <x:v>2622.47</x:v>
      </x:c>
      <x:c r="F18" s="14" t="n">
        <x:v>1000</x:v>
      </x:c>
      <x:c r="G18" s="14" t="n">
        <x:f>E18-F18</x:f>
        <x:v>1622.4699999999998</x:v>
      </x:c>
    </x:row>
    <x:row r="19" ht="34" customHeight="1">
      <x:c r="A19" s="10" t="str">
        <x:v>P014</x:v>
      </x:c>
      <x:c r="B19" s="10" t="str">
        <x:v>Lina Hoffmann</x:v>
      </x:c>
      <x:c r="C19" s="15" t="n">
        <x:v>4800</x:v>
      </x:c>
      <x:c r="D19" s="15" t="n">
        <x:v>0</x:v>
      </x:c>
      <x:c r="E19" s="15" t="n">
        <x:v>3117.67</x:v>
      </x:c>
      <x:c r="F19" s="15" t="n">
        <x:v>1000</x:v>
      </x:c>
      <x:c r="G19" s="15" t="n">
        <x:f>E19-F19</x:f>
        <x:v>2117.67</x:v>
      </x:c>
    </x:row>
    <x:row r="20" ht="34" customHeight="1">
      <x:c r="A20" s="11" t="str">
        <x:v>P015</x:v>
      </x:c>
      <x:c r="B20" s="11" t="str">
        <x:v>Miriam Schulz</x:v>
      </x:c>
      <x:c r="C20" s="14" t="n">
        <x:v>4277.42</x:v>
      </x:c>
      <x:c r="D20" s="14" t="n">
        <x:v>218.25</x:v>
      </x:c>
      <x:c r="E20" s="14" t="n">
        <x:v>2892.7</x:v>
      </x:c>
      <x:c r="F20" s="14" t="n">
        <x:v>1000</x:v>
      </x:c>
      <x:c r="G20" s="14" t="n">
        <x:f>E20-F20</x:f>
        <x:v>1892.6999999999998</x:v>
      </x:c>
    </x:row>
    <x:row r="21" ht="34" customHeight="1">
      <x:c r="A21" s="10" t="str">
        <x:v>P016</x:v>
      </x:c>
      <x:c r="B21" s="10" t="str">
        <x:v>Natalie Peters</x:v>
      </x:c>
      <x:c r="C21" s="15" t="n">
        <x:v>5600</x:v>
      </x:c>
      <x:c r="D21" s="15" t="n">
        <x:v>0</x:v>
      </x:c>
      <x:c r="E21" s="15" t="n">
        <x:v>3447.27</x:v>
      </x:c>
      <x:c r="F21" s="15" t="n">
        <x:v>1000</x:v>
      </x:c>
      <x:c r="G21" s="15" t="n">
        <x:f>E21-F21</x:f>
        <x:v>2447.27</x:v>
      </x:c>
    </x:row>
    <x:row r="22" ht="34" customHeight="1">
      <x:c r="A22" s="11" t="str">
        <x:v>P017</x:v>
      </x:c>
      <x:c r="B22" s="11" t="str">
        <x:v>Daniel Roth</x:v>
      </x:c>
      <x:c r="C22" s="14" t="n">
        <x:v>4600</x:v>
      </x:c>
      <x:c r="D22" s="14" t="n">
        <x:v>0</x:v>
      </x:c>
      <x:c r="E22" s="14" t="n">
        <x:v>2887.87</x:v>
      </x:c>
      <x:c r="F22" s="14" t="n">
        <x:v>1000</x:v>
      </x:c>
      <x:c r="G22" s="14" t="n">
        <x:f>E22-F22</x:f>
        <x:v>1887.87</x:v>
      </x:c>
    </x:row>
    <x:row r="23" ht="34" customHeight="1">
      <x:c r="A23" s="10" t="str">
        <x:v>P018</x:v>
      </x:c>
      <x:c r="B23" s="10" t="str">
        <x:v>Florian Kühn</x:v>
      </x:c>
      <x:c r="C23" s="15" t="n">
        <x:v>3900</x:v>
      </x:c>
      <x:c r="D23" s="15" t="n">
        <x:v>0</x:v>
      </x:c>
      <x:c r="E23" s="15" t="n">
        <x:v>2496.07</x:v>
      </x:c>
      <x:c r="F23" s="15" t="n">
        <x:v>1000</x:v>
      </x:c>
      <x:c r="G23" s="15" t="n">
        <x:f>E23-F23</x:f>
        <x:v>1496.0700000000002</x:v>
      </x:c>
    </x:row>
    <x:row r="24" ht="34" customHeight="1">
      <x:c r="A24" s="11" t="str">
        <x:v>P019</x:v>
      </x:c>
      <x:c r="B24" s="11" t="str">
        <x:v>Sabine Berg</x:v>
      </x:c>
      <x:c r="C24" s="14" t="n">
        <x:v>0</x:v>
      </x:c>
      <x:c r="D24" s="14" t="n">
        <x:v>0</x:v>
      </x:c>
      <x:c r="E24" s="14" t="n">
        <x:v>0</x:v>
      </x:c>
      <x:c r="F24" s="14" t="n">
        <x:v>0</x:v>
      </x:c>
      <x:c r="G24" s="14" t="n">
        <x:f>E24-F24</x:f>
        <x:v>0</x:v>
      </x:c>
    </x:row>
    <x:row r="25" ht="34" customHeight="1">
      <x:c r="A25" s="10" t="str">
        <x:v>P020</x:v>
      </x:c>
      <x:c r="B25" s="10" t="str">
        <x:v>Omar Haddad</x:v>
      </x:c>
      <x:c r="C25" s="15" t="n">
        <x:v>5200</x:v>
      </x:c>
      <x:c r="D25" s="15" t="n">
        <x:v>0</x:v>
      </x:c>
      <x:c r="E25" s="15" t="n">
        <x:v>3432.07</x:v>
      </x:c>
      <x:c r="F25" s="15" t="n">
        <x:v>1000</x:v>
      </x:c>
      <x:c r="G25" s="15" t="n">
        <x:f>E25-F25</x:f>
        <x:v>2432.07</x:v>
      </x:c>
    </x:row>
    <x:row r="26" ht="34" customHeight="1">
      <x:c r="A26" s="11" t="str">
        <x:v>P021</x:v>
      </x:c>
      <x:c r="B26" s="11" t="str">
        <x:v>Clara Fuchs</x:v>
      </x:c>
      <x:c r="C26" s="14" t="n">
        <x:v>4200</x:v>
      </x:c>
      <x:c r="D26" s="14" t="n">
        <x:v>0</x:v>
      </x:c>
      <x:c r="E26" s="14" t="n">
        <x:v>2593.27</x:v>
      </x:c>
      <x:c r="F26" s="14" t="n">
        <x:v>1000</x:v>
      </x:c>
      <x:c r="G26" s="14" t="n">
        <x:f>E26-F26</x:f>
        <x:v>1593.27</x:v>
      </x:c>
    </x:row>
    <x:row r="27" ht="34" customHeight="1">
      <x:c r="A27" s="10" t="str">
        <x:v>P022</x:v>
      </x:c>
      <x:c r="B27" s="10" t="str">
        <x:v>Jonas Winter</x:v>
      </x:c>
      <x:c r="C27" s="15" t="n">
        <x:v>3800</x:v>
      </x:c>
      <x:c r="D27" s="15" t="n">
        <x:v>0</x:v>
      </x:c>
      <x:c r="E27" s="15" t="n">
        <x:v>2391.07</x:v>
      </x:c>
      <x:c r="F27" s="15" t="n">
        <x:v>1000</x:v>
      </x:c>
      <x:c r="G27" s="15" t="n">
        <x:f>E27-F27</x:f>
        <x:v>1391.0700000000002</x:v>
      </x:c>
    </x:row>
    <x:row r="28" ht="34" customHeight="1">
      <x:c r="A28" s="11" t="str">
        <x:v>P023</x:v>
      </x:c>
      <x:c r="B28" s="11" t="str">
        <x:v>Lea Sommer</x:v>
      </x:c>
      <x:c r="C28" s="14" t="n">
        <x:v>4000</x:v>
      </x:c>
      <x:c r="D28" s="14" t="n">
        <x:v>0</x:v>
      </x:c>
      <x:c r="E28" s="14" t="n">
        <x:v>2559.27</x:v>
      </x:c>
      <x:c r="F28" s="14" t="n">
        <x:v>1000</x:v>
      </x:c>
      <x:c r="G28" s="14" t="n">
        <x:f>E28-F28</x:f>
        <x:v>1559.27</x:v>
      </x:c>
    </x:row>
    <x:row r="29" ht="34" customHeight="1">
      <x:c r="A29" s="10" t="str">
        <x:v>P024</x:v>
      </x:c>
      <x:c r="B29" s="10" t="str">
        <x:v>Pavel Novák</x:v>
      </x:c>
      <x:c r="C29" s="15" t="n">
        <x:v>6400</x:v>
      </x:c>
      <x:c r="D29" s="15" t="n">
        <x:v>0</x:v>
      </x:c>
      <x:c r="E29" s="15" t="n">
        <x:v>4146.47</x:v>
      </x:c>
      <x:c r="F29" s="15" t="n">
        <x:v>1000</x:v>
      </x:c>
      <x:c r="G29" s="15" t="n">
        <x:f>E29-F29</x:f>
        <x:v>3146.4700000000003</x:v>
      </x:c>
    </x:row>
    <x:row r="30" ht="34" customHeight="1">
      <x:c r="A30" s="11" t="str">
        <x:v>P025</x:v>
      </x:c>
      <x:c r="B30" s="11" t="str">
        <x:v>Amir Rahimi</x:v>
      </x:c>
      <x:c r="C30" s="14" t="n">
        <x:v>6700</x:v>
      </x:c>
      <x:c r="D30" s="14" t="n">
        <x:v>0</x:v>
      </x:c>
      <x:c r="E30" s="14" t="n">
        <x:v>4413.07</x:v>
      </x:c>
      <x:c r="F30" s="14" t="n">
        <x:v>1000</x:v>
      </x:c>
      <x:c r="G30" s="14" t="n">
        <x:f>E30-F30</x:f>
        <x:v>3413.0699999999997</x:v>
      </x:c>
    </x:row>
    <x:row r="31" ht="34" customHeight="1">
      <x:c r="A31" s="10" t="str">
        <x:v>P026</x:v>
      </x:c>
      <x:c r="B31" s="10" t="str">
        <x:v>Emily Turner</x:v>
      </x:c>
      <x:c r="C31" s="15" t="n">
        <x:v>5900</x:v>
      </x:c>
      <x:c r="D31" s="15" t="n">
        <x:v>0</x:v>
      </x:c>
      <x:c r="E31" s="15" t="n">
        <x:v>3630.27</x:v>
      </x:c>
      <x:c r="F31" s="15" t="n">
        <x:v>1000</x:v>
      </x:c>
      <x:c r="G31" s="15" t="n">
        <x:f>E31-F31</x:f>
        <x:v>2630.27</x:v>
      </x:c>
    </x:row>
    <x:row r="32" ht="34" customHeight="1">
      <x:c r="A32" s="11" t="str">
        <x:v>P027</x:v>
      </x:c>
      <x:c r="B32" s="11" t="str">
        <x:v>Lucía Martín</x:v>
      </x:c>
      <x:c r="C32" s="14" t="n">
        <x:v>5400</x:v>
      </x:c>
      <x:c r="D32" s="14" t="n">
        <x:v>0</x:v>
      </x:c>
      <x:c r="E32" s="14" t="n">
        <x:v>3384.67</x:v>
      </x:c>
      <x:c r="F32" s="14" t="n">
        <x:v>1000</x:v>
      </x:c>
      <x:c r="G32" s="14" t="n">
        <x:f>E32-F32</x:f>
        <x:v>2384.67</x:v>
      </x:c>
    </x:row>
    <x:row r="33" ht="34" customHeight="1">
      <x:c r="A33" s="10" t="str">
        <x:v>P028</x:v>
      </x:c>
      <x:c r="B33" s="10" t="str">
        <x:v>Jakub Kowalski</x:v>
      </x:c>
      <x:c r="C33" s="15" t="n">
        <x:v>5300</x:v>
      </x:c>
      <x:c r="D33" s="15" t="n">
        <x:v>0</x:v>
      </x:c>
      <x:c r="E33" s="15" t="n">
        <x:v>3380.87</x:v>
      </x:c>
      <x:c r="F33" s="15" t="n">
        <x:v>1000</x:v>
      </x:c>
      <x:c r="G33" s="15" t="n">
        <x:f>E33-F33</x:f>
        <x:v>2380.87</x:v>
      </x:c>
    </x:row>
    <x:row r="34" ht="34" customHeight="1">
      <x:c r="A34" s="11" t="str">
        <x:v>P029</x:v>
      </x:c>
      <x:c r="B34" s="11" t="str">
        <x:v>Hannah Schröder</x:v>
      </x:c>
      <x:c r="C34" s="14" t="n">
        <x:v>6200</x:v>
      </x:c>
      <x:c r="D34" s="14" t="n">
        <x:v>0</x:v>
      </x:c>
      <x:c r="E34" s="14" t="n">
        <x:v>4017.87</x:v>
      </x:c>
      <x:c r="F34" s="14" t="n">
        <x:v>1000</x:v>
      </x:c>
      <x:c r="G34" s="14" t="n">
        <x:f>E34-F34</x:f>
        <x:v>3017.87</x:v>
      </x:c>
    </x:row>
    <x:row r="35" ht="34" customHeight="1">
      <x:c r="A35" s="10" t="str">
        <x:v>P030</x:v>
      </x:c>
      <x:c r="B35" s="10" t="str">
        <x:v>Dennis Wolf</x:v>
      </x:c>
      <x:c r="C35" s="15" t="n">
        <x:v>3700</x:v>
      </x:c>
      <x:c r="D35" s="15" t="n">
        <x:v>0</x:v>
      </x:c>
      <x:c r="E35" s="15" t="n">
        <x:v>2451.07</x:v>
      </x:c>
      <x:c r="F35" s="15" t="n">
        <x:v>1000</x:v>
      </x:c>
      <x:c r="G35" s="15" t="n">
        <x:f>E35-F35</x:f>
        <x:v>1451.0700000000002</x:v>
      </x:c>
    </x:row>
    <x:row r="36" ht="34" customHeight="1">
      <x:c r="A36" s="11" t="str">
        <x:v>P031</x:v>
      </x:c>
      <x:c r="B36" s="11" t="str">
        <x:v>Nora Brandt</x:v>
      </x:c>
      <x:c r="C36" s="14" t="n">
        <x:v>2800</x:v>
      </x:c>
      <x:c r="D36" s="14" t="n">
        <x:v>0</x:v>
      </x:c>
      <x:c r="E36" s="14" t="n">
        <x:v>1739.27</x:v>
      </x:c>
      <x:c r="F36" s="14" t="n">
        <x:v>1000</x:v>
      </x:c>
      <x:c r="G36" s="14" t="n">
        <x:f>E36-F36</x:f>
        <x:v>739.27</x:v>
      </x:c>
    </x:row>
    <x:row r="37" ht="34" customHeight="1">
      <x:c r="A37" s="10" t="str">
        <x:v>P032</x:v>
      </x:c>
      <x:c r="B37" s="10" t="str">
        <x:v>Felix Hartmann</x:v>
      </x:c>
      <x:c r="C37" s="15" t="n">
        <x:v>4500</x:v>
      </x:c>
      <x:c r="D37" s="15" t="n">
        <x:v>0</x:v>
      </x:c>
      <x:c r="E37" s="15" t="n">
        <x:v>2825.77</x:v>
      </x:c>
      <x:c r="F37" s="15" t="n">
        <x:v>1000</x:v>
      </x:c>
      <x:c r="G37" s="15" t="n">
        <x:f>E37-F37</x:f>
        <x:v>1825.77</x:v>
      </x:c>
    </x:row>
    <x:row r="38" ht="34" customHeight="1">
      <x:c r="A38" s="11" t="str">
        <x:v>P033</x:v>
      </x:c>
      <x:c r="B38" s="11" t="str">
        <x:v>Robert Koch</x:v>
      </x:c>
      <x:c r="C38" s="14" t="n">
        <x:v>5900</x:v>
      </x:c>
      <x:c r="D38" s="14" t="n">
        <x:v>0</x:v>
      </x:c>
      <x:c r="E38" s="14" t="n">
        <x:v>3760.07</x:v>
      </x:c>
      <x:c r="F38" s="14" t="n">
        <x:v>1000</x:v>
      </x:c>
      <x:c r="G38" s="14" t="n">
        <x:f>E38-F38</x:f>
        <x:v>2760.07</x:v>
      </x:c>
    </x:row>
    <x:row r="39" ht="34" customHeight="1">
      <x:c r="A39" s="10" t="str">
        <x:v>P034</x:v>
      </x:c>
      <x:c r="B39" s="10" t="str">
        <x:v>Maja Seidel</x:v>
      </x:c>
      <x:c r="C39" s="15" t="n">
        <x:v>4400</x:v>
      </x:c>
      <x:c r="D39" s="15" t="n">
        <x:v>0</x:v>
      </x:c>
      <x:c r="E39" s="15" t="n">
        <x:v>2860.47</x:v>
      </x:c>
      <x:c r="F39" s="15" t="n">
        <x:v>1000</x:v>
      </x:c>
      <x:c r="G39" s="15" t="n">
        <x:f>E39-F39</x:f>
        <x:v>1860.4699999999998</x:v>
      </x:c>
    </x:row>
    <x:row r="40" ht="34" customHeight="1">
      <x:c r="A40" s="11" t="str">
        <x:v>P035</x:v>
      </x:c>
      <x:c r="B40" s="11" t="str">
        <x:v>Tim Berger</x:v>
      </x:c>
      <x:c r="C40" s="14" t="n">
        <x:v>4800</x:v>
      </x:c>
      <x:c r="D40" s="14" t="n">
        <x:v>0</x:v>
      </x:c>
      <x:c r="E40" s="14" t="n">
        <x:v>3170.47</x:v>
      </x:c>
      <x:c r="F40" s="14" t="n">
        <x:v>1000</x:v>
      </x:c>
      <x:c r="G40" s="14" t="n">
        <x:f>E40-F40</x:f>
        <x:v>2170.47</x:v>
      </x:c>
    </x:row>
    <x:row r="41" ht="34" customHeight="1">
      <x:c r="A41" s="10" t="str">
        <x:v>P036</x:v>
      </x:c>
      <x:c r="B41" s="10" t="str">
        <x:v>Fatima Öztürk</x:v>
      </x:c>
      <x:c r="C41" s="15" t="n">
        <x:v>4700</x:v>
      </x:c>
      <x:c r="D41" s="15" t="n">
        <x:v>0</x:v>
      </x:c>
      <x:c r="E41" s="15" t="n">
        <x:v>2898.27</x:v>
      </x:c>
      <x:c r="F41" s="15" t="n">
        <x:v>1000</x:v>
      </x:c>
      <x:c r="G41" s="15" t="n">
        <x:f>E41-F41</x:f>
        <x:v>1898.27</x:v>
      </x:c>
    </x:row>
    <x:row r="42" ht="34" customHeight="1">
      <x:c r="A42" s="11" t="str">
        <x:v>P037</x:v>
      </x:c>
      <x:c r="B42" s="11" t="str">
        <x:v>Anton Winkler</x:v>
      </x:c>
      <x:c r="C42" s="14" t="n">
        <x:v>5500</x:v>
      </x:c>
      <x:c r="D42" s="14" t="n">
        <x:v>0</x:v>
      </x:c>
      <x:c r="E42" s="14" t="n">
        <x:v>3446.77</x:v>
      </x:c>
      <x:c r="F42" s="14" t="n">
        <x:v>1000</x:v>
      </x:c>
      <x:c r="G42" s="14" t="n">
        <x:f>E42-F42</x:f>
        <x:v>2446.77</x:v>
      </x:c>
    </x:row>
    <x:row r="43" ht="34" customHeight="1">
      <x:c r="A43" s="10" t="str">
        <x:v>P038</x:v>
      </x:c>
      <x:c r="B43" s="10" t="str">
        <x:v>Greta Lorenz</x:v>
      </x:c>
      <x:c r="C43" s="15" t="n">
        <x:v>4600</x:v>
      </x:c>
      <x:c r="D43" s="15" t="n">
        <x:v>0</x:v>
      </x:c>
      <x:c r="E43" s="15" t="n">
        <x:v>2938.47</x:v>
      </x:c>
      <x:c r="F43" s="15" t="n">
        <x:v>1000</x:v>
      </x:c>
      <x:c r="G43" s="15" t="n">
        <x:f>E43-F43</x:f>
        <x:v>1938.4699999999998</x:v>
      </x:c>
    </x:row>
    <x:row r="44" ht="34" customHeight="1">
      <x:c r="A44" s="11" t="str">
        <x:v>P039</x:v>
      </x:c>
      <x:c r="B44" s="11" t="str">
        <x:v>Leon Richter</x:v>
      </x:c>
      <x:c r="C44" s="14" t="n">
        <x:v>4100</x:v>
      </x:c>
      <x:c r="D44" s="14" t="n">
        <x:v>0</x:v>
      </x:c>
      <x:c r="E44" s="14" t="n">
        <x:v>2667.57</x:v>
      </x:c>
      <x:c r="F44" s="14" t="n">
        <x:v>1000</x:v>
      </x:c>
      <x:c r="G44" s="14" t="n">
        <x:f>E44-F44</x:f>
        <x:v>1667.5700000000002</x:v>
      </x:c>
    </x:row>
    <x:row r="45" ht="34" customHeight="1">
      <x:c r="A45" s="10" t="str">
        <x:v>P040</x:v>
      </x:c>
      <x:c r="B45" s="10" t="str">
        <x:v>Isabel Schwarz</x:v>
      </x:c>
      <x:c r="C45" s="15" t="n">
        <x:v>5200</x:v>
      </x:c>
      <x:c r="D45" s="15" t="n">
        <x:v>0</x:v>
      </x:c>
      <x:c r="E45" s="15" t="n">
        <x:v>3432.07</x:v>
      </x:c>
      <x:c r="F45" s="15" t="n">
        <x:v>1000</x:v>
      </x:c>
      <x:c r="G45" s="15" t="n">
        <x:f>E45-F45</x:f>
        <x:v>2432.07</x:v>
      </x:c>
    </x:row>
    <x:row r="46" ht="34" customHeight="1">
      <x:c r="A46" s="11" t="str">
        <x:v>P041</x:v>
      </x:c>
      <x:c r="B46" s="11" t="str">
        <x:v>Erik Vogel</x:v>
      </x:c>
      <x:c r="C46" s="14" t="n">
        <x:v>5800</x:v>
      </x:c>
      <x:c r="D46" s="14" t="n">
        <x:v>0</x:v>
      </x:c>
      <x:c r="E46" s="14" t="n">
        <x:v>3569.27</x:v>
      </x:c>
      <x:c r="F46" s="14" t="n">
        <x:v>1000</x:v>
      </x:c>
      <x:c r="G46" s="14" t="n">
        <x:f>E46-F46</x:f>
        <x:v>2569.27</x:v>
      </x:c>
    </x:row>
    <x:row r="47" ht="34" customHeight="1">
      <x:c r="A47" s="10" t="str">
        <x:v>P042</x:v>
      </x:c>
      <x:c r="B47" s="10" t="str">
        <x:v>Melanie Krause</x:v>
      </x:c>
      <x:c r="C47" s="15" t="n">
        <x:v>3600</x:v>
      </x:c>
      <x:c r="D47" s="15" t="n">
        <x:v>0</x:v>
      </x:c>
      <x:c r="E47" s="15" t="n">
        <x:v>2266.87</x:v>
      </x:c>
      <x:c r="F47" s="15" t="n">
        <x:v>1000</x:v>
      </x:c>
      <x:c r="G47" s="15" t="n">
        <x:f>E47-F47</x:f>
        <x:v>1266.87</x:v>
      </x:c>
    </x:row>
    <x:row r="48" ht="34" customHeight="1">
      <x:c r="A48" s="11" t="str">
        <x:v>P043</x:v>
      </x:c>
      <x:c r="B48" s="11" t="str">
        <x:v>Yusuf Demir</x:v>
      </x:c>
      <x:c r="C48" s="14" t="n">
        <x:v>3950</x:v>
      </x:c>
      <x:c r="D48" s="14" t="n">
        <x:v>0</x:v>
      </x:c>
      <x:c r="E48" s="14" t="n">
        <x:v>2527.67</x:v>
      </x:c>
      <x:c r="F48" s="14" t="n">
        <x:v>1000</x:v>
      </x:c>
      <x:c r="G48" s="14" t="n">
        <x:f>E48-F48</x:f>
        <x:v>1527.67</x:v>
      </x:c>
    </x:row>
    <x:row r="49" ht="34" customHeight="1">
      <x:c r="A49" s="10" t="str">
        <x:v>P044</x:v>
      </x:c>
      <x:c r="B49" s="10" t="str">
        <x:v>Carolin Schütz</x:v>
      </x:c>
      <x:c r="C49" s="15" t="n">
        <x:v>4300</x:v>
      </x:c>
      <x:c r="D49" s="15" t="n">
        <x:v>0</x:v>
      </x:c>
      <x:c r="E49" s="15" t="n">
        <x:v>2796.17</x:v>
      </x:c>
      <x:c r="F49" s="15" t="n">
        <x:v>1000</x:v>
      </x:c>
      <x:c r="G49" s="15" t="n">
        <x:f>E49-F49</x:f>
        <x:v>1796.17</x:v>
      </x:c>
    </x:row>
    <x:row r="50" ht="34" customHeight="1">
      <x:c r="A50" s="11" t="str">
        <x:v>P045</x:v>
      </x:c>
      <x:c r="B50" s="11" t="str">
        <x:v>Lukas Frank</x:v>
      </x:c>
      <x:c r="C50" s="14" t="n">
        <x:v>4700</x:v>
      </x:c>
      <x:c r="D50" s="14" t="n">
        <x:v>0</x:v>
      </x:c>
      <x:c r="E50" s="14" t="n">
        <x:v>3105.07</x:v>
      </x:c>
      <x:c r="F50" s="14" t="n">
        <x:v>1000</x:v>
      </x:c>
      <x:c r="G50" s="14" t="n">
        <x:f>E50-F50</x:f>
        <x:v>2105.07</x:v>
      </x:c>
    </x:row>
    <x:row r="51" ht="34" customHeight="1">
      <x:c r="A51" s="10" t="str">
        <x:v>P046</x:v>
      </x:c>
      <x:c r="B51" s="10" t="str">
        <x:v>Anja Keller</x:v>
      </x:c>
      <x:c r="C51" s="15" t="n">
        <x:v>3400</x:v>
      </x:c>
      <x:c r="D51" s="15" t="n">
        <x:v>0</x:v>
      </x:c>
      <x:c r="E51" s="15" t="n">
        <x:v>2105.27</x:v>
      </x:c>
      <x:c r="F51" s="15" t="n">
        <x:v>1000</x:v>
      </x:c>
      <x:c r="G51" s="15" t="n">
        <x:f>E51-F51</x:f>
        <x:v>1105.27</x:v>
      </x:c>
    </x:row>
    <x:row r="52" ht="34" customHeight="1">
      <x:c r="A52" s="11" t="str">
        <x:v>P047</x:v>
      </x:c>
      <x:c r="B52" s="11" t="str">
        <x:v>Nils Seifert</x:v>
      </x:c>
      <x:c r="C52" s="14" t="n">
        <x:v>5600</x:v>
      </x:c>
      <x:c r="D52" s="14" t="n">
        <x:v>0</x:v>
      </x:c>
      <x:c r="E52" s="14" t="n">
        <x:v>3508.87</x:v>
      </x:c>
      <x:c r="F52" s="14" t="n">
        <x:v>1000</x:v>
      </x:c>
      <x:c r="G52" s="14" t="n">
        <x:f>E52-F52</x:f>
        <x:v>2508.87</x:v>
      </x:c>
    </x:row>
    <x:row r="53" ht="34" customHeight="1">
      <x:c r="A53" s="10" t="str">
        <x:v>P048</x:v>
      </x:c>
      <x:c r="B53" s="10" t="str">
        <x:v>Sofia Moretti</x:v>
      </x:c>
      <x:c r="C53" s="15" t="n">
        <x:v>5700</x:v>
      </x:c>
      <x:c r="D53" s="15" t="n">
        <x:v>0</x:v>
      </x:c>
      <x:c r="E53" s="15" t="n">
        <x:v>3633.67</x:v>
      </x:c>
      <x:c r="F53" s="15" t="n">
        <x:v>1000</x:v>
      </x:c>
      <x:c r="G53" s="15" t="n">
        <x:f>E53-F53</x:f>
        <x:v>2633.67</x:v>
      </x:c>
    </x:row>
    <x:row r="54" ht="34" customHeight="1">
      <x:c r="A54" s="11" t="str">
        <x:v>P049</x:v>
      </x:c>
      <x:c r="B54" s="11" t="str">
        <x:v>Moritz Bauer</x:v>
      </x:c>
      <x:c r="C54" s="14" t="n">
        <x:v>4500</x:v>
      </x:c>
      <x:c r="D54" s="14" t="n">
        <x:v>0</x:v>
      </x:c>
      <x:c r="E54" s="14" t="n">
        <x:v>2924.77</x:v>
      </x:c>
      <x:c r="F54" s="14" t="n">
        <x:v>1000</x:v>
      </x:c>
      <x:c r="G54" s="14" t="n">
        <x:f>E54-F54</x:f>
        <x:v>1924.77</x:v>
      </x:c>
    </x:row>
    <x:row r="55" ht="34" customHeight="1">
      <x:c r="A55" s="10" t="str">
        <x:v>P050</x:v>
      </x:c>
      <x:c r="B55" s="10" t="str">
        <x:v>Bettina Lange</x:v>
      </x:c>
      <x:c r="C55" s="15" t="n">
        <x:v>4200</x:v>
      </x:c>
      <x:c r="D55" s="15" t="n">
        <x:v>0</x:v>
      </x:c>
      <x:c r="E55" s="15" t="n">
        <x:v>2778.07</x:v>
      </x:c>
      <x:c r="F55" s="15" t="n">
        <x:v>1000</x:v>
      </x:c>
      <x:c r="G55" s="15" t="n">
        <x:f>E55-F55</x:f>
        <x:v>1778.0700000000002</x:v>
      </x:c>
    </x:row>
    <x:row r="56">
      <x:c r="A56" s="2"/>
      <x:c r="B56" s="19" t="str">
        <x:v>Summe</x:v>
      </x:c>
      <x:c r="C56" s="20" t="n">
        <x:f>SUM(C6:C55)</x:f>
        <x:v>238227.41999999998</x:v>
      </x:c>
      <x:c r="D56" s="20" t="n">
        <x:f>SUM(D6:D55)</x:f>
        <x:v>218.25</x:v>
      </x:c>
      <x:c r="E56" s="20" t="n">
        <x:f>SUM(E6:E55)</x:f>
        <x:v>152079.56000000006</x:v>
      </x:c>
      <x:c r="F56" s="20" t="n">
        <x:f>SUM(F6:F55)</x:f>
        <x:v>49000</x:v>
      </x:c>
      <x:c r="G56" s="20" t="n">
        <x:f>SUM(G6:G55)</x:f>
        <x:v>103079.56000000004</x:v>
      </x:c>
    </x:row>
    <x:row r="57">
      <x:c r="A57" s="2"/>
      <x:c r="B57" s="2"/>
      <x:c r="C57" s="2"/>
      <x:c r="D57" s="2"/>
      <x:c r="E57" s="2"/>
      <x:c r="F57" s="2"/>
      <x:c r="G57" s="2"/>
    </x:row>
    <x:row r="58">
      <x:c r="A58" s="21" t="str">
        <x:v>Nettoauszahlung enthält den getrennt ausgewiesenen Zuschuss. Kein Septemberlauf enthalten.</x:v>
      </x:c>
    </x:row>
    <x:row r="59">
      <x:c r="A59" s="21" t="str">
        <x:v>Das Personalprogramm führt einheitlich das Zahlfeld Monatsende. GF01 und GF02 werden separat geführt.</x:v>
      </x:c>
    </x:row>
  </x:sheetData>
  <x:pageMargins left="0.7" right="0.7" top="0.75" bottom="0.75" header="0.3" footer="0.3"/>
  <x:pageSetup orientation="landscape" paperSize="9" fitToWidth="1" fitToHeight="0"/>
  <x:tableParts count="1">
    <x:tablePart xmlns:r="http://schemas.openxmlformats.org/officeDocument/2006/relationships" r:id="Re11b04e88e3047d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.220000267028809" hidden="0" customWidth="1"/>
    <x:col min="2" max="2" width="22.440000534057617" hidden="0" customWidth="1"/>
    <x:col min="3" max="3" width="12.5600004196167" hidden="0" customWidth="1"/>
    <x:col min="4" max="4" width="10.670000076293945" hidden="0" customWidth="1"/>
    <x:col min="5" max="5" width="15.4399995803833" hidden="0" customWidth="1"/>
    <x:col min="6" max="6" width="14.4399995803833" hidden="0" customWidth="1"/>
    <x:col min="7" max="7" width="14.890000343322754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Arbeitsbedingungen im Personalprogramm</x:v>
      </x:c>
      <x:c r="B2" s="2"/>
      <x:c r="C2" s="2"/>
      <x:c r="D2" s="2"/>
      <x:c r="E2" s="2"/>
      <x:c r="F2" s="2"/>
      <x:c r="G2" s="2"/>
    </x:row>
    <x:row r="3">
      <x:c r="A3" s="4" t="str">
        <x:v>Stand 08.09.2026   Stammdaten der Personalverwaltung und Angaben des Beschäftigten</x:v>
      </x:c>
      <x:c r="B3" s="2"/>
      <x:c r="C3" s="2"/>
      <x:c r="D3" s="2"/>
      <x:c r="E3" s="2"/>
      <x:c r="F3" s="2"/>
      <x:c r="G3" s="2"/>
    </x:row>
    <x:row r="4">
      <x:c r="A4" s="5"/>
      <x:c r="B4" s="5"/>
      <x:c r="C4" s="5"/>
      <x:c r="D4" s="5"/>
      <x:c r="E4" s="5"/>
      <x:c r="F4" s="5"/>
      <x:c r="G4" s="5"/>
    </x:row>
    <x:row r="5" ht="38" customHeight="1">
      <x:c r="A5" s="9" t="str">
        <x:v>Personal-Nr.</x:v>
      </x:c>
      <x:c r="B5" s="9" t="str">
        <x:v>Name</x:v>
      </x:c>
      <x:c r="C5" s="9" t="str">
        <x:v>Stunden Woche</x:v>
      </x:c>
      <x:c r="D5" s="9" t="str">
        <x:v>Tage Woche</x:v>
      </x:c>
      <x:c r="E5" s="9" t="str">
        <x:v>Grundgehalt EUR</x:v>
      </x:c>
      <x:c r="F5" s="9" t="str">
        <x:v>Kinder laut Mitteilung</x:v>
      </x:c>
      <x:c r="G5" s="9" t="str">
        <x:v>Urlaub Portal 2026</x:v>
      </x:c>
    </x:row>
    <x:row r="6" ht="34" customHeight="1">
      <x:c r="A6" s="11" t="str">
        <x:v>P001</x:v>
      </x:c>
      <x:c r="B6" s="11" t="str">
        <x:v>Dr. Johanna Neumann</x:v>
      </x:c>
      <x:c r="C6" s="22" t="n">
        <x:v>40</x:v>
      </x:c>
      <x:c r="D6" s="22" t="n">
        <x:v>5</x:v>
      </x:c>
      <x:c r="E6" s="24" t="n">
        <x:v>10000</x:v>
      </x:c>
      <x:c r="F6" s="22" t="n">
        <x:v>0</x:v>
      </x:c>
      <x:c r="G6" s="22" t="n">
        <x:v>30</x:v>
      </x:c>
    </x:row>
    <x:row r="7" ht="34" customHeight="1">
      <x:c r="A7" s="10" t="str">
        <x:v>P002</x:v>
      </x:c>
      <x:c r="B7" s="10" t="str">
        <x:v>Alexander Meyer</x:v>
      </x:c>
      <x:c r="C7" s="23" t="n">
        <x:v>40</x:v>
      </x:c>
      <x:c r="D7" s="23" t="n">
        <x:v>5</x:v>
      </x:c>
      <x:c r="E7" s="25" t="n">
        <x:v>3400</x:v>
      </x:c>
      <x:c r="F7" s="23" t="n">
        <x:v>1</x:v>
      </x:c>
      <x:c r="G7" s="23" t="n">
        <x:v>30</x:v>
      </x:c>
    </x:row>
    <x:row r="8" ht="34" customHeight="1">
      <x:c r="A8" s="11" t="str">
        <x:v>P003</x:v>
      </x:c>
      <x:c r="B8" s="11" t="str">
        <x:v>Ben Wagner</x:v>
      </x:c>
      <x:c r="C8" s="22" t="n">
        <x:v>40</x:v>
      </x:c>
      <x:c r="D8" s="22" t="n">
        <x:v>5</x:v>
      </x:c>
      <x:c r="E8" s="24" t="n">
        <x:v>3500</x:v>
      </x:c>
      <x:c r="F8" s="22" t="n">
        <x:v>2</x:v>
      </x:c>
      <x:c r="G8" s="22" t="n">
        <x:v>30</x:v>
      </x:c>
    </x:row>
    <x:row r="9" ht="34" customHeight="1">
      <x:c r="A9" s="10" t="str">
        <x:v>P004</x:v>
      </x:c>
      <x:c r="B9" s="10" t="str">
        <x:v>Elias Becker</x:v>
      </x:c>
      <x:c r="C9" s="23" t="n">
        <x:v>40</x:v>
      </x:c>
      <x:c r="D9" s="23" t="n">
        <x:v>5</x:v>
      </x:c>
      <x:c r="E9" s="25" t="n">
        <x:v>2900</x:v>
      </x:c>
      <x:c r="F9" s="23" t="n">
        <x:v>3</x:v>
      </x:c>
      <x:c r="G9" s="23" t="n">
        <x:v>30</x:v>
      </x:c>
    </x:row>
    <x:row r="10" ht="34" customHeight="1">
      <x:c r="A10" s="11" t="str">
        <x:v>P005</x:v>
      </x:c>
      <x:c r="B10" s="11" t="str">
        <x:v>Maria Schneider</x:v>
      </x:c>
      <x:c r="C10" s="22" t="n">
        <x:v>40</x:v>
      </x:c>
      <x:c r="D10" s="22" t="n">
        <x:v>5</x:v>
      </x:c>
      <x:c r="E10" s="24" t="n">
        <x:v>5200</x:v>
      </x:c>
      <x:c r="F10" s="22" t="n">
        <x:v>0</x:v>
      </x:c>
      <x:c r="G10" s="22" t="n">
        <x:v>30</x:v>
      </x:c>
    </x:row>
    <x:row r="11" ht="34" customHeight="1">
      <x:c r="A11" s="10" t="str">
        <x:v>P006</x:v>
      </x:c>
      <x:c r="B11" s="10" t="str">
        <x:v>Marie Müller</x:v>
      </x:c>
      <x:c r="C11" s="23" t="n">
        <x:v>40</x:v>
      </x:c>
      <x:c r="D11" s="23" t="n">
        <x:v>5</x:v>
      </x:c>
      <x:c r="E11" s="25" t="n">
        <x:v>4900</x:v>
      </x:c>
      <x:c r="F11" s="23" t="n">
        <x:v>1</x:v>
      </x:c>
      <x:c r="G11" s="23" t="n">
        <x:v>30</x:v>
      </x:c>
    </x:row>
    <x:row r="12" ht="34" customHeight="1">
      <x:c r="A12" s="11" t="str">
        <x:v>P007</x:v>
      </x:c>
      <x:c r="B12" s="11" t="str">
        <x:v>Maximilian Fischer</x:v>
      </x:c>
      <x:c r="C12" s="22" t="n">
        <x:v>40</x:v>
      </x:c>
      <x:c r="D12" s="22" t="n">
        <x:v>5</x:v>
      </x:c>
      <x:c r="E12" s="24" t="n">
        <x:v>3300</x:v>
      </x:c>
      <x:c r="F12" s="22" t="n">
        <x:v>2</x:v>
      </x:c>
      <x:c r="G12" s="22" t="n">
        <x:v>30</x:v>
      </x:c>
    </x:row>
    <x:row r="13" ht="34" customHeight="1">
      <x:c r="A13" s="10" t="str">
        <x:v>P008</x:v>
      </x:c>
      <x:c r="B13" s="10" t="str">
        <x:v>Paul Weber</x:v>
      </x:c>
      <x:c r="C13" s="23" t="n">
        <x:v>40</x:v>
      </x:c>
      <x:c r="D13" s="23" t="n">
        <x:v>5</x:v>
      </x:c>
      <x:c r="E13" s="25" t="n">
        <x:v>4900</x:v>
      </x:c>
      <x:c r="F13" s="23" t="n">
        <x:v>3</x:v>
      </x:c>
      <x:c r="G13" s="23" t="n">
        <x:v>30</x:v>
      </x:c>
    </x:row>
    <x:row r="14" ht="34" customHeight="1">
      <x:c r="A14" s="11" t="str">
        <x:v>P009</x:v>
      </x:c>
      <x:c r="B14" s="11" t="str">
        <x:v>Sophie Schmidt</x:v>
      </x:c>
      <x:c r="C14" s="22" t="n">
        <x:v>40</x:v>
      </x:c>
      <x:c r="D14" s="22" t="n">
        <x:v>5</x:v>
      </x:c>
      <x:c r="E14" s="24" t="n">
        <x:v>6900</x:v>
      </x:c>
      <x:c r="F14" s="22" t="n">
        <x:v>0</x:v>
      </x:c>
      <x:c r="G14" s="22" t="n">
        <x:v>30</x:v>
      </x:c>
    </x:row>
    <x:row r="15" ht="34" customHeight="1">
      <x:c r="A15" s="10" t="str">
        <x:v>P010</x:v>
      </x:c>
      <x:c r="B15" s="10" t="str">
        <x:v>Sven Krüger</x:v>
      </x:c>
      <x:c r="C15" s="23" t="n">
        <x:v>40</x:v>
      </x:c>
      <x:c r="D15" s="23" t="n">
        <x:v>5</x:v>
      </x:c>
      <x:c r="E15" s="25" t="n">
        <x:v>6100</x:v>
      </x:c>
      <x:c r="F15" s="23" t="n">
        <x:v>1</x:v>
      </x:c>
      <x:c r="G15" s="23" t="n">
        <x:v>30</x:v>
      </x:c>
    </x:row>
    <x:row r="16" ht="34" customHeight="1">
      <x:c r="A16" s="11" t="str">
        <x:v>P011</x:v>
      </x:c>
      <x:c r="B16" s="11" t="str">
        <x:v>Aylin Yılmaz</x:v>
      </x:c>
      <x:c r="C16" s="22" t="n">
        <x:v>38</x:v>
      </x:c>
      <x:c r="D16" s="22" t="n">
        <x:v>5</x:v>
      </x:c>
      <x:c r="E16" s="24" t="n">
        <x:v>6500</x:v>
      </x:c>
      <x:c r="F16" s="22" t="n">
        <x:v>2</x:v>
      </x:c>
      <x:c r="G16" s="22" t="n">
        <x:v>30</x:v>
      </x:c>
    </x:row>
    <x:row r="17" ht="34" customHeight="1">
      <x:c r="A17" s="10" t="str">
        <x:v>P012</x:v>
      </x:c>
      <x:c r="B17" s="10" t="str">
        <x:v>Thomas Groß</x:v>
      </x:c>
      <x:c r="C17" s="23" t="n">
        <x:v>35</x:v>
      </x:c>
      <x:c r="D17" s="23" t="n">
        <x:v>5</x:v>
      </x:c>
      <x:c r="E17" s="25" t="n">
        <x:v>4300</x:v>
      </x:c>
      <x:c r="F17" s="23" t="n">
        <x:v>3</x:v>
      </x:c>
      <x:c r="G17" s="23" t="n">
        <x:v>30</x:v>
      </x:c>
    </x:row>
    <x:row r="18" ht="34" customHeight="1">
      <x:c r="A18" s="11" t="str">
        <x:v>P013</x:v>
      </x:c>
      <x:c r="B18" s="11" t="str">
        <x:v>Katharina Voß</x:v>
      </x:c>
      <x:c r="C18" s="22" t="n">
        <x:v>36</x:v>
      </x:c>
      <x:c r="D18" s="22" t="n">
        <x:v>5</x:v>
      </x:c>
      <x:c r="E18" s="24" t="n">
        <x:v>4100</x:v>
      </x:c>
      <x:c r="F18" s="22" t="n">
        <x:v>0</x:v>
      </x:c>
      <x:c r="G18" s="22" t="n">
        <x:v>30</x:v>
      </x:c>
    </x:row>
    <x:row r="19" ht="34" customHeight="1">
      <x:c r="A19" s="10" t="str">
        <x:v>P014</x:v>
      </x:c>
      <x:c r="B19" s="10" t="str">
        <x:v>Lina Hoffmann</x:v>
      </x:c>
      <x:c r="C19" s="23" t="n">
        <x:v>40</x:v>
      </x:c>
      <x:c r="D19" s="23" t="n">
        <x:v>5</x:v>
      </x:c>
      <x:c r="E19" s="25" t="n">
        <x:v>4800</x:v>
      </x:c>
      <x:c r="F19" s="23" t="n">
        <x:v>1</x:v>
      </x:c>
      <x:c r="G19" s="23" t="n">
        <x:v>30</x:v>
      </x:c>
    </x:row>
    <x:row r="20" ht="34" customHeight="1">
      <x:c r="A20" s="11" t="str">
        <x:v>P015</x:v>
      </x:c>
      <x:c r="B20" s="11" t="str">
        <x:v>Miriam Schulz</x:v>
      </x:c>
      <x:c r="C20" s="22" t="n">
        <x:v>40</x:v>
      </x:c>
      <x:c r="D20" s="22" t="n">
        <x:v>5</x:v>
      </x:c>
      <x:c r="E20" s="24" t="n">
        <x:v>5100</x:v>
      </x:c>
      <x:c r="F20" s="22" t="n">
        <x:v>2</x:v>
      </x:c>
      <x:c r="G20" s="22" t="n">
        <x:v>30</x:v>
      </x:c>
    </x:row>
    <x:row r="21" ht="34" customHeight="1">
      <x:c r="A21" s="10" t="str">
        <x:v>P016</x:v>
      </x:c>
      <x:c r="B21" s="10" t="str">
        <x:v>Natalie Peters</x:v>
      </x:c>
      <x:c r="C21" s="23" t="n">
        <x:v>32</x:v>
      </x:c>
      <x:c r="D21" s="23" t="n">
        <x:v>4</x:v>
      </x:c>
      <x:c r="E21" s="25" t="n">
        <x:v>5600</x:v>
      </x:c>
      <x:c r="F21" s="23" t="n">
        <x:v>3</x:v>
      </x:c>
      <x:c r="G21" s="23" t="n">
        <x:v>24</x:v>
      </x:c>
    </x:row>
    <x:row r="22" ht="34" customHeight="1">
      <x:c r="A22" s="11" t="str">
        <x:v>P017</x:v>
      </x:c>
      <x:c r="B22" s="11" t="str">
        <x:v>Daniel Roth</x:v>
      </x:c>
      <x:c r="C22" s="22" t="n">
        <x:v>35</x:v>
      </x:c>
      <x:c r="D22" s="22" t="n">
        <x:v>5</x:v>
      </x:c>
      <x:c r="E22" s="24" t="n">
        <x:v>4600</x:v>
      </x:c>
      <x:c r="F22" s="22" t="n">
        <x:v>0</x:v>
      </x:c>
      <x:c r="G22" s="22" t="n">
        <x:v>30</x:v>
      </x:c>
    </x:row>
    <x:row r="23" ht="34" customHeight="1">
      <x:c r="A23" s="10" t="str">
        <x:v>P018</x:v>
      </x:c>
      <x:c r="B23" s="10" t="str">
        <x:v>Florian Kühn</x:v>
      </x:c>
      <x:c r="C23" s="23" t="n">
        <x:v>40</x:v>
      </x:c>
      <x:c r="D23" s="23" t="n">
        <x:v>5</x:v>
      </x:c>
      <x:c r="E23" s="25" t="n">
        <x:v>3900</x:v>
      </x:c>
      <x:c r="F23" s="23" t="n">
        <x:v>1</x:v>
      </x:c>
      <x:c r="G23" s="23" t="n">
        <x:v>30</x:v>
      </x:c>
    </x:row>
    <x:row r="24" ht="34" customHeight="1">
      <x:c r="A24" s="11" t="str">
        <x:v>P019</x:v>
      </x:c>
      <x:c r="B24" s="11" t="str">
        <x:v>Sabine Berg</x:v>
      </x:c>
      <x:c r="C24" s="22" t="n">
        <x:v>30</x:v>
      </x:c>
      <x:c r="D24" s="22" t="n">
        <x:v>5</x:v>
      </x:c>
      <x:c r="E24" s="24" t="n">
        <x:v>3600</x:v>
      </x:c>
      <x:c r="F24" s="22" t="n">
        <x:v>2</x:v>
      </x:c>
      <x:c r="G24" s="22" t="n">
        <x:v>30</x:v>
      </x:c>
    </x:row>
    <x:row r="25" ht="34" customHeight="1">
      <x:c r="A25" s="10" t="str">
        <x:v>P020</x:v>
      </x:c>
      <x:c r="B25" s="10" t="str">
        <x:v>Omar Haddad</x:v>
      </x:c>
      <x:c r="C25" s="23" t="n">
        <x:v>40</x:v>
      </x:c>
      <x:c r="D25" s="23" t="n">
        <x:v>5</x:v>
      </x:c>
      <x:c r="E25" s="25" t="n">
        <x:v>5200</x:v>
      </x:c>
      <x:c r="F25" s="23" t="n">
        <x:v>3</x:v>
      </x:c>
      <x:c r="G25" s="23" t="n">
        <x:v>30</x:v>
      </x:c>
    </x:row>
    <x:row r="26" ht="34" customHeight="1">
      <x:c r="A26" s="11" t="str">
        <x:v>P021</x:v>
      </x:c>
      <x:c r="B26" s="11" t="str">
        <x:v>Clara Fuchs</x:v>
      </x:c>
      <x:c r="C26" s="22" t="n">
        <x:v>30</x:v>
      </x:c>
      <x:c r="D26" s="22" t="n">
        <x:v>5</x:v>
      </x:c>
      <x:c r="E26" s="24" t="n">
        <x:v>4200</x:v>
      </x:c>
      <x:c r="F26" s="22" t="n">
        <x:v>0</x:v>
      </x:c>
      <x:c r="G26" s="22" t="n">
        <x:v>30</x:v>
      </x:c>
    </x:row>
    <x:row r="27" ht="34" customHeight="1">
      <x:c r="A27" s="10" t="str">
        <x:v>P022</x:v>
      </x:c>
      <x:c r="B27" s="10" t="str">
        <x:v>Jonas Winter</x:v>
      </x:c>
      <x:c r="C27" s="23" t="n">
        <x:v>40</x:v>
      </x:c>
      <x:c r="D27" s="23" t="n">
        <x:v>5</x:v>
      </x:c>
      <x:c r="E27" s="25" t="n">
        <x:v>3800</x:v>
      </x:c>
      <x:c r="F27" s="23" t="n">
        <x:v>1</x:v>
      </x:c>
      <x:c r="G27" s="23" t="n">
        <x:v>30</x:v>
      </x:c>
    </x:row>
    <x:row r="28" ht="34" customHeight="1">
      <x:c r="A28" s="11" t="str">
        <x:v>P023</x:v>
      </x:c>
      <x:c r="B28" s="11" t="str">
        <x:v>Lea Sommer</x:v>
      </x:c>
      <x:c r="C28" s="22" t="n">
        <x:v>36</x:v>
      </x:c>
      <x:c r="D28" s="22" t="n">
        <x:v>5</x:v>
      </x:c>
      <x:c r="E28" s="24" t="n">
        <x:v>4000</x:v>
      </x:c>
      <x:c r="F28" s="22" t="n">
        <x:v>2</x:v>
      </x:c>
      <x:c r="G28" s="22" t="n">
        <x:v>30</x:v>
      </x:c>
    </x:row>
    <x:row r="29" ht="34" customHeight="1">
      <x:c r="A29" s="10" t="str">
        <x:v>P024</x:v>
      </x:c>
      <x:c r="B29" s="10" t="str">
        <x:v>Pavel Novák</x:v>
      </x:c>
      <x:c r="C29" s="23" t="n">
        <x:v>40</x:v>
      </x:c>
      <x:c r="D29" s="23" t="n">
        <x:v>5</x:v>
      </x:c>
      <x:c r="E29" s="25" t="n">
        <x:v>6400</x:v>
      </x:c>
      <x:c r="F29" s="23" t="n">
        <x:v>3</x:v>
      </x:c>
      <x:c r="G29" s="23" t="n">
        <x:v>30</x:v>
      </x:c>
    </x:row>
    <x:row r="30" ht="34" customHeight="1">
      <x:c r="A30" s="11" t="str">
        <x:v>P025</x:v>
      </x:c>
      <x:c r="B30" s="11" t="str">
        <x:v>Amir Rahimi</x:v>
      </x:c>
      <x:c r="C30" s="22" t="n">
        <x:v>40</x:v>
      </x:c>
      <x:c r="D30" s="22" t="n">
        <x:v>5</x:v>
      </x:c>
      <x:c r="E30" s="24" t="n">
        <x:v>6700</x:v>
      </x:c>
      <x:c r="F30" s="22" t="n">
        <x:v>0</x:v>
      </x:c>
      <x:c r="G30" s="22" t="n">
        <x:v>30</x:v>
      </x:c>
    </x:row>
    <x:row r="31" ht="34" customHeight="1">
      <x:c r="A31" s="10" t="str">
        <x:v>P026</x:v>
      </x:c>
      <x:c r="B31" s="10" t="str">
        <x:v>Emily Turner</x:v>
      </x:c>
      <x:c r="C31" s="23" t="n">
        <x:v>40</x:v>
      </x:c>
      <x:c r="D31" s="23" t="n">
        <x:v>5</x:v>
      </x:c>
      <x:c r="E31" s="25" t="n">
        <x:v>5900</x:v>
      </x:c>
      <x:c r="F31" s="23" t="n">
        <x:v>1</x:v>
      </x:c>
      <x:c r="G31" s="23" t="n">
        <x:v>30</x:v>
      </x:c>
    </x:row>
    <x:row r="32" ht="34" customHeight="1">
      <x:c r="A32" s="11" t="str">
        <x:v>P027</x:v>
      </x:c>
      <x:c r="B32" s="11" t="str">
        <x:v>Lucía Martín</x:v>
      </x:c>
      <x:c r="C32" s="22" t="n">
        <x:v>36</x:v>
      </x:c>
      <x:c r="D32" s="22" t="n">
        <x:v>5</x:v>
      </x:c>
      <x:c r="E32" s="24" t="n">
        <x:v>5400</x:v>
      </x:c>
      <x:c r="F32" s="22" t="n">
        <x:v>2</x:v>
      </x:c>
      <x:c r="G32" s="22" t="n">
        <x:v>30</x:v>
      </x:c>
    </x:row>
    <x:row r="33" ht="34" customHeight="1">
      <x:c r="A33" s="10" t="str">
        <x:v>P028</x:v>
      </x:c>
      <x:c r="B33" s="10" t="str">
        <x:v>Jakub Kowalski</x:v>
      </x:c>
      <x:c r="C33" s="23" t="n">
        <x:v>40</x:v>
      </x:c>
      <x:c r="D33" s="23" t="n">
        <x:v>5</x:v>
      </x:c>
      <x:c r="E33" s="25" t="n">
        <x:v>5300</x:v>
      </x:c>
      <x:c r="F33" s="23" t="n">
        <x:v>3</x:v>
      </x:c>
      <x:c r="G33" s="23" t="n">
        <x:v>30</x:v>
      </x:c>
    </x:row>
    <x:row r="34" ht="34" customHeight="1">
      <x:c r="A34" s="11" t="str">
        <x:v>P029</x:v>
      </x:c>
      <x:c r="B34" s="11" t="str">
        <x:v>Hannah Schröder</x:v>
      </x:c>
      <x:c r="C34" s="22" t="n">
        <x:v>40</x:v>
      </x:c>
      <x:c r="D34" s="22" t="n">
        <x:v>5</x:v>
      </x:c>
      <x:c r="E34" s="24" t="n">
        <x:v>6200</x:v>
      </x:c>
      <x:c r="F34" s="22" t="n">
        <x:v>0</x:v>
      </x:c>
      <x:c r="G34" s="22" t="n">
        <x:v>30</x:v>
      </x:c>
    </x:row>
    <x:row r="35" ht="34" customHeight="1">
      <x:c r="A35" s="10" t="str">
        <x:v>P030</x:v>
      </x:c>
      <x:c r="B35" s="10" t="str">
        <x:v>Dennis Wolf</x:v>
      </x:c>
      <x:c r="C35" s="23" t="n">
        <x:v>40</x:v>
      </x:c>
      <x:c r="D35" s="23" t="n">
        <x:v>5</x:v>
      </x:c>
      <x:c r="E35" s="25" t="n">
        <x:v>3700</x:v>
      </x:c>
      <x:c r="F35" s="23" t="n">
        <x:v>2</x:v>
      </x:c>
      <x:c r="G35" s="23" t="n">
        <x:v>30</x:v>
      </x:c>
    </x:row>
    <x:row r="36" ht="34" customHeight="1">
      <x:c r="A36" s="11" t="str">
        <x:v>P031</x:v>
      </x:c>
      <x:c r="B36" s="11" t="str">
        <x:v>Nora Brandt</x:v>
      </x:c>
      <x:c r="C36" s="22" t="n">
        <x:v>24</x:v>
      </x:c>
      <x:c r="D36" s="22" t="n">
        <x:v>3</x:v>
      </x:c>
      <x:c r="E36" s="24" t="n">
        <x:v>2800</x:v>
      </x:c>
      <x:c r="F36" s="22" t="n">
        <x:v>2</x:v>
      </x:c>
      <x:c r="G36" s="22" t="n">
        <x:v>18</x:v>
      </x:c>
    </x:row>
    <x:row r="37" ht="34" customHeight="1">
      <x:c r="A37" s="10" t="str">
        <x:v>P032</x:v>
      </x:c>
      <x:c r="B37" s="10" t="str">
        <x:v>Felix Hartmann</x:v>
      </x:c>
      <x:c r="C37" s="23" t="n">
        <x:v>40</x:v>
      </x:c>
      <x:c r="D37" s="23" t="n">
        <x:v>5</x:v>
      </x:c>
      <x:c r="E37" s="25" t="n">
        <x:v>4500</x:v>
      </x:c>
      <x:c r="F37" s="23" t="n">
        <x:v>3</x:v>
      </x:c>
      <x:c r="G37" s="23" t="n">
        <x:v>30</x:v>
      </x:c>
    </x:row>
    <x:row r="38" ht="34" customHeight="1">
      <x:c r="A38" s="11" t="str">
        <x:v>P033</x:v>
      </x:c>
      <x:c r="B38" s="11" t="str">
        <x:v>Robert Koch</x:v>
      </x:c>
      <x:c r="C38" s="22" t="n">
        <x:v>40</x:v>
      </x:c>
      <x:c r="D38" s="22" t="n">
        <x:v>5</x:v>
      </x:c>
      <x:c r="E38" s="24" t="n">
        <x:v>5900</x:v>
      </x:c>
      <x:c r="F38" s="22" t="n">
        <x:v>0</x:v>
      </x:c>
      <x:c r="G38" s="22" t="n">
        <x:v>30</x:v>
      </x:c>
    </x:row>
    <x:row r="39" ht="34" customHeight="1">
      <x:c r="A39" s="10" t="str">
        <x:v>P034</x:v>
      </x:c>
      <x:c r="B39" s="10" t="str">
        <x:v>Maja Seidel</x:v>
      </x:c>
      <x:c r="C39" s="23" t="n">
        <x:v>38</x:v>
      </x:c>
      <x:c r="D39" s="23" t="n">
        <x:v>5</x:v>
      </x:c>
      <x:c r="E39" s="25" t="n">
        <x:v>4400</x:v>
      </x:c>
      <x:c r="F39" s="23" t="n">
        <x:v>1</x:v>
      </x:c>
      <x:c r="G39" s="23" t="n">
        <x:v>30</x:v>
      </x:c>
    </x:row>
    <x:row r="40" ht="34" customHeight="1">
      <x:c r="A40" s="11" t="str">
        <x:v>P035</x:v>
      </x:c>
      <x:c r="B40" s="11" t="str">
        <x:v>Tim Berger</x:v>
      </x:c>
      <x:c r="C40" s="22" t="n">
        <x:v>40</x:v>
      </x:c>
      <x:c r="D40" s="22" t="n">
        <x:v>5</x:v>
      </x:c>
      <x:c r="E40" s="24" t="n">
        <x:v>4800</x:v>
      </x:c>
      <x:c r="F40" s="22" t="n">
        <x:v>2</x:v>
      </x:c>
      <x:c r="G40" s="22" t="n">
        <x:v>30</x:v>
      </x:c>
    </x:row>
    <x:row r="41" ht="34" customHeight="1">
      <x:c r="A41" s="10" t="str">
        <x:v>P036</x:v>
      </x:c>
      <x:c r="B41" s="10" t="str">
        <x:v>Fatima Öztürk</x:v>
      </x:c>
      <x:c r="C41" s="23" t="n">
        <x:v>36</x:v>
      </x:c>
      <x:c r="D41" s="23" t="n">
        <x:v>5</x:v>
      </x:c>
      <x:c r="E41" s="25" t="n">
        <x:v>4700</x:v>
      </x:c>
      <x:c r="F41" s="23" t="n">
        <x:v>3</x:v>
      </x:c>
      <x:c r="G41" s="23" t="n">
        <x:v>30</x:v>
      </x:c>
    </x:row>
    <x:row r="42" ht="34" customHeight="1">
      <x:c r="A42" s="11" t="str">
        <x:v>P037</x:v>
      </x:c>
      <x:c r="B42" s="11" t="str">
        <x:v>Anton Winkler</x:v>
      </x:c>
      <x:c r="C42" s="22" t="n">
        <x:v>40</x:v>
      </x:c>
      <x:c r="D42" s="22" t="n">
        <x:v>5</x:v>
      </x:c>
      <x:c r="E42" s="24" t="n">
        <x:v>5500</x:v>
      </x:c>
      <x:c r="F42" s="22" t="n">
        <x:v>0</x:v>
      </x:c>
      <x:c r="G42" s="22" t="n">
        <x:v>30</x:v>
      </x:c>
    </x:row>
    <x:row r="43" ht="34" customHeight="1">
      <x:c r="A43" s="10" t="str">
        <x:v>P038</x:v>
      </x:c>
      <x:c r="B43" s="10" t="str">
        <x:v>Greta Lorenz</x:v>
      </x:c>
      <x:c r="C43" s="23" t="n">
        <x:v>32</x:v>
      </x:c>
      <x:c r="D43" s="23" t="n">
        <x:v>4</x:v>
      </x:c>
      <x:c r="E43" s="25" t="n">
        <x:v>4600</x:v>
      </x:c>
      <x:c r="F43" s="23" t="n">
        <x:v>1</x:v>
      </x:c>
      <x:c r="G43" s="23" t="n">
        <x:v>24</x:v>
      </x:c>
    </x:row>
    <x:row r="44" ht="34" customHeight="1">
      <x:c r="A44" s="11" t="str">
        <x:v>P039</x:v>
      </x:c>
      <x:c r="B44" s="11" t="str">
        <x:v>Leon Richter</x:v>
      </x:c>
      <x:c r="C44" s="22" t="n">
        <x:v>40</x:v>
      </x:c>
      <x:c r="D44" s="22" t="n">
        <x:v>5</x:v>
      </x:c>
      <x:c r="E44" s="24" t="n">
        <x:v>4100</x:v>
      </x:c>
      <x:c r="F44" s="22" t="n">
        <x:v>2</x:v>
      </x:c>
      <x:c r="G44" s="22" t="n">
        <x:v>30</x:v>
      </x:c>
    </x:row>
    <x:row r="45" ht="34" customHeight="1">
      <x:c r="A45" s="10" t="str">
        <x:v>P040</x:v>
      </x:c>
      <x:c r="B45" s="10" t="str">
        <x:v>Isabel Schwarz</x:v>
      </x:c>
      <x:c r="C45" s="23" t="n">
        <x:v>40</x:v>
      </x:c>
      <x:c r="D45" s="23" t="n">
        <x:v>5</x:v>
      </x:c>
      <x:c r="E45" s="25" t="n">
        <x:v>5200</x:v>
      </x:c>
      <x:c r="F45" s="23" t="n">
        <x:v>3</x:v>
      </x:c>
      <x:c r="G45" s="23" t="n">
        <x:v>30</x:v>
      </x:c>
    </x:row>
    <x:row r="46" ht="34" customHeight="1">
      <x:c r="A46" s="11" t="str">
        <x:v>P041</x:v>
      </x:c>
      <x:c r="B46" s="11" t="str">
        <x:v>Erik Vogel</x:v>
      </x:c>
      <x:c r="C46" s="22" t="n">
        <x:v>40</x:v>
      </x:c>
      <x:c r="D46" s="22" t="n">
        <x:v>5</x:v>
      </x:c>
      <x:c r="E46" s="24" t="n">
        <x:v>5800</x:v>
      </x:c>
      <x:c r="F46" s="22" t="n">
        <x:v>0</x:v>
      </x:c>
      <x:c r="G46" s="22" t="n">
        <x:v>30</x:v>
      </x:c>
    </x:row>
    <x:row r="47" ht="34" customHeight="1">
      <x:c r="A47" s="10" t="str">
        <x:v>P042</x:v>
      </x:c>
      <x:c r="B47" s="10" t="str">
        <x:v>Melanie Krause</x:v>
      </x:c>
      <x:c r="C47" s="23" t="n">
        <x:v>30</x:v>
      </x:c>
      <x:c r="D47" s="23" t="n">
        <x:v>5</x:v>
      </x:c>
      <x:c r="E47" s="25" t="n">
        <x:v>3600</x:v>
      </x:c>
      <x:c r="F47" s="23" t="n">
        <x:v>1</x:v>
      </x:c>
      <x:c r="G47" s="23" t="n">
        <x:v>30</x:v>
      </x:c>
    </x:row>
    <x:row r="48" ht="34" customHeight="1">
      <x:c r="A48" s="11" t="str">
        <x:v>P043</x:v>
      </x:c>
      <x:c r="B48" s="11" t="str">
        <x:v>Yusuf Demir</x:v>
      </x:c>
      <x:c r="C48" s="22" t="n">
        <x:v>40</x:v>
      </x:c>
      <x:c r="D48" s="22" t="n">
        <x:v>5</x:v>
      </x:c>
      <x:c r="E48" s="24" t="n">
        <x:v>3950</x:v>
      </x:c>
      <x:c r="F48" s="22" t="n">
        <x:v>2</x:v>
      </x:c>
      <x:c r="G48" s="22" t="n">
        <x:v>30</x:v>
      </x:c>
    </x:row>
    <x:row r="49" ht="34" customHeight="1">
      <x:c r="A49" s="10" t="str">
        <x:v>P044</x:v>
      </x:c>
      <x:c r="B49" s="10" t="str">
        <x:v>Carolin Schütz</x:v>
      </x:c>
      <x:c r="C49" s="23" t="n">
        <x:v>32</x:v>
      </x:c>
      <x:c r="D49" s="23" t="n">
        <x:v>4</x:v>
      </x:c>
      <x:c r="E49" s="25" t="n">
        <x:v>4300</x:v>
      </x:c>
      <x:c r="F49" s="23" t="n">
        <x:v>3</x:v>
      </x:c>
      <x:c r="G49" s="23" t="n">
        <x:v>24</x:v>
      </x:c>
    </x:row>
    <x:row r="50" ht="34" customHeight="1">
      <x:c r="A50" s="11" t="str">
        <x:v>P045</x:v>
      </x:c>
      <x:c r="B50" s="11" t="str">
        <x:v>Lukas Frank</x:v>
      </x:c>
      <x:c r="C50" s="22" t="n">
        <x:v>40</x:v>
      </x:c>
      <x:c r="D50" s="22" t="n">
        <x:v>5</x:v>
      </x:c>
      <x:c r="E50" s="24" t="n">
        <x:v>4700</x:v>
      </x:c>
      <x:c r="F50" s="22" t="n">
        <x:v>0</x:v>
      </x:c>
      <x:c r="G50" s="22" t="n">
        <x:v>30</x:v>
      </x:c>
    </x:row>
    <x:row r="51" ht="34" customHeight="1">
      <x:c r="A51" s="10" t="str">
        <x:v>P046</x:v>
      </x:c>
      <x:c r="B51" s="10" t="str">
        <x:v>Anja Keller</x:v>
      </x:c>
      <x:c r="C51" s="23" t="n">
        <x:v>35</x:v>
      </x:c>
      <x:c r="D51" s="23" t="n">
        <x:v>5</x:v>
      </x:c>
      <x:c r="E51" s="25" t="n">
        <x:v>3400</x:v>
      </x:c>
      <x:c r="F51" s="23" t="n">
        <x:v>1</x:v>
      </x:c>
      <x:c r="G51" s="23" t="n">
        <x:v>30</x:v>
      </x:c>
    </x:row>
    <x:row r="52" ht="34" customHeight="1">
      <x:c r="A52" s="11" t="str">
        <x:v>P047</x:v>
      </x:c>
      <x:c r="B52" s="11" t="str">
        <x:v>Nils Seifert</x:v>
      </x:c>
      <x:c r="C52" s="22" t="n">
        <x:v>40</x:v>
      </x:c>
      <x:c r="D52" s="22" t="n">
        <x:v>5</x:v>
      </x:c>
      <x:c r="E52" s="24" t="n">
        <x:v>5600</x:v>
      </x:c>
      <x:c r="F52" s="22" t="n">
        <x:v>2</x:v>
      </x:c>
      <x:c r="G52" s="22" t="n">
        <x:v>30</x:v>
      </x:c>
    </x:row>
    <x:row r="53" ht="34" customHeight="1">
      <x:c r="A53" s="10" t="str">
        <x:v>P048</x:v>
      </x:c>
      <x:c r="B53" s="10" t="str">
        <x:v>Sofia Moretti</x:v>
      </x:c>
      <x:c r="C53" s="23" t="n">
        <x:v>38</x:v>
      </x:c>
      <x:c r="D53" s="23" t="n">
        <x:v>5</x:v>
      </x:c>
      <x:c r="E53" s="25" t="n">
        <x:v>5700</x:v>
      </x:c>
      <x:c r="F53" s="23" t="n">
        <x:v>3</x:v>
      </x:c>
      <x:c r="G53" s="23" t="n">
        <x:v>30</x:v>
      </x:c>
    </x:row>
    <x:row r="54" ht="34" customHeight="1">
      <x:c r="A54" s="11" t="str">
        <x:v>P049</x:v>
      </x:c>
      <x:c r="B54" s="11" t="str">
        <x:v>Moritz Bauer</x:v>
      </x:c>
      <x:c r="C54" s="22" t="n">
        <x:v>40</x:v>
      </x:c>
      <x:c r="D54" s="22" t="n">
        <x:v>5</x:v>
      </x:c>
      <x:c r="E54" s="24" t="n">
        <x:v>4500</x:v>
      </x:c>
      <x:c r="F54" s="22" t="n">
        <x:v>0</x:v>
      </x:c>
      <x:c r="G54" s="22" t="n">
        <x:v>30</x:v>
      </x:c>
    </x:row>
    <x:row r="55" ht="34" customHeight="1">
      <x:c r="A55" s="10" t="str">
        <x:v>P050</x:v>
      </x:c>
      <x:c r="B55" s="10" t="str">
        <x:v>Bettina Lange</x:v>
      </x:c>
      <x:c r="C55" s="23" t="n">
        <x:v>32</x:v>
      </x:c>
      <x:c r="D55" s="23" t="n">
        <x:v>4</x:v>
      </x:c>
      <x:c r="E55" s="25" t="n">
        <x:v>4200</x:v>
      </x:c>
      <x:c r="F55" s="23" t="n">
        <x:v>1</x:v>
      </x:c>
      <x:c r="G55" s="23" t="n">
        <x:v>24</x:v>
      </x:c>
    </x:row>
    <x:row r="56">
      <x:c r="A56" s="2"/>
      <x:c r="B56" s="2"/>
      <x:c r="C56" s="2"/>
      <x:c r="D56" s="2"/>
      <x:c r="E56" s="2"/>
      <x:c r="F56" s="2"/>
      <x:c r="G56" s="2"/>
    </x:row>
    <x:row r="57">
      <x:c r="A57" s="2"/>
      <x:c r="B57" s="2"/>
      <x:c r="C57" s="2"/>
      <x:c r="D57" s="2"/>
      <x:c r="E57" s="2"/>
      <x:c r="F57" s="2"/>
      <x:c r="G57" s="2"/>
    </x:row>
  </x:sheetData>
  <x:pageMargins left="0.7" right="0.7" top="0.75" bottom="0.75" header="0.3" footer="0.3"/>
  <x:pageSetup orientation="landscape" paperSize="9" fitToWidth="1" fitToHeight="0"/>
  <x:tableParts count="1">
    <x:tablePart xmlns:r="http://schemas.openxmlformats.org/officeDocument/2006/relationships" r:id="Rfbe87304c49f42e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.220000267028809" hidden="0" customWidth="1"/>
    <x:col min="2" max="2" width="22.440000534057617" hidden="0" customWidth="1"/>
    <x:col min="3" max="3" width="14" hidden="0" customWidth="1"/>
    <x:col min="4" max="4" width="28.329999923706055" hidden="0" customWidth="1"/>
    <x:col min="5" max="5" width="19.889999389648438" hidden="0" customWidth="1"/>
    <x:col min="6" max="6" width="29.440000534057617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Vertrauliche Personalmitteilungen</x:v>
      </x:c>
      <x:c r="B2" s="2"/>
      <x:c r="C2" s="2"/>
      <x:c r="D2" s="2"/>
      <x:c r="E2" s="2"/>
      <x:c r="F2" s="2"/>
    </x:row>
    <x:row r="3">
      <x:c r="A3" s="4" t="str">
        <x:v>Nur berechtigter Personalkreis   Belegangaben verweisen auf getrennte Aktenstücke</x:v>
      </x:c>
      <x:c r="B3" s="2"/>
      <x:c r="C3" s="2"/>
      <x:c r="D3" s="2"/>
      <x:c r="E3" s="2"/>
      <x:c r="F3" s="2"/>
    </x:row>
    <x:row r="4">
      <x:c r="A4" s="5"/>
      <x:c r="B4" s="5"/>
      <x:c r="C4" s="5"/>
      <x:c r="D4" s="5"/>
      <x:c r="E4" s="5"/>
      <x:c r="F4" s="5"/>
    </x:row>
    <x:row r="5" ht="38" customHeight="1">
      <x:c r="A5" s="9" t="str">
        <x:v>Personal-Nr.</x:v>
      </x:c>
      <x:c r="B5" s="9" t="str">
        <x:v>Name</x:v>
      </x:c>
      <x:c r="C5" s="9" t="str">
        <x:v>Beleg oder Eingang</x:v>
      </x:c>
      <x:c r="D5" s="9" t="str">
        <x:v>Mitteilung</x:v>
      </x:c>
      <x:c r="E5" s="9" t="str">
        <x:v>Beleg</x:v>
      </x:c>
      <x:c r="F5" s="9" t="str">
        <x:v>Zusatz</x:v>
      </x:c>
    </x:row>
    <x:row r="6" ht="64" customHeight="1">
      <x:c r="A6" s="11" t="str">
        <x:v>P011</x:v>
      </x:c>
      <x:c r="B6" s="11" t="str">
        <x:v>Aylin Yılmaz</x:v>
      </x:c>
      <x:c r="C6" s="12" t="n">
        <x:v>46163</x:v>
      </x:c>
      <x:c r="D6" s="11" t="str">
        <x:v>Betriebsrat Vorsitz</x:v>
      </x:c>
      <x:c r="E6" s="11" t="str">
        <x:v>Wahlbekanntmachung 068</x:v>
      </x:c>
      <x:c r="F6" s="11" t="str"/>
    </x:row>
    <x:row r="7" ht="64" customHeight="1">
      <x:c r="A7" s="10" t="str">
        <x:v>P012</x:v>
      </x:c>
      <x:c r="B7" s="10" t="str">
        <x:v>Thomas Groß</x:v>
      </x:c>
      <x:c r="C7" s="13" t="n">
        <x:v>43536</x:v>
      </x:c>
      <x:c r="D7" s="10" t="str">
        <x:v>Grad der Behinderung 50</x:v>
      </x:c>
      <x:c r="E7" s="10" t="str">
        <x:v>Feststellung 080</x:v>
      </x:c>
      <x:c r="F7" s="10" t="str">
        <x:v>Betriebsrat Stellvertreter seit 21.05.2026</x:v>
      </x:c>
    </x:row>
    <x:row r="8" ht="64" customHeight="1">
      <x:c r="A8" s="11" t="str">
        <x:v>P013</x:v>
      </x:c>
      <x:c r="B8" s="11" t="str">
        <x:v>Katharina Voß</x:v>
      </x:c>
      <x:c r="C8" s="12" t="n">
        <x:v>46163</x:v>
      </x:c>
      <x:c r="D8" s="11" t="str">
        <x:v>Betriebsrat Mitglied</x:v>
      </x:c>
      <x:c r="E8" s="11" t="str">
        <x:v>Wahlbekanntmachung 068</x:v>
      </x:c>
      <x:c r="F8" s="11" t="str"/>
    </x:row>
    <x:row r="9" ht="64" customHeight="1">
      <x:c r="A9" s="10" t="str">
        <x:v>P014</x:v>
      </x:c>
      <x:c r="B9" s="10" t="str">
        <x:v>Lina Hoffmann</x:v>
      </x:c>
      <x:c r="C9" s="13" t="n">
        <x:v>46232</x:v>
      </x:c>
      <x:c r="D9" s="10" t="str">
        <x:v>Entbindung erwartet 12.02.2027</x:v>
      </x:c>
      <x:c r="E9" s="10" t="str">
        <x:v>Bescheinigung 074</x:v>
      </x:c>
      <x:c r="F9" s="10" t="str">
        <x:v>Einsatzentscheidung 076 ab 04.08.2026</x:v>
      </x:c>
    </x:row>
    <x:row r="10" ht="64" customHeight="1">
      <x:c r="A10" s="11" t="str">
        <x:v>P015</x:v>
      </x:c>
      <x:c r="B10" s="11" t="str">
        <x:v>Miriam Schulz</x:v>
      </x:c>
      <x:c r="C10" s="12" t="n">
        <x:v>46191</x:v>
      </x:c>
      <x:c r="D10" s="11" t="str">
        <x:v>Entbindung erwartet 08.10.2026</x:v>
      </x:c>
      <x:c r="E10" s="11" t="str">
        <x:v>Bescheinigung 077</x:v>
      </x:c>
      <x:c r="F10" s="11" t="str">
        <x:v>Keine Beschäftigung ab 27.08.2026, Nachricht 112</x:v>
      </x:c>
    </x:row>
    <x:row r="11" ht="64" customHeight="1">
      <x:c r="A11" s="10" t="str">
        <x:v>P016</x:v>
      </x:c>
      <x:c r="B11" s="10" t="str">
        <x:v>Natalie Peters</x:v>
      </x:c>
      <x:c r="C11" s="13" t="n">
        <x:v>46232</x:v>
      </x:c>
      <x:c r="D11" s="10" t="str">
        <x:v>Entbindung erwartet 18.11.2026</x:v>
      </x:c>
      <x:c r="E11" s="10" t="str">
        <x:v>Bescheinigung 078</x:v>
      </x:c>
      <x:c r="F11" s="10" t="str">
        <x:v>Bisheriger Büroarbeitsplatz</x:v>
      </x:c>
    </x:row>
    <x:row r="12" ht="64" customHeight="1">
      <x:c r="A12" s="11" t="str">
        <x:v>P017</x:v>
      </x:c>
      <x:c r="B12" s="11" t="str">
        <x:v>Daniel Roth</x:v>
      </x:c>
      <x:c r="C12" s="12" t="n">
        <x:v>44000</x:v>
      </x:c>
      <x:c r="D12" s="11" t="str">
        <x:v>Grad der Behinderung 70</x:v>
      </x:c>
      <x:c r="E12" s="11" t="str">
        <x:v>Feststellung 081</x:v>
      </x:c>
      <x:c r="F12" s="11" t="str">
        <x:v>Vergrößerungssoftware am Arbeitsplatz</x:v>
      </x:c>
    </x:row>
    <x:row r="13" ht="64" customHeight="1">
      <x:c r="A13" s="10" t="str">
        <x:v>P018</x:v>
      </x:c>
      <x:c r="B13" s="10" t="str">
        <x:v>Florian Kühn</x:v>
      </x:c>
      <x:c r="C13" s="13" t="n">
        <x:v>45600</x:v>
      </x:c>
      <x:c r="D13" s="10" t="str">
        <x:v>Grad 30 und Gleichstellung</x:v>
      </x:c>
      <x:c r="E13" s="10" t="str">
        <x:v>Bescheide 082 und 083</x:v>
      </x:c>
      <x:c r="F13" s="10" t="str">
        <x:v>Gleichstellung wirkt ab 02.09.2024</x:v>
      </x:c>
    </x:row>
    <x:row r="14" ht="64" customHeight="1">
      <x:c r="A14" s="11" t="str">
        <x:v>P019</x:v>
      </x:c>
      <x:c r="B14" s="11" t="str">
        <x:v>Sabine Berg</x:v>
      </x:c>
      <x:c r="C14" s="12" t="n">
        <x:v>45667</x:v>
      </x:c>
      <x:c r="D14" s="11" t="str">
        <x:v>Elternzeit 01.03.2025 bis 30.11.2026</x:v>
      </x:c>
      <x:c r="E14" s="11" t="str">
        <x:v>Schreiben 079</x:v>
      </x:c>
      <x:c r="F14" s="11" t="str">
        <x:v>Ohne Teilzeit während dieses Zeitraums</x:v>
      </x:c>
    </x:row>
    <x:row r="15" ht="64" customHeight="1">
      <x:c r="A15" s="10" t="str">
        <x:v>P030</x:v>
      </x:c>
      <x:c r="B15" s="10" t="str">
        <x:v>Dennis Wolf</x:v>
      </x:c>
      <x:c r="C15" s="13" t="n">
        <x:v>46258</x:v>
      </x:c>
      <x:c r="D15" s="10" t="str">
        <x:v>Schreiben vom 21.08.2026 erhalten</x:v>
      </x:c>
      <x:c r="E15" s="10" t="str">
        <x:v>Schreiben 070 und Zugang 071</x:v>
      </x:c>
      <x:c r="F15" s="10" t="str">
        <x:v>Arbeitet weiter, Gerichtsnachricht 073</x:v>
      </x:c>
    </x:row>
    <x:row r="16" ht="64" customHeight="1">
      <x:c r="A16" s="11" t="str">
        <x:v>P031</x:v>
      </x:c>
      <x:c r="B16" s="11" t="str">
        <x:v>Nora Brandt</x:v>
      </x:c>
      <x:c r="C16" s="12" t="n">
        <x:v>45308</x:v>
      </x:c>
      <x:c r="D16" s="11" t="str">
        <x:v>Grad der Behinderung 50</x:v>
      </x:c>
      <x:c r="E16" s="11" t="str">
        <x:v>Feststellung 084</x:v>
      </x:c>
      <x:c r="F16" s="11" t="str"/>
    </x:row>
    <x:row r="17" ht="64" customHeight="1">
      <x:c r="A17" s="10" t="str">
        <x:v>P050</x:v>
      </x:c>
      <x:c r="B17" s="10" t="str">
        <x:v>Bettina Lange</x:v>
      </x:c>
      <x:c r="C17" s="13" t="n">
        <x:v>44461</x:v>
      </x:c>
      <x:c r="D17" s="10" t="str">
        <x:v>Grad der Behinderung 50</x:v>
      </x:c>
      <x:c r="E17" s="10" t="str">
        <x:v>Feststellung 085</x:v>
      </x:c>
      <x:c r="F17" s="10" t="str">
        <x:v>Vertrauensperson seit 09.11.2022</x:v>
      </x:c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</x:sheetData>
  <x:pageMargins left="0.7" right="0.7" top="0.75" bottom="0.75" header="0.3" footer="0.3"/>
  <x:pageSetup orientation="landscape" paperSize="9" fitToWidth="1" fitToHeight="0"/>
  <x:tableParts count="1">
    <x:tablePart xmlns:r="http://schemas.openxmlformats.org/officeDocument/2006/relationships" r:id="Ra9cd9e065a654cec"/>
  </x:tableParts>
</x:worksheet>
</file>