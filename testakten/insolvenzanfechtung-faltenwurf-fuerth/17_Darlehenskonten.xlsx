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da11ce18b471d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Abgleich" sheetId="1" ns1:id="R2d08fd4b42f0498b"/>
  </ns0:sheets>
  <ns0:definedNames>
    <ns0:definedName name="_xlnm.Print_Area" localSheetId="0">'Abgleich'!$A$1:$E$20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  @"/>
    <x:numFmt numFmtId="201" formatCode="[$-407]#,##0.00_);[Red](#,##0.00);&quot;-&quot;_)"/>
  </x:numFmts>
  <x:fonts count="10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i/>
      <x:sz val="11"/>
      <x:color rgb="FF555555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  <x:font>
      <x:b/>
      <x:sz val="11"/>
      <x:name val="Times New Roman"/>
    </x:font>
    <x:font>
      <x:sz val="11"/>
      <x:color rgb="FF111111"/>
      <x:name val="Times New Roman"/>
    </x:font>
    <x:font>
      <x:b/>
      <x:sz val="11"/>
      <x:color rgb="FF111111"/>
      <x:name val="Times New Roman"/>
    </x:font>
    <x:font>
      <x:sz val="11"/>
      <x:color rgb="FF555555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93C5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192A0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d4f401b0f439c" /><Relationship Type="http://schemas.openxmlformats.org/officeDocument/2006/relationships/theme" Target="/xl/theme/theme1.xml" Id="R0a00de566b5f417d" /><Relationship Type="http://schemas.openxmlformats.org/officeDocument/2006/relationships/sharedStrings" Target="/xl/sharedStrings.xml" Id="Rd482e7037f024a29" /><Relationship Type="http://schemas.openxmlformats.org/officeDocument/2006/relationships/worksheet" Target="/xl/worksheets/sheet1.xml" Id="R2d08fd4b42f049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5" hidden="0" customWidth="1"/>
    <ns0:col min="2" max="2" width="21" hidden="0" customWidth="1"/>
    <ns0:col min="3" max="3" width="21" hidden="0" customWidth="1"/>
    <ns0:col min="4" max="4" width="43" hidden="0" customWidth="1"/>
    <ns0:col min="5" max="5" width="18" hidden="0" customWidth="1"/>
  </ns0:cols>
  <ns0:sheetData>
    <ns0:row r="1" ht="20" customHeight="1">
      <ns0:c r="A1" s="2"/>
      <ns0:c r="B1" s="2"/>
      <ns0:c r="C1" s="2"/>
      <ns0:c r="D1" s="2"/>
      <ns0:c r="E1" s="2"/>
      <ns0:c r="F1" s="2"/>
    </ns0:row>
    <ns0:row r="2" ht="20" customHeight="1">
      <ns0:c r="A2" s="3" t="str">
        <ns0:v>Darlehen und Auslagen</ns0:v>
      </ns0:c>
      <ns0:c r="B2" s="2"/>
      <ns0:c r="C2" s="2"/>
      <ns0:c r="D2" s="2"/>
      <ns0:c r="E2" s="2"/>
      <ns0:c r="F2" s="2"/>
    </ns0:row>
    <ns0:row r="3" ht="20" customHeight="1">
      <ns0:c r="A3" s="4" t="str">
        <ns0:v>Alina Kessel | Buchhaltung Faltenwurf | Stand 09.10.2026 | EUR</ns0:v>
      </ns0:c>
      <ns0:c r="B3" s="2"/>
      <ns0:c r="C3" s="2"/>
      <ns0:c r="D3" s="2"/>
      <ns0:c r="E3" s="2"/>
      <ns0:c r="F3" s="2"/>
    </ns0:row>
    <ns0:row r="4" ht="20" customHeight="1">
      <ns0:c r="A4" s="2"/>
      <ns0:c r="B4" s="2"/>
      <ns0:c r="C4" s="2"/>
      <ns0:c r="D4" s="2"/>
      <ns0:c r="E4" s="2"/>
      <ns0:c r="F4" s="2"/>
    </ns0:row>
    <ns0:row r="5" ht="32" customHeight="1">
      <ns0:c r="A5" s="12" t="str">
        <ns0:v>Konto</ns0:v>
      </ns0:c>
      <ns0:c r="B5" s="12" t="str">
        <ns0:v>Auszahlung EUR</ns0:v>
      </ns0:c>
      <ns0:c r="C5" s="12" t="str">
        <ns0:v>Rückzahlung EUR</ns0:v>
      </ns0:c>
      <ns0:c r="D5" s="12" t="str">
        <ns0:v>Beleg</ns0:v>
      </ns0:c>
      <ns0:c r="E5" s="12" t="str">
        <ns0:v>Rest EUR</ns0:v>
      </ns0:c>
      <ns0:c r="F5" s="2"/>
    </ns0:row>
    <ns0:row r="6" ht="20" customHeight="1">
      <ns0:c r="A6" s="2" t="str">
        <ns0:v>Gundula Darlehen</ns0:v>
      </ns0:c>
      <ns0:c r="B6" s="7" t="n">
        <ns0:v>280000</ns0:v>
      </ns0:c>
      <ns0:c r="C6" s="7" t="n">
        <ns0:v>80000</ns0:v>
      </ns0:c>
      <ns0:c r="D6" s="5" t="str">
        <ns0:v>04_Darlehensvertrag_Gundula.docx</ns0:v>
      </ns0:c>
      <ns0:c r="E6" s="17" t="n">
        <ns0:f>B6-C6</ns0:f>
        <ns0:v>200000</ns0:v>
      </ns0:c>
      <ns0:c r="F6" s="2"/>
    </ns0:row>
    <ns0:row r="7" ht="20" customHeight="1">
      <ns0:c r="A7" s="2" t="str">
        <ns0:v>Haderlein Material</ns0:v>
      </ns0:c>
      <ns0:c r="B7" s="7" t="n">
        <ns0:v>4800</ns0:v>
      </ns0:c>
      <ns0:c r="C7" s="7" t="n">
        <ns0:v>4800</ns0:v>
      </ns0:c>
      <ns0:c r="D7" s="5" t="str">
        <ns0:v>14_Schaumstoffrechnung.pdf</ns0:v>
      </ns0:c>
      <ns0:c r="E7" s="17" t="n">
        <ns0:f>B7-C7</ns0:f>
        <ns0:v>0</ns0:v>
      </ns0:c>
      <ns0:c r="F7" s="2"/>
    </ns0:row>
    <ns0:row r="8" ht="20" customHeight="1">
      <ns0:c r="A8" s="2" t="str">
        <ns0:v>Haderlein Reise</ns0:v>
      </ns0:c>
      <ns0:c r="B8" s="7" t="n">
        <ns0:v>286.4</ns0:v>
      </ns0:c>
      <ns0:c r="C8" s="7" t="n">
        <ns0:v>286.4</ns0:v>
      </ns0:c>
      <ns0:c r="D8" s="5" t="str">
        <ns0:v>15_Reisekosten.pdf</ns0:v>
      </ns0:c>
      <ns0:c r="E8" s="17" t="n">
        <ns0:f>B8-C8</ns0:f>
        <ns0:v>0</ns0:v>
      </ns0:c>
      <ns0:c r="F8" s="2"/>
    </ns0:row>
    <ns0:row r="9" ht="20" customHeight="1">
      <ns0:c r="A9" s="2"/>
      <ns0:c r="B9" s="8"/>
      <ns0:c r="C9" s="8"/>
      <ns0:c r="D9" s="2"/>
      <ns0:c r="E9" s="8"/>
      <ns0:c r="F9" s="2"/>
    </ns0:row>
    <ns0:row r="10" ht="20" customHeight="1">
      <ns0:c r="A10" s="15" t="str">
        <ns0:v>Gesamt</ns0:v>
      </ns0:c>
      <ns0:c r="B10" s="18" t="n">
        <ns0:f>SUM(B6:B8)</ns0:f>
        <ns0:v>285086.4</ns0:v>
      </ns0:c>
      <ns0:c r="C10" s="18" t="n">
        <ns0:f>SUM(C6:C8)</ns0:f>
        <ns0:v>85086.4</ns0:v>
      </ns0:c>
      <ns0:c r="D10" s="15"/>
      <ns0:c r="E10" s="18" t="n">
        <ns0:f>SUM(E6:E8)</ns0:f>
        <ns0:v>200000</ns0:v>
      </ns0:c>
      <ns0:c r="F10" s="2"/>
    </ns0:row>
    <ns0:row r="11" ht="20" customHeight="1">
      <ns0:c r="A11" s="2"/>
      <ns0:c r="B11" s="2"/>
      <ns0:c r="C11" s="2"/>
      <ns0:c r="D11" s="2"/>
      <ns0:c r="E11" s="2"/>
      <ns0:c r="F11" s="2"/>
    </ns0:row>
    <ns0:row r="12" ht="20" customHeight="1">
      <ns0:c r="A12" s="2"/>
      <ns0:c r="B12" s="2"/>
      <ns0:c r="C12" s="2"/>
      <ns0:c r="D12" s="2"/>
      <ns0:c r="E12" s="2"/>
      <ns0:c r="F12" s="2"/>
    </ns0:row>
    <ns0:row r="13" ht="20" customHeight="1">
      <ns0:c r="A13" s="21" t="str">
        <ns0:v>Rekonstruktion nach getrennten Konten. Die beiden Haderlein-Zeilen werden nicht allein wegen der Bezeichnung Erstattung gleich eingeordnet. Bankrückführung FW-60 ist nicht Teil dieses Darlehenskontos und wird nicht nochmals auf Gundulas 280.000 EUR angerechnet.</ns0:v>
      </ns0:c>
      <ns0:c r="B13" s="21"/>
      <ns0:c r="C13" s="21"/>
      <ns0:c r="D13" s="21"/>
      <ns0:c r="E13" s="21"/>
      <ns0:c r="F13" s="2"/>
    </ns0:row>
    <ns0:row r="14" ht="20" customHeight="1">
      <ns0:c r="A14" s="21"/>
      <ns0:c r="B14" s="21"/>
      <ns0:c r="C14" s="21"/>
      <ns0:c r="D14" s="21"/>
      <ns0:c r="E14" s="21"/>
      <ns0:c r="F14" s="2"/>
    </ns0:row>
    <ns0:row r="15" ht="20" customHeight="1">
      <ns0:c r="A15" s="2"/>
      <ns0:c r="B15" s="2"/>
      <ns0:c r="C15" s="2"/>
      <ns0:c r="D15" s="2"/>
      <ns0:c r="E15" s="2"/>
      <ns0:c r="F15" s="2"/>
    </ns0:row>
    <ns0:row r="16" ht="20" customHeight="1">
      <ns0:c r="A16" s="21" t="str">
        <ns0:v>Blaue Beträge sind Eingaben aus den bezeichneten Belegen. Schwarze Beträge sind Formeln. Änderungen an Eingaben aktualisieren den Abgleich.</ns0:v>
      </ns0:c>
      <ns0:c r="B16" s="21"/>
      <ns0:c r="C16" s="21"/>
      <ns0:c r="D16" s="21"/>
      <ns0:c r="E16" s="21"/>
      <ns0:c r="F16" s="2"/>
    </ns0:row>
    <ns0:row r="17" ht="20" customHeight="1">
      <ns0:c r="A17" s="21"/>
      <ns0:c r="B17" s="21"/>
      <ns0:c r="C17" s="21"/>
      <ns0:c r="D17" s="21"/>
      <ns0:c r="E17" s="21"/>
      <ns0:c r="F17" s="2"/>
    </ns0:row>
    <ns0:row r="18" ht="20" customHeight="1">
      <ns0:c r="A18" s="2"/>
      <ns0:c r="B18" s="2"/>
      <ns0:c r="C18" s="2"/>
      <ns0:c r="D18" s="2"/>
      <ns0:c r="E18" s="2"/>
      <ns0:c r="F18" s="2"/>
    </ns0:row>
    <ns0:row r="19" ht="20" customHeight="1">
      <ns0:c r="A19" s="21" t="str">
        <ns0:v>Weitere Vorgänge unterhalb der Einzelzeilen ergänzen und Summenbereiche entsprechend erweitern. Die Tabelle betrifft nur die hier bezeichneten Vorgänge.</ns0:v>
      </ns0:c>
      <ns0:c r="B19" s="21"/>
      <ns0:c r="C19" s="21"/>
      <ns0:c r="D19" s="21"/>
      <ns0:c r="E19" s="21"/>
      <ns0:c r="F19" s="2"/>
    </ns0:row>
    <ns0:row r="20" ht="20" customHeight="1">
      <ns0:c r="A20" s="21"/>
      <ns0:c r="B20" s="21"/>
      <ns0:c r="C20" s="21"/>
      <ns0:c r="D20" s="21"/>
      <ns0:c r="E20" s="21"/>
      <ns0:c r="F20" s="2"/>
    </ns0:row>
    <ns0:row r="21" ht="20" customHeight="1">
      <ns0:c r="A21" s="2"/>
      <ns0:c r="B21" s="2"/>
      <ns0:c r="C21" s="2"/>
      <ns0:c r="D21" s="2"/>
      <ns0:c r="E21" s="2"/>
      <ns0:c r="F21" s="2"/>
    </ns0:row>
    <ns0:row r="22" ht="20" customHeight="1">
      <ns0:c r="A22" s="2"/>
      <ns0:c r="B22" s="2"/>
      <ns0:c r="C22" s="2"/>
      <ns0:c r="D22" s="2"/>
      <ns0:c r="E22" s="2"/>
      <ns0:c r="F22" s="2"/>
    </ns0:row>
    <ns0:row r="23" ht="20" customHeight="1">
      <ns0:c r="A23" s="2"/>
      <ns0:c r="B23" s="2"/>
      <ns0:c r="C23" s="2"/>
      <ns0:c r="D23" s="2"/>
      <ns0:c r="E23" s="2"/>
      <ns0:c r="F23" s="2"/>
    </ns0:row>
    <ns0:row r="24" ht="20" customHeight="1">
      <ns0:c r="A24" s="2"/>
      <ns0:c r="B24" s="2"/>
      <ns0:c r="C24" s="2"/>
      <ns0:c r="D24" s="2"/>
      <ns0:c r="E24" s="2"/>
      <ns0:c r="F24" s="2"/>
    </ns0:row>
    <ns0:row r="25" ht="20" customHeight="1">
      <ns0:c r="A25" s="2"/>
      <ns0:c r="B25" s="2"/>
      <ns0:c r="C25" s="2"/>
      <ns0:c r="D25" s="2"/>
      <ns0:c r="E25" s="2"/>
      <ns0:c r="F25" s="2"/>
    </ns0:row>
    <ns0:row r="26" ht="20" customHeight="1">
      <ns0:c r="A26" s="2"/>
      <ns0:c r="B26" s="2"/>
      <ns0:c r="C26" s="2"/>
      <ns0:c r="D26" s="2"/>
      <ns0:c r="E26" s="2"/>
      <ns0:c r="F26" s="2"/>
    </ns0:row>
    <ns0:row r="27" ht="20" customHeight="1">
      <ns0:c r="A27" s="2"/>
      <ns0:c r="B27" s="2"/>
      <ns0:c r="C27" s="2"/>
      <ns0:c r="D27" s="2"/>
      <ns0:c r="E27" s="2"/>
      <ns0:c r="F27" s="2"/>
    </ns0:row>
    <ns0:row r="28" ht="20" customHeight="1">
      <ns0:c r="A28" s="2"/>
      <ns0:c r="B28" s="2"/>
      <ns0:c r="C28" s="2"/>
      <ns0:c r="D28" s="2"/>
      <ns0:c r="E28" s="2"/>
      <ns0:c r="F28" s="2"/>
    </ns0:row>
  </ns0:sheetData>
  <ns0:mergeCells>
    <ns0:mergeCell ref="A13:E14"/>
    <ns0:mergeCell ref="A16:E17"/>
    <ns0:mergeCell ref="A19:E20"/>
  </ns0:mergeCells>
  <ns0:pageMargins left="0.7" right="0.7" top="0.75" bottom="0.75" header="0.3" footer="0.3"/>
  <ns0:pageSetup orientation="landscape" paperSize="9" fitToWidth="1" fitToHeight="0"/>
</ns0:worksheet>
</file>