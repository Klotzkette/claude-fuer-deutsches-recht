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82d5306a1e4c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rstausstattung" sheetId="1" r:id="R727c66a211594e5f"/>
    <x:sheet xmlns:r="http://schemas.openxmlformats.org/officeDocument/2006/relationships" name="Räume" sheetId="2" r:id="Re4cdb74889e74f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.00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6e1564a55f4fb2" /><Relationship Type="http://schemas.openxmlformats.org/officeDocument/2006/relationships/theme" Target="/xl/theme/theme1.xml" Id="R60e2ec4f7cda4079" /><Relationship Type="http://schemas.openxmlformats.org/officeDocument/2006/relationships/sharedStrings" Target="/xl/sharedStrings.xml" Id="R33a28bef7a9a4f7e" /><Relationship Type="http://schemas.openxmlformats.org/officeDocument/2006/relationships/worksheet" Target="/xl/worksheets/sheet1.xml" Id="R727c66a211594e5f" /><Relationship Type="http://schemas.openxmlformats.org/officeDocument/2006/relationships/worksheet" Target="/xl/worksheets/sheet2.xml" Id="Re4cdb74889e74f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940000534057617" hidden="0" customWidth="1"/>
    <x:col min="2" max="2" width="13.720000267028809" hidden="0" customWidth="1"/>
    <x:col min="3" max="3" width="19.459999084472656" hidden="0" customWidth="1"/>
    <x:col min="4" max="4" width="20.889999389648438" hidden="0" customWidth="1"/>
    <x:col min="5" max="5" width="40.9900016784668" hidden="0" customWidth="1"/>
  </x:cols>
  <x:sheetData>
    <x:row r="1" ht="36" customHeight="1">
      <x:c r="A1" s="6" t="str">
        <x:v>Posten</x:v>
      </x:c>
      <x:c r="B1" s="6" t="str">
        <x:v>Stück</x:v>
      </x:c>
      <x:c r="C1" s="6" t="str">
        <x:v>Euro je Stück</x:v>
      </x:c>
      <x:c r="D1" s="6" t="str">
        <x:v>Gebunden Euro</x:v>
      </x:c>
      <x:c r="E1" s="6" t="str">
        <x:v>Stand</x:v>
      </x:c>
    </x:row>
    <x:row r="2" ht="38" customHeight="1">
      <x:c r="A2" s="3" t="str">
        <x:v>Blickbewegungsmessgerät</x:v>
      </x:c>
      <x:c r="B2" s="9" t="n">
        <x:v>2</x:v>
      </x:c>
      <x:c r="C2" s="10" t="n">
        <x:v>12500</x:v>
      </x:c>
      <x:c r="D2" s="10" t="n">
        <x:f>B2*C2</x:f>
        <x:v>25000</x:v>
      </x:c>
      <x:c r="E2" s="3" t="str">
        <x:v>Bestellt 08.06.2026; Lieferung erfolgt.</x:v>
      </x:c>
    </x:row>
    <x:row r="3" ht="38" customHeight="1">
      <x:c r="A3" s="3" t="str">
        <x:v>Arbeitsrechner</x:v>
      </x:c>
      <x:c r="B3" s="9" t="n">
        <x:v>6</x:v>
      </x:c>
      <x:c r="C3" s="10" t="n">
        <x:v>1800</x:v>
      </x:c>
      <x:c r="D3" s="10" t="n">
        <x:f>B3*C3</x:f>
        <x:v>10800</x:v>
      </x:c>
      <x:c r="E3" s="3" t="str">
        <x:v>Bestellt 15.06.2026; vier aufgebaut.</x:v>
      </x:c>
    </x:row>
    <x:row r="4" ht="38" customHeight="1">
      <x:c r="A4" s="3" t="str">
        <x:v>Mobile Gesprächskabine</x:v>
      </x:c>
      <x:c r="B4" s="9" t="n">
        <x:v>1</x:v>
      </x:c>
      <x:c r="C4" s="10" t="n">
        <x:v>18600</x:v>
      </x:c>
      <x:c r="D4" s="10" t="n">
        <x:f>B4*C4</x:f>
        <x:v>18600</x:v>
      </x:c>
      <x:c r="E4" s="3" t="str">
        <x:v>Bestellt 22.07.2026; Liefertermin noch offen.</x:v>
      </x:c>
    </x:row>
    <x:row r="5" ht="38" customHeight="1">
      <x:c r="A5" s="3" t="str">
        <x:v>Summe gebunden</x:v>
      </x:c>
      <x:c r="B5" s="9"/>
      <x:c r="C5" s="10"/>
      <x:c r="D5" s="10" t="n">
        <x:f>SUM(D2:D4)</x:f>
        <x:v>54400</x:v>
      </x:c>
      <x:c r="E5" s="3" t="str">
        <x:v>Keine Aussage über bereits bezahlte Rechnungen.</x:v>
      </x:c>
    </x:row>
    <x:row r="6" ht="24" customHeight="1">
      <x:c r="A6" s="3" t="str">
        <x:v>Berufungsbudget</x:v>
      </x:c>
      <x:c r="B6" s="9"/>
      <x:c r="C6" s="10"/>
      <x:c r="D6" s="10" t="n">
        <x:v>120000</x:v>
      </x:c>
      <x:c r="E6" s="3" t="str">
        <x:v>Zusage vom 12.01.2026.</x:v>
      </x:c>
    </x:row>
    <x:row r="7" ht="38" customHeight="1">
      <x:c r="A7" s="3" t="str">
        <x:v>Noch nicht gebunden</x:v>
      </x:c>
      <x:c r="B7" s="9"/>
      <x:c r="C7" s="10"/>
      <x:c r="D7" s="10" t="n">
        <x:f>D6-D5</x:f>
        <x:v>65600</x:v>
      </x:c>
      <x:c r="E7" s="3" t="str">
        <x:v>Bestellfreigabe seit 15.09. zurückgestellt.</x:v>
      </x:c>
    </x:row>
  </x:sheetData>
  <x:pageMargins left="0.4" right="0.4" top="0.4" bottom="0.4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39999389648438" hidden="0" customWidth="1"/>
    <x:col min="2" max="2" width="18.139999389648438" hidden="0" customWidth="1"/>
    <x:col min="3" max="3" width="18.139999389648438" hidden="0" customWidth="1"/>
    <x:col min="4" max="4" width="27.700000762939453" hidden="0" customWidth="1"/>
    <x:col min="5" max="5" width="43.869998931884766" hidden="0" customWidth="1"/>
  </x:cols>
  <x:sheetData>
    <x:row r="1" ht="36" customHeight="1">
      <x:c r="A1" s="6" t="str">
        <x:v>Raum</x:v>
      </x:c>
      <x:c r="B1" s="6" t="str">
        <x:v>Nutzfläche qm</x:v>
      </x:c>
      <x:c r="C1" s="6" t="str">
        <x:v>Arbeitsplätze</x:v>
      </x:c>
      <x:c r="D1" s="6" t="str">
        <x:v>Akustische Trennung</x:v>
      </x:c>
      <x:c r="E1" s="6" t="str">
        <x:v>Stand</x:v>
      </x:c>
    </x:row>
    <x:row r="2" ht="24" customHeight="1">
      <x:c r="A2" s="3" t="str">
        <x:v>A-108</x:v>
      </x:c>
      <x:c r="B2" s="9" t="n">
        <x:v>42</x:v>
      </x:c>
      <x:c r="C2" s="9" t="n">
        <x:v>4</x:v>
      </x:c>
      <x:c r="D2" s="3" t="str">
        <x:v>Nein</x:v>
      </x:c>
      <x:c r="E2" s="3" t="str">
        <x:v>Seit 01.04. nutzbar; Übergang.</x:v>
      </x:c>
    </x:row>
    <x:row r="3" ht="24" customHeight="1">
      <x:c r="A3" s="3" t="str">
        <x:v>B-214</x:v>
      </x:c>
      <x:c r="B3" s="9" t="n">
        <x:v>82</x:v>
      </x:c>
      <x:c r="C3" s="9" t="n">
        <x:v>6</x:v>
      </x:c>
      <x:c r="D3" s="3" t="str">
        <x:v>Geplant</x:v>
      </x:c>
      <x:c r="E3" s="3" t="str">
        <x:v>Medienwerkstatt noch darin.</x:v>
      </x:c>
    </x:row>
    <x:row r="4" ht="38" customHeight="1">
      <x:c r="A4" s="3" t="str">
        <x:v>C-032</x:v>
      </x:c>
      <x:c r="B4" s="9" t="n">
        <x:v>76</x:v>
      </x:c>
      <x:c r="C4" s="9" t="n">
        <x:v>6</x:v>
      </x:c>
      <x:c r="D4" s="3" t="str">
        <x:v>Nebenraum nur nach Buchung</x:v>
      </x:c>
      <x:c r="E4" s="3" t="str">
        <x:v>Am 24.09. besichtigt; geteilt mit Sprachlabor.</x:v>
      </x:c>
    </x:row>
  </x:sheetData>
  <x:pageMargins left="0.4" right="0.4" top="0.4" bottom="0.4" header="0.15" footer="0.15"/>
  <x:pageSetup paperSize="9" orientation="landscape" fitToWidth="1" fitToHeight="0"/>
</x:worksheet>
</file>