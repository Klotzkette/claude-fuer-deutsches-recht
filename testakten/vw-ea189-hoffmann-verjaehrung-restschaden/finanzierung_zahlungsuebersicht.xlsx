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'Zahlungsuebersicht'!$A$4:$D$8</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DD.MM.YYYY"/>
    <numFmt numFmtId="166"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21"/>
  <sheetViews>
    <sheetView showGridLines="0" workbookViewId="0">
      <pane ySplit="4" topLeftCell="A5" activePane="bottomLeft" state="frozen"/>
      <selection pane="bottomLeft" activeCell="A1" sqref="A1"/>
    </sheetView>
  </sheetViews>
  <sheetFormatPr baseColWidth="8" defaultRowHeight="14"/>
  <cols>
    <col width="26" customWidth="1" min="1" max="1"/>
    <col width="26" customWidth="1" min="2" max="2"/>
    <col width="19" customWidth="1" min="3" max="3"/>
    <col width="26" customWidth="1" min="4" max="4"/>
  </cols>
  <sheetData>
    <row r="1" ht="24" customHeight="1">
      <c r="A1" s="1" t="inlineStr">
        <is>
          <t>Zahlungs-, Nutzungs- und §-852-Kontrollrechnung</t>
        </is>
      </c>
    </row>
    <row r="2" ht="44" customHeight="1">
      <c r="A2" s="2" t="inlineStr">
        <is>
          <t>Mandat: M-2026-04256
Rechenstand: 06.07.2026
Zweck: interne Plausibilitätskontrolle, keine Forderungsaufstellung</t>
        </is>
      </c>
    </row>
    <row r="3">
      <c r="A3" s="3" t="inlineStr">
        <is>
          <t>Belegte Zahlungen</t>
        </is>
      </c>
    </row>
    <row r="4" ht="16" customHeight="1">
      <c r="A4" s="4" t="inlineStr">
        <is>
          <t>Vorgang</t>
        </is>
      </c>
      <c r="B4" s="4" t="inlineStr">
        <is>
          <t>Datum</t>
        </is>
      </c>
      <c r="C4" s="4" t="inlineStr">
        <is>
          <t>Betrag</t>
        </is>
      </c>
      <c r="D4" s="4" t="inlineStr">
        <is>
          <t>Beleg</t>
        </is>
      </c>
    </row>
    <row r="5" ht="44" customHeight="1">
      <c r="A5" s="5" t="inlineStr">
        <is>
          <t>Kaufpreiszahlung an Autohaus Spandau Volkswagen GmbH</t>
        </is>
      </c>
      <c r="B5" s="6" t="n">
        <v>41334</v>
      </c>
      <c r="C5" s="7" t="n">
        <v>31000</v>
      </c>
      <c r="D5" s="5" t="inlineStr">
        <is>
          <t>Fahrzeugrechnung R-2013-03018</t>
        </is>
      </c>
    </row>
    <row r="6" ht="16" customHeight="1">
      <c r="A6" s="5" t="inlineStr">
        <is>
          <t>Finanzierungskosten</t>
        </is>
      </c>
      <c r="B6" s="5" t="inlineStr">
        <is>
          <t>—</t>
        </is>
      </c>
      <c r="C6" s="7" t="n">
        <v>0</v>
      </c>
      <c r="D6" s="5" t="inlineStr">
        <is>
          <t>keine Finanzierung</t>
        </is>
      </c>
    </row>
    <row r="7" ht="16" customHeight="1">
      <c r="A7" s="5" t="inlineStr">
        <is>
          <t>Inzahlungnahme</t>
        </is>
      </c>
      <c r="B7" s="5" t="inlineStr">
        <is>
          <t>—</t>
        </is>
      </c>
      <c r="C7" s="7" t="n">
        <v>0</v>
      </c>
      <c r="D7" s="5" t="inlineStr">
        <is>
          <t>keine Inzahlungnahme</t>
        </is>
      </c>
    </row>
    <row r="8" ht="16" customHeight="1">
      <c r="A8" s="5" t="inlineStr">
        <is>
          <t>Kosten der Maßnahme 23R7</t>
        </is>
      </c>
      <c r="B8" s="6" t="n">
        <v>43173</v>
      </c>
      <c r="C8" s="7" t="n">
        <v>0</v>
      </c>
      <c r="D8" s="5" t="inlineStr">
        <is>
          <t>Servicebeleg S-2018-03194</t>
        </is>
      </c>
    </row>
    <row r="9"/>
    <row r="10">
      <c r="A10" s="3" t="inlineStr">
        <is>
          <t>Nutzungsvorteil</t>
        </is>
      </c>
    </row>
    <row r="11" ht="44" customHeight="1">
      <c r="A11" s="2" t="inlineStr">
        <is>
          <t>Der Tachostand am 04.07.2026 beträgt 168.214 km. Abzüglich 11 km bei Übergabe wurden 168.203 km genutzt. Bei einer erwarteten Gesamtlaufleistung von 280.000 km beträgt die ab Übergabe verfügbare Fahrstrecke 279.989 km.</t>
        </is>
      </c>
    </row>
    <row r="12" ht="16" customHeight="1">
      <c r="A12" s="4" t="inlineStr">
        <is>
          <t>Rechenschritt</t>
        </is>
      </c>
      <c r="B12" s="4" t="inlineStr">
        <is>
          <t>Rechnung</t>
        </is>
      </c>
      <c r="C12" s="4" t="inlineStr">
        <is>
          <t>Ergebnis</t>
        </is>
      </c>
    </row>
    <row r="13" ht="30" customHeight="1">
      <c r="A13" s="5" t="inlineStr">
        <is>
          <t>Nutzungsvorteil</t>
        </is>
      </c>
      <c r="B13" s="5" t="inlineStr">
        <is>
          <t>31.000,00 EUR × 168.203 km ÷ 279.989 km</t>
        </is>
      </c>
      <c r="C13" s="7">
        <f>C5*168203/279989</f>
        <v/>
      </c>
    </row>
    <row r="14" ht="30" customHeight="1">
      <c r="A14" s="5" t="inlineStr">
        <is>
          <t>Kaufpreis abzüglich Nutzungsvorteil</t>
        </is>
      </c>
      <c r="B14" s="5" t="inlineStr">
        <is>
          <t>31.000,00 EUR − 18.623,21 EUR</t>
        </is>
      </c>
      <c r="C14" s="7">
        <f>C5-C13</f>
        <v/>
      </c>
    </row>
    <row r="15"/>
    <row r="16" ht="72" customHeight="1">
      <c r="A16" s="2" t="inlineStr">
        <is>
          <t>Ein aktueller Restwert wird nicht zusätzlich abgezogen, weil das Fahrzeug weiterhin im Besitz der Geschädigten steht und ein etwaiger Restschadensersatz nur Zug um Zug gegen Herausgabe und Übereignung zu leisten wäre. Der Saldo von 12.376,79 EUR ist die schadensrechtliche Kontrollgrenze nach Nutzungsanrechnung. Er ist weder mit dem noch ungeklärten Herstellerzufluss gleichzusetzen noch wegen der abgelaufenen Zehnjahresfrist als Anspruch freigegeben.</t>
        </is>
      </c>
    </row>
    <row r="17">
      <c r="A17" s="3" t="inlineStr">
        <is>
          <t>Kontrollgrenze für § 852 BGB</t>
        </is>
      </c>
    </row>
    <row r="18" ht="58" customHeight="1">
      <c r="A18" s="2" t="inlineStr">
        <is>
          <t>Der Bruttokaufpreis von 31.000,00 EUR ist der an die Händlerin gezahlte Endkundenpreis. Er belegt nicht den Betrag, den die Volkswagen AG im mehrstufigen Neuwagenvertrieb erhalten hat. Für das „Erlangte“ wären mindestens Händlerrechnung, Herstellerabgabepreis und tatsächlich vereinnahmter Zufluss zu klären. Diese Unterlagen fehlen.</t>
        </is>
      </c>
    </row>
    <row r="19" ht="58" customHeight="1">
      <c r="A19" s="2" t="inlineStr">
        <is>
          <t>Die Urteile BGH VII ZR 365/21, VIa ZR 8/21 und VIa ZR 57/21 sind die geprüften Anker für den Anspruchsinhalt des § 852 BGB im Diesel-Neuwagenvertrieb. Sie rechtfertigen keine Gleichsetzung des Herstellerzuflusses mit dem Endkundenpreis. Wegen Ablaufs der Zehnjahresfrist wird keine spekulative Zuflusszahl eingesetzt.</t>
        </is>
      </c>
    </row>
    <row r="20">
      <c r="A20" s="3" t="inlineStr">
        <is>
          <t>Umsatzsteuerkontrolle</t>
        </is>
      </c>
    </row>
    <row r="21">
      <c r="A21" s="2" t="inlineStr">
        <is>
          <t>26.050,42 EUR netto zuzüglich 4.949,58 EUR Umsatzsteuer ergeben exakt 31.000,00 EUR brutto.</t>
        </is>
      </c>
    </row>
  </sheetData>
  <autoFilter ref="A4:D8"/>
  <mergeCells count="11">
    <mergeCell ref="A1:D1"/>
    <mergeCell ref="A17:D17"/>
    <mergeCell ref="A18:D18"/>
    <mergeCell ref="A3:D3"/>
    <mergeCell ref="A20:D20"/>
    <mergeCell ref="A21:D21"/>
    <mergeCell ref="A2:D2"/>
    <mergeCell ref="A11:D11"/>
    <mergeCell ref="A16:D16"/>
    <mergeCell ref="A10:D10"/>
    <mergeCell ref="A19:D19"/>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