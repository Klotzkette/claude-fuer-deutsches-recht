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0627eca61e4f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ahres BWA" sheetId="1" r:id="Rf2dfbd1d6e8e4d8b"/>
    <x:sheet xmlns:r="http://schemas.openxmlformats.org/officeDocument/2006/relationships" name="BWA" sheetId="2" r:id="R53f5dd1b9b0c4efe"/>
    <x:sheet xmlns:r="http://schemas.openxmlformats.org/officeDocument/2006/relationships" name="Geldbewegung" sheetId="3" r:id="Red4eb4b51f0946c0"/>
    <x:sheet xmlns:r="http://schemas.openxmlformats.org/officeDocument/2006/relationships" name="Kontenwerte" sheetId="4" r:id="Rd7b35c53aa9d483e"/>
  </x:sheets>
  <x:definedNames>
    <x:definedName name="_xlnm.Print_Area" localSheetId="0">'Jahres BWA'!$A$1:$D$47</x:definedName>
    <x:definedName name="_xlnm.Print_Titles" localSheetId="0">'Jahres BWA'!$1:$5</x:definedName>
    <x:definedName name="_xlnm.Print_Area" localSheetId="1">'BWA'!$A$1:$G$42,'BWA'!$H$1:$N$42</x:definedName>
    <x:definedName name="_xlnm.Print_Titles" localSheetId="1">'BWA'!$1:$5,'BWA'!$A:$A</x:definedName>
    <x:definedName name="_xlnm.Print_Area" localSheetId="2">'Geldbewegung'!$A$1:$G$28,'Geldbewegung'!$H$1:$N$28</x:definedName>
    <x:definedName name="_xlnm.Print_Titles" localSheetId="2">'Geldbewegung'!$1:$5,'Geldbewegung'!$A:$A</x:definedName>
    <x:definedName name="_xlnm.Print_Area" localSheetId="3">'Kontenwerte'!$A$1:$H$73,'Kontenwerte'!$I$1:$N$73,'Kontenwerte'!$O$1:$Q$75</x:definedName>
    <x:definedName name="_xlnm.Print_Titles" localSheetId="3">'Kontenwerte'!$1:$5,'Kontenwerte'!$A:$B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;&quot;-&quot;"/>
    <x:numFmt numFmtId="201" formatCode="0.0%;[Red](0.0%);&quot;-&quot;"/>
  </x:numFmts>
  <x:fonts count="7">
    <x:font>
      <x:sz val="11"/>
      <x:name val="Carlito"/>
    </x:font>
    <x:font>
      <x:sz val="10"/>
      <x:color rgb="FF202124"/>
      <x:name val="Arial"/>
    </x:font>
    <x:font>
      <x:b/>
      <x:sz val="15"/>
      <x:color rgb="FF202124"/>
      <x:name val="Arial"/>
    </x:font>
    <x:font>
      <x:i/>
      <x:sz val="10"/>
      <x:color rgb="FF51565B"/>
      <x:name val="Arial"/>
    </x:font>
    <x:font>
      <x:b/>
      <x:sz val="10"/>
      <x:color rgb="FFFFFFFF"/>
      <x:name val="Arial"/>
    </x:font>
    <x:font>
      <x:sz val="10"/>
      <x:color rgb="FF1F6B4B"/>
      <x:name val="Arial"/>
    </x:font>
    <x:font>
      <x:b/>
      <x:sz val="10"/>
      <x:color rgb="FF202124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C454D"/>
      </x:patternFill>
    </x:fill>
    <x:fill>
      <x:patternFill patternType="solid">
        <x:fgColor rgb="FFE9EEF0"/>
      </x:patternFill>
    </x:fill>
  </x:fills>
  <x:borders count="2">
    <x:border/>
    <x:border>
      <x:top style="thin">
        <x:color rgb="FFABB4B9"/>
      </x:top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0" fontId="5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0" fontId="6" fillId="3" borderId="0" xfId="0" applyNumberFormat="1" applyFont="1" applyFill="1" applyBorder="1"/>
    <x:xf numFmtId="200" fontId="6" fillId="3" borderId="0" xfId="0" applyNumberFormat="1" applyFont="1" applyFill="1" applyBorder="1"/>
    <x:xf numFmtId="0" fontId="6" fillId="3" borderId="1" xfId="0" applyNumberFormat="1" applyFont="1" applyFill="1" applyBorder="1"/>
    <x:xf numFmtId="200" fontId="6" fillId="3" borderId="1" xfId="0" applyNumberFormat="1" applyFont="1" applyFill="1" applyBorder="1"/>
    <x:xf numFmtId="201" fontId="1" fillId="3" borderId="0" xfId="0" applyNumberFormat="1" applyFont="1" applyFill="1" applyBorder="1"/>
    <x:xf numFmtId="201" fontId="6" fillId="3" borderId="0" xfId="0" applyNumberFormat="1" applyFont="1" applyFill="1" applyBorder="1"/>
    <x:xf numFmtId="201" fontId="6" fillId="3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032c29366c4269" /><Relationship Type="http://schemas.openxmlformats.org/officeDocument/2006/relationships/theme" Target="/xl/theme/theme1.xml" Id="Rece496a4c4a74a03" /><Relationship Type="http://schemas.openxmlformats.org/officeDocument/2006/relationships/sharedStrings" Target="/xl/sharedStrings.xml" Id="R07599107089c4978" /><Relationship Type="http://schemas.openxmlformats.org/officeDocument/2006/relationships/worksheet" Target="/xl/worksheets/sheet1.xml" Id="Rf2dfbd1d6e8e4d8b" /><Relationship Type="http://schemas.openxmlformats.org/officeDocument/2006/relationships/worksheet" Target="/xl/worksheets/sheet2.xml" Id="R53f5dd1b9b0c4efe" /><Relationship Type="http://schemas.openxmlformats.org/officeDocument/2006/relationships/worksheet" Target="/xl/worksheets/sheet3.xml" Id="Red4eb4b51f0946c0" /><Relationship Type="http://schemas.openxmlformats.org/officeDocument/2006/relationships/worksheet" Target="/xl/worksheets/sheet4.xml" Id="Rd7b35c53aa9d483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40.560001373291016" hidden="0" customWidth="1"/>
    <x:col min="2" max="2" width="16.670000076293945" hidden="0" customWidth="1"/>
    <x:col min="3" max="3" width="19.440000534057617" hidden="0" customWidth="1"/>
    <x:col min="4" max="4" width="17.219999313354492" hidden="0" customWidth="1"/>
  </x:cols>
  <x:sheetData>
    <x:row r="1" ht="24" customHeight="1">
      <x:c r="A1" s="2" t="str">
        <x:v>BWA 2025</x:v>
      </x:c>
      <x:c r="B1" s="1"/>
      <x:c r="C1" s="1"/>
      <x:c r="D1" s="1"/>
    </x:row>
    <x:row r="2" ht="14" customHeight="1">
      <x:c r="A2" s="3" t="str">
        <x:v>Mainfrucht Spezialitätenhandel GmbH. EUR netto. Stand 15.01.2026.</x:v>
      </x:c>
      <x:c r="B2" s="1"/>
      <x:c r="C2" s="1"/>
      <x:c r="D2" s="1"/>
    </x:row>
    <x:row r="3" ht="14" customHeight="1">
      <x:c r="A3" s="1"/>
      <x:c r="B3" s="1"/>
      <x:c r="C3" s="1"/>
      <x:c r="D3" s="1"/>
    </x:row>
    <x:row r="4" ht="14" customHeight="1">
      <x:c r="A4" s="1"/>
      <x:c r="B4" s="1"/>
      <x:c r="C4" s="1"/>
      <x:c r="D4" s="1"/>
    </x:row>
    <x:row r="5" ht="28" customHeight="1">
      <x:c r="A5" s="7" t="str">
        <x:v>Position</x:v>
      </x:c>
      <x:c r="B5" s="7" t="str">
        <x:v>Dez 2025</x:v>
      </x:c>
      <x:c r="C5" s="7" t="str">
        <x:v>Jan bis Dez 2025</x:v>
      </x:c>
      <x:c r="D5" s="7" t="str">
        <x:v>Umsatzanteil Jahr</x:v>
      </x:c>
    </x:row>
    <x:row r="6" ht="14" customHeight="1">
      <x:c r="A6" s="1" t="str">
        <x:v>Erlöse Inland 7 Prozent</x:v>
      </x:c>
      <x:c r="B6" s="8" t="n">
        <x:f>'BWA'!M6</x:f>
        <x:v>220500</x:v>
      </x:c>
      <x:c r="C6" s="8" t="n">
        <x:f>'BWA'!N6</x:f>
        <x:v>2754000</x:v>
      </x:c>
      <x:c r="D6" s="10" t="n">
        <x:f>C6/$C$11</x:f>
        <x:v>0.45605842317054995</x:v>
      </x:c>
    </x:row>
    <x:row r="7" ht="14" customHeight="1">
      <x:c r="A7" s="1" t="str">
        <x:v>Erlöse Inland 19 Prozent</x:v>
      </x:c>
      <x:c r="B7" s="8" t="n">
        <x:f>'BWA'!M7</x:f>
        <x:v>49000</x:v>
      </x:c>
      <x:c r="C7" s="8" t="n">
        <x:f>'BWA'!N7</x:f>
        <x:v>612000</x:v>
      </x:c>
      <x:c r="D7" s="10" t="n">
        <x:f>C7/$C$11</x:f>
        <x:v>0.10134631626012221</x:v>
      </x:c>
    </x:row>
    <x:row r="8" ht="14" customHeight="1">
      <x:c r="A8" s="1" t="str">
        <x:v>Erlöse EU Warenlieferungen</x:v>
      </x:c>
      <x:c r="B8" s="8" t="n">
        <x:f>'BWA'!M8</x:f>
        <x:v>98000</x:v>
      </x:c>
      <x:c r="C8" s="8" t="n">
        <x:f>'BWA'!N8</x:f>
        <x:v>1224000</x:v>
      </x:c>
      <x:c r="D8" s="10" t="n">
        <x:f>C8/$C$11</x:f>
        <x:v>0.20269263252024441</x:v>
      </x:c>
    </x:row>
    <x:row r="9" ht="14" customHeight="1">
      <x:c r="A9" s="1" t="str">
        <x:v>Erlöse Drittland Warenlieferungen</x:v>
      </x:c>
      <x:c r="B9" s="8" t="n">
        <x:f>'BWA'!M9</x:f>
        <x:v>122500</x:v>
      </x:c>
      <x:c r="C9" s="8" t="n">
        <x:f>'BWA'!N9</x:f>
        <x:v>1530000</x:v>
      </x:c>
      <x:c r="D9" s="10" t="n">
        <x:f>C9/$C$11</x:f>
        <x:v>0.2533657906503055</x:v>
      </x:c>
    </x:row>
    <x:row r="10" ht="14" customHeight="1">
      <x:c r="A10" s="1" t="str">
        <x:v>Erlösschmälerungen</x:v>
      </x:c>
      <x:c r="B10" s="8" t="n">
        <x:f>'BWA'!M10</x:f>
        <x:v>-8700</x:v>
      </x:c>
      <x:c r="C10" s="8" t="n">
        <x:f>'BWA'!N10</x:f>
        <x:v>-81300</x:v>
      </x:c>
      <x:c r="D10" s="10" t="n">
        <x:f>C10/$C$11</x:f>
        <x:v>-0.013463162601222118</x:v>
      </x:c>
    </x:row>
    <x:row r="11" ht="14" customHeight="1">
      <x:c r="A11" s="15" t="str">
        <x:v>Umsatzerlöse netto</x:v>
      </x:c>
      <x:c r="B11" s="16" t="n">
        <x:f>'BWA'!M11</x:f>
        <x:v>481300</x:v>
      </x:c>
      <x:c r="C11" s="16" t="n">
        <x:f>'BWA'!N11</x:f>
        <x:v>6038700</x:v>
      </x:c>
      <x:c r="D11" s="19" t="n">
        <x:f>C11/$C$11</x:f>
        <x:v>1</x:v>
      </x:c>
    </x:row>
    <x:row r="12" ht="14" customHeight="1">
      <x:c r="A12" s="1" t="str">
        <x:v>Wareneinsatz</x:v>
      </x:c>
      <x:c r="B12" s="8" t="n">
        <x:f>'BWA'!M12</x:f>
        <x:v>351349</x:v>
      </x:c>
      <x:c r="C12" s="8" t="n">
        <x:f>'BWA'!N12</x:f>
        <x:v>4210525.5</x:v>
      </x:c>
      <x:c r="D12" s="10" t="n">
        <x:f>C12/$C$11</x:f>
        <x:v>0.6972569427194595</x:v>
      </x:c>
    </x:row>
    <x:row r="13" ht="14" customHeight="1">
      <x:c r="A13" s="1" t="str">
        <x:v>Abwertung Warenbestand</x:v>
      </x:c>
      <x:c r="B13" s="8" t="n">
        <x:f>'BWA'!M13</x:f>
        <x:v>200000</x:v>
      </x:c>
      <x:c r="C13" s="8" t="n">
        <x:f>'BWA'!N13</x:f>
        <x:v>200000</x:v>
      </x:c>
      <x:c r="D13" s="10" t="n">
        <x:f>C13/$C$11</x:f>
        <x:v>0.03311971119611837</x:v>
      </x:c>
    </x:row>
    <x:row r="14" ht="14" customHeight="1">
      <x:c r="A14" s="15" t="str">
        <x:v>Rohertrag nach Lagerabwertung</x:v>
      </x:c>
      <x:c r="B14" s="16" t="n">
        <x:f>'BWA'!M14</x:f>
        <x:v>-70049</x:v>
      </x:c>
      <x:c r="C14" s="16" t="n">
        <x:f>'BWA'!N14</x:f>
        <x:v>1628174.5</x:v>
      </x:c>
      <x:c r="D14" s="19" t="n">
        <x:f>C14/$C$11</x:f>
        <x:v>0.2696233460844221</x:v>
      </x:c>
    </x:row>
    <x:row r="15" ht="14" customHeight="1">
      <x:c r="A15" s="1" t="str">
        <x:v>Sonstige betriebliche Erträge</x:v>
      </x:c>
      <x:c r="B15" s="8" t="n">
        <x:f>'BWA'!M15</x:f>
        <x:v>0</x:v>
      </x:c>
      <x:c r="C15" s="8" t="n">
        <x:f>'BWA'!N15</x:f>
        <x:v>0</x:v>
      </x:c>
      <x:c r="D15" s="10" t="n">
        <x:f>C15/$C$11</x:f>
        <x:v>0</x:v>
      </x:c>
    </x:row>
    <x:row r="16" ht="14" customHeight="1">
      <x:c r="A16" s="1" t="str">
        <x:v>Bruttogehälter</x:v>
      </x:c>
      <x:c r="B16" s="8" t="n">
        <x:f>'BWA'!M16</x:f>
        <x:v>89000</x:v>
      </x:c>
      <x:c r="C16" s="8" t="n">
        <x:f>'BWA'!N16</x:f>
        <x:v>1059000</x:v>
      </x:c>
      <x:c r="D16" s="10" t="n">
        <x:f>C16/$C$11</x:f>
        <x:v>0.17536887078344676</x:v>
      </x:c>
    </x:row>
    <x:row r="17" ht="14" customHeight="1">
      <x:c r="A17" s="1" t="str">
        <x:v>Arbeitgeberanteile Sozialversicherung</x:v>
      </x:c>
      <x:c r="B17" s="8" t="n">
        <x:f>'BWA'!M17</x:f>
        <x:v>19000</x:v>
      </x:c>
      <x:c r="C17" s="8" t="n">
        <x:f>'BWA'!N17</x:f>
        <x:v>228000</x:v>
      </x:c>
      <x:c r="D17" s="10" t="n">
        <x:f>C17/$C$11</x:f>
        <x:v>0.03775647076357494</x:v>
      </x:c>
    </x:row>
    <x:row r="18" ht="14" customHeight="1">
      <x:c r="A18" s="15" t="str">
        <x:v>Personalaufwand</x:v>
      </x:c>
      <x:c r="B18" s="16" t="n">
        <x:f>'BWA'!M18</x:f>
        <x:v>108000</x:v>
      </x:c>
      <x:c r="C18" s="16" t="n">
        <x:f>'BWA'!N18</x:f>
        <x:v>1287000</x:v>
      </x:c>
      <x:c r="D18" s="19" t="n">
        <x:f>C18/$C$11</x:f>
        <x:v>0.2131253415470217</x:v>
      </x:c>
    </x:row>
    <x:row r="19" ht="14" customHeight="1">
      <x:c r="A19" s="1" t="str">
        <x:v>Raumkosten Nürnberg und Erlangen</x:v>
      </x:c>
      <x:c r="B19" s="8" t="n">
        <x:f>'BWA'!M19</x:f>
        <x:v>14000</x:v>
      </x:c>
      <x:c r="C19" s="8" t="n">
        <x:f>'BWA'!N19</x:f>
        <x:v>168000</x:v>
      </x:c>
      <x:c r="D19" s="10" t="n">
        <x:f>C19/$C$11</x:f>
        <x:v>0.027820557404739432</x:v>
      </x:c>
    </x:row>
    <x:row r="20" ht="14" customHeight="1">
      <x:c r="A20" s="1" t="str">
        <x:v>Strom und Kühlung</x:v>
      </x:c>
      <x:c r="B20" s="8" t="n">
        <x:f>'BWA'!M20</x:f>
        <x:v>6000</x:v>
      </x:c>
      <x:c r="C20" s="8" t="n">
        <x:f>'BWA'!N20</x:f>
        <x:v>72000</x:v>
      </x:c>
      <x:c r="D20" s="10" t="n">
        <x:f>C20/$C$11</x:f>
        <x:v>0.011923096030602614</x:v>
      </x:c>
    </x:row>
    <x:row r="21" ht="14" customHeight="1">
      <x:c r="A21" s="1" t="str">
        <x:v>Versicherungen</x:v>
      </x:c>
      <x:c r="B21" s="8" t="n">
        <x:f>'BWA'!M21</x:f>
        <x:v>2500</x:v>
      </x:c>
      <x:c r="C21" s="8" t="n">
        <x:f>'BWA'!N21</x:f>
        <x:v>30000</x:v>
      </x:c>
      <x:c r="D21" s="10" t="n">
        <x:f>C21/$C$11</x:f>
        <x:v>0.0049679566794177555</x:v>
      </x:c>
    </x:row>
    <x:row r="22" ht="14" customHeight="1">
      <x:c r="A22" s="1" t="str">
        <x:v>Lagerbetrieb und Reinigung</x:v>
      </x:c>
      <x:c r="B22" s="8" t="n">
        <x:f>'BWA'!M22</x:f>
        <x:v>6500</x:v>
      </x:c>
      <x:c r="C22" s="8" t="n">
        <x:f>'BWA'!N22</x:f>
        <x:v>78000</x:v>
      </x:c>
      <x:c r="D22" s="10" t="n">
        <x:f>C22/$C$11</x:f>
        <x:v>0.012916687366486164</x:v>
      </x:c>
    </x:row>
    <x:row r="23" ht="14" customHeight="1">
      <x:c r="A23" s="1" t="str">
        <x:v>Reparaturen und Wartung</x:v>
      </x:c>
      <x:c r="B23" s="8" t="n">
        <x:f>'BWA'!M23</x:f>
        <x:v>3200</x:v>
      </x:c>
      <x:c r="C23" s="8" t="n">
        <x:f>'BWA'!N23</x:f>
        <x:v>38400</x:v>
      </x:c>
      <x:c r="D23" s="10" t="n">
        <x:f>C23/$C$11</x:f>
        <x:v>0.006358984549654727</x:v>
      </x:c>
    </x:row>
    <x:row r="24" ht="14" customHeight="1">
      <x:c r="A24" s="1" t="str">
        <x:v>Marketing und Messen</x:v>
      </x:c>
      <x:c r="B24" s="8" t="n">
        <x:f>'BWA'!M24</x:f>
        <x:v>5000</x:v>
      </x:c>
      <x:c r="C24" s="8" t="n">
        <x:f>'BWA'!N24</x:f>
        <x:v>60000</x:v>
      </x:c>
      <x:c r="D24" s="10" t="n">
        <x:f>C24/$C$11</x:f>
        <x:v>0.009935913358835511</x:v>
      </x:c>
    </x:row>
    <x:row r="25" ht="14" customHeight="1">
      <x:c r="A25" s="1" t="str">
        <x:v>Reisekosten</x:v>
      </x:c>
      <x:c r="B25" s="8" t="n">
        <x:f>'BWA'!M25</x:f>
        <x:v>1500</x:v>
      </x:c>
      <x:c r="C25" s="8" t="n">
        <x:f>'BWA'!N25</x:f>
        <x:v>18000</x:v>
      </x:c>
      <x:c r="D25" s="10" t="n">
        <x:f>C25/$C$11</x:f>
        <x:v>0.0029807740076506534</x:v>
      </x:c>
    </x:row>
    <x:row r="26" ht="14" customHeight="1">
      <x:c r="A26" s="1" t="str">
        <x:v>Ausgangsfrachten</x:v>
      </x:c>
      <x:c r="B26" s="8" t="n">
        <x:f>'BWA'!M26</x:f>
        <x:v>29500</x:v>
      </x:c>
      <x:c r="C26" s="8" t="n">
        <x:f>'BWA'!N26</x:f>
        <x:v>354000</x:v>
      </x:c>
      <x:c r="D26" s="10" t="n">
        <x:f>C26/$C$11</x:f>
        <x:v>0.058621888817129514</x:v>
      </x:c>
    </x:row>
    <x:row r="27" ht="14" customHeight="1">
      <x:c r="A27" s="1" t="str">
        <x:v>Telekommunikation und IT</x:v>
      </x:c>
      <x:c r="B27" s="8" t="n">
        <x:f>'BWA'!M27</x:f>
        <x:v>1500</x:v>
      </x:c>
      <x:c r="C27" s="8" t="n">
        <x:f>'BWA'!N27</x:f>
        <x:v>36000</x:v>
      </x:c>
      <x:c r="D27" s="10" t="n">
        <x:f>C27/$C$11</x:f>
        <x:v>0.005961548015301307</x:v>
      </x:c>
    </x:row>
    <x:row r="28" ht="14" customHeight="1">
      <x:c r="A28" s="1" t="str">
        <x:v>Rechtsberatung und Buchführung</x:v>
      </x:c>
      <x:c r="B28" s="8" t="n">
        <x:f>'BWA'!M28</x:f>
        <x:v>4500</x:v>
      </x:c>
      <x:c r="C28" s="8" t="n">
        <x:f>'BWA'!N28</x:f>
        <x:v>54000</x:v>
      </x:c>
      <x:c r="D28" s="10" t="n">
        <x:f>C28/$C$11</x:f>
        <x:v>0.00894232202295196</x:v>
      </x:c>
    </x:row>
    <x:row r="29" ht="14" customHeight="1">
      <x:c r="A29" s="1" t="str">
        <x:v>Labor und Qualitätssicherung</x:v>
      </x:c>
      <x:c r="B29" s="8" t="n">
        <x:f>'BWA'!M29</x:f>
        <x:v>6000</x:v>
      </x:c>
      <x:c r="C29" s="8" t="n">
        <x:f>'BWA'!N29</x:f>
        <x:v>72000</x:v>
      </x:c>
      <x:c r="D29" s="10" t="n">
        <x:f>C29/$C$11</x:f>
        <x:v>0.011923096030602614</x:v>
      </x:c>
    </x:row>
    <x:row r="30" ht="14" customHeight="1">
      <x:c r="A30" s="1" t="str">
        <x:v>Bürobedarf und übriger Aufwand</x:v>
      </x:c>
      <x:c r="B30" s="8" t="n">
        <x:f>'BWA'!M30</x:f>
        <x:v>2000</x:v>
      </x:c>
      <x:c r="C30" s="8" t="n">
        <x:f>'BWA'!N30</x:f>
        <x:v>24000</x:v>
      </x:c>
      <x:c r="D30" s="10" t="n">
        <x:f>C30/$C$11</x:f>
        <x:v>0.003974365343534204</x:v>
      </x:c>
    </x:row>
    <x:row r="31" ht="14" customHeight="1">
      <x:c r="A31" s="1" t="str">
        <x:v>Zuführung Rückstellungen</x:v>
      </x:c>
      <x:c r="B31" s="8" t="n">
        <x:f>'BWA'!M31</x:f>
        <x:v>18000</x:v>
      </x:c>
      <x:c r="C31" s="8" t="n">
        <x:f>'BWA'!N31</x:f>
        <x:v>18000</x:v>
      </x:c>
      <x:c r="D31" s="10" t="n">
        <x:f>C31/$C$11</x:f>
        <x:v>0.0029807740076506534</x:v>
      </x:c>
    </x:row>
    <x:row r="32" ht="14" customHeight="1">
      <x:c r="A32" s="1" t="str">
        <x:v>Bankgebühren</x:v>
      </x:c>
      <x:c r="B32" s="8" t="n">
        <x:f>'BWA'!M32</x:f>
        <x:v>750</x:v>
      </x:c>
      <x:c r="C32" s="8" t="n">
        <x:f>'BWA'!N32</x:f>
        <x:v>9000</x:v>
      </x:c>
      <x:c r="D32" s="10" t="n">
        <x:f>C32/$C$11</x:f>
        <x:v>0.0014903870038253267</x:v>
      </x:c>
    </x:row>
    <x:row r="33" ht="14" customHeight="1">
      <x:c r="A33" s="1" t="str">
        <x:v>Zuführung Einzelwertberichtigungen</x:v>
      </x:c>
      <x:c r="B33" s="8" t="n">
        <x:f>'BWA'!M33</x:f>
        <x:v>100000</x:v>
      </x:c>
      <x:c r="C33" s="8" t="n">
        <x:f>'BWA'!N33</x:f>
        <x:v>100000</x:v>
      </x:c>
      <x:c r="D33" s="10" t="n">
        <x:f>C33/$C$11</x:f>
        <x:v>0.016559855598059184</x:v>
      </x:c>
    </x:row>
    <x:row r="34" ht="14" customHeight="1">
      <x:c r="A34" s="15" t="str">
        <x:v>Sonstiger betrieblicher Aufwand</x:v>
      </x:c>
      <x:c r="B34" s="16" t="n">
        <x:f>'BWA'!M34</x:f>
        <x:v>200950</x:v>
      </x:c>
      <x:c r="C34" s="16" t="n">
        <x:f>'BWA'!N34</x:f>
        <x:v>1131400</x:v>
      </x:c>
      <x:c r="D34" s="19" t="n">
        <x:f>C34/$C$11</x:f>
        <x:v>0.18735820623644162</x:v>
      </x:c>
    </x:row>
    <x:row r="35" ht="14" customHeight="1">
      <x:c r="A35" s="15" t="str">
        <x:v>Ergebnis vor Abschreibungen und Zinsen</x:v>
      </x:c>
      <x:c r="B35" s="16" t="n">
        <x:f>'BWA'!M35</x:f>
        <x:v>-378999</x:v>
      </x:c>
      <x:c r="C35" s="16" t="n">
        <x:f>'BWA'!N35</x:f>
        <x:v>-790225.5</x:v>
      </x:c>
      <x:c r="D35" s="19" t="n">
        <x:f>C35/$C$11</x:f>
        <x:v>-0.1308602016990412</x:v>
      </x:c>
    </x:row>
    <x:row r="36" ht="14" customHeight="1">
      <x:c r="A36" s="1" t="str">
        <x:v>Abschreibungen</x:v>
      </x:c>
      <x:c r="B36" s="8" t="n">
        <x:f>'BWA'!M36</x:f>
        <x:v>7500</x:v>
      </x:c>
      <x:c r="C36" s="8" t="n">
        <x:f>'BWA'!N36</x:f>
        <x:v>90000</x:v>
      </x:c>
      <x:c r="D36" s="10" t="n">
        <x:f>C36/$C$11</x:f>
        <x:v>0.014903870038253266</x:v>
      </x:c>
    </x:row>
    <x:row r="37" ht="14" customHeight="1">
      <x:c r="A37" s="15" t="str">
        <x:v>Betriebsergebnis</x:v>
      </x:c>
      <x:c r="B37" s="16" t="n">
        <x:f>'BWA'!M37</x:f>
        <x:v>-386499</x:v>
      </x:c>
      <x:c r="C37" s="16" t="n">
        <x:f>'BWA'!N37</x:f>
        <x:v>-880225.5</x:v>
      </x:c>
      <x:c r="D37" s="19" t="n">
        <x:f>C37/$C$11</x:f>
        <x:v>-0.14576407173729444</x:v>
      </x:c>
    </x:row>
    <x:row r="38" ht="14" customHeight="1">
      <x:c r="A38" s="1" t="str">
        <x:v>Zinsaufwand</x:v>
      </x:c>
      <x:c r="B38" s="8" t="n">
        <x:f>'BWA'!M38</x:f>
        <x:v>7350</x:v>
      </x:c>
      <x:c r="C38" s="8" t="n">
        <x:f>'BWA'!N38</x:f>
        <x:v>64000</x:v>
      </x:c>
      <x:c r="D38" s="10" t="n">
        <x:f>C38/$C$11</x:f>
        <x:v>0.010598307582757878</x:v>
      </x:c>
    </x:row>
    <x:row r="39" ht="14" customHeight="1">
      <x:c r="A39" s="15" t="str">
        <x:v>Ergebnis vor Ertragsteuern</x:v>
      </x:c>
      <x:c r="B39" s="16" t="n">
        <x:f>'BWA'!M39</x:f>
        <x:v>-393849</x:v>
      </x:c>
      <x:c r="C39" s="16" t="n">
        <x:f>'BWA'!N39</x:f>
        <x:v>-944225.5</x:v>
      </x:c>
      <x:c r="D39" s="19" t="n">
        <x:f>C39/$C$11</x:f>
        <x:v>-0.15636237932005234</x:v>
      </x:c>
    </x:row>
    <x:row r="40" ht="14" customHeight="1">
      <x:c r="A40" s="1" t="str">
        <x:v>Ertragsteueraufwand</x:v>
      </x:c>
      <x:c r="B40" s="8" t="n">
        <x:f>'BWA'!M40</x:f>
        <x:v>0</x:v>
      </x:c>
      <x:c r="C40" s="8" t="n">
        <x:f>'BWA'!N40</x:f>
        <x:v>0</x:v>
      </x:c>
      <x:c r="D40" s="10" t="n">
        <x:f>C40/$C$11</x:f>
        <x:v>0</x:v>
      </x:c>
    </x:row>
    <x:row r="41" ht="14" customHeight="1">
      <x:c r="A41" s="15" t="str">
        <x:v>Vorläufiges Jahresergebnis</x:v>
      </x:c>
      <x:c r="B41" s="16" t="n">
        <x:f>'BWA'!M41</x:f>
        <x:v>-393849</x:v>
      </x:c>
      <x:c r="C41" s="16" t="n">
        <x:f>'BWA'!N41</x:f>
        <x:v>-944225.5</x:v>
      </x:c>
      <x:c r="D41" s="19" t="n">
        <x:f>C41/$C$11</x:f>
        <x:v>-0.15636237932005234</x:v>
      </x:c>
    </x:row>
    <x:row r="42" ht="14" customHeight="1">
      <x:c r="A42" s="1" t="str">
        <x:v>Ergebnis in Prozent vom Nettoumsatz</x:v>
      </x:c>
      <x:c r="B42" s="10" t="n">
        <x:f>'BWA'!M42</x:f>
        <x:v>-0.8183025140245169</x:v>
      </x:c>
      <x:c r="C42" s="10" t="n">
        <x:f>'BWA'!N42</x:f>
        <x:v>-0.15636237932005234</x:v>
      </x:c>
      <x:c r="D42" s="1"/>
    </x:row>
    <x:row r="43" ht="14" customHeight="1">
      <x:c r="A43" s="1"/>
      <x:c r="B43" s="1"/>
      <x:c r="C43" s="1"/>
      <x:c r="D43" s="1"/>
    </x:row>
    <x:row r="44" ht="14" customHeight="1">
      <x:c r="A44" s="1" t="str">
        <x:v>Kontengrundlage und Monatswerte stehen auf den folgenden Blättern.</x:v>
      </x:c>
      <x:c r="B44" s="1"/>
      <x:c r="C44" s="1"/>
      <x:c r="D44" s="1"/>
    </x:row>
    <x:row r="45" ht="14" customHeight="1">
      <x:c r="A45" s="1" t="str">
        <x:v>Aufwandszeilen sind positiv, Erlösschmälerungen negativ dargestellt.</x:v>
      </x:c>
      <x:c r="B45" s="1"/>
      <x:c r="C45" s="1"/>
      <x:c r="D45" s="1"/>
    </x:row>
    <x:row r="46" ht="14" customHeight="1">
      <x:c r="A46" s="1" t="str">
        <x:v>2025 ist vorläufig. 2024 enthält nachgetragene Abschlussbuchungen.</x:v>
      </x:c>
      <x:c r="B46" s="1"/>
      <x:c r="C46" s="1"/>
      <x:c r="D46" s="1"/>
    </x:row>
    <x:row r="47" ht="14" customHeight="1">
      <x:c r="A47" s="1" t="str">
        <x:v>Umsatzanteil: jeweilige Jahresposition geteilt durch Jahresnettoumsatz.</x:v>
      </x:c>
      <x:c r="B47" s="1"/>
      <x:c r="C47" s="1"/>
      <x:c r="D47" s="1"/>
    </x:row>
    <x:row r="48" ht="14" customHeight="1">
      <x:c r="A48" s="1"/>
      <x:c r="B48" s="1"/>
      <x:c r="C48" s="1"/>
      <x:c r="D48" s="1"/>
    </x:row>
    <x:row r="49" ht="14" customHeight="1">
      <x:c r="A49" s="1"/>
      <x:c r="B49" s="1"/>
      <x:c r="C49" s="1"/>
      <x:c r="D49" s="1"/>
    </x:row>
    <x:row r="50" ht="14" customHeight="1">
      <x:c r="A50" s="1"/>
      <x:c r="B50" s="1"/>
      <x:c r="C50" s="1"/>
      <x:c r="D50" s="1"/>
    </x:row>
    <x:row r="51" ht="14" customHeight="1">
      <x:c r="A51" s="1"/>
      <x:c r="B51" s="1"/>
      <x:c r="C51" s="1"/>
      <x:c r="D51" s="1"/>
    </x:row>
  </x:sheetData>
  <x:pageMargins left="0.3" right="0.3" top="0.35" bottom="0.35" header="0.15" footer="0.15"/>
  <x:pageSetup paperSize="9" orientation="portrait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8.88999938964844" hidden="0" customWidth="1"/>
    <x:col min="2" max="2" width="12.890000343322754" hidden="0" customWidth="1"/>
    <x:col min="3" max="3" width="12.890000343322754" hidden="0" customWidth="1"/>
    <x:col min="4" max="4" width="12.890000343322754" hidden="0" customWidth="1"/>
    <x:col min="5" max="5" width="12.890000343322754" hidden="0" customWidth="1"/>
    <x:col min="6" max="6" width="12.890000343322754" hidden="0" customWidth="1"/>
    <x:col min="7" max="7" width="12.890000343322754" hidden="0" customWidth="1"/>
    <x:col min="8" max="8" width="12.890000343322754" hidden="0" customWidth="1"/>
    <x:col min="9" max="9" width="12.890000343322754" hidden="0" customWidth="1"/>
    <x:col min="10" max="10" width="12.890000343322754" hidden="0" customWidth="1"/>
    <x:col min="11" max="11" width="12.890000343322754" hidden="0" customWidth="1"/>
    <x:col min="12" max="12" width="12.890000343322754" hidden="0" customWidth="1"/>
    <x:col min="13" max="13" width="12.890000343322754" hidden="0" customWidth="1"/>
    <x:col min="14" max="14" width="12.890000343322754" hidden="0" customWidth="1"/>
  </x:cols>
  <x:sheetData>
    <x:row r="1" ht="24" customHeight="1">
      <x:c r="A1" s="2" t="str">
        <x:v>Betriebswirtschaftliche Auswertung 2025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14" customHeight="1">
      <x:c r="A2" s="3" t="str">
        <x:v>Mainfrucht Spezialitätenhandel GmbH, Nürnberg. EUR netto. Buchungsstand 15.01.2026.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14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1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7" t="str">
        <x:v>Position</x:v>
      </x:c>
      <x:c r="B5" s="7" t="str">
        <x:v>Jan</x:v>
      </x:c>
      <x:c r="C5" s="7" t="str">
        <x:v>Feb</x:v>
      </x:c>
      <x:c r="D5" s="7" t="str">
        <x:v>Mär</x:v>
      </x:c>
      <x:c r="E5" s="7" t="str">
        <x:v>Apr</x:v>
      </x:c>
      <x:c r="F5" s="7" t="str">
        <x:v>Mai</x:v>
      </x:c>
      <x:c r="G5" s="7" t="str">
        <x:v>Jun</x:v>
      </x:c>
      <x:c r="H5" s="7" t="str">
        <x:v>Jul</x:v>
      </x:c>
      <x:c r="I5" s="7" t="str">
        <x:v>Aug</x:v>
      </x:c>
      <x:c r="J5" s="7" t="str">
        <x:v>Sep</x:v>
      </x:c>
      <x:c r="K5" s="7" t="str">
        <x:v>Okt</x:v>
      </x:c>
      <x:c r="L5" s="7" t="str">
        <x:v>Nov</x:v>
      </x:c>
      <x:c r="M5" s="7" t="str">
        <x:v>Dez</x:v>
      </x:c>
      <x:c r="N5" s="7" t="str">
        <x:v>Jahr</x:v>
      </x:c>
    </x:row>
    <x:row r="6" ht="14" customHeight="1">
      <x:c r="A6" s="1" t="str">
        <x:v>Erlöse Inland 7 Prozent</x:v>
      </x:c>
      <x:c r="B6" s="8" t="n">
        <x:f>-SUM('Kontenwerte'!C41)</x:f>
        <x:v>283500</x:v>
      </x:c>
      <x:c r="C6" s="8" t="n">
        <x:f>-SUM('Kontenwerte'!D41)</x:f>
        <x:v>270000</x:v>
      </x:c>
      <x:c r="D6" s="8" t="n">
        <x:f>-SUM('Kontenwerte'!E41)</x:f>
        <x:v>261000</x:v>
      </x:c>
      <x:c r="E6" s="8" t="n">
        <x:f>-SUM('Kontenwerte'!F41)</x:f>
        <x:v>247500</x:v>
      </x:c>
      <x:c r="F6" s="8" t="n">
        <x:f>-SUM('Kontenwerte'!G41)</x:f>
        <x:v>238500</x:v>
      </x:c>
      <x:c r="G6" s="8" t="n">
        <x:f>-SUM('Kontenwerte'!H41)</x:f>
        <x:v>225000</x:v>
      </x:c>
      <x:c r="H6" s="8" t="n">
        <x:f>-SUM('Kontenwerte'!I41)</x:f>
        <x:v>211500</x:v>
      </x:c>
      <x:c r="I6" s="8" t="n">
        <x:f>-SUM('Kontenwerte'!J41)</x:f>
        <x:v>198000</x:v>
      </x:c>
      <x:c r="J6" s="8" t="n">
        <x:f>-SUM('Kontenwerte'!K41)</x:f>
        <x:v>193500</x:v>
      </x:c>
      <x:c r="K6" s="8" t="n">
        <x:f>-SUM('Kontenwerte'!L41)</x:f>
        <x:v>189000</x:v>
      </x:c>
      <x:c r="L6" s="8" t="n">
        <x:f>-SUM('Kontenwerte'!M41)</x:f>
        <x:v>216000</x:v>
      </x:c>
      <x:c r="M6" s="8" t="n">
        <x:f>-SUM('Kontenwerte'!N41)</x:f>
        <x:v>220500</x:v>
      </x:c>
      <x:c r="N6" s="8" t="n">
        <x:f>SUM(B6:M6)</x:f>
        <x:v>2754000</x:v>
      </x:c>
    </x:row>
    <x:row r="7" ht="14" customHeight="1">
      <x:c r="A7" s="1" t="str">
        <x:v>Erlöse Inland 19 Prozent</x:v>
      </x:c>
      <x:c r="B7" s="8" t="n">
        <x:f>-SUM('Kontenwerte'!C42)</x:f>
        <x:v>63000</x:v>
      </x:c>
      <x:c r="C7" s="8" t="n">
        <x:f>-SUM('Kontenwerte'!D42)</x:f>
        <x:v>60000</x:v>
      </x:c>
      <x:c r="D7" s="8" t="n">
        <x:f>-SUM('Kontenwerte'!E42)</x:f>
        <x:v>58000</x:v>
      </x:c>
      <x:c r="E7" s="8" t="n">
        <x:f>-SUM('Kontenwerte'!F42)</x:f>
        <x:v>55000</x:v>
      </x:c>
      <x:c r="F7" s="8" t="n">
        <x:f>-SUM('Kontenwerte'!G42)</x:f>
        <x:v>53000</x:v>
      </x:c>
      <x:c r="G7" s="8" t="n">
        <x:f>-SUM('Kontenwerte'!H42)</x:f>
        <x:v>50000</x:v>
      </x:c>
      <x:c r="H7" s="8" t="n">
        <x:f>-SUM('Kontenwerte'!I42)</x:f>
        <x:v>47000</x:v>
      </x:c>
      <x:c r="I7" s="8" t="n">
        <x:f>-SUM('Kontenwerte'!J42)</x:f>
        <x:v>44000</x:v>
      </x:c>
      <x:c r="J7" s="8" t="n">
        <x:f>-SUM('Kontenwerte'!K42)</x:f>
        <x:v>43000</x:v>
      </x:c>
      <x:c r="K7" s="8" t="n">
        <x:f>-SUM('Kontenwerte'!L42)</x:f>
        <x:v>42000</x:v>
      </x:c>
      <x:c r="L7" s="8" t="n">
        <x:f>-SUM('Kontenwerte'!M42)</x:f>
        <x:v>48000</x:v>
      </x:c>
      <x:c r="M7" s="8" t="n">
        <x:f>-SUM('Kontenwerte'!N42)</x:f>
        <x:v>49000</x:v>
      </x:c>
      <x:c r="N7" s="8" t="n">
        <x:f>SUM(B7:M7)</x:f>
        <x:v>612000</x:v>
      </x:c>
    </x:row>
    <x:row r="8" ht="14" customHeight="1">
      <x:c r="A8" s="1" t="str">
        <x:v>Erlöse EU Warenlieferungen</x:v>
      </x:c>
      <x:c r="B8" s="8" t="n">
        <x:f>-SUM('Kontenwerte'!C43)</x:f>
        <x:v>126000</x:v>
      </x:c>
      <x:c r="C8" s="8" t="n">
        <x:f>-SUM('Kontenwerte'!D43)</x:f>
        <x:v>120000</x:v>
      </x:c>
      <x:c r="D8" s="8" t="n">
        <x:f>-SUM('Kontenwerte'!E43)</x:f>
        <x:v>116000</x:v>
      </x:c>
      <x:c r="E8" s="8" t="n">
        <x:f>-SUM('Kontenwerte'!F43)</x:f>
        <x:v>110000</x:v>
      </x:c>
      <x:c r="F8" s="8" t="n">
        <x:f>-SUM('Kontenwerte'!G43)</x:f>
        <x:v>106000</x:v>
      </x:c>
      <x:c r="G8" s="8" t="n">
        <x:f>-SUM('Kontenwerte'!H43)</x:f>
        <x:v>100000</x:v>
      </x:c>
      <x:c r="H8" s="8" t="n">
        <x:f>-SUM('Kontenwerte'!I43)</x:f>
        <x:v>94000</x:v>
      </x:c>
      <x:c r="I8" s="8" t="n">
        <x:f>-SUM('Kontenwerte'!J43)</x:f>
        <x:v>88000</x:v>
      </x:c>
      <x:c r="J8" s="8" t="n">
        <x:f>-SUM('Kontenwerte'!K43)</x:f>
        <x:v>86000</x:v>
      </x:c>
      <x:c r="K8" s="8" t="n">
        <x:f>-SUM('Kontenwerte'!L43)</x:f>
        <x:v>84000</x:v>
      </x:c>
      <x:c r="L8" s="8" t="n">
        <x:f>-SUM('Kontenwerte'!M43)</x:f>
        <x:v>96000</x:v>
      </x:c>
      <x:c r="M8" s="8" t="n">
        <x:f>-SUM('Kontenwerte'!N43)</x:f>
        <x:v>98000</x:v>
      </x:c>
      <x:c r="N8" s="8" t="n">
        <x:f>SUM(B8:M8)</x:f>
        <x:v>1224000</x:v>
      </x:c>
    </x:row>
    <x:row r="9" ht="14" customHeight="1">
      <x:c r="A9" s="1" t="str">
        <x:v>Erlöse Drittland Warenlieferungen</x:v>
      </x:c>
      <x:c r="B9" s="8" t="n">
        <x:f>-SUM('Kontenwerte'!C44)</x:f>
        <x:v>157500</x:v>
      </x:c>
      <x:c r="C9" s="8" t="n">
        <x:f>-SUM('Kontenwerte'!D44)</x:f>
        <x:v>150000</x:v>
      </x:c>
      <x:c r="D9" s="8" t="n">
        <x:f>-SUM('Kontenwerte'!E44)</x:f>
        <x:v>145000</x:v>
      </x:c>
      <x:c r="E9" s="8" t="n">
        <x:f>-SUM('Kontenwerte'!F44)</x:f>
        <x:v>137500</x:v>
      </x:c>
      <x:c r="F9" s="8" t="n">
        <x:f>-SUM('Kontenwerte'!G44)</x:f>
        <x:v>132500</x:v>
      </x:c>
      <x:c r="G9" s="8" t="n">
        <x:f>-SUM('Kontenwerte'!H44)</x:f>
        <x:v>125000</x:v>
      </x:c>
      <x:c r="H9" s="8" t="n">
        <x:f>-SUM('Kontenwerte'!I44)</x:f>
        <x:v>117500</x:v>
      </x:c>
      <x:c r="I9" s="8" t="n">
        <x:f>-SUM('Kontenwerte'!J44)</x:f>
        <x:v>110000</x:v>
      </x:c>
      <x:c r="J9" s="8" t="n">
        <x:f>-SUM('Kontenwerte'!K44)</x:f>
        <x:v>107500</x:v>
      </x:c>
      <x:c r="K9" s="8" t="n">
        <x:f>-SUM('Kontenwerte'!L44)</x:f>
        <x:v>105000</x:v>
      </x:c>
      <x:c r="L9" s="8" t="n">
        <x:f>-SUM('Kontenwerte'!M44)</x:f>
        <x:v>120000</x:v>
      </x:c>
      <x:c r="M9" s="8" t="n">
        <x:f>-SUM('Kontenwerte'!N44)</x:f>
        <x:v>122500</x:v>
      </x:c>
      <x:c r="N9" s="8" t="n">
        <x:f>SUM(B9:M9)</x:f>
        <x:v>1530000</x:v>
      </x:c>
    </x:row>
    <x:row r="10" ht="14" customHeight="1">
      <x:c r="A10" s="1" t="str">
        <x:v>Erlösschmälerungen</x:v>
      </x:c>
      <x:c r="B10" s="8" t="n">
        <x:f>-SUM('Kontenwerte'!C45,'Kontenwerte'!C46)</x:f>
        <x:v>-4850</x:v>
      </x:c>
      <x:c r="C10" s="8" t="n">
        <x:f>-SUM('Kontenwerte'!D45,'Kontenwerte'!D46)</x:f>
        <x:v>-5200</x:v>
      </x:c>
      <x:c r="D10" s="8" t="n">
        <x:f>-SUM('Kontenwerte'!E45,'Kontenwerte'!E46)</x:f>
        <x:v>-5550</x:v>
      </x:c>
      <x:c r="E10" s="8" t="n">
        <x:f>-SUM('Kontenwerte'!F45,'Kontenwerte'!F46)</x:f>
        <x:v>-5900</x:v>
      </x:c>
      <x:c r="F10" s="8" t="n">
        <x:f>-SUM('Kontenwerte'!G45,'Kontenwerte'!G46)</x:f>
        <x:v>-6250</x:v>
      </x:c>
      <x:c r="G10" s="8" t="n">
        <x:f>-SUM('Kontenwerte'!H45,'Kontenwerte'!H46)</x:f>
        <x:v>-6600</x:v>
      </x:c>
      <x:c r="H10" s="8" t="n">
        <x:f>-SUM('Kontenwerte'!I45,'Kontenwerte'!I46)</x:f>
        <x:v>-6950</x:v>
      </x:c>
      <x:c r="I10" s="8" t="n">
        <x:f>-SUM('Kontenwerte'!J45,'Kontenwerte'!J46)</x:f>
        <x:v>-7300</x:v>
      </x:c>
      <x:c r="J10" s="8" t="n">
        <x:f>-SUM('Kontenwerte'!K45,'Kontenwerte'!K46)</x:f>
        <x:v>-7650</x:v>
      </x:c>
      <x:c r="K10" s="8" t="n">
        <x:f>-SUM('Kontenwerte'!L45,'Kontenwerte'!L46)</x:f>
        <x:v>-8000</x:v>
      </x:c>
      <x:c r="L10" s="8" t="n">
        <x:f>-SUM('Kontenwerte'!M45,'Kontenwerte'!M46)</x:f>
        <x:v>-8350</x:v>
      </x:c>
      <x:c r="M10" s="8" t="n">
        <x:f>-SUM('Kontenwerte'!N45,'Kontenwerte'!N46)</x:f>
        <x:v>-8700</x:v>
      </x:c>
      <x:c r="N10" s="8" t="n">
        <x:f>SUM(B10:M10)</x:f>
        <x:v>-81300</x:v>
      </x:c>
    </x:row>
    <x:row r="11" ht="14" customHeight="1">
      <x:c r="A11" s="15" t="str">
        <x:v>Umsatzerlöse netto</x:v>
      </x:c>
      <x:c r="B11" s="16" t="n">
        <x:f>SUM(B6:B10)</x:f>
        <x:v>625150</x:v>
      </x:c>
      <x:c r="C11" s="16" t="n">
        <x:f>SUM(C6:C10)</x:f>
        <x:v>594800</x:v>
      </x:c>
      <x:c r="D11" s="16" t="n">
        <x:f>SUM(D6:D10)</x:f>
        <x:v>574450</x:v>
      </x:c>
      <x:c r="E11" s="16" t="n">
        <x:f>SUM(E6:E10)</x:f>
        <x:v>544100</x:v>
      </x:c>
      <x:c r="F11" s="16" t="n">
        <x:f>SUM(F6:F10)</x:f>
        <x:v>523750</x:v>
      </x:c>
      <x:c r="G11" s="16" t="n">
        <x:f>SUM(G6:G10)</x:f>
        <x:v>493400</x:v>
      </x:c>
      <x:c r="H11" s="16" t="n">
        <x:f>SUM(H6:H10)</x:f>
        <x:v>463050</x:v>
      </x:c>
      <x:c r="I11" s="16" t="n">
        <x:f>SUM(I6:I10)</x:f>
        <x:v>432700</x:v>
      </x:c>
      <x:c r="J11" s="16" t="n">
        <x:f>SUM(J6:J10)</x:f>
        <x:v>422350</x:v>
      </x:c>
      <x:c r="K11" s="16" t="n">
        <x:f>SUM(K6:K10)</x:f>
        <x:v>412000</x:v>
      </x:c>
      <x:c r="L11" s="16" t="n">
        <x:f>SUM(L6:L10)</x:f>
        <x:v>471650</x:v>
      </x:c>
      <x:c r="M11" s="16" t="n">
        <x:f>SUM(M6:M10)</x:f>
        <x:v>481300</x:v>
      </x:c>
      <x:c r="N11" s="16" t="n">
        <x:f>SUM(B11:M11)</x:f>
        <x:v>6038700</x:v>
      </x:c>
    </x:row>
    <x:row r="12" ht="14" customHeight="1">
      <x:c r="A12" s="1" t="str">
        <x:v>Wareneinsatz</x:v>
      </x:c>
      <x:c r="B12" s="8" t="n">
        <x:f>SUM('Kontenwerte'!C48)</x:f>
        <x:v>418850.5</x:v>
      </x:c>
      <x:c r="C12" s="8" t="n">
        <x:f>SUM('Kontenwerte'!D48)</x:f>
        <x:v>401490</x:v>
      </x:c>
      <x:c r="D12" s="8" t="n">
        <x:f>SUM('Kontenwerte'!E48)</x:f>
        <x:v>390626</x:v>
      </x:c>
      <x:c r="E12" s="8" t="n">
        <x:f>SUM('Kontenwerte'!F48)</x:f>
        <x:v>369988</x:v>
      </x:c>
      <x:c r="F12" s="8" t="n">
        <x:f>SUM('Kontenwerte'!G48)</x:f>
        <x:v>361387.5</x:v>
      </x:c>
      <x:c r="G12" s="8" t="n">
        <x:f>SUM('Kontenwerte'!H48)</x:f>
        <x:v>340446</x:v>
      </x:c>
      <x:c r="H12" s="8" t="n">
        <x:f>SUM('Kontenwerte'!I48)</x:f>
        <x:v>324135</x:v>
      </x:c>
      <x:c r="I12" s="8" t="n">
        <x:f>SUM('Kontenwerte'!J48)</x:f>
        <x:v>307217</x:v>
      </x:c>
      <x:c r="J12" s="8" t="n">
        <x:f>SUM('Kontenwerte'!K48)</x:f>
        <x:v>304092</x:v>
      </x:c>
      <x:c r="K12" s="8" t="n">
        <x:f>SUM('Kontenwerte'!L48)</x:f>
        <x:v>296640</x:v>
      </x:c>
      <x:c r="L12" s="8" t="n">
        <x:f>SUM('Kontenwerte'!M48)</x:f>
        <x:v>344304.5</x:v>
      </x:c>
      <x:c r="M12" s="8" t="n">
        <x:f>SUM('Kontenwerte'!N48)</x:f>
        <x:v>351349</x:v>
      </x:c>
      <x:c r="N12" s="8" t="n">
        <x:f>SUM(B12:M12)</x:f>
        <x:v>4210525.5</x:v>
      </x:c>
    </x:row>
    <x:row r="13" ht="14" customHeight="1">
      <x:c r="A13" s="1" t="str">
        <x:v>Abwertung Warenbestand</x:v>
      </x:c>
      <x:c r="B13" s="8" t="n">
        <x:f>SUM('Kontenwerte'!C49)</x:f>
        <x:v>0</x:v>
      </x:c>
      <x:c r="C13" s="8" t="n">
        <x:f>SUM('Kontenwerte'!D49)</x:f>
        <x:v>0</x:v>
      </x:c>
      <x:c r="D13" s="8" t="n">
        <x:f>SUM('Kontenwerte'!E49)</x:f>
        <x:v>0</x:v>
      </x:c>
      <x:c r="E13" s="8" t="n">
        <x:f>SUM('Kontenwerte'!F49)</x:f>
        <x:v>0</x:v>
      </x:c>
      <x:c r="F13" s="8" t="n">
        <x:f>SUM('Kontenwerte'!G49)</x:f>
        <x:v>0</x:v>
      </x:c>
      <x:c r="G13" s="8" t="n">
        <x:f>SUM('Kontenwerte'!H49)</x:f>
        <x:v>0</x:v>
      </x:c>
      <x:c r="H13" s="8" t="n">
        <x:f>SUM('Kontenwerte'!I49)</x:f>
        <x:v>0</x:v>
      </x:c>
      <x:c r="I13" s="8" t="n">
        <x:f>SUM('Kontenwerte'!J49)</x:f>
        <x:v>0</x:v>
      </x:c>
      <x:c r="J13" s="8" t="n">
        <x:f>SUM('Kontenwerte'!K49)</x:f>
        <x:v>0</x:v>
      </x:c>
      <x:c r="K13" s="8" t="n">
        <x:f>SUM('Kontenwerte'!L49)</x:f>
        <x:v>0</x:v>
      </x:c>
      <x:c r="L13" s="8" t="n">
        <x:f>SUM('Kontenwerte'!M49)</x:f>
        <x:v>0</x:v>
      </x:c>
      <x:c r="M13" s="8" t="n">
        <x:f>SUM('Kontenwerte'!N49)</x:f>
        <x:v>200000</x:v>
      </x:c>
      <x:c r="N13" s="8" t="n">
        <x:f>SUM(B13:M13)</x:f>
        <x:v>200000</x:v>
      </x:c>
    </x:row>
    <x:row r="14" ht="14" customHeight="1">
      <x:c r="A14" s="15" t="str">
        <x:v>Rohertrag nach Lagerabwertung</x:v>
      </x:c>
      <x:c r="B14" s="16" t="n">
        <x:f>B11-B12-B13</x:f>
        <x:v>206299.5</x:v>
      </x:c>
      <x:c r="C14" s="16" t="n">
        <x:f>C11-C12-C13</x:f>
        <x:v>193310</x:v>
      </x:c>
      <x:c r="D14" s="16" t="n">
        <x:f>D11-D12-D13</x:f>
        <x:v>183824</x:v>
      </x:c>
      <x:c r="E14" s="16" t="n">
        <x:f>E11-E12-E13</x:f>
        <x:v>174112</x:v>
      </x:c>
      <x:c r="F14" s="16" t="n">
        <x:f>F11-F12-F13</x:f>
        <x:v>162362.5</x:v>
      </x:c>
      <x:c r="G14" s="16" t="n">
        <x:f>G11-G12-G13</x:f>
        <x:v>152954</x:v>
      </x:c>
      <x:c r="H14" s="16" t="n">
        <x:f>H11-H12-H13</x:f>
        <x:v>138915</x:v>
      </x:c>
      <x:c r="I14" s="16" t="n">
        <x:f>I11-I12-I13</x:f>
        <x:v>125483</x:v>
      </x:c>
      <x:c r="J14" s="16" t="n">
        <x:f>J11-J12-J13</x:f>
        <x:v>118258</x:v>
      </x:c>
      <x:c r="K14" s="16" t="n">
        <x:f>K11-K12-K13</x:f>
        <x:v>115360</x:v>
      </x:c>
      <x:c r="L14" s="16" t="n">
        <x:f>L11-L12-L13</x:f>
        <x:v>127345.5</x:v>
      </x:c>
      <x:c r="M14" s="16" t="n">
        <x:f>M11-M12-M13</x:f>
        <x:v>-70049</x:v>
      </x:c>
      <x:c r="N14" s="16" t="n">
        <x:f>SUM(B14:M14)</x:f>
        <x:v>1628174.5</x:v>
      </x:c>
    </x:row>
    <x:row r="15" ht="14" customHeight="1">
      <x:c r="A15" s="1" t="str">
        <x:v>Sonstige betriebliche Erträge</x:v>
      </x:c>
      <x:c r="B15" s="8" t="n">
        <x:f>-SUM('Kontenwerte'!C47)</x:f>
        <x:v>0</x:v>
      </x:c>
      <x:c r="C15" s="8" t="n">
        <x:f>-SUM('Kontenwerte'!D47)</x:f>
        <x:v>0</x:v>
      </x:c>
      <x:c r="D15" s="8" t="n">
        <x:f>-SUM('Kontenwerte'!E47)</x:f>
        <x:v>0</x:v>
      </x:c>
      <x:c r="E15" s="8" t="n">
        <x:f>-SUM('Kontenwerte'!F47)</x:f>
        <x:v>0</x:v>
      </x:c>
      <x:c r="F15" s="8" t="n">
        <x:f>-SUM('Kontenwerte'!G47)</x:f>
        <x:v>0</x:v>
      </x:c>
      <x:c r="G15" s="8" t="n">
        <x:f>-SUM('Kontenwerte'!H47)</x:f>
        <x:v>0</x:v>
      </x:c>
      <x:c r="H15" s="8" t="n">
        <x:f>-SUM('Kontenwerte'!I47)</x:f>
        <x:v>0</x:v>
      </x:c>
      <x:c r="I15" s="8" t="n">
        <x:f>-SUM('Kontenwerte'!J47)</x:f>
        <x:v>0</x:v>
      </x:c>
      <x:c r="J15" s="8" t="n">
        <x:f>-SUM('Kontenwerte'!K47)</x:f>
        <x:v>0</x:v>
      </x:c>
      <x:c r="K15" s="8" t="n">
        <x:f>-SUM('Kontenwerte'!L47)</x:f>
        <x:v>0</x:v>
      </x:c>
      <x:c r="L15" s="8" t="n">
        <x:f>-SUM('Kontenwerte'!M47)</x:f>
        <x:v>0</x:v>
      </x:c>
      <x:c r="M15" s="8" t="n">
        <x:f>-SUM('Kontenwerte'!N47)</x:f>
        <x:v>0</x:v>
      </x:c>
      <x:c r="N15" s="8" t="n">
        <x:f>SUM(B15:M15)</x:f>
        <x:v>0</x:v>
      </x:c>
    </x:row>
    <x:row r="16" ht="14" customHeight="1">
      <x:c r="A16" s="1" t="str">
        <x:v>Bruttogehälter</x:v>
      </x:c>
      <x:c r="B16" s="8" t="n">
        <x:f>SUM('Kontenwerte'!C50)</x:f>
        <x:v>87500</x:v>
      </x:c>
      <x:c r="C16" s="8" t="n">
        <x:f>SUM('Kontenwerte'!D50)</x:f>
        <x:v>87500</x:v>
      </x:c>
      <x:c r="D16" s="8" t="n">
        <x:f>SUM('Kontenwerte'!E50)</x:f>
        <x:v>87500</x:v>
      </x:c>
      <x:c r="E16" s="8" t="n">
        <x:f>SUM('Kontenwerte'!F50)</x:f>
        <x:v>87500</x:v>
      </x:c>
      <x:c r="F16" s="8" t="n">
        <x:f>SUM('Kontenwerte'!G50)</x:f>
        <x:v>87500</x:v>
      </x:c>
      <x:c r="G16" s="8" t="n">
        <x:f>SUM('Kontenwerte'!H50)</x:f>
        <x:v>87500</x:v>
      </x:c>
      <x:c r="H16" s="8" t="n">
        <x:f>SUM('Kontenwerte'!I50)</x:f>
        <x:v>89000</x:v>
      </x:c>
      <x:c r="I16" s="8" t="n">
        <x:f>SUM('Kontenwerte'!J50)</x:f>
        <x:v>89000</x:v>
      </x:c>
      <x:c r="J16" s="8" t="n">
        <x:f>SUM('Kontenwerte'!K50)</x:f>
        <x:v>89000</x:v>
      </x:c>
      <x:c r="K16" s="8" t="n">
        <x:f>SUM('Kontenwerte'!L50)</x:f>
        <x:v>89000</x:v>
      </x:c>
      <x:c r="L16" s="8" t="n">
        <x:f>SUM('Kontenwerte'!M50)</x:f>
        <x:v>89000</x:v>
      </x:c>
      <x:c r="M16" s="8" t="n">
        <x:f>SUM('Kontenwerte'!N50)</x:f>
        <x:v>89000</x:v>
      </x:c>
      <x:c r="N16" s="8" t="n">
        <x:f>SUM(B16:M16)</x:f>
        <x:v>1059000</x:v>
      </x:c>
    </x:row>
    <x:row r="17" ht="14" customHeight="1">
      <x:c r="A17" s="1" t="str">
        <x:v>Arbeitgeberanteile Sozialversicherung</x:v>
      </x:c>
      <x:c r="B17" s="8" t="n">
        <x:f>SUM('Kontenwerte'!C51)</x:f>
        <x:v>19000</x:v>
      </x:c>
      <x:c r="C17" s="8" t="n">
        <x:f>SUM('Kontenwerte'!D51)</x:f>
        <x:v>19000</x:v>
      </x:c>
      <x:c r="D17" s="8" t="n">
        <x:f>SUM('Kontenwerte'!E51)</x:f>
        <x:v>19000</x:v>
      </x:c>
      <x:c r="E17" s="8" t="n">
        <x:f>SUM('Kontenwerte'!F51)</x:f>
        <x:v>19000</x:v>
      </x:c>
      <x:c r="F17" s="8" t="n">
        <x:f>SUM('Kontenwerte'!G51)</x:f>
        <x:v>19000</x:v>
      </x:c>
      <x:c r="G17" s="8" t="n">
        <x:f>SUM('Kontenwerte'!H51)</x:f>
        <x:v>19000</x:v>
      </x:c>
      <x:c r="H17" s="8" t="n">
        <x:f>SUM('Kontenwerte'!I51)</x:f>
        <x:v>19000</x:v>
      </x:c>
      <x:c r="I17" s="8" t="n">
        <x:f>SUM('Kontenwerte'!J51)</x:f>
        <x:v>19000</x:v>
      </x:c>
      <x:c r="J17" s="8" t="n">
        <x:f>SUM('Kontenwerte'!K51)</x:f>
        <x:v>19000</x:v>
      </x:c>
      <x:c r="K17" s="8" t="n">
        <x:f>SUM('Kontenwerte'!L51)</x:f>
        <x:v>19000</x:v>
      </x:c>
      <x:c r="L17" s="8" t="n">
        <x:f>SUM('Kontenwerte'!M51)</x:f>
        <x:v>19000</x:v>
      </x:c>
      <x:c r="M17" s="8" t="n">
        <x:f>SUM('Kontenwerte'!N51)</x:f>
        <x:v>19000</x:v>
      </x:c>
      <x:c r="N17" s="8" t="n">
        <x:f>SUM(B17:M17)</x:f>
        <x:v>228000</x:v>
      </x:c>
    </x:row>
    <x:row r="18" ht="14" customHeight="1">
      <x:c r="A18" s="15" t="str">
        <x:v>Personalaufwand</x:v>
      </x:c>
      <x:c r="B18" s="16" t="n">
        <x:f>SUM(B16:B17)</x:f>
        <x:v>106500</x:v>
      </x:c>
      <x:c r="C18" s="16" t="n">
        <x:f>SUM(C16:C17)</x:f>
        <x:v>106500</x:v>
      </x:c>
      <x:c r="D18" s="16" t="n">
        <x:f>SUM(D16:D17)</x:f>
        <x:v>106500</x:v>
      </x:c>
      <x:c r="E18" s="16" t="n">
        <x:f>SUM(E16:E17)</x:f>
        <x:v>106500</x:v>
      </x:c>
      <x:c r="F18" s="16" t="n">
        <x:f>SUM(F16:F17)</x:f>
        <x:v>106500</x:v>
      </x:c>
      <x:c r="G18" s="16" t="n">
        <x:f>SUM(G16:G17)</x:f>
        <x:v>106500</x:v>
      </x:c>
      <x:c r="H18" s="16" t="n">
        <x:f>SUM(H16:H17)</x:f>
        <x:v>108000</x:v>
      </x:c>
      <x:c r="I18" s="16" t="n">
        <x:f>SUM(I16:I17)</x:f>
        <x:v>108000</x:v>
      </x:c>
      <x:c r="J18" s="16" t="n">
        <x:f>SUM(J16:J17)</x:f>
        <x:v>108000</x:v>
      </x:c>
      <x:c r="K18" s="16" t="n">
        <x:f>SUM(K16:K17)</x:f>
        <x:v>108000</x:v>
      </x:c>
      <x:c r="L18" s="16" t="n">
        <x:f>SUM(L16:L17)</x:f>
        <x:v>108000</x:v>
      </x:c>
      <x:c r="M18" s="16" t="n">
        <x:f>SUM(M16:M17)</x:f>
        <x:v>108000</x:v>
      </x:c>
      <x:c r="N18" s="16" t="n">
        <x:f>SUM(B18:M18)</x:f>
        <x:v>1287000</x:v>
      </x:c>
    </x:row>
    <x:row r="19" ht="14" customHeight="1">
      <x:c r="A19" s="1" t="str">
        <x:v>Raumkosten Nürnberg und Erlangen</x:v>
      </x:c>
      <x:c r="B19" s="8" t="n">
        <x:f>SUM('Kontenwerte'!C53,'Kontenwerte'!C54)</x:f>
        <x:v>14000</x:v>
      </x:c>
      <x:c r="C19" s="8" t="n">
        <x:f>SUM('Kontenwerte'!D53,'Kontenwerte'!D54)</x:f>
        <x:v>14000</x:v>
      </x:c>
      <x:c r="D19" s="8" t="n">
        <x:f>SUM('Kontenwerte'!E53,'Kontenwerte'!E54)</x:f>
        <x:v>14000</x:v>
      </x:c>
      <x:c r="E19" s="8" t="n">
        <x:f>SUM('Kontenwerte'!F53,'Kontenwerte'!F54)</x:f>
        <x:v>14000</x:v>
      </x:c>
      <x:c r="F19" s="8" t="n">
        <x:f>SUM('Kontenwerte'!G53,'Kontenwerte'!G54)</x:f>
        <x:v>14000</x:v>
      </x:c>
      <x:c r="G19" s="8" t="n">
        <x:f>SUM('Kontenwerte'!H53,'Kontenwerte'!H54)</x:f>
        <x:v>14000</x:v>
      </x:c>
      <x:c r="H19" s="8" t="n">
        <x:f>SUM('Kontenwerte'!I53,'Kontenwerte'!I54)</x:f>
        <x:v>14000</x:v>
      </x:c>
      <x:c r="I19" s="8" t="n">
        <x:f>SUM('Kontenwerte'!J53,'Kontenwerte'!J54)</x:f>
        <x:v>14000</x:v>
      </x:c>
      <x:c r="J19" s="8" t="n">
        <x:f>SUM('Kontenwerte'!K53,'Kontenwerte'!K54)</x:f>
        <x:v>14000</x:v>
      </x:c>
      <x:c r="K19" s="8" t="n">
        <x:f>SUM('Kontenwerte'!L53,'Kontenwerte'!L54)</x:f>
        <x:v>14000</x:v>
      </x:c>
      <x:c r="L19" s="8" t="n">
        <x:f>SUM('Kontenwerte'!M53,'Kontenwerte'!M54)</x:f>
        <x:v>14000</x:v>
      </x:c>
      <x:c r="M19" s="8" t="n">
        <x:f>SUM('Kontenwerte'!N53,'Kontenwerte'!N54)</x:f>
        <x:v>14000</x:v>
      </x:c>
      <x:c r="N19" s="8" t="n">
        <x:f>SUM(B19:M19)</x:f>
        <x:v>168000</x:v>
      </x:c>
    </x:row>
    <x:row r="20" ht="14" customHeight="1">
      <x:c r="A20" s="1" t="str">
        <x:v>Strom und Kühlung</x:v>
      </x:c>
      <x:c r="B20" s="8" t="n">
        <x:f>SUM('Kontenwerte'!C55)</x:f>
        <x:v>6000</x:v>
      </x:c>
      <x:c r="C20" s="8" t="n">
        <x:f>SUM('Kontenwerte'!D55)</x:f>
        <x:v>6000</x:v>
      </x:c>
      <x:c r="D20" s="8" t="n">
        <x:f>SUM('Kontenwerte'!E55)</x:f>
        <x:v>6000</x:v>
      </x:c>
      <x:c r="E20" s="8" t="n">
        <x:f>SUM('Kontenwerte'!F55)</x:f>
        <x:v>6000</x:v>
      </x:c>
      <x:c r="F20" s="8" t="n">
        <x:f>SUM('Kontenwerte'!G55)</x:f>
        <x:v>6000</x:v>
      </x:c>
      <x:c r="G20" s="8" t="n">
        <x:f>SUM('Kontenwerte'!H55)</x:f>
        <x:v>6000</x:v>
      </x:c>
      <x:c r="H20" s="8" t="n">
        <x:f>SUM('Kontenwerte'!I55)</x:f>
        <x:v>6000</x:v>
      </x:c>
      <x:c r="I20" s="8" t="n">
        <x:f>SUM('Kontenwerte'!J55)</x:f>
        <x:v>6000</x:v>
      </x:c>
      <x:c r="J20" s="8" t="n">
        <x:f>SUM('Kontenwerte'!K55)</x:f>
        <x:v>6000</x:v>
      </x:c>
      <x:c r="K20" s="8" t="n">
        <x:f>SUM('Kontenwerte'!L55)</x:f>
        <x:v>6000</x:v>
      </x:c>
      <x:c r="L20" s="8" t="n">
        <x:f>SUM('Kontenwerte'!M55)</x:f>
        <x:v>6000</x:v>
      </x:c>
      <x:c r="M20" s="8" t="n">
        <x:f>SUM('Kontenwerte'!N55)</x:f>
        <x:v>6000</x:v>
      </x:c>
      <x:c r="N20" s="8" t="n">
        <x:f>SUM(B20:M20)</x:f>
        <x:v>72000</x:v>
      </x:c>
    </x:row>
    <x:row r="21" ht="14" customHeight="1">
      <x:c r="A21" s="1" t="str">
        <x:v>Versicherungen</x:v>
      </x:c>
      <x:c r="B21" s="8" t="n">
        <x:f>SUM('Kontenwerte'!C56)</x:f>
        <x:v>2500</x:v>
      </x:c>
      <x:c r="C21" s="8" t="n">
        <x:f>SUM('Kontenwerte'!D56)</x:f>
        <x:v>2500</x:v>
      </x:c>
      <x:c r="D21" s="8" t="n">
        <x:f>SUM('Kontenwerte'!E56)</x:f>
        <x:v>2500</x:v>
      </x:c>
      <x:c r="E21" s="8" t="n">
        <x:f>SUM('Kontenwerte'!F56)</x:f>
        <x:v>2500</x:v>
      </x:c>
      <x:c r="F21" s="8" t="n">
        <x:f>SUM('Kontenwerte'!G56)</x:f>
        <x:v>2500</x:v>
      </x:c>
      <x:c r="G21" s="8" t="n">
        <x:f>SUM('Kontenwerte'!H56)</x:f>
        <x:v>2500</x:v>
      </x:c>
      <x:c r="H21" s="8" t="n">
        <x:f>SUM('Kontenwerte'!I56)</x:f>
        <x:v>2500</x:v>
      </x:c>
      <x:c r="I21" s="8" t="n">
        <x:f>SUM('Kontenwerte'!J56)</x:f>
        <x:v>2500</x:v>
      </x:c>
      <x:c r="J21" s="8" t="n">
        <x:f>SUM('Kontenwerte'!K56)</x:f>
        <x:v>2500</x:v>
      </x:c>
      <x:c r="K21" s="8" t="n">
        <x:f>SUM('Kontenwerte'!L56)</x:f>
        <x:v>2500</x:v>
      </x:c>
      <x:c r="L21" s="8" t="n">
        <x:f>SUM('Kontenwerte'!M56)</x:f>
        <x:v>2500</x:v>
      </x:c>
      <x:c r="M21" s="8" t="n">
        <x:f>SUM('Kontenwerte'!N56)</x:f>
        <x:v>2500</x:v>
      </x:c>
      <x:c r="N21" s="8" t="n">
        <x:f>SUM(B21:M21)</x:f>
        <x:v>30000</x:v>
      </x:c>
    </x:row>
    <x:row r="22" ht="14" customHeight="1">
      <x:c r="A22" s="1" t="str">
        <x:v>Lagerbetrieb und Reinigung</x:v>
      </x:c>
      <x:c r="B22" s="8" t="n">
        <x:f>SUM('Kontenwerte'!C57)</x:f>
        <x:v>6500</x:v>
      </x:c>
      <x:c r="C22" s="8" t="n">
        <x:f>SUM('Kontenwerte'!D57)</x:f>
        <x:v>6500</x:v>
      </x:c>
      <x:c r="D22" s="8" t="n">
        <x:f>SUM('Kontenwerte'!E57)</x:f>
        <x:v>6500</x:v>
      </x:c>
      <x:c r="E22" s="8" t="n">
        <x:f>SUM('Kontenwerte'!F57)</x:f>
        <x:v>6500</x:v>
      </x:c>
      <x:c r="F22" s="8" t="n">
        <x:f>SUM('Kontenwerte'!G57)</x:f>
        <x:v>6500</x:v>
      </x:c>
      <x:c r="G22" s="8" t="n">
        <x:f>SUM('Kontenwerte'!H57)</x:f>
        <x:v>6500</x:v>
      </x:c>
      <x:c r="H22" s="8" t="n">
        <x:f>SUM('Kontenwerte'!I57)</x:f>
        <x:v>6500</x:v>
      </x:c>
      <x:c r="I22" s="8" t="n">
        <x:f>SUM('Kontenwerte'!J57)</x:f>
        <x:v>6500</x:v>
      </x:c>
      <x:c r="J22" s="8" t="n">
        <x:f>SUM('Kontenwerte'!K57)</x:f>
        <x:v>6500</x:v>
      </x:c>
      <x:c r="K22" s="8" t="n">
        <x:f>SUM('Kontenwerte'!L57)</x:f>
        <x:v>6500</x:v>
      </x:c>
      <x:c r="L22" s="8" t="n">
        <x:f>SUM('Kontenwerte'!M57)</x:f>
        <x:v>6500</x:v>
      </x:c>
      <x:c r="M22" s="8" t="n">
        <x:f>SUM('Kontenwerte'!N57)</x:f>
        <x:v>6500</x:v>
      </x:c>
      <x:c r="N22" s="8" t="n">
        <x:f>SUM(B22:M22)</x:f>
        <x:v>78000</x:v>
      </x:c>
    </x:row>
    <x:row r="23" ht="14" customHeight="1">
      <x:c r="A23" s="1" t="str">
        <x:v>Reparaturen und Wartung</x:v>
      </x:c>
      <x:c r="B23" s="8" t="n">
        <x:f>SUM('Kontenwerte'!C58)</x:f>
        <x:v>3200</x:v>
      </x:c>
      <x:c r="C23" s="8" t="n">
        <x:f>SUM('Kontenwerte'!D58)</x:f>
        <x:v>3200</x:v>
      </x:c>
      <x:c r="D23" s="8" t="n">
        <x:f>SUM('Kontenwerte'!E58)</x:f>
        <x:v>3200</x:v>
      </x:c>
      <x:c r="E23" s="8" t="n">
        <x:f>SUM('Kontenwerte'!F58)</x:f>
        <x:v>3200</x:v>
      </x:c>
      <x:c r="F23" s="8" t="n">
        <x:f>SUM('Kontenwerte'!G58)</x:f>
        <x:v>3200</x:v>
      </x:c>
      <x:c r="G23" s="8" t="n">
        <x:f>SUM('Kontenwerte'!H58)</x:f>
        <x:v>3200</x:v>
      </x:c>
      <x:c r="H23" s="8" t="n">
        <x:f>SUM('Kontenwerte'!I58)</x:f>
        <x:v>3200</x:v>
      </x:c>
      <x:c r="I23" s="8" t="n">
        <x:f>SUM('Kontenwerte'!J58)</x:f>
        <x:v>3200</x:v>
      </x:c>
      <x:c r="J23" s="8" t="n">
        <x:f>SUM('Kontenwerte'!K58)</x:f>
        <x:v>3200</x:v>
      </x:c>
      <x:c r="K23" s="8" t="n">
        <x:f>SUM('Kontenwerte'!L58)</x:f>
        <x:v>3200</x:v>
      </x:c>
      <x:c r="L23" s="8" t="n">
        <x:f>SUM('Kontenwerte'!M58)</x:f>
        <x:v>3200</x:v>
      </x:c>
      <x:c r="M23" s="8" t="n">
        <x:f>SUM('Kontenwerte'!N58)</x:f>
        <x:v>3200</x:v>
      </x:c>
      <x:c r="N23" s="8" t="n">
        <x:f>SUM(B23:M23)</x:f>
        <x:v>38400</x:v>
      </x:c>
    </x:row>
    <x:row r="24" ht="14" customHeight="1">
      <x:c r="A24" s="1" t="str">
        <x:v>Marketing und Messen</x:v>
      </x:c>
      <x:c r="B24" s="8" t="n">
        <x:f>SUM('Kontenwerte'!C59)</x:f>
        <x:v>5000</x:v>
      </x:c>
      <x:c r="C24" s="8" t="n">
        <x:f>SUM('Kontenwerte'!D59)</x:f>
        <x:v>5000</x:v>
      </x:c>
      <x:c r="D24" s="8" t="n">
        <x:f>SUM('Kontenwerte'!E59)</x:f>
        <x:v>5000</x:v>
      </x:c>
      <x:c r="E24" s="8" t="n">
        <x:f>SUM('Kontenwerte'!F59)</x:f>
        <x:v>5000</x:v>
      </x:c>
      <x:c r="F24" s="8" t="n">
        <x:f>SUM('Kontenwerte'!G59)</x:f>
        <x:v>5000</x:v>
      </x:c>
      <x:c r="G24" s="8" t="n">
        <x:f>SUM('Kontenwerte'!H59)</x:f>
        <x:v>5000</x:v>
      </x:c>
      <x:c r="H24" s="8" t="n">
        <x:f>SUM('Kontenwerte'!I59)</x:f>
        <x:v>5000</x:v>
      </x:c>
      <x:c r="I24" s="8" t="n">
        <x:f>SUM('Kontenwerte'!J59)</x:f>
        <x:v>5000</x:v>
      </x:c>
      <x:c r="J24" s="8" t="n">
        <x:f>SUM('Kontenwerte'!K59)</x:f>
        <x:v>5000</x:v>
      </x:c>
      <x:c r="K24" s="8" t="n">
        <x:f>SUM('Kontenwerte'!L59)</x:f>
        <x:v>5000</x:v>
      </x:c>
      <x:c r="L24" s="8" t="n">
        <x:f>SUM('Kontenwerte'!M59)</x:f>
        <x:v>5000</x:v>
      </x:c>
      <x:c r="M24" s="8" t="n">
        <x:f>SUM('Kontenwerte'!N59)</x:f>
        <x:v>5000</x:v>
      </x:c>
      <x:c r="N24" s="8" t="n">
        <x:f>SUM(B24:M24)</x:f>
        <x:v>60000</x:v>
      </x:c>
    </x:row>
    <x:row r="25" ht="14" customHeight="1">
      <x:c r="A25" s="1" t="str">
        <x:v>Reisekosten</x:v>
      </x:c>
      <x:c r="B25" s="8" t="n">
        <x:f>SUM('Kontenwerte'!C60)</x:f>
        <x:v>1500</x:v>
      </x:c>
      <x:c r="C25" s="8" t="n">
        <x:f>SUM('Kontenwerte'!D60)</x:f>
        <x:v>1500</x:v>
      </x:c>
      <x:c r="D25" s="8" t="n">
        <x:f>SUM('Kontenwerte'!E60)</x:f>
        <x:v>1500</x:v>
      </x:c>
      <x:c r="E25" s="8" t="n">
        <x:f>SUM('Kontenwerte'!F60)</x:f>
        <x:v>1500</x:v>
      </x:c>
      <x:c r="F25" s="8" t="n">
        <x:f>SUM('Kontenwerte'!G60)</x:f>
        <x:v>1500</x:v>
      </x:c>
      <x:c r="G25" s="8" t="n">
        <x:f>SUM('Kontenwerte'!H60)</x:f>
        <x:v>1500</x:v>
      </x:c>
      <x:c r="H25" s="8" t="n">
        <x:f>SUM('Kontenwerte'!I60)</x:f>
        <x:v>1500</x:v>
      </x:c>
      <x:c r="I25" s="8" t="n">
        <x:f>SUM('Kontenwerte'!J60)</x:f>
        <x:v>1500</x:v>
      </x:c>
      <x:c r="J25" s="8" t="n">
        <x:f>SUM('Kontenwerte'!K60)</x:f>
        <x:v>1500</x:v>
      </x:c>
      <x:c r="K25" s="8" t="n">
        <x:f>SUM('Kontenwerte'!L60)</x:f>
        <x:v>1500</x:v>
      </x:c>
      <x:c r="L25" s="8" t="n">
        <x:f>SUM('Kontenwerte'!M60)</x:f>
        <x:v>1500</x:v>
      </x:c>
      <x:c r="M25" s="8" t="n">
        <x:f>SUM('Kontenwerte'!N60)</x:f>
        <x:v>1500</x:v>
      </x:c>
      <x:c r="N25" s="8" t="n">
        <x:f>SUM(B25:M25)</x:f>
        <x:v>18000</x:v>
      </x:c>
    </x:row>
    <x:row r="26" ht="14" customHeight="1">
      <x:c r="A26" s="1" t="str">
        <x:v>Ausgangsfrachten</x:v>
      </x:c>
      <x:c r="B26" s="8" t="n">
        <x:f>SUM('Kontenwerte'!C61,'Kontenwerte'!C62)</x:f>
        <x:v>29500</x:v>
      </x:c>
      <x:c r="C26" s="8" t="n">
        <x:f>SUM('Kontenwerte'!D61,'Kontenwerte'!D62)</x:f>
        <x:v>29500</x:v>
      </x:c>
      <x:c r="D26" s="8" t="n">
        <x:f>SUM('Kontenwerte'!E61,'Kontenwerte'!E62)</x:f>
        <x:v>29500</x:v>
      </x:c>
      <x:c r="E26" s="8" t="n">
        <x:f>SUM('Kontenwerte'!F61,'Kontenwerte'!F62)</x:f>
        <x:v>29500</x:v>
      </x:c>
      <x:c r="F26" s="8" t="n">
        <x:f>SUM('Kontenwerte'!G61,'Kontenwerte'!G62)</x:f>
        <x:v>29500</x:v>
      </x:c>
      <x:c r="G26" s="8" t="n">
        <x:f>SUM('Kontenwerte'!H61,'Kontenwerte'!H62)</x:f>
        <x:v>29500</x:v>
      </x:c>
      <x:c r="H26" s="8" t="n">
        <x:f>SUM('Kontenwerte'!I61,'Kontenwerte'!I62)</x:f>
        <x:v>29500</x:v>
      </x:c>
      <x:c r="I26" s="8" t="n">
        <x:f>SUM('Kontenwerte'!J61,'Kontenwerte'!J62)</x:f>
        <x:v>29500</x:v>
      </x:c>
      <x:c r="J26" s="8" t="n">
        <x:f>SUM('Kontenwerte'!K61,'Kontenwerte'!K62)</x:f>
        <x:v>29500</x:v>
      </x:c>
      <x:c r="K26" s="8" t="n">
        <x:f>SUM('Kontenwerte'!L61,'Kontenwerte'!L62)</x:f>
        <x:v>29500</x:v>
      </x:c>
      <x:c r="L26" s="8" t="n">
        <x:f>SUM('Kontenwerte'!M61,'Kontenwerte'!M62)</x:f>
        <x:v>29500</x:v>
      </x:c>
      <x:c r="M26" s="8" t="n">
        <x:f>SUM('Kontenwerte'!N61,'Kontenwerte'!N62)</x:f>
        <x:v>29500</x:v>
      </x:c>
      <x:c r="N26" s="8" t="n">
        <x:f>SUM(B26:M26)</x:f>
        <x:v>354000</x:v>
      </x:c>
    </x:row>
    <x:row r="27" ht="14" customHeight="1">
      <x:c r="A27" s="1" t="str">
        <x:v>Telekommunikation und IT</x:v>
      </x:c>
      <x:c r="B27" s="8" t="n">
        <x:f>SUM('Kontenwerte'!C63)</x:f>
        <x:v>4500</x:v>
      </x:c>
      <x:c r="C27" s="8" t="n">
        <x:f>SUM('Kontenwerte'!D63)</x:f>
        <x:v>4500</x:v>
      </x:c>
      <x:c r="D27" s="8" t="n">
        <x:f>SUM('Kontenwerte'!E63)</x:f>
        <x:v>4500</x:v>
      </x:c>
      <x:c r="E27" s="8" t="n">
        <x:f>SUM('Kontenwerte'!F63)</x:f>
        <x:v>4500</x:v>
      </x:c>
      <x:c r="F27" s="8" t="n">
        <x:f>SUM('Kontenwerte'!G63)</x:f>
        <x:v>4500</x:v>
      </x:c>
      <x:c r="G27" s="8" t="n">
        <x:f>SUM('Kontenwerte'!H63)</x:f>
        <x:v>4500</x:v>
      </x:c>
      <x:c r="H27" s="8" t="n">
        <x:f>SUM('Kontenwerte'!I63)</x:f>
        <x:v>1500</x:v>
      </x:c>
      <x:c r="I27" s="8" t="n">
        <x:f>SUM('Kontenwerte'!J63)</x:f>
        <x:v>1500</x:v>
      </x:c>
      <x:c r="J27" s="8" t="n">
        <x:f>SUM('Kontenwerte'!K63)</x:f>
        <x:v>1500</x:v>
      </x:c>
      <x:c r="K27" s="8" t="n">
        <x:f>SUM('Kontenwerte'!L63)</x:f>
        <x:v>1500</x:v>
      </x:c>
      <x:c r="L27" s="8" t="n">
        <x:f>SUM('Kontenwerte'!M63)</x:f>
        <x:v>1500</x:v>
      </x:c>
      <x:c r="M27" s="8" t="n">
        <x:f>SUM('Kontenwerte'!N63)</x:f>
        <x:v>1500</x:v>
      </x:c>
      <x:c r="N27" s="8" t="n">
        <x:f>SUM(B27:M27)</x:f>
        <x:v>36000</x:v>
      </x:c>
    </x:row>
    <x:row r="28" ht="14" customHeight="1">
      <x:c r="A28" s="1" t="str">
        <x:v>Rechtsberatung und Buchführung</x:v>
      </x:c>
      <x:c r="B28" s="8" t="n">
        <x:f>SUM('Kontenwerte'!C64)</x:f>
        <x:v>4500</x:v>
      </x:c>
      <x:c r="C28" s="8" t="n">
        <x:f>SUM('Kontenwerte'!D64)</x:f>
        <x:v>4500</x:v>
      </x:c>
      <x:c r="D28" s="8" t="n">
        <x:f>SUM('Kontenwerte'!E64)</x:f>
        <x:v>4500</x:v>
      </x:c>
      <x:c r="E28" s="8" t="n">
        <x:f>SUM('Kontenwerte'!F64)</x:f>
        <x:v>4500</x:v>
      </x:c>
      <x:c r="F28" s="8" t="n">
        <x:f>SUM('Kontenwerte'!G64)</x:f>
        <x:v>4500</x:v>
      </x:c>
      <x:c r="G28" s="8" t="n">
        <x:f>SUM('Kontenwerte'!H64)</x:f>
        <x:v>4500</x:v>
      </x:c>
      <x:c r="H28" s="8" t="n">
        <x:f>SUM('Kontenwerte'!I64)</x:f>
        <x:v>4500</x:v>
      </x:c>
      <x:c r="I28" s="8" t="n">
        <x:f>SUM('Kontenwerte'!J64)</x:f>
        <x:v>4500</x:v>
      </x:c>
      <x:c r="J28" s="8" t="n">
        <x:f>SUM('Kontenwerte'!K64)</x:f>
        <x:v>4500</x:v>
      </x:c>
      <x:c r="K28" s="8" t="n">
        <x:f>SUM('Kontenwerte'!L64)</x:f>
        <x:v>4500</x:v>
      </x:c>
      <x:c r="L28" s="8" t="n">
        <x:f>SUM('Kontenwerte'!M64)</x:f>
        <x:v>4500</x:v>
      </x:c>
      <x:c r="M28" s="8" t="n">
        <x:f>SUM('Kontenwerte'!N64)</x:f>
        <x:v>4500</x:v>
      </x:c>
      <x:c r="N28" s="8" t="n">
        <x:f>SUM(B28:M28)</x:f>
        <x:v>54000</x:v>
      </x:c>
    </x:row>
    <x:row r="29" ht="14" customHeight="1">
      <x:c r="A29" s="1" t="str">
        <x:v>Labor und Qualitätssicherung</x:v>
      </x:c>
      <x:c r="B29" s="8" t="n">
        <x:f>SUM('Kontenwerte'!C65)</x:f>
        <x:v>6000</x:v>
      </x:c>
      <x:c r="C29" s="8" t="n">
        <x:f>SUM('Kontenwerte'!D65)</x:f>
        <x:v>6000</x:v>
      </x:c>
      <x:c r="D29" s="8" t="n">
        <x:f>SUM('Kontenwerte'!E65)</x:f>
        <x:v>6000</x:v>
      </x:c>
      <x:c r="E29" s="8" t="n">
        <x:f>SUM('Kontenwerte'!F65)</x:f>
        <x:v>6000</x:v>
      </x:c>
      <x:c r="F29" s="8" t="n">
        <x:f>SUM('Kontenwerte'!G65)</x:f>
        <x:v>6000</x:v>
      </x:c>
      <x:c r="G29" s="8" t="n">
        <x:f>SUM('Kontenwerte'!H65)</x:f>
        <x:v>6000</x:v>
      </x:c>
      <x:c r="H29" s="8" t="n">
        <x:f>SUM('Kontenwerte'!I65)</x:f>
        <x:v>6000</x:v>
      </x:c>
      <x:c r="I29" s="8" t="n">
        <x:f>SUM('Kontenwerte'!J65)</x:f>
        <x:v>6000</x:v>
      </x:c>
      <x:c r="J29" s="8" t="n">
        <x:f>SUM('Kontenwerte'!K65)</x:f>
        <x:v>6000</x:v>
      </x:c>
      <x:c r="K29" s="8" t="n">
        <x:f>SUM('Kontenwerte'!L65)</x:f>
        <x:v>6000</x:v>
      </x:c>
      <x:c r="L29" s="8" t="n">
        <x:f>SUM('Kontenwerte'!M65)</x:f>
        <x:v>6000</x:v>
      </x:c>
      <x:c r="M29" s="8" t="n">
        <x:f>SUM('Kontenwerte'!N65)</x:f>
        <x:v>6000</x:v>
      </x:c>
      <x:c r="N29" s="8" t="n">
        <x:f>SUM(B29:M29)</x:f>
        <x:v>72000</x:v>
      </x:c>
    </x:row>
    <x:row r="30" ht="14" customHeight="1">
      <x:c r="A30" s="1" t="str">
        <x:v>Bürobedarf und übriger Aufwand</x:v>
      </x:c>
      <x:c r="B30" s="8" t="n">
        <x:f>SUM('Kontenwerte'!C66)</x:f>
        <x:v>2000</x:v>
      </x:c>
      <x:c r="C30" s="8" t="n">
        <x:f>SUM('Kontenwerte'!D66)</x:f>
        <x:v>2000</x:v>
      </x:c>
      <x:c r="D30" s="8" t="n">
        <x:f>SUM('Kontenwerte'!E66)</x:f>
        <x:v>2000</x:v>
      </x:c>
      <x:c r="E30" s="8" t="n">
        <x:f>SUM('Kontenwerte'!F66)</x:f>
        <x:v>2000</x:v>
      </x:c>
      <x:c r="F30" s="8" t="n">
        <x:f>SUM('Kontenwerte'!G66)</x:f>
        <x:v>2000</x:v>
      </x:c>
      <x:c r="G30" s="8" t="n">
        <x:f>SUM('Kontenwerte'!H66)</x:f>
        <x:v>2000</x:v>
      </x:c>
      <x:c r="H30" s="8" t="n">
        <x:f>SUM('Kontenwerte'!I66)</x:f>
        <x:v>2000</x:v>
      </x:c>
      <x:c r="I30" s="8" t="n">
        <x:f>SUM('Kontenwerte'!J66)</x:f>
        <x:v>2000</x:v>
      </x:c>
      <x:c r="J30" s="8" t="n">
        <x:f>SUM('Kontenwerte'!K66)</x:f>
        <x:v>2000</x:v>
      </x:c>
      <x:c r="K30" s="8" t="n">
        <x:f>SUM('Kontenwerte'!L66)</x:f>
        <x:v>2000</x:v>
      </x:c>
      <x:c r="L30" s="8" t="n">
        <x:f>SUM('Kontenwerte'!M66)</x:f>
        <x:v>2000</x:v>
      </x:c>
      <x:c r="M30" s="8" t="n">
        <x:f>SUM('Kontenwerte'!N66)</x:f>
        <x:v>2000</x:v>
      </x:c>
      <x:c r="N30" s="8" t="n">
        <x:f>SUM(B30:M30)</x:f>
        <x:v>24000</x:v>
      </x:c>
    </x:row>
    <x:row r="31" ht="14" customHeight="1">
      <x:c r="A31" s="1" t="str">
        <x:v>Zuführung Rückstellungen</x:v>
      </x:c>
      <x:c r="B31" s="8" t="n">
        <x:f>SUM('Kontenwerte'!C67)</x:f>
        <x:v>0</x:v>
      </x:c>
      <x:c r="C31" s="8" t="n">
        <x:f>SUM('Kontenwerte'!D67)</x:f>
        <x:v>0</x:v>
      </x:c>
      <x:c r="D31" s="8" t="n">
        <x:f>SUM('Kontenwerte'!E67)</x:f>
        <x:v>0</x:v>
      </x:c>
      <x:c r="E31" s="8" t="n">
        <x:f>SUM('Kontenwerte'!F67)</x:f>
        <x:v>0</x:v>
      </x:c>
      <x:c r="F31" s="8" t="n">
        <x:f>SUM('Kontenwerte'!G67)</x:f>
        <x:v>0</x:v>
      </x:c>
      <x:c r="G31" s="8" t="n">
        <x:f>SUM('Kontenwerte'!H67)</x:f>
        <x:v>0</x:v>
      </x:c>
      <x:c r="H31" s="8" t="n">
        <x:f>SUM('Kontenwerte'!I67)</x:f>
        <x:v>0</x:v>
      </x:c>
      <x:c r="I31" s="8" t="n">
        <x:f>SUM('Kontenwerte'!J67)</x:f>
        <x:v>0</x:v>
      </x:c>
      <x:c r="J31" s="8" t="n">
        <x:f>SUM('Kontenwerte'!K67)</x:f>
        <x:v>0</x:v>
      </x:c>
      <x:c r="K31" s="8" t="n">
        <x:f>SUM('Kontenwerte'!L67)</x:f>
        <x:v>0</x:v>
      </x:c>
      <x:c r="L31" s="8" t="n">
        <x:f>SUM('Kontenwerte'!M67)</x:f>
        <x:v>0</x:v>
      </x:c>
      <x:c r="M31" s="8" t="n">
        <x:f>SUM('Kontenwerte'!N67)</x:f>
        <x:v>18000</x:v>
      </x:c>
      <x:c r="N31" s="8" t="n">
        <x:f>SUM(B31:M31)</x:f>
        <x:v>18000</x:v>
      </x:c>
    </x:row>
    <x:row r="32" ht="14" customHeight="1">
      <x:c r="A32" s="1" t="str">
        <x:v>Bankgebühren</x:v>
      </x:c>
      <x:c r="B32" s="8" t="n">
        <x:f>SUM('Kontenwerte'!C68)</x:f>
        <x:v>750</x:v>
      </x:c>
      <x:c r="C32" s="8" t="n">
        <x:f>SUM('Kontenwerte'!D68)</x:f>
        <x:v>750</x:v>
      </x:c>
      <x:c r="D32" s="8" t="n">
        <x:f>SUM('Kontenwerte'!E68)</x:f>
        <x:v>750</x:v>
      </x:c>
      <x:c r="E32" s="8" t="n">
        <x:f>SUM('Kontenwerte'!F68)</x:f>
        <x:v>750</x:v>
      </x:c>
      <x:c r="F32" s="8" t="n">
        <x:f>SUM('Kontenwerte'!G68)</x:f>
        <x:v>750</x:v>
      </x:c>
      <x:c r="G32" s="8" t="n">
        <x:f>SUM('Kontenwerte'!H68)</x:f>
        <x:v>750</x:v>
      </x:c>
      <x:c r="H32" s="8" t="n">
        <x:f>SUM('Kontenwerte'!I68)</x:f>
        <x:v>750</x:v>
      </x:c>
      <x:c r="I32" s="8" t="n">
        <x:f>SUM('Kontenwerte'!J68)</x:f>
        <x:v>750</x:v>
      </x:c>
      <x:c r="J32" s="8" t="n">
        <x:f>SUM('Kontenwerte'!K68)</x:f>
        <x:v>750</x:v>
      </x:c>
      <x:c r="K32" s="8" t="n">
        <x:f>SUM('Kontenwerte'!L68)</x:f>
        <x:v>750</x:v>
      </x:c>
      <x:c r="L32" s="8" t="n">
        <x:f>SUM('Kontenwerte'!M68)</x:f>
        <x:v>750</x:v>
      </x:c>
      <x:c r="M32" s="8" t="n">
        <x:f>SUM('Kontenwerte'!N68)</x:f>
        <x:v>750</x:v>
      </x:c>
      <x:c r="N32" s="8" t="n">
        <x:f>SUM(B32:M32)</x:f>
        <x:v>9000</x:v>
      </x:c>
    </x:row>
    <x:row r="33" ht="14" customHeight="1">
      <x:c r="A33" s="1" t="str">
        <x:v>Zuführung Einzelwertberichtigungen</x:v>
      </x:c>
      <x:c r="B33" s="8" t="n">
        <x:f>SUM('Kontenwerte'!C69)</x:f>
        <x:v>0</x:v>
      </x:c>
      <x:c r="C33" s="8" t="n">
        <x:f>SUM('Kontenwerte'!D69)</x:f>
        <x:v>0</x:v>
      </x:c>
      <x:c r="D33" s="8" t="n">
        <x:f>SUM('Kontenwerte'!E69)</x:f>
        <x:v>0</x:v>
      </x:c>
      <x:c r="E33" s="8" t="n">
        <x:f>SUM('Kontenwerte'!F69)</x:f>
        <x:v>0</x:v>
      </x:c>
      <x:c r="F33" s="8" t="n">
        <x:f>SUM('Kontenwerte'!G69)</x:f>
        <x:v>0</x:v>
      </x:c>
      <x:c r="G33" s="8" t="n">
        <x:f>SUM('Kontenwerte'!H69)</x:f>
        <x:v>0</x:v>
      </x:c>
      <x:c r="H33" s="8" t="n">
        <x:f>SUM('Kontenwerte'!I69)</x:f>
        <x:v>0</x:v>
      </x:c>
      <x:c r="I33" s="8" t="n">
        <x:f>SUM('Kontenwerte'!J69)</x:f>
        <x:v>0</x:v>
      </x:c>
      <x:c r="J33" s="8" t="n">
        <x:f>SUM('Kontenwerte'!K69)</x:f>
        <x:v>0</x:v>
      </x:c>
      <x:c r="K33" s="8" t="n">
        <x:f>SUM('Kontenwerte'!L69)</x:f>
        <x:v>0</x:v>
      </x:c>
      <x:c r="L33" s="8" t="n">
        <x:f>SUM('Kontenwerte'!M69)</x:f>
        <x:v>0</x:v>
      </x:c>
      <x:c r="M33" s="8" t="n">
        <x:f>SUM('Kontenwerte'!N69)</x:f>
        <x:v>100000</x:v>
      </x:c>
      <x:c r="N33" s="8" t="n">
        <x:f>SUM(B33:M33)</x:f>
        <x:v>100000</x:v>
      </x:c>
    </x:row>
    <x:row r="34" ht="14" customHeight="1">
      <x:c r="A34" s="15" t="str">
        <x:v>Sonstiger betrieblicher Aufwand</x:v>
      </x:c>
      <x:c r="B34" s="16" t="n">
        <x:f>SUM(B19:B33)</x:f>
        <x:v>85950</x:v>
      </x:c>
      <x:c r="C34" s="16" t="n">
        <x:f>SUM(C19:C33)</x:f>
        <x:v>85950</x:v>
      </x:c>
      <x:c r="D34" s="16" t="n">
        <x:f>SUM(D19:D33)</x:f>
        <x:v>85950</x:v>
      </x:c>
      <x:c r="E34" s="16" t="n">
        <x:f>SUM(E19:E33)</x:f>
        <x:v>85950</x:v>
      </x:c>
      <x:c r="F34" s="16" t="n">
        <x:f>SUM(F19:F33)</x:f>
        <x:v>85950</x:v>
      </x:c>
      <x:c r="G34" s="16" t="n">
        <x:f>SUM(G19:G33)</x:f>
        <x:v>85950</x:v>
      </x:c>
      <x:c r="H34" s="16" t="n">
        <x:f>SUM(H19:H33)</x:f>
        <x:v>82950</x:v>
      </x:c>
      <x:c r="I34" s="16" t="n">
        <x:f>SUM(I19:I33)</x:f>
        <x:v>82950</x:v>
      </x:c>
      <x:c r="J34" s="16" t="n">
        <x:f>SUM(J19:J33)</x:f>
        <x:v>82950</x:v>
      </x:c>
      <x:c r="K34" s="16" t="n">
        <x:f>SUM(K19:K33)</x:f>
        <x:v>82950</x:v>
      </x:c>
      <x:c r="L34" s="16" t="n">
        <x:f>SUM(L19:L33)</x:f>
        <x:v>82950</x:v>
      </x:c>
      <x:c r="M34" s="16" t="n">
        <x:f>SUM(M19:M33)</x:f>
        <x:v>200950</x:v>
      </x:c>
      <x:c r="N34" s="16" t="n">
        <x:f>SUM(B34:M34)</x:f>
        <x:v>1131400</x:v>
      </x:c>
    </x:row>
    <x:row r="35" ht="14" customHeight="1">
      <x:c r="A35" s="15" t="str">
        <x:v>Ergebnis vor Abschreibungen und Zinsen</x:v>
      </x:c>
      <x:c r="B35" s="16" t="n">
        <x:f>B14+B15-B18-B34</x:f>
        <x:v>13849.5</x:v>
      </x:c>
      <x:c r="C35" s="16" t="n">
        <x:f>C14+C15-C18-C34</x:f>
        <x:v>860</x:v>
      </x:c>
      <x:c r="D35" s="16" t="n">
        <x:f>D14+D15-D18-D34</x:f>
        <x:v>-8626</x:v>
      </x:c>
      <x:c r="E35" s="16" t="n">
        <x:f>E14+E15-E18-E34</x:f>
        <x:v>-18338</x:v>
      </x:c>
      <x:c r="F35" s="16" t="n">
        <x:f>F14+F15-F18-F34</x:f>
        <x:v>-30087.5</x:v>
      </x:c>
      <x:c r="G35" s="16" t="n">
        <x:f>G14+G15-G18-G34</x:f>
        <x:v>-39496</x:v>
      </x:c>
      <x:c r="H35" s="16" t="n">
        <x:f>H14+H15-H18-H34</x:f>
        <x:v>-52035</x:v>
      </x:c>
      <x:c r="I35" s="16" t="n">
        <x:f>I14+I15-I18-I34</x:f>
        <x:v>-65467</x:v>
      </x:c>
      <x:c r="J35" s="16" t="n">
        <x:f>J14+J15-J18-J34</x:f>
        <x:v>-72692</x:v>
      </x:c>
      <x:c r="K35" s="16" t="n">
        <x:f>K14+K15-K18-K34</x:f>
        <x:v>-75590</x:v>
      </x:c>
      <x:c r="L35" s="16" t="n">
        <x:f>L14+L15-L18-L34</x:f>
        <x:v>-63604.5</x:v>
      </x:c>
      <x:c r="M35" s="16" t="n">
        <x:f>M14+M15-M18-M34</x:f>
        <x:v>-378999</x:v>
      </x:c>
      <x:c r="N35" s="16" t="n">
        <x:f>SUM(B35:M35)</x:f>
        <x:v>-790225.5</x:v>
      </x:c>
    </x:row>
    <x:row r="36" ht="14" customHeight="1">
      <x:c r="A36" s="1" t="str">
        <x:v>Abschreibungen</x:v>
      </x:c>
      <x:c r="B36" s="8" t="n">
        <x:f>SUM('Kontenwerte'!C52)</x:f>
        <x:v>7500</x:v>
      </x:c>
      <x:c r="C36" s="8" t="n">
        <x:f>SUM('Kontenwerte'!D52)</x:f>
        <x:v>7500</x:v>
      </x:c>
      <x:c r="D36" s="8" t="n">
        <x:f>SUM('Kontenwerte'!E52)</x:f>
        <x:v>7500</x:v>
      </x:c>
      <x:c r="E36" s="8" t="n">
        <x:f>SUM('Kontenwerte'!F52)</x:f>
        <x:v>7500</x:v>
      </x:c>
      <x:c r="F36" s="8" t="n">
        <x:f>SUM('Kontenwerte'!G52)</x:f>
        <x:v>7500</x:v>
      </x:c>
      <x:c r="G36" s="8" t="n">
        <x:f>SUM('Kontenwerte'!H52)</x:f>
        <x:v>7500</x:v>
      </x:c>
      <x:c r="H36" s="8" t="n">
        <x:f>SUM('Kontenwerte'!I52)</x:f>
        <x:v>7500</x:v>
      </x:c>
      <x:c r="I36" s="8" t="n">
        <x:f>SUM('Kontenwerte'!J52)</x:f>
        <x:v>7500</x:v>
      </x:c>
      <x:c r="J36" s="8" t="n">
        <x:f>SUM('Kontenwerte'!K52)</x:f>
        <x:v>7500</x:v>
      </x:c>
      <x:c r="K36" s="8" t="n">
        <x:f>SUM('Kontenwerte'!L52)</x:f>
        <x:v>7500</x:v>
      </x:c>
      <x:c r="L36" s="8" t="n">
        <x:f>SUM('Kontenwerte'!M52)</x:f>
        <x:v>7500</x:v>
      </x:c>
      <x:c r="M36" s="8" t="n">
        <x:f>SUM('Kontenwerte'!N52)</x:f>
        <x:v>7500</x:v>
      </x:c>
      <x:c r="N36" s="8" t="n">
        <x:f>SUM(B36:M36)</x:f>
        <x:v>90000</x:v>
      </x:c>
    </x:row>
    <x:row r="37" ht="14" customHeight="1">
      <x:c r="A37" s="15" t="str">
        <x:v>Betriebsergebnis</x:v>
      </x:c>
      <x:c r="B37" s="16" t="n">
        <x:f>B35-B36</x:f>
        <x:v>6349.5</x:v>
      </x:c>
      <x:c r="C37" s="16" t="n">
        <x:f>C35-C36</x:f>
        <x:v>-6640</x:v>
      </x:c>
      <x:c r="D37" s="16" t="n">
        <x:f>D35-D36</x:f>
        <x:v>-16126</x:v>
      </x:c>
      <x:c r="E37" s="16" t="n">
        <x:f>E35-E36</x:f>
        <x:v>-25838</x:v>
      </x:c>
      <x:c r="F37" s="16" t="n">
        <x:f>F35-F36</x:f>
        <x:v>-37587.5</x:v>
      </x:c>
      <x:c r="G37" s="16" t="n">
        <x:f>G35-G36</x:f>
        <x:v>-46996</x:v>
      </x:c>
      <x:c r="H37" s="16" t="n">
        <x:f>H35-H36</x:f>
        <x:v>-59535</x:v>
      </x:c>
      <x:c r="I37" s="16" t="n">
        <x:f>I35-I36</x:f>
        <x:v>-72967</x:v>
      </x:c>
      <x:c r="J37" s="16" t="n">
        <x:f>J35-J36</x:f>
        <x:v>-80192</x:v>
      </x:c>
      <x:c r="K37" s="16" t="n">
        <x:f>K35-K36</x:f>
        <x:v>-83090</x:v>
      </x:c>
      <x:c r="L37" s="16" t="n">
        <x:f>L35-L36</x:f>
        <x:v>-71104.5</x:v>
      </x:c>
      <x:c r="M37" s="16" t="n">
        <x:f>M35-M36</x:f>
        <x:v>-386499</x:v>
      </x:c>
      <x:c r="N37" s="16" t="n">
        <x:f>SUM(B37:M37)</x:f>
        <x:v>-880225.5</x:v>
      </x:c>
    </x:row>
    <x:row r="38" ht="14" customHeight="1">
      <x:c r="A38" s="1" t="str">
        <x:v>Zinsaufwand</x:v>
      </x:c>
      <x:c r="B38" s="8" t="n">
        <x:f>SUM('Kontenwerte'!C70,'Kontenwerte'!C71,'Kontenwerte'!C72)</x:f>
        <x:v>3950</x:v>
      </x:c>
      <x:c r="C38" s="8" t="n">
        <x:f>SUM('Kontenwerte'!D70,'Kontenwerte'!D71,'Kontenwerte'!D72)</x:f>
        <x:v>4050</x:v>
      </x:c>
      <x:c r="D38" s="8" t="n">
        <x:f>SUM('Kontenwerte'!E70,'Kontenwerte'!E71,'Kontenwerte'!E72)</x:f>
        <x:v>4250</x:v>
      </x:c>
      <x:c r="E38" s="8" t="n">
        <x:f>SUM('Kontenwerte'!F70,'Kontenwerte'!F71,'Kontenwerte'!F72)</x:f>
        <x:v>4450</x:v>
      </x:c>
      <x:c r="F38" s="8" t="n">
        <x:f>SUM('Kontenwerte'!G70,'Kontenwerte'!G71,'Kontenwerte'!G72)</x:f>
        <x:v>4750</x:v>
      </x:c>
      <x:c r="G38" s="8" t="n">
        <x:f>SUM('Kontenwerte'!H70,'Kontenwerte'!H71,'Kontenwerte'!H72)</x:f>
        <x:v>5050</x:v>
      </x:c>
      <x:c r="H38" s="8" t="n">
        <x:f>SUM('Kontenwerte'!I70,'Kontenwerte'!I71,'Kontenwerte'!I72)</x:f>
        <x:v>5250</x:v>
      </x:c>
      <x:c r="I38" s="8" t="n">
        <x:f>SUM('Kontenwerte'!J70,'Kontenwerte'!J71,'Kontenwerte'!J72)</x:f>
        <x:v>5450</x:v>
      </x:c>
      <x:c r="J38" s="8" t="n">
        <x:f>SUM('Kontenwerte'!K70,'Kontenwerte'!K71,'Kontenwerte'!K72)</x:f>
        <x:v>6150</x:v>
      </x:c>
      <x:c r="K38" s="8" t="n">
        <x:f>SUM('Kontenwerte'!L70,'Kontenwerte'!L71,'Kontenwerte'!L72)</x:f>
        <x:v>6450</x:v>
      </x:c>
      <x:c r="L38" s="8" t="n">
        <x:f>SUM('Kontenwerte'!M70,'Kontenwerte'!M71,'Kontenwerte'!M72)</x:f>
        <x:v>6850</x:v>
      </x:c>
      <x:c r="M38" s="8" t="n">
        <x:f>SUM('Kontenwerte'!N70,'Kontenwerte'!N71,'Kontenwerte'!N72)</x:f>
        <x:v>7350</x:v>
      </x:c>
      <x:c r="N38" s="8" t="n">
        <x:f>SUM(B38:M38)</x:f>
        <x:v>64000</x:v>
      </x:c>
    </x:row>
    <x:row r="39" ht="14" customHeight="1">
      <x:c r="A39" s="15" t="str">
        <x:v>Ergebnis vor Ertragsteuern</x:v>
      </x:c>
      <x:c r="B39" s="16" t="n">
        <x:f>B37-B38</x:f>
        <x:v>2399.5</x:v>
      </x:c>
      <x:c r="C39" s="16" t="n">
        <x:f>C37-C38</x:f>
        <x:v>-10690</x:v>
      </x:c>
      <x:c r="D39" s="16" t="n">
        <x:f>D37-D38</x:f>
        <x:v>-20376</x:v>
      </x:c>
      <x:c r="E39" s="16" t="n">
        <x:f>E37-E38</x:f>
        <x:v>-30288</x:v>
      </x:c>
      <x:c r="F39" s="16" t="n">
        <x:f>F37-F38</x:f>
        <x:v>-42337.5</x:v>
      </x:c>
      <x:c r="G39" s="16" t="n">
        <x:f>G37-G38</x:f>
        <x:v>-52046</x:v>
      </x:c>
      <x:c r="H39" s="16" t="n">
        <x:f>H37-H38</x:f>
        <x:v>-64785</x:v>
      </x:c>
      <x:c r="I39" s="16" t="n">
        <x:f>I37-I38</x:f>
        <x:v>-78417</x:v>
      </x:c>
      <x:c r="J39" s="16" t="n">
        <x:f>J37-J38</x:f>
        <x:v>-86342</x:v>
      </x:c>
      <x:c r="K39" s="16" t="n">
        <x:f>K37-K38</x:f>
        <x:v>-89540</x:v>
      </x:c>
      <x:c r="L39" s="16" t="n">
        <x:f>L37-L38</x:f>
        <x:v>-77954.5</x:v>
      </x:c>
      <x:c r="M39" s="16" t="n">
        <x:f>M37-M38</x:f>
        <x:v>-393849</x:v>
      </x:c>
      <x:c r="N39" s="16" t="n">
        <x:f>SUM(B39:M39)</x:f>
        <x:v>-944225.5</x:v>
      </x:c>
    </x:row>
    <x:row r="40" ht="14" customHeight="1">
      <x:c r="A40" s="1" t="str">
        <x:v>Ertragsteueraufwand</x:v>
      </x:c>
      <x:c r="B40" s="8" t="n">
        <x:f>SUM('Kontenwerte'!C73)</x:f>
        <x:v>0</x:v>
      </x:c>
      <x:c r="C40" s="8" t="n">
        <x:f>SUM('Kontenwerte'!D73)</x:f>
        <x:v>0</x:v>
      </x:c>
      <x:c r="D40" s="8" t="n">
        <x:f>SUM('Kontenwerte'!E73)</x:f>
        <x:v>0</x:v>
      </x:c>
      <x:c r="E40" s="8" t="n">
        <x:f>SUM('Kontenwerte'!F73)</x:f>
        <x:v>0</x:v>
      </x:c>
      <x:c r="F40" s="8" t="n">
        <x:f>SUM('Kontenwerte'!G73)</x:f>
        <x:v>0</x:v>
      </x:c>
      <x:c r="G40" s="8" t="n">
        <x:f>SUM('Kontenwerte'!H73)</x:f>
        <x:v>0</x:v>
      </x:c>
      <x:c r="H40" s="8" t="n">
        <x:f>SUM('Kontenwerte'!I73)</x:f>
        <x:v>0</x:v>
      </x:c>
      <x:c r="I40" s="8" t="n">
        <x:f>SUM('Kontenwerte'!J73)</x:f>
        <x:v>0</x:v>
      </x:c>
      <x:c r="J40" s="8" t="n">
        <x:f>SUM('Kontenwerte'!K73)</x:f>
        <x:v>0</x:v>
      </x:c>
      <x:c r="K40" s="8" t="n">
        <x:f>SUM('Kontenwerte'!L73)</x:f>
        <x:v>0</x:v>
      </x:c>
      <x:c r="L40" s="8" t="n">
        <x:f>SUM('Kontenwerte'!M73)</x:f>
        <x:v>0</x:v>
      </x:c>
      <x:c r="M40" s="8" t="n">
        <x:f>SUM('Kontenwerte'!N73)</x:f>
        <x:v>0</x:v>
      </x:c>
      <x:c r="N40" s="8" t="n">
        <x:f>SUM(B40:M40)</x:f>
        <x:v>0</x:v>
      </x:c>
    </x:row>
    <x:row r="41" ht="14" customHeight="1">
      <x:c r="A41" s="15" t="str">
        <x:v>Vorläufiges Jahresergebnis</x:v>
      </x:c>
      <x:c r="B41" s="16" t="n">
        <x:f>B39-B40</x:f>
        <x:v>2399.5</x:v>
      </x:c>
      <x:c r="C41" s="16" t="n">
        <x:f>C39-C40</x:f>
        <x:v>-10690</x:v>
      </x:c>
      <x:c r="D41" s="16" t="n">
        <x:f>D39-D40</x:f>
        <x:v>-20376</x:v>
      </x:c>
      <x:c r="E41" s="16" t="n">
        <x:f>E39-E40</x:f>
        <x:v>-30288</x:v>
      </x:c>
      <x:c r="F41" s="16" t="n">
        <x:f>F39-F40</x:f>
        <x:v>-42337.5</x:v>
      </x:c>
      <x:c r="G41" s="16" t="n">
        <x:f>G39-G40</x:f>
        <x:v>-52046</x:v>
      </x:c>
      <x:c r="H41" s="16" t="n">
        <x:f>H39-H40</x:f>
        <x:v>-64785</x:v>
      </x:c>
      <x:c r="I41" s="16" t="n">
        <x:f>I39-I40</x:f>
        <x:v>-78417</x:v>
      </x:c>
      <x:c r="J41" s="16" t="n">
        <x:f>J39-J40</x:f>
        <x:v>-86342</x:v>
      </x:c>
      <x:c r="K41" s="16" t="n">
        <x:f>K39-K40</x:f>
        <x:v>-89540</x:v>
      </x:c>
      <x:c r="L41" s="16" t="n">
        <x:f>L39-L40</x:f>
        <x:v>-77954.5</x:v>
      </x:c>
      <x:c r="M41" s="16" t="n">
        <x:f>M39-M40</x:f>
        <x:v>-393849</x:v>
      </x:c>
      <x:c r="N41" s="16" t="n">
        <x:f>SUM(B41:M41)</x:f>
        <x:v>-944225.5</x:v>
      </x:c>
    </x:row>
    <x:row r="42" ht="14" customHeight="1">
      <x:c r="A42" s="1" t="str">
        <x:v>Ergebnis in Prozent vom Nettoumsatz</x:v>
      </x:c>
      <x:c r="B42" s="10" t="n">
        <x:f>B41/B11</x:f>
        <x:v>0.0038382788130848595</x:v>
      </x:c>
      <x:c r="C42" s="10" t="n">
        <x:f>C41/C11</x:f>
        <x:v>-0.0179724277067922</x:v>
      </x:c>
      <x:c r="D42" s="10" t="n">
        <x:f>D41/D11</x:f>
        <x:v>-0.03547044999564801</x:v>
      </x:c>
      <x:c r="E42" s="10" t="n">
        <x:f>E41/E11</x:f>
        <x:v>-0.055666237823929425</x:v>
      </x:c>
      <x:c r="F42" s="10" t="n">
        <x:f>F41/F11</x:f>
        <x:v>-0.08083532219570405</x:v>
      </x:c>
      <x:c r="G42" s="10" t="n">
        <x:f>G41/G11</x:f>
        <x:v>-0.10548439400081071</x:v>
      </x:c>
      <x:c r="H42" s="10" t="n">
        <x:f>H41/H11</x:f>
        <x:v>-0.13990929705215419</x:v>
      </x:c>
      <x:c r="I42" s="10" t="n">
        <x:f>I41/I11</x:f>
        <x:v>-0.18122717818349895</x:v>
      </x:c>
      <x:c r="J42" s="10" t="n">
        <x:f>J41/J11</x:f>
        <x:v>-0.2044323428436131</x:v>
      </x:c>
      <x:c r="K42" s="10" t="n">
        <x:f>K41/K11</x:f>
        <x:v>-0.21733009708737863</x:v>
      </x:c>
      <x:c r="L42" s="10" t="n">
        <x:f>L41/L11</x:f>
        <x:v>-0.16528039860065727</x:v>
      </x:c>
      <x:c r="M42" s="10" t="n">
        <x:f>M41/M11</x:f>
        <x:v>-0.8183025140245169</x:v>
      </x:c>
      <x:c r="N42" s="10" t="n">
        <x:f>N41/N11</x:f>
        <x:v>-0.15636237932005234</x:v>
      </x:c>
    </x:row>
    <x:row r="43" ht="14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 ht="14" customHeight="1">
      <x:c r="A44" s="1" t="str">
        <x:v>1 Datengrundlage</x:v>
      </x:c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 ht="14" customHeight="1">
      <x:c r="A45" s="1" t="str">
        <x:v>BWA aus Sachkonten, keine Einnahmenüberschussrechnung. Abschreibungen, Waren- und Forderungsbewertungen sind enthalten.</x:v>
      </x:c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 ht="14" customHeight="1">
      <x:c r="A46" s="1" t="str">
        <x:v>GuV vor Ergebnisabschluss. Umsatzsteuer steht auf Bilanzkonten. Lieferantenanzahlungen und Tilgungen sind kein Aufwand.</x:v>
      </x:c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 ht="14" customHeight="1">
      <x:c r="A47" s="1" t="str">
        <x:v>2024 enthält die nachgetragenen Abschlussbuchungen. 2025 ist der vorläufige Buchungsstand, kein festgestellter Jahresabschluss.</x:v>
      </x:c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 ht="14" customHeight="1">
      <x:c r="A48" s="1" t="str">
        <x:v>2 Abstimmung</x:v>
      </x:c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 ht="14" customHeight="1">
      <x:c r="A49" s="1" t="str">
        <x:v>Beträge in EUR. Kontenwerte übernehmen sämtliche Monatsbewegungen der gleichjährigen SuSa ohne externe Excel-Verknüpfungen.</x:v>
      </x:c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 ht="14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 ht="14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</x:sheetData>
  <x:pageMargins left="0.3" right="0.3" top="0.35" bottom="0.35" header="0.15" footer="0.15"/>
  <x:pageSetup paperSize="9" orientation="landscape" fitToWidth="1" fitToHeight="0"/>
</x:worksheet>
</file>

<file path=xl/worksheets/sheet3.xml><?xml version="1.0" encoding="utf-8"?>
<x:worksheet xmlns:x="http://schemas.openxmlformats.org/spreadsheetml/2006/main">
  <x:sheetPr>
    <x:pageSetUpPr fitToPage="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8.88999938964844" hidden="0" customWidth="1"/>
    <x:col min="2" max="2" width="12.890000343322754" hidden="0" customWidth="1"/>
    <x:col min="3" max="3" width="12.890000343322754" hidden="0" customWidth="1"/>
    <x:col min="4" max="4" width="12.890000343322754" hidden="0" customWidth="1"/>
    <x:col min="5" max="5" width="12.890000343322754" hidden="0" customWidth="1"/>
    <x:col min="6" max="6" width="12.890000343322754" hidden="0" customWidth="1"/>
    <x:col min="7" max="7" width="12.890000343322754" hidden="0" customWidth="1"/>
    <x:col min="8" max="8" width="12.890000343322754" hidden="0" customWidth="1"/>
    <x:col min="9" max="9" width="12.890000343322754" hidden="0" customWidth="1"/>
    <x:col min="10" max="10" width="12.890000343322754" hidden="0" customWidth="1"/>
    <x:col min="11" max="11" width="12.890000343322754" hidden="0" customWidth="1"/>
    <x:col min="12" max="12" width="12.890000343322754" hidden="0" customWidth="1"/>
    <x:col min="13" max="13" width="12.890000343322754" hidden="0" customWidth="1"/>
    <x:col min="14" max="14" width="12.890000343322754" hidden="0" customWidth="1"/>
  </x:cols>
  <x:sheetData>
    <x:row r="1" ht="24" customHeight="1">
      <x:c r="A1" s="2" t="str">
        <x:v>Bankbewegungen 2025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 ht="14" customHeight="1">
      <x:c r="A2" s="3" t="str">
        <x:v>Geschäftskonto 1800. EUR brutto einschließlich Umsatzsteuer, soweit im Zahlungsbetrag enthalten.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14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 ht="1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7" t="str">
        <x:v>Vorgang</x:v>
      </x:c>
      <x:c r="B5" s="7" t="str">
        <x:v>Jan</x:v>
      </x:c>
      <x:c r="C5" s="7" t="str">
        <x:v>Feb</x:v>
      </x:c>
      <x:c r="D5" s="7" t="str">
        <x:v>Mär</x:v>
      </x:c>
      <x:c r="E5" s="7" t="str">
        <x:v>Apr</x:v>
      </x:c>
      <x:c r="F5" s="7" t="str">
        <x:v>Mai</x:v>
      </x:c>
      <x:c r="G5" s="7" t="str">
        <x:v>Jun</x:v>
      </x:c>
      <x:c r="H5" s="7" t="str">
        <x:v>Jul</x:v>
      </x:c>
      <x:c r="I5" s="7" t="str">
        <x:v>Aug</x:v>
      </x:c>
      <x:c r="J5" s="7" t="str">
        <x:v>Sep</x:v>
      </x:c>
      <x:c r="K5" s="7" t="str">
        <x:v>Okt</x:v>
      </x:c>
      <x:c r="L5" s="7" t="str">
        <x:v>Nov</x:v>
      </x:c>
      <x:c r="M5" s="7" t="str">
        <x:v>Dez</x:v>
      </x:c>
      <x:c r="N5" s="7" t="str">
        <x:v>Jahr / Ende</x:v>
      </x:c>
    </x:row>
    <x:row r="6" ht="14" customHeight="1">
      <x:c r="A6" s="1" t="str">
        <x:v>Bankbestand Monatsbeginn</x:v>
      </x:c>
      <x:c r="B6" s="8" t="n">
        <x:f>'Kontenwerte'!P22</x:f>
        <x:v>219546.46</x:v>
      </x:c>
      <x:c r="C6" s="8" t="n">
        <x:f>B23</x:f>
        <x:v>206175.95</x:v>
      </x:c>
      <x:c r="D6" s="8" t="n">
        <x:f>C23</x:f>
        <x:v>133446.99999999997</x:v>
      </x:c>
      <x:c r="E6" s="8" t="n">
        <x:f>D23</x:f>
        <x:v>125827.02000000002</x:v>
      </x:c>
      <x:c r="F6" s="8" t="n">
        <x:f>E23</x:f>
        <x:v>37970.48000000001</x:v>
      </x:c>
      <x:c r="G6" s="8" t="n">
        <x:f>F23</x:f>
        <x:v>-43046.989999999976</x:v>
      </x:c>
      <x:c r="H6" s="8" t="n">
        <x:f>G23</x:f>
        <x:v>-152061.95999999996</x:v>
      </x:c>
      <x:c r="I6" s="8" t="n">
        <x:f>H23</x:f>
        <x:v>-218309.61</x:v>
      </x:c>
      <x:c r="J6" s="8" t="n">
        <x:f>I23</x:f>
        <x:v>-229665.09999999998</x:v>
      </x:c>
      <x:c r="K6" s="8" t="n">
        <x:f>J23</x:f>
        <x:v>-335470.23</x:v>
      </x:c>
      <x:c r="L6" s="8" t="n">
        <x:f>K23</x:f>
        <x:v>-426259.27999999997</x:v>
      </x:c>
      <x:c r="M6" s="8" t="n">
        <x:f>L23</x:f>
        <x:v>-512110.13</x:v>
      </x:c>
      <x:c r="N6" s="8" t="n">
        <x:f>B6</x:f>
        <x:v>219546.46</x:v>
      </x:c>
    </x:row>
    <x:row r="7" ht="14" customHeight="1">
      <x:c r="A7" s="1" t="str">
        <x:v>Kundenzahlungen</x:v>
      </x:c>
      <x:c r="B7" s="9" t="n">
        <x:v>626761.3</x:v>
      </x:c>
      <x:c r="C7" s="9" t="n">
        <x:v>564881.6</x:v>
      </x:c>
      <x:c r="D7" s="9" t="n">
        <x:v>553506.9</x:v>
      </x:c>
      <x:c r="E7" s="9" t="n">
        <x:v>511627.2</x:v>
      </x:c>
      <x:c r="F7" s="9" t="n">
        <x:v>470252.5</x:v>
      </x:c>
      <x:c r="G7" s="9" t="n">
        <x:v>478372.8</x:v>
      </x:c>
      <x:c r="H7" s="9" t="n">
        <x:v>466493.1</x:v>
      </x:c>
      <x:c r="I7" s="9" t="n">
        <x:v>404613.4</x:v>
      </x:c>
      <x:c r="J7" s="9" t="n">
        <x:v>393743.7</x:v>
      </x:c>
      <x:c r="K7" s="9" t="n">
        <x:v>382874</x:v>
      </x:c>
      <x:c r="L7" s="9" t="n">
        <x:v>445539.3</x:v>
      </x:c>
      <x:c r="M7" s="9" t="n">
        <x:v>525679.6</x:v>
      </x:c>
      <x:c r="N7" s="8" t="n">
        <x:f>SUM(B7:M7)</x:f>
        <x:v>5824345.399999999</x:v>
      </x:c>
    </x:row>
    <x:row r="8" ht="14" customHeight="1">
      <x:c r="A8" s="1" t="str">
        <x:v>Lieferantenzahlungen</x:v>
      </x:c>
      <x:c r="B8" s="9" t="n">
        <x:v>-512472.83</x:v>
      </x:c>
      <x:c r="C8" s="9" t="n">
        <x:v>-496499.45</x:v>
      </x:c>
      <x:c r="D8" s="9" t="n">
        <x:v>-415201.98</x:v>
      </x:c>
      <x:c r="E8" s="9" t="n">
        <x:v>-484538.52</x:v>
      </x:c>
      <x:c r="F8" s="9" t="n">
        <x:v>-434796.86</x:v>
      </x:c>
      <x:c r="G8" s="9" t="n">
        <x:v>-433817.79</x:v>
      </x:c>
      <x:c r="H8" s="9" t="n">
        <x:v>-416057.99</x:v>
      </x:c>
      <x:c r="I8" s="9" t="n">
        <x:v>-398464.96</x:v>
      </x:c>
      <x:c r="J8" s="9" t="n">
        <x:v>-375614.27</x:v>
      </x:c>
      <x:c r="K8" s="9" t="n">
        <x:v>-357066.93</x:v>
      </x:c>
      <x:c r="L8" s="9" t="n">
        <x:v>-377032.25</x:v>
      </x:c>
      <x:c r="M8" s="9" t="n">
        <x:v>-371165.82</x:v>
      </x:c>
      <x:c r="N8" s="8" t="n">
        <x:f>SUM(B8:M8)</x:f>
        <x:v>-5072729.65</x:v>
      </x:c>
    </x:row>
    <x:row r="9" ht="14" customHeight="1">
      <x:c r="A9" s="1" t="str">
        <x:v>Personalzahlung</x:v>
      </x:c>
      <x:c r="B9" s="9" t="n">
        <x:v>-106275</x:v>
      </x:c>
      <x:c r="C9" s="9" t="n">
        <x:v>-106500</x:v>
      </x:c>
      <x:c r="D9" s="9" t="n">
        <x:v>-106500</x:v>
      </x:c>
      <x:c r="E9" s="9" t="n">
        <x:v>-106500</x:v>
      </x:c>
      <x:c r="F9" s="9" t="n">
        <x:v>-106500</x:v>
      </x:c>
      <x:c r="G9" s="9" t="n">
        <x:v>-106500</x:v>
      </x:c>
      <x:c r="H9" s="9" t="n">
        <x:v>-107775</x:v>
      </x:c>
      <x:c r="I9" s="9" t="n">
        <x:v>-108000</x:v>
      </x:c>
      <x:c r="J9" s="9" t="n">
        <x:v>-108000</x:v>
      </x:c>
      <x:c r="K9" s="9" t="n">
        <x:v>-108000</x:v>
      </x:c>
      <x:c r="L9" s="9" t="n">
        <x:v>-108000</x:v>
      </x:c>
      <x:c r="M9" s="9" t="n">
        <x:v>-51000</x:v>
      </x:c>
      <x:c r="N9" s="8" t="n">
        <x:f>SUM(B9:M9)</x:f>
        <x:v>-1229550</x:v>
      </x:c>
    </x:row>
    <x:row r="10" ht="14" customHeight="1">
      <x:c r="A10" s="1" t="str">
        <x:v>Einfuhrumsatzsteuer</x:v>
      </x:c>
      <x:c r="B10" s="9" t="n">
        <x:v>-10992.52</x:v>
      </x:c>
      <x:c r="C10" s="9" t="n">
        <x:v>-10614.65</x:v>
      </x:c>
      <x:c r="D10" s="9" t="n">
        <x:v>-10347.4</x:v>
      </x:c>
      <x:c r="E10" s="9" t="n">
        <x:v>-10331.7</x:v>
      </x:c>
      <x:c r="F10" s="9" t="n">
        <x:v>-9628.13</x:v>
      </x:c>
      <x:c r="G10" s="9" t="n">
        <x:v>-9604.97</x:v>
      </x:c>
      <x:c r="H10" s="9" t="n">
        <x:v>-8711.72</x:v>
      </x:c>
      <x:c r="I10" s="9" t="n">
        <x:v>-8295.54</x:v>
      </x:c>
      <x:c r="J10" s="9" t="n">
        <x:v>-8464.66</x:v>
      </x:c>
      <x:c r="K10" s="9" t="n">
        <x:v>-7789.35</x:v>
      </x:c>
      <x:c r="L10" s="9" t="n">
        <x:v>-9207.9</x:v>
      </x:c>
      <x:c r="M10" s="9" t="n">
        <x:v>-7413.19</x:v>
      </x:c>
      <x:c r="N10" s="8" t="n">
        <x:f>SUM(B10:M10)</x:f>
        <x:v>-111401.73000000001</x:v>
      </x:c>
    </x:row>
    <x:row r="11" ht="14" customHeight="1">
      <x:c r="A11" s="1" t="str">
        <x:v>Umsatzsteuer</x:v>
      </x:c>
      <x:c r="B11" s="9" t="n">
        <x:v>3858.54</x:v>
      </x:c>
      <x:c r="C11" s="9" t="n">
        <x:v>12353.55</x:v>
      </x:c>
      <x:c r="D11" s="9" t="n">
        <x:v>12892.5</x:v>
      </x:c>
      <x:c r="E11" s="9" t="n">
        <x:v>16636.48</x:v>
      </x:c>
      <x:c r="F11" s="9" t="n">
        <x:v>14705.02</x:v>
      </x:c>
      <x:c r="G11" s="9" t="n">
        <x:v>13884.99</x:v>
      </x:c>
      <x:c r="H11" s="9" t="n">
        <x:v>15353.96</x:v>
      </x:c>
      <x:c r="I11" s="9" t="n">
        <x:v>14541.61</x:v>
      </x:c>
      <x:c r="J11" s="9" t="n">
        <x:v>14980.1</x:v>
      </x:c>
      <x:c r="K11" s="9" t="n">
        <x:v>15943.23</x:v>
      </x:c>
      <x:c r="L11" s="9" t="n">
        <x:v>0</x:v>
      </x:c>
      <x:c r="M11" s="9" t="n">
        <x:v>0</x:v>
      </x:c>
      <x:c r="N11" s="8" t="n">
        <x:f>SUM(B11:M11)</x:f>
        <x:v>135149.98</x:v>
      </x:c>
    </x:row>
    <x:row r="12" ht="14" customHeight="1">
      <x:c r="A12" s="1" t="str">
        <x:v>Vorauszahlung</x:v>
      </x:c>
      <x:c r="B12" s="9" t="n">
        <x:v>0</x:v>
      </x:c>
      <x:c r="C12" s="9" t="n">
        <x:v>0</x:v>
      </x:c>
      <x:c r="D12" s="9" t="n">
        <x:v>0</x:v>
      </x:c>
      <x:c r="E12" s="9" t="n">
        <x:v>0</x:v>
      </x:c>
      <x:c r="F12" s="9" t="n">
        <x:v>0</x:v>
      </x:c>
      <x:c r="G12" s="9" t="n">
        <x:v>0</x:v>
      </x:c>
      <x:c r="H12" s="9" t="n">
        <x:v>0</x:v>
      </x:c>
      <x:c r="I12" s="9" t="n">
        <x:v>0</x:v>
      </x:c>
      <x:c r="J12" s="9" t="n">
        <x:v>0</x:v>
      </x:c>
      <x:c r="K12" s="9" t="n">
        <x:v>0</x:v>
      </x:c>
      <x:c r="L12" s="9" t="n">
        <x:v>0</x:v>
      </x:c>
      <x:c r="M12" s="9" t="n">
        <x:v>-21420</x:v>
      </x:c>
      <x:c r="N12" s="8" t="n">
        <x:f>SUM(B12:M12)</x:f>
        <x:v>-21420</x:v>
      </x:c>
    </x:row>
    <x:row r="13" ht="14" customHeight="1">
      <x:c r="A13" s="1" t="str">
        <x:v>Investition</x:v>
      </x:c>
      <x:c r="B13" s="9" t="n">
        <x:v>0</x:v>
      </x:c>
      <x:c r="C13" s="9" t="n">
        <x:v>0</x:v>
      </x:c>
      <x:c r="D13" s="9" t="n">
        <x:v>-21420</x:v>
      </x:c>
      <x:c r="E13" s="9" t="n">
        <x:v>0</x:v>
      </x:c>
      <x:c r="F13" s="9" t="n">
        <x:v>0</x:v>
      </x:c>
      <x:c r="G13" s="9" t="n">
        <x:v>0</x:v>
      </x:c>
      <x:c r="H13" s="9" t="n">
        <x:v>0</x:v>
      </x:c>
      <x:c r="I13" s="9" t="n">
        <x:v>0</x:v>
      </x:c>
      <x:c r="J13" s="9" t="n">
        <x:v>0</x:v>
      </x:c>
      <x:c r="K13" s="9" t="n">
        <x:v>0</x:v>
      </x:c>
      <x:c r="L13" s="9" t="n">
        <x:v>0</x:v>
      </x:c>
      <x:c r="M13" s="9" t="n">
        <x:v>0</x:v>
      </x:c>
      <x:c r="N13" s="8" t="n">
        <x:f>SUM(B13:M13)</x:f>
        <x:v>-21420</x:v>
      </x:c>
    </x:row>
    <x:row r="14" ht="14" customHeight="1">
      <x:c r="A14" s="1" t="str">
        <x:v>Tilgung</x:v>
      </x:c>
      <x:c r="B14" s="9" t="n">
        <x:v>-10000</x:v>
      </x:c>
      <x:c r="C14" s="9" t="n">
        <x:v>-10000</x:v>
      </x:c>
      <x:c r="D14" s="9" t="n">
        <x:v>-10000</x:v>
      </x:c>
      <x:c r="E14" s="9" t="n">
        <x:v>-10000</x:v>
      </x:c>
      <x:c r="F14" s="9" t="n">
        <x:v>-10000</x:v>
      </x:c>
      <x:c r="G14" s="9" t="n">
        <x:v>-10000</x:v>
      </x:c>
      <x:c r="H14" s="9" t="n">
        <x:v>-10000</x:v>
      </x:c>
      <x:c r="I14" s="9" t="n">
        <x:v>-10000</x:v>
      </x:c>
      <x:c r="J14" s="9" t="n">
        <x:v>-10000</x:v>
      </x:c>
      <x:c r="K14" s="9" t="n">
        <x:v>-10000</x:v>
      </x:c>
      <x:c r="L14" s="9" t="n">
        <x:v>-10000</x:v>
      </x:c>
      <x:c r="M14" s="9" t="n">
        <x:v>-10000</x:v>
      </x:c>
      <x:c r="N14" s="8" t="n">
        <x:f>SUM(B14:M14)</x:f>
        <x:v>-120000</x:v>
      </x:c>
    </x:row>
    <x:row r="15" ht="14" customHeight="1">
      <x:c r="A15" s="1" t="str">
        <x:v>Zinsen</x:v>
      </x:c>
      <x:c r="B15" s="9" t="n">
        <x:v>-3950</x:v>
      </x:c>
      <x:c r="C15" s="9" t="n">
        <x:v>-4050</x:v>
      </x:c>
      <x:c r="D15" s="9" t="n">
        <x:v>-4250</x:v>
      </x:c>
      <x:c r="E15" s="9" t="n">
        <x:v>-4450</x:v>
      </x:c>
      <x:c r="F15" s="9" t="n">
        <x:v>-4750</x:v>
      </x:c>
      <x:c r="G15" s="9" t="n">
        <x:v>-5050</x:v>
      </x:c>
      <x:c r="H15" s="9" t="n">
        <x:v>-5250</x:v>
      </x:c>
      <x:c r="I15" s="9" t="n">
        <x:v>-5450</x:v>
      </x:c>
      <x:c r="J15" s="9" t="n">
        <x:v>-6150</x:v>
      </x:c>
      <x:c r="K15" s="9" t="n">
        <x:v>-6450</x:v>
      </x:c>
      <x:c r="L15" s="9" t="n">
        <x:v>-6850</x:v>
      </x:c>
      <x:c r="M15" s="9" t="n">
        <x:v>-7350</x:v>
      </x:c>
      <x:c r="N15" s="8" t="n">
        <x:f>SUM(B15:M15)</x:f>
        <x:v>-64000</x:v>
      </x:c>
    </x:row>
    <x:row r="16" ht="14" customHeight="1">
      <x:c r="A16" s="1" t="str">
        <x:v>Finanzierung</x:v>
      </x:c>
      <x:c r="B16" s="9" t="n">
        <x:v>0</x:v>
      </x:c>
      <x:c r="C16" s="9" t="n">
        <x:v>0</x:v>
      </x:c>
      <x:c r="D16" s="9" t="n">
        <x:v>0</x:v>
      </x:c>
      <x:c r="E16" s="9" t="n">
        <x:v>0</x:v>
      </x:c>
      <x:c r="F16" s="9" t="n">
        <x:v>0</x:v>
      </x:c>
      <x:c r="G16" s="9" t="n">
        <x:v>0</x:v>
      </x:c>
      <x:c r="H16" s="9" t="n">
        <x:v>0</x:v>
      </x:c>
      <x:c r="I16" s="9" t="n">
        <x:v>100000</x:v>
      </x:c>
      <x:c r="J16" s="9" t="n">
        <x:v>0</x:v>
      </x:c>
      <x:c r="K16" s="9" t="n">
        <x:v>0</x:v>
      </x:c>
      <x:c r="L16" s="9" t="n">
        <x:v>0</x:v>
      </x:c>
      <x:c r="M16" s="9" t="n">
        <x:v>0</x:v>
      </x:c>
      <x:c r="N16" s="8" t="n">
        <x:f>SUM(B16:M16)</x:f>
        <x:v>100000</x:v>
      </x:c>
    </x:row>
    <x:row r="17" ht="14" customHeight="1">
      <x:c r="A17" s="1" t="str">
        <x:v>Ertragsteuerzahlung</x:v>
      </x:c>
      <x:c r="B17" s="9" t="n">
        <x:v>0</x:v>
      </x:c>
      <x:c r="C17" s="9" t="n">
        <x:v>0</x:v>
      </x:c>
      <x:c r="D17" s="9" t="n">
        <x:v>-6000</x:v>
      </x:c>
      <x:c r="E17" s="9" t="n">
        <x:v>0</x:v>
      </x:c>
      <x:c r="F17" s="9" t="n">
        <x:v>0</x:v>
      </x:c>
      <x:c r="G17" s="9" t="n">
        <x:v>-6000</x:v>
      </x:c>
      <x:c r="H17" s="9" t="n">
        <x:v>0</x:v>
      </x:c>
      <x:c r="I17" s="9" t="n">
        <x:v>0</x:v>
      </x:c>
      <x:c r="J17" s="9" t="n">
        <x:v>-6000</x:v>
      </x:c>
      <x:c r="K17" s="9" t="n">
        <x:v>0</x:v>
      </x:c>
      <x:c r="L17" s="9" t="n">
        <x:v>0</x:v>
      </x:c>
      <x:c r="M17" s="9" t="n">
        <x:v>-6000</x:v>
      </x:c>
      <x:c r="N17" s="8" t="n">
        <x:f>SUM(B17:M17)</x:f>
        <x:v>-24000</x:v>
      </x:c>
    </x:row>
    <x:row r="18" ht="14" customHeight="1">
      <x:c r="A18" s="1" t="str">
        <x:v>Anzahlungen</x:v>
      </x:c>
      <x:c r="B18" s="9" t="n">
        <x:v>0</x:v>
      </x:c>
      <x:c r="C18" s="9" t="n">
        <x:v>0</x:v>
      </x:c>
      <x:c r="D18" s="9" t="n">
        <x:v>0</x:v>
      </x:c>
      <x:c r="E18" s="9" t="n">
        <x:v>0</x:v>
      </x:c>
      <x:c r="F18" s="9" t="n">
        <x:v>0</x:v>
      </x:c>
      <x:c r="G18" s="9" t="n">
        <x:v>-30000</x:v>
      </x:c>
      <x:c r="H18" s="9" t="n">
        <x:v>0</x:v>
      </x:c>
      <x:c r="I18" s="9" t="n">
        <x:v>0</x:v>
      </x:c>
      <x:c r="J18" s="9" t="n">
        <x:v>0</x:v>
      </x:c>
      <x:c r="K18" s="9" t="n">
        <x:v>0</x:v>
      </x:c>
      <x:c r="L18" s="9" t="n">
        <x:v>-20000</x:v>
      </x:c>
      <x:c r="M18" s="9" t="n">
        <x:v>0</x:v>
      </x:c>
      <x:c r="N18" s="8" t="n">
        <x:f>SUM(B18:M18)</x:f>
        <x:v>-50000</x:v>
      </x:c>
    </x:row>
    <x:row r="19" ht="14" customHeight="1">
      <x:c r="A19" s="1" t="str">
        <x:v>Sonstige Einzahlungen</x:v>
      </x:c>
      <x:c r="B19" s="9" t="n">
        <x:v>0</x:v>
      </x:c>
      <x:c r="C19" s="9" t="n">
        <x:v>0</x:v>
      </x:c>
      <x:c r="D19" s="9" t="n">
        <x:v>0</x:v>
      </x:c>
      <x:c r="E19" s="9" t="n">
        <x:v>0</x:v>
      </x:c>
      <x:c r="F19" s="9" t="n">
        <x:v>0</x:v>
      </x:c>
      <x:c r="G19" s="9" t="n">
        <x:v>0</x:v>
      </x:c>
      <x:c r="H19" s="9" t="n">
        <x:v>0</x:v>
      </x:c>
      <x:c r="I19" s="9" t="n">
        <x:v>0</x:v>
      </x:c>
      <x:c r="J19" s="9" t="n">
        <x:v>0</x:v>
      </x:c>
      <x:c r="K19" s="9" t="n">
        <x:v>0</x:v>
      </x:c>
      <x:c r="L19" s="9" t="n">
        <x:v>0</x:v>
      </x:c>
      <x:c r="M19" s="9" t="n">
        <x:v>0</x:v>
      </x:c>
      <x:c r="N19" s="8" t="n">
        <x:f>SUM(B19:M19)</x:f>
        <x:v>0</x:v>
      </x:c>
    </x:row>
    <x:row r="20" ht="14" customHeight="1">
      <x:c r="A20" s="1" t="str">
        <x:v>Sonstige Zahlung</x:v>
      </x:c>
      <x:c r="B20" s="9" t="n">
        <x:v>0</x:v>
      </x:c>
      <x:c r="C20" s="9" t="n">
        <x:v>-22000</x:v>
      </x:c>
      <x:c r="D20" s="9" t="n">
        <x:v>0</x:v>
      </x:c>
      <x:c r="E20" s="9" t="n">
        <x:v>0</x:v>
      </x:c>
      <x:c r="F20" s="9" t="n">
        <x:v>0</x:v>
      </x:c>
      <x:c r="G20" s="9" t="n">
        <x:v>0</x:v>
      </x:c>
      <x:c r="H20" s="9" t="n">
        <x:v>0</x:v>
      </x:c>
      <x:c r="I20" s="9" t="n">
        <x:v>0</x:v>
      </x:c>
      <x:c r="J20" s="9" t="n">
        <x:v>0</x:v>
      </x:c>
      <x:c r="K20" s="9" t="n">
        <x:v>0</x:v>
      </x:c>
      <x:c r="L20" s="9" t="n">
        <x:v>0</x:v>
      </x:c>
      <x:c r="M20" s="9" t="n">
        <x:v>0</x:v>
      </x:c>
      <x:c r="N20" s="8" t="n">
        <x:f>SUM(B20:M20)</x:f>
        <x:v>-22000</x:v>
      </x:c>
    </x:row>
    <x:row r="21" ht="14" customHeight="1">
      <x:c r="A21" s="1" t="str">
        <x:v>Kassenumbuchung</x:v>
      </x:c>
      <x:c r="B21" s="9" t="n">
        <x:v>-300</x:v>
      </x:c>
      <x:c r="C21" s="9" t="n">
        <x:v>-300</x:v>
      </x:c>
      <x:c r="D21" s="9" t="n">
        <x:v>-300</x:v>
      </x:c>
      <x:c r="E21" s="9" t="n">
        <x:v>-300</x:v>
      </x:c>
      <x:c r="F21" s="9" t="n">
        <x:v>-300</x:v>
      </x:c>
      <x:c r="G21" s="9" t="n">
        <x:v>-300</x:v>
      </x:c>
      <x:c r="H21" s="9" t="n">
        <x:v>-300</x:v>
      </x:c>
      <x:c r="I21" s="9" t="n">
        <x:v>-300</x:v>
      </x:c>
      <x:c r="J21" s="9" t="n">
        <x:v>-300</x:v>
      </x:c>
      <x:c r="K21" s="9" t="n">
        <x:v>-300</x:v>
      </x:c>
      <x:c r="L21" s="9" t="n">
        <x:v>-300</x:v>
      </x:c>
      <x:c r="M21" s="9" t="n">
        <x:v>-300</x:v>
      </x:c>
      <x:c r="N21" s="8" t="n">
        <x:f>SUM(B21:M21)</x:f>
        <x:v>-3600</x:v>
      </x:c>
    </x:row>
    <x:row r="22" ht="14" customHeight="1">
      <x:c r="A22" s="15" t="str">
        <x:v>Veränderung Geschäftskonto</x:v>
      </x:c>
      <x:c r="B22" s="16" t="n">
        <x:f>SUM(B7:B21)</x:f>
        <x:v>-13370.50999999997</x:v>
      </x:c>
      <x:c r="C22" s="16" t="n">
        <x:f>SUM(C7:C21)</x:f>
        <x:v>-72728.95000000004</x:v>
      </x:c>
      <x:c r="D22" s="16" t="n">
        <x:f>SUM(D7:D21)</x:f>
        <x:v>-7619.97999999996</x:v>
      </x:c>
      <x:c r="E22" s="16" t="n">
        <x:f>SUM(E7:E21)</x:f>
        <x:v>-87856.54000000001</x:v>
      </x:c>
      <x:c r="F22" s="16" t="n">
        <x:f>SUM(F7:F21)</x:f>
        <x:v>-81017.46999999999</x:v>
      </x:c>
      <x:c r="G22" s="16" t="n">
        <x:f>SUM(G7:G21)</x:f>
        <x:v>-109014.97</x:v>
      </x:c>
      <x:c r="H22" s="16" t="n">
        <x:f>SUM(H7:H21)</x:f>
        <x:v>-66247.65000000002</x:v>
      </x:c>
      <x:c r="I22" s="16" t="n">
        <x:f>SUM(I7:I21)</x:f>
        <x:v>-11355.490000000005</x:v>
      </x:c>
      <x:c r="J22" s="16" t="n">
        <x:f>SUM(J7:J21)</x:f>
        <x:v>-105805.13</x:v>
      </x:c>
      <x:c r="K22" s="16" t="n">
        <x:f>SUM(K7:K21)</x:f>
        <x:v>-90789.05</x:v>
      </x:c>
      <x:c r="L22" s="16" t="n">
        <x:f>SUM(L7:L21)</x:f>
        <x:v>-85850.85</x:v>
      </x:c>
      <x:c r="M22" s="16" t="n">
        <x:f>SUM(M7:M21)</x:f>
        <x:v>51030.58999999997</x:v>
      </x:c>
      <x:c r="N22" s="16" t="n">
        <x:f>SUM(B22:M22)</x:f>
        <x:v>-680626</x:v>
      </x:c>
    </x:row>
    <x:row r="23" ht="14" customHeight="1">
      <x:c r="A23" s="15" t="str">
        <x:v>Bankbestand Monatsende</x:v>
      </x:c>
      <x:c r="B23" s="16" t="n">
        <x:f>B6+B22</x:f>
        <x:v>206175.95</x:v>
      </x:c>
      <x:c r="C23" s="16" t="n">
        <x:f>C6+C22</x:f>
        <x:v>133446.99999999997</x:v>
      </x:c>
      <x:c r="D23" s="16" t="n">
        <x:f>D6+D22</x:f>
        <x:v>125827.02000000002</x:v>
      </x:c>
      <x:c r="E23" s="16" t="n">
        <x:f>E6+E22</x:f>
        <x:v>37970.48000000001</x:v>
      </x:c>
      <x:c r="F23" s="16" t="n">
        <x:f>F6+F22</x:f>
        <x:v>-43046.989999999976</x:v>
      </x:c>
      <x:c r="G23" s="16" t="n">
        <x:f>G6+G22</x:f>
        <x:v>-152061.95999999996</x:v>
      </x:c>
      <x:c r="H23" s="16" t="n">
        <x:f>H6+H22</x:f>
        <x:v>-218309.61</x:v>
      </x:c>
      <x:c r="I23" s="16" t="n">
        <x:f>I6+I22</x:f>
        <x:v>-229665.09999999998</x:v>
      </x:c>
      <x:c r="J23" s="16" t="n">
        <x:f>J6+J22</x:f>
        <x:v>-335470.23</x:v>
      </x:c>
      <x:c r="K23" s="16" t="n">
        <x:f>K6+K22</x:f>
        <x:v>-426259.27999999997</x:v>
      </x:c>
      <x:c r="L23" s="16" t="n">
        <x:f>L6+L22</x:f>
        <x:v>-512110.13</x:v>
      </x:c>
      <x:c r="M23" s="16" t="n">
        <x:f>M6+M22</x:f>
        <x:v>-461079.54000000004</x:v>
      </x:c>
      <x:c r="N23" s="16" t="n">
        <x:f>M23</x:f>
        <x:v>-461079.54000000004</x:v>
      </x:c>
    </x:row>
    <x:row r="24" ht="14" customHeight="1">
      <x:c r="A24" s="1" t="str">
        <x:v>Schlussbestand laut Sachkonto</x:v>
      </x:c>
      <x:c r="B24" s="8" t="n">
        <x:f>'Kontenwerte'!P22+SUM('Kontenwerte'!C22:C22)</x:f>
        <x:v>206175.94999999998</x:v>
      </x:c>
      <x:c r="C24" s="8" t="n">
        <x:f>'Kontenwerte'!P22+SUM('Kontenwerte'!C22:D22)</x:f>
        <x:v>133447</x:v>
      </x:c>
      <x:c r="D24" s="8" t="n">
        <x:f>'Kontenwerte'!P22+SUM('Kontenwerte'!C22:E22)</x:f>
        <x:v>125827.02</x:v>
      </x:c>
      <x:c r="E24" s="8" t="n">
        <x:f>'Kontenwerte'!P22+SUM('Kontenwerte'!C22:F22)</x:f>
        <x:v>37970.48000000001</x:v>
      </x:c>
      <x:c r="F24" s="8" t="n">
        <x:f>'Kontenwerte'!P22+SUM('Kontenwerte'!C22:G22)</x:f>
        <x:v>-43046.98999999996</x:v>
      </x:c>
      <x:c r="G24" s="8" t="n">
        <x:f>'Kontenwerte'!P22+SUM('Kontenwerte'!C22:H22)</x:f>
        <x:v>-152061.95999999993</x:v>
      </x:c>
      <x:c r="H24" s="8" t="n">
        <x:f>'Kontenwerte'!P22+SUM('Kontenwerte'!C22:I22)</x:f>
        <x:v>-218309.60999999996</x:v>
      </x:c>
      <x:c r="I24" s="8" t="n">
        <x:f>'Kontenwerte'!P22+SUM('Kontenwerte'!C22:J22)</x:f>
        <x:v>-229665.09999999995</x:v>
      </x:c>
      <x:c r="J24" s="8" t="n">
        <x:f>'Kontenwerte'!P22+SUM('Kontenwerte'!C22:K22)</x:f>
        <x:v>-335470.23</x:v>
      </x:c>
      <x:c r="K24" s="8" t="n">
        <x:f>'Kontenwerte'!P22+SUM('Kontenwerte'!C22:L22)</x:f>
        <x:v>-426259.28</x:v>
      </x:c>
      <x:c r="L24" s="8" t="n">
        <x:f>'Kontenwerte'!P22+SUM('Kontenwerte'!C22:M22)</x:f>
        <x:v>-512110.13</x:v>
      </x:c>
      <x:c r="M24" s="8" t="n">
        <x:f>'Kontenwerte'!P22+SUM('Kontenwerte'!C22:N22)</x:f>
        <x:v>-461079.54000000004</x:v>
      </x:c>
      <x:c r="N24" s="8" t="n">
        <x:f>M24</x:f>
        <x:v>-461079.54000000004</x:v>
      </x:c>
    </x:row>
    <x:row r="25" ht="14" customHeight="1">
      <x:c r="A25" s="15" t="str">
        <x:v>Abstimmungsdifferenz</x:v>
      </x:c>
      <x:c r="B25" s="16" t="n">
        <x:f>ROUND(B23-B24,2)</x:f>
        <x:v>0</x:v>
      </x:c>
      <x:c r="C25" s="16" t="n">
        <x:f>ROUND(C23-C24,2)</x:f>
        <x:v>0</x:v>
      </x:c>
      <x:c r="D25" s="16" t="n">
        <x:f>ROUND(D23-D24,2)</x:f>
        <x:v>0</x:v>
      </x:c>
      <x:c r="E25" s="16" t="n">
        <x:f>ROUND(E23-E24,2)</x:f>
        <x:v>0</x:v>
      </x:c>
      <x:c r="F25" s="16" t="n">
        <x:f>ROUND(F23-F24,2)</x:f>
        <x:v>0</x:v>
      </x:c>
      <x:c r="G25" s="16" t="n">
        <x:f>ROUND(G23-G24,2)</x:f>
        <x:v>0</x:v>
      </x:c>
      <x:c r="H25" s="16" t="n">
        <x:f>ROUND(H23-H24,2)</x:f>
        <x:v>0</x:v>
      </x:c>
      <x:c r="I25" s="16" t="n">
        <x:f>ROUND(I23-I24,2)</x:f>
        <x:v>0</x:v>
      </x:c>
      <x:c r="J25" s="16" t="n">
        <x:f>ROUND(J23-J24,2)</x:f>
        <x:v>0</x:v>
      </x:c>
      <x:c r="K25" s="16" t="n">
        <x:f>ROUND(K23-K24,2)</x:f>
        <x:v>0</x:v>
      </x:c>
      <x:c r="L25" s="16" t="n">
        <x:f>ROUND(L23-L24,2)</x:f>
        <x:v>0</x:v>
      </x:c>
      <x:c r="M25" s="16" t="n">
        <x:f>ROUND(M23-M24,2)</x:f>
        <x:v>0</x:v>
      </x:c>
      <x:c r="N25" s="16" t="n">
        <x:f>SUM(B25:M25)</x:f>
        <x:v>0</x:v>
      </x:c>
    </x:row>
    <x:row r="26" ht="14" customHeight="1">
      <x:c r="A26" s="1"/>
      <x:c r="B26" s="8"/>
      <x:c r="C26" s="8"/>
      <x:c r="D26" s="8"/>
      <x:c r="E26" s="8"/>
      <x:c r="F26" s="8"/>
      <x:c r="G26" s="8"/>
      <x:c r="H26" s="8"/>
      <x:c r="I26" s="8"/>
      <x:c r="J26" s="8"/>
      <x:c r="K26" s="8"/>
      <x:c r="L26" s="8"/>
      <x:c r="M26" s="8"/>
      <x:c r="N26" s="8"/>
    </x:row>
    <x:row r="27" ht="14" customHeight="1">
      <x:c r="A27" s="15" t="str">
        <x:v>Ergebnis laut BWA</x:v>
      </x:c>
      <x:c r="B27" s="16" t="n">
        <x:f>'BWA'!B41</x:f>
        <x:v>2399.5</x:v>
      </x:c>
      <x:c r="C27" s="16" t="n">
        <x:f>'BWA'!C41</x:f>
        <x:v>-10690</x:v>
      </x:c>
      <x:c r="D27" s="16" t="n">
        <x:f>'BWA'!D41</x:f>
        <x:v>-20376</x:v>
      </x:c>
      <x:c r="E27" s="16" t="n">
        <x:f>'BWA'!E41</x:f>
        <x:v>-30288</x:v>
      </x:c>
      <x:c r="F27" s="16" t="n">
        <x:f>'BWA'!F41</x:f>
        <x:v>-42337.5</x:v>
      </x:c>
      <x:c r="G27" s="16" t="n">
        <x:f>'BWA'!G41</x:f>
        <x:v>-52046</x:v>
      </x:c>
      <x:c r="H27" s="16" t="n">
        <x:f>'BWA'!H41</x:f>
        <x:v>-64785</x:v>
      </x:c>
      <x:c r="I27" s="16" t="n">
        <x:f>'BWA'!I41</x:f>
        <x:v>-78417</x:v>
      </x:c>
      <x:c r="J27" s="16" t="n">
        <x:f>'BWA'!J41</x:f>
        <x:v>-86342</x:v>
      </x:c>
      <x:c r="K27" s="16" t="n">
        <x:f>'BWA'!K41</x:f>
        <x:v>-89540</x:v>
      </x:c>
      <x:c r="L27" s="16" t="n">
        <x:f>'BWA'!L41</x:f>
        <x:v>-77954.5</x:v>
      </x:c>
      <x:c r="M27" s="16" t="n">
        <x:f>'BWA'!M41</x:f>
        <x:v>-393849</x:v>
      </x:c>
      <x:c r="N27" s="16" t="n">
        <x:f>SUM(B27:M27)</x:f>
        <x:v>-944225.5</x:v>
      </x:c>
    </x:row>
    <x:row r="28" ht="14" customHeight="1">
      <x:c r="A28" s="1" t="str">
        <x:v>Kassenbestand Monatsende</x:v>
      </x:c>
      <x:c r="B28" s="8" t="n">
        <x:f>'Kontenwerte'!P21+SUM('Kontenwerte'!C21:C21)</x:f>
        <x:v>3000</x:v>
      </x:c>
      <x:c r="C28" s="8" t="n">
        <x:f>'Kontenwerte'!P21+SUM('Kontenwerte'!C21:D21)</x:f>
        <x:v>3000</x:v>
      </x:c>
      <x:c r="D28" s="8" t="n">
        <x:f>'Kontenwerte'!P21+SUM('Kontenwerte'!C21:E21)</x:f>
        <x:v>3000</x:v>
      </x:c>
      <x:c r="E28" s="8" t="n">
        <x:f>'Kontenwerte'!P21+SUM('Kontenwerte'!C21:F21)</x:f>
        <x:v>3000</x:v>
      </x:c>
      <x:c r="F28" s="8" t="n">
        <x:f>'Kontenwerte'!P21+SUM('Kontenwerte'!C21:G21)</x:f>
        <x:v>3000</x:v>
      </x:c>
      <x:c r="G28" s="8" t="n">
        <x:f>'Kontenwerte'!P21+SUM('Kontenwerte'!C21:H21)</x:f>
        <x:v>3000</x:v>
      </x:c>
      <x:c r="H28" s="8" t="n">
        <x:f>'Kontenwerte'!P21+SUM('Kontenwerte'!C21:I21)</x:f>
        <x:v>3000</x:v>
      </x:c>
      <x:c r="I28" s="8" t="n">
        <x:f>'Kontenwerte'!P21+SUM('Kontenwerte'!C21:J21)</x:f>
        <x:v>3000</x:v>
      </x:c>
      <x:c r="J28" s="8" t="n">
        <x:f>'Kontenwerte'!P21+SUM('Kontenwerte'!C21:K21)</x:f>
        <x:v>3000</x:v>
      </x:c>
      <x:c r="K28" s="8" t="n">
        <x:f>'Kontenwerte'!P21+SUM('Kontenwerte'!C21:L21)</x:f>
        <x:v>3000</x:v>
      </x:c>
      <x:c r="L28" s="8" t="n">
        <x:f>'Kontenwerte'!P21+SUM('Kontenwerte'!C21:M21)</x:f>
        <x:v>3000</x:v>
      </x:c>
      <x:c r="M28" s="8" t="n">
        <x:f>'Kontenwerte'!P21+SUM('Kontenwerte'!C21:N21)</x:f>
        <x:v>3000</x:v>
      </x:c>
      <x:c r="N28" s="8" t="n">
        <x:f>M28</x:f>
        <x:v>3000</x:v>
      </x:c>
    </x:row>
    <x:row r="29" ht="14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14" customHeight="1">
      <x:c r="A30" s="1" t="str">
        <x:v>Quelle: Bankzeilen im Journal der gleichjährigen SuSa. Einzahlungen positiv, Auszahlungen negativ. Keine Zahlungsprognose.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 ht="14" customHeight="1">
      <x:c r="A31" s="1" t="str">
        <x:v>Die Kasse wird getrennt geführt. Ein Habensaldo des Geschäftskontos erscheint in der Bilanz als Bankverbindlichkeit.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 ht="14" customHeight="1">
      <x:c r="A32" s="1" t="str">
        <x:v>Umsatzsteuer: Plus bedeutet Erstattung, Minus bedeutet Zahlung. EUSt ist separat als tatsächlich geleistete Zahlung ausgewiesen.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 ht="14" customHeight="1">
      <x:c r="A33" s="1" t="str">
        <x:v>Sammeljournale enthalten Monatswerte. Daraus lässt sich kein taggenauer Kontostand oder Fälligkeitsstatus ableiten.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 ht="14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 ht="14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</x:sheetData>
  <x:pageMargins left="0.3" right="0.3" top="0.35" bottom="0.35" header="0.15" footer="0.15"/>
  <x:pageSetup paperSize="9" orientation="landscape" fitToWidth="1" fitToHeight="0"/>
</x:worksheet>
</file>

<file path=xl/worksheets/sheet4.xml><?xml version="1.0" encoding="utf-8"?>
<x:worksheet xmlns:x="http://schemas.openxmlformats.org/spreadsheetml/2006/main">
  <x:sheetPr>
    <x:pageSetUpPr fitToPage="1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7.559999942779541" hidden="0" customWidth="1"/>
    <x:col min="2" max="2" width="40" hidden="0" customWidth="1"/>
    <x:col min="3" max="3" width="12.890000343322754" hidden="0" customWidth="1"/>
    <x:col min="4" max="4" width="12.890000343322754" hidden="0" customWidth="1"/>
    <x:col min="5" max="5" width="12.890000343322754" hidden="0" customWidth="1"/>
    <x:col min="6" max="6" width="12.890000343322754" hidden="0" customWidth="1"/>
    <x:col min="7" max="7" width="12.890000343322754" hidden="0" customWidth="1"/>
    <x:col min="8" max="8" width="12.890000343322754" hidden="0" customWidth="1"/>
    <x:col min="9" max="9" width="12.890000343322754" hidden="0" customWidth="1"/>
    <x:col min="10" max="10" width="12.890000343322754" hidden="0" customWidth="1"/>
    <x:col min="11" max="11" width="12.890000343322754" hidden="0" customWidth="1"/>
    <x:col min="12" max="12" width="12.890000343322754" hidden="0" customWidth="1"/>
    <x:col min="13" max="13" width="12.890000343322754" hidden="0" customWidth="1"/>
    <x:col min="14" max="14" width="12.890000343322754" hidden="0" customWidth="1"/>
    <x:col min="15" max="15" width="12.890000343322754" hidden="0" customWidth="1"/>
    <x:col min="16" max="16" width="12.890000343322754" hidden="0" customWidth="1"/>
    <x:col min="17" max="17" width="12.890000343322754" hidden="0" customWidth="1"/>
  </x:cols>
  <x:sheetData>
    <x:row r="1" ht="24" customHeight="1">
      <x:c r="A1" s="2" t="str">
        <x:v>Kontenbewegungen 2025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14" customHeight="1">
      <x:c r="A2" s="3" t="str">
        <x:v>Quelle: 05_SuSa_2025.xlsx, Monatskonten. EUR. Soll positiv, Haben negativ.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14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1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7" t="str">
        <x:v>Konto</x:v>
      </x:c>
      <x:c r="B5" s="7" t="str">
        <x:v>Bezeichnung</x:v>
      </x:c>
      <x:c r="C5" s="7" t="str">
        <x:v>Jan</x:v>
      </x:c>
      <x:c r="D5" s="7" t="str">
        <x:v>Feb</x:v>
      </x:c>
      <x:c r="E5" s="7" t="str">
        <x:v>Mär</x:v>
      </x:c>
      <x:c r="F5" s="7" t="str">
        <x:v>Apr</x:v>
      </x:c>
      <x:c r="G5" s="7" t="str">
        <x:v>Mai</x:v>
      </x:c>
      <x:c r="H5" s="7" t="str">
        <x:v>Jun</x:v>
      </x:c>
      <x:c r="I5" s="7" t="str">
        <x:v>Jul</x:v>
      </x:c>
      <x:c r="J5" s="7" t="str">
        <x:v>Aug</x:v>
      </x:c>
      <x:c r="K5" s="7" t="str">
        <x:v>Sep</x:v>
      </x:c>
      <x:c r="L5" s="7" t="str">
        <x:v>Okt</x:v>
      </x:c>
      <x:c r="M5" s="7" t="str">
        <x:v>Nov</x:v>
      </x:c>
      <x:c r="N5" s="7" t="str">
        <x:v>Dez</x:v>
      </x:c>
      <x:c r="O5" s="7" t="str">
        <x:v>Jahr</x:v>
      </x:c>
      <x:c r="P5" s="7" t="str">
        <x:v>Eröffnung</x:v>
      </x:c>
      <x:c r="Q5" s="7" t="str">
        <x:v>Schluss</x:v>
      </x:c>
    </x:row>
    <x:row r="6" ht="14" customHeight="1">
      <x:c r="A6" s="1" t="str">
        <x:v>0100</x:v>
      </x:c>
      <x:c r="B6" s="1" t="str">
        <x:v>Software</x:v>
      </x:c>
      <x:c r="C6" s="9" t="n">
        <x:v>-500</x:v>
      </x:c>
      <x:c r="D6" s="9" t="n">
        <x:v>-500</x:v>
      </x:c>
      <x:c r="E6" s="9" t="n">
        <x:v>-500</x:v>
      </x:c>
      <x:c r="F6" s="9" t="n">
        <x:v>-500</x:v>
      </x:c>
      <x:c r="G6" s="9" t="n">
        <x:v>-500</x:v>
      </x:c>
      <x:c r="H6" s="9" t="n">
        <x:v>-500</x:v>
      </x:c>
      <x:c r="I6" s="9" t="n">
        <x:v>-500</x:v>
      </x:c>
      <x:c r="J6" s="9" t="n">
        <x:v>-500</x:v>
      </x:c>
      <x:c r="K6" s="9" t="n">
        <x:v>-500</x:v>
      </x:c>
      <x:c r="L6" s="9" t="n">
        <x:v>-500</x:v>
      </x:c>
      <x:c r="M6" s="9" t="n">
        <x:v>-500</x:v>
      </x:c>
      <x:c r="N6" s="9" t="n">
        <x:v>-500</x:v>
      </x:c>
      <x:c r="O6" s="8" t="n">
        <x:f>ROUND(SUM(C6:N6),2)</x:f>
        <x:v>-6000</x:v>
      </x:c>
      <x:c r="P6" s="9" t="n">
        <x:v>14000</x:v>
      </x:c>
      <x:c r="Q6" s="8" t="n">
        <x:f>ROUND(P6+O6,2)</x:f>
        <x:v>8000</x:v>
      </x:c>
    </x:row>
    <x:row r="7" ht="14" customHeight="1">
      <x:c r="A7" s="1" t="str">
        <x:v>0400</x:v>
      </x:c>
      <x:c r="B7" s="1" t="str">
        <x:v>Lagereinbauten Erlangen</x:v>
      </x:c>
      <x:c r="C7" s="9" t="n">
        <x:v>-2500</x:v>
      </x:c>
      <x:c r="D7" s="9" t="n">
        <x:v>-2500</x:v>
      </x:c>
      <x:c r="E7" s="9" t="n">
        <x:v>-2500</x:v>
      </x:c>
      <x:c r="F7" s="9" t="n">
        <x:v>-2500</x:v>
      </x:c>
      <x:c r="G7" s="9" t="n">
        <x:v>-2500</x:v>
      </x:c>
      <x:c r="H7" s="9" t="n">
        <x:v>-2500</x:v>
      </x:c>
      <x:c r="I7" s="9" t="n">
        <x:v>-2500</x:v>
      </x:c>
      <x:c r="J7" s="9" t="n">
        <x:v>-2500</x:v>
      </x:c>
      <x:c r="K7" s="9" t="n">
        <x:v>-2500</x:v>
      </x:c>
      <x:c r="L7" s="9" t="n">
        <x:v>-2500</x:v>
      </x:c>
      <x:c r="M7" s="9" t="n">
        <x:v>-2500</x:v>
      </x:c>
      <x:c r="N7" s="9" t="n">
        <x:v>-2500</x:v>
      </x:c>
      <x:c r="O7" s="8" t="n">
        <x:f>ROUND(SUM(C7:N7),2)</x:f>
        <x:v>-30000</x:v>
      </x:c>
      <x:c r="P7" s="9" t="n">
        <x:v>210000</x:v>
      </x:c>
      <x:c r="Q7" s="8" t="n">
        <x:f>ROUND(P7+O7,2)</x:f>
        <x:v>180000</x:v>
      </x:c>
    </x:row>
    <x:row r="8" ht="14" customHeight="1">
      <x:c r="A8" s="1" t="str">
        <x:v>0520</x:v>
      </x:c>
      <x:c r="B8" s="1" t="str">
        <x:v>Flurförderzeuge</x:v>
      </x:c>
      <x:c r="C8" s="9" t="n">
        <x:v>-1500</x:v>
      </x:c>
      <x:c r="D8" s="9" t="n">
        <x:v>-1500</x:v>
      </x:c>
      <x:c r="E8" s="9" t="n">
        <x:v>-1500</x:v>
      </x:c>
      <x:c r="F8" s="9" t="n">
        <x:v>-1500</x:v>
      </x:c>
      <x:c r="G8" s="9" t="n">
        <x:v>-1500</x:v>
      </x:c>
      <x:c r="H8" s="9" t="n">
        <x:v>-1500</x:v>
      </x:c>
      <x:c r="I8" s="9" t="n">
        <x:v>-1500</x:v>
      </x:c>
      <x:c r="J8" s="9" t="n">
        <x:v>-1500</x:v>
      </x:c>
      <x:c r="K8" s="9" t="n">
        <x:v>-1500</x:v>
      </x:c>
      <x:c r="L8" s="9" t="n">
        <x:v>-1500</x:v>
      </x:c>
      <x:c r="M8" s="9" t="n">
        <x:v>-1500</x:v>
      </x:c>
      <x:c r="N8" s="9" t="n">
        <x:v>-1500</x:v>
      </x:c>
      <x:c r="O8" s="8" t="n">
        <x:f>ROUND(SUM(C8:N8),2)</x:f>
        <x:v>-18000</x:v>
      </x:c>
      <x:c r="P8" s="9" t="n">
        <x:v>118000</x:v>
      </x:c>
      <x:c r="Q8" s="8" t="n">
        <x:f>ROUND(P8+O8,2)</x:f>
        <x:v>100000</x:v>
      </x:c>
    </x:row>
    <x:row r="9" ht="14" customHeight="1">
      <x:c r="A9" s="1" t="str">
        <x:v>0650</x:v>
      </x:c>
      <x:c r="B9" s="1" t="str">
        <x:v>IT und Kommunikation</x:v>
      </x:c>
      <x:c r="C9" s="9" t="n">
        <x:v>-2000</x:v>
      </x:c>
      <x:c r="D9" s="9" t="n">
        <x:v>-2000</x:v>
      </x:c>
      <x:c r="E9" s="9" t="n">
        <x:v>16000</x:v>
      </x:c>
      <x:c r="F9" s="9" t="n">
        <x:v>-2000</x:v>
      </x:c>
      <x:c r="G9" s="9" t="n">
        <x:v>-2000</x:v>
      </x:c>
      <x:c r="H9" s="9" t="n">
        <x:v>-2000</x:v>
      </x:c>
      <x:c r="I9" s="9" t="n">
        <x:v>-2000</x:v>
      </x:c>
      <x:c r="J9" s="9" t="n">
        <x:v>-2000</x:v>
      </x:c>
      <x:c r="K9" s="9" t="n">
        <x:v>-2000</x:v>
      </x:c>
      <x:c r="L9" s="9" t="n">
        <x:v>-2000</x:v>
      </x:c>
      <x:c r="M9" s="9" t="n">
        <x:v>-2000</x:v>
      </x:c>
      <x:c r="N9" s="9" t="n">
        <x:v>-2000</x:v>
      </x:c>
      <x:c r="O9" s="8" t="n">
        <x:f>ROUND(SUM(C9:N9),2)</x:f>
        <x:v>-6000</x:v>
      </x:c>
      <x:c r="P9" s="9" t="n">
        <x:v>80000</x:v>
      </x:c>
      <x:c r="Q9" s="8" t="n">
        <x:f>ROUND(P9+O9,2)</x:f>
        <x:v>74000</x:v>
      </x:c>
    </x:row>
    <x:row r="10" ht="14" customHeight="1">
      <x:c r="A10" s="1" t="str">
        <x:v>0670</x:v>
      </x:c>
      <x:c r="B10" s="1" t="str">
        <x:v>Büroausstattung</x:v>
      </x:c>
      <x:c r="C10" s="9" t="n">
        <x:v>-1000</x:v>
      </x:c>
      <x:c r="D10" s="9" t="n">
        <x:v>-1000</x:v>
      </x:c>
      <x:c r="E10" s="9" t="n">
        <x:v>-1000</x:v>
      </x:c>
      <x:c r="F10" s="9" t="n">
        <x:v>-1000</x:v>
      </x:c>
      <x:c r="G10" s="9" t="n">
        <x:v>-1000</x:v>
      </x:c>
      <x:c r="H10" s="9" t="n">
        <x:v>-1000</x:v>
      </x:c>
      <x:c r="I10" s="9" t="n">
        <x:v>-1000</x:v>
      </x:c>
      <x:c r="J10" s="9" t="n">
        <x:v>-1000</x:v>
      </x:c>
      <x:c r="K10" s="9" t="n">
        <x:v>-1000</x:v>
      </x:c>
      <x:c r="L10" s="9" t="n">
        <x:v>-1000</x:v>
      </x:c>
      <x:c r="M10" s="9" t="n">
        <x:v>-1000</x:v>
      </x:c>
      <x:c r="N10" s="9" t="n">
        <x:v>-1000</x:v>
      </x:c>
      <x:c r="O10" s="8" t="n">
        <x:f>ROUND(SUM(C10:N10),2)</x:f>
        <x:v>-12000</x:v>
      </x:c>
      <x:c r="P10" s="9" t="n">
        <x:v>48000</x:v>
      </x:c>
      <x:c r="Q10" s="8" t="n">
        <x:f>ROUND(P10+O10,2)</x:f>
        <x:v>36000</x:v>
      </x:c>
    </x:row>
    <x:row r="11" ht="14" customHeight="1">
      <x:c r="A11" s="1" t="str">
        <x:v>1140</x:v>
      </x:c>
      <x:c r="B11" s="1" t="str">
        <x:v>Warenbestand</x:v>
      </x:c>
      <x:c r="C11" s="9" t="n">
        <x:v>28000</x:v>
      </x:c>
      <x:c r="D11" s="9" t="n">
        <x:v>30000</x:v>
      </x:c>
      <x:c r="E11" s="9" t="n">
        <x:v>30000</x:v>
      </x:c>
      <x:c r="F11" s="9" t="n">
        <x:v>50000</x:v>
      </x:c>
      <x:c r="G11" s="9" t="n">
        <x:v>30000</x:v>
      </x:c>
      <x:c r="H11" s="9" t="n">
        <x:v>50000</x:v>
      </x:c>
      <x:c r="I11" s="9" t="n">
        <x:v>30000</x:v>
      </x:c>
      <x:c r="J11" s="9" t="n">
        <x:v>30000</x:v>
      </x:c>
      <x:c r="K11" s="9" t="n">
        <x:v>40000</x:v>
      </x:c>
      <x:c r="L11" s="9" t="n">
        <x:v>20000</x:v>
      </x:c>
      <x:c r="M11" s="9" t="n">
        <x:v>30000</x:v>
      </x:c>
      <x:c r="N11" s="9" t="n">
        <x:v>-250000</x:v>
      </x:c>
      <x:c r="O11" s="8" t="n">
        <x:f>ROUND(SUM(C11:N11),2)</x:f>
        <x:v>118000</x:v>
      </x:c>
      <x:c r="P11" s="9" t="n">
        <x:v>762000</x:v>
      </x:c>
      <x:c r="Q11" s="8" t="n">
        <x:f>ROUND(P11+O11,2)</x:f>
        <x:v>880000</x:v>
      </x:c>
    </x:row>
    <x:row r="12" ht="14" customHeight="1">
      <x:c r="A12" s="1" t="str">
        <x:v>1200</x:v>
      </x:c>
      <x:c r="B12" s="1" t="str">
        <x:v>Forderungen aus Lieferungen und Leistungen</x:v>
      </x:c>
      <x:c r="C12" s="9" t="n">
        <x:v>30000</x:v>
      </x:c>
      <x:c r="D12" s="9" t="n">
        <x:v>60000</x:v>
      </x:c>
      <x:c r="E12" s="9" t="n">
        <x:v>50000</x:v>
      </x:c>
      <x:c r="F12" s="9" t="n">
        <x:v>60000</x:v>
      </x:c>
      <x:c r="G12" s="9" t="n">
        <x:v>80000</x:v>
      </x:c>
      <x:c r="H12" s="9" t="n">
        <x:v>40000</x:v>
      </x:c>
      <x:c r="I12" s="9" t="n">
        <x:v>20000</x:v>
      </x:c>
      <x:c r="J12" s="9" t="n">
        <x:v>50000</x:v>
      </x:c>
      <x:c r="K12" s="9" t="n">
        <x:v>50000</x:v>
      </x:c>
      <x:c r="L12" s="9" t="n">
        <x:v>50000</x:v>
      </x:c>
      <x:c r="M12" s="9" t="n">
        <x:v>50000</x:v>
      </x:c>
      <x:c r="N12" s="9" t="n">
        <x:v>-20000</x:v>
      </x:c>
      <x:c r="O12" s="8" t="n">
        <x:f>ROUND(SUM(C12:N12),2)</x:f>
        <x:v>520000</x:v>
      </x:c>
      <x:c r="P12" s="9" t="n">
        <x:v>820000</x:v>
      </x:c>
      <x:c r="Q12" s="8" t="n">
        <x:f>ROUND(P12+O12,2)</x:f>
        <x:v>1340000</x:v>
      </x:c>
    </x:row>
    <x:row r="13" ht="14" customHeight="1">
      <x:c r="A13" s="1" t="str">
        <x:v>1248</x:v>
      </x:c>
      <x:c r="B13" s="1" t="str">
        <x:v>Einzelwertberichtigungen zu Forderungen</x:v>
      </x:c>
      <x:c r="C13" s="9" t="n">
        <x:v>0</x:v>
      </x:c>
      <x:c r="D13" s="9" t="n">
        <x:v>0</x:v>
      </x:c>
      <x:c r="E13" s="9" t="n">
        <x:v>0</x:v>
      </x:c>
      <x:c r="F13" s="9" t="n">
        <x:v>0</x:v>
      </x:c>
      <x:c r="G13" s="9" t="n">
        <x:v>0</x:v>
      </x:c>
      <x:c r="H13" s="9" t="n">
        <x:v>0</x:v>
      </x:c>
      <x:c r="I13" s="9" t="n">
        <x:v>0</x:v>
      </x:c>
      <x:c r="J13" s="9" t="n">
        <x:v>0</x:v>
      </x:c>
      <x:c r="K13" s="9" t="n">
        <x:v>0</x:v>
      </x:c>
      <x:c r="L13" s="9" t="n">
        <x:v>0</x:v>
      </x:c>
      <x:c r="M13" s="9" t="n">
        <x:v>0</x:v>
      </x:c>
      <x:c r="N13" s="9" t="n">
        <x:v>-100000</x:v>
      </x:c>
      <x:c r="O13" s="8" t="n">
        <x:f>ROUND(SUM(C13:N13),2)</x:f>
        <x:v>-100000</x:v>
      </x:c>
      <x:c r="P13" s="9" t="n">
        <x:v>-30000</x:v>
      </x:c>
      <x:c r="Q13" s="8" t="n">
        <x:f>ROUND(P13+O13,2)</x:f>
        <x:v>-130000</x:v>
      </x:c>
    </x:row>
    <x:row r="14" ht="14" customHeight="1">
      <x:c r="A14" s="1" t="str">
        <x:v>1300</x:v>
      </x:c>
      <x:c r="B14" s="1" t="str">
        <x:v>Geleistete Lieferantenanzahlungen</x:v>
      </x:c>
      <x:c r="C14" s="9" t="n">
        <x:v>0</x:v>
      </x:c>
      <x:c r="D14" s="9" t="n">
        <x:v>0</x:v>
      </x:c>
      <x:c r="E14" s="9" t="n">
        <x:v>-60000</x:v>
      </x:c>
      <x:c r="F14" s="9" t="n">
        <x:v>0</x:v>
      </x:c>
      <x:c r="G14" s="9" t="n">
        <x:v>0</x:v>
      </x:c>
      <x:c r="H14" s="9" t="n">
        <x:v>30000</x:v>
      </x:c>
      <x:c r="I14" s="9" t="n">
        <x:v>0</x:v>
      </x:c>
      <x:c r="J14" s="9" t="n">
        <x:v>0</x:v>
      </x:c>
      <x:c r="K14" s="9" t="n">
        <x:v>0</x:v>
      </x:c>
      <x:c r="L14" s="9" t="n">
        <x:v>0</x:v>
      </x:c>
      <x:c r="M14" s="9" t="n">
        <x:v>20000</x:v>
      </x:c>
      <x:c r="N14" s="9" t="n">
        <x:v>0</x:v>
      </x:c>
      <x:c r="O14" s="8" t="n">
        <x:f>ROUND(SUM(C14:N14),2)</x:f>
        <x:v>-10000</x:v>
      </x:c>
      <x:c r="P14" s="9" t="n">
        <x:v>100000</x:v>
      </x:c>
      <x:c r="Q14" s="8" t="n">
        <x:f>ROUND(P14+O14,2)</x:f>
        <x:v>90000</x:v>
      </x:c>
    </x:row>
    <x:row r="15" ht="14" customHeight="1">
      <x:c r="A15" s="1" t="str">
        <x:v>1350</x:v>
      </x:c>
      <x:c r="B15" s="1" t="str">
        <x:v>Mietkaution Erlangen</x:v>
      </x:c>
      <x:c r="C15" s="9" t="n">
        <x:v>0</x:v>
      </x:c>
      <x:c r="D15" s="9" t="n">
        <x:v>0</x:v>
      </x:c>
      <x:c r="E15" s="9" t="n">
        <x:v>0</x:v>
      </x:c>
      <x:c r="F15" s="9" t="n">
        <x:v>0</x:v>
      </x:c>
      <x:c r="G15" s="9" t="n">
        <x:v>0</x:v>
      </x:c>
      <x:c r="H15" s="9" t="n">
        <x:v>0</x:v>
      </x:c>
      <x:c r="I15" s="9" t="n">
        <x:v>0</x:v>
      </x:c>
      <x:c r="J15" s="9" t="n">
        <x:v>0</x:v>
      </x:c>
      <x:c r="K15" s="9" t="n">
        <x:v>0</x:v>
      </x:c>
      <x:c r="L15" s="9" t="n">
        <x:v>0</x:v>
      </x:c>
      <x:c r="M15" s="9" t="n">
        <x:v>0</x:v>
      </x:c>
      <x:c r="N15" s="9" t="n">
        <x:v>0</x:v>
      </x:c>
      <x:c r="O15" s="8" t="n">
        <x:f>ROUND(SUM(C15:N15),2)</x:f>
        <x:v>0</x:v>
      </x:c>
      <x:c r="P15" s="9" t="n">
        <x:v>25000</x:v>
      </x:c>
      <x:c r="Q15" s="8" t="n">
        <x:f>ROUND(P15+O15,2)</x:f>
        <x:v>25000</x:v>
      </x:c>
    </x:row>
    <x:row r="16" ht="14" customHeight="1">
      <x:c r="A16" s="1" t="str">
        <x:v>1401</x:v>
      </x:c>
      <x:c r="B16" s="1" t="str">
        <x:v>Vorsteuer Inland 7 Prozent</x:v>
      </x:c>
      <x:c r="C16" s="9" t="n">
        <x:v>0</x:v>
      </x:c>
      <x:c r="D16" s="9" t="n">
        <x:v>0</x:v>
      </x:c>
      <x:c r="E16" s="9" t="n">
        <x:v>0</x:v>
      </x:c>
      <x:c r="F16" s="9" t="n">
        <x:v>0</x:v>
      </x:c>
      <x:c r="G16" s="9" t="n">
        <x:v>0</x:v>
      </x:c>
      <x:c r="H16" s="9" t="n">
        <x:v>0</x:v>
      </x:c>
      <x:c r="I16" s="9" t="n">
        <x:v>0</x:v>
      </x:c>
      <x:c r="J16" s="9" t="n">
        <x:v>0</x:v>
      </x:c>
      <x:c r="K16" s="9" t="n">
        <x:v>0</x:v>
      </x:c>
      <x:c r="L16" s="9" t="n">
        <x:v>0</x:v>
      </x:c>
      <x:c r="M16" s="9" t="n">
        <x:v>0</x:v>
      </x:c>
      <x:c r="N16" s="9" t="n">
        <x:v>0</x:v>
      </x:c>
      <x:c r="O16" s="8" t="n">
        <x:f>ROUND(SUM(C16:N16),2)</x:f>
        <x:v>0</x:v>
      </x:c>
      <x:c r="P16" s="9" t="n">
        <x:v>0</x:v>
      </x:c>
      <x:c r="Q16" s="8" t="n">
        <x:f>ROUND(P16+O16,2)</x:f>
        <x:v>0</x:v>
      </x:c>
    </x:row>
    <x:row r="17" ht="14" customHeight="1">
      <x:c r="A17" s="1" t="str">
        <x:v>1406</x:v>
      </x:c>
      <x:c r="B17" s="1" t="str">
        <x:v>Vorsteuer Inland 19 Prozent</x:v>
      </x:c>
      <x:c r="C17" s="9" t="n">
        <x:v>0</x:v>
      </x:c>
      <x:c r="D17" s="9" t="n">
        <x:v>0</x:v>
      </x:c>
      <x:c r="E17" s="9" t="n">
        <x:v>0</x:v>
      </x:c>
      <x:c r="F17" s="9" t="n">
        <x:v>0</x:v>
      </x:c>
      <x:c r="G17" s="9" t="n">
        <x:v>0</x:v>
      </x:c>
      <x:c r="H17" s="9" t="n">
        <x:v>0</x:v>
      </x:c>
      <x:c r="I17" s="9" t="n">
        <x:v>0</x:v>
      </x:c>
      <x:c r="J17" s="9" t="n">
        <x:v>0</x:v>
      </x:c>
      <x:c r="K17" s="9" t="n">
        <x:v>0</x:v>
      </x:c>
      <x:c r="L17" s="9" t="n">
        <x:v>0</x:v>
      </x:c>
      <x:c r="M17" s="9" t="n">
        <x:v>0</x:v>
      </x:c>
      <x:c r="N17" s="9" t="n">
        <x:v>0</x:v>
      </x:c>
      <x:c r="O17" s="8" t="n">
        <x:f>ROUND(SUM(C17:N17),2)</x:f>
        <x:v>0</x:v>
      </x:c>
      <x:c r="P17" s="9" t="n">
        <x:v>0</x:v>
      </x:c>
      <x:c r="Q17" s="8" t="n">
        <x:f>ROUND(P17+O17,2)</x:f>
        <x:v>0</x:v>
      </x:c>
    </x:row>
    <x:row r="18" ht="14" customHeight="1">
      <x:c r="A18" s="1" t="str">
        <x:v>1404</x:v>
      </x:c>
      <x:c r="B18" s="1" t="str">
        <x:v>Vorsteuer EU Erwerb 7 Prozent</x:v>
      </x:c>
      <x:c r="C18" s="9" t="n">
        <x:v>0</x:v>
      </x:c>
      <x:c r="D18" s="9" t="n">
        <x:v>0</x:v>
      </x:c>
      <x:c r="E18" s="9" t="n">
        <x:v>0</x:v>
      </x:c>
      <x:c r="F18" s="9" t="n">
        <x:v>0</x:v>
      </x:c>
      <x:c r="G18" s="9" t="n">
        <x:v>0</x:v>
      </x:c>
      <x:c r="H18" s="9" t="n">
        <x:v>0</x:v>
      </x:c>
      <x:c r="I18" s="9" t="n">
        <x:v>0</x:v>
      </x:c>
      <x:c r="J18" s="9" t="n">
        <x:v>0</x:v>
      </x:c>
      <x:c r="K18" s="9" t="n">
        <x:v>0</x:v>
      </x:c>
      <x:c r="L18" s="9" t="n">
        <x:v>0</x:v>
      </x:c>
      <x:c r="M18" s="9" t="n">
        <x:v>0</x:v>
      </x:c>
      <x:c r="N18" s="9" t="n">
        <x:v>0</x:v>
      </x:c>
      <x:c r="O18" s="8" t="n">
        <x:f>ROUND(SUM(C18:N18),2)</x:f>
        <x:v>0</x:v>
      </x:c>
      <x:c r="P18" s="9" t="n">
        <x:v>0</x:v>
      </x:c>
      <x:c r="Q18" s="8" t="n">
        <x:f>ROUND(P18+O18,2)</x:f>
        <x:v>0</x:v>
      </x:c>
    </x:row>
    <x:row r="19" ht="14" customHeight="1">
      <x:c r="A19" s="1" t="str">
        <x:v>1409</x:v>
      </x:c>
      <x:c r="B19" s="1" t="str">
        <x:v>Vorsteuer EU Erwerb 19 Prozent</x:v>
      </x:c>
      <x:c r="C19" s="9" t="n">
        <x:v>0</x:v>
      </x:c>
      <x:c r="D19" s="9" t="n">
        <x:v>0</x:v>
      </x:c>
      <x:c r="E19" s="9" t="n">
        <x:v>0</x:v>
      </x:c>
      <x:c r="F19" s="9" t="n">
        <x:v>0</x:v>
      </x:c>
      <x:c r="G19" s="9" t="n">
        <x:v>0</x:v>
      </x:c>
      <x:c r="H19" s="9" t="n">
        <x:v>0</x:v>
      </x:c>
      <x:c r="I19" s="9" t="n">
        <x:v>0</x:v>
      </x:c>
      <x:c r="J19" s="9" t="n">
        <x:v>0</x:v>
      </x:c>
      <x:c r="K19" s="9" t="n">
        <x:v>0</x:v>
      </x:c>
      <x:c r="L19" s="9" t="n">
        <x:v>0</x:v>
      </x:c>
      <x:c r="M19" s="9" t="n">
        <x:v>0</x:v>
      </x:c>
      <x:c r="N19" s="9" t="n">
        <x:v>0</x:v>
      </x:c>
      <x:c r="O19" s="8" t="n">
        <x:f>ROUND(SUM(C19:N19),2)</x:f>
        <x:v>0</x:v>
      </x:c>
      <x:c r="P19" s="9" t="n">
        <x:v>0</x:v>
      </x:c>
      <x:c r="Q19" s="8" t="n">
        <x:f>ROUND(P19+O19,2)</x:f>
        <x:v>0</x:v>
      </x:c>
    </x:row>
    <x:row r="20" ht="14" customHeight="1">
      <x:c r="A20" s="1" t="str">
        <x:v>1433</x:v>
      </x:c>
      <x:c r="B20" s="1" t="str">
        <x:v>Einfuhrumsatzsteuer</x:v>
      </x:c>
      <x:c r="C20" s="9" t="n">
        <x:v>0</x:v>
      </x:c>
      <x:c r="D20" s="9" t="n">
        <x:v>0</x:v>
      </x:c>
      <x:c r="E20" s="9" t="n">
        <x:v>0</x:v>
      </x:c>
      <x:c r="F20" s="9" t="n">
        <x:v>0</x:v>
      </x:c>
      <x:c r="G20" s="9" t="n">
        <x:v>0</x:v>
      </x:c>
      <x:c r="H20" s="9" t="n">
        <x:v>0</x:v>
      </x:c>
      <x:c r="I20" s="9" t="n">
        <x:v>0</x:v>
      </x:c>
      <x:c r="J20" s="9" t="n">
        <x:v>0</x:v>
      </x:c>
      <x:c r="K20" s="9" t="n">
        <x:v>0</x:v>
      </x:c>
      <x:c r="L20" s="9" t="n">
        <x:v>0</x:v>
      </x:c>
      <x:c r="M20" s="9" t="n">
        <x:v>0</x:v>
      </x:c>
      <x:c r="N20" s="9" t="n">
        <x:v>0</x:v>
      </x:c>
      <x:c r="O20" s="8" t="n">
        <x:f>ROUND(SUM(C20:N20),2)</x:f>
        <x:v>0</x:v>
      </x:c>
      <x:c r="P20" s="9" t="n">
        <x:v>0</x:v>
      </x:c>
      <x:c r="Q20" s="8" t="n">
        <x:f>ROUND(P20+O20,2)</x:f>
        <x:v>0</x:v>
      </x:c>
    </x:row>
    <x:row r="21" ht="14" customHeight="1">
      <x:c r="A21" s="1" t="str">
        <x:v>1600</x:v>
      </x:c>
      <x:c r="B21" s="1" t="str">
        <x:v>Kasse</x:v>
      </x:c>
      <x:c r="C21" s="9" t="n">
        <x:v>0</x:v>
      </x:c>
      <x:c r="D21" s="9" t="n">
        <x:v>0</x:v>
      </x:c>
      <x:c r="E21" s="9" t="n">
        <x:v>0</x:v>
      </x:c>
      <x:c r="F21" s="9" t="n">
        <x:v>0</x:v>
      </x:c>
      <x:c r="G21" s="9" t="n">
        <x:v>0</x:v>
      </x:c>
      <x:c r="H21" s="9" t="n">
        <x:v>0</x:v>
      </x:c>
      <x:c r="I21" s="9" t="n">
        <x:v>0</x:v>
      </x:c>
      <x:c r="J21" s="9" t="n">
        <x:v>0</x:v>
      </x:c>
      <x:c r="K21" s="9" t="n">
        <x:v>0</x:v>
      </x:c>
      <x:c r="L21" s="9" t="n">
        <x:v>0</x:v>
      </x:c>
      <x:c r="M21" s="9" t="n">
        <x:v>0</x:v>
      </x:c>
      <x:c r="N21" s="9" t="n">
        <x:v>0</x:v>
      </x:c>
      <x:c r="O21" s="8" t="n">
        <x:f>ROUND(SUM(C21:N21),2)</x:f>
        <x:v>0</x:v>
      </x:c>
      <x:c r="P21" s="9" t="n">
        <x:v>3000</x:v>
      </x:c>
      <x:c r="Q21" s="8" t="n">
        <x:f>ROUND(P21+O21,2)</x:f>
        <x:v>3000</x:v>
      </x:c>
    </x:row>
    <x:row r="22" ht="14" customHeight="1">
      <x:c r="A22" s="1" t="str">
        <x:v>1800</x:v>
      </x:c>
      <x:c r="B22" s="1" t="str">
        <x:v>Bank Frankenbogen Geschäftskonto</x:v>
      </x:c>
      <x:c r="C22" s="9" t="n">
        <x:v>-13370.51</x:v>
      </x:c>
      <x:c r="D22" s="9" t="n">
        <x:v>-72728.95</x:v>
      </x:c>
      <x:c r="E22" s="9" t="n">
        <x:v>-7619.98</x:v>
      </x:c>
      <x:c r="F22" s="9" t="n">
        <x:v>-87856.54</x:v>
      </x:c>
      <x:c r="G22" s="9" t="n">
        <x:v>-81017.47</x:v>
      </x:c>
      <x:c r="H22" s="9" t="n">
        <x:v>-109014.97</x:v>
      </x:c>
      <x:c r="I22" s="9" t="n">
        <x:v>-66247.65</x:v>
      </x:c>
      <x:c r="J22" s="9" t="n">
        <x:v>-11355.49</x:v>
      </x:c>
      <x:c r="K22" s="9" t="n">
        <x:v>-105805.13</x:v>
      </x:c>
      <x:c r="L22" s="9" t="n">
        <x:v>-90789.05</x:v>
      </x:c>
      <x:c r="M22" s="9" t="n">
        <x:v>-85850.85</x:v>
      </x:c>
      <x:c r="N22" s="9" t="n">
        <x:v>51030.59</x:v>
      </x:c>
      <x:c r="O22" s="8" t="n">
        <x:f>ROUND(SUM(C22:N22),2)</x:f>
        <x:v>-680626</x:v>
      </x:c>
      <x:c r="P22" s="9" t="n">
        <x:v>219546.46</x:v>
      </x:c>
      <x:c r="Q22" s="8" t="n">
        <x:f>ROUND(P22+O22,2)</x:f>
        <x:v>-461079.54</x:v>
      </x:c>
    </x:row>
    <x:row r="23" ht="14" customHeight="1">
      <x:c r="A23" s="1" t="str">
        <x:v>1900</x:v>
      </x:c>
      <x:c r="B23" s="1" t="str">
        <x:v>Aktive Rechnungsabgrenzung</x:v>
      </x:c>
      <x:c r="C23" s="9" t="n">
        <x:v>-3000</x:v>
      </x:c>
      <x:c r="D23" s="9" t="n">
        <x:v>-3000</x:v>
      </x:c>
      <x:c r="E23" s="9" t="n">
        <x:v>-3000</x:v>
      </x:c>
      <x:c r="F23" s="9" t="n">
        <x:v>-3000</x:v>
      </x:c>
      <x:c r="G23" s="9" t="n">
        <x:v>-3000</x:v>
      </x:c>
      <x:c r="H23" s="9" t="n">
        <x:v>-3000</x:v>
      </x:c>
      <x:c r="I23" s="9" t="n">
        <x:v>0</x:v>
      </x:c>
      <x:c r="J23" s="9" t="n">
        <x:v>0</x:v>
      </x:c>
      <x:c r="K23" s="9" t="n">
        <x:v>0</x:v>
      </x:c>
      <x:c r="L23" s="9" t="n">
        <x:v>0</x:v>
      </x:c>
      <x:c r="M23" s="9" t="n">
        <x:v>0</x:v>
      </x:c>
      <x:c r="N23" s="9" t="n">
        <x:v>18000</x:v>
      </x:c>
      <x:c r="O23" s="8" t="n">
        <x:f>ROUND(SUM(C23:N23),2)</x:f>
        <x:v>0</x:v>
      </x:c>
      <x:c r="P23" s="9" t="n">
        <x:v>18000</x:v>
      </x:c>
      <x:c r="Q23" s="8" t="n">
        <x:f>ROUND(P23+O23,2)</x:f>
        <x:v>18000</x:v>
      </x:c>
    </x:row>
    <x:row r="24" ht="14" customHeight="1">
      <x:c r="A24" s="1" t="str">
        <x:v>2900</x:v>
      </x:c>
      <x:c r="B24" s="1" t="str">
        <x:v>Gezeichnetes Kapital</x:v>
      </x:c>
      <x:c r="C24" s="9" t="n">
        <x:v>0</x:v>
      </x:c>
      <x:c r="D24" s="9" t="n">
        <x:v>0</x:v>
      </x:c>
      <x:c r="E24" s="9" t="n">
        <x:v>0</x:v>
      </x:c>
      <x:c r="F24" s="9" t="n">
        <x:v>0</x:v>
      </x:c>
      <x:c r="G24" s="9" t="n">
        <x:v>0</x:v>
      </x:c>
      <x:c r="H24" s="9" t="n">
        <x:v>0</x:v>
      </x:c>
      <x:c r="I24" s="9" t="n">
        <x:v>0</x:v>
      </x:c>
      <x:c r="J24" s="9" t="n">
        <x:v>0</x:v>
      </x:c>
      <x:c r="K24" s="9" t="n">
        <x:v>0</x:v>
      </x:c>
      <x:c r="L24" s="9" t="n">
        <x:v>0</x:v>
      </x:c>
      <x:c r="M24" s="9" t="n">
        <x:v>0</x:v>
      </x:c>
      <x:c r="N24" s="9" t="n">
        <x:v>0</x:v>
      </x:c>
      <x:c r="O24" s="8" t="n">
        <x:f>ROUND(SUM(C24:N24),2)</x:f>
        <x:v>0</x:v>
      </x:c>
      <x:c r="P24" s="9" t="n">
        <x:v>-100000</x:v>
      </x:c>
      <x:c r="Q24" s="8" t="n">
        <x:f>ROUND(P24+O24,2)</x:f>
        <x:v>-100000</x:v>
      </x:c>
    </x:row>
    <x:row r="25" ht="14" customHeight="1">
      <x:c r="A25" s="1" t="str">
        <x:v>2970</x:v>
      </x:c>
      <x:c r="B25" s="1" t="str">
        <x:v>Gewinnvortrag bis 2023</x:v>
      </x:c>
      <x:c r="C25" s="9" t="n">
        <x:v>0</x:v>
      </x:c>
      <x:c r="D25" s="9" t="n">
        <x:v>0</x:v>
      </x:c>
      <x:c r="E25" s="9" t="n">
        <x:v>0</x:v>
      </x:c>
      <x:c r="F25" s="9" t="n">
        <x:v>0</x:v>
      </x:c>
      <x:c r="G25" s="9" t="n">
        <x:v>0</x:v>
      </x:c>
      <x:c r="H25" s="9" t="n">
        <x:v>0</x:v>
      </x:c>
      <x:c r="I25" s="9" t="n">
        <x:v>0</x:v>
      </x:c>
      <x:c r="J25" s="9" t="n">
        <x:v>0</x:v>
      </x:c>
      <x:c r="K25" s="9" t="n">
        <x:v>0</x:v>
      </x:c>
      <x:c r="L25" s="9" t="n">
        <x:v>0</x:v>
      </x:c>
      <x:c r="M25" s="9" t="n">
        <x:v>0</x:v>
      </x:c>
      <x:c r="N25" s="9" t="n">
        <x:v>0</x:v>
      </x:c>
      <x:c r="O25" s="8" t="n">
        <x:f>ROUND(SUM(C25:N25),2)</x:f>
        <x:v>0</x:v>
      </x:c>
      <x:c r="P25" s="9" t="n">
        <x:v>-705000</x:v>
      </x:c>
      <x:c r="Q25" s="8" t="n">
        <x:f>ROUND(P25+O25,2)</x:f>
        <x:v>-705000</x:v>
      </x:c>
    </x:row>
    <x:row r="26" ht="14" customHeight="1">
      <x:c r="A26" s="1" t="str">
        <x:v>2978</x:v>
      </x:c>
      <x:c r="B26" s="1" t="str">
        <x:v>Ergebnisvortrag 2024</x:v>
      </x:c>
      <x:c r="C26" s="9" t="n">
        <x:v>0</x:v>
      </x:c>
      <x:c r="D26" s="9" t="n">
        <x:v>0</x:v>
      </x:c>
      <x:c r="E26" s="9" t="n">
        <x:v>0</x:v>
      </x:c>
      <x:c r="F26" s="9" t="n">
        <x:v>0</x:v>
      </x:c>
      <x:c r="G26" s="9" t="n">
        <x:v>0</x:v>
      </x:c>
      <x:c r="H26" s="9" t="n">
        <x:v>0</x:v>
      </x:c>
      <x:c r="I26" s="9" t="n">
        <x:v>0</x:v>
      </x:c>
      <x:c r="J26" s="9" t="n">
        <x:v>0</x:v>
      </x:c>
      <x:c r="K26" s="9" t="n">
        <x:v>0</x:v>
      </x:c>
      <x:c r="L26" s="9" t="n">
        <x:v>0</x:v>
      </x:c>
      <x:c r="M26" s="9" t="n">
        <x:v>0</x:v>
      </x:c>
      <x:c r="N26" s="9" t="n">
        <x:v>0</x:v>
      </x:c>
      <x:c r="O26" s="8" t="n">
        <x:f>ROUND(SUM(C26:N26),2)</x:f>
        <x:v>0</x:v>
      </x:c>
      <x:c r="P26" s="9" t="n">
        <x:v>-274505</x:v>
      </x:c>
      <x:c r="Q26" s="8" t="n">
        <x:f>ROUND(P26+O26,2)</x:f>
        <x:v>-274505</x:v>
      </x:c>
    </x:row>
    <x:row r="27" ht="14" customHeight="1">
      <x:c r="A27" s="1" t="str">
        <x:v>3090</x:v>
      </x:c>
      <x:c r="B27" s="1" t="str">
        <x:v>Rückstellungen Abschluss und Urlaub</x:v>
      </x:c>
      <x:c r="C27" s="9" t="n">
        <x:v>0</x:v>
      </x:c>
      <x:c r="D27" s="9" t="n">
        <x:v>0</x:v>
      </x:c>
      <x:c r="E27" s="9" t="n">
        <x:v>0</x:v>
      </x:c>
      <x:c r="F27" s="9" t="n">
        <x:v>0</x:v>
      </x:c>
      <x:c r="G27" s="9" t="n">
        <x:v>0</x:v>
      </x:c>
      <x:c r="H27" s="9" t="n">
        <x:v>0</x:v>
      </x:c>
      <x:c r="I27" s="9" t="n">
        <x:v>0</x:v>
      </x:c>
      <x:c r="J27" s="9" t="n">
        <x:v>0</x:v>
      </x:c>
      <x:c r="K27" s="9" t="n">
        <x:v>0</x:v>
      </x:c>
      <x:c r="L27" s="9" t="n">
        <x:v>0</x:v>
      </x:c>
      <x:c r="M27" s="9" t="n">
        <x:v>0</x:v>
      </x:c>
      <x:c r="N27" s="9" t="n">
        <x:v>-18000</x:v>
      </x:c>
      <x:c r="O27" s="8" t="n">
        <x:f>ROUND(SUM(C27:N27),2)</x:f>
        <x:v>-18000</x:v>
      </x:c>
      <x:c r="P27" s="9" t="n">
        <x:v>-60000</x:v>
      </x:c>
      <x:c r="Q27" s="8" t="n">
        <x:f>ROUND(P27+O27,2)</x:f>
        <x:v>-78000</x:v>
      </x:c>
    </x:row>
    <x:row r="28" ht="14" customHeight="1">
      <x:c r="A28" s="1" t="str">
        <x:v>3150</x:v>
      </x:c>
      <x:c r="B28" s="1" t="str">
        <x:v>Investitionsdarlehen Frankenbogen</x:v>
      </x:c>
      <x:c r="C28" s="9" t="n">
        <x:v>10000</x:v>
      </x:c>
      <x:c r="D28" s="9" t="n">
        <x:v>10000</x:v>
      </x:c>
      <x:c r="E28" s="9" t="n">
        <x:v>10000</x:v>
      </x:c>
      <x:c r="F28" s="9" t="n">
        <x:v>10000</x:v>
      </x:c>
      <x:c r="G28" s="9" t="n">
        <x:v>10000</x:v>
      </x:c>
      <x:c r="H28" s="9" t="n">
        <x:v>10000</x:v>
      </x:c>
      <x:c r="I28" s="9" t="n">
        <x:v>10000</x:v>
      </x:c>
      <x:c r="J28" s="9" t="n">
        <x:v>10000</x:v>
      </x:c>
      <x:c r="K28" s="9" t="n">
        <x:v>10000</x:v>
      </x:c>
      <x:c r="L28" s="9" t="n">
        <x:v>10000</x:v>
      </x:c>
      <x:c r="M28" s="9" t="n">
        <x:v>10000</x:v>
      </x:c>
      <x:c r="N28" s="9" t="n">
        <x:v>10000</x:v>
      </x:c>
      <x:c r="O28" s="8" t="n">
        <x:f>ROUND(SUM(C28:N28),2)</x:f>
        <x:v>120000</x:v>
      </x:c>
      <x:c r="P28" s="9" t="n">
        <x:v>-480000</x:v>
      </x:c>
      <x:c r="Q28" s="8" t="n">
        <x:f>ROUND(P28+O28,2)</x:f>
        <x:v>-360000</x:v>
      </x:c>
    </x:row>
    <x:row r="29" ht="14" customHeight="1">
      <x:c r="A29" s="1" t="str">
        <x:v>3160</x:v>
      </x:c>
      <x:c r="B29" s="1" t="str">
        <x:v>Gesellschafterdarlehen</x:v>
      </x:c>
      <x:c r="C29" s="9" t="n">
        <x:v>0</x:v>
      </x:c>
      <x:c r="D29" s="9" t="n">
        <x:v>0</x:v>
      </x:c>
      <x:c r="E29" s="9" t="n">
        <x:v>0</x:v>
      </x:c>
      <x:c r="F29" s="9" t="n">
        <x:v>0</x:v>
      </x:c>
      <x:c r="G29" s="9" t="n">
        <x:v>0</x:v>
      </x:c>
      <x:c r="H29" s="9" t="n">
        <x:v>0</x:v>
      </x:c>
      <x:c r="I29" s="9" t="n">
        <x:v>0</x:v>
      </x:c>
      <x:c r="J29" s="9" t="n">
        <x:v>-100000</x:v>
      </x:c>
      <x:c r="K29" s="9" t="n">
        <x:v>0</x:v>
      </x:c>
      <x:c r="L29" s="9" t="n">
        <x:v>0</x:v>
      </x:c>
      <x:c r="M29" s="9" t="n">
        <x:v>0</x:v>
      </x:c>
      <x:c r="N29" s="9" t="n">
        <x:v>0</x:v>
      </x:c>
      <x:c r="O29" s="8" t="n">
        <x:f>ROUND(SUM(C29:N29),2)</x:f>
        <x:v>-100000</x:v>
      </x:c>
      <x:c r="P29" s="9" t="n">
        <x:v>0</x:v>
      </x:c>
      <x:c r="Q29" s="8" t="n">
        <x:f>ROUND(P29+O29,2)</x:f>
        <x:v>-100000</x:v>
      </x:c>
    </x:row>
    <x:row r="30" ht="14" customHeight="1">
      <x:c r="A30" s="1" t="str">
        <x:v>3300</x:v>
      </x:c>
      <x:c r="B30" s="1" t="str">
        <x:v>Verbindlichkeiten aus Lieferungen und Leistungen</x:v>
      </x:c>
      <x:c r="C30" s="9" t="n">
        <x:v>-50000</x:v>
      </x:c>
      <x:c r="D30" s="9" t="n">
        <x:v>-50000</x:v>
      </x:c>
      <x:c r="E30" s="9" t="n">
        <x:v>-60000</x:v>
      </x:c>
      <x:c r="F30" s="9" t="n">
        <x:v>-50000</x:v>
      </x:c>
      <x:c r="G30" s="9" t="n">
        <x:v>-70000</x:v>
      </x:c>
      <x:c r="H30" s="9" t="n">
        <x:v>-70000</x:v>
      </x:c>
      <x:c r="I30" s="9" t="n">
        <x:v>-50000</x:v>
      </x:c>
      <x:c r="J30" s="9" t="n">
        <x:v>-50000</x:v>
      </x:c>
      <x:c r="K30" s="9" t="n">
        <x:v>-80000</x:v>
      </x:c>
      <x:c r="L30" s="9" t="n">
        <x:v>-70000</x:v>
      </x:c>
      <x:c r="M30" s="9" t="n">
        <x:v>-110000</x:v>
      </x:c>
      <x:c r="N30" s="9" t="n">
        <x:v>-40000</x:v>
      </x:c>
      <x:c r="O30" s="8" t="n">
        <x:f>ROUND(SUM(C30:N30),2)</x:f>
        <x:v>-750000</x:v>
      </x:c>
      <x:c r="P30" s="9" t="n">
        <x:v>-700000</x:v>
      </x:c>
      <x:c r="Q30" s="8" t="n">
        <x:f>ROUND(P30+O30,2)</x:f>
        <x:v>-1450000</x:v>
      </x:c>
    </x:row>
    <x:row r="31" ht="14" customHeight="1">
      <x:c r="A31" s="1" t="str">
        <x:v>3500</x:v>
      </x:c>
      <x:c r="B31" s="1" t="str">
        <x:v>Sonstige Verbindlichkeiten</x:v>
      </x:c>
      <x:c r="C31" s="9" t="n">
        <x:v>0</x:v>
      </x:c>
      <x:c r="D31" s="9" t="n">
        <x:v>22000</x:v>
      </x:c>
      <x:c r="E31" s="9" t="n">
        <x:v>0</x:v>
      </x:c>
      <x:c r="F31" s="9" t="n">
        <x:v>0</x:v>
      </x:c>
      <x:c r="G31" s="9" t="n">
        <x:v>0</x:v>
      </x:c>
      <x:c r="H31" s="9" t="n">
        <x:v>0</x:v>
      </x:c>
      <x:c r="I31" s="9" t="n">
        <x:v>0</x:v>
      </x:c>
      <x:c r="J31" s="9" t="n">
        <x:v>0</x:v>
      </x:c>
      <x:c r="K31" s="9" t="n">
        <x:v>0</x:v>
      </x:c>
      <x:c r="L31" s="9" t="n">
        <x:v>0</x:v>
      </x:c>
      <x:c r="M31" s="9" t="n">
        <x:v>0</x:v>
      </x:c>
      <x:c r="N31" s="9" t="n">
        <x:v>0</x:v>
      </x:c>
      <x:c r="O31" s="8" t="n">
        <x:f>ROUND(SUM(C31:N31),2)</x:f>
        <x:v>22000</x:v>
      </x:c>
      <x:c r="P31" s="9" t="n">
        <x:v>-22000</x:v>
      </x:c>
      <x:c r="Q31" s="8" t="n">
        <x:f>ROUND(P31+O31,2)</x:f>
        <x:v>0</x:v>
      </x:c>
    </x:row>
    <x:row r="32" ht="14" customHeight="1">
      <x:c r="A32" s="1" t="str">
        <x:v>3720</x:v>
      </x:c>
      <x:c r="B32" s="1" t="str">
        <x:v>Verbindlichkeiten Nettolöhne</x:v>
      </x:c>
      <x:c r="C32" s="9" t="n">
        <x:v>0</x:v>
      </x:c>
      <x:c r="D32" s="9" t="n">
        <x:v>0</x:v>
      </x:c>
      <x:c r="E32" s="9" t="n">
        <x:v>0</x:v>
      </x:c>
      <x:c r="F32" s="9" t="n">
        <x:v>0</x:v>
      </x:c>
      <x:c r="G32" s="9" t="n">
        <x:v>0</x:v>
      </x:c>
      <x:c r="H32" s="9" t="n">
        <x:v>0</x:v>
      </x:c>
      <x:c r="I32" s="9" t="n">
        <x:v>0</x:v>
      </x:c>
      <x:c r="J32" s="9" t="n">
        <x:v>0</x:v>
      </x:c>
      <x:c r="K32" s="9" t="n">
        <x:v>0</x:v>
      </x:c>
      <x:c r="L32" s="9" t="n">
        <x:v>0</x:v>
      </x:c>
      <x:c r="M32" s="9" t="n">
        <x:v>0</x:v>
      </x:c>
      <x:c r="N32" s="9" t="n">
        <x:v>-35000</x:v>
      </x:c>
      <x:c r="O32" s="8" t="n">
        <x:f>ROUND(SUM(C32:N32),2)</x:f>
        <x:v>-35000</x:v>
      </x:c>
      <x:c r="P32" s="9" t="n">
        <x:v>0</x:v>
      </x:c>
      <x:c r="Q32" s="8" t="n">
        <x:f>ROUND(P32+O32,2)</x:f>
        <x:v>-35000</x:v>
      </x:c>
    </x:row>
    <x:row r="33" ht="14" customHeight="1">
      <x:c r="A33" s="1" t="str">
        <x:v>3730</x:v>
      </x:c>
      <x:c r="B33" s="1" t="str">
        <x:v>Verbindlichkeiten Lohnsteuer</x:v>
      </x:c>
      <x:c r="C33" s="9" t="n">
        <x:v>-225</x:v>
      </x:c>
      <x:c r="D33" s="9" t="n">
        <x:v>0</x:v>
      </x:c>
      <x:c r="E33" s="9" t="n">
        <x:v>0</x:v>
      </x:c>
      <x:c r="F33" s="9" t="n">
        <x:v>0</x:v>
      </x:c>
      <x:c r="G33" s="9" t="n">
        <x:v>0</x:v>
      </x:c>
      <x:c r="H33" s="9" t="n">
        <x:v>0</x:v>
      </x:c>
      <x:c r="I33" s="9" t="n">
        <x:v>-225</x:v>
      </x:c>
      <x:c r="J33" s="9" t="n">
        <x:v>0</x:v>
      </x:c>
      <x:c r="K33" s="9" t="n">
        <x:v>0</x:v>
      </x:c>
      <x:c r="L33" s="9" t="n">
        <x:v>0</x:v>
      </x:c>
      <x:c r="M33" s="9" t="n">
        <x:v>0</x:v>
      </x:c>
      <x:c r="N33" s="9" t="n">
        <x:v>0</x:v>
      </x:c>
      <x:c r="O33" s="8" t="n">
        <x:f>ROUND(SUM(C33:N33),2)</x:f>
        <x:v>-450</x:v>
      </x:c>
      <x:c r="P33" s="9" t="n">
        <x:v>-12900</x:v>
      </x:c>
      <x:c r="Q33" s="8" t="n">
        <x:f>ROUND(P33+O33,2)</x:f>
        <x:v>-13350</x:v>
      </x:c>
    </x:row>
    <x:row r="34" ht="14" customHeight="1">
      <x:c r="A34" s="1" t="str">
        <x:v>3740</x:v>
      </x:c>
      <x:c r="B34" s="1" t="str">
        <x:v>Verbindlichkeiten Sozialversicherung</x:v>
      </x:c>
      <x:c r="C34" s="9" t="n">
        <x:v>0</x:v>
      </x:c>
      <x:c r="D34" s="9" t="n">
        <x:v>0</x:v>
      </x:c>
      <x:c r="E34" s="9" t="n">
        <x:v>0</x:v>
      </x:c>
      <x:c r="F34" s="9" t="n">
        <x:v>0</x:v>
      </x:c>
      <x:c r="G34" s="9" t="n">
        <x:v>0</x:v>
      </x:c>
      <x:c r="H34" s="9" t="n">
        <x:v>0</x:v>
      </x:c>
      <x:c r="I34" s="9" t="n">
        <x:v>0</x:v>
      </x:c>
      <x:c r="J34" s="9" t="n">
        <x:v>0</x:v>
      </x:c>
      <x:c r="K34" s="9" t="n">
        <x:v>0</x:v>
      </x:c>
      <x:c r="L34" s="9" t="n">
        <x:v>0</x:v>
      </x:c>
      <x:c r="M34" s="9" t="n">
        <x:v>0</x:v>
      </x:c>
      <x:c r="N34" s="9" t="n">
        <x:v>-22000</x:v>
      </x:c>
      <x:c r="O34" s="8" t="n">
        <x:f>ROUND(SUM(C34:N34),2)</x:f>
        <x:v>-22000</x:v>
      </x:c>
      <x:c r="P34" s="9" t="n">
        <x:v>0</x:v>
      </x:c>
      <x:c r="Q34" s="8" t="n">
        <x:f>ROUND(P34+O34,2)</x:f>
        <x:v>-22000</x:v>
      </x:c>
    </x:row>
    <x:row r="35" ht="14" customHeight="1">
      <x:c r="A35" s="1" t="str">
        <x:v>3801</x:v>
      </x:c>
      <x:c r="B35" s="1" t="str">
        <x:v>Umsatzsteuer Inland 7 Prozent</x:v>
      </x:c>
      <x:c r="C35" s="9" t="n">
        <x:v>0</x:v>
      </x:c>
      <x:c r="D35" s="9" t="n">
        <x:v>0</x:v>
      </x:c>
      <x:c r="E35" s="9" t="n">
        <x:v>0</x:v>
      </x:c>
      <x:c r="F35" s="9" t="n">
        <x:v>0</x:v>
      </x:c>
      <x:c r="G35" s="9" t="n">
        <x:v>0</x:v>
      </x:c>
      <x:c r="H35" s="9" t="n">
        <x:v>0</x:v>
      </x:c>
      <x:c r="I35" s="9" t="n">
        <x:v>0</x:v>
      </x:c>
      <x:c r="J35" s="9" t="n">
        <x:v>0</x:v>
      </x:c>
      <x:c r="K35" s="9" t="n">
        <x:v>0</x:v>
      </x:c>
      <x:c r="L35" s="9" t="n">
        <x:v>0</x:v>
      </x:c>
      <x:c r="M35" s="9" t="n">
        <x:v>0</x:v>
      </x:c>
      <x:c r="N35" s="9" t="n">
        <x:v>0</x:v>
      </x:c>
      <x:c r="O35" s="8" t="n">
        <x:f>ROUND(SUM(C35:N35),2)</x:f>
        <x:v>0</x:v>
      </x:c>
      <x:c r="P35" s="9" t="n">
        <x:v>0</x:v>
      </x:c>
      <x:c r="Q35" s="8" t="n">
        <x:f>ROUND(P35+O35,2)</x:f>
        <x:v>0</x:v>
      </x:c>
    </x:row>
    <x:row r="36" ht="14" customHeight="1">
      <x:c r="A36" s="1" t="str">
        <x:v>3806</x:v>
      </x:c>
      <x:c r="B36" s="1" t="str">
        <x:v>Umsatzsteuer Inland 19 Prozent</x:v>
      </x:c>
      <x:c r="C36" s="9" t="n">
        <x:v>0</x:v>
      </x:c>
      <x:c r="D36" s="9" t="n">
        <x:v>0</x:v>
      </x:c>
      <x:c r="E36" s="9" t="n">
        <x:v>0</x:v>
      </x:c>
      <x:c r="F36" s="9" t="n">
        <x:v>0</x:v>
      </x:c>
      <x:c r="G36" s="9" t="n">
        <x:v>0</x:v>
      </x:c>
      <x:c r="H36" s="9" t="n">
        <x:v>0</x:v>
      </x:c>
      <x:c r="I36" s="9" t="n">
        <x:v>0</x:v>
      </x:c>
      <x:c r="J36" s="9" t="n">
        <x:v>0</x:v>
      </x:c>
      <x:c r="K36" s="9" t="n">
        <x:v>0</x:v>
      </x:c>
      <x:c r="L36" s="9" t="n">
        <x:v>0</x:v>
      </x:c>
      <x:c r="M36" s="9" t="n">
        <x:v>0</x:v>
      </x:c>
      <x:c r="N36" s="9" t="n">
        <x:v>0</x:v>
      </x:c>
      <x:c r="O36" s="8" t="n">
        <x:f>ROUND(SUM(C36:N36),2)</x:f>
        <x:v>0</x:v>
      </x:c>
      <x:c r="P36" s="9" t="n">
        <x:v>0</x:v>
      </x:c>
      <x:c r="Q36" s="8" t="n">
        <x:f>ROUND(P36+O36,2)</x:f>
        <x:v>0</x:v>
      </x:c>
    </x:row>
    <x:row r="37" ht="14" customHeight="1">
      <x:c r="A37" s="1" t="str">
        <x:v>3804</x:v>
      </x:c>
      <x:c r="B37" s="1" t="str">
        <x:v>Umsatzsteuer EU Erwerb 7 Prozent</x:v>
      </x:c>
      <x:c r="C37" s="9" t="n">
        <x:v>0</x:v>
      </x:c>
      <x:c r="D37" s="9" t="n">
        <x:v>0</x:v>
      </x:c>
      <x:c r="E37" s="9" t="n">
        <x:v>0</x:v>
      </x:c>
      <x:c r="F37" s="9" t="n">
        <x:v>0</x:v>
      </x:c>
      <x:c r="G37" s="9" t="n">
        <x:v>0</x:v>
      </x:c>
      <x:c r="H37" s="9" t="n">
        <x:v>0</x:v>
      </x:c>
      <x:c r="I37" s="9" t="n">
        <x:v>0</x:v>
      </x:c>
      <x:c r="J37" s="9" t="n">
        <x:v>0</x:v>
      </x:c>
      <x:c r="K37" s="9" t="n">
        <x:v>0</x:v>
      </x:c>
      <x:c r="L37" s="9" t="n">
        <x:v>0</x:v>
      </x:c>
      <x:c r="M37" s="9" t="n">
        <x:v>0</x:v>
      </x:c>
      <x:c r="N37" s="9" t="n">
        <x:v>0</x:v>
      </x:c>
      <x:c r="O37" s="8" t="n">
        <x:f>ROUND(SUM(C37:N37),2)</x:f>
        <x:v>0</x:v>
      </x:c>
      <x:c r="P37" s="9" t="n">
        <x:v>0</x:v>
      </x:c>
      <x:c r="Q37" s="8" t="n">
        <x:f>ROUND(P37+O37,2)</x:f>
        <x:v>0</x:v>
      </x:c>
    </x:row>
    <x:row r="38" ht="14" customHeight="1">
      <x:c r="A38" s="1" t="str">
        <x:v>3809</x:v>
      </x:c>
      <x:c r="B38" s="1" t="str">
        <x:v>Umsatzsteuer EU Erwerb 19 Prozent</x:v>
      </x:c>
      <x:c r="C38" s="9" t="n">
        <x:v>0</x:v>
      </x:c>
      <x:c r="D38" s="9" t="n">
        <x:v>0</x:v>
      </x:c>
      <x:c r="E38" s="9" t="n">
        <x:v>0</x:v>
      </x:c>
      <x:c r="F38" s="9" t="n">
        <x:v>0</x:v>
      </x:c>
      <x:c r="G38" s="9" t="n">
        <x:v>0</x:v>
      </x:c>
      <x:c r="H38" s="9" t="n">
        <x:v>0</x:v>
      </x:c>
      <x:c r="I38" s="9" t="n">
        <x:v>0</x:v>
      </x:c>
      <x:c r="J38" s="9" t="n">
        <x:v>0</x:v>
      </x:c>
      <x:c r="K38" s="9" t="n">
        <x:v>0</x:v>
      </x:c>
      <x:c r="L38" s="9" t="n">
        <x:v>0</x:v>
      </x:c>
      <x:c r="M38" s="9" t="n">
        <x:v>0</x:v>
      </x:c>
      <x:c r="N38" s="9" t="n">
        <x:v>0</x:v>
      </x:c>
      <x:c r="O38" s="8" t="n">
        <x:f>ROUND(SUM(C38:N38),2)</x:f>
        <x:v>0</x:v>
      </x:c>
      <x:c r="P38" s="9" t="n">
        <x:v>0</x:v>
      </x:c>
      <x:c r="Q38" s="8" t="n">
        <x:f>ROUND(P38+O38,2)</x:f>
        <x:v>0</x:v>
      </x:c>
    </x:row>
    <x:row r="39" ht="14" customHeight="1">
      <x:c r="A39" s="1" t="str">
        <x:v>3820</x:v>
      </x:c>
      <x:c r="B39" s="1" t="str">
        <x:v>Umsatzsteuer Verrechnung Finanzamt</x:v>
      </x:c>
      <x:c r="C39" s="9" t="n">
        <x:v>8495.01</x:v>
      </x:c>
      <x:c r="D39" s="9" t="n">
        <x:v>538.95</x:v>
      </x:c>
      <x:c r="E39" s="9" t="n">
        <x:v>3743.98</x:v>
      </x:c>
      <x:c r="F39" s="9" t="n">
        <x:v>-1931.46</x:v>
      </x:c>
      <x:c r="G39" s="9" t="n">
        <x:v>-820.03</x:v>
      </x:c>
      <x:c r="H39" s="9" t="n">
        <x:v>1468.97</x:v>
      </x:c>
      <x:c r="I39" s="9" t="n">
        <x:v>-812.35</x:v>
      </x:c>
      <x:c r="J39" s="9" t="n">
        <x:v>438.49</x:v>
      </x:c>
      <x:c r="K39" s="9" t="n">
        <x:v>963.13</x:v>
      </x:c>
      <x:c r="L39" s="9" t="n">
        <x:v>-1250.95</x:v>
      </x:c>
      <x:c r="M39" s="9" t="n">
        <x:v>15396.35</x:v>
      </x:c>
      <x:c r="N39" s="9" t="n">
        <x:v>13620.41</x:v>
      </x:c>
      <x:c r="O39" s="8" t="n">
        <x:f>ROUND(SUM(C39:N39),2)</x:f>
        <x:v>39850.5</x:v>
      </x:c>
      <x:c r="P39" s="9" t="n">
        <x:v>3858.54</x:v>
      </x:c>
      <x:c r="Q39" s="8" t="n">
        <x:f>ROUND(P39+O39,2)</x:f>
        <x:v>43709.04</x:v>
      </x:c>
    </x:row>
    <x:row r="40" ht="14" customHeight="1">
      <x:c r="A40" s="1" t="str">
        <x:v>3840</x:v>
      </x:c>
      <x:c r="B40" s="1" t="str">
        <x:v>Ertragsteuern Verrechnung</x:v>
      </x:c>
      <x:c r="C40" s="9" t="n">
        <x:v>0</x:v>
      </x:c>
      <x:c r="D40" s="9" t="n">
        <x:v>0</x:v>
      </x:c>
      <x:c r="E40" s="9" t="n">
        <x:v>6000</x:v>
      </x:c>
      <x:c r="F40" s="9" t="n">
        <x:v>0</x:v>
      </x:c>
      <x:c r="G40" s="9" t="n">
        <x:v>0</x:v>
      </x:c>
      <x:c r="H40" s="9" t="n">
        <x:v>6000</x:v>
      </x:c>
      <x:c r="I40" s="9" t="n">
        <x:v>0</x:v>
      </x:c>
      <x:c r="J40" s="9" t="n">
        <x:v>0</x:v>
      </x:c>
      <x:c r="K40" s="9" t="n">
        <x:v>6000</x:v>
      </x:c>
      <x:c r="L40" s="9" t="n">
        <x:v>0</x:v>
      </x:c>
      <x:c r="M40" s="9" t="n">
        <x:v>0</x:v>
      </x:c>
      <x:c r="N40" s="9" t="n">
        <x:v>6000</x:v>
      </x:c>
      <x:c r="O40" s="8" t="n">
        <x:f>ROUND(SUM(C40:N40),2)</x:f>
        <x:v>24000</x:v>
      </x:c>
      <x:c r="P40" s="9" t="n">
        <x:v>-37000</x:v>
      </x:c>
      <x:c r="Q40" s="8" t="n">
        <x:f>ROUND(P40+O40,2)</x:f>
        <x:v>-13000</x:v>
      </x:c>
    </x:row>
    <x:row r="41" ht="14" customHeight="1">
      <x:c r="A41" s="1" t="str">
        <x:v>4300</x:v>
      </x:c>
      <x:c r="B41" s="1" t="str">
        <x:v>Erlöse Inland 7 Prozent</x:v>
      </x:c>
      <x:c r="C41" s="9" t="n">
        <x:v>-283500</x:v>
      </x:c>
      <x:c r="D41" s="9" t="n">
        <x:v>-270000</x:v>
      </x:c>
      <x:c r="E41" s="9" t="n">
        <x:v>-261000</x:v>
      </x:c>
      <x:c r="F41" s="9" t="n">
        <x:v>-247500</x:v>
      </x:c>
      <x:c r="G41" s="9" t="n">
        <x:v>-238500</x:v>
      </x:c>
      <x:c r="H41" s="9" t="n">
        <x:v>-225000</x:v>
      </x:c>
      <x:c r="I41" s="9" t="n">
        <x:v>-211500</x:v>
      </x:c>
      <x:c r="J41" s="9" t="n">
        <x:v>-198000</x:v>
      </x:c>
      <x:c r="K41" s="9" t="n">
        <x:v>-193500</x:v>
      </x:c>
      <x:c r="L41" s="9" t="n">
        <x:v>-189000</x:v>
      </x:c>
      <x:c r="M41" s="9" t="n">
        <x:v>-216000</x:v>
      </x:c>
      <x:c r="N41" s="9" t="n">
        <x:v>-220500</x:v>
      </x:c>
      <x:c r="O41" s="8" t="n">
        <x:f>ROUND(SUM(C41:N41),2)</x:f>
        <x:v>-2754000</x:v>
      </x:c>
      <x:c r="P41" s="9" t="n">
        <x:v>0</x:v>
      </x:c>
      <x:c r="Q41" s="8" t="n">
        <x:f>ROUND(P41+O41,2)</x:f>
        <x:v>-2754000</x:v>
      </x:c>
    </x:row>
    <x:row r="42" ht="14" customHeight="1">
      <x:c r="A42" s="1" t="str">
        <x:v>4400</x:v>
      </x:c>
      <x:c r="B42" s="1" t="str">
        <x:v>Erlöse Inland 19 Prozent</x:v>
      </x:c>
      <x:c r="C42" s="9" t="n">
        <x:v>-63000</x:v>
      </x:c>
      <x:c r="D42" s="9" t="n">
        <x:v>-60000</x:v>
      </x:c>
      <x:c r="E42" s="9" t="n">
        <x:v>-58000</x:v>
      </x:c>
      <x:c r="F42" s="9" t="n">
        <x:v>-55000</x:v>
      </x:c>
      <x:c r="G42" s="9" t="n">
        <x:v>-53000</x:v>
      </x:c>
      <x:c r="H42" s="9" t="n">
        <x:v>-50000</x:v>
      </x:c>
      <x:c r="I42" s="9" t="n">
        <x:v>-47000</x:v>
      </x:c>
      <x:c r="J42" s="9" t="n">
        <x:v>-44000</x:v>
      </x:c>
      <x:c r="K42" s="9" t="n">
        <x:v>-43000</x:v>
      </x:c>
      <x:c r="L42" s="9" t="n">
        <x:v>-42000</x:v>
      </x:c>
      <x:c r="M42" s="9" t="n">
        <x:v>-48000</x:v>
      </x:c>
      <x:c r="N42" s="9" t="n">
        <x:v>-49000</x:v>
      </x:c>
      <x:c r="O42" s="8" t="n">
        <x:f>ROUND(SUM(C42:N42),2)</x:f>
        <x:v>-612000</x:v>
      </x:c>
      <x:c r="P42" s="9" t="n">
        <x:v>0</x:v>
      </x:c>
      <x:c r="Q42" s="8" t="n">
        <x:f>ROUND(P42+O42,2)</x:f>
        <x:v>-612000</x:v>
      </x:c>
    </x:row>
    <x:row r="43" ht="14" customHeight="1">
      <x:c r="A43" s="1" t="str">
        <x:v>4125</x:v>
      </x:c>
      <x:c r="B43" s="1" t="str">
        <x:v>Erlöse EU Warenlieferungen</x:v>
      </x:c>
      <x:c r="C43" s="9" t="n">
        <x:v>-126000</x:v>
      </x:c>
      <x:c r="D43" s="9" t="n">
        <x:v>-120000</x:v>
      </x:c>
      <x:c r="E43" s="9" t="n">
        <x:v>-116000</x:v>
      </x:c>
      <x:c r="F43" s="9" t="n">
        <x:v>-110000</x:v>
      </x:c>
      <x:c r="G43" s="9" t="n">
        <x:v>-106000</x:v>
      </x:c>
      <x:c r="H43" s="9" t="n">
        <x:v>-100000</x:v>
      </x:c>
      <x:c r="I43" s="9" t="n">
        <x:v>-94000</x:v>
      </x:c>
      <x:c r="J43" s="9" t="n">
        <x:v>-88000</x:v>
      </x:c>
      <x:c r="K43" s="9" t="n">
        <x:v>-86000</x:v>
      </x:c>
      <x:c r="L43" s="9" t="n">
        <x:v>-84000</x:v>
      </x:c>
      <x:c r="M43" s="9" t="n">
        <x:v>-96000</x:v>
      </x:c>
      <x:c r="N43" s="9" t="n">
        <x:v>-98000</x:v>
      </x:c>
      <x:c r="O43" s="8" t="n">
        <x:f>ROUND(SUM(C43:N43),2)</x:f>
        <x:v>-1224000</x:v>
      </x:c>
      <x:c r="P43" s="9" t="n">
        <x:v>0</x:v>
      </x:c>
      <x:c r="Q43" s="8" t="n">
        <x:f>ROUND(P43+O43,2)</x:f>
        <x:v>-1224000</x:v>
      </x:c>
    </x:row>
    <x:row r="44" ht="14" customHeight="1">
      <x:c r="A44" s="1" t="str">
        <x:v>4120</x:v>
      </x:c>
      <x:c r="B44" s="1" t="str">
        <x:v>Erlöse Drittland Warenlieferungen</x:v>
      </x:c>
      <x:c r="C44" s="9" t="n">
        <x:v>-157500</x:v>
      </x:c>
      <x:c r="D44" s="9" t="n">
        <x:v>-150000</x:v>
      </x:c>
      <x:c r="E44" s="9" t="n">
        <x:v>-145000</x:v>
      </x:c>
      <x:c r="F44" s="9" t="n">
        <x:v>-137500</x:v>
      </x:c>
      <x:c r="G44" s="9" t="n">
        <x:v>-132500</x:v>
      </x:c>
      <x:c r="H44" s="9" t="n">
        <x:v>-125000</x:v>
      </x:c>
      <x:c r="I44" s="9" t="n">
        <x:v>-117500</x:v>
      </x:c>
      <x:c r="J44" s="9" t="n">
        <x:v>-110000</x:v>
      </x:c>
      <x:c r="K44" s="9" t="n">
        <x:v>-107500</x:v>
      </x:c>
      <x:c r="L44" s="9" t="n">
        <x:v>-105000</x:v>
      </x:c>
      <x:c r="M44" s="9" t="n">
        <x:v>-120000</x:v>
      </x:c>
      <x:c r="N44" s="9" t="n">
        <x:v>-122500</x:v>
      </x:c>
      <x:c r="O44" s="8" t="n">
        <x:f>ROUND(SUM(C44:N44),2)</x:f>
        <x:v>-1530000</x:v>
      </x:c>
      <x:c r="P44" s="9" t="n">
        <x:v>0</x:v>
      </x:c>
      <x:c r="Q44" s="8" t="n">
        <x:f>ROUND(P44+O44,2)</x:f>
        <x:v>-1530000</x:v>
      </x:c>
    </x:row>
    <x:row r="45" ht="14" customHeight="1">
      <x:c r="A45" s="1" t="str">
        <x:v>4730</x:v>
      </x:c>
      <x:c r="B45" s="1" t="str">
        <x:v>Erlösschmälerungen Inland 7 Prozent</x:v>
      </x:c>
      <x:c r="C45" s="9" t="n">
        <x:v>2910</x:v>
      </x:c>
      <x:c r="D45" s="9" t="n">
        <x:v>3120</x:v>
      </x:c>
      <x:c r="E45" s="9" t="n">
        <x:v>3330</x:v>
      </x:c>
      <x:c r="F45" s="9" t="n">
        <x:v>3540</x:v>
      </x:c>
      <x:c r="G45" s="9" t="n">
        <x:v>3750</x:v>
      </x:c>
      <x:c r="H45" s="9" t="n">
        <x:v>3960</x:v>
      </x:c>
      <x:c r="I45" s="9" t="n">
        <x:v>4170</x:v>
      </x:c>
      <x:c r="J45" s="9" t="n">
        <x:v>4380</x:v>
      </x:c>
      <x:c r="K45" s="9" t="n">
        <x:v>4590</x:v>
      </x:c>
      <x:c r="L45" s="9" t="n">
        <x:v>4800</x:v>
      </x:c>
      <x:c r="M45" s="9" t="n">
        <x:v>5010</x:v>
      </x:c>
      <x:c r="N45" s="9" t="n">
        <x:v>5220</x:v>
      </x:c>
      <x:c r="O45" s="8" t="n">
        <x:f>ROUND(SUM(C45:N45),2)</x:f>
        <x:v>48780</x:v>
      </x:c>
      <x:c r="P45" s="9" t="n">
        <x:v>0</x:v>
      </x:c>
      <x:c r="Q45" s="8" t="n">
        <x:f>ROUND(P45+O45,2)</x:f>
        <x:v>48780</x:v>
      </x:c>
    </x:row>
    <x:row r="46" ht="14" customHeight="1">
      <x:c r="A46" s="1" t="str">
        <x:v>4735</x:v>
      </x:c>
      <x:c r="B46" s="1" t="str">
        <x:v>Erlösschmälerungen EU</x:v>
      </x:c>
      <x:c r="C46" s="9" t="n">
        <x:v>1940</x:v>
      </x:c>
      <x:c r="D46" s="9" t="n">
        <x:v>2080</x:v>
      </x:c>
      <x:c r="E46" s="9" t="n">
        <x:v>2220</x:v>
      </x:c>
      <x:c r="F46" s="9" t="n">
        <x:v>2360</x:v>
      </x:c>
      <x:c r="G46" s="9" t="n">
        <x:v>2500</x:v>
      </x:c>
      <x:c r="H46" s="9" t="n">
        <x:v>2640</x:v>
      </x:c>
      <x:c r="I46" s="9" t="n">
        <x:v>2780</x:v>
      </x:c>
      <x:c r="J46" s="9" t="n">
        <x:v>2920</x:v>
      </x:c>
      <x:c r="K46" s="9" t="n">
        <x:v>3060</x:v>
      </x:c>
      <x:c r="L46" s="9" t="n">
        <x:v>3200</x:v>
      </x:c>
      <x:c r="M46" s="9" t="n">
        <x:v>3340</x:v>
      </x:c>
      <x:c r="N46" s="9" t="n">
        <x:v>3480</x:v>
      </x:c>
      <x:c r="O46" s="8" t="n">
        <x:f>ROUND(SUM(C46:N46),2)</x:f>
        <x:v>32520</x:v>
      </x:c>
      <x:c r="P46" s="9" t="n">
        <x:v>0</x:v>
      </x:c>
      <x:c r="Q46" s="8" t="n">
        <x:f>ROUND(P46+O46,2)</x:f>
        <x:v>32520</x:v>
      </x:c>
    </x:row>
    <x:row r="47" ht="14" customHeight="1">
      <x:c r="A47" s="1" t="str">
        <x:v>4830</x:v>
      </x:c>
      <x:c r="B47" s="1" t="str">
        <x:v>Sonstige betriebliche Erträge</x:v>
      </x:c>
      <x:c r="C47" s="9" t="n">
        <x:v>0</x:v>
      </x:c>
      <x:c r="D47" s="9" t="n">
        <x:v>0</x:v>
      </x:c>
      <x:c r="E47" s="9" t="n">
        <x:v>0</x:v>
      </x:c>
      <x:c r="F47" s="9" t="n">
        <x:v>0</x:v>
      </x:c>
      <x:c r="G47" s="9" t="n">
        <x:v>0</x:v>
      </x:c>
      <x:c r="H47" s="9" t="n">
        <x:v>0</x:v>
      </x:c>
      <x:c r="I47" s="9" t="n">
        <x:v>0</x:v>
      </x:c>
      <x:c r="J47" s="9" t="n">
        <x:v>0</x:v>
      </x:c>
      <x:c r="K47" s="9" t="n">
        <x:v>0</x:v>
      </x:c>
      <x:c r="L47" s="9" t="n">
        <x:v>0</x:v>
      </x:c>
      <x:c r="M47" s="9" t="n">
        <x:v>0</x:v>
      </x:c>
      <x:c r="N47" s="9" t="n">
        <x:v>0</x:v>
      </x:c>
      <x:c r="O47" s="8" t="n">
        <x:f>ROUND(SUM(C47:N47),2)</x:f>
        <x:v>0</x:v>
      </x:c>
      <x:c r="P47" s="9" t="n">
        <x:v>0</x:v>
      </x:c>
      <x:c r="Q47" s="8" t="n">
        <x:f>ROUND(P47+O47,2)</x:f>
        <x:v>0</x:v>
      </x:c>
    </x:row>
    <x:row r="48" ht="14" customHeight="1">
      <x:c r="A48" s="1" t="str">
        <x:v>5000</x:v>
      </x:c>
      <x:c r="B48" s="1" t="str">
        <x:v>Wareneinsatz</x:v>
      </x:c>
      <x:c r="C48" s="9" t="n">
        <x:v>418850.5</x:v>
      </x:c>
      <x:c r="D48" s="9" t="n">
        <x:v>401490</x:v>
      </x:c>
      <x:c r="E48" s="9" t="n">
        <x:v>390626</x:v>
      </x:c>
      <x:c r="F48" s="9" t="n">
        <x:v>369988</x:v>
      </x:c>
      <x:c r="G48" s="9" t="n">
        <x:v>361387.5</x:v>
      </x:c>
      <x:c r="H48" s="9" t="n">
        <x:v>340446</x:v>
      </x:c>
      <x:c r="I48" s="9" t="n">
        <x:v>324135</x:v>
      </x:c>
      <x:c r="J48" s="9" t="n">
        <x:v>307217</x:v>
      </x:c>
      <x:c r="K48" s="9" t="n">
        <x:v>304092</x:v>
      </x:c>
      <x:c r="L48" s="9" t="n">
        <x:v>296640</x:v>
      </x:c>
      <x:c r="M48" s="9" t="n">
        <x:v>344304.5</x:v>
      </x:c>
      <x:c r="N48" s="9" t="n">
        <x:v>351349</x:v>
      </x:c>
      <x:c r="O48" s="8" t="n">
        <x:f>ROUND(SUM(C48:N48),2)</x:f>
        <x:v>4210525.5</x:v>
      </x:c>
      <x:c r="P48" s="9" t="n">
        <x:v>0</x:v>
      </x:c>
      <x:c r="Q48" s="8" t="n">
        <x:f>ROUND(P48+O48,2)</x:f>
        <x:v>4210525.5</x:v>
      </x:c>
    </x:row>
    <x:row r="49" ht="14" customHeight="1">
      <x:c r="A49" s="1" t="str">
        <x:v>5005</x:v>
      </x:c>
      <x:c r="B49" s="1" t="str">
        <x:v>Abwertung Warenbestand</x:v>
      </x:c>
      <x:c r="C49" s="9" t="n">
        <x:v>0</x:v>
      </x:c>
      <x:c r="D49" s="9" t="n">
        <x:v>0</x:v>
      </x:c>
      <x:c r="E49" s="9" t="n">
        <x:v>0</x:v>
      </x:c>
      <x:c r="F49" s="9" t="n">
        <x:v>0</x:v>
      </x:c>
      <x:c r="G49" s="9" t="n">
        <x:v>0</x:v>
      </x:c>
      <x:c r="H49" s="9" t="n">
        <x:v>0</x:v>
      </x:c>
      <x:c r="I49" s="9" t="n">
        <x:v>0</x:v>
      </x:c>
      <x:c r="J49" s="9" t="n">
        <x:v>0</x:v>
      </x:c>
      <x:c r="K49" s="9" t="n">
        <x:v>0</x:v>
      </x:c>
      <x:c r="L49" s="9" t="n">
        <x:v>0</x:v>
      </x:c>
      <x:c r="M49" s="9" t="n">
        <x:v>0</x:v>
      </x:c>
      <x:c r="N49" s="9" t="n">
        <x:v>200000</x:v>
      </x:c>
      <x:c r="O49" s="8" t="n">
        <x:f>ROUND(SUM(C49:N49),2)</x:f>
        <x:v>200000</x:v>
      </x:c>
      <x:c r="P49" s="9" t="n">
        <x:v>0</x:v>
      </x:c>
      <x:c r="Q49" s="8" t="n">
        <x:f>ROUND(P49+O49,2)</x:f>
        <x:v>200000</x:v>
      </x:c>
    </x:row>
    <x:row r="50" ht="14" customHeight="1">
      <x:c r="A50" s="1" t="str">
        <x:v>6020</x:v>
      </x:c>
      <x:c r="B50" s="1" t="str">
        <x:v>Bruttogehälter</x:v>
      </x:c>
      <x:c r="C50" s="9" t="n">
        <x:v>87500</x:v>
      </x:c>
      <x:c r="D50" s="9" t="n">
        <x:v>87500</x:v>
      </x:c>
      <x:c r="E50" s="9" t="n">
        <x:v>87500</x:v>
      </x:c>
      <x:c r="F50" s="9" t="n">
        <x:v>87500</x:v>
      </x:c>
      <x:c r="G50" s="9" t="n">
        <x:v>87500</x:v>
      </x:c>
      <x:c r="H50" s="9" t="n">
        <x:v>87500</x:v>
      </x:c>
      <x:c r="I50" s="9" t="n">
        <x:v>89000</x:v>
      </x:c>
      <x:c r="J50" s="9" t="n">
        <x:v>89000</x:v>
      </x:c>
      <x:c r="K50" s="9" t="n">
        <x:v>89000</x:v>
      </x:c>
      <x:c r="L50" s="9" t="n">
        <x:v>89000</x:v>
      </x:c>
      <x:c r="M50" s="9" t="n">
        <x:v>89000</x:v>
      </x:c>
      <x:c r="N50" s="9" t="n">
        <x:v>89000</x:v>
      </x:c>
      <x:c r="O50" s="8" t="n">
        <x:f>ROUND(SUM(C50:N50),2)</x:f>
        <x:v>1059000</x:v>
      </x:c>
      <x:c r="P50" s="9" t="n">
        <x:v>0</x:v>
      </x:c>
      <x:c r="Q50" s="8" t="n">
        <x:f>ROUND(P50+O50,2)</x:f>
        <x:v>1059000</x:v>
      </x:c>
    </x:row>
    <x:row r="51" ht="14" customHeight="1">
      <x:c r="A51" s="1" t="str">
        <x:v>6110</x:v>
      </x:c>
      <x:c r="B51" s="1" t="str">
        <x:v>Arbeitgeberanteile Sozialversicherung</x:v>
      </x:c>
      <x:c r="C51" s="9" t="n">
        <x:v>19000</x:v>
      </x:c>
      <x:c r="D51" s="9" t="n">
        <x:v>19000</x:v>
      </x:c>
      <x:c r="E51" s="9" t="n">
        <x:v>19000</x:v>
      </x:c>
      <x:c r="F51" s="9" t="n">
        <x:v>19000</x:v>
      </x:c>
      <x:c r="G51" s="9" t="n">
        <x:v>19000</x:v>
      </x:c>
      <x:c r="H51" s="9" t="n">
        <x:v>19000</x:v>
      </x:c>
      <x:c r="I51" s="9" t="n">
        <x:v>19000</x:v>
      </x:c>
      <x:c r="J51" s="9" t="n">
        <x:v>19000</x:v>
      </x:c>
      <x:c r="K51" s="9" t="n">
        <x:v>19000</x:v>
      </x:c>
      <x:c r="L51" s="9" t="n">
        <x:v>19000</x:v>
      </x:c>
      <x:c r="M51" s="9" t="n">
        <x:v>19000</x:v>
      </x:c>
      <x:c r="N51" s="9" t="n">
        <x:v>19000</x:v>
      </x:c>
      <x:c r="O51" s="8" t="n">
        <x:f>ROUND(SUM(C51:N51),2)</x:f>
        <x:v>228000</x:v>
      </x:c>
      <x:c r="P51" s="9" t="n">
        <x:v>0</x:v>
      </x:c>
      <x:c r="Q51" s="8" t="n">
        <x:f>ROUND(P51+O51,2)</x:f>
        <x:v>228000</x:v>
      </x:c>
    </x:row>
    <x:row r="52" ht="14" customHeight="1">
      <x:c r="A52" s="1" t="str">
        <x:v>6220</x:v>
      </x:c>
      <x:c r="B52" s="1" t="str">
        <x:v>Abschreibungen Sachanlagen und Software</x:v>
      </x:c>
      <x:c r="C52" s="9" t="n">
        <x:v>7500</x:v>
      </x:c>
      <x:c r="D52" s="9" t="n">
        <x:v>7500</x:v>
      </x:c>
      <x:c r="E52" s="9" t="n">
        <x:v>7500</x:v>
      </x:c>
      <x:c r="F52" s="9" t="n">
        <x:v>7500</x:v>
      </x:c>
      <x:c r="G52" s="9" t="n">
        <x:v>7500</x:v>
      </x:c>
      <x:c r="H52" s="9" t="n">
        <x:v>7500</x:v>
      </x:c>
      <x:c r="I52" s="9" t="n">
        <x:v>7500</x:v>
      </x:c>
      <x:c r="J52" s="9" t="n">
        <x:v>7500</x:v>
      </x:c>
      <x:c r="K52" s="9" t="n">
        <x:v>7500</x:v>
      </x:c>
      <x:c r="L52" s="9" t="n">
        <x:v>7500</x:v>
      </x:c>
      <x:c r="M52" s="9" t="n">
        <x:v>7500</x:v>
      </x:c>
      <x:c r="N52" s="9" t="n">
        <x:v>7500</x:v>
      </x:c>
      <x:c r="O52" s="8" t="n">
        <x:f>ROUND(SUM(C52:N52),2)</x:f>
        <x:v>90000</x:v>
      </x:c>
      <x:c r="P52" s="9" t="n">
        <x:v>0</x:v>
      </x:c>
      <x:c r="Q52" s="8" t="n">
        <x:f>ROUND(P52+O52,2)</x:f>
        <x:v>90000</x:v>
      </x:c>
    </x:row>
    <x:row r="53" ht="14" customHeight="1">
      <x:c r="A53" s="1" t="str">
        <x:v>6310</x:v>
      </x:c>
      <x:c r="B53" s="1" t="str">
        <x:v>Miete Büro Nürnberg</x:v>
      </x:c>
      <x:c r="C53" s="9" t="n">
        <x:v>4000</x:v>
      </x:c>
      <x:c r="D53" s="9" t="n">
        <x:v>4000</x:v>
      </x:c>
      <x:c r="E53" s="9" t="n">
        <x:v>4000</x:v>
      </x:c>
      <x:c r="F53" s="9" t="n">
        <x:v>4000</x:v>
      </x:c>
      <x:c r="G53" s="9" t="n">
        <x:v>4000</x:v>
      </x:c>
      <x:c r="H53" s="9" t="n">
        <x:v>4000</x:v>
      </x:c>
      <x:c r="I53" s="9" t="n">
        <x:v>4000</x:v>
      </x:c>
      <x:c r="J53" s="9" t="n">
        <x:v>4000</x:v>
      </x:c>
      <x:c r="K53" s="9" t="n">
        <x:v>4000</x:v>
      </x:c>
      <x:c r="L53" s="9" t="n">
        <x:v>4000</x:v>
      </x:c>
      <x:c r="M53" s="9" t="n">
        <x:v>4000</x:v>
      </x:c>
      <x:c r="N53" s="9" t="n">
        <x:v>4000</x:v>
      </x:c>
      <x:c r="O53" s="8" t="n">
        <x:f>ROUND(SUM(C53:N53),2)</x:f>
        <x:v>48000</x:v>
      </x:c>
      <x:c r="P53" s="9" t="n">
        <x:v>0</x:v>
      </x:c>
      <x:c r="Q53" s="8" t="n">
        <x:f>ROUND(P53+O53,2)</x:f>
        <x:v>48000</x:v>
      </x:c>
    </x:row>
    <x:row r="54" ht="14" customHeight="1">
      <x:c r="A54" s="1" t="str">
        <x:v>6311</x:v>
      </x:c>
      <x:c r="B54" s="1" t="str">
        <x:v>Miete Lager Erlangen</x:v>
      </x:c>
      <x:c r="C54" s="9" t="n">
        <x:v>10000</x:v>
      </x:c>
      <x:c r="D54" s="9" t="n">
        <x:v>10000</x:v>
      </x:c>
      <x:c r="E54" s="9" t="n">
        <x:v>10000</x:v>
      </x:c>
      <x:c r="F54" s="9" t="n">
        <x:v>10000</x:v>
      </x:c>
      <x:c r="G54" s="9" t="n">
        <x:v>10000</x:v>
      </x:c>
      <x:c r="H54" s="9" t="n">
        <x:v>10000</x:v>
      </x:c>
      <x:c r="I54" s="9" t="n">
        <x:v>10000</x:v>
      </x:c>
      <x:c r="J54" s="9" t="n">
        <x:v>10000</x:v>
      </x:c>
      <x:c r="K54" s="9" t="n">
        <x:v>10000</x:v>
      </x:c>
      <x:c r="L54" s="9" t="n">
        <x:v>10000</x:v>
      </x:c>
      <x:c r="M54" s="9" t="n">
        <x:v>10000</x:v>
      </x:c>
      <x:c r="N54" s="9" t="n">
        <x:v>10000</x:v>
      </x:c>
      <x:c r="O54" s="8" t="n">
        <x:f>ROUND(SUM(C54:N54),2)</x:f>
        <x:v>120000</x:v>
      </x:c>
      <x:c r="P54" s="9" t="n">
        <x:v>0</x:v>
      </x:c>
      <x:c r="Q54" s="8" t="n">
        <x:f>ROUND(P54+O54,2)</x:f>
        <x:v>120000</x:v>
      </x:c>
    </x:row>
    <x:row r="55" ht="14" customHeight="1">
      <x:c r="A55" s="1" t="str">
        <x:v>6325</x:v>
      </x:c>
      <x:c r="B55" s="1" t="str">
        <x:v>Strom und Kühlung</x:v>
      </x:c>
      <x:c r="C55" s="9" t="n">
        <x:v>6000</x:v>
      </x:c>
      <x:c r="D55" s="9" t="n">
        <x:v>6000</x:v>
      </x:c>
      <x:c r="E55" s="9" t="n">
        <x:v>6000</x:v>
      </x:c>
      <x:c r="F55" s="9" t="n">
        <x:v>6000</x:v>
      </x:c>
      <x:c r="G55" s="9" t="n">
        <x:v>6000</x:v>
      </x:c>
      <x:c r="H55" s="9" t="n">
        <x:v>6000</x:v>
      </x:c>
      <x:c r="I55" s="9" t="n">
        <x:v>6000</x:v>
      </x:c>
      <x:c r="J55" s="9" t="n">
        <x:v>6000</x:v>
      </x:c>
      <x:c r="K55" s="9" t="n">
        <x:v>6000</x:v>
      </x:c>
      <x:c r="L55" s="9" t="n">
        <x:v>6000</x:v>
      </x:c>
      <x:c r="M55" s="9" t="n">
        <x:v>6000</x:v>
      </x:c>
      <x:c r="N55" s="9" t="n">
        <x:v>6000</x:v>
      </x:c>
      <x:c r="O55" s="8" t="n">
        <x:f>ROUND(SUM(C55:N55),2)</x:f>
        <x:v>72000</x:v>
      </x:c>
      <x:c r="P55" s="9" t="n">
        <x:v>0</x:v>
      </x:c>
      <x:c r="Q55" s="8" t="n">
        <x:f>ROUND(P55+O55,2)</x:f>
        <x:v>72000</x:v>
      </x:c>
    </x:row>
    <x:row r="56" ht="14" customHeight="1">
      <x:c r="A56" s="1" t="str">
        <x:v>6400</x:v>
      </x:c>
      <x:c r="B56" s="1" t="str">
        <x:v>Versicherungen</x:v>
      </x:c>
      <x:c r="C56" s="9" t="n">
        <x:v>2500</x:v>
      </x:c>
      <x:c r="D56" s="9" t="n">
        <x:v>2500</x:v>
      </x:c>
      <x:c r="E56" s="9" t="n">
        <x:v>2500</x:v>
      </x:c>
      <x:c r="F56" s="9" t="n">
        <x:v>2500</x:v>
      </x:c>
      <x:c r="G56" s="9" t="n">
        <x:v>2500</x:v>
      </x:c>
      <x:c r="H56" s="9" t="n">
        <x:v>2500</x:v>
      </x:c>
      <x:c r="I56" s="9" t="n">
        <x:v>2500</x:v>
      </x:c>
      <x:c r="J56" s="9" t="n">
        <x:v>2500</x:v>
      </x:c>
      <x:c r="K56" s="9" t="n">
        <x:v>2500</x:v>
      </x:c>
      <x:c r="L56" s="9" t="n">
        <x:v>2500</x:v>
      </x:c>
      <x:c r="M56" s="9" t="n">
        <x:v>2500</x:v>
      </x:c>
      <x:c r="N56" s="9" t="n">
        <x:v>2500</x:v>
      </x:c>
      <x:c r="O56" s="8" t="n">
        <x:f>ROUND(SUM(C56:N56),2)</x:f>
        <x:v>30000</x:v>
      </x:c>
      <x:c r="P56" s="9" t="n">
        <x:v>0</x:v>
      </x:c>
      <x:c r="Q56" s="8" t="n">
        <x:f>ROUND(P56+O56,2)</x:f>
        <x:v>30000</x:v>
      </x:c>
    </x:row>
    <x:row r="57" ht="14" customHeight="1">
      <x:c r="A57" s="1" t="str">
        <x:v>6470</x:v>
      </x:c>
      <x:c r="B57" s="1" t="str">
        <x:v>Lagerbetrieb und Reinigung</x:v>
      </x:c>
      <x:c r="C57" s="9" t="n">
        <x:v>6500</x:v>
      </x:c>
      <x:c r="D57" s="9" t="n">
        <x:v>6500</x:v>
      </x:c>
      <x:c r="E57" s="9" t="n">
        <x:v>6500</x:v>
      </x:c>
      <x:c r="F57" s="9" t="n">
        <x:v>6500</x:v>
      </x:c>
      <x:c r="G57" s="9" t="n">
        <x:v>6500</x:v>
      </x:c>
      <x:c r="H57" s="9" t="n">
        <x:v>6500</x:v>
      </x:c>
      <x:c r="I57" s="9" t="n">
        <x:v>6500</x:v>
      </x:c>
      <x:c r="J57" s="9" t="n">
        <x:v>6500</x:v>
      </x:c>
      <x:c r="K57" s="9" t="n">
        <x:v>6500</x:v>
      </x:c>
      <x:c r="L57" s="9" t="n">
        <x:v>6500</x:v>
      </x:c>
      <x:c r="M57" s="9" t="n">
        <x:v>6500</x:v>
      </x:c>
      <x:c r="N57" s="9" t="n">
        <x:v>6500</x:v>
      </x:c>
      <x:c r="O57" s="8" t="n">
        <x:f>ROUND(SUM(C57:N57),2)</x:f>
        <x:v>78000</x:v>
      </x:c>
      <x:c r="P57" s="9" t="n">
        <x:v>0</x:v>
      </x:c>
      <x:c r="Q57" s="8" t="n">
        <x:f>ROUND(P57+O57,2)</x:f>
        <x:v>78000</x:v>
      </x:c>
    </x:row>
    <x:row r="58" ht="14" customHeight="1">
      <x:c r="A58" s="1" t="str">
        <x:v>6490</x:v>
      </x:c>
      <x:c r="B58" s="1" t="str">
        <x:v>Reparaturen und Wartung</x:v>
      </x:c>
      <x:c r="C58" s="9" t="n">
        <x:v>3200</x:v>
      </x:c>
      <x:c r="D58" s="9" t="n">
        <x:v>3200</x:v>
      </x:c>
      <x:c r="E58" s="9" t="n">
        <x:v>3200</x:v>
      </x:c>
      <x:c r="F58" s="9" t="n">
        <x:v>3200</x:v>
      </x:c>
      <x:c r="G58" s="9" t="n">
        <x:v>3200</x:v>
      </x:c>
      <x:c r="H58" s="9" t="n">
        <x:v>3200</x:v>
      </x:c>
      <x:c r="I58" s="9" t="n">
        <x:v>3200</x:v>
      </x:c>
      <x:c r="J58" s="9" t="n">
        <x:v>3200</x:v>
      </x:c>
      <x:c r="K58" s="9" t="n">
        <x:v>3200</x:v>
      </x:c>
      <x:c r="L58" s="9" t="n">
        <x:v>3200</x:v>
      </x:c>
      <x:c r="M58" s="9" t="n">
        <x:v>3200</x:v>
      </x:c>
      <x:c r="N58" s="9" t="n">
        <x:v>3200</x:v>
      </x:c>
      <x:c r="O58" s="8" t="n">
        <x:f>ROUND(SUM(C58:N58),2)</x:f>
        <x:v>38400</x:v>
      </x:c>
      <x:c r="P58" s="9" t="n">
        <x:v>0</x:v>
      </x:c>
      <x:c r="Q58" s="8" t="n">
        <x:f>ROUND(P58+O58,2)</x:f>
        <x:v>38400</x:v>
      </x:c>
    </x:row>
    <x:row r="59" ht="14" customHeight="1">
      <x:c r="A59" s="1" t="str">
        <x:v>6600</x:v>
      </x:c>
      <x:c r="B59" s="1" t="str">
        <x:v>Marketing und Messen</x:v>
      </x:c>
      <x:c r="C59" s="9" t="n">
        <x:v>5000</x:v>
      </x:c>
      <x:c r="D59" s="9" t="n">
        <x:v>5000</x:v>
      </x:c>
      <x:c r="E59" s="9" t="n">
        <x:v>5000</x:v>
      </x:c>
      <x:c r="F59" s="9" t="n">
        <x:v>5000</x:v>
      </x:c>
      <x:c r="G59" s="9" t="n">
        <x:v>5000</x:v>
      </x:c>
      <x:c r="H59" s="9" t="n">
        <x:v>5000</x:v>
      </x:c>
      <x:c r="I59" s="9" t="n">
        <x:v>5000</x:v>
      </x:c>
      <x:c r="J59" s="9" t="n">
        <x:v>5000</x:v>
      </x:c>
      <x:c r="K59" s="9" t="n">
        <x:v>5000</x:v>
      </x:c>
      <x:c r="L59" s="9" t="n">
        <x:v>5000</x:v>
      </x:c>
      <x:c r="M59" s="9" t="n">
        <x:v>5000</x:v>
      </x:c>
      <x:c r="N59" s="9" t="n">
        <x:v>5000</x:v>
      </x:c>
      <x:c r="O59" s="8" t="n">
        <x:f>ROUND(SUM(C59:N59),2)</x:f>
        <x:v>60000</x:v>
      </x:c>
      <x:c r="P59" s="9" t="n">
        <x:v>0</x:v>
      </x:c>
      <x:c r="Q59" s="8" t="n">
        <x:f>ROUND(P59+O59,2)</x:f>
        <x:v>60000</x:v>
      </x:c>
    </x:row>
    <x:row r="60" ht="14" customHeight="1">
      <x:c r="A60" s="1" t="str">
        <x:v>6650</x:v>
      </x:c>
      <x:c r="B60" s="1" t="str">
        <x:v>Reisekosten</x:v>
      </x:c>
      <x:c r="C60" s="9" t="n">
        <x:v>1500</x:v>
      </x:c>
      <x:c r="D60" s="9" t="n">
        <x:v>1500</x:v>
      </x:c>
      <x:c r="E60" s="9" t="n">
        <x:v>1500</x:v>
      </x:c>
      <x:c r="F60" s="9" t="n">
        <x:v>1500</x:v>
      </x:c>
      <x:c r="G60" s="9" t="n">
        <x:v>1500</x:v>
      </x:c>
      <x:c r="H60" s="9" t="n">
        <x:v>1500</x:v>
      </x:c>
      <x:c r="I60" s="9" t="n">
        <x:v>1500</x:v>
      </x:c>
      <x:c r="J60" s="9" t="n">
        <x:v>1500</x:v>
      </x:c>
      <x:c r="K60" s="9" t="n">
        <x:v>1500</x:v>
      </x:c>
      <x:c r="L60" s="9" t="n">
        <x:v>1500</x:v>
      </x:c>
      <x:c r="M60" s="9" t="n">
        <x:v>1500</x:v>
      </x:c>
      <x:c r="N60" s="9" t="n">
        <x:v>1500</x:v>
      </x:c>
      <x:c r="O60" s="8" t="n">
        <x:f>ROUND(SUM(C60:N60),2)</x:f>
        <x:v>18000</x:v>
      </x:c>
      <x:c r="P60" s="9" t="n">
        <x:v>0</x:v>
      </x:c>
      <x:c r="Q60" s="8" t="n">
        <x:f>ROUND(P60+O60,2)</x:f>
        <x:v>18000</x:v>
      </x:c>
    </x:row>
    <x:row r="61" ht="14" customHeight="1">
      <x:c r="A61" s="1" t="str">
        <x:v>6740</x:v>
      </x:c>
      <x:c r="B61" s="1" t="str">
        <x:v>Ausgangsfrachten Inland</x:v>
      </x:c>
      <x:c r="C61" s="9" t="n">
        <x:v>12000</x:v>
      </x:c>
      <x:c r="D61" s="9" t="n">
        <x:v>12000</x:v>
      </x:c>
      <x:c r="E61" s="9" t="n">
        <x:v>12000</x:v>
      </x:c>
      <x:c r="F61" s="9" t="n">
        <x:v>12000</x:v>
      </x:c>
      <x:c r="G61" s="9" t="n">
        <x:v>12000</x:v>
      </x:c>
      <x:c r="H61" s="9" t="n">
        <x:v>12000</x:v>
      </x:c>
      <x:c r="I61" s="9" t="n">
        <x:v>12000</x:v>
      </x:c>
      <x:c r="J61" s="9" t="n">
        <x:v>12000</x:v>
      </x:c>
      <x:c r="K61" s="9" t="n">
        <x:v>12000</x:v>
      </x:c>
      <x:c r="L61" s="9" t="n">
        <x:v>12000</x:v>
      </x:c>
      <x:c r="M61" s="9" t="n">
        <x:v>12000</x:v>
      </x:c>
      <x:c r="N61" s="9" t="n">
        <x:v>12000</x:v>
      </x:c>
      <x:c r="O61" s="8" t="n">
        <x:f>ROUND(SUM(C61:N61),2)</x:f>
        <x:v>144000</x:v>
      </x:c>
      <x:c r="P61" s="9" t="n">
        <x:v>0</x:v>
      </x:c>
      <x:c r="Q61" s="8" t="n">
        <x:f>ROUND(P61+O61,2)</x:f>
        <x:v>144000</x:v>
      </x:c>
    </x:row>
    <x:row r="62" ht="14" customHeight="1">
      <x:c r="A62" s="1" t="str">
        <x:v>6741</x:v>
      </x:c>
      <x:c r="B62" s="1" t="str">
        <x:v>Ausgangsfrachten Ausland</x:v>
      </x:c>
      <x:c r="C62" s="9" t="n">
        <x:v>17500</x:v>
      </x:c>
      <x:c r="D62" s="9" t="n">
        <x:v>17500</x:v>
      </x:c>
      <x:c r="E62" s="9" t="n">
        <x:v>17500</x:v>
      </x:c>
      <x:c r="F62" s="9" t="n">
        <x:v>17500</x:v>
      </x:c>
      <x:c r="G62" s="9" t="n">
        <x:v>17500</x:v>
      </x:c>
      <x:c r="H62" s="9" t="n">
        <x:v>17500</x:v>
      </x:c>
      <x:c r="I62" s="9" t="n">
        <x:v>17500</x:v>
      </x:c>
      <x:c r="J62" s="9" t="n">
        <x:v>17500</x:v>
      </x:c>
      <x:c r="K62" s="9" t="n">
        <x:v>17500</x:v>
      </x:c>
      <x:c r="L62" s="9" t="n">
        <x:v>17500</x:v>
      </x:c>
      <x:c r="M62" s="9" t="n">
        <x:v>17500</x:v>
      </x:c>
      <x:c r="N62" s="9" t="n">
        <x:v>17500</x:v>
      </x:c>
      <x:c r="O62" s="8" t="n">
        <x:f>ROUND(SUM(C62:N62),2)</x:f>
        <x:v>210000</x:v>
      </x:c>
      <x:c r="P62" s="9" t="n">
        <x:v>0</x:v>
      </x:c>
      <x:c r="Q62" s="8" t="n">
        <x:f>ROUND(P62+O62,2)</x:f>
        <x:v>210000</x:v>
      </x:c>
    </x:row>
    <x:row r="63" ht="14" customHeight="1">
      <x:c r="A63" s="1" t="str">
        <x:v>6805</x:v>
      </x:c>
      <x:c r="B63" s="1" t="str">
        <x:v>Telekommunikation und IT</x:v>
      </x:c>
      <x:c r="C63" s="9" t="n">
        <x:v>4500</x:v>
      </x:c>
      <x:c r="D63" s="9" t="n">
        <x:v>4500</x:v>
      </x:c>
      <x:c r="E63" s="9" t="n">
        <x:v>4500</x:v>
      </x:c>
      <x:c r="F63" s="9" t="n">
        <x:v>4500</x:v>
      </x:c>
      <x:c r="G63" s="9" t="n">
        <x:v>4500</x:v>
      </x:c>
      <x:c r="H63" s="9" t="n">
        <x:v>4500</x:v>
      </x:c>
      <x:c r="I63" s="9" t="n">
        <x:v>1500</x:v>
      </x:c>
      <x:c r="J63" s="9" t="n">
        <x:v>1500</x:v>
      </x:c>
      <x:c r="K63" s="9" t="n">
        <x:v>1500</x:v>
      </x:c>
      <x:c r="L63" s="9" t="n">
        <x:v>1500</x:v>
      </x:c>
      <x:c r="M63" s="9" t="n">
        <x:v>1500</x:v>
      </x:c>
      <x:c r="N63" s="9" t="n">
        <x:v>1500</x:v>
      </x:c>
      <x:c r="O63" s="8" t="n">
        <x:f>ROUND(SUM(C63:N63),2)</x:f>
        <x:v>36000</x:v>
      </x:c>
      <x:c r="P63" s="9" t="n">
        <x:v>0</x:v>
      </x:c>
      <x:c r="Q63" s="8" t="n">
        <x:f>ROUND(P63+O63,2)</x:f>
        <x:v>36000</x:v>
      </x:c>
    </x:row>
    <x:row r="64" ht="14" customHeight="1">
      <x:c r="A64" s="1" t="str">
        <x:v>6825</x:v>
      </x:c>
      <x:c r="B64" s="1" t="str">
        <x:v>Rechtsberatung und Buchführung</x:v>
      </x:c>
      <x:c r="C64" s="9" t="n">
        <x:v>4500</x:v>
      </x:c>
      <x:c r="D64" s="9" t="n">
        <x:v>4500</x:v>
      </x:c>
      <x:c r="E64" s="9" t="n">
        <x:v>4500</x:v>
      </x:c>
      <x:c r="F64" s="9" t="n">
        <x:v>4500</x:v>
      </x:c>
      <x:c r="G64" s="9" t="n">
        <x:v>4500</x:v>
      </x:c>
      <x:c r="H64" s="9" t="n">
        <x:v>4500</x:v>
      </x:c>
      <x:c r="I64" s="9" t="n">
        <x:v>4500</x:v>
      </x:c>
      <x:c r="J64" s="9" t="n">
        <x:v>4500</x:v>
      </x:c>
      <x:c r="K64" s="9" t="n">
        <x:v>4500</x:v>
      </x:c>
      <x:c r="L64" s="9" t="n">
        <x:v>4500</x:v>
      </x:c>
      <x:c r="M64" s="9" t="n">
        <x:v>4500</x:v>
      </x:c>
      <x:c r="N64" s="9" t="n">
        <x:v>4500</x:v>
      </x:c>
      <x:c r="O64" s="8" t="n">
        <x:f>ROUND(SUM(C64:N64),2)</x:f>
        <x:v>54000</x:v>
      </x:c>
      <x:c r="P64" s="9" t="n">
        <x:v>0</x:v>
      </x:c>
      <x:c r="Q64" s="8" t="n">
        <x:f>ROUND(P64+O64,2)</x:f>
        <x:v>54000</x:v>
      </x:c>
    </x:row>
    <x:row r="65" ht="14" customHeight="1">
      <x:c r="A65" s="1" t="str">
        <x:v>6830</x:v>
      </x:c>
      <x:c r="B65" s="1" t="str">
        <x:v>Labor und Qualitätssicherung</x:v>
      </x:c>
      <x:c r="C65" s="9" t="n">
        <x:v>6000</x:v>
      </x:c>
      <x:c r="D65" s="9" t="n">
        <x:v>6000</x:v>
      </x:c>
      <x:c r="E65" s="9" t="n">
        <x:v>6000</x:v>
      </x:c>
      <x:c r="F65" s="9" t="n">
        <x:v>6000</x:v>
      </x:c>
      <x:c r="G65" s="9" t="n">
        <x:v>6000</x:v>
      </x:c>
      <x:c r="H65" s="9" t="n">
        <x:v>6000</x:v>
      </x:c>
      <x:c r="I65" s="9" t="n">
        <x:v>6000</x:v>
      </x:c>
      <x:c r="J65" s="9" t="n">
        <x:v>6000</x:v>
      </x:c>
      <x:c r="K65" s="9" t="n">
        <x:v>6000</x:v>
      </x:c>
      <x:c r="L65" s="9" t="n">
        <x:v>6000</x:v>
      </x:c>
      <x:c r="M65" s="9" t="n">
        <x:v>6000</x:v>
      </x:c>
      <x:c r="N65" s="9" t="n">
        <x:v>6000</x:v>
      </x:c>
      <x:c r="O65" s="8" t="n">
        <x:f>ROUND(SUM(C65:N65),2)</x:f>
        <x:v>72000</x:v>
      </x:c>
      <x:c r="P65" s="9" t="n">
        <x:v>0</x:v>
      </x:c>
      <x:c r="Q65" s="8" t="n">
        <x:f>ROUND(P65+O65,2)</x:f>
        <x:v>72000</x:v>
      </x:c>
    </x:row>
    <x:row r="66" ht="14" customHeight="1">
      <x:c r="A66" s="1" t="str">
        <x:v>6850</x:v>
      </x:c>
      <x:c r="B66" s="1" t="str">
        <x:v>Bürobedarf und übriger Aufwand</x:v>
      </x:c>
      <x:c r="C66" s="9" t="n">
        <x:v>2000</x:v>
      </x:c>
      <x:c r="D66" s="9" t="n">
        <x:v>2000</x:v>
      </x:c>
      <x:c r="E66" s="9" t="n">
        <x:v>2000</x:v>
      </x:c>
      <x:c r="F66" s="9" t="n">
        <x:v>2000</x:v>
      </x:c>
      <x:c r="G66" s="9" t="n">
        <x:v>2000</x:v>
      </x:c>
      <x:c r="H66" s="9" t="n">
        <x:v>2000</x:v>
      </x:c>
      <x:c r="I66" s="9" t="n">
        <x:v>2000</x:v>
      </x:c>
      <x:c r="J66" s="9" t="n">
        <x:v>2000</x:v>
      </x:c>
      <x:c r="K66" s="9" t="n">
        <x:v>2000</x:v>
      </x:c>
      <x:c r="L66" s="9" t="n">
        <x:v>2000</x:v>
      </x:c>
      <x:c r="M66" s="9" t="n">
        <x:v>2000</x:v>
      </x:c>
      <x:c r="N66" s="9" t="n">
        <x:v>2000</x:v>
      </x:c>
      <x:c r="O66" s="8" t="n">
        <x:f>ROUND(SUM(C66:N66),2)</x:f>
        <x:v>24000</x:v>
      </x:c>
      <x:c r="P66" s="9" t="n">
        <x:v>0</x:v>
      </x:c>
      <x:c r="Q66" s="8" t="n">
        <x:f>ROUND(P66+O66,2)</x:f>
        <x:v>24000</x:v>
      </x:c>
    </x:row>
    <x:row r="67" ht="14" customHeight="1">
      <x:c r="A67" s="1" t="str">
        <x:v>6855</x:v>
      </x:c>
      <x:c r="B67" s="1" t="str">
        <x:v>Zuführung Abschluss und Urlaubsrückstellungen</x:v>
      </x:c>
      <x:c r="C67" s="9" t="n">
        <x:v>0</x:v>
      </x:c>
      <x:c r="D67" s="9" t="n">
        <x:v>0</x:v>
      </x:c>
      <x:c r="E67" s="9" t="n">
        <x:v>0</x:v>
      </x:c>
      <x:c r="F67" s="9" t="n">
        <x:v>0</x:v>
      </x:c>
      <x:c r="G67" s="9" t="n">
        <x:v>0</x:v>
      </x:c>
      <x:c r="H67" s="9" t="n">
        <x:v>0</x:v>
      </x:c>
      <x:c r="I67" s="9" t="n">
        <x:v>0</x:v>
      </x:c>
      <x:c r="J67" s="9" t="n">
        <x:v>0</x:v>
      </x:c>
      <x:c r="K67" s="9" t="n">
        <x:v>0</x:v>
      </x:c>
      <x:c r="L67" s="9" t="n">
        <x:v>0</x:v>
      </x:c>
      <x:c r="M67" s="9" t="n">
        <x:v>0</x:v>
      </x:c>
      <x:c r="N67" s="9" t="n">
        <x:v>18000</x:v>
      </x:c>
      <x:c r="O67" s="8" t="n">
        <x:f>ROUND(SUM(C67:N67),2)</x:f>
        <x:v>18000</x:v>
      </x:c>
      <x:c r="P67" s="9" t="n">
        <x:v>0</x:v>
      </x:c>
      <x:c r="Q67" s="8" t="n">
        <x:f>ROUND(P67+O67,2)</x:f>
        <x:v>18000</x:v>
      </x:c>
    </x:row>
    <x:row r="68" ht="14" customHeight="1">
      <x:c r="A68" s="1" t="str">
        <x:v>6859</x:v>
      </x:c>
      <x:c r="B68" s="1" t="str">
        <x:v>Bankgebühren</x:v>
      </x:c>
      <x:c r="C68" s="9" t="n">
        <x:v>750</x:v>
      </x:c>
      <x:c r="D68" s="9" t="n">
        <x:v>750</x:v>
      </x:c>
      <x:c r="E68" s="9" t="n">
        <x:v>750</x:v>
      </x:c>
      <x:c r="F68" s="9" t="n">
        <x:v>750</x:v>
      </x:c>
      <x:c r="G68" s="9" t="n">
        <x:v>750</x:v>
      </x:c>
      <x:c r="H68" s="9" t="n">
        <x:v>750</x:v>
      </x:c>
      <x:c r="I68" s="9" t="n">
        <x:v>750</x:v>
      </x:c>
      <x:c r="J68" s="9" t="n">
        <x:v>750</x:v>
      </x:c>
      <x:c r="K68" s="9" t="n">
        <x:v>750</x:v>
      </x:c>
      <x:c r="L68" s="9" t="n">
        <x:v>750</x:v>
      </x:c>
      <x:c r="M68" s="9" t="n">
        <x:v>750</x:v>
      </x:c>
      <x:c r="N68" s="9" t="n">
        <x:v>750</x:v>
      </x:c>
      <x:c r="O68" s="8" t="n">
        <x:f>ROUND(SUM(C68:N68),2)</x:f>
        <x:v>9000</x:v>
      </x:c>
      <x:c r="P68" s="9" t="n">
        <x:v>0</x:v>
      </x:c>
      <x:c r="Q68" s="8" t="n">
        <x:f>ROUND(P68+O68,2)</x:f>
        <x:v>9000</x:v>
      </x:c>
    </x:row>
    <x:row r="69" ht="14" customHeight="1">
      <x:c r="A69" s="1" t="str">
        <x:v>6950</x:v>
      </x:c>
      <x:c r="B69" s="1" t="str">
        <x:v>Zuführung Einzelwertberichtigungen</x:v>
      </x:c>
      <x:c r="C69" s="9" t="n">
        <x:v>0</x:v>
      </x:c>
      <x:c r="D69" s="9" t="n">
        <x:v>0</x:v>
      </x:c>
      <x:c r="E69" s="9" t="n">
        <x:v>0</x:v>
      </x:c>
      <x:c r="F69" s="9" t="n">
        <x:v>0</x:v>
      </x:c>
      <x:c r="G69" s="9" t="n">
        <x:v>0</x:v>
      </x:c>
      <x:c r="H69" s="9" t="n">
        <x:v>0</x:v>
      </x:c>
      <x:c r="I69" s="9" t="n">
        <x:v>0</x:v>
      </x:c>
      <x:c r="J69" s="9" t="n">
        <x:v>0</x:v>
      </x:c>
      <x:c r="K69" s="9" t="n">
        <x:v>0</x:v>
      </x:c>
      <x:c r="L69" s="9" t="n">
        <x:v>0</x:v>
      </x:c>
      <x:c r="M69" s="9" t="n">
        <x:v>0</x:v>
      </x:c>
      <x:c r="N69" s="9" t="n">
        <x:v>100000</x:v>
      </x:c>
      <x:c r="O69" s="8" t="n">
        <x:f>ROUND(SUM(C69:N69),2)</x:f>
        <x:v>100000</x:v>
      </x:c>
      <x:c r="P69" s="9" t="n">
        <x:v>0</x:v>
      </x:c>
      <x:c r="Q69" s="8" t="n">
        <x:f>ROUND(P69+O69,2)</x:f>
        <x:v>100000</x:v>
      </x:c>
    </x:row>
    <x:row r="70" ht="14" customHeight="1">
      <x:c r="A70" s="1" t="str">
        <x:v>7300</x:v>
      </x:c>
      <x:c r="B70" s="1" t="str">
        <x:v>Zinsen Investitionsdarlehen</x:v>
      </x:c>
      <x:c r="C70" s="9" t="n">
        <x:v>2150</x:v>
      </x:c>
      <x:c r="D70" s="9" t="n">
        <x:v>2150</x:v>
      </x:c>
      <x:c r="E70" s="9" t="n">
        <x:v>2150</x:v>
      </x:c>
      <x:c r="F70" s="9" t="n">
        <x:v>2150</x:v>
      </x:c>
      <x:c r="G70" s="9" t="n">
        <x:v>2150</x:v>
      </x:c>
      <x:c r="H70" s="9" t="n">
        <x:v>2150</x:v>
      </x:c>
      <x:c r="I70" s="9" t="n">
        <x:v>2150</x:v>
      </x:c>
      <x:c r="J70" s="9" t="n">
        <x:v>2150</x:v>
      </x:c>
      <x:c r="K70" s="9" t="n">
        <x:v>2150</x:v>
      </x:c>
      <x:c r="L70" s="9" t="n">
        <x:v>2150</x:v>
      </x:c>
      <x:c r="M70" s="9" t="n">
        <x:v>2150</x:v>
      </x:c>
      <x:c r="N70" s="9" t="n">
        <x:v>2150</x:v>
      </x:c>
      <x:c r="O70" s="8" t="n">
        <x:f>ROUND(SUM(C70:N70),2)</x:f>
        <x:v>25800</x:v>
      </x:c>
      <x:c r="P70" s="9" t="n">
        <x:v>0</x:v>
      </x:c>
      <x:c r="Q70" s="8" t="n">
        <x:f>ROUND(P70+O70,2)</x:f>
        <x:v>25800</x:v>
      </x:c>
    </x:row>
    <x:row r="71" ht="14" customHeight="1">
      <x:c r="A71" s="1" t="str">
        <x:v>7310</x:v>
      </x:c>
      <x:c r="B71" s="1" t="str">
        <x:v>Zinsen Kontokorrent</x:v>
      </x:c>
      <x:c r="C71" s="9" t="n">
        <x:v>1800</x:v>
      </x:c>
      <x:c r="D71" s="9" t="n">
        <x:v>1900</x:v>
      </x:c>
      <x:c r="E71" s="9" t="n">
        <x:v>2100</x:v>
      </x:c>
      <x:c r="F71" s="9" t="n">
        <x:v>2300</x:v>
      </x:c>
      <x:c r="G71" s="9" t="n">
        <x:v>2600</x:v>
      </x:c>
      <x:c r="H71" s="9" t="n">
        <x:v>2900</x:v>
      </x:c>
      <x:c r="I71" s="9" t="n">
        <x:v>3100</x:v>
      </x:c>
      <x:c r="J71" s="9" t="n">
        <x:v>3300</x:v>
      </x:c>
      <x:c r="K71" s="9" t="n">
        <x:v>3500</x:v>
      </x:c>
      <x:c r="L71" s="9" t="n">
        <x:v>3800</x:v>
      </x:c>
      <x:c r="M71" s="9" t="n">
        <x:v>4200</x:v>
      </x:c>
      <x:c r="N71" s="9" t="n">
        <x:v>4700</x:v>
      </x:c>
      <x:c r="O71" s="8" t="n">
        <x:f>ROUND(SUM(C71:N71),2)</x:f>
        <x:v>36200</x:v>
      </x:c>
      <x:c r="P71" s="9" t="n">
        <x:v>0</x:v>
      </x:c>
      <x:c r="Q71" s="8" t="n">
        <x:f>ROUND(P71+O71,2)</x:f>
        <x:v>36200</x:v>
      </x:c>
    </x:row>
    <x:row r="72" ht="14" customHeight="1">
      <x:c r="A72" s="1" t="str">
        <x:v>7320</x:v>
      </x:c>
      <x:c r="B72" s="1" t="str">
        <x:v>Zinsen Gesellschafterdarlehen</x:v>
      </x:c>
      <x:c r="C72" s="9" t="n">
        <x:v>0</x:v>
      </x:c>
      <x:c r="D72" s="9" t="n">
        <x:v>0</x:v>
      </x:c>
      <x:c r="E72" s="9" t="n">
        <x:v>0</x:v>
      </x:c>
      <x:c r="F72" s="9" t="n">
        <x:v>0</x:v>
      </x:c>
      <x:c r="G72" s="9" t="n">
        <x:v>0</x:v>
      </x:c>
      <x:c r="H72" s="9" t="n">
        <x:v>0</x:v>
      </x:c>
      <x:c r="I72" s="9" t="n">
        <x:v>0</x:v>
      </x:c>
      <x:c r="J72" s="9" t="n">
        <x:v>0</x:v>
      </x:c>
      <x:c r="K72" s="9" t="n">
        <x:v>500</x:v>
      </x:c>
      <x:c r="L72" s="9" t="n">
        <x:v>500</x:v>
      </x:c>
      <x:c r="M72" s="9" t="n">
        <x:v>500</x:v>
      </x:c>
      <x:c r="N72" s="9" t="n">
        <x:v>500</x:v>
      </x:c>
      <x:c r="O72" s="8" t="n">
        <x:f>ROUND(SUM(C72:N72),2)</x:f>
        <x:v>2000</x:v>
      </x:c>
      <x:c r="P72" s="9" t="n">
        <x:v>0</x:v>
      </x:c>
      <x:c r="Q72" s="8" t="n">
        <x:f>ROUND(P72+O72,2)</x:f>
        <x:v>2000</x:v>
      </x:c>
    </x:row>
    <x:row r="73" ht="14" customHeight="1">
      <x:c r="A73" s="1" t="str">
        <x:v>7600</x:v>
      </x:c>
      <x:c r="B73" s="1" t="str">
        <x:v>Ertragsteueraufwand</x:v>
      </x:c>
      <x:c r="C73" s="9" t="n">
        <x:v>0</x:v>
      </x:c>
      <x:c r="D73" s="9" t="n">
        <x:v>0</x:v>
      </x:c>
      <x:c r="E73" s="9" t="n">
        <x:v>0</x:v>
      </x:c>
      <x:c r="F73" s="9" t="n">
        <x:v>0</x:v>
      </x:c>
      <x:c r="G73" s="9" t="n">
        <x:v>0</x:v>
      </x:c>
      <x:c r="H73" s="9" t="n">
        <x:v>0</x:v>
      </x:c>
      <x:c r="I73" s="9" t="n">
        <x:v>0</x:v>
      </x:c>
      <x:c r="J73" s="9" t="n">
        <x:v>0</x:v>
      </x:c>
      <x:c r="K73" s="9" t="n">
        <x:v>0</x:v>
      </x:c>
      <x:c r="L73" s="9" t="n">
        <x:v>0</x:v>
      </x:c>
      <x:c r="M73" s="9" t="n">
        <x:v>0</x:v>
      </x:c>
      <x:c r="N73" s="9" t="n">
        <x:v>0</x:v>
      </x:c>
      <x:c r="O73" s="8" t="n">
        <x:f>ROUND(SUM(C73:N73),2)</x:f>
        <x:v>0</x:v>
      </x:c>
      <x:c r="P73" s="9" t="n">
        <x:v>0</x:v>
      </x:c>
      <x:c r="Q73" s="8" t="n">
        <x:f>ROUND(P73+O73,2)</x:f>
        <x:v>0</x:v>
      </x:c>
    </x:row>
    <x:row r="74" ht="14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</x:row>
    <x:row r="75" ht="14" customHeight="1">
      <x:c r="A75" s="1" t="str">
        <x:v>Eröffnung und Monatsbewegungen sind übernommene Buchhaltungswerte. Jahr und Schluss werden berechnet.</x:v>
      </x:c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</x:row>
    <x:row r="76" ht="14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</x:row>
    <x:row r="77" ht="14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</x:row>
  </x:sheetData>
  <x:pageMargins left="0.3" right="0.3" top="0.35" bottom="0.35" header="0.15" footer="0.15"/>
  <x:pageSetup paperSize="9" orientation="landscape" fitToWidth="1" fitToHeight="0"/>
</x:worksheet>
</file>