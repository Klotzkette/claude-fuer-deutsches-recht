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592def06242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hresSuSa" sheetId="1" r:id="Rd655f786c9b64d90"/>
    <x:sheet xmlns:r="http://schemas.openxmlformats.org/officeDocument/2006/relationships" name="Monatskonten" sheetId="2" r:id="Rd3f71f75bc1a4b4b"/>
    <x:sheet xmlns:r="http://schemas.openxmlformats.org/officeDocument/2006/relationships" name="Journal" sheetId="3" r:id="Rdada2b8b95684823"/>
    <x:sheet xmlns:r="http://schemas.openxmlformats.org/officeDocument/2006/relationships" name="Bilanz" sheetId="4" r:id="Rb7dee28970274733"/>
  </x:sheets>
  <x:definedNames>
    <x:definedName name="_xlnm.Print_Area" localSheetId="0">'JahresSuSa'!$A$1:$H$79</x:definedName>
    <x:definedName name="_xlnm.Print_Titles" localSheetId="0">'JahresSuSa'!$1:$5</x:definedName>
    <x:definedName name="_xlnm.Print_Area" localSheetId="1">'Monatskonten'!$A$1:$H$821</x:definedName>
    <x:definedName name="_xlnm.Print_Titles" localSheetId="1">'Monatskonten'!$1:$5</x:definedName>
    <x:definedName name="_xlnm.Print_Area" localSheetId="2">'Journal'!$A$1:$H$1632</x:definedName>
    <x:definedName name="_xlnm.Print_Titles" localSheetId="2">'Journal'!$1:$5</x:definedName>
    <x:definedName name="_xlnm.Print_Area" localSheetId="3">'Bilanz'!$A$1:$E$36</x:definedName>
    <x:definedName name="_xlnm.Print_Titles" localSheetId="3">'Bilanz'!$1:$5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.00;[Red](#,##0.00);&quot;-&quot;"/>
  </x:numFmts>
  <x:fonts count="7">
    <x:font>
      <x:sz val="11"/>
      <x:name val="Carlito"/>
    </x:font>
    <x:font>
      <x:sz val="10"/>
      <x:color rgb="FF202124"/>
      <x:name val="Arial"/>
    </x:font>
    <x:font>
      <x:b/>
      <x:sz val="15"/>
      <x:color rgb="FF202124"/>
      <x:name val="Arial"/>
    </x:font>
    <x:font>
      <x:i/>
      <x:sz val="10"/>
      <x:color rgb="FF51565B"/>
      <x:name val="Arial"/>
    </x:font>
    <x:font>
      <x:b/>
      <x:sz val="10"/>
      <x:color rgb="FFFFFFFF"/>
      <x:name val="Arial"/>
    </x:font>
    <x:font>
      <x:sz val="10"/>
      <x:color rgb="FF1F6B4B"/>
      <x:name val="Arial"/>
    </x:font>
    <x:font>
      <x:b/>
      <x:sz val="10"/>
      <x:color rgb="FF20212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C454D"/>
      </x:patternFill>
    </x:fill>
    <x:fill>
      <x:patternFill patternType="solid">
        <x:fgColor rgb="FFE9EEF0"/>
      </x:patternFill>
    </x:fill>
  </x:fills>
  <x:borders count="2">
    <x:border/>
    <x:border>
      <x:top style="thin">
        <x:color rgb="FFABB4B9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201" fontId="6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1ba9a3dcdc41d7" /><Relationship Type="http://schemas.openxmlformats.org/officeDocument/2006/relationships/theme" Target="/xl/theme/theme1.xml" Id="R6bf0605dd3c14833" /><Relationship Type="http://schemas.openxmlformats.org/officeDocument/2006/relationships/sharedStrings" Target="/xl/sharedStrings.xml" Id="R3a219aeb76fa48f6" /><Relationship Type="http://schemas.openxmlformats.org/officeDocument/2006/relationships/worksheet" Target="/xl/worksheets/sheet1.xml" Id="Rd655f786c9b64d90" /><Relationship Type="http://schemas.openxmlformats.org/officeDocument/2006/relationships/worksheet" Target="/xl/worksheets/sheet2.xml" Id="Rd3f71f75bc1a4b4b" /><Relationship Type="http://schemas.openxmlformats.org/officeDocument/2006/relationships/worksheet" Target="/xl/worksheets/sheet3.xml" Id="Rdada2b8b95684823" /><Relationship Type="http://schemas.openxmlformats.org/officeDocument/2006/relationships/worksheet" Target="/xl/worksheets/sheet4.xml" Id="Rb7dee28970274733" /></Relationships>
</file>

<file path=xl/tables/table1.xml><?xml version="1.0" encoding="utf-8"?>
<x:table xmlns:x="http://schemas.openxmlformats.org/spreadsheetml/2006/main" id="2" name="Monatskonten2024" displayName="Monatskonten2024" ref="A5:H821" headerRowCount="1" totalsRowCount="0" totalsRowShown="0">
  <x:tableColumns count="8">
    <x:tableColumn id="1" name="Monat"/>
    <x:tableColumn id="2" name="Konto"/>
    <x:tableColumn id="3" name="Bezeichnung"/>
    <x:tableColumn id="4" name="Eröffnung +/-"/>
    <x:tableColumn id="5" name="Soll"/>
    <x:tableColumn id="6" name="Haben"/>
    <x:tableColumn id="7" name="Bewegung +/-"/>
    <x:tableColumn id="8" name="Schluss +/-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Journal2024" displayName="Journal2024" ref="A5:H1632" headerRowCount="1" totalsRowCount="0" totalsRowShown="0">
  <x:tableColumns count="8">
    <x:tableColumn id="1" name="Beleggruppe"/>
    <x:tableColumn id="2" name="Buchungsdatum"/>
    <x:tableColumn id="3" name="Monat"/>
    <x:tableColumn id="4" name="Konto"/>
    <x:tableColumn id="5" name="Soll EUR"/>
    <x:tableColumn id="6" name="Haben EUR"/>
    <x:tableColumn id="7" name="Buchungstext"/>
    <x:tableColumn id="8" name="Vorgangsar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6395fc91eb40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5a4f5505e54f1c" /></Relationships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39.439998626708984" hidden="0" customWidth="1"/>
    <x:col min="3" max="3" width="14.670000076293945" hidden="0" customWidth="1"/>
    <x:col min="4" max="4" width="14.670000076293945" hidden="0" customWidth="1"/>
    <x:col min="5" max="5" width="15.779999732971191" hidden="0" customWidth="1"/>
    <x:col min="6" max="6" width="15.779999732971191" hidden="0" customWidth="1"/>
    <x:col min="7" max="7" width="14.670000076293945" hidden="0" customWidth="1"/>
    <x:col min="8" max="8" width="14.670000076293945" hidden="0" customWidth="1"/>
  </x:cols>
  <x:sheetData>
    <x:row r="1" ht="24" customHeight="1">
      <x:c r="A1" s="2" t="str">
        <x:v>Summen und Salden 2024</x:v>
      </x:c>
      <x:c r="B1" s="1"/>
      <x:c r="C1" s="1"/>
      <x:c r="D1" s="1"/>
      <x:c r="E1" s="1"/>
      <x:c r="F1" s="1"/>
      <x:c r="G1" s="1"/>
      <x:c r="H1" s="1"/>
    </x:row>
    <x:row r="2" ht="14" customHeight="1">
      <x:c r="A2" s="3" t="str">
        <x:v>Mainfrucht Spezialitätenhandel GmbH</x:v>
      </x:c>
      <x:c r="B2" s="1"/>
      <x:c r="C2" s="1"/>
      <x:c r="D2" s="1"/>
      <x:c r="E2" s="1"/>
      <x:c r="F2" s="1"/>
      <x:c r="G2" s="1"/>
      <x:c r="H2" s="1"/>
    </x:row>
    <x:row r="3" ht="14" customHeight="1">
      <x:c r="A3" s="1" t="str">
        <x:v>Stand 15.01.2026; EUR; vor GuV-Abschluss</x:v>
      </x:c>
      <x:c r="B3" s="1"/>
      <x:c r="C3" s="1"/>
      <x:c r="D3" s="1"/>
      <x:c r="E3" s="1"/>
      <x:c r="F3" s="1"/>
      <x:c r="G3" s="1"/>
      <x:c r="H3" s="1"/>
    </x:row>
    <x:row r="4" ht="14" customHeight="1">
      <x:c r="A4" s="1"/>
      <x:c r="B4" s="1"/>
      <x:c r="C4" s="1"/>
      <x:c r="D4" s="1"/>
      <x:c r="E4" s="1"/>
      <x:c r="F4" s="1"/>
      <x:c r="G4" s="1"/>
      <x:c r="H4" s="1"/>
    </x:row>
    <x:row r="5" ht="28" customHeight="1">
      <x:c r="A5" s="7" t="str">
        <x:v>Konto</x:v>
      </x:c>
      <x:c r="B5" s="7" t="str">
        <x:v>Bezeichnung</x:v>
      </x:c>
      <x:c r="C5" s="7" t="str">
        <x:v>Eröffnung Soll</x:v>
      </x:c>
      <x:c r="D5" s="7" t="str">
        <x:v>Eröffnung Haben</x:v>
      </x:c>
      <x:c r="E5" s="7" t="str">
        <x:v>Umsatz Soll</x:v>
      </x:c>
      <x:c r="F5" s="7" t="str">
        <x:v>Umsatz Haben</x:v>
      </x:c>
      <x:c r="G5" s="7" t="str">
        <x:v>Saldo Soll</x:v>
      </x:c>
      <x:c r="H5" s="7" t="str">
        <x:v>Saldo Haben</x:v>
      </x:c>
    </x:row>
    <x:row r="6" ht="14" customHeight="1">
      <x:c r="A6" s="1" t="str">
        <x:v>0100</x:v>
      </x:c>
      <x:c r="B6" s="1" t="str">
        <x:v>Software</x:v>
      </x:c>
      <x:c r="C6" s="12" t="n">
        <x:v>20000</x:v>
      </x:c>
      <x:c r="D6" s="12" t="n">
        <x:v>0</x:v>
      </x:c>
      <x:c r="E6" s="9" t="n">
        <x:f>SUMIF('Monatskonten'!$B$6:$B$821,A6,'Monatskonten'!$E$6:$E$821)</x:f>
        <x:v>0</x:v>
      </x:c>
      <x:c r="F6" s="9" t="n">
        <x:f>SUMIF('Monatskonten'!$B$6:$B$821,A6,'Monatskonten'!$F$6:$F$821)</x:f>
        <x:v>6000</x:v>
      </x:c>
      <x:c r="G6" s="9" t="n">
        <x:f>MAX(ROUND(C6-D6+E6-F6,2),0)</x:f>
        <x:v>14000</x:v>
      </x:c>
      <x:c r="H6" s="9" t="n">
        <x:f>MAX(ROUND(D6-C6+F6-E6,2),0)</x:f>
        <x:v>0</x:v>
      </x:c>
    </x:row>
    <x:row r="7" ht="14" customHeight="1">
      <x:c r="A7" s="1" t="str">
        <x:v>0400</x:v>
      </x:c>
      <x:c r="B7" s="1" t="str">
        <x:v>Lagereinbauten Erlangen</x:v>
      </x:c>
      <x:c r="C7" s="12" t="n">
        <x:v>240000</x:v>
      </x:c>
      <x:c r="D7" s="12" t="n">
        <x:v>0</x:v>
      </x:c>
      <x:c r="E7" s="9" t="n">
        <x:f>SUMIF('Monatskonten'!$B$6:$B$821,A7,'Monatskonten'!$E$6:$E$821)</x:f>
        <x:v>0</x:v>
      </x:c>
      <x:c r="F7" s="9" t="n">
        <x:f>SUMIF('Monatskonten'!$B$6:$B$821,A7,'Monatskonten'!$F$6:$F$821)</x:f>
        <x:v>30000</x:v>
      </x:c>
      <x:c r="G7" s="9" t="n">
        <x:f>MAX(ROUND(C7-D7+E7-F7,2),0)</x:f>
        <x:v>210000</x:v>
      </x:c>
      <x:c r="H7" s="9" t="n">
        <x:f>MAX(ROUND(D7-C7+F7-E7,2),0)</x:f>
        <x:v>0</x:v>
      </x:c>
    </x:row>
    <x:row r="8" ht="14" customHeight="1">
      <x:c r="A8" s="1" t="str">
        <x:v>0520</x:v>
      </x:c>
      <x:c r="B8" s="1" t="str">
        <x:v>Flurförderzeuge</x:v>
      </x:c>
      <x:c r="C8" s="12" t="n">
        <x:v>100000</x:v>
      </x:c>
      <x:c r="D8" s="12" t="n">
        <x:v>0</x:v>
      </x:c>
      <x:c r="E8" s="9" t="n">
        <x:f>SUMIF('Monatskonten'!$B$6:$B$821,A8,'Monatskonten'!$E$6:$E$821)</x:f>
        <x:v>36000</x:v>
      </x:c>
      <x:c r="F8" s="9" t="n">
        <x:f>SUMIF('Monatskonten'!$B$6:$B$821,A8,'Monatskonten'!$F$6:$F$821)</x:f>
        <x:v>18000</x:v>
      </x:c>
      <x:c r="G8" s="9" t="n">
        <x:f>MAX(ROUND(C8-D8+E8-F8,2),0)</x:f>
        <x:v>118000</x:v>
      </x:c>
      <x:c r="H8" s="9" t="n">
        <x:f>MAX(ROUND(D8-C8+F8-E8,2),0)</x:f>
        <x:v>0</x:v>
      </x:c>
    </x:row>
    <x:row r="9" ht="14" customHeight="1">
      <x:c r="A9" s="1" t="str">
        <x:v>0650</x:v>
      </x:c>
      <x:c r="B9" s="1" t="str">
        <x:v>IT und Kommunikation</x:v>
      </x:c>
      <x:c r="C9" s="12" t="n">
        <x:v>80000</x:v>
      </x:c>
      <x:c r="D9" s="12" t="n">
        <x:v>0</x:v>
      </x:c>
      <x:c r="E9" s="9" t="n">
        <x:f>SUMIF('Monatskonten'!$B$6:$B$821,A9,'Monatskonten'!$E$6:$E$821)</x:f>
        <x:v>24000</x:v>
      </x:c>
      <x:c r="F9" s="9" t="n">
        <x:f>SUMIF('Monatskonten'!$B$6:$B$821,A9,'Monatskonten'!$F$6:$F$821)</x:f>
        <x:v>24000</x:v>
      </x:c>
      <x:c r="G9" s="9" t="n">
        <x:f>MAX(ROUND(C9-D9+E9-F9,2),0)</x:f>
        <x:v>80000</x:v>
      </x:c>
      <x:c r="H9" s="9" t="n">
        <x:f>MAX(ROUND(D9-C9+F9-E9,2),0)</x:f>
        <x:v>0</x:v>
      </x:c>
    </x:row>
    <x:row r="10" ht="14" customHeight="1">
      <x:c r="A10" s="1" t="str">
        <x:v>0670</x:v>
      </x:c>
      <x:c r="B10" s="1" t="str">
        <x:v>Büroausstattung</x:v>
      </x:c>
      <x:c r="C10" s="12" t="n">
        <x:v>60000</x:v>
      </x:c>
      <x:c r="D10" s="12" t="n">
        <x:v>0</x:v>
      </x:c>
      <x:c r="E10" s="9" t="n">
        <x:f>SUMIF('Monatskonten'!$B$6:$B$821,A10,'Monatskonten'!$E$6:$E$821)</x:f>
        <x:v>0</x:v>
      </x:c>
      <x:c r="F10" s="9" t="n">
        <x:f>SUMIF('Monatskonten'!$B$6:$B$821,A10,'Monatskonten'!$F$6:$F$821)</x:f>
        <x:v>12000</x:v>
      </x:c>
      <x:c r="G10" s="9" t="n">
        <x:f>MAX(ROUND(C10-D10+E10-F10,2),0)</x:f>
        <x:v>48000</x:v>
      </x:c>
      <x:c r="H10" s="9" t="n">
        <x:f>MAX(ROUND(D10-C10+F10-E10,2),0)</x:f>
        <x:v>0</x:v>
      </x:c>
    </x:row>
    <x:row r="11" ht="14" customHeight="1">
      <x:c r="A11" s="1" t="str">
        <x:v>1140</x:v>
      </x:c>
      <x:c r="B11" s="1" t="str">
        <x:v>Warenbestand</x:v>
      </x:c>
      <x:c r="C11" s="12" t="n">
        <x:v>650000</x:v>
      </x:c>
      <x:c r="D11" s="12" t="n">
        <x:v>0</x:v>
      </x:c>
      <x:c r="E11" s="9" t="n">
        <x:f>SUMIF('Monatskonten'!$B$6:$B$821,A11,'Monatskonten'!$E$6:$E$821)</x:f>
        <x:v>5046795</x:v>
      </x:c>
      <x:c r="F11" s="9" t="n">
        <x:f>SUMIF('Monatskonten'!$B$6:$B$821,A11,'Monatskonten'!$F$6:$F$821)</x:f>
        <x:v>4934795</x:v>
      </x:c>
      <x:c r="G11" s="9" t="n">
        <x:f>MAX(ROUND(C11-D11+E11-F11,2),0)</x:f>
        <x:v>762000</x:v>
      </x:c>
      <x:c r="H11" s="9" t="n">
        <x:f>MAX(ROUND(D11-C11+F11-E11,2),0)</x:f>
        <x:v>0</x:v>
      </x:c>
    </x:row>
    <x:row r="12" ht="14" customHeight="1">
      <x:c r="A12" s="1" t="str">
        <x:v>1200</x:v>
      </x:c>
      <x:c r="B12" s="1" t="str">
        <x:v>Forderungen Lieferungen und Leistungen</x:v>
      </x:c>
      <x:c r="C12" s="12" t="n">
        <x:v>780000</x:v>
      </x:c>
      <x:c r="D12" s="12" t="n">
        <x:v>0</x:v>
      </x:c>
      <x:c r="E12" s="9" t="n">
        <x:f>SUMIF('Monatskonten'!$B$6:$B$821,A12,'Monatskonten'!$E$6:$E$821)</x:f>
        <x:v>8028640</x:v>
      </x:c>
      <x:c r="F12" s="9" t="n">
        <x:f>SUMIF('Monatskonten'!$B$6:$B$821,A12,'Monatskonten'!$F$6:$F$821)</x:f>
        <x:v>7988640</x:v>
      </x:c>
      <x:c r="G12" s="9" t="n">
        <x:f>MAX(ROUND(C12-D12+E12-F12,2),0)</x:f>
        <x:v>820000</x:v>
      </x:c>
      <x:c r="H12" s="9" t="n">
        <x:f>MAX(ROUND(D12-C12+F12-E12,2),0)</x:f>
        <x:v>0</x:v>
      </x:c>
    </x:row>
    <x:row r="13" ht="14" customHeight="1">
      <x:c r="A13" s="1" t="str">
        <x:v>1248</x:v>
      </x:c>
      <x:c r="B13" s="1" t="str">
        <x:v>Einzelwertberichtigungen zu Forderungen</x:v>
      </x:c>
      <x:c r="C13" s="12" t="n">
        <x:v>0</x:v>
      </x:c>
      <x:c r="D13" s="12" t="n">
        <x:v>20000</x:v>
      </x:c>
      <x:c r="E13" s="9" t="n">
        <x:f>SUMIF('Monatskonten'!$B$6:$B$821,A13,'Monatskonten'!$E$6:$E$821)</x:f>
        <x:v>0</x:v>
      </x:c>
      <x:c r="F13" s="9" t="n">
        <x:f>SUMIF('Monatskonten'!$B$6:$B$821,A13,'Monatskonten'!$F$6:$F$821)</x:f>
        <x:v>10000</x:v>
      </x:c>
      <x:c r="G13" s="9" t="n">
        <x:f>MAX(ROUND(C13-D13+E13-F13,2),0)</x:f>
        <x:v>0</x:v>
      </x:c>
      <x:c r="H13" s="9" t="n">
        <x:f>MAX(ROUND(D13-C13+F13-E13,2),0)</x:f>
        <x:v>30000</x:v>
      </x:c>
    </x:row>
    <x:row r="14" ht="14" customHeight="1">
      <x:c r="A14" s="1" t="str">
        <x:v>1300</x:v>
      </x:c>
      <x:c r="B14" s="1" t="str">
        <x:v>Geleistete Lieferantenanzahlungen</x:v>
      </x:c>
      <x:c r="C14" s="12" t="n">
        <x:v>80000</x:v>
      </x:c>
      <x:c r="D14" s="12" t="n">
        <x:v>0</x:v>
      </x:c>
      <x:c r="E14" s="9" t="n">
        <x:f>SUMIF('Monatskonten'!$B$6:$B$821,A14,'Monatskonten'!$E$6:$E$821)</x:f>
        <x:v>60000</x:v>
      </x:c>
      <x:c r="F14" s="9" t="n">
        <x:f>SUMIF('Monatskonten'!$B$6:$B$821,A14,'Monatskonten'!$F$6:$F$821)</x:f>
        <x:v>40000</x:v>
      </x:c>
      <x:c r="G14" s="9" t="n">
        <x:f>MAX(ROUND(C14-D14+E14-F14,2),0)</x:f>
        <x:v>100000</x:v>
      </x:c>
      <x:c r="H14" s="9" t="n">
        <x:f>MAX(ROUND(D14-C14+F14-E14,2),0)</x:f>
        <x:v>0</x:v>
      </x:c>
    </x:row>
    <x:row r="15" ht="14" customHeight="1">
      <x:c r="A15" s="1" t="str">
        <x:v>1350</x:v>
      </x:c>
      <x:c r="B15" s="1" t="str">
        <x:v>Mietkaution Erlangen</x:v>
      </x:c>
      <x:c r="C15" s="12" t="n">
        <x:v>25000</x:v>
      </x:c>
      <x:c r="D15" s="12" t="n">
        <x:v>0</x:v>
      </x:c>
      <x:c r="E15" s="9" t="n">
        <x:f>SUMIF('Monatskonten'!$B$6:$B$821,A15,'Monatskonten'!$E$6:$E$821)</x:f>
        <x:v>0</x:v>
      </x:c>
      <x:c r="F15" s="9" t="n">
        <x:f>SUMIF('Monatskonten'!$B$6:$B$821,A15,'Monatskonten'!$F$6:$F$821)</x:f>
        <x:v>0</x:v>
      </x:c>
      <x:c r="G15" s="9" t="n">
        <x:f>MAX(ROUND(C15-D15+E15-F15,2),0)</x:f>
        <x:v>25000</x:v>
      </x:c>
      <x:c r="H15" s="9" t="n">
        <x:f>MAX(ROUND(D15-C15+F15-E15,2),0)</x:f>
        <x:v>0</x:v>
      </x:c>
    </x:row>
    <x:row r="16" ht="14" customHeight="1">
      <x:c r="A16" s="1" t="str">
        <x:v>1401</x:v>
      </x:c>
      <x:c r="B16" s="1" t="str">
        <x:v>Vorsteuer Inland 7 Prozent</x:v>
      </x:c>
      <x:c r="C16" s="12" t="n">
        <x:v>0</x:v>
      </x:c>
      <x:c r="D16" s="12" t="n">
        <x:v>0</x:v>
      </x:c>
      <x:c r="E16" s="9" t="n">
        <x:f>SUMIF('Monatskonten'!$B$6:$B$821,A16,'Monatskonten'!$E$6:$E$821)</x:f>
        <x:v>134244.76</x:v>
      </x:c>
      <x:c r="F16" s="9" t="n">
        <x:f>SUMIF('Monatskonten'!$B$6:$B$821,A16,'Monatskonten'!$F$6:$F$821)</x:f>
        <x:v>134244.76</x:v>
      </x:c>
      <x:c r="G16" s="9" t="n">
        <x:f>MAX(ROUND(C16-D16+E16-F16,2),0)</x:f>
        <x:v>0</x:v>
      </x:c>
      <x:c r="H16" s="9" t="n">
        <x:f>MAX(ROUND(D16-C16+F16-E16,2),0)</x:f>
        <x:v>0</x:v>
      </x:c>
    </x:row>
    <x:row r="17" ht="14" customHeight="1">
      <x:c r="A17" s="1" t="str">
        <x:v>1406</x:v>
      </x:c>
      <x:c r="B17" s="1" t="str">
        <x:v>Vorsteuer Inland 19 Prozent</x:v>
      </x:c>
      <x:c r="C17" s="12" t="n">
        <x:v>0</x:v>
      </x:c>
      <x:c r="D17" s="12" t="n">
        <x:v>0</x:v>
      </x:c>
      <x:c r="E17" s="9" t="n">
        <x:f>SUMIF('Monatskonten'!$B$6:$B$821,A17,'Monatskonten'!$E$6:$E$821)</x:f>
        <x:v>244962.38000000003</x:v>
      </x:c>
      <x:c r="F17" s="9" t="n">
        <x:f>SUMIF('Monatskonten'!$B$6:$B$821,A17,'Monatskonten'!$F$6:$F$821)</x:f>
        <x:v>244962.38000000003</x:v>
      </x:c>
      <x:c r="G17" s="9" t="n">
        <x:f>MAX(ROUND(C17-D17+E17-F17,2),0)</x:f>
        <x:v>0</x:v>
      </x:c>
      <x:c r="H17" s="9" t="n">
        <x:f>MAX(ROUND(D17-C17+F17-E17,2),0)</x:f>
        <x:v>0</x:v>
      </x:c>
    </x:row>
    <x:row r="18" ht="14" customHeight="1">
      <x:c r="A18" s="1" t="str">
        <x:v>1404</x:v>
      </x:c>
      <x:c r="B18" s="1" t="str">
        <x:v>Vorsteuer EU Erwerb 7 Prozent</x:v>
      </x:c>
      <x:c r="C18" s="12" t="n">
        <x:v>0</x:v>
      </x:c>
      <x:c r="D18" s="12" t="n">
        <x:v>0</x:v>
      </x:c>
      <x:c r="E18" s="9" t="n">
        <x:f>SUMIF('Monatskonten'!$B$6:$B$821,A18,'Monatskonten'!$E$6:$E$821)</x:f>
        <x:v>70655.14</x:v>
      </x:c>
      <x:c r="F18" s="9" t="n">
        <x:f>SUMIF('Monatskonten'!$B$6:$B$821,A18,'Monatskonten'!$F$6:$F$821)</x:f>
        <x:v>70655.14</x:v>
      </x:c>
      <x:c r="G18" s="9" t="n">
        <x:f>MAX(ROUND(C18-D18+E18-F18,2),0)</x:f>
        <x:v>0</x:v>
      </x:c>
      <x:c r="H18" s="9" t="n">
        <x:f>MAX(ROUND(D18-C18+F18-E18,2),0)</x:f>
        <x:v>0</x:v>
      </x:c>
    </x:row>
    <x:row r="19" ht="14" customHeight="1">
      <x:c r="A19" s="1" t="str">
        <x:v>1409</x:v>
      </x:c>
      <x:c r="B19" s="1" t="str">
        <x:v>Vorsteuer EU Erwerb 19 Prozent</x:v>
      </x:c>
      <x:c r="C19" s="12" t="n">
        <x:v>0</x:v>
      </x:c>
      <x:c r="D19" s="12" t="n">
        <x:v>0</x:v>
      </x:c>
      <x:c r="E19" s="9" t="n">
        <x:f>SUMIF('Monatskonten'!$B$6:$B$821,A19,'Monatskonten'!$E$6:$E$821)</x:f>
        <x:v>47944.549999999996</x:v>
      </x:c>
      <x:c r="F19" s="9" t="n">
        <x:f>SUMIF('Monatskonten'!$B$6:$B$821,A19,'Monatskonten'!$F$6:$F$821)</x:f>
        <x:v>47944.549999999996</x:v>
      </x:c>
      <x:c r="G19" s="9" t="n">
        <x:f>MAX(ROUND(C19-D19+E19-F19,2),0)</x:f>
        <x:v>0</x:v>
      </x:c>
      <x:c r="H19" s="9" t="n">
        <x:f>MAX(ROUND(D19-C19+F19-E19,2),0)</x:f>
        <x:v>0</x:v>
      </x:c>
    </x:row>
    <x:row r="20" ht="14" customHeight="1">
      <x:c r="A20" s="1" t="str">
        <x:v>1433</x:v>
      </x:c>
      <x:c r="B20" s="1" t="str">
        <x:v>Einfuhrumsatzsteuer</x:v>
      </x:c>
      <x:c r="C20" s="12" t="n">
        <x:v>0</x:v>
      </x:c>
      <x:c r="D20" s="12" t="n">
        <x:v>0</x:v>
      </x:c>
      <x:c r="E20" s="9" t="n">
        <x:f>SUMIF('Monatskonten'!$B$6:$B$821,A20,'Monatskonten'!$E$6:$E$821)</x:f>
        <x:v>124151.15999999999</x:v>
      </x:c>
      <x:c r="F20" s="9" t="n">
        <x:f>SUMIF('Monatskonten'!$B$6:$B$821,A20,'Monatskonten'!$F$6:$F$821)</x:f>
        <x:v>124151.15999999999</x:v>
      </x:c>
      <x:c r="G20" s="9" t="n">
        <x:f>MAX(ROUND(C20-D20+E20-F20,2),0)</x:f>
        <x:v>0</x:v>
      </x:c>
      <x:c r="H20" s="9" t="n">
        <x:f>MAX(ROUND(D20-C20+F20-E20,2),0)</x:f>
        <x:v>0</x:v>
      </x:c>
    </x:row>
    <x:row r="21" ht="14" customHeight="1">
      <x:c r="A21" s="1" t="str">
        <x:v>1600</x:v>
      </x:c>
      <x:c r="B21" s="1" t="str">
        <x:v>Kasse</x:v>
      </x:c>
      <x:c r="C21" s="12" t="n">
        <x:v>3000</x:v>
      </x:c>
      <x:c r="D21" s="12" t="n">
        <x:v>0</x:v>
      </x:c>
      <x:c r="E21" s="9" t="n">
        <x:f>SUMIF('Monatskonten'!$B$6:$B$821,A21,'Monatskonten'!$E$6:$E$821)</x:f>
        <x:v>3600</x:v>
      </x:c>
      <x:c r="F21" s="9" t="n">
        <x:f>SUMIF('Monatskonten'!$B$6:$B$821,A21,'Monatskonten'!$F$6:$F$821)</x:f>
        <x:v>3600</x:v>
      </x:c>
      <x:c r="G21" s="9" t="n">
        <x:f>MAX(ROUND(C21-D21+E21-F21,2),0)</x:f>
        <x:v>3000</x:v>
      </x:c>
      <x:c r="H21" s="9" t="n">
        <x:f>MAX(ROUND(D21-C21+F21-E21,2),0)</x:f>
        <x:v>0</x:v>
      </x:c>
    </x:row>
    <x:row r="22" ht="14" customHeight="1">
      <x:c r="A22" s="1" t="str">
        <x:v>1800</x:v>
      </x:c>
      <x:c r="B22" s="1" t="str">
        <x:v>Bank Frankenbogen Geschäftskonto</x:v>
      </x:c>
      <x:c r="C22" s="12" t="n">
        <x:v>220000</x:v>
      </x:c>
      <x:c r="D22" s="12" t="n">
        <x:v>0</x:v>
      </x:c>
      <x:c r="E22" s="9" t="n">
        <x:f>SUMIF('Monatskonten'!$B$6:$B$821,A22,'Monatskonten'!$E$6:$E$821)</x:f>
        <x:v>8035799.76</x:v>
      </x:c>
      <x:c r="F22" s="9" t="n">
        <x:f>SUMIF('Monatskonten'!$B$6:$B$821,A22,'Monatskonten'!$F$6:$F$821)</x:f>
        <x:v>8036253.299999999</x:v>
      </x:c>
      <x:c r="G22" s="9" t="n">
        <x:f>MAX(ROUND(C22-D22+E22-F22,2),0)</x:f>
        <x:v>219546.46</x:v>
      </x:c>
      <x:c r="H22" s="9" t="n">
        <x:f>MAX(ROUND(D22-C22+F22-E22,2),0)</x:f>
        <x:v>0</x:v>
      </x:c>
    </x:row>
    <x:row r="23" ht="14" customHeight="1">
      <x:c r="A23" s="1" t="str">
        <x:v>1900</x:v>
      </x:c>
      <x:c r="B23" s="1" t="str">
        <x:v>Aktive Rechnungsabgrenzung</x:v>
      </x:c>
      <x:c r="C23" s="12" t="n">
        <x:v>18000</x:v>
      </x:c>
      <x:c r="D23" s="12" t="n">
        <x:v>0</x:v>
      </x:c>
      <x:c r="E23" s="9" t="n">
        <x:f>SUMIF('Monatskonten'!$B$6:$B$821,A23,'Monatskonten'!$E$6:$E$821)</x:f>
        <x:v>18000</x:v>
      </x:c>
      <x:c r="F23" s="9" t="n">
        <x:f>SUMIF('Monatskonten'!$B$6:$B$821,A23,'Monatskonten'!$F$6:$F$821)</x:f>
        <x:v>18000</x:v>
      </x:c>
      <x:c r="G23" s="9" t="n">
        <x:f>MAX(ROUND(C23-D23+E23-F23,2),0)</x:f>
        <x:v>18000</x:v>
      </x:c>
      <x:c r="H23" s="9" t="n">
        <x:f>MAX(ROUND(D23-C23+F23-E23,2),0)</x:f>
        <x:v>0</x:v>
      </x:c>
    </x:row>
    <x:row r="24" ht="14" customHeight="1">
      <x:c r="A24" s="1" t="str">
        <x:v>2900</x:v>
      </x:c>
      <x:c r="B24" s="1" t="str">
        <x:v>Gezeichnetes Kapital</x:v>
      </x:c>
      <x:c r="C24" s="12" t="n">
        <x:v>0</x:v>
      </x:c>
      <x:c r="D24" s="12" t="n">
        <x:v>100000</x:v>
      </x:c>
      <x:c r="E24" s="9" t="n">
        <x:f>SUMIF('Monatskonten'!$B$6:$B$821,A24,'Monatskonten'!$E$6:$E$821)</x:f>
        <x:v>0</x:v>
      </x:c>
      <x:c r="F24" s="9" t="n">
        <x:f>SUMIF('Monatskonten'!$B$6:$B$821,A24,'Monatskonten'!$F$6:$F$821)</x:f>
        <x:v>0</x:v>
      </x:c>
      <x:c r="G24" s="9" t="n">
        <x:f>MAX(ROUND(C24-D24+E24-F24,2),0)</x:f>
        <x:v>0</x:v>
      </x:c>
      <x:c r="H24" s="9" t="n">
        <x:f>MAX(ROUND(D24-C24+F24-E24,2),0)</x:f>
        <x:v>100000</x:v>
      </x:c>
    </x:row>
    <x:row r="25" ht="14" customHeight="1">
      <x:c r="A25" s="1" t="str">
        <x:v>2970</x:v>
      </x:c>
      <x:c r="B25" s="1" t="str">
        <x:v>Gewinnvortrag bis 2023</x:v>
      </x:c>
      <x:c r="C25" s="12" t="n">
        <x:v>0</x:v>
      </x:c>
      <x:c r="D25" s="12" t="n">
        <x:v>705000</x:v>
      </x:c>
      <x:c r="E25" s="9" t="n">
        <x:f>SUMIF('Monatskonten'!$B$6:$B$821,A25,'Monatskonten'!$E$6:$E$821)</x:f>
        <x:v>0</x:v>
      </x:c>
      <x:c r="F25" s="9" t="n">
        <x:f>SUMIF('Monatskonten'!$B$6:$B$821,A25,'Monatskonten'!$F$6:$F$821)</x:f>
        <x:v>0</x:v>
      </x:c>
      <x:c r="G25" s="9" t="n">
        <x:f>MAX(ROUND(C25-D25+E25-F25,2),0)</x:f>
        <x:v>0</x:v>
      </x:c>
      <x:c r="H25" s="9" t="n">
        <x:f>MAX(ROUND(D25-C25+F25-E25,2),0)</x:f>
        <x:v>705000</x:v>
      </x:c>
    </x:row>
    <x:row r="26" ht="14" customHeight="1">
      <x:c r="A26" s="1" t="str">
        <x:v>2978</x:v>
      </x:c>
      <x:c r="B26" s="1" t="str">
        <x:v>Ergebnisvortrag 2024</x:v>
      </x:c>
      <x:c r="C26" s="12" t="n">
        <x:v>0</x:v>
      </x:c>
      <x:c r="D26" s="12" t="n">
        <x:v>0</x:v>
      </x:c>
      <x:c r="E26" s="9" t="n">
        <x:f>SUMIF('Monatskonten'!$B$6:$B$821,A26,'Monatskonten'!$E$6:$E$821)</x:f>
        <x:v>0</x:v>
      </x:c>
      <x:c r="F26" s="9" t="n">
        <x:f>SUMIF('Monatskonten'!$B$6:$B$821,A26,'Monatskonten'!$F$6:$F$821)</x:f>
        <x:v>0</x:v>
      </x:c>
      <x:c r="G26" s="9" t="n">
        <x:f>MAX(ROUND(C26-D26+E26-F26,2),0)</x:f>
        <x:v>0</x:v>
      </x:c>
      <x:c r="H26" s="9" t="n">
        <x:f>MAX(ROUND(D26-C26+F26-E26,2),0)</x:f>
        <x:v>0</x:v>
      </x:c>
    </x:row>
    <x:row r="27" ht="14" customHeight="1">
      <x:c r="A27" s="1" t="str">
        <x:v>3090</x:v>
      </x:c>
      <x:c r="B27" s="1" t="str">
        <x:v>Rückstellungen Abschluss und Urlaub</x:v>
      </x:c>
      <x:c r="C27" s="12" t="n">
        <x:v>0</x:v>
      </x:c>
      <x:c r="D27" s="12" t="n">
        <x:v>45000</x:v>
      </x:c>
      <x:c r="E27" s="9" t="n">
        <x:f>SUMIF('Monatskonten'!$B$6:$B$821,A27,'Monatskonten'!$E$6:$E$821)</x:f>
        <x:v>0</x:v>
      </x:c>
      <x:c r="F27" s="9" t="n">
        <x:f>SUMIF('Monatskonten'!$B$6:$B$821,A27,'Monatskonten'!$F$6:$F$821)</x:f>
        <x:v>15000</x:v>
      </x:c>
      <x:c r="G27" s="9" t="n">
        <x:f>MAX(ROUND(C27-D27+E27-F27,2),0)</x:f>
        <x:v>0</x:v>
      </x:c>
      <x:c r="H27" s="9" t="n">
        <x:f>MAX(ROUND(D27-C27+F27-E27,2),0)</x:f>
        <x:v>60000</x:v>
      </x:c>
    </x:row>
    <x:row r="28" ht="14" customHeight="1">
      <x:c r="A28" s="1" t="str">
        <x:v>3150</x:v>
      </x:c>
      <x:c r="B28" s="1" t="str">
        <x:v>Investitionsdarlehen Frankenbogen</x:v>
      </x:c>
      <x:c r="C28" s="12" t="n">
        <x:v>0</x:v>
      </x:c>
      <x:c r="D28" s="12" t="n">
        <x:v>600000</x:v>
      </x:c>
      <x:c r="E28" s="9" t="n">
        <x:f>SUMIF('Monatskonten'!$B$6:$B$821,A28,'Monatskonten'!$E$6:$E$821)</x:f>
        <x:v>120000</x:v>
      </x:c>
      <x:c r="F28" s="9" t="n">
        <x:f>SUMIF('Monatskonten'!$B$6:$B$821,A28,'Monatskonten'!$F$6:$F$821)</x:f>
        <x:v>0</x:v>
      </x:c>
      <x:c r="G28" s="9" t="n">
        <x:f>MAX(ROUND(C28-D28+E28-F28,2),0)</x:f>
        <x:v>0</x:v>
      </x:c>
      <x:c r="H28" s="9" t="n">
        <x:f>MAX(ROUND(D28-C28+F28-E28,2),0)</x:f>
        <x:v>480000</x:v>
      </x:c>
    </x:row>
    <x:row r="29" ht="14" customHeight="1">
      <x:c r="A29" s="1" t="str">
        <x:v>3160</x:v>
      </x:c>
      <x:c r="B29" s="1" t="str">
        <x:v>Gesellschafterdarlehen</x:v>
      </x:c>
      <x:c r="C29" s="12" t="n">
        <x:v>0</x:v>
      </x:c>
      <x:c r="D29" s="12" t="n">
        <x:v>0</x:v>
      </x:c>
      <x:c r="E29" s="9" t="n">
        <x:f>SUMIF('Monatskonten'!$B$6:$B$821,A29,'Monatskonten'!$E$6:$E$821)</x:f>
        <x:v>0</x:v>
      </x:c>
      <x:c r="F29" s="9" t="n">
        <x:f>SUMIF('Monatskonten'!$B$6:$B$821,A29,'Monatskonten'!$F$6:$F$821)</x:f>
        <x:v>0</x:v>
      </x:c>
      <x:c r="G29" s="9" t="n">
        <x:f>MAX(ROUND(C29-D29+E29-F29,2),0)</x:f>
        <x:v>0</x:v>
      </x:c>
      <x:c r="H29" s="9" t="n">
        <x:f>MAX(ROUND(D29-C29+F29-E29,2),0)</x:f>
        <x:v>0</x:v>
      </x:c>
    </x:row>
    <x:row r="30" ht="14" customHeight="1">
      <x:c r="A30" s="1" t="str">
        <x:v>3300</x:v>
      </x:c>
      <x:c r="B30" s="1" t="str">
        <x:v>Verbindlichkeiten Lieferanten</x:v>
      </x:c>
      <x:c r="C30" s="12" t="n">
        <x:v>0</x:v>
      </x:c>
      <x:c r="D30" s="12" t="n">
        <x:v>650000</x:v>
      </x:c>
      <x:c r="E30" s="9" t="n">
        <x:f>SUMIF('Monatskonten'!$B$6:$B$821,A30,'Monatskonten'!$E$6:$E$821)</x:f>
        <x:v>6251582.140000001</x:v>
      </x:c>
      <x:c r="F30" s="9" t="n">
        <x:f>SUMIF('Monatskonten'!$B$6:$B$821,A30,'Monatskonten'!$F$6:$F$821)</x:f>
        <x:v>6301582.14</x:v>
      </x:c>
      <x:c r="G30" s="9" t="n">
        <x:f>MAX(ROUND(C30-D30+E30-F30,2),0)</x:f>
        <x:v>0</x:v>
      </x:c>
      <x:c r="H30" s="9" t="n">
        <x:f>MAX(ROUND(D30-C30+F30-E30,2),0)</x:f>
        <x:v>700000</x:v>
      </x:c>
    </x:row>
    <x:row r="31" ht="14" customHeight="1">
      <x:c r="A31" s="1" t="str">
        <x:v>3500</x:v>
      </x:c>
      <x:c r="B31" s="1" t="str">
        <x:v>Sonstige Verbindlichkeiten</x:v>
      </x:c>
      <x:c r="C31" s="12" t="n">
        <x:v>0</x:v>
      </x:c>
      <x:c r="D31" s="12" t="n">
        <x:v>22000</x:v>
      </x:c>
      <x:c r="E31" s="9" t="n">
        <x:f>SUMIF('Monatskonten'!$B$6:$B$821,A31,'Monatskonten'!$E$6:$E$821)</x:f>
        <x:v>0</x:v>
      </x:c>
      <x:c r="F31" s="9" t="n">
        <x:f>SUMIF('Monatskonten'!$B$6:$B$821,A31,'Monatskonten'!$F$6:$F$821)</x:f>
        <x:v>0</x:v>
      </x:c>
      <x:c r="G31" s="9" t="n">
        <x:f>MAX(ROUND(C31-D31+E31-F31,2),0)</x:f>
        <x:v>0</x:v>
      </x:c>
      <x:c r="H31" s="9" t="n">
        <x:f>MAX(ROUND(D31-C31+F31-E31,2),0)</x:f>
        <x:v>22000</x:v>
      </x:c>
    </x:row>
    <x:row r="32" ht="14" customHeight="1">
      <x:c r="A32" s="1" t="str">
        <x:v>3720</x:v>
      </x:c>
      <x:c r="B32" s="1" t="str">
        <x:v>Verbindlichkeiten Nettolöhne</x:v>
      </x:c>
      <x:c r="C32" s="12" t="n">
        <x:v>0</x:v>
      </x:c>
      <x:c r="D32" s="12" t="n">
        <x:v>42000</x:v>
      </x:c>
      <x:c r="E32" s="9" t="n">
        <x:f>SUMIF('Monatskonten'!$B$6:$B$821,A32,'Monatskonten'!$E$6:$E$821)</x:f>
        <x:v>723120</x:v>
      </x:c>
      <x:c r="F32" s="9" t="n">
        <x:f>SUMIF('Monatskonten'!$B$6:$B$821,A32,'Monatskonten'!$F$6:$F$821)</x:f>
        <x:v>681120</x:v>
      </x:c>
      <x:c r="G32" s="9" t="n">
        <x:f>MAX(ROUND(C32-D32+E32-F32,2),0)</x:f>
        <x:v>0</x:v>
      </x:c>
      <x:c r="H32" s="9" t="n">
        <x:f>MAX(ROUND(D32-C32+F32-E32,2),0)</x:f>
        <x:v>0</x:v>
      </x:c>
    </x:row>
    <x:row r="33" ht="14" customHeight="1">
      <x:c r="A33" s="1" t="str">
        <x:v>3730</x:v>
      </x:c>
      <x:c r="B33" s="1" t="str">
        <x:v>Verbindlichkeiten Lohnsteuer</x:v>
      </x:c>
      <x:c r="C33" s="12" t="n">
        <x:v>0</x:v>
      </x:c>
      <x:c r="D33" s="12" t="n">
        <x:v>12000</x:v>
      </x:c>
      <x:c r="E33" s="9" t="n">
        <x:f>SUMIF('Monatskonten'!$B$6:$B$821,A33,'Monatskonten'!$E$6:$E$821)</x:f>
        <x:v>153900</x:v>
      </x:c>
      <x:c r="F33" s="9" t="n">
        <x:f>SUMIF('Monatskonten'!$B$6:$B$821,A33,'Monatskonten'!$F$6:$F$821)</x:f>
        <x:v>154800</x:v>
      </x:c>
      <x:c r="G33" s="9" t="n">
        <x:f>MAX(ROUND(C33-D33+E33-F33,2),0)</x:f>
        <x:v>0</x:v>
      </x:c>
      <x:c r="H33" s="9" t="n">
        <x:f>MAX(ROUND(D33-C33+F33-E33,2),0)</x:f>
        <x:v>12900</x:v>
      </x:c>
    </x:row>
    <x:row r="34" ht="14" customHeight="1">
      <x:c r="A34" s="1" t="str">
        <x:v>3740</x:v>
      </x:c>
      <x:c r="B34" s="1" t="str">
        <x:v>Verbindlichkeiten Sozialversicherung</x:v>
      </x:c>
      <x:c r="C34" s="12" t="n">
        <x:v>0</x:v>
      </x:c>
      <x:c r="D34" s="12" t="n">
        <x:v>18000</x:v>
      </x:c>
      <x:c r="E34" s="9" t="n">
        <x:f>SUMIF('Monatskonten'!$B$6:$B$821,A34,'Monatskonten'!$E$6:$E$821)</x:f>
        <x:v>430080</x:v>
      </x:c>
      <x:c r="F34" s="9" t="n">
        <x:f>SUMIF('Monatskonten'!$B$6:$B$821,A34,'Monatskonten'!$F$6:$F$821)</x:f>
        <x:v>412080</x:v>
      </x:c>
      <x:c r="G34" s="9" t="n">
        <x:f>MAX(ROUND(C34-D34+E34-F34,2),0)</x:f>
        <x:v>0</x:v>
      </x:c>
      <x:c r="H34" s="9" t="n">
        <x:f>MAX(ROUND(D34-C34+F34-E34,2),0)</x:f>
        <x:v>0</x:v>
      </x:c>
    </x:row>
    <x:row r="35" ht="14" customHeight="1">
      <x:c r="A35" s="1" t="str">
        <x:v>3801</x:v>
      </x:c>
      <x:c r="B35" s="1" t="str">
        <x:v>Umsatzsteuer Inland 7 Prozent</x:v>
      </x:c>
      <x:c r="C35" s="12" t="n">
        <x:v>0</x:v>
      </x:c>
      <x:c r="D35" s="12" t="n">
        <x:v>0</x:v>
      </x:c>
      <x:c r="E35" s="9" t="n">
        <x:f>SUMIF('Monatskonten'!$B$6:$B$821,A35,'Monatskonten'!$E$6:$E$821)</x:f>
        <x:v>255360</x:v>
      </x:c>
      <x:c r="F35" s="9" t="n">
        <x:f>SUMIF('Monatskonten'!$B$6:$B$821,A35,'Monatskonten'!$F$6:$F$821)</x:f>
        <x:v>255360</x:v>
      </x:c>
      <x:c r="G35" s="9" t="n">
        <x:f>MAX(ROUND(C35-D35+E35-F35,2),0)</x:f>
        <x:v>0</x:v>
      </x:c>
      <x:c r="H35" s="9" t="n">
        <x:f>MAX(ROUND(D35-C35+F35-E35,2),0)</x:f>
        <x:v>0</x:v>
      </x:c>
    </x:row>
    <x:row r="36" ht="14" customHeight="1">
      <x:c r="A36" s="1" t="str">
        <x:v>3806</x:v>
      </x:c>
      <x:c r="B36" s="1" t="str">
        <x:v>Umsatzsteuer Inland 19 Prozent</x:v>
      </x:c>
      <x:c r="C36" s="12" t="n">
        <x:v>0</x:v>
      </x:c>
      <x:c r="D36" s="12" t="n">
        <x:v>0</x:v>
      </x:c>
      <x:c r="E36" s="9" t="n">
        <x:f>SUMIF('Monatskonten'!$B$6:$B$821,A36,'Monatskonten'!$E$6:$E$821)</x:f>
        <x:v>173280</x:v>
      </x:c>
      <x:c r="F36" s="9" t="n">
        <x:f>SUMIF('Monatskonten'!$B$6:$B$821,A36,'Monatskonten'!$F$6:$F$821)</x:f>
        <x:v>173280</x:v>
      </x:c>
      <x:c r="G36" s="9" t="n">
        <x:f>MAX(ROUND(C36-D36+E36-F36,2),0)</x:f>
        <x:v>0</x:v>
      </x:c>
      <x:c r="H36" s="9" t="n">
        <x:f>MAX(ROUND(D36-C36+F36-E36,2),0)</x:f>
        <x:v>0</x:v>
      </x:c>
    </x:row>
    <x:row r="37" ht="14" customHeight="1">
      <x:c r="A37" s="1" t="str">
        <x:v>3804</x:v>
      </x:c>
      <x:c r="B37" s="1" t="str">
        <x:v>Umsatzsteuer EU Erwerb 7 Prozent</x:v>
      </x:c>
      <x:c r="C37" s="12" t="n">
        <x:v>0</x:v>
      </x:c>
      <x:c r="D37" s="12" t="n">
        <x:v>0</x:v>
      </x:c>
      <x:c r="E37" s="9" t="n">
        <x:f>SUMIF('Monatskonten'!$B$6:$B$821,A37,'Monatskonten'!$E$6:$E$821)</x:f>
        <x:v>70655.14</x:v>
      </x:c>
      <x:c r="F37" s="9" t="n">
        <x:f>SUMIF('Monatskonten'!$B$6:$B$821,A37,'Monatskonten'!$F$6:$F$821)</x:f>
        <x:v>70655.14</x:v>
      </x:c>
      <x:c r="G37" s="9" t="n">
        <x:f>MAX(ROUND(C37-D37+E37-F37,2),0)</x:f>
        <x:v>0</x:v>
      </x:c>
      <x:c r="H37" s="9" t="n">
        <x:f>MAX(ROUND(D37-C37+F37-E37,2),0)</x:f>
        <x:v>0</x:v>
      </x:c>
    </x:row>
    <x:row r="38" ht="14" customHeight="1">
      <x:c r="A38" s="1" t="str">
        <x:v>3809</x:v>
      </x:c>
      <x:c r="B38" s="1" t="str">
        <x:v>Umsatzsteuer EU Erwerb 19 Prozent</x:v>
      </x:c>
      <x:c r="C38" s="12" t="n">
        <x:v>0</x:v>
      </x:c>
      <x:c r="D38" s="12" t="n">
        <x:v>0</x:v>
      </x:c>
      <x:c r="E38" s="9" t="n">
        <x:f>SUMIF('Monatskonten'!$B$6:$B$821,A38,'Monatskonten'!$E$6:$E$821)</x:f>
        <x:v>47944.549999999996</x:v>
      </x:c>
      <x:c r="F38" s="9" t="n">
        <x:f>SUMIF('Monatskonten'!$B$6:$B$821,A38,'Monatskonten'!$F$6:$F$821)</x:f>
        <x:v>47944.549999999996</x:v>
      </x:c>
      <x:c r="G38" s="9" t="n">
        <x:f>MAX(ROUND(C38-D38+E38-F38,2),0)</x:f>
        <x:v>0</x:v>
      </x:c>
      <x:c r="H38" s="9" t="n">
        <x:f>MAX(ROUND(D38-C38+F38-E38,2),0)</x:f>
        <x:v>0</x:v>
      </x:c>
    </x:row>
    <x:row r="39" ht="14" customHeight="1">
      <x:c r="A39" s="1" t="str">
        <x:v>3820</x:v>
      </x:c>
      <x:c r="B39" s="1" t="str">
        <x:v>Umsatzsteuer Verrechnung Finanzamt</x:v>
      </x:c>
      <x:c r="C39" s="12" t="n">
        <x:v>0</x:v>
      </x:c>
      <x:c r="D39" s="12" t="n">
        <x:v>27000</x:v>
      </x:c>
      <x:c r="E39" s="9" t="n">
        <x:f>SUMIF('Monatskonten'!$B$6:$B$821,A39,'Monatskonten'!$E$6:$E$821)</x:f>
        <x:v>648957.99</x:v>
      </x:c>
      <x:c r="F39" s="9" t="n">
        <x:f>SUMIF('Monatskonten'!$B$6:$B$821,A39,'Monatskonten'!$F$6:$F$821)</x:f>
        <x:v>618099.45</x:v>
      </x:c>
      <x:c r="G39" s="9" t="n">
        <x:f>MAX(ROUND(C39-D39+E39-F39,2),0)</x:f>
        <x:v>3858.54</x:v>
      </x:c>
      <x:c r="H39" s="9" t="n">
        <x:f>MAX(ROUND(D39-C39+F39-E39,2),0)</x:f>
        <x:v>0</x:v>
      </x:c>
    </x:row>
    <x:row r="40" ht="14" customHeight="1">
      <x:c r="A40" s="1" t="str">
        <x:v>3840</x:v>
      </x:c>
      <x:c r="B40" s="1" t="str">
        <x:v>Ertragsteuern Verrechnung</x:v>
      </x:c>
      <x:c r="C40" s="12" t="n">
        <x:v>0</x:v>
      </x:c>
      <x:c r="D40" s="12" t="n">
        <x:v>35000</x:v>
      </x:c>
      <x:c r="E40" s="9" t="n">
        <x:f>SUMIF('Monatskonten'!$B$6:$B$821,A40,'Monatskonten'!$E$6:$E$821)</x:f>
        <x:v>48000</x:v>
      </x:c>
      <x:c r="F40" s="9" t="n">
        <x:f>SUMIF('Monatskonten'!$B$6:$B$821,A40,'Monatskonten'!$F$6:$F$821)</x:f>
        <x:v>50000</x:v>
      </x:c>
      <x:c r="G40" s="9" t="n">
        <x:f>MAX(ROUND(C40-D40+E40-F40,2),0)</x:f>
        <x:v>0</x:v>
      </x:c>
      <x:c r="H40" s="9" t="n">
        <x:f>MAX(ROUND(D40-C40+F40-E40,2),0)</x:f>
        <x:v>37000</x:v>
      </x:c>
    </x:row>
    <x:row r="41" ht="14" customHeight="1">
      <x:c r="A41" s="1" t="str">
        <x:v>4300</x:v>
      </x:c>
      <x:c r="B41" s="1" t="str">
        <x:v>Erlöse Inland 7 Prozent</x:v>
      </x:c>
      <x:c r="C41" s="12" t="n">
        <x:v>0</x:v>
      </x:c>
      <x:c r="D41" s="12" t="n">
        <x:v>0</x:v>
      </x:c>
      <x:c r="E41" s="9" t="n">
        <x:f>SUMIF('Monatskonten'!$B$6:$B$821,A41,'Monatskonten'!$E$6:$E$821)</x:f>
        <x:v>0</x:v>
      </x:c>
      <x:c r="F41" s="9" t="n">
        <x:f>SUMIF('Monatskonten'!$B$6:$B$821,A41,'Monatskonten'!$F$6:$F$821)</x:f>
        <x:v>3648000</x:v>
      </x:c>
      <x:c r="G41" s="9" t="n">
        <x:f>MAX(ROUND(C41-D41+E41-F41,2),0)</x:f>
        <x:v>0</x:v>
      </x:c>
      <x:c r="H41" s="9" t="n">
        <x:f>MAX(ROUND(D41-C41+F41-E41,2),0)</x:f>
        <x:v>3648000</x:v>
      </x:c>
    </x:row>
    <x:row r="42" ht="14" customHeight="1">
      <x:c r="A42" s="1" t="str">
        <x:v>4400</x:v>
      </x:c>
      <x:c r="B42" s="1" t="str">
        <x:v>Erlöse Inland 19 Prozent</x:v>
      </x:c>
      <x:c r="C42" s="12" t="n">
        <x:v>0</x:v>
      </x:c>
      <x:c r="D42" s="12" t="n">
        <x:v>0</x:v>
      </x:c>
      <x:c r="E42" s="9" t="n">
        <x:f>SUMIF('Monatskonten'!$B$6:$B$821,A42,'Monatskonten'!$E$6:$E$821)</x:f>
        <x:v>0</x:v>
      </x:c>
      <x:c r="F42" s="9" t="n">
        <x:f>SUMIF('Monatskonten'!$B$6:$B$821,A42,'Monatskonten'!$F$6:$F$821)</x:f>
        <x:v>912000</x:v>
      </x:c>
      <x:c r="G42" s="9" t="n">
        <x:f>MAX(ROUND(C42-D42+E42-F42,2),0)</x:f>
        <x:v>0</x:v>
      </x:c>
      <x:c r="H42" s="9" t="n">
        <x:f>MAX(ROUND(D42-C42+F42-E42,2),0)</x:f>
        <x:v>912000</x:v>
      </x:c>
    </x:row>
    <x:row r="43" ht="14" customHeight="1">
      <x:c r="A43" s="1" t="str">
        <x:v>4125</x:v>
      </x:c>
      <x:c r="B43" s="1" t="str">
        <x:v>Erlöse EU Warenlieferungen</x:v>
      </x:c>
      <x:c r="C43" s="12" t="n">
        <x:v>0</x:v>
      </x:c>
      <x:c r="D43" s="12" t="n">
        <x:v>0</x:v>
      </x:c>
      <x:c r="E43" s="9" t="n">
        <x:f>SUMIF('Monatskonten'!$B$6:$B$821,A43,'Monatskonten'!$E$6:$E$821)</x:f>
        <x:v>0</x:v>
      </x:c>
      <x:c r="F43" s="9" t="n">
        <x:f>SUMIF('Monatskonten'!$B$6:$B$821,A43,'Monatskonten'!$F$6:$F$821)</x:f>
        <x:v>1520000</x:v>
      </x:c>
      <x:c r="G43" s="9" t="n">
        <x:f>MAX(ROUND(C43-D43+E43-F43,2),0)</x:f>
        <x:v>0</x:v>
      </x:c>
      <x:c r="H43" s="9" t="n">
        <x:f>MAX(ROUND(D43-C43+F43-E43,2),0)</x:f>
        <x:v>1520000</x:v>
      </x:c>
    </x:row>
    <x:row r="44" ht="14" customHeight="1">
      <x:c r="A44" s="1" t="str">
        <x:v>4120</x:v>
      </x:c>
      <x:c r="B44" s="1" t="str">
        <x:v>Erlöse Drittland Warenlieferungen</x:v>
      </x:c>
      <x:c r="C44" s="12" t="n">
        <x:v>0</x:v>
      </x:c>
      <x:c r="D44" s="12" t="n">
        <x:v>0</x:v>
      </x:c>
      <x:c r="E44" s="9" t="n">
        <x:f>SUMIF('Monatskonten'!$B$6:$B$821,A44,'Monatskonten'!$E$6:$E$821)</x:f>
        <x:v>0</x:v>
      </x:c>
      <x:c r="F44" s="9" t="n">
        <x:f>SUMIF('Monatskonten'!$B$6:$B$821,A44,'Monatskonten'!$F$6:$F$821)</x:f>
        <x:v>1520000</x:v>
      </x:c>
      <x:c r="G44" s="9" t="n">
        <x:f>MAX(ROUND(C44-D44+E44-F44,2),0)</x:f>
        <x:v>0</x:v>
      </x:c>
      <x:c r="H44" s="9" t="n">
        <x:f>MAX(ROUND(D44-C44+F44-E44,2),0)</x:f>
        <x:v>1520000</x:v>
      </x:c>
    </x:row>
    <x:row r="45" ht="14" customHeight="1">
      <x:c r="A45" s="1" t="str">
        <x:v>4730</x:v>
      </x:c>
      <x:c r="B45" s="1" t="str">
        <x:v>Erlösschmälerungen Inland 7 Prozent</x:v>
      </x:c>
      <x:c r="C45" s="12" t="n">
        <x:v>0</x:v>
      </x:c>
      <x:c r="D45" s="12" t="n">
        <x:v>0</x:v>
      </x:c>
      <x:c r="E45" s="9" t="n">
        <x:f>SUMIF('Monatskonten'!$B$6:$B$821,A45,'Monatskonten'!$E$6:$E$821)</x:f>
        <x:v>21420</x:v>
      </x:c>
      <x:c r="F45" s="9" t="n">
        <x:f>SUMIF('Monatskonten'!$B$6:$B$821,A45,'Monatskonten'!$F$6:$F$821)</x:f>
        <x:v>0</x:v>
      </x:c>
      <x:c r="G45" s="9" t="n">
        <x:f>MAX(ROUND(C45-D45+E45-F45,2),0)</x:f>
        <x:v>21420</x:v>
      </x:c>
      <x:c r="H45" s="9" t="n">
        <x:f>MAX(ROUND(D45-C45+F45-E45,2),0)</x:f>
        <x:v>0</x:v>
      </x:c>
    </x:row>
    <x:row r="46" ht="14" customHeight="1">
      <x:c r="A46" s="1" t="str">
        <x:v>4735</x:v>
      </x:c>
      <x:c r="B46" s="1" t="str">
        <x:v>Erlösschmälerungen EU</x:v>
      </x:c>
      <x:c r="C46" s="12" t="n">
        <x:v>0</x:v>
      </x:c>
      <x:c r="D46" s="12" t="n">
        <x:v>0</x:v>
      </x:c>
      <x:c r="E46" s="9" t="n">
        <x:f>SUMIF('Monatskonten'!$B$6:$B$821,A46,'Monatskonten'!$E$6:$E$821)</x:f>
        <x:v>14280</x:v>
      </x:c>
      <x:c r="F46" s="9" t="n">
        <x:f>SUMIF('Monatskonten'!$B$6:$B$821,A46,'Monatskonten'!$F$6:$F$821)</x:f>
        <x:v>0</x:v>
      </x:c>
      <x:c r="G46" s="9" t="n">
        <x:f>MAX(ROUND(C46-D46+E46-F46,2),0)</x:f>
        <x:v>14280</x:v>
      </x:c>
      <x:c r="H46" s="9" t="n">
        <x:f>MAX(ROUND(D46-C46+F46-E46,2),0)</x:f>
        <x:v>0</x:v>
      </x:c>
    </x:row>
    <x:row r="47" ht="14" customHeight="1">
      <x:c r="A47" s="1" t="str">
        <x:v>4830</x:v>
      </x:c>
      <x:c r="B47" s="1" t="str">
        <x:v>Sonstige betriebliche Erträge</x:v>
      </x:c>
      <x:c r="C47" s="12" t="n">
        <x:v>0</x:v>
      </x:c>
      <x:c r="D47" s="12" t="n">
        <x:v>0</x:v>
      </x:c>
      <x:c r="E47" s="9" t="n">
        <x:f>SUMIF('Monatskonten'!$B$6:$B$821,A47,'Monatskonten'!$E$6:$E$821)</x:f>
        <x:v>0</x:v>
      </x:c>
      <x:c r="F47" s="9" t="n">
        <x:f>SUMIF('Monatskonten'!$B$6:$B$821,A47,'Monatskonten'!$F$6:$F$821)</x:f>
        <x:v>12000</x:v>
      </x:c>
      <x:c r="G47" s="9" t="n">
        <x:f>MAX(ROUND(C47-D47+E47-F47,2),0)</x:f>
        <x:v>0</x:v>
      </x:c>
      <x:c r="H47" s="9" t="n">
        <x:f>MAX(ROUND(D47-C47+F47-E47,2),0)</x:f>
        <x:v>12000</x:v>
      </x:c>
    </x:row>
    <x:row r="48" ht="14" customHeight="1">
      <x:c r="A48" s="1" t="str">
        <x:v>5000</x:v>
      </x:c>
      <x:c r="B48" s="1" t="str">
        <x:v>Wareneinsatz</x:v>
      </x:c>
      <x:c r="C48" s="12" t="n">
        <x:v>0</x:v>
      </x:c>
      <x:c r="D48" s="12" t="n">
        <x:v>0</x:v>
      </x:c>
      <x:c r="E48" s="9" t="n">
        <x:f>SUMIF('Monatskonten'!$B$6:$B$821,A48,'Monatskonten'!$E$6:$E$821)</x:f>
        <x:v>4916795</x:v>
      </x:c>
      <x:c r="F48" s="9" t="n">
        <x:f>SUMIF('Monatskonten'!$B$6:$B$821,A48,'Monatskonten'!$F$6:$F$821)</x:f>
        <x:v>0</x:v>
      </x:c>
      <x:c r="G48" s="9" t="n">
        <x:f>MAX(ROUND(C48-D48+E48-F48,2),0)</x:f>
        <x:v>4916795</x:v>
      </x:c>
      <x:c r="H48" s="9" t="n">
        <x:f>MAX(ROUND(D48-C48+F48-E48,2),0)</x:f>
        <x:v>0</x:v>
      </x:c>
    </x:row>
    <x:row r="49" ht="14" customHeight="1">
      <x:c r="A49" s="1" t="str">
        <x:v>5005</x:v>
      </x:c>
      <x:c r="B49" s="1" t="str">
        <x:v>Abwertung Warenbestand</x:v>
      </x:c>
      <x:c r="C49" s="12" t="n">
        <x:v>0</x:v>
      </x:c>
      <x:c r="D49" s="12" t="n">
        <x:v>0</x:v>
      </x:c>
      <x:c r="E49" s="9" t="n">
        <x:f>SUMIF('Monatskonten'!$B$6:$B$821,A49,'Monatskonten'!$E$6:$E$821)</x:f>
        <x:v>18000</x:v>
      </x:c>
      <x:c r="F49" s="9" t="n">
        <x:f>SUMIF('Monatskonten'!$B$6:$B$821,A49,'Monatskonten'!$F$6:$F$821)</x:f>
        <x:v>0</x:v>
      </x:c>
      <x:c r="G49" s="9" t="n">
        <x:f>MAX(ROUND(C49-D49+E49-F49,2),0)</x:f>
        <x:v>18000</x:v>
      </x:c>
      <x:c r="H49" s="9" t="n">
        <x:f>MAX(ROUND(D49-C49+F49-E49,2),0)</x:f>
        <x:v>0</x:v>
      </x:c>
    </x:row>
    <x:row r="50" ht="14" customHeight="1">
      <x:c r="A50" s="1" t="str">
        <x:v>6020</x:v>
      </x:c>
      <x:c r="B50" s="1" t="str">
        <x:v>Bruttogehälter</x:v>
      </x:c>
      <x:c r="C50" s="12" t="n">
        <x:v>0</x:v>
      </x:c>
      <x:c r="D50" s="12" t="n">
        <x:v>0</x:v>
      </x:c>
      <x:c r="E50" s="9" t="n">
        <x:f>SUMIF('Monatskonten'!$B$6:$B$821,A50,'Monatskonten'!$E$6:$E$821)</x:f>
        <x:v>1032000</x:v>
      </x:c>
      <x:c r="F50" s="9" t="n">
        <x:f>SUMIF('Monatskonten'!$B$6:$B$821,A50,'Monatskonten'!$F$6:$F$821)</x:f>
        <x:v>0</x:v>
      </x:c>
      <x:c r="G50" s="9" t="n">
        <x:f>MAX(ROUND(C50-D50+E50-F50,2),0)</x:f>
        <x:v>1032000</x:v>
      </x:c>
      <x:c r="H50" s="9" t="n">
        <x:f>MAX(ROUND(D50-C50+F50-E50,2),0)</x:f>
        <x:v>0</x:v>
      </x:c>
    </x:row>
    <x:row r="51" ht="14" customHeight="1">
      <x:c r="A51" s="1" t="str">
        <x:v>6110</x:v>
      </x:c>
      <x:c r="B51" s="1" t="str">
        <x:v>Arbeitgeberanteile Sozialversicherung</x:v>
      </x:c>
      <x:c r="C51" s="12" t="n">
        <x:v>0</x:v>
      </x:c>
      <x:c r="D51" s="12" t="n">
        <x:v>0</x:v>
      </x:c>
      <x:c r="E51" s="9" t="n">
        <x:f>SUMIF('Monatskonten'!$B$6:$B$821,A51,'Monatskonten'!$E$6:$E$821)</x:f>
        <x:v>216000</x:v>
      </x:c>
      <x:c r="F51" s="9" t="n">
        <x:f>SUMIF('Monatskonten'!$B$6:$B$821,A51,'Monatskonten'!$F$6:$F$821)</x:f>
        <x:v>0</x:v>
      </x:c>
      <x:c r="G51" s="9" t="n">
        <x:f>MAX(ROUND(C51-D51+E51-F51,2),0)</x:f>
        <x:v>216000</x:v>
      </x:c>
      <x:c r="H51" s="9" t="n">
        <x:f>MAX(ROUND(D51-C51+F51-E51,2),0)</x:f>
        <x:v>0</x:v>
      </x:c>
    </x:row>
    <x:row r="52" ht="14" customHeight="1">
      <x:c r="A52" s="1" t="str">
        <x:v>6220</x:v>
      </x:c>
      <x:c r="B52" s="1" t="str">
        <x:v>Abschreibungen Sachanlagen und Software</x:v>
      </x:c>
      <x:c r="C52" s="12" t="n">
        <x:v>0</x:v>
      </x:c>
      <x:c r="D52" s="12" t="n">
        <x:v>0</x:v>
      </x:c>
      <x:c r="E52" s="9" t="n">
        <x:f>SUMIF('Monatskonten'!$B$6:$B$821,A52,'Monatskonten'!$E$6:$E$821)</x:f>
        <x:v>90000</x:v>
      </x:c>
      <x:c r="F52" s="9" t="n">
        <x:f>SUMIF('Monatskonten'!$B$6:$B$821,A52,'Monatskonten'!$F$6:$F$821)</x:f>
        <x:v>0</x:v>
      </x:c>
      <x:c r="G52" s="9" t="n">
        <x:f>MAX(ROUND(C52-D52+E52-F52,2),0)</x:f>
        <x:v>90000</x:v>
      </x:c>
      <x:c r="H52" s="9" t="n">
        <x:f>MAX(ROUND(D52-C52+F52-E52,2),0)</x:f>
        <x:v>0</x:v>
      </x:c>
    </x:row>
    <x:row r="53" ht="14" customHeight="1">
      <x:c r="A53" s="1" t="str">
        <x:v>6310</x:v>
      </x:c>
      <x:c r="B53" s="1" t="str">
        <x:v>Miete Büro Nürnberg</x:v>
      </x:c>
      <x:c r="C53" s="12" t="n">
        <x:v>0</x:v>
      </x:c>
      <x:c r="D53" s="12" t="n">
        <x:v>0</x:v>
      </x:c>
      <x:c r="E53" s="9" t="n">
        <x:f>SUMIF('Monatskonten'!$B$6:$B$821,A53,'Monatskonten'!$E$6:$E$821)</x:f>
        <x:v>48000</x:v>
      </x:c>
      <x:c r="F53" s="9" t="n">
        <x:f>SUMIF('Monatskonten'!$B$6:$B$821,A53,'Monatskonten'!$F$6:$F$821)</x:f>
        <x:v>0</x:v>
      </x:c>
      <x:c r="G53" s="9" t="n">
        <x:f>MAX(ROUND(C53-D53+E53-F53,2),0)</x:f>
        <x:v>48000</x:v>
      </x:c>
      <x:c r="H53" s="9" t="n">
        <x:f>MAX(ROUND(D53-C53+F53-E53,2),0)</x:f>
        <x:v>0</x:v>
      </x:c>
    </x:row>
    <x:row r="54" ht="14" customHeight="1">
      <x:c r="A54" s="1" t="str">
        <x:v>6311</x:v>
      </x:c>
      <x:c r="B54" s="1" t="str">
        <x:v>Miete Lager Erlangen</x:v>
      </x:c>
      <x:c r="C54" s="12" t="n">
        <x:v>0</x:v>
      </x:c>
      <x:c r="D54" s="12" t="n">
        <x:v>0</x:v>
      </x:c>
      <x:c r="E54" s="9" t="n">
        <x:f>SUMIF('Monatskonten'!$B$6:$B$821,A54,'Monatskonten'!$E$6:$E$821)</x:f>
        <x:v>120000</x:v>
      </x:c>
      <x:c r="F54" s="9" t="n">
        <x:f>SUMIF('Monatskonten'!$B$6:$B$821,A54,'Monatskonten'!$F$6:$F$821)</x:f>
        <x:v>0</x:v>
      </x:c>
      <x:c r="G54" s="9" t="n">
        <x:f>MAX(ROUND(C54-D54+E54-F54,2),0)</x:f>
        <x:v>120000</x:v>
      </x:c>
      <x:c r="H54" s="9" t="n">
        <x:f>MAX(ROUND(D54-C54+F54-E54,2),0)</x:f>
        <x:v>0</x:v>
      </x:c>
    </x:row>
    <x:row r="55" ht="14" customHeight="1">
      <x:c r="A55" s="1" t="str">
        <x:v>6325</x:v>
      </x:c>
      <x:c r="B55" s="1" t="str">
        <x:v>Strom und Kühlung</x:v>
      </x:c>
      <x:c r="C55" s="12" t="n">
        <x:v>0</x:v>
      </x:c>
      <x:c r="D55" s="12" t="n">
        <x:v>0</x:v>
      </x:c>
      <x:c r="E55" s="9" t="n">
        <x:f>SUMIF('Monatskonten'!$B$6:$B$821,A55,'Monatskonten'!$E$6:$E$821)</x:f>
        <x:v>54000</x:v>
      </x:c>
      <x:c r="F55" s="9" t="n">
        <x:f>SUMIF('Monatskonten'!$B$6:$B$821,A55,'Monatskonten'!$F$6:$F$821)</x:f>
        <x:v>0</x:v>
      </x:c>
      <x:c r="G55" s="9" t="n">
        <x:f>MAX(ROUND(C55-D55+E55-F55,2),0)</x:f>
        <x:v>54000</x:v>
      </x:c>
      <x:c r="H55" s="9" t="n">
        <x:f>MAX(ROUND(D55-C55+F55-E55,2),0)</x:f>
        <x:v>0</x:v>
      </x:c>
    </x:row>
    <x:row r="56" ht="14" customHeight="1">
      <x:c r="A56" s="1" t="str">
        <x:v>6400</x:v>
      </x:c>
      <x:c r="B56" s="1" t="str">
        <x:v>Versicherungen</x:v>
      </x:c>
      <x:c r="C56" s="12" t="n">
        <x:v>0</x:v>
      </x:c>
      <x:c r="D56" s="12" t="n">
        <x:v>0</x:v>
      </x:c>
      <x:c r="E56" s="9" t="n">
        <x:f>SUMIF('Monatskonten'!$B$6:$B$821,A56,'Monatskonten'!$E$6:$E$821)</x:f>
        <x:v>30000</x:v>
      </x:c>
      <x:c r="F56" s="9" t="n">
        <x:f>SUMIF('Monatskonten'!$B$6:$B$821,A56,'Monatskonten'!$F$6:$F$821)</x:f>
        <x:v>0</x:v>
      </x:c>
      <x:c r="G56" s="9" t="n">
        <x:f>MAX(ROUND(C56-D56+E56-F56,2),0)</x:f>
        <x:v>30000</x:v>
      </x:c>
      <x:c r="H56" s="9" t="n">
        <x:f>MAX(ROUND(D56-C56+F56-E56,2),0)</x:f>
        <x:v>0</x:v>
      </x:c>
    </x:row>
    <x:row r="57" ht="14" customHeight="1">
      <x:c r="A57" s="1" t="str">
        <x:v>6470</x:v>
      </x:c>
      <x:c r="B57" s="1" t="str">
        <x:v>Lagerbetrieb und Reinigung</x:v>
      </x:c>
      <x:c r="C57" s="12" t="n">
        <x:v>0</x:v>
      </x:c>
      <x:c r="D57" s="12" t="n">
        <x:v>0</x:v>
      </x:c>
      <x:c r="E57" s="9" t="n">
        <x:f>SUMIF('Monatskonten'!$B$6:$B$821,A57,'Monatskonten'!$E$6:$E$821)</x:f>
        <x:v>72000</x:v>
      </x:c>
      <x:c r="F57" s="9" t="n">
        <x:f>SUMIF('Monatskonten'!$B$6:$B$821,A57,'Monatskonten'!$F$6:$F$821)</x:f>
        <x:v>0</x:v>
      </x:c>
      <x:c r="G57" s="9" t="n">
        <x:f>MAX(ROUND(C57-D57+E57-F57,2),0)</x:f>
        <x:v>72000</x:v>
      </x:c>
      <x:c r="H57" s="9" t="n">
        <x:f>MAX(ROUND(D57-C57+F57-E57,2),0)</x:f>
        <x:v>0</x:v>
      </x:c>
    </x:row>
    <x:row r="58" ht="14" customHeight="1">
      <x:c r="A58" s="1" t="str">
        <x:v>6490</x:v>
      </x:c>
      <x:c r="B58" s="1" t="str">
        <x:v>Reparaturen und Wartung</x:v>
      </x:c>
      <x:c r="C58" s="12" t="n">
        <x:v>0</x:v>
      </x:c>
      <x:c r="D58" s="12" t="n">
        <x:v>0</x:v>
      </x:c>
      <x:c r="E58" s="9" t="n">
        <x:f>SUMIF('Monatskonten'!$B$6:$B$821,A58,'Monatskonten'!$E$6:$E$821)</x:f>
        <x:v>30000</x:v>
      </x:c>
      <x:c r="F58" s="9" t="n">
        <x:f>SUMIF('Monatskonten'!$B$6:$B$821,A58,'Monatskonten'!$F$6:$F$821)</x:f>
        <x:v>0</x:v>
      </x:c>
      <x:c r="G58" s="9" t="n">
        <x:f>MAX(ROUND(C58-D58+E58-F58,2),0)</x:f>
        <x:v>30000</x:v>
      </x:c>
      <x:c r="H58" s="9" t="n">
        <x:f>MAX(ROUND(D58-C58+F58-E58,2),0)</x:f>
        <x:v>0</x:v>
      </x:c>
    </x:row>
    <x:row r="59" ht="14" customHeight="1">
      <x:c r="A59" s="1" t="str">
        <x:v>6600</x:v>
      </x:c>
      <x:c r="B59" s="1" t="str">
        <x:v>Marketing und Messen</x:v>
      </x:c>
      <x:c r="C59" s="12" t="n">
        <x:v>0</x:v>
      </x:c>
      <x:c r="D59" s="12" t="n">
        <x:v>0</x:v>
      </x:c>
      <x:c r="E59" s="9" t="n">
        <x:f>SUMIF('Monatskonten'!$B$6:$B$821,A59,'Monatskonten'!$E$6:$E$821)</x:f>
        <x:v>72000</x:v>
      </x:c>
      <x:c r="F59" s="9" t="n">
        <x:f>SUMIF('Monatskonten'!$B$6:$B$821,A59,'Monatskonten'!$F$6:$F$821)</x:f>
        <x:v>0</x:v>
      </x:c>
      <x:c r="G59" s="9" t="n">
        <x:f>MAX(ROUND(C59-D59+E59-F59,2),0)</x:f>
        <x:v>72000</x:v>
      </x:c>
      <x:c r="H59" s="9" t="n">
        <x:f>MAX(ROUND(D59-C59+F59-E59,2),0)</x:f>
        <x:v>0</x:v>
      </x:c>
    </x:row>
    <x:row r="60" ht="14" customHeight="1">
      <x:c r="A60" s="1" t="str">
        <x:v>6650</x:v>
      </x:c>
      <x:c r="B60" s="1" t="str">
        <x:v>Reisekosten</x:v>
      </x:c>
      <x:c r="C60" s="12" t="n">
        <x:v>0</x:v>
      </x:c>
      <x:c r="D60" s="12" t="n">
        <x:v>0</x:v>
      </x:c>
      <x:c r="E60" s="9" t="n">
        <x:f>SUMIF('Monatskonten'!$B$6:$B$821,A60,'Monatskonten'!$E$6:$E$821)</x:f>
        <x:v>18000</x:v>
      </x:c>
      <x:c r="F60" s="9" t="n">
        <x:f>SUMIF('Monatskonten'!$B$6:$B$821,A60,'Monatskonten'!$F$6:$F$821)</x:f>
        <x:v>0</x:v>
      </x:c>
      <x:c r="G60" s="9" t="n">
        <x:f>MAX(ROUND(C60-D60+E60-F60,2),0)</x:f>
        <x:v>18000</x:v>
      </x:c>
      <x:c r="H60" s="9" t="n">
        <x:f>MAX(ROUND(D60-C60+F60-E60,2),0)</x:f>
        <x:v>0</x:v>
      </x:c>
    </x:row>
    <x:row r="61" ht="14" customHeight="1">
      <x:c r="A61" s="1" t="str">
        <x:v>6740</x:v>
      </x:c>
      <x:c r="B61" s="1" t="str">
        <x:v>Ausgangsfrachten Inland</x:v>
      </x:c>
      <x:c r="C61" s="12" t="n">
        <x:v>0</x:v>
      </x:c>
      <x:c r="D61" s="12" t="n">
        <x:v>0</x:v>
      </x:c>
      <x:c r="E61" s="9" t="n">
        <x:f>SUMIF('Monatskonten'!$B$6:$B$821,A61,'Monatskonten'!$E$6:$E$821)</x:f>
        <x:v>156000</x:v>
      </x:c>
      <x:c r="F61" s="9" t="n">
        <x:f>SUMIF('Monatskonten'!$B$6:$B$821,A61,'Monatskonten'!$F$6:$F$821)</x:f>
        <x:v>0</x:v>
      </x:c>
      <x:c r="G61" s="9" t="n">
        <x:f>MAX(ROUND(C61-D61+E61-F61,2),0)</x:f>
        <x:v>156000</x:v>
      </x:c>
      <x:c r="H61" s="9" t="n">
        <x:f>MAX(ROUND(D61-C61+F61-E61,2),0)</x:f>
        <x:v>0</x:v>
      </x:c>
    </x:row>
    <x:row r="62" ht="14" customHeight="1">
      <x:c r="A62" s="1" t="str">
        <x:v>6741</x:v>
      </x:c>
      <x:c r="B62" s="1" t="str">
        <x:v>Ausgangsfrachten Ausland</x:v>
      </x:c>
      <x:c r="C62" s="12" t="n">
        <x:v>0</x:v>
      </x:c>
      <x:c r="D62" s="12" t="n">
        <x:v>0</x:v>
      </x:c>
      <x:c r="E62" s="9" t="n">
        <x:f>SUMIF('Monatskonten'!$B$6:$B$821,A62,'Monatskonten'!$E$6:$E$821)</x:f>
        <x:v>168000</x:v>
      </x:c>
      <x:c r="F62" s="9" t="n">
        <x:f>SUMIF('Monatskonten'!$B$6:$B$821,A62,'Monatskonten'!$F$6:$F$821)</x:f>
        <x:v>0</x:v>
      </x:c>
      <x:c r="G62" s="9" t="n">
        <x:f>MAX(ROUND(C62-D62+E62-F62,2),0)</x:f>
        <x:v>168000</x:v>
      </x:c>
      <x:c r="H62" s="9" t="n">
        <x:f>MAX(ROUND(D62-C62+F62-E62,2),0)</x:f>
        <x:v>0</x:v>
      </x:c>
    </x:row>
    <x:row r="63" ht="14" customHeight="1">
      <x:c r="A63" s="1" t="str">
        <x:v>6805</x:v>
      </x:c>
      <x:c r="B63" s="1" t="str">
        <x:v>Telekommunikation und IT</x:v>
      </x:c>
      <x:c r="C63" s="12" t="n">
        <x:v>0</x:v>
      </x:c>
      <x:c r="D63" s="12" t="n">
        <x:v>0</x:v>
      </x:c>
      <x:c r="E63" s="9" t="n">
        <x:f>SUMIF('Monatskonten'!$B$6:$B$821,A63,'Monatskonten'!$E$6:$E$821)</x:f>
        <x:v>36000</x:v>
      </x:c>
      <x:c r="F63" s="9" t="n">
        <x:f>SUMIF('Monatskonten'!$B$6:$B$821,A63,'Monatskonten'!$F$6:$F$821)</x:f>
        <x:v>0</x:v>
      </x:c>
      <x:c r="G63" s="9" t="n">
        <x:f>MAX(ROUND(C63-D63+E63-F63,2),0)</x:f>
        <x:v>36000</x:v>
      </x:c>
      <x:c r="H63" s="9" t="n">
        <x:f>MAX(ROUND(D63-C63+F63-E63,2),0)</x:f>
        <x:v>0</x:v>
      </x:c>
    </x:row>
    <x:row r="64" ht="14" customHeight="1">
      <x:c r="A64" s="1" t="str">
        <x:v>6825</x:v>
      </x:c>
      <x:c r="B64" s="1" t="str">
        <x:v>Rechtsberatung und Buchführung</x:v>
      </x:c>
      <x:c r="C64" s="12" t="n">
        <x:v>0</x:v>
      </x:c>
      <x:c r="D64" s="12" t="n">
        <x:v>0</x:v>
      </x:c>
      <x:c r="E64" s="9" t="n">
        <x:f>SUMIF('Monatskonten'!$B$6:$B$821,A64,'Monatskonten'!$E$6:$E$821)</x:f>
        <x:v>36000</x:v>
      </x:c>
      <x:c r="F64" s="9" t="n">
        <x:f>SUMIF('Monatskonten'!$B$6:$B$821,A64,'Monatskonten'!$F$6:$F$821)</x:f>
        <x:v>0</x:v>
      </x:c>
      <x:c r="G64" s="9" t="n">
        <x:f>MAX(ROUND(C64-D64+E64-F64,2),0)</x:f>
        <x:v>36000</x:v>
      </x:c>
      <x:c r="H64" s="9" t="n">
        <x:f>MAX(ROUND(D64-C64+F64-E64,2),0)</x:f>
        <x:v>0</x:v>
      </x:c>
    </x:row>
    <x:row r="65" ht="14" customHeight="1">
      <x:c r="A65" s="1" t="str">
        <x:v>6830</x:v>
      </x:c>
      <x:c r="B65" s="1" t="str">
        <x:v>Labor und Qualitätssicherung</x:v>
      </x:c>
      <x:c r="C65" s="12" t="n">
        <x:v>0</x:v>
      </x:c>
      <x:c r="D65" s="12" t="n">
        <x:v>0</x:v>
      </x:c>
      <x:c r="E65" s="9" t="n">
        <x:f>SUMIF('Monatskonten'!$B$6:$B$821,A65,'Monatskonten'!$E$6:$E$821)</x:f>
        <x:v>42000</x:v>
      </x:c>
      <x:c r="F65" s="9" t="n">
        <x:f>SUMIF('Monatskonten'!$B$6:$B$821,A65,'Monatskonten'!$F$6:$F$821)</x:f>
        <x:v>0</x:v>
      </x:c>
      <x:c r="G65" s="9" t="n">
        <x:f>MAX(ROUND(C65-D65+E65-F65,2),0)</x:f>
        <x:v>42000</x:v>
      </x:c>
      <x:c r="H65" s="9" t="n">
        <x:f>MAX(ROUND(D65-C65+F65-E65,2),0)</x:f>
        <x:v>0</x:v>
      </x:c>
    </x:row>
    <x:row r="66" ht="14" customHeight="1">
      <x:c r="A66" s="1" t="str">
        <x:v>6850</x:v>
      </x:c>
      <x:c r="B66" s="1" t="str">
        <x:v>Bürobedarf und übriger Aufwand</x:v>
      </x:c>
      <x:c r="C66" s="12" t="n">
        <x:v>0</x:v>
      </x:c>
      <x:c r="D66" s="12" t="n">
        <x:v>0</x:v>
      </x:c>
      <x:c r="E66" s="9" t="n">
        <x:f>SUMIF('Monatskonten'!$B$6:$B$821,A66,'Monatskonten'!$E$6:$E$821)</x:f>
        <x:v>24000</x:v>
      </x:c>
      <x:c r="F66" s="9" t="n">
        <x:f>SUMIF('Monatskonten'!$B$6:$B$821,A66,'Monatskonten'!$F$6:$F$821)</x:f>
        <x:v>0</x:v>
      </x:c>
      <x:c r="G66" s="9" t="n">
        <x:f>MAX(ROUND(C66-D66+E66-F66,2),0)</x:f>
        <x:v>24000</x:v>
      </x:c>
      <x:c r="H66" s="9" t="n">
        <x:f>MAX(ROUND(D66-C66+F66-E66,2),0)</x:f>
        <x:v>0</x:v>
      </x:c>
    </x:row>
    <x:row r="67" ht="14" customHeight="1">
      <x:c r="A67" s="1" t="str">
        <x:v>6855</x:v>
      </x:c>
      <x:c r="B67" s="1" t="str">
        <x:v>Zuführung Abschluss und Urlaub</x:v>
      </x:c>
      <x:c r="C67" s="12" t="n">
        <x:v>0</x:v>
      </x:c>
      <x:c r="D67" s="12" t="n">
        <x:v>0</x:v>
      </x:c>
      <x:c r="E67" s="9" t="n">
        <x:f>SUMIF('Monatskonten'!$B$6:$B$821,A67,'Monatskonten'!$E$6:$E$821)</x:f>
        <x:v>15000</x:v>
      </x:c>
      <x:c r="F67" s="9" t="n">
        <x:f>SUMIF('Monatskonten'!$B$6:$B$821,A67,'Monatskonten'!$F$6:$F$821)</x:f>
        <x:v>0</x:v>
      </x:c>
      <x:c r="G67" s="9" t="n">
        <x:f>MAX(ROUND(C67-D67+E67-F67,2),0)</x:f>
        <x:v>15000</x:v>
      </x:c>
      <x:c r="H67" s="9" t="n">
        <x:f>MAX(ROUND(D67-C67+F67-E67,2),0)</x:f>
        <x:v>0</x:v>
      </x:c>
    </x:row>
    <x:row r="68" ht="14" customHeight="1">
      <x:c r="A68" s="1" t="str">
        <x:v>6859</x:v>
      </x:c>
      <x:c r="B68" s="1" t="str">
        <x:v>Bankgebühren</x:v>
      </x:c>
      <x:c r="C68" s="12" t="n">
        <x:v>0</x:v>
      </x:c>
      <x:c r="D68" s="12" t="n">
        <x:v>0</x:v>
      </x:c>
      <x:c r="E68" s="9" t="n">
        <x:f>SUMIF('Monatskonten'!$B$6:$B$821,A68,'Monatskonten'!$E$6:$E$821)</x:f>
        <x:v>6000</x:v>
      </x:c>
      <x:c r="F68" s="9" t="n">
        <x:f>SUMIF('Monatskonten'!$B$6:$B$821,A68,'Monatskonten'!$F$6:$F$821)</x:f>
        <x:v>0</x:v>
      </x:c>
      <x:c r="G68" s="9" t="n">
        <x:f>MAX(ROUND(C68-D68+E68-F68,2),0)</x:f>
        <x:v>6000</x:v>
      </x:c>
      <x:c r="H68" s="9" t="n">
        <x:f>MAX(ROUND(D68-C68+F68-E68,2),0)</x:f>
        <x:v>0</x:v>
      </x:c>
    </x:row>
    <x:row r="69" ht="14" customHeight="1">
      <x:c r="A69" s="1" t="str">
        <x:v>6950</x:v>
      </x:c>
      <x:c r="B69" s="1" t="str">
        <x:v>Zuführung Einzelwertberichtigungen</x:v>
      </x:c>
      <x:c r="C69" s="12" t="n">
        <x:v>0</x:v>
      </x:c>
      <x:c r="D69" s="12" t="n">
        <x:v>0</x:v>
      </x:c>
      <x:c r="E69" s="9" t="n">
        <x:f>SUMIF('Monatskonten'!$B$6:$B$821,A69,'Monatskonten'!$E$6:$E$821)</x:f>
        <x:v>10000</x:v>
      </x:c>
      <x:c r="F69" s="9" t="n">
        <x:f>SUMIF('Monatskonten'!$B$6:$B$821,A69,'Monatskonten'!$F$6:$F$821)</x:f>
        <x:v>0</x:v>
      </x:c>
      <x:c r="G69" s="9" t="n">
        <x:f>MAX(ROUND(C69-D69+E69-F69,2),0)</x:f>
        <x:v>10000</x:v>
      </x:c>
      <x:c r="H69" s="9" t="n">
        <x:f>MAX(ROUND(D69-C69+F69-E69,2),0)</x:f>
        <x:v>0</x:v>
      </x:c>
    </x:row>
    <x:row r="70" ht="14" customHeight="1">
      <x:c r="A70" s="1" t="str">
        <x:v>7300</x:v>
      </x:c>
      <x:c r="B70" s="1" t="str">
        <x:v>Zinsen Investitionsdarlehen</x:v>
      </x:c>
      <x:c r="C70" s="12" t="n">
        <x:v>0</x:v>
      </x:c>
      <x:c r="D70" s="12" t="n">
        <x:v>0</x:v>
      </x:c>
      <x:c r="E70" s="9" t="n">
        <x:f>SUMIF('Monatskonten'!$B$6:$B$821,A70,'Monatskonten'!$E$6:$E$821)</x:f>
        <x:v>30000</x:v>
      </x:c>
      <x:c r="F70" s="9" t="n">
        <x:f>SUMIF('Monatskonten'!$B$6:$B$821,A70,'Monatskonten'!$F$6:$F$821)</x:f>
        <x:v>0</x:v>
      </x:c>
      <x:c r="G70" s="9" t="n">
        <x:f>MAX(ROUND(C70-D70+E70-F70,2),0)</x:f>
        <x:v>30000</x:v>
      </x:c>
      <x:c r="H70" s="9" t="n">
        <x:f>MAX(ROUND(D70-C70+F70-E70,2),0)</x:f>
        <x:v>0</x:v>
      </x:c>
    </x:row>
    <x:row r="71" ht="14" customHeight="1">
      <x:c r="A71" s="1" t="str">
        <x:v>7310</x:v>
      </x:c>
      <x:c r="B71" s="1" t="str">
        <x:v>Zinsen Kontokorrent</x:v>
      </x:c>
      <x:c r="C71" s="12" t="n">
        <x:v>0</x:v>
      </x:c>
      <x:c r="D71" s="12" t="n">
        <x:v>0</x:v>
      </x:c>
      <x:c r="E71" s="9" t="n">
        <x:f>SUMIF('Monatskonten'!$B$6:$B$821,A71,'Monatskonten'!$E$6:$E$821)</x:f>
        <x:v>12000</x:v>
      </x:c>
      <x:c r="F71" s="9" t="n">
        <x:f>SUMIF('Monatskonten'!$B$6:$B$821,A71,'Monatskonten'!$F$6:$F$821)</x:f>
        <x:v>0</x:v>
      </x:c>
      <x:c r="G71" s="9" t="n">
        <x:f>MAX(ROUND(C71-D71+E71-F71,2),0)</x:f>
        <x:v>12000</x:v>
      </x:c>
      <x:c r="H71" s="9" t="n">
        <x:f>MAX(ROUND(D71-C71+F71-E71,2),0)</x:f>
        <x:v>0</x:v>
      </x:c>
    </x:row>
    <x:row r="72" ht="14" customHeight="1">
      <x:c r="A72" s="1" t="str">
        <x:v>7320</x:v>
      </x:c>
      <x:c r="B72" s="1" t="str">
        <x:v>Zinsen Gesellschafterdarlehen</x:v>
      </x:c>
      <x:c r="C72" s="12" t="n">
        <x:v>0</x:v>
      </x:c>
      <x:c r="D72" s="12" t="n">
        <x:v>0</x:v>
      </x:c>
      <x:c r="E72" s="9" t="n">
        <x:f>SUMIF('Monatskonten'!$B$6:$B$821,A72,'Monatskonten'!$E$6:$E$821)</x:f>
        <x:v>0</x:v>
      </x:c>
      <x:c r="F72" s="9" t="n">
        <x:f>SUMIF('Monatskonten'!$B$6:$B$821,A72,'Monatskonten'!$F$6:$F$821)</x:f>
        <x:v>0</x:v>
      </x:c>
      <x:c r="G72" s="9" t="n">
        <x:f>MAX(ROUND(C72-D72+E72-F72,2),0)</x:f>
        <x:v>0</x:v>
      </x:c>
      <x:c r="H72" s="9" t="n">
        <x:f>MAX(ROUND(D72-C72+F72-E72,2),0)</x:f>
        <x:v>0</x:v>
      </x:c>
    </x:row>
    <x:row r="73" ht="14" customHeight="1">
      <x:c r="A73" s="1" t="str">
        <x:v>7600</x:v>
      </x:c>
      <x:c r="B73" s="1" t="str">
        <x:v>Ertragsteueraufwand</x:v>
      </x:c>
      <x:c r="C73" s="12" t="n">
        <x:v>0</x:v>
      </x:c>
      <x:c r="D73" s="12" t="n">
        <x:v>0</x:v>
      </x:c>
      <x:c r="E73" s="9" t="n">
        <x:f>SUMIF('Monatskonten'!$B$6:$B$821,A73,'Monatskonten'!$E$6:$E$821)</x:f>
        <x:v>50000</x:v>
      </x:c>
      <x:c r="F73" s="9" t="n">
        <x:f>SUMIF('Monatskonten'!$B$6:$B$821,A73,'Monatskonten'!$F$6:$F$821)</x:f>
        <x:v>0</x:v>
      </x:c>
      <x:c r="G73" s="9" t="n">
        <x:f>MAX(ROUND(C73-D73+E73-F73,2),0)</x:f>
        <x:v>50000</x:v>
      </x:c>
      <x:c r="H73" s="9" t="n">
        <x:f>MAX(ROUND(D73-C73+F73-E73,2),0)</x:f>
        <x:v>0</x:v>
      </x:c>
    </x:row>
    <x:row r="74" ht="14" customHeight="1">
      <x:c r="A74" s="15" t="str">
        <x:v>Summe</x:v>
      </x:c>
      <x:c r="B74" s="15"/>
      <x:c r="C74" s="16" t="n">
        <x:f>SUM(C6:C73)</x:f>
        <x:v>2276000</x:v>
      </x:c>
      <x:c r="D74" s="16" t="n">
        <x:f>SUM(D6:D73)</x:f>
        <x:v>2276000</x:v>
      </x:c>
      <x:c r="E74" s="16" t="n">
        <x:f>SUM(E6:E73)</x:f>
        <x:v>38135167.57</x:v>
      </x:c>
      <x:c r="F74" s="16" t="n">
        <x:f>SUM(F6:F73)</x:f>
        <x:v>38135167.57</x:v>
      </x:c>
      <x:c r="G74" s="16" t="n">
        <x:f>SUM(G6:G73)</x:f>
        <x:v>9758900</x:v>
      </x:c>
      <x:c r="H74" s="16" t="n">
        <x:f>SUM(H6:H73)</x:f>
        <x:v>9758900</x:v>
      </x:c>
    </x:row>
    <x:row r="75" ht="14" customHeight="1">
      <x:c r="A75" s="1"/>
      <x:c r="B75" s="1"/>
      <x:c r="C75" s="9"/>
      <x:c r="D75" s="9"/>
      <x:c r="E75" s="9"/>
      <x:c r="F75" s="9"/>
      <x:c r="G75" s="9"/>
      <x:c r="H75" s="9"/>
    </x:row>
    <x:row r="76" ht="14" customHeight="1">
      <x:c r="A76" s="1" t="str">
        <x:v>Differenzen</x:v>
      </x:c>
      <x:c r="B76" s="1"/>
      <x:c r="C76" s="9" t="n">
        <x:f>ROUND(C74-D74,2)</x:f>
        <x:v>0</x:v>
      </x:c>
      <x:c r="D76" s="9"/>
      <x:c r="E76" s="9" t="n">
        <x:f>ROUND(E74-F74,2)</x:f>
        <x:v>0</x:v>
      </x:c>
      <x:c r="F76" s="9"/>
      <x:c r="G76" s="9" t="n">
        <x:f>ROUND(G74-H74,2)</x:f>
        <x:v>0</x:v>
      </x:c>
      <x:c r="H76" s="9"/>
    </x:row>
    <x:row r="77" ht="14" customHeight="1">
      <x:c r="A77" s="1"/>
      <x:c r="B77" s="1"/>
      <x:c r="C77" s="1"/>
      <x:c r="D77" s="1"/>
      <x:c r="E77" s="1"/>
      <x:c r="F77" s="1"/>
      <x:c r="G77" s="1"/>
      <x:c r="H77" s="1"/>
    </x:row>
    <x:row r="78" ht="14" customHeight="1">
      <x:c r="A78" s="1" t="str">
        <x:v>Kontenplan betrieblich, angelehnt SKR 04</x:v>
      </x:c>
      <x:c r="B78" s="1"/>
      <x:c r="C78" s="1"/>
      <x:c r="D78" s="1"/>
      <x:c r="E78" s="1"/>
      <x:c r="F78" s="1"/>
      <x:c r="G78" s="1"/>
      <x:c r="H78" s="1"/>
    </x:row>
    <x:row r="79" ht="14" customHeight="1">
      <x:c r="A79" s="1" t="str">
        <x:v>Grundlagen und Erläuterungen: Bilanz</x:v>
      </x:c>
      <x:c r="B79" s="1"/>
      <x:c r="C79" s="1"/>
      <x:c r="D79" s="1"/>
      <x:c r="E79" s="1"/>
      <x:c r="F79" s="1"/>
      <x:c r="G79" s="1"/>
      <x:c r="H79" s="1"/>
    </x:row>
    <x:row r="80" ht="14" customHeight="1">
      <x:c r="A80" s="1"/>
      <x:c r="B80" s="1"/>
      <x:c r="C80" s="1"/>
      <x:c r="D80" s="1"/>
      <x:c r="E80" s="1"/>
      <x:c r="F80" s="1"/>
      <x:c r="G80" s="1"/>
      <x:c r="H80" s="1"/>
    </x:row>
    <x:row r="81" ht="14" customHeight="1">
      <x:c r="A81" s="1"/>
      <x:c r="B81" s="1"/>
      <x:c r="C81" s="1"/>
      <x:c r="D81" s="1"/>
      <x:c r="E81" s="1"/>
      <x:c r="F81" s="1"/>
      <x:c r="G81" s="1"/>
      <x:c r="H81" s="1"/>
    </x:row>
    <x:row r="82" ht="14" customHeight="1">
      <x:c r="A82" s="1"/>
      <x:c r="B82" s="1"/>
      <x:c r="C82" s="1"/>
      <x:c r="D82" s="1"/>
      <x:c r="E82" s="1"/>
      <x:c r="F82" s="1"/>
      <x:c r="G82" s="1"/>
      <x:c r="H82" s="1"/>
    </x:row>
  </x:sheetData>
  <x:pageMargins left="0.3" right="0.3" top="0.35" bottom="0.35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.78000020980835" hidden="0" customWidth="1"/>
    <x:col min="2" max="2" width="7.78000020980835" hidden="0" customWidth="1"/>
    <x:col min="3" max="3" width="38.8899993896484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2" t="str">
        <x:v>Monatskonten 2024</x:v>
      </x:c>
      <x:c r="B1" s="1"/>
      <x:c r="C1" s="1"/>
      <x:c r="D1" s="1"/>
      <x:c r="E1" s="1"/>
      <x:c r="F1" s="1"/>
      <x:c r="G1" s="1"/>
      <x:c r="H1" s="1"/>
    </x:row>
    <x:row r="2" ht="14" customHeight="1">
      <x:c r="A2" s="3" t="str">
        <x:v>EUR. Eröffnung und Schluss mit Soll positiv und Haben negativ. Bewegungen aus Journal.</x:v>
      </x:c>
      <x:c r="B2" s="1"/>
      <x:c r="C2" s="1"/>
      <x:c r="D2" s="1"/>
      <x:c r="E2" s="1"/>
      <x:c r="F2" s="1"/>
      <x:c r="G2" s="1"/>
      <x:c r="H2" s="1"/>
    </x:row>
    <x:row r="3" ht="14" customHeight="1">
      <x:c r="A3" s="1"/>
      <x:c r="B3" s="1"/>
      <x:c r="C3" s="1"/>
      <x:c r="D3" s="1"/>
      <x:c r="E3" s="1"/>
      <x:c r="F3" s="1"/>
      <x:c r="G3" s="1"/>
      <x:c r="H3" s="1"/>
    </x:row>
    <x:row r="4" ht="14" customHeight="1">
      <x:c r="A4" s="1"/>
      <x:c r="B4" s="1"/>
      <x:c r="C4" s="1"/>
      <x:c r="D4" s="1"/>
      <x:c r="E4" s="1"/>
      <x:c r="F4" s="1"/>
      <x:c r="G4" s="1"/>
      <x:c r="H4" s="1"/>
    </x:row>
    <x:row r="5" ht="28" customHeight="1">
      <x:c r="A5" s="7" t="str">
        <x:v>Monat</x:v>
      </x:c>
      <x:c r="B5" s="7" t="str">
        <x:v>Konto</x:v>
      </x:c>
      <x:c r="C5" s="7" t="str">
        <x:v>Bezeichnung</x:v>
      </x:c>
      <x:c r="D5" s="7" t="str">
        <x:v>Eröffnung +/-</x:v>
      </x:c>
      <x:c r="E5" s="7" t="str">
        <x:v>Soll</x:v>
      </x:c>
      <x:c r="F5" s="7" t="str">
        <x:v>Haben</x:v>
      </x:c>
      <x:c r="G5" s="7" t="str">
        <x:v>Bewegung +/-</x:v>
      </x:c>
      <x:c r="H5" s="7" t="str">
        <x:v>Schluss +/-</x:v>
      </x:c>
    </x:row>
    <x:row r="6" ht="14" customHeight="1">
      <x:c r="A6" s="1" t="n">
        <x:v>1</x:v>
      </x:c>
      <x:c r="B6" s="1" t="str">
        <x:v>0100</x:v>
      </x:c>
      <x:c r="C6" s="1" t="str">
        <x:v>Software</x:v>
      </x:c>
      <x:c r="D6" s="9" t="n">
        <x:f>'JahresSuSa'!C6-'JahresSuSa'!D6</x:f>
        <x:v>20000</x:v>
      </x:c>
      <x:c r="E6" s="9" t="n">
        <x:f>SUMIFS('Journal'!$E$6:$E$1632,'Journal'!$D$6:$D$1632,B6,'Journal'!$C$6:$C$1632,A6)</x:f>
        <x:v>0</x:v>
      </x:c>
      <x:c r="F6" s="9" t="n">
        <x:f>SUMIFS('Journal'!$F$6:$F$1632,'Journal'!$D$6:$D$1632,B6,'Journal'!$C$6:$C$1632,A6)</x:f>
        <x:v>500</x:v>
      </x:c>
      <x:c r="G6" s="9" t="n">
        <x:f>ROUND(E6-F6,2)</x:f>
        <x:v>-500</x:v>
      </x:c>
      <x:c r="H6" s="9" t="n">
        <x:f>ROUND(D6+G6,2)</x:f>
        <x:v>19500</x:v>
      </x:c>
    </x:row>
    <x:row r="7" ht="14" customHeight="1">
      <x:c r="A7" s="1" t="n">
        <x:v>1</x:v>
      </x:c>
      <x:c r="B7" s="1" t="str">
        <x:v>0400</x:v>
      </x:c>
      <x:c r="C7" s="1" t="str">
        <x:v>Lagereinbauten Erlangen</x:v>
      </x:c>
      <x:c r="D7" s="9" t="n">
        <x:f>'JahresSuSa'!C7-'JahresSuSa'!D7</x:f>
        <x:v>240000</x:v>
      </x:c>
      <x:c r="E7" s="9" t="n">
        <x:f>SUMIFS('Journal'!$E$6:$E$1632,'Journal'!$D$6:$D$1632,B7,'Journal'!$C$6:$C$1632,A7)</x:f>
        <x:v>0</x:v>
      </x:c>
      <x:c r="F7" s="9" t="n">
        <x:f>SUMIFS('Journal'!$F$6:$F$1632,'Journal'!$D$6:$D$1632,B7,'Journal'!$C$6:$C$1632,A7)</x:f>
        <x:v>2500</x:v>
      </x:c>
      <x:c r="G7" s="9" t="n">
        <x:f>ROUND(E7-F7,2)</x:f>
        <x:v>-2500</x:v>
      </x:c>
      <x:c r="H7" s="9" t="n">
        <x:f>ROUND(D7+G7,2)</x:f>
        <x:v>237500</x:v>
      </x:c>
    </x:row>
    <x:row r="8" ht="14" customHeight="1">
      <x:c r="A8" s="1" t="n">
        <x:v>1</x:v>
      </x:c>
      <x:c r="B8" s="1" t="str">
        <x:v>0520</x:v>
      </x:c>
      <x:c r="C8" s="1" t="str">
        <x:v>Flurförderzeuge</x:v>
      </x:c>
      <x:c r="D8" s="9" t="n">
        <x:f>'JahresSuSa'!C8-'JahresSuSa'!D8</x:f>
        <x:v>100000</x:v>
      </x:c>
      <x:c r="E8" s="9" t="n">
        <x:f>SUMIFS('Journal'!$E$6:$E$1632,'Journal'!$D$6:$D$1632,B8,'Journal'!$C$6:$C$1632,A8)</x:f>
        <x:v>36000</x:v>
      </x:c>
      <x:c r="F8" s="9" t="n">
        <x:f>SUMIFS('Journal'!$F$6:$F$1632,'Journal'!$D$6:$D$1632,B8,'Journal'!$C$6:$C$1632,A8)</x:f>
        <x:v>1500</x:v>
      </x:c>
      <x:c r="G8" s="9" t="n">
        <x:f>ROUND(E8-F8,2)</x:f>
        <x:v>34500</x:v>
      </x:c>
      <x:c r="H8" s="9" t="n">
        <x:f>ROUND(D8+G8,2)</x:f>
        <x:v>134500</x:v>
      </x:c>
    </x:row>
    <x:row r="9" ht="14" customHeight="1">
      <x:c r="A9" s="1" t="n">
        <x:v>1</x:v>
      </x:c>
      <x:c r="B9" s="1" t="str">
        <x:v>0650</x:v>
      </x:c>
      <x:c r="C9" s="1" t="str">
        <x:v>IT und Kommunikation</x:v>
      </x:c>
      <x:c r="D9" s="9" t="n">
        <x:f>'JahresSuSa'!C9-'JahresSuSa'!D9</x:f>
        <x:v>80000</x:v>
      </x:c>
      <x:c r="E9" s="9" t="n">
        <x:f>SUMIFS('Journal'!$E$6:$E$1632,'Journal'!$D$6:$D$1632,B9,'Journal'!$C$6:$C$1632,A9)</x:f>
        <x:v>0</x:v>
      </x:c>
      <x:c r="F9" s="9" t="n">
        <x:f>SUMIFS('Journal'!$F$6:$F$1632,'Journal'!$D$6:$D$1632,B9,'Journal'!$C$6:$C$1632,A9)</x:f>
        <x:v>2000</x:v>
      </x:c>
      <x:c r="G9" s="9" t="n">
        <x:f>ROUND(E9-F9,2)</x:f>
        <x:v>-2000</x:v>
      </x:c>
      <x:c r="H9" s="9" t="n">
        <x:f>ROUND(D9+G9,2)</x:f>
        <x:v>78000</x:v>
      </x:c>
    </x:row>
    <x:row r="10" ht="14" customHeight="1">
      <x:c r="A10" s="1" t="n">
        <x:v>1</x:v>
      </x:c>
      <x:c r="B10" s="1" t="str">
        <x:v>0670</x:v>
      </x:c>
      <x:c r="C10" s="1" t="str">
        <x:v>Büroausstattung</x:v>
      </x:c>
      <x:c r="D10" s="9" t="n">
        <x:f>'JahresSuSa'!C10-'JahresSuSa'!D10</x:f>
        <x:v>60000</x:v>
      </x:c>
      <x:c r="E10" s="9" t="n">
        <x:f>SUMIFS('Journal'!$E$6:$E$1632,'Journal'!$D$6:$D$1632,B10,'Journal'!$C$6:$C$1632,A10)</x:f>
        <x:v>0</x:v>
      </x:c>
      <x:c r="F10" s="9" t="n">
        <x:f>SUMIFS('Journal'!$F$6:$F$1632,'Journal'!$D$6:$D$1632,B10,'Journal'!$C$6:$C$1632,A10)</x:f>
        <x:v>1000</x:v>
      </x:c>
      <x:c r="G10" s="9" t="n">
        <x:f>ROUND(E10-F10,2)</x:f>
        <x:v>-1000</x:v>
      </x:c>
      <x:c r="H10" s="9" t="n">
        <x:f>ROUND(D10+G10,2)</x:f>
        <x:v>59000</x:v>
      </x:c>
    </x:row>
    <x:row r="11" ht="14" customHeight="1">
      <x:c r="A11" s="1" t="n">
        <x:v>1</x:v>
      </x:c>
      <x:c r="B11" s="1" t="str">
        <x:v>1140</x:v>
      </x:c>
      <x:c r="C11" s="1" t="str">
        <x:v>Warenbestand</x:v>
      </x:c>
      <x:c r="D11" s="9" t="n">
        <x:f>'JahresSuSa'!C11-'JahresSuSa'!D11</x:f>
        <x:v>650000</x:v>
      </x:c>
      <x:c r="E11" s="9" t="n">
        <x:f>SUMIFS('Journal'!$E$6:$E$1632,'Journal'!$D$6:$D$1632,B11,'Journal'!$C$6:$C$1632,A11)</x:f>
        <x:v>346602.5</x:v>
      </x:c>
      <x:c r="F11" s="9" t="n">
        <x:f>SUMIFS('Journal'!$F$6:$F$1632,'Journal'!$D$6:$D$1632,B11,'Journal'!$C$6:$C$1632,A11)</x:f>
        <x:v>336602.5</x:v>
      </x:c>
      <x:c r="G11" s="9" t="n">
        <x:f>ROUND(E11-F11,2)</x:f>
        <x:v>10000</x:v>
      </x:c>
      <x:c r="H11" s="9" t="n">
        <x:f>ROUND(D11+G11,2)</x:f>
        <x:v>660000</x:v>
      </x:c>
    </x:row>
    <x:row r="12" ht="14" customHeight="1">
      <x:c r="A12" s="1" t="n">
        <x:v>1</x:v>
      </x:c>
      <x:c r="B12" s="1" t="str">
        <x:v>1200</x:v>
      </x:c>
      <x:c r="C12" s="1" t="str">
        <x:v>Forderungen aus Lieferungen und Leistungen</x:v>
      </x:c>
      <x:c r="D12" s="9" t="n">
        <x:f>'JahresSuSa'!C12-'JahresSuSa'!D12</x:f>
        <x:v>780000</x:v>
      </x:c>
      <x:c r="E12" s="9" t="n">
        <x:f>SUMIFS('Journal'!$E$6:$E$1632,'Journal'!$D$6:$D$1632,B12,'Journal'!$C$6:$C$1632,A12)</x:f>
        <x:v>549328</x:v>
      </x:c>
      <x:c r="F12" s="9" t="n">
        <x:f>SUMIFS('Journal'!$F$6:$F$1632,'Journal'!$D$6:$D$1632,B12,'Journal'!$C$6:$C$1632,A12)</x:f>
        <x:v>579328</x:v>
      </x:c>
      <x:c r="G12" s="9" t="n">
        <x:f>ROUND(E12-F12,2)</x:f>
        <x:v>-30000</x:v>
      </x:c>
      <x:c r="H12" s="9" t="n">
        <x:f>ROUND(D12+G12,2)</x:f>
        <x:v>750000</x:v>
      </x:c>
    </x:row>
    <x:row r="13" ht="14" customHeight="1">
      <x:c r="A13" s="1" t="n">
        <x:v>1</x:v>
      </x:c>
      <x:c r="B13" s="1" t="str">
        <x:v>1248</x:v>
      </x:c>
      <x:c r="C13" s="1" t="str">
        <x:v>Einzelwertberichtigungen zu Forderungen</x:v>
      </x:c>
      <x:c r="D13" s="9" t="n">
        <x:f>'JahresSuSa'!C13-'JahresSuSa'!D13</x:f>
        <x:v>-20000</x:v>
      </x:c>
      <x:c r="E13" s="9" t="n">
        <x:f>SUMIFS('Journal'!$E$6:$E$1632,'Journal'!$D$6:$D$1632,B13,'Journal'!$C$6:$C$1632,A13)</x:f>
        <x:v>0</x:v>
      </x:c>
      <x:c r="F13" s="9" t="n">
        <x:f>SUMIFS('Journal'!$F$6:$F$1632,'Journal'!$D$6:$D$1632,B13,'Journal'!$C$6:$C$1632,A13)</x:f>
        <x:v>0</x:v>
      </x:c>
      <x:c r="G13" s="9" t="n">
        <x:f>ROUND(E13-F13,2)</x:f>
        <x:v>0</x:v>
      </x:c>
      <x:c r="H13" s="9" t="n">
        <x:f>ROUND(D13+G13,2)</x:f>
        <x:v>-20000</x:v>
      </x:c>
    </x:row>
    <x:row r="14" ht="14" customHeight="1">
      <x:c r="A14" s="1" t="n">
        <x:v>1</x:v>
      </x:c>
      <x:c r="B14" s="1" t="str">
        <x:v>1300</x:v>
      </x:c>
      <x:c r="C14" s="1" t="str">
        <x:v>Geleistete Lieferantenanzahlungen</x:v>
      </x:c>
      <x:c r="D14" s="9" t="n">
        <x:f>'JahresSuSa'!C14-'JahresSuSa'!D14</x:f>
        <x:v>80000</x:v>
      </x:c>
      <x:c r="E14" s="9" t="n">
        <x:f>SUMIFS('Journal'!$E$6:$E$1632,'Journal'!$D$6:$D$1632,B14,'Journal'!$C$6:$C$1632,A14)</x:f>
        <x:v>0</x:v>
      </x:c>
      <x:c r="F14" s="9" t="n">
        <x:f>SUMIFS('Journal'!$F$6:$F$1632,'Journal'!$D$6:$D$1632,B14,'Journal'!$C$6:$C$1632,A14)</x:f>
        <x:v>0</x:v>
      </x:c>
      <x:c r="G14" s="9" t="n">
        <x:f>ROUND(E14-F14,2)</x:f>
        <x:v>0</x:v>
      </x:c>
      <x:c r="H14" s="9" t="n">
        <x:f>ROUND(D14+G14,2)</x:f>
        <x:v>80000</x:v>
      </x:c>
    </x:row>
    <x:row r="15" ht="14" customHeight="1">
      <x:c r="A15" s="1" t="n">
        <x:v>1</x:v>
      </x:c>
      <x:c r="B15" s="1" t="str">
        <x:v>1350</x:v>
      </x:c>
      <x:c r="C15" s="1" t="str">
        <x:v>Mietkaution Erlangen</x:v>
      </x:c>
      <x:c r="D15" s="9" t="n">
        <x:f>'JahresSuSa'!C15-'JahresSuSa'!D15</x:f>
        <x:v>25000</x:v>
      </x:c>
      <x:c r="E15" s="9" t="n">
        <x:f>SUMIFS('Journal'!$E$6:$E$1632,'Journal'!$D$6:$D$1632,B15,'Journal'!$C$6:$C$1632,A15)</x:f>
        <x:v>0</x:v>
      </x:c>
      <x:c r="F15" s="9" t="n">
        <x:f>SUMIFS('Journal'!$F$6:$F$1632,'Journal'!$D$6:$D$1632,B15,'Journal'!$C$6:$C$1632,A15)</x:f>
        <x:v>0</x:v>
      </x:c>
      <x:c r="G15" s="9" t="n">
        <x:f>ROUND(E15-F15,2)</x:f>
        <x:v>0</x:v>
      </x:c>
      <x:c r="H15" s="9" t="n">
        <x:f>ROUND(D15+G15,2)</x:f>
        <x:v>25000</x:v>
      </x:c>
    </x:row>
    <x:row r="16" ht="14" customHeight="1">
      <x:c r="A16" s="1" t="n">
        <x:v>1</x:v>
      </x:c>
      <x:c r="B16" s="1" t="str">
        <x:v>1401</x:v>
      </x:c>
      <x:c r="C16" s="1" t="str">
        <x:v>Vorsteuer Inland 7 Prozent</x:v>
      </x:c>
      <x:c r="D16" s="9" t="n">
        <x:f>'JahresSuSa'!C16-'JahresSuSa'!D16</x:f>
        <x:v>0</x:v>
      </x:c>
      <x:c r="E16" s="9" t="n">
        <x:f>SUMIFS('Journal'!$E$6:$E$1632,'Journal'!$D$6:$D$1632,B16,'Journal'!$C$6:$C$1632,A16)</x:f>
        <x:v>9219.63</x:v>
      </x:c>
      <x:c r="F16" s="9" t="n">
        <x:f>SUMIFS('Journal'!$F$6:$F$1632,'Journal'!$D$6:$D$1632,B16,'Journal'!$C$6:$C$1632,A16)</x:f>
        <x:v>9219.63</x:v>
      </x:c>
      <x:c r="G16" s="9" t="n">
        <x:f>ROUND(E16-F16,2)</x:f>
        <x:v>0</x:v>
      </x:c>
      <x:c r="H16" s="9" t="n">
        <x:f>ROUND(D16+G16,2)</x:f>
        <x:v>0</x:v>
      </x:c>
    </x:row>
    <x:row r="17" ht="14" customHeight="1">
      <x:c r="A17" s="1" t="n">
        <x:v>1</x:v>
      </x:c>
      <x:c r="B17" s="1" t="str">
        <x:v>1406</x:v>
      </x:c>
      <x:c r="C17" s="1" t="str">
        <x:v>Vorsteuer Inland 19 Prozent</x:v>
      </x:c>
      <x:c r="D17" s="9" t="n">
        <x:f>'JahresSuSa'!C17-'JahresSuSa'!D17</x:f>
        <x:v>0</x:v>
      </x:c>
      <x:c r="E17" s="9" t="n">
        <x:f>SUMIFS('Journal'!$E$6:$E$1632,'Journal'!$D$6:$D$1632,B17,'Journal'!$C$6:$C$1632,A17)</x:f>
        <x:v>25034.81</x:v>
      </x:c>
      <x:c r="F17" s="9" t="n">
        <x:f>SUMIFS('Journal'!$F$6:$F$1632,'Journal'!$D$6:$D$1632,B17,'Journal'!$C$6:$C$1632,A17)</x:f>
        <x:v>25034.81</x:v>
      </x:c>
      <x:c r="G17" s="9" t="n">
        <x:f>ROUND(E17-F17,2)</x:f>
        <x:v>0</x:v>
      </x:c>
      <x:c r="H17" s="9" t="n">
        <x:f>ROUND(D17+G17,2)</x:f>
        <x:v>0</x:v>
      </x:c>
    </x:row>
    <x:row r="18" ht="14" customHeight="1">
      <x:c r="A18" s="1" t="n">
        <x:v>1</x:v>
      </x:c>
      <x:c r="B18" s="1" t="str">
        <x:v>1404</x:v>
      </x:c>
      <x:c r="C18" s="1" t="str">
        <x:v>Vorsteuer EU Erwerb 7 Prozent</x:v>
      </x:c>
      <x:c r="D18" s="9" t="n">
        <x:f>'JahresSuSa'!C18-'JahresSuSa'!D18</x:f>
        <x:v>0</x:v>
      </x:c>
      <x:c r="E18" s="9" t="n">
        <x:f>SUMIFS('Journal'!$E$6:$E$1632,'Journal'!$D$6:$D$1632,B18,'Journal'!$C$6:$C$1632,A18)</x:f>
        <x:v>4852.44</x:v>
      </x:c>
      <x:c r="F18" s="9" t="n">
        <x:f>SUMIFS('Journal'!$F$6:$F$1632,'Journal'!$D$6:$D$1632,B18,'Journal'!$C$6:$C$1632,A18)</x:f>
        <x:v>4852.44</x:v>
      </x:c>
      <x:c r="G18" s="9" t="n">
        <x:f>ROUND(E18-F18,2)</x:f>
        <x:v>0</x:v>
      </x:c>
      <x:c r="H18" s="9" t="n">
        <x:f>ROUND(D18+G18,2)</x:f>
        <x:v>0</x:v>
      </x:c>
    </x:row>
    <x:row r="19" ht="14" customHeight="1">
      <x:c r="A19" s="1" t="n">
        <x:v>1</x:v>
      </x:c>
      <x:c r="B19" s="1" t="str">
        <x:v>1409</x:v>
      </x:c>
      <x:c r="C19" s="1" t="str">
        <x:v>Vorsteuer EU Erwerb 19 Prozent</x:v>
      </x:c>
      <x:c r="D19" s="9" t="n">
        <x:f>'JahresSuSa'!C19-'JahresSuSa'!D19</x:f>
        <x:v>0</x:v>
      </x:c>
      <x:c r="E19" s="9" t="n">
        <x:f>SUMIFS('Journal'!$E$6:$E$1632,'Journal'!$D$6:$D$1632,B19,'Journal'!$C$6:$C$1632,A19)</x:f>
        <x:v>3292.72</x:v>
      </x:c>
      <x:c r="F19" s="9" t="n">
        <x:f>SUMIFS('Journal'!$F$6:$F$1632,'Journal'!$D$6:$D$1632,B19,'Journal'!$C$6:$C$1632,A19)</x:f>
        <x:v>3292.72</x:v>
      </x:c>
      <x:c r="G19" s="9" t="n">
        <x:f>ROUND(E19-F19,2)</x:f>
        <x:v>0</x:v>
      </x:c>
      <x:c r="H19" s="9" t="n">
        <x:f>ROUND(D19+G19,2)</x:f>
        <x:v>0</x:v>
      </x:c>
    </x:row>
    <x:row r="20" ht="14" customHeight="1">
      <x:c r="A20" s="1" t="n">
        <x:v>1</x:v>
      </x:c>
      <x:c r="B20" s="1" t="str">
        <x:v>1433</x:v>
      </x:c>
      <x:c r="C20" s="1" t="str">
        <x:v>Einfuhrumsatzsteuer</x:v>
      </x:c>
      <x:c r="D20" s="9" t="n">
        <x:f>'JahresSuSa'!C20-'JahresSuSa'!D20</x:f>
        <x:v>0</x:v>
      </x:c>
      <x:c r="E20" s="9" t="n">
        <x:f>SUMIFS('Journal'!$E$6:$E$1632,'Journal'!$D$6:$D$1632,B20,'Journal'!$C$6:$C$1632,A20)</x:f>
        <x:v>8526.42</x:v>
      </x:c>
      <x:c r="F20" s="9" t="n">
        <x:f>SUMIFS('Journal'!$F$6:$F$1632,'Journal'!$D$6:$D$1632,B20,'Journal'!$C$6:$C$1632,A20)</x:f>
        <x:v>8526.42</x:v>
      </x:c>
      <x:c r="G20" s="9" t="n">
        <x:f>ROUND(E20-F20,2)</x:f>
        <x:v>0</x:v>
      </x:c>
      <x:c r="H20" s="9" t="n">
        <x:f>ROUND(D20+G20,2)</x:f>
        <x:v>0</x:v>
      </x:c>
    </x:row>
    <x:row r="21" ht="14" customHeight="1">
      <x:c r="A21" s="1" t="n">
        <x:v>1</x:v>
      </x:c>
      <x:c r="B21" s="1" t="str">
        <x:v>1600</x:v>
      </x:c>
      <x:c r="C21" s="1" t="str">
        <x:v>Kasse</x:v>
      </x:c>
      <x:c r="D21" s="9" t="n">
        <x:f>'JahresSuSa'!C21-'JahresSuSa'!D21</x:f>
        <x:v>3000</x:v>
      </x:c>
      <x:c r="E21" s="9" t="n">
        <x:f>SUMIFS('Journal'!$E$6:$E$1632,'Journal'!$D$6:$D$1632,B21,'Journal'!$C$6:$C$1632,A21)</x:f>
        <x:v>300</x:v>
      </x:c>
      <x:c r="F21" s="9" t="n">
        <x:f>SUMIFS('Journal'!$F$6:$F$1632,'Journal'!$D$6:$D$1632,B21,'Journal'!$C$6:$C$1632,A21)</x:f>
        <x:v>300</x:v>
      </x:c>
      <x:c r="G21" s="9" t="n">
        <x:f>ROUND(E21-F21,2)</x:f>
        <x:v>0</x:v>
      </x:c>
      <x:c r="H21" s="9" t="n">
        <x:f>ROUND(D21+G21,2)</x:f>
        <x:v>3000</x:v>
      </x:c>
    </x:row>
    <x:row r="22" ht="14" customHeight="1">
      <x:c r="A22" s="1" t="n">
        <x:v>1</x:v>
      </x:c>
      <x:c r="B22" s="1" t="str">
        <x:v>1800</x:v>
      </x:c>
      <x:c r="C22" s="1" t="str">
        <x:v>Bank Frankenbogen Geschäftskonto</x:v>
      </x:c>
      <x:c r="D22" s="9" t="n">
        <x:f>'JahresSuSa'!C22-'JahresSuSa'!D22</x:f>
        <x:v>220000</x:v>
      </x:c>
      <x:c r="E22" s="9" t="n">
        <x:f>SUMIFS('Journal'!$E$6:$E$1632,'Journal'!$D$6:$D$1632,B22,'Journal'!$C$6:$C$1632,A22)</x:f>
        <x:v>577087.7</x:v>
      </x:c>
      <x:c r="F22" s="9" t="n">
        <x:f>SUMIFS('Journal'!$F$6:$F$1632,'Journal'!$D$6:$D$1632,B22,'Journal'!$C$6:$C$1632,A22)</x:f>
        <x:v>733483.36</x:v>
      </x:c>
      <x:c r="G22" s="9" t="n">
        <x:f>ROUND(E22-F22,2)</x:f>
        <x:v>-156395.66</x:v>
      </x:c>
      <x:c r="H22" s="9" t="n">
        <x:f>ROUND(D22+G22,2)</x:f>
        <x:v>63604.34</x:v>
      </x:c>
    </x:row>
    <x:row r="23" ht="14" customHeight="1">
      <x:c r="A23" s="1" t="n">
        <x:v>1</x:v>
      </x:c>
      <x:c r="B23" s="1" t="str">
        <x:v>1900</x:v>
      </x:c>
      <x:c r="C23" s="1" t="str">
        <x:v>Aktive Rechnungsabgrenzung</x:v>
      </x:c>
      <x:c r="D23" s="9" t="n">
        <x:f>'JahresSuSa'!C23-'JahresSuSa'!D23</x:f>
        <x:v>18000</x:v>
      </x:c>
      <x:c r="E23" s="9" t="n">
        <x:f>SUMIFS('Journal'!$E$6:$E$1632,'Journal'!$D$6:$D$1632,B23,'Journal'!$C$6:$C$1632,A23)</x:f>
        <x:v>0</x:v>
      </x:c>
      <x:c r="F23" s="9" t="n">
        <x:f>SUMIFS('Journal'!$F$6:$F$1632,'Journal'!$D$6:$D$1632,B23,'Journal'!$C$6:$C$1632,A23)</x:f>
        <x:v>3000</x:v>
      </x:c>
      <x:c r="G23" s="9" t="n">
        <x:f>ROUND(E23-F23,2)</x:f>
        <x:v>-3000</x:v>
      </x:c>
      <x:c r="H23" s="9" t="n">
        <x:f>ROUND(D23+G23,2)</x:f>
        <x:v>15000</x:v>
      </x:c>
    </x:row>
    <x:row r="24" ht="14" customHeight="1">
      <x:c r="A24" s="1" t="n">
        <x:v>1</x:v>
      </x:c>
      <x:c r="B24" s="1" t="str">
        <x:v>2900</x:v>
      </x:c>
      <x:c r="C24" s="1" t="str">
        <x:v>Gezeichnetes Kapital</x:v>
      </x:c>
      <x:c r="D24" s="9" t="n">
        <x:f>'JahresSuSa'!C24-'JahresSuSa'!D24</x:f>
        <x:v>-100000</x:v>
      </x:c>
      <x:c r="E24" s="9" t="n">
        <x:f>SUMIFS('Journal'!$E$6:$E$1632,'Journal'!$D$6:$D$1632,B24,'Journal'!$C$6:$C$1632,A24)</x:f>
        <x:v>0</x:v>
      </x:c>
      <x:c r="F24" s="9" t="n">
        <x:f>SUMIFS('Journal'!$F$6:$F$1632,'Journal'!$D$6:$D$1632,B24,'Journal'!$C$6:$C$1632,A24)</x:f>
        <x:v>0</x:v>
      </x:c>
      <x:c r="G24" s="9" t="n">
        <x:f>ROUND(E24-F24,2)</x:f>
        <x:v>0</x:v>
      </x:c>
      <x:c r="H24" s="9" t="n">
        <x:f>ROUND(D24+G24,2)</x:f>
        <x:v>-100000</x:v>
      </x:c>
    </x:row>
    <x:row r="25" ht="14" customHeight="1">
      <x:c r="A25" s="1" t="n">
        <x:v>1</x:v>
      </x:c>
      <x:c r="B25" s="1" t="str">
        <x:v>2970</x:v>
      </x:c>
      <x:c r="C25" s="1" t="str">
        <x:v>Gewinnvortrag bis 2023</x:v>
      </x:c>
      <x:c r="D25" s="9" t="n">
        <x:f>'JahresSuSa'!C25-'JahresSuSa'!D25</x:f>
        <x:v>-705000</x:v>
      </x:c>
      <x:c r="E25" s="9" t="n">
        <x:f>SUMIFS('Journal'!$E$6:$E$1632,'Journal'!$D$6:$D$1632,B25,'Journal'!$C$6:$C$1632,A25)</x:f>
        <x:v>0</x:v>
      </x:c>
      <x:c r="F25" s="9" t="n">
        <x:f>SUMIFS('Journal'!$F$6:$F$1632,'Journal'!$D$6:$D$1632,B25,'Journal'!$C$6:$C$1632,A25)</x:f>
        <x:v>0</x:v>
      </x:c>
      <x:c r="G25" s="9" t="n">
        <x:f>ROUND(E25-F25,2)</x:f>
        <x:v>0</x:v>
      </x:c>
      <x:c r="H25" s="9" t="n">
        <x:f>ROUND(D25+G25,2)</x:f>
        <x:v>-705000</x:v>
      </x:c>
    </x:row>
    <x:row r="26" ht="14" customHeight="1">
      <x:c r="A26" s="1" t="n">
        <x:v>1</x:v>
      </x:c>
      <x:c r="B26" s="1" t="str">
        <x:v>2978</x:v>
      </x:c>
      <x:c r="C26" s="1" t="str">
        <x:v>Ergebnisvortrag 2024</x:v>
      </x:c>
      <x:c r="D26" s="9" t="n">
        <x:f>'JahresSuSa'!C26-'JahresSuSa'!D26</x:f>
        <x:v>0</x:v>
      </x:c>
      <x:c r="E26" s="9" t="n">
        <x:f>SUMIFS('Journal'!$E$6:$E$1632,'Journal'!$D$6:$D$1632,B26,'Journal'!$C$6:$C$1632,A26)</x:f>
        <x:v>0</x:v>
      </x:c>
      <x:c r="F26" s="9" t="n">
        <x:f>SUMIFS('Journal'!$F$6:$F$1632,'Journal'!$D$6:$D$1632,B26,'Journal'!$C$6:$C$1632,A26)</x:f>
        <x:v>0</x:v>
      </x:c>
      <x:c r="G26" s="9" t="n">
        <x:f>ROUND(E26-F26,2)</x:f>
        <x:v>0</x:v>
      </x:c>
      <x:c r="H26" s="9" t="n">
        <x:f>ROUND(D26+G26,2)</x:f>
        <x:v>0</x:v>
      </x:c>
    </x:row>
    <x:row r="27" ht="14" customHeight="1">
      <x:c r="A27" s="1" t="n">
        <x:v>1</x:v>
      </x:c>
      <x:c r="B27" s="1" t="str">
        <x:v>3090</x:v>
      </x:c>
      <x:c r="C27" s="1" t="str">
        <x:v>Rückstellungen Abschluss und Urlaub</x:v>
      </x:c>
      <x:c r="D27" s="9" t="n">
        <x:f>'JahresSuSa'!C27-'JahresSuSa'!D27</x:f>
        <x:v>-45000</x:v>
      </x:c>
      <x:c r="E27" s="9" t="n">
        <x:f>SUMIFS('Journal'!$E$6:$E$1632,'Journal'!$D$6:$D$1632,B27,'Journal'!$C$6:$C$1632,A27)</x:f>
        <x:v>0</x:v>
      </x:c>
      <x:c r="F27" s="9" t="n">
        <x:f>SUMIFS('Journal'!$F$6:$F$1632,'Journal'!$D$6:$D$1632,B27,'Journal'!$C$6:$C$1632,A27)</x:f>
        <x:v>0</x:v>
      </x:c>
      <x:c r="G27" s="9" t="n">
        <x:f>ROUND(E27-F27,2)</x:f>
        <x:v>0</x:v>
      </x:c>
      <x:c r="H27" s="9" t="n">
        <x:f>ROUND(D27+G27,2)</x:f>
        <x:v>-45000</x:v>
      </x:c>
    </x:row>
    <x:row r="28" ht="14" customHeight="1">
      <x:c r="A28" s="1" t="n">
        <x:v>1</x:v>
      </x:c>
      <x:c r="B28" s="1" t="str">
        <x:v>3150</x:v>
      </x:c>
      <x:c r="C28" s="1" t="str">
        <x:v>Investitionsdarlehen Frankenbogen</x:v>
      </x:c>
      <x:c r="D28" s="9" t="n">
        <x:f>'JahresSuSa'!C28-'JahresSuSa'!D28</x:f>
        <x:v>-600000</x:v>
      </x:c>
      <x:c r="E28" s="9" t="n">
        <x:f>SUMIFS('Journal'!$E$6:$E$1632,'Journal'!$D$6:$D$1632,B28,'Journal'!$C$6:$C$1632,A28)</x:f>
        <x:v>10000</x:v>
      </x:c>
      <x:c r="F28" s="9" t="n">
        <x:f>SUMIFS('Journal'!$F$6:$F$1632,'Journal'!$D$6:$D$1632,B28,'Journal'!$C$6:$C$1632,A28)</x:f>
        <x:v>0</x:v>
      </x:c>
      <x:c r="G28" s="9" t="n">
        <x:f>ROUND(E28-F28,2)</x:f>
        <x:v>10000</x:v>
      </x:c>
      <x:c r="H28" s="9" t="n">
        <x:f>ROUND(D28+G28,2)</x:f>
        <x:v>-590000</x:v>
      </x:c>
    </x:row>
    <x:row r="29" ht="14" customHeight="1">
      <x:c r="A29" s="1" t="n">
        <x:v>1</x:v>
      </x:c>
      <x:c r="B29" s="1" t="str">
        <x:v>3160</x:v>
      </x:c>
      <x:c r="C29" s="1" t="str">
        <x:v>Gesellschafterdarlehen</x:v>
      </x:c>
      <x:c r="D29" s="9" t="n">
        <x:f>'JahresSuSa'!C29-'JahresSuSa'!D29</x:f>
        <x:v>0</x:v>
      </x:c>
      <x:c r="E29" s="9" t="n">
        <x:f>SUMIFS('Journal'!$E$6:$E$1632,'Journal'!$D$6:$D$1632,B29,'Journal'!$C$6:$C$1632,A29)</x:f>
        <x:v>0</x:v>
      </x:c>
      <x:c r="F29" s="9" t="n">
        <x:f>SUMIFS('Journal'!$F$6:$F$1632,'Journal'!$D$6:$D$1632,B29,'Journal'!$C$6:$C$1632,A29)</x:f>
        <x:v>0</x:v>
      </x:c>
      <x:c r="G29" s="9" t="n">
        <x:f>ROUND(E29-F29,2)</x:f>
        <x:v>0</x:v>
      </x:c>
      <x:c r="H29" s="9" t="n">
        <x:f>ROUND(D29+G29,2)</x:f>
        <x:v>0</x:v>
      </x:c>
    </x:row>
    <x:row r="30" ht="14" customHeight="1">
      <x:c r="A30" s="1" t="n">
        <x:v>1</x:v>
      </x:c>
      <x:c r="B30" s="1" t="str">
        <x:v>3300</x:v>
      </x:c>
      <x:c r="C30" s="1" t="str">
        <x:v>Verbindlichkeiten aus Lieferungen und Leistungen</x:v>
      </x:c>
      <x:c r="D30" s="9" t="n">
        <x:f>'JahresSuSa'!C30-'JahresSuSa'!D30</x:f>
        <x:v>-650000</x:v>
      </x:c>
      <x:c r="E30" s="9" t="n">
        <x:f>SUMIFS('Journal'!$E$6:$E$1632,'Journal'!$D$6:$D$1632,B30,'Journal'!$C$6:$C$1632,A30)</x:f>
        <x:v>478216.94</x:v>
      </x:c>
      <x:c r="F30" s="9" t="n">
        <x:f>SUMIFS('Journal'!$F$6:$F$1632,'Journal'!$D$6:$D$1632,B30,'Journal'!$C$6:$C$1632,A30)</x:f>
        <x:v>448216.93999999994</x:v>
      </x:c>
      <x:c r="G30" s="9" t="n">
        <x:f>ROUND(E30-F30,2)</x:f>
        <x:v>30000</x:v>
      </x:c>
      <x:c r="H30" s="9" t="n">
        <x:f>ROUND(D30+G30,2)</x:f>
        <x:v>-620000</x:v>
      </x:c>
    </x:row>
    <x:row r="31" ht="14" customHeight="1">
      <x:c r="A31" s="1" t="n">
        <x:v>1</x:v>
      </x:c>
      <x:c r="B31" s="1" t="str">
        <x:v>3500</x:v>
      </x:c>
      <x:c r="C31" s="1" t="str">
        <x:v>Sonstige Verbindlichkeiten</x:v>
      </x:c>
      <x:c r="D31" s="9" t="n">
        <x:f>'JahresSuSa'!C31-'JahresSuSa'!D31</x:f>
        <x:v>-22000</x:v>
      </x:c>
      <x:c r="E31" s="9" t="n">
        <x:f>SUMIFS('Journal'!$E$6:$E$1632,'Journal'!$D$6:$D$1632,B31,'Journal'!$C$6:$C$1632,A31)</x:f>
        <x:v>0</x:v>
      </x:c>
      <x:c r="F31" s="9" t="n">
        <x:f>SUMIFS('Journal'!$F$6:$F$1632,'Journal'!$D$6:$D$1632,B31,'Journal'!$C$6:$C$1632,A31)</x:f>
        <x:v>0</x:v>
      </x:c>
      <x:c r="G31" s="9" t="n">
        <x:f>ROUND(E31-F31,2)</x:f>
        <x:v>0</x:v>
      </x:c>
      <x:c r="H31" s="9" t="n">
        <x:f>ROUND(D31+G31,2)</x:f>
        <x:v>-22000</x:v>
      </x:c>
    </x:row>
    <x:row r="32" ht="14" customHeight="1">
      <x:c r="A32" s="1" t="n">
        <x:v>1</x:v>
      </x:c>
      <x:c r="B32" s="1" t="str">
        <x:v>3720</x:v>
      </x:c>
      <x:c r="C32" s="1" t="str">
        <x:v>Verbindlichkeiten Nettolöhne</x:v>
      </x:c>
      <x:c r="D32" s="9" t="n">
        <x:f>'JahresSuSa'!C32-'JahresSuSa'!D32</x:f>
        <x:v>-42000</x:v>
      </x:c>
      <x:c r="E32" s="9" t="n">
        <x:f>SUMIFS('Journal'!$E$6:$E$1632,'Journal'!$D$6:$D$1632,B32,'Journal'!$C$6:$C$1632,A32)</x:f>
        <x:v>98760</x:v>
      </x:c>
      <x:c r="F32" s="9" t="n">
        <x:f>SUMIFS('Journal'!$F$6:$F$1632,'Journal'!$D$6:$D$1632,B32,'Journal'!$C$6:$C$1632,A32)</x:f>
        <x:v>56760</x:v>
      </x:c>
      <x:c r="G32" s="9" t="n">
        <x:f>ROUND(E32-F32,2)</x:f>
        <x:v>42000</x:v>
      </x:c>
      <x:c r="H32" s="9" t="n">
        <x:f>ROUND(D32+G32,2)</x:f>
        <x:v>0</x:v>
      </x:c>
    </x:row>
    <x:row r="33" ht="14" customHeight="1">
      <x:c r="A33" s="1" t="n">
        <x:v>1</x:v>
      </x:c>
      <x:c r="B33" s="1" t="str">
        <x:v>3730</x:v>
      </x:c>
      <x:c r="C33" s="1" t="str">
        <x:v>Verbindlichkeiten Lohnsteuer</x:v>
      </x:c>
      <x:c r="D33" s="9" t="n">
        <x:f>'JahresSuSa'!C33-'JahresSuSa'!D33</x:f>
        <x:v>-12000</x:v>
      </x:c>
      <x:c r="E33" s="9" t="n">
        <x:f>SUMIFS('Journal'!$E$6:$E$1632,'Journal'!$D$6:$D$1632,B33,'Journal'!$C$6:$C$1632,A33)</x:f>
        <x:v>12000</x:v>
      </x:c>
      <x:c r="F33" s="9" t="n">
        <x:f>SUMIFS('Journal'!$F$6:$F$1632,'Journal'!$D$6:$D$1632,B33,'Journal'!$C$6:$C$1632,A33)</x:f>
        <x:v>12900</x:v>
      </x:c>
      <x:c r="G33" s="9" t="n">
        <x:f>ROUND(E33-F33,2)</x:f>
        <x:v>-900</x:v>
      </x:c>
      <x:c r="H33" s="9" t="n">
        <x:f>ROUND(D33+G33,2)</x:f>
        <x:v>-12900</x:v>
      </x:c>
    </x:row>
    <x:row r="34" ht="14" customHeight="1">
      <x:c r="A34" s="1" t="n">
        <x:v>1</x:v>
      </x:c>
      <x:c r="B34" s="1" t="str">
        <x:v>3740</x:v>
      </x:c>
      <x:c r="C34" s="1" t="str">
        <x:v>Verbindlichkeiten Sozialversicherung</x:v>
      </x:c>
      <x:c r="D34" s="9" t="n">
        <x:f>'JahresSuSa'!C34-'JahresSuSa'!D34</x:f>
        <x:v>-18000</x:v>
      </x:c>
      <x:c r="E34" s="9" t="n">
        <x:f>SUMIFS('Journal'!$E$6:$E$1632,'Journal'!$D$6:$D$1632,B34,'Journal'!$C$6:$C$1632,A34)</x:f>
        <x:v>52340</x:v>
      </x:c>
      <x:c r="F34" s="9" t="n">
        <x:f>SUMIFS('Journal'!$F$6:$F$1632,'Journal'!$D$6:$D$1632,B34,'Journal'!$C$6:$C$1632,A34)</x:f>
        <x:v>34340</x:v>
      </x:c>
      <x:c r="G34" s="9" t="n">
        <x:f>ROUND(E34-F34,2)</x:f>
        <x:v>18000</x:v>
      </x:c>
      <x:c r="H34" s="9" t="n">
        <x:f>ROUND(D34+G34,2)</x:f>
        <x:v>0</x:v>
      </x:c>
    </x:row>
    <x:row r="35" ht="14" customHeight="1">
      <x:c r="A35" s="1" t="n">
        <x:v>1</x:v>
      </x:c>
      <x:c r="B35" s="1" t="str">
        <x:v>3801</x:v>
      </x:c>
      <x:c r="C35" s="1" t="str">
        <x:v>Umsatzsteuer Inland 7 Prozent</x:v>
      </x:c>
      <x:c r="D35" s="9" t="n">
        <x:f>'JahresSuSa'!C35-'JahresSuSa'!D35</x:f>
        <x:v>0</x:v>
      </x:c>
      <x:c r="E35" s="9" t="n">
        <x:f>SUMIFS('Journal'!$E$6:$E$1632,'Journal'!$D$6:$D$1632,B35,'Journal'!$C$6:$C$1632,A35)</x:f>
        <x:v>17472</x:v>
      </x:c>
      <x:c r="F35" s="9" t="n">
        <x:f>SUMIFS('Journal'!$F$6:$F$1632,'Journal'!$D$6:$D$1632,B35,'Journal'!$C$6:$C$1632,A35)</x:f>
        <x:v>17472</x:v>
      </x:c>
      <x:c r="G35" s="9" t="n">
        <x:f>ROUND(E35-F35,2)</x:f>
        <x:v>0</x:v>
      </x:c>
      <x:c r="H35" s="9" t="n">
        <x:f>ROUND(D35+G35,2)</x:f>
        <x:v>0</x:v>
      </x:c>
    </x:row>
    <x:row r="36" ht="14" customHeight="1">
      <x:c r="A36" s="1" t="n">
        <x:v>1</x:v>
      </x:c>
      <x:c r="B36" s="1" t="str">
        <x:v>3806</x:v>
      </x:c>
      <x:c r="C36" s="1" t="str">
        <x:v>Umsatzsteuer Inland 19 Prozent</x:v>
      </x:c>
      <x:c r="D36" s="9" t="n">
        <x:f>'JahresSuSa'!C36-'JahresSuSa'!D36</x:f>
        <x:v>0</x:v>
      </x:c>
      <x:c r="E36" s="9" t="n">
        <x:f>SUMIFS('Journal'!$E$6:$E$1632,'Journal'!$D$6:$D$1632,B36,'Journal'!$C$6:$C$1632,A36)</x:f>
        <x:v>11856</x:v>
      </x:c>
      <x:c r="F36" s="9" t="n">
        <x:f>SUMIFS('Journal'!$F$6:$F$1632,'Journal'!$D$6:$D$1632,B36,'Journal'!$C$6:$C$1632,A36)</x:f>
        <x:v>11856</x:v>
      </x:c>
      <x:c r="G36" s="9" t="n">
        <x:f>ROUND(E36-F36,2)</x:f>
        <x:v>0</x:v>
      </x:c>
      <x:c r="H36" s="9" t="n">
        <x:f>ROUND(D36+G36,2)</x:f>
        <x:v>0</x:v>
      </x:c>
    </x:row>
    <x:row r="37" ht="14" customHeight="1">
      <x:c r="A37" s="1" t="n">
        <x:v>1</x:v>
      </x:c>
      <x:c r="B37" s="1" t="str">
        <x:v>3804</x:v>
      </x:c>
      <x:c r="C37" s="1" t="str">
        <x:v>Umsatzsteuer EU Erwerb 7 Prozent</x:v>
      </x:c>
      <x:c r="D37" s="9" t="n">
        <x:f>'JahresSuSa'!C37-'JahresSuSa'!D37</x:f>
        <x:v>0</x:v>
      </x:c>
      <x:c r="E37" s="9" t="n">
        <x:f>SUMIFS('Journal'!$E$6:$E$1632,'Journal'!$D$6:$D$1632,B37,'Journal'!$C$6:$C$1632,A37)</x:f>
        <x:v>4852.44</x:v>
      </x:c>
      <x:c r="F37" s="9" t="n">
        <x:f>SUMIFS('Journal'!$F$6:$F$1632,'Journal'!$D$6:$D$1632,B37,'Journal'!$C$6:$C$1632,A37)</x:f>
        <x:v>4852.44</x:v>
      </x:c>
      <x:c r="G37" s="9" t="n">
        <x:f>ROUND(E37-F37,2)</x:f>
        <x:v>0</x:v>
      </x:c>
      <x:c r="H37" s="9" t="n">
        <x:f>ROUND(D37+G37,2)</x:f>
        <x:v>0</x:v>
      </x:c>
    </x:row>
    <x:row r="38" ht="14" customHeight="1">
      <x:c r="A38" s="1" t="n">
        <x:v>1</x:v>
      </x:c>
      <x:c r="B38" s="1" t="str">
        <x:v>3809</x:v>
      </x:c>
      <x:c r="C38" s="1" t="str">
        <x:v>Umsatzsteuer EU Erwerb 19 Prozent</x:v>
      </x:c>
      <x:c r="D38" s="9" t="n">
        <x:f>'JahresSuSa'!C38-'JahresSuSa'!D38</x:f>
        <x:v>0</x:v>
      </x:c>
      <x:c r="E38" s="9" t="n">
        <x:f>SUMIFS('Journal'!$E$6:$E$1632,'Journal'!$D$6:$D$1632,B38,'Journal'!$C$6:$C$1632,A38)</x:f>
        <x:v>3292.72</x:v>
      </x:c>
      <x:c r="F38" s="9" t="n">
        <x:f>SUMIFS('Journal'!$F$6:$F$1632,'Journal'!$D$6:$D$1632,B38,'Journal'!$C$6:$C$1632,A38)</x:f>
        <x:v>3292.72</x:v>
      </x:c>
      <x:c r="G38" s="9" t="n">
        <x:f>ROUND(E38-F38,2)</x:f>
        <x:v>0</x:v>
      </x:c>
      <x:c r="H38" s="9" t="n">
        <x:f>ROUND(D38+G38,2)</x:f>
        <x:v>0</x:v>
      </x:c>
    </x:row>
    <x:row r="39" ht="14" customHeight="1">
      <x:c r="A39" s="1" t="n">
        <x:v>1</x:v>
      </x:c>
      <x:c r="B39" s="1" t="str">
        <x:v>3820</x:v>
      </x:c>
      <x:c r="C39" s="1" t="str">
        <x:v>Umsatzsteuer Verrechnung Finanzamt</x:v>
      </x:c>
      <x:c r="D39" s="9" t="n">
        <x:f>'JahresSuSa'!C39-'JahresSuSa'!D39</x:f>
        <x:v>-27000</x:v>
      </x:c>
      <x:c r="E39" s="9" t="n">
        <x:f>SUMIFS('Journal'!$E$6:$E$1632,'Journal'!$D$6:$D$1632,B39,'Journal'!$C$6:$C$1632,A39)</x:f>
        <x:v>77926.02</x:v>
      </x:c>
      <x:c r="F39" s="9" t="n">
        <x:f>SUMIFS('Journal'!$F$6:$F$1632,'Journal'!$D$6:$D$1632,B39,'Journal'!$C$6:$C$1632,A39)</x:f>
        <x:v>37382.86</x:v>
      </x:c>
      <x:c r="G39" s="9" t="n">
        <x:f>ROUND(E39-F39,2)</x:f>
        <x:v>40543.16</x:v>
      </x:c>
      <x:c r="H39" s="9" t="n">
        <x:f>ROUND(D39+G39,2)</x:f>
        <x:v>13543.16</x:v>
      </x:c>
    </x:row>
    <x:row r="40" ht="14" customHeight="1">
      <x:c r="A40" s="1" t="n">
        <x:v>1</x:v>
      </x:c>
      <x:c r="B40" s="1" t="str">
        <x:v>3840</x:v>
      </x:c>
      <x:c r="C40" s="1" t="str">
        <x:v>Ertragsteuern Verrechnung</x:v>
      </x:c>
      <x:c r="D40" s="9" t="n">
        <x:f>'JahresSuSa'!C40-'JahresSuSa'!D40</x:f>
        <x:v>-35000</x:v>
      </x:c>
      <x:c r="E40" s="9" t="n">
        <x:f>SUMIFS('Journal'!$E$6:$E$1632,'Journal'!$D$6:$D$1632,B40,'Journal'!$C$6:$C$1632,A40)</x:f>
        <x:v>0</x:v>
      </x:c>
      <x:c r="F40" s="9" t="n">
        <x:f>SUMIFS('Journal'!$F$6:$F$1632,'Journal'!$D$6:$D$1632,B40,'Journal'!$C$6:$C$1632,A40)</x:f>
        <x:v>0</x:v>
      </x:c>
      <x:c r="G40" s="9" t="n">
        <x:f>ROUND(E40-F40,2)</x:f>
        <x:v>0</x:v>
      </x:c>
      <x:c r="H40" s="9" t="n">
        <x:f>ROUND(D40+G40,2)</x:f>
        <x:v>-35000</x:v>
      </x:c>
    </x:row>
    <x:row r="41" ht="14" customHeight="1">
      <x:c r="A41" s="1" t="n">
        <x:v>1</x:v>
      </x:c>
      <x:c r="B41" s="1" t="str">
        <x:v>4300</x:v>
      </x:c>
      <x:c r="C41" s="1" t="str">
        <x:v>Erlöse Inland 7 Prozent</x:v>
      </x:c>
      <x:c r="D41" s="9" t="n">
        <x:f>'JahresSuSa'!C41-'JahresSuSa'!D41</x:f>
        <x:v>0</x:v>
      </x:c>
      <x:c r="E41" s="9" t="n">
        <x:f>SUMIFS('Journal'!$E$6:$E$1632,'Journal'!$D$6:$D$1632,B41,'Journal'!$C$6:$C$1632,A41)</x:f>
        <x:v>0</x:v>
      </x:c>
      <x:c r="F41" s="9" t="n">
        <x:f>SUMIFS('Journal'!$F$6:$F$1632,'Journal'!$D$6:$D$1632,B41,'Journal'!$C$6:$C$1632,A41)</x:f>
        <x:v>249600</x:v>
      </x:c>
      <x:c r="G41" s="9" t="n">
        <x:f>ROUND(E41-F41,2)</x:f>
        <x:v>-249600</x:v>
      </x:c>
      <x:c r="H41" s="9" t="n">
        <x:f>ROUND(D41+G41,2)</x:f>
        <x:v>-249600</x:v>
      </x:c>
    </x:row>
    <x:row r="42" ht="14" customHeight="1">
      <x:c r="A42" s="1" t="n">
        <x:v>1</x:v>
      </x:c>
      <x:c r="B42" s="1" t="str">
        <x:v>4400</x:v>
      </x:c>
      <x:c r="C42" s="1" t="str">
        <x:v>Erlöse Inland 19 Prozent</x:v>
      </x:c>
      <x:c r="D42" s="9" t="n">
        <x:f>'JahresSuSa'!C42-'JahresSuSa'!D42</x:f>
        <x:v>0</x:v>
      </x:c>
      <x:c r="E42" s="9" t="n">
        <x:f>SUMIFS('Journal'!$E$6:$E$1632,'Journal'!$D$6:$D$1632,B42,'Journal'!$C$6:$C$1632,A42)</x:f>
        <x:v>0</x:v>
      </x:c>
      <x:c r="F42" s="9" t="n">
        <x:f>SUMIFS('Journal'!$F$6:$F$1632,'Journal'!$D$6:$D$1632,B42,'Journal'!$C$6:$C$1632,A42)</x:f>
        <x:v>62400</x:v>
      </x:c>
      <x:c r="G42" s="9" t="n">
        <x:f>ROUND(E42-F42,2)</x:f>
        <x:v>-62400</x:v>
      </x:c>
      <x:c r="H42" s="9" t="n">
        <x:f>ROUND(D42+G42,2)</x:f>
        <x:v>-62400</x:v>
      </x:c>
    </x:row>
    <x:row r="43" ht="14" customHeight="1">
      <x:c r="A43" s="1" t="n">
        <x:v>1</x:v>
      </x:c>
      <x:c r="B43" s="1" t="str">
        <x:v>4125</x:v>
      </x:c>
      <x:c r="C43" s="1" t="str">
        <x:v>Erlöse EU Warenlieferungen</x:v>
      </x:c>
      <x:c r="D43" s="9" t="n">
        <x:f>'JahresSuSa'!C43-'JahresSuSa'!D43</x:f>
        <x:v>0</x:v>
      </x:c>
      <x:c r="E43" s="9" t="n">
        <x:f>SUMIFS('Journal'!$E$6:$E$1632,'Journal'!$D$6:$D$1632,B43,'Journal'!$C$6:$C$1632,A43)</x:f>
        <x:v>0</x:v>
      </x:c>
      <x:c r="F43" s="9" t="n">
        <x:f>SUMIFS('Journal'!$F$6:$F$1632,'Journal'!$D$6:$D$1632,B43,'Journal'!$C$6:$C$1632,A43)</x:f>
        <x:v>104000</x:v>
      </x:c>
      <x:c r="G43" s="9" t="n">
        <x:f>ROUND(E43-F43,2)</x:f>
        <x:v>-104000</x:v>
      </x:c>
      <x:c r="H43" s="9" t="n">
        <x:f>ROUND(D43+G43,2)</x:f>
        <x:v>-104000</x:v>
      </x:c>
    </x:row>
    <x:row r="44" ht="14" customHeight="1">
      <x:c r="A44" s="1" t="n">
        <x:v>1</x:v>
      </x:c>
      <x:c r="B44" s="1" t="str">
        <x:v>4120</x:v>
      </x:c>
      <x:c r="C44" s="1" t="str">
        <x:v>Erlöse Drittland Warenlieferungen</x:v>
      </x:c>
      <x:c r="D44" s="9" t="n">
        <x:f>'JahresSuSa'!C44-'JahresSuSa'!D44</x:f>
        <x:v>0</x:v>
      </x:c>
      <x:c r="E44" s="9" t="n">
        <x:f>SUMIFS('Journal'!$E$6:$E$1632,'Journal'!$D$6:$D$1632,B44,'Journal'!$C$6:$C$1632,A44)</x:f>
        <x:v>0</x:v>
      </x:c>
      <x:c r="F44" s="9" t="n">
        <x:f>SUMIFS('Journal'!$F$6:$F$1632,'Journal'!$D$6:$D$1632,B44,'Journal'!$C$6:$C$1632,A44)</x:f>
        <x:v>104000</x:v>
      </x:c>
      <x:c r="G44" s="9" t="n">
        <x:f>ROUND(E44-F44,2)</x:f>
        <x:v>-104000</x:v>
      </x:c>
      <x:c r="H44" s="9" t="n">
        <x:f>ROUND(D44+G44,2)</x:f>
        <x:v>-104000</x:v>
      </x:c>
    </x:row>
    <x:row r="45" ht="14" customHeight="1">
      <x:c r="A45" s="1" t="n">
        <x:v>1</x:v>
      </x:c>
      <x:c r="B45" s="1" t="str">
        <x:v>4730</x:v>
      </x:c>
      <x:c r="C45" s="1" t="str">
        <x:v>Erlösschmälerungen Inland 7 Prozent</x:v>
      </x:c>
      <x:c r="D45" s="9" t="n">
        <x:f>'JahresSuSa'!C45-'JahresSuSa'!D45</x:f>
        <x:v>0</x:v>
      </x:c>
      <x:c r="E45" s="9" t="n">
        <x:f>SUMIFS('Journal'!$E$6:$E$1632,'Journal'!$D$6:$D$1632,B45,'Journal'!$C$6:$C$1632,A45)</x:f>
        <x:v>1290</x:v>
      </x:c>
      <x:c r="F45" s="9" t="n">
        <x:f>SUMIFS('Journal'!$F$6:$F$1632,'Journal'!$D$6:$D$1632,B45,'Journal'!$C$6:$C$1632,A45)</x:f>
        <x:v>0</x:v>
      </x:c>
      <x:c r="G45" s="9" t="n">
        <x:f>ROUND(E45-F45,2)</x:f>
        <x:v>1290</x:v>
      </x:c>
      <x:c r="H45" s="9" t="n">
        <x:f>ROUND(D45+G45,2)</x:f>
        <x:v>1290</x:v>
      </x:c>
    </x:row>
    <x:row r="46" ht="14" customHeight="1">
      <x:c r="A46" s="1" t="n">
        <x:v>1</x:v>
      </x:c>
      <x:c r="B46" s="1" t="str">
        <x:v>4735</x:v>
      </x:c>
      <x:c r="C46" s="1" t="str">
        <x:v>Erlösschmälerungen EU</x:v>
      </x:c>
      <x:c r="D46" s="9" t="n">
        <x:f>'JahresSuSa'!C46-'JahresSuSa'!D46</x:f>
        <x:v>0</x:v>
      </x:c>
      <x:c r="E46" s="9" t="n">
        <x:f>SUMIFS('Journal'!$E$6:$E$1632,'Journal'!$D$6:$D$1632,B46,'Journal'!$C$6:$C$1632,A46)</x:f>
        <x:v>860</x:v>
      </x:c>
      <x:c r="F46" s="9" t="n">
        <x:f>SUMIFS('Journal'!$F$6:$F$1632,'Journal'!$D$6:$D$1632,B46,'Journal'!$C$6:$C$1632,A46)</x:f>
        <x:v>0</x:v>
      </x:c>
      <x:c r="G46" s="9" t="n">
        <x:f>ROUND(E46-F46,2)</x:f>
        <x:v>860</x:v>
      </x:c>
      <x:c r="H46" s="9" t="n">
        <x:f>ROUND(D46+G46,2)</x:f>
        <x:v>860</x:v>
      </x:c>
    </x:row>
    <x:row r="47" ht="14" customHeight="1">
      <x:c r="A47" s="1" t="n">
        <x:v>1</x:v>
      </x:c>
      <x:c r="B47" s="1" t="str">
        <x:v>4830</x:v>
      </x:c>
      <x:c r="C47" s="1" t="str">
        <x:v>Sonstige betriebliche Erträge</x:v>
      </x:c>
      <x:c r="D47" s="9" t="n">
        <x:f>'JahresSuSa'!C47-'JahresSuSa'!D47</x:f>
        <x:v>0</x:v>
      </x:c>
      <x:c r="E47" s="9" t="n">
        <x:f>SUMIFS('Journal'!$E$6:$E$1632,'Journal'!$D$6:$D$1632,B47,'Journal'!$C$6:$C$1632,A47)</x:f>
        <x:v>0</x:v>
      </x:c>
      <x:c r="F47" s="9" t="n">
        <x:f>SUMIFS('Journal'!$F$6:$F$1632,'Journal'!$D$6:$D$1632,B47,'Journal'!$C$6:$C$1632,A47)</x:f>
        <x:v>0</x:v>
      </x:c>
      <x:c r="G47" s="9" t="n">
        <x:f>ROUND(E47-F47,2)</x:f>
        <x:v>0</x:v>
      </x:c>
      <x:c r="H47" s="9" t="n">
        <x:f>ROUND(D47+G47,2)</x:f>
        <x:v>0</x:v>
      </x:c>
    </x:row>
    <x:row r="48" ht="14" customHeight="1">
      <x:c r="A48" s="1" t="n">
        <x:v>1</x:v>
      </x:c>
      <x:c r="B48" s="1" t="str">
        <x:v>5000</x:v>
      </x:c>
      <x:c r="C48" s="1" t="str">
        <x:v>Wareneinsatz</x:v>
      </x:c>
      <x:c r="D48" s="9" t="n">
        <x:f>'JahresSuSa'!C48-'JahresSuSa'!D48</x:f>
        <x:v>0</x:v>
      </x:c>
      <x:c r="E48" s="9" t="n">
        <x:f>SUMIFS('Journal'!$E$6:$E$1632,'Journal'!$D$6:$D$1632,B48,'Journal'!$C$6:$C$1632,A48)</x:f>
        <x:v>336602.5</x:v>
      </x:c>
      <x:c r="F48" s="9" t="n">
        <x:f>SUMIFS('Journal'!$F$6:$F$1632,'Journal'!$D$6:$D$1632,B48,'Journal'!$C$6:$C$1632,A48)</x:f>
        <x:v>0</x:v>
      </x:c>
      <x:c r="G48" s="9" t="n">
        <x:f>ROUND(E48-F48,2)</x:f>
        <x:v>336602.5</x:v>
      </x:c>
      <x:c r="H48" s="9" t="n">
        <x:f>ROUND(D48+G48,2)</x:f>
        <x:v>336602.5</x:v>
      </x:c>
    </x:row>
    <x:row r="49" ht="14" customHeight="1">
      <x:c r="A49" s="1" t="n">
        <x:v>1</x:v>
      </x:c>
      <x:c r="B49" s="1" t="str">
        <x:v>5005</x:v>
      </x:c>
      <x:c r="C49" s="1" t="str">
        <x:v>Abwertung Warenbestand</x:v>
      </x:c>
      <x:c r="D49" s="9" t="n">
        <x:f>'JahresSuSa'!C49-'JahresSuSa'!D49</x:f>
        <x:v>0</x:v>
      </x:c>
      <x:c r="E49" s="9" t="n">
        <x:f>SUMIFS('Journal'!$E$6:$E$1632,'Journal'!$D$6:$D$1632,B49,'Journal'!$C$6:$C$1632,A49)</x:f>
        <x:v>0</x:v>
      </x:c>
      <x:c r="F49" s="9" t="n">
        <x:f>SUMIFS('Journal'!$F$6:$F$1632,'Journal'!$D$6:$D$1632,B49,'Journal'!$C$6:$C$1632,A49)</x:f>
        <x:v>0</x:v>
      </x:c>
      <x:c r="G49" s="9" t="n">
        <x:f>ROUND(E49-F49,2)</x:f>
        <x:v>0</x:v>
      </x:c>
      <x:c r="H49" s="9" t="n">
        <x:f>ROUND(D49+G49,2)</x:f>
        <x:v>0</x:v>
      </x:c>
    </x:row>
    <x:row r="50" ht="14" customHeight="1">
      <x:c r="A50" s="1" t="n">
        <x:v>1</x:v>
      </x:c>
      <x:c r="B50" s="1" t="str">
        <x:v>6020</x:v>
      </x:c>
      <x:c r="C50" s="1" t="str">
        <x:v>Bruttogehälter</x:v>
      </x:c>
      <x:c r="D50" s="9" t="n">
        <x:f>'JahresSuSa'!C50-'JahresSuSa'!D50</x:f>
        <x:v>0</x:v>
      </x:c>
      <x:c r="E50" s="9" t="n">
        <x:f>SUMIFS('Journal'!$E$6:$E$1632,'Journal'!$D$6:$D$1632,B50,'Journal'!$C$6:$C$1632,A50)</x:f>
        <x:v>86000</x:v>
      </x:c>
      <x:c r="F50" s="9" t="n">
        <x:f>SUMIFS('Journal'!$F$6:$F$1632,'Journal'!$D$6:$D$1632,B50,'Journal'!$C$6:$C$1632,A50)</x:f>
        <x:v>0</x:v>
      </x:c>
      <x:c r="G50" s="9" t="n">
        <x:f>ROUND(E50-F50,2)</x:f>
        <x:v>86000</x:v>
      </x:c>
      <x:c r="H50" s="9" t="n">
        <x:f>ROUND(D50+G50,2)</x:f>
        <x:v>86000</x:v>
      </x:c>
    </x:row>
    <x:row r="51" ht="14" customHeight="1">
      <x:c r="A51" s="1" t="n">
        <x:v>1</x:v>
      </x:c>
      <x:c r="B51" s="1" t="str">
        <x:v>6110</x:v>
      </x:c>
      <x:c r="C51" s="1" t="str">
        <x:v>Arbeitgeberanteile Sozialversicherung</x:v>
      </x:c>
      <x:c r="D51" s="9" t="n">
        <x:f>'JahresSuSa'!C51-'JahresSuSa'!D51</x:f>
        <x:v>0</x:v>
      </x:c>
      <x:c r="E51" s="9" t="n">
        <x:f>SUMIFS('Journal'!$E$6:$E$1632,'Journal'!$D$6:$D$1632,B51,'Journal'!$C$6:$C$1632,A51)</x:f>
        <x:v>18000</x:v>
      </x:c>
      <x:c r="F51" s="9" t="n">
        <x:f>SUMIFS('Journal'!$F$6:$F$1632,'Journal'!$D$6:$D$1632,B51,'Journal'!$C$6:$C$1632,A51)</x:f>
        <x:v>0</x:v>
      </x:c>
      <x:c r="G51" s="9" t="n">
        <x:f>ROUND(E51-F51,2)</x:f>
        <x:v>18000</x:v>
      </x:c>
      <x:c r="H51" s="9" t="n">
        <x:f>ROUND(D51+G51,2)</x:f>
        <x:v>18000</x:v>
      </x:c>
    </x:row>
    <x:row r="52" ht="14" customHeight="1">
      <x:c r="A52" s="1" t="n">
        <x:v>1</x:v>
      </x:c>
      <x:c r="B52" s="1" t="str">
        <x:v>6220</x:v>
      </x:c>
      <x:c r="C52" s="1" t="str">
        <x:v>Abschreibungen Sachanlagen und Software</x:v>
      </x:c>
      <x:c r="D52" s="9" t="n">
        <x:f>'JahresSuSa'!C52-'JahresSuSa'!D52</x:f>
        <x:v>0</x:v>
      </x:c>
      <x:c r="E52" s="9" t="n">
        <x:f>SUMIFS('Journal'!$E$6:$E$1632,'Journal'!$D$6:$D$1632,B52,'Journal'!$C$6:$C$1632,A52)</x:f>
        <x:v>7500</x:v>
      </x:c>
      <x:c r="F52" s="9" t="n">
        <x:f>SUMIFS('Journal'!$F$6:$F$1632,'Journal'!$D$6:$D$1632,B52,'Journal'!$C$6:$C$1632,A52)</x:f>
        <x:v>0</x:v>
      </x:c>
      <x:c r="G52" s="9" t="n">
        <x:f>ROUND(E52-F52,2)</x:f>
        <x:v>7500</x:v>
      </x:c>
      <x:c r="H52" s="9" t="n">
        <x:f>ROUND(D52+G52,2)</x:f>
        <x:v>7500</x:v>
      </x:c>
    </x:row>
    <x:row r="53" ht="14" customHeight="1">
      <x:c r="A53" s="1" t="n">
        <x:v>1</x:v>
      </x:c>
      <x:c r="B53" s="1" t="str">
        <x:v>6310</x:v>
      </x:c>
      <x:c r="C53" s="1" t="str">
        <x:v>Miete Büro Nürnberg</x:v>
      </x:c>
      <x:c r="D53" s="9" t="n">
        <x:f>'JahresSuSa'!C53-'JahresSuSa'!D53</x:f>
        <x:v>0</x:v>
      </x:c>
      <x:c r="E53" s="9" t="n">
        <x:f>SUMIFS('Journal'!$E$6:$E$1632,'Journal'!$D$6:$D$1632,B53,'Journal'!$C$6:$C$1632,A53)</x:f>
        <x:v>4000</x:v>
      </x:c>
      <x:c r="F53" s="9" t="n">
        <x:f>SUMIFS('Journal'!$F$6:$F$1632,'Journal'!$D$6:$D$1632,B53,'Journal'!$C$6:$C$1632,A53)</x:f>
        <x:v>0</x:v>
      </x:c>
      <x:c r="G53" s="9" t="n">
        <x:f>ROUND(E53-F53,2)</x:f>
        <x:v>4000</x:v>
      </x:c>
      <x:c r="H53" s="9" t="n">
        <x:f>ROUND(D53+G53,2)</x:f>
        <x:v>4000</x:v>
      </x:c>
    </x:row>
    <x:row r="54" ht="14" customHeight="1">
      <x:c r="A54" s="1" t="n">
        <x:v>1</x:v>
      </x:c>
      <x:c r="B54" s="1" t="str">
        <x:v>6311</x:v>
      </x:c>
      <x:c r="C54" s="1" t="str">
        <x:v>Miete Lager Erlangen</x:v>
      </x:c>
      <x:c r="D54" s="9" t="n">
        <x:f>'JahresSuSa'!C54-'JahresSuSa'!D54</x:f>
        <x:v>0</x:v>
      </x:c>
      <x:c r="E54" s="9" t="n">
        <x:f>SUMIFS('Journal'!$E$6:$E$1632,'Journal'!$D$6:$D$1632,B54,'Journal'!$C$6:$C$1632,A54)</x:f>
        <x:v>10000</x:v>
      </x:c>
      <x:c r="F54" s="9" t="n">
        <x:f>SUMIFS('Journal'!$F$6:$F$1632,'Journal'!$D$6:$D$1632,B54,'Journal'!$C$6:$C$1632,A54)</x:f>
        <x:v>0</x:v>
      </x:c>
      <x:c r="G54" s="9" t="n">
        <x:f>ROUND(E54-F54,2)</x:f>
        <x:v>10000</x:v>
      </x:c>
      <x:c r="H54" s="9" t="n">
        <x:f>ROUND(D54+G54,2)</x:f>
        <x:v>10000</x:v>
      </x:c>
    </x:row>
    <x:row r="55" ht="14" customHeight="1">
      <x:c r="A55" s="1" t="n">
        <x:v>1</x:v>
      </x:c>
      <x:c r="B55" s="1" t="str">
        <x:v>6325</x:v>
      </x:c>
      <x:c r="C55" s="1" t="str">
        <x:v>Strom und Kühlung</x:v>
      </x:c>
      <x:c r="D55" s="9" t="n">
        <x:f>'JahresSuSa'!C55-'JahresSuSa'!D55</x:f>
        <x:v>0</x:v>
      </x:c>
      <x:c r="E55" s="9" t="n">
        <x:f>SUMIFS('Journal'!$E$6:$E$1632,'Journal'!$D$6:$D$1632,B55,'Journal'!$C$6:$C$1632,A55)</x:f>
        <x:v>4500</x:v>
      </x:c>
      <x:c r="F55" s="9" t="n">
        <x:f>SUMIFS('Journal'!$F$6:$F$1632,'Journal'!$D$6:$D$1632,B55,'Journal'!$C$6:$C$1632,A55)</x:f>
        <x:v>0</x:v>
      </x:c>
      <x:c r="G55" s="9" t="n">
        <x:f>ROUND(E55-F55,2)</x:f>
        <x:v>4500</x:v>
      </x:c>
      <x:c r="H55" s="9" t="n">
        <x:f>ROUND(D55+G55,2)</x:f>
        <x:v>4500</x:v>
      </x:c>
    </x:row>
    <x:row r="56" ht="14" customHeight="1">
      <x:c r="A56" s="1" t="n">
        <x:v>1</x:v>
      </x:c>
      <x:c r="B56" s="1" t="str">
        <x:v>6400</x:v>
      </x:c>
      <x:c r="C56" s="1" t="str">
        <x:v>Versicherungen</x:v>
      </x:c>
      <x:c r="D56" s="9" t="n">
        <x:f>'JahresSuSa'!C56-'JahresSuSa'!D56</x:f>
        <x:v>0</x:v>
      </x:c>
      <x:c r="E56" s="9" t="n">
        <x:f>SUMIFS('Journal'!$E$6:$E$1632,'Journal'!$D$6:$D$1632,B56,'Journal'!$C$6:$C$1632,A56)</x:f>
        <x:v>2500</x:v>
      </x:c>
      <x:c r="F56" s="9" t="n">
        <x:f>SUMIFS('Journal'!$F$6:$F$1632,'Journal'!$D$6:$D$1632,B56,'Journal'!$C$6:$C$1632,A56)</x:f>
        <x:v>0</x:v>
      </x:c>
      <x:c r="G56" s="9" t="n">
        <x:f>ROUND(E56-F56,2)</x:f>
        <x:v>2500</x:v>
      </x:c>
      <x:c r="H56" s="9" t="n">
        <x:f>ROUND(D56+G56,2)</x:f>
        <x:v>2500</x:v>
      </x:c>
    </x:row>
    <x:row r="57" ht="14" customHeight="1">
      <x:c r="A57" s="1" t="n">
        <x:v>1</x:v>
      </x:c>
      <x:c r="B57" s="1" t="str">
        <x:v>6470</x:v>
      </x:c>
      <x:c r="C57" s="1" t="str">
        <x:v>Lagerbetrieb und Reinigung</x:v>
      </x:c>
      <x:c r="D57" s="9" t="n">
        <x:f>'JahresSuSa'!C57-'JahresSuSa'!D57</x:f>
        <x:v>0</x:v>
      </x:c>
      <x:c r="E57" s="9" t="n">
        <x:f>SUMIFS('Journal'!$E$6:$E$1632,'Journal'!$D$6:$D$1632,B57,'Journal'!$C$6:$C$1632,A57)</x:f>
        <x:v>6000</x:v>
      </x:c>
      <x:c r="F57" s="9" t="n">
        <x:f>SUMIFS('Journal'!$F$6:$F$1632,'Journal'!$D$6:$D$1632,B57,'Journal'!$C$6:$C$1632,A57)</x:f>
        <x:v>0</x:v>
      </x:c>
      <x:c r="G57" s="9" t="n">
        <x:f>ROUND(E57-F57,2)</x:f>
        <x:v>6000</x:v>
      </x:c>
      <x:c r="H57" s="9" t="n">
        <x:f>ROUND(D57+G57,2)</x:f>
        <x:v>6000</x:v>
      </x:c>
    </x:row>
    <x:row r="58" ht="14" customHeight="1">
      <x:c r="A58" s="1" t="n">
        <x:v>1</x:v>
      </x:c>
      <x:c r="B58" s="1" t="str">
        <x:v>6490</x:v>
      </x:c>
      <x:c r="C58" s="1" t="str">
        <x:v>Reparaturen und Wartung</x:v>
      </x:c>
      <x:c r="D58" s="9" t="n">
        <x:f>'JahresSuSa'!C58-'JahresSuSa'!D58</x:f>
        <x:v>0</x:v>
      </x:c>
      <x:c r="E58" s="9" t="n">
        <x:f>SUMIFS('Journal'!$E$6:$E$1632,'Journal'!$D$6:$D$1632,B58,'Journal'!$C$6:$C$1632,A58)</x:f>
        <x:v>2500</x:v>
      </x:c>
      <x:c r="F58" s="9" t="n">
        <x:f>SUMIFS('Journal'!$F$6:$F$1632,'Journal'!$D$6:$D$1632,B58,'Journal'!$C$6:$C$1632,A58)</x:f>
        <x:v>0</x:v>
      </x:c>
      <x:c r="G58" s="9" t="n">
        <x:f>ROUND(E58-F58,2)</x:f>
        <x:v>2500</x:v>
      </x:c>
      <x:c r="H58" s="9" t="n">
        <x:f>ROUND(D58+G58,2)</x:f>
        <x:v>2500</x:v>
      </x:c>
    </x:row>
    <x:row r="59" ht="14" customHeight="1">
      <x:c r="A59" s="1" t="n">
        <x:v>1</x:v>
      </x:c>
      <x:c r="B59" s="1" t="str">
        <x:v>6600</x:v>
      </x:c>
      <x:c r="C59" s="1" t="str">
        <x:v>Marketing und Messen</x:v>
      </x:c>
      <x:c r="D59" s="9" t="n">
        <x:f>'JahresSuSa'!C59-'JahresSuSa'!D59</x:f>
        <x:v>0</x:v>
      </x:c>
      <x:c r="E59" s="9" t="n">
        <x:f>SUMIFS('Journal'!$E$6:$E$1632,'Journal'!$D$6:$D$1632,B59,'Journal'!$C$6:$C$1632,A59)</x:f>
        <x:v>6000</x:v>
      </x:c>
      <x:c r="F59" s="9" t="n">
        <x:f>SUMIFS('Journal'!$F$6:$F$1632,'Journal'!$D$6:$D$1632,B59,'Journal'!$C$6:$C$1632,A59)</x:f>
        <x:v>0</x:v>
      </x:c>
      <x:c r="G59" s="9" t="n">
        <x:f>ROUND(E59-F59,2)</x:f>
        <x:v>6000</x:v>
      </x:c>
      <x:c r="H59" s="9" t="n">
        <x:f>ROUND(D59+G59,2)</x:f>
        <x:v>6000</x:v>
      </x:c>
    </x:row>
    <x:row r="60" ht="14" customHeight="1">
      <x:c r="A60" s="1" t="n">
        <x:v>1</x:v>
      </x:c>
      <x:c r="B60" s="1" t="str">
        <x:v>6650</x:v>
      </x:c>
      <x:c r="C60" s="1" t="str">
        <x:v>Reisekosten</x:v>
      </x:c>
      <x:c r="D60" s="9" t="n">
        <x:f>'JahresSuSa'!C60-'JahresSuSa'!D60</x:f>
        <x:v>0</x:v>
      </x:c>
      <x:c r="E60" s="9" t="n">
        <x:f>SUMIFS('Journal'!$E$6:$E$1632,'Journal'!$D$6:$D$1632,B60,'Journal'!$C$6:$C$1632,A60)</x:f>
        <x:v>1500</x:v>
      </x:c>
      <x:c r="F60" s="9" t="n">
        <x:f>SUMIFS('Journal'!$F$6:$F$1632,'Journal'!$D$6:$D$1632,B60,'Journal'!$C$6:$C$1632,A60)</x:f>
        <x:v>0</x:v>
      </x:c>
      <x:c r="G60" s="9" t="n">
        <x:f>ROUND(E60-F60,2)</x:f>
        <x:v>1500</x:v>
      </x:c>
      <x:c r="H60" s="9" t="n">
        <x:f>ROUND(D60+G60,2)</x:f>
        <x:v>1500</x:v>
      </x:c>
    </x:row>
    <x:row r="61" ht="14" customHeight="1">
      <x:c r="A61" s="1" t="n">
        <x:v>1</x:v>
      </x:c>
      <x:c r="B61" s="1" t="str">
        <x:v>6740</x:v>
      </x:c>
      <x:c r="C61" s="1" t="str">
        <x:v>Ausgangsfrachten Inland</x:v>
      </x:c>
      <x:c r="D61" s="9" t="n">
        <x:f>'JahresSuSa'!C61-'JahresSuSa'!D61</x:f>
        <x:v>0</x:v>
      </x:c>
      <x:c r="E61" s="9" t="n">
        <x:f>SUMIFS('Journal'!$E$6:$E$1632,'Journal'!$D$6:$D$1632,B61,'Journal'!$C$6:$C$1632,A61)</x:f>
        <x:v>13000</x:v>
      </x:c>
      <x:c r="F61" s="9" t="n">
        <x:f>SUMIFS('Journal'!$F$6:$F$1632,'Journal'!$D$6:$D$1632,B61,'Journal'!$C$6:$C$1632,A61)</x:f>
        <x:v>0</x:v>
      </x:c>
      <x:c r="G61" s="9" t="n">
        <x:f>ROUND(E61-F61,2)</x:f>
        <x:v>13000</x:v>
      </x:c>
      <x:c r="H61" s="9" t="n">
        <x:f>ROUND(D61+G61,2)</x:f>
        <x:v>13000</x:v>
      </x:c>
    </x:row>
    <x:row r="62" ht="14" customHeight="1">
      <x:c r="A62" s="1" t="n">
        <x:v>1</x:v>
      </x:c>
      <x:c r="B62" s="1" t="str">
        <x:v>6741</x:v>
      </x:c>
      <x:c r="C62" s="1" t="str">
        <x:v>Ausgangsfrachten Ausland</x:v>
      </x:c>
      <x:c r="D62" s="9" t="n">
        <x:f>'JahresSuSa'!C62-'JahresSuSa'!D62</x:f>
        <x:v>0</x:v>
      </x:c>
      <x:c r="E62" s="9" t="n">
        <x:f>SUMIFS('Journal'!$E$6:$E$1632,'Journal'!$D$6:$D$1632,B62,'Journal'!$C$6:$C$1632,A62)</x:f>
        <x:v>14000</x:v>
      </x:c>
      <x:c r="F62" s="9" t="n">
        <x:f>SUMIFS('Journal'!$F$6:$F$1632,'Journal'!$D$6:$D$1632,B62,'Journal'!$C$6:$C$1632,A62)</x:f>
        <x:v>0</x:v>
      </x:c>
      <x:c r="G62" s="9" t="n">
        <x:f>ROUND(E62-F62,2)</x:f>
        <x:v>14000</x:v>
      </x:c>
      <x:c r="H62" s="9" t="n">
        <x:f>ROUND(D62+G62,2)</x:f>
        <x:v>14000</x:v>
      </x:c>
    </x:row>
    <x:row r="63" ht="14" customHeight="1">
      <x:c r="A63" s="1" t="n">
        <x:v>1</x:v>
      </x:c>
      <x:c r="B63" s="1" t="str">
        <x:v>6805</x:v>
      </x:c>
      <x:c r="C63" s="1" t="str">
        <x:v>Telekommunikation und IT</x:v>
      </x:c>
      <x:c r="D63" s="9" t="n">
        <x:f>'JahresSuSa'!C63-'JahresSuSa'!D63</x:f>
        <x:v>0</x:v>
      </x:c>
      <x:c r="E63" s="9" t="n">
        <x:f>SUMIFS('Journal'!$E$6:$E$1632,'Journal'!$D$6:$D$1632,B63,'Journal'!$C$6:$C$1632,A63)</x:f>
        <x:v>4500</x:v>
      </x:c>
      <x:c r="F63" s="9" t="n">
        <x:f>SUMIFS('Journal'!$F$6:$F$1632,'Journal'!$D$6:$D$1632,B63,'Journal'!$C$6:$C$1632,A63)</x:f>
        <x:v>0</x:v>
      </x:c>
      <x:c r="G63" s="9" t="n">
        <x:f>ROUND(E63-F63,2)</x:f>
        <x:v>4500</x:v>
      </x:c>
      <x:c r="H63" s="9" t="n">
        <x:f>ROUND(D63+G63,2)</x:f>
        <x:v>4500</x:v>
      </x:c>
    </x:row>
    <x:row r="64" ht="14" customHeight="1">
      <x:c r="A64" s="1" t="n">
        <x:v>1</x:v>
      </x:c>
      <x:c r="B64" s="1" t="str">
        <x:v>6825</x:v>
      </x:c>
      <x:c r="C64" s="1" t="str">
        <x:v>Rechtsberatung und Buchführung</x:v>
      </x:c>
      <x:c r="D64" s="9" t="n">
        <x:f>'JahresSuSa'!C64-'JahresSuSa'!D64</x:f>
        <x:v>0</x:v>
      </x:c>
      <x:c r="E64" s="9" t="n">
        <x:f>SUMIFS('Journal'!$E$6:$E$1632,'Journal'!$D$6:$D$1632,B64,'Journal'!$C$6:$C$1632,A64)</x:f>
        <x:v>3000</x:v>
      </x:c>
      <x:c r="F64" s="9" t="n">
        <x:f>SUMIFS('Journal'!$F$6:$F$1632,'Journal'!$D$6:$D$1632,B64,'Journal'!$C$6:$C$1632,A64)</x:f>
        <x:v>0</x:v>
      </x:c>
      <x:c r="G64" s="9" t="n">
        <x:f>ROUND(E64-F64,2)</x:f>
        <x:v>3000</x:v>
      </x:c>
      <x:c r="H64" s="9" t="n">
        <x:f>ROUND(D64+G64,2)</x:f>
        <x:v>3000</x:v>
      </x:c>
    </x:row>
    <x:row r="65" ht="14" customHeight="1">
      <x:c r="A65" s="1" t="n">
        <x:v>1</x:v>
      </x:c>
      <x:c r="B65" s="1" t="str">
        <x:v>6830</x:v>
      </x:c>
      <x:c r="C65" s="1" t="str">
        <x:v>Labor und Qualitätssicherung</x:v>
      </x:c>
      <x:c r="D65" s="9" t="n">
        <x:f>'JahresSuSa'!C65-'JahresSuSa'!D65</x:f>
        <x:v>0</x:v>
      </x:c>
      <x:c r="E65" s="9" t="n">
        <x:f>SUMIFS('Journal'!$E$6:$E$1632,'Journal'!$D$6:$D$1632,B65,'Journal'!$C$6:$C$1632,A65)</x:f>
        <x:v>3500</x:v>
      </x:c>
      <x:c r="F65" s="9" t="n">
        <x:f>SUMIFS('Journal'!$F$6:$F$1632,'Journal'!$D$6:$D$1632,B65,'Journal'!$C$6:$C$1632,A65)</x:f>
        <x:v>0</x:v>
      </x:c>
      <x:c r="G65" s="9" t="n">
        <x:f>ROUND(E65-F65,2)</x:f>
        <x:v>3500</x:v>
      </x:c>
      <x:c r="H65" s="9" t="n">
        <x:f>ROUND(D65+G65,2)</x:f>
        <x:v>3500</x:v>
      </x:c>
    </x:row>
    <x:row r="66" ht="14" customHeight="1">
      <x:c r="A66" s="1" t="n">
        <x:v>1</x:v>
      </x:c>
      <x:c r="B66" s="1" t="str">
        <x:v>6850</x:v>
      </x:c>
      <x:c r="C66" s="1" t="str">
        <x:v>Bürobedarf und übriger Aufwand</x:v>
      </x:c>
      <x:c r="D66" s="9" t="n">
        <x:f>'JahresSuSa'!C66-'JahresSuSa'!D66</x:f>
        <x:v>0</x:v>
      </x:c>
      <x:c r="E66" s="9" t="n">
        <x:f>SUMIFS('Journal'!$E$6:$E$1632,'Journal'!$D$6:$D$1632,B66,'Journal'!$C$6:$C$1632,A66)</x:f>
        <x:v>2000</x:v>
      </x:c>
      <x:c r="F66" s="9" t="n">
        <x:f>SUMIFS('Journal'!$F$6:$F$1632,'Journal'!$D$6:$D$1632,B66,'Journal'!$C$6:$C$1632,A66)</x:f>
        <x:v>0</x:v>
      </x:c>
      <x:c r="G66" s="9" t="n">
        <x:f>ROUND(E66-F66,2)</x:f>
        <x:v>2000</x:v>
      </x:c>
      <x:c r="H66" s="9" t="n">
        <x:f>ROUND(D66+G66,2)</x:f>
        <x:v>2000</x:v>
      </x:c>
    </x:row>
    <x:row r="67" ht="14" customHeight="1">
      <x:c r="A67" s="1" t="n">
        <x:v>1</x:v>
      </x:c>
      <x:c r="B67" s="1" t="str">
        <x:v>6855</x:v>
      </x:c>
      <x:c r="C67" s="1" t="str">
        <x:v>Zuführung Abschluss und Urlaubsrückstellungen</x:v>
      </x:c>
      <x:c r="D67" s="9" t="n">
        <x:f>'JahresSuSa'!C67-'JahresSuSa'!D67</x:f>
        <x:v>0</x:v>
      </x:c>
      <x:c r="E67" s="9" t="n">
        <x:f>SUMIFS('Journal'!$E$6:$E$1632,'Journal'!$D$6:$D$1632,B67,'Journal'!$C$6:$C$1632,A67)</x:f>
        <x:v>0</x:v>
      </x:c>
      <x:c r="F67" s="9" t="n">
        <x:f>SUMIFS('Journal'!$F$6:$F$1632,'Journal'!$D$6:$D$1632,B67,'Journal'!$C$6:$C$1632,A67)</x:f>
        <x:v>0</x:v>
      </x:c>
      <x:c r="G67" s="9" t="n">
        <x:f>ROUND(E67-F67,2)</x:f>
        <x:v>0</x:v>
      </x:c>
      <x:c r="H67" s="9" t="n">
        <x:f>ROUND(D67+G67,2)</x:f>
        <x:v>0</x:v>
      </x:c>
    </x:row>
    <x:row r="68" ht="14" customHeight="1">
      <x:c r="A68" s="1" t="n">
        <x:v>1</x:v>
      </x:c>
      <x:c r="B68" s="1" t="str">
        <x:v>6859</x:v>
      </x:c>
      <x:c r="C68" s="1" t="str">
        <x:v>Bankgebühren</x:v>
      </x:c>
      <x:c r="D68" s="9" t="n">
        <x:f>'JahresSuSa'!C68-'JahresSuSa'!D68</x:f>
        <x:v>0</x:v>
      </x:c>
      <x:c r="E68" s="9" t="n">
        <x:f>SUMIFS('Journal'!$E$6:$E$1632,'Journal'!$D$6:$D$1632,B68,'Journal'!$C$6:$C$1632,A68)</x:f>
        <x:v>500</x:v>
      </x:c>
      <x:c r="F68" s="9" t="n">
        <x:f>SUMIFS('Journal'!$F$6:$F$1632,'Journal'!$D$6:$D$1632,B68,'Journal'!$C$6:$C$1632,A68)</x:f>
        <x:v>0</x:v>
      </x:c>
      <x:c r="G68" s="9" t="n">
        <x:f>ROUND(E68-F68,2)</x:f>
        <x:v>500</x:v>
      </x:c>
      <x:c r="H68" s="9" t="n">
        <x:f>ROUND(D68+G68,2)</x:f>
        <x:v>500</x:v>
      </x:c>
    </x:row>
    <x:row r="69" ht="14" customHeight="1">
      <x:c r="A69" s="1" t="n">
        <x:v>1</x:v>
      </x:c>
      <x:c r="B69" s="1" t="str">
        <x:v>6950</x:v>
      </x:c>
      <x:c r="C69" s="1" t="str">
        <x:v>Zuführung Einzelwertberichtigungen</x:v>
      </x:c>
      <x:c r="D69" s="9" t="n">
        <x:f>'JahresSuSa'!C69-'JahresSuSa'!D69</x:f>
        <x:v>0</x:v>
      </x:c>
      <x:c r="E69" s="9" t="n">
        <x:f>SUMIFS('Journal'!$E$6:$E$1632,'Journal'!$D$6:$D$1632,B69,'Journal'!$C$6:$C$1632,A69)</x:f>
        <x:v>0</x:v>
      </x:c>
      <x:c r="F69" s="9" t="n">
        <x:f>SUMIFS('Journal'!$F$6:$F$1632,'Journal'!$D$6:$D$1632,B69,'Journal'!$C$6:$C$1632,A69)</x:f>
        <x:v>0</x:v>
      </x:c>
      <x:c r="G69" s="9" t="n">
        <x:f>ROUND(E69-F69,2)</x:f>
        <x:v>0</x:v>
      </x:c>
      <x:c r="H69" s="9" t="n">
        <x:f>ROUND(D69+G69,2)</x:f>
        <x:v>0</x:v>
      </x:c>
    </x:row>
    <x:row r="70" ht="14" customHeight="1">
      <x:c r="A70" s="1" t="n">
        <x:v>1</x:v>
      </x:c>
      <x:c r="B70" s="1" t="str">
        <x:v>7300</x:v>
      </x:c>
      <x:c r="C70" s="1" t="str">
        <x:v>Zinsen Investitionsdarlehen</x:v>
      </x:c>
      <x:c r="D70" s="9" t="n">
        <x:f>'JahresSuSa'!C70-'JahresSuSa'!D70</x:f>
        <x:v>0</x:v>
      </x:c>
      <x:c r="E70" s="9" t="n">
        <x:f>SUMIFS('Journal'!$E$6:$E$1632,'Journal'!$D$6:$D$1632,B70,'Journal'!$C$6:$C$1632,A70)</x:f>
        <x:v>2500</x:v>
      </x:c>
      <x:c r="F70" s="9" t="n">
        <x:f>SUMIFS('Journal'!$F$6:$F$1632,'Journal'!$D$6:$D$1632,B70,'Journal'!$C$6:$C$1632,A70)</x:f>
        <x:v>0</x:v>
      </x:c>
      <x:c r="G70" s="9" t="n">
        <x:f>ROUND(E70-F70,2)</x:f>
        <x:v>2500</x:v>
      </x:c>
      <x:c r="H70" s="9" t="n">
        <x:f>ROUND(D70+G70,2)</x:f>
        <x:v>2500</x:v>
      </x:c>
    </x:row>
    <x:row r="71" ht="14" customHeight="1">
      <x:c r="A71" s="1" t="n">
        <x:v>1</x:v>
      </x:c>
      <x:c r="B71" s="1" t="str">
        <x:v>7310</x:v>
      </x:c>
      <x:c r="C71" s="1" t="str">
        <x:v>Zinsen Kontokorrent</x:v>
      </x:c>
      <x:c r="D71" s="9" t="n">
        <x:f>'JahresSuSa'!C71-'JahresSuSa'!D71</x:f>
        <x:v>0</x:v>
      </x:c>
      <x:c r="E71" s="9" t="n">
        <x:f>SUMIFS('Journal'!$E$6:$E$1632,'Journal'!$D$6:$D$1632,B71,'Journal'!$C$6:$C$1632,A71)</x:f>
        <x:v>1000</x:v>
      </x:c>
      <x:c r="F71" s="9" t="n">
        <x:f>SUMIFS('Journal'!$F$6:$F$1632,'Journal'!$D$6:$D$1632,B71,'Journal'!$C$6:$C$1632,A71)</x:f>
        <x:v>0</x:v>
      </x:c>
      <x:c r="G71" s="9" t="n">
        <x:f>ROUND(E71-F71,2)</x:f>
        <x:v>1000</x:v>
      </x:c>
      <x:c r="H71" s="9" t="n">
        <x:f>ROUND(D71+G71,2)</x:f>
        <x:v>1000</x:v>
      </x:c>
    </x:row>
    <x:row r="72" ht="14" customHeight="1">
      <x:c r="A72" s="1" t="n">
        <x:v>1</x:v>
      </x:c>
      <x:c r="B72" s="1" t="str">
        <x:v>7320</x:v>
      </x:c>
      <x:c r="C72" s="1" t="str">
        <x:v>Zinsen Gesellschafterdarlehen</x:v>
      </x:c>
      <x:c r="D72" s="9" t="n">
        <x:f>'JahresSuSa'!C72-'JahresSuSa'!D72</x:f>
        <x:v>0</x:v>
      </x:c>
      <x:c r="E72" s="9" t="n">
        <x:f>SUMIFS('Journal'!$E$6:$E$1632,'Journal'!$D$6:$D$1632,B72,'Journal'!$C$6:$C$1632,A72)</x:f>
        <x:v>0</x:v>
      </x:c>
      <x:c r="F72" s="9" t="n">
        <x:f>SUMIFS('Journal'!$F$6:$F$1632,'Journal'!$D$6:$D$1632,B72,'Journal'!$C$6:$C$1632,A72)</x:f>
        <x:v>0</x:v>
      </x:c>
      <x:c r="G72" s="9" t="n">
        <x:f>ROUND(E72-F72,2)</x:f>
        <x:v>0</x:v>
      </x:c>
      <x:c r="H72" s="9" t="n">
        <x:f>ROUND(D72+G72,2)</x:f>
        <x:v>0</x:v>
      </x:c>
    </x:row>
    <x:row r="73" ht="14" customHeight="1">
      <x:c r="A73" s="1" t="n">
        <x:v>1</x:v>
      </x:c>
      <x:c r="B73" s="1" t="str">
        <x:v>7600</x:v>
      </x:c>
      <x:c r="C73" s="1" t="str">
        <x:v>Ertragsteueraufwand</x:v>
      </x:c>
      <x:c r="D73" s="9" t="n">
        <x:f>'JahresSuSa'!C73-'JahresSuSa'!D73</x:f>
        <x:v>0</x:v>
      </x:c>
      <x:c r="E73" s="9" t="n">
        <x:f>SUMIFS('Journal'!$E$6:$E$1632,'Journal'!$D$6:$D$1632,B73,'Journal'!$C$6:$C$1632,A73)</x:f>
        <x:v>0</x:v>
      </x:c>
      <x:c r="F73" s="9" t="n">
        <x:f>SUMIFS('Journal'!$F$6:$F$1632,'Journal'!$D$6:$D$1632,B73,'Journal'!$C$6:$C$1632,A73)</x:f>
        <x:v>0</x:v>
      </x:c>
      <x:c r="G73" s="9" t="n">
        <x:f>ROUND(E73-F73,2)</x:f>
        <x:v>0</x:v>
      </x:c>
      <x:c r="H73" s="9" t="n">
        <x:f>ROUND(D73+G73,2)</x:f>
        <x:v>0</x:v>
      </x:c>
    </x:row>
    <x:row r="74" ht="14" customHeight="1">
      <x:c r="A74" s="1" t="n">
        <x:v>2</x:v>
      </x:c>
      <x:c r="B74" s="1" t="str">
        <x:v>0100</x:v>
      </x:c>
      <x:c r="C74" s="1" t="str">
        <x:v>Software</x:v>
      </x:c>
      <x:c r="D74" s="9" t="n">
        <x:f>H6</x:f>
        <x:v>19500</x:v>
      </x:c>
      <x:c r="E74" s="9" t="n">
        <x:f>SUMIFS('Journal'!$E$6:$E$1632,'Journal'!$D$6:$D$1632,B74,'Journal'!$C$6:$C$1632,A74)</x:f>
        <x:v>0</x:v>
      </x:c>
      <x:c r="F74" s="9" t="n">
        <x:f>SUMIFS('Journal'!$F$6:$F$1632,'Journal'!$D$6:$D$1632,B74,'Journal'!$C$6:$C$1632,A74)</x:f>
        <x:v>500</x:v>
      </x:c>
      <x:c r="G74" s="9" t="n">
        <x:f>ROUND(E74-F74,2)</x:f>
        <x:v>-500</x:v>
      </x:c>
      <x:c r="H74" s="9" t="n">
        <x:f>ROUND(D74+G74,2)</x:f>
        <x:v>19000</x:v>
      </x:c>
    </x:row>
    <x:row r="75" ht="14" customHeight="1">
      <x:c r="A75" s="1" t="n">
        <x:v>2</x:v>
      </x:c>
      <x:c r="B75" s="1" t="str">
        <x:v>0400</x:v>
      </x:c>
      <x:c r="C75" s="1" t="str">
        <x:v>Lagereinbauten Erlangen</x:v>
      </x:c>
      <x:c r="D75" s="9" t="n">
        <x:f>H7</x:f>
        <x:v>237500</x:v>
      </x:c>
      <x:c r="E75" s="9" t="n">
        <x:f>SUMIFS('Journal'!$E$6:$E$1632,'Journal'!$D$6:$D$1632,B75,'Journal'!$C$6:$C$1632,A75)</x:f>
        <x:v>0</x:v>
      </x:c>
      <x:c r="F75" s="9" t="n">
        <x:f>SUMIFS('Journal'!$F$6:$F$1632,'Journal'!$D$6:$D$1632,B75,'Journal'!$C$6:$C$1632,A75)</x:f>
        <x:v>2500</x:v>
      </x:c>
      <x:c r="G75" s="9" t="n">
        <x:f>ROUND(E75-F75,2)</x:f>
        <x:v>-2500</x:v>
      </x:c>
      <x:c r="H75" s="9" t="n">
        <x:f>ROUND(D75+G75,2)</x:f>
        <x:v>235000</x:v>
      </x:c>
    </x:row>
    <x:row r="76" ht="14" customHeight="1">
      <x:c r="A76" s="1" t="n">
        <x:v>2</x:v>
      </x:c>
      <x:c r="B76" s="1" t="str">
        <x:v>0520</x:v>
      </x:c>
      <x:c r="C76" s="1" t="str">
        <x:v>Flurförderzeuge</x:v>
      </x:c>
      <x:c r="D76" s="9" t="n">
        <x:f>H8</x:f>
        <x:v>134500</x:v>
      </x:c>
      <x:c r="E76" s="9" t="n">
        <x:f>SUMIFS('Journal'!$E$6:$E$1632,'Journal'!$D$6:$D$1632,B76,'Journal'!$C$6:$C$1632,A76)</x:f>
        <x:v>0</x:v>
      </x:c>
      <x:c r="F76" s="9" t="n">
        <x:f>SUMIFS('Journal'!$F$6:$F$1632,'Journal'!$D$6:$D$1632,B76,'Journal'!$C$6:$C$1632,A76)</x:f>
        <x:v>1500</x:v>
      </x:c>
      <x:c r="G76" s="9" t="n">
        <x:f>ROUND(E76-F76,2)</x:f>
        <x:v>-1500</x:v>
      </x:c>
      <x:c r="H76" s="9" t="n">
        <x:f>ROUND(D76+G76,2)</x:f>
        <x:v>133000</x:v>
      </x:c>
    </x:row>
    <x:row r="77" ht="14" customHeight="1">
      <x:c r="A77" s="1" t="n">
        <x:v>2</x:v>
      </x:c>
      <x:c r="B77" s="1" t="str">
        <x:v>0650</x:v>
      </x:c>
      <x:c r="C77" s="1" t="str">
        <x:v>IT und Kommunikation</x:v>
      </x:c>
      <x:c r="D77" s="9" t="n">
        <x:f>H9</x:f>
        <x:v>78000</x:v>
      </x:c>
      <x:c r="E77" s="9" t="n">
        <x:f>SUMIFS('Journal'!$E$6:$E$1632,'Journal'!$D$6:$D$1632,B77,'Journal'!$C$6:$C$1632,A77)</x:f>
        <x:v>0</x:v>
      </x:c>
      <x:c r="F77" s="9" t="n">
        <x:f>SUMIFS('Journal'!$F$6:$F$1632,'Journal'!$D$6:$D$1632,B77,'Journal'!$C$6:$C$1632,A77)</x:f>
        <x:v>2000</x:v>
      </x:c>
      <x:c r="G77" s="9" t="n">
        <x:f>ROUND(E77-F77,2)</x:f>
        <x:v>-2000</x:v>
      </x:c>
      <x:c r="H77" s="9" t="n">
        <x:f>ROUND(D77+G77,2)</x:f>
        <x:v>76000</x:v>
      </x:c>
    </x:row>
    <x:row r="78" ht="14" customHeight="1">
      <x:c r="A78" s="1" t="n">
        <x:v>2</x:v>
      </x:c>
      <x:c r="B78" s="1" t="str">
        <x:v>0670</x:v>
      </x:c>
      <x:c r="C78" s="1" t="str">
        <x:v>Büroausstattung</x:v>
      </x:c>
      <x:c r="D78" s="9" t="n">
        <x:f>H10</x:f>
        <x:v>59000</x:v>
      </x:c>
      <x:c r="E78" s="9" t="n">
        <x:f>SUMIFS('Journal'!$E$6:$E$1632,'Journal'!$D$6:$D$1632,B78,'Journal'!$C$6:$C$1632,A78)</x:f>
        <x:v>0</x:v>
      </x:c>
      <x:c r="F78" s="9" t="n">
        <x:f>SUMIFS('Journal'!$F$6:$F$1632,'Journal'!$D$6:$D$1632,B78,'Journal'!$C$6:$C$1632,A78)</x:f>
        <x:v>1000</x:v>
      </x:c>
      <x:c r="G78" s="9" t="n">
        <x:f>ROUND(E78-F78,2)</x:f>
        <x:v>-1000</x:v>
      </x:c>
      <x:c r="H78" s="9" t="n">
        <x:f>ROUND(D78+G78,2)</x:f>
        <x:v>58000</x:v>
      </x:c>
    </x:row>
    <x:row r="79" ht="14" customHeight="1">
      <x:c r="A79" s="1" t="n">
        <x:v>2</x:v>
      </x:c>
      <x:c r="B79" s="1" t="str">
        <x:v>1140</x:v>
      </x:c>
      <x:c r="C79" s="1" t="str">
        <x:v>Warenbestand</x:v>
      </x:c>
      <x:c r="D79" s="9" t="n">
        <x:f>H11</x:f>
        <x:v>660000</x:v>
      </x:c>
      <x:c r="E79" s="9" t="n">
        <x:f>SUMIFS('Journal'!$E$6:$E$1632,'Journal'!$D$6:$D$1632,B79,'Journal'!$C$6:$C$1632,A79)</x:f>
        <x:v>376005</x:v>
      </x:c>
      <x:c r="F79" s="9" t="n">
        <x:f>SUMIFS('Journal'!$F$6:$F$1632,'Journal'!$D$6:$D$1632,B79,'Journal'!$C$6:$C$1632,A79)</x:f>
        <x:v>356005</x:v>
      </x:c>
      <x:c r="G79" s="9" t="n">
        <x:f>ROUND(E79-F79,2)</x:f>
        <x:v>20000</x:v>
      </x:c>
      <x:c r="H79" s="9" t="n">
        <x:f>ROUND(D79+G79,2)</x:f>
        <x:v>680000</x:v>
      </x:c>
    </x:row>
    <x:row r="80" ht="14" customHeight="1">
      <x:c r="A80" s="1" t="n">
        <x:v>2</x:v>
      </x:c>
      <x:c r="B80" s="1" t="str">
        <x:v>1200</x:v>
      </x:c>
      <x:c r="C80" s="1" t="str">
        <x:v>Forderungen aus Lieferungen und Leistungen</x:v>
      </x:c>
      <x:c r="D80" s="9" t="n">
        <x:f>H12</x:f>
        <x:v>750000</x:v>
      </x:c>
      <x:c r="E80" s="9" t="n">
        <x:f>SUMIFS('Journal'!$E$6:$E$1632,'Journal'!$D$6:$D$1632,B80,'Journal'!$C$6:$C$1632,A80)</x:f>
        <x:v>581020</x:v>
      </x:c>
      <x:c r="F80" s="9" t="n">
        <x:f>SUMIFS('Journal'!$F$6:$F$1632,'Journal'!$D$6:$D$1632,B80,'Journal'!$C$6:$C$1632,A80)</x:f>
        <x:v>561020</x:v>
      </x:c>
      <x:c r="G80" s="9" t="n">
        <x:f>ROUND(E80-F80,2)</x:f>
        <x:v>20000</x:v>
      </x:c>
      <x:c r="H80" s="9" t="n">
        <x:f>ROUND(D80+G80,2)</x:f>
        <x:v>770000</x:v>
      </x:c>
    </x:row>
    <x:row r="81" ht="14" customHeight="1">
      <x:c r="A81" s="1" t="n">
        <x:v>2</x:v>
      </x:c>
      <x:c r="B81" s="1" t="str">
        <x:v>1248</x:v>
      </x:c>
      <x:c r="C81" s="1" t="str">
        <x:v>Einzelwertberichtigungen zu Forderungen</x:v>
      </x:c>
      <x:c r="D81" s="9" t="n">
        <x:f>H13</x:f>
        <x:v>-20000</x:v>
      </x:c>
      <x:c r="E81" s="9" t="n">
        <x:f>SUMIFS('Journal'!$E$6:$E$1632,'Journal'!$D$6:$D$1632,B81,'Journal'!$C$6:$C$1632,A81)</x:f>
        <x:v>0</x:v>
      </x:c>
      <x:c r="F81" s="9" t="n">
        <x:f>SUMIFS('Journal'!$F$6:$F$1632,'Journal'!$D$6:$D$1632,B81,'Journal'!$C$6:$C$1632,A81)</x:f>
        <x:v>0</x:v>
      </x:c>
      <x:c r="G81" s="9" t="n">
        <x:f>ROUND(E81-F81,2)</x:f>
        <x:v>0</x:v>
      </x:c>
      <x:c r="H81" s="9" t="n">
        <x:f>ROUND(D81+G81,2)</x:f>
        <x:v>-20000</x:v>
      </x:c>
    </x:row>
    <x:row r="82" ht="14" customHeight="1">
      <x:c r="A82" s="1" t="n">
        <x:v>2</x:v>
      </x:c>
      <x:c r="B82" s="1" t="str">
        <x:v>1300</x:v>
      </x:c>
      <x:c r="C82" s="1" t="str">
        <x:v>Geleistete Lieferantenanzahlungen</x:v>
      </x:c>
      <x:c r="D82" s="9" t="n">
        <x:f>H14</x:f>
        <x:v>80000</x:v>
      </x:c>
      <x:c r="E82" s="9" t="n">
        <x:f>SUMIFS('Journal'!$E$6:$E$1632,'Journal'!$D$6:$D$1632,B82,'Journal'!$C$6:$C$1632,A82)</x:f>
        <x:v>0</x:v>
      </x:c>
      <x:c r="F82" s="9" t="n">
        <x:f>SUMIFS('Journal'!$F$6:$F$1632,'Journal'!$D$6:$D$1632,B82,'Journal'!$C$6:$C$1632,A82)</x:f>
        <x:v>40000</x:v>
      </x:c>
      <x:c r="G82" s="9" t="n">
        <x:f>ROUND(E82-F82,2)</x:f>
        <x:v>-40000</x:v>
      </x:c>
      <x:c r="H82" s="9" t="n">
        <x:f>ROUND(D82+G82,2)</x:f>
        <x:v>40000</x:v>
      </x:c>
    </x:row>
    <x:row r="83" ht="14" customHeight="1">
      <x:c r="A83" s="1" t="n">
        <x:v>2</x:v>
      </x:c>
      <x:c r="B83" s="1" t="str">
        <x:v>1350</x:v>
      </x:c>
      <x:c r="C83" s="1" t="str">
        <x:v>Mietkaution Erlangen</x:v>
      </x:c>
      <x:c r="D83" s="9" t="n">
        <x:f>H15</x:f>
        <x:v>25000</x:v>
      </x:c>
      <x:c r="E83" s="9" t="n">
        <x:f>SUMIFS('Journal'!$E$6:$E$1632,'Journal'!$D$6:$D$1632,B83,'Journal'!$C$6:$C$1632,A83)</x:f>
        <x:v>0</x:v>
      </x:c>
      <x:c r="F83" s="9" t="n">
        <x:f>SUMIFS('Journal'!$F$6:$F$1632,'Journal'!$D$6:$D$1632,B83,'Journal'!$C$6:$C$1632,A83)</x:f>
        <x:v>0</x:v>
      </x:c>
      <x:c r="G83" s="9" t="n">
        <x:f>ROUND(E83-F83,2)</x:f>
        <x:v>0</x:v>
      </x:c>
      <x:c r="H83" s="9" t="n">
        <x:f>ROUND(D83+G83,2)</x:f>
        <x:v>25000</x:v>
      </x:c>
    </x:row>
    <x:row r="84" ht="14" customHeight="1">
      <x:c r="A84" s="1" t="n">
        <x:v>2</x:v>
      </x:c>
      <x:c r="B84" s="1" t="str">
        <x:v>1401</x:v>
      </x:c>
      <x:c r="C84" s="1" t="str">
        <x:v>Vorsteuer Inland 7 Prozent</x:v>
      </x:c>
      <x:c r="D84" s="9" t="n">
        <x:f>H16</x:f>
        <x:v>0</x:v>
      </x:c>
      <x:c r="E84" s="9" t="n">
        <x:f>SUMIFS('Journal'!$E$6:$E$1632,'Journal'!$D$6:$D$1632,B84,'Journal'!$C$6:$C$1632,A84)</x:f>
        <x:v>10001.73</x:v>
      </x:c>
      <x:c r="F84" s="9" t="n">
        <x:f>SUMIFS('Journal'!$F$6:$F$1632,'Journal'!$D$6:$D$1632,B84,'Journal'!$C$6:$C$1632,A84)</x:f>
        <x:v>10001.73</x:v>
      </x:c>
      <x:c r="G84" s="9" t="n">
        <x:f>ROUND(E84-F84,2)</x:f>
        <x:v>0</x:v>
      </x:c>
      <x:c r="H84" s="9" t="n">
        <x:f>ROUND(D84+G84,2)</x:f>
        <x:v>0</x:v>
      </x:c>
    </x:row>
    <x:row r="85" ht="14" customHeight="1">
      <x:c r="A85" s="1" t="n">
        <x:v>2</x:v>
      </x:c>
      <x:c r="B85" s="1" t="str">
        <x:v>1406</x:v>
      </x:c>
      <x:c r="C85" s="1" t="str">
        <x:v>Vorsteuer Inland 19 Prozent</x:v>
      </x:c>
      <x:c r="D85" s="9" t="n">
        <x:f>H17</x:f>
        <x:v>0</x:v>
      </x:c>
      <x:c r="E85" s="9" t="n">
        <x:f>SUMIFS('Journal'!$E$6:$E$1632,'Journal'!$D$6:$D$1632,B85,'Journal'!$C$6:$C$1632,A85)</x:f>
        <x:v>18585.87</x:v>
      </x:c>
      <x:c r="F85" s="9" t="n">
        <x:f>SUMIFS('Journal'!$F$6:$F$1632,'Journal'!$D$6:$D$1632,B85,'Journal'!$C$6:$C$1632,A85)</x:f>
        <x:v>18585.87</x:v>
      </x:c>
      <x:c r="G85" s="9" t="n">
        <x:f>ROUND(E85-F85,2)</x:f>
        <x:v>0</x:v>
      </x:c>
      <x:c r="H85" s="9" t="n">
        <x:f>ROUND(D85+G85,2)</x:f>
        <x:v>0</x:v>
      </x:c>
    </x:row>
    <x:row r="86" ht="14" customHeight="1">
      <x:c r="A86" s="1" t="n">
        <x:v>2</x:v>
      </x:c>
      <x:c r="B86" s="1" t="str">
        <x:v>1404</x:v>
      </x:c>
      <x:c r="C86" s="1" t="str">
        <x:v>Vorsteuer EU Erwerb 7 Prozent</x:v>
      </x:c>
      <x:c r="D86" s="9" t="n">
        <x:f>H18</x:f>
        <x:v>0</x:v>
      </x:c>
      <x:c r="E86" s="9" t="n">
        <x:f>SUMIFS('Journal'!$E$6:$E$1632,'Journal'!$D$6:$D$1632,B86,'Journal'!$C$6:$C$1632,A86)</x:f>
        <x:v>5264.07</x:v>
      </x:c>
      <x:c r="F86" s="9" t="n">
        <x:f>SUMIFS('Journal'!$F$6:$F$1632,'Journal'!$D$6:$D$1632,B86,'Journal'!$C$6:$C$1632,A86)</x:f>
        <x:v>5264.07</x:v>
      </x:c>
      <x:c r="G86" s="9" t="n">
        <x:f>ROUND(E86-F86,2)</x:f>
        <x:v>0</x:v>
      </x:c>
      <x:c r="H86" s="9" t="n">
        <x:f>ROUND(D86+G86,2)</x:f>
        <x:v>0</x:v>
      </x:c>
    </x:row>
    <x:row r="87" ht="14" customHeight="1">
      <x:c r="A87" s="1" t="n">
        <x:v>2</x:v>
      </x:c>
      <x:c r="B87" s="1" t="str">
        <x:v>1409</x:v>
      </x:c>
      <x:c r="C87" s="1" t="str">
        <x:v>Vorsteuer EU Erwerb 19 Prozent</x:v>
      </x:c>
      <x:c r="D87" s="9" t="n">
        <x:f>H19</x:f>
        <x:v>0</x:v>
      </x:c>
      <x:c r="E87" s="9" t="n">
        <x:f>SUMIFS('Journal'!$E$6:$E$1632,'Journal'!$D$6:$D$1632,B87,'Journal'!$C$6:$C$1632,A87)</x:f>
        <x:v>3572.05</x:v>
      </x:c>
      <x:c r="F87" s="9" t="n">
        <x:f>SUMIFS('Journal'!$F$6:$F$1632,'Journal'!$D$6:$D$1632,B87,'Journal'!$C$6:$C$1632,A87)</x:f>
        <x:v>3572.05</x:v>
      </x:c>
      <x:c r="G87" s="9" t="n">
        <x:f>ROUND(E87-F87,2)</x:f>
        <x:v>0</x:v>
      </x:c>
      <x:c r="H87" s="9" t="n">
        <x:f>ROUND(D87+G87,2)</x:f>
        <x:v>0</x:v>
      </x:c>
    </x:row>
    <x:row r="88" ht="14" customHeight="1">
      <x:c r="A88" s="1" t="n">
        <x:v>2</x:v>
      </x:c>
      <x:c r="B88" s="1" t="str">
        <x:v>1433</x:v>
      </x:c>
      <x:c r="C88" s="1" t="str">
        <x:v>Einfuhrumsatzsteuer</x:v>
      </x:c>
      <x:c r="D88" s="9" t="n">
        <x:f>H20</x:f>
        <x:v>0</x:v>
      </x:c>
      <x:c r="E88" s="9" t="n">
        <x:f>SUMIFS('Journal'!$E$6:$E$1632,'Journal'!$D$6:$D$1632,B88,'Journal'!$C$6:$C$1632,A88)</x:f>
        <x:v>9249.72</x:v>
      </x:c>
      <x:c r="F88" s="9" t="n">
        <x:f>SUMIFS('Journal'!$F$6:$F$1632,'Journal'!$D$6:$D$1632,B88,'Journal'!$C$6:$C$1632,A88)</x:f>
        <x:v>9249.72</x:v>
      </x:c>
      <x:c r="G88" s="9" t="n">
        <x:f>ROUND(E88-F88,2)</x:f>
        <x:v>0</x:v>
      </x:c>
      <x:c r="H88" s="9" t="n">
        <x:f>ROUND(D88+G88,2)</x:f>
        <x:v>0</x:v>
      </x:c>
    </x:row>
    <x:row r="89" ht="14" customHeight="1">
      <x:c r="A89" s="1" t="n">
        <x:v>2</x:v>
      </x:c>
      <x:c r="B89" s="1" t="str">
        <x:v>1600</x:v>
      </x:c>
      <x:c r="C89" s="1" t="str">
        <x:v>Kasse</x:v>
      </x:c>
      <x:c r="D89" s="9" t="n">
        <x:f>H21</x:f>
        <x:v>3000</x:v>
      </x:c>
      <x:c r="E89" s="9" t="n">
        <x:f>SUMIFS('Journal'!$E$6:$E$1632,'Journal'!$D$6:$D$1632,B89,'Journal'!$C$6:$C$1632,A89)</x:f>
        <x:v>300</x:v>
      </x:c>
      <x:c r="F89" s="9" t="n">
        <x:f>SUMIFS('Journal'!$F$6:$F$1632,'Journal'!$D$6:$D$1632,B89,'Journal'!$C$6:$C$1632,A89)</x:f>
        <x:v>300</x:v>
      </x:c>
      <x:c r="G89" s="9" t="n">
        <x:f>ROUND(E89-F89,2)</x:f>
        <x:v>0</x:v>
      </x:c>
      <x:c r="H89" s="9" t="n">
        <x:f>ROUND(D89+G89,2)</x:f>
        <x:v>3000</x:v>
      </x:c>
    </x:row>
    <x:row r="90" ht="14" customHeight="1">
      <x:c r="A90" s="1" t="n">
        <x:v>2</x:v>
      </x:c>
      <x:c r="B90" s="1" t="str">
        <x:v>1800</x:v>
      </x:c>
      <x:c r="C90" s="1" t="str">
        <x:v>Bank Frankenbogen Geschäftskonto</x:v>
      </x:c>
      <x:c r="D90" s="9" t="n">
        <x:f>H22</x:f>
        <x:v>63604.34</x:v>
      </x:c>
      <x:c r="E90" s="9" t="n">
        <x:f>SUMIFS('Journal'!$E$6:$E$1632,'Journal'!$D$6:$D$1632,B90,'Journal'!$C$6:$C$1632,A90)</x:f>
        <x:v>572166.56</x:v>
      </x:c>
      <x:c r="F90" s="9" t="n">
        <x:f>SUMIFS('Journal'!$F$6:$F$1632,'Journal'!$D$6:$D$1632,B90,'Journal'!$C$6:$C$1632,A90)</x:f>
        <x:v>535842.32</x:v>
      </x:c>
      <x:c r="G90" s="9" t="n">
        <x:f>ROUND(E90-F90,2)</x:f>
        <x:v>36324.24</x:v>
      </x:c>
      <x:c r="H90" s="9" t="n">
        <x:f>ROUND(D90+G90,2)</x:f>
        <x:v>99928.58</x:v>
      </x:c>
    </x:row>
    <x:row r="91" ht="14" customHeight="1">
      <x:c r="A91" s="1" t="n">
        <x:v>2</x:v>
      </x:c>
      <x:c r="B91" s="1" t="str">
        <x:v>1900</x:v>
      </x:c>
      <x:c r="C91" s="1" t="str">
        <x:v>Aktive Rechnungsabgrenzung</x:v>
      </x:c>
      <x:c r="D91" s="9" t="n">
        <x:f>H23</x:f>
        <x:v>15000</x:v>
      </x:c>
      <x:c r="E91" s="9" t="n">
        <x:f>SUMIFS('Journal'!$E$6:$E$1632,'Journal'!$D$6:$D$1632,B91,'Journal'!$C$6:$C$1632,A91)</x:f>
        <x:v>0</x:v>
      </x:c>
      <x:c r="F91" s="9" t="n">
        <x:f>SUMIFS('Journal'!$F$6:$F$1632,'Journal'!$D$6:$D$1632,B91,'Journal'!$C$6:$C$1632,A91)</x:f>
        <x:v>3000</x:v>
      </x:c>
      <x:c r="G91" s="9" t="n">
        <x:f>ROUND(E91-F91,2)</x:f>
        <x:v>-3000</x:v>
      </x:c>
      <x:c r="H91" s="9" t="n">
        <x:f>ROUND(D91+G91,2)</x:f>
        <x:v>12000</x:v>
      </x:c>
    </x:row>
    <x:row r="92" ht="14" customHeight="1">
      <x:c r="A92" s="1" t="n">
        <x:v>2</x:v>
      </x:c>
      <x:c r="B92" s="1" t="str">
        <x:v>2900</x:v>
      </x:c>
      <x:c r="C92" s="1" t="str">
        <x:v>Gezeichnetes Kapital</x:v>
      </x:c>
      <x:c r="D92" s="9" t="n">
        <x:f>H24</x:f>
        <x:v>-100000</x:v>
      </x:c>
      <x:c r="E92" s="9" t="n">
        <x:f>SUMIFS('Journal'!$E$6:$E$1632,'Journal'!$D$6:$D$1632,B92,'Journal'!$C$6:$C$1632,A92)</x:f>
        <x:v>0</x:v>
      </x:c>
      <x:c r="F92" s="9" t="n">
        <x:f>SUMIFS('Journal'!$F$6:$F$1632,'Journal'!$D$6:$D$1632,B92,'Journal'!$C$6:$C$1632,A92)</x:f>
        <x:v>0</x:v>
      </x:c>
      <x:c r="G92" s="9" t="n">
        <x:f>ROUND(E92-F92,2)</x:f>
        <x:v>0</x:v>
      </x:c>
      <x:c r="H92" s="9" t="n">
        <x:f>ROUND(D92+G92,2)</x:f>
        <x:v>-100000</x:v>
      </x:c>
    </x:row>
    <x:row r="93" ht="14" customHeight="1">
      <x:c r="A93" s="1" t="n">
        <x:v>2</x:v>
      </x:c>
      <x:c r="B93" s="1" t="str">
        <x:v>2970</x:v>
      </x:c>
      <x:c r="C93" s="1" t="str">
        <x:v>Gewinnvortrag bis 2023</x:v>
      </x:c>
      <x:c r="D93" s="9" t="n">
        <x:f>H25</x:f>
        <x:v>-705000</x:v>
      </x:c>
      <x:c r="E93" s="9" t="n">
        <x:f>SUMIFS('Journal'!$E$6:$E$1632,'Journal'!$D$6:$D$1632,B93,'Journal'!$C$6:$C$1632,A93)</x:f>
        <x:v>0</x:v>
      </x:c>
      <x:c r="F93" s="9" t="n">
        <x:f>SUMIFS('Journal'!$F$6:$F$1632,'Journal'!$D$6:$D$1632,B93,'Journal'!$C$6:$C$1632,A93)</x:f>
        <x:v>0</x:v>
      </x:c>
      <x:c r="G93" s="9" t="n">
        <x:f>ROUND(E93-F93,2)</x:f>
        <x:v>0</x:v>
      </x:c>
      <x:c r="H93" s="9" t="n">
        <x:f>ROUND(D93+G93,2)</x:f>
        <x:v>-705000</x:v>
      </x:c>
    </x:row>
    <x:row r="94" ht="14" customHeight="1">
      <x:c r="A94" s="1" t="n">
        <x:v>2</x:v>
      </x:c>
      <x:c r="B94" s="1" t="str">
        <x:v>2978</x:v>
      </x:c>
      <x:c r="C94" s="1" t="str">
        <x:v>Ergebnisvortrag 2024</x:v>
      </x:c>
      <x:c r="D94" s="9" t="n">
        <x:f>H26</x:f>
        <x:v>0</x:v>
      </x:c>
      <x:c r="E94" s="9" t="n">
        <x:f>SUMIFS('Journal'!$E$6:$E$1632,'Journal'!$D$6:$D$1632,B94,'Journal'!$C$6:$C$1632,A94)</x:f>
        <x:v>0</x:v>
      </x:c>
      <x:c r="F94" s="9" t="n">
        <x:f>SUMIFS('Journal'!$F$6:$F$1632,'Journal'!$D$6:$D$1632,B94,'Journal'!$C$6:$C$1632,A94)</x:f>
        <x:v>0</x:v>
      </x:c>
      <x:c r="G94" s="9" t="n">
        <x:f>ROUND(E94-F94,2)</x:f>
        <x:v>0</x:v>
      </x:c>
      <x:c r="H94" s="9" t="n">
        <x:f>ROUND(D94+G94,2)</x:f>
        <x:v>0</x:v>
      </x:c>
    </x:row>
    <x:row r="95" ht="14" customHeight="1">
      <x:c r="A95" s="1" t="n">
        <x:v>2</x:v>
      </x:c>
      <x:c r="B95" s="1" t="str">
        <x:v>3090</x:v>
      </x:c>
      <x:c r="C95" s="1" t="str">
        <x:v>Rückstellungen Abschluss und Urlaub</x:v>
      </x:c>
      <x:c r="D95" s="9" t="n">
        <x:f>H27</x:f>
        <x:v>-45000</x:v>
      </x:c>
      <x:c r="E95" s="9" t="n">
        <x:f>SUMIFS('Journal'!$E$6:$E$1632,'Journal'!$D$6:$D$1632,B95,'Journal'!$C$6:$C$1632,A95)</x:f>
        <x:v>0</x:v>
      </x:c>
      <x:c r="F95" s="9" t="n">
        <x:f>SUMIFS('Journal'!$F$6:$F$1632,'Journal'!$D$6:$D$1632,B95,'Journal'!$C$6:$C$1632,A95)</x:f>
        <x:v>0</x:v>
      </x:c>
      <x:c r="G95" s="9" t="n">
        <x:f>ROUND(E95-F95,2)</x:f>
        <x:v>0</x:v>
      </x:c>
      <x:c r="H95" s="9" t="n">
        <x:f>ROUND(D95+G95,2)</x:f>
        <x:v>-45000</x:v>
      </x:c>
    </x:row>
    <x:row r="96" ht="14" customHeight="1">
      <x:c r="A96" s="1" t="n">
        <x:v>2</x:v>
      </x:c>
      <x:c r="B96" s="1" t="str">
        <x:v>3150</x:v>
      </x:c>
      <x:c r="C96" s="1" t="str">
        <x:v>Investitionsdarlehen Frankenbogen</x:v>
      </x:c>
      <x:c r="D96" s="9" t="n">
        <x:f>H28</x:f>
        <x:v>-590000</x:v>
      </x:c>
      <x:c r="E96" s="9" t="n">
        <x:f>SUMIFS('Journal'!$E$6:$E$1632,'Journal'!$D$6:$D$1632,B96,'Journal'!$C$6:$C$1632,A96)</x:f>
        <x:v>10000</x:v>
      </x:c>
      <x:c r="F96" s="9" t="n">
        <x:f>SUMIFS('Journal'!$F$6:$F$1632,'Journal'!$D$6:$D$1632,B96,'Journal'!$C$6:$C$1632,A96)</x:f>
        <x:v>0</x:v>
      </x:c>
      <x:c r="G96" s="9" t="n">
        <x:f>ROUND(E96-F96,2)</x:f>
        <x:v>10000</x:v>
      </x:c>
      <x:c r="H96" s="9" t="n">
        <x:f>ROUND(D96+G96,2)</x:f>
        <x:v>-580000</x:v>
      </x:c>
    </x:row>
    <x:row r="97" ht="14" customHeight="1">
      <x:c r="A97" s="1" t="n">
        <x:v>2</x:v>
      </x:c>
      <x:c r="B97" s="1" t="str">
        <x:v>3160</x:v>
      </x:c>
      <x:c r="C97" s="1" t="str">
        <x:v>Gesellschafterdarlehen</x:v>
      </x:c>
      <x:c r="D97" s="9" t="n">
        <x:f>H29</x:f>
        <x:v>0</x:v>
      </x:c>
      <x:c r="E97" s="9" t="n">
        <x:f>SUMIFS('Journal'!$E$6:$E$1632,'Journal'!$D$6:$D$1632,B97,'Journal'!$C$6:$C$1632,A97)</x:f>
        <x:v>0</x:v>
      </x:c>
      <x:c r="F97" s="9" t="n">
        <x:f>SUMIFS('Journal'!$F$6:$F$1632,'Journal'!$D$6:$D$1632,B97,'Journal'!$C$6:$C$1632,A97)</x:f>
        <x:v>0</x:v>
      </x:c>
      <x:c r="G97" s="9" t="n">
        <x:f>ROUND(E97-F97,2)</x:f>
        <x:v>0</x:v>
      </x:c>
      <x:c r="H97" s="9" t="n">
        <x:f>ROUND(D97+G97,2)</x:f>
        <x:v>0</x:v>
      </x:c>
    </x:row>
    <x:row r="98" ht="14" customHeight="1">
      <x:c r="A98" s="1" t="n">
        <x:v>2</x:v>
      </x:c>
      <x:c r="B98" s="1" t="str">
        <x:v>3300</x:v>
      </x:c>
      <x:c r="C98" s="1" t="str">
        <x:v>Verbindlichkeiten aus Lieferungen und Leistungen</x:v>
      </x:c>
      <x:c r="D98" s="9" t="n">
        <x:f>H30</x:f>
        <x:v>-620000</x:v>
      </x:c>
      <x:c r="E98" s="9" t="n">
        <x:f>SUMIFS('Journal'!$E$6:$E$1632,'Journal'!$D$6:$D$1632,B98,'Journal'!$C$6:$C$1632,A98)</x:f>
        <x:v>448792.6</x:v>
      </x:c>
      <x:c r="F98" s="9" t="n">
        <x:f>SUMIFS('Journal'!$F$6:$F$1632,'Journal'!$D$6:$D$1632,B98,'Journal'!$C$6:$C$1632,A98)</x:f>
        <x:v>478792.6</x:v>
      </x:c>
      <x:c r="G98" s="9" t="n">
        <x:f>ROUND(E98-F98,2)</x:f>
        <x:v>-30000</x:v>
      </x:c>
      <x:c r="H98" s="9" t="n">
        <x:f>ROUND(D98+G98,2)</x:f>
        <x:v>-650000</x:v>
      </x:c>
    </x:row>
    <x:row r="99" ht="14" customHeight="1">
      <x:c r="A99" s="1" t="n">
        <x:v>2</x:v>
      </x:c>
      <x:c r="B99" s="1" t="str">
        <x:v>3500</x:v>
      </x:c>
      <x:c r="C99" s="1" t="str">
        <x:v>Sonstige Verbindlichkeiten</x:v>
      </x:c>
      <x:c r="D99" s="9" t="n">
        <x:f>H31</x:f>
        <x:v>-22000</x:v>
      </x:c>
      <x:c r="E99" s="9" t="n">
        <x:f>SUMIFS('Journal'!$E$6:$E$1632,'Journal'!$D$6:$D$1632,B99,'Journal'!$C$6:$C$1632,A99)</x:f>
        <x:v>0</x:v>
      </x:c>
      <x:c r="F99" s="9" t="n">
        <x:f>SUMIFS('Journal'!$F$6:$F$1632,'Journal'!$D$6:$D$1632,B99,'Journal'!$C$6:$C$1632,A99)</x:f>
        <x:v>0</x:v>
      </x:c>
      <x:c r="G99" s="9" t="n">
        <x:f>ROUND(E99-F99,2)</x:f>
        <x:v>0</x:v>
      </x:c>
      <x:c r="H99" s="9" t="n">
        <x:f>ROUND(D99+G99,2)</x:f>
        <x:v>-22000</x:v>
      </x:c>
    </x:row>
    <x:row r="100" ht="14" customHeight="1">
      <x:c r="A100" s="1" t="n">
        <x:v>2</x:v>
      </x:c>
      <x:c r="B100" s="1" t="str">
        <x:v>3720</x:v>
      </x:c>
      <x:c r="C100" s="1" t="str">
        <x:v>Verbindlichkeiten Nettolöhne</x:v>
      </x:c>
      <x:c r="D100" s="9" t="n">
        <x:f>H32</x:f>
        <x:v>0</x:v>
      </x:c>
      <x:c r="E100" s="9" t="n">
        <x:f>SUMIFS('Journal'!$E$6:$E$1632,'Journal'!$D$6:$D$1632,B100,'Journal'!$C$6:$C$1632,A100)</x:f>
        <x:v>56760</x:v>
      </x:c>
      <x:c r="F100" s="9" t="n">
        <x:f>SUMIFS('Journal'!$F$6:$F$1632,'Journal'!$D$6:$D$1632,B100,'Journal'!$C$6:$C$1632,A100)</x:f>
        <x:v>56760</x:v>
      </x:c>
      <x:c r="G100" s="9" t="n">
        <x:f>ROUND(E100-F100,2)</x:f>
        <x:v>0</x:v>
      </x:c>
      <x:c r="H100" s="9" t="n">
        <x:f>ROUND(D100+G100,2)</x:f>
        <x:v>0</x:v>
      </x:c>
    </x:row>
    <x:row r="101" ht="14" customHeight="1">
      <x:c r="A101" s="1" t="n">
        <x:v>2</x:v>
      </x:c>
      <x:c r="B101" s="1" t="str">
        <x:v>3730</x:v>
      </x:c>
      <x:c r="C101" s="1" t="str">
        <x:v>Verbindlichkeiten Lohnsteuer</x:v>
      </x:c>
      <x:c r="D101" s="9" t="n">
        <x:f>H33</x:f>
        <x:v>-12900</x:v>
      </x:c>
      <x:c r="E101" s="9" t="n">
        <x:f>SUMIFS('Journal'!$E$6:$E$1632,'Journal'!$D$6:$D$1632,B101,'Journal'!$C$6:$C$1632,A101)</x:f>
        <x:v>12900</x:v>
      </x:c>
      <x:c r="F101" s="9" t="n">
        <x:f>SUMIFS('Journal'!$F$6:$F$1632,'Journal'!$D$6:$D$1632,B101,'Journal'!$C$6:$C$1632,A101)</x:f>
        <x:v>12900</x:v>
      </x:c>
      <x:c r="G101" s="9" t="n">
        <x:f>ROUND(E101-F101,2)</x:f>
        <x:v>0</x:v>
      </x:c>
      <x:c r="H101" s="9" t="n">
        <x:f>ROUND(D101+G101,2)</x:f>
        <x:v>-12900</x:v>
      </x:c>
    </x:row>
    <x:row r="102" ht="14" customHeight="1">
      <x:c r="A102" s="1" t="n">
        <x:v>2</x:v>
      </x:c>
      <x:c r="B102" s="1" t="str">
        <x:v>3740</x:v>
      </x:c>
      <x:c r="C102" s="1" t="str">
        <x:v>Verbindlichkeiten Sozialversicherung</x:v>
      </x:c>
      <x:c r="D102" s="9" t="n">
        <x:f>H34</x:f>
        <x:v>0</x:v>
      </x:c>
      <x:c r="E102" s="9" t="n">
        <x:f>SUMIFS('Journal'!$E$6:$E$1632,'Journal'!$D$6:$D$1632,B102,'Journal'!$C$6:$C$1632,A102)</x:f>
        <x:v>34340</x:v>
      </x:c>
      <x:c r="F102" s="9" t="n">
        <x:f>SUMIFS('Journal'!$F$6:$F$1632,'Journal'!$D$6:$D$1632,B102,'Journal'!$C$6:$C$1632,A102)</x:f>
        <x:v>34340</x:v>
      </x:c>
      <x:c r="G102" s="9" t="n">
        <x:f>ROUND(E102-F102,2)</x:f>
        <x:v>0</x:v>
      </x:c>
      <x:c r="H102" s="9" t="n">
        <x:f>ROUND(D102+G102,2)</x:f>
        <x:v>0</x:v>
      </x:c>
    </x:row>
    <x:row r="103" ht="14" customHeight="1">
      <x:c r="A103" s="1" t="n">
        <x:v>2</x:v>
      </x:c>
      <x:c r="B103" s="1" t="str">
        <x:v>3801</x:v>
      </x:c>
      <x:c r="C103" s="1" t="str">
        <x:v>Umsatzsteuer Inland 7 Prozent</x:v>
      </x:c>
      <x:c r="D103" s="9" t="n">
        <x:f>H35</x:f>
        <x:v>0</x:v>
      </x:c>
      <x:c r="E103" s="9" t="n">
        <x:f>SUMIFS('Journal'!$E$6:$E$1632,'Journal'!$D$6:$D$1632,B103,'Journal'!$C$6:$C$1632,A103)</x:f>
        <x:v>18480</x:v>
      </x:c>
      <x:c r="F103" s="9" t="n">
        <x:f>SUMIFS('Journal'!$F$6:$F$1632,'Journal'!$D$6:$D$1632,B103,'Journal'!$C$6:$C$1632,A103)</x:f>
        <x:v>18480</x:v>
      </x:c>
      <x:c r="G103" s="9" t="n">
        <x:f>ROUND(E103-F103,2)</x:f>
        <x:v>0</x:v>
      </x:c>
      <x:c r="H103" s="9" t="n">
        <x:f>ROUND(D103+G103,2)</x:f>
        <x:v>0</x:v>
      </x:c>
    </x:row>
    <x:row r="104" ht="14" customHeight="1">
      <x:c r="A104" s="1" t="n">
        <x:v>2</x:v>
      </x:c>
      <x:c r="B104" s="1" t="str">
        <x:v>3806</x:v>
      </x:c>
      <x:c r="C104" s="1" t="str">
        <x:v>Umsatzsteuer Inland 19 Prozent</x:v>
      </x:c>
      <x:c r="D104" s="9" t="n">
        <x:f>H36</x:f>
        <x:v>0</x:v>
      </x:c>
      <x:c r="E104" s="9" t="n">
        <x:f>SUMIFS('Journal'!$E$6:$E$1632,'Journal'!$D$6:$D$1632,B104,'Journal'!$C$6:$C$1632,A104)</x:f>
        <x:v>12540</x:v>
      </x:c>
      <x:c r="F104" s="9" t="n">
        <x:f>SUMIFS('Journal'!$F$6:$F$1632,'Journal'!$D$6:$D$1632,B104,'Journal'!$C$6:$C$1632,A104)</x:f>
        <x:v>12540</x:v>
      </x:c>
      <x:c r="G104" s="9" t="n">
        <x:f>ROUND(E104-F104,2)</x:f>
        <x:v>0</x:v>
      </x:c>
      <x:c r="H104" s="9" t="n">
        <x:f>ROUND(D104+G104,2)</x:f>
        <x:v>0</x:v>
      </x:c>
    </x:row>
    <x:row r="105" ht="14" customHeight="1">
      <x:c r="A105" s="1" t="n">
        <x:v>2</x:v>
      </x:c>
      <x:c r="B105" s="1" t="str">
        <x:v>3804</x:v>
      </x:c>
      <x:c r="C105" s="1" t="str">
        <x:v>Umsatzsteuer EU Erwerb 7 Prozent</x:v>
      </x:c>
      <x:c r="D105" s="9" t="n">
        <x:f>H37</x:f>
        <x:v>0</x:v>
      </x:c>
      <x:c r="E105" s="9" t="n">
        <x:f>SUMIFS('Journal'!$E$6:$E$1632,'Journal'!$D$6:$D$1632,B105,'Journal'!$C$6:$C$1632,A105)</x:f>
        <x:v>5264.07</x:v>
      </x:c>
      <x:c r="F105" s="9" t="n">
        <x:f>SUMIFS('Journal'!$F$6:$F$1632,'Journal'!$D$6:$D$1632,B105,'Journal'!$C$6:$C$1632,A105)</x:f>
        <x:v>5264.07</x:v>
      </x:c>
      <x:c r="G105" s="9" t="n">
        <x:f>ROUND(E105-F105,2)</x:f>
        <x:v>0</x:v>
      </x:c>
      <x:c r="H105" s="9" t="n">
        <x:f>ROUND(D105+G105,2)</x:f>
        <x:v>0</x:v>
      </x:c>
    </x:row>
    <x:row r="106" ht="14" customHeight="1">
      <x:c r="A106" s="1" t="n">
        <x:v>2</x:v>
      </x:c>
      <x:c r="B106" s="1" t="str">
        <x:v>3809</x:v>
      </x:c>
      <x:c r="C106" s="1" t="str">
        <x:v>Umsatzsteuer EU Erwerb 19 Prozent</x:v>
      </x:c>
      <x:c r="D106" s="9" t="n">
        <x:f>H38</x:f>
        <x:v>0</x:v>
      </x:c>
      <x:c r="E106" s="9" t="n">
        <x:f>SUMIFS('Journal'!$E$6:$E$1632,'Journal'!$D$6:$D$1632,B106,'Journal'!$C$6:$C$1632,A106)</x:f>
        <x:v>3572.05</x:v>
      </x:c>
      <x:c r="F106" s="9" t="n">
        <x:f>SUMIFS('Journal'!$F$6:$F$1632,'Journal'!$D$6:$D$1632,B106,'Journal'!$C$6:$C$1632,A106)</x:f>
        <x:v>3572.05</x:v>
      </x:c>
      <x:c r="G106" s="9" t="n">
        <x:f>ROUND(E106-F106,2)</x:f>
        <x:v>0</x:v>
      </x:c>
      <x:c r="H106" s="9" t="n">
        <x:f>ROUND(D106+G106,2)</x:f>
        <x:v>0</x:v>
      </x:c>
    </x:row>
    <x:row r="107" ht="14" customHeight="1">
      <x:c r="A107" s="1" t="n">
        <x:v>2</x:v>
      </x:c>
      <x:c r="B107" s="1" t="str">
        <x:v>3820</x:v>
      </x:c>
      <x:c r="C107" s="1" t="str">
        <x:v>Umsatzsteuer Verrechnung Finanzamt</x:v>
      </x:c>
      <x:c r="D107" s="9" t="n">
        <x:f>H39</x:f>
        <x:v>13543.16</x:v>
      </x:c>
      <x:c r="E107" s="9" t="n">
        <x:f>SUMIFS('Journal'!$E$6:$E$1632,'Journal'!$D$6:$D$1632,B107,'Journal'!$C$6:$C$1632,A107)</x:f>
        <x:v>46673.44</x:v>
      </x:c>
      <x:c r="F107" s="9" t="n">
        <x:f>SUMIFS('Journal'!$F$6:$F$1632,'Journal'!$D$6:$D$1632,B107,'Journal'!$C$6:$C$1632,A107)</x:f>
        <x:v>53302.68</x:v>
      </x:c>
      <x:c r="G107" s="9" t="n">
        <x:f>ROUND(E107-F107,2)</x:f>
        <x:v>-6629.24</x:v>
      </x:c>
      <x:c r="H107" s="9" t="n">
        <x:f>ROUND(D107+G107,2)</x:f>
        <x:v>6913.92</x:v>
      </x:c>
    </x:row>
    <x:row r="108" ht="14" customHeight="1">
      <x:c r="A108" s="1" t="n">
        <x:v>2</x:v>
      </x:c>
      <x:c r="B108" s="1" t="str">
        <x:v>3840</x:v>
      </x:c>
      <x:c r="C108" s="1" t="str">
        <x:v>Ertragsteuern Verrechnung</x:v>
      </x:c>
      <x:c r="D108" s="9" t="n">
        <x:f>H40</x:f>
        <x:v>-35000</x:v>
      </x:c>
      <x:c r="E108" s="9" t="n">
        <x:f>SUMIFS('Journal'!$E$6:$E$1632,'Journal'!$D$6:$D$1632,B108,'Journal'!$C$6:$C$1632,A108)</x:f>
        <x:v>0</x:v>
      </x:c>
      <x:c r="F108" s="9" t="n">
        <x:f>SUMIFS('Journal'!$F$6:$F$1632,'Journal'!$D$6:$D$1632,B108,'Journal'!$C$6:$C$1632,A108)</x:f>
        <x:v>0</x:v>
      </x:c>
      <x:c r="G108" s="9" t="n">
        <x:f>ROUND(E108-F108,2)</x:f>
        <x:v>0</x:v>
      </x:c>
      <x:c r="H108" s="9" t="n">
        <x:f>ROUND(D108+G108,2)</x:f>
        <x:v>-35000</x:v>
      </x:c>
    </x:row>
    <x:row r="109" ht="14" customHeight="1">
      <x:c r="A109" s="1" t="n">
        <x:v>2</x:v>
      </x:c>
      <x:c r="B109" s="1" t="str">
        <x:v>4300</x:v>
      </x:c>
      <x:c r="C109" s="1" t="str">
        <x:v>Erlöse Inland 7 Prozent</x:v>
      </x:c>
      <x:c r="D109" s="9" t="n">
        <x:f>H41</x:f>
        <x:v>-249600</x:v>
      </x:c>
      <x:c r="E109" s="9" t="n">
        <x:f>SUMIFS('Journal'!$E$6:$E$1632,'Journal'!$D$6:$D$1632,B109,'Journal'!$C$6:$C$1632,A109)</x:f>
        <x:v>0</x:v>
      </x:c>
      <x:c r="F109" s="9" t="n">
        <x:f>SUMIFS('Journal'!$F$6:$F$1632,'Journal'!$D$6:$D$1632,B109,'Journal'!$C$6:$C$1632,A109)</x:f>
        <x:v>264000</x:v>
      </x:c>
      <x:c r="G109" s="9" t="n">
        <x:f>ROUND(E109-F109,2)</x:f>
        <x:v>-264000</x:v>
      </x:c>
      <x:c r="H109" s="9" t="n">
        <x:f>ROUND(D109+G109,2)</x:f>
        <x:v>-513600</x:v>
      </x:c>
    </x:row>
    <x:row r="110" ht="14" customHeight="1">
      <x:c r="A110" s="1" t="n">
        <x:v>2</x:v>
      </x:c>
      <x:c r="B110" s="1" t="str">
        <x:v>4400</x:v>
      </x:c>
      <x:c r="C110" s="1" t="str">
        <x:v>Erlöse Inland 19 Prozent</x:v>
      </x:c>
      <x:c r="D110" s="9" t="n">
        <x:f>H42</x:f>
        <x:v>-62400</x:v>
      </x:c>
      <x:c r="E110" s="9" t="n">
        <x:f>SUMIFS('Journal'!$E$6:$E$1632,'Journal'!$D$6:$D$1632,B110,'Journal'!$C$6:$C$1632,A110)</x:f>
        <x:v>0</x:v>
      </x:c>
      <x:c r="F110" s="9" t="n">
        <x:f>SUMIFS('Journal'!$F$6:$F$1632,'Journal'!$D$6:$D$1632,B110,'Journal'!$C$6:$C$1632,A110)</x:f>
        <x:v>66000</x:v>
      </x:c>
      <x:c r="G110" s="9" t="n">
        <x:f>ROUND(E110-F110,2)</x:f>
        <x:v>-66000</x:v>
      </x:c>
      <x:c r="H110" s="9" t="n">
        <x:f>ROUND(D110+G110,2)</x:f>
        <x:v>-128400</x:v>
      </x:c>
    </x:row>
    <x:row r="111" ht="14" customHeight="1">
      <x:c r="A111" s="1" t="n">
        <x:v>2</x:v>
      </x:c>
      <x:c r="B111" s="1" t="str">
        <x:v>4125</x:v>
      </x:c>
      <x:c r="C111" s="1" t="str">
        <x:v>Erlöse EU Warenlieferungen</x:v>
      </x:c>
      <x:c r="D111" s="9" t="n">
        <x:f>H43</x:f>
        <x:v>-104000</x:v>
      </x:c>
      <x:c r="E111" s="9" t="n">
        <x:f>SUMIFS('Journal'!$E$6:$E$1632,'Journal'!$D$6:$D$1632,B111,'Journal'!$C$6:$C$1632,A111)</x:f>
        <x:v>0</x:v>
      </x:c>
      <x:c r="F111" s="9" t="n">
        <x:f>SUMIFS('Journal'!$F$6:$F$1632,'Journal'!$D$6:$D$1632,B111,'Journal'!$C$6:$C$1632,A111)</x:f>
        <x:v>110000</x:v>
      </x:c>
      <x:c r="G111" s="9" t="n">
        <x:f>ROUND(E111-F111,2)</x:f>
        <x:v>-110000</x:v>
      </x:c>
      <x:c r="H111" s="9" t="n">
        <x:f>ROUND(D111+G111,2)</x:f>
        <x:v>-214000</x:v>
      </x:c>
    </x:row>
    <x:row r="112" ht="14" customHeight="1">
      <x:c r="A112" s="1" t="n">
        <x:v>2</x:v>
      </x:c>
      <x:c r="B112" s="1" t="str">
        <x:v>4120</x:v>
      </x:c>
      <x:c r="C112" s="1" t="str">
        <x:v>Erlöse Drittland Warenlieferungen</x:v>
      </x:c>
      <x:c r="D112" s="9" t="n">
        <x:f>H44</x:f>
        <x:v>-104000</x:v>
      </x:c>
      <x:c r="E112" s="9" t="n">
        <x:f>SUMIFS('Journal'!$E$6:$E$1632,'Journal'!$D$6:$D$1632,B112,'Journal'!$C$6:$C$1632,A112)</x:f>
        <x:v>0</x:v>
      </x:c>
      <x:c r="F112" s="9" t="n">
        <x:f>SUMIFS('Journal'!$F$6:$F$1632,'Journal'!$D$6:$D$1632,B112,'Journal'!$C$6:$C$1632,A112)</x:f>
        <x:v>110000</x:v>
      </x:c>
      <x:c r="G112" s="9" t="n">
        <x:f>ROUND(E112-F112,2)</x:f>
        <x:v>-110000</x:v>
      </x:c>
      <x:c r="H112" s="9" t="n">
        <x:f>ROUND(D112+G112,2)</x:f>
        <x:v>-214000</x:v>
      </x:c>
    </x:row>
    <x:row r="113" ht="14" customHeight="1">
      <x:c r="A113" s="1" t="n">
        <x:v>2</x:v>
      </x:c>
      <x:c r="B113" s="1" t="str">
        <x:v>4730</x:v>
      </x:c>
      <x:c r="C113" s="1" t="str">
        <x:v>Erlösschmälerungen Inland 7 Prozent</x:v>
      </x:c>
      <x:c r="D113" s="9" t="n">
        <x:f>H45</x:f>
        <x:v>1290</x:v>
      </x:c>
      <x:c r="E113" s="9" t="n">
        <x:f>SUMIFS('Journal'!$E$6:$E$1632,'Journal'!$D$6:$D$1632,B113,'Journal'!$C$6:$C$1632,A113)</x:f>
        <x:v>1380</x:v>
      </x:c>
      <x:c r="F113" s="9" t="n">
        <x:f>SUMIFS('Journal'!$F$6:$F$1632,'Journal'!$D$6:$D$1632,B113,'Journal'!$C$6:$C$1632,A113)</x:f>
        <x:v>0</x:v>
      </x:c>
      <x:c r="G113" s="9" t="n">
        <x:f>ROUND(E113-F113,2)</x:f>
        <x:v>1380</x:v>
      </x:c>
      <x:c r="H113" s="9" t="n">
        <x:f>ROUND(D113+G113,2)</x:f>
        <x:v>2670</x:v>
      </x:c>
    </x:row>
    <x:row r="114" ht="14" customHeight="1">
      <x:c r="A114" s="1" t="n">
        <x:v>2</x:v>
      </x:c>
      <x:c r="B114" s="1" t="str">
        <x:v>4735</x:v>
      </x:c>
      <x:c r="C114" s="1" t="str">
        <x:v>Erlösschmälerungen EU</x:v>
      </x:c>
      <x:c r="D114" s="9" t="n">
        <x:f>H46</x:f>
        <x:v>860</x:v>
      </x:c>
      <x:c r="E114" s="9" t="n">
        <x:f>SUMIFS('Journal'!$E$6:$E$1632,'Journal'!$D$6:$D$1632,B114,'Journal'!$C$6:$C$1632,A114)</x:f>
        <x:v>920</x:v>
      </x:c>
      <x:c r="F114" s="9" t="n">
        <x:f>SUMIFS('Journal'!$F$6:$F$1632,'Journal'!$D$6:$D$1632,B114,'Journal'!$C$6:$C$1632,A114)</x:f>
        <x:v>0</x:v>
      </x:c>
      <x:c r="G114" s="9" t="n">
        <x:f>ROUND(E114-F114,2)</x:f>
        <x:v>920</x:v>
      </x:c>
      <x:c r="H114" s="9" t="n">
        <x:f>ROUND(D114+G114,2)</x:f>
        <x:v>1780</x:v>
      </x:c>
    </x:row>
    <x:row r="115" ht="14" customHeight="1">
      <x:c r="A115" s="1" t="n">
        <x:v>2</x:v>
      </x:c>
      <x:c r="B115" s="1" t="str">
        <x:v>4830</x:v>
      </x:c>
      <x:c r="C115" s="1" t="str">
        <x:v>Sonstige betriebliche Erträge</x:v>
      </x:c>
      <x:c r="D115" s="9" t="n">
        <x:f>H47</x:f>
        <x:v>0</x:v>
      </x:c>
      <x:c r="E115" s="9" t="n">
        <x:f>SUMIFS('Journal'!$E$6:$E$1632,'Journal'!$D$6:$D$1632,B115,'Journal'!$C$6:$C$1632,A115)</x:f>
        <x:v>0</x:v>
      </x:c>
      <x:c r="F115" s="9" t="n">
        <x:f>SUMIFS('Journal'!$F$6:$F$1632,'Journal'!$D$6:$D$1632,B115,'Journal'!$C$6:$C$1632,A115)</x:f>
        <x:v>0</x:v>
      </x:c>
      <x:c r="G115" s="9" t="n">
        <x:f>ROUND(E115-F115,2)</x:f>
        <x:v>0</x:v>
      </x:c>
      <x:c r="H115" s="9" t="n">
        <x:f>ROUND(D115+G115,2)</x:f>
        <x:v>0</x:v>
      </x:c>
    </x:row>
    <x:row r="116" ht="14" customHeight="1">
      <x:c r="A116" s="1" t="n">
        <x:v>2</x:v>
      </x:c>
      <x:c r="B116" s="1" t="str">
        <x:v>5000</x:v>
      </x:c>
      <x:c r="C116" s="1" t="str">
        <x:v>Wareneinsatz</x:v>
      </x:c>
      <x:c r="D116" s="9" t="n">
        <x:f>H48</x:f>
        <x:v>336602.5</x:v>
      </x:c>
      <x:c r="E116" s="9" t="n">
        <x:f>SUMIFS('Journal'!$E$6:$E$1632,'Journal'!$D$6:$D$1632,B116,'Journal'!$C$6:$C$1632,A116)</x:f>
        <x:v>356005</x:v>
      </x:c>
      <x:c r="F116" s="9" t="n">
        <x:f>SUMIFS('Journal'!$F$6:$F$1632,'Journal'!$D$6:$D$1632,B116,'Journal'!$C$6:$C$1632,A116)</x:f>
        <x:v>0</x:v>
      </x:c>
      <x:c r="G116" s="9" t="n">
        <x:f>ROUND(E116-F116,2)</x:f>
        <x:v>356005</x:v>
      </x:c>
      <x:c r="H116" s="9" t="n">
        <x:f>ROUND(D116+G116,2)</x:f>
        <x:v>692607.5</x:v>
      </x:c>
    </x:row>
    <x:row r="117" ht="14" customHeight="1">
      <x:c r="A117" s="1" t="n">
        <x:v>2</x:v>
      </x:c>
      <x:c r="B117" s="1" t="str">
        <x:v>5005</x:v>
      </x:c>
      <x:c r="C117" s="1" t="str">
        <x:v>Abwertung Warenbestand</x:v>
      </x:c>
      <x:c r="D117" s="9" t="n">
        <x:f>H49</x:f>
        <x:v>0</x:v>
      </x:c>
      <x:c r="E117" s="9" t="n">
        <x:f>SUMIFS('Journal'!$E$6:$E$1632,'Journal'!$D$6:$D$1632,B117,'Journal'!$C$6:$C$1632,A117)</x:f>
        <x:v>0</x:v>
      </x:c>
      <x:c r="F117" s="9" t="n">
        <x:f>SUMIFS('Journal'!$F$6:$F$1632,'Journal'!$D$6:$D$1632,B117,'Journal'!$C$6:$C$1632,A117)</x:f>
        <x:v>0</x:v>
      </x:c>
      <x:c r="G117" s="9" t="n">
        <x:f>ROUND(E117-F117,2)</x:f>
        <x:v>0</x:v>
      </x:c>
      <x:c r="H117" s="9" t="n">
        <x:f>ROUND(D117+G117,2)</x:f>
        <x:v>0</x:v>
      </x:c>
    </x:row>
    <x:row r="118" ht="14" customHeight="1">
      <x:c r="A118" s="1" t="n">
        <x:v>2</x:v>
      </x:c>
      <x:c r="B118" s="1" t="str">
        <x:v>6020</x:v>
      </x:c>
      <x:c r="C118" s="1" t="str">
        <x:v>Bruttogehälter</x:v>
      </x:c>
      <x:c r="D118" s="9" t="n">
        <x:f>H50</x:f>
        <x:v>86000</x:v>
      </x:c>
      <x:c r="E118" s="9" t="n">
        <x:f>SUMIFS('Journal'!$E$6:$E$1632,'Journal'!$D$6:$D$1632,B118,'Journal'!$C$6:$C$1632,A118)</x:f>
        <x:v>86000</x:v>
      </x:c>
      <x:c r="F118" s="9" t="n">
        <x:f>SUMIFS('Journal'!$F$6:$F$1632,'Journal'!$D$6:$D$1632,B118,'Journal'!$C$6:$C$1632,A118)</x:f>
        <x:v>0</x:v>
      </x:c>
      <x:c r="G118" s="9" t="n">
        <x:f>ROUND(E118-F118,2)</x:f>
        <x:v>86000</x:v>
      </x:c>
      <x:c r="H118" s="9" t="n">
        <x:f>ROUND(D118+G118,2)</x:f>
        <x:v>172000</x:v>
      </x:c>
    </x:row>
    <x:row r="119" ht="14" customHeight="1">
      <x:c r="A119" s="1" t="n">
        <x:v>2</x:v>
      </x:c>
      <x:c r="B119" s="1" t="str">
        <x:v>6110</x:v>
      </x:c>
      <x:c r="C119" s="1" t="str">
        <x:v>Arbeitgeberanteile Sozialversicherung</x:v>
      </x:c>
      <x:c r="D119" s="9" t="n">
        <x:f>H51</x:f>
        <x:v>18000</x:v>
      </x:c>
      <x:c r="E119" s="9" t="n">
        <x:f>SUMIFS('Journal'!$E$6:$E$1632,'Journal'!$D$6:$D$1632,B119,'Journal'!$C$6:$C$1632,A119)</x:f>
        <x:v>18000</x:v>
      </x:c>
      <x:c r="F119" s="9" t="n">
        <x:f>SUMIFS('Journal'!$F$6:$F$1632,'Journal'!$D$6:$D$1632,B119,'Journal'!$C$6:$C$1632,A119)</x:f>
        <x:v>0</x:v>
      </x:c>
      <x:c r="G119" s="9" t="n">
        <x:f>ROUND(E119-F119,2)</x:f>
        <x:v>18000</x:v>
      </x:c>
      <x:c r="H119" s="9" t="n">
        <x:f>ROUND(D119+G119,2)</x:f>
        <x:v>36000</x:v>
      </x:c>
    </x:row>
    <x:row r="120" ht="14" customHeight="1">
      <x:c r="A120" s="1" t="n">
        <x:v>2</x:v>
      </x:c>
      <x:c r="B120" s="1" t="str">
        <x:v>6220</x:v>
      </x:c>
      <x:c r="C120" s="1" t="str">
        <x:v>Abschreibungen Sachanlagen und Software</x:v>
      </x:c>
      <x:c r="D120" s="9" t="n">
        <x:f>H52</x:f>
        <x:v>7500</x:v>
      </x:c>
      <x:c r="E120" s="9" t="n">
        <x:f>SUMIFS('Journal'!$E$6:$E$1632,'Journal'!$D$6:$D$1632,B120,'Journal'!$C$6:$C$1632,A120)</x:f>
        <x:v>7500</x:v>
      </x:c>
      <x:c r="F120" s="9" t="n">
        <x:f>SUMIFS('Journal'!$F$6:$F$1632,'Journal'!$D$6:$D$1632,B120,'Journal'!$C$6:$C$1632,A120)</x:f>
        <x:v>0</x:v>
      </x:c>
      <x:c r="G120" s="9" t="n">
        <x:f>ROUND(E120-F120,2)</x:f>
        <x:v>7500</x:v>
      </x:c>
      <x:c r="H120" s="9" t="n">
        <x:f>ROUND(D120+G120,2)</x:f>
        <x:v>15000</x:v>
      </x:c>
    </x:row>
    <x:row r="121" ht="14" customHeight="1">
      <x:c r="A121" s="1" t="n">
        <x:v>2</x:v>
      </x:c>
      <x:c r="B121" s="1" t="str">
        <x:v>6310</x:v>
      </x:c>
      <x:c r="C121" s="1" t="str">
        <x:v>Miete Büro Nürnberg</x:v>
      </x:c>
      <x:c r="D121" s="9" t="n">
        <x:f>H53</x:f>
        <x:v>4000</x:v>
      </x:c>
      <x:c r="E121" s="9" t="n">
        <x:f>SUMIFS('Journal'!$E$6:$E$1632,'Journal'!$D$6:$D$1632,B121,'Journal'!$C$6:$C$1632,A121)</x:f>
        <x:v>4000</x:v>
      </x:c>
      <x:c r="F121" s="9" t="n">
        <x:f>SUMIFS('Journal'!$F$6:$F$1632,'Journal'!$D$6:$D$1632,B121,'Journal'!$C$6:$C$1632,A121)</x:f>
        <x:v>0</x:v>
      </x:c>
      <x:c r="G121" s="9" t="n">
        <x:f>ROUND(E121-F121,2)</x:f>
        <x:v>4000</x:v>
      </x:c>
      <x:c r="H121" s="9" t="n">
        <x:f>ROUND(D121+G121,2)</x:f>
        <x:v>8000</x:v>
      </x:c>
    </x:row>
    <x:row r="122" ht="14" customHeight="1">
      <x:c r="A122" s="1" t="n">
        <x:v>2</x:v>
      </x:c>
      <x:c r="B122" s="1" t="str">
        <x:v>6311</x:v>
      </x:c>
      <x:c r="C122" s="1" t="str">
        <x:v>Miete Lager Erlangen</x:v>
      </x:c>
      <x:c r="D122" s="9" t="n">
        <x:f>H54</x:f>
        <x:v>10000</x:v>
      </x:c>
      <x:c r="E122" s="9" t="n">
        <x:f>SUMIFS('Journal'!$E$6:$E$1632,'Journal'!$D$6:$D$1632,B122,'Journal'!$C$6:$C$1632,A122)</x:f>
        <x:v>10000</x:v>
      </x:c>
      <x:c r="F122" s="9" t="n">
        <x:f>SUMIFS('Journal'!$F$6:$F$1632,'Journal'!$D$6:$D$1632,B122,'Journal'!$C$6:$C$1632,A122)</x:f>
        <x:v>0</x:v>
      </x:c>
      <x:c r="G122" s="9" t="n">
        <x:f>ROUND(E122-F122,2)</x:f>
        <x:v>10000</x:v>
      </x:c>
      <x:c r="H122" s="9" t="n">
        <x:f>ROUND(D122+G122,2)</x:f>
        <x:v>20000</x:v>
      </x:c>
    </x:row>
    <x:row r="123" ht="14" customHeight="1">
      <x:c r="A123" s="1" t="n">
        <x:v>2</x:v>
      </x:c>
      <x:c r="B123" s="1" t="str">
        <x:v>6325</x:v>
      </x:c>
      <x:c r="C123" s="1" t="str">
        <x:v>Strom und Kühlung</x:v>
      </x:c>
      <x:c r="D123" s="9" t="n">
        <x:f>H55</x:f>
        <x:v>4500</x:v>
      </x:c>
      <x:c r="E123" s="9" t="n">
        <x:f>SUMIFS('Journal'!$E$6:$E$1632,'Journal'!$D$6:$D$1632,B123,'Journal'!$C$6:$C$1632,A123)</x:f>
        <x:v>4500</x:v>
      </x:c>
      <x:c r="F123" s="9" t="n">
        <x:f>SUMIFS('Journal'!$F$6:$F$1632,'Journal'!$D$6:$D$1632,B123,'Journal'!$C$6:$C$1632,A123)</x:f>
        <x:v>0</x:v>
      </x:c>
      <x:c r="G123" s="9" t="n">
        <x:f>ROUND(E123-F123,2)</x:f>
        <x:v>4500</x:v>
      </x:c>
      <x:c r="H123" s="9" t="n">
        <x:f>ROUND(D123+G123,2)</x:f>
        <x:v>9000</x:v>
      </x:c>
    </x:row>
    <x:row r="124" ht="14" customHeight="1">
      <x:c r="A124" s="1" t="n">
        <x:v>2</x:v>
      </x:c>
      <x:c r="B124" s="1" t="str">
        <x:v>6400</x:v>
      </x:c>
      <x:c r="C124" s="1" t="str">
        <x:v>Versicherungen</x:v>
      </x:c>
      <x:c r="D124" s="9" t="n">
        <x:f>H56</x:f>
        <x:v>2500</x:v>
      </x:c>
      <x:c r="E124" s="9" t="n">
        <x:f>SUMIFS('Journal'!$E$6:$E$1632,'Journal'!$D$6:$D$1632,B124,'Journal'!$C$6:$C$1632,A124)</x:f>
        <x:v>2500</x:v>
      </x:c>
      <x:c r="F124" s="9" t="n">
        <x:f>SUMIFS('Journal'!$F$6:$F$1632,'Journal'!$D$6:$D$1632,B124,'Journal'!$C$6:$C$1632,A124)</x:f>
        <x:v>0</x:v>
      </x:c>
      <x:c r="G124" s="9" t="n">
        <x:f>ROUND(E124-F124,2)</x:f>
        <x:v>2500</x:v>
      </x:c>
      <x:c r="H124" s="9" t="n">
        <x:f>ROUND(D124+G124,2)</x:f>
        <x:v>5000</x:v>
      </x:c>
    </x:row>
    <x:row r="125" ht="14" customHeight="1">
      <x:c r="A125" s="1" t="n">
        <x:v>2</x:v>
      </x:c>
      <x:c r="B125" s="1" t="str">
        <x:v>6470</x:v>
      </x:c>
      <x:c r="C125" s="1" t="str">
        <x:v>Lagerbetrieb und Reinigung</x:v>
      </x:c>
      <x:c r="D125" s="9" t="n">
        <x:f>H57</x:f>
        <x:v>6000</x:v>
      </x:c>
      <x:c r="E125" s="9" t="n">
        <x:f>SUMIFS('Journal'!$E$6:$E$1632,'Journal'!$D$6:$D$1632,B125,'Journal'!$C$6:$C$1632,A125)</x:f>
        <x:v>6000</x:v>
      </x:c>
      <x:c r="F125" s="9" t="n">
        <x:f>SUMIFS('Journal'!$F$6:$F$1632,'Journal'!$D$6:$D$1632,B125,'Journal'!$C$6:$C$1632,A125)</x:f>
        <x:v>0</x:v>
      </x:c>
      <x:c r="G125" s="9" t="n">
        <x:f>ROUND(E125-F125,2)</x:f>
        <x:v>6000</x:v>
      </x:c>
      <x:c r="H125" s="9" t="n">
        <x:f>ROUND(D125+G125,2)</x:f>
        <x:v>12000</x:v>
      </x:c>
    </x:row>
    <x:row r="126" ht="14" customHeight="1">
      <x:c r="A126" s="1" t="n">
        <x:v>2</x:v>
      </x:c>
      <x:c r="B126" s="1" t="str">
        <x:v>6490</x:v>
      </x:c>
      <x:c r="C126" s="1" t="str">
        <x:v>Reparaturen und Wartung</x:v>
      </x:c>
      <x:c r="D126" s="9" t="n">
        <x:f>H58</x:f>
        <x:v>2500</x:v>
      </x:c>
      <x:c r="E126" s="9" t="n">
        <x:f>SUMIFS('Journal'!$E$6:$E$1632,'Journal'!$D$6:$D$1632,B126,'Journal'!$C$6:$C$1632,A126)</x:f>
        <x:v>2500</x:v>
      </x:c>
      <x:c r="F126" s="9" t="n">
        <x:f>SUMIFS('Journal'!$F$6:$F$1632,'Journal'!$D$6:$D$1632,B126,'Journal'!$C$6:$C$1632,A126)</x:f>
        <x:v>0</x:v>
      </x:c>
      <x:c r="G126" s="9" t="n">
        <x:f>ROUND(E126-F126,2)</x:f>
        <x:v>2500</x:v>
      </x:c>
      <x:c r="H126" s="9" t="n">
        <x:f>ROUND(D126+G126,2)</x:f>
        <x:v>5000</x:v>
      </x:c>
    </x:row>
    <x:row r="127" ht="14" customHeight="1">
      <x:c r="A127" s="1" t="n">
        <x:v>2</x:v>
      </x:c>
      <x:c r="B127" s="1" t="str">
        <x:v>6600</x:v>
      </x:c>
      <x:c r="C127" s="1" t="str">
        <x:v>Marketing und Messen</x:v>
      </x:c>
      <x:c r="D127" s="9" t="n">
        <x:f>H59</x:f>
        <x:v>6000</x:v>
      </x:c>
      <x:c r="E127" s="9" t="n">
        <x:f>SUMIFS('Journal'!$E$6:$E$1632,'Journal'!$D$6:$D$1632,B127,'Journal'!$C$6:$C$1632,A127)</x:f>
        <x:v>6000</x:v>
      </x:c>
      <x:c r="F127" s="9" t="n">
        <x:f>SUMIFS('Journal'!$F$6:$F$1632,'Journal'!$D$6:$D$1632,B127,'Journal'!$C$6:$C$1632,A127)</x:f>
        <x:v>0</x:v>
      </x:c>
      <x:c r="G127" s="9" t="n">
        <x:f>ROUND(E127-F127,2)</x:f>
        <x:v>6000</x:v>
      </x:c>
      <x:c r="H127" s="9" t="n">
        <x:f>ROUND(D127+G127,2)</x:f>
        <x:v>12000</x:v>
      </x:c>
    </x:row>
    <x:row r="128" ht="14" customHeight="1">
      <x:c r="A128" s="1" t="n">
        <x:v>2</x:v>
      </x:c>
      <x:c r="B128" s="1" t="str">
        <x:v>6650</x:v>
      </x:c>
      <x:c r="C128" s="1" t="str">
        <x:v>Reisekosten</x:v>
      </x:c>
      <x:c r="D128" s="9" t="n">
        <x:f>H60</x:f>
        <x:v>1500</x:v>
      </x:c>
      <x:c r="E128" s="9" t="n">
        <x:f>SUMIFS('Journal'!$E$6:$E$1632,'Journal'!$D$6:$D$1632,B128,'Journal'!$C$6:$C$1632,A128)</x:f>
        <x:v>1500</x:v>
      </x:c>
      <x:c r="F128" s="9" t="n">
        <x:f>SUMIFS('Journal'!$F$6:$F$1632,'Journal'!$D$6:$D$1632,B128,'Journal'!$C$6:$C$1632,A128)</x:f>
        <x:v>0</x:v>
      </x:c>
      <x:c r="G128" s="9" t="n">
        <x:f>ROUND(E128-F128,2)</x:f>
        <x:v>1500</x:v>
      </x:c>
      <x:c r="H128" s="9" t="n">
        <x:f>ROUND(D128+G128,2)</x:f>
        <x:v>3000</x:v>
      </x:c>
    </x:row>
    <x:row r="129" ht="14" customHeight="1">
      <x:c r="A129" s="1" t="n">
        <x:v>2</x:v>
      </x:c>
      <x:c r="B129" s="1" t="str">
        <x:v>6740</x:v>
      </x:c>
      <x:c r="C129" s="1" t="str">
        <x:v>Ausgangsfrachten Inland</x:v>
      </x:c>
      <x:c r="D129" s="9" t="n">
        <x:f>H61</x:f>
        <x:v>13000</x:v>
      </x:c>
      <x:c r="E129" s="9" t="n">
        <x:f>SUMIFS('Journal'!$E$6:$E$1632,'Journal'!$D$6:$D$1632,B129,'Journal'!$C$6:$C$1632,A129)</x:f>
        <x:v>13000</x:v>
      </x:c>
      <x:c r="F129" s="9" t="n">
        <x:f>SUMIFS('Journal'!$F$6:$F$1632,'Journal'!$D$6:$D$1632,B129,'Journal'!$C$6:$C$1632,A129)</x:f>
        <x:v>0</x:v>
      </x:c>
      <x:c r="G129" s="9" t="n">
        <x:f>ROUND(E129-F129,2)</x:f>
        <x:v>13000</x:v>
      </x:c>
      <x:c r="H129" s="9" t="n">
        <x:f>ROUND(D129+G129,2)</x:f>
        <x:v>26000</x:v>
      </x:c>
    </x:row>
    <x:row r="130" ht="14" customHeight="1">
      <x:c r="A130" s="1" t="n">
        <x:v>2</x:v>
      </x:c>
      <x:c r="B130" s="1" t="str">
        <x:v>6741</x:v>
      </x:c>
      <x:c r="C130" s="1" t="str">
        <x:v>Ausgangsfrachten Ausland</x:v>
      </x:c>
      <x:c r="D130" s="9" t="n">
        <x:f>H62</x:f>
        <x:v>14000</x:v>
      </x:c>
      <x:c r="E130" s="9" t="n">
        <x:f>SUMIFS('Journal'!$E$6:$E$1632,'Journal'!$D$6:$D$1632,B130,'Journal'!$C$6:$C$1632,A130)</x:f>
        <x:v>14000</x:v>
      </x:c>
      <x:c r="F130" s="9" t="n">
        <x:f>SUMIFS('Journal'!$F$6:$F$1632,'Journal'!$D$6:$D$1632,B130,'Journal'!$C$6:$C$1632,A130)</x:f>
        <x:v>0</x:v>
      </x:c>
      <x:c r="G130" s="9" t="n">
        <x:f>ROUND(E130-F130,2)</x:f>
        <x:v>14000</x:v>
      </x:c>
      <x:c r="H130" s="9" t="n">
        <x:f>ROUND(D130+G130,2)</x:f>
        <x:v>28000</x:v>
      </x:c>
    </x:row>
    <x:row r="131" ht="14" customHeight="1">
      <x:c r="A131" s="1" t="n">
        <x:v>2</x:v>
      </x:c>
      <x:c r="B131" s="1" t="str">
        <x:v>6805</x:v>
      </x:c>
      <x:c r="C131" s="1" t="str">
        <x:v>Telekommunikation und IT</x:v>
      </x:c>
      <x:c r="D131" s="9" t="n">
        <x:f>H63</x:f>
        <x:v>4500</x:v>
      </x:c>
      <x:c r="E131" s="9" t="n">
        <x:f>SUMIFS('Journal'!$E$6:$E$1632,'Journal'!$D$6:$D$1632,B131,'Journal'!$C$6:$C$1632,A131)</x:f>
        <x:v>4500</x:v>
      </x:c>
      <x:c r="F131" s="9" t="n">
        <x:f>SUMIFS('Journal'!$F$6:$F$1632,'Journal'!$D$6:$D$1632,B131,'Journal'!$C$6:$C$1632,A131)</x:f>
        <x:v>0</x:v>
      </x:c>
      <x:c r="G131" s="9" t="n">
        <x:f>ROUND(E131-F131,2)</x:f>
        <x:v>4500</x:v>
      </x:c>
      <x:c r="H131" s="9" t="n">
        <x:f>ROUND(D131+G131,2)</x:f>
        <x:v>9000</x:v>
      </x:c>
    </x:row>
    <x:row r="132" ht="14" customHeight="1">
      <x:c r="A132" s="1" t="n">
        <x:v>2</x:v>
      </x:c>
      <x:c r="B132" s="1" t="str">
        <x:v>6825</x:v>
      </x:c>
      <x:c r="C132" s="1" t="str">
        <x:v>Rechtsberatung und Buchführung</x:v>
      </x:c>
      <x:c r="D132" s="9" t="n">
        <x:f>H64</x:f>
        <x:v>3000</x:v>
      </x:c>
      <x:c r="E132" s="9" t="n">
        <x:f>SUMIFS('Journal'!$E$6:$E$1632,'Journal'!$D$6:$D$1632,B132,'Journal'!$C$6:$C$1632,A132)</x:f>
        <x:v>3000</x:v>
      </x:c>
      <x:c r="F132" s="9" t="n">
        <x:f>SUMIFS('Journal'!$F$6:$F$1632,'Journal'!$D$6:$D$1632,B132,'Journal'!$C$6:$C$1632,A132)</x:f>
        <x:v>0</x:v>
      </x:c>
      <x:c r="G132" s="9" t="n">
        <x:f>ROUND(E132-F132,2)</x:f>
        <x:v>3000</x:v>
      </x:c>
      <x:c r="H132" s="9" t="n">
        <x:f>ROUND(D132+G132,2)</x:f>
        <x:v>6000</x:v>
      </x:c>
    </x:row>
    <x:row r="133" ht="14" customHeight="1">
      <x:c r="A133" s="1" t="n">
        <x:v>2</x:v>
      </x:c>
      <x:c r="B133" s="1" t="str">
        <x:v>6830</x:v>
      </x:c>
      <x:c r="C133" s="1" t="str">
        <x:v>Labor und Qualitätssicherung</x:v>
      </x:c>
      <x:c r="D133" s="9" t="n">
        <x:f>H65</x:f>
        <x:v>3500</x:v>
      </x:c>
      <x:c r="E133" s="9" t="n">
        <x:f>SUMIFS('Journal'!$E$6:$E$1632,'Journal'!$D$6:$D$1632,B133,'Journal'!$C$6:$C$1632,A133)</x:f>
        <x:v>3500</x:v>
      </x:c>
      <x:c r="F133" s="9" t="n">
        <x:f>SUMIFS('Journal'!$F$6:$F$1632,'Journal'!$D$6:$D$1632,B133,'Journal'!$C$6:$C$1632,A133)</x:f>
        <x:v>0</x:v>
      </x:c>
      <x:c r="G133" s="9" t="n">
        <x:f>ROUND(E133-F133,2)</x:f>
        <x:v>3500</x:v>
      </x:c>
      <x:c r="H133" s="9" t="n">
        <x:f>ROUND(D133+G133,2)</x:f>
        <x:v>7000</x:v>
      </x:c>
    </x:row>
    <x:row r="134" ht="14" customHeight="1">
      <x:c r="A134" s="1" t="n">
        <x:v>2</x:v>
      </x:c>
      <x:c r="B134" s="1" t="str">
        <x:v>6850</x:v>
      </x:c>
      <x:c r="C134" s="1" t="str">
        <x:v>Bürobedarf und übriger Aufwand</x:v>
      </x:c>
      <x:c r="D134" s="9" t="n">
        <x:f>H66</x:f>
        <x:v>2000</x:v>
      </x:c>
      <x:c r="E134" s="9" t="n">
        <x:f>SUMIFS('Journal'!$E$6:$E$1632,'Journal'!$D$6:$D$1632,B134,'Journal'!$C$6:$C$1632,A134)</x:f>
        <x:v>2000</x:v>
      </x:c>
      <x:c r="F134" s="9" t="n">
        <x:f>SUMIFS('Journal'!$F$6:$F$1632,'Journal'!$D$6:$D$1632,B134,'Journal'!$C$6:$C$1632,A134)</x:f>
        <x:v>0</x:v>
      </x:c>
      <x:c r="G134" s="9" t="n">
        <x:f>ROUND(E134-F134,2)</x:f>
        <x:v>2000</x:v>
      </x:c>
      <x:c r="H134" s="9" t="n">
        <x:f>ROUND(D134+G134,2)</x:f>
        <x:v>4000</x:v>
      </x:c>
    </x:row>
    <x:row r="135" ht="14" customHeight="1">
      <x:c r="A135" s="1" t="n">
        <x:v>2</x:v>
      </x:c>
      <x:c r="B135" s="1" t="str">
        <x:v>6855</x:v>
      </x:c>
      <x:c r="C135" s="1" t="str">
        <x:v>Zuführung Abschluss und Urlaubsrückstellungen</x:v>
      </x:c>
      <x:c r="D135" s="9" t="n">
        <x:f>H67</x:f>
        <x:v>0</x:v>
      </x:c>
      <x:c r="E135" s="9" t="n">
        <x:f>SUMIFS('Journal'!$E$6:$E$1632,'Journal'!$D$6:$D$1632,B135,'Journal'!$C$6:$C$1632,A135)</x:f>
        <x:v>0</x:v>
      </x:c>
      <x:c r="F135" s="9" t="n">
        <x:f>SUMIFS('Journal'!$F$6:$F$1632,'Journal'!$D$6:$D$1632,B135,'Journal'!$C$6:$C$1632,A135)</x:f>
        <x:v>0</x:v>
      </x:c>
      <x:c r="G135" s="9" t="n">
        <x:f>ROUND(E135-F135,2)</x:f>
        <x:v>0</x:v>
      </x:c>
      <x:c r="H135" s="9" t="n">
        <x:f>ROUND(D135+G135,2)</x:f>
        <x:v>0</x:v>
      </x:c>
    </x:row>
    <x:row r="136" ht="14" customHeight="1">
      <x:c r="A136" s="1" t="n">
        <x:v>2</x:v>
      </x:c>
      <x:c r="B136" s="1" t="str">
        <x:v>6859</x:v>
      </x:c>
      <x:c r="C136" s="1" t="str">
        <x:v>Bankgebühren</x:v>
      </x:c>
      <x:c r="D136" s="9" t="n">
        <x:f>H68</x:f>
        <x:v>500</x:v>
      </x:c>
      <x:c r="E136" s="9" t="n">
        <x:f>SUMIFS('Journal'!$E$6:$E$1632,'Journal'!$D$6:$D$1632,B136,'Journal'!$C$6:$C$1632,A136)</x:f>
        <x:v>500</x:v>
      </x:c>
      <x:c r="F136" s="9" t="n">
        <x:f>SUMIFS('Journal'!$F$6:$F$1632,'Journal'!$D$6:$D$1632,B136,'Journal'!$C$6:$C$1632,A136)</x:f>
        <x:v>0</x:v>
      </x:c>
      <x:c r="G136" s="9" t="n">
        <x:f>ROUND(E136-F136,2)</x:f>
        <x:v>500</x:v>
      </x:c>
      <x:c r="H136" s="9" t="n">
        <x:f>ROUND(D136+G136,2)</x:f>
        <x:v>1000</x:v>
      </x:c>
    </x:row>
    <x:row r="137" ht="14" customHeight="1">
      <x:c r="A137" s="1" t="n">
        <x:v>2</x:v>
      </x:c>
      <x:c r="B137" s="1" t="str">
        <x:v>6950</x:v>
      </x:c>
      <x:c r="C137" s="1" t="str">
        <x:v>Zuführung Einzelwertberichtigungen</x:v>
      </x:c>
      <x:c r="D137" s="9" t="n">
        <x:f>H69</x:f>
        <x:v>0</x:v>
      </x:c>
      <x:c r="E137" s="9" t="n">
        <x:f>SUMIFS('Journal'!$E$6:$E$1632,'Journal'!$D$6:$D$1632,B137,'Journal'!$C$6:$C$1632,A137)</x:f>
        <x:v>0</x:v>
      </x:c>
      <x:c r="F137" s="9" t="n">
        <x:f>SUMIFS('Journal'!$F$6:$F$1632,'Journal'!$D$6:$D$1632,B137,'Journal'!$C$6:$C$1632,A137)</x:f>
        <x:v>0</x:v>
      </x:c>
      <x:c r="G137" s="9" t="n">
        <x:f>ROUND(E137-F137,2)</x:f>
        <x:v>0</x:v>
      </x:c>
      <x:c r="H137" s="9" t="n">
        <x:f>ROUND(D137+G137,2)</x:f>
        <x:v>0</x:v>
      </x:c>
    </x:row>
    <x:row r="138" ht="14" customHeight="1">
      <x:c r="A138" s="1" t="n">
        <x:v>2</x:v>
      </x:c>
      <x:c r="B138" s="1" t="str">
        <x:v>7300</x:v>
      </x:c>
      <x:c r="C138" s="1" t="str">
        <x:v>Zinsen Investitionsdarlehen</x:v>
      </x:c>
      <x:c r="D138" s="9" t="n">
        <x:f>H70</x:f>
        <x:v>2500</x:v>
      </x:c>
      <x:c r="E138" s="9" t="n">
        <x:f>SUMIFS('Journal'!$E$6:$E$1632,'Journal'!$D$6:$D$1632,B138,'Journal'!$C$6:$C$1632,A138)</x:f>
        <x:v>2500</x:v>
      </x:c>
      <x:c r="F138" s="9" t="n">
        <x:f>SUMIFS('Journal'!$F$6:$F$1632,'Journal'!$D$6:$D$1632,B138,'Journal'!$C$6:$C$1632,A138)</x:f>
        <x:v>0</x:v>
      </x:c>
      <x:c r="G138" s="9" t="n">
        <x:f>ROUND(E138-F138,2)</x:f>
        <x:v>2500</x:v>
      </x:c>
      <x:c r="H138" s="9" t="n">
        <x:f>ROUND(D138+G138,2)</x:f>
        <x:v>5000</x:v>
      </x:c>
    </x:row>
    <x:row r="139" ht="14" customHeight="1">
      <x:c r="A139" s="1" t="n">
        <x:v>2</x:v>
      </x:c>
      <x:c r="B139" s="1" t="str">
        <x:v>7310</x:v>
      </x:c>
      <x:c r="C139" s="1" t="str">
        <x:v>Zinsen Kontokorrent</x:v>
      </x:c>
      <x:c r="D139" s="9" t="n">
        <x:f>H71</x:f>
        <x:v>1000</x:v>
      </x:c>
      <x:c r="E139" s="9" t="n">
        <x:f>SUMIFS('Journal'!$E$6:$E$1632,'Journal'!$D$6:$D$1632,B139,'Journal'!$C$6:$C$1632,A139)</x:f>
        <x:v>1000</x:v>
      </x:c>
      <x:c r="F139" s="9" t="n">
        <x:f>SUMIFS('Journal'!$F$6:$F$1632,'Journal'!$D$6:$D$1632,B139,'Journal'!$C$6:$C$1632,A139)</x:f>
        <x:v>0</x:v>
      </x:c>
      <x:c r="G139" s="9" t="n">
        <x:f>ROUND(E139-F139,2)</x:f>
        <x:v>1000</x:v>
      </x:c>
      <x:c r="H139" s="9" t="n">
        <x:f>ROUND(D139+G139,2)</x:f>
        <x:v>2000</x:v>
      </x:c>
    </x:row>
    <x:row r="140" ht="14" customHeight="1">
      <x:c r="A140" s="1" t="n">
        <x:v>2</x:v>
      </x:c>
      <x:c r="B140" s="1" t="str">
        <x:v>7320</x:v>
      </x:c>
      <x:c r="C140" s="1" t="str">
        <x:v>Zinsen Gesellschafterdarlehen</x:v>
      </x:c>
      <x:c r="D140" s="9" t="n">
        <x:f>H72</x:f>
        <x:v>0</x:v>
      </x:c>
      <x:c r="E140" s="9" t="n">
        <x:f>SUMIFS('Journal'!$E$6:$E$1632,'Journal'!$D$6:$D$1632,B140,'Journal'!$C$6:$C$1632,A140)</x:f>
        <x:v>0</x:v>
      </x:c>
      <x:c r="F140" s="9" t="n">
        <x:f>SUMIFS('Journal'!$F$6:$F$1632,'Journal'!$D$6:$D$1632,B140,'Journal'!$C$6:$C$1632,A140)</x:f>
        <x:v>0</x:v>
      </x:c>
      <x:c r="G140" s="9" t="n">
        <x:f>ROUND(E140-F140,2)</x:f>
        <x:v>0</x:v>
      </x:c>
      <x:c r="H140" s="9" t="n">
        <x:f>ROUND(D140+G140,2)</x:f>
        <x:v>0</x:v>
      </x:c>
    </x:row>
    <x:row r="141" ht="14" customHeight="1">
      <x:c r="A141" s="1" t="n">
        <x:v>2</x:v>
      </x:c>
      <x:c r="B141" s="1" t="str">
        <x:v>7600</x:v>
      </x:c>
      <x:c r="C141" s="1" t="str">
        <x:v>Ertragsteueraufwand</x:v>
      </x:c>
      <x:c r="D141" s="9" t="n">
        <x:f>H73</x:f>
        <x:v>0</x:v>
      </x:c>
      <x:c r="E141" s="9" t="n">
        <x:f>SUMIFS('Journal'!$E$6:$E$1632,'Journal'!$D$6:$D$1632,B141,'Journal'!$C$6:$C$1632,A141)</x:f>
        <x:v>0</x:v>
      </x:c>
      <x:c r="F141" s="9" t="n">
        <x:f>SUMIFS('Journal'!$F$6:$F$1632,'Journal'!$D$6:$D$1632,B141,'Journal'!$C$6:$C$1632,A141)</x:f>
        <x:v>0</x:v>
      </x:c>
      <x:c r="G141" s="9" t="n">
        <x:f>ROUND(E141-F141,2)</x:f>
        <x:v>0</x:v>
      </x:c>
      <x:c r="H141" s="9" t="n">
        <x:f>ROUND(D141+G141,2)</x:f>
        <x:v>0</x:v>
      </x:c>
    </x:row>
    <x:row r="142" ht="14" customHeight="1">
      <x:c r="A142" s="1" t="n">
        <x:v>3</x:v>
      </x:c>
      <x:c r="B142" s="1" t="str">
        <x:v>0100</x:v>
      </x:c>
      <x:c r="C142" s="1" t="str">
        <x:v>Software</x:v>
      </x:c>
      <x:c r="D142" s="9" t="n">
        <x:f>H74</x:f>
        <x:v>19000</x:v>
      </x:c>
      <x:c r="E142" s="9" t="n">
        <x:f>SUMIFS('Journal'!$E$6:$E$1632,'Journal'!$D$6:$D$1632,B142,'Journal'!$C$6:$C$1632,A142)</x:f>
        <x:v>0</x:v>
      </x:c>
      <x:c r="F142" s="9" t="n">
        <x:f>SUMIFS('Journal'!$F$6:$F$1632,'Journal'!$D$6:$D$1632,B142,'Journal'!$C$6:$C$1632,A142)</x:f>
        <x:v>500</x:v>
      </x:c>
      <x:c r="G142" s="9" t="n">
        <x:f>ROUND(E142-F142,2)</x:f>
        <x:v>-500</x:v>
      </x:c>
      <x:c r="H142" s="9" t="n">
        <x:f>ROUND(D142+G142,2)</x:f>
        <x:v>18500</x:v>
      </x:c>
    </x:row>
    <x:row r="143" ht="14" customHeight="1">
      <x:c r="A143" s="1" t="n">
        <x:v>3</x:v>
      </x:c>
      <x:c r="B143" s="1" t="str">
        <x:v>0400</x:v>
      </x:c>
      <x:c r="C143" s="1" t="str">
        <x:v>Lagereinbauten Erlangen</x:v>
      </x:c>
      <x:c r="D143" s="9" t="n">
        <x:f>H75</x:f>
        <x:v>235000</x:v>
      </x:c>
      <x:c r="E143" s="9" t="n">
        <x:f>SUMIFS('Journal'!$E$6:$E$1632,'Journal'!$D$6:$D$1632,B143,'Journal'!$C$6:$C$1632,A143)</x:f>
        <x:v>0</x:v>
      </x:c>
      <x:c r="F143" s="9" t="n">
        <x:f>SUMIFS('Journal'!$F$6:$F$1632,'Journal'!$D$6:$D$1632,B143,'Journal'!$C$6:$C$1632,A143)</x:f>
        <x:v>2500</x:v>
      </x:c>
      <x:c r="G143" s="9" t="n">
        <x:f>ROUND(E143-F143,2)</x:f>
        <x:v>-2500</x:v>
      </x:c>
      <x:c r="H143" s="9" t="n">
        <x:f>ROUND(D143+G143,2)</x:f>
        <x:v>232500</x:v>
      </x:c>
    </x:row>
    <x:row r="144" ht="14" customHeight="1">
      <x:c r="A144" s="1" t="n">
        <x:v>3</x:v>
      </x:c>
      <x:c r="B144" s="1" t="str">
        <x:v>0520</x:v>
      </x:c>
      <x:c r="C144" s="1" t="str">
        <x:v>Flurförderzeuge</x:v>
      </x:c>
      <x:c r="D144" s="9" t="n">
        <x:f>H76</x:f>
        <x:v>133000</x:v>
      </x:c>
      <x:c r="E144" s="9" t="n">
        <x:f>SUMIFS('Journal'!$E$6:$E$1632,'Journal'!$D$6:$D$1632,B144,'Journal'!$C$6:$C$1632,A144)</x:f>
        <x:v>0</x:v>
      </x:c>
      <x:c r="F144" s="9" t="n">
        <x:f>SUMIFS('Journal'!$F$6:$F$1632,'Journal'!$D$6:$D$1632,B144,'Journal'!$C$6:$C$1632,A144)</x:f>
        <x:v>1500</x:v>
      </x:c>
      <x:c r="G144" s="9" t="n">
        <x:f>ROUND(E144-F144,2)</x:f>
        <x:v>-1500</x:v>
      </x:c>
      <x:c r="H144" s="9" t="n">
        <x:f>ROUND(D144+G144,2)</x:f>
        <x:v>131500</x:v>
      </x:c>
    </x:row>
    <x:row r="145" ht="14" customHeight="1">
      <x:c r="A145" s="1" t="n">
        <x:v>3</x:v>
      </x:c>
      <x:c r="B145" s="1" t="str">
        <x:v>0650</x:v>
      </x:c>
      <x:c r="C145" s="1" t="str">
        <x:v>IT und Kommunikation</x:v>
      </x:c>
      <x:c r="D145" s="9" t="n">
        <x:f>H77</x:f>
        <x:v>76000</x:v>
      </x:c>
      <x:c r="E145" s="9" t="n">
        <x:f>SUMIFS('Journal'!$E$6:$E$1632,'Journal'!$D$6:$D$1632,B145,'Journal'!$C$6:$C$1632,A145)</x:f>
        <x:v>0</x:v>
      </x:c>
      <x:c r="F145" s="9" t="n">
        <x:f>SUMIFS('Journal'!$F$6:$F$1632,'Journal'!$D$6:$D$1632,B145,'Journal'!$C$6:$C$1632,A145)</x:f>
        <x:v>2000</x:v>
      </x:c>
      <x:c r="G145" s="9" t="n">
        <x:f>ROUND(E145-F145,2)</x:f>
        <x:v>-2000</x:v>
      </x:c>
      <x:c r="H145" s="9" t="n">
        <x:f>ROUND(D145+G145,2)</x:f>
        <x:v>74000</x:v>
      </x:c>
    </x:row>
    <x:row r="146" ht="14" customHeight="1">
      <x:c r="A146" s="1" t="n">
        <x:v>3</x:v>
      </x:c>
      <x:c r="B146" s="1" t="str">
        <x:v>0670</x:v>
      </x:c>
      <x:c r="C146" s="1" t="str">
        <x:v>Büroausstattung</x:v>
      </x:c>
      <x:c r="D146" s="9" t="n">
        <x:f>H78</x:f>
        <x:v>58000</x:v>
      </x:c>
      <x:c r="E146" s="9" t="n">
        <x:f>SUMIFS('Journal'!$E$6:$E$1632,'Journal'!$D$6:$D$1632,B146,'Journal'!$C$6:$C$1632,A146)</x:f>
        <x:v>0</x:v>
      </x:c>
      <x:c r="F146" s="9" t="n">
        <x:f>SUMIFS('Journal'!$F$6:$F$1632,'Journal'!$D$6:$D$1632,B146,'Journal'!$C$6:$C$1632,A146)</x:f>
        <x:v>1000</x:v>
      </x:c>
      <x:c r="G146" s="9" t="n">
        <x:f>ROUND(E146-F146,2)</x:f>
        <x:v>-1000</x:v>
      </x:c>
      <x:c r="H146" s="9" t="n">
        <x:f>ROUND(D146+G146,2)</x:f>
        <x:v>57000</x:v>
      </x:c>
    </x:row>
    <x:row r="147" ht="14" customHeight="1">
      <x:c r="A147" s="1" t="n">
        <x:v>3</x:v>
      </x:c>
      <x:c r="B147" s="1" t="str">
        <x:v>1140</x:v>
      </x:c>
      <x:c r="C147" s="1" t="str">
        <x:v>Warenbestand</x:v>
      </x:c>
      <x:c r="D147" s="9" t="n">
        <x:f>H79</x:f>
        <x:v>680000</x:v>
      </x:c>
      <x:c r="E147" s="9" t="n">
        <x:f>SUMIFS('Journal'!$E$6:$E$1632,'Journal'!$D$6:$D$1632,B147,'Journal'!$C$6:$C$1632,A147)</x:f>
        <x:v>408407.5</x:v>
      </x:c>
      <x:c r="F147" s="9" t="n">
        <x:f>SUMIFS('Journal'!$F$6:$F$1632,'Journal'!$D$6:$D$1632,B147,'Journal'!$C$6:$C$1632,A147)</x:f>
        <x:v>388407.5</x:v>
      </x:c>
      <x:c r="G147" s="9" t="n">
        <x:f>ROUND(E147-F147,2)</x:f>
        <x:v>20000</x:v>
      </x:c>
      <x:c r="H147" s="9" t="n">
        <x:f>ROUND(D147+G147,2)</x:f>
        <x:v>700000</x:v>
      </x:c>
    </x:row>
    <x:row r="148" ht="14" customHeight="1">
      <x:c r="A148" s="1" t="n">
        <x:v>3</x:v>
      </x:c>
      <x:c r="B148" s="1" t="str">
        <x:v>1200</x:v>
      </x:c>
      <x:c r="C148" s="1" t="str">
        <x:v>Forderungen aus Lieferungen und Leistungen</x:v>
      </x:c>
      <x:c r="D148" s="9" t="n">
        <x:f>H80</x:f>
        <x:v>770000</x:v>
      </x:c>
      <x:c r="E148" s="9" t="n">
        <x:f>SUMIFS('Journal'!$E$6:$E$1632,'Journal'!$D$6:$D$1632,B148,'Journal'!$C$6:$C$1632,A148)</x:f>
        <x:v>633840</x:v>
      </x:c>
      <x:c r="F148" s="9" t="n">
        <x:f>SUMIFS('Journal'!$F$6:$F$1632,'Journal'!$D$6:$D$1632,B148,'Journal'!$C$6:$C$1632,A148)</x:f>
        <x:v>643840</x:v>
      </x:c>
      <x:c r="G148" s="9" t="n">
        <x:f>ROUND(E148-F148,2)</x:f>
        <x:v>-10000</x:v>
      </x:c>
      <x:c r="H148" s="9" t="n">
        <x:f>ROUND(D148+G148,2)</x:f>
        <x:v>760000</x:v>
      </x:c>
    </x:row>
    <x:row r="149" ht="14" customHeight="1">
      <x:c r="A149" s="1" t="n">
        <x:v>3</x:v>
      </x:c>
      <x:c r="B149" s="1" t="str">
        <x:v>1248</x:v>
      </x:c>
      <x:c r="C149" s="1" t="str">
        <x:v>Einzelwertberichtigungen zu Forderungen</x:v>
      </x:c>
      <x:c r="D149" s="9" t="n">
        <x:f>H81</x:f>
        <x:v>-20000</x:v>
      </x:c>
      <x:c r="E149" s="9" t="n">
        <x:f>SUMIFS('Journal'!$E$6:$E$1632,'Journal'!$D$6:$D$1632,B149,'Journal'!$C$6:$C$1632,A149)</x:f>
        <x:v>0</x:v>
      </x:c>
      <x:c r="F149" s="9" t="n">
        <x:f>SUMIFS('Journal'!$F$6:$F$1632,'Journal'!$D$6:$D$1632,B149,'Journal'!$C$6:$C$1632,A149)</x:f>
        <x:v>0</x:v>
      </x:c>
      <x:c r="G149" s="9" t="n">
        <x:f>ROUND(E149-F149,2)</x:f>
        <x:v>0</x:v>
      </x:c>
      <x:c r="H149" s="9" t="n">
        <x:f>ROUND(D149+G149,2)</x:f>
        <x:v>-20000</x:v>
      </x:c>
    </x:row>
    <x:row r="150" ht="14" customHeight="1">
      <x:c r="A150" s="1" t="n">
        <x:v>3</x:v>
      </x:c>
      <x:c r="B150" s="1" t="str">
        <x:v>1300</x:v>
      </x:c>
      <x:c r="C150" s="1" t="str">
        <x:v>Geleistete Lieferantenanzahlungen</x:v>
      </x:c>
      <x:c r="D150" s="9" t="n">
        <x:f>H82</x:f>
        <x:v>40000</x:v>
      </x:c>
      <x:c r="E150" s="9" t="n">
        <x:f>SUMIFS('Journal'!$E$6:$E$1632,'Journal'!$D$6:$D$1632,B150,'Journal'!$C$6:$C$1632,A150)</x:f>
        <x:v>0</x:v>
      </x:c>
      <x:c r="F150" s="9" t="n">
        <x:f>SUMIFS('Journal'!$F$6:$F$1632,'Journal'!$D$6:$D$1632,B150,'Journal'!$C$6:$C$1632,A150)</x:f>
        <x:v>0</x:v>
      </x:c>
      <x:c r="G150" s="9" t="n">
        <x:f>ROUND(E150-F150,2)</x:f>
        <x:v>0</x:v>
      </x:c>
      <x:c r="H150" s="9" t="n">
        <x:f>ROUND(D150+G150,2)</x:f>
        <x:v>40000</x:v>
      </x:c>
    </x:row>
    <x:row r="151" ht="14" customHeight="1">
      <x:c r="A151" s="1" t="n">
        <x:v>3</x:v>
      </x:c>
      <x:c r="B151" s="1" t="str">
        <x:v>1350</x:v>
      </x:c>
      <x:c r="C151" s="1" t="str">
        <x:v>Mietkaution Erlangen</x:v>
      </x:c>
      <x:c r="D151" s="9" t="n">
        <x:f>H83</x:f>
        <x:v>25000</x:v>
      </x:c>
      <x:c r="E151" s="9" t="n">
        <x:f>SUMIFS('Journal'!$E$6:$E$1632,'Journal'!$D$6:$D$1632,B151,'Journal'!$C$6:$C$1632,A151)</x:f>
        <x:v>0</x:v>
      </x:c>
      <x:c r="F151" s="9" t="n">
        <x:f>SUMIFS('Journal'!$F$6:$F$1632,'Journal'!$D$6:$D$1632,B151,'Journal'!$C$6:$C$1632,A151)</x:f>
        <x:v>0</x:v>
      </x:c>
      <x:c r="G151" s="9" t="n">
        <x:f>ROUND(E151-F151,2)</x:f>
        <x:v>0</x:v>
      </x:c>
      <x:c r="H151" s="9" t="n">
        <x:f>ROUND(D151+G151,2)</x:f>
        <x:v>25000</x:v>
      </x:c>
    </x:row>
    <x:row r="152" ht="14" customHeight="1">
      <x:c r="A152" s="1" t="n">
        <x:v>3</x:v>
      </x:c>
      <x:c r="B152" s="1" t="str">
        <x:v>1401</x:v>
      </x:c>
      <x:c r="C152" s="1" t="str">
        <x:v>Vorsteuer Inland 7 Prozent</x:v>
      </x:c>
      <x:c r="D152" s="9" t="n">
        <x:f>H84</x:f>
        <x:v>0</x:v>
      </x:c>
      <x:c r="E152" s="9" t="n">
        <x:f>SUMIFS('Journal'!$E$6:$E$1632,'Journal'!$D$6:$D$1632,B152,'Journal'!$C$6:$C$1632,A152)</x:f>
        <x:v>10863.64</x:v>
      </x:c>
      <x:c r="F152" s="9" t="n">
        <x:f>SUMIFS('Journal'!$F$6:$F$1632,'Journal'!$D$6:$D$1632,B152,'Journal'!$C$6:$C$1632,A152)</x:f>
        <x:v>10863.64</x:v>
      </x:c>
      <x:c r="G152" s="9" t="n">
        <x:f>ROUND(E152-F152,2)</x:f>
        <x:v>0</x:v>
      </x:c>
      <x:c r="H152" s="9" t="n">
        <x:f>ROUND(D152+G152,2)</x:f>
        <x:v>0</x:v>
      </x:c>
    </x:row>
    <x:row r="153" ht="14" customHeight="1">
      <x:c r="A153" s="1" t="n">
        <x:v>3</x:v>
      </x:c>
      <x:c r="B153" s="1" t="str">
        <x:v>1406</x:v>
      </x:c>
      <x:c r="C153" s="1" t="str">
        <x:v>Vorsteuer Inland 19 Prozent</x:v>
      </x:c>
      <x:c r="D153" s="9" t="n">
        <x:f>H85</x:f>
        <x:v>0</x:v>
      </x:c>
      <x:c r="E153" s="9" t="n">
        <x:f>SUMIFS('Journal'!$E$6:$E$1632,'Journal'!$D$6:$D$1632,B153,'Journal'!$C$6:$C$1632,A153)</x:f>
        <x:v>19016.82</x:v>
      </x:c>
      <x:c r="F153" s="9" t="n">
        <x:f>SUMIFS('Journal'!$F$6:$F$1632,'Journal'!$D$6:$D$1632,B153,'Journal'!$C$6:$C$1632,A153)</x:f>
        <x:v>19016.82</x:v>
      </x:c>
      <x:c r="G153" s="9" t="n">
        <x:f>ROUND(E153-F153,2)</x:f>
        <x:v>0</x:v>
      </x:c>
      <x:c r="H153" s="9" t="n">
        <x:f>ROUND(D153+G153,2)</x:f>
        <x:v>0</x:v>
      </x:c>
    </x:row>
    <x:row r="154" ht="14" customHeight="1">
      <x:c r="A154" s="1" t="n">
        <x:v>3</x:v>
      </x:c>
      <x:c r="B154" s="1" t="str">
        <x:v>1404</x:v>
      </x:c>
      <x:c r="C154" s="1" t="str">
        <x:v>Vorsteuer EU Erwerb 7 Prozent</x:v>
      </x:c>
      <x:c r="D154" s="9" t="n">
        <x:f>H86</x:f>
        <x:v>0</x:v>
      </x:c>
      <x:c r="E154" s="9" t="n">
        <x:f>SUMIFS('Journal'!$E$6:$E$1632,'Journal'!$D$6:$D$1632,B154,'Journal'!$C$6:$C$1632,A154)</x:f>
        <x:v>5717.7</x:v>
      </x:c>
      <x:c r="F154" s="9" t="n">
        <x:f>SUMIFS('Journal'!$F$6:$F$1632,'Journal'!$D$6:$D$1632,B154,'Journal'!$C$6:$C$1632,A154)</x:f>
        <x:v>5717.7</x:v>
      </x:c>
      <x:c r="G154" s="9" t="n">
        <x:f>ROUND(E154-F154,2)</x:f>
        <x:v>0</x:v>
      </x:c>
      <x:c r="H154" s="9" t="n">
        <x:f>ROUND(D154+G154,2)</x:f>
        <x:v>0</x:v>
      </x:c>
    </x:row>
    <x:row r="155" ht="14" customHeight="1">
      <x:c r="A155" s="1" t="n">
        <x:v>3</x:v>
      </x:c>
      <x:c r="B155" s="1" t="str">
        <x:v>1409</x:v>
      </x:c>
      <x:c r="C155" s="1" t="str">
        <x:v>Vorsteuer EU Erwerb 19 Prozent</x:v>
      </x:c>
      <x:c r="D155" s="9" t="n">
        <x:f>H87</x:f>
        <x:v>0</x:v>
      </x:c>
      <x:c r="E155" s="9" t="n">
        <x:f>SUMIFS('Journal'!$E$6:$E$1632,'Journal'!$D$6:$D$1632,B155,'Journal'!$C$6:$C$1632,A155)</x:f>
        <x:v>3879.87</x:v>
      </x:c>
      <x:c r="F155" s="9" t="n">
        <x:f>SUMIFS('Journal'!$F$6:$F$1632,'Journal'!$D$6:$D$1632,B155,'Journal'!$C$6:$C$1632,A155)</x:f>
        <x:v>3879.87</x:v>
      </x:c>
      <x:c r="G155" s="9" t="n">
        <x:f>ROUND(E155-F155,2)</x:f>
        <x:v>0</x:v>
      </x:c>
      <x:c r="H155" s="9" t="n">
        <x:f>ROUND(D155+G155,2)</x:f>
        <x:v>0</x:v>
      </x:c>
    </x:row>
    <x:row r="156" ht="14" customHeight="1">
      <x:c r="A156" s="1" t="n">
        <x:v>3</x:v>
      </x:c>
      <x:c r="B156" s="1" t="str">
        <x:v>1433</x:v>
      </x:c>
      <x:c r="C156" s="1" t="str">
        <x:v>Einfuhrumsatzsteuer</x:v>
      </x:c>
      <x:c r="D156" s="9" t="n">
        <x:f>H88</x:f>
        <x:v>0</x:v>
      </x:c>
      <x:c r="E156" s="9" t="n">
        <x:f>SUMIFS('Journal'!$E$6:$E$1632,'Journal'!$D$6:$D$1632,B156,'Journal'!$C$6:$C$1632,A156)</x:f>
        <x:v>10046.82</x:v>
      </x:c>
      <x:c r="F156" s="9" t="n">
        <x:f>SUMIFS('Journal'!$F$6:$F$1632,'Journal'!$D$6:$D$1632,B156,'Journal'!$C$6:$C$1632,A156)</x:f>
        <x:v>10046.82</x:v>
      </x:c>
      <x:c r="G156" s="9" t="n">
        <x:f>ROUND(E156-F156,2)</x:f>
        <x:v>0</x:v>
      </x:c>
      <x:c r="H156" s="9" t="n">
        <x:f>ROUND(D156+G156,2)</x:f>
        <x:v>0</x:v>
      </x:c>
    </x:row>
    <x:row r="157" ht="14" customHeight="1">
      <x:c r="A157" s="1" t="n">
        <x:v>3</x:v>
      </x:c>
      <x:c r="B157" s="1" t="str">
        <x:v>1600</x:v>
      </x:c>
      <x:c r="C157" s="1" t="str">
        <x:v>Kasse</x:v>
      </x:c>
      <x:c r="D157" s="9" t="n">
        <x:f>H89</x:f>
        <x:v>3000</x:v>
      </x:c>
      <x:c r="E157" s="9" t="n">
        <x:f>SUMIFS('Journal'!$E$6:$E$1632,'Journal'!$D$6:$D$1632,B157,'Journal'!$C$6:$C$1632,A157)</x:f>
        <x:v>300</x:v>
      </x:c>
      <x:c r="F157" s="9" t="n">
        <x:f>SUMIFS('Journal'!$F$6:$F$1632,'Journal'!$D$6:$D$1632,B157,'Journal'!$C$6:$C$1632,A157)</x:f>
        <x:v>300</x:v>
      </x:c>
      <x:c r="G157" s="9" t="n">
        <x:f>ROUND(E157-F157,2)</x:f>
        <x:v>0</x:v>
      </x:c>
      <x:c r="H157" s="9" t="n">
        <x:f>ROUND(D157+G157,2)</x:f>
        <x:v>3000</x:v>
      </x:c>
    </x:row>
    <x:row r="158" ht="14" customHeight="1">
      <x:c r="A158" s="1" t="n">
        <x:v>3</x:v>
      </x:c>
      <x:c r="B158" s="1" t="str">
        <x:v>1800</x:v>
      </x:c>
      <x:c r="C158" s="1" t="str">
        <x:v>Bank Frankenbogen Geschäftskonto</x:v>
      </x:c>
      <x:c r="D158" s="9" t="n">
        <x:f>H90</x:f>
        <x:v>99928.58</x:v>
      </x:c>
      <x:c r="E158" s="9" t="n">
        <x:f>SUMIFS('Journal'!$E$6:$E$1632,'Journal'!$D$6:$D$1632,B158,'Journal'!$C$6:$C$1632,A158)</x:f>
        <x:v>648201.02</x:v>
      </x:c>
      <x:c r="F158" s="9" t="n">
        <x:f>SUMIFS('Journal'!$F$6:$F$1632,'Journal'!$D$6:$D$1632,B158,'Journal'!$C$6:$C$1632,A158)</x:f>
        <x:v>662334.78</x:v>
      </x:c>
      <x:c r="G158" s="9" t="n">
        <x:f>ROUND(E158-F158,2)</x:f>
        <x:v>-14133.76</x:v>
      </x:c>
      <x:c r="H158" s="9" t="n">
        <x:f>ROUND(D158+G158,2)</x:f>
        <x:v>85794.82</x:v>
      </x:c>
    </x:row>
    <x:row r="159" ht="14" customHeight="1">
      <x:c r="A159" s="1" t="n">
        <x:v>3</x:v>
      </x:c>
      <x:c r="B159" s="1" t="str">
        <x:v>1900</x:v>
      </x:c>
      <x:c r="C159" s="1" t="str">
        <x:v>Aktive Rechnungsabgrenzung</x:v>
      </x:c>
      <x:c r="D159" s="9" t="n">
        <x:f>H91</x:f>
        <x:v>12000</x:v>
      </x:c>
      <x:c r="E159" s="9" t="n">
        <x:f>SUMIFS('Journal'!$E$6:$E$1632,'Journal'!$D$6:$D$1632,B159,'Journal'!$C$6:$C$1632,A159)</x:f>
        <x:v>0</x:v>
      </x:c>
      <x:c r="F159" s="9" t="n">
        <x:f>SUMIFS('Journal'!$F$6:$F$1632,'Journal'!$D$6:$D$1632,B159,'Journal'!$C$6:$C$1632,A159)</x:f>
        <x:v>3000</x:v>
      </x:c>
      <x:c r="G159" s="9" t="n">
        <x:f>ROUND(E159-F159,2)</x:f>
        <x:v>-3000</x:v>
      </x:c>
      <x:c r="H159" s="9" t="n">
        <x:f>ROUND(D159+G159,2)</x:f>
        <x:v>9000</x:v>
      </x:c>
    </x:row>
    <x:row r="160" ht="14" customHeight="1">
      <x:c r="A160" s="1" t="n">
        <x:v>3</x:v>
      </x:c>
      <x:c r="B160" s="1" t="str">
        <x:v>2900</x:v>
      </x:c>
      <x:c r="C160" s="1" t="str">
        <x:v>Gezeichnetes Kapital</x:v>
      </x:c>
      <x:c r="D160" s="9" t="n">
        <x:f>H92</x:f>
        <x:v>-100000</x:v>
      </x:c>
      <x:c r="E160" s="9" t="n">
        <x:f>SUMIFS('Journal'!$E$6:$E$1632,'Journal'!$D$6:$D$1632,B160,'Journal'!$C$6:$C$1632,A160)</x:f>
        <x:v>0</x:v>
      </x:c>
      <x:c r="F160" s="9" t="n">
        <x:f>SUMIFS('Journal'!$F$6:$F$1632,'Journal'!$D$6:$D$1632,B160,'Journal'!$C$6:$C$1632,A160)</x:f>
        <x:v>0</x:v>
      </x:c>
      <x:c r="G160" s="9" t="n">
        <x:f>ROUND(E160-F160,2)</x:f>
        <x:v>0</x:v>
      </x:c>
      <x:c r="H160" s="9" t="n">
        <x:f>ROUND(D160+G160,2)</x:f>
        <x:v>-100000</x:v>
      </x:c>
    </x:row>
    <x:row r="161" ht="14" customHeight="1">
      <x:c r="A161" s="1" t="n">
        <x:v>3</x:v>
      </x:c>
      <x:c r="B161" s="1" t="str">
        <x:v>2970</x:v>
      </x:c>
      <x:c r="C161" s="1" t="str">
        <x:v>Gewinnvortrag bis 2023</x:v>
      </x:c>
      <x:c r="D161" s="9" t="n">
        <x:f>H93</x:f>
        <x:v>-705000</x:v>
      </x:c>
      <x:c r="E161" s="9" t="n">
        <x:f>SUMIFS('Journal'!$E$6:$E$1632,'Journal'!$D$6:$D$1632,B161,'Journal'!$C$6:$C$1632,A161)</x:f>
        <x:v>0</x:v>
      </x:c>
      <x:c r="F161" s="9" t="n">
        <x:f>SUMIFS('Journal'!$F$6:$F$1632,'Journal'!$D$6:$D$1632,B161,'Journal'!$C$6:$C$1632,A161)</x:f>
        <x:v>0</x:v>
      </x:c>
      <x:c r="G161" s="9" t="n">
        <x:f>ROUND(E161-F161,2)</x:f>
        <x:v>0</x:v>
      </x:c>
      <x:c r="H161" s="9" t="n">
        <x:f>ROUND(D161+G161,2)</x:f>
        <x:v>-705000</x:v>
      </x:c>
    </x:row>
    <x:row r="162" ht="14" customHeight="1">
      <x:c r="A162" s="1" t="n">
        <x:v>3</x:v>
      </x:c>
      <x:c r="B162" s="1" t="str">
        <x:v>2978</x:v>
      </x:c>
      <x:c r="C162" s="1" t="str">
        <x:v>Ergebnisvortrag 2024</x:v>
      </x:c>
      <x:c r="D162" s="9" t="n">
        <x:f>H94</x:f>
        <x:v>0</x:v>
      </x:c>
      <x:c r="E162" s="9" t="n">
        <x:f>SUMIFS('Journal'!$E$6:$E$1632,'Journal'!$D$6:$D$1632,B162,'Journal'!$C$6:$C$1632,A162)</x:f>
        <x:v>0</x:v>
      </x:c>
      <x:c r="F162" s="9" t="n">
        <x:f>SUMIFS('Journal'!$F$6:$F$1632,'Journal'!$D$6:$D$1632,B162,'Journal'!$C$6:$C$1632,A162)</x:f>
        <x:v>0</x:v>
      </x:c>
      <x:c r="G162" s="9" t="n">
        <x:f>ROUND(E162-F162,2)</x:f>
        <x:v>0</x:v>
      </x:c>
      <x:c r="H162" s="9" t="n">
        <x:f>ROUND(D162+G162,2)</x:f>
        <x:v>0</x:v>
      </x:c>
    </x:row>
    <x:row r="163" ht="14" customHeight="1">
      <x:c r="A163" s="1" t="n">
        <x:v>3</x:v>
      </x:c>
      <x:c r="B163" s="1" t="str">
        <x:v>3090</x:v>
      </x:c>
      <x:c r="C163" s="1" t="str">
        <x:v>Rückstellungen Abschluss und Urlaub</x:v>
      </x:c>
      <x:c r="D163" s="9" t="n">
        <x:f>H95</x:f>
        <x:v>-45000</x:v>
      </x:c>
      <x:c r="E163" s="9" t="n">
        <x:f>SUMIFS('Journal'!$E$6:$E$1632,'Journal'!$D$6:$D$1632,B163,'Journal'!$C$6:$C$1632,A163)</x:f>
        <x:v>0</x:v>
      </x:c>
      <x:c r="F163" s="9" t="n">
        <x:f>SUMIFS('Journal'!$F$6:$F$1632,'Journal'!$D$6:$D$1632,B163,'Journal'!$C$6:$C$1632,A163)</x:f>
        <x:v>0</x:v>
      </x:c>
      <x:c r="G163" s="9" t="n">
        <x:f>ROUND(E163-F163,2)</x:f>
        <x:v>0</x:v>
      </x:c>
      <x:c r="H163" s="9" t="n">
        <x:f>ROUND(D163+G163,2)</x:f>
        <x:v>-45000</x:v>
      </x:c>
    </x:row>
    <x:row r="164" ht="14" customHeight="1">
      <x:c r="A164" s="1" t="n">
        <x:v>3</x:v>
      </x:c>
      <x:c r="B164" s="1" t="str">
        <x:v>3150</x:v>
      </x:c>
      <x:c r="C164" s="1" t="str">
        <x:v>Investitionsdarlehen Frankenbogen</x:v>
      </x:c>
      <x:c r="D164" s="9" t="n">
        <x:f>H96</x:f>
        <x:v>-580000</x:v>
      </x:c>
      <x:c r="E164" s="9" t="n">
        <x:f>SUMIFS('Journal'!$E$6:$E$1632,'Journal'!$D$6:$D$1632,B164,'Journal'!$C$6:$C$1632,A164)</x:f>
        <x:v>10000</x:v>
      </x:c>
      <x:c r="F164" s="9" t="n">
        <x:f>SUMIFS('Journal'!$F$6:$F$1632,'Journal'!$D$6:$D$1632,B164,'Journal'!$C$6:$C$1632,A164)</x:f>
        <x:v>0</x:v>
      </x:c>
      <x:c r="G164" s="9" t="n">
        <x:f>ROUND(E164-F164,2)</x:f>
        <x:v>10000</x:v>
      </x:c>
      <x:c r="H164" s="9" t="n">
        <x:f>ROUND(D164+G164,2)</x:f>
        <x:v>-570000</x:v>
      </x:c>
    </x:row>
    <x:row r="165" ht="14" customHeight="1">
      <x:c r="A165" s="1" t="n">
        <x:v>3</x:v>
      </x:c>
      <x:c r="B165" s="1" t="str">
        <x:v>3160</x:v>
      </x:c>
      <x:c r="C165" s="1" t="str">
        <x:v>Gesellschafterdarlehen</x:v>
      </x:c>
      <x:c r="D165" s="9" t="n">
        <x:f>H97</x:f>
        <x:v>0</x:v>
      </x:c>
      <x:c r="E165" s="9" t="n">
        <x:f>SUMIFS('Journal'!$E$6:$E$1632,'Journal'!$D$6:$D$1632,B165,'Journal'!$C$6:$C$1632,A165)</x:f>
        <x:v>0</x:v>
      </x:c>
      <x:c r="F165" s="9" t="n">
        <x:f>SUMIFS('Journal'!$F$6:$F$1632,'Journal'!$D$6:$D$1632,B165,'Journal'!$C$6:$C$1632,A165)</x:f>
        <x:v>0</x:v>
      </x:c>
      <x:c r="G165" s="9" t="n">
        <x:f>ROUND(E165-F165,2)</x:f>
        <x:v>0</x:v>
      </x:c>
      <x:c r="H165" s="9" t="n">
        <x:f>ROUND(D165+G165,2)</x:f>
        <x:v>0</x:v>
      </x:c>
    </x:row>
    <x:row r="166" ht="14" customHeight="1">
      <x:c r="A166" s="1" t="n">
        <x:v>3</x:v>
      </x:c>
      <x:c r="B166" s="1" t="str">
        <x:v>3300</x:v>
      </x:c>
      <x:c r="C166" s="1" t="str">
        <x:v>Verbindlichkeiten aus Lieferungen und Leistungen</x:v>
      </x:c>
      <x:c r="D166" s="9" t="n">
        <x:f>H98</x:f>
        <x:v>-650000</x:v>
      </x:c>
      <x:c r="E166" s="9" t="n">
        <x:f>SUMIFS('Journal'!$E$6:$E$1632,'Journal'!$D$6:$D$1632,B166,'Journal'!$C$6:$C$1632,A166)</x:f>
        <x:v>522487.96</x:v>
      </x:c>
      <x:c r="F166" s="9" t="n">
        <x:f>SUMIFS('Journal'!$F$6:$F$1632,'Journal'!$D$6:$D$1632,B166,'Journal'!$C$6:$C$1632,A166)</x:f>
        <x:v>512487.95999999996</x:v>
      </x:c>
      <x:c r="G166" s="9" t="n">
        <x:f>ROUND(E166-F166,2)</x:f>
        <x:v>10000</x:v>
      </x:c>
      <x:c r="H166" s="9" t="n">
        <x:f>ROUND(D166+G166,2)</x:f>
        <x:v>-640000</x:v>
      </x:c>
    </x:row>
    <x:row r="167" ht="14" customHeight="1">
      <x:c r="A167" s="1" t="n">
        <x:v>3</x:v>
      </x:c>
      <x:c r="B167" s="1" t="str">
        <x:v>3500</x:v>
      </x:c>
      <x:c r="C167" s="1" t="str">
        <x:v>Sonstige Verbindlichkeiten</x:v>
      </x:c>
      <x:c r="D167" s="9" t="n">
        <x:f>H99</x:f>
        <x:v>-22000</x:v>
      </x:c>
      <x:c r="E167" s="9" t="n">
        <x:f>SUMIFS('Journal'!$E$6:$E$1632,'Journal'!$D$6:$D$1632,B167,'Journal'!$C$6:$C$1632,A167)</x:f>
        <x:v>0</x:v>
      </x:c>
      <x:c r="F167" s="9" t="n">
        <x:f>SUMIFS('Journal'!$F$6:$F$1632,'Journal'!$D$6:$D$1632,B167,'Journal'!$C$6:$C$1632,A167)</x:f>
        <x:v>0</x:v>
      </x:c>
      <x:c r="G167" s="9" t="n">
        <x:f>ROUND(E167-F167,2)</x:f>
        <x:v>0</x:v>
      </x:c>
      <x:c r="H167" s="9" t="n">
        <x:f>ROUND(D167+G167,2)</x:f>
        <x:v>-22000</x:v>
      </x:c>
    </x:row>
    <x:row r="168" ht="14" customHeight="1">
      <x:c r="A168" s="1" t="n">
        <x:v>3</x:v>
      </x:c>
      <x:c r="B168" s="1" t="str">
        <x:v>3720</x:v>
      </x:c>
      <x:c r="C168" s="1" t="str">
        <x:v>Verbindlichkeiten Nettolöhne</x:v>
      </x:c>
      <x:c r="D168" s="9" t="n">
        <x:f>H100</x:f>
        <x:v>0</x:v>
      </x:c>
      <x:c r="E168" s="9" t="n">
        <x:f>SUMIFS('Journal'!$E$6:$E$1632,'Journal'!$D$6:$D$1632,B168,'Journal'!$C$6:$C$1632,A168)</x:f>
        <x:v>56760</x:v>
      </x:c>
      <x:c r="F168" s="9" t="n">
        <x:f>SUMIFS('Journal'!$F$6:$F$1632,'Journal'!$D$6:$D$1632,B168,'Journal'!$C$6:$C$1632,A168)</x:f>
        <x:v>56760</x:v>
      </x:c>
      <x:c r="G168" s="9" t="n">
        <x:f>ROUND(E168-F168,2)</x:f>
        <x:v>0</x:v>
      </x:c>
      <x:c r="H168" s="9" t="n">
        <x:f>ROUND(D168+G168,2)</x:f>
        <x:v>0</x:v>
      </x:c>
    </x:row>
    <x:row r="169" ht="14" customHeight="1">
      <x:c r="A169" s="1" t="n">
        <x:v>3</x:v>
      </x:c>
      <x:c r="B169" s="1" t="str">
        <x:v>3730</x:v>
      </x:c>
      <x:c r="C169" s="1" t="str">
        <x:v>Verbindlichkeiten Lohnsteuer</x:v>
      </x:c>
      <x:c r="D169" s="9" t="n">
        <x:f>H101</x:f>
        <x:v>-12900</x:v>
      </x:c>
      <x:c r="E169" s="9" t="n">
        <x:f>SUMIFS('Journal'!$E$6:$E$1632,'Journal'!$D$6:$D$1632,B169,'Journal'!$C$6:$C$1632,A169)</x:f>
        <x:v>12900</x:v>
      </x:c>
      <x:c r="F169" s="9" t="n">
        <x:f>SUMIFS('Journal'!$F$6:$F$1632,'Journal'!$D$6:$D$1632,B169,'Journal'!$C$6:$C$1632,A169)</x:f>
        <x:v>12900</x:v>
      </x:c>
      <x:c r="G169" s="9" t="n">
        <x:f>ROUND(E169-F169,2)</x:f>
        <x:v>0</x:v>
      </x:c>
      <x:c r="H169" s="9" t="n">
        <x:f>ROUND(D169+G169,2)</x:f>
        <x:v>-12900</x:v>
      </x:c>
    </x:row>
    <x:row r="170" ht="14" customHeight="1">
      <x:c r="A170" s="1" t="n">
        <x:v>3</x:v>
      </x:c>
      <x:c r="B170" s="1" t="str">
        <x:v>3740</x:v>
      </x:c>
      <x:c r="C170" s="1" t="str">
        <x:v>Verbindlichkeiten Sozialversicherung</x:v>
      </x:c>
      <x:c r="D170" s="9" t="n">
        <x:f>H102</x:f>
        <x:v>0</x:v>
      </x:c>
      <x:c r="E170" s="9" t="n">
        <x:f>SUMIFS('Journal'!$E$6:$E$1632,'Journal'!$D$6:$D$1632,B170,'Journal'!$C$6:$C$1632,A170)</x:f>
        <x:v>34340</x:v>
      </x:c>
      <x:c r="F170" s="9" t="n">
        <x:f>SUMIFS('Journal'!$F$6:$F$1632,'Journal'!$D$6:$D$1632,B170,'Journal'!$C$6:$C$1632,A170)</x:f>
        <x:v>34340</x:v>
      </x:c>
      <x:c r="G170" s="9" t="n">
        <x:f>ROUND(E170-F170,2)</x:f>
        <x:v>0</x:v>
      </x:c>
      <x:c r="H170" s="9" t="n">
        <x:f>ROUND(D170+G170,2)</x:f>
        <x:v>0</x:v>
      </x:c>
    </x:row>
    <x:row r="171" ht="14" customHeight="1">
      <x:c r="A171" s="1" t="n">
        <x:v>3</x:v>
      </x:c>
      <x:c r="B171" s="1" t="str">
        <x:v>3801</x:v>
      </x:c>
      <x:c r="C171" s="1" t="str">
        <x:v>Umsatzsteuer Inland 7 Prozent</x:v>
      </x:c>
      <x:c r="D171" s="9" t="n">
        <x:f>H103</x:f>
        <x:v>0</x:v>
      </x:c>
      <x:c r="E171" s="9" t="n">
        <x:f>SUMIFS('Journal'!$E$6:$E$1632,'Journal'!$D$6:$D$1632,B171,'Journal'!$C$6:$C$1632,A171)</x:f>
        <x:v>20160</x:v>
      </x:c>
      <x:c r="F171" s="9" t="n">
        <x:f>SUMIFS('Journal'!$F$6:$F$1632,'Journal'!$D$6:$D$1632,B171,'Journal'!$C$6:$C$1632,A171)</x:f>
        <x:v>20160</x:v>
      </x:c>
      <x:c r="G171" s="9" t="n">
        <x:f>ROUND(E171-F171,2)</x:f>
        <x:v>0</x:v>
      </x:c>
      <x:c r="H171" s="9" t="n">
        <x:f>ROUND(D171+G171,2)</x:f>
        <x:v>0</x:v>
      </x:c>
    </x:row>
    <x:row r="172" ht="14" customHeight="1">
      <x:c r="A172" s="1" t="n">
        <x:v>3</x:v>
      </x:c>
      <x:c r="B172" s="1" t="str">
        <x:v>3806</x:v>
      </x:c>
      <x:c r="C172" s="1" t="str">
        <x:v>Umsatzsteuer Inland 19 Prozent</x:v>
      </x:c>
      <x:c r="D172" s="9" t="n">
        <x:f>H104</x:f>
        <x:v>0</x:v>
      </x:c>
      <x:c r="E172" s="9" t="n">
        <x:f>SUMIFS('Journal'!$E$6:$E$1632,'Journal'!$D$6:$D$1632,B172,'Journal'!$C$6:$C$1632,A172)</x:f>
        <x:v>13680</x:v>
      </x:c>
      <x:c r="F172" s="9" t="n">
        <x:f>SUMIFS('Journal'!$F$6:$F$1632,'Journal'!$D$6:$D$1632,B172,'Journal'!$C$6:$C$1632,A172)</x:f>
        <x:v>13680</x:v>
      </x:c>
      <x:c r="G172" s="9" t="n">
        <x:f>ROUND(E172-F172,2)</x:f>
        <x:v>0</x:v>
      </x:c>
      <x:c r="H172" s="9" t="n">
        <x:f>ROUND(D172+G172,2)</x:f>
        <x:v>0</x:v>
      </x:c>
    </x:row>
    <x:row r="173" ht="14" customHeight="1">
      <x:c r="A173" s="1" t="n">
        <x:v>3</x:v>
      </x:c>
      <x:c r="B173" s="1" t="str">
        <x:v>3804</x:v>
      </x:c>
      <x:c r="C173" s="1" t="str">
        <x:v>Umsatzsteuer EU Erwerb 7 Prozent</x:v>
      </x:c>
      <x:c r="D173" s="9" t="n">
        <x:f>H105</x:f>
        <x:v>0</x:v>
      </x:c>
      <x:c r="E173" s="9" t="n">
        <x:f>SUMIFS('Journal'!$E$6:$E$1632,'Journal'!$D$6:$D$1632,B173,'Journal'!$C$6:$C$1632,A173)</x:f>
        <x:v>5717.7</x:v>
      </x:c>
      <x:c r="F173" s="9" t="n">
        <x:f>SUMIFS('Journal'!$F$6:$F$1632,'Journal'!$D$6:$D$1632,B173,'Journal'!$C$6:$C$1632,A173)</x:f>
        <x:v>5717.7</x:v>
      </x:c>
      <x:c r="G173" s="9" t="n">
        <x:f>ROUND(E173-F173,2)</x:f>
        <x:v>0</x:v>
      </x:c>
      <x:c r="H173" s="9" t="n">
        <x:f>ROUND(D173+G173,2)</x:f>
        <x:v>0</x:v>
      </x:c>
    </x:row>
    <x:row r="174" ht="14" customHeight="1">
      <x:c r="A174" s="1" t="n">
        <x:v>3</x:v>
      </x:c>
      <x:c r="B174" s="1" t="str">
        <x:v>3809</x:v>
      </x:c>
      <x:c r="C174" s="1" t="str">
        <x:v>Umsatzsteuer EU Erwerb 19 Prozent</x:v>
      </x:c>
      <x:c r="D174" s="9" t="n">
        <x:f>H106</x:f>
        <x:v>0</x:v>
      </x:c>
      <x:c r="E174" s="9" t="n">
        <x:f>SUMIFS('Journal'!$E$6:$E$1632,'Journal'!$D$6:$D$1632,B174,'Journal'!$C$6:$C$1632,A174)</x:f>
        <x:v>3879.87</x:v>
      </x:c>
      <x:c r="F174" s="9" t="n">
        <x:f>SUMIFS('Journal'!$F$6:$F$1632,'Journal'!$D$6:$D$1632,B174,'Journal'!$C$6:$C$1632,A174)</x:f>
        <x:v>3879.87</x:v>
      </x:c>
      <x:c r="G174" s="9" t="n">
        <x:f>ROUND(E174-F174,2)</x:f>
        <x:v>0</x:v>
      </x:c>
      <x:c r="H174" s="9" t="n">
        <x:f>ROUND(D174+G174,2)</x:f>
        <x:v>0</x:v>
      </x:c>
    </x:row>
    <x:row r="175" ht="14" customHeight="1">
      <x:c r="A175" s="1" t="n">
        <x:v>3</x:v>
      </x:c>
      <x:c r="B175" s="1" t="str">
        <x:v>3820</x:v>
      </x:c>
      <x:c r="C175" s="1" t="str">
        <x:v>Umsatzsteuer Verrechnung Finanzamt</x:v>
      </x:c>
      <x:c r="D175" s="9" t="n">
        <x:f>H107</x:f>
        <x:v>6913.92</x:v>
      </x:c>
      <x:c r="E175" s="9" t="n">
        <x:f>SUMIFS('Journal'!$E$6:$E$1632,'Journal'!$D$6:$D$1632,B175,'Journal'!$C$6:$C$1632,A175)</x:f>
        <x:v>49524.85</x:v>
      </x:c>
      <x:c r="F175" s="9" t="n">
        <x:f>SUMIFS('Journal'!$F$6:$F$1632,'Journal'!$D$6:$D$1632,B175,'Journal'!$C$6:$C$1632,A175)</x:f>
        <x:v>50248.59</x:v>
      </x:c>
      <x:c r="G175" s="9" t="n">
        <x:f>ROUND(E175-F175,2)</x:f>
        <x:v>-723.74</x:v>
      </x:c>
      <x:c r="H175" s="9" t="n">
        <x:f>ROUND(D175+G175,2)</x:f>
        <x:v>6190.18</x:v>
      </x:c>
    </x:row>
    <x:row r="176" ht="14" customHeight="1">
      <x:c r="A176" s="1" t="n">
        <x:v>3</x:v>
      </x:c>
      <x:c r="B176" s="1" t="str">
        <x:v>3840</x:v>
      </x:c>
      <x:c r="C176" s="1" t="str">
        <x:v>Ertragsteuern Verrechnung</x:v>
      </x:c>
      <x:c r="D176" s="9" t="n">
        <x:f>H108</x:f>
        <x:v>-35000</x:v>
      </x:c>
      <x:c r="E176" s="9" t="n">
        <x:f>SUMIFS('Journal'!$E$6:$E$1632,'Journal'!$D$6:$D$1632,B176,'Journal'!$C$6:$C$1632,A176)</x:f>
        <x:v>12000</x:v>
      </x:c>
      <x:c r="F176" s="9" t="n">
        <x:f>SUMIFS('Journal'!$F$6:$F$1632,'Journal'!$D$6:$D$1632,B176,'Journal'!$C$6:$C$1632,A176)</x:f>
        <x:v>0</x:v>
      </x:c>
      <x:c r="G176" s="9" t="n">
        <x:f>ROUND(E176-F176,2)</x:f>
        <x:v>12000</x:v>
      </x:c>
      <x:c r="H176" s="9" t="n">
        <x:f>ROUND(D176+G176,2)</x:f>
        <x:v>-23000</x:v>
      </x:c>
    </x:row>
    <x:row r="177" ht="14" customHeight="1">
      <x:c r="A177" s="1" t="n">
        <x:v>3</x:v>
      </x:c>
      <x:c r="B177" s="1" t="str">
        <x:v>4300</x:v>
      </x:c>
      <x:c r="C177" s="1" t="str">
        <x:v>Erlöse Inland 7 Prozent</x:v>
      </x:c>
      <x:c r="D177" s="9" t="n">
        <x:f>H109</x:f>
        <x:v>-513600</x:v>
      </x:c>
      <x:c r="E177" s="9" t="n">
        <x:f>SUMIFS('Journal'!$E$6:$E$1632,'Journal'!$D$6:$D$1632,B177,'Journal'!$C$6:$C$1632,A177)</x:f>
        <x:v>0</x:v>
      </x:c>
      <x:c r="F177" s="9" t="n">
        <x:f>SUMIFS('Journal'!$F$6:$F$1632,'Journal'!$D$6:$D$1632,B177,'Journal'!$C$6:$C$1632,A177)</x:f>
        <x:v>288000</x:v>
      </x:c>
      <x:c r="G177" s="9" t="n">
        <x:f>ROUND(E177-F177,2)</x:f>
        <x:v>-288000</x:v>
      </x:c>
      <x:c r="H177" s="9" t="n">
        <x:f>ROUND(D177+G177,2)</x:f>
        <x:v>-801600</x:v>
      </x:c>
    </x:row>
    <x:row r="178" ht="14" customHeight="1">
      <x:c r="A178" s="1" t="n">
        <x:v>3</x:v>
      </x:c>
      <x:c r="B178" s="1" t="str">
        <x:v>4400</x:v>
      </x:c>
      <x:c r="C178" s="1" t="str">
        <x:v>Erlöse Inland 19 Prozent</x:v>
      </x:c>
      <x:c r="D178" s="9" t="n">
        <x:f>H110</x:f>
        <x:v>-128400</x:v>
      </x:c>
      <x:c r="E178" s="9" t="n">
        <x:f>SUMIFS('Journal'!$E$6:$E$1632,'Journal'!$D$6:$D$1632,B178,'Journal'!$C$6:$C$1632,A178)</x:f>
        <x:v>0</x:v>
      </x:c>
      <x:c r="F178" s="9" t="n">
        <x:f>SUMIFS('Journal'!$F$6:$F$1632,'Journal'!$D$6:$D$1632,B178,'Journal'!$C$6:$C$1632,A178)</x:f>
        <x:v>72000</x:v>
      </x:c>
      <x:c r="G178" s="9" t="n">
        <x:f>ROUND(E178-F178,2)</x:f>
        <x:v>-72000</x:v>
      </x:c>
      <x:c r="H178" s="9" t="n">
        <x:f>ROUND(D178+G178,2)</x:f>
        <x:v>-200400</x:v>
      </x:c>
    </x:row>
    <x:row r="179" ht="14" customHeight="1">
      <x:c r="A179" s="1" t="n">
        <x:v>3</x:v>
      </x:c>
      <x:c r="B179" s="1" t="str">
        <x:v>4125</x:v>
      </x:c>
      <x:c r="C179" s="1" t="str">
        <x:v>Erlöse EU Warenlieferungen</x:v>
      </x:c>
      <x:c r="D179" s="9" t="n">
        <x:f>H111</x:f>
        <x:v>-214000</x:v>
      </x:c>
      <x:c r="E179" s="9" t="n">
        <x:f>SUMIFS('Journal'!$E$6:$E$1632,'Journal'!$D$6:$D$1632,B179,'Journal'!$C$6:$C$1632,A179)</x:f>
        <x:v>0</x:v>
      </x:c>
      <x:c r="F179" s="9" t="n">
        <x:f>SUMIFS('Journal'!$F$6:$F$1632,'Journal'!$D$6:$D$1632,B179,'Journal'!$C$6:$C$1632,A179)</x:f>
        <x:v>120000</x:v>
      </x:c>
      <x:c r="G179" s="9" t="n">
        <x:f>ROUND(E179-F179,2)</x:f>
        <x:v>-120000</x:v>
      </x:c>
      <x:c r="H179" s="9" t="n">
        <x:f>ROUND(D179+G179,2)</x:f>
        <x:v>-334000</x:v>
      </x:c>
    </x:row>
    <x:row r="180" ht="14" customHeight="1">
      <x:c r="A180" s="1" t="n">
        <x:v>3</x:v>
      </x:c>
      <x:c r="B180" s="1" t="str">
        <x:v>4120</x:v>
      </x:c>
      <x:c r="C180" s="1" t="str">
        <x:v>Erlöse Drittland Warenlieferungen</x:v>
      </x:c>
      <x:c r="D180" s="9" t="n">
        <x:f>H112</x:f>
        <x:v>-214000</x:v>
      </x:c>
      <x:c r="E180" s="9" t="n">
        <x:f>SUMIFS('Journal'!$E$6:$E$1632,'Journal'!$D$6:$D$1632,B180,'Journal'!$C$6:$C$1632,A180)</x:f>
        <x:v>0</x:v>
      </x:c>
      <x:c r="F180" s="9" t="n">
        <x:f>SUMIFS('Journal'!$F$6:$F$1632,'Journal'!$D$6:$D$1632,B180,'Journal'!$C$6:$C$1632,A180)</x:f>
        <x:v>120000</x:v>
      </x:c>
      <x:c r="G180" s="9" t="n">
        <x:f>ROUND(E180-F180,2)</x:f>
        <x:v>-120000</x:v>
      </x:c>
      <x:c r="H180" s="9" t="n">
        <x:f>ROUND(D180+G180,2)</x:f>
        <x:v>-334000</x:v>
      </x:c>
    </x:row>
    <x:row r="181" ht="14" customHeight="1">
      <x:c r="A181" s="1" t="n">
        <x:v>3</x:v>
      </x:c>
      <x:c r="B181" s="1" t="str">
        <x:v>4730</x:v>
      </x:c>
      <x:c r="C181" s="1" t="str">
        <x:v>Erlösschmälerungen Inland 7 Prozent</x:v>
      </x:c>
      <x:c r="D181" s="9" t="n">
        <x:f>H113</x:f>
        <x:v>2670</x:v>
      </x:c>
      <x:c r="E181" s="9" t="n">
        <x:f>SUMIFS('Journal'!$E$6:$E$1632,'Journal'!$D$6:$D$1632,B181,'Journal'!$C$6:$C$1632,A181)</x:f>
        <x:v>1470</x:v>
      </x:c>
      <x:c r="F181" s="9" t="n">
        <x:f>SUMIFS('Journal'!$F$6:$F$1632,'Journal'!$D$6:$D$1632,B181,'Journal'!$C$6:$C$1632,A181)</x:f>
        <x:v>0</x:v>
      </x:c>
      <x:c r="G181" s="9" t="n">
        <x:f>ROUND(E181-F181,2)</x:f>
        <x:v>1470</x:v>
      </x:c>
      <x:c r="H181" s="9" t="n">
        <x:f>ROUND(D181+G181,2)</x:f>
        <x:v>4140</x:v>
      </x:c>
    </x:row>
    <x:row r="182" ht="14" customHeight="1">
      <x:c r="A182" s="1" t="n">
        <x:v>3</x:v>
      </x:c>
      <x:c r="B182" s="1" t="str">
        <x:v>4735</x:v>
      </x:c>
      <x:c r="C182" s="1" t="str">
        <x:v>Erlösschmälerungen EU</x:v>
      </x:c>
      <x:c r="D182" s="9" t="n">
        <x:f>H114</x:f>
        <x:v>1780</x:v>
      </x:c>
      <x:c r="E182" s="9" t="n">
        <x:f>SUMIFS('Journal'!$E$6:$E$1632,'Journal'!$D$6:$D$1632,B182,'Journal'!$C$6:$C$1632,A182)</x:f>
        <x:v>980</x:v>
      </x:c>
      <x:c r="F182" s="9" t="n">
        <x:f>SUMIFS('Journal'!$F$6:$F$1632,'Journal'!$D$6:$D$1632,B182,'Journal'!$C$6:$C$1632,A182)</x:f>
        <x:v>0</x:v>
      </x:c>
      <x:c r="G182" s="9" t="n">
        <x:f>ROUND(E182-F182,2)</x:f>
        <x:v>980</x:v>
      </x:c>
      <x:c r="H182" s="9" t="n">
        <x:f>ROUND(D182+G182,2)</x:f>
        <x:v>2760</x:v>
      </x:c>
    </x:row>
    <x:row r="183" ht="14" customHeight="1">
      <x:c r="A183" s="1" t="n">
        <x:v>3</x:v>
      </x:c>
      <x:c r="B183" s="1" t="str">
        <x:v>4830</x:v>
      </x:c>
      <x:c r="C183" s="1" t="str">
        <x:v>Sonstige betriebliche Erträge</x:v>
      </x:c>
      <x:c r="D183" s="9" t="n">
        <x:f>H115</x:f>
        <x:v>0</x:v>
      </x:c>
      <x:c r="E183" s="9" t="n">
        <x:f>SUMIFS('Journal'!$E$6:$E$1632,'Journal'!$D$6:$D$1632,B183,'Journal'!$C$6:$C$1632,A183)</x:f>
        <x:v>0</x:v>
      </x:c>
      <x:c r="F183" s="9" t="n">
        <x:f>SUMIFS('Journal'!$F$6:$F$1632,'Journal'!$D$6:$D$1632,B183,'Journal'!$C$6:$C$1632,A183)</x:f>
        <x:v>0</x:v>
      </x:c>
      <x:c r="G183" s="9" t="n">
        <x:f>ROUND(E183-F183,2)</x:f>
        <x:v>0</x:v>
      </x:c>
      <x:c r="H183" s="9" t="n">
        <x:f>ROUND(D183+G183,2)</x:f>
        <x:v>0</x:v>
      </x:c>
    </x:row>
    <x:row r="184" ht="14" customHeight="1">
      <x:c r="A184" s="1" t="n">
        <x:v>3</x:v>
      </x:c>
      <x:c r="B184" s="1" t="str">
        <x:v>5000</x:v>
      </x:c>
      <x:c r="C184" s="1" t="str">
        <x:v>Wareneinsatz</x:v>
      </x:c>
      <x:c r="D184" s="9" t="n">
        <x:f>H116</x:f>
        <x:v>692607.5</x:v>
      </x:c>
      <x:c r="E184" s="9" t="n">
        <x:f>SUMIFS('Journal'!$E$6:$E$1632,'Journal'!$D$6:$D$1632,B184,'Journal'!$C$6:$C$1632,A184)</x:f>
        <x:v>388407.5</x:v>
      </x:c>
      <x:c r="F184" s="9" t="n">
        <x:f>SUMIFS('Journal'!$F$6:$F$1632,'Journal'!$D$6:$D$1632,B184,'Journal'!$C$6:$C$1632,A184)</x:f>
        <x:v>0</x:v>
      </x:c>
      <x:c r="G184" s="9" t="n">
        <x:f>ROUND(E184-F184,2)</x:f>
        <x:v>388407.5</x:v>
      </x:c>
      <x:c r="H184" s="9" t="n">
        <x:f>ROUND(D184+G184,2)</x:f>
        <x:v>1081015</x:v>
      </x:c>
    </x:row>
    <x:row r="185" ht="14" customHeight="1">
      <x:c r="A185" s="1" t="n">
        <x:v>3</x:v>
      </x:c>
      <x:c r="B185" s="1" t="str">
        <x:v>5005</x:v>
      </x:c>
      <x:c r="C185" s="1" t="str">
        <x:v>Abwertung Warenbestand</x:v>
      </x:c>
      <x:c r="D185" s="9" t="n">
        <x:f>H117</x:f>
        <x:v>0</x:v>
      </x:c>
      <x:c r="E185" s="9" t="n">
        <x:f>SUMIFS('Journal'!$E$6:$E$1632,'Journal'!$D$6:$D$1632,B185,'Journal'!$C$6:$C$1632,A185)</x:f>
        <x:v>0</x:v>
      </x:c>
      <x:c r="F185" s="9" t="n">
        <x:f>SUMIFS('Journal'!$F$6:$F$1632,'Journal'!$D$6:$D$1632,B185,'Journal'!$C$6:$C$1632,A185)</x:f>
        <x:v>0</x:v>
      </x:c>
      <x:c r="G185" s="9" t="n">
        <x:f>ROUND(E185-F185,2)</x:f>
        <x:v>0</x:v>
      </x:c>
      <x:c r="H185" s="9" t="n">
        <x:f>ROUND(D185+G185,2)</x:f>
        <x:v>0</x:v>
      </x:c>
    </x:row>
    <x:row r="186" ht="14" customHeight="1">
      <x:c r="A186" s="1" t="n">
        <x:v>3</x:v>
      </x:c>
      <x:c r="B186" s="1" t="str">
        <x:v>6020</x:v>
      </x:c>
      <x:c r="C186" s="1" t="str">
        <x:v>Bruttogehälter</x:v>
      </x:c>
      <x:c r="D186" s="9" t="n">
        <x:f>H118</x:f>
        <x:v>172000</x:v>
      </x:c>
      <x:c r="E186" s="9" t="n">
        <x:f>SUMIFS('Journal'!$E$6:$E$1632,'Journal'!$D$6:$D$1632,B186,'Journal'!$C$6:$C$1632,A186)</x:f>
        <x:v>86000</x:v>
      </x:c>
      <x:c r="F186" s="9" t="n">
        <x:f>SUMIFS('Journal'!$F$6:$F$1632,'Journal'!$D$6:$D$1632,B186,'Journal'!$C$6:$C$1632,A186)</x:f>
        <x:v>0</x:v>
      </x:c>
      <x:c r="G186" s="9" t="n">
        <x:f>ROUND(E186-F186,2)</x:f>
        <x:v>86000</x:v>
      </x:c>
      <x:c r="H186" s="9" t="n">
        <x:f>ROUND(D186+G186,2)</x:f>
        <x:v>258000</x:v>
      </x:c>
    </x:row>
    <x:row r="187" ht="14" customHeight="1">
      <x:c r="A187" s="1" t="n">
        <x:v>3</x:v>
      </x:c>
      <x:c r="B187" s="1" t="str">
        <x:v>6110</x:v>
      </x:c>
      <x:c r="C187" s="1" t="str">
        <x:v>Arbeitgeberanteile Sozialversicherung</x:v>
      </x:c>
      <x:c r="D187" s="9" t="n">
        <x:f>H119</x:f>
        <x:v>36000</x:v>
      </x:c>
      <x:c r="E187" s="9" t="n">
        <x:f>SUMIFS('Journal'!$E$6:$E$1632,'Journal'!$D$6:$D$1632,B187,'Journal'!$C$6:$C$1632,A187)</x:f>
        <x:v>18000</x:v>
      </x:c>
      <x:c r="F187" s="9" t="n">
        <x:f>SUMIFS('Journal'!$F$6:$F$1632,'Journal'!$D$6:$D$1632,B187,'Journal'!$C$6:$C$1632,A187)</x:f>
        <x:v>0</x:v>
      </x:c>
      <x:c r="G187" s="9" t="n">
        <x:f>ROUND(E187-F187,2)</x:f>
        <x:v>18000</x:v>
      </x:c>
      <x:c r="H187" s="9" t="n">
        <x:f>ROUND(D187+G187,2)</x:f>
        <x:v>54000</x:v>
      </x:c>
    </x:row>
    <x:row r="188" ht="14" customHeight="1">
      <x:c r="A188" s="1" t="n">
        <x:v>3</x:v>
      </x:c>
      <x:c r="B188" s="1" t="str">
        <x:v>6220</x:v>
      </x:c>
      <x:c r="C188" s="1" t="str">
        <x:v>Abschreibungen Sachanlagen und Software</x:v>
      </x:c>
      <x:c r="D188" s="9" t="n">
        <x:f>H120</x:f>
        <x:v>15000</x:v>
      </x:c>
      <x:c r="E188" s="9" t="n">
        <x:f>SUMIFS('Journal'!$E$6:$E$1632,'Journal'!$D$6:$D$1632,B188,'Journal'!$C$6:$C$1632,A188)</x:f>
        <x:v>7500</x:v>
      </x:c>
      <x:c r="F188" s="9" t="n">
        <x:f>SUMIFS('Journal'!$F$6:$F$1632,'Journal'!$D$6:$D$1632,B188,'Journal'!$C$6:$C$1632,A188)</x:f>
        <x:v>0</x:v>
      </x:c>
      <x:c r="G188" s="9" t="n">
        <x:f>ROUND(E188-F188,2)</x:f>
        <x:v>7500</x:v>
      </x:c>
      <x:c r="H188" s="9" t="n">
        <x:f>ROUND(D188+G188,2)</x:f>
        <x:v>22500</x:v>
      </x:c>
    </x:row>
    <x:row r="189" ht="14" customHeight="1">
      <x:c r="A189" s="1" t="n">
        <x:v>3</x:v>
      </x:c>
      <x:c r="B189" s="1" t="str">
        <x:v>6310</x:v>
      </x:c>
      <x:c r="C189" s="1" t="str">
        <x:v>Miete Büro Nürnberg</x:v>
      </x:c>
      <x:c r="D189" s="9" t="n">
        <x:f>H121</x:f>
        <x:v>8000</x:v>
      </x:c>
      <x:c r="E189" s="9" t="n">
        <x:f>SUMIFS('Journal'!$E$6:$E$1632,'Journal'!$D$6:$D$1632,B189,'Journal'!$C$6:$C$1632,A189)</x:f>
        <x:v>4000</x:v>
      </x:c>
      <x:c r="F189" s="9" t="n">
        <x:f>SUMIFS('Journal'!$F$6:$F$1632,'Journal'!$D$6:$D$1632,B189,'Journal'!$C$6:$C$1632,A189)</x:f>
        <x:v>0</x:v>
      </x:c>
      <x:c r="G189" s="9" t="n">
        <x:f>ROUND(E189-F189,2)</x:f>
        <x:v>4000</x:v>
      </x:c>
      <x:c r="H189" s="9" t="n">
        <x:f>ROUND(D189+G189,2)</x:f>
        <x:v>12000</x:v>
      </x:c>
    </x:row>
    <x:row r="190" ht="14" customHeight="1">
      <x:c r="A190" s="1" t="n">
        <x:v>3</x:v>
      </x:c>
      <x:c r="B190" s="1" t="str">
        <x:v>6311</x:v>
      </x:c>
      <x:c r="C190" s="1" t="str">
        <x:v>Miete Lager Erlangen</x:v>
      </x:c>
      <x:c r="D190" s="9" t="n">
        <x:f>H122</x:f>
        <x:v>20000</x:v>
      </x:c>
      <x:c r="E190" s="9" t="n">
        <x:f>SUMIFS('Journal'!$E$6:$E$1632,'Journal'!$D$6:$D$1632,B190,'Journal'!$C$6:$C$1632,A190)</x:f>
        <x:v>10000</x:v>
      </x:c>
      <x:c r="F190" s="9" t="n">
        <x:f>SUMIFS('Journal'!$F$6:$F$1632,'Journal'!$D$6:$D$1632,B190,'Journal'!$C$6:$C$1632,A190)</x:f>
        <x:v>0</x:v>
      </x:c>
      <x:c r="G190" s="9" t="n">
        <x:f>ROUND(E190-F190,2)</x:f>
        <x:v>10000</x:v>
      </x:c>
      <x:c r="H190" s="9" t="n">
        <x:f>ROUND(D190+G190,2)</x:f>
        <x:v>30000</x:v>
      </x:c>
    </x:row>
    <x:row r="191" ht="14" customHeight="1">
      <x:c r="A191" s="1" t="n">
        <x:v>3</x:v>
      </x:c>
      <x:c r="B191" s="1" t="str">
        <x:v>6325</x:v>
      </x:c>
      <x:c r="C191" s="1" t="str">
        <x:v>Strom und Kühlung</x:v>
      </x:c>
      <x:c r="D191" s="9" t="n">
        <x:f>H123</x:f>
        <x:v>9000</x:v>
      </x:c>
      <x:c r="E191" s="9" t="n">
        <x:f>SUMIFS('Journal'!$E$6:$E$1632,'Journal'!$D$6:$D$1632,B191,'Journal'!$C$6:$C$1632,A191)</x:f>
        <x:v>4500</x:v>
      </x:c>
      <x:c r="F191" s="9" t="n">
        <x:f>SUMIFS('Journal'!$F$6:$F$1632,'Journal'!$D$6:$D$1632,B191,'Journal'!$C$6:$C$1632,A191)</x:f>
        <x:v>0</x:v>
      </x:c>
      <x:c r="G191" s="9" t="n">
        <x:f>ROUND(E191-F191,2)</x:f>
        <x:v>4500</x:v>
      </x:c>
      <x:c r="H191" s="9" t="n">
        <x:f>ROUND(D191+G191,2)</x:f>
        <x:v>13500</x:v>
      </x:c>
    </x:row>
    <x:row r="192" ht="14" customHeight="1">
      <x:c r="A192" s="1" t="n">
        <x:v>3</x:v>
      </x:c>
      <x:c r="B192" s="1" t="str">
        <x:v>6400</x:v>
      </x:c>
      <x:c r="C192" s="1" t="str">
        <x:v>Versicherungen</x:v>
      </x:c>
      <x:c r="D192" s="9" t="n">
        <x:f>H124</x:f>
        <x:v>5000</x:v>
      </x:c>
      <x:c r="E192" s="9" t="n">
        <x:f>SUMIFS('Journal'!$E$6:$E$1632,'Journal'!$D$6:$D$1632,B192,'Journal'!$C$6:$C$1632,A192)</x:f>
        <x:v>2500</x:v>
      </x:c>
      <x:c r="F192" s="9" t="n">
        <x:f>SUMIFS('Journal'!$F$6:$F$1632,'Journal'!$D$6:$D$1632,B192,'Journal'!$C$6:$C$1632,A192)</x:f>
        <x:v>0</x:v>
      </x:c>
      <x:c r="G192" s="9" t="n">
        <x:f>ROUND(E192-F192,2)</x:f>
        <x:v>2500</x:v>
      </x:c>
      <x:c r="H192" s="9" t="n">
        <x:f>ROUND(D192+G192,2)</x:f>
        <x:v>7500</x:v>
      </x:c>
    </x:row>
    <x:row r="193" ht="14" customHeight="1">
      <x:c r="A193" s="1" t="n">
        <x:v>3</x:v>
      </x:c>
      <x:c r="B193" s="1" t="str">
        <x:v>6470</x:v>
      </x:c>
      <x:c r="C193" s="1" t="str">
        <x:v>Lagerbetrieb und Reinigung</x:v>
      </x:c>
      <x:c r="D193" s="9" t="n">
        <x:f>H125</x:f>
        <x:v>12000</x:v>
      </x:c>
      <x:c r="E193" s="9" t="n">
        <x:f>SUMIFS('Journal'!$E$6:$E$1632,'Journal'!$D$6:$D$1632,B193,'Journal'!$C$6:$C$1632,A193)</x:f>
        <x:v>6000</x:v>
      </x:c>
      <x:c r="F193" s="9" t="n">
        <x:f>SUMIFS('Journal'!$F$6:$F$1632,'Journal'!$D$6:$D$1632,B193,'Journal'!$C$6:$C$1632,A193)</x:f>
        <x:v>0</x:v>
      </x:c>
      <x:c r="G193" s="9" t="n">
        <x:f>ROUND(E193-F193,2)</x:f>
        <x:v>6000</x:v>
      </x:c>
      <x:c r="H193" s="9" t="n">
        <x:f>ROUND(D193+G193,2)</x:f>
        <x:v>18000</x:v>
      </x:c>
    </x:row>
    <x:row r="194" ht="14" customHeight="1">
      <x:c r="A194" s="1" t="n">
        <x:v>3</x:v>
      </x:c>
      <x:c r="B194" s="1" t="str">
        <x:v>6490</x:v>
      </x:c>
      <x:c r="C194" s="1" t="str">
        <x:v>Reparaturen und Wartung</x:v>
      </x:c>
      <x:c r="D194" s="9" t="n">
        <x:f>H126</x:f>
        <x:v>5000</x:v>
      </x:c>
      <x:c r="E194" s="9" t="n">
        <x:f>SUMIFS('Journal'!$E$6:$E$1632,'Journal'!$D$6:$D$1632,B194,'Journal'!$C$6:$C$1632,A194)</x:f>
        <x:v>2500</x:v>
      </x:c>
      <x:c r="F194" s="9" t="n">
        <x:f>SUMIFS('Journal'!$F$6:$F$1632,'Journal'!$D$6:$D$1632,B194,'Journal'!$C$6:$C$1632,A194)</x:f>
        <x:v>0</x:v>
      </x:c>
      <x:c r="G194" s="9" t="n">
        <x:f>ROUND(E194-F194,2)</x:f>
        <x:v>2500</x:v>
      </x:c>
      <x:c r="H194" s="9" t="n">
        <x:f>ROUND(D194+G194,2)</x:f>
        <x:v>7500</x:v>
      </x:c>
    </x:row>
    <x:row r="195" ht="14" customHeight="1">
      <x:c r="A195" s="1" t="n">
        <x:v>3</x:v>
      </x:c>
      <x:c r="B195" s="1" t="str">
        <x:v>6600</x:v>
      </x:c>
      <x:c r="C195" s="1" t="str">
        <x:v>Marketing und Messen</x:v>
      </x:c>
      <x:c r="D195" s="9" t="n">
        <x:f>H127</x:f>
        <x:v>12000</x:v>
      </x:c>
      <x:c r="E195" s="9" t="n">
        <x:f>SUMIFS('Journal'!$E$6:$E$1632,'Journal'!$D$6:$D$1632,B195,'Journal'!$C$6:$C$1632,A195)</x:f>
        <x:v>6000</x:v>
      </x:c>
      <x:c r="F195" s="9" t="n">
        <x:f>SUMIFS('Journal'!$F$6:$F$1632,'Journal'!$D$6:$D$1632,B195,'Journal'!$C$6:$C$1632,A195)</x:f>
        <x:v>0</x:v>
      </x:c>
      <x:c r="G195" s="9" t="n">
        <x:f>ROUND(E195-F195,2)</x:f>
        <x:v>6000</x:v>
      </x:c>
      <x:c r="H195" s="9" t="n">
        <x:f>ROUND(D195+G195,2)</x:f>
        <x:v>18000</x:v>
      </x:c>
    </x:row>
    <x:row r="196" ht="14" customHeight="1">
      <x:c r="A196" s="1" t="n">
        <x:v>3</x:v>
      </x:c>
      <x:c r="B196" s="1" t="str">
        <x:v>6650</x:v>
      </x:c>
      <x:c r="C196" s="1" t="str">
        <x:v>Reisekosten</x:v>
      </x:c>
      <x:c r="D196" s="9" t="n">
        <x:f>H128</x:f>
        <x:v>3000</x:v>
      </x:c>
      <x:c r="E196" s="9" t="n">
        <x:f>SUMIFS('Journal'!$E$6:$E$1632,'Journal'!$D$6:$D$1632,B196,'Journal'!$C$6:$C$1632,A196)</x:f>
        <x:v>1500</x:v>
      </x:c>
      <x:c r="F196" s="9" t="n">
        <x:f>SUMIFS('Journal'!$F$6:$F$1632,'Journal'!$D$6:$D$1632,B196,'Journal'!$C$6:$C$1632,A196)</x:f>
        <x:v>0</x:v>
      </x:c>
      <x:c r="G196" s="9" t="n">
        <x:f>ROUND(E196-F196,2)</x:f>
        <x:v>1500</x:v>
      </x:c>
      <x:c r="H196" s="9" t="n">
        <x:f>ROUND(D196+G196,2)</x:f>
        <x:v>4500</x:v>
      </x:c>
    </x:row>
    <x:row r="197" ht="14" customHeight="1">
      <x:c r="A197" s="1" t="n">
        <x:v>3</x:v>
      </x:c>
      <x:c r="B197" s="1" t="str">
        <x:v>6740</x:v>
      </x:c>
      <x:c r="C197" s="1" t="str">
        <x:v>Ausgangsfrachten Inland</x:v>
      </x:c>
      <x:c r="D197" s="9" t="n">
        <x:f>H129</x:f>
        <x:v>26000</x:v>
      </x:c>
      <x:c r="E197" s="9" t="n">
        <x:f>SUMIFS('Journal'!$E$6:$E$1632,'Journal'!$D$6:$D$1632,B197,'Journal'!$C$6:$C$1632,A197)</x:f>
        <x:v>13000</x:v>
      </x:c>
      <x:c r="F197" s="9" t="n">
        <x:f>SUMIFS('Journal'!$F$6:$F$1632,'Journal'!$D$6:$D$1632,B197,'Journal'!$C$6:$C$1632,A197)</x:f>
        <x:v>0</x:v>
      </x:c>
      <x:c r="G197" s="9" t="n">
        <x:f>ROUND(E197-F197,2)</x:f>
        <x:v>13000</x:v>
      </x:c>
      <x:c r="H197" s="9" t="n">
        <x:f>ROUND(D197+G197,2)</x:f>
        <x:v>39000</x:v>
      </x:c>
    </x:row>
    <x:row r="198" ht="14" customHeight="1">
      <x:c r="A198" s="1" t="n">
        <x:v>3</x:v>
      </x:c>
      <x:c r="B198" s="1" t="str">
        <x:v>6741</x:v>
      </x:c>
      <x:c r="C198" s="1" t="str">
        <x:v>Ausgangsfrachten Ausland</x:v>
      </x:c>
      <x:c r="D198" s="9" t="n">
        <x:f>H130</x:f>
        <x:v>28000</x:v>
      </x:c>
      <x:c r="E198" s="9" t="n">
        <x:f>SUMIFS('Journal'!$E$6:$E$1632,'Journal'!$D$6:$D$1632,B198,'Journal'!$C$6:$C$1632,A198)</x:f>
        <x:v>14000</x:v>
      </x:c>
      <x:c r="F198" s="9" t="n">
        <x:f>SUMIFS('Journal'!$F$6:$F$1632,'Journal'!$D$6:$D$1632,B198,'Journal'!$C$6:$C$1632,A198)</x:f>
        <x:v>0</x:v>
      </x:c>
      <x:c r="G198" s="9" t="n">
        <x:f>ROUND(E198-F198,2)</x:f>
        <x:v>14000</x:v>
      </x:c>
      <x:c r="H198" s="9" t="n">
        <x:f>ROUND(D198+G198,2)</x:f>
        <x:v>42000</x:v>
      </x:c>
    </x:row>
    <x:row r="199" ht="14" customHeight="1">
      <x:c r="A199" s="1" t="n">
        <x:v>3</x:v>
      </x:c>
      <x:c r="B199" s="1" t="str">
        <x:v>6805</x:v>
      </x:c>
      <x:c r="C199" s="1" t="str">
        <x:v>Telekommunikation und IT</x:v>
      </x:c>
      <x:c r="D199" s="9" t="n">
        <x:f>H131</x:f>
        <x:v>9000</x:v>
      </x:c>
      <x:c r="E199" s="9" t="n">
        <x:f>SUMIFS('Journal'!$E$6:$E$1632,'Journal'!$D$6:$D$1632,B199,'Journal'!$C$6:$C$1632,A199)</x:f>
        <x:v>4500</x:v>
      </x:c>
      <x:c r="F199" s="9" t="n">
        <x:f>SUMIFS('Journal'!$F$6:$F$1632,'Journal'!$D$6:$D$1632,B199,'Journal'!$C$6:$C$1632,A199)</x:f>
        <x:v>0</x:v>
      </x:c>
      <x:c r="G199" s="9" t="n">
        <x:f>ROUND(E199-F199,2)</x:f>
        <x:v>4500</x:v>
      </x:c>
      <x:c r="H199" s="9" t="n">
        <x:f>ROUND(D199+G199,2)</x:f>
        <x:v>13500</x:v>
      </x:c>
    </x:row>
    <x:row r="200" ht="14" customHeight="1">
      <x:c r="A200" s="1" t="n">
        <x:v>3</x:v>
      </x:c>
      <x:c r="B200" s="1" t="str">
        <x:v>6825</x:v>
      </x:c>
      <x:c r="C200" s="1" t="str">
        <x:v>Rechtsberatung und Buchführung</x:v>
      </x:c>
      <x:c r="D200" s="9" t="n">
        <x:f>H132</x:f>
        <x:v>6000</x:v>
      </x:c>
      <x:c r="E200" s="9" t="n">
        <x:f>SUMIFS('Journal'!$E$6:$E$1632,'Journal'!$D$6:$D$1632,B200,'Journal'!$C$6:$C$1632,A200)</x:f>
        <x:v>3000</x:v>
      </x:c>
      <x:c r="F200" s="9" t="n">
        <x:f>SUMIFS('Journal'!$F$6:$F$1632,'Journal'!$D$6:$D$1632,B200,'Journal'!$C$6:$C$1632,A200)</x:f>
        <x:v>0</x:v>
      </x:c>
      <x:c r="G200" s="9" t="n">
        <x:f>ROUND(E200-F200,2)</x:f>
        <x:v>3000</x:v>
      </x:c>
      <x:c r="H200" s="9" t="n">
        <x:f>ROUND(D200+G200,2)</x:f>
        <x:v>9000</x:v>
      </x:c>
    </x:row>
    <x:row r="201" ht="14" customHeight="1">
      <x:c r="A201" s="1" t="n">
        <x:v>3</x:v>
      </x:c>
      <x:c r="B201" s="1" t="str">
        <x:v>6830</x:v>
      </x:c>
      <x:c r="C201" s="1" t="str">
        <x:v>Labor und Qualitätssicherung</x:v>
      </x:c>
      <x:c r="D201" s="9" t="n">
        <x:f>H133</x:f>
        <x:v>7000</x:v>
      </x:c>
      <x:c r="E201" s="9" t="n">
        <x:f>SUMIFS('Journal'!$E$6:$E$1632,'Journal'!$D$6:$D$1632,B201,'Journal'!$C$6:$C$1632,A201)</x:f>
        <x:v>3500</x:v>
      </x:c>
      <x:c r="F201" s="9" t="n">
        <x:f>SUMIFS('Journal'!$F$6:$F$1632,'Journal'!$D$6:$D$1632,B201,'Journal'!$C$6:$C$1632,A201)</x:f>
        <x:v>0</x:v>
      </x:c>
      <x:c r="G201" s="9" t="n">
        <x:f>ROUND(E201-F201,2)</x:f>
        <x:v>3500</x:v>
      </x:c>
      <x:c r="H201" s="9" t="n">
        <x:f>ROUND(D201+G201,2)</x:f>
        <x:v>10500</x:v>
      </x:c>
    </x:row>
    <x:row r="202" ht="14" customHeight="1">
      <x:c r="A202" s="1" t="n">
        <x:v>3</x:v>
      </x:c>
      <x:c r="B202" s="1" t="str">
        <x:v>6850</x:v>
      </x:c>
      <x:c r="C202" s="1" t="str">
        <x:v>Bürobedarf und übriger Aufwand</x:v>
      </x:c>
      <x:c r="D202" s="9" t="n">
        <x:f>H134</x:f>
        <x:v>4000</x:v>
      </x:c>
      <x:c r="E202" s="9" t="n">
        <x:f>SUMIFS('Journal'!$E$6:$E$1632,'Journal'!$D$6:$D$1632,B202,'Journal'!$C$6:$C$1632,A202)</x:f>
        <x:v>2000</x:v>
      </x:c>
      <x:c r="F202" s="9" t="n">
        <x:f>SUMIFS('Journal'!$F$6:$F$1632,'Journal'!$D$6:$D$1632,B202,'Journal'!$C$6:$C$1632,A202)</x:f>
        <x:v>0</x:v>
      </x:c>
      <x:c r="G202" s="9" t="n">
        <x:f>ROUND(E202-F202,2)</x:f>
        <x:v>2000</x:v>
      </x:c>
      <x:c r="H202" s="9" t="n">
        <x:f>ROUND(D202+G202,2)</x:f>
        <x:v>6000</x:v>
      </x:c>
    </x:row>
    <x:row r="203" ht="14" customHeight="1">
      <x:c r="A203" s="1" t="n">
        <x:v>3</x:v>
      </x:c>
      <x:c r="B203" s="1" t="str">
        <x:v>6855</x:v>
      </x:c>
      <x:c r="C203" s="1" t="str">
        <x:v>Zuführung Abschluss und Urlaubsrückstellungen</x:v>
      </x:c>
      <x:c r="D203" s="9" t="n">
        <x:f>H135</x:f>
        <x:v>0</x:v>
      </x:c>
      <x:c r="E203" s="9" t="n">
        <x:f>SUMIFS('Journal'!$E$6:$E$1632,'Journal'!$D$6:$D$1632,B203,'Journal'!$C$6:$C$1632,A203)</x:f>
        <x:v>0</x:v>
      </x:c>
      <x:c r="F203" s="9" t="n">
        <x:f>SUMIFS('Journal'!$F$6:$F$1632,'Journal'!$D$6:$D$1632,B203,'Journal'!$C$6:$C$1632,A203)</x:f>
        <x:v>0</x:v>
      </x:c>
      <x:c r="G203" s="9" t="n">
        <x:f>ROUND(E203-F203,2)</x:f>
        <x:v>0</x:v>
      </x:c>
      <x:c r="H203" s="9" t="n">
        <x:f>ROUND(D203+G203,2)</x:f>
        <x:v>0</x:v>
      </x:c>
    </x:row>
    <x:row r="204" ht="14" customHeight="1">
      <x:c r="A204" s="1" t="n">
        <x:v>3</x:v>
      </x:c>
      <x:c r="B204" s="1" t="str">
        <x:v>6859</x:v>
      </x:c>
      <x:c r="C204" s="1" t="str">
        <x:v>Bankgebühren</x:v>
      </x:c>
      <x:c r="D204" s="9" t="n">
        <x:f>H136</x:f>
        <x:v>1000</x:v>
      </x:c>
      <x:c r="E204" s="9" t="n">
        <x:f>SUMIFS('Journal'!$E$6:$E$1632,'Journal'!$D$6:$D$1632,B204,'Journal'!$C$6:$C$1632,A204)</x:f>
        <x:v>500</x:v>
      </x:c>
      <x:c r="F204" s="9" t="n">
        <x:f>SUMIFS('Journal'!$F$6:$F$1632,'Journal'!$D$6:$D$1632,B204,'Journal'!$C$6:$C$1632,A204)</x:f>
        <x:v>0</x:v>
      </x:c>
      <x:c r="G204" s="9" t="n">
        <x:f>ROUND(E204-F204,2)</x:f>
        <x:v>500</x:v>
      </x:c>
      <x:c r="H204" s="9" t="n">
        <x:f>ROUND(D204+G204,2)</x:f>
        <x:v>1500</x:v>
      </x:c>
    </x:row>
    <x:row r="205" ht="14" customHeight="1">
      <x:c r="A205" s="1" t="n">
        <x:v>3</x:v>
      </x:c>
      <x:c r="B205" s="1" t="str">
        <x:v>6950</x:v>
      </x:c>
      <x:c r="C205" s="1" t="str">
        <x:v>Zuführung Einzelwertberichtigungen</x:v>
      </x:c>
      <x:c r="D205" s="9" t="n">
        <x:f>H137</x:f>
        <x:v>0</x:v>
      </x:c>
      <x:c r="E205" s="9" t="n">
        <x:f>SUMIFS('Journal'!$E$6:$E$1632,'Journal'!$D$6:$D$1632,B205,'Journal'!$C$6:$C$1632,A205)</x:f>
        <x:v>0</x:v>
      </x:c>
      <x:c r="F205" s="9" t="n">
        <x:f>SUMIFS('Journal'!$F$6:$F$1632,'Journal'!$D$6:$D$1632,B205,'Journal'!$C$6:$C$1632,A205)</x:f>
        <x:v>0</x:v>
      </x:c>
      <x:c r="G205" s="9" t="n">
        <x:f>ROUND(E205-F205,2)</x:f>
        <x:v>0</x:v>
      </x:c>
      <x:c r="H205" s="9" t="n">
        <x:f>ROUND(D205+G205,2)</x:f>
        <x:v>0</x:v>
      </x:c>
    </x:row>
    <x:row r="206" ht="14" customHeight="1">
      <x:c r="A206" s="1" t="n">
        <x:v>3</x:v>
      </x:c>
      <x:c r="B206" s="1" t="str">
        <x:v>7300</x:v>
      </x:c>
      <x:c r="C206" s="1" t="str">
        <x:v>Zinsen Investitionsdarlehen</x:v>
      </x:c>
      <x:c r="D206" s="9" t="n">
        <x:f>H138</x:f>
        <x:v>5000</x:v>
      </x:c>
      <x:c r="E206" s="9" t="n">
        <x:f>SUMIFS('Journal'!$E$6:$E$1632,'Journal'!$D$6:$D$1632,B206,'Journal'!$C$6:$C$1632,A206)</x:f>
        <x:v>2500</x:v>
      </x:c>
      <x:c r="F206" s="9" t="n">
        <x:f>SUMIFS('Journal'!$F$6:$F$1632,'Journal'!$D$6:$D$1632,B206,'Journal'!$C$6:$C$1632,A206)</x:f>
        <x:v>0</x:v>
      </x:c>
      <x:c r="G206" s="9" t="n">
        <x:f>ROUND(E206-F206,2)</x:f>
        <x:v>2500</x:v>
      </x:c>
      <x:c r="H206" s="9" t="n">
        <x:f>ROUND(D206+G206,2)</x:f>
        <x:v>7500</x:v>
      </x:c>
    </x:row>
    <x:row r="207" ht="14" customHeight="1">
      <x:c r="A207" s="1" t="n">
        <x:v>3</x:v>
      </x:c>
      <x:c r="B207" s="1" t="str">
        <x:v>7310</x:v>
      </x:c>
      <x:c r="C207" s="1" t="str">
        <x:v>Zinsen Kontokorrent</x:v>
      </x:c>
      <x:c r="D207" s="9" t="n">
        <x:f>H139</x:f>
        <x:v>2000</x:v>
      </x:c>
      <x:c r="E207" s="9" t="n">
        <x:f>SUMIFS('Journal'!$E$6:$E$1632,'Journal'!$D$6:$D$1632,B207,'Journal'!$C$6:$C$1632,A207)</x:f>
        <x:v>1000</x:v>
      </x:c>
      <x:c r="F207" s="9" t="n">
        <x:f>SUMIFS('Journal'!$F$6:$F$1632,'Journal'!$D$6:$D$1632,B207,'Journal'!$C$6:$C$1632,A207)</x:f>
        <x:v>0</x:v>
      </x:c>
      <x:c r="G207" s="9" t="n">
        <x:f>ROUND(E207-F207,2)</x:f>
        <x:v>1000</x:v>
      </x:c>
      <x:c r="H207" s="9" t="n">
        <x:f>ROUND(D207+G207,2)</x:f>
        <x:v>3000</x:v>
      </x:c>
    </x:row>
    <x:row r="208" ht="14" customHeight="1">
      <x:c r="A208" s="1" t="n">
        <x:v>3</x:v>
      </x:c>
      <x:c r="B208" s="1" t="str">
        <x:v>7320</x:v>
      </x:c>
      <x:c r="C208" s="1" t="str">
        <x:v>Zinsen Gesellschafterdarlehen</x:v>
      </x:c>
      <x:c r="D208" s="9" t="n">
        <x:f>H140</x:f>
        <x:v>0</x:v>
      </x:c>
      <x:c r="E208" s="9" t="n">
        <x:f>SUMIFS('Journal'!$E$6:$E$1632,'Journal'!$D$6:$D$1632,B208,'Journal'!$C$6:$C$1632,A208)</x:f>
        <x:v>0</x:v>
      </x:c>
      <x:c r="F208" s="9" t="n">
        <x:f>SUMIFS('Journal'!$F$6:$F$1632,'Journal'!$D$6:$D$1632,B208,'Journal'!$C$6:$C$1632,A208)</x:f>
        <x:v>0</x:v>
      </x:c>
      <x:c r="G208" s="9" t="n">
        <x:f>ROUND(E208-F208,2)</x:f>
        <x:v>0</x:v>
      </x:c>
      <x:c r="H208" s="9" t="n">
        <x:f>ROUND(D208+G208,2)</x:f>
        <x:v>0</x:v>
      </x:c>
    </x:row>
    <x:row r="209" ht="14" customHeight="1">
      <x:c r="A209" s="1" t="n">
        <x:v>3</x:v>
      </x:c>
      <x:c r="B209" s="1" t="str">
        <x:v>7600</x:v>
      </x:c>
      <x:c r="C209" s="1" t="str">
        <x:v>Ertragsteueraufwand</x:v>
      </x:c>
      <x:c r="D209" s="9" t="n">
        <x:f>H141</x:f>
        <x:v>0</x:v>
      </x:c>
      <x:c r="E209" s="9" t="n">
        <x:f>SUMIFS('Journal'!$E$6:$E$1632,'Journal'!$D$6:$D$1632,B209,'Journal'!$C$6:$C$1632,A209)</x:f>
        <x:v>0</x:v>
      </x:c>
      <x:c r="F209" s="9" t="n">
        <x:f>SUMIFS('Journal'!$F$6:$F$1632,'Journal'!$D$6:$D$1632,B209,'Journal'!$C$6:$C$1632,A209)</x:f>
        <x:v>0</x:v>
      </x:c>
      <x:c r="G209" s="9" t="n">
        <x:f>ROUND(E209-F209,2)</x:f>
        <x:v>0</x:v>
      </x:c>
      <x:c r="H209" s="9" t="n">
        <x:f>ROUND(D209+G209,2)</x:f>
        <x:v>0</x:v>
      </x:c>
    </x:row>
    <x:row r="210" ht="14" customHeight="1">
      <x:c r="A210" s="1" t="n">
        <x:v>4</x:v>
      </x:c>
      <x:c r="B210" s="1" t="str">
        <x:v>0100</x:v>
      </x:c>
      <x:c r="C210" s="1" t="str">
        <x:v>Software</x:v>
      </x:c>
      <x:c r="D210" s="9" t="n">
        <x:f>H142</x:f>
        <x:v>18500</x:v>
      </x:c>
      <x:c r="E210" s="9" t="n">
        <x:f>SUMIFS('Journal'!$E$6:$E$1632,'Journal'!$D$6:$D$1632,B210,'Journal'!$C$6:$C$1632,A210)</x:f>
        <x:v>0</x:v>
      </x:c>
      <x:c r="F210" s="9" t="n">
        <x:f>SUMIFS('Journal'!$F$6:$F$1632,'Journal'!$D$6:$D$1632,B210,'Journal'!$C$6:$C$1632,A210)</x:f>
        <x:v>500</x:v>
      </x:c>
      <x:c r="G210" s="9" t="n">
        <x:f>ROUND(E210-F210,2)</x:f>
        <x:v>-500</x:v>
      </x:c>
      <x:c r="H210" s="9" t="n">
        <x:f>ROUND(D210+G210,2)</x:f>
        <x:v>18000</x:v>
      </x:c>
    </x:row>
    <x:row r="211" ht="14" customHeight="1">
      <x:c r="A211" s="1" t="n">
        <x:v>4</x:v>
      </x:c>
      <x:c r="B211" s="1" t="str">
        <x:v>0400</x:v>
      </x:c>
      <x:c r="C211" s="1" t="str">
        <x:v>Lagereinbauten Erlangen</x:v>
      </x:c>
      <x:c r="D211" s="9" t="n">
        <x:f>H143</x:f>
        <x:v>232500</x:v>
      </x:c>
      <x:c r="E211" s="9" t="n">
        <x:f>SUMIFS('Journal'!$E$6:$E$1632,'Journal'!$D$6:$D$1632,B211,'Journal'!$C$6:$C$1632,A211)</x:f>
        <x:v>0</x:v>
      </x:c>
      <x:c r="F211" s="9" t="n">
        <x:f>SUMIFS('Journal'!$F$6:$F$1632,'Journal'!$D$6:$D$1632,B211,'Journal'!$C$6:$C$1632,A211)</x:f>
        <x:v>2500</x:v>
      </x:c>
      <x:c r="G211" s="9" t="n">
        <x:f>ROUND(E211-F211,2)</x:f>
        <x:v>-2500</x:v>
      </x:c>
      <x:c r="H211" s="9" t="n">
        <x:f>ROUND(D211+G211,2)</x:f>
        <x:v>230000</x:v>
      </x:c>
    </x:row>
    <x:row r="212" ht="14" customHeight="1">
      <x:c r="A212" s="1" t="n">
        <x:v>4</x:v>
      </x:c>
      <x:c r="B212" s="1" t="str">
        <x:v>0520</x:v>
      </x:c>
      <x:c r="C212" s="1" t="str">
        <x:v>Flurförderzeuge</x:v>
      </x:c>
      <x:c r="D212" s="9" t="n">
        <x:f>H144</x:f>
        <x:v>131500</x:v>
      </x:c>
      <x:c r="E212" s="9" t="n">
        <x:f>SUMIFS('Journal'!$E$6:$E$1632,'Journal'!$D$6:$D$1632,B212,'Journal'!$C$6:$C$1632,A212)</x:f>
        <x:v>0</x:v>
      </x:c>
      <x:c r="F212" s="9" t="n">
        <x:f>SUMIFS('Journal'!$F$6:$F$1632,'Journal'!$D$6:$D$1632,B212,'Journal'!$C$6:$C$1632,A212)</x:f>
        <x:v>1500</x:v>
      </x:c>
      <x:c r="G212" s="9" t="n">
        <x:f>ROUND(E212-F212,2)</x:f>
        <x:v>-1500</x:v>
      </x:c>
      <x:c r="H212" s="9" t="n">
        <x:f>ROUND(D212+G212,2)</x:f>
        <x:v>130000</x:v>
      </x:c>
    </x:row>
    <x:row r="213" ht="14" customHeight="1">
      <x:c r="A213" s="1" t="n">
        <x:v>4</x:v>
      </x:c>
      <x:c r="B213" s="1" t="str">
        <x:v>0650</x:v>
      </x:c>
      <x:c r="C213" s="1" t="str">
        <x:v>IT und Kommunikation</x:v>
      </x:c>
      <x:c r="D213" s="9" t="n">
        <x:f>H145</x:f>
        <x:v>74000</x:v>
      </x:c>
      <x:c r="E213" s="9" t="n">
        <x:f>SUMIFS('Journal'!$E$6:$E$1632,'Journal'!$D$6:$D$1632,B213,'Journal'!$C$6:$C$1632,A213)</x:f>
        <x:v>0</x:v>
      </x:c>
      <x:c r="F213" s="9" t="n">
        <x:f>SUMIFS('Journal'!$F$6:$F$1632,'Journal'!$D$6:$D$1632,B213,'Journal'!$C$6:$C$1632,A213)</x:f>
        <x:v>2000</x:v>
      </x:c>
      <x:c r="G213" s="9" t="n">
        <x:f>ROUND(E213-F213,2)</x:f>
        <x:v>-2000</x:v>
      </x:c>
      <x:c r="H213" s="9" t="n">
        <x:f>ROUND(D213+G213,2)</x:f>
        <x:v>72000</x:v>
      </x:c>
    </x:row>
    <x:row r="214" ht="14" customHeight="1">
      <x:c r="A214" s="1" t="n">
        <x:v>4</x:v>
      </x:c>
      <x:c r="B214" s="1" t="str">
        <x:v>0670</x:v>
      </x:c>
      <x:c r="C214" s="1" t="str">
        <x:v>Büroausstattung</x:v>
      </x:c>
      <x:c r="D214" s="9" t="n">
        <x:f>H146</x:f>
        <x:v>57000</x:v>
      </x:c>
      <x:c r="E214" s="9" t="n">
        <x:f>SUMIFS('Journal'!$E$6:$E$1632,'Journal'!$D$6:$D$1632,B214,'Journal'!$C$6:$C$1632,A214)</x:f>
        <x:v>0</x:v>
      </x:c>
      <x:c r="F214" s="9" t="n">
        <x:f>SUMIFS('Journal'!$F$6:$F$1632,'Journal'!$D$6:$D$1632,B214,'Journal'!$C$6:$C$1632,A214)</x:f>
        <x:v>1000</x:v>
      </x:c>
      <x:c r="G214" s="9" t="n">
        <x:f>ROUND(E214-F214,2)</x:f>
        <x:v>-1000</x:v>
      </x:c>
      <x:c r="H214" s="9" t="n">
        <x:f>ROUND(D214+G214,2)</x:f>
        <x:v>56000</x:v>
      </x:c>
    </x:row>
    <x:row r="215" ht="14" customHeight="1">
      <x:c r="A215" s="1" t="n">
        <x:v>4</x:v>
      </x:c>
      <x:c r="B215" s="1" t="str">
        <x:v>1140</x:v>
      </x:c>
      <x:c r="C215" s="1" t="str">
        <x:v>Warenbestand</x:v>
      </x:c>
      <x:c r="D215" s="9" t="n">
        <x:f>H147</x:f>
        <x:v>700000</x:v>
      </x:c>
      <x:c r="E215" s="9" t="n">
        <x:f>SUMIFS('Journal'!$E$6:$E$1632,'Journal'!$D$6:$D$1632,B215,'Journal'!$C$6:$C$1632,A215)</x:f>
        <x:v>371810</x:v>
      </x:c>
      <x:c r="F215" s="9" t="n">
        <x:f>SUMIFS('Journal'!$F$6:$F$1632,'Journal'!$D$6:$D$1632,B215,'Journal'!$C$6:$C$1632,A215)</x:f>
        <x:v>381810</x:v>
      </x:c>
      <x:c r="G215" s="9" t="n">
        <x:f>ROUND(E215-F215,2)</x:f>
        <x:v>-10000</x:v>
      </x:c>
      <x:c r="H215" s="9" t="n">
        <x:f>ROUND(D215+G215,2)</x:f>
        <x:v>690000</x:v>
      </x:c>
    </x:row>
    <x:row r="216" ht="14" customHeight="1">
      <x:c r="A216" s="1" t="n">
        <x:v>4</x:v>
      </x:c>
      <x:c r="B216" s="1" t="str">
        <x:v>1200</x:v>
      </x:c>
      <x:c r="C216" s="1" t="str">
        <x:v>Forderungen aus Lieferungen und Leistungen</x:v>
      </x:c>
      <x:c r="D216" s="9" t="n">
        <x:f>H148</x:f>
        <x:v>760000</x:v>
      </x:c>
      <x:c r="E216" s="9" t="n">
        <x:f>SUMIFS('Journal'!$E$6:$E$1632,'Journal'!$D$6:$D$1632,B216,'Journal'!$C$6:$C$1632,A216)</x:f>
        <x:v>623276</x:v>
      </x:c>
      <x:c r="F216" s="9" t="n">
        <x:f>SUMIFS('Journal'!$F$6:$F$1632,'Journal'!$D$6:$D$1632,B216,'Journal'!$C$6:$C$1632,A216)</x:f>
        <x:v>593276</x:v>
      </x:c>
      <x:c r="G216" s="9" t="n">
        <x:f>ROUND(E216-F216,2)</x:f>
        <x:v>30000</x:v>
      </x:c>
      <x:c r="H216" s="9" t="n">
        <x:f>ROUND(D216+G216,2)</x:f>
        <x:v>790000</x:v>
      </x:c>
    </x:row>
    <x:row r="217" ht="14" customHeight="1">
      <x:c r="A217" s="1" t="n">
        <x:v>4</x:v>
      </x:c>
      <x:c r="B217" s="1" t="str">
        <x:v>1248</x:v>
      </x:c>
      <x:c r="C217" s="1" t="str">
        <x:v>Einzelwertberichtigungen zu Forderungen</x:v>
      </x:c>
      <x:c r="D217" s="9" t="n">
        <x:f>H149</x:f>
        <x:v>-20000</x:v>
      </x:c>
      <x:c r="E217" s="9" t="n">
        <x:f>SUMIFS('Journal'!$E$6:$E$1632,'Journal'!$D$6:$D$1632,B217,'Journal'!$C$6:$C$1632,A217)</x:f>
        <x:v>0</x:v>
      </x:c>
      <x:c r="F217" s="9" t="n">
        <x:f>SUMIFS('Journal'!$F$6:$F$1632,'Journal'!$D$6:$D$1632,B217,'Journal'!$C$6:$C$1632,A217)</x:f>
        <x:v>0</x:v>
      </x:c>
      <x:c r="G217" s="9" t="n">
        <x:f>ROUND(E217-F217,2)</x:f>
        <x:v>0</x:v>
      </x:c>
      <x:c r="H217" s="9" t="n">
        <x:f>ROUND(D217+G217,2)</x:f>
        <x:v>-20000</x:v>
      </x:c>
    </x:row>
    <x:row r="218" ht="14" customHeight="1">
      <x:c r="A218" s="1" t="n">
        <x:v>4</x:v>
      </x:c>
      <x:c r="B218" s="1" t="str">
        <x:v>1300</x:v>
      </x:c>
      <x:c r="C218" s="1" t="str">
        <x:v>Geleistete Lieferantenanzahlungen</x:v>
      </x:c>
      <x:c r="D218" s="9" t="n">
        <x:f>H150</x:f>
        <x:v>40000</x:v>
      </x:c>
      <x:c r="E218" s="9" t="n">
        <x:f>SUMIFS('Journal'!$E$6:$E$1632,'Journal'!$D$6:$D$1632,B218,'Journal'!$C$6:$C$1632,A218)</x:f>
        <x:v>0</x:v>
      </x:c>
      <x:c r="F218" s="9" t="n">
        <x:f>SUMIFS('Journal'!$F$6:$F$1632,'Journal'!$D$6:$D$1632,B218,'Journal'!$C$6:$C$1632,A218)</x:f>
        <x:v>0</x:v>
      </x:c>
      <x:c r="G218" s="9" t="n">
        <x:f>ROUND(E218-F218,2)</x:f>
        <x:v>0</x:v>
      </x:c>
      <x:c r="H218" s="9" t="n">
        <x:f>ROUND(D218+G218,2)</x:f>
        <x:v>40000</x:v>
      </x:c>
    </x:row>
    <x:row r="219" ht="14" customHeight="1">
      <x:c r="A219" s="1" t="n">
        <x:v>4</x:v>
      </x:c>
      <x:c r="B219" s="1" t="str">
        <x:v>1350</x:v>
      </x:c>
      <x:c r="C219" s="1" t="str">
        <x:v>Mietkaution Erlangen</x:v>
      </x:c>
      <x:c r="D219" s="9" t="n">
        <x:f>H151</x:f>
        <x:v>25000</x:v>
      </x:c>
      <x:c r="E219" s="9" t="n">
        <x:f>SUMIFS('Journal'!$E$6:$E$1632,'Journal'!$D$6:$D$1632,B219,'Journal'!$C$6:$C$1632,A219)</x:f>
        <x:v>0</x:v>
      </x:c>
      <x:c r="F219" s="9" t="n">
        <x:f>SUMIFS('Journal'!$F$6:$F$1632,'Journal'!$D$6:$D$1632,B219,'Journal'!$C$6:$C$1632,A219)</x:f>
        <x:v>0</x:v>
      </x:c>
      <x:c r="G219" s="9" t="n">
        <x:f>ROUND(E219-F219,2)</x:f>
        <x:v>0</x:v>
      </x:c>
      <x:c r="H219" s="9" t="n">
        <x:f>ROUND(D219+G219,2)</x:f>
        <x:v>25000</x:v>
      </x:c>
    </x:row>
    <x:row r="220" ht="14" customHeight="1">
      <x:c r="A220" s="1" t="n">
        <x:v>4</x:v>
      </x:c>
      <x:c r="B220" s="1" t="str">
        <x:v>1401</x:v>
      </x:c>
      <x:c r="C220" s="1" t="str">
        <x:v>Vorsteuer Inland 7 Prozent</x:v>
      </x:c>
      <x:c r="D220" s="9" t="n">
        <x:f>H152</x:f>
        <x:v>0</x:v>
      </x:c>
      <x:c r="E220" s="9" t="n">
        <x:f>SUMIFS('Journal'!$E$6:$E$1632,'Journal'!$D$6:$D$1632,B220,'Journal'!$C$6:$C$1632,A220)</x:f>
        <x:v>9890.15</x:v>
      </x:c>
      <x:c r="F220" s="9" t="n">
        <x:f>SUMIFS('Journal'!$F$6:$F$1632,'Journal'!$D$6:$D$1632,B220,'Journal'!$C$6:$C$1632,A220)</x:f>
        <x:v>9890.15</x:v>
      </x:c>
      <x:c r="G220" s="9" t="n">
        <x:f>ROUND(E220-F220,2)</x:f>
        <x:v>0</x:v>
      </x:c>
      <x:c r="H220" s="9" t="n">
        <x:f>ROUND(D220+G220,2)</x:f>
        <x:v>0</x:v>
      </x:c>
    </x:row>
    <x:row r="221" ht="14" customHeight="1">
      <x:c r="A221" s="1" t="n">
        <x:v>4</x:v>
      </x:c>
      <x:c r="B221" s="1" t="str">
        <x:v>1406</x:v>
      </x:c>
      <x:c r="C221" s="1" t="str">
        <x:v>Vorsteuer Inland 19 Prozent</x:v>
      </x:c>
      <x:c r="D221" s="9" t="n">
        <x:f>H153</x:f>
        <x:v>0</x:v>
      </x:c>
      <x:c r="E221" s="9" t="n">
        <x:f>SUMIFS('Journal'!$E$6:$E$1632,'Journal'!$D$6:$D$1632,B221,'Journal'!$C$6:$C$1632,A221)</x:f>
        <x:v>18530.07</x:v>
      </x:c>
      <x:c r="F221" s="9" t="n">
        <x:f>SUMIFS('Journal'!$F$6:$F$1632,'Journal'!$D$6:$D$1632,B221,'Journal'!$C$6:$C$1632,A221)</x:f>
        <x:v>18530.07</x:v>
      </x:c>
      <x:c r="G221" s="9" t="n">
        <x:f>ROUND(E221-F221,2)</x:f>
        <x:v>0</x:v>
      </x:c>
      <x:c r="H221" s="9" t="n">
        <x:f>ROUND(D221+G221,2)</x:f>
        <x:v>0</x:v>
      </x:c>
    </x:row>
    <x:row r="222" ht="14" customHeight="1">
      <x:c r="A222" s="1" t="n">
        <x:v>4</x:v>
      </x:c>
      <x:c r="B222" s="1" t="str">
        <x:v>1404</x:v>
      </x:c>
      <x:c r="C222" s="1" t="str">
        <x:v>Vorsteuer EU Erwerb 7 Prozent</x:v>
      </x:c>
      <x:c r="D222" s="9" t="n">
        <x:f>H154</x:f>
        <x:v>0</x:v>
      </x:c>
      <x:c r="E222" s="9" t="n">
        <x:f>SUMIFS('Journal'!$E$6:$E$1632,'Journal'!$D$6:$D$1632,B222,'Journal'!$C$6:$C$1632,A222)</x:f>
        <x:v>5205.34</x:v>
      </x:c>
      <x:c r="F222" s="9" t="n">
        <x:f>SUMIFS('Journal'!$F$6:$F$1632,'Journal'!$D$6:$D$1632,B222,'Journal'!$C$6:$C$1632,A222)</x:f>
        <x:v>5205.34</x:v>
      </x:c>
      <x:c r="G222" s="9" t="n">
        <x:f>ROUND(E222-F222,2)</x:f>
        <x:v>0</x:v>
      </x:c>
      <x:c r="H222" s="9" t="n">
        <x:f>ROUND(D222+G222,2)</x:f>
        <x:v>0</x:v>
      </x:c>
    </x:row>
    <x:row r="223" ht="14" customHeight="1">
      <x:c r="A223" s="1" t="n">
        <x:v>4</x:v>
      </x:c>
      <x:c r="B223" s="1" t="str">
        <x:v>1409</x:v>
      </x:c>
      <x:c r="C223" s="1" t="str">
        <x:v>Vorsteuer EU Erwerb 19 Prozent</x:v>
      </x:c>
      <x:c r="D223" s="9" t="n">
        <x:f>H155</x:f>
        <x:v>0</x:v>
      </x:c>
      <x:c r="E223" s="9" t="n">
        <x:f>SUMIFS('Journal'!$E$6:$E$1632,'Journal'!$D$6:$D$1632,B223,'Journal'!$C$6:$C$1632,A223)</x:f>
        <x:v>3532.2</x:v>
      </x:c>
      <x:c r="F223" s="9" t="n">
        <x:f>SUMIFS('Journal'!$F$6:$F$1632,'Journal'!$D$6:$D$1632,B223,'Journal'!$C$6:$C$1632,A223)</x:f>
        <x:v>3532.2</x:v>
      </x:c>
      <x:c r="G223" s="9" t="n">
        <x:f>ROUND(E223-F223,2)</x:f>
        <x:v>0</x:v>
      </x:c>
      <x:c r="H223" s="9" t="n">
        <x:f>ROUND(D223+G223,2)</x:f>
        <x:v>0</x:v>
      </x:c>
    </x:row>
    <x:row r="224" ht="14" customHeight="1">
      <x:c r="A224" s="1" t="n">
        <x:v>4</x:v>
      </x:c>
      <x:c r="B224" s="1" t="str">
        <x:v>1433</x:v>
      </x:c>
      <x:c r="C224" s="1" t="str">
        <x:v>Einfuhrumsatzsteuer</x:v>
      </x:c>
      <x:c r="D224" s="9" t="n">
        <x:f>H156</x:f>
        <x:v>0</x:v>
      </x:c>
      <x:c r="E224" s="9" t="n">
        <x:f>SUMIFS('Journal'!$E$6:$E$1632,'Journal'!$D$6:$D$1632,B224,'Journal'!$C$6:$C$1632,A224)</x:f>
        <x:v>9146.53</x:v>
      </x:c>
      <x:c r="F224" s="9" t="n">
        <x:f>SUMIFS('Journal'!$F$6:$F$1632,'Journal'!$D$6:$D$1632,B224,'Journal'!$C$6:$C$1632,A224)</x:f>
        <x:v>9146.53</x:v>
      </x:c>
      <x:c r="G224" s="9" t="n">
        <x:f>ROUND(E224-F224,2)</x:f>
        <x:v>0</x:v>
      </x:c>
      <x:c r="H224" s="9" t="n">
        <x:f>ROUND(D224+G224,2)</x:f>
        <x:v>0</x:v>
      </x:c>
    </x:row>
    <x:row r="225" ht="14" customHeight="1">
      <x:c r="A225" s="1" t="n">
        <x:v>4</x:v>
      </x:c>
      <x:c r="B225" s="1" t="str">
        <x:v>1600</x:v>
      </x:c>
      <x:c r="C225" s="1" t="str">
        <x:v>Kasse</x:v>
      </x:c>
      <x:c r="D225" s="9" t="n">
        <x:f>H157</x:f>
        <x:v>3000</x:v>
      </x:c>
      <x:c r="E225" s="9" t="n">
        <x:f>SUMIFS('Journal'!$E$6:$E$1632,'Journal'!$D$6:$D$1632,B225,'Journal'!$C$6:$C$1632,A225)</x:f>
        <x:v>300</x:v>
      </x:c>
      <x:c r="F225" s="9" t="n">
        <x:f>SUMIFS('Journal'!$F$6:$F$1632,'Journal'!$D$6:$D$1632,B225,'Journal'!$C$6:$C$1632,A225)</x:f>
        <x:v>300</x:v>
      </x:c>
      <x:c r="G225" s="9" t="n">
        <x:f>ROUND(E225-F225,2)</x:f>
        <x:v>0</x:v>
      </x:c>
      <x:c r="H225" s="9" t="n">
        <x:f>ROUND(D225+G225,2)</x:f>
        <x:v>3000</x:v>
      </x:c>
    </x:row>
    <x:row r="226" ht="14" customHeight="1">
      <x:c r="A226" s="1" t="n">
        <x:v>4</x:v>
      </x:c>
      <x:c r="B226" s="1" t="str">
        <x:v>1800</x:v>
      </x:c>
      <x:c r="C226" s="1" t="str">
        <x:v>Bank Frankenbogen Geschäftskonto</x:v>
      </x:c>
      <x:c r="D226" s="9" t="n">
        <x:f>H158</x:f>
        <x:v>85794.82</x:v>
      </x:c>
      <x:c r="E226" s="9" t="n">
        <x:f>SUMIFS('Journal'!$E$6:$E$1632,'Journal'!$D$6:$D$1632,B226,'Journal'!$C$6:$C$1632,A226)</x:f>
        <x:v>596756.9800000001</x:v>
      </x:c>
      <x:c r="F226" s="9" t="n">
        <x:f>SUMIFS('Journal'!$F$6:$F$1632,'Journal'!$D$6:$D$1632,B226,'Journal'!$C$6:$C$1632,A226)</x:f>
        <x:v>581376.75</x:v>
      </x:c>
      <x:c r="G226" s="9" t="n">
        <x:f>ROUND(E226-F226,2)</x:f>
        <x:v>15380.23</x:v>
      </x:c>
      <x:c r="H226" s="9" t="n">
        <x:f>ROUND(D226+G226,2)</x:f>
        <x:v>101175.05</x:v>
      </x:c>
    </x:row>
    <x:row r="227" ht="14" customHeight="1">
      <x:c r="A227" s="1" t="n">
        <x:v>4</x:v>
      </x:c>
      <x:c r="B227" s="1" t="str">
        <x:v>1900</x:v>
      </x:c>
      <x:c r="C227" s="1" t="str">
        <x:v>Aktive Rechnungsabgrenzung</x:v>
      </x:c>
      <x:c r="D227" s="9" t="n">
        <x:f>H159</x:f>
        <x:v>9000</x:v>
      </x:c>
      <x:c r="E227" s="9" t="n">
        <x:f>SUMIFS('Journal'!$E$6:$E$1632,'Journal'!$D$6:$D$1632,B227,'Journal'!$C$6:$C$1632,A227)</x:f>
        <x:v>0</x:v>
      </x:c>
      <x:c r="F227" s="9" t="n">
        <x:f>SUMIFS('Journal'!$F$6:$F$1632,'Journal'!$D$6:$D$1632,B227,'Journal'!$C$6:$C$1632,A227)</x:f>
        <x:v>3000</x:v>
      </x:c>
      <x:c r="G227" s="9" t="n">
        <x:f>ROUND(E227-F227,2)</x:f>
        <x:v>-3000</x:v>
      </x:c>
      <x:c r="H227" s="9" t="n">
        <x:f>ROUND(D227+G227,2)</x:f>
        <x:v>6000</x:v>
      </x:c>
    </x:row>
    <x:row r="228" ht="14" customHeight="1">
      <x:c r="A228" s="1" t="n">
        <x:v>4</x:v>
      </x:c>
      <x:c r="B228" s="1" t="str">
        <x:v>2900</x:v>
      </x:c>
      <x:c r="C228" s="1" t="str">
        <x:v>Gezeichnetes Kapital</x:v>
      </x:c>
      <x:c r="D228" s="9" t="n">
        <x:f>H160</x:f>
        <x:v>-100000</x:v>
      </x:c>
      <x:c r="E228" s="9" t="n">
        <x:f>SUMIFS('Journal'!$E$6:$E$1632,'Journal'!$D$6:$D$1632,B228,'Journal'!$C$6:$C$1632,A228)</x:f>
        <x:v>0</x:v>
      </x:c>
      <x:c r="F228" s="9" t="n">
        <x:f>SUMIFS('Journal'!$F$6:$F$1632,'Journal'!$D$6:$D$1632,B228,'Journal'!$C$6:$C$1632,A228)</x:f>
        <x:v>0</x:v>
      </x:c>
      <x:c r="G228" s="9" t="n">
        <x:f>ROUND(E228-F228,2)</x:f>
        <x:v>0</x:v>
      </x:c>
      <x:c r="H228" s="9" t="n">
        <x:f>ROUND(D228+G228,2)</x:f>
        <x:v>-100000</x:v>
      </x:c>
    </x:row>
    <x:row r="229" ht="14" customHeight="1">
      <x:c r="A229" s="1" t="n">
        <x:v>4</x:v>
      </x:c>
      <x:c r="B229" s="1" t="str">
        <x:v>2970</x:v>
      </x:c>
      <x:c r="C229" s="1" t="str">
        <x:v>Gewinnvortrag bis 2023</x:v>
      </x:c>
      <x:c r="D229" s="9" t="n">
        <x:f>H161</x:f>
        <x:v>-705000</x:v>
      </x:c>
      <x:c r="E229" s="9" t="n">
        <x:f>SUMIFS('Journal'!$E$6:$E$1632,'Journal'!$D$6:$D$1632,B229,'Journal'!$C$6:$C$1632,A229)</x:f>
        <x:v>0</x:v>
      </x:c>
      <x:c r="F229" s="9" t="n">
        <x:f>SUMIFS('Journal'!$F$6:$F$1632,'Journal'!$D$6:$D$1632,B229,'Journal'!$C$6:$C$1632,A229)</x:f>
        <x:v>0</x:v>
      </x:c>
      <x:c r="G229" s="9" t="n">
        <x:f>ROUND(E229-F229,2)</x:f>
        <x:v>0</x:v>
      </x:c>
      <x:c r="H229" s="9" t="n">
        <x:f>ROUND(D229+G229,2)</x:f>
        <x:v>-705000</x:v>
      </x:c>
    </x:row>
    <x:row r="230" ht="14" customHeight="1">
      <x:c r="A230" s="1" t="n">
        <x:v>4</x:v>
      </x:c>
      <x:c r="B230" s="1" t="str">
        <x:v>2978</x:v>
      </x:c>
      <x:c r="C230" s="1" t="str">
        <x:v>Ergebnisvortrag 2024</x:v>
      </x:c>
      <x:c r="D230" s="9" t="n">
        <x:f>H162</x:f>
        <x:v>0</x:v>
      </x:c>
      <x:c r="E230" s="9" t="n">
        <x:f>SUMIFS('Journal'!$E$6:$E$1632,'Journal'!$D$6:$D$1632,B230,'Journal'!$C$6:$C$1632,A230)</x:f>
        <x:v>0</x:v>
      </x:c>
      <x:c r="F230" s="9" t="n">
        <x:f>SUMIFS('Journal'!$F$6:$F$1632,'Journal'!$D$6:$D$1632,B230,'Journal'!$C$6:$C$1632,A230)</x:f>
        <x:v>0</x:v>
      </x:c>
      <x:c r="G230" s="9" t="n">
        <x:f>ROUND(E230-F230,2)</x:f>
        <x:v>0</x:v>
      </x:c>
      <x:c r="H230" s="9" t="n">
        <x:f>ROUND(D230+G230,2)</x:f>
        <x:v>0</x:v>
      </x:c>
    </x:row>
    <x:row r="231" ht="14" customHeight="1">
      <x:c r="A231" s="1" t="n">
        <x:v>4</x:v>
      </x:c>
      <x:c r="B231" s="1" t="str">
        <x:v>3090</x:v>
      </x:c>
      <x:c r="C231" s="1" t="str">
        <x:v>Rückstellungen Abschluss und Urlaub</x:v>
      </x:c>
      <x:c r="D231" s="9" t="n">
        <x:f>H163</x:f>
        <x:v>-45000</x:v>
      </x:c>
      <x:c r="E231" s="9" t="n">
        <x:f>SUMIFS('Journal'!$E$6:$E$1632,'Journal'!$D$6:$D$1632,B231,'Journal'!$C$6:$C$1632,A231)</x:f>
        <x:v>0</x:v>
      </x:c>
      <x:c r="F231" s="9" t="n">
        <x:f>SUMIFS('Journal'!$F$6:$F$1632,'Journal'!$D$6:$D$1632,B231,'Journal'!$C$6:$C$1632,A231)</x:f>
        <x:v>0</x:v>
      </x:c>
      <x:c r="G231" s="9" t="n">
        <x:f>ROUND(E231-F231,2)</x:f>
        <x:v>0</x:v>
      </x:c>
      <x:c r="H231" s="9" t="n">
        <x:f>ROUND(D231+G231,2)</x:f>
        <x:v>-45000</x:v>
      </x:c>
    </x:row>
    <x:row r="232" ht="14" customHeight="1">
      <x:c r="A232" s="1" t="n">
        <x:v>4</x:v>
      </x:c>
      <x:c r="B232" s="1" t="str">
        <x:v>3150</x:v>
      </x:c>
      <x:c r="C232" s="1" t="str">
        <x:v>Investitionsdarlehen Frankenbogen</x:v>
      </x:c>
      <x:c r="D232" s="9" t="n">
        <x:f>H164</x:f>
        <x:v>-570000</x:v>
      </x:c>
      <x:c r="E232" s="9" t="n">
        <x:f>SUMIFS('Journal'!$E$6:$E$1632,'Journal'!$D$6:$D$1632,B232,'Journal'!$C$6:$C$1632,A232)</x:f>
        <x:v>10000</x:v>
      </x:c>
      <x:c r="F232" s="9" t="n">
        <x:f>SUMIFS('Journal'!$F$6:$F$1632,'Journal'!$D$6:$D$1632,B232,'Journal'!$C$6:$C$1632,A232)</x:f>
        <x:v>0</x:v>
      </x:c>
      <x:c r="G232" s="9" t="n">
        <x:f>ROUND(E232-F232,2)</x:f>
        <x:v>10000</x:v>
      </x:c>
      <x:c r="H232" s="9" t="n">
        <x:f>ROUND(D232+G232,2)</x:f>
        <x:v>-560000</x:v>
      </x:c>
    </x:row>
    <x:row r="233" ht="14" customHeight="1">
      <x:c r="A233" s="1" t="n">
        <x:v>4</x:v>
      </x:c>
      <x:c r="B233" s="1" t="str">
        <x:v>3160</x:v>
      </x:c>
      <x:c r="C233" s="1" t="str">
        <x:v>Gesellschafterdarlehen</x:v>
      </x:c>
      <x:c r="D233" s="9" t="n">
        <x:f>H165</x:f>
        <x:v>0</x:v>
      </x:c>
      <x:c r="E233" s="9" t="n">
        <x:f>SUMIFS('Journal'!$E$6:$E$1632,'Journal'!$D$6:$D$1632,B233,'Journal'!$C$6:$C$1632,A233)</x:f>
        <x:v>0</x:v>
      </x:c>
      <x:c r="F233" s="9" t="n">
        <x:f>SUMIFS('Journal'!$F$6:$F$1632,'Journal'!$D$6:$D$1632,B233,'Journal'!$C$6:$C$1632,A233)</x:f>
        <x:v>0</x:v>
      </x:c>
      <x:c r="G233" s="9" t="n">
        <x:f>ROUND(E233-F233,2)</x:f>
        <x:v>0</x:v>
      </x:c>
      <x:c r="H233" s="9" t="n">
        <x:f>ROUND(D233+G233,2)</x:f>
        <x:v>0</x:v>
      </x:c>
    </x:row>
    <x:row r="234" ht="14" customHeight="1">
      <x:c r="A234" s="1" t="n">
        <x:v>4</x:v>
      </x:c>
      <x:c r="B234" s="1" t="str">
        <x:v>3300</x:v>
      </x:c>
      <x:c r="C234" s="1" t="str">
        <x:v>Verbindlichkeiten aus Lieferungen und Leistungen</x:v>
      </x:c>
      <x:c r="D234" s="9" t="n">
        <x:f>H166</x:f>
        <x:v>-640000</x:v>
      </x:c>
      <x:c r="E234" s="9" t="n">
        <x:f>SUMIFS('Journal'!$E$6:$E$1632,'Journal'!$D$6:$D$1632,B234,'Journal'!$C$6:$C$1632,A234)</x:f>
        <x:v>454430.22</x:v>
      </x:c>
      <x:c r="F234" s="9" t="n">
        <x:f>SUMIFS('Journal'!$F$6:$F$1632,'Journal'!$D$6:$D$1632,B234,'Journal'!$C$6:$C$1632,A234)</x:f>
        <x:v>474430.22</x:v>
      </x:c>
      <x:c r="G234" s="9" t="n">
        <x:f>ROUND(E234-F234,2)</x:f>
        <x:v>-20000</x:v>
      </x:c>
      <x:c r="H234" s="9" t="n">
        <x:f>ROUND(D234+G234,2)</x:f>
        <x:v>-660000</x:v>
      </x:c>
    </x:row>
    <x:row r="235" ht="14" customHeight="1">
      <x:c r="A235" s="1" t="n">
        <x:v>4</x:v>
      </x:c>
      <x:c r="B235" s="1" t="str">
        <x:v>3500</x:v>
      </x:c>
      <x:c r="C235" s="1" t="str">
        <x:v>Sonstige Verbindlichkeiten</x:v>
      </x:c>
      <x:c r="D235" s="9" t="n">
        <x:f>H167</x:f>
        <x:v>-22000</x:v>
      </x:c>
      <x:c r="E235" s="9" t="n">
        <x:f>SUMIFS('Journal'!$E$6:$E$1632,'Journal'!$D$6:$D$1632,B235,'Journal'!$C$6:$C$1632,A235)</x:f>
        <x:v>0</x:v>
      </x:c>
      <x:c r="F235" s="9" t="n">
        <x:f>SUMIFS('Journal'!$F$6:$F$1632,'Journal'!$D$6:$D$1632,B235,'Journal'!$C$6:$C$1632,A235)</x:f>
        <x:v>0</x:v>
      </x:c>
      <x:c r="G235" s="9" t="n">
        <x:f>ROUND(E235-F235,2)</x:f>
        <x:v>0</x:v>
      </x:c>
      <x:c r="H235" s="9" t="n">
        <x:f>ROUND(D235+G235,2)</x:f>
        <x:v>-22000</x:v>
      </x:c>
    </x:row>
    <x:row r="236" ht="14" customHeight="1">
      <x:c r="A236" s="1" t="n">
        <x:v>4</x:v>
      </x:c>
      <x:c r="B236" s="1" t="str">
        <x:v>3720</x:v>
      </x:c>
      <x:c r="C236" s="1" t="str">
        <x:v>Verbindlichkeiten Nettolöhne</x:v>
      </x:c>
      <x:c r="D236" s="9" t="n">
        <x:f>H168</x:f>
        <x:v>0</x:v>
      </x:c>
      <x:c r="E236" s="9" t="n">
        <x:f>SUMIFS('Journal'!$E$6:$E$1632,'Journal'!$D$6:$D$1632,B236,'Journal'!$C$6:$C$1632,A236)</x:f>
        <x:v>56760</x:v>
      </x:c>
      <x:c r="F236" s="9" t="n">
        <x:f>SUMIFS('Journal'!$F$6:$F$1632,'Journal'!$D$6:$D$1632,B236,'Journal'!$C$6:$C$1632,A236)</x:f>
        <x:v>56760</x:v>
      </x:c>
      <x:c r="G236" s="9" t="n">
        <x:f>ROUND(E236-F236,2)</x:f>
        <x:v>0</x:v>
      </x:c>
      <x:c r="H236" s="9" t="n">
        <x:f>ROUND(D236+G236,2)</x:f>
        <x:v>0</x:v>
      </x:c>
    </x:row>
    <x:row r="237" ht="14" customHeight="1">
      <x:c r="A237" s="1" t="n">
        <x:v>4</x:v>
      </x:c>
      <x:c r="B237" s="1" t="str">
        <x:v>3730</x:v>
      </x:c>
      <x:c r="C237" s="1" t="str">
        <x:v>Verbindlichkeiten Lohnsteuer</x:v>
      </x:c>
      <x:c r="D237" s="9" t="n">
        <x:f>H169</x:f>
        <x:v>-12900</x:v>
      </x:c>
      <x:c r="E237" s="9" t="n">
        <x:f>SUMIFS('Journal'!$E$6:$E$1632,'Journal'!$D$6:$D$1632,B237,'Journal'!$C$6:$C$1632,A237)</x:f>
        <x:v>12900</x:v>
      </x:c>
      <x:c r="F237" s="9" t="n">
        <x:f>SUMIFS('Journal'!$F$6:$F$1632,'Journal'!$D$6:$D$1632,B237,'Journal'!$C$6:$C$1632,A237)</x:f>
        <x:v>12900</x:v>
      </x:c>
      <x:c r="G237" s="9" t="n">
        <x:f>ROUND(E237-F237,2)</x:f>
        <x:v>0</x:v>
      </x:c>
      <x:c r="H237" s="9" t="n">
        <x:f>ROUND(D237+G237,2)</x:f>
        <x:v>-12900</x:v>
      </x:c>
    </x:row>
    <x:row r="238" ht="14" customHeight="1">
      <x:c r="A238" s="1" t="n">
        <x:v>4</x:v>
      </x:c>
      <x:c r="B238" s="1" t="str">
        <x:v>3740</x:v>
      </x:c>
      <x:c r="C238" s="1" t="str">
        <x:v>Verbindlichkeiten Sozialversicherung</x:v>
      </x:c>
      <x:c r="D238" s="9" t="n">
        <x:f>H170</x:f>
        <x:v>0</x:v>
      </x:c>
      <x:c r="E238" s="9" t="n">
        <x:f>SUMIFS('Journal'!$E$6:$E$1632,'Journal'!$D$6:$D$1632,B238,'Journal'!$C$6:$C$1632,A238)</x:f>
        <x:v>34340</x:v>
      </x:c>
      <x:c r="F238" s="9" t="n">
        <x:f>SUMIFS('Journal'!$F$6:$F$1632,'Journal'!$D$6:$D$1632,B238,'Journal'!$C$6:$C$1632,A238)</x:f>
        <x:v>34340</x:v>
      </x:c>
      <x:c r="G238" s="9" t="n">
        <x:f>ROUND(E238-F238,2)</x:f>
        <x:v>0</x:v>
      </x:c>
      <x:c r="H238" s="9" t="n">
        <x:f>ROUND(D238+G238,2)</x:f>
        <x:v>0</x:v>
      </x:c>
    </x:row>
    <x:row r="239" ht="14" customHeight="1">
      <x:c r="A239" s="1" t="n">
        <x:v>4</x:v>
      </x:c>
      <x:c r="B239" s="1" t="str">
        <x:v>3801</x:v>
      </x:c>
      <x:c r="C239" s="1" t="str">
        <x:v>Umsatzsteuer Inland 7 Prozent</x:v>
      </x:c>
      <x:c r="D239" s="9" t="n">
        <x:f>H171</x:f>
        <x:v>0</x:v>
      </x:c>
      <x:c r="E239" s="9" t="n">
        <x:f>SUMIFS('Journal'!$E$6:$E$1632,'Journal'!$D$6:$D$1632,B239,'Journal'!$C$6:$C$1632,A239)</x:f>
        <x:v>19824</x:v>
      </x:c>
      <x:c r="F239" s="9" t="n">
        <x:f>SUMIFS('Journal'!$F$6:$F$1632,'Journal'!$D$6:$D$1632,B239,'Journal'!$C$6:$C$1632,A239)</x:f>
        <x:v>19824</x:v>
      </x:c>
      <x:c r="G239" s="9" t="n">
        <x:f>ROUND(E239-F239,2)</x:f>
        <x:v>0</x:v>
      </x:c>
      <x:c r="H239" s="9" t="n">
        <x:f>ROUND(D239+G239,2)</x:f>
        <x:v>0</x:v>
      </x:c>
    </x:row>
    <x:row r="240" ht="14" customHeight="1">
      <x:c r="A240" s="1" t="n">
        <x:v>4</x:v>
      </x:c>
      <x:c r="B240" s="1" t="str">
        <x:v>3806</x:v>
      </x:c>
      <x:c r="C240" s="1" t="str">
        <x:v>Umsatzsteuer Inland 19 Prozent</x:v>
      </x:c>
      <x:c r="D240" s="9" t="n">
        <x:f>H172</x:f>
        <x:v>0</x:v>
      </x:c>
      <x:c r="E240" s="9" t="n">
        <x:f>SUMIFS('Journal'!$E$6:$E$1632,'Journal'!$D$6:$D$1632,B240,'Journal'!$C$6:$C$1632,A240)</x:f>
        <x:v>13452</x:v>
      </x:c>
      <x:c r="F240" s="9" t="n">
        <x:f>SUMIFS('Journal'!$F$6:$F$1632,'Journal'!$D$6:$D$1632,B240,'Journal'!$C$6:$C$1632,A240)</x:f>
        <x:v>13452</x:v>
      </x:c>
      <x:c r="G240" s="9" t="n">
        <x:f>ROUND(E240-F240,2)</x:f>
        <x:v>0</x:v>
      </x:c>
      <x:c r="H240" s="9" t="n">
        <x:f>ROUND(D240+G240,2)</x:f>
        <x:v>0</x:v>
      </x:c>
    </x:row>
    <x:row r="241" ht="14" customHeight="1">
      <x:c r="A241" s="1" t="n">
        <x:v>4</x:v>
      </x:c>
      <x:c r="B241" s="1" t="str">
        <x:v>3804</x:v>
      </x:c>
      <x:c r="C241" s="1" t="str">
        <x:v>Umsatzsteuer EU Erwerb 7 Prozent</x:v>
      </x:c>
      <x:c r="D241" s="9" t="n">
        <x:f>H173</x:f>
        <x:v>0</x:v>
      </x:c>
      <x:c r="E241" s="9" t="n">
        <x:f>SUMIFS('Journal'!$E$6:$E$1632,'Journal'!$D$6:$D$1632,B241,'Journal'!$C$6:$C$1632,A241)</x:f>
        <x:v>5205.34</x:v>
      </x:c>
      <x:c r="F241" s="9" t="n">
        <x:f>SUMIFS('Journal'!$F$6:$F$1632,'Journal'!$D$6:$D$1632,B241,'Journal'!$C$6:$C$1632,A241)</x:f>
        <x:v>5205.34</x:v>
      </x:c>
      <x:c r="G241" s="9" t="n">
        <x:f>ROUND(E241-F241,2)</x:f>
        <x:v>0</x:v>
      </x:c>
      <x:c r="H241" s="9" t="n">
        <x:f>ROUND(D241+G241,2)</x:f>
        <x:v>0</x:v>
      </x:c>
    </x:row>
    <x:row r="242" ht="14" customHeight="1">
      <x:c r="A242" s="1" t="n">
        <x:v>4</x:v>
      </x:c>
      <x:c r="B242" s="1" t="str">
        <x:v>3809</x:v>
      </x:c>
      <x:c r="C242" s="1" t="str">
        <x:v>Umsatzsteuer EU Erwerb 19 Prozent</x:v>
      </x:c>
      <x:c r="D242" s="9" t="n">
        <x:f>H174</x:f>
        <x:v>0</x:v>
      </x:c>
      <x:c r="E242" s="9" t="n">
        <x:f>SUMIFS('Journal'!$E$6:$E$1632,'Journal'!$D$6:$D$1632,B242,'Journal'!$C$6:$C$1632,A242)</x:f>
        <x:v>3532.2</x:v>
      </x:c>
      <x:c r="F242" s="9" t="n">
        <x:f>SUMIFS('Journal'!$F$6:$F$1632,'Journal'!$D$6:$D$1632,B242,'Journal'!$C$6:$C$1632,A242)</x:f>
        <x:v>3532.2</x:v>
      </x:c>
      <x:c r="G242" s="9" t="n">
        <x:f>ROUND(E242-F242,2)</x:f>
        <x:v>0</x:v>
      </x:c>
      <x:c r="H242" s="9" t="n">
        <x:f>ROUND(D242+G242,2)</x:f>
        <x:v>0</x:v>
      </x:c>
    </x:row>
    <x:row r="243" ht="14" customHeight="1">
      <x:c r="A243" s="1" t="n">
        <x:v>4</x:v>
      </x:c>
      <x:c r="B243" s="1" t="str">
        <x:v>3820</x:v>
      </x:c>
      <x:c r="C243" s="1" t="str">
        <x:v>Umsatzsteuer Verrechnung Finanzamt</x:v>
      </x:c>
      <x:c r="D243" s="9" t="n">
        <x:f>H175</x:f>
        <x:v>6190.18</x:v>
      </x:c>
      <x:c r="E243" s="9" t="n">
        <x:f>SUMIFS('Journal'!$E$6:$E$1632,'Journal'!$D$6:$D$1632,B243,'Journal'!$C$6:$C$1632,A243)</x:f>
        <x:v>46304.28999999999</x:v>
      </x:c>
      <x:c r="F243" s="9" t="n">
        <x:f>SUMIFS('Journal'!$F$6:$F$1632,'Journal'!$D$6:$D$1632,B243,'Journal'!$C$6:$C$1632,A243)</x:f>
        <x:v>48094.51999999999</x:v>
      </x:c>
      <x:c r="G243" s="9" t="n">
        <x:f>ROUND(E243-F243,2)</x:f>
        <x:v>-1790.23</x:v>
      </x:c>
      <x:c r="H243" s="9" t="n">
        <x:f>ROUND(D243+G243,2)</x:f>
        <x:v>4399.95</x:v>
      </x:c>
    </x:row>
    <x:row r="244" ht="14" customHeight="1">
      <x:c r="A244" s="1" t="n">
        <x:v>4</x:v>
      </x:c>
      <x:c r="B244" s="1" t="str">
        <x:v>3840</x:v>
      </x:c>
      <x:c r="C244" s="1" t="str">
        <x:v>Ertragsteuern Verrechnung</x:v>
      </x:c>
      <x:c r="D244" s="9" t="n">
        <x:f>H176</x:f>
        <x:v>-23000</x:v>
      </x:c>
      <x:c r="E244" s="9" t="n">
        <x:f>SUMIFS('Journal'!$E$6:$E$1632,'Journal'!$D$6:$D$1632,B244,'Journal'!$C$6:$C$1632,A244)</x:f>
        <x:v>0</x:v>
      </x:c>
      <x:c r="F244" s="9" t="n">
        <x:f>SUMIFS('Journal'!$F$6:$F$1632,'Journal'!$D$6:$D$1632,B244,'Journal'!$C$6:$C$1632,A244)</x:f>
        <x:v>0</x:v>
      </x:c>
      <x:c r="G244" s="9" t="n">
        <x:f>ROUND(E244-F244,2)</x:f>
        <x:v>0</x:v>
      </x:c>
      <x:c r="H244" s="9" t="n">
        <x:f>ROUND(D244+G244,2)</x:f>
        <x:v>-23000</x:v>
      </x:c>
    </x:row>
    <x:row r="245" ht="14" customHeight="1">
      <x:c r="A245" s="1" t="n">
        <x:v>4</x:v>
      </x:c>
      <x:c r="B245" s="1" t="str">
        <x:v>4300</x:v>
      </x:c>
      <x:c r="C245" s="1" t="str">
        <x:v>Erlöse Inland 7 Prozent</x:v>
      </x:c>
      <x:c r="D245" s="9" t="n">
        <x:f>H177</x:f>
        <x:v>-801600</x:v>
      </x:c>
      <x:c r="E245" s="9" t="n">
        <x:f>SUMIFS('Journal'!$E$6:$E$1632,'Journal'!$D$6:$D$1632,B245,'Journal'!$C$6:$C$1632,A245)</x:f>
        <x:v>0</x:v>
      </x:c>
      <x:c r="F245" s="9" t="n">
        <x:f>SUMIFS('Journal'!$F$6:$F$1632,'Journal'!$D$6:$D$1632,B245,'Journal'!$C$6:$C$1632,A245)</x:f>
        <x:v>283200</x:v>
      </x:c>
      <x:c r="G245" s="9" t="n">
        <x:f>ROUND(E245-F245,2)</x:f>
        <x:v>-283200</x:v>
      </x:c>
      <x:c r="H245" s="9" t="n">
        <x:f>ROUND(D245+G245,2)</x:f>
        <x:v>-1084800</x:v>
      </x:c>
    </x:row>
    <x:row r="246" ht="14" customHeight="1">
      <x:c r="A246" s="1" t="n">
        <x:v>4</x:v>
      </x:c>
      <x:c r="B246" s="1" t="str">
        <x:v>4400</x:v>
      </x:c>
      <x:c r="C246" s="1" t="str">
        <x:v>Erlöse Inland 19 Prozent</x:v>
      </x:c>
      <x:c r="D246" s="9" t="n">
        <x:f>H178</x:f>
        <x:v>-200400</x:v>
      </x:c>
      <x:c r="E246" s="9" t="n">
        <x:f>SUMIFS('Journal'!$E$6:$E$1632,'Journal'!$D$6:$D$1632,B246,'Journal'!$C$6:$C$1632,A246)</x:f>
        <x:v>0</x:v>
      </x:c>
      <x:c r="F246" s="9" t="n">
        <x:f>SUMIFS('Journal'!$F$6:$F$1632,'Journal'!$D$6:$D$1632,B246,'Journal'!$C$6:$C$1632,A246)</x:f>
        <x:v>70800</x:v>
      </x:c>
      <x:c r="G246" s="9" t="n">
        <x:f>ROUND(E246-F246,2)</x:f>
        <x:v>-70800</x:v>
      </x:c>
      <x:c r="H246" s="9" t="n">
        <x:f>ROUND(D246+G246,2)</x:f>
        <x:v>-271200</x:v>
      </x:c>
    </x:row>
    <x:row r="247" ht="14" customHeight="1">
      <x:c r="A247" s="1" t="n">
        <x:v>4</x:v>
      </x:c>
      <x:c r="B247" s="1" t="str">
        <x:v>4125</x:v>
      </x:c>
      <x:c r="C247" s="1" t="str">
        <x:v>Erlöse EU Warenlieferungen</x:v>
      </x:c>
      <x:c r="D247" s="9" t="n">
        <x:f>H179</x:f>
        <x:v>-334000</x:v>
      </x:c>
      <x:c r="E247" s="9" t="n">
        <x:f>SUMIFS('Journal'!$E$6:$E$1632,'Journal'!$D$6:$D$1632,B247,'Journal'!$C$6:$C$1632,A247)</x:f>
        <x:v>0</x:v>
      </x:c>
      <x:c r="F247" s="9" t="n">
        <x:f>SUMIFS('Journal'!$F$6:$F$1632,'Journal'!$D$6:$D$1632,B247,'Journal'!$C$6:$C$1632,A247)</x:f>
        <x:v>118000</x:v>
      </x:c>
      <x:c r="G247" s="9" t="n">
        <x:f>ROUND(E247-F247,2)</x:f>
        <x:v>-118000</x:v>
      </x:c>
      <x:c r="H247" s="9" t="n">
        <x:f>ROUND(D247+G247,2)</x:f>
        <x:v>-452000</x:v>
      </x:c>
    </x:row>
    <x:row r="248" ht="14" customHeight="1">
      <x:c r="A248" s="1" t="n">
        <x:v>4</x:v>
      </x:c>
      <x:c r="B248" s="1" t="str">
        <x:v>4120</x:v>
      </x:c>
      <x:c r="C248" s="1" t="str">
        <x:v>Erlöse Drittland Warenlieferungen</x:v>
      </x:c>
      <x:c r="D248" s="9" t="n">
        <x:f>H180</x:f>
        <x:v>-334000</x:v>
      </x:c>
      <x:c r="E248" s="9" t="n">
        <x:f>SUMIFS('Journal'!$E$6:$E$1632,'Journal'!$D$6:$D$1632,B248,'Journal'!$C$6:$C$1632,A248)</x:f>
        <x:v>0</x:v>
      </x:c>
      <x:c r="F248" s="9" t="n">
        <x:f>SUMIFS('Journal'!$F$6:$F$1632,'Journal'!$D$6:$D$1632,B248,'Journal'!$C$6:$C$1632,A248)</x:f>
        <x:v>118000</x:v>
      </x:c>
      <x:c r="G248" s="9" t="n">
        <x:f>ROUND(E248-F248,2)</x:f>
        <x:v>-118000</x:v>
      </x:c>
      <x:c r="H248" s="9" t="n">
        <x:f>ROUND(D248+G248,2)</x:f>
        <x:v>-452000</x:v>
      </x:c>
    </x:row>
    <x:row r="249" ht="14" customHeight="1">
      <x:c r="A249" s="1" t="n">
        <x:v>4</x:v>
      </x:c>
      <x:c r="B249" s="1" t="str">
        <x:v>4730</x:v>
      </x:c>
      <x:c r="C249" s="1" t="str">
        <x:v>Erlösschmälerungen Inland 7 Prozent</x:v>
      </x:c>
      <x:c r="D249" s="9" t="n">
        <x:f>H181</x:f>
        <x:v>4140</x:v>
      </x:c>
      <x:c r="E249" s="9" t="n">
        <x:f>SUMIFS('Journal'!$E$6:$E$1632,'Journal'!$D$6:$D$1632,B249,'Journal'!$C$6:$C$1632,A249)</x:f>
        <x:v>1560</x:v>
      </x:c>
      <x:c r="F249" s="9" t="n">
        <x:f>SUMIFS('Journal'!$F$6:$F$1632,'Journal'!$D$6:$D$1632,B249,'Journal'!$C$6:$C$1632,A249)</x:f>
        <x:v>0</x:v>
      </x:c>
      <x:c r="G249" s="9" t="n">
        <x:f>ROUND(E249-F249,2)</x:f>
        <x:v>1560</x:v>
      </x:c>
      <x:c r="H249" s="9" t="n">
        <x:f>ROUND(D249+G249,2)</x:f>
        <x:v>5700</x:v>
      </x:c>
    </x:row>
    <x:row r="250" ht="14" customHeight="1">
      <x:c r="A250" s="1" t="n">
        <x:v>4</x:v>
      </x:c>
      <x:c r="B250" s="1" t="str">
        <x:v>4735</x:v>
      </x:c>
      <x:c r="C250" s="1" t="str">
        <x:v>Erlösschmälerungen EU</x:v>
      </x:c>
      <x:c r="D250" s="9" t="n">
        <x:f>H182</x:f>
        <x:v>2760</x:v>
      </x:c>
      <x:c r="E250" s="9" t="n">
        <x:f>SUMIFS('Journal'!$E$6:$E$1632,'Journal'!$D$6:$D$1632,B250,'Journal'!$C$6:$C$1632,A250)</x:f>
        <x:v>1040</x:v>
      </x:c>
      <x:c r="F250" s="9" t="n">
        <x:f>SUMIFS('Journal'!$F$6:$F$1632,'Journal'!$D$6:$D$1632,B250,'Journal'!$C$6:$C$1632,A250)</x:f>
        <x:v>0</x:v>
      </x:c>
      <x:c r="G250" s="9" t="n">
        <x:f>ROUND(E250-F250,2)</x:f>
        <x:v>1040</x:v>
      </x:c>
      <x:c r="H250" s="9" t="n">
        <x:f>ROUND(D250+G250,2)</x:f>
        <x:v>3800</x:v>
      </x:c>
    </x:row>
    <x:row r="251" ht="14" customHeight="1">
      <x:c r="A251" s="1" t="n">
        <x:v>4</x:v>
      </x:c>
      <x:c r="B251" s="1" t="str">
        <x:v>4830</x:v>
      </x:c>
      <x:c r="C251" s="1" t="str">
        <x:v>Sonstige betriebliche Erträge</x:v>
      </x:c>
      <x:c r="D251" s="9" t="n">
        <x:f>H183</x:f>
        <x:v>0</x:v>
      </x:c>
      <x:c r="E251" s="9" t="n">
        <x:f>SUMIFS('Journal'!$E$6:$E$1632,'Journal'!$D$6:$D$1632,B251,'Journal'!$C$6:$C$1632,A251)</x:f>
        <x:v>0</x:v>
      </x:c>
      <x:c r="F251" s="9" t="n">
        <x:f>SUMIFS('Journal'!$F$6:$F$1632,'Journal'!$D$6:$D$1632,B251,'Journal'!$C$6:$C$1632,A251)</x:f>
        <x:v>0</x:v>
      </x:c>
      <x:c r="G251" s="9" t="n">
        <x:f>ROUND(E251-F251,2)</x:f>
        <x:v>0</x:v>
      </x:c>
      <x:c r="H251" s="9" t="n">
        <x:f>ROUND(D251+G251,2)</x:f>
        <x:v>0</x:v>
      </x:c>
    </x:row>
    <x:row r="252" ht="14" customHeight="1">
      <x:c r="A252" s="1" t="n">
        <x:v>4</x:v>
      </x:c>
      <x:c r="B252" s="1" t="str">
        <x:v>5000</x:v>
      </x:c>
      <x:c r="C252" s="1" t="str">
        <x:v>Wareneinsatz</x:v>
      </x:c>
      <x:c r="D252" s="9" t="n">
        <x:f>H184</x:f>
        <x:v>1081015</x:v>
      </x:c>
      <x:c r="E252" s="9" t="n">
        <x:f>SUMIFS('Journal'!$E$6:$E$1632,'Journal'!$D$6:$D$1632,B252,'Journal'!$C$6:$C$1632,A252)</x:f>
        <x:v>381810</x:v>
      </x:c>
      <x:c r="F252" s="9" t="n">
        <x:f>SUMIFS('Journal'!$F$6:$F$1632,'Journal'!$D$6:$D$1632,B252,'Journal'!$C$6:$C$1632,A252)</x:f>
        <x:v>0</x:v>
      </x:c>
      <x:c r="G252" s="9" t="n">
        <x:f>ROUND(E252-F252,2)</x:f>
        <x:v>381810</x:v>
      </x:c>
      <x:c r="H252" s="9" t="n">
        <x:f>ROUND(D252+G252,2)</x:f>
        <x:v>1462825</x:v>
      </x:c>
    </x:row>
    <x:row r="253" ht="14" customHeight="1">
      <x:c r="A253" s="1" t="n">
        <x:v>4</x:v>
      </x:c>
      <x:c r="B253" s="1" t="str">
        <x:v>5005</x:v>
      </x:c>
      <x:c r="C253" s="1" t="str">
        <x:v>Abwertung Warenbestand</x:v>
      </x:c>
      <x:c r="D253" s="9" t="n">
        <x:f>H185</x:f>
        <x:v>0</x:v>
      </x:c>
      <x:c r="E253" s="9" t="n">
        <x:f>SUMIFS('Journal'!$E$6:$E$1632,'Journal'!$D$6:$D$1632,B253,'Journal'!$C$6:$C$1632,A253)</x:f>
        <x:v>0</x:v>
      </x:c>
      <x:c r="F253" s="9" t="n">
        <x:f>SUMIFS('Journal'!$F$6:$F$1632,'Journal'!$D$6:$D$1632,B253,'Journal'!$C$6:$C$1632,A253)</x:f>
        <x:v>0</x:v>
      </x:c>
      <x:c r="G253" s="9" t="n">
        <x:f>ROUND(E253-F253,2)</x:f>
        <x:v>0</x:v>
      </x:c>
      <x:c r="H253" s="9" t="n">
        <x:f>ROUND(D253+G253,2)</x:f>
        <x:v>0</x:v>
      </x:c>
    </x:row>
    <x:row r="254" ht="14" customHeight="1">
      <x:c r="A254" s="1" t="n">
        <x:v>4</x:v>
      </x:c>
      <x:c r="B254" s="1" t="str">
        <x:v>6020</x:v>
      </x:c>
      <x:c r="C254" s="1" t="str">
        <x:v>Bruttogehälter</x:v>
      </x:c>
      <x:c r="D254" s="9" t="n">
        <x:f>H186</x:f>
        <x:v>258000</x:v>
      </x:c>
      <x:c r="E254" s="9" t="n">
        <x:f>SUMIFS('Journal'!$E$6:$E$1632,'Journal'!$D$6:$D$1632,B254,'Journal'!$C$6:$C$1632,A254)</x:f>
        <x:v>86000</x:v>
      </x:c>
      <x:c r="F254" s="9" t="n">
        <x:f>SUMIFS('Journal'!$F$6:$F$1632,'Journal'!$D$6:$D$1632,B254,'Journal'!$C$6:$C$1632,A254)</x:f>
        <x:v>0</x:v>
      </x:c>
      <x:c r="G254" s="9" t="n">
        <x:f>ROUND(E254-F254,2)</x:f>
        <x:v>86000</x:v>
      </x:c>
      <x:c r="H254" s="9" t="n">
        <x:f>ROUND(D254+G254,2)</x:f>
        <x:v>344000</x:v>
      </x:c>
    </x:row>
    <x:row r="255" ht="14" customHeight="1">
      <x:c r="A255" s="1" t="n">
        <x:v>4</x:v>
      </x:c>
      <x:c r="B255" s="1" t="str">
        <x:v>6110</x:v>
      </x:c>
      <x:c r="C255" s="1" t="str">
        <x:v>Arbeitgeberanteile Sozialversicherung</x:v>
      </x:c>
      <x:c r="D255" s="9" t="n">
        <x:f>H187</x:f>
        <x:v>54000</x:v>
      </x:c>
      <x:c r="E255" s="9" t="n">
        <x:f>SUMIFS('Journal'!$E$6:$E$1632,'Journal'!$D$6:$D$1632,B255,'Journal'!$C$6:$C$1632,A255)</x:f>
        <x:v>18000</x:v>
      </x:c>
      <x:c r="F255" s="9" t="n">
        <x:f>SUMIFS('Journal'!$F$6:$F$1632,'Journal'!$D$6:$D$1632,B255,'Journal'!$C$6:$C$1632,A255)</x:f>
        <x:v>0</x:v>
      </x:c>
      <x:c r="G255" s="9" t="n">
        <x:f>ROUND(E255-F255,2)</x:f>
        <x:v>18000</x:v>
      </x:c>
      <x:c r="H255" s="9" t="n">
        <x:f>ROUND(D255+G255,2)</x:f>
        <x:v>72000</x:v>
      </x:c>
    </x:row>
    <x:row r="256" ht="14" customHeight="1">
      <x:c r="A256" s="1" t="n">
        <x:v>4</x:v>
      </x:c>
      <x:c r="B256" s="1" t="str">
        <x:v>6220</x:v>
      </x:c>
      <x:c r="C256" s="1" t="str">
        <x:v>Abschreibungen Sachanlagen und Software</x:v>
      </x:c>
      <x:c r="D256" s="9" t="n">
        <x:f>H188</x:f>
        <x:v>22500</x:v>
      </x:c>
      <x:c r="E256" s="9" t="n">
        <x:f>SUMIFS('Journal'!$E$6:$E$1632,'Journal'!$D$6:$D$1632,B256,'Journal'!$C$6:$C$1632,A256)</x:f>
        <x:v>7500</x:v>
      </x:c>
      <x:c r="F256" s="9" t="n">
        <x:f>SUMIFS('Journal'!$F$6:$F$1632,'Journal'!$D$6:$D$1632,B256,'Journal'!$C$6:$C$1632,A256)</x:f>
        <x:v>0</x:v>
      </x:c>
      <x:c r="G256" s="9" t="n">
        <x:f>ROUND(E256-F256,2)</x:f>
        <x:v>7500</x:v>
      </x:c>
      <x:c r="H256" s="9" t="n">
        <x:f>ROUND(D256+G256,2)</x:f>
        <x:v>30000</x:v>
      </x:c>
    </x:row>
    <x:row r="257" ht="14" customHeight="1">
      <x:c r="A257" s="1" t="n">
        <x:v>4</x:v>
      </x:c>
      <x:c r="B257" s="1" t="str">
        <x:v>6310</x:v>
      </x:c>
      <x:c r="C257" s="1" t="str">
        <x:v>Miete Büro Nürnberg</x:v>
      </x:c>
      <x:c r="D257" s="9" t="n">
        <x:f>H189</x:f>
        <x:v>12000</x:v>
      </x:c>
      <x:c r="E257" s="9" t="n">
        <x:f>SUMIFS('Journal'!$E$6:$E$1632,'Journal'!$D$6:$D$1632,B257,'Journal'!$C$6:$C$1632,A257)</x:f>
        <x:v>4000</x:v>
      </x:c>
      <x:c r="F257" s="9" t="n">
        <x:f>SUMIFS('Journal'!$F$6:$F$1632,'Journal'!$D$6:$D$1632,B257,'Journal'!$C$6:$C$1632,A257)</x:f>
        <x:v>0</x:v>
      </x:c>
      <x:c r="G257" s="9" t="n">
        <x:f>ROUND(E257-F257,2)</x:f>
        <x:v>4000</x:v>
      </x:c>
      <x:c r="H257" s="9" t="n">
        <x:f>ROUND(D257+G257,2)</x:f>
        <x:v>16000</x:v>
      </x:c>
    </x:row>
    <x:row r="258" ht="14" customHeight="1">
      <x:c r="A258" s="1" t="n">
        <x:v>4</x:v>
      </x:c>
      <x:c r="B258" s="1" t="str">
        <x:v>6311</x:v>
      </x:c>
      <x:c r="C258" s="1" t="str">
        <x:v>Miete Lager Erlangen</x:v>
      </x:c>
      <x:c r="D258" s="9" t="n">
        <x:f>H190</x:f>
        <x:v>30000</x:v>
      </x:c>
      <x:c r="E258" s="9" t="n">
        <x:f>SUMIFS('Journal'!$E$6:$E$1632,'Journal'!$D$6:$D$1632,B258,'Journal'!$C$6:$C$1632,A258)</x:f>
        <x:v>10000</x:v>
      </x:c>
      <x:c r="F258" s="9" t="n">
        <x:f>SUMIFS('Journal'!$F$6:$F$1632,'Journal'!$D$6:$D$1632,B258,'Journal'!$C$6:$C$1632,A258)</x:f>
        <x:v>0</x:v>
      </x:c>
      <x:c r="G258" s="9" t="n">
        <x:f>ROUND(E258-F258,2)</x:f>
        <x:v>10000</x:v>
      </x:c>
      <x:c r="H258" s="9" t="n">
        <x:f>ROUND(D258+G258,2)</x:f>
        <x:v>40000</x:v>
      </x:c>
    </x:row>
    <x:row r="259" ht="14" customHeight="1">
      <x:c r="A259" s="1" t="n">
        <x:v>4</x:v>
      </x:c>
      <x:c r="B259" s="1" t="str">
        <x:v>6325</x:v>
      </x:c>
      <x:c r="C259" s="1" t="str">
        <x:v>Strom und Kühlung</x:v>
      </x:c>
      <x:c r="D259" s="9" t="n">
        <x:f>H191</x:f>
        <x:v>13500</x:v>
      </x:c>
      <x:c r="E259" s="9" t="n">
        <x:f>SUMIFS('Journal'!$E$6:$E$1632,'Journal'!$D$6:$D$1632,B259,'Journal'!$C$6:$C$1632,A259)</x:f>
        <x:v>4500</x:v>
      </x:c>
      <x:c r="F259" s="9" t="n">
        <x:f>SUMIFS('Journal'!$F$6:$F$1632,'Journal'!$D$6:$D$1632,B259,'Journal'!$C$6:$C$1632,A259)</x:f>
        <x:v>0</x:v>
      </x:c>
      <x:c r="G259" s="9" t="n">
        <x:f>ROUND(E259-F259,2)</x:f>
        <x:v>4500</x:v>
      </x:c>
      <x:c r="H259" s="9" t="n">
        <x:f>ROUND(D259+G259,2)</x:f>
        <x:v>18000</x:v>
      </x:c>
    </x:row>
    <x:row r="260" ht="14" customHeight="1">
      <x:c r="A260" s="1" t="n">
        <x:v>4</x:v>
      </x:c>
      <x:c r="B260" s="1" t="str">
        <x:v>6400</x:v>
      </x:c>
      <x:c r="C260" s="1" t="str">
        <x:v>Versicherungen</x:v>
      </x:c>
      <x:c r="D260" s="9" t="n">
        <x:f>H192</x:f>
        <x:v>7500</x:v>
      </x:c>
      <x:c r="E260" s="9" t="n">
        <x:f>SUMIFS('Journal'!$E$6:$E$1632,'Journal'!$D$6:$D$1632,B260,'Journal'!$C$6:$C$1632,A260)</x:f>
        <x:v>2500</x:v>
      </x:c>
      <x:c r="F260" s="9" t="n">
        <x:f>SUMIFS('Journal'!$F$6:$F$1632,'Journal'!$D$6:$D$1632,B260,'Journal'!$C$6:$C$1632,A260)</x:f>
        <x:v>0</x:v>
      </x:c>
      <x:c r="G260" s="9" t="n">
        <x:f>ROUND(E260-F260,2)</x:f>
        <x:v>2500</x:v>
      </x:c>
      <x:c r="H260" s="9" t="n">
        <x:f>ROUND(D260+G260,2)</x:f>
        <x:v>10000</x:v>
      </x:c>
    </x:row>
    <x:row r="261" ht="14" customHeight="1">
      <x:c r="A261" s="1" t="n">
        <x:v>4</x:v>
      </x:c>
      <x:c r="B261" s="1" t="str">
        <x:v>6470</x:v>
      </x:c>
      <x:c r="C261" s="1" t="str">
        <x:v>Lagerbetrieb und Reinigung</x:v>
      </x:c>
      <x:c r="D261" s="9" t="n">
        <x:f>H193</x:f>
        <x:v>18000</x:v>
      </x:c>
      <x:c r="E261" s="9" t="n">
        <x:f>SUMIFS('Journal'!$E$6:$E$1632,'Journal'!$D$6:$D$1632,B261,'Journal'!$C$6:$C$1632,A261)</x:f>
        <x:v>6000</x:v>
      </x:c>
      <x:c r="F261" s="9" t="n">
        <x:f>SUMIFS('Journal'!$F$6:$F$1632,'Journal'!$D$6:$D$1632,B261,'Journal'!$C$6:$C$1632,A261)</x:f>
        <x:v>0</x:v>
      </x:c>
      <x:c r="G261" s="9" t="n">
        <x:f>ROUND(E261-F261,2)</x:f>
        <x:v>6000</x:v>
      </x:c>
      <x:c r="H261" s="9" t="n">
        <x:f>ROUND(D261+G261,2)</x:f>
        <x:v>24000</x:v>
      </x:c>
    </x:row>
    <x:row r="262" ht="14" customHeight="1">
      <x:c r="A262" s="1" t="n">
        <x:v>4</x:v>
      </x:c>
      <x:c r="B262" s="1" t="str">
        <x:v>6490</x:v>
      </x:c>
      <x:c r="C262" s="1" t="str">
        <x:v>Reparaturen und Wartung</x:v>
      </x:c>
      <x:c r="D262" s="9" t="n">
        <x:f>H194</x:f>
        <x:v>7500</x:v>
      </x:c>
      <x:c r="E262" s="9" t="n">
        <x:f>SUMIFS('Journal'!$E$6:$E$1632,'Journal'!$D$6:$D$1632,B262,'Journal'!$C$6:$C$1632,A262)</x:f>
        <x:v>2500</x:v>
      </x:c>
      <x:c r="F262" s="9" t="n">
        <x:f>SUMIFS('Journal'!$F$6:$F$1632,'Journal'!$D$6:$D$1632,B262,'Journal'!$C$6:$C$1632,A262)</x:f>
        <x:v>0</x:v>
      </x:c>
      <x:c r="G262" s="9" t="n">
        <x:f>ROUND(E262-F262,2)</x:f>
        <x:v>2500</x:v>
      </x:c>
      <x:c r="H262" s="9" t="n">
        <x:f>ROUND(D262+G262,2)</x:f>
        <x:v>10000</x:v>
      </x:c>
    </x:row>
    <x:row r="263" ht="14" customHeight="1">
      <x:c r="A263" s="1" t="n">
        <x:v>4</x:v>
      </x:c>
      <x:c r="B263" s="1" t="str">
        <x:v>6600</x:v>
      </x:c>
      <x:c r="C263" s="1" t="str">
        <x:v>Marketing und Messen</x:v>
      </x:c>
      <x:c r="D263" s="9" t="n">
        <x:f>H195</x:f>
        <x:v>18000</x:v>
      </x:c>
      <x:c r="E263" s="9" t="n">
        <x:f>SUMIFS('Journal'!$E$6:$E$1632,'Journal'!$D$6:$D$1632,B263,'Journal'!$C$6:$C$1632,A263)</x:f>
        <x:v>6000</x:v>
      </x:c>
      <x:c r="F263" s="9" t="n">
        <x:f>SUMIFS('Journal'!$F$6:$F$1632,'Journal'!$D$6:$D$1632,B263,'Journal'!$C$6:$C$1632,A263)</x:f>
        <x:v>0</x:v>
      </x:c>
      <x:c r="G263" s="9" t="n">
        <x:f>ROUND(E263-F263,2)</x:f>
        <x:v>6000</x:v>
      </x:c>
      <x:c r="H263" s="9" t="n">
        <x:f>ROUND(D263+G263,2)</x:f>
        <x:v>24000</x:v>
      </x:c>
    </x:row>
    <x:row r="264" ht="14" customHeight="1">
      <x:c r="A264" s="1" t="n">
        <x:v>4</x:v>
      </x:c>
      <x:c r="B264" s="1" t="str">
        <x:v>6650</x:v>
      </x:c>
      <x:c r="C264" s="1" t="str">
        <x:v>Reisekosten</x:v>
      </x:c>
      <x:c r="D264" s="9" t="n">
        <x:f>H196</x:f>
        <x:v>4500</x:v>
      </x:c>
      <x:c r="E264" s="9" t="n">
        <x:f>SUMIFS('Journal'!$E$6:$E$1632,'Journal'!$D$6:$D$1632,B264,'Journal'!$C$6:$C$1632,A264)</x:f>
        <x:v>1500</x:v>
      </x:c>
      <x:c r="F264" s="9" t="n">
        <x:f>SUMIFS('Journal'!$F$6:$F$1632,'Journal'!$D$6:$D$1632,B264,'Journal'!$C$6:$C$1632,A264)</x:f>
        <x:v>0</x:v>
      </x:c>
      <x:c r="G264" s="9" t="n">
        <x:f>ROUND(E264-F264,2)</x:f>
        <x:v>1500</x:v>
      </x:c>
      <x:c r="H264" s="9" t="n">
        <x:f>ROUND(D264+G264,2)</x:f>
        <x:v>6000</x:v>
      </x:c>
    </x:row>
    <x:row r="265" ht="14" customHeight="1">
      <x:c r="A265" s="1" t="n">
        <x:v>4</x:v>
      </x:c>
      <x:c r="B265" s="1" t="str">
        <x:v>6740</x:v>
      </x:c>
      <x:c r="C265" s="1" t="str">
        <x:v>Ausgangsfrachten Inland</x:v>
      </x:c>
      <x:c r="D265" s="9" t="n">
        <x:f>H197</x:f>
        <x:v>39000</x:v>
      </x:c>
      <x:c r="E265" s="9" t="n">
        <x:f>SUMIFS('Journal'!$E$6:$E$1632,'Journal'!$D$6:$D$1632,B265,'Journal'!$C$6:$C$1632,A265)</x:f>
        <x:v>13000</x:v>
      </x:c>
      <x:c r="F265" s="9" t="n">
        <x:f>SUMIFS('Journal'!$F$6:$F$1632,'Journal'!$D$6:$D$1632,B265,'Journal'!$C$6:$C$1632,A265)</x:f>
        <x:v>0</x:v>
      </x:c>
      <x:c r="G265" s="9" t="n">
        <x:f>ROUND(E265-F265,2)</x:f>
        <x:v>13000</x:v>
      </x:c>
      <x:c r="H265" s="9" t="n">
        <x:f>ROUND(D265+G265,2)</x:f>
        <x:v>52000</x:v>
      </x:c>
    </x:row>
    <x:row r="266" ht="14" customHeight="1">
      <x:c r="A266" s="1" t="n">
        <x:v>4</x:v>
      </x:c>
      <x:c r="B266" s="1" t="str">
        <x:v>6741</x:v>
      </x:c>
      <x:c r="C266" s="1" t="str">
        <x:v>Ausgangsfrachten Ausland</x:v>
      </x:c>
      <x:c r="D266" s="9" t="n">
        <x:f>H198</x:f>
        <x:v>42000</x:v>
      </x:c>
      <x:c r="E266" s="9" t="n">
        <x:f>SUMIFS('Journal'!$E$6:$E$1632,'Journal'!$D$6:$D$1632,B266,'Journal'!$C$6:$C$1632,A266)</x:f>
        <x:v>14000</x:v>
      </x:c>
      <x:c r="F266" s="9" t="n">
        <x:f>SUMIFS('Journal'!$F$6:$F$1632,'Journal'!$D$6:$D$1632,B266,'Journal'!$C$6:$C$1632,A266)</x:f>
        <x:v>0</x:v>
      </x:c>
      <x:c r="G266" s="9" t="n">
        <x:f>ROUND(E266-F266,2)</x:f>
        <x:v>14000</x:v>
      </x:c>
      <x:c r="H266" s="9" t="n">
        <x:f>ROUND(D266+G266,2)</x:f>
        <x:v>56000</x:v>
      </x:c>
    </x:row>
    <x:row r="267" ht="14" customHeight="1">
      <x:c r="A267" s="1" t="n">
        <x:v>4</x:v>
      </x:c>
      <x:c r="B267" s="1" t="str">
        <x:v>6805</x:v>
      </x:c>
      <x:c r="C267" s="1" t="str">
        <x:v>Telekommunikation und IT</x:v>
      </x:c>
      <x:c r="D267" s="9" t="n">
        <x:f>H199</x:f>
        <x:v>13500</x:v>
      </x:c>
      <x:c r="E267" s="9" t="n">
        <x:f>SUMIFS('Journal'!$E$6:$E$1632,'Journal'!$D$6:$D$1632,B267,'Journal'!$C$6:$C$1632,A267)</x:f>
        <x:v>4500</x:v>
      </x:c>
      <x:c r="F267" s="9" t="n">
        <x:f>SUMIFS('Journal'!$F$6:$F$1632,'Journal'!$D$6:$D$1632,B267,'Journal'!$C$6:$C$1632,A267)</x:f>
        <x:v>0</x:v>
      </x:c>
      <x:c r="G267" s="9" t="n">
        <x:f>ROUND(E267-F267,2)</x:f>
        <x:v>4500</x:v>
      </x:c>
      <x:c r="H267" s="9" t="n">
        <x:f>ROUND(D267+G267,2)</x:f>
        <x:v>18000</x:v>
      </x:c>
    </x:row>
    <x:row r="268" ht="14" customHeight="1">
      <x:c r="A268" s="1" t="n">
        <x:v>4</x:v>
      </x:c>
      <x:c r="B268" s="1" t="str">
        <x:v>6825</x:v>
      </x:c>
      <x:c r="C268" s="1" t="str">
        <x:v>Rechtsberatung und Buchführung</x:v>
      </x:c>
      <x:c r="D268" s="9" t="n">
        <x:f>H200</x:f>
        <x:v>9000</x:v>
      </x:c>
      <x:c r="E268" s="9" t="n">
        <x:f>SUMIFS('Journal'!$E$6:$E$1632,'Journal'!$D$6:$D$1632,B268,'Journal'!$C$6:$C$1632,A268)</x:f>
        <x:v>3000</x:v>
      </x:c>
      <x:c r="F268" s="9" t="n">
        <x:f>SUMIFS('Journal'!$F$6:$F$1632,'Journal'!$D$6:$D$1632,B268,'Journal'!$C$6:$C$1632,A268)</x:f>
        <x:v>0</x:v>
      </x:c>
      <x:c r="G268" s="9" t="n">
        <x:f>ROUND(E268-F268,2)</x:f>
        <x:v>3000</x:v>
      </x:c>
      <x:c r="H268" s="9" t="n">
        <x:f>ROUND(D268+G268,2)</x:f>
        <x:v>12000</x:v>
      </x:c>
    </x:row>
    <x:row r="269" ht="14" customHeight="1">
      <x:c r="A269" s="1" t="n">
        <x:v>4</x:v>
      </x:c>
      <x:c r="B269" s="1" t="str">
        <x:v>6830</x:v>
      </x:c>
      <x:c r="C269" s="1" t="str">
        <x:v>Labor und Qualitätssicherung</x:v>
      </x:c>
      <x:c r="D269" s="9" t="n">
        <x:f>H201</x:f>
        <x:v>10500</x:v>
      </x:c>
      <x:c r="E269" s="9" t="n">
        <x:f>SUMIFS('Journal'!$E$6:$E$1632,'Journal'!$D$6:$D$1632,B269,'Journal'!$C$6:$C$1632,A269)</x:f>
        <x:v>3500</x:v>
      </x:c>
      <x:c r="F269" s="9" t="n">
        <x:f>SUMIFS('Journal'!$F$6:$F$1632,'Journal'!$D$6:$D$1632,B269,'Journal'!$C$6:$C$1632,A269)</x:f>
        <x:v>0</x:v>
      </x:c>
      <x:c r="G269" s="9" t="n">
        <x:f>ROUND(E269-F269,2)</x:f>
        <x:v>3500</x:v>
      </x:c>
      <x:c r="H269" s="9" t="n">
        <x:f>ROUND(D269+G269,2)</x:f>
        <x:v>14000</x:v>
      </x:c>
    </x:row>
    <x:row r="270" ht="14" customHeight="1">
      <x:c r="A270" s="1" t="n">
        <x:v>4</x:v>
      </x:c>
      <x:c r="B270" s="1" t="str">
        <x:v>6850</x:v>
      </x:c>
      <x:c r="C270" s="1" t="str">
        <x:v>Bürobedarf und übriger Aufwand</x:v>
      </x:c>
      <x:c r="D270" s="9" t="n">
        <x:f>H202</x:f>
        <x:v>6000</x:v>
      </x:c>
      <x:c r="E270" s="9" t="n">
        <x:f>SUMIFS('Journal'!$E$6:$E$1632,'Journal'!$D$6:$D$1632,B270,'Journal'!$C$6:$C$1632,A270)</x:f>
        <x:v>2000</x:v>
      </x:c>
      <x:c r="F270" s="9" t="n">
        <x:f>SUMIFS('Journal'!$F$6:$F$1632,'Journal'!$D$6:$D$1632,B270,'Journal'!$C$6:$C$1632,A270)</x:f>
        <x:v>0</x:v>
      </x:c>
      <x:c r="G270" s="9" t="n">
        <x:f>ROUND(E270-F270,2)</x:f>
        <x:v>2000</x:v>
      </x:c>
      <x:c r="H270" s="9" t="n">
        <x:f>ROUND(D270+G270,2)</x:f>
        <x:v>8000</x:v>
      </x:c>
    </x:row>
    <x:row r="271" ht="14" customHeight="1">
      <x:c r="A271" s="1" t="n">
        <x:v>4</x:v>
      </x:c>
      <x:c r="B271" s="1" t="str">
        <x:v>6855</x:v>
      </x:c>
      <x:c r="C271" s="1" t="str">
        <x:v>Zuführung Abschluss und Urlaubsrückstellungen</x:v>
      </x:c>
      <x:c r="D271" s="9" t="n">
        <x:f>H203</x:f>
        <x:v>0</x:v>
      </x:c>
      <x:c r="E271" s="9" t="n">
        <x:f>SUMIFS('Journal'!$E$6:$E$1632,'Journal'!$D$6:$D$1632,B271,'Journal'!$C$6:$C$1632,A271)</x:f>
        <x:v>0</x:v>
      </x:c>
      <x:c r="F271" s="9" t="n">
        <x:f>SUMIFS('Journal'!$F$6:$F$1632,'Journal'!$D$6:$D$1632,B271,'Journal'!$C$6:$C$1632,A271)</x:f>
        <x:v>0</x:v>
      </x:c>
      <x:c r="G271" s="9" t="n">
        <x:f>ROUND(E271-F271,2)</x:f>
        <x:v>0</x:v>
      </x:c>
      <x:c r="H271" s="9" t="n">
        <x:f>ROUND(D271+G271,2)</x:f>
        <x:v>0</x:v>
      </x:c>
    </x:row>
    <x:row r="272" ht="14" customHeight="1">
      <x:c r="A272" s="1" t="n">
        <x:v>4</x:v>
      </x:c>
      <x:c r="B272" s="1" t="str">
        <x:v>6859</x:v>
      </x:c>
      <x:c r="C272" s="1" t="str">
        <x:v>Bankgebühren</x:v>
      </x:c>
      <x:c r="D272" s="9" t="n">
        <x:f>H204</x:f>
        <x:v>1500</x:v>
      </x:c>
      <x:c r="E272" s="9" t="n">
        <x:f>SUMIFS('Journal'!$E$6:$E$1632,'Journal'!$D$6:$D$1632,B272,'Journal'!$C$6:$C$1632,A272)</x:f>
        <x:v>500</x:v>
      </x:c>
      <x:c r="F272" s="9" t="n">
        <x:f>SUMIFS('Journal'!$F$6:$F$1632,'Journal'!$D$6:$D$1632,B272,'Journal'!$C$6:$C$1632,A272)</x:f>
        <x:v>0</x:v>
      </x:c>
      <x:c r="G272" s="9" t="n">
        <x:f>ROUND(E272-F272,2)</x:f>
        <x:v>500</x:v>
      </x:c>
      <x:c r="H272" s="9" t="n">
        <x:f>ROUND(D272+G272,2)</x:f>
        <x:v>2000</x:v>
      </x:c>
    </x:row>
    <x:row r="273" ht="14" customHeight="1">
      <x:c r="A273" s="1" t="n">
        <x:v>4</x:v>
      </x:c>
      <x:c r="B273" s="1" t="str">
        <x:v>6950</x:v>
      </x:c>
      <x:c r="C273" s="1" t="str">
        <x:v>Zuführung Einzelwertberichtigungen</x:v>
      </x:c>
      <x:c r="D273" s="9" t="n">
        <x:f>H205</x:f>
        <x:v>0</x:v>
      </x:c>
      <x:c r="E273" s="9" t="n">
        <x:f>SUMIFS('Journal'!$E$6:$E$1632,'Journal'!$D$6:$D$1632,B273,'Journal'!$C$6:$C$1632,A273)</x:f>
        <x:v>0</x:v>
      </x:c>
      <x:c r="F273" s="9" t="n">
        <x:f>SUMIFS('Journal'!$F$6:$F$1632,'Journal'!$D$6:$D$1632,B273,'Journal'!$C$6:$C$1632,A273)</x:f>
        <x:v>0</x:v>
      </x:c>
      <x:c r="G273" s="9" t="n">
        <x:f>ROUND(E273-F273,2)</x:f>
        <x:v>0</x:v>
      </x:c>
      <x:c r="H273" s="9" t="n">
        <x:f>ROUND(D273+G273,2)</x:f>
        <x:v>0</x:v>
      </x:c>
    </x:row>
    <x:row r="274" ht="14" customHeight="1">
      <x:c r="A274" s="1" t="n">
        <x:v>4</x:v>
      </x:c>
      <x:c r="B274" s="1" t="str">
        <x:v>7300</x:v>
      </x:c>
      <x:c r="C274" s="1" t="str">
        <x:v>Zinsen Investitionsdarlehen</x:v>
      </x:c>
      <x:c r="D274" s="9" t="n">
        <x:f>H206</x:f>
        <x:v>7500</x:v>
      </x:c>
      <x:c r="E274" s="9" t="n">
        <x:f>SUMIFS('Journal'!$E$6:$E$1632,'Journal'!$D$6:$D$1632,B274,'Journal'!$C$6:$C$1632,A274)</x:f>
        <x:v>2500</x:v>
      </x:c>
      <x:c r="F274" s="9" t="n">
        <x:f>SUMIFS('Journal'!$F$6:$F$1632,'Journal'!$D$6:$D$1632,B274,'Journal'!$C$6:$C$1632,A274)</x:f>
        <x:v>0</x:v>
      </x:c>
      <x:c r="G274" s="9" t="n">
        <x:f>ROUND(E274-F274,2)</x:f>
        <x:v>2500</x:v>
      </x:c>
      <x:c r="H274" s="9" t="n">
        <x:f>ROUND(D274+G274,2)</x:f>
        <x:v>10000</x:v>
      </x:c>
    </x:row>
    <x:row r="275" ht="14" customHeight="1">
      <x:c r="A275" s="1" t="n">
        <x:v>4</x:v>
      </x:c>
      <x:c r="B275" s="1" t="str">
        <x:v>7310</x:v>
      </x:c>
      <x:c r="C275" s="1" t="str">
        <x:v>Zinsen Kontokorrent</x:v>
      </x:c>
      <x:c r="D275" s="9" t="n">
        <x:f>H207</x:f>
        <x:v>3000</x:v>
      </x:c>
      <x:c r="E275" s="9" t="n">
        <x:f>SUMIFS('Journal'!$E$6:$E$1632,'Journal'!$D$6:$D$1632,B275,'Journal'!$C$6:$C$1632,A275)</x:f>
        <x:v>1000</x:v>
      </x:c>
      <x:c r="F275" s="9" t="n">
        <x:f>SUMIFS('Journal'!$F$6:$F$1632,'Journal'!$D$6:$D$1632,B275,'Journal'!$C$6:$C$1632,A275)</x:f>
        <x:v>0</x:v>
      </x:c>
      <x:c r="G275" s="9" t="n">
        <x:f>ROUND(E275-F275,2)</x:f>
        <x:v>1000</x:v>
      </x:c>
      <x:c r="H275" s="9" t="n">
        <x:f>ROUND(D275+G275,2)</x:f>
        <x:v>4000</x:v>
      </x:c>
    </x:row>
    <x:row r="276" ht="14" customHeight="1">
      <x:c r="A276" s="1" t="n">
        <x:v>4</x:v>
      </x:c>
      <x:c r="B276" s="1" t="str">
        <x:v>7320</x:v>
      </x:c>
      <x:c r="C276" s="1" t="str">
        <x:v>Zinsen Gesellschafterdarlehen</x:v>
      </x:c>
      <x:c r="D276" s="9" t="n">
        <x:f>H208</x:f>
        <x:v>0</x:v>
      </x:c>
      <x:c r="E276" s="9" t="n">
        <x:f>SUMIFS('Journal'!$E$6:$E$1632,'Journal'!$D$6:$D$1632,B276,'Journal'!$C$6:$C$1632,A276)</x:f>
        <x:v>0</x:v>
      </x:c>
      <x:c r="F276" s="9" t="n">
        <x:f>SUMIFS('Journal'!$F$6:$F$1632,'Journal'!$D$6:$D$1632,B276,'Journal'!$C$6:$C$1632,A276)</x:f>
        <x:v>0</x:v>
      </x:c>
      <x:c r="G276" s="9" t="n">
        <x:f>ROUND(E276-F276,2)</x:f>
        <x:v>0</x:v>
      </x:c>
      <x:c r="H276" s="9" t="n">
        <x:f>ROUND(D276+G276,2)</x:f>
        <x:v>0</x:v>
      </x:c>
    </x:row>
    <x:row r="277" ht="14" customHeight="1">
      <x:c r="A277" s="1" t="n">
        <x:v>4</x:v>
      </x:c>
      <x:c r="B277" s="1" t="str">
        <x:v>7600</x:v>
      </x:c>
      <x:c r="C277" s="1" t="str">
        <x:v>Ertragsteueraufwand</x:v>
      </x:c>
      <x:c r="D277" s="9" t="n">
        <x:f>H209</x:f>
        <x:v>0</x:v>
      </x:c>
      <x:c r="E277" s="9" t="n">
        <x:f>SUMIFS('Journal'!$E$6:$E$1632,'Journal'!$D$6:$D$1632,B277,'Journal'!$C$6:$C$1632,A277)</x:f>
        <x:v>0</x:v>
      </x:c>
      <x:c r="F277" s="9" t="n">
        <x:f>SUMIFS('Journal'!$F$6:$F$1632,'Journal'!$D$6:$D$1632,B277,'Journal'!$C$6:$C$1632,A277)</x:f>
        <x:v>0</x:v>
      </x:c>
      <x:c r="G277" s="9" t="n">
        <x:f>ROUND(E277-F277,2)</x:f>
        <x:v>0</x:v>
      </x:c>
      <x:c r="H277" s="9" t="n">
        <x:f>ROUND(D277+G277,2)</x:f>
        <x:v>0</x:v>
      </x:c>
    </x:row>
    <x:row r="278" ht="14" customHeight="1">
      <x:c r="A278" s="1" t="n">
        <x:v>5</x:v>
      </x:c>
      <x:c r="B278" s="1" t="str">
        <x:v>0100</x:v>
      </x:c>
      <x:c r="C278" s="1" t="str">
        <x:v>Software</x:v>
      </x:c>
      <x:c r="D278" s="9" t="n">
        <x:f>H210</x:f>
        <x:v>18000</x:v>
      </x:c>
      <x:c r="E278" s="9" t="n">
        <x:f>SUMIFS('Journal'!$E$6:$E$1632,'Journal'!$D$6:$D$1632,B278,'Journal'!$C$6:$C$1632,A278)</x:f>
        <x:v>0</x:v>
      </x:c>
      <x:c r="F278" s="9" t="n">
        <x:f>SUMIFS('Journal'!$F$6:$F$1632,'Journal'!$D$6:$D$1632,B278,'Journal'!$C$6:$C$1632,A278)</x:f>
        <x:v>500</x:v>
      </x:c>
      <x:c r="G278" s="9" t="n">
        <x:f>ROUND(E278-F278,2)</x:f>
        <x:v>-500</x:v>
      </x:c>
      <x:c r="H278" s="9" t="n">
        <x:f>ROUND(D278+G278,2)</x:f>
        <x:v>17500</x:v>
      </x:c>
    </x:row>
    <x:row r="279" ht="14" customHeight="1">
      <x:c r="A279" s="1" t="n">
        <x:v>5</x:v>
      </x:c>
      <x:c r="B279" s="1" t="str">
        <x:v>0400</x:v>
      </x:c>
      <x:c r="C279" s="1" t="str">
        <x:v>Lagereinbauten Erlangen</x:v>
      </x:c>
      <x:c r="D279" s="9" t="n">
        <x:f>H211</x:f>
        <x:v>230000</x:v>
      </x:c>
      <x:c r="E279" s="9" t="n">
        <x:f>SUMIFS('Journal'!$E$6:$E$1632,'Journal'!$D$6:$D$1632,B279,'Journal'!$C$6:$C$1632,A279)</x:f>
        <x:v>0</x:v>
      </x:c>
      <x:c r="F279" s="9" t="n">
        <x:f>SUMIFS('Journal'!$F$6:$F$1632,'Journal'!$D$6:$D$1632,B279,'Journal'!$C$6:$C$1632,A279)</x:f>
        <x:v>2500</x:v>
      </x:c>
      <x:c r="G279" s="9" t="n">
        <x:f>ROUND(E279-F279,2)</x:f>
        <x:v>-2500</x:v>
      </x:c>
      <x:c r="H279" s="9" t="n">
        <x:f>ROUND(D279+G279,2)</x:f>
        <x:v>227500</x:v>
      </x:c>
    </x:row>
    <x:row r="280" ht="14" customHeight="1">
      <x:c r="A280" s="1" t="n">
        <x:v>5</x:v>
      </x:c>
      <x:c r="B280" s="1" t="str">
        <x:v>0520</x:v>
      </x:c>
      <x:c r="C280" s="1" t="str">
        <x:v>Flurförderzeuge</x:v>
      </x:c>
      <x:c r="D280" s="9" t="n">
        <x:f>H212</x:f>
        <x:v>130000</x:v>
      </x:c>
      <x:c r="E280" s="9" t="n">
        <x:f>SUMIFS('Journal'!$E$6:$E$1632,'Journal'!$D$6:$D$1632,B280,'Journal'!$C$6:$C$1632,A280)</x:f>
        <x:v>0</x:v>
      </x:c>
      <x:c r="F280" s="9" t="n">
        <x:f>SUMIFS('Journal'!$F$6:$F$1632,'Journal'!$D$6:$D$1632,B280,'Journal'!$C$6:$C$1632,A280)</x:f>
        <x:v>1500</x:v>
      </x:c>
      <x:c r="G280" s="9" t="n">
        <x:f>ROUND(E280-F280,2)</x:f>
        <x:v>-1500</x:v>
      </x:c>
      <x:c r="H280" s="9" t="n">
        <x:f>ROUND(D280+G280,2)</x:f>
        <x:v>128500</x:v>
      </x:c>
    </x:row>
    <x:row r="281" ht="14" customHeight="1">
      <x:c r="A281" s="1" t="n">
        <x:v>5</x:v>
      </x:c>
      <x:c r="B281" s="1" t="str">
        <x:v>0650</x:v>
      </x:c>
      <x:c r="C281" s="1" t="str">
        <x:v>IT und Kommunikation</x:v>
      </x:c>
      <x:c r="D281" s="9" t="n">
        <x:f>H213</x:f>
        <x:v>72000</x:v>
      </x:c>
      <x:c r="E281" s="9" t="n">
        <x:f>SUMIFS('Journal'!$E$6:$E$1632,'Journal'!$D$6:$D$1632,B281,'Journal'!$C$6:$C$1632,A281)</x:f>
        <x:v>0</x:v>
      </x:c>
      <x:c r="F281" s="9" t="n">
        <x:f>SUMIFS('Journal'!$F$6:$F$1632,'Journal'!$D$6:$D$1632,B281,'Journal'!$C$6:$C$1632,A281)</x:f>
        <x:v>2000</x:v>
      </x:c>
      <x:c r="G281" s="9" t="n">
        <x:f>ROUND(E281-F281,2)</x:f>
        <x:v>-2000</x:v>
      </x:c>
      <x:c r="H281" s="9" t="n">
        <x:f>ROUND(D281+G281,2)</x:f>
        <x:v>70000</x:v>
      </x:c>
    </x:row>
    <x:row r="282" ht="14" customHeight="1">
      <x:c r="A282" s="1" t="n">
        <x:v>5</x:v>
      </x:c>
      <x:c r="B282" s="1" t="str">
        <x:v>0670</x:v>
      </x:c>
      <x:c r="C282" s="1" t="str">
        <x:v>Büroausstattung</x:v>
      </x:c>
      <x:c r="D282" s="9" t="n">
        <x:f>H214</x:f>
        <x:v>56000</x:v>
      </x:c>
      <x:c r="E282" s="9" t="n">
        <x:f>SUMIFS('Journal'!$E$6:$E$1632,'Journal'!$D$6:$D$1632,B282,'Journal'!$C$6:$C$1632,A282)</x:f>
        <x:v>0</x:v>
      </x:c>
      <x:c r="F282" s="9" t="n">
        <x:f>SUMIFS('Journal'!$F$6:$F$1632,'Journal'!$D$6:$D$1632,B282,'Journal'!$C$6:$C$1632,A282)</x:f>
        <x:v>1000</x:v>
      </x:c>
      <x:c r="G282" s="9" t="n">
        <x:f>ROUND(E282-F282,2)</x:f>
        <x:v>-1000</x:v>
      </x:c>
      <x:c r="H282" s="9" t="n">
        <x:f>ROUND(D282+G282,2)</x:f>
        <x:v>55000</x:v>
      </x:c>
    </x:row>
    <x:row r="283" ht="14" customHeight="1">
      <x:c r="A283" s="1" t="n">
        <x:v>5</x:v>
      </x:c>
      <x:c r="B283" s="1" t="str">
        <x:v>1140</x:v>
      </x:c>
      <x:c r="C283" s="1" t="str">
        <x:v>Warenbestand</x:v>
      </x:c>
      <x:c r="D283" s="9" t="n">
        <x:f>H215</x:f>
        <x:v>690000</x:v>
      </x:c>
      <x:c r="E283" s="9" t="n">
        <x:f>SUMIFS('Journal'!$E$6:$E$1632,'Journal'!$D$6:$D$1632,B283,'Journal'!$C$6:$C$1632,A283)</x:f>
        <x:v>434212.5</x:v>
      </x:c>
      <x:c r="F283" s="9" t="n">
        <x:f>SUMIFS('Journal'!$F$6:$F$1632,'Journal'!$D$6:$D$1632,B283,'Journal'!$C$6:$C$1632,A283)</x:f>
        <x:v>414212.5</x:v>
      </x:c>
      <x:c r="G283" s="9" t="n">
        <x:f>ROUND(E283-F283,2)</x:f>
        <x:v>20000</x:v>
      </x:c>
      <x:c r="H283" s="9" t="n">
        <x:f>ROUND(D283+G283,2)</x:f>
        <x:v>710000</x:v>
      </x:c>
    </x:row>
    <x:row r="284" ht="14" customHeight="1">
      <x:c r="A284" s="1" t="n">
        <x:v>5</x:v>
      </x:c>
      <x:c r="B284" s="1" t="str">
        <x:v>1200</x:v>
      </x:c>
      <x:c r="C284" s="1" t="str">
        <x:v>Forderungen aus Lieferungen und Leistungen</x:v>
      </x:c>
      <x:c r="D284" s="9" t="n">
        <x:f>H216</x:f>
        <x:v>790000</x:v>
      </x:c>
      <x:c r="E284" s="9" t="n">
        <x:f>SUMIFS('Journal'!$E$6:$E$1632,'Journal'!$D$6:$D$1632,B284,'Journal'!$C$6:$C$1632,A284)</x:f>
        <x:v>676096</x:v>
      </x:c>
      <x:c r="F284" s="9" t="n">
        <x:f>SUMIFS('Journal'!$F$6:$F$1632,'Journal'!$D$6:$D$1632,B284,'Journal'!$C$6:$C$1632,A284)</x:f>
        <x:v>666096</x:v>
      </x:c>
      <x:c r="G284" s="9" t="n">
        <x:f>ROUND(E284-F284,2)</x:f>
        <x:v>10000</x:v>
      </x:c>
      <x:c r="H284" s="9" t="n">
        <x:f>ROUND(D284+G284,2)</x:f>
        <x:v>800000</x:v>
      </x:c>
    </x:row>
    <x:row r="285" ht="14" customHeight="1">
      <x:c r="A285" s="1" t="n">
        <x:v>5</x:v>
      </x:c>
      <x:c r="B285" s="1" t="str">
        <x:v>1248</x:v>
      </x:c>
      <x:c r="C285" s="1" t="str">
        <x:v>Einzelwertberichtigungen zu Forderungen</x:v>
      </x:c>
      <x:c r="D285" s="9" t="n">
        <x:f>H217</x:f>
        <x:v>-20000</x:v>
      </x:c>
      <x:c r="E285" s="9" t="n">
        <x:f>SUMIFS('Journal'!$E$6:$E$1632,'Journal'!$D$6:$D$1632,B285,'Journal'!$C$6:$C$1632,A285)</x:f>
        <x:v>0</x:v>
      </x:c>
      <x:c r="F285" s="9" t="n">
        <x:f>SUMIFS('Journal'!$F$6:$F$1632,'Journal'!$D$6:$D$1632,B285,'Journal'!$C$6:$C$1632,A285)</x:f>
        <x:v>0</x:v>
      </x:c>
      <x:c r="G285" s="9" t="n">
        <x:f>ROUND(E285-F285,2)</x:f>
        <x:v>0</x:v>
      </x:c>
      <x:c r="H285" s="9" t="n">
        <x:f>ROUND(D285+G285,2)</x:f>
        <x:v>-20000</x:v>
      </x:c>
    </x:row>
    <x:row r="286" ht="14" customHeight="1">
      <x:c r="A286" s="1" t="n">
        <x:v>5</x:v>
      </x:c>
      <x:c r="B286" s="1" t="str">
        <x:v>1300</x:v>
      </x:c>
      <x:c r="C286" s="1" t="str">
        <x:v>Geleistete Lieferantenanzahlungen</x:v>
      </x:c>
      <x:c r="D286" s="9" t="n">
        <x:f>H218</x:f>
        <x:v>40000</x:v>
      </x:c>
      <x:c r="E286" s="9" t="n">
        <x:f>SUMIFS('Journal'!$E$6:$E$1632,'Journal'!$D$6:$D$1632,B286,'Journal'!$C$6:$C$1632,A286)</x:f>
        <x:v>60000</x:v>
      </x:c>
      <x:c r="F286" s="9" t="n">
        <x:f>SUMIFS('Journal'!$F$6:$F$1632,'Journal'!$D$6:$D$1632,B286,'Journal'!$C$6:$C$1632,A286)</x:f>
        <x:v>0</x:v>
      </x:c>
      <x:c r="G286" s="9" t="n">
        <x:f>ROUND(E286-F286,2)</x:f>
        <x:v>60000</x:v>
      </x:c>
      <x:c r="H286" s="9" t="n">
        <x:f>ROUND(D286+G286,2)</x:f>
        <x:v>100000</x:v>
      </x:c>
    </x:row>
    <x:row r="287" ht="14" customHeight="1">
      <x:c r="A287" s="1" t="n">
        <x:v>5</x:v>
      </x:c>
      <x:c r="B287" s="1" t="str">
        <x:v>1350</x:v>
      </x:c>
      <x:c r="C287" s="1" t="str">
        <x:v>Mietkaution Erlangen</x:v>
      </x:c>
      <x:c r="D287" s="9" t="n">
        <x:f>H219</x:f>
        <x:v>25000</x:v>
      </x:c>
      <x:c r="E287" s="9" t="n">
        <x:f>SUMIFS('Journal'!$E$6:$E$1632,'Journal'!$D$6:$D$1632,B287,'Journal'!$C$6:$C$1632,A287)</x:f>
        <x:v>0</x:v>
      </x:c>
      <x:c r="F287" s="9" t="n">
        <x:f>SUMIFS('Journal'!$F$6:$F$1632,'Journal'!$D$6:$D$1632,B287,'Journal'!$C$6:$C$1632,A287)</x:f>
        <x:v>0</x:v>
      </x:c>
      <x:c r="G287" s="9" t="n">
        <x:f>ROUND(E287-F287,2)</x:f>
        <x:v>0</x:v>
      </x:c>
      <x:c r="H287" s="9" t="n">
        <x:f>ROUND(D287+G287,2)</x:f>
        <x:v>25000</x:v>
      </x:c>
    </x:row>
    <x:row r="288" ht="14" customHeight="1">
      <x:c r="A288" s="1" t="n">
        <x:v>5</x:v>
      </x:c>
      <x:c r="B288" s="1" t="str">
        <x:v>1401</x:v>
      </x:c>
      <x:c r="C288" s="1" t="str">
        <x:v>Vorsteuer Inland 7 Prozent</x:v>
      </x:c>
      <x:c r="D288" s="9" t="n">
        <x:f>H220</x:f>
        <x:v>0</x:v>
      </x:c>
      <x:c r="E288" s="9" t="n">
        <x:f>SUMIFS('Journal'!$E$6:$E$1632,'Journal'!$D$6:$D$1632,B288,'Journal'!$C$6:$C$1632,A288)</x:f>
        <x:v>11550.05</x:v>
      </x:c>
      <x:c r="F288" s="9" t="n">
        <x:f>SUMIFS('Journal'!$F$6:$F$1632,'Journal'!$D$6:$D$1632,B288,'Journal'!$C$6:$C$1632,A288)</x:f>
        <x:v>11550.05</x:v>
      </x:c>
      <x:c r="G288" s="9" t="n">
        <x:f>ROUND(E288-F288,2)</x:f>
        <x:v>0</x:v>
      </x:c>
      <x:c r="H288" s="9" t="n">
        <x:f>ROUND(D288+G288,2)</x:f>
        <x:v>0</x:v>
      </x:c>
    </x:row>
    <x:row r="289" ht="14" customHeight="1">
      <x:c r="A289" s="1" t="n">
        <x:v>5</x:v>
      </x:c>
      <x:c r="B289" s="1" t="str">
        <x:v>1406</x:v>
      </x:c>
      <x:c r="C289" s="1" t="str">
        <x:v>Vorsteuer Inland 19 Prozent</x:v>
      </x:c>
      <x:c r="D289" s="9" t="n">
        <x:f>H221</x:f>
        <x:v>0</x:v>
      </x:c>
      <x:c r="E289" s="9" t="n">
        <x:f>SUMIFS('Journal'!$E$6:$E$1632,'Journal'!$D$6:$D$1632,B289,'Journal'!$C$6:$C$1632,A289)</x:f>
        <x:v>19360.03</x:v>
      </x:c>
      <x:c r="F289" s="9" t="n">
        <x:f>SUMIFS('Journal'!$F$6:$F$1632,'Journal'!$D$6:$D$1632,B289,'Journal'!$C$6:$C$1632,A289)</x:f>
        <x:v>19360.03</x:v>
      </x:c>
      <x:c r="G289" s="9" t="n">
        <x:f>ROUND(E289-F289,2)</x:f>
        <x:v>0</x:v>
      </x:c>
      <x:c r="H289" s="9" t="n">
        <x:f>ROUND(D289+G289,2)</x:f>
        <x:v>0</x:v>
      </x:c>
    </x:row>
    <x:row r="290" ht="14" customHeight="1">
      <x:c r="A290" s="1" t="n">
        <x:v>5</x:v>
      </x:c>
      <x:c r="B290" s="1" t="str">
        <x:v>1404</x:v>
      </x:c>
      <x:c r="C290" s="1" t="str">
        <x:v>Vorsteuer EU Erwerb 7 Prozent</x:v>
      </x:c>
      <x:c r="D290" s="9" t="n">
        <x:f>H222</x:f>
        <x:v>0</x:v>
      </x:c>
      <x:c r="E290" s="9" t="n">
        <x:f>SUMIFS('Journal'!$E$6:$E$1632,'Journal'!$D$6:$D$1632,B290,'Journal'!$C$6:$C$1632,A290)</x:f>
        <x:v>6078.98</x:v>
      </x:c>
      <x:c r="F290" s="9" t="n">
        <x:f>SUMIFS('Journal'!$F$6:$F$1632,'Journal'!$D$6:$D$1632,B290,'Journal'!$C$6:$C$1632,A290)</x:f>
        <x:v>6078.98</x:v>
      </x:c>
      <x:c r="G290" s="9" t="n">
        <x:f>ROUND(E290-F290,2)</x:f>
        <x:v>0</x:v>
      </x:c>
      <x:c r="H290" s="9" t="n">
        <x:f>ROUND(D290+G290,2)</x:f>
        <x:v>0</x:v>
      </x:c>
    </x:row>
    <x:row r="291" ht="14" customHeight="1">
      <x:c r="A291" s="1" t="n">
        <x:v>5</x:v>
      </x:c>
      <x:c r="B291" s="1" t="str">
        <x:v>1409</x:v>
      </x:c>
      <x:c r="C291" s="1" t="str">
        <x:v>Vorsteuer EU Erwerb 19 Prozent</x:v>
      </x:c>
      <x:c r="D291" s="9" t="n">
        <x:f>H223</x:f>
        <x:v>0</x:v>
      </x:c>
      <x:c r="E291" s="9" t="n">
        <x:f>SUMIFS('Journal'!$E$6:$E$1632,'Journal'!$D$6:$D$1632,B291,'Journal'!$C$6:$C$1632,A291)</x:f>
        <x:v>4125.02</x:v>
      </x:c>
      <x:c r="F291" s="9" t="n">
        <x:f>SUMIFS('Journal'!$F$6:$F$1632,'Journal'!$D$6:$D$1632,B291,'Journal'!$C$6:$C$1632,A291)</x:f>
        <x:v>4125.02</x:v>
      </x:c>
      <x:c r="G291" s="9" t="n">
        <x:f>ROUND(E291-F291,2)</x:f>
        <x:v>0</x:v>
      </x:c>
      <x:c r="H291" s="9" t="n">
        <x:f>ROUND(D291+G291,2)</x:f>
        <x:v>0</x:v>
      </x:c>
    </x:row>
    <x:row r="292" ht="14" customHeight="1">
      <x:c r="A292" s="1" t="n">
        <x:v>5</x:v>
      </x:c>
      <x:c r="B292" s="1" t="str">
        <x:v>1433</x:v>
      </x:c>
      <x:c r="C292" s="1" t="str">
        <x:v>Einfuhrumsatzsteuer</x:v>
      </x:c>
      <x:c r="D292" s="9" t="n">
        <x:f>H224</x:f>
        <x:v>0</x:v>
      </x:c>
      <x:c r="E292" s="9" t="n">
        <x:f>SUMIFS('Journal'!$E$6:$E$1632,'Journal'!$D$6:$D$1632,B292,'Journal'!$C$6:$C$1632,A292)</x:f>
        <x:v>10681.63</x:v>
      </x:c>
      <x:c r="F292" s="9" t="n">
        <x:f>SUMIFS('Journal'!$F$6:$F$1632,'Journal'!$D$6:$D$1632,B292,'Journal'!$C$6:$C$1632,A292)</x:f>
        <x:v>10681.63</x:v>
      </x:c>
      <x:c r="G292" s="9" t="n">
        <x:f>ROUND(E292-F292,2)</x:f>
        <x:v>0</x:v>
      </x:c>
      <x:c r="H292" s="9" t="n">
        <x:f>ROUND(D292+G292,2)</x:f>
        <x:v>0</x:v>
      </x:c>
    </x:row>
    <x:row r="293" ht="14" customHeight="1">
      <x:c r="A293" s="1" t="n">
        <x:v>5</x:v>
      </x:c>
      <x:c r="B293" s="1" t="str">
        <x:v>1600</x:v>
      </x:c>
      <x:c r="C293" s="1" t="str">
        <x:v>Kasse</x:v>
      </x:c>
      <x:c r="D293" s="9" t="n">
        <x:f>H225</x:f>
        <x:v>3000</x:v>
      </x:c>
      <x:c r="E293" s="9" t="n">
        <x:f>SUMIFS('Journal'!$E$6:$E$1632,'Journal'!$D$6:$D$1632,B293,'Journal'!$C$6:$C$1632,A293)</x:f>
        <x:v>300</x:v>
      </x:c>
      <x:c r="F293" s="9" t="n">
        <x:f>SUMIFS('Journal'!$F$6:$F$1632,'Journal'!$D$6:$D$1632,B293,'Journal'!$C$6:$C$1632,A293)</x:f>
        <x:v>300</x:v>
      </x:c>
      <x:c r="G293" s="9" t="n">
        <x:f>ROUND(E293-F293,2)</x:f>
        <x:v>0</x:v>
      </x:c>
      <x:c r="H293" s="9" t="n">
        <x:f>ROUND(D293+G293,2)</x:f>
        <x:v>3000</x:v>
      </x:c>
    </x:row>
    <x:row r="294" ht="14" customHeight="1">
      <x:c r="A294" s="1" t="n">
        <x:v>5</x:v>
      </x:c>
      <x:c r="B294" s="1" t="str">
        <x:v>1800</x:v>
      </x:c>
      <x:c r="C294" s="1" t="str">
        <x:v>Bank Frankenbogen Geschäftskonto</x:v>
      </x:c>
      <x:c r="D294" s="9" t="n">
        <x:f>H226</x:f>
        <x:v>101175.05</x:v>
      </x:c>
      <x:c r="E294" s="9" t="n">
        <x:f>SUMIFS('Journal'!$E$6:$E$1632,'Journal'!$D$6:$D$1632,B294,'Journal'!$C$6:$C$1632,A294)</x:f>
        <x:v>667630.45</x:v>
      </x:c>
      <x:c r="F294" s="9" t="n">
        <x:f>SUMIFS('Journal'!$F$6:$F$1632,'Journal'!$D$6:$D$1632,B294,'Journal'!$C$6:$C$1632,A294)</x:f>
        <x:v>707804.21</x:v>
      </x:c>
      <x:c r="G294" s="9" t="n">
        <x:f>ROUND(E294-F294,2)</x:f>
        <x:v>-40173.76</x:v>
      </x:c>
      <x:c r="H294" s="9" t="n">
        <x:f>ROUND(D294+G294,2)</x:f>
        <x:v>61001.29</x:v>
      </x:c>
    </x:row>
    <x:row r="295" ht="14" customHeight="1">
      <x:c r="A295" s="1" t="n">
        <x:v>5</x:v>
      </x:c>
      <x:c r="B295" s="1" t="str">
        <x:v>1900</x:v>
      </x:c>
      <x:c r="C295" s="1" t="str">
        <x:v>Aktive Rechnungsabgrenzung</x:v>
      </x:c>
      <x:c r="D295" s="9" t="n">
        <x:f>H227</x:f>
        <x:v>6000</x:v>
      </x:c>
      <x:c r="E295" s="9" t="n">
        <x:f>SUMIFS('Journal'!$E$6:$E$1632,'Journal'!$D$6:$D$1632,B295,'Journal'!$C$6:$C$1632,A295)</x:f>
        <x:v>0</x:v>
      </x:c>
      <x:c r="F295" s="9" t="n">
        <x:f>SUMIFS('Journal'!$F$6:$F$1632,'Journal'!$D$6:$D$1632,B295,'Journal'!$C$6:$C$1632,A295)</x:f>
        <x:v>3000</x:v>
      </x:c>
      <x:c r="G295" s="9" t="n">
        <x:f>ROUND(E295-F295,2)</x:f>
        <x:v>-3000</x:v>
      </x:c>
      <x:c r="H295" s="9" t="n">
        <x:f>ROUND(D295+G295,2)</x:f>
        <x:v>3000</x:v>
      </x:c>
    </x:row>
    <x:row r="296" ht="14" customHeight="1">
      <x:c r="A296" s="1" t="n">
        <x:v>5</x:v>
      </x:c>
      <x:c r="B296" s="1" t="str">
        <x:v>2900</x:v>
      </x:c>
      <x:c r="C296" s="1" t="str">
        <x:v>Gezeichnetes Kapital</x:v>
      </x:c>
      <x:c r="D296" s="9" t="n">
        <x:f>H228</x:f>
        <x:v>-100000</x:v>
      </x:c>
      <x:c r="E296" s="9" t="n">
        <x:f>SUMIFS('Journal'!$E$6:$E$1632,'Journal'!$D$6:$D$1632,B296,'Journal'!$C$6:$C$1632,A296)</x:f>
        <x:v>0</x:v>
      </x:c>
      <x:c r="F296" s="9" t="n">
        <x:f>SUMIFS('Journal'!$F$6:$F$1632,'Journal'!$D$6:$D$1632,B296,'Journal'!$C$6:$C$1632,A296)</x:f>
        <x:v>0</x:v>
      </x:c>
      <x:c r="G296" s="9" t="n">
        <x:f>ROUND(E296-F296,2)</x:f>
        <x:v>0</x:v>
      </x:c>
      <x:c r="H296" s="9" t="n">
        <x:f>ROUND(D296+G296,2)</x:f>
        <x:v>-100000</x:v>
      </x:c>
    </x:row>
    <x:row r="297" ht="14" customHeight="1">
      <x:c r="A297" s="1" t="n">
        <x:v>5</x:v>
      </x:c>
      <x:c r="B297" s="1" t="str">
        <x:v>2970</x:v>
      </x:c>
      <x:c r="C297" s="1" t="str">
        <x:v>Gewinnvortrag bis 2023</x:v>
      </x:c>
      <x:c r="D297" s="9" t="n">
        <x:f>H229</x:f>
        <x:v>-705000</x:v>
      </x:c>
      <x:c r="E297" s="9" t="n">
        <x:f>SUMIFS('Journal'!$E$6:$E$1632,'Journal'!$D$6:$D$1632,B297,'Journal'!$C$6:$C$1632,A297)</x:f>
        <x:v>0</x:v>
      </x:c>
      <x:c r="F297" s="9" t="n">
        <x:f>SUMIFS('Journal'!$F$6:$F$1632,'Journal'!$D$6:$D$1632,B297,'Journal'!$C$6:$C$1632,A297)</x:f>
        <x:v>0</x:v>
      </x:c>
      <x:c r="G297" s="9" t="n">
        <x:f>ROUND(E297-F297,2)</x:f>
        <x:v>0</x:v>
      </x:c>
      <x:c r="H297" s="9" t="n">
        <x:f>ROUND(D297+G297,2)</x:f>
        <x:v>-705000</x:v>
      </x:c>
    </x:row>
    <x:row r="298" ht="14" customHeight="1">
      <x:c r="A298" s="1" t="n">
        <x:v>5</x:v>
      </x:c>
      <x:c r="B298" s="1" t="str">
        <x:v>2978</x:v>
      </x:c>
      <x:c r="C298" s="1" t="str">
        <x:v>Ergebnisvortrag 2024</x:v>
      </x:c>
      <x:c r="D298" s="9" t="n">
        <x:f>H230</x:f>
        <x:v>0</x:v>
      </x:c>
      <x:c r="E298" s="9" t="n">
        <x:f>SUMIFS('Journal'!$E$6:$E$1632,'Journal'!$D$6:$D$1632,B298,'Journal'!$C$6:$C$1632,A298)</x:f>
        <x:v>0</x:v>
      </x:c>
      <x:c r="F298" s="9" t="n">
        <x:f>SUMIFS('Journal'!$F$6:$F$1632,'Journal'!$D$6:$D$1632,B298,'Journal'!$C$6:$C$1632,A298)</x:f>
        <x:v>0</x:v>
      </x:c>
      <x:c r="G298" s="9" t="n">
        <x:f>ROUND(E298-F298,2)</x:f>
        <x:v>0</x:v>
      </x:c>
      <x:c r="H298" s="9" t="n">
        <x:f>ROUND(D298+G298,2)</x:f>
        <x:v>0</x:v>
      </x:c>
    </x:row>
    <x:row r="299" ht="14" customHeight="1">
      <x:c r="A299" s="1" t="n">
        <x:v>5</x:v>
      </x:c>
      <x:c r="B299" s="1" t="str">
        <x:v>3090</x:v>
      </x:c>
      <x:c r="C299" s="1" t="str">
        <x:v>Rückstellungen Abschluss und Urlaub</x:v>
      </x:c>
      <x:c r="D299" s="9" t="n">
        <x:f>H231</x:f>
        <x:v>-45000</x:v>
      </x:c>
      <x:c r="E299" s="9" t="n">
        <x:f>SUMIFS('Journal'!$E$6:$E$1632,'Journal'!$D$6:$D$1632,B299,'Journal'!$C$6:$C$1632,A299)</x:f>
        <x:v>0</x:v>
      </x:c>
      <x:c r="F299" s="9" t="n">
        <x:f>SUMIFS('Journal'!$F$6:$F$1632,'Journal'!$D$6:$D$1632,B299,'Journal'!$C$6:$C$1632,A299)</x:f>
        <x:v>0</x:v>
      </x:c>
      <x:c r="G299" s="9" t="n">
        <x:f>ROUND(E299-F299,2)</x:f>
        <x:v>0</x:v>
      </x:c>
      <x:c r="H299" s="9" t="n">
        <x:f>ROUND(D299+G299,2)</x:f>
        <x:v>-45000</x:v>
      </x:c>
    </x:row>
    <x:row r="300" ht="14" customHeight="1">
      <x:c r="A300" s="1" t="n">
        <x:v>5</x:v>
      </x:c>
      <x:c r="B300" s="1" t="str">
        <x:v>3150</x:v>
      </x:c>
      <x:c r="C300" s="1" t="str">
        <x:v>Investitionsdarlehen Frankenbogen</x:v>
      </x:c>
      <x:c r="D300" s="9" t="n">
        <x:f>H232</x:f>
        <x:v>-560000</x:v>
      </x:c>
      <x:c r="E300" s="9" t="n">
        <x:f>SUMIFS('Journal'!$E$6:$E$1632,'Journal'!$D$6:$D$1632,B300,'Journal'!$C$6:$C$1632,A300)</x:f>
        <x:v>10000</x:v>
      </x:c>
      <x:c r="F300" s="9" t="n">
        <x:f>SUMIFS('Journal'!$F$6:$F$1632,'Journal'!$D$6:$D$1632,B300,'Journal'!$C$6:$C$1632,A300)</x:f>
        <x:v>0</x:v>
      </x:c>
      <x:c r="G300" s="9" t="n">
        <x:f>ROUND(E300-F300,2)</x:f>
        <x:v>10000</x:v>
      </x:c>
      <x:c r="H300" s="9" t="n">
        <x:f>ROUND(D300+G300,2)</x:f>
        <x:v>-550000</x:v>
      </x:c>
    </x:row>
    <x:row r="301" ht="14" customHeight="1">
      <x:c r="A301" s="1" t="n">
        <x:v>5</x:v>
      </x:c>
      <x:c r="B301" s="1" t="str">
        <x:v>3160</x:v>
      </x:c>
      <x:c r="C301" s="1" t="str">
        <x:v>Gesellschafterdarlehen</x:v>
      </x:c>
      <x:c r="D301" s="9" t="n">
        <x:f>H233</x:f>
        <x:v>0</x:v>
      </x:c>
      <x:c r="E301" s="9" t="n">
        <x:f>SUMIFS('Journal'!$E$6:$E$1632,'Journal'!$D$6:$D$1632,B301,'Journal'!$C$6:$C$1632,A301)</x:f>
        <x:v>0</x:v>
      </x:c>
      <x:c r="F301" s="9" t="n">
        <x:f>SUMIFS('Journal'!$F$6:$F$1632,'Journal'!$D$6:$D$1632,B301,'Journal'!$C$6:$C$1632,A301)</x:f>
        <x:v>0</x:v>
      </x:c>
      <x:c r="G301" s="9" t="n">
        <x:f>ROUND(E301-F301,2)</x:f>
        <x:v>0</x:v>
      </x:c>
      <x:c r="H301" s="9" t="n">
        <x:f>ROUND(D301+G301,2)</x:f>
        <x:v>0</x:v>
      </x:c>
    </x:row>
    <x:row r="302" ht="14" customHeight="1">
      <x:c r="A302" s="1" t="n">
        <x:v>5</x:v>
      </x:c>
      <x:c r="B302" s="1" t="str">
        <x:v>3300</x:v>
      </x:c>
      <x:c r="C302" s="1" t="str">
        <x:v>Verbindlichkeiten aus Lieferungen und Leistungen</x:v>
      </x:c>
      <x:c r="D302" s="9" t="n">
        <x:f>H234</x:f>
        <x:v>-660000</x:v>
      </x:c>
      <x:c r="E302" s="9" t="n">
        <x:f>SUMIFS('Journal'!$E$6:$E$1632,'Journal'!$D$6:$D$1632,B302,'Journal'!$C$6:$C$1632,A302)</x:f>
        <x:v>519322.58</x:v>
      </x:c>
      <x:c r="F302" s="9" t="n">
        <x:f>SUMIFS('Journal'!$F$6:$F$1632,'Journal'!$D$6:$D$1632,B302,'Journal'!$C$6:$C$1632,A302)</x:f>
        <x:v>539322.58</x:v>
      </x:c>
      <x:c r="G302" s="9" t="n">
        <x:f>ROUND(E302-F302,2)</x:f>
        <x:v>-20000</x:v>
      </x:c>
      <x:c r="H302" s="9" t="n">
        <x:f>ROUND(D302+G302,2)</x:f>
        <x:v>-680000</x:v>
      </x:c>
    </x:row>
    <x:row r="303" ht="14" customHeight="1">
      <x:c r="A303" s="1" t="n">
        <x:v>5</x:v>
      </x:c>
      <x:c r="B303" s="1" t="str">
        <x:v>3500</x:v>
      </x:c>
      <x:c r="C303" s="1" t="str">
        <x:v>Sonstige Verbindlichkeiten</x:v>
      </x:c>
      <x:c r="D303" s="9" t="n">
        <x:f>H235</x:f>
        <x:v>-22000</x:v>
      </x:c>
      <x:c r="E303" s="9" t="n">
        <x:f>SUMIFS('Journal'!$E$6:$E$1632,'Journal'!$D$6:$D$1632,B303,'Journal'!$C$6:$C$1632,A303)</x:f>
        <x:v>0</x:v>
      </x:c>
      <x:c r="F303" s="9" t="n">
        <x:f>SUMIFS('Journal'!$F$6:$F$1632,'Journal'!$D$6:$D$1632,B303,'Journal'!$C$6:$C$1632,A303)</x:f>
        <x:v>0</x:v>
      </x:c>
      <x:c r="G303" s="9" t="n">
        <x:f>ROUND(E303-F303,2)</x:f>
        <x:v>0</x:v>
      </x:c>
      <x:c r="H303" s="9" t="n">
        <x:f>ROUND(D303+G303,2)</x:f>
        <x:v>-22000</x:v>
      </x:c>
    </x:row>
    <x:row r="304" ht="14" customHeight="1">
      <x:c r="A304" s="1" t="n">
        <x:v>5</x:v>
      </x:c>
      <x:c r="B304" s="1" t="str">
        <x:v>3720</x:v>
      </x:c>
      <x:c r="C304" s="1" t="str">
        <x:v>Verbindlichkeiten Nettolöhne</x:v>
      </x:c>
      <x:c r="D304" s="9" t="n">
        <x:f>H236</x:f>
        <x:v>0</x:v>
      </x:c>
      <x:c r="E304" s="9" t="n">
        <x:f>SUMIFS('Journal'!$E$6:$E$1632,'Journal'!$D$6:$D$1632,B304,'Journal'!$C$6:$C$1632,A304)</x:f>
        <x:v>56760</x:v>
      </x:c>
      <x:c r="F304" s="9" t="n">
        <x:f>SUMIFS('Journal'!$F$6:$F$1632,'Journal'!$D$6:$D$1632,B304,'Journal'!$C$6:$C$1632,A304)</x:f>
        <x:v>56760</x:v>
      </x:c>
      <x:c r="G304" s="9" t="n">
        <x:f>ROUND(E304-F304,2)</x:f>
        <x:v>0</x:v>
      </x:c>
      <x:c r="H304" s="9" t="n">
        <x:f>ROUND(D304+G304,2)</x:f>
        <x:v>0</x:v>
      </x:c>
    </x:row>
    <x:row r="305" ht="14" customHeight="1">
      <x:c r="A305" s="1" t="n">
        <x:v>5</x:v>
      </x:c>
      <x:c r="B305" s="1" t="str">
        <x:v>3730</x:v>
      </x:c>
      <x:c r="C305" s="1" t="str">
        <x:v>Verbindlichkeiten Lohnsteuer</x:v>
      </x:c>
      <x:c r="D305" s="9" t="n">
        <x:f>H237</x:f>
        <x:v>-12900</x:v>
      </x:c>
      <x:c r="E305" s="9" t="n">
        <x:f>SUMIFS('Journal'!$E$6:$E$1632,'Journal'!$D$6:$D$1632,B305,'Journal'!$C$6:$C$1632,A305)</x:f>
        <x:v>12900</x:v>
      </x:c>
      <x:c r="F305" s="9" t="n">
        <x:f>SUMIFS('Journal'!$F$6:$F$1632,'Journal'!$D$6:$D$1632,B305,'Journal'!$C$6:$C$1632,A305)</x:f>
        <x:v>12900</x:v>
      </x:c>
      <x:c r="G305" s="9" t="n">
        <x:f>ROUND(E305-F305,2)</x:f>
        <x:v>0</x:v>
      </x:c>
      <x:c r="H305" s="9" t="n">
        <x:f>ROUND(D305+G305,2)</x:f>
        <x:v>-12900</x:v>
      </x:c>
    </x:row>
    <x:row r="306" ht="14" customHeight="1">
      <x:c r="A306" s="1" t="n">
        <x:v>5</x:v>
      </x:c>
      <x:c r="B306" s="1" t="str">
        <x:v>3740</x:v>
      </x:c>
      <x:c r="C306" s="1" t="str">
        <x:v>Verbindlichkeiten Sozialversicherung</x:v>
      </x:c>
      <x:c r="D306" s="9" t="n">
        <x:f>H238</x:f>
        <x:v>0</x:v>
      </x:c>
      <x:c r="E306" s="9" t="n">
        <x:f>SUMIFS('Journal'!$E$6:$E$1632,'Journal'!$D$6:$D$1632,B306,'Journal'!$C$6:$C$1632,A306)</x:f>
        <x:v>34340</x:v>
      </x:c>
      <x:c r="F306" s="9" t="n">
        <x:f>SUMIFS('Journal'!$F$6:$F$1632,'Journal'!$D$6:$D$1632,B306,'Journal'!$C$6:$C$1632,A306)</x:f>
        <x:v>34340</x:v>
      </x:c>
      <x:c r="G306" s="9" t="n">
        <x:f>ROUND(E306-F306,2)</x:f>
        <x:v>0</x:v>
      </x:c>
      <x:c r="H306" s="9" t="n">
        <x:f>ROUND(D306+G306,2)</x:f>
        <x:v>0</x:v>
      </x:c>
    </x:row>
    <x:row r="307" ht="14" customHeight="1">
      <x:c r="A307" s="1" t="n">
        <x:v>5</x:v>
      </x:c>
      <x:c r="B307" s="1" t="str">
        <x:v>3801</x:v>
      </x:c>
      <x:c r="C307" s="1" t="str">
        <x:v>Umsatzsteuer Inland 7 Prozent</x:v>
      </x:c>
      <x:c r="D307" s="9" t="n">
        <x:f>H239</x:f>
        <x:v>0</x:v>
      </x:c>
      <x:c r="E307" s="9" t="n">
        <x:f>SUMIFS('Journal'!$E$6:$E$1632,'Journal'!$D$6:$D$1632,B307,'Journal'!$C$6:$C$1632,A307)</x:f>
        <x:v>21504</x:v>
      </x:c>
      <x:c r="F307" s="9" t="n">
        <x:f>SUMIFS('Journal'!$F$6:$F$1632,'Journal'!$D$6:$D$1632,B307,'Journal'!$C$6:$C$1632,A307)</x:f>
        <x:v>21504</x:v>
      </x:c>
      <x:c r="G307" s="9" t="n">
        <x:f>ROUND(E307-F307,2)</x:f>
        <x:v>0</x:v>
      </x:c>
      <x:c r="H307" s="9" t="n">
        <x:f>ROUND(D307+G307,2)</x:f>
        <x:v>0</x:v>
      </x:c>
    </x:row>
    <x:row r="308" ht="14" customHeight="1">
      <x:c r="A308" s="1" t="n">
        <x:v>5</x:v>
      </x:c>
      <x:c r="B308" s="1" t="str">
        <x:v>3806</x:v>
      </x:c>
      <x:c r="C308" s="1" t="str">
        <x:v>Umsatzsteuer Inland 19 Prozent</x:v>
      </x:c>
      <x:c r="D308" s="9" t="n">
        <x:f>H240</x:f>
        <x:v>0</x:v>
      </x:c>
      <x:c r="E308" s="9" t="n">
        <x:f>SUMIFS('Journal'!$E$6:$E$1632,'Journal'!$D$6:$D$1632,B308,'Journal'!$C$6:$C$1632,A308)</x:f>
        <x:v>14592</x:v>
      </x:c>
      <x:c r="F308" s="9" t="n">
        <x:f>SUMIFS('Journal'!$F$6:$F$1632,'Journal'!$D$6:$D$1632,B308,'Journal'!$C$6:$C$1632,A308)</x:f>
        <x:v>14592</x:v>
      </x:c>
      <x:c r="G308" s="9" t="n">
        <x:f>ROUND(E308-F308,2)</x:f>
        <x:v>0</x:v>
      </x:c>
      <x:c r="H308" s="9" t="n">
        <x:f>ROUND(D308+G308,2)</x:f>
        <x:v>0</x:v>
      </x:c>
    </x:row>
    <x:row r="309" ht="14" customHeight="1">
      <x:c r="A309" s="1" t="n">
        <x:v>5</x:v>
      </x:c>
      <x:c r="B309" s="1" t="str">
        <x:v>3804</x:v>
      </x:c>
      <x:c r="C309" s="1" t="str">
        <x:v>Umsatzsteuer EU Erwerb 7 Prozent</x:v>
      </x:c>
      <x:c r="D309" s="9" t="n">
        <x:f>H241</x:f>
        <x:v>0</x:v>
      </x:c>
      <x:c r="E309" s="9" t="n">
        <x:f>SUMIFS('Journal'!$E$6:$E$1632,'Journal'!$D$6:$D$1632,B309,'Journal'!$C$6:$C$1632,A309)</x:f>
        <x:v>6078.98</x:v>
      </x:c>
      <x:c r="F309" s="9" t="n">
        <x:f>SUMIFS('Journal'!$F$6:$F$1632,'Journal'!$D$6:$D$1632,B309,'Journal'!$C$6:$C$1632,A309)</x:f>
        <x:v>6078.98</x:v>
      </x:c>
      <x:c r="G309" s="9" t="n">
        <x:f>ROUND(E309-F309,2)</x:f>
        <x:v>0</x:v>
      </x:c>
      <x:c r="H309" s="9" t="n">
        <x:f>ROUND(D309+G309,2)</x:f>
        <x:v>0</x:v>
      </x:c>
    </x:row>
    <x:row r="310" ht="14" customHeight="1">
      <x:c r="A310" s="1" t="n">
        <x:v>5</x:v>
      </x:c>
      <x:c r="B310" s="1" t="str">
        <x:v>3809</x:v>
      </x:c>
      <x:c r="C310" s="1" t="str">
        <x:v>Umsatzsteuer EU Erwerb 19 Prozent</x:v>
      </x:c>
      <x:c r="D310" s="9" t="n">
        <x:f>H242</x:f>
        <x:v>0</x:v>
      </x:c>
      <x:c r="E310" s="9" t="n">
        <x:f>SUMIFS('Journal'!$E$6:$E$1632,'Journal'!$D$6:$D$1632,B310,'Journal'!$C$6:$C$1632,A310)</x:f>
        <x:v>4125.02</x:v>
      </x:c>
      <x:c r="F310" s="9" t="n">
        <x:f>SUMIFS('Journal'!$F$6:$F$1632,'Journal'!$D$6:$D$1632,B310,'Journal'!$C$6:$C$1632,A310)</x:f>
        <x:v>4125.02</x:v>
      </x:c>
      <x:c r="G310" s="9" t="n">
        <x:f>ROUND(E310-F310,2)</x:f>
        <x:v>0</x:v>
      </x:c>
      <x:c r="H310" s="9" t="n">
        <x:f>ROUND(D310+G310,2)</x:f>
        <x:v>0</x:v>
      </x:c>
    </x:row>
    <x:row r="311" ht="14" customHeight="1">
      <x:c r="A311" s="1" t="n">
        <x:v>5</x:v>
      </x:c>
      <x:c r="B311" s="1" t="str">
        <x:v>3820</x:v>
      </x:c>
      <x:c r="C311" s="1" t="str">
        <x:v>Umsatzsteuer Verrechnung Finanzamt</x:v>
      </x:c>
      <x:c r="D311" s="9" t="n">
        <x:f>H243</x:f>
        <x:v>4399.95</x:v>
      </x:c>
      <x:c r="E311" s="9" t="n">
        <x:f>SUMIFS('Journal'!$E$6:$E$1632,'Journal'!$D$6:$D$1632,B311,'Journal'!$C$6:$C$1632,A311)</x:f>
        <x:v>51795.71</x:v>
      </x:c>
      <x:c r="F311" s="9" t="n">
        <x:f>SUMIFS('Journal'!$F$6:$F$1632,'Journal'!$D$6:$D$1632,B311,'Journal'!$C$6:$C$1632,A311)</x:f>
        <x:v>50584.45</x:v>
      </x:c>
      <x:c r="G311" s="9" t="n">
        <x:f>ROUND(E311-F311,2)</x:f>
        <x:v>1211.26</x:v>
      </x:c>
      <x:c r="H311" s="9" t="n">
        <x:f>ROUND(D311+G311,2)</x:f>
        <x:v>5611.21</x:v>
      </x:c>
    </x:row>
    <x:row r="312" ht="14" customHeight="1">
      <x:c r="A312" s="1" t="n">
        <x:v>5</x:v>
      </x:c>
      <x:c r="B312" s="1" t="str">
        <x:v>3840</x:v>
      </x:c>
      <x:c r="C312" s="1" t="str">
        <x:v>Ertragsteuern Verrechnung</x:v>
      </x:c>
      <x:c r="D312" s="9" t="n">
        <x:f>H244</x:f>
        <x:v>-23000</x:v>
      </x:c>
      <x:c r="E312" s="9" t="n">
        <x:f>SUMIFS('Journal'!$E$6:$E$1632,'Journal'!$D$6:$D$1632,B312,'Journal'!$C$6:$C$1632,A312)</x:f>
        <x:v>0</x:v>
      </x:c>
      <x:c r="F312" s="9" t="n">
        <x:f>SUMIFS('Journal'!$F$6:$F$1632,'Journal'!$D$6:$D$1632,B312,'Journal'!$C$6:$C$1632,A312)</x:f>
        <x:v>0</x:v>
      </x:c>
      <x:c r="G312" s="9" t="n">
        <x:f>ROUND(E312-F312,2)</x:f>
        <x:v>0</x:v>
      </x:c>
      <x:c r="H312" s="9" t="n">
        <x:f>ROUND(D312+G312,2)</x:f>
        <x:v>-23000</x:v>
      </x:c>
    </x:row>
    <x:row r="313" ht="14" customHeight="1">
      <x:c r="A313" s="1" t="n">
        <x:v>5</x:v>
      </x:c>
      <x:c r="B313" s="1" t="str">
        <x:v>4300</x:v>
      </x:c>
      <x:c r="C313" s="1" t="str">
        <x:v>Erlöse Inland 7 Prozent</x:v>
      </x:c>
      <x:c r="D313" s="9" t="n">
        <x:f>H245</x:f>
        <x:v>-1084800</x:v>
      </x:c>
      <x:c r="E313" s="9" t="n">
        <x:f>SUMIFS('Journal'!$E$6:$E$1632,'Journal'!$D$6:$D$1632,B313,'Journal'!$C$6:$C$1632,A313)</x:f>
        <x:v>0</x:v>
      </x:c>
      <x:c r="F313" s="9" t="n">
        <x:f>SUMIFS('Journal'!$F$6:$F$1632,'Journal'!$D$6:$D$1632,B313,'Journal'!$C$6:$C$1632,A313)</x:f>
        <x:v>307200</x:v>
      </x:c>
      <x:c r="G313" s="9" t="n">
        <x:f>ROUND(E313-F313,2)</x:f>
        <x:v>-307200</x:v>
      </x:c>
      <x:c r="H313" s="9" t="n">
        <x:f>ROUND(D313+G313,2)</x:f>
        <x:v>-1392000</x:v>
      </x:c>
    </x:row>
    <x:row r="314" ht="14" customHeight="1">
      <x:c r="A314" s="1" t="n">
        <x:v>5</x:v>
      </x:c>
      <x:c r="B314" s="1" t="str">
        <x:v>4400</x:v>
      </x:c>
      <x:c r="C314" s="1" t="str">
        <x:v>Erlöse Inland 19 Prozent</x:v>
      </x:c>
      <x:c r="D314" s="9" t="n">
        <x:f>H246</x:f>
        <x:v>-271200</x:v>
      </x:c>
      <x:c r="E314" s="9" t="n">
        <x:f>SUMIFS('Journal'!$E$6:$E$1632,'Journal'!$D$6:$D$1632,B314,'Journal'!$C$6:$C$1632,A314)</x:f>
        <x:v>0</x:v>
      </x:c>
      <x:c r="F314" s="9" t="n">
        <x:f>SUMIFS('Journal'!$F$6:$F$1632,'Journal'!$D$6:$D$1632,B314,'Journal'!$C$6:$C$1632,A314)</x:f>
        <x:v>76800</x:v>
      </x:c>
      <x:c r="G314" s="9" t="n">
        <x:f>ROUND(E314-F314,2)</x:f>
        <x:v>-76800</x:v>
      </x:c>
      <x:c r="H314" s="9" t="n">
        <x:f>ROUND(D314+G314,2)</x:f>
        <x:v>-348000</x:v>
      </x:c>
    </x:row>
    <x:row r="315" ht="14" customHeight="1">
      <x:c r="A315" s="1" t="n">
        <x:v>5</x:v>
      </x:c>
      <x:c r="B315" s="1" t="str">
        <x:v>4125</x:v>
      </x:c>
      <x:c r="C315" s="1" t="str">
        <x:v>Erlöse EU Warenlieferungen</x:v>
      </x:c>
      <x:c r="D315" s="9" t="n">
        <x:f>H247</x:f>
        <x:v>-452000</x:v>
      </x:c>
      <x:c r="E315" s="9" t="n">
        <x:f>SUMIFS('Journal'!$E$6:$E$1632,'Journal'!$D$6:$D$1632,B315,'Journal'!$C$6:$C$1632,A315)</x:f>
        <x:v>0</x:v>
      </x:c>
      <x:c r="F315" s="9" t="n">
        <x:f>SUMIFS('Journal'!$F$6:$F$1632,'Journal'!$D$6:$D$1632,B315,'Journal'!$C$6:$C$1632,A315)</x:f>
        <x:v>128000</x:v>
      </x:c>
      <x:c r="G315" s="9" t="n">
        <x:f>ROUND(E315-F315,2)</x:f>
        <x:v>-128000</x:v>
      </x:c>
      <x:c r="H315" s="9" t="n">
        <x:f>ROUND(D315+G315,2)</x:f>
        <x:v>-580000</x:v>
      </x:c>
    </x:row>
    <x:row r="316" ht="14" customHeight="1">
      <x:c r="A316" s="1" t="n">
        <x:v>5</x:v>
      </x:c>
      <x:c r="B316" s="1" t="str">
        <x:v>4120</x:v>
      </x:c>
      <x:c r="C316" s="1" t="str">
        <x:v>Erlöse Drittland Warenlieferungen</x:v>
      </x:c>
      <x:c r="D316" s="9" t="n">
        <x:f>H248</x:f>
        <x:v>-452000</x:v>
      </x:c>
      <x:c r="E316" s="9" t="n">
        <x:f>SUMIFS('Journal'!$E$6:$E$1632,'Journal'!$D$6:$D$1632,B316,'Journal'!$C$6:$C$1632,A316)</x:f>
        <x:v>0</x:v>
      </x:c>
      <x:c r="F316" s="9" t="n">
        <x:f>SUMIFS('Journal'!$F$6:$F$1632,'Journal'!$D$6:$D$1632,B316,'Journal'!$C$6:$C$1632,A316)</x:f>
        <x:v>128000</x:v>
      </x:c>
      <x:c r="G316" s="9" t="n">
        <x:f>ROUND(E316-F316,2)</x:f>
        <x:v>-128000</x:v>
      </x:c>
      <x:c r="H316" s="9" t="n">
        <x:f>ROUND(D316+G316,2)</x:f>
        <x:v>-580000</x:v>
      </x:c>
    </x:row>
    <x:row r="317" ht="14" customHeight="1">
      <x:c r="A317" s="1" t="n">
        <x:v>5</x:v>
      </x:c>
      <x:c r="B317" s="1" t="str">
        <x:v>4730</x:v>
      </x:c>
      <x:c r="C317" s="1" t="str">
        <x:v>Erlösschmälerungen Inland 7 Prozent</x:v>
      </x:c>
      <x:c r="D317" s="9" t="n">
        <x:f>H249</x:f>
        <x:v>5700</x:v>
      </x:c>
      <x:c r="E317" s="9" t="n">
        <x:f>SUMIFS('Journal'!$E$6:$E$1632,'Journal'!$D$6:$D$1632,B317,'Journal'!$C$6:$C$1632,A317)</x:f>
        <x:v>1650</x:v>
      </x:c>
      <x:c r="F317" s="9" t="n">
        <x:f>SUMIFS('Journal'!$F$6:$F$1632,'Journal'!$D$6:$D$1632,B317,'Journal'!$C$6:$C$1632,A317)</x:f>
        <x:v>0</x:v>
      </x:c>
      <x:c r="G317" s="9" t="n">
        <x:f>ROUND(E317-F317,2)</x:f>
        <x:v>1650</x:v>
      </x:c>
      <x:c r="H317" s="9" t="n">
        <x:f>ROUND(D317+G317,2)</x:f>
        <x:v>7350</x:v>
      </x:c>
    </x:row>
    <x:row r="318" ht="14" customHeight="1">
      <x:c r="A318" s="1" t="n">
        <x:v>5</x:v>
      </x:c>
      <x:c r="B318" s="1" t="str">
        <x:v>4735</x:v>
      </x:c>
      <x:c r="C318" s="1" t="str">
        <x:v>Erlösschmälerungen EU</x:v>
      </x:c>
      <x:c r="D318" s="9" t="n">
        <x:f>H250</x:f>
        <x:v>3800</x:v>
      </x:c>
      <x:c r="E318" s="9" t="n">
        <x:f>SUMIFS('Journal'!$E$6:$E$1632,'Journal'!$D$6:$D$1632,B318,'Journal'!$C$6:$C$1632,A318)</x:f>
        <x:v>1100</x:v>
      </x:c>
      <x:c r="F318" s="9" t="n">
        <x:f>SUMIFS('Journal'!$F$6:$F$1632,'Journal'!$D$6:$D$1632,B318,'Journal'!$C$6:$C$1632,A318)</x:f>
        <x:v>0</x:v>
      </x:c>
      <x:c r="G318" s="9" t="n">
        <x:f>ROUND(E318-F318,2)</x:f>
        <x:v>1100</x:v>
      </x:c>
      <x:c r="H318" s="9" t="n">
        <x:f>ROUND(D318+G318,2)</x:f>
        <x:v>4900</x:v>
      </x:c>
    </x:row>
    <x:row r="319" ht="14" customHeight="1">
      <x:c r="A319" s="1" t="n">
        <x:v>5</x:v>
      </x:c>
      <x:c r="B319" s="1" t="str">
        <x:v>4830</x:v>
      </x:c>
      <x:c r="C319" s="1" t="str">
        <x:v>Sonstige betriebliche Erträge</x:v>
      </x:c>
      <x:c r="D319" s="9" t="n">
        <x:f>H251</x:f>
        <x:v>0</x:v>
      </x:c>
      <x:c r="E319" s="9" t="n">
        <x:f>SUMIFS('Journal'!$E$6:$E$1632,'Journal'!$D$6:$D$1632,B319,'Journal'!$C$6:$C$1632,A319)</x:f>
        <x:v>0</x:v>
      </x:c>
      <x:c r="F319" s="9" t="n">
        <x:f>SUMIFS('Journal'!$F$6:$F$1632,'Journal'!$D$6:$D$1632,B319,'Journal'!$C$6:$C$1632,A319)</x:f>
        <x:v>0</x:v>
      </x:c>
      <x:c r="G319" s="9" t="n">
        <x:f>ROUND(E319-F319,2)</x:f>
        <x:v>0</x:v>
      </x:c>
      <x:c r="H319" s="9" t="n">
        <x:f>ROUND(D319+G319,2)</x:f>
        <x:v>0</x:v>
      </x:c>
    </x:row>
    <x:row r="320" ht="14" customHeight="1">
      <x:c r="A320" s="1" t="n">
        <x:v>5</x:v>
      </x:c>
      <x:c r="B320" s="1" t="str">
        <x:v>5000</x:v>
      </x:c>
      <x:c r="C320" s="1" t="str">
        <x:v>Wareneinsatz</x:v>
      </x:c>
      <x:c r="D320" s="9" t="n">
        <x:f>H252</x:f>
        <x:v>1462825</x:v>
      </x:c>
      <x:c r="E320" s="9" t="n">
        <x:f>SUMIFS('Journal'!$E$6:$E$1632,'Journal'!$D$6:$D$1632,B320,'Journal'!$C$6:$C$1632,A320)</x:f>
        <x:v>414212.5</x:v>
      </x:c>
      <x:c r="F320" s="9" t="n">
        <x:f>SUMIFS('Journal'!$F$6:$F$1632,'Journal'!$D$6:$D$1632,B320,'Journal'!$C$6:$C$1632,A320)</x:f>
        <x:v>0</x:v>
      </x:c>
      <x:c r="G320" s="9" t="n">
        <x:f>ROUND(E320-F320,2)</x:f>
        <x:v>414212.5</x:v>
      </x:c>
      <x:c r="H320" s="9" t="n">
        <x:f>ROUND(D320+G320,2)</x:f>
        <x:v>1877037.5</x:v>
      </x:c>
    </x:row>
    <x:row r="321" ht="14" customHeight="1">
      <x:c r="A321" s="1" t="n">
        <x:v>5</x:v>
      </x:c>
      <x:c r="B321" s="1" t="str">
        <x:v>5005</x:v>
      </x:c>
      <x:c r="C321" s="1" t="str">
        <x:v>Abwertung Warenbestand</x:v>
      </x:c>
      <x:c r="D321" s="9" t="n">
        <x:f>H253</x:f>
        <x:v>0</x:v>
      </x:c>
      <x:c r="E321" s="9" t="n">
        <x:f>SUMIFS('Journal'!$E$6:$E$1632,'Journal'!$D$6:$D$1632,B321,'Journal'!$C$6:$C$1632,A321)</x:f>
        <x:v>0</x:v>
      </x:c>
      <x:c r="F321" s="9" t="n">
        <x:f>SUMIFS('Journal'!$F$6:$F$1632,'Journal'!$D$6:$D$1632,B321,'Journal'!$C$6:$C$1632,A321)</x:f>
        <x:v>0</x:v>
      </x:c>
      <x:c r="G321" s="9" t="n">
        <x:f>ROUND(E321-F321,2)</x:f>
        <x:v>0</x:v>
      </x:c>
      <x:c r="H321" s="9" t="n">
        <x:f>ROUND(D321+G321,2)</x:f>
        <x:v>0</x:v>
      </x:c>
    </x:row>
    <x:row r="322" ht="14" customHeight="1">
      <x:c r="A322" s="1" t="n">
        <x:v>5</x:v>
      </x:c>
      <x:c r="B322" s="1" t="str">
        <x:v>6020</x:v>
      </x:c>
      <x:c r="C322" s="1" t="str">
        <x:v>Bruttogehälter</x:v>
      </x:c>
      <x:c r="D322" s="9" t="n">
        <x:f>H254</x:f>
        <x:v>344000</x:v>
      </x:c>
      <x:c r="E322" s="9" t="n">
        <x:f>SUMIFS('Journal'!$E$6:$E$1632,'Journal'!$D$6:$D$1632,B322,'Journal'!$C$6:$C$1632,A322)</x:f>
        <x:v>86000</x:v>
      </x:c>
      <x:c r="F322" s="9" t="n">
        <x:f>SUMIFS('Journal'!$F$6:$F$1632,'Journal'!$D$6:$D$1632,B322,'Journal'!$C$6:$C$1632,A322)</x:f>
        <x:v>0</x:v>
      </x:c>
      <x:c r="G322" s="9" t="n">
        <x:f>ROUND(E322-F322,2)</x:f>
        <x:v>86000</x:v>
      </x:c>
      <x:c r="H322" s="9" t="n">
        <x:f>ROUND(D322+G322,2)</x:f>
        <x:v>430000</x:v>
      </x:c>
    </x:row>
    <x:row r="323" ht="14" customHeight="1">
      <x:c r="A323" s="1" t="n">
        <x:v>5</x:v>
      </x:c>
      <x:c r="B323" s="1" t="str">
        <x:v>6110</x:v>
      </x:c>
      <x:c r="C323" s="1" t="str">
        <x:v>Arbeitgeberanteile Sozialversicherung</x:v>
      </x:c>
      <x:c r="D323" s="9" t="n">
        <x:f>H255</x:f>
        <x:v>72000</x:v>
      </x:c>
      <x:c r="E323" s="9" t="n">
        <x:f>SUMIFS('Journal'!$E$6:$E$1632,'Journal'!$D$6:$D$1632,B323,'Journal'!$C$6:$C$1632,A323)</x:f>
        <x:v>18000</x:v>
      </x:c>
      <x:c r="F323" s="9" t="n">
        <x:f>SUMIFS('Journal'!$F$6:$F$1632,'Journal'!$D$6:$D$1632,B323,'Journal'!$C$6:$C$1632,A323)</x:f>
        <x:v>0</x:v>
      </x:c>
      <x:c r="G323" s="9" t="n">
        <x:f>ROUND(E323-F323,2)</x:f>
        <x:v>18000</x:v>
      </x:c>
      <x:c r="H323" s="9" t="n">
        <x:f>ROUND(D323+G323,2)</x:f>
        <x:v>90000</x:v>
      </x:c>
    </x:row>
    <x:row r="324" ht="14" customHeight="1">
      <x:c r="A324" s="1" t="n">
        <x:v>5</x:v>
      </x:c>
      <x:c r="B324" s="1" t="str">
        <x:v>6220</x:v>
      </x:c>
      <x:c r="C324" s="1" t="str">
        <x:v>Abschreibungen Sachanlagen und Software</x:v>
      </x:c>
      <x:c r="D324" s="9" t="n">
        <x:f>H256</x:f>
        <x:v>30000</x:v>
      </x:c>
      <x:c r="E324" s="9" t="n">
        <x:f>SUMIFS('Journal'!$E$6:$E$1632,'Journal'!$D$6:$D$1632,B324,'Journal'!$C$6:$C$1632,A324)</x:f>
        <x:v>7500</x:v>
      </x:c>
      <x:c r="F324" s="9" t="n">
        <x:f>SUMIFS('Journal'!$F$6:$F$1632,'Journal'!$D$6:$D$1632,B324,'Journal'!$C$6:$C$1632,A324)</x:f>
        <x:v>0</x:v>
      </x:c>
      <x:c r="G324" s="9" t="n">
        <x:f>ROUND(E324-F324,2)</x:f>
        <x:v>7500</x:v>
      </x:c>
      <x:c r="H324" s="9" t="n">
        <x:f>ROUND(D324+G324,2)</x:f>
        <x:v>37500</x:v>
      </x:c>
    </x:row>
    <x:row r="325" ht="14" customHeight="1">
      <x:c r="A325" s="1" t="n">
        <x:v>5</x:v>
      </x:c>
      <x:c r="B325" s="1" t="str">
        <x:v>6310</x:v>
      </x:c>
      <x:c r="C325" s="1" t="str">
        <x:v>Miete Büro Nürnberg</x:v>
      </x:c>
      <x:c r="D325" s="9" t="n">
        <x:f>H257</x:f>
        <x:v>16000</x:v>
      </x:c>
      <x:c r="E325" s="9" t="n">
        <x:f>SUMIFS('Journal'!$E$6:$E$1632,'Journal'!$D$6:$D$1632,B325,'Journal'!$C$6:$C$1632,A325)</x:f>
        <x:v>4000</x:v>
      </x:c>
      <x:c r="F325" s="9" t="n">
        <x:f>SUMIFS('Journal'!$F$6:$F$1632,'Journal'!$D$6:$D$1632,B325,'Journal'!$C$6:$C$1632,A325)</x:f>
        <x:v>0</x:v>
      </x:c>
      <x:c r="G325" s="9" t="n">
        <x:f>ROUND(E325-F325,2)</x:f>
        <x:v>4000</x:v>
      </x:c>
      <x:c r="H325" s="9" t="n">
        <x:f>ROUND(D325+G325,2)</x:f>
        <x:v>20000</x:v>
      </x:c>
    </x:row>
    <x:row r="326" ht="14" customHeight="1">
      <x:c r="A326" s="1" t="n">
        <x:v>5</x:v>
      </x:c>
      <x:c r="B326" s="1" t="str">
        <x:v>6311</x:v>
      </x:c>
      <x:c r="C326" s="1" t="str">
        <x:v>Miete Lager Erlangen</x:v>
      </x:c>
      <x:c r="D326" s="9" t="n">
        <x:f>H258</x:f>
        <x:v>40000</x:v>
      </x:c>
      <x:c r="E326" s="9" t="n">
        <x:f>SUMIFS('Journal'!$E$6:$E$1632,'Journal'!$D$6:$D$1632,B326,'Journal'!$C$6:$C$1632,A326)</x:f>
        <x:v>10000</x:v>
      </x:c>
      <x:c r="F326" s="9" t="n">
        <x:f>SUMIFS('Journal'!$F$6:$F$1632,'Journal'!$D$6:$D$1632,B326,'Journal'!$C$6:$C$1632,A326)</x:f>
        <x:v>0</x:v>
      </x:c>
      <x:c r="G326" s="9" t="n">
        <x:f>ROUND(E326-F326,2)</x:f>
        <x:v>10000</x:v>
      </x:c>
      <x:c r="H326" s="9" t="n">
        <x:f>ROUND(D326+G326,2)</x:f>
        <x:v>50000</x:v>
      </x:c>
    </x:row>
    <x:row r="327" ht="14" customHeight="1">
      <x:c r="A327" s="1" t="n">
        <x:v>5</x:v>
      </x:c>
      <x:c r="B327" s="1" t="str">
        <x:v>6325</x:v>
      </x:c>
      <x:c r="C327" s="1" t="str">
        <x:v>Strom und Kühlung</x:v>
      </x:c>
      <x:c r="D327" s="9" t="n">
        <x:f>H259</x:f>
        <x:v>18000</x:v>
      </x:c>
      <x:c r="E327" s="9" t="n">
        <x:f>SUMIFS('Journal'!$E$6:$E$1632,'Journal'!$D$6:$D$1632,B327,'Journal'!$C$6:$C$1632,A327)</x:f>
        <x:v>4500</x:v>
      </x:c>
      <x:c r="F327" s="9" t="n">
        <x:f>SUMIFS('Journal'!$F$6:$F$1632,'Journal'!$D$6:$D$1632,B327,'Journal'!$C$6:$C$1632,A327)</x:f>
        <x:v>0</x:v>
      </x:c>
      <x:c r="G327" s="9" t="n">
        <x:f>ROUND(E327-F327,2)</x:f>
        <x:v>4500</x:v>
      </x:c>
      <x:c r="H327" s="9" t="n">
        <x:f>ROUND(D327+G327,2)</x:f>
        <x:v>22500</x:v>
      </x:c>
    </x:row>
    <x:row r="328" ht="14" customHeight="1">
      <x:c r="A328" s="1" t="n">
        <x:v>5</x:v>
      </x:c>
      <x:c r="B328" s="1" t="str">
        <x:v>6400</x:v>
      </x:c>
      <x:c r="C328" s="1" t="str">
        <x:v>Versicherungen</x:v>
      </x:c>
      <x:c r="D328" s="9" t="n">
        <x:f>H260</x:f>
        <x:v>10000</x:v>
      </x:c>
      <x:c r="E328" s="9" t="n">
        <x:f>SUMIFS('Journal'!$E$6:$E$1632,'Journal'!$D$6:$D$1632,B328,'Journal'!$C$6:$C$1632,A328)</x:f>
        <x:v>2500</x:v>
      </x:c>
      <x:c r="F328" s="9" t="n">
        <x:f>SUMIFS('Journal'!$F$6:$F$1632,'Journal'!$D$6:$D$1632,B328,'Journal'!$C$6:$C$1632,A328)</x:f>
        <x:v>0</x:v>
      </x:c>
      <x:c r="G328" s="9" t="n">
        <x:f>ROUND(E328-F328,2)</x:f>
        <x:v>2500</x:v>
      </x:c>
      <x:c r="H328" s="9" t="n">
        <x:f>ROUND(D328+G328,2)</x:f>
        <x:v>12500</x:v>
      </x:c>
    </x:row>
    <x:row r="329" ht="14" customHeight="1">
      <x:c r="A329" s="1" t="n">
        <x:v>5</x:v>
      </x:c>
      <x:c r="B329" s="1" t="str">
        <x:v>6470</x:v>
      </x:c>
      <x:c r="C329" s="1" t="str">
        <x:v>Lagerbetrieb und Reinigung</x:v>
      </x:c>
      <x:c r="D329" s="9" t="n">
        <x:f>H261</x:f>
        <x:v>24000</x:v>
      </x:c>
      <x:c r="E329" s="9" t="n">
        <x:f>SUMIFS('Journal'!$E$6:$E$1632,'Journal'!$D$6:$D$1632,B329,'Journal'!$C$6:$C$1632,A329)</x:f>
        <x:v>6000</x:v>
      </x:c>
      <x:c r="F329" s="9" t="n">
        <x:f>SUMIFS('Journal'!$F$6:$F$1632,'Journal'!$D$6:$D$1632,B329,'Journal'!$C$6:$C$1632,A329)</x:f>
        <x:v>0</x:v>
      </x:c>
      <x:c r="G329" s="9" t="n">
        <x:f>ROUND(E329-F329,2)</x:f>
        <x:v>6000</x:v>
      </x:c>
      <x:c r="H329" s="9" t="n">
        <x:f>ROUND(D329+G329,2)</x:f>
        <x:v>30000</x:v>
      </x:c>
    </x:row>
    <x:row r="330" ht="14" customHeight="1">
      <x:c r="A330" s="1" t="n">
        <x:v>5</x:v>
      </x:c>
      <x:c r="B330" s="1" t="str">
        <x:v>6490</x:v>
      </x:c>
      <x:c r="C330" s="1" t="str">
        <x:v>Reparaturen und Wartung</x:v>
      </x:c>
      <x:c r="D330" s="9" t="n">
        <x:f>H262</x:f>
        <x:v>10000</x:v>
      </x:c>
      <x:c r="E330" s="9" t="n">
        <x:f>SUMIFS('Journal'!$E$6:$E$1632,'Journal'!$D$6:$D$1632,B330,'Journal'!$C$6:$C$1632,A330)</x:f>
        <x:v>2500</x:v>
      </x:c>
      <x:c r="F330" s="9" t="n">
        <x:f>SUMIFS('Journal'!$F$6:$F$1632,'Journal'!$D$6:$D$1632,B330,'Journal'!$C$6:$C$1632,A330)</x:f>
        <x:v>0</x:v>
      </x:c>
      <x:c r="G330" s="9" t="n">
        <x:f>ROUND(E330-F330,2)</x:f>
        <x:v>2500</x:v>
      </x:c>
      <x:c r="H330" s="9" t="n">
        <x:f>ROUND(D330+G330,2)</x:f>
        <x:v>12500</x:v>
      </x:c>
    </x:row>
    <x:row r="331" ht="14" customHeight="1">
      <x:c r="A331" s="1" t="n">
        <x:v>5</x:v>
      </x:c>
      <x:c r="B331" s="1" t="str">
        <x:v>6600</x:v>
      </x:c>
      <x:c r="C331" s="1" t="str">
        <x:v>Marketing und Messen</x:v>
      </x:c>
      <x:c r="D331" s="9" t="n">
        <x:f>H263</x:f>
        <x:v>24000</x:v>
      </x:c>
      <x:c r="E331" s="9" t="n">
        <x:f>SUMIFS('Journal'!$E$6:$E$1632,'Journal'!$D$6:$D$1632,B331,'Journal'!$C$6:$C$1632,A331)</x:f>
        <x:v>6000</x:v>
      </x:c>
      <x:c r="F331" s="9" t="n">
        <x:f>SUMIFS('Journal'!$F$6:$F$1632,'Journal'!$D$6:$D$1632,B331,'Journal'!$C$6:$C$1632,A331)</x:f>
        <x:v>0</x:v>
      </x:c>
      <x:c r="G331" s="9" t="n">
        <x:f>ROUND(E331-F331,2)</x:f>
        <x:v>6000</x:v>
      </x:c>
      <x:c r="H331" s="9" t="n">
        <x:f>ROUND(D331+G331,2)</x:f>
        <x:v>30000</x:v>
      </x:c>
    </x:row>
    <x:row r="332" ht="14" customHeight="1">
      <x:c r="A332" s="1" t="n">
        <x:v>5</x:v>
      </x:c>
      <x:c r="B332" s="1" t="str">
        <x:v>6650</x:v>
      </x:c>
      <x:c r="C332" s="1" t="str">
        <x:v>Reisekosten</x:v>
      </x:c>
      <x:c r="D332" s="9" t="n">
        <x:f>H264</x:f>
        <x:v>6000</x:v>
      </x:c>
      <x:c r="E332" s="9" t="n">
        <x:f>SUMIFS('Journal'!$E$6:$E$1632,'Journal'!$D$6:$D$1632,B332,'Journal'!$C$6:$C$1632,A332)</x:f>
        <x:v>1500</x:v>
      </x:c>
      <x:c r="F332" s="9" t="n">
        <x:f>SUMIFS('Journal'!$F$6:$F$1632,'Journal'!$D$6:$D$1632,B332,'Journal'!$C$6:$C$1632,A332)</x:f>
        <x:v>0</x:v>
      </x:c>
      <x:c r="G332" s="9" t="n">
        <x:f>ROUND(E332-F332,2)</x:f>
        <x:v>1500</x:v>
      </x:c>
      <x:c r="H332" s="9" t="n">
        <x:f>ROUND(D332+G332,2)</x:f>
        <x:v>7500</x:v>
      </x:c>
    </x:row>
    <x:row r="333" ht="14" customHeight="1">
      <x:c r="A333" s="1" t="n">
        <x:v>5</x:v>
      </x:c>
      <x:c r="B333" s="1" t="str">
        <x:v>6740</x:v>
      </x:c>
      <x:c r="C333" s="1" t="str">
        <x:v>Ausgangsfrachten Inland</x:v>
      </x:c>
      <x:c r="D333" s="9" t="n">
        <x:f>H265</x:f>
        <x:v>52000</x:v>
      </x:c>
      <x:c r="E333" s="9" t="n">
        <x:f>SUMIFS('Journal'!$E$6:$E$1632,'Journal'!$D$6:$D$1632,B333,'Journal'!$C$6:$C$1632,A333)</x:f>
        <x:v>13000</x:v>
      </x:c>
      <x:c r="F333" s="9" t="n">
        <x:f>SUMIFS('Journal'!$F$6:$F$1632,'Journal'!$D$6:$D$1632,B333,'Journal'!$C$6:$C$1632,A333)</x:f>
        <x:v>0</x:v>
      </x:c>
      <x:c r="G333" s="9" t="n">
        <x:f>ROUND(E333-F333,2)</x:f>
        <x:v>13000</x:v>
      </x:c>
      <x:c r="H333" s="9" t="n">
        <x:f>ROUND(D333+G333,2)</x:f>
        <x:v>65000</x:v>
      </x:c>
    </x:row>
    <x:row r="334" ht="14" customHeight="1">
      <x:c r="A334" s="1" t="n">
        <x:v>5</x:v>
      </x:c>
      <x:c r="B334" s="1" t="str">
        <x:v>6741</x:v>
      </x:c>
      <x:c r="C334" s="1" t="str">
        <x:v>Ausgangsfrachten Ausland</x:v>
      </x:c>
      <x:c r="D334" s="9" t="n">
        <x:f>H266</x:f>
        <x:v>56000</x:v>
      </x:c>
      <x:c r="E334" s="9" t="n">
        <x:f>SUMIFS('Journal'!$E$6:$E$1632,'Journal'!$D$6:$D$1632,B334,'Journal'!$C$6:$C$1632,A334)</x:f>
        <x:v>14000</x:v>
      </x:c>
      <x:c r="F334" s="9" t="n">
        <x:f>SUMIFS('Journal'!$F$6:$F$1632,'Journal'!$D$6:$D$1632,B334,'Journal'!$C$6:$C$1632,A334)</x:f>
        <x:v>0</x:v>
      </x:c>
      <x:c r="G334" s="9" t="n">
        <x:f>ROUND(E334-F334,2)</x:f>
        <x:v>14000</x:v>
      </x:c>
      <x:c r="H334" s="9" t="n">
        <x:f>ROUND(D334+G334,2)</x:f>
        <x:v>70000</x:v>
      </x:c>
    </x:row>
    <x:row r="335" ht="14" customHeight="1">
      <x:c r="A335" s="1" t="n">
        <x:v>5</x:v>
      </x:c>
      <x:c r="B335" s="1" t="str">
        <x:v>6805</x:v>
      </x:c>
      <x:c r="C335" s="1" t="str">
        <x:v>Telekommunikation und IT</x:v>
      </x:c>
      <x:c r="D335" s="9" t="n">
        <x:f>H267</x:f>
        <x:v>18000</x:v>
      </x:c>
      <x:c r="E335" s="9" t="n">
        <x:f>SUMIFS('Journal'!$E$6:$E$1632,'Journal'!$D$6:$D$1632,B335,'Journal'!$C$6:$C$1632,A335)</x:f>
        <x:v>4500</x:v>
      </x:c>
      <x:c r="F335" s="9" t="n">
        <x:f>SUMIFS('Journal'!$F$6:$F$1632,'Journal'!$D$6:$D$1632,B335,'Journal'!$C$6:$C$1632,A335)</x:f>
        <x:v>0</x:v>
      </x:c>
      <x:c r="G335" s="9" t="n">
        <x:f>ROUND(E335-F335,2)</x:f>
        <x:v>4500</x:v>
      </x:c>
      <x:c r="H335" s="9" t="n">
        <x:f>ROUND(D335+G335,2)</x:f>
        <x:v>22500</x:v>
      </x:c>
    </x:row>
    <x:row r="336" ht="14" customHeight="1">
      <x:c r="A336" s="1" t="n">
        <x:v>5</x:v>
      </x:c>
      <x:c r="B336" s="1" t="str">
        <x:v>6825</x:v>
      </x:c>
      <x:c r="C336" s="1" t="str">
        <x:v>Rechtsberatung und Buchführung</x:v>
      </x:c>
      <x:c r="D336" s="9" t="n">
        <x:f>H268</x:f>
        <x:v>12000</x:v>
      </x:c>
      <x:c r="E336" s="9" t="n">
        <x:f>SUMIFS('Journal'!$E$6:$E$1632,'Journal'!$D$6:$D$1632,B336,'Journal'!$C$6:$C$1632,A336)</x:f>
        <x:v>3000</x:v>
      </x:c>
      <x:c r="F336" s="9" t="n">
        <x:f>SUMIFS('Journal'!$F$6:$F$1632,'Journal'!$D$6:$D$1632,B336,'Journal'!$C$6:$C$1632,A336)</x:f>
        <x:v>0</x:v>
      </x:c>
      <x:c r="G336" s="9" t="n">
        <x:f>ROUND(E336-F336,2)</x:f>
        <x:v>3000</x:v>
      </x:c>
      <x:c r="H336" s="9" t="n">
        <x:f>ROUND(D336+G336,2)</x:f>
        <x:v>15000</x:v>
      </x:c>
    </x:row>
    <x:row r="337" ht="14" customHeight="1">
      <x:c r="A337" s="1" t="n">
        <x:v>5</x:v>
      </x:c>
      <x:c r="B337" s="1" t="str">
        <x:v>6830</x:v>
      </x:c>
      <x:c r="C337" s="1" t="str">
        <x:v>Labor und Qualitätssicherung</x:v>
      </x:c>
      <x:c r="D337" s="9" t="n">
        <x:f>H269</x:f>
        <x:v>14000</x:v>
      </x:c>
      <x:c r="E337" s="9" t="n">
        <x:f>SUMIFS('Journal'!$E$6:$E$1632,'Journal'!$D$6:$D$1632,B337,'Journal'!$C$6:$C$1632,A337)</x:f>
        <x:v>3500</x:v>
      </x:c>
      <x:c r="F337" s="9" t="n">
        <x:f>SUMIFS('Journal'!$F$6:$F$1632,'Journal'!$D$6:$D$1632,B337,'Journal'!$C$6:$C$1632,A337)</x:f>
        <x:v>0</x:v>
      </x:c>
      <x:c r="G337" s="9" t="n">
        <x:f>ROUND(E337-F337,2)</x:f>
        <x:v>3500</x:v>
      </x:c>
      <x:c r="H337" s="9" t="n">
        <x:f>ROUND(D337+G337,2)</x:f>
        <x:v>17500</x:v>
      </x:c>
    </x:row>
    <x:row r="338" ht="14" customHeight="1">
      <x:c r="A338" s="1" t="n">
        <x:v>5</x:v>
      </x:c>
      <x:c r="B338" s="1" t="str">
        <x:v>6850</x:v>
      </x:c>
      <x:c r="C338" s="1" t="str">
        <x:v>Bürobedarf und übriger Aufwand</x:v>
      </x:c>
      <x:c r="D338" s="9" t="n">
        <x:f>H270</x:f>
        <x:v>8000</x:v>
      </x:c>
      <x:c r="E338" s="9" t="n">
        <x:f>SUMIFS('Journal'!$E$6:$E$1632,'Journal'!$D$6:$D$1632,B338,'Journal'!$C$6:$C$1632,A338)</x:f>
        <x:v>2000</x:v>
      </x:c>
      <x:c r="F338" s="9" t="n">
        <x:f>SUMIFS('Journal'!$F$6:$F$1632,'Journal'!$D$6:$D$1632,B338,'Journal'!$C$6:$C$1632,A338)</x:f>
        <x:v>0</x:v>
      </x:c>
      <x:c r="G338" s="9" t="n">
        <x:f>ROUND(E338-F338,2)</x:f>
        <x:v>2000</x:v>
      </x:c>
      <x:c r="H338" s="9" t="n">
        <x:f>ROUND(D338+G338,2)</x:f>
        <x:v>10000</x:v>
      </x:c>
    </x:row>
    <x:row r="339" ht="14" customHeight="1">
      <x:c r="A339" s="1" t="n">
        <x:v>5</x:v>
      </x:c>
      <x:c r="B339" s="1" t="str">
        <x:v>6855</x:v>
      </x:c>
      <x:c r="C339" s="1" t="str">
        <x:v>Zuführung Abschluss und Urlaubsrückstellungen</x:v>
      </x:c>
      <x:c r="D339" s="9" t="n">
        <x:f>H271</x:f>
        <x:v>0</x:v>
      </x:c>
      <x:c r="E339" s="9" t="n">
        <x:f>SUMIFS('Journal'!$E$6:$E$1632,'Journal'!$D$6:$D$1632,B339,'Journal'!$C$6:$C$1632,A339)</x:f>
        <x:v>0</x:v>
      </x:c>
      <x:c r="F339" s="9" t="n">
        <x:f>SUMIFS('Journal'!$F$6:$F$1632,'Journal'!$D$6:$D$1632,B339,'Journal'!$C$6:$C$1632,A339)</x:f>
        <x:v>0</x:v>
      </x:c>
      <x:c r="G339" s="9" t="n">
        <x:f>ROUND(E339-F339,2)</x:f>
        <x:v>0</x:v>
      </x:c>
      <x:c r="H339" s="9" t="n">
        <x:f>ROUND(D339+G339,2)</x:f>
        <x:v>0</x:v>
      </x:c>
    </x:row>
    <x:row r="340" ht="14" customHeight="1">
      <x:c r="A340" s="1" t="n">
        <x:v>5</x:v>
      </x:c>
      <x:c r="B340" s="1" t="str">
        <x:v>6859</x:v>
      </x:c>
      <x:c r="C340" s="1" t="str">
        <x:v>Bankgebühren</x:v>
      </x:c>
      <x:c r="D340" s="9" t="n">
        <x:f>H272</x:f>
        <x:v>2000</x:v>
      </x:c>
      <x:c r="E340" s="9" t="n">
        <x:f>SUMIFS('Journal'!$E$6:$E$1632,'Journal'!$D$6:$D$1632,B340,'Journal'!$C$6:$C$1632,A340)</x:f>
        <x:v>500</x:v>
      </x:c>
      <x:c r="F340" s="9" t="n">
        <x:f>SUMIFS('Journal'!$F$6:$F$1632,'Journal'!$D$6:$D$1632,B340,'Journal'!$C$6:$C$1632,A340)</x:f>
        <x:v>0</x:v>
      </x:c>
      <x:c r="G340" s="9" t="n">
        <x:f>ROUND(E340-F340,2)</x:f>
        <x:v>500</x:v>
      </x:c>
      <x:c r="H340" s="9" t="n">
        <x:f>ROUND(D340+G340,2)</x:f>
        <x:v>2500</x:v>
      </x:c>
    </x:row>
    <x:row r="341" ht="14" customHeight="1">
      <x:c r="A341" s="1" t="n">
        <x:v>5</x:v>
      </x:c>
      <x:c r="B341" s="1" t="str">
        <x:v>6950</x:v>
      </x:c>
      <x:c r="C341" s="1" t="str">
        <x:v>Zuführung Einzelwertberichtigungen</x:v>
      </x:c>
      <x:c r="D341" s="9" t="n">
        <x:f>H273</x:f>
        <x:v>0</x:v>
      </x:c>
      <x:c r="E341" s="9" t="n">
        <x:f>SUMIFS('Journal'!$E$6:$E$1632,'Journal'!$D$6:$D$1632,B341,'Journal'!$C$6:$C$1632,A341)</x:f>
        <x:v>0</x:v>
      </x:c>
      <x:c r="F341" s="9" t="n">
        <x:f>SUMIFS('Journal'!$F$6:$F$1632,'Journal'!$D$6:$D$1632,B341,'Journal'!$C$6:$C$1632,A341)</x:f>
        <x:v>0</x:v>
      </x:c>
      <x:c r="G341" s="9" t="n">
        <x:f>ROUND(E341-F341,2)</x:f>
        <x:v>0</x:v>
      </x:c>
      <x:c r="H341" s="9" t="n">
        <x:f>ROUND(D341+G341,2)</x:f>
        <x:v>0</x:v>
      </x:c>
    </x:row>
    <x:row r="342" ht="14" customHeight="1">
      <x:c r="A342" s="1" t="n">
        <x:v>5</x:v>
      </x:c>
      <x:c r="B342" s="1" t="str">
        <x:v>7300</x:v>
      </x:c>
      <x:c r="C342" s="1" t="str">
        <x:v>Zinsen Investitionsdarlehen</x:v>
      </x:c>
      <x:c r="D342" s="9" t="n">
        <x:f>H274</x:f>
        <x:v>10000</x:v>
      </x:c>
      <x:c r="E342" s="9" t="n">
        <x:f>SUMIFS('Journal'!$E$6:$E$1632,'Journal'!$D$6:$D$1632,B342,'Journal'!$C$6:$C$1632,A342)</x:f>
        <x:v>2500</x:v>
      </x:c>
      <x:c r="F342" s="9" t="n">
        <x:f>SUMIFS('Journal'!$F$6:$F$1632,'Journal'!$D$6:$D$1632,B342,'Journal'!$C$6:$C$1632,A342)</x:f>
        <x:v>0</x:v>
      </x:c>
      <x:c r="G342" s="9" t="n">
        <x:f>ROUND(E342-F342,2)</x:f>
        <x:v>2500</x:v>
      </x:c>
      <x:c r="H342" s="9" t="n">
        <x:f>ROUND(D342+G342,2)</x:f>
        <x:v>12500</x:v>
      </x:c>
    </x:row>
    <x:row r="343" ht="14" customHeight="1">
      <x:c r="A343" s="1" t="n">
        <x:v>5</x:v>
      </x:c>
      <x:c r="B343" s="1" t="str">
        <x:v>7310</x:v>
      </x:c>
      <x:c r="C343" s="1" t="str">
        <x:v>Zinsen Kontokorrent</x:v>
      </x:c>
      <x:c r="D343" s="9" t="n">
        <x:f>H275</x:f>
        <x:v>4000</x:v>
      </x:c>
      <x:c r="E343" s="9" t="n">
        <x:f>SUMIFS('Journal'!$E$6:$E$1632,'Journal'!$D$6:$D$1632,B343,'Journal'!$C$6:$C$1632,A343)</x:f>
        <x:v>1000</x:v>
      </x:c>
      <x:c r="F343" s="9" t="n">
        <x:f>SUMIFS('Journal'!$F$6:$F$1632,'Journal'!$D$6:$D$1632,B343,'Journal'!$C$6:$C$1632,A343)</x:f>
        <x:v>0</x:v>
      </x:c>
      <x:c r="G343" s="9" t="n">
        <x:f>ROUND(E343-F343,2)</x:f>
        <x:v>1000</x:v>
      </x:c>
      <x:c r="H343" s="9" t="n">
        <x:f>ROUND(D343+G343,2)</x:f>
        <x:v>5000</x:v>
      </x:c>
    </x:row>
    <x:row r="344" ht="14" customHeight="1">
      <x:c r="A344" s="1" t="n">
        <x:v>5</x:v>
      </x:c>
      <x:c r="B344" s="1" t="str">
        <x:v>7320</x:v>
      </x:c>
      <x:c r="C344" s="1" t="str">
        <x:v>Zinsen Gesellschafterdarlehen</x:v>
      </x:c>
      <x:c r="D344" s="9" t="n">
        <x:f>H276</x:f>
        <x:v>0</x:v>
      </x:c>
      <x:c r="E344" s="9" t="n">
        <x:f>SUMIFS('Journal'!$E$6:$E$1632,'Journal'!$D$6:$D$1632,B344,'Journal'!$C$6:$C$1632,A344)</x:f>
        <x:v>0</x:v>
      </x:c>
      <x:c r="F344" s="9" t="n">
        <x:f>SUMIFS('Journal'!$F$6:$F$1632,'Journal'!$D$6:$D$1632,B344,'Journal'!$C$6:$C$1632,A344)</x:f>
        <x:v>0</x:v>
      </x:c>
      <x:c r="G344" s="9" t="n">
        <x:f>ROUND(E344-F344,2)</x:f>
        <x:v>0</x:v>
      </x:c>
      <x:c r="H344" s="9" t="n">
        <x:f>ROUND(D344+G344,2)</x:f>
        <x:v>0</x:v>
      </x:c>
    </x:row>
    <x:row r="345" ht="14" customHeight="1">
      <x:c r="A345" s="1" t="n">
        <x:v>5</x:v>
      </x:c>
      <x:c r="B345" s="1" t="str">
        <x:v>7600</x:v>
      </x:c>
      <x:c r="C345" s="1" t="str">
        <x:v>Ertragsteueraufwand</x:v>
      </x:c>
      <x:c r="D345" s="9" t="n">
        <x:f>H277</x:f>
        <x:v>0</x:v>
      </x:c>
      <x:c r="E345" s="9" t="n">
        <x:f>SUMIFS('Journal'!$E$6:$E$1632,'Journal'!$D$6:$D$1632,B345,'Journal'!$C$6:$C$1632,A345)</x:f>
        <x:v>0</x:v>
      </x:c>
      <x:c r="F345" s="9" t="n">
        <x:f>SUMIFS('Journal'!$F$6:$F$1632,'Journal'!$D$6:$D$1632,B345,'Journal'!$C$6:$C$1632,A345)</x:f>
        <x:v>0</x:v>
      </x:c>
      <x:c r="G345" s="9" t="n">
        <x:f>ROUND(E345-F345,2)</x:f>
        <x:v>0</x:v>
      </x:c>
      <x:c r="H345" s="9" t="n">
        <x:f>ROUND(D345+G345,2)</x:f>
        <x:v>0</x:v>
      </x:c>
    </x:row>
    <x:row r="346" ht="14" customHeight="1">
      <x:c r="A346" s="1" t="n">
        <x:v>6</x:v>
      </x:c>
      <x:c r="B346" s="1" t="str">
        <x:v>0100</x:v>
      </x:c>
      <x:c r="C346" s="1" t="str">
        <x:v>Software</x:v>
      </x:c>
      <x:c r="D346" s="9" t="n">
        <x:f>H278</x:f>
        <x:v>17500</x:v>
      </x:c>
      <x:c r="E346" s="9" t="n">
        <x:f>SUMIFS('Journal'!$E$6:$E$1632,'Journal'!$D$6:$D$1632,B346,'Journal'!$C$6:$C$1632,A346)</x:f>
        <x:v>0</x:v>
      </x:c>
      <x:c r="F346" s="9" t="n">
        <x:f>SUMIFS('Journal'!$F$6:$F$1632,'Journal'!$D$6:$D$1632,B346,'Journal'!$C$6:$C$1632,A346)</x:f>
        <x:v>500</x:v>
      </x:c>
      <x:c r="G346" s="9" t="n">
        <x:f>ROUND(E346-F346,2)</x:f>
        <x:v>-500</x:v>
      </x:c>
      <x:c r="H346" s="9" t="n">
        <x:f>ROUND(D346+G346,2)</x:f>
        <x:v>17000</x:v>
      </x:c>
    </x:row>
    <x:row r="347" ht="14" customHeight="1">
      <x:c r="A347" s="1" t="n">
        <x:v>6</x:v>
      </x:c>
      <x:c r="B347" s="1" t="str">
        <x:v>0400</x:v>
      </x:c>
      <x:c r="C347" s="1" t="str">
        <x:v>Lagereinbauten Erlangen</x:v>
      </x:c>
      <x:c r="D347" s="9" t="n">
        <x:f>H279</x:f>
        <x:v>227500</x:v>
      </x:c>
      <x:c r="E347" s="9" t="n">
        <x:f>SUMIFS('Journal'!$E$6:$E$1632,'Journal'!$D$6:$D$1632,B347,'Journal'!$C$6:$C$1632,A347)</x:f>
        <x:v>0</x:v>
      </x:c>
      <x:c r="F347" s="9" t="n">
        <x:f>SUMIFS('Journal'!$F$6:$F$1632,'Journal'!$D$6:$D$1632,B347,'Journal'!$C$6:$C$1632,A347)</x:f>
        <x:v>2500</x:v>
      </x:c>
      <x:c r="G347" s="9" t="n">
        <x:f>ROUND(E347-F347,2)</x:f>
        <x:v>-2500</x:v>
      </x:c>
      <x:c r="H347" s="9" t="n">
        <x:f>ROUND(D347+G347,2)</x:f>
        <x:v>225000</x:v>
      </x:c>
    </x:row>
    <x:row r="348" ht="14" customHeight="1">
      <x:c r="A348" s="1" t="n">
        <x:v>6</x:v>
      </x:c>
      <x:c r="B348" s="1" t="str">
        <x:v>0520</x:v>
      </x:c>
      <x:c r="C348" s="1" t="str">
        <x:v>Flurförderzeuge</x:v>
      </x:c>
      <x:c r="D348" s="9" t="n">
        <x:f>H280</x:f>
        <x:v>128500</x:v>
      </x:c>
      <x:c r="E348" s="9" t="n">
        <x:f>SUMIFS('Journal'!$E$6:$E$1632,'Journal'!$D$6:$D$1632,B348,'Journal'!$C$6:$C$1632,A348)</x:f>
        <x:v>0</x:v>
      </x:c>
      <x:c r="F348" s="9" t="n">
        <x:f>SUMIFS('Journal'!$F$6:$F$1632,'Journal'!$D$6:$D$1632,B348,'Journal'!$C$6:$C$1632,A348)</x:f>
        <x:v>1500</x:v>
      </x:c>
      <x:c r="G348" s="9" t="n">
        <x:f>ROUND(E348-F348,2)</x:f>
        <x:v>-1500</x:v>
      </x:c>
      <x:c r="H348" s="9" t="n">
        <x:f>ROUND(D348+G348,2)</x:f>
        <x:v>127000</x:v>
      </x:c>
    </x:row>
    <x:row r="349" ht="14" customHeight="1">
      <x:c r="A349" s="1" t="n">
        <x:v>6</x:v>
      </x:c>
      <x:c r="B349" s="1" t="str">
        <x:v>0650</x:v>
      </x:c>
      <x:c r="C349" s="1" t="str">
        <x:v>IT und Kommunikation</x:v>
      </x:c>
      <x:c r="D349" s="9" t="n">
        <x:f>H281</x:f>
        <x:v>70000</x:v>
      </x:c>
      <x:c r="E349" s="9" t="n">
        <x:f>SUMIFS('Journal'!$E$6:$E$1632,'Journal'!$D$6:$D$1632,B349,'Journal'!$C$6:$C$1632,A349)</x:f>
        <x:v>0</x:v>
      </x:c>
      <x:c r="F349" s="9" t="n">
        <x:f>SUMIFS('Journal'!$F$6:$F$1632,'Journal'!$D$6:$D$1632,B349,'Journal'!$C$6:$C$1632,A349)</x:f>
        <x:v>2000</x:v>
      </x:c>
      <x:c r="G349" s="9" t="n">
        <x:f>ROUND(E349-F349,2)</x:f>
        <x:v>-2000</x:v>
      </x:c>
      <x:c r="H349" s="9" t="n">
        <x:f>ROUND(D349+G349,2)</x:f>
        <x:v>68000</x:v>
      </x:c>
    </x:row>
    <x:row r="350" ht="14" customHeight="1">
      <x:c r="A350" s="1" t="n">
        <x:v>6</x:v>
      </x:c>
      <x:c r="B350" s="1" t="str">
        <x:v>0670</x:v>
      </x:c>
      <x:c r="C350" s="1" t="str">
        <x:v>Büroausstattung</x:v>
      </x:c>
      <x:c r="D350" s="9" t="n">
        <x:f>H282</x:f>
        <x:v>55000</x:v>
      </x:c>
      <x:c r="E350" s="9" t="n">
        <x:f>SUMIFS('Journal'!$E$6:$E$1632,'Journal'!$D$6:$D$1632,B350,'Journal'!$C$6:$C$1632,A350)</x:f>
        <x:v>0</x:v>
      </x:c>
      <x:c r="F350" s="9" t="n">
        <x:f>SUMIFS('Journal'!$F$6:$F$1632,'Journal'!$D$6:$D$1632,B350,'Journal'!$C$6:$C$1632,A350)</x:f>
        <x:v>1000</x:v>
      </x:c>
      <x:c r="G350" s="9" t="n">
        <x:f>ROUND(E350-F350,2)</x:f>
        <x:v>-1000</x:v>
      </x:c>
      <x:c r="H350" s="9" t="n">
        <x:f>ROUND(D350+G350,2)</x:f>
        <x:v>54000</x:v>
      </x:c>
    </x:row>
    <x:row r="351" ht="14" customHeight="1">
      <x:c r="A351" s="1" t="n">
        <x:v>6</x:v>
      </x:c>
      <x:c r="B351" s="1" t="str">
        <x:v>1140</x:v>
      </x:c>
      <x:c r="C351" s="1" t="str">
        <x:v>Warenbestand</x:v>
      </x:c>
      <x:c r="D351" s="9" t="n">
        <x:f>H283</x:f>
        <x:v>710000</x:v>
      </x:c>
      <x:c r="E351" s="9" t="n">
        <x:f>SUMIFS('Journal'!$E$6:$E$1632,'Journal'!$D$6:$D$1632,B351,'Journal'!$C$6:$C$1632,A351)</x:f>
        <x:v>384615</x:v>
      </x:c>
      <x:c r="F351" s="9" t="n">
        <x:f>SUMIFS('Journal'!$F$6:$F$1632,'Journal'!$D$6:$D$1632,B351,'Journal'!$C$6:$C$1632,A351)</x:f>
        <x:v>394615</x:v>
      </x:c>
      <x:c r="G351" s="9" t="n">
        <x:f>ROUND(E351-F351,2)</x:f>
        <x:v>-10000</x:v>
      </x:c>
      <x:c r="H351" s="9" t="n">
        <x:f>ROUND(D351+G351,2)</x:f>
        <x:v>700000</x:v>
      </x:c>
    </x:row>
    <x:row r="352" ht="14" customHeight="1">
      <x:c r="A352" s="1" t="n">
        <x:v>6</x:v>
      </x:c>
      <x:c r="B352" s="1" t="str">
        <x:v>1200</x:v>
      </x:c>
      <x:c r="C352" s="1" t="str">
        <x:v>Forderungen aus Lieferungen und Leistungen</x:v>
      </x:c>
      <x:c r="D352" s="9" t="n">
        <x:f>H284</x:f>
        <x:v>800000</x:v>
      </x:c>
      <x:c r="E352" s="9" t="n">
        <x:f>SUMIFS('Journal'!$E$6:$E$1632,'Journal'!$D$6:$D$1632,B352,'Journal'!$C$6:$C$1632,A352)</x:f>
        <x:v>644404</x:v>
      </x:c>
      <x:c r="F352" s="9" t="n">
        <x:f>SUMIFS('Journal'!$F$6:$F$1632,'Journal'!$D$6:$D$1632,B352,'Journal'!$C$6:$C$1632,A352)</x:f>
        <x:v>664404</x:v>
      </x:c>
      <x:c r="G352" s="9" t="n">
        <x:f>ROUND(E352-F352,2)</x:f>
        <x:v>-20000</x:v>
      </x:c>
      <x:c r="H352" s="9" t="n">
        <x:f>ROUND(D352+G352,2)</x:f>
        <x:v>780000</x:v>
      </x:c>
    </x:row>
    <x:row r="353" ht="14" customHeight="1">
      <x:c r="A353" s="1" t="n">
        <x:v>6</x:v>
      </x:c>
      <x:c r="B353" s="1" t="str">
        <x:v>1248</x:v>
      </x:c>
      <x:c r="C353" s="1" t="str">
        <x:v>Einzelwertberichtigungen zu Forderungen</x:v>
      </x:c>
      <x:c r="D353" s="9" t="n">
        <x:f>H285</x:f>
        <x:v>-20000</x:v>
      </x:c>
      <x:c r="E353" s="9" t="n">
        <x:f>SUMIFS('Journal'!$E$6:$E$1632,'Journal'!$D$6:$D$1632,B353,'Journal'!$C$6:$C$1632,A353)</x:f>
        <x:v>0</x:v>
      </x:c>
      <x:c r="F353" s="9" t="n">
        <x:f>SUMIFS('Journal'!$F$6:$F$1632,'Journal'!$D$6:$D$1632,B353,'Journal'!$C$6:$C$1632,A353)</x:f>
        <x:v>0</x:v>
      </x:c>
      <x:c r="G353" s="9" t="n">
        <x:f>ROUND(E353-F353,2)</x:f>
        <x:v>0</x:v>
      </x:c>
      <x:c r="H353" s="9" t="n">
        <x:f>ROUND(D353+G353,2)</x:f>
        <x:v>-20000</x:v>
      </x:c>
    </x:row>
    <x:row r="354" ht="14" customHeight="1">
      <x:c r="A354" s="1" t="n">
        <x:v>6</x:v>
      </x:c>
      <x:c r="B354" s="1" t="str">
        <x:v>1300</x:v>
      </x:c>
      <x:c r="C354" s="1" t="str">
        <x:v>Geleistete Lieferantenanzahlungen</x:v>
      </x:c>
      <x:c r="D354" s="9" t="n">
        <x:f>H286</x:f>
        <x:v>100000</x:v>
      </x:c>
      <x:c r="E354" s="9" t="n">
        <x:f>SUMIFS('Journal'!$E$6:$E$1632,'Journal'!$D$6:$D$1632,B354,'Journal'!$C$6:$C$1632,A354)</x:f>
        <x:v>0</x:v>
      </x:c>
      <x:c r="F354" s="9" t="n">
        <x:f>SUMIFS('Journal'!$F$6:$F$1632,'Journal'!$D$6:$D$1632,B354,'Journal'!$C$6:$C$1632,A354)</x:f>
        <x:v>0</x:v>
      </x:c>
      <x:c r="G354" s="9" t="n">
        <x:f>ROUND(E354-F354,2)</x:f>
        <x:v>0</x:v>
      </x:c>
      <x:c r="H354" s="9" t="n">
        <x:f>ROUND(D354+G354,2)</x:f>
        <x:v>100000</x:v>
      </x:c>
    </x:row>
    <x:row r="355" ht="14" customHeight="1">
      <x:c r="A355" s="1" t="n">
        <x:v>6</x:v>
      </x:c>
      <x:c r="B355" s="1" t="str">
        <x:v>1350</x:v>
      </x:c>
      <x:c r="C355" s="1" t="str">
        <x:v>Mietkaution Erlangen</x:v>
      </x:c>
      <x:c r="D355" s="9" t="n">
        <x:f>H287</x:f>
        <x:v>25000</x:v>
      </x:c>
      <x:c r="E355" s="9" t="n">
        <x:f>SUMIFS('Journal'!$E$6:$E$1632,'Journal'!$D$6:$D$1632,B355,'Journal'!$C$6:$C$1632,A355)</x:f>
        <x:v>0</x:v>
      </x:c>
      <x:c r="F355" s="9" t="n">
        <x:f>SUMIFS('Journal'!$F$6:$F$1632,'Journal'!$D$6:$D$1632,B355,'Journal'!$C$6:$C$1632,A355)</x:f>
        <x:v>0</x:v>
      </x:c>
      <x:c r="G355" s="9" t="n">
        <x:f>ROUND(E355-F355,2)</x:f>
        <x:v>0</x:v>
      </x:c>
      <x:c r="H355" s="9" t="n">
        <x:f>ROUND(D355+G355,2)</x:f>
        <x:v>25000</x:v>
      </x:c>
    </x:row>
    <x:row r="356" ht="14" customHeight="1">
      <x:c r="A356" s="1" t="n">
        <x:v>6</x:v>
      </x:c>
      <x:c r="B356" s="1" t="str">
        <x:v>1401</x:v>
      </x:c>
      <x:c r="C356" s="1" t="str">
        <x:v>Vorsteuer Inland 7 Prozent</x:v>
      </x:c>
      <x:c r="D356" s="9" t="n">
        <x:f>H288</x:f>
        <x:v>0</x:v>
      </x:c>
      <x:c r="E356" s="9" t="n">
        <x:f>SUMIFS('Journal'!$E$6:$E$1632,'Journal'!$D$6:$D$1632,B356,'Journal'!$C$6:$C$1632,A356)</x:f>
        <x:v>10230.76</x:v>
      </x:c>
      <x:c r="F356" s="9" t="n">
        <x:f>SUMIFS('Journal'!$F$6:$F$1632,'Journal'!$D$6:$D$1632,B356,'Journal'!$C$6:$C$1632,A356)</x:f>
        <x:v>10230.76</x:v>
      </x:c>
      <x:c r="G356" s="9" t="n">
        <x:f>ROUND(E356-F356,2)</x:f>
        <x:v>0</x:v>
      </x:c>
      <x:c r="H356" s="9" t="n">
        <x:f>ROUND(D356+G356,2)</x:f>
        <x:v>0</x:v>
      </x:c>
    </x:row>
    <x:row r="357" ht="14" customHeight="1">
      <x:c r="A357" s="1" t="n">
        <x:v>6</x:v>
      </x:c>
      <x:c r="B357" s="1" t="str">
        <x:v>1406</x:v>
      </x:c>
      <x:c r="C357" s="1" t="str">
        <x:v>Vorsteuer Inland 19 Prozent</x:v>
      </x:c>
      <x:c r="D357" s="9" t="n">
        <x:f>H289</x:f>
        <x:v>0</x:v>
      </x:c>
      <x:c r="E357" s="9" t="n">
        <x:f>SUMIFS('Journal'!$E$6:$E$1632,'Journal'!$D$6:$D$1632,B357,'Journal'!$C$6:$C$1632,A357)</x:f>
        <x:v>18700.38</x:v>
      </x:c>
      <x:c r="F357" s="9" t="n">
        <x:f>SUMIFS('Journal'!$F$6:$F$1632,'Journal'!$D$6:$D$1632,B357,'Journal'!$C$6:$C$1632,A357)</x:f>
        <x:v>18700.38</x:v>
      </x:c>
      <x:c r="G357" s="9" t="n">
        <x:f>ROUND(E357-F357,2)</x:f>
        <x:v>0</x:v>
      </x:c>
      <x:c r="H357" s="9" t="n">
        <x:f>ROUND(D357+G357,2)</x:f>
        <x:v>0</x:v>
      </x:c>
    </x:row>
    <x:row r="358" ht="14" customHeight="1">
      <x:c r="A358" s="1" t="n">
        <x:v>6</x:v>
      </x:c>
      <x:c r="B358" s="1" t="str">
        <x:v>1404</x:v>
      </x:c>
      <x:c r="C358" s="1" t="str">
        <x:v>Vorsteuer EU Erwerb 7 Prozent</x:v>
      </x:c>
      <x:c r="D358" s="9" t="n">
        <x:f>H290</x:f>
        <x:v>0</x:v>
      </x:c>
      <x:c r="E358" s="9" t="n">
        <x:f>SUMIFS('Journal'!$E$6:$E$1632,'Journal'!$D$6:$D$1632,B358,'Journal'!$C$6:$C$1632,A358)</x:f>
        <x:v>5384.61</x:v>
      </x:c>
      <x:c r="F358" s="9" t="n">
        <x:f>SUMIFS('Journal'!$F$6:$F$1632,'Journal'!$D$6:$D$1632,B358,'Journal'!$C$6:$C$1632,A358)</x:f>
        <x:v>5384.61</x:v>
      </x:c>
      <x:c r="G358" s="9" t="n">
        <x:f>ROUND(E358-F358,2)</x:f>
        <x:v>0</x:v>
      </x:c>
      <x:c r="H358" s="9" t="n">
        <x:f>ROUND(D358+G358,2)</x:f>
        <x:v>0</x:v>
      </x:c>
    </x:row>
    <x:row r="359" ht="14" customHeight="1">
      <x:c r="A359" s="1" t="n">
        <x:v>6</x:v>
      </x:c>
      <x:c r="B359" s="1" t="str">
        <x:v>1409</x:v>
      </x:c>
      <x:c r="C359" s="1" t="str">
        <x:v>Vorsteuer EU Erwerb 19 Prozent</x:v>
      </x:c>
      <x:c r="D359" s="9" t="n">
        <x:f>H291</x:f>
        <x:v>0</x:v>
      </x:c>
      <x:c r="E359" s="9" t="n">
        <x:f>SUMIFS('Journal'!$E$6:$E$1632,'Journal'!$D$6:$D$1632,B359,'Journal'!$C$6:$C$1632,A359)</x:f>
        <x:v>3653.84</x:v>
      </x:c>
      <x:c r="F359" s="9" t="n">
        <x:f>SUMIFS('Journal'!$F$6:$F$1632,'Journal'!$D$6:$D$1632,B359,'Journal'!$C$6:$C$1632,A359)</x:f>
        <x:v>3653.84</x:v>
      </x:c>
      <x:c r="G359" s="9" t="n">
        <x:f>ROUND(E359-F359,2)</x:f>
        <x:v>0</x:v>
      </x:c>
      <x:c r="H359" s="9" t="n">
        <x:f>ROUND(D359+G359,2)</x:f>
        <x:v>0</x:v>
      </x:c>
    </x:row>
    <x:row r="360" ht="14" customHeight="1">
      <x:c r="A360" s="1" t="n">
        <x:v>6</x:v>
      </x:c>
      <x:c r="B360" s="1" t="str">
        <x:v>1433</x:v>
      </x:c>
      <x:c r="C360" s="1" t="str">
        <x:v>Einfuhrumsatzsteuer</x:v>
      </x:c>
      <x:c r="D360" s="9" t="n">
        <x:f>H292</x:f>
        <x:v>0</x:v>
      </x:c>
      <x:c r="E360" s="9" t="n">
        <x:f>SUMIFS('Journal'!$E$6:$E$1632,'Journal'!$D$6:$D$1632,B360,'Journal'!$C$6:$C$1632,A360)</x:f>
        <x:v>9461.53</x:v>
      </x:c>
      <x:c r="F360" s="9" t="n">
        <x:f>SUMIFS('Journal'!$F$6:$F$1632,'Journal'!$D$6:$D$1632,B360,'Journal'!$C$6:$C$1632,A360)</x:f>
        <x:v>9461.53</x:v>
      </x:c>
      <x:c r="G360" s="9" t="n">
        <x:f>ROUND(E360-F360,2)</x:f>
        <x:v>0</x:v>
      </x:c>
      <x:c r="H360" s="9" t="n">
        <x:f>ROUND(D360+G360,2)</x:f>
        <x:v>0</x:v>
      </x:c>
    </x:row>
    <x:row r="361" ht="14" customHeight="1">
      <x:c r="A361" s="1" t="n">
        <x:v>6</x:v>
      </x:c>
      <x:c r="B361" s="1" t="str">
        <x:v>1600</x:v>
      </x:c>
      <x:c r="C361" s="1" t="str">
        <x:v>Kasse</x:v>
      </x:c>
      <x:c r="D361" s="9" t="n">
        <x:f>H293</x:f>
        <x:v>3000</x:v>
      </x:c>
      <x:c r="E361" s="9" t="n">
        <x:f>SUMIFS('Journal'!$E$6:$E$1632,'Journal'!$D$6:$D$1632,B361,'Journal'!$C$6:$C$1632,A361)</x:f>
        <x:v>300</x:v>
      </x:c>
      <x:c r="F361" s="9" t="n">
        <x:f>SUMIFS('Journal'!$F$6:$F$1632,'Journal'!$D$6:$D$1632,B361,'Journal'!$C$6:$C$1632,A361)</x:f>
        <x:v>300</x:v>
      </x:c>
      <x:c r="G361" s="9" t="n">
        <x:f>ROUND(E361-F361,2)</x:f>
        <x:v>0</x:v>
      </x:c>
      <x:c r="H361" s="9" t="n">
        <x:f>ROUND(D361+G361,2)</x:f>
        <x:v>3000</x:v>
      </x:c>
    </x:row>
    <x:row r="362" ht="14" customHeight="1">
      <x:c r="A362" s="1" t="n">
        <x:v>6</x:v>
      </x:c>
      <x:c r="B362" s="1" t="str">
        <x:v>1800</x:v>
      </x:c>
      <x:c r="C362" s="1" t="str">
        <x:v>Bank Frankenbogen Geschäftskonto</x:v>
      </x:c>
      <x:c r="D362" s="9" t="n">
        <x:f>H294</x:f>
        <x:v>61001.29</x:v>
      </x:c>
      <x:c r="E362" s="9" t="n">
        <x:f>SUMIFS('Journal'!$E$6:$E$1632,'Journal'!$D$6:$D$1632,B362,'Journal'!$C$6:$C$1632,A362)</x:f>
        <x:v>678993.4099999999</x:v>
      </x:c>
      <x:c r="F362" s="9" t="n">
        <x:f>SUMIFS('Journal'!$F$6:$F$1632,'Journal'!$D$6:$D$1632,B362,'Journal'!$C$6:$C$1632,A362)</x:f>
        <x:v>657007.67</x:v>
      </x:c>
      <x:c r="G362" s="9" t="n">
        <x:f>ROUND(E362-F362,2)</x:f>
        <x:v>21985.74</x:v>
      </x:c>
      <x:c r="H362" s="9" t="n">
        <x:f>ROUND(D362+G362,2)</x:f>
        <x:v>82987.03</x:v>
      </x:c>
    </x:row>
    <x:row r="363" ht="14" customHeight="1">
      <x:c r="A363" s="1" t="n">
        <x:v>6</x:v>
      </x:c>
      <x:c r="B363" s="1" t="str">
        <x:v>1900</x:v>
      </x:c>
      <x:c r="C363" s="1" t="str">
        <x:v>Aktive Rechnungsabgrenzung</x:v>
      </x:c>
      <x:c r="D363" s="9" t="n">
        <x:f>H295</x:f>
        <x:v>3000</x:v>
      </x:c>
      <x:c r="E363" s="9" t="n">
        <x:f>SUMIFS('Journal'!$E$6:$E$1632,'Journal'!$D$6:$D$1632,B363,'Journal'!$C$6:$C$1632,A363)</x:f>
        <x:v>0</x:v>
      </x:c>
      <x:c r="F363" s="9" t="n">
        <x:f>SUMIFS('Journal'!$F$6:$F$1632,'Journal'!$D$6:$D$1632,B363,'Journal'!$C$6:$C$1632,A363)</x:f>
        <x:v>3000</x:v>
      </x:c>
      <x:c r="G363" s="9" t="n">
        <x:f>ROUND(E363-F363,2)</x:f>
        <x:v>-3000</x:v>
      </x:c>
      <x:c r="H363" s="9" t="n">
        <x:f>ROUND(D363+G363,2)</x:f>
        <x:v>0</x:v>
      </x:c>
    </x:row>
    <x:row r="364" ht="14" customHeight="1">
      <x:c r="A364" s="1" t="n">
        <x:v>6</x:v>
      </x:c>
      <x:c r="B364" s="1" t="str">
        <x:v>2900</x:v>
      </x:c>
      <x:c r="C364" s="1" t="str">
        <x:v>Gezeichnetes Kapital</x:v>
      </x:c>
      <x:c r="D364" s="9" t="n">
        <x:f>H296</x:f>
        <x:v>-100000</x:v>
      </x:c>
      <x:c r="E364" s="9" t="n">
        <x:f>SUMIFS('Journal'!$E$6:$E$1632,'Journal'!$D$6:$D$1632,B364,'Journal'!$C$6:$C$1632,A364)</x:f>
        <x:v>0</x:v>
      </x:c>
      <x:c r="F364" s="9" t="n">
        <x:f>SUMIFS('Journal'!$F$6:$F$1632,'Journal'!$D$6:$D$1632,B364,'Journal'!$C$6:$C$1632,A364)</x:f>
        <x:v>0</x:v>
      </x:c>
      <x:c r="G364" s="9" t="n">
        <x:f>ROUND(E364-F364,2)</x:f>
        <x:v>0</x:v>
      </x:c>
      <x:c r="H364" s="9" t="n">
        <x:f>ROUND(D364+G364,2)</x:f>
        <x:v>-100000</x:v>
      </x:c>
    </x:row>
    <x:row r="365" ht="14" customHeight="1">
      <x:c r="A365" s="1" t="n">
        <x:v>6</x:v>
      </x:c>
      <x:c r="B365" s="1" t="str">
        <x:v>2970</x:v>
      </x:c>
      <x:c r="C365" s="1" t="str">
        <x:v>Gewinnvortrag bis 2023</x:v>
      </x:c>
      <x:c r="D365" s="9" t="n">
        <x:f>H297</x:f>
        <x:v>-705000</x:v>
      </x:c>
      <x:c r="E365" s="9" t="n">
        <x:f>SUMIFS('Journal'!$E$6:$E$1632,'Journal'!$D$6:$D$1632,B365,'Journal'!$C$6:$C$1632,A365)</x:f>
        <x:v>0</x:v>
      </x:c>
      <x:c r="F365" s="9" t="n">
        <x:f>SUMIFS('Journal'!$F$6:$F$1632,'Journal'!$D$6:$D$1632,B365,'Journal'!$C$6:$C$1632,A365)</x:f>
        <x:v>0</x:v>
      </x:c>
      <x:c r="G365" s="9" t="n">
        <x:f>ROUND(E365-F365,2)</x:f>
        <x:v>0</x:v>
      </x:c>
      <x:c r="H365" s="9" t="n">
        <x:f>ROUND(D365+G365,2)</x:f>
        <x:v>-705000</x:v>
      </x:c>
    </x:row>
    <x:row r="366" ht="14" customHeight="1">
      <x:c r="A366" s="1" t="n">
        <x:v>6</x:v>
      </x:c>
      <x:c r="B366" s="1" t="str">
        <x:v>2978</x:v>
      </x:c>
      <x:c r="C366" s="1" t="str">
        <x:v>Ergebnisvortrag 2024</x:v>
      </x:c>
      <x:c r="D366" s="9" t="n">
        <x:f>H298</x:f>
        <x:v>0</x:v>
      </x:c>
      <x:c r="E366" s="9" t="n">
        <x:f>SUMIFS('Journal'!$E$6:$E$1632,'Journal'!$D$6:$D$1632,B366,'Journal'!$C$6:$C$1632,A366)</x:f>
        <x:v>0</x:v>
      </x:c>
      <x:c r="F366" s="9" t="n">
        <x:f>SUMIFS('Journal'!$F$6:$F$1632,'Journal'!$D$6:$D$1632,B366,'Journal'!$C$6:$C$1632,A366)</x:f>
        <x:v>0</x:v>
      </x:c>
      <x:c r="G366" s="9" t="n">
        <x:f>ROUND(E366-F366,2)</x:f>
        <x:v>0</x:v>
      </x:c>
      <x:c r="H366" s="9" t="n">
        <x:f>ROUND(D366+G366,2)</x:f>
        <x:v>0</x:v>
      </x:c>
    </x:row>
    <x:row r="367" ht="14" customHeight="1">
      <x:c r="A367" s="1" t="n">
        <x:v>6</x:v>
      </x:c>
      <x:c r="B367" s="1" t="str">
        <x:v>3090</x:v>
      </x:c>
      <x:c r="C367" s="1" t="str">
        <x:v>Rückstellungen Abschluss und Urlaub</x:v>
      </x:c>
      <x:c r="D367" s="9" t="n">
        <x:f>H299</x:f>
        <x:v>-45000</x:v>
      </x:c>
      <x:c r="E367" s="9" t="n">
        <x:f>SUMIFS('Journal'!$E$6:$E$1632,'Journal'!$D$6:$D$1632,B367,'Journal'!$C$6:$C$1632,A367)</x:f>
        <x:v>0</x:v>
      </x:c>
      <x:c r="F367" s="9" t="n">
        <x:f>SUMIFS('Journal'!$F$6:$F$1632,'Journal'!$D$6:$D$1632,B367,'Journal'!$C$6:$C$1632,A367)</x:f>
        <x:v>0</x:v>
      </x:c>
      <x:c r="G367" s="9" t="n">
        <x:f>ROUND(E367-F367,2)</x:f>
        <x:v>0</x:v>
      </x:c>
      <x:c r="H367" s="9" t="n">
        <x:f>ROUND(D367+G367,2)</x:f>
        <x:v>-45000</x:v>
      </x:c>
    </x:row>
    <x:row r="368" ht="14" customHeight="1">
      <x:c r="A368" s="1" t="n">
        <x:v>6</x:v>
      </x:c>
      <x:c r="B368" s="1" t="str">
        <x:v>3150</x:v>
      </x:c>
      <x:c r="C368" s="1" t="str">
        <x:v>Investitionsdarlehen Frankenbogen</x:v>
      </x:c>
      <x:c r="D368" s="9" t="n">
        <x:f>H300</x:f>
        <x:v>-550000</x:v>
      </x:c>
      <x:c r="E368" s="9" t="n">
        <x:f>SUMIFS('Journal'!$E$6:$E$1632,'Journal'!$D$6:$D$1632,B368,'Journal'!$C$6:$C$1632,A368)</x:f>
        <x:v>10000</x:v>
      </x:c>
      <x:c r="F368" s="9" t="n">
        <x:f>SUMIFS('Journal'!$F$6:$F$1632,'Journal'!$D$6:$D$1632,B368,'Journal'!$C$6:$C$1632,A368)</x:f>
        <x:v>0</x:v>
      </x:c>
      <x:c r="G368" s="9" t="n">
        <x:f>ROUND(E368-F368,2)</x:f>
        <x:v>10000</x:v>
      </x:c>
      <x:c r="H368" s="9" t="n">
        <x:f>ROUND(D368+G368,2)</x:f>
        <x:v>-540000</x:v>
      </x:c>
    </x:row>
    <x:row r="369" ht="14" customHeight="1">
      <x:c r="A369" s="1" t="n">
        <x:v>6</x:v>
      </x:c>
      <x:c r="B369" s="1" t="str">
        <x:v>3160</x:v>
      </x:c>
      <x:c r="C369" s="1" t="str">
        <x:v>Gesellschafterdarlehen</x:v>
      </x:c>
      <x:c r="D369" s="9" t="n">
        <x:f>H301</x:f>
        <x:v>0</x:v>
      </x:c>
      <x:c r="E369" s="9" t="n">
        <x:f>SUMIFS('Journal'!$E$6:$E$1632,'Journal'!$D$6:$D$1632,B369,'Journal'!$C$6:$C$1632,A369)</x:f>
        <x:v>0</x:v>
      </x:c>
      <x:c r="F369" s="9" t="n">
        <x:f>SUMIFS('Journal'!$F$6:$F$1632,'Journal'!$D$6:$D$1632,B369,'Journal'!$C$6:$C$1632,A369)</x:f>
        <x:v>0</x:v>
      </x:c>
      <x:c r="G369" s="9" t="n">
        <x:f>ROUND(E369-F369,2)</x:f>
        <x:v>0</x:v>
      </x:c>
      <x:c r="H369" s="9" t="n">
        <x:f>ROUND(D369+G369,2)</x:f>
        <x:v>0</x:v>
      </x:c>
    </x:row>
    <x:row r="370" ht="14" customHeight="1">
      <x:c r="A370" s="1" t="n">
        <x:v>6</x:v>
      </x:c>
      <x:c r="B370" s="1" t="str">
        <x:v>3300</x:v>
      </x:c>
      <x:c r="C370" s="1" t="str">
        <x:v>Verbindlichkeiten aus Lieferungen und Leistungen</x:v>
      </x:c>
      <x:c r="D370" s="9" t="n">
        <x:f>H302</x:f>
        <x:v>-680000</x:v>
      </x:c>
      <x:c r="E370" s="9" t="n">
        <x:f>SUMIFS('Journal'!$E$6:$E$1632,'Journal'!$D$6:$D$1632,B370,'Journal'!$C$6:$C$1632,A370)</x:f>
        <x:v>517746.14</x:v>
      </x:c>
      <x:c r="F370" s="9" t="n">
        <x:f>SUMIFS('Journal'!$F$6:$F$1632,'Journal'!$D$6:$D$1632,B370,'Journal'!$C$6:$C$1632,A370)</x:f>
        <x:v>487746.14</x:v>
      </x:c>
      <x:c r="G370" s="9" t="n">
        <x:f>ROUND(E370-F370,2)</x:f>
        <x:v>30000</x:v>
      </x:c>
      <x:c r="H370" s="9" t="n">
        <x:f>ROUND(D370+G370,2)</x:f>
        <x:v>-650000</x:v>
      </x:c>
    </x:row>
    <x:row r="371" ht="14" customHeight="1">
      <x:c r="A371" s="1" t="n">
        <x:v>6</x:v>
      </x:c>
      <x:c r="B371" s="1" t="str">
        <x:v>3500</x:v>
      </x:c>
      <x:c r="C371" s="1" t="str">
        <x:v>Sonstige Verbindlichkeiten</x:v>
      </x:c>
      <x:c r="D371" s="9" t="n">
        <x:f>H303</x:f>
        <x:v>-22000</x:v>
      </x:c>
      <x:c r="E371" s="9" t="n">
        <x:f>SUMIFS('Journal'!$E$6:$E$1632,'Journal'!$D$6:$D$1632,B371,'Journal'!$C$6:$C$1632,A371)</x:f>
        <x:v>0</x:v>
      </x:c>
      <x:c r="F371" s="9" t="n">
        <x:f>SUMIFS('Journal'!$F$6:$F$1632,'Journal'!$D$6:$D$1632,B371,'Journal'!$C$6:$C$1632,A371)</x:f>
        <x:v>0</x:v>
      </x:c>
      <x:c r="G371" s="9" t="n">
        <x:f>ROUND(E371-F371,2)</x:f>
        <x:v>0</x:v>
      </x:c>
      <x:c r="H371" s="9" t="n">
        <x:f>ROUND(D371+G371,2)</x:f>
        <x:v>-22000</x:v>
      </x:c>
    </x:row>
    <x:row r="372" ht="14" customHeight="1">
      <x:c r="A372" s="1" t="n">
        <x:v>6</x:v>
      </x:c>
      <x:c r="B372" s="1" t="str">
        <x:v>3720</x:v>
      </x:c>
      <x:c r="C372" s="1" t="str">
        <x:v>Verbindlichkeiten Nettolöhne</x:v>
      </x:c>
      <x:c r="D372" s="9" t="n">
        <x:f>H304</x:f>
        <x:v>0</x:v>
      </x:c>
      <x:c r="E372" s="9" t="n">
        <x:f>SUMIFS('Journal'!$E$6:$E$1632,'Journal'!$D$6:$D$1632,B372,'Journal'!$C$6:$C$1632,A372)</x:f>
        <x:v>56760</x:v>
      </x:c>
      <x:c r="F372" s="9" t="n">
        <x:f>SUMIFS('Journal'!$F$6:$F$1632,'Journal'!$D$6:$D$1632,B372,'Journal'!$C$6:$C$1632,A372)</x:f>
        <x:v>56760</x:v>
      </x:c>
      <x:c r="G372" s="9" t="n">
        <x:f>ROUND(E372-F372,2)</x:f>
        <x:v>0</x:v>
      </x:c>
      <x:c r="H372" s="9" t="n">
        <x:f>ROUND(D372+G372,2)</x:f>
        <x:v>0</x:v>
      </x:c>
    </x:row>
    <x:row r="373" ht="14" customHeight="1">
      <x:c r="A373" s="1" t="n">
        <x:v>6</x:v>
      </x:c>
      <x:c r="B373" s="1" t="str">
        <x:v>3730</x:v>
      </x:c>
      <x:c r="C373" s="1" t="str">
        <x:v>Verbindlichkeiten Lohnsteuer</x:v>
      </x:c>
      <x:c r="D373" s="9" t="n">
        <x:f>H305</x:f>
        <x:v>-12900</x:v>
      </x:c>
      <x:c r="E373" s="9" t="n">
        <x:f>SUMIFS('Journal'!$E$6:$E$1632,'Journal'!$D$6:$D$1632,B373,'Journal'!$C$6:$C$1632,A373)</x:f>
        <x:v>12900</x:v>
      </x:c>
      <x:c r="F373" s="9" t="n">
        <x:f>SUMIFS('Journal'!$F$6:$F$1632,'Journal'!$D$6:$D$1632,B373,'Journal'!$C$6:$C$1632,A373)</x:f>
        <x:v>12900</x:v>
      </x:c>
      <x:c r="G373" s="9" t="n">
        <x:f>ROUND(E373-F373,2)</x:f>
        <x:v>0</x:v>
      </x:c>
      <x:c r="H373" s="9" t="n">
        <x:f>ROUND(D373+G373,2)</x:f>
        <x:v>-12900</x:v>
      </x:c>
    </x:row>
    <x:row r="374" ht="14" customHeight="1">
      <x:c r="A374" s="1" t="n">
        <x:v>6</x:v>
      </x:c>
      <x:c r="B374" s="1" t="str">
        <x:v>3740</x:v>
      </x:c>
      <x:c r="C374" s="1" t="str">
        <x:v>Verbindlichkeiten Sozialversicherung</x:v>
      </x:c>
      <x:c r="D374" s="9" t="n">
        <x:f>H306</x:f>
        <x:v>0</x:v>
      </x:c>
      <x:c r="E374" s="9" t="n">
        <x:f>SUMIFS('Journal'!$E$6:$E$1632,'Journal'!$D$6:$D$1632,B374,'Journal'!$C$6:$C$1632,A374)</x:f>
        <x:v>34340</x:v>
      </x:c>
      <x:c r="F374" s="9" t="n">
        <x:f>SUMIFS('Journal'!$F$6:$F$1632,'Journal'!$D$6:$D$1632,B374,'Journal'!$C$6:$C$1632,A374)</x:f>
        <x:v>34340</x:v>
      </x:c>
      <x:c r="G374" s="9" t="n">
        <x:f>ROUND(E374-F374,2)</x:f>
        <x:v>0</x:v>
      </x:c>
      <x:c r="H374" s="9" t="n">
        <x:f>ROUND(D374+G374,2)</x:f>
        <x:v>0</x:v>
      </x:c>
    </x:row>
    <x:row r="375" ht="14" customHeight="1">
      <x:c r="A375" s="1" t="n">
        <x:v>6</x:v>
      </x:c>
      <x:c r="B375" s="1" t="str">
        <x:v>3801</x:v>
      </x:c>
      <x:c r="C375" s="1" t="str">
        <x:v>Umsatzsteuer Inland 7 Prozent</x:v>
      </x:c>
      <x:c r="D375" s="9" t="n">
        <x:f>H307</x:f>
        <x:v>0</x:v>
      </x:c>
      <x:c r="E375" s="9" t="n">
        <x:f>SUMIFS('Journal'!$E$6:$E$1632,'Journal'!$D$6:$D$1632,B375,'Journal'!$C$6:$C$1632,A375)</x:f>
        <x:v>20496</x:v>
      </x:c>
      <x:c r="F375" s="9" t="n">
        <x:f>SUMIFS('Journal'!$F$6:$F$1632,'Journal'!$D$6:$D$1632,B375,'Journal'!$C$6:$C$1632,A375)</x:f>
        <x:v>20496</x:v>
      </x:c>
      <x:c r="G375" s="9" t="n">
        <x:f>ROUND(E375-F375,2)</x:f>
        <x:v>0</x:v>
      </x:c>
      <x:c r="H375" s="9" t="n">
        <x:f>ROUND(D375+G375,2)</x:f>
        <x:v>0</x:v>
      </x:c>
    </x:row>
    <x:row r="376" ht="14" customHeight="1">
      <x:c r="A376" s="1" t="n">
        <x:v>6</x:v>
      </x:c>
      <x:c r="B376" s="1" t="str">
        <x:v>3806</x:v>
      </x:c>
      <x:c r="C376" s="1" t="str">
        <x:v>Umsatzsteuer Inland 19 Prozent</x:v>
      </x:c>
      <x:c r="D376" s="9" t="n">
        <x:f>H308</x:f>
        <x:v>0</x:v>
      </x:c>
      <x:c r="E376" s="9" t="n">
        <x:f>SUMIFS('Journal'!$E$6:$E$1632,'Journal'!$D$6:$D$1632,B376,'Journal'!$C$6:$C$1632,A376)</x:f>
        <x:v>13908</x:v>
      </x:c>
      <x:c r="F376" s="9" t="n">
        <x:f>SUMIFS('Journal'!$F$6:$F$1632,'Journal'!$D$6:$D$1632,B376,'Journal'!$C$6:$C$1632,A376)</x:f>
        <x:v>13908</x:v>
      </x:c>
      <x:c r="G376" s="9" t="n">
        <x:f>ROUND(E376-F376,2)</x:f>
        <x:v>0</x:v>
      </x:c>
      <x:c r="H376" s="9" t="n">
        <x:f>ROUND(D376+G376,2)</x:f>
        <x:v>0</x:v>
      </x:c>
    </x:row>
    <x:row r="377" ht="14" customHeight="1">
      <x:c r="A377" s="1" t="n">
        <x:v>6</x:v>
      </x:c>
      <x:c r="B377" s="1" t="str">
        <x:v>3804</x:v>
      </x:c>
      <x:c r="C377" s="1" t="str">
        <x:v>Umsatzsteuer EU Erwerb 7 Prozent</x:v>
      </x:c>
      <x:c r="D377" s="9" t="n">
        <x:f>H309</x:f>
        <x:v>0</x:v>
      </x:c>
      <x:c r="E377" s="9" t="n">
        <x:f>SUMIFS('Journal'!$E$6:$E$1632,'Journal'!$D$6:$D$1632,B377,'Journal'!$C$6:$C$1632,A377)</x:f>
        <x:v>5384.61</x:v>
      </x:c>
      <x:c r="F377" s="9" t="n">
        <x:f>SUMIFS('Journal'!$F$6:$F$1632,'Journal'!$D$6:$D$1632,B377,'Journal'!$C$6:$C$1632,A377)</x:f>
        <x:v>5384.61</x:v>
      </x:c>
      <x:c r="G377" s="9" t="n">
        <x:f>ROUND(E377-F377,2)</x:f>
        <x:v>0</x:v>
      </x:c>
      <x:c r="H377" s="9" t="n">
        <x:f>ROUND(D377+G377,2)</x:f>
        <x:v>0</x:v>
      </x:c>
    </x:row>
    <x:row r="378" ht="14" customHeight="1">
      <x:c r="A378" s="1" t="n">
        <x:v>6</x:v>
      </x:c>
      <x:c r="B378" s="1" t="str">
        <x:v>3809</x:v>
      </x:c>
      <x:c r="C378" s="1" t="str">
        <x:v>Umsatzsteuer EU Erwerb 19 Prozent</x:v>
      </x:c>
      <x:c r="D378" s="9" t="n">
        <x:f>H310</x:f>
        <x:v>0</x:v>
      </x:c>
      <x:c r="E378" s="9" t="n">
        <x:f>SUMIFS('Journal'!$E$6:$E$1632,'Journal'!$D$6:$D$1632,B378,'Journal'!$C$6:$C$1632,A378)</x:f>
        <x:v>3653.84</x:v>
      </x:c>
      <x:c r="F378" s="9" t="n">
        <x:f>SUMIFS('Journal'!$F$6:$F$1632,'Journal'!$D$6:$D$1632,B378,'Journal'!$C$6:$C$1632,A378)</x:f>
        <x:v>3653.84</x:v>
      </x:c>
      <x:c r="G378" s="9" t="n">
        <x:f>ROUND(E378-F378,2)</x:f>
        <x:v>0</x:v>
      </x:c>
      <x:c r="H378" s="9" t="n">
        <x:f>ROUND(D378+G378,2)</x:f>
        <x:v>0</x:v>
      </x:c>
    </x:row>
    <x:row r="379" ht="14" customHeight="1">
      <x:c r="A379" s="1" t="n">
        <x:v>6</x:v>
      </x:c>
      <x:c r="B379" s="1" t="str">
        <x:v>3820</x:v>
      </x:c>
      <x:c r="C379" s="1" t="str">
        <x:v>Umsatzsteuer Verrechnung Finanzamt</x:v>
      </x:c>
      <x:c r="D379" s="9" t="n">
        <x:f>H311</x:f>
        <x:v>5611.21</x:v>
      </x:c>
      <x:c r="E379" s="9" t="n">
        <x:f>SUMIFS('Journal'!$E$6:$E$1632,'Journal'!$D$6:$D$1632,B379,'Journal'!$C$6:$C$1632,A379)</x:f>
        <x:v>47431.119999999995</x:v>
      </x:c>
      <x:c r="F379" s="9" t="n">
        <x:f>SUMIFS('Journal'!$F$6:$F$1632,'Journal'!$D$6:$D$1632,B379,'Journal'!$C$6:$C$1632,A379)</x:f>
        <x:v>48931.86</x:v>
      </x:c>
      <x:c r="G379" s="9" t="n">
        <x:f>ROUND(E379-F379,2)</x:f>
        <x:v>-1500.74</x:v>
      </x:c>
      <x:c r="H379" s="9" t="n">
        <x:f>ROUND(D379+G379,2)</x:f>
        <x:v>4110.47</x:v>
      </x:c>
    </x:row>
    <x:row r="380" ht="14" customHeight="1">
      <x:c r="A380" s="1" t="n">
        <x:v>6</x:v>
      </x:c>
      <x:c r="B380" s="1" t="str">
        <x:v>3840</x:v>
      </x:c>
      <x:c r="C380" s="1" t="str">
        <x:v>Ertragsteuern Verrechnung</x:v>
      </x:c>
      <x:c r="D380" s="9" t="n">
        <x:f>H312</x:f>
        <x:v>-23000</x:v>
      </x:c>
      <x:c r="E380" s="9" t="n">
        <x:f>SUMIFS('Journal'!$E$6:$E$1632,'Journal'!$D$6:$D$1632,B380,'Journal'!$C$6:$C$1632,A380)</x:f>
        <x:v>12000</x:v>
      </x:c>
      <x:c r="F380" s="9" t="n">
        <x:f>SUMIFS('Journal'!$F$6:$F$1632,'Journal'!$D$6:$D$1632,B380,'Journal'!$C$6:$C$1632,A380)</x:f>
        <x:v>0</x:v>
      </x:c>
      <x:c r="G380" s="9" t="n">
        <x:f>ROUND(E380-F380,2)</x:f>
        <x:v>12000</x:v>
      </x:c>
      <x:c r="H380" s="9" t="n">
        <x:f>ROUND(D380+G380,2)</x:f>
        <x:v>-11000</x:v>
      </x:c>
    </x:row>
    <x:row r="381" ht="14" customHeight="1">
      <x:c r="A381" s="1" t="n">
        <x:v>6</x:v>
      </x:c>
      <x:c r="B381" s="1" t="str">
        <x:v>4300</x:v>
      </x:c>
      <x:c r="C381" s="1" t="str">
        <x:v>Erlöse Inland 7 Prozent</x:v>
      </x:c>
      <x:c r="D381" s="9" t="n">
        <x:f>H313</x:f>
        <x:v>-1392000</x:v>
      </x:c>
      <x:c r="E381" s="9" t="n">
        <x:f>SUMIFS('Journal'!$E$6:$E$1632,'Journal'!$D$6:$D$1632,B381,'Journal'!$C$6:$C$1632,A381)</x:f>
        <x:v>0</x:v>
      </x:c>
      <x:c r="F381" s="9" t="n">
        <x:f>SUMIFS('Journal'!$F$6:$F$1632,'Journal'!$D$6:$D$1632,B381,'Journal'!$C$6:$C$1632,A381)</x:f>
        <x:v>292800</x:v>
      </x:c>
      <x:c r="G381" s="9" t="n">
        <x:f>ROUND(E381-F381,2)</x:f>
        <x:v>-292800</x:v>
      </x:c>
      <x:c r="H381" s="9" t="n">
        <x:f>ROUND(D381+G381,2)</x:f>
        <x:v>-1684800</x:v>
      </x:c>
    </x:row>
    <x:row r="382" ht="14" customHeight="1">
      <x:c r="A382" s="1" t="n">
        <x:v>6</x:v>
      </x:c>
      <x:c r="B382" s="1" t="str">
        <x:v>4400</x:v>
      </x:c>
      <x:c r="C382" s="1" t="str">
        <x:v>Erlöse Inland 19 Prozent</x:v>
      </x:c>
      <x:c r="D382" s="9" t="n">
        <x:f>H314</x:f>
        <x:v>-348000</x:v>
      </x:c>
      <x:c r="E382" s="9" t="n">
        <x:f>SUMIFS('Journal'!$E$6:$E$1632,'Journal'!$D$6:$D$1632,B382,'Journal'!$C$6:$C$1632,A382)</x:f>
        <x:v>0</x:v>
      </x:c>
      <x:c r="F382" s="9" t="n">
        <x:f>SUMIFS('Journal'!$F$6:$F$1632,'Journal'!$D$6:$D$1632,B382,'Journal'!$C$6:$C$1632,A382)</x:f>
        <x:v>73200</x:v>
      </x:c>
      <x:c r="G382" s="9" t="n">
        <x:f>ROUND(E382-F382,2)</x:f>
        <x:v>-73200</x:v>
      </x:c>
      <x:c r="H382" s="9" t="n">
        <x:f>ROUND(D382+G382,2)</x:f>
        <x:v>-421200</x:v>
      </x:c>
    </x:row>
    <x:row r="383" ht="14" customHeight="1">
      <x:c r="A383" s="1" t="n">
        <x:v>6</x:v>
      </x:c>
      <x:c r="B383" s="1" t="str">
        <x:v>4125</x:v>
      </x:c>
      <x:c r="C383" s="1" t="str">
        <x:v>Erlöse EU Warenlieferungen</x:v>
      </x:c>
      <x:c r="D383" s="9" t="n">
        <x:f>H315</x:f>
        <x:v>-580000</x:v>
      </x:c>
      <x:c r="E383" s="9" t="n">
        <x:f>SUMIFS('Journal'!$E$6:$E$1632,'Journal'!$D$6:$D$1632,B383,'Journal'!$C$6:$C$1632,A383)</x:f>
        <x:v>0</x:v>
      </x:c>
      <x:c r="F383" s="9" t="n">
        <x:f>SUMIFS('Journal'!$F$6:$F$1632,'Journal'!$D$6:$D$1632,B383,'Journal'!$C$6:$C$1632,A383)</x:f>
        <x:v>122000</x:v>
      </x:c>
      <x:c r="G383" s="9" t="n">
        <x:f>ROUND(E383-F383,2)</x:f>
        <x:v>-122000</x:v>
      </x:c>
      <x:c r="H383" s="9" t="n">
        <x:f>ROUND(D383+G383,2)</x:f>
        <x:v>-702000</x:v>
      </x:c>
    </x:row>
    <x:row r="384" ht="14" customHeight="1">
      <x:c r="A384" s="1" t="n">
        <x:v>6</x:v>
      </x:c>
      <x:c r="B384" s="1" t="str">
        <x:v>4120</x:v>
      </x:c>
      <x:c r="C384" s="1" t="str">
        <x:v>Erlöse Drittland Warenlieferungen</x:v>
      </x:c>
      <x:c r="D384" s="9" t="n">
        <x:f>H316</x:f>
        <x:v>-580000</x:v>
      </x:c>
      <x:c r="E384" s="9" t="n">
        <x:f>SUMIFS('Journal'!$E$6:$E$1632,'Journal'!$D$6:$D$1632,B384,'Journal'!$C$6:$C$1632,A384)</x:f>
        <x:v>0</x:v>
      </x:c>
      <x:c r="F384" s="9" t="n">
        <x:f>SUMIFS('Journal'!$F$6:$F$1632,'Journal'!$D$6:$D$1632,B384,'Journal'!$C$6:$C$1632,A384)</x:f>
        <x:v>122000</x:v>
      </x:c>
      <x:c r="G384" s="9" t="n">
        <x:f>ROUND(E384-F384,2)</x:f>
        <x:v>-122000</x:v>
      </x:c>
      <x:c r="H384" s="9" t="n">
        <x:f>ROUND(D384+G384,2)</x:f>
        <x:v>-702000</x:v>
      </x:c>
    </x:row>
    <x:row r="385" ht="14" customHeight="1">
      <x:c r="A385" s="1" t="n">
        <x:v>6</x:v>
      </x:c>
      <x:c r="B385" s="1" t="str">
        <x:v>4730</x:v>
      </x:c>
      <x:c r="C385" s="1" t="str">
        <x:v>Erlösschmälerungen Inland 7 Prozent</x:v>
      </x:c>
      <x:c r="D385" s="9" t="n">
        <x:f>H317</x:f>
        <x:v>7350</x:v>
      </x:c>
      <x:c r="E385" s="9" t="n">
        <x:f>SUMIFS('Journal'!$E$6:$E$1632,'Journal'!$D$6:$D$1632,B385,'Journal'!$C$6:$C$1632,A385)</x:f>
        <x:v>1740</x:v>
      </x:c>
      <x:c r="F385" s="9" t="n">
        <x:f>SUMIFS('Journal'!$F$6:$F$1632,'Journal'!$D$6:$D$1632,B385,'Journal'!$C$6:$C$1632,A385)</x:f>
        <x:v>0</x:v>
      </x:c>
      <x:c r="G385" s="9" t="n">
        <x:f>ROUND(E385-F385,2)</x:f>
        <x:v>1740</x:v>
      </x:c>
      <x:c r="H385" s="9" t="n">
        <x:f>ROUND(D385+G385,2)</x:f>
        <x:v>9090</x:v>
      </x:c>
    </x:row>
    <x:row r="386" ht="14" customHeight="1">
      <x:c r="A386" s="1" t="n">
        <x:v>6</x:v>
      </x:c>
      <x:c r="B386" s="1" t="str">
        <x:v>4735</x:v>
      </x:c>
      <x:c r="C386" s="1" t="str">
        <x:v>Erlösschmälerungen EU</x:v>
      </x:c>
      <x:c r="D386" s="9" t="n">
        <x:f>H318</x:f>
        <x:v>4900</x:v>
      </x:c>
      <x:c r="E386" s="9" t="n">
        <x:f>SUMIFS('Journal'!$E$6:$E$1632,'Journal'!$D$6:$D$1632,B386,'Journal'!$C$6:$C$1632,A386)</x:f>
        <x:v>1160</x:v>
      </x:c>
      <x:c r="F386" s="9" t="n">
        <x:f>SUMIFS('Journal'!$F$6:$F$1632,'Journal'!$D$6:$D$1632,B386,'Journal'!$C$6:$C$1632,A386)</x:f>
        <x:v>0</x:v>
      </x:c>
      <x:c r="G386" s="9" t="n">
        <x:f>ROUND(E386-F386,2)</x:f>
        <x:v>1160</x:v>
      </x:c>
      <x:c r="H386" s="9" t="n">
        <x:f>ROUND(D386+G386,2)</x:f>
        <x:v>6060</x:v>
      </x:c>
    </x:row>
    <x:row r="387" ht="14" customHeight="1">
      <x:c r="A387" s="1" t="n">
        <x:v>6</x:v>
      </x:c>
      <x:c r="B387" s="1" t="str">
        <x:v>4830</x:v>
      </x:c>
      <x:c r="C387" s="1" t="str">
        <x:v>Sonstige betriebliche Erträge</x:v>
      </x:c>
      <x:c r="D387" s="9" t="n">
        <x:f>H319</x:f>
        <x:v>0</x:v>
      </x:c>
      <x:c r="E387" s="9" t="n">
        <x:f>SUMIFS('Journal'!$E$6:$E$1632,'Journal'!$D$6:$D$1632,B387,'Journal'!$C$6:$C$1632,A387)</x:f>
        <x:v>0</x:v>
      </x:c>
      <x:c r="F387" s="9" t="n">
        <x:f>SUMIFS('Journal'!$F$6:$F$1632,'Journal'!$D$6:$D$1632,B387,'Journal'!$C$6:$C$1632,A387)</x:f>
        <x:v>12000</x:v>
      </x:c>
      <x:c r="G387" s="9" t="n">
        <x:f>ROUND(E387-F387,2)</x:f>
        <x:v>-12000</x:v>
      </x:c>
      <x:c r="H387" s="9" t="n">
        <x:f>ROUND(D387+G387,2)</x:f>
        <x:v>-12000</x:v>
      </x:c>
    </x:row>
    <x:row r="388" ht="14" customHeight="1">
      <x:c r="A388" s="1" t="n">
        <x:v>6</x:v>
      </x:c>
      <x:c r="B388" s="1" t="str">
        <x:v>5000</x:v>
      </x:c>
      <x:c r="C388" s="1" t="str">
        <x:v>Wareneinsatz</x:v>
      </x:c>
      <x:c r="D388" s="9" t="n">
        <x:f>H320</x:f>
        <x:v>1877037.5</x:v>
      </x:c>
      <x:c r="E388" s="9" t="n">
        <x:f>SUMIFS('Journal'!$E$6:$E$1632,'Journal'!$D$6:$D$1632,B388,'Journal'!$C$6:$C$1632,A388)</x:f>
        <x:v>394615</x:v>
      </x:c>
      <x:c r="F388" s="9" t="n">
        <x:f>SUMIFS('Journal'!$F$6:$F$1632,'Journal'!$D$6:$D$1632,B388,'Journal'!$C$6:$C$1632,A388)</x:f>
        <x:v>0</x:v>
      </x:c>
      <x:c r="G388" s="9" t="n">
        <x:f>ROUND(E388-F388,2)</x:f>
        <x:v>394615</x:v>
      </x:c>
      <x:c r="H388" s="9" t="n">
        <x:f>ROUND(D388+G388,2)</x:f>
        <x:v>2271652.5</x:v>
      </x:c>
    </x:row>
    <x:row r="389" ht="14" customHeight="1">
      <x:c r="A389" s="1" t="n">
        <x:v>6</x:v>
      </x:c>
      <x:c r="B389" s="1" t="str">
        <x:v>5005</x:v>
      </x:c>
      <x:c r="C389" s="1" t="str">
        <x:v>Abwertung Warenbestand</x:v>
      </x:c>
      <x:c r="D389" s="9" t="n">
        <x:f>H321</x:f>
        <x:v>0</x:v>
      </x:c>
      <x:c r="E389" s="9" t="n">
        <x:f>SUMIFS('Journal'!$E$6:$E$1632,'Journal'!$D$6:$D$1632,B389,'Journal'!$C$6:$C$1632,A389)</x:f>
        <x:v>0</x:v>
      </x:c>
      <x:c r="F389" s="9" t="n">
        <x:f>SUMIFS('Journal'!$F$6:$F$1632,'Journal'!$D$6:$D$1632,B389,'Journal'!$C$6:$C$1632,A389)</x:f>
        <x:v>0</x:v>
      </x:c>
      <x:c r="G389" s="9" t="n">
        <x:f>ROUND(E389-F389,2)</x:f>
        <x:v>0</x:v>
      </x:c>
      <x:c r="H389" s="9" t="n">
        <x:f>ROUND(D389+G389,2)</x:f>
        <x:v>0</x:v>
      </x:c>
    </x:row>
    <x:row r="390" ht="14" customHeight="1">
      <x:c r="A390" s="1" t="n">
        <x:v>6</x:v>
      </x:c>
      <x:c r="B390" s="1" t="str">
        <x:v>6020</x:v>
      </x:c>
      <x:c r="C390" s="1" t="str">
        <x:v>Bruttogehälter</x:v>
      </x:c>
      <x:c r="D390" s="9" t="n">
        <x:f>H322</x:f>
        <x:v>430000</x:v>
      </x:c>
      <x:c r="E390" s="9" t="n">
        <x:f>SUMIFS('Journal'!$E$6:$E$1632,'Journal'!$D$6:$D$1632,B390,'Journal'!$C$6:$C$1632,A390)</x:f>
        <x:v>86000</x:v>
      </x:c>
      <x:c r="F390" s="9" t="n">
        <x:f>SUMIFS('Journal'!$F$6:$F$1632,'Journal'!$D$6:$D$1632,B390,'Journal'!$C$6:$C$1632,A390)</x:f>
        <x:v>0</x:v>
      </x:c>
      <x:c r="G390" s="9" t="n">
        <x:f>ROUND(E390-F390,2)</x:f>
        <x:v>86000</x:v>
      </x:c>
      <x:c r="H390" s="9" t="n">
        <x:f>ROUND(D390+G390,2)</x:f>
        <x:v>516000</x:v>
      </x:c>
    </x:row>
    <x:row r="391" ht="14" customHeight="1">
      <x:c r="A391" s="1" t="n">
        <x:v>6</x:v>
      </x:c>
      <x:c r="B391" s="1" t="str">
        <x:v>6110</x:v>
      </x:c>
      <x:c r="C391" s="1" t="str">
        <x:v>Arbeitgeberanteile Sozialversicherung</x:v>
      </x:c>
      <x:c r="D391" s="9" t="n">
        <x:f>H323</x:f>
        <x:v>90000</x:v>
      </x:c>
      <x:c r="E391" s="9" t="n">
        <x:f>SUMIFS('Journal'!$E$6:$E$1632,'Journal'!$D$6:$D$1632,B391,'Journal'!$C$6:$C$1632,A391)</x:f>
        <x:v>18000</x:v>
      </x:c>
      <x:c r="F391" s="9" t="n">
        <x:f>SUMIFS('Journal'!$F$6:$F$1632,'Journal'!$D$6:$D$1632,B391,'Journal'!$C$6:$C$1632,A391)</x:f>
        <x:v>0</x:v>
      </x:c>
      <x:c r="G391" s="9" t="n">
        <x:f>ROUND(E391-F391,2)</x:f>
        <x:v>18000</x:v>
      </x:c>
      <x:c r="H391" s="9" t="n">
        <x:f>ROUND(D391+G391,2)</x:f>
        <x:v>108000</x:v>
      </x:c>
    </x:row>
    <x:row r="392" ht="14" customHeight="1">
      <x:c r="A392" s="1" t="n">
        <x:v>6</x:v>
      </x:c>
      <x:c r="B392" s="1" t="str">
        <x:v>6220</x:v>
      </x:c>
      <x:c r="C392" s="1" t="str">
        <x:v>Abschreibungen Sachanlagen und Software</x:v>
      </x:c>
      <x:c r="D392" s="9" t="n">
        <x:f>H324</x:f>
        <x:v>37500</x:v>
      </x:c>
      <x:c r="E392" s="9" t="n">
        <x:f>SUMIFS('Journal'!$E$6:$E$1632,'Journal'!$D$6:$D$1632,B392,'Journal'!$C$6:$C$1632,A392)</x:f>
        <x:v>7500</x:v>
      </x:c>
      <x:c r="F392" s="9" t="n">
        <x:f>SUMIFS('Journal'!$F$6:$F$1632,'Journal'!$D$6:$D$1632,B392,'Journal'!$C$6:$C$1632,A392)</x:f>
        <x:v>0</x:v>
      </x:c>
      <x:c r="G392" s="9" t="n">
        <x:f>ROUND(E392-F392,2)</x:f>
        <x:v>7500</x:v>
      </x:c>
      <x:c r="H392" s="9" t="n">
        <x:f>ROUND(D392+G392,2)</x:f>
        <x:v>45000</x:v>
      </x:c>
    </x:row>
    <x:row r="393" ht="14" customHeight="1">
      <x:c r="A393" s="1" t="n">
        <x:v>6</x:v>
      </x:c>
      <x:c r="B393" s="1" t="str">
        <x:v>6310</x:v>
      </x:c>
      <x:c r="C393" s="1" t="str">
        <x:v>Miete Büro Nürnberg</x:v>
      </x:c>
      <x:c r="D393" s="9" t="n">
        <x:f>H325</x:f>
        <x:v>20000</x:v>
      </x:c>
      <x:c r="E393" s="9" t="n">
        <x:f>SUMIFS('Journal'!$E$6:$E$1632,'Journal'!$D$6:$D$1632,B393,'Journal'!$C$6:$C$1632,A393)</x:f>
        <x:v>4000</x:v>
      </x:c>
      <x:c r="F393" s="9" t="n">
        <x:f>SUMIFS('Journal'!$F$6:$F$1632,'Journal'!$D$6:$D$1632,B393,'Journal'!$C$6:$C$1632,A393)</x:f>
        <x:v>0</x:v>
      </x:c>
      <x:c r="G393" s="9" t="n">
        <x:f>ROUND(E393-F393,2)</x:f>
        <x:v>4000</x:v>
      </x:c>
      <x:c r="H393" s="9" t="n">
        <x:f>ROUND(D393+G393,2)</x:f>
        <x:v>24000</x:v>
      </x:c>
    </x:row>
    <x:row r="394" ht="14" customHeight="1">
      <x:c r="A394" s="1" t="n">
        <x:v>6</x:v>
      </x:c>
      <x:c r="B394" s="1" t="str">
        <x:v>6311</x:v>
      </x:c>
      <x:c r="C394" s="1" t="str">
        <x:v>Miete Lager Erlangen</x:v>
      </x:c>
      <x:c r="D394" s="9" t="n">
        <x:f>H326</x:f>
        <x:v>50000</x:v>
      </x:c>
      <x:c r="E394" s="9" t="n">
        <x:f>SUMIFS('Journal'!$E$6:$E$1632,'Journal'!$D$6:$D$1632,B394,'Journal'!$C$6:$C$1632,A394)</x:f>
        <x:v>10000</x:v>
      </x:c>
      <x:c r="F394" s="9" t="n">
        <x:f>SUMIFS('Journal'!$F$6:$F$1632,'Journal'!$D$6:$D$1632,B394,'Journal'!$C$6:$C$1632,A394)</x:f>
        <x:v>0</x:v>
      </x:c>
      <x:c r="G394" s="9" t="n">
        <x:f>ROUND(E394-F394,2)</x:f>
        <x:v>10000</x:v>
      </x:c>
      <x:c r="H394" s="9" t="n">
        <x:f>ROUND(D394+G394,2)</x:f>
        <x:v>60000</x:v>
      </x:c>
    </x:row>
    <x:row r="395" ht="14" customHeight="1">
      <x:c r="A395" s="1" t="n">
        <x:v>6</x:v>
      </x:c>
      <x:c r="B395" s="1" t="str">
        <x:v>6325</x:v>
      </x:c>
      <x:c r="C395" s="1" t="str">
        <x:v>Strom und Kühlung</x:v>
      </x:c>
      <x:c r="D395" s="9" t="n">
        <x:f>H327</x:f>
        <x:v>22500</x:v>
      </x:c>
      <x:c r="E395" s="9" t="n">
        <x:f>SUMIFS('Journal'!$E$6:$E$1632,'Journal'!$D$6:$D$1632,B395,'Journal'!$C$6:$C$1632,A395)</x:f>
        <x:v>4500</x:v>
      </x:c>
      <x:c r="F395" s="9" t="n">
        <x:f>SUMIFS('Journal'!$F$6:$F$1632,'Journal'!$D$6:$D$1632,B395,'Journal'!$C$6:$C$1632,A395)</x:f>
        <x:v>0</x:v>
      </x:c>
      <x:c r="G395" s="9" t="n">
        <x:f>ROUND(E395-F395,2)</x:f>
        <x:v>4500</x:v>
      </x:c>
      <x:c r="H395" s="9" t="n">
        <x:f>ROUND(D395+G395,2)</x:f>
        <x:v>27000</x:v>
      </x:c>
    </x:row>
    <x:row r="396" ht="14" customHeight="1">
      <x:c r="A396" s="1" t="n">
        <x:v>6</x:v>
      </x:c>
      <x:c r="B396" s="1" t="str">
        <x:v>6400</x:v>
      </x:c>
      <x:c r="C396" s="1" t="str">
        <x:v>Versicherungen</x:v>
      </x:c>
      <x:c r="D396" s="9" t="n">
        <x:f>H328</x:f>
        <x:v>12500</x:v>
      </x:c>
      <x:c r="E396" s="9" t="n">
        <x:f>SUMIFS('Journal'!$E$6:$E$1632,'Journal'!$D$6:$D$1632,B396,'Journal'!$C$6:$C$1632,A396)</x:f>
        <x:v>2500</x:v>
      </x:c>
      <x:c r="F396" s="9" t="n">
        <x:f>SUMIFS('Journal'!$F$6:$F$1632,'Journal'!$D$6:$D$1632,B396,'Journal'!$C$6:$C$1632,A396)</x:f>
        <x:v>0</x:v>
      </x:c>
      <x:c r="G396" s="9" t="n">
        <x:f>ROUND(E396-F396,2)</x:f>
        <x:v>2500</x:v>
      </x:c>
      <x:c r="H396" s="9" t="n">
        <x:f>ROUND(D396+G396,2)</x:f>
        <x:v>15000</x:v>
      </x:c>
    </x:row>
    <x:row r="397" ht="14" customHeight="1">
      <x:c r="A397" s="1" t="n">
        <x:v>6</x:v>
      </x:c>
      <x:c r="B397" s="1" t="str">
        <x:v>6470</x:v>
      </x:c>
      <x:c r="C397" s="1" t="str">
        <x:v>Lagerbetrieb und Reinigung</x:v>
      </x:c>
      <x:c r="D397" s="9" t="n">
        <x:f>H329</x:f>
        <x:v>30000</x:v>
      </x:c>
      <x:c r="E397" s="9" t="n">
        <x:f>SUMIFS('Journal'!$E$6:$E$1632,'Journal'!$D$6:$D$1632,B397,'Journal'!$C$6:$C$1632,A397)</x:f>
        <x:v>6000</x:v>
      </x:c>
      <x:c r="F397" s="9" t="n">
        <x:f>SUMIFS('Journal'!$F$6:$F$1632,'Journal'!$D$6:$D$1632,B397,'Journal'!$C$6:$C$1632,A397)</x:f>
        <x:v>0</x:v>
      </x:c>
      <x:c r="G397" s="9" t="n">
        <x:f>ROUND(E397-F397,2)</x:f>
        <x:v>6000</x:v>
      </x:c>
      <x:c r="H397" s="9" t="n">
        <x:f>ROUND(D397+G397,2)</x:f>
        <x:v>36000</x:v>
      </x:c>
    </x:row>
    <x:row r="398" ht="14" customHeight="1">
      <x:c r="A398" s="1" t="n">
        <x:v>6</x:v>
      </x:c>
      <x:c r="B398" s="1" t="str">
        <x:v>6490</x:v>
      </x:c>
      <x:c r="C398" s="1" t="str">
        <x:v>Reparaturen und Wartung</x:v>
      </x:c>
      <x:c r="D398" s="9" t="n">
        <x:f>H330</x:f>
        <x:v>12500</x:v>
      </x:c>
      <x:c r="E398" s="9" t="n">
        <x:f>SUMIFS('Journal'!$E$6:$E$1632,'Journal'!$D$6:$D$1632,B398,'Journal'!$C$6:$C$1632,A398)</x:f>
        <x:v>2500</x:v>
      </x:c>
      <x:c r="F398" s="9" t="n">
        <x:f>SUMIFS('Journal'!$F$6:$F$1632,'Journal'!$D$6:$D$1632,B398,'Journal'!$C$6:$C$1632,A398)</x:f>
        <x:v>0</x:v>
      </x:c>
      <x:c r="G398" s="9" t="n">
        <x:f>ROUND(E398-F398,2)</x:f>
        <x:v>2500</x:v>
      </x:c>
      <x:c r="H398" s="9" t="n">
        <x:f>ROUND(D398+G398,2)</x:f>
        <x:v>15000</x:v>
      </x:c>
    </x:row>
    <x:row r="399" ht="14" customHeight="1">
      <x:c r="A399" s="1" t="n">
        <x:v>6</x:v>
      </x:c>
      <x:c r="B399" s="1" t="str">
        <x:v>6600</x:v>
      </x:c>
      <x:c r="C399" s="1" t="str">
        <x:v>Marketing und Messen</x:v>
      </x:c>
      <x:c r="D399" s="9" t="n">
        <x:f>H331</x:f>
        <x:v>30000</x:v>
      </x:c>
      <x:c r="E399" s="9" t="n">
        <x:f>SUMIFS('Journal'!$E$6:$E$1632,'Journal'!$D$6:$D$1632,B399,'Journal'!$C$6:$C$1632,A399)</x:f>
        <x:v>6000</x:v>
      </x:c>
      <x:c r="F399" s="9" t="n">
        <x:f>SUMIFS('Journal'!$F$6:$F$1632,'Journal'!$D$6:$D$1632,B399,'Journal'!$C$6:$C$1632,A399)</x:f>
        <x:v>0</x:v>
      </x:c>
      <x:c r="G399" s="9" t="n">
        <x:f>ROUND(E399-F399,2)</x:f>
        <x:v>6000</x:v>
      </x:c>
      <x:c r="H399" s="9" t="n">
        <x:f>ROUND(D399+G399,2)</x:f>
        <x:v>36000</x:v>
      </x:c>
    </x:row>
    <x:row r="400" ht="14" customHeight="1">
      <x:c r="A400" s="1" t="n">
        <x:v>6</x:v>
      </x:c>
      <x:c r="B400" s="1" t="str">
        <x:v>6650</x:v>
      </x:c>
      <x:c r="C400" s="1" t="str">
        <x:v>Reisekosten</x:v>
      </x:c>
      <x:c r="D400" s="9" t="n">
        <x:f>H332</x:f>
        <x:v>7500</x:v>
      </x:c>
      <x:c r="E400" s="9" t="n">
        <x:f>SUMIFS('Journal'!$E$6:$E$1632,'Journal'!$D$6:$D$1632,B400,'Journal'!$C$6:$C$1632,A400)</x:f>
        <x:v>1500</x:v>
      </x:c>
      <x:c r="F400" s="9" t="n">
        <x:f>SUMIFS('Journal'!$F$6:$F$1632,'Journal'!$D$6:$D$1632,B400,'Journal'!$C$6:$C$1632,A400)</x:f>
        <x:v>0</x:v>
      </x:c>
      <x:c r="G400" s="9" t="n">
        <x:f>ROUND(E400-F400,2)</x:f>
        <x:v>1500</x:v>
      </x:c>
      <x:c r="H400" s="9" t="n">
        <x:f>ROUND(D400+G400,2)</x:f>
        <x:v>9000</x:v>
      </x:c>
    </x:row>
    <x:row r="401" ht="14" customHeight="1">
      <x:c r="A401" s="1" t="n">
        <x:v>6</x:v>
      </x:c>
      <x:c r="B401" s="1" t="str">
        <x:v>6740</x:v>
      </x:c>
      <x:c r="C401" s="1" t="str">
        <x:v>Ausgangsfrachten Inland</x:v>
      </x:c>
      <x:c r="D401" s="9" t="n">
        <x:f>H333</x:f>
        <x:v>65000</x:v>
      </x:c>
      <x:c r="E401" s="9" t="n">
        <x:f>SUMIFS('Journal'!$E$6:$E$1632,'Journal'!$D$6:$D$1632,B401,'Journal'!$C$6:$C$1632,A401)</x:f>
        <x:v>13000</x:v>
      </x:c>
      <x:c r="F401" s="9" t="n">
        <x:f>SUMIFS('Journal'!$F$6:$F$1632,'Journal'!$D$6:$D$1632,B401,'Journal'!$C$6:$C$1632,A401)</x:f>
        <x:v>0</x:v>
      </x:c>
      <x:c r="G401" s="9" t="n">
        <x:f>ROUND(E401-F401,2)</x:f>
        <x:v>13000</x:v>
      </x:c>
      <x:c r="H401" s="9" t="n">
        <x:f>ROUND(D401+G401,2)</x:f>
        <x:v>78000</x:v>
      </x:c>
    </x:row>
    <x:row r="402" ht="14" customHeight="1">
      <x:c r="A402" s="1" t="n">
        <x:v>6</x:v>
      </x:c>
      <x:c r="B402" s="1" t="str">
        <x:v>6741</x:v>
      </x:c>
      <x:c r="C402" s="1" t="str">
        <x:v>Ausgangsfrachten Ausland</x:v>
      </x:c>
      <x:c r="D402" s="9" t="n">
        <x:f>H334</x:f>
        <x:v>70000</x:v>
      </x:c>
      <x:c r="E402" s="9" t="n">
        <x:f>SUMIFS('Journal'!$E$6:$E$1632,'Journal'!$D$6:$D$1632,B402,'Journal'!$C$6:$C$1632,A402)</x:f>
        <x:v>14000</x:v>
      </x:c>
      <x:c r="F402" s="9" t="n">
        <x:f>SUMIFS('Journal'!$F$6:$F$1632,'Journal'!$D$6:$D$1632,B402,'Journal'!$C$6:$C$1632,A402)</x:f>
        <x:v>0</x:v>
      </x:c>
      <x:c r="G402" s="9" t="n">
        <x:f>ROUND(E402-F402,2)</x:f>
        <x:v>14000</x:v>
      </x:c>
      <x:c r="H402" s="9" t="n">
        <x:f>ROUND(D402+G402,2)</x:f>
        <x:v>84000</x:v>
      </x:c>
    </x:row>
    <x:row r="403" ht="14" customHeight="1">
      <x:c r="A403" s="1" t="n">
        <x:v>6</x:v>
      </x:c>
      <x:c r="B403" s="1" t="str">
        <x:v>6805</x:v>
      </x:c>
      <x:c r="C403" s="1" t="str">
        <x:v>Telekommunikation und IT</x:v>
      </x:c>
      <x:c r="D403" s="9" t="n">
        <x:f>H335</x:f>
        <x:v>22500</x:v>
      </x:c>
      <x:c r="E403" s="9" t="n">
        <x:f>SUMIFS('Journal'!$E$6:$E$1632,'Journal'!$D$6:$D$1632,B403,'Journal'!$C$6:$C$1632,A403)</x:f>
        <x:v>4500</x:v>
      </x:c>
      <x:c r="F403" s="9" t="n">
        <x:f>SUMIFS('Journal'!$F$6:$F$1632,'Journal'!$D$6:$D$1632,B403,'Journal'!$C$6:$C$1632,A403)</x:f>
        <x:v>0</x:v>
      </x:c>
      <x:c r="G403" s="9" t="n">
        <x:f>ROUND(E403-F403,2)</x:f>
        <x:v>4500</x:v>
      </x:c>
      <x:c r="H403" s="9" t="n">
        <x:f>ROUND(D403+G403,2)</x:f>
        <x:v>27000</x:v>
      </x:c>
    </x:row>
    <x:row r="404" ht="14" customHeight="1">
      <x:c r="A404" s="1" t="n">
        <x:v>6</x:v>
      </x:c>
      <x:c r="B404" s="1" t="str">
        <x:v>6825</x:v>
      </x:c>
      <x:c r="C404" s="1" t="str">
        <x:v>Rechtsberatung und Buchführung</x:v>
      </x:c>
      <x:c r="D404" s="9" t="n">
        <x:f>H336</x:f>
        <x:v>15000</x:v>
      </x:c>
      <x:c r="E404" s="9" t="n">
        <x:f>SUMIFS('Journal'!$E$6:$E$1632,'Journal'!$D$6:$D$1632,B404,'Journal'!$C$6:$C$1632,A404)</x:f>
        <x:v>3000</x:v>
      </x:c>
      <x:c r="F404" s="9" t="n">
        <x:f>SUMIFS('Journal'!$F$6:$F$1632,'Journal'!$D$6:$D$1632,B404,'Journal'!$C$6:$C$1632,A404)</x:f>
        <x:v>0</x:v>
      </x:c>
      <x:c r="G404" s="9" t="n">
        <x:f>ROUND(E404-F404,2)</x:f>
        <x:v>3000</x:v>
      </x:c>
      <x:c r="H404" s="9" t="n">
        <x:f>ROUND(D404+G404,2)</x:f>
        <x:v>18000</x:v>
      </x:c>
    </x:row>
    <x:row r="405" ht="14" customHeight="1">
      <x:c r="A405" s="1" t="n">
        <x:v>6</x:v>
      </x:c>
      <x:c r="B405" s="1" t="str">
        <x:v>6830</x:v>
      </x:c>
      <x:c r="C405" s="1" t="str">
        <x:v>Labor und Qualitätssicherung</x:v>
      </x:c>
      <x:c r="D405" s="9" t="n">
        <x:f>H337</x:f>
        <x:v>17500</x:v>
      </x:c>
      <x:c r="E405" s="9" t="n">
        <x:f>SUMIFS('Journal'!$E$6:$E$1632,'Journal'!$D$6:$D$1632,B405,'Journal'!$C$6:$C$1632,A405)</x:f>
        <x:v>3500</x:v>
      </x:c>
      <x:c r="F405" s="9" t="n">
        <x:f>SUMIFS('Journal'!$F$6:$F$1632,'Journal'!$D$6:$D$1632,B405,'Journal'!$C$6:$C$1632,A405)</x:f>
        <x:v>0</x:v>
      </x:c>
      <x:c r="G405" s="9" t="n">
        <x:f>ROUND(E405-F405,2)</x:f>
        <x:v>3500</x:v>
      </x:c>
      <x:c r="H405" s="9" t="n">
        <x:f>ROUND(D405+G405,2)</x:f>
        <x:v>21000</x:v>
      </x:c>
    </x:row>
    <x:row r="406" ht="14" customHeight="1">
      <x:c r="A406" s="1" t="n">
        <x:v>6</x:v>
      </x:c>
      <x:c r="B406" s="1" t="str">
        <x:v>6850</x:v>
      </x:c>
      <x:c r="C406" s="1" t="str">
        <x:v>Bürobedarf und übriger Aufwand</x:v>
      </x:c>
      <x:c r="D406" s="9" t="n">
        <x:f>H338</x:f>
        <x:v>10000</x:v>
      </x:c>
      <x:c r="E406" s="9" t="n">
        <x:f>SUMIFS('Journal'!$E$6:$E$1632,'Journal'!$D$6:$D$1632,B406,'Journal'!$C$6:$C$1632,A406)</x:f>
        <x:v>2000</x:v>
      </x:c>
      <x:c r="F406" s="9" t="n">
        <x:f>SUMIFS('Journal'!$F$6:$F$1632,'Journal'!$D$6:$D$1632,B406,'Journal'!$C$6:$C$1632,A406)</x:f>
        <x:v>0</x:v>
      </x:c>
      <x:c r="G406" s="9" t="n">
        <x:f>ROUND(E406-F406,2)</x:f>
        <x:v>2000</x:v>
      </x:c>
      <x:c r="H406" s="9" t="n">
        <x:f>ROUND(D406+G406,2)</x:f>
        <x:v>12000</x:v>
      </x:c>
    </x:row>
    <x:row r="407" ht="14" customHeight="1">
      <x:c r="A407" s="1" t="n">
        <x:v>6</x:v>
      </x:c>
      <x:c r="B407" s="1" t="str">
        <x:v>6855</x:v>
      </x:c>
      <x:c r="C407" s="1" t="str">
        <x:v>Zuführung Abschluss und Urlaubsrückstellungen</x:v>
      </x:c>
      <x:c r="D407" s="9" t="n">
        <x:f>H339</x:f>
        <x:v>0</x:v>
      </x:c>
      <x:c r="E407" s="9" t="n">
        <x:f>SUMIFS('Journal'!$E$6:$E$1632,'Journal'!$D$6:$D$1632,B407,'Journal'!$C$6:$C$1632,A407)</x:f>
        <x:v>0</x:v>
      </x:c>
      <x:c r="F407" s="9" t="n">
        <x:f>SUMIFS('Journal'!$F$6:$F$1632,'Journal'!$D$6:$D$1632,B407,'Journal'!$C$6:$C$1632,A407)</x:f>
        <x:v>0</x:v>
      </x:c>
      <x:c r="G407" s="9" t="n">
        <x:f>ROUND(E407-F407,2)</x:f>
        <x:v>0</x:v>
      </x:c>
      <x:c r="H407" s="9" t="n">
        <x:f>ROUND(D407+G407,2)</x:f>
        <x:v>0</x:v>
      </x:c>
    </x:row>
    <x:row r="408" ht="14" customHeight="1">
      <x:c r="A408" s="1" t="n">
        <x:v>6</x:v>
      </x:c>
      <x:c r="B408" s="1" t="str">
        <x:v>6859</x:v>
      </x:c>
      <x:c r="C408" s="1" t="str">
        <x:v>Bankgebühren</x:v>
      </x:c>
      <x:c r="D408" s="9" t="n">
        <x:f>H340</x:f>
        <x:v>2500</x:v>
      </x:c>
      <x:c r="E408" s="9" t="n">
        <x:f>SUMIFS('Journal'!$E$6:$E$1632,'Journal'!$D$6:$D$1632,B408,'Journal'!$C$6:$C$1632,A408)</x:f>
        <x:v>500</x:v>
      </x:c>
      <x:c r="F408" s="9" t="n">
        <x:f>SUMIFS('Journal'!$F$6:$F$1632,'Journal'!$D$6:$D$1632,B408,'Journal'!$C$6:$C$1632,A408)</x:f>
        <x:v>0</x:v>
      </x:c>
      <x:c r="G408" s="9" t="n">
        <x:f>ROUND(E408-F408,2)</x:f>
        <x:v>500</x:v>
      </x:c>
      <x:c r="H408" s="9" t="n">
        <x:f>ROUND(D408+G408,2)</x:f>
        <x:v>3000</x:v>
      </x:c>
    </x:row>
    <x:row r="409" ht="14" customHeight="1">
      <x:c r="A409" s="1" t="n">
        <x:v>6</x:v>
      </x:c>
      <x:c r="B409" s="1" t="str">
        <x:v>6950</x:v>
      </x:c>
      <x:c r="C409" s="1" t="str">
        <x:v>Zuführung Einzelwertberichtigungen</x:v>
      </x:c>
      <x:c r="D409" s="9" t="n">
        <x:f>H341</x:f>
        <x:v>0</x:v>
      </x:c>
      <x:c r="E409" s="9" t="n">
        <x:f>SUMIFS('Journal'!$E$6:$E$1632,'Journal'!$D$6:$D$1632,B409,'Journal'!$C$6:$C$1632,A409)</x:f>
        <x:v>0</x:v>
      </x:c>
      <x:c r="F409" s="9" t="n">
        <x:f>SUMIFS('Journal'!$F$6:$F$1632,'Journal'!$D$6:$D$1632,B409,'Journal'!$C$6:$C$1632,A409)</x:f>
        <x:v>0</x:v>
      </x:c>
      <x:c r="G409" s="9" t="n">
        <x:f>ROUND(E409-F409,2)</x:f>
        <x:v>0</x:v>
      </x:c>
      <x:c r="H409" s="9" t="n">
        <x:f>ROUND(D409+G409,2)</x:f>
        <x:v>0</x:v>
      </x:c>
    </x:row>
    <x:row r="410" ht="14" customHeight="1">
      <x:c r="A410" s="1" t="n">
        <x:v>6</x:v>
      </x:c>
      <x:c r="B410" s="1" t="str">
        <x:v>7300</x:v>
      </x:c>
      <x:c r="C410" s="1" t="str">
        <x:v>Zinsen Investitionsdarlehen</x:v>
      </x:c>
      <x:c r="D410" s="9" t="n">
        <x:f>H342</x:f>
        <x:v>12500</x:v>
      </x:c>
      <x:c r="E410" s="9" t="n">
        <x:f>SUMIFS('Journal'!$E$6:$E$1632,'Journal'!$D$6:$D$1632,B410,'Journal'!$C$6:$C$1632,A410)</x:f>
        <x:v>2500</x:v>
      </x:c>
      <x:c r="F410" s="9" t="n">
        <x:f>SUMIFS('Journal'!$F$6:$F$1632,'Journal'!$D$6:$D$1632,B410,'Journal'!$C$6:$C$1632,A410)</x:f>
        <x:v>0</x:v>
      </x:c>
      <x:c r="G410" s="9" t="n">
        <x:f>ROUND(E410-F410,2)</x:f>
        <x:v>2500</x:v>
      </x:c>
      <x:c r="H410" s="9" t="n">
        <x:f>ROUND(D410+G410,2)</x:f>
        <x:v>15000</x:v>
      </x:c>
    </x:row>
    <x:row r="411" ht="14" customHeight="1">
      <x:c r="A411" s="1" t="n">
        <x:v>6</x:v>
      </x:c>
      <x:c r="B411" s="1" t="str">
        <x:v>7310</x:v>
      </x:c>
      <x:c r="C411" s="1" t="str">
        <x:v>Zinsen Kontokorrent</x:v>
      </x:c>
      <x:c r="D411" s="9" t="n">
        <x:f>H343</x:f>
        <x:v>5000</x:v>
      </x:c>
      <x:c r="E411" s="9" t="n">
        <x:f>SUMIFS('Journal'!$E$6:$E$1632,'Journal'!$D$6:$D$1632,B411,'Journal'!$C$6:$C$1632,A411)</x:f>
        <x:v>1000</x:v>
      </x:c>
      <x:c r="F411" s="9" t="n">
        <x:f>SUMIFS('Journal'!$F$6:$F$1632,'Journal'!$D$6:$D$1632,B411,'Journal'!$C$6:$C$1632,A411)</x:f>
        <x:v>0</x:v>
      </x:c>
      <x:c r="G411" s="9" t="n">
        <x:f>ROUND(E411-F411,2)</x:f>
        <x:v>1000</x:v>
      </x:c>
      <x:c r="H411" s="9" t="n">
        <x:f>ROUND(D411+G411,2)</x:f>
        <x:v>6000</x:v>
      </x:c>
    </x:row>
    <x:row r="412" ht="14" customHeight="1">
      <x:c r="A412" s="1" t="n">
        <x:v>6</x:v>
      </x:c>
      <x:c r="B412" s="1" t="str">
        <x:v>7320</x:v>
      </x:c>
      <x:c r="C412" s="1" t="str">
        <x:v>Zinsen Gesellschafterdarlehen</x:v>
      </x:c>
      <x:c r="D412" s="9" t="n">
        <x:f>H344</x:f>
        <x:v>0</x:v>
      </x:c>
      <x:c r="E412" s="9" t="n">
        <x:f>SUMIFS('Journal'!$E$6:$E$1632,'Journal'!$D$6:$D$1632,B412,'Journal'!$C$6:$C$1632,A412)</x:f>
        <x:v>0</x:v>
      </x:c>
      <x:c r="F412" s="9" t="n">
        <x:f>SUMIFS('Journal'!$F$6:$F$1632,'Journal'!$D$6:$D$1632,B412,'Journal'!$C$6:$C$1632,A412)</x:f>
        <x:v>0</x:v>
      </x:c>
      <x:c r="G412" s="9" t="n">
        <x:f>ROUND(E412-F412,2)</x:f>
        <x:v>0</x:v>
      </x:c>
      <x:c r="H412" s="9" t="n">
        <x:f>ROUND(D412+G412,2)</x:f>
        <x:v>0</x:v>
      </x:c>
    </x:row>
    <x:row r="413" ht="14" customHeight="1">
      <x:c r="A413" s="1" t="n">
        <x:v>6</x:v>
      </x:c>
      <x:c r="B413" s="1" t="str">
        <x:v>7600</x:v>
      </x:c>
      <x:c r="C413" s="1" t="str">
        <x:v>Ertragsteueraufwand</x:v>
      </x:c>
      <x:c r="D413" s="9" t="n">
        <x:f>H345</x:f>
        <x:v>0</x:v>
      </x:c>
      <x:c r="E413" s="9" t="n">
        <x:f>SUMIFS('Journal'!$E$6:$E$1632,'Journal'!$D$6:$D$1632,B413,'Journal'!$C$6:$C$1632,A413)</x:f>
        <x:v>0</x:v>
      </x:c>
      <x:c r="F413" s="9" t="n">
        <x:f>SUMIFS('Journal'!$F$6:$F$1632,'Journal'!$D$6:$D$1632,B413,'Journal'!$C$6:$C$1632,A413)</x:f>
        <x:v>0</x:v>
      </x:c>
      <x:c r="G413" s="9" t="n">
        <x:f>ROUND(E413-F413,2)</x:f>
        <x:v>0</x:v>
      </x:c>
      <x:c r="H413" s="9" t="n">
        <x:f>ROUND(D413+G413,2)</x:f>
        <x:v>0</x:v>
      </x:c>
    </x:row>
    <x:row r="414" ht="14" customHeight="1">
      <x:c r="A414" s="1" t="n">
        <x:v>7</x:v>
      </x:c>
      <x:c r="B414" s="1" t="str">
        <x:v>0100</x:v>
      </x:c>
      <x:c r="C414" s="1" t="str">
        <x:v>Software</x:v>
      </x:c>
      <x:c r="D414" s="9" t="n">
        <x:f>H346</x:f>
        <x:v>17000</x:v>
      </x:c>
      <x:c r="E414" s="9" t="n">
        <x:f>SUMIFS('Journal'!$E$6:$E$1632,'Journal'!$D$6:$D$1632,B414,'Journal'!$C$6:$C$1632,A414)</x:f>
        <x:v>0</x:v>
      </x:c>
      <x:c r="F414" s="9" t="n">
        <x:f>SUMIFS('Journal'!$F$6:$F$1632,'Journal'!$D$6:$D$1632,B414,'Journal'!$C$6:$C$1632,A414)</x:f>
        <x:v>500</x:v>
      </x:c>
      <x:c r="G414" s="9" t="n">
        <x:f>ROUND(E414-F414,2)</x:f>
        <x:v>-500</x:v>
      </x:c>
      <x:c r="H414" s="9" t="n">
        <x:f>ROUND(D414+G414,2)</x:f>
        <x:v>16500</x:v>
      </x:c>
    </x:row>
    <x:row r="415" ht="14" customHeight="1">
      <x:c r="A415" s="1" t="n">
        <x:v>7</x:v>
      </x:c>
      <x:c r="B415" s="1" t="str">
        <x:v>0400</x:v>
      </x:c>
      <x:c r="C415" s="1" t="str">
        <x:v>Lagereinbauten Erlangen</x:v>
      </x:c>
      <x:c r="D415" s="9" t="n">
        <x:f>H347</x:f>
        <x:v>225000</x:v>
      </x:c>
      <x:c r="E415" s="9" t="n">
        <x:f>SUMIFS('Journal'!$E$6:$E$1632,'Journal'!$D$6:$D$1632,B415,'Journal'!$C$6:$C$1632,A415)</x:f>
        <x:v>0</x:v>
      </x:c>
      <x:c r="F415" s="9" t="n">
        <x:f>SUMIFS('Journal'!$F$6:$F$1632,'Journal'!$D$6:$D$1632,B415,'Journal'!$C$6:$C$1632,A415)</x:f>
        <x:v>2500</x:v>
      </x:c>
      <x:c r="G415" s="9" t="n">
        <x:f>ROUND(E415-F415,2)</x:f>
        <x:v>-2500</x:v>
      </x:c>
      <x:c r="H415" s="9" t="n">
        <x:f>ROUND(D415+G415,2)</x:f>
        <x:v>222500</x:v>
      </x:c>
    </x:row>
    <x:row r="416" ht="14" customHeight="1">
      <x:c r="A416" s="1" t="n">
        <x:v>7</x:v>
      </x:c>
      <x:c r="B416" s="1" t="str">
        <x:v>0520</x:v>
      </x:c>
      <x:c r="C416" s="1" t="str">
        <x:v>Flurförderzeuge</x:v>
      </x:c>
      <x:c r="D416" s="9" t="n">
        <x:f>H348</x:f>
        <x:v>127000</x:v>
      </x:c>
      <x:c r="E416" s="9" t="n">
        <x:f>SUMIFS('Journal'!$E$6:$E$1632,'Journal'!$D$6:$D$1632,B416,'Journal'!$C$6:$C$1632,A416)</x:f>
        <x:v>0</x:v>
      </x:c>
      <x:c r="F416" s="9" t="n">
        <x:f>SUMIFS('Journal'!$F$6:$F$1632,'Journal'!$D$6:$D$1632,B416,'Journal'!$C$6:$C$1632,A416)</x:f>
        <x:v>1500</x:v>
      </x:c>
      <x:c r="G416" s="9" t="n">
        <x:f>ROUND(E416-F416,2)</x:f>
        <x:v>-1500</x:v>
      </x:c>
      <x:c r="H416" s="9" t="n">
        <x:f>ROUND(D416+G416,2)</x:f>
        <x:v>125500</x:v>
      </x:c>
    </x:row>
    <x:row r="417" ht="14" customHeight="1">
      <x:c r="A417" s="1" t="n">
        <x:v>7</x:v>
      </x:c>
      <x:c r="B417" s="1" t="str">
        <x:v>0650</x:v>
      </x:c>
      <x:c r="C417" s="1" t="str">
        <x:v>IT und Kommunikation</x:v>
      </x:c>
      <x:c r="D417" s="9" t="n">
        <x:f>H349</x:f>
        <x:v>68000</x:v>
      </x:c>
      <x:c r="E417" s="9" t="n">
        <x:f>SUMIFS('Journal'!$E$6:$E$1632,'Journal'!$D$6:$D$1632,B417,'Journal'!$C$6:$C$1632,A417)</x:f>
        <x:v>24000</x:v>
      </x:c>
      <x:c r="F417" s="9" t="n">
        <x:f>SUMIFS('Journal'!$F$6:$F$1632,'Journal'!$D$6:$D$1632,B417,'Journal'!$C$6:$C$1632,A417)</x:f>
        <x:v>2000</x:v>
      </x:c>
      <x:c r="G417" s="9" t="n">
        <x:f>ROUND(E417-F417,2)</x:f>
        <x:v>22000</x:v>
      </x:c>
      <x:c r="H417" s="9" t="n">
        <x:f>ROUND(D417+G417,2)</x:f>
        <x:v>90000</x:v>
      </x:c>
    </x:row>
    <x:row r="418" ht="14" customHeight="1">
      <x:c r="A418" s="1" t="n">
        <x:v>7</x:v>
      </x:c>
      <x:c r="B418" s="1" t="str">
        <x:v>0670</x:v>
      </x:c>
      <x:c r="C418" s="1" t="str">
        <x:v>Büroausstattung</x:v>
      </x:c>
      <x:c r="D418" s="9" t="n">
        <x:f>H350</x:f>
        <x:v>54000</x:v>
      </x:c>
      <x:c r="E418" s="9" t="n">
        <x:f>SUMIFS('Journal'!$E$6:$E$1632,'Journal'!$D$6:$D$1632,B418,'Journal'!$C$6:$C$1632,A418)</x:f>
        <x:v>0</x:v>
      </x:c>
      <x:c r="F418" s="9" t="n">
        <x:f>SUMIFS('Journal'!$F$6:$F$1632,'Journal'!$D$6:$D$1632,B418,'Journal'!$C$6:$C$1632,A418)</x:f>
        <x:v>1000</x:v>
      </x:c>
      <x:c r="G418" s="9" t="n">
        <x:f>ROUND(E418-F418,2)</x:f>
        <x:v>-1000</x:v>
      </x:c>
      <x:c r="H418" s="9" t="n">
        <x:f>ROUND(D418+G418,2)</x:f>
        <x:v>53000</x:v>
      </x:c>
    </x:row>
    <x:row r="419" ht="14" customHeight="1">
      <x:c r="A419" s="1" t="n">
        <x:v>7</x:v>
      </x:c>
      <x:c r="B419" s="1" t="str">
        <x:v>1140</x:v>
      </x:c>
      <x:c r="C419" s="1" t="str">
        <x:v>Warenbestand</x:v>
      </x:c>
      <x:c r="D419" s="9" t="n">
        <x:f>H351</x:f>
        <x:v>700000</x:v>
      </x:c>
      <x:c r="E419" s="9" t="n">
        <x:f>SUMIFS('Journal'!$E$6:$E$1632,'Journal'!$D$6:$D$1632,B419,'Journal'!$C$6:$C$1632,A419)</x:f>
        <x:v>427517.5</x:v>
      </x:c>
      <x:c r="F419" s="9" t="n">
        <x:f>SUMIFS('Journal'!$F$6:$F$1632,'Journal'!$D$6:$D$1632,B419,'Journal'!$C$6:$C$1632,A419)</x:f>
        <x:v>407517.5</x:v>
      </x:c>
      <x:c r="G419" s="9" t="n">
        <x:f>ROUND(E419-F419,2)</x:f>
        <x:v>20000</x:v>
      </x:c>
      <x:c r="H419" s="9" t="n">
        <x:f>ROUND(D419+G419,2)</x:f>
        <x:v>720000</x:v>
      </x:c>
    </x:row>
    <x:row r="420" ht="14" customHeight="1">
      <x:c r="A420" s="1" t="n">
        <x:v>7</x:v>
      </x:c>
      <x:c r="B420" s="1" t="str">
        <x:v>1200</x:v>
      </x:c>
      <x:c r="C420" s="1" t="str">
        <x:v>Forderungen aus Lieferungen und Leistungen</x:v>
      </x:c>
      <x:c r="D420" s="9" t="n">
        <x:f>H352</x:f>
        <x:v>780000</x:v>
      </x:c>
      <x:c r="E420" s="9" t="n">
        <x:f>SUMIFS('Journal'!$E$6:$E$1632,'Journal'!$D$6:$D$1632,B420,'Journal'!$C$6:$C$1632,A420)</x:f>
        <x:v>665532</x:v>
      </x:c>
      <x:c r="F420" s="9" t="n">
        <x:f>SUMIFS('Journal'!$F$6:$F$1632,'Journal'!$D$6:$D$1632,B420,'Journal'!$C$6:$C$1632,A420)</x:f>
        <x:v>635532</x:v>
      </x:c>
      <x:c r="G420" s="9" t="n">
        <x:f>ROUND(E420-F420,2)</x:f>
        <x:v>30000</x:v>
      </x:c>
      <x:c r="H420" s="9" t="n">
        <x:f>ROUND(D420+G420,2)</x:f>
        <x:v>810000</x:v>
      </x:c>
    </x:row>
    <x:row r="421" ht="14" customHeight="1">
      <x:c r="A421" s="1" t="n">
        <x:v>7</x:v>
      </x:c>
      <x:c r="B421" s="1" t="str">
        <x:v>1248</x:v>
      </x:c>
      <x:c r="C421" s="1" t="str">
        <x:v>Einzelwertberichtigungen zu Forderungen</x:v>
      </x:c>
      <x:c r="D421" s="9" t="n">
        <x:f>H353</x:f>
        <x:v>-20000</x:v>
      </x:c>
      <x:c r="E421" s="9" t="n">
        <x:f>SUMIFS('Journal'!$E$6:$E$1632,'Journal'!$D$6:$D$1632,B421,'Journal'!$C$6:$C$1632,A421)</x:f>
        <x:v>0</x:v>
      </x:c>
      <x:c r="F421" s="9" t="n">
        <x:f>SUMIFS('Journal'!$F$6:$F$1632,'Journal'!$D$6:$D$1632,B421,'Journal'!$C$6:$C$1632,A421)</x:f>
        <x:v>0</x:v>
      </x:c>
      <x:c r="G421" s="9" t="n">
        <x:f>ROUND(E421-F421,2)</x:f>
        <x:v>0</x:v>
      </x:c>
      <x:c r="H421" s="9" t="n">
        <x:f>ROUND(D421+G421,2)</x:f>
        <x:v>-20000</x:v>
      </x:c>
    </x:row>
    <x:row r="422" ht="14" customHeight="1">
      <x:c r="A422" s="1" t="n">
        <x:v>7</x:v>
      </x:c>
      <x:c r="B422" s="1" t="str">
        <x:v>1300</x:v>
      </x:c>
      <x:c r="C422" s="1" t="str">
        <x:v>Geleistete Lieferantenanzahlungen</x:v>
      </x:c>
      <x:c r="D422" s="9" t="n">
        <x:f>H354</x:f>
        <x:v>100000</x:v>
      </x:c>
      <x:c r="E422" s="9" t="n">
        <x:f>SUMIFS('Journal'!$E$6:$E$1632,'Journal'!$D$6:$D$1632,B422,'Journal'!$C$6:$C$1632,A422)</x:f>
        <x:v>0</x:v>
      </x:c>
      <x:c r="F422" s="9" t="n">
        <x:f>SUMIFS('Journal'!$F$6:$F$1632,'Journal'!$D$6:$D$1632,B422,'Journal'!$C$6:$C$1632,A422)</x:f>
        <x:v>0</x:v>
      </x:c>
      <x:c r="G422" s="9" t="n">
        <x:f>ROUND(E422-F422,2)</x:f>
        <x:v>0</x:v>
      </x:c>
      <x:c r="H422" s="9" t="n">
        <x:f>ROUND(D422+G422,2)</x:f>
        <x:v>100000</x:v>
      </x:c>
    </x:row>
    <x:row r="423" ht="14" customHeight="1">
      <x:c r="A423" s="1" t="n">
        <x:v>7</x:v>
      </x:c>
      <x:c r="B423" s="1" t="str">
        <x:v>1350</x:v>
      </x:c>
      <x:c r="C423" s="1" t="str">
        <x:v>Mietkaution Erlangen</x:v>
      </x:c>
      <x:c r="D423" s="9" t="n">
        <x:f>H355</x:f>
        <x:v>25000</x:v>
      </x:c>
      <x:c r="E423" s="9" t="n">
        <x:f>SUMIFS('Journal'!$E$6:$E$1632,'Journal'!$D$6:$D$1632,B423,'Journal'!$C$6:$C$1632,A423)</x:f>
        <x:v>0</x:v>
      </x:c>
      <x:c r="F423" s="9" t="n">
        <x:f>SUMIFS('Journal'!$F$6:$F$1632,'Journal'!$D$6:$D$1632,B423,'Journal'!$C$6:$C$1632,A423)</x:f>
        <x:v>0</x:v>
      </x:c>
      <x:c r="G423" s="9" t="n">
        <x:f>ROUND(E423-F423,2)</x:f>
        <x:v>0</x:v>
      </x:c>
      <x:c r="H423" s="9" t="n">
        <x:f>ROUND(D423+G423,2)</x:f>
        <x:v>25000</x:v>
      </x:c>
    </x:row>
    <x:row r="424" ht="14" customHeight="1">
      <x:c r="A424" s="1" t="n">
        <x:v>7</x:v>
      </x:c>
      <x:c r="B424" s="1" t="str">
        <x:v>1401</x:v>
      </x:c>
      <x:c r="C424" s="1" t="str">
        <x:v>Vorsteuer Inland 7 Prozent</x:v>
      </x:c>
      <x:c r="D424" s="9" t="n">
        <x:f>H356</x:f>
        <x:v>0</x:v>
      </x:c>
      <x:c r="E424" s="9" t="n">
        <x:f>SUMIFS('Journal'!$E$6:$E$1632,'Journal'!$D$6:$D$1632,B424,'Journal'!$C$6:$C$1632,A424)</x:f>
        <x:v>11371.97</x:v>
      </x:c>
      <x:c r="F424" s="9" t="n">
        <x:f>SUMIFS('Journal'!$F$6:$F$1632,'Journal'!$D$6:$D$1632,B424,'Journal'!$C$6:$C$1632,A424)</x:f>
        <x:v>11371.97</x:v>
      </x:c>
      <x:c r="G424" s="9" t="n">
        <x:f>ROUND(E424-F424,2)</x:f>
        <x:v>0</x:v>
      </x:c>
      <x:c r="H424" s="9" t="n">
        <x:f>ROUND(D424+G424,2)</x:f>
        <x:v>0</x:v>
      </x:c>
    </x:row>
    <x:row r="425" ht="14" customHeight="1">
      <x:c r="A425" s="1" t="n">
        <x:v>7</x:v>
      </x:c>
      <x:c r="B425" s="1" t="str">
        <x:v>1406</x:v>
      </x:c>
      <x:c r="C425" s="1" t="str">
        <x:v>Vorsteuer Inland 19 Prozent</x:v>
      </x:c>
      <x:c r="D425" s="9" t="n">
        <x:f>H357</x:f>
        <x:v>0</x:v>
      </x:c>
      <x:c r="E425" s="9" t="n">
        <x:f>SUMIFS('Journal'!$E$6:$E$1632,'Journal'!$D$6:$D$1632,B425,'Journal'!$C$6:$C$1632,A425)</x:f>
        <x:v>23830.98</x:v>
      </x:c>
      <x:c r="F425" s="9" t="n">
        <x:f>SUMIFS('Journal'!$F$6:$F$1632,'Journal'!$D$6:$D$1632,B425,'Journal'!$C$6:$C$1632,A425)</x:f>
        <x:v>23830.98</x:v>
      </x:c>
      <x:c r="G425" s="9" t="n">
        <x:f>ROUND(E425-F425,2)</x:f>
        <x:v>0</x:v>
      </x:c>
      <x:c r="H425" s="9" t="n">
        <x:f>ROUND(D425+G425,2)</x:f>
        <x:v>0</x:v>
      </x:c>
    </x:row>
    <x:row r="426" ht="14" customHeight="1">
      <x:c r="A426" s="1" t="n">
        <x:v>7</x:v>
      </x:c>
      <x:c r="B426" s="1" t="str">
        <x:v>1404</x:v>
      </x:c>
      <x:c r="C426" s="1" t="str">
        <x:v>Vorsteuer EU Erwerb 7 Prozent</x:v>
      </x:c>
      <x:c r="D426" s="9" t="n">
        <x:f>H358</x:f>
        <x:v>0</x:v>
      </x:c>
      <x:c r="E426" s="9" t="n">
        <x:f>SUMIFS('Journal'!$E$6:$E$1632,'Journal'!$D$6:$D$1632,B426,'Journal'!$C$6:$C$1632,A426)</x:f>
        <x:v>5985.24</x:v>
      </x:c>
      <x:c r="F426" s="9" t="n">
        <x:f>SUMIFS('Journal'!$F$6:$F$1632,'Journal'!$D$6:$D$1632,B426,'Journal'!$C$6:$C$1632,A426)</x:f>
        <x:v>5985.24</x:v>
      </x:c>
      <x:c r="G426" s="9" t="n">
        <x:f>ROUND(E426-F426,2)</x:f>
        <x:v>0</x:v>
      </x:c>
      <x:c r="H426" s="9" t="n">
        <x:f>ROUND(D426+G426,2)</x:f>
        <x:v>0</x:v>
      </x:c>
    </x:row>
    <x:row r="427" ht="14" customHeight="1">
      <x:c r="A427" s="1" t="n">
        <x:v>7</x:v>
      </x:c>
      <x:c r="B427" s="1" t="str">
        <x:v>1409</x:v>
      </x:c>
      <x:c r="C427" s="1" t="str">
        <x:v>Vorsteuer EU Erwerb 19 Prozent</x:v>
      </x:c>
      <x:c r="D427" s="9" t="n">
        <x:f>H359</x:f>
        <x:v>0</x:v>
      </x:c>
      <x:c r="E427" s="9" t="n">
        <x:f>SUMIFS('Journal'!$E$6:$E$1632,'Journal'!$D$6:$D$1632,B427,'Journal'!$C$6:$C$1632,A427)</x:f>
        <x:v>4061.42</x:v>
      </x:c>
      <x:c r="F427" s="9" t="n">
        <x:f>SUMIFS('Journal'!$F$6:$F$1632,'Journal'!$D$6:$D$1632,B427,'Journal'!$C$6:$C$1632,A427)</x:f>
        <x:v>4061.42</x:v>
      </x:c>
      <x:c r="G427" s="9" t="n">
        <x:f>ROUND(E427-F427,2)</x:f>
        <x:v>0</x:v>
      </x:c>
      <x:c r="H427" s="9" t="n">
        <x:f>ROUND(D427+G427,2)</x:f>
        <x:v>0</x:v>
      </x:c>
    </x:row>
    <x:row r="428" ht="14" customHeight="1">
      <x:c r="A428" s="1" t="n">
        <x:v>7</x:v>
      </x:c>
      <x:c r="B428" s="1" t="str">
        <x:v>1433</x:v>
      </x:c>
      <x:c r="C428" s="1" t="str">
        <x:v>Einfuhrumsatzsteuer</x:v>
      </x:c>
      <x:c r="D428" s="9" t="n">
        <x:f>H360</x:f>
        <x:v>0</x:v>
      </x:c>
      <x:c r="E428" s="9" t="n">
        <x:f>SUMIFS('Journal'!$E$6:$E$1632,'Journal'!$D$6:$D$1632,B428,'Journal'!$C$6:$C$1632,A428)</x:f>
        <x:v>10516.93</x:v>
      </x:c>
      <x:c r="F428" s="9" t="n">
        <x:f>SUMIFS('Journal'!$F$6:$F$1632,'Journal'!$D$6:$D$1632,B428,'Journal'!$C$6:$C$1632,A428)</x:f>
        <x:v>10516.93</x:v>
      </x:c>
      <x:c r="G428" s="9" t="n">
        <x:f>ROUND(E428-F428,2)</x:f>
        <x:v>0</x:v>
      </x:c>
      <x:c r="H428" s="9" t="n">
        <x:f>ROUND(D428+G428,2)</x:f>
        <x:v>0</x:v>
      </x:c>
    </x:row>
    <x:row r="429" ht="14" customHeight="1">
      <x:c r="A429" s="1" t="n">
        <x:v>7</x:v>
      </x:c>
      <x:c r="B429" s="1" t="str">
        <x:v>1600</x:v>
      </x:c>
      <x:c r="C429" s="1" t="str">
        <x:v>Kasse</x:v>
      </x:c>
      <x:c r="D429" s="9" t="n">
        <x:f>H361</x:f>
        <x:v>3000</x:v>
      </x:c>
      <x:c r="E429" s="9" t="n">
        <x:f>SUMIFS('Journal'!$E$6:$E$1632,'Journal'!$D$6:$D$1632,B429,'Journal'!$C$6:$C$1632,A429)</x:f>
        <x:v>300</x:v>
      </x:c>
      <x:c r="F429" s="9" t="n">
        <x:f>SUMIFS('Journal'!$F$6:$F$1632,'Journal'!$D$6:$D$1632,B429,'Journal'!$C$6:$C$1632,A429)</x:f>
        <x:v>300</x:v>
      </x:c>
      <x:c r="G429" s="9" t="n">
        <x:f>ROUND(E429-F429,2)</x:f>
        <x:v>0</x:v>
      </x:c>
      <x:c r="H429" s="9" t="n">
        <x:f>ROUND(D429+G429,2)</x:f>
        <x:v>3000</x:v>
      </x:c>
    </x:row>
    <x:row r="430" ht="14" customHeight="1">
      <x:c r="A430" s="1" t="n">
        <x:v>7</x:v>
      </x:c>
      <x:c r="B430" s="1" t="str">
        <x:v>1800</x:v>
      </x:c>
      <x:c r="C430" s="1" t="str">
        <x:v>Bank Frankenbogen Geschäftskonto</x:v>
      </x:c>
      <x:c r="D430" s="9" t="n">
        <x:f>H362</x:f>
        <x:v>82987.03</x:v>
      </x:c>
      <x:c r="E430" s="9" t="n">
        <x:f>SUMIFS('Journal'!$E$6:$E$1632,'Journal'!$D$6:$D$1632,B430,'Journal'!$C$6:$C$1632,A430)</x:f>
        <x:v>636464.37</x:v>
      </x:c>
      <x:c r="F430" s="9" t="n">
        <x:f>SUMIFS('Journal'!$F$6:$F$1632,'Journal'!$D$6:$D$1632,B430,'Journal'!$C$6:$C$1632,A430)</x:f>
        <x:v>659237.38</x:v>
      </x:c>
      <x:c r="G430" s="9" t="n">
        <x:f>ROUND(E430-F430,2)</x:f>
        <x:v>-22773.01</x:v>
      </x:c>
      <x:c r="H430" s="9" t="n">
        <x:f>ROUND(D430+G430,2)</x:f>
        <x:v>60214.02</x:v>
      </x:c>
    </x:row>
    <x:row r="431" ht="14" customHeight="1">
      <x:c r="A431" s="1" t="n">
        <x:v>7</x:v>
      </x:c>
      <x:c r="B431" s="1" t="str">
        <x:v>1900</x:v>
      </x:c>
      <x:c r="C431" s="1" t="str">
        <x:v>Aktive Rechnungsabgrenzung</x:v>
      </x:c>
      <x:c r="D431" s="9" t="n">
        <x:f>H363</x:f>
        <x:v>0</x:v>
      </x:c>
      <x:c r="E431" s="9" t="n">
        <x:f>SUMIFS('Journal'!$E$6:$E$1632,'Journal'!$D$6:$D$1632,B431,'Journal'!$C$6:$C$1632,A431)</x:f>
        <x:v>0</x:v>
      </x:c>
      <x:c r="F431" s="9" t="n">
        <x:f>SUMIFS('Journal'!$F$6:$F$1632,'Journal'!$D$6:$D$1632,B431,'Journal'!$C$6:$C$1632,A431)</x:f>
        <x:v>0</x:v>
      </x:c>
      <x:c r="G431" s="9" t="n">
        <x:f>ROUND(E431-F431,2)</x:f>
        <x:v>0</x:v>
      </x:c>
      <x:c r="H431" s="9" t="n">
        <x:f>ROUND(D431+G431,2)</x:f>
        <x:v>0</x:v>
      </x:c>
    </x:row>
    <x:row r="432" ht="14" customHeight="1">
      <x:c r="A432" s="1" t="n">
        <x:v>7</x:v>
      </x:c>
      <x:c r="B432" s="1" t="str">
        <x:v>2900</x:v>
      </x:c>
      <x:c r="C432" s="1" t="str">
        <x:v>Gezeichnetes Kapital</x:v>
      </x:c>
      <x:c r="D432" s="9" t="n">
        <x:f>H364</x:f>
        <x:v>-100000</x:v>
      </x:c>
      <x:c r="E432" s="9" t="n">
        <x:f>SUMIFS('Journal'!$E$6:$E$1632,'Journal'!$D$6:$D$1632,B432,'Journal'!$C$6:$C$1632,A432)</x:f>
        <x:v>0</x:v>
      </x:c>
      <x:c r="F432" s="9" t="n">
        <x:f>SUMIFS('Journal'!$F$6:$F$1632,'Journal'!$D$6:$D$1632,B432,'Journal'!$C$6:$C$1632,A432)</x:f>
        <x:v>0</x:v>
      </x:c>
      <x:c r="G432" s="9" t="n">
        <x:f>ROUND(E432-F432,2)</x:f>
        <x:v>0</x:v>
      </x:c>
      <x:c r="H432" s="9" t="n">
        <x:f>ROUND(D432+G432,2)</x:f>
        <x:v>-100000</x:v>
      </x:c>
    </x:row>
    <x:row r="433" ht="14" customHeight="1">
      <x:c r="A433" s="1" t="n">
        <x:v>7</x:v>
      </x:c>
      <x:c r="B433" s="1" t="str">
        <x:v>2970</x:v>
      </x:c>
      <x:c r="C433" s="1" t="str">
        <x:v>Gewinnvortrag bis 2023</x:v>
      </x:c>
      <x:c r="D433" s="9" t="n">
        <x:f>H365</x:f>
        <x:v>-705000</x:v>
      </x:c>
      <x:c r="E433" s="9" t="n">
        <x:f>SUMIFS('Journal'!$E$6:$E$1632,'Journal'!$D$6:$D$1632,B433,'Journal'!$C$6:$C$1632,A433)</x:f>
        <x:v>0</x:v>
      </x:c>
      <x:c r="F433" s="9" t="n">
        <x:f>SUMIFS('Journal'!$F$6:$F$1632,'Journal'!$D$6:$D$1632,B433,'Journal'!$C$6:$C$1632,A433)</x:f>
        <x:v>0</x:v>
      </x:c>
      <x:c r="G433" s="9" t="n">
        <x:f>ROUND(E433-F433,2)</x:f>
        <x:v>0</x:v>
      </x:c>
      <x:c r="H433" s="9" t="n">
        <x:f>ROUND(D433+G433,2)</x:f>
        <x:v>-705000</x:v>
      </x:c>
    </x:row>
    <x:row r="434" ht="14" customHeight="1">
      <x:c r="A434" s="1" t="n">
        <x:v>7</x:v>
      </x:c>
      <x:c r="B434" s="1" t="str">
        <x:v>2978</x:v>
      </x:c>
      <x:c r="C434" s="1" t="str">
        <x:v>Ergebnisvortrag 2024</x:v>
      </x:c>
      <x:c r="D434" s="9" t="n">
        <x:f>H366</x:f>
        <x:v>0</x:v>
      </x:c>
      <x:c r="E434" s="9" t="n">
        <x:f>SUMIFS('Journal'!$E$6:$E$1632,'Journal'!$D$6:$D$1632,B434,'Journal'!$C$6:$C$1632,A434)</x:f>
        <x:v>0</x:v>
      </x:c>
      <x:c r="F434" s="9" t="n">
        <x:f>SUMIFS('Journal'!$F$6:$F$1632,'Journal'!$D$6:$D$1632,B434,'Journal'!$C$6:$C$1632,A434)</x:f>
        <x:v>0</x:v>
      </x:c>
      <x:c r="G434" s="9" t="n">
        <x:f>ROUND(E434-F434,2)</x:f>
        <x:v>0</x:v>
      </x:c>
      <x:c r="H434" s="9" t="n">
        <x:f>ROUND(D434+G434,2)</x:f>
        <x:v>0</x:v>
      </x:c>
    </x:row>
    <x:row r="435" ht="14" customHeight="1">
      <x:c r="A435" s="1" t="n">
        <x:v>7</x:v>
      </x:c>
      <x:c r="B435" s="1" t="str">
        <x:v>3090</x:v>
      </x:c>
      <x:c r="C435" s="1" t="str">
        <x:v>Rückstellungen Abschluss und Urlaub</x:v>
      </x:c>
      <x:c r="D435" s="9" t="n">
        <x:f>H367</x:f>
        <x:v>-45000</x:v>
      </x:c>
      <x:c r="E435" s="9" t="n">
        <x:f>SUMIFS('Journal'!$E$6:$E$1632,'Journal'!$D$6:$D$1632,B435,'Journal'!$C$6:$C$1632,A435)</x:f>
        <x:v>0</x:v>
      </x:c>
      <x:c r="F435" s="9" t="n">
        <x:f>SUMIFS('Journal'!$F$6:$F$1632,'Journal'!$D$6:$D$1632,B435,'Journal'!$C$6:$C$1632,A435)</x:f>
        <x:v>0</x:v>
      </x:c>
      <x:c r="G435" s="9" t="n">
        <x:f>ROUND(E435-F435,2)</x:f>
        <x:v>0</x:v>
      </x:c>
      <x:c r="H435" s="9" t="n">
        <x:f>ROUND(D435+G435,2)</x:f>
        <x:v>-45000</x:v>
      </x:c>
    </x:row>
    <x:row r="436" ht="14" customHeight="1">
      <x:c r="A436" s="1" t="n">
        <x:v>7</x:v>
      </x:c>
      <x:c r="B436" s="1" t="str">
        <x:v>3150</x:v>
      </x:c>
      <x:c r="C436" s="1" t="str">
        <x:v>Investitionsdarlehen Frankenbogen</x:v>
      </x:c>
      <x:c r="D436" s="9" t="n">
        <x:f>H368</x:f>
        <x:v>-540000</x:v>
      </x:c>
      <x:c r="E436" s="9" t="n">
        <x:f>SUMIFS('Journal'!$E$6:$E$1632,'Journal'!$D$6:$D$1632,B436,'Journal'!$C$6:$C$1632,A436)</x:f>
        <x:v>10000</x:v>
      </x:c>
      <x:c r="F436" s="9" t="n">
        <x:f>SUMIFS('Journal'!$F$6:$F$1632,'Journal'!$D$6:$D$1632,B436,'Journal'!$C$6:$C$1632,A436)</x:f>
        <x:v>0</x:v>
      </x:c>
      <x:c r="G436" s="9" t="n">
        <x:f>ROUND(E436-F436,2)</x:f>
        <x:v>10000</x:v>
      </x:c>
      <x:c r="H436" s="9" t="n">
        <x:f>ROUND(D436+G436,2)</x:f>
        <x:v>-530000</x:v>
      </x:c>
    </x:row>
    <x:row r="437" ht="14" customHeight="1">
      <x:c r="A437" s="1" t="n">
        <x:v>7</x:v>
      </x:c>
      <x:c r="B437" s="1" t="str">
        <x:v>3160</x:v>
      </x:c>
      <x:c r="C437" s="1" t="str">
        <x:v>Gesellschafterdarlehen</x:v>
      </x:c>
      <x:c r="D437" s="9" t="n">
        <x:f>H369</x:f>
        <x:v>0</x:v>
      </x:c>
      <x:c r="E437" s="9" t="n">
        <x:f>SUMIFS('Journal'!$E$6:$E$1632,'Journal'!$D$6:$D$1632,B437,'Journal'!$C$6:$C$1632,A437)</x:f>
        <x:v>0</x:v>
      </x:c>
      <x:c r="F437" s="9" t="n">
        <x:f>SUMIFS('Journal'!$F$6:$F$1632,'Journal'!$D$6:$D$1632,B437,'Journal'!$C$6:$C$1632,A437)</x:f>
        <x:v>0</x:v>
      </x:c>
      <x:c r="G437" s="9" t="n">
        <x:f>ROUND(E437-F437,2)</x:f>
        <x:v>0</x:v>
      </x:c>
      <x:c r="H437" s="9" t="n">
        <x:f>ROUND(D437+G437,2)</x:f>
        <x:v>0</x:v>
      </x:c>
    </x:row>
    <x:row r="438" ht="14" customHeight="1">
      <x:c r="A438" s="1" t="n">
        <x:v>7</x:v>
      </x:c>
      <x:c r="B438" s="1" t="str">
        <x:v>3300</x:v>
      </x:c>
      <x:c r="C438" s="1" t="str">
        <x:v>Verbindlichkeiten aus Lieferungen und Leistungen</x:v>
      </x:c>
      <x:c r="D438" s="9" t="n">
        <x:f>H370</x:f>
        <x:v>-650000</x:v>
      </x:c>
      <x:c r="E438" s="9" t="n">
        <x:f>SUMIFS('Journal'!$E$6:$E$1632,'Journal'!$D$6:$D$1632,B438,'Journal'!$C$6:$C$1632,A438)</x:f>
        <x:v>502360.45</x:v>
      </x:c>
      <x:c r="F438" s="9" t="n">
        <x:f>SUMIFS('Journal'!$F$6:$F$1632,'Journal'!$D$6:$D$1632,B438,'Journal'!$C$6:$C$1632,A438)</x:f>
        <x:v>532360.45</x:v>
      </x:c>
      <x:c r="G438" s="9" t="n">
        <x:f>ROUND(E438-F438,2)</x:f>
        <x:v>-30000</x:v>
      </x:c>
      <x:c r="H438" s="9" t="n">
        <x:f>ROUND(D438+G438,2)</x:f>
        <x:v>-680000</x:v>
      </x:c>
    </x:row>
    <x:row r="439" ht="14" customHeight="1">
      <x:c r="A439" s="1" t="n">
        <x:v>7</x:v>
      </x:c>
      <x:c r="B439" s="1" t="str">
        <x:v>3500</x:v>
      </x:c>
      <x:c r="C439" s="1" t="str">
        <x:v>Sonstige Verbindlichkeiten</x:v>
      </x:c>
      <x:c r="D439" s="9" t="n">
        <x:f>H371</x:f>
        <x:v>-22000</x:v>
      </x:c>
      <x:c r="E439" s="9" t="n">
        <x:f>SUMIFS('Journal'!$E$6:$E$1632,'Journal'!$D$6:$D$1632,B439,'Journal'!$C$6:$C$1632,A439)</x:f>
        <x:v>0</x:v>
      </x:c>
      <x:c r="F439" s="9" t="n">
        <x:f>SUMIFS('Journal'!$F$6:$F$1632,'Journal'!$D$6:$D$1632,B439,'Journal'!$C$6:$C$1632,A439)</x:f>
        <x:v>0</x:v>
      </x:c>
      <x:c r="G439" s="9" t="n">
        <x:f>ROUND(E439-F439,2)</x:f>
        <x:v>0</x:v>
      </x:c>
      <x:c r="H439" s="9" t="n">
        <x:f>ROUND(D439+G439,2)</x:f>
        <x:v>-22000</x:v>
      </x:c>
    </x:row>
    <x:row r="440" ht="14" customHeight="1">
      <x:c r="A440" s="1" t="n">
        <x:v>7</x:v>
      </x:c>
      <x:c r="B440" s="1" t="str">
        <x:v>3720</x:v>
      </x:c>
      <x:c r="C440" s="1" t="str">
        <x:v>Verbindlichkeiten Nettolöhne</x:v>
      </x:c>
      <x:c r="D440" s="9" t="n">
        <x:f>H372</x:f>
        <x:v>0</x:v>
      </x:c>
      <x:c r="E440" s="9" t="n">
        <x:f>SUMIFS('Journal'!$E$6:$E$1632,'Journal'!$D$6:$D$1632,B440,'Journal'!$C$6:$C$1632,A440)</x:f>
        <x:v>56760</x:v>
      </x:c>
      <x:c r="F440" s="9" t="n">
        <x:f>SUMIFS('Journal'!$F$6:$F$1632,'Journal'!$D$6:$D$1632,B440,'Journal'!$C$6:$C$1632,A440)</x:f>
        <x:v>56760</x:v>
      </x:c>
      <x:c r="G440" s="9" t="n">
        <x:f>ROUND(E440-F440,2)</x:f>
        <x:v>0</x:v>
      </x:c>
      <x:c r="H440" s="9" t="n">
        <x:f>ROUND(D440+G440,2)</x:f>
        <x:v>0</x:v>
      </x:c>
    </x:row>
    <x:row r="441" ht="14" customHeight="1">
      <x:c r="A441" s="1" t="n">
        <x:v>7</x:v>
      </x:c>
      <x:c r="B441" s="1" t="str">
        <x:v>3730</x:v>
      </x:c>
      <x:c r="C441" s="1" t="str">
        <x:v>Verbindlichkeiten Lohnsteuer</x:v>
      </x:c>
      <x:c r="D441" s="9" t="n">
        <x:f>H373</x:f>
        <x:v>-12900</x:v>
      </x:c>
      <x:c r="E441" s="9" t="n">
        <x:f>SUMIFS('Journal'!$E$6:$E$1632,'Journal'!$D$6:$D$1632,B441,'Journal'!$C$6:$C$1632,A441)</x:f>
        <x:v>12900</x:v>
      </x:c>
      <x:c r="F441" s="9" t="n">
        <x:f>SUMIFS('Journal'!$F$6:$F$1632,'Journal'!$D$6:$D$1632,B441,'Journal'!$C$6:$C$1632,A441)</x:f>
        <x:v>12900</x:v>
      </x:c>
      <x:c r="G441" s="9" t="n">
        <x:f>ROUND(E441-F441,2)</x:f>
        <x:v>0</x:v>
      </x:c>
      <x:c r="H441" s="9" t="n">
        <x:f>ROUND(D441+G441,2)</x:f>
        <x:v>-12900</x:v>
      </x:c>
    </x:row>
    <x:row r="442" ht="14" customHeight="1">
      <x:c r="A442" s="1" t="n">
        <x:v>7</x:v>
      </x:c>
      <x:c r="B442" s="1" t="str">
        <x:v>3740</x:v>
      </x:c>
      <x:c r="C442" s="1" t="str">
        <x:v>Verbindlichkeiten Sozialversicherung</x:v>
      </x:c>
      <x:c r="D442" s="9" t="n">
        <x:f>H374</x:f>
        <x:v>0</x:v>
      </x:c>
      <x:c r="E442" s="9" t="n">
        <x:f>SUMIFS('Journal'!$E$6:$E$1632,'Journal'!$D$6:$D$1632,B442,'Journal'!$C$6:$C$1632,A442)</x:f>
        <x:v>34340</x:v>
      </x:c>
      <x:c r="F442" s="9" t="n">
        <x:f>SUMIFS('Journal'!$F$6:$F$1632,'Journal'!$D$6:$D$1632,B442,'Journal'!$C$6:$C$1632,A442)</x:f>
        <x:v>34340</x:v>
      </x:c>
      <x:c r="G442" s="9" t="n">
        <x:f>ROUND(E442-F442,2)</x:f>
        <x:v>0</x:v>
      </x:c>
      <x:c r="H442" s="9" t="n">
        <x:f>ROUND(D442+G442,2)</x:f>
        <x:v>0</x:v>
      </x:c>
    </x:row>
    <x:row r="443" ht="14" customHeight="1">
      <x:c r="A443" s="1" t="n">
        <x:v>7</x:v>
      </x:c>
      <x:c r="B443" s="1" t="str">
        <x:v>3801</x:v>
      </x:c>
      <x:c r="C443" s="1" t="str">
        <x:v>Umsatzsteuer Inland 7 Prozent</x:v>
      </x:c>
      <x:c r="D443" s="9" t="n">
        <x:f>H375</x:f>
        <x:v>0</x:v>
      </x:c>
      <x:c r="E443" s="9" t="n">
        <x:f>SUMIFS('Journal'!$E$6:$E$1632,'Journal'!$D$6:$D$1632,B443,'Journal'!$C$6:$C$1632,A443)</x:f>
        <x:v>21168</x:v>
      </x:c>
      <x:c r="F443" s="9" t="n">
        <x:f>SUMIFS('Journal'!$F$6:$F$1632,'Journal'!$D$6:$D$1632,B443,'Journal'!$C$6:$C$1632,A443)</x:f>
        <x:v>21168</x:v>
      </x:c>
      <x:c r="G443" s="9" t="n">
        <x:f>ROUND(E443-F443,2)</x:f>
        <x:v>0</x:v>
      </x:c>
      <x:c r="H443" s="9" t="n">
        <x:f>ROUND(D443+G443,2)</x:f>
        <x:v>0</x:v>
      </x:c>
    </x:row>
    <x:row r="444" ht="14" customHeight="1">
      <x:c r="A444" s="1" t="n">
        <x:v>7</x:v>
      </x:c>
      <x:c r="B444" s="1" t="str">
        <x:v>3806</x:v>
      </x:c>
      <x:c r="C444" s="1" t="str">
        <x:v>Umsatzsteuer Inland 19 Prozent</x:v>
      </x:c>
      <x:c r="D444" s="9" t="n">
        <x:f>H376</x:f>
        <x:v>0</x:v>
      </x:c>
      <x:c r="E444" s="9" t="n">
        <x:f>SUMIFS('Journal'!$E$6:$E$1632,'Journal'!$D$6:$D$1632,B444,'Journal'!$C$6:$C$1632,A444)</x:f>
        <x:v>14364</x:v>
      </x:c>
      <x:c r="F444" s="9" t="n">
        <x:f>SUMIFS('Journal'!$F$6:$F$1632,'Journal'!$D$6:$D$1632,B444,'Journal'!$C$6:$C$1632,A444)</x:f>
        <x:v>14364</x:v>
      </x:c>
      <x:c r="G444" s="9" t="n">
        <x:f>ROUND(E444-F444,2)</x:f>
        <x:v>0</x:v>
      </x:c>
      <x:c r="H444" s="9" t="n">
        <x:f>ROUND(D444+G444,2)</x:f>
        <x:v>0</x:v>
      </x:c>
    </x:row>
    <x:row r="445" ht="14" customHeight="1">
      <x:c r="A445" s="1" t="n">
        <x:v>7</x:v>
      </x:c>
      <x:c r="B445" s="1" t="str">
        <x:v>3804</x:v>
      </x:c>
      <x:c r="C445" s="1" t="str">
        <x:v>Umsatzsteuer EU Erwerb 7 Prozent</x:v>
      </x:c>
      <x:c r="D445" s="9" t="n">
        <x:f>H377</x:f>
        <x:v>0</x:v>
      </x:c>
      <x:c r="E445" s="9" t="n">
        <x:f>SUMIFS('Journal'!$E$6:$E$1632,'Journal'!$D$6:$D$1632,B445,'Journal'!$C$6:$C$1632,A445)</x:f>
        <x:v>5985.24</x:v>
      </x:c>
      <x:c r="F445" s="9" t="n">
        <x:f>SUMIFS('Journal'!$F$6:$F$1632,'Journal'!$D$6:$D$1632,B445,'Journal'!$C$6:$C$1632,A445)</x:f>
        <x:v>5985.24</x:v>
      </x:c>
      <x:c r="G445" s="9" t="n">
        <x:f>ROUND(E445-F445,2)</x:f>
        <x:v>0</x:v>
      </x:c>
      <x:c r="H445" s="9" t="n">
        <x:f>ROUND(D445+G445,2)</x:f>
        <x:v>0</x:v>
      </x:c>
    </x:row>
    <x:row r="446" ht="14" customHeight="1">
      <x:c r="A446" s="1" t="n">
        <x:v>7</x:v>
      </x:c>
      <x:c r="B446" s="1" t="str">
        <x:v>3809</x:v>
      </x:c>
      <x:c r="C446" s="1" t="str">
        <x:v>Umsatzsteuer EU Erwerb 19 Prozent</x:v>
      </x:c>
      <x:c r="D446" s="9" t="n">
        <x:f>H378</x:f>
        <x:v>0</x:v>
      </x:c>
      <x:c r="E446" s="9" t="n">
        <x:f>SUMIFS('Journal'!$E$6:$E$1632,'Journal'!$D$6:$D$1632,B446,'Journal'!$C$6:$C$1632,A446)</x:f>
        <x:v>4061.42</x:v>
      </x:c>
      <x:c r="F446" s="9" t="n">
        <x:f>SUMIFS('Journal'!$F$6:$F$1632,'Journal'!$D$6:$D$1632,B446,'Journal'!$C$6:$C$1632,A446)</x:f>
        <x:v>4061.42</x:v>
      </x:c>
      <x:c r="G446" s="9" t="n">
        <x:f>ROUND(E446-F446,2)</x:f>
        <x:v>0</x:v>
      </x:c>
      <x:c r="H446" s="9" t="n">
        <x:f>ROUND(D446+G446,2)</x:f>
        <x:v>0</x:v>
      </x:c>
    </x:row>
    <x:row r="447" ht="14" customHeight="1">
      <x:c r="A447" s="1" t="n">
        <x:v>7</x:v>
      </x:c>
      <x:c r="B447" s="1" t="str">
        <x:v>3820</x:v>
      </x:c>
      <x:c r="C447" s="1" t="str">
        <x:v>Umsatzsteuer Verrechnung Finanzamt</x:v>
      </x:c>
      <x:c r="D447" s="9" t="n">
        <x:f>H379</x:f>
        <x:v>4110.47</x:v>
      </x:c>
      <x:c r="E447" s="9" t="n">
        <x:f>SUMIFS('Journal'!$E$6:$E$1632,'Journal'!$D$6:$D$1632,B447,'Journal'!$C$6:$C$1632,A447)</x:f>
        <x:v>55766.53999999999</x:v>
      </x:c>
      <x:c r="F447" s="9" t="n">
        <x:f>SUMIFS('Journal'!$F$6:$F$1632,'Journal'!$D$6:$D$1632,B447,'Journal'!$C$6:$C$1632,A447)</x:f>
        <x:v>49561.03</x:v>
      </x:c>
      <x:c r="G447" s="9" t="n">
        <x:f>ROUND(E447-F447,2)</x:f>
        <x:v>6205.51</x:v>
      </x:c>
      <x:c r="H447" s="9" t="n">
        <x:f>ROUND(D447+G447,2)</x:f>
        <x:v>10315.98</x:v>
      </x:c>
    </x:row>
    <x:row r="448" ht="14" customHeight="1">
      <x:c r="A448" s="1" t="n">
        <x:v>7</x:v>
      </x:c>
      <x:c r="B448" s="1" t="str">
        <x:v>3840</x:v>
      </x:c>
      <x:c r="C448" s="1" t="str">
        <x:v>Ertragsteuern Verrechnung</x:v>
      </x:c>
      <x:c r="D448" s="9" t="n">
        <x:f>H380</x:f>
        <x:v>-11000</x:v>
      </x:c>
      <x:c r="E448" s="9" t="n">
        <x:f>SUMIFS('Journal'!$E$6:$E$1632,'Journal'!$D$6:$D$1632,B448,'Journal'!$C$6:$C$1632,A448)</x:f>
        <x:v>0</x:v>
      </x:c>
      <x:c r="F448" s="9" t="n">
        <x:f>SUMIFS('Journal'!$F$6:$F$1632,'Journal'!$D$6:$D$1632,B448,'Journal'!$C$6:$C$1632,A448)</x:f>
        <x:v>0</x:v>
      </x:c>
      <x:c r="G448" s="9" t="n">
        <x:f>ROUND(E448-F448,2)</x:f>
        <x:v>0</x:v>
      </x:c>
      <x:c r="H448" s="9" t="n">
        <x:f>ROUND(D448+G448,2)</x:f>
        <x:v>-11000</x:v>
      </x:c>
    </x:row>
    <x:row r="449" ht="14" customHeight="1">
      <x:c r="A449" s="1" t="n">
        <x:v>7</x:v>
      </x:c>
      <x:c r="B449" s="1" t="str">
        <x:v>4300</x:v>
      </x:c>
      <x:c r="C449" s="1" t="str">
        <x:v>Erlöse Inland 7 Prozent</x:v>
      </x:c>
      <x:c r="D449" s="9" t="n">
        <x:f>H381</x:f>
        <x:v>-1684800</x:v>
      </x:c>
      <x:c r="E449" s="9" t="n">
        <x:f>SUMIFS('Journal'!$E$6:$E$1632,'Journal'!$D$6:$D$1632,B449,'Journal'!$C$6:$C$1632,A449)</x:f>
        <x:v>0</x:v>
      </x:c>
      <x:c r="F449" s="9" t="n">
        <x:f>SUMIFS('Journal'!$F$6:$F$1632,'Journal'!$D$6:$D$1632,B449,'Journal'!$C$6:$C$1632,A449)</x:f>
        <x:v>302400</x:v>
      </x:c>
      <x:c r="G449" s="9" t="n">
        <x:f>ROUND(E449-F449,2)</x:f>
        <x:v>-302400</x:v>
      </x:c>
      <x:c r="H449" s="9" t="n">
        <x:f>ROUND(D449+G449,2)</x:f>
        <x:v>-1987200</x:v>
      </x:c>
    </x:row>
    <x:row r="450" ht="14" customHeight="1">
      <x:c r="A450" s="1" t="n">
        <x:v>7</x:v>
      </x:c>
      <x:c r="B450" s="1" t="str">
        <x:v>4400</x:v>
      </x:c>
      <x:c r="C450" s="1" t="str">
        <x:v>Erlöse Inland 19 Prozent</x:v>
      </x:c>
      <x:c r="D450" s="9" t="n">
        <x:f>H382</x:f>
        <x:v>-421200</x:v>
      </x:c>
      <x:c r="E450" s="9" t="n">
        <x:f>SUMIFS('Journal'!$E$6:$E$1632,'Journal'!$D$6:$D$1632,B450,'Journal'!$C$6:$C$1632,A450)</x:f>
        <x:v>0</x:v>
      </x:c>
      <x:c r="F450" s="9" t="n">
        <x:f>SUMIFS('Journal'!$F$6:$F$1632,'Journal'!$D$6:$D$1632,B450,'Journal'!$C$6:$C$1632,A450)</x:f>
        <x:v>75600</x:v>
      </x:c>
      <x:c r="G450" s="9" t="n">
        <x:f>ROUND(E450-F450,2)</x:f>
        <x:v>-75600</x:v>
      </x:c>
      <x:c r="H450" s="9" t="n">
        <x:f>ROUND(D450+G450,2)</x:f>
        <x:v>-496800</x:v>
      </x:c>
    </x:row>
    <x:row r="451" ht="14" customHeight="1">
      <x:c r="A451" s="1" t="n">
        <x:v>7</x:v>
      </x:c>
      <x:c r="B451" s="1" t="str">
        <x:v>4125</x:v>
      </x:c>
      <x:c r="C451" s="1" t="str">
        <x:v>Erlöse EU Warenlieferungen</x:v>
      </x:c>
      <x:c r="D451" s="9" t="n">
        <x:f>H383</x:f>
        <x:v>-702000</x:v>
      </x:c>
      <x:c r="E451" s="9" t="n">
        <x:f>SUMIFS('Journal'!$E$6:$E$1632,'Journal'!$D$6:$D$1632,B451,'Journal'!$C$6:$C$1632,A451)</x:f>
        <x:v>0</x:v>
      </x:c>
      <x:c r="F451" s="9" t="n">
        <x:f>SUMIFS('Journal'!$F$6:$F$1632,'Journal'!$D$6:$D$1632,B451,'Journal'!$C$6:$C$1632,A451)</x:f>
        <x:v>126000</x:v>
      </x:c>
      <x:c r="G451" s="9" t="n">
        <x:f>ROUND(E451-F451,2)</x:f>
        <x:v>-126000</x:v>
      </x:c>
      <x:c r="H451" s="9" t="n">
        <x:f>ROUND(D451+G451,2)</x:f>
        <x:v>-828000</x:v>
      </x:c>
    </x:row>
    <x:row r="452" ht="14" customHeight="1">
      <x:c r="A452" s="1" t="n">
        <x:v>7</x:v>
      </x:c>
      <x:c r="B452" s="1" t="str">
        <x:v>4120</x:v>
      </x:c>
      <x:c r="C452" s="1" t="str">
        <x:v>Erlöse Drittland Warenlieferungen</x:v>
      </x:c>
      <x:c r="D452" s="9" t="n">
        <x:f>H384</x:f>
        <x:v>-702000</x:v>
      </x:c>
      <x:c r="E452" s="9" t="n">
        <x:f>SUMIFS('Journal'!$E$6:$E$1632,'Journal'!$D$6:$D$1632,B452,'Journal'!$C$6:$C$1632,A452)</x:f>
        <x:v>0</x:v>
      </x:c>
      <x:c r="F452" s="9" t="n">
        <x:f>SUMIFS('Journal'!$F$6:$F$1632,'Journal'!$D$6:$D$1632,B452,'Journal'!$C$6:$C$1632,A452)</x:f>
        <x:v>126000</x:v>
      </x:c>
      <x:c r="G452" s="9" t="n">
        <x:f>ROUND(E452-F452,2)</x:f>
        <x:v>-126000</x:v>
      </x:c>
      <x:c r="H452" s="9" t="n">
        <x:f>ROUND(D452+G452,2)</x:f>
        <x:v>-828000</x:v>
      </x:c>
    </x:row>
    <x:row r="453" ht="14" customHeight="1">
      <x:c r="A453" s="1" t="n">
        <x:v>7</x:v>
      </x:c>
      <x:c r="B453" s="1" t="str">
        <x:v>4730</x:v>
      </x:c>
      <x:c r="C453" s="1" t="str">
        <x:v>Erlösschmälerungen Inland 7 Prozent</x:v>
      </x:c>
      <x:c r="D453" s="9" t="n">
        <x:f>H385</x:f>
        <x:v>9090</x:v>
      </x:c>
      <x:c r="E453" s="9" t="n">
        <x:f>SUMIFS('Journal'!$E$6:$E$1632,'Journal'!$D$6:$D$1632,B453,'Journal'!$C$6:$C$1632,A453)</x:f>
        <x:v>1830</x:v>
      </x:c>
      <x:c r="F453" s="9" t="n">
        <x:f>SUMIFS('Journal'!$F$6:$F$1632,'Journal'!$D$6:$D$1632,B453,'Journal'!$C$6:$C$1632,A453)</x:f>
        <x:v>0</x:v>
      </x:c>
      <x:c r="G453" s="9" t="n">
        <x:f>ROUND(E453-F453,2)</x:f>
        <x:v>1830</x:v>
      </x:c>
      <x:c r="H453" s="9" t="n">
        <x:f>ROUND(D453+G453,2)</x:f>
        <x:v>10920</x:v>
      </x:c>
    </x:row>
    <x:row r="454" ht="14" customHeight="1">
      <x:c r="A454" s="1" t="n">
        <x:v>7</x:v>
      </x:c>
      <x:c r="B454" s="1" t="str">
        <x:v>4735</x:v>
      </x:c>
      <x:c r="C454" s="1" t="str">
        <x:v>Erlösschmälerungen EU</x:v>
      </x:c>
      <x:c r="D454" s="9" t="n">
        <x:f>H386</x:f>
        <x:v>6060</x:v>
      </x:c>
      <x:c r="E454" s="9" t="n">
        <x:f>SUMIFS('Journal'!$E$6:$E$1632,'Journal'!$D$6:$D$1632,B454,'Journal'!$C$6:$C$1632,A454)</x:f>
        <x:v>1220</x:v>
      </x:c>
      <x:c r="F454" s="9" t="n">
        <x:f>SUMIFS('Journal'!$F$6:$F$1632,'Journal'!$D$6:$D$1632,B454,'Journal'!$C$6:$C$1632,A454)</x:f>
        <x:v>0</x:v>
      </x:c>
      <x:c r="G454" s="9" t="n">
        <x:f>ROUND(E454-F454,2)</x:f>
        <x:v>1220</x:v>
      </x:c>
      <x:c r="H454" s="9" t="n">
        <x:f>ROUND(D454+G454,2)</x:f>
        <x:v>7280</x:v>
      </x:c>
    </x:row>
    <x:row r="455" ht="14" customHeight="1">
      <x:c r="A455" s="1" t="n">
        <x:v>7</x:v>
      </x:c>
      <x:c r="B455" s="1" t="str">
        <x:v>4830</x:v>
      </x:c>
      <x:c r="C455" s="1" t="str">
        <x:v>Sonstige betriebliche Erträge</x:v>
      </x:c>
      <x:c r="D455" s="9" t="n">
        <x:f>H387</x:f>
        <x:v>-12000</x:v>
      </x:c>
      <x:c r="E455" s="9" t="n">
        <x:f>SUMIFS('Journal'!$E$6:$E$1632,'Journal'!$D$6:$D$1632,B455,'Journal'!$C$6:$C$1632,A455)</x:f>
        <x:v>0</x:v>
      </x:c>
      <x:c r="F455" s="9" t="n">
        <x:f>SUMIFS('Journal'!$F$6:$F$1632,'Journal'!$D$6:$D$1632,B455,'Journal'!$C$6:$C$1632,A455)</x:f>
        <x:v>0</x:v>
      </x:c>
      <x:c r="G455" s="9" t="n">
        <x:f>ROUND(E455-F455,2)</x:f>
        <x:v>0</x:v>
      </x:c>
      <x:c r="H455" s="9" t="n">
        <x:f>ROUND(D455+G455,2)</x:f>
        <x:v>-12000</x:v>
      </x:c>
    </x:row>
    <x:row r="456" ht="14" customHeight="1">
      <x:c r="A456" s="1" t="n">
        <x:v>7</x:v>
      </x:c>
      <x:c r="B456" s="1" t="str">
        <x:v>5000</x:v>
      </x:c>
      <x:c r="C456" s="1" t="str">
        <x:v>Wareneinsatz</x:v>
      </x:c>
      <x:c r="D456" s="9" t="n">
        <x:f>H388</x:f>
        <x:v>2271652.5</x:v>
      </x:c>
      <x:c r="E456" s="9" t="n">
        <x:f>SUMIFS('Journal'!$E$6:$E$1632,'Journal'!$D$6:$D$1632,B456,'Journal'!$C$6:$C$1632,A456)</x:f>
        <x:v>407517.5</x:v>
      </x:c>
      <x:c r="F456" s="9" t="n">
        <x:f>SUMIFS('Journal'!$F$6:$F$1632,'Journal'!$D$6:$D$1632,B456,'Journal'!$C$6:$C$1632,A456)</x:f>
        <x:v>0</x:v>
      </x:c>
      <x:c r="G456" s="9" t="n">
        <x:f>ROUND(E456-F456,2)</x:f>
        <x:v>407517.5</x:v>
      </x:c>
      <x:c r="H456" s="9" t="n">
        <x:f>ROUND(D456+G456,2)</x:f>
        <x:v>2679170</x:v>
      </x:c>
    </x:row>
    <x:row r="457" ht="14" customHeight="1">
      <x:c r="A457" s="1" t="n">
        <x:v>7</x:v>
      </x:c>
      <x:c r="B457" s="1" t="str">
        <x:v>5005</x:v>
      </x:c>
      <x:c r="C457" s="1" t="str">
        <x:v>Abwertung Warenbestand</x:v>
      </x:c>
      <x:c r="D457" s="9" t="n">
        <x:f>H389</x:f>
        <x:v>0</x:v>
      </x:c>
      <x:c r="E457" s="9" t="n">
        <x:f>SUMIFS('Journal'!$E$6:$E$1632,'Journal'!$D$6:$D$1632,B457,'Journal'!$C$6:$C$1632,A457)</x:f>
        <x:v>0</x:v>
      </x:c>
      <x:c r="F457" s="9" t="n">
        <x:f>SUMIFS('Journal'!$F$6:$F$1632,'Journal'!$D$6:$D$1632,B457,'Journal'!$C$6:$C$1632,A457)</x:f>
        <x:v>0</x:v>
      </x:c>
      <x:c r="G457" s="9" t="n">
        <x:f>ROUND(E457-F457,2)</x:f>
        <x:v>0</x:v>
      </x:c>
      <x:c r="H457" s="9" t="n">
        <x:f>ROUND(D457+G457,2)</x:f>
        <x:v>0</x:v>
      </x:c>
    </x:row>
    <x:row r="458" ht="14" customHeight="1">
      <x:c r="A458" s="1" t="n">
        <x:v>7</x:v>
      </x:c>
      <x:c r="B458" s="1" t="str">
        <x:v>6020</x:v>
      </x:c>
      <x:c r="C458" s="1" t="str">
        <x:v>Bruttogehälter</x:v>
      </x:c>
      <x:c r="D458" s="9" t="n">
        <x:f>H390</x:f>
        <x:v>516000</x:v>
      </x:c>
      <x:c r="E458" s="9" t="n">
        <x:f>SUMIFS('Journal'!$E$6:$E$1632,'Journal'!$D$6:$D$1632,B458,'Journal'!$C$6:$C$1632,A458)</x:f>
        <x:v>86000</x:v>
      </x:c>
      <x:c r="F458" s="9" t="n">
        <x:f>SUMIFS('Journal'!$F$6:$F$1632,'Journal'!$D$6:$D$1632,B458,'Journal'!$C$6:$C$1632,A458)</x:f>
        <x:v>0</x:v>
      </x:c>
      <x:c r="G458" s="9" t="n">
        <x:f>ROUND(E458-F458,2)</x:f>
        <x:v>86000</x:v>
      </x:c>
      <x:c r="H458" s="9" t="n">
        <x:f>ROUND(D458+G458,2)</x:f>
        <x:v>602000</x:v>
      </x:c>
    </x:row>
    <x:row r="459" ht="14" customHeight="1">
      <x:c r="A459" s="1" t="n">
        <x:v>7</x:v>
      </x:c>
      <x:c r="B459" s="1" t="str">
        <x:v>6110</x:v>
      </x:c>
      <x:c r="C459" s="1" t="str">
        <x:v>Arbeitgeberanteile Sozialversicherung</x:v>
      </x:c>
      <x:c r="D459" s="9" t="n">
        <x:f>H391</x:f>
        <x:v>108000</x:v>
      </x:c>
      <x:c r="E459" s="9" t="n">
        <x:f>SUMIFS('Journal'!$E$6:$E$1632,'Journal'!$D$6:$D$1632,B459,'Journal'!$C$6:$C$1632,A459)</x:f>
        <x:v>18000</x:v>
      </x:c>
      <x:c r="F459" s="9" t="n">
        <x:f>SUMIFS('Journal'!$F$6:$F$1632,'Journal'!$D$6:$D$1632,B459,'Journal'!$C$6:$C$1632,A459)</x:f>
        <x:v>0</x:v>
      </x:c>
      <x:c r="G459" s="9" t="n">
        <x:f>ROUND(E459-F459,2)</x:f>
        <x:v>18000</x:v>
      </x:c>
      <x:c r="H459" s="9" t="n">
        <x:f>ROUND(D459+G459,2)</x:f>
        <x:v>126000</x:v>
      </x:c>
    </x:row>
    <x:row r="460" ht="14" customHeight="1">
      <x:c r="A460" s="1" t="n">
        <x:v>7</x:v>
      </x:c>
      <x:c r="B460" s="1" t="str">
        <x:v>6220</x:v>
      </x:c>
      <x:c r="C460" s="1" t="str">
        <x:v>Abschreibungen Sachanlagen und Software</x:v>
      </x:c>
      <x:c r="D460" s="9" t="n">
        <x:f>H392</x:f>
        <x:v>45000</x:v>
      </x:c>
      <x:c r="E460" s="9" t="n">
        <x:f>SUMIFS('Journal'!$E$6:$E$1632,'Journal'!$D$6:$D$1632,B460,'Journal'!$C$6:$C$1632,A460)</x:f>
        <x:v>7500</x:v>
      </x:c>
      <x:c r="F460" s="9" t="n">
        <x:f>SUMIFS('Journal'!$F$6:$F$1632,'Journal'!$D$6:$D$1632,B460,'Journal'!$C$6:$C$1632,A460)</x:f>
        <x:v>0</x:v>
      </x:c>
      <x:c r="G460" s="9" t="n">
        <x:f>ROUND(E460-F460,2)</x:f>
        <x:v>7500</x:v>
      </x:c>
      <x:c r="H460" s="9" t="n">
        <x:f>ROUND(D460+G460,2)</x:f>
        <x:v>52500</x:v>
      </x:c>
    </x:row>
    <x:row r="461" ht="14" customHeight="1">
      <x:c r="A461" s="1" t="n">
        <x:v>7</x:v>
      </x:c>
      <x:c r="B461" s="1" t="str">
        <x:v>6310</x:v>
      </x:c>
      <x:c r="C461" s="1" t="str">
        <x:v>Miete Büro Nürnberg</x:v>
      </x:c>
      <x:c r="D461" s="9" t="n">
        <x:f>H393</x:f>
        <x:v>24000</x:v>
      </x:c>
      <x:c r="E461" s="9" t="n">
        <x:f>SUMIFS('Journal'!$E$6:$E$1632,'Journal'!$D$6:$D$1632,B461,'Journal'!$C$6:$C$1632,A461)</x:f>
        <x:v>4000</x:v>
      </x:c>
      <x:c r="F461" s="9" t="n">
        <x:f>SUMIFS('Journal'!$F$6:$F$1632,'Journal'!$D$6:$D$1632,B461,'Journal'!$C$6:$C$1632,A461)</x:f>
        <x:v>0</x:v>
      </x:c>
      <x:c r="G461" s="9" t="n">
        <x:f>ROUND(E461-F461,2)</x:f>
        <x:v>4000</x:v>
      </x:c>
      <x:c r="H461" s="9" t="n">
        <x:f>ROUND(D461+G461,2)</x:f>
        <x:v>28000</x:v>
      </x:c>
    </x:row>
    <x:row r="462" ht="14" customHeight="1">
      <x:c r="A462" s="1" t="n">
        <x:v>7</x:v>
      </x:c>
      <x:c r="B462" s="1" t="str">
        <x:v>6311</x:v>
      </x:c>
      <x:c r="C462" s="1" t="str">
        <x:v>Miete Lager Erlangen</x:v>
      </x:c>
      <x:c r="D462" s="9" t="n">
        <x:f>H394</x:f>
        <x:v>60000</x:v>
      </x:c>
      <x:c r="E462" s="9" t="n">
        <x:f>SUMIFS('Journal'!$E$6:$E$1632,'Journal'!$D$6:$D$1632,B462,'Journal'!$C$6:$C$1632,A462)</x:f>
        <x:v>10000</x:v>
      </x:c>
      <x:c r="F462" s="9" t="n">
        <x:f>SUMIFS('Journal'!$F$6:$F$1632,'Journal'!$D$6:$D$1632,B462,'Journal'!$C$6:$C$1632,A462)</x:f>
        <x:v>0</x:v>
      </x:c>
      <x:c r="G462" s="9" t="n">
        <x:f>ROUND(E462-F462,2)</x:f>
        <x:v>10000</x:v>
      </x:c>
      <x:c r="H462" s="9" t="n">
        <x:f>ROUND(D462+G462,2)</x:f>
        <x:v>70000</x:v>
      </x:c>
    </x:row>
    <x:row r="463" ht="14" customHeight="1">
      <x:c r="A463" s="1" t="n">
        <x:v>7</x:v>
      </x:c>
      <x:c r="B463" s="1" t="str">
        <x:v>6325</x:v>
      </x:c>
      <x:c r="C463" s="1" t="str">
        <x:v>Strom und Kühlung</x:v>
      </x:c>
      <x:c r="D463" s="9" t="n">
        <x:f>H395</x:f>
        <x:v>27000</x:v>
      </x:c>
      <x:c r="E463" s="9" t="n">
        <x:f>SUMIFS('Journal'!$E$6:$E$1632,'Journal'!$D$6:$D$1632,B463,'Journal'!$C$6:$C$1632,A463)</x:f>
        <x:v>4500</x:v>
      </x:c>
      <x:c r="F463" s="9" t="n">
        <x:f>SUMIFS('Journal'!$F$6:$F$1632,'Journal'!$D$6:$D$1632,B463,'Journal'!$C$6:$C$1632,A463)</x:f>
        <x:v>0</x:v>
      </x:c>
      <x:c r="G463" s="9" t="n">
        <x:f>ROUND(E463-F463,2)</x:f>
        <x:v>4500</x:v>
      </x:c>
      <x:c r="H463" s="9" t="n">
        <x:f>ROUND(D463+G463,2)</x:f>
        <x:v>31500</x:v>
      </x:c>
    </x:row>
    <x:row r="464" ht="14" customHeight="1">
      <x:c r="A464" s="1" t="n">
        <x:v>7</x:v>
      </x:c>
      <x:c r="B464" s="1" t="str">
        <x:v>6400</x:v>
      </x:c>
      <x:c r="C464" s="1" t="str">
        <x:v>Versicherungen</x:v>
      </x:c>
      <x:c r="D464" s="9" t="n">
        <x:f>H396</x:f>
        <x:v>15000</x:v>
      </x:c>
      <x:c r="E464" s="9" t="n">
        <x:f>SUMIFS('Journal'!$E$6:$E$1632,'Journal'!$D$6:$D$1632,B464,'Journal'!$C$6:$C$1632,A464)</x:f>
        <x:v>2500</x:v>
      </x:c>
      <x:c r="F464" s="9" t="n">
        <x:f>SUMIFS('Journal'!$F$6:$F$1632,'Journal'!$D$6:$D$1632,B464,'Journal'!$C$6:$C$1632,A464)</x:f>
        <x:v>0</x:v>
      </x:c>
      <x:c r="G464" s="9" t="n">
        <x:f>ROUND(E464-F464,2)</x:f>
        <x:v>2500</x:v>
      </x:c>
      <x:c r="H464" s="9" t="n">
        <x:f>ROUND(D464+G464,2)</x:f>
        <x:v>17500</x:v>
      </x:c>
    </x:row>
    <x:row r="465" ht="14" customHeight="1">
      <x:c r="A465" s="1" t="n">
        <x:v>7</x:v>
      </x:c>
      <x:c r="B465" s="1" t="str">
        <x:v>6470</x:v>
      </x:c>
      <x:c r="C465" s="1" t="str">
        <x:v>Lagerbetrieb und Reinigung</x:v>
      </x:c>
      <x:c r="D465" s="9" t="n">
        <x:f>H397</x:f>
        <x:v>36000</x:v>
      </x:c>
      <x:c r="E465" s="9" t="n">
        <x:f>SUMIFS('Journal'!$E$6:$E$1632,'Journal'!$D$6:$D$1632,B465,'Journal'!$C$6:$C$1632,A465)</x:f>
        <x:v>6000</x:v>
      </x:c>
      <x:c r="F465" s="9" t="n">
        <x:f>SUMIFS('Journal'!$F$6:$F$1632,'Journal'!$D$6:$D$1632,B465,'Journal'!$C$6:$C$1632,A465)</x:f>
        <x:v>0</x:v>
      </x:c>
      <x:c r="G465" s="9" t="n">
        <x:f>ROUND(E465-F465,2)</x:f>
        <x:v>6000</x:v>
      </x:c>
      <x:c r="H465" s="9" t="n">
        <x:f>ROUND(D465+G465,2)</x:f>
        <x:v>42000</x:v>
      </x:c>
    </x:row>
    <x:row r="466" ht="14" customHeight="1">
      <x:c r="A466" s="1" t="n">
        <x:v>7</x:v>
      </x:c>
      <x:c r="B466" s="1" t="str">
        <x:v>6490</x:v>
      </x:c>
      <x:c r="C466" s="1" t="str">
        <x:v>Reparaturen und Wartung</x:v>
      </x:c>
      <x:c r="D466" s="9" t="n">
        <x:f>H398</x:f>
        <x:v>15000</x:v>
      </x:c>
      <x:c r="E466" s="9" t="n">
        <x:f>SUMIFS('Journal'!$E$6:$E$1632,'Journal'!$D$6:$D$1632,B466,'Journal'!$C$6:$C$1632,A466)</x:f>
        <x:v>2500</x:v>
      </x:c>
      <x:c r="F466" s="9" t="n">
        <x:f>SUMIFS('Journal'!$F$6:$F$1632,'Journal'!$D$6:$D$1632,B466,'Journal'!$C$6:$C$1632,A466)</x:f>
        <x:v>0</x:v>
      </x:c>
      <x:c r="G466" s="9" t="n">
        <x:f>ROUND(E466-F466,2)</x:f>
        <x:v>2500</x:v>
      </x:c>
      <x:c r="H466" s="9" t="n">
        <x:f>ROUND(D466+G466,2)</x:f>
        <x:v>17500</x:v>
      </x:c>
    </x:row>
    <x:row r="467" ht="14" customHeight="1">
      <x:c r="A467" s="1" t="n">
        <x:v>7</x:v>
      </x:c>
      <x:c r="B467" s="1" t="str">
        <x:v>6600</x:v>
      </x:c>
      <x:c r="C467" s="1" t="str">
        <x:v>Marketing und Messen</x:v>
      </x:c>
      <x:c r="D467" s="9" t="n">
        <x:f>H399</x:f>
        <x:v>36000</x:v>
      </x:c>
      <x:c r="E467" s="9" t="n">
        <x:f>SUMIFS('Journal'!$E$6:$E$1632,'Journal'!$D$6:$D$1632,B467,'Journal'!$C$6:$C$1632,A467)</x:f>
        <x:v>6000</x:v>
      </x:c>
      <x:c r="F467" s="9" t="n">
        <x:f>SUMIFS('Journal'!$F$6:$F$1632,'Journal'!$D$6:$D$1632,B467,'Journal'!$C$6:$C$1632,A467)</x:f>
        <x:v>0</x:v>
      </x:c>
      <x:c r="G467" s="9" t="n">
        <x:f>ROUND(E467-F467,2)</x:f>
        <x:v>6000</x:v>
      </x:c>
      <x:c r="H467" s="9" t="n">
        <x:f>ROUND(D467+G467,2)</x:f>
        <x:v>42000</x:v>
      </x:c>
    </x:row>
    <x:row r="468" ht="14" customHeight="1">
      <x:c r="A468" s="1" t="n">
        <x:v>7</x:v>
      </x:c>
      <x:c r="B468" s="1" t="str">
        <x:v>6650</x:v>
      </x:c>
      <x:c r="C468" s="1" t="str">
        <x:v>Reisekosten</x:v>
      </x:c>
      <x:c r="D468" s="9" t="n">
        <x:f>H400</x:f>
        <x:v>9000</x:v>
      </x:c>
      <x:c r="E468" s="9" t="n">
        <x:f>SUMIFS('Journal'!$E$6:$E$1632,'Journal'!$D$6:$D$1632,B468,'Journal'!$C$6:$C$1632,A468)</x:f>
        <x:v>1500</x:v>
      </x:c>
      <x:c r="F468" s="9" t="n">
        <x:f>SUMIFS('Journal'!$F$6:$F$1632,'Journal'!$D$6:$D$1632,B468,'Journal'!$C$6:$C$1632,A468)</x:f>
        <x:v>0</x:v>
      </x:c>
      <x:c r="G468" s="9" t="n">
        <x:f>ROUND(E468-F468,2)</x:f>
        <x:v>1500</x:v>
      </x:c>
      <x:c r="H468" s="9" t="n">
        <x:f>ROUND(D468+G468,2)</x:f>
        <x:v>10500</x:v>
      </x:c>
    </x:row>
    <x:row r="469" ht="14" customHeight="1">
      <x:c r="A469" s="1" t="n">
        <x:v>7</x:v>
      </x:c>
      <x:c r="B469" s="1" t="str">
        <x:v>6740</x:v>
      </x:c>
      <x:c r="C469" s="1" t="str">
        <x:v>Ausgangsfrachten Inland</x:v>
      </x:c>
      <x:c r="D469" s="9" t="n">
        <x:f>H401</x:f>
        <x:v>78000</x:v>
      </x:c>
      <x:c r="E469" s="9" t="n">
        <x:f>SUMIFS('Journal'!$E$6:$E$1632,'Journal'!$D$6:$D$1632,B469,'Journal'!$C$6:$C$1632,A469)</x:f>
        <x:v>13000</x:v>
      </x:c>
      <x:c r="F469" s="9" t="n">
        <x:f>SUMIFS('Journal'!$F$6:$F$1632,'Journal'!$D$6:$D$1632,B469,'Journal'!$C$6:$C$1632,A469)</x:f>
        <x:v>0</x:v>
      </x:c>
      <x:c r="G469" s="9" t="n">
        <x:f>ROUND(E469-F469,2)</x:f>
        <x:v>13000</x:v>
      </x:c>
      <x:c r="H469" s="9" t="n">
        <x:f>ROUND(D469+G469,2)</x:f>
        <x:v>91000</x:v>
      </x:c>
    </x:row>
    <x:row r="470" ht="14" customHeight="1">
      <x:c r="A470" s="1" t="n">
        <x:v>7</x:v>
      </x:c>
      <x:c r="B470" s="1" t="str">
        <x:v>6741</x:v>
      </x:c>
      <x:c r="C470" s="1" t="str">
        <x:v>Ausgangsfrachten Ausland</x:v>
      </x:c>
      <x:c r="D470" s="9" t="n">
        <x:f>H402</x:f>
        <x:v>84000</x:v>
      </x:c>
      <x:c r="E470" s="9" t="n">
        <x:f>SUMIFS('Journal'!$E$6:$E$1632,'Journal'!$D$6:$D$1632,B470,'Journal'!$C$6:$C$1632,A470)</x:f>
        <x:v>14000</x:v>
      </x:c>
      <x:c r="F470" s="9" t="n">
        <x:f>SUMIFS('Journal'!$F$6:$F$1632,'Journal'!$D$6:$D$1632,B470,'Journal'!$C$6:$C$1632,A470)</x:f>
        <x:v>0</x:v>
      </x:c>
      <x:c r="G470" s="9" t="n">
        <x:f>ROUND(E470-F470,2)</x:f>
        <x:v>14000</x:v>
      </x:c>
      <x:c r="H470" s="9" t="n">
        <x:f>ROUND(D470+G470,2)</x:f>
        <x:v>98000</x:v>
      </x:c>
    </x:row>
    <x:row r="471" ht="14" customHeight="1">
      <x:c r="A471" s="1" t="n">
        <x:v>7</x:v>
      </x:c>
      <x:c r="B471" s="1" t="str">
        <x:v>6805</x:v>
      </x:c>
      <x:c r="C471" s="1" t="str">
        <x:v>Telekommunikation und IT</x:v>
      </x:c>
      <x:c r="D471" s="9" t="n">
        <x:f>H403</x:f>
        <x:v>27000</x:v>
      </x:c>
      <x:c r="E471" s="9" t="n">
        <x:f>SUMIFS('Journal'!$E$6:$E$1632,'Journal'!$D$6:$D$1632,B471,'Journal'!$C$6:$C$1632,A471)</x:f>
        <x:v>1500</x:v>
      </x:c>
      <x:c r="F471" s="9" t="n">
        <x:f>SUMIFS('Journal'!$F$6:$F$1632,'Journal'!$D$6:$D$1632,B471,'Journal'!$C$6:$C$1632,A471)</x:f>
        <x:v>0</x:v>
      </x:c>
      <x:c r="G471" s="9" t="n">
        <x:f>ROUND(E471-F471,2)</x:f>
        <x:v>1500</x:v>
      </x:c>
      <x:c r="H471" s="9" t="n">
        <x:f>ROUND(D471+G471,2)</x:f>
        <x:v>28500</x:v>
      </x:c>
    </x:row>
    <x:row r="472" ht="14" customHeight="1">
      <x:c r="A472" s="1" t="n">
        <x:v>7</x:v>
      </x:c>
      <x:c r="B472" s="1" t="str">
        <x:v>6825</x:v>
      </x:c>
      <x:c r="C472" s="1" t="str">
        <x:v>Rechtsberatung und Buchführung</x:v>
      </x:c>
      <x:c r="D472" s="9" t="n">
        <x:f>H404</x:f>
        <x:v>18000</x:v>
      </x:c>
      <x:c r="E472" s="9" t="n">
        <x:f>SUMIFS('Journal'!$E$6:$E$1632,'Journal'!$D$6:$D$1632,B472,'Journal'!$C$6:$C$1632,A472)</x:f>
        <x:v>3000</x:v>
      </x:c>
      <x:c r="F472" s="9" t="n">
        <x:f>SUMIFS('Journal'!$F$6:$F$1632,'Journal'!$D$6:$D$1632,B472,'Journal'!$C$6:$C$1632,A472)</x:f>
        <x:v>0</x:v>
      </x:c>
      <x:c r="G472" s="9" t="n">
        <x:f>ROUND(E472-F472,2)</x:f>
        <x:v>3000</x:v>
      </x:c>
      <x:c r="H472" s="9" t="n">
        <x:f>ROUND(D472+G472,2)</x:f>
        <x:v>21000</x:v>
      </x:c>
    </x:row>
    <x:row r="473" ht="14" customHeight="1">
      <x:c r="A473" s="1" t="n">
        <x:v>7</x:v>
      </x:c>
      <x:c r="B473" s="1" t="str">
        <x:v>6830</x:v>
      </x:c>
      <x:c r="C473" s="1" t="str">
        <x:v>Labor und Qualitätssicherung</x:v>
      </x:c>
      <x:c r="D473" s="9" t="n">
        <x:f>H405</x:f>
        <x:v>21000</x:v>
      </x:c>
      <x:c r="E473" s="9" t="n">
        <x:f>SUMIFS('Journal'!$E$6:$E$1632,'Journal'!$D$6:$D$1632,B473,'Journal'!$C$6:$C$1632,A473)</x:f>
        <x:v>3500</x:v>
      </x:c>
      <x:c r="F473" s="9" t="n">
        <x:f>SUMIFS('Journal'!$F$6:$F$1632,'Journal'!$D$6:$D$1632,B473,'Journal'!$C$6:$C$1632,A473)</x:f>
        <x:v>0</x:v>
      </x:c>
      <x:c r="G473" s="9" t="n">
        <x:f>ROUND(E473-F473,2)</x:f>
        <x:v>3500</x:v>
      </x:c>
      <x:c r="H473" s="9" t="n">
        <x:f>ROUND(D473+G473,2)</x:f>
        <x:v>24500</x:v>
      </x:c>
    </x:row>
    <x:row r="474" ht="14" customHeight="1">
      <x:c r="A474" s="1" t="n">
        <x:v>7</x:v>
      </x:c>
      <x:c r="B474" s="1" t="str">
        <x:v>6850</x:v>
      </x:c>
      <x:c r="C474" s="1" t="str">
        <x:v>Bürobedarf und übriger Aufwand</x:v>
      </x:c>
      <x:c r="D474" s="9" t="n">
        <x:f>H406</x:f>
        <x:v>12000</x:v>
      </x:c>
      <x:c r="E474" s="9" t="n">
        <x:f>SUMIFS('Journal'!$E$6:$E$1632,'Journal'!$D$6:$D$1632,B474,'Journal'!$C$6:$C$1632,A474)</x:f>
        <x:v>2000</x:v>
      </x:c>
      <x:c r="F474" s="9" t="n">
        <x:f>SUMIFS('Journal'!$F$6:$F$1632,'Journal'!$D$6:$D$1632,B474,'Journal'!$C$6:$C$1632,A474)</x:f>
        <x:v>0</x:v>
      </x:c>
      <x:c r="G474" s="9" t="n">
        <x:f>ROUND(E474-F474,2)</x:f>
        <x:v>2000</x:v>
      </x:c>
      <x:c r="H474" s="9" t="n">
        <x:f>ROUND(D474+G474,2)</x:f>
        <x:v>14000</x:v>
      </x:c>
    </x:row>
    <x:row r="475" ht="14" customHeight="1">
      <x:c r="A475" s="1" t="n">
        <x:v>7</x:v>
      </x:c>
      <x:c r="B475" s="1" t="str">
        <x:v>6855</x:v>
      </x:c>
      <x:c r="C475" s="1" t="str">
        <x:v>Zuführung Abschluss und Urlaubsrückstellungen</x:v>
      </x:c>
      <x:c r="D475" s="9" t="n">
        <x:f>H407</x:f>
        <x:v>0</x:v>
      </x:c>
      <x:c r="E475" s="9" t="n">
        <x:f>SUMIFS('Journal'!$E$6:$E$1632,'Journal'!$D$6:$D$1632,B475,'Journal'!$C$6:$C$1632,A475)</x:f>
        <x:v>0</x:v>
      </x:c>
      <x:c r="F475" s="9" t="n">
        <x:f>SUMIFS('Journal'!$F$6:$F$1632,'Journal'!$D$6:$D$1632,B475,'Journal'!$C$6:$C$1632,A475)</x:f>
        <x:v>0</x:v>
      </x:c>
      <x:c r="G475" s="9" t="n">
        <x:f>ROUND(E475-F475,2)</x:f>
        <x:v>0</x:v>
      </x:c>
      <x:c r="H475" s="9" t="n">
        <x:f>ROUND(D475+G475,2)</x:f>
        <x:v>0</x:v>
      </x:c>
    </x:row>
    <x:row r="476" ht="14" customHeight="1">
      <x:c r="A476" s="1" t="n">
        <x:v>7</x:v>
      </x:c>
      <x:c r="B476" s="1" t="str">
        <x:v>6859</x:v>
      </x:c>
      <x:c r="C476" s="1" t="str">
        <x:v>Bankgebühren</x:v>
      </x:c>
      <x:c r="D476" s="9" t="n">
        <x:f>H408</x:f>
        <x:v>3000</x:v>
      </x:c>
      <x:c r="E476" s="9" t="n">
        <x:f>SUMIFS('Journal'!$E$6:$E$1632,'Journal'!$D$6:$D$1632,B476,'Journal'!$C$6:$C$1632,A476)</x:f>
        <x:v>500</x:v>
      </x:c>
      <x:c r="F476" s="9" t="n">
        <x:f>SUMIFS('Journal'!$F$6:$F$1632,'Journal'!$D$6:$D$1632,B476,'Journal'!$C$6:$C$1632,A476)</x:f>
        <x:v>0</x:v>
      </x:c>
      <x:c r="G476" s="9" t="n">
        <x:f>ROUND(E476-F476,2)</x:f>
        <x:v>500</x:v>
      </x:c>
      <x:c r="H476" s="9" t="n">
        <x:f>ROUND(D476+G476,2)</x:f>
        <x:v>3500</x:v>
      </x:c>
    </x:row>
    <x:row r="477" ht="14" customHeight="1">
      <x:c r="A477" s="1" t="n">
        <x:v>7</x:v>
      </x:c>
      <x:c r="B477" s="1" t="str">
        <x:v>6950</x:v>
      </x:c>
      <x:c r="C477" s="1" t="str">
        <x:v>Zuführung Einzelwertberichtigungen</x:v>
      </x:c>
      <x:c r="D477" s="9" t="n">
        <x:f>H409</x:f>
        <x:v>0</x:v>
      </x:c>
      <x:c r="E477" s="9" t="n">
        <x:f>SUMIFS('Journal'!$E$6:$E$1632,'Journal'!$D$6:$D$1632,B477,'Journal'!$C$6:$C$1632,A477)</x:f>
        <x:v>0</x:v>
      </x:c>
      <x:c r="F477" s="9" t="n">
        <x:f>SUMIFS('Journal'!$F$6:$F$1632,'Journal'!$D$6:$D$1632,B477,'Journal'!$C$6:$C$1632,A477)</x:f>
        <x:v>0</x:v>
      </x:c>
      <x:c r="G477" s="9" t="n">
        <x:f>ROUND(E477-F477,2)</x:f>
        <x:v>0</x:v>
      </x:c>
      <x:c r="H477" s="9" t="n">
        <x:f>ROUND(D477+G477,2)</x:f>
        <x:v>0</x:v>
      </x:c>
    </x:row>
    <x:row r="478" ht="14" customHeight="1">
      <x:c r="A478" s="1" t="n">
        <x:v>7</x:v>
      </x:c>
      <x:c r="B478" s="1" t="str">
        <x:v>7300</x:v>
      </x:c>
      <x:c r="C478" s="1" t="str">
        <x:v>Zinsen Investitionsdarlehen</x:v>
      </x:c>
      <x:c r="D478" s="9" t="n">
        <x:f>H410</x:f>
        <x:v>15000</x:v>
      </x:c>
      <x:c r="E478" s="9" t="n">
        <x:f>SUMIFS('Journal'!$E$6:$E$1632,'Journal'!$D$6:$D$1632,B478,'Journal'!$C$6:$C$1632,A478)</x:f>
        <x:v>2500</x:v>
      </x:c>
      <x:c r="F478" s="9" t="n">
        <x:f>SUMIFS('Journal'!$F$6:$F$1632,'Journal'!$D$6:$D$1632,B478,'Journal'!$C$6:$C$1632,A478)</x:f>
        <x:v>0</x:v>
      </x:c>
      <x:c r="G478" s="9" t="n">
        <x:f>ROUND(E478-F478,2)</x:f>
        <x:v>2500</x:v>
      </x:c>
      <x:c r="H478" s="9" t="n">
        <x:f>ROUND(D478+G478,2)</x:f>
        <x:v>17500</x:v>
      </x:c>
    </x:row>
    <x:row r="479" ht="14" customHeight="1">
      <x:c r="A479" s="1" t="n">
        <x:v>7</x:v>
      </x:c>
      <x:c r="B479" s="1" t="str">
        <x:v>7310</x:v>
      </x:c>
      <x:c r="C479" s="1" t="str">
        <x:v>Zinsen Kontokorrent</x:v>
      </x:c>
      <x:c r="D479" s="9" t="n">
        <x:f>H411</x:f>
        <x:v>6000</x:v>
      </x:c>
      <x:c r="E479" s="9" t="n">
        <x:f>SUMIFS('Journal'!$E$6:$E$1632,'Journal'!$D$6:$D$1632,B479,'Journal'!$C$6:$C$1632,A479)</x:f>
        <x:v>1000</x:v>
      </x:c>
      <x:c r="F479" s="9" t="n">
        <x:f>SUMIFS('Journal'!$F$6:$F$1632,'Journal'!$D$6:$D$1632,B479,'Journal'!$C$6:$C$1632,A479)</x:f>
        <x:v>0</x:v>
      </x:c>
      <x:c r="G479" s="9" t="n">
        <x:f>ROUND(E479-F479,2)</x:f>
        <x:v>1000</x:v>
      </x:c>
      <x:c r="H479" s="9" t="n">
        <x:f>ROUND(D479+G479,2)</x:f>
        <x:v>7000</x:v>
      </x:c>
    </x:row>
    <x:row r="480" ht="14" customHeight="1">
      <x:c r="A480" s="1" t="n">
        <x:v>7</x:v>
      </x:c>
      <x:c r="B480" s="1" t="str">
        <x:v>7320</x:v>
      </x:c>
      <x:c r="C480" s="1" t="str">
        <x:v>Zinsen Gesellschafterdarlehen</x:v>
      </x:c>
      <x:c r="D480" s="9" t="n">
        <x:f>H412</x:f>
        <x:v>0</x:v>
      </x:c>
      <x:c r="E480" s="9" t="n">
        <x:f>SUMIFS('Journal'!$E$6:$E$1632,'Journal'!$D$6:$D$1632,B480,'Journal'!$C$6:$C$1632,A480)</x:f>
        <x:v>0</x:v>
      </x:c>
      <x:c r="F480" s="9" t="n">
        <x:f>SUMIFS('Journal'!$F$6:$F$1632,'Journal'!$D$6:$D$1632,B480,'Journal'!$C$6:$C$1632,A480)</x:f>
        <x:v>0</x:v>
      </x:c>
      <x:c r="G480" s="9" t="n">
        <x:f>ROUND(E480-F480,2)</x:f>
        <x:v>0</x:v>
      </x:c>
      <x:c r="H480" s="9" t="n">
        <x:f>ROUND(D480+G480,2)</x:f>
        <x:v>0</x:v>
      </x:c>
    </x:row>
    <x:row r="481" ht="14" customHeight="1">
      <x:c r="A481" s="1" t="n">
        <x:v>7</x:v>
      </x:c>
      <x:c r="B481" s="1" t="str">
        <x:v>7600</x:v>
      </x:c>
      <x:c r="C481" s="1" t="str">
        <x:v>Ertragsteueraufwand</x:v>
      </x:c>
      <x:c r="D481" s="9" t="n">
        <x:f>H413</x:f>
        <x:v>0</x:v>
      </x:c>
      <x:c r="E481" s="9" t="n">
        <x:f>SUMIFS('Journal'!$E$6:$E$1632,'Journal'!$D$6:$D$1632,B481,'Journal'!$C$6:$C$1632,A481)</x:f>
        <x:v>0</x:v>
      </x:c>
      <x:c r="F481" s="9" t="n">
        <x:f>SUMIFS('Journal'!$F$6:$F$1632,'Journal'!$D$6:$D$1632,B481,'Journal'!$C$6:$C$1632,A481)</x:f>
        <x:v>0</x:v>
      </x:c>
      <x:c r="G481" s="9" t="n">
        <x:f>ROUND(E481-F481,2)</x:f>
        <x:v>0</x:v>
      </x:c>
      <x:c r="H481" s="9" t="n">
        <x:f>ROUND(D481+G481,2)</x:f>
        <x:v>0</x:v>
      </x:c>
    </x:row>
    <x:row r="482" ht="14" customHeight="1">
      <x:c r="A482" s="1" t="n">
        <x:v>8</x:v>
      </x:c>
      <x:c r="B482" s="1" t="str">
        <x:v>0100</x:v>
      </x:c>
      <x:c r="C482" s="1" t="str">
        <x:v>Software</x:v>
      </x:c>
      <x:c r="D482" s="9" t="n">
        <x:f>H414</x:f>
        <x:v>16500</x:v>
      </x:c>
      <x:c r="E482" s="9" t="n">
        <x:f>SUMIFS('Journal'!$E$6:$E$1632,'Journal'!$D$6:$D$1632,B482,'Journal'!$C$6:$C$1632,A482)</x:f>
        <x:v>0</x:v>
      </x:c>
      <x:c r="F482" s="9" t="n">
        <x:f>SUMIFS('Journal'!$F$6:$F$1632,'Journal'!$D$6:$D$1632,B482,'Journal'!$C$6:$C$1632,A482)</x:f>
        <x:v>500</x:v>
      </x:c>
      <x:c r="G482" s="9" t="n">
        <x:f>ROUND(E482-F482,2)</x:f>
        <x:v>-500</x:v>
      </x:c>
      <x:c r="H482" s="9" t="n">
        <x:f>ROUND(D482+G482,2)</x:f>
        <x:v>16000</x:v>
      </x:c>
    </x:row>
    <x:row r="483" ht="14" customHeight="1">
      <x:c r="A483" s="1" t="n">
        <x:v>8</x:v>
      </x:c>
      <x:c r="B483" s="1" t="str">
        <x:v>0400</x:v>
      </x:c>
      <x:c r="C483" s="1" t="str">
        <x:v>Lagereinbauten Erlangen</x:v>
      </x:c>
      <x:c r="D483" s="9" t="n">
        <x:f>H415</x:f>
        <x:v>222500</x:v>
      </x:c>
      <x:c r="E483" s="9" t="n">
        <x:f>SUMIFS('Journal'!$E$6:$E$1632,'Journal'!$D$6:$D$1632,B483,'Journal'!$C$6:$C$1632,A483)</x:f>
        <x:v>0</x:v>
      </x:c>
      <x:c r="F483" s="9" t="n">
        <x:f>SUMIFS('Journal'!$F$6:$F$1632,'Journal'!$D$6:$D$1632,B483,'Journal'!$C$6:$C$1632,A483)</x:f>
        <x:v>2500</x:v>
      </x:c>
      <x:c r="G483" s="9" t="n">
        <x:f>ROUND(E483-F483,2)</x:f>
        <x:v>-2500</x:v>
      </x:c>
      <x:c r="H483" s="9" t="n">
        <x:f>ROUND(D483+G483,2)</x:f>
        <x:v>220000</x:v>
      </x:c>
    </x:row>
    <x:row r="484" ht="14" customHeight="1">
      <x:c r="A484" s="1" t="n">
        <x:v>8</x:v>
      </x:c>
      <x:c r="B484" s="1" t="str">
        <x:v>0520</x:v>
      </x:c>
      <x:c r="C484" s="1" t="str">
        <x:v>Flurförderzeuge</x:v>
      </x:c>
      <x:c r="D484" s="9" t="n">
        <x:f>H416</x:f>
        <x:v>125500</x:v>
      </x:c>
      <x:c r="E484" s="9" t="n">
        <x:f>SUMIFS('Journal'!$E$6:$E$1632,'Journal'!$D$6:$D$1632,B484,'Journal'!$C$6:$C$1632,A484)</x:f>
        <x:v>0</x:v>
      </x:c>
      <x:c r="F484" s="9" t="n">
        <x:f>SUMIFS('Journal'!$F$6:$F$1632,'Journal'!$D$6:$D$1632,B484,'Journal'!$C$6:$C$1632,A484)</x:f>
        <x:v>1500</x:v>
      </x:c>
      <x:c r="G484" s="9" t="n">
        <x:f>ROUND(E484-F484,2)</x:f>
        <x:v>-1500</x:v>
      </x:c>
      <x:c r="H484" s="9" t="n">
        <x:f>ROUND(D484+G484,2)</x:f>
        <x:v>124000</x:v>
      </x:c>
    </x:row>
    <x:row r="485" ht="14" customHeight="1">
      <x:c r="A485" s="1" t="n">
        <x:v>8</x:v>
      </x:c>
      <x:c r="B485" s="1" t="str">
        <x:v>0650</x:v>
      </x:c>
      <x:c r="C485" s="1" t="str">
        <x:v>IT und Kommunikation</x:v>
      </x:c>
      <x:c r="D485" s="9" t="n">
        <x:f>H417</x:f>
        <x:v>90000</x:v>
      </x:c>
      <x:c r="E485" s="9" t="n">
        <x:f>SUMIFS('Journal'!$E$6:$E$1632,'Journal'!$D$6:$D$1632,B485,'Journal'!$C$6:$C$1632,A485)</x:f>
        <x:v>0</x:v>
      </x:c>
      <x:c r="F485" s="9" t="n">
        <x:f>SUMIFS('Journal'!$F$6:$F$1632,'Journal'!$D$6:$D$1632,B485,'Journal'!$C$6:$C$1632,A485)</x:f>
        <x:v>2000</x:v>
      </x:c>
      <x:c r="G485" s="9" t="n">
        <x:f>ROUND(E485-F485,2)</x:f>
        <x:v>-2000</x:v>
      </x:c>
      <x:c r="H485" s="9" t="n">
        <x:f>ROUND(D485+G485,2)</x:f>
        <x:v>88000</x:v>
      </x:c>
    </x:row>
    <x:row r="486" ht="14" customHeight="1">
      <x:c r="A486" s="1" t="n">
        <x:v>8</x:v>
      </x:c>
      <x:c r="B486" s="1" t="str">
        <x:v>0670</x:v>
      </x:c>
      <x:c r="C486" s="1" t="str">
        <x:v>Büroausstattung</x:v>
      </x:c>
      <x:c r="D486" s="9" t="n">
        <x:f>H418</x:f>
        <x:v>53000</x:v>
      </x:c>
      <x:c r="E486" s="9" t="n">
        <x:f>SUMIFS('Journal'!$E$6:$E$1632,'Journal'!$D$6:$D$1632,B486,'Journal'!$C$6:$C$1632,A486)</x:f>
        <x:v>0</x:v>
      </x:c>
      <x:c r="F486" s="9" t="n">
        <x:f>SUMIFS('Journal'!$F$6:$F$1632,'Journal'!$D$6:$D$1632,B486,'Journal'!$C$6:$C$1632,A486)</x:f>
        <x:v>1000</x:v>
      </x:c>
      <x:c r="G486" s="9" t="n">
        <x:f>ROUND(E486-F486,2)</x:f>
        <x:v>-1000</x:v>
      </x:c>
      <x:c r="H486" s="9" t="n">
        <x:f>ROUND(D486+G486,2)</x:f>
        <x:v>52000</x:v>
      </x:c>
    </x:row>
    <x:row r="487" ht="14" customHeight="1">
      <x:c r="A487" s="1" t="n">
        <x:v>8</x:v>
      </x:c>
      <x:c r="B487" s="1" t="str">
        <x:v>1140</x:v>
      </x:c>
      <x:c r="C487" s="1" t="str">
        <x:v>Warenbestand</x:v>
      </x:c>
      <x:c r="D487" s="9" t="n">
        <x:f>H419</x:f>
        <x:v>720000</x:v>
      </x:c>
      <x:c r="E487" s="9" t="n">
        <x:f>SUMIFS('Journal'!$E$6:$E$1632,'Journal'!$D$6:$D$1632,B487,'Journal'!$C$6:$C$1632,A487)</x:f>
        <x:v>371420</x:v>
      </x:c>
      <x:c r="F487" s="9" t="n">
        <x:f>SUMIFS('Journal'!$F$6:$F$1632,'Journal'!$D$6:$D$1632,B487,'Journal'!$C$6:$C$1632,A487)</x:f>
        <x:v>381420</x:v>
      </x:c>
      <x:c r="G487" s="9" t="n">
        <x:f>ROUND(E487-F487,2)</x:f>
        <x:v>-10000</x:v>
      </x:c>
      <x:c r="H487" s="9" t="n">
        <x:f>ROUND(D487+G487,2)</x:f>
        <x:v>710000</x:v>
      </x:c>
    </x:row>
    <x:row r="488" ht="14" customHeight="1">
      <x:c r="A488" s="1" t="n">
        <x:v>8</x:v>
      </x:c>
      <x:c r="B488" s="1" t="str">
        <x:v>1200</x:v>
      </x:c>
      <x:c r="C488" s="1" t="str">
        <x:v>Forderungen aus Lieferungen und Leistungen</x:v>
      </x:c>
      <x:c r="D488" s="9" t="n">
        <x:f>H420</x:f>
        <x:v>810000</x:v>
      </x:c>
      <x:c r="E488" s="9" t="n">
        <x:f>SUMIFS('Journal'!$E$6:$E$1632,'Journal'!$D$6:$D$1632,B488,'Journal'!$C$6:$C$1632,A488)</x:f>
        <x:v>623276</x:v>
      </x:c>
      <x:c r="F488" s="9" t="n">
        <x:f>SUMIFS('Journal'!$F$6:$F$1632,'Journal'!$D$6:$D$1632,B488,'Journal'!$C$6:$C$1632,A488)</x:f>
        <x:v>643276</x:v>
      </x:c>
      <x:c r="G488" s="9" t="n">
        <x:f>ROUND(E488-F488,2)</x:f>
        <x:v>-20000</x:v>
      </x:c>
      <x:c r="H488" s="9" t="n">
        <x:f>ROUND(D488+G488,2)</x:f>
        <x:v>790000</x:v>
      </x:c>
    </x:row>
    <x:row r="489" ht="14" customHeight="1">
      <x:c r="A489" s="1" t="n">
        <x:v>8</x:v>
      </x:c>
      <x:c r="B489" s="1" t="str">
        <x:v>1248</x:v>
      </x:c>
      <x:c r="C489" s="1" t="str">
        <x:v>Einzelwertberichtigungen zu Forderungen</x:v>
      </x:c>
      <x:c r="D489" s="9" t="n">
        <x:f>H421</x:f>
        <x:v>-20000</x:v>
      </x:c>
      <x:c r="E489" s="9" t="n">
        <x:f>SUMIFS('Journal'!$E$6:$E$1632,'Journal'!$D$6:$D$1632,B489,'Journal'!$C$6:$C$1632,A489)</x:f>
        <x:v>0</x:v>
      </x:c>
      <x:c r="F489" s="9" t="n">
        <x:f>SUMIFS('Journal'!$F$6:$F$1632,'Journal'!$D$6:$D$1632,B489,'Journal'!$C$6:$C$1632,A489)</x:f>
        <x:v>0</x:v>
      </x:c>
      <x:c r="G489" s="9" t="n">
        <x:f>ROUND(E489-F489,2)</x:f>
        <x:v>0</x:v>
      </x:c>
      <x:c r="H489" s="9" t="n">
        <x:f>ROUND(D489+G489,2)</x:f>
        <x:v>-20000</x:v>
      </x:c>
    </x:row>
    <x:row r="490" ht="14" customHeight="1">
      <x:c r="A490" s="1" t="n">
        <x:v>8</x:v>
      </x:c>
      <x:c r="B490" s="1" t="str">
        <x:v>1300</x:v>
      </x:c>
      <x:c r="C490" s="1" t="str">
        <x:v>Geleistete Lieferantenanzahlungen</x:v>
      </x:c>
      <x:c r="D490" s="9" t="n">
        <x:f>H422</x:f>
        <x:v>100000</x:v>
      </x:c>
      <x:c r="E490" s="9" t="n">
        <x:f>SUMIFS('Journal'!$E$6:$E$1632,'Journal'!$D$6:$D$1632,B490,'Journal'!$C$6:$C$1632,A490)</x:f>
        <x:v>0</x:v>
      </x:c>
      <x:c r="F490" s="9" t="n">
        <x:f>SUMIFS('Journal'!$F$6:$F$1632,'Journal'!$D$6:$D$1632,B490,'Journal'!$C$6:$C$1632,A490)</x:f>
        <x:v>0</x:v>
      </x:c>
      <x:c r="G490" s="9" t="n">
        <x:f>ROUND(E490-F490,2)</x:f>
        <x:v>0</x:v>
      </x:c>
      <x:c r="H490" s="9" t="n">
        <x:f>ROUND(D490+G490,2)</x:f>
        <x:v>100000</x:v>
      </x:c>
    </x:row>
    <x:row r="491" ht="14" customHeight="1">
      <x:c r="A491" s="1" t="n">
        <x:v>8</x:v>
      </x:c>
      <x:c r="B491" s="1" t="str">
        <x:v>1350</x:v>
      </x:c>
      <x:c r="C491" s="1" t="str">
        <x:v>Mietkaution Erlangen</x:v>
      </x:c>
      <x:c r="D491" s="9" t="n">
        <x:f>H423</x:f>
        <x:v>25000</x:v>
      </x:c>
      <x:c r="E491" s="9" t="n">
        <x:f>SUMIFS('Journal'!$E$6:$E$1632,'Journal'!$D$6:$D$1632,B491,'Journal'!$C$6:$C$1632,A491)</x:f>
        <x:v>0</x:v>
      </x:c>
      <x:c r="F491" s="9" t="n">
        <x:f>SUMIFS('Journal'!$F$6:$F$1632,'Journal'!$D$6:$D$1632,B491,'Journal'!$C$6:$C$1632,A491)</x:f>
        <x:v>0</x:v>
      </x:c>
      <x:c r="G491" s="9" t="n">
        <x:f>ROUND(E491-F491,2)</x:f>
        <x:v>0</x:v>
      </x:c>
      <x:c r="H491" s="9" t="n">
        <x:f>ROUND(D491+G491,2)</x:f>
        <x:v>25000</x:v>
      </x:c>
    </x:row>
    <x:row r="492" ht="14" customHeight="1">
      <x:c r="A492" s="1" t="n">
        <x:v>8</x:v>
      </x:c>
      <x:c r="B492" s="1" t="str">
        <x:v>1401</x:v>
      </x:c>
      <x:c r="C492" s="1" t="str">
        <x:v>Vorsteuer Inland 7 Prozent</x:v>
      </x:c>
      <x:c r="D492" s="9" t="n">
        <x:f>H424</x:f>
        <x:v>0</x:v>
      </x:c>
      <x:c r="E492" s="9" t="n">
        <x:f>SUMIFS('Journal'!$E$6:$E$1632,'Journal'!$D$6:$D$1632,B492,'Journal'!$C$6:$C$1632,A492)</x:f>
        <x:v>9879.77</x:v>
      </x:c>
      <x:c r="F492" s="9" t="n">
        <x:f>SUMIFS('Journal'!$F$6:$F$1632,'Journal'!$D$6:$D$1632,B492,'Journal'!$C$6:$C$1632,A492)</x:f>
        <x:v>9879.77</x:v>
      </x:c>
      <x:c r="G492" s="9" t="n">
        <x:f>ROUND(E492-F492,2)</x:f>
        <x:v>0</x:v>
      </x:c>
      <x:c r="H492" s="9" t="n">
        <x:f>ROUND(D492+G492,2)</x:f>
        <x:v>0</x:v>
      </x:c>
    </x:row>
    <x:row r="493" ht="14" customHeight="1">
      <x:c r="A493" s="1" t="n">
        <x:v>8</x:v>
      </x:c>
      <x:c r="B493" s="1" t="str">
        <x:v>1406</x:v>
      </x:c>
      <x:c r="C493" s="1" t="str">
        <x:v>Vorsteuer Inland 19 Prozent</x:v>
      </x:c>
      <x:c r="D493" s="9" t="n">
        <x:f>H425</x:f>
        <x:v>0</x:v>
      </x:c>
      <x:c r="E493" s="9" t="n">
        <x:f>SUMIFS('Journal'!$E$6:$E$1632,'Journal'!$D$6:$D$1632,B493,'Journal'!$C$6:$C$1632,A493)</x:f>
        <x:v>18524.89</x:v>
      </x:c>
      <x:c r="F493" s="9" t="n">
        <x:f>SUMIFS('Journal'!$F$6:$F$1632,'Journal'!$D$6:$D$1632,B493,'Journal'!$C$6:$C$1632,A493)</x:f>
        <x:v>18524.89</x:v>
      </x:c>
      <x:c r="G493" s="9" t="n">
        <x:f>ROUND(E493-F493,2)</x:f>
        <x:v>0</x:v>
      </x:c>
      <x:c r="H493" s="9" t="n">
        <x:f>ROUND(D493+G493,2)</x:f>
        <x:v>0</x:v>
      </x:c>
    </x:row>
    <x:row r="494" ht="14" customHeight="1">
      <x:c r="A494" s="1" t="n">
        <x:v>8</x:v>
      </x:c>
      <x:c r="B494" s="1" t="str">
        <x:v>1404</x:v>
      </x:c>
      <x:c r="C494" s="1" t="str">
        <x:v>Vorsteuer EU Erwerb 7 Prozent</x:v>
      </x:c>
      <x:c r="D494" s="9" t="n">
        <x:f>H426</x:f>
        <x:v>0</x:v>
      </x:c>
      <x:c r="E494" s="9" t="n">
        <x:f>SUMIFS('Journal'!$E$6:$E$1632,'Journal'!$D$6:$D$1632,B494,'Journal'!$C$6:$C$1632,A494)</x:f>
        <x:v>5199.88</x:v>
      </x:c>
      <x:c r="F494" s="9" t="n">
        <x:f>SUMIFS('Journal'!$F$6:$F$1632,'Journal'!$D$6:$D$1632,B494,'Journal'!$C$6:$C$1632,A494)</x:f>
        <x:v>5199.88</x:v>
      </x:c>
      <x:c r="G494" s="9" t="n">
        <x:f>ROUND(E494-F494,2)</x:f>
        <x:v>0</x:v>
      </x:c>
      <x:c r="H494" s="9" t="n">
        <x:f>ROUND(D494+G494,2)</x:f>
        <x:v>0</x:v>
      </x:c>
    </x:row>
    <x:row r="495" ht="14" customHeight="1">
      <x:c r="A495" s="1" t="n">
        <x:v>8</x:v>
      </x:c>
      <x:c r="B495" s="1" t="str">
        <x:v>1409</x:v>
      </x:c>
      <x:c r="C495" s="1" t="str">
        <x:v>Vorsteuer EU Erwerb 19 Prozent</x:v>
      </x:c>
      <x:c r="D495" s="9" t="n">
        <x:f>H427</x:f>
        <x:v>0</x:v>
      </x:c>
      <x:c r="E495" s="9" t="n">
        <x:f>SUMIFS('Journal'!$E$6:$E$1632,'Journal'!$D$6:$D$1632,B495,'Journal'!$C$6:$C$1632,A495)</x:f>
        <x:v>3528.49</x:v>
      </x:c>
      <x:c r="F495" s="9" t="n">
        <x:f>SUMIFS('Journal'!$F$6:$F$1632,'Journal'!$D$6:$D$1632,B495,'Journal'!$C$6:$C$1632,A495)</x:f>
        <x:v>3528.49</x:v>
      </x:c>
      <x:c r="G495" s="9" t="n">
        <x:f>ROUND(E495-F495,2)</x:f>
        <x:v>0</x:v>
      </x:c>
      <x:c r="H495" s="9" t="n">
        <x:f>ROUND(D495+G495,2)</x:f>
        <x:v>0</x:v>
      </x:c>
    </x:row>
    <x:row r="496" ht="14" customHeight="1">
      <x:c r="A496" s="1" t="n">
        <x:v>8</x:v>
      </x:c>
      <x:c r="B496" s="1" t="str">
        <x:v>1433</x:v>
      </x:c>
      <x:c r="C496" s="1" t="str">
        <x:v>Einfuhrumsatzsteuer</x:v>
      </x:c>
      <x:c r="D496" s="9" t="n">
        <x:f>H428</x:f>
        <x:v>0</x:v>
      </x:c>
      <x:c r="E496" s="9" t="n">
        <x:f>SUMIFS('Journal'!$E$6:$E$1632,'Journal'!$D$6:$D$1632,B496,'Journal'!$C$6:$C$1632,A496)</x:f>
        <x:v>9136.93</x:v>
      </x:c>
      <x:c r="F496" s="9" t="n">
        <x:f>SUMIFS('Journal'!$F$6:$F$1632,'Journal'!$D$6:$D$1632,B496,'Journal'!$C$6:$C$1632,A496)</x:f>
        <x:v>9136.93</x:v>
      </x:c>
      <x:c r="G496" s="9" t="n">
        <x:f>ROUND(E496-F496,2)</x:f>
        <x:v>0</x:v>
      </x:c>
      <x:c r="H496" s="9" t="n">
        <x:f>ROUND(D496+G496,2)</x:f>
        <x:v>0</x:v>
      </x:c>
    </x:row>
    <x:row r="497" ht="14" customHeight="1">
      <x:c r="A497" s="1" t="n">
        <x:v>8</x:v>
      </x:c>
      <x:c r="B497" s="1" t="str">
        <x:v>1600</x:v>
      </x:c>
      <x:c r="C497" s="1" t="str">
        <x:v>Kasse</x:v>
      </x:c>
      <x:c r="D497" s="9" t="n">
        <x:f>H429</x:f>
        <x:v>3000</x:v>
      </x:c>
      <x:c r="E497" s="9" t="n">
        <x:f>SUMIFS('Journal'!$E$6:$E$1632,'Journal'!$D$6:$D$1632,B497,'Journal'!$C$6:$C$1632,A497)</x:f>
        <x:v>300</x:v>
      </x:c>
      <x:c r="F497" s="9" t="n">
        <x:f>SUMIFS('Journal'!$F$6:$F$1632,'Journal'!$D$6:$D$1632,B497,'Journal'!$C$6:$C$1632,A497)</x:f>
        <x:v>300</x:v>
      </x:c>
      <x:c r="G497" s="9" t="n">
        <x:f>ROUND(E497-F497,2)</x:f>
        <x:v>0</x:v>
      </x:c>
      <x:c r="H497" s="9" t="n">
        <x:f>ROUND(D497+G497,2)</x:f>
        <x:v>3000</x:v>
      </x:c>
    </x:row>
    <x:row r="498" ht="14" customHeight="1">
      <x:c r="A498" s="1" t="n">
        <x:v>8</x:v>
      </x:c>
      <x:c r="B498" s="1" t="str">
        <x:v>1800</x:v>
      </x:c>
      <x:c r="C498" s="1" t="str">
        <x:v>Bank Frankenbogen Geschäftskonto</x:v>
      </x:c>
      <x:c r="D498" s="9" t="n">
        <x:f>H430</x:f>
        <x:v>60214.02</x:v>
      </x:c>
      <x:c r="E498" s="9" t="n">
        <x:f>SUMIFS('Journal'!$E$6:$E$1632,'Journal'!$D$6:$D$1632,B498,'Journal'!$C$6:$C$1632,A498)</x:f>
        <x:v>650257.58</x:v>
      </x:c>
      <x:c r="F498" s="9" t="n">
        <x:f>SUMIFS('Journal'!$F$6:$F$1632,'Journal'!$D$6:$D$1632,B498,'Journal'!$C$6:$C$1632,A498)</x:f>
        <x:v>620961.59</x:v>
      </x:c>
      <x:c r="G498" s="9" t="n">
        <x:f>ROUND(E498-F498,2)</x:f>
        <x:v>29295.99</x:v>
      </x:c>
      <x:c r="H498" s="9" t="n">
        <x:f>ROUND(D498+G498,2)</x:f>
        <x:v>89510.01</x:v>
      </x:c>
    </x:row>
    <x:row r="499" ht="14" customHeight="1">
      <x:c r="A499" s="1" t="n">
        <x:v>8</x:v>
      </x:c>
      <x:c r="B499" s="1" t="str">
        <x:v>1900</x:v>
      </x:c>
      <x:c r="C499" s="1" t="str">
        <x:v>Aktive Rechnungsabgrenzung</x:v>
      </x:c>
      <x:c r="D499" s="9" t="n">
        <x:f>H431</x:f>
        <x:v>0</x:v>
      </x:c>
      <x:c r="E499" s="9" t="n">
        <x:f>SUMIFS('Journal'!$E$6:$E$1632,'Journal'!$D$6:$D$1632,B499,'Journal'!$C$6:$C$1632,A499)</x:f>
        <x:v>0</x:v>
      </x:c>
      <x:c r="F499" s="9" t="n">
        <x:f>SUMIFS('Journal'!$F$6:$F$1632,'Journal'!$D$6:$D$1632,B499,'Journal'!$C$6:$C$1632,A499)</x:f>
        <x:v>0</x:v>
      </x:c>
      <x:c r="G499" s="9" t="n">
        <x:f>ROUND(E499-F499,2)</x:f>
        <x:v>0</x:v>
      </x:c>
      <x:c r="H499" s="9" t="n">
        <x:f>ROUND(D499+G499,2)</x:f>
        <x:v>0</x:v>
      </x:c>
    </x:row>
    <x:row r="500" ht="14" customHeight="1">
      <x:c r="A500" s="1" t="n">
        <x:v>8</x:v>
      </x:c>
      <x:c r="B500" s="1" t="str">
        <x:v>2900</x:v>
      </x:c>
      <x:c r="C500" s="1" t="str">
        <x:v>Gezeichnetes Kapital</x:v>
      </x:c>
      <x:c r="D500" s="9" t="n">
        <x:f>H432</x:f>
        <x:v>-100000</x:v>
      </x:c>
      <x:c r="E500" s="9" t="n">
        <x:f>SUMIFS('Journal'!$E$6:$E$1632,'Journal'!$D$6:$D$1632,B500,'Journal'!$C$6:$C$1632,A500)</x:f>
        <x:v>0</x:v>
      </x:c>
      <x:c r="F500" s="9" t="n">
        <x:f>SUMIFS('Journal'!$F$6:$F$1632,'Journal'!$D$6:$D$1632,B500,'Journal'!$C$6:$C$1632,A500)</x:f>
        <x:v>0</x:v>
      </x:c>
      <x:c r="G500" s="9" t="n">
        <x:f>ROUND(E500-F500,2)</x:f>
        <x:v>0</x:v>
      </x:c>
      <x:c r="H500" s="9" t="n">
        <x:f>ROUND(D500+G500,2)</x:f>
        <x:v>-100000</x:v>
      </x:c>
    </x:row>
    <x:row r="501" ht="14" customHeight="1">
      <x:c r="A501" s="1" t="n">
        <x:v>8</x:v>
      </x:c>
      <x:c r="B501" s="1" t="str">
        <x:v>2970</x:v>
      </x:c>
      <x:c r="C501" s="1" t="str">
        <x:v>Gewinnvortrag bis 2023</x:v>
      </x:c>
      <x:c r="D501" s="9" t="n">
        <x:f>H433</x:f>
        <x:v>-705000</x:v>
      </x:c>
      <x:c r="E501" s="9" t="n">
        <x:f>SUMIFS('Journal'!$E$6:$E$1632,'Journal'!$D$6:$D$1632,B501,'Journal'!$C$6:$C$1632,A501)</x:f>
        <x:v>0</x:v>
      </x:c>
      <x:c r="F501" s="9" t="n">
        <x:f>SUMIFS('Journal'!$F$6:$F$1632,'Journal'!$D$6:$D$1632,B501,'Journal'!$C$6:$C$1632,A501)</x:f>
        <x:v>0</x:v>
      </x:c>
      <x:c r="G501" s="9" t="n">
        <x:f>ROUND(E501-F501,2)</x:f>
        <x:v>0</x:v>
      </x:c>
      <x:c r="H501" s="9" t="n">
        <x:f>ROUND(D501+G501,2)</x:f>
        <x:v>-705000</x:v>
      </x:c>
    </x:row>
    <x:row r="502" ht="14" customHeight="1">
      <x:c r="A502" s="1" t="n">
        <x:v>8</x:v>
      </x:c>
      <x:c r="B502" s="1" t="str">
        <x:v>2978</x:v>
      </x:c>
      <x:c r="C502" s="1" t="str">
        <x:v>Ergebnisvortrag 2024</x:v>
      </x:c>
      <x:c r="D502" s="9" t="n">
        <x:f>H434</x:f>
        <x:v>0</x:v>
      </x:c>
      <x:c r="E502" s="9" t="n">
        <x:f>SUMIFS('Journal'!$E$6:$E$1632,'Journal'!$D$6:$D$1632,B502,'Journal'!$C$6:$C$1632,A502)</x:f>
        <x:v>0</x:v>
      </x:c>
      <x:c r="F502" s="9" t="n">
        <x:f>SUMIFS('Journal'!$F$6:$F$1632,'Journal'!$D$6:$D$1632,B502,'Journal'!$C$6:$C$1632,A502)</x:f>
        <x:v>0</x:v>
      </x:c>
      <x:c r="G502" s="9" t="n">
        <x:f>ROUND(E502-F502,2)</x:f>
        <x:v>0</x:v>
      </x:c>
      <x:c r="H502" s="9" t="n">
        <x:f>ROUND(D502+G502,2)</x:f>
        <x:v>0</x:v>
      </x:c>
    </x:row>
    <x:row r="503" ht="14" customHeight="1">
      <x:c r="A503" s="1" t="n">
        <x:v>8</x:v>
      </x:c>
      <x:c r="B503" s="1" t="str">
        <x:v>3090</x:v>
      </x:c>
      <x:c r="C503" s="1" t="str">
        <x:v>Rückstellungen Abschluss und Urlaub</x:v>
      </x:c>
      <x:c r="D503" s="9" t="n">
        <x:f>H435</x:f>
        <x:v>-45000</x:v>
      </x:c>
      <x:c r="E503" s="9" t="n">
        <x:f>SUMIFS('Journal'!$E$6:$E$1632,'Journal'!$D$6:$D$1632,B503,'Journal'!$C$6:$C$1632,A503)</x:f>
        <x:v>0</x:v>
      </x:c>
      <x:c r="F503" s="9" t="n">
        <x:f>SUMIFS('Journal'!$F$6:$F$1632,'Journal'!$D$6:$D$1632,B503,'Journal'!$C$6:$C$1632,A503)</x:f>
        <x:v>0</x:v>
      </x:c>
      <x:c r="G503" s="9" t="n">
        <x:f>ROUND(E503-F503,2)</x:f>
        <x:v>0</x:v>
      </x:c>
      <x:c r="H503" s="9" t="n">
        <x:f>ROUND(D503+G503,2)</x:f>
        <x:v>-45000</x:v>
      </x:c>
    </x:row>
    <x:row r="504" ht="14" customHeight="1">
      <x:c r="A504" s="1" t="n">
        <x:v>8</x:v>
      </x:c>
      <x:c r="B504" s="1" t="str">
        <x:v>3150</x:v>
      </x:c>
      <x:c r="C504" s="1" t="str">
        <x:v>Investitionsdarlehen Frankenbogen</x:v>
      </x:c>
      <x:c r="D504" s="9" t="n">
        <x:f>H436</x:f>
        <x:v>-530000</x:v>
      </x:c>
      <x:c r="E504" s="9" t="n">
        <x:f>SUMIFS('Journal'!$E$6:$E$1632,'Journal'!$D$6:$D$1632,B504,'Journal'!$C$6:$C$1632,A504)</x:f>
        <x:v>10000</x:v>
      </x:c>
      <x:c r="F504" s="9" t="n">
        <x:f>SUMIFS('Journal'!$F$6:$F$1632,'Journal'!$D$6:$D$1632,B504,'Journal'!$C$6:$C$1632,A504)</x:f>
        <x:v>0</x:v>
      </x:c>
      <x:c r="G504" s="9" t="n">
        <x:f>ROUND(E504-F504,2)</x:f>
        <x:v>10000</x:v>
      </x:c>
      <x:c r="H504" s="9" t="n">
        <x:f>ROUND(D504+G504,2)</x:f>
        <x:v>-520000</x:v>
      </x:c>
    </x:row>
    <x:row r="505" ht="14" customHeight="1">
      <x:c r="A505" s="1" t="n">
        <x:v>8</x:v>
      </x:c>
      <x:c r="B505" s="1" t="str">
        <x:v>3160</x:v>
      </x:c>
      <x:c r="C505" s="1" t="str">
        <x:v>Gesellschafterdarlehen</x:v>
      </x:c>
      <x:c r="D505" s="9" t="n">
        <x:f>H437</x:f>
        <x:v>0</x:v>
      </x:c>
      <x:c r="E505" s="9" t="n">
        <x:f>SUMIFS('Journal'!$E$6:$E$1632,'Journal'!$D$6:$D$1632,B505,'Journal'!$C$6:$C$1632,A505)</x:f>
        <x:v>0</x:v>
      </x:c>
      <x:c r="F505" s="9" t="n">
        <x:f>SUMIFS('Journal'!$F$6:$F$1632,'Journal'!$D$6:$D$1632,B505,'Journal'!$C$6:$C$1632,A505)</x:f>
        <x:v>0</x:v>
      </x:c>
      <x:c r="G505" s="9" t="n">
        <x:f>ROUND(E505-F505,2)</x:f>
        <x:v>0</x:v>
      </x:c>
      <x:c r="H505" s="9" t="n">
        <x:f>ROUND(D505+G505,2)</x:f>
        <x:v>0</x:v>
      </x:c>
    </x:row>
    <x:row r="506" ht="14" customHeight="1">
      <x:c r="A506" s="1" t="n">
        <x:v>8</x:v>
      </x:c>
      <x:c r="B506" s="1" t="str">
        <x:v>3300</x:v>
      </x:c>
      <x:c r="C506" s="1" t="str">
        <x:v>Verbindlichkeiten aus Lieferungen und Leistungen</x:v>
      </x:c>
      <x:c r="D506" s="9" t="n">
        <x:f>H438</x:f>
        <x:v>-680000</x:v>
      </x:c>
      <x:c r="E506" s="9" t="n">
        <x:f>SUMIFS('Journal'!$E$6:$E$1632,'Journal'!$D$6:$D$1632,B506,'Journal'!$C$6:$C$1632,A506)</x:f>
        <x:v>494024.66</x:v>
      </x:c>
      <x:c r="F506" s="9" t="n">
        <x:f>SUMIFS('Journal'!$F$6:$F$1632,'Journal'!$D$6:$D$1632,B506,'Journal'!$C$6:$C$1632,A506)</x:f>
        <x:v>474024.66000000003</x:v>
      </x:c>
      <x:c r="G506" s="9" t="n">
        <x:f>ROUND(E506-F506,2)</x:f>
        <x:v>20000</x:v>
      </x:c>
      <x:c r="H506" s="9" t="n">
        <x:f>ROUND(D506+G506,2)</x:f>
        <x:v>-660000</x:v>
      </x:c>
    </x:row>
    <x:row r="507" ht="14" customHeight="1">
      <x:c r="A507" s="1" t="n">
        <x:v>8</x:v>
      </x:c>
      <x:c r="B507" s="1" t="str">
        <x:v>3500</x:v>
      </x:c>
      <x:c r="C507" s="1" t="str">
        <x:v>Sonstige Verbindlichkeiten</x:v>
      </x:c>
      <x:c r="D507" s="9" t="n">
        <x:f>H439</x:f>
        <x:v>-22000</x:v>
      </x:c>
      <x:c r="E507" s="9" t="n">
        <x:f>SUMIFS('Journal'!$E$6:$E$1632,'Journal'!$D$6:$D$1632,B507,'Journal'!$C$6:$C$1632,A507)</x:f>
        <x:v>0</x:v>
      </x:c>
      <x:c r="F507" s="9" t="n">
        <x:f>SUMIFS('Journal'!$F$6:$F$1632,'Journal'!$D$6:$D$1632,B507,'Journal'!$C$6:$C$1632,A507)</x:f>
        <x:v>0</x:v>
      </x:c>
      <x:c r="G507" s="9" t="n">
        <x:f>ROUND(E507-F507,2)</x:f>
        <x:v>0</x:v>
      </x:c>
      <x:c r="H507" s="9" t="n">
        <x:f>ROUND(D507+G507,2)</x:f>
        <x:v>-22000</x:v>
      </x:c>
    </x:row>
    <x:row r="508" ht="14" customHeight="1">
      <x:c r="A508" s="1" t="n">
        <x:v>8</x:v>
      </x:c>
      <x:c r="B508" s="1" t="str">
        <x:v>3720</x:v>
      </x:c>
      <x:c r="C508" s="1" t="str">
        <x:v>Verbindlichkeiten Nettolöhne</x:v>
      </x:c>
      <x:c r="D508" s="9" t="n">
        <x:f>H440</x:f>
        <x:v>0</x:v>
      </x:c>
      <x:c r="E508" s="9" t="n">
        <x:f>SUMIFS('Journal'!$E$6:$E$1632,'Journal'!$D$6:$D$1632,B508,'Journal'!$C$6:$C$1632,A508)</x:f>
        <x:v>56760</x:v>
      </x:c>
      <x:c r="F508" s="9" t="n">
        <x:f>SUMIFS('Journal'!$F$6:$F$1632,'Journal'!$D$6:$D$1632,B508,'Journal'!$C$6:$C$1632,A508)</x:f>
        <x:v>56760</x:v>
      </x:c>
      <x:c r="G508" s="9" t="n">
        <x:f>ROUND(E508-F508,2)</x:f>
        <x:v>0</x:v>
      </x:c>
      <x:c r="H508" s="9" t="n">
        <x:f>ROUND(D508+G508,2)</x:f>
        <x:v>0</x:v>
      </x:c>
    </x:row>
    <x:row r="509" ht="14" customHeight="1">
      <x:c r="A509" s="1" t="n">
        <x:v>8</x:v>
      </x:c>
      <x:c r="B509" s="1" t="str">
        <x:v>3730</x:v>
      </x:c>
      <x:c r="C509" s="1" t="str">
        <x:v>Verbindlichkeiten Lohnsteuer</x:v>
      </x:c>
      <x:c r="D509" s="9" t="n">
        <x:f>H441</x:f>
        <x:v>-12900</x:v>
      </x:c>
      <x:c r="E509" s="9" t="n">
        <x:f>SUMIFS('Journal'!$E$6:$E$1632,'Journal'!$D$6:$D$1632,B509,'Journal'!$C$6:$C$1632,A509)</x:f>
        <x:v>12900</x:v>
      </x:c>
      <x:c r="F509" s="9" t="n">
        <x:f>SUMIFS('Journal'!$F$6:$F$1632,'Journal'!$D$6:$D$1632,B509,'Journal'!$C$6:$C$1632,A509)</x:f>
        <x:v>12900</x:v>
      </x:c>
      <x:c r="G509" s="9" t="n">
        <x:f>ROUND(E509-F509,2)</x:f>
        <x:v>0</x:v>
      </x:c>
      <x:c r="H509" s="9" t="n">
        <x:f>ROUND(D509+G509,2)</x:f>
        <x:v>-12900</x:v>
      </x:c>
    </x:row>
    <x:row r="510" ht="14" customHeight="1">
      <x:c r="A510" s="1" t="n">
        <x:v>8</x:v>
      </x:c>
      <x:c r="B510" s="1" t="str">
        <x:v>3740</x:v>
      </x:c>
      <x:c r="C510" s="1" t="str">
        <x:v>Verbindlichkeiten Sozialversicherung</x:v>
      </x:c>
      <x:c r="D510" s="9" t="n">
        <x:f>H442</x:f>
        <x:v>0</x:v>
      </x:c>
      <x:c r="E510" s="9" t="n">
        <x:f>SUMIFS('Journal'!$E$6:$E$1632,'Journal'!$D$6:$D$1632,B510,'Journal'!$C$6:$C$1632,A510)</x:f>
        <x:v>34340</x:v>
      </x:c>
      <x:c r="F510" s="9" t="n">
        <x:f>SUMIFS('Journal'!$F$6:$F$1632,'Journal'!$D$6:$D$1632,B510,'Journal'!$C$6:$C$1632,A510)</x:f>
        <x:v>34340</x:v>
      </x:c>
      <x:c r="G510" s="9" t="n">
        <x:f>ROUND(E510-F510,2)</x:f>
        <x:v>0</x:v>
      </x:c>
      <x:c r="H510" s="9" t="n">
        <x:f>ROUND(D510+G510,2)</x:f>
        <x:v>0</x:v>
      </x:c>
    </x:row>
    <x:row r="511" ht="14" customHeight="1">
      <x:c r="A511" s="1" t="n">
        <x:v>8</x:v>
      </x:c>
      <x:c r="B511" s="1" t="str">
        <x:v>3801</x:v>
      </x:c>
      <x:c r="C511" s="1" t="str">
        <x:v>Umsatzsteuer Inland 7 Prozent</x:v>
      </x:c>
      <x:c r="D511" s="9" t="n">
        <x:f>H443</x:f>
        <x:v>0</x:v>
      </x:c>
      <x:c r="E511" s="9" t="n">
        <x:f>SUMIFS('Journal'!$E$6:$E$1632,'Journal'!$D$6:$D$1632,B511,'Journal'!$C$6:$C$1632,A511)</x:f>
        <x:v>19824</x:v>
      </x:c>
      <x:c r="F511" s="9" t="n">
        <x:f>SUMIFS('Journal'!$F$6:$F$1632,'Journal'!$D$6:$D$1632,B511,'Journal'!$C$6:$C$1632,A511)</x:f>
        <x:v>19824</x:v>
      </x:c>
      <x:c r="G511" s="9" t="n">
        <x:f>ROUND(E511-F511,2)</x:f>
        <x:v>0</x:v>
      </x:c>
      <x:c r="H511" s="9" t="n">
        <x:f>ROUND(D511+G511,2)</x:f>
        <x:v>0</x:v>
      </x:c>
    </x:row>
    <x:row r="512" ht="14" customHeight="1">
      <x:c r="A512" s="1" t="n">
        <x:v>8</x:v>
      </x:c>
      <x:c r="B512" s="1" t="str">
        <x:v>3806</x:v>
      </x:c>
      <x:c r="C512" s="1" t="str">
        <x:v>Umsatzsteuer Inland 19 Prozent</x:v>
      </x:c>
      <x:c r="D512" s="9" t="n">
        <x:f>H444</x:f>
        <x:v>0</x:v>
      </x:c>
      <x:c r="E512" s="9" t="n">
        <x:f>SUMIFS('Journal'!$E$6:$E$1632,'Journal'!$D$6:$D$1632,B512,'Journal'!$C$6:$C$1632,A512)</x:f>
        <x:v>13452</x:v>
      </x:c>
      <x:c r="F512" s="9" t="n">
        <x:f>SUMIFS('Journal'!$F$6:$F$1632,'Journal'!$D$6:$D$1632,B512,'Journal'!$C$6:$C$1632,A512)</x:f>
        <x:v>13452</x:v>
      </x:c>
      <x:c r="G512" s="9" t="n">
        <x:f>ROUND(E512-F512,2)</x:f>
        <x:v>0</x:v>
      </x:c>
      <x:c r="H512" s="9" t="n">
        <x:f>ROUND(D512+G512,2)</x:f>
        <x:v>0</x:v>
      </x:c>
    </x:row>
    <x:row r="513" ht="14" customHeight="1">
      <x:c r="A513" s="1" t="n">
        <x:v>8</x:v>
      </x:c>
      <x:c r="B513" s="1" t="str">
        <x:v>3804</x:v>
      </x:c>
      <x:c r="C513" s="1" t="str">
        <x:v>Umsatzsteuer EU Erwerb 7 Prozent</x:v>
      </x:c>
      <x:c r="D513" s="9" t="n">
        <x:f>H445</x:f>
        <x:v>0</x:v>
      </x:c>
      <x:c r="E513" s="9" t="n">
        <x:f>SUMIFS('Journal'!$E$6:$E$1632,'Journal'!$D$6:$D$1632,B513,'Journal'!$C$6:$C$1632,A513)</x:f>
        <x:v>5199.88</x:v>
      </x:c>
      <x:c r="F513" s="9" t="n">
        <x:f>SUMIFS('Journal'!$F$6:$F$1632,'Journal'!$D$6:$D$1632,B513,'Journal'!$C$6:$C$1632,A513)</x:f>
        <x:v>5199.88</x:v>
      </x:c>
      <x:c r="G513" s="9" t="n">
        <x:f>ROUND(E513-F513,2)</x:f>
        <x:v>0</x:v>
      </x:c>
      <x:c r="H513" s="9" t="n">
        <x:f>ROUND(D513+G513,2)</x:f>
        <x:v>0</x:v>
      </x:c>
    </x:row>
    <x:row r="514" ht="14" customHeight="1">
      <x:c r="A514" s="1" t="n">
        <x:v>8</x:v>
      </x:c>
      <x:c r="B514" s="1" t="str">
        <x:v>3809</x:v>
      </x:c>
      <x:c r="C514" s="1" t="str">
        <x:v>Umsatzsteuer EU Erwerb 19 Prozent</x:v>
      </x:c>
      <x:c r="D514" s="9" t="n">
        <x:f>H446</x:f>
        <x:v>0</x:v>
      </x:c>
      <x:c r="E514" s="9" t="n">
        <x:f>SUMIFS('Journal'!$E$6:$E$1632,'Journal'!$D$6:$D$1632,B514,'Journal'!$C$6:$C$1632,A514)</x:f>
        <x:v>3528.49</x:v>
      </x:c>
      <x:c r="F514" s="9" t="n">
        <x:f>SUMIFS('Journal'!$F$6:$F$1632,'Journal'!$D$6:$D$1632,B514,'Journal'!$C$6:$C$1632,A514)</x:f>
        <x:v>3528.49</x:v>
      </x:c>
      <x:c r="G514" s="9" t="n">
        <x:f>ROUND(E514-F514,2)</x:f>
        <x:v>0</x:v>
      </x:c>
      <x:c r="H514" s="9" t="n">
        <x:f>ROUND(D514+G514,2)</x:f>
        <x:v>0</x:v>
      </x:c>
    </x:row>
    <x:row r="515" ht="14" customHeight="1">
      <x:c r="A515" s="1" t="n">
        <x:v>8</x:v>
      </x:c>
      <x:c r="B515" s="1" t="str">
        <x:v>3820</x:v>
      </x:c>
      <x:c r="C515" s="1" t="str">
        <x:v>Umsatzsteuer Verrechnung Finanzamt</x:v>
      </x:c>
      <x:c r="D515" s="9" t="n">
        <x:f>H447</x:f>
        <x:v>10315.98</x:v>
      </x:c>
      <x:c r="E515" s="9" t="n">
        <x:f>SUMIFS('Journal'!$E$6:$E$1632,'Journal'!$D$6:$D$1632,B515,'Journal'!$C$6:$C$1632,A515)</x:f>
        <x:v>46269.96</x:v>
      </x:c>
      <x:c r="F515" s="9" t="n">
        <x:f>SUMIFS('Journal'!$F$6:$F$1632,'Journal'!$D$6:$D$1632,B515,'Journal'!$C$6:$C$1632,A515)</x:f>
        <x:v>52185.95</x:v>
      </x:c>
      <x:c r="G515" s="9" t="n">
        <x:f>ROUND(E515-F515,2)</x:f>
        <x:v>-5915.99</x:v>
      </x:c>
      <x:c r="H515" s="9" t="n">
        <x:f>ROUND(D515+G515,2)</x:f>
        <x:v>4399.99</x:v>
      </x:c>
    </x:row>
    <x:row r="516" ht="14" customHeight="1">
      <x:c r="A516" s="1" t="n">
        <x:v>8</x:v>
      </x:c>
      <x:c r="B516" s="1" t="str">
        <x:v>3840</x:v>
      </x:c>
      <x:c r="C516" s="1" t="str">
        <x:v>Ertragsteuern Verrechnung</x:v>
      </x:c>
      <x:c r="D516" s="9" t="n">
        <x:f>H448</x:f>
        <x:v>-11000</x:v>
      </x:c>
      <x:c r="E516" s="9" t="n">
        <x:f>SUMIFS('Journal'!$E$6:$E$1632,'Journal'!$D$6:$D$1632,B516,'Journal'!$C$6:$C$1632,A516)</x:f>
        <x:v>0</x:v>
      </x:c>
      <x:c r="F516" s="9" t="n">
        <x:f>SUMIFS('Journal'!$F$6:$F$1632,'Journal'!$D$6:$D$1632,B516,'Journal'!$C$6:$C$1632,A516)</x:f>
        <x:v>0</x:v>
      </x:c>
      <x:c r="G516" s="9" t="n">
        <x:f>ROUND(E516-F516,2)</x:f>
        <x:v>0</x:v>
      </x:c>
      <x:c r="H516" s="9" t="n">
        <x:f>ROUND(D516+G516,2)</x:f>
        <x:v>-11000</x:v>
      </x:c>
    </x:row>
    <x:row r="517" ht="14" customHeight="1">
      <x:c r="A517" s="1" t="n">
        <x:v>8</x:v>
      </x:c>
      <x:c r="B517" s="1" t="str">
        <x:v>4300</x:v>
      </x:c>
      <x:c r="C517" s="1" t="str">
        <x:v>Erlöse Inland 7 Prozent</x:v>
      </x:c>
      <x:c r="D517" s="9" t="n">
        <x:f>H449</x:f>
        <x:v>-1987200</x:v>
      </x:c>
      <x:c r="E517" s="9" t="n">
        <x:f>SUMIFS('Journal'!$E$6:$E$1632,'Journal'!$D$6:$D$1632,B517,'Journal'!$C$6:$C$1632,A517)</x:f>
        <x:v>0</x:v>
      </x:c>
      <x:c r="F517" s="9" t="n">
        <x:f>SUMIFS('Journal'!$F$6:$F$1632,'Journal'!$D$6:$D$1632,B517,'Journal'!$C$6:$C$1632,A517)</x:f>
        <x:v>283200</x:v>
      </x:c>
      <x:c r="G517" s="9" t="n">
        <x:f>ROUND(E517-F517,2)</x:f>
        <x:v>-283200</x:v>
      </x:c>
      <x:c r="H517" s="9" t="n">
        <x:f>ROUND(D517+G517,2)</x:f>
        <x:v>-2270400</x:v>
      </x:c>
    </x:row>
    <x:row r="518" ht="14" customHeight="1">
      <x:c r="A518" s="1" t="n">
        <x:v>8</x:v>
      </x:c>
      <x:c r="B518" s="1" t="str">
        <x:v>4400</x:v>
      </x:c>
      <x:c r="C518" s="1" t="str">
        <x:v>Erlöse Inland 19 Prozent</x:v>
      </x:c>
      <x:c r="D518" s="9" t="n">
        <x:f>H450</x:f>
        <x:v>-496800</x:v>
      </x:c>
      <x:c r="E518" s="9" t="n">
        <x:f>SUMIFS('Journal'!$E$6:$E$1632,'Journal'!$D$6:$D$1632,B518,'Journal'!$C$6:$C$1632,A518)</x:f>
        <x:v>0</x:v>
      </x:c>
      <x:c r="F518" s="9" t="n">
        <x:f>SUMIFS('Journal'!$F$6:$F$1632,'Journal'!$D$6:$D$1632,B518,'Journal'!$C$6:$C$1632,A518)</x:f>
        <x:v>70800</x:v>
      </x:c>
      <x:c r="G518" s="9" t="n">
        <x:f>ROUND(E518-F518,2)</x:f>
        <x:v>-70800</x:v>
      </x:c>
      <x:c r="H518" s="9" t="n">
        <x:f>ROUND(D518+G518,2)</x:f>
        <x:v>-567600</x:v>
      </x:c>
    </x:row>
    <x:row r="519" ht="14" customHeight="1">
      <x:c r="A519" s="1" t="n">
        <x:v>8</x:v>
      </x:c>
      <x:c r="B519" s="1" t="str">
        <x:v>4125</x:v>
      </x:c>
      <x:c r="C519" s="1" t="str">
        <x:v>Erlöse EU Warenlieferungen</x:v>
      </x:c>
      <x:c r="D519" s="9" t="n">
        <x:f>H451</x:f>
        <x:v>-828000</x:v>
      </x:c>
      <x:c r="E519" s="9" t="n">
        <x:f>SUMIFS('Journal'!$E$6:$E$1632,'Journal'!$D$6:$D$1632,B519,'Journal'!$C$6:$C$1632,A519)</x:f>
        <x:v>0</x:v>
      </x:c>
      <x:c r="F519" s="9" t="n">
        <x:f>SUMIFS('Journal'!$F$6:$F$1632,'Journal'!$D$6:$D$1632,B519,'Journal'!$C$6:$C$1632,A519)</x:f>
        <x:v>118000</x:v>
      </x:c>
      <x:c r="G519" s="9" t="n">
        <x:f>ROUND(E519-F519,2)</x:f>
        <x:v>-118000</x:v>
      </x:c>
      <x:c r="H519" s="9" t="n">
        <x:f>ROUND(D519+G519,2)</x:f>
        <x:v>-946000</x:v>
      </x:c>
    </x:row>
    <x:row r="520" ht="14" customHeight="1">
      <x:c r="A520" s="1" t="n">
        <x:v>8</x:v>
      </x:c>
      <x:c r="B520" s="1" t="str">
        <x:v>4120</x:v>
      </x:c>
      <x:c r="C520" s="1" t="str">
        <x:v>Erlöse Drittland Warenlieferungen</x:v>
      </x:c>
      <x:c r="D520" s="9" t="n">
        <x:f>H452</x:f>
        <x:v>-828000</x:v>
      </x:c>
      <x:c r="E520" s="9" t="n">
        <x:f>SUMIFS('Journal'!$E$6:$E$1632,'Journal'!$D$6:$D$1632,B520,'Journal'!$C$6:$C$1632,A520)</x:f>
        <x:v>0</x:v>
      </x:c>
      <x:c r="F520" s="9" t="n">
        <x:f>SUMIFS('Journal'!$F$6:$F$1632,'Journal'!$D$6:$D$1632,B520,'Journal'!$C$6:$C$1632,A520)</x:f>
        <x:v>118000</x:v>
      </x:c>
      <x:c r="G520" s="9" t="n">
        <x:f>ROUND(E520-F520,2)</x:f>
        <x:v>-118000</x:v>
      </x:c>
      <x:c r="H520" s="9" t="n">
        <x:f>ROUND(D520+G520,2)</x:f>
        <x:v>-946000</x:v>
      </x:c>
    </x:row>
    <x:row r="521" ht="14" customHeight="1">
      <x:c r="A521" s="1" t="n">
        <x:v>8</x:v>
      </x:c>
      <x:c r="B521" s="1" t="str">
        <x:v>4730</x:v>
      </x:c>
      <x:c r="C521" s="1" t="str">
        <x:v>Erlösschmälerungen Inland 7 Prozent</x:v>
      </x:c>
      <x:c r="D521" s="9" t="n">
        <x:f>H453</x:f>
        <x:v>10920</x:v>
      </x:c>
      <x:c r="E521" s="9" t="n">
        <x:f>SUMIFS('Journal'!$E$6:$E$1632,'Journal'!$D$6:$D$1632,B521,'Journal'!$C$6:$C$1632,A521)</x:f>
        <x:v>1920</x:v>
      </x:c>
      <x:c r="F521" s="9" t="n">
        <x:f>SUMIFS('Journal'!$F$6:$F$1632,'Journal'!$D$6:$D$1632,B521,'Journal'!$C$6:$C$1632,A521)</x:f>
        <x:v>0</x:v>
      </x:c>
      <x:c r="G521" s="9" t="n">
        <x:f>ROUND(E521-F521,2)</x:f>
        <x:v>1920</x:v>
      </x:c>
      <x:c r="H521" s="9" t="n">
        <x:f>ROUND(D521+G521,2)</x:f>
        <x:v>12840</x:v>
      </x:c>
    </x:row>
    <x:row r="522" ht="14" customHeight="1">
      <x:c r="A522" s="1" t="n">
        <x:v>8</x:v>
      </x:c>
      <x:c r="B522" s="1" t="str">
        <x:v>4735</x:v>
      </x:c>
      <x:c r="C522" s="1" t="str">
        <x:v>Erlösschmälerungen EU</x:v>
      </x:c>
      <x:c r="D522" s="9" t="n">
        <x:f>H454</x:f>
        <x:v>7280</x:v>
      </x:c>
      <x:c r="E522" s="9" t="n">
        <x:f>SUMIFS('Journal'!$E$6:$E$1632,'Journal'!$D$6:$D$1632,B522,'Journal'!$C$6:$C$1632,A522)</x:f>
        <x:v>1280</x:v>
      </x:c>
      <x:c r="F522" s="9" t="n">
        <x:f>SUMIFS('Journal'!$F$6:$F$1632,'Journal'!$D$6:$D$1632,B522,'Journal'!$C$6:$C$1632,A522)</x:f>
        <x:v>0</x:v>
      </x:c>
      <x:c r="G522" s="9" t="n">
        <x:f>ROUND(E522-F522,2)</x:f>
        <x:v>1280</x:v>
      </x:c>
      <x:c r="H522" s="9" t="n">
        <x:f>ROUND(D522+G522,2)</x:f>
        <x:v>8560</x:v>
      </x:c>
    </x:row>
    <x:row r="523" ht="14" customHeight="1">
      <x:c r="A523" s="1" t="n">
        <x:v>8</x:v>
      </x:c>
      <x:c r="B523" s="1" t="str">
        <x:v>4830</x:v>
      </x:c>
      <x:c r="C523" s="1" t="str">
        <x:v>Sonstige betriebliche Erträge</x:v>
      </x:c>
      <x:c r="D523" s="9" t="n">
        <x:f>H455</x:f>
        <x:v>-12000</x:v>
      </x:c>
      <x:c r="E523" s="9" t="n">
        <x:f>SUMIFS('Journal'!$E$6:$E$1632,'Journal'!$D$6:$D$1632,B523,'Journal'!$C$6:$C$1632,A523)</x:f>
        <x:v>0</x:v>
      </x:c>
      <x:c r="F523" s="9" t="n">
        <x:f>SUMIFS('Journal'!$F$6:$F$1632,'Journal'!$D$6:$D$1632,B523,'Journal'!$C$6:$C$1632,A523)</x:f>
        <x:v>0</x:v>
      </x:c>
      <x:c r="G523" s="9" t="n">
        <x:f>ROUND(E523-F523,2)</x:f>
        <x:v>0</x:v>
      </x:c>
      <x:c r="H523" s="9" t="n">
        <x:f>ROUND(D523+G523,2)</x:f>
        <x:v>-12000</x:v>
      </x:c>
    </x:row>
    <x:row r="524" ht="14" customHeight="1">
      <x:c r="A524" s="1" t="n">
        <x:v>8</x:v>
      </x:c>
      <x:c r="B524" s="1" t="str">
        <x:v>5000</x:v>
      </x:c>
      <x:c r="C524" s="1" t="str">
        <x:v>Wareneinsatz</x:v>
      </x:c>
      <x:c r="D524" s="9" t="n">
        <x:f>H456</x:f>
        <x:v>2679170</x:v>
      </x:c>
      <x:c r="E524" s="9" t="n">
        <x:f>SUMIFS('Journal'!$E$6:$E$1632,'Journal'!$D$6:$D$1632,B524,'Journal'!$C$6:$C$1632,A524)</x:f>
        <x:v>381420</x:v>
      </x:c>
      <x:c r="F524" s="9" t="n">
        <x:f>SUMIFS('Journal'!$F$6:$F$1632,'Journal'!$D$6:$D$1632,B524,'Journal'!$C$6:$C$1632,A524)</x:f>
        <x:v>0</x:v>
      </x:c>
      <x:c r="G524" s="9" t="n">
        <x:f>ROUND(E524-F524,2)</x:f>
        <x:v>381420</x:v>
      </x:c>
      <x:c r="H524" s="9" t="n">
        <x:f>ROUND(D524+G524,2)</x:f>
        <x:v>3060590</x:v>
      </x:c>
    </x:row>
    <x:row r="525" ht="14" customHeight="1">
      <x:c r="A525" s="1" t="n">
        <x:v>8</x:v>
      </x:c>
      <x:c r="B525" s="1" t="str">
        <x:v>5005</x:v>
      </x:c>
      <x:c r="C525" s="1" t="str">
        <x:v>Abwertung Warenbestand</x:v>
      </x:c>
      <x:c r="D525" s="9" t="n">
        <x:f>H457</x:f>
        <x:v>0</x:v>
      </x:c>
      <x:c r="E525" s="9" t="n">
        <x:f>SUMIFS('Journal'!$E$6:$E$1632,'Journal'!$D$6:$D$1632,B525,'Journal'!$C$6:$C$1632,A525)</x:f>
        <x:v>0</x:v>
      </x:c>
      <x:c r="F525" s="9" t="n">
        <x:f>SUMIFS('Journal'!$F$6:$F$1632,'Journal'!$D$6:$D$1632,B525,'Journal'!$C$6:$C$1632,A525)</x:f>
        <x:v>0</x:v>
      </x:c>
      <x:c r="G525" s="9" t="n">
        <x:f>ROUND(E525-F525,2)</x:f>
        <x:v>0</x:v>
      </x:c>
      <x:c r="H525" s="9" t="n">
        <x:f>ROUND(D525+G525,2)</x:f>
        <x:v>0</x:v>
      </x:c>
    </x:row>
    <x:row r="526" ht="14" customHeight="1">
      <x:c r="A526" s="1" t="n">
        <x:v>8</x:v>
      </x:c>
      <x:c r="B526" s="1" t="str">
        <x:v>6020</x:v>
      </x:c>
      <x:c r="C526" s="1" t="str">
        <x:v>Bruttogehälter</x:v>
      </x:c>
      <x:c r="D526" s="9" t="n">
        <x:f>H458</x:f>
        <x:v>602000</x:v>
      </x:c>
      <x:c r="E526" s="9" t="n">
        <x:f>SUMIFS('Journal'!$E$6:$E$1632,'Journal'!$D$6:$D$1632,B526,'Journal'!$C$6:$C$1632,A526)</x:f>
        <x:v>86000</x:v>
      </x:c>
      <x:c r="F526" s="9" t="n">
        <x:f>SUMIFS('Journal'!$F$6:$F$1632,'Journal'!$D$6:$D$1632,B526,'Journal'!$C$6:$C$1632,A526)</x:f>
        <x:v>0</x:v>
      </x:c>
      <x:c r="G526" s="9" t="n">
        <x:f>ROUND(E526-F526,2)</x:f>
        <x:v>86000</x:v>
      </x:c>
      <x:c r="H526" s="9" t="n">
        <x:f>ROUND(D526+G526,2)</x:f>
        <x:v>688000</x:v>
      </x:c>
    </x:row>
    <x:row r="527" ht="14" customHeight="1">
      <x:c r="A527" s="1" t="n">
        <x:v>8</x:v>
      </x:c>
      <x:c r="B527" s="1" t="str">
        <x:v>6110</x:v>
      </x:c>
      <x:c r="C527" s="1" t="str">
        <x:v>Arbeitgeberanteile Sozialversicherung</x:v>
      </x:c>
      <x:c r="D527" s="9" t="n">
        <x:f>H459</x:f>
        <x:v>126000</x:v>
      </x:c>
      <x:c r="E527" s="9" t="n">
        <x:f>SUMIFS('Journal'!$E$6:$E$1632,'Journal'!$D$6:$D$1632,B527,'Journal'!$C$6:$C$1632,A527)</x:f>
        <x:v>18000</x:v>
      </x:c>
      <x:c r="F527" s="9" t="n">
        <x:f>SUMIFS('Journal'!$F$6:$F$1632,'Journal'!$D$6:$D$1632,B527,'Journal'!$C$6:$C$1632,A527)</x:f>
        <x:v>0</x:v>
      </x:c>
      <x:c r="G527" s="9" t="n">
        <x:f>ROUND(E527-F527,2)</x:f>
        <x:v>18000</x:v>
      </x:c>
      <x:c r="H527" s="9" t="n">
        <x:f>ROUND(D527+G527,2)</x:f>
        <x:v>144000</x:v>
      </x:c>
    </x:row>
    <x:row r="528" ht="14" customHeight="1">
      <x:c r="A528" s="1" t="n">
        <x:v>8</x:v>
      </x:c>
      <x:c r="B528" s="1" t="str">
        <x:v>6220</x:v>
      </x:c>
      <x:c r="C528" s="1" t="str">
        <x:v>Abschreibungen Sachanlagen und Software</x:v>
      </x:c>
      <x:c r="D528" s="9" t="n">
        <x:f>H460</x:f>
        <x:v>52500</x:v>
      </x:c>
      <x:c r="E528" s="9" t="n">
        <x:f>SUMIFS('Journal'!$E$6:$E$1632,'Journal'!$D$6:$D$1632,B528,'Journal'!$C$6:$C$1632,A528)</x:f>
        <x:v>7500</x:v>
      </x:c>
      <x:c r="F528" s="9" t="n">
        <x:f>SUMIFS('Journal'!$F$6:$F$1632,'Journal'!$D$6:$D$1632,B528,'Journal'!$C$6:$C$1632,A528)</x:f>
        <x:v>0</x:v>
      </x:c>
      <x:c r="G528" s="9" t="n">
        <x:f>ROUND(E528-F528,2)</x:f>
        <x:v>7500</x:v>
      </x:c>
      <x:c r="H528" s="9" t="n">
        <x:f>ROUND(D528+G528,2)</x:f>
        <x:v>60000</x:v>
      </x:c>
    </x:row>
    <x:row r="529" ht="14" customHeight="1">
      <x:c r="A529" s="1" t="n">
        <x:v>8</x:v>
      </x:c>
      <x:c r="B529" s="1" t="str">
        <x:v>6310</x:v>
      </x:c>
      <x:c r="C529" s="1" t="str">
        <x:v>Miete Büro Nürnberg</x:v>
      </x:c>
      <x:c r="D529" s="9" t="n">
        <x:f>H461</x:f>
        <x:v>28000</x:v>
      </x:c>
      <x:c r="E529" s="9" t="n">
        <x:f>SUMIFS('Journal'!$E$6:$E$1632,'Journal'!$D$6:$D$1632,B529,'Journal'!$C$6:$C$1632,A529)</x:f>
        <x:v>4000</x:v>
      </x:c>
      <x:c r="F529" s="9" t="n">
        <x:f>SUMIFS('Journal'!$F$6:$F$1632,'Journal'!$D$6:$D$1632,B529,'Journal'!$C$6:$C$1632,A529)</x:f>
        <x:v>0</x:v>
      </x:c>
      <x:c r="G529" s="9" t="n">
        <x:f>ROUND(E529-F529,2)</x:f>
        <x:v>4000</x:v>
      </x:c>
      <x:c r="H529" s="9" t="n">
        <x:f>ROUND(D529+G529,2)</x:f>
        <x:v>32000</x:v>
      </x:c>
    </x:row>
    <x:row r="530" ht="14" customHeight="1">
      <x:c r="A530" s="1" t="n">
        <x:v>8</x:v>
      </x:c>
      <x:c r="B530" s="1" t="str">
        <x:v>6311</x:v>
      </x:c>
      <x:c r="C530" s="1" t="str">
        <x:v>Miete Lager Erlangen</x:v>
      </x:c>
      <x:c r="D530" s="9" t="n">
        <x:f>H462</x:f>
        <x:v>70000</x:v>
      </x:c>
      <x:c r="E530" s="9" t="n">
        <x:f>SUMIFS('Journal'!$E$6:$E$1632,'Journal'!$D$6:$D$1632,B530,'Journal'!$C$6:$C$1632,A530)</x:f>
        <x:v>10000</x:v>
      </x:c>
      <x:c r="F530" s="9" t="n">
        <x:f>SUMIFS('Journal'!$F$6:$F$1632,'Journal'!$D$6:$D$1632,B530,'Journal'!$C$6:$C$1632,A530)</x:f>
        <x:v>0</x:v>
      </x:c>
      <x:c r="G530" s="9" t="n">
        <x:f>ROUND(E530-F530,2)</x:f>
        <x:v>10000</x:v>
      </x:c>
      <x:c r="H530" s="9" t="n">
        <x:f>ROUND(D530+G530,2)</x:f>
        <x:v>80000</x:v>
      </x:c>
    </x:row>
    <x:row r="531" ht="14" customHeight="1">
      <x:c r="A531" s="1" t="n">
        <x:v>8</x:v>
      </x:c>
      <x:c r="B531" s="1" t="str">
        <x:v>6325</x:v>
      </x:c>
      <x:c r="C531" s="1" t="str">
        <x:v>Strom und Kühlung</x:v>
      </x:c>
      <x:c r="D531" s="9" t="n">
        <x:f>H463</x:f>
        <x:v>31500</x:v>
      </x:c>
      <x:c r="E531" s="9" t="n">
        <x:f>SUMIFS('Journal'!$E$6:$E$1632,'Journal'!$D$6:$D$1632,B531,'Journal'!$C$6:$C$1632,A531)</x:f>
        <x:v>4500</x:v>
      </x:c>
      <x:c r="F531" s="9" t="n">
        <x:f>SUMIFS('Journal'!$F$6:$F$1632,'Journal'!$D$6:$D$1632,B531,'Journal'!$C$6:$C$1632,A531)</x:f>
        <x:v>0</x:v>
      </x:c>
      <x:c r="G531" s="9" t="n">
        <x:f>ROUND(E531-F531,2)</x:f>
        <x:v>4500</x:v>
      </x:c>
      <x:c r="H531" s="9" t="n">
        <x:f>ROUND(D531+G531,2)</x:f>
        <x:v>36000</x:v>
      </x:c>
    </x:row>
    <x:row r="532" ht="14" customHeight="1">
      <x:c r="A532" s="1" t="n">
        <x:v>8</x:v>
      </x:c>
      <x:c r="B532" s="1" t="str">
        <x:v>6400</x:v>
      </x:c>
      <x:c r="C532" s="1" t="str">
        <x:v>Versicherungen</x:v>
      </x:c>
      <x:c r="D532" s="9" t="n">
        <x:f>H464</x:f>
        <x:v>17500</x:v>
      </x:c>
      <x:c r="E532" s="9" t="n">
        <x:f>SUMIFS('Journal'!$E$6:$E$1632,'Journal'!$D$6:$D$1632,B532,'Journal'!$C$6:$C$1632,A532)</x:f>
        <x:v>2500</x:v>
      </x:c>
      <x:c r="F532" s="9" t="n">
        <x:f>SUMIFS('Journal'!$F$6:$F$1632,'Journal'!$D$6:$D$1632,B532,'Journal'!$C$6:$C$1632,A532)</x:f>
        <x:v>0</x:v>
      </x:c>
      <x:c r="G532" s="9" t="n">
        <x:f>ROUND(E532-F532,2)</x:f>
        <x:v>2500</x:v>
      </x:c>
      <x:c r="H532" s="9" t="n">
        <x:f>ROUND(D532+G532,2)</x:f>
        <x:v>20000</x:v>
      </x:c>
    </x:row>
    <x:row r="533" ht="14" customHeight="1">
      <x:c r="A533" s="1" t="n">
        <x:v>8</x:v>
      </x:c>
      <x:c r="B533" s="1" t="str">
        <x:v>6470</x:v>
      </x:c>
      <x:c r="C533" s="1" t="str">
        <x:v>Lagerbetrieb und Reinigung</x:v>
      </x:c>
      <x:c r="D533" s="9" t="n">
        <x:f>H465</x:f>
        <x:v>42000</x:v>
      </x:c>
      <x:c r="E533" s="9" t="n">
        <x:f>SUMIFS('Journal'!$E$6:$E$1632,'Journal'!$D$6:$D$1632,B533,'Journal'!$C$6:$C$1632,A533)</x:f>
        <x:v>6000</x:v>
      </x:c>
      <x:c r="F533" s="9" t="n">
        <x:f>SUMIFS('Journal'!$F$6:$F$1632,'Journal'!$D$6:$D$1632,B533,'Journal'!$C$6:$C$1632,A533)</x:f>
        <x:v>0</x:v>
      </x:c>
      <x:c r="G533" s="9" t="n">
        <x:f>ROUND(E533-F533,2)</x:f>
        <x:v>6000</x:v>
      </x:c>
      <x:c r="H533" s="9" t="n">
        <x:f>ROUND(D533+G533,2)</x:f>
        <x:v>48000</x:v>
      </x:c>
    </x:row>
    <x:row r="534" ht="14" customHeight="1">
      <x:c r="A534" s="1" t="n">
        <x:v>8</x:v>
      </x:c>
      <x:c r="B534" s="1" t="str">
        <x:v>6490</x:v>
      </x:c>
      <x:c r="C534" s="1" t="str">
        <x:v>Reparaturen und Wartung</x:v>
      </x:c>
      <x:c r="D534" s="9" t="n">
        <x:f>H466</x:f>
        <x:v>17500</x:v>
      </x:c>
      <x:c r="E534" s="9" t="n">
        <x:f>SUMIFS('Journal'!$E$6:$E$1632,'Journal'!$D$6:$D$1632,B534,'Journal'!$C$6:$C$1632,A534)</x:f>
        <x:v>2500</x:v>
      </x:c>
      <x:c r="F534" s="9" t="n">
        <x:f>SUMIFS('Journal'!$F$6:$F$1632,'Journal'!$D$6:$D$1632,B534,'Journal'!$C$6:$C$1632,A534)</x:f>
        <x:v>0</x:v>
      </x:c>
      <x:c r="G534" s="9" t="n">
        <x:f>ROUND(E534-F534,2)</x:f>
        <x:v>2500</x:v>
      </x:c>
      <x:c r="H534" s="9" t="n">
        <x:f>ROUND(D534+G534,2)</x:f>
        <x:v>20000</x:v>
      </x:c>
    </x:row>
    <x:row r="535" ht="14" customHeight="1">
      <x:c r="A535" s="1" t="n">
        <x:v>8</x:v>
      </x:c>
      <x:c r="B535" s="1" t="str">
        <x:v>6600</x:v>
      </x:c>
      <x:c r="C535" s="1" t="str">
        <x:v>Marketing und Messen</x:v>
      </x:c>
      <x:c r="D535" s="9" t="n">
        <x:f>H467</x:f>
        <x:v>42000</x:v>
      </x:c>
      <x:c r="E535" s="9" t="n">
        <x:f>SUMIFS('Journal'!$E$6:$E$1632,'Journal'!$D$6:$D$1632,B535,'Journal'!$C$6:$C$1632,A535)</x:f>
        <x:v>6000</x:v>
      </x:c>
      <x:c r="F535" s="9" t="n">
        <x:f>SUMIFS('Journal'!$F$6:$F$1632,'Journal'!$D$6:$D$1632,B535,'Journal'!$C$6:$C$1632,A535)</x:f>
        <x:v>0</x:v>
      </x:c>
      <x:c r="G535" s="9" t="n">
        <x:f>ROUND(E535-F535,2)</x:f>
        <x:v>6000</x:v>
      </x:c>
      <x:c r="H535" s="9" t="n">
        <x:f>ROUND(D535+G535,2)</x:f>
        <x:v>48000</x:v>
      </x:c>
    </x:row>
    <x:row r="536" ht="14" customHeight="1">
      <x:c r="A536" s="1" t="n">
        <x:v>8</x:v>
      </x:c>
      <x:c r="B536" s="1" t="str">
        <x:v>6650</x:v>
      </x:c>
      <x:c r="C536" s="1" t="str">
        <x:v>Reisekosten</x:v>
      </x:c>
      <x:c r="D536" s="9" t="n">
        <x:f>H468</x:f>
        <x:v>10500</x:v>
      </x:c>
      <x:c r="E536" s="9" t="n">
        <x:f>SUMIFS('Journal'!$E$6:$E$1632,'Journal'!$D$6:$D$1632,B536,'Journal'!$C$6:$C$1632,A536)</x:f>
        <x:v>1500</x:v>
      </x:c>
      <x:c r="F536" s="9" t="n">
        <x:f>SUMIFS('Journal'!$F$6:$F$1632,'Journal'!$D$6:$D$1632,B536,'Journal'!$C$6:$C$1632,A536)</x:f>
        <x:v>0</x:v>
      </x:c>
      <x:c r="G536" s="9" t="n">
        <x:f>ROUND(E536-F536,2)</x:f>
        <x:v>1500</x:v>
      </x:c>
      <x:c r="H536" s="9" t="n">
        <x:f>ROUND(D536+G536,2)</x:f>
        <x:v>12000</x:v>
      </x:c>
    </x:row>
    <x:row r="537" ht="14" customHeight="1">
      <x:c r="A537" s="1" t="n">
        <x:v>8</x:v>
      </x:c>
      <x:c r="B537" s="1" t="str">
        <x:v>6740</x:v>
      </x:c>
      <x:c r="C537" s="1" t="str">
        <x:v>Ausgangsfrachten Inland</x:v>
      </x:c>
      <x:c r="D537" s="9" t="n">
        <x:f>H469</x:f>
        <x:v>91000</x:v>
      </x:c>
      <x:c r="E537" s="9" t="n">
        <x:f>SUMIFS('Journal'!$E$6:$E$1632,'Journal'!$D$6:$D$1632,B537,'Journal'!$C$6:$C$1632,A537)</x:f>
        <x:v>13000</x:v>
      </x:c>
      <x:c r="F537" s="9" t="n">
        <x:f>SUMIFS('Journal'!$F$6:$F$1632,'Journal'!$D$6:$D$1632,B537,'Journal'!$C$6:$C$1632,A537)</x:f>
        <x:v>0</x:v>
      </x:c>
      <x:c r="G537" s="9" t="n">
        <x:f>ROUND(E537-F537,2)</x:f>
        <x:v>13000</x:v>
      </x:c>
      <x:c r="H537" s="9" t="n">
        <x:f>ROUND(D537+G537,2)</x:f>
        <x:v>104000</x:v>
      </x:c>
    </x:row>
    <x:row r="538" ht="14" customHeight="1">
      <x:c r="A538" s="1" t="n">
        <x:v>8</x:v>
      </x:c>
      <x:c r="B538" s="1" t="str">
        <x:v>6741</x:v>
      </x:c>
      <x:c r="C538" s="1" t="str">
        <x:v>Ausgangsfrachten Ausland</x:v>
      </x:c>
      <x:c r="D538" s="9" t="n">
        <x:f>H470</x:f>
        <x:v>98000</x:v>
      </x:c>
      <x:c r="E538" s="9" t="n">
        <x:f>SUMIFS('Journal'!$E$6:$E$1632,'Journal'!$D$6:$D$1632,B538,'Journal'!$C$6:$C$1632,A538)</x:f>
        <x:v>14000</x:v>
      </x:c>
      <x:c r="F538" s="9" t="n">
        <x:f>SUMIFS('Journal'!$F$6:$F$1632,'Journal'!$D$6:$D$1632,B538,'Journal'!$C$6:$C$1632,A538)</x:f>
        <x:v>0</x:v>
      </x:c>
      <x:c r="G538" s="9" t="n">
        <x:f>ROUND(E538-F538,2)</x:f>
        <x:v>14000</x:v>
      </x:c>
      <x:c r="H538" s="9" t="n">
        <x:f>ROUND(D538+G538,2)</x:f>
        <x:v>112000</x:v>
      </x:c>
    </x:row>
    <x:row r="539" ht="14" customHeight="1">
      <x:c r="A539" s="1" t="n">
        <x:v>8</x:v>
      </x:c>
      <x:c r="B539" s="1" t="str">
        <x:v>6805</x:v>
      </x:c>
      <x:c r="C539" s="1" t="str">
        <x:v>Telekommunikation und IT</x:v>
      </x:c>
      <x:c r="D539" s="9" t="n">
        <x:f>H471</x:f>
        <x:v>28500</x:v>
      </x:c>
      <x:c r="E539" s="9" t="n">
        <x:f>SUMIFS('Journal'!$E$6:$E$1632,'Journal'!$D$6:$D$1632,B539,'Journal'!$C$6:$C$1632,A539)</x:f>
        <x:v>1500</x:v>
      </x:c>
      <x:c r="F539" s="9" t="n">
        <x:f>SUMIFS('Journal'!$F$6:$F$1632,'Journal'!$D$6:$D$1632,B539,'Journal'!$C$6:$C$1632,A539)</x:f>
        <x:v>0</x:v>
      </x:c>
      <x:c r="G539" s="9" t="n">
        <x:f>ROUND(E539-F539,2)</x:f>
        <x:v>1500</x:v>
      </x:c>
      <x:c r="H539" s="9" t="n">
        <x:f>ROUND(D539+G539,2)</x:f>
        <x:v>30000</x:v>
      </x:c>
    </x:row>
    <x:row r="540" ht="14" customHeight="1">
      <x:c r="A540" s="1" t="n">
        <x:v>8</x:v>
      </x:c>
      <x:c r="B540" s="1" t="str">
        <x:v>6825</x:v>
      </x:c>
      <x:c r="C540" s="1" t="str">
        <x:v>Rechtsberatung und Buchführung</x:v>
      </x:c>
      <x:c r="D540" s="9" t="n">
        <x:f>H472</x:f>
        <x:v>21000</x:v>
      </x:c>
      <x:c r="E540" s="9" t="n">
        <x:f>SUMIFS('Journal'!$E$6:$E$1632,'Journal'!$D$6:$D$1632,B540,'Journal'!$C$6:$C$1632,A540)</x:f>
        <x:v>3000</x:v>
      </x:c>
      <x:c r="F540" s="9" t="n">
        <x:f>SUMIFS('Journal'!$F$6:$F$1632,'Journal'!$D$6:$D$1632,B540,'Journal'!$C$6:$C$1632,A540)</x:f>
        <x:v>0</x:v>
      </x:c>
      <x:c r="G540" s="9" t="n">
        <x:f>ROUND(E540-F540,2)</x:f>
        <x:v>3000</x:v>
      </x:c>
      <x:c r="H540" s="9" t="n">
        <x:f>ROUND(D540+G540,2)</x:f>
        <x:v>24000</x:v>
      </x:c>
    </x:row>
    <x:row r="541" ht="14" customHeight="1">
      <x:c r="A541" s="1" t="n">
        <x:v>8</x:v>
      </x:c>
      <x:c r="B541" s="1" t="str">
        <x:v>6830</x:v>
      </x:c>
      <x:c r="C541" s="1" t="str">
        <x:v>Labor und Qualitätssicherung</x:v>
      </x:c>
      <x:c r="D541" s="9" t="n">
        <x:f>H473</x:f>
        <x:v>24500</x:v>
      </x:c>
      <x:c r="E541" s="9" t="n">
        <x:f>SUMIFS('Journal'!$E$6:$E$1632,'Journal'!$D$6:$D$1632,B541,'Journal'!$C$6:$C$1632,A541)</x:f>
        <x:v>3500</x:v>
      </x:c>
      <x:c r="F541" s="9" t="n">
        <x:f>SUMIFS('Journal'!$F$6:$F$1632,'Journal'!$D$6:$D$1632,B541,'Journal'!$C$6:$C$1632,A541)</x:f>
        <x:v>0</x:v>
      </x:c>
      <x:c r="G541" s="9" t="n">
        <x:f>ROUND(E541-F541,2)</x:f>
        <x:v>3500</x:v>
      </x:c>
      <x:c r="H541" s="9" t="n">
        <x:f>ROUND(D541+G541,2)</x:f>
        <x:v>28000</x:v>
      </x:c>
    </x:row>
    <x:row r="542" ht="14" customHeight="1">
      <x:c r="A542" s="1" t="n">
        <x:v>8</x:v>
      </x:c>
      <x:c r="B542" s="1" t="str">
        <x:v>6850</x:v>
      </x:c>
      <x:c r="C542" s="1" t="str">
        <x:v>Bürobedarf und übriger Aufwand</x:v>
      </x:c>
      <x:c r="D542" s="9" t="n">
        <x:f>H474</x:f>
        <x:v>14000</x:v>
      </x:c>
      <x:c r="E542" s="9" t="n">
        <x:f>SUMIFS('Journal'!$E$6:$E$1632,'Journal'!$D$6:$D$1632,B542,'Journal'!$C$6:$C$1632,A542)</x:f>
        <x:v>2000</x:v>
      </x:c>
      <x:c r="F542" s="9" t="n">
        <x:f>SUMIFS('Journal'!$F$6:$F$1632,'Journal'!$D$6:$D$1632,B542,'Journal'!$C$6:$C$1632,A542)</x:f>
        <x:v>0</x:v>
      </x:c>
      <x:c r="G542" s="9" t="n">
        <x:f>ROUND(E542-F542,2)</x:f>
        <x:v>2000</x:v>
      </x:c>
      <x:c r="H542" s="9" t="n">
        <x:f>ROUND(D542+G542,2)</x:f>
        <x:v>16000</x:v>
      </x:c>
    </x:row>
    <x:row r="543" ht="14" customHeight="1">
      <x:c r="A543" s="1" t="n">
        <x:v>8</x:v>
      </x:c>
      <x:c r="B543" s="1" t="str">
        <x:v>6855</x:v>
      </x:c>
      <x:c r="C543" s="1" t="str">
        <x:v>Zuführung Abschluss und Urlaubsrückstellungen</x:v>
      </x:c>
      <x:c r="D543" s="9" t="n">
        <x:f>H475</x:f>
        <x:v>0</x:v>
      </x:c>
      <x:c r="E543" s="9" t="n">
        <x:f>SUMIFS('Journal'!$E$6:$E$1632,'Journal'!$D$6:$D$1632,B543,'Journal'!$C$6:$C$1632,A543)</x:f>
        <x:v>0</x:v>
      </x:c>
      <x:c r="F543" s="9" t="n">
        <x:f>SUMIFS('Journal'!$F$6:$F$1632,'Journal'!$D$6:$D$1632,B543,'Journal'!$C$6:$C$1632,A543)</x:f>
        <x:v>0</x:v>
      </x:c>
      <x:c r="G543" s="9" t="n">
        <x:f>ROUND(E543-F543,2)</x:f>
        <x:v>0</x:v>
      </x:c>
      <x:c r="H543" s="9" t="n">
        <x:f>ROUND(D543+G543,2)</x:f>
        <x:v>0</x:v>
      </x:c>
    </x:row>
    <x:row r="544" ht="14" customHeight="1">
      <x:c r="A544" s="1" t="n">
        <x:v>8</x:v>
      </x:c>
      <x:c r="B544" s="1" t="str">
        <x:v>6859</x:v>
      </x:c>
      <x:c r="C544" s="1" t="str">
        <x:v>Bankgebühren</x:v>
      </x:c>
      <x:c r="D544" s="9" t="n">
        <x:f>H476</x:f>
        <x:v>3500</x:v>
      </x:c>
      <x:c r="E544" s="9" t="n">
        <x:f>SUMIFS('Journal'!$E$6:$E$1632,'Journal'!$D$6:$D$1632,B544,'Journal'!$C$6:$C$1632,A544)</x:f>
        <x:v>500</x:v>
      </x:c>
      <x:c r="F544" s="9" t="n">
        <x:f>SUMIFS('Journal'!$F$6:$F$1632,'Journal'!$D$6:$D$1632,B544,'Journal'!$C$6:$C$1632,A544)</x:f>
        <x:v>0</x:v>
      </x:c>
      <x:c r="G544" s="9" t="n">
        <x:f>ROUND(E544-F544,2)</x:f>
        <x:v>500</x:v>
      </x:c>
      <x:c r="H544" s="9" t="n">
        <x:f>ROUND(D544+G544,2)</x:f>
        <x:v>4000</x:v>
      </x:c>
    </x:row>
    <x:row r="545" ht="14" customHeight="1">
      <x:c r="A545" s="1" t="n">
        <x:v>8</x:v>
      </x:c>
      <x:c r="B545" s="1" t="str">
        <x:v>6950</x:v>
      </x:c>
      <x:c r="C545" s="1" t="str">
        <x:v>Zuführung Einzelwertberichtigungen</x:v>
      </x:c>
      <x:c r="D545" s="9" t="n">
        <x:f>H477</x:f>
        <x:v>0</x:v>
      </x:c>
      <x:c r="E545" s="9" t="n">
        <x:f>SUMIFS('Journal'!$E$6:$E$1632,'Journal'!$D$6:$D$1632,B545,'Journal'!$C$6:$C$1632,A545)</x:f>
        <x:v>0</x:v>
      </x:c>
      <x:c r="F545" s="9" t="n">
        <x:f>SUMIFS('Journal'!$F$6:$F$1632,'Journal'!$D$6:$D$1632,B545,'Journal'!$C$6:$C$1632,A545)</x:f>
        <x:v>0</x:v>
      </x:c>
      <x:c r="G545" s="9" t="n">
        <x:f>ROUND(E545-F545,2)</x:f>
        <x:v>0</x:v>
      </x:c>
      <x:c r="H545" s="9" t="n">
        <x:f>ROUND(D545+G545,2)</x:f>
        <x:v>0</x:v>
      </x:c>
    </x:row>
    <x:row r="546" ht="14" customHeight="1">
      <x:c r="A546" s="1" t="n">
        <x:v>8</x:v>
      </x:c>
      <x:c r="B546" s="1" t="str">
        <x:v>7300</x:v>
      </x:c>
      <x:c r="C546" s="1" t="str">
        <x:v>Zinsen Investitionsdarlehen</x:v>
      </x:c>
      <x:c r="D546" s="9" t="n">
        <x:f>H478</x:f>
        <x:v>17500</x:v>
      </x:c>
      <x:c r="E546" s="9" t="n">
        <x:f>SUMIFS('Journal'!$E$6:$E$1632,'Journal'!$D$6:$D$1632,B546,'Journal'!$C$6:$C$1632,A546)</x:f>
        <x:v>2500</x:v>
      </x:c>
      <x:c r="F546" s="9" t="n">
        <x:f>SUMIFS('Journal'!$F$6:$F$1632,'Journal'!$D$6:$D$1632,B546,'Journal'!$C$6:$C$1632,A546)</x:f>
        <x:v>0</x:v>
      </x:c>
      <x:c r="G546" s="9" t="n">
        <x:f>ROUND(E546-F546,2)</x:f>
        <x:v>2500</x:v>
      </x:c>
      <x:c r="H546" s="9" t="n">
        <x:f>ROUND(D546+G546,2)</x:f>
        <x:v>20000</x:v>
      </x:c>
    </x:row>
    <x:row r="547" ht="14" customHeight="1">
      <x:c r="A547" s="1" t="n">
        <x:v>8</x:v>
      </x:c>
      <x:c r="B547" s="1" t="str">
        <x:v>7310</x:v>
      </x:c>
      <x:c r="C547" s="1" t="str">
        <x:v>Zinsen Kontokorrent</x:v>
      </x:c>
      <x:c r="D547" s="9" t="n">
        <x:f>H479</x:f>
        <x:v>7000</x:v>
      </x:c>
      <x:c r="E547" s="9" t="n">
        <x:f>SUMIFS('Journal'!$E$6:$E$1632,'Journal'!$D$6:$D$1632,B547,'Journal'!$C$6:$C$1632,A547)</x:f>
        <x:v>1000</x:v>
      </x:c>
      <x:c r="F547" s="9" t="n">
        <x:f>SUMIFS('Journal'!$F$6:$F$1632,'Journal'!$D$6:$D$1632,B547,'Journal'!$C$6:$C$1632,A547)</x:f>
        <x:v>0</x:v>
      </x:c>
      <x:c r="G547" s="9" t="n">
        <x:f>ROUND(E547-F547,2)</x:f>
        <x:v>1000</x:v>
      </x:c>
      <x:c r="H547" s="9" t="n">
        <x:f>ROUND(D547+G547,2)</x:f>
        <x:v>8000</x:v>
      </x:c>
    </x:row>
    <x:row r="548" ht="14" customHeight="1">
      <x:c r="A548" s="1" t="n">
        <x:v>8</x:v>
      </x:c>
      <x:c r="B548" s="1" t="str">
        <x:v>7320</x:v>
      </x:c>
      <x:c r="C548" s="1" t="str">
        <x:v>Zinsen Gesellschafterdarlehen</x:v>
      </x:c>
      <x:c r="D548" s="9" t="n">
        <x:f>H480</x:f>
        <x:v>0</x:v>
      </x:c>
      <x:c r="E548" s="9" t="n">
        <x:f>SUMIFS('Journal'!$E$6:$E$1632,'Journal'!$D$6:$D$1632,B548,'Journal'!$C$6:$C$1632,A548)</x:f>
        <x:v>0</x:v>
      </x:c>
      <x:c r="F548" s="9" t="n">
        <x:f>SUMIFS('Journal'!$F$6:$F$1632,'Journal'!$D$6:$D$1632,B548,'Journal'!$C$6:$C$1632,A548)</x:f>
        <x:v>0</x:v>
      </x:c>
      <x:c r="G548" s="9" t="n">
        <x:f>ROUND(E548-F548,2)</x:f>
        <x:v>0</x:v>
      </x:c>
      <x:c r="H548" s="9" t="n">
        <x:f>ROUND(D548+G548,2)</x:f>
        <x:v>0</x:v>
      </x:c>
    </x:row>
    <x:row r="549" ht="14" customHeight="1">
      <x:c r="A549" s="1" t="n">
        <x:v>8</x:v>
      </x:c>
      <x:c r="B549" s="1" t="str">
        <x:v>7600</x:v>
      </x:c>
      <x:c r="C549" s="1" t="str">
        <x:v>Ertragsteueraufwand</x:v>
      </x:c>
      <x:c r="D549" s="9" t="n">
        <x:f>H481</x:f>
        <x:v>0</x:v>
      </x:c>
      <x:c r="E549" s="9" t="n">
        <x:f>SUMIFS('Journal'!$E$6:$E$1632,'Journal'!$D$6:$D$1632,B549,'Journal'!$C$6:$C$1632,A549)</x:f>
        <x:v>0</x:v>
      </x:c>
      <x:c r="F549" s="9" t="n">
        <x:f>SUMIFS('Journal'!$F$6:$F$1632,'Journal'!$D$6:$D$1632,B549,'Journal'!$C$6:$C$1632,A549)</x:f>
        <x:v>0</x:v>
      </x:c>
      <x:c r="G549" s="9" t="n">
        <x:f>ROUND(E549-F549,2)</x:f>
        <x:v>0</x:v>
      </x:c>
      <x:c r="H549" s="9" t="n">
        <x:f>ROUND(D549+G549,2)</x:f>
        <x:v>0</x:v>
      </x:c>
    </x:row>
    <x:row r="550" ht="14" customHeight="1">
      <x:c r="A550" s="1" t="n">
        <x:v>9</x:v>
      </x:c>
      <x:c r="B550" s="1" t="str">
        <x:v>0100</x:v>
      </x:c>
      <x:c r="C550" s="1" t="str">
        <x:v>Software</x:v>
      </x:c>
      <x:c r="D550" s="9" t="n">
        <x:f>H482</x:f>
        <x:v>16000</x:v>
      </x:c>
      <x:c r="E550" s="9" t="n">
        <x:f>SUMIFS('Journal'!$E$6:$E$1632,'Journal'!$D$6:$D$1632,B550,'Journal'!$C$6:$C$1632,A550)</x:f>
        <x:v>0</x:v>
      </x:c>
      <x:c r="F550" s="9" t="n">
        <x:f>SUMIFS('Journal'!$F$6:$F$1632,'Journal'!$D$6:$D$1632,B550,'Journal'!$C$6:$C$1632,A550)</x:f>
        <x:v>500</x:v>
      </x:c>
      <x:c r="G550" s="9" t="n">
        <x:f>ROUND(E550-F550,2)</x:f>
        <x:v>-500</x:v>
      </x:c>
      <x:c r="H550" s="9" t="n">
        <x:f>ROUND(D550+G550,2)</x:f>
        <x:v>15500</x:v>
      </x:c>
    </x:row>
    <x:row r="551" ht="14" customHeight="1">
      <x:c r="A551" s="1" t="n">
        <x:v>9</x:v>
      </x:c>
      <x:c r="B551" s="1" t="str">
        <x:v>0400</x:v>
      </x:c>
      <x:c r="C551" s="1" t="str">
        <x:v>Lagereinbauten Erlangen</x:v>
      </x:c>
      <x:c r="D551" s="9" t="n">
        <x:f>H483</x:f>
        <x:v>220000</x:v>
      </x:c>
      <x:c r="E551" s="9" t="n">
        <x:f>SUMIFS('Journal'!$E$6:$E$1632,'Journal'!$D$6:$D$1632,B551,'Journal'!$C$6:$C$1632,A551)</x:f>
        <x:v>0</x:v>
      </x:c>
      <x:c r="F551" s="9" t="n">
        <x:f>SUMIFS('Journal'!$F$6:$F$1632,'Journal'!$D$6:$D$1632,B551,'Journal'!$C$6:$C$1632,A551)</x:f>
        <x:v>2500</x:v>
      </x:c>
      <x:c r="G551" s="9" t="n">
        <x:f>ROUND(E551-F551,2)</x:f>
        <x:v>-2500</x:v>
      </x:c>
      <x:c r="H551" s="9" t="n">
        <x:f>ROUND(D551+G551,2)</x:f>
        <x:v>217500</x:v>
      </x:c>
    </x:row>
    <x:row r="552" ht="14" customHeight="1">
      <x:c r="A552" s="1" t="n">
        <x:v>9</x:v>
      </x:c>
      <x:c r="B552" s="1" t="str">
        <x:v>0520</x:v>
      </x:c>
      <x:c r="C552" s="1" t="str">
        <x:v>Flurförderzeuge</x:v>
      </x:c>
      <x:c r="D552" s="9" t="n">
        <x:f>H484</x:f>
        <x:v>124000</x:v>
      </x:c>
      <x:c r="E552" s="9" t="n">
        <x:f>SUMIFS('Journal'!$E$6:$E$1632,'Journal'!$D$6:$D$1632,B552,'Journal'!$C$6:$C$1632,A552)</x:f>
        <x:v>0</x:v>
      </x:c>
      <x:c r="F552" s="9" t="n">
        <x:f>SUMIFS('Journal'!$F$6:$F$1632,'Journal'!$D$6:$D$1632,B552,'Journal'!$C$6:$C$1632,A552)</x:f>
        <x:v>1500</x:v>
      </x:c>
      <x:c r="G552" s="9" t="n">
        <x:f>ROUND(E552-F552,2)</x:f>
        <x:v>-1500</x:v>
      </x:c>
      <x:c r="H552" s="9" t="n">
        <x:f>ROUND(D552+G552,2)</x:f>
        <x:v>122500</x:v>
      </x:c>
    </x:row>
    <x:row r="553" ht="14" customHeight="1">
      <x:c r="A553" s="1" t="n">
        <x:v>9</x:v>
      </x:c>
      <x:c r="B553" s="1" t="str">
        <x:v>0650</x:v>
      </x:c>
      <x:c r="C553" s="1" t="str">
        <x:v>IT und Kommunikation</x:v>
      </x:c>
      <x:c r="D553" s="9" t="n">
        <x:f>H485</x:f>
        <x:v>88000</x:v>
      </x:c>
      <x:c r="E553" s="9" t="n">
        <x:f>SUMIFS('Journal'!$E$6:$E$1632,'Journal'!$D$6:$D$1632,B553,'Journal'!$C$6:$C$1632,A553)</x:f>
        <x:v>0</x:v>
      </x:c>
      <x:c r="F553" s="9" t="n">
        <x:f>SUMIFS('Journal'!$F$6:$F$1632,'Journal'!$D$6:$D$1632,B553,'Journal'!$C$6:$C$1632,A553)</x:f>
        <x:v>2000</x:v>
      </x:c>
      <x:c r="G553" s="9" t="n">
        <x:f>ROUND(E553-F553,2)</x:f>
        <x:v>-2000</x:v>
      </x:c>
      <x:c r="H553" s="9" t="n">
        <x:f>ROUND(D553+G553,2)</x:f>
        <x:v>86000</x:v>
      </x:c>
    </x:row>
    <x:row r="554" ht="14" customHeight="1">
      <x:c r="A554" s="1" t="n">
        <x:v>9</x:v>
      </x:c>
      <x:c r="B554" s="1" t="str">
        <x:v>0670</x:v>
      </x:c>
      <x:c r="C554" s="1" t="str">
        <x:v>Büroausstattung</x:v>
      </x:c>
      <x:c r="D554" s="9" t="n">
        <x:f>H486</x:f>
        <x:v>52000</x:v>
      </x:c>
      <x:c r="E554" s="9" t="n">
        <x:f>SUMIFS('Journal'!$E$6:$E$1632,'Journal'!$D$6:$D$1632,B554,'Journal'!$C$6:$C$1632,A554)</x:f>
        <x:v>0</x:v>
      </x:c>
      <x:c r="F554" s="9" t="n">
        <x:f>SUMIFS('Journal'!$F$6:$F$1632,'Journal'!$D$6:$D$1632,B554,'Journal'!$C$6:$C$1632,A554)</x:f>
        <x:v>1000</x:v>
      </x:c>
      <x:c r="G554" s="9" t="n">
        <x:f>ROUND(E554-F554,2)</x:f>
        <x:v>-1000</x:v>
      </x:c>
      <x:c r="H554" s="9" t="n">
        <x:f>ROUND(D554+G554,2)</x:f>
        <x:v>51000</x:v>
      </x:c>
    </x:row>
    <x:row r="555" ht="14" customHeight="1">
      <x:c r="A555" s="1" t="n">
        <x:v>9</x:v>
      </x:c>
      <x:c r="B555" s="1" t="str">
        <x:v>1140</x:v>
      </x:c>
      <x:c r="C555" s="1" t="str">
        <x:v>Warenbestand</x:v>
      </x:c>
      <x:c r="D555" s="9" t="n">
        <x:f>H487</x:f>
        <x:v>710000</x:v>
      </x:c>
      <x:c r="E555" s="9" t="n">
        <x:f>SUMIFS('Journal'!$E$6:$E$1632,'Journal'!$D$6:$D$1632,B555,'Journal'!$C$6:$C$1632,A555)</x:f>
        <x:v>446822.5</x:v>
      </x:c>
      <x:c r="F555" s="9" t="n">
        <x:f>SUMIFS('Journal'!$F$6:$F$1632,'Journal'!$D$6:$D$1632,B555,'Journal'!$C$6:$C$1632,A555)</x:f>
        <x:v>426822.5</x:v>
      </x:c>
      <x:c r="G555" s="9" t="n">
        <x:f>ROUND(E555-F555,2)</x:f>
        <x:v>20000</x:v>
      </x:c>
      <x:c r="H555" s="9" t="n">
        <x:f>ROUND(D555+G555,2)</x:f>
        <x:v>730000</x:v>
      </x:c>
    </x:row>
    <x:row r="556" ht="14" customHeight="1">
      <x:c r="A556" s="1" t="n">
        <x:v>9</x:v>
      </x:c>
      <x:c r="B556" s="1" t="str">
        <x:v>1200</x:v>
      </x:c>
      <x:c r="C556" s="1" t="str">
        <x:v>Forderungen aus Lieferungen und Leistungen</x:v>
      </x:c>
      <x:c r="D556" s="9" t="n">
        <x:f>H488</x:f>
        <x:v>790000</x:v>
      </x:c>
      <x:c r="E556" s="9" t="n">
        <x:f>SUMIFS('Journal'!$E$6:$E$1632,'Journal'!$D$6:$D$1632,B556,'Journal'!$C$6:$C$1632,A556)</x:f>
        <x:v>697224</x:v>
      </x:c>
      <x:c r="F556" s="9" t="n">
        <x:f>SUMIFS('Journal'!$F$6:$F$1632,'Journal'!$D$6:$D$1632,B556,'Journal'!$C$6:$C$1632,A556)</x:f>
        <x:v>667224</x:v>
      </x:c>
      <x:c r="G556" s="9" t="n">
        <x:f>ROUND(E556-F556,2)</x:f>
        <x:v>30000</x:v>
      </x:c>
      <x:c r="H556" s="9" t="n">
        <x:f>ROUND(D556+G556,2)</x:f>
        <x:v>820000</x:v>
      </x:c>
    </x:row>
    <x:row r="557" ht="14" customHeight="1">
      <x:c r="A557" s="1" t="n">
        <x:v>9</x:v>
      </x:c>
      <x:c r="B557" s="1" t="str">
        <x:v>1248</x:v>
      </x:c>
      <x:c r="C557" s="1" t="str">
        <x:v>Einzelwertberichtigungen zu Forderungen</x:v>
      </x:c>
      <x:c r="D557" s="9" t="n">
        <x:f>H489</x:f>
        <x:v>-20000</x:v>
      </x:c>
      <x:c r="E557" s="9" t="n">
        <x:f>SUMIFS('Journal'!$E$6:$E$1632,'Journal'!$D$6:$D$1632,B557,'Journal'!$C$6:$C$1632,A557)</x:f>
        <x:v>0</x:v>
      </x:c>
      <x:c r="F557" s="9" t="n">
        <x:f>SUMIFS('Journal'!$F$6:$F$1632,'Journal'!$D$6:$D$1632,B557,'Journal'!$C$6:$C$1632,A557)</x:f>
        <x:v>0</x:v>
      </x:c>
      <x:c r="G557" s="9" t="n">
        <x:f>ROUND(E557-F557,2)</x:f>
        <x:v>0</x:v>
      </x:c>
      <x:c r="H557" s="9" t="n">
        <x:f>ROUND(D557+G557,2)</x:f>
        <x:v>-20000</x:v>
      </x:c>
    </x:row>
    <x:row r="558" ht="14" customHeight="1">
      <x:c r="A558" s="1" t="n">
        <x:v>9</x:v>
      </x:c>
      <x:c r="B558" s="1" t="str">
        <x:v>1300</x:v>
      </x:c>
      <x:c r="C558" s="1" t="str">
        <x:v>Geleistete Lieferantenanzahlungen</x:v>
      </x:c>
      <x:c r="D558" s="9" t="n">
        <x:f>H490</x:f>
        <x:v>100000</x:v>
      </x:c>
      <x:c r="E558" s="9" t="n">
        <x:f>SUMIFS('Journal'!$E$6:$E$1632,'Journal'!$D$6:$D$1632,B558,'Journal'!$C$6:$C$1632,A558)</x:f>
        <x:v>0</x:v>
      </x:c>
      <x:c r="F558" s="9" t="n">
        <x:f>SUMIFS('Journal'!$F$6:$F$1632,'Journal'!$D$6:$D$1632,B558,'Journal'!$C$6:$C$1632,A558)</x:f>
        <x:v>0</x:v>
      </x:c>
      <x:c r="G558" s="9" t="n">
        <x:f>ROUND(E558-F558,2)</x:f>
        <x:v>0</x:v>
      </x:c>
      <x:c r="H558" s="9" t="n">
        <x:f>ROUND(D558+G558,2)</x:f>
        <x:v>100000</x:v>
      </x:c>
    </x:row>
    <x:row r="559" ht="14" customHeight="1">
      <x:c r="A559" s="1" t="n">
        <x:v>9</x:v>
      </x:c>
      <x:c r="B559" s="1" t="str">
        <x:v>1350</x:v>
      </x:c>
      <x:c r="C559" s="1" t="str">
        <x:v>Mietkaution Erlangen</x:v>
      </x:c>
      <x:c r="D559" s="9" t="n">
        <x:f>H491</x:f>
        <x:v>25000</x:v>
      </x:c>
      <x:c r="E559" s="9" t="n">
        <x:f>SUMIFS('Journal'!$E$6:$E$1632,'Journal'!$D$6:$D$1632,B559,'Journal'!$C$6:$C$1632,A559)</x:f>
        <x:v>0</x:v>
      </x:c>
      <x:c r="F559" s="9" t="n">
        <x:f>SUMIFS('Journal'!$F$6:$F$1632,'Journal'!$D$6:$D$1632,B559,'Journal'!$C$6:$C$1632,A559)</x:f>
        <x:v>0</x:v>
      </x:c>
      <x:c r="G559" s="9" t="n">
        <x:f>ROUND(E559-F559,2)</x:f>
        <x:v>0</x:v>
      </x:c>
      <x:c r="H559" s="9" t="n">
        <x:f>ROUND(D559+G559,2)</x:f>
        <x:v>25000</x:v>
      </x:c>
    </x:row>
    <x:row r="560" ht="14" customHeight="1">
      <x:c r="A560" s="1" t="n">
        <x:v>9</x:v>
      </x:c>
      <x:c r="B560" s="1" t="str">
        <x:v>1401</x:v>
      </x:c>
      <x:c r="C560" s="1" t="str">
        <x:v>Vorsteuer Inland 7 Prozent</x:v>
      </x:c>
      <x:c r="D560" s="9" t="n">
        <x:f>H492</x:f>
        <x:v>0</x:v>
      </x:c>
      <x:c r="E560" s="9" t="n">
        <x:f>SUMIFS('Journal'!$E$6:$E$1632,'Journal'!$D$6:$D$1632,B560,'Journal'!$C$6:$C$1632,A560)</x:f>
        <x:v>11885.48</x:v>
      </x:c>
      <x:c r="F560" s="9" t="n">
        <x:f>SUMIFS('Journal'!$F$6:$F$1632,'Journal'!$D$6:$D$1632,B560,'Journal'!$C$6:$C$1632,A560)</x:f>
        <x:v>11885.48</x:v>
      </x:c>
      <x:c r="G560" s="9" t="n">
        <x:f>ROUND(E560-F560,2)</x:f>
        <x:v>0</x:v>
      </x:c>
      <x:c r="H560" s="9" t="n">
        <x:f>ROUND(D560+G560,2)</x:f>
        <x:v>0</x:v>
      </x:c>
    </x:row>
    <x:row r="561" ht="14" customHeight="1">
      <x:c r="A561" s="1" t="n">
        <x:v>9</x:v>
      </x:c>
      <x:c r="B561" s="1" t="str">
        <x:v>1406</x:v>
      </x:c>
      <x:c r="C561" s="1" t="str">
        <x:v>Vorsteuer Inland 19 Prozent</x:v>
      </x:c>
      <x:c r="D561" s="9" t="n">
        <x:f>H493</x:f>
        <x:v>0</x:v>
      </x:c>
      <x:c r="E561" s="9" t="n">
        <x:f>SUMIFS('Journal'!$E$6:$E$1632,'Journal'!$D$6:$D$1632,B561,'Journal'!$C$6:$C$1632,A561)</x:f>
        <x:v>19527.739999999998</x:v>
      </x:c>
      <x:c r="F561" s="9" t="n">
        <x:f>SUMIFS('Journal'!$F$6:$F$1632,'Journal'!$D$6:$D$1632,B561,'Journal'!$C$6:$C$1632,A561)</x:f>
        <x:v>19527.74</x:v>
      </x:c>
      <x:c r="G561" s="9" t="n">
        <x:f>ROUND(E561-F561,2)</x:f>
        <x:v>0</x:v>
      </x:c>
      <x:c r="H561" s="9" t="n">
        <x:f>ROUND(D561+G561,2)</x:f>
        <x:v>0</x:v>
      </x:c>
    </x:row>
    <x:row r="562" ht="14" customHeight="1">
      <x:c r="A562" s="1" t="n">
        <x:v>9</x:v>
      </x:c>
      <x:c r="B562" s="1" t="str">
        <x:v>1404</x:v>
      </x:c>
      <x:c r="C562" s="1" t="str">
        <x:v>Vorsteuer EU Erwerb 7 Prozent</x:v>
      </x:c>
      <x:c r="D562" s="9" t="n">
        <x:f>H494</x:f>
        <x:v>0</x:v>
      </x:c>
      <x:c r="E562" s="9" t="n">
        <x:f>SUMIFS('Journal'!$E$6:$E$1632,'Journal'!$D$6:$D$1632,B562,'Journal'!$C$6:$C$1632,A562)</x:f>
        <x:v>6255.52</x:v>
      </x:c>
      <x:c r="F562" s="9" t="n">
        <x:f>SUMIFS('Journal'!$F$6:$F$1632,'Journal'!$D$6:$D$1632,B562,'Journal'!$C$6:$C$1632,A562)</x:f>
        <x:v>6255.52</x:v>
      </x:c>
      <x:c r="G562" s="9" t="n">
        <x:f>ROUND(E562-F562,2)</x:f>
        <x:v>0</x:v>
      </x:c>
      <x:c r="H562" s="9" t="n">
        <x:f>ROUND(D562+G562,2)</x:f>
        <x:v>0</x:v>
      </x:c>
    </x:row>
    <x:row r="563" ht="14" customHeight="1">
      <x:c r="A563" s="1" t="n">
        <x:v>9</x:v>
      </x:c>
      <x:c r="B563" s="1" t="str">
        <x:v>1409</x:v>
      </x:c>
      <x:c r="C563" s="1" t="str">
        <x:v>Vorsteuer EU Erwerb 19 Prozent</x:v>
      </x:c>
      <x:c r="D563" s="9" t="n">
        <x:f>H495</x:f>
        <x:v>0</x:v>
      </x:c>
      <x:c r="E563" s="9" t="n">
        <x:f>SUMIFS('Journal'!$E$6:$E$1632,'Journal'!$D$6:$D$1632,B563,'Journal'!$C$6:$C$1632,A563)</x:f>
        <x:v>4244.81</x:v>
      </x:c>
      <x:c r="F563" s="9" t="n">
        <x:f>SUMIFS('Journal'!$F$6:$F$1632,'Journal'!$D$6:$D$1632,B563,'Journal'!$C$6:$C$1632,A563)</x:f>
        <x:v>4244.81</x:v>
      </x:c>
      <x:c r="G563" s="9" t="n">
        <x:f>ROUND(E563-F563,2)</x:f>
        <x:v>0</x:v>
      </x:c>
      <x:c r="H563" s="9" t="n">
        <x:f>ROUND(D563+G563,2)</x:f>
        <x:v>0</x:v>
      </x:c>
    </x:row>
    <x:row r="564" ht="14" customHeight="1">
      <x:c r="A564" s="1" t="n">
        <x:v>9</x:v>
      </x:c>
      <x:c r="B564" s="1" t="str">
        <x:v>1433</x:v>
      </x:c>
      <x:c r="C564" s="1" t="str">
        <x:v>Einfuhrumsatzsteuer</x:v>
      </x:c>
      <x:c r="D564" s="9" t="n">
        <x:f>H496</x:f>
        <x:v>0</x:v>
      </x:c>
      <x:c r="E564" s="9" t="n">
        <x:f>SUMIFS('Journal'!$E$6:$E$1632,'Journal'!$D$6:$D$1632,B564,'Journal'!$C$6:$C$1632,A564)</x:f>
        <x:v>10991.84</x:v>
      </x:c>
      <x:c r="F564" s="9" t="n">
        <x:f>SUMIFS('Journal'!$F$6:$F$1632,'Journal'!$D$6:$D$1632,B564,'Journal'!$C$6:$C$1632,A564)</x:f>
        <x:v>10991.84</x:v>
      </x:c>
      <x:c r="G564" s="9" t="n">
        <x:f>ROUND(E564-F564,2)</x:f>
        <x:v>0</x:v>
      </x:c>
      <x:c r="H564" s="9" t="n">
        <x:f>ROUND(D564+G564,2)</x:f>
        <x:v>0</x:v>
      </x:c>
    </x:row>
    <x:row r="565" ht="14" customHeight="1">
      <x:c r="A565" s="1" t="n">
        <x:v>9</x:v>
      </x:c>
      <x:c r="B565" s="1" t="str">
        <x:v>1600</x:v>
      </x:c>
      <x:c r="C565" s="1" t="str">
        <x:v>Kasse</x:v>
      </x:c>
      <x:c r="D565" s="9" t="n">
        <x:f>H497</x:f>
        <x:v>3000</x:v>
      </x:c>
      <x:c r="E565" s="9" t="n">
        <x:f>SUMIFS('Journal'!$E$6:$E$1632,'Journal'!$D$6:$D$1632,B565,'Journal'!$C$6:$C$1632,A565)</x:f>
        <x:v>300</x:v>
      </x:c>
      <x:c r="F565" s="9" t="n">
        <x:f>SUMIFS('Journal'!$F$6:$F$1632,'Journal'!$D$6:$D$1632,B565,'Journal'!$C$6:$C$1632,A565)</x:f>
        <x:v>300</x:v>
      </x:c>
      <x:c r="G565" s="9" t="n">
        <x:f>ROUND(E565-F565,2)</x:f>
        <x:v>0</x:v>
      </x:c>
      <x:c r="H565" s="9" t="n">
        <x:f>ROUND(D565+G565,2)</x:f>
        <x:v>3000</x:v>
      </x:c>
    </x:row>
    <x:row r="566" ht="14" customHeight="1">
      <x:c r="A566" s="1" t="n">
        <x:v>9</x:v>
      </x:c>
      <x:c r="B566" s="1" t="str">
        <x:v>1800</x:v>
      </x:c>
      <x:c r="C566" s="1" t="str">
        <x:v>Bank Frankenbogen Geschäftskonto</x:v>
      </x:c>
      <x:c r="D566" s="9" t="n">
        <x:f>H498</x:f>
        <x:v>89510.01</x:v>
      </x:c>
      <x:c r="E566" s="9" t="n">
        <x:f>SUMIFS('Journal'!$E$6:$E$1632,'Journal'!$D$6:$D$1632,B566,'Journal'!$C$6:$C$1632,A566)</x:f>
        <x:v>668133.29</x:v>
      </x:c>
      <x:c r="F566" s="9" t="n">
        <x:f>SUMIFS('Journal'!$F$6:$F$1632,'Journal'!$D$6:$D$1632,B566,'Journal'!$C$6:$C$1632,A566)</x:f>
        <x:v>653227.5599999999</x:v>
      </x:c>
      <x:c r="G566" s="9" t="n">
        <x:f>ROUND(E566-F566,2)</x:f>
        <x:v>14905.73</x:v>
      </x:c>
      <x:c r="H566" s="9" t="n">
        <x:f>ROUND(D566+G566,2)</x:f>
        <x:v>104415.74</x:v>
      </x:c>
    </x:row>
    <x:row r="567" ht="14" customHeight="1">
      <x:c r="A567" s="1" t="n">
        <x:v>9</x:v>
      </x:c>
      <x:c r="B567" s="1" t="str">
        <x:v>1900</x:v>
      </x:c>
      <x:c r="C567" s="1" t="str">
        <x:v>Aktive Rechnungsabgrenzung</x:v>
      </x:c>
      <x:c r="D567" s="9" t="n">
        <x:f>H499</x:f>
        <x:v>0</x:v>
      </x:c>
      <x:c r="E567" s="9" t="n">
        <x:f>SUMIFS('Journal'!$E$6:$E$1632,'Journal'!$D$6:$D$1632,B567,'Journal'!$C$6:$C$1632,A567)</x:f>
        <x:v>0</x:v>
      </x:c>
      <x:c r="F567" s="9" t="n">
        <x:f>SUMIFS('Journal'!$F$6:$F$1632,'Journal'!$D$6:$D$1632,B567,'Journal'!$C$6:$C$1632,A567)</x:f>
        <x:v>0</x:v>
      </x:c>
      <x:c r="G567" s="9" t="n">
        <x:f>ROUND(E567-F567,2)</x:f>
        <x:v>0</x:v>
      </x:c>
      <x:c r="H567" s="9" t="n">
        <x:f>ROUND(D567+G567,2)</x:f>
        <x:v>0</x:v>
      </x:c>
    </x:row>
    <x:row r="568" ht="14" customHeight="1">
      <x:c r="A568" s="1" t="n">
        <x:v>9</x:v>
      </x:c>
      <x:c r="B568" s="1" t="str">
        <x:v>2900</x:v>
      </x:c>
      <x:c r="C568" s="1" t="str">
        <x:v>Gezeichnetes Kapital</x:v>
      </x:c>
      <x:c r="D568" s="9" t="n">
        <x:f>H500</x:f>
        <x:v>-100000</x:v>
      </x:c>
      <x:c r="E568" s="9" t="n">
        <x:f>SUMIFS('Journal'!$E$6:$E$1632,'Journal'!$D$6:$D$1632,B568,'Journal'!$C$6:$C$1632,A568)</x:f>
        <x:v>0</x:v>
      </x:c>
      <x:c r="F568" s="9" t="n">
        <x:f>SUMIFS('Journal'!$F$6:$F$1632,'Journal'!$D$6:$D$1632,B568,'Journal'!$C$6:$C$1632,A568)</x:f>
        <x:v>0</x:v>
      </x:c>
      <x:c r="G568" s="9" t="n">
        <x:f>ROUND(E568-F568,2)</x:f>
        <x:v>0</x:v>
      </x:c>
      <x:c r="H568" s="9" t="n">
        <x:f>ROUND(D568+G568,2)</x:f>
        <x:v>-100000</x:v>
      </x:c>
    </x:row>
    <x:row r="569" ht="14" customHeight="1">
      <x:c r="A569" s="1" t="n">
        <x:v>9</x:v>
      </x:c>
      <x:c r="B569" s="1" t="str">
        <x:v>2970</x:v>
      </x:c>
      <x:c r="C569" s="1" t="str">
        <x:v>Gewinnvortrag bis 2023</x:v>
      </x:c>
      <x:c r="D569" s="9" t="n">
        <x:f>H501</x:f>
        <x:v>-705000</x:v>
      </x:c>
      <x:c r="E569" s="9" t="n">
        <x:f>SUMIFS('Journal'!$E$6:$E$1632,'Journal'!$D$6:$D$1632,B569,'Journal'!$C$6:$C$1632,A569)</x:f>
        <x:v>0</x:v>
      </x:c>
      <x:c r="F569" s="9" t="n">
        <x:f>SUMIFS('Journal'!$F$6:$F$1632,'Journal'!$D$6:$D$1632,B569,'Journal'!$C$6:$C$1632,A569)</x:f>
        <x:v>0</x:v>
      </x:c>
      <x:c r="G569" s="9" t="n">
        <x:f>ROUND(E569-F569,2)</x:f>
        <x:v>0</x:v>
      </x:c>
      <x:c r="H569" s="9" t="n">
        <x:f>ROUND(D569+G569,2)</x:f>
        <x:v>-705000</x:v>
      </x:c>
    </x:row>
    <x:row r="570" ht="14" customHeight="1">
      <x:c r="A570" s="1" t="n">
        <x:v>9</x:v>
      </x:c>
      <x:c r="B570" s="1" t="str">
        <x:v>2978</x:v>
      </x:c>
      <x:c r="C570" s="1" t="str">
        <x:v>Ergebnisvortrag 2024</x:v>
      </x:c>
      <x:c r="D570" s="9" t="n">
        <x:f>H502</x:f>
        <x:v>0</x:v>
      </x:c>
      <x:c r="E570" s="9" t="n">
        <x:f>SUMIFS('Journal'!$E$6:$E$1632,'Journal'!$D$6:$D$1632,B570,'Journal'!$C$6:$C$1632,A570)</x:f>
        <x:v>0</x:v>
      </x:c>
      <x:c r="F570" s="9" t="n">
        <x:f>SUMIFS('Journal'!$F$6:$F$1632,'Journal'!$D$6:$D$1632,B570,'Journal'!$C$6:$C$1632,A570)</x:f>
        <x:v>0</x:v>
      </x:c>
      <x:c r="G570" s="9" t="n">
        <x:f>ROUND(E570-F570,2)</x:f>
        <x:v>0</x:v>
      </x:c>
      <x:c r="H570" s="9" t="n">
        <x:f>ROUND(D570+G570,2)</x:f>
        <x:v>0</x:v>
      </x:c>
    </x:row>
    <x:row r="571" ht="14" customHeight="1">
      <x:c r="A571" s="1" t="n">
        <x:v>9</x:v>
      </x:c>
      <x:c r="B571" s="1" t="str">
        <x:v>3090</x:v>
      </x:c>
      <x:c r="C571" s="1" t="str">
        <x:v>Rückstellungen Abschluss und Urlaub</x:v>
      </x:c>
      <x:c r="D571" s="9" t="n">
        <x:f>H503</x:f>
        <x:v>-45000</x:v>
      </x:c>
      <x:c r="E571" s="9" t="n">
        <x:f>SUMIFS('Journal'!$E$6:$E$1632,'Journal'!$D$6:$D$1632,B571,'Journal'!$C$6:$C$1632,A571)</x:f>
        <x:v>0</x:v>
      </x:c>
      <x:c r="F571" s="9" t="n">
        <x:f>SUMIFS('Journal'!$F$6:$F$1632,'Journal'!$D$6:$D$1632,B571,'Journal'!$C$6:$C$1632,A571)</x:f>
        <x:v>0</x:v>
      </x:c>
      <x:c r="G571" s="9" t="n">
        <x:f>ROUND(E571-F571,2)</x:f>
        <x:v>0</x:v>
      </x:c>
      <x:c r="H571" s="9" t="n">
        <x:f>ROUND(D571+G571,2)</x:f>
        <x:v>-45000</x:v>
      </x:c>
    </x:row>
    <x:row r="572" ht="14" customHeight="1">
      <x:c r="A572" s="1" t="n">
        <x:v>9</x:v>
      </x:c>
      <x:c r="B572" s="1" t="str">
        <x:v>3150</x:v>
      </x:c>
      <x:c r="C572" s="1" t="str">
        <x:v>Investitionsdarlehen Frankenbogen</x:v>
      </x:c>
      <x:c r="D572" s="9" t="n">
        <x:f>H504</x:f>
        <x:v>-520000</x:v>
      </x:c>
      <x:c r="E572" s="9" t="n">
        <x:f>SUMIFS('Journal'!$E$6:$E$1632,'Journal'!$D$6:$D$1632,B572,'Journal'!$C$6:$C$1632,A572)</x:f>
        <x:v>10000</x:v>
      </x:c>
      <x:c r="F572" s="9" t="n">
        <x:f>SUMIFS('Journal'!$F$6:$F$1632,'Journal'!$D$6:$D$1632,B572,'Journal'!$C$6:$C$1632,A572)</x:f>
        <x:v>0</x:v>
      </x:c>
      <x:c r="G572" s="9" t="n">
        <x:f>ROUND(E572-F572,2)</x:f>
        <x:v>10000</x:v>
      </x:c>
      <x:c r="H572" s="9" t="n">
        <x:f>ROUND(D572+G572,2)</x:f>
        <x:v>-510000</x:v>
      </x:c>
    </x:row>
    <x:row r="573" ht="14" customHeight="1">
      <x:c r="A573" s="1" t="n">
        <x:v>9</x:v>
      </x:c>
      <x:c r="B573" s="1" t="str">
        <x:v>3160</x:v>
      </x:c>
      <x:c r="C573" s="1" t="str">
        <x:v>Gesellschafterdarlehen</x:v>
      </x:c>
      <x:c r="D573" s="9" t="n">
        <x:f>H505</x:f>
        <x:v>0</x:v>
      </x:c>
      <x:c r="E573" s="9" t="n">
        <x:f>SUMIFS('Journal'!$E$6:$E$1632,'Journal'!$D$6:$D$1632,B573,'Journal'!$C$6:$C$1632,A573)</x:f>
        <x:v>0</x:v>
      </x:c>
      <x:c r="F573" s="9" t="n">
        <x:f>SUMIFS('Journal'!$F$6:$F$1632,'Journal'!$D$6:$D$1632,B573,'Journal'!$C$6:$C$1632,A573)</x:f>
        <x:v>0</x:v>
      </x:c>
      <x:c r="G573" s="9" t="n">
        <x:f>ROUND(E573-F573,2)</x:f>
        <x:v>0</x:v>
      </x:c>
      <x:c r="H573" s="9" t="n">
        <x:f>ROUND(D573+G573,2)</x:f>
        <x:v>0</x:v>
      </x:c>
    </x:row>
    <x:row r="574" ht="14" customHeight="1">
      <x:c r="A574" s="1" t="n">
        <x:v>9</x:v>
      </x:c>
      <x:c r="B574" s="1" t="str">
        <x:v>3300</x:v>
      </x:c>
      <x:c r="C574" s="1" t="str">
        <x:v>Verbindlichkeiten aus Lieferungen und Leistungen</x:v>
      </x:c>
      <x:c r="D574" s="9" t="n">
        <x:f>H506</x:f>
        <x:v>-660000</x:v>
      </x:c>
      <x:c r="E574" s="9" t="n">
        <x:f>SUMIFS('Journal'!$E$6:$E$1632,'Journal'!$D$6:$D$1632,B574,'Journal'!$C$6:$C$1632,A574)</x:f>
        <x:v>512435.72</x:v>
      </x:c>
      <x:c r="F574" s="9" t="n">
        <x:f>SUMIFS('Journal'!$F$6:$F$1632,'Journal'!$D$6:$D$1632,B574,'Journal'!$C$6:$C$1632,A574)</x:f>
        <x:v>552435.72</x:v>
      </x:c>
      <x:c r="G574" s="9" t="n">
        <x:f>ROUND(E574-F574,2)</x:f>
        <x:v>-40000</x:v>
      </x:c>
      <x:c r="H574" s="9" t="n">
        <x:f>ROUND(D574+G574,2)</x:f>
        <x:v>-700000</x:v>
      </x:c>
    </x:row>
    <x:row r="575" ht="14" customHeight="1">
      <x:c r="A575" s="1" t="n">
        <x:v>9</x:v>
      </x:c>
      <x:c r="B575" s="1" t="str">
        <x:v>3500</x:v>
      </x:c>
      <x:c r="C575" s="1" t="str">
        <x:v>Sonstige Verbindlichkeiten</x:v>
      </x:c>
      <x:c r="D575" s="9" t="n">
        <x:f>H507</x:f>
        <x:v>-22000</x:v>
      </x:c>
      <x:c r="E575" s="9" t="n">
        <x:f>SUMIFS('Journal'!$E$6:$E$1632,'Journal'!$D$6:$D$1632,B575,'Journal'!$C$6:$C$1632,A575)</x:f>
        <x:v>0</x:v>
      </x:c>
      <x:c r="F575" s="9" t="n">
        <x:f>SUMIFS('Journal'!$F$6:$F$1632,'Journal'!$D$6:$D$1632,B575,'Journal'!$C$6:$C$1632,A575)</x:f>
        <x:v>0</x:v>
      </x:c>
      <x:c r="G575" s="9" t="n">
        <x:f>ROUND(E575-F575,2)</x:f>
        <x:v>0</x:v>
      </x:c>
      <x:c r="H575" s="9" t="n">
        <x:f>ROUND(D575+G575,2)</x:f>
        <x:v>-22000</x:v>
      </x:c>
    </x:row>
    <x:row r="576" ht="14" customHeight="1">
      <x:c r="A576" s="1" t="n">
        <x:v>9</x:v>
      </x:c>
      <x:c r="B576" s="1" t="str">
        <x:v>3720</x:v>
      </x:c>
      <x:c r="C576" s="1" t="str">
        <x:v>Verbindlichkeiten Nettolöhne</x:v>
      </x:c>
      <x:c r="D576" s="9" t="n">
        <x:f>H508</x:f>
        <x:v>0</x:v>
      </x:c>
      <x:c r="E576" s="9" t="n">
        <x:f>SUMIFS('Journal'!$E$6:$E$1632,'Journal'!$D$6:$D$1632,B576,'Journal'!$C$6:$C$1632,A576)</x:f>
        <x:v>56760</x:v>
      </x:c>
      <x:c r="F576" s="9" t="n">
        <x:f>SUMIFS('Journal'!$F$6:$F$1632,'Journal'!$D$6:$D$1632,B576,'Journal'!$C$6:$C$1632,A576)</x:f>
        <x:v>56760</x:v>
      </x:c>
      <x:c r="G576" s="9" t="n">
        <x:f>ROUND(E576-F576,2)</x:f>
        <x:v>0</x:v>
      </x:c>
      <x:c r="H576" s="9" t="n">
        <x:f>ROUND(D576+G576,2)</x:f>
        <x:v>0</x:v>
      </x:c>
    </x:row>
    <x:row r="577" ht="14" customHeight="1">
      <x:c r="A577" s="1" t="n">
        <x:v>9</x:v>
      </x:c>
      <x:c r="B577" s="1" t="str">
        <x:v>3730</x:v>
      </x:c>
      <x:c r="C577" s="1" t="str">
        <x:v>Verbindlichkeiten Lohnsteuer</x:v>
      </x:c>
      <x:c r="D577" s="9" t="n">
        <x:f>H509</x:f>
        <x:v>-12900</x:v>
      </x:c>
      <x:c r="E577" s="9" t="n">
        <x:f>SUMIFS('Journal'!$E$6:$E$1632,'Journal'!$D$6:$D$1632,B577,'Journal'!$C$6:$C$1632,A577)</x:f>
        <x:v>12900</x:v>
      </x:c>
      <x:c r="F577" s="9" t="n">
        <x:f>SUMIFS('Journal'!$F$6:$F$1632,'Journal'!$D$6:$D$1632,B577,'Journal'!$C$6:$C$1632,A577)</x:f>
        <x:v>12900</x:v>
      </x:c>
      <x:c r="G577" s="9" t="n">
        <x:f>ROUND(E577-F577,2)</x:f>
        <x:v>0</x:v>
      </x:c>
      <x:c r="H577" s="9" t="n">
        <x:f>ROUND(D577+G577,2)</x:f>
        <x:v>-12900</x:v>
      </x:c>
    </x:row>
    <x:row r="578" ht="14" customHeight="1">
      <x:c r="A578" s="1" t="n">
        <x:v>9</x:v>
      </x:c>
      <x:c r="B578" s="1" t="str">
        <x:v>3740</x:v>
      </x:c>
      <x:c r="C578" s="1" t="str">
        <x:v>Verbindlichkeiten Sozialversicherung</x:v>
      </x:c>
      <x:c r="D578" s="9" t="n">
        <x:f>H510</x:f>
        <x:v>0</x:v>
      </x:c>
      <x:c r="E578" s="9" t="n">
        <x:f>SUMIFS('Journal'!$E$6:$E$1632,'Journal'!$D$6:$D$1632,B578,'Journal'!$C$6:$C$1632,A578)</x:f>
        <x:v>34340</x:v>
      </x:c>
      <x:c r="F578" s="9" t="n">
        <x:f>SUMIFS('Journal'!$F$6:$F$1632,'Journal'!$D$6:$D$1632,B578,'Journal'!$C$6:$C$1632,A578)</x:f>
        <x:v>34340</x:v>
      </x:c>
      <x:c r="G578" s="9" t="n">
        <x:f>ROUND(E578-F578,2)</x:f>
        <x:v>0</x:v>
      </x:c>
      <x:c r="H578" s="9" t="n">
        <x:f>ROUND(D578+G578,2)</x:f>
        <x:v>0</x:v>
      </x:c>
    </x:row>
    <x:row r="579" ht="14" customHeight="1">
      <x:c r="A579" s="1" t="n">
        <x:v>9</x:v>
      </x:c>
      <x:c r="B579" s="1" t="str">
        <x:v>3801</x:v>
      </x:c>
      <x:c r="C579" s="1" t="str">
        <x:v>Umsatzsteuer Inland 7 Prozent</x:v>
      </x:c>
      <x:c r="D579" s="9" t="n">
        <x:f>H511</x:f>
        <x:v>0</x:v>
      </x:c>
      <x:c r="E579" s="9" t="n">
        <x:f>SUMIFS('Journal'!$E$6:$E$1632,'Journal'!$D$6:$D$1632,B579,'Journal'!$C$6:$C$1632,A579)</x:f>
        <x:v>22176</x:v>
      </x:c>
      <x:c r="F579" s="9" t="n">
        <x:f>SUMIFS('Journal'!$F$6:$F$1632,'Journal'!$D$6:$D$1632,B579,'Journal'!$C$6:$C$1632,A579)</x:f>
        <x:v>22176</x:v>
      </x:c>
      <x:c r="G579" s="9" t="n">
        <x:f>ROUND(E579-F579,2)</x:f>
        <x:v>0</x:v>
      </x:c>
      <x:c r="H579" s="9" t="n">
        <x:f>ROUND(D579+G579,2)</x:f>
        <x:v>0</x:v>
      </x:c>
    </x:row>
    <x:row r="580" ht="14" customHeight="1">
      <x:c r="A580" s="1" t="n">
        <x:v>9</x:v>
      </x:c>
      <x:c r="B580" s="1" t="str">
        <x:v>3806</x:v>
      </x:c>
      <x:c r="C580" s="1" t="str">
        <x:v>Umsatzsteuer Inland 19 Prozent</x:v>
      </x:c>
      <x:c r="D580" s="9" t="n">
        <x:f>H512</x:f>
        <x:v>0</x:v>
      </x:c>
      <x:c r="E580" s="9" t="n">
        <x:f>SUMIFS('Journal'!$E$6:$E$1632,'Journal'!$D$6:$D$1632,B580,'Journal'!$C$6:$C$1632,A580)</x:f>
        <x:v>15048</x:v>
      </x:c>
      <x:c r="F580" s="9" t="n">
        <x:f>SUMIFS('Journal'!$F$6:$F$1632,'Journal'!$D$6:$D$1632,B580,'Journal'!$C$6:$C$1632,A580)</x:f>
        <x:v>15048</x:v>
      </x:c>
      <x:c r="G580" s="9" t="n">
        <x:f>ROUND(E580-F580,2)</x:f>
        <x:v>0</x:v>
      </x:c>
      <x:c r="H580" s="9" t="n">
        <x:f>ROUND(D580+G580,2)</x:f>
        <x:v>0</x:v>
      </x:c>
    </x:row>
    <x:row r="581" ht="14" customHeight="1">
      <x:c r="A581" s="1" t="n">
        <x:v>9</x:v>
      </x:c>
      <x:c r="B581" s="1" t="str">
        <x:v>3804</x:v>
      </x:c>
      <x:c r="C581" s="1" t="str">
        <x:v>Umsatzsteuer EU Erwerb 7 Prozent</x:v>
      </x:c>
      <x:c r="D581" s="9" t="n">
        <x:f>H513</x:f>
        <x:v>0</x:v>
      </x:c>
      <x:c r="E581" s="9" t="n">
        <x:f>SUMIFS('Journal'!$E$6:$E$1632,'Journal'!$D$6:$D$1632,B581,'Journal'!$C$6:$C$1632,A581)</x:f>
        <x:v>6255.52</x:v>
      </x:c>
      <x:c r="F581" s="9" t="n">
        <x:f>SUMIFS('Journal'!$F$6:$F$1632,'Journal'!$D$6:$D$1632,B581,'Journal'!$C$6:$C$1632,A581)</x:f>
        <x:v>6255.52</x:v>
      </x:c>
      <x:c r="G581" s="9" t="n">
        <x:f>ROUND(E581-F581,2)</x:f>
        <x:v>0</x:v>
      </x:c>
      <x:c r="H581" s="9" t="n">
        <x:f>ROUND(D581+G581,2)</x:f>
        <x:v>0</x:v>
      </x:c>
    </x:row>
    <x:row r="582" ht="14" customHeight="1">
      <x:c r="A582" s="1" t="n">
        <x:v>9</x:v>
      </x:c>
      <x:c r="B582" s="1" t="str">
        <x:v>3809</x:v>
      </x:c>
      <x:c r="C582" s="1" t="str">
        <x:v>Umsatzsteuer EU Erwerb 19 Prozent</x:v>
      </x:c>
      <x:c r="D582" s="9" t="n">
        <x:f>H514</x:f>
        <x:v>0</x:v>
      </x:c>
      <x:c r="E582" s="9" t="n">
        <x:f>SUMIFS('Journal'!$E$6:$E$1632,'Journal'!$D$6:$D$1632,B582,'Journal'!$C$6:$C$1632,A582)</x:f>
        <x:v>4244.81</x:v>
      </x:c>
      <x:c r="F582" s="9" t="n">
        <x:f>SUMIFS('Journal'!$F$6:$F$1632,'Journal'!$D$6:$D$1632,B582,'Journal'!$C$6:$C$1632,A582)</x:f>
        <x:v>4244.81</x:v>
      </x:c>
      <x:c r="G582" s="9" t="n">
        <x:f>ROUND(E582-F582,2)</x:f>
        <x:v>0</x:v>
      </x:c>
      <x:c r="H582" s="9" t="n">
        <x:f>ROUND(D582+G582,2)</x:f>
        <x:v>0</x:v>
      </x:c>
    </x:row>
    <x:row r="583" ht="14" customHeight="1">
      <x:c r="A583" s="1" t="n">
        <x:v>9</x:v>
      </x:c>
      <x:c r="B583" s="1" t="str">
        <x:v>3820</x:v>
      </x:c>
      <x:c r="C583" s="1" t="str">
        <x:v>Umsatzsteuer Verrechnung Finanzamt</x:v>
      </x:c>
      <x:c r="D583" s="9" t="n">
        <x:f>H515</x:f>
        <x:v>4399.99</x:v>
      </x:c>
      <x:c r="E583" s="9" t="n">
        <x:f>SUMIFS('Journal'!$E$6:$E$1632,'Journal'!$D$6:$D$1632,B583,'Journal'!$C$6:$C$1632,A583)</x:f>
        <x:v>52905.39</x:v>
      </x:c>
      <x:c r="F583" s="9" t="n">
        <x:f>SUMIFS('Journal'!$F$6:$F$1632,'Journal'!$D$6:$D$1632,B583,'Journal'!$C$6:$C$1632,A583)</x:f>
        <x:v>51983.619999999995</x:v>
      </x:c>
      <x:c r="G583" s="9" t="n">
        <x:f>ROUND(E583-F583,2)</x:f>
        <x:v>921.77</x:v>
      </x:c>
      <x:c r="H583" s="9" t="n">
        <x:f>ROUND(D583+G583,2)</x:f>
        <x:v>5321.76</x:v>
      </x:c>
    </x:row>
    <x:row r="584" ht="14" customHeight="1">
      <x:c r="A584" s="1" t="n">
        <x:v>9</x:v>
      </x:c>
      <x:c r="B584" s="1" t="str">
        <x:v>3840</x:v>
      </x:c>
      <x:c r="C584" s="1" t="str">
        <x:v>Ertragsteuern Verrechnung</x:v>
      </x:c>
      <x:c r="D584" s="9" t="n">
        <x:f>H516</x:f>
        <x:v>-11000</x:v>
      </x:c>
      <x:c r="E584" s="9" t="n">
        <x:f>SUMIFS('Journal'!$E$6:$E$1632,'Journal'!$D$6:$D$1632,B584,'Journal'!$C$6:$C$1632,A584)</x:f>
        <x:v>12000</x:v>
      </x:c>
      <x:c r="F584" s="9" t="n">
        <x:f>SUMIFS('Journal'!$F$6:$F$1632,'Journal'!$D$6:$D$1632,B584,'Journal'!$C$6:$C$1632,A584)</x:f>
        <x:v>0</x:v>
      </x:c>
      <x:c r="G584" s="9" t="n">
        <x:f>ROUND(E584-F584,2)</x:f>
        <x:v>12000</x:v>
      </x:c>
      <x:c r="H584" s="9" t="n">
        <x:f>ROUND(D584+G584,2)</x:f>
        <x:v>1000</x:v>
      </x:c>
    </x:row>
    <x:row r="585" ht="14" customHeight="1">
      <x:c r="A585" s="1" t="n">
        <x:v>9</x:v>
      </x:c>
      <x:c r="B585" s="1" t="str">
        <x:v>4300</x:v>
      </x:c>
      <x:c r="C585" s="1" t="str">
        <x:v>Erlöse Inland 7 Prozent</x:v>
      </x:c>
      <x:c r="D585" s="9" t="n">
        <x:f>H517</x:f>
        <x:v>-2270400</x:v>
      </x:c>
      <x:c r="E585" s="9" t="n">
        <x:f>SUMIFS('Journal'!$E$6:$E$1632,'Journal'!$D$6:$D$1632,B585,'Journal'!$C$6:$C$1632,A585)</x:f>
        <x:v>0</x:v>
      </x:c>
      <x:c r="F585" s="9" t="n">
        <x:f>SUMIFS('Journal'!$F$6:$F$1632,'Journal'!$D$6:$D$1632,B585,'Journal'!$C$6:$C$1632,A585)</x:f>
        <x:v>316800</x:v>
      </x:c>
      <x:c r="G585" s="9" t="n">
        <x:f>ROUND(E585-F585,2)</x:f>
        <x:v>-316800</x:v>
      </x:c>
      <x:c r="H585" s="9" t="n">
        <x:f>ROUND(D585+G585,2)</x:f>
        <x:v>-2587200</x:v>
      </x:c>
    </x:row>
    <x:row r="586" ht="14" customHeight="1">
      <x:c r="A586" s="1" t="n">
        <x:v>9</x:v>
      </x:c>
      <x:c r="B586" s="1" t="str">
        <x:v>4400</x:v>
      </x:c>
      <x:c r="C586" s="1" t="str">
        <x:v>Erlöse Inland 19 Prozent</x:v>
      </x:c>
      <x:c r="D586" s="9" t="n">
        <x:f>H518</x:f>
        <x:v>-567600</x:v>
      </x:c>
      <x:c r="E586" s="9" t="n">
        <x:f>SUMIFS('Journal'!$E$6:$E$1632,'Journal'!$D$6:$D$1632,B586,'Journal'!$C$6:$C$1632,A586)</x:f>
        <x:v>0</x:v>
      </x:c>
      <x:c r="F586" s="9" t="n">
        <x:f>SUMIFS('Journal'!$F$6:$F$1632,'Journal'!$D$6:$D$1632,B586,'Journal'!$C$6:$C$1632,A586)</x:f>
        <x:v>79200</x:v>
      </x:c>
      <x:c r="G586" s="9" t="n">
        <x:f>ROUND(E586-F586,2)</x:f>
        <x:v>-79200</x:v>
      </x:c>
      <x:c r="H586" s="9" t="n">
        <x:f>ROUND(D586+G586,2)</x:f>
        <x:v>-646800</x:v>
      </x:c>
    </x:row>
    <x:row r="587" ht="14" customHeight="1">
      <x:c r="A587" s="1" t="n">
        <x:v>9</x:v>
      </x:c>
      <x:c r="B587" s="1" t="str">
        <x:v>4125</x:v>
      </x:c>
      <x:c r="C587" s="1" t="str">
        <x:v>Erlöse EU Warenlieferungen</x:v>
      </x:c>
      <x:c r="D587" s="9" t="n">
        <x:f>H519</x:f>
        <x:v>-946000</x:v>
      </x:c>
      <x:c r="E587" s="9" t="n">
        <x:f>SUMIFS('Journal'!$E$6:$E$1632,'Journal'!$D$6:$D$1632,B587,'Journal'!$C$6:$C$1632,A587)</x:f>
        <x:v>0</x:v>
      </x:c>
      <x:c r="F587" s="9" t="n">
        <x:f>SUMIFS('Journal'!$F$6:$F$1632,'Journal'!$D$6:$D$1632,B587,'Journal'!$C$6:$C$1632,A587)</x:f>
        <x:v>132000</x:v>
      </x:c>
      <x:c r="G587" s="9" t="n">
        <x:f>ROUND(E587-F587,2)</x:f>
        <x:v>-132000</x:v>
      </x:c>
      <x:c r="H587" s="9" t="n">
        <x:f>ROUND(D587+G587,2)</x:f>
        <x:v>-1078000</x:v>
      </x:c>
    </x:row>
    <x:row r="588" ht="14" customHeight="1">
      <x:c r="A588" s="1" t="n">
        <x:v>9</x:v>
      </x:c>
      <x:c r="B588" s="1" t="str">
        <x:v>4120</x:v>
      </x:c>
      <x:c r="C588" s="1" t="str">
        <x:v>Erlöse Drittland Warenlieferungen</x:v>
      </x:c>
      <x:c r="D588" s="9" t="n">
        <x:f>H520</x:f>
        <x:v>-946000</x:v>
      </x:c>
      <x:c r="E588" s="9" t="n">
        <x:f>SUMIFS('Journal'!$E$6:$E$1632,'Journal'!$D$6:$D$1632,B588,'Journal'!$C$6:$C$1632,A588)</x:f>
        <x:v>0</x:v>
      </x:c>
      <x:c r="F588" s="9" t="n">
        <x:f>SUMIFS('Journal'!$F$6:$F$1632,'Journal'!$D$6:$D$1632,B588,'Journal'!$C$6:$C$1632,A588)</x:f>
        <x:v>132000</x:v>
      </x:c>
      <x:c r="G588" s="9" t="n">
        <x:f>ROUND(E588-F588,2)</x:f>
        <x:v>-132000</x:v>
      </x:c>
      <x:c r="H588" s="9" t="n">
        <x:f>ROUND(D588+G588,2)</x:f>
        <x:v>-1078000</x:v>
      </x:c>
    </x:row>
    <x:row r="589" ht="14" customHeight="1">
      <x:c r="A589" s="1" t="n">
        <x:v>9</x:v>
      </x:c>
      <x:c r="B589" s="1" t="str">
        <x:v>4730</x:v>
      </x:c>
      <x:c r="C589" s="1" t="str">
        <x:v>Erlösschmälerungen Inland 7 Prozent</x:v>
      </x:c>
      <x:c r="D589" s="9" t="n">
        <x:f>H521</x:f>
        <x:v>12840</x:v>
      </x:c>
      <x:c r="E589" s="9" t="n">
        <x:f>SUMIFS('Journal'!$E$6:$E$1632,'Journal'!$D$6:$D$1632,B589,'Journal'!$C$6:$C$1632,A589)</x:f>
        <x:v>2010</x:v>
      </x:c>
      <x:c r="F589" s="9" t="n">
        <x:f>SUMIFS('Journal'!$F$6:$F$1632,'Journal'!$D$6:$D$1632,B589,'Journal'!$C$6:$C$1632,A589)</x:f>
        <x:v>0</x:v>
      </x:c>
      <x:c r="G589" s="9" t="n">
        <x:f>ROUND(E589-F589,2)</x:f>
        <x:v>2010</x:v>
      </x:c>
      <x:c r="H589" s="9" t="n">
        <x:f>ROUND(D589+G589,2)</x:f>
        <x:v>14850</x:v>
      </x:c>
    </x:row>
    <x:row r="590" ht="14" customHeight="1">
      <x:c r="A590" s="1" t="n">
        <x:v>9</x:v>
      </x:c>
      <x:c r="B590" s="1" t="str">
        <x:v>4735</x:v>
      </x:c>
      <x:c r="C590" s="1" t="str">
        <x:v>Erlösschmälerungen EU</x:v>
      </x:c>
      <x:c r="D590" s="9" t="n">
        <x:f>H522</x:f>
        <x:v>8560</x:v>
      </x:c>
      <x:c r="E590" s="9" t="n">
        <x:f>SUMIFS('Journal'!$E$6:$E$1632,'Journal'!$D$6:$D$1632,B590,'Journal'!$C$6:$C$1632,A590)</x:f>
        <x:v>1340</x:v>
      </x:c>
      <x:c r="F590" s="9" t="n">
        <x:f>SUMIFS('Journal'!$F$6:$F$1632,'Journal'!$D$6:$D$1632,B590,'Journal'!$C$6:$C$1632,A590)</x:f>
        <x:v>0</x:v>
      </x:c>
      <x:c r="G590" s="9" t="n">
        <x:f>ROUND(E590-F590,2)</x:f>
        <x:v>1340</x:v>
      </x:c>
      <x:c r="H590" s="9" t="n">
        <x:f>ROUND(D590+G590,2)</x:f>
        <x:v>9900</x:v>
      </x:c>
    </x:row>
    <x:row r="591" ht="14" customHeight="1">
      <x:c r="A591" s="1" t="n">
        <x:v>9</x:v>
      </x:c>
      <x:c r="B591" s="1" t="str">
        <x:v>4830</x:v>
      </x:c>
      <x:c r="C591" s="1" t="str">
        <x:v>Sonstige betriebliche Erträge</x:v>
      </x:c>
      <x:c r="D591" s="9" t="n">
        <x:f>H523</x:f>
        <x:v>-12000</x:v>
      </x:c>
      <x:c r="E591" s="9" t="n">
        <x:f>SUMIFS('Journal'!$E$6:$E$1632,'Journal'!$D$6:$D$1632,B591,'Journal'!$C$6:$C$1632,A591)</x:f>
        <x:v>0</x:v>
      </x:c>
      <x:c r="F591" s="9" t="n">
        <x:f>SUMIFS('Journal'!$F$6:$F$1632,'Journal'!$D$6:$D$1632,B591,'Journal'!$C$6:$C$1632,A591)</x:f>
        <x:v>0</x:v>
      </x:c>
      <x:c r="G591" s="9" t="n">
        <x:f>ROUND(E591-F591,2)</x:f>
        <x:v>0</x:v>
      </x:c>
      <x:c r="H591" s="9" t="n">
        <x:f>ROUND(D591+G591,2)</x:f>
        <x:v>-12000</x:v>
      </x:c>
    </x:row>
    <x:row r="592" ht="14" customHeight="1">
      <x:c r="A592" s="1" t="n">
        <x:v>9</x:v>
      </x:c>
      <x:c r="B592" s="1" t="str">
        <x:v>5000</x:v>
      </x:c>
      <x:c r="C592" s="1" t="str">
        <x:v>Wareneinsatz</x:v>
      </x:c>
      <x:c r="D592" s="9" t="n">
        <x:f>H524</x:f>
        <x:v>3060590</x:v>
      </x:c>
      <x:c r="E592" s="9" t="n">
        <x:f>SUMIFS('Journal'!$E$6:$E$1632,'Journal'!$D$6:$D$1632,B592,'Journal'!$C$6:$C$1632,A592)</x:f>
        <x:v>426822.5</x:v>
      </x:c>
      <x:c r="F592" s="9" t="n">
        <x:f>SUMIFS('Journal'!$F$6:$F$1632,'Journal'!$D$6:$D$1632,B592,'Journal'!$C$6:$C$1632,A592)</x:f>
        <x:v>0</x:v>
      </x:c>
      <x:c r="G592" s="9" t="n">
        <x:f>ROUND(E592-F592,2)</x:f>
        <x:v>426822.5</x:v>
      </x:c>
      <x:c r="H592" s="9" t="n">
        <x:f>ROUND(D592+G592,2)</x:f>
        <x:v>3487412.5</x:v>
      </x:c>
    </x:row>
    <x:row r="593" ht="14" customHeight="1">
      <x:c r="A593" s="1" t="n">
        <x:v>9</x:v>
      </x:c>
      <x:c r="B593" s="1" t="str">
        <x:v>5005</x:v>
      </x:c>
      <x:c r="C593" s="1" t="str">
        <x:v>Abwertung Warenbestand</x:v>
      </x:c>
      <x:c r="D593" s="9" t="n">
        <x:f>H525</x:f>
        <x:v>0</x:v>
      </x:c>
      <x:c r="E593" s="9" t="n">
        <x:f>SUMIFS('Journal'!$E$6:$E$1632,'Journal'!$D$6:$D$1632,B593,'Journal'!$C$6:$C$1632,A593)</x:f>
        <x:v>0</x:v>
      </x:c>
      <x:c r="F593" s="9" t="n">
        <x:f>SUMIFS('Journal'!$F$6:$F$1632,'Journal'!$D$6:$D$1632,B593,'Journal'!$C$6:$C$1632,A593)</x:f>
        <x:v>0</x:v>
      </x:c>
      <x:c r="G593" s="9" t="n">
        <x:f>ROUND(E593-F593,2)</x:f>
        <x:v>0</x:v>
      </x:c>
      <x:c r="H593" s="9" t="n">
        <x:f>ROUND(D593+G593,2)</x:f>
        <x:v>0</x:v>
      </x:c>
    </x:row>
    <x:row r="594" ht="14" customHeight="1">
      <x:c r="A594" s="1" t="n">
        <x:v>9</x:v>
      </x:c>
      <x:c r="B594" s="1" t="str">
        <x:v>6020</x:v>
      </x:c>
      <x:c r="C594" s="1" t="str">
        <x:v>Bruttogehälter</x:v>
      </x:c>
      <x:c r="D594" s="9" t="n">
        <x:f>H526</x:f>
        <x:v>688000</x:v>
      </x:c>
      <x:c r="E594" s="9" t="n">
        <x:f>SUMIFS('Journal'!$E$6:$E$1632,'Journal'!$D$6:$D$1632,B594,'Journal'!$C$6:$C$1632,A594)</x:f>
        <x:v>86000</x:v>
      </x:c>
      <x:c r="F594" s="9" t="n">
        <x:f>SUMIFS('Journal'!$F$6:$F$1632,'Journal'!$D$6:$D$1632,B594,'Journal'!$C$6:$C$1632,A594)</x:f>
        <x:v>0</x:v>
      </x:c>
      <x:c r="G594" s="9" t="n">
        <x:f>ROUND(E594-F594,2)</x:f>
        <x:v>86000</x:v>
      </x:c>
      <x:c r="H594" s="9" t="n">
        <x:f>ROUND(D594+G594,2)</x:f>
        <x:v>774000</x:v>
      </x:c>
    </x:row>
    <x:row r="595" ht="14" customHeight="1">
      <x:c r="A595" s="1" t="n">
        <x:v>9</x:v>
      </x:c>
      <x:c r="B595" s="1" t="str">
        <x:v>6110</x:v>
      </x:c>
      <x:c r="C595" s="1" t="str">
        <x:v>Arbeitgeberanteile Sozialversicherung</x:v>
      </x:c>
      <x:c r="D595" s="9" t="n">
        <x:f>H527</x:f>
        <x:v>144000</x:v>
      </x:c>
      <x:c r="E595" s="9" t="n">
        <x:f>SUMIFS('Journal'!$E$6:$E$1632,'Journal'!$D$6:$D$1632,B595,'Journal'!$C$6:$C$1632,A595)</x:f>
        <x:v>18000</x:v>
      </x:c>
      <x:c r="F595" s="9" t="n">
        <x:f>SUMIFS('Journal'!$F$6:$F$1632,'Journal'!$D$6:$D$1632,B595,'Journal'!$C$6:$C$1632,A595)</x:f>
        <x:v>0</x:v>
      </x:c>
      <x:c r="G595" s="9" t="n">
        <x:f>ROUND(E595-F595,2)</x:f>
        <x:v>18000</x:v>
      </x:c>
      <x:c r="H595" s="9" t="n">
        <x:f>ROUND(D595+G595,2)</x:f>
        <x:v>162000</x:v>
      </x:c>
    </x:row>
    <x:row r="596" ht="14" customHeight="1">
      <x:c r="A596" s="1" t="n">
        <x:v>9</x:v>
      </x:c>
      <x:c r="B596" s="1" t="str">
        <x:v>6220</x:v>
      </x:c>
      <x:c r="C596" s="1" t="str">
        <x:v>Abschreibungen Sachanlagen und Software</x:v>
      </x:c>
      <x:c r="D596" s="9" t="n">
        <x:f>H528</x:f>
        <x:v>60000</x:v>
      </x:c>
      <x:c r="E596" s="9" t="n">
        <x:f>SUMIFS('Journal'!$E$6:$E$1632,'Journal'!$D$6:$D$1632,B596,'Journal'!$C$6:$C$1632,A596)</x:f>
        <x:v>7500</x:v>
      </x:c>
      <x:c r="F596" s="9" t="n">
        <x:f>SUMIFS('Journal'!$F$6:$F$1632,'Journal'!$D$6:$D$1632,B596,'Journal'!$C$6:$C$1632,A596)</x:f>
        <x:v>0</x:v>
      </x:c>
      <x:c r="G596" s="9" t="n">
        <x:f>ROUND(E596-F596,2)</x:f>
        <x:v>7500</x:v>
      </x:c>
      <x:c r="H596" s="9" t="n">
        <x:f>ROUND(D596+G596,2)</x:f>
        <x:v>67500</x:v>
      </x:c>
    </x:row>
    <x:row r="597" ht="14" customHeight="1">
      <x:c r="A597" s="1" t="n">
        <x:v>9</x:v>
      </x:c>
      <x:c r="B597" s="1" t="str">
        <x:v>6310</x:v>
      </x:c>
      <x:c r="C597" s="1" t="str">
        <x:v>Miete Büro Nürnberg</x:v>
      </x:c>
      <x:c r="D597" s="9" t="n">
        <x:f>H529</x:f>
        <x:v>32000</x:v>
      </x:c>
      <x:c r="E597" s="9" t="n">
        <x:f>SUMIFS('Journal'!$E$6:$E$1632,'Journal'!$D$6:$D$1632,B597,'Journal'!$C$6:$C$1632,A597)</x:f>
        <x:v>4000</x:v>
      </x:c>
      <x:c r="F597" s="9" t="n">
        <x:f>SUMIFS('Journal'!$F$6:$F$1632,'Journal'!$D$6:$D$1632,B597,'Journal'!$C$6:$C$1632,A597)</x:f>
        <x:v>0</x:v>
      </x:c>
      <x:c r="G597" s="9" t="n">
        <x:f>ROUND(E597-F597,2)</x:f>
        <x:v>4000</x:v>
      </x:c>
      <x:c r="H597" s="9" t="n">
        <x:f>ROUND(D597+G597,2)</x:f>
        <x:v>36000</x:v>
      </x:c>
    </x:row>
    <x:row r="598" ht="14" customHeight="1">
      <x:c r="A598" s="1" t="n">
        <x:v>9</x:v>
      </x:c>
      <x:c r="B598" s="1" t="str">
        <x:v>6311</x:v>
      </x:c>
      <x:c r="C598" s="1" t="str">
        <x:v>Miete Lager Erlangen</x:v>
      </x:c>
      <x:c r="D598" s="9" t="n">
        <x:f>H530</x:f>
        <x:v>80000</x:v>
      </x:c>
      <x:c r="E598" s="9" t="n">
        <x:f>SUMIFS('Journal'!$E$6:$E$1632,'Journal'!$D$6:$D$1632,B598,'Journal'!$C$6:$C$1632,A598)</x:f>
        <x:v>10000</x:v>
      </x:c>
      <x:c r="F598" s="9" t="n">
        <x:f>SUMIFS('Journal'!$F$6:$F$1632,'Journal'!$D$6:$D$1632,B598,'Journal'!$C$6:$C$1632,A598)</x:f>
        <x:v>0</x:v>
      </x:c>
      <x:c r="G598" s="9" t="n">
        <x:f>ROUND(E598-F598,2)</x:f>
        <x:v>10000</x:v>
      </x:c>
      <x:c r="H598" s="9" t="n">
        <x:f>ROUND(D598+G598,2)</x:f>
        <x:v>90000</x:v>
      </x:c>
    </x:row>
    <x:row r="599" ht="14" customHeight="1">
      <x:c r="A599" s="1" t="n">
        <x:v>9</x:v>
      </x:c>
      <x:c r="B599" s="1" t="str">
        <x:v>6325</x:v>
      </x:c>
      <x:c r="C599" s="1" t="str">
        <x:v>Strom und Kühlung</x:v>
      </x:c>
      <x:c r="D599" s="9" t="n">
        <x:f>H531</x:f>
        <x:v>36000</x:v>
      </x:c>
      <x:c r="E599" s="9" t="n">
        <x:f>SUMIFS('Journal'!$E$6:$E$1632,'Journal'!$D$6:$D$1632,B599,'Journal'!$C$6:$C$1632,A599)</x:f>
        <x:v>4500</x:v>
      </x:c>
      <x:c r="F599" s="9" t="n">
        <x:f>SUMIFS('Journal'!$F$6:$F$1632,'Journal'!$D$6:$D$1632,B599,'Journal'!$C$6:$C$1632,A599)</x:f>
        <x:v>0</x:v>
      </x:c>
      <x:c r="G599" s="9" t="n">
        <x:f>ROUND(E599-F599,2)</x:f>
        <x:v>4500</x:v>
      </x:c>
      <x:c r="H599" s="9" t="n">
        <x:f>ROUND(D599+G599,2)</x:f>
        <x:v>40500</x:v>
      </x:c>
    </x:row>
    <x:row r="600" ht="14" customHeight="1">
      <x:c r="A600" s="1" t="n">
        <x:v>9</x:v>
      </x:c>
      <x:c r="B600" s="1" t="str">
        <x:v>6400</x:v>
      </x:c>
      <x:c r="C600" s="1" t="str">
        <x:v>Versicherungen</x:v>
      </x:c>
      <x:c r="D600" s="9" t="n">
        <x:f>H532</x:f>
        <x:v>20000</x:v>
      </x:c>
      <x:c r="E600" s="9" t="n">
        <x:f>SUMIFS('Journal'!$E$6:$E$1632,'Journal'!$D$6:$D$1632,B600,'Journal'!$C$6:$C$1632,A600)</x:f>
        <x:v>2500</x:v>
      </x:c>
      <x:c r="F600" s="9" t="n">
        <x:f>SUMIFS('Journal'!$F$6:$F$1632,'Journal'!$D$6:$D$1632,B600,'Journal'!$C$6:$C$1632,A600)</x:f>
        <x:v>0</x:v>
      </x:c>
      <x:c r="G600" s="9" t="n">
        <x:f>ROUND(E600-F600,2)</x:f>
        <x:v>2500</x:v>
      </x:c>
      <x:c r="H600" s="9" t="n">
        <x:f>ROUND(D600+G600,2)</x:f>
        <x:v>22500</x:v>
      </x:c>
    </x:row>
    <x:row r="601" ht="14" customHeight="1">
      <x:c r="A601" s="1" t="n">
        <x:v>9</x:v>
      </x:c>
      <x:c r="B601" s="1" t="str">
        <x:v>6470</x:v>
      </x:c>
      <x:c r="C601" s="1" t="str">
        <x:v>Lagerbetrieb und Reinigung</x:v>
      </x:c>
      <x:c r="D601" s="9" t="n">
        <x:f>H533</x:f>
        <x:v>48000</x:v>
      </x:c>
      <x:c r="E601" s="9" t="n">
        <x:f>SUMIFS('Journal'!$E$6:$E$1632,'Journal'!$D$6:$D$1632,B601,'Journal'!$C$6:$C$1632,A601)</x:f>
        <x:v>6000</x:v>
      </x:c>
      <x:c r="F601" s="9" t="n">
        <x:f>SUMIFS('Journal'!$F$6:$F$1632,'Journal'!$D$6:$D$1632,B601,'Journal'!$C$6:$C$1632,A601)</x:f>
        <x:v>0</x:v>
      </x:c>
      <x:c r="G601" s="9" t="n">
        <x:f>ROUND(E601-F601,2)</x:f>
        <x:v>6000</x:v>
      </x:c>
      <x:c r="H601" s="9" t="n">
        <x:f>ROUND(D601+G601,2)</x:f>
        <x:v>54000</x:v>
      </x:c>
    </x:row>
    <x:row r="602" ht="14" customHeight="1">
      <x:c r="A602" s="1" t="n">
        <x:v>9</x:v>
      </x:c>
      <x:c r="B602" s="1" t="str">
        <x:v>6490</x:v>
      </x:c>
      <x:c r="C602" s="1" t="str">
        <x:v>Reparaturen und Wartung</x:v>
      </x:c>
      <x:c r="D602" s="9" t="n">
        <x:f>H534</x:f>
        <x:v>20000</x:v>
      </x:c>
      <x:c r="E602" s="9" t="n">
        <x:f>SUMIFS('Journal'!$E$6:$E$1632,'Journal'!$D$6:$D$1632,B602,'Journal'!$C$6:$C$1632,A602)</x:f>
        <x:v>2500</x:v>
      </x:c>
      <x:c r="F602" s="9" t="n">
        <x:f>SUMIFS('Journal'!$F$6:$F$1632,'Journal'!$D$6:$D$1632,B602,'Journal'!$C$6:$C$1632,A602)</x:f>
        <x:v>0</x:v>
      </x:c>
      <x:c r="G602" s="9" t="n">
        <x:f>ROUND(E602-F602,2)</x:f>
        <x:v>2500</x:v>
      </x:c>
      <x:c r="H602" s="9" t="n">
        <x:f>ROUND(D602+G602,2)</x:f>
        <x:v>22500</x:v>
      </x:c>
    </x:row>
    <x:row r="603" ht="14" customHeight="1">
      <x:c r="A603" s="1" t="n">
        <x:v>9</x:v>
      </x:c>
      <x:c r="B603" s="1" t="str">
        <x:v>6600</x:v>
      </x:c>
      <x:c r="C603" s="1" t="str">
        <x:v>Marketing und Messen</x:v>
      </x:c>
      <x:c r="D603" s="9" t="n">
        <x:f>H535</x:f>
        <x:v>48000</x:v>
      </x:c>
      <x:c r="E603" s="9" t="n">
        <x:f>SUMIFS('Journal'!$E$6:$E$1632,'Journal'!$D$6:$D$1632,B603,'Journal'!$C$6:$C$1632,A603)</x:f>
        <x:v>6000</x:v>
      </x:c>
      <x:c r="F603" s="9" t="n">
        <x:f>SUMIFS('Journal'!$F$6:$F$1632,'Journal'!$D$6:$D$1632,B603,'Journal'!$C$6:$C$1632,A603)</x:f>
        <x:v>0</x:v>
      </x:c>
      <x:c r="G603" s="9" t="n">
        <x:f>ROUND(E603-F603,2)</x:f>
        <x:v>6000</x:v>
      </x:c>
      <x:c r="H603" s="9" t="n">
        <x:f>ROUND(D603+G603,2)</x:f>
        <x:v>54000</x:v>
      </x:c>
    </x:row>
    <x:row r="604" ht="14" customHeight="1">
      <x:c r="A604" s="1" t="n">
        <x:v>9</x:v>
      </x:c>
      <x:c r="B604" s="1" t="str">
        <x:v>6650</x:v>
      </x:c>
      <x:c r="C604" s="1" t="str">
        <x:v>Reisekosten</x:v>
      </x:c>
      <x:c r="D604" s="9" t="n">
        <x:f>H536</x:f>
        <x:v>12000</x:v>
      </x:c>
      <x:c r="E604" s="9" t="n">
        <x:f>SUMIFS('Journal'!$E$6:$E$1632,'Journal'!$D$6:$D$1632,B604,'Journal'!$C$6:$C$1632,A604)</x:f>
        <x:v>1500</x:v>
      </x:c>
      <x:c r="F604" s="9" t="n">
        <x:f>SUMIFS('Journal'!$F$6:$F$1632,'Journal'!$D$6:$D$1632,B604,'Journal'!$C$6:$C$1632,A604)</x:f>
        <x:v>0</x:v>
      </x:c>
      <x:c r="G604" s="9" t="n">
        <x:f>ROUND(E604-F604,2)</x:f>
        <x:v>1500</x:v>
      </x:c>
      <x:c r="H604" s="9" t="n">
        <x:f>ROUND(D604+G604,2)</x:f>
        <x:v>13500</x:v>
      </x:c>
    </x:row>
    <x:row r="605" ht="14" customHeight="1">
      <x:c r="A605" s="1" t="n">
        <x:v>9</x:v>
      </x:c>
      <x:c r="B605" s="1" t="str">
        <x:v>6740</x:v>
      </x:c>
      <x:c r="C605" s="1" t="str">
        <x:v>Ausgangsfrachten Inland</x:v>
      </x:c>
      <x:c r="D605" s="9" t="n">
        <x:f>H537</x:f>
        <x:v>104000</x:v>
      </x:c>
      <x:c r="E605" s="9" t="n">
        <x:f>SUMIFS('Journal'!$E$6:$E$1632,'Journal'!$D$6:$D$1632,B605,'Journal'!$C$6:$C$1632,A605)</x:f>
        <x:v>13000</x:v>
      </x:c>
      <x:c r="F605" s="9" t="n">
        <x:f>SUMIFS('Journal'!$F$6:$F$1632,'Journal'!$D$6:$D$1632,B605,'Journal'!$C$6:$C$1632,A605)</x:f>
        <x:v>0</x:v>
      </x:c>
      <x:c r="G605" s="9" t="n">
        <x:f>ROUND(E605-F605,2)</x:f>
        <x:v>13000</x:v>
      </x:c>
      <x:c r="H605" s="9" t="n">
        <x:f>ROUND(D605+G605,2)</x:f>
        <x:v>117000</x:v>
      </x:c>
    </x:row>
    <x:row r="606" ht="14" customHeight="1">
      <x:c r="A606" s="1" t="n">
        <x:v>9</x:v>
      </x:c>
      <x:c r="B606" s="1" t="str">
        <x:v>6741</x:v>
      </x:c>
      <x:c r="C606" s="1" t="str">
        <x:v>Ausgangsfrachten Ausland</x:v>
      </x:c>
      <x:c r="D606" s="9" t="n">
        <x:f>H538</x:f>
        <x:v>112000</x:v>
      </x:c>
      <x:c r="E606" s="9" t="n">
        <x:f>SUMIFS('Journal'!$E$6:$E$1632,'Journal'!$D$6:$D$1632,B606,'Journal'!$C$6:$C$1632,A606)</x:f>
        <x:v>14000</x:v>
      </x:c>
      <x:c r="F606" s="9" t="n">
        <x:f>SUMIFS('Journal'!$F$6:$F$1632,'Journal'!$D$6:$D$1632,B606,'Journal'!$C$6:$C$1632,A606)</x:f>
        <x:v>0</x:v>
      </x:c>
      <x:c r="G606" s="9" t="n">
        <x:f>ROUND(E606-F606,2)</x:f>
        <x:v>14000</x:v>
      </x:c>
      <x:c r="H606" s="9" t="n">
        <x:f>ROUND(D606+G606,2)</x:f>
        <x:v>126000</x:v>
      </x:c>
    </x:row>
    <x:row r="607" ht="14" customHeight="1">
      <x:c r="A607" s="1" t="n">
        <x:v>9</x:v>
      </x:c>
      <x:c r="B607" s="1" t="str">
        <x:v>6805</x:v>
      </x:c>
      <x:c r="C607" s="1" t="str">
        <x:v>Telekommunikation und IT</x:v>
      </x:c>
      <x:c r="D607" s="9" t="n">
        <x:f>H539</x:f>
        <x:v>30000</x:v>
      </x:c>
      <x:c r="E607" s="9" t="n">
        <x:f>SUMIFS('Journal'!$E$6:$E$1632,'Journal'!$D$6:$D$1632,B607,'Journal'!$C$6:$C$1632,A607)</x:f>
        <x:v>1500</x:v>
      </x:c>
      <x:c r="F607" s="9" t="n">
        <x:f>SUMIFS('Journal'!$F$6:$F$1632,'Journal'!$D$6:$D$1632,B607,'Journal'!$C$6:$C$1632,A607)</x:f>
        <x:v>0</x:v>
      </x:c>
      <x:c r="G607" s="9" t="n">
        <x:f>ROUND(E607-F607,2)</x:f>
        <x:v>1500</x:v>
      </x:c>
      <x:c r="H607" s="9" t="n">
        <x:f>ROUND(D607+G607,2)</x:f>
        <x:v>31500</x:v>
      </x:c>
    </x:row>
    <x:row r="608" ht="14" customHeight="1">
      <x:c r="A608" s="1" t="n">
        <x:v>9</x:v>
      </x:c>
      <x:c r="B608" s="1" t="str">
        <x:v>6825</x:v>
      </x:c>
      <x:c r="C608" s="1" t="str">
        <x:v>Rechtsberatung und Buchführung</x:v>
      </x:c>
      <x:c r="D608" s="9" t="n">
        <x:f>H540</x:f>
        <x:v>24000</x:v>
      </x:c>
      <x:c r="E608" s="9" t="n">
        <x:f>SUMIFS('Journal'!$E$6:$E$1632,'Journal'!$D$6:$D$1632,B608,'Journal'!$C$6:$C$1632,A608)</x:f>
        <x:v>3000</x:v>
      </x:c>
      <x:c r="F608" s="9" t="n">
        <x:f>SUMIFS('Journal'!$F$6:$F$1632,'Journal'!$D$6:$D$1632,B608,'Journal'!$C$6:$C$1632,A608)</x:f>
        <x:v>0</x:v>
      </x:c>
      <x:c r="G608" s="9" t="n">
        <x:f>ROUND(E608-F608,2)</x:f>
        <x:v>3000</x:v>
      </x:c>
      <x:c r="H608" s="9" t="n">
        <x:f>ROUND(D608+G608,2)</x:f>
        <x:v>27000</x:v>
      </x:c>
    </x:row>
    <x:row r="609" ht="14" customHeight="1">
      <x:c r="A609" s="1" t="n">
        <x:v>9</x:v>
      </x:c>
      <x:c r="B609" s="1" t="str">
        <x:v>6830</x:v>
      </x:c>
      <x:c r="C609" s="1" t="str">
        <x:v>Labor und Qualitätssicherung</x:v>
      </x:c>
      <x:c r="D609" s="9" t="n">
        <x:f>H541</x:f>
        <x:v>28000</x:v>
      </x:c>
      <x:c r="E609" s="9" t="n">
        <x:f>SUMIFS('Journal'!$E$6:$E$1632,'Journal'!$D$6:$D$1632,B609,'Journal'!$C$6:$C$1632,A609)</x:f>
        <x:v>3500</x:v>
      </x:c>
      <x:c r="F609" s="9" t="n">
        <x:f>SUMIFS('Journal'!$F$6:$F$1632,'Journal'!$D$6:$D$1632,B609,'Journal'!$C$6:$C$1632,A609)</x:f>
        <x:v>0</x:v>
      </x:c>
      <x:c r="G609" s="9" t="n">
        <x:f>ROUND(E609-F609,2)</x:f>
        <x:v>3500</x:v>
      </x:c>
      <x:c r="H609" s="9" t="n">
        <x:f>ROUND(D609+G609,2)</x:f>
        <x:v>31500</x:v>
      </x:c>
    </x:row>
    <x:row r="610" ht="14" customHeight="1">
      <x:c r="A610" s="1" t="n">
        <x:v>9</x:v>
      </x:c>
      <x:c r="B610" s="1" t="str">
        <x:v>6850</x:v>
      </x:c>
      <x:c r="C610" s="1" t="str">
        <x:v>Bürobedarf und übriger Aufwand</x:v>
      </x:c>
      <x:c r="D610" s="9" t="n">
        <x:f>H542</x:f>
        <x:v>16000</x:v>
      </x:c>
      <x:c r="E610" s="9" t="n">
        <x:f>SUMIFS('Journal'!$E$6:$E$1632,'Journal'!$D$6:$D$1632,B610,'Journal'!$C$6:$C$1632,A610)</x:f>
        <x:v>2000</x:v>
      </x:c>
      <x:c r="F610" s="9" t="n">
        <x:f>SUMIFS('Journal'!$F$6:$F$1632,'Journal'!$D$6:$D$1632,B610,'Journal'!$C$6:$C$1632,A610)</x:f>
        <x:v>0</x:v>
      </x:c>
      <x:c r="G610" s="9" t="n">
        <x:f>ROUND(E610-F610,2)</x:f>
        <x:v>2000</x:v>
      </x:c>
      <x:c r="H610" s="9" t="n">
        <x:f>ROUND(D610+G610,2)</x:f>
        <x:v>18000</x:v>
      </x:c>
    </x:row>
    <x:row r="611" ht="14" customHeight="1">
      <x:c r="A611" s="1" t="n">
        <x:v>9</x:v>
      </x:c>
      <x:c r="B611" s="1" t="str">
        <x:v>6855</x:v>
      </x:c>
      <x:c r="C611" s="1" t="str">
        <x:v>Zuführung Abschluss und Urlaubsrückstellungen</x:v>
      </x:c>
      <x:c r="D611" s="9" t="n">
        <x:f>H543</x:f>
        <x:v>0</x:v>
      </x:c>
      <x:c r="E611" s="9" t="n">
        <x:f>SUMIFS('Journal'!$E$6:$E$1632,'Journal'!$D$6:$D$1632,B611,'Journal'!$C$6:$C$1632,A611)</x:f>
        <x:v>0</x:v>
      </x:c>
      <x:c r="F611" s="9" t="n">
        <x:f>SUMIFS('Journal'!$F$6:$F$1632,'Journal'!$D$6:$D$1632,B611,'Journal'!$C$6:$C$1632,A611)</x:f>
        <x:v>0</x:v>
      </x:c>
      <x:c r="G611" s="9" t="n">
        <x:f>ROUND(E611-F611,2)</x:f>
        <x:v>0</x:v>
      </x:c>
      <x:c r="H611" s="9" t="n">
        <x:f>ROUND(D611+G611,2)</x:f>
        <x:v>0</x:v>
      </x:c>
    </x:row>
    <x:row r="612" ht="14" customHeight="1">
      <x:c r="A612" s="1" t="n">
        <x:v>9</x:v>
      </x:c>
      <x:c r="B612" s="1" t="str">
        <x:v>6859</x:v>
      </x:c>
      <x:c r="C612" s="1" t="str">
        <x:v>Bankgebühren</x:v>
      </x:c>
      <x:c r="D612" s="9" t="n">
        <x:f>H544</x:f>
        <x:v>4000</x:v>
      </x:c>
      <x:c r="E612" s="9" t="n">
        <x:f>SUMIFS('Journal'!$E$6:$E$1632,'Journal'!$D$6:$D$1632,B612,'Journal'!$C$6:$C$1632,A612)</x:f>
        <x:v>500</x:v>
      </x:c>
      <x:c r="F612" s="9" t="n">
        <x:f>SUMIFS('Journal'!$F$6:$F$1632,'Journal'!$D$6:$D$1632,B612,'Journal'!$C$6:$C$1632,A612)</x:f>
        <x:v>0</x:v>
      </x:c>
      <x:c r="G612" s="9" t="n">
        <x:f>ROUND(E612-F612,2)</x:f>
        <x:v>500</x:v>
      </x:c>
      <x:c r="H612" s="9" t="n">
        <x:f>ROUND(D612+G612,2)</x:f>
        <x:v>4500</x:v>
      </x:c>
    </x:row>
    <x:row r="613" ht="14" customHeight="1">
      <x:c r="A613" s="1" t="n">
        <x:v>9</x:v>
      </x:c>
      <x:c r="B613" s="1" t="str">
        <x:v>6950</x:v>
      </x:c>
      <x:c r="C613" s="1" t="str">
        <x:v>Zuführung Einzelwertberichtigungen</x:v>
      </x:c>
      <x:c r="D613" s="9" t="n">
        <x:f>H545</x:f>
        <x:v>0</x:v>
      </x:c>
      <x:c r="E613" s="9" t="n">
        <x:f>SUMIFS('Journal'!$E$6:$E$1632,'Journal'!$D$6:$D$1632,B613,'Journal'!$C$6:$C$1632,A613)</x:f>
        <x:v>0</x:v>
      </x:c>
      <x:c r="F613" s="9" t="n">
        <x:f>SUMIFS('Journal'!$F$6:$F$1632,'Journal'!$D$6:$D$1632,B613,'Journal'!$C$6:$C$1632,A613)</x:f>
        <x:v>0</x:v>
      </x:c>
      <x:c r="G613" s="9" t="n">
        <x:f>ROUND(E613-F613,2)</x:f>
        <x:v>0</x:v>
      </x:c>
      <x:c r="H613" s="9" t="n">
        <x:f>ROUND(D613+G613,2)</x:f>
        <x:v>0</x:v>
      </x:c>
    </x:row>
    <x:row r="614" ht="14" customHeight="1">
      <x:c r="A614" s="1" t="n">
        <x:v>9</x:v>
      </x:c>
      <x:c r="B614" s="1" t="str">
        <x:v>7300</x:v>
      </x:c>
      <x:c r="C614" s="1" t="str">
        <x:v>Zinsen Investitionsdarlehen</x:v>
      </x:c>
      <x:c r="D614" s="9" t="n">
        <x:f>H546</x:f>
        <x:v>20000</x:v>
      </x:c>
      <x:c r="E614" s="9" t="n">
        <x:f>SUMIFS('Journal'!$E$6:$E$1632,'Journal'!$D$6:$D$1632,B614,'Journal'!$C$6:$C$1632,A614)</x:f>
        <x:v>2500</x:v>
      </x:c>
      <x:c r="F614" s="9" t="n">
        <x:f>SUMIFS('Journal'!$F$6:$F$1632,'Journal'!$D$6:$D$1632,B614,'Journal'!$C$6:$C$1632,A614)</x:f>
        <x:v>0</x:v>
      </x:c>
      <x:c r="G614" s="9" t="n">
        <x:f>ROUND(E614-F614,2)</x:f>
        <x:v>2500</x:v>
      </x:c>
      <x:c r="H614" s="9" t="n">
        <x:f>ROUND(D614+G614,2)</x:f>
        <x:v>22500</x:v>
      </x:c>
    </x:row>
    <x:row r="615" ht="14" customHeight="1">
      <x:c r="A615" s="1" t="n">
        <x:v>9</x:v>
      </x:c>
      <x:c r="B615" s="1" t="str">
        <x:v>7310</x:v>
      </x:c>
      <x:c r="C615" s="1" t="str">
        <x:v>Zinsen Kontokorrent</x:v>
      </x:c>
      <x:c r="D615" s="9" t="n">
        <x:f>H547</x:f>
        <x:v>8000</x:v>
      </x:c>
      <x:c r="E615" s="9" t="n">
        <x:f>SUMIFS('Journal'!$E$6:$E$1632,'Journal'!$D$6:$D$1632,B615,'Journal'!$C$6:$C$1632,A615)</x:f>
        <x:v>1000</x:v>
      </x:c>
      <x:c r="F615" s="9" t="n">
        <x:f>SUMIFS('Journal'!$F$6:$F$1632,'Journal'!$D$6:$D$1632,B615,'Journal'!$C$6:$C$1632,A615)</x:f>
        <x:v>0</x:v>
      </x:c>
      <x:c r="G615" s="9" t="n">
        <x:f>ROUND(E615-F615,2)</x:f>
        <x:v>1000</x:v>
      </x:c>
      <x:c r="H615" s="9" t="n">
        <x:f>ROUND(D615+G615,2)</x:f>
        <x:v>9000</x:v>
      </x:c>
    </x:row>
    <x:row r="616" ht="14" customHeight="1">
      <x:c r="A616" s="1" t="n">
        <x:v>9</x:v>
      </x:c>
      <x:c r="B616" s="1" t="str">
        <x:v>7320</x:v>
      </x:c>
      <x:c r="C616" s="1" t="str">
        <x:v>Zinsen Gesellschafterdarlehen</x:v>
      </x:c>
      <x:c r="D616" s="9" t="n">
        <x:f>H548</x:f>
        <x:v>0</x:v>
      </x:c>
      <x:c r="E616" s="9" t="n">
        <x:f>SUMIFS('Journal'!$E$6:$E$1632,'Journal'!$D$6:$D$1632,B616,'Journal'!$C$6:$C$1632,A616)</x:f>
        <x:v>0</x:v>
      </x:c>
      <x:c r="F616" s="9" t="n">
        <x:f>SUMIFS('Journal'!$F$6:$F$1632,'Journal'!$D$6:$D$1632,B616,'Journal'!$C$6:$C$1632,A616)</x:f>
        <x:v>0</x:v>
      </x:c>
      <x:c r="G616" s="9" t="n">
        <x:f>ROUND(E616-F616,2)</x:f>
        <x:v>0</x:v>
      </x:c>
      <x:c r="H616" s="9" t="n">
        <x:f>ROUND(D616+G616,2)</x:f>
        <x:v>0</x:v>
      </x:c>
    </x:row>
    <x:row r="617" ht="14" customHeight="1">
      <x:c r="A617" s="1" t="n">
        <x:v>9</x:v>
      </x:c>
      <x:c r="B617" s="1" t="str">
        <x:v>7600</x:v>
      </x:c>
      <x:c r="C617" s="1" t="str">
        <x:v>Ertragsteueraufwand</x:v>
      </x:c>
      <x:c r="D617" s="9" t="n">
        <x:f>H549</x:f>
        <x:v>0</x:v>
      </x:c>
      <x:c r="E617" s="9" t="n">
        <x:f>SUMIFS('Journal'!$E$6:$E$1632,'Journal'!$D$6:$D$1632,B617,'Journal'!$C$6:$C$1632,A617)</x:f>
        <x:v>0</x:v>
      </x:c>
      <x:c r="F617" s="9" t="n">
        <x:f>SUMIFS('Journal'!$F$6:$F$1632,'Journal'!$D$6:$D$1632,B617,'Journal'!$C$6:$C$1632,A617)</x:f>
        <x:v>0</x:v>
      </x:c>
      <x:c r="G617" s="9" t="n">
        <x:f>ROUND(E617-F617,2)</x:f>
        <x:v>0</x:v>
      </x:c>
      <x:c r="H617" s="9" t="n">
        <x:f>ROUND(D617+G617,2)</x:f>
        <x:v>0</x:v>
      </x:c>
    </x:row>
    <x:row r="618" ht="14" customHeight="1">
      <x:c r="A618" s="1" t="n">
        <x:v>10</x:v>
      </x:c>
      <x:c r="B618" s="1" t="str">
        <x:v>0100</x:v>
      </x:c>
      <x:c r="C618" s="1" t="str">
        <x:v>Software</x:v>
      </x:c>
      <x:c r="D618" s="9" t="n">
        <x:f>H550</x:f>
        <x:v>15500</x:v>
      </x:c>
      <x:c r="E618" s="9" t="n">
        <x:f>SUMIFS('Journal'!$E$6:$E$1632,'Journal'!$D$6:$D$1632,B618,'Journal'!$C$6:$C$1632,A618)</x:f>
        <x:v>0</x:v>
      </x:c>
      <x:c r="F618" s="9" t="n">
        <x:f>SUMIFS('Journal'!$F$6:$F$1632,'Journal'!$D$6:$D$1632,B618,'Journal'!$C$6:$C$1632,A618)</x:f>
        <x:v>500</x:v>
      </x:c>
      <x:c r="G618" s="9" t="n">
        <x:f>ROUND(E618-F618,2)</x:f>
        <x:v>-500</x:v>
      </x:c>
      <x:c r="H618" s="9" t="n">
        <x:f>ROUND(D618+G618,2)</x:f>
        <x:v>15000</x:v>
      </x:c>
    </x:row>
    <x:row r="619" ht="14" customHeight="1">
      <x:c r="A619" s="1" t="n">
        <x:v>10</x:v>
      </x:c>
      <x:c r="B619" s="1" t="str">
        <x:v>0400</x:v>
      </x:c>
      <x:c r="C619" s="1" t="str">
        <x:v>Lagereinbauten Erlangen</x:v>
      </x:c>
      <x:c r="D619" s="9" t="n">
        <x:f>H551</x:f>
        <x:v>217500</x:v>
      </x:c>
      <x:c r="E619" s="9" t="n">
        <x:f>SUMIFS('Journal'!$E$6:$E$1632,'Journal'!$D$6:$D$1632,B619,'Journal'!$C$6:$C$1632,A619)</x:f>
        <x:v>0</x:v>
      </x:c>
      <x:c r="F619" s="9" t="n">
        <x:f>SUMIFS('Journal'!$F$6:$F$1632,'Journal'!$D$6:$D$1632,B619,'Journal'!$C$6:$C$1632,A619)</x:f>
        <x:v>2500</x:v>
      </x:c>
      <x:c r="G619" s="9" t="n">
        <x:f>ROUND(E619-F619,2)</x:f>
        <x:v>-2500</x:v>
      </x:c>
      <x:c r="H619" s="9" t="n">
        <x:f>ROUND(D619+G619,2)</x:f>
        <x:v>215000</x:v>
      </x:c>
    </x:row>
    <x:row r="620" ht="14" customHeight="1">
      <x:c r="A620" s="1" t="n">
        <x:v>10</x:v>
      </x:c>
      <x:c r="B620" s="1" t="str">
        <x:v>0520</x:v>
      </x:c>
      <x:c r="C620" s="1" t="str">
        <x:v>Flurförderzeuge</x:v>
      </x:c>
      <x:c r="D620" s="9" t="n">
        <x:f>H552</x:f>
        <x:v>122500</x:v>
      </x:c>
      <x:c r="E620" s="9" t="n">
        <x:f>SUMIFS('Journal'!$E$6:$E$1632,'Journal'!$D$6:$D$1632,B620,'Journal'!$C$6:$C$1632,A620)</x:f>
        <x:v>0</x:v>
      </x:c>
      <x:c r="F620" s="9" t="n">
        <x:f>SUMIFS('Journal'!$F$6:$F$1632,'Journal'!$D$6:$D$1632,B620,'Journal'!$C$6:$C$1632,A620)</x:f>
        <x:v>1500</x:v>
      </x:c>
      <x:c r="G620" s="9" t="n">
        <x:f>ROUND(E620-F620,2)</x:f>
        <x:v>-1500</x:v>
      </x:c>
      <x:c r="H620" s="9" t="n">
        <x:f>ROUND(D620+G620,2)</x:f>
        <x:v>121000</x:v>
      </x:c>
    </x:row>
    <x:row r="621" ht="14" customHeight="1">
      <x:c r="A621" s="1" t="n">
        <x:v>10</x:v>
      </x:c>
      <x:c r="B621" s="1" t="str">
        <x:v>0650</x:v>
      </x:c>
      <x:c r="C621" s="1" t="str">
        <x:v>IT und Kommunikation</x:v>
      </x:c>
      <x:c r="D621" s="9" t="n">
        <x:f>H553</x:f>
        <x:v>86000</x:v>
      </x:c>
      <x:c r="E621" s="9" t="n">
        <x:f>SUMIFS('Journal'!$E$6:$E$1632,'Journal'!$D$6:$D$1632,B621,'Journal'!$C$6:$C$1632,A621)</x:f>
        <x:v>0</x:v>
      </x:c>
      <x:c r="F621" s="9" t="n">
        <x:f>SUMIFS('Journal'!$F$6:$F$1632,'Journal'!$D$6:$D$1632,B621,'Journal'!$C$6:$C$1632,A621)</x:f>
        <x:v>2000</x:v>
      </x:c>
      <x:c r="G621" s="9" t="n">
        <x:f>ROUND(E621-F621,2)</x:f>
        <x:v>-2000</x:v>
      </x:c>
      <x:c r="H621" s="9" t="n">
        <x:f>ROUND(D621+G621,2)</x:f>
        <x:v>84000</x:v>
      </x:c>
    </x:row>
    <x:row r="622" ht="14" customHeight="1">
      <x:c r="A622" s="1" t="n">
        <x:v>10</x:v>
      </x:c>
      <x:c r="B622" s="1" t="str">
        <x:v>0670</x:v>
      </x:c>
      <x:c r="C622" s="1" t="str">
        <x:v>Büroausstattung</x:v>
      </x:c>
      <x:c r="D622" s="9" t="n">
        <x:f>H554</x:f>
        <x:v>51000</x:v>
      </x:c>
      <x:c r="E622" s="9" t="n">
        <x:f>SUMIFS('Journal'!$E$6:$E$1632,'Journal'!$D$6:$D$1632,B622,'Journal'!$C$6:$C$1632,A622)</x:f>
        <x:v>0</x:v>
      </x:c>
      <x:c r="F622" s="9" t="n">
        <x:f>SUMIFS('Journal'!$F$6:$F$1632,'Journal'!$D$6:$D$1632,B622,'Journal'!$C$6:$C$1632,A622)</x:f>
        <x:v>1000</x:v>
      </x:c>
      <x:c r="G622" s="9" t="n">
        <x:f>ROUND(E622-F622,2)</x:f>
        <x:v>-1000</x:v>
      </x:c>
      <x:c r="H622" s="9" t="n">
        <x:f>ROUND(D622+G622,2)</x:f>
        <x:v>50000</x:v>
      </x:c>
    </x:row>
    <x:row r="623" ht="14" customHeight="1">
      <x:c r="A623" s="1" t="n">
        <x:v>10</x:v>
      </x:c>
      <x:c r="B623" s="1" t="str">
        <x:v>1140</x:v>
      </x:c>
      <x:c r="C623" s="1" t="str">
        <x:v>Warenbestand</x:v>
      </x:c>
      <x:c r="D623" s="9" t="n">
        <x:f>H555</x:f>
        <x:v>730000</x:v>
      </x:c>
      <x:c r="E623" s="9" t="n">
        <x:f>SUMIFS('Journal'!$E$6:$E$1632,'Journal'!$D$6:$D$1632,B623,'Journal'!$C$6:$C$1632,A623)</x:f>
        <x:v>476225</x:v>
      </x:c>
      <x:c r="F623" s="9" t="n">
        <x:f>SUMIFS('Journal'!$F$6:$F$1632,'Journal'!$D$6:$D$1632,B623,'Journal'!$C$6:$C$1632,A623)</x:f>
        <x:v>446225</x:v>
      </x:c>
      <x:c r="G623" s="9" t="n">
        <x:f>ROUND(E623-F623,2)</x:f>
        <x:v>30000</x:v>
      </x:c>
      <x:c r="H623" s="9" t="n">
        <x:f>ROUND(D623+G623,2)</x:f>
        <x:v>760000</x:v>
      </x:c>
    </x:row>
    <x:row r="624" ht="14" customHeight="1">
      <x:c r="A624" s="1" t="n">
        <x:v>10</x:v>
      </x:c>
      <x:c r="B624" s="1" t="str">
        <x:v>1200</x:v>
      </x:c>
      <x:c r="C624" s="1" t="str">
        <x:v>Forderungen aus Lieferungen und Leistungen</x:v>
      </x:c>
      <x:c r="D624" s="9" t="n">
        <x:f>H556</x:f>
        <x:v>820000</x:v>
      </x:c>
      <x:c r="E624" s="9" t="n">
        <x:f>SUMIFS('Journal'!$E$6:$E$1632,'Journal'!$D$6:$D$1632,B624,'Journal'!$C$6:$C$1632,A624)</x:f>
        <x:v>728916</x:v>
      </x:c>
      <x:c r="F624" s="9" t="n">
        <x:f>SUMIFS('Journal'!$F$6:$F$1632,'Journal'!$D$6:$D$1632,B624,'Journal'!$C$6:$C$1632,A624)</x:f>
        <x:v>698916</x:v>
      </x:c>
      <x:c r="G624" s="9" t="n">
        <x:f>ROUND(E624-F624,2)</x:f>
        <x:v>30000</x:v>
      </x:c>
      <x:c r="H624" s="9" t="n">
        <x:f>ROUND(D624+G624,2)</x:f>
        <x:v>850000</x:v>
      </x:c>
    </x:row>
    <x:row r="625" ht="14" customHeight="1">
      <x:c r="A625" s="1" t="n">
        <x:v>10</x:v>
      </x:c>
      <x:c r="B625" s="1" t="str">
        <x:v>1248</x:v>
      </x:c>
      <x:c r="C625" s="1" t="str">
        <x:v>Einzelwertberichtigungen zu Forderungen</x:v>
      </x:c>
      <x:c r="D625" s="9" t="n">
        <x:f>H557</x:f>
        <x:v>-20000</x:v>
      </x:c>
      <x:c r="E625" s="9" t="n">
        <x:f>SUMIFS('Journal'!$E$6:$E$1632,'Journal'!$D$6:$D$1632,B625,'Journal'!$C$6:$C$1632,A625)</x:f>
        <x:v>0</x:v>
      </x:c>
      <x:c r="F625" s="9" t="n">
        <x:f>SUMIFS('Journal'!$F$6:$F$1632,'Journal'!$D$6:$D$1632,B625,'Journal'!$C$6:$C$1632,A625)</x:f>
        <x:v>0</x:v>
      </x:c>
      <x:c r="G625" s="9" t="n">
        <x:f>ROUND(E625-F625,2)</x:f>
        <x:v>0</x:v>
      </x:c>
      <x:c r="H625" s="9" t="n">
        <x:f>ROUND(D625+G625,2)</x:f>
        <x:v>-20000</x:v>
      </x:c>
    </x:row>
    <x:row r="626" ht="14" customHeight="1">
      <x:c r="A626" s="1" t="n">
        <x:v>10</x:v>
      </x:c>
      <x:c r="B626" s="1" t="str">
        <x:v>1300</x:v>
      </x:c>
      <x:c r="C626" s="1" t="str">
        <x:v>Geleistete Lieferantenanzahlungen</x:v>
      </x:c>
      <x:c r="D626" s="9" t="n">
        <x:f>H558</x:f>
        <x:v>100000</x:v>
      </x:c>
      <x:c r="E626" s="9" t="n">
        <x:f>SUMIFS('Journal'!$E$6:$E$1632,'Journal'!$D$6:$D$1632,B626,'Journal'!$C$6:$C$1632,A626)</x:f>
        <x:v>0</x:v>
      </x:c>
      <x:c r="F626" s="9" t="n">
        <x:f>SUMIFS('Journal'!$F$6:$F$1632,'Journal'!$D$6:$D$1632,B626,'Journal'!$C$6:$C$1632,A626)</x:f>
        <x:v>0</x:v>
      </x:c>
      <x:c r="G626" s="9" t="n">
        <x:f>ROUND(E626-F626,2)</x:f>
        <x:v>0</x:v>
      </x:c>
      <x:c r="H626" s="9" t="n">
        <x:f>ROUND(D626+G626,2)</x:f>
        <x:v>100000</x:v>
      </x:c>
    </x:row>
    <x:row r="627" ht="14" customHeight="1">
      <x:c r="A627" s="1" t="n">
        <x:v>10</x:v>
      </x:c>
      <x:c r="B627" s="1" t="str">
        <x:v>1350</x:v>
      </x:c>
      <x:c r="C627" s="1" t="str">
        <x:v>Mietkaution Erlangen</x:v>
      </x:c>
      <x:c r="D627" s="9" t="n">
        <x:f>H559</x:f>
        <x:v>25000</x:v>
      </x:c>
      <x:c r="E627" s="9" t="n">
        <x:f>SUMIFS('Journal'!$E$6:$E$1632,'Journal'!$D$6:$D$1632,B627,'Journal'!$C$6:$C$1632,A627)</x:f>
        <x:v>0</x:v>
      </x:c>
      <x:c r="F627" s="9" t="n">
        <x:f>SUMIFS('Journal'!$F$6:$F$1632,'Journal'!$D$6:$D$1632,B627,'Journal'!$C$6:$C$1632,A627)</x:f>
        <x:v>0</x:v>
      </x:c>
      <x:c r="G627" s="9" t="n">
        <x:f>ROUND(E627-F627,2)</x:f>
        <x:v>0</x:v>
      </x:c>
      <x:c r="H627" s="9" t="n">
        <x:f>ROUND(D627+G627,2)</x:f>
        <x:v>25000</x:v>
      </x:c>
    </x:row>
    <x:row r="628" ht="14" customHeight="1">
      <x:c r="A628" s="1" t="n">
        <x:v>10</x:v>
      </x:c>
      <x:c r="B628" s="1" t="str">
        <x:v>1401</x:v>
      </x:c>
      <x:c r="C628" s="1" t="str">
        <x:v>Vorsteuer Inland 7 Prozent</x:v>
      </x:c>
      <x:c r="D628" s="9" t="n">
        <x:f>H560</x:f>
        <x:v>0</x:v>
      </x:c>
      <x:c r="E628" s="9" t="n">
        <x:f>SUMIFS('Journal'!$E$6:$E$1632,'Journal'!$D$6:$D$1632,B628,'Journal'!$C$6:$C$1632,A628)</x:f>
        <x:v>12667.59</x:v>
      </x:c>
      <x:c r="F628" s="9" t="n">
        <x:f>SUMIFS('Journal'!$F$6:$F$1632,'Journal'!$D$6:$D$1632,B628,'Journal'!$C$6:$C$1632,A628)</x:f>
        <x:v>12667.59</x:v>
      </x:c>
      <x:c r="G628" s="9" t="n">
        <x:f>ROUND(E628-F628,2)</x:f>
        <x:v>0</x:v>
      </x:c>
      <x:c r="H628" s="9" t="n">
        <x:f>ROUND(D628+G628,2)</x:f>
        <x:v>0</x:v>
      </x:c>
    </x:row>
    <x:row r="629" ht="14" customHeight="1">
      <x:c r="A629" s="1" t="n">
        <x:v>10</x:v>
      </x:c>
      <x:c r="B629" s="1" t="str">
        <x:v>1406</x:v>
      </x:c>
      <x:c r="C629" s="1" t="str">
        <x:v>Vorsteuer Inland 19 Prozent</x:v>
      </x:c>
      <x:c r="D629" s="9" t="n">
        <x:f>H561</x:f>
        <x:v>0</x:v>
      </x:c>
      <x:c r="E629" s="9" t="n">
        <x:f>SUMIFS('Journal'!$E$6:$E$1632,'Journal'!$D$6:$D$1632,B629,'Journal'!$C$6:$C$1632,A629)</x:f>
        <x:v>19918.79</x:v>
      </x:c>
      <x:c r="F629" s="9" t="n">
        <x:f>SUMIFS('Journal'!$F$6:$F$1632,'Journal'!$D$6:$D$1632,B629,'Journal'!$C$6:$C$1632,A629)</x:f>
        <x:v>19918.79</x:v>
      </x:c>
      <x:c r="G629" s="9" t="n">
        <x:f>ROUND(E629-F629,2)</x:f>
        <x:v>0</x:v>
      </x:c>
      <x:c r="H629" s="9" t="n">
        <x:f>ROUND(D629+G629,2)</x:f>
        <x:v>0</x:v>
      </x:c>
    </x:row>
    <x:row r="630" ht="14" customHeight="1">
      <x:c r="A630" s="1" t="n">
        <x:v>10</x:v>
      </x:c>
      <x:c r="B630" s="1" t="str">
        <x:v>1404</x:v>
      </x:c>
      <x:c r="C630" s="1" t="str">
        <x:v>Vorsteuer EU Erwerb 7 Prozent</x:v>
      </x:c>
      <x:c r="D630" s="9" t="n">
        <x:f>H562</x:f>
        <x:v>0</x:v>
      </x:c>
      <x:c r="E630" s="9" t="n">
        <x:f>SUMIFS('Journal'!$E$6:$E$1632,'Journal'!$D$6:$D$1632,B630,'Journal'!$C$6:$C$1632,A630)</x:f>
        <x:v>6667.15</x:v>
      </x:c>
      <x:c r="F630" s="9" t="n">
        <x:f>SUMIFS('Journal'!$F$6:$F$1632,'Journal'!$D$6:$D$1632,B630,'Journal'!$C$6:$C$1632,A630)</x:f>
        <x:v>6667.15</x:v>
      </x:c>
      <x:c r="G630" s="9" t="n">
        <x:f>ROUND(E630-F630,2)</x:f>
        <x:v>0</x:v>
      </x:c>
      <x:c r="H630" s="9" t="n">
        <x:f>ROUND(D630+G630,2)</x:f>
        <x:v>0</x:v>
      </x:c>
    </x:row>
    <x:row r="631" ht="14" customHeight="1">
      <x:c r="A631" s="1" t="n">
        <x:v>10</x:v>
      </x:c>
      <x:c r="B631" s="1" t="str">
        <x:v>1409</x:v>
      </x:c>
      <x:c r="C631" s="1" t="str">
        <x:v>Vorsteuer EU Erwerb 19 Prozent</x:v>
      </x:c>
      <x:c r="D631" s="9" t="n">
        <x:f>H563</x:f>
        <x:v>0</x:v>
      </x:c>
      <x:c r="E631" s="9" t="n">
        <x:f>SUMIFS('Journal'!$E$6:$E$1632,'Journal'!$D$6:$D$1632,B631,'Journal'!$C$6:$C$1632,A631)</x:f>
        <x:v>4524.14</x:v>
      </x:c>
      <x:c r="F631" s="9" t="n">
        <x:f>SUMIFS('Journal'!$F$6:$F$1632,'Journal'!$D$6:$D$1632,B631,'Journal'!$C$6:$C$1632,A631)</x:f>
        <x:v>4524.14</x:v>
      </x:c>
      <x:c r="G631" s="9" t="n">
        <x:f>ROUND(E631-F631,2)</x:f>
        <x:v>0</x:v>
      </x:c>
      <x:c r="H631" s="9" t="n">
        <x:f>ROUND(D631+G631,2)</x:f>
        <x:v>0</x:v>
      </x:c>
    </x:row>
    <x:row r="632" ht="14" customHeight="1">
      <x:c r="A632" s="1" t="n">
        <x:v>10</x:v>
      </x:c>
      <x:c r="B632" s="1" t="str">
        <x:v>1433</x:v>
      </x:c>
      <x:c r="C632" s="1" t="str">
        <x:v>Einfuhrumsatzsteuer</x:v>
      </x:c>
      <x:c r="D632" s="9" t="n">
        <x:f>H564</x:f>
        <x:v>0</x:v>
      </x:c>
      <x:c r="E632" s="9" t="n">
        <x:f>SUMIFS('Journal'!$E$6:$E$1632,'Journal'!$D$6:$D$1632,B632,'Journal'!$C$6:$C$1632,A632)</x:f>
        <x:v>11715.13</x:v>
      </x:c>
      <x:c r="F632" s="9" t="n">
        <x:f>SUMIFS('Journal'!$F$6:$F$1632,'Journal'!$D$6:$D$1632,B632,'Journal'!$C$6:$C$1632,A632)</x:f>
        <x:v>11715.13</x:v>
      </x:c>
      <x:c r="G632" s="9" t="n">
        <x:f>ROUND(E632-F632,2)</x:f>
        <x:v>0</x:v>
      </x:c>
      <x:c r="H632" s="9" t="n">
        <x:f>ROUND(D632+G632,2)</x:f>
        <x:v>0</x:v>
      </x:c>
    </x:row>
    <x:row r="633" ht="14" customHeight="1">
      <x:c r="A633" s="1" t="n">
        <x:v>10</x:v>
      </x:c>
      <x:c r="B633" s="1" t="str">
        <x:v>1600</x:v>
      </x:c>
      <x:c r="C633" s="1" t="str">
        <x:v>Kasse</x:v>
      </x:c>
      <x:c r="D633" s="9" t="n">
        <x:f>H565</x:f>
        <x:v>3000</x:v>
      </x:c>
      <x:c r="E633" s="9" t="n">
        <x:f>SUMIFS('Journal'!$E$6:$E$1632,'Journal'!$D$6:$D$1632,B633,'Journal'!$C$6:$C$1632,A633)</x:f>
        <x:v>300</x:v>
      </x:c>
      <x:c r="F633" s="9" t="n">
        <x:f>SUMIFS('Journal'!$F$6:$F$1632,'Journal'!$D$6:$D$1632,B633,'Journal'!$C$6:$C$1632,A633)</x:f>
        <x:v>300</x:v>
      </x:c>
      <x:c r="G633" s="9" t="n">
        <x:f>ROUND(E633-F633,2)</x:f>
        <x:v>0</x:v>
      </x:c>
      <x:c r="H633" s="9" t="n">
        <x:f>ROUND(D633+G633,2)</x:f>
        <x:v>3000</x:v>
      </x:c>
    </x:row>
    <x:row r="634" ht="14" customHeight="1">
      <x:c r="A634" s="1" t="n">
        <x:v>10</x:v>
      </x:c>
      <x:c r="B634" s="1" t="str">
        <x:v>1800</x:v>
      </x:c>
      <x:c r="C634" s="1" t="str">
        <x:v>Bank Frankenbogen Geschäftskonto</x:v>
      </x:c>
      <x:c r="D634" s="9" t="n">
        <x:f>H566</x:f>
        <x:v>104415.74</x:v>
      </x:c>
      <x:c r="E634" s="9" t="n">
        <x:f>SUMIFS('Journal'!$E$6:$E$1632,'Journal'!$D$6:$D$1632,B634,'Journal'!$C$6:$C$1632,A634)</x:f>
        <x:v>700590.76</x:v>
      </x:c>
      <x:c r="F634" s="9" t="n">
        <x:f>SUMIFS('Journal'!$F$6:$F$1632,'Journal'!$D$6:$D$1632,B634,'Journal'!$C$6:$C$1632,A634)</x:f>
        <x:v>682526.51</x:v>
      </x:c>
      <x:c r="G634" s="9" t="n">
        <x:f>ROUND(E634-F634,2)</x:f>
        <x:v>18064.25</x:v>
      </x:c>
      <x:c r="H634" s="9" t="n">
        <x:f>ROUND(D634+G634,2)</x:f>
        <x:v>122479.99</x:v>
      </x:c>
    </x:row>
    <x:row r="635" ht="14" customHeight="1">
      <x:c r="A635" s="1" t="n">
        <x:v>10</x:v>
      </x:c>
      <x:c r="B635" s="1" t="str">
        <x:v>1900</x:v>
      </x:c>
      <x:c r="C635" s="1" t="str">
        <x:v>Aktive Rechnungsabgrenzung</x:v>
      </x:c>
      <x:c r="D635" s="9" t="n">
        <x:f>H567</x:f>
        <x:v>0</x:v>
      </x:c>
      <x:c r="E635" s="9" t="n">
        <x:f>SUMIFS('Journal'!$E$6:$E$1632,'Journal'!$D$6:$D$1632,B635,'Journal'!$C$6:$C$1632,A635)</x:f>
        <x:v>0</x:v>
      </x:c>
      <x:c r="F635" s="9" t="n">
        <x:f>SUMIFS('Journal'!$F$6:$F$1632,'Journal'!$D$6:$D$1632,B635,'Journal'!$C$6:$C$1632,A635)</x:f>
        <x:v>0</x:v>
      </x:c>
      <x:c r="G635" s="9" t="n">
        <x:f>ROUND(E635-F635,2)</x:f>
        <x:v>0</x:v>
      </x:c>
      <x:c r="H635" s="9" t="n">
        <x:f>ROUND(D635+G635,2)</x:f>
        <x:v>0</x:v>
      </x:c>
    </x:row>
    <x:row r="636" ht="14" customHeight="1">
      <x:c r="A636" s="1" t="n">
        <x:v>10</x:v>
      </x:c>
      <x:c r="B636" s="1" t="str">
        <x:v>2900</x:v>
      </x:c>
      <x:c r="C636" s="1" t="str">
        <x:v>Gezeichnetes Kapital</x:v>
      </x:c>
      <x:c r="D636" s="9" t="n">
        <x:f>H568</x:f>
        <x:v>-100000</x:v>
      </x:c>
      <x:c r="E636" s="9" t="n">
        <x:f>SUMIFS('Journal'!$E$6:$E$1632,'Journal'!$D$6:$D$1632,B636,'Journal'!$C$6:$C$1632,A636)</x:f>
        <x:v>0</x:v>
      </x:c>
      <x:c r="F636" s="9" t="n">
        <x:f>SUMIFS('Journal'!$F$6:$F$1632,'Journal'!$D$6:$D$1632,B636,'Journal'!$C$6:$C$1632,A636)</x:f>
        <x:v>0</x:v>
      </x:c>
      <x:c r="G636" s="9" t="n">
        <x:f>ROUND(E636-F636,2)</x:f>
        <x:v>0</x:v>
      </x:c>
      <x:c r="H636" s="9" t="n">
        <x:f>ROUND(D636+G636,2)</x:f>
        <x:v>-100000</x:v>
      </x:c>
    </x:row>
    <x:row r="637" ht="14" customHeight="1">
      <x:c r="A637" s="1" t="n">
        <x:v>10</x:v>
      </x:c>
      <x:c r="B637" s="1" t="str">
        <x:v>2970</x:v>
      </x:c>
      <x:c r="C637" s="1" t="str">
        <x:v>Gewinnvortrag bis 2023</x:v>
      </x:c>
      <x:c r="D637" s="9" t="n">
        <x:f>H569</x:f>
        <x:v>-705000</x:v>
      </x:c>
      <x:c r="E637" s="9" t="n">
        <x:f>SUMIFS('Journal'!$E$6:$E$1632,'Journal'!$D$6:$D$1632,B637,'Journal'!$C$6:$C$1632,A637)</x:f>
        <x:v>0</x:v>
      </x:c>
      <x:c r="F637" s="9" t="n">
        <x:f>SUMIFS('Journal'!$F$6:$F$1632,'Journal'!$D$6:$D$1632,B637,'Journal'!$C$6:$C$1632,A637)</x:f>
        <x:v>0</x:v>
      </x:c>
      <x:c r="G637" s="9" t="n">
        <x:f>ROUND(E637-F637,2)</x:f>
        <x:v>0</x:v>
      </x:c>
      <x:c r="H637" s="9" t="n">
        <x:f>ROUND(D637+G637,2)</x:f>
        <x:v>-705000</x:v>
      </x:c>
    </x:row>
    <x:row r="638" ht="14" customHeight="1">
      <x:c r="A638" s="1" t="n">
        <x:v>10</x:v>
      </x:c>
      <x:c r="B638" s="1" t="str">
        <x:v>2978</x:v>
      </x:c>
      <x:c r="C638" s="1" t="str">
        <x:v>Ergebnisvortrag 2024</x:v>
      </x:c>
      <x:c r="D638" s="9" t="n">
        <x:f>H570</x:f>
        <x:v>0</x:v>
      </x:c>
      <x:c r="E638" s="9" t="n">
        <x:f>SUMIFS('Journal'!$E$6:$E$1632,'Journal'!$D$6:$D$1632,B638,'Journal'!$C$6:$C$1632,A638)</x:f>
        <x:v>0</x:v>
      </x:c>
      <x:c r="F638" s="9" t="n">
        <x:f>SUMIFS('Journal'!$F$6:$F$1632,'Journal'!$D$6:$D$1632,B638,'Journal'!$C$6:$C$1632,A638)</x:f>
        <x:v>0</x:v>
      </x:c>
      <x:c r="G638" s="9" t="n">
        <x:f>ROUND(E638-F638,2)</x:f>
        <x:v>0</x:v>
      </x:c>
      <x:c r="H638" s="9" t="n">
        <x:f>ROUND(D638+G638,2)</x:f>
        <x:v>0</x:v>
      </x:c>
    </x:row>
    <x:row r="639" ht="14" customHeight="1">
      <x:c r="A639" s="1" t="n">
        <x:v>10</x:v>
      </x:c>
      <x:c r="B639" s="1" t="str">
        <x:v>3090</x:v>
      </x:c>
      <x:c r="C639" s="1" t="str">
        <x:v>Rückstellungen Abschluss und Urlaub</x:v>
      </x:c>
      <x:c r="D639" s="9" t="n">
        <x:f>H571</x:f>
        <x:v>-45000</x:v>
      </x:c>
      <x:c r="E639" s="9" t="n">
        <x:f>SUMIFS('Journal'!$E$6:$E$1632,'Journal'!$D$6:$D$1632,B639,'Journal'!$C$6:$C$1632,A639)</x:f>
        <x:v>0</x:v>
      </x:c>
      <x:c r="F639" s="9" t="n">
        <x:f>SUMIFS('Journal'!$F$6:$F$1632,'Journal'!$D$6:$D$1632,B639,'Journal'!$C$6:$C$1632,A639)</x:f>
        <x:v>0</x:v>
      </x:c>
      <x:c r="G639" s="9" t="n">
        <x:f>ROUND(E639-F639,2)</x:f>
        <x:v>0</x:v>
      </x:c>
      <x:c r="H639" s="9" t="n">
        <x:f>ROUND(D639+G639,2)</x:f>
        <x:v>-45000</x:v>
      </x:c>
    </x:row>
    <x:row r="640" ht="14" customHeight="1">
      <x:c r="A640" s="1" t="n">
        <x:v>10</x:v>
      </x:c>
      <x:c r="B640" s="1" t="str">
        <x:v>3150</x:v>
      </x:c>
      <x:c r="C640" s="1" t="str">
        <x:v>Investitionsdarlehen Frankenbogen</x:v>
      </x:c>
      <x:c r="D640" s="9" t="n">
        <x:f>H572</x:f>
        <x:v>-510000</x:v>
      </x:c>
      <x:c r="E640" s="9" t="n">
        <x:f>SUMIFS('Journal'!$E$6:$E$1632,'Journal'!$D$6:$D$1632,B640,'Journal'!$C$6:$C$1632,A640)</x:f>
        <x:v>10000</x:v>
      </x:c>
      <x:c r="F640" s="9" t="n">
        <x:f>SUMIFS('Journal'!$F$6:$F$1632,'Journal'!$D$6:$D$1632,B640,'Journal'!$C$6:$C$1632,A640)</x:f>
        <x:v>0</x:v>
      </x:c>
      <x:c r="G640" s="9" t="n">
        <x:f>ROUND(E640-F640,2)</x:f>
        <x:v>10000</x:v>
      </x:c>
      <x:c r="H640" s="9" t="n">
        <x:f>ROUND(D640+G640,2)</x:f>
        <x:v>-500000</x:v>
      </x:c>
    </x:row>
    <x:row r="641" ht="14" customHeight="1">
      <x:c r="A641" s="1" t="n">
        <x:v>10</x:v>
      </x:c>
      <x:c r="B641" s="1" t="str">
        <x:v>3160</x:v>
      </x:c>
      <x:c r="C641" s="1" t="str">
        <x:v>Gesellschafterdarlehen</x:v>
      </x:c>
      <x:c r="D641" s="9" t="n">
        <x:f>H573</x:f>
        <x:v>0</x:v>
      </x:c>
      <x:c r="E641" s="9" t="n">
        <x:f>SUMIFS('Journal'!$E$6:$E$1632,'Journal'!$D$6:$D$1632,B641,'Journal'!$C$6:$C$1632,A641)</x:f>
        <x:v>0</x:v>
      </x:c>
      <x:c r="F641" s="9" t="n">
        <x:f>SUMIFS('Journal'!$F$6:$F$1632,'Journal'!$D$6:$D$1632,B641,'Journal'!$C$6:$C$1632,A641)</x:f>
        <x:v>0</x:v>
      </x:c>
      <x:c r="G641" s="9" t="n">
        <x:f>ROUND(E641-F641,2)</x:f>
        <x:v>0</x:v>
      </x:c>
      <x:c r="H641" s="9" t="n">
        <x:f>ROUND(D641+G641,2)</x:f>
        <x:v>0</x:v>
      </x:c>
    </x:row>
    <x:row r="642" ht="14" customHeight="1">
      <x:c r="A642" s="1" t="n">
        <x:v>10</x:v>
      </x:c>
      <x:c r="B642" s="1" t="str">
        <x:v>3300</x:v>
      </x:c>
      <x:c r="C642" s="1" t="str">
        <x:v>Verbindlichkeiten aus Lieferungen und Leistungen</x:v>
      </x:c>
      <x:c r="D642" s="9" t="n">
        <x:f>H574</x:f>
        <x:v>-700000</x:v>
      </x:c>
      <x:c r="E642" s="9" t="n">
        <x:f>SUMIFS('Journal'!$E$6:$E$1632,'Journal'!$D$6:$D$1632,B642,'Journal'!$C$6:$C$1632,A642)</x:f>
        <x:v>553011.38</x:v>
      </x:c>
      <x:c r="F642" s="9" t="n">
        <x:f>SUMIFS('Journal'!$F$6:$F$1632,'Journal'!$D$6:$D$1632,B642,'Journal'!$C$6:$C$1632,A642)</x:f>
        <x:v>583011.38</x:v>
      </x:c>
      <x:c r="G642" s="9" t="n">
        <x:f>ROUND(E642-F642,2)</x:f>
        <x:v>-30000</x:v>
      </x:c>
      <x:c r="H642" s="9" t="n">
        <x:f>ROUND(D642+G642,2)</x:f>
        <x:v>-730000</x:v>
      </x:c>
    </x:row>
    <x:row r="643" ht="14" customHeight="1">
      <x:c r="A643" s="1" t="n">
        <x:v>10</x:v>
      </x:c>
      <x:c r="B643" s="1" t="str">
        <x:v>3500</x:v>
      </x:c>
      <x:c r="C643" s="1" t="str">
        <x:v>Sonstige Verbindlichkeiten</x:v>
      </x:c>
      <x:c r="D643" s="9" t="n">
        <x:f>H575</x:f>
        <x:v>-22000</x:v>
      </x:c>
      <x:c r="E643" s="9" t="n">
        <x:f>SUMIFS('Journal'!$E$6:$E$1632,'Journal'!$D$6:$D$1632,B643,'Journal'!$C$6:$C$1632,A643)</x:f>
        <x:v>0</x:v>
      </x:c>
      <x:c r="F643" s="9" t="n">
        <x:f>SUMIFS('Journal'!$F$6:$F$1632,'Journal'!$D$6:$D$1632,B643,'Journal'!$C$6:$C$1632,A643)</x:f>
        <x:v>0</x:v>
      </x:c>
      <x:c r="G643" s="9" t="n">
        <x:f>ROUND(E643-F643,2)</x:f>
        <x:v>0</x:v>
      </x:c>
      <x:c r="H643" s="9" t="n">
        <x:f>ROUND(D643+G643,2)</x:f>
        <x:v>-22000</x:v>
      </x:c>
    </x:row>
    <x:row r="644" ht="14" customHeight="1">
      <x:c r="A644" s="1" t="n">
        <x:v>10</x:v>
      </x:c>
      <x:c r="B644" s="1" t="str">
        <x:v>3720</x:v>
      </x:c>
      <x:c r="C644" s="1" t="str">
        <x:v>Verbindlichkeiten Nettolöhne</x:v>
      </x:c>
      <x:c r="D644" s="9" t="n">
        <x:f>H576</x:f>
        <x:v>0</x:v>
      </x:c>
      <x:c r="E644" s="9" t="n">
        <x:f>SUMIFS('Journal'!$E$6:$E$1632,'Journal'!$D$6:$D$1632,B644,'Journal'!$C$6:$C$1632,A644)</x:f>
        <x:v>56760</x:v>
      </x:c>
      <x:c r="F644" s="9" t="n">
        <x:f>SUMIFS('Journal'!$F$6:$F$1632,'Journal'!$D$6:$D$1632,B644,'Journal'!$C$6:$C$1632,A644)</x:f>
        <x:v>56760</x:v>
      </x:c>
      <x:c r="G644" s="9" t="n">
        <x:f>ROUND(E644-F644,2)</x:f>
        <x:v>0</x:v>
      </x:c>
      <x:c r="H644" s="9" t="n">
        <x:f>ROUND(D644+G644,2)</x:f>
        <x:v>0</x:v>
      </x:c>
    </x:row>
    <x:row r="645" ht="14" customHeight="1">
      <x:c r="A645" s="1" t="n">
        <x:v>10</x:v>
      </x:c>
      <x:c r="B645" s="1" t="str">
        <x:v>3730</x:v>
      </x:c>
      <x:c r="C645" s="1" t="str">
        <x:v>Verbindlichkeiten Lohnsteuer</x:v>
      </x:c>
      <x:c r="D645" s="9" t="n">
        <x:f>H577</x:f>
        <x:v>-12900</x:v>
      </x:c>
      <x:c r="E645" s="9" t="n">
        <x:f>SUMIFS('Journal'!$E$6:$E$1632,'Journal'!$D$6:$D$1632,B645,'Journal'!$C$6:$C$1632,A645)</x:f>
        <x:v>12900</x:v>
      </x:c>
      <x:c r="F645" s="9" t="n">
        <x:f>SUMIFS('Journal'!$F$6:$F$1632,'Journal'!$D$6:$D$1632,B645,'Journal'!$C$6:$C$1632,A645)</x:f>
        <x:v>12900</x:v>
      </x:c>
      <x:c r="G645" s="9" t="n">
        <x:f>ROUND(E645-F645,2)</x:f>
        <x:v>0</x:v>
      </x:c>
      <x:c r="H645" s="9" t="n">
        <x:f>ROUND(D645+G645,2)</x:f>
        <x:v>-12900</x:v>
      </x:c>
    </x:row>
    <x:row r="646" ht="14" customHeight="1">
      <x:c r="A646" s="1" t="n">
        <x:v>10</x:v>
      </x:c>
      <x:c r="B646" s="1" t="str">
        <x:v>3740</x:v>
      </x:c>
      <x:c r="C646" s="1" t="str">
        <x:v>Verbindlichkeiten Sozialversicherung</x:v>
      </x:c>
      <x:c r="D646" s="9" t="n">
        <x:f>H578</x:f>
        <x:v>0</x:v>
      </x:c>
      <x:c r="E646" s="9" t="n">
        <x:f>SUMIFS('Journal'!$E$6:$E$1632,'Journal'!$D$6:$D$1632,B646,'Journal'!$C$6:$C$1632,A646)</x:f>
        <x:v>34340</x:v>
      </x:c>
      <x:c r="F646" s="9" t="n">
        <x:f>SUMIFS('Journal'!$F$6:$F$1632,'Journal'!$D$6:$D$1632,B646,'Journal'!$C$6:$C$1632,A646)</x:f>
        <x:v>34340</x:v>
      </x:c>
      <x:c r="G646" s="9" t="n">
        <x:f>ROUND(E646-F646,2)</x:f>
        <x:v>0</x:v>
      </x:c>
      <x:c r="H646" s="9" t="n">
        <x:f>ROUND(D646+G646,2)</x:f>
        <x:v>0</x:v>
      </x:c>
    </x:row>
    <x:row r="647" ht="14" customHeight="1">
      <x:c r="A647" s="1" t="n">
        <x:v>10</x:v>
      </x:c>
      <x:c r="B647" s="1" t="str">
        <x:v>3801</x:v>
      </x:c>
      <x:c r="C647" s="1" t="str">
        <x:v>Umsatzsteuer Inland 7 Prozent</x:v>
      </x:c>
      <x:c r="D647" s="9" t="n">
        <x:f>H579</x:f>
        <x:v>0</x:v>
      </x:c>
      <x:c r="E647" s="9" t="n">
        <x:f>SUMIFS('Journal'!$E$6:$E$1632,'Journal'!$D$6:$D$1632,B647,'Journal'!$C$6:$C$1632,A647)</x:f>
        <x:v>23184</x:v>
      </x:c>
      <x:c r="F647" s="9" t="n">
        <x:f>SUMIFS('Journal'!$F$6:$F$1632,'Journal'!$D$6:$D$1632,B647,'Journal'!$C$6:$C$1632,A647)</x:f>
        <x:v>23184</x:v>
      </x:c>
      <x:c r="G647" s="9" t="n">
        <x:f>ROUND(E647-F647,2)</x:f>
        <x:v>0</x:v>
      </x:c>
      <x:c r="H647" s="9" t="n">
        <x:f>ROUND(D647+G647,2)</x:f>
        <x:v>0</x:v>
      </x:c>
    </x:row>
    <x:row r="648" ht="14" customHeight="1">
      <x:c r="A648" s="1" t="n">
        <x:v>10</x:v>
      </x:c>
      <x:c r="B648" s="1" t="str">
        <x:v>3806</x:v>
      </x:c>
      <x:c r="C648" s="1" t="str">
        <x:v>Umsatzsteuer Inland 19 Prozent</x:v>
      </x:c>
      <x:c r="D648" s="9" t="n">
        <x:f>H580</x:f>
        <x:v>0</x:v>
      </x:c>
      <x:c r="E648" s="9" t="n">
        <x:f>SUMIFS('Journal'!$E$6:$E$1632,'Journal'!$D$6:$D$1632,B648,'Journal'!$C$6:$C$1632,A648)</x:f>
        <x:v>15732</x:v>
      </x:c>
      <x:c r="F648" s="9" t="n">
        <x:f>SUMIFS('Journal'!$F$6:$F$1632,'Journal'!$D$6:$D$1632,B648,'Journal'!$C$6:$C$1632,A648)</x:f>
        <x:v>15732</x:v>
      </x:c>
      <x:c r="G648" s="9" t="n">
        <x:f>ROUND(E648-F648,2)</x:f>
        <x:v>0</x:v>
      </x:c>
      <x:c r="H648" s="9" t="n">
        <x:f>ROUND(D648+G648,2)</x:f>
        <x:v>0</x:v>
      </x:c>
    </x:row>
    <x:row r="649" ht="14" customHeight="1">
      <x:c r="A649" s="1" t="n">
        <x:v>10</x:v>
      </x:c>
      <x:c r="B649" s="1" t="str">
        <x:v>3804</x:v>
      </x:c>
      <x:c r="C649" s="1" t="str">
        <x:v>Umsatzsteuer EU Erwerb 7 Prozent</x:v>
      </x:c>
      <x:c r="D649" s="9" t="n">
        <x:f>H581</x:f>
        <x:v>0</x:v>
      </x:c>
      <x:c r="E649" s="9" t="n">
        <x:f>SUMIFS('Journal'!$E$6:$E$1632,'Journal'!$D$6:$D$1632,B649,'Journal'!$C$6:$C$1632,A649)</x:f>
        <x:v>6667.15</x:v>
      </x:c>
      <x:c r="F649" s="9" t="n">
        <x:f>SUMIFS('Journal'!$F$6:$F$1632,'Journal'!$D$6:$D$1632,B649,'Journal'!$C$6:$C$1632,A649)</x:f>
        <x:v>6667.15</x:v>
      </x:c>
      <x:c r="G649" s="9" t="n">
        <x:f>ROUND(E649-F649,2)</x:f>
        <x:v>0</x:v>
      </x:c>
      <x:c r="H649" s="9" t="n">
        <x:f>ROUND(D649+G649,2)</x:f>
        <x:v>0</x:v>
      </x:c>
    </x:row>
    <x:row r="650" ht="14" customHeight="1">
      <x:c r="A650" s="1" t="n">
        <x:v>10</x:v>
      </x:c>
      <x:c r="B650" s="1" t="str">
        <x:v>3809</x:v>
      </x:c>
      <x:c r="C650" s="1" t="str">
        <x:v>Umsatzsteuer EU Erwerb 19 Prozent</x:v>
      </x:c>
      <x:c r="D650" s="9" t="n">
        <x:f>H582</x:f>
        <x:v>0</x:v>
      </x:c>
      <x:c r="E650" s="9" t="n">
        <x:f>SUMIFS('Journal'!$E$6:$E$1632,'Journal'!$D$6:$D$1632,B650,'Journal'!$C$6:$C$1632,A650)</x:f>
        <x:v>4524.14</x:v>
      </x:c>
      <x:c r="F650" s="9" t="n">
        <x:f>SUMIFS('Journal'!$F$6:$F$1632,'Journal'!$D$6:$D$1632,B650,'Journal'!$C$6:$C$1632,A650)</x:f>
        <x:v>4524.14</x:v>
      </x:c>
      <x:c r="G650" s="9" t="n">
        <x:f>ROUND(E650-F650,2)</x:f>
        <x:v>0</x:v>
      </x:c>
      <x:c r="H650" s="9" t="n">
        <x:f>ROUND(D650+G650,2)</x:f>
        <x:v>0</x:v>
      </x:c>
    </x:row>
    <x:row r="651" ht="14" customHeight="1">
      <x:c r="A651" s="1" t="n">
        <x:v>10</x:v>
      </x:c>
      <x:c r="B651" s="1" t="str">
        <x:v>3820</x:v>
      </x:c>
      <x:c r="C651" s="1" t="str">
        <x:v>Umsatzsteuer Verrechnung Finanzamt</x:v>
      </x:c>
      <x:c r="D651" s="9" t="n">
        <x:f>H583</x:f>
        <x:v>5321.76</x:v>
      </x:c>
      <x:c r="E651" s="9" t="n">
        <x:f>SUMIFS('Journal'!$E$6:$E$1632,'Journal'!$D$6:$D$1632,B651,'Journal'!$C$6:$C$1632,A651)</x:f>
        <x:v>55492.799999999996</x:v>
      </x:c>
      <x:c r="F651" s="9" t="n">
        <x:f>SUMIFS('Journal'!$F$6:$F$1632,'Journal'!$D$6:$D$1632,B651,'Journal'!$C$6:$C$1632,A651)</x:f>
        <x:v>55282.05</x:v>
      </x:c>
      <x:c r="G651" s="9" t="n">
        <x:f>ROUND(E651-F651,2)</x:f>
        <x:v>210.75</x:v>
      </x:c>
      <x:c r="H651" s="9" t="n">
        <x:f>ROUND(D651+G651,2)</x:f>
        <x:v>5532.51</x:v>
      </x:c>
    </x:row>
    <x:row r="652" ht="14" customHeight="1">
      <x:c r="A652" s="1" t="n">
        <x:v>10</x:v>
      </x:c>
      <x:c r="B652" s="1" t="str">
        <x:v>3840</x:v>
      </x:c>
      <x:c r="C652" s="1" t="str">
        <x:v>Ertragsteuern Verrechnung</x:v>
      </x:c>
      <x:c r="D652" s="9" t="n">
        <x:f>H584</x:f>
        <x:v>1000</x:v>
      </x:c>
      <x:c r="E652" s="9" t="n">
        <x:f>SUMIFS('Journal'!$E$6:$E$1632,'Journal'!$D$6:$D$1632,B652,'Journal'!$C$6:$C$1632,A652)</x:f>
        <x:v>0</x:v>
      </x:c>
      <x:c r="F652" s="9" t="n">
        <x:f>SUMIFS('Journal'!$F$6:$F$1632,'Journal'!$D$6:$D$1632,B652,'Journal'!$C$6:$C$1632,A652)</x:f>
        <x:v>0</x:v>
      </x:c>
      <x:c r="G652" s="9" t="n">
        <x:f>ROUND(E652-F652,2)</x:f>
        <x:v>0</x:v>
      </x:c>
      <x:c r="H652" s="9" t="n">
        <x:f>ROUND(D652+G652,2)</x:f>
        <x:v>1000</x:v>
      </x:c>
    </x:row>
    <x:row r="653" ht="14" customHeight="1">
      <x:c r="A653" s="1" t="n">
        <x:v>10</x:v>
      </x:c>
      <x:c r="B653" s="1" t="str">
        <x:v>4300</x:v>
      </x:c>
      <x:c r="C653" s="1" t="str">
        <x:v>Erlöse Inland 7 Prozent</x:v>
      </x:c>
      <x:c r="D653" s="9" t="n">
        <x:f>H585</x:f>
        <x:v>-2587200</x:v>
      </x:c>
      <x:c r="E653" s="9" t="n">
        <x:f>SUMIFS('Journal'!$E$6:$E$1632,'Journal'!$D$6:$D$1632,B653,'Journal'!$C$6:$C$1632,A653)</x:f>
        <x:v>0</x:v>
      </x:c>
      <x:c r="F653" s="9" t="n">
        <x:f>SUMIFS('Journal'!$F$6:$F$1632,'Journal'!$D$6:$D$1632,B653,'Journal'!$C$6:$C$1632,A653)</x:f>
        <x:v>331200</x:v>
      </x:c>
      <x:c r="G653" s="9" t="n">
        <x:f>ROUND(E653-F653,2)</x:f>
        <x:v>-331200</x:v>
      </x:c>
      <x:c r="H653" s="9" t="n">
        <x:f>ROUND(D653+G653,2)</x:f>
        <x:v>-2918400</x:v>
      </x:c>
    </x:row>
    <x:row r="654" ht="14" customHeight="1">
      <x:c r="A654" s="1" t="n">
        <x:v>10</x:v>
      </x:c>
      <x:c r="B654" s="1" t="str">
        <x:v>4400</x:v>
      </x:c>
      <x:c r="C654" s="1" t="str">
        <x:v>Erlöse Inland 19 Prozent</x:v>
      </x:c>
      <x:c r="D654" s="9" t="n">
        <x:f>H586</x:f>
        <x:v>-646800</x:v>
      </x:c>
      <x:c r="E654" s="9" t="n">
        <x:f>SUMIFS('Journal'!$E$6:$E$1632,'Journal'!$D$6:$D$1632,B654,'Journal'!$C$6:$C$1632,A654)</x:f>
        <x:v>0</x:v>
      </x:c>
      <x:c r="F654" s="9" t="n">
        <x:f>SUMIFS('Journal'!$F$6:$F$1632,'Journal'!$D$6:$D$1632,B654,'Journal'!$C$6:$C$1632,A654)</x:f>
        <x:v>82800</x:v>
      </x:c>
      <x:c r="G654" s="9" t="n">
        <x:f>ROUND(E654-F654,2)</x:f>
        <x:v>-82800</x:v>
      </x:c>
      <x:c r="H654" s="9" t="n">
        <x:f>ROUND(D654+G654,2)</x:f>
        <x:v>-729600</x:v>
      </x:c>
    </x:row>
    <x:row r="655" ht="14" customHeight="1">
      <x:c r="A655" s="1" t="n">
        <x:v>10</x:v>
      </x:c>
      <x:c r="B655" s="1" t="str">
        <x:v>4125</x:v>
      </x:c>
      <x:c r="C655" s="1" t="str">
        <x:v>Erlöse EU Warenlieferungen</x:v>
      </x:c>
      <x:c r="D655" s="9" t="n">
        <x:f>H587</x:f>
        <x:v>-1078000</x:v>
      </x:c>
      <x:c r="E655" s="9" t="n">
        <x:f>SUMIFS('Journal'!$E$6:$E$1632,'Journal'!$D$6:$D$1632,B655,'Journal'!$C$6:$C$1632,A655)</x:f>
        <x:v>0</x:v>
      </x:c>
      <x:c r="F655" s="9" t="n">
        <x:f>SUMIFS('Journal'!$F$6:$F$1632,'Journal'!$D$6:$D$1632,B655,'Journal'!$C$6:$C$1632,A655)</x:f>
        <x:v>138000</x:v>
      </x:c>
      <x:c r="G655" s="9" t="n">
        <x:f>ROUND(E655-F655,2)</x:f>
        <x:v>-138000</x:v>
      </x:c>
      <x:c r="H655" s="9" t="n">
        <x:f>ROUND(D655+G655,2)</x:f>
        <x:v>-1216000</x:v>
      </x:c>
    </x:row>
    <x:row r="656" ht="14" customHeight="1">
      <x:c r="A656" s="1" t="n">
        <x:v>10</x:v>
      </x:c>
      <x:c r="B656" s="1" t="str">
        <x:v>4120</x:v>
      </x:c>
      <x:c r="C656" s="1" t="str">
        <x:v>Erlöse Drittland Warenlieferungen</x:v>
      </x:c>
      <x:c r="D656" s="9" t="n">
        <x:f>H588</x:f>
        <x:v>-1078000</x:v>
      </x:c>
      <x:c r="E656" s="9" t="n">
        <x:f>SUMIFS('Journal'!$E$6:$E$1632,'Journal'!$D$6:$D$1632,B656,'Journal'!$C$6:$C$1632,A656)</x:f>
        <x:v>0</x:v>
      </x:c>
      <x:c r="F656" s="9" t="n">
        <x:f>SUMIFS('Journal'!$F$6:$F$1632,'Journal'!$D$6:$D$1632,B656,'Journal'!$C$6:$C$1632,A656)</x:f>
        <x:v>138000</x:v>
      </x:c>
      <x:c r="G656" s="9" t="n">
        <x:f>ROUND(E656-F656,2)</x:f>
        <x:v>-138000</x:v>
      </x:c>
      <x:c r="H656" s="9" t="n">
        <x:f>ROUND(D656+G656,2)</x:f>
        <x:v>-1216000</x:v>
      </x:c>
    </x:row>
    <x:row r="657" ht="14" customHeight="1">
      <x:c r="A657" s="1" t="n">
        <x:v>10</x:v>
      </x:c>
      <x:c r="B657" s="1" t="str">
        <x:v>4730</x:v>
      </x:c>
      <x:c r="C657" s="1" t="str">
        <x:v>Erlösschmälerungen Inland 7 Prozent</x:v>
      </x:c>
      <x:c r="D657" s="9" t="n">
        <x:f>H589</x:f>
        <x:v>14850</x:v>
      </x:c>
      <x:c r="E657" s="9" t="n">
        <x:f>SUMIFS('Journal'!$E$6:$E$1632,'Journal'!$D$6:$D$1632,B657,'Journal'!$C$6:$C$1632,A657)</x:f>
        <x:v>2100</x:v>
      </x:c>
      <x:c r="F657" s="9" t="n">
        <x:f>SUMIFS('Journal'!$F$6:$F$1632,'Journal'!$D$6:$D$1632,B657,'Journal'!$C$6:$C$1632,A657)</x:f>
        <x:v>0</x:v>
      </x:c>
      <x:c r="G657" s="9" t="n">
        <x:f>ROUND(E657-F657,2)</x:f>
        <x:v>2100</x:v>
      </x:c>
      <x:c r="H657" s="9" t="n">
        <x:f>ROUND(D657+G657,2)</x:f>
        <x:v>16950</x:v>
      </x:c>
    </x:row>
    <x:row r="658" ht="14" customHeight="1">
      <x:c r="A658" s="1" t="n">
        <x:v>10</x:v>
      </x:c>
      <x:c r="B658" s="1" t="str">
        <x:v>4735</x:v>
      </x:c>
      <x:c r="C658" s="1" t="str">
        <x:v>Erlösschmälerungen EU</x:v>
      </x:c>
      <x:c r="D658" s="9" t="n">
        <x:f>H590</x:f>
        <x:v>9900</x:v>
      </x:c>
      <x:c r="E658" s="9" t="n">
        <x:f>SUMIFS('Journal'!$E$6:$E$1632,'Journal'!$D$6:$D$1632,B658,'Journal'!$C$6:$C$1632,A658)</x:f>
        <x:v>1400</x:v>
      </x:c>
      <x:c r="F658" s="9" t="n">
        <x:f>SUMIFS('Journal'!$F$6:$F$1632,'Journal'!$D$6:$D$1632,B658,'Journal'!$C$6:$C$1632,A658)</x:f>
        <x:v>0</x:v>
      </x:c>
      <x:c r="G658" s="9" t="n">
        <x:f>ROUND(E658-F658,2)</x:f>
        <x:v>1400</x:v>
      </x:c>
      <x:c r="H658" s="9" t="n">
        <x:f>ROUND(D658+G658,2)</x:f>
        <x:v>11300</x:v>
      </x:c>
    </x:row>
    <x:row r="659" ht="14" customHeight="1">
      <x:c r="A659" s="1" t="n">
        <x:v>10</x:v>
      </x:c>
      <x:c r="B659" s="1" t="str">
        <x:v>4830</x:v>
      </x:c>
      <x:c r="C659" s="1" t="str">
        <x:v>Sonstige betriebliche Erträge</x:v>
      </x:c>
      <x:c r="D659" s="9" t="n">
        <x:f>H591</x:f>
        <x:v>-12000</x:v>
      </x:c>
      <x:c r="E659" s="9" t="n">
        <x:f>SUMIFS('Journal'!$E$6:$E$1632,'Journal'!$D$6:$D$1632,B659,'Journal'!$C$6:$C$1632,A659)</x:f>
        <x:v>0</x:v>
      </x:c>
      <x:c r="F659" s="9" t="n">
        <x:f>SUMIFS('Journal'!$F$6:$F$1632,'Journal'!$D$6:$D$1632,B659,'Journal'!$C$6:$C$1632,A659)</x:f>
        <x:v>0</x:v>
      </x:c>
      <x:c r="G659" s="9" t="n">
        <x:f>ROUND(E659-F659,2)</x:f>
        <x:v>0</x:v>
      </x:c>
      <x:c r="H659" s="9" t="n">
        <x:f>ROUND(D659+G659,2)</x:f>
        <x:v>-12000</x:v>
      </x:c>
    </x:row>
    <x:row r="660" ht="14" customHeight="1">
      <x:c r="A660" s="1" t="n">
        <x:v>10</x:v>
      </x:c>
      <x:c r="B660" s="1" t="str">
        <x:v>5000</x:v>
      </x:c>
      <x:c r="C660" s="1" t="str">
        <x:v>Wareneinsatz</x:v>
      </x:c>
      <x:c r="D660" s="9" t="n">
        <x:f>H592</x:f>
        <x:v>3487412.5</x:v>
      </x:c>
      <x:c r="E660" s="9" t="n">
        <x:f>SUMIFS('Journal'!$E$6:$E$1632,'Journal'!$D$6:$D$1632,B660,'Journal'!$C$6:$C$1632,A660)</x:f>
        <x:v>446225</x:v>
      </x:c>
      <x:c r="F660" s="9" t="n">
        <x:f>SUMIFS('Journal'!$F$6:$F$1632,'Journal'!$D$6:$D$1632,B660,'Journal'!$C$6:$C$1632,A660)</x:f>
        <x:v>0</x:v>
      </x:c>
      <x:c r="G660" s="9" t="n">
        <x:f>ROUND(E660-F660,2)</x:f>
        <x:v>446225</x:v>
      </x:c>
      <x:c r="H660" s="9" t="n">
        <x:f>ROUND(D660+G660,2)</x:f>
        <x:v>3933637.5</x:v>
      </x:c>
    </x:row>
    <x:row r="661" ht="14" customHeight="1">
      <x:c r="A661" s="1" t="n">
        <x:v>10</x:v>
      </x:c>
      <x:c r="B661" s="1" t="str">
        <x:v>5005</x:v>
      </x:c>
      <x:c r="C661" s="1" t="str">
        <x:v>Abwertung Warenbestand</x:v>
      </x:c>
      <x:c r="D661" s="9" t="n">
        <x:f>H593</x:f>
        <x:v>0</x:v>
      </x:c>
      <x:c r="E661" s="9" t="n">
        <x:f>SUMIFS('Journal'!$E$6:$E$1632,'Journal'!$D$6:$D$1632,B661,'Journal'!$C$6:$C$1632,A661)</x:f>
        <x:v>0</x:v>
      </x:c>
      <x:c r="F661" s="9" t="n">
        <x:f>SUMIFS('Journal'!$F$6:$F$1632,'Journal'!$D$6:$D$1632,B661,'Journal'!$C$6:$C$1632,A661)</x:f>
        <x:v>0</x:v>
      </x:c>
      <x:c r="G661" s="9" t="n">
        <x:f>ROUND(E661-F661,2)</x:f>
        <x:v>0</x:v>
      </x:c>
      <x:c r="H661" s="9" t="n">
        <x:f>ROUND(D661+G661,2)</x:f>
        <x:v>0</x:v>
      </x:c>
    </x:row>
    <x:row r="662" ht="14" customHeight="1">
      <x:c r="A662" s="1" t="n">
        <x:v>10</x:v>
      </x:c>
      <x:c r="B662" s="1" t="str">
        <x:v>6020</x:v>
      </x:c>
      <x:c r="C662" s="1" t="str">
        <x:v>Bruttogehälter</x:v>
      </x:c>
      <x:c r="D662" s="9" t="n">
        <x:f>H594</x:f>
        <x:v>774000</x:v>
      </x:c>
      <x:c r="E662" s="9" t="n">
        <x:f>SUMIFS('Journal'!$E$6:$E$1632,'Journal'!$D$6:$D$1632,B662,'Journal'!$C$6:$C$1632,A662)</x:f>
        <x:v>86000</x:v>
      </x:c>
      <x:c r="F662" s="9" t="n">
        <x:f>SUMIFS('Journal'!$F$6:$F$1632,'Journal'!$D$6:$D$1632,B662,'Journal'!$C$6:$C$1632,A662)</x:f>
        <x:v>0</x:v>
      </x:c>
      <x:c r="G662" s="9" t="n">
        <x:f>ROUND(E662-F662,2)</x:f>
        <x:v>86000</x:v>
      </x:c>
      <x:c r="H662" s="9" t="n">
        <x:f>ROUND(D662+G662,2)</x:f>
        <x:v>860000</x:v>
      </x:c>
    </x:row>
    <x:row r="663" ht="14" customHeight="1">
      <x:c r="A663" s="1" t="n">
        <x:v>10</x:v>
      </x:c>
      <x:c r="B663" s="1" t="str">
        <x:v>6110</x:v>
      </x:c>
      <x:c r="C663" s="1" t="str">
        <x:v>Arbeitgeberanteile Sozialversicherung</x:v>
      </x:c>
      <x:c r="D663" s="9" t="n">
        <x:f>H595</x:f>
        <x:v>162000</x:v>
      </x:c>
      <x:c r="E663" s="9" t="n">
        <x:f>SUMIFS('Journal'!$E$6:$E$1632,'Journal'!$D$6:$D$1632,B663,'Journal'!$C$6:$C$1632,A663)</x:f>
        <x:v>18000</x:v>
      </x:c>
      <x:c r="F663" s="9" t="n">
        <x:f>SUMIFS('Journal'!$F$6:$F$1632,'Journal'!$D$6:$D$1632,B663,'Journal'!$C$6:$C$1632,A663)</x:f>
        <x:v>0</x:v>
      </x:c>
      <x:c r="G663" s="9" t="n">
        <x:f>ROUND(E663-F663,2)</x:f>
        <x:v>18000</x:v>
      </x:c>
      <x:c r="H663" s="9" t="n">
        <x:f>ROUND(D663+G663,2)</x:f>
        <x:v>180000</x:v>
      </x:c>
    </x:row>
    <x:row r="664" ht="14" customHeight="1">
      <x:c r="A664" s="1" t="n">
        <x:v>10</x:v>
      </x:c>
      <x:c r="B664" s="1" t="str">
        <x:v>6220</x:v>
      </x:c>
      <x:c r="C664" s="1" t="str">
        <x:v>Abschreibungen Sachanlagen und Software</x:v>
      </x:c>
      <x:c r="D664" s="9" t="n">
        <x:f>H596</x:f>
        <x:v>67500</x:v>
      </x:c>
      <x:c r="E664" s="9" t="n">
        <x:f>SUMIFS('Journal'!$E$6:$E$1632,'Journal'!$D$6:$D$1632,B664,'Journal'!$C$6:$C$1632,A664)</x:f>
        <x:v>7500</x:v>
      </x:c>
      <x:c r="F664" s="9" t="n">
        <x:f>SUMIFS('Journal'!$F$6:$F$1632,'Journal'!$D$6:$D$1632,B664,'Journal'!$C$6:$C$1632,A664)</x:f>
        <x:v>0</x:v>
      </x:c>
      <x:c r="G664" s="9" t="n">
        <x:f>ROUND(E664-F664,2)</x:f>
        <x:v>7500</x:v>
      </x:c>
      <x:c r="H664" s="9" t="n">
        <x:f>ROUND(D664+G664,2)</x:f>
        <x:v>75000</x:v>
      </x:c>
    </x:row>
    <x:row r="665" ht="14" customHeight="1">
      <x:c r="A665" s="1" t="n">
        <x:v>10</x:v>
      </x:c>
      <x:c r="B665" s="1" t="str">
        <x:v>6310</x:v>
      </x:c>
      <x:c r="C665" s="1" t="str">
        <x:v>Miete Büro Nürnberg</x:v>
      </x:c>
      <x:c r="D665" s="9" t="n">
        <x:f>H597</x:f>
        <x:v>36000</x:v>
      </x:c>
      <x:c r="E665" s="9" t="n">
        <x:f>SUMIFS('Journal'!$E$6:$E$1632,'Journal'!$D$6:$D$1632,B665,'Journal'!$C$6:$C$1632,A665)</x:f>
        <x:v>4000</x:v>
      </x:c>
      <x:c r="F665" s="9" t="n">
        <x:f>SUMIFS('Journal'!$F$6:$F$1632,'Journal'!$D$6:$D$1632,B665,'Journal'!$C$6:$C$1632,A665)</x:f>
        <x:v>0</x:v>
      </x:c>
      <x:c r="G665" s="9" t="n">
        <x:f>ROUND(E665-F665,2)</x:f>
        <x:v>4000</x:v>
      </x:c>
      <x:c r="H665" s="9" t="n">
        <x:f>ROUND(D665+G665,2)</x:f>
        <x:v>40000</x:v>
      </x:c>
    </x:row>
    <x:row r="666" ht="14" customHeight="1">
      <x:c r="A666" s="1" t="n">
        <x:v>10</x:v>
      </x:c>
      <x:c r="B666" s="1" t="str">
        <x:v>6311</x:v>
      </x:c>
      <x:c r="C666" s="1" t="str">
        <x:v>Miete Lager Erlangen</x:v>
      </x:c>
      <x:c r="D666" s="9" t="n">
        <x:f>H598</x:f>
        <x:v>90000</x:v>
      </x:c>
      <x:c r="E666" s="9" t="n">
        <x:f>SUMIFS('Journal'!$E$6:$E$1632,'Journal'!$D$6:$D$1632,B666,'Journal'!$C$6:$C$1632,A666)</x:f>
        <x:v>10000</x:v>
      </x:c>
      <x:c r="F666" s="9" t="n">
        <x:f>SUMIFS('Journal'!$F$6:$F$1632,'Journal'!$D$6:$D$1632,B666,'Journal'!$C$6:$C$1632,A666)</x:f>
        <x:v>0</x:v>
      </x:c>
      <x:c r="G666" s="9" t="n">
        <x:f>ROUND(E666-F666,2)</x:f>
        <x:v>10000</x:v>
      </x:c>
      <x:c r="H666" s="9" t="n">
        <x:f>ROUND(D666+G666,2)</x:f>
        <x:v>100000</x:v>
      </x:c>
    </x:row>
    <x:row r="667" ht="14" customHeight="1">
      <x:c r="A667" s="1" t="n">
        <x:v>10</x:v>
      </x:c>
      <x:c r="B667" s="1" t="str">
        <x:v>6325</x:v>
      </x:c>
      <x:c r="C667" s="1" t="str">
        <x:v>Strom und Kühlung</x:v>
      </x:c>
      <x:c r="D667" s="9" t="n">
        <x:f>H599</x:f>
        <x:v>40500</x:v>
      </x:c>
      <x:c r="E667" s="9" t="n">
        <x:f>SUMIFS('Journal'!$E$6:$E$1632,'Journal'!$D$6:$D$1632,B667,'Journal'!$C$6:$C$1632,A667)</x:f>
        <x:v>4500</x:v>
      </x:c>
      <x:c r="F667" s="9" t="n">
        <x:f>SUMIFS('Journal'!$F$6:$F$1632,'Journal'!$D$6:$D$1632,B667,'Journal'!$C$6:$C$1632,A667)</x:f>
        <x:v>0</x:v>
      </x:c>
      <x:c r="G667" s="9" t="n">
        <x:f>ROUND(E667-F667,2)</x:f>
        <x:v>4500</x:v>
      </x:c>
      <x:c r="H667" s="9" t="n">
        <x:f>ROUND(D667+G667,2)</x:f>
        <x:v>45000</x:v>
      </x:c>
    </x:row>
    <x:row r="668" ht="14" customHeight="1">
      <x:c r="A668" s="1" t="n">
        <x:v>10</x:v>
      </x:c>
      <x:c r="B668" s="1" t="str">
        <x:v>6400</x:v>
      </x:c>
      <x:c r="C668" s="1" t="str">
        <x:v>Versicherungen</x:v>
      </x:c>
      <x:c r="D668" s="9" t="n">
        <x:f>H600</x:f>
        <x:v>22500</x:v>
      </x:c>
      <x:c r="E668" s="9" t="n">
        <x:f>SUMIFS('Journal'!$E$6:$E$1632,'Journal'!$D$6:$D$1632,B668,'Journal'!$C$6:$C$1632,A668)</x:f>
        <x:v>2500</x:v>
      </x:c>
      <x:c r="F668" s="9" t="n">
        <x:f>SUMIFS('Journal'!$F$6:$F$1632,'Journal'!$D$6:$D$1632,B668,'Journal'!$C$6:$C$1632,A668)</x:f>
        <x:v>0</x:v>
      </x:c>
      <x:c r="G668" s="9" t="n">
        <x:f>ROUND(E668-F668,2)</x:f>
        <x:v>2500</x:v>
      </x:c>
      <x:c r="H668" s="9" t="n">
        <x:f>ROUND(D668+G668,2)</x:f>
        <x:v>25000</x:v>
      </x:c>
    </x:row>
    <x:row r="669" ht="14" customHeight="1">
      <x:c r="A669" s="1" t="n">
        <x:v>10</x:v>
      </x:c>
      <x:c r="B669" s="1" t="str">
        <x:v>6470</x:v>
      </x:c>
      <x:c r="C669" s="1" t="str">
        <x:v>Lagerbetrieb und Reinigung</x:v>
      </x:c>
      <x:c r="D669" s="9" t="n">
        <x:f>H601</x:f>
        <x:v>54000</x:v>
      </x:c>
      <x:c r="E669" s="9" t="n">
        <x:f>SUMIFS('Journal'!$E$6:$E$1632,'Journal'!$D$6:$D$1632,B669,'Journal'!$C$6:$C$1632,A669)</x:f>
        <x:v>6000</x:v>
      </x:c>
      <x:c r="F669" s="9" t="n">
        <x:f>SUMIFS('Journal'!$F$6:$F$1632,'Journal'!$D$6:$D$1632,B669,'Journal'!$C$6:$C$1632,A669)</x:f>
        <x:v>0</x:v>
      </x:c>
      <x:c r="G669" s="9" t="n">
        <x:f>ROUND(E669-F669,2)</x:f>
        <x:v>6000</x:v>
      </x:c>
      <x:c r="H669" s="9" t="n">
        <x:f>ROUND(D669+G669,2)</x:f>
        <x:v>60000</x:v>
      </x:c>
    </x:row>
    <x:row r="670" ht="14" customHeight="1">
      <x:c r="A670" s="1" t="n">
        <x:v>10</x:v>
      </x:c>
      <x:c r="B670" s="1" t="str">
        <x:v>6490</x:v>
      </x:c>
      <x:c r="C670" s="1" t="str">
        <x:v>Reparaturen und Wartung</x:v>
      </x:c>
      <x:c r="D670" s="9" t="n">
        <x:f>H602</x:f>
        <x:v>22500</x:v>
      </x:c>
      <x:c r="E670" s="9" t="n">
        <x:f>SUMIFS('Journal'!$E$6:$E$1632,'Journal'!$D$6:$D$1632,B670,'Journal'!$C$6:$C$1632,A670)</x:f>
        <x:v>2500</x:v>
      </x:c>
      <x:c r="F670" s="9" t="n">
        <x:f>SUMIFS('Journal'!$F$6:$F$1632,'Journal'!$D$6:$D$1632,B670,'Journal'!$C$6:$C$1632,A670)</x:f>
        <x:v>0</x:v>
      </x:c>
      <x:c r="G670" s="9" t="n">
        <x:f>ROUND(E670-F670,2)</x:f>
        <x:v>2500</x:v>
      </x:c>
      <x:c r="H670" s="9" t="n">
        <x:f>ROUND(D670+G670,2)</x:f>
        <x:v>25000</x:v>
      </x:c>
    </x:row>
    <x:row r="671" ht="14" customHeight="1">
      <x:c r="A671" s="1" t="n">
        <x:v>10</x:v>
      </x:c>
      <x:c r="B671" s="1" t="str">
        <x:v>6600</x:v>
      </x:c>
      <x:c r="C671" s="1" t="str">
        <x:v>Marketing und Messen</x:v>
      </x:c>
      <x:c r="D671" s="9" t="n">
        <x:f>H603</x:f>
        <x:v>54000</x:v>
      </x:c>
      <x:c r="E671" s="9" t="n">
        <x:f>SUMIFS('Journal'!$E$6:$E$1632,'Journal'!$D$6:$D$1632,B671,'Journal'!$C$6:$C$1632,A671)</x:f>
        <x:v>6000</x:v>
      </x:c>
      <x:c r="F671" s="9" t="n">
        <x:f>SUMIFS('Journal'!$F$6:$F$1632,'Journal'!$D$6:$D$1632,B671,'Journal'!$C$6:$C$1632,A671)</x:f>
        <x:v>0</x:v>
      </x:c>
      <x:c r="G671" s="9" t="n">
        <x:f>ROUND(E671-F671,2)</x:f>
        <x:v>6000</x:v>
      </x:c>
      <x:c r="H671" s="9" t="n">
        <x:f>ROUND(D671+G671,2)</x:f>
        <x:v>60000</x:v>
      </x:c>
    </x:row>
    <x:row r="672" ht="14" customHeight="1">
      <x:c r="A672" s="1" t="n">
        <x:v>10</x:v>
      </x:c>
      <x:c r="B672" s="1" t="str">
        <x:v>6650</x:v>
      </x:c>
      <x:c r="C672" s="1" t="str">
        <x:v>Reisekosten</x:v>
      </x:c>
      <x:c r="D672" s="9" t="n">
        <x:f>H604</x:f>
        <x:v>13500</x:v>
      </x:c>
      <x:c r="E672" s="9" t="n">
        <x:f>SUMIFS('Journal'!$E$6:$E$1632,'Journal'!$D$6:$D$1632,B672,'Journal'!$C$6:$C$1632,A672)</x:f>
        <x:v>1500</x:v>
      </x:c>
      <x:c r="F672" s="9" t="n">
        <x:f>SUMIFS('Journal'!$F$6:$F$1632,'Journal'!$D$6:$D$1632,B672,'Journal'!$C$6:$C$1632,A672)</x:f>
        <x:v>0</x:v>
      </x:c>
      <x:c r="G672" s="9" t="n">
        <x:f>ROUND(E672-F672,2)</x:f>
        <x:v>1500</x:v>
      </x:c>
      <x:c r="H672" s="9" t="n">
        <x:f>ROUND(D672+G672,2)</x:f>
        <x:v>15000</x:v>
      </x:c>
    </x:row>
    <x:row r="673" ht="14" customHeight="1">
      <x:c r="A673" s="1" t="n">
        <x:v>10</x:v>
      </x:c>
      <x:c r="B673" s="1" t="str">
        <x:v>6740</x:v>
      </x:c>
      <x:c r="C673" s="1" t="str">
        <x:v>Ausgangsfrachten Inland</x:v>
      </x:c>
      <x:c r="D673" s="9" t="n">
        <x:f>H605</x:f>
        <x:v>117000</x:v>
      </x:c>
      <x:c r="E673" s="9" t="n">
        <x:f>SUMIFS('Journal'!$E$6:$E$1632,'Journal'!$D$6:$D$1632,B673,'Journal'!$C$6:$C$1632,A673)</x:f>
        <x:v>13000</x:v>
      </x:c>
      <x:c r="F673" s="9" t="n">
        <x:f>SUMIFS('Journal'!$F$6:$F$1632,'Journal'!$D$6:$D$1632,B673,'Journal'!$C$6:$C$1632,A673)</x:f>
        <x:v>0</x:v>
      </x:c>
      <x:c r="G673" s="9" t="n">
        <x:f>ROUND(E673-F673,2)</x:f>
        <x:v>13000</x:v>
      </x:c>
      <x:c r="H673" s="9" t="n">
        <x:f>ROUND(D673+G673,2)</x:f>
        <x:v>130000</x:v>
      </x:c>
    </x:row>
    <x:row r="674" ht="14" customHeight="1">
      <x:c r="A674" s="1" t="n">
        <x:v>10</x:v>
      </x:c>
      <x:c r="B674" s="1" t="str">
        <x:v>6741</x:v>
      </x:c>
      <x:c r="C674" s="1" t="str">
        <x:v>Ausgangsfrachten Ausland</x:v>
      </x:c>
      <x:c r="D674" s="9" t="n">
        <x:f>H606</x:f>
        <x:v>126000</x:v>
      </x:c>
      <x:c r="E674" s="9" t="n">
        <x:f>SUMIFS('Journal'!$E$6:$E$1632,'Journal'!$D$6:$D$1632,B674,'Journal'!$C$6:$C$1632,A674)</x:f>
        <x:v>14000</x:v>
      </x:c>
      <x:c r="F674" s="9" t="n">
        <x:f>SUMIFS('Journal'!$F$6:$F$1632,'Journal'!$D$6:$D$1632,B674,'Journal'!$C$6:$C$1632,A674)</x:f>
        <x:v>0</x:v>
      </x:c>
      <x:c r="G674" s="9" t="n">
        <x:f>ROUND(E674-F674,2)</x:f>
        <x:v>14000</x:v>
      </x:c>
      <x:c r="H674" s="9" t="n">
        <x:f>ROUND(D674+G674,2)</x:f>
        <x:v>140000</x:v>
      </x:c>
    </x:row>
    <x:row r="675" ht="14" customHeight="1">
      <x:c r="A675" s="1" t="n">
        <x:v>10</x:v>
      </x:c>
      <x:c r="B675" s="1" t="str">
        <x:v>6805</x:v>
      </x:c>
      <x:c r="C675" s="1" t="str">
        <x:v>Telekommunikation und IT</x:v>
      </x:c>
      <x:c r="D675" s="9" t="n">
        <x:f>H607</x:f>
        <x:v>31500</x:v>
      </x:c>
      <x:c r="E675" s="9" t="n">
        <x:f>SUMIFS('Journal'!$E$6:$E$1632,'Journal'!$D$6:$D$1632,B675,'Journal'!$C$6:$C$1632,A675)</x:f>
        <x:v>1500</x:v>
      </x:c>
      <x:c r="F675" s="9" t="n">
        <x:f>SUMIFS('Journal'!$F$6:$F$1632,'Journal'!$D$6:$D$1632,B675,'Journal'!$C$6:$C$1632,A675)</x:f>
        <x:v>0</x:v>
      </x:c>
      <x:c r="G675" s="9" t="n">
        <x:f>ROUND(E675-F675,2)</x:f>
        <x:v>1500</x:v>
      </x:c>
      <x:c r="H675" s="9" t="n">
        <x:f>ROUND(D675+G675,2)</x:f>
        <x:v>33000</x:v>
      </x:c>
    </x:row>
    <x:row r="676" ht="14" customHeight="1">
      <x:c r="A676" s="1" t="n">
        <x:v>10</x:v>
      </x:c>
      <x:c r="B676" s="1" t="str">
        <x:v>6825</x:v>
      </x:c>
      <x:c r="C676" s="1" t="str">
        <x:v>Rechtsberatung und Buchführung</x:v>
      </x:c>
      <x:c r="D676" s="9" t="n">
        <x:f>H608</x:f>
        <x:v>27000</x:v>
      </x:c>
      <x:c r="E676" s="9" t="n">
        <x:f>SUMIFS('Journal'!$E$6:$E$1632,'Journal'!$D$6:$D$1632,B676,'Journal'!$C$6:$C$1632,A676)</x:f>
        <x:v>3000</x:v>
      </x:c>
      <x:c r="F676" s="9" t="n">
        <x:f>SUMIFS('Journal'!$F$6:$F$1632,'Journal'!$D$6:$D$1632,B676,'Journal'!$C$6:$C$1632,A676)</x:f>
        <x:v>0</x:v>
      </x:c>
      <x:c r="G676" s="9" t="n">
        <x:f>ROUND(E676-F676,2)</x:f>
        <x:v>3000</x:v>
      </x:c>
      <x:c r="H676" s="9" t="n">
        <x:f>ROUND(D676+G676,2)</x:f>
        <x:v>30000</x:v>
      </x:c>
    </x:row>
    <x:row r="677" ht="14" customHeight="1">
      <x:c r="A677" s="1" t="n">
        <x:v>10</x:v>
      </x:c>
      <x:c r="B677" s="1" t="str">
        <x:v>6830</x:v>
      </x:c>
      <x:c r="C677" s="1" t="str">
        <x:v>Labor und Qualitätssicherung</x:v>
      </x:c>
      <x:c r="D677" s="9" t="n">
        <x:f>H609</x:f>
        <x:v>31500</x:v>
      </x:c>
      <x:c r="E677" s="9" t="n">
        <x:f>SUMIFS('Journal'!$E$6:$E$1632,'Journal'!$D$6:$D$1632,B677,'Journal'!$C$6:$C$1632,A677)</x:f>
        <x:v>3500</x:v>
      </x:c>
      <x:c r="F677" s="9" t="n">
        <x:f>SUMIFS('Journal'!$F$6:$F$1632,'Journal'!$D$6:$D$1632,B677,'Journal'!$C$6:$C$1632,A677)</x:f>
        <x:v>0</x:v>
      </x:c>
      <x:c r="G677" s="9" t="n">
        <x:f>ROUND(E677-F677,2)</x:f>
        <x:v>3500</x:v>
      </x:c>
      <x:c r="H677" s="9" t="n">
        <x:f>ROUND(D677+G677,2)</x:f>
        <x:v>35000</x:v>
      </x:c>
    </x:row>
    <x:row r="678" ht="14" customHeight="1">
      <x:c r="A678" s="1" t="n">
        <x:v>10</x:v>
      </x:c>
      <x:c r="B678" s="1" t="str">
        <x:v>6850</x:v>
      </x:c>
      <x:c r="C678" s="1" t="str">
        <x:v>Bürobedarf und übriger Aufwand</x:v>
      </x:c>
      <x:c r="D678" s="9" t="n">
        <x:f>H610</x:f>
        <x:v>18000</x:v>
      </x:c>
      <x:c r="E678" s="9" t="n">
        <x:f>SUMIFS('Journal'!$E$6:$E$1632,'Journal'!$D$6:$D$1632,B678,'Journal'!$C$6:$C$1632,A678)</x:f>
        <x:v>2000</x:v>
      </x:c>
      <x:c r="F678" s="9" t="n">
        <x:f>SUMIFS('Journal'!$F$6:$F$1632,'Journal'!$D$6:$D$1632,B678,'Journal'!$C$6:$C$1632,A678)</x:f>
        <x:v>0</x:v>
      </x:c>
      <x:c r="G678" s="9" t="n">
        <x:f>ROUND(E678-F678,2)</x:f>
        <x:v>2000</x:v>
      </x:c>
      <x:c r="H678" s="9" t="n">
        <x:f>ROUND(D678+G678,2)</x:f>
        <x:v>20000</x:v>
      </x:c>
    </x:row>
    <x:row r="679" ht="14" customHeight="1">
      <x:c r="A679" s="1" t="n">
        <x:v>10</x:v>
      </x:c>
      <x:c r="B679" s="1" t="str">
        <x:v>6855</x:v>
      </x:c>
      <x:c r="C679" s="1" t="str">
        <x:v>Zuführung Abschluss und Urlaubsrückstellungen</x:v>
      </x:c>
      <x:c r="D679" s="9" t="n">
        <x:f>H611</x:f>
        <x:v>0</x:v>
      </x:c>
      <x:c r="E679" s="9" t="n">
        <x:f>SUMIFS('Journal'!$E$6:$E$1632,'Journal'!$D$6:$D$1632,B679,'Journal'!$C$6:$C$1632,A679)</x:f>
        <x:v>0</x:v>
      </x:c>
      <x:c r="F679" s="9" t="n">
        <x:f>SUMIFS('Journal'!$F$6:$F$1632,'Journal'!$D$6:$D$1632,B679,'Journal'!$C$6:$C$1632,A679)</x:f>
        <x:v>0</x:v>
      </x:c>
      <x:c r="G679" s="9" t="n">
        <x:f>ROUND(E679-F679,2)</x:f>
        <x:v>0</x:v>
      </x:c>
      <x:c r="H679" s="9" t="n">
        <x:f>ROUND(D679+G679,2)</x:f>
        <x:v>0</x:v>
      </x:c>
    </x:row>
    <x:row r="680" ht="14" customHeight="1">
      <x:c r="A680" s="1" t="n">
        <x:v>10</x:v>
      </x:c>
      <x:c r="B680" s="1" t="str">
        <x:v>6859</x:v>
      </x:c>
      <x:c r="C680" s="1" t="str">
        <x:v>Bankgebühren</x:v>
      </x:c>
      <x:c r="D680" s="9" t="n">
        <x:f>H612</x:f>
        <x:v>4500</x:v>
      </x:c>
      <x:c r="E680" s="9" t="n">
        <x:f>SUMIFS('Journal'!$E$6:$E$1632,'Journal'!$D$6:$D$1632,B680,'Journal'!$C$6:$C$1632,A680)</x:f>
        <x:v>500</x:v>
      </x:c>
      <x:c r="F680" s="9" t="n">
        <x:f>SUMIFS('Journal'!$F$6:$F$1632,'Journal'!$D$6:$D$1632,B680,'Journal'!$C$6:$C$1632,A680)</x:f>
        <x:v>0</x:v>
      </x:c>
      <x:c r="G680" s="9" t="n">
        <x:f>ROUND(E680-F680,2)</x:f>
        <x:v>500</x:v>
      </x:c>
      <x:c r="H680" s="9" t="n">
        <x:f>ROUND(D680+G680,2)</x:f>
        <x:v>5000</x:v>
      </x:c>
    </x:row>
    <x:row r="681" ht="14" customHeight="1">
      <x:c r="A681" s="1" t="n">
        <x:v>10</x:v>
      </x:c>
      <x:c r="B681" s="1" t="str">
        <x:v>6950</x:v>
      </x:c>
      <x:c r="C681" s="1" t="str">
        <x:v>Zuführung Einzelwertberichtigungen</x:v>
      </x:c>
      <x:c r="D681" s="9" t="n">
        <x:f>H613</x:f>
        <x:v>0</x:v>
      </x:c>
      <x:c r="E681" s="9" t="n">
        <x:f>SUMIFS('Journal'!$E$6:$E$1632,'Journal'!$D$6:$D$1632,B681,'Journal'!$C$6:$C$1632,A681)</x:f>
        <x:v>0</x:v>
      </x:c>
      <x:c r="F681" s="9" t="n">
        <x:f>SUMIFS('Journal'!$F$6:$F$1632,'Journal'!$D$6:$D$1632,B681,'Journal'!$C$6:$C$1632,A681)</x:f>
        <x:v>0</x:v>
      </x:c>
      <x:c r="G681" s="9" t="n">
        <x:f>ROUND(E681-F681,2)</x:f>
        <x:v>0</x:v>
      </x:c>
      <x:c r="H681" s="9" t="n">
        <x:f>ROUND(D681+G681,2)</x:f>
        <x:v>0</x:v>
      </x:c>
    </x:row>
    <x:row r="682" ht="14" customHeight="1">
      <x:c r="A682" s="1" t="n">
        <x:v>10</x:v>
      </x:c>
      <x:c r="B682" s="1" t="str">
        <x:v>7300</x:v>
      </x:c>
      <x:c r="C682" s="1" t="str">
        <x:v>Zinsen Investitionsdarlehen</x:v>
      </x:c>
      <x:c r="D682" s="9" t="n">
        <x:f>H614</x:f>
        <x:v>22500</x:v>
      </x:c>
      <x:c r="E682" s="9" t="n">
        <x:f>SUMIFS('Journal'!$E$6:$E$1632,'Journal'!$D$6:$D$1632,B682,'Journal'!$C$6:$C$1632,A682)</x:f>
        <x:v>2500</x:v>
      </x:c>
      <x:c r="F682" s="9" t="n">
        <x:f>SUMIFS('Journal'!$F$6:$F$1632,'Journal'!$D$6:$D$1632,B682,'Journal'!$C$6:$C$1632,A682)</x:f>
        <x:v>0</x:v>
      </x:c>
      <x:c r="G682" s="9" t="n">
        <x:f>ROUND(E682-F682,2)</x:f>
        <x:v>2500</x:v>
      </x:c>
      <x:c r="H682" s="9" t="n">
        <x:f>ROUND(D682+G682,2)</x:f>
        <x:v>25000</x:v>
      </x:c>
    </x:row>
    <x:row r="683" ht="14" customHeight="1">
      <x:c r="A683" s="1" t="n">
        <x:v>10</x:v>
      </x:c>
      <x:c r="B683" s="1" t="str">
        <x:v>7310</x:v>
      </x:c>
      <x:c r="C683" s="1" t="str">
        <x:v>Zinsen Kontokorrent</x:v>
      </x:c>
      <x:c r="D683" s="9" t="n">
        <x:f>H615</x:f>
        <x:v>9000</x:v>
      </x:c>
      <x:c r="E683" s="9" t="n">
        <x:f>SUMIFS('Journal'!$E$6:$E$1632,'Journal'!$D$6:$D$1632,B683,'Journal'!$C$6:$C$1632,A683)</x:f>
        <x:v>1000</x:v>
      </x:c>
      <x:c r="F683" s="9" t="n">
        <x:f>SUMIFS('Journal'!$F$6:$F$1632,'Journal'!$D$6:$D$1632,B683,'Journal'!$C$6:$C$1632,A683)</x:f>
        <x:v>0</x:v>
      </x:c>
      <x:c r="G683" s="9" t="n">
        <x:f>ROUND(E683-F683,2)</x:f>
        <x:v>1000</x:v>
      </x:c>
      <x:c r="H683" s="9" t="n">
        <x:f>ROUND(D683+G683,2)</x:f>
        <x:v>10000</x:v>
      </x:c>
    </x:row>
    <x:row r="684" ht="14" customHeight="1">
      <x:c r="A684" s="1" t="n">
        <x:v>10</x:v>
      </x:c>
      <x:c r="B684" s="1" t="str">
        <x:v>7320</x:v>
      </x:c>
      <x:c r="C684" s="1" t="str">
        <x:v>Zinsen Gesellschafterdarlehen</x:v>
      </x:c>
      <x:c r="D684" s="9" t="n">
        <x:f>H616</x:f>
        <x:v>0</x:v>
      </x:c>
      <x:c r="E684" s="9" t="n">
        <x:f>SUMIFS('Journal'!$E$6:$E$1632,'Journal'!$D$6:$D$1632,B684,'Journal'!$C$6:$C$1632,A684)</x:f>
        <x:v>0</x:v>
      </x:c>
      <x:c r="F684" s="9" t="n">
        <x:f>SUMIFS('Journal'!$F$6:$F$1632,'Journal'!$D$6:$D$1632,B684,'Journal'!$C$6:$C$1632,A684)</x:f>
        <x:v>0</x:v>
      </x:c>
      <x:c r="G684" s="9" t="n">
        <x:f>ROUND(E684-F684,2)</x:f>
        <x:v>0</x:v>
      </x:c>
      <x:c r="H684" s="9" t="n">
        <x:f>ROUND(D684+G684,2)</x:f>
        <x:v>0</x:v>
      </x:c>
    </x:row>
    <x:row r="685" ht="14" customHeight="1">
      <x:c r="A685" s="1" t="n">
        <x:v>10</x:v>
      </x:c>
      <x:c r="B685" s="1" t="str">
        <x:v>7600</x:v>
      </x:c>
      <x:c r="C685" s="1" t="str">
        <x:v>Ertragsteueraufwand</x:v>
      </x:c>
      <x:c r="D685" s="9" t="n">
        <x:f>H617</x:f>
        <x:v>0</x:v>
      </x:c>
      <x:c r="E685" s="9" t="n">
        <x:f>SUMIFS('Journal'!$E$6:$E$1632,'Journal'!$D$6:$D$1632,B685,'Journal'!$C$6:$C$1632,A685)</x:f>
        <x:v>0</x:v>
      </x:c>
      <x:c r="F685" s="9" t="n">
        <x:f>SUMIFS('Journal'!$F$6:$F$1632,'Journal'!$D$6:$D$1632,B685,'Journal'!$C$6:$C$1632,A685)</x:f>
        <x:v>0</x:v>
      </x:c>
      <x:c r="G685" s="9" t="n">
        <x:f>ROUND(E685-F685,2)</x:f>
        <x:v>0</x:v>
      </x:c>
      <x:c r="H685" s="9" t="n">
        <x:f>ROUND(D685+G685,2)</x:f>
        <x:v>0</x:v>
      </x:c>
    </x:row>
    <x:row r="686" ht="14" customHeight="1">
      <x:c r="A686" s="1" t="n">
        <x:v>11</x:v>
      </x:c>
      <x:c r="B686" s="1" t="str">
        <x:v>0100</x:v>
      </x:c>
      <x:c r="C686" s="1" t="str">
        <x:v>Software</x:v>
      </x:c>
      <x:c r="D686" s="9" t="n">
        <x:f>H618</x:f>
        <x:v>15000</x:v>
      </x:c>
      <x:c r="E686" s="9" t="n">
        <x:f>SUMIFS('Journal'!$E$6:$E$1632,'Journal'!$D$6:$D$1632,B686,'Journal'!$C$6:$C$1632,A686)</x:f>
        <x:v>0</x:v>
      </x:c>
      <x:c r="F686" s="9" t="n">
        <x:f>SUMIFS('Journal'!$F$6:$F$1632,'Journal'!$D$6:$D$1632,B686,'Journal'!$C$6:$C$1632,A686)</x:f>
        <x:v>500</x:v>
      </x:c>
      <x:c r="G686" s="9" t="n">
        <x:f>ROUND(E686-F686,2)</x:f>
        <x:v>-500</x:v>
      </x:c>
      <x:c r="H686" s="9" t="n">
        <x:f>ROUND(D686+G686,2)</x:f>
        <x:v>14500</x:v>
      </x:c>
    </x:row>
    <x:row r="687" ht="14" customHeight="1">
      <x:c r="A687" s="1" t="n">
        <x:v>11</x:v>
      </x:c>
      <x:c r="B687" s="1" t="str">
        <x:v>0400</x:v>
      </x:c>
      <x:c r="C687" s="1" t="str">
        <x:v>Lagereinbauten Erlangen</x:v>
      </x:c>
      <x:c r="D687" s="9" t="n">
        <x:f>H619</x:f>
        <x:v>215000</x:v>
      </x:c>
      <x:c r="E687" s="9" t="n">
        <x:f>SUMIFS('Journal'!$E$6:$E$1632,'Journal'!$D$6:$D$1632,B687,'Journal'!$C$6:$C$1632,A687)</x:f>
        <x:v>0</x:v>
      </x:c>
      <x:c r="F687" s="9" t="n">
        <x:f>SUMIFS('Journal'!$F$6:$F$1632,'Journal'!$D$6:$D$1632,B687,'Journal'!$C$6:$C$1632,A687)</x:f>
        <x:v>2500</x:v>
      </x:c>
      <x:c r="G687" s="9" t="n">
        <x:f>ROUND(E687-F687,2)</x:f>
        <x:v>-2500</x:v>
      </x:c>
      <x:c r="H687" s="9" t="n">
        <x:f>ROUND(D687+G687,2)</x:f>
        <x:v>212500</x:v>
      </x:c>
    </x:row>
    <x:row r="688" ht="14" customHeight="1">
      <x:c r="A688" s="1" t="n">
        <x:v>11</x:v>
      </x:c>
      <x:c r="B688" s="1" t="str">
        <x:v>0520</x:v>
      </x:c>
      <x:c r="C688" s="1" t="str">
        <x:v>Flurförderzeuge</x:v>
      </x:c>
      <x:c r="D688" s="9" t="n">
        <x:f>H620</x:f>
        <x:v>121000</x:v>
      </x:c>
      <x:c r="E688" s="9" t="n">
        <x:f>SUMIFS('Journal'!$E$6:$E$1632,'Journal'!$D$6:$D$1632,B688,'Journal'!$C$6:$C$1632,A688)</x:f>
        <x:v>0</x:v>
      </x:c>
      <x:c r="F688" s="9" t="n">
        <x:f>SUMIFS('Journal'!$F$6:$F$1632,'Journal'!$D$6:$D$1632,B688,'Journal'!$C$6:$C$1632,A688)</x:f>
        <x:v>1500</x:v>
      </x:c>
      <x:c r="G688" s="9" t="n">
        <x:f>ROUND(E688-F688,2)</x:f>
        <x:v>-1500</x:v>
      </x:c>
      <x:c r="H688" s="9" t="n">
        <x:f>ROUND(D688+G688,2)</x:f>
        <x:v>119500</x:v>
      </x:c>
    </x:row>
    <x:row r="689" ht="14" customHeight="1">
      <x:c r="A689" s="1" t="n">
        <x:v>11</x:v>
      </x:c>
      <x:c r="B689" s="1" t="str">
        <x:v>0650</x:v>
      </x:c>
      <x:c r="C689" s="1" t="str">
        <x:v>IT und Kommunikation</x:v>
      </x:c>
      <x:c r="D689" s="9" t="n">
        <x:f>H621</x:f>
        <x:v>84000</x:v>
      </x:c>
      <x:c r="E689" s="9" t="n">
        <x:f>SUMIFS('Journal'!$E$6:$E$1632,'Journal'!$D$6:$D$1632,B689,'Journal'!$C$6:$C$1632,A689)</x:f>
        <x:v>0</x:v>
      </x:c>
      <x:c r="F689" s="9" t="n">
        <x:f>SUMIFS('Journal'!$F$6:$F$1632,'Journal'!$D$6:$D$1632,B689,'Journal'!$C$6:$C$1632,A689)</x:f>
        <x:v>2000</x:v>
      </x:c>
      <x:c r="G689" s="9" t="n">
        <x:f>ROUND(E689-F689,2)</x:f>
        <x:v>-2000</x:v>
      </x:c>
      <x:c r="H689" s="9" t="n">
        <x:f>ROUND(D689+G689,2)</x:f>
        <x:v>82000</x:v>
      </x:c>
    </x:row>
    <x:row r="690" ht="14" customHeight="1">
      <x:c r="A690" s="1" t="n">
        <x:v>11</x:v>
      </x:c>
      <x:c r="B690" s="1" t="str">
        <x:v>0670</x:v>
      </x:c>
      <x:c r="C690" s="1" t="str">
        <x:v>Büroausstattung</x:v>
      </x:c>
      <x:c r="D690" s="9" t="n">
        <x:f>H622</x:f>
        <x:v>50000</x:v>
      </x:c>
      <x:c r="E690" s="9" t="n">
        <x:f>SUMIFS('Journal'!$E$6:$E$1632,'Journal'!$D$6:$D$1632,B690,'Journal'!$C$6:$C$1632,A690)</x:f>
        <x:v>0</x:v>
      </x:c>
      <x:c r="F690" s="9" t="n">
        <x:f>SUMIFS('Journal'!$F$6:$F$1632,'Journal'!$D$6:$D$1632,B690,'Journal'!$C$6:$C$1632,A690)</x:f>
        <x:v>1000</x:v>
      </x:c>
      <x:c r="G690" s="9" t="n">
        <x:f>ROUND(E690-F690,2)</x:f>
        <x:v>-1000</x:v>
      </x:c>
      <x:c r="H690" s="9" t="n">
        <x:f>ROUND(D690+G690,2)</x:f>
        <x:v>49000</x:v>
      </x:c>
    </x:row>
    <x:row r="691" ht="14" customHeight="1">
      <x:c r="A691" s="1" t="n">
        <x:v>11</x:v>
      </x:c>
      <x:c r="B691" s="1" t="str">
        <x:v>1140</x:v>
      </x:c>
      <x:c r="C691" s="1" t="str">
        <x:v>Warenbestand</x:v>
      </x:c>
      <x:c r="D691" s="9" t="n">
        <x:f>H623</x:f>
        <x:v>760000</x:v>
      </x:c>
      <x:c r="E691" s="9" t="n">
        <x:f>SUMIFS('Journal'!$E$6:$E$1632,'Journal'!$D$6:$D$1632,B691,'Journal'!$C$6:$C$1632,A691)</x:f>
        <x:v>571127.5</x:v>
      </x:c>
      <x:c r="F691" s="9" t="n">
        <x:f>SUMIFS('Journal'!$F$6:$F$1632,'Journal'!$D$6:$D$1632,B691,'Journal'!$C$6:$C$1632,A691)</x:f>
        <x:v>511127.5</x:v>
      </x:c>
      <x:c r="G691" s="9" t="n">
        <x:f>ROUND(E691-F691,2)</x:f>
        <x:v>60000</x:v>
      </x:c>
      <x:c r="H691" s="9" t="n">
        <x:f>ROUND(D691+G691,2)</x:f>
        <x:v>820000</x:v>
      </x:c>
    </x:row>
    <x:row r="692" ht="14" customHeight="1">
      <x:c r="A692" s="1" t="n">
        <x:v>11</x:v>
      </x:c>
      <x:c r="B692" s="1" t="str">
        <x:v>1200</x:v>
      </x:c>
      <x:c r="C692" s="1" t="str">
        <x:v>Forderungen aus Lieferungen und Leistungen</x:v>
      </x:c>
      <x:c r="D692" s="9" t="n">
        <x:f>H624</x:f>
        <x:v>850000</x:v>
      </x:c>
      <x:c r="E692" s="9" t="n">
        <x:f>SUMIFS('Journal'!$E$6:$E$1632,'Journal'!$D$6:$D$1632,B692,'Journal'!$C$6:$C$1632,A692)</x:f>
        <x:v>834556</x:v>
      </x:c>
      <x:c r="F692" s="9" t="n">
        <x:f>SUMIFS('Journal'!$F$6:$F$1632,'Journal'!$D$6:$D$1632,B692,'Journal'!$C$6:$C$1632,A692)</x:f>
        <x:v>804556</x:v>
      </x:c>
      <x:c r="G692" s="9" t="n">
        <x:f>ROUND(E692-F692,2)</x:f>
        <x:v>30000</x:v>
      </x:c>
      <x:c r="H692" s="9" t="n">
        <x:f>ROUND(D692+G692,2)</x:f>
        <x:v>880000</x:v>
      </x:c>
    </x:row>
    <x:row r="693" ht="14" customHeight="1">
      <x:c r="A693" s="1" t="n">
        <x:v>11</x:v>
      </x:c>
      <x:c r="B693" s="1" t="str">
        <x:v>1248</x:v>
      </x:c>
      <x:c r="C693" s="1" t="str">
        <x:v>Einzelwertberichtigungen zu Forderungen</x:v>
      </x:c>
      <x:c r="D693" s="9" t="n">
        <x:f>H625</x:f>
        <x:v>-20000</x:v>
      </x:c>
      <x:c r="E693" s="9" t="n">
        <x:f>SUMIFS('Journal'!$E$6:$E$1632,'Journal'!$D$6:$D$1632,B693,'Journal'!$C$6:$C$1632,A693)</x:f>
        <x:v>0</x:v>
      </x:c>
      <x:c r="F693" s="9" t="n">
        <x:f>SUMIFS('Journal'!$F$6:$F$1632,'Journal'!$D$6:$D$1632,B693,'Journal'!$C$6:$C$1632,A693)</x:f>
        <x:v>0</x:v>
      </x:c>
      <x:c r="G693" s="9" t="n">
        <x:f>ROUND(E693-F693,2)</x:f>
        <x:v>0</x:v>
      </x:c>
      <x:c r="H693" s="9" t="n">
        <x:f>ROUND(D693+G693,2)</x:f>
        <x:v>-20000</x:v>
      </x:c>
    </x:row>
    <x:row r="694" ht="14" customHeight="1">
      <x:c r="A694" s="1" t="n">
        <x:v>11</x:v>
      </x:c>
      <x:c r="B694" s="1" t="str">
        <x:v>1300</x:v>
      </x:c>
      <x:c r="C694" s="1" t="str">
        <x:v>Geleistete Lieferantenanzahlungen</x:v>
      </x:c>
      <x:c r="D694" s="9" t="n">
        <x:f>H626</x:f>
        <x:v>100000</x:v>
      </x:c>
      <x:c r="E694" s="9" t="n">
        <x:f>SUMIFS('Journal'!$E$6:$E$1632,'Journal'!$D$6:$D$1632,B694,'Journal'!$C$6:$C$1632,A694)</x:f>
        <x:v>0</x:v>
      </x:c>
      <x:c r="F694" s="9" t="n">
        <x:f>SUMIFS('Journal'!$F$6:$F$1632,'Journal'!$D$6:$D$1632,B694,'Journal'!$C$6:$C$1632,A694)</x:f>
        <x:v>0</x:v>
      </x:c>
      <x:c r="G694" s="9" t="n">
        <x:f>ROUND(E694-F694,2)</x:f>
        <x:v>0</x:v>
      </x:c>
      <x:c r="H694" s="9" t="n">
        <x:f>ROUND(D694+G694,2)</x:f>
        <x:v>100000</x:v>
      </x:c>
    </x:row>
    <x:row r="695" ht="14" customHeight="1">
      <x:c r="A695" s="1" t="n">
        <x:v>11</x:v>
      </x:c>
      <x:c r="B695" s="1" t="str">
        <x:v>1350</x:v>
      </x:c>
      <x:c r="C695" s="1" t="str">
        <x:v>Mietkaution Erlangen</x:v>
      </x:c>
      <x:c r="D695" s="9" t="n">
        <x:f>H627</x:f>
        <x:v>25000</x:v>
      </x:c>
      <x:c r="E695" s="9" t="n">
        <x:f>SUMIFS('Journal'!$E$6:$E$1632,'Journal'!$D$6:$D$1632,B695,'Journal'!$C$6:$C$1632,A695)</x:f>
        <x:v>0</x:v>
      </x:c>
      <x:c r="F695" s="9" t="n">
        <x:f>SUMIFS('Journal'!$F$6:$F$1632,'Journal'!$D$6:$D$1632,B695,'Journal'!$C$6:$C$1632,A695)</x:f>
        <x:v>0</x:v>
      </x:c>
      <x:c r="G695" s="9" t="n">
        <x:f>ROUND(E695-F695,2)</x:f>
        <x:v>0</x:v>
      </x:c>
      <x:c r="H695" s="9" t="n">
        <x:f>ROUND(D695+G695,2)</x:f>
        <x:v>25000</x:v>
      </x:c>
    </x:row>
    <x:row r="696" ht="14" customHeight="1">
      <x:c r="A696" s="1" t="n">
        <x:v>11</x:v>
      </x:c>
      <x:c r="B696" s="1" t="str">
        <x:v>1401</x:v>
      </x:c>
      <x:c r="C696" s="1" t="str">
        <x:v>Vorsteuer Inland 7 Prozent</x:v>
      </x:c>
      <x:c r="D696" s="9" t="n">
        <x:f>H628</x:f>
        <x:v>0</x:v>
      </x:c>
      <x:c r="E696" s="9" t="n">
        <x:f>SUMIFS('Journal'!$E$6:$E$1632,'Journal'!$D$6:$D$1632,B696,'Journal'!$C$6:$C$1632,A696)</x:f>
        <x:v>15191.99</x:v>
      </x:c>
      <x:c r="F696" s="9" t="n">
        <x:f>SUMIFS('Journal'!$F$6:$F$1632,'Journal'!$D$6:$D$1632,B696,'Journal'!$C$6:$C$1632,A696)</x:f>
        <x:v>15191.99</x:v>
      </x:c>
      <x:c r="G696" s="9" t="n">
        <x:f>ROUND(E696-F696,2)</x:f>
        <x:v>0</x:v>
      </x:c>
      <x:c r="H696" s="9" t="n">
        <x:f>ROUND(D696+G696,2)</x:f>
        <x:v>0</x:v>
      </x:c>
    </x:row>
    <x:row r="697" ht="14" customHeight="1">
      <x:c r="A697" s="1" t="n">
        <x:v>11</x:v>
      </x:c>
      <x:c r="B697" s="1" t="str">
        <x:v>1406</x:v>
      </x:c>
      <x:c r="C697" s="1" t="str">
        <x:v>Vorsteuer Inland 19 Prozent</x:v>
      </x:c>
      <x:c r="D697" s="9" t="n">
        <x:f>H629</x:f>
        <x:v>0</x:v>
      </x:c>
      <x:c r="E697" s="9" t="n">
        <x:f>SUMIFS('Journal'!$E$6:$E$1632,'Journal'!$D$6:$D$1632,B697,'Journal'!$C$6:$C$1632,A697)</x:f>
        <x:v>21181</x:v>
      </x:c>
      <x:c r="F697" s="9" t="n">
        <x:f>SUMIFS('Journal'!$F$6:$F$1632,'Journal'!$D$6:$D$1632,B697,'Journal'!$C$6:$C$1632,A697)</x:f>
        <x:v>21181</x:v>
      </x:c>
      <x:c r="G697" s="9" t="n">
        <x:f>ROUND(E697-F697,2)</x:f>
        <x:v>0</x:v>
      </x:c>
      <x:c r="H697" s="9" t="n">
        <x:f>ROUND(D697+G697,2)</x:f>
        <x:v>0</x:v>
      </x:c>
    </x:row>
    <x:row r="698" ht="14" customHeight="1">
      <x:c r="A698" s="1" t="n">
        <x:v>11</x:v>
      </x:c>
      <x:c r="B698" s="1" t="str">
        <x:v>1404</x:v>
      </x:c>
      <x:c r="C698" s="1" t="str">
        <x:v>Vorsteuer EU Erwerb 7 Prozent</x:v>
      </x:c>
      <x:c r="D698" s="9" t="n">
        <x:f>H630</x:f>
        <x:v>0</x:v>
      </x:c>
      <x:c r="E698" s="9" t="n">
        <x:f>SUMIFS('Journal'!$E$6:$E$1632,'Journal'!$D$6:$D$1632,B698,'Journal'!$C$6:$C$1632,A698)</x:f>
        <x:v>7995.79</x:v>
      </x:c>
      <x:c r="F698" s="9" t="n">
        <x:f>SUMIFS('Journal'!$F$6:$F$1632,'Journal'!$D$6:$D$1632,B698,'Journal'!$C$6:$C$1632,A698)</x:f>
        <x:v>7995.79</x:v>
      </x:c>
      <x:c r="G698" s="9" t="n">
        <x:f>ROUND(E698-F698,2)</x:f>
        <x:v>0</x:v>
      </x:c>
      <x:c r="H698" s="9" t="n">
        <x:f>ROUND(D698+G698,2)</x:f>
        <x:v>0</x:v>
      </x:c>
    </x:row>
    <x:row r="699" ht="14" customHeight="1">
      <x:c r="A699" s="1" t="n">
        <x:v>11</x:v>
      </x:c>
      <x:c r="B699" s="1" t="str">
        <x:v>1409</x:v>
      </x:c>
      <x:c r="C699" s="1" t="str">
        <x:v>Vorsteuer EU Erwerb 19 Prozent</x:v>
      </x:c>
      <x:c r="D699" s="9" t="n">
        <x:f>H631</x:f>
        <x:v>0</x:v>
      </x:c>
      <x:c r="E699" s="9" t="n">
        <x:f>SUMIFS('Journal'!$E$6:$E$1632,'Journal'!$D$6:$D$1632,B699,'Journal'!$C$6:$C$1632,A699)</x:f>
        <x:v>5425.71</x:v>
      </x:c>
      <x:c r="F699" s="9" t="n">
        <x:f>SUMIFS('Journal'!$F$6:$F$1632,'Journal'!$D$6:$D$1632,B699,'Journal'!$C$6:$C$1632,A699)</x:f>
        <x:v>5425.71</x:v>
      </x:c>
      <x:c r="G699" s="9" t="n">
        <x:f>ROUND(E699-F699,2)</x:f>
        <x:v>0</x:v>
      </x:c>
      <x:c r="H699" s="9" t="n">
        <x:f>ROUND(D699+G699,2)</x:f>
        <x:v>0</x:v>
      </x:c>
    </x:row>
    <x:row r="700" ht="14" customHeight="1">
      <x:c r="A700" s="1" t="n">
        <x:v>11</x:v>
      </x:c>
      <x:c r="B700" s="1" t="str">
        <x:v>1433</x:v>
      </x:c>
      <x:c r="C700" s="1" t="str">
        <x:v>Einfuhrumsatzsteuer</x:v>
      </x:c>
      <x:c r="D700" s="9" t="n">
        <x:f>H632</x:f>
        <x:v>0</x:v>
      </x:c>
      <x:c r="E700" s="9" t="n">
        <x:f>SUMIFS('Journal'!$E$6:$E$1632,'Journal'!$D$6:$D$1632,B700,'Journal'!$C$6:$C$1632,A700)</x:f>
        <x:v>14049.74</x:v>
      </x:c>
      <x:c r="F700" s="9" t="n">
        <x:f>SUMIFS('Journal'!$F$6:$F$1632,'Journal'!$D$6:$D$1632,B700,'Journal'!$C$6:$C$1632,A700)</x:f>
        <x:v>14049.74</x:v>
      </x:c>
      <x:c r="G700" s="9" t="n">
        <x:f>ROUND(E700-F700,2)</x:f>
        <x:v>0</x:v>
      </x:c>
      <x:c r="H700" s="9" t="n">
        <x:f>ROUND(D700+G700,2)</x:f>
        <x:v>0</x:v>
      </x:c>
    </x:row>
    <x:row r="701" ht="14" customHeight="1">
      <x:c r="A701" s="1" t="n">
        <x:v>11</x:v>
      </x:c>
      <x:c r="B701" s="1" t="str">
        <x:v>1600</x:v>
      </x:c>
      <x:c r="C701" s="1" t="str">
        <x:v>Kasse</x:v>
      </x:c>
      <x:c r="D701" s="9" t="n">
        <x:f>H633</x:f>
        <x:v>3000</x:v>
      </x:c>
      <x:c r="E701" s="9" t="n">
        <x:f>SUMIFS('Journal'!$E$6:$E$1632,'Journal'!$D$6:$D$1632,B701,'Journal'!$C$6:$C$1632,A701)</x:f>
        <x:v>300</x:v>
      </x:c>
      <x:c r="F701" s="9" t="n">
        <x:f>SUMIFS('Journal'!$F$6:$F$1632,'Journal'!$D$6:$D$1632,B701,'Journal'!$C$6:$C$1632,A701)</x:f>
        <x:v>300</x:v>
      </x:c>
      <x:c r="G701" s="9" t="n">
        <x:f>ROUND(E701-F701,2)</x:f>
        <x:v>0</x:v>
      </x:c>
      <x:c r="H701" s="9" t="n">
        <x:f>ROUND(D701+G701,2)</x:f>
        <x:v>3000</x:v>
      </x:c>
    </x:row>
    <x:row r="702" ht="14" customHeight="1">
      <x:c r="A702" s="1" t="n">
        <x:v>11</x:v>
      </x:c>
      <x:c r="B702" s="1" t="str">
        <x:v>1800</x:v>
      </x:c>
      <x:c r="C702" s="1" t="str">
        <x:v>Bank Frankenbogen Geschäftskonto</x:v>
      </x:c>
      <x:c r="D702" s="9" t="n">
        <x:f>H634</x:f>
        <x:v>122479.99</x:v>
      </x:c>
      <x:c r="E702" s="9" t="n">
        <x:f>SUMIFS('Journal'!$E$6:$E$1632,'Journal'!$D$6:$D$1632,B702,'Journal'!$C$6:$C$1632,A702)</x:f>
        <x:v>806285.21</x:v>
      </x:c>
      <x:c r="F702" s="9" t="n">
        <x:f>SUMIFS('Journal'!$F$6:$F$1632,'Journal'!$D$6:$D$1632,B702,'Journal'!$C$6:$C$1632,A702)</x:f>
        <x:v>793550.23</x:v>
      </x:c>
      <x:c r="G702" s="9" t="n">
        <x:f>ROUND(E702-F702,2)</x:f>
        <x:v>12734.98</x:v>
      </x:c>
      <x:c r="H702" s="9" t="n">
        <x:f>ROUND(D702+G702,2)</x:f>
        <x:v>135214.97</x:v>
      </x:c>
    </x:row>
    <x:row r="703" ht="14" customHeight="1">
      <x:c r="A703" s="1" t="n">
        <x:v>11</x:v>
      </x:c>
      <x:c r="B703" s="1" t="str">
        <x:v>1900</x:v>
      </x:c>
      <x:c r="C703" s="1" t="str">
        <x:v>Aktive Rechnungsabgrenzung</x:v>
      </x:c>
      <x:c r="D703" s="9" t="n">
        <x:f>H635</x:f>
        <x:v>0</x:v>
      </x:c>
      <x:c r="E703" s="9" t="n">
        <x:f>SUMIFS('Journal'!$E$6:$E$1632,'Journal'!$D$6:$D$1632,B703,'Journal'!$C$6:$C$1632,A703)</x:f>
        <x:v>0</x:v>
      </x:c>
      <x:c r="F703" s="9" t="n">
        <x:f>SUMIFS('Journal'!$F$6:$F$1632,'Journal'!$D$6:$D$1632,B703,'Journal'!$C$6:$C$1632,A703)</x:f>
        <x:v>0</x:v>
      </x:c>
      <x:c r="G703" s="9" t="n">
        <x:f>ROUND(E703-F703,2)</x:f>
        <x:v>0</x:v>
      </x:c>
      <x:c r="H703" s="9" t="n">
        <x:f>ROUND(D703+G703,2)</x:f>
        <x:v>0</x:v>
      </x:c>
    </x:row>
    <x:row r="704" ht="14" customHeight="1">
      <x:c r="A704" s="1" t="n">
        <x:v>11</x:v>
      </x:c>
      <x:c r="B704" s="1" t="str">
        <x:v>2900</x:v>
      </x:c>
      <x:c r="C704" s="1" t="str">
        <x:v>Gezeichnetes Kapital</x:v>
      </x:c>
      <x:c r="D704" s="9" t="n">
        <x:f>H636</x:f>
        <x:v>-100000</x:v>
      </x:c>
      <x:c r="E704" s="9" t="n">
        <x:f>SUMIFS('Journal'!$E$6:$E$1632,'Journal'!$D$6:$D$1632,B704,'Journal'!$C$6:$C$1632,A704)</x:f>
        <x:v>0</x:v>
      </x:c>
      <x:c r="F704" s="9" t="n">
        <x:f>SUMIFS('Journal'!$F$6:$F$1632,'Journal'!$D$6:$D$1632,B704,'Journal'!$C$6:$C$1632,A704)</x:f>
        <x:v>0</x:v>
      </x:c>
      <x:c r="G704" s="9" t="n">
        <x:f>ROUND(E704-F704,2)</x:f>
        <x:v>0</x:v>
      </x:c>
      <x:c r="H704" s="9" t="n">
        <x:f>ROUND(D704+G704,2)</x:f>
        <x:v>-100000</x:v>
      </x:c>
    </x:row>
    <x:row r="705" ht="14" customHeight="1">
      <x:c r="A705" s="1" t="n">
        <x:v>11</x:v>
      </x:c>
      <x:c r="B705" s="1" t="str">
        <x:v>2970</x:v>
      </x:c>
      <x:c r="C705" s="1" t="str">
        <x:v>Gewinnvortrag bis 2023</x:v>
      </x:c>
      <x:c r="D705" s="9" t="n">
        <x:f>H637</x:f>
        <x:v>-705000</x:v>
      </x:c>
      <x:c r="E705" s="9" t="n">
        <x:f>SUMIFS('Journal'!$E$6:$E$1632,'Journal'!$D$6:$D$1632,B705,'Journal'!$C$6:$C$1632,A705)</x:f>
        <x:v>0</x:v>
      </x:c>
      <x:c r="F705" s="9" t="n">
        <x:f>SUMIFS('Journal'!$F$6:$F$1632,'Journal'!$D$6:$D$1632,B705,'Journal'!$C$6:$C$1632,A705)</x:f>
        <x:v>0</x:v>
      </x:c>
      <x:c r="G705" s="9" t="n">
        <x:f>ROUND(E705-F705,2)</x:f>
        <x:v>0</x:v>
      </x:c>
      <x:c r="H705" s="9" t="n">
        <x:f>ROUND(D705+G705,2)</x:f>
        <x:v>-705000</x:v>
      </x:c>
    </x:row>
    <x:row r="706" ht="14" customHeight="1">
      <x:c r="A706" s="1" t="n">
        <x:v>11</x:v>
      </x:c>
      <x:c r="B706" s="1" t="str">
        <x:v>2978</x:v>
      </x:c>
      <x:c r="C706" s="1" t="str">
        <x:v>Ergebnisvortrag 2024</x:v>
      </x:c>
      <x:c r="D706" s="9" t="n">
        <x:f>H638</x:f>
        <x:v>0</x:v>
      </x:c>
      <x:c r="E706" s="9" t="n">
        <x:f>SUMIFS('Journal'!$E$6:$E$1632,'Journal'!$D$6:$D$1632,B706,'Journal'!$C$6:$C$1632,A706)</x:f>
        <x:v>0</x:v>
      </x:c>
      <x:c r="F706" s="9" t="n">
        <x:f>SUMIFS('Journal'!$F$6:$F$1632,'Journal'!$D$6:$D$1632,B706,'Journal'!$C$6:$C$1632,A706)</x:f>
        <x:v>0</x:v>
      </x:c>
      <x:c r="G706" s="9" t="n">
        <x:f>ROUND(E706-F706,2)</x:f>
        <x:v>0</x:v>
      </x:c>
      <x:c r="H706" s="9" t="n">
        <x:f>ROUND(D706+G706,2)</x:f>
        <x:v>0</x:v>
      </x:c>
    </x:row>
    <x:row r="707" ht="14" customHeight="1">
      <x:c r="A707" s="1" t="n">
        <x:v>11</x:v>
      </x:c>
      <x:c r="B707" s="1" t="str">
        <x:v>3090</x:v>
      </x:c>
      <x:c r="C707" s="1" t="str">
        <x:v>Rückstellungen Abschluss und Urlaub</x:v>
      </x:c>
      <x:c r="D707" s="9" t="n">
        <x:f>H639</x:f>
        <x:v>-45000</x:v>
      </x:c>
      <x:c r="E707" s="9" t="n">
        <x:f>SUMIFS('Journal'!$E$6:$E$1632,'Journal'!$D$6:$D$1632,B707,'Journal'!$C$6:$C$1632,A707)</x:f>
        <x:v>0</x:v>
      </x:c>
      <x:c r="F707" s="9" t="n">
        <x:f>SUMIFS('Journal'!$F$6:$F$1632,'Journal'!$D$6:$D$1632,B707,'Journal'!$C$6:$C$1632,A707)</x:f>
        <x:v>0</x:v>
      </x:c>
      <x:c r="G707" s="9" t="n">
        <x:f>ROUND(E707-F707,2)</x:f>
        <x:v>0</x:v>
      </x:c>
      <x:c r="H707" s="9" t="n">
        <x:f>ROUND(D707+G707,2)</x:f>
        <x:v>-45000</x:v>
      </x:c>
    </x:row>
    <x:row r="708" ht="14" customHeight="1">
      <x:c r="A708" s="1" t="n">
        <x:v>11</x:v>
      </x:c>
      <x:c r="B708" s="1" t="str">
        <x:v>3150</x:v>
      </x:c>
      <x:c r="C708" s="1" t="str">
        <x:v>Investitionsdarlehen Frankenbogen</x:v>
      </x:c>
      <x:c r="D708" s="9" t="n">
        <x:f>H640</x:f>
        <x:v>-500000</x:v>
      </x:c>
      <x:c r="E708" s="9" t="n">
        <x:f>SUMIFS('Journal'!$E$6:$E$1632,'Journal'!$D$6:$D$1632,B708,'Journal'!$C$6:$C$1632,A708)</x:f>
        <x:v>10000</x:v>
      </x:c>
      <x:c r="F708" s="9" t="n">
        <x:f>SUMIFS('Journal'!$F$6:$F$1632,'Journal'!$D$6:$D$1632,B708,'Journal'!$C$6:$C$1632,A708)</x:f>
        <x:v>0</x:v>
      </x:c>
      <x:c r="G708" s="9" t="n">
        <x:f>ROUND(E708-F708,2)</x:f>
        <x:v>10000</x:v>
      </x:c>
      <x:c r="H708" s="9" t="n">
        <x:f>ROUND(D708+G708,2)</x:f>
        <x:v>-490000</x:v>
      </x:c>
    </x:row>
    <x:row r="709" ht="14" customHeight="1">
      <x:c r="A709" s="1" t="n">
        <x:v>11</x:v>
      </x:c>
      <x:c r="B709" s="1" t="str">
        <x:v>3160</x:v>
      </x:c>
      <x:c r="C709" s="1" t="str">
        <x:v>Gesellschafterdarlehen</x:v>
      </x:c>
      <x:c r="D709" s="9" t="n">
        <x:f>H641</x:f>
        <x:v>0</x:v>
      </x:c>
      <x:c r="E709" s="9" t="n">
        <x:f>SUMIFS('Journal'!$E$6:$E$1632,'Journal'!$D$6:$D$1632,B709,'Journal'!$C$6:$C$1632,A709)</x:f>
        <x:v>0</x:v>
      </x:c>
      <x:c r="F709" s="9" t="n">
        <x:f>SUMIFS('Journal'!$F$6:$F$1632,'Journal'!$D$6:$D$1632,B709,'Journal'!$C$6:$C$1632,A709)</x:f>
        <x:v>0</x:v>
      </x:c>
      <x:c r="G709" s="9" t="n">
        <x:f>ROUND(E709-F709,2)</x:f>
        <x:v>0</x:v>
      </x:c>
      <x:c r="H709" s="9" t="n">
        <x:f>ROUND(D709+G709,2)</x:f>
        <x:v>0</x:v>
      </x:c>
    </x:row>
    <x:row r="710" ht="14" customHeight="1">
      <x:c r="A710" s="1" t="n">
        <x:v>11</x:v>
      </x:c>
      <x:c r="B710" s="1" t="str">
        <x:v>3300</x:v>
      </x:c>
      <x:c r="C710" s="1" t="str">
        <x:v>Verbindlichkeiten aus Lieferungen und Leistungen</x:v>
      </x:c>
      <x:c r="D710" s="9" t="n">
        <x:f>H642</x:f>
        <x:v>-730000</x:v>
      </x:c>
      <x:c r="E710" s="9" t="n">
        <x:f>SUMIFS('Journal'!$E$6:$E$1632,'Journal'!$D$6:$D$1632,B710,'Journal'!$C$6:$C$1632,A710)</x:f>
        <x:v>661700.49</x:v>
      </x:c>
      <x:c r="F710" s="9" t="n">
        <x:f>SUMIFS('Journal'!$F$6:$F$1632,'Journal'!$D$6:$D$1632,B710,'Journal'!$C$6:$C$1632,A710)</x:f>
        <x:v>681700.49</x:v>
      </x:c>
      <x:c r="G710" s="9" t="n">
        <x:f>ROUND(E710-F710,2)</x:f>
        <x:v>-20000</x:v>
      </x:c>
      <x:c r="H710" s="9" t="n">
        <x:f>ROUND(D710+G710,2)</x:f>
        <x:v>-750000</x:v>
      </x:c>
    </x:row>
    <x:row r="711" ht="14" customHeight="1">
      <x:c r="A711" s="1" t="n">
        <x:v>11</x:v>
      </x:c>
      <x:c r="B711" s="1" t="str">
        <x:v>3500</x:v>
      </x:c>
      <x:c r="C711" s="1" t="str">
        <x:v>Sonstige Verbindlichkeiten</x:v>
      </x:c>
      <x:c r="D711" s="9" t="n">
        <x:f>H643</x:f>
        <x:v>-22000</x:v>
      </x:c>
      <x:c r="E711" s="9" t="n">
        <x:f>SUMIFS('Journal'!$E$6:$E$1632,'Journal'!$D$6:$D$1632,B711,'Journal'!$C$6:$C$1632,A711)</x:f>
        <x:v>0</x:v>
      </x:c>
      <x:c r="F711" s="9" t="n">
        <x:f>SUMIFS('Journal'!$F$6:$F$1632,'Journal'!$D$6:$D$1632,B711,'Journal'!$C$6:$C$1632,A711)</x:f>
        <x:v>0</x:v>
      </x:c>
      <x:c r="G711" s="9" t="n">
        <x:f>ROUND(E711-F711,2)</x:f>
        <x:v>0</x:v>
      </x:c>
      <x:c r="H711" s="9" t="n">
        <x:f>ROUND(D711+G711,2)</x:f>
        <x:v>-22000</x:v>
      </x:c>
    </x:row>
    <x:row r="712" ht="14" customHeight="1">
      <x:c r="A712" s="1" t="n">
        <x:v>11</x:v>
      </x:c>
      <x:c r="B712" s="1" t="str">
        <x:v>3720</x:v>
      </x:c>
      <x:c r="C712" s="1" t="str">
        <x:v>Verbindlichkeiten Nettolöhne</x:v>
      </x:c>
      <x:c r="D712" s="9" t="n">
        <x:f>H644</x:f>
        <x:v>0</x:v>
      </x:c>
      <x:c r="E712" s="9" t="n">
        <x:f>SUMIFS('Journal'!$E$6:$E$1632,'Journal'!$D$6:$D$1632,B712,'Journal'!$C$6:$C$1632,A712)</x:f>
        <x:v>56760</x:v>
      </x:c>
      <x:c r="F712" s="9" t="n">
        <x:f>SUMIFS('Journal'!$F$6:$F$1632,'Journal'!$D$6:$D$1632,B712,'Journal'!$C$6:$C$1632,A712)</x:f>
        <x:v>56760</x:v>
      </x:c>
      <x:c r="G712" s="9" t="n">
        <x:f>ROUND(E712-F712,2)</x:f>
        <x:v>0</x:v>
      </x:c>
      <x:c r="H712" s="9" t="n">
        <x:f>ROUND(D712+G712,2)</x:f>
        <x:v>0</x:v>
      </x:c>
    </x:row>
    <x:row r="713" ht="14" customHeight="1">
      <x:c r="A713" s="1" t="n">
        <x:v>11</x:v>
      </x:c>
      <x:c r="B713" s="1" t="str">
        <x:v>3730</x:v>
      </x:c>
      <x:c r="C713" s="1" t="str">
        <x:v>Verbindlichkeiten Lohnsteuer</x:v>
      </x:c>
      <x:c r="D713" s="9" t="n">
        <x:f>H645</x:f>
        <x:v>-12900</x:v>
      </x:c>
      <x:c r="E713" s="9" t="n">
        <x:f>SUMIFS('Journal'!$E$6:$E$1632,'Journal'!$D$6:$D$1632,B713,'Journal'!$C$6:$C$1632,A713)</x:f>
        <x:v>12900</x:v>
      </x:c>
      <x:c r="F713" s="9" t="n">
        <x:f>SUMIFS('Journal'!$F$6:$F$1632,'Journal'!$D$6:$D$1632,B713,'Journal'!$C$6:$C$1632,A713)</x:f>
        <x:v>12900</x:v>
      </x:c>
      <x:c r="G713" s="9" t="n">
        <x:f>ROUND(E713-F713,2)</x:f>
        <x:v>0</x:v>
      </x:c>
      <x:c r="H713" s="9" t="n">
        <x:f>ROUND(D713+G713,2)</x:f>
        <x:v>-12900</x:v>
      </x:c>
    </x:row>
    <x:row r="714" ht="14" customHeight="1">
      <x:c r="A714" s="1" t="n">
        <x:v>11</x:v>
      </x:c>
      <x:c r="B714" s="1" t="str">
        <x:v>3740</x:v>
      </x:c>
      <x:c r="C714" s="1" t="str">
        <x:v>Verbindlichkeiten Sozialversicherung</x:v>
      </x:c>
      <x:c r="D714" s="9" t="n">
        <x:f>H646</x:f>
        <x:v>0</x:v>
      </x:c>
      <x:c r="E714" s="9" t="n">
        <x:f>SUMIFS('Journal'!$E$6:$E$1632,'Journal'!$D$6:$D$1632,B714,'Journal'!$C$6:$C$1632,A714)</x:f>
        <x:v>34340</x:v>
      </x:c>
      <x:c r="F714" s="9" t="n">
        <x:f>SUMIFS('Journal'!$F$6:$F$1632,'Journal'!$D$6:$D$1632,B714,'Journal'!$C$6:$C$1632,A714)</x:f>
        <x:v>34340</x:v>
      </x:c>
      <x:c r="G714" s="9" t="n">
        <x:f>ROUND(E714-F714,2)</x:f>
        <x:v>0</x:v>
      </x:c>
      <x:c r="H714" s="9" t="n">
        <x:f>ROUND(D714+G714,2)</x:f>
        <x:v>0</x:v>
      </x:c>
    </x:row>
    <x:row r="715" ht="14" customHeight="1">
      <x:c r="A715" s="1" t="n">
        <x:v>11</x:v>
      </x:c>
      <x:c r="B715" s="1" t="str">
        <x:v>3801</x:v>
      </x:c>
      <x:c r="C715" s="1" t="str">
        <x:v>Umsatzsteuer Inland 7 Prozent</x:v>
      </x:c>
      <x:c r="D715" s="9" t="n">
        <x:f>H647</x:f>
        <x:v>0</x:v>
      </x:c>
      <x:c r="E715" s="9" t="n">
        <x:f>SUMIFS('Journal'!$E$6:$E$1632,'Journal'!$D$6:$D$1632,B715,'Journal'!$C$6:$C$1632,A715)</x:f>
        <x:v>26544</x:v>
      </x:c>
      <x:c r="F715" s="9" t="n">
        <x:f>SUMIFS('Journal'!$F$6:$F$1632,'Journal'!$D$6:$D$1632,B715,'Journal'!$C$6:$C$1632,A715)</x:f>
        <x:v>26544</x:v>
      </x:c>
      <x:c r="G715" s="9" t="n">
        <x:f>ROUND(E715-F715,2)</x:f>
        <x:v>0</x:v>
      </x:c>
      <x:c r="H715" s="9" t="n">
        <x:f>ROUND(D715+G715,2)</x:f>
        <x:v>0</x:v>
      </x:c>
    </x:row>
    <x:row r="716" ht="14" customHeight="1">
      <x:c r="A716" s="1" t="n">
        <x:v>11</x:v>
      </x:c>
      <x:c r="B716" s="1" t="str">
        <x:v>3806</x:v>
      </x:c>
      <x:c r="C716" s="1" t="str">
        <x:v>Umsatzsteuer Inland 19 Prozent</x:v>
      </x:c>
      <x:c r="D716" s="9" t="n">
        <x:f>H648</x:f>
        <x:v>0</x:v>
      </x:c>
      <x:c r="E716" s="9" t="n">
        <x:f>SUMIFS('Journal'!$E$6:$E$1632,'Journal'!$D$6:$D$1632,B716,'Journal'!$C$6:$C$1632,A716)</x:f>
        <x:v>18012</x:v>
      </x:c>
      <x:c r="F716" s="9" t="n">
        <x:f>SUMIFS('Journal'!$F$6:$F$1632,'Journal'!$D$6:$D$1632,B716,'Journal'!$C$6:$C$1632,A716)</x:f>
        <x:v>18012</x:v>
      </x:c>
      <x:c r="G716" s="9" t="n">
        <x:f>ROUND(E716-F716,2)</x:f>
        <x:v>0</x:v>
      </x:c>
      <x:c r="H716" s="9" t="n">
        <x:f>ROUND(D716+G716,2)</x:f>
        <x:v>0</x:v>
      </x:c>
    </x:row>
    <x:row r="717" ht="14" customHeight="1">
      <x:c r="A717" s="1" t="n">
        <x:v>11</x:v>
      </x:c>
      <x:c r="B717" s="1" t="str">
        <x:v>3804</x:v>
      </x:c>
      <x:c r="C717" s="1" t="str">
        <x:v>Umsatzsteuer EU Erwerb 7 Prozent</x:v>
      </x:c>
      <x:c r="D717" s="9" t="n">
        <x:f>H649</x:f>
        <x:v>0</x:v>
      </x:c>
      <x:c r="E717" s="9" t="n">
        <x:f>SUMIFS('Journal'!$E$6:$E$1632,'Journal'!$D$6:$D$1632,B717,'Journal'!$C$6:$C$1632,A717)</x:f>
        <x:v>7995.79</x:v>
      </x:c>
      <x:c r="F717" s="9" t="n">
        <x:f>SUMIFS('Journal'!$F$6:$F$1632,'Journal'!$D$6:$D$1632,B717,'Journal'!$C$6:$C$1632,A717)</x:f>
        <x:v>7995.79</x:v>
      </x:c>
      <x:c r="G717" s="9" t="n">
        <x:f>ROUND(E717-F717,2)</x:f>
        <x:v>0</x:v>
      </x:c>
      <x:c r="H717" s="9" t="n">
        <x:f>ROUND(D717+G717,2)</x:f>
        <x:v>0</x:v>
      </x:c>
    </x:row>
    <x:row r="718" ht="14" customHeight="1">
      <x:c r="A718" s="1" t="n">
        <x:v>11</x:v>
      </x:c>
      <x:c r="B718" s="1" t="str">
        <x:v>3809</x:v>
      </x:c>
      <x:c r="C718" s="1" t="str">
        <x:v>Umsatzsteuer EU Erwerb 19 Prozent</x:v>
      </x:c>
      <x:c r="D718" s="9" t="n">
        <x:f>H650</x:f>
        <x:v>0</x:v>
      </x:c>
      <x:c r="E718" s="9" t="n">
        <x:f>SUMIFS('Journal'!$E$6:$E$1632,'Journal'!$D$6:$D$1632,B718,'Journal'!$C$6:$C$1632,A718)</x:f>
        <x:v>5425.71</x:v>
      </x:c>
      <x:c r="F718" s="9" t="n">
        <x:f>SUMIFS('Journal'!$F$6:$F$1632,'Journal'!$D$6:$D$1632,B718,'Journal'!$C$6:$C$1632,A718)</x:f>
        <x:v>5425.71</x:v>
      </x:c>
      <x:c r="G718" s="9" t="n">
        <x:f>ROUND(E718-F718,2)</x:f>
        <x:v>0</x:v>
      </x:c>
      <x:c r="H718" s="9" t="n">
        <x:f>ROUND(D718+G718,2)</x:f>
        <x:v>0</x:v>
      </x:c>
    </x:row>
    <x:row r="719" ht="14" customHeight="1">
      <x:c r="A719" s="1" t="n">
        <x:v>11</x:v>
      </x:c>
      <x:c r="B719" s="1" t="str">
        <x:v>3820</x:v>
      </x:c>
      <x:c r="C719" s="1" t="str">
        <x:v>Umsatzsteuer Verrechnung Finanzamt</x:v>
      </x:c>
      <x:c r="D719" s="9" t="n">
        <x:f>H651</x:f>
        <x:v>5532.51</x:v>
      </x:c>
      <x:c r="E719" s="9" t="n">
        <x:f>SUMIFS('Journal'!$E$6:$E$1632,'Journal'!$D$6:$D$1632,B719,'Journal'!$C$6:$C$1632,A719)</x:f>
        <x:v>63844.229999999996</x:v>
      </x:c>
      <x:c r="F719" s="9" t="n">
        <x:f>SUMIFS('Journal'!$F$6:$F$1632,'Journal'!$D$6:$D$1632,B719,'Journal'!$C$6:$C$1632,A719)</x:f>
        <x:v>63356.71</x:v>
      </x:c>
      <x:c r="G719" s="9" t="n">
        <x:f>ROUND(E719-F719,2)</x:f>
        <x:v>487.52</x:v>
      </x:c>
      <x:c r="H719" s="9" t="n">
        <x:f>ROUND(D719+G719,2)</x:f>
        <x:v>6020.03</x:v>
      </x:c>
    </x:row>
    <x:row r="720" ht="14" customHeight="1">
      <x:c r="A720" s="1" t="n">
        <x:v>11</x:v>
      </x:c>
      <x:c r="B720" s="1" t="str">
        <x:v>3840</x:v>
      </x:c>
      <x:c r="C720" s="1" t="str">
        <x:v>Ertragsteuern Verrechnung</x:v>
      </x:c>
      <x:c r="D720" s="9" t="n">
        <x:f>H652</x:f>
        <x:v>1000</x:v>
      </x:c>
      <x:c r="E720" s="9" t="n">
        <x:f>SUMIFS('Journal'!$E$6:$E$1632,'Journal'!$D$6:$D$1632,B720,'Journal'!$C$6:$C$1632,A720)</x:f>
        <x:v>0</x:v>
      </x:c>
      <x:c r="F720" s="9" t="n">
        <x:f>SUMIFS('Journal'!$F$6:$F$1632,'Journal'!$D$6:$D$1632,B720,'Journal'!$C$6:$C$1632,A720)</x:f>
        <x:v>0</x:v>
      </x:c>
      <x:c r="G720" s="9" t="n">
        <x:f>ROUND(E720-F720,2)</x:f>
        <x:v>0</x:v>
      </x:c>
      <x:c r="H720" s="9" t="n">
        <x:f>ROUND(D720+G720,2)</x:f>
        <x:v>1000</x:v>
      </x:c>
    </x:row>
    <x:row r="721" ht="14" customHeight="1">
      <x:c r="A721" s="1" t="n">
        <x:v>11</x:v>
      </x:c>
      <x:c r="B721" s="1" t="str">
        <x:v>4300</x:v>
      </x:c>
      <x:c r="C721" s="1" t="str">
        <x:v>Erlöse Inland 7 Prozent</x:v>
      </x:c>
      <x:c r="D721" s="9" t="n">
        <x:f>H653</x:f>
        <x:v>-2918400</x:v>
      </x:c>
      <x:c r="E721" s="9" t="n">
        <x:f>SUMIFS('Journal'!$E$6:$E$1632,'Journal'!$D$6:$D$1632,B721,'Journal'!$C$6:$C$1632,A721)</x:f>
        <x:v>0</x:v>
      </x:c>
      <x:c r="F721" s="9" t="n">
        <x:f>SUMIFS('Journal'!$F$6:$F$1632,'Journal'!$D$6:$D$1632,B721,'Journal'!$C$6:$C$1632,A721)</x:f>
        <x:v>379200</x:v>
      </x:c>
      <x:c r="G721" s="9" t="n">
        <x:f>ROUND(E721-F721,2)</x:f>
        <x:v>-379200</x:v>
      </x:c>
      <x:c r="H721" s="9" t="n">
        <x:f>ROUND(D721+G721,2)</x:f>
        <x:v>-3297600</x:v>
      </x:c>
    </x:row>
    <x:row r="722" ht="14" customHeight="1">
      <x:c r="A722" s="1" t="n">
        <x:v>11</x:v>
      </x:c>
      <x:c r="B722" s="1" t="str">
        <x:v>4400</x:v>
      </x:c>
      <x:c r="C722" s="1" t="str">
        <x:v>Erlöse Inland 19 Prozent</x:v>
      </x:c>
      <x:c r="D722" s="9" t="n">
        <x:f>H654</x:f>
        <x:v>-729600</x:v>
      </x:c>
      <x:c r="E722" s="9" t="n">
        <x:f>SUMIFS('Journal'!$E$6:$E$1632,'Journal'!$D$6:$D$1632,B722,'Journal'!$C$6:$C$1632,A722)</x:f>
        <x:v>0</x:v>
      </x:c>
      <x:c r="F722" s="9" t="n">
        <x:f>SUMIFS('Journal'!$F$6:$F$1632,'Journal'!$D$6:$D$1632,B722,'Journal'!$C$6:$C$1632,A722)</x:f>
        <x:v>94800</x:v>
      </x:c>
      <x:c r="G722" s="9" t="n">
        <x:f>ROUND(E722-F722,2)</x:f>
        <x:v>-94800</x:v>
      </x:c>
      <x:c r="H722" s="9" t="n">
        <x:f>ROUND(D722+G722,2)</x:f>
        <x:v>-824400</x:v>
      </x:c>
    </x:row>
    <x:row r="723" ht="14" customHeight="1">
      <x:c r="A723" s="1" t="n">
        <x:v>11</x:v>
      </x:c>
      <x:c r="B723" s="1" t="str">
        <x:v>4125</x:v>
      </x:c>
      <x:c r="C723" s="1" t="str">
        <x:v>Erlöse EU Warenlieferungen</x:v>
      </x:c>
      <x:c r="D723" s="9" t="n">
        <x:f>H655</x:f>
        <x:v>-1216000</x:v>
      </x:c>
      <x:c r="E723" s="9" t="n">
        <x:f>SUMIFS('Journal'!$E$6:$E$1632,'Journal'!$D$6:$D$1632,B723,'Journal'!$C$6:$C$1632,A723)</x:f>
        <x:v>0</x:v>
      </x:c>
      <x:c r="F723" s="9" t="n">
        <x:f>SUMIFS('Journal'!$F$6:$F$1632,'Journal'!$D$6:$D$1632,B723,'Journal'!$C$6:$C$1632,A723)</x:f>
        <x:v>158000</x:v>
      </x:c>
      <x:c r="G723" s="9" t="n">
        <x:f>ROUND(E723-F723,2)</x:f>
        <x:v>-158000</x:v>
      </x:c>
      <x:c r="H723" s="9" t="n">
        <x:f>ROUND(D723+G723,2)</x:f>
        <x:v>-1374000</x:v>
      </x:c>
    </x:row>
    <x:row r="724" ht="14" customHeight="1">
      <x:c r="A724" s="1" t="n">
        <x:v>11</x:v>
      </x:c>
      <x:c r="B724" s="1" t="str">
        <x:v>4120</x:v>
      </x:c>
      <x:c r="C724" s="1" t="str">
        <x:v>Erlöse Drittland Warenlieferungen</x:v>
      </x:c>
      <x:c r="D724" s="9" t="n">
        <x:f>H656</x:f>
        <x:v>-1216000</x:v>
      </x:c>
      <x:c r="E724" s="9" t="n">
        <x:f>SUMIFS('Journal'!$E$6:$E$1632,'Journal'!$D$6:$D$1632,B724,'Journal'!$C$6:$C$1632,A724)</x:f>
        <x:v>0</x:v>
      </x:c>
      <x:c r="F724" s="9" t="n">
        <x:f>SUMIFS('Journal'!$F$6:$F$1632,'Journal'!$D$6:$D$1632,B724,'Journal'!$C$6:$C$1632,A724)</x:f>
        <x:v>158000</x:v>
      </x:c>
      <x:c r="G724" s="9" t="n">
        <x:f>ROUND(E724-F724,2)</x:f>
        <x:v>-158000</x:v>
      </x:c>
      <x:c r="H724" s="9" t="n">
        <x:f>ROUND(D724+G724,2)</x:f>
        <x:v>-1374000</x:v>
      </x:c>
    </x:row>
    <x:row r="725" ht="14" customHeight="1">
      <x:c r="A725" s="1" t="n">
        <x:v>11</x:v>
      </x:c>
      <x:c r="B725" s="1" t="str">
        <x:v>4730</x:v>
      </x:c>
      <x:c r="C725" s="1" t="str">
        <x:v>Erlösschmälerungen Inland 7 Prozent</x:v>
      </x:c>
      <x:c r="D725" s="9" t="n">
        <x:f>H657</x:f>
        <x:v>16950</x:v>
      </x:c>
      <x:c r="E725" s="9" t="n">
        <x:f>SUMIFS('Journal'!$E$6:$E$1632,'Journal'!$D$6:$D$1632,B725,'Journal'!$C$6:$C$1632,A725)</x:f>
        <x:v>2190</x:v>
      </x:c>
      <x:c r="F725" s="9" t="n">
        <x:f>SUMIFS('Journal'!$F$6:$F$1632,'Journal'!$D$6:$D$1632,B725,'Journal'!$C$6:$C$1632,A725)</x:f>
        <x:v>0</x:v>
      </x:c>
      <x:c r="G725" s="9" t="n">
        <x:f>ROUND(E725-F725,2)</x:f>
        <x:v>2190</x:v>
      </x:c>
      <x:c r="H725" s="9" t="n">
        <x:f>ROUND(D725+G725,2)</x:f>
        <x:v>19140</x:v>
      </x:c>
    </x:row>
    <x:row r="726" ht="14" customHeight="1">
      <x:c r="A726" s="1" t="n">
        <x:v>11</x:v>
      </x:c>
      <x:c r="B726" s="1" t="str">
        <x:v>4735</x:v>
      </x:c>
      <x:c r="C726" s="1" t="str">
        <x:v>Erlösschmälerungen EU</x:v>
      </x:c>
      <x:c r="D726" s="9" t="n">
        <x:f>H658</x:f>
        <x:v>11300</x:v>
      </x:c>
      <x:c r="E726" s="9" t="n">
        <x:f>SUMIFS('Journal'!$E$6:$E$1632,'Journal'!$D$6:$D$1632,B726,'Journal'!$C$6:$C$1632,A726)</x:f>
        <x:v>1460</x:v>
      </x:c>
      <x:c r="F726" s="9" t="n">
        <x:f>SUMIFS('Journal'!$F$6:$F$1632,'Journal'!$D$6:$D$1632,B726,'Journal'!$C$6:$C$1632,A726)</x:f>
        <x:v>0</x:v>
      </x:c>
      <x:c r="G726" s="9" t="n">
        <x:f>ROUND(E726-F726,2)</x:f>
        <x:v>1460</x:v>
      </x:c>
      <x:c r="H726" s="9" t="n">
        <x:f>ROUND(D726+G726,2)</x:f>
        <x:v>12760</x:v>
      </x:c>
    </x:row>
    <x:row r="727" ht="14" customHeight="1">
      <x:c r="A727" s="1" t="n">
        <x:v>11</x:v>
      </x:c>
      <x:c r="B727" s="1" t="str">
        <x:v>4830</x:v>
      </x:c>
      <x:c r="C727" s="1" t="str">
        <x:v>Sonstige betriebliche Erträge</x:v>
      </x:c>
      <x:c r="D727" s="9" t="n">
        <x:f>H659</x:f>
        <x:v>-12000</x:v>
      </x:c>
      <x:c r="E727" s="9" t="n">
        <x:f>SUMIFS('Journal'!$E$6:$E$1632,'Journal'!$D$6:$D$1632,B727,'Journal'!$C$6:$C$1632,A727)</x:f>
        <x:v>0</x:v>
      </x:c>
      <x:c r="F727" s="9" t="n">
        <x:f>SUMIFS('Journal'!$F$6:$F$1632,'Journal'!$D$6:$D$1632,B727,'Journal'!$C$6:$C$1632,A727)</x:f>
        <x:v>0</x:v>
      </x:c>
      <x:c r="G727" s="9" t="n">
        <x:f>ROUND(E727-F727,2)</x:f>
        <x:v>0</x:v>
      </x:c>
      <x:c r="H727" s="9" t="n">
        <x:f>ROUND(D727+G727,2)</x:f>
        <x:v>-12000</x:v>
      </x:c>
    </x:row>
    <x:row r="728" ht="14" customHeight="1">
      <x:c r="A728" s="1" t="n">
        <x:v>11</x:v>
      </x:c>
      <x:c r="B728" s="1" t="str">
        <x:v>5000</x:v>
      </x:c>
      <x:c r="C728" s="1" t="str">
        <x:v>Wareneinsatz</x:v>
      </x:c>
      <x:c r="D728" s="9" t="n">
        <x:f>H660</x:f>
        <x:v>3933637.5</x:v>
      </x:c>
      <x:c r="E728" s="9" t="n">
        <x:f>SUMIFS('Journal'!$E$6:$E$1632,'Journal'!$D$6:$D$1632,B728,'Journal'!$C$6:$C$1632,A728)</x:f>
        <x:v>511127.5</x:v>
      </x:c>
      <x:c r="F728" s="9" t="n">
        <x:f>SUMIFS('Journal'!$F$6:$F$1632,'Journal'!$D$6:$D$1632,B728,'Journal'!$C$6:$C$1632,A728)</x:f>
        <x:v>0</x:v>
      </x:c>
      <x:c r="G728" s="9" t="n">
        <x:f>ROUND(E728-F728,2)</x:f>
        <x:v>511127.5</x:v>
      </x:c>
      <x:c r="H728" s="9" t="n">
        <x:f>ROUND(D728+G728,2)</x:f>
        <x:v>4444765</x:v>
      </x:c>
    </x:row>
    <x:row r="729" ht="14" customHeight="1">
      <x:c r="A729" s="1" t="n">
        <x:v>11</x:v>
      </x:c>
      <x:c r="B729" s="1" t="str">
        <x:v>5005</x:v>
      </x:c>
      <x:c r="C729" s="1" t="str">
        <x:v>Abwertung Warenbestand</x:v>
      </x:c>
      <x:c r="D729" s="9" t="n">
        <x:f>H661</x:f>
        <x:v>0</x:v>
      </x:c>
      <x:c r="E729" s="9" t="n">
        <x:f>SUMIFS('Journal'!$E$6:$E$1632,'Journal'!$D$6:$D$1632,B729,'Journal'!$C$6:$C$1632,A729)</x:f>
        <x:v>0</x:v>
      </x:c>
      <x:c r="F729" s="9" t="n">
        <x:f>SUMIFS('Journal'!$F$6:$F$1632,'Journal'!$D$6:$D$1632,B729,'Journal'!$C$6:$C$1632,A729)</x:f>
        <x:v>0</x:v>
      </x:c>
      <x:c r="G729" s="9" t="n">
        <x:f>ROUND(E729-F729,2)</x:f>
        <x:v>0</x:v>
      </x:c>
      <x:c r="H729" s="9" t="n">
        <x:f>ROUND(D729+G729,2)</x:f>
        <x:v>0</x:v>
      </x:c>
    </x:row>
    <x:row r="730" ht="14" customHeight="1">
      <x:c r="A730" s="1" t="n">
        <x:v>11</x:v>
      </x:c>
      <x:c r="B730" s="1" t="str">
        <x:v>6020</x:v>
      </x:c>
      <x:c r="C730" s="1" t="str">
        <x:v>Bruttogehälter</x:v>
      </x:c>
      <x:c r="D730" s="9" t="n">
        <x:f>H662</x:f>
        <x:v>860000</x:v>
      </x:c>
      <x:c r="E730" s="9" t="n">
        <x:f>SUMIFS('Journal'!$E$6:$E$1632,'Journal'!$D$6:$D$1632,B730,'Journal'!$C$6:$C$1632,A730)</x:f>
        <x:v>86000</x:v>
      </x:c>
      <x:c r="F730" s="9" t="n">
        <x:f>SUMIFS('Journal'!$F$6:$F$1632,'Journal'!$D$6:$D$1632,B730,'Journal'!$C$6:$C$1632,A730)</x:f>
        <x:v>0</x:v>
      </x:c>
      <x:c r="G730" s="9" t="n">
        <x:f>ROUND(E730-F730,2)</x:f>
        <x:v>86000</x:v>
      </x:c>
      <x:c r="H730" s="9" t="n">
        <x:f>ROUND(D730+G730,2)</x:f>
        <x:v>946000</x:v>
      </x:c>
    </x:row>
    <x:row r="731" ht="14" customHeight="1">
      <x:c r="A731" s="1" t="n">
        <x:v>11</x:v>
      </x:c>
      <x:c r="B731" s="1" t="str">
        <x:v>6110</x:v>
      </x:c>
      <x:c r="C731" s="1" t="str">
        <x:v>Arbeitgeberanteile Sozialversicherung</x:v>
      </x:c>
      <x:c r="D731" s="9" t="n">
        <x:f>H663</x:f>
        <x:v>180000</x:v>
      </x:c>
      <x:c r="E731" s="9" t="n">
        <x:f>SUMIFS('Journal'!$E$6:$E$1632,'Journal'!$D$6:$D$1632,B731,'Journal'!$C$6:$C$1632,A731)</x:f>
        <x:v>18000</x:v>
      </x:c>
      <x:c r="F731" s="9" t="n">
        <x:f>SUMIFS('Journal'!$F$6:$F$1632,'Journal'!$D$6:$D$1632,B731,'Journal'!$C$6:$C$1632,A731)</x:f>
        <x:v>0</x:v>
      </x:c>
      <x:c r="G731" s="9" t="n">
        <x:f>ROUND(E731-F731,2)</x:f>
        <x:v>18000</x:v>
      </x:c>
      <x:c r="H731" s="9" t="n">
        <x:f>ROUND(D731+G731,2)</x:f>
        <x:v>198000</x:v>
      </x:c>
    </x:row>
    <x:row r="732" ht="14" customHeight="1">
      <x:c r="A732" s="1" t="n">
        <x:v>11</x:v>
      </x:c>
      <x:c r="B732" s="1" t="str">
        <x:v>6220</x:v>
      </x:c>
      <x:c r="C732" s="1" t="str">
        <x:v>Abschreibungen Sachanlagen und Software</x:v>
      </x:c>
      <x:c r="D732" s="9" t="n">
        <x:f>H664</x:f>
        <x:v>75000</x:v>
      </x:c>
      <x:c r="E732" s="9" t="n">
        <x:f>SUMIFS('Journal'!$E$6:$E$1632,'Journal'!$D$6:$D$1632,B732,'Journal'!$C$6:$C$1632,A732)</x:f>
        <x:v>7500</x:v>
      </x:c>
      <x:c r="F732" s="9" t="n">
        <x:f>SUMIFS('Journal'!$F$6:$F$1632,'Journal'!$D$6:$D$1632,B732,'Journal'!$C$6:$C$1632,A732)</x:f>
        <x:v>0</x:v>
      </x:c>
      <x:c r="G732" s="9" t="n">
        <x:f>ROUND(E732-F732,2)</x:f>
        <x:v>7500</x:v>
      </x:c>
      <x:c r="H732" s="9" t="n">
        <x:f>ROUND(D732+G732,2)</x:f>
        <x:v>82500</x:v>
      </x:c>
    </x:row>
    <x:row r="733" ht="14" customHeight="1">
      <x:c r="A733" s="1" t="n">
        <x:v>11</x:v>
      </x:c>
      <x:c r="B733" s="1" t="str">
        <x:v>6310</x:v>
      </x:c>
      <x:c r="C733" s="1" t="str">
        <x:v>Miete Büro Nürnberg</x:v>
      </x:c>
      <x:c r="D733" s="9" t="n">
        <x:f>H665</x:f>
        <x:v>40000</x:v>
      </x:c>
      <x:c r="E733" s="9" t="n">
        <x:f>SUMIFS('Journal'!$E$6:$E$1632,'Journal'!$D$6:$D$1632,B733,'Journal'!$C$6:$C$1632,A733)</x:f>
        <x:v>4000</x:v>
      </x:c>
      <x:c r="F733" s="9" t="n">
        <x:f>SUMIFS('Journal'!$F$6:$F$1632,'Journal'!$D$6:$D$1632,B733,'Journal'!$C$6:$C$1632,A733)</x:f>
        <x:v>0</x:v>
      </x:c>
      <x:c r="G733" s="9" t="n">
        <x:f>ROUND(E733-F733,2)</x:f>
        <x:v>4000</x:v>
      </x:c>
      <x:c r="H733" s="9" t="n">
        <x:f>ROUND(D733+G733,2)</x:f>
        <x:v>44000</x:v>
      </x:c>
    </x:row>
    <x:row r="734" ht="14" customHeight="1">
      <x:c r="A734" s="1" t="n">
        <x:v>11</x:v>
      </x:c>
      <x:c r="B734" s="1" t="str">
        <x:v>6311</x:v>
      </x:c>
      <x:c r="C734" s="1" t="str">
        <x:v>Miete Lager Erlangen</x:v>
      </x:c>
      <x:c r="D734" s="9" t="n">
        <x:f>H666</x:f>
        <x:v>100000</x:v>
      </x:c>
      <x:c r="E734" s="9" t="n">
        <x:f>SUMIFS('Journal'!$E$6:$E$1632,'Journal'!$D$6:$D$1632,B734,'Journal'!$C$6:$C$1632,A734)</x:f>
        <x:v>10000</x:v>
      </x:c>
      <x:c r="F734" s="9" t="n">
        <x:f>SUMIFS('Journal'!$F$6:$F$1632,'Journal'!$D$6:$D$1632,B734,'Journal'!$C$6:$C$1632,A734)</x:f>
        <x:v>0</x:v>
      </x:c>
      <x:c r="G734" s="9" t="n">
        <x:f>ROUND(E734-F734,2)</x:f>
        <x:v>10000</x:v>
      </x:c>
      <x:c r="H734" s="9" t="n">
        <x:f>ROUND(D734+G734,2)</x:f>
        <x:v>110000</x:v>
      </x:c>
    </x:row>
    <x:row r="735" ht="14" customHeight="1">
      <x:c r="A735" s="1" t="n">
        <x:v>11</x:v>
      </x:c>
      <x:c r="B735" s="1" t="str">
        <x:v>6325</x:v>
      </x:c>
      <x:c r="C735" s="1" t="str">
        <x:v>Strom und Kühlung</x:v>
      </x:c>
      <x:c r="D735" s="9" t="n">
        <x:f>H667</x:f>
        <x:v>45000</x:v>
      </x:c>
      <x:c r="E735" s="9" t="n">
        <x:f>SUMIFS('Journal'!$E$6:$E$1632,'Journal'!$D$6:$D$1632,B735,'Journal'!$C$6:$C$1632,A735)</x:f>
        <x:v>4500</x:v>
      </x:c>
      <x:c r="F735" s="9" t="n">
        <x:f>SUMIFS('Journal'!$F$6:$F$1632,'Journal'!$D$6:$D$1632,B735,'Journal'!$C$6:$C$1632,A735)</x:f>
        <x:v>0</x:v>
      </x:c>
      <x:c r="G735" s="9" t="n">
        <x:f>ROUND(E735-F735,2)</x:f>
        <x:v>4500</x:v>
      </x:c>
      <x:c r="H735" s="9" t="n">
        <x:f>ROUND(D735+G735,2)</x:f>
        <x:v>49500</x:v>
      </x:c>
    </x:row>
    <x:row r="736" ht="14" customHeight="1">
      <x:c r="A736" s="1" t="n">
        <x:v>11</x:v>
      </x:c>
      <x:c r="B736" s="1" t="str">
        <x:v>6400</x:v>
      </x:c>
      <x:c r="C736" s="1" t="str">
        <x:v>Versicherungen</x:v>
      </x:c>
      <x:c r="D736" s="9" t="n">
        <x:f>H668</x:f>
        <x:v>25000</x:v>
      </x:c>
      <x:c r="E736" s="9" t="n">
        <x:f>SUMIFS('Journal'!$E$6:$E$1632,'Journal'!$D$6:$D$1632,B736,'Journal'!$C$6:$C$1632,A736)</x:f>
        <x:v>2500</x:v>
      </x:c>
      <x:c r="F736" s="9" t="n">
        <x:f>SUMIFS('Journal'!$F$6:$F$1632,'Journal'!$D$6:$D$1632,B736,'Journal'!$C$6:$C$1632,A736)</x:f>
        <x:v>0</x:v>
      </x:c>
      <x:c r="G736" s="9" t="n">
        <x:f>ROUND(E736-F736,2)</x:f>
        <x:v>2500</x:v>
      </x:c>
      <x:c r="H736" s="9" t="n">
        <x:f>ROUND(D736+G736,2)</x:f>
        <x:v>27500</x:v>
      </x:c>
    </x:row>
    <x:row r="737" ht="14" customHeight="1">
      <x:c r="A737" s="1" t="n">
        <x:v>11</x:v>
      </x:c>
      <x:c r="B737" s="1" t="str">
        <x:v>6470</x:v>
      </x:c>
      <x:c r="C737" s="1" t="str">
        <x:v>Lagerbetrieb und Reinigung</x:v>
      </x:c>
      <x:c r="D737" s="9" t="n">
        <x:f>H669</x:f>
        <x:v>60000</x:v>
      </x:c>
      <x:c r="E737" s="9" t="n">
        <x:f>SUMIFS('Journal'!$E$6:$E$1632,'Journal'!$D$6:$D$1632,B737,'Journal'!$C$6:$C$1632,A737)</x:f>
        <x:v>6000</x:v>
      </x:c>
      <x:c r="F737" s="9" t="n">
        <x:f>SUMIFS('Journal'!$F$6:$F$1632,'Journal'!$D$6:$D$1632,B737,'Journal'!$C$6:$C$1632,A737)</x:f>
        <x:v>0</x:v>
      </x:c>
      <x:c r="G737" s="9" t="n">
        <x:f>ROUND(E737-F737,2)</x:f>
        <x:v>6000</x:v>
      </x:c>
      <x:c r="H737" s="9" t="n">
        <x:f>ROUND(D737+G737,2)</x:f>
        <x:v>66000</x:v>
      </x:c>
    </x:row>
    <x:row r="738" ht="14" customHeight="1">
      <x:c r="A738" s="1" t="n">
        <x:v>11</x:v>
      </x:c>
      <x:c r="B738" s="1" t="str">
        <x:v>6490</x:v>
      </x:c>
      <x:c r="C738" s="1" t="str">
        <x:v>Reparaturen und Wartung</x:v>
      </x:c>
      <x:c r="D738" s="9" t="n">
        <x:f>H670</x:f>
        <x:v>25000</x:v>
      </x:c>
      <x:c r="E738" s="9" t="n">
        <x:f>SUMIFS('Journal'!$E$6:$E$1632,'Journal'!$D$6:$D$1632,B738,'Journal'!$C$6:$C$1632,A738)</x:f>
        <x:v>2500</x:v>
      </x:c>
      <x:c r="F738" s="9" t="n">
        <x:f>SUMIFS('Journal'!$F$6:$F$1632,'Journal'!$D$6:$D$1632,B738,'Journal'!$C$6:$C$1632,A738)</x:f>
        <x:v>0</x:v>
      </x:c>
      <x:c r="G738" s="9" t="n">
        <x:f>ROUND(E738-F738,2)</x:f>
        <x:v>2500</x:v>
      </x:c>
      <x:c r="H738" s="9" t="n">
        <x:f>ROUND(D738+G738,2)</x:f>
        <x:v>27500</x:v>
      </x:c>
    </x:row>
    <x:row r="739" ht="14" customHeight="1">
      <x:c r="A739" s="1" t="n">
        <x:v>11</x:v>
      </x:c>
      <x:c r="B739" s="1" t="str">
        <x:v>6600</x:v>
      </x:c>
      <x:c r="C739" s="1" t="str">
        <x:v>Marketing und Messen</x:v>
      </x:c>
      <x:c r="D739" s="9" t="n">
        <x:f>H671</x:f>
        <x:v>60000</x:v>
      </x:c>
      <x:c r="E739" s="9" t="n">
        <x:f>SUMIFS('Journal'!$E$6:$E$1632,'Journal'!$D$6:$D$1632,B739,'Journal'!$C$6:$C$1632,A739)</x:f>
        <x:v>6000</x:v>
      </x:c>
      <x:c r="F739" s="9" t="n">
        <x:f>SUMIFS('Journal'!$F$6:$F$1632,'Journal'!$D$6:$D$1632,B739,'Journal'!$C$6:$C$1632,A739)</x:f>
        <x:v>0</x:v>
      </x:c>
      <x:c r="G739" s="9" t="n">
        <x:f>ROUND(E739-F739,2)</x:f>
        <x:v>6000</x:v>
      </x:c>
      <x:c r="H739" s="9" t="n">
        <x:f>ROUND(D739+G739,2)</x:f>
        <x:v>66000</x:v>
      </x:c>
    </x:row>
    <x:row r="740" ht="14" customHeight="1">
      <x:c r="A740" s="1" t="n">
        <x:v>11</x:v>
      </x:c>
      <x:c r="B740" s="1" t="str">
        <x:v>6650</x:v>
      </x:c>
      <x:c r="C740" s="1" t="str">
        <x:v>Reisekosten</x:v>
      </x:c>
      <x:c r="D740" s="9" t="n">
        <x:f>H672</x:f>
        <x:v>15000</x:v>
      </x:c>
      <x:c r="E740" s="9" t="n">
        <x:f>SUMIFS('Journal'!$E$6:$E$1632,'Journal'!$D$6:$D$1632,B740,'Journal'!$C$6:$C$1632,A740)</x:f>
        <x:v>1500</x:v>
      </x:c>
      <x:c r="F740" s="9" t="n">
        <x:f>SUMIFS('Journal'!$F$6:$F$1632,'Journal'!$D$6:$D$1632,B740,'Journal'!$C$6:$C$1632,A740)</x:f>
        <x:v>0</x:v>
      </x:c>
      <x:c r="G740" s="9" t="n">
        <x:f>ROUND(E740-F740,2)</x:f>
        <x:v>1500</x:v>
      </x:c>
      <x:c r="H740" s="9" t="n">
        <x:f>ROUND(D740+G740,2)</x:f>
        <x:v>16500</x:v>
      </x:c>
    </x:row>
    <x:row r="741" ht="14" customHeight="1">
      <x:c r="A741" s="1" t="n">
        <x:v>11</x:v>
      </x:c>
      <x:c r="B741" s="1" t="str">
        <x:v>6740</x:v>
      </x:c>
      <x:c r="C741" s="1" t="str">
        <x:v>Ausgangsfrachten Inland</x:v>
      </x:c>
      <x:c r="D741" s="9" t="n">
        <x:f>H673</x:f>
        <x:v>130000</x:v>
      </x:c>
      <x:c r="E741" s="9" t="n">
        <x:f>SUMIFS('Journal'!$E$6:$E$1632,'Journal'!$D$6:$D$1632,B741,'Journal'!$C$6:$C$1632,A741)</x:f>
        <x:v>13000</x:v>
      </x:c>
      <x:c r="F741" s="9" t="n">
        <x:f>SUMIFS('Journal'!$F$6:$F$1632,'Journal'!$D$6:$D$1632,B741,'Journal'!$C$6:$C$1632,A741)</x:f>
        <x:v>0</x:v>
      </x:c>
      <x:c r="G741" s="9" t="n">
        <x:f>ROUND(E741-F741,2)</x:f>
        <x:v>13000</x:v>
      </x:c>
      <x:c r="H741" s="9" t="n">
        <x:f>ROUND(D741+G741,2)</x:f>
        <x:v>143000</x:v>
      </x:c>
    </x:row>
    <x:row r="742" ht="14" customHeight="1">
      <x:c r="A742" s="1" t="n">
        <x:v>11</x:v>
      </x:c>
      <x:c r="B742" s="1" t="str">
        <x:v>6741</x:v>
      </x:c>
      <x:c r="C742" s="1" t="str">
        <x:v>Ausgangsfrachten Ausland</x:v>
      </x:c>
      <x:c r="D742" s="9" t="n">
        <x:f>H674</x:f>
        <x:v>140000</x:v>
      </x:c>
      <x:c r="E742" s="9" t="n">
        <x:f>SUMIFS('Journal'!$E$6:$E$1632,'Journal'!$D$6:$D$1632,B742,'Journal'!$C$6:$C$1632,A742)</x:f>
        <x:v>14000</x:v>
      </x:c>
      <x:c r="F742" s="9" t="n">
        <x:f>SUMIFS('Journal'!$F$6:$F$1632,'Journal'!$D$6:$D$1632,B742,'Journal'!$C$6:$C$1632,A742)</x:f>
        <x:v>0</x:v>
      </x:c>
      <x:c r="G742" s="9" t="n">
        <x:f>ROUND(E742-F742,2)</x:f>
        <x:v>14000</x:v>
      </x:c>
      <x:c r="H742" s="9" t="n">
        <x:f>ROUND(D742+G742,2)</x:f>
        <x:v>154000</x:v>
      </x:c>
    </x:row>
    <x:row r="743" ht="14" customHeight="1">
      <x:c r="A743" s="1" t="n">
        <x:v>11</x:v>
      </x:c>
      <x:c r="B743" s="1" t="str">
        <x:v>6805</x:v>
      </x:c>
      <x:c r="C743" s="1" t="str">
        <x:v>Telekommunikation und IT</x:v>
      </x:c>
      <x:c r="D743" s="9" t="n">
        <x:f>H675</x:f>
        <x:v>33000</x:v>
      </x:c>
      <x:c r="E743" s="9" t="n">
        <x:f>SUMIFS('Journal'!$E$6:$E$1632,'Journal'!$D$6:$D$1632,B743,'Journal'!$C$6:$C$1632,A743)</x:f>
        <x:v>1500</x:v>
      </x:c>
      <x:c r="F743" s="9" t="n">
        <x:f>SUMIFS('Journal'!$F$6:$F$1632,'Journal'!$D$6:$D$1632,B743,'Journal'!$C$6:$C$1632,A743)</x:f>
        <x:v>0</x:v>
      </x:c>
      <x:c r="G743" s="9" t="n">
        <x:f>ROUND(E743-F743,2)</x:f>
        <x:v>1500</x:v>
      </x:c>
      <x:c r="H743" s="9" t="n">
        <x:f>ROUND(D743+G743,2)</x:f>
        <x:v>34500</x:v>
      </x:c>
    </x:row>
    <x:row r="744" ht="14" customHeight="1">
      <x:c r="A744" s="1" t="n">
        <x:v>11</x:v>
      </x:c>
      <x:c r="B744" s="1" t="str">
        <x:v>6825</x:v>
      </x:c>
      <x:c r="C744" s="1" t="str">
        <x:v>Rechtsberatung und Buchführung</x:v>
      </x:c>
      <x:c r="D744" s="9" t="n">
        <x:f>H676</x:f>
        <x:v>30000</x:v>
      </x:c>
      <x:c r="E744" s="9" t="n">
        <x:f>SUMIFS('Journal'!$E$6:$E$1632,'Journal'!$D$6:$D$1632,B744,'Journal'!$C$6:$C$1632,A744)</x:f>
        <x:v>3000</x:v>
      </x:c>
      <x:c r="F744" s="9" t="n">
        <x:f>SUMIFS('Journal'!$F$6:$F$1632,'Journal'!$D$6:$D$1632,B744,'Journal'!$C$6:$C$1632,A744)</x:f>
        <x:v>0</x:v>
      </x:c>
      <x:c r="G744" s="9" t="n">
        <x:f>ROUND(E744-F744,2)</x:f>
        <x:v>3000</x:v>
      </x:c>
      <x:c r="H744" s="9" t="n">
        <x:f>ROUND(D744+G744,2)</x:f>
        <x:v>33000</x:v>
      </x:c>
    </x:row>
    <x:row r="745" ht="14" customHeight="1">
      <x:c r="A745" s="1" t="n">
        <x:v>11</x:v>
      </x:c>
      <x:c r="B745" s="1" t="str">
        <x:v>6830</x:v>
      </x:c>
      <x:c r="C745" s="1" t="str">
        <x:v>Labor und Qualitätssicherung</x:v>
      </x:c>
      <x:c r="D745" s="9" t="n">
        <x:f>H677</x:f>
        <x:v>35000</x:v>
      </x:c>
      <x:c r="E745" s="9" t="n">
        <x:f>SUMIFS('Journal'!$E$6:$E$1632,'Journal'!$D$6:$D$1632,B745,'Journal'!$C$6:$C$1632,A745)</x:f>
        <x:v>3500</x:v>
      </x:c>
      <x:c r="F745" s="9" t="n">
        <x:f>SUMIFS('Journal'!$F$6:$F$1632,'Journal'!$D$6:$D$1632,B745,'Journal'!$C$6:$C$1632,A745)</x:f>
        <x:v>0</x:v>
      </x:c>
      <x:c r="G745" s="9" t="n">
        <x:f>ROUND(E745-F745,2)</x:f>
        <x:v>3500</x:v>
      </x:c>
      <x:c r="H745" s="9" t="n">
        <x:f>ROUND(D745+G745,2)</x:f>
        <x:v>38500</x:v>
      </x:c>
    </x:row>
    <x:row r="746" ht="14" customHeight="1">
      <x:c r="A746" s="1" t="n">
        <x:v>11</x:v>
      </x:c>
      <x:c r="B746" s="1" t="str">
        <x:v>6850</x:v>
      </x:c>
      <x:c r="C746" s="1" t="str">
        <x:v>Bürobedarf und übriger Aufwand</x:v>
      </x:c>
      <x:c r="D746" s="9" t="n">
        <x:f>H678</x:f>
        <x:v>20000</x:v>
      </x:c>
      <x:c r="E746" s="9" t="n">
        <x:f>SUMIFS('Journal'!$E$6:$E$1632,'Journal'!$D$6:$D$1632,B746,'Journal'!$C$6:$C$1632,A746)</x:f>
        <x:v>2000</x:v>
      </x:c>
      <x:c r="F746" s="9" t="n">
        <x:f>SUMIFS('Journal'!$F$6:$F$1632,'Journal'!$D$6:$D$1632,B746,'Journal'!$C$6:$C$1632,A746)</x:f>
        <x:v>0</x:v>
      </x:c>
      <x:c r="G746" s="9" t="n">
        <x:f>ROUND(E746-F746,2)</x:f>
        <x:v>2000</x:v>
      </x:c>
      <x:c r="H746" s="9" t="n">
        <x:f>ROUND(D746+G746,2)</x:f>
        <x:v>22000</x:v>
      </x:c>
    </x:row>
    <x:row r="747" ht="14" customHeight="1">
      <x:c r="A747" s="1" t="n">
        <x:v>11</x:v>
      </x:c>
      <x:c r="B747" s="1" t="str">
        <x:v>6855</x:v>
      </x:c>
      <x:c r="C747" s="1" t="str">
        <x:v>Zuführung Abschluss und Urlaubsrückstellungen</x:v>
      </x:c>
      <x:c r="D747" s="9" t="n">
        <x:f>H679</x:f>
        <x:v>0</x:v>
      </x:c>
      <x:c r="E747" s="9" t="n">
        <x:f>SUMIFS('Journal'!$E$6:$E$1632,'Journal'!$D$6:$D$1632,B747,'Journal'!$C$6:$C$1632,A747)</x:f>
        <x:v>0</x:v>
      </x:c>
      <x:c r="F747" s="9" t="n">
        <x:f>SUMIFS('Journal'!$F$6:$F$1632,'Journal'!$D$6:$D$1632,B747,'Journal'!$C$6:$C$1632,A747)</x:f>
        <x:v>0</x:v>
      </x:c>
      <x:c r="G747" s="9" t="n">
        <x:f>ROUND(E747-F747,2)</x:f>
        <x:v>0</x:v>
      </x:c>
      <x:c r="H747" s="9" t="n">
        <x:f>ROUND(D747+G747,2)</x:f>
        <x:v>0</x:v>
      </x:c>
    </x:row>
    <x:row r="748" ht="14" customHeight="1">
      <x:c r="A748" s="1" t="n">
        <x:v>11</x:v>
      </x:c>
      <x:c r="B748" s="1" t="str">
        <x:v>6859</x:v>
      </x:c>
      <x:c r="C748" s="1" t="str">
        <x:v>Bankgebühren</x:v>
      </x:c>
      <x:c r="D748" s="9" t="n">
        <x:f>H680</x:f>
        <x:v>5000</x:v>
      </x:c>
      <x:c r="E748" s="9" t="n">
        <x:f>SUMIFS('Journal'!$E$6:$E$1632,'Journal'!$D$6:$D$1632,B748,'Journal'!$C$6:$C$1632,A748)</x:f>
        <x:v>500</x:v>
      </x:c>
      <x:c r="F748" s="9" t="n">
        <x:f>SUMIFS('Journal'!$F$6:$F$1632,'Journal'!$D$6:$D$1632,B748,'Journal'!$C$6:$C$1632,A748)</x:f>
        <x:v>0</x:v>
      </x:c>
      <x:c r="G748" s="9" t="n">
        <x:f>ROUND(E748-F748,2)</x:f>
        <x:v>500</x:v>
      </x:c>
      <x:c r="H748" s="9" t="n">
        <x:f>ROUND(D748+G748,2)</x:f>
        <x:v>5500</x:v>
      </x:c>
    </x:row>
    <x:row r="749" ht="14" customHeight="1">
      <x:c r="A749" s="1" t="n">
        <x:v>11</x:v>
      </x:c>
      <x:c r="B749" s="1" t="str">
        <x:v>6950</x:v>
      </x:c>
      <x:c r="C749" s="1" t="str">
        <x:v>Zuführung Einzelwertberichtigungen</x:v>
      </x:c>
      <x:c r="D749" s="9" t="n">
        <x:f>H681</x:f>
        <x:v>0</x:v>
      </x:c>
      <x:c r="E749" s="9" t="n">
        <x:f>SUMIFS('Journal'!$E$6:$E$1632,'Journal'!$D$6:$D$1632,B749,'Journal'!$C$6:$C$1632,A749)</x:f>
        <x:v>0</x:v>
      </x:c>
      <x:c r="F749" s="9" t="n">
        <x:f>SUMIFS('Journal'!$F$6:$F$1632,'Journal'!$D$6:$D$1632,B749,'Journal'!$C$6:$C$1632,A749)</x:f>
        <x:v>0</x:v>
      </x:c>
      <x:c r="G749" s="9" t="n">
        <x:f>ROUND(E749-F749,2)</x:f>
        <x:v>0</x:v>
      </x:c>
      <x:c r="H749" s="9" t="n">
        <x:f>ROUND(D749+G749,2)</x:f>
        <x:v>0</x:v>
      </x:c>
    </x:row>
    <x:row r="750" ht="14" customHeight="1">
      <x:c r="A750" s="1" t="n">
        <x:v>11</x:v>
      </x:c>
      <x:c r="B750" s="1" t="str">
        <x:v>7300</x:v>
      </x:c>
      <x:c r="C750" s="1" t="str">
        <x:v>Zinsen Investitionsdarlehen</x:v>
      </x:c>
      <x:c r="D750" s="9" t="n">
        <x:f>H682</x:f>
        <x:v>25000</x:v>
      </x:c>
      <x:c r="E750" s="9" t="n">
        <x:f>SUMIFS('Journal'!$E$6:$E$1632,'Journal'!$D$6:$D$1632,B750,'Journal'!$C$6:$C$1632,A750)</x:f>
        <x:v>2500</x:v>
      </x:c>
      <x:c r="F750" s="9" t="n">
        <x:f>SUMIFS('Journal'!$F$6:$F$1632,'Journal'!$D$6:$D$1632,B750,'Journal'!$C$6:$C$1632,A750)</x:f>
        <x:v>0</x:v>
      </x:c>
      <x:c r="G750" s="9" t="n">
        <x:f>ROUND(E750-F750,2)</x:f>
        <x:v>2500</x:v>
      </x:c>
      <x:c r="H750" s="9" t="n">
        <x:f>ROUND(D750+G750,2)</x:f>
        <x:v>27500</x:v>
      </x:c>
    </x:row>
    <x:row r="751" ht="14" customHeight="1">
      <x:c r="A751" s="1" t="n">
        <x:v>11</x:v>
      </x:c>
      <x:c r="B751" s="1" t="str">
        <x:v>7310</x:v>
      </x:c>
      <x:c r="C751" s="1" t="str">
        <x:v>Zinsen Kontokorrent</x:v>
      </x:c>
      <x:c r="D751" s="9" t="n">
        <x:f>H683</x:f>
        <x:v>10000</x:v>
      </x:c>
      <x:c r="E751" s="9" t="n">
        <x:f>SUMIFS('Journal'!$E$6:$E$1632,'Journal'!$D$6:$D$1632,B751,'Journal'!$C$6:$C$1632,A751)</x:f>
        <x:v>1000</x:v>
      </x:c>
      <x:c r="F751" s="9" t="n">
        <x:f>SUMIFS('Journal'!$F$6:$F$1632,'Journal'!$D$6:$D$1632,B751,'Journal'!$C$6:$C$1632,A751)</x:f>
        <x:v>0</x:v>
      </x:c>
      <x:c r="G751" s="9" t="n">
        <x:f>ROUND(E751-F751,2)</x:f>
        <x:v>1000</x:v>
      </x:c>
      <x:c r="H751" s="9" t="n">
        <x:f>ROUND(D751+G751,2)</x:f>
        <x:v>11000</x:v>
      </x:c>
    </x:row>
    <x:row r="752" ht="14" customHeight="1">
      <x:c r="A752" s="1" t="n">
        <x:v>11</x:v>
      </x:c>
      <x:c r="B752" s="1" t="str">
        <x:v>7320</x:v>
      </x:c>
      <x:c r="C752" s="1" t="str">
        <x:v>Zinsen Gesellschafterdarlehen</x:v>
      </x:c>
      <x:c r="D752" s="9" t="n">
        <x:f>H684</x:f>
        <x:v>0</x:v>
      </x:c>
      <x:c r="E752" s="9" t="n">
        <x:f>SUMIFS('Journal'!$E$6:$E$1632,'Journal'!$D$6:$D$1632,B752,'Journal'!$C$6:$C$1632,A752)</x:f>
        <x:v>0</x:v>
      </x:c>
      <x:c r="F752" s="9" t="n">
        <x:f>SUMIFS('Journal'!$F$6:$F$1632,'Journal'!$D$6:$D$1632,B752,'Journal'!$C$6:$C$1632,A752)</x:f>
        <x:v>0</x:v>
      </x:c>
      <x:c r="G752" s="9" t="n">
        <x:f>ROUND(E752-F752,2)</x:f>
        <x:v>0</x:v>
      </x:c>
      <x:c r="H752" s="9" t="n">
        <x:f>ROUND(D752+G752,2)</x:f>
        <x:v>0</x:v>
      </x:c>
    </x:row>
    <x:row r="753" ht="14" customHeight="1">
      <x:c r="A753" s="1" t="n">
        <x:v>11</x:v>
      </x:c>
      <x:c r="B753" s="1" t="str">
        <x:v>7600</x:v>
      </x:c>
      <x:c r="C753" s="1" t="str">
        <x:v>Ertragsteueraufwand</x:v>
      </x:c>
      <x:c r="D753" s="9" t="n">
        <x:f>H685</x:f>
        <x:v>0</x:v>
      </x:c>
      <x:c r="E753" s="9" t="n">
        <x:f>SUMIFS('Journal'!$E$6:$E$1632,'Journal'!$D$6:$D$1632,B753,'Journal'!$C$6:$C$1632,A753)</x:f>
        <x:v>0</x:v>
      </x:c>
      <x:c r="F753" s="9" t="n">
        <x:f>SUMIFS('Journal'!$F$6:$F$1632,'Journal'!$D$6:$D$1632,B753,'Journal'!$C$6:$C$1632,A753)</x:f>
        <x:v>0</x:v>
      </x:c>
      <x:c r="G753" s="9" t="n">
        <x:f>ROUND(E753-F753,2)</x:f>
        <x:v>0</x:v>
      </x:c>
      <x:c r="H753" s="9" t="n">
        <x:f>ROUND(D753+G753,2)</x:f>
        <x:v>0</x:v>
      </x:c>
    </x:row>
    <x:row r="754" ht="14" customHeight="1">
      <x:c r="A754" s="1" t="n">
        <x:v>12</x:v>
      </x:c>
      <x:c r="B754" s="1" t="str">
        <x:v>0100</x:v>
      </x:c>
      <x:c r="C754" s="1" t="str">
        <x:v>Software</x:v>
      </x:c>
      <x:c r="D754" s="9" t="n">
        <x:f>H686</x:f>
        <x:v>14500</x:v>
      </x:c>
      <x:c r="E754" s="9" t="n">
        <x:f>SUMIFS('Journal'!$E$6:$E$1632,'Journal'!$D$6:$D$1632,B754,'Journal'!$C$6:$C$1632,A754)</x:f>
        <x:v>0</x:v>
      </x:c>
      <x:c r="F754" s="9" t="n">
        <x:f>SUMIFS('Journal'!$F$6:$F$1632,'Journal'!$D$6:$D$1632,B754,'Journal'!$C$6:$C$1632,A754)</x:f>
        <x:v>500</x:v>
      </x:c>
      <x:c r="G754" s="9" t="n">
        <x:f>ROUND(E754-F754,2)</x:f>
        <x:v>-500</x:v>
      </x:c>
      <x:c r="H754" s="9" t="n">
        <x:f>ROUND(D754+G754,2)</x:f>
        <x:v>14000</x:v>
      </x:c>
    </x:row>
    <x:row r="755" ht="14" customHeight="1">
      <x:c r="A755" s="1" t="n">
        <x:v>12</x:v>
      </x:c>
      <x:c r="B755" s="1" t="str">
        <x:v>0400</x:v>
      </x:c>
      <x:c r="C755" s="1" t="str">
        <x:v>Lagereinbauten Erlangen</x:v>
      </x:c>
      <x:c r="D755" s="9" t="n">
        <x:f>H687</x:f>
        <x:v>212500</x:v>
      </x:c>
      <x:c r="E755" s="9" t="n">
        <x:f>SUMIFS('Journal'!$E$6:$E$1632,'Journal'!$D$6:$D$1632,B755,'Journal'!$C$6:$C$1632,A755)</x:f>
        <x:v>0</x:v>
      </x:c>
      <x:c r="F755" s="9" t="n">
        <x:f>SUMIFS('Journal'!$F$6:$F$1632,'Journal'!$D$6:$D$1632,B755,'Journal'!$C$6:$C$1632,A755)</x:f>
        <x:v>2500</x:v>
      </x:c>
      <x:c r="G755" s="9" t="n">
        <x:f>ROUND(E755-F755,2)</x:f>
        <x:v>-2500</x:v>
      </x:c>
      <x:c r="H755" s="9" t="n">
        <x:f>ROUND(D755+G755,2)</x:f>
        <x:v>210000</x:v>
      </x:c>
    </x:row>
    <x:row r="756" ht="14" customHeight="1">
      <x:c r="A756" s="1" t="n">
        <x:v>12</x:v>
      </x:c>
      <x:c r="B756" s="1" t="str">
        <x:v>0520</x:v>
      </x:c>
      <x:c r="C756" s="1" t="str">
        <x:v>Flurförderzeuge</x:v>
      </x:c>
      <x:c r="D756" s="9" t="n">
        <x:f>H688</x:f>
        <x:v>119500</x:v>
      </x:c>
      <x:c r="E756" s="9" t="n">
        <x:f>SUMIFS('Journal'!$E$6:$E$1632,'Journal'!$D$6:$D$1632,B756,'Journal'!$C$6:$C$1632,A756)</x:f>
        <x:v>0</x:v>
      </x:c>
      <x:c r="F756" s="9" t="n">
        <x:f>SUMIFS('Journal'!$F$6:$F$1632,'Journal'!$D$6:$D$1632,B756,'Journal'!$C$6:$C$1632,A756)</x:f>
        <x:v>1500</x:v>
      </x:c>
      <x:c r="G756" s="9" t="n">
        <x:f>ROUND(E756-F756,2)</x:f>
        <x:v>-1500</x:v>
      </x:c>
      <x:c r="H756" s="9" t="n">
        <x:f>ROUND(D756+G756,2)</x:f>
        <x:v>118000</x:v>
      </x:c>
    </x:row>
    <x:row r="757" ht="14" customHeight="1">
      <x:c r="A757" s="1" t="n">
        <x:v>12</x:v>
      </x:c>
      <x:c r="B757" s="1" t="str">
        <x:v>0650</x:v>
      </x:c>
      <x:c r="C757" s="1" t="str">
        <x:v>IT und Kommunikation</x:v>
      </x:c>
      <x:c r="D757" s="9" t="n">
        <x:f>H689</x:f>
        <x:v>82000</x:v>
      </x:c>
      <x:c r="E757" s="9" t="n">
        <x:f>SUMIFS('Journal'!$E$6:$E$1632,'Journal'!$D$6:$D$1632,B757,'Journal'!$C$6:$C$1632,A757)</x:f>
        <x:v>0</x:v>
      </x:c>
      <x:c r="F757" s="9" t="n">
        <x:f>SUMIFS('Journal'!$F$6:$F$1632,'Journal'!$D$6:$D$1632,B757,'Journal'!$C$6:$C$1632,A757)</x:f>
        <x:v>2000</x:v>
      </x:c>
      <x:c r="G757" s="9" t="n">
        <x:f>ROUND(E757-F757,2)</x:f>
        <x:v>-2000</x:v>
      </x:c>
      <x:c r="H757" s="9" t="n">
        <x:f>ROUND(D757+G757,2)</x:f>
        <x:v>80000</x:v>
      </x:c>
    </x:row>
    <x:row r="758" ht="14" customHeight="1">
      <x:c r="A758" s="1" t="n">
        <x:v>12</x:v>
      </x:c>
      <x:c r="B758" s="1" t="str">
        <x:v>0670</x:v>
      </x:c>
      <x:c r="C758" s="1" t="str">
        <x:v>Büroausstattung</x:v>
      </x:c>
      <x:c r="D758" s="9" t="n">
        <x:f>H690</x:f>
        <x:v>49000</x:v>
      </x:c>
      <x:c r="E758" s="9" t="n">
        <x:f>SUMIFS('Journal'!$E$6:$E$1632,'Journal'!$D$6:$D$1632,B758,'Journal'!$C$6:$C$1632,A758)</x:f>
        <x:v>0</x:v>
      </x:c>
      <x:c r="F758" s="9" t="n">
        <x:f>SUMIFS('Journal'!$F$6:$F$1632,'Journal'!$D$6:$D$1632,B758,'Journal'!$C$6:$C$1632,A758)</x:f>
        <x:v>1000</x:v>
      </x:c>
      <x:c r="G758" s="9" t="n">
        <x:f>ROUND(E758-F758,2)</x:f>
        <x:v>-1000</x:v>
      </x:c>
      <x:c r="H758" s="9" t="n">
        <x:f>ROUND(D758+G758,2)</x:f>
        <x:v>48000</x:v>
      </x:c>
    </x:row>
    <x:row r="759" ht="14" customHeight="1">
      <x:c r="A759" s="1" t="n">
        <x:v>12</x:v>
      </x:c>
      <x:c r="B759" s="1" t="str">
        <x:v>1140</x:v>
      </x:c>
      <x:c r="C759" s="1" t="str">
        <x:v>Warenbestand</x:v>
      </x:c>
      <x:c r="D759" s="9" t="n">
        <x:f>H691</x:f>
        <x:v>820000</x:v>
      </x:c>
      <x:c r="E759" s="9" t="n">
        <x:f>SUMIFS('Journal'!$E$6:$E$1632,'Journal'!$D$6:$D$1632,B759,'Journal'!$C$6:$C$1632,A759)</x:f>
        <x:v>432030</x:v>
      </x:c>
      <x:c r="F759" s="9" t="n">
        <x:f>SUMIFS('Journal'!$F$6:$F$1632,'Journal'!$D$6:$D$1632,B759,'Journal'!$C$6:$C$1632,A759)</x:f>
        <x:v>490030</x:v>
      </x:c>
      <x:c r="G759" s="9" t="n">
        <x:f>ROUND(E759-F759,2)</x:f>
        <x:v>-58000</x:v>
      </x:c>
      <x:c r="H759" s="9" t="n">
        <x:f>ROUND(D759+G759,2)</x:f>
        <x:v>762000</x:v>
      </x:c>
    </x:row>
    <x:row r="760" ht="14" customHeight="1">
      <x:c r="A760" s="1" t="n">
        <x:v>12</x:v>
      </x:c>
      <x:c r="B760" s="1" t="str">
        <x:v>1200</x:v>
      </x:c>
      <x:c r="C760" s="1" t="str">
        <x:v>Forderungen aus Lieferungen und Leistungen</x:v>
      </x:c>
      <x:c r="D760" s="9" t="n">
        <x:f>H692</x:f>
        <x:v>880000</x:v>
      </x:c>
      <x:c r="E760" s="9" t="n">
        <x:f>SUMIFS('Journal'!$E$6:$E$1632,'Journal'!$D$6:$D$1632,B760,'Journal'!$C$6:$C$1632,A760)</x:f>
        <x:v>771172</x:v>
      </x:c>
      <x:c r="F760" s="9" t="n">
        <x:f>SUMIFS('Journal'!$F$6:$F$1632,'Journal'!$D$6:$D$1632,B760,'Journal'!$C$6:$C$1632,A760)</x:f>
        <x:v>831172</x:v>
      </x:c>
      <x:c r="G760" s="9" t="n">
        <x:f>ROUND(E760-F760,2)</x:f>
        <x:v>-60000</x:v>
      </x:c>
      <x:c r="H760" s="9" t="n">
        <x:f>ROUND(D760+G760,2)</x:f>
        <x:v>820000</x:v>
      </x:c>
    </x:row>
    <x:row r="761" ht="14" customHeight="1">
      <x:c r="A761" s="1" t="n">
        <x:v>12</x:v>
      </x:c>
      <x:c r="B761" s="1" t="str">
        <x:v>1248</x:v>
      </x:c>
      <x:c r="C761" s="1" t="str">
        <x:v>Einzelwertberichtigungen zu Forderungen</x:v>
      </x:c>
      <x:c r="D761" s="9" t="n">
        <x:f>H693</x:f>
        <x:v>-20000</x:v>
      </x:c>
      <x:c r="E761" s="9" t="n">
        <x:f>SUMIFS('Journal'!$E$6:$E$1632,'Journal'!$D$6:$D$1632,B761,'Journal'!$C$6:$C$1632,A761)</x:f>
        <x:v>0</x:v>
      </x:c>
      <x:c r="F761" s="9" t="n">
        <x:f>SUMIFS('Journal'!$F$6:$F$1632,'Journal'!$D$6:$D$1632,B761,'Journal'!$C$6:$C$1632,A761)</x:f>
        <x:v>10000</x:v>
      </x:c>
      <x:c r="G761" s="9" t="n">
        <x:f>ROUND(E761-F761,2)</x:f>
        <x:v>-10000</x:v>
      </x:c>
      <x:c r="H761" s="9" t="n">
        <x:f>ROUND(D761+G761,2)</x:f>
        <x:v>-30000</x:v>
      </x:c>
    </x:row>
    <x:row r="762" ht="14" customHeight="1">
      <x:c r="A762" s="1" t="n">
        <x:v>12</x:v>
      </x:c>
      <x:c r="B762" s="1" t="str">
        <x:v>1300</x:v>
      </x:c>
      <x:c r="C762" s="1" t="str">
        <x:v>Geleistete Lieferantenanzahlungen</x:v>
      </x:c>
      <x:c r="D762" s="9" t="n">
        <x:f>H694</x:f>
        <x:v>100000</x:v>
      </x:c>
      <x:c r="E762" s="9" t="n">
        <x:f>SUMIFS('Journal'!$E$6:$E$1632,'Journal'!$D$6:$D$1632,B762,'Journal'!$C$6:$C$1632,A762)</x:f>
        <x:v>0</x:v>
      </x:c>
      <x:c r="F762" s="9" t="n">
        <x:f>SUMIFS('Journal'!$F$6:$F$1632,'Journal'!$D$6:$D$1632,B762,'Journal'!$C$6:$C$1632,A762)</x:f>
        <x:v>0</x:v>
      </x:c>
      <x:c r="G762" s="9" t="n">
        <x:f>ROUND(E762-F762,2)</x:f>
        <x:v>0</x:v>
      </x:c>
      <x:c r="H762" s="9" t="n">
        <x:f>ROUND(D762+G762,2)</x:f>
        <x:v>100000</x:v>
      </x:c>
    </x:row>
    <x:row r="763" ht="14" customHeight="1">
      <x:c r="A763" s="1" t="n">
        <x:v>12</x:v>
      </x:c>
      <x:c r="B763" s="1" t="str">
        <x:v>1350</x:v>
      </x:c>
      <x:c r="C763" s="1" t="str">
        <x:v>Mietkaution Erlangen</x:v>
      </x:c>
      <x:c r="D763" s="9" t="n">
        <x:f>H695</x:f>
        <x:v>25000</x:v>
      </x:c>
      <x:c r="E763" s="9" t="n">
        <x:f>SUMIFS('Journal'!$E$6:$E$1632,'Journal'!$D$6:$D$1632,B763,'Journal'!$C$6:$C$1632,A763)</x:f>
        <x:v>0</x:v>
      </x:c>
      <x:c r="F763" s="9" t="n">
        <x:f>SUMIFS('Journal'!$F$6:$F$1632,'Journal'!$D$6:$D$1632,B763,'Journal'!$C$6:$C$1632,A763)</x:f>
        <x:v>0</x:v>
      </x:c>
      <x:c r="G763" s="9" t="n">
        <x:f>ROUND(E763-F763,2)</x:f>
        <x:v>0</x:v>
      </x:c>
      <x:c r="H763" s="9" t="n">
        <x:f>ROUND(D763+G763,2)</x:f>
        <x:v>25000</x:v>
      </x:c>
    </x:row>
    <x:row r="764" ht="14" customHeight="1">
      <x:c r="A764" s="1" t="n">
        <x:v>12</x:v>
      </x:c>
      <x:c r="B764" s="1" t="str">
        <x:v>1401</x:v>
      </x:c>
      <x:c r="C764" s="1" t="str">
        <x:v>Vorsteuer Inland 7 Prozent</x:v>
      </x:c>
      <x:c r="D764" s="9" t="n">
        <x:f>H696</x:f>
        <x:v>0</x:v>
      </x:c>
      <x:c r="E764" s="9" t="n">
        <x:f>SUMIFS('Journal'!$E$6:$E$1632,'Journal'!$D$6:$D$1632,B764,'Journal'!$C$6:$C$1632,A764)</x:f>
        <x:v>11492</x:v>
      </x:c>
      <x:c r="F764" s="9" t="n">
        <x:f>SUMIFS('Journal'!$F$6:$F$1632,'Journal'!$D$6:$D$1632,B764,'Journal'!$C$6:$C$1632,A764)</x:f>
        <x:v>11492</x:v>
      </x:c>
      <x:c r="G764" s="9" t="n">
        <x:f>ROUND(E764-F764,2)</x:f>
        <x:v>0</x:v>
      </x:c>
      <x:c r="H764" s="9" t="n">
        <x:f>ROUND(D764+G764,2)</x:f>
        <x:v>0</x:v>
      </x:c>
    </x:row>
    <x:row r="765" ht="14" customHeight="1">
      <x:c r="A765" s="1" t="n">
        <x:v>12</x:v>
      </x:c>
      <x:c r="B765" s="1" t="str">
        <x:v>1406</x:v>
      </x:c>
      <x:c r="C765" s="1" t="str">
        <x:v>Vorsteuer Inland 19 Prozent</x:v>
      </x:c>
      <x:c r="D765" s="9" t="n">
        <x:f>H697</x:f>
        <x:v>0</x:v>
      </x:c>
      <x:c r="E765" s="9" t="n">
        <x:f>SUMIFS('Journal'!$E$6:$E$1632,'Journal'!$D$6:$D$1632,B765,'Journal'!$C$6:$C$1632,A765)</x:f>
        <x:v>22751</x:v>
      </x:c>
      <x:c r="F765" s="9" t="n">
        <x:f>SUMIFS('Journal'!$F$6:$F$1632,'Journal'!$D$6:$D$1632,B765,'Journal'!$C$6:$C$1632,A765)</x:f>
        <x:v>22751</x:v>
      </x:c>
      <x:c r="G765" s="9" t="n">
        <x:f>ROUND(E765-F765,2)</x:f>
        <x:v>0</x:v>
      </x:c>
      <x:c r="H765" s="9" t="n">
        <x:f>ROUND(D765+G765,2)</x:f>
        <x:v>0</x:v>
      </x:c>
    </x:row>
    <x:row r="766" ht="14" customHeight="1">
      <x:c r="A766" s="1" t="n">
        <x:v>12</x:v>
      </x:c>
      <x:c r="B766" s="1" t="str">
        <x:v>1404</x:v>
      </x:c>
      <x:c r="C766" s="1" t="str">
        <x:v>Vorsteuer EU Erwerb 7 Prozent</x:v>
      </x:c>
      <x:c r="D766" s="9" t="n">
        <x:f>H698</x:f>
        <x:v>0</x:v>
      </x:c>
      <x:c r="E766" s="9" t="n">
        <x:f>SUMIFS('Journal'!$E$6:$E$1632,'Journal'!$D$6:$D$1632,B766,'Journal'!$C$6:$C$1632,A766)</x:f>
        <x:v>6048.42</x:v>
      </x:c>
      <x:c r="F766" s="9" t="n">
        <x:f>SUMIFS('Journal'!$F$6:$F$1632,'Journal'!$D$6:$D$1632,B766,'Journal'!$C$6:$C$1632,A766)</x:f>
        <x:v>6048.42</x:v>
      </x:c>
      <x:c r="G766" s="9" t="n">
        <x:f>ROUND(E766-F766,2)</x:f>
        <x:v>0</x:v>
      </x:c>
      <x:c r="H766" s="9" t="n">
        <x:f>ROUND(D766+G766,2)</x:f>
        <x:v>0</x:v>
      </x:c>
    </x:row>
    <x:row r="767" ht="14" customHeight="1">
      <x:c r="A767" s="1" t="n">
        <x:v>12</x:v>
      </x:c>
      <x:c r="B767" s="1" t="str">
        <x:v>1409</x:v>
      </x:c>
      <x:c r="C767" s="1" t="str">
        <x:v>Vorsteuer EU Erwerb 19 Prozent</x:v>
      </x:c>
      <x:c r="D767" s="9" t="n">
        <x:f>H699</x:f>
        <x:v>0</x:v>
      </x:c>
      <x:c r="E767" s="9" t="n">
        <x:f>SUMIFS('Journal'!$E$6:$E$1632,'Journal'!$D$6:$D$1632,B767,'Journal'!$C$6:$C$1632,A767)</x:f>
        <x:v>4104.28</x:v>
      </x:c>
      <x:c r="F767" s="9" t="n">
        <x:f>SUMIFS('Journal'!$F$6:$F$1632,'Journal'!$D$6:$D$1632,B767,'Journal'!$C$6:$C$1632,A767)</x:f>
        <x:v>4104.28</x:v>
      </x:c>
      <x:c r="G767" s="9" t="n">
        <x:f>ROUND(E767-F767,2)</x:f>
        <x:v>0</x:v>
      </x:c>
      <x:c r="H767" s="9" t="n">
        <x:f>ROUND(D767+G767,2)</x:f>
        <x:v>0</x:v>
      </x:c>
    </x:row>
    <x:row r="768" ht="14" customHeight="1">
      <x:c r="A768" s="1" t="n">
        <x:v>12</x:v>
      </x:c>
      <x:c r="B768" s="1" t="str">
        <x:v>1433</x:v>
      </x:c>
      <x:c r="C768" s="1" t="str">
        <x:v>Einfuhrumsatzsteuer</x:v>
      </x:c>
      <x:c r="D768" s="9" t="n">
        <x:f>H700</x:f>
        <x:v>0</x:v>
      </x:c>
      <x:c r="E768" s="9" t="n">
        <x:f>SUMIFS('Journal'!$E$6:$E$1632,'Journal'!$D$6:$D$1632,B768,'Journal'!$C$6:$C$1632,A768)</x:f>
        <x:v>10627.94</x:v>
      </x:c>
      <x:c r="F768" s="9" t="n">
        <x:f>SUMIFS('Journal'!$F$6:$F$1632,'Journal'!$D$6:$D$1632,B768,'Journal'!$C$6:$C$1632,A768)</x:f>
        <x:v>10627.94</x:v>
      </x:c>
      <x:c r="G768" s="9" t="n">
        <x:f>ROUND(E768-F768,2)</x:f>
        <x:v>0</x:v>
      </x:c>
      <x:c r="H768" s="9" t="n">
        <x:f>ROUND(D768+G768,2)</x:f>
        <x:v>0</x:v>
      </x:c>
    </x:row>
    <x:row r="769" ht="14" customHeight="1">
      <x:c r="A769" s="1" t="n">
        <x:v>12</x:v>
      </x:c>
      <x:c r="B769" s="1" t="str">
        <x:v>1600</x:v>
      </x:c>
      <x:c r="C769" s="1" t="str">
        <x:v>Kasse</x:v>
      </x:c>
      <x:c r="D769" s="9" t="n">
        <x:f>H701</x:f>
        <x:v>3000</x:v>
      </x:c>
      <x:c r="E769" s="9" t="n">
        <x:f>SUMIFS('Journal'!$E$6:$E$1632,'Journal'!$D$6:$D$1632,B769,'Journal'!$C$6:$C$1632,A769)</x:f>
        <x:v>300</x:v>
      </x:c>
      <x:c r="F769" s="9" t="n">
        <x:f>SUMIFS('Journal'!$F$6:$F$1632,'Journal'!$D$6:$D$1632,B769,'Journal'!$C$6:$C$1632,A769)</x:f>
        <x:v>300</x:v>
      </x:c>
      <x:c r="G769" s="9" t="n">
        <x:f>ROUND(E769-F769,2)</x:f>
        <x:v>0</x:v>
      </x:c>
      <x:c r="H769" s="9" t="n">
        <x:f>ROUND(D769+G769,2)</x:f>
        <x:v>3000</x:v>
      </x:c>
    </x:row>
    <x:row r="770" ht="14" customHeight="1">
      <x:c r="A770" s="1" t="n">
        <x:v>12</x:v>
      </x:c>
      <x:c r="B770" s="1" t="str">
        <x:v>1800</x:v>
      </x:c>
      <x:c r="C770" s="1" t="str">
        <x:v>Bank Frankenbogen Geschäftskonto</x:v>
      </x:c>
      <x:c r="D770" s="9" t="n">
        <x:f>H702</x:f>
        <x:v>135214.97</x:v>
      </x:c>
      <x:c r="E770" s="9" t="n">
        <x:f>SUMIFS('Journal'!$E$6:$E$1632,'Journal'!$D$6:$D$1632,B770,'Journal'!$C$6:$C$1632,A770)</x:f>
        <x:v>833232.43</x:v>
      </x:c>
      <x:c r="F770" s="9" t="n">
        <x:f>SUMIFS('Journal'!$F$6:$F$1632,'Journal'!$D$6:$D$1632,B770,'Journal'!$C$6:$C$1632,A770)</x:f>
        <x:v>748900.94</x:v>
      </x:c>
      <x:c r="G770" s="9" t="n">
        <x:f>ROUND(E770-F770,2)</x:f>
        <x:v>84331.49</x:v>
      </x:c>
      <x:c r="H770" s="9" t="n">
        <x:f>ROUND(D770+G770,2)</x:f>
        <x:v>219546.46</x:v>
      </x:c>
    </x:row>
    <x:row r="771" ht="14" customHeight="1">
      <x:c r="A771" s="1" t="n">
        <x:v>12</x:v>
      </x:c>
      <x:c r="B771" s="1" t="str">
        <x:v>1900</x:v>
      </x:c>
      <x:c r="C771" s="1" t="str">
        <x:v>Aktive Rechnungsabgrenzung</x:v>
      </x:c>
      <x:c r="D771" s="9" t="n">
        <x:f>H703</x:f>
        <x:v>0</x:v>
      </x:c>
      <x:c r="E771" s="9" t="n">
        <x:f>SUMIFS('Journal'!$E$6:$E$1632,'Journal'!$D$6:$D$1632,B771,'Journal'!$C$6:$C$1632,A771)</x:f>
        <x:v>18000</x:v>
      </x:c>
      <x:c r="F771" s="9" t="n">
        <x:f>SUMIFS('Journal'!$F$6:$F$1632,'Journal'!$D$6:$D$1632,B771,'Journal'!$C$6:$C$1632,A771)</x:f>
        <x:v>0</x:v>
      </x:c>
      <x:c r="G771" s="9" t="n">
        <x:f>ROUND(E771-F771,2)</x:f>
        <x:v>18000</x:v>
      </x:c>
      <x:c r="H771" s="9" t="n">
        <x:f>ROUND(D771+G771,2)</x:f>
        <x:v>18000</x:v>
      </x:c>
    </x:row>
    <x:row r="772" ht="14" customHeight="1">
      <x:c r="A772" s="1" t="n">
        <x:v>12</x:v>
      </x:c>
      <x:c r="B772" s="1" t="str">
        <x:v>2900</x:v>
      </x:c>
      <x:c r="C772" s="1" t="str">
        <x:v>Gezeichnetes Kapital</x:v>
      </x:c>
      <x:c r="D772" s="9" t="n">
        <x:f>H704</x:f>
        <x:v>-100000</x:v>
      </x:c>
      <x:c r="E772" s="9" t="n">
        <x:f>SUMIFS('Journal'!$E$6:$E$1632,'Journal'!$D$6:$D$1632,B772,'Journal'!$C$6:$C$1632,A772)</x:f>
        <x:v>0</x:v>
      </x:c>
      <x:c r="F772" s="9" t="n">
        <x:f>SUMIFS('Journal'!$F$6:$F$1632,'Journal'!$D$6:$D$1632,B772,'Journal'!$C$6:$C$1632,A772)</x:f>
        <x:v>0</x:v>
      </x:c>
      <x:c r="G772" s="9" t="n">
        <x:f>ROUND(E772-F772,2)</x:f>
        <x:v>0</x:v>
      </x:c>
      <x:c r="H772" s="9" t="n">
        <x:f>ROUND(D772+G772,2)</x:f>
        <x:v>-100000</x:v>
      </x:c>
    </x:row>
    <x:row r="773" ht="14" customHeight="1">
      <x:c r="A773" s="1" t="n">
        <x:v>12</x:v>
      </x:c>
      <x:c r="B773" s="1" t="str">
        <x:v>2970</x:v>
      </x:c>
      <x:c r="C773" s="1" t="str">
        <x:v>Gewinnvortrag bis 2023</x:v>
      </x:c>
      <x:c r="D773" s="9" t="n">
        <x:f>H705</x:f>
        <x:v>-705000</x:v>
      </x:c>
      <x:c r="E773" s="9" t="n">
        <x:f>SUMIFS('Journal'!$E$6:$E$1632,'Journal'!$D$6:$D$1632,B773,'Journal'!$C$6:$C$1632,A773)</x:f>
        <x:v>0</x:v>
      </x:c>
      <x:c r="F773" s="9" t="n">
        <x:f>SUMIFS('Journal'!$F$6:$F$1632,'Journal'!$D$6:$D$1632,B773,'Journal'!$C$6:$C$1632,A773)</x:f>
        <x:v>0</x:v>
      </x:c>
      <x:c r="G773" s="9" t="n">
        <x:f>ROUND(E773-F773,2)</x:f>
        <x:v>0</x:v>
      </x:c>
      <x:c r="H773" s="9" t="n">
        <x:f>ROUND(D773+G773,2)</x:f>
        <x:v>-705000</x:v>
      </x:c>
    </x:row>
    <x:row r="774" ht="14" customHeight="1">
      <x:c r="A774" s="1" t="n">
        <x:v>12</x:v>
      </x:c>
      <x:c r="B774" s="1" t="str">
        <x:v>2978</x:v>
      </x:c>
      <x:c r="C774" s="1" t="str">
        <x:v>Ergebnisvortrag 2024</x:v>
      </x:c>
      <x:c r="D774" s="9" t="n">
        <x:f>H706</x:f>
        <x:v>0</x:v>
      </x:c>
      <x:c r="E774" s="9" t="n">
        <x:f>SUMIFS('Journal'!$E$6:$E$1632,'Journal'!$D$6:$D$1632,B774,'Journal'!$C$6:$C$1632,A774)</x:f>
        <x:v>0</x:v>
      </x:c>
      <x:c r="F774" s="9" t="n">
        <x:f>SUMIFS('Journal'!$F$6:$F$1632,'Journal'!$D$6:$D$1632,B774,'Journal'!$C$6:$C$1632,A774)</x:f>
        <x:v>0</x:v>
      </x:c>
      <x:c r="G774" s="9" t="n">
        <x:f>ROUND(E774-F774,2)</x:f>
        <x:v>0</x:v>
      </x:c>
      <x:c r="H774" s="9" t="n">
        <x:f>ROUND(D774+G774,2)</x:f>
        <x:v>0</x:v>
      </x:c>
    </x:row>
    <x:row r="775" ht="14" customHeight="1">
      <x:c r="A775" s="1" t="n">
        <x:v>12</x:v>
      </x:c>
      <x:c r="B775" s="1" t="str">
        <x:v>3090</x:v>
      </x:c>
      <x:c r="C775" s="1" t="str">
        <x:v>Rückstellungen Abschluss und Urlaub</x:v>
      </x:c>
      <x:c r="D775" s="9" t="n">
        <x:f>H707</x:f>
        <x:v>-45000</x:v>
      </x:c>
      <x:c r="E775" s="9" t="n">
        <x:f>SUMIFS('Journal'!$E$6:$E$1632,'Journal'!$D$6:$D$1632,B775,'Journal'!$C$6:$C$1632,A775)</x:f>
        <x:v>0</x:v>
      </x:c>
      <x:c r="F775" s="9" t="n">
        <x:f>SUMIFS('Journal'!$F$6:$F$1632,'Journal'!$D$6:$D$1632,B775,'Journal'!$C$6:$C$1632,A775)</x:f>
        <x:v>15000</x:v>
      </x:c>
      <x:c r="G775" s="9" t="n">
        <x:f>ROUND(E775-F775,2)</x:f>
        <x:v>-15000</x:v>
      </x:c>
      <x:c r="H775" s="9" t="n">
        <x:f>ROUND(D775+G775,2)</x:f>
        <x:v>-60000</x:v>
      </x:c>
    </x:row>
    <x:row r="776" ht="14" customHeight="1">
      <x:c r="A776" s="1" t="n">
        <x:v>12</x:v>
      </x:c>
      <x:c r="B776" s="1" t="str">
        <x:v>3150</x:v>
      </x:c>
      <x:c r="C776" s="1" t="str">
        <x:v>Investitionsdarlehen Frankenbogen</x:v>
      </x:c>
      <x:c r="D776" s="9" t="n">
        <x:f>H708</x:f>
        <x:v>-490000</x:v>
      </x:c>
      <x:c r="E776" s="9" t="n">
        <x:f>SUMIFS('Journal'!$E$6:$E$1632,'Journal'!$D$6:$D$1632,B776,'Journal'!$C$6:$C$1632,A776)</x:f>
        <x:v>10000</x:v>
      </x:c>
      <x:c r="F776" s="9" t="n">
        <x:f>SUMIFS('Journal'!$F$6:$F$1632,'Journal'!$D$6:$D$1632,B776,'Journal'!$C$6:$C$1632,A776)</x:f>
        <x:v>0</x:v>
      </x:c>
      <x:c r="G776" s="9" t="n">
        <x:f>ROUND(E776-F776,2)</x:f>
        <x:v>10000</x:v>
      </x:c>
      <x:c r="H776" s="9" t="n">
        <x:f>ROUND(D776+G776,2)</x:f>
        <x:v>-480000</x:v>
      </x:c>
    </x:row>
    <x:row r="777" ht="14" customHeight="1">
      <x:c r="A777" s="1" t="n">
        <x:v>12</x:v>
      </x:c>
      <x:c r="B777" s="1" t="str">
        <x:v>3160</x:v>
      </x:c>
      <x:c r="C777" s="1" t="str">
        <x:v>Gesellschafterdarlehen</x:v>
      </x:c>
      <x:c r="D777" s="9" t="n">
        <x:f>H709</x:f>
        <x:v>0</x:v>
      </x:c>
      <x:c r="E777" s="9" t="n">
        <x:f>SUMIFS('Journal'!$E$6:$E$1632,'Journal'!$D$6:$D$1632,B777,'Journal'!$C$6:$C$1632,A777)</x:f>
        <x:v>0</x:v>
      </x:c>
      <x:c r="F777" s="9" t="n">
        <x:f>SUMIFS('Journal'!$F$6:$F$1632,'Journal'!$D$6:$D$1632,B777,'Journal'!$C$6:$C$1632,A777)</x:f>
        <x:v>0</x:v>
      </x:c>
      <x:c r="G777" s="9" t="n">
        <x:f>ROUND(E777-F777,2)</x:f>
        <x:v>0</x:v>
      </x:c>
      <x:c r="H777" s="9" t="n">
        <x:f>ROUND(D777+G777,2)</x:f>
        <x:v>0</x:v>
      </x:c>
    </x:row>
    <x:row r="778" ht="14" customHeight="1">
      <x:c r="A778" s="1" t="n">
        <x:v>12</x:v>
      </x:c>
      <x:c r="B778" s="1" t="str">
        <x:v>3300</x:v>
      </x:c>
      <x:c r="C778" s="1" t="str">
        <x:v>Verbindlichkeiten aus Lieferungen und Leistungen</x:v>
      </x:c>
      <x:c r="D778" s="9" t="n">
        <x:f>H710</x:f>
        <x:v>-750000</x:v>
      </x:c>
      <x:c r="E778" s="9" t="n">
        <x:f>SUMIFS('Journal'!$E$6:$E$1632,'Journal'!$D$6:$D$1632,B778,'Journal'!$C$6:$C$1632,A778)</x:f>
        <x:v>587053</x:v>
      </x:c>
      <x:c r="F778" s="9" t="n">
        <x:f>SUMIFS('Journal'!$F$6:$F$1632,'Journal'!$D$6:$D$1632,B778,'Journal'!$C$6:$C$1632,A778)</x:f>
        <x:v>537053</x:v>
      </x:c>
      <x:c r="G778" s="9" t="n">
        <x:f>ROUND(E778-F778,2)</x:f>
        <x:v>50000</x:v>
      </x:c>
      <x:c r="H778" s="9" t="n">
        <x:f>ROUND(D778+G778,2)</x:f>
        <x:v>-700000</x:v>
      </x:c>
    </x:row>
    <x:row r="779" ht="14" customHeight="1">
      <x:c r="A779" s="1" t="n">
        <x:v>12</x:v>
      </x:c>
      <x:c r="B779" s="1" t="str">
        <x:v>3500</x:v>
      </x:c>
      <x:c r="C779" s="1" t="str">
        <x:v>Sonstige Verbindlichkeiten</x:v>
      </x:c>
      <x:c r="D779" s="9" t="n">
        <x:f>H711</x:f>
        <x:v>-22000</x:v>
      </x:c>
      <x:c r="E779" s="9" t="n">
        <x:f>SUMIFS('Journal'!$E$6:$E$1632,'Journal'!$D$6:$D$1632,B779,'Journal'!$C$6:$C$1632,A779)</x:f>
        <x:v>0</x:v>
      </x:c>
      <x:c r="F779" s="9" t="n">
        <x:f>SUMIFS('Journal'!$F$6:$F$1632,'Journal'!$D$6:$D$1632,B779,'Journal'!$C$6:$C$1632,A779)</x:f>
        <x:v>0</x:v>
      </x:c>
      <x:c r="G779" s="9" t="n">
        <x:f>ROUND(E779-F779,2)</x:f>
        <x:v>0</x:v>
      </x:c>
      <x:c r="H779" s="9" t="n">
        <x:f>ROUND(D779+G779,2)</x:f>
        <x:v>-22000</x:v>
      </x:c>
    </x:row>
    <x:row r="780" ht="14" customHeight="1">
      <x:c r="A780" s="1" t="n">
        <x:v>12</x:v>
      </x:c>
      <x:c r="B780" s="1" t="str">
        <x:v>3720</x:v>
      </x:c>
      <x:c r="C780" s="1" t="str">
        <x:v>Verbindlichkeiten Nettolöhne</x:v>
      </x:c>
      <x:c r="D780" s="9" t="n">
        <x:f>H712</x:f>
        <x:v>0</x:v>
      </x:c>
      <x:c r="E780" s="9" t="n">
        <x:f>SUMIFS('Journal'!$E$6:$E$1632,'Journal'!$D$6:$D$1632,B780,'Journal'!$C$6:$C$1632,A780)</x:f>
        <x:v>56760</x:v>
      </x:c>
      <x:c r="F780" s="9" t="n">
        <x:f>SUMIFS('Journal'!$F$6:$F$1632,'Journal'!$D$6:$D$1632,B780,'Journal'!$C$6:$C$1632,A780)</x:f>
        <x:v>56760</x:v>
      </x:c>
      <x:c r="G780" s="9" t="n">
        <x:f>ROUND(E780-F780,2)</x:f>
        <x:v>0</x:v>
      </x:c>
      <x:c r="H780" s="9" t="n">
        <x:f>ROUND(D780+G780,2)</x:f>
        <x:v>0</x:v>
      </x:c>
    </x:row>
    <x:row r="781" ht="14" customHeight="1">
      <x:c r="A781" s="1" t="n">
        <x:v>12</x:v>
      </x:c>
      <x:c r="B781" s="1" t="str">
        <x:v>3730</x:v>
      </x:c>
      <x:c r="C781" s="1" t="str">
        <x:v>Verbindlichkeiten Lohnsteuer</x:v>
      </x:c>
      <x:c r="D781" s="9" t="n">
        <x:f>H713</x:f>
        <x:v>-12900</x:v>
      </x:c>
      <x:c r="E781" s="9" t="n">
        <x:f>SUMIFS('Journal'!$E$6:$E$1632,'Journal'!$D$6:$D$1632,B781,'Journal'!$C$6:$C$1632,A781)</x:f>
        <x:v>12900</x:v>
      </x:c>
      <x:c r="F781" s="9" t="n">
        <x:f>SUMIFS('Journal'!$F$6:$F$1632,'Journal'!$D$6:$D$1632,B781,'Journal'!$C$6:$C$1632,A781)</x:f>
        <x:v>12900</x:v>
      </x:c>
      <x:c r="G781" s="9" t="n">
        <x:f>ROUND(E781-F781,2)</x:f>
        <x:v>0</x:v>
      </x:c>
      <x:c r="H781" s="9" t="n">
        <x:f>ROUND(D781+G781,2)</x:f>
        <x:v>-12900</x:v>
      </x:c>
    </x:row>
    <x:row r="782" ht="14" customHeight="1">
      <x:c r="A782" s="1" t="n">
        <x:v>12</x:v>
      </x:c>
      <x:c r="B782" s="1" t="str">
        <x:v>3740</x:v>
      </x:c>
      <x:c r="C782" s="1" t="str">
        <x:v>Verbindlichkeiten Sozialversicherung</x:v>
      </x:c>
      <x:c r="D782" s="9" t="n">
        <x:f>H714</x:f>
        <x:v>0</x:v>
      </x:c>
      <x:c r="E782" s="9" t="n">
        <x:f>SUMIFS('Journal'!$E$6:$E$1632,'Journal'!$D$6:$D$1632,B782,'Journal'!$C$6:$C$1632,A782)</x:f>
        <x:v>34340</x:v>
      </x:c>
      <x:c r="F782" s="9" t="n">
        <x:f>SUMIFS('Journal'!$F$6:$F$1632,'Journal'!$D$6:$D$1632,B782,'Journal'!$C$6:$C$1632,A782)</x:f>
        <x:v>34340</x:v>
      </x:c>
      <x:c r="G782" s="9" t="n">
        <x:f>ROUND(E782-F782,2)</x:f>
        <x:v>0</x:v>
      </x:c>
      <x:c r="H782" s="9" t="n">
        <x:f>ROUND(D782+G782,2)</x:f>
        <x:v>0</x:v>
      </x:c>
    </x:row>
    <x:row r="783" ht="14" customHeight="1">
      <x:c r="A783" s="1" t="n">
        <x:v>12</x:v>
      </x:c>
      <x:c r="B783" s="1" t="str">
        <x:v>3801</x:v>
      </x:c>
      <x:c r="C783" s="1" t="str">
        <x:v>Umsatzsteuer Inland 7 Prozent</x:v>
      </x:c>
      <x:c r="D783" s="9" t="n">
        <x:f>H715</x:f>
        <x:v>0</x:v>
      </x:c>
      <x:c r="E783" s="9" t="n">
        <x:f>SUMIFS('Journal'!$E$6:$E$1632,'Journal'!$D$6:$D$1632,B783,'Journal'!$C$6:$C$1632,A783)</x:f>
        <x:v>24528</x:v>
      </x:c>
      <x:c r="F783" s="9" t="n">
        <x:f>SUMIFS('Journal'!$F$6:$F$1632,'Journal'!$D$6:$D$1632,B783,'Journal'!$C$6:$C$1632,A783)</x:f>
        <x:v>24528</x:v>
      </x:c>
      <x:c r="G783" s="9" t="n">
        <x:f>ROUND(E783-F783,2)</x:f>
        <x:v>0</x:v>
      </x:c>
      <x:c r="H783" s="9" t="n">
        <x:f>ROUND(D783+G783,2)</x:f>
        <x:v>0</x:v>
      </x:c>
    </x:row>
    <x:row r="784" ht="14" customHeight="1">
      <x:c r="A784" s="1" t="n">
        <x:v>12</x:v>
      </x:c>
      <x:c r="B784" s="1" t="str">
        <x:v>3806</x:v>
      </x:c>
      <x:c r="C784" s="1" t="str">
        <x:v>Umsatzsteuer Inland 19 Prozent</x:v>
      </x:c>
      <x:c r="D784" s="9" t="n">
        <x:f>H716</x:f>
        <x:v>0</x:v>
      </x:c>
      <x:c r="E784" s="9" t="n">
        <x:f>SUMIFS('Journal'!$E$6:$E$1632,'Journal'!$D$6:$D$1632,B784,'Journal'!$C$6:$C$1632,A784)</x:f>
        <x:v>16644</x:v>
      </x:c>
      <x:c r="F784" s="9" t="n">
        <x:f>SUMIFS('Journal'!$F$6:$F$1632,'Journal'!$D$6:$D$1632,B784,'Journal'!$C$6:$C$1632,A784)</x:f>
        <x:v>16644</x:v>
      </x:c>
      <x:c r="G784" s="9" t="n">
        <x:f>ROUND(E784-F784,2)</x:f>
        <x:v>0</x:v>
      </x:c>
      <x:c r="H784" s="9" t="n">
        <x:f>ROUND(D784+G784,2)</x:f>
        <x:v>0</x:v>
      </x:c>
    </x:row>
    <x:row r="785" ht="14" customHeight="1">
      <x:c r="A785" s="1" t="n">
        <x:v>12</x:v>
      </x:c>
      <x:c r="B785" s="1" t="str">
        <x:v>3804</x:v>
      </x:c>
      <x:c r="C785" s="1" t="str">
        <x:v>Umsatzsteuer EU Erwerb 7 Prozent</x:v>
      </x:c>
      <x:c r="D785" s="9" t="n">
        <x:f>H717</x:f>
        <x:v>0</x:v>
      </x:c>
      <x:c r="E785" s="9" t="n">
        <x:f>SUMIFS('Journal'!$E$6:$E$1632,'Journal'!$D$6:$D$1632,B785,'Journal'!$C$6:$C$1632,A785)</x:f>
        <x:v>6048.42</x:v>
      </x:c>
      <x:c r="F785" s="9" t="n">
        <x:f>SUMIFS('Journal'!$F$6:$F$1632,'Journal'!$D$6:$D$1632,B785,'Journal'!$C$6:$C$1632,A785)</x:f>
        <x:v>6048.42</x:v>
      </x:c>
      <x:c r="G785" s="9" t="n">
        <x:f>ROUND(E785-F785,2)</x:f>
        <x:v>0</x:v>
      </x:c>
      <x:c r="H785" s="9" t="n">
        <x:f>ROUND(D785+G785,2)</x:f>
        <x:v>0</x:v>
      </x:c>
    </x:row>
    <x:row r="786" ht="14" customHeight="1">
      <x:c r="A786" s="1" t="n">
        <x:v>12</x:v>
      </x:c>
      <x:c r="B786" s="1" t="str">
        <x:v>3809</x:v>
      </x:c>
      <x:c r="C786" s="1" t="str">
        <x:v>Umsatzsteuer EU Erwerb 19 Prozent</x:v>
      </x:c>
      <x:c r="D786" s="9" t="n">
        <x:f>H718</x:f>
        <x:v>0</x:v>
      </x:c>
      <x:c r="E786" s="9" t="n">
        <x:f>SUMIFS('Journal'!$E$6:$E$1632,'Journal'!$D$6:$D$1632,B786,'Journal'!$C$6:$C$1632,A786)</x:f>
        <x:v>4104.28</x:v>
      </x:c>
      <x:c r="F786" s="9" t="n">
        <x:f>SUMIFS('Journal'!$F$6:$F$1632,'Journal'!$D$6:$D$1632,B786,'Journal'!$C$6:$C$1632,A786)</x:f>
        <x:v>4104.28</x:v>
      </x:c>
      <x:c r="G786" s="9" t="n">
        <x:f>ROUND(E786-F786,2)</x:f>
        <x:v>0</x:v>
      </x:c>
      <x:c r="H786" s="9" t="n">
        <x:f>ROUND(D786+G786,2)</x:f>
        <x:v>0</x:v>
      </x:c>
    </x:row>
    <x:row r="787" ht="14" customHeight="1">
      <x:c r="A787" s="1" t="n">
        <x:v>12</x:v>
      </x:c>
      <x:c r="B787" s="1" t="str">
        <x:v>3820</x:v>
      </x:c>
      <x:c r="C787" s="1" t="str">
        <x:v>Umsatzsteuer Verrechnung Finanzamt</x:v>
      </x:c>
      <x:c r="D787" s="9" t="n">
        <x:f>H719</x:f>
        <x:v>6020.03</x:v>
      </x:c>
      <x:c r="E787" s="9" t="n">
        <x:f>SUMIFS('Journal'!$E$6:$E$1632,'Journal'!$D$6:$D$1632,B787,'Journal'!$C$6:$C$1632,A787)</x:f>
        <x:v>55023.64</x:v>
      </x:c>
      <x:c r="F787" s="9" t="n">
        <x:f>SUMIFS('Journal'!$F$6:$F$1632,'Journal'!$D$6:$D$1632,B787,'Journal'!$C$6:$C$1632,A787)</x:f>
        <x:v>57185.13</x:v>
      </x:c>
      <x:c r="G787" s="9" t="n">
        <x:f>ROUND(E787-F787,2)</x:f>
        <x:v>-2161.49</x:v>
      </x:c>
      <x:c r="H787" s="9" t="n">
        <x:f>ROUND(D787+G787,2)</x:f>
        <x:v>3858.54</x:v>
      </x:c>
    </x:row>
    <x:row r="788" ht="14" customHeight="1">
      <x:c r="A788" s="1" t="n">
        <x:v>12</x:v>
      </x:c>
      <x:c r="B788" s="1" t="str">
        <x:v>3840</x:v>
      </x:c>
      <x:c r="C788" s="1" t="str">
        <x:v>Ertragsteuern Verrechnung</x:v>
      </x:c>
      <x:c r="D788" s="9" t="n">
        <x:f>H720</x:f>
        <x:v>1000</x:v>
      </x:c>
      <x:c r="E788" s="9" t="n">
        <x:f>SUMIFS('Journal'!$E$6:$E$1632,'Journal'!$D$6:$D$1632,B788,'Journal'!$C$6:$C$1632,A788)</x:f>
        <x:v>12000</x:v>
      </x:c>
      <x:c r="F788" s="9" t="n">
        <x:f>SUMIFS('Journal'!$F$6:$F$1632,'Journal'!$D$6:$D$1632,B788,'Journal'!$C$6:$C$1632,A788)</x:f>
        <x:v>50000</x:v>
      </x:c>
      <x:c r="G788" s="9" t="n">
        <x:f>ROUND(E788-F788,2)</x:f>
        <x:v>-38000</x:v>
      </x:c>
      <x:c r="H788" s="9" t="n">
        <x:f>ROUND(D788+G788,2)</x:f>
        <x:v>-37000</x:v>
      </x:c>
    </x:row>
    <x:row r="789" ht="14" customHeight="1">
      <x:c r="A789" s="1" t="n">
        <x:v>12</x:v>
      </x:c>
      <x:c r="B789" s="1" t="str">
        <x:v>4300</x:v>
      </x:c>
      <x:c r="C789" s="1" t="str">
        <x:v>Erlöse Inland 7 Prozent</x:v>
      </x:c>
      <x:c r="D789" s="9" t="n">
        <x:f>H721</x:f>
        <x:v>-3297600</x:v>
      </x:c>
      <x:c r="E789" s="9" t="n">
        <x:f>SUMIFS('Journal'!$E$6:$E$1632,'Journal'!$D$6:$D$1632,B789,'Journal'!$C$6:$C$1632,A789)</x:f>
        <x:v>0</x:v>
      </x:c>
      <x:c r="F789" s="9" t="n">
        <x:f>SUMIFS('Journal'!$F$6:$F$1632,'Journal'!$D$6:$D$1632,B789,'Journal'!$C$6:$C$1632,A789)</x:f>
        <x:v>350400</x:v>
      </x:c>
      <x:c r="G789" s="9" t="n">
        <x:f>ROUND(E789-F789,2)</x:f>
        <x:v>-350400</x:v>
      </x:c>
      <x:c r="H789" s="9" t="n">
        <x:f>ROUND(D789+G789,2)</x:f>
        <x:v>-3648000</x:v>
      </x:c>
    </x:row>
    <x:row r="790" ht="14" customHeight="1">
      <x:c r="A790" s="1" t="n">
        <x:v>12</x:v>
      </x:c>
      <x:c r="B790" s="1" t="str">
        <x:v>4400</x:v>
      </x:c>
      <x:c r="C790" s="1" t="str">
        <x:v>Erlöse Inland 19 Prozent</x:v>
      </x:c>
      <x:c r="D790" s="9" t="n">
        <x:f>H722</x:f>
        <x:v>-824400</x:v>
      </x:c>
      <x:c r="E790" s="9" t="n">
        <x:f>SUMIFS('Journal'!$E$6:$E$1632,'Journal'!$D$6:$D$1632,B790,'Journal'!$C$6:$C$1632,A790)</x:f>
        <x:v>0</x:v>
      </x:c>
      <x:c r="F790" s="9" t="n">
        <x:f>SUMIFS('Journal'!$F$6:$F$1632,'Journal'!$D$6:$D$1632,B790,'Journal'!$C$6:$C$1632,A790)</x:f>
        <x:v>87600</x:v>
      </x:c>
      <x:c r="G790" s="9" t="n">
        <x:f>ROUND(E790-F790,2)</x:f>
        <x:v>-87600</x:v>
      </x:c>
      <x:c r="H790" s="9" t="n">
        <x:f>ROUND(D790+G790,2)</x:f>
        <x:v>-912000</x:v>
      </x:c>
    </x:row>
    <x:row r="791" ht="14" customHeight="1">
      <x:c r="A791" s="1" t="n">
        <x:v>12</x:v>
      </x:c>
      <x:c r="B791" s="1" t="str">
        <x:v>4125</x:v>
      </x:c>
      <x:c r="C791" s="1" t="str">
        <x:v>Erlöse EU Warenlieferungen</x:v>
      </x:c>
      <x:c r="D791" s="9" t="n">
        <x:f>H723</x:f>
        <x:v>-1374000</x:v>
      </x:c>
      <x:c r="E791" s="9" t="n">
        <x:f>SUMIFS('Journal'!$E$6:$E$1632,'Journal'!$D$6:$D$1632,B791,'Journal'!$C$6:$C$1632,A791)</x:f>
        <x:v>0</x:v>
      </x:c>
      <x:c r="F791" s="9" t="n">
        <x:f>SUMIFS('Journal'!$F$6:$F$1632,'Journal'!$D$6:$D$1632,B791,'Journal'!$C$6:$C$1632,A791)</x:f>
        <x:v>146000</x:v>
      </x:c>
      <x:c r="G791" s="9" t="n">
        <x:f>ROUND(E791-F791,2)</x:f>
        <x:v>-146000</x:v>
      </x:c>
      <x:c r="H791" s="9" t="n">
        <x:f>ROUND(D791+G791,2)</x:f>
        <x:v>-1520000</x:v>
      </x:c>
    </x:row>
    <x:row r="792" ht="14" customHeight="1">
      <x:c r="A792" s="1" t="n">
        <x:v>12</x:v>
      </x:c>
      <x:c r="B792" s="1" t="str">
        <x:v>4120</x:v>
      </x:c>
      <x:c r="C792" s="1" t="str">
        <x:v>Erlöse Drittland Warenlieferungen</x:v>
      </x:c>
      <x:c r="D792" s="9" t="n">
        <x:f>H724</x:f>
        <x:v>-1374000</x:v>
      </x:c>
      <x:c r="E792" s="9" t="n">
        <x:f>SUMIFS('Journal'!$E$6:$E$1632,'Journal'!$D$6:$D$1632,B792,'Journal'!$C$6:$C$1632,A792)</x:f>
        <x:v>0</x:v>
      </x:c>
      <x:c r="F792" s="9" t="n">
        <x:f>SUMIFS('Journal'!$F$6:$F$1632,'Journal'!$D$6:$D$1632,B792,'Journal'!$C$6:$C$1632,A792)</x:f>
        <x:v>146000</x:v>
      </x:c>
      <x:c r="G792" s="9" t="n">
        <x:f>ROUND(E792-F792,2)</x:f>
        <x:v>-146000</x:v>
      </x:c>
      <x:c r="H792" s="9" t="n">
        <x:f>ROUND(D792+G792,2)</x:f>
        <x:v>-1520000</x:v>
      </x:c>
    </x:row>
    <x:row r="793" ht="14" customHeight="1">
      <x:c r="A793" s="1" t="n">
        <x:v>12</x:v>
      </x:c>
      <x:c r="B793" s="1" t="str">
        <x:v>4730</x:v>
      </x:c>
      <x:c r="C793" s="1" t="str">
        <x:v>Erlösschmälerungen Inland 7 Prozent</x:v>
      </x:c>
      <x:c r="D793" s="9" t="n">
        <x:f>H725</x:f>
        <x:v>19140</x:v>
      </x:c>
      <x:c r="E793" s="9" t="n">
        <x:f>SUMIFS('Journal'!$E$6:$E$1632,'Journal'!$D$6:$D$1632,B793,'Journal'!$C$6:$C$1632,A793)</x:f>
        <x:v>2280</x:v>
      </x:c>
      <x:c r="F793" s="9" t="n">
        <x:f>SUMIFS('Journal'!$F$6:$F$1632,'Journal'!$D$6:$D$1632,B793,'Journal'!$C$6:$C$1632,A793)</x:f>
        <x:v>0</x:v>
      </x:c>
      <x:c r="G793" s="9" t="n">
        <x:f>ROUND(E793-F793,2)</x:f>
        <x:v>2280</x:v>
      </x:c>
      <x:c r="H793" s="9" t="n">
        <x:f>ROUND(D793+G793,2)</x:f>
        <x:v>21420</x:v>
      </x:c>
    </x:row>
    <x:row r="794" ht="14" customHeight="1">
      <x:c r="A794" s="1" t="n">
        <x:v>12</x:v>
      </x:c>
      <x:c r="B794" s="1" t="str">
        <x:v>4735</x:v>
      </x:c>
      <x:c r="C794" s="1" t="str">
        <x:v>Erlösschmälerungen EU</x:v>
      </x:c>
      <x:c r="D794" s="9" t="n">
        <x:f>H726</x:f>
        <x:v>12760</x:v>
      </x:c>
      <x:c r="E794" s="9" t="n">
        <x:f>SUMIFS('Journal'!$E$6:$E$1632,'Journal'!$D$6:$D$1632,B794,'Journal'!$C$6:$C$1632,A794)</x:f>
        <x:v>1520</x:v>
      </x:c>
      <x:c r="F794" s="9" t="n">
        <x:f>SUMIFS('Journal'!$F$6:$F$1632,'Journal'!$D$6:$D$1632,B794,'Journal'!$C$6:$C$1632,A794)</x:f>
        <x:v>0</x:v>
      </x:c>
      <x:c r="G794" s="9" t="n">
        <x:f>ROUND(E794-F794,2)</x:f>
        <x:v>1520</x:v>
      </x:c>
      <x:c r="H794" s="9" t="n">
        <x:f>ROUND(D794+G794,2)</x:f>
        <x:v>14280</x:v>
      </x:c>
    </x:row>
    <x:row r="795" ht="14" customHeight="1">
      <x:c r="A795" s="1" t="n">
        <x:v>12</x:v>
      </x:c>
      <x:c r="B795" s="1" t="str">
        <x:v>4830</x:v>
      </x:c>
      <x:c r="C795" s="1" t="str">
        <x:v>Sonstige betriebliche Erträge</x:v>
      </x:c>
      <x:c r="D795" s="9" t="n">
        <x:f>H727</x:f>
        <x:v>-12000</x:v>
      </x:c>
      <x:c r="E795" s="9" t="n">
        <x:f>SUMIFS('Journal'!$E$6:$E$1632,'Journal'!$D$6:$D$1632,B795,'Journal'!$C$6:$C$1632,A795)</x:f>
        <x:v>0</x:v>
      </x:c>
      <x:c r="F795" s="9" t="n">
        <x:f>SUMIFS('Journal'!$F$6:$F$1632,'Journal'!$D$6:$D$1632,B795,'Journal'!$C$6:$C$1632,A795)</x:f>
        <x:v>0</x:v>
      </x:c>
      <x:c r="G795" s="9" t="n">
        <x:f>ROUND(E795-F795,2)</x:f>
        <x:v>0</x:v>
      </x:c>
      <x:c r="H795" s="9" t="n">
        <x:f>ROUND(D795+G795,2)</x:f>
        <x:v>-12000</x:v>
      </x:c>
    </x:row>
    <x:row r="796" ht="14" customHeight="1">
      <x:c r="A796" s="1" t="n">
        <x:v>12</x:v>
      </x:c>
      <x:c r="B796" s="1" t="str">
        <x:v>5000</x:v>
      </x:c>
      <x:c r="C796" s="1" t="str">
        <x:v>Wareneinsatz</x:v>
      </x:c>
      <x:c r="D796" s="9" t="n">
        <x:f>H728</x:f>
        <x:v>4444765</x:v>
      </x:c>
      <x:c r="E796" s="9" t="n">
        <x:f>SUMIFS('Journal'!$E$6:$E$1632,'Journal'!$D$6:$D$1632,B796,'Journal'!$C$6:$C$1632,A796)</x:f>
        <x:v>472030</x:v>
      </x:c>
      <x:c r="F796" s="9" t="n">
        <x:f>SUMIFS('Journal'!$F$6:$F$1632,'Journal'!$D$6:$D$1632,B796,'Journal'!$C$6:$C$1632,A796)</x:f>
        <x:v>0</x:v>
      </x:c>
      <x:c r="G796" s="9" t="n">
        <x:f>ROUND(E796-F796,2)</x:f>
        <x:v>472030</x:v>
      </x:c>
      <x:c r="H796" s="9" t="n">
        <x:f>ROUND(D796+G796,2)</x:f>
        <x:v>4916795</x:v>
      </x:c>
    </x:row>
    <x:row r="797" ht="14" customHeight="1">
      <x:c r="A797" s="1" t="n">
        <x:v>12</x:v>
      </x:c>
      <x:c r="B797" s="1" t="str">
        <x:v>5005</x:v>
      </x:c>
      <x:c r="C797" s="1" t="str">
        <x:v>Abwertung Warenbestand</x:v>
      </x:c>
      <x:c r="D797" s="9" t="n">
        <x:f>H729</x:f>
        <x:v>0</x:v>
      </x:c>
      <x:c r="E797" s="9" t="n">
        <x:f>SUMIFS('Journal'!$E$6:$E$1632,'Journal'!$D$6:$D$1632,B797,'Journal'!$C$6:$C$1632,A797)</x:f>
        <x:v>18000</x:v>
      </x:c>
      <x:c r="F797" s="9" t="n">
        <x:f>SUMIFS('Journal'!$F$6:$F$1632,'Journal'!$D$6:$D$1632,B797,'Journal'!$C$6:$C$1632,A797)</x:f>
        <x:v>0</x:v>
      </x:c>
      <x:c r="G797" s="9" t="n">
        <x:f>ROUND(E797-F797,2)</x:f>
        <x:v>18000</x:v>
      </x:c>
      <x:c r="H797" s="9" t="n">
        <x:f>ROUND(D797+G797,2)</x:f>
        <x:v>18000</x:v>
      </x:c>
    </x:row>
    <x:row r="798" ht="14" customHeight="1">
      <x:c r="A798" s="1" t="n">
        <x:v>12</x:v>
      </x:c>
      <x:c r="B798" s="1" t="str">
        <x:v>6020</x:v>
      </x:c>
      <x:c r="C798" s="1" t="str">
        <x:v>Bruttogehälter</x:v>
      </x:c>
      <x:c r="D798" s="9" t="n">
        <x:f>H730</x:f>
        <x:v>946000</x:v>
      </x:c>
      <x:c r="E798" s="9" t="n">
        <x:f>SUMIFS('Journal'!$E$6:$E$1632,'Journal'!$D$6:$D$1632,B798,'Journal'!$C$6:$C$1632,A798)</x:f>
        <x:v>86000</x:v>
      </x:c>
      <x:c r="F798" s="9" t="n">
        <x:f>SUMIFS('Journal'!$F$6:$F$1632,'Journal'!$D$6:$D$1632,B798,'Journal'!$C$6:$C$1632,A798)</x:f>
        <x:v>0</x:v>
      </x:c>
      <x:c r="G798" s="9" t="n">
        <x:f>ROUND(E798-F798,2)</x:f>
        <x:v>86000</x:v>
      </x:c>
      <x:c r="H798" s="9" t="n">
        <x:f>ROUND(D798+G798,2)</x:f>
        <x:v>1032000</x:v>
      </x:c>
    </x:row>
    <x:row r="799" ht="14" customHeight="1">
      <x:c r="A799" s="1" t="n">
        <x:v>12</x:v>
      </x:c>
      <x:c r="B799" s="1" t="str">
        <x:v>6110</x:v>
      </x:c>
      <x:c r="C799" s="1" t="str">
        <x:v>Arbeitgeberanteile Sozialversicherung</x:v>
      </x:c>
      <x:c r="D799" s="9" t="n">
        <x:f>H731</x:f>
        <x:v>198000</x:v>
      </x:c>
      <x:c r="E799" s="9" t="n">
        <x:f>SUMIFS('Journal'!$E$6:$E$1632,'Journal'!$D$6:$D$1632,B799,'Journal'!$C$6:$C$1632,A799)</x:f>
        <x:v>18000</x:v>
      </x:c>
      <x:c r="F799" s="9" t="n">
        <x:f>SUMIFS('Journal'!$F$6:$F$1632,'Journal'!$D$6:$D$1632,B799,'Journal'!$C$6:$C$1632,A799)</x:f>
        <x:v>0</x:v>
      </x:c>
      <x:c r="G799" s="9" t="n">
        <x:f>ROUND(E799-F799,2)</x:f>
        <x:v>18000</x:v>
      </x:c>
      <x:c r="H799" s="9" t="n">
        <x:f>ROUND(D799+G799,2)</x:f>
        <x:v>216000</x:v>
      </x:c>
    </x:row>
    <x:row r="800" ht="14" customHeight="1">
      <x:c r="A800" s="1" t="n">
        <x:v>12</x:v>
      </x:c>
      <x:c r="B800" s="1" t="str">
        <x:v>6220</x:v>
      </x:c>
      <x:c r="C800" s="1" t="str">
        <x:v>Abschreibungen Sachanlagen und Software</x:v>
      </x:c>
      <x:c r="D800" s="9" t="n">
        <x:f>H732</x:f>
        <x:v>82500</x:v>
      </x:c>
      <x:c r="E800" s="9" t="n">
        <x:f>SUMIFS('Journal'!$E$6:$E$1632,'Journal'!$D$6:$D$1632,B800,'Journal'!$C$6:$C$1632,A800)</x:f>
        <x:v>7500</x:v>
      </x:c>
      <x:c r="F800" s="9" t="n">
        <x:f>SUMIFS('Journal'!$F$6:$F$1632,'Journal'!$D$6:$D$1632,B800,'Journal'!$C$6:$C$1632,A800)</x:f>
        <x:v>0</x:v>
      </x:c>
      <x:c r="G800" s="9" t="n">
        <x:f>ROUND(E800-F800,2)</x:f>
        <x:v>7500</x:v>
      </x:c>
      <x:c r="H800" s="9" t="n">
        <x:f>ROUND(D800+G800,2)</x:f>
        <x:v>90000</x:v>
      </x:c>
    </x:row>
    <x:row r="801" ht="14" customHeight="1">
      <x:c r="A801" s="1" t="n">
        <x:v>12</x:v>
      </x:c>
      <x:c r="B801" s="1" t="str">
        <x:v>6310</x:v>
      </x:c>
      <x:c r="C801" s="1" t="str">
        <x:v>Miete Büro Nürnberg</x:v>
      </x:c>
      <x:c r="D801" s="9" t="n">
        <x:f>H733</x:f>
        <x:v>44000</x:v>
      </x:c>
      <x:c r="E801" s="9" t="n">
        <x:f>SUMIFS('Journal'!$E$6:$E$1632,'Journal'!$D$6:$D$1632,B801,'Journal'!$C$6:$C$1632,A801)</x:f>
        <x:v>4000</x:v>
      </x:c>
      <x:c r="F801" s="9" t="n">
        <x:f>SUMIFS('Journal'!$F$6:$F$1632,'Journal'!$D$6:$D$1632,B801,'Journal'!$C$6:$C$1632,A801)</x:f>
        <x:v>0</x:v>
      </x:c>
      <x:c r="G801" s="9" t="n">
        <x:f>ROUND(E801-F801,2)</x:f>
        <x:v>4000</x:v>
      </x:c>
      <x:c r="H801" s="9" t="n">
        <x:f>ROUND(D801+G801,2)</x:f>
        <x:v>48000</x:v>
      </x:c>
    </x:row>
    <x:row r="802" ht="14" customHeight="1">
      <x:c r="A802" s="1" t="n">
        <x:v>12</x:v>
      </x:c>
      <x:c r="B802" s="1" t="str">
        <x:v>6311</x:v>
      </x:c>
      <x:c r="C802" s="1" t="str">
        <x:v>Miete Lager Erlangen</x:v>
      </x:c>
      <x:c r="D802" s="9" t="n">
        <x:f>H734</x:f>
        <x:v>110000</x:v>
      </x:c>
      <x:c r="E802" s="9" t="n">
        <x:f>SUMIFS('Journal'!$E$6:$E$1632,'Journal'!$D$6:$D$1632,B802,'Journal'!$C$6:$C$1632,A802)</x:f>
        <x:v>10000</x:v>
      </x:c>
      <x:c r="F802" s="9" t="n">
        <x:f>SUMIFS('Journal'!$F$6:$F$1632,'Journal'!$D$6:$D$1632,B802,'Journal'!$C$6:$C$1632,A802)</x:f>
        <x:v>0</x:v>
      </x:c>
      <x:c r="G802" s="9" t="n">
        <x:f>ROUND(E802-F802,2)</x:f>
        <x:v>10000</x:v>
      </x:c>
      <x:c r="H802" s="9" t="n">
        <x:f>ROUND(D802+G802,2)</x:f>
        <x:v>120000</x:v>
      </x:c>
    </x:row>
    <x:row r="803" ht="14" customHeight="1">
      <x:c r="A803" s="1" t="n">
        <x:v>12</x:v>
      </x:c>
      <x:c r="B803" s="1" t="str">
        <x:v>6325</x:v>
      </x:c>
      <x:c r="C803" s="1" t="str">
        <x:v>Strom und Kühlung</x:v>
      </x:c>
      <x:c r="D803" s="9" t="n">
        <x:f>H735</x:f>
        <x:v>49500</x:v>
      </x:c>
      <x:c r="E803" s="9" t="n">
        <x:f>SUMIFS('Journal'!$E$6:$E$1632,'Journal'!$D$6:$D$1632,B803,'Journal'!$C$6:$C$1632,A803)</x:f>
        <x:v>4500</x:v>
      </x:c>
      <x:c r="F803" s="9" t="n">
        <x:f>SUMIFS('Journal'!$F$6:$F$1632,'Journal'!$D$6:$D$1632,B803,'Journal'!$C$6:$C$1632,A803)</x:f>
        <x:v>0</x:v>
      </x:c>
      <x:c r="G803" s="9" t="n">
        <x:f>ROUND(E803-F803,2)</x:f>
        <x:v>4500</x:v>
      </x:c>
      <x:c r="H803" s="9" t="n">
        <x:f>ROUND(D803+G803,2)</x:f>
        <x:v>54000</x:v>
      </x:c>
    </x:row>
    <x:row r="804" ht="14" customHeight="1">
      <x:c r="A804" s="1" t="n">
        <x:v>12</x:v>
      </x:c>
      <x:c r="B804" s="1" t="str">
        <x:v>6400</x:v>
      </x:c>
      <x:c r="C804" s="1" t="str">
        <x:v>Versicherungen</x:v>
      </x:c>
      <x:c r="D804" s="9" t="n">
        <x:f>H736</x:f>
        <x:v>27500</x:v>
      </x:c>
      <x:c r="E804" s="9" t="n">
        <x:f>SUMIFS('Journal'!$E$6:$E$1632,'Journal'!$D$6:$D$1632,B804,'Journal'!$C$6:$C$1632,A804)</x:f>
        <x:v>2500</x:v>
      </x:c>
      <x:c r="F804" s="9" t="n">
        <x:f>SUMIFS('Journal'!$F$6:$F$1632,'Journal'!$D$6:$D$1632,B804,'Journal'!$C$6:$C$1632,A804)</x:f>
        <x:v>0</x:v>
      </x:c>
      <x:c r="G804" s="9" t="n">
        <x:f>ROUND(E804-F804,2)</x:f>
        <x:v>2500</x:v>
      </x:c>
      <x:c r="H804" s="9" t="n">
        <x:f>ROUND(D804+G804,2)</x:f>
        <x:v>30000</x:v>
      </x:c>
    </x:row>
    <x:row r="805" ht="14" customHeight="1">
      <x:c r="A805" s="1" t="n">
        <x:v>12</x:v>
      </x:c>
      <x:c r="B805" s="1" t="str">
        <x:v>6470</x:v>
      </x:c>
      <x:c r="C805" s="1" t="str">
        <x:v>Lagerbetrieb und Reinigung</x:v>
      </x:c>
      <x:c r="D805" s="9" t="n">
        <x:f>H737</x:f>
        <x:v>66000</x:v>
      </x:c>
      <x:c r="E805" s="9" t="n">
        <x:f>SUMIFS('Journal'!$E$6:$E$1632,'Journal'!$D$6:$D$1632,B805,'Journal'!$C$6:$C$1632,A805)</x:f>
        <x:v>6000</x:v>
      </x:c>
      <x:c r="F805" s="9" t="n">
        <x:f>SUMIFS('Journal'!$F$6:$F$1632,'Journal'!$D$6:$D$1632,B805,'Journal'!$C$6:$C$1632,A805)</x:f>
        <x:v>0</x:v>
      </x:c>
      <x:c r="G805" s="9" t="n">
        <x:f>ROUND(E805-F805,2)</x:f>
        <x:v>6000</x:v>
      </x:c>
      <x:c r="H805" s="9" t="n">
        <x:f>ROUND(D805+G805,2)</x:f>
        <x:v>72000</x:v>
      </x:c>
    </x:row>
    <x:row r="806" ht="14" customHeight="1">
      <x:c r="A806" s="1" t="n">
        <x:v>12</x:v>
      </x:c>
      <x:c r="B806" s="1" t="str">
        <x:v>6490</x:v>
      </x:c>
      <x:c r="C806" s="1" t="str">
        <x:v>Reparaturen und Wartung</x:v>
      </x:c>
      <x:c r="D806" s="9" t="n">
        <x:f>H738</x:f>
        <x:v>27500</x:v>
      </x:c>
      <x:c r="E806" s="9" t="n">
        <x:f>SUMIFS('Journal'!$E$6:$E$1632,'Journal'!$D$6:$D$1632,B806,'Journal'!$C$6:$C$1632,A806)</x:f>
        <x:v>2500</x:v>
      </x:c>
      <x:c r="F806" s="9" t="n">
        <x:f>SUMIFS('Journal'!$F$6:$F$1632,'Journal'!$D$6:$D$1632,B806,'Journal'!$C$6:$C$1632,A806)</x:f>
        <x:v>0</x:v>
      </x:c>
      <x:c r="G806" s="9" t="n">
        <x:f>ROUND(E806-F806,2)</x:f>
        <x:v>2500</x:v>
      </x:c>
      <x:c r="H806" s="9" t="n">
        <x:f>ROUND(D806+G806,2)</x:f>
        <x:v>30000</x:v>
      </x:c>
    </x:row>
    <x:row r="807" ht="14" customHeight="1">
      <x:c r="A807" s="1" t="n">
        <x:v>12</x:v>
      </x:c>
      <x:c r="B807" s="1" t="str">
        <x:v>6600</x:v>
      </x:c>
      <x:c r="C807" s="1" t="str">
        <x:v>Marketing und Messen</x:v>
      </x:c>
      <x:c r="D807" s="9" t="n">
        <x:f>H739</x:f>
        <x:v>66000</x:v>
      </x:c>
      <x:c r="E807" s="9" t="n">
        <x:f>SUMIFS('Journal'!$E$6:$E$1632,'Journal'!$D$6:$D$1632,B807,'Journal'!$C$6:$C$1632,A807)</x:f>
        <x:v>6000</x:v>
      </x:c>
      <x:c r="F807" s="9" t="n">
        <x:f>SUMIFS('Journal'!$F$6:$F$1632,'Journal'!$D$6:$D$1632,B807,'Journal'!$C$6:$C$1632,A807)</x:f>
        <x:v>0</x:v>
      </x:c>
      <x:c r="G807" s="9" t="n">
        <x:f>ROUND(E807-F807,2)</x:f>
        <x:v>6000</x:v>
      </x:c>
      <x:c r="H807" s="9" t="n">
        <x:f>ROUND(D807+G807,2)</x:f>
        <x:v>72000</x:v>
      </x:c>
    </x:row>
    <x:row r="808" ht="14" customHeight="1">
      <x:c r="A808" s="1" t="n">
        <x:v>12</x:v>
      </x:c>
      <x:c r="B808" s="1" t="str">
        <x:v>6650</x:v>
      </x:c>
      <x:c r="C808" s="1" t="str">
        <x:v>Reisekosten</x:v>
      </x:c>
      <x:c r="D808" s="9" t="n">
        <x:f>H740</x:f>
        <x:v>16500</x:v>
      </x:c>
      <x:c r="E808" s="9" t="n">
        <x:f>SUMIFS('Journal'!$E$6:$E$1632,'Journal'!$D$6:$D$1632,B808,'Journal'!$C$6:$C$1632,A808)</x:f>
        <x:v>1500</x:v>
      </x:c>
      <x:c r="F808" s="9" t="n">
        <x:f>SUMIFS('Journal'!$F$6:$F$1632,'Journal'!$D$6:$D$1632,B808,'Journal'!$C$6:$C$1632,A808)</x:f>
        <x:v>0</x:v>
      </x:c>
      <x:c r="G808" s="9" t="n">
        <x:f>ROUND(E808-F808,2)</x:f>
        <x:v>1500</x:v>
      </x:c>
      <x:c r="H808" s="9" t="n">
        <x:f>ROUND(D808+G808,2)</x:f>
        <x:v>18000</x:v>
      </x:c>
    </x:row>
    <x:row r="809" ht="14" customHeight="1">
      <x:c r="A809" s="1" t="n">
        <x:v>12</x:v>
      </x:c>
      <x:c r="B809" s="1" t="str">
        <x:v>6740</x:v>
      </x:c>
      <x:c r="C809" s="1" t="str">
        <x:v>Ausgangsfrachten Inland</x:v>
      </x:c>
      <x:c r="D809" s="9" t="n">
        <x:f>H741</x:f>
        <x:v>143000</x:v>
      </x:c>
      <x:c r="E809" s="9" t="n">
        <x:f>SUMIFS('Journal'!$E$6:$E$1632,'Journal'!$D$6:$D$1632,B809,'Journal'!$C$6:$C$1632,A809)</x:f>
        <x:v>13000</x:v>
      </x:c>
      <x:c r="F809" s="9" t="n">
        <x:f>SUMIFS('Journal'!$F$6:$F$1632,'Journal'!$D$6:$D$1632,B809,'Journal'!$C$6:$C$1632,A809)</x:f>
        <x:v>0</x:v>
      </x:c>
      <x:c r="G809" s="9" t="n">
        <x:f>ROUND(E809-F809,2)</x:f>
        <x:v>13000</x:v>
      </x:c>
      <x:c r="H809" s="9" t="n">
        <x:f>ROUND(D809+G809,2)</x:f>
        <x:v>156000</x:v>
      </x:c>
    </x:row>
    <x:row r="810" ht="14" customHeight="1">
      <x:c r="A810" s="1" t="n">
        <x:v>12</x:v>
      </x:c>
      <x:c r="B810" s="1" t="str">
        <x:v>6741</x:v>
      </x:c>
      <x:c r="C810" s="1" t="str">
        <x:v>Ausgangsfrachten Ausland</x:v>
      </x:c>
      <x:c r="D810" s="9" t="n">
        <x:f>H742</x:f>
        <x:v>154000</x:v>
      </x:c>
      <x:c r="E810" s="9" t="n">
        <x:f>SUMIFS('Journal'!$E$6:$E$1632,'Journal'!$D$6:$D$1632,B810,'Journal'!$C$6:$C$1632,A810)</x:f>
        <x:v>14000</x:v>
      </x:c>
      <x:c r="F810" s="9" t="n">
        <x:f>SUMIFS('Journal'!$F$6:$F$1632,'Journal'!$D$6:$D$1632,B810,'Journal'!$C$6:$C$1632,A810)</x:f>
        <x:v>0</x:v>
      </x:c>
      <x:c r="G810" s="9" t="n">
        <x:f>ROUND(E810-F810,2)</x:f>
        <x:v>14000</x:v>
      </x:c>
      <x:c r="H810" s="9" t="n">
        <x:f>ROUND(D810+G810,2)</x:f>
        <x:v>168000</x:v>
      </x:c>
    </x:row>
    <x:row r="811" ht="14" customHeight="1">
      <x:c r="A811" s="1" t="n">
        <x:v>12</x:v>
      </x:c>
      <x:c r="B811" s="1" t="str">
        <x:v>6805</x:v>
      </x:c>
      <x:c r="C811" s="1" t="str">
        <x:v>Telekommunikation und IT</x:v>
      </x:c>
      <x:c r="D811" s="9" t="n">
        <x:f>H743</x:f>
        <x:v>34500</x:v>
      </x:c>
      <x:c r="E811" s="9" t="n">
        <x:f>SUMIFS('Journal'!$E$6:$E$1632,'Journal'!$D$6:$D$1632,B811,'Journal'!$C$6:$C$1632,A811)</x:f>
        <x:v>1500</x:v>
      </x:c>
      <x:c r="F811" s="9" t="n">
        <x:f>SUMIFS('Journal'!$F$6:$F$1632,'Journal'!$D$6:$D$1632,B811,'Journal'!$C$6:$C$1632,A811)</x:f>
        <x:v>0</x:v>
      </x:c>
      <x:c r="G811" s="9" t="n">
        <x:f>ROUND(E811-F811,2)</x:f>
        <x:v>1500</x:v>
      </x:c>
      <x:c r="H811" s="9" t="n">
        <x:f>ROUND(D811+G811,2)</x:f>
        <x:v>36000</x:v>
      </x:c>
    </x:row>
    <x:row r="812" ht="14" customHeight="1">
      <x:c r="A812" s="1" t="n">
        <x:v>12</x:v>
      </x:c>
      <x:c r="B812" s="1" t="str">
        <x:v>6825</x:v>
      </x:c>
      <x:c r="C812" s="1" t="str">
        <x:v>Rechtsberatung und Buchführung</x:v>
      </x:c>
      <x:c r="D812" s="9" t="n">
        <x:f>H744</x:f>
        <x:v>33000</x:v>
      </x:c>
      <x:c r="E812" s="9" t="n">
        <x:f>SUMIFS('Journal'!$E$6:$E$1632,'Journal'!$D$6:$D$1632,B812,'Journal'!$C$6:$C$1632,A812)</x:f>
        <x:v>3000</x:v>
      </x:c>
      <x:c r="F812" s="9" t="n">
        <x:f>SUMIFS('Journal'!$F$6:$F$1632,'Journal'!$D$6:$D$1632,B812,'Journal'!$C$6:$C$1632,A812)</x:f>
        <x:v>0</x:v>
      </x:c>
      <x:c r="G812" s="9" t="n">
        <x:f>ROUND(E812-F812,2)</x:f>
        <x:v>3000</x:v>
      </x:c>
      <x:c r="H812" s="9" t="n">
        <x:f>ROUND(D812+G812,2)</x:f>
        <x:v>36000</x:v>
      </x:c>
    </x:row>
    <x:row r="813" ht="14" customHeight="1">
      <x:c r="A813" s="1" t="n">
        <x:v>12</x:v>
      </x:c>
      <x:c r="B813" s="1" t="str">
        <x:v>6830</x:v>
      </x:c>
      <x:c r="C813" s="1" t="str">
        <x:v>Labor und Qualitätssicherung</x:v>
      </x:c>
      <x:c r="D813" s="9" t="n">
        <x:f>H745</x:f>
        <x:v>38500</x:v>
      </x:c>
      <x:c r="E813" s="9" t="n">
        <x:f>SUMIFS('Journal'!$E$6:$E$1632,'Journal'!$D$6:$D$1632,B813,'Journal'!$C$6:$C$1632,A813)</x:f>
        <x:v>3500</x:v>
      </x:c>
      <x:c r="F813" s="9" t="n">
        <x:f>SUMIFS('Journal'!$F$6:$F$1632,'Journal'!$D$6:$D$1632,B813,'Journal'!$C$6:$C$1632,A813)</x:f>
        <x:v>0</x:v>
      </x:c>
      <x:c r="G813" s="9" t="n">
        <x:f>ROUND(E813-F813,2)</x:f>
        <x:v>3500</x:v>
      </x:c>
      <x:c r="H813" s="9" t="n">
        <x:f>ROUND(D813+G813,2)</x:f>
        <x:v>42000</x:v>
      </x:c>
    </x:row>
    <x:row r="814" ht="14" customHeight="1">
      <x:c r="A814" s="1" t="n">
        <x:v>12</x:v>
      </x:c>
      <x:c r="B814" s="1" t="str">
        <x:v>6850</x:v>
      </x:c>
      <x:c r="C814" s="1" t="str">
        <x:v>Bürobedarf und übriger Aufwand</x:v>
      </x:c>
      <x:c r="D814" s="9" t="n">
        <x:f>H746</x:f>
        <x:v>22000</x:v>
      </x:c>
      <x:c r="E814" s="9" t="n">
        <x:f>SUMIFS('Journal'!$E$6:$E$1632,'Journal'!$D$6:$D$1632,B814,'Journal'!$C$6:$C$1632,A814)</x:f>
        <x:v>2000</x:v>
      </x:c>
      <x:c r="F814" s="9" t="n">
        <x:f>SUMIFS('Journal'!$F$6:$F$1632,'Journal'!$D$6:$D$1632,B814,'Journal'!$C$6:$C$1632,A814)</x:f>
        <x:v>0</x:v>
      </x:c>
      <x:c r="G814" s="9" t="n">
        <x:f>ROUND(E814-F814,2)</x:f>
        <x:v>2000</x:v>
      </x:c>
      <x:c r="H814" s="9" t="n">
        <x:f>ROUND(D814+G814,2)</x:f>
        <x:v>24000</x:v>
      </x:c>
    </x:row>
    <x:row r="815" ht="14" customHeight="1">
      <x:c r="A815" s="1" t="n">
        <x:v>12</x:v>
      </x:c>
      <x:c r="B815" s="1" t="str">
        <x:v>6855</x:v>
      </x:c>
      <x:c r="C815" s="1" t="str">
        <x:v>Zuführung Abschluss und Urlaubsrückstellungen</x:v>
      </x:c>
      <x:c r="D815" s="9" t="n">
        <x:f>H747</x:f>
        <x:v>0</x:v>
      </x:c>
      <x:c r="E815" s="9" t="n">
        <x:f>SUMIFS('Journal'!$E$6:$E$1632,'Journal'!$D$6:$D$1632,B815,'Journal'!$C$6:$C$1632,A815)</x:f>
        <x:v>15000</x:v>
      </x:c>
      <x:c r="F815" s="9" t="n">
        <x:f>SUMIFS('Journal'!$F$6:$F$1632,'Journal'!$D$6:$D$1632,B815,'Journal'!$C$6:$C$1632,A815)</x:f>
        <x:v>0</x:v>
      </x:c>
      <x:c r="G815" s="9" t="n">
        <x:f>ROUND(E815-F815,2)</x:f>
        <x:v>15000</x:v>
      </x:c>
      <x:c r="H815" s="9" t="n">
        <x:f>ROUND(D815+G815,2)</x:f>
        <x:v>15000</x:v>
      </x:c>
    </x:row>
    <x:row r="816" ht="14" customHeight="1">
      <x:c r="A816" s="1" t="n">
        <x:v>12</x:v>
      </x:c>
      <x:c r="B816" s="1" t="str">
        <x:v>6859</x:v>
      </x:c>
      <x:c r="C816" s="1" t="str">
        <x:v>Bankgebühren</x:v>
      </x:c>
      <x:c r="D816" s="9" t="n">
        <x:f>H748</x:f>
        <x:v>5500</x:v>
      </x:c>
      <x:c r="E816" s="9" t="n">
        <x:f>SUMIFS('Journal'!$E$6:$E$1632,'Journal'!$D$6:$D$1632,B816,'Journal'!$C$6:$C$1632,A816)</x:f>
        <x:v>500</x:v>
      </x:c>
      <x:c r="F816" s="9" t="n">
        <x:f>SUMIFS('Journal'!$F$6:$F$1632,'Journal'!$D$6:$D$1632,B816,'Journal'!$C$6:$C$1632,A816)</x:f>
        <x:v>0</x:v>
      </x:c>
      <x:c r="G816" s="9" t="n">
        <x:f>ROUND(E816-F816,2)</x:f>
        <x:v>500</x:v>
      </x:c>
      <x:c r="H816" s="9" t="n">
        <x:f>ROUND(D816+G816,2)</x:f>
        <x:v>6000</x:v>
      </x:c>
    </x:row>
    <x:row r="817" ht="14" customHeight="1">
      <x:c r="A817" s="1" t="n">
        <x:v>12</x:v>
      </x:c>
      <x:c r="B817" s="1" t="str">
        <x:v>6950</x:v>
      </x:c>
      <x:c r="C817" s="1" t="str">
        <x:v>Zuführung Einzelwertberichtigungen</x:v>
      </x:c>
      <x:c r="D817" s="9" t="n">
        <x:f>H749</x:f>
        <x:v>0</x:v>
      </x:c>
      <x:c r="E817" s="9" t="n">
        <x:f>SUMIFS('Journal'!$E$6:$E$1632,'Journal'!$D$6:$D$1632,B817,'Journal'!$C$6:$C$1632,A817)</x:f>
        <x:v>10000</x:v>
      </x:c>
      <x:c r="F817" s="9" t="n">
        <x:f>SUMIFS('Journal'!$F$6:$F$1632,'Journal'!$D$6:$D$1632,B817,'Journal'!$C$6:$C$1632,A817)</x:f>
        <x:v>0</x:v>
      </x:c>
      <x:c r="G817" s="9" t="n">
        <x:f>ROUND(E817-F817,2)</x:f>
        <x:v>10000</x:v>
      </x:c>
      <x:c r="H817" s="9" t="n">
        <x:f>ROUND(D817+G817,2)</x:f>
        <x:v>10000</x:v>
      </x:c>
    </x:row>
    <x:row r="818" ht="14" customHeight="1">
      <x:c r="A818" s="1" t="n">
        <x:v>12</x:v>
      </x:c>
      <x:c r="B818" s="1" t="str">
        <x:v>7300</x:v>
      </x:c>
      <x:c r="C818" s="1" t="str">
        <x:v>Zinsen Investitionsdarlehen</x:v>
      </x:c>
      <x:c r="D818" s="9" t="n">
        <x:f>H750</x:f>
        <x:v>27500</x:v>
      </x:c>
      <x:c r="E818" s="9" t="n">
        <x:f>SUMIFS('Journal'!$E$6:$E$1632,'Journal'!$D$6:$D$1632,B818,'Journal'!$C$6:$C$1632,A818)</x:f>
        <x:v>2500</x:v>
      </x:c>
      <x:c r="F818" s="9" t="n">
        <x:f>SUMIFS('Journal'!$F$6:$F$1632,'Journal'!$D$6:$D$1632,B818,'Journal'!$C$6:$C$1632,A818)</x:f>
        <x:v>0</x:v>
      </x:c>
      <x:c r="G818" s="9" t="n">
        <x:f>ROUND(E818-F818,2)</x:f>
        <x:v>2500</x:v>
      </x:c>
      <x:c r="H818" s="9" t="n">
        <x:f>ROUND(D818+G818,2)</x:f>
        <x:v>30000</x:v>
      </x:c>
    </x:row>
    <x:row r="819" ht="14" customHeight="1">
      <x:c r="A819" s="1" t="n">
        <x:v>12</x:v>
      </x:c>
      <x:c r="B819" s="1" t="str">
        <x:v>7310</x:v>
      </x:c>
      <x:c r="C819" s="1" t="str">
        <x:v>Zinsen Kontokorrent</x:v>
      </x:c>
      <x:c r="D819" s="9" t="n">
        <x:f>H751</x:f>
        <x:v>11000</x:v>
      </x:c>
      <x:c r="E819" s="9" t="n">
        <x:f>SUMIFS('Journal'!$E$6:$E$1632,'Journal'!$D$6:$D$1632,B819,'Journal'!$C$6:$C$1632,A819)</x:f>
        <x:v>1000</x:v>
      </x:c>
      <x:c r="F819" s="9" t="n">
        <x:f>SUMIFS('Journal'!$F$6:$F$1632,'Journal'!$D$6:$D$1632,B819,'Journal'!$C$6:$C$1632,A819)</x:f>
        <x:v>0</x:v>
      </x:c>
      <x:c r="G819" s="9" t="n">
        <x:f>ROUND(E819-F819,2)</x:f>
        <x:v>1000</x:v>
      </x:c>
      <x:c r="H819" s="9" t="n">
        <x:f>ROUND(D819+G819,2)</x:f>
        <x:v>12000</x:v>
      </x:c>
    </x:row>
    <x:row r="820" ht="14" customHeight="1">
      <x:c r="A820" s="1" t="n">
        <x:v>12</x:v>
      </x:c>
      <x:c r="B820" s="1" t="str">
        <x:v>7320</x:v>
      </x:c>
      <x:c r="C820" s="1" t="str">
        <x:v>Zinsen Gesellschafterdarlehen</x:v>
      </x:c>
      <x:c r="D820" s="9" t="n">
        <x:f>H752</x:f>
        <x:v>0</x:v>
      </x:c>
      <x:c r="E820" s="9" t="n">
        <x:f>SUMIFS('Journal'!$E$6:$E$1632,'Journal'!$D$6:$D$1632,B820,'Journal'!$C$6:$C$1632,A820)</x:f>
        <x:v>0</x:v>
      </x:c>
      <x:c r="F820" s="9" t="n">
        <x:f>SUMIFS('Journal'!$F$6:$F$1632,'Journal'!$D$6:$D$1632,B820,'Journal'!$C$6:$C$1632,A820)</x:f>
        <x:v>0</x:v>
      </x:c>
      <x:c r="G820" s="9" t="n">
        <x:f>ROUND(E820-F820,2)</x:f>
        <x:v>0</x:v>
      </x:c>
      <x:c r="H820" s="9" t="n">
        <x:f>ROUND(D820+G820,2)</x:f>
        <x:v>0</x:v>
      </x:c>
    </x:row>
    <x:row r="821" ht="14" customHeight="1">
      <x:c r="A821" s="1" t="n">
        <x:v>12</x:v>
      </x:c>
      <x:c r="B821" s="1" t="str">
        <x:v>7600</x:v>
      </x:c>
      <x:c r="C821" s="1" t="str">
        <x:v>Ertragsteueraufwand</x:v>
      </x:c>
      <x:c r="D821" s="9" t="n">
        <x:f>H753</x:f>
        <x:v>0</x:v>
      </x:c>
      <x:c r="E821" s="9" t="n">
        <x:f>SUMIFS('Journal'!$E$6:$E$1632,'Journal'!$D$6:$D$1632,B821,'Journal'!$C$6:$C$1632,A821)</x:f>
        <x:v>50000</x:v>
      </x:c>
      <x:c r="F821" s="9" t="n">
        <x:f>SUMIFS('Journal'!$F$6:$F$1632,'Journal'!$D$6:$D$1632,B821,'Journal'!$C$6:$C$1632,A821)</x:f>
        <x:v>0</x:v>
      </x:c>
      <x:c r="G821" s="9" t="n">
        <x:f>ROUND(E821-F821,2)</x:f>
        <x:v>50000</x:v>
      </x:c>
      <x:c r="H821" s="9" t="n">
        <x:f>ROUND(D821+G821,2)</x:f>
        <x:v>50000</x:v>
      </x:c>
    </x:row>
  </x:sheetData>
  <x:pageMargins left="0.3" right="0.3" top="0.35" bottom="0.35" header="0.15" footer="0.15"/>
  <x:pageSetup paperSize="9" orientation="landscape" fitToWidth="1" fitToHeight="0"/>
  <x:tableParts count="1">
    <x:tablePart xmlns:r="http://schemas.openxmlformats.org/officeDocument/2006/relationships" r:id="R966395fc91eb4067"/>
  </x:tableParts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.329999923706055" hidden="0" customWidth="1"/>
    <x:col min="2" max="2" width="12.890000343322754" hidden="0" customWidth="1"/>
    <x:col min="3" max="3" width="7.110000133514404" hidden="0" customWidth="1"/>
    <x:col min="4" max="4" width="7.559999942779541" hidden="0" customWidth="1"/>
    <x:col min="5" max="5" width="13.5600004196167" hidden="0" customWidth="1"/>
    <x:col min="6" max="6" width="13.5600004196167" hidden="0" customWidth="1"/>
    <x:col min="7" max="7" width="48.33000183105469" hidden="0" customWidth="1"/>
    <x:col min="8" max="8" width="20.559999465942383" hidden="0" customWidth="1"/>
  </x:cols>
  <x:sheetData>
    <x:row r="1" ht="24" customHeight="1">
      <x:c r="A1" s="2" t="str">
        <x:v>Buchungsjournal 2024</x:v>
      </x:c>
      <x:c r="B1" s="1"/>
      <x:c r="C1" s="1"/>
      <x:c r="D1" s="1"/>
      <x:c r="E1" s="1"/>
      <x:c r="F1" s="1"/>
      <x:c r="G1" s="1"/>
      <x:c r="H1" s="1"/>
    </x:row>
    <x:row r="2" ht="14" customHeight="1">
      <x:c r="A2" s="3" t="str">
        <x:v>Monatliche Sammeljournale und Einzelabschlussbuchungen. Jede Beleggruppe ist Soll/Haben-ausgeglichen.</x:v>
      </x:c>
      <x:c r="B2" s="1"/>
      <x:c r="C2" s="1"/>
      <x:c r="D2" s="1"/>
      <x:c r="E2" s="1"/>
      <x:c r="F2" s="1"/>
      <x:c r="G2" s="1"/>
      <x:c r="H2" s="1"/>
    </x:row>
    <x:row r="3" ht="14" customHeight="1">
      <x:c r="A3" s="1"/>
      <x:c r="B3" s="1"/>
      <x:c r="C3" s="1"/>
      <x:c r="D3" s="1"/>
      <x:c r="E3" s="1"/>
      <x:c r="F3" s="1"/>
      <x:c r="G3" s="1"/>
      <x:c r="H3" s="1"/>
    </x:row>
    <x:row r="4" ht="14" customHeight="1">
      <x:c r="A4" s="1"/>
      <x:c r="B4" s="1"/>
      <x:c r="C4" s="1"/>
      <x:c r="D4" s="1"/>
      <x:c r="E4" s="1"/>
      <x:c r="F4" s="1"/>
      <x:c r="G4" s="1"/>
      <x:c r="H4" s="1"/>
    </x:row>
    <x:row r="5" ht="28" customHeight="1">
      <x:c r="A5" s="7" t="str">
        <x:v>Beleggruppe</x:v>
      </x:c>
      <x:c r="B5" s="7" t="str">
        <x:v>Buchungsdatum</x:v>
      </x:c>
      <x:c r="C5" s="7" t="str">
        <x:v>Monat</x:v>
      </x:c>
      <x:c r="D5" s="7" t="str">
        <x:v>Konto</x:v>
      </x:c>
      <x:c r="E5" s="7" t="str">
        <x:v>Soll EUR</x:v>
      </x:c>
      <x:c r="F5" s="7" t="str">
        <x:v>Haben EUR</x:v>
      </x:c>
      <x:c r="G5" s="7" t="str">
        <x:v>Buchungstext</x:v>
      </x:c>
      <x:c r="H5" s="7" t="str">
        <x:v>Vorgangsart</x:v>
      </x:c>
    </x:row>
    <x:row r="6" ht="14" customHeight="1">
      <x:c r="A6" s="10" t="str">
        <x:v>2024-01-0001</x:v>
      </x:c>
      <x:c r="B6" s="11" t="n">
        <x:v>45301</x:v>
      </x:c>
      <x:c r="C6" s="10" t="n">
        <x:v>1</x:v>
      </x:c>
      <x:c r="D6" s="10" t="str">
        <x:v>1800</x:v>
      </x:c>
      <x:c r="E6" s="12" t="n">
        <x:v>0</x:v>
      </x:c>
      <x:c r="F6" s="12" t="n">
        <x:v>27000</x:v>
      </x:c>
      <x:c r="G6" s="10" t="str">
        <x:v>Ausgleich Umsatzsteuer Vorperiode</x:v>
      </x:c>
      <x:c r="H6" s="10" t="str">
        <x:v>Umsatzsteuer</x:v>
      </x:c>
    </x:row>
    <x:row r="7" ht="14" customHeight="1">
      <x:c r="A7" s="10" t="str">
        <x:v>2024-01-0001</x:v>
      </x:c>
      <x:c r="B7" s="11" t="n">
        <x:v>45301</x:v>
      </x:c>
      <x:c r="C7" s="10" t="n">
        <x:v>1</x:v>
      </x:c>
      <x:c r="D7" s="10" t="str">
        <x:v>3820</x:v>
      </x:c>
      <x:c r="E7" s="12" t="n">
        <x:v>27000</x:v>
      </x:c>
      <x:c r="F7" s="12" t="n">
        <x:v>0</x:v>
      </x:c>
      <x:c r="G7" s="10" t="str">
        <x:v>Ausgleich Umsatzsteuer Vorperiode</x:v>
      </x:c>
      <x:c r="H7" s="10" t="str">
        <x:v>Umsatzsteuer</x:v>
      </x:c>
    </x:row>
    <x:row r="8" ht="14" customHeight="1">
      <x:c r="A8" s="10" t="str">
        <x:v>2024-01-0002</x:v>
      </x:c>
      <x:c r="B8" s="11" t="n">
        <x:v>45322</x:v>
      </x:c>
      <x:c r="C8" s="10" t="n">
        <x:v>1</x:v>
      </x:c>
      <x:c r="D8" s="10" t="str">
        <x:v>1200</x:v>
      </x:c>
      <x:c r="E8" s="12" t="n">
        <x:v>267072</x:v>
      </x:c>
      <x:c r="F8" s="12" t="n">
        <x:v>0</x:v>
      </x:c>
      <x:c r="G8" s="10" t="str">
        <x:v>Fakturajournal Inland 7 Prozent</x:v>
      </x:c>
      <x:c r="H8" s="10" t="str">
        <x:v>Umsatz</x:v>
      </x:c>
    </x:row>
    <x:row r="9" ht="14" customHeight="1">
      <x:c r="A9" s="10" t="str">
        <x:v>2024-01-0002</x:v>
      </x:c>
      <x:c r="B9" s="11" t="n">
        <x:v>45322</x:v>
      </x:c>
      <x:c r="C9" s="10" t="n">
        <x:v>1</x:v>
      </x:c>
      <x:c r="D9" s="10" t="str">
        <x:v>4300</x:v>
      </x:c>
      <x:c r="E9" s="12" t="n">
        <x:v>0</x:v>
      </x:c>
      <x:c r="F9" s="12" t="n">
        <x:v>249600</x:v>
      </x:c>
      <x:c r="G9" s="10" t="str">
        <x:v>Fakturajournal Inland 7 Prozent</x:v>
      </x:c>
      <x:c r="H9" s="10" t="str">
        <x:v>Umsatz</x:v>
      </x:c>
    </x:row>
    <x:row r="10" ht="14" customHeight="1">
      <x:c r="A10" s="10" t="str">
        <x:v>2024-01-0002</x:v>
      </x:c>
      <x:c r="B10" s="11" t="n">
        <x:v>45322</x:v>
      </x:c>
      <x:c r="C10" s="10" t="n">
        <x:v>1</x:v>
      </x:c>
      <x:c r="D10" s="10" t="str">
        <x:v>3801</x:v>
      </x:c>
      <x:c r="E10" s="12" t="n">
        <x:v>0</x:v>
      </x:c>
      <x:c r="F10" s="12" t="n">
        <x:v>17472</x:v>
      </x:c>
      <x:c r="G10" s="10" t="str">
        <x:v>Fakturajournal Inland 7 Prozent</x:v>
      </x:c>
      <x:c r="H10" s="10" t="str">
        <x:v>Umsatz</x:v>
      </x:c>
    </x:row>
    <x:row r="11" ht="14" customHeight="1">
      <x:c r="A11" s="10" t="str">
        <x:v>2024-01-0003</x:v>
      </x:c>
      <x:c r="B11" s="11" t="n">
        <x:v>45322</x:v>
      </x:c>
      <x:c r="C11" s="10" t="n">
        <x:v>1</x:v>
      </x:c>
      <x:c r="D11" s="10" t="str">
        <x:v>1200</x:v>
      </x:c>
      <x:c r="E11" s="12" t="n">
        <x:v>74256</x:v>
      </x:c>
      <x:c r="F11" s="12" t="n">
        <x:v>0</x:v>
      </x:c>
      <x:c r="G11" s="10" t="str">
        <x:v>Fakturajournal Inland 19 Prozent</x:v>
      </x:c>
      <x:c r="H11" s="10" t="str">
        <x:v>Umsatz</x:v>
      </x:c>
    </x:row>
    <x:row r="12" ht="14" customHeight="1">
      <x:c r="A12" s="10" t="str">
        <x:v>2024-01-0003</x:v>
      </x:c>
      <x:c r="B12" s="11" t="n">
        <x:v>45322</x:v>
      </x:c>
      <x:c r="C12" s="10" t="n">
        <x:v>1</x:v>
      </x:c>
      <x:c r="D12" s="10" t="str">
        <x:v>4400</x:v>
      </x:c>
      <x:c r="E12" s="12" t="n">
        <x:v>0</x:v>
      </x:c>
      <x:c r="F12" s="12" t="n">
        <x:v>62400</x:v>
      </x:c>
      <x:c r="G12" s="10" t="str">
        <x:v>Fakturajournal Inland 19 Prozent</x:v>
      </x:c>
      <x:c r="H12" s="10" t="str">
        <x:v>Umsatz</x:v>
      </x:c>
    </x:row>
    <x:row r="13" ht="14" customHeight="1">
      <x:c r="A13" s="10" t="str">
        <x:v>2024-01-0003</x:v>
      </x:c>
      <x:c r="B13" s="11" t="n">
        <x:v>45322</x:v>
      </x:c>
      <x:c r="C13" s="10" t="n">
        <x:v>1</x:v>
      </x:c>
      <x:c r="D13" s="10" t="str">
        <x:v>3806</x:v>
      </x:c>
      <x:c r="E13" s="12" t="n">
        <x:v>0</x:v>
      </x:c>
      <x:c r="F13" s="12" t="n">
        <x:v>11856</x:v>
      </x:c>
      <x:c r="G13" s="10" t="str">
        <x:v>Fakturajournal Inland 19 Prozent</x:v>
      </x:c>
      <x:c r="H13" s="10" t="str">
        <x:v>Umsatz</x:v>
      </x:c>
    </x:row>
    <x:row r="14" ht="14" customHeight="1">
      <x:c r="A14" s="10" t="str">
        <x:v>2024-01-0004</x:v>
      </x:c>
      <x:c r="B14" s="11" t="n">
        <x:v>45322</x:v>
      </x:c>
      <x:c r="C14" s="10" t="n">
        <x:v>1</x:v>
      </x:c>
      <x:c r="D14" s="10" t="str">
        <x:v>1200</x:v>
      </x:c>
      <x:c r="E14" s="12" t="n">
        <x:v>104000</x:v>
      </x:c>
      <x:c r="F14" s="12" t="n">
        <x:v>0</x:v>
      </x:c>
      <x:c r="G14" s="10" t="str">
        <x:v>Fakturajournal EU Warenlieferungen</x:v>
      </x:c>
      <x:c r="H14" s="10" t="str">
        <x:v>Umsatz</x:v>
      </x:c>
    </x:row>
    <x:row r="15" ht="14" customHeight="1">
      <x:c r="A15" s="10" t="str">
        <x:v>2024-01-0004</x:v>
      </x:c>
      <x:c r="B15" s="11" t="n">
        <x:v>45322</x:v>
      </x:c>
      <x:c r="C15" s="10" t="n">
        <x:v>1</x:v>
      </x:c>
      <x:c r="D15" s="10" t="str">
        <x:v>4125</x:v>
      </x:c>
      <x:c r="E15" s="12" t="n">
        <x:v>0</x:v>
      </x:c>
      <x:c r="F15" s="12" t="n">
        <x:v>104000</x:v>
      </x:c>
      <x:c r="G15" s="10" t="str">
        <x:v>Fakturajournal EU Warenlieferungen</x:v>
      </x:c>
      <x:c r="H15" s="10" t="str">
        <x:v>Umsatz</x:v>
      </x:c>
    </x:row>
    <x:row r="16" ht="14" customHeight="1">
      <x:c r="A16" s="10" t="str">
        <x:v>2024-01-0005</x:v>
      </x:c>
      <x:c r="B16" s="11" t="n">
        <x:v>45322</x:v>
      </x:c>
      <x:c r="C16" s="10" t="n">
        <x:v>1</x:v>
      </x:c>
      <x:c r="D16" s="10" t="str">
        <x:v>1200</x:v>
      </x:c>
      <x:c r="E16" s="12" t="n">
        <x:v>104000</x:v>
      </x:c>
      <x:c r="F16" s="12" t="n">
        <x:v>0</x:v>
      </x:c>
      <x:c r="G16" s="10" t="str">
        <x:v>Fakturajournal Drittland Warenlieferungen</x:v>
      </x:c>
      <x:c r="H16" s="10" t="str">
        <x:v>Umsatz</x:v>
      </x:c>
    </x:row>
    <x:row r="17" ht="14" customHeight="1">
      <x:c r="A17" s="10" t="str">
        <x:v>2024-01-0005</x:v>
      </x:c>
      <x:c r="B17" s="11" t="n">
        <x:v>45322</x:v>
      </x:c>
      <x:c r="C17" s="10" t="n">
        <x:v>1</x:v>
      </x:c>
      <x:c r="D17" s="10" t="str">
        <x:v>4120</x:v>
      </x:c>
      <x:c r="E17" s="12" t="n">
        <x:v>0</x:v>
      </x:c>
      <x:c r="F17" s="12" t="n">
        <x:v>104000</x:v>
      </x:c>
      <x:c r="G17" s="10" t="str">
        <x:v>Fakturajournal Drittland Warenlieferungen</x:v>
      </x:c>
      <x:c r="H17" s="10" t="str">
        <x:v>Umsatz</x:v>
      </x:c>
    </x:row>
    <x:row r="18" ht="14" customHeight="1">
      <x:c r="A18" s="10" t="str">
        <x:v>2024-01-0006</x:v>
      </x:c>
      <x:c r="B18" s="11" t="n">
        <x:v>45322</x:v>
      </x:c>
      <x:c r="C18" s="10" t="n">
        <x:v>1</x:v>
      </x:c>
      <x:c r="D18" s="10" t="str">
        <x:v>4730</x:v>
      </x:c>
      <x:c r="E18" s="12" t="n">
        <x:v>1290</x:v>
      </x:c>
      <x:c r="F18" s="12" t="n">
        <x:v>0</x:v>
      </x:c>
      <x:c r="G18" s="10" t="str">
        <x:v>Gutschriftjournal Retouren und Mengenrabatte</x:v>
      </x:c>
      <x:c r="H18" s="10" t="str">
        <x:v>Gutschriften</x:v>
      </x:c>
    </x:row>
    <x:row r="19" ht="14" customHeight="1">
      <x:c r="A19" s="10" t="str">
        <x:v>2024-01-0006</x:v>
      </x:c>
      <x:c r="B19" s="11" t="n">
        <x:v>45322</x:v>
      </x:c>
      <x:c r="C19" s="10" t="n">
        <x:v>1</x:v>
      </x:c>
      <x:c r="D19" s="10" t="str">
        <x:v>3801</x:v>
      </x:c>
      <x:c r="E19" s="12" t="n">
        <x:v>90.3</x:v>
      </x:c>
      <x:c r="F19" s="12" t="n">
        <x:v>0</x:v>
      </x:c>
      <x:c r="G19" s="10" t="str">
        <x:v>Gutschriftjournal Retouren und Mengenrabatte</x:v>
      </x:c>
      <x:c r="H19" s="10" t="str">
        <x:v>Gutschriften</x:v>
      </x:c>
    </x:row>
    <x:row r="20" ht="14" customHeight="1">
      <x:c r="A20" s="10" t="str">
        <x:v>2024-01-0006</x:v>
      </x:c>
      <x:c r="B20" s="11" t="n">
        <x:v>45322</x:v>
      </x:c>
      <x:c r="C20" s="10" t="n">
        <x:v>1</x:v>
      </x:c>
      <x:c r="D20" s="10" t="str">
        <x:v>1200</x:v>
      </x:c>
      <x:c r="E20" s="12" t="n">
        <x:v>0</x:v>
      </x:c>
      <x:c r="F20" s="12" t="n">
        <x:v>1380.3</x:v>
      </x:c>
      <x:c r="G20" s="10" t="str">
        <x:v>Gutschriftjournal Retouren und Mengenrabatte</x:v>
      </x:c>
      <x:c r="H20" s="10" t="str">
        <x:v>Gutschriften</x:v>
      </x:c>
    </x:row>
    <x:row r="21" ht="14" customHeight="1">
      <x:c r="A21" s="10" t="str">
        <x:v>2024-01-0007</x:v>
      </x:c>
      <x:c r="B21" s="11" t="n">
        <x:v>45322</x:v>
      </x:c>
      <x:c r="C21" s="10" t="n">
        <x:v>1</x:v>
      </x:c>
      <x:c r="D21" s="10" t="str">
        <x:v>4735</x:v>
      </x:c>
      <x:c r="E21" s="12" t="n">
        <x:v>860</x:v>
      </x:c>
      <x:c r="F21" s="12" t="n">
        <x:v>0</x:v>
      </x:c>
      <x:c r="G21" s="10" t="str">
        <x:v>Gutschriftjournal Retouren und Mengenrabatte</x:v>
      </x:c>
      <x:c r="H21" s="10" t="str">
        <x:v>Gutschriften</x:v>
      </x:c>
    </x:row>
    <x:row r="22" ht="14" customHeight="1">
      <x:c r="A22" s="10" t="str">
        <x:v>2024-01-0007</x:v>
      </x:c>
      <x:c r="B22" s="11" t="n">
        <x:v>45322</x:v>
      </x:c>
      <x:c r="C22" s="10" t="n">
        <x:v>1</x:v>
      </x:c>
      <x:c r="D22" s="10" t="str">
        <x:v>1200</x:v>
      </x:c>
      <x:c r="E22" s="12" t="n">
        <x:v>0</x:v>
      </x:c>
      <x:c r="F22" s="12" t="n">
        <x:v>860</x:v>
      </x:c>
      <x:c r="G22" s="10" t="str">
        <x:v>Gutschriftjournal Retouren und Mengenrabatte</x:v>
      </x:c>
      <x:c r="H22" s="10" t="str">
        <x:v>Gutschriften</x:v>
      </x:c>
    </x:row>
    <x:row r="23" ht="14" customHeight="1">
      <x:c r="A23" s="10" t="str">
        <x:v>2024-01-0008</x:v>
      </x:c>
      <x:c r="B23" s="11" t="n">
        <x:v>45322</x:v>
      </x:c>
      <x:c r="C23" s="10" t="n">
        <x:v>1</x:v>
      </x:c>
      <x:c r="D23" s="10" t="str">
        <x:v>1140</x:v>
      </x:c>
      <x:c r="E23" s="12" t="n">
        <x:v>131708.95</x:v>
      </x:c>
      <x:c r="F23" s="12" t="n">
        <x:v>0</x:v>
      </x:c>
      <x:c r="G23" s="10" t="str">
        <x:v>Wareneingang Inland 7 Prozent</x:v>
      </x:c>
      <x:c r="H23" s="10" t="str">
        <x:v>Einkauf</x:v>
      </x:c>
    </x:row>
    <x:row r="24" ht="14" customHeight="1">
      <x:c r="A24" s="10" t="str">
        <x:v>2024-01-0008</x:v>
      </x:c>
      <x:c r="B24" s="11" t="n">
        <x:v>45322</x:v>
      </x:c>
      <x:c r="C24" s="10" t="n">
        <x:v>1</x:v>
      </x:c>
      <x:c r="D24" s="10" t="str">
        <x:v>1401</x:v>
      </x:c>
      <x:c r="E24" s="12" t="n">
        <x:v>9219.63</x:v>
      </x:c>
      <x:c r="F24" s="12" t="n">
        <x:v>0</x:v>
      </x:c>
      <x:c r="G24" s="10" t="str">
        <x:v>Wareneingang Inland 7 Prozent</x:v>
      </x:c>
      <x:c r="H24" s="10" t="str">
        <x:v>Einkauf</x:v>
      </x:c>
    </x:row>
    <x:row r="25" ht="14" customHeight="1">
      <x:c r="A25" s="10" t="str">
        <x:v>2024-01-0008</x:v>
      </x:c>
      <x:c r="B25" s="11" t="n">
        <x:v>45322</x:v>
      </x:c>
      <x:c r="C25" s="10" t="n">
        <x:v>1</x:v>
      </x:c>
      <x:c r="D25" s="10" t="str">
        <x:v>3300</x:v>
      </x:c>
      <x:c r="E25" s="12" t="n">
        <x:v>0</x:v>
      </x:c>
      <x:c r="F25" s="12" t="n">
        <x:v>140928.58</x:v>
      </x:c>
      <x:c r="G25" s="10" t="str">
        <x:v>Wareneingang Inland 7 Prozent</x:v>
      </x:c>
      <x:c r="H25" s="10" t="str">
        <x:v>Einkauf</x:v>
      </x:c>
    </x:row>
    <x:row r="26" ht="14" customHeight="1">
      <x:c r="A26" s="10" t="str">
        <x:v>2024-01-0009</x:v>
      </x:c>
      <x:c r="B26" s="11" t="n">
        <x:v>45322</x:v>
      </x:c>
      <x:c r="C26" s="10" t="n">
        <x:v>1</x:v>
      </x:c>
      <x:c r="D26" s="10" t="str">
        <x:v>1140</x:v>
      </x:c>
      <x:c r="E26" s="12" t="n">
        <x:v>24262.18</x:v>
      </x:c>
      <x:c r="F26" s="12" t="n">
        <x:v>0</x:v>
      </x:c>
      <x:c r="G26" s="10" t="str">
        <x:v>Wareneingang Inland 19 Prozent</x:v>
      </x:c>
      <x:c r="H26" s="10" t="str">
        <x:v>Einkauf</x:v>
      </x:c>
    </x:row>
    <x:row r="27" ht="14" customHeight="1">
      <x:c r="A27" s="10" t="str">
        <x:v>2024-01-0009</x:v>
      </x:c>
      <x:c r="B27" s="11" t="n">
        <x:v>45322</x:v>
      </x:c>
      <x:c r="C27" s="10" t="n">
        <x:v>1</x:v>
      </x:c>
      <x:c r="D27" s="10" t="str">
        <x:v>1406</x:v>
      </x:c>
      <x:c r="E27" s="12" t="n">
        <x:v>4609.81</x:v>
      </x:c>
      <x:c r="F27" s="12" t="n">
        <x:v>0</x:v>
      </x:c>
      <x:c r="G27" s="10" t="str">
        <x:v>Wareneingang Inland 19 Prozent</x:v>
      </x:c>
      <x:c r="H27" s="10" t="str">
        <x:v>Einkauf</x:v>
      </x:c>
    </x:row>
    <x:row r="28" ht="14" customHeight="1">
      <x:c r="A28" s="10" t="str">
        <x:v>2024-01-0009</x:v>
      </x:c>
      <x:c r="B28" s="11" t="n">
        <x:v>45322</x:v>
      </x:c>
      <x:c r="C28" s="10" t="n">
        <x:v>1</x:v>
      </x:c>
      <x:c r="D28" s="10" t="str">
        <x:v>3300</x:v>
      </x:c>
      <x:c r="E28" s="12" t="n">
        <x:v>0</x:v>
      </x:c>
      <x:c r="F28" s="12" t="n">
        <x:v>28871.99</x:v>
      </x:c>
      <x:c r="G28" s="10" t="str">
        <x:v>Wareneingang Inland 19 Prozent</x:v>
      </x:c>
      <x:c r="H28" s="10" t="str">
        <x:v>Einkauf</x:v>
      </x:c>
    </x:row>
    <x:row r="29" ht="14" customHeight="1">
      <x:c r="A29" s="10" t="str">
        <x:v>2024-01-0010</x:v>
      </x:c>
      <x:c r="B29" s="11" t="n">
        <x:v>45322</x:v>
      </x:c>
      <x:c r="C29" s="10" t="n">
        <x:v>1</x:v>
      </x:c>
      <x:c r="D29" s="10" t="str">
        <x:v>1140</x:v>
      </x:c>
      <x:c r="E29" s="12" t="n">
        <x:v>69320.5</x:v>
      </x:c>
      <x:c r="F29" s="12" t="n">
        <x:v>0</x:v>
      </x:c>
      <x:c r="G29" s="10" t="str">
        <x:v>Wareneingang EU 7 Prozent</x:v>
      </x:c>
      <x:c r="H29" s="10" t="str">
        <x:v>Einkauf</x:v>
      </x:c>
    </x:row>
    <x:row r="30" ht="14" customHeight="1">
      <x:c r="A30" s="10" t="str">
        <x:v>2024-01-0010</x:v>
      </x:c>
      <x:c r="B30" s="11" t="n">
        <x:v>45322</x:v>
      </x:c>
      <x:c r="C30" s="10" t="n">
        <x:v>1</x:v>
      </x:c>
      <x:c r="D30" s="10" t="str">
        <x:v>3300</x:v>
      </x:c>
      <x:c r="E30" s="12" t="n">
        <x:v>0</x:v>
      </x:c>
      <x:c r="F30" s="12" t="n">
        <x:v>69320.5</x:v>
      </x:c>
      <x:c r="G30" s="10" t="str">
        <x:v>Wareneingang EU 7 Prozent</x:v>
      </x:c>
      <x:c r="H30" s="10" t="str">
        <x:v>Einkauf</x:v>
      </x:c>
    </x:row>
    <x:row r="31" ht="14" customHeight="1">
      <x:c r="A31" s="10" t="str">
        <x:v>2024-01-0010</x:v>
      </x:c>
      <x:c r="B31" s="11" t="n">
        <x:v>45322</x:v>
      </x:c>
      <x:c r="C31" s="10" t="n">
        <x:v>1</x:v>
      </x:c>
      <x:c r="D31" s="10" t="str">
        <x:v>1404</x:v>
      </x:c>
      <x:c r="E31" s="12" t="n">
        <x:v>4852.44</x:v>
      </x:c>
      <x:c r="F31" s="12" t="n">
        <x:v>0</x:v>
      </x:c>
      <x:c r="G31" s="10" t="str">
        <x:v>Wareneingang EU 7 Prozent</x:v>
      </x:c>
      <x:c r="H31" s="10" t="str">
        <x:v>Einkauf</x:v>
      </x:c>
    </x:row>
    <x:row r="32" ht="14" customHeight="1">
      <x:c r="A32" s="10" t="str">
        <x:v>2024-01-0010</x:v>
      </x:c>
      <x:c r="B32" s="11" t="n">
        <x:v>45322</x:v>
      </x:c>
      <x:c r="C32" s="10" t="n">
        <x:v>1</x:v>
      </x:c>
      <x:c r="D32" s="10" t="str">
        <x:v>3804</x:v>
      </x:c>
      <x:c r="E32" s="12" t="n">
        <x:v>0</x:v>
      </x:c>
      <x:c r="F32" s="12" t="n">
        <x:v>4852.44</x:v>
      </x:c>
      <x:c r="G32" s="10" t="str">
        <x:v>Wareneingang EU 7 Prozent</x:v>
      </x:c>
      <x:c r="H32" s="10" t="str">
        <x:v>Einkauf</x:v>
      </x:c>
    </x:row>
    <x:row r="33" ht="14" customHeight="1">
      <x:c r="A33" s="10" t="str">
        <x:v>2024-01-0011</x:v>
      </x:c>
      <x:c r="B33" s="11" t="n">
        <x:v>45322</x:v>
      </x:c>
      <x:c r="C33" s="10" t="n">
        <x:v>1</x:v>
      </x:c>
      <x:c r="D33" s="10" t="str">
        <x:v>1140</x:v>
      </x:c>
      <x:c r="E33" s="12" t="n">
        <x:v>17330.12</x:v>
      </x:c>
      <x:c r="F33" s="12" t="n">
        <x:v>0</x:v>
      </x:c>
      <x:c r="G33" s="10" t="str">
        <x:v>Wareneingang EU 19 Prozent</x:v>
      </x:c>
      <x:c r="H33" s="10" t="str">
        <x:v>Einkauf</x:v>
      </x:c>
    </x:row>
    <x:row r="34" ht="14" customHeight="1">
      <x:c r="A34" s="10" t="str">
        <x:v>2024-01-0011</x:v>
      </x:c>
      <x:c r="B34" s="11" t="n">
        <x:v>45322</x:v>
      </x:c>
      <x:c r="C34" s="10" t="n">
        <x:v>1</x:v>
      </x:c>
      <x:c r="D34" s="10" t="str">
        <x:v>3300</x:v>
      </x:c>
      <x:c r="E34" s="12" t="n">
        <x:v>0</x:v>
      </x:c>
      <x:c r="F34" s="12" t="n">
        <x:v>17330.12</x:v>
      </x:c>
      <x:c r="G34" s="10" t="str">
        <x:v>Wareneingang EU 19 Prozent</x:v>
      </x:c>
      <x:c r="H34" s="10" t="str">
        <x:v>Einkauf</x:v>
      </x:c>
    </x:row>
    <x:row r="35" ht="14" customHeight="1">
      <x:c r="A35" s="10" t="str">
        <x:v>2024-01-0011</x:v>
      </x:c>
      <x:c r="B35" s="11" t="n">
        <x:v>45322</x:v>
      </x:c>
      <x:c r="C35" s="10" t="n">
        <x:v>1</x:v>
      </x:c>
      <x:c r="D35" s="10" t="str">
        <x:v>1409</x:v>
      </x:c>
      <x:c r="E35" s="12" t="n">
        <x:v>3292.72</x:v>
      </x:c>
      <x:c r="F35" s="12" t="n">
        <x:v>0</x:v>
      </x:c>
      <x:c r="G35" s="10" t="str">
        <x:v>Wareneingang EU 19 Prozent</x:v>
      </x:c>
      <x:c r="H35" s="10" t="str">
        <x:v>Einkauf</x:v>
      </x:c>
    </x:row>
    <x:row r="36" ht="14" customHeight="1">
      <x:c r="A36" s="10" t="str">
        <x:v>2024-01-0011</x:v>
      </x:c>
      <x:c r="B36" s="11" t="n">
        <x:v>45322</x:v>
      </x:c>
      <x:c r="C36" s="10" t="n">
        <x:v>1</x:v>
      </x:c>
      <x:c r="D36" s="10" t="str">
        <x:v>3809</x:v>
      </x:c>
      <x:c r="E36" s="12" t="n">
        <x:v>0</x:v>
      </x:c>
      <x:c r="F36" s="12" t="n">
        <x:v>3292.72</x:v>
      </x:c>
      <x:c r="G36" s="10" t="str">
        <x:v>Wareneingang EU 19 Prozent</x:v>
      </x:c>
      <x:c r="H36" s="10" t="str">
        <x:v>Einkauf</x:v>
      </x:c>
    </x:row>
    <x:row r="37" ht="14" customHeight="1">
      <x:c r="A37" s="10" t="str">
        <x:v>2024-01-0012</x:v>
      </x:c>
      <x:c r="B37" s="11" t="n">
        <x:v>45322</x:v>
      </x:c>
      <x:c r="C37" s="10" t="n">
        <x:v>1</x:v>
      </x:c>
      <x:c r="D37" s="10" t="str">
        <x:v>1140</x:v>
      </x:c>
      <x:c r="E37" s="12" t="n">
        <x:v>103980.75</x:v>
      </x:c>
      <x:c r="F37" s="12" t="n">
        <x:v>0</x:v>
      </x:c>
      <x:c r="G37" s="10" t="str">
        <x:v>Wareneingang Drittland</x:v>
      </x:c>
      <x:c r="H37" s="10" t="str">
        <x:v>Einkauf</x:v>
      </x:c>
    </x:row>
    <x:row r="38" ht="14" customHeight="1">
      <x:c r="A38" s="10" t="str">
        <x:v>2024-01-0012</x:v>
      </x:c>
      <x:c r="B38" s="11" t="n">
        <x:v>45322</x:v>
      </x:c>
      <x:c r="C38" s="10" t="n">
        <x:v>1</x:v>
      </x:c>
      <x:c r="D38" s="10" t="str">
        <x:v>3300</x:v>
      </x:c>
      <x:c r="E38" s="12" t="n">
        <x:v>0</x:v>
      </x:c>
      <x:c r="F38" s="12" t="n">
        <x:v>103980.75</x:v>
      </x:c>
      <x:c r="G38" s="10" t="str">
        <x:v>Wareneingang Drittland</x:v>
      </x:c>
      <x:c r="H38" s="10" t="str">
        <x:v>Einkauf</x:v>
      </x:c>
    </x:row>
    <x:row r="39" ht="14" customHeight="1">
      <x:c r="A39" s="10" t="str">
        <x:v>2024-01-0013</x:v>
      </x:c>
      <x:c r="B39" s="11" t="n">
        <x:v>45313</x:v>
      </x:c>
      <x:c r="C39" s="10" t="n">
        <x:v>1</x:v>
      </x:c>
      <x:c r="D39" s="10" t="str">
        <x:v>1433</x:v>
      </x:c>
      <x:c r="E39" s="12" t="n">
        <x:v>8526.42</x:v>
      </x:c>
      <x:c r="F39" s="12" t="n">
        <x:v>0</x:v>
      </x:c>
      <x:c r="G39" s="10" t="str">
        <x:v>Einfuhrabgabenjournal bezahlte EUSt</x:v>
      </x:c>
      <x:c r="H39" s="10" t="str">
        <x:v>Einfuhrumsatzsteuer</x:v>
      </x:c>
    </x:row>
    <x:row r="40" ht="14" customHeight="1">
      <x:c r="A40" s="10" t="str">
        <x:v>2024-01-0013</x:v>
      </x:c>
      <x:c r="B40" s="11" t="n">
        <x:v>45313</x:v>
      </x:c>
      <x:c r="C40" s="10" t="n">
        <x:v>1</x:v>
      </x:c>
      <x:c r="D40" s="10" t="str">
        <x:v>1800</x:v>
      </x:c>
      <x:c r="E40" s="12" t="n">
        <x:v>0</x:v>
      </x:c>
      <x:c r="F40" s="12" t="n">
        <x:v>8526.42</x:v>
      </x:c>
      <x:c r="G40" s="10" t="str">
        <x:v>Einfuhrabgabenjournal bezahlte EUSt</x:v>
      </x:c>
      <x:c r="H40" s="10" t="str">
        <x:v>Einfuhrumsatzsteuer</x:v>
      </x:c>
    </x:row>
    <x:row r="41" ht="14" customHeight="1">
      <x:c r="A41" s="10" t="str">
        <x:v>2024-01-0014</x:v>
      </x:c>
      <x:c r="B41" s="11" t="n">
        <x:v>45322</x:v>
      </x:c>
      <x:c r="C41" s="10" t="n">
        <x:v>1</x:v>
      </x:c>
      <x:c r="D41" s="10" t="str">
        <x:v>5000</x:v>
      </x:c>
      <x:c r="E41" s="12" t="n">
        <x:v>336602.5</x:v>
      </x:c>
      <x:c r="F41" s="12" t="n">
        <x:v>0</x:v>
      </x:c>
      <x:c r="G41" s="10" t="str">
        <x:v>Warenabgänge zu Einstandswerten</x:v>
      </x:c>
      <x:c r="H41" s="10" t="str">
        <x:v>Verbrauch</x:v>
      </x:c>
    </x:row>
    <x:row r="42" ht="14" customHeight="1">
      <x:c r="A42" s="10" t="str">
        <x:v>2024-01-0014</x:v>
      </x:c>
      <x:c r="B42" s="11" t="n">
        <x:v>45322</x:v>
      </x:c>
      <x:c r="C42" s="10" t="n">
        <x:v>1</x:v>
      </x:c>
      <x:c r="D42" s="10" t="str">
        <x:v>1140</x:v>
      </x:c>
      <x:c r="E42" s="12" t="n">
        <x:v>0</x:v>
      </x:c>
      <x:c r="F42" s="12" t="n">
        <x:v>336602.5</x:v>
      </x:c>
      <x:c r="G42" s="10" t="str">
        <x:v>Warenabgänge zu Einstandswerten</x:v>
      </x:c>
      <x:c r="H42" s="10" t="str">
        <x:v>Verbrauch</x:v>
      </x:c>
    </x:row>
    <x:row r="43" ht="14" customHeight="1">
      <x:c r="A43" s="10" t="str">
        <x:v>2024-01-0015</x:v>
      </x:c>
      <x:c r="B43" s="11" t="n">
        <x:v>45322</x:v>
      </x:c>
      <x:c r="C43" s="10" t="n">
        <x:v>1</x:v>
      </x:c>
      <x:c r="D43" s="10" t="str">
        <x:v>6020</x:v>
      </x:c>
      <x:c r="E43" s="12" t="n">
        <x:v>86000</x:v>
      </x:c>
      <x:c r="F43" s="12" t="n">
        <x:v>0</x:v>
      </x:c>
      <x:c r="G43" s="10" t="str">
        <x:v>Lohnjournal 20 Beschäftigte</x:v>
      </x:c>
      <x:c r="H43" s="10" t="str">
        <x:v>Personal</x:v>
      </x:c>
    </x:row>
    <x:row r="44" ht="14" customHeight="1">
      <x:c r="A44" s="10" t="str">
        <x:v>2024-01-0015</x:v>
      </x:c>
      <x:c r="B44" s="11" t="n">
        <x:v>45322</x:v>
      </x:c>
      <x:c r="C44" s="10" t="n">
        <x:v>1</x:v>
      </x:c>
      <x:c r="D44" s="10" t="str">
        <x:v>6110</x:v>
      </x:c>
      <x:c r="E44" s="12" t="n">
        <x:v>18000</x:v>
      </x:c>
      <x:c r="F44" s="12" t="n">
        <x:v>0</x:v>
      </x:c>
      <x:c r="G44" s="10" t="str">
        <x:v>Lohnjournal 20 Beschäftigte</x:v>
      </x:c>
      <x:c r="H44" s="10" t="str">
        <x:v>Personal</x:v>
      </x:c>
    </x:row>
    <x:row r="45" ht="14" customHeight="1">
      <x:c r="A45" s="10" t="str">
        <x:v>2024-01-0015</x:v>
      </x:c>
      <x:c r="B45" s="11" t="n">
        <x:v>45322</x:v>
      </x:c>
      <x:c r="C45" s="10" t="n">
        <x:v>1</x:v>
      </x:c>
      <x:c r="D45" s="10" t="str">
        <x:v>3720</x:v>
      </x:c>
      <x:c r="E45" s="12" t="n">
        <x:v>0</x:v>
      </x:c>
      <x:c r="F45" s="12" t="n">
        <x:v>56760</x:v>
      </x:c>
      <x:c r="G45" s="10" t="str">
        <x:v>Lohnjournal 20 Beschäftigte</x:v>
      </x:c>
      <x:c r="H45" s="10" t="str">
        <x:v>Personal</x:v>
      </x:c>
    </x:row>
    <x:row r="46" ht="14" customHeight="1">
      <x:c r="A46" s="10" t="str">
        <x:v>2024-01-0015</x:v>
      </x:c>
      <x:c r="B46" s="11" t="n">
        <x:v>45322</x:v>
      </x:c>
      <x:c r="C46" s="10" t="n">
        <x:v>1</x:v>
      </x:c>
      <x:c r="D46" s="10" t="str">
        <x:v>3730</x:v>
      </x:c>
      <x:c r="E46" s="12" t="n">
        <x:v>0</x:v>
      </x:c>
      <x:c r="F46" s="12" t="n">
        <x:v>12900</x:v>
      </x:c>
      <x:c r="G46" s="10" t="str">
        <x:v>Lohnjournal 20 Beschäftigte</x:v>
      </x:c>
      <x:c r="H46" s="10" t="str">
        <x:v>Personal</x:v>
      </x:c>
    </x:row>
    <x:row r="47" ht="14" customHeight="1">
      <x:c r="A47" s="10" t="str">
        <x:v>2024-01-0015</x:v>
      </x:c>
      <x:c r="B47" s="11" t="n">
        <x:v>45322</x:v>
      </x:c>
      <x:c r="C47" s="10" t="n">
        <x:v>1</x:v>
      </x:c>
      <x:c r="D47" s="10" t="str">
        <x:v>3740</x:v>
      </x:c>
      <x:c r="E47" s="12" t="n">
        <x:v>0</x:v>
      </x:c>
      <x:c r="F47" s="12" t="n">
        <x:v>34340</x:v>
      </x:c>
      <x:c r="G47" s="10" t="str">
        <x:v>Lohnjournal 20 Beschäftigte</x:v>
      </x:c>
      <x:c r="H47" s="10" t="str">
        <x:v>Personal</x:v>
      </x:c>
    </x:row>
    <x:row r="48" ht="14" customHeight="1">
      <x:c r="A48" s="10" t="str">
        <x:v>2024-01-0016</x:v>
      </x:c>
      <x:c r="B48" s="11" t="n">
        <x:v>45319</x:v>
      </x:c>
      <x:c r="C48" s="10" t="n">
        <x:v>1</x:v>
      </x:c>
      <x:c r="D48" s="10" t="str">
        <x:v>3720</x:v>
      </x:c>
      <x:c r="E48" s="12" t="n">
        <x:v>98760</x:v>
      </x:c>
      <x:c r="F48" s="12" t="n">
        <x:v>0</x:v>
      </x:c>
      <x:c r="G48" s="10" t="str">
        <x:v>Zahlungsjournal Verbindlichkeiten Nettolöhne</x:v>
      </x:c>
      <x:c r="H48" s="10" t="str">
        <x:v>Personalzahlung</x:v>
      </x:c>
    </x:row>
    <x:row r="49" ht="14" customHeight="1">
      <x:c r="A49" s="10" t="str">
        <x:v>2024-01-0016</x:v>
      </x:c>
      <x:c r="B49" s="11" t="n">
        <x:v>45319</x:v>
      </x:c>
      <x:c r="C49" s="10" t="n">
        <x:v>1</x:v>
      </x:c>
      <x:c r="D49" s="10" t="str">
        <x:v>1800</x:v>
      </x:c>
      <x:c r="E49" s="12" t="n">
        <x:v>0</x:v>
      </x:c>
      <x:c r="F49" s="12" t="n">
        <x:v>98760</x:v>
      </x:c>
      <x:c r="G49" s="10" t="str">
        <x:v>Zahlungsjournal Verbindlichkeiten Nettolöhne</x:v>
      </x:c>
      <x:c r="H49" s="10" t="str">
        <x:v>Personalzahlung</x:v>
      </x:c>
    </x:row>
    <x:row r="50" ht="14" customHeight="1">
      <x:c r="A50" s="10" t="str">
        <x:v>2024-01-0017</x:v>
      </x:c>
      <x:c r="B50" s="11" t="n">
        <x:v>45301</x:v>
      </x:c>
      <x:c r="C50" s="10" t="n">
        <x:v>1</x:v>
      </x:c>
      <x:c r="D50" s="10" t="str">
        <x:v>3730</x:v>
      </x:c>
      <x:c r="E50" s="12" t="n">
        <x:v>12000</x:v>
      </x:c>
      <x:c r="F50" s="12" t="n">
        <x:v>0</x:v>
      </x:c>
      <x:c r="G50" s="10" t="str">
        <x:v>Zahlungsjournal Verbindlichkeiten Lohnsteuer</x:v>
      </x:c>
      <x:c r="H50" s="10" t="str">
        <x:v>Personalzahlung</x:v>
      </x:c>
    </x:row>
    <x:row r="51" ht="14" customHeight="1">
      <x:c r="A51" s="10" t="str">
        <x:v>2024-01-0017</x:v>
      </x:c>
      <x:c r="B51" s="11" t="n">
        <x:v>45301</x:v>
      </x:c>
      <x:c r="C51" s="10" t="n">
        <x:v>1</x:v>
      </x:c>
      <x:c r="D51" s="10" t="str">
        <x:v>1800</x:v>
      </x:c>
      <x:c r="E51" s="12" t="n">
        <x:v>0</x:v>
      </x:c>
      <x:c r="F51" s="12" t="n">
        <x:v>12000</x:v>
      </x:c>
      <x:c r="G51" s="10" t="str">
        <x:v>Zahlungsjournal Verbindlichkeiten Lohnsteuer</x:v>
      </x:c>
      <x:c r="H51" s="10" t="str">
        <x:v>Personalzahlung</x:v>
      </x:c>
    </x:row>
    <x:row r="52" ht="14" customHeight="1">
      <x:c r="A52" s="10" t="str">
        <x:v>2024-01-0018</x:v>
      </x:c>
      <x:c r="B52" s="11" t="n">
        <x:v>45319</x:v>
      </x:c>
      <x:c r="C52" s="10" t="n">
        <x:v>1</x:v>
      </x:c>
      <x:c r="D52" s="10" t="str">
        <x:v>3740</x:v>
      </x:c>
      <x:c r="E52" s="12" t="n">
        <x:v>52340</x:v>
      </x:c>
      <x:c r="F52" s="12" t="n">
        <x:v>0</x:v>
      </x:c>
      <x:c r="G52" s="10" t="str">
        <x:v>Zahlungsjournal Verbindlichkeiten Sozialversicherung</x:v>
      </x:c>
      <x:c r="H52" s="10" t="str">
        <x:v>Personalzahlung</x:v>
      </x:c>
    </x:row>
    <x:row r="53" ht="14" customHeight="1">
      <x:c r="A53" s="10" t="str">
        <x:v>2024-01-0018</x:v>
      </x:c>
      <x:c r="B53" s="11" t="n">
        <x:v>45319</x:v>
      </x:c>
      <x:c r="C53" s="10" t="n">
        <x:v>1</x:v>
      </x:c>
      <x:c r="D53" s="10" t="str">
        <x:v>1800</x:v>
      </x:c>
      <x:c r="E53" s="12" t="n">
        <x:v>0</x:v>
      </x:c>
      <x:c r="F53" s="12" t="n">
        <x:v>52340</x:v>
      </x:c>
      <x:c r="G53" s="10" t="str">
        <x:v>Zahlungsjournal Verbindlichkeiten Sozialversicherung</x:v>
      </x:c>
      <x:c r="H53" s="10" t="str">
        <x:v>Personalzahlung</x:v>
      </x:c>
    </x:row>
    <x:row r="54" ht="14" customHeight="1">
      <x:c r="A54" s="10" t="str">
        <x:v>2024-01-0019</x:v>
      </x:c>
      <x:c r="B54" s="11" t="n">
        <x:v>45322</x:v>
      </x:c>
      <x:c r="C54" s="10" t="n">
        <x:v>1</x:v>
      </x:c>
      <x:c r="D54" s="10" t="str">
        <x:v>6310</x:v>
      </x:c>
      <x:c r="E54" s="12" t="n">
        <x:v>4000</x:v>
      </x:c>
      <x:c r="F54" s="12" t="n">
        <x:v>0</x:v>
      </x:c>
      <x:c r="G54" s="10" t="str">
        <x:v>Miete Büro Nürnberg Monatsjournal</x:v>
      </x:c>
      <x:c r="H54" s="10" t="str">
        <x:v>Betriebskosten</x:v>
      </x:c>
    </x:row>
    <x:row r="55" ht="14" customHeight="1">
      <x:c r="A55" s="10" t="str">
        <x:v>2024-01-0019</x:v>
      </x:c>
      <x:c r="B55" s="11" t="n">
        <x:v>45322</x:v>
      </x:c>
      <x:c r="C55" s="10" t="n">
        <x:v>1</x:v>
      </x:c>
      <x:c r="D55" s="10" t="str">
        <x:v>1406</x:v>
      </x:c>
      <x:c r="E55" s="12" t="n">
        <x:v>760</x:v>
      </x:c>
      <x:c r="F55" s="12" t="n">
        <x:v>0</x:v>
      </x:c>
      <x:c r="G55" s="10" t="str">
        <x:v>Miete Büro Nürnberg Monatsjournal</x:v>
      </x:c>
      <x:c r="H55" s="10" t="str">
        <x:v>Betriebskosten</x:v>
      </x:c>
    </x:row>
    <x:row r="56" ht="14" customHeight="1">
      <x:c r="A56" s="10" t="str">
        <x:v>2024-01-0019</x:v>
      </x:c>
      <x:c r="B56" s="11" t="n">
        <x:v>45322</x:v>
      </x:c>
      <x:c r="C56" s="10" t="n">
        <x:v>1</x:v>
      </x:c>
      <x:c r="D56" s="10" t="str">
        <x:v>3300</x:v>
      </x:c>
      <x:c r="E56" s="12" t="n">
        <x:v>0</x:v>
      </x:c>
      <x:c r="F56" s="12" t="n">
        <x:v>4760</x:v>
      </x:c>
      <x:c r="G56" s="10" t="str">
        <x:v>Miete Büro Nürnberg Monatsjournal</x:v>
      </x:c>
      <x:c r="H56" s="10" t="str">
        <x:v>Betriebskosten</x:v>
      </x:c>
    </x:row>
    <x:row r="57" ht="14" customHeight="1">
      <x:c r="A57" s="10" t="str">
        <x:v>2024-01-0020</x:v>
      </x:c>
      <x:c r="B57" s="11" t="n">
        <x:v>45322</x:v>
      </x:c>
      <x:c r="C57" s="10" t="n">
        <x:v>1</x:v>
      </x:c>
      <x:c r="D57" s="10" t="str">
        <x:v>6311</x:v>
      </x:c>
      <x:c r="E57" s="12" t="n">
        <x:v>10000</x:v>
      </x:c>
      <x:c r="F57" s="12" t="n">
        <x:v>0</x:v>
      </x:c>
      <x:c r="G57" s="10" t="str">
        <x:v>Miete Lager Erlangen Monatsjournal</x:v>
      </x:c>
      <x:c r="H57" s="10" t="str">
        <x:v>Betriebskosten</x:v>
      </x:c>
    </x:row>
    <x:row r="58" ht="14" customHeight="1">
      <x:c r="A58" s="10" t="str">
        <x:v>2024-01-0020</x:v>
      </x:c>
      <x:c r="B58" s="11" t="n">
        <x:v>45322</x:v>
      </x:c>
      <x:c r="C58" s="10" t="n">
        <x:v>1</x:v>
      </x:c>
      <x:c r="D58" s="10" t="str">
        <x:v>1406</x:v>
      </x:c>
      <x:c r="E58" s="12" t="n">
        <x:v>1900</x:v>
      </x:c>
      <x:c r="F58" s="12" t="n">
        <x:v>0</x:v>
      </x:c>
      <x:c r="G58" s="10" t="str">
        <x:v>Miete Lager Erlangen Monatsjournal</x:v>
      </x:c>
      <x:c r="H58" s="10" t="str">
        <x:v>Betriebskosten</x:v>
      </x:c>
    </x:row>
    <x:row r="59" ht="14" customHeight="1">
      <x:c r="A59" s="10" t="str">
        <x:v>2024-01-0020</x:v>
      </x:c>
      <x:c r="B59" s="11" t="n">
        <x:v>45322</x:v>
      </x:c>
      <x:c r="C59" s="10" t="n">
        <x:v>1</x:v>
      </x:c>
      <x:c r="D59" s="10" t="str">
        <x:v>3300</x:v>
      </x:c>
      <x:c r="E59" s="12" t="n">
        <x:v>0</x:v>
      </x:c>
      <x:c r="F59" s="12" t="n">
        <x:v>11900</x:v>
      </x:c>
      <x:c r="G59" s="10" t="str">
        <x:v>Miete Lager Erlangen Monatsjournal</x:v>
      </x:c>
      <x:c r="H59" s="10" t="str">
        <x:v>Betriebskosten</x:v>
      </x:c>
    </x:row>
    <x:row r="60" ht="14" customHeight="1">
      <x:c r="A60" s="10" t="str">
        <x:v>2024-01-0021</x:v>
      </x:c>
      <x:c r="B60" s="11" t="n">
        <x:v>45322</x:v>
      </x:c>
      <x:c r="C60" s="10" t="n">
        <x:v>1</x:v>
      </x:c>
      <x:c r="D60" s="10" t="str">
        <x:v>6325</x:v>
      </x:c>
      <x:c r="E60" s="12" t="n">
        <x:v>4500</x:v>
      </x:c>
      <x:c r="F60" s="12" t="n">
        <x:v>0</x:v>
      </x:c>
      <x:c r="G60" s="10" t="str">
        <x:v>Strom und Kühlung Monatsjournal</x:v>
      </x:c>
      <x:c r="H60" s="10" t="str">
        <x:v>Betriebskosten</x:v>
      </x:c>
    </x:row>
    <x:row r="61" ht="14" customHeight="1">
      <x:c r="A61" s="10" t="str">
        <x:v>2024-01-0021</x:v>
      </x:c>
      <x:c r="B61" s="11" t="n">
        <x:v>45322</x:v>
      </x:c>
      <x:c r="C61" s="10" t="n">
        <x:v>1</x:v>
      </x:c>
      <x:c r="D61" s="10" t="str">
        <x:v>1406</x:v>
      </x:c>
      <x:c r="E61" s="12" t="n">
        <x:v>855</x:v>
      </x:c>
      <x:c r="F61" s="12" t="n">
        <x:v>0</x:v>
      </x:c>
      <x:c r="G61" s="10" t="str">
        <x:v>Strom und Kühlung Monatsjournal</x:v>
      </x:c>
      <x:c r="H61" s="10" t="str">
        <x:v>Betriebskosten</x:v>
      </x:c>
    </x:row>
    <x:row r="62" ht="14" customHeight="1">
      <x:c r="A62" s="10" t="str">
        <x:v>2024-01-0021</x:v>
      </x:c>
      <x:c r="B62" s="11" t="n">
        <x:v>45322</x:v>
      </x:c>
      <x:c r="C62" s="10" t="n">
        <x:v>1</x:v>
      </x:c>
      <x:c r="D62" s="10" t="str">
        <x:v>3300</x:v>
      </x:c>
      <x:c r="E62" s="12" t="n">
        <x:v>0</x:v>
      </x:c>
      <x:c r="F62" s="12" t="n">
        <x:v>5355</x:v>
      </x:c>
      <x:c r="G62" s="10" t="str">
        <x:v>Strom und Kühlung Monatsjournal</x:v>
      </x:c>
      <x:c r="H62" s="10" t="str">
        <x:v>Betriebskosten</x:v>
      </x:c>
    </x:row>
    <x:row r="63" ht="14" customHeight="1">
      <x:c r="A63" s="10" t="str">
        <x:v>2024-01-0022</x:v>
      </x:c>
      <x:c r="B63" s="11" t="n">
        <x:v>45322</x:v>
      </x:c>
      <x:c r="C63" s="10" t="n">
        <x:v>1</x:v>
      </x:c>
      <x:c r="D63" s="10" t="str">
        <x:v>6400</x:v>
      </x:c>
      <x:c r="E63" s="12" t="n">
        <x:v>2500</x:v>
      </x:c>
      <x:c r="F63" s="12" t="n">
        <x:v>0</x:v>
      </x:c>
      <x:c r="G63" s="10" t="str">
        <x:v>Versicherungen Monatsjournal</x:v>
      </x:c>
      <x:c r="H63" s="10" t="str">
        <x:v>Betriebskosten</x:v>
      </x:c>
    </x:row>
    <x:row r="64" ht="14" customHeight="1">
      <x:c r="A64" s="10" t="str">
        <x:v>2024-01-0022</x:v>
      </x:c>
      <x:c r="B64" s="11" t="n">
        <x:v>45322</x:v>
      </x:c>
      <x:c r="C64" s="10" t="n">
        <x:v>1</x:v>
      </x:c>
      <x:c r="D64" s="10" t="str">
        <x:v>3300</x:v>
      </x:c>
      <x:c r="E64" s="12" t="n">
        <x:v>0</x:v>
      </x:c>
      <x:c r="F64" s="12" t="n">
        <x:v>2500</x:v>
      </x:c>
      <x:c r="G64" s="10" t="str">
        <x:v>Versicherungen Monatsjournal</x:v>
      </x:c>
      <x:c r="H64" s="10" t="str">
        <x:v>Betriebskosten</x:v>
      </x:c>
    </x:row>
    <x:row r="65" ht="14" customHeight="1">
      <x:c r="A65" s="10" t="str">
        <x:v>2024-01-0023</x:v>
      </x:c>
      <x:c r="B65" s="11" t="n">
        <x:v>45322</x:v>
      </x:c>
      <x:c r="C65" s="10" t="n">
        <x:v>1</x:v>
      </x:c>
      <x:c r="D65" s="10" t="str">
        <x:v>6470</x:v>
      </x:c>
      <x:c r="E65" s="12" t="n">
        <x:v>6000</x:v>
      </x:c>
      <x:c r="F65" s="12" t="n">
        <x:v>0</x:v>
      </x:c>
      <x:c r="G65" s="10" t="str">
        <x:v>Lagerbetrieb und Reinigung Monatsjournal</x:v>
      </x:c>
      <x:c r="H65" s="10" t="str">
        <x:v>Betriebskosten</x:v>
      </x:c>
    </x:row>
    <x:row r="66" ht="14" customHeight="1">
      <x:c r="A66" s="10" t="str">
        <x:v>2024-01-0023</x:v>
      </x:c>
      <x:c r="B66" s="11" t="n">
        <x:v>45322</x:v>
      </x:c>
      <x:c r="C66" s="10" t="n">
        <x:v>1</x:v>
      </x:c>
      <x:c r="D66" s="10" t="str">
        <x:v>1406</x:v>
      </x:c>
      <x:c r="E66" s="12" t="n">
        <x:v>1140</x:v>
      </x:c>
      <x:c r="F66" s="12" t="n">
        <x:v>0</x:v>
      </x:c>
      <x:c r="G66" s="10" t="str">
        <x:v>Lagerbetrieb und Reinigung Monatsjournal</x:v>
      </x:c>
      <x:c r="H66" s="10" t="str">
        <x:v>Betriebskosten</x:v>
      </x:c>
    </x:row>
    <x:row r="67" ht="14" customHeight="1">
      <x:c r="A67" s="10" t="str">
        <x:v>2024-01-0023</x:v>
      </x:c>
      <x:c r="B67" s="11" t="n">
        <x:v>45322</x:v>
      </x:c>
      <x:c r="C67" s="10" t="n">
        <x:v>1</x:v>
      </x:c>
      <x:c r="D67" s="10" t="str">
        <x:v>3300</x:v>
      </x:c>
      <x:c r="E67" s="12" t="n">
        <x:v>0</x:v>
      </x:c>
      <x:c r="F67" s="12" t="n">
        <x:v>7140</x:v>
      </x:c>
      <x:c r="G67" s="10" t="str">
        <x:v>Lagerbetrieb und Reinigung Monatsjournal</x:v>
      </x:c>
      <x:c r="H67" s="10" t="str">
        <x:v>Betriebskosten</x:v>
      </x:c>
    </x:row>
    <x:row r="68" ht="14" customHeight="1">
      <x:c r="A68" s="10" t="str">
        <x:v>2024-01-0024</x:v>
      </x:c>
      <x:c r="B68" s="11" t="n">
        <x:v>45322</x:v>
      </x:c>
      <x:c r="C68" s="10" t="n">
        <x:v>1</x:v>
      </x:c>
      <x:c r="D68" s="10" t="str">
        <x:v>6490</x:v>
      </x:c>
      <x:c r="E68" s="12" t="n">
        <x:v>2500</x:v>
      </x:c>
      <x:c r="F68" s="12" t="n">
        <x:v>0</x:v>
      </x:c>
      <x:c r="G68" s="10" t="str">
        <x:v>Reparaturen und Wartung Monatsjournal</x:v>
      </x:c>
      <x:c r="H68" s="10" t="str">
        <x:v>Betriebskosten</x:v>
      </x:c>
    </x:row>
    <x:row r="69" ht="14" customHeight="1">
      <x:c r="A69" s="10" t="str">
        <x:v>2024-01-0024</x:v>
      </x:c>
      <x:c r="B69" s="11" t="n">
        <x:v>45322</x:v>
      </x:c>
      <x:c r="C69" s="10" t="n">
        <x:v>1</x:v>
      </x:c>
      <x:c r="D69" s="10" t="str">
        <x:v>1406</x:v>
      </x:c>
      <x:c r="E69" s="12" t="n">
        <x:v>475</x:v>
      </x:c>
      <x:c r="F69" s="12" t="n">
        <x:v>0</x:v>
      </x:c>
      <x:c r="G69" s="10" t="str">
        <x:v>Reparaturen und Wartung Monatsjournal</x:v>
      </x:c>
      <x:c r="H69" s="10" t="str">
        <x:v>Betriebskosten</x:v>
      </x:c>
    </x:row>
    <x:row r="70" ht="14" customHeight="1">
      <x:c r="A70" s="10" t="str">
        <x:v>2024-01-0024</x:v>
      </x:c>
      <x:c r="B70" s="11" t="n">
        <x:v>45322</x:v>
      </x:c>
      <x:c r="C70" s="10" t="n">
        <x:v>1</x:v>
      </x:c>
      <x:c r="D70" s="10" t="str">
        <x:v>3300</x:v>
      </x:c>
      <x:c r="E70" s="12" t="n">
        <x:v>0</x:v>
      </x:c>
      <x:c r="F70" s="12" t="n">
        <x:v>2975</x:v>
      </x:c>
      <x:c r="G70" s="10" t="str">
        <x:v>Reparaturen und Wartung Monatsjournal</x:v>
      </x:c>
      <x:c r="H70" s="10" t="str">
        <x:v>Betriebskosten</x:v>
      </x:c>
    </x:row>
    <x:row r="71" ht="14" customHeight="1">
      <x:c r="A71" s="10" t="str">
        <x:v>2024-01-0025</x:v>
      </x:c>
      <x:c r="B71" s="11" t="n">
        <x:v>45322</x:v>
      </x:c>
      <x:c r="C71" s="10" t="n">
        <x:v>1</x:v>
      </x:c>
      <x:c r="D71" s="10" t="str">
        <x:v>6600</x:v>
      </x:c>
      <x:c r="E71" s="12" t="n">
        <x:v>6000</x:v>
      </x:c>
      <x:c r="F71" s="12" t="n">
        <x:v>0</x:v>
      </x:c>
      <x:c r="G71" s="10" t="str">
        <x:v>Marketing und Messen Monatsjournal</x:v>
      </x:c>
      <x:c r="H71" s="10" t="str">
        <x:v>Betriebskosten</x:v>
      </x:c>
    </x:row>
    <x:row r="72" ht="14" customHeight="1">
      <x:c r="A72" s="10" t="str">
        <x:v>2024-01-0025</x:v>
      </x:c>
      <x:c r="B72" s="11" t="n">
        <x:v>45322</x:v>
      </x:c>
      <x:c r="C72" s="10" t="n">
        <x:v>1</x:v>
      </x:c>
      <x:c r="D72" s="10" t="str">
        <x:v>1406</x:v>
      </x:c>
      <x:c r="E72" s="12" t="n">
        <x:v>1140</x:v>
      </x:c>
      <x:c r="F72" s="12" t="n">
        <x:v>0</x:v>
      </x:c>
      <x:c r="G72" s="10" t="str">
        <x:v>Marketing und Messen Monatsjournal</x:v>
      </x:c>
      <x:c r="H72" s="10" t="str">
        <x:v>Betriebskosten</x:v>
      </x:c>
    </x:row>
    <x:row r="73" ht="14" customHeight="1">
      <x:c r="A73" s="10" t="str">
        <x:v>2024-01-0025</x:v>
      </x:c>
      <x:c r="B73" s="11" t="n">
        <x:v>45322</x:v>
      </x:c>
      <x:c r="C73" s="10" t="n">
        <x:v>1</x:v>
      </x:c>
      <x:c r="D73" s="10" t="str">
        <x:v>3300</x:v>
      </x:c>
      <x:c r="E73" s="12" t="n">
        <x:v>0</x:v>
      </x:c>
      <x:c r="F73" s="12" t="n">
        <x:v>7140</x:v>
      </x:c>
      <x:c r="G73" s="10" t="str">
        <x:v>Marketing und Messen Monatsjournal</x:v>
      </x:c>
      <x:c r="H73" s="10" t="str">
        <x:v>Betriebskosten</x:v>
      </x:c>
    </x:row>
    <x:row r="74" ht="14" customHeight="1">
      <x:c r="A74" s="10" t="str">
        <x:v>2024-01-0026</x:v>
      </x:c>
      <x:c r="B74" s="11" t="n">
        <x:v>45322</x:v>
      </x:c>
      <x:c r="C74" s="10" t="n">
        <x:v>1</x:v>
      </x:c>
      <x:c r="D74" s="10" t="str">
        <x:v>6650</x:v>
      </x:c>
      <x:c r="E74" s="12" t="n">
        <x:v>1500</x:v>
      </x:c>
      <x:c r="F74" s="12" t="n">
        <x:v>0</x:v>
      </x:c>
      <x:c r="G74" s="10" t="str">
        <x:v>Reisekosten Monatsjournal</x:v>
      </x:c>
      <x:c r="H74" s="10" t="str">
        <x:v>Betriebskosten</x:v>
      </x:c>
    </x:row>
    <x:row r="75" ht="14" customHeight="1">
      <x:c r="A75" s="10" t="str">
        <x:v>2024-01-0026</x:v>
      </x:c>
      <x:c r="B75" s="11" t="n">
        <x:v>45322</x:v>
      </x:c>
      <x:c r="C75" s="10" t="n">
        <x:v>1</x:v>
      </x:c>
      <x:c r="D75" s="10" t="str">
        <x:v>1406</x:v>
      </x:c>
      <x:c r="E75" s="12" t="n">
        <x:v>285</x:v>
      </x:c>
      <x:c r="F75" s="12" t="n">
        <x:v>0</x:v>
      </x:c>
      <x:c r="G75" s="10" t="str">
        <x:v>Reisekosten Monatsjournal</x:v>
      </x:c>
      <x:c r="H75" s="10" t="str">
        <x:v>Betriebskosten</x:v>
      </x:c>
    </x:row>
    <x:row r="76" ht="14" customHeight="1">
      <x:c r="A76" s="10" t="str">
        <x:v>2024-01-0026</x:v>
      </x:c>
      <x:c r="B76" s="11" t="n">
        <x:v>45322</x:v>
      </x:c>
      <x:c r="C76" s="10" t="n">
        <x:v>1</x:v>
      </x:c>
      <x:c r="D76" s="10" t="str">
        <x:v>3300</x:v>
      </x:c>
      <x:c r="E76" s="12" t="n">
        <x:v>0</x:v>
      </x:c>
      <x:c r="F76" s="12" t="n">
        <x:v>1485</x:v>
      </x:c>
      <x:c r="G76" s="10" t="str">
        <x:v>Reisekosten Monatsjournal</x:v>
      </x:c>
      <x:c r="H76" s="10" t="str">
        <x:v>Betriebskosten</x:v>
      </x:c>
    </x:row>
    <x:row r="77" ht="14" customHeight="1">
      <x:c r="A77" s="10" t="str">
        <x:v>2024-01-0026</x:v>
      </x:c>
      <x:c r="B77" s="11" t="n">
        <x:v>45322</x:v>
      </x:c>
      <x:c r="C77" s="10" t="n">
        <x:v>1</x:v>
      </x:c>
      <x:c r="D77" s="10" t="str">
        <x:v>1600</x:v>
      </x:c>
      <x:c r="E77" s="12" t="n">
        <x:v>0</x:v>
      </x:c>
      <x:c r="F77" s="12" t="n">
        <x:v>300</x:v>
      </x:c>
      <x:c r="G77" s="10" t="str">
        <x:v>Reisekosten Monatsjournal</x:v>
      </x:c>
      <x:c r="H77" s="10" t="str">
        <x:v>Betriebskosten</x:v>
      </x:c>
    </x:row>
    <x:row r="78" ht="14" customHeight="1">
      <x:c r="A78" s="10" t="str">
        <x:v>2024-01-0027</x:v>
      </x:c>
      <x:c r="B78" s="11" t="n">
        <x:v>45322</x:v>
      </x:c>
      <x:c r="C78" s="10" t="n">
        <x:v>1</x:v>
      </x:c>
      <x:c r="D78" s="10" t="str">
        <x:v>6740</x:v>
      </x:c>
      <x:c r="E78" s="12" t="n">
        <x:v>13000</x:v>
      </x:c>
      <x:c r="F78" s="12" t="n">
        <x:v>0</x:v>
      </x:c>
      <x:c r="G78" s="10" t="str">
        <x:v>Ausgangsfrachten Inland Monatsjournal</x:v>
      </x:c>
      <x:c r="H78" s="10" t="str">
        <x:v>Betriebskosten</x:v>
      </x:c>
    </x:row>
    <x:row r="79" ht="14" customHeight="1">
      <x:c r="A79" s="10" t="str">
        <x:v>2024-01-0027</x:v>
      </x:c>
      <x:c r="B79" s="11" t="n">
        <x:v>45322</x:v>
      </x:c>
      <x:c r="C79" s="10" t="n">
        <x:v>1</x:v>
      </x:c>
      <x:c r="D79" s="10" t="str">
        <x:v>1406</x:v>
      </x:c>
      <x:c r="E79" s="12" t="n">
        <x:v>2470</x:v>
      </x:c>
      <x:c r="F79" s="12" t="n">
        <x:v>0</x:v>
      </x:c>
      <x:c r="G79" s="10" t="str">
        <x:v>Ausgangsfrachten Inland Monatsjournal</x:v>
      </x:c>
      <x:c r="H79" s="10" t="str">
        <x:v>Betriebskosten</x:v>
      </x:c>
    </x:row>
    <x:row r="80" ht="14" customHeight="1">
      <x:c r="A80" s="10" t="str">
        <x:v>2024-01-0027</x:v>
      </x:c>
      <x:c r="B80" s="11" t="n">
        <x:v>45322</x:v>
      </x:c>
      <x:c r="C80" s="10" t="n">
        <x:v>1</x:v>
      </x:c>
      <x:c r="D80" s="10" t="str">
        <x:v>3300</x:v>
      </x:c>
      <x:c r="E80" s="12" t="n">
        <x:v>0</x:v>
      </x:c>
      <x:c r="F80" s="12" t="n">
        <x:v>15470</x:v>
      </x:c>
      <x:c r="G80" s="10" t="str">
        <x:v>Ausgangsfrachten Inland Monatsjournal</x:v>
      </x:c>
      <x:c r="H80" s="10" t="str">
        <x:v>Betriebskosten</x:v>
      </x:c>
    </x:row>
    <x:row r="81" ht="14" customHeight="1">
      <x:c r="A81" s="10" t="str">
        <x:v>2024-01-0028</x:v>
      </x:c>
      <x:c r="B81" s="11" t="n">
        <x:v>45322</x:v>
      </x:c>
      <x:c r="C81" s="10" t="n">
        <x:v>1</x:v>
      </x:c>
      <x:c r="D81" s="10" t="str">
        <x:v>6741</x:v>
      </x:c>
      <x:c r="E81" s="12" t="n">
        <x:v>14000</x:v>
      </x:c>
      <x:c r="F81" s="12" t="n">
        <x:v>0</x:v>
      </x:c>
      <x:c r="G81" s="10" t="str">
        <x:v>Ausgangsfrachten Ausland Monatsjournal</x:v>
      </x:c>
      <x:c r="H81" s="10" t="str">
        <x:v>Betriebskosten</x:v>
      </x:c>
    </x:row>
    <x:row r="82" ht="14" customHeight="1">
      <x:c r="A82" s="10" t="str">
        <x:v>2024-01-0028</x:v>
      </x:c>
      <x:c r="B82" s="11" t="n">
        <x:v>45322</x:v>
      </x:c>
      <x:c r="C82" s="10" t="n">
        <x:v>1</x:v>
      </x:c>
      <x:c r="D82" s="10" t="str">
        <x:v>1406</x:v>
      </x:c>
      <x:c r="E82" s="12" t="n">
        <x:v>2660</x:v>
      </x:c>
      <x:c r="F82" s="12" t="n">
        <x:v>0</x:v>
      </x:c>
      <x:c r="G82" s="10" t="str">
        <x:v>Ausgangsfrachten Ausland Monatsjournal</x:v>
      </x:c>
      <x:c r="H82" s="10" t="str">
        <x:v>Betriebskosten</x:v>
      </x:c>
    </x:row>
    <x:row r="83" ht="14" customHeight="1">
      <x:c r="A83" s="10" t="str">
        <x:v>2024-01-0028</x:v>
      </x:c>
      <x:c r="B83" s="11" t="n">
        <x:v>45322</x:v>
      </x:c>
      <x:c r="C83" s="10" t="n">
        <x:v>1</x:v>
      </x:c>
      <x:c r="D83" s="10" t="str">
        <x:v>3300</x:v>
      </x:c>
      <x:c r="E83" s="12" t="n">
        <x:v>0</x:v>
      </x:c>
      <x:c r="F83" s="12" t="n">
        <x:v>16660</x:v>
      </x:c>
      <x:c r="G83" s="10" t="str">
        <x:v>Ausgangsfrachten Ausland Monatsjournal</x:v>
      </x:c>
      <x:c r="H83" s="10" t="str">
        <x:v>Betriebskosten</x:v>
      </x:c>
    </x:row>
    <x:row r="84" ht="14" customHeight="1">
      <x:c r="A84" s="10" t="str">
        <x:v>2024-01-0029</x:v>
      </x:c>
      <x:c r="B84" s="11" t="n">
        <x:v>45322</x:v>
      </x:c>
      <x:c r="C84" s="10" t="n">
        <x:v>1</x:v>
      </x:c>
      <x:c r="D84" s="10" t="str">
        <x:v>6805</x:v>
      </x:c>
      <x:c r="E84" s="12" t="n">
        <x:v>1500</x:v>
      </x:c>
      <x:c r="F84" s="12" t="n">
        <x:v>0</x:v>
      </x:c>
      <x:c r="G84" s="10" t="str">
        <x:v>Telekommunikation und IT Monatsjournal</x:v>
      </x:c>
      <x:c r="H84" s="10" t="str">
        <x:v>Betriebskosten</x:v>
      </x:c>
    </x:row>
    <x:row r="85" ht="14" customHeight="1">
      <x:c r="A85" s="10" t="str">
        <x:v>2024-01-0029</x:v>
      </x:c>
      <x:c r="B85" s="11" t="n">
        <x:v>45322</x:v>
      </x:c>
      <x:c r="C85" s="10" t="n">
        <x:v>1</x:v>
      </x:c>
      <x:c r="D85" s="10" t="str">
        <x:v>1406</x:v>
      </x:c>
      <x:c r="E85" s="12" t="n">
        <x:v>285</x:v>
      </x:c>
      <x:c r="F85" s="12" t="n">
        <x:v>0</x:v>
      </x:c>
      <x:c r="G85" s="10" t="str">
        <x:v>Telekommunikation und IT Monatsjournal</x:v>
      </x:c>
      <x:c r="H85" s="10" t="str">
        <x:v>Betriebskosten</x:v>
      </x:c>
    </x:row>
    <x:row r="86" ht="14" customHeight="1">
      <x:c r="A86" s="10" t="str">
        <x:v>2024-01-0029</x:v>
      </x:c>
      <x:c r="B86" s="11" t="n">
        <x:v>45322</x:v>
      </x:c>
      <x:c r="C86" s="10" t="n">
        <x:v>1</x:v>
      </x:c>
      <x:c r="D86" s="10" t="str">
        <x:v>3300</x:v>
      </x:c>
      <x:c r="E86" s="12" t="n">
        <x:v>0</x:v>
      </x:c>
      <x:c r="F86" s="12" t="n">
        <x:v>1785</x:v>
      </x:c>
      <x:c r="G86" s="10" t="str">
        <x:v>Telekommunikation und IT Monatsjournal</x:v>
      </x:c>
      <x:c r="H86" s="10" t="str">
        <x:v>Betriebskosten</x:v>
      </x:c>
    </x:row>
    <x:row r="87" ht="14" customHeight="1">
      <x:c r="A87" s="10" t="str">
        <x:v>2024-01-0030</x:v>
      </x:c>
      <x:c r="B87" s="11" t="n">
        <x:v>45322</x:v>
      </x:c>
      <x:c r="C87" s="10" t="n">
        <x:v>1</x:v>
      </x:c>
      <x:c r="D87" s="10" t="str">
        <x:v>6825</x:v>
      </x:c>
      <x:c r="E87" s="12" t="n">
        <x:v>3000</x:v>
      </x:c>
      <x:c r="F87" s="12" t="n">
        <x:v>0</x:v>
      </x:c>
      <x:c r="G87" s="10" t="str">
        <x:v>Rechtsberatung und Buchführung Monatsjournal</x:v>
      </x:c>
      <x:c r="H87" s="10" t="str">
        <x:v>Betriebskosten</x:v>
      </x:c>
    </x:row>
    <x:row r="88" ht="14" customHeight="1">
      <x:c r="A88" s="10" t="str">
        <x:v>2024-01-0030</x:v>
      </x:c>
      <x:c r="B88" s="11" t="n">
        <x:v>45322</x:v>
      </x:c>
      <x:c r="C88" s="10" t="n">
        <x:v>1</x:v>
      </x:c>
      <x:c r="D88" s="10" t="str">
        <x:v>1406</x:v>
      </x:c>
      <x:c r="E88" s="12" t="n">
        <x:v>570</x:v>
      </x:c>
      <x:c r="F88" s="12" t="n">
        <x:v>0</x:v>
      </x:c>
      <x:c r="G88" s="10" t="str">
        <x:v>Rechtsberatung und Buchführung Monatsjournal</x:v>
      </x:c>
      <x:c r="H88" s="10" t="str">
        <x:v>Betriebskosten</x:v>
      </x:c>
    </x:row>
    <x:row r="89" ht="14" customHeight="1">
      <x:c r="A89" s="10" t="str">
        <x:v>2024-01-0030</x:v>
      </x:c>
      <x:c r="B89" s="11" t="n">
        <x:v>45322</x:v>
      </x:c>
      <x:c r="C89" s="10" t="n">
        <x:v>1</x:v>
      </x:c>
      <x:c r="D89" s="10" t="str">
        <x:v>3300</x:v>
      </x:c>
      <x:c r="E89" s="12" t="n">
        <x:v>0</x:v>
      </x:c>
      <x:c r="F89" s="12" t="n">
        <x:v>3570</x:v>
      </x:c>
      <x:c r="G89" s="10" t="str">
        <x:v>Rechtsberatung und Buchführung Monatsjournal</x:v>
      </x:c>
      <x:c r="H89" s="10" t="str">
        <x:v>Betriebskosten</x:v>
      </x:c>
    </x:row>
    <x:row r="90" ht="14" customHeight="1">
      <x:c r="A90" s="10" t="str">
        <x:v>2024-01-0031</x:v>
      </x:c>
      <x:c r="B90" s="11" t="n">
        <x:v>45322</x:v>
      </x:c>
      <x:c r="C90" s="10" t="n">
        <x:v>1</x:v>
      </x:c>
      <x:c r="D90" s="10" t="str">
        <x:v>6830</x:v>
      </x:c>
      <x:c r="E90" s="12" t="n">
        <x:v>3500</x:v>
      </x:c>
      <x:c r="F90" s="12" t="n">
        <x:v>0</x:v>
      </x:c>
      <x:c r="G90" s="10" t="str">
        <x:v>Labor und Qualitätssicherung Monatsjournal</x:v>
      </x:c>
      <x:c r="H90" s="10" t="str">
        <x:v>Betriebskosten</x:v>
      </x:c>
    </x:row>
    <x:row r="91" ht="14" customHeight="1">
      <x:c r="A91" s="10" t="str">
        <x:v>2024-01-0031</x:v>
      </x:c>
      <x:c r="B91" s="11" t="n">
        <x:v>45322</x:v>
      </x:c>
      <x:c r="C91" s="10" t="n">
        <x:v>1</x:v>
      </x:c>
      <x:c r="D91" s="10" t="str">
        <x:v>1406</x:v>
      </x:c>
      <x:c r="E91" s="12" t="n">
        <x:v>665</x:v>
      </x:c>
      <x:c r="F91" s="12" t="n">
        <x:v>0</x:v>
      </x:c>
      <x:c r="G91" s="10" t="str">
        <x:v>Labor und Qualitätssicherung Monatsjournal</x:v>
      </x:c>
      <x:c r="H91" s="10" t="str">
        <x:v>Betriebskosten</x:v>
      </x:c>
    </x:row>
    <x:row r="92" ht="14" customHeight="1">
      <x:c r="A92" s="10" t="str">
        <x:v>2024-01-0031</x:v>
      </x:c>
      <x:c r="B92" s="11" t="n">
        <x:v>45322</x:v>
      </x:c>
      <x:c r="C92" s="10" t="n">
        <x:v>1</x:v>
      </x:c>
      <x:c r="D92" s="10" t="str">
        <x:v>3300</x:v>
      </x:c>
      <x:c r="E92" s="12" t="n">
        <x:v>0</x:v>
      </x:c>
      <x:c r="F92" s="12" t="n">
        <x:v>4165</x:v>
      </x:c>
      <x:c r="G92" s="10" t="str">
        <x:v>Labor und Qualitätssicherung Monatsjournal</x:v>
      </x:c>
      <x:c r="H92" s="10" t="str">
        <x:v>Betriebskosten</x:v>
      </x:c>
    </x:row>
    <x:row r="93" ht="14" customHeight="1">
      <x:c r="A93" s="10" t="str">
        <x:v>2024-01-0032</x:v>
      </x:c>
      <x:c r="B93" s="11" t="n">
        <x:v>45322</x:v>
      </x:c>
      <x:c r="C93" s="10" t="n">
        <x:v>1</x:v>
      </x:c>
      <x:c r="D93" s="10" t="str">
        <x:v>6850</x:v>
      </x:c>
      <x:c r="E93" s="12" t="n">
        <x:v>2000</x:v>
      </x:c>
      <x:c r="F93" s="12" t="n">
        <x:v>0</x:v>
      </x:c>
      <x:c r="G93" s="10" t="str">
        <x:v>Bürobedarf und übriger Aufwand Monatsjournal</x:v>
      </x:c>
      <x:c r="H93" s="10" t="str">
        <x:v>Betriebskosten</x:v>
      </x:c>
    </x:row>
    <x:row r="94" ht="14" customHeight="1">
      <x:c r="A94" s="10" t="str">
        <x:v>2024-01-0032</x:v>
      </x:c>
      <x:c r="B94" s="11" t="n">
        <x:v>45322</x:v>
      </x:c>
      <x:c r="C94" s="10" t="n">
        <x:v>1</x:v>
      </x:c>
      <x:c r="D94" s="10" t="str">
        <x:v>1406</x:v>
      </x:c>
      <x:c r="E94" s="12" t="n">
        <x:v>380</x:v>
      </x:c>
      <x:c r="F94" s="12" t="n">
        <x:v>0</x:v>
      </x:c>
      <x:c r="G94" s="10" t="str">
        <x:v>Bürobedarf und übriger Aufwand Monatsjournal</x:v>
      </x:c>
      <x:c r="H94" s="10" t="str">
        <x:v>Betriebskosten</x:v>
      </x:c>
    </x:row>
    <x:row r="95" ht="14" customHeight="1">
      <x:c r="A95" s="10" t="str">
        <x:v>2024-01-0032</x:v>
      </x:c>
      <x:c r="B95" s="11" t="n">
        <x:v>45322</x:v>
      </x:c>
      <x:c r="C95" s="10" t="n">
        <x:v>1</x:v>
      </x:c>
      <x:c r="D95" s="10" t="str">
        <x:v>3300</x:v>
      </x:c>
      <x:c r="E95" s="12" t="n">
        <x:v>0</x:v>
      </x:c>
      <x:c r="F95" s="12" t="n">
        <x:v>2380</x:v>
      </x:c>
      <x:c r="G95" s="10" t="str">
        <x:v>Bürobedarf und übriger Aufwand Monatsjournal</x:v>
      </x:c>
      <x:c r="H95" s="10" t="str">
        <x:v>Betriebskosten</x:v>
      </x:c>
    </x:row>
    <x:row r="96" ht="14" customHeight="1">
      <x:c r="A96" s="10" t="str">
        <x:v>2024-01-0033</x:v>
      </x:c>
      <x:c r="B96" s="11" t="n">
        <x:v>45322</x:v>
      </x:c>
      <x:c r="C96" s="10" t="n">
        <x:v>1</x:v>
      </x:c>
      <x:c r="D96" s="10" t="str">
        <x:v>6859</x:v>
      </x:c>
      <x:c r="E96" s="12" t="n">
        <x:v>500</x:v>
      </x:c>
      <x:c r="F96" s="12" t="n">
        <x:v>0</x:v>
      </x:c>
      <x:c r="G96" s="10" t="str">
        <x:v>Bankgebühren Monatsjournal</x:v>
      </x:c>
      <x:c r="H96" s="10" t="str">
        <x:v>Betriebskosten</x:v>
      </x:c>
    </x:row>
    <x:row r="97" ht="14" customHeight="1">
      <x:c r="A97" s="10" t="str">
        <x:v>2024-01-0033</x:v>
      </x:c>
      <x:c r="B97" s="11" t="n">
        <x:v>45322</x:v>
      </x:c>
      <x:c r="C97" s="10" t="n">
        <x:v>1</x:v>
      </x:c>
      <x:c r="D97" s="10" t="str">
        <x:v>3300</x:v>
      </x:c>
      <x:c r="E97" s="12" t="n">
        <x:v>0</x:v>
      </x:c>
      <x:c r="F97" s="12" t="n">
        <x:v>500</x:v>
      </x:c>
      <x:c r="G97" s="10" t="str">
        <x:v>Bankgebühren Monatsjournal</x:v>
      </x:c>
      <x:c r="H97" s="10" t="str">
        <x:v>Betriebskosten</x:v>
      </x:c>
    </x:row>
    <x:row r="98" ht="14" customHeight="1">
      <x:c r="A98" s="10" t="str">
        <x:v>2024-01-0034</x:v>
      </x:c>
      <x:c r="B98" s="11" t="n">
        <x:v>45296</x:v>
      </x:c>
      <x:c r="C98" s="10" t="n">
        <x:v>1</x:v>
      </x:c>
      <x:c r="D98" s="10" t="str">
        <x:v>1600</x:v>
      </x:c>
      <x:c r="E98" s="12" t="n">
        <x:v>300</x:v>
      </x:c>
      <x:c r="F98" s="12" t="n">
        <x:v>0</x:v>
      </x:c>
      <x:c r="G98" s="10" t="str">
        <x:v>Kassenvorschuss Reisekosten</x:v>
      </x:c>
      <x:c r="H98" s="10" t="str">
        <x:v>Kassenumbuchung</x:v>
      </x:c>
    </x:row>
    <x:row r="99" ht="14" customHeight="1">
      <x:c r="A99" s="10" t="str">
        <x:v>2024-01-0034</x:v>
      </x:c>
      <x:c r="B99" s="11" t="n">
        <x:v>45296</x:v>
      </x:c>
      <x:c r="C99" s="10" t="n">
        <x:v>1</x:v>
      </x:c>
      <x:c r="D99" s="10" t="str">
        <x:v>1800</x:v>
      </x:c>
      <x:c r="E99" s="12" t="n">
        <x:v>0</x:v>
      </x:c>
      <x:c r="F99" s="12" t="n">
        <x:v>300</x:v>
      </x:c>
      <x:c r="G99" s="10" t="str">
        <x:v>Kassenvorschuss Reisekosten</x:v>
      </x:c>
      <x:c r="H99" s="10" t="str">
        <x:v>Kassenumbuchung</x:v>
      </x:c>
    </x:row>
    <x:row r="100" ht="14" customHeight="1">
      <x:c r="A100" s="10" t="str">
        <x:v>2024-01-0035</x:v>
      </x:c>
      <x:c r="B100" s="11" t="n">
        <x:v>45322</x:v>
      </x:c>
      <x:c r="C100" s="10" t="n">
        <x:v>1</x:v>
      </x:c>
      <x:c r="D100" s="10" t="str">
        <x:v>6805</x:v>
      </x:c>
      <x:c r="E100" s="12" t="n">
        <x:v>3000</x:v>
      </x:c>
      <x:c r="F100" s="12" t="n">
        <x:v>0</x:v>
      </x:c>
      <x:c r="G100" s="10" t="str">
        <x:v>IT Jahreslizenz Auflösung Vorauszahlung</x:v>
      </x:c>
      <x:c r="H100" s="10" t="str">
        <x:v>Abgrenzung</x:v>
      </x:c>
    </x:row>
    <x:row r="101" ht="14" customHeight="1">
      <x:c r="A101" s="10" t="str">
        <x:v>2024-01-0035</x:v>
      </x:c>
      <x:c r="B101" s="11" t="n">
        <x:v>45322</x:v>
      </x:c>
      <x:c r="C101" s="10" t="n">
        <x:v>1</x:v>
      </x:c>
      <x:c r="D101" s="10" t="str">
        <x:v>1900</x:v>
      </x:c>
      <x:c r="E101" s="12" t="n">
        <x:v>0</x:v>
      </x:c>
      <x:c r="F101" s="12" t="n">
        <x:v>3000</x:v>
      </x:c>
      <x:c r="G101" s="10" t="str">
        <x:v>IT Jahreslizenz Auflösung Vorauszahlung</x:v>
      </x:c>
      <x:c r="H101" s="10" t="str">
        <x:v>Abgrenzung</x:v>
      </x:c>
    </x:row>
    <x:row r="102" ht="14" customHeight="1">
      <x:c r="A102" s="10" t="str">
        <x:v>2024-01-0036</x:v>
      </x:c>
      <x:c r="B102" s="11" t="n">
        <x:v>45322</x:v>
      </x:c>
      <x:c r="C102" s="10" t="n">
        <x:v>1</x:v>
      </x:c>
      <x:c r="D102" s="10" t="str">
        <x:v>6220</x:v>
      </x:c>
      <x:c r="E102" s="12" t="n">
        <x:v>500</x:v>
      </x:c>
      <x:c r="F102" s="12" t="n">
        <x:v>0</x:v>
      </x:c>
      <x:c r="G102" s="10" t="str">
        <x:v>Software Monatsabschreibung</x:v>
      </x:c>
      <x:c r="H102" s="10" t="str">
        <x:v>Abschreibung</x:v>
      </x:c>
    </x:row>
    <x:row r="103" ht="14" customHeight="1">
      <x:c r="A103" s="10" t="str">
        <x:v>2024-01-0036</x:v>
      </x:c>
      <x:c r="B103" s="11" t="n">
        <x:v>45322</x:v>
      </x:c>
      <x:c r="C103" s="10" t="n">
        <x:v>1</x:v>
      </x:c>
      <x:c r="D103" s="10" t="str">
        <x:v>0100</x:v>
      </x:c>
      <x:c r="E103" s="12" t="n">
        <x:v>0</x:v>
      </x:c>
      <x:c r="F103" s="12" t="n">
        <x:v>500</x:v>
      </x:c>
      <x:c r="G103" s="10" t="str">
        <x:v>Software Monatsabschreibung</x:v>
      </x:c>
      <x:c r="H103" s="10" t="str">
        <x:v>Abschreibung</x:v>
      </x:c>
    </x:row>
    <x:row r="104" ht="14" customHeight="1">
      <x:c r="A104" s="10" t="str">
        <x:v>2024-01-0037</x:v>
      </x:c>
      <x:c r="B104" s="11" t="n">
        <x:v>45322</x:v>
      </x:c>
      <x:c r="C104" s="10" t="n">
        <x:v>1</x:v>
      </x:c>
      <x:c r="D104" s="10" t="str">
        <x:v>6220</x:v>
      </x:c>
      <x:c r="E104" s="12" t="n">
        <x:v>2500</x:v>
      </x:c>
      <x:c r="F104" s="12" t="n">
        <x:v>0</x:v>
      </x:c>
      <x:c r="G104" s="10" t="str">
        <x:v>Lagereinbauten Erlangen Monatsabschreibung</x:v>
      </x:c>
      <x:c r="H104" s="10" t="str">
        <x:v>Abschreibung</x:v>
      </x:c>
    </x:row>
    <x:row r="105" ht="14" customHeight="1">
      <x:c r="A105" s="10" t="str">
        <x:v>2024-01-0037</x:v>
      </x:c>
      <x:c r="B105" s="11" t="n">
        <x:v>45322</x:v>
      </x:c>
      <x:c r="C105" s="10" t="n">
        <x:v>1</x:v>
      </x:c>
      <x:c r="D105" s="10" t="str">
        <x:v>0400</x:v>
      </x:c>
      <x:c r="E105" s="12" t="n">
        <x:v>0</x:v>
      </x:c>
      <x:c r="F105" s="12" t="n">
        <x:v>2500</x:v>
      </x:c>
      <x:c r="G105" s="10" t="str">
        <x:v>Lagereinbauten Erlangen Monatsabschreibung</x:v>
      </x:c>
      <x:c r="H105" s="10" t="str">
        <x:v>Abschreibung</x:v>
      </x:c>
    </x:row>
    <x:row r="106" ht="14" customHeight="1">
      <x:c r="A106" s="10" t="str">
        <x:v>2024-01-0038</x:v>
      </x:c>
      <x:c r="B106" s="11" t="n">
        <x:v>45322</x:v>
      </x:c>
      <x:c r="C106" s="10" t="n">
        <x:v>1</x:v>
      </x:c>
      <x:c r="D106" s="10" t="str">
        <x:v>6220</x:v>
      </x:c>
      <x:c r="E106" s="12" t="n">
        <x:v>1500</x:v>
      </x:c>
      <x:c r="F106" s="12" t="n">
        <x:v>0</x:v>
      </x:c>
      <x:c r="G106" s="10" t="str">
        <x:v>Flurförderzeuge Monatsabschreibung</x:v>
      </x:c>
      <x:c r="H106" s="10" t="str">
        <x:v>Abschreibung</x:v>
      </x:c>
    </x:row>
    <x:row r="107" ht="14" customHeight="1">
      <x:c r="A107" s="10" t="str">
        <x:v>2024-01-0038</x:v>
      </x:c>
      <x:c r="B107" s="11" t="n">
        <x:v>45322</x:v>
      </x:c>
      <x:c r="C107" s="10" t="n">
        <x:v>1</x:v>
      </x:c>
      <x:c r="D107" s="10" t="str">
        <x:v>0520</x:v>
      </x:c>
      <x:c r="E107" s="12" t="n">
        <x:v>0</x:v>
      </x:c>
      <x:c r="F107" s="12" t="n">
        <x:v>1500</x:v>
      </x:c>
      <x:c r="G107" s="10" t="str">
        <x:v>Flurförderzeuge Monatsabschreibung</x:v>
      </x:c>
      <x:c r="H107" s="10" t="str">
        <x:v>Abschreibung</x:v>
      </x:c>
    </x:row>
    <x:row r="108" ht="14" customHeight="1">
      <x:c r="A108" s="10" t="str">
        <x:v>2024-01-0039</x:v>
      </x:c>
      <x:c r="B108" s="11" t="n">
        <x:v>45322</x:v>
      </x:c>
      <x:c r="C108" s="10" t="n">
        <x:v>1</x:v>
      </x:c>
      <x:c r="D108" s="10" t="str">
        <x:v>6220</x:v>
      </x:c>
      <x:c r="E108" s="12" t="n">
        <x:v>2000</x:v>
      </x:c>
      <x:c r="F108" s="12" t="n">
        <x:v>0</x:v>
      </x:c>
      <x:c r="G108" s="10" t="str">
        <x:v>IT und Kommunikation Monatsabschreibung</x:v>
      </x:c>
      <x:c r="H108" s="10" t="str">
        <x:v>Abschreibung</x:v>
      </x:c>
    </x:row>
    <x:row r="109" ht="14" customHeight="1">
      <x:c r="A109" s="10" t="str">
        <x:v>2024-01-0039</x:v>
      </x:c>
      <x:c r="B109" s="11" t="n">
        <x:v>45322</x:v>
      </x:c>
      <x:c r="C109" s="10" t="n">
        <x:v>1</x:v>
      </x:c>
      <x:c r="D109" s="10" t="str">
        <x:v>0650</x:v>
      </x:c>
      <x:c r="E109" s="12" t="n">
        <x:v>0</x:v>
      </x:c>
      <x:c r="F109" s="12" t="n">
        <x:v>2000</x:v>
      </x:c>
      <x:c r="G109" s="10" t="str">
        <x:v>IT und Kommunikation Monatsabschreibung</x:v>
      </x:c>
      <x:c r="H109" s="10" t="str">
        <x:v>Abschreibung</x:v>
      </x:c>
    </x:row>
    <x:row r="110" ht="14" customHeight="1">
      <x:c r="A110" s="10" t="str">
        <x:v>2024-01-0040</x:v>
      </x:c>
      <x:c r="B110" s="11" t="n">
        <x:v>45322</x:v>
      </x:c>
      <x:c r="C110" s="10" t="n">
        <x:v>1</x:v>
      </x:c>
      <x:c r="D110" s="10" t="str">
        <x:v>6220</x:v>
      </x:c>
      <x:c r="E110" s="12" t="n">
        <x:v>1000</x:v>
      </x:c>
      <x:c r="F110" s="12" t="n">
        <x:v>0</x:v>
      </x:c>
      <x:c r="G110" s="10" t="str">
        <x:v>Büroausstattung Monatsabschreibung</x:v>
      </x:c>
      <x:c r="H110" s="10" t="str">
        <x:v>Abschreibung</x:v>
      </x:c>
    </x:row>
    <x:row r="111" ht="14" customHeight="1">
      <x:c r="A111" s="10" t="str">
        <x:v>2024-01-0040</x:v>
      </x:c>
      <x:c r="B111" s="11" t="n">
        <x:v>45322</x:v>
      </x:c>
      <x:c r="C111" s="10" t="n">
        <x:v>1</x:v>
      </x:c>
      <x:c r="D111" s="10" t="str">
        <x:v>0670</x:v>
      </x:c>
      <x:c r="E111" s="12" t="n">
        <x:v>0</x:v>
      </x:c>
      <x:c r="F111" s="12" t="n">
        <x:v>1000</x:v>
      </x:c>
      <x:c r="G111" s="10" t="str">
        <x:v>Büroausstattung Monatsabschreibung</x:v>
      </x:c>
      <x:c r="H111" s="10" t="str">
        <x:v>Abschreibung</x:v>
      </x:c>
    </x:row>
    <x:row r="112" ht="14" customHeight="1">
      <x:c r="A112" s="10" t="str">
        <x:v>2024-01-0041</x:v>
      </x:c>
      <x:c r="B112" s="11" t="n">
        <x:v>45306</x:v>
      </x:c>
      <x:c r="C112" s="10" t="n">
        <x:v>1</x:v>
      </x:c>
      <x:c r="D112" s="10" t="str">
        <x:v>0520</x:v>
      </x:c>
      <x:c r="E112" s="12" t="n">
        <x:v>36000</x:v>
      </x:c>
      <x:c r="F112" s="12" t="n">
        <x:v>0</x:v>
      </x:c>
      <x:c r="G112" s="10" t="str">
        <x:v>Anlagenzugang laut Anlagenjournal</x:v>
      </x:c>
      <x:c r="H112" s="10" t="str">
        <x:v>Investition</x:v>
      </x:c>
    </x:row>
    <x:row r="113" ht="14" customHeight="1">
      <x:c r="A113" s="10" t="str">
        <x:v>2024-01-0041</x:v>
      </x:c>
      <x:c r="B113" s="11" t="n">
        <x:v>45306</x:v>
      </x:c>
      <x:c r="C113" s="10" t="n">
        <x:v>1</x:v>
      </x:c>
      <x:c r="D113" s="10" t="str">
        <x:v>1406</x:v>
      </x:c>
      <x:c r="E113" s="12" t="n">
        <x:v>6840</x:v>
      </x:c>
      <x:c r="F113" s="12" t="n">
        <x:v>0</x:v>
      </x:c>
      <x:c r="G113" s="10" t="str">
        <x:v>Anlagenzugang laut Anlagenjournal</x:v>
      </x:c>
      <x:c r="H113" s="10" t="str">
        <x:v>Investition</x:v>
      </x:c>
    </x:row>
    <x:row r="114" ht="14" customHeight="1">
      <x:c r="A114" s="10" t="str">
        <x:v>2024-01-0041</x:v>
      </x:c>
      <x:c r="B114" s="11" t="n">
        <x:v>45306</x:v>
      </x:c>
      <x:c r="C114" s="10" t="n">
        <x:v>1</x:v>
      </x:c>
      <x:c r="D114" s="10" t="str">
        <x:v>1800</x:v>
      </x:c>
      <x:c r="E114" s="12" t="n">
        <x:v>0</x:v>
      </x:c>
      <x:c r="F114" s="12" t="n">
        <x:v>42840</x:v>
      </x:c>
      <x:c r="G114" s="10" t="str">
        <x:v>Anlagenzugang laut Anlagenjournal</x:v>
      </x:c>
      <x:c r="H114" s="10" t="str">
        <x:v>Investition</x:v>
      </x:c>
    </x:row>
    <x:row r="115" ht="14" customHeight="1">
      <x:c r="A115" s="10" t="str">
        <x:v>2024-01-0042</x:v>
      </x:c>
      <x:c r="B115" s="11" t="n">
        <x:v>45321</x:v>
      </x:c>
      <x:c r="C115" s="10" t="n">
        <x:v>1</x:v>
      </x:c>
      <x:c r="D115" s="10" t="str">
        <x:v>3150</x:v>
      </x:c>
      <x:c r="E115" s="12" t="n">
        <x:v>10000</x:v>
      </x:c>
      <x:c r="F115" s="12" t="n">
        <x:v>0</x:v>
      </x:c>
      <x:c r="G115" s="10" t="str">
        <x:v>Investitionsdarlehen Tilgungsrate</x:v>
      </x:c>
      <x:c r="H115" s="10" t="str">
        <x:v>Tilgung</x:v>
      </x:c>
    </x:row>
    <x:row r="116" ht="14" customHeight="1">
      <x:c r="A116" s="10" t="str">
        <x:v>2024-01-0042</x:v>
      </x:c>
      <x:c r="B116" s="11" t="n">
        <x:v>45321</x:v>
      </x:c>
      <x:c r="C116" s="10" t="n">
        <x:v>1</x:v>
      </x:c>
      <x:c r="D116" s="10" t="str">
        <x:v>1800</x:v>
      </x:c>
      <x:c r="E116" s="12" t="n">
        <x:v>0</x:v>
      </x:c>
      <x:c r="F116" s="12" t="n">
        <x:v>10000</x:v>
      </x:c>
      <x:c r="G116" s="10" t="str">
        <x:v>Investitionsdarlehen Tilgungsrate</x:v>
      </x:c>
      <x:c r="H116" s="10" t="str">
        <x:v>Tilgung</x:v>
      </x:c>
    </x:row>
    <x:row r="117" ht="14" customHeight="1">
      <x:c r="A117" s="10" t="str">
        <x:v>2024-01-0043</x:v>
      </x:c>
      <x:c r="B117" s="11" t="n">
        <x:v>45322</x:v>
      </x:c>
      <x:c r="C117" s="10" t="n">
        <x:v>1</x:v>
      </x:c>
      <x:c r="D117" s="10" t="str">
        <x:v>7300</x:v>
      </x:c>
      <x:c r="E117" s="12" t="n">
        <x:v>2500</x:v>
      </x:c>
      <x:c r="F117" s="12" t="n">
        <x:v>0</x:v>
      </x:c>
      <x:c r="G117" s="10" t="str">
        <x:v>Investitionsdarlehen Zinsabrechnung</x:v>
      </x:c>
      <x:c r="H117" s="10" t="str">
        <x:v>Zinsen</x:v>
      </x:c>
    </x:row>
    <x:row r="118" ht="14" customHeight="1">
      <x:c r="A118" s="10" t="str">
        <x:v>2024-01-0043</x:v>
      </x:c>
      <x:c r="B118" s="11" t="n">
        <x:v>45322</x:v>
      </x:c>
      <x:c r="C118" s="10" t="n">
        <x:v>1</x:v>
      </x:c>
      <x:c r="D118" s="10" t="str">
        <x:v>1800</x:v>
      </x:c>
      <x:c r="E118" s="12" t="n">
        <x:v>0</x:v>
      </x:c>
      <x:c r="F118" s="12" t="n">
        <x:v>2500</x:v>
      </x:c>
      <x:c r="G118" s="10" t="str">
        <x:v>Investitionsdarlehen Zinsabrechnung</x:v>
      </x:c>
      <x:c r="H118" s="10" t="str">
        <x:v>Zinsen</x:v>
      </x:c>
    </x:row>
    <x:row r="119" ht="14" customHeight="1">
      <x:c r="A119" s="10" t="str">
        <x:v>2024-01-0044</x:v>
      </x:c>
      <x:c r="B119" s="11" t="n">
        <x:v>45322</x:v>
      </x:c>
      <x:c r="C119" s="10" t="n">
        <x:v>1</x:v>
      </x:c>
      <x:c r="D119" s="10" t="str">
        <x:v>7310</x:v>
      </x:c>
      <x:c r="E119" s="12" t="n">
        <x:v>1000</x:v>
      </x:c>
      <x:c r="F119" s="12" t="n">
        <x:v>0</x:v>
      </x:c>
      <x:c r="G119" s="10" t="str">
        <x:v>Kontokorrent Zinsen und Bereitstellung</x:v>
      </x:c>
      <x:c r="H119" s="10" t="str">
        <x:v>Zinsen</x:v>
      </x:c>
    </x:row>
    <x:row r="120" ht="14" customHeight="1">
      <x:c r="A120" s="10" t="str">
        <x:v>2024-01-0044</x:v>
      </x:c>
      <x:c r="B120" s="11" t="n">
        <x:v>45322</x:v>
      </x:c>
      <x:c r="C120" s="10" t="n">
        <x:v>1</x:v>
      </x:c>
      <x:c r="D120" s="10" t="str">
        <x:v>1800</x:v>
      </x:c>
      <x:c r="E120" s="12" t="n">
        <x:v>0</x:v>
      </x:c>
      <x:c r="F120" s="12" t="n">
        <x:v>1000</x:v>
      </x:c>
      <x:c r="G120" s="10" t="str">
        <x:v>Kontokorrent Zinsen und Bereitstellung</x:v>
      </x:c>
      <x:c r="H120" s="10" t="str">
        <x:v>Zinsen</x:v>
      </x:c>
    </x:row>
    <x:row r="121" ht="14" customHeight="1">
      <x:c r="A121" s="10" t="str">
        <x:v>2024-01-0045</x:v>
      </x:c>
      <x:c r="B121" s="11" t="n">
        <x:v>45322</x:v>
      </x:c>
      <x:c r="C121" s="10" t="n">
        <x:v>1</x:v>
      </x:c>
      <x:c r="D121" s="10" t="str">
        <x:v>1800</x:v>
      </x:c>
      <x:c r="E121" s="12" t="n">
        <x:v>577087.7</x:v>
      </x:c>
      <x:c r="F121" s="12" t="n">
        <x:v>0</x:v>
      </x:c>
      <x:c r="G121" s="10" t="str">
        <x:v>Bankjournal Kundeneingänge brutto</x:v>
      </x:c>
      <x:c r="H121" s="10" t="str">
        <x:v>Kundenzahlungen</x:v>
      </x:c>
    </x:row>
    <x:row r="122" ht="14" customHeight="1">
      <x:c r="A122" s="10" t="str">
        <x:v>2024-01-0045</x:v>
      </x:c>
      <x:c r="B122" s="11" t="n">
        <x:v>45322</x:v>
      </x:c>
      <x:c r="C122" s="10" t="n">
        <x:v>1</x:v>
      </x:c>
      <x:c r="D122" s="10" t="str">
        <x:v>1200</x:v>
      </x:c>
      <x:c r="E122" s="12" t="n">
        <x:v>0</x:v>
      </x:c>
      <x:c r="F122" s="12" t="n">
        <x:v>577087.7</x:v>
      </x:c>
      <x:c r="G122" s="10" t="str">
        <x:v>Bankjournal Kundeneingänge brutto</x:v>
      </x:c>
      <x:c r="H122" s="10" t="str">
        <x:v>Kundenzahlungen</x:v>
      </x:c>
    </x:row>
    <x:row r="123" ht="14" customHeight="1">
      <x:c r="A123" s="10" t="str">
        <x:v>2024-01-0046</x:v>
      </x:c>
      <x:c r="B123" s="11" t="n">
        <x:v>45322</x:v>
      </x:c>
      <x:c r="C123" s="10" t="n">
        <x:v>1</x:v>
      </x:c>
      <x:c r="D123" s="10" t="str">
        <x:v>3300</x:v>
      </x:c>
      <x:c r="E123" s="12" t="n">
        <x:v>478216.94</x:v>
      </x:c>
      <x:c r="F123" s="12" t="n">
        <x:v>0</x:v>
      </x:c>
      <x:c r="G123" s="10" t="str">
        <x:v>Bankjournal Lieferantenzahlungen brutto</x:v>
      </x:c>
      <x:c r="H123" s="10" t="str">
        <x:v>Lieferantenzahlungen</x:v>
      </x:c>
    </x:row>
    <x:row r="124" ht="14" customHeight="1">
      <x:c r="A124" s="10" t="str">
        <x:v>2024-01-0046</x:v>
      </x:c>
      <x:c r="B124" s="11" t="n">
        <x:v>45322</x:v>
      </x:c>
      <x:c r="C124" s="10" t="n">
        <x:v>1</x:v>
      </x:c>
      <x:c r="D124" s="10" t="str">
        <x:v>1800</x:v>
      </x:c>
      <x:c r="E124" s="12" t="n">
        <x:v>0</x:v>
      </x:c>
      <x:c r="F124" s="12" t="n">
        <x:v>478216.94</x:v>
      </x:c>
      <x:c r="G124" s="10" t="str">
        <x:v>Bankjournal Lieferantenzahlungen brutto</x:v>
      </x:c>
      <x:c r="H124" s="10" t="str">
        <x:v>Lieferantenzahlungen</x:v>
      </x:c>
    </x:row>
    <x:row r="125" ht="14" customHeight="1">
      <x:c r="A125" s="10" t="str">
        <x:v>2024-01-0047</x:v>
      </x:c>
      <x:c r="B125" s="11" t="n">
        <x:v>45322</x:v>
      </x:c>
      <x:c r="C125" s="10" t="n">
        <x:v>1</x:v>
      </x:c>
      <x:c r="D125" s="10" t="str">
        <x:v>1401</x:v>
      </x:c>
      <x:c r="E125" s="12" t="n">
        <x:v>0</x:v>
      </x:c>
      <x:c r="F125" s="12" t="n">
        <x:v>9219.63</x:v>
      </x:c>
      <x:c r="G125" s="10" t="str">
        <x:v>Umsatzsteuer Monatsumbuchung 1401</x:v>
      </x:c>
      <x:c r="H125" s="10" t="str">
        <x:v>Steuerverrechnung</x:v>
      </x:c>
    </x:row>
    <x:row r="126" ht="14" customHeight="1">
      <x:c r="A126" s="10" t="str">
        <x:v>2024-01-0047</x:v>
      </x:c>
      <x:c r="B126" s="11" t="n">
        <x:v>45322</x:v>
      </x:c>
      <x:c r="C126" s="10" t="n">
        <x:v>1</x:v>
      </x:c>
      <x:c r="D126" s="10" t="str">
        <x:v>3820</x:v>
      </x:c>
      <x:c r="E126" s="12" t="n">
        <x:v>9219.63</x:v>
      </x:c>
      <x:c r="F126" s="12" t="n">
        <x:v>0</x:v>
      </x:c>
      <x:c r="G126" s="10" t="str">
        <x:v>Umsatzsteuer Monatsumbuchung 1401</x:v>
      </x:c>
      <x:c r="H126" s="10" t="str">
        <x:v>Steuerverrechnung</x:v>
      </x:c>
    </x:row>
    <x:row r="127" ht="14" customHeight="1">
      <x:c r="A127" s="10" t="str">
        <x:v>2024-01-0048</x:v>
      </x:c>
      <x:c r="B127" s="11" t="n">
        <x:v>45322</x:v>
      </x:c>
      <x:c r="C127" s="10" t="n">
        <x:v>1</x:v>
      </x:c>
      <x:c r="D127" s="10" t="str">
        <x:v>1406</x:v>
      </x:c>
      <x:c r="E127" s="12" t="n">
        <x:v>0</x:v>
      </x:c>
      <x:c r="F127" s="12" t="n">
        <x:v>25034.81</x:v>
      </x:c>
      <x:c r="G127" s="10" t="str">
        <x:v>Umsatzsteuer Monatsumbuchung 1406</x:v>
      </x:c>
      <x:c r="H127" s="10" t="str">
        <x:v>Steuerverrechnung</x:v>
      </x:c>
    </x:row>
    <x:row r="128" ht="14" customHeight="1">
      <x:c r="A128" s="10" t="str">
        <x:v>2024-01-0048</x:v>
      </x:c>
      <x:c r="B128" s="11" t="n">
        <x:v>45322</x:v>
      </x:c>
      <x:c r="C128" s="10" t="n">
        <x:v>1</x:v>
      </x:c>
      <x:c r="D128" s="10" t="str">
        <x:v>3820</x:v>
      </x:c>
      <x:c r="E128" s="12" t="n">
        <x:v>25034.81</x:v>
      </x:c>
      <x:c r="F128" s="12" t="n">
        <x:v>0</x:v>
      </x:c>
      <x:c r="G128" s="10" t="str">
        <x:v>Umsatzsteuer Monatsumbuchung 1406</x:v>
      </x:c>
      <x:c r="H128" s="10" t="str">
        <x:v>Steuerverrechnung</x:v>
      </x:c>
    </x:row>
    <x:row r="129" ht="14" customHeight="1">
      <x:c r="A129" s="10" t="str">
        <x:v>2024-01-0049</x:v>
      </x:c>
      <x:c r="B129" s="11" t="n">
        <x:v>45322</x:v>
      </x:c>
      <x:c r="C129" s="10" t="n">
        <x:v>1</x:v>
      </x:c>
      <x:c r="D129" s="10" t="str">
        <x:v>1404</x:v>
      </x:c>
      <x:c r="E129" s="12" t="n">
        <x:v>0</x:v>
      </x:c>
      <x:c r="F129" s="12" t="n">
        <x:v>4852.44</x:v>
      </x:c>
      <x:c r="G129" s="10" t="str">
        <x:v>Umsatzsteuer Monatsumbuchung 1404</x:v>
      </x:c>
      <x:c r="H129" s="10" t="str">
        <x:v>Steuerverrechnung</x:v>
      </x:c>
    </x:row>
    <x:row r="130" ht="14" customHeight="1">
      <x:c r="A130" s="10" t="str">
        <x:v>2024-01-0049</x:v>
      </x:c>
      <x:c r="B130" s="11" t="n">
        <x:v>45322</x:v>
      </x:c>
      <x:c r="C130" s="10" t="n">
        <x:v>1</x:v>
      </x:c>
      <x:c r="D130" s="10" t="str">
        <x:v>3820</x:v>
      </x:c>
      <x:c r="E130" s="12" t="n">
        <x:v>4852.44</x:v>
      </x:c>
      <x:c r="F130" s="12" t="n">
        <x:v>0</x:v>
      </x:c>
      <x:c r="G130" s="10" t="str">
        <x:v>Umsatzsteuer Monatsumbuchung 1404</x:v>
      </x:c>
      <x:c r="H130" s="10" t="str">
        <x:v>Steuerverrechnung</x:v>
      </x:c>
    </x:row>
    <x:row r="131" ht="14" customHeight="1">
      <x:c r="A131" s="10" t="str">
        <x:v>2024-01-0050</x:v>
      </x:c>
      <x:c r="B131" s="11" t="n">
        <x:v>45322</x:v>
      </x:c>
      <x:c r="C131" s="10" t="n">
        <x:v>1</x:v>
      </x:c>
      <x:c r="D131" s="10" t="str">
        <x:v>1409</x:v>
      </x:c>
      <x:c r="E131" s="12" t="n">
        <x:v>0</x:v>
      </x:c>
      <x:c r="F131" s="12" t="n">
        <x:v>3292.72</x:v>
      </x:c>
      <x:c r="G131" s="10" t="str">
        <x:v>Umsatzsteuer Monatsumbuchung 1409</x:v>
      </x:c>
      <x:c r="H131" s="10" t="str">
        <x:v>Steuerverrechnung</x:v>
      </x:c>
    </x:row>
    <x:row r="132" ht="14" customHeight="1">
      <x:c r="A132" s="10" t="str">
        <x:v>2024-01-0050</x:v>
      </x:c>
      <x:c r="B132" s="11" t="n">
        <x:v>45322</x:v>
      </x:c>
      <x:c r="C132" s="10" t="n">
        <x:v>1</x:v>
      </x:c>
      <x:c r="D132" s="10" t="str">
        <x:v>3820</x:v>
      </x:c>
      <x:c r="E132" s="12" t="n">
        <x:v>3292.72</x:v>
      </x:c>
      <x:c r="F132" s="12" t="n">
        <x:v>0</x:v>
      </x:c>
      <x:c r="G132" s="10" t="str">
        <x:v>Umsatzsteuer Monatsumbuchung 1409</x:v>
      </x:c>
      <x:c r="H132" s="10" t="str">
        <x:v>Steuerverrechnung</x:v>
      </x:c>
    </x:row>
    <x:row r="133" ht="14" customHeight="1">
      <x:c r="A133" s="10" t="str">
        <x:v>2024-01-0051</x:v>
      </x:c>
      <x:c r="B133" s="11" t="n">
        <x:v>45322</x:v>
      </x:c>
      <x:c r="C133" s="10" t="n">
        <x:v>1</x:v>
      </x:c>
      <x:c r="D133" s="10" t="str">
        <x:v>1433</x:v>
      </x:c>
      <x:c r="E133" s="12" t="n">
        <x:v>0</x:v>
      </x:c>
      <x:c r="F133" s="12" t="n">
        <x:v>8526.42</x:v>
      </x:c>
      <x:c r="G133" s="10" t="str">
        <x:v>Umsatzsteuer Monatsumbuchung 1433</x:v>
      </x:c>
      <x:c r="H133" s="10" t="str">
        <x:v>Steuerverrechnung</x:v>
      </x:c>
    </x:row>
    <x:row r="134" ht="14" customHeight="1">
      <x:c r="A134" s="10" t="str">
        <x:v>2024-01-0051</x:v>
      </x:c>
      <x:c r="B134" s="11" t="n">
        <x:v>45322</x:v>
      </x:c>
      <x:c r="C134" s="10" t="n">
        <x:v>1</x:v>
      </x:c>
      <x:c r="D134" s="10" t="str">
        <x:v>3820</x:v>
      </x:c>
      <x:c r="E134" s="12" t="n">
        <x:v>8526.42</x:v>
      </x:c>
      <x:c r="F134" s="12" t="n">
        <x:v>0</x:v>
      </x:c>
      <x:c r="G134" s="10" t="str">
        <x:v>Umsatzsteuer Monatsumbuchung 1433</x:v>
      </x:c>
      <x:c r="H134" s="10" t="str">
        <x:v>Steuerverrechnung</x:v>
      </x:c>
    </x:row>
    <x:row r="135" ht="14" customHeight="1">
      <x:c r="A135" s="10" t="str">
        <x:v>2024-01-0052</x:v>
      </x:c>
      <x:c r="B135" s="11" t="n">
        <x:v>45322</x:v>
      </x:c>
      <x:c r="C135" s="10" t="n">
        <x:v>1</x:v>
      </x:c>
      <x:c r="D135" s="10" t="str">
        <x:v>3801</x:v>
      </x:c>
      <x:c r="E135" s="12" t="n">
        <x:v>17381.7</x:v>
      </x:c>
      <x:c r="F135" s="12" t="n">
        <x:v>0</x:v>
      </x:c>
      <x:c r="G135" s="10" t="str">
        <x:v>Umsatzsteuer Monatsumbuchung 3801</x:v>
      </x:c>
      <x:c r="H135" s="10" t="str">
        <x:v>Steuerverrechnung</x:v>
      </x:c>
    </x:row>
    <x:row r="136" ht="14" customHeight="1">
      <x:c r="A136" s="10" t="str">
        <x:v>2024-01-0052</x:v>
      </x:c>
      <x:c r="B136" s="11" t="n">
        <x:v>45322</x:v>
      </x:c>
      <x:c r="C136" s="10" t="n">
        <x:v>1</x:v>
      </x:c>
      <x:c r="D136" s="10" t="str">
        <x:v>3820</x:v>
      </x:c>
      <x:c r="E136" s="12" t="n">
        <x:v>0</x:v>
      </x:c>
      <x:c r="F136" s="12" t="n">
        <x:v>17381.7</x:v>
      </x:c>
      <x:c r="G136" s="10" t="str">
        <x:v>Umsatzsteuer Monatsumbuchung 3801</x:v>
      </x:c>
      <x:c r="H136" s="10" t="str">
        <x:v>Steuerverrechnung</x:v>
      </x:c>
    </x:row>
    <x:row r="137" ht="14" customHeight="1">
      <x:c r="A137" s="10" t="str">
        <x:v>2024-01-0053</x:v>
      </x:c>
      <x:c r="B137" s="11" t="n">
        <x:v>45322</x:v>
      </x:c>
      <x:c r="C137" s="10" t="n">
        <x:v>1</x:v>
      </x:c>
      <x:c r="D137" s="10" t="str">
        <x:v>3806</x:v>
      </x:c>
      <x:c r="E137" s="12" t="n">
        <x:v>11856</x:v>
      </x:c>
      <x:c r="F137" s="12" t="n">
        <x:v>0</x:v>
      </x:c>
      <x:c r="G137" s="10" t="str">
        <x:v>Umsatzsteuer Monatsumbuchung 3806</x:v>
      </x:c>
      <x:c r="H137" s="10" t="str">
        <x:v>Steuerverrechnung</x:v>
      </x:c>
    </x:row>
    <x:row r="138" ht="14" customHeight="1">
      <x:c r="A138" s="10" t="str">
        <x:v>2024-01-0053</x:v>
      </x:c>
      <x:c r="B138" s="11" t="n">
        <x:v>45322</x:v>
      </x:c>
      <x:c r="C138" s="10" t="n">
        <x:v>1</x:v>
      </x:c>
      <x:c r="D138" s="10" t="str">
        <x:v>3820</x:v>
      </x:c>
      <x:c r="E138" s="12" t="n">
        <x:v>0</x:v>
      </x:c>
      <x:c r="F138" s="12" t="n">
        <x:v>11856</x:v>
      </x:c>
      <x:c r="G138" s="10" t="str">
        <x:v>Umsatzsteuer Monatsumbuchung 3806</x:v>
      </x:c>
      <x:c r="H138" s="10" t="str">
        <x:v>Steuerverrechnung</x:v>
      </x:c>
    </x:row>
    <x:row r="139" ht="14" customHeight="1">
      <x:c r="A139" s="10" t="str">
        <x:v>2024-01-0054</x:v>
      </x:c>
      <x:c r="B139" s="11" t="n">
        <x:v>45322</x:v>
      </x:c>
      <x:c r="C139" s="10" t="n">
        <x:v>1</x:v>
      </x:c>
      <x:c r="D139" s="10" t="str">
        <x:v>3804</x:v>
      </x:c>
      <x:c r="E139" s="12" t="n">
        <x:v>4852.44</x:v>
      </x:c>
      <x:c r="F139" s="12" t="n">
        <x:v>0</x:v>
      </x:c>
      <x:c r="G139" s="10" t="str">
        <x:v>Umsatzsteuer Monatsumbuchung 3804</x:v>
      </x:c>
      <x:c r="H139" s="10" t="str">
        <x:v>Steuerverrechnung</x:v>
      </x:c>
    </x:row>
    <x:row r="140" ht="14" customHeight="1">
      <x:c r="A140" s="10" t="str">
        <x:v>2024-01-0054</x:v>
      </x:c>
      <x:c r="B140" s="11" t="n">
        <x:v>45322</x:v>
      </x:c>
      <x:c r="C140" s="10" t="n">
        <x:v>1</x:v>
      </x:c>
      <x:c r="D140" s="10" t="str">
        <x:v>3820</x:v>
      </x:c>
      <x:c r="E140" s="12" t="n">
        <x:v>0</x:v>
      </x:c>
      <x:c r="F140" s="12" t="n">
        <x:v>4852.44</x:v>
      </x:c>
      <x:c r="G140" s="10" t="str">
        <x:v>Umsatzsteuer Monatsumbuchung 3804</x:v>
      </x:c>
      <x:c r="H140" s="10" t="str">
        <x:v>Steuerverrechnung</x:v>
      </x:c>
    </x:row>
    <x:row r="141" ht="14" customHeight="1">
      <x:c r="A141" s="10" t="str">
        <x:v>2024-01-0055</x:v>
      </x:c>
      <x:c r="B141" s="11" t="n">
        <x:v>45322</x:v>
      </x:c>
      <x:c r="C141" s="10" t="n">
        <x:v>1</x:v>
      </x:c>
      <x:c r="D141" s="10" t="str">
        <x:v>3809</x:v>
      </x:c>
      <x:c r="E141" s="12" t="n">
        <x:v>3292.72</x:v>
      </x:c>
      <x:c r="F141" s="12" t="n">
        <x:v>0</x:v>
      </x:c>
      <x:c r="G141" s="10" t="str">
        <x:v>Umsatzsteuer Monatsumbuchung 3809</x:v>
      </x:c>
      <x:c r="H141" s="10" t="str">
        <x:v>Steuerverrechnung</x:v>
      </x:c>
    </x:row>
    <x:row r="142" ht="14" customHeight="1">
      <x:c r="A142" s="10" t="str">
        <x:v>2024-01-0055</x:v>
      </x:c>
      <x:c r="B142" s="11" t="n">
        <x:v>45322</x:v>
      </x:c>
      <x:c r="C142" s="10" t="n">
        <x:v>1</x:v>
      </x:c>
      <x:c r="D142" s="10" t="str">
        <x:v>3820</x:v>
      </x:c>
      <x:c r="E142" s="12" t="n">
        <x:v>0</x:v>
      </x:c>
      <x:c r="F142" s="12" t="n">
        <x:v>3292.72</x:v>
      </x:c>
      <x:c r="G142" s="10" t="str">
        <x:v>Umsatzsteuer Monatsumbuchung 3809</x:v>
      </x:c>
      <x:c r="H142" s="10" t="str">
        <x:v>Steuerverrechnung</x:v>
      </x:c>
    </x:row>
    <x:row r="143" ht="14" customHeight="1">
      <x:c r="A143" s="10" t="str">
        <x:v>2024-02-0056</x:v>
      </x:c>
      <x:c r="B143" s="11" t="n">
        <x:v>45332</x:v>
      </x:c>
      <x:c r="C143" s="10" t="n">
        <x:v>2</x:v>
      </x:c>
      <x:c r="D143" s="10" t="str">
        <x:v>1800</x:v>
      </x:c>
      <x:c r="E143" s="12" t="n">
        <x:v>13543.16</x:v>
      </x:c>
      <x:c r="F143" s="12" t="n">
        <x:v>0</x:v>
      </x:c>
      <x:c r="G143" s="10" t="str">
        <x:v>Ausgleich Umsatzsteuer Vorperiode</x:v>
      </x:c>
      <x:c r="H143" s="10" t="str">
        <x:v>Umsatzsteuer</x:v>
      </x:c>
    </x:row>
    <x:row r="144" ht="14" customHeight="1">
      <x:c r="A144" s="10" t="str">
        <x:v>2024-02-0056</x:v>
      </x:c>
      <x:c r="B144" s="11" t="n">
        <x:v>45332</x:v>
      </x:c>
      <x:c r="C144" s="10" t="n">
        <x:v>2</x:v>
      </x:c>
      <x:c r="D144" s="10" t="str">
        <x:v>3820</x:v>
      </x:c>
      <x:c r="E144" s="12" t="n">
        <x:v>0</x:v>
      </x:c>
      <x:c r="F144" s="12" t="n">
        <x:v>13543.16</x:v>
      </x:c>
      <x:c r="G144" s="10" t="str">
        <x:v>Ausgleich Umsatzsteuer Vorperiode</x:v>
      </x:c>
      <x:c r="H144" s="10" t="str">
        <x:v>Umsatzsteuer</x:v>
      </x:c>
    </x:row>
    <x:row r="145" ht="14" customHeight="1">
      <x:c r="A145" s="10" t="str">
        <x:v>2024-02-0057</x:v>
      </x:c>
      <x:c r="B145" s="11" t="n">
        <x:v>45351</x:v>
      </x:c>
      <x:c r="C145" s="10" t="n">
        <x:v>2</x:v>
      </x:c>
      <x:c r="D145" s="10" t="str">
        <x:v>1200</x:v>
      </x:c>
      <x:c r="E145" s="12" t="n">
        <x:v>282480</x:v>
      </x:c>
      <x:c r="F145" s="12" t="n">
        <x:v>0</x:v>
      </x:c>
      <x:c r="G145" s="10" t="str">
        <x:v>Fakturajournal Inland 7 Prozent</x:v>
      </x:c>
      <x:c r="H145" s="10" t="str">
        <x:v>Umsatz</x:v>
      </x:c>
    </x:row>
    <x:row r="146" ht="14" customHeight="1">
      <x:c r="A146" s="10" t="str">
        <x:v>2024-02-0057</x:v>
      </x:c>
      <x:c r="B146" s="11" t="n">
        <x:v>45351</x:v>
      </x:c>
      <x:c r="C146" s="10" t="n">
        <x:v>2</x:v>
      </x:c>
      <x:c r="D146" s="10" t="str">
        <x:v>4300</x:v>
      </x:c>
      <x:c r="E146" s="12" t="n">
        <x:v>0</x:v>
      </x:c>
      <x:c r="F146" s="12" t="n">
        <x:v>264000</x:v>
      </x:c>
      <x:c r="G146" s="10" t="str">
        <x:v>Fakturajournal Inland 7 Prozent</x:v>
      </x:c>
      <x:c r="H146" s="10" t="str">
        <x:v>Umsatz</x:v>
      </x:c>
    </x:row>
    <x:row r="147" ht="14" customHeight="1">
      <x:c r="A147" s="10" t="str">
        <x:v>2024-02-0057</x:v>
      </x:c>
      <x:c r="B147" s="11" t="n">
        <x:v>45351</x:v>
      </x:c>
      <x:c r="C147" s="10" t="n">
        <x:v>2</x:v>
      </x:c>
      <x:c r="D147" s="10" t="str">
        <x:v>3801</x:v>
      </x:c>
      <x:c r="E147" s="12" t="n">
        <x:v>0</x:v>
      </x:c>
      <x:c r="F147" s="12" t="n">
        <x:v>18480</x:v>
      </x:c>
      <x:c r="G147" s="10" t="str">
        <x:v>Fakturajournal Inland 7 Prozent</x:v>
      </x:c>
      <x:c r="H147" s="10" t="str">
        <x:v>Umsatz</x:v>
      </x:c>
    </x:row>
    <x:row r="148" ht="14" customHeight="1">
      <x:c r="A148" s="10" t="str">
        <x:v>2024-02-0058</x:v>
      </x:c>
      <x:c r="B148" s="11" t="n">
        <x:v>45351</x:v>
      </x:c>
      <x:c r="C148" s="10" t="n">
        <x:v>2</x:v>
      </x:c>
      <x:c r="D148" s="10" t="str">
        <x:v>1200</x:v>
      </x:c>
      <x:c r="E148" s="12" t="n">
        <x:v>78540</x:v>
      </x:c>
      <x:c r="F148" s="12" t="n">
        <x:v>0</x:v>
      </x:c>
      <x:c r="G148" s="10" t="str">
        <x:v>Fakturajournal Inland 19 Prozent</x:v>
      </x:c>
      <x:c r="H148" s="10" t="str">
        <x:v>Umsatz</x:v>
      </x:c>
    </x:row>
    <x:row r="149" ht="14" customHeight="1">
      <x:c r="A149" s="10" t="str">
        <x:v>2024-02-0058</x:v>
      </x:c>
      <x:c r="B149" s="11" t="n">
        <x:v>45351</x:v>
      </x:c>
      <x:c r="C149" s="10" t="n">
        <x:v>2</x:v>
      </x:c>
      <x:c r="D149" s="10" t="str">
        <x:v>4400</x:v>
      </x:c>
      <x:c r="E149" s="12" t="n">
        <x:v>0</x:v>
      </x:c>
      <x:c r="F149" s="12" t="n">
        <x:v>66000</x:v>
      </x:c>
      <x:c r="G149" s="10" t="str">
        <x:v>Fakturajournal Inland 19 Prozent</x:v>
      </x:c>
      <x:c r="H149" s="10" t="str">
        <x:v>Umsatz</x:v>
      </x:c>
    </x:row>
    <x:row r="150" ht="14" customHeight="1">
      <x:c r="A150" s="10" t="str">
        <x:v>2024-02-0058</x:v>
      </x:c>
      <x:c r="B150" s="11" t="n">
        <x:v>45351</x:v>
      </x:c>
      <x:c r="C150" s="10" t="n">
        <x:v>2</x:v>
      </x:c>
      <x:c r="D150" s="10" t="str">
        <x:v>3806</x:v>
      </x:c>
      <x:c r="E150" s="12" t="n">
        <x:v>0</x:v>
      </x:c>
      <x:c r="F150" s="12" t="n">
        <x:v>12540</x:v>
      </x:c>
      <x:c r="G150" s="10" t="str">
        <x:v>Fakturajournal Inland 19 Prozent</x:v>
      </x:c>
      <x:c r="H150" s="10" t="str">
        <x:v>Umsatz</x:v>
      </x:c>
    </x:row>
    <x:row r="151" ht="14" customHeight="1">
      <x:c r="A151" s="10" t="str">
        <x:v>2024-02-0059</x:v>
      </x:c>
      <x:c r="B151" s="11" t="n">
        <x:v>45351</x:v>
      </x:c>
      <x:c r="C151" s="10" t="n">
        <x:v>2</x:v>
      </x:c>
      <x:c r="D151" s="10" t="str">
        <x:v>1200</x:v>
      </x:c>
      <x:c r="E151" s="12" t="n">
        <x:v>110000</x:v>
      </x:c>
      <x:c r="F151" s="12" t="n">
        <x:v>0</x:v>
      </x:c>
      <x:c r="G151" s="10" t="str">
        <x:v>Fakturajournal EU Warenlieferungen</x:v>
      </x:c>
      <x:c r="H151" s="10" t="str">
        <x:v>Umsatz</x:v>
      </x:c>
    </x:row>
    <x:row r="152" ht="14" customHeight="1">
      <x:c r="A152" s="10" t="str">
        <x:v>2024-02-0059</x:v>
      </x:c>
      <x:c r="B152" s="11" t="n">
        <x:v>45351</x:v>
      </x:c>
      <x:c r="C152" s="10" t="n">
        <x:v>2</x:v>
      </x:c>
      <x:c r="D152" s="10" t="str">
        <x:v>4125</x:v>
      </x:c>
      <x:c r="E152" s="12" t="n">
        <x:v>0</x:v>
      </x:c>
      <x:c r="F152" s="12" t="n">
        <x:v>110000</x:v>
      </x:c>
      <x:c r="G152" s="10" t="str">
        <x:v>Fakturajournal EU Warenlieferungen</x:v>
      </x:c>
      <x:c r="H152" s="10" t="str">
        <x:v>Umsatz</x:v>
      </x:c>
    </x:row>
    <x:row r="153" ht="14" customHeight="1">
      <x:c r="A153" s="10" t="str">
        <x:v>2024-02-0060</x:v>
      </x:c>
      <x:c r="B153" s="11" t="n">
        <x:v>45351</x:v>
      </x:c>
      <x:c r="C153" s="10" t="n">
        <x:v>2</x:v>
      </x:c>
      <x:c r="D153" s="10" t="str">
        <x:v>1200</x:v>
      </x:c>
      <x:c r="E153" s="12" t="n">
        <x:v>110000</x:v>
      </x:c>
      <x:c r="F153" s="12" t="n">
        <x:v>0</x:v>
      </x:c>
      <x:c r="G153" s="10" t="str">
        <x:v>Fakturajournal Drittland Warenlieferungen</x:v>
      </x:c>
      <x:c r="H153" s="10" t="str">
        <x:v>Umsatz</x:v>
      </x:c>
    </x:row>
    <x:row r="154" ht="14" customHeight="1">
      <x:c r="A154" s="10" t="str">
        <x:v>2024-02-0060</x:v>
      </x:c>
      <x:c r="B154" s="11" t="n">
        <x:v>45351</x:v>
      </x:c>
      <x:c r="C154" s="10" t="n">
        <x:v>2</x:v>
      </x:c>
      <x:c r="D154" s="10" t="str">
        <x:v>4120</x:v>
      </x:c>
      <x:c r="E154" s="12" t="n">
        <x:v>0</x:v>
      </x:c>
      <x:c r="F154" s="12" t="n">
        <x:v>110000</x:v>
      </x:c>
      <x:c r="G154" s="10" t="str">
        <x:v>Fakturajournal Drittland Warenlieferungen</x:v>
      </x:c>
      <x:c r="H154" s="10" t="str">
        <x:v>Umsatz</x:v>
      </x:c>
    </x:row>
    <x:row r="155" ht="14" customHeight="1">
      <x:c r="A155" s="10" t="str">
        <x:v>2024-02-0061</x:v>
      </x:c>
      <x:c r="B155" s="11" t="n">
        <x:v>45351</x:v>
      </x:c>
      <x:c r="C155" s="10" t="n">
        <x:v>2</x:v>
      </x:c>
      <x:c r="D155" s="10" t="str">
        <x:v>4730</x:v>
      </x:c>
      <x:c r="E155" s="12" t="n">
        <x:v>1380</x:v>
      </x:c>
      <x:c r="F155" s="12" t="n">
        <x:v>0</x:v>
      </x:c>
      <x:c r="G155" s="10" t="str">
        <x:v>Gutschriftjournal Retouren und Mengenrabatte</x:v>
      </x:c>
      <x:c r="H155" s="10" t="str">
        <x:v>Gutschriften</x:v>
      </x:c>
    </x:row>
    <x:row r="156" ht="14" customHeight="1">
      <x:c r="A156" s="10" t="str">
        <x:v>2024-02-0061</x:v>
      </x:c>
      <x:c r="B156" s="11" t="n">
        <x:v>45351</x:v>
      </x:c>
      <x:c r="C156" s="10" t="n">
        <x:v>2</x:v>
      </x:c>
      <x:c r="D156" s="10" t="str">
        <x:v>3801</x:v>
      </x:c>
      <x:c r="E156" s="12" t="n">
        <x:v>96.6</x:v>
      </x:c>
      <x:c r="F156" s="12" t="n">
        <x:v>0</x:v>
      </x:c>
      <x:c r="G156" s="10" t="str">
        <x:v>Gutschriftjournal Retouren und Mengenrabatte</x:v>
      </x:c>
      <x:c r="H156" s="10" t="str">
        <x:v>Gutschriften</x:v>
      </x:c>
    </x:row>
    <x:row r="157" ht="14" customHeight="1">
      <x:c r="A157" s="10" t="str">
        <x:v>2024-02-0061</x:v>
      </x:c>
      <x:c r="B157" s="11" t="n">
        <x:v>45351</x:v>
      </x:c>
      <x:c r="C157" s="10" t="n">
        <x:v>2</x:v>
      </x:c>
      <x:c r="D157" s="10" t="str">
        <x:v>1200</x:v>
      </x:c>
      <x:c r="E157" s="12" t="n">
        <x:v>0</x:v>
      </x:c>
      <x:c r="F157" s="12" t="n">
        <x:v>1476.6</x:v>
      </x:c>
      <x:c r="G157" s="10" t="str">
        <x:v>Gutschriftjournal Retouren und Mengenrabatte</x:v>
      </x:c>
      <x:c r="H157" s="10" t="str">
        <x:v>Gutschriften</x:v>
      </x:c>
    </x:row>
    <x:row r="158" ht="14" customHeight="1">
      <x:c r="A158" s="10" t="str">
        <x:v>2024-02-0062</x:v>
      </x:c>
      <x:c r="B158" s="11" t="n">
        <x:v>45351</x:v>
      </x:c>
      <x:c r="C158" s="10" t="n">
        <x:v>2</x:v>
      </x:c>
      <x:c r="D158" s="10" t="str">
        <x:v>4735</x:v>
      </x:c>
      <x:c r="E158" s="12" t="n">
        <x:v>920</x:v>
      </x:c>
      <x:c r="F158" s="12" t="n">
        <x:v>0</x:v>
      </x:c>
      <x:c r="G158" s="10" t="str">
        <x:v>Gutschriftjournal Retouren und Mengenrabatte</x:v>
      </x:c>
      <x:c r="H158" s="10" t="str">
        <x:v>Gutschriften</x:v>
      </x:c>
    </x:row>
    <x:row r="159" ht="14" customHeight="1">
      <x:c r="A159" s="10" t="str">
        <x:v>2024-02-0062</x:v>
      </x:c>
      <x:c r="B159" s="11" t="n">
        <x:v>45351</x:v>
      </x:c>
      <x:c r="C159" s="10" t="n">
        <x:v>2</x:v>
      </x:c>
      <x:c r="D159" s="10" t="str">
        <x:v>1200</x:v>
      </x:c>
      <x:c r="E159" s="12" t="n">
        <x:v>0</x:v>
      </x:c>
      <x:c r="F159" s="12" t="n">
        <x:v>920</x:v>
      </x:c>
      <x:c r="G159" s="10" t="str">
        <x:v>Gutschriftjournal Retouren und Mengenrabatte</x:v>
      </x:c>
      <x:c r="H159" s="10" t="str">
        <x:v>Gutschriften</x:v>
      </x:c>
    </x:row>
    <x:row r="160" ht="14" customHeight="1">
      <x:c r="A160" s="10" t="str">
        <x:v>2024-02-0063</x:v>
      </x:c>
      <x:c r="B160" s="11" t="n">
        <x:v>45351</x:v>
      </x:c>
      <x:c r="C160" s="10" t="n">
        <x:v>2</x:v>
      </x:c>
      <x:c r="D160" s="10" t="str">
        <x:v>1140</x:v>
      </x:c>
      <x:c r="E160" s="12" t="n">
        <x:v>142881.9</x:v>
      </x:c>
      <x:c r="F160" s="12" t="n">
        <x:v>0</x:v>
      </x:c>
      <x:c r="G160" s="10" t="str">
        <x:v>Wareneingang Inland 7 Prozent</x:v>
      </x:c>
      <x:c r="H160" s="10" t="str">
        <x:v>Einkauf</x:v>
      </x:c>
    </x:row>
    <x:row r="161" ht="14" customHeight="1">
      <x:c r="A161" s="10" t="str">
        <x:v>2024-02-0063</x:v>
      </x:c>
      <x:c r="B161" s="11" t="n">
        <x:v>45351</x:v>
      </x:c>
      <x:c r="C161" s="10" t="n">
        <x:v>2</x:v>
      </x:c>
      <x:c r="D161" s="10" t="str">
        <x:v>1401</x:v>
      </x:c>
      <x:c r="E161" s="12" t="n">
        <x:v>10001.73</x:v>
      </x:c>
      <x:c r="F161" s="12" t="n">
        <x:v>0</x:v>
      </x:c>
      <x:c r="G161" s="10" t="str">
        <x:v>Wareneingang Inland 7 Prozent</x:v>
      </x:c>
      <x:c r="H161" s="10" t="str">
        <x:v>Einkauf</x:v>
      </x:c>
    </x:row>
    <x:row r="162" ht="14" customHeight="1">
      <x:c r="A162" s="10" t="str">
        <x:v>2024-02-0063</x:v>
      </x:c>
      <x:c r="B162" s="11" t="n">
        <x:v>45351</x:v>
      </x:c>
      <x:c r="C162" s="10" t="n">
        <x:v>2</x:v>
      </x:c>
      <x:c r="D162" s="10" t="str">
        <x:v>3300</x:v>
      </x:c>
      <x:c r="E162" s="12" t="n">
        <x:v>0</x:v>
      </x:c>
      <x:c r="F162" s="12" t="n">
        <x:v>152883.63</x:v>
      </x:c>
      <x:c r="G162" s="10" t="str">
        <x:v>Wareneingang Inland 7 Prozent</x:v>
      </x:c>
      <x:c r="H162" s="10" t="str">
        <x:v>Einkauf</x:v>
      </x:c>
    </x:row>
    <x:row r="163" ht="14" customHeight="1">
      <x:c r="A163" s="10" t="str">
        <x:v>2024-02-0064</x:v>
      </x:c>
      <x:c r="B163" s="11" t="n">
        <x:v>45351</x:v>
      </x:c>
      <x:c r="C163" s="10" t="n">
        <x:v>2</x:v>
      </x:c>
      <x:c r="D163" s="10" t="str">
        <x:v>1140</x:v>
      </x:c>
      <x:c r="E163" s="12" t="n">
        <x:v>26320.35</x:v>
      </x:c>
      <x:c r="F163" s="12" t="n">
        <x:v>0</x:v>
      </x:c>
      <x:c r="G163" s="10" t="str">
        <x:v>Wareneingang Inland 19 Prozent</x:v>
      </x:c>
      <x:c r="H163" s="10" t="str">
        <x:v>Einkauf</x:v>
      </x:c>
    </x:row>
    <x:row r="164" ht="14" customHeight="1">
      <x:c r="A164" s="10" t="str">
        <x:v>2024-02-0064</x:v>
      </x:c>
      <x:c r="B164" s="11" t="n">
        <x:v>45351</x:v>
      </x:c>
      <x:c r="C164" s="10" t="n">
        <x:v>2</x:v>
      </x:c>
      <x:c r="D164" s="10" t="str">
        <x:v>1406</x:v>
      </x:c>
      <x:c r="E164" s="12" t="n">
        <x:v>5000.87</x:v>
      </x:c>
      <x:c r="F164" s="12" t="n">
        <x:v>0</x:v>
      </x:c>
      <x:c r="G164" s="10" t="str">
        <x:v>Wareneingang Inland 19 Prozent</x:v>
      </x:c>
      <x:c r="H164" s="10" t="str">
        <x:v>Einkauf</x:v>
      </x:c>
    </x:row>
    <x:row r="165" ht="14" customHeight="1">
      <x:c r="A165" s="10" t="str">
        <x:v>2024-02-0064</x:v>
      </x:c>
      <x:c r="B165" s="11" t="n">
        <x:v>45351</x:v>
      </x:c>
      <x:c r="C165" s="10" t="n">
        <x:v>2</x:v>
      </x:c>
      <x:c r="D165" s="10" t="str">
        <x:v>3300</x:v>
      </x:c>
      <x:c r="E165" s="12" t="n">
        <x:v>0</x:v>
      </x:c>
      <x:c r="F165" s="12" t="n">
        <x:v>31321.22</x:v>
      </x:c>
      <x:c r="G165" s="10" t="str">
        <x:v>Wareneingang Inland 19 Prozent</x:v>
      </x:c>
      <x:c r="H165" s="10" t="str">
        <x:v>Einkauf</x:v>
      </x:c>
    </x:row>
    <x:row r="166" ht="14" customHeight="1">
      <x:c r="A166" s="10" t="str">
        <x:v>2024-02-0065</x:v>
      </x:c>
      <x:c r="B166" s="11" t="n">
        <x:v>45351</x:v>
      </x:c>
      <x:c r="C166" s="10" t="n">
        <x:v>2</x:v>
      </x:c>
      <x:c r="D166" s="10" t="str">
        <x:v>1140</x:v>
      </x:c>
      <x:c r="E166" s="12" t="n">
        <x:v>75201</x:v>
      </x:c>
      <x:c r="F166" s="12" t="n">
        <x:v>0</x:v>
      </x:c>
      <x:c r="G166" s="10" t="str">
        <x:v>Wareneingang EU 7 Prozent</x:v>
      </x:c>
      <x:c r="H166" s="10" t="str">
        <x:v>Einkauf</x:v>
      </x:c>
    </x:row>
    <x:row r="167" ht="14" customHeight="1">
      <x:c r="A167" s="10" t="str">
        <x:v>2024-02-0065</x:v>
      </x:c>
      <x:c r="B167" s="11" t="n">
        <x:v>45351</x:v>
      </x:c>
      <x:c r="C167" s="10" t="n">
        <x:v>2</x:v>
      </x:c>
      <x:c r="D167" s="10" t="str">
        <x:v>3300</x:v>
      </x:c>
      <x:c r="E167" s="12" t="n">
        <x:v>0</x:v>
      </x:c>
      <x:c r="F167" s="12" t="n">
        <x:v>75201</x:v>
      </x:c>
      <x:c r="G167" s="10" t="str">
        <x:v>Wareneingang EU 7 Prozent</x:v>
      </x:c>
      <x:c r="H167" s="10" t="str">
        <x:v>Einkauf</x:v>
      </x:c>
    </x:row>
    <x:row r="168" ht="14" customHeight="1">
      <x:c r="A168" s="10" t="str">
        <x:v>2024-02-0065</x:v>
      </x:c>
      <x:c r="B168" s="11" t="n">
        <x:v>45351</x:v>
      </x:c>
      <x:c r="C168" s="10" t="n">
        <x:v>2</x:v>
      </x:c>
      <x:c r="D168" s="10" t="str">
        <x:v>1404</x:v>
      </x:c>
      <x:c r="E168" s="12" t="n">
        <x:v>5264.07</x:v>
      </x:c>
      <x:c r="F168" s="12" t="n">
        <x:v>0</x:v>
      </x:c>
      <x:c r="G168" s="10" t="str">
        <x:v>Wareneingang EU 7 Prozent</x:v>
      </x:c>
      <x:c r="H168" s="10" t="str">
        <x:v>Einkauf</x:v>
      </x:c>
    </x:row>
    <x:row r="169" ht="14" customHeight="1">
      <x:c r="A169" s="10" t="str">
        <x:v>2024-02-0065</x:v>
      </x:c>
      <x:c r="B169" s="11" t="n">
        <x:v>45351</x:v>
      </x:c>
      <x:c r="C169" s="10" t="n">
        <x:v>2</x:v>
      </x:c>
      <x:c r="D169" s="10" t="str">
        <x:v>3804</x:v>
      </x:c>
      <x:c r="E169" s="12" t="n">
        <x:v>0</x:v>
      </x:c>
      <x:c r="F169" s="12" t="n">
        <x:v>5264.07</x:v>
      </x:c>
      <x:c r="G169" s="10" t="str">
        <x:v>Wareneingang EU 7 Prozent</x:v>
      </x:c>
      <x:c r="H169" s="10" t="str">
        <x:v>Einkauf</x:v>
      </x:c>
    </x:row>
    <x:row r="170" ht="14" customHeight="1">
      <x:c r="A170" s="10" t="str">
        <x:v>2024-02-0066</x:v>
      </x:c>
      <x:c r="B170" s="11" t="n">
        <x:v>45351</x:v>
      </x:c>
      <x:c r="C170" s="10" t="n">
        <x:v>2</x:v>
      </x:c>
      <x:c r="D170" s="10" t="str">
        <x:v>1140</x:v>
      </x:c>
      <x:c r="E170" s="12" t="n">
        <x:v>18800.25</x:v>
      </x:c>
      <x:c r="F170" s="12" t="n">
        <x:v>0</x:v>
      </x:c>
      <x:c r="G170" s="10" t="str">
        <x:v>Wareneingang EU 19 Prozent</x:v>
      </x:c>
      <x:c r="H170" s="10" t="str">
        <x:v>Einkauf</x:v>
      </x:c>
    </x:row>
    <x:row r="171" ht="14" customHeight="1">
      <x:c r="A171" s="10" t="str">
        <x:v>2024-02-0066</x:v>
      </x:c>
      <x:c r="B171" s="11" t="n">
        <x:v>45351</x:v>
      </x:c>
      <x:c r="C171" s="10" t="n">
        <x:v>2</x:v>
      </x:c>
      <x:c r="D171" s="10" t="str">
        <x:v>3300</x:v>
      </x:c>
      <x:c r="E171" s="12" t="n">
        <x:v>0</x:v>
      </x:c>
      <x:c r="F171" s="12" t="n">
        <x:v>18800.25</x:v>
      </x:c>
      <x:c r="G171" s="10" t="str">
        <x:v>Wareneingang EU 19 Prozent</x:v>
      </x:c>
      <x:c r="H171" s="10" t="str">
        <x:v>Einkauf</x:v>
      </x:c>
    </x:row>
    <x:row r="172" ht="14" customHeight="1">
      <x:c r="A172" s="10" t="str">
        <x:v>2024-02-0066</x:v>
      </x:c>
      <x:c r="B172" s="11" t="n">
        <x:v>45351</x:v>
      </x:c>
      <x:c r="C172" s="10" t="n">
        <x:v>2</x:v>
      </x:c>
      <x:c r="D172" s="10" t="str">
        <x:v>1409</x:v>
      </x:c>
      <x:c r="E172" s="12" t="n">
        <x:v>3572.05</x:v>
      </x:c>
      <x:c r="F172" s="12" t="n">
        <x:v>0</x:v>
      </x:c>
      <x:c r="G172" s="10" t="str">
        <x:v>Wareneingang EU 19 Prozent</x:v>
      </x:c>
      <x:c r="H172" s="10" t="str">
        <x:v>Einkauf</x:v>
      </x:c>
    </x:row>
    <x:row r="173" ht="14" customHeight="1">
      <x:c r="A173" s="10" t="str">
        <x:v>2024-02-0066</x:v>
      </x:c>
      <x:c r="B173" s="11" t="n">
        <x:v>45351</x:v>
      </x:c>
      <x:c r="C173" s="10" t="n">
        <x:v>2</x:v>
      </x:c>
      <x:c r="D173" s="10" t="str">
        <x:v>3809</x:v>
      </x:c>
      <x:c r="E173" s="12" t="n">
        <x:v>0</x:v>
      </x:c>
      <x:c r="F173" s="12" t="n">
        <x:v>3572.05</x:v>
      </x:c>
      <x:c r="G173" s="10" t="str">
        <x:v>Wareneingang EU 19 Prozent</x:v>
      </x:c>
      <x:c r="H173" s="10" t="str">
        <x:v>Einkauf</x:v>
      </x:c>
    </x:row>
    <x:row r="174" ht="14" customHeight="1">
      <x:c r="A174" s="10" t="str">
        <x:v>2024-02-0067</x:v>
      </x:c>
      <x:c r="B174" s="11" t="n">
        <x:v>45351</x:v>
      </x:c>
      <x:c r="C174" s="10" t="n">
        <x:v>2</x:v>
      </x:c>
      <x:c r="D174" s="10" t="str">
        <x:v>1140</x:v>
      </x:c>
      <x:c r="E174" s="12" t="n">
        <x:v>112801.5</x:v>
      </x:c>
      <x:c r="F174" s="12" t="n">
        <x:v>0</x:v>
      </x:c>
      <x:c r="G174" s="10" t="str">
        <x:v>Wareneingang Drittland</x:v>
      </x:c>
      <x:c r="H174" s="10" t="str">
        <x:v>Einkauf</x:v>
      </x:c>
    </x:row>
    <x:row r="175" ht="14" customHeight="1">
      <x:c r="A175" s="10" t="str">
        <x:v>2024-02-0067</x:v>
      </x:c>
      <x:c r="B175" s="11" t="n">
        <x:v>45351</x:v>
      </x:c>
      <x:c r="C175" s="10" t="n">
        <x:v>2</x:v>
      </x:c>
      <x:c r="D175" s="10" t="str">
        <x:v>3300</x:v>
      </x:c>
      <x:c r="E175" s="12" t="n">
        <x:v>0</x:v>
      </x:c>
      <x:c r="F175" s="12" t="n">
        <x:v>112801.5</x:v>
      </x:c>
      <x:c r="G175" s="10" t="str">
        <x:v>Wareneingang Drittland</x:v>
      </x:c>
      <x:c r="H175" s="10" t="str">
        <x:v>Einkauf</x:v>
      </x:c>
    </x:row>
    <x:row r="176" ht="14" customHeight="1">
      <x:c r="A176" s="10" t="str">
        <x:v>2024-02-0068</x:v>
      </x:c>
      <x:c r="B176" s="11" t="n">
        <x:v>45344</x:v>
      </x:c>
      <x:c r="C176" s="10" t="n">
        <x:v>2</x:v>
      </x:c>
      <x:c r="D176" s="10" t="str">
        <x:v>1433</x:v>
      </x:c>
      <x:c r="E176" s="12" t="n">
        <x:v>9249.72</x:v>
      </x:c>
      <x:c r="F176" s="12" t="n">
        <x:v>0</x:v>
      </x:c>
      <x:c r="G176" s="10" t="str">
        <x:v>Einfuhrabgabenjournal bezahlte EUSt</x:v>
      </x:c>
      <x:c r="H176" s="10" t="str">
        <x:v>Einfuhrumsatzsteuer</x:v>
      </x:c>
    </x:row>
    <x:row r="177" ht="14" customHeight="1">
      <x:c r="A177" s="10" t="str">
        <x:v>2024-02-0068</x:v>
      </x:c>
      <x:c r="B177" s="11" t="n">
        <x:v>45344</x:v>
      </x:c>
      <x:c r="C177" s="10" t="n">
        <x:v>2</x:v>
      </x:c>
      <x:c r="D177" s="10" t="str">
        <x:v>1800</x:v>
      </x:c>
      <x:c r="E177" s="12" t="n">
        <x:v>0</x:v>
      </x:c>
      <x:c r="F177" s="12" t="n">
        <x:v>9249.72</x:v>
      </x:c>
      <x:c r="G177" s="10" t="str">
        <x:v>Einfuhrabgabenjournal bezahlte EUSt</x:v>
      </x:c>
      <x:c r="H177" s="10" t="str">
        <x:v>Einfuhrumsatzsteuer</x:v>
      </x:c>
    </x:row>
    <x:row r="178" ht="14" customHeight="1">
      <x:c r="A178" s="10" t="str">
        <x:v>2024-02-0069</x:v>
      </x:c>
      <x:c r="B178" s="11" t="n">
        <x:v>45351</x:v>
      </x:c>
      <x:c r="C178" s="10" t="n">
        <x:v>2</x:v>
      </x:c>
      <x:c r="D178" s="10" t="str">
        <x:v>5000</x:v>
      </x:c>
      <x:c r="E178" s="12" t="n">
        <x:v>356005</x:v>
      </x:c>
      <x:c r="F178" s="12" t="n">
        <x:v>0</x:v>
      </x:c>
      <x:c r="G178" s="10" t="str">
        <x:v>Warenabgänge zu Einstandswerten</x:v>
      </x:c>
      <x:c r="H178" s="10" t="str">
        <x:v>Verbrauch</x:v>
      </x:c>
    </x:row>
    <x:row r="179" ht="14" customHeight="1">
      <x:c r="A179" s="10" t="str">
        <x:v>2024-02-0069</x:v>
      </x:c>
      <x:c r="B179" s="11" t="n">
        <x:v>45351</x:v>
      </x:c>
      <x:c r="C179" s="10" t="n">
        <x:v>2</x:v>
      </x:c>
      <x:c r="D179" s="10" t="str">
        <x:v>1140</x:v>
      </x:c>
      <x:c r="E179" s="12" t="n">
        <x:v>0</x:v>
      </x:c>
      <x:c r="F179" s="12" t="n">
        <x:v>356005</x:v>
      </x:c>
      <x:c r="G179" s="10" t="str">
        <x:v>Warenabgänge zu Einstandswerten</x:v>
      </x:c>
      <x:c r="H179" s="10" t="str">
        <x:v>Verbrauch</x:v>
      </x:c>
    </x:row>
    <x:row r="180" ht="14" customHeight="1">
      <x:c r="A180" s="10" t="str">
        <x:v>2024-02-0070</x:v>
      </x:c>
      <x:c r="B180" s="11" t="n">
        <x:v>45351</x:v>
      </x:c>
      <x:c r="C180" s="10" t="n">
        <x:v>2</x:v>
      </x:c>
      <x:c r="D180" s="10" t="str">
        <x:v>6020</x:v>
      </x:c>
      <x:c r="E180" s="12" t="n">
        <x:v>86000</x:v>
      </x:c>
      <x:c r="F180" s="12" t="n">
        <x:v>0</x:v>
      </x:c>
      <x:c r="G180" s="10" t="str">
        <x:v>Lohnjournal 20 Beschäftigte</x:v>
      </x:c>
      <x:c r="H180" s="10" t="str">
        <x:v>Personal</x:v>
      </x:c>
    </x:row>
    <x:row r="181" ht="14" customHeight="1">
      <x:c r="A181" s="10" t="str">
        <x:v>2024-02-0070</x:v>
      </x:c>
      <x:c r="B181" s="11" t="n">
        <x:v>45351</x:v>
      </x:c>
      <x:c r="C181" s="10" t="n">
        <x:v>2</x:v>
      </x:c>
      <x:c r="D181" s="10" t="str">
        <x:v>6110</x:v>
      </x:c>
      <x:c r="E181" s="12" t="n">
        <x:v>18000</x:v>
      </x:c>
      <x:c r="F181" s="12" t="n">
        <x:v>0</x:v>
      </x:c>
      <x:c r="G181" s="10" t="str">
        <x:v>Lohnjournal 20 Beschäftigte</x:v>
      </x:c>
      <x:c r="H181" s="10" t="str">
        <x:v>Personal</x:v>
      </x:c>
    </x:row>
    <x:row r="182" ht="14" customHeight="1">
      <x:c r="A182" s="10" t="str">
        <x:v>2024-02-0070</x:v>
      </x:c>
      <x:c r="B182" s="11" t="n">
        <x:v>45351</x:v>
      </x:c>
      <x:c r="C182" s="10" t="n">
        <x:v>2</x:v>
      </x:c>
      <x:c r="D182" s="10" t="str">
        <x:v>3720</x:v>
      </x:c>
      <x:c r="E182" s="12" t="n">
        <x:v>0</x:v>
      </x:c>
      <x:c r="F182" s="12" t="n">
        <x:v>56760</x:v>
      </x:c>
      <x:c r="G182" s="10" t="str">
        <x:v>Lohnjournal 20 Beschäftigte</x:v>
      </x:c>
      <x:c r="H182" s="10" t="str">
        <x:v>Personal</x:v>
      </x:c>
    </x:row>
    <x:row r="183" ht="14" customHeight="1">
      <x:c r="A183" s="10" t="str">
        <x:v>2024-02-0070</x:v>
      </x:c>
      <x:c r="B183" s="11" t="n">
        <x:v>45351</x:v>
      </x:c>
      <x:c r="C183" s="10" t="n">
        <x:v>2</x:v>
      </x:c>
      <x:c r="D183" s="10" t="str">
        <x:v>3730</x:v>
      </x:c>
      <x:c r="E183" s="12" t="n">
        <x:v>0</x:v>
      </x:c>
      <x:c r="F183" s="12" t="n">
        <x:v>12900</x:v>
      </x:c>
      <x:c r="G183" s="10" t="str">
        <x:v>Lohnjournal 20 Beschäftigte</x:v>
      </x:c>
      <x:c r="H183" s="10" t="str">
        <x:v>Personal</x:v>
      </x:c>
    </x:row>
    <x:row r="184" ht="14" customHeight="1">
      <x:c r="A184" s="10" t="str">
        <x:v>2024-02-0070</x:v>
      </x:c>
      <x:c r="B184" s="11" t="n">
        <x:v>45351</x:v>
      </x:c>
      <x:c r="C184" s="10" t="n">
        <x:v>2</x:v>
      </x:c>
      <x:c r="D184" s="10" t="str">
        <x:v>3740</x:v>
      </x:c>
      <x:c r="E184" s="12" t="n">
        <x:v>0</x:v>
      </x:c>
      <x:c r="F184" s="12" t="n">
        <x:v>34340</x:v>
      </x:c>
      <x:c r="G184" s="10" t="str">
        <x:v>Lohnjournal 20 Beschäftigte</x:v>
      </x:c>
      <x:c r="H184" s="10" t="str">
        <x:v>Personal</x:v>
      </x:c>
    </x:row>
    <x:row r="185" ht="14" customHeight="1">
      <x:c r="A185" s="10" t="str">
        <x:v>2024-02-0071</x:v>
      </x:c>
      <x:c r="B185" s="11" t="n">
        <x:v>45350</x:v>
      </x:c>
      <x:c r="C185" s="10" t="n">
        <x:v>2</x:v>
      </x:c>
      <x:c r="D185" s="10" t="str">
        <x:v>3720</x:v>
      </x:c>
      <x:c r="E185" s="12" t="n">
        <x:v>56760</x:v>
      </x:c>
      <x:c r="F185" s="12" t="n">
        <x:v>0</x:v>
      </x:c>
      <x:c r="G185" s="10" t="str">
        <x:v>Zahlungsjournal Verbindlichkeiten Nettolöhne</x:v>
      </x:c>
      <x:c r="H185" s="10" t="str">
        <x:v>Personalzahlung</x:v>
      </x:c>
    </x:row>
    <x:row r="186" ht="14" customHeight="1">
      <x:c r="A186" s="10" t="str">
        <x:v>2024-02-0071</x:v>
      </x:c>
      <x:c r="B186" s="11" t="n">
        <x:v>45350</x:v>
      </x:c>
      <x:c r="C186" s="10" t="n">
        <x:v>2</x:v>
      </x:c>
      <x:c r="D186" s="10" t="str">
        <x:v>1800</x:v>
      </x:c>
      <x:c r="E186" s="12" t="n">
        <x:v>0</x:v>
      </x:c>
      <x:c r="F186" s="12" t="n">
        <x:v>56760</x:v>
      </x:c>
      <x:c r="G186" s="10" t="str">
        <x:v>Zahlungsjournal Verbindlichkeiten Nettolöhne</x:v>
      </x:c>
      <x:c r="H186" s="10" t="str">
        <x:v>Personalzahlung</x:v>
      </x:c>
    </x:row>
    <x:row r="187" ht="14" customHeight="1">
      <x:c r="A187" s="10" t="str">
        <x:v>2024-02-0072</x:v>
      </x:c>
      <x:c r="B187" s="11" t="n">
        <x:v>45332</x:v>
      </x:c>
      <x:c r="C187" s="10" t="n">
        <x:v>2</x:v>
      </x:c>
      <x:c r="D187" s="10" t="str">
        <x:v>3730</x:v>
      </x:c>
      <x:c r="E187" s="12" t="n">
        <x:v>12900</x:v>
      </x:c>
      <x:c r="F187" s="12" t="n">
        <x:v>0</x:v>
      </x:c>
      <x:c r="G187" s="10" t="str">
        <x:v>Zahlungsjournal Verbindlichkeiten Lohnsteuer</x:v>
      </x:c>
      <x:c r="H187" s="10" t="str">
        <x:v>Personalzahlung</x:v>
      </x:c>
    </x:row>
    <x:row r="188" ht="14" customHeight="1">
      <x:c r="A188" s="10" t="str">
        <x:v>2024-02-0072</x:v>
      </x:c>
      <x:c r="B188" s="11" t="n">
        <x:v>45332</x:v>
      </x:c>
      <x:c r="C188" s="10" t="n">
        <x:v>2</x:v>
      </x:c>
      <x:c r="D188" s="10" t="str">
        <x:v>1800</x:v>
      </x:c>
      <x:c r="E188" s="12" t="n">
        <x:v>0</x:v>
      </x:c>
      <x:c r="F188" s="12" t="n">
        <x:v>12900</x:v>
      </x:c>
      <x:c r="G188" s="10" t="str">
        <x:v>Zahlungsjournal Verbindlichkeiten Lohnsteuer</x:v>
      </x:c>
      <x:c r="H188" s="10" t="str">
        <x:v>Personalzahlung</x:v>
      </x:c>
    </x:row>
    <x:row r="189" ht="14" customHeight="1">
      <x:c r="A189" s="10" t="str">
        <x:v>2024-02-0073</x:v>
      </x:c>
      <x:c r="B189" s="11" t="n">
        <x:v>45350</x:v>
      </x:c>
      <x:c r="C189" s="10" t="n">
        <x:v>2</x:v>
      </x:c>
      <x:c r="D189" s="10" t="str">
        <x:v>3740</x:v>
      </x:c>
      <x:c r="E189" s="12" t="n">
        <x:v>34340</x:v>
      </x:c>
      <x:c r="F189" s="12" t="n">
        <x:v>0</x:v>
      </x:c>
      <x:c r="G189" s="10" t="str">
        <x:v>Zahlungsjournal Verbindlichkeiten Sozialversicherung</x:v>
      </x:c>
      <x:c r="H189" s="10" t="str">
        <x:v>Personalzahlung</x:v>
      </x:c>
    </x:row>
    <x:row r="190" ht="14" customHeight="1">
      <x:c r="A190" s="10" t="str">
        <x:v>2024-02-0073</x:v>
      </x:c>
      <x:c r="B190" s="11" t="n">
        <x:v>45350</x:v>
      </x:c>
      <x:c r="C190" s="10" t="n">
        <x:v>2</x:v>
      </x:c>
      <x:c r="D190" s="10" t="str">
        <x:v>1800</x:v>
      </x:c>
      <x:c r="E190" s="12" t="n">
        <x:v>0</x:v>
      </x:c>
      <x:c r="F190" s="12" t="n">
        <x:v>34340</x:v>
      </x:c>
      <x:c r="G190" s="10" t="str">
        <x:v>Zahlungsjournal Verbindlichkeiten Sozialversicherung</x:v>
      </x:c>
      <x:c r="H190" s="10" t="str">
        <x:v>Personalzahlung</x:v>
      </x:c>
    </x:row>
    <x:row r="191" ht="14" customHeight="1">
      <x:c r="A191" s="10" t="str">
        <x:v>2024-02-0074</x:v>
      </x:c>
      <x:c r="B191" s="11" t="n">
        <x:v>45351</x:v>
      </x:c>
      <x:c r="C191" s="10" t="n">
        <x:v>2</x:v>
      </x:c>
      <x:c r="D191" s="10" t="str">
        <x:v>6310</x:v>
      </x:c>
      <x:c r="E191" s="12" t="n">
        <x:v>4000</x:v>
      </x:c>
      <x:c r="F191" s="12" t="n">
        <x:v>0</x:v>
      </x:c>
      <x:c r="G191" s="10" t="str">
        <x:v>Miete Büro Nürnberg Monatsjournal</x:v>
      </x:c>
      <x:c r="H191" s="10" t="str">
        <x:v>Betriebskosten</x:v>
      </x:c>
    </x:row>
    <x:row r="192" ht="14" customHeight="1">
      <x:c r="A192" s="10" t="str">
        <x:v>2024-02-0074</x:v>
      </x:c>
      <x:c r="B192" s="11" t="n">
        <x:v>45351</x:v>
      </x:c>
      <x:c r="C192" s="10" t="n">
        <x:v>2</x:v>
      </x:c>
      <x:c r="D192" s="10" t="str">
        <x:v>1406</x:v>
      </x:c>
      <x:c r="E192" s="12" t="n">
        <x:v>760</x:v>
      </x:c>
      <x:c r="F192" s="12" t="n">
        <x:v>0</x:v>
      </x:c>
      <x:c r="G192" s="10" t="str">
        <x:v>Miete Büro Nürnberg Monatsjournal</x:v>
      </x:c>
      <x:c r="H192" s="10" t="str">
        <x:v>Betriebskosten</x:v>
      </x:c>
    </x:row>
    <x:row r="193" ht="14" customHeight="1">
      <x:c r="A193" s="10" t="str">
        <x:v>2024-02-0074</x:v>
      </x:c>
      <x:c r="B193" s="11" t="n">
        <x:v>45351</x:v>
      </x:c>
      <x:c r="C193" s="10" t="n">
        <x:v>2</x:v>
      </x:c>
      <x:c r="D193" s="10" t="str">
        <x:v>3300</x:v>
      </x:c>
      <x:c r="E193" s="12" t="n">
        <x:v>0</x:v>
      </x:c>
      <x:c r="F193" s="12" t="n">
        <x:v>4760</x:v>
      </x:c>
      <x:c r="G193" s="10" t="str">
        <x:v>Miete Büro Nürnberg Monatsjournal</x:v>
      </x:c>
      <x:c r="H193" s="10" t="str">
        <x:v>Betriebskosten</x:v>
      </x:c>
    </x:row>
    <x:row r="194" ht="14" customHeight="1">
      <x:c r="A194" s="10" t="str">
        <x:v>2024-02-0075</x:v>
      </x:c>
      <x:c r="B194" s="11" t="n">
        <x:v>45351</x:v>
      </x:c>
      <x:c r="C194" s="10" t="n">
        <x:v>2</x:v>
      </x:c>
      <x:c r="D194" s="10" t="str">
        <x:v>6311</x:v>
      </x:c>
      <x:c r="E194" s="12" t="n">
        <x:v>10000</x:v>
      </x:c>
      <x:c r="F194" s="12" t="n">
        <x:v>0</x:v>
      </x:c>
      <x:c r="G194" s="10" t="str">
        <x:v>Miete Lager Erlangen Monatsjournal</x:v>
      </x:c>
      <x:c r="H194" s="10" t="str">
        <x:v>Betriebskosten</x:v>
      </x:c>
    </x:row>
    <x:row r="195" ht="14" customHeight="1">
      <x:c r="A195" s="10" t="str">
        <x:v>2024-02-0075</x:v>
      </x:c>
      <x:c r="B195" s="11" t="n">
        <x:v>45351</x:v>
      </x:c>
      <x:c r="C195" s="10" t="n">
        <x:v>2</x:v>
      </x:c>
      <x:c r="D195" s="10" t="str">
        <x:v>1406</x:v>
      </x:c>
      <x:c r="E195" s="12" t="n">
        <x:v>1900</x:v>
      </x:c>
      <x:c r="F195" s="12" t="n">
        <x:v>0</x:v>
      </x:c>
      <x:c r="G195" s="10" t="str">
        <x:v>Miete Lager Erlangen Monatsjournal</x:v>
      </x:c>
      <x:c r="H195" s="10" t="str">
        <x:v>Betriebskosten</x:v>
      </x:c>
    </x:row>
    <x:row r="196" ht="14" customHeight="1">
      <x:c r="A196" s="10" t="str">
        <x:v>2024-02-0075</x:v>
      </x:c>
      <x:c r="B196" s="11" t="n">
        <x:v>45351</x:v>
      </x:c>
      <x:c r="C196" s="10" t="n">
        <x:v>2</x:v>
      </x:c>
      <x:c r="D196" s="10" t="str">
        <x:v>3300</x:v>
      </x:c>
      <x:c r="E196" s="12" t="n">
        <x:v>0</x:v>
      </x:c>
      <x:c r="F196" s="12" t="n">
        <x:v>11900</x:v>
      </x:c>
      <x:c r="G196" s="10" t="str">
        <x:v>Miete Lager Erlangen Monatsjournal</x:v>
      </x:c>
      <x:c r="H196" s="10" t="str">
        <x:v>Betriebskosten</x:v>
      </x:c>
    </x:row>
    <x:row r="197" ht="14" customHeight="1">
      <x:c r="A197" s="10" t="str">
        <x:v>2024-02-0076</x:v>
      </x:c>
      <x:c r="B197" s="11" t="n">
        <x:v>45351</x:v>
      </x:c>
      <x:c r="C197" s="10" t="n">
        <x:v>2</x:v>
      </x:c>
      <x:c r="D197" s="10" t="str">
        <x:v>6325</x:v>
      </x:c>
      <x:c r="E197" s="12" t="n">
        <x:v>4500</x:v>
      </x:c>
      <x:c r="F197" s="12" t="n">
        <x:v>0</x:v>
      </x:c>
      <x:c r="G197" s="10" t="str">
        <x:v>Strom und Kühlung Monatsjournal</x:v>
      </x:c>
      <x:c r="H197" s="10" t="str">
        <x:v>Betriebskosten</x:v>
      </x:c>
    </x:row>
    <x:row r="198" ht="14" customHeight="1">
      <x:c r="A198" s="10" t="str">
        <x:v>2024-02-0076</x:v>
      </x:c>
      <x:c r="B198" s="11" t="n">
        <x:v>45351</x:v>
      </x:c>
      <x:c r="C198" s="10" t="n">
        <x:v>2</x:v>
      </x:c>
      <x:c r="D198" s="10" t="str">
        <x:v>1406</x:v>
      </x:c>
      <x:c r="E198" s="12" t="n">
        <x:v>855</x:v>
      </x:c>
      <x:c r="F198" s="12" t="n">
        <x:v>0</x:v>
      </x:c>
      <x:c r="G198" s="10" t="str">
        <x:v>Strom und Kühlung Monatsjournal</x:v>
      </x:c>
      <x:c r="H198" s="10" t="str">
        <x:v>Betriebskosten</x:v>
      </x:c>
    </x:row>
    <x:row r="199" ht="14" customHeight="1">
      <x:c r="A199" s="10" t="str">
        <x:v>2024-02-0076</x:v>
      </x:c>
      <x:c r="B199" s="11" t="n">
        <x:v>45351</x:v>
      </x:c>
      <x:c r="C199" s="10" t="n">
        <x:v>2</x:v>
      </x:c>
      <x:c r="D199" s="10" t="str">
        <x:v>3300</x:v>
      </x:c>
      <x:c r="E199" s="12" t="n">
        <x:v>0</x:v>
      </x:c>
      <x:c r="F199" s="12" t="n">
        <x:v>5355</x:v>
      </x:c>
      <x:c r="G199" s="10" t="str">
        <x:v>Strom und Kühlung Monatsjournal</x:v>
      </x:c>
      <x:c r="H199" s="10" t="str">
        <x:v>Betriebskosten</x:v>
      </x:c>
    </x:row>
    <x:row r="200" ht="14" customHeight="1">
      <x:c r="A200" s="10" t="str">
        <x:v>2024-02-0077</x:v>
      </x:c>
      <x:c r="B200" s="11" t="n">
        <x:v>45351</x:v>
      </x:c>
      <x:c r="C200" s="10" t="n">
        <x:v>2</x:v>
      </x:c>
      <x:c r="D200" s="10" t="str">
        <x:v>6400</x:v>
      </x:c>
      <x:c r="E200" s="12" t="n">
        <x:v>2500</x:v>
      </x:c>
      <x:c r="F200" s="12" t="n">
        <x:v>0</x:v>
      </x:c>
      <x:c r="G200" s="10" t="str">
        <x:v>Versicherungen Monatsjournal</x:v>
      </x:c>
      <x:c r="H200" s="10" t="str">
        <x:v>Betriebskosten</x:v>
      </x:c>
    </x:row>
    <x:row r="201" ht="14" customHeight="1">
      <x:c r="A201" s="10" t="str">
        <x:v>2024-02-0077</x:v>
      </x:c>
      <x:c r="B201" s="11" t="n">
        <x:v>45351</x:v>
      </x:c>
      <x:c r="C201" s="10" t="n">
        <x:v>2</x:v>
      </x:c>
      <x:c r="D201" s="10" t="str">
        <x:v>3300</x:v>
      </x:c>
      <x:c r="E201" s="12" t="n">
        <x:v>0</x:v>
      </x:c>
      <x:c r="F201" s="12" t="n">
        <x:v>2500</x:v>
      </x:c>
      <x:c r="G201" s="10" t="str">
        <x:v>Versicherungen Monatsjournal</x:v>
      </x:c>
      <x:c r="H201" s="10" t="str">
        <x:v>Betriebskosten</x:v>
      </x:c>
    </x:row>
    <x:row r="202" ht="14" customHeight="1">
      <x:c r="A202" s="10" t="str">
        <x:v>2024-02-0078</x:v>
      </x:c>
      <x:c r="B202" s="11" t="n">
        <x:v>45351</x:v>
      </x:c>
      <x:c r="C202" s="10" t="n">
        <x:v>2</x:v>
      </x:c>
      <x:c r="D202" s="10" t="str">
        <x:v>6470</x:v>
      </x:c>
      <x:c r="E202" s="12" t="n">
        <x:v>6000</x:v>
      </x:c>
      <x:c r="F202" s="12" t="n">
        <x:v>0</x:v>
      </x:c>
      <x:c r="G202" s="10" t="str">
        <x:v>Lagerbetrieb und Reinigung Monatsjournal</x:v>
      </x:c>
      <x:c r="H202" s="10" t="str">
        <x:v>Betriebskosten</x:v>
      </x:c>
    </x:row>
    <x:row r="203" ht="14" customHeight="1">
      <x:c r="A203" s="10" t="str">
        <x:v>2024-02-0078</x:v>
      </x:c>
      <x:c r="B203" s="11" t="n">
        <x:v>45351</x:v>
      </x:c>
      <x:c r="C203" s="10" t="n">
        <x:v>2</x:v>
      </x:c>
      <x:c r="D203" s="10" t="str">
        <x:v>1406</x:v>
      </x:c>
      <x:c r="E203" s="12" t="n">
        <x:v>1140</x:v>
      </x:c>
      <x:c r="F203" s="12" t="n">
        <x:v>0</x:v>
      </x:c>
      <x:c r="G203" s="10" t="str">
        <x:v>Lagerbetrieb und Reinigung Monatsjournal</x:v>
      </x:c>
      <x:c r="H203" s="10" t="str">
        <x:v>Betriebskosten</x:v>
      </x:c>
    </x:row>
    <x:row r="204" ht="14" customHeight="1">
      <x:c r="A204" s="10" t="str">
        <x:v>2024-02-0078</x:v>
      </x:c>
      <x:c r="B204" s="11" t="n">
        <x:v>45351</x:v>
      </x:c>
      <x:c r="C204" s="10" t="n">
        <x:v>2</x:v>
      </x:c>
      <x:c r="D204" s="10" t="str">
        <x:v>3300</x:v>
      </x:c>
      <x:c r="E204" s="12" t="n">
        <x:v>0</x:v>
      </x:c>
      <x:c r="F204" s="12" t="n">
        <x:v>7140</x:v>
      </x:c>
      <x:c r="G204" s="10" t="str">
        <x:v>Lagerbetrieb und Reinigung Monatsjournal</x:v>
      </x:c>
      <x:c r="H204" s="10" t="str">
        <x:v>Betriebskosten</x:v>
      </x:c>
    </x:row>
    <x:row r="205" ht="14" customHeight="1">
      <x:c r="A205" s="10" t="str">
        <x:v>2024-02-0079</x:v>
      </x:c>
      <x:c r="B205" s="11" t="n">
        <x:v>45351</x:v>
      </x:c>
      <x:c r="C205" s="10" t="n">
        <x:v>2</x:v>
      </x:c>
      <x:c r="D205" s="10" t="str">
        <x:v>6490</x:v>
      </x:c>
      <x:c r="E205" s="12" t="n">
        <x:v>2500</x:v>
      </x:c>
      <x:c r="F205" s="12" t="n">
        <x:v>0</x:v>
      </x:c>
      <x:c r="G205" s="10" t="str">
        <x:v>Reparaturen und Wartung Monatsjournal</x:v>
      </x:c>
      <x:c r="H205" s="10" t="str">
        <x:v>Betriebskosten</x:v>
      </x:c>
    </x:row>
    <x:row r="206" ht="14" customHeight="1">
      <x:c r="A206" s="10" t="str">
        <x:v>2024-02-0079</x:v>
      </x:c>
      <x:c r="B206" s="11" t="n">
        <x:v>45351</x:v>
      </x:c>
      <x:c r="C206" s="10" t="n">
        <x:v>2</x:v>
      </x:c>
      <x:c r="D206" s="10" t="str">
        <x:v>1406</x:v>
      </x:c>
      <x:c r="E206" s="12" t="n">
        <x:v>475</x:v>
      </x:c>
      <x:c r="F206" s="12" t="n">
        <x:v>0</x:v>
      </x:c>
      <x:c r="G206" s="10" t="str">
        <x:v>Reparaturen und Wartung Monatsjournal</x:v>
      </x:c>
      <x:c r="H206" s="10" t="str">
        <x:v>Betriebskosten</x:v>
      </x:c>
    </x:row>
    <x:row r="207" ht="14" customHeight="1">
      <x:c r="A207" s="10" t="str">
        <x:v>2024-02-0079</x:v>
      </x:c>
      <x:c r="B207" s="11" t="n">
        <x:v>45351</x:v>
      </x:c>
      <x:c r="C207" s="10" t="n">
        <x:v>2</x:v>
      </x:c>
      <x:c r="D207" s="10" t="str">
        <x:v>3300</x:v>
      </x:c>
      <x:c r="E207" s="12" t="n">
        <x:v>0</x:v>
      </x:c>
      <x:c r="F207" s="12" t="n">
        <x:v>2975</x:v>
      </x:c>
      <x:c r="G207" s="10" t="str">
        <x:v>Reparaturen und Wartung Monatsjournal</x:v>
      </x:c>
      <x:c r="H207" s="10" t="str">
        <x:v>Betriebskosten</x:v>
      </x:c>
    </x:row>
    <x:row r="208" ht="14" customHeight="1">
      <x:c r="A208" s="10" t="str">
        <x:v>2024-02-0080</x:v>
      </x:c>
      <x:c r="B208" s="11" t="n">
        <x:v>45351</x:v>
      </x:c>
      <x:c r="C208" s="10" t="n">
        <x:v>2</x:v>
      </x:c>
      <x:c r="D208" s="10" t="str">
        <x:v>6600</x:v>
      </x:c>
      <x:c r="E208" s="12" t="n">
        <x:v>6000</x:v>
      </x:c>
      <x:c r="F208" s="12" t="n">
        <x:v>0</x:v>
      </x:c>
      <x:c r="G208" s="10" t="str">
        <x:v>Marketing und Messen Monatsjournal</x:v>
      </x:c>
      <x:c r="H208" s="10" t="str">
        <x:v>Betriebskosten</x:v>
      </x:c>
    </x:row>
    <x:row r="209" ht="14" customHeight="1">
      <x:c r="A209" s="10" t="str">
        <x:v>2024-02-0080</x:v>
      </x:c>
      <x:c r="B209" s="11" t="n">
        <x:v>45351</x:v>
      </x:c>
      <x:c r="C209" s="10" t="n">
        <x:v>2</x:v>
      </x:c>
      <x:c r="D209" s="10" t="str">
        <x:v>1406</x:v>
      </x:c>
      <x:c r="E209" s="12" t="n">
        <x:v>1140</x:v>
      </x:c>
      <x:c r="F209" s="12" t="n">
        <x:v>0</x:v>
      </x:c>
      <x:c r="G209" s="10" t="str">
        <x:v>Marketing und Messen Monatsjournal</x:v>
      </x:c>
      <x:c r="H209" s="10" t="str">
        <x:v>Betriebskosten</x:v>
      </x:c>
    </x:row>
    <x:row r="210" ht="14" customHeight="1">
      <x:c r="A210" s="10" t="str">
        <x:v>2024-02-0080</x:v>
      </x:c>
      <x:c r="B210" s="11" t="n">
        <x:v>45351</x:v>
      </x:c>
      <x:c r="C210" s="10" t="n">
        <x:v>2</x:v>
      </x:c>
      <x:c r="D210" s="10" t="str">
        <x:v>3300</x:v>
      </x:c>
      <x:c r="E210" s="12" t="n">
        <x:v>0</x:v>
      </x:c>
      <x:c r="F210" s="12" t="n">
        <x:v>7140</x:v>
      </x:c>
      <x:c r="G210" s="10" t="str">
        <x:v>Marketing und Messen Monatsjournal</x:v>
      </x:c>
      <x:c r="H210" s="10" t="str">
        <x:v>Betriebskosten</x:v>
      </x:c>
    </x:row>
    <x:row r="211" ht="14" customHeight="1">
      <x:c r="A211" s="10" t="str">
        <x:v>2024-02-0081</x:v>
      </x:c>
      <x:c r="B211" s="11" t="n">
        <x:v>45351</x:v>
      </x:c>
      <x:c r="C211" s="10" t="n">
        <x:v>2</x:v>
      </x:c>
      <x:c r="D211" s="10" t="str">
        <x:v>6650</x:v>
      </x:c>
      <x:c r="E211" s="12" t="n">
        <x:v>1500</x:v>
      </x:c>
      <x:c r="F211" s="12" t="n">
        <x:v>0</x:v>
      </x:c>
      <x:c r="G211" s="10" t="str">
        <x:v>Reisekosten Monatsjournal</x:v>
      </x:c>
      <x:c r="H211" s="10" t="str">
        <x:v>Betriebskosten</x:v>
      </x:c>
    </x:row>
    <x:row r="212" ht="14" customHeight="1">
      <x:c r="A212" s="10" t="str">
        <x:v>2024-02-0081</x:v>
      </x:c>
      <x:c r="B212" s="11" t="n">
        <x:v>45351</x:v>
      </x:c>
      <x:c r="C212" s="10" t="n">
        <x:v>2</x:v>
      </x:c>
      <x:c r="D212" s="10" t="str">
        <x:v>1406</x:v>
      </x:c>
      <x:c r="E212" s="12" t="n">
        <x:v>285</x:v>
      </x:c>
      <x:c r="F212" s="12" t="n">
        <x:v>0</x:v>
      </x:c>
      <x:c r="G212" s="10" t="str">
        <x:v>Reisekosten Monatsjournal</x:v>
      </x:c>
      <x:c r="H212" s="10" t="str">
        <x:v>Betriebskosten</x:v>
      </x:c>
    </x:row>
    <x:row r="213" ht="14" customHeight="1">
      <x:c r="A213" s="10" t="str">
        <x:v>2024-02-0081</x:v>
      </x:c>
      <x:c r="B213" s="11" t="n">
        <x:v>45351</x:v>
      </x:c>
      <x:c r="C213" s="10" t="n">
        <x:v>2</x:v>
      </x:c>
      <x:c r="D213" s="10" t="str">
        <x:v>3300</x:v>
      </x:c>
      <x:c r="E213" s="12" t="n">
        <x:v>0</x:v>
      </x:c>
      <x:c r="F213" s="12" t="n">
        <x:v>1485</x:v>
      </x:c>
      <x:c r="G213" s="10" t="str">
        <x:v>Reisekosten Monatsjournal</x:v>
      </x:c>
      <x:c r="H213" s="10" t="str">
        <x:v>Betriebskosten</x:v>
      </x:c>
    </x:row>
    <x:row r="214" ht="14" customHeight="1">
      <x:c r="A214" s="10" t="str">
        <x:v>2024-02-0081</x:v>
      </x:c>
      <x:c r="B214" s="11" t="n">
        <x:v>45351</x:v>
      </x:c>
      <x:c r="C214" s="10" t="n">
        <x:v>2</x:v>
      </x:c>
      <x:c r="D214" s="10" t="str">
        <x:v>1600</x:v>
      </x:c>
      <x:c r="E214" s="12" t="n">
        <x:v>0</x:v>
      </x:c>
      <x:c r="F214" s="12" t="n">
        <x:v>300</x:v>
      </x:c>
      <x:c r="G214" s="10" t="str">
        <x:v>Reisekosten Monatsjournal</x:v>
      </x:c>
      <x:c r="H214" s="10" t="str">
        <x:v>Betriebskosten</x:v>
      </x:c>
    </x:row>
    <x:row r="215" ht="14" customHeight="1">
      <x:c r="A215" s="10" t="str">
        <x:v>2024-02-0082</x:v>
      </x:c>
      <x:c r="B215" s="11" t="n">
        <x:v>45351</x:v>
      </x:c>
      <x:c r="C215" s="10" t="n">
        <x:v>2</x:v>
      </x:c>
      <x:c r="D215" s="10" t="str">
        <x:v>6740</x:v>
      </x:c>
      <x:c r="E215" s="12" t="n">
        <x:v>13000</x:v>
      </x:c>
      <x:c r="F215" s="12" t="n">
        <x:v>0</x:v>
      </x:c>
      <x:c r="G215" s="10" t="str">
        <x:v>Ausgangsfrachten Inland Monatsjournal</x:v>
      </x:c>
      <x:c r="H215" s="10" t="str">
        <x:v>Betriebskosten</x:v>
      </x:c>
    </x:row>
    <x:row r="216" ht="14" customHeight="1">
      <x:c r="A216" s="10" t="str">
        <x:v>2024-02-0082</x:v>
      </x:c>
      <x:c r="B216" s="11" t="n">
        <x:v>45351</x:v>
      </x:c>
      <x:c r="C216" s="10" t="n">
        <x:v>2</x:v>
      </x:c>
      <x:c r="D216" s="10" t="str">
        <x:v>1406</x:v>
      </x:c>
      <x:c r="E216" s="12" t="n">
        <x:v>2470</x:v>
      </x:c>
      <x:c r="F216" s="12" t="n">
        <x:v>0</x:v>
      </x:c>
      <x:c r="G216" s="10" t="str">
        <x:v>Ausgangsfrachten Inland Monatsjournal</x:v>
      </x:c>
      <x:c r="H216" s="10" t="str">
        <x:v>Betriebskosten</x:v>
      </x:c>
    </x:row>
    <x:row r="217" ht="14" customHeight="1">
      <x:c r="A217" s="10" t="str">
        <x:v>2024-02-0082</x:v>
      </x:c>
      <x:c r="B217" s="11" t="n">
        <x:v>45351</x:v>
      </x:c>
      <x:c r="C217" s="10" t="n">
        <x:v>2</x:v>
      </x:c>
      <x:c r="D217" s="10" t="str">
        <x:v>3300</x:v>
      </x:c>
      <x:c r="E217" s="12" t="n">
        <x:v>0</x:v>
      </x:c>
      <x:c r="F217" s="12" t="n">
        <x:v>15470</x:v>
      </x:c>
      <x:c r="G217" s="10" t="str">
        <x:v>Ausgangsfrachten Inland Monatsjournal</x:v>
      </x:c>
      <x:c r="H217" s="10" t="str">
        <x:v>Betriebskosten</x:v>
      </x:c>
    </x:row>
    <x:row r="218" ht="14" customHeight="1">
      <x:c r="A218" s="10" t="str">
        <x:v>2024-02-0083</x:v>
      </x:c>
      <x:c r="B218" s="11" t="n">
        <x:v>45351</x:v>
      </x:c>
      <x:c r="C218" s="10" t="n">
        <x:v>2</x:v>
      </x:c>
      <x:c r="D218" s="10" t="str">
        <x:v>6741</x:v>
      </x:c>
      <x:c r="E218" s="12" t="n">
        <x:v>14000</x:v>
      </x:c>
      <x:c r="F218" s="12" t="n">
        <x:v>0</x:v>
      </x:c>
      <x:c r="G218" s="10" t="str">
        <x:v>Ausgangsfrachten Ausland Monatsjournal</x:v>
      </x:c>
      <x:c r="H218" s="10" t="str">
        <x:v>Betriebskosten</x:v>
      </x:c>
    </x:row>
    <x:row r="219" ht="14" customHeight="1">
      <x:c r="A219" s="10" t="str">
        <x:v>2024-02-0083</x:v>
      </x:c>
      <x:c r="B219" s="11" t="n">
        <x:v>45351</x:v>
      </x:c>
      <x:c r="C219" s="10" t="n">
        <x:v>2</x:v>
      </x:c>
      <x:c r="D219" s="10" t="str">
        <x:v>1406</x:v>
      </x:c>
      <x:c r="E219" s="12" t="n">
        <x:v>2660</x:v>
      </x:c>
      <x:c r="F219" s="12" t="n">
        <x:v>0</x:v>
      </x:c>
      <x:c r="G219" s="10" t="str">
        <x:v>Ausgangsfrachten Ausland Monatsjournal</x:v>
      </x:c>
      <x:c r="H219" s="10" t="str">
        <x:v>Betriebskosten</x:v>
      </x:c>
    </x:row>
    <x:row r="220" ht="14" customHeight="1">
      <x:c r="A220" s="10" t="str">
        <x:v>2024-02-0083</x:v>
      </x:c>
      <x:c r="B220" s="11" t="n">
        <x:v>45351</x:v>
      </x:c>
      <x:c r="C220" s="10" t="n">
        <x:v>2</x:v>
      </x:c>
      <x:c r="D220" s="10" t="str">
        <x:v>3300</x:v>
      </x:c>
      <x:c r="E220" s="12" t="n">
        <x:v>0</x:v>
      </x:c>
      <x:c r="F220" s="12" t="n">
        <x:v>16660</x:v>
      </x:c>
      <x:c r="G220" s="10" t="str">
        <x:v>Ausgangsfrachten Ausland Monatsjournal</x:v>
      </x:c>
      <x:c r="H220" s="10" t="str">
        <x:v>Betriebskosten</x:v>
      </x:c>
    </x:row>
    <x:row r="221" ht="14" customHeight="1">
      <x:c r="A221" s="10" t="str">
        <x:v>2024-02-0084</x:v>
      </x:c>
      <x:c r="B221" s="11" t="n">
        <x:v>45351</x:v>
      </x:c>
      <x:c r="C221" s="10" t="n">
        <x:v>2</x:v>
      </x:c>
      <x:c r="D221" s="10" t="str">
        <x:v>6805</x:v>
      </x:c>
      <x:c r="E221" s="12" t="n">
        <x:v>1500</x:v>
      </x:c>
      <x:c r="F221" s="12" t="n">
        <x:v>0</x:v>
      </x:c>
      <x:c r="G221" s="10" t="str">
        <x:v>Telekommunikation und IT Monatsjournal</x:v>
      </x:c>
      <x:c r="H221" s="10" t="str">
        <x:v>Betriebskosten</x:v>
      </x:c>
    </x:row>
    <x:row r="222" ht="14" customHeight="1">
      <x:c r="A222" s="10" t="str">
        <x:v>2024-02-0084</x:v>
      </x:c>
      <x:c r="B222" s="11" t="n">
        <x:v>45351</x:v>
      </x:c>
      <x:c r="C222" s="10" t="n">
        <x:v>2</x:v>
      </x:c>
      <x:c r="D222" s="10" t="str">
        <x:v>1406</x:v>
      </x:c>
      <x:c r="E222" s="12" t="n">
        <x:v>285</x:v>
      </x:c>
      <x:c r="F222" s="12" t="n">
        <x:v>0</x:v>
      </x:c>
      <x:c r="G222" s="10" t="str">
        <x:v>Telekommunikation und IT Monatsjournal</x:v>
      </x:c>
      <x:c r="H222" s="10" t="str">
        <x:v>Betriebskosten</x:v>
      </x:c>
    </x:row>
    <x:row r="223" ht="14" customHeight="1">
      <x:c r="A223" s="10" t="str">
        <x:v>2024-02-0084</x:v>
      </x:c>
      <x:c r="B223" s="11" t="n">
        <x:v>45351</x:v>
      </x:c>
      <x:c r="C223" s="10" t="n">
        <x:v>2</x:v>
      </x:c>
      <x:c r="D223" s="10" t="str">
        <x:v>3300</x:v>
      </x:c>
      <x:c r="E223" s="12" t="n">
        <x:v>0</x:v>
      </x:c>
      <x:c r="F223" s="12" t="n">
        <x:v>1785</x:v>
      </x:c>
      <x:c r="G223" s="10" t="str">
        <x:v>Telekommunikation und IT Monatsjournal</x:v>
      </x:c>
      <x:c r="H223" s="10" t="str">
        <x:v>Betriebskosten</x:v>
      </x:c>
    </x:row>
    <x:row r="224" ht="14" customHeight="1">
      <x:c r="A224" s="10" t="str">
        <x:v>2024-02-0085</x:v>
      </x:c>
      <x:c r="B224" s="11" t="n">
        <x:v>45351</x:v>
      </x:c>
      <x:c r="C224" s="10" t="n">
        <x:v>2</x:v>
      </x:c>
      <x:c r="D224" s="10" t="str">
        <x:v>6825</x:v>
      </x:c>
      <x:c r="E224" s="12" t="n">
        <x:v>3000</x:v>
      </x:c>
      <x:c r="F224" s="12" t="n">
        <x:v>0</x:v>
      </x:c>
      <x:c r="G224" s="10" t="str">
        <x:v>Rechtsberatung und Buchführung Monatsjournal</x:v>
      </x:c>
      <x:c r="H224" s="10" t="str">
        <x:v>Betriebskosten</x:v>
      </x:c>
    </x:row>
    <x:row r="225" ht="14" customHeight="1">
      <x:c r="A225" s="10" t="str">
        <x:v>2024-02-0085</x:v>
      </x:c>
      <x:c r="B225" s="11" t="n">
        <x:v>45351</x:v>
      </x:c>
      <x:c r="C225" s="10" t="n">
        <x:v>2</x:v>
      </x:c>
      <x:c r="D225" s="10" t="str">
        <x:v>1406</x:v>
      </x:c>
      <x:c r="E225" s="12" t="n">
        <x:v>570</x:v>
      </x:c>
      <x:c r="F225" s="12" t="n">
        <x:v>0</x:v>
      </x:c>
      <x:c r="G225" s="10" t="str">
        <x:v>Rechtsberatung und Buchführung Monatsjournal</x:v>
      </x:c>
      <x:c r="H225" s="10" t="str">
        <x:v>Betriebskosten</x:v>
      </x:c>
    </x:row>
    <x:row r="226" ht="14" customHeight="1">
      <x:c r="A226" s="10" t="str">
        <x:v>2024-02-0085</x:v>
      </x:c>
      <x:c r="B226" s="11" t="n">
        <x:v>45351</x:v>
      </x:c>
      <x:c r="C226" s="10" t="n">
        <x:v>2</x:v>
      </x:c>
      <x:c r="D226" s="10" t="str">
        <x:v>3300</x:v>
      </x:c>
      <x:c r="E226" s="12" t="n">
        <x:v>0</x:v>
      </x:c>
      <x:c r="F226" s="12" t="n">
        <x:v>3570</x:v>
      </x:c>
      <x:c r="G226" s="10" t="str">
        <x:v>Rechtsberatung und Buchführung Monatsjournal</x:v>
      </x:c>
      <x:c r="H226" s="10" t="str">
        <x:v>Betriebskosten</x:v>
      </x:c>
    </x:row>
    <x:row r="227" ht="14" customHeight="1">
      <x:c r="A227" s="10" t="str">
        <x:v>2024-02-0086</x:v>
      </x:c>
      <x:c r="B227" s="11" t="n">
        <x:v>45351</x:v>
      </x:c>
      <x:c r="C227" s="10" t="n">
        <x:v>2</x:v>
      </x:c>
      <x:c r="D227" s="10" t="str">
        <x:v>6830</x:v>
      </x:c>
      <x:c r="E227" s="12" t="n">
        <x:v>3500</x:v>
      </x:c>
      <x:c r="F227" s="12" t="n">
        <x:v>0</x:v>
      </x:c>
      <x:c r="G227" s="10" t="str">
        <x:v>Labor und Qualitätssicherung Monatsjournal</x:v>
      </x:c>
      <x:c r="H227" s="10" t="str">
        <x:v>Betriebskosten</x:v>
      </x:c>
    </x:row>
    <x:row r="228" ht="14" customHeight="1">
      <x:c r="A228" s="10" t="str">
        <x:v>2024-02-0086</x:v>
      </x:c>
      <x:c r="B228" s="11" t="n">
        <x:v>45351</x:v>
      </x:c>
      <x:c r="C228" s="10" t="n">
        <x:v>2</x:v>
      </x:c>
      <x:c r="D228" s="10" t="str">
        <x:v>1406</x:v>
      </x:c>
      <x:c r="E228" s="12" t="n">
        <x:v>665</x:v>
      </x:c>
      <x:c r="F228" s="12" t="n">
        <x:v>0</x:v>
      </x:c>
      <x:c r="G228" s="10" t="str">
        <x:v>Labor und Qualitätssicherung Monatsjournal</x:v>
      </x:c>
      <x:c r="H228" s="10" t="str">
        <x:v>Betriebskosten</x:v>
      </x:c>
    </x:row>
    <x:row r="229" ht="14" customHeight="1">
      <x:c r="A229" s="10" t="str">
        <x:v>2024-02-0086</x:v>
      </x:c>
      <x:c r="B229" s="11" t="n">
        <x:v>45351</x:v>
      </x:c>
      <x:c r="C229" s="10" t="n">
        <x:v>2</x:v>
      </x:c>
      <x:c r="D229" s="10" t="str">
        <x:v>3300</x:v>
      </x:c>
      <x:c r="E229" s="12" t="n">
        <x:v>0</x:v>
      </x:c>
      <x:c r="F229" s="12" t="n">
        <x:v>4165</x:v>
      </x:c>
      <x:c r="G229" s="10" t="str">
        <x:v>Labor und Qualitätssicherung Monatsjournal</x:v>
      </x:c>
      <x:c r="H229" s="10" t="str">
        <x:v>Betriebskosten</x:v>
      </x:c>
    </x:row>
    <x:row r="230" ht="14" customHeight="1">
      <x:c r="A230" s="10" t="str">
        <x:v>2024-02-0087</x:v>
      </x:c>
      <x:c r="B230" s="11" t="n">
        <x:v>45351</x:v>
      </x:c>
      <x:c r="C230" s="10" t="n">
        <x:v>2</x:v>
      </x:c>
      <x:c r="D230" s="10" t="str">
        <x:v>6850</x:v>
      </x:c>
      <x:c r="E230" s="12" t="n">
        <x:v>2000</x:v>
      </x:c>
      <x:c r="F230" s="12" t="n">
        <x:v>0</x:v>
      </x:c>
      <x:c r="G230" s="10" t="str">
        <x:v>Bürobedarf und übriger Aufwand Monatsjournal</x:v>
      </x:c>
      <x:c r="H230" s="10" t="str">
        <x:v>Betriebskosten</x:v>
      </x:c>
    </x:row>
    <x:row r="231" ht="14" customHeight="1">
      <x:c r="A231" s="10" t="str">
        <x:v>2024-02-0087</x:v>
      </x:c>
      <x:c r="B231" s="11" t="n">
        <x:v>45351</x:v>
      </x:c>
      <x:c r="C231" s="10" t="n">
        <x:v>2</x:v>
      </x:c>
      <x:c r="D231" s="10" t="str">
        <x:v>1406</x:v>
      </x:c>
      <x:c r="E231" s="12" t="n">
        <x:v>380</x:v>
      </x:c>
      <x:c r="F231" s="12" t="n">
        <x:v>0</x:v>
      </x:c>
      <x:c r="G231" s="10" t="str">
        <x:v>Bürobedarf und übriger Aufwand Monatsjournal</x:v>
      </x:c>
      <x:c r="H231" s="10" t="str">
        <x:v>Betriebskosten</x:v>
      </x:c>
    </x:row>
    <x:row r="232" ht="14" customHeight="1">
      <x:c r="A232" s="10" t="str">
        <x:v>2024-02-0087</x:v>
      </x:c>
      <x:c r="B232" s="11" t="n">
        <x:v>45351</x:v>
      </x:c>
      <x:c r="C232" s="10" t="n">
        <x:v>2</x:v>
      </x:c>
      <x:c r="D232" s="10" t="str">
        <x:v>3300</x:v>
      </x:c>
      <x:c r="E232" s="12" t="n">
        <x:v>0</x:v>
      </x:c>
      <x:c r="F232" s="12" t="n">
        <x:v>2380</x:v>
      </x:c>
      <x:c r="G232" s="10" t="str">
        <x:v>Bürobedarf und übriger Aufwand Monatsjournal</x:v>
      </x:c>
      <x:c r="H232" s="10" t="str">
        <x:v>Betriebskosten</x:v>
      </x:c>
    </x:row>
    <x:row r="233" ht="14" customHeight="1">
      <x:c r="A233" s="10" t="str">
        <x:v>2024-02-0088</x:v>
      </x:c>
      <x:c r="B233" s="11" t="n">
        <x:v>45351</x:v>
      </x:c>
      <x:c r="C233" s="10" t="n">
        <x:v>2</x:v>
      </x:c>
      <x:c r="D233" s="10" t="str">
        <x:v>6859</x:v>
      </x:c>
      <x:c r="E233" s="12" t="n">
        <x:v>500</x:v>
      </x:c>
      <x:c r="F233" s="12" t="n">
        <x:v>0</x:v>
      </x:c>
      <x:c r="G233" s="10" t="str">
        <x:v>Bankgebühren Monatsjournal</x:v>
      </x:c>
      <x:c r="H233" s="10" t="str">
        <x:v>Betriebskosten</x:v>
      </x:c>
    </x:row>
    <x:row r="234" ht="14" customHeight="1">
      <x:c r="A234" s="10" t="str">
        <x:v>2024-02-0088</x:v>
      </x:c>
      <x:c r="B234" s="11" t="n">
        <x:v>45351</x:v>
      </x:c>
      <x:c r="C234" s="10" t="n">
        <x:v>2</x:v>
      </x:c>
      <x:c r="D234" s="10" t="str">
        <x:v>3300</x:v>
      </x:c>
      <x:c r="E234" s="12" t="n">
        <x:v>0</x:v>
      </x:c>
      <x:c r="F234" s="12" t="n">
        <x:v>500</x:v>
      </x:c>
      <x:c r="G234" s="10" t="str">
        <x:v>Bankgebühren Monatsjournal</x:v>
      </x:c>
      <x:c r="H234" s="10" t="str">
        <x:v>Betriebskosten</x:v>
      </x:c>
    </x:row>
    <x:row r="235" ht="14" customHeight="1">
      <x:c r="A235" s="10" t="str">
        <x:v>2024-02-0089</x:v>
      </x:c>
      <x:c r="B235" s="11" t="n">
        <x:v>45327</x:v>
      </x:c>
      <x:c r="C235" s="10" t="n">
        <x:v>2</x:v>
      </x:c>
      <x:c r="D235" s="10" t="str">
        <x:v>1600</x:v>
      </x:c>
      <x:c r="E235" s="12" t="n">
        <x:v>300</x:v>
      </x:c>
      <x:c r="F235" s="12" t="n">
        <x:v>0</x:v>
      </x:c>
      <x:c r="G235" s="10" t="str">
        <x:v>Kassenvorschuss Reisekosten</x:v>
      </x:c>
      <x:c r="H235" s="10" t="str">
        <x:v>Kassenumbuchung</x:v>
      </x:c>
    </x:row>
    <x:row r="236" ht="14" customHeight="1">
      <x:c r="A236" s="10" t="str">
        <x:v>2024-02-0089</x:v>
      </x:c>
      <x:c r="B236" s="11" t="n">
        <x:v>45327</x:v>
      </x:c>
      <x:c r="C236" s="10" t="n">
        <x:v>2</x:v>
      </x:c>
      <x:c r="D236" s="10" t="str">
        <x:v>1800</x:v>
      </x:c>
      <x:c r="E236" s="12" t="n">
        <x:v>0</x:v>
      </x:c>
      <x:c r="F236" s="12" t="n">
        <x:v>300</x:v>
      </x:c>
      <x:c r="G236" s="10" t="str">
        <x:v>Kassenvorschuss Reisekosten</x:v>
      </x:c>
      <x:c r="H236" s="10" t="str">
        <x:v>Kassenumbuchung</x:v>
      </x:c>
    </x:row>
    <x:row r="237" ht="14" customHeight="1">
      <x:c r="A237" s="10" t="str">
        <x:v>2024-02-0090</x:v>
      </x:c>
      <x:c r="B237" s="11" t="n">
        <x:v>45351</x:v>
      </x:c>
      <x:c r="C237" s="10" t="n">
        <x:v>2</x:v>
      </x:c>
      <x:c r="D237" s="10" t="str">
        <x:v>6805</x:v>
      </x:c>
      <x:c r="E237" s="12" t="n">
        <x:v>3000</x:v>
      </x:c>
      <x:c r="F237" s="12" t="n">
        <x:v>0</x:v>
      </x:c>
      <x:c r="G237" s="10" t="str">
        <x:v>IT Jahreslizenz Auflösung Vorauszahlung</x:v>
      </x:c>
      <x:c r="H237" s="10" t="str">
        <x:v>Abgrenzung</x:v>
      </x:c>
    </x:row>
    <x:row r="238" ht="14" customHeight="1">
      <x:c r="A238" s="10" t="str">
        <x:v>2024-02-0090</x:v>
      </x:c>
      <x:c r="B238" s="11" t="n">
        <x:v>45351</x:v>
      </x:c>
      <x:c r="C238" s="10" t="n">
        <x:v>2</x:v>
      </x:c>
      <x:c r="D238" s="10" t="str">
        <x:v>1900</x:v>
      </x:c>
      <x:c r="E238" s="12" t="n">
        <x:v>0</x:v>
      </x:c>
      <x:c r="F238" s="12" t="n">
        <x:v>3000</x:v>
      </x:c>
      <x:c r="G238" s="10" t="str">
        <x:v>IT Jahreslizenz Auflösung Vorauszahlung</x:v>
      </x:c>
      <x:c r="H238" s="10" t="str">
        <x:v>Abgrenzung</x:v>
      </x:c>
    </x:row>
    <x:row r="239" ht="14" customHeight="1">
      <x:c r="A239" s="10" t="str">
        <x:v>2024-02-0091</x:v>
      </x:c>
      <x:c r="B239" s="11" t="n">
        <x:v>45351</x:v>
      </x:c>
      <x:c r="C239" s="10" t="n">
        <x:v>2</x:v>
      </x:c>
      <x:c r="D239" s="10" t="str">
        <x:v>6220</x:v>
      </x:c>
      <x:c r="E239" s="12" t="n">
        <x:v>500</x:v>
      </x:c>
      <x:c r="F239" s="12" t="n">
        <x:v>0</x:v>
      </x:c>
      <x:c r="G239" s="10" t="str">
        <x:v>Software Monatsabschreibung</x:v>
      </x:c>
      <x:c r="H239" s="10" t="str">
        <x:v>Abschreibung</x:v>
      </x:c>
    </x:row>
    <x:row r="240" ht="14" customHeight="1">
      <x:c r="A240" s="10" t="str">
        <x:v>2024-02-0091</x:v>
      </x:c>
      <x:c r="B240" s="11" t="n">
        <x:v>45351</x:v>
      </x:c>
      <x:c r="C240" s="10" t="n">
        <x:v>2</x:v>
      </x:c>
      <x:c r="D240" s="10" t="str">
        <x:v>0100</x:v>
      </x:c>
      <x:c r="E240" s="12" t="n">
        <x:v>0</x:v>
      </x:c>
      <x:c r="F240" s="12" t="n">
        <x:v>500</x:v>
      </x:c>
      <x:c r="G240" s="10" t="str">
        <x:v>Software Monatsabschreibung</x:v>
      </x:c>
      <x:c r="H240" s="10" t="str">
        <x:v>Abschreibung</x:v>
      </x:c>
    </x:row>
    <x:row r="241" ht="14" customHeight="1">
      <x:c r="A241" s="10" t="str">
        <x:v>2024-02-0092</x:v>
      </x:c>
      <x:c r="B241" s="11" t="n">
        <x:v>45351</x:v>
      </x:c>
      <x:c r="C241" s="10" t="n">
        <x:v>2</x:v>
      </x:c>
      <x:c r="D241" s="10" t="str">
        <x:v>6220</x:v>
      </x:c>
      <x:c r="E241" s="12" t="n">
        <x:v>2500</x:v>
      </x:c>
      <x:c r="F241" s="12" t="n">
        <x:v>0</x:v>
      </x:c>
      <x:c r="G241" s="10" t="str">
        <x:v>Lagereinbauten Erlangen Monatsabschreibung</x:v>
      </x:c>
      <x:c r="H241" s="10" t="str">
        <x:v>Abschreibung</x:v>
      </x:c>
    </x:row>
    <x:row r="242" ht="14" customHeight="1">
      <x:c r="A242" s="10" t="str">
        <x:v>2024-02-0092</x:v>
      </x:c>
      <x:c r="B242" s="11" t="n">
        <x:v>45351</x:v>
      </x:c>
      <x:c r="C242" s="10" t="n">
        <x:v>2</x:v>
      </x:c>
      <x:c r="D242" s="10" t="str">
        <x:v>0400</x:v>
      </x:c>
      <x:c r="E242" s="12" t="n">
        <x:v>0</x:v>
      </x:c>
      <x:c r="F242" s="12" t="n">
        <x:v>2500</x:v>
      </x:c>
      <x:c r="G242" s="10" t="str">
        <x:v>Lagereinbauten Erlangen Monatsabschreibung</x:v>
      </x:c>
      <x:c r="H242" s="10" t="str">
        <x:v>Abschreibung</x:v>
      </x:c>
    </x:row>
    <x:row r="243" ht="14" customHeight="1">
      <x:c r="A243" s="10" t="str">
        <x:v>2024-02-0093</x:v>
      </x:c>
      <x:c r="B243" s="11" t="n">
        <x:v>45351</x:v>
      </x:c>
      <x:c r="C243" s="10" t="n">
        <x:v>2</x:v>
      </x:c>
      <x:c r="D243" s="10" t="str">
        <x:v>6220</x:v>
      </x:c>
      <x:c r="E243" s="12" t="n">
        <x:v>1500</x:v>
      </x:c>
      <x:c r="F243" s="12" t="n">
        <x:v>0</x:v>
      </x:c>
      <x:c r="G243" s="10" t="str">
        <x:v>Flurförderzeuge Monatsabschreibung</x:v>
      </x:c>
      <x:c r="H243" s="10" t="str">
        <x:v>Abschreibung</x:v>
      </x:c>
    </x:row>
    <x:row r="244" ht="14" customHeight="1">
      <x:c r="A244" s="10" t="str">
        <x:v>2024-02-0093</x:v>
      </x:c>
      <x:c r="B244" s="11" t="n">
        <x:v>45351</x:v>
      </x:c>
      <x:c r="C244" s="10" t="n">
        <x:v>2</x:v>
      </x:c>
      <x:c r="D244" s="10" t="str">
        <x:v>0520</x:v>
      </x:c>
      <x:c r="E244" s="12" t="n">
        <x:v>0</x:v>
      </x:c>
      <x:c r="F244" s="12" t="n">
        <x:v>1500</x:v>
      </x:c>
      <x:c r="G244" s="10" t="str">
        <x:v>Flurförderzeuge Monatsabschreibung</x:v>
      </x:c>
      <x:c r="H244" s="10" t="str">
        <x:v>Abschreibung</x:v>
      </x:c>
    </x:row>
    <x:row r="245" ht="14" customHeight="1">
      <x:c r="A245" s="10" t="str">
        <x:v>2024-02-0094</x:v>
      </x:c>
      <x:c r="B245" s="11" t="n">
        <x:v>45351</x:v>
      </x:c>
      <x:c r="C245" s="10" t="n">
        <x:v>2</x:v>
      </x:c>
      <x:c r="D245" s="10" t="str">
        <x:v>6220</x:v>
      </x:c>
      <x:c r="E245" s="12" t="n">
        <x:v>2000</x:v>
      </x:c>
      <x:c r="F245" s="12" t="n">
        <x:v>0</x:v>
      </x:c>
      <x:c r="G245" s="10" t="str">
        <x:v>IT und Kommunikation Monatsabschreibung</x:v>
      </x:c>
      <x:c r="H245" s="10" t="str">
        <x:v>Abschreibung</x:v>
      </x:c>
    </x:row>
    <x:row r="246" ht="14" customHeight="1">
      <x:c r="A246" s="10" t="str">
        <x:v>2024-02-0094</x:v>
      </x:c>
      <x:c r="B246" s="11" t="n">
        <x:v>45351</x:v>
      </x:c>
      <x:c r="C246" s="10" t="n">
        <x:v>2</x:v>
      </x:c>
      <x:c r="D246" s="10" t="str">
        <x:v>0650</x:v>
      </x:c>
      <x:c r="E246" s="12" t="n">
        <x:v>0</x:v>
      </x:c>
      <x:c r="F246" s="12" t="n">
        <x:v>2000</x:v>
      </x:c>
      <x:c r="G246" s="10" t="str">
        <x:v>IT und Kommunikation Monatsabschreibung</x:v>
      </x:c>
      <x:c r="H246" s="10" t="str">
        <x:v>Abschreibung</x:v>
      </x:c>
    </x:row>
    <x:row r="247" ht="14" customHeight="1">
      <x:c r="A247" s="10" t="str">
        <x:v>2024-02-0095</x:v>
      </x:c>
      <x:c r="B247" s="11" t="n">
        <x:v>45351</x:v>
      </x:c>
      <x:c r="C247" s="10" t="n">
        <x:v>2</x:v>
      </x:c>
      <x:c r="D247" s="10" t="str">
        <x:v>6220</x:v>
      </x:c>
      <x:c r="E247" s="12" t="n">
        <x:v>1000</x:v>
      </x:c>
      <x:c r="F247" s="12" t="n">
        <x:v>0</x:v>
      </x:c>
      <x:c r="G247" s="10" t="str">
        <x:v>Büroausstattung Monatsabschreibung</x:v>
      </x:c>
      <x:c r="H247" s="10" t="str">
        <x:v>Abschreibung</x:v>
      </x:c>
    </x:row>
    <x:row r="248" ht="14" customHeight="1">
      <x:c r="A248" s="10" t="str">
        <x:v>2024-02-0095</x:v>
      </x:c>
      <x:c r="B248" s="11" t="n">
        <x:v>45351</x:v>
      </x:c>
      <x:c r="C248" s="10" t="n">
        <x:v>2</x:v>
      </x:c>
      <x:c r="D248" s="10" t="str">
        <x:v>0670</x:v>
      </x:c>
      <x:c r="E248" s="12" t="n">
        <x:v>0</x:v>
      </x:c>
      <x:c r="F248" s="12" t="n">
        <x:v>1000</x:v>
      </x:c>
      <x:c r="G248" s="10" t="str">
        <x:v>Büroausstattung Monatsabschreibung</x:v>
      </x:c>
      <x:c r="H248" s="10" t="str">
        <x:v>Abschreibung</x:v>
      </x:c>
    </x:row>
    <x:row r="249" ht="14" customHeight="1">
      <x:c r="A249" s="10" t="str">
        <x:v>2024-02-0096</x:v>
      </x:c>
      <x:c r="B249" s="11" t="n">
        <x:v>45350</x:v>
      </x:c>
      <x:c r="C249" s="10" t="n">
        <x:v>2</x:v>
      </x:c>
      <x:c r="D249" s="10" t="str">
        <x:v>3150</x:v>
      </x:c>
      <x:c r="E249" s="12" t="n">
        <x:v>10000</x:v>
      </x:c>
      <x:c r="F249" s="12" t="n">
        <x:v>0</x:v>
      </x:c>
      <x:c r="G249" s="10" t="str">
        <x:v>Investitionsdarlehen Tilgungsrate</x:v>
      </x:c>
      <x:c r="H249" s="10" t="str">
        <x:v>Tilgung</x:v>
      </x:c>
    </x:row>
    <x:row r="250" ht="14" customHeight="1">
      <x:c r="A250" s="10" t="str">
        <x:v>2024-02-0096</x:v>
      </x:c>
      <x:c r="B250" s="11" t="n">
        <x:v>45350</x:v>
      </x:c>
      <x:c r="C250" s="10" t="n">
        <x:v>2</x:v>
      </x:c>
      <x:c r="D250" s="10" t="str">
        <x:v>1800</x:v>
      </x:c>
      <x:c r="E250" s="12" t="n">
        <x:v>0</x:v>
      </x:c>
      <x:c r="F250" s="12" t="n">
        <x:v>10000</x:v>
      </x:c>
      <x:c r="G250" s="10" t="str">
        <x:v>Investitionsdarlehen Tilgungsrate</x:v>
      </x:c>
      <x:c r="H250" s="10" t="str">
        <x:v>Tilgung</x:v>
      </x:c>
    </x:row>
    <x:row r="251" ht="14" customHeight="1">
      <x:c r="A251" s="10" t="str">
        <x:v>2024-02-0097</x:v>
      </x:c>
      <x:c r="B251" s="11" t="n">
        <x:v>45351</x:v>
      </x:c>
      <x:c r="C251" s="10" t="n">
        <x:v>2</x:v>
      </x:c>
      <x:c r="D251" s="10" t="str">
        <x:v>7300</x:v>
      </x:c>
      <x:c r="E251" s="12" t="n">
        <x:v>2500</x:v>
      </x:c>
      <x:c r="F251" s="12" t="n">
        <x:v>0</x:v>
      </x:c>
      <x:c r="G251" s="10" t="str">
        <x:v>Investitionsdarlehen Zinsabrechnung</x:v>
      </x:c>
      <x:c r="H251" s="10" t="str">
        <x:v>Zinsen</x:v>
      </x:c>
    </x:row>
    <x:row r="252" ht="14" customHeight="1">
      <x:c r="A252" s="10" t="str">
        <x:v>2024-02-0097</x:v>
      </x:c>
      <x:c r="B252" s="11" t="n">
        <x:v>45351</x:v>
      </x:c>
      <x:c r="C252" s="10" t="n">
        <x:v>2</x:v>
      </x:c>
      <x:c r="D252" s="10" t="str">
        <x:v>1800</x:v>
      </x:c>
      <x:c r="E252" s="12" t="n">
        <x:v>0</x:v>
      </x:c>
      <x:c r="F252" s="12" t="n">
        <x:v>2500</x:v>
      </x:c>
      <x:c r="G252" s="10" t="str">
        <x:v>Investitionsdarlehen Zinsabrechnung</x:v>
      </x:c>
      <x:c r="H252" s="10" t="str">
        <x:v>Zinsen</x:v>
      </x:c>
    </x:row>
    <x:row r="253" ht="14" customHeight="1">
      <x:c r="A253" s="10" t="str">
        <x:v>2024-02-0098</x:v>
      </x:c>
      <x:c r="B253" s="11" t="n">
        <x:v>45351</x:v>
      </x:c>
      <x:c r="C253" s="10" t="n">
        <x:v>2</x:v>
      </x:c>
      <x:c r="D253" s="10" t="str">
        <x:v>7310</x:v>
      </x:c>
      <x:c r="E253" s="12" t="n">
        <x:v>1000</x:v>
      </x:c>
      <x:c r="F253" s="12" t="n">
        <x:v>0</x:v>
      </x:c>
      <x:c r="G253" s="10" t="str">
        <x:v>Kontokorrent Zinsen und Bereitstellung</x:v>
      </x:c>
      <x:c r="H253" s="10" t="str">
        <x:v>Zinsen</x:v>
      </x:c>
    </x:row>
    <x:row r="254" ht="14" customHeight="1">
      <x:c r="A254" s="10" t="str">
        <x:v>2024-02-0098</x:v>
      </x:c>
      <x:c r="B254" s="11" t="n">
        <x:v>45351</x:v>
      </x:c>
      <x:c r="C254" s="10" t="n">
        <x:v>2</x:v>
      </x:c>
      <x:c r="D254" s="10" t="str">
        <x:v>1800</x:v>
      </x:c>
      <x:c r="E254" s="12" t="n">
        <x:v>0</x:v>
      </x:c>
      <x:c r="F254" s="12" t="n">
        <x:v>1000</x:v>
      </x:c>
      <x:c r="G254" s="10" t="str">
        <x:v>Kontokorrent Zinsen und Bereitstellung</x:v>
      </x:c>
      <x:c r="H254" s="10" t="str">
        <x:v>Zinsen</x:v>
      </x:c>
    </x:row>
    <x:row r="255" ht="14" customHeight="1">
      <x:c r="A255" s="10" t="str">
        <x:v>2024-02-0099</x:v>
      </x:c>
      <x:c r="B255" s="11" t="n">
        <x:v>45351</x:v>
      </x:c>
      <x:c r="C255" s="10" t="n">
        <x:v>2</x:v>
      </x:c>
      <x:c r="D255" s="10" t="str">
        <x:v>3300</x:v>
      </x:c>
      <x:c r="E255" s="12" t="n">
        <x:v>40000</x:v>
      </x:c>
      <x:c r="F255" s="12" t="n">
        <x:v>0</x:v>
      </x:c>
      <x:c r="G255" s="10" t="str">
        <x:v>Verrechnung AndenSaat Anzahlung</x:v>
      </x:c>
      <x:c r="H255" s="10" t="str">
        <x:v>Anzahlungen</x:v>
      </x:c>
    </x:row>
    <x:row r="256" ht="14" customHeight="1">
      <x:c r="A256" s="10" t="str">
        <x:v>2024-02-0099</x:v>
      </x:c>
      <x:c r="B256" s="11" t="n">
        <x:v>45351</x:v>
      </x:c>
      <x:c r="C256" s="10" t="n">
        <x:v>2</x:v>
      </x:c>
      <x:c r="D256" s="10" t="str">
        <x:v>1300</x:v>
      </x:c>
      <x:c r="E256" s="12" t="n">
        <x:v>0</x:v>
      </x:c>
      <x:c r="F256" s="12" t="n">
        <x:v>40000</x:v>
      </x:c>
      <x:c r="G256" s="10" t="str">
        <x:v>Verrechnung AndenSaat Anzahlung</x:v>
      </x:c>
      <x:c r="H256" s="10" t="str">
        <x:v>Anzahlungen</x:v>
      </x:c>
    </x:row>
    <x:row r="257" ht="14" customHeight="1">
      <x:c r="A257" s="10" t="str">
        <x:v>2024-02-0100</x:v>
      </x:c>
      <x:c r="B257" s="11" t="n">
        <x:v>45351</x:v>
      </x:c>
      <x:c r="C257" s="10" t="n">
        <x:v>2</x:v>
      </x:c>
      <x:c r="D257" s="10" t="str">
        <x:v>1800</x:v>
      </x:c>
      <x:c r="E257" s="12" t="n">
        <x:v>558623.4</x:v>
      </x:c>
      <x:c r="F257" s="12" t="n">
        <x:v>0</x:v>
      </x:c>
      <x:c r="G257" s="10" t="str">
        <x:v>Bankjournal Kundeneingänge brutto</x:v>
      </x:c>
      <x:c r="H257" s="10" t="str">
        <x:v>Kundenzahlungen</x:v>
      </x:c>
    </x:row>
    <x:row r="258" ht="14" customHeight="1">
      <x:c r="A258" s="10" t="str">
        <x:v>2024-02-0100</x:v>
      </x:c>
      <x:c r="B258" s="11" t="n">
        <x:v>45351</x:v>
      </x:c>
      <x:c r="C258" s="10" t="n">
        <x:v>2</x:v>
      </x:c>
      <x:c r="D258" s="10" t="str">
        <x:v>1200</x:v>
      </x:c>
      <x:c r="E258" s="12" t="n">
        <x:v>0</x:v>
      </x:c>
      <x:c r="F258" s="12" t="n">
        <x:v>558623.4</x:v>
      </x:c>
      <x:c r="G258" s="10" t="str">
        <x:v>Bankjournal Kundeneingänge brutto</x:v>
      </x:c>
      <x:c r="H258" s="10" t="str">
        <x:v>Kundenzahlungen</x:v>
      </x:c>
    </x:row>
    <x:row r="259" ht="14" customHeight="1">
      <x:c r="A259" s="10" t="str">
        <x:v>2024-02-0101</x:v>
      </x:c>
      <x:c r="B259" s="11" t="n">
        <x:v>45351</x:v>
      </x:c>
      <x:c r="C259" s="10" t="n">
        <x:v>2</x:v>
      </x:c>
      <x:c r="D259" s="10" t="str">
        <x:v>3300</x:v>
      </x:c>
      <x:c r="E259" s="12" t="n">
        <x:v>408792.6</x:v>
      </x:c>
      <x:c r="F259" s="12" t="n">
        <x:v>0</x:v>
      </x:c>
      <x:c r="G259" s="10" t="str">
        <x:v>Bankjournal Lieferantenzahlungen brutto</x:v>
      </x:c>
      <x:c r="H259" s="10" t="str">
        <x:v>Lieferantenzahlungen</x:v>
      </x:c>
    </x:row>
    <x:row r="260" ht="14" customHeight="1">
      <x:c r="A260" s="10" t="str">
        <x:v>2024-02-0101</x:v>
      </x:c>
      <x:c r="B260" s="11" t="n">
        <x:v>45351</x:v>
      </x:c>
      <x:c r="C260" s="10" t="n">
        <x:v>2</x:v>
      </x:c>
      <x:c r="D260" s="10" t="str">
        <x:v>1800</x:v>
      </x:c>
      <x:c r="E260" s="12" t="n">
        <x:v>0</x:v>
      </x:c>
      <x:c r="F260" s="12" t="n">
        <x:v>408792.6</x:v>
      </x:c>
      <x:c r="G260" s="10" t="str">
        <x:v>Bankjournal Lieferantenzahlungen brutto</x:v>
      </x:c>
      <x:c r="H260" s="10" t="str">
        <x:v>Lieferantenzahlungen</x:v>
      </x:c>
    </x:row>
    <x:row r="261" ht="14" customHeight="1">
      <x:c r="A261" s="10" t="str">
        <x:v>2024-02-0102</x:v>
      </x:c>
      <x:c r="B261" s="11" t="n">
        <x:v>45351</x:v>
      </x:c>
      <x:c r="C261" s="10" t="n">
        <x:v>2</x:v>
      </x:c>
      <x:c r="D261" s="10" t="str">
        <x:v>1401</x:v>
      </x:c>
      <x:c r="E261" s="12" t="n">
        <x:v>0</x:v>
      </x:c>
      <x:c r="F261" s="12" t="n">
        <x:v>10001.73</x:v>
      </x:c>
      <x:c r="G261" s="10" t="str">
        <x:v>Umsatzsteuer Monatsumbuchung 1401</x:v>
      </x:c>
      <x:c r="H261" s="10" t="str">
        <x:v>Steuerverrechnung</x:v>
      </x:c>
    </x:row>
    <x:row r="262" ht="14" customHeight="1">
      <x:c r="A262" s="10" t="str">
        <x:v>2024-02-0102</x:v>
      </x:c>
      <x:c r="B262" s="11" t="n">
        <x:v>45351</x:v>
      </x:c>
      <x:c r="C262" s="10" t="n">
        <x:v>2</x:v>
      </x:c>
      <x:c r="D262" s="10" t="str">
        <x:v>3820</x:v>
      </x:c>
      <x:c r="E262" s="12" t="n">
        <x:v>10001.73</x:v>
      </x:c>
      <x:c r="F262" s="12" t="n">
        <x:v>0</x:v>
      </x:c>
      <x:c r="G262" s="10" t="str">
        <x:v>Umsatzsteuer Monatsumbuchung 1401</x:v>
      </x:c>
      <x:c r="H262" s="10" t="str">
        <x:v>Steuerverrechnung</x:v>
      </x:c>
    </x:row>
    <x:row r="263" ht="14" customHeight="1">
      <x:c r="A263" s="10" t="str">
        <x:v>2024-02-0103</x:v>
      </x:c>
      <x:c r="B263" s="11" t="n">
        <x:v>45351</x:v>
      </x:c>
      <x:c r="C263" s="10" t="n">
        <x:v>2</x:v>
      </x:c>
      <x:c r="D263" s="10" t="str">
        <x:v>1406</x:v>
      </x:c>
      <x:c r="E263" s="12" t="n">
        <x:v>0</x:v>
      </x:c>
      <x:c r="F263" s="12" t="n">
        <x:v>18585.87</x:v>
      </x:c>
      <x:c r="G263" s="10" t="str">
        <x:v>Umsatzsteuer Monatsumbuchung 1406</x:v>
      </x:c>
      <x:c r="H263" s="10" t="str">
        <x:v>Steuerverrechnung</x:v>
      </x:c>
    </x:row>
    <x:row r="264" ht="14" customHeight="1">
      <x:c r="A264" s="10" t="str">
        <x:v>2024-02-0103</x:v>
      </x:c>
      <x:c r="B264" s="11" t="n">
        <x:v>45351</x:v>
      </x:c>
      <x:c r="C264" s="10" t="n">
        <x:v>2</x:v>
      </x:c>
      <x:c r="D264" s="10" t="str">
        <x:v>3820</x:v>
      </x:c>
      <x:c r="E264" s="12" t="n">
        <x:v>18585.87</x:v>
      </x:c>
      <x:c r="F264" s="12" t="n">
        <x:v>0</x:v>
      </x:c>
      <x:c r="G264" s="10" t="str">
        <x:v>Umsatzsteuer Monatsumbuchung 1406</x:v>
      </x:c>
      <x:c r="H264" s="10" t="str">
        <x:v>Steuerverrechnung</x:v>
      </x:c>
    </x:row>
    <x:row r="265" ht="14" customHeight="1">
      <x:c r="A265" s="10" t="str">
        <x:v>2024-02-0104</x:v>
      </x:c>
      <x:c r="B265" s="11" t="n">
        <x:v>45351</x:v>
      </x:c>
      <x:c r="C265" s="10" t="n">
        <x:v>2</x:v>
      </x:c>
      <x:c r="D265" s="10" t="str">
        <x:v>1404</x:v>
      </x:c>
      <x:c r="E265" s="12" t="n">
        <x:v>0</x:v>
      </x:c>
      <x:c r="F265" s="12" t="n">
        <x:v>5264.07</x:v>
      </x:c>
      <x:c r="G265" s="10" t="str">
        <x:v>Umsatzsteuer Monatsumbuchung 1404</x:v>
      </x:c>
      <x:c r="H265" s="10" t="str">
        <x:v>Steuerverrechnung</x:v>
      </x:c>
    </x:row>
    <x:row r="266" ht="14" customHeight="1">
      <x:c r="A266" s="10" t="str">
        <x:v>2024-02-0104</x:v>
      </x:c>
      <x:c r="B266" s="11" t="n">
        <x:v>45351</x:v>
      </x:c>
      <x:c r="C266" s="10" t="n">
        <x:v>2</x:v>
      </x:c>
      <x:c r="D266" s="10" t="str">
        <x:v>3820</x:v>
      </x:c>
      <x:c r="E266" s="12" t="n">
        <x:v>5264.07</x:v>
      </x:c>
      <x:c r="F266" s="12" t="n">
        <x:v>0</x:v>
      </x:c>
      <x:c r="G266" s="10" t="str">
        <x:v>Umsatzsteuer Monatsumbuchung 1404</x:v>
      </x:c>
      <x:c r="H266" s="10" t="str">
        <x:v>Steuerverrechnung</x:v>
      </x:c>
    </x:row>
    <x:row r="267" ht="14" customHeight="1">
      <x:c r="A267" s="10" t="str">
        <x:v>2024-02-0105</x:v>
      </x:c>
      <x:c r="B267" s="11" t="n">
        <x:v>45351</x:v>
      </x:c>
      <x:c r="C267" s="10" t="n">
        <x:v>2</x:v>
      </x:c>
      <x:c r="D267" s="10" t="str">
        <x:v>1409</x:v>
      </x:c>
      <x:c r="E267" s="12" t="n">
        <x:v>0</x:v>
      </x:c>
      <x:c r="F267" s="12" t="n">
        <x:v>3572.05</x:v>
      </x:c>
      <x:c r="G267" s="10" t="str">
        <x:v>Umsatzsteuer Monatsumbuchung 1409</x:v>
      </x:c>
      <x:c r="H267" s="10" t="str">
        <x:v>Steuerverrechnung</x:v>
      </x:c>
    </x:row>
    <x:row r="268" ht="14" customHeight="1">
      <x:c r="A268" s="10" t="str">
        <x:v>2024-02-0105</x:v>
      </x:c>
      <x:c r="B268" s="11" t="n">
        <x:v>45351</x:v>
      </x:c>
      <x:c r="C268" s="10" t="n">
        <x:v>2</x:v>
      </x:c>
      <x:c r="D268" s="10" t="str">
        <x:v>3820</x:v>
      </x:c>
      <x:c r="E268" s="12" t="n">
        <x:v>3572.05</x:v>
      </x:c>
      <x:c r="F268" s="12" t="n">
        <x:v>0</x:v>
      </x:c>
      <x:c r="G268" s="10" t="str">
        <x:v>Umsatzsteuer Monatsumbuchung 1409</x:v>
      </x:c>
      <x:c r="H268" s="10" t="str">
        <x:v>Steuerverrechnung</x:v>
      </x:c>
    </x:row>
    <x:row r="269" ht="14" customHeight="1">
      <x:c r="A269" s="10" t="str">
        <x:v>2024-02-0106</x:v>
      </x:c>
      <x:c r="B269" s="11" t="n">
        <x:v>45351</x:v>
      </x:c>
      <x:c r="C269" s="10" t="n">
        <x:v>2</x:v>
      </x:c>
      <x:c r="D269" s="10" t="str">
        <x:v>1433</x:v>
      </x:c>
      <x:c r="E269" s="12" t="n">
        <x:v>0</x:v>
      </x:c>
      <x:c r="F269" s="12" t="n">
        <x:v>9249.72</x:v>
      </x:c>
      <x:c r="G269" s="10" t="str">
        <x:v>Umsatzsteuer Monatsumbuchung 1433</x:v>
      </x:c>
      <x:c r="H269" s="10" t="str">
        <x:v>Steuerverrechnung</x:v>
      </x:c>
    </x:row>
    <x:row r="270" ht="14" customHeight="1">
      <x:c r="A270" s="10" t="str">
        <x:v>2024-02-0106</x:v>
      </x:c>
      <x:c r="B270" s="11" t="n">
        <x:v>45351</x:v>
      </x:c>
      <x:c r="C270" s="10" t="n">
        <x:v>2</x:v>
      </x:c>
      <x:c r="D270" s="10" t="str">
        <x:v>3820</x:v>
      </x:c>
      <x:c r="E270" s="12" t="n">
        <x:v>9249.72</x:v>
      </x:c>
      <x:c r="F270" s="12" t="n">
        <x:v>0</x:v>
      </x:c>
      <x:c r="G270" s="10" t="str">
        <x:v>Umsatzsteuer Monatsumbuchung 1433</x:v>
      </x:c>
      <x:c r="H270" s="10" t="str">
        <x:v>Steuerverrechnung</x:v>
      </x:c>
    </x:row>
    <x:row r="271" ht="14" customHeight="1">
      <x:c r="A271" s="10" t="str">
        <x:v>2024-02-0107</x:v>
      </x:c>
      <x:c r="B271" s="11" t="n">
        <x:v>45351</x:v>
      </x:c>
      <x:c r="C271" s="10" t="n">
        <x:v>2</x:v>
      </x:c>
      <x:c r="D271" s="10" t="str">
        <x:v>3801</x:v>
      </x:c>
      <x:c r="E271" s="12" t="n">
        <x:v>18383.4</x:v>
      </x:c>
      <x:c r="F271" s="12" t="n">
        <x:v>0</x:v>
      </x:c>
      <x:c r="G271" s="10" t="str">
        <x:v>Umsatzsteuer Monatsumbuchung 3801</x:v>
      </x:c>
      <x:c r="H271" s="10" t="str">
        <x:v>Steuerverrechnung</x:v>
      </x:c>
    </x:row>
    <x:row r="272" ht="14" customHeight="1">
      <x:c r="A272" s="10" t="str">
        <x:v>2024-02-0107</x:v>
      </x:c>
      <x:c r="B272" s="11" t="n">
        <x:v>45351</x:v>
      </x:c>
      <x:c r="C272" s="10" t="n">
        <x:v>2</x:v>
      </x:c>
      <x:c r="D272" s="10" t="str">
        <x:v>3820</x:v>
      </x:c>
      <x:c r="E272" s="12" t="n">
        <x:v>0</x:v>
      </x:c>
      <x:c r="F272" s="12" t="n">
        <x:v>18383.4</x:v>
      </x:c>
      <x:c r="G272" s="10" t="str">
        <x:v>Umsatzsteuer Monatsumbuchung 3801</x:v>
      </x:c>
      <x:c r="H272" s="10" t="str">
        <x:v>Steuerverrechnung</x:v>
      </x:c>
    </x:row>
    <x:row r="273" ht="14" customHeight="1">
      <x:c r="A273" s="10" t="str">
        <x:v>2024-02-0108</x:v>
      </x:c>
      <x:c r="B273" s="11" t="n">
        <x:v>45351</x:v>
      </x:c>
      <x:c r="C273" s="10" t="n">
        <x:v>2</x:v>
      </x:c>
      <x:c r="D273" s="10" t="str">
        <x:v>3806</x:v>
      </x:c>
      <x:c r="E273" s="12" t="n">
        <x:v>12540</x:v>
      </x:c>
      <x:c r="F273" s="12" t="n">
        <x:v>0</x:v>
      </x:c>
      <x:c r="G273" s="10" t="str">
        <x:v>Umsatzsteuer Monatsumbuchung 3806</x:v>
      </x:c>
      <x:c r="H273" s="10" t="str">
        <x:v>Steuerverrechnung</x:v>
      </x:c>
    </x:row>
    <x:row r="274" ht="14" customHeight="1">
      <x:c r="A274" s="10" t="str">
        <x:v>2024-02-0108</x:v>
      </x:c>
      <x:c r="B274" s="11" t="n">
        <x:v>45351</x:v>
      </x:c>
      <x:c r="C274" s="10" t="n">
        <x:v>2</x:v>
      </x:c>
      <x:c r="D274" s="10" t="str">
        <x:v>3820</x:v>
      </x:c>
      <x:c r="E274" s="12" t="n">
        <x:v>0</x:v>
      </x:c>
      <x:c r="F274" s="12" t="n">
        <x:v>12540</x:v>
      </x:c>
      <x:c r="G274" s="10" t="str">
        <x:v>Umsatzsteuer Monatsumbuchung 3806</x:v>
      </x:c>
      <x:c r="H274" s="10" t="str">
        <x:v>Steuerverrechnung</x:v>
      </x:c>
    </x:row>
    <x:row r="275" ht="14" customHeight="1">
      <x:c r="A275" s="10" t="str">
        <x:v>2024-02-0109</x:v>
      </x:c>
      <x:c r="B275" s="11" t="n">
        <x:v>45351</x:v>
      </x:c>
      <x:c r="C275" s="10" t="n">
        <x:v>2</x:v>
      </x:c>
      <x:c r="D275" s="10" t="str">
        <x:v>3804</x:v>
      </x:c>
      <x:c r="E275" s="12" t="n">
        <x:v>5264.07</x:v>
      </x:c>
      <x:c r="F275" s="12" t="n">
        <x:v>0</x:v>
      </x:c>
      <x:c r="G275" s="10" t="str">
        <x:v>Umsatzsteuer Monatsumbuchung 3804</x:v>
      </x:c>
      <x:c r="H275" s="10" t="str">
        <x:v>Steuerverrechnung</x:v>
      </x:c>
    </x:row>
    <x:row r="276" ht="14" customHeight="1">
      <x:c r="A276" s="10" t="str">
        <x:v>2024-02-0109</x:v>
      </x:c>
      <x:c r="B276" s="11" t="n">
        <x:v>45351</x:v>
      </x:c>
      <x:c r="C276" s="10" t="n">
        <x:v>2</x:v>
      </x:c>
      <x:c r="D276" s="10" t="str">
        <x:v>3820</x:v>
      </x:c>
      <x:c r="E276" s="12" t="n">
        <x:v>0</x:v>
      </x:c>
      <x:c r="F276" s="12" t="n">
        <x:v>5264.07</x:v>
      </x:c>
      <x:c r="G276" s="10" t="str">
        <x:v>Umsatzsteuer Monatsumbuchung 3804</x:v>
      </x:c>
      <x:c r="H276" s="10" t="str">
        <x:v>Steuerverrechnung</x:v>
      </x:c>
    </x:row>
    <x:row r="277" ht="14" customHeight="1">
      <x:c r="A277" s="10" t="str">
        <x:v>2024-02-0110</x:v>
      </x:c>
      <x:c r="B277" s="11" t="n">
        <x:v>45351</x:v>
      </x:c>
      <x:c r="C277" s="10" t="n">
        <x:v>2</x:v>
      </x:c>
      <x:c r="D277" s="10" t="str">
        <x:v>3809</x:v>
      </x:c>
      <x:c r="E277" s="12" t="n">
        <x:v>3572.05</x:v>
      </x:c>
      <x:c r="F277" s="12" t="n">
        <x:v>0</x:v>
      </x:c>
      <x:c r="G277" s="10" t="str">
        <x:v>Umsatzsteuer Monatsumbuchung 3809</x:v>
      </x:c>
      <x:c r="H277" s="10" t="str">
        <x:v>Steuerverrechnung</x:v>
      </x:c>
    </x:row>
    <x:row r="278" ht="14" customHeight="1">
      <x:c r="A278" s="10" t="str">
        <x:v>2024-02-0110</x:v>
      </x:c>
      <x:c r="B278" s="11" t="n">
        <x:v>45351</x:v>
      </x:c>
      <x:c r="C278" s="10" t="n">
        <x:v>2</x:v>
      </x:c>
      <x:c r="D278" s="10" t="str">
        <x:v>3820</x:v>
      </x:c>
      <x:c r="E278" s="12" t="n">
        <x:v>0</x:v>
      </x:c>
      <x:c r="F278" s="12" t="n">
        <x:v>3572.05</x:v>
      </x:c>
      <x:c r="G278" s="10" t="str">
        <x:v>Umsatzsteuer Monatsumbuchung 3809</x:v>
      </x:c>
      <x:c r="H278" s="10" t="str">
        <x:v>Steuerverrechnung</x:v>
      </x:c>
    </x:row>
    <x:row r="279" ht="14" customHeight="1">
      <x:c r="A279" s="10" t="str">
        <x:v>2024-03-0111</x:v>
      </x:c>
      <x:c r="B279" s="11" t="n">
        <x:v>45361</x:v>
      </x:c>
      <x:c r="C279" s="10" t="n">
        <x:v>3</x:v>
      </x:c>
      <x:c r="D279" s="10" t="str">
        <x:v>1800</x:v>
      </x:c>
      <x:c r="E279" s="12" t="n">
        <x:v>6913.92</x:v>
      </x:c>
      <x:c r="F279" s="12" t="n">
        <x:v>0</x:v>
      </x:c>
      <x:c r="G279" s="10" t="str">
        <x:v>Ausgleich Umsatzsteuer Vorperiode</x:v>
      </x:c>
      <x:c r="H279" s="10" t="str">
        <x:v>Umsatzsteuer</x:v>
      </x:c>
    </x:row>
    <x:row r="280" ht="14" customHeight="1">
      <x:c r="A280" s="10" t="str">
        <x:v>2024-03-0111</x:v>
      </x:c>
      <x:c r="B280" s="11" t="n">
        <x:v>45361</x:v>
      </x:c>
      <x:c r="C280" s="10" t="n">
        <x:v>3</x:v>
      </x:c>
      <x:c r="D280" s="10" t="str">
        <x:v>3820</x:v>
      </x:c>
      <x:c r="E280" s="12" t="n">
        <x:v>0</x:v>
      </x:c>
      <x:c r="F280" s="12" t="n">
        <x:v>6913.92</x:v>
      </x:c>
      <x:c r="G280" s="10" t="str">
        <x:v>Ausgleich Umsatzsteuer Vorperiode</x:v>
      </x:c>
      <x:c r="H280" s="10" t="str">
        <x:v>Umsatzsteuer</x:v>
      </x:c>
    </x:row>
    <x:row r="281" ht="14" customHeight="1">
      <x:c r="A281" s="10" t="str">
        <x:v>2024-03-0112</x:v>
      </x:c>
      <x:c r="B281" s="11" t="n">
        <x:v>45382</x:v>
      </x:c>
      <x:c r="C281" s="10" t="n">
        <x:v>3</x:v>
      </x:c>
      <x:c r="D281" s="10" t="str">
        <x:v>1200</x:v>
      </x:c>
      <x:c r="E281" s="12" t="n">
        <x:v>308160</x:v>
      </x:c>
      <x:c r="F281" s="12" t="n">
        <x:v>0</x:v>
      </x:c>
      <x:c r="G281" s="10" t="str">
        <x:v>Fakturajournal Inland 7 Prozent</x:v>
      </x:c>
      <x:c r="H281" s="10" t="str">
        <x:v>Umsatz</x:v>
      </x:c>
    </x:row>
    <x:row r="282" ht="14" customHeight="1">
      <x:c r="A282" s="10" t="str">
        <x:v>2024-03-0112</x:v>
      </x:c>
      <x:c r="B282" s="11" t="n">
        <x:v>45382</x:v>
      </x:c>
      <x:c r="C282" s="10" t="n">
        <x:v>3</x:v>
      </x:c>
      <x:c r="D282" s="10" t="str">
        <x:v>4300</x:v>
      </x:c>
      <x:c r="E282" s="12" t="n">
        <x:v>0</x:v>
      </x:c>
      <x:c r="F282" s="12" t="n">
        <x:v>288000</x:v>
      </x:c>
      <x:c r="G282" s="10" t="str">
        <x:v>Fakturajournal Inland 7 Prozent</x:v>
      </x:c>
      <x:c r="H282" s="10" t="str">
        <x:v>Umsatz</x:v>
      </x:c>
    </x:row>
    <x:row r="283" ht="14" customHeight="1">
      <x:c r="A283" s="10" t="str">
        <x:v>2024-03-0112</x:v>
      </x:c>
      <x:c r="B283" s="11" t="n">
        <x:v>45382</x:v>
      </x:c>
      <x:c r="C283" s="10" t="n">
        <x:v>3</x:v>
      </x:c>
      <x:c r="D283" s="10" t="str">
        <x:v>3801</x:v>
      </x:c>
      <x:c r="E283" s="12" t="n">
        <x:v>0</x:v>
      </x:c>
      <x:c r="F283" s="12" t="n">
        <x:v>20160</x:v>
      </x:c>
      <x:c r="G283" s="10" t="str">
        <x:v>Fakturajournal Inland 7 Prozent</x:v>
      </x:c>
      <x:c r="H283" s="10" t="str">
        <x:v>Umsatz</x:v>
      </x:c>
    </x:row>
    <x:row r="284" ht="14" customHeight="1">
      <x:c r="A284" s="10" t="str">
        <x:v>2024-03-0113</x:v>
      </x:c>
      <x:c r="B284" s="11" t="n">
        <x:v>45382</x:v>
      </x:c>
      <x:c r="C284" s="10" t="n">
        <x:v>3</x:v>
      </x:c>
      <x:c r="D284" s="10" t="str">
        <x:v>1200</x:v>
      </x:c>
      <x:c r="E284" s="12" t="n">
        <x:v>85680</x:v>
      </x:c>
      <x:c r="F284" s="12" t="n">
        <x:v>0</x:v>
      </x:c>
      <x:c r="G284" s="10" t="str">
        <x:v>Fakturajournal Inland 19 Prozent</x:v>
      </x:c>
      <x:c r="H284" s="10" t="str">
        <x:v>Umsatz</x:v>
      </x:c>
    </x:row>
    <x:row r="285" ht="14" customHeight="1">
      <x:c r="A285" s="10" t="str">
        <x:v>2024-03-0113</x:v>
      </x:c>
      <x:c r="B285" s="11" t="n">
        <x:v>45382</x:v>
      </x:c>
      <x:c r="C285" s="10" t="n">
        <x:v>3</x:v>
      </x:c>
      <x:c r="D285" s="10" t="str">
        <x:v>4400</x:v>
      </x:c>
      <x:c r="E285" s="12" t="n">
        <x:v>0</x:v>
      </x:c>
      <x:c r="F285" s="12" t="n">
        <x:v>72000</x:v>
      </x:c>
      <x:c r="G285" s="10" t="str">
        <x:v>Fakturajournal Inland 19 Prozent</x:v>
      </x:c>
      <x:c r="H285" s="10" t="str">
        <x:v>Umsatz</x:v>
      </x:c>
    </x:row>
    <x:row r="286" ht="14" customHeight="1">
      <x:c r="A286" s="10" t="str">
        <x:v>2024-03-0113</x:v>
      </x:c>
      <x:c r="B286" s="11" t="n">
        <x:v>45382</x:v>
      </x:c>
      <x:c r="C286" s="10" t="n">
        <x:v>3</x:v>
      </x:c>
      <x:c r="D286" s="10" t="str">
        <x:v>3806</x:v>
      </x:c>
      <x:c r="E286" s="12" t="n">
        <x:v>0</x:v>
      </x:c>
      <x:c r="F286" s="12" t="n">
        <x:v>13680</x:v>
      </x:c>
      <x:c r="G286" s="10" t="str">
        <x:v>Fakturajournal Inland 19 Prozent</x:v>
      </x:c>
      <x:c r="H286" s="10" t="str">
        <x:v>Umsatz</x:v>
      </x:c>
    </x:row>
    <x:row r="287" ht="14" customHeight="1">
      <x:c r="A287" s="10" t="str">
        <x:v>2024-03-0114</x:v>
      </x:c>
      <x:c r="B287" s="11" t="n">
        <x:v>45382</x:v>
      </x:c>
      <x:c r="C287" s="10" t="n">
        <x:v>3</x:v>
      </x:c>
      <x:c r="D287" s="10" t="str">
        <x:v>1200</x:v>
      </x:c>
      <x:c r="E287" s="12" t="n">
        <x:v>120000</x:v>
      </x:c>
      <x:c r="F287" s="12" t="n">
        <x:v>0</x:v>
      </x:c>
      <x:c r="G287" s="10" t="str">
        <x:v>Fakturajournal EU Warenlieferungen</x:v>
      </x:c>
      <x:c r="H287" s="10" t="str">
        <x:v>Umsatz</x:v>
      </x:c>
    </x:row>
    <x:row r="288" ht="14" customHeight="1">
      <x:c r="A288" s="10" t="str">
        <x:v>2024-03-0114</x:v>
      </x:c>
      <x:c r="B288" s="11" t="n">
        <x:v>45382</x:v>
      </x:c>
      <x:c r="C288" s="10" t="n">
        <x:v>3</x:v>
      </x:c>
      <x:c r="D288" s="10" t="str">
        <x:v>4125</x:v>
      </x:c>
      <x:c r="E288" s="12" t="n">
        <x:v>0</x:v>
      </x:c>
      <x:c r="F288" s="12" t="n">
        <x:v>120000</x:v>
      </x:c>
      <x:c r="G288" s="10" t="str">
        <x:v>Fakturajournal EU Warenlieferungen</x:v>
      </x:c>
      <x:c r="H288" s="10" t="str">
        <x:v>Umsatz</x:v>
      </x:c>
    </x:row>
    <x:row r="289" ht="14" customHeight="1">
      <x:c r="A289" s="10" t="str">
        <x:v>2024-03-0115</x:v>
      </x:c>
      <x:c r="B289" s="11" t="n">
        <x:v>45382</x:v>
      </x:c>
      <x:c r="C289" s="10" t="n">
        <x:v>3</x:v>
      </x:c>
      <x:c r="D289" s="10" t="str">
        <x:v>1200</x:v>
      </x:c>
      <x:c r="E289" s="12" t="n">
        <x:v>120000</x:v>
      </x:c>
      <x:c r="F289" s="12" t="n">
        <x:v>0</x:v>
      </x:c>
      <x:c r="G289" s="10" t="str">
        <x:v>Fakturajournal Drittland Warenlieferungen</x:v>
      </x:c>
      <x:c r="H289" s="10" t="str">
        <x:v>Umsatz</x:v>
      </x:c>
    </x:row>
    <x:row r="290" ht="14" customHeight="1">
      <x:c r="A290" s="10" t="str">
        <x:v>2024-03-0115</x:v>
      </x:c>
      <x:c r="B290" s="11" t="n">
        <x:v>45382</x:v>
      </x:c>
      <x:c r="C290" s="10" t="n">
        <x:v>3</x:v>
      </x:c>
      <x:c r="D290" s="10" t="str">
        <x:v>4120</x:v>
      </x:c>
      <x:c r="E290" s="12" t="n">
        <x:v>0</x:v>
      </x:c>
      <x:c r="F290" s="12" t="n">
        <x:v>120000</x:v>
      </x:c>
      <x:c r="G290" s="10" t="str">
        <x:v>Fakturajournal Drittland Warenlieferungen</x:v>
      </x:c>
      <x:c r="H290" s="10" t="str">
        <x:v>Umsatz</x:v>
      </x:c>
    </x:row>
    <x:row r="291" ht="14" customHeight="1">
      <x:c r="A291" s="10" t="str">
        <x:v>2024-03-0116</x:v>
      </x:c>
      <x:c r="B291" s="11" t="n">
        <x:v>45382</x:v>
      </x:c>
      <x:c r="C291" s="10" t="n">
        <x:v>3</x:v>
      </x:c>
      <x:c r="D291" s="10" t="str">
        <x:v>4730</x:v>
      </x:c>
      <x:c r="E291" s="12" t="n">
        <x:v>1470</x:v>
      </x:c>
      <x:c r="F291" s="12" t="n">
        <x:v>0</x:v>
      </x:c>
      <x:c r="G291" s="10" t="str">
        <x:v>Gutschriftjournal Retouren und Mengenrabatte</x:v>
      </x:c>
      <x:c r="H291" s="10" t="str">
        <x:v>Gutschriften</x:v>
      </x:c>
    </x:row>
    <x:row r="292" ht="14" customHeight="1">
      <x:c r="A292" s="10" t="str">
        <x:v>2024-03-0116</x:v>
      </x:c>
      <x:c r="B292" s="11" t="n">
        <x:v>45382</x:v>
      </x:c>
      <x:c r="C292" s="10" t="n">
        <x:v>3</x:v>
      </x:c>
      <x:c r="D292" s="10" t="str">
        <x:v>3801</x:v>
      </x:c>
      <x:c r="E292" s="12" t="n">
        <x:v>102.9</x:v>
      </x:c>
      <x:c r="F292" s="12" t="n">
        <x:v>0</x:v>
      </x:c>
      <x:c r="G292" s="10" t="str">
        <x:v>Gutschriftjournal Retouren und Mengenrabatte</x:v>
      </x:c>
      <x:c r="H292" s="10" t="str">
        <x:v>Gutschriften</x:v>
      </x:c>
    </x:row>
    <x:row r="293" ht="14" customHeight="1">
      <x:c r="A293" s="10" t="str">
        <x:v>2024-03-0116</x:v>
      </x:c>
      <x:c r="B293" s="11" t="n">
        <x:v>45382</x:v>
      </x:c>
      <x:c r="C293" s="10" t="n">
        <x:v>3</x:v>
      </x:c>
      <x:c r="D293" s="10" t="str">
        <x:v>1200</x:v>
      </x:c>
      <x:c r="E293" s="12" t="n">
        <x:v>0</x:v>
      </x:c>
      <x:c r="F293" s="12" t="n">
        <x:v>1572.9</x:v>
      </x:c>
      <x:c r="G293" s="10" t="str">
        <x:v>Gutschriftjournal Retouren und Mengenrabatte</x:v>
      </x:c>
      <x:c r="H293" s="10" t="str">
        <x:v>Gutschriften</x:v>
      </x:c>
    </x:row>
    <x:row r="294" ht="14" customHeight="1">
      <x:c r="A294" s="10" t="str">
        <x:v>2024-03-0117</x:v>
      </x:c>
      <x:c r="B294" s="11" t="n">
        <x:v>45382</x:v>
      </x:c>
      <x:c r="C294" s="10" t="n">
        <x:v>3</x:v>
      </x:c>
      <x:c r="D294" s="10" t="str">
        <x:v>4735</x:v>
      </x:c>
      <x:c r="E294" s="12" t="n">
        <x:v>980</x:v>
      </x:c>
      <x:c r="F294" s="12" t="n">
        <x:v>0</x:v>
      </x:c>
      <x:c r="G294" s="10" t="str">
        <x:v>Gutschriftjournal Retouren und Mengenrabatte</x:v>
      </x:c>
      <x:c r="H294" s="10" t="str">
        <x:v>Gutschriften</x:v>
      </x:c>
    </x:row>
    <x:row r="295" ht="14" customHeight="1">
      <x:c r="A295" s="10" t="str">
        <x:v>2024-03-0117</x:v>
      </x:c>
      <x:c r="B295" s="11" t="n">
        <x:v>45382</x:v>
      </x:c>
      <x:c r="C295" s="10" t="n">
        <x:v>3</x:v>
      </x:c>
      <x:c r="D295" s="10" t="str">
        <x:v>1200</x:v>
      </x:c>
      <x:c r="E295" s="12" t="n">
        <x:v>0</x:v>
      </x:c>
      <x:c r="F295" s="12" t="n">
        <x:v>980</x:v>
      </x:c>
      <x:c r="G295" s="10" t="str">
        <x:v>Gutschriftjournal Retouren und Mengenrabatte</x:v>
      </x:c>
      <x:c r="H295" s="10" t="str">
        <x:v>Gutschriften</x:v>
      </x:c>
    </x:row>
    <x:row r="296" ht="14" customHeight="1">
      <x:c r="A296" s="10" t="str">
        <x:v>2024-03-0118</x:v>
      </x:c>
      <x:c r="B296" s="11" t="n">
        <x:v>45382</x:v>
      </x:c>
      <x:c r="C296" s="10" t="n">
        <x:v>3</x:v>
      </x:c>
      <x:c r="D296" s="10" t="str">
        <x:v>1140</x:v>
      </x:c>
      <x:c r="E296" s="12" t="n">
        <x:v>155194.85</x:v>
      </x:c>
      <x:c r="F296" s="12" t="n">
        <x:v>0</x:v>
      </x:c>
      <x:c r="G296" s="10" t="str">
        <x:v>Wareneingang Inland 7 Prozent</x:v>
      </x:c>
      <x:c r="H296" s="10" t="str">
        <x:v>Einkauf</x:v>
      </x:c>
    </x:row>
    <x:row r="297" ht="14" customHeight="1">
      <x:c r="A297" s="10" t="str">
        <x:v>2024-03-0118</x:v>
      </x:c>
      <x:c r="B297" s="11" t="n">
        <x:v>45382</x:v>
      </x:c>
      <x:c r="C297" s="10" t="n">
        <x:v>3</x:v>
      </x:c>
      <x:c r="D297" s="10" t="str">
        <x:v>1401</x:v>
      </x:c>
      <x:c r="E297" s="12" t="n">
        <x:v>10863.64</x:v>
      </x:c>
      <x:c r="F297" s="12" t="n">
        <x:v>0</x:v>
      </x:c>
      <x:c r="G297" s="10" t="str">
        <x:v>Wareneingang Inland 7 Prozent</x:v>
      </x:c>
      <x:c r="H297" s="10" t="str">
        <x:v>Einkauf</x:v>
      </x:c>
    </x:row>
    <x:row r="298" ht="14" customHeight="1">
      <x:c r="A298" s="10" t="str">
        <x:v>2024-03-0118</x:v>
      </x:c>
      <x:c r="B298" s="11" t="n">
        <x:v>45382</x:v>
      </x:c>
      <x:c r="C298" s="10" t="n">
        <x:v>3</x:v>
      </x:c>
      <x:c r="D298" s="10" t="str">
        <x:v>3300</x:v>
      </x:c>
      <x:c r="E298" s="12" t="n">
        <x:v>0</x:v>
      </x:c>
      <x:c r="F298" s="12" t="n">
        <x:v>166058.49</x:v>
      </x:c>
      <x:c r="G298" s="10" t="str">
        <x:v>Wareneingang Inland 7 Prozent</x:v>
      </x:c>
      <x:c r="H298" s="10" t="str">
        <x:v>Einkauf</x:v>
      </x:c>
    </x:row>
    <x:row r="299" ht="14" customHeight="1">
      <x:c r="A299" s="10" t="str">
        <x:v>2024-03-0119</x:v>
      </x:c>
      <x:c r="B299" s="11" t="n">
        <x:v>45382</x:v>
      </x:c>
      <x:c r="C299" s="10" t="n">
        <x:v>3</x:v>
      </x:c>
      <x:c r="D299" s="10" t="str">
        <x:v>1140</x:v>
      </x:c>
      <x:c r="E299" s="12" t="n">
        <x:v>28588.53</x:v>
      </x:c>
      <x:c r="F299" s="12" t="n">
        <x:v>0</x:v>
      </x:c>
      <x:c r="G299" s="10" t="str">
        <x:v>Wareneingang Inland 19 Prozent</x:v>
      </x:c>
      <x:c r="H299" s="10" t="str">
        <x:v>Einkauf</x:v>
      </x:c>
    </x:row>
    <x:row r="300" ht="14" customHeight="1">
      <x:c r="A300" s="10" t="str">
        <x:v>2024-03-0119</x:v>
      </x:c>
      <x:c r="B300" s="11" t="n">
        <x:v>45382</x:v>
      </x:c>
      <x:c r="C300" s="10" t="n">
        <x:v>3</x:v>
      </x:c>
      <x:c r="D300" s="10" t="str">
        <x:v>1406</x:v>
      </x:c>
      <x:c r="E300" s="12" t="n">
        <x:v>5431.82</x:v>
      </x:c>
      <x:c r="F300" s="12" t="n">
        <x:v>0</x:v>
      </x:c>
      <x:c r="G300" s="10" t="str">
        <x:v>Wareneingang Inland 19 Prozent</x:v>
      </x:c>
      <x:c r="H300" s="10" t="str">
        <x:v>Einkauf</x:v>
      </x:c>
    </x:row>
    <x:row r="301" ht="14" customHeight="1">
      <x:c r="A301" s="10" t="str">
        <x:v>2024-03-0119</x:v>
      </x:c>
      <x:c r="B301" s="11" t="n">
        <x:v>45382</x:v>
      </x:c>
      <x:c r="C301" s="10" t="n">
        <x:v>3</x:v>
      </x:c>
      <x:c r="D301" s="10" t="str">
        <x:v>3300</x:v>
      </x:c>
      <x:c r="E301" s="12" t="n">
        <x:v>0</x:v>
      </x:c>
      <x:c r="F301" s="12" t="n">
        <x:v>34020.35</x:v>
      </x:c>
      <x:c r="G301" s="10" t="str">
        <x:v>Wareneingang Inland 19 Prozent</x:v>
      </x:c>
      <x:c r="H301" s="10" t="str">
        <x:v>Einkauf</x:v>
      </x:c>
    </x:row>
    <x:row r="302" ht="14" customHeight="1">
      <x:c r="A302" s="10" t="str">
        <x:v>2024-03-0120</x:v>
      </x:c>
      <x:c r="B302" s="11" t="n">
        <x:v>45382</x:v>
      </x:c>
      <x:c r="C302" s="10" t="n">
        <x:v>3</x:v>
      </x:c>
      <x:c r="D302" s="10" t="str">
        <x:v>1140</x:v>
      </x:c>
      <x:c r="E302" s="12" t="n">
        <x:v>81681.5</x:v>
      </x:c>
      <x:c r="F302" s="12" t="n">
        <x:v>0</x:v>
      </x:c>
      <x:c r="G302" s="10" t="str">
        <x:v>Wareneingang EU 7 Prozent</x:v>
      </x:c>
      <x:c r="H302" s="10" t="str">
        <x:v>Einkauf</x:v>
      </x:c>
    </x:row>
    <x:row r="303" ht="14" customHeight="1">
      <x:c r="A303" s="10" t="str">
        <x:v>2024-03-0120</x:v>
      </x:c>
      <x:c r="B303" s="11" t="n">
        <x:v>45382</x:v>
      </x:c>
      <x:c r="C303" s="10" t="n">
        <x:v>3</x:v>
      </x:c>
      <x:c r="D303" s="10" t="str">
        <x:v>3300</x:v>
      </x:c>
      <x:c r="E303" s="12" t="n">
        <x:v>0</x:v>
      </x:c>
      <x:c r="F303" s="12" t="n">
        <x:v>81681.5</x:v>
      </x:c>
      <x:c r="G303" s="10" t="str">
        <x:v>Wareneingang EU 7 Prozent</x:v>
      </x:c>
      <x:c r="H303" s="10" t="str">
        <x:v>Einkauf</x:v>
      </x:c>
    </x:row>
    <x:row r="304" ht="14" customHeight="1">
      <x:c r="A304" s="10" t="str">
        <x:v>2024-03-0120</x:v>
      </x:c>
      <x:c r="B304" s="11" t="n">
        <x:v>45382</x:v>
      </x:c>
      <x:c r="C304" s="10" t="n">
        <x:v>3</x:v>
      </x:c>
      <x:c r="D304" s="10" t="str">
        <x:v>1404</x:v>
      </x:c>
      <x:c r="E304" s="12" t="n">
        <x:v>5717.7</x:v>
      </x:c>
      <x:c r="F304" s="12" t="n">
        <x:v>0</x:v>
      </x:c>
      <x:c r="G304" s="10" t="str">
        <x:v>Wareneingang EU 7 Prozent</x:v>
      </x:c>
      <x:c r="H304" s="10" t="str">
        <x:v>Einkauf</x:v>
      </x:c>
    </x:row>
    <x:row r="305" ht="14" customHeight="1">
      <x:c r="A305" s="10" t="str">
        <x:v>2024-03-0120</x:v>
      </x:c>
      <x:c r="B305" s="11" t="n">
        <x:v>45382</x:v>
      </x:c>
      <x:c r="C305" s="10" t="n">
        <x:v>3</x:v>
      </x:c>
      <x:c r="D305" s="10" t="str">
        <x:v>3804</x:v>
      </x:c>
      <x:c r="E305" s="12" t="n">
        <x:v>0</x:v>
      </x:c>
      <x:c r="F305" s="12" t="n">
        <x:v>5717.7</x:v>
      </x:c>
      <x:c r="G305" s="10" t="str">
        <x:v>Wareneingang EU 7 Prozent</x:v>
      </x:c>
      <x:c r="H305" s="10" t="str">
        <x:v>Einkauf</x:v>
      </x:c>
    </x:row>
    <x:row r="306" ht="14" customHeight="1">
      <x:c r="A306" s="10" t="str">
        <x:v>2024-03-0121</x:v>
      </x:c>
      <x:c r="B306" s="11" t="n">
        <x:v>45382</x:v>
      </x:c>
      <x:c r="C306" s="10" t="n">
        <x:v>3</x:v>
      </x:c>
      <x:c r="D306" s="10" t="str">
        <x:v>1140</x:v>
      </x:c>
      <x:c r="E306" s="12" t="n">
        <x:v>20420.38</x:v>
      </x:c>
      <x:c r="F306" s="12" t="n">
        <x:v>0</x:v>
      </x:c>
      <x:c r="G306" s="10" t="str">
        <x:v>Wareneingang EU 19 Prozent</x:v>
      </x:c>
      <x:c r="H306" s="10" t="str">
        <x:v>Einkauf</x:v>
      </x:c>
    </x:row>
    <x:row r="307" ht="14" customHeight="1">
      <x:c r="A307" s="10" t="str">
        <x:v>2024-03-0121</x:v>
      </x:c>
      <x:c r="B307" s="11" t="n">
        <x:v>45382</x:v>
      </x:c>
      <x:c r="C307" s="10" t="n">
        <x:v>3</x:v>
      </x:c>
      <x:c r="D307" s="10" t="str">
        <x:v>3300</x:v>
      </x:c>
      <x:c r="E307" s="12" t="n">
        <x:v>0</x:v>
      </x:c>
      <x:c r="F307" s="12" t="n">
        <x:v>20420.38</x:v>
      </x:c>
      <x:c r="G307" s="10" t="str">
        <x:v>Wareneingang EU 19 Prozent</x:v>
      </x:c>
      <x:c r="H307" s="10" t="str">
        <x:v>Einkauf</x:v>
      </x:c>
    </x:row>
    <x:row r="308" ht="14" customHeight="1">
      <x:c r="A308" s="10" t="str">
        <x:v>2024-03-0121</x:v>
      </x:c>
      <x:c r="B308" s="11" t="n">
        <x:v>45382</x:v>
      </x:c>
      <x:c r="C308" s="10" t="n">
        <x:v>3</x:v>
      </x:c>
      <x:c r="D308" s="10" t="str">
        <x:v>1409</x:v>
      </x:c>
      <x:c r="E308" s="12" t="n">
        <x:v>3879.87</x:v>
      </x:c>
      <x:c r="F308" s="12" t="n">
        <x:v>0</x:v>
      </x:c>
      <x:c r="G308" s="10" t="str">
        <x:v>Wareneingang EU 19 Prozent</x:v>
      </x:c>
      <x:c r="H308" s="10" t="str">
        <x:v>Einkauf</x:v>
      </x:c>
    </x:row>
    <x:row r="309" ht="14" customHeight="1">
      <x:c r="A309" s="10" t="str">
        <x:v>2024-03-0121</x:v>
      </x:c>
      <x:c r="B309" s="11" t="n">
        <x:v>45382</x:v>
      </x:c>
      <x:c r="C309" s="10" t="n">
        <x:v>3</x:v>
      </x:c>
      <x:c r="D309" s="10" t="str">
        <x:v>3809</x:v>
      </x:c>
      <x:c r="E309" s="12" t="n">
        <x:v>0</x:v>
      </x:c>
      <x:c r="F309" s="12" t="n">
        <x:v>3879.87</x:v>
      </x:c>
      <x:c r="G309" s="10" t="str">
        <x:v>Wareneingang EU 19 Prozent</x:v>
      </x:c>
      <x:c r="H309" s="10" t="str">
        <x:v>Einkauf</x:v>
      </x:c>
    </x:row>
    <x:row r="310" ht="14" customHeight="1">
      <x:c r="A310" s="10" t="str">
        <x:v>2024-03-0122</x:v>
      </x:c>
      <x:c r="B310" s="11" t="n">
        <x:v>45382</x:v>
      </x:c>
      <x:c r="C310" s="10" t="n">
        <x:v>3</x:v>
      </x:c>
      <x:c r="D310" s="10" t="str">
        <x:v>1140</x:v>
      </x:c>
      <x:c r="E310" s="12" t="n">
        <x:v>122522.24</x:v>
      </x:c>
      <x:c r="F310" s="12" t="n">
        <x:v>0</x:v>
      </x:c>
      <x:c r="G310" s="10" t="str">
        <x:v>Wareneingang Drittland</x:v>
      </x:c>
      <x:c r="H310" s="10" t="str">
        <x:v>Einkauf</x:v>
      </x:c>
    </x:row>
    <x:row r="311" ht="14" customHeight="1">
      <x:c r="A311" s="10" t="str">
        <x:v>2024-03-0122</x:v>
      </x:c>
      <x:c r="B311" s="11" t="n">
        <x:v>45382</x:v>
      </x:c>
      <x:c r="C311" s="10" t="n">
        <x:v>3</x:v>
      </x:c>
      <x:c r="D311" s="10" t="str">
        <x:v>3300</x:v>
      </x:c>
      <x:c r="E311" s="12" t="n">
        <x:v>0</x:v>
      </x:c>
      <x:c r="F311" s="12" t="n">
        <x:v>122522.24</x:v>
      </x:c>
      <x:c r="G311" s="10" t="str">
        <x:v>Wareneingang Drittland</x:v>
      </x:c>
      <x:c r="H311" s="10" t="str">
        <x:v>Einkauf</x:v>
      </x:c>
    </x:row>
    <x:row r="312" ht="14" customHeight="1">
      <x:c r="A312" s="10" t="str">
        <x:v>2024-03-0123</x:v>
      </x:c>
      <x:c r="B312" s="11" t="n">
        <x:v>45373</x:v>
      </x:c>
      <x:c r="C312" s="10" t="n">
        <x:v>3</x:v>
      </x:c>
      <x:c r="D312" s="10" t="str">
        <x:v>1433</x:v>
      </x:c>
      <x:c r="E312" s="12" t="n">
        <x:v>10046.82</x:v>
      </x:c>
      <x:c r="F312" s="12" t="n">
        <x:v>0</x:v>
      </x:c>
      <x:c r="G312" s="10" t="str">
        <x:v>Einfuhrabgabenjournal bezahlte EUSt</x:v>
      </x:c>
      <x:c r="H312" s="10" t="str">
        <x:v>Einfuhrumsatzsteuer</x:v>
      </x:c>
    </x:row>
    <x:row r="313" ht="14" customHeight="1">
      <x:c r="A313" s="10" t="str">
        <x:v>2024-03-0123</x:v>
      </x:c>
      <x:c r="B313" s="11" t="n">
        <x:v>45373</x:v>
      </x:c>
      <x:c r="C313" s="10" t="n">
        <x:v>3</x:v>
      </x:c>
      <x:c r="D313" s="10" t="str">
        <x:v>1800</x:v>
      </x:c>
      <x:c r="E313" s="12" t="n">
        <x:v>0</x:v>
      </x:c>
      <x:c r="F313" s="12" t="n">
        <x:v>10046.82</x:v>
      </x:c>
      <x:c r="G313" s="10" t="str">
        <x:v>Einfuhrabgabenjournal bezahlte EUSt</x:v>
      </x:c>
      <x:c r="H313" s="10" t="str">
        <x:v>Einfuhrumsatzsteuer</x:v>
      </x:c>
    </x:row>
    <x:row r="314" ht="14" customHeight="1">
      <x:c r="A314" s="10" t="str">
        <x:v>2024-03-0124</x:v>
      </x:c>
      <x:c r="B314" s="11" t="n">
        <x:v>45382</x:v>
      </x:c>
      <x:c r="C314" s="10" t="n">
        <x:v>3</x:v>
      </x:c>
      <x:c r="D314" s="10" t="str">
        <x:v>5000</x:v>
      </x:c>
      <x:c r="E314" s="12" t="n">
        <x:v>388407.5</x:v>
      </x:c>
      <x:c r="F314" s="12" t="n">
        <x:v>0</x:v>
      </x:c>
      <x:c r="G314" s="10" t="str">
        <x:v>Warenabgänge zu Einstandswerten</x:v>
      </x:c>
      <x:c r="H314" s="10" t="str">
        <x:v>Verbrauch</x:v>
      </x:c>
    </x:row>
    <x:row r="315" ht="14" customHeight="1">
      <x:c r="A315" s="10" t="str">
        <x:v>2024-03-0124</x:v>
      </x:c>
      <x:c r="B315" s="11" t="n">
        <x:v>45382</x:v>
      </x:c>
      <x:c r="C315" s="10" t="n">
        <x:v>3</x:v>
      </x:c>
      <x:c r="D315" s="10" t="str">
        <x:v>1140</x:v>
      </x:c>
      <x:c r="E315" s="12" t="n">
        <x:v>0</x:v>
      </x:c>
      <x:c r="F315" s="12" t="n">
        <x:v>388407.5</x:v>
      </x:c>
      <x:c r="G315" s="10" t="str">
        <x:v>Warenabgänge zu Einstandswerten</x:v>
      </x:c>
      <x:c r="H315" s="10" t="str">
        <x:v>Verbrauch</x:v>
      </x:c>
    </x:row>
    <x:row r="316" ht="14" customHeight="1">
      <x:c r="A316" s="10" t="str">
        <x:v>2024-03-0125</x:v>
      </x:c>
      <x:c r="B316" s="11" t="n">
        <x:v>45382</x:v>
      </x:c>
      <x:c r="C316" s="10" t="n">
        <x:v>3</x:v>
      </x:c>
      <x:c r="D316" s="10" t="str">
        <x:v>6020</x:v>
      </x:c>
      <x:c r="E316" s="12" t="n">
        <x:v>86000</x:v>
      </x:c>
      <x:c r="F316" s="12" t="n">
        <x:v>0</x:v>
      </x:c>
      <x:c r="G316" s="10" t="str">
        <x:v>Lohnjournal 20 Beschäftigte</x:v>
      </x:c>
      <x:c r="H316" s="10" t="str">
        <x:v>Personal</x:v>
      </x:c>
    </x:row>
    <x:row r="317" ht="14" customHeight="1">
      <x:c r="A317" s="10" t="str">
        <x:v>2024-03-0125</x:v>
      </x:c>
      <x:c r="B317" s="11" t="n">
        <x:v>45382</x:v>
      </x:c>
      <x:c r="C317" s="10" t="n">
        <x:v>3</x:v>
      </x:c>
      <x:c r="D317" s="10" t="str">
        <x:v>6110</x:v>
      </x:c>
      <x:c r="E317" s="12" t="n">
        <x:v>18000</x:v>
      </x:c>
      <x:c r="F317" s="12" t="n">
        <x:v>0</x:v>
      </x:c>
      <x:c r="G317" s="10" t="str">
        <x:v>Lohnjournal 20 Beschäftigte</x:v>
      </x:c>
      <x:c r="H317" s="10" t="str">
        <x:v>Personal</x:v>
      </x:c>
    </x:row>
    <x:row r="318" ht="14" customHeight="1">
      <x:c r="A318" s="10" t="str">
        <x:v>2024-03-0125</x:v>
      </x:c>
      <x:c r="B318" s="11" t="n">
        <x:v>45382</x:v>
      </x:c>
      <x:c r="C318" s="10" t="n">
        <x:v>3</x:v>
      </x:c>
      <x:c r="D318" s="10" t="str">
        <x:v>3720</x:v>
      </x:c>
      <x:c r="E318" s="12" t="n">
        <x:v>0</x:v>
      </x:c>
      <x:c r="F318" s="12" t="n">
        <x:v>56760</x:v>
      </x:c>
      <x:c r="G318" s="10" t="str">
        <x:v>Lohnjournal 20 Beschäftigte</x:v>
      </x:c>
      <x:c r="H318" s="10" t="str">
        <x:v>Personal</x:v>
      </x:c>
    </x:row>
    <x:row r="319" ht="14" customHeight="1">
      <x:c r="A319" s="10" t="str">
        <x:v>2024-03-0125</x:v>
      </x:c>
      <x:c r="B319" s="11" t="n">
        <x:v>45382</x:v>
      </x:c>
      <x:c r="C319" s="10" t="n">
        <x:v>3</x:v>
      </x:c>
      <x:c r="D319" s="10" t="str">
        <x:v>3730</x:v>
      </x:c>
      <x:c r="E319" s="12" t="n">
        <x:v>0</x:v>
      </x:c>
      <x:c r="F319" s="12" t="n">
        <x:v>12900</x:v>
      </x:c>
      <x:c r="G319" s="10" t="str">
        <x:v>Lohnjournal 20 Beschäftigte</x:v>
      </x:c>
      <x:c r="H319" s="10" t="str">
        <x:v>Personal</x:v>
      </x:c>
    </x:row>
    <x:row r="320" ht="14" customHeight="1">
      <x:c r="A320" s="10" t="str">
        <x:v>2024-03-0125</x:v>
      </x:c>
      <x:c r="B320" s="11" t="n">
        <x:v>45382</x:v>
      </x:c>
      <x:c r="C320" s="10" t="n">
        <x:v>3</x:v>
      </x:c>
      <x:c r="D320" s="10" t="str">
        <x:v>3740</x:v>
      </x:c>
      <x:c r="E320" s="12" t="n">
        <x:v>0</x:v>
      </x:c>
      <x:c r="F320" s="12" t="n">
        <x:v>34340</x:v>
      </x:c>
      <x:c r="G320" s="10" t="str">
        <x:v>Lohnjournal 20 Beschäftigte</x:v>
      </x:c>
      <x:c r="H320" s="10" t="str">
        <x:v>Personal</x:v>
      </x:c>
    </x:row>
    <x:row r="321" ht="14" customHeight="1">
      <x:c r="A321" s="10" t="str">
        <x:v>2024-03-0126</x:v>
      </x:c>
      <x:c r="B321" s="11" t="n">
        <x:v>45379</x:v>
      </x:c>
      <x:c r="C321" s="10" t="n">
        <x:v>3</x:v>
      </x:c>
      <x:c r="D321" s="10" t="str">
        <x:v>3720</x:v>
      </x:c>
      <x:c r="E321" s="12" t="n">
        <x:v>56760</x:v>
      </x:c>
      <x:c r="F321" s="12" t="n">
        <x:v>0</x:v>
      </x:c>
      <x:c r="G321" s="10" t="str">
        <x:v>Zahlungsjournal Verbindlichkeiten Nettolöhne</x:v>
      </x:c>
      <x:c r="H321" s="10" t="str">
        <x:v>Personalzahlung</x:v>
      </x:c>
    </x:row>
    <x:row r="322" ht="14" customHeight="1">
      <x:c r="A322" s="10" t="str">
        <x:v>2024-03-0126</x:v>
      </x:c>
      <x:c r="B322" s="11" t="n">
        <x:v>45379</x:v>
      </x:c>
      <x:c r="C322" s="10" t="n">
        <x:v>3</x:v>
      </x:c>
      <x:c r="D322" s="10" t="str">
        <x:v>1800</x:v>
      </x:c>
      <x:c r="E322" s="12" t="n">
        <x:v>0</x:v>
      </x:c>
      <x:c r="F322" s="12" t="n">
        <x:v>56760</x:v>
      </x:c>
      <x:c r="G322" s="10" t="str">
        <x:v>Zahlungsjournal Verbindlichkeiten Nettolöhne</x:v>
      </x:c>
      <x:c r="H322" s="10" t="str">
        <x:v>Personalzahlung</x:v>
      </x:c>
    </x:row>
    <x:row r="323" ht="14" customHeight="1">
      <x:c r="A323" s="10" t="str">
        <x:v>2024-03-0127</x:v>
      </x:c>
      <x:c r="B323" s="11" t="n">
        <x:v>45361</x:v>
      </x:c>
      <x:c r="C323" s="10" t="n">
        <x:v>3</x:v>
      </x:c>
      <x:c r="D323" s="10" t="str">
        <x:v>3730</x:v>
      </x:c>
      <x:c r="E323" s="12" t="n">
        <x:v>12900</x:v>
      </x:c>
      <x:c r="F323" s="12" t="n">
        <x:v>0</x:v>
      </x:c>
      <x:c r="G323" s="10" t="str">
        <x:v>Zahlungsjournal Verbindlichkeiten Lohnsteuer</x:v>
      </x:c>
      <x:c r="H323" s="10" t="str">
        <x:v>Personalzahlung</x:v>
      </x:c>
    </x:row>
    <x:row r="324" ht="14" customHeight="1">
      <x:c r="A324" s="10" t="str">
        <x:v>2024-03-0127</x:v>
      </x:c>
      <x:c r="B324" s="11" t="n">
        <x:v>45361</x:v>
      </x:c>
      <x:c r="C324" s="10" t="n">
        <x:v>3</x:v>
      </x:c>
      <x:c r="D324" s="10" t="str">
        <x:v>1800</x:v>
      </x:c>
      <x:c r="E324" s="12" t="n">
        <x:v>0</x:v>
      </x:c>
      <x:c r="F324" s="12" t="n">
        <x:v>12900</x:v>
      </x:c>
      <x:c r="G324" s="10" t="str">
        <x:v>Zahlungsjournal Verbindlichkeiten Lohnsteuer</x:v>
      </x:c>
      <x:c r="H324" s="10" t="str">
        <x:v>Personalzahlung</x:v>
      </x:c>
    </x:row>
    <x:row r="325" ht="14" customHeight="1">
      <x:c r="A325" s="10" t="str">
        <x:v>2024-03-0128</x:v>
      </x:c>
      <x:c r="B325" s="11" t="n">
        <x:v>45379</x:v>
      </x:c>
      <x:c r="C325" s="10" t="n">
        <x:v>3</x:v>
      </x:c>
      <x:c r="D325" s="10" t="str">
        <x:v>3740</x:v>
      </x:c>
      <x:c r="E325" s="12" t="n">
        <x:v>34340</x:v>
      </x:c>
      <x:c r="F325" s="12" t="n">
        <x:v>0</x:v>
      </x:c>
      <x:c r="G325" s="10" t="str">
        <x:v>Zahlungsjournal Verbindlichkeiten Sozialversicherung</x:v>
      </x:c>
      <x:c r="H325" s="10" t="str">
        <x:v>Personalzahlung</x:v>
      </x:c>
    </x:row>
    <x:row r="326" ht="14" customHeight="1">
      <x:c r="A326" s="10" t="str">
        <x:v>2024-03-0128</x:v>
      </x:c>
      <x:c r="B326" s="11" t="n">
        <x:v>45379</x:v>
      </x:c>
      <x:c r="C326" s="10" t="n">
        <x:v>3</x:v>
      </x:c>
      <x:c r="D326" s="10" t="str">
        <x:v>1800</x:v>
      </x:c>
      <x:c r="E326" s="12" t="n">
        <x:v>0</x:v>
      </x:c>
      <x:c r="F326" s="12" t="n">
        <x:v>34340</x:v>
      </x:c>
      <x:c r="G326" s="10" t="str">
        <x:v>Zahlungsjournal Verbindlichkeiten Sozialversicherung</x:v>
      </x:c>
      <x:c r="H326" s="10" t="str">
        <x:v>Personalzahlung</x:v>
      </x:c>
    </x:row>
    <x:row r="327" ht="14" customHeight="1">
      <x:c r="A327" s="10" t="str">
        <x:v>2024-03-0129</x:v>
      </x:c>
      <x:c r="B327" s="11" t="n">
        <x:v>45382</x:v>
      </x:c>
      <x:c r="C327" s="10" t="n">
        <x:v>3</x:v>
      </x:c>
      <x:c r="D327" s="10" t="str">
        <x:v>6310</x:v>
      </x:c>
      <x:c r="E327" s="12" t="n">
        <x:v>4000</x:v>
      </x:c>
      <x:c r="F327" s="12" t="n">
        <x:v>0</x:v>
      </x:c>
      <x:c r="G327" s="10" t="str">
        <x:v>Miete Büro Nürnberg Monatsjournal</x:v>
      </x:c>
      <x:c r="H327" s="10" t="str">
        <x:v>Betriebskosten</x:v>
      </x:c>
    </x:row>
    <x:row r="328" ht="14" customHeight="1">
      <x:c r="A328" s="10" t="str">
        <x:v>2024-03-0129</x:v>
      </x:c>
      <x:c r="B328" s="11" t="n">
        <x:v>45382</x:v>
      </x:c>
      <x:c r="C328" s="10" t="n">
        <x:v>3</x:v>
      </x:c>
      <x:c r="D328" s="10" t="str">
        <x:v>1406</x:v>
      </x:c>
      <x:c r="E328" s="12" t="n">
        <x:v>760</x:v>
      </x:c>
      <x:c r="F328" s="12" t="n">
        <x:v>0</x:v>
      </x:c>
      <x:c r="G328" s="10" t="str">
        <x:v>Miete Büro Nürnberg Monatsjournal</x:v>
      </x:c>
      <x:c r="H328" s="10" t="str">
        <x:v>Betriebskosten</x:v>
      </x:c>
    </x:row>
    <x:row r="329" ht="14" customHeight="1">
      <x:c r="A329" s="10" t="str">
        <x:v>2024-03-0129</x:v>
      </x:c>
      <x:c r="B329" s="11" t="n">
        <x:v>45382</x:v>
      </x:c>
      <x:c r="C329" s="10" t="n">
        <x:v>3</x:v>
      </x:c>
      <x:c r="D329" s="10" t="str">
        <x:v>3300</x:v>
      </x:c>
      <x:c r="E329" s="12" t="n">
        <x:v>0</x:v>
      </x:c>
      <x:c r="F329" s="12" t="n">
        <x:v>4760</x:v>
      </x:c>
      <x:c r="G329" s="10" t="str">
        <x:v>Miete Büro Nürnberg Monatsjournal</x:v>
      </x:c>
      <x:c r="H329" s="10" t="str">
        <x:v>Betriebskosten</x:v>
      </x:c>
    </x:row>
    <x:row r="330" ht="14" customHeight="1">
      <x:c r="A330" s="10" t="str">
        <x:v>2024-03-0130</x:v>
      </x:c>
      <x:c r="B330" s="11" t="n">
        <x:v>45382</x:v>
      </x:c>
      <x:c r="C330" s="10" t="n">
        <x:v>3</x:v>
      </x:c>
      <x:c r="D330" s="10" t="str">
        <x:v>6311</x:v>
      </x:c>
      <x:c r="E330" s="12" t="n">
        <x:v>10000</x:v>
      </x:c>
      <x:c r="F330" s="12" t="n">
        <x:v>0</x:v>
      </x:c>
      <x:c r="G330" s="10" t="str">
        <x:v>Miete Lager Erlangen Monatsjournal</x:v>
      </x:c>
      <x:c r="H330" s="10" t="str">
        <x:v>Betriebskosten</x:v>
      </x:c>
    </x:row>
    <x:row r="331" ht="14" customHeight="1">
      <x:c r="A331" s="10" t="str">
        <x:v>2024-03-0130</x:v>
      </x:c>
      <x:c r="B331" s="11" t="n">
        <x:v>45382</x:v>
      </x:c>
      <x:c r="C331" s="10" t="n">
        <x:v>3</x:v>
      </x:c>
      <x:c r="D331" s="10" t="str">
        <x:v>1406</x:v>
      </x:c>
      <x:c r="E331" s="12" t="n">
        <x:v>1900</x:v>
      </x:c>
      <x:c r="F331" s="12" t="n">
        <x:v>0</x:v>
      </x:c>
      <x:c r="G331" s="10" t="str">
        <x:v>Miete Lager Erlangen Monatsjournal</x:v>
      </x:c>
      <x:c r="H331" s="10" t="str">
        <x:v>Betriebskosten</x:v>
      </x:c>
    </x:row>
    <x:row r="332" ht="14" customHeight="1">
      <x:c r="A332" s="10" t="str">
        <x:v>2024-03-0130</x:v>
      </x:c>
      <x:c r="B332" s="11" t="n">
        <x:v>45382</x:v>
      </x:c>
      <x:c r="C332" s="10" t="n">
        <x:v>3</x:v>
      </x:c>
      <x:c r="D332" s="10" t="str">
        <x:v>3300</x:v>
      </x:c>
      <x:c r="E332" s="12" t="n">
        <x:v>0</x:v>
      </x:c>
      <x:c r="F332" s="12" t="n">
        <x:v>11900</x:v>
      </x:c>
      <x:c r="G332" s="10" t="str">
        <x:v>Miete Lager Erlangen Monatsjournal</x:v>
      </x:c>
      <x:c r="H332" s="10" t="str">
        <x:v>Betriebskosten</x:v>
      </x:c>
    </x:row>
    <x:row r="333" ht="14" customHeight="1">
      <x:c r="A333" s="10" t="str">
        <x:v>2024-03-0131</x:v>
      </x:c>
      <x:c r="B333" s="11" t="n">
        <x:v>45382</x:v>
      </x:c>
      <x:c r="C333" s="10" t="n">
        <x:v>3</x:v>
      </x:c>
      <x:c r="D333" s="10" t="str">
        <x:v>6325</x:v>
      </x:c>
      <x:c r="E333" s="12" t="n">
        <x:v>4500</x:v>
      </x:c>
      <x:c r="F333" s="12" t="n">
        <x:v>0</x:v>
      </x:c>
      <x:c r="G333" s="10" t="str">
        <x:v>Strom und Kühlung Monatsjournal</x:v>
      </x:c>
      <x:c r="H333" s="10" t="str">
        <x:v>Betriebskosten</x:v>
      </x:c>
    </x:row>
    <x:row r="334" ht="14" customHeight="1">
      <x:c r="A334" s="10" t="str">
        <x:v>2024-03-0131</x:v>
      </x:c>
      <x:c r="B334" s="11" t="n">
        <x:v>45382</x:v>
      </x:c>
      <x:c r="C334" s="10" t="n">
        <x:v>3</x:v>
      </x:c>
      <x:c r="D334" s="10" t="str">
        <x:v>1406</x:v>
      </x:c>
      <x:c r="E334" s="12" t="n">
        <x:v>855</x:v>
      </x:c>
      <x:c r="F334" s="12" t="n">
        <x:v>0</x:v>
      </x:c>
      <x:c r="G334" s="10" t="str">
        <x:v>Strom und Kühlung Monatsjournal</x:v>
      </x:c>
      <x:c r="H334" s="10" t="str">
        <x:v>Betriebskosten</x:v>
      </x:c>
    </x:row>
    <x:row r="335" ht="14" customHeight="1">
      <x:c r="A335" s="10" t="str">
        <x:v>2024-03-0131</x:v>
      </x:c>
      <x:c r="B335" s="11" t="n">
        <x:v>45382</x:v>
      </x:c>
      <x:c r="C335" s="10" t="n">
        <x:v>3</x:v>
      </x:c>
      <x:c r="D335" s="10" t="str">
        <x:v>3300</x:v>
      </x:c>
      <x:c r="E335" s="12" t="n">
        <x:v>0</x:v>
      </x:c>
      <x:c r="F335" s="12" t="n">
        <x:v>5355</x:v>
      </x:c>
      <x:c r="G335" s="10" t="str">
        <x:v>Strom und Kühlung Monatsjournal</x:v>
      </x:c>
      <x:c r="H335" s="10" t="str">
        <x:v>Betriebskosten</x:v>
      </x:c>
    </x:row>
    <x:row r="336" ht="14" customHeight="1">
      <x:c r="A336" s="10" t="str">
        <x:v>2024-03-0132</x:v>
      </x:c>
      <x:c r="B336" s="11" t="n">
        <x:v>45382</x:v>
      </x:c>
      <x:c r="C336" s="10" t="n">
        <x:v>3</x:v>
      </x:c>
      <x:c r="D336" s="10" t="str">
        <x:v>6400</x:v>
      </x:c>
      <x:c r="E336" s="12" t="n">
        <x:v>2500</x:v>
      </x:c>
      <x:c r="F336" s="12" t="n">
        <x:v>0</x:v>
      </x:c>
      <x:c r="G336" s="10" t="str">
        <x:v>Versicherungen Monatsjournal</x:v>
      </x:c>
      <x:c r="H336" s="10" t="str">
        <x:v>Betriebskosten</x:v>
      </x:c>
    </x:row>
    <x:row r="337" ht="14" customHeight="1">
      <x:c r="A337" s="10" t="str">
        <x:v>2024-03-0132</x:v>
      </x:c>
      <x:c r="B337" s="11" t="n">
        <x:v>45382</x:v>
      </x:c>
      <x:c r="C337" s="10" t="n">
        <x:v>3</x:v>
      </x:c>
      <x:c r="D337" s="10" t="str">
        <x:v>3300</x:v>
      </x:c>
      <x:c r="E337" s="12" t="n">
        <x:v>0</x:v>
      </x:c>
      <x:c r="F337" s="12" t="n">
        <x:v>2500</x:v>
      </x:c>
      <x:c r="G337" s="10" t="str">
        <x:v>Versicherungen Monatsjournal</x:v>
      </x:c>
      <x:c r="H337" s="10" t="str">
        <x:v>Betriebskosten</x:v>
      </x:c>
    </x:row>
    <x:row r="338" ht="14" customHeight="1">
      <x:c r="A338" s="10" t="str">
        <x:v>2024-03-0133</x:v>
      </x:c>
      <x:c r="B338" s="11" t="n">
        <x:v>45382</x:v>
      </x:c>
      <x:c r="C338" s="10" t="n">
        <x:v>3</x:v>
      </x:c>
      <x:c r="D338" s="10" t="str">
        <x:v>6470</x:v>
      </x:c>
      <x:c r="E338" s="12" t="n">
        <x:v>6000</x:v>
      </x:c>
      <x:c r="F338" s="12" t="n">
        <x:v>0</x:v>
      </x:c>
      <x:c r="G338" s="10" t="str">
        <x:v>Lagerbetrieb und Reinigung Monatsjournal</x:v>
      </x:c>
      <x:c r="H338" s="10" t="str">
        <x:v>Betriebskosten</x:v>
      </x:c>
    </x:row>
    <x:row r="339" ht="14" customHeight="1">
      <x:c r="A339" s="10" t="str">
        <x:v>2024-03-0133</x:v>
      </x:c>
      <x:c r="B339" s="11" t="n">
        <x:v>45382</x:v>
      </x:c>
      <x:c r="C339" s="10" t="n">
        <x:v>3</x:v>
      </x:c>
      <x:c r="D339" s="10" t="str">
        <x:v>1406</x:v>
      </x:c>
      <x:c r="E339" s="12" t="n">
        <x:v>1140</x:v>
      </x:c>
      <x:c r="F339" s="12" t="n">
        <x:v>0</x:v>
      </x:c>
      <x:c r="G339" s="10" t="str">
        <x:v>Lagerbetrieb und Reinigung Monatsjournal</x:v>
      </x:c>
      <x:c r="H339" s="10" t="str">
        <x:v>Betriebskosten</x:v>
      </x:c>
    </x:row>
    <x:row r="340" ht="14" customHeight="1">
      <x:c r="A340" s="10" t="str">
        <x:v>2024-03-0133</x:v>
      </x:c>
      <x:c r="B340" s="11" t="n">
        <x:v>45382</x:v>
      </x:c>
      <x:c r="C340" s="10" t="n">
        <x:v>3</x:v>
      </x:c>
      <x:c r="D340" s="10" t="str">
        <x:v>3300</x:v>
      </x:c>
      <x:c r="E340" s="12" t="n">
        <x:v>0</x:v>
      </x:c>
      <x:c r="F340" s="12" t="n">
        <x:v>7140</x:v>
      </x:c>
      <x:c r="G340" s="10" t="str">
        <x:v>Lagerbetrieb und Reinigung Monatsjournal</x:v>
      </x:c>
      <x:c r="H340" s="10" t="str">
        <x:v>Betriebskosten</x:v>
      </x:c>
    </x:row>
    <x:row r="341" ht="14" customHeight="1">
      <x:c r="A341" s="10" t="str">
        <x:v>2024-03-0134</x:v>
      </x:c>
      <x:c r="B341" s="11" t="n">
        <x:v>45382</x:v>
      </x:c>
      <x:c r="C341" s="10" t="n">
        <x:v>3</x:v>
      </x:c>
      <x:c r="D341" s="10" t="str">
        <x:v>6490</x:v>
      </x:c>
      <x:c r="E341" s="12" t="n">
        <x:v>2500</x:v>
      </x:c>
      <x:c r="F341" s="12" t="n">
        <x:v>0</x:v>
      </x:c>
      <x:c r="G341" s="10" t="str">
        <x:v>Reparaturen und Wartung Monatsjournal</x:v>
      </x:c>
      <x:c r="H341" s="10" t="str">
        <x:v>Betriebskosten</x:v>
      </x:c>
    </x:row>
    <x:row r="342" ht="14" customHeight="1">
      <x:c r="A342" s="10" t="str">
        <x:v>2024-03-0134</x:v>
      </x:c>
      <x:c r="B342" s="11" t="n">
        <x:v>45382</x:v>
      </x:c>
      <x:c r="C342" s="10" t="n">
        <x:v>3</x:v>
      </x:c>
      <x:c r="D342" s="10" t="str">
        <x:v>1406</x:v>
      </x:c>
      <x:c r="E342" s="12" t="n">
        <x:v>475</x:v>
      </x:c>
      <x:c r="F342" s="12" t="n">
        <x:v>0</x:v>
      </x:c>
      <x:c r="G342" s="10" t="str">
        <x:v>Reparaturen und Wartung Monatsjournal</x:v>
      </x:c>
      <x:c r="H342" s="10" t="str">
        <x:v>Betriebskosten</x:v>
      </x:c>
    </x:row>
    <x:row r="343" ht="14" customHeight="1">
      <x:c r="A343" s="10" t="str">
        <x:v>2024-03-0134</x:v>
      </x:c>
      <x:c r="B343" s="11" t="n">
        <x:v>45382</x:v>
      </x:c>
      <x:c r="C343" s="10" t="n">
        <x:v>3</x:v>
      </x:c>
      <x:c r="D343" s="10" t="str">
        <x:v>3300</x:v>
      </x:c>
      <x:c r="E343" s="12" t="n">
        <x:v>0</x:v>
      </x:c>
      <x:c r="F343" s="12" t="n">
        <x:v>2975</x:v>
      </x:c>
      <x:c r="G343" s="10" t="str">
        <x:v>Reparaturen und Wartung Monatsjournal</x:v>
      </x:c>
      <x:c r="H343" s="10" t="str">
        <x:v>Betriebskosten</x:v>
      </x:c>
    </x:row>
    <x:row r="344" ht="14" customHeight="1">
      <x:c r="A344" s="10" t="str">
        <x:v>2024-03-0135</x:v>
      </x:c>
      <x:c r="B344" s="11" t="n">
        <x:v>45382</x:v>
      </x:c>
      <x:c r="C344" s="10" t="n">
        <x:v>3</x:v>
      </x:c>
      <x:c r="D344" s="10" t="str">
        <x:v>6600</x:v>
      </x:c>
      <x:c r="E344" s="12" t="n">
        <x:v>6000</x:v>
      </x:c>
      <x:c r="F344" s="12" t="n">
        <x:v>0</x:v>
      </x:c>
      <x:c r="G344" s="10" t="str">
        <x:v>Marketing und Messen Monatsjournal</x:v>
      </x:c>
      <x:c r="H344" s="10" t="str">
        <x:v>Betriebskosten</x:v>
      </x:c>
    </x:row>
    <x:row r="345" ht="14" customHeight="1">
      <x:c r="A345" s="10" t="str">
        <x:v>2024-03-0135</x:v>
      </x:c>
      <x:c r="B345" s="11" t="n">
        <x:v>45382</x:v>
      </x:c>
      <x:c r="C345" s="10" t="n">
        <x:v>3</x:v>
      </x:c>
      <x:c r="D345" s="10" t="str">
        <x:v>1406</x:v>
      </x:c>
      <x:c r="E345" s="12" t="n">
        <x:v>1140</x:v>
      </x:c>
      <x:c r="F345" s="12" t="n">
        <x:v>0</x:v>
      </x:c>
      <x:c r="G345" s="10" t="str">
        <x:v>Marketing und Messen Monatsjournal</x:v>
      </x:c>
      <x:c r="H345" s="10" t="str">
        <x:v>Betriebskosten</x:v>
      </x:c>
    </x:row>
    <x:row r="346" ht="14" customHeight="1">
      <x:c r="A346" s="10" t="str">
        <x:v>2024-03-0135</x:v>
      </x:c>
      <x:c r="B346" s="11" t="n">
        <x:v>45382</x:v>
      </x:c>
      <x:c r="C346" s="10" t="n">
        <x:v>3</x:v>
      </x:c>
      <x:c r="D346" s="10" t="str">
        <x:v>3300</x:v>
      </x:c>
      <x:c r="E346" s="12" t="n">
        <x:v>0</x:v>
      </x:c>
      <x:c r="F346" s="12" t="n">
        <x:v>7140</x:v>
      </x:c>
      <x:c r="G346" s="10" t="str">
        <x:v>Marketing und Messen Monatsjournal</x:v>
      </x:c>
      <x:c r="H346" s="10" t="str">
        <x:v>Betriebskosten</x:v>
      </x:c>
    </x:row>
    <x:row r="347" ht="14" customHeight="1">
      <x:c r="A347" s="10" t="str">
        <x:v>2024-03-0136</x:v>
      </x:c>
      <x:c r="B347" s="11" t="n">
        <x:v>45382</x:v>
      </x:c>
      <x:c r="C347" s="10" t="n">
        <x:v>3</x:v>
      </x:c>
      <x:c r="D347" s="10" t="str">
        <x:v>6650</x:v>
      </x:c>
      <x:c r="E347" s="12" t="n">
        <x:v>1500</x:v>
      </x:c>
      <x:c r="F347" s="12" t="n">
        <x:v>0</x:v>
      </x:c>
      <x:c r="G347" s="10" t="str">
        <x:v>Reisekosten Monatsjournal</x:v>
      </x:c>
      <x:c r="H347" s="10" t="str">
        <x:v>Betriebskosten</x:v>
      </x:c>
    </x:row>
    <x:row r="348" ht="14" customHeight="1">
      <x:c r="A348" s="10" t="str">
        <x:v>2024-03-0136</x:v>
      </x:c>
      <x:c r="B348" s="11" t="n">
        <x:v>45382</x:v>
      </x:c>
      <x:c r="C348" s="10" t="n">
        <x:v>3</x:v>
      </x:c>
      <x:c r="D348" s="10" t="str">
        <x:v>1406</x:v>
      </x:c>
      <x:c r="E348" s="12" t="n">
        <x:v>285</x:v>
      </x:c>
      <x:c r="F348" s="12" t="n">
        <x:v>0</x:v>
      </x:c>
      <x:c r="G348" s="10" t="str">
        <x:v>Reisekosten Monatsjournal</x:v>
      </x:c>
      <x:c r="H348" s="10" t="str">
        <x:v>Betriebskosten</x:v>
      </x:c>
    </x:row>
    <x:row r="349" ht="14" customHeight="1">
      <x:c r="A349" s="10" t="str">
        <x:v>2024-03-0136</x:v>
      </x:c>
      <x:c r="B349" s="11" t="n">
        <x:v>45382</x:v>
      </x:c>
      <x:c r="C349" s="10" t="n">
        <x:v>3</x:v>
      </x:c>
      <x:c r="D349" s="10" t="str">
        <x:v>3300</x:v>
      </x:c>
      <x:c r="E349" s="12" t="n">
        <x:v>0</x:v>
      </x:c>
      <x:c r="F349" s="12" t="n">
        <x:v>1485</x:v>
      </x:c>
      <x:c r="G349" s="10" t="str">
        <x:v>Reisekosten Monatsjournal</x:v>
      </x:c>
      <x:c r="H349" s="10" t="str">
        <x:v>Betriebskosten</x:v>
      </x:c>
    </x:row>
    <x:row r="350" ht="14" customHeight="1">
      <x:c r="A350" s="10" t="str">
        <x:v>2024-03-0136</x:v>
      </x:c>
      <x:c r="B350" s="11" t="n">
        <x:v>45382</x:v>
      </x:c>
      <x:c r="C350" s="10" t="n">
        <x:v>3</x:v>
      </x:c>
      <x:c r="D350" s="10" t="str">
        <x:v>1600</x:v>
      </x:c>
      <x:c r="E350" s="12" t="n">
        <x:v>0</x:v>
      </x:c>
      <x:c r="F350" s="12" t="n">
        <x:v>300</x:v>
      </x:c>
      <x:c r="G350" s="10" t="str">
        <x:v>Reisekosten Monatsjournal</x:v>
      </x:c>
      <x:c r="H350" s="10" t="str">
        <x:v>Betriebskosten</x:v>
      </x:c>
    </x:row>
    <x:row r="351" ht="14" customHeight="1">
      <x:c r="A351" s="10" t="str">
        <x:v>2024-03-0137</x:v>
      </x:c>
      <x:c r="B351" s="11" t="n">
        <x:v>45382</x:v>
      </x:c>
      <x:c r="C351" s="10" t="n">
        <x:v>3</x:v>
      </x:c>
      <x:c r="D351" s="10" t="str">
        <x:v>6740</x:v>
      </x:c>
      <x:c r="E351" s="12" t="n">
        <x:v>13000</x:v>
      </x:c>
      <x:c r="F351" s="12" t="n">
        <x:v>0</x:v>
      </x:c>
      <x:c r="G351" s="10" t="str">
        <x:v>Ausgangsfrachten Inland Monatsjournal</x:v>
      </x:c>
      <x:c r="H351" s="10" t="str">
        <x:v>Betriebskosten</x:v>
      </x:c>
    </x:row>
    <x:row r="352" ht="14" customHeight="1">
      <x:c r="A352" s="10" t="str">
        <x:v>2024-03-0137</x:v>
      </x:c>
      <x:c r="B352" s="11" t="n">
        <x:v>45382</x:v>
      </x:c>
      <x:c r="C352" s="10" t="n">
        <x:v>3</x:v>
      </x:c>
      <x:c r="D352" s="10" t="str">
        <x:v>1406</x:v>
      </x:c>
      <x:c r="E352" s="12" t="n">
        <x:v>2470</x:v>
      </x:c>
      <x:c r="F352" s="12" t="n">
        <x:v>0</x:v>
      </x:c>
      <x:c r="G352" s="10" t="str">
        <x:v>Ausgangsfrachten Inland Monatsjournal</x:v>
      </x:c>
      <x:c r="H352" s="10" t="str">
        <x:v>Betriebskosten</x:v>
      </x:c>
    </x:row>
    <x:row r="353" ht="14" customHeight="1">
      <x:c r="A353" s="10" t="str">
        <x:v>2024-03-0137</x:v>
      </x:c>
      <x:c r="B353" s="11" t="n">
        <x:v>45382</x:v>
      </x:c>
      <x:c r="C353" s="10" t="n">
        <x:v>3</x:v>
      </x:c>
      <x:c r="D353" s="10" t="str">
        <x:v>3300</x:v>
      </x:c>
      <x:c r="E353" s="12" t="n">
        <x:v>0</x:v>
      </x:c>
      <x:c r="F353" s="12" t="n">
        <x:v>15470</x:v>
      </x:c>
      <x:c r="G353" s="10" t="str">
        <x:v>Ausgangsfrachten Inland Monatsjournal</x:v>
      </x:c>
      <x:c r="H353" s="10" t="str">
        <x:v>Betriebskosten</x:v>
      </x:c>
    </x:row>
    <x:row r="354" ht="14" customHeight="1">
      <x:c r="A354" s="10" t="str">
        <x:v>2024-03-0138</x:v>
      </x:c>
      <x:c r="B354" s="11" t="n">
        <x:v>45382</x:v>
      </x:c>
      <x:c r="C354" s="10" t="n">
        <x:v>3</x:v>
      </x:c>
      <x:c r="D354" s="10" t="str">
        <x:v>6741</x:v>
      </x:c>
      <x:c r="E354" s="12" t="n">
        <x:v>14000</x:v>
      </x:c>
      <x:c r="F354" s="12" t="n">
        <x:v>0</x:v>
      </x:c>
      <x:c r="G354" s="10" t="str">
        <x:v>Ausgangsfrachten Ausland Monatsjournal</x:v>
      </x:c>
      <x:c r="H354" s="10" t="str">
        <x:v>Betriebskosten</x:v>
      </x:c>
    </x:row>
    <x:row r="355" ht="14" customHeight="1">
      <x:c r="A355" s="10" t="str">
        <x:v>2024-03-0138</x:v>
      </x:c>
      <x:c r="B355" s="11" t="n">
        <x:v>45382</x:v>
      </x:c>
      <x:c r="C355" s="10" t="n">
        <x:v>3</x:v>
      </x:c>
      <x:c r="D355" s="10" t="str">
        <x:v>1406</x:v>
      </x:c>
      <x:c r="E355" s="12" t="n">
        <x:v>2660</x:v>
      </x:c>
      <x:c r="F355" s="12" t="n">
        <x:v>0</x:v>
      </x:c>
      <x:c r="G355" s="10" t="str">
        <x:v>Ausgangsfrachten Ausland Monatsjournal</x:v>
      </x:c>
      <x:c r="H355" s="10" t="str">
        <x:v>Betriebskosten</x:v>
      </x:c>
    </x:row>
    <x:row r="356" ht="14" customHeight="1">
      <x:c r="A356" s="10" t="str">
        <x:v>2024-03-0138</x:v>
      </x:c>
      <x:c r="B356" s="11" t="n">
        <x:v>45382</x:v>
      </x:c>
      <x:c r="C356" s="10" t="n">
        <x:v>3</x:v>
      </x:c>
      <x:c r="D356" s="10" t="str">
        <x:v>3300</x:v>
      </x:c>
      <x:c r="E356" s="12" t="n">
        <x:v>0</x:v>
      </x:c>
      <x:c r="F356" s="12" t="n">
        <x:v>16660</x:v>
      </x:c>
      <x:c r="G356" s="10" t="str">
        <x:v>Ausgangsfrachten Ausland Monatsjournal</x:v>
      </x:c>
      <x:c r="H356" s="10" t="str">
        <x:v>Betriebskosten</x:v>
      </x:c>
    </x:row>
    <x:row r="357" ht="14" customHeight="1">
      <x:c r="A357" s="10" t="str">
        <x:v>2024-03-0139</x:v>
      </x:c>
      <x:c r="B357" s="11" t="n">
        <x:v>45382</x:v>
      </x:c>
      <x:c r="C357" s="10" t="n">
        <x:v>3</x:v>
      </x:c>
      <x:c r="D357" s="10" t="str">
        <x:v>6805</x:v>
      </x:c>
      <x:c r="E357" s="12" t="n">
        <x:v>1500</x:v>
      </x:c>
      <x:c r="F357" s="12" t="n">
        <x:v>0</x:v>
      </x:c>
      <x:c r="G357" s="10" t="str">
        <x:v>Telekommunikation und IT Monatsjournal</x:v>
      </x:c>
      <x:c r="H357" s="10" t="str">
        <x:v>Betriebskosten</x:v>
      </x:c>
    </x:row>
    <x:row r="358" ht="14" customHeight="1">
      <x:c r="A358" s="10" t="str">
        <x:v>2024-03-0139</x:v>
      </x:c>
      <x:c r="B358" s="11" t="n">
        <x:v>45382</x:v>
      </x:c>
      <x:c r="C358" s="10" t="n">
        <x:v>3</x:v>
      </x:c>
      <x:c r="D358" s="10" t="str">
        <x:v>1406</x:v>
      </x:c>
      <x:c r="E358" s="12" t="n">
        <x:v>285</x:v>
      </x:c>
      <x:c r="F358" s="12" t="n">
        <x:v>0</x:v>
      </x:c>
      <x:c r="G358" s="10" t="str">
        <x:v>Telekommunikation und IT Monatsjournal</x:v>
      </x:c>
      <x:c r="H358" s="10" t="str">
        <x:v>Betriebskosten</x:v>
      </x:c>
    </x:row>
    <x:row r="359" ht="14" customHeight="1">
      <x:c r="A359" s="10" t="str">
        <x:v>2024-03-0139</x:v>
      </x:c>
      <x:c r="B359" s="11" t="n">
        <x:v>45382</x:v>
      </x:c>
      <x:c r="C359" s="10" t="n">
        <x:v>3</x:v>
      </x:c>
      <x:c r="D359" s="10" t="str">
        <x:v>3300</x:v>
      </x:c>
      <x:c r="E359" s="12" t="n">
        <x:v>0</x:v>
      </x:c>
      <x:c r="F359" s="12" t="n">
        <x:v>1785</x:v>
      </x:c>
      <x:c r="G359" s="10" t="str">
        <x:v>Telekommunikation und IT Monatsjournal</x:v>
      </x:c>
      <x:c r="H359" s="10" t="str">
        <x:v>Betriebskosten</x:v>
      </x:c>
    </x:row>
    <x:row r="360" ht="14" customHeight="1">
      <x:c r="A360" s="10" t="str">
        <x:v>2024-03-0140</x:v>
      </x:c>
      <x:c r="B360" s="11" t="n">
        <x:v>45382</x:v>
      </x:c>
      <x:c r="C360" s="10" t="n">
        <x:v>3</x:v>
      </x:c>
      <x:c r="D360" s="10" t="str">
        <x:v>6825</x:v>
      </x:c>
      <x:c r="E360" s="12" t="n">
        <x:v>3000</x:v>
      </x:c>
      <x:c r="F360" s="12" t="n">
        <x:v>0</x:v>
      </x:c>
      <x:c r="G360" s="10" t="str">
        <x:v>Rechtsberatung und Buchführung Monatsjournal</x:v>
      </x:c>
      <x:c r="H360" s="10" t="str">
        <x:v>Betriebskosten</x:v>
      </x:c>
    </x:row>
    <x:row r="361" ht="14" customHeight="1">
      <x:c r="A361" s="10" t="str">
        <x:v>2024-03-0140</x:v>
      </x:c>
      <x:c r="B361" s="11" t="n">
        <x:v>45382</x:v>
      </x:c>
      <x:c r="C361" s="10" t="n">
        <x:v>3</x:v>
      </x:c>
      <x:c r="D361" s="10" t="str">
        <x:v>1406</x:v>
      </x:c>
      <x:c r="E361" s="12" t="n">
        <x:v>570</x:v>
      </x:c>
      <x:c r="F361" s="12" t="n">
        <x:v>0</x:v>
      </x:c>
      <x:c r="G361" s="10" t="str">
        <x:v>Rechtsberatung und Buchführung Monatsjournal</x:v>
      </x:c>
      <x:c r="H361" s="10" t="str">
        <x:v>Betriebskosten</x:v>
      </x:c>
    </x:row>
    <x:row r="362" ht="14" customHeight="1">
      <x:c r="A362" s="10" t="str">
        <x:v>2024-03-0140</x:v>
      </x:c>
      <x:c r="B362" s="11" t="n">
        <x:v>45382</x:v>
      </x:c>
      <x:c r="C362" s="10" t="n">
        <x:v>3</x:v>
      </x:c>
      <x:c r="D362" s="10" t="str">
        <x:v>3300</x:v>
      </x:c>
      <x:c r="E362" s="12" t="n">
        <x:v>0</x:v>
      </x:c>
      <x:c r="F362" s="12" t="n">
        <x:v>3570</x:v>
      </x:c>
      <x:c r="G362" s="10" t="str">
        <x:v>Rechtsberatung und Buchführung Monatsjournal</x:v>
      </x:c>
      <x:c r="H362" s="10" t="str">
        <x:v>Betriebskosten</x:v>
      </x:c>
    </x:row>
    <x:row r="363" ht="14" customHeight="1">
      <x:c r="A363" s="10" t="str">
        <x:v>2024-03-0141</x:v>
      </x:c>
      <x:c r="B363" s="11" t="n">
        <x:v>45382</x:v>
      </x:c>
      <x:c r="C363" s="10" t="n">
        <x:v>3</x:v>
      </x:c>
      <x:c r="D363" s="10" t="str">
        <x:v>6830</x:v>
      </x:c>
      <x:c r="E363" s="12" t="n">
        <x:v>3500</x:v>
      </x:c>
      <x:c r="F363" s="12" t="n">
        <x:v>0</x:v>
      </x:c>
      <x:c r="G363" s="10" t="str">
        <x:v>Labor und Qualitätssicherung Monatsjournal</x:v>
      </x:c>
      <x:c r="H363" s="10" t="str">
        <x:v>Betriebskosten</x:v>
      </x:c>
    </x:row>
    <x:row r="364" ht="14" customHeight="1">
      <x:c r="A364" s="10" t="str">
        <x:v>2024-03-0141</x:v>
      </x:c>
      <x:c r="B364" s="11" t="n">
        <x:v>45382</x:v>
      </x:c>
      <x:c r="C364" s="10" t="n">
        <x:v>3</x:v>
      </x:c>
      <x:c r="D364" s="10" t="str">
        <x:v>1406</x:v>
      </x:c>
      <x:c r="E364" s="12" t="n">
        <x:v>665</x:v>
      </x:c>
      <x:c r="F364" s="12" t="n">
        <x:v>0</x:v>
      </x:c>
      <x:c r="G364" s="10" t="str">
        <x:v>Labor und Qualitätssicherung Monatsjournal</x:v>
      </x:c>
      <x:c r="H364" s="10" t="str">
        <x:v>Betriebskosten</x:v>
      </x:c>
    </x:row>
    <x:row r="365" ht="14" customHeight="1">
      <x:c r="A365" s="10" t="str">
        <x:v>2024-03-0141</x:v>
      </x:c>
      <x:c r="B365" s="11" t="n">
        <x:v>45382</x:v>
      </x:c>
      <x:c r="C365" s="10" t="n">
        <x:v>3</x:v>
      </x:c>
      <x:c r="D365" s="10" t="str">
        <x:v>3300</x:v>
      </x:c>
      <x:c r="E365" s="12" t="n">
        <x:v>0</x:v>
      </x:c>
      <x:c r="F365" s="12" t="n">
        <x:v>4165</x:v>
      </x:c>
      <x:c r="G365" s="10" t="str">
        <x:v>Labor und Qualitätssicherung Monatsjournal</x:v>
      </x:c>
      <x:c r="H365" s="10" t="str">
        <x:v>Betriebskosten</x:v>
      </x:c>
    </x:row>
    <x:row r="366" ht="14" customHeight="1">
      <x:c r="A366" s="10" t="str">
        <x:v>2024-03-0142</x:v>
      </x:c>
      <x:c r="B366" s="11" t="n">
        <x:v>45382</x:v>
      </x:c>
      <x:c r="C366" s="10" t="n">
        <x:v>3</x:v>
      </x:c>
      <x:c r="D366" s="10" t="str">
        <x:v>6850</x:v>
      </x:c>
      <x:c r="E366" s="12" t="n">
        <x:v>2000</x:v>
      </x:c>
      <x:c r="F366" s="12" t="n">
        <x:v>0</x:v>
      </x:c>
      <x:c r="G366" s="10" t="str">
        <x:v>Bürobedarf und übriger Aufwand Monatsjournal</x:v>
      </x:c>
      <x:c r="H366" s="10" t="str">
        <x:v>Betriebskosten</x:v>
      </x:c>
    </x:row>
    <x:row r="367" ht="14" customHeight="1">
      <x:c r="A367" s="10" t="str">
        <x:v>2024-03-0142</x:v>
      </x:c>
      <x:c r="B367" s="11" t="n">
        <x:v>45382</x:v>
      </x:c>
      <x:c r="C367" s="10" t="n">
        <x:v>3</x:v>
      </x:c>
      <x:c r="D367" s="10" t="str">
        <x:v>1406</x:v>
      </x:c>
      <x:c r="E367" s="12" t="n">
        <x:v>380</x:v>
      </x:c>
      <x:c r="F367" s="12" t="n">
        <x:v>0</x:v>
      </x:c>
      <x:c r="G367" s="10" t="str">
        <x:v>Bürobedarf und übriger Aufwand Monatsjournal</x:v>
      </x:c>
      <x:c r="H367" s="10" t="str">
        <x:v>Betriebskosten</x:v>
      </x:c>
    </x:row>
    <x:row r="368" ht="14" customHeight="1">
      <x:c r="A368" s="10" t="str">
        <x:v>2024-03-0142</x:v>
      </x:c>
      <x:c r="B368" s="11" t="n">
        <x:v>45382</x:v>
      </x:c>
      <x:c r="C368" s="10" t="n">
        <x:v>3</x:v>
      </x:c>
      <x:c r="D368" s="10" t="str">
        <x:v>3300</x:v>
      </x:c>
      <x:c r="E368" s="12" t="n">
        <x:v>0</x:v>
      </x:c>
      <x:c r="F368" s="12" t="n">
        <x:v>2380</x:v>
      </x:c>
      <x:c r="G368" s="10" t="str">
        <x:v>Bürobedarf und übriger Aufwand Monatsjournal</x:v>
      </x:c>
      <x:c r="H368" s="10" t="str">
        <x:v>Betriebskosten</x:v>
      </x:c>
    </x:row>
    <x:row r="369" ht="14" customHeight="1">
      <x:c r="A369" s="10" t="str">
        <x:v>2024-03-0143</x:v>
      </x:c>
      <x:c r="B369" s="11" t="n">
        <x:v>45382</x:v>
      </x:c>
      <x:c r="C369" s="10" t="n">
        <x:v>3</x:v>
      </x:c>
      <x:c r="D369" s="10" t="str">
        <x:v>6859</x:v>
      </x:c>
      <x:c r="E369" s="12" t="n">
        <x:v>500</x:v>
      </x:c>
      <x:c r="F369" s="12" t="n">
        <x:v>0</x:v>
      </x:c>
      <x:c r="G369" s="10" t="str">
        <x:v>Bankgebühren Monatsjournal</x:v>
      </x:c>
      <x:c r="H369" s="10" t="str">
        <x:v>Betriebskosten</x:v>
      </x:c>
    </x:row>
    <x:row r="370" ht="14" customHeight="1">
      <x:c r="A370" s="10" t="str">
        <x:v>2024-03-0143</x:v>
      </x:c>
      <x:c r="B370" s="11" t="n">
        <x:v>45382</x:v>
      </x:c>
      <x:c r="C370" s="10" t="n">
        <x:v>3</x:v>
      </x:c>
      <x:c r="D370" s="10" t="str">
        <x:v>3300</x:v>
      </x:c>
      <x:c r="E370" s="12" t="n">
        <x:v>0</x:v>
      </x:c>
      <x:c r="F370" s="12" t="n">
        <x:v>500</x:v>
      </x:c>
      <x:c r="G370" s="10" t="str">
        <x:v>Bankgebühren Monatsjournal</x:v>
      </x:c>
      <x:c r="H370" s="10" t="str">
        <x:v>Betriebskosten</x:v>
      </x:c>
    </x:row>
    <x:row r="371" ht="14" customHeight="1">
      <x:c r="A371" s="10" t="str">
        <x:v>2024-03-0144</x:v>
      </x:c>
      <x:c r="B371" s="11" t="n">
        <x:v>45356</x:v>
      </x:c>
      <x:c r="C371" s="10" t="n">
        <x:v>3</x:v>
      </x:c>
      <x:c r="D371" s="10" t="str">
        <x:v>1600</x:v>
      </x:c>
      <x:c r="E371" s="12" t="n">
        <x:v>300</x:v>
      </x:c>
      <x:c r="F371" s="12" t="n">
        <x:v>0</x:v>
      </x:c>
      <x:c r="G371" s="10" t="str">
        <x:v>Kassenvorschuss Reisekosten</x:v>
      </x:c>
      <x:c r="H371" s="10" t="str">
        <x:v>Kassenumbuchung</x:v>
      </x:c>
    </x:row>
    <x:row r="372" ht="14" customHeight="1">
      <x:c r="A372" s="10" t="str">
        <x:v>2024-03-0144</x:v>
      </x:c>
      <x:c r="B372" s="11" t="n">
        <x:v>45356</x:v>
      </x:c>
      <x:c r="C372" s="10" t="n">
        <x:v>3</x:v>
      </x:c>
      <x:c r="D372" s="10" t="str">
        <x:v>1800</x:v>
      </x:c>
      <x:c r="E372" s="12" t="n">
        <x:v>0</x:v>
      </x:c>
      <x:c r="F372" s="12" t="n">
        <x:v>300</x:v>
      </x:c>
      <x:c r="G372" s="10" t="str">
        <x:v>Kassenvorschuss Reisekosten</x:v>
      </x:c>
      <x:c r="H372" s="10" t="str">
        <x:v>Kassenumbuchung</x:v>
      </x:c>
    </x:row>
    <x:row r="373" ht="14" customHeight="1">
      <x:c r="A373" s="10" t="str">
        <x:v>2024-03-0145</x:v>
      </x:c>
      <x:c r="B373" s="11" t="n">
        <x:v>45382</x:v>
      </x:c>
      <x:c r="C373" s="10" t="n">
        <x:v>3</x:v>
      </x:c>
      <x:c r="D373" s="10" t="str">
        <x:v>6805</x:v>
      </x:c>
      <x:c r="E373" s="12" t="n">
        <x:v>3000</x:v>
      </x:c>
      <x:c r="F373" s="12" t="n">
        <x:v>0</x:v>
      </x:c>
      <x:c r="G373" s="10" t="str">
        <x:v>IT Jahreslizenz Auflösung Vorauszahlung</x:v>
      </x:c>
      <x:c r="H373" s="10" t="str">
        <x:v>Abgrenzung</x:v>
      </x:c>
    </x:row>
    <x:row r="374" ht="14" customHeight="1">
      <x:c r="A374" s="10" t="str">
        <x:v>2024-03-0145</x:v>
      </x:c>
      <x:c r="B374" s="11" t="n">
        <x:v>45382</x:v>
      </x:c>
      <x:c r="C374" s="10" t="n">
        <x:v>3</x:v>
      </x:c>
      <x:c r="D374" s="10" t="str">
        <x:v>1900</x:v>
      </x:c>
      <x:c r="E374" s="12" t="n">
        <x:v>0</x:v>
      </x:c>
      <x:c r="F374" s="12" t="n">
        <x:v>3000</x:v>
      </x:c>
      <x:c r="G374" s="10" t="str">
        <x:v>IT Jahreslizenz Auflösung Vorauszahlung</x:v>
      </x:c>
      <x:c r="H374" s="10" t="str">
        <x:v>Abgrenzung</x:v>
      </x:c>
    </x:row>
    <x:row r="375" ht="14" customHeight="1">
      <x:c r="A375" s="10" t="str">
        <x:v>2024-03-0146</x:v>
      </x:c>
      <x:c r="B375" s="11" t="n">
        <x:v>45382</x:v>
      </x:c>
      <x:c r="C375" s="10" t="n">
        <x:v>3</x:v>
      </x:c>
      <x:c r="D375" s="10" t="str">
        <x:v>6220</x:v>
      </x:c>
      <x:c r="E375" s="12" t="n">
        <x:v>500</x:v>
      </x:c>
      <x:c r="F375" s="12" t="n">
        <x:v>0</x:v>
      </x:c>
      <x:c r="G375" s="10" t="str">
        <x:v>Software Monatsabschreibung</x:v>
      </x:c>
      <x:c r="H375" s="10" t="str">
        <x:v>Abschreibung</x:v>
      </x:c>
    </x:row>
    <x:row r="376" ht="14" customHeight="1">
      <x:c r="A376" s="10" t="str">
        <x:v>2024-03-0146</x:v>
      </x:c>
      <x:c r="B376" s="11" t="n">
        <x:v>45382</x:v>
      </x:c>
      <x:c r="C376" s="10" t="n">
        <x:v>3</x:v>
      </x:c>
      <x:c r="D376" s="10" t="str">
        <x:v>0100</x:v>
      </x:c>
      <x:c r="E376" s="12" t="n">
        <x:v>0</x:v>
      </x:c>
      <x:c r="F376" s="12" t="n">
        <x:v>500</x:v>
      </x:c>
      <x:c r="G376" s="10" t="str">
        <x:v>Software Monatsabschreibung</x:v>
      </x:c>
      <x:c r="H376" s="10" t="str">
        <x:v>Abschreibung</x:v>
      </x:c>
    </x:row>
    <x:row r="377" ht="14" customHeight="1">
      <x:c r="A377" s="10" t="str">
        <x:v>2024-03-0147</x:v>
      </x:c>
      <x:c r="B377" s="11" t="n">
        <x:v>45382</x:v>
      </x:c>
      <x:c r="C377" s="10" t="n">
        <x:v>3</x:v>
      </x:c>
      <x:c r="D377" s="10" t="str">
        <x:v>6220</x:v>
      </x:c>
      <x:c r="E377" s="12" t="n">
        <x:v>2500</x:v>
      </x:c>
      <x:c r="F377" s="12" t="n">
        <x:v>0</x:v>
      </x:c>
      <x:c r="G377" s="10" t="str">
        <x:v>Lagereinbauten Erlangen Monatsabschreibung</x:v>
      </x:c>
      <x:c r="H377" s="10" t="str">
        <x:v>Abschreibung</x:v>
      </x:c>
    </x:row>
    <x:row r="378" ht="14" customHeight="1">
      <x:c r="A378" s="10" t="str">
        <x:v>2024-03-0147</x:v>
      </x:c>
      <x:c r="B378" s="11" t="n">
        <x:v>45382</x:v>
      </x:c>
      <x:c r="C378" s="10" t="n">
        <x:v>3</x:v>
      </x:c>
      <x:c r="D378" s="10" t="str">
        <x:v>0400</x:v>
      </x:c>
      <x:c r="E378" s="12" t="n">
        <x:v>0</x:v>
      </x:c>
      <x:c r="F378" s="12" t="n">
        <x:v>2500</x:v>
      </x:c>
      <x:c r="G378" s="10" t="str">
        <x:v>Lagereinbauten Erlangen Monatsabschreibung</x:v>
      </x:c>
      <x:c r="H378" s="10" t="str">
        <x:v>Abschreibung</x:v>
      </x:c>
    </x:row>
    <x:row r="379" ht="14" customHeight="1">
      <x:c r="A379" s="10" t="str">
        <x:v>2024-03-0148</x:v>
      </x:c>
      <x:c r="B379" s="11" t="n">
        <x:v>45382</x:v>
      </x:c>
      <x:c r="C379" s="10" t="n">
        <x:v>3</x:v>
      </x:c>
      <x:c r="D379" s="10" t="str">
        <x:v>6220</x:v>
      </x:c>
      <x:c r="E379" s="12" t="n">
        <x:v>1500</x:v>
      </x:c>
      <x:c r="F379" s="12" t="n">
        <x:v>0</x:v>
      </x:c>
      <x:c r="G379" s="10" t="str">
        <x:v>Flurförderzeuge Monatsabschreibung</x:v>
      </x:c>
      <x:c r="H379" s="10" t="str">
        <x:v>Abschreibung</x:v>
      </x:c>
    </x:row>
    <x:row r="380" ht="14" customHeight="1">
      <x:c r="A380" s="10" t="str">
        <x:v>2024-03-0148</x:v>
      </x:c>
      <x:c r="B380" s="11" t="n">
        <x:v>45382</x:v>
      </x:c>
      <x:c r="C380" s="10" t="n">
        <x:v>3</x:v>
      </x:c>
      <x:c r="D380" s="10" t="str">
        <x:v>0520</x:v>
      </x:c>
      <x:c r="E380" s="12" t="n">
        <x:v>0</x:v>
      </x:c>
      <x:c r="F380" s="12" t="n">
        <x:v>1500</x:v>
      </x:c>
      <x:c r="G380" s="10" t="str">
        <x:v>Flurförderzeuge Monatsabschreibung</x:v>
      </x:c>
      <x:c r="H380" s="10" t="str">
        <x:v>Abschreibung</x:v>
      </x:c>
    </x:row>
    <x:row r="381" ht="14" customHeight="1">
      <x:c r="A381" s="10" t="str">
        <x:v>2024-03-0149</x:v>
      </x:c>
      <x:c r="B381" s="11" t="n">
        <x:v>45382</x:v>
      </x:c>
      <x:c r="C381" s="10" t="n">
        <x:v>3</x:v>
      </x:c>
      <x:c r="D381" s="10" t="str">
        <x:v>6220</x:v>
      </x:c>
      <x:c r="E381" s="12" t="n">
        <x:v>2000</x:v>
      </x:c>
      <x:c r="F381" s="12" t="n">
        <x:v>0</x:v>
      </x:c>
      <x:c r="G381" s="10" t="str">
        <x:v>IT und Kommunikation Monatsabschreibung</x:v>
      </x:c>
      <x:c r="H381" s="10" t="str">
        <x:v>Abschreibung</x:v>
      </x:c>
    </x:row>
    <x:row r="382" ht="14" customHeight="1">
      <x:c r="A382" s="10" t="str">
        <x:v>2024-03-0149</x:v>
      </x:c>
      <x:c r="B382" s="11" t="n">
        <x:v>45382</x:v>
      </x:c>
      <x:c r="C382" s="10" t="n">
        <x:v>3</x:v>
      </x:c>
      <x:c r="D382" s="10" t="str">
        <x:v>0650</x:v>
      </x:c>
      <x:c r="E382" s="12" t="n">
        <x:v>0</x:v>
      </x:c>
      <x:c r="F382" s="12" t="n">
        <x:v>2000</x:v>
      </x:c>
      <x:c r="G382" s="10" t="str">
        <x:v>IT und Kommunikation Monatsabschreibung</x:v>
      </x:c>
      <x:c r="H382" s="10" t="str">
        <x:v>Abschreibung</x:v>
      </x:c>
    </x:row>
    <x:row r="383" ht="14" customHeight="1">
      <x:c r="A383" s="10" t="str">
        <x:v>2024-03-0150</x:v>
      </x:c>
      <x:c r="B383" s="11" t="n">
        <x:v>45382</x:v>
      </x:c>
      <x:c r="C383" s="10" t="n">
        <x:v>3</x:v>
      </x:c>
      <x:c r="D383" s="10" t="str">
        <x:v>6220</x:v>
      </x:c>
      <x:c r="E383" s="12" t="n">
        <x:v>1000</x:v>
      </x:c>
      <x:c r="F383" s="12" t="n">
        <x:v>0</x:v>
      </x:c>
      <x:c r="G383" s="10" t="str">
        <x:v>Büroausstattung Monatsabschreibung</x:v>
      </x:c>
      <x:c r="H383" s="10" t="str">
        <x:v>Abschreibung</x:v>
      </x:c>
    </x:row>
    <x:row r="384" ht="14" customHeight="1">
      <x:c r="A384" s="10" t="str">
        <x:v>2024-03-0150</x:v>
      </x:c>
      <x:c r="B384" s="11" t="n">
        <x:v>45382</x:v>
      </x:c>
      <x:c r="C384" s="10" t="n">
        <x:v>3</x:v>
      </x:c>
      <x:c r="D384" s="10" t="str">
        <x:v>0670</x:v>
      </x:c>
      <x:c r="E384" s="12" t="n">
        <x:v>0</x:v>
      </x:c>
      <x:c r="F384" s="12" t="n">
        <x:v>1000</x:v>
      </x:c>
      <x:c r="G384" s="10" t="str">
        <x:v>Büroausstattung Monatsabschreibung</x:v>
      </x:c>
      <x:c r="H384" s="10" t="str">
        <x:v>Abschreibung</x:v>
      </x:c>
    </x:row>
    <x:row r="385" ht="14" customHeight="1">
      <x:c r="A385" s="10" t="str">
        <x:v>2024-03-0151</x:v>
      </x:c>
      <x:c r="B385" s="11" t="n">
        <x:v>45381</x:v>
      </x:c>
      <x:c r="C385" s="10" t="n">
        <x:v>3</x:v>
      </x:c>
      <x:c r="D385" s="10" t="str">
        <x:v>3150</x:v>
      </x:c>
      <x:c r="E385" s="12" t="n">
        <x:v>10000</x:v>
      </x:c>
      <x:c r="F385" s="12" t="n">
        <x:v>0</x:v>
      </x:c>
      <x:c r="G385" s="10" t="str">
        <x:v>Investitionsdarlehen Tilgungsrate</x:v>
      </x:c>
      <x:c r="H385" s="10" t="str">
        <x:v>Tilgung</x:v>
      </x:c>
    </x:row>
    <x:row r="386" ht="14" customHeight="1">
      <x:c r="A386" s="10" t="str">
        <x:v>2024-03-0151</x:v>
      </x:c>
      <x:c r="B386" s="11" t="n">
        <x:v>45381</x:v>
      </x:c>
      <x:c r="C386" s="10" t="n">
        <x:v>3</x:v>
      </x:c>
      <x:c r="D386" s="10" t="str">
        <x:v>1800</x:v>
      </x:c>
      <x:c r="E386" s="12" t="n">
        <x:v>0</x:v>
      </x:c>
      <x:c r="F386" s="12" t="n">
        <x:v>10000</x:v>
      </x:c>
      <x:c r="G386" s="10" t="str">
        <x:v>Investitionsdarlehen Tilgungsrate</x:v>
      </x:c>
      <x:c r="H386" s="10" t="str">
        <x:v>Tilgung</x:v>
      </x:c>
    </x:row>
    <x:row r="387" ht="14" customHeight="1">
      <x:c r="A387" s="10" t="str">
        <x:v>2024-03-0152</x:v>
      </x:c>
      <x:c r="B387" s="11" t="n">
        <x:v>45382</x:v>
      </x:c>
      <x:c r="C387" s="10" t="n">
        <x:v>3</x:v>
      </x:c>
      <x:c r="D387" s="10" t="str">
        <x:v>7300</x:v>
      </x:c>
      <x:c r="E387" s="12" t="n">
        <x:v>2500</x:v>
      </x:c>
      <x:c r="F387" s="12" t="n">
        <x:v>0</x:v>
      </x:c>
      <x:c r="G387" s="10" t="str">
        <x:v>Investitionsdarlehen Zinsabrechnung</x:v>
      </x:c>
      <x:c r="H387" s="10" t="str">
        <x:v>Zinsen</x:v>
      </x:c>
    </x:row>
    <x:row r="388" ht="14" customHeight="1">
      <x:c r="A388" s="10" t="str">
        <x:v>2024-03-0152</x:v>
      </x:c>
      <x:c r="B388" s="11" t="n">
        <x:v>45382</x:v>
      </x:c>
      <x:c r="C388" s="10" t="n">
        <x:v>3</x:v>
      </x:c>
      <x:c r="D388" s="10" t="str">
        <x:v>1800</x:v>
      </x:c>
      <x:c r="E388" s="12" t="n">
        <x:v>0</x:v>
      </x:c>
      <x:c r="F388" s="12" t="n">
        <x:v>2500</x:v>
      </x:c>
      <x:c r="G388" s="10" t="str">
        <x:v>Investitionsdarlehen Zinsabrechnung</x:v>
      </x:c>
      <x:c r="H388" s="10" t="str">
        <x:v>Zinsen</x:v>
      </x:c>
    </x:row>
    <x:row r="389" ht="14" customHeight="1">
      <x:c r="A389" s="10" t="str">
        <x:v>2024-03-0153</x:v>
      </x:c>
      <x:c r="B389" s="11" t="n">
        <x:v>45382</x:v>
      </x:c>
      <x:c r="C389" s="10" t="n">
        <x:v>3</x:v>
      </x:c>
      <x:c r="D389" s="10" t="str">
        <x:v>7310</x:v>
      </x:c>
      <x:c r="E389" s="12" t="n">
        <x:v>1000</x:v>
      </x:c>
      <x:c r="F389" s="12" t="n">
        <x:v>0</x:v>
      </x:c>
      <x:c r="G389" s="10" t="str">
        <x:v>Kontokorrent Zinsen und Bereitstellung</x:v>
      </x:c>
      <x:c r="H389" s="10" t="str">
        <x:v>Zinsen</x:v>
      </x:c>
    </x:row>
    <x:row r="390" ht="14" customHeight="1">
      <x:c r="A390" s="10" t="str">
        <x:v>2024-03-0153</x:v>
      </x:c>
      <x:c r="B390" s="11" t="n">
        <x:v>45382</x:v>
      </x:c>
      <x:c r="C390" s="10" t="n">
        <x:v>3</x:v>
      </x:c>
      <x:c r="D390" s="10" t="str">
        <x:v>1800</x:v>
      </x:c>
      <x:c r="E390" s="12" t="n">
        <x:v>0</x:v>
      </x:c>
      <x:c r="F390" s="12" t="n">
        <x:v>1000</x:v>
      </x:c>
      <x:c r="G390" s="10" t="str">
        <x:v>Kontokorrent Zinsen und Bereitstellung</x:v>
      </x:c>
      <x:c r="H390" s="10" t="str">
        <x:v>Zinsen</x:v>
      </x:c>
    </x:row>
    <x:row r="391" ht="14" customHeight="1">
      <x:c r="A391" s="10" t="str">
        <x:v>2024-03-0154</x:v>
      </x:c>
      <x:c r="B391" s="11" t="n">
        <x:v>45361</x:v>
      </x:c>
      <x:c r="C391" s="10" t="n">
        <x:v>3</x:v>
      </x:c>
      <x:c r="D391" s="10" t="str">
        <x:v>3840</x:v>
      </x:c>
      <x:c r="E391" s="12" t="n">
        <x:v>12000</x:v>
      </x:c>
      <x:c r="F391" s="12" t="n">
        <x:v>0</x:v>
      </x:c>
      <x:c r="G391" s="10" t="str">
        <x:v>Ertragsteuervorauszahlung Zahlungsjournal</x:v>
      </x:c>
      <x:c r="H391" s="10" t="str">
        <x:v>Ertragsteuerzahlung</x:v>
      </x:c>
    </x:row>
    <x:row r="392" ht="14" customHeight="1">
      <x:c r="A392" s="10" t="str">
        <x:v>2024-03-0154</x:v>
      </x:c>
      <x:c r="B392" s="11" t="n">
        <x:v>45361</x:v>
      </x:c>
      <x:c r="C392" s="10" t="n">
        <x:v>3</x:v>
      </x:c>
      <x:c r="D392" s="10" t="str">
        <x:v>1800</x:v>
      </x:c>
      <x:c r="E392" s="12" t="n">
        <x:v>0</x:v>
      </x:c>
      <x:c r="F392" s="12" t="n">
        <x:v>12000</x:v>
      </x:c>
      <x:c r="G392" s="10" t="str">
        <x:v>Ertragsteuervorauszahlung Zahlungsjournal</x:v>
      </x:c>
      <x:c r="H392" s="10" t="str">
        <x:v>Ertragsteuerzahlung</x:v>
      </x:c>
    </x:row>
    <x:row r="393" ht="14" customHeight="1">
      <x:c r="A393" s="10" t="str">
        <x:v>2024-03-0155</x:v>
      </x:c>
      <x:c r="B393" s="11" t="n">
        <x:v>45382</x:v>
      </x:c>
      <x:c r="C393" s="10" t="n">
        <x:v>3</x:v>
      </x:c>
      <x:c r="D393" s="10" t="str">
        <x:v>1800</x:v>
      </x:c>
      <x:c r="E393" s="12" t="n">
        <x:v>641287.1</x:v>
      </x:c>
      <x:c r="F393" s="12" t="n">
        <x:v>0</x:v>
      </x:c>
      <x:c r="G393" s="10" t="str">
        <x:v>Bankjournal Kundeneingänge brutto</x:v>
      </x:c>
      <x:c r="H393" s="10" t="str">
        <x:v>Kundenzahlungen</x:v>
      </x:c>
    </x:row>
    <x:row r="394" ht="14" customHeight="1">
      <x:c r="A394" s="10" t="str">
        <x:v>2024-03-0155</x:v>
      </x:c>
      <x:c r="B394" s="11" t="n">
        <x:v>45382</x:v>
      </x:c>
      <x:c r="C394" s="10" t="n">
        <x:v>3</x:v>
      </x:c>
      <x:c r="D394" s="10" t="str">
        <x:v>1200</x:v>
      </x:c>
      <x:c r="E394" s="12" t="n">
        <x:v>0</x:v>
      </x:c>
      <x:c r="F394" s="12" t="n">
        <x:v>641287.1</x:v>
      </x:c>
      <x:c r="G394" s="10" t="str">
        <x:v>Bankjournal Kundeneingänge brutto</x:v>
      </x:c>
      <x:c r="H394" s="10" t="str">
        <x:v>Kundenzahlungen</x:v>
      </x:c>
    </x:row>
    <x:row r="395" ht="14" customHeight="1">
      <x:c r="A395" s="10" t="str">
        <x:v>2024-03-0156</x:v>
      </x:c>
      <x:c r="B395" s="11" t="n">
        <x:v>45382</x:v>
      </x:c>
      <x:c r="C395" s="10" t="n">
        <x:v>3</x:v>
      </x:c>
      <x:c r="D395" s="10" t="str">
        <x:v>3300</x:v>
      </x:c>
      <x:c r="E395" s="12" t="n">
        <x:v>522487.96</x:v>
      </x:c>
      <x:c r="F395" s="12" t="n">
        <x:v>0</x:v>
      </x:c>
      <x:c r="G395" s="10" t="str">
        <x:v>Bankjournal Lieferantenzahlungen brutto</x:v>
      </x:c>
      <x:c r="H395" s="10" t="str">
        <x:v>Lieferantenzahlungen</x:v>
      </x:c>
    </x:row>
    <x:row r="396" ht="14" customHeight="1">
      <x:c r="A396" s="10" t="str">
        <x:v>2024-03-0156</x:v>
      </x:c>
      <x:c r="B396" s="11" t="n">
        <x:v>45382</x:v>
      </x:c>
      <x:c r="C396" s="10" t="n">
        <x:v>3</x:v>
      </x:c>
      <x:c r="D396" s="10" t="str">
        <x:v>1800</x:v>
      </x:c>
      <x:c r="E396" s="12" t="n">
        <x:v>0</x:v>
      </x:c>
      <x:c r="F396" s="12" t="n">
        <x:v>522487.96</x:v>
      </x:c>
      <x:c r="G396" s="10" t="str">
        <x:v>Bankjournal Lieferantenzahlungen brutto</x:v>
      </x:c>
      <x:c r="H396" s="10" t="str">
        <x:v>Lieferantenzahlungen</x:v>
      </x:c>
    </x:row>
    <x:row r="397" ht="14" customHeight="1">
      <x:c r="A397" s="10" t="str">
        <x:v>2024-03-0157</x:v>
      </x:c>
      <x:c r="B397" s="11" t="n">
        <x:v>45382</x:v>
      </x:c>
      <x:c r="C397" s="10" t="n">
        <x:v>3</x:v>
      </x:c>
      <x:c r="D397" s="10" t="str">
        <x:v>1401</x:v>
      </x:c>
      <x:c r="E397" s="12" t="n">
        <x:v>0</x:v>
      </x:c>
      <x:c r="F397" s="12" t="n">
        <x:v>10863.64</x:v>
      </x:c>
      <x:c r="G397" s="10" t="str">
        <x:v>Umsatzsteuer Monatsumbuchung 1401</x:v>
      </x:c>
      <x:c r="H397" s="10" t="str">
        <x:v>Steuerverrechnung</x:v>
      </x:c>
    </x:row>
    <x:row r="398" ht="14" customHeight="1">
      <x:c r="A398" s="10" t="str">
        <x:v>2024-03-0157</x:v>
      </x:c>
      <x:c r="B398" s="11" t="n">
        <x:v>45382</x:v>
      </x:c>
      <x:c r="C398" s="10" t="n">
        <x:v>3</x:v>
      </x:c>
      <x:c r="D398" s="10" t="str">
        <x:v>3820</x:v>
      </x:c>
      <x:c r="E398" s="12" t="n">
        <x:v>10863.64</x:v>
      </x:c>
      <x:c r="F398" s="12" t="n">
        <x:v>0</x:v>
      </x:c>
      <x:c r="G398" s="10" t="str">
        <x:v>Umsatzsteuer Monatsumbuchung 1401</x:v>
      </x:c>
      <x:c r="H398" s="10" t="str">
        <x:v>Steuerverrechnung</x:v>
      </x:c>
    </x:row>
    <x:row r="399" ht="14" customHeight="1">
      <x:c r="A399" s="10" t="str">
        <x:v>2024-03-0158</x:v>
      </x:c>
      <x:c r="B399" s="11" t="n">
        <x:v>45382</x:v>
      </x:c>
      <x:c r="C399" s="10" t="n">
        <x:v>3</x:v>
      </x:c>
      <x:c r="D399" s="10" t="str">
        <x:v>1406</x:v>
      </x:c>
      <x:c r="E399" s="12" t="n">
        <x:v>0</x:v>
      </x:c>
      <x:c r="F399" s="12" t="n">
        <x:v>19016.82</x:v>
      </x:c>
      <x:c r="G399" s="10" t="str">
        <x:v>Umsatzsteuer Monatsumbuchung 1406</x:v>
      </x:c>
      <x:c r="H399" s="10" t="str">
        <x:v>Steuerverrechnung</x:v>
      </x:c>
    </x:row>
    <x:row r="400" ht="14" customHeight="1">
      <x:c r="A400" s="10" t="str">
        <x:v>2024-03-0158</x:v>
      </x:c>
      <x:c r="B400" s="11" t="n">
        <x:v>45382</x:v>
      </x:c>
      <x:c r="C400" s="10" t="n">
        <x:v>3</x:v>
      </x:c>
      <x:c r="D400" s="10" t="str">
        <x:v>3820</x:v>
      </x:c>
      <x:c r="E400" s="12" t="n">
        <x:v>19016.82</x:v>
      </x:c>
      <x:c r="F400" s="12" t="n">
        <x:v>0</x:v>
      </x:c>
      <x:c r="G400" s="10" t="str">
        <x:v>Umsatzsteuer Monatsumbuchung 1406</x:v>
      </x:c>
      <x:c r="H400" s="10" t="str">
        <x:v>Steuerverrechnung</x:v>
      </x:c>
    </x:row>
    <x:row r="401" ht="14" customHeight="1">
      <x:c r="A401" s="10" t="str">
        <x:v>2024-03-0159</x:v>
      </x:c>
      <x:c r="B401" s="11" t="n">
        <x:v>45382</x:v>
      </x:c>
      <x:c r="C401" s="10" t="n">
        <x:v>3</x:v>
      </x:c>
      <x:c r="D401" s="10" t="str">
        <x:v>1404</x:v>
      </x:c>
      <x:c r="E401" s="12" t="n">
        <x:v>0</x:v>
      </x:c>
      <x:c r="F401" s="12" t="n">
        <x:v>5717.7</x:v>
      </x:c>
      <x:c r="G401" s="10" t="str">
        <x:v>Umsatzsteuer Monatsumbuchung 1404</x:v>
      </x:c>
      <x:c r="H401" s="10" t="str">
        <x:v>Steuerverrechnung</x:v>
      </x:c>
    </x:row>
    <x:row r="402" ht="14" customHeight="1">
      <x:c r="A402" s="10" t="str">
        <x:v>2024-03-0159</x:v>
      </x:c>
      <x:c r="B402" s="11" t="n">
        <x:v>45382</x:v>
      </x:c>
      <x:c r="C402" s="10" t="n">
        <x:v>3</x:v>
      </x:c>
      <x:c r="D402" s="10" t="str">
        <x:v>3820</x:v>
      </x:c>
      <x:c r="E402" s="12" t="n">
        <x:v>5717.7</x:v>
      </x:c>
      <x:c r="F402" s="12" t="n">
        <x:v>0</x:v>
      </x:c>
      <x:c r="G402" s="10" t="str">
        <x:v>Umsatzsteuer Monatsumbuchung 1404</x:v>
      </x:c>
      <x:c r="H402" s="10" t="str">
        <x:v>Steuerverrechnung</x:v>
      </x:c>
    </x:row>
    <x:row r="403" ht="14" customHeight="1">
      <x:c r="A403" s="10" t="str">
        <x:v>2024-03-0160</x:v>
      </x:c>
      <x:c r="B403" s="11" t="n">
        <x:v>45382</x:v>
      </x:c>
      <x:c r="C403" s="10" t="n">
        <x:v>3</x:v>
      </x:c>
      <x:c r="D403" s="10" t="str">
        <x:v>1409</x:v>
      </x:c>
      <x:c r="E403" s="12" t="n">
        <x:v>0</x:v>
      </x:c>
      <x:c r="F403" s="12" t="n">
        <x:v>3879.87</x:v>
      </x:c>
      <x:c r="G403" s="10" t="str">
        <x:v>Umsatzsteuer Monatsumbuchung 1409</x:v>
      </x:c>
      <x:c r="H403" s="10" t="str">
        <x:v>Steuerverrechnung</x:v>
      </x:c>
    </x:row>
    <x:row r="404" ht="14" customHeight="1">
      <x:c r="A404" s="10" t="str">
        <x:v>2024-03-0160</x:v>
      </x:c>
      <x:c r="B404" s="11" t="n">
        <x:v>45382</x:v>
      </x:c>
      <x:c r="C404" s="10" t="n">
        <x:v>3</x:v>
      </x:c>
      <x:c r="D404" s="10" t="str">
        <x:v>3820</x:v>
      </x:c>
      <x:c r="E404" s="12" t="n">
        <x:v>3879.87</x:v>
      </x:c>
      <x:c r="F404" s="12" t="n">
        <x:v>0</x:v>
      </x:c>
      <x:c r="G404" s="10" t="str">
        <x:v>Umsatzsteuer Monatsumbuchung 1409</x:v>
      </x:c>
      <x:c r="H404" s="10" t="str">
        <x:v>Steuerverrechnung</x:v>
      </x:c>
    </x:row>
    <x:row r="405" ht="14" customHeight="1">
      <x:c r="A405" s="10" t="str">
        <x:v>2024-03-0161</x:v>
      </x:c>
      <x:c r="B405" s="11" t="n">
        <x:v>45382</x:v>
      </x:c>
      <x:c r="C405" s="10" t="n">
        <x:v>3</x:v>
      </x:c>
      <x:c r="D405" s="10" t="str">
        <x:v>1433</x:v>
      </x:c>
      <x:c r="E405" s="12" t="n">
        <x:v>0</x:v>
      </x:c>
      <x:c r="F405" s="12" t="n">
        <x:v>10046.82</x:v>
      </x:c>
      <x:c r="G405" s="10" t="str">
        <x:v>Umsatzsteuer Monatsumbuchung 1433</x:v>
      </x:c>
      <x:c r="H405" s="10" t="str">
        <x:v>Steuerverrechnung</x:v>
      </x:c>
    </x:row>
    <x:row r="406" ht="14" customHeight="1">
      <x:c r="A406" s="10" t="str">
        <x:v>2024-03-0161</x:v>
      </x:c>
      <x:c r="B406" s="11" t="n">
        <x:v>45382</x:v>
      </x:c>
      <x:c r="C406" s="10" t="n">
        <x:v>3</x:v>
      </x:c>
      <x:c r="D406" s="10" t="str">
        <x:v>3820</x:v>
      </x:c>
      <x:c r="E406" s="12" t="n">
        <x:v>10046.82</x:v>
      </x:c>
      <x:c r="F406" s="12" t="n">
        <x:v>0</x:v>
      </x:c>
      <x:c r="G406" s="10" t="str">
        <x:v>Umsatzsteuer Monatsumbuchung 1433</x:v>
      </x:c>
      <x:c r="H406" s="10" t="str">
        <x:v>Steuerverrechnung</x:v>
      </x:c>
    </x:row>
    <x:row r="407" ht="14" customHeight="1">
      <x:c r="A407" s="10" t="str">
        <x:v>2024-03-0162</x:v>
      </x:c>
      <x:c r="B407" s="11" t="n">
        <x:v>45382</x:v>
      </x:c>
      <x:c r="C407" s="10" t="n">
        <x:v>3</x:v>
      </x:c>
      <x:c r="D407" s="10" t="str">
        <x:v>3801</x:v>
      </x:c>
      <x:c r="E407" s="12" t="n">
        <x:v>20057.1</x:v>
      </x:c>
      <x:c r="F407" s="12" t="n">
        <x:v>0</x:v>
      </x:c>
      <x:c r="G407" s="10" t="str">
        <x:v>Umsatzsteuer Monatsumbuchung 3801</x:v>
      </x:c>
      <x:c r="H407" s="10" t="str">
        <x:v>Steuerverrechnung</x:v>
      </x:c>
    </x:row>
    <x:row r="408" ht="14" customHeight="1">
      <x:c r="A408" s="10" t="str">
        <x:v>2024-03-0162</x:v>
      </x:c>
      <x:c r="B408" s="11" t="n">
        <x:v>45382</x:v>
      </x:c>
      <x:c r="C408" s="10" t="n">
        <x:v>3</x:v>
      </x:c>
      <x:c r="D408" s="10" t="str">
        <x:v>3820</x:v>
      </x:c>
      <x:c r="E408" s="12" t="n">
        <x:v>0</x:v>
      </x:c>
      <x:c r="F408" s="12" t="n">
        <x:v>20057.1</x:v>
      </x:c>
      <x:c r="G408" s="10" t="str">
        <x:v>Umsatzsteuer Monatsumbuchung 3801</x:v>
      </x:c>
      <x:c r="H408" s="10" t="str">
        <x:v>Steuerverrechnung</x:v>
      </x:c>
    </x:row>
    <x:row r="409" ht="14" customHeight="1">
      <x:c r="A409" s="10" t="str">
        <x:v>2024-03-0163</x:v>
      </x:c>
      <x:c r="B409" s="11" t="n">
        <x:v>45382</x:v>
      </x:c>
      <x:c r="C409" s="10" t="n">
        <x:v>3</x:v>
      </x:c>
      <x:c r="D409" s="10" t="str">
        <x:v>3806</x:v>
      </x:c>
      <x:c r="E409" s="12" t="n">
        <x:v>13680</x:v>
      </x:c>
      <x:c r="F409" s="12" t="n">
        <x:v>0</x:v>
      </x:c>
      <x:c r="G409" s="10" t="str">
        <x:v>Umsatzsteuer Monatsumbuchung 3806</x:v>
      </x:c>
      <x:c r="H409" s="10" t="str">
        <x:v>Steuerverrechnung</x:v>
      </x:c>
    </x:row>
    <x:row r="410" ht="14" customHeight="1">
      <x:c r="A410" s="10" t="str">
        <x:v>2024-03-0163</x:v>
      </x:c>
      <x:c r="B410" s="11" t="n">
        <x:v>45382</x:v>
      </x:c>
      <x:c r="C410" s="10" t="n">
        <x:v>3</x:v>
      </x:c>
      <x:c r="D410" s="10" t="str">
        <x:v>3820</x:v>
      </x:c>
      <x:c r="E410" s="12" t="n">
        <x:v>0</x:v>
      </x:c>
      <x:c r="F410" s="12" t="n">
        <x:v>13680</x:v>
      </x:c>
      <x:c r="G410" s="10" t="str">
        <x:v>Umsatzsteuer Monatsumbuchung 3806</x:v>
      </x:c>
      <x:c r="H410" s="10" t="str">
        <x:v>Steuerverrechnung</x:v>
      </x:c>
    </x:row>
    <x:row r="411" ht="14" customHeight="1">
      <x:c r="A411" s="10" t="str">
        <x:v>2024-03-0164</x:v>
      </x:c>
      <x:c r="B411" s="11" t="n">
        <x:v>45382</x:v>
      </x:c>
      <x:c r="C411" s="10" t="n">
        <x:v>3</x:v>
      </x:c>
      <x:c r="D411" s="10" t="str">
        <x:v>3804</x:v>
      </x:c>
      <x:c r="E411" s="12" t="n">
        <x:v>5717.7</x:v>
      </x:c>
      <x:c r="F411" s="12" t="n">
        <x:v>0</x:v>
      </x:c>
      <x:c r="G411" s="10" t="str">
        <x:v>Umsatzsteuer Monatsumbuchung 3804</x:v>
      </x:c>
      <x:c r="H411" s="10" t="str">
        <x:v>Steuerverrechnung</x:v>
      </x:c>
    </x:row>
    <x:row r="412" ht="14" customHeight="1">
      <x:c r="A412" s="10" t="str">
        <x:v>2024-03-0164</x:v>
      </x:c>
      <x:c r="B412" s="11" t="n">
        <x:v>45382</x:v>
      </x:c>
      <x:c r="C412" s="10" t="n">
        <x:v>3</x:v>
      </x:c>
      <x:c r="D412" s="10" t="str">
        <x:v>3820</x:v>
      </x:c>
      <x:c r="E412" s="12" t="n">
        <x:v>0</x:v>
      </x:c>
      <x:c r="F412" s="12" t="n">
        <x:v>5717.7</x:v>
      </x:c>
      <x:c r="G412" s="10" t="str">
        <x:v>Umsatzsteuer Monatsumbuchung 3804</x:v>
      </x:c>
      <x:c r="H412" s="10" t="str">
        <x:v>Steuerverrechnung</x:v>
      </x:c>
    </x:row>
    <x:row r="413" ht="14" customHeight="1">
      <x:c r="A413" s="10" t="str">
        <x:v>2024-03-0165</x:v>
      </x:c>
      <x:c r="B413" s="11" t="n">
        <x:v>45382</x:v>
      </x:c>
      <x:c r="C413" s="10" t="n">
        <x:v>3</x:v>
      </x:c>
      <x:c r="D413" s="10" t="str">
        <x:v>3809</x:v>
      </x:c>
      <x:c r="E413" s="12" t="n">
        <x:v>3879.87</x:v>
      </x:c>
      <x:c r="F413" s="12" t="n">
        <x:v>0</x:v>
      </x:c>
      <x:c r="G413" s="10" t="str">
        <x:v>Umsatzsteuer Monatsumbuchung 3809</x:v>
      </x:c>
      <x:c r="H413" s="10" t="str">
        <x:v>Steuerverrechnung</x:v>
      </x:c>
    </x:row>
    <x:row r="414" ht="14" customHeight="1">
      <x:c r="A414" s="10" t="str">
        <x:v>2024-03-0165</x:v>
      </x:c>
      <x:c r="B414" s="11" t="n">
        <x:v>45382</x:v>
      </x:c>
      <x:c r="C414" s="10" t="n">
        <x:v>3</x:v>
      </x:c>
      <x:c r="D414" s="10" t="str">
        <x:v>3820</x:v>
      </x:c>
      <x:c r="E414" s="12" t="n">
        <x:v>0</x:v>
      </x:c>
      <x:c r="F414" s="12" t="n">
        <x:v>3879.87</x:v>
      </x:c>
      <x:c r="G414" s="10" t="str">
        <x:v>Umsatzsteuer Monatsumbuchung 3809</x:v>
      </x:c>
      <x:c r="H414" s="10" t="str">
        <x:v>Steuerverrechnung</x:v>
      </x:c>
    </x:row>
    <x:row r="415" ht="14" customHeight="1">
      <x:c r="A415" s="10" t="str">
        <x:v>2024-04-0166</x:v>
      </x:c>
      <x:c r="B415" s="11" t="n">
        <x:v>45392</x:v>
      </x:c>
      <x:c r="C415" s="10" t="n">
        <x:v>4</x:v>
      </x:c>
      <x:c r="D415" s="10" t="str">
        <x:v>1800</x:v>
      </x:c>
      <x:c r="E415" s="12" t="n">
        <x:v>6190.18</x:v>
      </x:c>
      <x:c r="F415" s="12" t="n">
        <x:v>0</x:v>
      </x:c>
      <x:c r="G415" s="10" t="str">
        <x:v>Ausgleich Umsatzsteuer Vorperiode</x:v>
      </x:c>
      <x:c r="H415" s="10" t="str">
        <x:v>Umsatzsteuer</x:v>
      </x:c>
    </x:row>
    <x:row r="416" ht="14" customHeight="1">
      <x:c r="A416" s="10" t="str">
        <x:v>2024-04-0166</x:v>
      </x:c>
      <x:c r="B416" s="11" t="n">
        <x:v>45392</x:v>
      </x:c>
      <x:c r="C416" s="10" t="n">
        <x:v>4</x:v>
      </x:c>
      <x:c r="D416" s="10" t="str">
        <x:v>3820</x:v>
      </x:c>
      <x:c r="E416" s="12" t="n">
        <x:v>0</x:v>
      </x:c>
      <x:c r="F416" s="12" t="n">
        <x:v>6190.18</x:v>
      </x:c>
      <x:c r="G416" s="10" t="str">
        <x:v>Ausgleich Umsatzsteuer Vorperiode</x:v>
      </x:c>
      <x:c r="H416" s="10" t="str">
        <x:v>Umsatzsteuer</x:v>
      </x:c>
    </x:row>
    <x:row r="417" ht="14" customHeight="1">
      <x:c r="A417" s="10" t="str">
        <x:v>2024-04-0167</x:v>
      </x:c>
      <x:c r="B417" s="11" t="n">
        <x:v>45412</x:v>
      </x:c>
      <x:c r="C417" s="10" t="n">
        <x:v>4</x:v>
      </x:c>
      <x:c r="D417" s="10" t="str">
        <x:v>1200</x:v>
      </x:c>
      <x:c r="E417" s="12" t="n">
        <x:v>303024</x:v>
      </x:c>
      <x:c r="F417" s="12" t="n">
        <x:v>0</x:v>
      </x:c>
      <x:c r="G417" s="10" t="str">
        <x:v>Fakturajournal Inland 7 Prozent</x:v>
      </x:c>
      <x:c r="H417" s="10" t="str">
        <x:v>Umsatz</x:v>
      </x:c>
    </x:row>
    <x:row r="418" ht="14" customHeight="1">
      <x:c r="A418" s="10" t="str">
        <x:v>2024-04-0167</x:v>
      </x:c>
      <x:c r="B418" s="11" t="n">
        <x:v>45412</x:v>
      </x:c>
      <x:c r="C418" s="10" t="n">
        <x:v>4</x:v>
      </x:c>
      <x:c r="D418" s="10" t="str">
        <x:v>4300</x:v>
      </x:c>
      <x:c r="E418" s="12" t="n">
        <x:v>0</x:v>
      </x:c>
      <x:c r="F418" s="12" t="n">
        <x:v>283200</x:v>
      </x:c>
      <x:c r="G418" s="10" t="str">
        <x:v>Fakturajournal Inland 7 Prozent</x:v>
      </x:c>
      <x:c r="H418" s="10" t="str">
        <x:v>Umsatz</x:v>
      </x:c>
    </x:row>
    <x:row r="419" ht="14" customHeight="1">
      <x:c r="A419" s="10" t="str">
        <x:v>2024-04-0167</x:v>
      </x:c>
      <x:c r="B419" s="11" t="n">
        <x:v>45412</x:v>
      </x:c>
      <x:c r="C419" s="10" t="n">
        <x:v>4</x:v>
      </x:c>
      <x:c r="D419" s="10" t="str">
        <x:v>3801</x:v>
      </x:c>
      <x:c r="E419" s="12" t="n">
        <x:v>0</x:v>
      </x:c>
      <x:c r="F419" s="12" t="n">
        <x:v>19824</x:v>
      </x:c>
      <x:c r="G419" s="10" t="str">
        <x:v>Fakturajournal Inland 7 Prozent</x:v>
      </x:c>
      <x:c r="H419" s="10" t="str">
        <x:v>Umsatz</x:v>
      </x:c>
    </x:row>
    <x:row r="420" ht="14" customHeight="1">
      <x:c r="A420" s="10" t="str">
        <x:v>2024-04-0168</x:v>
      </x:c>
      <x:c r="B420" s="11" t="n">
        <x:v>45412</x:v>
      </x:c>
      <x:c r="C420" s="10" t="n">
        <x:v>4</x:v>
      </x:c>
      <x:c r="D420" s="10" t="str">
        <x:v>1200</x:v>
      </x:c>
      <x:c r="E420" s="12" t="n">
        <x:v>84252</x:v>
      </x:c>
      <x:c r="F420" s="12" t="n">
        <x:v>0</x:v>
      </x:c>
      <x:c r="G420" s="10" t="str">
        <x:v>Fakturajournal Inland 19 Prozent</x:v>
      </x:c>
      <x:c r="H420" s="10" t="str">
        <x:v>Umsatz</x:v>
      </x:c>
    </x:row>
    <x:row r="421" ht="14" customHeight="1">
      <x:c r="A421" s="10" t="str">
        <x:v>2024-04-0168</x:v>
      </x:c>
      <x:c r="B421" s="11" t="n">
        <x:v>45412</x:v>
      </x:c>
      <x:c r="C421" s="10" t="n">
        <x:v>4</x:v>
      </x:c>
      <x:c r="D421" s="10" t="str">
        <x:v>4400</x:v>
      </x:c>
      <x:c r="E421" s="12" t="n">
        <x:v>0</x:v>
      </x:c>
      <x:c r="F421" s="12" t="n">
        <x:v>70800</x:v>
      </x:c>
      <x:c r="G421" s="10" t="str">
        <x:v>Fakturajournal Inland 19 Prozent</x:v>
      </x:c>
      <x:c r="H421" s="10" t="str">
        <x:v>Umsatz</x:v>
      </x:c>
    </x:row>
    <x:row r="422" ht="14" customHeight="1">
      <x:c r="A422" s="10" t="str">
        <x:v>2024-04-0168</x:v>
      </x:c>
      <x:c r="B422" s="11" t="n">
        <x:v>45412</x:v>
      </x:c>
      <x:c r="C422" s="10" t="n">
        <x:v>4</x:v>
      </x:c>
      <x:c r="D422" s="10" t="str">
        <x:v>3806</x:v>
      </x:c>
      <x:c r="E422" s="12" t="n">
        <x:v>0</x:v>
      </x:c>
      <x:c r="F422" s="12" t="n">
        <x:v>13452</x:v>
      </x:c>
      <x:c r="G422" s="10" t="str">
        <x:v>Fakturajournal Inland 19 Prozent</x:v>
      </x:c>
      <x:c r="H422" s="10" t="str">
        <x:v>Umsatz</x:v>
      </x:c>
    </x:row>
    <x:row r="423" ht="14" customHeight="1">
      <x:c r="A423" s="10" t="str">
        <x:v>2024-04-0169</x:v>
      </x:c>
      <x:c r="B423" s="11" t="n">
        <x:v>45412</x:v>
      </x:c>
      <x:c r="C423" s="10" t="n">
        <x:v>4</x:v>
      </x:c>
      <x:c r="D423" s="10" t="str">
        <x:v>1200</x:v>
      </x:c>
      <x:c r="E423" s="12" t="n">
        <x:v>118000</x:v>
      </x:c>
      <x:c r="F423" s="12" t="n">
        <x:v>0</x:v>
      </x:c>
      <x:c r="G423" s="10" t="str">
        <x:v>Fakturajournal EU Warenlieferungen</x:v>
      </x:c>
      <x:c r="H423" s="10" t="str">
        <x:v>Umsatz</x:v>
      </x:c>
    </x:row>
    <x:row r="424" ht="14" customHeight="1">
      <x:c r="A424" s="10" t="str">
        <x:v>2024-04-0169</x:v>
      </x:c>
      <x:c r="B424" s="11" t="n">
        <x:v>45412</x:v>
      </x:c>
      <x:c r="C424" s="10" t="n">
        <x:v>4</x:v>
      </x:c>
      <x:c r="D424" s="10" t="str">
        <x:v>4125</x:v>
      </x:c>
      <x:c r="E424" s="12" t="n">
        <x:v>0</x:v>
      </x:c>
      <x:c r="F424" s="12" t="n">
        <x:v>118000</x:v>
      </x:c>
      <x:c r="G424" s="10" t="str">
        <x:v>Fakturajournal EU Warenlieferungen</x:v>
      </x:c>
      <x:c r="H424" s="10" t="str">
        <x:v>Umsatz</x:v>
      </x:c>
    </x:row>
    <x:row r="425" ht="14" customHeight="1">
      <x:c r="A425" s="10" t="str">
        <x:v>2024-04-0170</x:v>
      </x:c>
      <x:c r="B425" s="11" t="n">
        <x:v>45412</x:v>
      </x:c>
      <x:c r="C425" s="10" t="n">
        <x:v>4</x:v>
      </x:c>
      <x:c r="D425" s="10" t="str">
        <x:v>1200</x:v>
      </x:c>
      <x:c r="E425" s="12" t="n">
        <x:v>118000</x:v>
      </x:c>
      <x:c r="F425" s="12" t="n">
        <x:v>0</x:v>
      </x:c>
      <x:c r="G425" s="10" t="str">
        <x:v>Fakturajournal Drittland Warenlieferungen</x:v>
      </x:c>
      <x:c r="H425" s="10" t="str">
        <x:v>Umsatz</x:v>
      </x:c>
    </x:row>
    <x:row r="426" ht="14" customHeight="1">
      <x:c r="A426" s="10" t="str">
        <x:v>2024-04-0170</x:v>
      </x:c>
      <x:c r="B426" s="11" t="n">
        <x:v>45412</x:v>
      </x:c>
      <x:c r="C426" s="10" t="n">
        <x:v>4</x:v>
      </x:c>
      <x:c r="D426" s="10" t="str">
        <x:v>4120</x:v>
      </x:c>
      <x:c r="E426" s="12" t="n">
        <x:v>0</x:v>
      </x:c>
      <x:c r="F426" s="12" t="n">
        <x:v>118000</x:v>
      </x:c>
      <x:c r="G426" s="10" t="str">
        <x:v>Fakturajournal Drittland Warenlieferungen</x:v>
      </x:c>
      <x:c r="H426" s="10" t="str">
        <x:v>Umsatz</x:v>
      </x:c>
    </x:row>
    <x:row r="427" ht="14" customHeight="1">
      <x:c r="A427" s="10" t="str">
        <x:v>2024-04-0171</x:v>
      </x:c>
      <x:c r="B427" s="11" t="n">
        <x:v>45412</x:v>
      </x:c>
      <x:c r="C427" s="10" t="n">
        <x:v>4</x:v>
      </x:c>
      <x:c r="D427" s="10" t="str">
        <x:v>4730</x:v>
      </x:c>
      <x:c r="E427" s="12" t="n">
        <x:v>1560</x:v>
      </x:c>
      <x:c r="F427" s="12" t="n">
        <x:v>0</x:v>
      </x:c>
      <x:c r="G427" s="10" t="str">
        <x:v>Gutschriftjournal Retouren und Mengenrabatte</x:v>
      </x:c>
      <x:c r="H427" s="10" t="str">
        <x:v>Gutschriften</x:v>
      </x:c>
    </x:row>
    <x:row r="428" ht="14" customHeight="1">
      <x:c r="A428" s="10" t="str">
        <x:v>2024-04-0171</x:v>
      </x:c>
      <x:c r="B428" s="11" t="n">
        <x:v>45412</x:v>
      </x:c>
      <x:c r="C428" s="10" t="n">
        <x:v>4</x:v>
      </x:c>
      <x:c r="D428" s="10" t="str">
        <x:v>3801</x:v>
      </x:c>
      <x:c r="E428" s="12" t="n">
        <x:v>109.2</x:v>
      </x:c>
      <x:c r="F428" s="12" t="n">
        <x:v>0</x:v>
      </x:c>
      <x:c r="G428" s="10" t="str">
        <x:v>Gutschriftjournal Retouren und Mengenrabatte</x:v>
      </x:c>
      <x:c r="H428" s="10" t="str">
        <x:v>Gutschriften</x:v>
      </x:c>
    </x:row>
    <x:row r="429" ht="14" customHeight="1">
      <x:c r="A429" s="10" t="str">
        <x:v>2024-04-0171</x:v>
      </x:c>
      <x:c r="B429" s="11" t="n">
        <x:v>45412</x:v>
      </x:c>
      <x:c r="C429" s="10" t="n">
        <x:v>4</x:v>
      </x:c>
      <x:c r="D429" s="10" t="str">
        <x:v>1200</x:v>
      </x:c>
      <x:c r="E429" s="12" t="n">
        <x:v>0</x:v>
      </x:c>
      <x:c r="F429" s="12" t="n">
        <x:v>1669.2</x:v>
      </x:c>
      <x:c r="G429" s="10" t="str">
        <x:v>Gutschriftjournal Retouren und Mengenrabatte</x:v>
      </x:c>
      <x:c r="H429" s="10" t="str">
        <x:v>Gutschriften</x:v>
      </x:c>
    </x:row>
    <x:row r="430" ht="14" customHeight="1">
      <x:c r="A430" s="10" t="str">
        <x:v>2024-04-0172</x:v>
      </x:c>
      <x:c r="B430" s="11" t="n">
        <x:v>45412</x:v>
      </x:c>
      <x:c r="C430" s="10" t="n">
        <x:v>4</x:v>
      </x:c>
      <x:c r="D430" s="10" t="str">
        <x:v>4735</x:v>
      </x:c>
      <x:c r="E430" s="12" t="n">
        <x:v>1040</x:v>
      </x:c>
      <x:c r="F430" s="12" t="n">
        <x:v>0</x:v>
      </x:c>
      <x:c r="G430" s="10" t="str">
        <x:v>Gutschriftjournal Retouren und Mengenrabatte</x:v>
      </x:c>
      <x:c r="H430" s="10" t="str">
        <x:v>Gutschriften</x:v>
      </x:c>
    </x:row>
    <x:row r="431" ht="14" customHeight="1">
      <x:c r="A431" s="10" t="str">
        <x:v>2024-04-0172</x:v>
      </x:c>
      <x:c r="B431" s="11" t="n">
        <x:v>45412</x:v>
      </x:c>
      <x:c r="C431" s="10" t="n">
        <x:v>4</x:v>
      </x:c>
      <x:c r="D431" s="10" t="str">
        <x:v>1200</x:v>
      </x:c>
      <x:c r="E431" s="12" t="n">
        <x:v>0</x:v>
      </x:c>
      <x:c r="F431" s="12" t="n">
        <x:v>1040</x:v>
      </x:c>
      <x:c r="G431" s="10" t="str">
        <x:v>Gutschriftjournal Retouren und Mengenrabatte</x:v>
      </x:c>
      <x:c r="H431" s="10" t="str">
        <x:v>Gutschriften</x:v>
      </x:c>
    </x:row>
    <x:row r="432" ht="14" customHeight="1">
      <x:c r="A432" s="10" t="str">
        <x:v>2024-04-0173</x:v>
      </x:c>
      <x:c r="B432" s="11" t="n">
        <x:v>45412</x:v>
      </x:c>
      <x:c r="C432" s="10" t="n">
        <x:v>4</x:v>
      </x:c>
      <x:c r="D432" s="10" t="str">
        <x:v>1140</x:v>
      </x:c>
      <x:c r="E432" s="12" t="n">
        <x:v>141287.8</x:v>
      </x:c>
      <x:c r="F432" s="12" t="n">
        <x:v>0</x:v>
      </x:c>
      <x:c r="G432" s="10" t="str">
        <x:v>Wareneingang Inland 7 Prozent</x:v>
      </x:c>
      <x:c r="H432" s="10" t="str">
        <x:v>Einkauf</x:v>
      </x:c>
    </x:row>
    <x:row r="433" ht="14" customHeight="1">
      <x:c r="A433" s="10" t="str">
        <x:v>2024-04-0173</x:v>
      </x:c>
      <x:c r="B433" s="11" t="n">
        <x:v>45412</x:v>
      </x:c>
      <x:c r="C433" s="10" t="n">
        <x:v>4</x:v>
      </x:c>
      <x:c r="D433" s="10" t="str">
        <x:v>1401</x:v>
      </x:c>
      <x:c r="E433" s="12" t="n">
        <x:v>9890.15</x:v>
      </x:c>
      <x:c r="F433" s="12" t="n">
        <x:v>0</x:v>
      </x:c>
      <x:c r="G433" s="10" t="str">
        <x:v>Wareneingang Inland 7 Prozent</x:v>
      </x:c>
      <x:c r="H433" s="10" t="str">
        <x:v>Einkauf</x:v>
      </x:c>
    </x:row>
    <x:row r="434" ht="14" customHeight="1">
      <x:c r="A434" s="10" t="str">
        <x:v>2024-04-0173</x:v>
      </x:c>
      <x:c r="B434" s="11" t="n">
        <x:v>45412</x:v>
      </x:c>
      <x:c r="C434" s="10" t="n">
        <x:v>4</x:v>
      </x:c>
      <x:c r="D434" s="10" t="str">
        <x:v>3300</x:v>
      </x:c>
      <x:c r="E434" s="12" t="n">
        <x:v>0</x:v>
      </x:c>
      <x:c r="F434" s="12" t="n">
        <x:v>151177.95</x:v>
      </x:c>
      <x:c r="G434" s="10" t="str">
        <x:v>Wareneingang Inland 7 Prozent</x:v>
      </x:c>
      <x:c r="H434" s="10" t="str">
        <x:v>Einkauf</x:v>
      </x:c>
    </x:row>
    <x:row r="435" ht="14" customHeight="1">
      <x:c r="A435" s="10" t="str">
        <x:v>2024-04-0174</x:v>
      </x:c>
      <x:c r="B435" s="11" t="n">
        <x:v>45412</x:v>
      </x:c>
      <x:c r="C435" s="10" t="n">
        <x:v>4</x:v>
      </x:c>
      <x:c r="D435" s="10" t="str">
        <x:v>1140</x:v>
      </x:c>
      <x:c r="E435" s="12" t="n">
        <x:v>26026.7</x:v>
      </x:c>
      <x:c r="F435" s="12" t="n">
        <x:v>0</x:v>
      </x:c>
      <x:c r="G435" s="10" t="str">
        <x:v>Wareneingang Inland 19 Prozent</x:v>
      </x:c>
      <x:c r="H435" s="10" t="str">
        <x:v>Einkauf</x:v>
      </x:c>
    </x:row>
    <x:row r="436" ht="14" customHeight="1">
      <x:c r="A436" s="10" t="str">
        <x:v>2024-04-0174</x:v>
      </x:c>
      <x:c r="B436" s="11" t="n">
        <x:v>45412</x:v>
      </x:c>
      <x:c r="C436" s="10" t="n">
        <x:v>4</x:v>
      </x:c>
      <x:c r="D436" s="10" t="str">
        <x:v>1406</x:v>
      </x:c>
      <x:c r="E436" s="12" t="n">
        <x:v>4945.07</x:v>
      </x:c>
      <x:c r="F436" s="12" t="n">
        <x:v>0</x:v>
      </x:c>
      <x:c r="G436" s="10" t="str">
        <x:v>Wareneingang Inland 19 Prozent</x:v>
      </x:c>
      <x:c r="H436" s="10" t="str">
        <x:v>Einkauf</x:v>
      </x:c>
    </x:row>
    <x:row r="437" ht="14" customHeight="1">
      <x:c r="A437" s="10" t="str">
        <x:v>2024-04-0174</x:v>
      </x:c>
      <x:c r="B437" s="11" t="n">
        <x:v>45412</x:v>
      </x:c>
      <x:c r="C437" s="10" t="n">
        <x:v>4</x:v>
      </x:c>
      <x:c r="D437" s="10" t="str">
        <x:v>3300</x:v>
      </x:c>
      <x:c r="E437" s="12" t="n">
        <x:v>0</x:v>
      </x:c>
      <x:c r="F437" s="12" t="n">
        <x:v>30971.77</x:v>
      </x:c>
      <x:c r="G437" s="10" t="str">
        <x:v>Wareneingang Inland 19 Prozent</x:v>
      </x:c>
      <x:c r="H437" s="10" t="str">
        <x:v>Einkauf</x:v>
      </x:c>
    </x:row>
    <x:row r="438" ht="14" customHeight="1">
      <x:c r="A438" s="10" t="str">
        <x:v>2024-04-0175</x:v>
      </x:c>
      <x:c r="B438" s="11" t="n">
        <x:v>45412</x:v>
      </x:c>
      <x:c r="C438" s="10" t="n">
        <x:v>4</x:v>
      </x:c>
      <x:c r="D438" s="10" t="str">
        <x:v>1140</x:v>
      </x:c>
      <x:c r="E438" s="12" t="n">
        <x:v>74362</x:v>
      </x:c>
      <x:c r="F438" s="12" t="n">
        <x:v>0</x:v>
      </x:c>
      <x:c r="G438" s="10" t="str">
        <x:v>Wareneingang EU 7 Prozent</x:v>
      </x:c>
      <x:c r="H438" s="10" t="str">
        <x:v>Einkauf</x:v>
      </x:c>
    </x:row>
    <x:row r="439" ht="14" customHeight="1">
      <x:c r="A439" s="10" t="str">
        <x:v>2024-04-0175</x:v>
      </x:c>
      <x:c r="B439" s="11" t="n">
        <x:v>45412</x:v>
      </x:c>
      <x:c r="C439" s="10" t="n">
        <x:v>4</x:v>
      </x:c>
      <x:c r="D439" s="10" t="str">
        <x:v>3300</x:v>
      </x:c>
      <x:c r="E439" s="12" t="n">
        <x:v>0</x:v>
      </x:c>
      <x:c r="F439" s="12" t="n">
        <x:v>74362</x:v>
      </x:c>
      <x:c r="G439" s="10" t="str">
        <x:v>Wareneingang EU 7 Prozent</x:v>
      </x:c>
      <x:c r="H439" s="10" t="str">
        <x:v>Einkauf</x:v>
      </x:c>
    </x:row>
    <x:row r="440" ht="14" customHeight="1">
      <x:c r="A440" s="10" t="str">
        <x:v>2024-04-0175</x:v>
      </x:c>
      <x:c r="B440" s="11" t="n">
        <x:v>45412</x:v>
      </x:c>
      <x:c r="C440" s="10" t="n">
        <x:v>4</x:v>
      </x:c>
      <x:c r="D440" s="10" t="str">
        <x:v>1404</x:v>
      </x:c>
      <x:c r="E440" s="12" t="n">
        <x:v>5205.34</x:v>
      </x:c>
      <x:c r="F440" s="12" t="n">
        <x:v>0</x:v>
      </x:c>
      <x:c r="G440" s="10" t="str">
        <x:v>Wareneingang EU 7 Prozent</x:v>
      </x:c>
      <x:c r="H440" s="10" t="str">
        <x:v>Einkauf</x:v>
      </x:c>
    </x:row>
    <x:row r="441" ht="14" customHeight="1">
      <x:c r="A441" s="10" t="str">
        <x:v>2024-04-0175</x:v>
      </x:c>
      <x:c r="B441" s="11" t="n">
        <x:v>45412</x:v>
      </x:c>
      <x:c r="C441" s="10" t="n">
        <x:v>4</x:v>
      </x:c>
      <x:c r="D441" s="10" t="str">
        <x:v>3804</x:v>
      </x:c>
      <x:c r="E441" s="12" t="n">
        <x:v>0</x:v>
      </x:c>
      <x:c r="F441" s="12" t="n">
        <x:v>5205.34</x:v>
      </x:c>
      <x:c r="G441" s="10" t="str">
        <x:v>Wareneingang EU 7 Prozent</x:v>
      </x:c>
      <x:c r="H441" s="10" t="str">
        <x:v>Einkauf</x:v>
      </x:c>
    </x:row>
    <x:row r="442" ht="14" customHeight="1">
      <x:c r="A442" s="10" t="str">
        <x:v>2024-04-0176</x:v>
      </x:c>
      <x:c r="B442" s="11" t="n">
        <x:v>45412</x:v>
      </x:c>
      <x:c r="C442" s="10" t="n">
        <x:v>4</x:v>
      </x:c>
      <x:c r="D442" s="10" t="str">
        <x:v>1140</x:v>
      </x:c>
      <x:c r="E442" s="12" t="n">
        <x:v>18590.5</x:v>
      </x:c>
      <x:c r="F442" s="12" t="n">
        <x:v>0</x:v>
      </x:c>
      <x:c r="G442" s="10" t="str">
        <x:v>Wareneingang EU 19 Prozent</x:v>
      </x:c>
      <x:c r="H442" s="10" t="str">
        <x:v>Einkauf</x:v>
      </x:c>
    </x:row>
    <x:row r="443" ht="14" customHeight="1">
      <x:c r="A443" s="10" t="str">
        <x:v>2024-04-0176</x:v>
      </x:c>
      <x:c r="B443" s="11" t="n">
        <x:v>45412</x:v>
      </x:c>
      <x:c r="C443" s="10" t="n">
        <x:v>4</x:v>
      </x:c>
      <x:c r="D443" s="10" t="str">
        <x:v>3300</x:v>
      </x:c>
      <x:c r="E443" s="12" t="n">
        <x:v>0</x:v>
      </x:c>
      <x:c r="F443" s="12" t="n">
        <x:v>18590.5</x:v>
      </x:c>
      <x:c r="G443" s="10" t="str">
        <x:v>Wareneingang EU 19 Prozent</x:v>
      </x:c>
      <x:c r="H443" s="10" t="str">
        <x:v>Einkauf</x:v>
      </x:c>
    </x:row>
    <x:row r="444" ht="14" customHeight="1">
      <x:c r="A444" s="10" t="str">
        <x:v>2024-04-0176</x:v>
      </x:c>
      <x:c r="B444" s="11" t="n">
        <x:v>45412</x:v>
      </x:c>
      <x:c r="C444" s="10" t="n">
        <x:v>4</x:v>
      </x:c>
      <x:c r="D444" s="10" t="str">
        <x:v>1409</x:v>
      </x:c>
      <x:c r="E444" s="12" t="n">
        <x:v>3532.2</x:v>
      </x:c>
      <x:c r="F444" s="12" t="n">
        <x:v>0</x:v>
      </x:c>
      <x:c r="G444" s="10" t="str">
        <x:v>Wareneingang EU 19 Prozent</x:v>
      </x:c>
      <x:c r="H444" s="10" t="str">
        <x:v>Einkauf</x:v>
      </x:c>
    </x:row>
    <x:row r="445" ht="14" customHeight="1">
      <x:c r="A445" s="10" t="str">
        <x:v>2024-04-0176</x:v>
      </x:c>
      <x:c r="B445" s="11" t="n">
        <x:v>45412</x:v>
      </x:c>
      <x:c r="C445" s="10" t="n">
        <x:v>4</x:v>
      </x:c>
      <x:c r="D445" s="10" t="str">
        <x:v>3809</x:v>
      </x:c>
      <x:c r="E445" s="12" t="n">
        <x:v>0</x:v>
      </x:c>
      <x:c r="F445" s="12" t="n">
        <x:v>3532.2</x:v>
      </x:c>
      <x:c r="G445" s="10" t="str">
        <x:v>Wareneingang EU 19 Prozent</x:v>
      </x:c>
      <x:c r="H445" s="10" t="str">
        <x:v>Einkauf</x:v>
      </x:c>
    </x:row>
    <x:row r="446" ht="14" customHeight="1">
      <x:c r="A446" s="10" t="str">
        <x:v>2024-04-0177</x:v>
      </x:c>
      <x:c r="B446" s="11" t="n">
        <x:v>45412</x:v>
      </x:c>
      <x:c r="C446" s="10" t="n">
        <x:v>4</x:v>
      </x:c>
      <x:c r="D446" s="10" t="str">
        <x:v>1140</x:v>
      </x:c>
      <x:c r="E446" s="12" t="n">
        <x:v>111543</x:v>
      </x:c>
      <x:c r="F446" s="12" t="n">
        <x:v>0</x:v>
      </x:c>
      <x:c r="G446" s="10" t="str">
        <x:v>Wareneingang Drittland</x:v>
      </x:c>
      <x:c r="H446" s="10" t="str">
        <x:v>Einkauf</x:v>
      </x:c>
    </x:row>
    <x:row r="447" ht="14" customHeight="1">
      <x:c r="A447" s="10" t="str">
        <x:v>2024-04-0177</x:v>
      </x:c>
      <x:c r="B447" s="11" t="n">
        <x:v>45412</x:v>
      </x:c>
      <x:c r="C447" s="10" t="n">
        <x:v>4</x:v>
      </x:c>
      <x:c r="D447" s="10" t="str">
        <x:v>3300</x:v>
      </x:c>
      <x:c r="E447" s="12" t="n">
        <x:v>0</x:v>
      </x:c>
      <x:c r="F447" s="12" t="n">
        <x:v>111543</x:v>
      </x:c>
      <x:c r="G447" s="10" t="str">
        <x:v>Wareneingang Drittland</x:v>
      </x:c>
      <x:c r="H447" s="10" t="str">
        <x:v>Einkauf</x:v>
      </x:c>
    </x:row>
    <x:row r="448" ht="14" customHeight="1">
      <x:c r="A448" s="10" t="str">
        <x:v>2024-04-0178</x:v>
      </x:c>
      <x:c r="B448" s="11" t="n">
        <x:v>45404</x:v>
      </x:c>
      <x:c r="C448" s="10" t="n">
        <x:v>4</x:v>
      </x:c>
      <x:c r="D448" s="10" t="str">
        <x:v>1433</x:v>
      </x:c>
      <x:c r="E448" s="12" t="n">
        <x:v>9146.53</x:v>
      </x:c>
      <x:c r="F448" s="12" t="n">
        <x:v>0</x:v>
      </x:c>
      <x:c r="G448" s="10" t="str">
        <x:v>Einfuhrabgabenjournal bezahlte EUSt</x:v>
      </x:c>
      <x:c r="H448" s="10" t="str">
        <x:v>Einfuhrumsatzsteuer</x:v>
      </x:c>
    </x:row>
    <x:row r="449" ht="14" customHeight="1">
      <x:c r="A449" s="10" t="str">
        <x:v>2024-04-0178</x:v>
      </x:c>
      <x:c r="B449" s="11" t="n">
        <x:v>45404</x:v>
      </x:c>
      <x:c r="C449" s="10" t="n">
        <x:v>4</x:v>
      </x:c>
      <x:c r="D449" s="10" t="str">
        <x:v>1800</x:v>
      </x:c>
      <x:c r="E449" s="12" t="n">
        <x:v>0</x:v>
      </x:c>
      <x:c r="F449" s="12" t="n">
        <x:v>9146.53</x:v>
      </x:c>
      <x:c r="G449" s="10" t="str">
        <x:v>Einfuhrabgabenjournal bezahlte EUSt</x:v>
      </x:c>
      <x:c r="H449" s="10" t="str">
        <x:v>Einfuhrumsatzsteuer</x:v>
      </x:c>
    </x:row>
    <x:row r="450" ht="14" customHeight="1">
      <x:c r="A450" s="10" t="str">
        <x:v>2024-04-0179</x:v>
      </x:c>
      <x:c r="B450" s="11" t="n">
        <x:v>45412</x:v>
      </x:c>
      <x:c r="C450" s="10" t="n">
        <x:v>4</x:v>
      </x:c>
      <x:c r="D450" s="10" t="str">
        <x:v>5000</x:v>
      </x:c>
      <x:c r="E450" s="12" t="n">
        <x:v>381810</x:v>
      </x:c>
      <x:c r="F450" s="12" t="n">
        <x:v>0</x:v>
      </x:c>
      <x:c r="G450" s="10" t="str">
        <x:v>Warenabgänge zu Einstandswerten</x:v>
      </x:c>
      <x:c r="H450" s="10" t="str">
        <x:v>Verbrauch</x:v>
      </x:c>
    </x:row>
    <x:row r="451" ht="14" customHeight="1">
      <x:c r="A451" s="10" t="str">
        <x:v>2024-04-0179</x:v>
      </x:c>
      <x:c r="B451" s="11" t="n">
        <x:v>45412</x:v>
      </x:c>
      <x:c r="C451" s="10" t="n">
        <x:v>4</x:v>
      </x:c>
      <x:c r="D451" s="10" t="str">
        <x:v>1140</x:v>
      </x:c>
      <x:c r="E451" s="12" t="n">
        <x:v>0</x:v>
      </x:c>
      <x:c r="F451" s="12" t="n">
        <x:v>381810</x:v>
      </x:c>
      <x:c r="G451" s="10" t="str">
        <x:v>Warenabgänge zu Einstandswerten</x:v>
      </x:c>
      <x:c r="H451" s="10" t="str">
        <x:v>Verbrauch</x:v>
      </x:c>
    </x:row>
    <x:row r="452" ht="14" customHeight="1">
      <x:c r="A452" s="10" t="str">
        <x:v>2024-04-0180</x:v>
      </x:c>
      <x:c r="B452" s="11" t="n">
        <x:v>45412</x:v>
      </x:c>
      <x:c r="C452" s="10" t="n">
        <x:v>4</x:v>
      </x:c>
      <x:c r="D452" s="10" t="str">
        <x:v>6020</x:v>
      </x:c>
      <x:c r="E452" s="12" t="n">
        <x:v>86000</x:v>
      </x:c>
      <x:c r="F452" s="12" t="n">
        <x:v>0</x:v>
      </x:c>
      <x:c r="G452" s="10" t="str">
        <x:v>Lohnjournal 20 Beschäftigte</x:v>
      </x:c>
      <x:c r="H452" s="10" t="str">
        <x:v>Personal</x:v>
      </x:c>
    </x:row>
    <x:row r="453" ht="14" customHeight="1">
      <x:c r="A453" s="10" t="str">
        <x:v>2024-04-0180</x:v>
      </x:c>
      <x:c r="B453" s="11" t="n">
        <x:v>45412</x:v>
      </x:c>
      <x:c r="C453" s="10" t="n">
        <x:v>4</x:v>
      </x:c>
      <x:c r="D453" s="10" t="str">
        <x:v>6110</x:v>
      </x:c>
      <x:c r="E453" s="12" t="n">
        <x:v>18000</x:v>
      </x:c>
      <x:c r="F453" s="12" t="n">
        <x:v>0</x:v>
      </x:c>
      <x:c r="G453" s="10" t="str">
        <x:v>Lohnjournal 20 Beschäftigte</x:v>
      </x:c>
      <x:c r="H453" s="10" t="str">
        <x:v>Personal</x:v>
      </x:c>
    </x:row>
    <x:row r="454" ht="14" customHeight="1">
      <x:c r="A454" s="10" t="str">
        <x:v>2024-04-0180</x:v>
      </x:c>
      <x:c r="B454" s="11" t="n">
        <x:v>45412</x:v>
      </x:c>
      <x:c r="C454" s="10" t="n">
        <x:v>4</x:v>
      </x:c>
      <x:c r="D454" s="10" t="str">
        <x:v>3720</x:v>
      </x:c>
      <x:c r="E454" s="12" t="n">
        <x:v>0</x:v>
      </x:c>
      <x:c r="F454" s="12" t="n">
        <x:v>56760</x:v>
      </x:c>
      <x:c r="G454" s="10" t="str">
        <x:v>Lohnjournal 20 Beschäftigte</x:v>
      </x:c>
      <x:c r="H454" s="10" t="str">
        <x:v>Personal</x:v>
      </x:c>
    </x:row>
    <x:row r="455" ht="14" customHeight="1">
      <x:c r="A455" s="10" t="str">
        <x:v>2024-04-0180</x:v>
      </x:c>
      <x:c r="B455" s="11" t="n">
        <x:v>45412</x:v>
      </x:c>
      <x:c r="C455" s="10" t="n">
        <x:v>4</x:v>
      </x:c>
      <x:c r="D455" s="10" t="str">
        <x:v>3730</x:v>
      </x:c>
      <x:c r="E455" s="12" t="n">
        <x:v>0</x:v>
      </x:c>
      <x:c r="F455" s="12" t="n">
        <x:v>12900</x:v>
      </x:c>
      <x:c r="G455" s="10" t="str">
        <x:v>Lohnjournal 20 Beschäftigte</x:v>
      </x:c>
      <x:c r="H455" s="10" t="str">
        <x:v>Personal</x:v>
      </x:c>
    </x:row>
    <x:row r="456" ht="14" customHeight="1">
      <x:c r="A456" s="10" t="str">
        <x:v>2024-04-0180</x:v>
      </x:c>
      <x:c r="B456" s="11" t="n">
        <x:v>45412</x:v>
      </x:c>
      <x:c r="C456" s="10" t="n">
        <x:v>4</x:v>
      </x:c>
      <x:c r="D456" s="10" t="str">
        <x:v>3740</x:v>
      </x:c>
      <x:c r="E456" s="12" t="n">
        <x:v>0</x:v>
      </x:c>
      <x:c r="F456" s="12" t="n">
        <x:v>34340</x:v>
      </x:c>
      <x:c r="G456" s="10" t="str">
        <x:v>Lohnjournal 20 Beschäftigte</x:v>
      </x:c>
      <x:c r="H456" s="10" t="str">
        <x:v>Personal</x:v>
      </x:c>
    </x:row>
    <x:row r="457" ht="14" customHeight="1">
      <x:c r="A457" s="10" t="str">
        <x:v>2024-04-0181</x:v>
      </x:c>
      <x:c r="B457" s="11" t="n">
        <x:v>45410</x:v>
      </x:c>
      <x:c r="C457" s="10" t="n">
        <x:v>4</x:v>
      </x:c>
      <x:c r="D457" s="10" t="str">
        <x:v>3720</x:v>
      </x:c>
      <x:c r="E457" s="12" t="n">
        <x:v>56760</x:v>
      </x:c>
      <x:c r="F457" s="12" t="n">
        <x:v>0</x:v>
      </x:c>
      <x:c r="G457" s="10" t="str">
        <x:v>Zahlungsjournal Verbindlichkeiten Nettolöhne</x:v>
      </x:c>
      <x:c r="H457" s="10" t="str">
        <x:v>Personalzahlung</x:v>
      </x:c>
    </x:row>
    <x:row r="458" ht="14" customHeight="1">
      <x:c r="A458" s="10" t="str">
        <x:v>2024-04-0181</x:v>
      </x:c>
      <x:c r="B458" s="11" t="n">
        <x:v>45410</x:v>
      </x:c>
      <x:c r="C458" s="10" t="n">
        <x:v>4</x:v>
      </x:c>
      <x:c r="D458" s="10" t="str">
        <x:v>1800</x:v>
      </x:c>
      <x:c r="E458" s="12" t="n">
        <x:v>0</x:v>
      </x:c>
      <x:c r="F458" s="12" t="n">
        <x:v>56760</x:v>
      </x:c>
      <x:c r="G458" s="10" t="str">
        <x:v>Zahlungsjournal Verbindlichkeiten Nettolöhne</x:v>
      </x:c>
      <x:c r="H458" s="10" t="str">
        <x:v>Personalzahlung</x:v>
      </x:c>
    </x:row>
    <x:row r="459" ht="14" customHeight="1">
      <x:c r="A459" s="10" t="str">
        <x:v>2024-04-0182</x:v>
      </x:c>
      <x:c r="B459" s="11" t="n">
        <x:v>45392</x:v>
      </x:c>
      <x:c r="C459" s="10" t="n">
        <x:v>4</x:v>
      </x:c>
      <x:c r="D459" s="10" t="str">
        <x:v>3730</x:v>
      </x:c>
      <x:c r="E459" s="12" t="n">
        <x:v>12900</x:v>
      </x:c>
      <x:c r="F459" s="12" t="n">
        <x:v>0</x:v>
      </x:c>
      <x:c r="G459" s="10" t="str">
        <x:v>Zahlungsjournal Verbindlichkeiten Lohnsteuer</x:v>
      </x:c>
      <x:c r="H459" s="10" t="str">
        <x:v>Personalzahlung</x:v>
      </x:c>
    </x:row>
    <x:row r="460" ht="14" customHeight="1">
      <x:c r="A460" s="10" t="str">
        <x:v>2024-04-0182</x:v>
      </x:c>
      <x:c r="B460" s="11" t="n">
        <x:v>45392</x:v>
      </x:c>
      <x:c r="C460" s="10" t="n">
        <x:v>4</x:v>
      </x:c>
      <x:c r="D460" s="10" t="str">
        <x:v>1800</x:v>
      </x:c>
      <x:c r="E460" s="12" t="n">
        <x:v>0</x:v>
      </x:c>
      <x:c r="F460" s="12" t="n">
        <x:v>12900</x:v>
      </x:c>
      <x:c r="G460" s="10" t="str">
        <x:v>Zahlungsjournal Verbindlichkeiten Lohnsteuer</x:v>
      </x:c>
      <x:c r="H460" s="10" t="str">
        <x:v>Personalzahlung</x:v>
      </x:c>
    </x:row>
    <x:row r="461" ht="14" customHeight="1">
      <x:c r="A461" s="10" t="str">
        <x:v>2024-04-0183</x:v>
      </x:c>
      <x:c r="B461" s="11" t="n">
        <x:v>45410</x:v>
      </x:c>
      <x:c r="C461" s="10" t="n">
        <x:v>4</x:v>
      </x:c>
      <x:c r="D461" s="10" t="str">
        <x:v>3740</x:v>
      </x:c>
      <x:c r="E461" s="12" t="n">
        <x:v>34340</x:v>
      </x:c>
      <x:c r="F461" s="12" t="n">
        <x:v>0</x:v>
      </x:c>
      <x:c r="G461" s="10" t="str">
        <x:v>Zahlungsjournal Verbindlichkeiten Sozialversicherung</x:v>
      </x:c>
      <x:c r="H461" s="10" t="str">
        <x:v>Personalzahlung</x:v>
      </x:c>
    </x:row>
    <x:row r="462" ht="14" customHeight="1">
      <x:c r="A462" s="10" t="str">
        <x:v>2024-04-0183</x:v>
      </x:c>
      <x:c r="B462" s="11" t="n">
        <x:v>45410</x:v>
      </x:c>
      <x:c r="C462" s="10" t="n">
        <x:v>4</x:v>
      </x:c>
      <x:c r="D462" s="10" t="str">
        <x:v>1800</x:v>
      </x:c>
      <x:c r="E462" s="12" t="n">
        <x:v>0</x:v>
      </x:c>
      <x:c r="F462" s="12" t="n">
        <x:v>34340</x:v>
      </x:c>
      <x:c r="G462" s="10" t="str">
        <x:v>Zahlungsjournal Verbindlichkeiten Sozialversicherung</x:v>
      </x:c>
      <x:c r="H462" s="10" t="str">
        <x:v>Personalzahlung</x:v>
      </x:c>
    </x:row>
    <x:row r="463" ht="14" customHeight="1">
      <x:c r="A463" s="10" t="str">
        <x:v>2024-04-0184</x:v>
      </x:c>
      <x:c r="B463" s="11" t="n">
        <x:v>45412</x:v>
      </x:c>
      <x:c r="C463" s="10" t="n">
        <x:v>4</x:v>
      </x:c>
      <x:c r="D463" s="10" t="str">
        <x:v>6310</x:v>
      </x:c>
      <x:c r="E463" s="12" t="n">
        <x:v>4000</x:v>
      </x:c>
      <x:c r="F463" s="12" t="n">
        <x:v>0</x:v>
      </x:c>
      <x:c r="G463" s="10" t="str">
        <x:v>Miete Büro Nürnberg Monatsjournal</x:v>
      </x:c>
      <x:c r="H463" s="10" t="str">
        <x:v>Betriebskosten</x:v>
      </x:c>
    </x:row>
    <x:row r="464" ht="14" customHeight="1">
      <x:c r="A464" s="10" t="str">
        <x:v>2024-04-0184</x:v>
      </x:c>
      <x:c r="B464" s="11" t="n">
        <x:v>45412</x:v>
      </x:c>
      <x:c r="C464" s="10" t="n">
        <x:v>4</x:v>
      </x:c>
      <x:c r="D464" s="10" t="str">
        <x:v>1406</x:v>
      </x:c>
      <x:c r="E464" s="12" t="n">
        <x:v>760</x:v>
      </x:c>
      <x:c r="F464" s="12" t="n">
        <x:v>0</x:v>
      </x:c>
      <x:c r="G464" s="10" t="str">
        <x:v>Miete Büro Nürnberg Monatsjournal</x:v>
      </x:c>
      <x:c r="H464" s="10" t="str">
        <x:v>Betriebskosten</x:v>
      </x:c>
    </x:row>
    <x:row r="465" ht="14" customHeight="1">
      <x:c r="A465" s="10" t="str">
        <x:v>2024-04-0184</x:v>
      </x:c>
      <x:c r="B465" s="11" t="n">
        <x:v>45412</x:v>
      </x:c>
      <x:c r="C465" s="10" t="n">
        <x:v>4</x:v>
      </x:c>
      <x:c r="D465" s="10" t="str">
        <x:v>3300</x:v>
      </x:c>
      <x:c r="E465" s="12" t="n">
        <x:v>0</x:v>
      </x:c>
      <x:c r="F465" s="12" t="n">
        <x:v>4760</x:v>
      </x:c>
      <x:c r="G465" s="10" t="str">
        <x:v>Miete Büro Nürnberg Monatsjournal</x:v>
      </x:c>
      <x:c r="H465" s="10" t="str">
        <x:v>Betriebskosten</x:v>
      </x:c>
    </x:row>
    <x:row r="466" ht="14" customHeight="1">
      <x:c r="A466" s="10" t="str">
        <x:v>2024-04-0185</x:v>
      </x:c>
      <x:c r="B466" s="11" t="n">
        <x:v>45412</x:v>
      </x:c>
      <x:c r="C466" s="10" t="n">
        <x:v>4</x:v>
      </x:c>
      <x:c r="D466" s="10" t="str">
        <x:v>6311</x:v>
      </x:c>
      <x:c r="E466" s="12" t="n">
        <x:v>10000</x:v>
      </x:c>
      <x:c r="F466" s="12" t="n">
        <x:v>0</x:v>
      </x:c>
      <x:c r="G466" s="10" t="str">
        <x:v>Miete Lager Erlangen Monatsjournal</x:v>
      </x:c>
      <x:c r="H466" s="10" t="str">
        <x:v>Betriebskosten</x:v>
      </x:c>
    </x:row>
    <x:row r="467" ht="14" customHeight="1">
      <x:c r="A467" s="10" t="str">
        <x:v>2024-04-0185</x:v>
      </x:c>
      <x:c r="B467" s="11" t="n">
        <x:v>45412</x:v>
      </x:c>
      <x:c r="C467" s="10" t="n">
        <x:v>4</x:v>
      </x:c>
      <x:c r="D467" s="10" t="str">
        <x:v>1406</x:v>
      </x:c>
      <x:c r="E467" s="12" t="n">
        <x:v>1900</x:v>
      </x:c>
      <x:c r="F467" s="12" t="n">
        <x:v>0</x:v>
      </x:c>
      <x:c r="G467" s="10" t="str">
        <x:v>Miete Lager Erlangen Monatsjournal</x:v>
      </x:c>
      <x:c r="H467" s="10" t="str">
        <x:v>Betriebskosten</x:v>
      </x:c>
    </x:row>
    <x:row r="468" ht="14" customHeight="1">
      <x:c r="A468" s="10" t="str">
        <x:v>2024-04-0185</x:v>
      </x:c>
      <x:c r="B468" s="11" t="n">
        <x:v>45412</x:v>
      </x:c>
      <x:c r="C468" s="10" t="n">
        <x:v>4</x:v>
      </x:c>
      <x:c r="D468" s="10" t="str">
        <x:v>3300</x:v>
      </x:c>
      <x:c r="E468" s="12" t="n">
        <x:v>0</x:v>
      </x:c>
      <x:c r="F468" s="12" t="n">
        <x:v>11900</x:v>
      </x:c>
      <x:c r="G468" s="10" t="str">
        <x:v>Miete Lager Erlangen Monatsjournal</x:v>
      </x:c>
      <x:c r="H468" s="10" t="str">
        <x:v>Betriebskosten</x:v>
      </x:c>
    </x:row>
    <x:row r="469" ht="14" customHeight="1">
      <x:c r="A469" s="10" t="str">
        <x:v>2024-04-0186</x:v>
      </x:c>
      <x:c r="B469" s="11" t="n">
        <x:v>45412</x:v>
      </x:c>
      <x:c r="C469" s="10" t="n">
        <x:v>4</x:v>
      </x:c>
      <x:c r="D469" s="10" t="str">
        <x:v>6325</x:v>
      </x:c>
      <x:c r="E469" s="12" t="n">
        <x:v>4500</x:v>
      </x:c>
      <x:c r="F469" s="12" t="n">
        <x:v>0</x:v>
      </x:c>
      <x:c r="G469" s="10" t="str">
        <x:v>Strom und Kühlung Monatsjournal</x:v>
      </x:c>
      <x:c r="H469" s="10" t="str">
        <x:v>Betriebskosten</x:v>
      </x:c>
    </x:row>
    <x:row r="470" ht="14" customHeight="1">
      <x:c r="A470" s="10" t="str">
        <x:v>2024-04-0186</x:v>
      </x:c>
      <x:c r="B470" s="11" t="n">
        <x:v>45412</x:v>
      </x:c>
      <x:c r="C470" s="10" t="n">
        <x:v>4</x:v>
      </x:c>
      <x:c r="D470" s="10" t="str">
        <x:v>1406</x:v>
      </x:c>
      <x:c r="E470" s="12" t="n">
        <x:v>855</x:v>
      </x:c>
      <x:c r="F470" s="12" t="n">
        <x:v>0</x:v>
      </x:c>
      <x:c r="G470" s="10" t="str">
        <x:v>Strom und Kühlung Monatsjournal</x:v>
      </x:c>
      <x:c r="H470" s="10" t="str">
        <x:v>Betriebskosten</x:v>
      </x:c>
    </x:row>
    <x:row r="471" ht="14" customHeight="1">
      <x:c r="A471" s="10" t="str">
        <x:v>2024-04-0186</x:v>
      </x:c>
      <x:c r="B471" s="11" t="n">
        <x:v>45412</x:v>
      </x:c>
      <x:c r="C471" s="10" t="n">
        <x:v>4</x:v>
      </x:c>
      <x:c r="D471" s="10" t="str">
        <x:v>3300</x:v>
      </x:c>
      <x:c r="E471" s="12" t="n">
        <x:v>0</x:v>
      </x:c>
      <x:c r="F471" s="12" t="n">
        <x:v>5355</x:v>
      </x:c>
      <x:c r="G471" s="10" t="str">
        <x:v>Strom und Kühlung Monatsjournal</x:v>
      </x:c>
      <x:c r="H471" s="10" t="str">
        <x:v>Betriebskosten</x:v>
      </x:c>
    </x:row>
    <x:row r="472" ht="14" customHeight="1">
      <x:c r="A472" s="10" t="str">
        <x:v>2024-04-0187</x:v>
      </x:c>
      <x:c r="B472" s="11" t="n">
        <x:v>45412</x:v>
      </x:c>
      <x:c r="C472" s="10" t="n">
        <x:v>4</x:v>
      </x:c>
      <x:c r="D472" s="10" t="str">
        <x:v>6400</x:v>
      </x:c>
      <x:c r="E472" s="12" t="n">
        <x:v>2500</x:v>
      </x:c>
      <x:c r="F472" s="12" t="n">
        <x:v>0</x:v>
      </x:c>
      <x:c r="G472" s="10" t="str">
        <x:v>Versicherungen Monatsjournal</x:v>
      </x:c>
      <x:c r="H472" s="10" t="str">
        <x:v>Betriebskosten</x:v>
      </x:c>
    </x:row>
    <x:row r="473" ht="14" customHeight="1">
      <x:c r="A473" s="10" t="str">
        <x:v>2024-04-0187</x:v>
      </x:c>
      <x:c r="B473" s="11" t="n">
        <x:v>45412</x:v>
      </x:c>
      <x:c r="C473" s="10" t="n">
        <x:v>4</x:v>
      </x:c>
      <x:c r="D473" s="10" t="str">
        <x:v>3300</x:v>
      </x:c>
      <x:c r="E473" s="12" t="n">
        <x:v>0</x:v>
      </x:c>
      <x:c r="F473" s="12" t="n">
        <x:v>2500</x:v>
      </x:c>
      <x:c r="G473" s="10" t="str">
        <x:v>Versicherungen Monatsjournal</x:v>
      </x:c>
      <x:c r="H473" s="10" t="str">
        <x:v>Betriebskosten</x:v>
      </x:c>
    </x:row>
    <x:row r="474" ht="14" customHeight="1">
      <x:c r="A474" s="10" t="str">
        <x:v>2024-04-0188</x:v>
      </x:c>
      <x:c r="B474" s="11" t="n">
        <x:v>45412</x:v>
      </x:c>
      <x:c r="C474" s="10" t="n">
        <x:v>4</x:v>
      </x:c>
      <x:c r="D474" s="10" t="str">
        <x:v>6470</x:v>
      </x:c>
      <x:c r="E474" s="12" t="n">
        <x:v>6000</x:v>
      </x:c>
      <x:c r="F474" s="12" t="n">
        <x:v>0</x:v>
      </x:c>
      <x:c r="G474" s="10" t="str">
        <x:v>Lagerbetrieb und Reinigung Monatsjournal</x:v>
      </x:c>
      <x:c r="H474" s="10" t="str">
        <x:v>Betriebskosten</x:v>
      </x:c>
    </x:row>
    <x:row r="475" ht="14" customHeight="1">
      <x:c r="A475" s="10" t="str">
        <x:v>2024-04-0188</x:v>
      </x:c>
      <x:c r="B475" s="11" t="n">
        <x:v>45412</x:v>
      </x:c>
      <x:c r="C475" s="10" t="n">
        <x:v>4</x:v>
      </x:c>
      <x:c r="D475" s="10" t="str">
        <x:v>1406</x:v>
      </x:c>
      <x:c r="E475" s="12" t="n">
        <x:v>1140</x:v>
      </x:c>
      <x:c r="F475" s="12" t="n">
        <x:v>0</x:v>
      </x:c>
      <x:c r="G475" s="10" t="str">
        <x:v>Lagerbetrieb und Reinigung Monatsjournal</x:v>
      </x:c>
      <x:c r="H475" s="10" t="str">
        <x:v>Betriebskosten</x:v>
      </x:c>
    </x:row>
    <x:row r="476" ht="14" customHeight="1">
      <x:c r="A476" s="10" t="str">
        <x:v>2024-04-0188</x:v>
      </x:c>
      <x:c r="B476" s="11" t="n">
        <x:v>45412</x:v>
      </x:c>
      <x:c r="C476" s="10" t="n">
        <x:v>4</x:v>
      </x:c>
      <x:c r="D476" s="10" t="str">
        <x:v>3300</x:v>
      </x:c>
      <x:c r="E476" s="12" t="n">
        <x:v>0</x:v>
      </x:c>
      <x:c r="F476" s="12" t="n">
        <x:v>7140</x:v>
      </x:c>
      <x:c r="G476" s="10" t="str">
        <x:v>Lagerbetrieb und Reinigung Monatsjournal</x:v>
      </x:c>
      <x:c r="H476" s="10" t="str">
        <x:v>Betriebskosten</x:v>
      </x:c>
    </x:row>
    <x:row r="477" ht="14" customHeight="1">
      <x:c r="A477" s="10" t="str">
        <x:v>2024-04-0189</x:v>
      </x:c>
      <x:c r="B477" s="11" t="n">
        <x:v>45412</x:v>
      </x:c>
      <x:c r="C477" s="10" t="n">
        <x:v>4</x:v>
      </x:c>
      <x:c r="D477" s="10" t="str">
        <x:v>6490</x:v>
      </x:c>
      <x:c r="E477" s="12" t="n">
        <x:v>2500</x:v>
      </x:c>
      <x:c r="F477" s="12" t="n">
        <x:v>0</x:v>
      </x:c>
      <x:c r="G477" s="10" t="str">
        <x:v>Reparaturen und Wartung Monatsjournal</x:v>
      </x:c>
      <x:c r="H477" s="10" t="str">
        <x:v>Betriebskosten</x:v>
      </x:c>
    </x:row>
    <x:row r="478" ht="14" customHeight="1">
      <x:c r="A478" s="10" t="str">
        <x:v>2024-04-0189</x:v>
      </x:c>
      <x:c r="B478" s="11" t="n">
        <x:v>45412</x:v>
      </x:c>
      <x:c r="C478" s="10" t="n">
        <x:v>4</x:v>
      </x:c>
      <x:c r="D478" s="10" t="str">
        <x:v>1406</x:v>
      </x:c>
      <x:c r="E478" s="12" t="n">
        <x:v>475</x:v>
      </x:c>
      <x:c r="F478" s="12" t="n">
        <x:v>0</x:v>
      </x:c>
      <x:c r="G478" s="10" t="str">
        <x:v>Reparaturen und Wartung Monatsjournal</x:v>
      </x:c>
      <x:c r="H478" s="10" t="str">
        <x:v>Betriebskosten</x:v>
      </x:c>
    </x:row>
    <x:row r="479" ht="14" customHeight="1">
      <x:c r="A479" s="10" t="str">
        <x:v>2024-04-0189</x:v>
      </x:c>
      <x:c r="B479" s="11" t="n">
        <x:v>45412</x:v>
      </x:c>
      <x:c r="C479" s="10" t="n">
        <x:v>4</x:v>
      </x:c>
      <x:c r="D479" s="10" t="str">
        <x:v>3300</x:v>
      </x:c>
      <x:c r="E479" s="12" t="n">
        <x:v>0</x:v>
      </x:c>
      <x:c r="F479" s="12" t="n">
        <x:v>2975</x:v>
      </x:c>
      <x:c r="G479" s="10" t="str">
        <x:v>Reparaturen und Wartung Monatsjournal</x:v>
      </x:c>
      <x:c r="H479" s="10" t="str">
        <x:v>Betriebskosten</x:v>
      </x:c>
    </x:row>
    <x:row r="480" ht="14" customHeight="1">
      <x:c r="A480" s="10" t="str">
        <x:v>2024-04-0190</x:v>
      </x:c>
      <x:c r="B480" s="11" t="n">
        <x:v>45412</x:v>
      </x:c>
      <x:c r="C480" s="10" t="n">
        <x:v>4</x:v>
      </x:c>
      <x:c r="D480" s="10" t="str">
        <x:v>6600</x:v>
      </x:c>
      <x:c r="E480" s="12" t="n">
        <x:v>6000</x:v>
      </x:c>
      <x:c r="F480" s="12" t="n">
        <x:v>0</x:v>
      </x:c>
      <x:c r="G480" s="10" t="str">
        <x:v>Marketing und Messen Monatsjournal</x:v>
      </x:c>
      <x:c r="H480" s="10" t="str">
        <x:v>Betriebskosten</x:v>
      </x:c>
    </x:row>
    <x:row r="481" ht="14" customHeight="1">
      <x:c r="A481" s="10" t="str">
        <x:v>2024-04-0190</x:v>
      </x:c>
      <x:c r="B481" s="11" t="n">
        <x:v>45412</x:v>
      </x:c>
      <x:c r="C481" s="10" t="n">
        <x:v>4</x:v>
      </x:c>
      <x:c r="D481" s="10" t="str">
        <x:v>1406</x:v>
      </x:c>
      <x:c r="E481" s="12" t="n">
        <x:v>1140</x:v>
      </x:c>
      <x:c r="F481" s="12" t="n">
        <x:v>0</x:v>
      </x:c>
      <x:c r="G481" s="10" t="str">
        <x:v>Marketing und Messen Monatsjournal</x:v>
      </x:c>
      <x:c r="H481" s="10" t="str">
        <x:v>Betriebskosten</x:v>
      </x:c>
    </x:row>
    <x:row r="482" ht="14" customHeight="1">
      <x:c r="A482" s="10" t="str">
        <x:v>2024-04-0190</x:v>
      </x:c>
      <x:c r="B482" s="11" t="n">
        <x:v>45412</x:v>
      </x:c>
      <x:c r="C482" s="10" t="n">
        <x:v>4</x:v>
      </x:c>
      <x:c r="D482" s="10" t="str">
        <x:v>3300</x:v>
      </x:c>
      <x:c r="E482" s="12" t="n">
        <x:v>0</x:v>
      </x:c>
      <x:c r="F482" s="12" t="n">
        <x:v>7140</x:v>
      </x:c>
      <x:c r="G482" s="10" t="str">
        <x:v>Marketing und Messen Monatsjournal</x:v>
      </x:c>
      <x:c r="H482" s="10" t="str">
        <x:v>Betriebskosten</x:v>
      </x:c>
    </x:row>
    <x:row r="483" ht="14" customHeight="1">
      <x:c r="A483" s="10" t="str">
        <x:v>2024-04-0191</x:v>
      </x:c>
      <x:c r="B483" s="11" t="n">
        <x:v>45412</x:v>
      </x:c>
      <x:c r="C483" s="10" t="n">
        <x:v>4</x:v>
      </x:c>
      <x:c r="D483" s="10" t="str">
        <x:v>6650</x:v>
      </x:c>
      <x:c r="E483" s="12" t="n">
        <x:v>1500</x:v>
      </x:c>
      <x:c r="F483" s="12" t="n">
        <x:v>0</x:v>
      </x:c>
      <x:c r="G483" s="10" t="str">
        <x:v>Reisekosten Monatsjournal</x:v>
      </x:c>
      <x:c r="H483" s="10" t="str">
        <x:v>Betriebskosten</x:v>
      </x:c>
    </x:row>
    <x:row r="484" ht="14" customHeight="1">
      <x:c r="A484" s="10" t="str">
        <x:v>2024-04-0191</x:v>
      </x:c>
      <x:c r="B484" s="11" t="n">
        <x:v>45412</x:v>
      </x:c>
      <x:c r="C484" s="10" t="n">
        <x:v>4</x:v>
      </x:c>
      <x:c r="D484" s="10" t="str">
        <x:v>1406</x:v>
      </x:c>
      <x:c r="E484" s="12" t="n">
        <x:v>285</x:v>
      </x:c>
      <x:c r="F484" s="12" t="n">
        <x:v>0</x:v>
      </x:c>
      <x:c r="G484" s="10" t="str">
        <x:v>Reisekosten Monatsjournal</x:v>
      </x:c>
      <x:c r="H484" s="10" t="str">
        <x:v>Betriebskosten</x:v>
      </x:c>
    </x:row>
    <x:row r="485" ht="14" customHeight="1">
      <x:c r="A485" s="10" t="str">
        <x:v>2024-04-0191</x:v>
      </x:c>
      <x:c r="B485" s="11" t="n">
        <x:v>45412</x:v>
      </x:c>
      <x:c r="C485" s="10" t="n">
        <x:v>4</x:v>
      </x:c>
      <x:c r="D485" s="10" t="str">
        <x:v>3300</x:v>
      </x:c>
      <x:c r="E485" s="12" t="n">
        <x:v>0</x:v>
      </x:c>
      <x:c r="F485" s="12" t="n">
        <x:v>1485</x:v>
      </x:c>
      <x:c r="G485" s="10" t="str">
        <x:v>Reisekosten Monatsjournal</x:v>
      </x:c>
      <x:c r="H485" s="10" t="str">
        <x:v>Betriebskosten</x:v>
      </x:c>
    </x:row>
    <x:row r="486" ht="14" customHeight="1">
      <x:c r="A486" s="10" t="str">
        <x:v>2024-04-0191</x:v>
      </x:c>
      <x:c r="B486" s="11" t="n">
        <x:v>45412</x:v>
      </x:c>
      <x:c r="C486" s="10" t="n">
        <x:v>4</x:v>
      </x:c>
      <x:c r="D486" s="10" t="str">
        <x:v>1600</x:v>
      </x:c>
      <x:c r="E486" s="12" t="n">
        <x:v>0</x:v>
      </x:c>
      <x:c r="F486" s="12" t="n">
        <x:v>300</x:v>
      </x:c>
      <x:c r="G486" s="10" t="str">
        <x:v>Reisekosten Monatsjournal</x:v>
      </x:c>
      <x:c r="H486" s="10" t="str">
        <x:v>Betriebskosten</x:v>
      </x:c>
    </x:row>
    <x:row r="487" ht="14" customHeight="1">
      <x:c r="A487" s="10" t="str">
        <x:v>2024-04-0192</x:v>
      </x:c>
      <x:c r="B487" s="11" t="n">
        <x:v>45412</x:v>
      </x:c>
      <x:c r="C487" s="10" t="n">
        <x:v>4</x:v>
      </x:c>
      <x:c r="D487" s="10" t="str">
        <x:v>6740</x:v>
      </x:c>
      <x:c r="E487" s="12" t="n">
        <x:v>13000</x:v>
      </x:c>
      <x:c r="F487" s="12" t="n">
        <x:v>0</x:v>
      </x:c>
      <x:c r="G487" s="10" t="str">
        <x:v>Ausgangsfrachten Inland Monatsjournal</x:v>
      </x:c>
      <x:c r="H487" s="10" t="str">
        <x:v>Betriebskosten</x:v>
      </x:c>
    </x:row>
    <x:row r="488" ht="14" customHeight="1">
      <x:c r="A488" s="10" t="str">
        <x:v>2024-04-0192</x:v>
      </x:c>
      <x:c r="B488" s="11" t="n">
        <x:v>45412</x:v>
      </x:c>
      <x:c r="C488" s="10" t="n">
        <x:v>4</x:v>
      </x:c>
      <x:c r="D488" s="10" t="str">
        <x:v>1406</x:v>
      </x:c>
      <x:c r="E488" s="12" t="n">
        <x:v>2470</x:v>
      </x:c>
      <x:c r="F488" s="12" t="n">
        <x:v>0</x:v>
      </x:c>
      <x:c r="G488" s="10" t="str">
        <x:v>Ausgangsfrachten Inland Monatsjournal</x:v>
      </x:c>
      <x:c r="H488" s="10" t="str">
        <x:v>Betriebskosten</x:v>
      </x:c>
    </x:row>
    <x:row r="489" ht="14" customHeight="1">
      <x:c r="A489" s="10" t="str">
        <x:v>2024-04-0192</x:v>
      </x:c>
      <x:c r="B489" s="11" t="n">
        <x:v>45412</x:v>
      </x:c>
      <x:c r="C489" s="10" t="n">
        <x:v>4</x:v>
      </x:c>
      <x:c r="D489" s="10" t="str">
        <x:v>3300</x:v>
      </x:c>
      <x:c r="E489" s="12" t="n">
        <x:v>0</x:v>
      </x:c>
      <x:c r="F489" s="12" t="n">
        <x:v>15470</x:v>
      </x:c>
      <x:c r="G489" s="10" t="str">
        <x:v>Ausgangsfrachten Inland Monatsjournal</x:v>
      </x:c>
      <x:c r="H489" s="10" t="str">
        <x:v>Betriebskosten</x:v>
      </x:c>
    </x:row>
    <x:row r="490" ht="14" customHeight="1">
      <x:c r="A490" s="10" t="str">
        <x:v>2024-04-0193</x:v>
      </x:c>
      <x:c r="B490" s="11" t="n">
        <x:v>45412</x:v>
      </x:c>
      <x:c r="C490" s="10" t="n">
        <x:v>4</x:v>
      </x:c>
      <x:c r="D490" s="10" t="str">
        <x:v>6741</x:v>
      </x:c>
      <x:c r="E490" s="12" t="n">
        <x:v>14000</x:v>
      </x:c>
      <x:c r="F490" s="12" t="n">
        <x:v>0</x:v>
      </x:c>
      <x:c r="G490" s="10" t="str">
        <x:v>Ausgangsfrachten Ausland Monatsjournal</x:v>
      </x:c>
      <x:c r="H490" s="10" t="str">
        <x:v>Betriebskosten</x:v>
      </x:c>
    </x:row>
    <x:row r="491" ht="14" customHeight="1">
      <x:c r="A491" s="10" t="str">
        <x:v>2024-04-0193</x:v>
      </x:c>
      <x:c r="B491" s="11" t="n">
        <x:v>45412</x:v>
      </x:c>
      <x:c r="C491" s="10" t="n">
        <x:v>4</x:v>
      </x:c>
      <x:c r="D491" s="10" t="str">
        <x:v>1406</x:v>
      </x:c>
      <x:c r="E491" s="12" t="n">
        <x:v>2660</x:v>
      </x:c>
      <x:c r="F491" s="12" t="n">
        <x:v>0</x:v>
      </x:c>
      <x:c r="G491" s="10" t="str">
        <x:v>Ausgangsfrachten Ausland Monatsjournal</x:v>
      </x:c>
      <x:c r="H491" s="10" t="str">
        <x:v>Betriebskosten</x:v>
      </x:c>
    </x:row>
    <x:row r="492" ht="14" customHeight="1">
      <x:c r="A492" s="10" t="str">
        <x:v>2024-04-0193</x:v>
      </x:c>
      <x:c r="B492" s="11" t="n">
        <x:v>45412</x:v>
      </x:c>
      <x:c r="C492" s="10" t="n">
        <x:v>4</x:v>
      </x:c>
      <x:c r="D492" s="10" t="str">
        <x:v>3300</x:v>
      </x:c>
      <x:c r="E492" s="12" t="n">
        <x:v>0</x:v>
      </x:c>
      <x:c r="F492" s="12" t="n">
        <x:v>16660</x:v>
      </x:c>
      <x:c r="G492" s="10" t="str">
        <x:v>Ausgangsfrachten Ausland Monatsjournal</x:v>
      </x:c>
      <x:c r="H492" s="10" t="str">
        <x:v>Betriebskosten</x:v>
      </x:c>
    </x:row>
    <x:row r="493" ht="14" customHeight="1">
      <x:c r="A493" s="10" t="str">
        <x:v>2024-04-0194</x:v>
      </x:c>
      <x:c r="B493" s="11" t="n">
        <x:v>45412</x:v>
      </x:c>
      <x:c r="C493" s="10" t="n">
        <x:v>4</x:v>
      </x:c>
      <x:c r="D493" s="10" t="str">
        <x:v>6805</x:v>
      </x:c>
      <x:c r="E493" s="12" t="n">
        <x:v>1500</x:v>
      </x:c>
      <x:c r="F493" s="12" t="n">
        <x:v>0</x:v>
      </x:c>
      <x:c r="G493" s="10" t="str">
        <x:v>Telekommunikation und IT Monatsjournal</x:v>
      </x:c>
      <x:c r="H493" s="10" t="str">
        <x:v>Betriebskosten</x:v>
      </x:c>
    </x:row>
    <x:row r="494" ht="14" customHeight="1">
      <x:c r="A494" s="10" t="str">
        <x:v>2024-04-0194</x:v>
      </x:c>
      <x:c r="B494" s="11" t="n">
        <x:v>45412</x:v>
      </x:c>
      <x:c r="C494" s="10" t="n">
        <x:v>4</x:v>
      </x:c>
      <x:c r="D494" s="10" t="str">
        <x:v>1406</x:v>
      </x:c>
      <x:c r="E494" s="12" t="n">
        <x:v>285</x:v>
      </x:c>
      <x:c r="F494" s="12" t="n">
        <x:v>0</x:v>
      </x:c>
      <x:c r="G494" s="10" t="str">
        <x:v>Telekommunikation und IT Monatsjournal</x:v>
      </x:c>
      <x:c r="H494" s="10" t="str">
        <x:v>Betriebskosten</x:v>
      </x:c>
    </x:row>
    <x:row r="495" ht="14" customHeight="1">
      <x:c r="A495" s="10" t="str">
        <x:v>2024-04-0194</x:v>
      </x:c>
      <x:c r="B495" s="11" t="n">
        <x:v>45412</x:v>
      </x:c>
      <x:c r="C495" s="10" t="n">
        <x:v>4</x:v>
      </x:c>
      <x:c r="D495" s="10" t="str">
        <x:v>3300</x:v>
      </x:c>
      <x:c r="E495" s="12" t="n">
        <x:v>0</x:v>
      </x:c>
      <x:c r="F495" s="12" t="n">
        <x:v>1785</x:v>
      </x:c>
      <x:c r="G495" s="10" t="str">
        <x:v>Telekommunikation und IT Monatsjournal</x:v>
      </x:c>
      <x:c r="H495" s="10" t="str">
        <x:v>Betriebskosten</x:v>
      </x:c>
    </x:row>
    <x:row r="496" ht="14" customHeight="1">
      <x:c r="A496" s="10" t="str">
        <x:v>2024-04-0195</x:v>
      </x:c>
      <x:c r="B496" s="11" t="n">
        <x:v>45412</x:v>
      </x:c>
      <x:c r="C496" s="10" t="n">
        <x:v>4</x:v>
      </x:c>
      <x:c r="D496" s="10" t="str">
        <x:v>6825</x:v>
      </x:c>
      <x:c r="E496" s="12" t="n">
        <x:v>3000</x:v>
      </x:c>
      <x:c r="F496" s="12" t="n">
        <x:v>0</x:v>
      </x:c>
      <x:c r="G496" s="10" t="str">
        <x:v>Rechtsberatung und Buchführung Monatsjournal</x:v>
      </x:c>
      <x:c r="H496" s="10" t="str">
        <x:v>Betriebskosten</x:v>
      </x:c>
    </x:row>
    <x:row r="497" ht="14" customHeight="1">
      <x:c r="A497" s="10" t="str">
        <x:v>2024-04-0195</x:v>
      </x:c>
      <x:c r="B497" s="11" t="n">
        <x:v>45412</x:v>
      </x:c>
      <x:c r="C497" s="10" t="n">
        <x:v>4</x:v>
      </x:c>
      <x:c r="D497" s="10" t="str">
        <x:v>1406</x:v>
      </x:c>
      <x:c r="E497" s="12" t="n">
        <x:v>570</x:v>
      </x:c>
      <x:c r="F497" s="12" t="n">
        <x:v>0</x:v>
      </x:c>
      <x:c r="G497" s="10" t="str">
        <x:v>Rechtsberatung und Buchführung Monatsjournal</x:v>
      </x:c>
      <x:c r="H497" s="10" t="str">
        <x:v>Betriebskosten</x:v>
      </x:c>
    </x:row>
    <x:row r="498" ht="14" customHeight="1">
      <x:c r="A498" s="10" t="str">
        <x:v>2024-04-0195</x:v>
      </x:c>
      <x:c r="B498" s="11" t="n">
        <x:v>45412</x:v>
      </x:c>
      <x:c r="C498" s="10" t="n">
        <x:v>4</x:v>
      </x:c>
      <x:c r="D498" s="10" t="str">
        <x:v>3300</x:v>
      </x:c>
      <x:c r="E498" s="12" t="n">
        <x:v>0</x:v>
      </x:c>
      <x:c r="F498" s="12" t="n">
        <x:v>3570</x:v>
      </x:c>
      <x:c r="G498" s="10" t="str">
        <x:v>Rechtsberatung und Buchführung Monatsjournal</x:v>
      </x:c>
      <x:c r="H498" s="10" t="str">
        <x:v>Betriebskosten</x:v>
      </x:c>
    </x:row>
    <x:row r="499" ht="14" customHeight="1">
      <x:c r="A499" s="10" t="str">
        <x:v>2024-04-0196</x:v>
      </x:c>
      <x:c r="B499" s="11" t="n">
        <x:v>45412</x:v>
      </x:c>
      <x:c r="C499" s="10" t="n">
        <x:v>4</x:v>
      </x:c>
      <x:c r="D499" s="10" t="str">
        <x:v>6830</x:v>
      </x:c>
      <x:c r="E499" s="12" t="n">
        <x:v>3500</x:v>
      </x:c>
      <x:c r="F499" s="12" t="n">
        <x:v>0</x:v>
      </x:c>
      <x:c r="G499" s="10" t="str">
        <x:v>Labor und Qualitätssicherung Monatsjournal</x:v>
      </x:c>
      <x:c r="H499" s="10" t="str">
        <x:v>Betriebskosten</x:v>
      </x:c>
    </x:row>
    <x:row r="500" ht="14" customHeight="1">
      <x:c r="A500" s="10" t="str">
        <x:v>2024-04-0196</x:v>
      </x:c>
      <x:c r="B500" s="11" t="n">
        <x:v>45412</x:v>
      </x:c>
      <x:c r="C500" s="10" t="n">
        <x:v>4</x:v>
      </x:c>
      <x:c r="D500" s="10" t="str">
        <x:v>1406</x:v>
      </x:c>
      <x:c r="E500" s="12" t="n">
        <x:v>665</x:v>
      </x:c>
      <x:c r="F500" s="12" t="n">
        <x:v>0</x:v>
      </x:c>
      <x:c r="G500" s="10" t="str">
        <x:v>Labor und Qualitätssicherung Monatsjournal</x:v>
      </x:c>
      <x:c r="H500" s="10" t="str">
        <x:v>Betriebskosten</x:v>
      </x:c>
    </x:row>
    <x:row r="501" ht="14" customHeight="1">
      <x:c r="A501" s="10" t="str">
        <x:v>2024-04-0196</x:v>
      </x:c>
      <x:c r="B501" s="11" t="n">
        <x:v>45412</x:v>
      </x:c>
      <x:c r="C501" s="10" t="n">
        <x:v>4</x:v>
      </x:c>
      <x:c r="D501" s="10" t="str">
        <x:v>3300</x:v>
      </x:c>
      <x:c r="E501" s="12" t="n">
        <x:v>0</x:v>
      </x:c>
      <x:c r="F501" s="12" t="n">
        <x:v>4165</x:v>
      </x:c>
      <x:c r="G501" s="10" t="str">
        <x:v>Labor und Qualitätssicherung Monatsjournal</x:v>
      </x:c>
      <x:c r="H501" s="10" t="str">
        <x:v>Betriebskosten</x:v>
      </x:c>
    </x:row>
    <x:row r="502" ht="14" customHeight="1">
      <x:c r="A502" s="10" t="str">
        <x:v>2024-04-0197</x:v>
      </x:c>
      <x:c r="B502" s="11" t="n">
        <x:v>45412</x:v>
      </x:c>
      <x:c r="C502" s="10" t="n">
        <x:v>4</x:v>
      </x:c>
      <x:c r="D502" s="10" t="str">
        <x:v>6850</x:v>
      </x:c>
      <x:c r="E502" s="12" t="n">
        <x:v>2000</x:v>
      </x:c>
      <x:c r="F502" s="12" t="n">
        <x:v>0</x:v>
      </x:c>
      <x:c r="G502" s="10" t="str">
        <x:v>Bürobedarf und übriger Aufwand Monatsjournal</x:v>
      </x:c>
      <x:c r="H502" s="10" t="str">
        <x:v>Betriebskosten</x:v>
      </x:c>
    </x:row>
    <x:row r="503" ht="14" customHeight="1">
      <x:c r="A503" s="10" t="str">
        <x:v>2024-04-0197</x:v>
      </x:c>
      <x:c r="B503" s="11" t="n">
        <x:v>45412</x:v>
      </x:c>
      <x:c r="C503" s="10" t="n">
        <x:v>4</x:v>
      </x:c>
      <x:c r="D503" s="10" t="str">
        <x:v>1406</x:v>
      </x:c>
      <x:c r="E503" s="12" t="n">
        <x:v>380</x:v>
      </x:c>
      <x:c r="F503" s="12" t="n">
        <x:v>0</x:v>
      </x:c>
      <x:c r="G503" s="10" t="str">
        <x:v>Bürobedarf und übriger Aufwand Monatsjournal</x:v>
      </x:c>
      <x:c r="H503" s="10" t="str">
        <x:v>Betriebskosten</x:v>
      </x:c>
    </x:row>
    <x:row r="504" ht="14" customHeight="1">
      <x:c r="A504" s="10" t="str">
        <x:v>2024-04-0197</x:v>
      </x:c>
      <x:c r="B504" s="11" t="n">
        <x:v>45412</x:v>
      </x:c>
      <x:c r="C504" s="10" t="n">
        <x:v>4</x:v>
      </x:c>
      <x:c r="D504" s="10" t="str">
        <x:v>3300</x:v>
      </x:c>
      <x:c r="E504" s="12" t="n">
        <x:v>0</x:v>
      </x:c>
      <x:c r="F504" s="12" t="n">
        <x:v>2380</x:v>
      </x:c>
      <x:c r="G504" s="10" t="str">
        <x:v>Bürobedarf und übriger Aufwand Monatsjournal</x:v>
      </x:c>
      <x:c r="H504" s="10" t="str">
        <x:v>Betriebskosten</x:v>
      </x:c>
    </x:row>
    <x:row r="505" ht="14" customHeight="1">
      <x:c r="A505" s="10" t="str">
        <x:v>2024-04-0198</x:v>
      </x:c>
      <x:c r="B505" s="11" t="n">
        <x:v>45412</x:v>
      </x:c>
      <x:c r="C505" s="10" t="n">
        <x:v>4</x:v>
      </x:c>
      <x:c r="D505" s="10" t="str">
        <x:v>6859</x:v>
      </x:c>
      <x:c r="E505" s="12" t="n">
        <x:v>500</x:v>
      </x:c>
      <x:c r="F505" s="12" t="n">
        <x:v>0</x:v>
      </x:c>
      <x:c r="G505" s="10" t="str">
        <x:v>Bankgebühren Monatsjournal</x:v>
      </x:c>
      <x:c r="H505" s="10" t="str">
        <x:v>Betriebskosten</x:v>
      </x:c>
    </x:row>
    <x:row r="506" ht="14" customHeight="1">
      <x:c r="A506" s="10" t="str">
        <x:v>2024-04-0198</x:v>
      </x:c>
      <x:c r="B506" s="11" t="n">
        <x:v>45412</x:v>
      </x:c>
      <x:c r="C506" s="10" t="n">
        <x:v>4</x:v>
      </x:c>
      <x:c r="D506" s="10" t="str">
        <x:v>3300</x:v>
      </x:c>
      <x:c r="E506" s="12" t="n">
        <x:v>0</x:v>
      </x:c>
      <x:c r="F506" s="12" t="n">
        <x:v>500</x:v>
      </x:c>
      <x:c r="G506" s="10" t="str">
        <x:v>Bankgebühren Monatsjournal</x:v>
      </x:c>
      <x:c r="H506" s="10" t="str">
        <x:v>Betriebskosten</x:v>
      </x:c>
    </x:row>
    <x:row r="507" ht="14" customHeight="1">
      <x:c r="A507" s="10" t="str">
        <x:v>2024-04-0199</x:v>
      </x:c>
      <x:c r="B507" s="11" t="n">
        <x:v>45387</x:v>
      </x:c>
      <x:c r="C507" s="10" t="n">
        <x:v>4</x:v>
      </x:c>
      <x:c r="D507" s="10" t="str">
        <x:v>1600</x:v>
      </x:c>
      <x:c r="E507" s="12" t="n">
        <x:v>300</x:v>
      </x:c>
      <x:c r="F507" s="12" t="n">
        <x:v>0</x:v>
      </x:c>
      <x:c r="G507" s="10" t="str">
        <x:v>Kassenvorschuss Reisekosten</x:v>
      </x:c>
      <x:c r="H507" s="10" t="str">
        <x:v>Kassenumbuchung</x:v>
      </x:c>
    </x:row>
    <x:row r="508" ht="14" customHeight="1">
      <x:c r="A508" s="10" t="str">
        <x:v>2024-04-0199</x:v>
      </x:c>
      <x:c r="B508" s="11" t="n">
        <x:v>45387</x:v>
      </x:c>
      <x:c r="C508" s="10" t="n">
        <x:v>4</x:v>
      </x:c>
      <x:c r="D508" s="10" t="str">
        <x:v>1800</x:v>
      </x:c>
      <x:c r="E508" s="12" t="n">
        <x:v>0</x:v>
      </x:c>
      <x:c r="F508" s="12" t="n">
        <x:v>300</x:v>
      </x:c>
      <x:c r="G508" s="10" t="str">
        <x:v>Kassenvorschuss Reisekosten</x:v>
      </x:c>
      <x:c r="H508" s="10" t="str">
        <x:v>Kassenumbuchung</x:v>
      </x:c>
    </x:row>
    <x:row r="509" ht="14" customHeight="1">
      <x:c r="A509" s="10" t="str">
        <x:v>2024-04-0200</x:v>
      </x:c>
      <x:c r="B509" s="11" t="n">
        <x:v>45412</x:v>
      </x:c>
      <x:c r="C509" s="10" t="n">
        <x:v>4</x:v>
      </x:c>
      <x:c r="D509" s="10" t="str">
        <x:v>6805</x:v>
      </x:c>
      <x:c r="E509" s="12" t="n">
        <x:v>3000</x:v>
      </x:c>
      <x:c r="F509" s="12" t="n">
        <x:v>0</x:v>
      </x:c>
      <x:c r="G509" s="10" t="str">
        <x:v>IT Jahreslizenz Auflösung Vorauszahlung</x:v>
      </x:c>
      <x:c r="H509" s="10" t="str">
        <x:v>Abgrenzung</x:v>
      </x:c>
    </x:row>
    <x:row r="510" ht="14" customHeight="1">
      <x:c r="A510" s="10" t="str">
        <x:v>2024-04-0200</x:v>
      </x:c>
      <x:c r="B510" s="11" t="n">
        <x:v>45412</x:v>
      </x:c>
      <x:c r="C510" s="10" t="n">
        <x:v>4</x:v>
      </x:c>
      <x:c r="D510" s="10" t="str">
        <x:v>1900</x:v>
      </x:c>
      <x:c r="E510" s="12" t="n">
        <x:v>0</x:v>
      </x:c>
      <x:c r="F510" s="12" t="n">
        <x:v>3000</x:v>
      </x:c>
      <x:c r="G510" s="10" t="str">
        <x:v>IT Jahreslizenz Auflösung Vorauszahlung</x:v>
      </x:c>
      <x:c r="H510" s="10" t="str">
        <x:v>Abgrenzung</x:v>
      </x:c>
    </x:row>
    <x:row r="511" ht="14" customHeight="1">
      <x:c r="A511" s="10" t="str">
        <x:v>2024-04-0201</x:v>
      </x:c>
      <x:c r="B511" s="11" t="n">
        <x:v>45412</x:v>
      </x:c>
      <x:c r="C511" s="10" t="n">
        <x:v>4</x:v>
      </x:c>
      <x:c r="D511" s="10" t="str">
        <x:v>6220</x:v>
      </x:c>
      <x:c r="E511" s="12" t="n">
        <x:v>500</x:v>
      </x:c>
      <x:c r="F511" s="12" t="n">
        <x:v>0</x:v>
      </x:c>
      <x:c r="G511" s="10" t="str">
        <x:v>Software Monatsabschreibung</x:v>
      </x:c>
      <x:c r="H511" s="10" t="str">
        <x:v>Abschreibung</x:v>
      </x:c>
    </x:row>
    <x:row r="512" ht="14" customHeight="1">
      <x:c r="A512" s="10" t="str">
        <x:v>2024-04-0201</x:v>
      </x:c>
      <x:c r="B512" s="11" t="n">
        <x:v>45412</x:v>
      </x:c>
      <x:c r="C512" s="10" t="n">
        <x:v>4</x:v>
      </x:c>
      <x:c r="D512" s="10" t="str">
        <x:v>0100</x:v>
      </x:c>
      <x:c r="E512" s="12" t="n">
        <x:v>0</x:v>
      </x:c>
      <x:c r="F512" s="12" t="n">
        <x:v>500</x:v>
      </x:c>
      <x:c r="G512" s="10" t="str">
        <x:v>Software Monatsabschreibung</x:v>
      </x:c>
      <x:c r="H512" s="10" t="str">
        <x:v>Abschreibung</x:v>
      </x:c>
    </x:row>
    <x:row r="513" ht="14" customHeight="1">
      <x:c r="A513" s="10" t="str">
        <x:v>2024-04-0202</x:v>
      </x:c>
      <x:c r="B513" s="11" t="n">
        <x:v>45412</x:v>
      </x:c>
      <x:c r="C513" s="10" t="n">
        <x:v>4</x:v>
      </x:c>
      <x:c r="D513" s="10" t="str">
        <x:v>6220</x:v>
      </x:c>
      <x:c r="E513" s="12" t="n">
        <x:v>2500</x:v>
      </x:c>
      <x:c r="F513" s="12" t="n">
        <x:v>0</x:v>
      </x:c>
      <x:c r="G513" s="10" t="str">
        <x:v>Lagereinbauten Erlangen Monatsabschreibung</x:v>
      </x:c>
      <x:c r="H513" s="10" t="str">
        <x:v>Abschreibung</x:v>
      </x:c>
    </x:row>
    <x:row r="514" ht="14" customHeight="1">
      <x:c r="A514" s="10" t="str">
        <x:v>2024-04-0202</x:v>
      </x:c>
      <x:c r="B514" s="11" t="n">
        <x:v>45412</x:v>
      </x:c>
      <x:c r="C514" s="10" t="n">
        <x:v>4</x:v>
      </x:c>
      <x:c r="D514" s="10" t="str">
        <x:v>0400</x:v>
      </x:c>
      <x:c r="E514" s="12" t="n">
        <x:v>0</x:v>
      </x:c>
      <x:c r="F514" s="12" t="n">
        <x:v>2500</x:v>
      </x:c>
      <x:c r="G514" s="10" t="str">
        <x:v>Lagereinbauten Erlangen Monatsabschreibung</x:v>
      </x:c>
      <x:c r="H514" s="10" t="str">
        <x:v>Abschreibung</x:v>
      </x:c>
    </x:row>
    <x:row r="515" ht="14" customHeight="1">
      <x:c r="A515" s="10" t="str">
        <x:v>2024-04-0203</x:v>
      </x:c>
      <x:c r="B515" s="11" t="n">
        <x:v>45412</x:v>
      </x:c>
      <x:c r="C515" s="10" t="n">
        <x:v>4</x:v>
      </x:c>
      <x:c r="D515" s="10" t="str">
        <x:v>6220</x:v>
      </x:c>
      <x:c r="E515" s="12" t="n">
        <x:v>1500</x:v>
      </x:c>
      <x:c r="F515" s="12" t="n">
        <x:v>0</x:v>
      </x:c>
      <x:c r="G515" s="10" t="str">
        <x:v>Flurförderzeuge Monatsabschreibung</x:v>
      </x:c>
      <x:c r="H515" s="10" t="str">
        <x:v>Abschreibung</x:v>
      </x:c>
    </x:row>
    <x:row r="516" ht="14" customHeight="1">
      <x:c r="A516" s="10" t="str">
        <x:v>2024-04-0203</x:v>
      </x:c>
      <x:c r="B516" s="11" t="n">
        <x:v>45412</x:v>
      </x:c>
      <x:c r="C516" s="10" t="n">
        <x:v>4</x:v>
      </x:c>
      <x:c r="D516" s="10" t="str">
        <x:v>0520</x:v>
      </x:c>
      <x:c r="E516" s="12" t="n">
        <x:v>0</x:v>
      </x:c>
      <x:c r="F516" s="12" t="n">
        <x:v>1500</x:v>
      </x:c>
      <x:c r="G516" s="10" t="str">
        <x:v>Flurförderzeuge Monatsabschreibung</x:v>
      </x:c>
      <x:c r="H516" s="10" t="str">
        <x:v>Abschreibung</x:v>
      </x:c>
    </x:row>
    <x:row r="517" ht="14" customHeight="1">
      <x:c r="A517" s="10" t="str">
        <x:v>2024-04-0204</x:v>
      </x:c>
      <x:c r="B517" s="11" t="n">
        <x:v>45412</x:v>
      </x:c>
      <x:c r="C517" s="10" t="n">
        <x:v>4</x:v>
      </x:c>
      <x:c r="D517" s="10" t="str">
        <x:v>6220</x:v>
      </x:c>
      <x:c r="E517" s="12" t="n">
        <x:v>2000</x:v>
      </x:c>
      <x:c r="F517" s="12" t="n">
        <x:v>0</x:v>
      </x:c>
      <x:c r="G517" s="10" t="str">
        <x:v>IT und Kommunikation Monatsabschreibung</x:v>
      </x:c>
      <x:c r="H517" s="10" t="str">
        <x:v>Abschreibung</x:v>
      </x:c>
    </x:row>
    <x:row r="518" ht="14" customHeight="1">
      <x:c r="A518" s="10" t="str">
        <x:v>2024-04-0204</x:v>
      </x:c>
      <x:c r="B518" s="11" t="n">
        <x:v>45412</x:v>
      </x:c>
      <x:c r="C518" s="10" t="n">
        <x:v>4</x:v>
      </x:c>
      <x:c r="D518" s="10" t="str">
        <x:v>0650</x:v>
      </x:c>
      <x:c r="E518" s="12" t="n">
        <x:v>0</x:v>
      </x:c>
      <x:c r="F518" s="12" t="n">
        <x:v>2000</x:v>
      </x:c>
      <x:c r="G518" s="10" t="str">
        <x:v>IT und Kommunikation Monatsabschreibung</x:v>
      </x:c>
      <x:c r="H518" s="10" t="str">
        <x:v>Abschreibung</x:v>
      </x:c>
    </x:row>
    <x:row r="519" ht="14" customHeight="1">
      <x:c r="A519" s="10" t="str">
        <x:v>2024-04-0205</x:v>
      </x:c>
      <x:c r="B519" s="11" t="n">
        <x:v>45412</x:v>
      </x:c>
      <x:c r="C519" s="10" t="n">
        <x:v>4</x:v>
      </x:c>
      <x:c r="D519" s="10" t="str">
        <x:v>6220</x:v>
      </x:c>
      <x:c r="E519" s="12" t="n">
        <x:v>1000</x:v>
      </x:c>
      <x:c r="F519" s="12" t="n">
        <x:v>0</x:v>
      </x:c>
      <x:c r="G519" s="10" t="str">
        <x:v>Büroausstattung Monatsabschreibung</x:v>
      </x:c>
      <x:c r="H519" s="10" t="str">
        <x:v>Abschreibung</x:v>
      </x:c>
    </x:row>
    <x:row r="520" ht="14" customHeight="1">
      <x:c r="A520" s="10" t="str">
        <x:v>2024-04-0205</x:v>
      </x:c>
      <x:c r="B520" s="11" t="n">
        <x:v>45412</x:v>
      </x:c>
      <x:c r="C520" s="10" t="n">
        <x:v>4</x:v>
      </x:c>
      <x:c r="D520" s="10" t="str">
        <x:v>0670</x:v>
      </x:c>
      <x:c r="E520" s="12" t="n">
        <x:v>0</x:v>
      </x:c>
      <x:c r="F520" s="12" t="n">
        <x:v>1000</x:v>
      </x:c>
      <x:c r="G520" s="10" t="str">
        <x:v>Büroausstattung Monatsabschreibung</x:v>
      </x:c>
      <x:c r="H520" s="10" t="str">
        <x:v>Abschreibung</x:v>
      </x:c>
    </x:row>
    <x:row r="521" ht="14" customHeight="1">
      <x:c r="A521" s="10" t="str">
        <x:v>2024-04-0206</x:v>
      </x:c>
      <x:c r="B521" s="11" t="n">
        <x:v>45412</x:v>
      </x:c>
      <x:c r="C521" s="10" t="n">
        <x:v>4</x:v>
      </x:c>
      <x:c r="D521" s="10" t="str">
        <x:v>3150</x:v>
      </x:c>
      <x:c r="E521" s="12" t="n">
        <x:v>10000</x:v>
      </x:c>
      <x:c r="F521" s="12" t="n">
        <x:v>0</x:v>
      </x:c>
      <x:c r="G521" s="10" t="str">
        <x:v>Investitionsdarlehen Tilgungsrate</x:v>
      </x:c>
      <x:c r="H521" s="10" t="str">
        <x:v>Tilgung</x:v>
      </x:c>
    </x:row>
    <x:row r="522" ht="14" customHeight="1">
      <x:c r="A522" s="10" t="str">
        <x:v>2024-04-0206</x:v>
      </x:c>
      <x:c r="B522" s="11" t="n">
        <x:v>45412</x:v>
      </x:c>
      <x:c r="C522" s="10" t="n">
        <x:v>4</x:v>
      </x:c>
      <x:c r="D522" s="10" t="str">
        <x:v>1800</x:v>
      </x:c>
      <x:c r="E522" s="12" t="n">
        <x:v>0</x:v>
      </x:c>
      <x:c r="F522" s="12" t="n">
        <x:v>10000</x:v>
      </x:c>
      <x:c r="G522" s="10" t="str">
        <x:v>Investitionsdarlehen Tilgungsrate</x:v>
      </x:c>
      <x:c r="H522" s="10" t="str">
        <x:v>Tilgung</x:v>
      </x:c>
    </x:row>
    <x:row r="523" ht="14" customHeight="1">
      <x:c r="A523" s="10" t="str">
        <x:v>2024-04-0207</x:v>
      </x:c>
      <x:c r="B523" s="11" t="n">
        <x:v>45412</x:v>
      </x:c>
      <x:c r="C523" s="10" t="n">
        <x:v>4</x:v>
      </x:c>
      <x:c r="D523" s="10" t="str">
        <x:v>7300</x:v>
      </x:c>
      <x:c r="E523" s="12" t="n">
        <x:v>2500</x:v>
      </x:c>
      <x:c r="F523" s="12" t="n">
        <x:v>0</x:v>
      </x:c>
      <x:c r="G523" s="10" t="str">
        <x:v>Investitionsdarlehen Zinsabrechnung</x:v>
      </x:c>
      <x:c r="H523" s="10" t="str">
        <x:v>Zinsen</x:v>
      </x:c>
    </x:row>
    <x:row r="524" ht="14" customHeight="1">
      <x:c r="A524" s="10" t="str">
        <x:v>2024-04-0207</x:v>
      </x:c>
      <x:c r="B524" s="11" t="n">
        <x:v>45412</x:v>
      </x:c>
      <x:c r="C524" s="10" t="n">
        <x:v>4</x:v>
      </x:c>
      <x:c r="D524" s="10" t="str">
        <x:v>1800</x:v>
      </x:c>
      <x:c r="E524" s="12" t="n">
        <x:v>0</x:v>
      </x:c>
      <x:c r="F524" s="12" t="n">
        <x:v>2500</x:v>
      </x:c>
      <x:c r="G524" s="10" t="str">
        <x:v>Investitionsdarlehen Zinsabrechnung</x:v>
      </x:c>
      <x:c r="H524" s="10" t="str">
        <x:v>Zinsen</x:v>
      </x:c>
    </x:row>
    <x:row r="525" ht="14" customHeight="1">
      <x:c r="A525" s="10" t="str">
        <x:v>2024-04-0208</x:v>
      </x:c>
      <x:c r="B525" s="11" t="n">
        <x:v>45412</x:v>
      </x:c>
      <x:c r="C525" s="10" t="n">
        <x:v>4</x:v>
      </x:c>
      <x:c r="D525" s="10" t="str">
        <x:v>7310</x:v>
      </x:c>
      <x:c r="E525" s="12" t="n">
        <x:v>1000</x:v>
      </x:c>
      <x:c r="F525" s="12" t="n">
        <x:v>0</x:v>
      </x:c>
      <x:c r="G525" s="10" t="str">
        <x:v>Kontokorrent Zinsen und Bereitstellung</x:v>
      </x:c>
      <x:c r="H525" s="10" t="str">
        <x:v>Zinsen</x:v>
      </x:c>
    </x:row>
    <x:row r="526" ht="14" customHeight="1">
      <x:c r="A526" s="10" t="str">
        <x:v>2024-04-0208</x:v>
      </x:c>
      <x:c r="B526" s="11" t="n">
        <x:v>45412</x:v>
      </x:c>
      <x:c r="C526" s="10" t="n">
        <x:v>4</x:v>
      </x:c>
      <x:c r="D526" s="10" t="str">
        <x:v>1800</x:v>
      </x:c>
      <x:c r="E526" s="12" t="n">
        <x:v>0</x:v>
      </x:c>
      <x:c r="F526" s="12" t="n">
        <x:v>1000</x:v>
      </x:c>
      <x:c r="G526" s="10" t="str">
        <x:v>Kontokorrent Zinsen und Bereitstellung</x:v>
      </x:c>
      <x:c r="H526" s="10" t="str">
        <x:v>Zinsen</x:v>
      </x:c>
    </x:row>
    <x:row r="527" ht="14" customHeight="1">
      <x:c r="A527" s="10" t="str">
        <x:v>2024-04-0209</x:v>
      </x:c>
      <x:c r="B527" s="11" t="n">
        <x:v>45412</x:v>
      </x:c>
      <x:c r="C527" s="10" t="n">
        <x:v>4</x:v>
      </x:c>
      <x:c r="D527" s="10" t="str">
        <x:v>1800</x:v>
      </x:c>
      <x:c r="E527" s="12" t="n">
        <x:v>590566.8</x:v>
      </x:c>
      <x:c r="F527" s="12" t="n">
        <x:v>0</x:v>
      </x:c>
      <x:c r="G527" s="10" t="str">
        <x:v>Bankjournal Kundeneingänge brutto</x:v>
      </x:c>
      <x:c r="H527" s="10" t="str">
        <x:v>Kundenzahlungen</x:v>
      </x:c>
    </x:row>
    <x:row r="528" ht="14" customHeight="1">
      <x:c r="A528" s="10" t="str">
        <x:v>2024-04-0209</x:v>
      </x:c>
      <x:c r="B528" s="11" t="n">
        <x:v>45412</x:v>
      </x:c>
      <x:c r="C528" s="10" t="n">
        <x:v>4</x:v>
      </x:c>
      <x:c r="D528" s="10" t="str">
        <x:v>1200</x:v>
      </x:c>
      <x:c r="E528" s="12" t="n">
        <x:v>0</x:v>
      </x:c>
      <x:c r="F528" s="12" t="n">
        <x:v>590566.8</x:v>
      </x:c>
      <x:c r="G528" s="10" t="str">
        <x:v>Bankjournal Kundeneingänge brutto</x:v>
      </x:c>
      <x:c r="H528" s="10" t="str">
        <x:v>Kundenzahlungen</x:v>
      </x:c>
    </x:row>
    <x:row r="529" ht="14" customHeight="1">
      <x:c r="A529" s="10" t="str">
        <x:v>2024-04-0210</x:v>
      </x:c>
      <x:c r="B529" s="11" t="n">
        <x:v>45412</x:v>
      </x:c>
      <x:c r="C529" s="10" t="n">
        <x:v>4</x:v>
      </x:c>
      <x:c r="D529" s="10" t="str">
        <x:v>3300</x:v>
      </x:c>
      <x:c r="E529" s="12" t="n">
        <x:v>454430.22</x:v>
      </x:c>
      <x:c r="F529" s="12" t="n">
        <x:v>0</x:v>
      </x:c>
      <x:c r="G529" s="10" t="str">
        <x:v>Bankjournal Lieferantenzahlungen brutto</x:v>
      </x:c>
      <x:c r="H529" s="10" t="str">
        <x:v>Lieferantenzahlungen</x:v>
      </x:c>
    </x:row>
    <x:row r="530" ht="14" customHeight="1">
      <x:c r="A530" s="10" t="str">
        <x:v>2024-04-0210</x:v>
      </x:c>
      <x:c r="B530" s="11" t="n">
        <x:v>45412</x:v>
      </x:c>
      <x:c r="C530" s="10" t="n">
        <x:v>4</x:v>
      </x:c>
      <x:c r="D530" s="10" t="str">
        <x:v>1800</x:v>
      </x:c>
      <x:c r="E530" s="12" t="n">
        <x:v>0</x:v>
      </x:c>
      <x:c r="F530" s="12" t="n">
        <x:v>454430.22</x:v>
      </x:c>
      <x:c r="G530" s="10" t="str">
        <x:v>Bankjournal Lieferantenzahlungen brutto</x:v>
      </x:c>
      <x:c r="H530" s="10" t="str">
        <x:v>Lieferantenzahlungen</x:v>
      </x:c>
    </x:row>
    <x:row r="531" ht="14" customHeight="1">
      <x:c r="A531" s="10" t="str">
        <x:v>2024-04-0211</x:v>
      </x:c>
      <x:c r="B531" s="11" t="n">
        <x:v>45412</x:v>
      </x:c>
      <x:c r="C531" s="10" t="n">
        <x:v>4</x:v>
      </x:c>
      <x:c r="D531" s="10" t="str">
        <x:v>1401</x:v>
      </x:c>
      <x:c r="E531" s="12" t="n">
        <x:v>0</x:v>
      </x:c>
      <x:c r="F531" s="12" t="n">
        <x:v>9890.15</x:v>
      </x:c>
      <x:c r="G531" s="10" t="str">
        <x:v>Umsatzsteuer Monatsumbuchung 1401</x:v>
      </x:c>
      <x:c r="H531" s="10" t="str">
        <x:v>Steuerverrechnung</x:v>
      </x:c>
    </x:row>
    <x:row r="532" ht="14" customHeight="1">
      <x:c r="A532" s="10" t="str">
        <x:v>2024-04-0211</x:v>
      </x:c>
      <x:c r="B532" s="11" t="n">
        <x:v>45412</x:v>
      </x:c>
      <x:c r="C532" s="10" t="n">
        <x:v>4</x:v>
      </x:c>
      <x:c r="D532" s="10" t="str">
        <x:v>3820</x:v>
      </x:c>
      <x:c r="E532" s="12" t="n">
        <x:v>9890.15</x:v>
      </x:c>
      <x:c r="F532" s="12" t="n">
        <x:v>0</x:v>
      </x:c>
      <x:c r="G532" s="10" t="str">
        <x:v>Umsatzsteuer Monatsumbuchung 1401</x:v>
      </x:c>
      <x:c r="H532" s="10" t="str">
        <x:v>Steuerverrechnung</x:v>
      </x:c>
    </x:row>
    <x:row r="533" ht="14" customHeight="1">
      <x:c r="A533" s="10" t="str">
        <x:v>2024-04-0212</x:v>
      </x:c>
      <x:c r="B533" s="11" t="n">
        <x:v>45412</x:v>
      </x:c>
      <x:c r="C533" s="10" t="n">
        <x:v>4</x:v>
      </x:c>
      <x:c r="D533" s="10" t="str">
        <x:v>1406</x:v>
      </x:c>
      <x:c r="E533" s="12" t="n">
        <x:v>0</x:v>
      </x:c>
      <x:c r="F533" s="12" t="n">
        <x:v>18530.07</x:v>
      </x:c>
      <x:c r="G533" s="10" t="str">
        <x:v>Umsatzsteuer Monatsumbuchung 1406</x:v>
      </x:c>
      <x:c r="H533" s="10" t="str">
        <x:v>Steuerverrechnung</x:v>
      </x:c>
    </x:row>
    <x:row r="534" ht="14" customHeight="1">
      <x:c r="A534" s="10" t="str">
        <x:v>2024-04-0212</x:v>
      </x:c>
      <x:c r="B534" s="11" t="n">
        <x:v>45412</x:v>
      </x:c>
      <x:c r="C534" s="10" t="n">
        <x:v>4</x:v>
      </x:c>
      <x:c r="D534" s="10" t="str">
        <x:v>3820</x:v>
      </x:c>
      <x:c r="E534" s="12" t="n">
        <x:v>18530.07</x:v>
      </x:c>
      <x:c r="F534" s="12" t="n">
        <x:v>0</x:v>
      </x:c>
      <x:c r="G534" s="10" t="str">
        <x:v>Umsatzsteuer Monatsumbuchung 1406</x:v>
      </x:c>
      <x:c r="H534" s="10" t="str">
        <x:v>Steuerverrechnung</x:v>
      </x:c>
    </x:row>
    <x:row r="535" ht="14" customHeight="1">
      <x:c r="A535" s="10" t="str">
        <x:v>2024-04-0213</x:v>
      </x:c>
      <x:c r="B535" s="11" t="n">
        <x:v>45412</x:v>
      </x:c>
      <x:c r="C535" s="10" t="n">
        <x:v>4</x:v>
      </x:c>
      <x:c r="D535" s="10" t="str">
        <x:v>1404</x:v>
      </x:c>
      <x:c r="E535" s="12" t="n">
        <x:v>0</x:v>
      </x:c>
      <x:c r="F535" s="12" t="n">
        <x:v>5205.34</x:v>
      </x:c>
      <x:c r="G535" s="10" t="str">
        <x:v>Umsatzsteuer Monatsumbuchung 1404</x:v>
      </x:c>
      <x:c r="H535" s="10" t="str">
        <x:v>Steuerverrechnung</x:v>
      </x:c>
    </x:row>
    <x:row r="536" ht="14" customHeight="1">
      <x:c r="A536" s="10" t="str">
        <x:v>2024-04-0213</x:v>
      </x:c>
      <x:c r="B536" s="11" t="n">
        <x:v>45412</x:v>
      </x:c>
      <x:c r="C536" s="10" t="n">
        <x:v>4</x:v>
      </x:c>
      <x:c r="D536" s="10" t="str">
        <x:v>3820</x:v>
      </x:c>
      <x:c r="E536" s="12" t="n">
        <x:v>5205.34</x:v>
      </x:c>
      <x:c r="F536" s="12" t="n">
        <x:v>0</x:v>
      </x:c>
      <x:c r="G536" s="10" t="str">
        <x:v>Umsatzsteuer Monatsumbuchung 1404</x:v>
      </x:c>
      <x:c r="H536" s="10" t="str">
        <x:v>Steuerverrechnung</x:v>
      </x:c>
    </x:row>
    <x:row r="537" ht="14" customHeight="1">
      <x:c r="A537" s="10" t="str">
        <x:v>2024-04-0214</x:v>
      </x:c>
      <x:c r="B537" s="11" t="n">
        <x:v>45412</x:v>
      </x:c>
      <x:c r="C537" s="10" t="n">
        <x:v>4</x:v>
      </x:c>
      <x:c r="D537" s="10" t="str">
        <x:v>1409</x:v>
      </x:c>
      <x:c r="E537" s="12" t="n">
        <x:v>0</x:v>
      </x:c>
      <x:c r="F537" s="12" t="n">
        <x:v>3532.2</x:v>
      </x:c>
      <x:c r="G537" s="10" t="str">
        <x:v>Umsatzsteuer Monatsumbuchung 1409</x:v>
      </x:c>
      <x:c r="H537" s="10" t="str">
        <x:v>Steuerverrechnung</x:v>
      </x:c>
    </x:row>
    <x:row r="538" ht="14" customHeight="1">
      <x:c r="A538" s="10" t="str">
        <x:v>2024-04-0214</x:v>
      </x:c>
      <x:c r="B538" s="11" t="n">
        <x:v>45412</x:v>
      </x:c>
      <x:c r="C538" s="10" t="n">
        <x:v>4</x:v>
      </x:c>
      <x:c r="D538" s="10" t="str">
        <x:v>3820</x:v>
      </x:c>
      <x:c r="E538" s="12" t="n">
        <x:v>3532.2</x:v>
      </x:c>
      <x:c r="F538" s="12" t="n">
        <x:v>0</x:v>
      </x:c>
      <x:c r="G538" s="10" t="str">
        <x:v>Umsatzsteuer Monatsumbuchung 1409</x:v>
      </x:c>
      <x:c r="H538" s="10" t="str">
        <x:v>Steuerverrechnung</x:v>
      </x:c>
    </x:row>
    <x:row r="539" ht="14" customHeight="1">
      <x:c r="A539" s="10" t="str">
        <x:v>2024-04-0215</x:v>
      </x:c>
      <x:c r="B539" s="11" t="n">
        <x:v>45412</x:v>
      </x:c>
      <x:c r="C539" s="10" t="n">
        <x:v>4</x:v>
      </x:c>
      <x:c r="D539" s="10" t="str">
        <x:v>1433</x:v>
      </x:c>
      <x:c r="E539" s="12" t="n">
        <x:v>0</x:v>
      </x:c>
      <x:c r="F539" s="12" t="n">
        <x:v>9146.53</x:v>
      </x:c>
      <x:c r="G539" s="10" t="str">
        <x:v>Umsatzsteuer Monatsumbuchung 1433</x:v>
      </x:c>
      <x:c r="H539" s="10" t="str">
        <x:v>Steuerverrechnung</x:v>
      </x:c>
    </x:row>
    <x:row r="540" ht="14" customHeight="1">
      <x:c r="A540" s="10" t="str">
        <x:v>2024-04-0215</x:v>
      </x:c>
      <x:c r="B540" s="11" t="n">
        <x:v>45412</x:v>
      </x:c>
      <x:c r="C540" s="10" t="n">
        <x:v>4</x:v>
      </x:c>
      <x:c r="D540" s="10" t="str">
        <x:v>3820</x:v>
      </x:c>
      <x:c r="E540" s="12" t="n">
        <x:v>9146.53</x:v>
      </x:c>
      <x:c r="F540" s="12" t="n">
        <x:v>0</x:v>
      </x:c>
      <x:c r="G540" s="10" t="str">
        <x:v>Umsatzsteuer Monatsumbuchung 1433</x:v>
      </x:c>
      <x:c r="H540" s="10" t="str">
        <x:v>Steuerverrechnung</x:v>
      </x:c>
    </x:row>
    <x:row r="541" ht="14" customHeight="1">
      <x:c r="A541" s="10" t="str">
        <x:v>2024-04-0216</x:v>
      </x:c>
      <x:c r="B541" s="11" t="n">
        <x:v>45412</x:v>
      </x:c>
      <x:c r="C541" s="10" t="n">
        <x:v>4</x:v>
      </x:c>
      <x:c r="D541" s="10" t="str">
        <x:v>3801</x:v>
      </x:c>
      <x:c r="E541" s="12" t="n">
        <x:v>19714.8</x:v>
      </x:c>
      <x:c r="F541" s="12" t="n">
        <x:v>0</x:v>
      </x:c>
      <x:c r="G541" s="10" t="str">
        <x:v>Umsatzsteuer Monatsumbuchung 3801</x:v>
      </x:c>
      <x:c r="H541" s="10" t="str">
        <x:v>Steuerverrechnung</x:v>
      </x:c>
    </x:row>
    <x:row r="542" ht="14" customHeight="1">
      <x:c r="A542" s="10" t="str">
        <x:v>2024-04-0216</x:v>
      </x:c>
      <x:c r="B542" s="11" t="n">
        <x:v>45412</x:v>
      </x:c>
      <x:c r="C542" s="10" t="n">
        <x:v>4</x:v>
      </x:c>
      <x:c r="D542" s="10" t="str">
        <x:v>3820</x:v>
      </x:c>
      <x:c r="E542" s="12" t="n">
        <x:v>0</x:v>
      </x:c>
      <x:c r="F542" s="12" t="n">
        <x:v>19714.8</x:v>
      </x:c>
      <x:c r="G542" s="10" t="str">
        <x:v>Umsatzsteuer Monatsumbuchung 3801</x:v>
      </x:c>
      <x:c r="H542" s="10" t="str">
        <x:v>Steuerverrechnung</x:v>
      </x:c>
    </x:row>
    <x:row r="543" ht="14" customHeight="1">
      <x:c r="A543" s="10" t="str">
        <x:v>2024-04-0217</x:v>
      </x:c>
      <x:c r="B543" s="11" t="n">
        <x:v>45412</x:v>
      </x:c>
      <x:c r="C543" s="10" t="n">
        <x:v>4</x:v>
      </x:c>
      <x:c r="D543" s="10" t="str">
        <x:v>3806</x:v>
      </x:c>
      <x:c r="E543" s="12" t="n">
        <x:v>13452</x:v>
      </x:c>
      <x:c r="F543" s="12" t="n">
        <x:v>0</x:v>
      </x:c>
      <x:c r="G543" s="10" t="str">
        <x:v>Umsatzsteuer Monatsumbuchung 3806</x:v>
      </x:c>
      <x:c r="H543" s="10" t="str">
        <x:v>Steuerverrechnung</x:v>
      </x:c>
    </x:row>
    <x:row r="544" ht="14" customHeight="1">
      <x:c r="A544" s="10" t="str">
        <x:v>2024-04-0217</x:v>
      </x:c>
      <x:c r="B544" s="11" t="n">
        <x:v>45412</x:v>
      </x:c>
      <x:c r="C544" s="10" t="n">
        <x:v>4</x:v>
      </x:c>
      <x:c r="D544" s="10" t="str">
        <x:v>3820</x:v>
      </x:c>
      <x:c r="E544" s="12" t="n">
        <x:v>0</x:v>
      </x:c>
      <x:c r="F544" s="12" t="n">
        <x:v>13452</x:v>
      </x:c>
      <x:c r="G544" s="10" t="str">
        <x:v>Umsatzsteuer Monatsumbuchung 3806</x:v>
      </x:c>
      <x:c r="H544" s="10" t="str">
        <x:v>Steuerverrechnung</x:v>
      </x:c>
    </x:row>
    <x:row r="545" ht="14" customHeight="1">
      <x:c r="A545" s="10" t="str">
        <x:v>2024-04-0218</x:v>
      </x:c>
      <x:c r="B545" s="11" t="n">
        <x:v>45412</x:v>
      </x:c>
      <x:c r="C545" s="10" t="n">
        <x:v>4</x:v>
      </x:c>
      <x:c r="D545" s="10" t="str">
        <x:v>3804</x:v>
      </x:c>
      <x:c r="E545" s="12" t="n">
        <x:v>5205.34</x:v>
      </x:c>
      <x:c r="F545" s="12" t="n">
        <x:v>0</x:v>
      </x:c>
      <x:c r="G545" s="10" t="str">
        <x:v>Umsatzsteuer Monatsumbuchung 3804</x:v>
      </x:c>
      <x:c r="H545" s="10" t="str">
        <x:v>Steuerverrechnung</x:v>
      </x:c>
    </x:row>
    <x:row r="546" ht="14" customHeight="1">
      <x:c r="A546" s="10" t="str">
        <x:v>2024-04-0218</x:v>
      </x:c>
      <x:c r="B546" s="11" t="n">
        <x:v>45412</x:v>
      </x:c>
      <x:c r="C546" s="10" t="n">
        <x:v>4</x:v>
      </x:c>
      <x:c r="D546" s="10" t="str">
        <x:v>3820</x:v>
      </x:c>
      <x:c r="E546" s="12" t="n">
        <x:v>0</x:v>
      </x:c>
      <x:c r="F546" s="12" t="n">
        <x:v>5205.34</x:v>
      </x:c>
      <x:c r="G546" s="10" t="str">
        <x:v>Umsatzsteuer Monatsumbuchung 3804</x:v>
      </x:c>
      <x:c r="H546" s="10" t="str">
        <x:v>Steuerverrechnung</x:v>
      </x:c>
    </x:row>
    <x:row r="547" ht="14" customHeight="1">
      <x:c r="A547" s="10" t="str">
        <x:v>2024-04-0219</x:v>
      </x:c>
      <x:c r="B547" s="11" t="n">
        <x:v>45412</x:v>
      </x:c>
      <x:c r="C547" s="10" t="n">
        <x:v>4</x:v>
      </x:c>
      <x:c r="D547" s="10" t="str">
        <x:v>3809</x:v>
      </x:c>
      <x:c r="E547" s="12" t="n">
        <x:v>3532.2</x:v>
      </x:c>
      <x:c r="F547" s="12" t="n">
        <x:v>0</x:v>
      </x:c>
      <x:c r="G547" s="10" t="str">
        <x:v>Umsatzsteuer Monatsumbuchung 3809</x:v>
      </x:c>
      <x:c r="H547" s="10" t="str">
        <x:v>Steuerverrechnung</x:v>
      </x:c>
    </x:row>
    <x:row r="548" ht="14" customHeight="1">
      <x:c r="A548" s="10" t="str">
        <x:v>2024-04-0219</x:v>
      </x:c>
      <x:c r="B548" s="11" t="n">
        <x:v>45412</x:v>
      </x:c>
      <x:c r="C548" s="10" t="n">
        <x:v>4</x:v>
      </x:c>
      <x:c r="D548" s="10" t="str">
        <x:v>3820</x:v>
      </x:c>
      <x:c r="E548" s="12" t="n">
        <x:v>0</x:v>
      </x:c>
      <x:c r="F548" s="12" t="n">
        <x:v>3532.2</x:v>
      </x:c>
      <x:c r="G548" s="10" t="str">
        <x:v>Umsatzsteuer Monatsumbuchung 3809</x:v>
      </x:c>
      <x:c r="H548" s="10" t="str">
        <x:v>Steuerverrechnung</x:v>
      </x:c>
    </x:row>
    <x:row r="549" ht="14" customHeight="1">
      <x:c r="A549" s="10" t="str">
        <x:v>2024-05-0220</x:v>
      </x:c>
      <x:c r="B549" s="11" t="n">
        <x:v>45422</x:v>
      </x:c>
      <x:c r="C549" s="10" t="n">
        <x:v>5</x:v>
      </x:c>
      <x:c r="D549" s="10" t="str">
        <x:v>1800</x:v>
      </x:c>
      <x:c r="E549" s="12" t="n">
        <x:v>4399.95</x:v>
      </x:c>
      <x:c r="F549" s="12" t="n">
        <x:v>0</x:v>
      </x:c>
      <x:c r="G549" s="10" t="str">
        <x:v>Ausgleich Umsatzsteuer Vorperiode</x:v>
      </x:c>
      <x:c r="H549" s="10" t="str">
        <x:v>Umsatzsteuer</x:v>
      </x:c>
    </x:row>
    <x:row r="550" ht="14" customHeight="1">
      <x:c r="A550" s="10" t="str">
        <x:v>2024-05-0220</x:v>
      </x:c>
      <x:c r="B550" s="11" t="n">
        <x:v>45422</x:v>
      </x:c>
      <x:c r="C550" s="10" t="n">
        <x:v>5</x:v>
      </x:c>
      <x:c r="D550" s="10" t="str">
        <x:v>3820</x:v>
      </x:c>
      <x:c r="E550" s="12" t="n">
        <x:v>0</x:v>
      </x:c>
      <x:c r="F550" s="12" t="n">
        <x:v>4399.95</x:v>
      </x:c>
      <x:c r="G550" s="10" t="str">
        <x:v>Ausgleich Umsatzsteuer Vorperiode</x:v>
      </x:c>
      <x:c r="H550" s="10" t="str">
        <x:v>Umsatzsteuer</x:v>
      </x:c>
    </x:row>
    <x:row r="551" ht="14" customHeight="1">
      <x:c r="A551" s="10" t="str">
        <x:v>2024-05-0221</x:v>
      </x:c>
      <x:c r="B551" s="11" t="n">
        <x:v>45443</x:v>
      </x:c>
      <x:c r="C551" s="10" t="n">
        <x:v>5</x:v>
      </x:c>
      <x:c r="D551" s="10" t="str">
        <x:v>1200</x:v>
      </x:c>
      <x:c r="E551" s="12" t="n">
        <x:v>328704</x:v>
      </x:c>
      <x:c r="F551" s="12" t="n">
        <x:v>0</x:v>
      </x:c>
      <x:c r="G551" s="10" t="str">
        <x:v>Fakturajournal Inland 7 Prozent</x:v>
      </x:c>
      <x:c r="H551" s="10" t="str">
        <x:v>Umsatz</x:v>
      </x:c>
    </x:row>
    <x:row r="552" ht="14" customHeight="1">
      <x:c r="A552" s="10" t="str">
        <x:v>2024-05-0221</x:v>
      </x:c>
      <x:c r="B552" s="11" t="n">
        <x:v>45443</x:v>
      </x:c>
      <x:c r="C552" s="10" t="n">
        <x:v>5</x:v>
      </x:c>
      <x:c r="D552" s="10" t="str">
        <x:v>4300</x:v>
      </x:c>
      <x:c r="E552" s="12" t="n">
        <x:v>0</x:v>
      </x:c>
      <x:c r="F552" s="12" t="n">
        <x:v>307200</x:v>
      </x:c>
      <x:c r="G552" s="10" t="str">
        <x:v>Fakturajournal Inland 7 Prozent</x:v>
      </x:c>
      <x:c r="H552" s="10" t="str">
        <x:v>Umsatz</x:v>
      </x:c>
    </x:row>
    <x:row r="553" ht="14" customHeight="1">
      <x:c r="A553" s="10" t="str">
        <x:v>2024-05-0221</x:v>
      </x:c>
      <x:c r="B553" s="11" t="n">
        <x:v>45443</x:v>
      </x:c>
      <x:c r="C553" s="10" t="n">
        <x:v>5</x:v>
      </x:c>
      <x:c r="D553" s="10" t="str">
        <x:v>3801</x:v>
      </x:c>
      <x:c r="E553" s="12" t="n">
        <x:v>0</x:v>
      </x:c>
      <x:c r="F553" s="12" t="n">
        <x:v>21504</x:v>
      </x:c>
      <x:c r="G553" s="10" t="str">
        <x:v>Fakturajournal Inland 7 Prozent</x:v>
      </x:c>
      <x:c r="H553" s="10" t="str">
        <x:v>Umsatz</x:v>
      </x:c>
    </x:row>
    <x:row r="554" ht="14" customHeight="1">
      <x:c r="A554" s="10" t="str">
        <x:v>2024-05-0222</x:v>
      </x:c>
      <x:c r="B554" s="11" t="n">
        <x:v>45443</x:v>
      </x:c>
      <x:c r="C554" s="10" t="n">
        <x:v>5</x:v>
      </x:c>
      <x:c r="D554" s="10" t="str">
        <x:v>1200</x:v>
      </x:c>
      <x:c r="E554" s="12" t="n">
        <x:v>91392</x:v>
      </x:c>
      <x:c r="F554" s="12" t="n">
        <x:v>0</x:v>
      </x:c>
      <x:c r="G554" s="10" t="str">
        <x:v>Fakturajournal Inland 19 Prozent</x:v>
      </x:c>
      <x:c r="H554" s="10" t="str">
        <x:v>Umsatz</x:v>
      </x:c>
    </x:row>
    <x:row r="555" ht="14" customHeight="1">
      <x:c r="A555" s="10" t="str">
        <x:v>2024-05-0222</x:v>
      </x:c>
      <x:c r="B555" s="11" t="n">
        <x:v>45443</x:v>
      </x:c>
      <x:c r="C555" s="10" t="n">
        <x:v>5</x:v>
      </x:c>
      <x:c r="D555" s="10" t="str">
        <x:v>4400</x:v>
      </x:c>
      <x:c r="E555" s="12" t="n">
        <x:v>0</x:v>
      </x:c>
      <x:c r="F555" s="12" t="n">
        <x:v>76800</x:v>
      </x:c>
      <x:c r="G555" s="10" t="str">
        <x:v>Fakturajournal Inland 19 Prozent</x:v>
      </x:c>
      <x:c r="H555" s="10" t="str">
        <x:v>Umsatz</x:v>
      </x:c>
    </x:row>
    <x:row r="556" ht="14" customHeight="1">
      <x:c r="A556" s="10" t="str">
        <x:v>2024-05-0222</x:v>
      </x:c>
      <x:c r="B556" s="11" t="n">
        <x:v>45443</x:v>
      </x:c>
      <x:c r="C556" s="10" t="n">
        <x:v>5</x:v>
      </x:c>
      <x:c r="D556" s="10" t="str">
        <x:v>3806</x:v>
      </x:c>
      <x:c r="E556" s="12" t="n">
        <x:v>0</x:v>
      </x:c>
      <x:c r="F556" s="12" t="n">
        <x:v>14592</x:v>
      </x:c>
      <x:c r="G556" s="10" t="str">
        <x:v>Fakturajournal Inland 19 Prozent</x:v>
      </x:c>
      <x:c r="H556" s="10" t="str">
        <x:v>Umsatz</x:v>
      </x:c>
    </x:row>
    <x:row r="557" ht="14" customHeight="1">
      <x:c r="A557" s="10" t="str">
        <x:v>2024-05-0223</x:v>
      </x:c>
      <x:c r="B557" s="11" t="n">
        <x:v>45443</x:v>
      </x:c>
      <x:c r="C557" s="10" t="n">
        <x:v>5</x:v>
      </x:c>
      <x:c r="D557" s="10" t="str">
        <x:v>1200</x:v>
      </x:c>
      <x:c r="E557" s="12" t="n">
        <x:v>128000</x:v>
      </x:c>
      <x:c r="F557" s="12" t="n">
        <x:v>0</x:v>
      </x:c>
      <x:c r="G557" s="10" t="str">
        <x:v>Fakturajournal EU Warenlieferungen</x:v>
      </x:c>
      <x:c r="H557" s="10" t="str">
        <x:v>Umsatz</x:v>
      </x:c>
    </x:row>
    <x:row r="558" ht="14" customHeight="1">
      <x:c r="A558" s="10" t="str">
        <x:v>2024-05-0223</x:v>
      </x:c>
      <x:c r="B558" s="11" t="n">
        <x:v>45443</x:v>
      </x:c>
      <x:c r="C558" s="10" t="n">
        <x:v>5</x:v>
      </x:c>
      <x:c r="D558" s="10" t="str">
        <x:v>4125</x:v>
      </x:c>
      <x:c r="E558" s="12" t="n">
        <x:v>0</x:v>
      </x:c>
      <x:c r="F558" s="12" t="n">
        <x:v>128000</x:v>
      </x:c>
      <x:c r="G558" s="10" t="str">
        <x:v>Fakturajournal EU Warenlieferungen</x:v>
      </x:c>
      <x:c r="H558" s="10" t="str">
        <x:v>Umsatz</x:v>
      </x:c>
    </x:row>
    <x:row r="559" ht="14" customHeight="1">
      <x:c r="A559" s="10" t="str">
        <x:v>2024-05-0224</x:v>
      </x:c>
      <x:c r="B559" s="11" t="n">
        <x:v>45443</x:v>
      </x:c>
      <x:c r="C559" s="10" t="n">
        <x:v>5</x:v>
      </x:c>
      <x:c r="D559" s="10" t="str">
        <x:v>1200</x:v>
      </x:c>
      <x:c r="E559" s="12" t="n">
        <x:v>128000</x:v>
      </x:c>
      <x:c r="F559" s="12" t="n">
        <x:v>0</x:v>
      </x:c>
      <x:c r="G559" s="10" t="str">
        <x:v>Fakturajournal Drittland Warenlieferungen</x:v>
      </x:c>
      <x:c r="H559" s="10" t="str">
        <x:v>Umsatz</x:v>
      </x:c>
    </x:row>
    <x:row r="560" ht="14" customHeight="1">
      <x:c r="A560" s="10" t="str">
        <x:v>2024-05-0224</x:v>
      </x:c>
      <x:c r="B560" s="11" t="n">
        <x:v>45443</x:v>
      </x:c>
      <x:c r="C560" s="10" t="n">
        <x:v>5</x:v>
      </x:c>
      <x:c r="D560" s="10" t="str">
        <x:v>4120</x:v>
      </x:c>
      <x:c r="E560" s="12" t="n">
        <x:v>0</x:v>
      </x:c>
      <x:c r="F560" s="12" t="n">
        <x:v>128000</x:v>
      </x:c>
      <x:c r="G560" s="10" t="str">
        <x:v>Fakturajournal Drittland Warenlieferungen</x:v>
      </x:c>
      <x:c r="H560" s="10" t="str">
        <x:v>Umsatz</x:v>
      </x:c>
    </x:row>
    <x:row r="561" ht="14" customHeight="1">
      <x:c r="A561" s="10" t="str">
        <x:v>2024-05-0225</x:v>
      </x:c>
      <x:c r="B561" s="11" t="n">
        <x:v>45443</x:v>
      </x:c>
      <x:c r="C561" s="10" t="n">
        <x:v>5</x:v>
      </x:c>
      <x:c r="D561" s="10" t="str">
        <x:v>4730</x:v>
      </x:c>
      <x:c r="E561" s="12" t="n">
        <x:v>1650</x:v>
      </x:c>
      <x:c r="F561" s="12" t="n">
        <x:v>0</x:v>
      </x:c>
      <x:c r="G561" s="10" t="str">
        <x:v>Gutschriftjournal Retouren und Mengenrabatte</x:v>
      </x:c>
      <x:c r="H561" s="10" t="str">
        <x:v>Gutschriften</x:v>
      </x:c>
    </x:row>
    <x:row r="562" ht="14" customHeight="1">
      <x:c r="A562" s="10" t="str">
        <x:v>2024-05-0225</x:v>
      </x:c>
      <x:c r="B562" s="11" t="n">
        <x:v>45443</x:v>
      </x:c>
      <x:c r="C562" s="10" t="n">
        <x:v>5</x:v>
      </x:c>
      <x:c r="D562" s="10" t="str">
        <x:v>3801</x:v>
      </x:c>
      <x:c r="E562" s="12" t="n">
        <x:v>115.5</x:v>
      </x:c>
      <x:c r="F562" s="12" t="n">
        <x:v>0</x:v>
      </x:c>
      <x:c r="G562" s="10" t="str">
        <x:v>Gutschriftjournal Retouren und Mengenrabatte</x:v>
      </x:c>
      <x:c r="H562" s="10" t="str">
        <x:v>Gutschriften</x:v>
      </x:c>
    </x:row>
    <x:row r="563" ht="14" customHeight="1">
      <x:c r="A563" s="10" t="str">
        <x:v>2024-05-0225</x:v>
      </x:c>
      <x:c r="B563" s="11" t="n">
        <x:v>45443</x:v>
      </x:c>
      <x:c r="C563" s="10" t="n">
        <x:v>5</x:v>
      </x:c>
      <x:c r="D563" s="10" t="str">
        <x:v>1200</x:v>
      </x:c>
      <x:c r="E563" s="12" t="n">
        <x:v>0</x:v>
      </x:c>
      <x:c r="F563" s="12" t="n">
        <x:v>1765.5</x:v>
      </x:c>
      <x:c r="G563" s="10" t="str">
        <x:v>Gutschriftjournal Retouren und Mengenrabatte</x:v>
      </x:c>
      <x:c r="H563" s="10" t="str">
        <x:v>Gutschriften</x:v>
      </x:c>
    </x:row>
    <x:row r="564" ht="14" customHeight="1">
      <x:c r="A564" s="10" t="str">
        <x:v>2024-05-0226</x:v>
      </x:c>
      <x:c r="B564" s="11" t="n">
        <x:v>45443</x:v>
      </x:c>
      <x:c r="C564" s="10" t="n">
        <x:v>5</x:v>
      </x:c>
      <x:c r="D564" s="10" t="str">
        <x:v>4735</x:v>
      </x:c>
      <x:c r="E564" s="12" t="n">
        <x:v>1100</x:v>
      </x:c>
      <x:c r="F564" s="12" t="n">
        <x:v>0</x:v>
      </x:c>
      <x:c r="G564" s="10" t="str">
        <x:v>Gutschriftjournal Retouren und Mengenrabatte</x:v>
      </x:c>
      <x:c r="H564" s="10" t="str">
        <x:v>Gutschriften</x:v>
      </x:c>
    </x:row>
    <x:row r="565" ht="14" customHeight="1">
      <x:c r="A565" s="10" t="str">
        <x:v>2024-05-0226</x:v>
      </x:c>
      <x:c r="B565" s="11" t="n">
        <x:v>45443</x:v>
      </x:c>
      <x:c r="C565" s="10" t="n">
        <x:v>5</x:v>
      </x:c>
      <x:c r="D565" s="10" t="str">
        <x:v>1200</x:v>
      </x:c>
      <x:c r="E565" s="12" t="n">
        <x:v>0</x:v>
      </x:c>
      <x:c r="F565" s="12" t="n">
        <x:v>1100</x:v>
      </x:c>
      <x:c r="G565" s="10" t="str">
        <x:v>Gutschriftjournal Retouren und Mengenrabatte</x:v>
      </x:c>
      <x:c r="H565" s="10" t="str">
        <x:v>Gutschriften</x:v>
      </x:c>
    </x:row>
    <x:row r="566" ht="14" customHeight="1">
      <x:c r="A566" s="10" t="str">
        <x:v>2024-05-0227</x:v>
      </x:c>
      <x:c r="B566" s="11" t="n">
        <x:v>45443</x:v>
      </x:c>
      <x:c r="C566" s="10" t="n">
        <x:v>5</x:v>
      </x:c>
      <x:c r="D566" s="10" t="str">
        <x:v>1140</x:v>
      </x:c>
      <x:c r="E566" s="12" t="n">
        <x:v>165000.75</x:v>
      </x:c>
      <x:c r="F566" s="12" t="n">
        <x:v>0</x:v>
      </x:c>
      <x:c r="G566" s="10" t="str">
        <x:v>Wareneingang Inland 7 Prozent</x:v>
      </x:c>
      <x:c r="H566" s="10" t="str">
        <x:v>Einkauf</x:v>
      </x:c>
    </x:row>
    <x:row r="567" ht="14" customHeight="1">
      <x:c r="A567" s="10" t="str">
        <x:v>2024-05-0227</x:v>
      </x:c>
      <x:c r="B567" s="11" t="n">
        <x:v>45443</x:v>
      </x:c>
      <x:c r="C567" s="10" t="n">
        <x:v>5</x:v>
      </x:c>
      <x:c r="D567" s="10" t="str">
        <x:v>1401</x:v>
      </x:c>
      <x:c r="E567" s="12" t="n">
        <x:v>11550.05</x:v>
      </x:c>
      <x:c r="F567" s="12" t="n">
        <x:v>0</x:v>
      </x:c>
      <x:c r="G567" s="10" t="str">
        <x:v>Wareneingang Inland 7 Prozent</x:v>
      </x:c>
      <x:c r="H567" s="10" t="str">
        <x:v>Einkauf</x:v>
      </x:c>
    </x:row>
    <x:row r="568" ht="14" customHeight="1">
      <x:c r="A568" s="10" t="str">
        <x:v>2024-05-0227</x:v>
      </x:c>
      <x:c r="B568" s="11" t="n">
        <x:v>45443</x:v>
      </x:c>
      <x:c r="C568" s="10" t="n">
        <x:v>5</x:v>
      </x:c>
      <x:c r="D568" s="10" t="str">
        <x:v>3300</x:v>
      </x:c>
      <x:c r="E568" s="12" t="n">
        <x:v>0</x:v>
      </x:c>
      <x:c r="F568" s="12" t="n">
        <x:v>176550.8</x:v>
      </x:c>
      <x:c r="G568" s="10" t="str">
        <x:v>Wareneingang Inland 7 Prozent</x:v>
      </x:c>
      <x:c r="H568" s="10" t="str">
        <x:v>Einkauf</x:v>
      </x:c>
    </x:row>
    <x:row r="569" ht="14" customHeight="1">
      <x:c r="A569" s="10" t="str">
        <x:v>2024-05-0228</x:v>
      </x:c>
      <x:c r="B569" s="11" t="n">
        <x:v>45443</x:v>
      </x:c>
      <x:c r="C569" s="10" t="n">
        <x:v>5</x:v>
      </x:c>
      <x:c r="D569" s="10" t="str">
        <x:v>1140</x:v>
      </x:c>
      <x:c r="E569" s="12" t="n">
        <x:v>30394.88</x:v>
      </x:c>
      <x:c r="F569" s="12" t="n">
        <x:v>0</x:v>
      </x:c>
      <x:c r="G569" s="10" t="str">
        <x:v>Wareneingang Inland 19 Prozent</x:v>
      </x:c>
      <x:c r="H569" s="10" t="str">
        <x:v>Einkauf</x:v>
      </x:c>
    </x:row>
    <x:row r="570" ht="14" customHeight="1">
      <x:c r="A570" s="10" t="str">
        <x:v>2024-05-0228</x:v>
      </x:c>
      <x:c r="B570" s="11" t="n">
        <x:v>45443</x:v>
      </x:c>
      <x:c r="C570" s="10" t="n">
        <x:v>5</x:v>
      </x:c>
      <x:c r="D570" s="10" t="str">
        <x:v>1406</x:v>
      </x:c>
      <x:c r="E570" s="12" t="n">
        <x:v>5775.03</x:v>
      </x:c>
      <x:c r="F570" s="12" t="n">
        <x:v>0</x:v>
      </x:c>
      <x:c r="G570" s="10" t="str">
        <x:v>Wareneingang Inland 19 Prozent</x:v>
      </x:c>
      <x:c r="H570" s="10" t="str">
        <x:v>Einkauf</x:v>
      </x:c>
    </x:row>
    <x:row r="571" ht="14" customHeight="1">
      <x:c r="A571" s="10" t="str">
        <x:v>2024-05-0228</x:v>
      </x:c>
      <x:c r="B571" s="11" t="n">
        <x:v>45443</x:v>
      </x:c>
      <x:c r="C571" s="10" t="n">
        <x:v>5</x:v>
      </x:c>
      <x:c r="D571" s="10" t="str">
        <x:v>3300</x:v>
      </x:c>
      <x:c r="E571" s="12" t="n">
        <x:v>0</x:v>
      </x:c>
      <x:c r="F571" s="12" t="n">
        <x:v>36169.91</x:v>
      </x:c>
      <x:c r="G571" s="10" t="str">
        <x:v>Wareneingang Inland 19 Prozent</x:v>
      </x:c>
      <x:c r="H571" s="10" t="str">
        <x:v>Einkauf</x:v>
      </x:c>
    </x:row>
    <x:row r="572" ht="14" customHeight="1">
      <x:c r="A572" s="10" t="str">
        <x:v>2024-05-0229</x:v>
      </x:c>
      <x:c r="B572" s="11" t="n">
        <x:v>45443</x:v>
      </x:c>
      <x:c r="C572" s="10" t="n">
        <x:v>5</x:v>
      </x:c>
      <x:c r="D572" s="10" t="str">
        <x:v>1140</x:v>
      </x:c>
      <x:c r="E572" s="12" t="n">
        <x:v>86842.5</x:v>
      </x:c>
      <x:c r="F572" s="12" t="n">
        <x:v>0</x:v>
      </x:c>
      <x:c r="G572" s="10" t="str">
        <x:v>Wareneingang EU 7 Prozent</x:v>
      </x:c>
      <x:c r="H572" s="10" t="str">
        <x:v>Einkauf</x:v>
      </x:c>
    </x:row>
    <x:row r="573" ht="14" customHeight="1">
      <x:c r="A573" s="10" t="str">
        <x:v>2024-05-0229</x:v>
      </x:c>
      <x:c r="B573" s="11" t="n">
        <x:v>45443</x:v>
      </x:c>
      <x:c r="C573" s="10" t="n">
        <x:v>5</x:v>
      </x:c>
      <x:c r="D573" s="10" t="str">
        <x:v>3300</x:v>
      </x:c>
      <x:c r="E573" s="12" t="n">
        <x:v>0</x:v>
      </x:c>
      <x:c r="F573" s="12" t="n">
        <x:v>86842.5</x:v>
      </x:c>
      <x:c r="G573" s="10" t="str">
        <x:v>Wareneingang EU 7 Prozent</x:v>
      </x:c>
      <x:c r="H573" s="10" t="str">
        <x:v>Einkauf</x:v>
      </x:c>
    </x:row>
    <x:row r="574" ht="14" customHeight="1">
      <x:c r="A574" s="10" t="str">
        <x:v>2024-05-0229</x:v>
      </x:c>
      <x:c r="B574" s="11" t="n">
        <x:v>45443</x:v>
      </x:c>
      <x:c r="C574" s="10" t="n">
        <x:v>5</x:v>
      </x:c>
      <x:c r="D574" s="10" t="str">
        <x:v>1404</x:v>
      </x:c>
      <x:c r="E574" s="12" t="n">
        <x:v>6078.98</x:v>
      </x:c>
      <x:c r="F574" s="12" t="n">
        <x:v>0</x:v>
      </x:c>
      <x:c r="G574" s="10" t="str">
        <x:v>Wareneingang EU 7 Prozent</x:v>
      </x:c>
      <x:c r="H574" s="10" t="str">
        <x:v>Einkauf</x:v>
      </x:c>
    </x:row>
    <x:row r="575" ht="14" customHeight="1">
      <x:c r="A575" s="10" t="str">
        <x:v>2024-05-0229</x:v>
      </x:c>
      <x:c r="B575" s="11" t="n">
        <x:v>45443</x:v>
      </x:c>
      <x:c r="C575" s="10" t="n">
        <x:v>5</x:v>
      </x:c>
      <x:c r="D575" s="10" t="str">
        <x:v>3804</x:v>
      </x:c>
      <x:c r="E575" s="12" t="n">
        <x:v>0</x:v>
      </x:c>
      <x:c r="F575" s="12" t="n">
        <x:v>6078.98</x:v>
      </x:c>
      <x:c r="G575" s="10" t="str">
        <x:v>Wareneingang EU 7 Prozent</x:v>
      </x:c>
      <x:c r="H575" s="10" t="str">
        <x:v>Einkauf</x:v>
      </x:c>
    </x:row>
    <x:row r="576" ht="14" customHeight="1">
      <x:c r="A576" s="10" t="str">
        <x:v>2024-05-0230</x:v>
      </x:c>
      <x:c r="B576" s="11" t="n">
        <x:v>45443</x:v>
      </x:c>
      <x:c r="C576" s="10" t="n">
        <x:v>5</x:v>
      </x:c>
      <x:c r="D576" s="10" t="str">
        <x:v>1140</x:v>
      </x:c>
      <x:c r="E576" s="12" t="n">
        <x:v>21710.62</x:v>
      </x:c>
      <x:c r="F576" s="12" t="n">
        <x:v>0</x:v>
      </x:c>
      <x:c r="G576" s="10" t="str">
        <x:v>Wareneingang EU 19 Prozent</x:v>
      </x:c>
      <x:c r="H576" s="10" t="str">
        <x:v>Einkauf</x:v>
      </x:c>
    </x:row>
    <x:row r="577" ht="14" customHeight="1">
      <x:c r="A577" s="10" t="str">
        <x:v>2024-05-0230</x:v>
      </x:c>
      <x:c r="B577" s="11" t="n">
        <x:v>45443</x:v>
      </x:c>
      <x:c r="C577" s="10" t="n">
        <x:v>5</x:v>
      </x:c>
      <x:c r="D577" s="10" t="str">
        <x:v>3300</x:v>
      </x:c>
      <x:c r="E577" s="12" t="n">
        <x:v>0</x:v>
      </x:c>
      <x:c r="F577" s="12" t="n">
        <x:v>21710.62</x:v>
      </x:c>
      <x:c r="G577" s="10" t="str">
        <x:v>Wareneingang EU 19 Prozent</x:v>
      </x:c>
      <x:c r="H577" s="10" t="str">
        <x:v>Einkauf</x:v>
      </x:c>
    </x:row>
    <x:row r="578" ht="14" customHeight="1">
      <x:c r="A578" s="10" t="str">
        <x:v>2024-05-0230</x:v>
      </x:c>
      <x:c r="B578" s="11" t="n">
        <x:v>45443</x:v>
      </x:c>
      <x:c r="C578" s="10" t="n">
        <x:v>5</x:v>
      </x:c>
      <x:c r="D578" s="10" t="str">
        <x:v>1409</x:v>
      </x:c>
      <x:c r="E578" s="12" t="n">
        <x:v>4125.02</x:v>
      </x:c>
      <x:c r="F578" s="12" t="n">
        <x:v>0</x:v>
      </x:c>
      <x:c r="G578" s="10" t="str">
        <x:v>Wareneingang EU 19 Prozent</x:v>
      </x:c>
      <x:c r="H578" s="10" t="str">
        <x:v>Einkauf</x:v>
      </x:c>
    </x:row>
    <x:row r="579" ht="14" customHeight="1">
      <x:c r="A579" s="10" t="str">
        <x:v>2024-05-0230</x:v>
      </x:c>
      <x:c r="B579" s="11" t="n">
        <x:v>45443</x:v>
      </x:c>
      <x:c r="C579" s="10" t="n">
        <x:v>5</x:v>
      </x:c>
      <x:c r="D579" s="10" t="str">
        <x:v>3809</x:v>
      </x:c>
      <x:c r="E579" s="12" t="n">
        <x:v>0</x:v>
      </x:c>
      <x:c r="F579" s="12" t="n">
        <x:v>4125.02</x:v>
      </x:c>
      <x:c r="G579" s="10" t="str">
        <x:v>Wareneingang EU 19 Prozent</x:v>
      </x:c>
      <x:c r="H579" s="10" t="str">
        <x:v>Einkauf</x:v>
      </x:c>
    </x:row>
    <x:row r="580" ht="14" customHeight="1">
      <x:c r="A580" s="10" t="str">
        <x:v>2024-05-0231</x:v>
      </x:c>
      <x:c r="B580" s="11" t="n">
        <x:v>45443</x:v>
      </x:c>
      <x:c r="C580" s="10" t="n">
        <x:v>5</x:v>
      </x:c>
      <x:c r="D580" s="10" t="str">
        <x:v>1140</x:v>
      </x:c>
      <x:c r="E580" s="12" t="n">
        <x:v>130263.75</x:v>
      </x:c>
      <x:c r="F580" s="12" t="n">
        <x:v>0</x:v>
      </x:c>
      <x:c r="G580" s="10" t="str">
        <x:v>Wareneingang Drittland</x:v>
      </x:c>
      <x:c r="H580" s="10" t="str">
        <x:v>Einkauf</x:v>
      </x:c>
    </x:row>
    <x:row r="581" ht="14" customHeight="1">
      <x:c r="A581" s="10" t="str">
        <x:v>2024-05-0231</x:v>
      </x:c>
      <x:c r="B581" s="11" t="n">
        <x:v>45443</x:v>
      </x:c>
      <x:c r="C581" s="10" t="n">
        <x:v>5</x:v>
      </x:c>
      <x:c r="D581" s="10" t="str">
        <x:v>3300</x:v>
      </x:c>
      <x:c r="E581" s="12" t="n">
        <x:v>0</x:v>
      </x:c>
      <x:c r="F581" s="12" t="n">
        <x:v>130263.75</x:v>
      </x:c>
      <x:c r="G581" s="10" t="str">
        <x:v>Wareneingang Drittland</x:v>
      </x:c>
      <x:c r="H581" s="10" t="str">
        <x:v>Einkauf</x:v>
      </x:c>
    </x:row>
    <x:row r="582" ht="14" customHeight="1">
      <x:c r="A582" s="10" t="str">
        <x:v>2024-05-0232</x:v>
      </x:c>
      <x:c r="B582" s="11" t="n">
        <x:v>45434</x:v>
      </x:c>
      <x:c r="C582" s="10" t="n">
        <x:v>5</x:v>
      </x:c>
      <x:c r="D582" s="10" t="str">
        <x:v>1433</x:v>
      </x:c>
      <x:c r="E582" s="12" t="n">
        <x:v>10681.63</x:v>
      </x:c>
      <x:c r="F582" s="12" t="n">
        <x:v>0</x:v>
      </x:c>
      <x:c r="G582" s="10" t="str">
        <x:v>Einfuhrabgabenjournal bezahlte EUSt</x:v>
      </x:c>
      <x:c r="H582" s="10" t="str">
        <x:v>Einfuhrumsatzsteuer</x:v>
      </x:c>
    </x:row>
    <x:row r="583" ht="14" customHeight="1">
      <x:c r="A583" s="10" t="str">
        <x:v>2024-05-0232</x:v>
      </x:c>
      <x:c r="B583" s="11" t="n">
        <x:v>45434</x:v>
      </x:c>
      <x:c r="C583" s="10" t="n">
        <x:v>5</x:v>
      </x:c>
      <x:c r="D583" s="10" t="str">
        <x:v>1800</x:v>
      </x:c>
      <x:c r="E583" s="12" t="n">
        <x:v>0</x:v>
      </x:c>
      <x:c r="F583" s="12" t="n">
        <x:v>10681.63</x:v>
      </x:c>
      <x:c r="G583" s="10" t="str">
        <x:v>Einfuhrabgabenjournal bezahlte EUSt</x:v>
      </x:c>
      <x:c r="H583" s="10" t="str">
        <x:v>Einfuhrumsatzsteuer</x:v>
      </x:c>
    </x:row>
    <x:row r="584" ht="14" customHeight="1">
      <x:c r="A584" s="10" t="str">
        <x:v>2024-05-0233</x:v>
      </x:c>
      <x:c r="B584" s="11" t="n">
        <x:v>45443</x:v>
      </x:c>
      <x:c r="C584" s="10" t="n">
        <x:v>5</x:v>
      </x:c>
      <x:c r="D584" s="10" t="str">
        <x:v>5000</x:v>
      </x:c>
      <x:c r="E584" s="12" t="n">
        <x:v>414212.5</x:v>
      </x:c>
      <x:c r="F584" s="12" t="n">
        <x:v>0</x:v>
      </x:c>
      <x:c r="G584" s="10" t="str">
        <x:v>Warenabgänge zu Einstandswerten</x:v>
      </x:c>
      <x:c r="H584" s="10" t="str">
        <x:v>Verbrauch</x:v>
      </x:c>
    </x:row>
    <x:row r="585" ht="14" customHeight="1">
      <x:c r="A585" s="10" t="str">
        <x:v>2024-05-0233</x:v>
      </x:c>
      <x:c r="B585" s="11" t="n">
        <x:v>45443</x:v>
      </x:c>
      <x:c r="C585" s="10" t="n">
        <x:v>5</x:v>
      </x:c>
      <x:c r="D585" s="10" t="str">
        <x:v>1140</x:v>
      </x:c>
      <x:c r="E585" s="12" t="n">
        <x:v>0</x:v>
      </x:c>
      <x:c r="F585" s="12" t="n">
        <x:v>414212.5</x:v>
      </x:c>
      <x:c r="G585" s="10" t="str">
        <x:v>Warenabgänge zu Einstandswerten</x:v>
      </x:c>
      <x:c r="H585" s="10" t="str">
        <x:v>Verbrauch</x:v>
      </x:c>
    </x:row>
    <x:row r="586" ht="14" customHeight="1">
      <x:c r="A586" s="10" t="str">
        <x:v>2024-05-0234</x:v>
      </x:c>
      <x:c r="B586" s="11" t="n">
        <x:v>45443</x:v>
      </x:c>
      <x:c r="C586" s="10" t="n">
        <x:v>5</x:v>
      </x:c>
      <x:c r="D586" s="10" t="str">
        <x:v>6020</x:v>
      </x:c>
      <x:c r="E586" s="12" t="n">
        <x:v>86000</x:v>
      </x:c>
      <x:c r="F586" s="12" t="n">
        <x:v>0</x:v>
      </x:c>
      <x:c r="G586" s="10" t="str">
        <x:v>Lohnjournal 20 Beschäftigte</x:v>
      </x:c>
      <x:c r="H586" s="10" t="str">
        <x:v>Personal</x:v>
      </x:c>
    </x:row>
    <x:row r="587" ht="14" customHeight="1">
      <x:c r="A587" s="10" t="str">
        <x:v>2024-05-0234</x:v>
      </x:c>
      <x:c r="B587" s="11" t="n">
        <x:v>45443</x:v>
      </x:c>
      <x:c r="C587" s="10" t="n">
        <x:v>5</x:v>
      </x:c>
      <x:c r="D587" s="10" t="str">
        <x:v>6110</x:v>
      </x:c>
      <x:c r="E587" s="12" t="n">
        <x:v>18000</x:v>
      </x:c>
      <x:c r="F587" s="12" t="n">
        <x:v>0</x:v>
      </x:c>
      <x:c r="G587" s="10" t="str">
        <x:v>Lohnjournal 20 Beschäftigte</x:v>
      </x:c>
      <x:c r="H587" s="10" t="str">
        <x:v>Personal</x:v>
      </x:c>
    </x:row>
    <x:row r="588" ht="14" customHeight="1">
      <x:c r="A588" s="10" t="str">
        <x:v>2024-05-0234</x:v>
      </x:c>
      <x:c r="B588" s="11" t="n">
        <x:v>45443</x:v>
      </x:c>
      <x:c r="C588" s="10" t="n">
        <x:v>5</x:v>
      </x:c>
      <x:c r="D588" s="10" t="str">
        <x:v>3720</x:v>
      </x:c>
      <x:c r="E588" s="12" t="n">
        <x:v>0</x:v>
      </x:c>
      <x:c r="F588" s="12" t="n">
        <x:v>56760</x:v>
      </x:c>
      <x:c r="G588" s="10" t="str">
        <x:v>Lohnjournal 20 Beschäftigte</x:v>
      </x:c>
      <x:c r="H588" s="10" t="str">
        <x:v>Personal</x:v>
      </x:c>
    </x:row>
    <x:row r="589" ht="14" customHeight="1">
      <x:c r="A589" s="10" t="str">
        <x:v>2024-05-0234</x:v>
      </x:c>
      <x:c r="B589" s="11" t="n">
        <x:v>45443</x:v>
      </x:c>
      <x:c r="C589" s="10" t="n">
        <x:v>5</x:v>
      </x:c>
      <x:c r="D589" s="10" t="str">
        <x:v>3730</x:v>
      </x:c>
      <x:c r="E589" s="12" t="n">
        <x:v>0</x:v>
      </x:c>
      <x:c r="F589" s="12" t="n">
        <x:v>12900</x:v>
      </x:c>
      <x:c r="G589" s="10" t="str">
        <x:v>Lohnjournal 20 Beschäftigte</x:v>
      </x:c>
      <x:c r="H589" s="10" t="str">
        <x:v>Personal</x:v>
      </x:c>
    </x:row>
    <x:row r="590" ht="14" customHeight="1">
      <x:c r="A590" s="10" t="str">
        <x:v>2024-05-0234</x:v>
      </x:c>
      <x:c r="B590" s="11" t="n">
        <x:v>45443</x:v>
      </x:c>
      <x:c r="C590" s="10" t="n">
        <x:v>5</x:v>
      </x:c>
      <x:c r="D590" s="10" t="str">
        <x:v>3740</x:v>
      </x:c>
      <x:c r="E590" s="12" t="n">
        <x:v>0</x:v>
      </x:c>
      <x:c r="F590" s="12" t="n">
        <x:v>34340</x:v>
      </x:c>
      <x:c r="G590" s="10" t="str">
        <x:v>Lohnjournal 20 Beschäftigte</x:v>
      </x:c>
      <x:c r="H590" s="10" t="str">
        <x:v>Personal</x:v>
      </x:c>
    </x:row>
    <x:row r="591" ht="14" customHeight="1">
      <x:c r="A591" s="10" t="str">
        <x:v>2024-05-0235</x:v>
      </x:c>
      <x:c r="B591" s="11" t="n">
        <x:v>45440</x:v>
      </x:c>
      <x:c r="C591" s="10" t="n">
        <x:v>5</x:v>
      </x:c>
      <x:c r="D591" s="10" t="str">
        <x:v>3720</x:v>
      </x:c>
      <x:c r="E591" s="12" t="n">
        <x:v>56760</x:v>
      </x:c>
      <x:c r="F591" s="12" t="n">
        <x:v>0</x:v>
      </x:c>
      <x:c r="G591" s="10" t="str">
        <x:v>Zahlungsjournal Verbindlichkeiten Nettolöhne</x:v>
      </x:c>
      <x:c r="H591" s="10" t="str">
        <x:v>Personalzahlung</x:v>
      </x:c>
    </x:row>
    <x:row r="592" ht="14" customHeight="1">
      <x:c r="A592" s="10" t="str">
        <x:v>2024-05-0235</x:v>
      </x:c>
      <x:c r="B592" s="11" t="n">
        <x:v>45440</x:v>
      </x:c>
      <x:c r="C592" s="10" t="n">
        <x:v>5</x:v>
      </x:c>
      <x:c r="D592" s="10" t="str">
        <x:v>1800</x:v>
      </x:c>
      <x:c r="E592" s="12" t="n">
        <x:v>0</x:v>
      </x:c>
      <x:c r="F592" s="12" t="n">
        <x:v>56760</x:v>
      </x:c>
      <x:c r="G592" s="10" t="str">
        <x:v>Zahlungsjournal Verbindlichkeiten Nettolöhne</x:v>
      </x:c>
      <x:c r="H592" s="10" t="str">
        <x:v>Personalzahlung</x:v>
      </x:c>
    </x:row>
    <x:row r="593" ht="14" customHeight="1">
      <x:c r="A593" s="10" t="str">
        <x:v>2024-05-0236</x:v>
      </x:c>
      <x:c r="B593" s="11" t="n">
        <x:v>45422</x:v>
      </x:c>
      <x:c r="C593" s="10" t="n">
        <x:v>5</x:v>
      </x:c>
      <x:c r="D593" s="10" t="str">
        <x:v>3730</x:v>
      </x:c>
      <x:c r="E593" s="12" t="n">
        <x:v>12900</x:v>
      </x:c>
      <x:c r="F593" s="12" t="n">
        <x:v>0</x:v>
      </x:c>
      <x:c r="G593" s="10" t="str">
        <x:v>Zahlungsjournal Verbindlichkeiten Lohnsteuer</x:v>
      </x:c>
      <x:c r="H593" s="10" t="str">
        <x:v>Personalzahlung</x:v>
      </x:c>
    </x:row>
    <x:row r="594" ht="14" customHeight="1">
      <x:c r="A594" s="10" t="str">
        <x:v>2024-05-0236</x:v>
      </x:c>
      <x:c r="B594" s="11" t="n">
        <x:v>45422</x:v>
      </x:c>
      <x:c r="C594" s="10" t="n">
        <x:v>5</x:v>
      </x:c>
      <x:c r="D594" s="10" t="str">
        <x:v>1800</x:v>
      </x:c>
      <x:c r="E594" s="12" t="n">
        <x:v>0</x:v>
      </x:c>
      <x:c r="F594" s="12" t="n">
        <x:v>12900</x:v>
      </x:c>
      <x:c r="G594" s="10" t="str">
        <x:v>Zahlungsjournal Verbindlichkeiten Lohnsteuer</x:v>
      </x:c>
      <x:c r="H594" s="10" t="str">
        <x:v>Personalzahlung</x:v>
      </x:c>
    </x:row>
    <x:row r="595" ht="14" customHeight="1">
      <x:c r="A595" s="10" t="str">
        <x:v>2024-05-0237</x:v>
      </x:c>
      <x:c r="B595" s="11" t="n">
        <x:v>45440</x:v>
      </x:c>
      <x:c r="C595" s="10" t="n">
        <x:v>5</x:v>
      </x:c>
      <x:c r="D595" s="10" t="str">
        <x:v>3740</x:v>
      </x:c>
      <x:c r="E595" s="12" t="n">
        <x:v>34340</x:v>
      </x:c>
      <x:c r="F595" s="12" t="n">
        <x:v>0</x:v>
      </x:c>
      <x:c r="G595" s="10" t="str">
        <x:v>Zahlungsjournal Verbindlichkeiten Sozialversicherung</x:v>
      </x:c>
      <x:c r="H595" s="10" t="str">
        <x:v>Personalzahlung</x:v>
      </x:c>
    </x:row>
    <x:row r="596" ht="14" customHeight="1">
      <x:c r="A596" s="10" t="str">
        <x:v>2024-05-0237</x:v>
      </x:c>
      <x:c r="B596" s="11" t="n">
        <x:v>45440</x:v>
      </x:c>
      <x:c r="C596" s="10" t="n">
        <x:v>5</x:v>
      </x:c>
      <x:c r="D596" s="10" t="str">
        <x:v>1800</x:v>
      </x:c>
      <x:c r="E596" s="12" t="n">
        <x:v>0</x:v>
      </x:c>
      <x:c r="F596" s="12" t="n">
        <x:v>34340</x:v>
      </x:c>
      <x:c r="G596" s="10" t="str">
        <x:v>Zahlungsjournal Verbindlichkeiten Sozialversicherung</x:v>
      </x:c>
      <x:c r="H596" s="10" t="str">
        <x:v>Personalzahlung</x:v>
      </x:c>
    </x:row>
    <x:row r="597" ht="14" customHeight="1">
      <x:c r="A597" s="10" t="str">
        <x:v>2024-05-0238</x:v>
      </x:c>
      <x:c r="B597" s="11" t="n">
        <x:v>45443</x:v>
      </x:c>
      <x:c r="C597" s="10" t="n">
        <x:v>5</x:v>
      </x:c>
      <x:c r="D597" s="10" t="str">
        <x:v>6310</x:v>
      </x:c>
      <x:c r="E597" s="12" t="n">
        <x:v>4000</x:v>
      </x:c>
      <x:c r="F597" s="12" t="n">
        <x:v>0</x:v>
      </x:c>
      <x:c r="G597" s="10" t="str">
        <x:v>Miete Büro Nürnberg Monatsjournal</x:v>
      </x:c>
      <x:c r="H597" s="10" t="str">
        <x:v>Betriebskosten</x:v>
      </x:c>
    </x:row>
    <x:row r="598" ht="14" customHeight="1">
      <x:c r="A598" s="10" t="str">
        <x:v>2024-05-0238</x:v>
      </x:c>
      <x:c r="B598" s="11" t="n">
        <x:v>45443</x:v>
      </x:c>
      <x:c r="C598" s="10" t="n">
        <x:v>5</x:v>
      </x:c>
      <x:c r="D598" s="10" t="str">
        <x:v>1406</x:v>
      </x:c>
      <x:c r="E598" s="12" t="n">
        <x:v>760</x:v>
      </x:c>
      <x:c r="F598" s="12" t="n">
        <x:v>0</x:v>
      </x:c>
      <x:c r="G598" s="10" t="str">
        <x:v>Miete Büro Nürnberg Monatsjournal</x:v>
      </x:c>
      <x:c r="H598" s="10" t="str">
        <x:v>Betriebskosten</x:v>
      </x:c>
    </x:row>
    <x:row r="599" ht="14" customHeight="1">
      <x:c r="A599" s="10" t="str">
        <x:v>2024-05-0238</x:v>
      </x:c>
      <x:c r="B599" s="11" t="n">
        <x:v>45443</x:v>
      </x:c>
      <x:c r="C599" s="10" t="n">
        <x:v>5</x:v>
      </x:c>
      <x:c r="D599" s="10" t="str">
        <x:v>3300</x:v>
      </x:c>
      <x:c r="E599" s="12" t="n">
        <x:v>0</x:v>
      </x:c>
      <x:c r="F599" s="12" t="n">
        <x:v>4760</x:v>
      </x:c>
      <x:c r="G599" s="10" t="str">
        <x:v>Miete Büro Nürnberg Monatsjournal</x:v>
      </x:c>
      <x:c r="H599" s="10" t="str">
        <x:v>Betriebskosten</x:v>
      </x:c>
    </x:row>
    <x:row r="600" ht="14" customHeight="1">
      <x:c r="A600" s="10" t="str">
        <x:v>2024-05-0239</x:v>
      </x:c>
      <x:c r="B600" s="11" t="n">
        <x:v>45443</x:v>
      </x:c>
      <x:c r="C600" s="10" t="n">
        <x:v>5</x:v>
      </x:c>
      <x:c r="D600" s="10" t="str">
        <x:v>6311</x:v>
      </x:c>
      <x:c r="E600" s="12" t="n">
        <x:v>10000</x:v>
      </x:c>
      <x:c r="F600" s="12" t="n">
        <x:v>0</x:v>
      </x:c>
      <x:c r="G600" s="10" t="str">
        <x:v>Miete Lager Erlangen Monatsjournal</x:v>
      </x:c>
      <x:c r="H600" s="10" t="str">
        <x:v>Betriebskosten</x:v>
      </x:c>
    </x:row>
    <x:row r="601" ht="14" customHeight="1">
      <x:c r="A601" s="10" t="str">
        <x:v>2024-05-0239</x:v>
      </x:c>
      <x:c r="B601" s="11" t="n">
        <x:v>45443</x:v>
      </x:c>
      <x:c r="C601" s="10" t="n">
        <x:v>5</x:v>
      </x:c>
      <x:c r="D601" s="10" t="str">
        <x:v>1406</x:v>
      </x:c>
      <x:c r="E601" s="12" t="n">
        <x:v>1900</x:v>
      </x:c>
      <x:c r="F601" s="12" t="n">
        <x:v>0</x:v>
      </x:c>
      <x:c r="G601" s="10" t="str">
        <x:v>Miete Lager Erlangen Monatsjournal</x:v>
      </x:c>
      <x:c r="H601" s="10" t="str">
        <x:v>Betriebskosten</x:v>
      </x:c>
    </x:row>
    <x:row r="602" ht="14" customHeight="1">
      <x:c r="A602" s="10" t="str">
        <x:v>2024-05-0239</x:v>
      </x:c>
      <x:c r="B602" s="11" t="n">
        <x:v>45443</x:v>
      </x:c>
      <x:c r="C602" s="10" t="n">
        <x:v>5</x:v>
      </x:c>
      <x:c r="D602" s="10" t="str">
        <x:v>3300</x:v>
      </x:c>
      <x:c r="E602" s="12" t="n">
        <x:v>0</x:v>
      </x:c>
      <x:c r="F602" s="12" t="n">
        <x:v>11900</x:v>
      </x:c>
      <x:c r="G602" s="10" t="str">
        <x:v>Miete Lager Erlangen Monatsjournal</x:v>
      </x:c>
      <x:c r="H602" s="10" t="str">
        <x:v>Betriebskosten</x:v>
      </x:c>
    </x:row>
    <x:row r="603" ht="14" customHeight="1">
      <x:c r="A603" s="10" t="str">
        <x:v>2024-05-0240</x:v>
      </x:c>
      <x:c r="B603" s="11" t="n">
        <x:v>45443</x:v>
      </x:c>
      <x:c r="C603" s="10" t="n">
        <x:v>5</x:v>
      </x:c>
      <x:c r="D603" s="10" t="str">
        <x:v>6325</x:v>
      </x:c>
      <x:c r="E603" s="12" t="n">
        <x:v>4500</x:v>
      </x:c>
      <x:c r="F603" s="12" t="n">
        <x:v>0</x:v>
      </x:c>
      <x:c r="G603" s="10" t="str">
        <x:v>Strom und Kühlung Monatsjournal</x:v>
      </x:c>
      <x:c r="H603" s="10" t="str">
        <x:v>Betriebskosten</x:v>
      </x:c>
    </x:row>
    <x:row r="604" ht="14" customHeight="1">
      <x:c r="A604" s="10" t="str">
        <x:v>2024-05-0240</x:v>
      </x:c>
      <x:c r="B604" s="11" t="n">
        <x:v>45443</x:v>
      </x:c>
      <x:c r="C604" s="10" t="n">
        <x:v>5</x:v>
      </x:c>
      <x:c r="D604" s="10" t="str">
        <x:v>1406</x:v>
      </x:c>
      <x:c r="E604" s="12" t="n">
        <x:v>855</x:v>
      </x:c>
      <x:c r="F604" s="12" t="n">
        <x:v>0</x:v>
      </x:c>
      <x:c r="G604" s="10" t="str">
        <x:v>Strom und Kühlung Monatsjournal</x:v>
      </x:c>
      <x:c r="H604" s="10" t="str">
        <x:v>Betriebskosten</x:v>
      </x:c>
    </x:row>
    <x:row r="605" ht="14" customHeight="1">
      <x:c r="A605" s="10" t="str">
        <x:v>2024-05-0240</x:v>
      </x:c>
      <x:c r="B605" s="11" t="n">
        <x:v>45443</x:v>
      </x:c>
      <x:c r="C605" s="10" t="n">
        <x:v>5</x:v>
      </x:c>
      <x:c r="D605" s="10" t="str">
        <x:v>3300</x:v>
      </x:c>
      <x:c r="E605" s="12" t="n">
        <x:v>0</x:v>
      </x:c>
      <x:c r="F605" s="12" t="n">
        <x:v>5355</x:v>
      </x:c>
      <x:c r="G605" s="10" t="str">
        <x:v>Strom und Kühlung Monatsjournal</x:v>
      </x:c>
      <x:c r="H605" s="10" t="str">
        <x:v>Betriebskosten</x:v>
      </x:c>
    </x:row>
    <x:row r="606" ht="14" customHeight="1">
      <x:c r="A606" s="10" t="str">
        <x:v>2024-05-0241</x:v>
      </x:c>
      <x:c r="B606" s="11" t="n">
        <x:v>45443</x:v>
      </x:c>
      <x:c r="C606" s="10" t="n">
        <x:v>5</x:v>
      </x:c>
      <x:c r="D606" s="10" t="str">
        <x:v>6400</x:v>
      </x:c>
      <x:c r="E606" s="12" t="n">
        <x:v>2500</x:v>
      </x:c>
      <x:c r="F606" s="12" t="n">
        <x:v>0</x:v>
      </x:c>
      <x:c r="G606" s="10" t="str">
        <x:v>Versicherungen Monatsjournal</x:v>
      </x:c>
      <x:c r="H606" s="10" t="str">
        <x:v>Betriebskosten</x:v>
      </x:c>
    </x:row>
    <x:row r="607" ht="14" customHeight="1">
      <x:c r="A607" s="10" t="str">
        <x:v>2024-05-0241</x:v>
      </x:c>
      <x:c r="B607" s="11" t="n">
        <x:v>45443</x:v>
      </x:c>
      <x:c r="C607" s="10" t="n">
        <x:v>5</x:v>
      </x:c>
      <x:c r="D607" s="10" t="str">
        <x:v>3300</x:v>
      </x:c>
      <x:c r="E607" s="12" t="n">
        <x:v>0</x:v>
      </x:c>
      <x:c r="F607" s="12" t="n">
        <x:v>2500</x:v>
      </x:c>
      <x:c r="G607" s="10" t="str">
        <x:v>Versicherungen Monatsjournal</x:v>
      </x:c>
      <x:c r="H607" s="10" t="str">
        <x:v>Betriebskosten</x:v>
      </x:c>
    </x:row>
    <x:row r="608" ht="14" customHeight="1">
      <x:c r="A608" s="10" t="str">
        <x:v>2024-05-0242</x:v>
      </x:c>
      <x:c r="B608" s="11" t="n">
        <x:v>45443</x:v>
      </x:c>
      <x:c r="C608" s="10" t="n">
        <x:v>5</x:v>
      </x:c>
      <x:c r="D608" s="10" t="str">
        <x:v>6470</x:v>
      </x:c>
      <x:c r="E608" s="12" t="n">
        <x:v>6000</x:v>
      </x:c>
      <x:c r="F608" s="12" t="n">
        <x:v>0</x:v>
      </x:c>
      <x:c r="G608" s="10" t="str">
        <x:v>Lagerbetrieb und Reinigung Monatsjournal</x:v>
      </x:c>
      <x:c r="H608" s="10" t="str">
        <x:v>Betriebskosten</x:v>
      </x:c>
    </x:row>
    <x:row r="609" ht="14" customHeight="1">
      <x:c r="A609" s="10" t="str">
        <x:v>2024-05-0242</x:v>
      </x:c>
      <x:c r="B609" s="11" t="n">
        <x:v>45443</x:v>
      </x:c>
      <x:c r="C609" s="10" t="n">
        <x:v>5</x:v>
      </x:c>
      <x:c r="D609" s="10" t="str">
        <x:v>1406</x:v>
      </x:c>
      <x:c r="E609" s="12" t="n">
        <x:v>1140</x:v>
      </x:c>
      <x:c r="F609" s="12" t="n">
        <x:v>0</x:v>
      </x:c>
      <x:c r="G609" s="10" t="str">
        <x:v>Lagerbetrieb und Reinigung Monatsjournal</x:v>
      </x:c>
      <x:c r="H609" s="10" t="str">
        <x:v>Betriebskosten</x:v>
      </x:c>
    </x:row>
    <x:row r="610" ht="14" customHeight="1">
      <x:c r="A610" s="10" t="str">
        <x:v>2024-05-0242</x:v>
      </x:c>
      <x:c r="B610" s="11" t="n">
        <x:v>45443</x:v>
      </x:c>
      <x:c r="C610" s="10" t="n">
        <x:v>5</x:v>
      </x:c>
      <x:c r="D610" s="10" t="str">
        <x:v>3300</x:v>
      </x:c>
      <x:c r="E610" s="12" t="n">
        <x:v>0</x:v>
      </x:c>
      <x:c r="F610" s="12" t="n">
        <x:v>7140</x:v>
      </x:c>
      <x:c r="G610" s="10" t="str">
        <x:v>Lagerbetrieb und Reinigung Monatsjournal</x:v>
      </x:c>
      <x:c r="H610" s="10" t="str">
        <x:v>Betriebskosten</x:v>
      </x:c>
    </x:row>
    <x:row r="611" ht="14" customHeight="1">
      <x:c r="A611" s="10" t="str">
        <x:v>2024-05-0243</x:v>
      </x:c>
      <x:c r="B611" s="11" t="n">
        <x:v>45443</x:v>
      </x:c>
      <x:c r="C611" s="10" t="n">
        <x:v>5</x:v>
      </x:c>
      <x:c r="D611" s="10" t="str">
        <x:v>6490</x:v>
      </x:c>
      <x:c r="E611" s="12" t="n">
        <x:v>2500</x:v>
      </x:c>
      <x:c r="F611" s="12" t="n">
        <x:v>0</x:v>
      </x:c>
      <x:c r="G611" s="10" t="str">
        <x:v>Reparaturen und Wartung Monatsjournal</x:v>
      </x:c>
      <x:c r="H611" s="10" t="str">
        <x:v>Betriebskosten</x:v>
      </x:c>
    </x:row>
    <x:row r="612" ht="14" customHeight="1">
      <x:c r="A612" s="10" t="str">
        <x:v>2024-05-0243</x:v>
      </x:c>
      <x:c r="B612" s="11" t="n">
        <x:v>45443</x:v>
      </x:c>
      <x:c r="C612" s="10" t="n">
        <x:v>5</x:v>
      </x:c>
      <x:c r="D612" s="10" t="str">
        <x:v>1406</x:v>
      </x:c>
      <x:c r="E612" s="12" t="n">
        <x:v>475</x:v>
      </x:c>
      <x:c r="F612" s="12" t="n">
        <x:v>0</x:v>
      </x:c>
      <x:c r="G612" s="10" t="str">
        <x:v>Reparaturen und Wartung Monatsjournal</x:v>
      </x:c>
      <x:c r="H612" s="10" t="str">
        <x:v>Betriebskosten</x:v>
      </x:c>
    </x:row>
    <x:row r="613" ht="14" customHeight="1">
      <x:c r="A613" s="10" t="str">
        <x:v>2024-05-0243</x:v>
      </x:c>
      <x:c r="B613" s="11" t="n">
        <x:v>45443</x:v>
      </x:c>
      <x:c r="C613" s="10" t="n">
        <x:v>5</x:v>
      </x:c>
      <x:c r="D613" s="10" t="str">
        <x:v>3300</x:v>
      </x:c>
      <x:c r="E613" s="12" t="n">
        <x:v>0</x:v>
      </x:c>
      <x:c r="F613" s="12" t="n">
        <x:v>2975</x:v>
      </x:c>
      <x:c r="G613" s="10" t="str">
        <x:v>Reparaturen und Wartung Monatsjournal</x:v>
      </x:c>
      <x:c r="H613" s="10" t="str">
        <x:v>Betriebskosten</x:v>
      </x:c>
    </x:row>
    <x:row r="614" ht="14" customHeight="1">
      <x:c r="A614" s="10" t="str">
        <x:v>2024-05-0244</x:v>
      </x:c>
      <x:c r="B614" s="11" t="n">
        <x:v>45443</x:v>
      </x:c>
      <x:c r="C614" s="10" t="n">
        <x:v>5</x:v>
      </x:c>
      <x:c r="D614" s="10" t="str">
        <x:v>6600</x:v>
      </x:c>
      <x:c r="E614" s="12" t="n">
        <x:v>6000</x:v>
      </x:c>
      <x:c r="F614" s="12" t="n">
        <x:v>0</x:v>
      </x:c>
      <x:c r="G614" s="10" t="str">
        <x:v>Marketing und Messen Monatsjournal</x:v>
      </x:c>
      <x:c r="H614" s="10" t="str">
        <x:v>Betriebskosten</x:v>
      </x:c>
    </x:row>
    <x:row r="615" ht="14" customHeight="1">
      <x:c r="A615" s="10" t="str">
        <x:v>2024-05-0244</x:v>
      </x:c>
      <x:c r="B615" s="11" t="n">
        <x:v>45443</x:v>
      </x:c>
      <x:c r="C615" s="10" t="n">
        <x:v>5</x:v>
      </x:c>
      <x:c r="D615" s="10" t="str">
        <x:v>1406</x:v>
      </x:c>
      <x:c r="E615" s="12" t="n">
        <x:v>1140</x:v>
      </x:c>
      <x:c r="F615" s="12" t="n">
        <x:v>0</x:v>
      </x:c>
      <x:c r="G615" s="10" t="str">
        <x:v>Marketing und Messen Monatsjournal</x:v>
      </x:c>
      <x:c r="H615" s="10" t="str">
        <x:v>Betriebskosten</x:v>
      </x:c>
    </x:row>
    <x:row r="616" ht="14" customHeight="1">
      <x:c r="A616" s="10" t="str">
        <x:v>2024-05-0244</x:v>
      </x:c>
      <x:c r="B616" s="11" t="n">
        <x:v>45443</x:v>
      </x:c>
      <x:c r="C616" s="10" t="n">
        <x:v>5</x:v>
      </x:c>
      <x:c r="D616" s="10" t="str">
        <x:v>3300</x:v>
      </x:c>
      <x:c r="E616" s="12" t="n">
        <x:v>0</x:v>
      </x:c>
      <x:c r="F616" s="12" t="n">
        <x:v>7140</x:v>
      </x:c>
      <x:c r="G616" s="10" t="str">
        <x:v>Marketing und Messen Monatsjournal</x:v>
      </x:c>
      <x:c r="H616" s="10" t="str">
        <x:v>Betriebskosten</x:v>
      </x:c>
    </x:row>
    <x:row r="617" ht="14" customHeight="1">
      <x:c r="A617" s="10" t="str">
        <x:v>2024-05-0245</x:v>
      </x:c>
      <x:c r="B617" s="11" t="n">
        <x:v>45443</x:v>
      </x:c>
      <x:c r="C617" s="10" t="n">
        <x:v>5</x:v>
      </x:c>
      <x:c r="D617" s="10" t="str">
        <x:v>6650</x:v>
      </x:c>
      <x:c r="E617" s="12" t="n">
        <x:v>1500</x:v>
      </x:c>
      <x:c r="F617" s="12" t="n">
        <x:v>0</x:v>
      </x:c>
      <x:c r="G617" s="10" t="str">
        <x:v>Reisekosten Monatsjournal</x:v>
      </x:c>
      <x:c r="H617" s="10" t="str">
        <x:v>Betriebskosten</x:v>
      </x:c>
    </x:row>
    <x:row r="618" ht="14" customHeight="1">
      <x:c r="A618" s="10" t="str">
        <x:v>2024-05-0245</x:v>
      </x:c>
      <x:c r="B618" s="11" t="n">
        <x:v>45443</x:v>
      </x:c>
      <x:c r="C618" s="10" t="n">
        <x:v>5</x:v>
      </x:c>
      <x:c r="D618" s="10" t="str">
        <x:v>1406</x:v>
      </x:c>
      <x:c r="E618" s="12" t="n">
        <x:v>285</x:v>
      </x:c>
      <x:c r="F618" s="12" t="n">
        <x:v>0</x:v>
      </x:c>
      <x:c r="G618" s="10" t="str">
        <x:v>Reisekosten Monatsjournal</x:v>
      </x:c>
      <x:c r="H618" s="10" t="str">
        <x:v>Betriebskosten</x:v>
      </x:c>
    </x:row>
    <x:row r="619" ht="14" customHeight="1">
      <x:c r="A619" s="10" t="str">
        <x:v>2024-05-0245</x:v>
      </x:c>
      <x:c r="B619" s="11" t="n">
        <x:v>45443</x:v>
      </x:c>
      <x:c r="C619" s="10" t="n">
        <x:v>5</x:v>
      </x:c>
      <x:c r="D619" s="10" t="str">
        <x:v>3300</x:v>
      </x:c>
      <x:c r="E619" s="12" t="n">
        <x:v>0</x:v>
      </x:c>
      <x:c r="F619" s="12" t="n">
        <x:v>1485</x:v>
      </x:c>
      <x:c r="G619" s="10" t="str">
        <x:v>Reisekosten Monatsjournal</x:v>
      </x:c>
      <x:c r="H619" s="10" t="str">
        <x:v>Betriebskosten</x:v>
      </x:c>
    </x:row>
    <x:row r="620" ht="14" customHeight="1">
      <x:c r="A620" s="10" t="str">
        <x:v>2024-05-0245</x:v>
      </x:c>
      <x:c r="B620" s="11" t="n">
        <x:v>45443</x:v>
      </x:c>
      <x:c r="C620" s="10" t="n">
        <x:v>5</x:v>
      </x:c>
      <x:c r="D620" s="10" t="str">
        <x:v>1600</x:v>
      </x:c>
      <x:c r="E620" s="12" t="n">
        <x:v>0</x:v>
      </x:c>
      <x:c r="F620" s="12" t="n">
        <x:v>300</x:v>
      </x:c>
      <x:c r="G620" s="10" t="str">
        <x:v>Reisekosten Monatsjournal</x:v>
      </x:c>
      <x:c r="H620" s="10" t="str">
        <x:v>Betriebskosten</x:v>
      </x:c>
    </x:row>
    <x:row r="621" ht="14" customHeight="1">
      <x:c r="A621" s="10" t="str">
        <x:v>2024-05-0246</x:v>
      </x:c>
      <x:c r="B621" s="11" t="n">
        <x:v>45443</x:v>
      </x:c>
      <x:c r="C621" s="10" t="n">
        <x:v>5</x:v>
      </x:c>
      <x:c r="D621" s="10" t="str">
        <x:v>6740</x:v>
      </x:c>
      <x:c r="E621" s="12" t="n">
        <x:v>13000</x:v>
      </x:c>
      <x:c r="F621" s="12" t="n">
        <x:v>0</x:v>
      </x:c>
      <x:c r="G621" s="10" t="str">
        <x:v>Ausgangsfrachten Inland Monatsjournal</x:v>
      </x:c>
      <x:c r="H621" s="10" t="str">
        <x:v>Betriebskosten</x:v>
      </x:c>
    </x:row>
    <x:row r="622" ht="14" customHeight="1">
      <x:c r="A622" s="10" t="str">
        <x:v>2024-05-0246</x:v>
      </x:c>
      <x:c r="B622" s="11" t="n">
        <x:v>45443</x:v>
      </x:c>
      <x:c r="C622" s="10" t="n">
        <x:v>5</x:v>
      </x:c>
      <x:c r="D622" s="10" t="str">
        <x:v>1406</x:v>
      </x:c>
      <x:c r="E622" s="12" t="n">
        <x:v>2470</x:v>
      </x:c>
      <x:c r="F622" s="12" t="n">
        <x:v>0</x:v>
      </x:c>
      <x:c r="G622" s="10" t="str">
        <x:v>Ausgangsfrachten Inland Monatsjournal</x:v>
      </x:c>
      <x:c r="H622" s="10" t="str">
        <x:v>Betriebskosten</x:v>
      </x:c>
    </x:row>
    <x:row r="623" ht="14" customHeight="1">
      <x:c r="A623" s="10" t="str">
        <x:v>2024-05-0246</x:v>
      </x:c>
      <x:c r="B623" s="11" t="n">
        <x:v>45443</x:v>
      </x:c>
      <x:c r="C623" s="10" t="n">
        <x:v>5</x:v>
      </x:c>
      <x:c r="D623" s="10" t="str">
        <x:v>3300</x:v>
      </x:c>
      <x:c r="E623" s="12" t="n">
        <x:v>0</x:v>
      </x:c>
      <x:c r="F623" s="12" t="n">
        <x:v>15470</x:v>
      </x:c>
      <x:c r="G623" s="10" t="str">
        <x:v>Ausgangsfrachten Inland Monatsjournal</x:v>
      </x:c>
      <x:c r="H623" s="10" t="str">
        <x:v>Betriebskosten</x:v>
      </x:c>
    </x:row>
    <x:row r="624" ht="14" customHeight="1">
      <x:c r="A624" s="10" t="str">
        <x:v>2024-05-0247</x:v>
      </x:c>
      <x:c r="B624" s="11" t="n">
        <x:v>45443</x:v>
      </x:c>
      <x:c r="C624" s="10" t="n">
        <x:v>5</x:v>
      </x:c>
      <x:c r="D624" s="10" t="str">
        <x:v>6741</x:v>
      </x:c>
      <x:c r="E624" s="12" t="n">
        <x:v>14000</x:v>
      </x:c>
      <x:c r="F624" s="12" t="n">
        <x:v>0</x:v>
      </x:c>
      <x:c r="G624" s="10" t="str">
        <x:v>Ausgangsfrachten Ausland Monatsjournal</x:v>
      </x:c>
      <x:c r="H624" s="10" t="str">
        <x:v>Betriebskosten</x:v>
      </x:c>
    </x:row>
    <x:row r="625" ht="14" customHeight="1">
      <x:c r="A625" s="10" t="str">
        <x:v>2024-05-0247</x:v>
      </x:c>
      <x:c r="B625" s="11" t="n">
        <x:v>45443</x:v>
      </x:c>
      <x:c r="C625" s="10" t="n">
        <x:v>5</x:v>
      </x:c>
      <x:c r="D625" s="10" t="str">
        <x:v>1406</x:v>
      </x:c>
      <x:c r="E625" s="12" t="n">
        <x:v>2660</x:v>
      </x:c>
      <x:c r="F625" s="12" t="n">
        <x:v>0</x:v>
      </x:c>
      <x:c r="G625" s="10" t="str">
        <x:v>Ausgangsfrachten Ausland Monatsjournal</x:v>
      </x:c>
      <x:c r="H625" s="10" t="str">
        <x:v>Betriebskosten</x:v>
      </x:c>
    </x:row>
    <x:row r="626" ht="14" customHeight="1">
      <x:c r="A626" s="10" t="str">
        <x:v>2024-05-0247</x:v>
      </x:c>
      <x:c r="B626" s="11" t="n">
        <x:v>45443</x:v>
      </x:c>
      <x:c r="C626" s="10" t="n">
        <x:v>5</x:v>
      </x:c>
      <x:c r="D626" s="10" t="str">
        <x:v>3300</x:v>
      </x:c>
      <x:c r="E626" s="12" t="n">
        <x:v>0</x:v>
      </x:c>
      <x:c r="F626" s="12" t="n">
        <x:v>16660</x:v>
      </x:c>
      <x:c r="G626" s="10" t="str">
        <x:v>Ausgangsfrachten Ausland Monatsjournal</x:v>
      </x:c>
      <x:c r="H626" s="10" t="str">
        <x:v>Betriebskosten</x:v>
      </x:c>
    </x:row>
    <x:row r="627" ht="14" customHeight="1">
      <x:c r="A627" s="10" t="str">
        <x:v>2024-05-0248</x:v>
      </x:c>
      <x:c r="B627" s="11" t="n">
        <x:v>45443</x:v>
      </x:c>
      <x:c r="C627" s="10" t="n">
        <x:v>5</x:v>
      </x:c>
      <x:c r="D627" s="10" t="str">
        <x:v>6805</x:v>
      </x:c>
      <x:c r="E627" s="12" t="n">
        <x:v>1500</x:v>
      </x:c>
      <x:c r="F627" s="12" t="n">
        <x:v>0</x:v>
      </x:c>
      <x:c r="G627" s="10" t="str">
        <x:v>Telekommunikation und IT Monatsjournal</x:v>
      </x:c>
      <x:c r="H627" s="10" t="str">
        <x:v>Betriebskosten</x:v>
      </x:c>
    </x:row>
    <x:row r="628" ht="14" customHeight="1">
      <x:c r="A628" s="10" t="str">
        <x:v>2024-05-0248</x:v>
      </x:c>
      <x:c r="B628" s="11" t="n">
        <x:v>45443</x:v>
      </x:c>
      <x:c r="C628" s="10" t="n">
        <x:v>5</x:v>
      </x:c>
      <x:c r="D628" s="10" t="str">
        <x:v>1406</x:v>
      </x:c>
      <x:c r="E628" s="12" t="n">
        <x:v>285</x:v>
      </x:c>
      <x:c r="F628" s="12" t="n">
        <x:v>0</x:v>
      </x:c>
      <x:c r="G628" s="10" t="str">
        <x:v>Telekommunikation und IT Monatsjournal</x:v>
      </x:c>
      <x:c r="H628" s="10" t="str">
        <x:v>Betriebskosten</x:v>
      </x:c>
    </x:row>
    <x:row r="629" ht="14" customHeight="1">
      <x:c r="A629" s="10" t="str">
        <x:v>2024-05-0248</x:v>
      </x:c>
      <x:c r="B629" s="11" t="n">
        <x:v>45443</x:v>
      </x:c>
      <x:c r="C629" s="10" t="n">
        <x:v>5</x:v>
      </x:c>
      <x:c r="D629" s="10" t="str">
        <x:v>3300</x:v>
      </x:c>
      <x:c r="E629" s="12" t="n">
        <x:v>0</x:v>
      </x:c>
      <x:c r="F629" s="12" t="n">
        <x:v>1785</x:v>
      </x:c>
      <x:c r="G629" s="10" t="str">
        <x:v>Telekommunikation und IT Monatsjournal</x:v>
      </x:c>
      <x:c r="H629" s="10" t="str">
        <x:v>Betriebskosten</x:v>
      </x:c>
    </x:row>
    <x:row r="630" ht="14" customHeight="1">
      <x:c r="A630" s="10" t="str">
        <x:v>2024-05-0249</x:v>
      </x:c>
      <x:c r="B630" s="11" t="n">
        <x:v>45443</x:v>
      </x:c>
      <x:c r="C630" s="10" t="n">
        <x:v>5</x:v>
      </x:c>
      <x:c r="D630" s="10" t="str">
        <x:v>6825</x:v>
      </x:c>
      <x:c r="E630" s="12" t="n">
        <x:v>3000</x:v>
      </x:c>
      <x:c r="F630" s="12" t="n">
        <x:v>0</x:v>
      </x:c>
      <x:c r="G630" s="10" t="str">
        <x:v>Rechtsberatung und Buchführung Monatsjournal</x:v>
      </x:c>
      <x:c r="H630" s="10" t="str">
        <x:v>Betriebskosten</x:v>
      </x:c>
    </x:row>
    <x:row r="631" ht="14" customHeight="1">
      <x:c r="A631" s="10" t="str">
        <x:v>2024-05-0249</x:v>
      </x:c>
      <x:c r="B631" s="11" t="n">
        <x:v>45443</x:v>
      </x:c>
      <x:c r="C631" s="10" t="n">
        <x:v>5</x:v>
      </x:c>
      <x:c r="D631" s="10" t="str">
        <x:v>1406</x:v>
      </x:c>
      <x:c r="E631" s="12" t="n">
        <x:v>570</x:v>
      </x:c>
      <x:c r="F631" s="12" t="n">
        <x:v>0</x:v>
      </x:c>
      <x:c r="G631" s="10" t="str">
        <x:v>Rechtsberatung und Buchführung Monatsjournal</x:v>
      </x:c>
      <x:c r="H631" s="10" t="str">
        <x:v>Betriebskosten</x:v>
      </x:c>
    </x:row>
    <x:row r="632" ht="14" customHeight="1">
      <x:c r="A632" s="10" t="str">
        <x:v>2024-05-0249</x:v>
      </x:c>
      <x:c r="B632" s="11" t="n">
        <x:v>45443</x:v>
      </x:c>
      <x:c r="C632" s="10" t="n">
        <x:v>5</x:v>
      </x:c>
      <x:c r="D632" s="10" t="str">
        <x:v>3300</x:v>
      </x:c>
      <x:c r="E632" s="12" t="n">
        <x:v>0</x:v>
      </x:c>
      <x:c r="F632" s="12" t="n">
        <x:v>3570</x:v>
      </x:c>
      <x:c r="G632" s="10" t="str">
        <x:v>Rechtsberatung und Buchführung Monatsjournal</x:v>
      </x:c>
      <x:c r="H632" s="10" t="str">
        <x:v>Betriebskosten</x:v>
      </x:c>
    </x:row>
    <x:row r="633" ht="14" customHeight="1">
      <x:c r="A633" s="10" t="str">
        <x:v>2024-05-0250</x:v>
      </x:c>
      <x:c r="B633" s="11" t="n">
        <x:v>45443</x:v>
      </x:c>
      <x:c r="C633" s="10" t="n">
        <x:v>5</x:v>
      </x:c>
      <x:c r="D633" s="10" t="str">
        <x:v>6830</x:v>
      </x:c>
      <x:c r="E633" s="12" t="n">
        <x:v>3500</x:v>
      </x:c>
      <x:c r="F633" s="12" t="n">
        <x:v>0</x:v>
      </x:c>
      <x:c r="G633" s="10" t="str">
        <x:v>Labor und Qualitätssicherung Monatsjournal</x:v>
      </x:c>
      <x:c r="H633" s="10" t="str">
        <x:v>Betriebskosten</x:v>
      </x:c>
    </x:row>
    <x:row r="634" ht="14" customHeight="1">
      <x:c r="A634" s="10" t="str">
        <x:v>2024-05-0250</x:v>
      </x:c>
      <x:c r="B634" s="11" t="n">
        <x:v>45443</x:v>
      </x:c>
      <x:c r="C634" s="10" t="n">
        <x:v>5</x:v>
      </x:c>
      <x:c r="D634" s="10" t="str">
        <x:v>1406</x:v>
      </x:c>
      <x:c r="E634" s="12" t="n">
        <x:v>665</x:v>
      </x:c>
      <x:c r="F634" s="12" t="n">
        <x:v>0</x:v>
      </x:c>
      <x:c r="G634" s="10" t="str">
        <x:v>Labor und Qualitätssicherung Monatsjournal</x:v>
      </x:c>
      <x:c r="H634" s="10" t="str">
        <x:v>Betriebskosten</x:v>
      </x:c>
    </x:row>
    <x:row r="635" ht="14" customHeight="1">
      <x:c r="A635" s="10" t="str">
        <x:v>2024-05-0250</x:v>
      </x:c>
      <x:c r="B635" s="11" t="n">
        <x:v>45443</x:v>
      </x:c>
      <x:c r="C635" s="10" t="n">
        <x:v>5</x:v>
      </x:c>
      <x:c r="D635" s="10" t="str">
        <x:v>3300</x:v>
      </x:c>
      <x:c r="E635" s="12" t="n">
        <x:v>0</x:v>
      </x:c>
      <x:c r="F635" s="12" t="n">
        <x:v>4165</x:v>
      </x:c>
      <x:c r="G635" s="10" t="str">
        <x:v>Labor und Qualitätssicherung Monatsjournal</x:v>
      </x:c>
      <x:c r="H635" s="10" t="str">
        <x:v>Betriebskosten</x:v>
      </x:c>
    </x:row>
    <x:row r="636" ht="14" customHeight="1">
      <x:c r="A636" s="10" t="str">
        <x:v>2024-05-0251</x:v>
      </x:c>
      <x:c r="B636" s="11" t="n">
        <x:v>45443</x:v>
      </x:c>
      <x:c r="C636" s="10" t="n">
        <x:v>5</x:v>
      </x:c>
      <x:c r="D636" s="10" t="str">
        <x:v>6850</x:v>
      </x:c>
      <x:c r="E636" s="12" t="n">
        <x:v>2000</x:v>
      </x:c>
      <x:c r="F636" s="12" t="n">
        <x:v>0</x:v>
      </x:c>
      <x:c r="G636" s="10" t="str">
        <x:v>Bürobedarf und übriger Aufwand Monatsjournal</x:v>
      </x:c>
      <x:c r="H636" s="10" t="str">
        <x:v>Betriebskosten</x:v>
      </x:c>
    </x:row>
    <x:row r="637" ht="14" customHeight="1">
      <x:c r="A637" s="10" t="str">
        <x:v>2024-05-0251</x:v>
      </x:c>
      <x:c r="B637" s="11" t="n">
        <x:v>45443</x:v>
      </x:c>
      <x:c r="C637" s="10" t="n">
        <x:v>5</x:v>
      </x:c>
      <x:c r="D637" s="10" t="str">
        <x:v>1406</x:v>
      </x:c>
      <x:c r="E637" s="12" t="n">
        <x:v>380</x:v>
      </x:c>
      <x:c r="F637" s="12" t="n">
        <x:v>0</x:v>
      </x:c>
      <x:c r="G637" s="10" t="str">
        <x:v>Bürobedarf und übriger Aufwand Monatsjournal</x:v>
      </x:c>
      <x:c r="H637" s="10" t="str">
        <x:v>Betriebskosten</x:v>
      </x:c>
    </x:row>
    <x:row r="638" ht="14" customHeight="1">
      <x:c r="A638" s="10" t="str">
        <x:v>2024-05-0251</x:v>
      </x:c>
      <x:c r="B638" s="11" t="n">
        <x:v>45443</x:v>
      </x:c>
      <x:c r="C638" s="10" t="n">
        <x:v>5</x:v>
      </x:c>
      <x:c r="D638" s="10" t="str">
        <x:v>3300</x:v>
      </x:c>
      <x:c r="E638" s="12" t="n">
        <x:v>0</x:v>
      </x:c>
      <x:c r="F638" s="12" t="n">
        <x:v>2380</x:v>
      </x:c>
      <x:c r="G638" s="10" t="str">
        <x:v>Bürobedarf und übriger Aufwand Monatsjournal</x:v>
      </x:c>
      <x:c r="H638" s="10" t="str">
        <x:v>Betriebskosten</x:v>
      </x:c>
    </x:row>
    <x:row r="639" ht="14" customHeight="1">
      <x:c r="A639" s="10" t="str">
        <x:v>2024-05-0252</x:v>
      </x:c>
      <x:c r="B639" s="11" t="n">
        <x:v>45443</x:v>
      </x:c>
      <x:c r="C639" s="10" t="n">
        <x:v>5</x:v>
      </x:c>
      <x:c r="D639" s="10" t="str">
        <x:v>6859</x:v>
      </x:c>
      <x:c r="E639" s="12" t="n">
        <x:v>500</x:v>
      </x:c>
      <x:c r="F639" s="12" t="n">
        <x:v>0</x:v>
      </x:c>
      <x:c r="G639" s="10" t="str">
        <x:v>Bankgebühren Monatsjournal</x:v>
      </x:c>
      <x:c r="H639" s="10" t="str">
        <x:v>Betriebskosten</x:v>
      </x:c>
    </x:row>
    <x:row r="640" ht="14" customHeight="1">
      <x:c r="A640" s="10" t="str">
        <x:v>2024-05-0252</x:v>
      </x:c>
      <x:c r="B640" s="11" t="n">
        <x:v>45443</x:v>
      </x:c>
      <x:c r="C640" s="10" t="n">
        <x:v>5</x:v>
      </x:c>
      <x:c r="D640" s="10" t="str">
        <x:v>3300</x:v>
      </x:c>
      <x:c r="E640" s="12" t="n">
        <x:v>0</x:v>
      </x:c>
      <x:c r="F640" s="12" t="n">
        <x:v>500</x:v>
      </x:c>
      <x:c r="G640" s="10" t="str">
        <x:v>Bankgebühren Monatsjournal</x:v>
      </x:c>
      <x:c r="H640" s="10" t="str">
        <x:v>Betriebskosten</x:v>
      </x:c>
    </x:row>
    <x:row r="641" ht="14" customHeight="1">
      <x:c r="A641" s="10" t="str">
        <x:v>2024-05-0253</x:v>
      </x:c>
      <x:c r="B641" s="11" t="n">
        <x:v>45417</x:v>
      </x:c>
      <x:c r="C641" s="10" t="n">
        <x:v>5</x:v>
      </x:c>
      <x:c r="D641" s="10" t="str">
        <x:v>1600</x:v>
      </x:c>
      <x:c r="E641" s="12" t="n">
        <x:v>300</x:v>
      </x:c>
      <x:c r="F641" s="12" t="n">
        <x:v>0</x:v>
      </x:c>
      <x:c r="G641" s="10" t="str">
        <x:v>Kassenvorschuss Reisekosten</x:v>
      </x:c>
      <x:c r="H641" s="10" t="str">
        <x:v>Kassenumbuchung</x:v>
      </x:c>
    </x:row>
    <x:row r="642" ht="14" customHeight="1">
      <x:c r="A642" s="10" t="str">
        <x:v>2024-05-0253</x:v>
      </x:c>
      <x:c r="B642" s="11" t="n">
        <x:v>45417</x:v>
      </x:c>
      <x:c r="C642" s="10" t="n">
        <x:v>5</x:v>
      </x:c>
      <x:c r="D642" s="10" t="str">
        <x:v>1800</x:v>
      </x:c>
      <x:c r="E642" s="12" t="n">
        <x:v>0</x:v>
      </x:c>
      <x:c r="F642" s="12" t="n">
        <x:v>300</x:v>
      </x:c>
      <x:c r="G642" s="10" t="str">
        <x:v>Kassenvorschuss Reisekosten</x:v>
      </x:c>
      <x:c r="H642" s="10" t="str">
        <x:v>Kassenumbuchung</x:v>
      </x:c>
    </x:row>
    <x:row r="643" ht="14" customHeight="1">
      <x:c r="A643" s="10" t="str">
        <x:v>2024-05-0254</x:v>
      </x:c>
      <x:c r="B643" s="11" t="n">
        <x:v>45443</x:v>
      </x:c>
      <x:c r="C643" s="10" t="n">
        <x:v>5</x:v>
      </x:c>
      <x:c r="D643" s="10" t="str">
        <x:v>6805</x:v>
      </x:c>
      <x:c r="E643" s="12" t="n">
        <x:v>3000</x:v>
      </x:c>
      <x:c r="F643" s="12" t="n">
        <x:v>0</x:v>
      </x:c>
      <x:c r="G643" s="10" t="str">
        <x:v>IT Jahreslizenz Auflösung Vorauszahlung</x:v>
      </x:c>
      <x:c r="H643" s="10" t="str">
        <x:v>Abgrenzung</x:v>
      </x:c>
    </x:row>
    <x:row r="644" ht="14" customHeight="1">
      <x:c r="A644" s="10" t="str">
        <x:v>2024-05-0254</x:v>
      </x:c>
      <x:c r="B644" s="11" t="n">
        <x:v>45443</x:v>
      </x:c>
      <x:c r="C644" s="10" t="n">
        <x:v>5</x:v>
      </x:c>
      <x:c r="D644" s="10" t="str">
        <x:v>1900</x:v>
      </x:c>
      <x:c r="E644" s="12" t="n">
        <x:v>0</x:v>
      </x:c>
      <x:c r="F644" s="12" t="n">
        <x:v>3000</x:v>
      </x:c>
      <x:c r="G644" s="10" t="str">
        <x:v>IT Jahreslizenz Auflösung Vorauszahlung</x:v>
      </x:c>
      <x:c r="H644" s="10" t="str">
        <x:v>Abgrenzung</x:v>
      </x:c>
    </x:row>
    <x:row r="645" ht="14" customHeight="1">
      <x:c r="A645" s="10" t="str">
        <x:v>2024-05-0255</x:v>
      </x:c>
      <x:c r="B645" s="11" t="n">
        <x:v>45443</x:v>
      </x:c>
      <x:c r="C645" s="10" t="n">
        <x:v>5</x:v>
      </x:c>
      <x:c r="D645" s="10" t="str">
        <x:v>6220</x:v>
      </x:c>
      <x:c r="E645" s="12" t="n">
        <x:v>500</x:v>
      </x:c>
      <x:c r="F645" s="12" t="n">
        <x:v>0</x:v>
      </x:c>
      <x:c r="G645" s="10" t="str">
        <x:v>Software Monatsabschreibung</x:v>
      </x:c>
      <x:c r="H645" s="10" t="str">
        <x:v>Abschreibung</x:v>
      </x:c>
    </x:row>
    <x:row r="646" ht="14" customHeight="1">
      <x:c r="A646" s="10" t="str">
        <x:v>2024-05-0255</x:v>
      </x:c>
      <x:c r="B646" s="11" t="n">
        <x:v>45443</x:v>
      </x:c>
      <x:c r="C646" s="10" t="n">
        <x:v>5</x:v>
      </x:c>
      <x:c r="D646" s="10" t="str">
        <x:v>0100</x:v>
      </x:c>
      <x:c r="E646" s="12" t="n">
        <x:v>0</x:v>
      </x:c>
      <x:c r="F646" s="12" t="n">
        <x:v>500</x:v>
      </x:c>
      <x:c r="G646" s="10" t="str">
        <x:v>Software Monatsabschreibung</x:v>
      </x:c>
      <x:c r="H646" s="10" t="str">
        <x:v>Abschreibung</x:v>
      </x:c>
    </x:row>
    <x:row r="647" ht="14" customHeight="1">
      <x:c r="A647" s="10" t="str">
        <x:v>2024-05-0256</x:v>
      </x:c>
      <x:c r="B647" s="11" t="n">
        <x:v>45443</x:v>
      </x:c>
      <x:c r="C647" s="10" t="n">
        <x:v>5</x:v>
      </x:c>
      <x:c r="D647" s="10" t="str">
        <x:v>6220</x:v>
      </x:c>
      <x:c r="E647" s="12" t="n">
        <x:v>2500</x:v>
      </x:c>
      <x:c r="F647" s="12" t="n">
        <x:v>0</x:v>
      </x:c>
      <x:c r="G647" s="10" t="str">
        <x:v>Lagereinbauten Erlangen Monatsabschreibung</x:v>
      </x:c>
      <x:c r="H647" s="10" t="str">
        <x:v>Abschreibung</x:v>
      </x:c>
    </x:row>
    <x:row r="648" ht="14" customHeight="1">
      <x:c r="A648" s="10" t="str">
        <x:v>2024-05-0256</x:v>
      </x:c>
      <x:c r="B648" s="11" t="n">
        <x:v>45443</x:v>
      </x:c>
      <x:c r="C648" s="10" t="n">
        <x:v>5</x:v>
      </x:c>
      <x:c r="D648" s="10" t="str">
        <x:v>0400</x:v>
      </x:c>
      <x:c r="E648" s="12" t="n">
        <x:v>0</x:v>
      </x:c>
      <x:c r="F648" s="12" t="n">
        <x:v>2500</x:v>
      </x:c>
      <x:c r="G648" s="10" t="str">
        <x:v>Lagereinbauten Erlangen Monatsabschreibung</x:v>
      </x:c>
      <x:c r="H648" s="10" t="str">
        <x:v>Abschreibung</x:v>
      </x:c>
    </x:row>
    <x:row r="649" ht="14" customHeight="1">
      <x:c r="A649" s="10" t="str">
        <x:v>2024-05-0257</x:v>
      </x:c>
      <x:c r="B649" s="11" t="n">
        <x:v>45443</x:v>
      </x:c>
      <x:c r="C649" s="10" t="n">
        <x:v>5</x:v>
      </x:c>
      <x:c r="D649" s="10" t="str">
        <x:v>6220</x:v>
      </x:c>
      <x:c r="E649" s="12" t="n">
        <x:v>1500</x:v>
      </x:c>
      <x:c r="F649" s="12" t="n">
        <x:v>0</x:v>
      </x:c>
      <x:c r="G649" s="10" t="str">
        <x:v>Flurförderzeuge Monatsabschreibung</x:v>
      </x:c>
      <x:c r="H649" s="10" t="str">
        <x:v>Abschreibung</x:v>
      </x:c>
    </x:row>
    <x:row r="650" ht="14" customHeight="1">
      <x:c r="A650" s="10" t="str">
        <x:v>2024-05-0257</x:v>
      </x:c>
      <x:c r="B650" s="11" t="n">
        <x:v>45443</x:v>
      </x:c>
      <x:c r="C650" s="10" t="n">
        <x:v>5</x:v>
      </x:c>
      <x:c r="D650" s="10" t="str">
        <x:v>0520</x:v>
      </x:c>
      <x:c r="E650" s="12" t="n">
        <x:v>0</x:v>
      </x:c>
      <x:c r="F650" s="12" t="n">
        <x:v>1500</x:v>
      </x:c>
      <x:c r="G650" s="10" t="str">
        <x:v>Flurförderzeuge Monatsabschreibung</x:v>
      </x:c>
      <x:c r="H650" s="10" t="str">
        <x:v>Abschreibung</x:v>
      </x:c>
    </x:row>
    <x:row r="651" ht="14" customHeight="1">
      <x:c r="A651" s="10" t="str">
        <x:v>2024-05-0258</x:v>
      </x:c>
      <x:c r="B651" s="11" t="n">
        <x:v>45443</x:v>
      </x:c>
      <x:c r="C651" s="10" t="n">
        <x:v>5</x:v>
      </x:c>
      <x:c r="D651" s="10" t="str">
        <x:v>6220</x:v>
      </x:c>
      <x:c r="E651" s="12" t="n">
        <x:v>2000</x:v>
      </x:c>
      <x:c r="F651" s="12" t="n">
        <x:v>0</x:v>
      </x:c>
      <x:c r="G651" s="10" t="str">
        <x:v>IT und Kommunikation Monatsabschreibung</x:v>
      </x:c>
      <x:c r="H651" s="10" t="str">
        <x:v>Abschreibung</x:v>
      </x:c>
    </x:row>
    <x:row r="652" ht="14" customHeight="1">
      <x:c r="A652" s="10" t="str">
        <x:v>2024-05-0258</x:v>
      </x:c>
      <x:c r="B652" s="11" t="n">
        <x:v>45443</x:v>
      </x:c>
      <x:c r="C652" s="10" t="n">
        <x:v>5</x:v>
      </x:c>
      <x:c r="D652" s="10" t="str">
        <x:v>0650</x:v>
      </x:c>
      <x:c r="E652" s="12" t="n">
        <x:v>0</x:v>
      </x:c>
      <x:c r="F652" s="12" t="n">
        <x:v>2000</x:v>
      </x:c>
      <x:c r="G652" s="10" t="str">
        <x:v>IT und Kommunikation Monatsabschreibung</x:v>
      </x:c>
      <x:c r="H652" s="10" t="str">
        <x:v>Abschreibung</x:v>
      </x:c>
    </x:row>
    <x:row r="653" ht="14" customHeight="1">
      <x:c r="A653" s="10" t="str">
        <x:v>2024-05-0259</x:v>
      </x:c>
      <x:c r="B653" s="11" t="n">
        <x:v>45443</x:v>
      </x:c>
      <x:c r="C653" s="10" t="n">
        <x:v>5</x:v>
      </x:c>
      <x:c r="D653" s="10" t="str">
        <x:v>6220</x:v>
      </x:c>
      <x:c r="E653" s="12" t="n">
        <x:v>1000</x:v>
      </x:c>
      <x:c r="F653" s="12" t="n">
        <x:v>0</x:v>
      </x:c>
      <x:c r="G653" s="10" t="str">
        <x:v>Büroausstattung Monatsabschreibung</x:v>
      </x:c>
      <x:c r="H653" s="10" t="str">
        <x:v>Abschreibung</x:v>
      </x:c>
    </x:row>
    <x:row r="654" ht="14" customHeight="1">
      <x:c r="A654" s="10" t="str">
        <x:v>2024-05-0259</x:v>
      </x:c>
      <x:c r="B654" s="11" t="n">
        <x:v>45443</x:v>
      </x:c>
      <x:c r="C654" s="10" t="n">
        <x:v>5</x:v>
      </x:c>
      <x:c r="D654" s="10" t="str">
        <x:v>0670</x:v>
      </x:c>
      <x:c r="E654" s="12" t="n">
        <x:v>0</x:v>
      </x:c>
      <x:c r="F654" s="12" t="n">
        <x:v>1000</x:v>
      </x:c>
      <x:c r="G654" s="10" t="str">
        <x:v>Büroausstattung Monatsabschreibung</x:v>
      </x:c>
      <x:c r="H654" s="10" t="str">
        <x:v>Abschreibung</x:v>
      </x:c>
    </x:row>
    <x:row r="655" ht="14" customHeight="1">
      <x:c r="A655" s="10" t="str">
        <x:v>2024-05-0260</x:v>
      </x:c>
      <x:c r="B655" s="11" t="n">
        <x:v>45442</x:v>
      </x:c>
      <x:c r="C655" s="10" t="n">
        <x:v>5</x:v>
      </x:c>
      <x:c r="D655" s="10" t="str">
        <x:v>3150</x:v>
      </x:c>
      <x:c r="E655" s="12" t="n">
        <x:v>10000</x:v>
      </x:c>
      <x:c r="F655" s="12" t="n">
        <x:v>0</x:v>
      </x:c>
      <x:c r="G655" s="10" t="str">
        <x:v>Investitionsdarlehen Tilgungsrate</x:v>
      </x:c>
      <x:c r="H655" s="10" t="str">
        <x:v>Tilgung</x:v>
      </x:c>
    </x:row>
    <x:row r="656" ht="14" customHeight="1">
      <x:c r="A656" s="10" t="str">
        <x:v>2024-05-0260</x:v>
      </x:c>
      <x:c r="B656" s="11" t="n">
        <x:v>45442</x:v>
      </x:c>
      <x:c r="C656" s="10" t="n">
        <x:v>5</x:v>
      </x:c>
      <x:c r="D656" s="10" t="str">
        <x:v>1800</x:v>
      </x:c>
      <x:c r="E656" s="12" t="n">
        <x:v>0</x:v>
      </x:c>
      <x:c r="F656" s="12" t="n">
        <x:v>10000</x:v>
      </x:c>
      <x:c r="G656" s="10" t="str">
        <x:v>Investitionsdarlehen Tilgungsrate</x:v>
      </x:c>
      <x:c r="H656" s="10" t="str">
        <x:v>Tilgung</x:v>
      </x:c>
    </x:row>
    <x:row r="657" ht="14" customHeight="1">
      <x:c r="A657" s="10" t="str">
        <x:v>2024-05-0261</x:v>
      </x:c>
      <x:c r="B657" s="11" t="n">
        <x:v>45443</x:v>
      </x:c>
      <x:c r="C657" s="10" t="n">
        <x:v>5</x:v>
      </x:c>
      <x:c r="D657" s="10" t="str">
        <x:v>7300</x:v>
      </x:c>
      <x:c r="E657" s="12" t="n">
        <x:v>2500</x:v>
      </x:c>
      <x:c r="F657" s="12" t="n">
        <x:v>0</x:v>
      </x:c>
      <x:c r="G657" s="10" t="str">
        <x:v>Investitionsdarlehen Zinsabrechnung</x:v>
      </x:c>
      <x:c r="H657" s="10" t="str">
        <x:v>Zinsen</x:v>
      </x:c>
    </x:row>
    <x:row r="658" ht="14" customHeight="1">
      <x:c r="A658" s="10" t="str">
        <x:v>2024-05-0261</x:v>
      </x:c>
      <x:c r="B658" s="11" t="n">
        <x:v>45443</x:v>
      </x:c>
      <x:c r="C658" s="10" t="n">
        <x:v>5</x:v>
      </x:c>
      <x:c r="D658" s="10" t="str">
        <x:v>1800</x:v>
      </x:c>
      <x:c r="E658" s="12" t="n">
        <x:v>0</x:v>
      </x:c>
      <x:c r="F658" s="12" t="n">
        <x:v>2500</x:v>
      </x:c>
      <x:c r="G658" s="10" t="str">
        <x:v>Investitionsdarlehen Zinsabrechnung</x:v>
      </x:c>
      <x:c r="H658" s="10" t="str">
        <x:v>Zinsen</x:v>
      </x:c>
    </x:row>
    <x:row r="659" ht="14" customHeight="1">
      <x:c r="A659" s="10" t="str">
        <x:v>2024-05-0262</x:v>
      </x:c>
      <x:c r="B659" s="11" t="n">
        <x:v>45443</x:v>
      </x:c>
      <x:c r="C659" s="10" t="n">
        <x:v>5</x:v>
      </x:c>
      <x:c r="D659" s="10" t="str">
        <x:v>7310</x:v>
      </x:c>
      <x:c r="E659" s="12" t="n">
        <x:v>1000</x:v>
      </x:c>
      <x:c r="F659" s="12" t="n">
        <x:v>0</x:v>
      </x:c>
      <x:c r="G659" s="10" t="str">
        <x:v>Kontokorrent Zinsen und Bereitstellung</x:v>
      </x:c>
      <x:c r="H659" s="10" t="str">
        <x:v>Zinsen</x:v>
      </x:c>
    </x:row>
    <x:row r="660" ht="14" customHeight="1">
      <x:c r="A660" s="10" t="str">
        <x:v>2024-05-0262</x:v>
      </x:c>
      <x:c r="B660" s="11" t="n">
        <x:v>45443</x:v>
      </x:c>
      <x:c r="C660" s="10" t="n">
        <x:v>5</x:v>
      </x:c>
      <x:c r="D660" s="10" t="str">
        <x:v>1800</x:v>
      </x:c>
      <x:c r="E660" s="12" t="n">
        <x:v>0</x:v>
      </x:c>
      <x:c r="F660" s="12" t="n">
        <x:v>1000</x:v>
      </x:c>
      <x:c r="G660" s="10" t="str">
        <x:v>Kontokorrent Zinsen und Bereitstellung</x:v>
      </x:c>
      <x:c r="H660" s="10" t="str">
        <x:v>Zinsen</x:v>
      </x:c>
    </x:row>
    <x:row r="661" ht="14" customHeight="1">
      <x:c r="A661" s="10" t="str">
        <x:v>2024-05-0263</x:v>
      </x:c>
      <x:c r="B661" s="11" t="n">
        <x:v>45430</x:v>
      </x:c>
      <x:c r="C661" s="10" t="n">
        <x:v>5</x:v>
      </x:c>
      <x:c r="D661" s="10" t="str">
        <x:v>1300</x:v>
      </x:c>
      <x:c r="E661" s="12" t="n">
        <x:v>60000</x:v>
      </x:c>
      <x:c r="F661" s="12" t="n">
        <x:v>0</x:v>
      </x:c>
      <x:c r="G661" s="10" t="str">
        <x:v>AndenSaat neue Lieferantenanzahlung</x:v>
      </x:c>
      <x:c r="H661" s="10" t="str">
        <x:v>Anzahlungen</x:v>
      </x:c>
    </x:row>
    <x:row r="662" ht="14" customHeight="1">
      <x:c r="A662" s="10" t="str">
        <x:v>2024-05-0263</x:v>
      </x:c>
      <x:c r="B662" s="11" t="n">
        <x:v>45430</x:v>
      </x:c>
      <x:c r="C662" s="10" t="n">
        <x:v>5</x:v>
      </x:c>
      <x:c r="D662" s="10" t="str">
        <x:v>1800</x:v>
      </x:c>
      <x:c r="E662" s="12" t="n">
        <x:v>0</x:v>
      </x:c>
      <x:c r="F662" s="12" t="n">
        <x:v>60000</x:v>
      </x:c>
      <x:c r="G662" s="10" t="str">
        <x:v>AndenSaat neue Lieferantenanzahlung</x:v>
      </x:c>
      <x:c r="H662" s="10" t="str">
        <x:v>Anzahlungen</x:v>
      </x:c>
    </x:row>
    <x:row r="663" ht="14" customHeight="1">
      <x:c r="A663" s="10" t="str">
        <x:v>2024-05-0264</x:v>
      </x:c>
      <x:c r="B663" s="11" t="n">
        <x:v>45443</x:v>
      </x:c>
      <x:c r="C663" s="10" t="n">
        <x:v>5</x:v>
      </x:c>
      <x:c r="D663" s="10" t="str">
        <x:v>1800</x:v>
      </x:c>
      <x:c r="E663" s="12" t="n">
        <x:v>663230.5</x:v>
      </x:c>
      <x:c r="F663" s="12" t="n">
        <x:v>0</x:v>
      </x:c>
      <x:c r="G663" s="10" t="str">
        <x:v>Bankjournal Kundeneingänge brutto</x:v>
      </x:c>
      <x:c r="H663" s="10" t="str">
        <x:v>Kundenzahlungen</x:v>
      </x:c>
    </x:row>
    <x:row r="664" ht="14" customHeight="1">
      <x:c r="A664" s="10" t="str">
        <x:v>2024-05-0264</x:v>
      </x:c>
      <x:c r="B664" s="11" t="n">
        <x:v>45443</x:v>
      </x:c>
      <x:c r="C664" s="10" t="n">
        <x:v>5</x:v>
      </x:c>
      <x:c r="D664" s="10" t="str">
        <x:v>1200</x:v>
      </x:c>
      <x:c r="E664" s="12" t="n">
        <x:v>0</x:v>
      </x:c>
      <x:c r="F664" s="12" t="n">
        <x:v>663230.5</x:v>
      </x:c>
      <x:c r="G664" s="10" t="str">
        <x:v>Bankjournal Kundeneingänge brutto</x:v>
      </x:c>
      <x:c r="H664" s="10" t="str">
        <x:v>Kundenzahlungen</x:v>
      </x:c>
    </x:row>
    <x:row r="665" ht="14" customHeight="1">
      <x:c r="A665" s="10" t="str">
        <x:v>2024-05-0265</x:v>
      </x:c>
      <x:c r="B665" s="11" t="n">
        <x:v>45443</x:v>
      </x:c>
      <x:c r="C665" s="10" t="n">
        <x:v>5</x:v>
      </x:c>
      <x:c r="D665" s="10" t="str">
        <x:v>3300</x:v>
      </x:c>
      <x:c r="E665" s="12" t="n">
        <x:v>519322.58</x:v>
      </x:c>
      <x:c r="F665" s="12" t="n">
        <x:v>0</x:v>
      </x:c>
      <x:c r="G665" s="10" t="str">
        <x:v>Bankjournal Lieferantenzahlungen brutto</x:v>
      </x:c>
      <x:c r="H665" s="10" t="str">
        <x:v>Lieferantenzahlungen</x:v>
      </x:c>
    </x:row>
    <x:row r="666" ht="14" customHeight="1">
      <x:c r="A666" s="10" t="str">
        <x:v>2024-05-0265</x:v>
      </x:c>
      <x:c r="B666" s="11" t="n">
        <x:v>45443</x:v>
      </x:c>
      <x:c r="C666" s="10" t="n">
        <x:v>5</x:v>
      </x:c>
      <x:c r="D666" s="10" t="str">
        <x:v>1800</x:v>
      </x:c>
      <x:c r="E666" s="12" t="n">
        <x:v>0</x:v>
      </x:c>
      <x:c r="F666" s="12" t="n">
        <x:v>519322.58</x:v>
      </x:c>
      <x:c r="G666" s="10" t="str">
        <x:v>Bankjournal Lieferantenzahlungen brutto</x:v>
      </x:c>
      <x:c r="H666" s="10" t="str">
        <x:v>Lieferantenzahlungen</x:v>
      </x:c>
    </x:row>
    <x:row r="667" ht="14" customHeight="1">
      <x:c r="A667" s="10" t="str">
        <x:v>2024-05-0266</x:v>
      </x:c>
      <x:c r="B667" s="11" t="n">
        <x:v>45443</x:v>
      </x:c>
      <x:c r="C667" s="10" t="n">
        <x:v>5</x:v>
      </x:c>
      <x:c r="D667" s="10" t="str">
        <x:v>1401</x:v>
      </x:c>
      <x:c r="E667" s="12" t="n">
        <x:v>0</x:v>
      </x:c>
      <x:c r="F667" s="12" t="n">
        <x:v>11550.05</x:v>
      </x:c>
      <x:c r="G667" s="10" t="str">
        <x:v>Umsatzsteuer Monatsumbuchung 1401</x:v>
      </x:c>
      <x:c r="H667" s="10" t="str">
        <x:v>Steuerverrechnung</x:v>
      </x:c>
    </x:row>
    <x:row r="668" ht="14" customHeight="1">
      <x:c r="A668" s="10" t="str">
        <x:v>2024-05-0266</x:v>
      </x:c>
      <x:c r="B668" s="11" t="n">
        <x:v>45443</x:v>
      </x:c>
      <x:c r="C668" s="10" t="n">
        <x:v>5</x:v>
      </x:c>
      <x:c r="D668" s="10" t="str">
        <x:v>3820</x:v>
      </x:c>
      <x:c r="E668" s="12" t="n">
        <x:v>11550.05</x:v>
      </x:c>
      <x:c r="F668" s="12" t="n">
        <x:v>0</x:v>
      </x:c>
      <x:c r="G668" s="10" t="str">
        <x:v>Umsatzsteuer Monatsumbuchung 1401</x:v>
      </x:c>
      <x:c r="H668" s="10" t="str">
        <x:v>Steuerverrechnung</x:v>
      </x:c>
    </x:row>
    <x:row r="669" ht="14" customHeight="1">
      <x:c r="A669" s="10" t="str">
        <x:v>2024-05-0267</x:v>
      </x:c>
      <x:c r="B669" s="11" t="n">
        <x:v>45443</x:v>
      </x:c>
      <x:c r="C669" s="10" t="n">
        <x:v>5</x:v>
      </x:c>
      <x:c r="D669" s="10" t="str">
        <x:v>1406</x:v>
      </x:c>
      <x:c r="E669" s="12" t="n">
        <x:v>0</x:v>
      </x:c>
      <x:c r="F669" s="12" t="n">
        <x:v>19360.03</x:v>
      </x:c>
      <x:c r="G669" s="10" t="str">
        <x:v>Umsatzsteuer Monatsumbuchung 1406</x:v>
      </x:c>
      <x:c r="H669" s="10" t="str">
        <x:v>Steuerverrechnung</x:v>
      </x:c>
    </x:row>
    <x:row r="670" ht="14" customHeight="1">
      <x:c r="A670" s="10" t="str">
        <x:v>2024-05-0267</x:v>
      </x:c>
      <x:c r="B670" s="11" t="n">
        <x:v>45443</x:v>
      </x:c>
      <x:c r="C670" s="10" t="n">
        <x:v>5</x:v>
      </x:c>
      <x:c r="D670" s="10" t="str">
        <x:v>3820</x:v>
      </x:c>
      <x:c r="E670" s="12" t="n">
        <x:v>19360.03</x:v>
      </x:c>
      <x:c r="F670" s="12" t="n">
        <x:v>0</x:v>
      </x:c>
      <x:c r="G670" s="10" t="str">
        <x:v>Umsatzsteuer Monatsumbuchung 1406</x:v>
      </x:c>
      <x:c r="H670" s="10" t="str">
        <x:v>Steuerverrechnung</x:v>
      </x:c>
    </x:row>
    <x:row r="671" ht="14" customHeight="1">
      <x:c r="A671" s="10" t="str">
        <x:v>2024-05-0268</x:v>
      </x:c>
      <x:c r="B671" s="11" t="n">
        <x:v>45443</x:v>
      </x:c>
      <x:c r="C671" s="10" t="n">
        <x:v>5</x:v>
      </x:c>
      <x:c r="D671" s="10" t="str">
        <x:v>1404</x:v>
      </x:c>
      <x:c r="E671" s="12" t="n">
        <x:v>0</x:v>
      </x:c>
      <x:c r="F671" s="12" t="n">
        <x:v>6078.98</x:v>
      </x:c>
      <x:c r="G671" s="10" t="str">
        <x:v>Umsatzsteuer Monatsumbuchung 1404</x:v>
      </x:c>
      <x:c r="H671" s="10" t="str">
        <x:v>Steuerverrechnung</x:v>
      </x:c>
    </x:row>
    <x:row r="672" ht="14" customHeight="1">
      <x:c r="A672" s="10" t="str">
        <x:v>2024-05-0268</x:v>
      </x:c>
      <x:c r="B672" s="11" t="n">
        <x:v>45443</x:v>
      </x:c>
      <x:c r="C672" s="10" t="n">
        <x:v>5</x:v>
      </x:c>
      <x:c r="D672" s="10" t="str">
        <x:v>3820</x:v>
      </x:c>
      <x:c r="E672" s="12" t="n">
        <x:v>6078.98</x:v>
      </x:c>
      <x:c r="F672" s="12" t="n">
        <x:v>0</x:v>
      </x:c>
      <x:c r="G672" s="10" t="str">
        <x:v>Umsatzsteuer Monatsumbuchung 1404</x:v>
      </x:c>
      <x:c r="H672" s="10" t="str">
        <x:v>Steuerverrechnung</x:v>
      </x:c>
    </x:row>
    <x:row r="673" ht="14" customHeight="1">
      <x:c r="A673" s="10" t="str">
        <x:v>2024-05-0269</x:v>
      </x:c>
      <x:c r="B673" s="11" t="n">
        <x:v>45443</x:v>
      </x:c>
      <x:c r="C673" s="10" t="n">
        <x:v>5</x:v>
      </x:c>
      <x:c r="D673" s="10" t="str">
        <x:v>1409</x:v>
      </x:c>
      <x:c r="E673" s="12" t="n">
        <x:v>0</x:v>
      </x:c>
      <x:c r="F673" s="12" t="n">
        <x:v>4125.02</x:v>
      </x:c>
      <x:c r="G673" s="10" t="str">
        <x:v>Umsatzsteuer Monatsumbuchung 1409</x:v>
      </x:c>
      <x:c r="H673" s="10" t="str">
        <x:v>Steuerverrechnung</x:v>
      </x:c>
    </x:row>
    <x:row r="674" ht="14" customHeight="1">
      <x:c r="A674" s="10" t="str">
        <x:v>2024-05-0269</x:v>
      </x:c>
      <x:c r="B674" s="11" t="n">
        <x:v>45443</x:v>
      </x:c>
      <x:c r="C674" s="10" t="n">
        <x:v>5</x:v>
      </x:c>
      <x:c r="D674" s="10" t="str">
        <x:v>3820</x:v>
      </x:c>
      <x:c r="E674" s="12" t="n">
        <x:v>4125.02</x:v>
      </x:c>
      <x:c r="F674" s="12" t="n">
        <x:v>0</x:v>
      </x:c>
      <x:c r="G674" s="10" t="str">
        <x:v>Umsatzsteuer Monatsumbuchung 1409</x:v>
      </x:c>
      <x:c r="H674" s="10" t="str">
        <x:v>Steuerverrechnung</x:v>
      </x:c>
    </x:row>
    <x:row r="675" ht="14" customHeight="1">
      <x:c r="A675" s="10" t="str">
        <x:v>2024-05-0270</x:v>
      </x:c>
      <x:c r="B675" s="11" t="n">
        <x:v>45443</x:v>
      </x:c>
      <x:c r="C675" s="10" t="n">
        <x:v>5</x:v>
      </x:c>
      <x:c r="D675" s="10" t="str">
        <x:v>1433</x:v>
      </x:c>
      <x:c r="E675" s="12" t="n">
        <x:v>0</x:v>
      </x:c>
      <x:c r="F675" s="12" t="n">
        <x:v>10681.63</x:v>
      </x:c>
      <x:c r="G675" s="10" t="str">
        <x:v>Umsatzsteuer Monatsumbuchung 1433</x:v>
      </x:c>
      <x:c r="H675" s="10" t="str">
        <x:v>Steuerverrechnung</x:v>
      </x:c>
    </x:row>
    <x:row r="676" ht="14" customHeight="1">
      <x:c r="A676" s="10" t="str">
        <x:v>2024-05-0270</x:v>
      </x:c>
      <x:c r="B676" s="11" t="n">
        <x:v>45443</x:v>
      </x:c>
      <x:c r="C676" s="10" t="n">
        <x:v>5</x:v>
      </x:c>
      <x:c r="D676" s="10" t="str">
        <x:v>3820</x:v>
      </x:c>
      <x:c r="E676" s="12" t="n">
        <x:v>10681.63</x:v>
      </x:c>
      <x:c r="F676" s="12" t="n">
        <x:v>0</x:v>
      </x:c>
      <x:c r="G676" s="10" t="str">
        <x:v>Umsatzsteuer Monatsumbuchung 1433</x:v>
      </x:c>
      <x:c r="H676" s="10" t="str">
        <x:v>Steuerverrechnung</x:v>
      </x:c>
    </x:row>
    <x:row r="677" ht="14" customHeight="1">
      <x:c r="A677" s="10" t="str">
        <x:v>2024-05-0271</x:v>
      </x:c>
      <x:c r="B677" s="11" t="n">
        <x:v>45443</x:v>
      </x:c>
      <x:c r="C677" s="10" t="n">
        <x:v>5</x:v>
      </x:c>
      <x:c r="D677" s="10" t="str">
        <x:v>3801</x:v>
      </x:c>
      <x:c r="E677" s="12" t="n">
        <x:v>21388.5</x:v>
      </x:c>
      <x:c r="F677" s="12" t="n">
        <x:v>0</x:v>
      </x:c>
      <x:c r="G677" s="10" t="str">
        <x:v>Umsatzsteuer Monatsumbuchung 3801</x:v>
      </x:c>
      <x:c r="H677" s="10" t="str">
        <x:v>Steuerverrechnung</x:v>
      </x:c>
    </x:row>
    <x:row r="678" ht="14" customHeight="1">
      <x:c r="A678" s="10" t="str">
        <x:v>2024-05-0271</x:v>
      </x:c>
      <x:c r="B678" s="11" t="n">
        <x:v>45443</x:v>
      </x:c>
      <x:c r="C678" s="10" t="n">
        <x:v>5</x:v>
      </x:c>
      <x:c r="D678" s="10" t="str">
        <x:v>3820</x:v>
      </x:c>
      <x:c r="E678" s="12" t="n">
        <x:v>0</x:v>
      </x:c>
      <x:c r="F678" s="12" t="n">
        <x:v>21388.5</x:v>
      </x:c>
      <x:c r="G678" s="10" t="str">
        <x:v>Umsatzsteuer Monatsumbuchung 3801</x:v>
      </x:c>
      <x:c r="H678" s="10" t="str">
        <x:v>Steuerverrechnung</x:v>
      </x:c>
    </x:row>
    <x:row r="679" ht="14" customHeight="1">
      <x:c r="A679" s="10" t="str">
        <x:v>2024-05-0272</x:v>
      </x:c>
      <x:c r="B679" s="11" t="n">
        <x:v>45443</x:v>
      </x:c>
      <x:c r="C679" s="10" t="n">
        <x:v>5</x:v>
      </x:c>
      <x:c r="D679" s="10" t="str">
        <x:v>3806</x:v>
      </x:c>
      <x:c r="E679" s="12" t="n">
        <x:v>14592</x:v>
      </x:c>
      <x:c r="F679" s="12" t="n">
        <x:v>0</x:v>
      </x:c>
      <x:c r="G679" s="10" t="str">
        <x:v>Umsatzsteuer Monatsumbuchung 3806</x:v>
      </x:c>
      <x:c r="H679" s="10" t="str">
        <x:v>Steuerverrechnung</x:v>
      </x:c>
    </x:row>
    <x:row r="680" ht="14" customHeight="1">
      <x:c r="A680" s="10" t="str">
        <x:v>2024-05-0272</x:v>
      </x:c>
      <x:c r="B680" s="11" t="n">
        <x:v>45443</x:v>
      </x:c>
      <x:c r="C680" s="10" t="n">
        <x:v>5</x:v>
      </x:c>
      <x:c r="D680" s="10" t="str">
        <x:v>3820</x:v>
      </x:c>
      <x:c r="E680" s="12" t="n">
        <x:v>0</x:v>
      </x:c>
      <x:c r="F680" s="12" t="n">
        <x:v>14592</x:v>
      </x:c>
      <x:c r="G680" s="10" t="str">
        <x:v>Umsatzsteuer Monatsumbuchung 3806</x:v>
      </x:c>
      <x:c r="H680" s="10" t="str">
        <x:v>Steuerverrechnung</x:v>
      </x:c>
    </x:row>
    <x:row r="681" ht="14" customHeight="1">
      <x:c r="A681" s="10" t="str">
        <x:v>2024-05-0273</x:v>
      </x:c>
      <x:c r="B681" s="11" t="n">
        <x:v>45443</x:v>
      </x:c>
      <x:c r="C681" s="10" t="n">
        <x:v>5</x:v>
      </x:c>
      <x:c r="D681" s="10" t="str">
        <x:v>3804</x:v>
      </x:c>
      <x:c r="E681" s="12" t="n">
        <x:v>6078.98</x:v>
      </x:c>
      <x:c r="F681" s="12" t="n">
        <x:v>0</x:v>
      </x:c>
      <x:c r="G681" s="10" t="str">
        <x:v>Umsatzsteuer Monatsumbuchung 3804</x:v>
      </x:c>
      <x:c r="H681" s="10" t="str">
        <x:v>Steuerverrechnung</x:v>
      </x:c>
    </x:row>
    <x:row r="682" ht="14" customHeight="1">
      <x:c r="A682" s="10" t="str">
        <x:v>2024-05-0273</x:v>
      </x:c>
      <x:c r="B682" s="11" t="n">
        <x:v>45443</x:v>
      </x:c>
      <x:c r="C682" s="10" t="n">
        <x:v>5</x:v>
      </x:c>
      <x:c r="D682" s="10" t="str">
        <x:v>3820</x:v>
      </x:c>
      <x:c r="E682" s="12" t="n">
        <x:v>0</x:v>
      </x:c>
      <x:c r="F682" s="12" t="n">
        <x:v>6078.98</x:v>
      </x:c>
      <x:c r="G682" s="10" t="str">
        <x:v>Umsatzsteuer Monatsumbuchung 3804</x:v>
      </x:c>
      <x:c r="H682" s="10" t="str">
        <x:v>Steuerverrechnung</x:v>
      </x:c>
    </x:row>
    <x:row r="683" ht="14" customHeight="1">
      <x:c r="A683" s="10" t="str">
        <x:v>2024-05-0274</x:v>
      </x:c>
      <x:c r="B683" s="11" t="n">
        <x:v>45443</x:v>
      </x:c>
      <x:c r="C683" s="10" t="n">
        <x:v>5</x:v>
      </x:c>
      <x:c r="D683" s="10" t="str">
        <x:v>3809</x:v>
      </x:c>
      <x:c r="E683" s="12" t="n">
        <x:v>4125.02</x:v>
      </x:c>
      <x:c r="F683" s="12" t="n">
        <x:v>0</x:v>
      </x:c>
      <x:c r="G683" s="10" t="str">
        <x:v>Umsatzsteuer Monatsumbuchung 3809</x:v>
      </x:c>
      <x:c r="H683" s="10" t="str">
        <x:v>Steuerverrechnung</x:v>
      </x:c>
    </x:row>
    <x:row r="684" ht="14" customHeight="1">
      <x:c r="A684" s="10" t="str">
        <x:v>2024-05-0274</x:v>
      </x:c>
      <x:c r="B684" s="11" t="n">
        <x:v>45443</x:v>
      </x:c>
      <x:c r="C684" s="10" t="n">
        <x:v>5</x:v>
      </x:c>
      <x:c r="D684" s="10" t="str">
        <x:v>3820</x:v>
      </x:c>
      <x:c r="E684" s="12" t="n">
        <x:v>0</x:v>
      </x:c>
      <x:c r="F684" s="12" t="n">
        <x:v>4125.02</x:v>
      </x:c>
      <x:c r="G684" s="10" t="str">
        <x:v>Umsatzsteuer Monatsumbuchung 3809</x:v>
      </x:c>
      <x:c r="H684" s="10" t="str">
        <x:v>Steuerverrechnung</x:v>
      </x:c>
    </x:row>
    <x:row r="685" ht="14" customHeight="1">
      <x:c r="A685" s="10" t="str">
        <x:v>2024-06-0275</x:v>
      </x:c>
      <x:c r="B685" s="11" t="n">
        <x:v>45453</x:v>
      </x:c>
      <x:c r="C685" s="10" t="n">
        <x:v>6</x:v>
      </x:c>
      <x:c r="D685" s="10" t="str">
        <x:v>1800</x:v>
      </x:c>
      <x:c r="E685" s="12" t="n">
        <x:v>5611.21</x:v>
      </x:c>
      <x:c r="F685" s="12" t="n">
        <x:v>0</x:v>
      </x:c>
      <x:c r="G685" s="10" t="str">
        <x:v>Ausgleich Umsatzsteuer Vorperiode</x:v>
      </x:c>
      <x:c r="H685" s="10" t="str">
        <x:v>Umsatzsteuer</x:v>
      </x:c>
    </x:row>
    <x:row r="686" ht="14" customHeight="1">
      <x:c r="A686" s="10" t="str">
        <x:v>2024-06-0275</x:v>
      </x:c>
      <x:c r="B686" s="11" t="n">
        <x:v>45453</x:v>
      </x:c>
      <x:c r="C686" s="10" t="n">
        <x:v>6</x:v>
      </x:c>
      <x:c r="D686" s="10" t="str">
        <x:v>3820</x:v>
      </x:c>
      <x:c r="E686" s="12" t="n">
        <x:v>0</x:v>
      </x:c>
      <x:c r="F686" s="12" t="n">
        <x:v>5611.21</x:v>
      </x:c>
      <x:c r="G686" s="10" t="str">
        <x:v>Ausgleich Umsatzsteuer Vorperiode</x:v>
      </x:c>
      <x:c r="H686" s="10" t="str">
        <x:v>Umsatzsteuer</x:v>
      </x:c>
    </x:row>
    <x:row r="687" ht="14" customHeight="1">
      <x:c r="A687" s="10" t="str">
        <x:v>2024-06-0276</x:v>
      </x:c>
      <x:c r="B687" s="11" t="n">
        <x:v>45473</x:v>
      </x:c>
      <x:c r="C687" s="10" t="n">
        <x:v>6</x:v>
      </x:c>
      <x:c r="D687" s="10" t="str">
        <x:v>1200</x:v>
      </x:c>
      <x:c r="E687" s="12" t="n">
        <x:v>313296</x:v>
      </x:c>
      <x:c r="F687" s="12" t="n">
        <x:v>0</x:v>
      </x:c>
      <x:c r="G687" s="10" t="str">
        <x:v>Fakturajournal Inland 7 Prozent</x:v>
      </x:c>
      <x:c r="H687" s="10" t="str">
        <x:v>Umsatz</x:v>
      </x:c>
    </x:row>
    <x:row r="688" ht="14" customHeight="1">
      <x:c r="A688" s="10" t="str">
        <x:v>2024-06-0276</x:v>
      </x:c>
      <x:c r="B688" s="11" t="n">
        <x:v>45473</x:v>
      </x:c>
      <x:c r="C688" s="10" t="n">
        <x:v>6</x:v>
      </x:c>
      <x:c r="D688" s="10" t="str">
        <x:v>4300</x:v>
      </x:c>
      <x:c r="E688" s="12" t="n">
        <x:v>0</x:v>
      </x:c>
      <x:c r="F688" s="12" t="n">
        <x:v>292800</x:v>
      </x:c>
      <x:c r="G688" s="10" t="str">
        <x:v>Fakturajournal Inland 7 Prozent</x:v>
      </x:c>
      <x:c r="H688" s="10" t="str">
        <x:v>Umsatz</x:v>
      </x:c>
    </x:row>
    <x:row r="689" ht="14" customHeight="1">
      <x:c r="A689" s="10" t="str">
        <x:v>2024-06-0276</x:v>
      </x:c>
      <x:c r="B689" s="11" t="n">
        <x:v>45473</x:v>
      </x:c>
      <x:c r="C689" s="10" t="n">
        <x:v>6</x:v>
      </x:c>
      <x:c r="D689" s="10" t="str">
        <x:v>3801</x:v>
      </x:c>
      <x:c r="E689" s="12" t="n">
        <x:v>0</x:v>
      </x:c>
      <x:c r="F689" s="12" t="n">
        <x:v>20496</x:v>
      </x:c>
      <x:c r="G689" s="10" t="str">
        <x:v>Fakturajournal Inland 7 Prozent</x:v>
      </x:c>
      <x:c r="H689" s="10" t="str">
        <x:v>Umsatz</x:v>
      </x:c>
    </x:row>
    <x:row r="690" ht="14" customHeight="1">
      <x:c r="A690" s="10" t="str">
        <x:v>2024-06-0277</x:v>
      </x:c>
      <x:c r="B690" s="11" t="n">
        <x:v>45473</x:v>
      </x:c>
      <x:c r="C690" s="10" t="n">
        <x:v>6</x:v>
      </x:c>
      <x:c r="D690" s="10" t="str">
        <x:v>1200</x:v>
      </x:c>
      <x:c r="E690" s="12" t="n">
        <x:v>87108</x:v>
      </x:c>
      <x:c r="F690" s="12" t="n">
        <x:v>0</x:v>
      </x:c>
      <x:c r="G690" s="10" t="str">
        <x:v>Fakturajournal Inland 19 Prozent</x:v>
      </x:c>
      <x:c r="H690" s="10" t="str">
        <x:v>Umsatz</x:v>
      </x:c>
    </x:row>
    <x:row r="691" ht="14" customHeight="1">
      <x:c r="A691" s="10" t="str">
        <x:v>2024-06-0277</x:v>
      </x:c>
      <x:c r="B691" s="11" t="n">
        <x:v>45473</x:v>
      </x:c>
      <x:c r="C691" s="10" t="n">
        <x:v>6</x:v>
      </x:c>
      <x:c r="D691" s="10" t="str">
        <x:v>4400</x:v>
      </x:c>
      <x:c r="E691" s="12" t="n">
        <x:v>0</x:v>
      </x:c>
      <x:c r="F691" s="12" t="n">
        <x:v>73200</x:v>
      </x:c>
      <x:c r="G691" s="10" t="str">
        <x:v>Fakturajournal Inland 19 Prozent</x:v>
      </x:c>
      <x:c r="H691" s="10" t="str">
        <x:v>Umsatz</x:v>
      </x:c>
    </x:row>
    <x:row r="692" ht="14" customHeight="1">
      <x:c r="A692" s="10" t="str">
        <x:v>2024-06-0277</x:v>
      </x:c>
      <x:c r="B692" s="11" t="n">
        <x:v>45473</x:v>
      </x:c>
      <x:c r="C692" s="10" t="n">
        <x:v>6</x:v>
      </x:c>
      <x:c r="D692" s="10" t="str">
        <x:v>3806</x:v>
      </x:c>
      <x:c r="E692" s="12" t="n">
        <x:v>0</x:v>
      </x:c>
      <x:c r="F692" s="12" t="n">
        <x:v>13908</x:v>
      </x:c>
      <x:c r="G692" s="10" t="str">
        <x:v>Fakturajournal Inland 19 Prozent</x:v>
      </x:c>
      <x:c r="H692" s="10" t="str">
        <x:v>Umsatz</x:v>
      </x:c>
    </x:row>
    <x:row r="693" ht="14" customHeight="1">
      <x:c r="A693" s="10" t="str">
        <x:v>2024-06-0278</x:v>
      </x:c>
      <x:c r="B693" s="11" t="n">
        <x:v>45473</x:v>
      </x:c>
      <x:c r="C693" s="10" t="n">
        <x:v>6</x:v>
      </x:c>
      <x:c r="D693" s="10" t="str">
        <x:v>1200</x:v>
      </x:c>
      <x:c r="E693" s="12" t="n">
        <x:v>122000</x:v>
      </x:c>
      <x:c r="F693" s="12" t="n">
        <x:v>0</x:v>
      </x:c>
      <x:c r="G693" s="10" t="str">
        <x:v>Fakturajournal EU Warenlieferungen</x:v>
      </x:c>
      <x:c r="H693" s="10" t="str">
        <x:v>Umsatz</x:v>
      </x:c>
    </x:row>
    <x:row r="694" ht="14" customHeight="1">
      <x:c r="A694" s="10" t="str">
        <x:v>2024-06-0278</x:v>
      </x:c>
      <x:c r="B694" s="11" t="n">
        <x:v>45473</x:v>
      </x:c>
      <x:c r="C694" s="10" t="n">
        <x:v>6</x:v>
      </x:c>
      <x:c r="D694" s="10" t="str">
        <x:v>4125</x:v>
      </x:c>
      <x:c r="E694" s="12" t="n">
        <x:v>0</x:v>
      </x:c>
      <x:c r="F694" s="12" t="n">
        <x:v>122000</x:v>
      </x:c>
      <x:c r="G694" s="10" t="str">
        <x:v>Fakturajournal EU Warenlieferungen</x:v>
      </x:c>
      <x:c r="H694" s="10" t="str">
        <x:v>Umsatz</x:v>
      </x:c>
    </x:row>
    <x:row r="695" ht="14" customHeight="1">
      <x:c r="A695" s="10" t="str">
        <x:v>2024-06-0279</x:v>
      </x:c>
      <x:c r="B695" s="11" t="n">
        <x:v>45473</x:v>
      </x:c>
      <x:c r="C695" s="10" t="n">
        <x:v>6</x:v>
      </x:c>
      <x:c r="D695" s="10" t="str">
        <x:v>1200</x:v>
      </x:c>
      <x:c r="E695" s="12" t="n">
        <x:v>122000</x:v>
      </x:c>
      <x:c r="F695" s="12" t="n">
        <x:v>0</x:v>
      </x:c>
      <x:c r="G695" s="10" t="str">
        <x:v>Fakturajournal Drittland Warenlieferungen</x:v>
      </x:c>
      <x:c r="H695" s="10" t="str">
        <x:v>Umsatz</x:v>
      </x:c>
    </x:row>
    <x:row r="696" ht="14" customHeight="1">
      <x:c r="A696" s="10" t="str">
        <x:v>2024-06-0279</x:v>
      </x:c>
      <x:c r="B696" s="11" t="n">
        <x:v>45473</x:v>
      </x:c>
      <x:c r="C696" s="10" t="n">
        <x:v>6</x:v>
      </x:c>
      <x:c r="D696" s="10" t="str">
        <x:v>4120</x:v>
      </x:c>
      <x:c r="E696" s="12" t="n">
        <x:v>0</x:v>
      </x:c>
      <x:c r="F696" s="12" t="n">
        <x:v>122000</x:v>
      </x:c>
      <x:c r="G696" s="10" t="str">
        <x:v>Fakturajournal Drittland Warenlieferungen</x:v>
      </x:c>
      <x:c r="H696" s="10" t="str">
        <x:v>Umsatz</x:v>
      </x:c>
    </x:row>
    <x:row r="697" ht="14" customHeight="1">
      <x:c r="A697" s="10" t="str">
        <x:v>2024-06-0280</x:v>
      </x:c>
      <x:c r="B697" s="11" t="n">
        <x:v>45473</x:v>
      </x:c>
      <x:c r="C697" s="10" t="n">
        <x:v>6</x:v>
      </x:c>
      <x:c r="D697" s="10" t="str">
        <x:v>4730</x:v>
      </x:c>
      <x:c r="E697" s="12" t="n">
        <x:v>1740</x:v>
      </x:c>
      <x:c r="F697" s="12" t="n">
        <x:v>0</x:v>
      </x:c>
      <x:c r="G697" s="10" t="str">
        <x:v>Gutschriftjournal Retouren und Mengenrabatte</x:v>
      </x:c>
      <x:c r="H697" s="10" t="str">
        <x:v>Gutschriften</x:v>
      </x:c>
    </x:row>
    <x:row r="698" ht="14" customHeight="1">
      <x:c r="A698" s="10" t="str">
        <x:v>2024-06-0280</x:v>
      </x:c>
      <x:c r="B698" s="11" t="n">
        <x:v>45473</x:v>
      </x:c>
      <x:c r="C698" s="10" t="n">
        <x:v>6</x:v>
      </x:c>
      <x:c r="D698" s="10" t="str">
        <x:v>3801</x:v>
      </x:c>
      <x:c r="E698" s="12" t="n">
        <x:v>121.8</x:v>
      </x:c>
      <x:c r="F698" s="12" t="n">
        <x:v>0</x:v>
      </x:c>
      <x:c r="G698" s="10" t="str">
        <x:v>Gutschriftjournal Retouren und Mengenrabatte</x:v>
      </x:c>
      <x:c r="H698" s="10" t="str">
        <x:v>Gutschriften</x:v>
      </x:c>
    </x:row>
    <x:row r="699" ht="14" customHeight="1">
      <x:c r="A699" s="10" t="str">
        <x:v>2024-06-0280</x:v>
      </x:c>
      <x:c r="B699" s="11" t="n">
        <x:v>45473</x:v>
      </x:c>
      <x:c r="C699" s="10" t="n">
        <x:v>6</x:v>
      </x:c>
      <x:c r="D699" s="10" t="str">
        <x:v>1200</x:v>
      </x:c>
      <x:c r="E699" s="12" t="n">
        <x:v>0</x:v>
      </x:c>
      <x:c r="F699" s="12" t="n">
        <x:v>1861.8</x:v>
      </x:c>
      <x:c r="G699" s="10" t="str">
        <x:v>Gutschriftjournal Retouren und Mengenrabatte</x:v>
      </x:c>
      <x:c r="H699" s="10" t="str">
        <x:v>Gutschriften</x:v>
      </x:c>
    </x:row>
    <x:row r="700" ht="14" customHeight="1">
      <x:c r="A700" s="10" t="str">
        <x:v>2024-06-0281</x:v>
      </x:c>
      <x:c r="B700" s="11" t="n">
        <x:v>45473</x:v>
      </x:c>
      <x:c r="C700" s="10" t="n">
        <x:v>6</x:v>
      </x:c>
      <x:c r="D700" s="10" t="str">
        <x:v>4735</x:v>
      </x:c>
      <x:c r="E700" s="12" t="n">
        <x:v>1160</x:v>
      </x:c>
      <x:c r="F700" s="12" t="n">
        <x:v>0</x:v>
      </x:c>
      <x:c r="G700" s="10" t="str">
        <x:v>Gutschriftjournal Retouren und Mengenrabatte</x:v>
      </x:c>
      <x:c r="H700" s="10" t="str">
        <x:v>Gutschriften</x:v>
      </x:c>
    </x:row>
    <x:row r="701" ht="14" customHeight="1">
      <x:c r="A701" s="10" t="str">
        <x:v>2024-06-0281</x:v>
      </x:c>
      <x:c r="B701" s="11" t="n">
        <x:v>45473</x:v>
      </x:c>
      <x:c r="C701" s="10" t="n">
        <x:v>6</x:v>
      </x:c>
      <x:c r="D701" s="10" t="str">
        <x:v>1200</x:v>
      </x:c>
      <x:c r="E701" s="12" t="n">
        <x:v>0</x:v>
      </x:c>
      <x:c r="F701" s="12" t="n">
        <x:v>1160</x:v>
      </x:c>
      <x:c r="G701" s="10" t="str">
        <x:v>Gutschriftjournal Retouren und Mengenrabatte</x:v>
      </x:c>
      <x:c r="H701" s="10" t="str">
        <x:v>Gutschriften</x:v>
      </x:c>
    </x:row>
    <x:row r="702" ht="14" customHeight="1">
      <x:c r="A702" s="10" t="str">
        <x:v>2024-06-0282</x:v>
      </x:c>
      <x:c r="B702" s="11" t="n">
        <x:v>45473</x:v>
      </x:c>
      <x:c r="C702" s="10" t="n">
        <x:v>6</x:v>
      </x:c>
      <x:c r="D702" s="10" t="str">
        <x:v>1140</x:v>
      </x:c>
      <x:c r="E702" s="12" t="n">
        <x:v>146153.7</x:v>
      </x:c>
      <x:c r="F702" s="12" t="n">
        <x:v>0</x:v>
      </x:c>
      <x:c r="G702" s="10" t="str">
        <x:v>Wareneingang Inland 7 Prozent</x:v>
      </x:c>
      <x:c r="H702" s="10" t="str">
        <x:v>Einkauf</x:v>
      </x:c>
    </x:row>
    <x:row r="703" ht="14" customHeight="1">
      <x:c r="A703" s="10" t="str">
        <x:v>2024-06-0282</x:v>
      </x:c>
      <x:c r="B703" s="11" t="n">
        <x:v>45473</x:v>
      </x:c>
      <x:c r="C703" s="10" t="n">
        <x:v>6</x:v>
      </x:c>
      <x:c r="D703" s="10" t="str">
        <x:v>1401</x:v>
      </x:c>
      <x:c r="E703" s="12" t="n">
        <x:v>10230.76</x:v>
      </x:c>
      <x:c r="F703" s="12" t="n">
        <x:v>0</x:v>
      </x:c>
      <x:c r="G703" s="10" t="str">
        <x:v>Wareneingang Inland 7 Prozent</x:v>
      </x:c>
      <x:c r="H703" s="10" t="str">
        <x:v>Einkauf</x:v>
      </x:c>
    </x:row>
    <x:row r="704" ht="14" customHeight="1">
      <x:c r="A704" s="10" t="str">
        <x:v>2024-06-0282</x:v>
      </x:c>
      <x:c r="B704" s="11" t="n">
        <x:v>45473</x:v>
      </x:c>
      <x:c r="C704" s="10" t="n">
        <x:v>6</x:v>
      </x:c>
      <x:c r="D704" s="10" t="str">
        <x:v>3300</x:v>
      </x:c>
      <x:c r="E704" s="12" t="n">
        <x:v>0</x:v>
      </x:c>
      <x:c r="F704" s="12" t="n">
        <x:v>156384.46</x:v>
      </x:c>
      <x:c r="G704" s="10" t="str">
        <x:v>Wareneingang Inland 7 Prozent</x:v>
      </x:c>
      <x:c r="H704" s="10" t="str">
        <x:v>Einkauf</x:v>
      </x:c>
    </x:row>
    <x:row r="705" ht="14" customHeight="1">
      <x:c r="A705" s="10" t="str">
        <x:v>2024-06-0283</x:v>
      </x:c>
      <x:c r="B705" s="11" t="n">
        <x:v>45473</x:v>
      </x:c>
      <x:c r="C705" s="10" t="n">
        <x:v>6</x:v>
      </x:c>
      <x:c r="D705" s="10" t="str">
        <x:v>1140</x:v>
      </x:c>
      <x:c r="E705" s="12" t="n">
        <x:v>26923.05</x:v>
      </x:c>
      <x:c r="F705" s="12" t="n">
        <x:v>0</x:v>
      </x:c>
      <x:c r="G705" s="10" t="str">
        <x:v>Wareneingang Inland 19 Prozent</x:v>
      </x:c>
      <x:c r="H705" s="10" t="str">
        <x:v>Einkauf</x:v>
      </x:c>
    </x:row>
    <x:row r="706" ht="14" customHeight="1">
      <x:c r="A706" s="10" t="str">
        <x:v>2024-06-0283</x:v>
      </x:c>
      <x:c r="B706" s="11" t="n">
        <x:v>45473</x:v>
      </x:c>
      <x:c r="C706" s="10" t="n">
        <x:v>6</x:v>
      </x:c>
      <x:c r="D706" s="10" t="str">
        <x:v>1406</x:v>
      </x:c>
      <x:c r="E706" s="12" t="n">
        <x:v>5115.38</x:v>
      </x:c>
      <x:c r="F706" s="12" t="n">
        <x:v>0</x:v>
      </x:c>
      <x:c r="G706" s="10" t="str">
        <x:v>Wareneingang Inland 19 Prozent</x:v>
      </x:c>
      <x:c r="H706" s="10" t="str">
        <x:v>Einkauf</x:v>
      </x:c>
    </x:row>
    <x:row r="707" ht="14" customHeight="1">
      <x:c r="A707" s="10" t="str">
        <x:v>2024-06-0283</x:v>
      </x:c>
      <x:c r="B707" s="11" t="n">
        <x:v>45473</x:v>
      </x:c>
      <x:c r="C707" s="10" t="n">
        <x:v>6</x:v>
      </x:c>
      <x:c r="D707" s="10" t="str">
        <x:v>3300</x:v>
      </x:c>
      <x:c r="E707" s="12" t="n">
        <x:v>0</x:v>
      </x:c>
      <x:c r="F707" s="12" t="n">
        <x:v>32038.43</x:v>
      </x:c>
      <x:c r="G707" s="10" t="str">
        <x:v>Wareneingang Inland 19 Prozent</x:v>
      </x:c>
      <x:c r="H707" s="10" t="str">
        <x:v>Einkauf</x:v>
      </x:c>
    </x:row>
    <x:row r="708" ht="14" customHeight="1">
      <x:c r="A708" s="10" t="str">
        <x:v>2024-06-0284</x:v>
      </x:c>
      <x:c r="B708" s="11" t="n">
        <x:v>45473</x:v>
      </x:c>
      <x:c r="C708" s="10" t="n">
        <x:v>6</x:v>
      </x:c>
      <x:c r="D708" s="10" t="str">
        <x:v>1140</x:v>
      </x:c>
      <x:c r="E708" s="12" t="n">
        <x:v>76923</x:v>
      </x:c>
      <x:c r="F708" s="12" t="n">
        <x:v>0</x:v>
      </x:c>
      <x:c r="G708" s="10" t="str">
        <x:v>Wareneingang EU 7 Prozent</x:v>
      </x:c>
      <x:c r="H708" s="10" t="str">
        <x:v>Einkauf</x:v>
      </x:c>
    </x:row>
    <x:row r="709" ht="14" customHeight="1">
      <x:c r="A709" s="10" t="str">
        <x:v>2024-06-0284</x:v>
      </x:c>
      <x:c r="B709" s="11" t="n">
        <x:v>45473</x:v>
      </x:c>
      <x:c r="C709" s="10" t="n">
        <x:v>6</x:v>
      </x:c>
      <x:c r="D709" s="10" t="str">
        <x:v>3300</x:v>
      </x:c>
      <x:c r="E709" s="12" t="n">
        <x:v>0</x:v>
      </x:c>
      <x:c r="F709" s="12" t="n">
        <x:v>76923</x:v>
      </x:c>
      <x:c r="G709" s="10" t="str">
        <x:v>Wareneingang EU 7 Prozent</x:v>
      </x:c>
      <x:c r="H709" s="10" t="str">
        <x:v>Einkauf</x:v>
      </x:c>
    </x:row>
    <x:row r="710" ht="14" customHeight="1">
      <x:c r="A710" s="10" t="str">
        <x:v>2024-06-0284</x:v>
      </x:c>
      <x:c r="B710" s="11" t="n">
        <x:v>45473</x:v>
      </x:c>
      <x:c r="C710" s="10" t="n">
        <x:v>6</x:v>
      </x:c>
      <x:c r="D710" s="10" t="str">
        <x:v>1404</x:v>
      </x:c>
      <x:c r="E710" s="12" t="n">
        <x:v>5384.61</x:v>
      </x:c>
      <x:c r="F710" s="12" t="n">
        <x:v>0</x:v>
      </x:c>
      <x:c r="G710" s="10" t="str">
        <x:v>Wareneingang EU 7 Prozent</x:v>
      </x:c>
      <x:c r="H710" s="10" t="str">
        <x:v>Einkauf</x:v>
      </x:c>
    </x:row>
    <x:row r="711" ht="14" customHeight="1">
      <x:c r="A711" s="10" t="str">
        <x:v>2024-06-0284</x:v>
      </x:c>
      <x:c r="B711" s="11" t="n">
        <x:v>45473</x:v>
      </x:c>
      <x:c r="C711" s="10" t="n">
        <x:v>6</x:v>
      </x:c>
      <x:c r="D711" s="10" t="str">
        <x:v>3804</x:v>
      </x:c>
      <x:c r="E711" s="12" t="n">
        <x:v>0</x:v>
      </x:c>
      <x:c r="F711" s="12" t="n">
        <x:v>5384.61</x:v>
      </x:c>
      <x:c r="G711" s="10" t="str">
        <x:v>Wareneingang EU 7 Prozent</x:v>
      </x:c>
      <x:c r="H711" s="10" t="str">
        <x:v>Einkauf</x:v>
      </x:c>
    </x:row>
    <x:row r="712" ht="14" customHeight="1">
      <x:c r="A712" s="10" t="str">
        <x:v>2024-06-0285</x:v>
      </x:c>
      <x:c r="B712" s="11" t="n">
        <x:v>45473</x:v>
      </x:c>
      <x:c r="C712" s="10" t="n">
        <x:v>6</x:v>
      </x:c>
      <x:c r="D712" s="10" t="str">
        <x:v>1140</x:v>
      </x:c>
      <x:c r="E712" s="12" t="n">
        <x:v>19230.75</x:v>
      </x:c>
      <x:c r="F712" s="12" t="n">
        <x:v>0</x:v>
      </x:c>
      <x:c r="G712" s="10" t="str">
        <x:v>Wareneingang EU 19 Prozent</x:v>
      </x:c>
      <x:c r="H712" s="10" t="str">
        <x:v>Einkauf</x:v>
      </x:c>
    </x:row>
    <x:row r="713" ht="14" customHeight="1">
      <x:c r="A713" s="10" t="str">
        <x:v>2024-06-0285</x:v>
      </x:c>
      <x:c r="B713" s="11" t="n">
        <x:v>45473</x:v>
      </x:c>
      <x:c r="C713" s="10" t="n">
        <x:v>6</x:v>
      </x:c>
      <x:c r="D713" s="10" t="str">
        <x:v>3300</x:v>
      </x:c>
      <x:c r="E713" s="12" t="n">
        <x:v>0</x:v>
      </x:c>
      <x:c r="F713" s="12" t="n">
        <x:v>19230.75</x:v>
      </x:c>
      <x:c r="G713" s="10" t="str">
        <x:v>Wareneingang EU 19 Prozent</x:v>
      </x:c>
      <x:c r="H713" s="10" t="str">
        <x:v>Einkauf</x:v>
      </x:c>
    </x:row>
    <x:row r="714" ht="14" customHeight="1">
      <x:c r="A714" s="10" t="str">
        <x:v>2024-06-0285</x:v>
      </x:c>
      <x:c r="B714" s="11" t="n">
        <x:v>45473</x:v>
      </x:c>
      <x:c r="C714" s="10" t="n">
        <x:v>6</x:v>
      </x:c>
      <x:c r="D714" s="10" t="str">
        <x:v>1409</x:v>
      </x:c>
      <x:c r="E714" s="12" t="n">
        <x:v>3653.84</x:v>
      </x:c>
      <x:c r="F714" s="12" t="n">
        <x:v>0</x:v>
      </x:c>
      <x:c r="G714" s="10" t="str">
        <x:v>Wareneingang EU 19 Prozent</x:v>
      </x:c>
      <x:c r="H714" s="10" t="str">
        <x:v>Einkauf</x:v>
      </x:c>
    </x:row>
    <x:row r="715" ht="14" customHeight="1">
      <x:c r="A715" s="10" t="str">
        <x:v>2024-06-0285</x:v>
      </x:c>
      <x:c r="B715" s="11" t="n">
        <x:v>45473</x:v>
      </x:c>
      <x:c r="C715" s="10" t="n">
        <x:v>6</x:v>
      </x:c>
      <x:c r="D715" s="10" t="str">
        <x:v>3809</x:v>
      </x:c>
      <x:c r="E715" s="12" t="n">
        <x:v>0</x:v>
      </x:c>
      <x:c r="F715" s="12" t="n">
        <x:v>3653.84</x:v>
      </x:c>
      <x:c r="G715" s="10" t="str">
        <x:v>Wareneingang EU 19 Prozent</x:v>
      </x:c>
      <x:c r="H715" s="10" t="str">
        <x:v>Einkauf</x:v>
      </x:c>
    </x:row>
    <x:row r="716" ht="14" customHeight="1">
      <x:c r="A716" s="10" t="str">
        <x:v>2024-06-0286</x:v>
      </x:c>
      <x:c r="B716" s="11" t="n">
        <x:v>45473</x:v>
      </x:c>
      <x:c r="C716" s="10" t="n">
        <x:v>6</x:v>
      </x:c>
      <x:c r="D716" s="10" t="str">
        <x:v>1140</x:v>
      </x:c>
      <x:c r="E716" s="12" t="n">
        <x:v>115384.5</x:v>
      </x:c>
      <x:c r="F716" s="12" t="n">
        <x:v>0</x:v>
      </x:c>
      <x:c r="G716" s="10" t="str">
        <x:v>Wareneingang Drittland</x:v>
      </x:c>
      <x:c r="H716" s="10" t="str">
        <x:v>Einkauf</x:v>
      </x:c>
    </x:row>
    <x:row r="717" ht="14" customHeight="1">
      <x:c r="A717" s="10" t="str">
        <x:v>2024-06-0286</x:v>
      </x:c>
      <x:c r="B717" s="11" t="n">
        <x:v>45473</x:v>
      </x:c>
      <x:c r="C717" s="10" t="n">
        <x:v>6</x:v>
      </x:c>
      <x:c r="D717" s="10" t="str">
        <x:v>3300</x:v>
      </x:c>
      <x:c r="E717" s="12" t="n">
        <x:v>0</x:v>
      </x:c>
      <x:c r="F717" s="12" t="n">
        <x:v>115384.5</x:v>
      </x:c>
      <x:c r="G717" s="10" t="str">
        <x:v>Wareneingang Drittland</x:v>
      </x:c>
      <x:c r="H717" s="10" t="str">
        <x:v>Einkauf</x:v>
      </x:c>
    </x:row>
    <x:row r="718" ht="14" customHeight="1">
      <x:c r="A718" s="10" t="str">
        <x:v>2024-06-0287</x:v>
      </x:c>
      <x:c r="B718" s="11" t="n">
        <x:v>45465</x:v>
      </x:c>
      <x:c r="C718" s="10" t="n">
        <x:v>6</x:v>
      </x:c>
      <x:c r="D718" s="10" t="str">
        <x:v>1433</x:v>
      </x:c>
      <x:c r="E718" s="12" t="n">
        <x:v>9461.53</x:v>
      </x:c>
      <x:c r="F718" s="12" t="n">
        <x:v>0</x:v>
      </x:c>
      <x:c r="G718" s="10" t="str">
        <x:v>Einfuhrabgabenjournal bezahlte EUSt</x:v>
      </x:c>
      <x:c r="H718" s="10" t="str">
        <x:v>Einfuhrumsatzsteuer</x:v>
      </x:c>
    </x:row>
    <x:row r="719" ht="14" customHeight="1">
      <x:c r="A719" s="10" t="str">
        <x:v>2024-06-0287</x:v>
      </x:c>
      <x:c r="B719" s="11" t="n">
        <x:v>45465</x:v>
      </x:c>
      <x:c r="C719" s="10" t="n">
        <x:v>6</x:v>
      </x:c>
      <x:c r="D719" s="10" t="str">
        <x:v>1800</x:v>
      </x:c>
      <x:c r="E719" s="12" t="n">
        <x:v>0</x:v>
      </x:c>
      <x:c r="F719" s="12" t="n">
        <x:v>9461.53</x:v>
      </x:c>
      <x:c r="G719" s="10" t="str">
        <x:v>Einfuhrabgabenjournal bezahlte EUSt</x:v>
      </x:c>
      <x:c r="H719" s="10" t="str">
        <x:v>Einfuhrumsatzsteuer</x:v>
      </x:c>
    </x:row>
    <x:row r="720" ht="14" customHeight="1">
      <x:c r="A720" s="10" t="str">
        <x:v>2024-06-0288</x:v>
      </x:c>
      <x:c r="B720" s="11" t="n">
        <x:v>45473</x:v>
      </x:c>
      <x:c r="C720" s="10" t="n">
        <x:v>6</x:v>
      </x:c>
      <x:c r="D720" s="10" t="str">
        <x:v>5000</x:v>
      </x:c>
      <x:c r="E720" s="12" t="n">
        <x:v>394615</x:v>
      </x:c>
      <x:c r="F720" s="12" t="n">
        <x:v>0</x:v>
      </x:c>
      <x:c r="G720" s="10" t="str">
        <x:v>Warenabgänge zu Einstandswerten</x:v>
      </x:c>
      <x:c r="H720" s="10" t="str">
        <x:v>Verbrauch</x:v>
      </x:c>
    </x:row>
    <x:row r="721" ht="14" customHeight="1">
      <x:c r="A721" s="10" t="str">
        <x:v>2024-06-0288</x:v>
      </x:c>
      <x:c r="B721" s="11" t="n">
        <x:v>45473</x:v>
      </x:c>
      <x:c r="C721" s="10" t="n">
        <x:v>6</x:v>
      </x:c>
      <x:c r="D721" s="10" t="str">
        <x:v>1140</x:v>
      </x:c>
      <x:c r="E721" s="12" t="n">
        <x:v>0</x:v>
      </x:c>
      <x:c r="F721" s="12" t="n">
        <x:v>394615</x:v>
      </x:c>
      <x:c r="G721" s="10" t="str">
        <x:v>Warenabgänge zu Einstandswerten</x:v>
      </x:c>
      <x:c r="H721" s="10" t="str">
        <x:v>Verbrauch</x:v>
      </x:c>
    </x:row>
    <x:row r="722" ht="14" customHeight="1">
      <x:c r="A722" s="10" t="str">
        <x:v>2024-06-0289</x:v>
      </x:c>
      <x:c r="B722" s="11" t="n">
        <x:v>45473</x:v>
      </x:c>
      <x:c r="C722" s="10" t="n">
        <x:v>6</x:v>
      </x:c>
      <x:c r="D722" s="10" t="str">
        <x:v>6020</x:v>
      </x:c>
      <x:c r="E722" s="12" t="n">
        <x:v>86000</x:v>
      </x:c>
      <x:c r="F722" s="12" t="n">
        <x:v>0</x:v>
      </x:c>
      <x:c r="G722" s="10" t="str">
        <x:v>Lohnjournal 20 Beschäftigte</x:v>
      </x:c>
      <x:c r="H722" s="10" t="str">
        <x:v>Personal</x:v>
      </x:c>
    </x:row>
    <x:row r="723" ht="14" customHeight="1">
      <x:c r="A723" s="10" t="str">
        <x:v>2024-06-0289</x:v>
      </x:c>
      <x:c r="B723" s="11" t="n">
        <x:v>45473</x:v>
      </x:c>
      <x:c r="C723" s="10" t="n">
        <x:v>6</x:v>
      </x:c>
      <x:c r="D723" s="10" t="str">
        <x:v>6110</x:v>
      </x:c>
      <x:c r="E723" s="12" t="n">
        <x:v>18000</x:v>
      </x:c>
      <x:c r="F723" s="12" t="n">
        <x:v>0</x:v>
      </x:c>
      <x:c r="G723" s="10" t="str">
        <x:v>Lohnjournal 20 Beschäftigte</x:v>
      </x:c>
      <x:c r="H723" s="10" t="str">
        <x:v>Personal</x:v>
      </x:c>
    </x:row>
    <x:row r="724" ht="14" customHeight="1">
      <x:c r="A724" s="10" t="str">
        <x:v>2024-06-0289</x:v>
      </x:c>
      <x:c r="B724" s="11" t="n">
        <x:v>45473</x:v>
      </x:c>
      <x:c r="C724" s="10" t="n">
        <x:v>6</x:v>
      </x:c>
      <x:c r="D724" s="10" t="str">
        <x:v>3720</x:v>
      </x:c>
      <x:c r="E724" s="12" t="n">
        <x:v>0</x:v>
      </x:c>
      <x:c r="F724" s="12" t="n">
        <x:v>56760</x:v>
      </x:c>
      <x:c r="G724" s="10" t="str">
        <x:v>Lohnjournal 20 Beschäftigte</x:v>
      </x:c>
      <x:c r="H724" s="10" t="str">
        <x:v>Personal</x:v>
      </x:c>
    </x:row>
    <x:row r="725" ht="14" customHeight="1">
      <x:c r="A725" s="10" t="str">
        <x:v>2024-06-0289</x:v>
      </x:c>
      <x:c r="B725" s="11" t="n">
        <x:v>45473</x:v>
      </x:c>
      <x:c r="C725" s="10" t="n">
        <x:v>6</x:v>
      </x:c>
      <x:c r="D725" s="10" t="str">
        <x:v>3730</x:v>
      </x:c>
      <x:c r="E725" s="12" t="n">
        <x:v>0</x:v>
      </x:c>
      <x:c r="F725" s="12" t="n">
        <x:v>12900</x:v>
      </x:c>
      <x:c r="G725" s="10" t="str">
        <x:v>Lohnjournal 20 Beschäftigte</x:v>
      </x:c>
      <x:c r="H725" s="10" t="str">
        <x:v>Personal</x:v>
      </x:c>
    </x:row>
    <x:row r="726" ht="14" customHeight="1">
      <x:c r="A726" s="10" t="str">
        <x:v>2024-06-0289</x:v>
      </x:c>
      <x:c r="B726" s="11" t="n">
        <x:v>45473</x:v>
      </x:c>
      <x:c r="C726" s="10" t="n">
        <x:v>6</x:v>
      </x:c>
      <x:c r="D726" s="10" t="str">
        <x:v>3740</x:v>
      </x:c>
      <x:c r="E726" s="12" t="n">
        <x:v>0</x:v>
      </x:c>
      <x:c r="F726" s="12" t="n">
        <x:v>34340</x:v>
      </x:c>
      <x:c r="G726" s="10" t="str">
        <x:v>Lohnjournal 20 Beschäftigte</x:v>
      </x:c>
      <x:c r="H726" s="10" t="str">
        <x:v>Personal</x:v>
      </x:c>
    </x:row>
    <x:row r="727" ht="14" customHeight="1">
      <x:c r="A727" s="10" t="str">
        <x:v>2024-06-0290</x:v>
      </x:c>
      <x:c r="B727" s="11" t="n">
        <x:v>45471</x:v>
      </x:c>
      <x:c r="C727" s="10" t="n">
        <x:v>6</x:v>
      </x:c>
      <x:c r="D727" s="10" t="str">
        <x:v>3720</x:v>
      </x:c>
      <x:c r="E727" s="12" t="n">
        <x:v>56760</x:v>
      </x:c>
      <x:c r="F727" s="12" t="n">
        <x:v>0</x:v>
      </x:c>
      <x:c r="G727" s="10" t="str">
        <x:v>Zahlungsjournal Verbindlichkeiten Nettolöhne</x:v>
      </x:c>
      <x:c r="H727" s="10" t="str">
        <x:v>Personalzahlung</x:v>
      </x:c>
    </x:row>
    <x:row r="728" ht="14" customHeight="1">
      <x:c r="A728" s="10" t="str">
        <x:v>2024-06-0290</x:v>
      </x:c>
      <x:c r="B728" s="11" t="n">
        <x:v>45471</x:v>
      </x:c>
      <x:c r="C728" s="10" t="n">
        <x:v>6</x:v>
      </x:c>
      <x:c r="D728" s="10" t="str">
        <x:v>1800</x:v>
      </x:c>
      <x:c r="E728" s="12" t="n">
        <x:v>0</x:v>
      </x:c>
      <x:c r="F728" s="12" t="n">
        <x:v>56760</x:v>
      </x:c>
      <x:c r="G728" s="10" t="str">
        <x:v>Zahlungsjournal Verbindlichkeiten Nettolöhne</x:v>
      </x:c>
      <x:c r="H728" s="10" t="str">
        <x:v>Personalzahlung</x:v>
      </x:c>
    </x:row>
    <x:row r="729" ht="14" customHeight="1">
      <x:c r="A729" s="10" t="str">
        <x:v>2024-06-0291</x:v>
      </x:c>
      <x:c r="B729" s="11" t="n">
        <x:v>45453</x:v>
      </x:c>
      <x:c r="C729" s="10" t="n">
        <x:v>6</x:v>
      </x:c>
      <x:c r="D729" s="10" t="str">
        <x:v>3730</x:v>
      </x:c>
      <x:c r="E729" s="12" t="n">
        <x:v>12900</x:v>
      </x:c>
      <x:c r="F729" s="12" t="n">
        <x:v>0</x:v>
      </x:c>
      <x:c r="G729" s="10" t="str">
        <x:v>Zahlungsjournal Verbindlichkeiten Lohnsteuer</x:v>
      </x:c>
      <x:c r="H729" s="10" t="str">
        <x:v>Personalzahlung</x:v>
      </x:c>
    </x:row>
    <x:row r="730" ht="14" customHeight="1">
      <x:c r="A730" s="10" t="str">
        <x:v>2024-06-0291</x:v>
      </x:c>
      <x:c r="B730" s="11" t="n">
        <x:v>45453</x:v>
      </x:c>
      <x:c r="C730" s="10" t="n">
        <x:v>6</x:v>
      </x:c>
      <x:c r="D730" s="10" t="str">
        <x:v>1800</x:v>
      </x:c>
      <x:c r="E730" s="12" t="n">
        <x:v>0</x:v>
      </x:c>
      <x:c r="F730" s="12" t="n">
        <x:v>12900</x:v>
      </x:c>
      <x:c r="G730" s="10" t="str">
        <x:v>Zahlungsjournal Verbindlichkeiten Lohnsteuer</x:v>
      </x:c>
      <x:c r="H730" s="10" t="str">
        <x:v>Personalzahlung</x:v>
      </x:c>
    </x:row>
    <x:row r="731" ht="14" customHeight="1">
      <x:c r="A731" s="10" t="str">
        <x:v>2024-06-0292</x:v>
      </x:c>
      <x:c r="B731" s="11" t="n">
        <x:v>45471</x:v>
      </x:c>
      <x:c r="C731" s="10" t="n">
        <x:v>6</x:v>
      </x:c>
      <x:c r="D731" s="10" t="str">
        <x:v>3740</x:v>
      </x:c>
      <x:c r="E731" s="12" t="n">
        <x:v>34340</x:v>
      </x:c>
      <x:c r="F731" s="12" t="n">
        <x:v>0</x:v>
      </x:c>
      <x:c r="G731" s="10" t="str">
        <x:v>Zahlungsjournal Verbindlichkeiten Sozialversicherung</x:v>
      </x:c>
      <x:c r="H731" s="10" t="str">
        <x:v>Personalzahlung</x:v>
      </x:c>
    </x:row>
    <x:row r="732" ht="14" customHeight="1">
      <x:c r="A732" s="10" t="str">
        <x:v>2024-06-0292</x:v>
      </x:c>
      <x:c r="B732" s="11" t="n">
        <x:v>45471</x:v>
      </x:c>
      <x:c r="C732" s="10" t="n">
        <x:v>6</x:v>
      </x:c>
      <x:c r="D732" s="10" t="str">
        <x:v>1800</x:v>
      </x:c>
      <x:c r="E732" s="12" t="n">
        <x:v>0</x:v>
      </x:c>
      <x:c r="F732" s="12" t="n">
        <x:v>34340</x:v>
      </x:c>
      <x:c r="G732" s="10" t="str">
        <x:v>Zahlungsjournal Verbindlichkeiten Sozialversicherung</x:v>
      </x:c>
      <x:c r="H732" s="10" t="str">
        <x:v>Personalzahlung</x:v>
      </x:c>
    </x:row>
    <x:row r="733" ht="14" customHeight="1">
      <x:c r="A733" s="10" t="str">
        <x:v>2024-06-0293</x:v>
      </x:c>
      <x:c r="B733" s="11" t="n">
        <x:v>45473</x:v>
      </x:c>
      <x:c r="C733" s="10" t="n">
        <x:v>6</x:v>
      </x:c>
      <x:c r="D733" s="10" t="str">
        <x:v>6310</x:v>
      </x:c>
      <x:c r="E733" s="12" t="n">
        <x:v>4000</x:v>
      </x:c>
      <x:c r="F733" s="12" t="n">
        <x:v>0</x:v>
      </x:c>
      <x:c r="G733" s="10" t="str">
        <x:v>Miete Büro Nürnberg Monatsjournal</x:v>
      </x:c>
      <x:c r="H733" s="10" t="str">
        <x:v>Betriebskosten</x:v>
      </x:c>
    </x:row>
    <x:row r="734" ht="14" customHeight="1">
      <x:c r="A734" s="10" t="str">
        <x:v>2024-06-0293</x:v>
      </x:c>
      <x:c r="B734" s="11" t="n">
        <x:v>45473</x:v>
      </x:c>
      <x:c r="C734" s="10" t="n">
        <x:v>6</x:v>
      </x:c>
      <x:c r="D734" s="10" t="str">
        <x:v>1406</x:v>
      </x:c>
      <x:c r="E734" s="12" t="n">
        <x:v>760</x:v>
      </x:c>
      <x:c r="F734" s="12" t="n">
        <x:v>0</x:v>
      </x:c>
      <x:c r="G734" s="10" t="str">
        <x:v>Miete Büro Nürnberg Monatsjournal</x:v>
      </x:c>
      <x:c r="H734" s="10" t="str">
        <x:v>Betriebskosten</x:v>
      </x:c>
    </x:row>
    <x:row r="735" ht="14" customHeight="1">
      <x:c r="A735" s="10" t="str">
        <x:v>2024-06-0293</x:v>
      </x:c>
      <x:c r="B735" s="11" t="n">
        <x:v>45473</x:v>
      </x:c>
      <x:c r="C735" s="10" t="n">
        <x:v>6</x:v>
      </x:c>
      <x:c r="D735" s="10" t="str">
        <x:v>3300</x:v>
      </x:c>
      <x:c r="E735" s="12" t="n">
        <x:v>0</x:v>
      </x:c>
      <x:c r="F735" s="12" t="n">
        <x:v>4760</x:v>
      </x:c>
      <x:c r="G735" s="10" t="str">
        <x:v>Miete Büro Nürnberg Monatsjournal</x:v>
      </x:c>
      <x:c r="H735" s="10" t="str">
        <x:v>Betriebskosten</x:v>
      </x:c>
    </x:row>
    <x:row r="736" ht="14" customHeight="1">
      <x:c r="A736" s="10" t="str">
        <x:v>2024-06-0294</x:v>
      </x:c>
      <x:c r="B736" s="11" t="n">
        <x:v>45473</x:v>
      </x:c>
      <x:c r="C736" s="10" t="n">
        <x:v>6</x:v>
      </x:c>
      <x:c r="D736" s="10" t="str">
        <x:v>6311</x:v>
      </x:c>
      <x:c r="E736" s="12" t="n">
        <x:v>10000</x:v>
      </x:c>
      <x:c r="F736" s="12" t="n">
        <x:v>0</x:v>
      </x:c>
      <x:c r="G736" s="10" t="str">
        <x:v>Miete Lager Erlangen Monatsjournal</x:v>
      </x:c>
      <x:c r="H736" s="10" t="str">
        <x:v>Betriebskosten</x:v>
      </x:c>
    </x:row>
    <x:row r="737" ht="14" customHeight="1">
      <x:c r="A737" s="10" t="str">
        <x:v>2024-06-0294</x:v>
      </x:c>
      <x:c r="B737" s="11" t="n">
        <x:v>45473</x:v>
      </x:c>
      <x:c r="C737" s="10" t="n">
        <x:v>6</x:v>
      </x:c>
      <x:c r="D737" s="10" t="str">
        <x:v>1406</x:v>
      </x:c>
      <x:c r="E737" s="12" t="n">
        <x:v>1900</x:v>
      </x:c>
      <x:c r="F737" s="12" t="n">
        <x:v>0</x:v>
      </x:c>
      <x:c r="G737" s="10" t="str">
        <x:v>Miete Lager Erlangen Monatsjournal</x:v>
      </x:c>
      <x:c r="H737" s="10" t="str">
        <x:v>Betriebskosten</x:v>
      </x:c>
    </x:row>
    <x:row r="738" ht="14" customHeight="1">
      <x:c r="A738" s="10" t="str">
        <x:v>2024-06-0294</x:v>
      </x:c>
      <x:c r="B738" s="11" t="n">
        <x:v>45473</x:v>
      </x:c>
      <x:c r="C738" s="10" t="n">
        <x:v>6</x:v>
      </x:c>
      <x:c r="D738" s="10" t="str">
        <x:v>3300</x:v>
      </x:c>
      <x:c r="E738" s="12" t="n">
        <x:v>0</x:v>
      </x:c>
      <x:c r="F738" s="12" t="n">
        <x:v>11900</x:v>
      </x:c>
      <x:c r="G738" s="10" t="str">
        <x:v>Miete Lager Erlangen Monatsjournal</x:v>
      </x:c>
      <x:c r="H738" s="10" t="str">
        <x:v>Betriebskosten</x:v>
      </x:c>
    </x:row>
    <x:row r="739" ht="14" customHeight="1">
      <x:c r="A739" s="10" t="str">
        <x:v>2024-06-0295</x:v>
      </x:c>
      <x:c r="B739" s="11" t="n">
        <x:v>45473</x:v>
      </x:c>
      <x:c r="C739" s="10" t="n">
        <x:v>6</x:v>
      </x:c>
      <x:c r="D739" s="10" t="str">
        <x:v>6325</x:v>
      </x:c>
      <x:c r="E739" s="12" t="n">
        <x:v>4500</x:v>
      </x:c>
      <x:c r="F739" s="12" t="n">
        <x:v>0</x:v>
      </x:c>
      <x:c r="G739" s="10" t="str">
        <x:v>Strom und Kühlung Monatsjournal</x:v>
      </x:c>
      <x:c r="H739" s="10" t="str">
        <x:v>Betriebskosten</x:v>
      </x:c>
    </x:row>
    <x:row r="740" ht="14" customHeight="1">
      <x:c r="A740" s="10" t="str">
        <x:v>2024-06-0295</x:v>
      </x:c>
      <x:c r="B740" s="11" t="n">
        <x:v>45473</x:v>
      </x:c>
      <x:c r="C740" s="10" t="n">
        <x:v>6</x:v>
      </x:c>
      <x:c r="D740" s="10" t="str">
        <x:v>1406</x:v>
      </x:c>
      <x:c r="E740" s="12" t="n">
        <x:v>855</x:v>
      </x:c>
      <x:c r="F740" s="12" t="n">
        <x:v>0</x:v>
      </x:c>
      <x:c r="G740" s="10" t="str">
        <x:v>Strom und Kühlung Monatsjournal</x:v>
      </x:c>
      <x:c r="H740" s="10" t="str">
        <x:v>Betriebskosten</x:v>
      </x:c>
    </x:row>
    <x:row r="741" ht="14" customHeight="1">
      <x:c r="A741" s="10" t="str">
        <x:v>2024-06-0295</x:v>
      </x:c>
      <x:c r="B741" s="11" t="n">
        <x:v>45473</x:v>
      </x:c>
      <x:c r="C741" s="10" t="n">
        <x:v>6</x:v>
      </x:c>
      <x:c r="D741" s="10" t="str">
        <x:v>3300</x:v>
      </x:c>
      <x:c r="E741" s="12" t="n">
        <x:v>0</x:v>
      </x:c>
      <x:c r="F741" s="12" t="n">
        <x:v>5355</x:v>
      </x:c>
      <x:c r="G741" s="10" t="str">
        <x:v>Strom und Kühlung Monatsjournal</x:v>
      </x:c>
      <x:c r="H741" s="10" t="str">
        <x:v>Betriebskosten</x:v>
      </x:c>
    </x:row>
    <x:row r="742" ht="14" customHeight="1">
      <x:c r="A742" s="10" t="str">
        <x:v>2024-06-0296</x:v>
      </x:c>
      <x:c r="B742" s="11" t="n">
        <x:v>45473</x:v>
      </x:c>
      <x:c r="C742" s="10" t="n">
        <x:v>6</x:v>
      </x:c>
      <x:c r="D742" s="10" t="str">
        <x:v>6400</x:v>
      </x:c>
      <x:c r="E742" s="12" t="n">
        <x:v>2500</x:v>
      </x:c>
      <x:c r="F742" s="12" t="n">
        <x:v>0</x:v>
      </x:c>
      <x:c r="G742" s="10" t="str">
        <x:v>Versicherungen Monatsjournal</x:v>
      </x:c>
      <x:c r="H742" s="10" t="str">
        <x:v>Betriebskosten</x:v>
      </x:c>
    </x:row>
    <x:row r="743" ht="14" customHeight="1">
      <x:c r="A743" s="10" t="str">
        <x:v>2024-06-0296</x:v>
      </x:c>
      <x:c r="B743" s="11" t="n">
        <x:v>45473</x:v>
      </x:c>
      <x:c r="C743" s="10" t="n">
        <x:v>6</x:v>
      </x:c>
      <x:c r="D743" s="10" t="str">
        <x:v>3300</x:v>
      </x:c>
      <x:c r="E743" s="12" t="n">
        <x:v>0</x:v>
      </x:c>
      <x:c r="F743" s="12" t="n">
        <x:v>2500</x:v>
      </x:c>
      <x:c r="G743" s="10" t="str">
        <x:v>Versicherungen Monatsjournal</x:v>
      </x:c>
      <x:c r="H743" s="10" t="str">
        <x:v>Betriebskosten</x:v>
      </x:c>
    </x:row>
    <x:row r="744" ht="14" customHeight="1">
      <x:c r="A744" s="10" t="str">
        <x:v>2024-06-0297</x:v>
      </x:c>
      <x:c r="B744" s="11" t="n">
        <x:v>45473</x:v>
      </x:c>
      <x:c r="C744" s="10" t="n">
        <x:v>6</x:v>
      </x:c>
      <x:c r="D744" s="10" t="str">
        <x:v>6470</x:v>
      </x:c>
      <x:c r="E744" s="12" t="n">
        <x:v>6000</x:v>
      </x:c>
      <x:c r="F744" s="12" t="n">
        <x:v>0</x:v>
      </x:c>
      <x:c r="G744" s="10" t="str">
        <x:v>Lagerbetrieb und Reinigung Monatsjournal</x:v>
      </x:c>
      <x:c r="H744" s="10" t="str">
        <x:v>Betriebskosten</x:v>
      </x:c>
    </x:row>
    <x:row r="745" ht="14" customHeight="1">
      <x:c r="A745" s="10" t="str">
        <x:v>2024-06-0297</x:v>
      </x:c>
      <x:c r="B745" s="11" t="n">
        <x:v>45473</x:v>
      </x:c>
      <x:c r="C745" s="10" t="n">
        <x:v>6</x:v>
      </x:c>
      <x:c r="D745" s="10" t="str">
        <x:v>1406</x:v>
      </x:c>
      <x:c r="E745" s="12" t="n">
        <x:v>1140</x:v>
      </x:c>
      <x:c r="F745" s="12" t="n">
        <x:v>0</x:v>
      </x:c>
      <x:c r="G745" s="10" t="str">
        <x:v>Lagerbetrieb und Reinigung Monatsjournal</x:v>
      </x:c>
      <x:c r="H745" s="10" t="str">
        <x:v>Betriebskosten</x:v>
      </x:c>
    </x:row>
    <x:row r="746" ht="14" customHeight="1">
      <x:c r="A746" s="10" t="str">
        <x:v>2024-06-0297</x:v>
      </x:c>
      <x:c r="B746" s="11" t="n">
        <x:v>45473</x:v>
      </x:c>
      <x:c r="C746" s="10" t="n">
        <x:v>6</x:v>
      </x:c>
      <x:c r="D746" s="10" t="str">
        <x:v>3300</x:v>
      </x:c>
      <x:c r="E746" s="12" t="n">
        <x:v>0</x:v>
      </x:c>
      <x:c r="F746" s="12" t="n">
        <x:v>7140</x:v>
      </x:c>
      <x:c r="G746" s="10" t="str">
        <x:v>Lagerbetrieb und Reinigung Monatsjournal</x:v>
      </x:c>
      <x:c r="H746" s="10" t="str">
        <x:v>Betriebskosten</x:v>
      </x:c>
    </x:row>
    <x:row r="747" ht="14" customHeight="1">
      <x:c r="A747" s="10" t="str">
        <x:v>2024-06-0298</x:v>
      </x:c>
      <x:c r="B747" s="11" t="n">
        <x:v>45473</x:v>
      </x:c>
      <x:c r="C747" s="10" t="n">
        <x:v>6</x:v>
      </x:c>
      <x:c r="D747" s="10" t="str">
        <x:v>6490</x:v>
      </x:c>
      <x:c r="E747" s="12" t="n">
        <x:v>2500</x:v>
      </x:c>
      <x:c r="F747" s="12" t="n">
        <x:v>0</x:v>
      </x:c>
      <x:c r="G747" s="10" t="str">
        <x:v>Reparaturen und Wartung Monatsjournal</x:v>
      </x:c>
      <x:c r="H747" s="10" t="str">
        <x:v>Betriebskosten</x:v>
      </x:c>
    </x:row>
    <x:row r="748" ht="14" customHeight="1">
      <x:c r="A748" s="10" t="str">
        <x:v>2024-06-0298</x:v>
      </x:c>
      <x:c r="B748" s="11" t="n">
        <x:v>45473</x:v>
      </x:c>
      <x:c r="C748" s="10" t="n">
        <x:v>6</x:v>
      </x:c>
      <x:c r="D748" s="10" t="str">
        <x:v>1406</x:v>
      </x:c>
      <x:c r="E748" s="12" t="n">
        <x:v>475</x:v>
      </x:c>
      <x:c r="F748" s="12" t="n">
        <x:v>0</x:v>
      </x:c>
      <x:c r="G748" s="10" t="str">
        <x:v>Reparaturen und Wartung Monatsjournal</x:v>
      </x:c>
      <x:c r="H748" s="10" t="str">
        <x:v>Betriebskosten</x:v>
      </x:c>
    </x:row>
    <x:row r="749" ht="14" customHeight="1">
      <x:c r="A749" s="10" t="str">
        <x:v>2024-06-0298</x:v>
      </x:c>
      <x:c r="B749" s="11" t="n">
        <x:v>45473</x:v>
      </x:c>
      <x:c r="C749" s="10" t="n">
        <x:v>6</x:v>
      </x:c>
      <x:c r="D749" s="10" t="str">
        <x:v>3300</x:v>
      </x:c>
      <x:c r="E749" s="12" t="n">
        <x:v>0</x:v>
      </x:c>
      <x:c r="F749" s="12" t="n">
        <x:v>2975</x:v>
      </x:c>
      <x:c r="G749" s="10" t="str">
        <x:v>Reparaturen und Wartung Monatsjournal</x:v>
      </x:c>
      <x:c r="H749" s="10" t="str">
        <x:v>Betriebskosten</x:v>
      </x:c>
    </x:row>
    <x:row r="750" ht="14" customHeight="1">
      <x:c r="A750" s="10" t="str">
        <x:v>2024-06-0299</x:v>
      </x:c>
      <x:c r="B750" s="11" t="n">
        <x:v>45473</x:v>
      </x:c>
      <x:c r="C750" s="10" t="n">
        <x:v>6</x:v>
      </x:c>
      <x:c r="D750" s="10" t="str">
        <x:v>6600</x:v>
      </x:c>
      <x:c r="E750" s="12" t="n">
        <x:v>6000</x:v>
      </x:c>
      <x:c r="F750" s="12" t="n">
        <x:v>0</x:v>
      </x:c>
      <x:c r="G750" s="10" t="str">
        <x:v>Marketing und Messen Monatsjournal</x:v>
      </x:c>
      <x:c r="H750" s="10" t="str">
        <x:v>Betriebskosten</x:v>
      </x:c>
    </x:row>
    <x:row r="751" ht="14" customHeight="1">
      <x:c r="A751" s="10" t="str">
        <x:v>2024-06-0299</x:v>
      </x:c>
      <x:c r="B751" s="11" t="n">
        <x:v>45473</x:v>
      </x:c>
      <x:c r="C751" s="10" t="n">
        <x:v>6</x:v>
      </x:c>
      <x:c r="D751" s="10" t="str">
        <x:v>1406</x:v>
      </x:c>
      <x:c r="E751" s="12" t="n">
        <x:v>1140</x:v>
      </x:c>
      <x:c r="F751" s="12" t="n">
        <x:v>0</x:v>
      </x:c>
      <x:c r="G751" s="10" t="str">
        <x:v>Marketing und Messen Monatsjournal</x:v>
      </x:c>
      <x:c r="H751" s="10" t="str">
        <x:v>Betriebskosten</x:v>
      </x:c>
    </x:row>
    <x:row r="752" ht="14" customHeight="1">
      <x:c r="A752" s="10" t="str">
        <x:v>2024-06-0299</x:v>
      </x:c>
      <x:c r="B752" s="11" t="n">
        <x:v>45473</x:v>
      </x:c>
      <x:c r="C752" s="10" t="n">
        <x:v>6</x:v>
      </x:c>
      <x:c r="D752" s="10" t="str">
        <x:v>3300</x:v>
      </x:c>
      <x:c r="E752" s="12" t="n">
        <x:v>0</x:v>
      </x:c>
      <x:c r="F752" s="12" t="n">
        <x:v>7140</x:v>
      </x:c>
      <x:c r="G752" s="10" t="str">
        <x:v>Marketing und Messen Monatsjournal</x:v>
      </x:c>
      <x:c r="H752" s="10" t="str">
        <x:v>Betriebskosten</x:v>
      </x:c>
    </x:row>
    <x:row r="753" ht="14" customHeight="1">
      <x:c r="A753" s="10" t="str">
        <x:v>2024-06-0300</x:v>
      </x:c>
      <x:c r="B753" s="11" t="n">
        <x:v>45473</x:v>
      </x:c>
      <x:c r="C753" s="10" t="n">
        <x:v>6</x:v>
      </x:c>
      <x:c r="D753" s="10" t="str">
        <x:v>6650</x:v>
      </x:c>
      <x:c r="E753" s="12" t="n">
        <x:v>1500</x:v>
      </x:c>
      <x:c r="F753" s="12" t="n">
        <x:v>0</x:v>
      </x:c>
      <x:c r="G753" s="10" t="str">
        <x:v>Reisekosten Monatsjournal</x:v>
      </x:c>
      <x:c r="H753" s="10" t="str">
        <x:v>Betriebskosten</x:v>
      </x:c>
    </x:row>
    <x:row r="754" ht="14" customHeight="1">
      <x:c r="A754" s="10" t="str">
        <x:v>2024-06-0300</x:v>
      </x:c>
      <x:c r="B754" s="11" t="n">
        <x:v>45473</x:v>
      </x:c>
      <x:c r="C754" s="10" t="n">
        <x:v>6</x:v>
      </x:c>
      <x:c r="D754" s="10" t="str">
        <x:v>1406</x:v>
      </x:c>
      <x:c r="E754" s="12" t="n">
        <x:v>285</x:v>
      </x:c>
      <x:c r="F754" s="12" t="n">
        <x:v>0</x:v>
      </x:c>
      <x:c r="G754" s="10" t="str">
        <x:v>Reisekosten Monatsjournal</x:v>
      </x:c>
      <x:c r="H754" s="10" t="str">
        <x:v>Betriebskosten</x:v>
      </x:c>
    </x:row>
    <x:row r="755" ht="14" customHeight="1">
      <x:c r="A755" s="10" t="str">
        <x:v>2024-06-0300</x:v>
      </x:c>
      <x:c r="B755" s="11" t="n">
        <x:v>45473</x:v>
      </x:c>
      <x:c r="C755" s="10" t="n">
        <x:v>6</x:v>
      </x:c>
      <x:c r="D755" s="10" t="str">
        <x:v>3300</x:v>
      </x:c>
      <x:c r="E755" s="12" t="n">
        <x:v>0</x:v>
      </x:c>
      <x:c r="F755" s="12" t="n">
        <x:v>1485</x:v>
      </x:c>
      <x:c r="G755" s="10" t="str">
        <x:v>Reisekosten Monatsjournal</x:v>
      </x:c>
      <x:c r="H755" s="10" t="str">
        <x:v>Betriebskosten</x:v>
      </x:c>
    </x:row>
    <x:row r="756" ht="14" customHeight="1">
      <x:c r="A756" s="10" t="str">
        <x:v>2024-06-0300</x:v>
      </x:c>
      <x:c r="B756" s="11" t="n">
        <x:v>45473</x:v>
      </x:c>
      <x:c r="C756" s="10" t="n">
        <x:v>6</x:v>
      </x:c>
      <x:c r="D756" s="10" t="str">
        <x:v>1600</x:v>
      </x:c>
      <x:c r="E756" s="12" t="n">
        <x:v>0</x:v>
      </x:c>
      <x:c r="F756" s="12" t="n">
        <x:v>300</x:v>
      </x:c>
      <x:c r="G756" s="10" t="str">
        <x:v>Reisekosten Monatsjournal</x:v>
      </x:c>
      <x:c r="H756" s="10" t="str">
        <x:v>Betriebskosten</x:v>
      </x:c>
    </x:row>
    <x:row r="757" ht="14" customHeight="1">
      <x:c r="A757" s="10" t="str">
        <x:v>2024-06-0301</x:v>
      </x:c>
      <x:c r="B757" s="11" t="n">
        <x:v>45473</x:v>
      </x:c>
      <x:c r="C757" s="10" t="n">
        <x:v>6</x:v>
      </x:c>
      <x:c r="D757" s="10" t="str">
        <x:v>6740</x:v>
      </x:c>
      <x:c r="E757" s="12" t="n">
        <x:v>13000</x:v>
      </x:c>
      <x:c r="F757" s="12" t="n">
        <x:v>0</x:v>
      </x:c>
      <x:c r="G757" s="10" t="str">
        <x:v>Ausgangsfrachten Inland Monatsjournal</x:v>
      </x:c>
      <x:c r="H757" s="10" t="str">
        <x:v>Betriebskosten</x:v>
      </x:c>
    </x:row>
    <x:row r="758" ht="14" customHeight="1">
      <x:c r="A758" s="10" t="str">
        <x:v>2024-06-0301</x:v>
      </x:c>
      <x:c r="B758" s="11" t="n">
        <x:v>45473</x:v>
      </x:c>
      <x:c r="C758" s="10" t="n">
        <x:v>6</x:v>
      </x:c>
      <x:c r="D758" s="10" t="str">
        <x:v>1406</x:v>
      </x:c>
      <x:c r="E758" s="12" t="n">
        <x:v>2470</x:v>
      </x:c>
      <x:c r="F758" s="12" t="n">
        <x:v>0</x:v>
      </x:c>
      <x:c r="G758" s="10" t="str">
        <x:v>Ausgangsfrachten Inland Monatsjournal</x:v>
      </x:c>
      <x:c r="H758" s="10" t="str">
        <x:v>Betriebskosten</x:v>
      </x:c>
    </x:row>
    <x:row r="759" ht="14" customHeight="1">
      <x:c r="A759" s="10" t="str">
        <x:v>2024-06-0301</x:v>
      </x:c>
      <x:c r="B759" s="11" t="n">
        <x:v>45473</x:v>
      </x:c>
      <x:c r="C759" s="10" t="n">
        <x:v>6</x:v>
      </x:c>
      <x:c r="D759" s="10" t="str">
        <x:v>3300</x:v>
      </x:c>
      <x:c r="E759" s="12" t="n">
        <x:v>0</x:v>
      </x:c>
      <x:c r="F759" s="12" t="n">
        <x:v>15470</x:v>
      </x:c>
      <x:c r="G759" s="10" t="str">
        <x:v>Ausgangsfrachten Inland Monatsjournal</x:v>
      </x:c>
      <x:c r="H759" s="10" t="str">
        <x:v>Betriebskosten</x:v>
      </x:c>
    </x:row>
    <x:row r="760" ht="14" customHeight="1">
      <x:c r="A760" s="10" t="str">
        <x:v>2024-06-0302</x:v>
      </x:c>
      <x:c r="B760" s="11" t="n">
        <x:v>45473</x:v>
      </x:c>
      <x:c r="C760" s="10" t="n">
        <x:v>6</x:v>
      </x:c>
      <x:c r="D760" s="10" t="str">
        <x:v>6741</x:v>
      </x:c>
      <x:c r="E760" s="12" t="n">
        <x:v>14000</x:v>
      </x:c>
      <x:c r="F760" s="12" t="n">
        <x:v>0</x:v>
      </x:c>
      <x:c r="G760" s="10" t="str">
        <x:v>Ausgangsfrachten Ausland Monatsjournal</x:v>
      </x:c>
      <x:c r="H760" s="10" t="str">
        <x:v>Betriebskosten</x:v>
      </x:c>
    </x:row>
    <x:row r="761" ht="14" customHeight="1">
      <x:c r="A761" s="10" t="str">
        <x:v>2024-06-0302</x:v>
      </x:c>
      <x:c r="B761" s="11" t="n">
        <x:v>45473</x:v>
      </x:c>
      <x:c r="C761" s="10" t="n">
        <x:v>6</x:v>
      </x:c>
      <x:c r="D761" s="10" t="str">
        <x:v>1406</x:v>
      </x:c>
      <x:c r="E761" s="12" t="n">
        <x:v>2660</x:v>
      </x:c>
      <x:c r="F761" s="12" t="n">
        <x:v>0</x:v>
      </x:c>
      <x:c r="G761" s="10" t="str">
        <x:v>Ausgangsfrachten Ausland Monatsjournal</x:v>
      </x:c>
      <x:c r="H761" s="10" t="str">
        <x:v>Betriebskosten</x:v>
      </x:c>
    </x:row>
    <x:row r="762" ht="14" customHeight="1">
      <x:c r="A762" s="10" t="str">
        <x:v>2024-06-0302</x:v>
      </x:c>
      <x:c r="B762" s="11" t="n">
        <x:v>45473</x:v>
      </x:c>
      <x:c r="C762" s="10" t="n">
        <x:v>6</x:v>
      </x:c>
      <x:c r="D762" s="10" t="str">
        <x:v>3300</x:v>
      </x:c>
      <x:c r="E762" s="12" t="n">
        <x:v>0</x:v>
      </x:c>
      <x:c r="F762" s="12" t="n">
        <x:v>16660</x:v>
      </x:c>
      <x:c r="G762" s="10" t="str">
        <x:v>Ausgangsfrachten Ausland Monatsjournal</x:v>
      </x:c>
      <x:c r="H762" s="10" t="str">
        <x:v>Betriebskosten</x:v>
      </x:c>
    </x:row>
    <x:row r="763" ht="14" customHeight="1">
      <x:c r="A763" s="10" t="str">
        <x:v>2024-06-0303</x:v>
      </x:c>
      <x:c r="B763" s="11" t="n">
        <x:v>45473</x:v>
      </x:c>
      <x:c r="C763" s="10" t="n">
        <x:v>6</x:v>
      </x:c>
      <x:c r="D763" s="10" t="str">
        <x:v>6805</x:v>
      </x:c>
      <x:c r="E763" s="12" t="n">
        <x:v>1500</x:v>
      </x:c>
      <x:c r="F763" s="12" t="n">
        <x:v>0</x:v>
      </x:c>
      <x:c r="G763" s="10" t="str">
        <x:v>Telekommunikation und IT Monatsjournal</x:v>
      </x:c>
      <x:c r="H763" s="10" t="str">
        <x:v>Betriebskosten</x:v>
      </x:c>
    </x:row>
    <x:row r="764" ht="14" customHeight="1">
      <x:c r="A764" s="10" t="str">
        <x:v>2024-06-0303</x:v>
      </x:c>
      <x:c r="B764" s="11" t="n">
        <x:v>45473</x:v>
      </x:c>
      <x:c r="C764" s="10" t="n">
        <x:v>6</x:v>
      </x:c>
      <x:c r="D764" s="10" t="str">
        <x:v>1406</x:v>
      </x:c>
      <x:c r="E764" s="12" t="n">
        <x:v>285</x:v>
      </x:c>
      <x:c r="F764" s="12" t="n">
        <x:v>0</x:v>
      </x:c>
      <x:c r="G764" s="10" t="str">
        <x:v>Telekommunikation und IT Monatsjournal</x:v>
      </x:c>
      <x:c r="H764" s="10" t="str">
        <x:v>Betriebskosten</x:v>
      </x:c>
    </x:row>
    <x:row r="765" ht="14" customHeight="1">
      <x:c r="A765" s="10" t="str">
        <x:v>2024-06-0303</x:v>
      </x:c>
      <x:c r="B765" s="11" t="n">
        <x:v>45473</x:v>
      </x:c>
      <x:c r="C765" s="10" t="n">
        <x:v>6</x:v>
      </x:c>
      <x:c r="D765" s="10" t="str">
        <x:v>3300</x:v>
      </x:c>
      <x:c r="E765" s="12" t="n">
        <x:v>0</x:v>
      </x:c>
      <x:c r="F765" s="12" t="n">
        <x:v>1785</x:v>
      </x:c>
      <x:c r="G765" s="10" t="str">
        <x:v>Telekommunikation und IT Monatsjournal</x:v>
      </x:c>
      <x:c r="H765" s="10" t="str">
        <x:v>Betriebskosten</x:v>
      </x:c>
    </x:row>
    <x:row r="766" ht="14" customHeight="1">
      <x:c r="A766" s="10" t="str">
        <x:v>2024-06-0304</x:v>
      </x:c>
      <x:c r="B766" s="11" t="n">
        <x:v>45473</x:v>
      </x:c>
      <x:c r="C766" s="10" t="n">
        <x:v>6</x:v>
      </x:c>
      <x:c r="D766" s="10" t="str">
        <x:v>6825</x:v>
      </x:c>
      <x:c r="E766" s="12" t="n">
        <x:v>3000</x:v>
      </x:c>
      <x:c r="F766" s="12" t="n">
        <x:v>0</x:v>
      </x:c>
      <x:c r="G766" s="10" t="str">
        <x:v>Rechtsberatung und Buchführung Monatsjournal</x:v>
      </x:c>
      <x:c r="H766" s="10" t="str">
        <x:v>Betriebskosten</x:v>
      </x:c>
    </x:row>
    <x:row r="767" ht="14" customHeight="1">
      <x:c r="A767" s="10" t="str">
        <x:v>2024-06-0304</x:v>
      </x:c>
      <x:c r="B767" s="11" t="n">
        <x:v>45473</x:v>
      </x:c>
      <x:c r="C767" s="10" t="n">
        <x:v>6</x:v>
      </x:c>
      <x:c r="D767" s="10" t="str">
        <x:v>1406</x:v>
      </x:c>
      <x:c r="E767" s="12" t="n">
        <x:v>570</x:v>
      </x:c>
      <x:c r="F767" s="12" t="n">
        <x:v>0</x:v>
      </x:c>
      <x:c r="G767" s="10" t="str">
        <x:v>Rechtsberatung und Buchführung Monatsjournal</x:v>
      </x:c>
      <x:c r="H767" s="10" t="str">
        <x:v>Betriebskosten</x:v>
      </x:c>
    </x:row>
    <x:row r="768" ht="14" customHeight="1">
      <x:c r="A768" s="10" t="str">
        <x:v>2024-06-0304</x:v>
      </x:c>
      <x:c r="B768" s="11" t="n">
        <x:v>45473</x:v>
      </x:c>
      <x:c r="C768" s="10" t="n">
        <x:v>6</x:v>
      </x:c>
      <x:c r="D768" s="10" t="str">
        <x:v>3300</x:v>
      </x:c>
      <x:c r="E768" s="12" t="n">
        <x:v>0</x:v>
      </x:c>
      <x:c r="F768" s="12" t="n">
        <x:v>3570</x:v>
      </x:c>
      <x:c r="G768" s="10" t="str">
        <x:v>Rechtsberatung und Buchführung Monatsjournal</x:v>
      </x:c>
      <x:c r="H768" s="10" t="str">
        <x:v>Betriebskosten</x:v>
      </x:c>
    </x:row>
    <x:row r="769" ht="14" customHeight="1">
      <x:c r="A769" s="10" t="str">
        <x:v>2024-06-0305</x:v>
      </x:c>
      <x:c r="B769" s="11" t="n">
        <x:v>45473</x:v>
      </x:c>
      <x:c r="C769" s="10" t="n">
        <x:v>6</x:v>
      </x:c>
      <x:c r="D769" s="10" t="str">
        <x:v>6830</x:v>
      </x:c>
      <x:c r="E769" s="12" t="n">
        <x:v>3500</x:v>
      </x:c>
      <x:c r="F769" s="12" t="n">
        <x:v>0</x:v>
      </x:c>
      <x:c r="G769" s="10" t="str">
        <x:v>Labor und Qualitätssicherung Monatsjournal</x:v>
      </x:c>
      <x:c r="H769" s="10" t="str">
        <x:v>Betriebskosten</x:v>
      </x:c>
    </x:row>
    <x:row r="770" ht="14" customHeight="1">
      <x:c r="A770" s="10" t="str">
        <x:v>2024-06-0305</x:v>
      </x:c>
      <x:c r="B770" s="11" t="n">
        <x:v>45473</x:v>
      </x:c>
      <x:c r="C770" s="10" t="n">
        <x:v>6</x:v>
      </x:c>
      <x:c r="D770" s="10" t="str">
        <x:v>1406</x:v>
      </x:c>
      <x:c r="E770" s="12" t="n">
        <x:v>665</x:v>
      </x:c>
      <x:c r="F770" s="12" t="n">
        <x:v>0</x:v>
      </x:c>
      <x:c r="G770" s="10" t="str">
        <x:v>Labor und Qualitätssicherung Monatsjournal</x:v>
      </x:c>
      <x:c r="H770" s="10" t="str">
        <x:v>Betriebskosten</x:v>
      </x:c>
    </x:row>
    <x:row r="771" ht="14" customHeight="1">
      <x:c r="A771" s="10" t="str">
        <x:v>2024-06-0305</x:v>
      </x:c>
      <x:c r="B771" s="11" t="n">
        <x:v>45473</x:v>
      </x:c>
      <x:c r="C771" s="10" t="n">
        <x:v>6</x:v>
      </x:c>
      <x:c r="D771" s="10" t="str">
        <x:v>3300</x:v>
      </x:c>
      <x:c r="E771" s="12" t="n">
        <x:v>0</x:v>
      </x:c>
      <x:c r="F771" s="12" t="n">
        <x:v>4165</x:v>
      </x:c>
      <x:c r="G771" s="10" t="str">
        <x:v>Labor und Qualitätssicherung Monatsjournal</x:v>
      </x:c>
      <x:c r="H771" s="10" t="str">
        <x:v>Betriebskosten</x:v>
      </x:c>
    </x:row>
    <x:row r="772" ht="14" customHeight="1">
      <x:c r="A772" s="10" t="str">
        <x:v>2024-06-0306</x:v>
      </x:c>
      <x:c r="B772" s="11" t="n">
        <x:v>45473</x:v>
      </x:c>
      <x:c r="C772" s="10" t="n">
        <x:v>6</x:v>
      </x:c>
      <x:c r="D772" s="10" t="str">
        <x:v>6850</x:v>
      </x:c>
      <x:c r="E772" s="12" t="n">
        <x:v>2000</x:v>
      </x:c>
      <x:c r="F772" s="12" t="n">
        <x:v>0</x:v>
      </x:c>
      <x:c r="G772" s="10" t="str">
        <x:v>Bürobedarf und übriger Aufwand Monatsjournal</x:v>
      </x:c>
      <x:c r="H772" s="10" t="str">
        <x:v>Betriebskosten</x:v>
      </x:c>
    </x:row>
    <x:row r="773" ht="14" customHeight="1">
      <x:c r="A773" s="10" t="str">
        <x:v>2024-06-0306</x:v>
      </x:c>
      <x:c r="B773" s="11" t="n">
        <x:v>45473</x:v>
      </x:c>
      <x:c r="C773" s="10" t="n">
        <x:v>6</x:v>
      </x:c>
      <x:c r="D773" s="10" t="str">
        <x:v>1406</x:v>
      </x:c>
      <x:c r="E773" s="12" t="n">
        <x:v>380</x:v>
      </x:c>
      <x:c r="F773" s="12" t="n">
        <x:v>0</x:v>
      </x:c>
      <x:c r="G773" s="10" t="str">
        <x:v>Bürobedarf und übriger Aufwand Monatsjournal</x:v>
      </x:c>
      <x:c r="H773" s="10" t="str">
        <x:v>Betriebskosten</x:v>
      </x:c>
    </x:row>
    <x:row r="774" ht="14" customHeight="1">
      <x:c r="A774" s="10" t="str">
        <x:v>2024-06-0306</x:v>
      </x:c>
      <x:c r="B774" s="11" t="n">
        <x:v>45473</x:v>
      </x:c>
      <x:c r="C774" s="10" t="n">
        <x:v>6</x:v>
      </x:c>
      <x:c r="D774" s="10" t="str">
        <x:v>3300</x:v>
      </x:c>
      <x:c r="E774" s="12" t="n">
        <x:v>0</x:v>
      </x:c>
      <x:c r="F774" s="12" t="n">
        <x:v>2380</x:v>
      </x:c>
      <x:c r="G774" s="10" t="str">
        <x:v>Bürobedarf und übriger Aufwand Monatsjournal</x:v>
      </x:c>
      <x:c r="H774" s="10" t="str">
        <x:v>Betriebskosten</x:v>
      </x:c>
    </x:row>
    <x:row r="775" ht="14" customHeight="1">
      <x:c r="A775" s="10" t="str">
        <x:v>2024-06-0307</x:v>
      </x:c>
      <x:c r="B775" s="11" t="n">
        <x:v>45473</x:v>
      </x:c>
      <x:c r="C775" s="10" t="n">
        <x:v>6</x:v>
      </x:c>
      <x:c r="D775" s="10" t="str">
        <x:v>6859</x:v>
      </x:c>
      <x:c r="E775" s="12" t="n">
        <x:v>500</x:v>
      </x:c>
      <x:c r="F775" s="12" t="n">
        <x:v>0</x:v>
      </x:c>
      <x:c r="G775" s="10" t="str">
        <x:v>Bankgebühren Monatsjournal</x:v>
      </x:c>
      <x:c r="H775" s="10" t="str">
        <x:v>Betriebskosten</x:v>
      </x:c>
    </x:row>
    <x:row r="776" ht="14" customHeight="1">
      <x:c r="A776" s="10" t="str">
        <x:v>2024-06-0307</x:v>
      </x:c>
      <x:c r="B776" s="11" t="n">
        <x:v>45473</x:v>
      </x:c>
      <x:c r="C776" s="10" t="n">
        <x:v>6</x:v>
      </x:c>
      <x:c r="D776" s="10" t="str">
        <x:v>3300</x:v>
      </x:c>
      <x:c r="E776" s="12" t="n">
        <x:v>0</x:v>
      </x:c>
      <x:c r="F776" s="12" t="n">
        <x:v>500</x:v>
      </x:c>
      <x:c r="G776" s="10" t="str">
        <x:v>Bankgebühren Monatsjournal</x:v>
      </x:c>
      <x:c r="H776" s="10" t="str">
        <x:v>Betriebskosten</x:v>
      </x:c>
    </x:row>
    <x:row r="777" ht="14" customHeight="1">
      <x:c r="A777" s="10" t="str">
        <x:v>2024-06-0308</x:v>
      </x:c>
      <x:c r="B777" s="11" t="n">
        <x:v>45448</x:v>
      </x:c>
      <x:c r="C777" s="10" t="n">
        <x:v>6</x:v>
      </x:c>
      <x:c r="D777" s="10" t="str">
        <x:v>1600</x:v>
      </x:c>
      <x:c r="E777" s="12" t="n">
        <x:v>300</x:v>
      </x:c>
      <x:c r="F777" s="12" t="n">
        <x:v>0</x:v>
      </x:c>
      <x:c r="G777" s="10" t="str">
        <x:v>Kassenvorschuss Reisekosten</x:v>
      </x:c>
      <x:c r="H777" s="10" t="str">
        <x:v>Kassenumbuchung</x:v>
      </x:c>
    </x:row>
    <x:row r="778" ht="14" customHeight="1">
      <x:c r="A778" s="10" t="str">
        <x:v>2024-06-0308</x:v>
      </x:c>
      <x:c r="B778" s="11" t="n">
        <x:v>45448</x:v>
      </x:c>
      <x:c r="C778" s="10" t="n">
        <x:v>6</x:v>
      </x:c>
      <x:c r="D778" s="10" t="str">
        <x:v>1800</x:v>
      </x:c>
      <x:c r="E778" s="12" t="n">
        <x:v>0</x:v>
      </x:c>
      <x:c r="F778" s="12" t="n">
        <x:v>300</x:v>
      </x:c>
      <x:c r="G778" s="10" t="str">
        <x:v>Kassenvorschuss Reisekosten</x:v>
      </x:c>
      <x:c r="H778" s="10" t="str">
        <x:v>Kassenumbuchung</x:v>
      </x:c>
    </x:row>
    <x:row r="779" ht="14" customHeight="1">
      <x:c r="A779" s="10" t="str">
        <x:v>2024-06-0309</x:v>
      </x:c>
      <x:c r="B779" s="11" t="n">
        <x:v>45473</x:v>
      </x:c>
      <x:c r="C779" s="10" t="n">
        <x:v>6</x:v>
      </x:c>
      <x:c r="D779" s="10" t="str">
        <x:v>6805</x:v>
      </x:c>
      <x:c r="E779" s="12" t="n">
        <x:v>3000</x:v>
      </x:c>
      <x:c r="F779" s="12" t="n">
        <x:v>0</x:v>
      </x:c>
      <x:c r="G779" s="10" t="str">
        <x:v>IT Jahreslizenz Auflösung Vorauszahlung</x:v>
      </x:c>
      <x:c r="H779" s="10" t="str">
        <x:v>Abgrenzung</x:v>
      </x:c>
    </x:row>
    <x:row r="780" ht="14" customHeight="1">
      <x:c r="A780" s="10" t="str">
        <x:v>2024-06-0309</x:v>
      </x:c>
      <x:c r="B780" s="11" t="n">
        <x:v>45473</x:v>
      </x:c>
      <x:c r="C780" s="10" t="n">
        <x:v>6</x:v>
      </x:c>
      <x:c r="D780" s="10" t="str">
        <x:v>1900</x:v>
      </x:c>
      <x:c r="E780" s="12" t="n">
        <x:v>0</x:v>
      </x:c>
      <x:c r="F780" s="12" t="n">
        <x:v>3000</x:v>
      </x:c>
      <x:c r="G780" s="10" t="str">
        <x:v>IT Jahreslizenz Auflösung Vorauszahlung</x:v>
      </x:c>
      <x:c r="H780" s="10" t="str">
        <x:v>Abgrenzung</x:v>
      </x:c>
    </x:row>
    <x:row r="781" ht="14" customHeight="1">
      <x:c r="A781" s="10" t="str">
        <x:v>2024-06-0310</x:v>
      </x:c>
      <x:c r="B781" s="11" t="n">
        <x:v>45473</x:v>
      </x:c>
      <x:c r="C781" s="10" t="n">
        <x:v>6</x:v>
      </x:c>
      <x:c r="D781" s="10" t="str">
        <x:v>6220</x:v>
      </x:c>
      <x:c r="E781" s="12" t="n">
        <x:v>500</x:v>
      </x:c>
      <x:c r="F781" s="12" t="n">
        <x:v>0</x:v>
      </x:c>
      <x:c r="G781" s="10" t="str">
        <x:v>Software Monatsabschreibung</x:v>
      </x:c>
      <x:c r="H781" s="10" t="str">
        <x:v>Abschreibung</x:v>
      </x:c>
    </x:row>
    <x:row r="782" ht="14" customHeight="1">
      <x:c r="A782" s="10" t="str">
        <x:v>2024-06-0310</x:v>
      </x:c>
      <x:c r="B782" s="11" t="n">
        <x:v>45473</x:v>
      </x:c>
      <x:c r="C782" s="10" t="n">
        <x:v>6</x:v>
      </x:c>
      <x:c r="D782" s="10" t="str">
        <x:v>0100</x:v>
      </x:c>
      <x:c r="E782" s="12" t="n">
        <x:v>0</x:v>
      </x:c>
      <x:c r="F782" s="12" t="n">
        <x:v>500</x:v>
      </x:c>
      <x:c r="G782" s="10" t="str">
        <x:v>Software Monatsabschreibung</x:v>
      </x:c>
      <x:c r="H782" s="10" t="str">
        <x:v>Abschreibung</x:v>
      </x:c>
    </x:row>
    <x:row r="783" ht="14" customHeight="1">
      <x:c r="A783" s="10" t="str">
        <x:v>2024-06-0311</x:v>
      </x:c>
      <x:c r="B783" s="11" t="n">
        <x:v>45473</x:v>
      </x:c>
      <x:c r="C783" s="10" t="n">
        <x:v>6</x:v>
      </x:c>
      <x:c r="D783" s="10" t="str">
        <x:v>6220</x:v>
      </x:c>
      <x:c r="E783" s="12" t="n">
        <x:v>2500</x:v>
      </x:c>
      <x:c r="F783" s="12" t="n">
        <x:v>0</x:v>
      </x:c>
      <x:c r="G783" s="10" t="str">
        <x:v>Lagereinbauten Erlangen Monatsabschreibung</x:v>
      </x:c>
      <x:c r="H783" s="10" t="str">
        <x:v>Abschreibung</x:v>
      </x:c>
    </x:row>
    <x:row r="784" ht="14" customHeight="1">
      <x:c r="A784" s="10" t="str">
        <x:v>2024-06-0311</x:v>
      </x:c>
      <x:c r="B784" s="11" t="n">
        <x:v>45473</x:v>
      </x:c>
      <x:c r="C784" s="10" t="n">
        <x:v>6</x:v>
      </x:c>
      <x:c r="D784" s="10" t="str">
        <x:v>0400</x:v>
      </x:c>
      <x:c r="E784" s="12" t="n">
        <x:v>0</x:v>
      </x:c>
      <x:c r="F784" s="12" t="n">
        <x:v>2500</x:v>
      </x:c>
      <x:c r="G784" s="10" t="str">
        <x:v>Lagereinbauten Erlangen Monatsabschreibung</x:v>
      </x:c>
      <x:c r="H784" s="10" t="str">
        <x:v>Abschreibung</x:v>
      </x:c>
    </x:row>
    <x:row r="785" ht="14" customHeight="1">
      <x:c r="A785" s="10" t="str">
        <x:v>2024-06-0312</x:v>
      </x:c>
      <x:c r="B785" s="11" t="n">
        <x:v>45473</x:v>
      </x:c>
      <x:c r="C785" s="10" t="n">
        <x:v>6</x:v>
      </x:c>
      <x:c r="D785" s="10" t="str">
        <x:v>6220</x:v>
      </x:c>
      <x:c r="E785" s="12" t="n">
        <x:v>1500</x:v>
      </x:c>
      <x:c r="F785" s="12" t="n">
        <x:v>0</x:v>
      </x:c>
      <x:c r="G785" s="10" t="str">
        <x:v>Flurförderzeuge Monatsabschreibung</x:v>
      </x:c>
      <x:c r="H785" s="10" t="str">
        <x:v>Abschreibung</x:v>
      </x:c>
    </x:row>
    <x:row r="786" ht="14" customHeight="1">
      <x:c r="A786" s="10" t="str">
        <x:v>2024-06-0312</x:v>
      </x:c>
      <x:c r="B786" s="11" t="n">
        <x:v>45473</x:v>
      </x:c>
      <x:c r="C786" s="10" t="n">
        <x:v>6</x:v>
      </x:c>
      <x:c r="D786" s="10" t="str">
        <x:v>0520</x:v>
      </x:c>
      <x:c r="E786" s="12" t="n">
        <x:v>0</x:v>
      </x:c>
      <x:c r="F786" s="12" t="n">
        <x:v>1500</x:v>
      </x:c>
      <x:c r="G786" s="10" t="str">
        <x:v>Flurförderzeuge Monatsabschreibung</x:v>
      </x:c>
      <x:c r="H786" s="10" t="str">
        <x:v>Abschreibung</x:v>
      </x:c>
    </x:row>
    <x:row r="787" ht="14" customHeight="1">
      <x:c r="A787" s="10" t="str">
        <x:v>2024-06-0313</x:v>
      </x:c>
      <x:c r="B787" s="11" t="n">
        <x:v>45473</x:v>
      </x:c>
      <x:c r="C787" s="10" t="n">
        <x:v>6</x:v>
      </x:c>
      <x:c r="D787" s="10" t="str">
        <x:v>6220</x:v>
      </x:c>
      <x:c r="E787" s="12" t="n">
        <x:v>2000</x:v>
      </x:c>
      <x:c r="F787" s="12" t="n">
        <x:v>0</x:v>
      </x:c>
      <x:c r="G787" s="10" t="str">
        <x:v>IT und Kommunikation Monatsabschreibung</x:v>
      </x:c>
      <x:c r="H787" s="10" t="str">
        <x:v>Abschreibung</x:v>
      </x:c>
    </x:row>
    <x:row r="788" ht="14" customHeight="1">
      <x:c r="A788" s="10" t="str">
        <x:v>2024-06-0313</x:v>
      </x:c>
      <x:c r="B788" s="11" t="n">
        <x:v>45473</x:v>
      </x:c>
      <x:c r="C788" s="10" t="n">
        <x:v>6</x:v>
      </x:c>
      <x:c r="D788" s="10" t="str">
        <x:v>0650</x:v>
      </x:c>
      <x:c r="E788" s="12" t="n">
        <x:v>0</x:v>
      </x:c>
      <x:c r="F788" s="12" t="n">
        <x:v>2000</x:v>
      </x:c>
      <x:c r="G788" s="10" t="str">
        <x:v>IT und Kommunikation Monatsabschreibung</x:v>
      </x:c>
      <x:c r="H788" s="10" t="str">
        <x:v>Abschreibung</x:v>
      </x:c>
    </x:row>
    <x:row r="789" ht="14" customHeight="1">
      <x:c r="A789" s="10" t="str">
        <x:v>2024-06-0314</x:v>
      </x:c>
      <x:c r="B789" s="11" t="n">
        <x:v>45473</x:v>
      </x:c>
      <x:c r="C789" s="10" t="n">
        <x:v>6</x:v>
      </x:c>
      <x:c r="D789" s="10" t="str">
        <x:v>6220</x:v>
      </x:c>
      <x:c r="E789" s="12" t="n">
        <x:v>1000</x:v>
      </x:c>
      <x:c r="F789" s="12" t="n">
        <x:v>0</x:v>
      </x:c>
      <x:c r="G789" s="10" t="str">
        <x:v>Büroausstattung Monatsabschreibung</x:v>
      </x:c>
      <x:c r="H789" s="10" t="str">
        <x:v>Abschreibung</x:v>
      </x:c>
    </x:row>
    <x:row r="790" ht="14" customHeight="1">
      <x:c r="A790" s="10" t="str">
        <x:v>2024-06-0314</x:v>
      </x:c>
      <x:c r="B790" s="11" t="n">
        <x:v>45473</x:v>
      </x:c>
      <x:c r="C790" s="10" t="n">
        <x:v>6</x:v>
      </x:c>
      <x:c r="D790" s="10" t="str">
        <x:v>0670</x:v>
      </x:c>
      <x:c r="E790" s="12" t="n">
        <x:v>0</x:v>
      </x:c>
      <x:c r="F790" s="12" t="n">
        <x:v>1000</x:v>
      </x:c>
      <x:c r="G790" s="10" t="str">
        <x:v>Büroausstattung Monatsabschreibung</x:v>
      </x:c>
      <x:c r="H790" s="10" t="str">
        <x:v>Abschreibung</x:v>
      </x:c>
    </x:row>
    <x:row r="791" ht="14" customHeight="1">
      <x:c r="A791" s="10" t="str">
        <x:v>2024-06-0315</x:v>
      </x:c>
      <x:c r="B791" s="11" t="n">
        <x:v>45473</x:v>
      </x:c>
      <x:c r="C791" s="10" t="n">
        <x:v>6</x:v>
      </x:c>
      <x:c r="D791" s="10" t="str">
        <x:v>3150</x:v>
      </x:c>
      <x:c r="E791" s="12" t="n">
        <x:v>10000</x:v>
      </x:c>
      <x:c r="F791" s="12" t="n">
        <x:v>0</x:v>
      </x:c>
      <x:c r="G791" s="10" t="str">
        <x:v>Investitionsdarlehen Tilgungsrate</x:v>
      </x:c>
      <x:c r="H791" s="10" t="str">
        <x:v>Tilgung</x:v>
      </x:c>
    </x:row>
    <x:row r="792" ht="14" customHeight="1">
      <x:c r="A792" s="10" t="str">
        <x:v>2024-06-0315</x:v>
      </x:c>
      <x:c r="B792" s="11" t="n">
        <x:v>45473</x:v>
      </x:c>
      <x:c r="C792" s="10" t="n">
        <x:v>6</x:v>
      </x:c>
      <x:c r="D792" s="10" t="str">
        <x:v>1800</x:v>
      </x:c>
      <x:c r="E792" s="12" t="n">
        <x:v>0</x:v>
      </x:c>
      <x:c r="F792" s="12" t="n">
        <x:v>10000</x:v>
      </x:c>
      <x:c r="G792" s="10" t="str">
        <x:v>Investitionsdarlehen Tilgungsrate</x:v>
      </x:c>
      <x:c r="H792" s="10" t="str">
        <x:v>Tilgung</x:v>
      </x:c>
    </x:row>
    <x:row r="793" ht="14" customHeight="1">
      <x:c r="A793" s="10" t="str">
        <x:v>2024-06-0316</x:v>
      </x:c>
      <x:c r="B793" s="11" t="n">
        <x:v>45473</x:v>
      </x:c>
      <x:c r="C793" s="10" t="n">
        <x:v>6</x:v>
      </x:c>
      <x:c r="D793" s="10" t="str">
        <x:v>7300</x:v>
      </x:c>
      <x:c r="E793" s="12" t="n">
        <x:v>2500</x:v>
      </x:c>
      <x:c r="F793" s="12" t="n">
        <x:v>0</x:v>
      </x:c>
      <x:c r="G793" s="10" t="str">
        <x:v>Investitionsdarlehen Zinsabrechnung</x:v>
      </x:c>
      <x:c r="H793" s="10" t="str">
        <x:v>Zinsen</x:v>
      </x:c>
    </x:row>
    <x:row r="794" ht="14" customHeight="1">
      <x:c r="A794" s="10" t="str">
        <x:v>2024-06-0316</x:v>
      </x:c>
      <x:c r="B794" s="11" t="n">
        <x:v>45473</x:v>
      </x:c>
      <x:c r="C794" s="10" t="n">
        <x:v>6</x:v>
      </x:c>
      <x:c r="D794" s="10" t="str">
        <x:v>1800</x:v>
      </x:c>
      <x:c r="E794" s="12" t="n">
        <x:v>0</x:v>
      </x:c>
      <x:c r="F794" s="12" t="n">
        <x:v>2500</x:v>
      </x:c>
      <x:c r="G794" s="10" t="str">
        <x:v>Investitionsdarlehen Zinsabrechnung</x:v>
      </x:c>
      <x:c r="H794" s="10" t="str">
        <x:v>Zinsen</x:v>
      </x:c>
    </x:row>
    <x:row r="795" ht="14" customHeight="1">
      <x:c r="A795" s="10" t="str">
        <x:v>2024-06-0317</x:v>
      </x:c>
      <x:c r="B795" s="11" t="n">
        <x:v>45473</x:v>
      </x:c>
      <x:c r="C795" s="10" t="n">
        <x:v>6</x:v>
      </x:c>
      <x:c r="D795" s="10" t="str">
        <x:v>7310</x:v>
      </x:c>
      <x:c r="E795" s="12" t="n">
        <x:v>1000</x:v>
      </x:c>
      <x:c r="F795" s="12" t="n">
        <x:v>0</x:v>
      </x:c>
      <x:c r="G795" s="10" t="str">
        <x:v>Kontokorrent Zinsen und Bereitstellung</x:v>
      </x:c>
      <x:c r="H795" s="10" t="str">
        <x:v>Zinsen</x:v>
      </x:c>
    </x:row>
    <x:row r="796" ht="14" customHeight="1">
      <x:c r="A796" s="10" t="str">
        <x:v>2024-06-0317</x:v>
      </x:c>
      <x:c r="B796" s="11" t="n">
        <x:v>45473</x:v>
      </x:c>
      <x:c r="C796" s="10" t="n">
        <x:v>6</x:v>
      </x:c>
      <x:c r="D796" s="10" t="str">
        <x:v>1800</x:v>
      </x:c>
      <x:c r="E796" s="12" t="n">
        <x:v>0</x:v>
      </x:c>
      <x:c r="F796" s="12" t="n">
        <x:v>1000</x:v>
      </x:c>
      <x:c r="G796" s="10" t="str">
        <x:v>Kontokorrent Zinsen und Bereitstellung</x:v>
      </x:c>
      <x:c r="H796" s="10" t="str">
        <x:v>Zinsen</x:v>
      </x:c>
    </x:row>
    <x:row r="797" ht="14" customHeight="1">
      <x:c r="A797" s="10" t="str">
        <x:v>2024-06-0318</x:v>
      </x:c>
      <x:c r="B797" s="11" t="n">
        <x:v>45453</x:v>
      </x:c>
      <x:c r="C797" s="10" t="n">
        <x:v>6</x:v>
      </x:c>
      <x:c r="D797" s="10" t="str">
        <x:v>3840</x:v>
      </x:c>
      <x:c r="E797" s="12" t="n">
        <x:v>12000</x:v>
      </x:c>
      <x:c r="F797" s="12" t="n">
        <x:v>0</x:v>
      </x:c>
      <x:c r="G797" s="10" t="str">
        <x:v>Ertragsteuervorauszahlung Zahlungsjournal</x:v>
      </x:c>
      <x:c r="H797" s="10" t="str">
        <x:v>Ertragsteuerzahlung</x:v>
      </x:c>
    </x:row>
    <x:row r="798" ht="14" customHeight="1">
      <x:c r="A798" s="10" t="str">
        <x:v>2024-06-0318</x:v>
      </x:c>
      <x:c r="B798" s="11" t="n">
        <x:v>45453</x:v>
      </x:c>
      <x:c r="C798" s="10" t="n">
        <x:v>6</x:v>
      </x:c>
      <x:c r="D798" s="10" t="str">
        <x:v>1800</x:v>
      </x:c>
      <x:c r="E798" s="12" t="n">
        <x:v>0</x:v>
      </x:c>
      <x:c r="F798" s="12" t="n">
        <x:v>12000</x:v>
      </x:c>
      <x:c r="G798" s="10" t="str">
        <x:v>Ertragsteuervorauszahlung Zahlungsjournal</x:v>
      </x:c>
      <x:c r="H798" s="10" t="str">
        <x:v>Ertragsteuerzahlung</x:v>
      </x:c>
    </x:row>
    <x:row r="799" ht="14" customHeight="1">
      <x:c r="A799" s="10" t="str">
        <x:v>2024-06-0319</x:v>
      </x:c>
      <x:c r="B799" s="11" t="n">
        <x:v>45461</x:v>
      </x:c>
      <x:c r="C799" s="10" t="n">
        <x:v>6</x:v>
      </x:c>
      <x:c r="D799" s="10" t="str">
        <x:v>1800</x:v>
      </x:c>
      <x:c r="E799" s="12" t="n">
        <x:v>12000</x:v>
      </x:c>
      <x:c r="F799" s="12" t="n">
        <x:v>0</x:v>
      </x:c>
      <x:c r="G799" s="10" t="str">
        <x:v>Versicherungserstattung Transportschaden</x:v>
      </x:c>
      <x:c r="H799" s="10" t="str">
        <x:v>Sonstige Einzahlungen</x:v>
      </x:c>
    </x:row>
    <x:row r="800" ht="14" customHeight="1">
      <x:c r="A800" s="10" t="str">
        <x:v>2024-06-0319</x:v>
      </x:c>
      <x:c r="B800" s="11" t="n">
        <x:v>45461</x:v>
      </x:c>
      <x:c r="C800" s="10" t="n">
        <x:v>6</x:v>
      </x:c>
      <x:c r="D800" s="10" t="str">
        <x:v>4830</x:v>
      </x:c>
      <x:c r="E800" s="12" t="n">
        <x:v>0</x:v>
      </x:c>
      <x:c r="F800" s="12" t="n">
        <x:v>12000</x:v>
      </x:c>
      <x:c r="G800" s="10" t="str">
        <x:v>Versicherungserstattung Transportschaden</x:v>
      </x:c>
      <x:c r="H800" s="10" t="str">
        <x:v>Sonstige Einzahlungen</x:v>
      </x:c>
    </x:row>
    <x:row r="801" ht="14" customHeight="1">
      <x:c r="A801" s="10" t="str">
        <x:v>2024-06-0320</x:v>
      </x:c>
      <x:c r="B801" s="11" t="n">
        <x:v>45473</x:v>
      </x:c>
      <x:c r="C801" s="10" t="n">
        <x:v>6</x:v>
      </x:c>
      <x:c r="D801" s="10" t="str">
        <x:v>1800</x:v>
      </x:c>
      <x:c r="E801" s="12" t="n">
        <x:v>661382.2</x:v>
      </x:c>
      <x:c r="F801" s="12" t="n">
        <x:v>0</x:v>
      </x:c>
      <x:c r="G801" s="10" t="str">
        <x:v>Bankjournal Kundeneingänge brutto</x:v>
      </x:c>
      <x:c r="H801" s="10" t="str">
        <x:v>Kundenzahlungen</x:v>
      </x:c>
    </x:row>
    <x:row r="802" ht="14" customHeight="1">
      <x:c r="A802" s="10" t="str">
        <x:v>2024-06-0320</x:v>
      </x:c>
      <x:c r="B802" s="11" t="n">
        <x:v>45473</x:v>
      </x:c>
      <x:c r="C802" s="10" t="n">
        <x:v>6</x:v>
      </x:c>
      <x:c r="D802" s="10" t="str">
        <x:v>1200</x:v>
      </x:c>
      <x:c r="E802" s="12" t="n">
        <x:v>0</x:v>
      </x:c>
      <x:c r="F802" s="12" t="n">
        <x:v>661382.2</x:v>
      </x:c>
      <x:c r="G802" s="10" t="str">
        <x:v>Bankjournal Kundeneingänge brutto</x:v>
      </x:c>
      <x:c r="H802" s="10" t="str">
        <x:v>Kundenzahlungen</x:v>
      </x:c>
    </x:row>
    <x:row r="803" ht="14" customHeight="1">
      <x:c r="A803" s="10" t="str">
        <x:v>2024-06-0321</x:v>
      </x:c>
      <x:c r="B803" s="11" t="n">
        <x:v>45473</x:v>
      </x:c>
      <x:c r="C803" s="10" t="n">
        <x:v>6</x:v>
      </x:c>
      <x:c r="D803" s="10" t="str">
        <x:v>3300</x:v>
      </x:c>
      <x:c r="E803" s="12" t="n">
        <x:v>517746.14</x:v>
      </x:c>
      <x:c r="F803" s="12" t="n">
        <x:v>0</x:v>
      </x:c>
      <x:c r="G803" s="10" t="str">
        <x:v>Bankjournal Lieferantenzahlungen brutto</x:v>
      </x:c>
      <x:c r="H803" s="10" t="str">
        <x:v>Lieferantenzahlungen</x:v>
      </x:c>
    </x:row>
    <x:row r="804" ht="14" customHeight="1">
      <x:c r="A804" s="10" t="str">
        <x:v>2024-06-0321</x:v>
      </x:c>
      <x:c r="B804" s="11" t="n">
        <x:v>45473</x:v>
      </x:c>
      <x:c r="C804" s="10" t="n">
        <x:v>6</x:v>
      </x:c>
      <x:c r="D804" s="10" t="str">
        <x:v>1800</x:v>
      </x:c>
      <x:c r="E804" s="12" t="n">
        <x:v>0</x:v>
      </x:c>
      <x:c r="F804" s="12" t="n">
        <x:v>517746.14</x:v>
      </x:c>
      <x:c r="G804" s="10" t="str">
        <x:v>Bankjournal Lieferantenzahlungen brutto</x:v>
      </x:c>
      <x:c r="H804" s="10" t="str">
        <x:v>Lieferantenzahlungen</x:v>
      </x:c>
    </x:row>
    <x:row r="805" ht="14" customHeight="1">
      <x:c r="A805" s="10" t="str">
        <x:v>2024-06-0322</x:v>
      </x:c>
      <x:c r="B805" s="11" t="n">
        <x:v>45473</x:v>
      </x:c>
      <x:c r="C805" s="10" t="n">
        <x:v>6</x:v>
      </x:c>
      <x:c r="D805" s="10" t="str">
        <x:v>1401</x:v>
      </x:c>
      <x:c r="E805" s="12" t="n">
        <x:v>0</x:v>
      </x:c>
      <x:c r="F805" s="12" t="n">
        <x:v>10230.76</x:v>
      </x:c>
      <x:c r="G805" s="10" t="str">
        <x:v>Umsatzsteuer Monatsumbuchung 1401</x:v>
      </x:c>
      <x:c r="H805" s="10" t="str">
        <x:v>Steuerverrechnung</x:v>
      </x:c>
    </x:row>
    <x:row r="806" ht="14" customHeight="1">
      <x:c r="A806" s="10" t="str">
        <x:v>2024-06-0322</x:v>
      </x:c>
      <x:c r="B806" s="11" t="n">
        <x:v>45473</x:v>
      </x:c>
      <x:c r="C806" s="10" t="n">
        <x:v>6</x:v>
      </x:c>
      <x:c r="D806" s="10" t="str">
        <x:v>3820</x:v>
      </x:c>
      <x:c r="E806" s="12" t="n">
        <x:v>10230.76</x:v>
      </x:c>
      <x:c r="F806" s="12" t="n">
        <x:v>0</x:v>
      </x:c>
      <x:c r="G806" s="10" t="str">
        <x:v>Umsatzsteuer Monatsumbuchung 1401</x:v>
      </x:c>
      <x:c r="H806" s="10" t="str">
        <x:v>Steuerverrechnung</x:v>
      </x:c>
    </x:row>
    <x:row r="807" ht="14" customHeight="1">
      <x:c r="A807" s="10" t="str">
        <x:v>2024-06-0323</x:v>
      </x:c>
      <x:c r="B807" s="11" t="n">
        <x:v>45473</x:v>
      </x:c>
      <x:c r="C807" s="10" t="n">
        <x:v>6</x:v>
      </x:c>
      <x:c r="D807" s="10" t="str">
        <x:v>1406</x:v>
      </x:c>
      <x:c r="E807" s="12" t="n">
        <x:v>0</x:v>
      </x:c>
      <x:c r="F807" s="12" t="n">
        <x:v>18700.38</x:v>
      </x:c>
      <x:c r="G807" s="10" t="str">
        <x:v>Umsatzsteuer Monatsumbuchung 1406</x:v>
      </x:c>
      <x:c r="H807" s="10" t="str">
        <x:v>Steuerverrechnung</x:v>
      </x:c>
    </x:row>
    <x:row r="808" ht="14" customHeight="1">
      <x:c r="A808" s="10" t="str">
        <x:v>2024-06-0323</x:v>
      </x:c>
      <x:c r="B808" s="11" t="n">
        <x:v>45473</x:v>
      </x:c>
      <x:c r="C808" s="10" t="n">
        <x:v>6</x:v>
      </x:c>
      <x:c r="D808" s="10" t="str">
        <x:v>3820</x:v>
      </x:c>
      <x:c r="E808" s="12" t="n">
        <x:v>18700.38</x:v>
      </x:c>
      <x:c r="F808" s="12" t="n">
        <x:v>0</x:v>
      </x:c>
      <x:c r="G808" s="10" t="str">
        <x:v>Umsatzsteuer Monatsumbuchung 1406</x:v>
      </x:c>
      <x:c r="H808" s="10" t="str">
        <x:v>Steuerverrechnung</x:v>
      </x:c>
    </x:row>
    <x:row r="809" ht="14" customHeight="1">
      <x:c r="A809" s="10" t="str">
        <x:v>2024-06-0324</x:v>
      </x:c>
      <x:c r="B809" s="11" t="n">
        <x:v>45473</x:v>
      </x:c>
      <x:c r="C809" s="10" t="n">
        <x:v>6</x:v>
      </x:c>
      <x:c r="D809" s="10" t="str">
        <x:v>1404</x:v>
      </x:c>
      <x:c r="E809" s="12" t="n">
        <x:v>0</x:v>
      </x:c>
      <x:c r="F809" s="12" t="n">
        <x:v>5384.61</x:v>
      </x:c>
      <x:c r="G809" s="10" t="str">
        <x:v>Umsatzsteuer Monatsumbuchung 1404</x:v>
      </x:c>
      <x:c r="H809" s="10" t="str">
        <x:v>Steuerverrechnung</x:v>
      </x:c>
    </x:row>
    <x:row r="810" ht="14" customHeight="1">
      <x:c r="A810" s="10" t="str">
        <x:v>2024-06-0324</x:v>
      </x:c>
      <x:c r="B810" s="11" t="n">
        <x:v>45473</x:v>
      </x:c>
      <x:c r="C810" s="10" t="n">
        <x:v>6</x:v>
      </x:c>
      <x:c r="D810" s="10" t="str">
        <x:v>3820</x:v>
      </x:c>
      <x:c r="E810" s="12" t="n">
        <x:v>5384.61</x:v>
      </x:c>
      <x:c r="F810" s="12" t="n">
        <x:v>0</x:v>
      </x:c>
      <x:c r="G810" s="10" t="str">
        <x:v>Umsatzsteuer Monatsumbuchung 1404</x:v>
      </x:c>
      <x:c r="H810" s="10" t="str">
        <x:v>Steuerverrechnung</x:v>
      </x:c>
    </x:row>
    <x:row r="811" ht="14" customHeight="1">
      <x:c r="A811" s="10" t="str">
        <x:v>2024-06-0325</x:v>
      </x:c>
      <x:c r="B811" s="11" t="n">
        <x:v>45473</x:v>
      </x:c>
      <x:c r="C811" s="10" t="n">
        <x:v>6</x:v>
      </x:c>
      <x:c r="D811" s="10" t="str">
        <x:v>1409</x:v>
      </x:c>
      <x:c r="E811" s="12" t="n">
        <x:v>0</x:v>
      </x:c>
      <x:c r="F811" s="12" t="n">
        <x:v>3653.84</x:v>
      </x:c>
      <x:c r="G811" s="10" t="str">
        <x:v>Umsatzsteuer Monatsumbuchung 1409</x:v>
      </x:c>
      <x:c r="H811" s="10" t="str">
        <x:v>Steuerverrechnung</x:v>
      </x:c>
    </x:row>
    <x:row r="812" ht="14" customHeight="1">
      <x:c r="A812" s="10" t="str">
        <x:v>2024-06-0325</x:v>
      </x:c>
      <x:c r="B812" s="11" t="n">
        <x:v>45473</x:v>
      </x:c>
      <x:c r="C812" s="10" t="n">
        <x:v>6</x:v>
      </x:c>
      <x:c r="D812" s="10" t="str">
        <x:v>3820</x:v>
      </x:c>
      <x:c r="E812" s="12" t="n">
        <x:v>3653.84</x:v>
      </x:c>
      <x:c r="F812" s="12" t="n">
        <x:v>0</x:v>
      </x:c>
      <x:c r="G812" s="10" t="str">
        <x:v>Umsatzsteuer Monatsumbuchung 1409</x:v>
      </x:c>
      <x:c r="H812" s="10" t="str">
        <x:v>Steuerverrechnung</x:v>
      </x:c>
    </x:row>
    <x:row r="813" ht="14" customHeight="1">
      <x:c r="A813" s="10" t="str">
        <x:v>2024-06-0326</x:v>
      </x:c>
      <x:c r="B813" s="11" t="n">
        <x:v>45473</x:v>
      </x:c>
      <x:c r="C813" s="10" t="n">
        <x:v>6</x:v>
      </x:c>
      <x:c r="D813" s="10" t="str">
        <x:v>1433</x:v>
      </x:c>
      <x:c r="E813" s="12" t="n">
        <x:v>0</x:v>
      </x:c>
      <x:c r="F813" s="12" t="n">
        <x:v>9461.53</x:v>
      </x:c>
      <x:c r="G813" s="10" t="str">
        <x:v>Umsatzsteuer Monatsumbuchung 1433</x:v>
      </x:c>
      <x:c r="H813" s="10" t="str">
        <x:v>Steuerverrechnung</x:v>
      </x:c>
    </x:row>
    <x:row r="814" ht="14" customHeight="1">
      <x:c r="A814" s="10" t="str">
        <x:v>2024-06-0326</x:v>
      </x:c>
      <x:c r="B814" s="11" t="n">
        <x:v>45473</x:v>
      </x:c>
      <x:c r="C814" s="10" t="n">
        <x:v>6</x:v>
      </x:c>
      <x:c r="D814" s="10" t="str">
        <x:v>3820</x:v>
      </x:c>
      <x:c r="E814" s="12" t="n">
        <x:v>9461.53</x:v>
      </x:c>
      <x:c r="F814" s="12" t="n">
        <x:v>0</x:v>
      </x:c>
      <x:c r="G814" s="10" t="str">
        <x:v>Umsatzsteuer Monatsumbuchung 1433</x:v>
      </x:c>
      <x:c r="H814" s="10" t="str">
        <x:v>Steuerverrechnung</x:v>
      </x:c>
    </x:row>
    <x:row r="815" ht="14" customHeight="1">
      <x:c r="A815" s="10" t="str">
        <x:v>2024-06-0327</x:v>
      </x:c>
      <x:c r="B815" s="11" t="n">
        <x:v>45473</x:v>
      </x:c>
      <x:c r="C815" s="10" t="n">
        <x:v>6</x:v>
      </x:c>
      <x:c r="D815" s="10" t="str">
        <x:v>3801</x:v>
      </x:c>
      <x:c r="E815" s="12" t="n">
        <x:v>20374.2</x:v>
      </x:c>
      <x:c r="F815" s="12" t="n">
        <x:v>0</x:v>
      </x:c>
      <x:c r="G815" s="10" t="str">
        <x:v>Umsatzsteuer Monatsumbuchung 3801</x:v>
      </x:c>
      <x:c r="H815" s="10" t="str">
        <x:v>Steuerverrechnung</x:v>
      </x:c>
    </x:row>
    <x:row r="816" ht="14" customHeight="1">
      <x:c r="A816" s="10" t="str">
        <x:v>2024-06-0327</x:v>
      </x:c>
      <x:c r="B816" s="11" t="n">
        <x:v>45473</x:v>
      </x:c>
      <x:c r="C816" s="10" t="n">
        <x:v>6</x:v>
      </x:c>
      <x:c r="D816" s="10" t="str">
        <x:v>3820</x:v>
      </x:c>
      <x:c r="E816" s="12" t="n">
        <x:v>0</x:v>
      </x:c>
      <x:c r="F816" s="12" t="n">
        <x:v>20374.2</x:v>
      </x:c>
      <x:c r="G816" s="10" t="str">
        <x:v>Umsatzsteuer Monatsumbuchung 3801</x:v>
      </x:c>
      <x:c r="H816" s="10" t="str">
        <x:v>Steuerverrechnung</x:v>
      </x:c>
    </x:row>
    <x:row r="817" ht="14" customHeight="1">
      <x:c r="A817" s="10" t="str">
        <x:v>2024-06-0328</x:v>
      </x:c>
      <x:c r="B817" s="11" t="n">
        <x:v>45473</x:v>
      </x:c>
      <x:c r="C817" s="10" t="n">
        <x:v>6</x:v>
      </x:c>
      <x:c r="D817" s="10" t="str">
        <x:v>3806</x:v>
      </x:c>
      <x:c r="E817" s="12" t="n">
        <x:v>13908</x:v>
      </x:c>
      <x:c r="F817" s="12" t="n">
        <x:v>0</x:v>
      </x:c>
      <x:c r="G817" s="10" t="str">
        <x:v>Umsatzsteuer Monatsumbuchung 3806</x:v>
      </x:c>
      <x:c r="H817" s="10" t="str">
        <x:v>Steuerverrechnung</x:v>
      </x:c>
    </x:row>
    <x:row r="818" ht="14" customHeight="1">
      <x:c r="A818" s="10" t="str">
        <x:v>2024-06-0328</x:v>
      </x:c>
      <x:c r="B818" s="11" t="n">
        <x:v>45473</x:v>
      </x:c>
      <x:c r="C818" s="10" t="n">
        <x:v>6</x:v>
      </x:c>
      <x:c r="D818" s="10" t="str">
        <x:v>3820</x:v>
      </x:c>
      <x:c r="E818" s="12" t="n">
        <x:v>0</x:v>
      </x:c>
      <x:c r="F818" s="12" t="n">
        <x:v>13908</x:v>
      </x:c>
      <x:c r="G818" s="10" t="str">
        <x:v>Umsatzsteuer Monatsumbuchung 3806</x:v>
      </x:c>
      <x:c r="H818" s="10" t="str">
        <x:v>Steuerverrechnung</x:v>
      </x:c>
    </x:row>
    <x:row r="819" ht="14" customHeight="1">
      <x:c r="A819" s="10" t="str">
        <x:v>2024-06-0329</x:v>
      </x:c>
      <x:c r="B819" s="11" t="n">
        <x:v>45473</x:v>
      </x:c>
      <x:c r="C819" s="10" t="n">
        <x:v>6</x:v>
      </x:c>
      <x:c r="D819" s="10" t="str">
        <x:v>3804</x:v>
      </x:c>
      <x:c r="E819" s="12" t="n">
        <x:v>5384.61</x:v>
      </x:c>
      <x:c r="F819" s="12" t="n">
        <x:v>0</x:v>
      </x:c>
      <x:c r="G819" s="10" t="str">
        <x:v>Umsatzsteuer Monatsumbuchung 3804</x:v>
      </x:c>
      <x:c r="H819" s="10" t="str">
        <x:v>Steuerverrechnung</x:v>
      </x:c>
    </x:row>
    <x:row r="820" ht="14" customHeight="1">
      <x:c r="A820" s="10" t="str">
        <x:v>2024-06-0329</x:v>
      </x:c>
      <x:c r="B820" s="11" t="n">
        <x:v>45473</x:v>
      </x:c>
      <x:c r="C820" s="10" t="n">
        <x:v>6</x:v>
      </x:c>
      <x:c r="D820" s="10" t="str">
        <x:v>3820</x:v>
      </x:c>
      <x:c r="E820" s="12" t="n">
        <x:v>0</x:v>
      </x:c>
      <x:c r="F820" s="12" t="n">
        <x:v>5384.61</x:v>
      </x:c>
      <x:c r="G820" s="10" t="str">
        <x:v>Umsatzsteuer Monatsumbuchung 3804</x:v>
      </x:c>
      <x:c r="H820" s="10" t="str">
        <x:v>Steuerverrechnung</x:v>
      </x:c>
    </x:row>
    <x:row r="821" ht="14" customHeight="1">
      <x:c r="A821" s="10" t="str">
        <x:v>2024-06-0330</x:v>
      </x:c>
      <x:c r="B821" s="11" t="n">
        <x:v>45473</x:v>
      </x:c>
      <x:c r="C821" s="10" t="n">
        <x:v>6</x:v>
      </x:c>
      <x:c r="D821" s="10" t="str">
        <x:v>3809</x:v>
      </x:c>
      <x:c r="E821" s="12" t="n">
        <x:v>3653.84</x:v>
      </x:c>
      <x:c r="F821" s="12" t="n">
        <x:v>0</x:v>
      </x:c>
      <x:c r="G821" s="10" t="str">
        <x:v>Umsatzsteuer Monatsumbuchung 3809</x:v>
      </x:c>
      <x:c r="H821" s="10" t="str">
        <x:v>Steuerverrechnung</x:v>
      </x:c>
    </x:row>
    <x:row r="822" ht="14" customHeight="1">
      <x:c r="A822" s="10" t="str">
        <x:v>2024-06-0330</x:v>
      </x:c>
      <x:c r="B822" s="11" t="n">
        <x:v>45473</x:v>
      </x:c>
      <x:c r="C822" s="10" t="n">
        <x:v>6</x:v>
      </x:c>
      <x:c r="D822" s="10" t="str">
        <x:v>3820</x:v>
      </x:c>
      <x:c r="E822" s="12" t="n">
        <x:v>0</x:v>
      </x:c>
      <x:c r="F822" s="12" t="n">
        <x:v>3653.84</x:v>
      </x:c>
      <x:c r="G822" s="10" t="str">
        <x:v>Umsatzsteuer Monatsumbuchung 3809</x:v>
      </x:c>
      <x:c r="H822" s="10" t="str">
        <x:v>Steuerverrechnung</x:v>
      </x:c>
    </x:row>
    <x:row r="823" ht="14" customHeight="1">
      <x:c r="A823" s="10" t="str">
        <x:v>2024-07-0331</x:v>
      </x:c>
      <x:c r="B823" s="11" t="n">
        <x:v>45483</x:v>
      </x:c>
      <x:c r="C823" s="10" t="n">
        <x:v>7</x:v>
      </x:c>
      <x:c r="D823" s="10" t="str">
        <x:v>1800</x:v>
      </x:c>
      <x:c r="E823" s="12" t="n">
        <x:v>4110.47</x:v>
      </x:c>
      <x:c r="F823" s="12" t="n">
        <x:v>0</x:v>
      </x:c>
      <x:c r="G823" s="10" t="str">
        <x:v>Ausgleich Umsatzsteuer Vorperiode</x:v>
      </x:c>
      <x:c r="H823" s="10" t="str">
        <x:v>Umsatzsteuer</x:v>
      </x:c>
    </x:row>
    <x:row r="824" ht="14" customHeight="1">
      <x:c r="A824" s="10" t="str">
        <x:v>2024-07-0331</x:v>
      </x:c>
      <x:c r="B824" s="11" t="n">
        <x:v>45483</x:v>
      </x:c>
      <x:c r="C824" s="10" t="n">
        <x:v>7</x:v>
      </x:c>
      <x:c r="D824" s="10" t="str">
        <x:v>3820</x:v>
      </x:c>
      <x:c r="E824" s="12" t="n">
        <x:v>0</x:v>
      </x:c>
      <x:c r="F824" s="12" t="n">
        <x:v>4110.47</x:v>
      </x:c>
      <x:c r="G824" s="10" t="str">
        <x:v>Ausgleich Umsatzsteuer Vorperiode</x:v>
      </x:c>
      <x:c r="H824" s="10" t="str">
        <x:v>Umsatzsteuer</x:v>
      </x:c>
    </x:row>
    <x:row r="825" ht="14" customHeight="1">
      <x:c r="A825" s="10" t="str">
        <x:v>2024-07-0332</x:v>
      </x:c>
      <x:c r="B825" s="11" t="n">
        <x:v>45504</x:v>
      </x:c>
      <x:c r="C825" s="10" t="n">
        <x:v>7</x:v>
      </x:c>
      <x:c r="D825" s="10" t="str">
        <x:v>1200</x:v>
      </x:c>
      <x:c r="E825" s="12" t="n">
        <x:v>323568</x:v>
      </x:c>
      <x:c r="F825" s="12" t="n">
        <x:v>0</x:v>
      </x:c>
      <x:c r="G825" s="10" t="str">
        <x:v>Fakturajournal Inland 7 Prozent</x:v>
      </x:c>
      <x:c r="H825" s="10" t="str">
        <x:v>Umsatz</x:v>
      </x:c>
    </x:row>
    <x:row r="826" ht="14" customHeight="1">
      <x:c r="A826" s="10" t="str">
        <x:v>2024-07-0332</x:v>
      </x:c>
      <x:c r="B826" s="11" t="n">
        <x:v>45504</x:v>
      </x:c>
      <x:c r="C826" s="10" t="n">
        <x:v>7</x:v>
      </x:c>
      <x:c r="D826" s="10" t="str">
        <x:v>4300</x:v>
      </x:c>
      <x:c r="E826" s="12" t="n">
        <x:v>0</x:v>
      </x:c>
      <x:c r="F826" s="12" t="n">
        <x:v>302400</x:v>
      </x:c>
      <x:c r="G826" s="10" t="str">
        <x:v>Fakturajournal Inland 7 Prozent</x:v>
      </x:c>
      <x:c r="H826" s="10" t="str">
        <x:v>Umsatz</x:v>
      </x:c>
    </x:row>
    <x:row r="827" ht="14" customHeight="1">
      <x:c r="A827" s="10" t="str">
        <x:v>2024-07-0332</x:v>
      </x:c>
      <x:c r="B827" s="11" t="n">
        <x:v>45504</x:v>
      </x:c>
      <x:c r="C827" s="10" t="n">
        <x:v>7</x:v>
      </x:c>
      <x:c r="D827" s="10" t="str">
        <x:v>3801</x:v>
      </x:c>
      <x:c r="E827" s="12" t="n">
        <x:v>0</x:v>
      </x:c>
      <x:c r="F827" s="12" t="n">
        <x:v>21168</x:v>
      </x:c>
      <x:c r="G827" s="10" t="str">
        <x:v>Fakturajournal Inland 7 Prozent</x:v>
      </x:c>
      <x:c r="H827" s="10" t="str">
        <x:v>Umsatz</x:v>
      </x:c>
    </x:row>
    <x:row r="828" ht="14" customHeight="1">
      <x:c r="A828" s="10" t="str">
        <x:v>2024-07-0333</x:v>
      </x:c>
      <x:c r="B828" s="11" t="n">
        <x:v>45504</x:v>
      </x:c>
      <x:c r="C828" s="10" t="n">
        <x:v>7</x:v>
      </x:c>
      <x:c r="D828" s="10" t="str">
        <x:v>1200</x:v>
      </x:c>
      <x:c r="E828" s="12" t="n">
        <x:v>89964</x:v>
      </x:c>
      <x:c r="F828" s="12" t="n">
        <x:v>0</x:v>
      </x:c>
      <x:c r="G828" s="10" t="str">
        <x:v>Fakturajournal Inland 19 Prozent</x:v>
      </x:c>
      <x:c r="H828" s="10" t="str">
        <x:v>Umsatz</x:v>
      </x:c>
    </x:row>
    <x:row r="829" ht="14" customHeight="1">
      <x:c r="A829" s="10" t="str">
        <x:v>2024-07-0333</x:v>
      </x:c>
      <x:c r="B829" s="11" t="n">
        <x:v>45504</x:v>
      </x:c>
      <x:c r="C829" s="10" t="n">
        <x:v>7</x:v>
      </x:c>
      <x:c r="D829" s="10" t="str">
        <x:v>4400</x:v>
      </x:c>
      <x:c r="E829" s="12" t="n">
        <x:v>0</x:v>
      </x:c>
      <x:c r="F829" s="12" t="n">
        <x:v>75600</x:v>
      </x:c>
      <x:c r="G829" s="10" t="str">
        <x:v>Fakturajournal Inland 19 Prozent</x:v>
      </x:c>
      <x:c r="H829" s="10" t="str">
        <x:v>Umsatz</x:v>
      </x:c>
    </x:row>
    <x:row r="830" ht="14" customHeight="1">
      <x:c r="A830" s="10" t="str">
        <x:v>2024-07-0333</x:v>
      </x:c>
      <x:c r="B830" s="11" t="n">
        <x:v>45504</x:v>
      </x:c>
      <x:c r="C830" s="10" t="n">
        <x:v>7</x:v>
      </x:c>
      <x:c r="D830" s="10" t="str">
        <x:v>3806</x:v>
      </x:c>
      <x:c r="E830" s="12" t="n">
        <x:v>0</x:v>
      </x:c>
      <x:c r="F830" s="12" t="n">
        <x:v>14364</x:v>
      </x:c>
      <x:c r="G830" s="10" t="str">
        <x:v>Fakturajournal Inland 19 Prozent</x:v>
      </x:c>
      <x:c r="H830" s="10" t="str">
        <x:v>Umsatz</x:v>
      </x:c>
    </x:row>
    <x:row r="831" ht="14" customHeight="1">
      <x:c r="A831" s="10" t="str">
        <x:v>2024-07-0334</x:v>
      </x:c>
      <x:c r="B831" s="11" t="n">
        <x:v>45504</x:v>
      </x:c>
      <x:c r="C831" s="10" t="n">
        <x:v>7</x:v>
      </x:c>
      <x:c r="D831" s="10" t="str">
        <x:v>1200</x:v>
      </x:c>
      <x:c r="E831" s="12" t="n">
        <x:v>126000</x:v>
      </x:c>
      <x:c r="F831" s="12" t="n">
        <x:v>0</x:v>
      </x:c>
      <x:c r="G831" s="10" t="str">
        <x:v>Fakturajournal EU Warenlieferungen</x:v>
      </x:c>
      <x:c r="H831" s="10" t="str">
        <x:v>Umsatz</x:v>
      </x:c>
    </x:row>
    <x:row r="832" ht="14" customHeight="1">
      <x:c r="A832" s="10" t="str">
        <x:v>2024-07-0334</x:v>
      </x:c>
      <x:c r="B832" s="11" t="n">
        <x:v>45504</x:v>
      </x:c>
      <x:c r="C832" s="10" t="n">
        <x:v>7</x:v>
      </x:c>
      <x:c r="D832" s="10" t="str">
        <x:v>4125</x:v>
      </x:c>
      <x:c r="E832" s="12" t="n">
        <x:v>0</x:v>
      </x:c>
      <x:c r="F832" s="12" t="n">
        <x:v>126000</x:v>
      </x:c>
      <x:c r="G832" s="10" t="str">
        <x:v>Fakturajournal EU Warenlieferungen</x:v>
      </x:c>
      <x:c r="H832" s="10" t="str">
        <x:v>Umsatz</x:v>
      </x:c>
    </x:row>
    <x:row r="833" ht="14" customHeight="1">
      <x:c r="A833" s="10" t="str">
        <x:v>2024-07-0335</x:v>
      </x:c>
      <x:c r="B833" s="11" t="n">
        <x:v>45504</x:v>
      </x:c>
      <x:c r="C833" s="10" t="n">
        <x:v>7</x:v>
      </x:c>
      <x:c r="D833" s="10" t="str">
        <x:v>1200</x:v>
      </x:c>
      <x:c r="E833" s="12" t="n">
        <x:v>126000</x:v>
      </x:c>
      <x:c r="F833" s="12" t="n">
        <x:v>0</x:v>
      </x:c>
      <x:c r="G833" s="10" t="str">
        <x:v>Fakturajournal Drittland Warenlieferungen</x:v>
      </x:c>
      <x:c r="H833" s="10" t="str">
        <x:v>Umsatz</x:v>
      </x:c>
    </x:row>
    <x:row r="834" ht="14" customHeight="1">
      <x:c r="A834" s="10" t="str">
        <x:v>2024-07-0335</x:v>
      </x:c>
      <x:c r="B834" s="11" t="n">
        <x:v>45504</x:v>
      </x:c>
      <x:c r="C834" s="10" t="n">
        <x:v>7</x:v>
      </x:c>
      <x:c r="D834" s="10" t="str">
        <x:v>4120</x:v>
      </x:c>
      <x:c r="E834" s="12" t="n">
        <x:v>0</x:v>
      </x:c>
      <x:c r="F834" s="12" t="n">
        <x:v>126000</x:v>
      </x:c>
      <x:c r="G834" s="10" t="str">
        <x:v>Fakturajournal Drittland Warenlieferungen</x:v>
      </x:c>
      <x:c r="H834" s="10" t="str">
        <x:v>Umsatz</x:v>
      </x:c>
    </x:row>
    <x:row r="835" ht="14" customHeight="1">
      <x:c r="A835" s="10" t="str">
        <x:v>2024-07-0336</x:v>
      </x:c>
      <x:c r="B835" s="11" t="n">
        <x:v>45504</x:v>
      </x:c>
      <x:c r="C835" s="10" t="n">
        <x:v>7</x:v>
      </x:c>
      <x:c r="D835" s="10" t="str">
        <x:v>4730</x:v>
      </x:c>
      <x:c r="E835" s="12" t="n">
        <x:v>1830</x:v>
      </x:c>
      <x:c r="F835" s="12" t="n">
        <x:v>0</x:v>
      </x:c>
      <x:c r="G835" s="10" t="str">
        <x:v>Gutschriftjournal Retouren und Mengenrabatte</x:v>
      </x:c>
      <x:c r="H835" s="10" t="str">
        <x:v>Gutschriften</x:v>
      </x:c>
    </x:row>
    <x:row r="836" ht="14" customHeight="1">
      <x:c r="A836" s="10" t="str">
        <x:v>2024-07-0336</x:v>
      </x:c>
      <x:c r="B836" s="11" t="n">
        <x:v>45504</x:v>
      </x:c>
      <x:c r="C836" s="10" t="n">
        <x:v>7</x:v>
      </x:c>
      <x:c r="D836" s="10" t="str">
        <x:v>3801</x:v>
      </x:c>
      <x:c r="E836" s="12" t="n">
        <x:v>128.1</x:v>
      </x:c>
      <x:c r="F836" s="12" t="n">
        <x:v>0</x:v>
      </x:c>
      <x:c r="G836" s="10" t="str">
        <x:v>Gutschriftjournal Retouren und Mengenrabatte</x:v>
      </x:c>
      <x:c r="H836" s="10" t="str">
        <x:v>Gutschriften</x:v>
      </x:c>
    </x:row>
    <x:row r="837" ht="14" customHeight="1">
      <x:c r="A837" s="10" t="str">
        <x:v>2024-07-0336</x:v>
      </x:c>
      <x:c r="B837" s="11" t="n">
        <x:v>45504</x:v>
      </x:c>
      <x:c r="C837" s="10" t="n">
        <x:v>7</x:v>
      </x:c>
      <x:c r="D837" s="10" t="str">
        <x:v>1200</x:v>
      </x:c>
      <x:c r="E837" s="12" t="n">
        <x:v>0</x:v>
      </x:c>
      <x:c r="F837" s="12" t="n">
        <x:v>1958.1</x:v>
      </x:c>
      <x:c r="G837" s="10" t="str">
        <x:v>Gutschriftjournal Retouren und Mengenrabatte</x:v>
      </x:c>
      <x:c r="H837" s="10" t="str">
        <x:v>Gutschriften</x:v>
      </x:c>
    </x:row>
    <x:row r="838" ht="14" customHeight="1">
      <x:c r="A838" s="10" t="str">
        <x:v>2024-07-0337</x:v>
      </x:c>
      <x:c r="B838" s="11" t="n">
        <x:v>45504</x:v>
      </x:c>
      <x:c r="C838" s="10" t="n">
        <x:v>7</x:v>
      </x:c>
      <x:c r="D838" s="10" t="str">
        <x:v>4735</x:v>
      </x:c>
      <x:c r="E838" s="12" t="n">
        <x:v>1220</x:v>
      </x:c>
      <x:c r="F838" s="12" t="n">
        <x:v>0</x:v>
      </x:c>
      <x:c r="G838" s="10" t="str">
        <x:v>Gutschriftjournal Retouren und Mengenrabatte</x:v>
      </x:c>
      <x:c r="H838" s="10" t="str">
        <x:v>Gutschriften</x:v>
      </x:c>
    </x:row>
    <x:row r="839" ht="14" customHeight="1">
      <x:c r="A839" s="10" t="str">
        <x:v>2024-07-0337</x:v>
      </x:c>
      <x:c r="B839" s="11" t="n">
        <x:v>45504</x:v>
      </x:c>
      <x:c r="C839" s="10" t="n">
        <x:v>7</x:v>
      </x:c>
      <x:c r="D839" s="10" t="str">
        <x:v>1200</x:v>
      </x:c>
      <x:c r="E839" s="12" t="n">
        <x:v>0</x:v>
      </x:c>
      <x:c r="F839" s="12" t="n">
        <x:v>1220</x:v>
      </x:c>
      <x:c r="G839" s="10" t="str">
        <x:v>Gutschriftjournal Retouren und Mengenrabatte</x:v>
      </x:c>
      <x:c r="H839" s="10" t="str">
        <x:v>Gutschriften</x:v>
      </x:c>
    </x:row>
    <x:row r="840" ht="14" customHeight="1">
      <x:c r="A840" s="10" t="str">
        <x:v>2024-07-0338</x:v>
      </x:c>
      <x:c r="B840" s="11" t="n">
        <x:v>45504</x:v>
      </x:c>
      <x:c r="C840" s="10" t="n">
        <x:v>7</x:v>
      </x:c>
      <x:c r="D840" s="10" t="str">
        <x:v>1140</x:v>
      </x:c>
      <x:c r="E840" s="12" t="n">
        <x:v>162456.65</x:v>
      </x:c>
      <x:c r="F840" s="12" t="n">
        <x:v>0</x:v>
      </x:c>
      <x:c r="G840" s="10" t="str">
        <x:v>Wareneingang Inland 7 Prozent</x:v>
      </x:c>
      <x:c r="H840" s="10" t="str">
        <x:v>Einkauf</x:v>
      </x:c>
    </x:row>
    <x:row r="841" ht="14" customHeight="1">
      <x:c r="A841" s="10" t="str">
        <x:v>2024-07-0338</x:v>
      </x:c>
      <x:c r="B841" s="11" t="n">
        <x:v>45504</x:v>
      </x:c>
      <x:c r="C841" s="10" t="n">
        <x:v>7</x:v>
      </x:c>
      <x:c r="D841" s="10" t="str">
        <x:v>1401</x:v>
      </x:c>
      <x:c r="E841" s="12" t="n">
        <x:v>11371.97</x:v>
      </x:c>
      <x:c r="F841" s="12" t="n">
        <x:v>0</x:v>
      </x:c>
      <x:c r="G841" s="10" t="str">
        <x:v>Wareneingang Inland 7 Prozent</x:v>
      </x:c>
      <x:c r="H841" s="10" t="str">
        <x:v>Einkauf</x:v>
      </x:c>
    </x:row>
    <x:row r="842" ht="14" customHeight="1">
      <x:c r="A842" s="10" t="str">
        <x:v>2024-07-0338</x:v>
      </x:c>
      <x:c r="B842" s="11" t="n">
        <x:v>45504</x:v>
      </x:c>
      <x:c r="C842" s="10" t="n">
        <x:v>7</x:v>
      </x:c>
      <x:c r="D842" s="10" t="str">
        <x:v>3300</x:v>
      </x:c>
      <x:c r="E842" s="12" t="n">
        <x:v>0</x:v>
      </x:c>
      <x:c r="F842" s="12" t="n">
        <x:v>173828.62</x:v>
      </x:c>
      <x:c r="G842" s="10" t="str">
        <x:v>Wareneingang Inland 7 Prozent</x:v>
      </x:c>
      <x:c r="H842" s="10" t="str">
        <x:v>Einkauf</x:v>
      </x:c>
    </x:row>
    <x:row r="843" ht="14" customHeight="1">
      <x:c r="A843" s="10" t="str">
        <x:v>2024-07-0339</x:v>
      </x:c>
      <x:c r="B843" s="11" t="n">
        <x:v>45504</x:v>
      </x:c>
      <x:c r="C843" s="10" t="n">
        <x:v>7</x:v>
      </x:c>
      <x:c r="D843" s="10" t="str">
        <x:v>1140</x:v>
      </x:c>
      <x:c r="E843" s="12" t="n">
        <x:v>29926.23</x:v>
      </x:c>
      <x:c r="F843" s="12" t="n">
        <x:v>0</x:v>
      </x:c>
      <x:c r="G843" s="10" t="str">
        <x:v>Wareneingang Inland 19 Prozent</x:v>
      </x:c>
      <x:c r="H843" s="10" t="str">
        <x:v>Einkauf</x:v>
      </x:c>
    </x:row>
    <x:row r="844" ht="14" customHeight="1">
      <x:c r="A844" s="10" t="str">
        <x:v>2024-07-0339</x:v>
      </x:c>
      <x:c r="B844" s="11" t="n">
        <x:v>45504</x:v>
      </x:c>
      <x:c r="C844" s="10" t="n">
        <x:v>7</x:v>
      </x:c>
      <x:c r="D844" s="10" t="str">
        <x:v>1406</x:v>
      </x:c>
      <x:c r="E844" s="12" t="n">
        <x:v>5685.98</x:v>
      </x:c>
      <x:c r="F844" s="12" t="n">
        <x:v>0</x:v>
      </x:c>
      <x:c r="G844" s="10" t="str">
        <x:v>Wareneingang Inland 19 Prozent</x:v>
      </x:c>
      <x:c r="H844" s="10" t="str">
        <x:v>Einkauf</x:v>
      </x:c>
    </x:row>
    <x:row r="845" ht="14" customHeight="1">
      <x:c r="A845" s="10" t="str">
        <x:v>2024-07-0339</x:v>
      </x:c>
      <x:c r="B845" s="11" t="n">
        <x:v>45504</x:v>
      </x:c>
      <x:c r="C845" s="10" t="n">
        <x:v>7</x:v>
      </x:c>
      <x:c r="D845" s="10" t="str">
        <x:v>3300</x:v>
      </x:c>
      <x:c r="E845" s="12" t="n">
        <x:v>0</x:v>
      </x:c>
      <x:c r="F845" s="12" t="n">
        <x:v>35612.21</x:v>
      </x:c>
      <x:c r="G845" s="10" t="str">
        <x:v>Wareneingang Inland 19 Prozent</x:v>
      </x:c>
      <x:c r="H845" s="10" t="str">
        <x:v>Einkauf</x:v>
      </x:c>
    </x:row>
    <x:row r="846" ht="14" customHeight="1">
      <x:c r="A846" s="10" t="str">
        <x:v>2024-07-0340</x:v>
      </x:c>
      <x:c r="B846" s="11" t="n">
        <x:v>45504</x:v>
      </x:c>
      <x:c r="C846" s="10" t="n">
        <x:v>7</x:v>
      </x:c>
      <x:c r="D846" s="10" t="str">
        <x:v>1140</x:v>
      </x:c>
      <x:c r="E846" s="12" t="n">
        <x:v>85503.5</x:v>
      </x:c>
      <x:c r="F846" s="12" t="n">
        <x:v>0</x:v>
      </x:c>
      <x:c r="G846" s="10" t="str">
        <x:v>Wareneingang EU 7 Prozent</x:v>
      </x:c>
      <x:c r="H846" s="10" t="str">
        <x:v>Einkauf</x:v>
      </x:c>
    </x:row>
    <x:row r="847" ht="14" customHeight="1">
      <x:c r="A847" s="10" t="str">
        <x:v>2024-07-0340</x:v>
      </x:c>
      <x:c r="B847" s="11" t="n">
        <x:v>45504</x:v>
      </x:c>
      <x:c r="C847" s="10" t="n">
        <x:v>7</x:v>
      </x:c>
      <x:c r="D847" s="10" t="str">
        <x:v>3300</x:v>
      </x:c>
      <x:c r="E847" s="12" t="n">
        <x:v>0</x:v>
      </x:c>
      <x:c r="F847" s="12" t="n">
        <x:v>85503.5</x:v>
      </x:c>
      <x:c r="G847" s="10" t="str">
        <x:v>Wareneingang EU 7 Prozent</x:v>
      </x:c>
      <x:c r="H847" s="10" t="str">
        <x:v>Einkauf</x:v>
      </x:c>
    </x:row>
    <x:row r="848" ht="14" customHeight="1">
      <x:c r="A848" s="10" t="str">
        <x:v>2024-07-0340</x:v>
      </x:c>
      <x:c r="B848" s="11" t="n">
        <x:v>45504</x:v>
      </x:c>
      <x:c r="C848" s="10" t="n">
        <x:v>7</x:v>
      </x:c>
      <x:c r="D848" s="10" t="str">
        <x:v>1404</x:v>
      </x:c>
      <x:c r="E848" s="12" t="n">
        <x:v>5985.24</x:v>
      </x:c>
      <x:c r="F848" s="12" t="n">
        <x:v>0</x:v>
      </x:c>
      <x:c r="G848" s="10" t="str">
        <x:v>Wareneingang EU 7 Prozent</x:v>
      </x:c>
      <x:c r="H848" s="10" t="str">
        <x:v>Einkauf</x:v>
      </x:c>
    </x:row>
    <x:row r="849" ht="14" customHeight="1">
      <x:c r="A849" s="10" t="str">
        <x:v>2024-07-0340</x:v>
      </x:c>
      <x:c r="B849" s="11" t="n">
        <x:v>45504</x:v>
      </x:c>
      <x:c r="C849" s="10" t="n">
        <x:v>7</x:v>
      </x:c>
      <x:c r="D849" s="10" t="str">
        <x:v>3804</x:v>
      </x:c>
      <x:c r="E849" s="12" t="n">
        <x:v>0</x:v>
      </x:c>
      <x:c r="F849" s="12" t="n">
        <x:v>5985.24</x:v>
      </x:c>
      <x:c r="G849" s="10" t="str">
        <x:v>Wareneingang EU 7 Prozent</x:v>
      </x:c>
      <x:c r="H849" s="10" t="str">
        <x:v>Einkauf</x:v>
      </x:c>
    </x:row>
    <x:row r="850" ht="14" customHeight="1">
      <x:c r="A850" s="10" t="str">
        <x:v>2024-07-0341</x:v>
      </x:c>
      <x:c r="B850" s="11" t="n">
        <x:v>45504</x:v>
      </x:c>
      <x:c r="C850" s="10" t="n">
        <x:v>7</x:v>
      </x:c>
      <x:c r="D850" s="10" t="str">
        <x:v>1140</x:v>
      </x:c>
      <x:c r="E850" s="12" t="n">
        <x:v>21375.88</x:v>
      </x:c>
      <x:c r="F850" s="12" t="n">
        <x:v>0</x:v>
      </x:c>
      <x:c r="G850" s="10" t="str">
        <x:v>Wareneingang EU 19 Prozent</x:v>
      </x:c>
      <x:c r="H850" s="10" t="str">
        <x:v>Einkauf</x:v>
      </x:c>
    </x:row>
    <x:row r="851" ht="14" customHeight="1">
      <x:c r="A851" s="10" t="str">
        <x:v>2024-07-0341</x:v>
      </x:c>
      <x:c r="B851" s="11" t="n">
        <x:v>45504</x:v>
      </x:c>
      <x:c r="C851" s="10" t="n">
        <x:v>7</x:v>
      </x:c>
      <x:c r="D851" s="10" t="str">
        <x:v>3300</x:v>
      </x:c>
      <x:c r="E851" s="12" t="n">
        <x:v>0</x:v>
      </x:c>
      <x:c r="F851" s="12" t="n">
        <x:v>21375.88</x:v>
      </x:c>
      <x:c r="G851" s="10" t="str">
        <x:v>Wareneingang EU 19 Prozent</x:v>
      </x:c>
      <x:c r="H851" s="10" t="str">
        <x:v>Einkauf</x:v>
      </x:c>
    </x:row>
    <x:row r="852" ht="14" customHeight="1">
      <x:c r="A852" s="10" t="str">
        <x:v>2024-07-0341</x:v>
      </x:c>
      <x:c r="B852" s="11" t="n">
        <x:v>45504</x:v>
      </x:c>
      <x:c r="C852" s="10" t="n">
        <x:v>7</x:v>
      </x:c>
      <x:c r="D852" s="10" t="str">
        <x:v>1409</x:v>
      </x:c>
      <x:c r="E852" s="12" t="n">
        <x:v>4061.42</x:v>
      </x:c>
      <x:c r="F852" s="12" t="n">
        <x:v>0</x:v>
      </x:c>
      <x:c r="G852" s="10" t="str">
        <x:v>Wareneingang EU 19 Prozent</x:v>
      </x:c>
      <x:c r="H852" s="10" t="str">
        <x:v>Einkauf</x:v>
      </x:c>
    </x:row>
    <x:row r="853" ht="14" customHeight="1">
      <x:c r="A853" s="10" t="str">
        <x:v>2024-07-0341</x:v>
      </x:c>
      <x:c r="B853" s="11" t="n">
        <x:v>45504</x:v>
      </x:c>
      <x:c r="C853" s="10" t="n">
        <x:v>7</x:v>
      </x:c>
      <x:c r="D853" s="10" t="str">
        <x:v>3809</x:v>
      </x:c>
      <x:c r="E853" s="12" t="n">
        <x:v>0</x:v>
      </x:c>
      <x:c r="F853" s="12" t="n">
        <x:v>4061.42</x:v>
      </x:c>
      <x:c r="G853" s="10" t="str">
        <x:v>Wareneingang EU 19 Prozent</x:v>
      </x:c>
      <x:c r="H853" s="10" t="str">
        <x:v>Einkauf</x:v>
      </x:c>
    </x:row>
    <x:row r="854" ht="14" customHeight="1">
      <x:c r="A854" s="10" t="str">
        <x:v>2024-07-0342</x:v>
      </x:c>
      <x:c r="B854" s="11" t="n">
        <x:v>45504</x:v>
      </x:c>
      <x:c r="C854" s="10" t="n">
        <x:v>7</x:v>
      </x:c>
      <x:c r="D854" s="10" t="str">
        <x:v>1140</x:v>
      </x:c>
      <x:c r="E854" s="12" t="n">
        <x:v>128255.24</x:v>
      </x:c>
      <x:c r="F854" s="12" t="n">
        <x:v>0</x:v>
      </x:c>
      <x:c r="G854" s="10" t="str">
        <x:v>Wareneingang Drittland</x:v>
      </x:c>
      <x:c r="H854" s="10" t="str">
        <x:v>Einkauf</x:v>
      </x:c>
    </x:row>
    <x:row r="855" ht="14" customHeight="1">
      <x:c r="A855" s="10" t="str">
        <x:v>2024-07-0342</x:v>
      </x:c>
      <x:c r="B855" s="11" t="n">
        <x:v>45504</x:v>
      </x:c>
      <x:c r="C855" s="10" t="n">
        <x:v>7</x:v>
      </x:c>
      <x:c r="D855" s="10" t="str">
        <x:v>3300</x:v>
      </x:c>
      <x:c r="E855" s="12" t="n">
        <x:v>0</x:v>
      </x:c>
      <x:c r="F855" s="12" t="n">
        <x:v>128255.24</x:v>
      </x:c>
      <x:c r="G855" s="10" t="str">
        <x:v>Wareneingang Drittland</x:v>
      </x:c>
      <x:c r="H855" s="10" t="str">
        <x:v>Einkauf</x:v>
      </x:c>
    </x:row>
    <x:row r="856" ht="14" customHeight="1">
      <x:c r="A856" s="10" t="str">
        <x:v>2024-07-0343</x:v>
      </x:c>
      <x:c r="B856" s="11" t="n">
        <x:v>45495</x:v>
      </x:c>
      <x:c r="C856" s="10" t="n">
        <x:v>7</x:v>
      </x:c>
      <x:c r="D856" s="10" t="str">
        <x:v>1433</x:v>
      </x:c>
      <x:c r="E856" s="12" t="n">
        <x:v>10516.93</x:v>
      </x:c>
      <x:c r="F856" s="12" t="n">
        <x:v>0</x:v>
      </x:c>
      <x:c r="G856" s="10" t="str">
        <x:v>Einfuhrabgabenjournal bezahlte EUSt</x:v>
      </x:c>
      <x:c r="H856" s="10" t="str">
        <x:v>Einfuhrumsatzsteuer</x:v>
      </x:c>
    </x:row>
    <x:row r="857" ht="14" customHeight="1">
      <x:c r="A857" s="10" t="str">
        <x:v>2024-07-0343</x:v>
      </x:c>
      <x:c r="B857" s="11" t="n">
        <x:v>45495</x:v>
      </x:c>
      <x:c r="C857" s="10" t="n">
        <x:v>7</x:v>
      </x:c>
      <x:c r="D857" s="10" t="str">
        <x:v>1800</x:v>
      </x:c>
      <x:c r="E857" s="12" t="n">
        <x:v>0</x:v>
      </x:c>
      <x:c r="F857" s="12" t="n">
        <x:v>10516.93</x:v>
      </x:c>
      <x:c r="G857" s="10" t="str">
        <x:v>Einfuhrabgabenjournal bezahlte EUSt</x:v>
      </x:c>
      <x:c r="H857" s="10" t="str">
        <x:v>Einfuhrumsatzsteuer</x:v>
      </x:c>
    </x:row>
    <x:row r="858" ht="14" customHeight="1">
      <x:c r="A858" s="10" t="str">
        <x:v>2024-07-0344</x:v>
      </x:c>
      <x:c r="B858" s="11" t="n">
        <x:v>45504</x:v>
      </x:c>
      <x:c r="C858" s="10" t="n">
        <x:v>7</x:v>
      </x:c>
      <x:c r="D858" s="10" t="str">
        <x:v>5000</x:v>
      </x:c>
      <x:c r="E858" s="12" t="n">
        <x:v>407517.5</x:v>
      </x:c>
      <x:c r="F858" s="12" t="n">
        <x:v>0</x:v>
      </x:c>
      <x:c r="G858" s="10" t="str">
        <x:v>Warenabgänge zu Einstandswerten</x:v>
      </x:c>
      <x:c r="H858" s="10" t="str">
        <x:v>Verbrauch</x:v>
      </x:c>
    </x:row>
    <x:row r="859" ht="14" customHeight="1">
      <x:c r="A859" s="10" t="str">
        <x:v>2024-07-0344</x:v>
      </x:c>
      <x:c r="B859" s="11" t="n">
        <x:v>45504</x:v>
      </x:c>
      <x:c r="C859" s="10" t="n">
        <x:v>7</x:v>
      </x:c>
      <x:c r="D859" s="10" t="str">
        <x:v>1140</x:v>
      </x:c>
      <x:c r="E859" s="12" t="n">
        <x:v>0</x:v>
      </x:c>
      <x:c r="F859" s="12" t="n">
        <x:v>407517.5</x:v>
      </x:c>
      <x:c r="G859" s="10" t="str">
        <x:v>Warenabgänge zu Einstandswerten</x:v>
      </x:c>
      <x:c r="H859" s="10" t="str">
        <x:v>Verbrauch</x:v>
      </x:c>
    </x:row>
    <x:row r="860" ht="14" customHeight="1">
      <x:c r="A860" s="10" t="str">
        <x:v>2024-07-0345</x:v>
      </x:c>
      <x:c r="B860" s="11" t="n">
        <x:v>45504</x:v>
      </x:c>
      <x:c r="C860" s="10" t="n">
        <x:v>7</x:v>
      </x:c>
      <x:c r="D860" s="10" t="str">
        <x:v>6020</x:v>
      </x:c>
      <x:c r="E860" s="12" t="n">
        <x:v>86000</x:v>
      </x:c>
      <x:c r="F860" s="12" t="n">
        <x:v>0</x:v>
      </x:c>
      <x:c r="G860" s="10" t="str">
        <x:v>Lohnjournal 20 Beschäftigte</x:v>
      </x:c>
      <x:c r="H860" s="10" t="str">
        <x:v>Personal</x:v>
      </x:c>
    </x:row>
    <x:row r="861" ht="14" customHeight="1">
      <x:c r="A861" s="10" t="str">
        <x:v>2024-07-0345</x:v>
      </x:c>
      <x:c r="B861" s="11" t="n">
        <x:v>45504</x:v>
      </x:c>
      <x:c r="C861" s="10" t="n">
        <x:v>7</x:v>
      </x:c>
      <x:c r="D861" s="10" t="str">
        <x:v>6110</x:v>
      </x:c>
      <x:c r="E861" s="12" t="n">
        <x:v>18000</x:v>
      </x:c>
      <x:c r="F861" s="12" t="n">
        <x:v>0</x:v>
      </x:c>
      <x:c r="G861" s="10" t="str">
        <x:v>Lohnjournal 20 Beschäftigte</x:v>
      </x:c>
      <x:c r="H861" s="10" t="str">
        <x:v>Personal</x:v>
      </x:c>
    </x:row>
    <x:row r="862" ht="14" customHeight="1">
      <x:c r="A862" s="10" t="str">
        <x:v>2024-07-0345</x:v>
      </x:c>
      <x:c r="B862" s="11" t="n">
        <x:v>45504</x:v>
      </x:c>
      <x:c r="C862" s="10" t="n">
        <x:v>7</x:v>
      </x:c>
      <x:c r="D862" s="10" t="str">
        <x:v>3720</x:v>
      </x:c>
      <x:c r="E862" s="12" t="n">
        <x:v>0</x:v>
      </x:c>
      <x:c r="F862" s="12" t="n">
        <x:v>56760</x:v>
      </x:c>
      <x:c r="G862" s="10" t="str">
        <x:v>Lohnjournal 20 Beschäftigte</x:v>
      </x:c>
      <x:c r="H862" s="10" t="str">
        <x:v>Personal</x:v>
      </x:c>
    </x:row>
    <x:row r="863" ht="14" customHeight="1">
      <x:c r="A863" s="10" t="str">
        <x:v>2024-07-0345</x:v>
      </x:c>
      <x:c r="B863" s="11" t="n">
        <x:v>45504</x:v>
      </x:c>
      <x:c r="C863" s="10" t="n">
        <x:v>7</x:v>
      </x:c>
      <x:c r="D863" s="10" t="str">
        <x:v>3730</x:v>
      </x:c>
      <x:c r="E863" s="12" t="n">
        <x:v>0</x:v>
      </x:c>
      <x:c r="F863" s="12" t="n">
        <x:v>12900</x:v>
      </x:c>
      <x:c r="G863" s="10" t="str">
        <x:v>Lohnjournal 20 Beschäftigte</x:v>
      </x:c>
      <x:c r="H863" s="10" t="str">
        <x:v>Personal</x:v>
      </x:c>
    </x:row>
    <x:row r="864" ht="14" customHeight="1">
      <x:c r="A864" s="10" t="str">
        <x:v>2024-07-0345</x:v>
      </x:c>
      <x:c r="B864" s="11" t="n">
        <x:v>45504</x:v>
      </x:c>
      <x:c r="C864" s="10" t="n">
        <x:v>7</x:v>
      </x:c>
      <x:c r="D864" s="10" t="str">
        <x:v>3740</x:v>
      </x:c>
      <x:c r="E864" s="12" t="n">
        <x:v>0</x:v>
      </x:c>
      <x:c r="F864" s="12" t="n">
        <x:v>34340</x:v>
      </x:c>
      <x:c r="G864" s="10" t="str">
        <x:v>Lohnjournal 20 Beschäftigte</x:v>
      </x:c>
      <x:c r="H864" s="10" t="str">
        <x:v>Personal</x:v>
      </x:c>
    </x:row>
    <x:row r="865" ht="14" customHeight="1">
      <x:c r="A865" s="10" t="str">
        <x:v>2024-07-0346</x:v>
      </x:c>
      <x:c r="B865" s="11" t="n">
        <x:v>45501</x:v>
      </x:c>
      <x:c r="C865" s="10" t="n">
        <x:v>7</x:v>
      </x:c>
      <x:c r="D865" s="10" t="str">
        <x:v>3720</x:v>
      </x:c>
      <x:c r="E865" s="12" t="n">
        <x:v>56760</x:v>
      </x:c>
      <x:c r="F865" s="12" t="n">
        <x:v>0</x:v>
      </x:c>
      <x:c r="G865" s="10" t="str">
        <x:v>Zahlungsjournal Verbindlichkeiten Nettolöhne</x:v>
      </x:c>
      <x:c r="H865" s="10" t="str">
        <x:v>Personalzahlung</x:v>
      </x:c>
    </x:row>
    <x:row r="866" ht="14" customHeight="1">
      <x:c r="A866" s="10" t="str">
        <x:v>2024-07-0346</x:v>
      </x:c>
      <x:c r="B866" s="11" t="n">
        <x:v>45501</x:v>
      </x:c>
      <x:c r="C866" s="10" t="n">
        <x:v>7</x:v>
      </x:c>
      <x:c r="D866" s="10" t="str">
        <x:v>1800</x:v>
      </x:c>
      <x:c r="E866" s="12" t="n">
        <x:v>0</x:v>
      </x:c>
      <x:c r="F866" s="12" t="n">
        <x:v>56760</x:v>
      </x:c>
      <x:c r="G866" s="10" t="str">
        <x:v>Zahlungsjournal Verbindlichkeiten Nettolöhne</x:v>
      </x:c>
      <x:c r="H866" s="10" t="str">
        <x:v>Personalzahlung</x:v>
      </x:c>
    </x:row>
    <x:row r="867" ht="14" customHeight="1">
      <x:c r="A867" s="10" t="str">
        <x:v>2024-07-0347</x:v>
      </x:c>
      <x:c r="B867" s="11" t="n">
        <x:v>45483</x:v>
      </x:c>
      <x:c r="C867" s="10" t="n">
        <x:v>7</x:v>
      </x:c>
      <x:c r="D867" s="10" t="str">
        <x:v>3730</x:v>
      </x:c>
      <x:c r="E867" s="12" t="n">
        <x:v>12900</x:v>
      </x:c>
      <x:c r="F867" s="12" t="n">
        <x:v>0</x:v>
      </x:c>
      <x:c r="G867" s="10" t="str">
        <x:v>Zahlungsjournal Verbindlichkeiten Lohnsteuer</x:v>
      </x:c>
      <x:c r="H867" s="10" t="str">
        <x:v>Personalzahlung</x:v>
      </x:c>
    </x:row>
    <x:row r="868" ht="14" customHeight="1">
      <x:c r="A868" s="10" t="str">
        <x:v>2024-07-0347</x:v>
      </x:c>
      <x:c r="B868" s="11" t="n">
        <x:v>45483</x:v>
      </x:c>
      <x:c r="C868" s="10" t="n">
        <x:v>7</x:v>
      </x:c>
      <x:c r="D868" s="10" t="str">
        <x:v>1800</x:v>
      </x:c>
      <x:c r="E868" s="12" t="n">
        <x:v>0</x:v>
      </x:c>
      <x:c r="F868" s="12" t="n">
        <x:v>12900</x:v>
      </x:c>
      <x:c r="G868" s="10" t="str">
        <x:v>Zahlungsjournal Verbindlichkeiten Lohnsteuer</x:v>
      </x:c>
      <x:c r="H868" s="10" t="str">
        <x:v>Personalzahlung</x:v>
      </x:c>
    </x:row>
    <x:row r="869" ht="14" customHeight="1">
      <x:c r="A869" s="10" t="str">
        <x:v>2024-07-0348</x:v>
      </x:c>
      <x:c r="B869" s="11" t="n">
        <x:v>45501</x:v>
      </x:c>
      <x:c r="C869" s="10" t="n">
        <x:v>7</x:v>
      </x:c>
      <x:c r="D869" s="10" t="str">
        <x:v>3740</x:v>
      </x:c>
      <x:c r="E869" s="12" t="n">
        <x:v>34340</x:v>
      </x:c>
      <x:c r="F869" s="12" t="n">
        <x:v>0</x:v>
      </x:c>
      <x:c r="G869" s="10" t="str">
        <x:v>Zahlungsjournal Verbindlichkeiten Sozialversicherung</x:v>
      </x:c>
      <x:c r="H869" s="10" t="str">
        <x:v>Personalzahlung</x:v>
      </x:c>
    </x:row>
    <x:row r="870" ht="14" customHeight="1">
      <x:c r="A870" s="10" t="str">
        <x:v>2024-07-0348</x:v>
      </x:c>
      <x:c r="B870" s="11" t="n">
        <x:v>45501</x:v>
      </x:c>
      <x:c r="C870" s="10" t="n">
        <x:v>7</x:v>
      </x:c>
      <x:c r="D870" s="10" t="str">
        <x:v>1800</x:v>
      </x:c>
      <x:c r="E870" s="12" t="n">
        <x:v>0</x:v>
      </x:c>
      <x:c r="F870" s="12" t="n">
        <x:v>34340</x:v>
      </x:c>
      <x:c r="G870" s="10" t="str">
        <x:v>Zahlungsjournal Verbindlichkeiten Sozialversicherung</x:v>
      </x:c>
      <x:c r="H870" s="10" t="str">
        <x:v>Personalzahlung</x:v>
      </x:c>
    </x:row>
    <x:row r="871" ht="14" customHeight="1">
      <x:c r="A871" s="10" t="str">
        <x:v>2024-07-0349</x:v>
      </x:c>
      <x:c r="B871" s="11" t="n">
        <x:v>45504</x:v>
      </x:c>
      <x:c r="C871" s="10" t="n">
        <x:v>7</x:v>
      </x:c>
      <x:c r="D871" s="10" t="str">
        <x:v>6310</x:v>
      </x:c>
      <x:c r="E871" s="12" t="n">
        <x:v>4000</x:v>
      </x:c>
      <x:c r="F871" s="12" t="n">
        <x:v>0</x:v>
      </x:c>
      <x:c r="G871" s="10" t="str">
        <x:v>Miete Büro Nürnberg Monatsjournal</x:v>
      </x:c>
      <x:c r="H871" s="10" t="str">
        <x:v>Betriebskosten</x:v>
      </x:c>
    </x:row>
    <x:row r="872" ht="14" customHeight="1">
      <x:c r="A872" s="10" t="str">
        <x:v>2024-07-0349</x:v>
      </x:c>
      <x:c r="B872" s="11" t="n">
        <x:v>45504</x:v>
      </x:c>
      <x:c r="C872" s="10" t="n">
        <x:v>7</x:v>
      </x:c>
      <x:c r="D872" s="10" t="str">
        <x:v>1406</x:v>
      </x:c>
      <x:c r="E872" s="12" t="n">
        <x:v>760</x:v>
      </x:c>
      <x:c r="F872" s="12" t="n">
        <x:v>0</x:v>
      </x:c>
      <x:c r="G872" s="10" t="str">
        <x:v>Miete Büro Nürnberg Monatsjournal</x:v>
      </x:c>
      <x:c r="H872" s="10" t="str">
        <x:v>Betriebskosten</x:v>
      </x:c>
    </x:row>
    <x:row r="873" ht="14" customHeight="1">
      <x:c r="A873" s="10" t="str">
        <x:v>2024-07-0349</x:v>
      </x:c>
      <x:c r="B873" s="11" t="n">
        <x:v>45504</x:v>
      </x:c>
      <x:c r="C873" s="10" t="n">
        <x:v>7</x:v>
      </x:c>
      <x:c r="D873" s="10" t="str">
        <x:v>3300</x:v>
      </x:c>
      <x:c r="E873" s="12" t="n">
        <x:v>0</x:v>
      </x:c>
      <x:c r="F873" s="12" t="n">
        <x:v>4760</x:v>
      </x:c>
      <x:c r="G873" s="10" t="str">
        <x:v>Miete Büro Nürnberg Monatsjournal</x:v>
      </x:c>
      <x:c r="H873" s="10" t="str">
        <x:v>Betriebskosten</x:v>
      </x:c>
    </x:row>
    <x:row r="874" ht="14" customHeight="1">
      <x:c r="A874" s="10" t="str">
        <x:v>2024-07-0350</x:v>
      </x:c>
      <x:c r="B874" s="11" t="n">
        <x:v>45504</x:v>
      </x:c>
      <x:c r="C874" s="10" t="n">
        <x:v>7</x:v>
      </x:c>
      <x:c r="D874" s="10" t="str">
        <x:v>6311</x:v>
      </x:c>
      <x:c r="E874" s="12" t="n">
        <x:v>10000</x:v>
      </x:c>
      <x:c r="F874" s="12" t="n">
        <x:v>0</x:v>
      </x:c>
      <x:c r="G874" s="10" t="str">
        <x:v>Miete Lager Erlangen Monatsjournal</x:v>
      </x:c>
      <x:c r="H874" s="10" t="str">
        <x:v>Betriebskosten</x:v>
      </x:c>
    </x:row>
    <x:row r="875" ht="14" customHeight="1">
      <x:c r="A875" s="10" t="str">
        <x:v>2024-07-0350</x:v>
      </x:c>
      <x:c r="B875" s="11" t="n">
        <x:v>45504</x:v>
      </x:c>
      <x:c r="C875" s="10" t="n">
        <x:v>7</x:v>
      </x:c>
      <x:c r="D875" s="10" t="str">
        <x:v>1406</x:v>
      </x:c>
      <x:c r="E875" s="12" t="n">
        <x:v>1900</x:v>
      </x:c>
      <x:c r="F875" s="12" t="n">
        <x:v>0</x:v>
      </x:c>
      <x:c r="G875" s="10" t="str">
        <x:v>Miete Lager Erlangen Monatsjournal</x:v>
      </x:c>
      <x:c r="H875" s="10" t="str">
        <x:v>Betriebskosten</x:v>
      </x:c>
    </x:row>
    <x:row r="876" ht="14" customHeight="1">
      <x:c r="A876" s="10" t="str">
        <x:v>2024-07-0350</x:v>
      </x:c>
      <x:c r="B876" s="11" t="n">
        <x:v>45504</x:v>
      </x:c>
      <x:c r="C876" s="10" t="n">
        <x:v>7</x:v>
      </x:c>
      <x:c r="D876" s="10" t="str">
        <x:v>3300</x:v>
      </x:c>
      <x:c r="E876" s="12" t="n">
        <x:v>0</x:v>
      </x:c>
      <x:c r="F876" s="12" t="n">
        <x:v>11900</x:v>
      </x:c>
      <x:c r="G876" s="10" t="str">
        <x:v>Miete Lager Erlangen Monatsjournal</x:v>
      </x:c>
      <x:c r="H876" s="10" t="str">
        <x:v>Betriebskosten</x:v>
      </x:c>
    </x:row>
    <x:row r="877" ht="14" customHeight="1">
      <x:c r="A877" s="10" t="str">
        <x:v>2024-07-0351</x:v>
      </x:c>
      <x:c r="B877" s="11" t="n">
        <x:v>45504</x:v>
      </x:c>
      <x:c r="C877" s="10" t="n">
        <x:v>7</x:v>
      </x:c>
      <x:c r="D877" s="10" t="str">
        <x:v>6325</x:v>
      </x:c>
      <x:c r="E877" s="12" t="n">
        <x:v>4500</x:v>
      </x:c>
      <x:c r="F877" s="12" t="n">
        <x:v>0</x:v>
      </x:c>
      <x:c r="G877" s="10" t="str">
        <x:v>Strom und Kühlung Monatsjournal</x:v>
      </x:c>
      <x:c r="H877" s="10" t="str">
        <x:v>Betriebskosten</x:v>
      </x:c>
    </x:row>
    <x:row r="878" ht="14" customHeight="1">
      <x:c r="A878" s="10" t="str">
        <x:v>2024-07-0351</x:v>
      </x:c>
      <x:c r="B878" s="11" t="n">
        <x:v>45504</x:v>
      </x:c>
      <x:c r="C878" s="10" t="n">
        <x:v>7</x:v>
      </x:c>
      <x:c r="D878" s="10" t="str">
        <x:v>1406</x:v>
      </x:c>
      <x:c r="E878" s="12" t="n">
        <x:v>855</x:v>
      </x:c>
      <x:c r="F878" s="12" t="n">
        <x:v>0</x:v>
      </x:c>
      <x:c r="G878" s="10" t="str">
        <x:v>Strom und Kühlung Monatsjournal</x:v>
      </x:c>
      <x:c r="H878" s="10" t="str">
        <x:v>Betriebskosten</x:v>
      </x:c>
    </x:row>
    <x:row r="879" ht="14" customHeight="1">
      <x:c r="A879" s="10" t="str">
        <x:v>2024-07-0351</x:v>
      </x:c>
      <x:c r="B879" s="11" t="n">
        <x:v>45504</x:v>
      </x:c>
      <x:c r="C879" s="10" t="n">
        <x:v>7</x:v>
      </x:c>
      <x:c r="D879" s="10" t="str">
        <x:v>3300</x:v>
      </x:c>
      <x:c r="E879" s="12" t="n">
        <x:v>0</x:v>
      </x:c>
      <x:c r="F879" s="12" t="n">
        <x:v>5355</x:v>
      </x:c>
      <x:c r="G879" s="10" t="str">
        <x:v>Strom und Kühlung Monatsjournal</x:v>
      </x:c>
      <x:c r="H879" s="10" t="str">
        <x:v>Betriebskosten</x:v>
      </x:c>
    </x:row>
    <x:row r="880" ht="14" customHeight="1">
      <x:c r="A880" s="10" t="str">
        <x:v>2024-07-0352</x:v>
      </x:c>
      <x:c r="B880" s="11" t="n">
        <x:v>45504</x:v>
      </x:c>
      <x:c r="C880" s="10" t="n">
        <x:v>7</x:v>
      </x:c>
      <x:c r="D880" s="10" t="str">
        <x:v>6400</x:v>
      </x:c>
      <x:c r="E880" s="12" t="n">
        <x:v>2500</x:v>
      </x:c>
      <x:c r="F880" s="12" t="n">
        <x:v>0</x:v>
      </x:c>
      <x:c r="G880" s="10" t="str">
        <x:v>Versicherungen Monatsjournal</x:v>
      </x:c>
      <x:c r="H880" s="10" t="str">
        <x:v>Betriebskosten</x:v>
      </x:c>
    </x:row>
    <x:row r="881" ht="14" customHeight="1">
      <x:c r="A881" s="10" t="str">
        <x:v>2024-07-0352</x:v>
      </x:c>
      <x:c r="B881" s="11" t="n">
        <x:v>45504</x:v>
      </x:c>
      <x:c r="C881" s="10" t="n">
        <x:v>7</x:v>
      </x:c>
      <x:c r="D881" s="10" t="str">
        <x:v>3300</x:v>
      </x:c>
      <x:c r="E881" s="12" t="n">
        <x:v>0</x:v>
      </x:c>
      <x:c r="F881" s="12" t="n">
        <x:v>2500</x:v>
      </x:c>
      <x:c r="G881" s="10" t="str">
        <x:v>Versicherungen Monatsjournal</x:v>
      </x:c>
      <x:c r="H881" s="10" t="str">
        <x:v>Betriebskosten</x:v>
      </x:c>
    </x:row>
    <x:row r="882" ht="14" customHeight="1">
      <x:c r="A882" s="10" t="str">
        <x:v>2024-07-0353</x:v>
      </x:c>
      <x:c r="B882" s="11" t="n">
        <x:v>45504</x:v>
      </x:c>
      <x:c r="C882" s="10" t="n">
        <x:v>7</x:v>
      </x:c>
      <x:c r="D882" s="10" t="str">
        <x:v>6470</x:v>
      </x:c>
      <x:c r="E882" s="12" t="n">
        <x:v>6000</x:v>
      </x:c>
      <x:c r="F882" s="12" t="n">
        <x:v>0</x:v>
      </x:c>
      <x:c r="G882" s="10" t="str">
        <x:v>Lagerbetrieb und Reinigung Monatsjournal</x:v>
      </x:c>
      <x:c r="H882" s="10" t="str">
        <x:v>Betriebskosten</x:v>
      </x:c>
    </x:row>
    <x:row r="883" ht="14" customHeight="1">
      <x:c r="A883" s="10" t="str">
        <x:v>2024-07-0353</x:v>
      </x:c>
      <x:c r="B883" s="11" t="n">
        <x:v>45504</x:v>
      </x:c>
      <x:c r="C883" s="10" t="n">
        <x:v>7</x:v>
      </x:c>
      <x:c r="D883" s="10" t="str">
        <x:v>1406</x:v>
      </x:c>
      <x:c r="E883" s="12" t="n">
        <x:v>1140</x:v>
      </x:c>
      <x:c r="F883" s="12" t="n">
        <x:v>0</x:v>
      </x:c>
      <x:c r="G883" s="10" t="str">
        <x:v>Lagerbetrieb und Reinigung Monatsjournal</x:v>
      </x:c>
      <x:c r="H883" s="10" t="str">
        <x:v>Betriebskosten</x:v>
      </x:c>
    </x:row>
    <x:row r="884" ht="14" customHeight="1">
      <x:c r="A884" s="10" t="str">
        <x:v>2024-07-0353</x:v>
      </x:c>
      <x:c r="B884" s="11" t="n">
        <x:v>45504</x:v>
      </x:c>
      <x:c r="C884" s="10" t="n">
        <x:v>7</x:v>
      </x:c>
      <x:c r="D884" s="10" t="str">
        <x:v>3300</x:v>
      </x:c>
      <x:c r="E884" s="12" t="n">
        <x:v>0</x:v>
      </x:c>
      <x:c r="F884" s="12" t="n">
        <x:v>7140</x:v>
      </x:c>
      <x:c r="G884" s="10" t="str">
        <x:v>Lagerbetrieb und Reinigung Monatsjournal</x:v>
      </x:c>
      <x:c r="H884" s="10" t="str">
        <x:v>Betriebskosten</x:v>
      </x:c>
    </x:row>
    <x:row r="885" ht="14" customHeight="1">
      <x:c r="A885" s="10" t="str">
        <x:v>2024-07-0354</x:v>
      </x:c>
      <x:c r="B885" s="11" t="n">
        <x:v>45504</x:v>
      </x:c>
      <x:c r="C885" s="10" t="n">
        <x:v>7</x:v>
      </x:c>
      <x:c r="D885" s="10" t="str">
        <x:v>6490</x:v>
      </x:c>
      <x:c r="E885" s="12" t="n">
        <x:v>2500</x:v>
      </x:c>
      <x:c r="F885" s="12" t="n">
        <x:v>0</x:v>
      </x:c>
      <x:c r="G885" s="10" t="str">
        <x:v>Reparaturen und Wartung Monatsjournal</x:v>
      </x:c>
      <x:c r="H885" s="10" t="str">
        <x:v>Betriebskosten</x:v>
      </x:c>
    </x:row>
    <x:row r="886" ht="14" customHeight="1">
      <x:c r="A886" s="10" t="str">
        <x:v>2024-07-0354</x:v>
      </x:c>
      <x:c r="B886" s="11" t="n">
        <x:v>45504</x:v>
      </x:c>
      <x:c r="C886" s="10" t="n">
        <x:v>7</x:v>
      </x:c>
      <x:c r="D886" s="10" t="str">
        <x:v>1406</x:v>
      </x:c>
      <x:c r="E886" s="12" t="n">
        <x:v>475</x:v>
      </x:c>
      <x:c r="F886" s="12" t="n">
        <x:v>0</x:v>
      </x:c>
      <x:c r="G886" s="10" t="str">
        <x:v>Reparaturen und Wartung Monatsjournal</x:v>
      </x:c>
      <x:c r="H886" s="10" t="str">
        <x:v>Betriebskosten</x:v>
      </x:c>
    </x:row>
    <x:row r="887" ht="14" customHeight="1">
      <x:c r="A887" s="10" t="str">
        <x:v>2024-07-0354</x:v>
      </x:c>
      <x:c r="B887" s="11" t="n">
        <x:v>45504</x:v>
      </x:c>
      <x:c r="C887" s="10" t="n">
        <x:v>7</x:v>
      </x:c>
      <x:c r="D887" s="10" t="str">
        <x:v>3300</x:v>
      </x:c>
      <x:c r="E887" s="12" t="n">
        <x:v>0</x:v>
      </x:c>
      <x:c r="F887" s="12" t="n">
        <x:v>2975</x:v>
      </x:c>
      <x:c r="G887" s="10" t="str">
        <x:v>Reparaturen und Wartung Monatsjournal</x:v>
      </x:c>
      <x:c r="H887" s="10" t="str">
        <x:v>Betriebskosten</x:v>
      </x:c>
    </x:row>
    <x:row r="888" ht="14" customHeight="1">
      <x:c r="A888" s="10" t="str">
        <x:v>2024-07-0355</x:v>
      </x:c>
      <x:c r="B888" s="11" t="n">
        <x:v>45504</x:v>
      </x:c>
      <x:c r="C888" s="10" t="n">
        <x:v>7</x:v>
      </x:c>
      <x:c r="D888" s="10" t="str">
        <x:v>6600</x:v>
      </x:c>
      <x:c r="E888" s="12" t="n">
        <x:v>6000</x:v>
      </x:c>
      <x:c r="F888" s="12" t="n">
        <x:v>0</x:v>
      </x:c>
      <x:c r="G888" s="10" t="str">
        <x:v>Marketing und Messen Monatsjournal</x:v>
      </x:c>
      <x:c r="H888" s="10" t="str">
        <x:v>Betriebskosten</x:v>
      </x:c>
    </x:row>
    <x:row r="889" ht="14" customHeight="1">
      <x:c r="A889" s="10" t="str">
        <x:v>2024-07-0355</x:v>
      </x:c>
      <x:c r="B889" s="11" t="n">
        <x:v>45504</x:v>
      </x:c>
      <x:c r="C889" s="10" t="n">
        <x:v>7</x:v>
      </x:c>
      <x:c r="D889" s="10" t="str">
        <x:v>1406</x:v>
      </x:c>
      <x:c r="E889" s="12" t="n">
        <x:v>1140</x:v>
      </x:c>
      <x:c r="F889" s="12" t="n">
        <x:v>0</x:v>
      </x:c>
      <x:c r="G889" s="10" t="str">
        <x:v>Marketing und Messen Monatsjournal</x:v>
      </x:c>
      <x:c r="H889" s="10" t="str">
        <x:v>Betriebskosten</x:v>
      </x:c>
    </x:row>
    <x:row r="890" ht="14" customHeight="1">
      <x:c r="A890" s="10" t="str">
        <x:v>2024-07-0355</x:v>
      </x:c>
      <x:c r="B890" s="11" t="n">
        <x:v>45504</x:v>
      </x:c>
      <x:c r="C890" s="10" t="n">
        <x:v>7</x:v>
      </x:c>
      <x:c r="D890" s="10" t="str">
        <x:v>3300</x:v>
      </x:c>
      <x:c r="E890" s="12" t="n">
        <x:v>0</x:v>
      </x:c>
      <x:c r="F890" s="12" t="n">
        <x:v>7140</x:v>
      </x:c>
      <x:c r="G890" s="10" t="str">
        <x:v>Marketing und Messen Monatsjournal</x:v>
      </x:c>
      <x:c r="H890" s="10" t="str">
        <x:v>Betriebskosten</x:v>
      </x:c>
    </x:row>
    <x:row r="891" ht="14" customHeight="1">
      <x:c r="A891" s="10" t="str">
        <x:v>2024-07-0356</x:v>
      </x:c>
      <x:c r="B891" s="11" t="n">
        <x:v>45504</x:v>
      </x:c>
      <x:c r="C891" s="10" t="n">
        <x:v>7</x:v>
      </x:c>
      <x:c r="D891" s="10" t="str">
        <x:v>6650</x:v>
      </x:c>
      <x:c r="E891" s="12" t="n">
        <x:v>1500</x:v>
      </x:c>
      <x:c r="F891" s="12" t="n">
        <x:v>0</x:v>
      </x:c>
      <x:c r="G891" s="10" t="str">
        <x:v>Reisekosten Monatsjournal</x:v>
      </x:c>
      <x:c r="H891" s="10" t="str">
        <x:v>Betriebskosten</x:v>
      </x:c>
    </x:row>
    <x:row r="892" ht="14" customHeight="1">
      <x:c r="A892" s="10" t="str">
        <x:v>2024-07-0356</x:v>
      </x:c>
      <x:c r="B892" s="11" t="n">
        <x:v>45504</x:v>
      </x:c>
      <x:c r="C892" s="10" t="n">
        <x:v>7</x:v>
      </x:c>
      <x:c r="D892" s="10" t="str">
        <x:v>1406</x:v>
      </x:c>
      <x:c r="E892" s="12" t="n">
        <x:v>285</x:v>
      </x:c>
      <x:c r="F892" s="12" t="n">
        <x:v>0</x:v>
      </x:c>
      <x:c r="G892" s="10" t="str">
        <x:v>Reisekosten Monatsjournal</x:v>
      </x:c>
      <x:c r="H892" s="10" t="str">
        <x:v>Betriebskosten</x:v>
      </x:c>
    </x:row>
    <x:row r="893" ht="14" customHeight="1">
      <x:c r="A893" s="10" t="str">
        <x:v>2024-07-0356</x:v>
      </x:c>
      <x:c r="B893" s="11" t="n">
        <x:v>45504</x:v>
      </x:c>
      <x:c r="C893" s="10" t="n">
        <x:v>7</x:v>
      </x:c>
      <x:c r="D893" s="10" t="str">
        <x:v>3300</x:v>
      </x:c>
      <x:c r="E893" s="12" t="n">
        <x:v>0</x:v>
      </x:c>
      <x:c r="F893" s="12" t="n">
        <x:v>1485</x:v>
      </x:c>
      <x:c r="G893" s="10" t="str">
        <x:v>Reisekosten Monatsjournal</x:v>
      </x:c>
      <x:c r="H893" s="10" t="str">
        <x:v>Betriebskosten</x:v>
      </x:c>
    </x:row>
    <x:row r="894" ht="14" customHeight="1">
      <x:c r="A894" s="10" t="str">
        <x:v>2024-07-0356</x:v>
      </x:c>
      <x:c r="B894" s="11" t="n">
        <x:v>45504</x:v>
      </x:c>
      <x:c r="C894" s="10" t="n">
        <x:v>7</x:v>
      </x:c>
      <x:c r="D894" s="10" t="str">
        <x:v>1600</x:v>
      </x:c>
      <x:c r="E894" s="12" t="n">
        <x:v>0</x:v>
      </x:c>
      <x:c r="F894" s="12" t="n">
        <x:v>300</x:v>
      </x:c>
      <x:c r="G894" s="10" t="str">
        <x:v>Reisekosten Monatsjournal</x:v>
      </x:c>
      <x:c r="H894" s="10" t="str">
        <x:v>Betriebskosten</x:v>
      </x:c>
    </x:row>
    <x:row r="895" ht="14" customHeight="1">
      <x:c r="A895" s="10" t="str">
        <x:v>2024-07-0357</x:v>
      </x:c>
      <x:c r="B895" s="11" t="n">
        <x:v>45504</x:v>
      </x:c>
      <x:c r="C895" s="10" t="n">
        <x:v>7</x:v>
      </x:c>
      <x:c r="D895" s="10" t="str">
        <x:v>6740</x:v>
      </x:c>
      <x:c r="E895" s="12" t="n">
        <x:v>13000</x:v>
      </x:c>
      <x:c r="F895" s="12" t="n">
        <x:v>0</x:v>
      </x:c>
      <x:c r="G895" s="10" t="str">
        <x:v>Ausgangsfrachten Inland Monatsjournal</x:v>
      </x:c>
      <x:c r="H895" s="10" t="str">
        <x:v>Betriebskosten</x:v>
      </x:c>
    </x:row>
    <x:row r="896" ht="14" customHeight="1">
      <x:c r="A896" s="10" t="str">
        <x:v>2024-07-0357</x:v>
      </x:c>
      <x:c r="B896" s="11" t="n">
        <x:v>45504</x:v>
      </x:c>
      <x:c r="C896" s="10" t="n">
        <x:v>7</x:v>
      </x:c>
      <x:c r="D896" s="10" t="str">
        <x:v>1406</x:v>
      </x:c>
      <x:c r="E896" s="12" t="n">
        <x:v>2470</x:v>
      </x:c>
      <x:c r="F896" s="12" t="n">
        <x:v>0</x:v>
      </x:c>
      <x:c r="G896" s="10" t="str">
        <x:v>Ausgangsfrachten Inland Monatsjournal</x:v>
      </x:c>
      <x:c r="H896" s="10" t="str">
        <x:v>Betriebskosten</x:v>
      </x:c>
    </x:row>
    <x:row r="897" ht="14" customHeight="1">
      <x:c r="A897" s="10" t="str">
        <x:v>2024-07-0357</x:v>
      </x:c>
      <x:c r="B897" s="11" t="n">
        <x:v>45504</x:v>
      </x:c>
      <x:c r="C897" s="10" t="n">
        <x:v>7</x:v>
      </x:c>
      <x:c r="D897" s="10" t="str">
        <x:v>3300</x:v>
      </x:c>
      <x:c r="E897" s="12" t="n">
        <x:v>0</x:v>
      </x:c>
      <x:c r="F897" s="12" t="n">
        <x:v>15470</x:v>
      </x:c>
      <x:c r="G897" s="10" t="str">
        <x:v>Ausgangsfrachten Inland Monatsjournal</x:v>
      </x:c>
      <x:c r="H897" s="10" t="str">
        <x:v>Betriebskosten</x:v>
      </x:c>
    </x:row>
    <x:row r="898" ht="14" customHeight="1">
      <x:c r="A898" s="10" t="str">
        <x:v>2024-07-0358</x:v>
      </x:c>
      <x:c r="B898" s="11" t="n">
        <x:v>45504</x:v>
      </x:c>
      <x:c r="C898" s="10" t="n">
        <x:v>7</x:v>
      </x:c>
      <x:c r="D898" s="10" t="str">
        <x:v>6741</x:v>
      </x:c>
      <x:c r="E898" s="12" t="n">
        <x:v>14000</x:v>
      </x:c>
      <x:c r="F898" s="12" t="n">
        <x:v>0</x:v>
      </x:c>
      <x:c r="G898" s="10" t="str">
        <x:v>Ausgangsfrachten Ausland Monatsjournal</x:v>
      </x:c>
      <x:c r="H898" s="10" t="str">
        <x:v>Betriebskosten</x:v>
      </x:c>
    </x:row>
    <x:row r="899" ht="14" customHeight="1">
      <x:c r="A899" s="10" t="str">
        <x:v>2024-07-0358</x:v>
      </x:c>
      <x:c r="B899" s="11" t="n">
        <x:v>45504</x:v>
      </x:c>
      <x:c r="C899" s="10" t="n">
        <x:v>7</x:v>
      </x:c>
      <x:c r="D899" s="10" t="str">
        <x:v>1406</x:v>
      </x:c>
      <x:c r="E899" s="12" t="n">
        <x:v>2660</x:v>
      </x:c>
      <x:c r="F899" s="12" t="n">
        <x:v>0</x:v>
      </x:c>
      <x:c r="G899" s="10" t="str">
        <x:v>Ausgangsfrachten Ausland Monatsjournal</x:v>
      </x:c>
      <x:c r="H899" s="10" t="str">
        <x:v>Betriebskosten</x:v>
      </x:c>
    </x:row>
    <x:row r="900" ht="14" customHeight="1">
      <x:c r="A900" s="10" t="str">
        <x:v>2024-07-0358</x:v>
      </x:c>
      <x:c r="B900" s="11" t="n">
        <x:v>45504</x:v>
      </x:c>
      <x:c r="C900" s="10" t="n">
        <x:v>7</x:v>
      </x:c>
      <x:c r="D900" s="10" t="str">
        <x:v>3300</x:v>
      </x:c>
      <x:c r="E900" s="12" t="n">
        <x:v>0</x:v>
      </x:c>
      <x:c r="F900" s="12" t="n">
        <x:v>16660</x:v>
      </x:c>
      <x:c r="G900" s="10" t="str">
        <x:v>Ausgangsfrachten Ausland Monatsjournal</x:v>
      </x:c>
      <x:c r="H900" s="10" t="str">
        <x:v>Betriebskosten</x:v>
      </x:c>
    </x:row>
    <x:row r="901" ht="14" customHeight="1">
      <x:c r="A901" s="10" t="str">
        <x:v>2024-07-0359</x:v>
      </x:c>
      <x:c r="B901" s="11" t="n">
        <x:v>45504</x:v>
      </x:c>
      <x:c r="C901" s="10" t="n">
        <x:v>7</x:v>
      </x:c>
      <x:c r="D901" s="10" t="str">
        <x:v>6805</x:v>
      </x:c>
      <x:c r="E901" s="12" t="n">
        <x:v>1500</x:v>
      </x:c>
      <x:c r="F901" s="12" t="n">
        <x:v>0</x:v>
      </x:c>
      <x:c r="G901" s="10" t="str">
        <x:v>Telekommunikation und IT Monatsjournal</x:v>
      </x:c>
      <x:c r="H901" s="10" t="str">
        <x:v>Betriebskosten</x:v>
      </x:c>
    </x:row>
    <x:row r="902" ht="14" customHeight="1">
      <x:c r="A902" s="10" t="str">
        <x:v>2024-07-0359</x:v>
      </x:c>
      <x:c r="B902" s="11" t="n">
        <x:v>45504</x:v>
      </x:c>
      <x:c r="C902" s="10" t="n">
        <x:v>7</x:v>
      </x:c>
      <x:c r="D902" s="10" t="str">
        <x:v>1406</x:v>
      </x:c>
      <x:c r="E902" s="12" t="n">
        <x:v>285</x:v>
      </x:c>
      <x:c r="F902" s="12" t="n">
        <x:v>0</x:v>
      </x:c>
      <x:c r="G902" s="10" t="str">
        <x:v>Telekommunikation und IT Monatsjournal</x:v>
      </x:c>
      <x:c r="H902" s="10" t="str">
        <x:v>Betriebskosten</x:v>
      </x:c>
    </x:row>
    <x:row r="903" ht="14" customHeight="1">
      <x:c r="A903" s="10" t="str">
        <x:v>2024-07-0359</x:v>
      </x:c>
      <x:c r="B903" s="11" t="n">
        <x:v>45504</x:v>
      </x:c>
      <x:c r="C903" s="10" t="n">
        <x:v>7</x:v>
      </x:c>
      <x:c r="D903" s="10" t="str">
        <x:v>3300</x:v>
      </x:c>
      <x:c r="E903" s="12" t="n">
        <x:v>0</x:v>
      </x:c>
      <x:c r="F903" s="12" t="n">
        <x:v>1785</x:v>
      </x:c>
      <x:c r="G903" s="10" t="str">
        <x:v>Telekommunikation und IT Monatsjournal</x:v>
      </x:c>
      <x:c r="H903" s="10" t="str">
        <x:v>Betriebskosten</x:v>
      </x:c>
    </x:row>
    <x:row r="904" ht="14" customHeight="1">
      <x:c r="A904" s="10" t="str">
        <x:v>2024-07-0360</x:v>
      </x:c>
      <x:c r="B904" s="11" t="n">
        <x:v>45504</x:v>
      </x:c>
      <x:c r="C904" s="10" t="n">
        <x:v>7</x:v>
      </x:c>
      <x:c r="D904" s="10" t="str">
        <x:v>6825</x:v>
      </x:c>
      <x:c r="E904" s="12" t="n">
        <x:v>3000</x:v>
      </x:c>
      <x:c r="F904" s="12" t="n">
        <x:v>0</x:v>
      </x:c>
      <x:c r="G904" s="10" t="str">
        <x:v>Rechtsberatung und Buchführung Monatsjournal</x:v>
      </x:c>
      <x:c r="H904" s="10" t="str">
        <x:v>Betriebskosten</x:v>
      </x:c>
    </x:row>
    <x:row r="905" ht="14" customHeight="1">
      <x:c r="A905" s="10" t="str">
        <x:v>2024-07-0360</x:v>
      </x:c>
      <x:c r="B905" s="11" t="n">
        <x:v>45504</x:v>
      </x:c>
      <x:c r="C905" s="10" t="n">
        <x:v>7</x:v>
      </x:c>
      <x:c r="D905" s="10" t="str">
        <x:v>1406</x:v>
      </x:c>
      <x:c r="E905" s="12" t="n">
        <x:v>570</x:v>
      </x:c>
      <x:c r="F905" s="12" t="n">
        <x:v>0</x:v>
      </x:c>
      <x:c r="G905" s="10" t="str">
        <x:v>Rechtsberatung und Buchführung Monatsjournal</x:v>
      </x:c>
      <x:c r="H905" s="10" t="str">
        <x:v>Betriebskosten</x:v>
      </x:c>
    </x:row>
    <x:row r="906" ht="14" customHeight="1">
      <x:c r="A906" s="10" t="str">
        <x:v>2024-07-0360</x:v>
      </x:c>
      <x:c r="B906" s="11" t="n">
        <x:v>45504</x:v>
      </x:c>
      <x:c r="C906" s="10" t="n">
        <x:v>7</x:v>
      </x:c>
      <x:c r="D906" s="10" t="str">
        <x:v>3300</x:v>
      </x:c>
      <x:c r="E906" s="12" t="n">
        <x:v>0</x:v>
      </x:c>
      <x:c r="F906" s="12" t="n">
        <x:v>3570</x:v>
      </x:c>
      <x:c r="G906" s="10" t="str">
        <x:v>Rechtsberatung und Buchführung Monatsjournal</x:v>
      </x:c>
      <x:c r="H906" s="10" t="str">
        <x:v>Betriebskosten</x:v>
      </x:c>
    </x:row>
    <x:row r="907" ht="14" customHeight="1">
      <x:c r="A907" s="10" t="str">
        <x:v>2024-07-0361</x:v>
      </x:c>
      <x:c r="B907" s="11" t="n">
        <x:v>45504</x:v>
      </x:c>
      <x:c r="C907" s="10" t="n">
        <x:v>7</x:v>
      </x:c>
      <x:c r="D907" s="10" t="str">
        <x:v>6830</x:v>
      </x:c>
      <x:c r="E907" s="12" t="n">
        <x:v>3500</x:v>
      </x:c>
      <x:c r="F907" s="12" t="n">
        <x:v>0</x:v>
      </x:c>
      <x:c r="G907" s="10" t="str">
        <x:v>Labor und Qualitätssicherung Monatsjournal</x:v>
      </x:c>
      <x:c r="H907" s="10" t="str">
        <x:v>Betriebskosten</x:v>
      </x:c>
    </x:row>
    <x:row r="908" ht="14" customHeight="1">
      <x:c r="A908" s="10" t="str">
        <x:v>2024-07-0361</x:v>
      </x:c>
      <x:c r="B908" s="11" t="n">
        <x:v>45504</x:v>
      </x:c>
      <x:c r="C908" s="10" t="n">
        <x:v>7</x:v>
      </x:c>
      <x:c r="D908" s="10" t="str">
        <x:v>1406</x:v>
      </x:c>
      <x:c r="E908" s="12" t="n">
        <x:v>665</x:v>
      </x:c>
      <x:c r="F908" s="12" t="n">
        <x:v>0</x:v>
      </x:c>
      <x:c r="G908" s="10" t="str">
        <x:v>Labor und Qualitätssicherung Monatsjournal</x:v>
      </x:c>
      <x:c r="H908" s="10" t="str">
        <x:v>Betriebskosten</x:v>
      </x:c>
    </x:row>
    <x:row r="909" ht="14" customHeight="1">
      <x:c r="A909" s="10" t="str">
        <x:v>2024-07-0361</x:v>
      </x:c>
      <x:c r="B909" s="11" t="n">
        <x:v>45504</x:v>
      </x:c>
      <x:c r="C909" s="10" t="n">
        <x:v>7</x:v>
      </x:c>
      <x:c r="D909" s="10" t="str">
        <x:v>3300</x:v>
      </x:c>
      <x:c r="E909" s="12" t="n">
        <x:v>0</x:v>
      </x:c>
      <x:c r="F909" s="12" t="n">
        <x:v>4165</x:v>
      </x:c>
      <x:c r="G909" s="10" t="str">
        <x:v>Labor und Qualitätssicherung Monatsjournal</x:v>
      </x:c>
      <x:c r="H909" s="10" t="str">
        <x:v>Betriebskosten</x:v>
      </x:c>
    </x:row>
    <x:row r="910" ht="14" customHeight="1">
      <x:c r="A910" s="10" t="str">
        <x:v>2024-07-0362</x:v>
      </x:c>
      <x:c r="B910" s="11" t="n">
        <x:v>45504</x:v>
      </x:c>
      <x:c r="C910" s="10" t="n">
        <x:v>7</x:v>
      </x:c>
      <x:c r="D910" s="10" t="str">
        <x:v>6850</x:v>
      </x:c>
      <x:c r="E910" s="12" t="n">
        <x:v>2000</x:v>
      </x:c>
      <x:c r="F910" s="12" t="n">
        <x:v>0</x:v>
      </x:c>
      <x:c r="G910" s="10" t="str">
        <x:v>Bürobedarf und übriger Aufwand Monatsjournal</x:v>
      </x:c>
      <x:c r="H910" s="10" t="str">
        <x:v>Betriebskosten</x:v>
      </x:c>
    </x:row>
    <x:row r="911" ht="14" customHeight="1">
      <x:c r="A911" s="10" t="str">
        <x:v>2024-07-0362</x:v>
      </x:c>
      <x:c r="B911" s="11" t="n">
        <x:v>45504</x:v>
      </x:c>
      <x:c r="C911" s="10" t="n">
        <x:v>7</x:v>
      </x:c>
      <x:c r="D911" s="10" t="str">
        <x:v>1406</x:v>
      </x:c>
      <x:c r="E911" s="12" t="n">
        <x:v>380</x:v>
      </x:c>
      <x:c r="F911" s="12" t="n">
        <x:v>0</x:v>
      </x:c>
      <x:c r="G911" s="10" t="str">
        <x:v>Bürobedarf und übriger Aufwand Monatsjournal</x:v>
      </x:c>
      <x:c r="H911" s="10" t="str">
        <x:v>Betriebskosten</x:v>
      </x:c>
    </x:row>
    <x:row r="912" ht="14" customHeight="1">
      <x:c r="A912" s="10" t="str">
        <x:v>2024-07-0362</x:v>
      </x:c>
      <x:c r="B912" s="11" t="n">
        <x:v>45504</x:v>
      </x:c>
      <x:c r="C912" s="10" t="n">
        <x:v>7</x:v>
      </x:c>
      <x:c r="D912" s="10" t="str">
        <x:v>3300</x:v>
      </x:c>
      <x:c r="E912" s="12" t="n">
        <x:v>0</x:v>
      </x:c>
      <x:c r="F912" s="12" t="n">
        <x:v>2380</x:v>
      </x:c>
      <x:c r="G912" s="10" t="str">
        <x:v>Bürobedarf und übriger Aufwand Monatsjournal</x:v>
      </x:c>
      <x:c r="H912" s="10" t="str">
        <x:v>Betriebskosten</x:v>
      </x:c>
    </x:row>
    <x:row r="913" ht="14" customHeight="1">
      <x:c r="A913" s="10" t="str">
        <x:v>2024-07-0363</x:v>
      </x:c>
      <x:c r="B913" s="11" t="n">
        <x:v>45504</x:v>
      </x:c>
      <x:c r="C913" s="10" t="n">
        <x:v>7</x:v>
      </x:c>
      <x:c r="D913" s="10" t="str">
        <x:v>6859</x:v>
      </x:c>
      <x:c r="E913" s="12" t="n">
        <x:v>500</x:v>
      </x:c>
      <x:c r="F913" s="12" t="n">
        <x:v>0</x:v>
      </x:c>
      <x:c r="G913" s="10" t="str">
        <x:v>Bankgebühren Monatsjournal</x:v>
      </x:c>
      <x:c r="H913" s="10" t="str">
        <x:v>Betriebskosten</x:v>
      </x:c>
    </x:row>
    <x:row r="914" ht="14" customHeight="1">
      <x:c r="A914" s="10" t="str">
        <x:v>2024-07-0363</x:v>
      </x:c>
      <x:c r="B914" s="11" t="n">
        <x:v>45504</x:v>
      </x:c>
      <x:c r="C914" s="10" t="n">
        <x:v>7</x:v>
      </x:c>
      <x:c r="D914" s="10" t="str">
        <x:v>3300</x:v>
      </x:c>
      <x:c r="E914" s="12" t="n">
        <x:v>0</x:v>
      </x:c>
      <x:c r="F914" s="12" t="n">
        <x:v>500</x:v>
      </x:c>
      <x:c r="G914" s="10" t="str">
        <x:v>Bankgebühren Monatsjournal</x:v>
      </x:c>
      <x:c r="H914" s="10" t="str">
        <x:v>Betriebskosten</x:v>
      </x:c>
    </x:row>
    <x:row r="915" ht="14" customHeight="1">
      <x:c r="A915" s="10" t="str">
        <x:v>2024-07-0364</x:v>
      </x:c>
      <x:c r="B915" s="11" t="n">
        <x:v>45478</x:v>
      </x:c>
      <x:c r="C915" s="10" t="n">
        <x:v>7</x:v>
      </x:c>
      <x:c r="D915" s="10" t="str">
        <x:v>1600</x:v>
      </x:c>
      <x:c r="E915" s="12" t="n">
        <x:v>300</x:v>
      </x:c>
      <x:c r="F915" s="12" t="n">
        <x:v>0</x:v>
      </x:c>
      <x:c r="G915" s="10" t="str">
        <x:v>Kassenvorschuss Reisekosten</x:v>
      </x:c>
      <x:c r="H915" s="10" t="str">
        <x:v>Kassenumbuchung</x:v>
      </x:c>
    </x:row>
    <x:row r="916" ht="14" customHeight="1">
      <x:c r="A916" s="10" t="str">
        <x:v>2024-07-0364</x:v>
      </x:c>
      <x:c r="B916" s="11" t="n">
        <x:v>45478</x:v>
      </x:c>
      <x:c r="C916" s="10" t="n">
        <x:v>7</x:v>
      </x:c>
      <x:c r="D916" s="10" t="str">
        <x:v>1800</x:v>
      </x:c>
      <x:c r="E916" s="12" t="n">
        <x:v>0</x:v>
      </x:c>
      <x:c r="F916" s="12" t="n">
        <x:v>300</x:v>
      </x:c>
      <x:c r="G916" s="10" t="str">
        <x:v>Kassenvorschuss Reisekosten</x:v>
      </x:c>
      <x:c r="H916" s="10" t="str">
        <x:v>Kassenumbuchung</x:v>
      </x:c>
    </x:row>
    <x:row r="917" ht="14" customHeight="1">
      <x:c r="A917" s="10" t="str">
        <x:v>2024-07-0365</x:v>
      </x:c>
      <x:c r="B917" s="11" t="n">
        <x:v>45504</x:v>
      </x:c>
      <x:c r="C917" s="10" t="n">
        <x:v>7</x:v>
      </x:c>
      <x:c r="D917" s="10" t="str">
        <x:v>6220</x:v>
      </x:c>
      <x:c r="E917" s="12" t="n">
        <x:v>500</x:v>
      </x:c>
      <x:c r="F917" s="12" t="n">
        <x:v>0</x:v>
      </x:c>
      <x:c r="G917" s="10" t="str">
        <x:v>Software Monatsabschreibung</x:v>
      </x:c>
      <x:c r="H917" s="10" t="str">
        <x:v>Abschreibung</x:v>
      </x:c>
    </x:row>
    <x:row r="918" ht="14" customHeight="1">
      <x:c r="A918" s="10" t="str">
        <x:v>2024-07-0365</x:v>
      </x:c>
      <x:c r="B918" s="11" t="n">
        <x:v>45504</x:v>
      </x:c>
      <x:c r="C918" s="10" t="n">
        <x:v>7</x:v>
      </x:c>
      <x:c r="D918" s="10" t="str">
        <x:v>0100</x:v>
      </x:c>
      <x:c r="E918" s="12" t="n">
        <x:v>0</x:v>
      </x:c>
      <x:c r="F918" s="12" t="n">
        <x:v>500</x:v>
      </x:c>
      <x:c r="G918" s="10" t="str">
        <x:v>Software Monatsabschreibung</x:v>
      </x:c>
      <x:c r="H918" s="10" t="str">
        <x:v>Abschreibung</x:v>
      </x:c>
    </x:row>
    <x:row r="919" ht="14" customHeight="1">
      <x:c r="A919" s="10" t="str">
        <x:v>2024-07-0366</x:v>
      </x:c>
      <x:c r="B919" s="11" t="n">
        <x:v>45504</x:v>
      </x:c>
      <x:c r="C919" s="10" t="n">
        <x:v>7</x:v>
      </x:c>
      <x:c r="D919" s="10" t="str">
        <x:v>6220</x:v>
      </x:c>
      <x:c r="E919" s="12" t="n">
        <x:v>2500</x:v>
      </x:c>
      <x:c r="F919" s="12" t="n">
        <x:v>0</x:v>
      </x:c>
      <x:c r="G919" s="10" t="str">
        <x:v>Lagereinbauten Erlangen Monatsabschreibung</x:v>
      </x:c>
      <x:c r="H919" s="10" t="str">
        <x:v>Abschreibung</x:v>
      </x:c>
    </x:row>
    <x:row r="920" ht="14" customHeight="1">
      <x:c r="A920" s="10" t="str">
        <x:v>2024-07-0366</x:v>
      </x:c>
      <x:c r="B920" s="11" t="n">
        <x:v>45504</x:v>
      </x:c>
      <x:c r="C920" s="10" t="n">
        <x:v>7</x:v>
      </x:c>
      <x:c r="D920" s="10" t="str">
        <x:v>0400</x:v>
      </x:c>
      <x:c r="E920" s="12" t="n">
        <x:v>0</x:v>
      </x:c>
      <x:c r="F920" s="12" t="n">
        <x:v>2500</x:v>
      </x:c>
      <x:c r="G920" s="10" t="str">
        <x:v>Lagereinbauten Erlangen Monatsabschreibung</x:v>
      </x:c>
      <x:c r="H920" s="10" t="str">
        <x:v>Abschreibung</x:v>
      </x:c>
    </x:row>
    <x:row r="921" ht="14" customHeight="1">
      <x:c r="A921" s="10" t="str">
        <x:v>2024-07-0367</x:v>
      </x:c>
      <x:c r="B921" s="11" t="n">
        <x:v>45504</x:v>
      </x:c>
      <x:c r="C921" s="10" t="n">
        <x:v>7</x:v>
      </x:c>
      <x:c r="D921" s="10" t="str">
        <x:v>6220</x:v>
      </x:c>
      <x:c r="E921" s="12" t="n">
        <x:v>1500</x:v>
      </x:c>
      <x:c r="F921" s="12" t="n">
        <x:v>0</x:v>
      </x:c>
      <x:c r="G921" s="10" t="str">
        <x:v>Flurförderzeuge Monatsabschreibung</x:v>
      </x:c>
      <x:c r="H921" s="10" t="str">
        <x:v>Abschreibung</x:v>
      </x:c>
    </x:row>
    <x:row r="922" ht="14" customHeight="1">
      <x:c r="A922" s="10" t="str">
        <x:v>2024-07-0367</x:v>
      </x:c>
      <x:c r="B922" s="11" t="n">
        <x:v>45504</x:v>
      </x:c>
      <x:c r="C922" s="10" t="n">
        <x:v>7</x:v>
      </x:c>
      <x:c r="D922" s="10" t="str">
        <x:v>0520</x:v>
      </x:c>
      <x:c r="E922" s="12" t="n">
        <x:v>0</x:v>
      </x:c>
      <x:c r="F922" s="12" t="n">
        <x:v>1500</x:v>
      </x:c>
      <x:c r="G922" s="10" t="str">
        <x:v>Flurförderzeuge Monatsabschreibung</x:v>
      </x:c>
      <x:c r="H922" s="10" t="str">
        <x:v>Abschreibung</x:v>
      </x:c>
    </x:row>
    <x:row r="923" ht="14" customHeight="1">
      <x:c r="A923" s="10" t="str">
        <x:v>2024-07-0368</x:v>
      </x:c>
      <x:c r="B923" s="11" t="n">
        <x:v>45504</x:v>
      </x:c>
      <x:c r="C923" s="10" t="n">
        <x:v>7</x:v>
      </x:c>
      <x:c r="D923" s="10" t="str">
        <x:v>6220</x:v>
      </x:c>
      <x:c r="E923" s="12" t="n">
        <x:v>2000</x:v>
      </x:c>
      <x:c r="F923" s="12" t="n">
        <x:v>0</x:v>
      </x:c>
      <x:c r="G923" s="10" t="str">
        <x:v>IT und Kommunikation Monatsabschreibung</x:v>
      </x:c>
      <x:c r="H923" s="10" t="str">
        <x:v>Abschreibung</x:v>
      </x:c>
    </x:row>
    <x:row r="924" ht="14" customHeight="1">
      <x:c r="A924" s="10" t="str">
        <x:v>2024-07-0368</x:v>
      </x:c>
      <x:c r="B924" s="11" t="n">
        <x:v>45504</x:v>
      </x:c>
      <x:c r="C924" s="10" t="n">
        <x:v>7</x:v>
      </x:c>
      <x:c r="D924" s="10" t="str">
        <x:v>0650</x:v>
      </x:c>
      <x:c r="E924" s="12" t="n">
        <x:v>0</x:v>
      </x:c>
      <x:c r="F924" s="12" t="n">
        <x:v>2000</x:v>
      </x:c>
      <x:c r="G924" s="10" t="str">
        <x:v>IT und Kommunikation Monatsabschreibung</x:v>
      </x:c>
      <x:c r="H924" s="10" t="str">
        <x:v>Abschreibung</x:v>
      </x:c>
    </x:row>
    <x:row r="925" ht="14" customHeight="1">
      <x:c r="A925" s="10" t="str">
        <x:v>2024-07-0369</x:v>
      </x:c>
      <x:c r="B925" s="11" t="n">
        <x:v>45504</x:v>
      </x:c>
      <x:c r="C925" s="10" t="n">
        <x:v>7</x:v>
      </x:c>
      <x:c r="D925" s="10" t="str">
        <x:v>6220</x:v>
      </x:c>
      <x:c r="E925" s="12" t="n">
        <x:v>1000</x:v>
      </x:c>
      <x:c r="F925" s="12" t="n">
        <x:v>0</x:v>
      </x:c>
      <x:c r="G925" s="10" t="str">
        <x:v>Büroausstattung Monatsabschreibung</x:v>
      </x:c>
      <x:c r="H925" s="10" t="str">
        <x:v>Abschreibung</x:v>
      </x:c>
    </x:row>
    <x:row r="926" ht="14" customHeight="1">
      <x:c r="A926" s="10" t="str">
        <x:v>2024-07-0369</x:v>
      </x:c>
      <x:c r="B926" s="11" t="n">
        <x:v>45504</x:v>
      </x:c>
      <x:c r="C926" s="10" t="n">
        <x:v>7</x:v>
      </x:c>
      <x:c r="D926" s="10" t="str">
        <x:v>0670</x:v>
      </x:c>
      <x:c r="E926" s="12" t="n">
        <x:v>0</x:v>
      </x:c>
      <x:c r="F926" s="12" t="n">
        <x:v>1000</x:v>
      </x:c>
      <x:c r="G926" s="10" t="str">
        <x:v>Büroausstattung Monatsabschreibung</x:v>
      </x:c>
      <x:c r="H926" s="10" t="str">
        <x:v>Abschreibung</x:v>
      </x:c>
    </x:row>
    <x:row r="927" ht="14" customHeight="1">
      <x:c r="A927" s="10" t="str">
        <x:v>2024-07-0370</x:v>
      </x:c>
      <x:c r="B927" s="11" t="n">
        <x:v>45488</x:v>
      </x:c>
      <x:c r="C927" s="10" t="n">
        <x:v>7</x:v>
      </x:c>
      <x:c r="D927" s="10" t="str">
        <x:v>0650</x:v>
      </x:c>
      <x:c r="E927" s="12" t="n">
        <x:v>24000</x:v>
      </x:c>
      <x:c r="F927" s="12" t="n">
        <x:v>0</x:v>
      </x:c>
      <x:c r="G927" s="10" t="str">
        <x:v>Anlagenzugang laut Anlagenjournal</x:v>
      </x:c>
      <x:c r="H927" s="10" t="str">
        <x:v>Investition</x:v>
      </x:c>
    </x:row>
    <x:row r="928" ht="14" customHeight="1">
      <x:c r="A928" s="10" t="str">
        <x:v>2024-07-0370</x:v>
      </x:c>
      <x:c r="B928" s="11" t="n">
        <x:v>45488</x:v>
      </x:c>
      <x:c r="C928" s="10" t="n">
        <x:v>7</x:v>
      </x:c>
      <x:c r="D928" s="10" t="str">
        <x:v>1406</x:v>
      </x:c>
      <x:c r="E928" s="12" t="n">
        <x:v>4560</x:v>
      </x:c>
      <x:c r="F928" s="12" t="n">
        <x:v>0</x:v>
      </x:c>
      <x:c r="G928" s="10" t="str">
        <x:v>Anlagenzugang laut Anlagenjournal</x:v>
      </x:c>
      <x:c r="H928" s="10" t="str">
        <x:v>Investition</x:v>
      </x:c>
    </x:row>
    <x:row r="929" ht="14" customHeight="1">
      <x:c r="A929" s="10" t="str">
        <x:v>2024-07-0370</x:v>
      </x:c>
      <x:c r="B929" s="11" t="n">
        <x:v>45488</x:v>
      </x:c>
      <x:c r="C929" s="10" t="n">
        <x:v>7</x:v>
      </x:c>
      <x:c r="D929" s="10" t="str">
        <x:v>1800</x:v>
      </x:c>
      <x:c r="E929" s="12" t="n">
        <x:v>0</x:v>
      </x:c>
      <x:c r="F929" s="12" t="n">
        <x:v>28560</x:v>
      </x:c>
      <x:c r="G929" s="10" t="str">
        <x:v>Anlagenzugang laut Anlagenjournal</x:v>
      </x:c>
      <x:c r="H929" s="10" t="str">
        <x:v>Investition</x:v>
      </x:c>
    </x:row>
    <x:row r="930" ht="14" customHeight="1">
      <x:c r="A930" s="10" t="str">
        <x:v>2024-07-0371</x:v>
      </x:c>
      <x:c r="B930" s="11" t="n">
        <x:v>45503</x:v>
      </x:c>
      <x:c r="C930" s="10" t="n">
        <x:v>7</x:v>
      </x:c>
      <x:c r="D930" s="10" t="str">
        <x:v>3150</x:v>
      </x:c>
      <x:c r="E930" s="12" t="n">
        <x:v>10000</x:v>
      </x:c>
      <x:c r="F930" s="12" t="n">
        <x:v>0</x:v>
      </x:c>
      <x:c r="G930" s="10" t="str">
        <x:v>Investitionsdarlehen Tilgungsrate</x:v>
      </x:c>
      <x:c r="H930" s="10" t="str">
        <x:v>Tilgung</x:v>
      </x:c>
    </x:row>
    <x:row r="931" ht="14" customHeight="1">
      <x:c r="A931" s="10" t="str">
        <x:v>2024-07-0371</x:v>
      </x:c>
      <x:c r="B931" s="11" t="n">
        <x:v>45503</x:v>
      </x:c>
      <x:c r="C931" s="10" t="n">
        <x:v>7</x:v>
      </x:c>
      <x:c r="D931" s="10" t="str">
        <x:v>1800</x:v>
      </x:c>
      <x:c r="E931" s="12" t="n">
        <x:v>0</x:v>
      </x:c>
      <x:c r="F931" s="12" t="n">
        <x:v>10000</x:v>
      </x:c>
      <x:c r="G931" s="10" t="str">
        <x:v>Investitionsdarlehen Tilgungsrate</x:v>
      </x:c>
      <x:c r="H931" s="10" t="str">
        <x:v>Tilgung</x:v>
      </x:c>
    </x:row>
    <x:row r="932" ht="14" customHeight="1">
      <x:c r="A932" s="10" t="str">
        <x:v>2024-07-0372</x:v>
      </x:c>
      <x:c r="B932" s="11" t="n">
        <x:v>45504</x:v>
      </x:c>
      <x:c r="C932" s="10" t="n">
        <x:v>7</x:v>
      </x:c>
      <x:c r="D932" s="10" t="str">
        <x:v>7300</x:v>
      </x:c>
      <x:c r="E932" s="12" t="n">
        <x:v>2500</x:v>
      </x:c>
      <x:c r="F932" s="12" t="n">
        <x:v>0</x:v>
      </x:c>
      <x:c r="G932" s="10" t="str">
        <x:v>Investitionsdarlehen Zinsabrechnung</x:v>
      </x:c>
      <x:c r="H932" s="10" t="str">
        <x:v>Zinsen</x:v>
      </x:c>
    </x:row>
    <x:row r="933" ht="14" customHeight="1">
      <x:c r="A933" s="10" t="str">
        <x:v>2024-07-0372</x:v>
      </x:c>
      <x:c r="B933" s="11" t="n">
        <x:v>45504</x:v>
      </x:c>
      <x:c r="C933" s="10" t="n">
        <x:v>7</x:v>
      </x:c>
      <x:c r="D933" s="10" t="str">
        <x:v>1800</x:v>
      </x:c>
      <x:c r="E933" s="12" t="n">
        <x:v>0</x:v>
      </x:c>
      <x:c r="F933" s="12" t="n">
        <x:v>2500</x:v>
      </x:c>
      <x:c r="G933" s="10" t="str">
        <x:v>Investitionsdarlehen Zinsabrechnung</x:v>
      </x:c>
      <x:c r="H933" s="10" t="str">
        <x:v>Zinsen</x:v>
      </x:c>
    </x:row>
    <x:row r="934" ht="14" customHeight="1">
      <x:c r="A934" s="10" t="str">
        <x:v>2024-07-0373</x:v>
      </x:c>
      <x:c r="B934" s="11" t="n">
        <x:v>45504</x:v>
      </x:c>
      <x:c r="C934" s="10" t="n">
        <x:v>7</x:v>
      </x:c>
      <x:c r="D934" s="10" t="str">
        <x:v>7310</x:v>
      </x:c>
      <x:c r="E934" s="12" t="n">
        <x:v>1000</x:v>
      </x:c>
      <x:c r="F934" s="12" t="n">
        <x:v>0</x:v>
      </x:c>
      <x:c r="G934" s="10" t="str">
        <x:v>Kontokorrent Zinsen und Bereitstellung</x:v>
      </x:c>
      <x:c r="H934" s="10" t="str">
        <x:v>Zinsen</x:v>
      </x:c>
    </x:row>
    <x:row r="935" ht="14" customHeight="1">
      <x:c r="A935" s="10" t="str">
        <x:v>2024-07-0373</x:v>
      </x:c>
      <x:c r="B935" s="11" t="n">
        <x:v>45504</x:v>
      </x:c>
      <x:c r="C935" s="10" t="n">
        <x:v>7</x:v>
      </x:c>
      <x:c r="D935" s="10" t="str">
        <x:v>1800</x:v>
      </x:c>
      <x:c r="E935" s="12" t="n">
        <x:v>0</x:v>
      </x:c>
      <x:c r="F935" s="12" t="n">
        <x:v>1000</x:v>
      </x:c>
      <x:c r="G935" s="10" t="str">
        <x:v>Kontokorrent Zinsen und Bereitstellung</x:v>
      </x:c>
      <x:c r="H935" s="10" t="str">
        <x:v>Zinsen</x:v>
      </x:c>
    </x:row>
    <x:row r="936" ht="14" customHeight="1">
      <x:c r="A936" s="10" t="str">
        <x:v>2024-07-0374</x:v>
      </x:c>
      <x:c r="B936" s="11" t="n">
        <x:v>45504</x:v>
      </x:c>
      <x:c r="C936" s="10" t="n">
        <x:v>7</x:v>
      </x:c>
      <x:c r="D936" s="10" t="str">
        <x:v>1800</x:v>
      </x:c>
      <x:c r="E936" s="12" t="n">
        <x:v>632353.9</x:v>
      </x:c>
      <x:c r="F936" s="12" t="n">
        <x:v>0</x:v>
      </x:c>
      <x:c r="G936" s="10" t="str">
        <x:v>Bankjournal Kundeneingänge brutto</x:v>
      </x:c>
      <x:c r="H936" s="10" t="str">
        <x:v>Kundenzahlungen</x:v>
      </x:c>
    </x:row>
    <x:row r="937" ht="14" customHeight="1">
      <x:c r="A937" s="10" t="str">
        <x:v>2024-07-0374</x:v>
      </x:c>
      <x:c r="B937" s="11" t="n">
        <x:v>45504</x:v>
      </x:c>
      <x:c r="C937" s="10" t="n">
        <x:v>7</x:v>
      </x:c>
      <x:c r="D937" s="10" t="str">
        <x:v>1200</x:v>
      </x:c>
      <x:c r="E937" s="12" t="n">
        <x:v>0</x:v>
      </x:c>
      <x:c r="F937" s="12" t="n">
        <x:v>632353.9</x:v>
      </x:c>
      <x:c r="G937" s="10" t="str">
        <x:v>Bankjournal Kundeneingänge brutto</x:v>
      </x:c>
      <x:c r="H937" s="10" t="str">
        <x:v>Kundenzahlungen</x:v>
      </x:c>
    </x:row>
    <x:row r="938" ht="14" customHeight="1">
      <x:c r="A938" s="10" t="str">
        <x:v>2024-07-0375</x:v>
      </x:c>
      <x:c r="B938" s="11" t="n">
        <x:v>45504</x:v>
      </x:c>
      <x:c r="C938" s="10" t="n">
        <x:v>7</x:v>
      </x:c>
      <x:c r="D938" s="10" t="str">
        <x:v>3300</x:v>
      </x:c>
      <x:c r="E938" s="12" t="n">
        <x:v>502360.45</x:v>
      </x:c>
      <x:c r="F938" s="12" t="n">
        <x:v>0</x:v>
      </x:c>
      <x:c r="G938" s="10" t="str">
        <x:v>Bankjournal Lieferantenzahlungen brutto</x:v>
      </x:c>
      <x:c r="H938" s="10" t="str">
        <x:v>Lieferantenzahlungen</x:v>
      </x:c>
    </x:row>
    <x:row r="939" ht="14" customHeight="1">
      <x:c r="A939" s="10" t="str">
        <x:v>2024-07-0375</x:v>
      </x:c>
      <x:c r="B939" s="11" t="n">
        <x:v>45504</x:v>
      </x:c>
      <x:c r="C939" s="10" t="n">
        <x:v>7</x:v>
      </x:c>
      <x:c r="D939" s="10" t="str">
        <x:v>1800</x:v>
      </x:c>
      <x:c r="E939" s="12" t="n">
        <x:v>0</x:v>
      </x:c>
      <x:c r="F939" s="12" t="n">
        <x:v>502360.45</x:v>
      </x:c>
      <x:c r="G939" s="10" t="str">
        <x:v>Bankjournal Lieferantenzahlungen brutto</x:v>
      </x:c>
      <x:c r="H939" s="10" t="str">
        <x:v>Lieferantenzahlungen</x:v>
      </x:c>
    </x:row>
    <x:row r="940" ht="14" customHeight="1">
      <x:c r="A940" s="10" t="str">
        <x:v>2024-07-0376</x:v>
      </x:c>
      <x:c r="B940" s="11" t="n">
        <x:v>45504</x:v>
      </x:c>
      <x:c r="C940" s="10" t="n">
        <x:v>7</x:v>
      </x:c>
      <x:c r="D940" s="10" t="str">
        <x:v>1401</x:v>
      </x:c>
      <x:c r="E940" s="12" t="n">
        <x:v>0</x:v>
      </x:c>
      <x:c r="F940" s="12" t="n">
        <x:v>11371.97</x:v>
      </x:c>
      <x:c r="G940" s="10" t="str">
        <x:v>Umsatzsteuer Monatsumbuchung 1401</x:v>
      </x:c>
      <x:c r="H940" s="10" t="str">
        <x:v>Steuerverrechnung</x:v>
      </x:c>
    </x:row>
    <x:row r="941" ht="14" customHeight="1">
      <x:c r="A941" s="10" t="str">
        <x:v>2024-07-0376</x:v>
      </x:c>
      <x:c r="B941" s="11" t="n">
        <x:v>45504</x:v>
      </x:c>
      <x:c r="C941" s="10" t="n">
        <x:v>7</x:v>
      </x:c>
      <x:c r="D941" s="10" t="str">
        <x:v>3820</x:v>
      </x:c>
      <x:c r="E941" s="12" t="n">
        <x:v>11371.97</x:v>
      </x:c>
      <x:c r="F941" s="12" t="n">
        <x:v>0</x:v>
      </x:c>
      <x:c r="G941" s="10" t="str">
        <x:v>Umsatzsteuer Monatsumbuchung 1401</x:v>
      </x:c>
      <x:c r="H941" s="10" t="str">
        <x:v>Steuerverrechnung</x:v>
      </x:c>
    </x:row>
    <x:row r="942" ht="14" customHeight="1">
      <x:c r="A942" s="10" t="str">
        <x:v>2024-07-0377</x:v>
      </x:c>
      <x:c r="B942" s="11" t="n">
        <x:v>45504</x:v>
      </x:c>
      <x:c r="C942" s="10" t="n">
        <x:v>7</x:v>
      </x:c>
      <x:c r="D942" s="10" t="str">
        <x:v>1406</x:v>
      </x:c>
      <x:c r="E942" s="12" t="n">
        <x:v>0</x:v>
      </x:c>
      <x:c r="F942" s="12" t="n">
        <x:v>23830.98</x:v>
      </x:c>
      <x:c r="G942" s="10" t="str">
        <x:v>Umsatzsteuer Monatsumbuchung 1406</x:v>
      </x:c>
      <x:c r="H942" s="10" t="str">
        <x:v>Steuerverrechnung</x:v>
      </x:c>
    </x:row>
    <x:row r="943" ht="14" customHeight="1">
      <x:c r="A943" s="10" t="str">
        <x:v>2024-07-0377</x:v>
      </x:c>
      <x:c r="B943" s="11" t="n">
        <x:v>45504</x:v>
      </x:c>
      <x:c r="C943" s="10" t="n">
        <x:v>7</x:v>
      </x:c>
      <x:c r="D943" s="10" t="str">
        <x:v>3820</x:v>
      </x:c>
      <x:c r="E943" s="12" t="n">
        <x:v>23830.98</x:v>
      </x:c>
      <x:c r="F943" s="12" t="n">
        <x:v>0</x:v>
      </x:c>
      <x:c r="G943" s="10" t="str">
        <x:v>Umsatzsteuer Monatsumbuchung 1406</x:v>
      </x:c>
      <x:c r="H943" s="10" t="str">
        <x:v>Steuerverrechnung</x:v>
      </x:c>
    </x:row>
    <x:row r="944" ht="14" customHeight="1">
      <x:c r="A944" s="10" t="str">
        <x:v>2024-07-0378</x:v>
      </x:c>
      <x:c r="B944" s="11" t="n">
        <x:v>45504</x:v>
      </x:c>
      <x:c r="C944" s="10" t="n">
        <x:v>7</x:v>
      </x:c>
      <x:c r="D944" s="10" t="str">
        <x:v>1404</x:v>
      </x:c>
      <x:c r="E944" s="12" t="n">
        <x:v>0</x:v>
      </x:c>
      <x:c r="F944" s="12" t="n">
        <x:v>5985.24</x:v>
      </x:c>
      <x:c r="G944" s="10" t="str">
        <x:v>Umsatzsteuer Monatsumbuchung 1404</x:v>
      </x:c>
      <x:c r="H944" s="10" t="str">
        <x:v>Steuerverrechnung</x:v>
      </x:c>
    </x:row>
    <x:row r="945" ht="14" customHeight="1">
      <x:c r="A945" s="10" t="str">
        <x:v>2024-07-0378</x:v>
      </x:c>
      <x:c r="B945" s="11" t="n">
        <x:v>45504</x:v>
      </x:c>
      <x:c r="C945" s="10" t="n">
        <x:v>7</x:v>
      </x:c>
      <x:c r="D945" s="10" t="str">
        <x:v>3820</x:v>
      </x:c>
      <x:c r="E945" s="12" t="n">
        <x:v>5985.24</x:v>
      </x:c>
      <x:c r="F945" s="12" t="n">
        <x:v>0</x:v>
      </x:c>
      <x:c r="G945" s="10" t="str">
        <x:v>Umsatzsteuer Monatsumbuchung 1404</x:v>
      </x:c>
      <x:c r="H945" s="10" t="str">
        <x:v>Steuerverrechnung</x:v>
      </x:c>
    </x:row>
    <x:row r="946" ht="14" customHeight="1">
      <x:c r="A946" s="10" t="str">
        <x:v>2024-07-0379</x:v>
      </x:c>
      <x:c r="B946" s="11" t="n">
        <x:v>45504</x:v>
      </x:c>
      <x:c r="C946" s="10" t="n">
        <x:v>7</x:v>
      </x:c>
      <x:c r="D946" s="10" t="str">
        <x:v>1409</x:v>
      </x:c>
      <x:c r="E946" s="12" t="n">
        <x:v>0</x:v>
      </x:c>
      <x:c r="F946" s="12" t="n">
        <x:v>4061.42</x:v>
      </x:c>
      <x:c r="G946" s="10" t="str">
        <x:v>Umsatzsteuer Monatsumbuchung 1409</x:v>
      </x:c>
      <x:c r="H946" s="10" t="str">
        <x:v>Steuerverrechnung</x:v>
      </x:c>
    </x:row>
    <x:row r="947" ht="14" customHeight="1">
      <x:c r="A947" s="10" t="str">
        <x:v>2024-07-0379</x:v>
      </x:c>
      <x:c r="B947" s="11" t="n">
        <x:v>45504</x:v>
      </x:c>
      <x:c r="C947" s="10" t="n">
        <x:v>7</x:v>
      </x:c>
      <x:c r="D947" s="10" t="str">
        <x:v>3820</x:v>
      </x:c>
      <x:c r="E947" s="12" t="n">
        <x:v>4061.42</x:v>
      </x:c>
      <x:c r="F947" s="12" t="n">
        <x:v>0</x:v>
      </x:c>
      <x:c r="G947" s="10" t="str">
        <x:v>Umsatzsteuer Monatsumbuchung 1409</x:v>
      </x:c>
      <x:c r="H947" s="10" t="str">
        <x:v>Steuerverrechnung</x:v>
      </x:c>
    </x:row>
    <x:row r="948" ht="14" customHeight="1">
      <x:c r="A948" s="10" t="str">
        <x:v>2024-07-0380</x:v>
      </x:c>
      <x:c r="B948" s="11" t="n">
        <x:v>45504</x:v>
      </x:c>
      <x:c r="C948" s="10" t="n">
        <x:v>7</x:v>
      </x:c>
      <x:c r="D948" s="10" t="str">
        <x:v>1433</x:v>
      </x:c>
      <x:c r="E948" s="12" t="n">
        <x:v>0</x:v>
      </x:c>
      <x:c r="F948" s="12" t="n">
        <x:v>10516.93</x:v>
      </x:c>
      <x:c r="G948" s="10" t="str">
        <x:v>Umsatzsteuer Monatsumbuchung 1433</x:v>
      </x:c>
      <x:c r="H948" s="10" t="str">
        <x:v>Steuerverrechnung</x:v>
      </x:c>
    </x:row>
    <x:row r="949" ht="14" customHeight="1">
      <x:c r="A949" s="10" t="str">
        <x:v>2024-07-0380</x:v>
      </x:c>
      <x:c r="B949" s="11" t="n">
        <x:v>45504</x:v>
      </x:c>
      <x:c r="C949" s="10" t="n">
        <x:v>7</x:v>
      </x:c>
      <x:c r="D949" s="10" t="str">
        <x:v>3820</x:v>
      </x:c>
      <x:c r="E949" s="12" t="n">
        <x:v>10516.93</x:v>
      </x:c>
      <x:c r="F949" s="12" t="n">
        <x:v>0</x:v>
      </x:c>
      <x:c r="G949" s="10" t="str">
        <x:v>Umsatzsteuer Monatsumbuchung 1433</x:v>
      </x:c>
      <x:c r="H949" s="10" t="str">
        <x:v>Steuerverrechnung</x:v>
      </x:c>
    </x:row>
    <x:row r="950" ht="14" customHeight="1">
      <x:c r="A950" s="10" t="str">
        <x:v>2024-07-0381</x:v>
      </x:c>
      <x:c r="B950" s="11" t="n">
        <x:v>45504</x:v>
      </x:c>
      <x:c r="C950" s="10" t="n">
        <x:v>7</x:v>
      </x:c>
      <x:c r="D950" s="10" t="str">
        <x:v>3801</x:v>
      </x:c>
      <x:c r="E950" s="12" t="n">
        <x:v>21039.9</x:v>
      </x:c>
      <x:c r="F950" s="12" t="n">
        <x:v>0</x:v>
      </x:c>
      <x:c r="G950" s="10" t="str">
        <x:v>Umsatzsteuer Monatsumbuchung 3801</x:v>
      </x:c>
      <x:c r="H950" s="10" t="str">
        <x:v>Steuerverrechnung</x:v>
      </x:c>
    </x:row>
    <x:row r="951" ht="14" customHeight="1">
      <x:c r="A951" s="10" t="str">
        <x:v>2024-07-0381</x:v>
      </x:c>
      <x:c r="B951" s="11" t="n">
        <x:v>45504</x:v>
      </x:c>
      <x:c r="C951" s="10" t="n">
        <x:v>7</x:v>
      </x:c>
      <x:c r="D951" s="10" t="str">
        <x:v>3820</x:v>
      </x:c>
      <x:c r="E951" s="12" t="n">
        <x:v>0</x:v>
      </x:c>
      <x:c r="F951" s="12" t="n">
        <x:v>21039.9</x:v>
      </x:c>
      <x:c r="G951" s="10" t="str">
        <x:v>Umsatzsteuer Monatsumbuchung 3801</x:v>
      </x:c>
      <x:c r="H951" s="10" t="str">
        <x:v>Steuerverrechnung</x:v>
      </x:c>
    </x:row>
    <x:row r="952" ht="14" customHeight="1">
      <x:c r="A952" s="10" t="str">
        <x:v>2024-07-0382</x:v>
      </x:c>
      <x:c r="B952" s="11" t="n">
        <x:v>45504</x:v>
      </x:c>
      <x:c r="C952" s="10" t="n">
        <x:v>7</x:v>
      </x:c>
      <x:c r="D952" s="10" t="str">
        <x:v>3806</x:v>
      </x:c>
      <x:c r="E952" s="12" t="n">
        <x:v>14364</x:v>
      </x:c>
      <x:c r="F952" s="12" t="n">
        <x:v>0</x:v>
      </x:c>
      <x:c r="G952" s="10" t="str">
        <x:v>Umsatzsteuer Monatsumbuchung 3806</x:v>
      </x:c>
      <x:c r="H952" s="10" t="str">
        <x:v>Steuerverrechnung</x:v>
      </x:c>
    </x:row>
    <x:row r="953" ht="14" customHeight="1">
      <x:c r="A953" s="10" t="str">
        <x:v>2024-07-0382</x:v>
      </x:c>
      <x:c r="B953" s="11" t="n">
        <x:v>45504</x:v>
      </x:c>
      <x:c r="C953" s="10" t="n">
        <x:v>7</x:v>
      </x:c>
      <x:c r="D953" s="10" t="str">
        <x:v>3820</x:v>
      </x:c>
      <x:c r="E953" s="12" t="n">
        <x:v>0</x:v>
      </x:c>
      <x:c r="F953" s="12" t="n">
        <x:v>14364</x:v>
      </x:c>
      <x:c r="G953" s="10" t="str">
        <x:v>Umsatzsteuer Monatsumbuchung 3806</x:v>
      </x:c>
      <x:c r="H953" s="10" t="str">
        <x:v>Steuerverrechnung</x:v>
      </x:c>
    </x:row>
    <x:row r="954" ht="14" customHeight="1">
      <x:c r="A954" s="10" t="str">
        <x:v>2024-07-0383</x:v>
      </x:c>
      <x:c r="B954" s="11" t="n">
        <x:v>45504</x:v>
      </x:c>
      <x:c r="C954" s="10" t="n">
        <x:v>7</x:v>
      </x:c>
      <x:c r="D954" s="10" t="str">
        <x:v>3804</x:v>
      </x:c>
      <x:c r="E954" s="12" t="n">
        <x:v>5985.24</x:v>
      </x:c>
      <x:c r="F954" s="12" t="n">
        <x:v>0</x:v>
      </x:c>
      <x:c r="G954" s="10" t="str">
        <x:v>Umsatzsteuer Monatsumbuchung 3804</x:v>
      </x:c>
      <x:c r="H954" s="10" t="str">
        <x:v>Steuerverrechnung</x:v>
      </x:c>
    </x:row>
    <x:row r="955" ht="14" customHeight="1">
      <x:c r="A955" s="10" t="str">
        <x:v>2024-07-0383</x:v>
      </x:c>
      <x:c r="B955" s="11" t="n">
        <x:v>45504</x:v>
      </x:c>
      <x:c r="C955" s="10" t="n">
        <x:v>7</x:v>
      </x:c>
      <x:c r="D955" s="10" t="str">
        <x:v>3820</x:v>
      </x:c>
      <x:c r="E955" s="12" t="n">
        <x:v>0</x:v>
      </x:c>
      <x:c r="F955" s="12" t="n">
        <x:v>5985.24</x:v>
      </x:c>
      <x:c r="G955" s="10" t="str">
        <x:v>Umsatzsteuer Monatsumbuchung 3804</x:v>
      </x:c>
      <x:c r="H955" s="10" t="str">
        <x:v>Steuerverrechnung</x:v>
      </x:c>
    </x:row>
    <x:row r="956" ht="14" customHeight="1">
      <x:c r="A956" s="10" t="str">
        <x:v>2024-07-0384</x:v>
      </x:c>
      <x:c r="B956" s="11" t="n">
        <x:v>45504</x:v>
      </x:c>
      <x:c r="C956" s="10" t="n">
        <x:v>7</x:v>
      </x:c>
      <x:c r="D956" s="10" t="str">
        <x:v>3809</x:v>
      </x:c>
      <x:c r="E956" s="12" t="n">
        <x:v>4061.42</x:v>
      </x:c>
      <x:c r="F956" s="12" t="n">
        <x:v>0</x:v>
      </x:c>
      <x:c r="G956" s="10" t="str">
        <x:v>Umsatzsteuer Monatsumbuchung 3809</x:v>
      </x:c>
      <x:c r="H956" s="10" t="str">
        <x:v>Steuerverrechnung</x:v>
      </x:c>
    </x:row>
    <x:row r="957" ht="14" customHeight="1">
      <x:c r="A957" s="10" t="str">
        <x:v>2024-07-0384</x:v>
      </x:c>
      <x:c r="B957" s="11" t="n">
        <x:v>45504</x:v>
      </x:c>
      <x:c r="C957" s="10" t="n">
        <x:v>7</x:v>
      </x:c>
      <x:c r="D957" s="10" t="str">
        <x:v>3820</x:v>
      </x:c>
      <x:c r="E957" s="12" t="n">
        <x:v>0</x:v>
      </x:c>
      <x:c r="F957" s="12" t="n">
        <x:v>4061.42</x:v>
      </x:c>
      <x:c r="G957" s="10" t="str">
        <x:v>Umsatzsteuer Monatsumbuchung 3809</x:v>
      </x:c>
      <x:c r="H957" s="10" t="str">
        <x:v>Steuerverrechnung</x:v>
      </x:c>
    </x:row>
    <x:row r="958" ht="14" customHeight="1">
      <x:c r="A958" s="10" t="str">
        <x:v>2024-08-0385</x:v>
      </x:c>
      <x:c r="B958" s="11" t="n">
        <x:v>45514</x:v>
      </x:c>
      <x:c r="C958" s="10" t="n">
        <x:v>8</x:v>
      </x:c>
      <x:c r="D958" s="10" t="str">
        <x:v>1800</x:v>
      </x:c>
      <x:c r="E958" s="12" t="n">
        <x:v>10315.98</x:v>
      </x:c>
      <x:c r="F958" s="12" t="n">
        <x:v>0</x:v>
      </x:c>
      <x:c r="G958" s="10" t="str">
        <x:v>Ausgleich Umsatzsteuer Vorperiode</x:v>
      </x:c>
      <x:c r="H958" s="10" t="str">
        <x:v>Umsatzsteuer</x:v>
      </x:c>
    </x:row>
    <x:row r="959" ht="14" customHeight="1">
      <x:c r="A959" s="10" t="str">
        <x:v>2024-08-0385</x:v>
      </x:c>
      <x:c r="B959" s="11" t="n">
        <x:v>45514</x:v>
      </x:c>
      <x:c r="C959" s="10" t="n">
        <x:v>8</x:v>
      </x:c>
      <x:c r="D959" s="10" t="str">
        <x:v>3820</x:v>
      </x:c>
      <x:c r="E959" s="12" t="n">
        <x:v>0</x:v>
      </x:c>
      <x:c r="F959" s="12" t="n">
        <x:v>10315.98</x:v>
      </x:c>
      <x:c r="G959" s="10" t="str">
        <x:v>Ausgleich Umsatzsteuer Vorperiode</x:v>
      </x:c>
      <x:c r="H959" s="10" t="str">
        <x:v>Umsatzsteuer</x:v>
      </x:c>
    </x:row>
    <x:row r="960" ht="14" customHeight="1">
      <x:c r="A960" s="10" t="str">
        <x:v>2024-08-0386</x:v>
      </x:c>
      <x:c r="B960" s="11" t="n">
        <x:v>45535</x:v>
      </x:c>
      <x:c r="C960" s="10" t="n">
        <x:v>8</x:v>
      </x:c>
      <x:c r="D960" s="10" t="str">
        <x:v>1200</x:v>
      </x:c>
      <x:c r="E960" s="12" t="n">
        <x:v>303024</x:v>
      </x:c>
      <x:c r="F960" s="12" t="n">
        <x:v>0</x:v>
      </x:c>
      <x:c r="G960" s="10" t="str">
        <x:v>Fakturajournal Inland 7 Prozent</x:v>
      </x:c>
      <x:c r="H960" s="10" t="str">
        <x:v>Umsatz</x:v>
      </x:c>
    </x:row>
    <x:row r="961" ht="14" customHeight="1">
      <x:c r="A961" s="10" t="str">
        <x:v>2024-08-0386</x:v>
      </x:c>
      <x:c r="B961" s="11" t="n">
        <x:v>45535</x:v>
      </x:c>
      <x:c r="C961" s="10" t="n">
        <x:v>8</x:v>
      </x:c>
      <x:c r="D961" s="10" t="str">
        <x:v>4300</x:v>
      </x:c>
      <x:c r="E961" s="12" t="n">
        <x:v>0</x:v>
      </x:c>
      <x:c r="F961" s="12" t="n">
        <x:v>283200</x:v>
      </x:c>
      <x:c r="G961" s="10" t="str">
        <x:v>Fakturajournal Inland 7 Prozent</x:v>
      </x:c>
      <x:c r="H961" s="10" t="str">
        <x:v>Umsatz</x:v>
      </x:c>
    </x:row>
    <x:row r="962" ht="14" customHeight="1">
      <x:c r="A962" s="10" t="str">
        <x:v>2024-08-0386</x:v>
      </x:c>
      <x:c r="B962" s="11" t="n">
        <x:v>45535</x:v>
      </x:c>
      <x:c r="C962" s="10" t="n">
        <x:v>8</x:v>
      </x:c>
      <x:c r="D962" s="10" t="str">
        <x:v>3801</x:v>
      </x:c>
      <x:c r="E962" s="12" t="n">
        <x:v>0</x:v>
      </x:c>
      <x:c r="F962" s="12" t="n">
        <x:v>19824</x:v>
      </x:c>
      <x:c r="G962" s="10" t="str">
        <x:v>Fakturajournal Inland 7 Prozent</x:v>
      </x:c>
      <x:c r="H962" s="10" t="str">
        <x:v>Umsatz</x:v>
      </x:c>
    </x:row>
    <x:row r="963" ht="14" customHeight="1">
      <x:c r="A963" s="10" t="str">
        <x:v>2024-08-0387</x:v>
      </x:c>
      <x:c r="B963" s="11" t="n">
        <x:v>45535</x:v>
      </x:c>
      <x:c r="C963" s="10" t="n">
        <x:v>8</x:v>
      </x:c>
      <x:c r="D963" s="10" t="str">
        <x:v>1200</x:v>
      </x:c>
      <x:c r="E963" s="12" t="n">
        <x:v>84252</x:v>
      </x:c>
      <x:c r="F963" s="12" t="n">
        <x:v>0</x:v>
      </x:c>
      <x:c r="G963" s="10" t="str">
        <x:v>Fakturajournal Inland 19 Prozent</x:v>
      </x:c>
      <x:c r="H963" s="10" t="str">
        <x:v>Umsatz</x:v>
      </x:c>
    </x:row>
    <x:row r="964" ht="14" customHeight="1">
      <x:c r="A964" s="10" t="str">
        <x:v>2024-08-0387</x:v>
      </x:c>
      <x:c r="B964" s="11" t="n">
        <x:v>45535</x:v>
      </x:c>
      <x:c r="C964" s="10" t="n">
        <x:v>8</x:v>
      </x:c>
      <x:c r="D964" s="10" t="str">
        <x:v>4400</x:v>
      </x:c>
      <x:c r="E964" s="12" t="n">
        <x:v>0</x:v>
      </x:c>
      <x:c r="F964" s="12" t="n">
        <x:v>70800</x:v>
      </x:c>
      <x:c r="G964" s="10" t="str">
        <x:v>Fakturajournal Inland 19 Prozent</x:v>
      </x:c>
      <x:c r="H964" s="10" t="str">
        <x:v>Umsatz</x:v>
      </x:c>
    </x:row>
    <x:row r="965" ht="14" customHeight="1">
      <x:c r="A965" s="10" t="str">
        <x:v>2024-08-0387</x:v>
      </x:c>
      <x:c r="B965" s="11" t="n">
        <x:v>45535</x:v>
      </x:c>
      <x:c r="C965" s="10" t="n">
        <x:v>8</x:v>
      </x:c>
      <x:c r="D965" s="10" t="str">
        <x:v>3806</x:v>
      </x:c>
      <x:c r="E965" s="12" t="n">
        <x:v>0</x:v>
      </x:c>
      <x:c r="F965" s="12" t="n">
        <x:v>13452</x:v>
      </x:c>
      <x:c r="G965" s="10" t="str">
        <x:v>Fakturajournal Inland 19 Prozent</x:v>
      </x:c>
      <x:c r="H965" s="10" t="str">
        <x:v>Umsatz</x:v>
      </x:c>
    </x:row>
    <x:row r="966" ht="14" customHeight="1">
      <x:c r="A966" s="10" t="str">
        <x:v>2024-08-0388</x:v>
      </x:c>
      <x:c r="B966" s="11" t="n">
        <x:v>45535</x:v>
      </x:c>
      <x:c r="C966" s="10" t="n">
        <x:v>8</x:v>
      </x:c>
      <x:c r="D966" s="10" t="str">
        <x:v>1200</x:v>
      </x:c>
      <x:c r="E966" s="12" t="n">
        <x:v>118000</x:v>
      </x:c>
      <x:c r="F966" s="12" t="n">
        <x:v>0</x:v>
      </x:c>
      <x:c r="G966" s="10" t="str">
        <x:v>Fakturajournal EU Warenlieferungen</x:v>
      </x:c>
      <x:c r="H966" s="10" t="str">
        <x:v>Umsatz</x:v>
      </x:c>
    </x:row>
    <x:row r="967" ht="14" customHeight="1">
      <x:c r="A967" s="10" t="str">
        <x:v>2024-08-0388</x:v>
      </x:c>
      <x:c r="B967" s="11" t="n">
        <x:v>45535</x:v>
      </x:c>
      <x:c r="C967" s="10" t="n">
        <x:v>8</x:v>
      </x:c>
      <x:c r="D967" s="10" t="str">
        <x:v>4125</x:v>
      </x:c>
      <x:c r="E967" s="12" t="n">
        <x:v>0</x:v>
      </x:c>
      <x:c r="F967" s="12" t="n">
        <x:v>118000</x:v>
      </x:c>
      <x:c r="G967" s="10" t="str">
        <x:v>Fakturajournal EU Warenlieferungen</x:v>
      </x:c>
      <x:c r="H967" s="10" t="str">
        <x:v>Umsatz</x:v>
      </x:c>
    </x:row>
    <x:row r="968" ht="14" customHeight="1">
      <x:c r="A968" s="10" t="str">
        <x:v>2024-08-0389</x:v>
      </x:c>
      <x:c r="B968" s="11" t="n">
        <x:v>45535</x:v>
      </x:c>
      <x:c r="C968" s="10" t="n">
        <x:v>8</x:v>
      </x:c>
      <x:c r="D968" s="10" t="str">
        <x:v>1200</x:v>
      </x:c>
      <x:c r="E968" s="12" t="n">
        <x:v>118000</x:v>
      </x:c>
      <x:c r="F968" s="12" t="n">
        <x:v>0</x:v>
      </x:c>
      <x:c r="G968" s="10" t="str">
        <x:v>Fakturajournal Drittland Warenlieferungen</x:v>
      </x:c>
      <x:c r="H968" s="10" t="str">
        <x:v>Umsatz</x:v>
      </x:c>
    </x:row>
    <x:row r="969" ht="14" customHeight="1">
      <x:c r="A969" s="10" t="str">
        <x:v>2024-08-0389</x:v>
      </x:c>
      <x:c r="B969" s="11" t="n">
        <x:v>45535</x:v>
      </x:c>
      <x:c r="C969" s="10" t="n">
        <x:v>8</x:v>
      </x:c>
      <x:c r="D969" s="10" t="str">
        <x:v>4120</x:v>
      </x:c>
      <x:c r="E969" s="12" t="n">
        <x:v>0</x:v>
      </x:c>
      <x:c r="F969" s="12" t="n">
        <x:v>118000</x:v>
      </x:c>
      <x:c r="G969" s="10" t="str">
        <x:v>Fakturajournal Drittland Warenlieferungen</x:v>
      </x:c>
      <x:c r="H969" s="10" t="str">
        <x:v>Umsatz</x:v>
      </x:c>
    </x:row>
    <x:row r="970" ht="14" customHeight="1">
      <x:c r="A970" s="10" t="str">
        <x:v>2024-08-0390</x:v>
      </x:c>
      <x:c r="B970" s="11" t="n">
        <x:v>45535</x:v>
      </x:c>
      <x:c r="C970" s="10" t="n">
        <x:v>8</x:v>
      </x:c>
      <x:c r="D970" s="10" t="str">
        <x:v>4730</x:v>
      </x:c>
      <x:c r="E970" s="12" t="n">
        <x:v>1920</x:v>
      </x:c>
      <x:c r="F970" s="12" t="n">
        <x:v>0</x:v>
      </x:c>
      <x:c r="G970" s="10" t="str">
        <x:v>Gutschriftjournal Retouren und Mengenrabatte</x:v>
      </x:c>
      <x:c r="H970" s="10" t="str">
        <x:v>Gutschriften</x:v>
      </x:c>
    </x:row>
    <x:row r="971" ht="14" customHeight="1">
      <x:c r="A971" s="10" t="str">
        <x:v>2024-08-0390</x:v>
      </x:c>
      <x:c r="B971" s="11" t="n">
        <x:v>45535</x:v>
      </x:c>
      <x:c r="C971" s="10" t="n">
        <x:v>8</x:v>
      </x:c>
      <x:c r="D971" s="10" t="str">
        <x:v>3801</x:v>
      </x:c>
      <x:c r="E971" s="12" t="n">
        <x:v>134.4</x:v>
      </x:c>
      <x:c r="F971" s="12" t="n">
        <x:v>0</x:v>
      </x:c>
      <x:c r="G971" s="10" t="str">
        <x:v>Gutschriftjournal Retouren und Mengenrabatte</x:v>
      </x:c>
      <x:c r="H971" s="10" t="str">
        <x:v>Gutschriften</x:v>
      </x:c>
    </x:row>
    <x:row r="972" ht="14" customHeight="1">
      <x:c r="A972" s="10" t="str">
        <x:v>2024-08-0390</x:v>
      </x:c>
      <x:c r="B972" s="11" t="n">
        <x:v>45535</x:v>
      </x:c>
      <x:c r="C972" s="10" t="n">
        <x:v>8</x:v>
      </x:c>
      <x:c r="D972" s="10" t="str">
        <x:v>1200</x:v>
      </x:c>
      <x:c r="E972" s="12" t="n">
        <x:v>0</x:v>
      </x:c>
      <x:c r="F972" s="12" t="n">
        <x:v>2054.4</x:v>
      </x:c>
      <x:c r="G972" s="10" t="str">
        <x:v>Gutschriftjournal Retouren und Mengenrabatte</x:v>
      </x:c>
      <x:c r="H972" s="10" t="str">
        <x:v>Gutschriften</x:v>
      </x:c>
    </x:row>
    <x:row r="973" ht="14" customHeight="1">
      <x:c r="A973" s="10" t="str">
        <x:v>2024-08-0391</x:v>
      </x:c>
      <x:c r="B973" s="11" t="n">
        <x:v>45535</x:v>
      </x:c>
      <x:c r="C973" s="10" t="n">
        <x:v>8</x:v>
      </x:c>
      <x:c r="D973" s="10" t="str">
        <x:v>4735</x:v>
      </x:c>
      <x:c r="E973" s="12" t="n">
        <x:v>1280</x:v>
      </x:c>
      <x:c r="F973" s="12" t="n">
        <x:v>0</x:v>
      </x:c>
      <x:c r="G973" s="10" t="str">
        <x:v>Gutschriftjournal Retouren und Mengenrabatte</x:v>
      </x:c>
      <x:c r="H973" s="10" t="str">
        <x:v>Gutschriften</x:v>
      </x:c>
    </x:row>
    <x:row r="974" ht="14" customHeight="1">
      <x:c r="A974" s="10" t="str">
        <x:v>2024-08-0391</x:v>
      </x:c>
      <x:c r="B974" s="11" t="n">
        <x:v>45535</x:v>
      </x:c>
      <x:c r="C974" s="10" t="n">
        <x:v>8</x:v>
      </x:c>
      <x:c r="D974" s="10" t="str">
        <x:v>1200</x:v>
      </x:c>
      <x:c r="E974" s="12" t="n">
        <x:v>0</x:v>
      </x:c>
      <x:c r="F974" s="12" t="n">
        <x:v>1280</x:v>
      </x:c>
      <x:c r="G974" s="10" t="str">
        <x:v>Gutschriftjournal Retouren und Mengenrabatte</x:v>
      </x:c>
      <x:c r="H974" s="10" t="str">
        <x:v>Gutschriften</x:v>
      </x:c>
    </x:row>
    <x:row r="975" ht="14" customHeight="1">
      <x:c r="A975" s="10" t="str">
        <x:v>2024-08-0392</x:v>
      </x:c>
      <x:c r="B975" s="11" t="n">
        <x:v>45535</x:v>
      </x:c>
      <x:c r="C975" s="10" t="n">
        <x:v>8</x:v>
      </x:c>
      <x:c r="D975" s="10" t="str">
        <x:v>1140</x:v>
      </x:c>
      <x:c r="E975" s="12" t="n">
        <x:v>141139.6</x:v>
      </x:c>
      <x:c r="F975" s="12" t="n">
        <x:v>0</x:v>
      </x:c>
      <x:c r="G975" s="10" t="str">
        <x:v>Wareneingang Inland 7 Prozent</x:v>
      </x:c>
      <x:c r="H975" s="10" t="str">
        <x:v>Einkauf</x:v>
      </x:c>
    </x:row>
    <x:row r="976" ht="14" customHeight="1">
      <x:c r="A976" s="10" t="str">
        <x:v>2024-08-0392</x:v>
      </x:c>
      <x:c r="B976" s="11" t="n">
        <x:v>45535</x:v>
      </x:c>
      <x:c r="C976" s="10" t="n">
        <x:v>8</x:v>
      </x:c>
      <x:c r="D976" s="10" t="str">
        <x:v>1401</x:v>
      </x:c>
      <x:c r="E976" s="12" t="n">
        <x:v>9879.77</x:v>
      </x:c>
      <x:c r="F976" s="12" t="n">
        <x:v>0</x:v>
      </x:c>
      <x:c r="G976" s="10" t="str">
        <x:v>Wareneingang Inland 7 Prozent</x:v>
      </x:c>
      <x:c r="H976" s="10" t="str">
        <x:v>Einkauf</x:v>
      </x:c>
    </x:row>
    <x:row r="977" ht="14" customHeight="1">
      <x:c r="A977" s="10" t="str">
        <x:v>2024-08-0392</x:v>
      </x:c>
      <x:c r="B977" s="11" t="n">
        <x:v>45535</x:v>
      </x:c>
      <x:c r="C977" s="10" t="n">
        <x:v>8</x:v>
      </x:c>
      <x:c r="D977" s="10" t="str">
        <x:v>3300</x:v>
      </x:c>
      <x:c r="E977" s="12" t="n">
        <x:v>0</x:v>
      </x:c>
      <x:c r="F977" s="12" t="n">
        <x:v>151019.37</x:v>
      </x:c>
      <x:c r="G977" s="10" t="str">
        <x:v>Wareneingang Inland 7 Prozent</x:v>
      </x:c>
      <x:c r="H977" s="10" t="str">
        <x:v>Einkauf</x:v>
      </x:c>
    </x:row>
    <x:row r="978" ht="14" customHeight="1">
      <x:c r="A978" s="10" t="str">
        <x:v>2024-08-0393</x:v>
      </x:c>
      <x:c r="B978" s="11" t="n">
        <x:v>45535</x:v>
      </x:c>
      <x:c r="C978" s="10" t="n">
        <x:v>8</x:v>
      </x:c>
      <x:c r="D978" s="10" t="str">
        <x:v>1140</x:v>
      </x:c>
      <x:c r="E978" s="12" t="n">
        <x:v>25999.4</x:v>
      </x:c>
      <x:c r="F978" s="12" t="n">
        <x:v>0</x:v>
      </x:c>
      <x:c r="G978" s="10" t="str">
        <x:v>Wareneingang Inland 19 Prozent</x:v>
      </x:c>
      <x:c r="H978" s="10" t="str">
        <x:v>Einkauf</x:v>
      </x:c>
    </x:row>
    <x:row r="979" ht="14" customHeight="1">
      <x:c r="A979" s="10" t="str">
        <x:v>2024-08-0393</x:v>
      </x:c>
      <x:c r="B979" s="11" t="n">
        <x:v>45535</x:v>
      </x:c>
      <x:c r="C979" s="10" t="n">
        <x:v>8</x:v>
      </x:c>
      <x:c r="D979" s="10" t="str">
        <x:v>1406</x:v>
      </x:c>
      <x:c r="E979" s="12" t="n">
        <x:v>4939.89</x:v>
      </x:c>
      <x:c r="F979" s="12" t="n">
        <x:v>0</x:v>
      </x:c>
      <x:c r="G979" s="10" t="str">
        <x:v>Wareneingang Inland 19 Prozent</x:v>
      </x:c>
      <x:c r="H979" s="10" t="str">
        <x:v>Einkauf</x:v>
      </x:c>
    </x:row>
    <x:row r="980" ht="14" customHeight="1">
      <x:c r="A980" s="10" t="str">
        <x:v>2024-08-0393</x:v>
      </x:c>
      <x:c r="B980" s="11" t="n">
        <x:v>45535</x:v>
      </x:c>
      <x:c r="C980" s="10" t="n">
        <x:v>8</x:v>
      </x:c>
      <x:c r="D980" s="10" t="str">
        <x:v>3300</x:v>
      </x:c>
      <x:c r="E980" s="12" t="n">
        <x:v>0</x:v>
      </x:c>
      <x:c r="F980" s="12" t="n">
        <x:v>30939.29</x:v>
      </x:c>
      <x:c r="G980" s="10" t="str">
        <x:v>Wareneingang Inland 19 Prozent</x:v>
      </x:c>
      <x:c r="H980" s="10" t="str">
        <x:v>Einkauf</x:v>
      </x:c>
    </x:row>
    <x:row r="981" ht="14" customHeight="1">
      <x:c r="A981" s="10" t="str">
        <x:v>2024-08-0394</x:v>
      </x:c>
      <x:c r="B981" s="11" t="n">
        <x:v>45535</x:v>
      </x:c>
      <x:c r="C981" s="10" t="n">
        <x:v>8</x:v>
      </x:c>
      <x:c r="D981" s="10" t="str">
        <x:v>1140</x:v>
      </x:c>
      <x:c r="E981" s="12" t="n">
        <x:v>74284</x:v>
      </x:c>
      <x:c r="F981" s="12" t="n">
        <x:v>0</x:v>
      </x:c>
      <x:c r="G981" s="10" t="str">
        <x:v>Wareneingang EU 7 Prozent</x:v>
      </x:c>
      <x:c r="H981" s="10" t="str">
        <x:v>Einkauf</x:v>
      </x:c>
    </x:row>
    <x:row r="982" ht="14" customHeight="1">
      <x:c r="A982" s="10" t="str">
        <x:v>2024-08-0394</x:v>
      </x:c>
      <x:c r="B982" s="11" t="n">
        <x:v>45535</x:v>
      </x:c>
      <x:c r="C982" s="10" t="n">
        <x:v>8</x:v>
      </x:c>
      <x:c r="D982" s="10" t="str">
        <x:v>3300</x:v>
      </x:c>
      <x:c r="E982" s="12" t="n">
        <x:v>0</x:v>
      </x:c>
      <x:c r="F982" s="12" t="n">
        <x:v>74284</x:v>
      </x:c>
      <x:c r="G982" s="10" t="str">
        <x:v>Wareneingang EU 7 Prozent</x:v>
      </x:c>
      <x:c r="H982" s="10" t="str">
        <x:v>Einkauf</x:v>
      </x:c>
    </x:row>
    <x:row r="983" ht="14" customHeight="1">
      <x:c r="A983" s="10" t="str">
        <x:v>2024-08-0394</x:v>
      </x:c>
      <x:c r="B983" s="11" t="n">
        <x:v>45535</x:v>
      </x:c>
      <x:c r="C983" s="10" t="n">
        <x:v>8</x:v>
      </x:c>
      <x:c r="D983" s="10" t="str">
        <x:v>1404</x:v>
      </x:c>
      <x:c r="E983" s="12" t="n">
        <x:v>5199.88</x:v>
      </x:c>
      <x:c r="F983" s="12" t="n">
        <x:v>0</x:v>
      </x:c>
      <x:c r="G983" s="10" t="str">
        <x:v>Wareneingang EU 7 Prozent</x:v>
      </x:c>
      <x:c r="H983" s="10" t="str">
        <x:v>Einkauf</x:v>
      </x:c>
    </x:row>
    <x:row r="984" ht="14" customHeight="1">
      <x:c r="A984" s="10" t="str">
        <x:v>2024-08-0394</x:v>
      </x:c>
      <x:c r="B984" s="11" t="n">
        <x:v>45535</x:v>
      </x:c>
      <x:c r="C984" s="10" t="n">
        <x:v>8</x:v>
      </x:c>
      <x:c r="D984" s="10" t="str">
        <x:v>3804</x:v>
      </x:c>
      <x:c r="E984" s="12" t="n">
        <x:v>0</x:v>
      </x:c>
      <x:c r="F984" s="12" t="n">
        <x:v>5199.88</x:v>
      </x:c>
      <x:c r="G984" s="10" t="str">
        <x:v>Wareneingang EU 7 Prozent</x:v>
      </x:c>
      <x:c r="H984" s="10" t="str">
        <x:v>Einkauf</x:v>
      </x:c>
    </x:row>
    <x:row r="985" ht="14" customHeight="1">
      <x:c r="A985" s="10" t="str">
        <x:v>2024-08-0395</x:v>
      </x:c>
      <x:c r="B985" s="11" t="n">
        <x:v>45535</x:v>
      </x:c>
      <x:c r="C985" s="10" t="n">
        <x:v>8</x:v>
      </x:c>
      <x:c r="D985" s="10" t="str">
        <x:v>1140</x:v>
      </x:c>
      <x:c r="E985" s="12" t="n">
        <x:v>18571</x:v>
      </x:c>
      <x:c r="F985" s="12" t="n">
        <x:v>0</x:v>
      </x:c>
      <x:c r="G985" s="10" t="str">
        <x:v>Wareneingang EU 19 Prozent</x:v>
      </x:c>
      <x:c r="H985" s="10" t="str">
        <x:v>Einkauf</x:v>
      </x:c>
    </x:row>
    <x:row r="986" ht="14" customHeight="1">
      <x:c r="A986" s="10" t="str">
        <x:v>2024-08-0395</x:v>
      </x:c>
      <x:c r="B986" s="11" t="n">
        <x:v>45535</x:v>
      </x:c>
      <x:c r="C986" s="10" t="n">
        <x:v>8</x:v>
      </x:c>
      <x:c r="D986" s="10" t="str">
        <x:v>3300</x:v>
      </x:c>
      <x:c r="E986" s="12" t="n">
        <x:v>0</x:v>
      </x:c>
      <x:c r="F986" s="12" t="n">
        <x:v>18571</x:v>
      </x:c>
      <x:c r="G986" s="10" t="str">
        <x:v>Wareneingang EU 19 Prozent</x:v>
      </x:c>
      <x:c r="H986" s="10" t="str">
        <x:v>Einkauf</x:v>
      </x:c>
    </x:row>
    <x:row r="987" ht="14" customHeight="1">
      <x:c r="A987" s="10" t="str">
        <x:v>2024-08-0395</x:v>
      </x:c>
      <x:c r="B987" s="11" t="n">
        <x:v>45535</x:v>
      </x:c>
      <x:c r="C987" s="10" t="n">
        <x:v>8</x:v>
      </x:c>
      <x:c r="D987" s="10" t="str">
        <x:v>1409</x:v>
      </x:c>
      <x:c r="E987" s="12" t="n">
        <x:v>3528.49</x:v>
      </x:c>
      <x:c r="F987" s="12" t="n">
        <x:v>0</x:v>
      </x:c>
      <x:c r="G987" s="10" t="str">
        <x:v>Wareneingang EU 19 Prozent</x:v>
      </x:c>
      <x:c r="H987" s="10" t="str">
        <x:v>Einkauf</x:v>
      </x:c>
    </x:row>
    <x:row r="988" ht="14" customHeight="1">
      <x:c r="A988" s="10" t="str">
        <x:v>2024-08-0395</x:v>
      </x:c>
      <x:c r="B988" s="11" t="n">
        <x:v>45535</x:v>
      </x:c>
      <x:c r="C988" s="10" t="n">
        <x:v>8</x:v>
      </x:c>
      <x:c r="D988" s="10" t="str">
        <x:v>3809</x:v>
      </x:c>
      <x:c r="E988" s="12" t="n">
        <x:v>0</x:v>
      </x:c>
      <x:c r="F988" s="12" t="n">
        <x:v>3528.49</x:v>
      </x:c>
      <x:c r="G988" s="10" t="str">
        <x:v>Wareneingang EU 19 Prozent</x:v>
      </x:c>
      <x:c r="H988" s="10" t="str">
        <x:v>Einkauf</x:v>
      </x:c>
    </x:row>
    <x:row r="989" ht="14" customHeight="1">
      <x:c r="A989" s="10" t="str">
        <x:v>2024-08-0396</x:v>
      </x:c>
      <x:c r="B989" s="11" t="n">
        <x:v>45535</x:v>
      </x:c>
      <x:c r="C989" s="10" t="n">
        <x:v>8</x:v>
      </x:c>
      <x:c r="D989" s="10" t="str">
        <x:v>1140</x:v>
      </x:c>
      <x:c r="E989" s="12" t="n">
        <x:v>111426</x:v>
      </x:c>
      <x:c r="F989" s="12" t="n">
        <x:v>0</x:v>
      </x:c>
      <x:c r="G989" s="10" t="str">
        <x:v>Wareneingang Drittland</x:v>
      </x:c>
      <x:c r="H989" s="10" t="str">
        <x:v>Einkauf</x:v>
      </x:c>
    </x:row>
    <x:row r="990" ht="14" customHeight="1">
      <x:c r="A990" s="10" t="str">
        <x:v>2024-08-0396</x:v>
      </x:c>
      <x:c r="B990" s="11" t="n">
        <x:v>45535</x:v>
      </x:c>
      <x:c r="C990" s="10" t="n">
        <x:v>8</x:v>
      </x:c>
      <x:c r="D990" s="10" t="str">
        <x:v>3300</x:v>
      </x:c>
      <x:c r="E990" s="12" t="n">
        <x:v>0</x:v>
      </x:c>
      <x:c r="F990" s="12" t="n">
        <x:v>111426</x:v>
      </x:c>
      <x:c r="G990" s="10" t="str">
        <x:v>Wareneingang Drittland</x:v>
      </x:c>
      <x:c r="H990" s="10" t="str">
        <x:v>Einkauf</x:v>
      </x:c>
    </x:row>
    <x:row r="991" ht="14" customHeight="1">
      <x:c r="A991" s="10" t="str">
        <x:v>2024-08-0397</x:v>
      </x:c>
      <x:c r="B991" s="11" t="n">
        <x:v>45526</x:v>
      </x:c>
      <x:c r="C991" s="10" t="n">
        <x:v>8</x:v>
      </x:c>
      <x:c r="D991" s="10" t="str">
        <x:v>1433</x:v>
      </x:c>
      <x:c r="E991" s="12" t="n">
        <x:v>9136.93</x:v>
      </x:c>
      <x:c r="F991" s="12" t="n">
        <x:v>0</x:v>
      </x:c>
      <x:c r="G991" s="10" t="str">
        <x:v>Einfuhrabgabenjournal bezahlte EUSt</x:v>
      </x:c>
      <x:c r="H991" s="10" t="str">
        <x:v>Einfuhrumsatzsteuer</x:v>
      </x:c>
    </x:row>
    <x:row r="992" ht="14" customHeight="1">
      <x:c r="A992" s="10" t="str">
        <x:v>2024-08-0397</x:v>
      </x:c>
      <x:c r="B992" s="11" t="n">
        <x:v>45526</x:v>
      </x:c>
      <x:c r="C992" s="10" t="n">
        <x:v>8</x:v>
      </x:c>
      <x:c r="D992" s="10" t="str">
        <x:v>1800</x:v>
      </x:c>
      <x:c r="E992" s="12" t="n">
        <x:v>0</x:v>
      </x:c>
      <x:c r="F992" s="12" t="n">
        <x:v>9136.93</x:v>
      </x:c>
      <x:c r="G992" s="10" t="str">
        <x:v>Einfuhrabgabenjournal bezahlte EUSt</x:v>
      </x:c>
      <x:c r="H992" s="10" t="str">
        <x:v>Einfuhrumsatzsteuer</x:v>
      </x:c>
    </x:row>
    <x:row r="993" ht="14" customHeight="1">
      <x:c r="A993" s="10" t="str">
        <x:v>2024-08-0398</x:v>
      </x:c>
      <x:c r="B993" s="11" t="n">
        <x:v>45535</x:v>
      </x:c>
      <x:c r="C993" s="10" t="n">
        <x:v>8</x:v>
      </x:c>
      <x:c r="D993" s="10" t="str">
        <x:v>5000</x:v>
      </x:c>
      <x:c r="E993" s="12" t="n">
        <x:v>381420</x:v>
      </x:c>
      <x:c r="F993" s="12" t="n">
        <x:v>0</x:v>
      </x:c>
      <x:c r="G993" s="10" t="str">
        <x:v>Warenabgänge zu Einstandswerten</x:v>
      </x:c>
      <x:c r="H993" s="10" t="str">
        <x:v>Verbrauch</x:v>
      </x:c>
    </x:row>
    <x:row r="994" ht="14" customHeight="1">
      <x:c r="A994" s="10" t="str">
        <x:v>2024-08-0398</x:v>
      </x:c>
      <x:c r="B994" s="11" t="n">
        <x:v>45535</x:v>
      </x:c>
      <x:c r="C994" s="10" t="n">
        <x:v>8</x:v>
      </x:c>
      <x:c r="D994" s="10" t="str">
        <x:v>1140</x:v>
      </x:c>
      <x:c r="E994" s="12" t="n">
        <x:v>0</x:v>
      </x:c>
      <x:c r="F994" s="12" t="n">
        <x:v>381420</x:v>
      </x:c>
      <x:c r="G994" s="10" t="str">
        <x:v>Warenabgänge zu Einstandswerten</x:v>
      </x:c>
      <x:c r="H994" s="10" t="str">
        <x:v>Verbrauch</x:v>
      </x:c>
    </x:row>
    <x:row r="995" ht="14" customHeight="1">
      <x:c r="A995" s="10" t="str">
        <x:v>2024-08-0399</x:v>
      </x:c>
      <x:c r="B995" s="11" t="n">
        <x:v>45535</x:v>
      </x:c>
      <x:c r="C995" s="10" t="n">
        <x:v>8</x:v>
      </x:c>
      <x:c r="D995" s="10" t="str">
        <x:v>6020</x:v>
      </x:c>
      <x:c r="E995" s="12" t="n">
        <x:v>86000</x:v>
      </x:c>
      <x:c r="F995" s="12" t="n">
        <x:v>0</x:v>
      </x:c>
      <x:c r="G995" s="10" t="str">
        <x:v>Lohnjournal 20 Beschäftigte</x:v>
      </x:c>
      <x:c r="H995" s="10" t="str">
        <x:v>Personal</x:v>
      </x:c>
    </x:row>
    <x:row r="996" ht="14" customHeight="1">
      <x:c r="A996" s="10" t="str">
        <x:v>2024-08-0399</x:v>
      </x:c>
      <x:c r="B996" s="11" t="n">
        <x:v>45535</x:v>
      </x:c>
      <x:c r="C996" s="10" t="n">
        <x:v>8</x:v>
      </x:c>
      <x:c r="D996" s="10" t="str">
        <x:v>6110</x:v>
      </x:c>
      <x:c r="E996" s="12" t="n">
        <x:v>18000</x:v>
      </x:c>
      <x:c r="F996" s="12" t="n">
        <x:v>0</x:v>
      </x:c>
      <x:c r="G996" s="10" t="str">
        <x:v>Lohnjournal 20 Beschäftigte</x:v>
      </x:c>
      <x:c r="H996" s="10" t="str">
        <x:v>Personal</x:v>
      </x:c>
    </x:row>
    <x:row r="997" ht="14" customHeight="1">
      <x:c r="A997" s="10" t="str">
        <x:v>2024-08-0399</x:v>
      </x:c>
      <x:c r="B997" s="11" t="n">
        <x:v>45535</x:v>
      </x:c>
      <x:c r="C997" s="10" t="n">
        <x:v>8</x:v>
      </x:c>
      <x:c r="D997" s="10" t="str">
        <x:v>3720</x:v>
      </x:c>
      <x:c r="E997" s="12" t="n">
        <x:v>0</x:v>
      </x:c>
      <x:c r="F997" s="12" t="n">
        <x:v>56760</x:v>
      </x:c>
      <x:c r="G997" s="10" t="str">
        <x:v>Lohnjournal 20 Beschäftigte</x:v>
      </x:c>
      <x:c r="H997" s="10" t="str">
        <x:v>Personal</x:v>
      </x:c>
    </x:row>
    <x:row r="998" ht="14" customHeight="1">
      <x:c r="A998" s="10" t="str">
        <x:v>2024-08-0399</x:v>
      </x:c>
      <x:c r="B998" s="11" t="n">
        <x:v>45535</x:v>
      </x:c>
      <x:c r="C998" s="10" t="n">
        <x:v>8</x:v>
      </x:c>
      <x:c r="D998" s="10" t="str">
        <x:v>3730</x:v>
      </x:c>
      <x:c r="E998" s="12" t="n">
        <x:v>0</x:v>
      </x:c>
      <x:c r="F998" s="12" t="n">
        <x:v>12900</x:v>
      </x:c>
      <x:c r="G998" s="10" t="str">
        <x:v>Lohnjournal 20 Beschäftigte</x:v>
      </x:c>
      <x:c r="H998" s="10" t="str">
        <x:v>Personal</x:v>
      </x:c>
    </x:row>
    <x:row r="999" ht="14" customHeight="1">
      <x:c r="A999" s="10" t="str">
        <x:v>2024-08-0399</x:v>
      </x:c>
      <x:c r="B999" s="11" t="n">
        <x:v>45535</x:v>
      </x:c>
      <x:c r="C999" s="10" t="n">
        <x:v>8</x:v>
      </x:c>
      <x:c r="D999" s="10" t="str">
        <x:v>3740</x:v>
      </x:c>
      <x:c r="E999" s="12" t="n">
        <x:v>0</x:v>
      </x:c>
      <x:c r="F999" s="12" t="n">
        <x:v>34340</x:v>
      </x:c>
      <x:c r="G999" s="10" t="str">
        <x:v>Lohnjournal 20 Beschäftigte</x:v>
      </x:c>
      <x:c r="H999" s="10" t="str">
        <x:v>Personal</x:v>
      </x:c>
    </x:row>
    <x:row r="1000" ht="14" customHeight="1">
      <x:c r="A1000" s="10" t="str">
        <x:v>2024-08-0400</x:v>
      </x:c>
      <x:c r="B1000" s="11" t="n">
        <x:v>45532</x:v>
      </x:c>
      <x:c r="C1000" s="10" t="n">
        <x:v>8</x:v>
      </x:c>
      <x:c r="D1000" s="10" t="str">
        <x:v>3720</x:v>
      </x:c>
      <x:c r="E1000" s="12" t="n">
        <x:v>56760</x:v>
      </x:c>
      <x:c r="F1000" s="12" t="n">
        <x:v>0</x:v>
      </x:c>
      <x:c r="G1000" s="10" t="str">
        <x:v>Zahlungsjournal Verbindlichkeiten Nettolöhne</x:v>
      </x:c>
      <x:c r="H1000" s="10" t="str">
        <x:v>Personalzahlung</x:v>
      </x:c>
    </x:row>
    <x:row r="1001" ht="14" customHeight="1">
      <x:c r="A1001" s="10" t="str">
        <x:v>2024-08-0400</x:v>
      </x:c>
      <x:c r="B1001" s="11" t="n">
        <x:v>45532</x:v>
      </x:c>
      <x:c r="C1001" s="10" t="n">
        <x:v>8</x:v>
      </x:c>
      <x:c r="D1001" s="10" t="str">
        <x:v>1800</x:v>
      </x:c>
      <x:c r="E1001" s="12" t="n">
        <x:v>0</x:v>
      </x:c>
      <x:c r="F1001" s="12" t="n">
        <x:v>56760</x:v>
      </x:c>
      <x:c r="G1001" s="10" t="str">
        <x:v>Zahlungsjournal Verbindlichkeiten Nettolöhne</x:v>
      </x:c>
      <x:c r="H1001" s="10" t="str">
        <x:v>Personalzahlung</x:v>
      </x:c>
    </x:row>
    <x:row r="1002" ht="14" customHeight="1">
      <x:c r="A1002" s="10" t="str">
        <x:v>2024-08-0401</x:v>
      </x:c>
      <x:c r="B1002" s="11" t="n">
        <x:v>45514</x:v>
      </x:c>
      <x:c r="C1002" s="10" t="n">
        <x:v>8</x:v>
      </x:c>
      <x:c r="D1002" s="10" t="str">
        <x:v>3730</x:v>
      </x:c>
      <x:c r="E1002" s="12" t="n">
        <x:v>12900</x:v>
      </x:c>
      <x:c r="F1002" s="12" t="n">
        <x:v>0</x:v>
      </x:c>
      <x:c r="G1002" s="10" t="str">
        <x:v>Zahlungsjournal Verbindlichkeiten Lohnsteuer</x:v>
      </x:c>
      <x:c r="H1002" s="10" t="str">
        <x:v>Personalzahlung</x:v>
      </x:c>
    </x:row>
    <x:row r="1003" ht="14" customHeight="1">
      <x:c r="A1003" s="10" t="str">
        <x:v>2024-08-0401</x:v>
      </x:c>
      <x:c r="B1003" s="11" t="n">
        <x:v>45514</x:v>
      </x:c>
      <x:c r="C1003" s="10" t="n">
        <x:v>8</x:v>
      </x:c>
      <x:c r="D1003" s="10" t="str">
        <x:v>1800</x:v>
      </x:c>
      <x:c r="E1003" s="12" t="n">
        <x:v>0</x:v>
      </x:c>
      <x:c r="F1003" s="12" t="n">
        <x:v>12900</x:v>
      </x:c>
      <x:c r="G1003" s="10" t="str">
        <x:v>Zahlungsjournal Verbindlichkeiten Lohnsteuer</x:v>
      </x:c>
      <x:c r="H1003" s="10" t="str">
        <x:v>Personalzahlung</x:v>
      </x:c>
    </x:row>
    <x:row r="1004" ht="14" customHeight="1">
      <x:c r="A1004" s="10" t="str">
        <x:v>2024-08-0402</x:v>
      </x:c>
      <x:c r="B1004" s="11" t="n">
        <x:v>45532</x:v>
      </x:c>
      <x:c r="C1004" s="10" t="n">
        <x:v>8</x:v>
      </x:c>
      <x:c r="D1004" s="10" t="str">
        <x:v>3740</x:v>
      </x:c>
      <x:c r="E1004" s="12" t="n">
        <x:v>34340</x:v>
      </x:c>
      <x:c r="F1004" s="12" t="n">
        <x:v>0</x:v>
      </x:c>
      <x:c r="G1004" s="10" t="str">
        <x:v>Zahlungsjournal Verbindlichkeiten Sozialversicherung</x:v>
      </x:c>
      <x:c r="H1004" s="10" t="str">
        <x:v>Personalzahlung</x:v>
      </x:c>
    </x:row>
    <x:row r="1005" ht="14" customHeight="1">
      <x:c r="A1005" s="10" t="str">
        <x:v>2024-08-0402</x:v>
      </x:c>
      <x:c r="B1005" s="11" t="n">
        <x:v>45532</x:v>
      </x:c>
      <x:c r="C1005" s="10" t="n">
        <x:v>8</x:v>
      </x:c>
      <x:c r="D1005" s="10" t="str">
        <x:v>1800</x:v>
      </x:c>
      <x:c r="E1005" s="12" t="n">
        <x:v>0</x:v>
      </x:c>
      <x:c r="F1005" s="12" t="n">
        <x:v>34340</x:v>
      </x:c>
      <x:c r="G1005" s="10" t="str">
        <x:v>Zahlungsjournal Verbindlichkeiten Sozialversicherung</x:v>
      </x:c>
      <x:c r="H1005" s="10" t="str">
        <x:v>Personalzahlung</x:v>
      </x:c>
    </x:row>
    <x:row r="1006" ht="14" customHeight="1">
      <x:c r="A1006" s="10" t="str">
        <x:v>2024-08-0403</x:v>
      </x:c>
      <x:c r="B1006" s="11" t="n">
        <x:v>45535</x:v>
      </x:c>
      <x:c r="C1006" s="10" t="n">
        <x:v>8</x:v>
      </x:c>
      <x:c r="D1006" s="10" t="str">
        <x:v>6310</x:v>
      </x:c>
      <x:c r="E1006" s="12" t="n">
        <x:v>4000</x:v>
      </x:c>
      <x:c r="F1006" s="12" t="n">
        <x:v>0</x:v>
      </x:c>
      <x:c r="G1006" s="10" t="str">
        <x:v>Miete Büro Nürnberg Monatsjournal</x:v>
      </x:c>
      <x:c r="H1006" s="10" t="str">
        <x:v>Betriebskosten</x:v>
      </x:c>
    </x:row>
    <x:row r="1007" ht="14" customHeight="1">
      <x:c r="A1007" s="10" t="str">
        <x:v>2024-08-0403</x:v>
      </x:c>
      <x:c r="B1007" s="11" t="n">
        <x:v>45535</x:v>
      </x:c>
      <x:c r="C1007" s="10" t="n">
        <x:v>8</x:v>
      </x:c>
      <x:c r="D1007" s="10" t="str">
        <x:v>1406</x:v>
      </x:c>
      <x:c r="E1007" s="12" t="n">
        <x:v>760</x:v>
      </x:c>
      <x:c r="F1007" s="12" t="n">
        <x:v>0</x:v>
      </x:c>
      <x:c r="G1007" s="10" t="str">
        <x:v>Miete Büro Nürnberg Monatsjournal</x:v>
      </x:c>
      <x:c r="H1007" s="10" t="str">
        <x:v>Betriebskosten</x:v>
      </x:c>
    </x:row>
    <x:row r="1008" ht="14" customHeight="1">
      <x:c r="A1008" s="10" t="str">
        <x:v>2024-08-0403</x:v>
      </x:c>
      <x:c r="B1008" s="11" t="n">
        <x:v>45535</x:v>
      </x:c>
      <x:c r="C1008" s="10" t="n">
        <x:v>8</x:v>
      </x:c>
      <x:c r="D1008" s="10" t="str">
        <x:v>3300</x:v>
      </x:c>
      <x:c r="E1008" s="12" t="n">
        <x:v>0</x:v>
      </x:c>
      <x:c r="F1008" s="12" t="n">
        <x:v>4760</x:v>
      </x:c>
      <x:c r="G1008" s="10" t="str">
        <x:v>Miete Büro Nürnberg Monatsjournal</x:v>
      </x:c>
      <x:c r="H1008" s="10" t="str">
        <x:v>Betriebskosten</x:v>
      </x:c>
    </x:row>
    <x:row r="1009" ht="14" customHeight="1">
      <x:c r="A1009" s="10" t="str">
        <x:v>2024-08-0404</x:v>
      </x:c>
      <x:c r="B1009" s="11" t="n">
        <x:v>45535</x:v>
      </x:c>
      <x:c r="C1009" s="10" t="n">
        <x:v>8</x:v>
      </x:c>
      <x:c r="D1009" s="10" t="str">
        <x:v>6311</x:v>
      </x:c>
      <x:c r="E1009" s="12" t="n">
        <x:v>10000</x:v>
      </x:c>
      <x:c r="F1009" s="12" t="n">
        <x:v>0</x:v>
      </x:c>
      <x:c r="G1009" s="10" t="str">
        <x:v>Miete Lager Erlangen Monatsjournal</x:v>
      </x:c>
      <x:c r="H1009" s="10" t="str">
        <x:v>Betriebskosten</x:v>
      </x:c>
    </x:row>
    <x:row r="1010" ht="14" customHeight="1">
      <x:c r="A1010" s="10" t="str">
        <x:v>2024-08-0404</x:v>
      </x:c>
      <x:c r="B1010" s="11" t="n">
        <x:v>45535</x:v>
      </x:c>
      <x:c r="C1010" s="10" t="n">
        <x:v>8</x:v>
      </x:c>
      <x:c r="D1010" s="10" t="str">
        <x:v>1406</x:v>
      </x:c>
      <x:c r="E1010" s="12" t="n">
        <x:v>1900</x:v>
      </x:c>
      <x:c r="F1010" s="12" t="n">
        <x:v>0</x:v>
      </x:c>
      <x:c r="G1010" s="10" t="str">
        <x:v>Miete Lager Erlangen Monatsjournal</x:v>
      </x:c>
      <x:c r="H1010" s="10" t="str">
        <x:v>Betriebskosten</x:v>
      </x:c>
    </x:row>
    <x:row r="1011" ht="14" customHeight="1">
      <x:c r="A1011" s="10" t="str">
        <x:v>2024-08-0404</x:v>
      </x:c>
      <x:c r="B1011" s="11" t="n">
        <x:v>45535</x:v>
      </x:c>
      <x:c r="C1011" s="10" t="n">
        <x:v>8</x:v>
      </x:c>
      <x:c r="D1011" s="10" t="str">
        <x:v>3300</x:v>
      </x:c>
      <x:c r="E1011" s="12" t="n">
        <x:v>0</x:v>
      </x:c>
      <x:c r="F1011" s="12" t="n">
        <x:v>11900</x:v>
      </x:c>
      <x:c r="G1011" s="10" t="str">
        <x:v>Miete Lager Erlangen Monatsjournal</x:v>
      </x:c>
      <x:c r="H1011" s="10" t="str">
        <x:v>Betriebskosten</x:v>
      </x:c>
    </x:row>
    <x:row r="1012" ht="14" customHeight="1">
      <x:c r="A1012" s="10" t="str">
        <x:v>2024-08-0405</x:v>
      </x:c>
      <x:c r="B1012" s="11" t="n">
        <x:v>45535</x:v>
      </x:c>
      <x:c r="C1012" s="10" t="n">
        <x:v>8</x:v>
      </x:c>
      <x:c r="D1012" s="10" t="str">
        <x:v>6325</x:v>
      </x:c>
      <x:c r="E1012" s="12" t="n">
        <x:v>4500</x:v>
      </x:c>
      <x:c r="F1012" s="12" t="n">
        <x:v>0</x:v>
      </x:c>
      <x:c r="G1012" s="10" t="str">
        <x:v>Strom und Kühlung Monatsjournal</x:v>
      </x:c>
      <x:c r="H1012" s="10" t="str">
        <x:v>Betriebskosten</x:v>
      </x:c>
    </x:row>
    <x:row r="1013" ht="14" customHeight="1">
      <x:c r="A1013" s="10" t="str">
        <x:v>2024-08-0405</x:v>
      </x:c>
      <x:c r="B1013" s="11" t="n">
        <x:v>45535</x:v>
      </x:c>
      <x:c r="C1013" s="10" t="n">
        <x:v>8</x:v>
      </x:c>
      <x:c r="D1013" s="10" t="str">
        <x:v>1406</x:v>
      </x:c>
      <x:c r="E1013" s="12" t="n">
        <x:v>855</x:v>
      </x:c>
      <x:c r="F1013" s="12" t="n">
        <x:v>0</x:v>
      </x:c>
      <x:c r="G1013" s="10" t="str">
        <x:v>Strom und Kühlung Monatsjournal</x:v>
      </x:c>
      <x:c r="H1013" s="10" t="str">
        <x:v>Betriebskosten</x:v>
      </x:c>
    </x:row>
    <x:row r="1014" ht="14" customHeight="1">
      <x:c r="A1014" s="10" t="str">
        <x:v>2024-08-0405</x:v>
      </x:c>
      <x:c r="B1014" s="11" t="n">
        <x:v>45535</x:v>
      </x:c>
      <x:c r="C1014" s="10" t="n">
        <x:v>8</x:v>
      </x:c>
      <x:c r="D1014" s="10" t="str">
        <x:v>3300</x:v>
      </x:c>
      <x:c r="E1014" s="12" t="n">
        <x:v>0</x:v>
      </x:c>
      <x:c r="F1014" s="12" t="n">
        <x:v>5355</x:v>
      </x:c>
      <x:c r="G1014" s="10" t="str">
        <x:v>Strom und Kühlung Monatsjournal</x:v>
      </x:c>
      <x:c r="H1014" s="10" t="str">
        <x:v>Betriebskosten</x:v>
      </x:c>
    </x:row>
    <x:row r="1015" ht="14" customHeight="1">
      <x:c r="A1015" s="10" t="str">
        <x:v>2024-08-0406</x:v>
      </x:c>
      <x:c r="B1015" s="11" t="n">
        <x:v>45535</x:v>
      </x:c>
      <x:c r="C1015" s="10" t="n">
        <x:v>8</x:v>
      </x:c>
      <x:c r="D1015" s="10" t="str">
        <x:v>6400</x:v>
      </x:c>
      <x:c r="E1015" s="12" t="n">
        <x:v>2500</x:v>
      </x:c>
      <x:c r="F1015" s="12" t="n">
        <x:v>0</x:v>
      </x:c>
      <x:c r="G1015" s="10" t="str">
        <x:v>Versicherungen Monatsjournal</x:v>
      </x:c>
      <x:c r="H1015" s="10" t="str">
        <x:v>Betriebskosten</x:v>
      </x:c>
    </x:row>
    <x:row r="1016" ht="14" customHeight="1">
      <x:c r="A1016" s="10" t="str">
        <x:v>2024-08-0406</x:v>
      </x:c>
      <x:c r="B1016" s="11" t="n">
        <x:v>45535</x:v>
      </x:c>
      <x:c r="C1016" s="10" t="n">
        <x:v>8</x:v>
      </x:c>
      <x:c r="D1016" s="10" t="str">
        <x:v>3300</x:v>
      </x:c>
      <x:c r="E1016" s="12" t="n">
        <x:v>0</x:v>
      </x:c>
      <x:c r="F1016" s="12" t="n">
        <x:v>2500</x:v>
      </x:c>
      <x:c r="G1016" s="10" t="str">
        <x:v>Versicherungen Monatsjournal</x:v>
      </x:c>
      <x:c r="H1016" s="10" t="str">
        <x:v>Betriebskosten</x:v>
      </x:c>
    </x:row>
    <x:row r="1017" ht="14" customHeight="1">
      <x:c r="A1017" s="10" t="str">
        <x:v>2024-08-0407</x:v>
      </x:c>
      <x:c r="B1017" s="11" t="n">
        <x:v>45535</x:v>
      </x:c>
      <x:c r="C1017" s="10" t="n">
        <x:v>8</x:v>
      </x:c>
      <x:c r="D1017" s="10" t="str">
        <x:v>6470</x:v>
      </x:c>
      <x:c r="E1017" s="12" t="n">
        <x:v>6000</x:v>
      </x:c>
      <x:c r="F1017" s="12" t="n">
        <x:v>0</x:v>
      </x:c>
      <x:c r="G1017" s="10" t="str">
        <x:v>Lagerbetrieb und Reinigung Monatsjournal</x:v>
      </x:c>
      <x:c r="H1017" s="10" t="str">
        <x:v>Betriebskosten</x:v>
      </x:c>
    </x:row>
    <x:row r="1018" ht="14" customHeight="1">
      <x:c r="A1018" s="10" t="str">
        <x:v>2024-08-0407</x:v>
      </x:c>
      <x:c r="B1018" s="11" t="n">
        <x:v>45535</x:v>
      </x:c>
      <x:c r="C1018" s="10" t="n">
        <x:v>8</x:v>
      </x:c>
      <x:c r="D1018" s="10" t="str">
        <x:v>1406</x:v>
      </x:c>
      <x:c r="E1018" s="12" t="n">
        <x:v>1140</x:v>
      </x:c>
      <x:c r="F1018" s="12" t="n">
        <x:v>0</x:v>
      </x:c>
      <x:c r="G1018" s="10" t="str">
        <x:v>Lagerbetrieb und Reinigung Monatsjournal</x:v>
      </x:c>
      <x:c r="H1018" s="10" t="str">
        <x:v>Betriebskosten</x:v>
      </x:c>
    </x:row>
    <x:row r="1019" ht="14" customHeight="1">
      <x:c r="A1019" s="10" t="str">
        <x:v>2024-08-0407</x:v>
      </x:c>
      <x:c r="B1019" s="11" t="n">
        <x:v>45535</x:v>
      </x:c>
      <x:c r="C1019" s="10" t="n">
        <x:v>8</x:v>
      </x:c>
      <x:c r="D1019" s="10" t="str">
        <x:v>3300</x:v>
      </x:c>
      <x:c r="E1019" s="12" t="n">
        <x:v>0</x:v>
      </x:c>
      <x:c r="F1019" s="12" t="n">
        <x:v>7140</x:v>
      </x:c>
      <x:c r="G1019" s="10" t="str">
        <x:v>Lagerbetrieb und Reinigung Monatsjournal</x:v>
      </x:c>
      <x:c r="H1019" s="10" t="str">
        <x:v>Betriebskosten</x:v>
      </x:c>
    </x:row>
    <x:row r="1020" ht="14" customHeight="1">
      <x:c r="A1020" s="10" t="str">
        <x:v>2024-08-0408</x:v>
      </x:c>
      <x:c r="B1020" s="11" t="n">
        <x:v>45535</x:v>
      </x:c>
      <x:c r="C1020" s="10" t="n">
        <x:v>8</x:v>
      </x:c>
      <x:c r="D1020" s="10" t="str">
        <x:v>6490</x:v>
      </x:c>
      <x:c r="E1020" s="12" t="n">
        <x:v>2500</x:v>
      </x:c>
      <x:c r="F1020" s="12" t="n">
        <x:v>0</x:v>
      </x:c>
      <x:c r="G1020" s="10" t="str">
        <x:v>Reparaturen und Wartung Monatsjournal</x:v>
      </x:c>
      <x:c r="H1020" s="10" t="str">
        <x:v>Betriebskosten</x:v>
      </x:c>
    </x:row>
    <x:row r="1021" ht="14" customHeight="1">
      <x:c r="A1021" s="10" t="str">
        <x:v>2024-08-0408</x:v>
      </x:c>
      <x:c r="B1021" s="11" t="n">
        <x:v>45535</x:v>
      </x:c>
      <x:c r="C1021" s="10" t="n">
        <x:v>8</x:v>
      </x:c>
      <x:c r="D1021" s="10" t="str">
        <x:v>1406</x:v>
      </x:c>
      <x:c r="E1021" s="12" t="n">
        <x:v>475</x:v>
      </x:c>
      <x:c r="F1021" s="12" t="n">
        <x:v>0</x:v>
      </x:c>
      <x:c r="G1021" s="10" t="str">
        <x:v>Reparaturen und Wartung Monatsjournal</x:v>
      </x:c>
      <x:c r="H1021" s="10" t="str">
        <x:v>Betriebskosten</x:v>
      </x:c>
    </x:row>
    <x:row r="1022" ht="14" customHeight="1">
      <x:c r="A1022" s="10" t="str">
        <x:v>2024-08-0408</x:v>
      </x:c>
      <x:c r="B1022" s="11" t="n">
        <x:v>45535</x:v>
      </x:c>
      <x:c r="C1022" s="10" t="n">
        <x:v>8</x:v>
      </x:c>
      <x:c r="D1022" s="10" t="str">
        <x:v>3300</x:v>
      </x:c>
      <x:c r="E1022" s="12" t="n">
        <x:v>0</x:v>
      </x:c>
      <x:c r="F1022" s="12" t="n">
        <x:v>2975</x:v>
      </x:c>
      <x:c r="G1022" s="10" t="str">
        <x:v>Reparaturen und Wartung Monatsjournal</x:v>
      </x:c>
      <x:c r="H1022" s="10" t="str">
        <x:v>Betriebskosten</x:v>
      </x:c>
    </x:row>
    <x:row r="1023" ht="14" customHeight="1">
      <x:c r="A1023" s="10" t="str">
        <x:v>2024-08-0409</x:v>
      </x:c>
      <x:c r="B1023" s="11" t="n">
        <x:v>45535</x:v>
      </x:c>
      <x:c r="C1023" s="10" t="n">
        <x:v>8</x:v>
      </x:c>
      <x:c r="D1023" s="10" t="str">
        <x:v>6600</x:v>
      </x:c>
      <x:c r="E1023" s="12" t="n">
        <x:v>6000</x:v>
      </x:c>
      <x:c r="F1023" s="12" t="n">
        <x:v>0</x:v>
      </x:c>
      <x:c r="G1023" s="10" t="str">
        <x:v>Marketing und Messen Monatsjournal</x:v>
      </x:c>
      <x:c r="H1023" s="10" t="str">
        <x:v>Betriebskosten</x:v>
      </x:c>
    </x:row>
    <x:row r="1024" ht="14" customHeight="1">
      <x:c r="A1024" s="10" t="str">
        <x:v>2024-08-0409</x:v>
      </x:c>
      <x:c r="B1024" s="11" t="n">
        <x:v>45535</x:v>
      </x:c>
      <x:c r="C1024" s="10" t="n">
        <x:v>8</x:v>
      </x:c>
      <x:c r="D1024" s="10" t="str">
        <x:v>1406</x:v>
      </x:c>
      <x:c r="E1024" s="12" t="n">
        <x:v>1140</x:v>
      </x:c>
      <x:c r="F1024" s="12" t="n">
        <x:v>0</x:v>
      </x:c>
      <x:c r="G1024" s="10" t="str">
        <x:v>Marketing und Messen Monatsjournal</x:v>
      </x:c>
      <x:c r="H1024" s="10" t="str">
        <x:v>Betriebskosten</x:v>
      </x:c>
    </x:row>
    <x:row r="1025" ht="14" customHeight="1">
      <x:c r="A1025" s="10" t="str">
        <x:v>2024-08-0409</x:v>
      </x:c>
      <x:c r="B1025" s="11" t="n">
        <x:v>45535</x:v>
      </x:c>
      <x:c r="C1025" s="10" t="n">
        <x:v>8</x:v>
      </x:c>
      <x:c r="D1025" s="10" t="str">
        <x:v>3300</x:v>
      </x:c>
      <x:c r="E1025" s="12" t="n">
        <x:v>0</x:v>
      </x:c>
      <x:c r="F1025" s="12" t="n">
        <x:v>7140</x:v>
      </x:c>
      <x:c r="G1025" s="10" t="str">
        <x:v>Marketing und Messen Monatsjournal</x:v>
      </x:c>
      <x:c r="H1025" s="10" t="str">
        <x:v>Betriebskosten</x:v>
      </x:c>
    </x:row>
    <x:row r="1026" ht="14" customHeight="1">
      <x:c r="A1026" s="10" t="str">
        <x:v>2024-08-0410</x:v>
      </x:c>
      <x:c r="B1026" s="11" t="n">
        <x:v>45535</x:v>
      </x:c>
      <x:c r="C1026" s="10" t="n">
        <x:v>8</x:v>
      </x:c>
      <x:c r="D1026" s="10" t="str">
        <x:v>6650</x:v>
      </x:c>
      <x:c r="E1026" s="12" t="n">
        <x:v>1500</x:v>
      </x:c>
      <x:c r="F1026" s="12" t="n">
        <x:v>0</x:v>
      </x:c>
      <x:c r="G1026" s="10" t="str">
        <x:v>Reisekosten Monatsjournal</x:v>
      </x:c>
      <x:c r="H1026" s="10" t="str">
        <x:v>Betriebskosten</x:v>
      </x:c>
    </x:row>
    <x:row r="1027" ht="14" customHeight="1">
      <x:c r="A1027" s="10" t="str">
        <x:v>2024-08-0410</x:v>
      </x:c>
      <x:c r="B1027" s="11" t="n">
        <x:v>45535</x:v>
      </x:c>
      <x:c r="C1027" s="10" t="n">
        <x:v>8</x:v>
      </x:c>
      <x:c r="D1027" s="10" t="str">
        <x:v>1406</x:v>
      </x:c>
      <x:c r="E1027" s="12" t="n">
        <x:v>285</x:v>
      </x:c>
      <x:c r="F1027" s="12" t="n">
        <x:v>0</x:v>
      </x:c>
      <x:c r="G1027" s="10" t="str">
        <x:v>Reisekosten Monatsjournal</x:v>
      </x:c>
      <x:c r="H1027" s="10" t="str">
        <x:v>Betriebskosten</x:v>
      </x:c>
    </x:row>
    <x:row r="1028" ht="14" customHeight="1">
      <x:c r="A1028" s="10" t="str">
        <x:v>2024-08-0410</x:v>
      </x:c>
      <x:c r="B1028" s="11" t="n">
        <x:v>45535</x:v>
      </x:c>
      <x:c r="C1028" s="10" t="n">
        <x:v>8</x:v>
      </x:c>
      <x:c r="D1028" s="10" t="str">
        <x:v>3300</x:v>
      </x:c>
      <x:c r="E1028" s="12" t="n">
        <x:v>0</x:v>
      </x:c>
      <x:c r="F1028" s="12" t="n">
        <x:v>1485</x:v>
      </x:c>
      <x:c r="G1028" s="10" t="str">
        <x:v>Reisekosten Monatsjournal</x:v>
      </x:c>
      <x:c r="H1028" s="10" t="str">
        <x:v>Betriebskosten</x:v>
      </x:c>
    </x:row>
    <x:row r="1029" ht="14" customHeight="1">
      <x:c r="A1029" s="10" t="str">
        <x:v>2024-08-0410</x:v>
      </x:c>
      <x:c r="B1029" s="11" t="n">
        <x:v>45535</x:v>
      </x:c>
      <x:c r="C1029" s="10" t="n">
        <x:v>8</x:v>
      </x:c>
      <x:c r="D1029" s="10" t="str">
        <x:v>1600</x:v>
      </x:c>
      <x:c r="E1029" s="12" t="n">
        <x:v>0</x:v>
      </x:c>
      <x:c r="F1029" s="12" t="n">
        <x:v>300</x:v>
      </x:c>
      <x:c r="G1029" s="10" t="str">
        <x:v>Reisekosten Monatsjournal</x:v>
      </x:c>
      <x:c r="H1029" s="10" t="str">
        <x:v>Betriebskosten</x:v>
      </x:c>
    </x:row>
    <x:row r="1030" ht="14" customHeight="1">
      <x:c r="A1030" s="10" t="str">
        <x:v>2024-08-0411</x:v>
      </x:c>
      <x:c r="B1030" s="11" t="n">
        <x:v>45535</x:v>
      </x:c>
      <x:c r="C1030" s="10" t="n">
        <x:v>8</x:v>
      </x:c>
      <x:c r="D1030" s="10" t="str">
        <x:v>6740</x:v>
      </x:c>
      <x:c r="E1030" s="12" t="n">
        <x:v>13000</x:v>
      </x:c>
      <x:c r="F1030" s="12" t="n">
        <x:v>0</x:v>
      </x:c>
      <x:c r="G1030" s="10" t="str">
        <x:v>Ausgangsfrachten Inland Monatsjournal</x:v>
      </x:c>
      <x:c r="H1030" s="10" t="str">
        <x:v>Betriebskosten</x:v>
      </x:c>
    </x:row>
    <x:row r="1031" ht="14" customHeight="1">
      <x:c r="A1031" s="10" t="str">
        <x:v>2024-08-0411</x:v>
      </x:c>
      <x:c r="B1031" s="11" t="n">
        <x:v>45535</x:v>
      </x:c>
      <x:c r="C1031" s="10" t="n">
        <x:v>8</x:v>
      </x:c>
      <x:c r="D1031" s="10" t="str">
        <x:v>1406</x:v>
      </x:c>
      <x:c r="E1031" s="12" t="n">
        <x:v>2470</x:v>
      </x:c>
      <x:c r="F1031" s="12" t="n">
        <x:v>0</x:v>
      </x:c>
      <x:c r="G1031" s="10" t="str">
        <x:v>Ausgangsfrachten Inland Monatsjournal</x:v>
      </x:c>
      <x:c r="H1031" s="10" t="str">
        <x:v>Betriebskosten</x:v>
      </x:c>
    </x:row>
    <x:row r="1032" ht="14" customHeight="1">
      <x:c r="A1032" s="10" t="str">
        <x:v>2024-08-0411</x:v>
      </x:c>
      <x:c r="B1032" s="11" t="n">
        <x:v>45535</x:v>
      </x:c>
      <x:c r="C1032" s="10" t="n">
        <x:v>8</x:v>
      </x:c>
      <x:c r="D1032" s="10" t="str">
        <x:v>3300</x:v>
      </x:c>
      <x:c r="E1032" s="12" t="n">
        <x:v>0</x:v>
      </x:c>
      <x:c r="F1032" s="12" t="n">
        <x:v>15470</x:v>
      </x:c>
      <x:c r="G1032" s="10" t="str">
        <x:v>Ausgangsfrachten Inland Monatsjournal</x:v>
      </x:c>
      <x:c r="H1032" s="10" t="str">
        <x:v>Betriebskosten</x:v>
      </x:c>
    </x:row>
    <x:row r="1033" ht="14" customHeight="1">
      <x:c r="A1033" s="10" t="str">
        <x:v>2024-08-0412</x:v>
      </x:c>
      <x:c r="B1033" s="11" t="n">
        <x:v>45535</x:v>
      </x:c>
      <x:c r="C1033" s="10" t="n">
        <x:v>8</x:v>
      </x:c>
      <x:c r="D1033" s="10" t="str">
        <x:v>6741</x:v>
      </x:c>
      <x:c r="E1033" s="12" t="n">
        <x:v>14000</x:v>
      </x:c>
      <x:c r="F1033" s="12" t="n">
        <x:v>0</x:v>
      </x:c>
      <x:c r="G1033" s="10" t="str">
        <x:v>Ausgangsfrachten Ausland Monatsjournal</x:v>
      </x:c>
      <x:c r="H1033" s="10" t="str">
        <x:v>Betriebskosten</x:v>
      </x:c>
    </x:row>
    <x:row r="1034" ht="14" customHeight="1">
      <x:c r="A1034" s="10" t="str">
        <x:v>2024-08-0412</x:v>
      </x:c>
      <x:c r="B1034" s="11" t="n">
        <x:v>45535</x:v>
      </x:c>
      <x:c r="C1034" s="10" t="n">
        <x:v>8</x:v>
      </x:c>
      <x:c r="D1034" s="10" t="str">
        <x:v>1406</x:v>
      </x:c>
      <x:c r="E1034" s="12" t="n">
        <x:v>2660</x:v>
      </x:c>
      <x:c r="F1034" s="12" t="n">
        <x:v>0</x:v>
      </x:c>
      <x:c r="G1034" s="10" t="str">
        <x:v>Ausgangsfrachten Ausland Monatsjournal</x:v>
      </x:c>
      <x:c r="H1034" s="10" t="str">
        <x:v>Betriebskosten</x:v>
      </x:c>
    </x:row>
    <x:row r="1035" ht="14" customHeight="1">
      <x:c r="A1035" s="10" t="str">
        <x:v>2024-08-0412</x:v>
      </x:c>
      <x:c r="B1035" s="11" t="n">
        <x:v>45535</x:v>
      </x:c>
      <x:c r="C1035" s="10" t="n">
        <x:v>8</x:v>
      </x:c>
      <x:c r="D1035" s="10" t="str">
        <x:v>3300</x:v>
      </x:c>
      <x:c r="E1035" s="12" t="n">
        <x:v>0</x:v>
      </x:c>
      <x:c r="F1035" s="12" t="n">
        <x:v>16660</x:v>
      </x:c>
      <x:c r="G1035" s="10" t="str">
        <x:v>Ausgangsfrachten Ausland Monatsjournal</x:v>
      </x:c>
      <x:c r="H1035" s="10" t="str">
        <x:v>Betriebskosten</x:v>
      </x:c>
    </x:row>
    <x:row r="1036" ht="14" customHeight="1">
      <x:c r="A1036" s="10" t="str">
        <x:v>2024-08-0413</x:v>
      </x:c>
      <x:c r="B1036" s="11" t="n">
        <x:v>45535</x:v>
      </x:c>
      <x:c r="C1036" s="10" t="n">
        <x:v>8</x:v>
      </x:c>
      <x:c r="D1036" s="10" t="str">
        <x:v>6805</x:v>
      </x:c>
      <x:c r="E1036" s="12" t="n">
        <x:v>1500</x:v>
      </x:c>
      <x:c r="F1036" s="12" t="n">
        <x:v>0</x:v>
      </x:c>
      <x:c r="G1036" s="10" t="str">
        <x:v>Telekommunikation und IT Monatsjournal</x:v>
      </x:c>
      <x:c r="H1036" s="10" t="str">
        <x:v>Betriebskosten</x:v>
      </x:c>
    </x:row>
    <x:row r="1037" ht="14" customHeight="1">
      <x:c r="A1037" s="10" t="str">
        <x:v>2024-08-0413</x:v>
      </x:c>
      <x:c r="B1037" s="11" t="n">
        <x:v>45535</x:v>
      </x:c>
      <x:c r="C1037" s="10" t="n">
        <x:v>8</x:v>
      </x:c>
      <x:c r="D1037" s="10" t="str">
        <x:v>1406</x:v>
      </x:c>
      <x:c r="E1037" s="12" t="n">
        <x:v>285</x:v>
      </x:c>
      <x:c r="F1037" s="12" t="n">
        <x:v>0</x:v>
      </x:c>
      <x:c r="G1037" s="10" t="str">
        <x:v>Telekommunikation und IT Monatsjournal</x:v>
      </x:c>
      <x:c r="H1037" s="10" t="str">
        <x:v>Betriebskosten</x:v>
      </x:c>
    </x:row>
    <x:row r="1038" ht="14" customHeight="1">
      <x:c r="A1038" s="10" t="str">
        <x:v>2024-08-0413</x:v>
      </x:c>
      <x:c r="B1038" s="11" t="n">
        <x:v>45535</x:v>
      </x:c>
      <x:c r="C1038" s="10" t="n">
        <x:v>8</x:v>
      </x:c>
      <x:c r="D1038" s="10" t="str">
        <x:v>3300</x:v>
      </x:c>
      <x:c r="E1038" s="12" t="n">
        <x:v>0</x:v>
      </x:c>
      <x:c r="F1038" s="12" t="n">
        <x:v>1785</x:v>
      </x:c>
      <x:c r="G1038" s="10" t="str">
        <x:v>Telekommunikation und IT Monatsjournal</x:v>
      </x:c>
      <x:c r="H1038" s="10" t="str">
        <x:v>Betriebskosten</x:v>
      </x:c>
    </x:row>
    <x:row r="1039" ht="14" customHeight="1">
      <x:c r="A1039" s="10" t="str">
        <x:v>2024-08-0414</x:v>
      </x:c>
      <x:c r="B1039" s="11" t="n">
        <x:v>45535</x:v>
      </x:c>
      <x:c r="C1039" s="10" t="n">
        <x:v>8</x:v>
      </x:c>
      <x:c r="D1039" s="10" t="str">
        <x:v>6825</x:v>
      </x:c>
      <x:c r="E1039" s="12" t="n">
        <x:v>3000</x:v>
      </x:c>
      <x:c r="F1039" s="12" t="n">
        <x:v>0</x:v>
      </x:c>
      <x:c r="G1039" s="10" t="str">
        <x:v>Rechtsberatung und Buchführung Monatsjournal</x:v>
      </x:c>
      <x:c r="H1039" s="10" t="str">
        <x:v>Betriebskosten</x:v>
      </x:c>
    </x:row>
    <x:row r="1040" ht="14" customHeight="1">
      <x:c r="A1040" s="10" t="str">
        <x:v>2024-08-0414</x:v>
      </x:c>
      <x:c r="B1040" s="11" t="n">
        <x:v>45535</x:v>
      </x:c>
      <x:c r="C1040" s="10" t="n">
        <x:v>8</x:v>
      </x:c>
      <x:c r="D1040" s="10" t="str">
        <x:v>1406</x:v>
      </x:c>
      <x:c r="E1040" s="12" t="n">
        <x:v>570</x:v>
      </x:c>
      <x:c r="F1040" s="12" t="n">
        <x:v>0</x:v>
      </x:c>
      <x:c r="G1040" s="10" t="str">
        <x:v>Rechtsberatung und Buchführung Monatsjournal</x:v>
      </x:c>
      <x:c r="H1040" s="10" t="str">
        <x:v>Betriebskosten</x:v>
      </x:c>
    </x:row>
    <x:row r="1041" ht="14" customHeight="1">
      <x:c r="A1041" s="10" t="str">
        <x:v>2024-08-0414</x:v>
      </x:c>
      <x:c r="B1041" s="11" t="n">
        <x:v>45535</x:v>
      </x:c>
      <x:c r="C1041" s="10" t="n">
        <x:v>8</x:v>
      </x:c>
      <x:c r="D1041" s="10" t="str">
        <x:v>3300</x:v>
      </x:c>
      <x:c r="E1041" s="12" t="n">
        <x:v>0</x:v>
      </x:c>
      <x:c r="F1041" s="12" t="n">
        <x:v>3570</x:v>
      </x:c>
      <x:c r="G1041" s="10" t="str">
        <x:v>Rechtsberatung und Buchführung Monatsjournal</x:v>
      </x:c>
      <x:c r="H1041" s="10" t="str">
        <x:v>Betriebskosten</x:v>
      </x:c>
    </x:row>
    <x:row r="1042" ht="14" customHeight="1">
      <x:c r="A1042" s="10" t="str">
        <x:v>2024-08-0415</x:v>
      </x:c>
      <x:c r="B1042" s="11" t="n">
        <x:v>45535</x:v>
      </x:c>
      <x:c r="C1042" s="10" t="n">
        <x:v>8</x:v>
      </x:c>
      <x:c r="D1042" s="10" t="str">
        <x:v>6830</x:v>
      </x:c>
      <x:c r="E1042" s="12" t="n">
        <x:v>3500</x:v>
      </x:c>
      <x:c r="F1042" s="12" t="n">
        <x:v>0</x:v>
      </x:c>
      <x:c r="G1042" s="10" t="str">
        <x:v>Labor und Qualitätssicherung Monatsjournal</x:v>
      </x:c>
      <x:c r="H1042" s="10" t="str">
        <x:v>Betriebskosten</x:v>
      </x:c>
    </x:row>
    <x:row r="1043" ht="14" customHeight="1">
      <x:c r="A1043" s="10" t="str">
        <x:v>2024-08-0415</x:v>
      </x:c>
      <x:c r="B1043" s="11" t="n">
        <x:v>45535</x:v>
      </x:c>
      <x:c r="C1043" s="10" t="n">
        <x:v>8</x:v>
      </x:c>
      <x:c r="D1043" s="10" t="str">
        <x:v>1406</x:v>
      </x:c>
      <x:c r="E1043" s="12" t="n">
        <x:v>665</x:v>
      </x:c>
      <x:c r="F1043" s="12" t="n">
        <x:v>0</x:v>
      </x:c>
      <x:c r="G1043" s="10" t="str">
        <x:v>Labor und Qualitätssicherung Monatsjournal</x:v>
      </x:c>
      <x:c r="H1043" s="10" t="str">
        <x:v>Betriebskosten</x:v>
      </x:c>
    </x:row>
    <x:row r="1044" ht="14" customHeight="1">
      <x:c r="A1044" s="10" t="str">
        <x:v>2024-08-0415</x:v>
      </x:c>
      <x:c r="B1044" s="11" t="n">
        <x:v>45535</x:v>
      </x:c>
      <x:c r="C1044" s="10" t="n">
        <x:v>8</x:v>
      </x:c>
      <x:c r="D1044" s="10" t="str">
        <x:v>3300</x:v>
      </x:c>
      <x:c r="E1044" s="12" t="n">
        <x:v>0</x:v>
      </x:c>
      <x:c r="F1044" s="12" t="n">
        <x:v>4165</x:v>
      </x:c>
      <x:c r="G1044" s="10" t="str">
        <x:v>Labor und Qualitätssicherung Monatsjournal</x:v>
      </x:c>
      <x:c r="H1044" s="10" t="str">
        <x:v>Betriebskosten</x:v>
      </x:c>
    </x:row>
    <x:row r="1045" ht="14" customHeight="1">
      <x:c r="A1045" s="10" t="str">
        <x:v>2024-08-0416</x:v>
      </x:c>
      <x:c r="B1045" s="11" t="n">
        <x:v>45535</x:v>
      </x:c>
      <x:c r="C1045" s="10" t="n">
        <x:v>8</x:v>
      </x:c>
      <x:c r="D1045" s="10" t="str">
        <x:v>6850</x:v>
      </x:c>
      <x:c r="E1045" s="12" t="n">
        <x:v>2000</x:v>
      </x:c>
      <x:c r="F1045" s="12" t="n">
        <x:v>0</x:v>
      </x:c>
      <x:c r="G1045" s="10" t="str">
        <x:v>Bürobedarf und übriger Aufwand Monatsjournal</x:v>
      </x:c>
      <x:c r="H1045" s="10" t="str">
        <x:v>Betriebskosten</x:v>
      </x:c>
    </x:row>
    <x:row r="1046" ht="14" customHeight="1">
      <x:c r="A1046" s="10" t="str">
        <x:v>2024-08-0416</x:v>
      </x:c>
      <x:c r="B1046" s="11" t="n">
        <x:v>45535</x:v>
      </x:c>
      <x:c r="C1046" s="10" t="n">
        <x:v>8</x:v>
      </x:c>
      <x:c r="D1046" s="10" t="str">
        <x:v>1406</x:v>
      </x:c>
      <x:c r="E1046" s="12" t="n">
        <x:v>380</x:v>
      </x:c>
      <x:c r="F1046" s="12" t="n">
        <x:v>0</x:v>
      </x:c>
      <x:c r="G1046" s="10" t="str">
        <x:v>Bürobedarf und übriger Aufwand Monatsjournal</x:v>
      </x:c>
      <x:c r="H1046" s="10" t="str">
        <x:v>Betriebskosten</x:v>
      </x:c>
    </x:row>
    <x:row r="1047" ht="14" customHeight="1">
      <x:c r="A1047" s="10" t="str">
        <x:v>2024-08-0416</x:v>
      </x:c>
      <x:c r="B1047" s="11" t="n">
        <x:v>45535</x:v>
      </x:c>
      <x:c r="C1047" s="10" t="n">
        <x:v>8</x:v>
      </x:c>
      <x:c r="D1047" s="10" t="str">
        <x:v>3300</x:v>
      </x:c>
      <x:c r="E1047" s="12" t="n">
        <x:v>0</x:v>
      </x:c>
      <x:c r="F1047" s="12" t="n">
        <x:v>2380</x:v>
      </x:c>
      <x:c r="G1047" s="10" t="str">
        <x:v>Bürobedarf und übriger Aufwand Monatsjournal</x:v>
      </x:c>
      <x:c r="H1047" s="10" t="str">
        <x:v>Betriebskosten</x:v>
      </x:c>
    </x:row>
    <x:row r="1048" ht="14" customHeight="1">
      <x:c r="A1048" s="10" t="str">
        <x:v>2024-08-0417</x:v>
      </x:c>
      <x:c r="B1048" s="11" t="n">
        <x:v>45535</x:v>
      </x:c>
      <x:c r="C1048" s="10" t="n">
        <x:v>8</x:v>
      </x:c>
      <x:c r="D1048" s="10" t="str">
        <x:v>6859</x:v>
      </x:c>
      <x:c r="E1048" s="12" t="n">
        <x:v>500</x:v>
      </x:c>
      <x:c r="F1048" s="12" t="n">
        <x:v>0</x:v>
      </x:c>
      <x:c r="G1048" s="10" t="str">
        <x:v>Bankgebühren Monatsjournal</x:v>
      </x:c>
      <x:c r="H1048" s="10" t="str">
        <x:v>Betriebskosten</x:v>
      </x:c>
    </x:row>
    <x:row r="1049" ht="14" customHeight="1">
      <x:c r="A1049" s="10" t="str">
        <x:v>2024-08-0417</x:v>
      </x:c>
      <x:c r="B1049" s="11" t="n">
        <x:v>45535</x:v>
      </x:c>
      <x:c r="C1049" s="10" t="n">
        <x:v>8</x:v>
      </x:c>
      <x:c r="D1049" s="10" t="str">
        <x:v>3300</x:v>
      </x:c>
      <x:c r="E1049" s="12" t="n">
        <x:v>0</x:v>
      </x:c>
      <x:c r="F1049" s="12" t="n">
        <x:v>500</x:v>
      </x:c>
      <x:c r="G1049" s="10" t="str">
        <x:v>Bankgebühren Monatsjournal</x:v>
      </x:c>
      <x:c r="H1049" s="10" t="str">
        <x:v>Betriebskosten</x:v>
      </x:c>
    </x:row>
    <x:row r="1050" ht="14" customHeight="1">
      <x:c r="A1050" s="10" t="str">
        <x:v>2024-08-0418</x:v>
      </x:c>
      <x:c r="B1050" s="11" t="n">
        <x:v>45509</x:v>
      </x:c>
      <x:c r="C1050" s="10" t="n">
        <x:v>8</x:v>
      </x:c>
      <x:c r="D1050" s="10" t="str">
        <x:v>1600</x:v>
      </x:c>
      <x:c r="E1050" s="12" t="n">
        <x:v>300</x:v>
      </x:c>
      <x:c r="F1050" s="12" t="n">
        <x:v>0</x:v>
      </x:c>
      <x:c r="G1050" s="10" t="str">
        <x:v>Kassenvorschuss Reisekosten</x:v>
      </x:c>
      <x:c r="H1050" s="10" t="str">
        <x:v>Kassenumbuchung</x:v>
      </x:c>
    </x:row>
    <x:row r="1051" ht="14" customHeight="1">
      <x:c r="A1051" s="10" t="str">
        <x:v>2024-08-0418</x:v>
      </x:c>
      <x:c r="B1051" s="11" t="n">
        <x:v>45509</x:v>
      </x:c>
      <x:c r="C1051" s="10" t="n">
        <x:v>8</x:v>
      </x:c>
      <x:c r="D1051" s="10" t="str">
        <x:v>1800</x:v>
      </x:c>
      <x:c r="E1051" s="12" t="n">
        <x:v>0</x:v>
      </x:c>
      <x:c r="F1051" s="12" t="n">
        <x:v>300</x:v>
      </x:c>
      <x:c r="G1051" s="10" t="str">
        <x:v>Kassenvorschuss Reisekosten</x:v>
      </x:c>
      <x:c r="H1051" s="10" t="str">
        <x:v>Kassenumbuchung</x:v>
      </x:c>
    </x:row>
    <x:row r="1052" ht="14" customHeight="1">
      <x:c r="A1052" s="10" t="str">
        <x:v>2024-08-0419</x:v>
      </x:c>
      <x:c r="B1052" s="11" t="n">
        <x:v>45535</x:v>
      </x:c>
      <x:c r="C1052" s="10" t="n">
        <x:v>8</x:v>
      </x:c>
      <x:c r="D1052" s="10" t="str">
        <x:v>6220</x:v>
      </x:c>
      <x:c r="E1052" s="12" t="n">
        <x:v>500</x:v>
      </x:c>
      <x:c r="F1052" s="12" t="n">
        <x:v>0</x:v>
      </x:c>
      <x:c r="G1052" s="10" t="str">
        <x:v>Software Monatsabschreibung</x:v>
      </x:c>
      <x:c r="H1052" s="10" t="str">
        <x:v>Abschreibung</x:v>
      </x:c>
    </x:row>
    <x:row r="1053" ht="14" customHeight="1">
      <x:c r="A1053" s="10" t="str">
        <x:v>2024-08-0419</x:v>
      </x:c>
      <x:c r="B1053" s="11" t="n">
        <x:v>45535</x:v>
      </x:c>
      <x:c r="C1053" s="10" t="n">
        <x:v>8</x:v>
      </x:c>
      <x:c r="D1053" s="10" t="str">
        <x:v>0100</x:v>
      </x:c>
      <x:c r="E1053" s="12" t="n">
        <x:v>0</x:v>
      </x:c>
      <x:c r="F1053" s="12" t="n">
        <x:v>500</x:v>
      </x:c>
      <x:c r="G1053" s="10" t="str">
        <x:v>Software Monatsabschreibung</x:v>
      </x:c>
      <x:c r="H1053" s="10" t="str">
        <x:v>Abschreibung</x:v>
      </x:c>
    </x:row>
    <x:row r="1054" ht="14" customHeight="1">
      <x:c r="A1054" s="10" t="str">
        <x:v>2024-08-0420</x:v>
      </x:c>
      <x:c r="B1054" s="11" t="n">
        <x:v>45535</x:v>
      </x:c>
      <x:c r="C1054" s="10" t="n">
        <x:v>8</x:v>
      </x:c>
      <x:c r="D1054" s="10" t="str">
        <x:v>6220</x:v>
      </x:c>
      <x:c r="E1054" s="12" t="n">
        <x:v>2500</x:v>
      </x:c>
      <x:c r="F1054" s="12" t="n">
        <x:v>0</x:v>
      </x:c>
      <x:c r="G1054" s="10" t="str">
        <x:v>Lagereinbauten Erlangen Monatsabschreibung</x:v>
      </x:c>
      <x:c r="H1054" s="10" t="str">
        <x:v>Abschreibung</x:v>
      </x:c>
    </x:row>
    <x:row r="1055" ht="14" customHeight="1">
      <x:c r="A1055" s="10" t="str">
        <x:v>2024-08-0420</x:v>
      </x:c>
      <x:c r="B1055" s="11" t="n">
        <x:v>45535</x:v>
      </x:c>
      <x:c r="C1055" s="10" t="n">
        <x:v>8</x:v>
      </x:c>
      <x:c r="D1055" s="10" t="str">
        <x:v>0400</x:v>
      </x:c>
      <x:c r="E1055" s="12" t="n">
        <x:v>0</x:v>
      </x:c>
      <x:c r="F1055" s="12" t="n">
        <x:v>2500</x:v>
      </x:c>
      <x:c r="G1055" s="10" t="str">
        <x:v>Lagereinbauten Erlangen Monatsabschreibung</x:v>
      </x:c>
      <x:c r="H1055" s="10" t="str">
        <x:v>Abschreibung</x:v>
      </x:c>
    </x:row>
    <x:row r="1056" ht="14" customHeight="1">
      <x:c r="A1056" s="10" t="str">
        <x:v>2024-08-0421</x:v>
      </x:c>
      <x:c r="B1056" s="11" t="n">
        <x:v>45535</x:v>
      </x:c>
      <x:c r="C1056" s="10" t="n">
        <x:v>8</x:v>
      </x:c>
      <x:c r="D1056" s="10" t="str">
        <x:v>6220</x:v>
      </x:c>
      <x:c r="E1056" s="12" t="n">
        <x:v>1500</x:v>
      </x:c>
      <x:c r="F1056" s="12" t="n">
        <x:v>0</x:v>
      </x:c>
      <x:c r="G1056" s="10" t="str">
        <x:v>Flurförderzeuge Monatsabschreibung</x:v>
      </x:c>
      <x:c r="H1056" s="10" t="str">
        <x:v>Abschreibung</x:v>
      </x:c>
    </x:row>
    <x:row r="1057" ht="14" customHeight="1">
      <x:c r="A1057" s="10" t="str">
        <x:v>2024-08-0421</x:v>
      </x:c>
      <x:c r="B1057" s="11" t="n">
        <x:v>45535</x:v>
      </x:c>
      <x:c r="C1057" s="10" t="n">
        <x:v>8</x:v>
      </x:c>
      <x:c r="D1057" s="10" t="str">
        <x:v>0520</x:v>
      </x:c>
      <x:c r="E1057" s="12" t="n">
        <x:v>0</x:v>
      </x:c>
      <x:c r="F1057" s="12" t="n">
        <x:v>1500</x:v>
      </x:c>
      <x:c r="G1057" s="10" t="str">
        <x:v>Flurförderzeuge Monatsabschreibung</x:v>
      </x:c>
      <x:c r="H1057" s="10" t="str">
        <x:v>Abschreibung</x:v>
      </x:c>
    </x:row>
    <x:row r="1058" ht="14" customHeight="1">
      <x:c r="A1058" s="10" t="str">
        <x:v>2024-08-0422</x:v>
      </x:c>
      <x:c r="B1058" s="11" t="n">
        <x:v>45535</x:v>
      </x:c>
      <x:c r="C1058" s="10" t="n">
        <x:v>8</x:v>
      </x:c>
      <x:c r="D1058" s="10" t="str">
        <x:v>6220</x:v>
      </x:c>
      <x:c r="E1058" s="12" t="n">
        <x:v>2000</x:v>
      </x:c>
      <x:c r="F1058" s="12" t="n">
        <x:v>0</x:v>
      </x:c>
      <x:c r="G1058" s="10" t="str">
        <x:v>IT und Kommunikation Monatsabschreibung</x:v>
      </x:c>
      <x:c r="H1058" s="10" t="str">
        <x:v>Abschreibung</x:v>
      </x:c>
    </x:row>
    <x:row r="1059" ht="14" customHeight="1">
      <x:c r="A1059" s="10" t="str">
        <x:v>2024-08-0422</x:v>
      </x:c>
      <x:c r="B1059" s="11" t="n">
        <x:v>45535</x:v>
      </x:c>
      <x:c r="C1059" s="10" t="n">
        <x:v>8</x:v>
      </x:c>
      <x:c r="D1059" s="10" t="str">
        <x:v>0650</x:v>
      </x:c>
      <x:c r="E1059" s="12" t="n">
        <x:v>0</x:v>
      </x:c>
      <x:c r="F1059" s="12" t="n">
        <x:v>2000</x:v>
      </x:c>
      <x:c r="G1059" s="10" t="str">
        <x:v>IT und Kommunikation Monatsabschreibung</x:v>
      </x:c>
      <x:c r="H1059" s="10" t="str">
        <x:v>Abschreibung</x:v>
      </x:c>
    </x:row>
    <x:row r="1060" ht="14" customHeight="1">
      <x:c r="A1060" s="10" t="str">
        <x:v>2024-08-0423</x:v>
      </x:c>
      <x:c r="B1060" s="11" t="n">
        <x:v>45535</x:v>
      </x:c>
      <x:c r="C1060" s="10" t="n">
        <x:v>8</x:v>
      </x:c>
      <x:c r="D1060" s="10" t="str">
        <x:v>6220</x:v>
      </x:c>
      <x:c r="E1060" s="12" t="n">
        <x:v>1000</x:v>
      </x:c>
      <x:c r="F1060" s="12" t="n">
        <x:v>0</x:v>
      </x:c>
      <x:c r="G1060" s="10" t="str">
        <x:v>Büroausstattung Monatsabschreibung</x:v>
      </x:c>
      <x:c r="H1060" s="10" t="str">
        <x:v>Abschreibung</x:v>
      </x:c>
    </x:row>
    <x:row r="1061" ht="14" customHeight="1">
      <x:c r="A1061" s="10" t="str">
        <x:v>2024-08-0423</x:v>
      </x:c>
      <x:c r="B1061" s="11" t="n">
        <x:v>45535</x:v>
      </x:c>
      <x:c r="C1061" s="10" t="n">
        <x:v>8</x:v>
      </x:c>
      <x:c r="D1061" s="10" t="str">
        <x:v>0670</x:v>
      </x:c>
      <x:c r="E1061" s="12" t="n">
        <x:v>0</x:v>
      </x:c>
      <x:c r="F1061" s="12" t="n">
        <x:v>1000</x:v>
      </x:c>
      <x:c r="G1061" s="10" t="str">
        <x:v>Büroausstattung Monatsabschreibung</x:v>
      </x:c>
      <x:c r="H1061" s="10" t="str">
        <x:v>Abschreibung</x:v>
      </x:c>
    </x:row>
    <x:row r="1062" ht="14" customHeight="1">
      <x:c r="A1062" s="10" t="str">
        <x:v>2024-08-0424</x:v>
      </x:c>
      <x:c r="B1062" s="11" t="n">
        <x:v>45534</x:v>
      </x:c>
      <x:c r="C1062" s="10" t="n">
        <x:v>8</x:v>
      </x:c>
      <x:c r="D1062" s="10" t="str">
        <x:v>3150</x:v>
      </x:c>
      <x:c r="E1062" s="12" t="n">
        <x:v>10000</x:v>
      </x:c>
      <x:c r="F1062" s="12" t="n">
        <x:v>0</x:v>
      </x:c>
      <x:c r="G1062" s="10" t="str">
        <x:v>Investitionsdarlehen Tilgungsrate</x:v>
      </x:c>
      <x:c r="H1062" s="10" t="str">
        <x:v>Tilgung</x:v>
      </x:c>
    </x:row>
    <x:row r="1063" ht="14" customHeight="1">
      <x:c r="A1063" s="10" t="str">
        <x:v>2024-08-0424</x:v>
      </x:c>
      <x:c r="B1063" s="11" t="n">
        <x:v>45534</x:v>
      </x:c>
      <x:c r="C1063" s="10" t="n">
        <x:v>8</x:v>
      </x:c>
      <x:c r="D1063" s="10" t="str">
        <x:v>1800</x:v>
      </x:c>
      <x:c r="E1063" s="12" t="n">
        <x:v>0</x:v>
      </x:c>
      <x:c r="F1063" s="12" t="n">
        <x:v>10000</x:v>
      </x:c>
      <x:c r="G1063" s="10" t="str">
        <x:v>Investitionsdarlehen Tilgungsrate</x:v>
      </x:c>
      <x:c r="H1063" s="10" t="str">
        <x:v>Tilgung</x:v>
      </x:c>
    </x:row>
    <x:row r="1064" ht="14" customHeight="1">
      <x:c r="A1064" s="10" t="str">
        <x:v>2024-08-0425</x:v>
      </x:c>
      <x:c r="B1064" s="11" t="n">
        <x:v>45535</x:v>
      </x:c>
      <x:c r="C1064" s="10" t="n">
        <x:v>8</x:v>
      </x:c>
      <x:c r="D1064" s="10" t="str">
        <x:v>7300</x:v>
      </x:c>
      <x:c r="E1064" s="12" t="n">
        <x:v>2500</x:v>
      </x:c>
      <x:c r="F1064" s="12" t="n">
        <x:v>0</x:v>
      </x:c>
      <x:c r="G1064" s="10" t="str">
        <x:v>Investitionsdarlehen Zinsabrechnung</x:v>
      </x:c>
      <x:c r="H1064" s="10" t="str">
        <x:v>Zinsen</x:v>
      </x:c>
    </x:row>
    <x:row r="1065" ht="14" customHeight="1">
      <x:c r="A1065" s="10" t="str">
        <x:v>2024-08-0425</x:v>
      </x:c>
      <x:c r="B1065" s="11" t="n">
        <x:v>45535</x:v>
      </x:c>
      <x:c r="C1065" s="10" t="n">
        <x:v>8</x:v>
      </x:c>
      <x:c r="D1065" s="10" t="str">
        <x:v>1800</x:v>
      </x:c>
      <x:c r="E1065" s="12" t="n">
        <x:v>0</x:v>
      </x:c>
      <x:c r="F1065" s="12" t="n">
        <x:v>2500</x:v>
      </x:c>
      <x:c r="G1065" s="10" t="str">
        <x:v>Investitionsdarlehen Zinsabrechnung</x:v>
      </x:c>
      <x:c r="H1065" s="10" t="str">
        <x:v>Zinsen</x:v>
      </x:c>
    </x:row>
    <x:row r="1066" ht="14" customHeight="1">
      <x:c r="A1066" s="10" t="str">
        <x:v>2024-08-0426</x:v>
      </x:c>
      <x:c r="B1066" s="11" t="n">
        <x:v>45535</x:v>
      </x:c>
      <x:c r="C1066" s="10" t="n">
        <x:v>8</x:v>
      </x:c>
      <x:c r="D1066" s="10" t="str">
        <x:v>7310</x:v>
      </x:c>
      <x:c r="E1066" s="12" t="n">
        <x:v>1000</x:v>
      </x:c>
      <x:c r="F1066" s="12" t="n">
        <x:v>0</x:v>
      </x:c>
      <x:c r="G1066" s="10" t="str">
        <x:v>Kontokorrent Zinsen und Bereitstellung</x:v>
      </x:c>
      <x:c r="H1066" s="10" t="str">
        <x:v>Zinsen</x:v>
      </x:c>
    </x:row>
    <x:row r="1067" ht="14" customHeight="1">
      <x:c r="A1067" s="10" t="str">
        <x:v>2024-08-0426</x:v>
      </x:c>
      <x:c r="B1067" s="11" t="n">
        <x:v>45535</x:v>
      </x:c>
      <x:c r="C1067" s="10" t="n">
        <x:v>8</x:v>
      </x:c>
      <x:c r="D1067" s="10" t="str">
        <x:v>1800</x:v>
      </x:c>
      <x:c r="E1067" s="12" t="n">
        <x:v>0</x:v>
      </x:c>
      <x:c r="F1067" s="12" t="n">
        <x:v>1000</x:v>
      </x:c>
      <x:c r="G1067" s="10" t="str">
        <x:v>Kontokorrent Zinsen und Bereitstellung</x:v>
      </x:c>
      <x:c r="H1067" s="10" t="str">
        <x:v>Zinsen</x:v>
      </x:c>
    </x:row>
    <x:row r="1068" ht="14" customHeight="1">
      <x:c r="A1068" s="10" t="str">
        <x:v>2024-08-0427</x:v>
      </x:c>
      <x:c r="B1068" s="11" t="n">
        <x:v>45535</x:v>
      </x:c>
      <x:c r="C1068" s="10" t="n">
        <x:v>8</x:v>
      </x:c>
      <x:c r="D1068" s="10" t="str">
        <x:v>1800</x:v>
      </x:c>
      <x:c r="E1068" s="12" t="n">
        <x:v>639941.6</x:v>
      </x:c>
      <x:c r="F1068" s="12" t="n">
        <x:v>0</x:v>
      </x:c>
      <x:c r="G1068" s="10" t="str">
        <x:v>Bankjournal Kundeneingänge brutto</x:v>
      </x:c>
      <x:c r="H1068" s="10" t="str">
        <x:v>Kundenzahlungen</x:v>
      </x:c>
    </x:row>
    <x:row r="1069" ht="14" customHeight="1">
      <x:c r="A1069" s="10" t="str">
        <x:v>2024-08-0427</x:v>
      </x:c>
      <x:c r="B1069" s="11" t="n">
        <x:v>45535</x:v>
      </x:c>
      <x:c r="C1069" s="10" t="n">
        <x:v>8</x:v>
      </x:c>
      <x:c r="D1069" s="10" t="str">
        <x:v>1200</x:v>
      </x:c>
      <x:c r="E1069" s="12" t="n">
        <x:v>0</x:v>
      </x:c>
      <x:c r="F1069" s="12" t="n">
        <x:v>639941.6</x:v>
      </x:c>
      <x:c r="G1069" s="10" t="str">
        <x:v>Bankjournal Kundeneingänge brutto</x:v>
      </x:c>
      <x:c r="H1069" s="10" t="str">
        <x:v>Kundenzahlungen</x:v>
      </x:c>
    </x:row>
    <x:row r="1070" ht="14" customHeight="1">
      <x:c r="A1070" s="10" t="str">
        <x:v>2024-08-0428</x:v>
      </x:c>
      <x:c r="B1070" s="11" t="n">
        <x:v>45535</x:v>
      </x:c>
      <x:c r="C1070" s="10" t="n">
        <x:v>8</x:v>
      </x:c>
      <x:c r="D1070" s="10" t="str">
        <x:v>3300</x:v>
      </x:c>
      <x:c r="E1070" s="12" t="n">
        <x:v>494024.66</x:v>
      </x:c>
      <x:c r="F1070" s="12" t="n">
        <x:v>0</x:v>
      </x:c>
      <x:c r="G1070" s="10" t="str">
        <x:v>Bankjournal Lieferantenzahlungen brutto</x:v>
      </x:c>
      <x:c r="H1070" s="10" t="str">
        <x:v>Lieferantenzahlungen</x:v>
      </x:c>
    </x:row>
    <x:row r="1071" ht="14" customHeight="1">
      <x:c r="A1071" s="10" t="str">
        <x:v>2024-08-0428</x:v>
      </x:c>
      <x:c r="B1071" s="11" t="n">
        <x:v>45535</x:v>
      </x:c>
      <x:c r="C1071" s="10" t="n">
        <x:v>8</x:v>
      </x:c>
      <x:c r="D1071" s="10" t="str">
        <x:v>1800</x:v>
      </x:c>
      <x:c r="E1071" s="12" t="n">
        <x:v>0</x:v>
      </x:c>
      <x:c r="F1071" s="12" t="n">
        <x:v>494024.66</x:v>
      </x:c>
      <x:c r="G1071" s="10" t="str">
        <x:v>Bankjournal Lieferantenzahlungen brutto</x:v>
      </x:c>
      <x:c r="H1071" s="10" t="str">
        <x:v>Lieferantenzahlungen</x:v>
      </x:c>
    </x:row>
    <x:row r="1072" ht="14" customHeight="1">
      <x:c r="A1072" s="10" t="str">
        <x:v>2024-08-0429</x:v>
      </x:c>
      <x:c r="B1072" s="11" t="n">
        <x:v>45535</x:v>
      </x:c>
      <x:c r="C1072" s="10" t="n">
        <x:v>8</x:v>
      </x:c>
      <x:c r="D1072" s="10" t="str">
        <x:v>1401</x:v>
      </x:c>
      <x:c r="E1072" s="12" t="n">
        <x:v>0</x:v>
      </x:c>
      <x:c r="F1072" s="12" t="n">
        <x:v>9879.77</x:v>
      </x:c>
      <x:c r="G1072" s="10" t="str">
        <x:v>Umsatzsteuer Monatsumbuchung 1401</x:v>
      </x:c>
      <x:c r="H1072" s="10" t="str">
        <x:v>Steuerverrechnung</x:v>
      </x:c>
    </x:row>
    <x:row r="1073" ht="14" customHeight="1">
      <x:c r="A1073" s="10" t="str">
        <x:v>2024-08-0429</x:v>
      </x:c>
      <x:c r="B1073" s="11" t="n">
        <x:v>45535</x:v>
      </x:c>
      <x:c r="C1073" s="10" t="n">
        <x:v>8</x:v>
      </x:c>
      <x:c r="D1073" s="10" t="str">
        <x:v>3820</x:v>
      </x:c>
      <x:c r="E1073" s="12" t="n">
        <x:v>9879.77</x:v>
      </x:c>
      <x:c r="F1073" s="12" t="n">
        <x:v>0</x:v>
      </x:c>
      <x:c r="G1073" s="10" t="str">
        <x:v>Umsatzsteuer Monatsumbuchung 1401</x:v>
      </x:c>
      <x:c r="H1073" s="10" t="str">
        <x:v>Steuerverrechnung</x:v>
      </x:c>
    </x:row>
    <x:row r="1074" ht="14" customHeight="1">
      <x:c r="A1074" s="10" t="str">
        <x:v>2024-08-0430</x:v>
      </x:c>
      <x:c r="B1074" s="11" t="n">
        <x:v>45535</x:v>
      </x:c>
      <x:c r="C1074" s="10" t="n">
        <x:v>8</x:v>
      </x:c>
      <x:c r="D1074" s="10" t="str">
        <x:v>1406</x:v>
      </x:c>
      <x:c r="E1074" s="12" t="n">
        <x:v>0</x:v>
      </x:c>
      <x:c r="F1074" s="12" t="n">
        <x:v>18524.89</x:v>
      </x:c>
      <x:c r="G1074" s="10" t="str">
        <x:v>Umsatzsteuer Monatsumbuchung 1406</x:v>
      </x:c>
      <x:c r="H1074" s="10" t="str">
        <x:v>Steuerverrechnung</x:v>
      </x:c>
    </x:row>
    <x:row r="1075" ht="14" customHeight="1">
      <x:c r="A1075" s="10" t="str">
        <x:v>2024-08-0430</x:v>
      </x:c>
      <x:c r="B1075" s="11" t="n">
        <x:v>45535</x:v>
      </x:c>
      <x:c r="C1075" s="10" t="n">
        <x:v>8</x:v>
      </x:c>
      <x:c r="D1075" s="10" t="str">
        <x:v>3820</x:v>
      </x:c>
      <x:c r="E1075" s="12" t="n">
        <x:v>18524.89</x:v>
      </x:c>
      <x:c r="F1075" s="12" t="n">
        <x:v>0</x:v>
      </x:c>
      <x:c r="G1075" s="10" t="str">
        <x:v>Umsatzsteuer Monatsumbuchung 1406</x:v>
      </x:c>
      <x:c r="H1075" s="10" t="str">
        <x:v>Steuerverrechnung</x:v>
      </x:c>
    </x:row>
    <x:row r="1076" ht="14" customHeight="1">
      <x:c r="A1076" s="10" t="str">
        <x:v>2024-08-0431</x:v>
      </x:c>
      <x:c r="B1076" s="11" t="n">
        <x:v>45535</x:v>
      </x:c>
      <x:c r="C1076" s="10" t="n">
        <x:v>8</x:v>
      </x:c>
      <x:c r="D1076" s="10" t="str">
        <x:v>1404</x:v>
      </x:c>
      <x:c r="E1076" s="12" t="n">
        <x:v>0</x:v>
      </x:c>
      <x:c r="F1076" s="12" t="n">
        <x:v>5199.88</x:v>
      </x:c>
      <x:c r="G1076" s="10" t="str">
        <x:v>Umsatzsteuer Monatsumbuchung 1404</x:v>
      </x:c>
      <x:c r="H1076" s="10" t="str">
        <x:v>Steuerverrechnung</x:v>
      </x:c>
    </x:row>
    <x:row r="1077" ht="14" customHeight="1">
      <x:c r="A1077" s="10" t="str">
        <x:v>2024-08-0431</x:v>
      </x:c>
      <x:c r="B1077" s="11" t="n">
        <x:v>45535</x:v>
      </x:c>
      <x:c r="C1077" s="10" t="n">
        <x:v>8</x:v>
      </x:c>
      <x:c r="D1077" s="10" t="str">
        <x:v>3820</x:v>
      </x:c>
      <x:c r="E1077" s="12" t="n">
        <x:v>5199.88</x:v>
      </x:c>
      <x:c r="F1077" s="12" t="n">
        <x:v>0</x:v>
      </x:c>
      <x:c r="G1077" s="10" t="str">
        <x:v>Umsatzsteuer Monatsumbuchung 1404</x:v>
      </x:c>
      <x:c r="H1077" s="10" t="str">
        <x:v>Steuerverrechnung</x:v>
      </x:c>
    </x:row>
    <x:row r="1078" ht="14" customHeight="1">
      <x:c r="A1078" s="10" t="str">
        <x:v>2024-08-0432</x:v>
      </x:c>
      <x:c r="B1078" s="11" t="n">
        <x:v>45535</x:v>
      </x:c>
      <x:c r="C1078" s="10" t="n">
        <x:v>8</x:v>
      </x:c>
      <x:c r="D1078" s="10" t="str">
        <x:v>1409</x:v>
      </x:c>
      <x:c r="E1078" s="12" t="n">
        <x:v>0</x:v>
      </x:c>
      <x:c r="F1078" s="12" t="n">
        <x:v>3528.49</x:v>
      </x:c>
      <x:c r="G1078" s="10" t="str">
        <x:v>Umsatzsteuer Monatsumbuchung 1409</x:v>
      </x:c>
      <x:c r="H1078" s="10" t="str">
        <x:v>Steuerverrechnung</x:v>
      </x:c>
    </x:row>
    <x:row r="1079" ht="14" customHeight="1">
      <x:c r="A1079" s="10" t="str">
        <x:v>2024-08-0432</x:v>
      </x:c>
      <x:c r="B1079" s="11" t="n">
        <x:v>45535</x:v>
      </x:c>
      <x:c r="C1079" s="10" t="n">
        <x:v>8</x:v>
      </x:c>
      <x:c r="D1079" s="10" t="str">
        <x:v>3820</x:v>
      </x:c>
      <x:c r="E1079" s="12" t="n">
        <x:v>3528.49</x:v>
      </x:c>
      <x:c r="F1079" s="12" t="n">
        <x:v>0</x:v>
      </x:c>
      <x:c r="G1079" s="10" t="str">
        <x:v>Umsatzsteuer Monatsumbuchung 1409</x:v>
      </x:c>
      <x:c r="H1079" s="10" t="str">
        <x:v>Steuerverrechnung</x:v>
      </x:c>
    </x:row>
    <x:row r="1080" ht="14" customHeight="1">
      <x:c r="A1080" s="10" t="str">
        <x:v>2024-08-0433</x:v>
      </x:c>
      <x:c r="B1080" s="11" t="n">
        <x:v>45535</x:v>
      </x:c>
      <x:c r="C1080" s="10" t="n">
        <x:v>8</x:v>
      </x:c>
      <x:c r="D1080" s="10" t="str">
        <x:v>1433</x:v>
      </x:c>
      <x:c r="E1080" s="12" t="n">
        <x:v>0</x:v>
      </x:c>
      <x:c r="F1080" s="12" t="n">
        <x:v>9136.93</x:v>
      </x:c>
      <x:c r="G1080" s="10" t="str">
        <x:v>Umsatzsteuer Monatsumbuchung 1433</x:v>
      </x:c>
      <x:c r="H1080" s="10" t="str">
        <x:v>Steuerverrechnung</x:v>
      </x:c>
    </x:row>
    <x:row r="1081" ht="14" customHeight="1">
      <x:c r="A1081" s="10" t="str">
        <x:v>2024-08-0433</x:v>
      </x:c>
      <x:c r="B1081" s="11" t="n">
        <x:v>45535</x:v>
      </x:c>
      <x:c r="C1081" s="10" t="n">
        <x:v>8</x:v>
      </x:c>
      <x:c r="D1081" s="10" t="str">
        <x:v>3820</x:v>
      </x:c>
      <x:c r="E1081" s="12" t="n">
        <x:v>9136.93</x:v>
      </x:c>
      <x:c r="F1081" s="12" t="n">
        <x:v>0</x:v>
      </x:c>
      <x:c r="G1081" s="10" t="str">
        <x:v>Umsatzsteuer Monatsumbuchung 1433</x:v>
      </x:c>
      <x:c r="H1081" s="10" t="str">
        <x:v>Steuerverrechnung</x:v>
      </x:c>
    </x:row>
    <x:row r="1082" ht="14" customHeight="1">
      <x:c r="A1082" s="10" t="str">
        <x:v>2024-08-0434</x:v>
      </x:c>
      <x:c r="B1082" s="11" t="n">
        <x:v>45535</x:v>
      </x:c>
      <x:c r="C1082" s="10" t="n">
        <x:v>8</x:v>
      </x:c>
      <x:c r="D1082" s="10" t="str">
        <x:v>3801</x:v>
      </x:c>
      <x:c r="E1082" s="12" t="n">
        <x:v>19689.6</x:v>
      </x:c>
      <x:c r="F1082" s="12" t="n">
        <x:v>0</x:v>
      </x:c>
      <x:c r="G1082" s="10" t="str">
        <x:v>Umsatzsteuer Monatsumbuchung 3801</x:v>
      </x:c>
      <x:c r="H1082" s="10" t="str">
        <x:v>Steuerverrechnung</x:v>
      </x:c>
    </x:row>
    <x:row r="1083" ht="14" customHeight="1">
      <x:c r="A1083" s="10" t="str">
        <x:v>2024-08-0434</x:v>
      </x:c>
      <x:c r="B1083" s="11" t="n">
        <x:v>45535</x:v>
      </x:c>
      <x:c r="C1083" s="10" t="n">
        <x:v>8</x:v>
      </x:c>
      <x:c r="D1083" s="10" t="str">
        <x:v>3820</x:v>
      </x:c>
      <x:c r="E1083" s="12" t="n">
        <x:v>0</x:v>
      </x:c>
      <x:c r="F1083" s="12" t="n">
        <x:v>19689.6</x:v>
      </x:c>
      <x:c r="G1083" s="10" t="str">
        <x:v>Umsatzsteuer Monatsumbuchung 3801</x:v>
      </x:c>
      <x:c r="H1083" s="10" t="str">
        <x:v>Steuerverrechnung</x:v>
      </x:c>
    </x:row>
    <x:row r="1084" ht="14" customHeight="1">
      <x:c r="A1084" s="10" t="str">
        <x:v>2024-08-0435</x:v>
      </x:c>
      <x:c r="B1084" s="11" t="n">
        <x:v>45535</x:v>
      </x:c>
      <x:c r="C1084" s="10" t="n">
        <x:v>8</x:v>
      </x:c>
      <x:c r="D1084" s="10" t="str">
        <x:v>3806</x:v>
      </x:c>
      <x:c r="E1084" s="12" t="n">
        <x:v>13452</x:v>
      </x:c>
      <x:c r="F1084" s="12" t="n">
        <x:v>0</x:v>
      </x:c>
      <x:c r="G1084" s="10" t="str">
        <x:v>Umsatzsteuer Monatsumbuchung 3806</x:v>
      </x:c>
      <x:c r="H1084" s="10" t="str">
        <x:v>Steuerverrechnung</x:v>
      </x:c>
    </x:row>
    <x:row r="1085" ht="14" customHeight="1">
      <x:c r="A1085" s="10" t="str">
        <x:v>2024-08-0435</x:v>
      </x:c>
      <x:c r="B1085" s="11" t="n">
        <x:v>45535</x:v>
      </x:c>
      <x:c r="C1085" s="10" t="n">
        <x:v>8</x:v>
      </x:c>
      <x:c r="D1085" s="10" t="str">
        <x:v>3820</x:v>
      </x:c>
      <x:c r="E1085" s="12" t="n">
        <x:v>0</x:v>
      </x:c>
      <x:c r="F1085" s="12" t="n">
        <x:v>13452</x:v>
      </x:c>
      <x:c r="G1085" s="10" t="str">
        <x:v>Umsatzsteuer Monatsumbuchung 3806</x:v>
      </x:c>
      <x:c r="H1085" s="10" t="str">
        <x:v>Steuerverrechnung</x:v>
      </x:c>
    </x:row>
    <x:row r="1086" ht="14" customHeight="1">
      <x:c r="A1086" s="10" t="str">
        <x:v>2024-08-0436</x:v>
      </x:c>
      <x:c r="B1086" s="11" t="n">
        <x:v>45535</x:v>
      </x:c>
      <x:c r="C1086" s="10" t="n">
        <x:v>8</x:v>
      </x:c>
      <x:c r="D1086" s="10" t="str">
        <x:v>3804</x:v>
      </x:c>
      <x:c r="E1086" s="12" t="n">
        <x:v>5199.88</x:v>
      </x:c>
      <x:c r="F1086" s="12" t="n">
        <x:v>0</x:v>
      </x:c>
      <x:c r="G1086" s="10" t="str">
        <x:v>Umsatzsteuer Monatsumbuchung 3804</x:v>
      </x:c>
      <x:c r="H1086" s="10" t="str">
        <x:v>Steuerverrechnung</x:v>
      </x:c>
    </x:row>
    <x:row r="1087" ht="14" customHeight="1">
      <x:c r="A1087" s="10" t="str">
        <x:v>2024-08-0436</x:v>
      </x:c>
      <x:c r="B1087" s="11" t="n">
        <x:v>45535</x:v>
      </x:c>
      <x:c r="C1087" s="10" t="n">
        <x:v>8</x:v>
      </x:c>
      <x:c r="D1087" s="10" t="str">
        <x:v>3820</x:v>
      </x:c>
      <x:c r="E1087" s="12" t="n">
        <x:v>0</x:v>
      </x:c>
      <x:c r="F1087" s="12" t="n">
        <x:v>5199.88</x:v>
      </x:c>
      <x:c r="G1087" s="10" t="str">
        <x:v>Umsatzsteuer Monatsumbuchung 3804</x:v>
      </x:c>
      <x:c r="H1087" s="10" t="str">
        <x:v>Steuerverrechnung</x:v>
      </x:c>
    </x:row>
    <x:row r="1088" ht="14" customHeight="1">
      <x:c r="A1088" s="10" t="str">
        <x:v>2024-08-0437</x:v>
      </x:c>
      <x:c r="B1088" s="11" t="n">
        <x:v>45535</x:v>
      </x:c>
      <x:c r="C1088" s="10" t="n">
        <x:v>8</x:v>
      </x:c>
      <x:c r="D1088" s="10" t="str">
        <x:v>3809</x:v>
      </x:c>
      <x:c r="E1088" s="12" t="n">
        <x:v>3528.49</x:v>
      </x:c>
      <x:c r="F1088" s="12" t="n">
        <x:v>0</x:v>
      </x:c>
      <x:c r="G1088" s="10" t="str">
        <x:v>Umsatzsteuer Monatsumbuchung 3809</x:v>
      </x:c>
      <x:c r="H1088" s="10" t="str">
        <x:v>Steuerverrechnung</x:v>
      </x:c>
    </x:row>
    <x:row r="1089" ht="14" customHeight="1">
      <x:c r="A1089" s="10" t="str">
        <x:v>2024-08-0437</x:v>
      </x:c>
      <x:c r="B1089" s="11" t="n">
        <x:v>45535</x:v>
      </x:c>
      <x:c r="C1089" s="10" t="n">
        <x:v>8</x:v>
      </x:c>
      <x:c r="D1089" s="10" t="str">
        <x:v>3820</x:v>
      </x:c>
      <x:c r="E1089" s="12" t="n">
        <x:v>0</x:v>
      </x:c>
      <x:c r="F1089" s="12" t="n">
        <x:v>3528.49</x:v>
      </x:c>
      <x:c r="G1089" s="10" t="str">
        <x:v>Umsatzsteuer Monatsumbuchung 3809</x:v>
      </x:c>
      <x:c r="H1089" s="10" t="str">
        <x:v>Steuerverrechnung</x:v>
      </x:c>
    </x:row>
    <x:row r="1090" ht="14" customHeight="1">
      <x:c r="A1090" s="10" t="str">
        <x:v>2024-09-0438</x:v>
      </x:c>
      <x:c r="B1090" s="11" t="n">
        <x:v>45545</x:v>
      </x:c>
      <x:c r="C1090" s="10" t="n">
        <x:v>9</x:v>
      </x:c>
      <x:c r="D1090" s="10" t="str">
        <x:v>1800</x:v>
      </x:c>
      <x:c r="E1090" s="12" t="n">
        <x:v>4399.99</x:v>
      </x:c>
      <x:c r="F1090" s="12" t="n">
        <x:v>0</x:v>
      </x:c>
      <x:c r="G1090" s="10" t="str">
        <x:v>Ausgleich Umsatzsteuer Vorperiode</x:v>
      </x:c>
      <x:c r="H1090" s="10" t="str">
        <x:v>Umsatzsteuer</x:v>
      </x:c>
    </x:row>
    <x:row r="1091" ht="14" customHeight="1">
      <x:c r="A1091" s="10" t="str">
        <x:v>2024-09-0438</x:v>
      </x:c>
      <x:c r="B1091" s="11" t="n">
        <x:v>45545</x:v>
      </x:c>
      <x:c r="C1091" s="10" t="n">
        <x:v>9</x:v>
      </x:c>
      <x:c r="D1091" s="10" t="str">
        <x:v>3820</x:v>
      </x:c>
      <x:c r="E1091" s="12" t="n">
        <x:v>0</x:v>
      </x:c>
      <x:c r="F1091" s="12" t="n">
        <x:v>4399.99</x:v>
      </x:c>
      <x:c r="G1091" s="10" t="str">
        <x:v>Ausgleich Umsatzsteuer Vorperiode</x:v>
      </x:c>
      <x:c r="H1091" s="10" t="str">
        <x:v>Umsatzsteuer</x:v>
      </x:c>
    </x:row>
    <x:row r="1092" ht="14" customHeight="1">
      <x:c r="A1092" s="10" t="str">
        <x:v>2024-09-0439</x:v>
      </x:c>
      <x:c r="B1092" s="11" t="n">
        <x:v>45565</x:v>
      </x:c>
      <x:c r="C1092" s="10" t="n">
        <x:v>9</x:v>
      </x:c>
      <x:c r="D1092" s="10" t="str">
        <x:v>1200</x:v>
      </x:c>
      <x:c r="E1092" s="12" t="n">
        <x:v>338976</x:v>
      </x:c>
      <x:c r="F1092" s="12" t="n">
        <x:v>0</x:v>
      </x:c>
      <x:c r="G1092" s="10" t="str">
        <x:v>Fakturajournal Inland 7 Prozent</x:v>
      </x:c>
      <x:c r="H1092" s="10" t="str">
        <x:v>Umsatz</x:v>
      </x:c>
    </x:row>
    <x:row r="1093" ht="14" customHeight="1">
      <x:c r="A1093" s="10" t="str">
        <x:v>2024-09-0439</x:v>
      </x:c>
      <x:c r="B1093" s="11" t="n">
        <x:v>45565</x:v>
      </x:c>
      <x:c r="C1093" s="10" t="n">
        <x:v>9</x:v>
      </x:c>
      <x:c r="D1093" s="10" t="str">
        <x:v>4300</x:v>
      </x:c>
      <x:c r="E1093" s="12" t="n">
        <x:v>0</x:v>
      </x:c>
      <x:c r="F1093" s="12" t="n">
        <x:v>316800</x:v>
      </x:c>
      <x:c r="G1093" s="10" t="str">
        <x:v>Fakturajournal Inland 7 Prozent</x:v>
      </x:c>
      <x:c r="H1093" s="10" t="str">
        <x:v>Umsatz</x:v>
      </x:c>
    </x:row>
    <x:row r="1094" ht="14" customHeight="1">
      <x:c r="A1094" s="10" t="str">
        <x:v>2024-09-0439</x:v>
      </x:c>
      <x:c r="B1094" s="11" t="n">
        <x:v>45565</x:v>
      </x:c>
      <x:c r="C1094" s="10" t="n">
        <x:v>9</x:v>
      </x:c>
      <x:c r="D1094" s="10" t="str">
        <x:v>3801</x:v>
      </x:c>
      <x:c r="E1094" s="12" t="n">
        <x:v>0</x:v>
      </x:c>
      <x:c r="F1094" s="12" t="n">
        <x:v>22176</x:v>
      </x:c>
      <x:c r="G1094" s="10" t="str">
        <x:v>Fakturajournal Inland 7 Prozent</x:v>
      </x:c>
      <x:c r="H1094" s="10" t="str">
        <x:v>Umsatz</x:v>
      </x:c>
    </x:row>
    <x:row r="1095" ht="14" customHeight="1">
      <x:c r="A1095" s="10" t="str">
        <x:v>2024-09-0440</x:v>
      </x:c>
      <x:c r="B1095" s="11" t="n">
        <x:v>45565</x:v>
      </x:c>
      <x:c r="C1095" s="10" t="n">
        <x:v>9</x:v>
      </x:c>
      <x:c r="D1095" s="10" t="str">
        <x:v>1200</x:v>
      </x:c>
      <x:c r="E1095" s="12" t="n">
        <x:v>94248</x:v>
      </x:c>
      <x:c r="F1095" s="12" t="n">
        <x:v>0</x:v>
      </x:c>
      <x:c r="G1095" s="10" t="str">
        <x:v>Fakturajournal Inland 19 Prozent</x:v>
      </x:c>
      <x:c r="H1095" s="10" t="str">
        <x:v>Umsatz</x:v>
      </x:c>
    </x:row>
    <x:row r="1096" ht="14" customHeight="1">
      <x:c r="A1096" s="10" t="str">
        <x:v>2024-09-0440</x:v>
      </x:c>
      <x:c r="B1096" s="11" t="n">
        <x:v>45565</x:v>
      </x:c>
      <x:c r="C1096" s="10" t="n">
        <x:v>9</x:v>
      </x:c>
      <x:c r="D1096" s="10" t="str">
        <x:v>4400</x:v>
      </x:c>
      <x:c r="E1096" s="12" t="n">
        <x:v>0</x:v>
      </x:c>
      <x:c r="F1096" s="12" t="n">
        <x:v>79200</x:v>
      </x:c>
      <x:c r="G1096" s="10" t="str">
        <x:v>Fakturajournal Inland 19 Prozent</x:v>
      </x:c>
      <x:c r="H1096" s="10" t="str">
        <x:v>Umsatz</x:v>
      </x:c>
    </x:row>
    <x:row r="1097" ht="14" customHeight="1">
      <x:c r="A1097" s="10" t="str">
        <x:v>2024-09-0440</x:v>
      </x:c>
      <x:c r="B1097" s="11" t="n">
        <x:v>45565</x:v>
      </x:c>
      <x:c r="C1097" s="10" t="n">
        <x:v>9</x:v>
      </x:c>
      <x:c r="D1097" s="10" t="str">
        <x:v>3806</x:v>
      </x:c>
      <x:c r="E1097" s="12" t="n">
        <x:v>0</x:v>
      </x:c>
      <x:c r="F1097" s="12" t="n">
        <x:v>15048</x:v>
      </x:c>
      <x:c r="G1097" s="10" t="str">
        <x:v>Fakturajournal Inland 19 Prozent</x:v>
      </x:c>
      <x:c r="H1097" s="10" t="str">
        <x:v>Umsatz</x:v>
      </x:c>
    </x:row>
    <x:row r="1098" ht="14" customHeight="1">
      <x:c r="A1098" s="10" t="str">
        <x:v>2024-09-0441</x:v>
      </x:c>
      <x:c r="B1098" s="11" t="n">
        <x:v>45565</x:v>
      </x:c>
      <x:c r="C1098" s="10" t="n">
        <x:v>9</x:v>
      </x:c>
      <x:c r="D1098" s="10" t="str">
        <x:v>1200</x:v>
      </x:c>
      <x:c r="E1098" s="12" t="n">
        <x:v>132000</x:v>
      </x:c>
      <x:c r="F1098" s="12" t="n">
        <x:v>0</x:v>
      </x:c>
      <x:c r="G1098" s="10" t="str">
        <x:v>Fakturajournal EU Warenlieferungen</x:v>
      </x:c>
      <x:c r="H1098" s="10" t="str">
        <x:v>Umsatz</x:v>
      </x:c>
    </x:row>
    <x:row r="1099" ht="14" customHeight="1">
      <x:c r="A1099" s="10" t="str">
        <x:v>2024-09-0441</x:v>
      </x:c>
      <x:c r="B1099" s="11" t="n">
        <x:v>45565</x:v>
      </x:c>
      <x:c r="C1099" s="10" t="n">
        <x:v>9</x:v>
      </x:c>
      <x:c r="D1099" s="10" t="str">
        <x:v>4125</x:v>
      </x:c>
      <x:c r="E1099" s="12" t="n">
        <x:v>0</x:v>
      </x:c>
      <x:c r="F1099" s="12" t="n">
        <x:v>132000</x:v>
      </x:c>
      <x:c r="G1099" s="10" t="str">
        <x:v>Fakturajournal EU Warenlieferungen</x:v>
      </x:c>
      <x:c r="H1099" s="10" t="str">
        <x:v>Umsatz</x:v>
      </x:c>
    </x:row>
    <x:row r="1100" ht="14" customHeight="1">
      <x:c r="A1100" s="10" t="str">
        <x:v>2024-09-0442</x:v>
      </x:c>
      <x:c r="B1100" s="11" t="n">
        <x:v>45565</x:v>
      </x:c>
      <x:c r="C1100" s="10" t="n">
        <x:v>9</x:v>
      </x:c>
      <x:c r="D1100" s="10" t="str">
        <x:v>1200</x:v>
      </x:c>
      <x:c r="E1100" s="12" t="n">
        <x:v>132000</x:v>
      </x:c>
      <x:c r="F1100" s="12" t="n">
        <x:v>0</x:v>
      </x:c>
      <x:c r="G1100" s="10" t="str">
        <x:v>Fakturajournal Drittland Warenlieferungen</x:v>
      </x:c>
      <x:c r="H1100" s="10" t="str">
        <x:v>Umsatz</x:v>
      </x:c>
    </x:row>
    <x:row r="1101" ht="14" customHeight="1">
      <x:c r="A1101" s="10" t="str">
        <x:v>2024-09-0442</x:v>
      </x:c>
      <x:c r="B1101" s="11" t="n">
        <x:v>45565</x:v>
      </x:c>
      <x:c r="C1101" s="10" t="n">
        <x:v>9</x:v>
      </x:c>
      <x:c r="D1101" s="10" t="str">
        <x:v>4120</x:v>
      </x:c>
      <x:c r="E1101" s="12" t="n">
        <x:v>0</x:v>
      </x:c>
      <x:c r="F1101" s="12" t="n">
        <x:v>132000</x:v>
      </x:c>
      <x:c r="G1101" s="10" t="str">
        <x:v>Fakturajournal Drittland Warenlieferungen</x:v>
      </x:c>
      <x:c r="H1101" s="10" t="str">
        <x:v>Umsatz</x:v>
      </x:c>
    </x:row>
    <x:row r="1102" ht="14" customHeight="1">
      <x:c r="A1102" s="10" t="str">
        <x:v>2024-09-0443</x:v>
      </x:c>
      <x:c r="B1102" s="11" t="n">
        <x:v>45565</x:v>
      </x:c>
      <x:c r="C1102" s="10" t="n">
        <x:v>9</x:v>
      </x:c>
      <x:c r="D1102" s="10" t="str">
        <x:v>4730</x:v>
      </x:c>
      <x:c r="E1102" s="12" t="n">
        <x:v>2010</x:v>
      </x:c>
      <x:c r="F1102" s="12" t="n">
        <x:v>0</x:v>
      </x:c>
      <x:c r="G1102" s="10" t="str">
        <x:v>Gutschriftjournal Retouren und Mengenrabatte</x:v>
      </x:c>
      <x:c r="H1102" s="10" t="str">
        <x:v>Gutschriften</x:v>
      </x:c>
    </x:row>
    <x:row r="1103" ht="14" customHeight="1">
      <x:c r="A1103" s="10" t="str">
        <x:v>2024-09-0443</x:v>
      </x:c>
      <x:c r="B1103" s="11" t="n">
        <x:v>45565</x:v>
      </x:c>
      <x:c r="C1103" s="10" t="n">
        <x:v>9</x:v>
      </x:c>
      <x:c r="D1103" s="10" t="str">
        <x:v>3801</x:v>
      </x:c>
      <x:c r="E1103" s="12" t="n">
        <x:v>140.7</x:v>
      </x:c>
      <x:c r="F1103" s="12" t="n">
        <x:v>0</x:v>
      </x:c>
      <x:c r="G1103" s="10" t="str">
        <x:v>Gutschriftjournal Retouren und Mengenrabatte</x:v>
      </x:c>
      <x:c r="H1103" s="10" t="str">
        <x:v>Gutschriften</x:v>
      </x:c>
    </x:row>
    <x:row r="1104" ht="14" customHeight="1">
      <x:c r="A1104" s="10" t="str">
        <x:v>2024-09-0443</x:v>
      </x:c>
      <x:c r="B1104" s="11" t="n">
        <x:v>45565</x:v>
      </x:c>
      <x:c r="C1104" s="10" t="n">
        <x:v>9</x:v>
      </x:c>
      <x:c r="D1104" s="10" t="str">
        <x:v>1200</x:v>
      </x:c>
      <x:c r="E1104" s="12" t="n">
        <x:v>0</x:v>
      </x:c>
      <x:c r="F1104" s="12" t="n">
        <x:v>2150.7</x:v>
      </x:c>
      <x:c r="G1104" s="10" t="str">
        <x:v>Gutschriftjournal Retouren und Mengenrabatte</x:v>
      </x:c>
      <x:c r="H1104" s="10" t="str">
        <x:v>Gutschriften</x:v>
      </x:c>
    </x:row>
    <x:row r="1105" ht="14" customHeight="1">
      <x:c r="A1105" s="10" t="str">
        <x:v>2024-09-0444</x:v>
      </x:c>
      <x:c r="B1105" s="11" t="n">
        <x:v>45565</x:v>
      </x:c>
      <x:c r="C1105" s="10" t="n">
        <x:v>9</x:v>
      </x:c>
      <x:c r="D1105" s="10" t="str">
        <x:v>4735</x:v>
      </x:c>
      <x:c r="E1105" s="12" t="n">
        <x:v>1340</x:v>
      </x:c>
      <x:c r="F1105" s="12" t="n">
        <x:v>0</x:v>
      </x:c>
      <x:c r="G1105" s="10" t="str">
        <x:v>Gutschriftjournal Retouren und Mengenrabatte</x:v>
      </x:c>
      <x:c r="H1105" s="10" t="str">
        <x:v>Gutschriften</x:v>
      </x:c>
    </x:row>
    <x:row r="1106" ht="14" customHeight="1">
      <x:c r="A1106" s="10" t="str">
        <x:v>2024-09-0444</x:v>
      </x:c>
      <x:c r="B1106" s="11" t="n">
        <x:v>45565</x:v>
      </x:c>
      <x:c r="C1106" s="10" t="n">
        <x:v>9</x:v>
      </x:c>
      <x:c r="D1106" s="10" t="str">
        <x:v>1200</x:v>
      </x:c>
      <x:c r="E1106" s="12" t="n">
        <x:v>0</x:v>
      </x:c>
      <x:c r="F1106" s="12" t="n">
        <x:v>1340</x:v>
      </x:c>
      <x:c r="G1106" s="10" t="str">
        <x:v>Gutschriftjournal Retouren und Mengenrabatte</x:v>
      </x:c>
      <x:c r="H1106" s="10" t="str">
        <x:v>Gutschriften</x:v>
      </x:c>
    </x:row>
    <x:row r="1107" ht="14" customHeight="1">
      <x:c r="A1107" s="10" t="str">
        <x:v>2024-09-0445</x:v>
      </x:c>
      <x:c r="B1107" s="11" t="n">
        <x:v>45565</x:v>
      </x:c>
      <x:c r="C1107" s="10" t="n">
        <x:v>9</x:v>
      </x:c>
      <x:c r="D1107" s="10" t="str">
        <x:v>1140</x:v>
      </x:c>
      <x:c r="E1107" s="12" t="n">
        <x:v>169792.55</x:v>
      </x:c>
      <x:c r="F1107" s="12" t="n">
        <x:v>0</x:v>
      </x:c>
      <x:c r="G1107" s="10" t="str">
        <x:v>Wareneingang Inland 7 Prozent</x:v>
      </x:c>
      <x:c r="H1107" s="10" t="str">
        <x:v>Einkauf</x:v>
      </x:c>
    </x:row>
    <x:row r="1108" ht="14" customHeight="1">
      <x:c r="A1108" s="10" t="str">
        <x:v>2024-09-0445</x:v>
      </x:c>
      <x:c r="B1108" s="11" t="n">
        <x:v>45565</x:v>
      </x:c>
      <x:c r="C1108" s="10" t="n">
        <x:v>9</x:v>
      </x:c>
      <x:c r="D1108" s="10" t="str">
        <x:v>1401</x:v>
      </x:c>
      <x:c r="E1108" s="12" t="n">
        <x:v>11885.48</x:v>
      </x:c>
      <x:c r="F1108" s="12" t="n">
        <x:v>0</x:v>
      </x:c>
      <x:c r="G1108" s="10" t="str">
        <x:v>Wareneingang Inland 7 Prozent</x:v>
      </x:c>
      <x:c r="H1108" s="10" t="str">
        <x:v>Einkauf</x:v>
      </x:c>
    </x:row>
    <x:row r="1109" ht="14" customHeight="1">
      <x:c r="A1109" s="10" t="str">
        <x:v>2024-09-0445</x:v>
      </x:c>
      <x:c r="B1109" s="11" t="n">
        <x:v>45565</x:v>
      </x:c>
      <x:c r="C1109" s="10" t="n">
        <x:v>9</x:v>
      </x:c>
      <x:c r="D1109" s="10" t="str">
        <x:v>3300</x:v>
      </x:c>
      <x:c r="E1109" s="12" t="n">
        <x:v>0</x:v>
      </x:c>
      <x:c r="F1109" s="12" t="n">
        <x:v>181678.03</x:v>
      </x:c>
      <x:c r="G1109" s="10" t="str">
        <x:v>Wareneingang Inland 7 Prozent</x:v>
      </x:c>
      <x:c r="H1109" s="10" t="str">
        <x:v>Einkauf</x:v>
      </x:c>
    </x:row>
    <x:row r="1110" ht="14" customHeight="1">
      <x:c r="A1110" s="10" t="str">
        <x:v>2024-09-0446</x:v>
      </x:c>
      <x:c r="B1110" s="11" t="n">
        <x:v>45565</x:v>
      </x:c>
      <x:c r="C1110" s="10" t="n">
        <x:v>9</x:v>
      </x:c>
      <x:c r="D1110" s="10" t="str">
        <x:v>1140</x:v>
      </x:c>
      <x:c r="E1110" s="12" t="n">
        <x:v>31277.58</x:v>
      </x:c>
      <x:c r="F1110" s="12" t="n">
        <x:v>0</x:v>
      </x:c>
      <x:c r="G1110" s="10" t="str">
        <x:v>Wareneingang Inland 19 Prozent</x:v>
      </x:c>
      <x:c r="H1110" s="10" t="str">
        <x:v>Einkauf</x:v>
      </x:c>
    </x:row>
    <x:row r="1111" ht="14" customHeight="1">
      <x:c r="A1111" s="10" t="str">
        <x:v>2024-09-0446</x:v>
      </x:c>
      <x:c r="B1111" s="11" t="n">
        <x:v>45565</x:v>
      </x:c>
      <x:c r="C1111" s="10" t="n">
        <x:v>9</x:v>
      </x:c>
      <x:c r="D1111" s="10" t="str">
        <x:v>1406</x:v>
      </x:c>
      <x:c r="E1111" s="12" t="n">
        <x:v>5942.74</x:v>
      </x:c>
      <x:c r="F1111" s="12" t="n">
        <x:v>0</x:v>
      </x:c>
      <x:c r="G1111" s="10" t="str">
        <x:v>Wareneingang Inland 19 Prozent</x:v>
      </x:c>
      <x:c r="H1111" s="10" t="str">
        <x:v>Einkauf</x:v>
      </x:c>
    </x:row>
    <x:row r="1112" ht="14" customHeight="1">
      <x:c r="A1112" s="10" t="str">
        <x:v>2024-09-0446</x:v>
      </x:c>
      <x:c r="B1112" s="11" t="n">
        <x:v>45565</x:v>
      </x:c>
      <x:c r="C1112" s="10" t="n">
        <x:v>9</x:v>
      </x:c>
      <x:c r="D1112" s="10" t="str">
        <x:v>3300</x:v>
      </x:c>
      <x:c r="E1112" s="12" t="n">
        <x:v>0</x:v>
      </x:c>
      <x:c r="F1112" s="12" t="n">
        <x:v>37220.32</x:v>
      </x:c>
      <x:c r="G1112" s="10" t="str">
        <x:v>Wareneingang Inland 19 Prozent</x:v>
      </x:c>
      <x:c r="H1112" s="10" t="str">
        <x:v>Einkauf</x:v>
      </x:c>
    </x:row>
    <x:row r="1113" ht="14" customHeight="1">
      <x:c r="A1113" s="10" t="str">
        <x:v>2024-09-0447</x:v>
      </x:c>
      <x:c r="B1113" s="11" t="n">
        <x:v>45565</x:v>
      </x:c>
      <x:c r="C1113" s="10" t="n">
        <x:v>9</x:v>
      </x:c>
      <x:c r="D1113" s="10" t="str">
        <x:v>1140</x:v>
      </x:c>
      <x:c r="E1113" s="12" t="n">
        <x:v>89364.5</x:v>
      </x:c>
      <x:c r="F1113" s="12" t="n">
        <x:v>0</x:v>
      </x:c>
      <x:c r="G1113" s="10" t="str">
        <x:v>Wareneingang EU 7 Prozent</x:v>
      </x:c>
      <x:c r="H1113" s="10" t="str">
        <x:v>Einkauf</x:v>
      </x:c>
    </x:row>
    <x:row r="1114" ht="14" customHeight="1">
      <x:c r="A1114" s="10" t="str">
        <x:v>2024-09-0447</x:v>
      </x:c>
      <x:c r="B1114" s="11" t="n">
        <x:v>45565</x:v>
      </x:c>
      <x:c r="C1114" s="10" t="n">
        <x:v>9</x:v>
      </x:c>
      <x:c r="D1114" s="10" t="str">
        <x:v>3300</x:v>
      </x:c>
      <x:c r="E1114" s="12" t="n">
        <x:v>0</x:v>
      </x:c>
      <x:c r="F1114" s="12" t="n">
        <x:v>89364.5</x:v>
      </x:c>
      <x:c r="G1114" s="10" t="str">
        <x:v>Wareneingang EU 7 Prozent</x:v>
      </x:c>
      <x:c r="H1114" s="10" t="str">
        <x:v>Einkauf</x:v>
      </x:c>
    </x:row>
    <x:row r="1115" ht="14" customHeight="1">
      <x:c r="A1115" s="10" t="str">
        <x:v>2024-09-0447</x:v>
      </x:c>
      <x:c r="B1115" s="11" t="n">
        <x:v>45565</x:v>
      </x:c>
      <x:c r="C1115" s="10" t="n">
        <x:v>9</x:v>
      </x:c>
      <x:c r="D1115" s="10" t="str">
        <x:v>1404</x:v>
      </x:c>
      <x:c r="E1115" s="12" t="n">
        <x:v>6255.52</x:v>
      </x:c>
      <x:c r="F1115" s="12" t="n">
        <x:v>0</x:v>
      </x:c>
      <x:c r="G1115" s="10" t="str">
        <x:v>Wareneingang EU 7 Prozent</x:v>
      </x:c>
      <x:c r="H1115" s="10" t="str">
        <x:v>Einkauf</x:v>
      </x:c>
    </x:row>
    <x:row r="1116" ht="14" customHeight="1">
      <x:c r="A1116" s="10" t="str">
        <x:v>2024-09-0447</x:v>
      </x:c>
      <x:c r="B1116" s="11" t="n">
        <x:v>45565</x:v>
      </x:c>
      <x:c r="C1116" s="10" t="n">
        <x:v>9</x:v>
      </x:c>
      <x:c r="D1116" s="10" t="str">
        <x:v>3804</x:v>
      </x:c>
      <x:c r="E1116" s="12" t="n">
        <x:v>0</x:v>
      </x:c>
      <x:c r="F1116" s="12" t="n">
        <x:v>6255.52</x:v>
      </x:c>
      <x:c r="G1116" s="10" t="str">
        <x:v>Wareneingang EU 7 Prozent</x:v>
      </x:c>
      <x:c r="H1116" s="10" t="str">
        <x:v>Einkauf</x:v>
      </x:c>
    </x:row>
    <x:row r="1117" ht="14" customHeight="1">
      <x:c r="A1117" s="10" t="str">
        <x:v>2024-09-0448</x:v>
      </x:c>
      <x:c r="B1117" s="11" t="n">
        <x:v>45565</x:v>
      </x:c>
      <x:c r="C1117" s="10" t="n">
        <x:v>9</x:v>
      </x:c>
      <x:c r="D1117" s="10" t="str">
        <x:v>1140</x:v>
      </x:c>
      <x:c r="E1117" s="12" t="n">
        <x:v>22341.12</x:v>
      </x:c>
      <x:c r="F1117" s="12" t="n">
        <x:v>0</x:v>
      </x:c>
      <x:c r="G1117" s="10" t="str">
        <x:v>Wareneingang EU 19 Prozent</x:v>
      </x:c>
      <x:c r="H1117" s="10" t="str">
        <x:v>Einkauf</x:v>
      </x:c>
    </x:row>
    <x:row r="1118" ht="14" customHeight="1">
      <x:c r="A1118" s="10" t="str">
        <x:v>2024-09-0448</x:v>
      </x:c>
      <x:c r="B1118" s="11" t="n">
        <x:v>45565</x:v>
      </x:c>
      <x:c r="C1118" s="10" t="n">
        <x:v>9</x:v>
      </x:c>
      <x:c r="D1118" s="10" t="str">
        <x:v>3300</x:v>
      </x:c>
      <x:c r="E1118" s="12" t="n">
        <x:v>0</x:v>
      </x:c>
      <x:c r="F1118" s="12" t="n">
        <x:v>22341.12</x:v>
      </x:c>
      <x:c r="G1118" s="10" t="str">
        <x:v>Wareneingang EU 19 Prozent</x:v>
      </x:c>
      <x:c r="H1118" s="10" t="str">
        <x:v>Einkauf</x:v>
      </x:c>
    </x:row>
    <x:row r="1119" ht="14" customHeight="1">
      <x:c r="A1119" s="10" t="str">
        <x:v>2024-09-0448</x:v>
      </x:c>
      <x:c r="B1119" s="11" t="n">
        <x:v>45565</x:v>
      </x:c>
      <x:c r="C1119" s="10" t="n">
        <x:v>9</x:v>
      </x:c>
      <x:c r="D1119" s="10" t="str">
        <x:v>1409</x:v>
      </x:c>
      <x:c r="E1119" s="12" t="n">
        <x:v>4244.81</x:v>
      </x:c>
      <x:c r="F1119" s="12" t="n">
        <x:v>0</x:v>
      </x:c>
      <x:c r="G1119" s="10" t="str">
        <x:v>Wareneingang EU 19 Prozent</x:v>
      </x:c>
      <x:c r="H1119" s="10" t="str">
        <x:v>Einkauf</x:v>
      </x:c>
    </x:row>
    <x:row r="1120" ht="14" customHeight="1">
      <x:c r="A1120" s="10" t="str">
        <x:v>2024-09-0448</x:v>
      </x:c>
      <x:c r="B1120" s="11" t="n">
        <x:v>45565</x:v>
      </x:c>
      <x:c r="C1120" s="10" t="n">
        <x:v>9</x:v>
      </x:c>
      <x:c r="D1120" s="10" t="str">
        <x:v>3809</x:v>
      </x:c>
      <x:c r="E1120" s="12" t="n">
        <x:v>0</x:v>
      </x:c>
      <x:c r="F1120" s="12" t="n">
        <x:v>4244.81</x:v>
      </x:c>
      <x:c r="G1120" s="10" t="str">
        <x:v>Wareneingang EU 19 Prozent</x:v>
      </x:c>
      <x:c r="H1120" s="10" t="str">
        <x:v>Einkauf</x:v>
      </x:c>
    </x:row>
    <x:row r="1121" ht="14" customHeight="1">
      <x:c r="A1121" s="10" t="str">
        <x:v>2024-09-0449</x:v>
      </x:c>
      <x:c r="B1121" s="11" t="n">
        <x:v>45565</x:v>
      </x:c>
      <x:c r="C1121" s="10" t="n">
        <x:v>9</x:v>
      </x:c>
      <x:c r="D1121" s="10" t="str">
        <x:v>1140</x:v>
      </x:c>
      <x:c r="E1121" s="12" t="n">
        <x:v>134046.75</x:v>
      </x:c>
      <x:c r="F1121" s="12" t="n">
        <x:v>0</x:v>
      </x:c>
      <x:c r="G1121" s="10" t="str">
        <x:v>Wareneingang Drittland</x:v>
      </x:c>
      <x:c r="H1121" s="10" t="str">
        <x:v>Einkauf</x:v>
      </x:c>
    </x:row>
    <x:row r="1122" ht="14" customHeight="1">
      <x:c r="A1122" s="10" t="str">
        <x:v>2024-09-0449</x:v>
      </x:c>
      <x:c r="B1122" s="11" t="n">
        <x:v>45565</x:v>
      </x:c>
      <x:c r="C1122" s="10" t="n">
        <x:v>9</x:v>
      </x:c>
      <x:c r="D1122" s="10" t="str">
        <x:v>3300</x:v>
      </x:c>
      <x:c r="E1122" s="12" t="n">
        <x:v>0</x:v>
      </x:c>
      <x:c r="F1122" s="12" t="n">
        <x:v>134046.75</x:v>
      </x:c>
      <x:c r="G1122" s="10" t="str">
        <x:v>Wareneingang Drittland</x:v>
      </x:c>
      <x:c r="H1122" s="10" t="str">
        <x:v>Einkauf</x:v>
      </x:c>
    </x:row>
    <x:row r="1123" ht="14" customHeight="1">
      <x:c r="A1123" s="10" t="str">
        <x:v>2024-09-0450</x:v>
      </x:c>
      <x:c r="B1123" s="11" t="n">
        <x:v>45557</x:v>
      </x:c>
      <x:c r="C1123" s="10" t="n">
        <x:v>9</x:v>
      </x:c>
      <x:c r="D1123" s="10" t="str">
        <x:v>1433</x:v>
      </x:c>
      <x:c r="E1123" s="12" t="n">
        <x:v>10991.84</x:v>
      </x:c>
      <x:c r="F1123" s="12" t="n">
        <x:v>0</x:v>
      </x:c>
      <x:c r="G1123" s="10" t="str">
        <x:v>Einfuhrabgabenjournal bezahlte EUSt</x:v>
      </x:c>
      <x:c r="H1123" s="10" t="str">
        <x:v>Einfuhrumsatzsteuer</x:v>
      </x:c>
    </x:row>
    <x:row r="1124" ht="14" customHeight="1">
      <x:c r="A1124" s="10" t="str">
        <x:v>2024-09-0450</x:v>
      </x:c>
      <x:c r="B1124" s="11" t="n">
        <x:v>45557</x:v>
      </x:c>
      <x:c r="C1124" s="10" t="n">
        <x:v>9</x:v>
      </x:c>
      <x:c r="D1124" s="10" t="str">
        <x:v>1800</x:v>
      </x:c>
      <x:c r="E1124" s="12" t="n">
        <x:v>0</x:v>
      </x:c>
      <x:c r="F1124" s="12" t="n">
        <x:v>10991.84</x:v>
      </x:c>
      <x:c r="G1124" s="10" t="str">
        <x:v>Einfuhrabgabenjournal bezahlte EUSt</x:v>
      </x:c>
      <x:c r="H1124" s="10" t="str">
        <x:v>Einfuhrumsatzsteuer</x:v>
      </x:c>
    </x:row>
    <x:row r="1125" ht="14" customHeight="1">
      <x:c r="A1125" s="10" t="str">
        <x:v>2024-09-0451</x:v>
      </x:c>
      <x:c r="B1125" s="11" t="n">
        <x:v>45565</x:v>
      </x:c>
      <x:c r="C1125" s="10" t="n">
        <x:v>9</x:v>
      </x:c>
      <x:c r="D1125" s="10" t="str">
        <x:v>5000</x:v>
      </x:c>
      <x:c r="E1125" s="12" t="n">
        <x:v>426822.5</x:v>
      </x:c>
      <x:c r="F1125" s="12" t="n">
        <x:v>0</x:v>
      </x:c>
      <x:c r="G1125" s="10" t="str">
        <x:v>Warenabgänge zu Einstandswerten</x:v>
      </x:c>
      <x:c r="H1125" s="10" t="str">
        <x:v>Verbrauch</x:v>
      </x:c>
    </x:row>
    <x:row r="1126" ht="14" customHeight="1">
      <x:c r="A1126" s="10" t="str">
        <x:v>2024-09-0451</x:v>
      </x:c>
      <x:c r="B1126" s="11" t="n">
        <x:v>45565</x:v>
      </x:c>
      <x:c r="C1126" s="10" t="n">
        <x:v>9</x:v>
      </x:c>
      <x:c r="D1126" s="10" t="str">
        <x:v>1140</x:v>
      </x:c>
      <x:c r="E1126" s="12" t="n">
        <x:v>0</x:v>
      </x:c>
      <x:c r="F1126" s="12" t="n">
        <x:v>426822.5</x:v>
      </x:c>
      <x:c r="G1126" s="10" t="str">
        <x:v>Warenabgänge zu Einstandswerten</x:v>
      </x:c>
      <x:c r="H1126" s="10" t="str">
        <x:v>Verbrauch</x:v>
      </x:c>
    </x:row>
    <x:row r="1127" ht="14" customHeight="1">
      <x:c r="A1127" s="10" t="str">
        <x:v>2024-09-0452</x:v>
      </x:c>
      <x:c r="B1127" s="11" t="n">
        <x:v>45565</x:v>
      </x:c>
      <x:c r="C1127" s="10" t="n">
        <x:v>9</x:v>
      </x:c>
      <x:c r="D1127" s="10" t="str">
        <x:v>6020</x:v>
      </x:c>
      <x:c r="E1127" s="12" t="n">
        <x:v>86000</x:v>
      </x:c>
      <x:c r="F1127" s="12" t="n">
        <x:v>0</x:v>
      </x:c>
      <x:c r="G1127" s="10" t="str">
        <x:v>Lohnjournal 20 Beschäftigte</x:v>
      </x:c>
      <x:c r="H1127" s="10" t="str">
        <x:v>Personal</x:v>
      </x:c>
    </x:row>
    <x:row r="1128" ht="14" customHeight="1">
      <x:c r="A1128" s="10" t="str">
        <x:v>2024-09-0452</x:v>
      </x:c>
      <x:c r="B1128" s="11" t="n">
        <x:v>45565</x:v>
      </x:c>
      <x:c r="C1128" s="10" t="n">
        <x:v>9</x:v>
      </x:c>
      <x:c r="D1128" s="10" t="str">
        <x:v>6110</x:v>
      </x:c>
      <x:c r="E1128" s="12" t="n">
        <x:v>18000</x:v>
      </x:c>
      <x:c r="F1128" s="12" t="n">
        <x:v>0</x:v>
      </x:c>
      <x:c r="G1128" s="10" t="str">
        <x:v>Lohnjournal 20 Beschäftigte</x:v>
      </x:c>
      <x:c r="H1128" s="10" t="str">
        <x:v>Personal</x:v>
      </x:c>
    </x:row>
    <x:row r="1129" ht="14" customHeight="1">
      <x:c r="A1129" s="10" t="str">
        <x:v>2024-09-0452</x:v>
      </x:c>
      <x:c r="B1129" s="11" t="n">
        <x:v>45565</x:v>
      </x:c>
      <x:c r="C1129" s="10" t="n">
        <x:v>9</x:v>
      </x:c>
      <x:c r="D1129" s="10" t="str">
        <x:v>3720</x:v>
      </x:c>
      <x:c r="E1129" s="12" t="n">
        <x:v>0</x:v>
      </x:c>
      <x:c r="F1129" s="12" t="n">
        <x:v>56760</x:v>
      </x:c>
      <x:c r="G1129" s="10" t="str">
        <x:v>Lohnjournal 20 Beschäftigte</x:v>
      </x:c>
      <x:c r="H1129" s="10" t="str">
        <x:v>Personal</x:v>
      </x:c>
    </x:row>
    <x:row r="1130" ht="14" customHeight="1">
      <x:c r="A1130" s="10" t="str">
        <x:v>2024-09-0452</x:v>
      </x:c>
      <x:c r="B1130" s="11" t="n">
        <x:v>45565</x:v>
      </x:c>
      <x:c r="C1130" s="10" t="n">
        <x:v>9</x:v>
      </x:c>
      <x:c r="D1130" s="10" t="str">
        <x:v>3730</x:v>
      </x:c>
      <x:c r="E1130" s="12" t="n">
        <x:v>0</x:v>
      </x:c>
      <x:c r="F1130" s="12" t="n">
        <x:v>12900</x:v>
      </x:c>
      <x:c r="G1130" s="10" t="str">
        <x:v>Lohnjournal 20 Beschäftigte</x:v>
      </x:c>
      <x:c r="H1130" s="10" t="str">
        <x:v>Personal</x:v>
      </x:c>
    </x:row>
    <x:row r="1131" ht="14" customHeight="1">
      <x:c r="A1131" s="10" t="str">
        <x:v>2024-09-0452</x:v>
      </x:c>
      <x:c r="B1131" s="11" t="n">
        <x:v>45565</x:v>
      </x:c>
      <x:c r="C1131" s="10" t="n">
        <x:v>9</x:v>
      </x:c>
      <x:c r="D1131" s="10" t="str">
        <x:v>3740</x:v>
      </x:c>
      <x:c r="E1131" s="12" t="n">
        <x:v>0</x:v>
      </x:c>
      <x:c r="F1131" s="12" t="n">
        <x:v>34340</x:v>
      </x:c>
      <x:c r="G1131" s="10" t="str">
        <x:v>Lohnjournal 20 Beschäftigte</x:v>
      </x:c>
      <x:c r="H1131" s="10" t="str">
        <x:v>Personal</x:v>
      </x:c>
    </x:row>
    <x:row r="1132" ht="14" customHeight="1">
      <x:c r="A1132" s="10" t="str">
        <x:v>2024-09-0453</x:v>
      </x:c>
      <x:c r="B1132" s="11" t="n">
        <x:v>45563</x:v>
      </x:c>
      <x:c r="C1132" s="10" t="n">
        <x:v>9</x:v>
      </x:c>
      <x:c r="D1132" s="10" t="str">
        <x:v>3720</x:v>
      </x:c>
      <x:c r="E1132" s="12" t="n">
        <x:v>56760</x:v>
      </x:c>
      <x:c r="F1132" s="12" t="n">
        <x:v>0</x:v>
      </x:c>
      <x:c r="G1132" s="10" t="str">
        <x:v>Zahlungsjournal Verbindlichkeiten Nettolöhne</x:v>
      </x:c>
      <x:c r="H1132" s="10" t="str">
        <x:v>Personalzahlung</x:v>
      </x:c>
    </x:row>
    <x:row r="1133" ht="14" customHeight="1">
      <x:c r="A1133" s="10" t="str">
        <x:v>2024-09-0453</x:v>
      </x:c>
      <x:c r="B1133" s="11" t="n">
        <x:v>45563</x:v>
      </x:c>
      <x:c r="C1133" s="10" t="n">
        <x:v>9</x:v>
      </x:c>
      <x:c r="D1133" s="10" t="str">
        <x:v>1800</x:v>
      </x:c>
      <x:c r="E1133" s="12" t="n">
        <x:v>0</x:v>
      </x:c>
      <x:c r="F1133" s="12" t="n">
        <x:v>56760</x:v>
      </x:c>
      <x:c r="G1133" s="10" t="str">
        <x:v>Zahlungsjournal Verbindlichkeiten Nettolöhne</x:v>
      </x:c>
      <x:c r="H1133" s="10" t="str">
        <x:v>Personalzahlung</x:v>
      </x:c>
    </x:row>
    <x:row r="1134" ht="14" customHeight="1">
      <x:c r="A1134" s="10" t="str">
        <x:v>2024-09-0454</x:v>
      </x:c>
      <x:c r="B1134" s="11" t="n">
        <x:v>45545</x:v>
      </x:c>
      <x:c r="C1134" s="10" t="n">
        <x:v>9</x:v>
      </x:c>
      <x:c r="D1134" s="10" t="str">
        <x:v>3730</x:v>
      </x:c>
      <x:c r="E1134" s="12" t="n">
        <x:v>12900</x:v>
      </x:c>
      <x:c r="F1134" s="12" t="n">
        <x:v>0</x:v>
      </x:c>
      <x:c r="G1134" s="10" t="str">
        <x:v>Zahlungsjournal Verbindlichkeiten Lohnsteuer</x:v>
      </x:c>
      <x:c r="H1134" s="10" t="str">
        <x:v>Personalzahlung</x:v>
      </x:c>
    </x:row>
    <x:row r="1135" ht="14" customHeight="1">
      <x:c r="A1135" s="10" t="str">
        <x:v>2024-09-0454</x:v>
      </x:c>
      <x:c r="B1135" s="11" t="n">
        <x:v>45545</x:v>
      </x:c>
      <x:c r="C1135" s="10" t="n">
        <x:v>9</x:v>
      </x:c>
      <x:c r="D1135" s="10" t="str">
        <x:v>1800</x:v>
      </x:c>
      <x:c r="E1135" s="12" t="n">
        <x:v>0</x:v>
      </x:c>
      <x:c r="F1135" s="12" t="n">
        <x:v>12900</x:v>
      </x:c>
      <x:c r="G1135" s="10" t="str">
        <x:v>Zahlungsjournal Verbindlichkeiten Lohnsteuer</x:v>
      </x:c>
      <x:c r="H1135" s="10" t="str">
        <x:v>Personalzahlung</x:v>
      </x:c>
    </x:row>
    <x:row r="1136" ht="14" customHeight="1">
      <x:c r="A1136" s="10" t="str">
        <x:v>2024-09-0455</x:v>
      </x:c>
      <x:c r="B1136" s="11" t="n">
        <x:v>45563</x:v>
      </x:c>
      <x:c r="C1136" s="10" t="n">
        <x:v>9</x:v>
      </x:c>
      <x:c r="D1136" s="10" t="str">
        <x:v>3740</x:v>
      </x:c>
      <x:c r="E1136" s="12" t="n">
        <x:v>34340</x:v>
      </x:c>
      <x:c r="F1136" s="12" t="n">
        <x:v>0</x:v>
      </x:c>
      <x:c r="G1136" s="10" t="str">
        <x:v>Zahlungsjournal Verbindlichkeiten Sozialversicherung</x:v>
      </x:c>
      <x:c r="H1136" s="10" t="str">
        <x:v>Personalzahlung</x:v>
      </x:c>
    </x:row>
    <x:row r="1137" ht="14" customHeight="1">
      <x:c r="A1137" s="10" t="str">
        <x:v>2024-09-0455</x:v>
      </x:c>
      <x:c r="B1137" s="11" t="n">
        <x:v>45563</x:v>
      </x:c>
      <x:c r="C1137" s="10" t="n">
        <x:v>9</x:v>
      </x:c>
      <x:c r="D1137" s="10" t="str">
        <x:v>1800</x:v>
      </x:c>
      <x:c r="E1137" s="12" t="n">
        <x:v>0</x:v>
      </x:c>
      <x:c r="F1137" s="12" t="n">
        <x:v>34340</x:v>
      </x:c>
      <x:c r="G1137" s="10" t="str">
        <x:v>Zahlungsjournal Verbindlichkeiten Sozialversicherung</x:v>
      </x:c>
      <x:c r="H1137" s="10" t="str">
        <x:v>Personalzahlung</x:v>
      </x:c>
    </x:row>
    <x:row r="1138" ht="14" customHeight="1">
      <x:c r="A1138" s="10" t="str">
        <x:v>2024-09-0456</x:v>
      </x:c>
      <x:c r="B1138" s="11" t="n">
        <x:v>45565</x:v>
      </x:c>
      <x:c r="C1138" s="10" t="n">
        <x:v>9</x:v>
      </x:c>
      <x:c r="D1138" s="10" t="str">
        <x:v>6310</x:v>
      </x:c>
      <x:c r="E1138" s="12" t="n">
        <x:v>4000</x:v>
      </x:c>
      <x:c r="F1138" s="12" t="n">
        <x:v>0</x:v>
      </x:c>
      <x:c r="G1138" s="10" t="str">
        <x:v>Miete Büro Nürnberg Monatsjournal</x:v>
      </x:c>
      <x:c r="H1138" s="10" t="str">
        <x:v>Betriebskosten</x:v>
      </x:c>
    </x:row>
    <x:row r="1139" ht="14" customHeight="1">
      <x:c r="A1139" s="10" t="str">
        <x:v>2024-09-0456</x:v>
      </x:c>
      <x:c r="B1139" s="11" t="n">
        <x:v>45565</x:v>
      </x:c>
      <x:c r="C1139" s="10" t="n">
        <x:v>9</x:v>
      </x:c>
      <x:c r="D1139" s="10" t="str">
        <x:v>1406</x:v>
      </x:c>
      <x:c r="E1139" s="12" t="n">
        <x:v>760</x:v>
      </x:c>
      <x:c r="F1139" s="12" t="n">
        <x:v>0</x:v>
      </x:c>
      <x:c r="G1139" s="10" t="str">
        <x:v>Miete Büro Nürnberg Monatsjournal</x:v>
      </x:c>
      <x:c r="H1139" s="10" t="str">
        <x:v>Betriebskosten</x:v>
      </x:c>
    </x:row>
    <x:row r="1140" ht="14" customHeight="1">
      <x:c r="A1140" s="10" t="str">
        <x:v>2024-09-0456</x:v>
      </x:c>
      <x:c r="B1140" s="11" t="n">
        <x:v>45565</x:v>
      </x:c>
      <x:c r="C1140" s="10" t="n">
        <x:v>9</x:v>
      </x:c>
      <x:c r="D1140" s="10" t="str">
        <x:v>3300</x:v>
      </x:c>
      <x:c r="E1140" s="12" t="n">
        <x:v>0</x:v>
      </x:c>
      <x:c r="F1140" s="12" t="n">
        <x:v>4760</x:v>
      </x:c>
      <x:c r="G1140" s="10" t="str">
        <x:v>Miete Büro Nürnberg Monatsjournal</x:v>
      </x:c>
      <x:c r="H1140" s="10" t="str">
        <x:v>Betriebskosten</x:v>
      </x:c>
    </x:row>
    <x:row r="1141" ht="14" customHeight="1">
      <x:c r="A1141" s="10" t="str">
        <x:v>2024-09-0457</x:v>
      </x:c>
      <x:c r="B1141" s="11" t="n">
        <x:v>45565</x:v>
      </x:c>
      <x:c r="C1141" s="10" t="n">
        <x:v>9</x:v>
      </x:c>
      <x:c r="D1141" s="10" t="str">
        <x:v>6311</x:v>
      </x:c>
      <x:c r="E1141" s="12" t="n">
        <x:v>10000</x:v>
      </x:c>
      <x:c r="F1141" s="12" t="n">
        <x:v>0</x:v>
      </x:c>
      <x:c r="G1141" s="10" t="str">
        <x:v>Miete Lager Erlangen Monatsjournal</x:v>
      </x:c>
      <x:c r="H1141" s="10" t="str">
        <x:v>Betriebskosten</x:v>
      </x:c>
    </x:row>
    <x:row r="1142" ht="14" customHeight="1">
      <x:c r="A1142" s="10" t="str">
        <x:v>2024-09-0457</x:v>
      </x:c>
      <x:c r="B1142" s="11" t="n">
        <x:v>45565</x:v>
      </x:c>
      <x:c r="C1142" s="10" t="n">
        <x:v>9</x:v>
      </x:c>
      <x:c r="D1142" s="10" t="str">
        <x:v>1406</x:v>
      </x:c>
      <x:c r="E1142" s="12" t="n">
        <x:v>1900</x:v>
      </x:c>
      <x:c r="F1142" s="12" t="n">
        <x:v>0</x:v>
      </x:c>
      <x:c r="G1142" s="10" t="str">
        <x:v>Miete Lager Erlangen Monatsjournal</x:v>
      </x:c>
      <x:c r="H1142" s="10" t="str">
        <x:v>Betriebskosten</x:v>
      </x:c>
    </x:row>
    <x:row r="1143" ht="14" customHeight="1">
      <x:c r="A1143" s="10" t="str">
        <x:v>2024-09-0457</x:v>
      </x:c>
      <x:c r="B1143" s="11" t="n">
        <x:v>45565</x:v>
      </x:c>
      <x:c r="C1143" s="10" t="n">
        <x:v>9</x:v>
      </x:c>
      <x:c r="D1143" s="10" t="str">
        <x:v>3300</x:v>
      </x:c>
      <x:c r="E1143" s="12" t="n">
        <x:v>0</x:v>
      </x:c>
      <x:c r="F1143" s="12" t="n">
        <x:v>11900</x:v>
      </x:c>
      <x:c r="G1143" s="10" t="str">
        <x:v>Miete Lager Erlangen Monatsjournal</x:v>
      </x:c>
      <x:c r="H1143" s="10" t="str">
        <x:v>Betriebskosten</x:v>
      </x:c>
    </x:row>
    <x:row r="1144" ht="14" customHeight="1">
      <x:c r="A1144" s="10" t="str">
        <x:v>2024-09-0458</x:v>
      </x:c>
      <x:c r="B1144" s="11" t="n">
        <x:v>45565</x:v>
      </x:c>
      <x:c r="C1144" s="10" t="n">
        <x:v>9</x:v>
      </x:c>
      <x:c r="D1144" s="10" t="str">
        <x:v>6325</x:v>
      </x:c>
      <x:c r="E1144" s="12" t="n">
        <x:v>4500</x:v>
      </x:c>
      <x:c r="F1144" s="12" t="n">
        <x:v>0</x:v>
      </x:c>
      <x:c r="G1144" s="10" t="str">
        <x:v>Strom und Kühlung Monatsjournal</x:v>
      </x:c>
      <x:c r="H1144" s="10" t="str">
        <x:v>Betriebskosten</x:v>
      </x:c>
    </x:row>
    <x:row r="1145" ht="14" customHeight="1">
      <x:c r="A1145" s="10" t="str">
        <x:v>2024-09-0458</x:v>
      </x:c>
      <x:c r="B1145" s="11" t="n">
        <x:v>45565</x:v>
      </x:c>
      <x:c r="C1145" s="10" t="n">
        <x:v>9</x:v>
      </x:c>
      <x:c r="D1145" s="10" t="str">
        <x:v>1406</x:v>
      </x:c>
      <x:c r="E1145" s="12" t="n">
        <x:v>855</x:v>
      </x:c>
      <x:c r="F1145" s="12" t="n">
        <x:v>0</x:v>
      </x:c>
      <x:c r="G1145" s="10" t="str">
        <x:v>Strom und Kühlung Monatsjournal</x:v>
      </x:c>
      <x:c r="H1145" s="10" t="str">
        <x:v>Betriebskosten</x:v>
      </x:c>
    </x:row>
    <x:row r="1146" ht="14" customHeight="1">
      <x:c r="A1146" s="10" t="str">
        <x:v>2024-09-0458</x:v>
      </x:c>
      <x:c r="B1146" s="11" t="n">
        <x:v>45565</x:v>
      </x:c>
      <x:c r="C1146" s="10" t="n">
        <x:v>9</x:v>
      </x:c>
      <x:c r="D1146" s="10" t="str">
        <x:v>3300</x:v>
      </x:c>
      <x:c r="E1146" s="12" t="n">
        <x:v>0</x:v>
      </x:c>
      <x:c r="F1146" s="12" t="n">
        <x:v>5355</x:v>
      </x:c>
      <x:c r="G1146" s="10" t="str">
        <x:v>Strom und Kühlung Monatsjournal</x:v>
      </x:c>
      <x:c r="H1146" s="10" t="str">
        <x:v>Betriebskosten</x:v>
      </x:c>
    </x:row>
    <x:row r="1147" ht="14" customHeight="1">
      <x:c r="A1147" s="10" t="str">
        <x:v>2024-09-0459</x:v>
      </x:c>
      <x:c r="B1147" s="11" t="n">
        <x:v>45565</x:v>
      </x:c>
      <x:c r="C1147" s="10" t="n">
        <x:v>9</x:v>
      </x:c>
      <x:c r="D1147" s="10" t="str">
        <x:v>6400</x:v>
      </x:c>
      <x:c r="E1147" s="12" t="n">
        <x:v>2500</x:v>
      </x:c>
      <x:c r="F1147" s="12" t="n">
        <x:v>0</x:v>
      </x:c>
      <x:c r="G1147" s="10" t="str">
        <x:v>Versicherungen Monatsjournal</x:v>
      </x:c>
      <x:c r="H1147" s="10" t="str">
        <x:v>Betriebskosten</x:v>
      </x:c>
    </x:row>
    <x:row r="1148" ht="14" customHeight="1">
      <x:c r="A1148" s="10" t="str">
        <x:v>2024-09-0459</x:v>
      </x:c>
      <x:c r="B1148" s="11" t="n">
        <x:v>45565</x:v>
      </x:c>
      <x:c r="C1148" s="10" t="n">
        <x:v>9</x:v>
      </x:c>
      <x:c r="D1148" s="10" t="str">
        <x:v>3300</x:v>
      </x:c>
      <x:c r="E1148" s="12" t="n">
        <x:v>0</x:v>
      </x:c>
      <x:c r="F1148" s="12" t="n">
        <x:v>2500</x:v>
      </x:c>
      <x:c r="G1148" s="10" t="str">
        <x:v>Versicherungen Monatsjournal</x:v>
      </x:c>
      <x:c r="H1148" s="10" t="str">
        <x:v>Betriebskosten</x:v>
      </x:c>
    </x:row>
    <x:row r="1149" ht="14" customHeight="1">
      <x:c r="A1149" s="10" t="str">
        <x:v>2024-09-0460</x:v>
      </x:c>
      <x:c r="B1149" s="11" t="n">
        <x:v>45565</x:v>
      </x:c>
      <x:c r="C1149" s="10" t="n">
        <x:v>9</x:v>
      </x:c>
      <x:c r="D1149" s="10" t="str">
        <x:v>6470</x:v>
      </x:c>
      <x:c r="E1149" s="12" t="n">
        <x:v>6000</x:v>
      </x:c>
      <x:c r="F1149" s="12" t="n">
        <x:v>0</x:v>
      </x:c>
      <x:c r="G1149" s="10" t="str">
        <x:v>Lagerbetrieb und Reinigung Monatsjournal</x:v>
      </x:c>
      <x:c r="H1149" s="10" t="str">
        <x:v>Betriebskosten</x:v>
      </x:c>
    </x:row>
    <x:row r="1150" ht="14" customHeight="1">
      <x:c r="A1150" s="10" t="str">
        <x:v>2024-09-0460</x:v>
      </x:c>
      <x:c r="B1150" s="11" t="n">
        <x:v>45565</x:v>
      </x:c>
      <x:c r="C1150" s="10" t="n">
        <x:v>9</x:v>
      </x:c>
      <x:c r="D1150" s="10" t="str">
        <x:v>1406</x:v>
      </x:c>
      <x:c r="E1150" s="12" t="n">
        <x:v>1140</x:v>
      </x:c>
      <x:c r="F1150" s="12" t="n">
        <x:v>0</x:v>
      </x:c>
      <x:c r="G1150" s="10" t="str">
        <x:v>Lagerbetrieb und Reinigung Monatsjournal</x:v>
      </x:c>
      <x:c r="H1150" s="10" t="str">
        <x:v>Betriebskosten</x:v>
      </x:c>
    </x:row>
    <x:row r="1151" ht="14" customHeight="1">
      <x:c r="A1151" s="10" t="str">
        <x:v>2024-09-0460</x:v>
      </x:c>
      <x:c r="B1151" s="11" t="n">
        <x:v>45565</x:v>
      </x:c>
      <x:c r="C1151" s="10" t="n">
        <x:v>9</x:v>
      </x:c>
      <x:c r="D1151" s="10" t="str">
        <x:v>3300</x:v>
      </x:c>
      <x:c r="E1151" s="12" t="n">
        <x:v>0</x:v>
      </x:c>
      <x:c r="F1151" s="12" t="n">
        <x:v>7140</x:v>
      </x:c>
      <x:c r="G1151" s="10" t="str">
        <x:v>Lagerbetrieb und Reinigung Monatsjournal</x:v>
      </x:c>
      <x:c r="H1151" s="10" t="str">
        <x:v>Betriebskosten</x:v>
      </x:c>
    </x:row>
    <x:row r="1152" ht="14" customHeight="1">
      <x:c r="A1152" s="10" t="str">
        <x:v>2024-09-0461</x:v>
      </x:c>
      <x:c r="B1152" s="11" t="n">
        <x:v>45565</x:v>
      </x:c>
      <x:c r="C1152" s="10" t="n">
        <x:v>9</x:v>
      </x:c>
      <x:c r="D1152" s="10" t="str">
        <x:v>6490</x:v>
      </x:c>
      <x:c r="E1152" s="12" t="n">
        <x:v>2500</x:v>
      </x:c>
      <x:c r="F1152" s="12" t="n">
        <x:v>0</x:v>
      </x:c>
      <x:c r="G1152" s="10" t="str">
        <x:v>Reparaturen und Wartung Monatsjournal</x:v>
      </x:c>
      <x:c r="H1152" s="10" t="str">
        <x:v>Betriebskosten</x:v>
      </x:c>
    </x:row>
    <x:row r="1153" ht="14" customHeight="1">
      <x:c r="A1153" s="10" t="str">
        <x:v>2024-09-0461</x:v>
      </x:c>
      <x:c r="B1153" s="11" t="n">
        <x:v>45565</x:v>
      </x:c>
      <x:c r="C1153" s="10" t="n">
        <x:v>9</x:v>
      </x:c>
      <x:c r="D1153" s="10" t="str">
        <x:v>1406</x:v>
      </x:c>
      <x:c r="E1153" s="12" t="n">
        <x:v>475</x:v>
      </x:c>
      <x:c r="F1153" s="12" t="n">
        <x:v>0</x:v>
      </x:c>
      <x:c r="G1153" s="10" t="str">
        <x:v>Reparaturen und Wartung Monatsjournal</x:v>
      </x:c>
      <x:c r="H1153" s="10" t="str">
        <x:v>Betriebskosten</x:v>
      </x:c>
    </x:row>
    <x:row r="1154" ht="14" customHeight="1">
      <x:c r="A1154" s="10" t="str">
        <x:v>2024-09-0461</x:v>
      </x:c>
      <x:c r="B1154" s="11" t="n">
        <x:v>45565</x:v>
      </x:c>
      <x:c r="C1154" s="10" t="n">
        <x:v>9</x:v>
      </x:c>
      <x:c r="D1154" s="10" t="str">
        <x:v>3300</x:v>
      </x:c>
      <x:c r="E1154" s="12" t="n">
        <x:v>0</x:v>
      </x:c>
      <x:c r="F1154" s="12" t="n">
        <x:v>2975</x:v>
      </x:c>
      <x:c r="G1154" s="10" t="str">
        <x:v>Reparaturen und Wartung Monatsjournal</x:v>
      </x:c>
      <x:c r="H1154" s="10" t="str">
        <x:v>Betriebskosten</x:v>
      </x:c>
    </x:row>
    <x:row r="1155" ht="14" customHeight="1">
      <x:c r="A1155" s="10" t="str">
        <x:v>2024-09-0462</x:v>
      </x:c>
      <x:c r="B1155" s="11" t="n">
        <x:v>45565</x:v>
      </x:c>
      <x:c r="C1155" s="10" t="n">
        <x:v>9</x:v>
      </x:c>
      <x:c r="D1155" s="10" t="str">
        <x:v>6600</x:v>
      </x:c>
      <x:c r="E1155" s="12" t="n">
        <x:v>6000</x:v>
      </x:c>
      <x:c r="F1155" s="12" t="n">
        <x:v>0</x:v>
      </x:c>
      <x:c r="G1155" s="10" t="str">
        <x:v>Marketing und Messen Monatsjournal</x:v>
      </x:c>
      <x:c r="H1155" s="10" t="str">
        <x:v>Betriebskosten</x:v>
      </x:c>
    </x:row>
    <x:row r="1156" ht="14" customHeight="1">
      <x:c r="A1156" s="10" t="str">
        <x:v>2024-09-0462</x:v>
      </x:c>
      <x:c r="B1156" s="11" t="n">
        <x:v>45565</x:v>
      </x:c>
      <x:c r="C1156" s="10" t="n">
        <x:v>9</x:v>
      </x:c>
      <x:c r="D1156" s="10" t="str">
        <x:v>1406</x:v>
      </x:c>
      <x:c r="E1156" s="12" t="n">
        <x:v>1140</x:v>
      </x:c>
      <x:c r="F1156" s="12" t="n">
        <x:v>0</x:v>
      </x:c>
      <x:c r="G1156" s="10" t="str">
        <x:v>Marketing und Messen Monatsjournal</x:v>
      </x:c>
      <x:c r="H1156" s="10" t="str">
        <x:v>Betriebskosten</x:v>
      </x:c>
    </x:row>
    <x:row r="1157" ht="14" customHeight="1">
      <x:c r="A1157" s="10" t="str">
        <x:v>2024-09-0462</x:v>
      </x:c>
      <x:c r="B1157" s="11" t="n">
        <x:v>45565</x:v>
      </x:c>
      <x:c r="C1157" s="10" t="n">
        <x:v>9</x:v>
      </x:c>
      <x:c r="D1157" s="10" t="str">
        <x:v>3300</x:v>
      </x:c>
      <x:c r="E1157" s="12" t="n">
        <x:v>0</x:v>
      </x:c>
      <x:c r="F1157" s="12" t="n">
        <x:v>7140</x:v>
      </x:c>
      <x:c r="G1157" s="10" t="str">
        <x:v>Marketing und Messen Monatsjournal</x:v>
      </x:c>
      <x:c r="H1157" s="10" t="str">
        <x:v>Betriebskosten</x:v>
      </x:c>
    </x:row>
    <x:row r="1158" ht="14" customHeight="1">
      <x:c r="A1158" s="10" t="str">
        <x:v>2024-09-0463</x:v>
      </x:c>
      <x:c r="B1158" s="11" t="n">
        <x:v>45565</x:v>
      </x:c>
      <x:c r="C1158" s="10" t="n">
        <x:v>9</x:v>
      </x:c>
      <x:c r="D1158" s="10" t="str">
        <x:v>6650</x:v>
      </x:c>
      <x:c r="E1158" s="12" t="n">
        <x:v>1500</x:v>
      </x:c>
      <x:c r="F1158" s="12" t="n">
        <x:v>0</x:v>
      </x:c>
      <x:c r="G1158" s="10" t="str">
        <x:v>Reisekosten Monatsjournal</x:v>
      </x:c>
      <x:c r="H1158" s="10" t="str">
        <x:v>Betriebskosten</x:v>
      </x:c>
    </x:row>
    <x:row r="1159" ht="14" customHeight="1">
      <x:c r="A1159" s="10" t="str">
        <x:v>2024-09-0463</x:v>
      </x:c>
      <x:c r="B1159" s="11" t="n">
        <x:v>45565</x:v>
      </x:c>
      <x:c r="C1159" s="10" t="n">
        <x:v>9</x:v>
      </x:c>
      <x:c r="D1159" s="10" t="str">
        <x:v>1406</x:v>
      </x:c>
      <x:c r="E1159" s="12" t="n">
        <x:v>285</x:v>
      </x:c>
      <x:c r="F1159" s="12" t="n">
        <x:v>0</x:v>
      </x:c>
      <x:c r="G1159" s="10" t="str">
        <x:v>Reisekosten Monatsjournal</x:v>
      </x:c>
      <x:c r="H1159" s="10" t="str">
        <x:v>Betriebskosten</x:v>
      </x:c>
    </x:row>
    <x:row r="1160" ht="14" customHeight="1">
      <x:c r="A1160" s="10" t="str">
        <x:v>2024-09-0463</x:v>
      </x:c>
      <x:c r="B1160" s="11" t="n">
        <x:v>45565</x:v>
      </x:c>
      <x:c r="C1160" s="10" t="n">
        <x:v>9</x:v>
      </x:c>
      <x:c r="D1160" s="10" t="str">
        <x:v>3300</x:v>
      </x:c>
      <x:c r="E1160" s="12" t="n">
        <x:v>0</x:v>
      </x:c>
      <x:c r="F1160" s="12" t="n">
        <x:v>1485</x:v>
      </x:c>
      <x:c r="G1160" s="10" t="str">
        <x:v>Reisekosten Monatsjournal</x:v>
      </x:c>
      <x:c r="H1160" s="10" t="str">
        <x:v>Betriebskosten</x:v>
      </x:c>
    </x:row>
    <x:row r="1161" ht="14" customHeight="1">
      <x:c r="A1161" s="10" t="str">
        <x:v>2024-09-0463</x:v>
      </x:c>
      <x:c r="B1161" s="11" t="n">
        <x:v>45565</x:v>
      </x:c>
      <x:c r="C1161" s="10" t="n">
        <x:v>9</x:v>
      </x:c>
      <x:c r="D1161" s="10" t="str">
        <x:v>1600</x:v>
      </x:c>
      <x:c r="E1161" s="12" t="n">
        <x:v>0</x:v>
      </x:c>
      <x:c r="F1161" s="12" t="n">
        <x:v>300</x:v>
      </x:c>
      <x:c r="G1161" s="10" t="str">
        <x:v>Reisekosten Monatsjournal</x:v>
      </x:c>
      <x:c r="H1161" s="10" t="str">
        <x:v>Betriebskosten</x:v>
      </x:c>
    </x:row>
    <x:row r="1162" ht="14" customHeight="1">
      <x:c r="A1162" s="10" t="str">
        <x:v>2024-09-0464</x:v>
      </x:c>
      <x:c r="B1162" s="11" t="n">
        <x:v>45565</x:v>
      </x:c>
      <x:c r="C1162" s="10" t="n">
        <x:v>9</x:v>
      </x:c>
      <x:c r="D1162" s="10" t="str">
        <x:v>6740</x:v>
      </x:c>
      <x:c r="E1162" s="12" t="n">
        <x:v>13000</x:v>
      </x:c>
      <x:c r="F1162" s="12" t="n">
        <x:v>0</x:v>
      </x:c>
      <x:c r="G1162" s="10" t="str">
        <x:v>Ausgangsfrachten Inland Monatsjournal</x:v>
      </x:c>
      <x:c r="H1162" s="10" t="str">
        <x:v>Betriebskosten</x:v>
      </x:c>
    </x:row>
    <x:row r="1163" ht="14" customHeight="1">
      <x:c r="A1163" s="10" t="str">
        <x:v>2024-09-0464</x:v>
      </x:c>
      <x:c r="B1163" s="11" t="n">
        <x:v>45565</x:v>
      </x:c>
      <x:c r="C1163" s="10" t="n">
        <x:v>9</x:v>
      </x:c>
      <x:c r="D1163" s="10" t="str">
        <x:v>1406</x:v>
      </x:c>
      <x:c r="E1163" s="12" t="n">
        <x:v>2470</x:v>
      </x:c>
      <x:c r="F1163" s="12" t="n">
        <x:v>0</x:v>
      </x:c>
      <x:c r="G1163" s="10" t="str">
        <x:v>Ausgangsfrachten Inland Monatsjournal</x:v>
      </x:c>
      <x:c r="H1163" s="10" t="str">
        <x:v>Betriebskosten</x:v>
      </x:c>
    </x:row>
    <x:row r="1164" ht="14" customHeight="1">
      <x:c r="A1164" s="10" t="str">
        <x:v>2024-09-0464</x:v>
      </x:c>
      <x:c r="B1164" s="11" t="n">
        <x:v>45565</x:v>
      </x:c>
      <x:c r="C1164" s="10" t="n">
        <x:v>9</x:v>
      </x:c>
      <x:c r="D1164" s="10" t="str">
        <x:v>3300</x:v>
      </x:c>
      <x:c r="E1164" s="12" t="n">
        <x:v>0</x:v>
      </x:c>
      <x:c r="F1164" s="12" t="n">
        <x:v>15470</x:v>
      </x:c>
      <x:c r="G1164" s="10" t="str">
        <x:v>Ausgangsfrachten Inland Monatsjournal</x:v>
      </x:c>
      <x:c r="H1164" s="10" t="str">
        <x:v>Betriebskosten</x:v>
      </x:c>
    </x:row>
    <x:row r="1165" ht="14" customHeight="1">
      <x:c r="A1165" s="10" t="str">
        <x:v>2024-09-0465</x:v>
      </x:c>
      <x:c r="B1165" s="11" t="n">
        <x:v>45565</x:v>
      </x:c>
      <x:c r="C1165" s="10" t="n">
        <x:v>9</x:v>
      </x:c>
      <x:c r="D1165" s="10" t="str">
        <x:v>6741</x:v>
      </x:c>
      <x:c r="E1165" s="12" t="n">
        <x:v>14000</x:v>
      </x:c>
      <x:c r="F1165" s="12" t="n">
        <x:v>0</x:v>
      </x:c>
      <x:c r="G1165" s="10" t="str">
        <x:v>Ausgangsfrachten Ausland Monatsjournal</x:v>
      </x:c>
      <x:c r="H1165" s="10" t="str">
        <x:v>Betriebskosten</x:v>
      </x:c>
    </x:row>
    <x:row r="1166" ht="14" customHeight="1">
      <x:c r="A1166" s="10" t="str">
        <x:v>2024-09-0465</x:v>
      </x:c>
      <x:c r="B1166" s="11" t="n">
        <x:v>45565</x:v>
      </x:c>
      <x:c r="C1166" s="10" t="n">
        <x:v>9</x:v>
      </x:c>
      <x:c r="D1166" s="10" t="str">
        <x:v>1406</x:v>
      </x:c>
      <x:c r="E1166" s="12" t="n">
        <x:v>2660</x:v>
      </x:c>
      <x:c r="F1166" s="12" t="n">
        <x:v>0</x:v>
      </x:c>
      <x:c r="G1166" s="10" t="str">
        <x:v>Ausgangsfrachten Ausland Monatsjournal</x:v>
      </x:c>
      <x:c r="H1166" s="10" t="str">
        <x:v>Betriebskosten</x:v>
      </x:c>
    </x:row>
    <x:row r="1167" ht="14" customHeight="1">
      <x:c r="A1167" s="10" t="str">
        <x:v>2024-09-0465</x:v>
      </x:c>
      <x:c r="B1167" s="11" t="n">
        <x:v>45565</x:v>
      </x:c>
      <x:c r="C1167" s="10" t="n">
        <x:v>9</x:v>
      </x:c>
      <x:c r="D1167" s="10" t="str">
        <x:v>3300</x:v>
      </x:c>
      <x:c r="E1167" s="12" t="n">
        <x:v>0</x:v>
      </x:c>
      <x:c r="F1167" s="12" t="n">
        <x:v>16660</x:v>
      </x:c>
      <x:c r="G1167" s="10" t="str">
        <x:v>Ausgangsfrachten Ausland Monatsjournal</x:v>
      </x:c>
      <x:c r="H1167" s="10" t="str">
        <x:v>Betriebskosten</x:v>
      </x:c>
    </x:row>
    <x:row r="1168" ht="14" customHeight="1">
      <x:c r="A1168" s="10" t="str">
        <x:v>2024-09-0466</x:v>
      </x:c>
      <x:c r="B1168" s="11" t="n">
        <x:v>45565</x:v>
      </x:c>
      <x:c r="C1168" s="10" t="n">
        <x:v>9</x:v>
      </x:c>
      <x:c r="D1168" s="10" t="str">
        <x:v>6805</x:v>
      </x:c>
      <x:c r="E1168" s="12" t="n">
        <x:v>1500</x:v>
      </x:c>
      <x:c r="F1168" s="12" t="n">
        <x:v>0</x:v>
      </x:c>
      <x:c r="G1168" s="10" t="str">
        <x:v>Telekommunikation und IT Monatsjournal</x:v>
      </x:c>
      <x:c r="H1168" s="10" t="str">
        <x:v>Betriebskosten</x:v>
      </x:c>
    </x:row>
    <x:row r="1169" ht="14" customHeight="1">
      <x:c r="A1169" s="10" t="str">
        <x:v>2024-09-0466</x:v>
      </x:c>
      <x:c r="B1169" s="11" t="n">
        <x:v>45565</x:v>
      </x:c>
      <x:c r="C1169" s="10" t="n">
        <x:v>9</x:v>
      </x:c>
      <x:c r="D1169" s="10" t="str">
        <x:v>1406</x:v>
      </x:c>
      <x:c r="E1169" s="12" t="n">
        <x:v>285</x:v>
      </x:c>
      <x:c r="F1169" s="12" t="n">
        <x:v>0</x:v>
      </x:c>
      <x:c r="G1169" s="10" t="str">
        <x:v>Telekommunikation und IT Monatsjournal</x:v>
      </x:c>
      <x:c r="H1169" s="10" t="str">
        <x:v>Betriebskosten</x:v>
      </x:c>
    </x:row>
    <x:row r="1170" ht="14" customHeight="1">
      <x:c r="A1170" s="10" t="str">
        <x:v>2024-09-0466</x:v>
      </x:c>
      <x:c r="B1170" s="11" t="n">
        <x:v>45565</x:v>
      </x:c>
      <x:c r="C1170" s="10" t="n">
        <x:v>9</x:v>
      </x:c>
      <x:c r="D1170" s="10" t="str">
        <x:v>3300</x:v>
      </x:c>
      <x:c r="E1170" s="12" t="n">
        <x:v>0</x:v>
      </x:c>
      <x:c r="F1170" s="12" t="n">
        <x:v>1785</x:v>
      </x:c>
      <x:c r="G1170" s="10" t="str">
        <x:v>Telekommunikation und IT Monatsjournal</x:v>
      </x:c>
      <x:c r="H1170" s="10" t="str">
        <x:v>Betriebskosten</x:v>
      </x:c>
    </x:row>
    <x:row r="1171" ht="14" customHeight="1">
      <x:c r="A1171" s="10" t="str">
        <x:v>2024-09-0467</x:v>
      </x:c>
      <x:c r="B1171" s="11" t="n">
        <x:v>45565</x:v>
      </x:c>
      <x:c r="C1171" s="10" t="n">
        <x:v>9</x:v>
      </x:c>
      <x:c r="D1171" s="10" t="str">
        <x:v>6825</x:v>
      </x:c>
      <x:c r="E1171" s="12" t="n">
        <x:v>3000</x:v>
      </x:c>
      <x:c r="F1171" s="12" t="n">
        <x:v>0</x:v>
      </x:c>
      <x:c r="G1171" s="10" t="str">
        <x:v>Rechtsberatung und Buchführung Monatsjournal</x:v>
      </x:c>
      <x:c r="H1171" s="10" t="str">
        <x:v>Betriebskosten</x:v>
      </x:c>
    </x:row>
    <x:row r="1172" ht="14" customHeight="1">
      <x:c r="A1172" s="10" t="str">
        <x:v>2024-09-0467</x:v>
      </x:c>
      <x:c r="B1172" s="11" t="n">
        <x:v>45565</x:v>
      </x:c>
      <x:c r="C1172" s="10" t="n">
        <x:v>9</x:v>
      </x:c>
      <x:c r="D1172" s="10" t="str">
        <x:v>1406</x:v>
      </x:c>
      <x:c r="E1172" s="12" t="n">
        <x:v>570</x:v>
      </x:c>
      <x:c r="F1172" s="12" t="n">
        <x:v>0</x:v>
      </x:c>
      <x:c r="G1172" s="10" t="str">
        <x:v>Rechtsberatung und Buchführung Monatsjournal</x:v>
      </x:c>
      <x:c r="H1172" s="10" t="str">
        <x:v>Betriebskosten</x:v>
      </x:c>
    </x:row>
    <x:row r="1173" ht="14" customHeight="1">
      <x:c r="A1173" s="10" t="str">
        <x:v>2024-09-0467</x:v>
      </x:c>
      <x:c r="B1173" s="11" t="n">
        <x:v>45565</x:v>
      </x:c>
      <x:c r="C1173" s="10" t="n">
        <x:v>9</x:v>
      </x:c>
      <x:c r="D1173" s="10" t="str">
        <x:v>3300</x:v>
      </x:c>
      <x:c r="E1173" s="12" t="n">
        <x:v>0</x:v>
      </x:c>
      <x:c r="F1173" s="12" t="n">
        <x:v>3570</x:v>
      </x:c>
      <x:c r="G1173" s="10" t="str">
        <x:v>Rechtsberatung und Buchführung Monatsjournal</x:v>
      </x:c>
      <x:c r="H1173" s="10" t="str">
        <x:v>Betriebskosten</x:v>
      </x:c>
    </x:row>
    <x:row r="1174" ht="14" customHeight="1">
      <x:c r="A1174" s="10" t="str">
        <x:v>2024-09-0468</x:v>
      </x:c>
      <x:c r="B1174" s="11" t="n">
        <x:v>45565</x:v>
      </x:c>
      <x:c r="C1174" s="10" t="n">
        <x:v>9</x:v>
      </x:c>
      <x:c r="D1174" s="10" t="str">
        <x:v>6830</x:v>
      </x:c>
      <x:c r="E1174" s="12" t="n">
        <x:v>3500</x:v>
      </x:c>
      <x:c r="F1174" s="12" t="n">
        <x:v>0</x:v>
      </x:c>
      <x:c r="G1174" s="10" t="str">
        <x:v>Labor und Qualitätssicherung Monatsjournal</x:v>
      </x:c>
      <x:c r="H1174" s="10" t="str">
        <x:v>Betriebskosten</x:v>
      </x:c>
    </x:row>
    <x:row r="1175" ht="14" customHeight="1">
      <x:c r="A1175" s="10" t="str">
        <x:v>2024-09-0468</x:v>
      </x:c>
      <x:c r="B1175" s="11" t="n">
        <x:v>45565</x:v>
      </x:c>
      <x:c r="C1175" s="10" t="n">
        <x:v>9</x:v>
      </x:c>
      <x:c r="D1175" s="10" t="str">
        <x:v>1406</x:v>
      </x:c>
      <x:c r="E1175" s="12" t="n">
        <x:v>665</x:v>
      </x:c>
      <x:c r="F1175" s="12" t="n">
        <x:v>0</x:v>
      </x:c>
      <x:c r="G1175" s="10" t="str">
        <x:v>Labor und Qualitätssicherung Monatsjournal</x:v>
      </x:c>
      <x:c r="H1175" s="10" t="str">
        <x:v>Betriebskosten</x:v>
      </x:c>
    </x:row>
    <x:row r="1176" ht="14" customHeight="1">
      <x:c r="A1176" s="10" t="str">
        <x:v>2024-09-0468</x:v>
      </x:c>
      <x:c r="B1176" s="11" t="n">
        <x:v>45565</x:v>
      </x:c>
      <x:c r="C1176" s="10" t="n">
        <x:v>9</x:v>
      </x:c>
      <x:c r="D1176" s="10" t="str">
        <x:v>3300</x:v>
      </x:c>
      <x:c r="E1176" s="12" t="n">
        <x:v>0</x:v>
      </x:c>
      <x:c r="F1176" s="12" t="n">
        <x:v>4165</x:v>
      </x:c>
      <x:c r="G1176" s="10" t="str">
        <x:v>Labor und Qualitätssicherung Monatsjournal</x:v>
      </x:c>
      <x:c r="H1176" s="10" t="str">
        <x:v>Betriebskosten</x:v>
      </x:c>
    </x:row>
    <x:row r="1177" ht="14" customHeight="1">
      <x:c r="A1177" s="10" t="str">
        <x:v>2024-09-0469</x:v>
      </x:c>
      <x:c r="B1177" s="11" t="n">
        <x:v>45565</x:v>
      </x:c>
      <x:c r="C1177" s="10" t="n">
        <x:v>9</x:v>
      </x:c>
      <x:c r="D1177" s="10" t="str">
        <x:v>6850</x:v>
      </x:c>
      <x:c r="E1177" s="12" t="n">
        <x:v>2000</x:v>
      </x:c>
      <x:c r="F1177" s="12" t="n">
        <x:v>0</x:v>
      </x:c>
      <x:c r="G1177" s="10" t="str">
        <x:v>Bürobedarf und übriger Aufwand Monatsjournal</x:v>
      </x:c>
      <x:c r="H1177" s="10" t="str">
        <x:v>Betriebskosten</x:v>
      </x:c>
    </x:row>
    <x:row r="1178" ht="14" customHeight="1">
      <x:c r="A1178" s="10" t="str">
        <x:v>2024-09-0469</x:v>
      </x:c>
      <x:c r="B1178" s="11" t="n">
        <x:v>45565</x:v>
      </x:c>
      <x:c r="C1178" s="10" t="n">
        <x:v>9</x:v>
      </x:c>
      <x:c r="D1178" s="10" t="str">
        <x:v>1406</x:v>
      </x:c>
      <x:c r="E1178" s="12" t="n">
        <x:v>380</x:v>
      </x:c>
      <x:c r="F1178" s="12" t="n">
        <x:v>0</x:v>
      </x:c>
      <x:c r="G1178" s="10" t="str">
        <x:v>Bürobedarf und übriger Aufwand Monatsjournal</x:v>
      </x:c>
      <x:c r="H1178" s="10" t="str">
        <x:v>Betriebskosten</x:v>
      </x:c>
    </x:row>
    <x:row r="1179" ht="14" customHeight="1">
      <x:c r="A1179" s="10" t="str">
        <x:v>2024-09-0469</x:v>
      </x:c>
      <x:c r="B1179" s="11" t="n">
        <x:v>45565</x:v>
      </x:c>
      <x:c r="C1179" s="10" t="n">
        <x:v>9</x:v>
      </x:c>
      <x:c r="D1179" s="10" t="str">
        <x:v>3300</x:v>
      </x:c>
      <x:c r="E1179" s="12" t="n">
        <x:v>0</x:v>
      </x:c>
      <x:c r="F1179" s="12" t="n">
        <x:v>2380</x:v>
      </x:c>
      <x:c r="G1179" s="10" t="str">
        <x:v>Bürobedarf und übriger Aufwand Monatsjournal</x:v>
      </x:c>
      <x:c r="H1179" s="10" t="str">
        <x:v>Betriebskosten</x:v>
      </x:c>
    </x:row>
    <x:row r="1180" ht="14" customHeight="1">
      <x:c r="A1180" s="10" t="str">
        <x:v>2024-09-0470</x:v>
      </x:c>
      <x:c r="B1180" s="11" t="n">
        <x:v>45565</x:v>
      </x:c>
      <x:c r="C1180" s="10" t="n">
        <x:v>9</x:v>
      </x:c>
      <x:c r="D1180" s="10" t="str">
        <x:v>6859</x:v>
      </x:c>
      <x:c r="E1180" s="12" t="n">
        <x:v>500</x:v>
      </x:c>
      <x:c r="F1180" s="12" t="n">
        <x:v>0</x:v>
      </x:c>
      <x:c r="G1180" s="10" t="str">
        <x:v>Bankgebühren Monatsjournal</x:v>
      </x:c>
      <x:c r="H1180" s="10" t="str">
        <x:v>Betriebskosten</x:v>
      </x:c>
    </x:row>
    <x:row r="1181" ht="14" customHeight="1">
      <x:c r="A1181" s="10" t="str">
        <x:v>2024-09-0470</x:v>
      </x:c>
      <x:c r="B1181" s="11" t="n">
        <x:v>45565</x:v>
      </x:c>
      <x:c r="C1181" s="10" t="n">
        <x:v>9</x:v>
      </x:c>
      <x:c r="D1181" s="10" t="str">
        <x:v>3300</x:v>
      </x:c>
      <x:c r="E1181" s="12" t="n">
        <x:v>0</x:v>
      </x:c>
      <x:c r="F1181" s="12" t="n">
        <x:v>500</x:v>
      </x:c>
      <x:c r="G1181" s="10" t="str">
        <x:v>Bankgebühren Monatsjournal</x:v>
      </x:c>
      <x:c r="H1181" s="10" t="str">
        <x:v>Betriebskosten</x:v>
      </x:c>
    </x:row>
    <x:row r="1182" ht="14" customHeight="1">
      <x:c r="A1182" s="10" t="str">
        <x:v>2024-09-0471</x:v>
      </x:c>
      <x:c r="B1182" s="11" t="n">
        <x:v>45540</x:v>
      </x:c>
      <x:c r="C1182" s="10" t="n">
        <x:v>9</x:v>
      </x:c>
      <x:c r="D1182" s="10" t="str">
        <x:v>1600</x:v>
      </x:c>
      <x:c r="E1182" s="12" t="n">
        <x:v>300</x:v>
      </x:c>
      <x:c r="F1182" s="12" t="n">
        <x:v>0</x:v>
      </x:c>
      <x:c r="G1182" s="10" t="str">
        <x:v>Kassenvorschuss Reisekosten</x:v>
      </x:c>
      <x:c r="H1182" s="10" t="str">
        <x:v>Kassenumbuchung</x:v>
      </x:c>
    </x:row>
    <x:row r="1183" ht="14" customHeight="1">
      <x:c r="A1183" s="10" t="str">
        <x:v>2024-09-0471</x:v>
      </x:c>
      <x:c r="B1183" s="11" t="n">
        <x:v>45540</x:v>
      </x:c>
      <x:c r="C1183" s="10" t="n">
        <x:v>9</x:v>
      </x:c>
      <x:c r="D1183" s="10" t="str">
        <x:v>1800</x:v>
      </x:c>
      <x:c r="E1183" s="12" t="n">
        <x:v>0</x:v>
      </x:c>
      <x:c r="F1183" s="12" t="n">
        <x:v>300</x:v>
      </x:c>
      <x:c r="G1183" s="10" t="str">
        <x:v>Kassenvorschuss Reisekosten</x:v>
      </x:c>
      <x:c r="H1183" s="10" t="str">
        <x:v>Kassenumbuchung</x:v>
      </x:c>
    </x:row>
    <x:row r="1184" ht="14" customHeight="1">
      <x:c r="A1184" s="10" t="str">
        <x:v>2024-09-0472</x:v>
      </x:c>
      <x:c r="B1184" s="11" t="n">
        <x:v>45565</x:v>
      </x:c>
      <x:c r="C1184" s="10" t="n">
        <x:v>9</x:v>
      </x:c>
      <x:c r="D1184" s="10" t="str">
        <x:v>6220</x:v>
      </x:c>
      <x:c r="E1184" s="12" t="n">
        <x:v>500</x:v>
      </x:c>
      <x:c r="F1184" s="12" t="n">
        <x:v>0</x:v>
      </x:c>
      <x:c r="G1184" s="10" t="str">
        <x:v>Software Monatsabschreibung</x:v>
      </x:c>
      <x:c r="H1184" s="10" t="str">
        <x:v>Abschreibung</x:v>
      </x:c>
    </x:row>
    <x:row r="1185" ht="14" customHeight="1">
      <x:c r="A1185" s="10" t="str">
        <x:v>2024-09-0472</x:v>
      </x:c>
      <x:c r="B1185" s="11" t="n">
        <x:v>45565</x:v>
      </x:c>
      <x:c r="C1185" s="10" t="n">
        <x:v>9</x:v>
      </x:c>
      <x:c r="D1185" s="10" t="str">
        <x:v>0100</x:v>
      </x:c>
      <x:c r="E1185" s="12" t="n">
        <x:v>0</x:v>
      </x:c>
      <x:c r="F1185" s="12" t="n">
        <x:v>500</x:v>
      </x:c>
      <x:c r="G1185" s="10" t="str">
        <x:v>Software Monatsabschreibung</x:v>
      </x:c>
      <x:c r="H1185" s="10" t="str">
        <x:v>Abschreibung</x:v>
      </x:c>
    </x:row>
    <x:row r="1186" ht="14" customHeight="1">
      <x:c r="A1186" s="10" t="str">
        <x:v>2024-09-0473</x:v>
      </x:c>
      <x:c r="B1186" s="11" t="n">
        <x:v>45565</x:v>
      </x:c>
      <x:c r="C1186" s="10" t="n">
        <x:v>9</x:v>
      </x:c>
      <x:c r="D1186" s="10" t="str">
        <x:v>6220</x:v>
      </x:c>
      <x:c r="E1186" s="12" t="n">
        <x:v>2500</x:v>
      </x:c>
      <x:c r="F1186" s="12" t="n">
        <x:v>0</x:v>
      </x:c>
      <x:c r="G1186" s="10" t="str">
        <x:v>Lagereinbauten Erlangen Monatsabschreibung</x:v>
      </x:c>
      <x:c r="H1186" s="10" t="str">
        <x:v>Abschreibung</x:v>
      </x:c>
    </x:row>
    <x:row r="1187" ht="14" customHeight="1">
      <x:c r="A1187" s="10" t="str">
        <x:v>2024-09-0473</x:v>
      </x:c>
      <x:c r="B1187" s="11" t="n">
        <x:v>45565</x:v>
      </x:c>
      <x:c r="C1187" s="10" t="n">
        <x:v>9</x:v>
      </x:c>
      <x:c r="D1187" s="10" t="str">
        <x:v>0400</x:v>
      </x:c>
      <x:c r="E1187" s="12" t="n">
        <x:v>0</x:v>
      </x:c>
      <x:c r="F1187" s="12" t="n">
        <x:v>2500</x:v>
      </x:c>
      <x:c r="G1187" s="10" t="str">
        <x:v>Lagereinbauten Erlangen Monatsabschreibung</x:v>
      </x:c>
      <x:c r="H1187" s="10" t="str">
        <x:v>Abschreibung</x:v>
      </x:c>
    </x:row>
    <x:row r="1188" ht="14" customHeight="1">
      <x:c r="A1188" s="10" t="str">
        <x:v>2024-09-0474</x:v>
      </x:c>
      <x:c r="B1188" s="11" t="n">
        <x:v>45565</x:v>
      </x:c>
      <x:c r="C1188" s="10" t="n">
        <x:v>9</x:v>
      </x:c>
      <x:c r="D1188" s="10" t="str">
        <x:v>6220</x:v>
      </x:c>
      <x:c r="E1188" s="12" t="n">
        <x:v>1500</x:v>
      </x:c>
      <x:c r="F1188" s="12" t="n">
        <x:v>0</x:v>
      </x:c>
      <x:c r="G1188" s="10" t="str">
        <x:v>Flurförderzeuge Monatsabschreibung</x:v>
      </x:c>
      <x:c r="H1188" s="10" t="str">
        <x:v>Abschreibung</x:v>
      </x:c>
    </x:row>
    <x:row r="1189" ht="14" customHeight="1">
      <x:c r="A1189" s="10" t="str">
        <x:v>2024-09-0474</x:v>
      </x:c>
      <x:c r="B1189" s="11" t="n">
        <x:v>45565</x:v>
      </x:c>
      <x:c r="C1189" s="10" t="n">
        <x:v>9</x:v>
      </x:c>
      <x:c r="D1189" s="10" t="str">
        <x:v>0520</x:v>
      </x:c>
      <x:c r="E1189" s="12" t="n">
        <x:v>0</x:v>
      </x:c>
      <x:c r="F1189" s="12" t="n">
        <x:v>1500</x:v>
      </x:c>
      <x:c r="G1189" s="10" t="str">
        <x:v>Flurförderzeuge Monatsabschreibung</x:v>
      </x:c>
      <x:c r="H1189" s="10" t="str">
        <x:v>Abschreibung</x:v>
      </x:c>
    </x:row>
    <x:row r="1190" ht="14" customHeight="1">
      <x:c r="A1190" s="10" t="str">
        <x:v>2024-09-0475</x:v>
      </x:c>
      <x:c r="B1190" s="11" t="n">
        <x:v>45565</x:v>
      </x:c>
      <x:c r="C1190" s="10" t="n">
        <x:v>9</x:v>
      </x:c>
      <x:c r="D1190" s="10" t="str">
        <x:v>6220</x:v>
      </x:c>
      <x:c r="E1190" s="12" t="n">
        <x:v>2000</x:v>
      </x:c>
      <x:c r="F1190" s="12" t="n">
        <x:v>0</x:v>
      </x:c>
      <x:c r="G1190" s="10" t="str">
        <x:v>IT und Kommunikation Monatsabschreibung</x:v>
      </x:c>
      <x:c r="H1190" s="10" t="str">
        <x:v>Abschreibung</x:v>
      </x:c>
    </x:row>
    <x:row r="1191" ht="14" customHeight="1">
      <x:c r="A1191" s="10" t="str">
        <x:v>2024-09-0475</x:v>
      </x:c>
      <x:c r="B1191" s="11" t="n">
        <x:v>45565</x:v>
      </x:c>
      <x:c r="C1191" s="10" t="n">
        <x:v>9</x:v>
      </x:c>
      <x:c r="D1191" s="10" t="str">
        <x:v>0650</x:v>
      </x:c>
      <x:c r="E1191" s="12" t="n">
        <x:v>0</x:v>
      </x:c>
      <x:c r="F1191" s="12" t="n">
        <x:v>2000</x:v>
      </x:c>
      <x:c r="G1191" s="10" t="str">
        <x:v>IT und Kommunikation Monatsabschreibung</x:v>
      </x:c>
      <x:c r="H1191" s="10" t="str">
        <x:v>Abschreibung</x:v>
      </x:c>
    </x:row>
    <x:row r="1192" ht="14" customHeight="1">
      <x:c r="A1192" s="10" t="str">
        <x:v>2024-09-0476</x:v>
      </x:c>
      <x:c r="B1192" s="11" t="n">
        <x:v>45565</x:v>
      </x:c>
      <x:c r="C1192" s="10" t="n">
        <x:v>9</x:v>
      </x:c>
      <x:c r="D1192" s="10" t="str">
        <x:v>6220</x:v>
      </x:c>
      <x:c r="E1192" s="12" t="n">
        <x:v>1000</x:v>
      </x:c>
      <x:c r="F1192" s="12" t="n">
        <x:v>0</x:v>
      </x:c>
      <x:c r="G1192" s="10" t="str">
        <x:v>Büroausstattung Monatsabschreibung</x:v>
      </x:c>
      <x:c r="H1192" s="10" t="str">
        <x:v>Abschreibung</x:v>
      </x:c>
    </x:row>
    <x:row r="1193" ht="14" customHeight="1">
      <x:c r="A1193" s="10" t="str">
        <x:v>2024-09-0476</x:v>
      </x:c>
      <x:c r="B1193" s="11" t="n">
        <x:v>45565</x:v>
      </x:c>
      <x:c r="C1193" s="10" t="n">
        <x:v>9</x:v>
      </x:c>
      <x:c r="D1193" s="10" t="str">
        <x:v>0670</x:v>
      </x:c>
      <x:c r="E1193" s="12" t="n">
        <x:v>0</x:v>
      </x:c>
      <x:c r="F1193" s="12" t="n">
        <x:v>1000</x:v>
      </x:c>
      <x:c r="G1193" s="10" t="str">
        <x:v>Büroausstattung Monatsabschreibung</x:v>
      </x:c>
      <x:c r="H1193" s="10" t="str">
        <x:v>Abschreibung</x:v>
      </x:c>
    </x:row>
    <x:row r="1194" ht="14" customHeight="1">
      <x:c r="A1194" s="10" t="str">
        <x:v>2024-09-0477</x:v>
      </x:c>
      <x:c r="B1194" s="11" t="n">
        <x:v>45565</x:v>
      </x:c>
      <x:c r="C1194" s="10" t="n">
        <x:v>9</x:v>
      </x:c>
      <x:c r="D1194" s="10" t="str">
        <x:v>3150</x:v>
      </x:c>
      <x:c r="E1194" s="12" t="n">
        <x:v>10000</x:v>
      </x:c>
      <x:c r="F1194" s="12" t="n">
        <x:v>0</x:v>
      </x:c>
      <x:c r="G1194" s="10" t="str">
        <x:v>Investitionsdarlehen Tilgungsrate</x:v>
      </x:c>
      <x:c r="H1194" s="10" t="str">
        <x:v>Tilgung</x:v>
      </x:c>
    </x:row>
    <x:row r="1195" ht="14" customHeight="1">
      <x:c r="A1195" s="10" t="str">
        <x:v>2024-09-0477</x:v>
      </x:c>
      <x:c r="B1195" s="11" t="n">
        <x:v>45565</x:v>
      </x:c>
      <x:c r="C1195" s="10" t="n">
        <x:v>9</x:v>
      </x:c>
      <x:c r="D1195" s="10" t="str">
        <x:v>1800</x:v>
      </x:c>
      <x:c r="E1195" s="12" t="n">
        <x:v>0</x:v>
      </x:c>
      <x:c r="F1195" s="12" t="n">
        <x:v>10000</x:v>
      </x:c>
      <x:c r="G1195" s="10" t="str">
        <x:v>Investitionsdarlehen Tilgungsrate</x:v>
      </x:c>
      <x:c r="H1195" s="10" t="str">
        <x:v>Tilgung</x:v>
      </x:c>
    </x:row>
    <x:row r="1196" ht="14" customHeight="1">
      <x:c r="A1196" s="10" t="str">
        <x:v>2024-09-0478</x:v>
      </x:c>
      <x:c r="B1196" s="11" t="n">
        <x:v>45565</x:v>
      </x:c>
      <x:c r="C1196" s="10" t="n">
        <x:v>9</x:v>
      </x:c>
      <x:c r="D1196" s="10" t="str">
        <x:v>7300</x:v>
      </x:c>
      <x:c r="E1196" s="12" t="n">
        <x:v>2500</x:v>
      </x:c>
      <x:c r="F1196" s="12" t="n">
        <x:v>0</x:v>
      </x:c>
      <x:c r="G1196" s="10" t="str">
        <x:v>Investitionsdarlehen Zinsabrechnung</x:v>
      </x:c>
      <x:c r="H1196" s="10" t="str">
        <x:v>Zinsen</x:v>
      </x:c>
    </x:row>
    <x:row r="1197" ht="14" customHeight="1">
      <x:c r="A1197" s="10" t="str">
        <x:v>2024-09-0478</x:v>
      </x:c>
      <x:c r="B1197" s="11" t="n">
        <x:v>45565</x:v>
      </x:c>
      <x:c r="C1197" s="10" t="n">
        <x:v>9</x:v>
      </x:c>
      <x:c r="D1197" s="10" t="str">
        <x:v>1800</x:v>
      </x:c>
      <x:c r="E1197" s="12" t="n">
        <x:v>0</x:v>
      </x:c>
      <x:c r="F1197" s="12" t="n">
        <x:v>2500</x:v>
      </x:c>
      <x:c r="G1197" s="10" t="str">
        <x:v>Investitionsdarlehen Zinsabrechnung</x:v>
      </x:c>
      <x:c r="H1197" s="10" t="str">
        <x:v>Zinsen</x:v>
      </x:c>
    </x:row>
    <x:row r="1198" ht="14" customHeight="1">
      <x:c r="A1198" s="10" t="str">
        <x:v>2024-09-0479</x:v>
      </x:c>
      <x:c r="B1198" s="11" t="n">
        <x:v>45565</x:v>
      </x:c>
      <x:c r="C1198" s="10" t="n">
        <x:v>9</x:v>
      </x:c>
      <x:c r="D1198" s="10" t="str">
        <x:v>7310</x:v>
      </x:c>
      <x:c r="E1198" s="12" t="n">
        <x:v>1000</x:v>
      </x:c>
      <x:c r="F1198" s="12" t="n">
        <x:v>0</x:v>
      </x:c>
      <x:c r="G1198" s="10" t="str">
        <x:v>Kontokorrent Zinsen und Bereitstellung</x:v>
      </x:c>
      <x:c r="H1198" s="10" t="str">
        <x:v>Zinsen</x:v>
      </x:c>
    </x:row>
    <x:row r="1199" ht="14" customHeight="1">
      <x:c r="A1199" s="10" t="str">
        <x:v>2024-09-0479</x:v>
      </x:c>
      <x:c r="B1199" s="11" t="n">
        <x:v>45565</x:v>
      </x:c>
      <x:c r="C1199" s="10" t="n">
        <x:v>9</x:v>
      </x:c>
      <x:c r="D1199" s="10" t="str">
        <x:v>1800</x:v>
      </x:c>
      <x:c r="E1199" s="12" t="n">
        <x:v>0</x:v>
      </x:c>
      <x:c r="F1199" s="12" t="n">
        <x:v>1000</x:v>
      </x:c>
      <x:c r="G1199" s="10" t="str">
        <x:v>Kontokorrent Zinsen und Bereitstellung</x:v>
      </x:c>
      <x:c r="H1199" s="10" t="str">
        <x:v>Zinsen</x:v>
      </x:c>
    </x:row>
    <x:row r="1200" ht="14" customHeight="1">
      <x:c r="A1200" s="10" t="str">
        <x:v>2024-09-0480</x:v>
      </x:c>
      <x:c r="B1200" s="11" t="n">
        <x:v>45545</x:v>
      </x:c>
      <x:c r="C1200" s="10" t="n">
        <x:v>9</x:v>
      </x:c>
      <x:c r="D1200" s="10" t="str">
        <x:v>3840</x:v>
      </x:c>
      <x:c r="E1200" s="12" t="n">
        <x:v>12000</x:v>
      </x:c>
      <x:c r="F1200" s="12" t="n">
        <x:v>0</x:v>
      </x:c>
      <x:c r="G1200" s="10" t="str">
        <x:v>Ertragsteuervorauszahlung Zahlungsjournal</x:v>
      </x:c>
      <x:c r="H1200" s="10" t="str">
        <x:v>Ertragsteuerzahlung</x:v>
      </x:c>
    </x:row>
    <x:row r="1201" ht="14" customHeight="1">
      <x:c r="A1201" s="10" t="str">
        <x:v>2024-09-0480</x:v>
      </x:c>
      <x:c r="B1201" s="11" t="n">
        <x:v>45545</x:v>
      </x:c>
      <x:c r="C1201" s="10" t="n">
        <x:v>9</x:v>
      </x:c>
      <x:c r="D1201" s="10" t="str">
        <x:v>1800</x:v>
      </x:c>
      <x:c r="E1201" s="12" t="n">
        <x:v>0</x:v>
      </x:c>
      <x:c r="F1201" s="12" t="n">
        <x:v>12000</x:v>
      </x:c>
      <x:c r="G1201" s="10" t="str">
        <x:v>Ertragsteuervorauszahlung Zahlungsjournal</x:v>
      </x:c>
      <x:c r="H1201" s="10" t="str">
        <x:v>Ertragsteuerzahlung</x:v>
      </x:c>
    </x:row>
    <x:row r="1202" ht="14" customHeight="1">
      <x:c r="A1202" s="10" t="str">
        <x:v>2024-09-0481</x:v>
      </x:c>
      <x:c r="B1202" s="11" t="n">
        <x:v>45565</x:v>
      </x:c>
      <x:c r="C1202" s="10" t="n">
        <x:v>9</x:v>
      </x:c>
      <x:c r="D1202" s="10" t="str">
        <x:v>1800</x:v>
      </x:c>
      <x:c r="E1202" s="12" t="n">
        <x:v>663733.3</x:v>
      </x:c>
      <x:c r="F1202" s="12" t="n">
        <x:v>0</x:v>
      </x:c>
      <x:c r="G1202" s="10" t="str">
        <x:v>Bankjournal Kundeneingänge brutto</x:v>
      </x:c>
      <x:c r="H1202" s="10" t="str">
        <x:v>Kundenzahlungen</x:v>
      </x:c>
    </x:row>
    <x:row r="1203" ht="14" customHeight="1">
      <x:c r="A1203" s="10" t="str">
        <x:v>2024-09-0481</x:v>
      </x:c>
      <x:c r="B1203" s="11" t="n">
        <x:v>45565</x:v>
      </x:c>
      <x:c r="C1203" s="10" t="n">
        <x:v>9</x:v>
      </x:c>
      <x:c r="D1203" s="10" t="str">
        <x:v>1200</x:v>
      </x:c>
      <x:c r="E1203" s="12" t="n">
        <x:v>0</x:v>
      </x:c>
      <x:c r="F1203" s="12" t="n">
        <x:v>663733.3</x:v>
      </x:c>
      <x:c r="G1203" s="10" t="str">
        <x:v>Bankjournal Kundeneingänge brutto</x:v>
      </x:c>
      <x:c r="H1203" s="10" t="str">
        <x:v>Kundenzahlungen</x:v>
      </x:c>
    </x:row>
    <x:row r="1204" ht="14" customHeight="1">
      <x:c r="A1204" s="10" t="str">
        <x:v>2024-09-0482</x:v>
      </x:c>
      <x:c r="B1204" s="11" t="n">
        <x:v>45565</x:v>
      </x:c>
      <x:c r="C1204" s="10" t="n">
        <x:v>9</x:v>
      </x:c>
      <x:c r="D1204" s="10" t="str">
        <x:v>3300</x:v>
      </x:c>
      <x:c r="E1204" s="12" t="n">
        <x:v>512435.72</x:v>
      </x:c>
      <x:c r="F1204" s="12" t="n">
        <x:v>0</x:v>
      </x:c>
      <x:c r="G1204" s="10" t="str">
        <x:v>Bankjournal Lieferantenzahlungen brutto</x:v>
      </x:c>
      <x:c r="H1204" s="10" t="str">
        <x:v>Lieferantenzahlungen</x:v>
      </x:c>
    </x:row>
    <x:row r="1205" ht="14" customHeight="1">
      <x:c r="A1205" s="10" t="str">
        <x:v>2024-09-0482</x:v>
      </x:c>
      <x:c r="B1205" s="11" t="n">
        <x:v>45565</x:v>
      </x:c>
      <x:c r="C1205" s="10" t="n">
        <x:v>9</x:v>
      </x:c>
      <x:c r="D1205" s="10" t="str">
        <x:v>1800</x:v>
      </x:c>
      <x:c r="E1205" s="12" t="n">
        <x:v>0</x:v>
      </x:c>
      <x:c r="F1205" s="12" t="n">
        <x:v>512435.72</x:v>
      </x:c>
      <x:c r="G1205" s="10" t="str">
        <x:v>Bankjournal Lieferantenzahlungen brutto</x:v>
      </x:c>
      <x:c r="H1205" s="10" t="str">
        <x:v>Lieferantenzahlungen</x:v>
      </x:c>
    </x:row>
    <x:row r="1206" ht="14" customHeight="1">
      <x:c r="A1206" s="10" t="str">
        <x:v>2024-09-0483</x:v>
      </x:c>
      <x:c r="B1206" s="11" t="n">
        <x:v>45565</x:v>
      </x:c>
      <x:c r="C1206" s="10" t="n">
        <x:v>9</x:v>
      </x:c>
      <x:c r="D1206" s="10" t="str">
        <x:v>1401</x:v>
      </x:c>
      <x:c r="E1206" s="12" t="n">
        <x:v>0</x:v>
      </x:c>
      <x:c r="F1206" s="12" t="n">
        <x:v>11885.48</x:v>
      </x:c>
      <x:c r="G1206" s="10" t="str">
        <x:v>Umsatzsteuer Monatsumbuchung 1401</x:v>
      </x:c>
      <x:c r="H1206" s="10" t="str">
        <x:v>Steuerverrechnung</x:v>
      </x:c>
    </x:row>
    <x:row r="1207" ht="14" customHeight="1">
      <x:c r="A1207" s="10" t="str">
        <x:v>2024-09-0483</x:v>
      </x:c>
      <x:c r="B1207" s="11" t="n">
        <x:v>45565</x:v>
      </x:c>
      <x:c r="C1207" s="10" t="n">
        <x:v>9</x:v>
      </x:c>
      <x:c r="D1207" s="10" t="str">
        <x:v>3820</x:v>
      </x:c>
      <x:c r="E1207" s="12" t="n">
        <x:v>11885.48</x:v>
      </x:c>
      <x:c r="F1207" s="12" t="n">
        <x:v>0</x:v>
      </x:c>
      <x:c r="G1207" s="10" t="str">
        <x:v>Umsatzsteuer Monatsumbuchung 1401</x:v>
      </x:c>
      <x:c r="H1207" s="10" t="str">
        <x:v>Steuerverrechnung</x:v>
      </x:c>
    </x:row>
    <x:row r="1208" ht="14" customHeight="1">
      <x:c r="A1208" s="10" t="str">
        <x:v>2024-09-0484</x:v>
      </x:c>
      <x:c r="B1208" s="11" t="n">
        <x:v>45565</x:v>
      </x:c>
      <x:c r="C1208" s="10" t="n">
        <x:v>9</x:v>
      </x:c>
      <x:c r="D1208" s="10" t="str">
        <x:v>1406</x:v>
      </x:c>
      <x:c r="E1208" s="12" t="n">
        <x:v>0</x:v>
      </x:c>
      <x:c r="F1208" s="12" t="n">
        <x:v>19527.74</x:v>
      </x:c>
      <x:c r="G1208" s="10" t="str">
        <x:v>Umsatzsteuer Monatsumbuchung 1406</x:v>
      </x:c>
      <x:c r="H1208" s="10" t="str">
        <x:v>Steuerverrechnung</x:v>
      </x:c>
    </x:row>
    <x:row r="1209" ht="14" customHeight="1">
      <x:c r="A1209" s="10" t="str">
        <x:v>2024-09-0484</x:v>
      </x:c>
      <x:c r="B1209" s="11" t="n">
        <x:v>45565</x:v>
      </x:c>
      <x:c r="C1209" s="10" t="n">
        <x:v>9</x:v>
      </x:c>
      <x:c r="D1209" s="10" t="str">
        <x:v>3820</x:v>
      </x:c>
      <x:c r="E1209" s="12" t="n">
        <x:v>19527.74</x:v>
      </x:c>
      <x:c r="F1209" s="12" t="n">
        <x:v>0</x:v>
      </x:c>
      <x:c r="G1209" s="10" t="str">
        <x:v>Umsatzsteuer Monatsumbuchung 1406</x:v>
      </x:c>
      <x:c r="H1209" s="10" t="str">
        <x:v>Steuerverrechnung</x:v>
      </x:c>
    </x:row>
    <x:row r="1210" ht="14" customHeight="1">
      <x:c r="A1210" s="10" t="str">
        <x:v>2024-09-0485</x:v>
      </x:c>
      <x:c r="B1210" s="11" t="n">
        <x:v>45565</x:v>
      </x:c>
      <x:c r="C1210" s="10" t="n">
        <x:v>9</x:v>
      </x:c>
      <x:c r="D1210" s="10" t="str">
        <x:v>1404</x:v>
      </x:c>
      <x:c r="E1210" s="12" t="n">
        <x:v>0</x:v>
      </x:c>
      <x:c r="F1210" s="12" t="n">
        <x:v>6255.52</x:v>
      </x:c>
      <x:c r="G1210" s="10" t="str">
        <x:v>Umsatzsteuer Monatsumbuchung 1404</x:v>
      </x:c>
      <x:c r="H1210" s="10" t="str">
        <x:v>Steuerverrechnung</x:v>
      </x:c>
    </x:row>
    <x:row r="1211" ht="14" customHeight="1">
      <x:c r="A1211" s="10" t="str">
        <x:v>2024-09-0485</x:v>
      </x:c>
      <x:c r="B1211" s="11" t="n">
        <x:v>45565</x:v>
      </x:c>
      <x:c r="C1211" s="10" t="n">
        <x:v>9</x:v>
      </x:c>
      <x:c r="D1211" s="10" t="str">
        <x:v>3820</x:v>
      </x:c>
      <x:c r="E1211" s="12" t="n">
        <x:v>6255.52</x:v>
      </x:c>
      <x:c r="F1211" s="12" t="n">
        <x:v>0</x:v>
      </x:c>
      <x:c r="G1211" s="10" t="str">
        <x:v>Umsatzsteuer Monatsumbuchung 1404</x:v>
      </x:c>
      <x:c r="H1211" s="10" t="str">
        <x:v>Steuerverrechnung</x:v>
      </x:c>
    </x:row>
    <x:row r="1212" ht="14" customHeight="1">
      <x:c r="A1212" s="10" t="str">
        <x:v>2024-09-0486</x:v>
      </x:c>
      <x:c r="B1212" s="11" t="n">
        <x:v>45565</x:v>
      </x:c>
      <x:c r="C1212" s="10" t="n">
        <x:v>9</x:v>
      </x:c>
      <x:c r="D1212" s="10" t="str">
        <x:v>1409</x:v>
      </x:c>
      <x:c r="E1212" s="12" t="n">
        <x:v>0</x:v>
      </x:c>
      <x:c r="F1212" s="12" t="n">
        <x:v>4244.81</x:v>
      </x:c>
      <x:c r="G1212" s="10" t="str">
        <x:v>Umsatzsteuer Monatsumbuchung 1409</x:v>
      </x:c>
      <x:c r="H1212" s="10" t="str">
        <x:v>Steuerverrechnung</x:v>
      </x:c>
    </x:row>
    <x:row r="1213" ht="14" customHeight="1">
      <x:c r="A1213" s="10" t="str">
        <x:v>2024-09-0486</x:v>
      </x:c>
      <x:c r="B1213" s="11" t="n">
        <x:v>45565</x:v>
      </x:c>
      <x:c r="C1213" s="10" t="n">
        <x:v>9</x:v>
      </x:c>
      <x:c r="D1213" s="10" t="str">
        <x:v>3820</x:v>
      </x:c>
      <x:c r="E1213" s="12" t="n">
        <x:v>4244.81</x:v>
      </x:c>
      <x:c r="F1213" s="12" t="n">
        <x:v>0</x:v>
      </x:c>
      <x:c r="G1213" s="10" t="str">
        <x:v>Umsatzsteuer Monatsumbuchung 1409</x:v>
      </x:c>
      <x:c r="H1213" s="10" t="str">
        <x:v>Steuerverrechnung</x:v>
      </x:c>
    </x:row>
    <x:row r="1214" ht="14" customHeight="1">
      <x:c r="A1214" s="10" t="str">
        <x:v>2024-09-0487</x:v>
      </x:c>
      <x:c r="B1214" s="11" t="n">
        <x:v>45565</x:v>
      </x:c>
      <x:c r="C1214" s="10" t="n">
        <x:v>9</x:v>
      </x:c>
      <x:c r="D1214" s="10" t="str">
        <x:v>1433</x:v>
      </x:c>
      <x:c r="E1214" s="12" t="n">
        <x:v>0</x:v>
      </x:c>
      <x:c r="F1214" s="12" t="n">
        <x:v>10991.84</x:v>
      </x:c>
      <x:c r="G1214" s="10" t="str">
        <x:v>Umsatzsteuer Monatsumbuchung 1433</x:v>
      </x:c>
      <x:c r="H1214" s="10" t="str">
        <x:v>Steuerverrechnung</x:v>
      </x:c>
    </x:row>
    <x:row r="1215" ht="14" customHeight="1">
      <x:c r="A1215" s="10" t="str">
        <x:v>2024-09-0487</x:v>
      </x:c>
      <x:c r="B1215" s="11" t="n">
        <x:v>45565</x:v>
      </x:c>
      <x:c r="C1215" s="10" t="n">
        <x:v>9</x:v>
      </x:c>
      <x:c r="D1215" s="10" t="str">
        <x:v>3820</x:v>
      </x:c>
      <x:c r="E1215" s="12" t="n">
        <x:v>10991.84</x:v>
      </x:c>
      <x:c r="F1215" s="12" t="n">
        <x:v>0</x:v>
      </x:c>
      <x:c r="G1215" s="10" t="str">
        <x:v>Umsatzsteuer Monatsumbuchung 1433</x:v>
      </x:c>
      <x:c r="H1215" s="10" t="str">
        <x:v>Steuerverrechnung</x:v>
      </x:c>
    </x:row>
    <x:row r="1216" ht="14" customHeight="1">
      <x:c r="A1216" s="10" t="str">
        <x:v>2024-09-0488</x:v>
      </x:c>
      <x:c r="B1216" s="11" t="n">
        <x:v>45565</x:v>
      </x:c>
      <x:c r="C1216" s="10" t="n">
        <x:v>9</x:v>
      </x:c>
      <x:c r="D1216" s="10" t="str">
        <x:v>3801</x:v>
      </x:c>
      <x:c r="E1216" s="12" t="n">
        <x:v>22035.3</x:v>
      </x:c>
      <x:c r="F1216" s="12" t="n">
        <x:v>0</x:v>
      </x:c>
      <x:c r="G1216" s="10" t="str">
        <x:v>Umsatzsteuer Monatsumbuchung 3801</x:v>
      </x:c>
      <x:c r="H1216" s="10" t="str">
        <x:v>Steuerverrechnung</x:v>
      </x:c>
    </x:row>
    <x:row r="1217" ht="14" customHeight="1">
      <x:c r="A1217" s="10" t="str">
        <x:v>2024-09-0488</x:v>
      </x:c>
      <x:c r="B1217" s="11" t="n">
        <x:v>45565</x:v>
      </x:c>
      <x:c r="C1217" s="10" t="n">
        <x:v>9</x:v>
      </x:c>
      <x:c r="D1217" s="10" t="str">
        <x:v>3820</x:v>
      </x:c>
      <x:c r="E1217" s="12" t="n">
        <x:v>0</x:v>
      </x:c>
      <x:c r="F1217" s="12" t="n">
        <x:v>22035.3</x:v>
      </x:c>
      <x:c r="G1217" s="10" t="str">
        <x:v>Umsatzsteuer Monatsumbuchung 3801</x:v>
      </x:c>
      <x:c r="H1217" s="10" t="str">
        <x:v>Steuerverrechnung</x:v>
      </x:c>
    </x:row>
    <x:row r="1218" ht="14" customHeight="1">
      <x:c r="A1218" s="10" t="str">
        <x:v>2024-09-0489</x:v>
      </x:c>
      <x:c r="B1218" s="11" t="n">
        <x:v>45565</x:v>
      </x:c>
      <x:c r="C1218" s="10" t="n">
        <x:v>9</x:v>
      </x:c>
      <x:c r="D1218" s="10" t="str">
        <x:v>3806</x:v>
      </x:c>
      <x:c r="E1218" s="12" t="n">
        <x:v>15048</x:v>
      </x:c>
      <x:c r="F1218" s="12" t="n">
        <x:v>0</x:v>
      </x:c>
      <x:c r="G1218" s="10" t="str">
        <x:v>Umsatzsteuer Monatsumbuchung 3806</x:v>
      </x:c>
      <x:c r="H1218" s="10" t="str">
        <x:v>Steuerverrechnung</x:v>
      </x:c>
    </x:row>
    <x:row r="1219" ht="14" customHeight="1">
      <x:c r="A1219" s="10" t="str">
        <x:v>2024-09-0489</x:v>
      </x:c>
      <x:c r="B1219" s="11" t="n">
        <x:v>45565</x:v>
      </x:c>
      <x:c r="C1219" s="10" t="n">
        <x:v>9</x:v>
      </x:c>
      <x:c r="D1219" s="10" t="str">
        <x:v>3820</x:v>
      </x:c>
      <x:c r="E1219" s="12" t="n">
        <x:v>0</x:v>
      </x:c>
      <x:c r="F1219" s="12" t="n">
        <x:v>15048</x:v>
      </x:c>
      <x:c r="G1219" s="10" t="str">
        <x:v>Umsatzsteuer Monatsumbuchung 3806</x:v>
      </x:c>
      <x:c r="H1219" s="10" t="str">
        <x:v>Steuerverrechnung</x:v>
      </x:c>
    </x:row>
    <x:row r="1220" ht="14" customHeight="1">
      <x:c r="A1220" s="10" t="str">
        <x:v>2024-09-0490</x:v>
      </x:c>
      <x:c r="B1220" s="11" t="n">
        <x:v>45565</x:v>
      </x:c>
      <x:c r="C1220" s="10" t="n">
        <x:v>9</x:v>
      </x:c>
      <x:c r="D1220" s="10" t="str">
        <x:v>3804</x:v>
      </x:c>
      <x:c r="E1220" s="12" t="n">
        <x:v>6255.52</x:v>
      </x:c>
      <x:c r="F1220" s="12" t="n">
        <x:v>0</x:v>
      </x:c>
      <x:c r="G1220" s="10" t="str">
        <x:v>Umsatzsteuer Monatsumbuchung 3804</x:v>
      </x:c>
      <x:c r="H1220" s="10" t="str">
        <x:v>Steuerverrechnung</x:v>
      </x:c>
    </x:row>
    <x:row r="1221" ht="14" customHeight="1">
      <x:c r="A1221" s="10" t="str">
        <x:v>2024-09-0490</x:v>
      </x:c>
      <x:c r="B1221" s="11" t="n">
        <x:v>45565</x:v>
      </x:c>
      <x:c r="C1221" s="10" t="n">
        <x:v>9</x:v>
      </x:c>
      <x:c r="D1221" s="10" t="str">
        <x:v>3820</x:v>
      </x:c>
      <x:c r="E1221" s="12" t="n">
        <x:v>0</x:v>
      </x:c>
      <x:c r="F1221" s="12" t="n">
        <x:v>6255.52</x:v>
      </x:c>
      <x:c r="G1221" s="10" t="str">
        <x:v>Umsatzsteuer Monatsumbuchung 3804</x:v>
      </x:c>
      <x:c r="H1221" s="10" t="str">
        <x:v>Steuerverrechnung</x:v>
      </x:c>
    </x:row>
    <x:row r="1222" ht="14" customHeight="1">
      <x:c r="A1222" s="10" t="str">
        <x:v>2024-09-0491</x:v>
      </x:c>
      <x:c r="B1222" s="11" t="n">
        <x:v>45565</x:v>
      </x:c>
      <x:c r="C1222" s="10" t="n">
        <x:v>9</x:v>
      </x:c>
      <x:c r="D1222" s="10" t="str">
        <x:v>3809</x:v>
      </x:c>
      <x:c r="E1222" s="12" t="n">
        <x:v>4244.81</x:v>
      </x:c>
      <x:c r="F1222" s="12" t="n">
        <x:v>0</x:v>
      </x:c>
      <x:c r="G1222" s="10" t="str">
        <x:v>Umsatzsteuer Monatsumbuchung 3809</x:v>
      </x:c>
      <x:c r="H1222" s="10" t="str">
        <x:v>Steuerverrechnung</x:v>
      </x:c>
    </x:row>
    <x:row r="1223" ht="14" customHeight="1">
      <x:c r="A1223" s="10" t="str">
        <x:v>2024-09-0491</x:v>
      </x:c>
      <x:c r="B1223" s="11" t="n">
        <x:v>45565</x:v>
      </x:c>
      <x:c r="C1223" s="10" t="n">
        <x:v>9</x:v>
      </x:c>
      <x:c r="D1223" s="10" t="str">
        <x:v>3820</x:v>
      </x:c>
      <x:c r="E1223" s="12" t="n">
        <x:v>0</x:v>
      </x:c>
      <x:c r="F1223" s="12" t="n">
        <x:v>4244.81</x:v>
      </x:c>
      <x:c r="G1223" s="10" t="str">
        <x:v>Umsatzsteuer Monatsumbuchung 3809</x:v>
      </x:c>
      <x:c r="H1223" s="10" t="str">
        <x:v>Steuerverrechnung</x:v>
      </x:c>
    </x:row>
    <x:row r="1224" ht="14" customHeight="1">
      <x:c r="A1224" s="10" t="str">
        <x:v>2024-10-0492</x:v>
      </x:c>
      <x:c r="B1224" s="11" t="n">
        <x:v>45575</x:v>
      </x:c>
      <x:c r="C1224" s="10" t="n">
        <x:v>10</x:v>
      </x:c>
      <x:c r="D1224" s="10" t="str">
        <x:v>1800</x:v>
      </x:c>
      <x:c r="E1224" s="12" t="n">
        <x:v>5321.76</x:v>
      </x:c>
      <x:c r="F1224" s="12" t="n">
        <x:v>0</x:v>
      </x:c>
      <x:c r="G1224" s="10" t="str">
        <x:v>Ausgleich Umsatzsteuer Vorperiode</x:v>
      </x:c>
      <x:c r="H1224" s="10" t="str">
        <x:v>Umsatzsteuer</x:v>
      </x:c>
    </x:row>
    <x:row r="1225" ht="14" customHeight="1">
      <x:c r="A1225" s="10" t="str">
        <x:v>2024-10-0492</x:v>
      </x:c>
      <x:c r="B1225" s="11" t="n">
        <x:v>45575</x:v>
      </x:c>
      <x:c r="C1225" s="10" t="n">
        <x:v>10</x:v>
      </x:c>
      <x:c r="D1225" s="10" t="str">
        <x:v>3820</x:v>
      </x:c>
      <x:c r="E1225" s="12" t="n">
        <x:v>0</x:v>
      </x:c>
      <x:c r="F1225" s="12" t="n">
        <x:v>5321.76</x:v>
      </x:c>
      <x:c r="G1225" s="10" t="str">
        <x:v>Ausgleich Umsatzsteuer Vorperiode</x:v>
      </x:c>
      <x:c r="H1225" s="10" t="str">
        <x:v>Umsatzsteuer</x:v>
      </x:c>
    </x:row>
    <x:row r="1226" ht="14" customHeight="1">
      <x:c r="A1226" s="10" t="str">
        <x:v>2024-10-0493</x:v>
      </x:c>
      <x:c r="B1226" s="11" t="n">
        <x:v>45596</x:v>
      </x:c>
      <x:c r="C1226" s="10" t="n">
        <x:v>10</x:v>
      </x:c>
      <x:c r="D1226" s="10" t="str">
        <x:v>1200</x:v>
      </x:c>
      <x:c r="E1226" s="12" t="n">
        <x:v>354384</x:v>
      </x:c>
      <x:c r="F1226" s="12" t="n">
        <x:v>0</x:v>
      </x:c>
      <x:c r="G1226" s="10" t="str">
        <x:v>Fakturajournal Inland 7 Prozent</x:v>
      </x:c>
      <x:c r="H1226" s="10" t="str">
        <x:v>Umsatz</x:v>
      </x:c>
    </x:row>
    <x:row r="1227" ht="14" customHeight="1">
      <x:c r="A1227" s="10" t="str">
        <x:v>2024-10-0493</x:v>
      </x:c>
      <x:c r="B1227" s="11" t="n">
        <x:v>45596</x:v>
      </x:c>
      <x:c r="C1227" s="10" t="n">
        <x:v>10</x:v>
      </x:c>
      <x:c r="D1227" s="10" t="str">
        <x:v>4300</x:v>
      </x:c>
      <x:c r="E1227" s="12" t="n">
        <x:v>0</x:v>
      </x:c>
      <x:c r="F1227" s="12" t="n">
        <x:v>331200</x:v>
      </x:c>
      <x:c r="G1227" s="10" t="str">
        <x:v>Fakturajournal Inland 7 Prozent</x:v>
      </x:c>
      <x:c r="H1227" s="10" t="str">
        <x:v>Umsatz</x:v>
      </x:c>
    </x:row>
    <x:row r="1228" ht="14" customHeight="1">
      <x:c r="A1228" s="10" t="str">
        <x:v>2024-10-0493</x:v>
      </x:c>
      <x:c r="B1228" s="11" t="n">
        <x:v>45596</x:v>
      </x:c>
      <x:c r="C1228" s="10" t="n">
        <x:v>10</x:v>
      </x:c>
      <x:c r="D1228" s="10" t="str">
        <x:v>3801</x:v>
      </x:c>
      <x:c r="E1228" s="12" t="n">
        <x:v>0</x:v>
      </x:c>
      <x:c r="F1228" s="12" t="n">
        <x:v>23184</x:v>
      </x:c>
      <x:c r="G1228" s="10" t="str">
        <x:v>Fakturajournal Inland 7 Prozent</x:v>
      </x:c>
      <x:c r="H1228" s="10" t="str">
        <x:v>Umsatz</x:v>
      </x:c>
    </x:row>
    <x:row r="1229" ht="14" customHeight="1">
      <x:c r="A1229" s="10" t="str">
        <x:v>2024-10-0494</x:v>
      </x:c>
      <x:c r="B1229" s="11" t="n">
        <x:v>45596</x:v>
      </x:c>
      <x:c r="C1229" s="10" t="n">
        <x:v>10</x:v>
      </x:c>
      <x:c r="D1229" s="10" t="str">
        <x:v>1200</x:v>
      </x:c>
      <x:c r="E1229" s="12" t="n">
        <x:v>98532</x:v>
      </x:c>
      <x:c r="F1229" s="12" t="n">
        <x:v>0</x:v>
      </x:c>
      <x:c r="G1229" s="10" t="str">
        <x:v>Fakturajournal Inland 19 Prozent</x:v>
      </x:c>
      <x:c r="H1229" s="10" t="str">
        <x:v>Umsatz</x:v>
      </x:c>
    </x:row>
    <x:row r="1230" ht="14" customHeight="1">
      <x:c r="A1230" s="10" t="str">
        <x:v>2024-10-0494</x:v>
      </x:c>
      <x:c r="B1230" s="11" t="n">
        <x:v>45596</x:v>
      </x:c>
      <x:c r="C1230" s="10" t="n">
        <x:v>10</x:v>
      </x:c>
      <x:c r="D1230" s="10" t="str">
        <x:v>4400</x:v>
      </x:c>
      <x:c r="E1230" s="12" t="n">
        <x:v>0</x:v>
      </x:c>
      <x:c r="F1230" s="12" t="n">
        <x:v>82800</x:v>
      </x:c>
      <x:c r="G1230" s="10" t="str">
        <x:v>Fakturajournal Inland 19 Prozent</x:v>
      </x:c>
      <x:c r="H1230" s="10" t="str">
        <x:v>Umsatz</x:v>
      </x:c>
    </x:row>
    <x:row r="1231" ht="14" customHeight="1">
      <x:c r="A1231" s="10" t="str">
        <x:v>2024-10-0494</x:v>
      </x:c>
      <x:c r="B1231" s="11" t="n">
        <x:v>45596</x:v>
      </x:c>
      <x:c r="C1231" s="10" t="n">
        <x:v>10</x:v>
      </x:c>
      <x:c r="D1231" s="10" t="str">
        <x:v>3806</x:v>
      </x:c>
      <x:c r="E1231" s="12" t="n">
        <x:v>0</x:v>
      </x:c>
      <x:c r="F1231" s="12" t="n">
        <x:v>15732</x:v>
      </x:c>
      <x:c r="G1231" s="10" t="str">
        <x:v>Fakturajournal Inland 19 Prozent</x:v>
      </x:c>
      <x:c r="H1231" s="10" t="str">
        <x:v>Umsatz</x:v>
      </x:c>
    </x:row>
    <x:row r="1232" ht="14" customHeight="1">
      <x:c r="A1232" s="10" t="str">
        <x:v>2024-10-0495</x:v>
      </x:c>
      <x:c r="B1232" s="11" t="n">
        <x:v>45596</x:v>
      </x:c>
      <x:c r="C1232" s="10" t="n">
        <x:v>10</x:v>
      </x:c>
      <x:c r="D1232" s="10" t="str">
        <x:v>1200</x:v>
      </x:c>
      <x:c r="E1232" s="12" t="n">
        <x:v>138000</x:v>
      </x:c>
      <x:c r="F1232" s="12" t="n">
        <x:v>0</x:v>
      </x:c>
      <x:c r="G1232" s="10" t="str">
        <x:v>Fakturajournal EU Warenlieferungen</x:v>
      </x:c>
      <x:c r="H1232" s="10" t="str">
        <x:v>Umsatz</x:v>
      </x:c>
    </x:row>
    <x:row r="1233" ht="14" customHeight="1">
      <x:c r="A1233" s="10" t="str">
        <x:v>2024-10-0495</x:v>
      </x:c>
      <x:c r="B1233" s="11" t="n">
        <x:v>45596</x:v>
      </x:c>
      <x:c r="C1233" s="10" t="n">
        <x:v>10</x:v>
      </x:c>
      <x:c r="D1233" s="10" t="str">
        <x:v>4125</x:v>
      </x:c>
      <x:c r="E1233" s="12" t="n">
        <x:v>0</x:v>
      </x:c>
      <x:c r="F1233" s="12" t="n">
        <x:v>138000</x:v>
      </x:c>
      <x:c r="G1233" s="10" t="str">
        <x:v>Fakturajournal EU Warenlieferungen</x:v>
      </x:c>
      <x:c r="H1233" s="10" t="str">
        <x:v>Umsatz</x:v>
      </x:c>
    </x:row>
    <x:row r="1234" ht="14" customHeight="1">
      <x:c r="A1234" s="10" t="str">
        <x:v>2024-10-0496</x:v>
      </x:c>
      <x:c r="B1234" s="11" t="n">
        <x:v>45596</x:v>
      </x:c>
      <x:c r="C1234" s="10" t="n">
        <x:v>10</x:v>
      </x:c>
      <x:c r="D1234" s="10" t="str">
        <x:v>1200</x:v>
      </x:c>
      <x:c r="E1234" s="12" t="n">
        <x:v>138000</x:v>
      </x:c>
      <x:c r="F1234" s="12" t="n">
        <x:v>0</x:v>
      </x:c>
      <x:c r="G1234" s="10" t="str">
        <x:v>Fakturajournal Drittland Warenlieferungen</x:v>
      </x:c>
      <x:c r="H1234" s="10" t="str">
        <x:v>Umsatz</x:v>
      </x:c>
    </x:row>
    <x:row r="1235" ht="14" customHeight="1">
      <x:c r="A1235" s="10" t="str">
        <x:v>2024-10-0496</x:v>
      </x:c>
      <x:c r="B1235" s="11" t="n">
        <x:v>45596</x:v>
      </x:c>
      <x:c r="C1235" s="10" t="n">
        <x:v>10</x:v>
      </x:c>
      <x:c r="D1235" s="10" t="str">
        <x:v>4120</x:v>
      </x:c>
      <x:c r="E1235" s="12" t="n">
        <x:v>0</x:v>
      </x:c>
      <x:c r="F1235" s="12" t="n">
        <x:v>138000</x:v>
      </x:c>
      <x:c r="G1235" s="10" t="str">
        <x:v>Fakturajournal Drittland Warenlieferungen</x:v>
      </x:c>
      <x:c r="H1235" s="10" t="str">
        <x:v>Umsatz</x:v>
      </x:c>
    </x:row>
    <x:row r="1236" ht="14" customHeight="1">
      <x:c r="A1236" s="10" t="str">
        <x:v>2024-10-0497</x:v>
      </x:c>
      <x:c r="B1236" s="11" t="n">
        <x:v>45596</x:v>
      </x:c>
      <x:c r="C1236" s="10" t="n">
        <x:v>10</x:v>
      </x:c>
      <x:c r="D1236" s="10" t="str">
        <x:v>4730</x:v>
      </x:c>
      <x:c r="E1236" s="12" t="n">
        <x:v>2100</x:v>
      </x:c>
      <x:c r="F1236" s="12" t="n">
        <x:v>0</x:v>
      </x:c>
      <x:c r="G1236" s="10" t="str">
        <x:v>Gutschriftjournal Retouren und Mengenrabatte</x:v>
      </x:c>
      <x:c r="H1236" s="10" t="str">
        <x:v>Gutschriften</x:v>
      </x:c>
    </x:row>
    <x:row r="1237" ht="14" customHeight="1">
      <x:c r="A1237" s="10" t="str">
        <x:v>2024-10-0497</x:v>
      </x:c>
      <x:c r="B1237" s="11" t="n">
        <x:v>45596</x:v>
      </x:c>
      <x:c r="C1237" s="10" t="n">
        <x:v>10</x:v>
      </x:c>
      <x:c r="D1237" s="10" t="str">
        <x:v>3801</x:v>
      </x:c>
      <x:c r="E1237" s="12" t="n">
        <x:v>147</x:v>
      </x:c>
      <x:c r="F1237" s="12" t="n">
        <x:v>0</x:v>
      </x:c>
      <x:c r="G1237" s="10" t="str">
        <x:v>Gutschriftjournal Retouren und Mengenrabatte</x:v>
      </x:c>
      <x:c r="H1237" s="10" t="str">
        <x:v>Gutschriften</x:v>
      </x:c>
    </x:row>
    <x:row r="1238" ht="14" customHeight="1">
      <x:c r="A1238" s="10" t="str">
        <x:v>2024-10-0497</x:v>
      </x:c>
      <x:c r="B1238" s="11" t="n">
        <x:v>45596</x:v>
      </x:c>
      <x:c r="C1238" s="10" t="n">
        <x:v>10</x:v>
      </x:c>
      <x:c r="D1238" s="10" t="str">
        <x:v>1200</x:v>
      </x:c>
      <x:c r="E1238" s="12" t="n">
        <x:v>0</x:v>
      </x:c>
      <x:c r="F1238" s="12" t="n">
        <x:v>2247</x:v>
      </x:c>
      <x:c r="G1238" s="10" t="str">
        <x:v>Gutschriftjournal Retouren und Mengenrabatte</x:v>
      </x:c>
      <x:c r="H1238" s="10" t="str">
        <x:v>Gutschriften</x:v>
      </x:c>
    </x:row>
    <x:row r="1239" ht="14" customHeight="1">
      <x:c r="A1239" s="10" t="str">
        <x:v>2024-10-0498</x:v>
      </x:c>
      <x:c r="B1239" s="11" t="n">
        <x:v>45596</x:v>
      </x:c>
      <x:c r="C1239" s="10" t="n">
        <x:v>10</x:v>
      </x:c>
      <x:c r="D1239" s="10" t="str">
        <x:v>4735</x:v>
      </x:c>
      <x:c r="E1239" s="12" t="n">
        <x:v>1400</x:v>
      </x:c>
      <x:c r="F1239" s="12" t="n">
        <x:v>0</x:v>
      </x:c>
      <x:c r="G1239" s="10" t="str">
        <x:v>Gutschriftjournal Retouren und Mengenrabatte</x:v>
      </x:c>
      <x:c r="H1239" s="10" t="str">
        <x:v>Gutschriften</x:v>
      </x:c>
    </x:row>
    <x:row r="1240" ht="14" customHeight="1">
      <x:c r="A1240" s="10" t="str">
        <x:v>2024-10-0498</x:v>
      </x:c>
      <x:c r="B1240" s="11" t="n">
        <x:v>45596</x:v>
      </x:c>
      <x:c r="C1240" s="10" t="n">
        <x:v>10</x:v>
      </x:c>
      <x:c r="D1240" s="10" t="str">
        <x:v>1200</x:v>
      </x:c>
      <x:c r="E1240" s="12" t="n">
        <x:v>0</x:v>
      </x:c>
      <x:c r="F1240" s="12" t="n">
        <x:v>1400</x:v>
      </x:c>
      <x:c r="G1240" s="10" t="str">
        <x:v>Gutschriftjournal Retouren und Mengenrabatte</x:v>
      </x:c>
      <x:c r="H1240" s="10" t="str">
        <x:v>Gutschriften</x:v>
      </x:c>
    </x:row>
    <x:row r="1241" ht="14" customHeight="1">
      <x:c r="A1241" s="10" t="str">
        <x:v>2024-10-0499</x:v>
      </x:c>
      <x:c r="B1241" s="11" t="n">
        <x:v>45596</x:v>
      </x:c>
      <x:c r="C1241" s="10" t="n">
        <x:v>10</x:v>
      </x:c>
      <x:c r="D1241" s="10" t="str">
        <x:v>1140</x:v>
      </x:c>
      <x:c r="E1241" s="12" t="n">
        <x:v>180965.5</x:v>
      </x:c>
      <x:c r="F1241" s="12" t="n">
        <x:v>0</x:v>
      </x:c>
      <x:c r="G1241" s="10" t="str">
        <x:v>Wareneingang Inland 7 Prozent</x:v>
      </x:c>
      <x:c r="H1241" s="10" t="str">
        <x:v>Einkauf</x:v>
      </x:c>
    </x:row>
    <x:row r="1242" ht="14" customHeight="1">
      <x:c r="A1242" s="10" t="str">
        <x:v>2024-10-0499</x:v>
      </x:c>
      <x:c r="B1242" s="11" t="n">
        <x:v>45596</x:v>
      </x:c>
      <x:c r="C1242" s="10" t="n">
        <x:v>10</x:v>
      </x:c>
      <x:c r="D1242" s="10" t="str">
        <x:v>1401</x:v>
      </x:c>
      <x:c r="E1242" s="12" t="n">
        <x:v>12667.59</x:v>
      </x:c>
      <x:c r="F1242" s="12" t="n">
        <x:v>0</x:v>
      </x:c>
      <x:c r="G1242" s="10" t="str">
        <x:v>Wareneingang Inland 7 Prozent</x:v>
      </x:c>
      <x:c r="H1242" s="10" t="str">
        <x:v>Einkauf</x:v>
      </x:c>
    </x:row>
    <x:row r="1243" ht="14" customHeight="1">
      <x:c r="A1243" s="10" t="str">
        <x:v>2024-10-0499</x:v>
      </x:c>
      <x:c r="B1243" s="11" t="n">
        <x:v>45596</x:v>
      </x:c>
      <x:c r="C1243" s="10" t="n">
        <x:v>10</x:v>
      </x:c>
      <x:c r="D1243" s="10" t="str">
        <x:v>3300</x:v>
      </x:c>
      <x:c r="E1243" s="12" t="n">
        <x:v>0</x:v>
      </x:c>
      <x:c r="F1243" s="12" t="n">
        <x:v>193633.09</x:v>
      </x:c>
      <x:c r="G1243" s="10" t="str">
        <x:v>Wareneingang Inland 7 Prozent</x:v>
      </x:c>
      <x:c r="H1243" s="10" t="str">
        <x:v>Einkauf</x:v>
      </x:c>
    </x:row>
    <x:row r="1244" ht="14" customHeight="1">
      <x:c r="A1244" s="10" t="str">
        <x:v>2024-10-0500</x:v>
      </x:c>
      <x:c r="B1244" s="11" t="n">
        <x:v>45596</x:v>
      </x:c>
      <x:c r="C1244" s="10" t="n">
        <x:v>10</x:v>
      </x:c>
      <x:c r="D1244" s="10" t="str">
        <x:v>1140</x:v>
      </x:c>
      <x:c r="E1244" s="12" t="n">
        <x:v>33335.75</x:v>
      </x:c>
      <x:c r="F1244" s="12" t="n">
        <x:v>0</x:v>
      </x:c>
      <x:c r="G1244" s="10" t="str">
        <x:v>Wareneingang Inland 19 Prozent</x:v>
      </x:c>
      <x:c r="H1244" s="10" t="str">
        <x:v>Einkauf</x:v>
      </x:c>
    </x:row>
    <x:row r="1245" ht="14" customHeight="1">
      <x:c r="A1245" s="10" t="str">
        <x:v>2024-10-0500</x:v>
      </x:c>
      <x:c r="B1245" s="11" t="n">
        <x:v>45596</x:v>
      </x:c>
      <x:c r="C1245" s="10" t="n">
        <x:v>10</x:v>
      </x:c>
      <x:c r="D1245" s="10" t="str">
        <x:v>1406</x:v>
      </x:c>
      <x:c r="E1245" s="12" t="n">
        <x:v>6333.79</x:v>
      </x:c>
      <x:c r="F1245" s="12" t="n">
        <x:v>0</x:v>
      </x:c>
      <x:c r="G1245" s="10" t="str">
        <x:v>Wareneingang Inland 19 Prozent</x:v>
      </x:c>
      <x:c r="H1245" s="10" t="str">
        <x:v>Einkauf</x:v>
      </x:c>
    </x:row>
    <x:row r="1246" ht="14" customHeight="1">
      <x:c r="A1246" s="10" t="str">
        <x:v>2024-10-0500</x:v>
      </x:c>
      <x:c r="B1246" s="11" t="n">
        <x:v>45596</x:v>
      </x:c>
      <x:c r="C1246" s="10" t="n">
        <x:v>10</x:v>
      </x:c>
      <x:c r="D1246" s="10" t="str">
        <x:v>3300</x:v>
      </x:c>
      <x:c r="E1246" s="12" t="n">
        <x:v>0</x:v>
      </x:c>
      <x:c r="F1246" s="12" t="n">
        <x:v>39669.54</x:v>
      </x:c>
      <x:c r="G1246" s="10" t="str">
        <x:v>Wareneingang Inland 19 Prozent</x:v>
      </x:c>
      <x:c r="H1246" s="10" t="str">
        <x:v>Einkauf</x:v>
      </x:c>
    </x:row>
    <x:row r="1247" ht="14" customHeight="1">
      <x:c r="A1247" s="10" t="str">
        <x:v>2024-10-0501</x:v>
      </x:c>
      <x:c r="B1247" s="11" t="n">
        <x:v>45596</x:v>
      </x:c>
      <x:c r="C1247" s="10" t="n">
        <x:v>10</x:v>
      </x:c>
      <x:c r="D1247" s="10" t="str">
        <x:v>1140</x:v>
      </x:c>
      <x:c r="E1247" s="12" t="n">
        <x:v>95245</x:v>
      </x:c>
      <x:c r="F1247" s="12" t="n">
        <x:v>0</x:v>
      </x:c>
      <x:c r="G1247" s="10" t="str">
        <x:v>Wareneingang EU 7 Prozent</x:v>
      </x:c>
      <x:c r="H1247" s="10" t="str">
        <x:v>Einkauf</x:v>
      </x:c>
    </x:row>
    <x:row r="1248" ht="14" customHeight="1">
      <x:c r="A1248" s="10" t="str">
        <x:v>2024-10-0501</x:v>
      </x:c>
      <x:c r="B1248" s="11" t="n">
        <x:v>45596</x:v>
      </x:c>
      <x:c r="C1248" s="10" t="n">
        <x:v>10</x:v>
      </x:c>
      <x:c r="D1248" s="10" t="str">
        <x:v>3300</x:v>
      </x:c>
      <x:c r="E1248" s="12" t="n">
        <x:v>0</x:v>
      </x:c>
      <x:c r="F1248" s="12" t="n">
        <x:v>95245</x:v>
      </x:c>
      <x:c r="G1248" s="10" t="str">
        <x:v>Wareneingang EU 7 Prozent</x:v>
      </x:c>
      <x:c r="H1248" s="10" t="str">
        <x:v>Einkauf</x:v>
      </x:c>
    </x:row>
    <x:row r="1249" ht="14" customHeight="1">
      <x:c r="A1249" s="10" t="str">
        <x:v>2024-10-0501</x:v>
      </x:c>
      <x:c r="B1249" s="11" t="n">
        <x:v>45596</x:v>
      </x:c>
      <x:c r="C1249" s="10" t="n">
        <x:v>10</x:v>
      </x:c>
      <x:c r="D1249" s="10" t="str">
        <x:v>1404</x:v>
      </x:c>
      <x:c r="E1249" s="12" t="n">
        <x:v>6667.15</x:v>
      </x:c>
      <x:c r="F1249" s="12" t="n">
        <x:v>0</x:v>
      </x:c>
      <x:c r="G1249" s="10" t="str">
        <x:v>Wareneingang EU 7 Prozent</x:v>
      </x:c>
      <x:c r="H1249" s="10" t="str">
        <x:v>Einkauf</x:v>
      </x:c>
    </x:row>
    <x:row r="1250" ht="14" customHeight="1">
      <x:c r="A1250" s="10" t="str">
        <x:v>2024-10-0501</x:v>
      </x:c>
      <x:c r="B1250" s="11" t="n">
        <x:v>45596</x:v>
      </x:c>
      <x:c r="C1250" s="10" t="n">
        <x:v>10</x:v>
      </x:c>
      <x:c r="D1250" s="10" t="str">
        <x:v>3804</x:v>
      </x:c>
      <x:c r="E1250" s="12" t="n">
        <x:v>0</x:v>
      </x:c>
      <x:c r="F1250" s="12" t="n">
        <x:v>6667.15</x:v>
      </x:c>
      <x:c r="G1250" s="10" t="str">
        <x:v>Wareneingang EU 7 Prozent</x:v>
      </x:c>
      <x:c r="H1250" s="10" t="str">
        <x:v>Einkauf</x:v>
      </x:c>
    </x:row>
    <x:row r="1251" ht="14" customHeight="1">
      <x:c r="A1251" s="10" t="str">
        <x:v>2024-10-0502</x:v>
      </x:c>
      <x:c r="B1251" s="11" t="n">
        <x:v>45596</x:v>
      </x:c>
      <x:c r="C1251" s="10" t="n">
        <x:v>10</x:v>
      </x:c>
      <x:c r="D1251" s="10" t="str">
        <x:v>1140</x:v>
      </x:c>
      <x:c r="E1251" s="12" t="n">
        <x:v>23811.25</x:v>
      </x:c>
      <x:c r="F1251" s="12" t="n">
        <x:v>0</x:v>
      </x:c>
      <x:c r="G1251" s="10" t="str">
        <x:v>Wareneingang EU 19 Prozent</x:v>
      </x:c>
      <x:c r="H1251" s="10" t="str">
        <x:v>Einkauf</x:v>
      </x:c>
    </x:row>
    <x:row r="1252" ht="14" customHeight="1">
      <x:c r="A1252" s="10" t="str">
        <x:v>2024-10-0502</x:v>
      </x:c>
      <x:c r="B1252" s="11" t="n">
        <x:v>45596</x:v>
      </x:c>
      <x:c r="C1252" s="10" t="n">
        <x:v>10</x:v>
      </x:c>
      <x:c r="D1252" s="10" t="str">
        <x:v>3300</x:v>
      </x:c>
      <x:c r="E1252" s="12" t="n">
        <x:v>0</x:v>
      </x:c>
      <x:c r="F1252" s="12" t="n">
        <x:v>23811.25</x:v>
      </x:c>
      <x:c r="G1252" s="10" t="str">
        <x:v>Wareneingang EU 19 Prozent</x:v>
      </x:c>
      <x:c r="H1252" s="10" t="str">
        <x:v>Einkauf</x:v>
      </x:c>
    </x:row>
    <x:row r="1253" ht="14" customHeight="1">
      <x:c r="A1253" s="10" t="str">
        <x:v>2024-10-0502</x:v>
      </x:c>
      <x:c r="B1253" s="11" t="n">
        <x:v>45596</x:v>
      </x:c>
      <x:c r="C1253" s="10" t="n">
        <x:v>10</x:v>
      </x:c>
      <x:c r="D1253" s="10" t="str">
        <x:v>1409</x:v>
      </x:c>
      <x:c r="E1253" s="12" t="n">
        <x:v>4524.14</x:v>
      </x:c>
      <x:c r="F1253" s="12" t="n">
        <x:v>0</x:v>
      </x:c>
      <x:c r="G1253" s="10" t="str">
        <x:v>Wareneingang EU 19 Prozent</x:v>
      </x:c>
      <x:c r="H1253" s="10" t="str">
        <x:v>Einkauf</x:v>
      </x:c>
    </x:row>
    <x:row r="1254" ht="14" customHeight="1">
      <x:c r="A1254" s="10" t="str">
        <x:v>2024-10-0502</x:v>
      </x:c>
      <x:c r="B1254" s="11" t="n">
        <x:v>45596</x:v>
      </x:c>
      <x:c r="C1254" s="10" t="n">
        <x:v>10</x:v>
      </x:c>
      <x:c r="D1254" s="10" t="str">
        <x:v>3809</x:v>
      </x:c>
      <x:c r="E1254" s="12" t="n">
        <x:v>0</x:v>
      </x:c>
      <x:c r="F1254" s="12" t="n">
        <x:v>4524.14</x:v>
      </x:c>
      <x:c r="G1254" s="10" t="str">
        <x:v>Wareneingang EU 19 Prozent</x:v>
      </x:c>
      <x:c r="H1254" s="10" t="str">
        <x:v>Einkauf</x:v>
      </x:c>
    </x:row>
    <x:row r="1255" ht="14" customHeight="1">
      <x:c r="A1255" s="10" t="str">
        <x:v>2024-10-0503</x:v>
      </x:c>
      <x:c r="B1255" s="11" t="n">
        <x:v>45596</x:v>
      </x:c>
      <x:c r="C1255" s="10" t="n">
        <x:v>10</x:v>
      </x:c>
      <x:c r="D1255" s="10" t="str">
        <x:v>1140</x:v>
      </x:c>
      <x:c r="E1255" s="12" t="n">
        <x:v>142867.5</x:v>
      </x:c>
      <x:c r="F1255" s="12" t="n">
        <x:v>0</x:v>
      </x:c>
      <x:c r="G1255" s="10" t="str">
        <x:v>Wareneingang Drittland</x:v>
      </x:c>
      <x:c r="H1255" s="10" t="str">
        <x:v>Einkauf</x:v>
      </x:c>
    </x:row>
    <x:row r="1256" ht="14" customHeight="1">
      <x:c r="A1256" s="10" t="str">
        <x:v>2024-10-0503</x:v>
      </x:c>
      <x:c r="B1256" s="11" t="n">
        <x:v>45596</x:v>
      </x:c>
      <x:c r="C1256" s="10" t="n">
        <x:v>10</x:v>
      </x:c>
      <x:c r="D1256" s="10" t="str">
        <x:v>3300</x:v>
      </x:c>
      <x:c r="E1256" s="12" t="n">
        <x:v>0</x:v>
      </x:c>
      <x:c r="F1256" s="12" t="n">
        <x:v>142867.5</x:v>
      </x:c>
      <x:c r="G1256" s="10" t="str">
        <x:v>Wareneingang Drittland</x:v>
      </x:c>
      <x:c r="H1256" s="10" t="str">
        <x:v>Einkauf</x:v>
      </x:c>
    </x:row>
    <x:row r="1257" ht="14" customHeight="1">
      <x:c r="A1257" s="10" t="str">
        <x:v>2024-10-0504</x:v>
      </x:c>
      <x:c r="B1257" s="11" t="n">
        <x:v>45587</x:v>
      </x:c>
      <x:c r="C1257" s="10" t="n">
        <x:v>10</x:v>
      </x:c>
      <x:c r="D1257" s="10" t="str">
        <x:v>1433</x:v>
      </x:c>
      <x:c r="E1257" s="12" t="n">
        <x:v>11715.13</x:v>
      </x:c>
      <x:c r="F1257" s="12" t="n">
        <x:v>0</x:v>
      </x:c>
      <x:c r="G1257" s="10" t="str">
        <x:v>Einfuhrabgabenjournal bezahlte EUSt</x:v>
      </x:c>
      <x:c r="H1257" s="10" t="str">
        <x:v>Einfuhrumsatzsteuer</x:v>
      </x:c>
    </x:row>
    <x:row r="1258" ht="14" customHeight="1">
      <x:c r="A1258" s="10" t="str">
        <x:v>2024-10-0504</x:v>
      </x:c>
      <x:c r="B1258" s="11" t="n">
        <x:v>45587</x:v>
      </x:c>
      <x:c r="C1258" s="10" t="n">
        <x:v>10</x:v>
      </x:c>
      <x:c r="D1258" s="10" t="str">
        <x:v>1800</x:v>
      </x:c>
      <x:c r="E1258" s="12" t="n">
        <x:v>0</x:v>
      </x:c>
      <x:c r="F1258" s="12" t="n">
        <x:v>11715.13</x:v>
      </x:c>
      <x:c r="G1258" s="10" t="str">
        <x:v>Einfuhrabgabenjournal bezahlte EUSt</x:v>
      </x:c>
      <x:c r="H1258" s="10" t="str">
        <x:v>Einfuhrumsatzsteuer</x:v>
      </x:c>
    </x:row>
    <x:row r="1259" ht="14" customHeight="1">
      <x:c r="A1259" s="10" t="str">
        <x:v>2024-10-0505</x:v>
      </x:c>
      <x:c r="B1259" s="11" t="n">
        <x:v>45596</x:v>
      </x:c>
      <x:c r="C1259" s="10" t="n">
        <x:v>10</x:v>
      </x:c>
      <x:c r="D1259" s="10" t="str">
        <x:v>5000</x:v>
      </x:c>
      <x:c r="E1259" s="12" t="n">
        <x:v>446225</x:v>
      </x:c>
      <x:c r="F1259" s="12" t="n">
        <x:v>0</x:v>
      </x:c>
      <x:c r="G1259" s="10" t="str">
        <x:v>Warenabgänge zu Einstandswerten</x:v>
      </x:c>
      <x:c r="H1259" s="10" t="str">
        <x:v>Verbrauch</x:v>
      </x:c>
    </x:row>
    <x:row r="1260" ht="14" customHeight="1">
      <x:c r="A1260" s="10" t="str">
        <x:v>2024-10-0505</x:v>
      </x:c>
      <x:c r="B1260" s="11" t="n">
        <x:v>45596</x:v>
      </x:c>
      <x:c r="C1260" s="10" t="n">
        <x:v>10</x:v>
      </x:c>
      <x:c r="D1260" s="10" t="str">
        <x:v>1140</x:v>
      </x:c>
      <x:c r="E1260" s="12" t="n">
        <x:v>0</x:v>
      </x:c>
      <x:c r="F1260" s="12" t="n">
        <x:v>446225</x:v>
      </x:c>
      <x:c r="G1260" s="10" t="str">
        <x:v>Warenabgänge zu Einstandswerten</x:v>
      </x:c>
      <x:c r="H1260" s="10" t="str">
        <x:v>Verbrauch</x:v>
      </x:c>
    </x:row>
    <x:row r="1261" ht="14" customHeight="1">
      <x:c r="A1261" s="10" t="str">
        <x:v>2024-10-0506</x:v>
      </x:c>
      <x:c r="B1261" s="11" t="n">
        <x:v>45596</x:v>
      </x:c>
      <x:c r="C1261" s="10" t="n">
        <x:v>10</x:v>
      </x:c>
      <x:c r="D1261" s="10" t="str">
        <x:v>6020</x:v>
      </x:c>
      <x:c r="E1261" s="12" t="n">
        <x:v>86000</x:v>
      </x:c>
      <x:c r="F1261" s="12" t="n">
        <x:v>0</x:v>
      </x:c>
      <x:c r="G1261" s="10" t="str">
        <x:v>Lohnjournal 20 Beschäftigte</x:v>
      </x:c>
      <x:c r="H1261" s="10" t="str">
        <x:v>Personal</x:v>
      </x:c>
    </x:row>
    <x:row r="1262" ht="14" customHeight="1">
      <x:c r="A1262" s="10" t="str">
        <x:v>2024-10-0506</x:v>
      </x:c>
      <x:c r="B1262" s="11" t="n">
        <x:v>45596</x:v>
      </x:c>
      <x:c r="C1262" s="10" t="n">
        <x:v>10</x:v>
      </x:c>
      <x:c r="D1262" s="10" t="str">
        <x:v>6110</x:v>
      </x:c>
      <x:c r="E1262" s="12" t="n">
        <x:v>18000</x:v>
      </x:c>
      <x:c r="F1262" s="12" t="n">
        <x:v>0</x:v>
      </x:c>
      <x:c r="G1262" s="10" t="str">
        <x:v>Lohnjournal 20 Beschäftigte</x:v>
      </x:c>
      <x:c r="H1262" s="10" t="str">
        <x:v>Personal</x:v>
      </x:c>
    </x:row>
    <x:row r="1263" ht="14" customHeight="1">
      <x:c r="A1263" s="10" t="str">
        <x:v>2024-10-0506</x:v>
      </x:c>
      <x:c r="B1263" s="11" t="n">
        <x:v>45596</x:v>
      </x:c>
      <x:c r="C1263" s="10" t="n">
        <x:v>10</x:v>
      </x:c>
      <x:c r="D1263" s="10" t="str">
        <x:v>3720</x:v>
      </x:c>
      <x:c r="E1263" s="12" t="n">
        <x:v>0</x:v>
      </x:c>
      <x:c r="F1263" s="12" t="n">
        <x:v>56760</x:v>
      </x:c>
      <x:c r="G1263" s="10" t="str">
        <x:v>Lohnjournal 20 Beschäftigte</x:v>
      </x:c>
      <x:c r="H1263" s="10" t="str">
        <x:v>Personal</x:v>
      </x:c>
    </x:row>
    <x:row r="1264" ht="14" customHeight="1">
      <x:c r="A1264" s="10" t="str">
        <x:v>2024-10-0506</x:v>
      </x:c>
      <x:c r="B1264" s="11" t="n">
        <x:v>45596</x:v>
      </x:c>
      <x:c r="C1264" s="10" t="n">
        <x:v>10</x:v>
      </x:c>
      <x:c r="D1264" s="10" t="str">
        <x:v>3730</x:v>
      </x:c>
      <x:c r="E1264" s="12" t="n">
        <x:v>0</x:v>
      </x:c>
      <x:c r="F1264" s="12" t="n">
        <x:v>12900</x:v>
      </x:c>
      <x:c r="G1264" s="10" t="str">
        <x:v>Lohnjournal 20 Beschäftigte</x:v>
      </x:c>
      <x:c r="H1264" s="10" t="str">
        <x:v>Personal</x:v>
      </x:c>
    </x:row>
    <x:row r="1265" ht="14" customHeight="1">
      <x:c r="A1265" s="10" t="str">
        <x:v>2024-10-0506</x:v>
      </x:c>
      <x:c r="B1265" s="11" t="n">
        <x:v>45596</x:v>
      </x:c>
      <x:c r="C1265" s="10" t="n">
        <x:v>10</x:v>
      </x:c>
      <x:c r="D1265" s="10" t="str">
        <x:v>3740</x:v>
      </x:c>
      <x:c r="E1265" s="12" t="n">
        <x:v>0</x:v>
      </x:c>
      <x:c r="F1265" s="12" t="n">
        <x:v>34340</x:v>
      </x:c>
      <x:c r="G1265" s="10" t="str">
        <x:v>Lohnjournal 20 Beschäftigte</x:v>
      </x:c>
      <x:c r="H1265" s="10" t="str">
        <x:v>Personal</x:v>
      </x:c>
    </x:row>
    <x:row r="1266" ht="14" customHeight="1">
      <x:c r="A1266" s="10" t="str">
        <x:v>2024-10-0507</x:v>
      </x:c>
      <x:c r="B1266" s="11" t="n">
        <x:v>45593</x:v>
      </x:c>
      <x:c r="C1266" s="10" t="n">
        <x:v>10</x:v>
      </x:c>
      <x:c r="D1266" s="10" t="str">
        <x:v>3720</x:v>
      </x:c>
      <x:c r="E1266" s="12" t="n">
        <x:v>56760</x:v>
      </x:c>
      <x:c r="F1266" s="12" t="n">
        <x:v>0</x:v>
      </x:c>
      <x:c r="G1266" s="10" t="str">
        <x:v>Zahlungsjournal Verbindlichkeiten Nettolöhne</x:v>
      </x:c>
      <x:c r="H1266" s="10" t="str">
        <x:v>Personalzahlung</x:v>
      </x:c>
    </x:row>
    <x:row r="1267" ht="14" customHeight="1">
      <x:c r="A1267" s="10" t="str">
        <x:v>2024-10-0507</x:v>
      </x:c>
      <x:c r="B1267" s="11" t="n">
        <x:v>45593</x:v>
      </x:c>
      <x:c r="C1267" s="10" t="n">
        <x:v>10</x:v>
      </x:c>
      <x:c r="D1267" s="10" t="str">
        <x:v>1800</x:v>
      </x:c>
      <x:c r="E1267" s="12" t="n">
        <x:v>0</x:v>
      </x:c>
      <x:c r="F1267" s="12" t="n">
        <x:v>56760</x:v>
      </x:c>
      <x:c r="G1267" s="10" t="str">
        <x:v>Zahlungsjournal Verbindlichkeiten Nettolöhne</x:v>
      </x:c>
      <x:c r="H1267" s="10" t="str">
        <x:v>Personalzahlung</x:v>
      </x:c>
    </x:row>
    <x:row r="1268" ht="14" customHeight="1">
      <x:c r="A1268" s="10" t="str">
        <x:v>2024-10-0508</x:v>
      </x:c>
      <x:c r="B1268" s="11" t="n">
        <x:v>45575</x:v>
      </x:c>
      <x:c r="C1268" s="10" t="n">
        <x:v>10</x:v>
      </x:c>
      <x:c r="D1268" s="10" t="str">
        <x:v>3730</x:v>
      </x:c>
      <x:c r="E1268" s="12" t="n">
        <x:v>12900</x:v>
      </x:c>
      <x:c r="F1268" s="12" t="n">
        <x:v>0</x:v>
      </x:c>
      <x:c r="G1268" s="10" t="str">
        <x:v>Zahlungsjournal Verbindlichkeiten Lohnsteuer</x:v>
      </x:c>
      <x:c r="H1268" s="10" t="str">
        <x:v>Personalzahlung</x:v>
      </x:c>
    </x:row>
    <x:row r="1269" ht="14" customHeight="1">
      <x:c r="A1269" s="10" t="str">
        <x:v>2024-10-0508</x:v>
      </x:c>
      <x:c r="B1269" s="11" t="n">
        <x:v>45575</x:v>
      </x:c>
      <x:c r="C1269" s="10" t="n">
        <x:v>10</x:v>
      </x:c>
      <x:c r="D1269" s="10" t="str">
        <x:v>1800</x:v>
      </x:c>
      <x:c r="E1269" s="12" t="n">
        <x:v>0</x:v>
      </x:c>
      <x:c r="F1269" s="12" t="n">
        <x:v>12900</x:v>
      </x:c>
      <x:c r="G1269" s="10" t="str">
        <x:v>Zahlungsjournal Verbindlichkeiten Lohnsteuer</x:v>
      </x:c>
      <x:c r="H1269" s="10" t="str">
        <x:v>Personalzahlung</x:v>
      </x:c>
    </x:row>
    <x:row r="1270" ht="14" customHeight="1">
      <x:c r="A1270" s="10" t="str">
        <x:v>2024-10-0509</x:v>
      </x:c>
      <x:c r="B1270" s="11" t="n">
        <x:v>45593</x:v>
      </x:c>
      <x:c r="C1270" s="10" t="n">
        <x:v>10</x:v>
      </x:c>
      <x:c r="D1270" s="10" t="str">
        <x:v>3740</x:v>
      </x:c>
      <x:c r="E1270" s="12" t="n">
        <x:v>34340</x:v>
      </x:c>
      <x:c r="F1270" s="12" t="n">
        <x:v>0</x:v>
      </x:c>
      <x:c r="G1270" s="10" t="str">
        <x:v>Zahlungsjournal Verbindlichkeiten Sozialversicherung</x:v>
      </x:c>
      <x:c r="H1270" s="10" t="str">
        <x:v>Personalzahlung</x:v>
      </x:c>
    </x:row>
    <x:row r="1271" ht="14" customHeight="1">
      <x:c r="A1271" s="10" t="str">
        <x:v>2024-10-0509</x:v>
      </x:c>
      <x:c r="B1271" s="11" t="n">
        <x:v>45593</x:v>
      </x:c>
      <x:c r="C1271" s="10" t="n">
        <x:v>10</x:v>
      </x:c>
      <x:c r="D1271" s="10" t="str">
        <x:v>1800</x:v>
      </x:c>
      <x:c r="E1271" s="12" t="n">
        <x:v>0</x:v>
      </x:c>
      <x:c r="F1271" s="12" t="n">
        <x:v>34340</x:v>
      </x:c>
      <x:c r="G1271" s="10" t="str">
        <x:v>Zahlungsjournal Verbindlichkeiten Sozialversicherung</x:v>
      </x:c>
      <x:c r="H1271" s="10" t="str">
        <x:v>Personalzahlung</x:v>
      </x:c>
    </x:row>
    <x:row r="1272" ht="14" customHeight="1">
      <x:c r="A1272" s="10" t="str">
        <x:v>2024-10-0510</x:v>
      </x:c>
      <x:c r="B1272" s="11" t="n">
        <x:v>45596</x:v>
      </x:c>
      <x:c r="C1272" s="10" t="n">
        <x:v>10</x:v>
      </x:c>
      <x:c r="D1272" s="10" t="str">
        <x:v>6310</x:v>
      </x:c>
      <x:c r="E1272" s="12" t="n">
        <x:v>4000</x:v>
      </x:c>
      <x:c r="F1272" s="12" t="n">
        <x:v>0</x:v>
      </x:c>
      <x:c r="G1272" s="10" t="str">
        <x:v>Miete Büro Nürnberg Monatsjournal</x:v>
      </x:c>
      <x:c r="H1272" s="10" t="str">
        <x:v>Betriebskosten</x:v>
      </x:c>
    </x:row>
    <x:row r="1273" ht="14" customHeight="1">
      <x:c r="A1273" s="10" t="str">
        <x:v>2024-10-0510</x:v>
      </x:c>
      <x:c r="B1273" s="11" t="n">
        <x:v>45596</x:v>
      </x:c>
      <x:c r="C1273" s="10" t="n">
        <x:v>10</x:v>
      </x:c>
      <x:c r="D1273" s="10" t="str">
        <x:v>1406</x:v>
      </x:c>
      <x:c r="E1273" s="12" t="n">
        <x:v>760</x:v>
      </x:c>
      <x:c r="F1273" s="12" t="n">
        <x:v>0</x:v>
      </x:c>
      <x:c r="G1273" s="10" t="str">
        <x:v>Miete Büro Nürnberg Monatsjournal</x:v>
      </x:c>
      <x:c r="H1273" s="10" t="str">
        <x:v>Betriebskosten</x:v>
      </x:c>
    </x:row>
    <x:row r="1274" ht="14" customHeight="1">
      <x:c r="A1274" s="10" t="str">
        <x:v>2024-10-0510</x:v>
      </x:c>
      <x:c r="B1274" s="11" t="n">
        <x:v>45596</x:v>
      </x:c>
      <x:c r="C1274" s="10" t="n">
        <x:v>10</x:v>
      </x:c>
      <x:c r="D1274" s="10" t="str">
        <x:v>3300</x:v>
      </x:c>
      <x:c r="E1274" s="12" t="n">
        <x:v>0</x:v>
      </x:c>
      <x:c r="F1274" s="12" t="n">
        <x:v>4760</x:v>
      </x:c>
      <x:c r="G1274" s="10" t="str">
        <x:v>Miete Büro Nürnberg Monatsjournal</x:v>
      </x:c>
      <x:c r="H1274" s="10" t="str">
        <x:v>Betriebskosten</x:v>
      </x:c>
    </x:row>
    <x:row r="1275" ht="14" customHeight="1">
      <x:c r="A1275" s="10" t="str">
        <x:v>2024-10-0511</x:v>
      </x:c>
      <x:c r="B1275" s="11" t="n">
        <x:v>45596</x:v>
      </x:c>
      <x:c r="C1275" s="10" t="n">
        <x:v>10</x:v>
      </x:c>
      <x:c r="D1275" s="10" t="str">
        <x:v>6311</x:v>
      </x:c>
      <x:c r="E1275" s="12" t="n">
        <x:v>10000</x:v>
      </x:c>
      <x:c r="F1275" s="12" t="n">
        <x:v>0</x:v>
      </x:c>
      <x:c r="G1275" s="10" t="str">
        <x:v>Miete Lager Erlangen Monatsjournal</x:v>
      </x:c>
      <x:c r="H1275" s="10" t="str">
        <x:v>Betriebskosten</x:v>
      </x:c>
    </x:row>
    <x:row r="1276" ht="14" customHeight="1">
      <x:c r="A1276" s="10" t="str">
        <x:v>2024-10-0511</x:v>
      </x:c>
      <x:c r="B1276" s="11" t="n">
        <x:v>45596</x:v>
      </x:c>
      <x:c r="C1276" s="10" t="n">
        <x:v>10</x:v>
      </x:c>
      <x:c r="D1276" s="10" t="str">
        <x:v>1406</x:v>
      </x:c>
      <x:c r="E1276" s="12" t="n">
        <x:v>1900</x:v>
      </x:c>
      <x:c r="F1276" s="12" t="n">
        <x:v>0</x:v>
      </x:c>
      <x:c r="G1276" s="10" t="str">
        <x:v>Miete Lager Erlangen Monatsjournal</x:v>
      </x:c>
      <x:c r="H1276" s="10" t="str">
        <x:v>Betriebskosten</x:v>
      </x:c>
    </x:row>
    <x:row r="1277" ht="14" customHeight="1">
      <x:c r="A1277" s="10" t="str">
        <x:v>2024-10-0511</x:v>
      </x:c>
      <x:c r="B1277" s="11" t="n">
        <x:v>45596</x:v>
      </x:c>
      <x:c r="C1277" s="10" t="n">
        <x:v>10</x:v>
      </x:c>
      <x:c r="D1277" s="10" t="str">
        <x:v>3300</x:v>
      </x:c>
      <x:c r="E1277" s="12" t="n">
        <x:v>0</x:v>
      </x:c>
      <x:c r="F1277" s="12" t="n">
        <x:v>11900</x:v>
      </x:c>
      <x:c r="G1277" s="10" t="str">
        <x:v>Miete Lager Erlangen Monatsjournal</x:v>
      </x:c>
      <x:c r="H1277" s="10" t="str">
        <x:v>Betriebskosten</x:v>
      </x:c>
    </x:row>
    <x:row r="1278" ht="14" customHeight="1">
      <x:c r="A1278" s="10" t="str">
        <x:v>2024-10-0512</x:v>
      </x:c>
      <x:c r="B1278" s="11" t="n">
        <x:v>45596</x:v>
      </x:c>
      <x:c r="C1278" s="10" t="n">
        <x:v>10</x:v>
      </x:c>
      <x:c r="D1278" s="10" t="str">
        <x:v>6325</x:v>
      </x:c>
      <x:c r="E1278" s="12" t="n">
        <x:v>4500</x:v>
      </x:c>
      <x:c r="F1278" s="12" t="n">
        <x:v>0</x:v>
      </x:c>
      <x:c r="G1278" s="10" t="str">
        <x:v>Strom und Kühlung Monatsjournal</x:v>
      </x:c>
      <x:c r="H1278" s="10" t="str">
        <x:v>Betriebskosten</x:v>
      </x:c>
    </x:row>
    <x:row r="1279" ht="14" customHeight="1">
      <x:c r="A1279" s="10" t="str">
        <x:v>2024-10-0512</x:v>
      </x:c>
      <x:c r="B1279" s="11" t="n">
        <x:v>45596</x:v>
      </x:c>
      <x:c r="C1279" s="10" t="n">
        <x:v>10</x:v>
      </x:c>
      <x:c r="D1279" s="10" t="str">
        <x:v>1406</x:v>
      </x:c>
      <x:c r="E1279" s="12" t="n">
        <x:v>855</x:v>
      </x:c>
      <x:c r="F1279" s="12" t="n">
        <x:v>0</x:v>
      </x:c>
      <x:c r="G1279" s="10" t="str">
        <x:v>Strom und Kühlung Monatsjournal</x:v>
      </x:c>
      <x:c r="H1279" s="10" t="str">
        <x:v>Betriebskosten</x:v>
      </x:c>
    </x:row>
    <x:row r="1280" ht="14" customHeight="1">
      <x:c r="A1280" s="10" t="str">
        <x:v>2024-10-0512</x:v>
      </x:c>
      <x:c r="B1280" s="11" t="n">
        <x:v>45596</x:v>
      </x:c>
      <x:c r="C1280" s="10" t="n">
        <x:v>10</x:v>
      </x:c>
      <x:c r="D1280" s="10" t="str">
        <x:v>3300</x:v>
      </x:c>
      <x:c r="E1280" s="12" t="n">
        <x:v>0</x:v>
      </x:c>
      <x:c r="F1280" s="12" t="n">
        <x:v>5355</x:v>
      </x:c>
      <x:c r="G1280" s="10" t="str">
        <x:v>Strom und Kühlung Monatsjournal</x:v>
      </x:c>
      <x:c r="H1280" s="10" t="str">
        <x:v>Betriebskosten</x:v>
      </x:c>
    </x:row>
    <x:row r="1281" ht="14" customHeight="1">
      <x:c r="A1281" s="10" t="str">
        <x:v>2024-10-0513</x:v>
      </x:c>
      <x:c r="B1281" s="11" t="n">
        <x:v>45596</x:v>
      </x:c>
      <x:c r="C1281" s="10" t="n">
        <x:v>10</x:v>
      </x:c>
      <x:c r="D1281" s="10" t="str">
        <x:v>6400</x:v>
      </x:c>
      <x:c r="E1281" s="12" t="n">
        <x:v>2500</x:v>
      </x:c>
      <x:c r="F1281" s="12" t="n">
        <x:v>0</x:v>
      </x:c>
      <x:c r="G1281" s="10" t="str">
        <x:v>Versicherungen Monatsjournal</x:v>
      </x:c>
      <x:c r="H1281" s="10" t="str">
        <x:v>Betriebskosten</x:v>
      </x:c>
    </x:row>
    <x:row r="1282" ht="14" customHeight="1">
      <x:c r="A1282" s="10" t="str">
        <x:v>2024-10-0513</x:v>
      </x:c>
      <x:c r="B1282" s="11" t="n">
        <x:v>45596</x:v>
      </x:c>
      <x:c r="C1282" s="10" t="n">
        <x:v>10</x:v>
      </x:c>
      <x:c r="D1282" s="10" t="str">
        <x:v>3300</x:v>
      </x:c>
      <x:c r="E1282" s="12" t="n">
        <x:v>0</x:v>
      </x:c>
      <x:c r="F1282" s="12" t="n">
        <x:v>2500</x:v>
      </x:c>
      <x:c r="G1282" s="10" t="str">
        <x:v>Versicherungen Monatsjournal</x:v>
      </x:c>
      <x:c r="H1282" s="10" t="str">
        <x:v>Betriebskosten</x:v>
      </x:c>
    </x:row>
    <x:row r="1283" ht="14" customHeight="1">
      <x:c r="A1283" s="10" t="str">
        <x:v>2024-10-0514</x:v>
      </x:c>
      <x:c r="B1283" s="11" t="n">
        <x:v>45596</x:v>
      </x:c>
      <x:c r="C1283" s="10" t="n">
        <x:v>10</x:v>
      </x:c>
      <x:c r="D1283" s="10" t="str">
        <x:v>6470</x:v>
      </x:c>
      <x:c r="E1283" s="12" t="n">
        <x:v>6000</x:v>
      </x:c>
      <x:c r="F1283" s="12" t="n">
        <x:v>0</x:v>
      </x:c>
      <x:c r="G1283" s="10" t="str">
        <x:v>Lagerbetrieb und Reinigung Monatsjournal</x:v>
      </x:c>
      <x:c r="H1283" s="10" t="str">
        <x:v>Betriebskosten</x:v>
      </x:c>
    </x:row>
    <x:row r="1284" ht="14" customHeight="1">
      <x:c r="A1284" s="10" t="str">
        <x:v>2024-10-0514</x:v>
      </x:c>
      <x:c r="B1284" s="11" t="n">
        <x:v>45596</x:v>
      </x:c>
      <x:c r="C1284" s="10" t="n">
        <x:v>10</x:v>
      </x:c>
      <x:c r="D1284" s="10" t="str">
        <x:v>1406</x:v>
      </x:c>
      <x:c r="E1284" s="12" t="n">
        <x:v>1140</x:v>
      </x:c>
      <x:c r="F1284" s="12" t="n">
        <x:v>0</x:v>
      </x:c>
      <x:c r="G1284" s="10" t="str">
        <x:v>Lagerbetrieb und Reinigung Monatsjournal</x:v>
      </x:c>
      <x:c r="H1284" s="10" t="str">
        <x:v>Betriebskosten</x:v>
      </x:c>
    </x:row>
    <x:row r="1285" ht="14" customHeight="1">
      <x:c r="A1285" s="10" t="str">
        <x:v>2024-10-0514</x:v>
      </x:c>
      <x:c r="B1285" s="11" t="n">
        <x:v>45596</x:v>
      </x:c>
      <x:c r="C1285" s="10" t="n">
        <x:v>10</x:v>
      </x:c>
      <x:c r="D1285" s="10" t="str">
        <x:v>3300</x:v>
      </x:c>
      <x:c r="E1285" s="12" t="n">
        <x:v>0</x:v>
      </x:c>
      <x:c r="F1285" s="12" t="n">
        <x:v>7140</x:v>
      </x:c>
      <x:c r="G1285" s="10" t="str">
        <x:v>Lagerbetrieb und Reinigung Monatsjournal</x:v>
      </x:c>
      <x:c r="H1285" s="10" t="str">
        <x:v>Betriebskosten</x:v>
      </x:c>
    </x:row>
    <x:row r="1286" ht="14" customHeight="1">
      <x:c r="A1286" s="10" t="str">
        <x:v>2024-10-0515</x:v>
      </x:c>
      <x:c r="B1286" s="11" t="n">
        <x:v>45596</x:v>
      </x:c>
      <x:c r="C1286" s="10" t="n">
        <x:v>10</x:v>
      </x:c>
      <x:c r="D1286" s="10" t="str">
        <x:v>6490</x:v>
      </x:c>
      <x:c r="E1286" s="12" t="n">
        <x:v>2500</x:v>
      </x:c>
      <x:c r="F1286" s="12" t="n">
        <x:v>0</x:v>
      </x:c>
      <x:c r="G1286" s="10" t="str">
        <x:v>Reparaturen und Wartung Monatsjournal</x:v>
      </x:c>
      <x:c r="H1286" s="10" t="str">
        <x:v>Betriebskosten</x:v>
      </x:c>
    </x:row>
    <x:row r="1287" ht="14" customHeight="1">
      <x:c r="A1287" s="10" t="str">
        <x:v>2024-10-0515</x:v>
      </x:c>
      <x:c r="B1287" s="11" t="n">
        <x:v>45596</x:v>
      </x:c>
      <x:c r="C1287" s="10" t="n">
        <x:v>10</x:v>
      </x:c>
      <x:c r="D1287" s="10" t="str">
        <x:v>1406</x:v>
      </x:c>
      <x:c r="E1287" s="12" t="n">
        <x:v>475</x:v>
      </x:c>
      <x:c r="F1287" s="12" t="n">
        <x:v>0</x:v>
      </x:c>
      <x:c r="G1287" s="10" t="str">
        <x:v>Reparaturen und Wartung Monatsjournal</x:v>
      </x:c>
      <x:c r="H1287" s="10" t="str">
        <x:v>Betriebskosten</x:v>
      </x:c>
    </x:row>
    <x:row r="1288" ht="14" customHeight="1">
      <x:c r="A1288" s="10" t="str">
        <x:v>2024-10-0515</x:v>
      </x:c>
      <x:c r="B1288" s="11" t="n">
        <x:v>45596</x:v>
      </x:c>
      <x:c r="C1288" s="10" t="n">
        <x:v>10</x:v>
      </x:c>
      <x:c r="D1288" s="10" t="str">
        <x:v>3300</x:v>
      </x:c>
      <x:c r="E1288" s="12" t="n">
        <x:v>0</x:v>
      </x:c>
      <x:c r="F1288" s="12" t="n">
        <x:v>2975</x:v>
      </x:c>
      <x:c r="G1288" s="10" t="str">
        <x:v>Reparaturen und Wartung Monatsjournal</x:v>
      </x:c>
      <x:c r="H1288" s="10" t="str">
        <x:v>Betriebskosten</x:v>
      </x:c>
    </x:row>
    <x:row r="1289" ht="14" customHeight="1">
      <x:c r="A1289" s="10" t="str">
        <x:v>2024-10-0516</x:v>
      </x:c>
      <x:c r="B1289" s="11" t="n">
        <x:v>45596</x:v>
      </x:c>
      <x:c r="C1289" s="10" t="n">
        <x:v>10</x:v>
      </x:c>
      <x:c r="D1289" s="10" t="str">
        <x:v>6600</x:v>
      </x:c>
      <x:c r="E1289" s="12" t="n">
        <x:v>6000</x:v>
      </x:c>
      <x:c r="F1289" s="12" t="n">
        <x:v>0</x:v>
      </x:c>
      <x:c r="G1289" s="10" t="str">
        <x:v>Marketing und Messen Monatsjournal</x:v>
      </x:c>
      <x:c r="H1289" s="10" t="str">
        <x:v>Betriebskosten</x:v>
      </x:c>
    </x:row>
    <x:row r="1290" ht="14" customHeight="1">
      <x:c r="A1290" s="10" t="str">
        <x:v>2024-10-0516</x:v>
      </x:c>
      <x:c r="B1290" s="11" t="n">
        <x:v>45596</x:v>
      </x:c>
      <x:c r="C1290" s="10" t="n">
        <x:v>10</x:v>
      </x:c>
      <x:c r="D1290" s="10" t="str">
        <x:v>1406</x:v>
      </x:c>
      <x:c r="E1290" s="12" t="n">
        <x:v>1140</x:v>
      </x:c>
      <x:c r="F1290" s="12" t="n">
        <x:v>0</x:v>
      </x:c>
      <x:c r="G1290" s="10" t="str">
        <x:v>Marketing und Messen Monatsjournal</x:v>
      </x:c>
      <x:c r="H1290" s="10" t="str">
        <x:v>Betriebskosten</x:v>
      </x:c>
    </x:row>
    <x:row r="1291" ht="14" customHeight="1">
      <x:c r="A1291" s="10" t="str">
        <x:v>2024-10-0516</x:v>
      </x:c>
      <x:c r="B1291" s="11" t="n">
        <x:v>45596</x:v>
      </x:c>
      <x:c r="C1291" s="10" t="n">
        <x:v>10</x:v>
      </x:c>
      <x:c r="D1291" s="10" t="str">
        <x:v>3300</x:v>
      </x:c>
      <x:c r="E1291" s="12" t="n">
        <x:v>0</x:v>
      </x:c>
      <x:c r="F1291" s="12" t="n">
        <x:v>7140</x:v>
      </x:c>
      <x:c r="G1291" s="10" t="str">
        <x:v>Marketing und Messen Monatsjournal</x:v>
      </x:c>
      <x:c r="H1291" s="10" t="str">
        <x:v>Betriebskosten</x:v>
      </x:c>
    </x:row>
    <x:row r="1292" ht="14" customHeight="1">
      <x:c r="A1292" s="10" t="str">
        <x:v>2024-10-0517</x:v>
      </x:c>
      <x:c r="B1292" s="11" t="n">
        <x:v>45596</x:v>
      </x:c>
      <x:c r="C1292" s="10" t="n">
        <x:v>10</x:v>
      </x:c>
      <x:c r="D1292" s="10" t="str">
        <x:v>6650</x:v>
      </x:c>
      <x:c r="E1292" s="12" t="n">
        <x:v>1500</x:v>
      </x:c>
      <x:c r="F1292" s="12" t="n">
        <x:v>0</x:v>
      </x:c>
      <x:c r="G1292" s="10" t="str">
        <x:v>Reisekosten Monatsjournal</x:v>
      </x:c>
      <x:c r="H1292" s="10" t="str">
        <x:v>Betriebskosten</x:v>
      </x:c>
    </x:row>
    <x:row r="1293" ht="14" customHeight="1">
      <x:c r="A1293" s="10" t="str">
        <x:v>2024-10-0517</x:v>
      </x:c>
      <x:c r="B1293" s="11" t="n">
        <x:v>45596</x:v>
      </x:c>
      <x:c r="C1293" s="10" t="n">
        <x:v>10</x:v>
      </x:c>
      <x:c r="D1293" s="10" t="str">
        <x:v>1406</x:v>
      </x:c>
      <x:c r="E1293" s="12" t="n">
        <x:v>285</x:v>
      </x:c>
      <x:c r="F1293" s="12" t="n">
        <x:v>0</x:v>
      </x:c>
      <x:c r="G1293" s="10" t="str">
        <x:v>Reisekosten Monatsjournal</x:v>
      </x:c>
      <x:c r="H1293" s="10" t="str">
        <x:v>Betriebskosten</x:v>
      </x:c>
    </x:row>
    <x:row r="1294" ht="14" customHeight="1">
      <x:c r="A1294" s="10" t="str">
        <x:v>2024-10-0517</x:v>
      </x:c>
      <x:c r="B1294" s="11" t="n">
        <x:v>45596</x:v>
      </x:c>
      <x:c r="C1294" s="10" t="n">
        <x:v>10</x:v>
      </x:c>
      <x:c r="D1294" s="10" t="str">
        <x:v>3300</x:v>
      </x:c>
      <x:c r="E1294" s="12" t="n">
        <x:v>0</x:v>
      </x:c>
      <x:c r="F1294" s="12" t="n">
        <x:v>1485</x:v>
      </x:c>
      <x:c r="G1294" s="10" t="str">
        <x:v>Reisekosten Monatsjournal</x:v>
      </x:c>
      <x:c r="H1294" s="10" t="str">
        <x:v>Betriebskosten</x:v>
      </x:c>
    </x:row>
    <x:row r="1295" ht="14" customHeight="1">
      <x:c r="A1295" s="10" t="str">
        <x:v>2024-10-0517</x:v>
      </x:c>
      <x:c r="B1295" s="11" t="n">
        <x:v>45596</x:v>
      </x:c>
      <x:c r="C1295" s="10" t="n">
        <x:v>10</x:v>
      </x:c>
      <x:c r="D1295" s="10" t="str">
        <x:v>1600</x:v>
      </x:c>
      <x:c r="E1295" s="12" t="n">
        <x:v>0</x:v>
      </x:c>
      <x:c r="F1295" s="12" t="n">
        <x:v>300</x:v>
      </x:c>
      <x:c r="G1295" s="10" t="str">
        <x:v>Reisekosten Monatsjournal</x:v>
      </x:c>
      <x:c r="H1295" s="10" t="str">
        <x:v>Betriebskosten</x:v>
      </x:c>
    </x:row>
    <x:row r="1296" ht="14" customHeight="1">
      <x:c r="A1296" s="10" t="str">
        <x:v>2024-10-0518</x:v>
      </x:c>
      <x:c r="B1296" s="11" t="n">
        <x:v>45596</x:v>
      </x:c>
      <x:c r="C1296" s="10" t="n">
        <x:v>10</x:v>
      </x:c>
      <x:c r="D1296" s="10" t="str">
        <x:v>6740</x:v>
      </x:c>
      <x:c r="E1296" s="12" t="n">
        <x:v>13000</x:v>
      </x:c>
      <x:c r="F1296" s="12" t="n">
        <x:v>0</x:v>
      </x:c>
      <x:c r="G1296" s="10" t="str">
        <x:v>Ausgangsfrachten Inland Monatsjournal</x:v>
      </x:c>
      <x:c r="H1296" s="10" t="str">
        <x:v>Betriebskosten</x:v>
      </x:c>
    </x:row>
    <x:row r="1297" ht="14" customHeight="1">
      <x:c r="A1297" s="10" t="str">
        <x:v>2024-10-0518</x:v>
      </x:c>
      <x:c r="B1297" s="11" t="n">
        <x:v>45596</x:v>
      </x:c>
      <x:c r="C1297" s="10" t="n">
        <x:v>10</x:v>
      </x:c>
      <x:c r="D1297" s="10" t="str">
        <x:v>1406</x:v>
      </x:c>
      <x:c r="E1297" s="12" t="n">
        <x:v>2470</x:v>
      </x:c>
      <x:c r="F1297" s="12" t="n">
        <x:v>0</x:v>
      </x:c>
      <x:c r="G1297" s="10" t="str">
        <x:v>Ausgangsfrachten Inland Monatsjournal</x:v>
      </x:c>
      <x:c r="H1297" s="10" t="str">
        <x:v>Betriebskosten</x:v>
      </x:c>
    </x:row>
    <x:row r="1298" ht="14" customHeight="1">
      <x:c r="A1298" s="10" t="str">
        <x:v>2024-10-0518</x:v>
      </x:c>
      <x:c r="B1298" s="11" t="n">
        <x:v>45596</x:v>
      </x:c>
      <x:c r="C1298" s="10" t="n">
        <x:v>10</x:v>
      </x:c>
      <x:c r="D1298" s="10" t="str">
        <x:v>3300</x:v>
      </x:c>
      <x:c r="E1298" s="12" t="n">
        <x:v>0</x:v>
      </x:c>
      <x:c r="F1298" s="12" t="n">
        <x:v>15470</x:v>
      </x:c>
      <x:c r="G1298" s="10" t="str">
        <x:v>Ausgangsfrachten Inland Monatsjournal</x:v>
      </x:c>
      <x:c r="H1298" s="10" t="str">
        <x:v>Betriebskosten</x:v>
      </x:c>
    </x:row>
    <x:row r="1299" ht="14" customHeight="1">
      <x:c r="A1299" s="10" t="str">
        <x:v>2024-10-0519</x:v>
      </x:c>
      <x:c r="B1299" s="11" t="n">
        <x:v>45596</x:v>
      </x:c>
      <x:c r="C1299" s="10" t="n">
        <x:v>10</x:v>
      </x:c>
      <x:c r="D1299" s="10" t="str">
        <x:v>6741</x:v>
      </x:c>
      <x:c r="E1299" s="12" t="n">
        <x:v>14000</x:v>
      </x:c>
      <x:c r="F1299" s="12" t="n">
        <x:v>0</x:v>
      </x:c>
      <x:c r="G1299" s="10" t="str">
        <x:v>Ausgangsfrachten Ausland Monatsjournal</x:v>
      </x:c>
      <x:c r="H1299" s="10" t="str">
        <x:v>Betriebskosten</x:v>
      </x:c>
    </x:row>
    <x:row r="1300" ht="14" customHeight="1">
      <x:c r="A1300" s="10" t="str">
        <x:v>2024-10-0519</x:v>
      </x:c>
      <x:c r="B1300" s="11" t="n">
        <x:v>45596</x:v>
      </x:c>
      <x:c r="C1300" s="10" t="n">
        <x:v>10</x:v>
      </x:c>
      <x:c r="D1300" s="10" t="str">
        <x:v>1406</x:v>
      </x:c>
      <x:c r="E1300" s="12" t="n">
        <x:v>2660</x:v>
      </x:c>
      <x:c r="F1300" s="12" t="n">
        <x:v>0</x:v>
      </x:c>
      <x:c r="G1300" s="10" t="str">
        <x:v>Ausgangsfrachten Ausland Monatsjournal</x:v>
      </x:c>
      <x:c r="H1300" s="10" t="str">
        <x:v>Betriebskosten</x:v>
      </x:c>
    </x:row>
    <x:row r="1301" ht="14" customHeight="1">
      <x:c r="A1301" s="10" t="str">
        <x:v>2024-10-0519</x:v>
      </x:c>
      <x:c r="B1301" s="11" t="n">
        <x:v>45596</x:v>
      </x:c>
      <x:c r="C1301" s="10" t="n">
        <x:v>10</x:v>
      </x:c>
      <x:c r="D1301" s="10" t="str">
        <x:v>3300</x:v>
      </x:c>
      <x:c r="E1301" s="12" t="n">
        <x:v>0</x:v>
      </x:c>
      <x:c r="F1301" s="12" t="n">
        <x:v>16660</x:v>
      </x:c>
      <x:c r="G1301" s="10" t="str">
        <x:v>Ausgangsfrachten Ausland Monatsjournal</x:v>
      </x:c>
      <x:c r="H1301" s="10" t="str">
        <x:v>Betriebskosten</x:v>
      </x:c>
    </x:row>
    <x:row r="1302" ht="14" customHeight="1">
      <x:c r="A1302" s="10" t="str">
        <x:v>2024-10-0520</x:v>
      </x:c>
      <x:c r="B1302" s="11" t="n">
        <x:v>45596</x:v>
      </x:c>
      <x:c r="C1302" s="10" t="n">
        <x:v>10</x:v>
      </x:c>
      <x:c r="D1302" s="10" t="str">
        <x:v>6805</x:v>
      </x:c>
      <x:c r="E1302" s="12" t="n">
        <x:v>1500</x:v>
      </x:c>
      <x:c r="F1302" s="12" t="n">
        <x:v>0</x:v>
      </x:c>
      <x:c r="G1302" s="10" t="str">
        <x:v>Telekommunikation und IT Monatsjournal</x:v>
      </x:c>
      <x:c r="H1302" s="10" t="str">
        <x:v>Betriebskosten</x:v>
      </x:c>
    </x:row>
    <x:row r="1303" ht="14" customHeight="1">
      <x:c r="A1303" s="10" t="str">
        <x:v>2024-10-0520</x:v>
      </x:c>
      <x:c r="B1303" s="11" t="n">
        <x:v>45596</x:v>
      </x:c>
      <x:c r="C1303" s="10" t="n">
        <x:v>10</x:v>
      </x:c>
      <x:c r="D1303" s="10" t="str">
        <x:v>1406</x:v>
      </x:c>
      <x:c r="E1303" s="12" t="n">
        <x:v>285</x:v>
      </x:c>
      <x:c r="F1303" s="12" t="n">
        <x:v>0</x:v>
      </x:c>
      <x:c r="G1303" s="10" t="str">
        <x:v>Telekommunikation und IT Monatsjournal</x:v>
      </x:c>
      <x:c r="H1303" s="10" t="str">
        <x:v>Betriebskosten</x:v>
      </x:c>
    </x:row>
    <x:row r="1304" ht="14" customHeight="1">
      <x:c r="A1304" s="10" t="str">
        <x:v>2024-10-0520</x:v>
      </x:c>
      <x:c r="B1304" s="11" t="n">
        <x:v>45596</x:v>
      </x:c>
      <x:c r="C1304" s="10" t="n">
        <x:v>10</x:v>
      </x:c>
      <x:c r="D1304" s="10" t="str">
        <x:v>3300</x:v>
      </x:c>
      <x:c r="E1304" s="12" t="n">
        <x:v>0</x:v>
      </x:c>
      <x:c r="F1304" s="12" t="n">
        <x:v>1785</x:v>
      </x:c>
      <x:c r="G1304" s="10" t="str">
        <x:v>Telekommunikation und IT Monatsjournal</x:v>
      </x:c>
      <x:c r="H1304" s="10" t="str">
        <x:v>Betriebskosten</x:v>
      </x:c>
    </x:row>
    <x:row r="1305" ht="14" customHeight="1">
      <x:c r="A1305" s="10" t="str">
        <x:v>2024-10-0521</x:v>
      </x:c>
      <x:c r="B1305" s="11" t="n">
        <x:v>45596</x:v>
      </x:c>
      <x:c r="C1305" s="10" t="n">
        <x:v>10</x:v>
      </x:c>
      <x:c r="D1305" s="10" t="str">
        <x:v>6825</x:v>
      </x:c>
      <x:c r="E1305" s="12" t="n">
        <x:v>3000</x:v>
      </x:c>
      <x:c r="F1305" s="12" t="n">
        <x:v>0</x:v>
      </x:c>
      <x:c r="G1305" s="10" t="str">
        <x:v>Rechtsberatung und Buchführung Monatsjournal</x:v>
      </x:c>
      <x:c r="H1305" s="10" t="str">
        <x:v>Betriebskosten</x:v>
      </x:c>
    </x:row>
    <x:row r="1306" ht="14" customHeight="1">
      <x:c r="A1306" s="10" t="str">
        <x:v>2024-10-0521</x:v>
      </x:c>
      <x:c r="B1306" s="11" t="n">
        <x:v>45596</x:v>
      </x:c>
      <x:c r="C1306" s="10" t="n">
        <x:v>10</x:v>
      </x:c>
      <x:c r="D1306" s="10" t="str">
        <x:v>1406</x:v>
      </x:c>
      <x:c r="E1306" s="12" t="n">
        <x:v>570</x:v>
      </x:c>
      <x:c r="F1306" s="12" t="n">
        <x:v>0</x:v>
      </x:c>
      <x:c r="G1306" s="10" t="str">
        <x:v>Rechtsberatung und Buchführung Monatsjournal</x:v>
      </x:c>
      <x:c r="H1306" s="10" t="str">
        <x:v>Betriebskosten</x:v>
      </x:c>
    </x:row>
    <x:row r="1307" ht="14" customHeight="1">
      <x:c r="A1307" s="10" t="str">
        <x:v>2024-10-0521</x:v>
      </x:c>
      <x:c r="B1307" s="11" t="n">
        <x:v>45596</x:v>
      </x:c>
      <x:c r="C1307" s="10" t="n">
        <x:v>10</x:v>
      </x:c>
      <x:c r="D1307" s="10" t="str">
        <x:v>3300</x:v>
      </x:c>
      <x:c r="E1307" s="12" t="n">
        <x:v>0</x:v>
      </x:c>
      <x:c r="F1307" s="12" t="n">
        <x:v>3570</x:v>
      </x:c>
      <x:c r="G1307" s="10" t="str">
        <x:v>Rechtsberatung und Buchführung Monatsjournal</x:v>
      </x:c>
      <x:c r="H1307" s="10" t="str">
        <x:v>Betriebskosten</x:v>
      </x:c>
    </x:row>
    <x:row r="1308" ht="14" customHeight="1">
      <x:c r="A1308" s="10" t="str">
        <x:v>2024-10-0522</x:v>
      </x:c>
      <x:c r="B1308" s="11" t="n">
        <x:v>45596</x:v>
      </x:c>
      <x:c r="C1308" s="10" t="n">
        <x:v>10</x:v>
      </x:c>
      <x:c r="D1308" s="10" t="str">
        <x:v>6830</x:v>
      </x:c>
      <x:c r="E1308" s="12" t="n">
        <x:v>3500</x:v>
      </x:c>
      <x:c r="F1308" s="12" t="n">
        <x:v>0</x:v>
      </x:c>
      <x:c r="G1308" s="10" t="str">
        <x:v>Labor und Qualitätssicherung Monatsjournal</x:v>
      </x:c>
      <x:c r="H1308" s="10" t="str">
        <x:v>Betriebskosten</x:v>
      </x:c>
    </x:row>
    <x:row r="1309" ht="14" customHeight="1">
      <x:c r="A1309" s="10" t="str">
        <x:v>2024-10-0522</x:v>
      </x:c>
      <x:c r="B1309" s="11" t="n">
        <x:v>45596</x:v>
      </x:c>
      <x:c r="C1309" s="10" t="n">
        <x:v>10</x:v>
      </x:c>
      <x:c r="D1309" s="10" t="str">
        <x:v>1406</x:v>
      </x:c>
      <x:c r="E1309" s="12" t="n">
        <x:v>665</x:v>
      </x:c>
      <x:c r="F1309" s="12" t="n">
        <x:v>0</x:v>
      </x:c>
      <x:c r="G1309" s="10" t="str">
        <x:v>Labor und Qualitätssicherung Monatsjournal</x:v>
      </x:c>
      <x:c r="H1309" s="10" t="str">
        <x:v>Betriebskosten</x:v>
      </x:c>
    </x:row>
    <x:row r="1310" ht="14" customHeight="1">
      <x:c r="A1310" s="10" t="str">
        <x:v>2024-10-0522</x:v>
      </x:c>
      <x:c r="B1310" s="11" t="n">
        <x:v>45596</x:v>
      </x:c>
      <x:c r="C1310" s="10" t="n">
        <x:v>10</x:v>
      </x:c>
      <x:c r="D1310" s="10" t="str">
        <x:v>3300</x:v>
      </x:c>
      <x:c r="E1310" s="12" t="n">
        <x:v>0</x:v>
      </x:c>
      <x:c r="F1310" s="12" t="n">
        <x:v>4165</x:v>
      </x:c>
      <x:c r="G1310" s="10" t="str">
        <x:v>Labor und Qualitätssicherung Monatsjournal</x:v>
      </x:c>
      <x:c r="H1310" s="10" t="str">
        <x:v>Betriebskosten</x:v>
      </x:c>
    </x:row>
    <x:row r="1311" ht="14" customHeight="1">
      <x:c r="A1311" s="10" t="str">
        <x:v>2024-10-0523</x:v>
      </x:c>
      <x:c r="B1311" s="11" t="n">
        <x:v>45596</x:v>
      </x:c>
      <x:c r="C1311" s="10" t="n">
        <x:v>10</x:v>
      </x:c>
      <x:c r="D1311" s="10" t="str">
        <x:v>6850</x:v>
      </x:c>
      <x:c r="E1311" s="12" t="n">
        <x:v>2000</x:v>
      </x:c>
      <x:c r="F1311" s="12" t="n">
        <x:v>0</x:v>
      </x:c>
      <x:c r="G1311" s="10" t="str">
        <x:v>Bürobedarf und übriger Aufwand Monatsjournal</x:v>
      </x:c>
      <x:c r="H1311" s="10" t="str">
        <x:v>Betriebskosten</x:v>
      </x:c>
    </x:row>
    <x:row r="1312" ht="14" customHeight="1">
      <x:c r="A1312" s="10" t="str">
        <x:v>2024-10-0523</x:v>
      </x:c>
      <x:c r="B1312" s="11" t="n">
        <x:v>45596</x:v>
      </x:c>
      <x:c r="C1312" s="10" t="n">
        <x:v>10</x:v>
      </x:c>
      <x:c r="D1312" s="10" t="str">
        <x:v>1406</x:v>
      </x:c>
      <x:c r="E1312" s="12" t="n">
        <x:v>380</x:v>
      </x:c>
      <x:c r="F1312" s="12" t="n">
        <x:v>0</x:v>
      </x:c>
      <x:c r="G1312" s="10" t="str">
        <x:v>Bürobedarf und übriger Aufwand Monatsjournal</x:v>
      </x:c>
      <x:c r="H1312" s="10" t="str">
        <x:v>Betriebskosten</x:v>
      </x:c>
    </x:row>
    <x:row r="1313" ht="14" customHeight="1">
      <x:c r="A1313" s="10" t="str">
        <x:v>2024-10-0523</x:v>
      </x:c>
      <x:c r="B1313" s="11" t="n">
        <x:v>45596</x:v>
      </x:c>
      <x:c r="C1313" s="10" t="n">
        <x:v>10</x:v>
      </x:c>
      <x:c r="D1313" s="10" t="str">
        <x:v>3300</x:v>
      </x:c>
      <x:c r="E1313" s="12" t="n">
        <x:v>0</x:v>
      </x:c>
      <x:c r="F1313" s="12" t="n">
        <x:v>2380</x:v>
      </x:c>
      <x:c r="G1313" s="10" t="str">
        <x:v>Bürobedarf und übriger Aufwand Monatsjournal</x:v>
      </x:c>
      <x:c r="H1313" s="10" t="str">
        <x:v>Betriebskosten</x:v>
      </x:c>
    </x:row>
    <x:row r="1314" ht="14" customHeight="1">
      <x:c r="A1314" s="10" t="str">
        <x:v>2024-10-0524</x:v>
      </x:c>
      <x:c r="B1314" s="11" t="n">
        <x:v>45596</x:v>
      </x:c>
      <x:c r="C1314" s="10" t="n">
        <x:v>10</x:v>
      </x:c>
      <x:c r="D1314" s="10" t="str">
        <x:v>6859</x:v>
      </x:c>
      <x:c r="E1314" s="12" t="n">
        <x:v>500</x:v>
      </x:c>
      <x:c r="F1314" s="12" t="n">
        <x:v>0</x:v>
      </x:c>
      <x:c r="G1314" s="10" t="str">
        <x:v>Bankgebühren Monatsjournal</x:v>
      </x:c>
      <x:c r="H1314" s="10" t="str">
        <x:v>Betriebskosten</x:v>
      </x:c>
    </x:row>
    <x:row r="1315" ht="14" customHeight="1">
      <x:c r="A1315" s="10" t="str">
        <x:v>2024-10-0524</x:v>
      </x:c>
      <x:c r="B1315" s="11" t="n">
        <x:v>45596</x:v>
      </x:c>
      <x:c r="C1315" s="10" t="n">
        <x:v>10</x:v>
      </x:c>
      <x:c r="D1315" s="10" t="str">
        <x:v>3300</x:v>
      </x:c>
      <x:c r="E1315" s="12" t="n">
        <x:v>0</x:v>
      </x:c>
      <x:c r="F1315" s="12" t="n">
        <x:v>500</x:v>
      </x:c>
      <x:c r="G1315" s="10" t="str">
        <x:v>Bankgebühren Monatsjournal</x:v>
      </x:c>
      <x:c r="H1315" s="10" t="str">
        <x:v>Betriebskosten</x:v>
      </x:c>
    </x:row>
    <x:row r="1316" ht="14" customHeight="1">
      <x:c r="A1316" s="10" t="str">
        <x:v>2024-10-0525</x:v>
      </x:c>
      <x:c r="B1316" s="11" t="n">
        <x:v>45570</x:v>
      </x:c>
      <x:c r="C1316" s="10" t="n">
        <x:v>10</x:v>
      </x:c>
      <x:c r="D1316" s="10" t="str">
        <x:v>1600</x:v>
      </x:c>
      <x:c r="E1316" s="12" t="n">
        <x:v>300</x:v>
      </x:c>
      <x:c r="F1316" s="12" t="n">
        <x:v>0</x:v>
      </x:c>
      <x:c r="G1316" s="10" t="str">
        <x:v>Kassenvorschuss Reisekosten</x:v>
      </x:c>
      <x:c r="H1316" s="10" t="str">
        <x:v>Kassenumbuchung</x:v>
      </x:c>
    </x:row>
    <x:row r="1317" ht="14" customHeight="1">
      <x:c r="A1317" s="10" t="str">
        <x:v>2024-10-0525</x:v>
      </x:c>
      <x:c r="B1317" s="11" t="n">
        <x:v>45570</x:v>
      </x:c>
      <x:c r="C1317" s="10" t="n">
        <x:v>10</x:v>
      </x:c>
      <x:c r="D1317" s="10" t="str">
        <x:v>1800</x:v>
      </x:c>
      <x:c r="E1317" s="12" t="n">
        <x:v>0</x:v>
      </x:c>
      <x:c r="F1317" s="12" t="n">
        <x:v>300</x:v>
      </x:c>
      <x:c r="G1317" s="10" t="str">
        <x:v>Kassenvorschuss Reisekosten</x:v>
      </x:c>
      <x:c r="H1317" s="10" t="str">
        <x:v>Kassenumbuchung</x:v>
      </x:c>
    </x:row>
    <x:row r="1318" ht="14" customHeight="1">
      <x:c r="A1318" s="10" t="str">
        <x:v>2024-10-0526</x:v>
      </x:c>
      <x:c r="B1318" s="11" t="n">
        <x:v>45596</x:v>
      </x:c>
      <x:c r="C1318" s="10" t="n">
        <x:v>10</x:v>
      </x:c>
      <x:c r="D1318" s="10" t="str">
        <x:v>6220</x:v>
      </x:c>
      <x:c r="E1318" s="12" t="n">
        <x:v>500</x:v>
      </x:c>
      <x:c r="F1318" s="12" t="n">
        <x:v>0</x:v>
      </x:c>
      <x:c r="G1318" s="10" t="str">
        <x:v>Software Monatsabschreibung</x:v>
      </x:c>
      <x:c r="H1318" s="10" t="str">
        <x:v>Abschreibung</x:v>
      </x:c>
    </x:row>
    <x:row r="1319" ht="14" customHeight="1">
      <x:c r="A1319" s="10" t="str">
        <x:v>2024-10-0526</x:v>
      </x:c>
      <x:c r="B1319" s="11" t="n">
        <x:v>45596</x:v>
      </x:c>
      <x:c r="C1319" s="10" t="n">
        <x:v>10</x:v>
      </x:c>
      <x:c r="D1319" s="10" t="str">
        <x:v>0100</x:v>
      </x:c>
      <x:c r="E1319" s="12" t="n">
        <x:v>0</x:v>
      </x:c>
      <x:c r="F1319" s="12" t="n">
        <x:v>500</x:v>
      </x:c>
      <x:c r="G1319" s="10" t="str">
        <x:v>Software Monatsabschreibung</x:v>
      </x:c>
      <x:c r="H1319" s="10" t="str">
        <x:v>Abschreibung</x:v>
      </x:c>
    </x:row>
    <x:row r="1320" ht="14" customHeight="1">
      <x:c r="A1320" s="10" t="str">
        <x:v>2024-10-0527</x:v>
      </x:c>
      <x:c r="B1320" s="11" t="n">
        <x:v>45596</x:v>
      </x:c>
      <x:c r="C1320" s="10" t="n">
        <x:v>10</x:v>
      </x:c>
      <x:c r="D1320" s="10" t="str">
        <x:v>6220</x:v>
      </x:c>
      <x:c r="E1320" s="12" t="n">
        <x:v>2500</x:v>
      </x:c>
      <x:c r="F1320" s="12" t="n">
        <x:v>0</x:v>
      </x:c>
      <x:c r="G1320" s="10" t="str">
        <x:v>Lagereinbauten Erlangen Monatsabschreibung</x:v>
      </x:c>
      <x:c r="H1320" s="10" t="str">
        <x:v>Abschreibung</x:v>
      </x:c>
    </x:row>
    <x:row r="1321" ht="14" customHeight="1">
      <x:c r="A1321" s="10" t="str">
        <x:v>2024-10-0527</x:v>
      </x:c>
      <x:c r="B1321" s="11" t="n">
        <x:v>45596</x:v>
      </x:c>
      <x:c r="C1321" s="10" t="n">
        <x:v>10</x:v>
      </x:c>
      <x:c r="D1321" s="10" t="str">
        <x:v>0400</x:v>
      </x:c>
      <x:c r="E1321" s="12" t="n">
        <x:v>0</x:v>
      </x:c>
      <x:c r="F1321" s="12" t="n">
        <x:v>2500</x:v>
      </x:c>
      <x:c r="G1321" s="10" t="str">
        <x:v>Lagereinbauten Erlangen Monatsabschreibung</x:v>
      </x:c>
      <x:c r="H1321" s="10" t="str">
        <x:v>Abschreibung</x:v>
      </x:c>
    </x:row>
    <x:row r="1322" ht="14" customHeight="1">
      <x:c r="A1322" s="10" t="str">
        <x:v>2024-10-0528</x:v>
      </x:c>
      <x:c r="B1322" s="11" t="n">
        <x:v>45596</x:v>
      </x:c>
      <x:c r="C1322" s="10" t="n">
        <x:v>10</x:v>
      </x:c>
      <x:c r="D1322" s="10" t="str">
        <x:v>6220</x:v>
      </x:c>
      <x:c r="E1322" s="12" t="n">
        <x:v>1500</x:v>
      </x:c>
      <x:c r="F1322" s="12" t="n">
        <x:v>0</x:v>
      </x:c>
      <x:c r="G1322" s="10" t="str">
        <x:v>Flurförderzeuge Monatsabschreibung</x:v>
      </x:c>
      <x:c r="H1322" s="10" t="str">
        <x:v>Abschreibung</x:v>
      </x:c>
    </x:row>
    <x:row r="1323" ht="14" customHeight="1">
      <x:c r="A1323" s="10" t="str">
        <x:v>2024-10-0528</x:v>
      </x:c>
      <x:c r="B1323" s="11" t="n">
        <x:v>45596</x:v>
      </x:c>
      <x:c r="C1323" s="10" t="n">
        <x:v>10</x:v>
      </x:c>
      <x:c r="D1323" s="10" t="str">
        <x:v>0520</x:v>
      </x:c>
      <x:c r="E1323" s="12" t="n">
        <x:v>0</x:v>
      </x:c>
      <x:c r="F1323" s="12" t="n">
        <x:v>1500</x:v>
      </x:c>
      <x:c r="G1323" s="10" t="str">
        <x:v>Flurförderzeuge Monatsabschreibung</x:v>
      </x:c>
      <x:c r="H1323" s="10" t="str">
        <x:v>Abschreibung</x:v>
      </x:c>
    </x:row>
    <x:row r="1324" ht="14" customHeight="1">
      <x:c r="A1324" s="10" t="str">
        <x:v>2024-10-0529</x:v>
      </x:c>
      <x:c r="B1324" s="11" t="n">
        <x:v>45596</x:v>
      </x:c>
      <x:c r="C1324" s="10" t="n">
        <x:v>10</x:v>
      </x:c>
      <x:c r="D1324" s="10" t="str">
        <x:v>6220</x:v>
      </x:c>
      <x:c r="E1324" s="12" t="n">
        <x:v>2000</x:v>
      </x:c>
      <x:c r="F1324" s="12" t="n">
        <x:v>0</x:v>
      </x:c>
      <x:c r="G1324" s="10" t="str">
        <x:v>IT und Kommunikation Monatsabschreibung</x:v>
      </x:c>
      <x:c r="H1324" s="10" t="str">
        <x:v>Abschreibung</x:v>
      </x:c>
    </x:row>
    <x:row r="1325" ht="14" customHeight="1">
      <x:c r="A1325" s="10" t="str">
        <x:v>2024-10-0529</x:v>
      </x:c>
      <x:c r="B1325" s="11" t="n">
        <x:v>45596</x:v>
      </x:c>
      <x:c r="C1325" s="10" t="n">
        <x:v>10</x:v>
      </x:c>
      <x:c r="D1325" s="10" t="str">
        <x:v>0650</x:v>
      </x:c>
      <x:c r="E1325" s="12" t="n">
        <x:v>0</x:v>
      </x:c>
      <x:c r="F1325" s="12" t="n">
        <x:v>2000</x:v>
      </x:c>
      <x:c r="G1325" s="10" t="str">
        <x:v>IT und Kommunikation Monatsabschreibung</x:v>
      </x:c>
      <x:c r="H1325" s="10" t="str">
        <x:v>Abschreibung</x:v>
      </x:c>
    </x:row>
    <x:row r="1326" ht="14" customHeight="1">
      <x:c r="A1326" s="10" t="str">
        <x:v>2024-10-0530</x:v>
      </x:c>
      <x:c r="B1326" s="11" t="n">
        <x:v>45596</x:v>
      </x:c>
      <x:c r="C1326" s="10" t="n">
        <x:v>10</x:v>
      </x:c>
      <x:c r="D1326" s="10" t="str">
        <x:v>6220</x:v>
      </x:c>
      <x:c r="E1326" s="12" t="n">
        <x:v>1000</x:v>
      </x:c>
      <x:c r="F1326" s="12" t="n">
        <x:v>0</x:v>
      </x:c>
      <x:c r="G1326" s="10" t="str">
        <x:v>Büroausstattung Monatsabschreibung</x:v>
      </x:c>
      <x:c r="H1326" s="10" t="str">
        <x:v>Abschreibung</x:v>
      </x:c>
    </x:row>
    <x:row r="1327" ht="14" customHeight="1">
      <x:c r="A1327" s="10" t="str">
        <x:v>2024-10-0530</x:v>
      </x:c>
      <x:c r="B1327" s="11" t="n">
        <x:v>45596</x:v>
      </x:c>
      <x:c r="C1327" s="10" t="n">
        <x:v>10</x:v>
      </x:c>
      <x:c r="D1327" s="10" t="str">
        <x:v>0670</x:v>
      </x:c>
      <x:c r="E1327" s="12" t="n">
        <x:v>0</x:v>
      </x:c>
      <x:c r="F1327" s="12" t="n">
        <x:v>1000</x:v>
      </x:c>
      <x:c r="G1327" s="10" t="str">
        <x:v>Büroausstattung Monatsabschreibung</x:v>
      </x:c>
      <x:c r="H1327" s="10" t="str">
        <x:v>Abschreibung</x:v>
      </x:c>
    </x:row>
    <x:row r="1328" ht="14" customHeight="1">
      <x:c r="A1328" s="10" t="str">
        <x:v>2024-10-0531</x:v>
      </x:c>
      <x:c r="B1328" s="11" t="n">
        <x:v>45595</x:v>
      </x:c>
      <x:c r="C1328" s="10" t="n">
        <x:v>10</x:v>
      </x:c>
      <x:c r="D1328" s="10" t="str">
        <x:v>3150</x:v>
      </x:c>
      <x:c r="E1328" s="12" t="n">
        <x:v>10000</x:v>
      </x:c>
      <x:c r="F1328" s="12" t="n">
        <x:v>0</x:v>
      </x:c>
      <x:c r="G1328" s="10" t="str">
        <x:v>Investitionsdarlehen Tilgungsrate</x:v>
      </x:c>
      <x:c r="H1328" s="10" t="str">
        <x:v>Tilgung</x:v>
      </x:c>
    </x:row>
    <x:row r="1329" ht="14" customHeight="1">
      <x:c r="A1329" s="10" t="str">
        <x:v>2024-10-0531</x:v>
      </x:c>
      <x:c r="B1329" s="11" t="n">
        <x:v>45595</x:v>
      </x:c>
      <x:c r="C1329" s="10" t="n">
        <x:v>10</x:v>
      </x:c>
      <x:c r="D1329" s="10" t="str">
        <x:v>1800</x:v>
      </x:c>
      <x:c r="E1329" s="12" t="n">
        <x:v>0</x:v>
      </x:c>
      <x:c r="F1329" s="12" t="n">
        <x:v>10000</x:v>
      </x:c>
      <x:c r="G1329" s="10" t="str">
        <x:v>Investitionsdarlehen Tilgungsrate</x:v>
      </x:c>
      <x:c r="H1329" s="10" t="str">
        <x:v>Tilgung</x:v>
      </x:c>
    </x:row>
    <x:row r="1330" ht="14" customHeight="1">
      <x:c r="A1330" s="10" t="str">
        <x:v>2024-10-0532</x:v>
      </x:c>
      <x:c r="B1330" s="11" t="n">
        <x:v>45596</x:v>
      </x:c>
      <x:c r="C1330" s="10" t="n">
        <x:v>10</x:v>
      </x:c>
      <x:c r="D1330" s="10" t="str">
        <x:v>7300</x:v>
      </x:c>
      <x:c r="E1330" s="12" t="n">
        <x:v>2500</x:v>
      </x:c>
      <x:c r="F1330" s="12" t="n">
        <x:v>0</x:v>
      </x:c>
      <x:c r="G1330" s="10" t="str">
        <x:v>Investitionsdarlehen Zinsabrechnung</x:v>
      </x:c>
      <x:c r="H1330" s="10" t="str">
        <x:v>Zinsen</x:v>
      </x:c>
    </x:row>
    <x:row r="1331" ht="14" customHeight="1">
      <x:c r="A1331" s="10" t="str">
        <x:v>2024-10-0532</x:v>
      </x:c>
      <x:c r="B1331" s="11" t="n">
        <x:v>45596</x:v>
      </x:c>
      <x:c r="C1331" s="10" t="n">
        <x:v>10</x:v>
      </x:c>
      <x:c r="D1331" s="10" t="str">
        <x:v>1800</x:v>
      </x:c>
      <x:c r="E1331" s="12" t="n">
        <x:v>0</x:v>
      </x:c>
      <x:c r="F1331" s="12" t="n">
        <x:v>2500</x:v>
      </x:c>
      <x:c r="G1331" s="10" t="str">
        <x:v>Investitionsdarlehen Zinsabrechnung</x:v>
      </x:c>
      <x:c r="H1331" s="10" t="str">
        <x:v>Zinsen</x:v>
      </x:c>
    </x:row>
    <x:row r="1332" ht="14" customHeight="1">
      <x:c r="A1332" s="10" t="str">
        <x:v>2024-10-0533</x:v>
      </x:c>
      <x:c r="B1332" s="11" t="n">
        <x:v>45596</x:v>
      </x:c>
      <x:c r="C1332" s="10" t="n">
        <x:v>10</x:v>
      </x:c>
      <x:c r="D1332" s="10" t="str">
        <x:v>7310</x:v>
      </x:c>
      <x:c r="E1332" s="12" t="n">
        <x:v>1000</x:v>
      </x:c>
      <x:c r="F1332" s="12" t="n">
        <x:v>0</x:v>
      </x:c>
      <x:c r="G1332" s="10" t="str">
        <x:v>Kontokorrent Zinsen und Bereitstellung</x:v>
      </x:c>
      <x:c r="H1332" s="10" t="str">
        <x:v>Zinsen</x:v>
      </x:c>
    </x:row>
    <x:row r="1333" ht="14" customHeight="1">
      <x:c r="A1333" s="10" t="str">
        <x:v>2024-10-0533</x:v>
      </x:c>
      <x:c r="B1333" s="11" t="n">
        <x:v>45596</x:v>
      </x:c>
      <x:c r="C1333" s="10" t="n">
        <x:v>10</x:v>
      </x:c>
      <x:c r="D1333" s="10" t="str">
        <x:v>1800</x:v>
      </x:c>
      <x:c r="E1333" s="12" t="n">
        <x:v>0</x:v>
      </x:c>
      <x:c r="F1333" s="12" t="n">
        <x:v>1000</x:v>
      </x:c>
      <x:c r="G1333" s="10" t="str">
        <x:v>Kontokorrent Zinsen und Bereitstellung</x:v>
      </x:c>
      <x:c r="H1333" s="10" t="str">
        <x:v>Zinsen</x:v>
      </x:c>
    </x:row>
    <x:row r="1334" ht="14" customHeight="1">
      <x:c r="A1334" s="10" t="str">
        <x:v>2024-10-0534</x:v>
      </x:c>
      <x:c r="B1334" s="11" t="n">
        <x:v>45596</x:v>
      </x:c>
      <x:c r="C1334" s="10" t="n">
        <x:v>10</x:v>
      </x:c>
      <x:c r="D1334" s="10" t="str">
        <x:v>1800</x:v>
      </x:c>
      <x:c r="E1334" s="12" t="n">
        <x:v>695269</x:v>
      </x:c>
      <x:c r="F1334" s="12" t="n">
        <x:v>0</x:v>
      </x:c>
      <x:c r="G1334" s="10" t="str">
        <x:v>Bankjournal Kundeneingänge brutto</x:v>
      </x:c>
      <x:c r="H1334" s="10" t="str">
        <x:v>Kundenzahlungen</x:v>
      </x:c>
    </x:row>
    <x:row r="1335" ht="14" customHeight="1">
      <x:c r="A1335" s="10" t="str">
        <x:v>2024-10-0534</x:v>
      </x:c>
      <x:c r="B1335" s="11" t="n">
        <x:v>45596</x:v>
      </x:c>
      <x:c r="C1335" s="10" t="n">
        <x:v>10</x:v>
      </x:c>
      <x:c r="D1335" s="10" t="str">
        <x:v>1200</x:v>
      </x:c>
      <x:c r="E1335" s="12" t="n">
        <x:v>0</x:v>
      </x:c>
      <x:c r="F1335" s="12" t="n">
        <x:v>695269</x:v>
      </x:c>
      <x:c r="G1335" s="10" t="str">
        <x:v>Bankjournal Kundeneingänge brutto</x:v>
      </x:c>
      <x:c r="H1335" s="10" t="str">
        <x:v>Kundenzahlungen</x:v>
      </x:c>
    </x:row>
    <x:row r="1336" ht="14" customHeight="1">
      <x:c r="A1336" s="10" t="str">
        <x:v>2024-10-0535</x:v>
      </x:c>
      <x:c r="B1336" s="11" t="n">
        <x:v>45596</x:v>
      </x:c>
      <x:c r="C1336" s="10" t="n">
        <x:v>10</x:v>
      </x:c>
      <x:c r="D1336" s="10" t="str">
        <x:v>3300</x:v>
      </x:c>
      <x:c r="E1336" s="12" t="n">
        <x:v>553011.38</x:v>
      </x:c>
      <x:c r="F1336" s="12" t="n">
        <x:v>0</x:v>
      </x:c>
      <x:c r="G1336" s="10" t="str">
        <x:v>Bankjournal Lieferantenzahlungen brutto</x:v>
      </x:c>
      <x:c r="H1336" s="10" t="str">
        <x:v>Lieferantenzahlungen</x:v>
      </x:c>
    </x:row>
    <x:row r="1337" ht="14" customHeight="1">
      <x:c r="A1337" s="10" t="str">
        <x:v>2024-10-0535</x:v>
      </x:c>
      <x:c r="B1337" s="11" t="n">
        <x:v>45596</x:v>
      </x:c>
      <x:c r="C1337" s="10" t="n">
        <x:v>10</x:v>
      </x:c>
      <x:c r="D1337" s="10" t="str">
        <x:v>1800</x:v>
      </x:c>
      <x:c r="E1337" s="12" t="n">
        <x:v>0</x:v>
      </x:c>
      <x:c r="F1337" s="12" t="n">
        <x:v>553011.38</x:v>
      </x:c>
      <x:c r="G1337" s="10" t="str">
        <x:v>Bankjournal Lieferantenzahlungen brutto</x:v>
      </x:c>
      <x:c r="H1337" s="10" t="str">
        <x:v>Lieferantenzahlungen</x:v>
      </x:c>
    </x:row>
    <x:row r="1338" ht="14" customHeight="1">
      <x:c r="A1338" s="10" t="str">
        <x:v>2024-10-0536</x:v>
      </x:c>
      <x:c r="B1338" s="11" t="n">
        <x:v>45596</x:v>
      </x:c>
      <x:c r="C1338" s="10" t="n">
        <x:v>10</x:v>
      </x:c>
      <x:c r="D1338" s="10" t="str">
        <x:v>1401</x:v>
      </x:c>
      <x:c r="E1338" s="12" t="n">
        <x:v>0</x:v>
      </x:c>
      <x:c r="F1338" s="12" t="n">
        <x:v>12667.59</x:v>
      </x:c>
      <x:c r="G1338" s="10" t="str">
        <x:v>Umsatzsteuer Monatsumbuchung 1401</x:v>
      </x:c>
      <x:c r="H1338" s="10" t="str">
        <x:v>Steuerverrechnung</x:v>
      </x:c>
    </x:row>
    <x:row r="1339" ht="14" customHeight="1">
      <x:c r="A1339" s="10" t="str">
        <x:v>2024-10-0536</x:v>
      </x:c>
      <x:c r="B1339" s="11" t="n">
        <x:v>45596</x:v>
      </x:c>
      <x:c r="C1339" s="10" t="n">
        <x:v>10</x:v>
      </x:c>
      <x:c r="D1339" s="10" t="str">
        <x:v>3820</x:v>
      </x:c>
      <x:c r="E1339" s="12" t="n">
        <x:v>12667.59</x:v>
      </x:c>
      <x:c r="F1339" s="12" t="n">
        <x:v>0</x:v>
      </x:c>
      <x:c r="G1339" s="10" t="str">
        <x:v>Umsatzsteuer Monatsumbuchung 1401</x:v>
      </x:c>
      <x:c r="H1339" s="10" t="str">
        <x:v>Steuerverrechnung</x:v>
      </x:c>
    </x:row>
    <x:row r="1340" ht="14" customHeight="1">
      <x:c r="A1340" s="10" t="str">
        <x:v>2024-10-0537</x:v>
      </x:c>
      <x:c r="B1340" s="11" t="n">
        <x:v>45596</x:v>
      </x:c>
      <x:c r="C1340" s="10" t="n">
        <x:v>10</x:v>
      </x:c>
      <x:c r="D1340" s="10" t="str">
        <x:v>1406</x:v>
      </x:c>
      <x:c r="E1340" s="12" t="n">
        <x:v>0</x:v>
      </x:c>
      <x:c r="F1340" s="12" t="n">
        <x:v>19918.79</x:v>
      </x:c>
      <x:c r="G1340" s="10" t="str">
        <x:v>Umsatzsteuer Monatsumbuchung 1406</x:v>
      </x:c>
      <x:c r="H1340" s="10" t="str">
        <x:v>Steuerverrechnung</x:v>
      </x:c>
    </x:row>
    <x:row r="1341" ht="14" customHeight="1">
      <x:c r="A1341" s="10" t="str">
        <x:v>2024-10-0537</x:v>
      </x:c>
      <x:c r="B1341" s="11" t="n">
        <x:v>45596</x:v>
      </x:c>
      <x:c r="C1341" s="10" t="n">
        <x:v>10</x:v>
      </x:c>
      <x:c r="D1341" s="10" t="str">
        <x:v>3820</x:v>
      </x:c>
      <x:c r="E1341" s="12" t="n">
        <x:v>19918.79</x:v>
      </x:c>
      <x:c r="F1341" s="12" t="n">
        <x:v>0</x:v>
      </x:c>
      <x:c r="G1341" s="10" t="str">
        <x:v>Umsatzsteuer Monatsumbuchung 1406</x:v>
      </x:c>
      <x:c r="H1341" s="10" t="str">
        <x:v>Steuerverrechnung</x:v>
      </x:c>
    </x:row>
    <x:row r="1342" ht="14" customHeight="1">
      <x:c r="A1342" s="10" t="str">
        <x:v>2024-10-0538</x:v>
      </x:c>
      <x:c r="B1342" s="11" t="n">
        <x:v>45596</x:v>
      </x:c>
      <x:c r="C1342" s="10" t="n">
        <x:v>10</x:v>
      </x:c>
      <x:c r="D1342" s="10" t="str">
        <x:v>1404</x:v>
      </x:c>
      <x:c r="E1342" s="12" t="n">
        <x:v>0</x:v>
      </x:c>
      <x:c r="F1342" s="12" t="n">
        <x:v>6667.15</x:v>
      </x:c>
      <x:c r="G1342" s="10" t="str">
        <x:v>Umsatzsteuer Monatsumbuchung 1404</x:v>
      </x:c>
      <x:c r="H1342" s="10" t="str">
        <x:v>Steuerverrechnung</x:v>
      </x:c>
    </x:row>
    <x:row r="1343" ht="14" customHeight="1">
      <x:c r="A1343" s="10" t="str">
        <x:v>2024-10-0538</x:v>
      </x:c>
      <x:c r="B1343" s="11" t="n">
        <x:v>45596</x:v>
      </x:c>
      <x:c r="C1343" s="10" t="n">
        <x:v>10</x:v>
      </x:c>
      <x:c r="D1343" s="10" t="str">
        <x:v>3820</x:v>
      </x:c>
      <x:c r="E1343" s="12" t="n">
        <x:v>6667.15</x:v>
      </x:c>
      <x:c r="F1343" s="12" t="n">
        <x:v>0</x:v>
      </x:c>
      <x:c r="G1343" s="10" t="str">
        <x:v>Umsatzsteuer Monatsumbuchung 1404</x:v>
      </x:c>
      <x:c r="H1343" s="10" t="str">
        <x:v>Steuerverrechnung</x:v>
      </x:c>
    </x:row>
    <x:row r="1344" ht="14" customHeight="1">
      <x:c r="A1344" s="10" t="str">
        <x:v>2024-10-0539</x:v>
      </x:c>
      <x:c r="B1344" s="11" t="n">
        <x:v>45596</x:v>
      </x:c>
      <x:c r="C1344" s="10" t="n">
        <x:v>10</x:v>
      </x:c>
      <x:c r="D1344" s="10" t="str">
        <x:v>1409</x:v>
      </x:c>
      <x:c r="E1344" s="12" t="n">
        <x:v>0</x:v>
      </x:c>
      <x:c r="F1344" s="12" t="n">
        <x:v>4524.14</x:v>
      </x:c>
      <x:c r="G1344" s="10" t="str">
        <x:v>Umsatzsteuer Monatsumbuchung 1409</x:v>
      </x:c>
      <x:c r="H1344" s="10" t="str">
        <x:v>Steuerverrechnung</x:v>
      </x:c>
    </x:row>
    <x:row r="1345" ht="14" customHeight="1">
      <x:c r="A1345" s="10" t="str">
        <x:v>2024-10-0539</x:v>
      </x:c>
      <x:c r="B1345" s="11" t="n">
        <x:v>45596</x:v>
      </x:c>
      <x:c r="C1345" s="10" t="n">
        <x:v>10</x:v>
      </x:c>
      <x:c r="D1345" s="10" t="str">
        <x:v>3820</x:v>
      </x:c>
      <x:c r="E1345" s="12" t="n">
        <x:v>4524.14</x:v>
      </x:c>
      <x:c r="F1345" s="12" t="n">
        <x:v>0</x:v>
      </x:c>
      <x:c r="G1345" s="10" t="str">
        <x:v>Umsatzsteuer Monatsumbuchung 1409</x:v>
      </x:c>
      <x:c r="H1345" s="10" t="str">
        <x:v>Steuerverrechnung</x:v>
      </x:c>
    </x:row>
    <x:row r="1346" ht="14" customHeight="1">
      <x:c r="A1346" s="10" t="str">
        <x:v>2024-10-0540</x:v>
      </x:c>
      <x:c r="B1346" s="11" t="n">
        <x:v>45596</x:v>
      </x:c>
      <x:c r="C1346" s="10" t="n">
        <x:v>10</x:v>
      </x:c>
      <x:c r="D1346" s="10" t="str">
        <x:v>1433</x:v>
      </x:c>
      <x:c r="E1346" s="12" t="n">
        <x:v>0</x:v>
      </x:c>
      <x:c r="F1346" s="12" t="n">
        <x:v>11715.13</x:v>
      </x:c>
      <x:c r="G1346" s="10" t="str">
        <x:v>Umsatzsteuer Monatsumbuchung 1433</x:v>
      </x:c>
      <x:c r="H1346" s="10" t="str">
        <x:v>Steuerverrechnung</x:v>
      </x:c>
    </x:row>
    <x:row r="1347" ht="14" customHeight="1">
      <x:c r="A1347" s="10" t="str">
        <x:v>2024-10-0540</x:v>
      </x:c>
      <x:c r="B1347" s="11" t="n">
        <x:v>45596</x:v>
      </x:c>
      <x:c r="C1347" s="10" t="n">
        <x:v>10</x:v>
      </x:c>
      <x:c r="D1347" s="10" t="str">
        <x:v>3820</x:v>
      </x:c>
      <x:c r="E1347" s="12" t="n">
        <x:v>11715.13</x:v>
      </x:c>
      <x:c r="F1347" s="12" t="n">
        <x:v>0</x:v>
      </x:c>
      <x:c r="G1347" s="10" t="str">
        <x:v>Umsatzsteuer Monatsumbuchung 1433</x:v>
      </x:c>
      <x:c r="H1347" s="10" t="str">
        <x:v>Steuerverrechnung</x:v>
      </x:c>
    </x:row>
    <x:row r="1348" ht="14" customHeight="1">
      <x:c r="A1348" s="10" t="str">
        <x:v>2024-10-0541</x:v>
      </x:c>
      <x:c r="B1348" s="11" t="n">
        <x:v>45596</x:v>
      </x:c>
      <x:c r="C1348" s="10" t="n">
        <x:v>10</x:v>
      </x:c>
      <x:c r="D1348" s="10" t="str">
        <x:v>3801</x:v>
      </x:c>
      <x:c r="E1348" s="12" t="n">
        <x:v>23037</x:v>
      </x:c>
      <x:c r="F1348" s="12" t="n">
        <x:v>0</x:v>
      </x:c>
      <x:c r="G1348" s="10" t="str">
        <x:v>Umsatzsteuer Monatsumbuchung 3801</x:v>
      </x:c>
      <x:c r="H1348" s="10" t="str">
        <x:v>Steuerverrechnung</x:v>
      </x:c>
    </x:row>
    <x:row r="1349" ht="14" customHeight="1">
      <x:c r="A1349" s="10" t="str">
        <x:v>2024-10-0541</x:v>
      </x:c>
      <x:c r="B1349" s="11" t="n">
        <x:v>45596</x:v>
      </x:c>
      <x:c r="C1349" s="10" t="n">
        <x:v>10</x:v>
      </x:c>
      <x:c r="D1349" s="10" t="str">
        <x:v>3820</x:v>
      </x:c>
      <x:c r="E1349" s="12" t="n">
        <x:v>0</x:v>
      </x:c>
      <x:c r="F1349" s="12" t="n">
        <x:v>23037</x:v>
      </x:c>
      <x:c r="G1349" s="10" t="str">
        <x:v>Umsatzsteuer Monatsumbuchung 3801</x:v>
      </x:c>
      <x:c r="H1349" s="10" t="str">
        <x:v>Steuerverrechnung</x:v>
      </x:c>
    </x:row>
    <x:row r="1350" ht="14" customHeight="1">
      <x:c r="A1350" s="10" t="str">
        <x:v>2024-10-0542</x:v>
      </x:c>
      <x:c r="B1350" s="11" t="n">
        <x:v>45596</x:v>
      </x:c>
      <x:c r="C1350" s="10" t="n">
        <x:v>10</x:v>
      </x:c>
      <x:c r="D1350" s="10" t="str">
        <x:v>3806</x:v>
      </x:c>
      <x:c r="E1350" s="12" t="n">
        <x:v>15732</x:v>
      </x:c>
      <x:c r="F1350" s="12" t="n">
        <x:v>0</x:v>
      </x:c>
      <x:c r="G1350" s="10" t="str">
        <x:v>Umsatzsteuer Monatsumbuchung 3806</x:v>
      </x:c>
      <x:c r="H1350" s="10" t="str">
        <x:v>Steuerverrechnung</x:v>
      </x:c>
    </x:row>
    <x:row r="1351" ht="14" customHeight="1">
      <x:c r="A1351" s="10" t="str">
        <x:v>2024-10-0542</x:v>
      </x:c>
      <x:c r="B1351" s="11" t="n">
        <x:v>45596</x:v>
      </x:c>
      <x:c r="C1351" s="10" t="n">
        <x:v>10</x:v>
      </x:c>
      <x:c r="D1351" s="10" t="str">
        <x:v>3820</x:v>
      </x:c>
      <x:c r="E1351" s="12" t="n">
        <x:v>0</x:v>
      </x:c>
      <x:c r="F1351" s="12" t="n">
        <x:v>15732</x:v>
      </x:c>
      <x:c r="G1351" s="10" t="str">
        <x:v>Umsatzsteuer Monatsumbuchung 3806</x:v>
      </x:c>
      <x:c r="H1351" s="10" t="str">
        <x:v>Steuerverrechnung</x:v>
      </x:c>
    </x:row>
    <x:row r="1352" ht="14" customHeight="1">
      <x:c r="A1352" s="10" t="str">
        <x:v>2024-10-0543</x:v>
      </x:c>
      <x:c r="B1352" s="11" t="n">
        <x:v>45596</x:v>
      </x:c>
      <x:c r="C1352" s="10" t="n">
        <x:v>10</x:v>
      </x:c>
      <x:c r="D1352" s="10" t="str">
        <x:v>3804</x:v>
      </x:c>
      <x:c r="E1352" s="12" t="n">
        <x:v>6667.15</x:v>
      </x:c>
      <x:c r="F1352" s="12" t="n">
        <x:v>0</x:v>
      </x:c>
      <x:c r="G1352" s="10" t="str">
        <x:v>Umsatzsteuer Monatsumbuchung 3804</x:v>
      </x:c>
      <x:c r="H1352" s="10" t="str">
        <x:v>Steuerverrechnung</x:v>
      </x:c>
    </x:row>
    <x:row r="1353" ht="14" customHeight="1">
      <x:c r="A1353" s="10" t="str">
        <x:v>2024-10-0543</x:v>
      </x:c>
      <x:c r="B1353" s="11" t="n">
        <x:v>45596</x:v>
      </x:c>
      <x:c r="C1353" s="10" t="n">
        <x:v>10</x:v>
      </x:c>
      <x:c r="D1353" s="10" t="str">
        <x:v>3820</x:v>
      </x:c>
      <x:c r="E1353" s="12" t="n">
        <x:v>0</x:v>
      </x:c>
      <x:c r="F1353" s="12" t="n">
        <x:v>6667.15</x:v>
      </x:c>
      <x:c r="G1353" s="10" t="str">
        <x:v>Umsatzsteuer Monatsumbuchung 3804</x:v>
      </x:c>
      <x:c r="H1353" s="10" t="str">
        <x:v>Steuerverrechnung</x:v>
      </x:c>
    </x:row>
    <x:row r="1354" ht="14" customHeight="1">
      <x:c r="A1354" s="10" t="str">
        <x:v>2024-10-0544</x:v>
      </x:c>
      <x:c r="B1354" s="11" t="n">
        <x:v>45596</x:v>
      </x:c>
      <x:c r="C1354" s="10" t="n">
        <x:v>10</x:v>
      </x:c>
      <x:c r="D1354" s="10" t="str">
        <x:v>3809</x:v>
      </x:c>
      <x:c r="E1354" s="12" t="n">
        <x:v>4524.14</x:v>
      </x:c>
      <x:c r="F1354" s="12" t="n">
        <x:v>0</x:v>
      </x:c>
      <x:c r="G1354" s="10" t="str">
        <x:v>Umsatzsteuer Monatsumbuchung 3809</x:v>
      </x:c>
      <x:c r="H1354" s="10" t="str">
        <x:v>Steuerverrechnung</x:v>
      </x:c>
    </x:row>
    <x:row r="1355" ht="14" customHeight="1">
      <x:c r="A1355" s="10" t="str">
        <x:v>2024-10-0544</x:v>
      </x:c>
      <x:c r="B1355" s="11" t="n">
        <x:v>45596</x:v>
      </x:c>
      <x:c r="C1355" s="10" t="n">
        <x:v>10</x:v>
      </x:c>
      <x:c r="D1355" s="10" t="str">
        <x:v>3820</x:v>
      </x:c>
      <x:c r="E1355" s="12" t="n">
        <x:v>0</x:v>
      </x:c>
      <x:c r="F1355" s="12" t="n">
        <x:v>4524.14</x:v>
      </x:c>
      <x:c r="G1355" s="10" t="str">
        <x:v>Umsatzsteuer Monatsumbuchung 3809</x:v>
      </x:c>
      <x:c r="H1355" s="10" t="str">
        <x:v>Steuerverrechnung</x:v>
      </x:c>
    </x:row>
    <x:row r="1356" ht="14" customHeight="1">
      <x:c r="A1356" s="10" t="str">
        <x:v>2024-11-0545</x:v>
      </x:c>
      <x:c r="B1356" s="11" t="n">
        <x:v>45606</x:v>
      </x:c>
      <x:c r="C1356" s="10" t="n">
        <x:v>11</x:v>
      </x:c>
      <x:c r="D1356" s="10" t="str">
        <x:v>1800</x:v>
      </x:c>
      <x:c r="E1356" s="12" t="n">
        <x:v>5532.51</x:v>
      </x:c>
      <x:c r="F1356" s="12" t="n">
        <x:v>0</x:v>
      </x:c>
      <x:c r="G1356" s="10" t="str">
        <x:v>Ausgleich Umsatzsteuer Vorperiode</x:v>
      </x:c>
      <x:c r="H1356" s="10" t="str">
        <x:v>Umsatzsteuer</x:v>
      </x:c>
    </x:row>
    <x:row r="1357" ht="14" customHeight="1">
      <x:c r="A1357" s="10" t="str">
        <x:v>2024-11-0545</x:v>
      </x:c>
      <x:c r="B1357" s="11" t="n">
        <x:v>45606</x:v>
      </x:c>
      <x:c r="C1357" s="10" t="n">
        <x:v>11</x:v>
      </x:c>
      <x:c r="D1357" s="10" t="str">
        <x:v>3820</x:v>
      </x:c>
      <x:c r="E1357" s="12" t="n">
        <x:v>0</x:v>
      </x:c>
      <x:c r="F1357" s="12" t="n">
        <x:v>5532.51</x:v>
      </x:c>
      <x:c r="G1357" s="10" t="str">
        <x:v>Ausgleich Umsatzsteuer Vorperiode</x:v>
      </x:c>
      <x:c r="H1357" s="10" t="str">
        <x:v>Umsatzsteuer</x:v>
      </x:c>
    </x:row>
    <x:row r="1358" ht="14" customHeight="1">
      <x:c r="A1358" s="10" t="str">
        <x:v>2024-11-0546</x:v>
      </x:c>
      <x:c r="B1358" s="11" t="n">
        <x:v>45626</x:v>
      </x:c>
      <x:c r="C1358" s="10" t="n">
        <x:v>11</x:v>
      </x:c>
      <x:c r="D1358" s="10" t="str">
        <x:v>1200</x:v>
      </x:c>
      <x:c r="E1358" s="12" t="n">
        <x:v>405744</x:v>
      </x:c>
      <x:c r="F1358" s="12" t="n">
        <x:v>0</x:v>
      </x:c>
      <x:c r="G1358" s="10" t="str">
        <x:v>Fakturajournal Inland 7 Prozent</x:v>
      </x:c>
      <x:c r="H1358" s="10" t="str">
        <x:v>Umsatz</x:v>
      </x:c>
    </x:row>
    <x:row r="1359" ht="14" customHeight="1">
      <x:c r="A1359" s="10" t="str">
        <x:v>2024-11-0546</x:v>
      </x:c>
      <x:c r="B1359" s="11" t="n">
        <x:v>45626</x:v>
      </x:c>
      <x:c r="C1359" s="10" t="n">
        <x:v>11</x:v>
      </x:c>
      <x:c r="D1359" s="10" t="str">
        <x:v>4300</x:v>
      </x:c>
      <x:c r="E1359" s="12" t="n">
        <x:v>0</x:v>
      </x:c>
      <x:c r="F1359" s="12" t="n">
        <x:v>379200</x:v>
      </x:c>
      <x:c r="G1359" s="10" t="str">
        <x:v>Fakturajournal Inland 7 Prozent</x:v>
      </x:c>
      <x:c r="H1359" s="10" t="str">
        <x:v>Umsatz</x:v>
      </x:c>
    </x:row>
    <x:row r="1360" ht="14" customHeight="1">
      <x:c r="A1360" s="10" t="str">
        <x:v>2024-11-0546</x:v>
      </x:c>
      <x:c r="B1360" s="11" t="n">
        <x:v>45626</x:v>
      </x:c>
      <x:c r="C1360" s="10" t="n">
        <x:v>11</x:v>
      </x:c>
      <x:c r="D1360" s="10" t="str">
        <x:v>3801</x:v>
      </x:c>
      <x:c r="E1360" s="12" t="n">
        <x:v>0</x:v>
      </x:c>
      <x:c r="F1360" s="12" t="n">
        <x:v>26544</x:v>
      </x:c>
      <x:c r="G1360" s="10" t="str">
        <x:v>Fakturajournal Inland 7 Prozent</x:v>
      </x:c>
      <x:c r="H1360" s="10" t="str">
        <x:v>Umsatz</x:v>
      </x:c>
    </x:row>
    <x:row r="1361" ht="14" customHeight="1">
      <x:c r="A1361" s="10" t="str">
        <x:v>2024-11-0547</x:v>
      </x:c>
      <x:c r="B1361" s="11" t="n">
        <x:v>45626</x:v>
      </x:c>
      <x:c r="C1361" s="10" t="n">
        <x:v>11</x:v>
      </x:c>
      <x:c r="D1361" s="10" t="str">
        <x:v>1200</x:v>
      </x:c>
      <x:c r="E1361" s="12" t="n">
        <x:v>112812</x:v>
      </x:c>
      <x:c r="F1361" s="12" t="n">
        <x:v>0</x:v>
      </x:c>
      <x:c r="G1361" s="10" t="str">
        <x:v>Fakturajournal Inland 19 Prozent</x:v>
      </x:c>
      <x:c r="H1361" s="10" t="str">
        <x:v>Umsatz</x:v>
      </x:c>
    </x:row>
    <x:row r="1362" ht="14" customHeight="1">
      <x:c r="A1362" s="10" t="str">
        <x:v>2024-11-0547</x:v>
      </x:c>
      <x:c r="B1362" s="11" t="n">
        <x:v>45626</x:v>
      </x:c>
      <x:c r="C1362" s="10" t="n">
        <x:v>11</x:v>
      </x:c>
      <x:c r="D1362" s="10" t="str">
        <x:v>4400</x:v>
      </x:c>
      <x:c r="E1362" s="12" t="n">
        <x:v>0</x:v>
      </x:c>
      <x:c r="F1362" s="12" t="n">
        <x:v>94800</x:v>
      </x:c>
      <x:c r="G1362" s="10" t="str">
        <x:v>Fakturajournal Inland 19 Prozent</x:v>
      </x:c>
      <x:c r="H1362" s="10" t="str">
        <x:v>Umsatz</x:v>
      </x:c>
    </x:row>
    <x:row r="1363" ht="14" customHeight="1">
      <x:c r="A1363" s="10" t="str">
        <x:v>2024-11-0547</x:v>
      </x:c>
      <x:c r="B1363" s="11" t="n">
        <x:v>45626</x:v>
      </x:c>
      <x:c r="C1363" s="10" t="n">
        <x:v>11</x:v>
      </x:c>
      <x:c r="D1363" s="10" t="str">
        <x:v>3806</x:v>
      </x:c>
      <x:c r="E1363" s="12" t="n">
        <x:v>0</x:v>
      </x:c>
      <x:c r="F1363" s="12" t="n">
        <x:v>18012</x:v>
      </x:c>
      <x:c r="G1363" s="10" t="str">
        <x:v>Fakturajournal Inland 19 Prozent</x:v>
      </x:c>
      <x:c r="H1363" s="10" t="str">
        <x:v>Umsatz</x:v>
      </x:c>
    </x:row>
    <x:row r="1364" ht="14" customHeight="1">
      <x:c r="A1364" s="10" t="str">
        <x:v>2024-11-0548</x:v>
      </x:c>
      <x:c r="B1364" s="11" t="n">
        <x:v>45626</x:v>
      </x:c>
      <x:c r="C1364" s="10" t="n">
        <x:v>11</x:v>
      </x:c>
      <x:c r="D1364" s="10" t="str">
        <x:v>1200</x:v>
      </x:c>
      <x:c r="E1364" s="12" t="n">
        <x:v>158000</x:v>
      </x:c>
      <x:c r="F1364" s="12" t="n">
        <x:v>0</x:v>
      </x:c>
      <x:c r="G1364" s="10" t="str">
        <x:v>Fakturajournal EU Warenlieferungen</x:v>
      </x:c>
      <x:c r="H1364" s="10" t="str">
        <x:v>Umsatz</x:v>
      </x:c>
    </x:row>
    <x:row r="1365" ht="14" customHeight="1">
      <x:c r="A1365" s="10" t="str">
        <x:v>2024-11-0548</x:v>
      </x:c>
      <x:c r="B1365" s="11" t="n">
        <x:v>45626</x:v>
      </x:c>
      <x:c r="C1365" s="10" t="n">
        <x:v>11</x:v>
      </x:c>
      <x:c r="D1365" s="10" t="str">
        <x:v>4125</x:v>
      </x:c>
      <x:c r="E1365" s="12" t="n">
        <x:v>0</x:v>
      </x:c>
      <x:c r="F1365" s="12" t="n">
        <x:v>158000</x:v>
      </x:c>
      <x:c r="G1365" s="10" t="str">
        <x:v>Fakturajournal EU Warenlieferungen</x:v>
      </x:c>
      <x:c r="H1365" s="10" t="str">
        <x:v>Umsatz</x:v>
      </x:c>
    </x:row>
    <x:row r="1366" ht="14" customHeight="1">
      <x:c r="A1366" s="10" t="str">
        <x:v>2024-11-0549</x:v>
      </x:c>
      <x:c r="B1366" s="11" t="n">
        <x:v>45626</x:v>
      </x:c>
      <x:c r="C1366" s="10" t="n">
        <x:v>11</x:v>
      </x:c>
      <x:c r="D1366" s="10" t="str">
        <x:v>1200</x:v>
      </x:c>
      <x:c r="E1366" s="12" t="n">
        <x:v>158000</x:v>
      </x:c>
      <x:c r="F1366" s="12" t="n">
        <x:v>0</x:v>
      </x:c>
      <x:c r="G1366" s="10" t="str">
        <x:v>Fakturajournal Drittland Warenlieferungen</x:v>
      </x:c>
      <x:c r="H1366" s="10" t="str">
        <x:v>Umsatz</x:v>
      </x:c>
    </x:row>
    <x:row r="1367" ht="14" customHeight="1">
      <x:c r="A1367" s="10" t="str">
        <x:v>2024-11-0549</x:v>
      </x:c>
      <x:c r="B1367" s="11" t="n">
        <x:v>45626</x:v>
      </x:c>
      <x:c r="C1367" s="10" t="n">
        <x:v>11</x:v>
      </x:c>
      <x:c r="D1367" s="10" t="str">
        <x:v>4120</x:v>
      </x:c>
      <x:c r="E1367" s="12" t="n">
        <x:v>0</x:v>
      </x:c>
      <x:c r="F1367" s="12" t="n">
        <x:v>158000</x:v>
      </x:c>
      <x:c r="G1367" s="10" t="str">
        <x:v>Fakturajournal Drittland Warenlieferungen</x:v>
      </x:c>
      <x:c r="H1367" s="10" t="str">
        <x:v>Umsatz</x:v>
      </x:c>
    </x:row>
    <x:row r="1368" ht="14" customHeight="1">
      <x:c r="A1368" s="10" t="str">
        <x:v>2024-11-0550</x:v>
      </x:c>
      <x:c r="B1368" s="11" t="n">
        <x:v>45626</x:v>
      </x:c>
      <x:c r="C1368" s="10" t="n">
        <x:v>11</x:v>
      </x:c>
      <x:c r="D1368" s="10" t="str">
        <x:v>4730</x:v>
      </x:c>
      <x:c r="E1368" s="12" t="n">
        <x:v>2190</x:v>
      </x:c>
      <x:c r="F1368" s="12" t="n">
        <x:v>0</x:v>
      </x:c>
      <x:c r="G1368" s="10" t="str">
        <x:v>Gutschriftjournal Retouren und Mengenrabatte</x:v>
      </x:c>
      <x:c r="H1368" s="10" t="str">
        <x:v>Gutschriften</x:v>
      </x:c>
    </x:row>
    <x:row r="1369" ht="14" customHeight="1">
      <x:c r="A1369" s="10" t="str">
        <x:v>2024-11-0550</x:v>
      </x:c>
      <x:c r="B1369" s="11" t="n">
        <x:v>45626</x:v>
      </x:c>
      <x:c r="C1369" s="10" t="n">
        <x:v>11</x:v>
      </x:c>
      <x:c r="D1369" s="10" t="str">
        <x:v>3801</x:v>
      </x:c>
      <x:c r="E1369" s="12" t="n">
        <x:v>153.3</x:v>
      </x:c>
      <x:c r="F1369" s="12" t="n">
        <x:v>0</x:v>
      </x:c>
      <x:c r="G1369" s="10" t="str">
        <x:v>Gutschriftjournal Retouren und Mengenrabatte</x:v>
      </x:c>
      <x:c r="H1369" s="10" t="str">
        <x:v>Gutschriften</x:v>
      </x:c>
    </x:row>
    <x:row r="1370" ht="14" customHeight="1">
      <x:c r="A1370" s="10" t="str">
        <x:v>2024-11-0550</x:v>
      </x:c>
      <x:c r="B1370" s="11" t="n">
        <x:v>45626</x:v>
      </x:c>
      <x:c r="C1370" s="10" t="n">
        <x:v>11</x:v>
      </x:c>
      <x:c r="D1370" s="10" t="str">
        <x:v>1200</x:v>
      </x:c>
      <x:c r="E1370" s="12" t="n">
        <x:v>0</x:v>
      </x:c>
      <x:c r="F1370" s="12" t="n">
        <x:v>2343.3</x:v>
      </x:c>
      <x:c r="G1370" s="10" t="str">
        <x:v>Gutschriftjournal Retouren und Mengenrabatte</x:v>
      </x:c>
      <x:c r="H1370" s="10" t="str">
        <x:v>Gutschriften</x:v>
      </x:c>
    </x:row>
    <x:row r="1371" ht="14" customHeight="1">
      <x:c r="A1371" s="10" t="str">
        <x:v>2024-11-0551</x:v>
      </x:c>
      <x:c r="B1371" s="11" t="n">
        <x:v>45626</x:v>
      </x:c>
      <x:c r="C1371" s="10" t="n">
        <x:v>11</x:v>
      </x:c>
      <x:c r="D1371" s="10" t="str">
        <x:v>4735</x:v>
      </x:c>
      <x:c r="E1371" s="12" t="n">
        <x:v>1460</x:v>
      </x:c>
      <x:c r="F1371" s="12" t="n">
        <x:v>0</x:v>
      </x:c>
      <x:c r="G1371" s="10" t="str">
        <x:v>Gutschriftjournal Retouren und Mengenrabatte</x:v>
      </x:c>
      <x:c r="H1371" s="10" t="str">
        <x:v>Gutschriften</x:v>
      </x:c>
    </x:row>
    <x:row r="1372" ht="14" customHeight="1">
      <x:c r="A1372" s="10" t="str">
        <x:v>2024-11-0551</x:v>
      </x:c>
      <x:c r="B1372" s="11" t="n">
        <x:v>45626</x:v>
      </x:c>
      <x:c r="C1372" s="10" t="n">
        <x:v>11</x:v>
      </x:c>
      <x:c r="D1372" s="10" t="str">
        <x:v>1200</x:v>
      </x:c>
      <x:c r="E1372" s="12" t="n">
        <x:v>0</x:v>
      </x:c>
      <x:c r="F1372" s="12" t="n">
        <x:v>1460</x:v>
      </x:c>
      <x:c r="G1372" s="10" t="str">
        <x:v>Gutschriftjournal Retouren und Mengenrabatte</x:v>
      </x:c>
      <x:c r="H1372" s="10" t="str">
        <x:v>Gutschriften</x:v>
      </x:c>
    </x:row>
    <x:row r="1373" ht="14" customHeight="1">
      <x:c r="A1373" s="10" t="str">
        <x:v>2024-11-0552</x:v>
      </x:c>
      <x:c r="B1373" s="11" t="n">
        <x:v>45626</x:v>
      </x:c>
      <x:c r="C1373" s="10" t="n">
        <x:v>11</x:v>
      </x:c>
      <x:c r="D1373" s="10" t="str">
        <x:v>1140</x:v>
      </x:c>
      <x:c r="E1373" s="12" t="n">
        <x:v>217028.45</x:v>
      </x:c>
      <x:c r="F1373" s="12" t="n">
        <x:v>0</x:v>
      </x:c>
      <x:c r="G1373" s="10" t="str">
        <x:v>Wareneingang Inland 7 Prozent</x:v>
      </x:c>
      <x:c r="H1373" s="10" t="str">
        <x:v>Einkauf</x:v>
      </x:c>
    </x:row>
    <x:row r="1374" ht="14" customHeight="1">
      <x:c r="A1374" s="10" t="str">
        <x:v>2024-11-0552</x:v>
      </x:c>
      <x:c r="B1374" s="11" t="n">
        <x:v>45626</x:v>
      </x:c>
      <x:c r="C1374" s="10" t="n">
        <x:v>11</x:v>
      </x:c>
      <x:c r="D1374" s="10" t="str">
        <x:v>1401</x:v>
      </x:c>
      <x:c r="E1374" s="12" t="n">
        <x:v>15191.99</x:v>
      </x:c>
      <x:c r="F1374" s="12" t="n">
        <x:v>0</x:v>
      </x:c>
      <x:c r="G1374" s="10" t="str">
        <x:v>Wareneingang Inland 7 Prozent</x:v>
      </x:c>
      <x:c r="H1374" s="10" t="str">
        <x:v>Einkauf</x:v>
      </x:c>
    </x:row>
    <x:row r="1375" ht="14" customHeight="1">
      <x:c r="A1375" s="10" t="str">
        <x:v>2024-11-0552</x:v>
      </x:c>
      <x:c r="B1375" s="11" t="n">
        <x:v>45626</x:v>
      </x:c>
      <x:c r="C1375" s="10" t="n">
        <x:v>11</x:v>
      </x:c>
      <x:c r="D1375" s="10" t="str">
        <x:v>3300</x:v>
      </x:c>
      <x:c r="E1375" s="12" t="n">
        <x:v>0</x:v>
      </x:c>
      <x:c r="F1375" s="12" t="n">
        <x:v>232220.44</x:v>
      </x:c>
      <x:c r="G1375" s="10" t="str">
        <x:v>Wareneingang Inland 7 Prozent</x:v>
      </x:c>
      <x:c r="H1375" s="10" t="str">
        <x:v>Einkauf</x:v>
      </x:c>
    </x:row>
    <x:row r="1376" ht="14" customHeight="1">
      <x:c r="A1376" s="10" t="str">
        <x:v>2024-11-0553</x:v>
      </x:c>
      <x:c r="B1376" s="11" t="n">
        <x:v>45626</x:v>
      </x:c>
      <x:c r="C1376" s="10" t="n">
        <x:v>11</x:v>
      </x:c>
      <x:c r="D1376" s="10" t="str">
        <x:v>1140</x:v>
      </x:c>
      <x:c r="E1376" s="12" t="n">
        <x:v>39978.93</x:v>
      </x:c>
      <x:c r="F1376" s="12" t="n">
        <x:v>0</x:v>
      </x:c>
      <x:c r="G1376" s="10" t="str">
        <x:v>Wareneingang Inland 19 Prozent</x:v>
      </x:c>
      <x:c r="H1376" s="10" t="str">
        <x:v>Einkauf</x:v>
      </x:c>
    </x:row>
    <x:row r="1377" ht="14" customHeight="1">
      <x:c r="A1377" s="10" t="str">
        <x:v>2024-11-0553</x:v>
      </x:c>
      <x:c r="B1377" s="11" t="n">
        <x:v>45626</x:v>
      </x:c>
      <x:c r="C1377" s="10" t="n">
        <x:v>11</x:v>
      </x:c>
      <x:c r="D1377" s="10" t="str">
        <x:v>1406</x:v>
      </x:c>
      <x:c r="E1377" s="12" t="n">
        <x:v>7596</x:v>
      </x:c>
      <x:c r="F1377" s="12" t="n">
        <x:v>0</x:v>
      </x:c>
      <x:c r="G1377" s="10" t="str">
        <x:v>Wareneingang Inland 19 Prozent</x:v>
      </x:c>
      <x:c r="H1377" s="10" t="str">
        <x:v>Einkauf</x:v>
      </x:c>
    </x:row>
    <x:row r="1378" ht="14" customHeight="1">
      <x:c r="A1378" s="10" t="str">
        <x:v>2024-11-0553</x:v>
      </x:c>
      <x:c r="B1378" s="11" t="n">
        <x:v>45626</x:v>
      </x:c>
      <x:c r="C1378" s="10" t="n">
        <x:v>11</x:v>
      </x:c>
      <x:c r="D1378" s="10" t="str">
        <x:v>3300</x:v>
      </x:c>
      <x:c r="E1378" s="12" t="n">
        <x:v>0</x:v>
      </x:c>
      <x:c r="F1378" s="12" t="n">
        <x:v>47574.93</x:v>
      </x:c>
      <x:c r="G1378" s="10" t="str">
        <x:v>Wareneingang Inland 19 Prozent</x:v>
      </x:c>
      <x:c r="H1378" s="10" t="str">
        <x:v>Einkauf</x:v>
      </x:c>
    </x:row>
    <x:row r="1379" ht="14" customHeight="1">
      <x:c r="A1379" s="10" t="str">
        <x:v>2024-11-0554</x:v>
      </x:c>
      <x:c r="B1379" s="11" t="n">
        <x:v>45626</x:v>
      </x:c>
      <x:c r="C1379" s="10" t="n">
        <x:v>11</x:v>
      </x:c>
      <x:c r="D1379" s="10" t="str">
        <x:v>1140</x:v>
      </x:c>
      <x:c r="E1379" s="12" t="n">
        <x:v>114225.5</x:v>
      </x:c>
      <x:c r="F1379" s="12" t="n">
        <x:v>0</x:v>
      </x:c>
      <x:c r="G1379" s="10" t="str">
        <x:v>Wareneingang EU 7 Prozent</x:v>
      </x:c>
      <x:c r="H1379" s="10" t="str">
        <x:v>Einkauf</x:v>
      </x:c>
    </x:row>
    <x:row r="1380" ht="14" customHeight="1">
      <x:c r="A1380" s="10" t="str">
        <x:v>2024-11-0554</x:v>
      </x:c>
      <x:c r="B1380" s="11" t="n">
        <x:v>45626</x:v>
      </x:c>
      <x:c r="C1380" s="10" t="n">
        <x:v>11</x:v>
      </x:c>
      <x:c r="D1380" s="10" t="str">
        <x:v>3300</x:v>
      </x:c>
      <x:c r="E1380" s="12" t="n">
        <x:v>0</x:v>
      </x:c>
      <x:c r="F1380" s="12" t="n">
        <x:v>114225.5</x:v>
      </x:c>
      <x:c r="G1380" s="10" t="str">
        <x:v>Wareneingang EU 7 Prozent</x:v>
      </x:c>
      <x:c r="H1380" s="10" t="str">
        <x:v>Einkauf</x:v>
      </x:c>
    </x:row>
    <x:row r="1381" ht="14" customHeight="1">
      <x:c r="A1381" s="10" t="str">
        <x:v>2024-11-0554</x:v>
      </x:c>
      <x:c r="B1381" s="11" t="n">
        <x:v>45626</x:v>
      </x:c>
      <x:c r="C1381" s="10" t="n">
        <x:v>11</x:v>
      </x:c>
      <x:c r="D1381" s="10" t="str">
        <x:v>1404</x:v>
      </x:c>
      <x:c r="E1381" s="12" t="n">
        <x:v>7995.79</x:v>
      </x:c>
      <x:c r="F1381" s="12" t="n">
        <x:v>0</x:v>
      </x:c>
      <x:c r="G1381" s="10" t="str">
        <x:v>Wareneingang EU 7 Prozent</x:v>
      </x:c>
      <x:c r="H1381" s="10" t="str">
        <x:v>Einkauf</x:v>
      </x:c>
    </x:row>
    <x:row r="1382" ht="14" customHeight="1">
      <x:c r="A1382" s="10" t="str">
        <x:v>2024-11-0554</x:v>
      </x:c>
      <x:c r="B1382" s="11" t="n">
        <x:v>45626</x:v>
      </x:c>
      <x:c r="C1382" s="10" t="n">
        <x:v>11</x:v>
      </x:c>
      <x:c r="D1382" s="10" t="str">
        <x:v>3804</x:v>
      </x:c>
      <x:c r="E1382" s="12" t="n">
        <x:v>0</x:v>
      </x:c>
      <x:c r="F1382" s="12" t="n">
        <x:v>7995.79</x:v>
      </x:c>
      <x:c r="G1382" s="10" t="str">
        <x:v>Wareneingang EU 7 Prozent</x:v>
      </x:c>
      <x:c r="H1382" s="10" t="str">
        <x:v>Einkauf</x:v>
      </x:c>
    </x:row>
    <x:row r="1383" ht="14" customHeight="1">
      <x:c r="A1383" s="10" t="str">
        <x:v>2024-11-0555</x:v>
      </x:c>
      <x:c r="B1383" s="11" t="n">
        <x:v>45626</x:v>
      </x:c>
      <x:c r="C1383" s="10" t="n">
        <x:v>11</x:v>
      </x:c>
      <x:c r="D1383" s="10" t="str">
        <x:v>1140</x:v>
      </x:c>
      <x:c r="E1383" s="12" t="n">
        <x:v>28556.38</x:v>
      </x:c>
      <x:c r="F1383" s="12" t="n">
        <x:v>0</x:v>
      </x:c>
      <x:c r="G1383" s="10" t="str">
        <x:v>Wareneingang EU 19 Prozent</x:v>
      </x:c>
      <x:c r="H1383" s="10" t="str">
        <x:v>Einkauf</x:v>
      </x:c>
    </x:row>
    <x:row r="1384" ht="14" customHeight="1">
      <x:c r="A1384" s="10" t="str">
        <x:v>2024-11-0555</x:v>
      </x:c>
      <x:c r="B1384" s="11" t="n">
        <x:v>45626</x:v>
      </x:c>
      <x:c r="C1384" s="10" t="n">
        <x:v>11</x:v>
      </x:c>
      <x:c r="D1384" s="10" t="str">
        <x:v>3300</x:v>
      </x:c>
      <x:c r="E1384" s="12" t="n">
        <x:v>0</x:v>
      </x:c>
      <x:c r="F1384" s="12" t="n">
        <x:v>28556.38</x:v>
      </x:c>
      <x:c r="G1384" s="10" t="str">
        <x:v>Wareneingang EU 19 Prozent</x:v>
      </x:c>
      <x:c r="H1384" s="10" t="str">
        <x:v>Einkauf</x:v>
      </x:c>
    </x:row>
    <x:row r="1385" ht="14" customHeight="1">
      <x:c r="A1385" s="10" t="str">
        <x:v>2024-11-0555</x:v>
      </x:c>
      <x:c r="B1385" s="11" t="n">
        <x:v>45626</x:v>
      </x:c>
      <x:c r="C1385" s="10" t="n">
        <x:v>11</x:v>
      </x:c>
      <x:c r="D1385" s="10" t="str">
        <x:v>1409</x:v>
      </x:c>
      <x:c r="E1385" s="12" t="n">
        <x:v>5425.71</x:v>
      </x:c>
      <x:c r="F1385" s="12" t="n">
        <x:v>0</x:v>
      </x:c>
      <x:c r="G1385" s="10" t="str">
        <x:v>Wareneingang EU 19 Prozent</x:v>
      </x:c>
      <x:c r="H1385" s="10" t="str">
        <x:v>Einkauf</x:v>
      </x:c>
    </x:row>
    <x:row r="1386" ht="14" customHeight="1">
      <x:c r="A1386" s="10" t="str">
        <x:v>2024-11-0555</x:v>
      </x:c>
      <x:c r="B1386" s="11" t="n">
        <x:v>45626</x:v>
      </x:c>
      <x:c r="C1386" s="10" t="n">
        <x:v>11</x:v>
      </x:c>
      <x:c r="D1386" s="10" t="str">
        <x:v>3809</x:v>
      </x:c>
      <x:c r="E1386" s="12" t="n">
        <x:v>0</x:v>
      </x:c>
      <x:c r="F1386" s="12" t="n">
        <x:v>5425.71</x:v>
      </x:c>
      <x:c r="G1386" s="10" t="str">
        <x:v>Wareneingang EU 19 Prozent</x:v>
      </x:c>
      <x:c r="H1386" s="10" t="str">
        <x:v>Einkauf</x:v>
      </x:c>
    </x:row>
    <x:row r="1387" ht="14" customHeight="1">
      <x:c r="A1387" s="10" t="str">
        <x:v>2024-11-0556</x:v>
      </x:c>
      <x:c r="B1387" s="11" t="n">
        <x:v>45626</x:v>
      </x:c>
      <x:c r="C1387" s="10" t="n">
        <x:v>11</x:v>
      </x:c>
      <x:c r="D1387" s="10" t="str">
        <x:v>1140</x:v>
      </x:c>
      <x:c r="E1387" s="12" t="n">
        <x:v>171338.24</x:v>
      </x:c>
      <x:c r="F1387" s="12" t="n">
        <x:v>0</x:v>
      </x:c>
      <x:c r="G1387" s="10" t="str">
        <x:v>Wareneingang Drittland</x:v>
      </x:c>
      <x:c r="H1387" s="10" t="str">
        <x:v>Einkauf</x:v>
      </x:c>
    </x:row>
    <x:row r="1388" ht="14" customHeight="1">
      <x:c r="A1388" s="10" t="str">
        <x:v>2024-11-0556</x:v>
      </x:c>
      <x:c r="B1388" s="11" t="n">
        <x:v>45626</x:v>
      </x:c>
      <x:c r="C1388" s="10" t="n">
        <x:v>11</x:v>
      </x:c>
      <x:c r="D1388" s="10" t="str">
        <x:v>3300</x:v>
      </x:c>
      <x:c r="E1388" s="12" t="n">
        <x:v>0</x:v>
      </x:c>
      <x:c r="F1388" s="12" t="n">
        <x:v>171338.24</x:v>
      </x:c>
      <x:c r="G1388" s="10" t="str">
        <x:v>Wareneingang Drittland</x:v>
      </x:c>
      <x:c r="H1388" s="10" t="str">
        <x:v>Einkauf</x:v>
      </x:c>
    </x:row>
    <x:row r="1389" ht="14" customHeight="1">
      <x:c r="A1389" s="10" t="str">
        <x:v>2024-11-0557</x:v>
      </x:c>
      <x:c r="B1389" s="11" t="n">
        <x:v>45618</x:v>
      </x:c>
      <x:c r="C1389" s="10" t="n">
        <x:v>11</x:v>
      </x:c>
      <x:c r="D1389" s="10" t="str">
        <x:v>1433</x:v>
      </x:c>
      <x:c r="E1389" s="12" t="n">
        <x:v>14049.74</x:v>
      </x:c>
      <x:c r="F1389" s="12" t="n">
        <x:v>0</x:v>
      </x:c>
      <x:c r="G1389" s="10" t="str">
        <x:v>Einfuhrabgabenjournal bezahlte EUSt</x:v>
      </x:c>
      <x:c r="H1389" s="10" t="str">
        <x:v>Einfuhrumsatzsteuer</x:v>
      </x:c>
    </x:row>
    <x:row r="1390" ht="14" customHeight="1">
      <x:c r="A1390" s="10" t="str">
        <x:v>2024-11-0557</x:v>
      </x:c>
      <x:c r="B1390" s="11" t="n">
        <x:v>45618</x:v>
      </x:c>
      <x:c r="C1390" s="10" t="n">
        <x:v>11</x:v>
      </x:c>
      <x:c r="D1390" s="10" t="str">
        <x:v>1800</x:v>
      </x:c>
      <x:c r="E1390" s="12" t="n">
        <x:v>0</x:v>
      </x:c>
      <x:c r="F1390" s="12" t="n">
        <x:v>14049.74</x:v>
      </x:c>
      <x:c r="G1390" s="10" t="str">
        <x:v>Einfuhrabgabenjournal bezahlte EUSt</x:v>
      </x:c>
      <x:c r="H1390" s="10" t="str">
        <x:v>Einfuhrumsatzsteuer</x:v>
      </x:c>
    </x:row>
    <x:row r="1391" ht="14" customHeight="1">
      <x:c r="A1391" s="10" t="str">
        <x:v>2024-11-0558</x:v>
      </x:c>
      <x:c r="B1391" s="11" t="n">
        <x:v>45626</x:v>
      </x:c>
      <x:c r="C1391" s="10" t="n">
        <x:v>11</x:v>
      </x:c>
      <x:c r="D1391" s="10" t="str">
        <x:v>5000</x:v>
      </x:c>
      <x:c r="E1391" s="12" t="n">
        <x:v>511127.5</x:v>
      </x:c>
      <x:c r="F1391" s="12" t="n">
        <x:v>0</x:v>
      </x:c>
      <x:c r="G1391" s="10" t="str">
        <x:v>Warenabgänge zu Einstandswerten</x:v>
      </x:c>
      <x:c r="H1391" s="10" t="str">
        <x:v>Verbrauch</x:v>
      </x:c>
    </x:row>
    <x:row r="1392" ht="14" customHeight="1">
      <x:c r="A1392" s="10" t="str">
        <x:v>2024-11-0558</x:v>
      </x:c>
      <x:c r="B1392" s="11" t="n">
        <x:v>45626</x:v>
      </x:c>
      <x:c r="C1392" s="10" t="n">
        <x:v>11</x:v>
      </x:c>
      <x:c r="D1392" s="10" t="str">
        <x:v>1140</x:v>
      </x:c>
      <x:c r="E1392" s="12" t="n">
        <x:v>0</x:v>
      </x:c>
      <x:c r="F1392" s="12" t="n">
        <x:v>511127.5</x:v>
      </x:c>
      <x:c r="G1392" s="10" t="str">
        <x:v>Warenabgänge zu Einstandswerten</x:v>
      </x:c>
      <x:c r="H1392" s="10" t="str">
        <x:v>Verbrauch</x:v>
      </x:c>
    </x:row>
    <x:row r="1393" ht="14" customHeight="1">
      <x:c r="A1393" s="10" t="str">
        <x:v>2024-11-0559</x:v>
      </x:c>
      <x:c r="B1393" s="11" t="n">
        <x:v>45626</x:v>
      </x:c>
      <x:c r="C1393" s="10" t="n">
        <x:v>11</x:v>
      </x:c>
      <x:c r="D1393" s="10" t="str">
        <x:v>6020</x:v>
      </x:c>
      <x:c r="E1393" s="12" t="n">
        <x:v>86000</x:v>
      </x:c>
      <x:c r="F1393" s="12" t="n">
        <x:v>0</x:v>
      </x:c>
      <x:c r="G1393" s="10" t="str">
        <x:v>Lohnjournal 20 Beschäftigte</x:v>
      </x:c>
      <x:c r="H1393" s="10" t="str">
        <x:v>Personal</x:v>
      </x:c>
    </x:row>
    <x:row r="1394" ht="14" customHeight="1">
      <x:c r="A1394" s="10" t="str">
        <x:v>2024-11-0559</x:v>
      </x:c>
      <x:c r="B1394" s="11" t="n">
        <x:v>45626</x:v>
      </x:c>
      <x:c r="C1394" s="10" t="n">
        <x:v>11</x:v>
      </x:c>
      <x:c r="D1394" s="10" t="str">
        <x:v>6110</x:v>
      </x:c>
      <x:c r="E1394" s="12" t="n">
        <x:v>18000</x:v>
      </x:c>
      <x:c r="F1394" s="12" t="n">
        <x:v>0</x:v>
      </x:c>
      <x:c r="G1394" s="10" t="str">
        <x:v>Lohnjournal 20 Beschäftigte</x:v>
      </x:c>
      <x:c r="H1394" s="10" t="str">
        <x:v>Personal</x:v>
      </x:c>
    </x:row>
    <x:row r="1395" ht="14" customHeight="1">
      <x:c r="A1395" s="10" t="str">
        <x:v>2024-11-0559</x:v>
      </x:c>
      <x:c r="B1395" s="11" t="n">
        <x:v>45626</x:v>
      </x:c>
      <x:c r="C1395" s="10" t="n">
        <x:v>11</x:v>
      </x:c>
      <x:c r="D1395" s="10" t="str">
        <x:v>3720</x:v>
      </x:c>
      <x:c r="E1395" s="12" t="n">
        <x:v>0</x:v>
      </x:c>
      <x:c r="F1395" s="12" t="n">
        <x:v>56760</x:v>
      </x:c>
      <x:c r="G1395" s="10" t="str">
        <x:v>Lohnjournal 20 Beschäftigte</x:v>
      </x:c>
      <x:c r="H1395" s="10" t="str">
        <x:v>Personal</x:v>
      </x:c>
    </x:row>
    <x:row r="1396" ht="14" customHeight="1">
      <x:c r="A1396" s="10" t="str">
        <x:v>2024-11-0559</x:v>
      </x:c>
      <x:c r="B1396" s="11" t="n">
        <x:v>45626</x:v>
      </x:c>
      <x:c r="C1396" s="10" t="n">
        <x:v>11</x:v>
      </x:c>
      <x:c r="D1396" s="10" t="str">
        <x:v>3730</x:v>
      </x:c>
      <x:c r="E1396" s="12" t="n">
        <x:v>0</x:v>
      </x:c>
      <x:c r="F1396" s="12" t="n">
        <x:v>12900</x:v>
      </x:c>
      <x:c r="G1396" s="10" t="str">
        <x:v>Lohnjournal 20 Beschäftigte</x:v>
      </x:c>
      <x:c r="H1396" s="10" t="str">
        <x:v>Personal</x:v>
      </x:c>
    </x:row>
    <x:row r="1397" ht="14" customHeight="1">
      <x:c r="A1397" s="10" t="str">
        <x:v>2024-11-0559</x:v>
      </x:c>
      <x:c r="B1397" s="11" t="n">
        <x:v>45626</x:v>
      </x:c>
      <x:c r="C1397" s="10" t="n">
        <x:v>11</x:v>
      </x:c>
      <x:c r="D1397" s="10" t="str">
        <x:v>3740</x:v>
      </x:c>
      <x:c r="E1397" s="12" t="n">
        <x:v>0</x:v>
      </x:c>
      <x:c r="F1397" s="12" t="n">
        <x:v>34340</x:v>
      </x:c>
      <x:c r="G1397" s="10" t="str">
        <x:v>Lohnjournal 20 Beschäftigte</x:v>
      </x:c>
      <x:c r="H1397" s="10" t="str">
        <x:v>Personal</x:v>
      </x:c>
    </x:row>
    <x:row r="1398" ht="14" customHeight="1">
      <x:c r="A1398" s="10" t="str">
        <x:v>2024-11-0560</x:v>
      </x:c>
      <x:c r="B1398" s="11" t="n">
        <x:v>45624</x:v>
      </x:c>
      <x:c r="C1398" s="10" t="n">
        <x:v>11</x:v>
      </x:c>
      <x:c r="D1398" s="10" t="str">
        <x:v>3720</x:v>
      </x:c>
      <x:c r="E1398" s="12" t="n">
        <x:v>56760</x:v>
      </x:c>
      <x:c r="F1398" s="12" t="n">
        <x:v>0</x:v>
      </x:c>
      <x:c r="G1398" s="10" t="str">
        <x:v>Zahlungsjournal Verbindlichkeiten Nettolöhne</x:v>
      </x:c>
      <x:c r="H1398" s="10" t="str">
        <x:v>Personalzahlung</x:v>
      </x:c>
    </x:row>
    <x:row r="1399" ht="14" customHeight="1">
      <x:c r="A1399" s="10" t="str">
        <x:v>2024-11-0560</x:v>
      </x:c>
      <x:c r="B1399" s="11" t="n">
        <x:v>45624</x:v>
      </x:c>
      <x:c r="C1399" s="10" t="n">
        <x:v>11</x:v>
      </x:c>
      <x:c r="D1399" s="10" t="str">
        <x:v>1800</x:v>
      </x:c>
      <x:c r="E1399" s="12" t="n">
        <x:v>0</x:v>
      </x:c>
      <x:c r="F1399" s="12" t="n">
        <x:v>56760</x:v>
      </x:c>
      <x:c r="G1399" s="10" t="str">
        <x:v>Zahlungsjournal Verbindlichkeiten Nettolöhne</x:v>
      </x:c>
      <x:c r="H1399" s="10" t="str">
        <x:v>Personalzahlung</x:v>
      </x:c>
    </x:row>
    <x:row r="1400" ht="14" customHeight="1">
      <x:c r="A1400" s="10" t="str">
        <x:v>2024-11-0561</x:v>
      </x:c>
      <x:c r="B1400" s="11" t="n">
        <x:v>45606</x:v>
      </x:c>
      <x:c r="C1400" s="10" t="n">
        <x:v>11</x:v>
      </x:c>
      <x:c r="D1400" s="10" t="str">
        <x:v>3730</x:v>
      </x:c>
      <x:c r="E1400" s="12" t="n">
        <x:v>12900</x:v>
      </x:c>
      <x:c r="F1400" s="12" t="n">
        <x:v>0</x:v>
      </x:c>
      <x:c r="G1400" s="10" t="str">
        <x:v>Zahlungsjournal Verbindlichkeiten Lohnsteuer</x:v>
      </x:c>
      <x:c r="H1400" s="10" t="str">
        <x:v>Personalzahlung</x:v>
      </x:c>
    </x:row>
    <x:row r="1401" ht="14" customHeight="1">
      <x:c r="A1401" s="10" t="str">
        <x:v>2024-11-0561</x:v>
      </x:c>
      <x:c r="B1401" s="11" t="n">
        <x:v>45606</x:v>
      </x:c>
      <x:c r="C1401" s="10" t="n">
        <x:v>11</x:v>
      </x:c>
      <x:c r="D1401" s="10" t="str">
        <x:v>1800</x:v>
      </x:c>
      <x:c r="E1401" s="12" t="n">
        <x:v>0</x:v>
      </x:c>
      <x:c r="F1401" s="12" t="n">
        <x:v>12900</x:v>
      </x:c>
      <x:c r="G1401" s="10" t="str">
        <x:v>Zahlungsjournal Verbindlichkeiten Lohnsteuer</x:v>
      </x:c>
      <x:c r="H1401" s="10" t="str">
        <x:v>Personalzahlung</x:v>
      </x:c>
    </x:row>
    <x:row r="1402" ht="14" customHeight="1">
      <x:c r="A1402" s="10" t="str">
        <x:v>2024-11-0562</x:v>
      </x:c>
      <x:c r="B1402" s="11" t="n">
        <x:v>45624</x:v>
      </x:c>
      <x:c r="C1402" s="10" t="n">
        <x:v>11</x:v>
      </x:c>
      <x:c r="D1402" s="10" t="str">
        <x:v>3740</x:v>
      </x:c>
      <x:c r="E1402" s="12" t="n">
        <x:v>34340</x:v>
      </x:c>
      <x:c r="F1402" s="12" t="n">
        <x:v>0</x:v>
      </x:c>
      <x:c r="G1402" s="10" t="str">
        <x:v>Zahlungsjournal Verbindlichkeiten Sozialversicherung</x:v>
      </x:c>
      <x:c r="H1402" s="10" t="str">
        <x:v>Personalzahlung</x:v>
      </x:c>
    </x:row>
    <x:row r="1403" ht="14" customHeight="1">
      <x:c r="A1403" s="10" t="str">
        <x:v>2024-11-0562</x:v>
      </x:c>
      <x:c r="B1403" s="11" t="n">
        <x:v>45624</x:v>
      </x:c>
      <x:c r="C1403" s="10" t="n">
        <x:v>11</x:v>
      </x:c>
      <x:c r="D1403" s="10" t="str">
        <x:v>1800</x:v>
      </x:c>
      <x:c r="E1403" s="12" t="n">
        <x:v>0</x:v>
      </x:c>
      <x:c r="F1403" s="12" t="n">
        <x:v>34340</x:v>
      </x:c>
      <x:c r="G1403" s="10" t="str">
        <x:v>Zahlungsjournal Verbindlichkeiten Sozialversicherung</x:v>
      </x:c>
      <x:c r="H1403" s="10" t="str">
        <x:v>Personalzahlung</x:v>
      </x:c>
    </x:row>
    <x:row r="1404" ht="14" customHeight="1">
      <x:c r="A1404" s="10" t="str">
        <x:v>2024-11-0563</x:v>
      </x:c>
      <x:c r="B1404" s="11" t="n">
        <x:v>45626</x:v>
      </x:c>
      <x:c r="C1404" s="10" t="n">
        <x:v>11</x:v>
      </x:c>
      <x:c r="D1404" s="10" t="str">
        <x:v>6310</x:v>
      </x:c>
      <x:c r="E1404" s="12" t="n">
        <x:v>4000</x:v>
      </x:c>
      <x:c r="F1404" s="12" t="n">
        <x:v>0</x:v>
      </x:c>
      <x:c r="G1404" s="10" t="str">
        <x:v>Miete Büro Nürnberg Monatsjournal</x:v>
      </x:c>
      <x:c r="H1404" s="10" t="str">
        <x:v>Betriebskosten</x:v>
      </x:c>
    </x:row>
    <x:row r="1405" ht="14" customHeight="1">
      <x:c r="A1405" s="10" t="str">
        <x:v>2024-11-0563</x:v>
      </x:c>
      <x:c r="B1405" s="11" t="n">
        <x:v>45626</x:v>
      </x:c>
      <x:c r="C1405" s="10" t="n">
        <x:v>11</x:v>
      </x:c>
      <x:c r="D1405" s="10" t="str">
        <x:v>1406</x:v>
      </x:c>
      <x:c r="E1405" s="12" t="n">
        <x:v>760</x:v>
      </x:c>
      <x:c r="F1405" s="12" t="n">
        <x:v>0</x:v>
      </x:c>
      <x:c r="G1405" s="10" t="str">
        <x:v>Miete Büro Nürnberg Monatsjournal</x:v>
      </x:c>
      <x:c r="H1405" s="10" t="str">
        <x:v>Betriebskosten</x:v>
      </x:c>
    </x:row>
    <x:row r="1406" ht="14" customHeight="1">
      <x:c r="A1406" s="10" t="str">
        <x:v>2024-11-0563</x:v>
      </x:c>
      <x:c r="B1406" s="11" t="n">
        <x:v>45626</x:v>
      </x:c>
      <x:c r="C1406" s="10" t="n">
        <x:v>11</x:v>
      </x:c>
      <x:c r="D1406" s="10" t="str">
        <x:v>3300</x:v>
      </x:c>
      <x:c r="E1406" s="12" t="n">
        <x:v>0</x:v>
      </x:c>
      <x:c r="F1406" s="12" t="n">
        <x:v>4760</x:v>
      </x:c>
      <x:c r="G1406" s="10" t="str">
        <x:v>Miete Büro Nürnberg Monatsjournal</x:v>
      </x:c>
      <x:c r="H1406" s="10" t="str">
        <x:v>Betriebskosten</x:v>
      </x:c>
    </x:row>
    <x:row r="1407" ht="14" customHeight="1">
      <x:c r="A1407" s="10" t="str">
        <x:v>2024-11-0564</x:v>
      </x:c>
      <x:c r="B1407" s="11" t="n">
        <x:v>45626</x:v>
      </x:c>
      <x:c r="C1407" s="10" t="n">
        <x:v>11</x:v>
      </x:c>
      <x:c r="D1407" s="10" t="str">
        <x:v>6311</x:v>
      </x:c>
      <x:c r="E1407" s="12" t="n">
        <x:v>10000</x:v>
      </x:c>
      <x:c r="F1407" s="12" t="n">
        <x:v>0</x:v>
      </x:c>
      <x:c r="G1407" s="10" t="str">
        <x:v>Miete Lager Erlangen Monatsjournal</x:v>
      </x:c>
      <x:c r="H1407" s="10" t="str">
        <x:v>Betriebskosten</x:v>
      </x:c>
    </x:row>
    <x:row r="1408" ht="14" customHeight="1">
      <x:c r="A1408" s="10" t="str">
        <x:v>2024-11-0564</x:v>
      </x:c>
      <x:c r="B1408" s="11" t="n">
        <x:v>45626</x:v>
      </x:c>
      <x:c r="C1408" s="10" t="n">
        <x:v>11</x:v>
      </x:c>
      <x:c r="D1408" s="10" t="str">
        <x:v>1406</x:v>
      </x:c>
      <x:c r="E1408" s="12" t="n">
        <x:v>1900</x:v>
      </x:c>
      <x:c r="F1408" s="12" t="n">
        <x:v>0</x:v>
      </x:c>
      <x:c r="G1408" s="10" t="str">
        <x:v>Miete Lager Erlangen Monatsjournal</x:v>
      </x:c>
      <x:c r="H1408" s="10" t="str">
        <x:v>Betriebskosten</x:v>
      </x:c>
    </x:row>
    <x:row r="1409" ht="14" customHeight="1">
      <x:c r="A1409" s="10" t="str">
        <x:v>2024-11-0564</x:v>
      </x:c>
      <x:c r="B1409" s="11" t="n">
        <x:v>45626</x:v>
      </x:c>
      <x:c r="C1409" s="10" t="n">
        <x:v>11</x:v>
      </x:c>
      <x:c r="D1409" s="10" t="str">
        <x:v>3300</x:v>
      </x:c>
      <x:c r="E1409" s="12" t="n">
        <x:v>0</x:v>
      </x:c>
      <x:c r="F1409" s="12" t="n">
        <x:v>11900</x:v>
      </x:c>
      <x:c r="G1409" s="10" t="str">
        <x:v>Miete Lager Erlangen Monatsjournal</x:v>
      </x:c>
      <x:c r="H1409" s="10" t="str">
        <x:v>Betriebskosten</x:v>
      </x:c>
    </x:row>
    <x:row r="1410" ht="14" customHeight="1">
      <x:c r="A1410" s="10" t="str">
        <x:v>2024-11-0565</x:v>
      </x:c>
      <x:c r="B1410" s="11" t="n">
        <x:v>45626</x:v>
      </x:c>
      <x:c r="C1410" s="10" t="n">
        <x:v>11</x:v>
      </x:c>
      <x:c r="D1410" s="10" t="str">
        <x:v>6325</x:v>
      </x:c>
      <x:c r="E1410" s="12" t="n">
        <x:v>4500</x:v>
      </x:c>
      <x:c r="F1410" s="12" t="n">
        <x:v>0</x:v>
      </x:c>
      <x:c r="G1410" s="10" t="str">
        <x:v>Strom und Kühlung Monatsjournal</x:v>
      </x:c>
      <x:c r="H1410" s="10" t="str">
        <x:v>Betriebskosten</x:v>
      </x:c>
    </x:row>
    <x:row r="1411" ht="14" customHeight="1">
      <x:c r="A1411" s="10" t="str">
        <x:v>2024-11-0565</x:v>
      </x:c>
      <x:c r="B1411" s="11" t="n">
        <x:v>45626</x:v>
      </x:c>
      <x:c r="C1411" s="10" t="n">
        <x:v>11</x:v>
      </x:c>
      <x:c r="D1411" s="10" t="str">
        <x:v>1406</x:v>
      </x:c>
      <x:c r="E1411" s="12" t="n">
        <x:v>855</x:v>
      </x:c>
      <x:c r="F1411" s="12" t="n">
        <x:v>0</x:v>
      </x:c>
      <x:c r="G1411" s="10" t="str">
        <x:v>Strom und Kühlung Monatsjournal</x:v>
      </x:c>
      <x:c r="H1411" s="10" t="str">
        <x:v>Betriebskosten</x:v>
      </x:c>
    </x:row>
    <x:row r="1412" ht="14" customHeight="1">
      <x:c r="A1412" s="10" t="str">
        <x:v>2024-11-0565</x:v>
      </x:c>
      <x:c r="B1412" s="11" t="n">
        <x:v>45626</x:v>
      </x:c>
      <x:c r="C1412" s="10" t="n">
        <x:v>11</x:v>
      </x:c>
      <x:c r="D1412" s="10" t="str">
        <x:v>3300</x:v>
      </x:c>
      <x:c r="E1412" s="12" t="n">
        <x:v>0</x:v>
      </x:c>
      <x:c r="F1412" s="12" t="n">
        <x:v>5355</x:v>
      </x:c>
      <x:c r="G1412" s="10" t="str">
        <x:v>Strom und Kühlung Monatsjournal</x:v>
      </x:c>
      <x:c r="H1412" s="10" t="str">
        <x:v>Betriebskosten</x:v>
      </x:c>
    </x:row>
    <x:row r="1413" ht="14" customHeight="1">
      <x:c r="A1413" s="10" t="str">
        <x:v>2024-11-0566</x:v>
      </x:c>
      <x:c r="B1413" s="11" t="n">
        <x:v>45626</x:v>
      </x:c>
      <x:c r="C1413" s="10" t="n">
        <x:v>11</x:v>
      </x:c>
      <x:c r="D1413" s="10" t="str">
        <x:v>6400</x:v>
      </x:c>
      <x:c r="E1413" s="12" t="n">
        <x:v>2500</x:v>
      </x:c>
      <x:c r="F1413" s="12" t="n">
        <x:v>0</x:v>
      </x:c>
      <x:c r="G1413" s="10" t="str">
        <x:v>Versicherungen Monatsjournal</x:v>
      </x:c>
      <x:c r="H1413" s="10" t="str">
        <x:v>Betriebskosten</x:v>
      </x:c>
    </x:row>
    <x:row r="1414" ht="14" customHeight="1">
      <x:c r="A1414" s="10" t="str">
        <x:v>2024-11-0566</x:v>
      </x:c>
      <x:c r="B1414" s="11" t="n">
        <x:v>45626</x:v>
      </x:c>
      <x:c r="C1414" s="10" t="n">
        <x:v>11</x:v>
      </x:c>
      <x:c r="D1414" s="10" t="str">
        <x:v>3300</x:v>
      </x:c>
      <x:c r="E1414" s="12" t="n">
        <x:v>0</x:v>
      </x:c>
      <x:c r="F1414" s="12" t="n">
        <x:v>2500</x:v>
      </x:c>
      <x:c r="G1414" s="10" t="str">
        <x:v>Versicherungen Monatsjournal</x:v>
      </x:c>
      <x:c r="H1414" s="10" t="str">
        <x:v>Betriebskosten</x:v>
      </x:c>
    </x:row>
    <x:row r="1415" ht="14" customHeight="1">
      <x:c r="A1415" s="10" t="str">
        <x:v>2024-11-0567</x:v>
      </x:c>
      <x:c r="B1415" s="11" t="n">
        <x:v>45626</x:v>
      </x:c>
      <x:c r="C1415" s="10" t="n">
        <x:v>11</x:v>
      </x:c>
      <x:c r="D1415" s="10" t="str">
        <x:v>6470</x:v>
      </x:c>
      <x:c r="E1415" s="12" t="n">
        <x:v>6000</x:v>
      </x:c>
      <x:c r="F1415" s="12" t="n">
        <x:v>0</x:v>
      </x:c>
      <x:c r="G1415" s="10" t="str">
        <x:v>Lagerbetrieb und Reinigung Monatsjournal</x:v>
      </x:c>
      <x:c r="H1415" s="10" t="str">
        <x:v>Betriebskosten</x:v>
      </x:c>
    </x:row>
    <x:row r="1416" ht="14" customHeight="1">
      <x:c r="A1416" s="10" t="str">
        <x:v>2024-11-0567</x:v>
      </x:c>
      <x:c r="B1416" s="11" t="n">
        <x:v>45626</x:v>
      </x:c>
      <x:c r="C1416" s="10" t="n">
        <x:v>11</x:v>
      </x:c>
      <x:c r="D1416" s="10" t="str">
        <x:v>1406</x:v>
      </x:c>
      <x:c r="E1416" s="12" t="n">
        <x:v>1140</x:v>
      </x:c>
      <x:c r="F1416" s="12" t="n">
        <x:v>0</x:v>
      </x:c>
      <x:c r="G1416" s="10" t="str">
        <x:v>Lagerbetrieb und Reinigung Monatsjournal</x:v>
      </x:c>
      <x:c r="H1416" s="10" t="str">
        <x:v>Betriebskosten</x:v>
      </x:c>
    </x:row>
    <x:row r="1417" ht="14" customHeight="1">
      <x:c r="A1417" s="10" t="str">
        <x:v>2024-11-0567</x:v>
      </x:c>
      <x:c r="B1417" s="11" t="n">
        <x:v>45626</x:v>
      </x:c>
      <x:c r="C1417" s="10" t="n">
        <x:v>11</x:v>
      </x:c>
      <x:c r="D1417" s="10" t="str">
        <x:v>3300</x:v>
      </x:c>
      <x:c r="E1417" s="12" t="n">
        <x:v>0</x:v>
      </x:c>
      <x:c r="F1417" s="12" t="n">
        <x:v>7140</x:v>
      </x:c>
      <x:c r="G1417" s="10" t="str">
        <x:v>Lagerbetrieb und Reinigung Monatsjournal</x:v>
      </x:c>
      <x:c r="H1417" s="10" t="str">
        <x:v>Betriebskosten</x:v>
      </x:c>
    </x:row>
    <x:row r="1418" ht="14" customHeight="1">
      <x:c r="A1418" s="10" t="str">
        <x:v>2024-11-0568</x:v>
      </x:c>
      <x:c r="B1418" s="11" t="n">
        <x:v>45626</x:v>
      </x:c>
      <x:c r="C1418" s="10" t="n">
        <x:v>11</x:v>
      </x:c>
      <x:c r="D1418" s="10" t="str">
        <x:v>6490</x:v>
      </x:c>
      <x:c r="E1418" s="12" t="n">
        <x:v>2500</x:v>
      </x:c>
      <x:c r="F1418" s="12" t="n">
        <x:v>0</x:v>
      </x:c>
      <x:c r="G1418" s="10" t="str">
        <x:v>Reparaturen und Wartung Monatsjournal</x:v>
      </x:c>
      <x:c r="H1418" s="10" t="str">
        <x:v>Betriebskosten</x:v>
      </x:c>
    </x:row>
    <x:row r="1419" ht="14" customHeight="1">
      <x:c r="A1419" s="10" t="str">
        <x:v>2024-11-0568</x:v>
      </x:c>
      <x:c r="B1419" s="11" t="n">
        <x:v>45626</x:v>
      </x:c>
      <x:c r="C1419" s="10" t="n">
        <x:v>11</x:v>
      </x:c>
      <x:c r="D1419" s="10" t="str">
        <x:v>1406</x:v>
      </x:c>
      <x:c r="E1419" s="12" t="n">
        <x:v>475</x:v>
      </x:c>
      <x:c r="F1419" s="12" t="n">
        <x:v>0</x:v>
      </x:c>
      <x:c r="G1419" s="10" t="str">
        <x:v>Reparaturen und Wartung Monatsjournal</x:v>
      </x:c>
      <x:c r="H1419" s="10" t="str">
        <x:v>Betriebskosten</x:v>
      </x:c>
    </x:row>
    <x:row r="1420" ht="14" customHeight="1">
      <x:c r="A1420" s="10" t="str">
        <x:v>2024-11-0568</x:v>
      </x:c>
      <x:c r="B1420" s="11" t="n">
        <x:v>45626</x:v>
      </x:c>
      <x:c r="C1420" s="10" t="n">
        <x:v>11</x:v>
      </x:c>
      <x:c r="D1420" s="10" t="str">
        <x:v>3300</x:v>
      </x:c>
      <x:c r="E1420" s="12" t="n">
        <x:v>0</x:v>
      </x:c>
      <x:c r="F1420" s="12" t="n">
        <x:v>2975</x:v>
      </x:c>
      <x:c r="G1420" s="10" t="str">
        <x:v>Reparaturen und Wartung Monatsjournal</x:v>
      </x:c>
      <x:c r="H1420" s="10" t="str">
        <x:v>Betriebskosten</x:v>
      </x:c>
    </x:row>
    <x:row r="1421" ht="14" customHeight="1">
      <x:c r="A1421" s="10" t="str">
        <x:v>2024-11-0569</x:v>
      </x:c>
      <x:c r="B1421" s="11" t="n">
        <x:v>45626</x:v>
      </x:c>
      <x:c r="C1421" s="10" t="n">
        <x:v>11</x:v>
      </x:c>
      <x:c r="D1421" s="10" t="str">
        <x:v>6600</x:v>
      </x:c>
      <x:c r="E1421" s="12" t="n">
        <x:v>6000</x:v>
      </x:c>
      <x:c r="F1421" s="12" t="n">
        <x:v>0</x:v>
      </x:c>
      <x:c r="G1421" s="10" t="str">
        <x:v>Marketing und Messen Monatsjournal</x:v>
      </x:c>
      <x:c r="H1421" s="10" t="str">
        <x:v>Betriebskosten</x:v>
      </x:c>
    </x:row>
    <x:row r="1422" ht="14" customHeight="1">
      <x:c r="A1422" s="10" t="str">
        <x:v>2024-11-0569</x:v>
      </x:c>
      <x:c r="B1422" s="11" t="n">
        <x:v>45626</x:v>
      </x:c>
      <x:c r="C1422" s="10" t="n">
        <x:v>11</x:v>
      </x:c>
      <x:c r="D1422" s="10" t="str">
        <x:v>1406</x:v>
      </x:c>
      <x:c r="E1422" s="12" t="n">
        <x:v>1140</x:v>
      </x:c>
      <x:c r="F1422" s="12" t="n">
        <x:v>0</x:v>
      </x:c>
      <x:c r="G1422" s="10" t="str">
        <x:v>Marketing und Messen Monatsjournal</x:v>
      </x:c>
      <x:c r="H1422" s="10" t="str">
        <x:v>Betriebskosten</x:v>
      </x:c>
    </x:row>
    <x:row r="1423" ht="14" customHeight="1">
      <x:c r="A1423" s="10" t="str">
        <x:v>2024-11-0569</x:v>
      </x:c>
      <x:c r="B1423" s="11" t="n">
        <x:v>45626</x:v>
      </x:c>
      <x:c r="C1423" s="10" t="n">
        <x:v>11</x:v>
      </x:c>
      <x:c r="D1423" s="10" t="str">
        <x:v>3300</x:v>
      </x:c>
      <x:c r="E1423" s="12" t="n">
        <x:v>0</x:v>
      </x:c>
      <x:c r="F1423" s="12" t="n">
        <x:v>7140</x:v>
      </x:c>
      <x:c r="G1423" s="10" t="str">
        <x:v>Marketing und Messen Monatsjournal</x:v>
      </x:c>
      <x:c r="H1423" s="10" t="str">
        <x:v>Betriebskosten</x:v>
      </x:c>
    </x:row>
    <x:row r="1424" ht="14" customHeight="1">
      <x:c r="A1424" s="10" t="str">
        <x:v>2024-11-0570</x:v>
      </x:c>
      <x:c r="B1424" s="11" t="n">
        <x:v>45626</x:v>
      </x:c>
      <x:c r="C1424" s="10" t="n">
        <x:v>11</x:v>
      </x:c>
      <x:c r="D1424" s="10" t="str">
        <x:v>6650</x:v>
      </x:c>
      <x:c r="E1424" s="12" t="n">
        <x:v>1500</x:v>
      </x:c>
      <x:c r="F1424" s="12" t="n">
        <x:v>0</x:v>
      </x:c>
      <x:c r="G1424" s="10" t="str">
        <x:v>Reisekosten Monatsjournal</x:v>
      </x:c>
      <x:c r="H1424" s="10" t="str">
        <x:v>Betriebskosten</x:v>
      </x:c>
    </x:row>
    <x:row r="1425" ht="14" customHeight="1">
      <x:c r="A1425" s="10" t="str">
        <x:v>2024-11-0570</x:v>
      </x:c>
      <x:c r="B1425" s="11" t="n">
        <x:v>45626</x:v>
      </x:c>
      <x:c r="C1425" s="10" t="n">
        <x:v>11</x:v>
      </x:c>
      <x:c r="D1425" s="10" t="str">
        <x:v>1406</x:v>
      </x:c>
      <x:c r="E1425" s="12" t="n">
        <x:v>285</x:v>
      </x:c>
      <x:c r="F1425" s="12" t="n">
        <x:v>0</x:v>
      </x:c>
      <x:c r="G1425" s="10" t="str">
        <x:v>Reisekosten Monatsjournal</x:v>
      </x:c>
      <x:c r="H1425" s="10" t="str">
        <x:v>Betriebskosten</x:v>
      </x:c>
    </x:row>
    <x:row r="1426" ht="14" customHeight="1">
      <x:c r="A1426" s="10" t="str">
        <x:v>2024-11-0570</x:v>
      </x:c>
      <x:c r="B1426" s="11" t="n">
        <x:v>45626</x:v>
      </x:c>
      <x:c r="C1426" s="10" t="n">
        <x:v>11</x:v>
      </x:c>
      <x:c r="D1426" s="10" t="str">
        <x:v>3300</x:v>
      </x:c>
      <x:c r="E1426" s="12" t="n">
        <x:v>0</x:v>
      </x:c>
      <x:c r="F1426" s="12" t="n">
        <x:v>1485</x:v>
      </x:c>
      <x:c r="G1426" s="10" t="str">
        <x:v>Reisekosten Monatsjournal</x:v>
      </x:c>
      <x:c r="H1426" s="10" t="str">
        <x:v>Betriebskosten</x:v>
      </x:c>
    </x:row>
    <x:row r="1427" ht="14" customHeight="1">
      <x:c r="A1427" s="10" t="str">
        <x:v>2024-11-0570</x:v>
      </x:c>
      <x:c r="B1427" s="11" t="n">
        <x:v>45626</x:v>
      </x:c>
      <x:c r="C1427" s="10" t="n">
        <x:v>11</x:v>
      </x:c>
      <x:c r="D1427" s="10" t="str">
        <x:v>1600</x:v>
      </x:c>
      <x:c r="E1427" s="12" t="n">
        <x:v>0</x:v>
      </x:c>
      <x:c r="F1427" s="12" t="n">
        <x:v>300</x:v>
      </x:c>
      <x:c r="G1427" s="10" t="str">
        <x:v>Reisekosten Monatsjournal</x:v>
      </x:c>
      <x:c r="H1427" s="10" t="str">
        <x:v>Betriebskosten</x:v>
      </x:c>
    </x:row>
    <x:row r="1428" ht="14" customHeight="1">
      <x:c r="A1428" s="10" t="str">
        <x:v>2024-11-0571</x:v>
      </x:c>
      <x:c r="B1428" s="11" t="n">
        <x:v>45626</x:v>
      </x:c>
      <x:c r="C1428" s="10" t="n">
        <x:v>11</x:v>
      </x:c>
      <x:c r="D1428" s="10" t="str">
        <x:v>6740</x:v>
      </x:c>
      <x:c r="E1428" s="12" t="n">
        <x:v>13000</x:v>
      </x:c>
      <x:c r="F1428" s="12" t="n">
        <x:v>0</x:v>
      </x:c>
      <x:c r="G1428" s="10" t="str">
        <x:v>Ausgangsfrachten Inland Monatsjournal</x:v>
      </x:c>
      <x:c r="H1428" s="10" t="str">
        <x:v>Betriebskosten</x:v>
      </x:c>
    </x:row>
    <x:row r="1429" ht="14" customHeight="1">
      <x:c r="A1429" s="10" t="str">
        <x:v>2024-11-0571</x:v>
      </x:c>
      <x:c r="B1429" s="11" t="n">
        <x:v>45626</x:v>
      </x:c>
      <x:c r="C1429" s="10" t="n">
        <x:v>11</x:v>
      </x:c>
      <x:c r="D1429" s="10" t="str">
        <x:v>1406</x:v>
      </x:c>
      <x:c r="E1429" s="12" t="n">
        <x:v>2470</x:v>
      </x:c>
      <x:c r="F1429" s="12" t="n">
        <x:v>0</x:v>
      </x:c>
      <x:c r="G1429" s="10" t="str">
        <x:v>Ausgangsfrachten Inland Monatsjournal</x:v>
      </x:c>
      <x:c r="H1429" s="10" t="str">
        <x:v>Betriebskosten</x:v>
      </x:c>
    </x:row>
    <x:row r="1430" ht="14" customHeight="1">
      <x:c r="A1430" s="10" t="str">
        <x:v>2024-11-0571</x:v>
      </x:c>
      <x:c r="B1430" s="11" t="n">
        <x:v>45626</x:v>
      </x:c>
      <x:c r="C1430" s="10" t="n">
        <x:v>11</x:v>
      </x:c>
      <x:c r="D1430" s="10" t="str">
        <x:v>3300</x:v>
      </x:c>
      <x:c r="E1430" s="12" t="n">
        <x:v>0</x:v>
      </x:c>
      <x:c r="F1430" s="12" t="n">
        <x:v>15470</x:v>
      </x:c>
      <x:c r="G1430" s="10" t="str">
        <x:v>Ausgangsfrachten Inland Monatsjournal</x:v>
      </x:c>
      <x:c r="H1430" s="10" t="str">
        <x:v>Betriebskosten</x:v>
      </x:c>
    </x:row>
    <x:row r="1431" ht="14" customHeight="1">
      <x:c r="A1431" s="10" t="str">
        <x:v>2024-11-0572</x:v>
      </x:c>
      <x:c r="B1431" s="11" t="n">
        <x:v>45626</x:v>
      </x:c>
      <x:c r="C1431" s="10" t="n">
        <x:v>11</x:v>
      </x:c>
      <x:c r="D1431" s="10" t="str">
        <x:v>6741</x:v>
      </x:c>
      <x:c r="E1431" s="12" t="n">
        <x:v>14000</x:v>
      </x:c>
      <x:c r="F1431" s="12" t="n">
        <x:v>0</x:v>
      </x:c>
      <x:c r="G1431" s="10" t="str">
        <x:v>Ausgangsfrachten Ausland Monatsjournal</x:v>
      </x:c>
      <x:c r="H1431" s="10" t="str">
        <x:v>Betriebskosten</x:v>
      </x:c>
    </x:row>
    <x:row r="1432" ht="14" customHeight="1">
      <x:c r="A1432" s="10" t="str">
        <x:v>2024-11-0572</x:v>
      </x:c>
      <x:c r="B1432" s="11" t="n">
        <x:v>45626</x:v>
      </x:c>
      <x:c r="C1432" s="10" t="n">
        <x:v>11</x:v>
      </x:c>
      <x:c r="D1432" s="10" t="str">
        <x:v>1406</x:v>
      </x:c>
      <x:c r="E1432" s="12" t="n">
        <x:v>2660</x:v>
      </x:c>
      <x:c r="F1432" s="12" t="n">
        <x:v>0</x:v>
      </x:c>
      <x:c r="G1432" s="10" t="str">
        <x:v>Ausgangsfrachten Ausland Monatsjournal</x:v>
      </x:c>
      <x:c r="H1432" s="10" t="str">
        <x:v>Betriebskosten</x:v>
      </x:c>
    </x:row>
    <x:row r="1433" ht="14" customHeight="1">
      <x:c r="A1433" s="10" t="str">
        <x:v>2024-11-0572</x:v>
      </x:c>
      <x:c r="B1433" s="11" t="n">
        <x:v>45626</x:v>
      </x:c>
      <x:c r="C1433" s="10" t="n">
        <x:v>11</x:v>
      </x:c>
      <x:c r="D1433" s="10" t="str">
        <x:v>3300</x:v>
      </x:c>
      <x:c r="E1433" s="12" t="n">
        <x:v>0</x:v>
      </x:c>
      <x:c r="F1433" s="12" t="n">
        <x:v>16660</x:v>
      </x:c>
      <x:c r="G1433" s="10" t="str">
        <x:v>Ausgangsfrachten Ausland Monatsjournal</x:v>
      </x:c>
      <x:c r="H1433" s="10" t="str">
        <x:v>Betriebskosten</x:v>
      </x:c>
    </x:row>
    <x:row r="1434" ht="14" customHeight="1">
      <x:c r="A1434" s="10" t="str">
        <x:v>2024-11-0573</x:v>
      </x:c>
      <x:c r="B1434" s="11" t="n">
        <x:v>45626</x:v>
      </x:c>
      <x:c r="C1434" s="10" t="n">
        <x:v>11</x:v>
      </x:c>
      <x:c r="D1434" s="10" t="str">
        <x:v>6805</x:v>
      </x:c>
      <x:c r="E1434" s="12" t="n">
        <x:v>1500</x:v>
      </x:c>
      <x:c r="F1434" s="12" t="n">
        <x:v>0</x:v>
      </x:c>
      <x:c r="G1434" s="10" t="str">
        <x:v>Telekommunikation und IT Monatsjournal</x:v>
      </x:c>
      <x:c r="H1434" s="10" t="str">
        <x:v>Betriebskosten</x:v>
      </x:c>
    </x:row>
    <x:row r="1435" ht="14" customHeight="1">
      <x:c r="A1435" s="10" t="str">
        <x:v>2024-11-0573</x:v>
      </x:c>
      <x:c r="B1435" s="11" t="n">
        <x:v>45626</x:v>
      </x:c>
      <x:c r="C1435" s="10" t="n">
        <x:v>11</x:v>
      </x:c>
      <x:c r="D1435" s="10" t="str">
        <x:v>1406</x:v>
      </x:c>
      <x:c r="E1435" s="12" t="n">
        <x:v>285</x:v>
      </x:c>
      <x:c r="F1435" s="12" t="n">
        <x:v>0</x:v>
      </x:c>
      <x:c r="G1435" s="10" t="str">
        <x:v>Telekommunikation und IT Monatsjournal</x:v>
      </x:c>
      <x:c r="H1435" s="10" t="str">
        <x:v>Betriebskosten</x:v>
      </x:c>
    </x:row>
    <x:row r="1436" ht="14" customHeight="1">
      <x:c r="A1436" s="10" t="str">
        <x:v>2024-11-0573</x:v>
      </x:c>
      <x:c r="B1436" s="11" t="n">
        <x:v>45626</x:v>
      </x:c>
      <x:c r="C1436" s="10" t="n">
        <x:v>11</x:v>
      </x:c>
      <x:c r="D1436" s="10" t="str">
        <x:v>3300</x:v>
      </x:c>
      <x:c r="E1436" s="12" t="n">
        <x:v>0</x:v>
      </x:c>
      <x:c r="F1436" s="12" t="n">
        <x:v>1785</x:v>
      </x:c>
      <x:c r="G1436" s="10" t="str">
        <x:v>Telekommunikation und IT Monatsjournal</x:v>
      </x:c>
      <x:c r="H1436" s="10" t="str">
        <x:v>Betriebskosten</x:v>
      </x:c>
    </x:row>
    <x:row r="1437" ht="14" customHeight="1">
      <x:c r="A1437" s="10" t="str">
        <x:v>2024-11-0574</x:v>
      </x:c>
      <x:c r="B1437" s="11" t="n">
        <x:v>45626</x:v>
      </x:c>
      <x:c r="C1437" s="10" t="n">
        <x:v>11</x:v>
      </x:c>
      <x:c r="D1437" s="10" t="str">
        <x:v>6825</x:v>
      </x:c>
      <x:c r="E1437" s="12" t="n">
        <x:v>3000</x:v>
      </x:c>
      <x:c r="F1437" s="12" t="n">
        <x:v>0</x:v>
      </x:c>
      <x:c r="G1437" s="10" t="str">
        <x:v>Rechtsberatung und Buchführung Monatsjournal</x:v>
      </x:c>
      <x:c r="H1437" s="10" t="str">
        <x:v>Betriebskosten</x:v>
      </x:c>
    </x:row>
    <x:row r="1438" ht="14" customHeight="1">
      <x:c r="A1438" s="10" t="str">
        <x:v>2024-11-0574</x:v>
      </x:c>
      <x:c r="B1438" s="11" t="n">
        <x:v>45626</x:v>
      </x:c>
      <x:c r="C1438" s="10" t="n">
        <x:v>11</x:v>
      </x:c>
      <x:c r="D1438" s="10" t="str">
        <x:v>1406</x:v>
      </x:c>
      <x:c r="E1438" s="12" t="n">
        <x:v>570</x:v>
      </x:c>
      <x:c r="F1438" s="12" t="n">
        <x:v>0</x:v>
      </x:c>
      <x:c r="G1438" s="10" t="str">
        <x:v>Rechtsberatung und Buchführung Monatsjournal</x:v>
      </x:c>
      <x:c r="H1438" s="10" t="str">
        <x:v>Betriebskosten</x:v>
      </x:c>
    </x:row>
    <x:row r="1439" ht="14" customHeight="1">
      <x:c r="A1439" s="10" t="str">
        <x:v>2024-11-0574</x:v>
      </x:c>
      <x:c r="B1439" s="11" t="n">
        <x:v>45626</x:v>
      </x:c>
      <x:c r="C1439" s="10" t="n">
        <x:v>11</x:v>
      </x:c>
      <x:c r="D1439" s="10" t="str">
        <x:v>3300</x:v>
      </x:c>
      <x:c r="E1439" s="12" t="n">
        <x:v>0</x:v>
      </x:c>
      <x:c r="F1439" s="12" t="n">
        <x:v>3570</x:v>
      </x:c>
      <x:c r="G1439" s="10" t="str">
        <x:v>Rechtsberatung und Buchführung Monatsjournal</x:v>
      </x:c>
      <x:c r="H1439" s="10" t="str">
        <x:v>Betriebskosten</x:v>
      </x:c>
    </x:row>
    <x:row r="1440" ht="14" customHeight="1">
      <x:c r="A1440" s="10" t="str">
        <x:v>2024-11-0575</x:v>
      </x:c>
      <x:c r="B1440" s="11" t="n">
        <x:v>45626</x:v>
      </x:c>
      <x:c r="C1440" s="10" t="n">
        <x:v>11</x:v>
      </x:c>
      <x:c r="D1440" s="10" t="str">
        <x:v>6830</x:v>
      </x:c>
      <x:c r="E1440" s="12" t="n">
        <x:v>3500</x:v>
      </x:c>
      <x:c r="F1440" s="12" t="n">
        <x:v>0</x:v>
      </x:c>
      <x:c r="G1440" s="10" t="str">
        <x:v>Labor und Qualitätssicherung Monatsjournal</x:v>
      </x:c>
      <x:c r="H1440" s="10" t="str">
        <x:v>Betriebskosten</x:v>
      </x:c>
    </x:row>
    <x:row r="1441" ht="14" customHeight="1">
      <x:c r="A1441" s="10" t="str">
        <x:v>2024-11-0575</x:v>
      </x:c>
      <x:c r="B1441" s="11" t="n">
        <x:v>45626</x:v>
      </x:c>
      <x:c r="C1441" s="10" t="n">
        <x:v>11</x:v>
      </x:c>
      <x:c r="D1441" s="10" t="str">
        <x:v>1406</x:v>
      </x:c>
      <x:c r="E1441" s="12" t="n">
        <x:v>665</x:v>
      </x:c>
      <x:c r="F1441" s="12" t="n">
        <x:v>0</x:v>
      </x:c>
      <x:c r="G1441" s="10" t="str">
        <x:v>Labor und Qualitätssicherung Monatsjournal</x:v>
      </x:c>
      <x:c r="H1441" s="10" t="str">
        <x:v>Betriebskosten</x:v>
      </x:c>
    </x:row>
    <x:row r="1442" ht="14" customHeight="1">
      <x:c r="A1442" s="10" t="str">
        <x:v>2024-11-0575</x:v>
      </x:c>
      <x:c r="B1442" s="11" t="n">
        <x:v>45626</x:v>
      </x:c>
      <x:c r="C1442" s="10" t="n">
        <x:v>11</x:v>
      </x:c>
      <x:c r="D1442" s="10" t="str">
        <x:v>3300</x:v>
      </x:c>
      <x:c r="E1442" s="12" t="n">
        <x:v>0</x:v>
      </x:c>
      <x:c r="F1442" s="12" t="n">
        <x:v>4165</x:v>
      </x:c>
      <x:c r="G1442" s="10" t="str">
        <x:v>Labor und Qualitätssicherung Monatsjournal</x:v>
      </x:c>
      <x:c r="H1442" s="10" t="str">
        <x:v>Betriebskosten</x:v>
      </x:c>
    </x:row>
    <x:row r="1443" ht="14" customHeight="1">
      <x:c r="A1443" s="10" t="str">
        <x:v>2024-11-0576</x:v>
      </x:c>
      <x:c r="B1443" s="11" t="n">
        <x:v>45626</x:v>
      </x:c>
      <x:c r="C1443" s="10" t="n">
        <x:v>11</x:v>
      </x:c>
      <x:c r="D1443" s="10" t="str">
        <x:v>6850</x:v>
      </x:c>
      <x:c r="E1443" s="12" t="n">
        <x:v>2000</x:v>
      </x:c>
      <x:c r="F1443" s="12" t="n">
        <x:v>0</x:v>
      </x:c>
      <x:c r="G1443" s="10" t="str">
        <x:v>Bürobedarf und übriger Aufwand Monatsjournal</x:v>
      </x:c>
      <x:c r="H1443" s="10" t="str">
        <x:v>Betriebskosten</x:v>
      </x:c>
    </x:row>
    <x:row r="1444" ht="14" customHeight="1">
      <x:c r="A1444" s="10" t="str">
        <x:v>2024-11-0576</x:v>
      </x:c>
      <x:c r="B1444" s="11" t="n">
        <x:v>45626</x:v>
      </x:c>
      <x:c r="C1444" s="10" t="n">
        <x:v>11</x:v>
      </x:c>
      <x:c r="D1444" s="10" t="str">
        <x:v>1406</x:v>
      </x:c>
      <x:c r="E1444" s="12" t="n">
        <x:v>380</x:v>
      </x:c>
      <x:c r="F1444" s="12" t="n">
        <x:v>0</x:v>
      </x:c>
      <x:c r="G1444" s="10" t="str">
        <x:v>Bürobedarf und übriger Aufwand Monatsjournal</x:v>
      </x:c>
      <x:c r="H1444" s="10" t="str">
        <x:v>Betriebskosten</x:v>
      </x:c>
    </x:row>
    <x:row r="1445" ht="14" customHeight="1">
      <x:c r="A1445" s="10" t="str">
        <x:v>2024-11-0576</x:v>
      </x:c>
      <x:c r="B1445" s="11" t="n">
        <x:v>45626</x:v>
      </x:c>
      <x:c r="C1445" s="10" t="n">
        <x:v>11</x:v>
      </x:c>
      <x:c r="D1445" s="10" t="str">
        <x:v>3300</x:v>
      </x:c>
      <x:c r="E1445" s="12" t="n">
        <x:v>0</x:v>
      </x:c>
      <x:c r="F1445" s="12" t="n">
        <x:v>2380</x:v>
      </x:c>
      <x:c r="G1445" s="10" t="str">
        <x:v>Bürobedarf und übriger Aufwand Monatsjournal</x:v>
      </x:c>
      <x:c r="H1445" s="10" t="str">
        <x:v>Betriebskosten</x:v>
      </x:c>
    </x:row>
    <x:row r="1446" ht="14" customHeight="1">
      <x:c r="A1446" s="10" t="str">
        <x:v>2024-11-0577</x:v>
      </x:c>
      <x:c r="B1446" s="11" t="n">
        <x:v>45626</x:v>
      </x:c>
      <x:c r="C1446" s="10" t="n">
        <x:v>11</x:v>
      </x:c>
      <x:c r="D1446" s="10" t="str">
        <x:v>6859</x:v>
      </x:c>
      <x:c r="E1446" s="12" t="n">
        <x:v>500</x:v>
      </x:c>
      <x:c r="F1446" s="12" t="n">
        <x:v>0</x:v>
      </x:c>
      <x:c r="G1446" s="10" t="str">
        <x:v>Bankgebühren Monatsjournal</x:v>
      </x:c>
      <x:c r="H1446" s="10" t="str">
        <x:v>Betriebskosten</x:v>
      </x:c>
    </x:row>
    <x:row r="1447" ht="14" customHeight="1">
      <x:c r="A1447" s="10" t="str">
        <x:v>2024-11-0577</x:v>
      </x:c>
      <x:c r="B1447" s="11" t="n">
        <x:v>45626</x:v>
      </x:c>
      <x:c r="C1447" s="10" t="n">
        <x:v>11</x:v>
      </x:c>
      <x:c r="D1447" s="10" t="str">
        <x:v>3300</x:v>
      </x:c>
      <x:c r="E1447" s="12" t="n">
        <x:v>0</x:v>
      </x:c>
      <x:c r="F1447" s="12" t="n">
        <x:v>500</x:v>
      </x:c>
      <x:c r="G1447" s="10" t="str">
        <x:v>Bankgebühren Monatsjournal</x:v>
      </x:c>
      <x:c r="H1447" s="10" t="str">
        <x:v>Betriebskosten</x:v>
      </x:c>
    </x:row>
    <x:row r="1448" ht="14" customHeight="1">
      <x:c r="A1448" s="10" t="str">
        <x:v>2024-11-0578</x:v>
      </x:c>
      <x:c r="B1448" s="11" t="n">
        <x:v>45601</x:v>
      </x:c>
      <x:c r="C1448" s="10" t="n">
        <x:v>11</x:v>
      </x:c>
      <x:c r="D1448" s="10" t="str">
        <x:v>1600</x:v>
      </x:c>
      <x:c r="E1448" s="12" t="n">
        <x:v>300</x:v>
      </x:c>
      <x:c r="F1448" s="12" t="n">
        <x:v>0</x:v>
      </x:c>
      <x:c r="G1448" s="10" t="str">
        <x:v>Kassenvorschuss Reisekosten</x:v>
      </x:c>
      <x:c r="H1448" s="10" t="str">
        <x:v>Kassenumbuchung</x:v>
      </x:c>
    </x:row>
    <x:row r="1449" ht="14" customHeight="1">
      <x:c r="A1449" s="10" t="str">
        <x:v>2024-11-0578</x:v>
      </x:c>
      <x:c r="B1449" s="11" t="n">
        <x:v>45601</x:v>
      </x:c>
      <x:c r="C1449" s="10" t="n">
        <x:v>11</x:v>
      </x:c>
      <x:c r="D1449" s="10" t="str">
        <x:v>1800</x:v>
      </x:c>
      <x:c r="E1449" s="12" t="n">
        <x:v>0</x:v>
      </x:c>
      <x:c r="F1449" s="12" t="n">
        <x:v>300</x:v>
      </x:c>
      <x:c r="G1449" s="10" t="str">
        <x:v>Kassenvorschuss Reisekosten</x:v>
      </x:c>
      <x:c r="H1449" s="10" t="str">
        <x:v>Kassenumbuchung</x:v>
      </x:c>
    </x:row>
    <x:row r="1450" ht="14" customHeight="1">
      <x:c r="A1450" s="10" t="str">
        <x:v>2024-11-0579</x:v>
      </x:c>
      <x:c r="B1450" s="11" t="n">
        <x:v>45626</x:v>
      </x:c>
      <x:c r="C1450" s="10" t="n">
        <x:v>11</x:v>
      </x:c>
      <x:c r="D1450" s="10" t="str">
        <x:v>6220</x:v>
      </x:c>
      <x:c r="E1450" s="12" t="n">
        <x:v>500</x:v>
      </x:c>
      <x:c r="F1450" s="12" t="n">
        <x:v>0</x:v>
      </x:c>
      <x:c r="G1450" s="10" t="str">
        <x:v>Software Monatsabschreibung</x:v>
      </x:c>
      <x:c r="H1450" s="10" t="str">
        <x:v>Abschreibung</x:v>
      </x:c>
    </x:row>
    <x:row r="1451" ht="14" customHeight="1">
      <x:c r="A1451" s="10" t="str">
        <x:v>2024-11-0579</x:v>
      </x:c>
      <x:c r="B1451" s="11" t="n">
        <x:v>45626</x:v>
      </x:c>
      <x:c r="C1451" s="10" t="n">
        <x:v>11</x:v>
      </x:c>
      <x:c r="D1451" s="10" t="str">
        <x:v>0100</x:v>
      </x:c>
      <x:c r="E1451" s="12" t="n">
        <x:v>0</x:v>
      </x:c>
      <x:c r="F1451" s="12" t="n">
        <x:v>500</x:v>
      </x:c>
      <x:c r="G1451" s="10" t="str">
        <x:v>Software Monatsabschreibung</x:v>
      </x:c>
      <x:c r="H1451" s="10" t="str">
        <x:v>Abschreibung</x:v>
      </x:c>
    </x:row>
    <x:row r="1452" ht="14" customHeight="1">
      <x:c r="A1452" s="10" t="str">
        <x:v>2024-11-0580</x:v>
      </x:c>
      <x:c r="B1452" s="11" t="n">
        <x:v>45626</x:v>
      </x:c>
      <x:c r="C1452" s="10" t="n">
        <x:v>11</x:v>
      </x:c>
      <x:c r="D1452" s="10" t="str">
        <x:v>6220</x:v>
      </x:c>
      <x:c r="E1452" s="12" t="n">
        <x:v>2500</x:v>
      </x:c>
      <x:c r="F1452" s="12" t="n">
        <x:v>0</x:v>
      </x:c>
      <x:c r="G1452" s="10" t="str">
        <x:v>Lagereinbauten Erlangen Monatsabschreibung</x:v>
      </x:c>
      <x:c r="H1452" s="10" t="str">
        <x:v>Abschreibung</x:v>
      </x:c>
    </x:row>
    <x:row r="1453" ht="14" customHeight="1">
      <x:c r="A1453" s="10" t="str">
        <x:v>2024-11-0580</x:v>
      </x:c>
      <x:c r="B1453" s="11" t="n">
        <x:v>45626</x:v>
      </x:c>
      <x:c r="C1453" s="10" t="n">
        <x:v>11</x:v>
      </x:c>
      <x:c r="D1453" s="10" t="str">
        <x:v>0400</x:v>
      </x:c>
      <x:c r="E1453" s="12" t="n">
        <x:v>0</x:v>
      </x:c>
      <x:c r="F1453" s="12" t="n">
        <x:v>2500</x:v>
      </x:c>
      <x:c r="G1453" s="10" t="str">
        <x:v>Lagereinbauten Erlangen Monatsabschreibung</x:v>
      </x:c>
      <x:c r="H1453" s="10" t="str">
        <x:v>Abschreibung</x:v>
      </x:c>
    </x:row>
    <x:row r="1454" ht="14" customHeight="1">
      <x:c r="A1454" s="10" t="str">
        <x:v>2024-11-0581</x:v>
      </x:c>
      <x:c r="B1454" s="11" t="n">
        <x:v>45626</x:v>
      </x:c>
      <x:c r="C1454" s="10" t="n">
        <x:v>11</x:v>
      </x:c>
      <x:c r="D1454" s="10" t="str">
        <x:v>6220</x:v>
      </x:c>
      <x:c r="E1454" s="12" t="n">
        <x:v>1500</x:v>
      </x:c>
      <x:c r="F1454" s="12" t="n">
        <x:v>0</x:v>
      </x:c>
      <x:c r="G1454" s="10" t="str">
        <x:v>Flurförderzeuge Monatsabschreibung</x:v>
      </x:c>
      <x:c r="H1454" s="10" t="str">
        <x:v>Abschreibung</x:v>
      </x:c>
    </x:row>
    <x:row r="1455" ht="14" customHeight="1">
      <x:c r="A1455" s="10" t="str">
        <x:v>2024-11-0581</x:v>
      </x:c>
      <x:c r="B1455" s="11" t="n">
        <x:v>45626</x:v>
      </x:c>
      <x:c r="C1455" s="10" t="n">
        <x:v>11</x:v>
      </x:c>
      <x:c r="D1455" s="10" t="str">
        <x:v>0520</x:v>
      </x:c>
      <x:c r="E1455" s="12" t="n">
        <x:v>0</x:v>
      </x:c>
      <x:c r="F1455" s="12" t="n">
        <x:v>1500</x:v>
      </x:c>
      <x:c r="G1455" s="10" t="str">
        <x:v>Flurförderzeuge Monatsabschreibung</x:v>
      </x:c>
      <x:c r="H1455" s="10" t="str">
        <x:v>Abschreibung</x:v>
      </x:c>
    </x:row>
    <x:row r="1456" ht="14" customHeight="1">
      <x:c r="A1456" s="10" t="str">
        <x:v>2024-11-0582</x:v>
      </x:c>
      <x:c r="B1456" s="11" t="n">
        <x:v>45626</x:v>
      </x:c>
      <x:c r="C1456" s="10" t="n">
        <x:v>11</x:v>
      </x:c>
      <x:c r="D1456" s="10" t="str">
        <x:v>6220</x:v>
      </x:c>
      <x:c r="E1456" s="12" t="n">
        <x:v>2000</x:v>
      </x:c>
      <x:c r="F1456" s="12" t="n">
        <x:v>0</x:v>
      </x:c>
      <x:c r="G1456" s="10" t="str">
        <x:v>IT und Kommunikation Monatsabschreibung</x:v>
      </x:c>
      <x:c r="H1456" s="10" t="str">
        <x:v>Abschreibung</x:v>
      </x:c>
    </x:row>
    <x:row r="1457" ht="14" customHeight="1">
      <x:c r="A1457" s="10" t="str">
        <x:v>2024-11-0582</x:v>
      </x:c>
      <x:c r="B1457" s="11" t="n">
        <x:v>45626</x:v>
      </x:c>
      <x:c r="C1457" s="10" t="n">
        <x:v>11</x:v>
      </x:c>
      <x:c r="D1457" s="10" t="str">
        <x:v>0650</x:v>
      </x:c>
      <x:c r="E1457" s="12" t="n">
        <x:v>0</x:v>
      </x:c>
      <x:c r="F1457" s="12" t="n">
        <x:v>2000</x:v>
      </x:c>
      <x:c r="G1457" s="10" t="str">
        <x:v>IT und Kommunikation Monatsabschreibung</x:v>
      </x:c>
      <x:c r="H1457" s="10" t="str">
        <x:v>Abschreibung</x:v>
      </x:c>
    </x:row>
    <x:row r="1458" ht="14" customHeight="1">
      <x:c r="A1458" s="10" t="str">
        <x:v>2024-11-0583</x:v>
      </x:c>
      <x:c r="B1458" s="11" t="n">
        <x:v>45626</x:v>
      </x:c>
      <x:c r="C1458" s="10" t="n">
        <x:v>11</x:v>
      </x:c>
      <x:c r="D1458" s="10" t="str">
        <x:v>6220</x:v>
      </x:c>
      <x:c r="E1458" s="12" t="n">
        <x:v>1000</x:v>
      </x:c>
      <x:c r="F1458" s="12" t="n">
        <x:v>0</x:v>
      </x:c>
      <x:c r="G1458" s="10" t="str">
        <x:v>Büroausstattung Monatsabschreibung</x:v>
      </x:c>
      <x:c r="H1458" s="10" t="str">
        <x:v>Abschreibung</x:v>
      </x:c>
    </x:row>
    <x:row r="1459" ht="14" customHeight="1">
      <x:c r="A1459" s="10" t="str">
        <x:v>2024-11-0583</x:v>
      </x:c>
      <x:c r="B1459" s="11" t="n">
        <x:v>45626</x:v>
      </x:c>
      <x:c r="C1459" s="10" t="n">
        <x:v>11</x:v>
      </x:c>
      <x:c r="D1459" s="10" t="str">
        <x:v>0670</x:v>
      </x:c>
      <x:c r="E1459" s="12" t="n">
        <x:v>0</x:v>
      </x:c>
      <x:c r="F1459" s="12" t="n">
        <x:v>1000</x:v>
      </x:c>
      <x:c r="G1459" s="10" t="str">
        <x:v>Büroausstattung Monatsabschreibung</x:v>
      </x:c>
      <x:c r="H1459" s="10" t="str">
        <x:v>Abschreibung</x:v>
      </x:c>
    </x:row>
    <x:row r="1460" ht="14" customHeight="1">
      <x:c r="A1460" s="10" t="str">
        <x:v>2024-11-0584</x:v>
      </x:c>
      <x:c r="B1460" s="11" t="n">
        <x:v>45626</x:v>
      </x:c>
      <x:c r="C1460" s="10" t="n">
        <x:v>11</x:v>
      </x:c>
      <x:c r="D1460" s="10" t="str">
        <x:v>3150</x:v>
      </x:c>
      <x:c r="E1460" s="12" t="n">
        <x:v>10000</x:v>
      </x:c>
      <x:c r="F1460" s="12" t="n">
        <x:v>0</x:v>
      </x:c>
      <x:c r="G1460" s="10" t="str">
        <x:v>Investitionsdarlehen Tilgungsrate</x:v>
      </x:c>
      <x:c r="H1460" s="10" t="str">
        <x:v>Tilgung</x:v>
      </x:c>
    </x:row>
    <x:row r="1461" ht="14" customHeight="1">
      <x:c r="A1461" s="10" t="str">
        <x:v>2024-11-0584</x:v>
      </x:c>
      <x:c r="B1461" s="11" t="n">
        <x:v>45626</x:v>
      </x:c>
      <x:c r="C1461" s="10" t="n">
        <x:v>11</x:v>
      </x:c>
      <x:c r="D1461" s="10" t="str">
        <x:v>1800</x:v>
      </x:c>
      <x:c r="E1461" s="12" t="n">
        <x:v>0</x:v>
      </x:c>
      <x:c r="F1461" s="12" t="n">
        <x:v>10000</x:v>
      </x:c>
      <x:c r="G1461" s="10" t="str">
        <x:v>Investitionsdarlehen Tilgungsrate</x:v>
      </x:c>
      <x:c r="H1461" s="10" t="str">
        <x:v>Tilgung</x:v>
      </x:c>
    </x:row>
    <x:row r="1462" ht="14" customHeight="1">
      <x:c r="A1462" s="10" t="str">
        <x:v>2024-11-0585</x:v>
      </x:c>
      <x:c r="B1462" s="11" t="n">
        <x:v>45626</x:v>
      </x:c>
      <x:c r="C1462" s="10" t="n">
        <x:v>11</x:v>
      </x:c>
      <x:c r="D1462" s="10" t="str">
        <x:v>7300</x:v>
      </x:c>
      <x:c r="E1462" s="12" t="n">
        <x:v>2500</x:v>
      </x:c>
      <x:c r="F1462" s="12" t="n">
        <x:v>0</x:v>
      </x:c>
      <x:c r="G1462" s="10" t="str">
        <x:v>Investitionsdarlehen Zinsabrechnung</x:v>
      </x:c>
      <x:c r="H1462" s="10" t="str">
        <x:v>Zinsen</x:v>
      </x:c>
    </x:row>
    <x:row r="1463" ht="14" customHeight="1">
      <x:c r="A1463" s="10" t="str">
        <x:v>2024-11-0585</x:v>
      </x:c>
      <x:c r="B1463" s="11" t="n">
        <x:v>45626</x:v>
      </x:c>
      <x:c r="C1463" s="10" t="n">
        <x:v>11</x:v>
      </x:c>
      <x:c r="D1463" s="10" t="str">
        <x:v>1800</x:v>
      </x:c>
      <x:c r="E1463" s="12" t="n">
        <x:v>0</x:v>
      </x:c>
      <x:c r="F1463" s="12" t="n">
        <x:v>2500</x:v>
      </x:c>
      <x:c r="G1463" s="10" t="str">
        <x:v>Investitionsdarlehen Zinsabrechnung</x:v>
      </x:c>
      <x:c r="H1463" s="10" t="str">
        <x:v>Zinsen</x:v>
      </x:c>
    </x:row>
    <x:row r="1464" ht="14" customHeight="1">
      <x:c r="A1464" s="10" t="str">
        <x:v>2024-11-0586</x:v>
      </x:c>
      <x:c r="B1464" s="11" t="n">
        <x:v>45626</x:v>
      </x:c>
      <x:c r="C1464" s="10" t="n">
        <x:v>11</x:v>
      </x:c>
      <x:c r="D1464" s="10" t="str">
        <x:v>7310</x:v>
      </x:c>
      <x:c r="E1464" s="12" t="n">
        <x:v>1000</x:v>
      </x:c>
      <x:c r="F1464" s="12" t="n">
        <x:v>0</x:v>
      </x:c>
      <x:c r="G1464" s="10" t="str">
        <x:v>Kontokorrent Zinsen und Bereitstellung</x:v>
      </x:c>
      <x:c r="H1464" s="10" t="str">
        <x:v>Zinsen</x:v>
      </x:c>
    </x:row>
    <x:row r="1465" ht="14" customHeight="1">
      <x:c r="A1465" s="10" t="str">
        <x:v>2024-11-0586</x:v>
      </x:c>
      <x:c r="B1465" s="11" t="n">
        <x:v>45626</x:v>
      </x:c>
      <x:c r="C1465" s="10" t="n">
        <x:v>11</x:v>
      </x:c>
      <x:c r="D1465" s="10" t="str">
        <x:v>1800</x:v>
      </x:c>
      <x:c r="E1465" s="12" t="n">
        <x:v>0</x:v>
      </x:c>
      <x:c r="F1465" s="12" t="n">
        <x:v>1000</x:v>
      </x:c>
      <x:c r="G1465" s="10" t="str">
        <x:v>Kontokorrent Zinsen und Bereitstellung</x:v>
      </x:c>
      <x:c r="H1465" s="10" t="str">
        <x:v>Zinsen</x:v>
      </x:c>
    </x:row>
    <x:row r="1466" ht="14" customHeight="1">
      <x:c r="A1466" s="10" t="str">
        <x:v>2024-11-0587</x:v>
      </x:c>
      <x:c r="B1466" s="11" t="n">
        <x:v>45626</x:v>
      </x:c>
      <x:c r="C1466" s="10" t="n">
        <x:v>11</x:v>
      </x:c>
      <x:c r="D1466" s="10" t="str">
        <x:v>1800</x:v>
      </x:c>
      <x:c r="E1466" s="12" t="n">
        <x:v>800752.7</x:v>
      </x:c>
      <x:c r="F1466" s="12" t="n">
        <x:v>0</x:v>
      </x:c>
      <x:c r="G1466" s="10" t="str">
        <x:v>Bankjournal Kundeneingänge brutto</x:v>
      </x:c>
      <x:c r="H1466" s="10" t="str">
        <x:v>Kundenzahlungen</x:v>
      </x:c>
    </x:row>
    <x:row r="1467" ht="14" customHeight="1">
      <x:c r="A1467" s="10" t="str">
        <x:v>2024-11-0587</x:v>
      </x:c>
      <x:c r="B1467" s="11" t="n">
        <x:v>45626</x:v>
      </x:c>
      <x:c r="C1467" s="10" t="n">
        <x:v>11</x:v>
      </x:c>
      <x:c r="D1467" s="10" t="str">
        <x:v>1200</x:v>
      </x:c>
      <x:c r="E1467" s="12" t="n">
        <x:v>0</x:v>
      </x:c>
      <x:c r="F1467" s="12" t="n">
        <x:v>800752.7</x:v>
      </x:c>
      <x:c r="G1467" s="10" t="str">
        <x:v>Bankjournal Kundeneingänge brutto</x:v>
      </x:c>
      <x:c r="H1467" s="10" t="str">
        <x:v>Kundenzahlungen</x:v>
      </x:c>
    </x:row>
    <x:row r="1468" ht="14" customHeight="1">
      <x:c r="A1468" s="10" t="str">
        <x:v>2024-11-0588</x:v>
      </x:c>
      <x:c r="B1468" s="11" t="n">
        <x:v>45626</x:v>
      </x:c>
      <x:c r="C1468" s="10" t="n">
        <x:v>11</x:v>
      </x:c>
      <x:c r="D1468" s="10" t="str">
        <x:v>3300</x:v>
      </x:c>
      <x:c r="E1468" s="12" t="n">
        <x:v>661700.49</x:v>
      </x:c>
      <x:c r="F1468" s="12" t="n">
        <x:v>0</x:v>
      </x:c>
      <x:c r="G1468" s="10" t="str">
        <x:v>Bankjournal Lieferantenzahlungen brutto</x:v>
      </x:c>
      <x:c r="H1468" s="10" t="str">
        <x:v>Lieferantenzahlungen</x:v>
      </x:c>
    </x:row>
    <x:row r="1469" ht="14" customHeight="1">
      <x:c r="A1469" s="10" t="str">
        <x:v>2024-11-0588</x:v>
      </x:c>
      <x:c r="B1469" s="11" t="n">
        <x:v>45626</x:v>
      </x:c>
      <x:c r="C1469" s="10" t="n">
        <x:v>11</x:v>
      </x:c>
      <x:c r="D1469" s="10" t="str">
        <x:v>1800</x:v>
      </x:c>
      <x:c r="E1469" s="12" t="n">
        <x:v>0</x:v>
      </x:c>
      <x:c r="F1469" s="12" t="n">
        <x:v>661700.49</x:v>
      </x:c>
      <x:c r="G1469" s="10" t="str">
        <x:v>Bankjournal Lieferantenzahlungen brutto</x:v>
      </x:c>
      <x:c r="H1469" s="10" t="str">
        <x:v>Lieferantenzahlungen</x:v>
      </x:c>
    </x:row>
    <x:row r="1470" ht="14" customHeight="1">
      <x:c r="A1470" s="10" t="str">
        <x:v>2024-11-0589</x:v>
      </x:c>
      <x:c r="B1470" s="11" t="n">
        <x:v>45626</x:v>
      </x:c>
      <x:c r="C1470" s="10" t="n">
        <x:v>11</x:v>
      </x:c>
      <x:c r="D1470" s="10" t="str">
        <x:v>1401</x:v>
      </x:c>
      <x:c r="E1470" s="12" t="n">
        <x:v>0</x:v>
      </x:c>
      <x:c r="F1470" s="12" t="n">
        <x:v>15191.99</x:v>
      </x:c>
      <x:c r="G1470" s="10" t="str">
        <x:v>Umsatzsteuer Monatsumbuchung 1401</x:v>
      </x:c>
      <x:c r="H1470" s="10" t="str">
        <x:v>Steuerverrechnung</x:v>
      </x:c>
    </x:row>
    <x:row r="1471" ht="14" customHeight="1">
      <x:c r="A1471" s="10" t="str">
        <x:v>2024-11-0589</x:v>
      </x:c>
      <x:c r="B1471" s="11" t="n">
        <x:v>45626</x:v>
      </x:c>
      <x:c r="C1471" s="10" t="n">
        <x:v>11</x:v>
      </x:c>
      <x:c r="D1471" s="10" t="str">
        <x:v>3820</x:v>
      </x:c>
      <x:c r="E1471" s="12" t="n">
        <x:v>15191.99</x:v>
      </x:c>
      <x:c r="F1471" s="12" t="n">
        <x:v>0</x:v>
      </x:c>
      <x:c r="G1471" s="10" t="str">
        <x:v>Umsatzsteuer Monatsumbuchung 1401</x:v>
      </x:c>
      <x:c r="H1471" s="10" t="str">
        <x:v>Steuerverrechnung</x:v>
      </x:c>
    </x:row>
    <x:row r="1472" ht="14" customHeight="1">
      <x:c r="A1472" s="10" t="str">
        <x:v>2024-11-0590</x:v>
      </x:c>
      <x:c r="B1472" s="11" t="n">
        <x:v>45626</x:v>
      </x:c>
      <x:c r="C1472" s="10" t="n">
        <x:v>11</x:v>
      </x:c>
      <x:c r="D1472" s="10" t="str">
        <x:v>1406</x:v>
      </x:c>
      <x:c r="E1472" s="12" t="n">
        <x:v>0</x:v>
      </x:c>
      <x:c r="F1472" s="12" t="n">
        <x:v>21181</x:v>
      </x:c>
      <x:c r="G1472" s="10" t="str">
        <x:v>Umsatzsteuer Monatsumbuchung 1406</x:v>
      </x:c>
      <x:c r="H1472" s="10" t="str">
        <x:v>Steuerverrechnung</x:v>
      </x:c>
    </x:row>
    <x:row r="1473" ht="14" customHeight="1">
      <x:c r="A1473" s="10" t="str">
        <x:v>2024-11-0590</x:v>
      </x:c>
      <x:c r="B1473" s="11" t="n">
        <x:v>45626</x:v>
      </x:c>
      <x:c r="C1473" s="10" t="n">
        <x:v>11</x:v>
      </x:c>
      <x:c r="D1473" s="10" t="str">
        <x:v>3820</x:v>
      </x:c>
      <x:c r="E1473" s="12" t="n">
        <x:v>21181</x:v>
      </x:c>
      <x:c r="F1473" s="12" t="n">
        <x:v>0</x:v>
      </x:c>
      <x:c r="G1473" s="10" t="str">
        <x:v>Umsatzsteuer Monatsumbuchung 1406</x:v>
      </x:c>
      <x:c r="H1473" s="10" t="str">
        <x:v>Steuerverrechnung</x:v>
      </x:c>
    </x:row>
    <x:row r="1474" ht="14" customHeight="1">
      <x:c r="A1474" s="10" t="str">
        <x:v>2024-11-0591</x:v>
      </x:c>
      <x:c r="B1474" s="11" t="n">
        <x:v>45626</x:v>
      </x:c>
      <x:c r="C1474" s="10" t="n">
        <x:v>11</x:v>
      </x:c>
      <x:c r="D1474" s="10" t="str">
        <x:v>1404</x:v>
      </x:c>
      <x:c r="E1474" s="12" t="n">
        <x:v>0</x:v>
      </x:c>
      <x:c r="F1474" s="12" t="n">
        <x:v>7995.79</x:v>
      </x:c>
      <x:c r="G1474" s="10" t="str">
        <x:v>Umsatzsteuer Monatsumbuchung 1404</x:v>
      </x:c>
      <x:c r="H1474" s="10" t="str">
        <x:v>Steuerverrechnung</x:v>
      </x:c>
    </x:row>
    <x:row r="1475" ht="14" customHeight="1">
      <x:c r="A1475" s="10" t="str">
        <x:v>2024-11-0591</x:v>
      </x:c>
      <x:c r="B1475" s="11" t="n">
        <x:v>45626</x:v>
      </x:c>
      <x:c r="C1475" s="10" t="n">
        <x:v>11</x:v>
      </x:c>
      <x:c r="D1475" s="10" t="str">
        <x:v>3820</x:v>
      </x:c>
      <x:c r="E1475" s="12" t="n">
        <x:v>7995.79</x:v>
      </x:c>
      <x:c r="F1475" s="12" t="n">
        <x:v>0</x:v>
      </x:c>
      <x:c r="G1475" s="10" t="str">
        <x:v>Umsatzsteuer Monatsumbuchung 1404</x:v>
      </x:c>
      <x:c r="H1475" s="10" t="str">
        <x:v>Steuerverrechnung</x:v>
      </x:c>
    </x:row>
    <x:row r="1476" ht="14" customHeight="1">
      <x:c r="A1476" s="10" t="str">
        <x:v>2024-11-0592</x:v>
      </x:c>
      <x:c r="B1476" s="11" t="n">
        <x:v>45626</x:v>
      </x:c>
      <x:c r="C1476" s="10" t="n">
        <x:v>11</x:v>
      </x:c>
      <x:c r="D1476" s="10" t="str">
        <x:v>1409</x:v>
      </x:c>
      <x:c r="E1476" s="12" t="n">
        <x:v>0</x:v>
      </x:c>
      <x:c r="F1476" s="12" t="n">
        <x:v>5425.71</x:v>
      </x:c>
      <x:c r="G1476" s="10" t="str">
        <x:v>Umsatzsteuer Monatsumbuchung 1409</x:v>
      </x:c>
      <x:c r="H1476" s="10" t="str">
        <x:v>Steuerverrechnung</x:v>
      </x:c>
    </x:row>
    <x:row r="1477" ht="14" customHeight="1">
      <x:c r="A1477" s="10" t="str">
        <x:v>2024-11-0592</x:v>
      </x:c>
      <x:c r="B1477" s="11" t="n">
        <x:v>45626</x:v>
      </x:c>
      <x:c r="C1477" s="10" t="n">
        <x:v>11</x:v>
      </x:c>
      <x:c r="D1477" s="10" t="str">
        <x:v>3820</x:v>
      </x:c>
      <x:c r="E1477" s="12" t="n">
        <x:v>5425.71</x:v>
      </x:c>
      <x:c r="F1477" s="12" t="n">
        <x:v>0</x:v>
      </x:c>
      <x:c r="G1477" s="10" t="str">
        <x:v>Umsatzsteuer Monatsumbuchung 1409</x:v>
      </x:c>
      <x:c r="H1477" s="10" t="str">
        <x:v>Steuerverrechnung</x:v>
      </x:c>
    </x:row>
    <x:row r="1478" ht="14" customHeight="1">
      <x:c r="A1478" s="10" t="str">
        <x:v>2024-11-0593</x:v>
      </x:c>
      <x:c r="B1478" s="11" t="n">
        <x:v>45626</x:v>
      </x:c>
      <x:c r="C1478" s="10" t="n">
        <x:v>11</x:v>
      </x:c>
      <x:c r="D1478" s="10" t="str">
        <x:v>1433</x:v>
      </x:c>
      <x:c r="E1478" s="12" t="n">
        <x:v>0</x:v>
      </x:c>
      <x:c r="F1478" s="12" t="n">
        <x:v>14049.74</x:v>
      </x:c>
      <x:c r="G1478" s="10" t="str">
        <x:v>Umsatzsteuer Monatsumbuchung 1433</x:v>
      </x:c>
      <x:c r="H1478" s="10" t="str">
        <x:v>Steuerverrechnung</x:v>
      </x:c>
    </x:row>
    <x:row r="1479" ht="14" customHeight="1">
      <x:c r="A1479" s="10" t="str">
        <x:v>2024-11-0593</x:v>
      </x:c>
      <x:c r="B1479" s="11" t="n">
        <x:v>45626</x:v>
      </x:c>
      <x:c r="C1479" s="10" t="n">
        <x:v>11</x:v>
      </x:c>
      <x:c r="D1479" s="10" t="str">
        <x:v>3820</x:v>
      </x:c>
      <x:c r="E1479" s="12" t="n">
        <x:v>14049.74</x:v>
      </x:c>
      <x:c r="F1479" s="12" t="n">
        <x:v>0</x:v>
      </x:c>
      <x:c r="G1479" s="10" t="str">
        <x:v>Umsatzsteuer Monatsumbuchung 1433</x:v>
      </x:c>
      <x:c r="H1479" s="10" t="str">
        <x:v>Steuerverrechnung</x:v>
      </x:c>
    </x:row>
    <x:row r="1480" ht="14" customHeight="1">
      <x:c r="A1480" s="10" t="str">
        <x:v>2024-11-0594</x:v>
      </x:c>
      <x:c r="B1480" s="11" t="n">
        <x:v>45626</x:v>
      </x:c>
      <x:c r="C1480" s="10" t="n">
        <x:v>11</x:v>
      </x:c>
      <x:c r="D1480" s="10" t="str">
        <x:v>3801</x:v>
      </x:c>
      <x:c r="E1480" s="12" t="n">
        <x:v>26390.7</x:v>
      </x:c>
      <x:c r="F1480" s="12" t="n">
        <x:v>0</x:v>
      </x:c>
      <x:c r="G1480" s="10" t="str">
        <x:v>Umsatzsteuer Monatsumbuchung 3801</x:v>
      </x:c>
      <x:c r="H1480" s="10" t="str">
        <x:v>Steuerverrechnung</x:v>
      </x:c>
    </x:row>
    <x:row r="1481" ht="14" customHeight="1">
      <x:c r="A1481" s="10" t="str">
        <x:v>2024-11-0594</x:v>
      </x:c>
      <x:c r="B1481" s="11" t="n">
        <x:v>45626</x:v>
      </x:c>
      <x:c r="C1481" s="10" t="n">
        <x:v>11</x:v>
      </x:c>
      <x:c r="D1481" s="10" t="str">
        <x:v>3820</x:v>
      </x:c>
      <x:c r="E1481" s="12" t="n">
        <x:v>0</x:v>
      </x:c>
      <x:c r="F1481" s="12" t="n">
        <x:v>26390.7</x:v>
      </x:c>
      <x:c r="G1481" s="10" t="str">
        <x:v>Umsatzsteuer Monatsumbuchung 3801</x:v>
      </x:c>
      <x:c r="H1481" s="10" t="str">
        <x:v>Steuerverrechnung</x:v>
      </x:c>
    </x:row>
    <x:row r="1482" ht="14" customHeight="1">
      <x:c r="A1482" s="10" t="str">
        <x:v>2024-11-0595</x:v>
      </x:c>
      <x:c r="B1482" s="11" t="n">
        <x:v>45626</x:v>
      </x:c>
      <x:c r="C1482" s="10" t="n">
        <x:v>11</x:v>
      </x:c>
      <x:c r="D1482" s="10" t="str">
        <x:v>3806</x:v>
      </x:c>
      <x:c r="E1482" s="12" t="n">
        <x:v>18012</x:v>
      </x:c>
      <x:c r="F1482" s="12" t="n">
        <x:v>0</x:v>
      </x:c>
      <x:c r="G1482" s="10" t="str">
        <x:v>Umsatzsteuer Monatsumbuchung 3806</x:v>
      </x:c>
      <x:c r="H1482" s="10" t="str">
        <x:v>Steuerverrechnung</x:v>
      </x:c>
    </x:row>
    <x:row r="1483" ht="14" customHeight="1">
      <x:c r="A1483" s="10" t="str">
        <x:v>2024-11-0595</x:v>
      </x:c>
      <x:c r="B1483" s="11" t="n">
        <x:v>45626</x:v>
      </x:c>
      <x:c r="C1483" s="10" t="n">
        <x:v>11</x:v>
      </x:c>
      <x:c r="D1483" s="10" t="str">
        <x:v>3820</x:v>
      </x:c>
      <x:c r="E1483" s="12" t="n">
        <x:v>0</x:v>
      </x:c>
      <x:c r="F1483" s="12" t="n">
        <x:v>18012</x:v>
      </x:c>
      <x:c r="G1483" s="10" t="str">
        <x:v>Umsatzsteuer Monatsumbuchung 3806</x:v>
      </x:c>
      <x:c r="H1483" s="10" t="str">
        <x:v>Steuerverrechnung</x:v>
      </x:c>
    </x:row>
    <x:row r="1484" ht="14" customHeight="1">
      <x:c r="A1484" s="10" t="str">
        <x:v>2024-11-0596</x:v>
      </x:c>
      <x:c r="B1484" s="11" t="n">
        <x:v>45626</x:v>
      </x:c>
      <x:c r="C1484" s="10" t="n">
        <x:v>11</x:v>
      </x:c>
      <x:c r="D1484" s="10" t="str">
        <x:v>3804</x:v>
      </x:c>
      <x:c r="E1484" s="12" t="n">
        <x:v>7995.79</x:v>
      </x:c>
      <x:c r="F1484" s="12" t="n">
        <x:v>0</x:v>
      </x:c>
      <x:c r="G1484" s="10" t="str">
        <x:v>Umsatzsteuer Monatsumbuchung 3804</x:v>
      </x:c>
      <x:c r="H1484" s="10" t="str">
        <x:v>Steuerverrechnung</x:v>
      </x:c>
    </x:row>
    <x:row r="1485" ht="14" customHeight="1">
      <x:c r="A1485" s="10" t="str">
        <x:v>2024-11-0596</x:v>
      </x:c>
      <x:c r="B1485" s="11" t="n">
        <x:v>45626</x:v>
      </x:c>
      <x:c r="C1485" s="10" t="n">
        <x:v>11</x:v>
      </x:c>
      <x:c r="D1485" s="10" t="str">
        <x:v>3820</x:v>
      </x:c>
      <x:c r="E1485" s="12" t="n">
        <x:v>0</x:v>
      </x:c>
      <x:c r="F1485" s="12" t="n">
        <x:v>7995.79</x:v>
      </x:c>
      <x:c r="G1485" s="10" t="str">
        <x:v>Umsatzsteuer Monatsumbuchung 3804</x:v>
      </x:c>
      <x:c r="H1485" s="10" t="str">
        <x:v>Steuerverrechnung</x:v>
      </x:c>
    </x:row>
    <x:row r="1486" ht="14" customHeight="1">
      <x:c r="A1486" s="10" t="str">
        <x:v>2024-11-0597</x:v>
      </x:c>
      <x:c r="B1486" s="11" t="n">
        <x:v>45626</x:v>
      </x:c>
      <x:c r="C1486" s="10" t="n">
        <x:v>11</x:v>
      </x:c>
      <x:c r="D1486" s="10" t="str">
        <x:v>3809</x:v>
      </x:c>
      <x:c r="E1486" s="12" t="n">
        <x:v>5425.71</x:v>
      </x:c>
      <x:c r="F1486" s="12" t="n">
        <x:v>0</x:v>
      </x:c>
      <x:c r="G1486" s="10" t="str">
        <x:v>Umsatzsteuer Monatsumbuchung 3809</x:v>
      </x:c>
      <x:c r="H1486" s="10" t="str">
        <x:v>Steuerverrechnung</x:v>
      </x:c>
    </x:row>
    <x:row r="1487" ht="14" customHeight="1">
      <x:c r="A1487" s="10" t="str">
        <x:v>2024-11-0597</x:v>
      </x:c>
      <x:c r="B1487" s="11" t="n">
        <x:v>45626</x:v>
      </x:c>
      <x:c r="C1487" s="10" t="n">
        <x:v>11</x:v>
      </x:c>
      <x:c r="D1487" s="10" t="str">
        <x:v>3820</x:v>
      </x:c>
      <x:c r="E1487" s="12" t="n">
        <x:v>0</x:v>
      </x:c>
      <x:c r="F1487" s="12" t="n">
        <x:v>5425.71</x:v>
      </x:c>
      <x:c r="G1487" s="10" t="str">
        <x:v>Umsatzsteuer Monatsumbuchung 3809</x:v>
      </x:c>
      <x:c r="H1487" s="10" t="str">
        <x:v>Steuerverrechnung</x:v>
      </x:c>
    </x:row>
    <x:row r="1488" ht="14" customHeight="1">
      <x:c r="A1488" s="10" t="str">
        <x:v>2024-12-0598</x:v>
      </x:c>
      <x:c r="B1488" s="11" t="n">
        <x:v>45636</x:v>
      </x:c>
      <x:c r="C1488" s="10" t="n">
        <x:v>12</x:v>
      </x:c>
      <x:c r="D1488" s="10" t="str">
        <x:v>1800</x:v>
      </x:c>
      <x:c r="E1488" s="12" t="n">
        <x:v>6020.03</x:v>
      </x:c>
      <x:c r="F1488" s="12" t="n">
        <x:v>0</x:v>
      </x:c>
      <x:c r="G1488" s="10" t="str">
        <x:v>Ausgleich Umsatzsteuer Vorperiode</x:v>
      </x:c>
      <x:c r="H1488" s="10" t="str">
        <x:v>Umsatzsteuer</x:v>
      </x:c>
    </x:row>
    <x:row r="1489" ht="14" customHeight="1">
      <x:c r="A1489" s="10" t="str">
        <x:v>2024-12-0598</x:v>
      </x:c>
      <x:c r="B1489" s="11" t="n">
        <x:v>45636</x:v>
      </x:c>
      <x:c r="C1489" s="10" t="n">
        <x:v>12</x:v>
      </x:c>
      <x:c r="D1489" s="10" t="str">
        <x:v>3820</x:v>
      </x:c>
      <x:c r="E1489" s="12" t="n">
        <x:v>0</x:v>
      </x:c>
      <x:c r="F1489" s="12" t="n">
        <x:v>6020.03</x:v>
      </x:c>
      <x:c r="G1489" s="10" t="str">
        <x:v>Ausgleich Umsatzsteuer Vorperiode</x:v>
      </x:c>
      <x:c r="H1489" s="10" t="str">
        <x:v>Umsatzsteuer</x:v>
      </x:c>
    </x:row>
    <x:row r="1490" ht="14" customHeight="1">
      <x:c r="A1490" s="10" t="str">
        <x:v>2024-12-0599</x:v>
      </x:c>
      <x:c r="B1490" s="11" t="n">
        <x:v>45657</x:v>
      </x:c>
      <x:c r="C1490" s="10" t="n">
        <x:v>12</x:v>
      </x:c>
      <x:c r="D1490" s="10" t="str">
        <x:v>1200</x:v>
      </x:c>
      <x:c r="E1490" s="12" t="n">
        <x:v>374928</x:v>
      </x:c>
      <x:c r="F1490" s="12" t="n">
        <x:v>0</x:v>
      </x:c>
      <x:c r="G1490" s="10" t="str">
        <x:v>Fakturajournal Inland 7 Prozent</x:v>
      </x:c>
      <x:c r="H1490" s="10" t="str">
        <x:v>Umsatz</x:v>
      </x:c>
    </x:row>
    <x:row r="1491" ht="14" customHeight="1">
      <x:c r="A1491" s="10" t="str">
        <x:v>2024-12-0599</x:v>
      </x:c>
      <x:c r="B1491" s="11" t="n">
        <x:v>45657</x:v>
      </x:c>
      <x:c r="C1491" s="10" t="n">
        <x:v>12</x:v>
      </x:c>
      <x:c r="D1491" s="10" t="str">
        <x:v>4300</x:v>
      </x:c>
      <x:c r="E1491" s="12" t="n">
        <x:v>0</x:v>
      </x:c>
      <x:c r="F1491" s="12" t="n">
        <x:v>350400</x:v>
      </x:c>
      <x:c r="G1491" s="10" t="str">
        <x:v>Fakturajournal Inland 7 Prozent</x:v>
      </x:c>
      <x:c r="H1491" s="10" t="str">
        <x:v>Umsatz</x:v>
      </x:c>
    </x:row>
    <x:row r="1492" ht="14" customHeight="1">
      <x:c r="A1492" s="10" t="str">
        <x:v>2024-12-0599</x:v>
      </x:c>
      <x:c r="B1492" s="11" t="n">
        <x:v>45657</x:v>
      </x:c>
      <x:c r="C1492" s="10" t="n">
        <x:v>12</x:v>
      </x:c>
      <x:c r="D1492" s="10" t="str">
        <x:v>3801</x:v>
      </x:c>
      <x:c r="E1492" s="12" t="n">
        <x:v>0</x:v>
      </x:c>
      <x:c r="F1492" s="12" t="n">
        <x:v>24528</x:v>
      </x:c>
      <x:c r="G1492" s="10" t="str">
        <x:v>Fakturajournal Inland 7 Prozent</x:v>
      </x:c>
      <x:c r="H1492" s="10" t="str">
        <x:v>Umsatz</x:v>
      </x:c>
    </x:row>
    <x:row r="1493" ht="14" customHeight="1">
      <x:c r="A1493" s="10" t="str">
        <x:v>2024-12-0600</x:v>
      </x:c>
      <x:c r="B1493" s="11" t="n">
        <x:v>45657</x:v>
      </x:c>
      <x:c r="C1493" s="10" t="n">
        <x:v>12</x:v>
      </x:c>
      <x:c r="D1493" s="10" t="str">
        <x:v>1200</x:v>
      </x:c>
      <x:c r="E1493" s="12" t="n">
        <x:v>104244</x:v>
      </x:c>
      <x:c r="F1493" s="12" t="n">
        <x:v>0</x:v>
      </x:c>
      <x:c r="G1493" s="10" t="str">
        <x:v>Fakturajournal Inland 19 Prozent</x:v>
      </x:c>
      <x:c r="H1493" s="10" t="str">
        <x:v>Umsatz</x:v>
      </x:c>
    </x:row>
    <x:row r="1494" ht="14" customHeight="1">
      <x:c r="A1494" s="10" t="str">
        <x:v>2024-12-0600</x:v>
      </x:c>
      <x:c r="B1494" s="11" t="n">
        <x:v>45657</x:v>
      </x:c>
      <x:c r="C1494" s="10" t="n">
        <x:v>12</x:v>
      </x:c>
      <x:c r="D1494" s="10" t="str">
        <x:v>4400</x:v>
      </x:c>
      <x:c r="E1494" s="12" t="n">
        <x:v>0</x:v>
      </x:c>
      <x:c r="F1494" s="12" t="n">
        <x:v>87600</x:v>
      </x:c>
      <x:c r="G1494" s="10" t="str">
        <x:v>Fakturajournal Inland 19 Prozent</x:v>
      </x:c>
      <x:c r="H1494" s="10" t="str">
        <x:v>Umsatz</x:v>
      </x:c>
    </x:row>
    <x:row r="1495" ht="14" customHeight="1">
      <x:c r="A1495" s="10" t="str">
        <x:v>2024-12-0600</x:v>
      </x:c>
      <x:c r="B1495" s="11" t="n">
        <x:v>45657</x:v>
      </x:c>
      <x:c r="C1495" s="10" t="n">
        <x:v>12</x:v>
      </x:c>
      <x:c r="D1495" s="10" t="str">
        <x:v>3806</x:v>
      </x:c>
      <x:c r="E1495" s="12" t="n">
        <x:v>0</x:v>
      </x:c>
      <x:c r="F1495" s="12" t="n">
        <x:v>16644</x:v>
      </x:c>
      <x:c r="G1495" s="10" t="str">
        <x:v>Fakturajournal Inland 19 Prozent</x:v>
      </x:c>
      <x:c r="H1495" s="10" t="str">
        <x:v>Umsatz</x:v>
      </x:c>
    </x:row>
    <x:row r="1496" ht="14" customHeight="1">
      <x:c r="A1496" s="10" t="str">
        <x:v>2024-12-0601</x:v>
      </x:c>
      <x:c r="B1496" s="11" t="n">
        <x:v>45657</x:v>
      </x:c>
      <x:c r="C1496" s="10" t="n">
        <x:v>12</x:v>
      </x:c>
      <x:c r="D1496" s="10" t="str">
        <x:v>1200</x:v>
      </x:c>
      <x:c r="E1496" s="12" t="n">
        <x:v>146000</x:v>
      </x:c>
      <x:c r="F1496" s="12" t="n">
        <x:v>0</x:v>
      </x:c>
      <x:c r="G1496" s="10" t="str">
        <x:v>Fakturajournal EU Warenlieferungen</x:v>
      </x:c>
      <x:c r="H1496" s="10" t="str">
        <x:v>Umsatz</x:v>
      </x:c>
    </x:row>
    <x:row r="1497" ht="14" customHeight="1">
      <x:c r="A1497" s="10" t="str">
        <x:v>2024-12-0601</x:v>
      </x:c>
      <x:c r="B1497" s="11" t="n">
        <x:v>45657</x:v>
      </x:c>
      <x:c r="C1497" s="10" t="n">
        <x:v>12</x:v>
      </x:c>
      <x:c r="D1497" s="10" t="str">
        <x:v>4125</x:v>
      </x:c>
      <x:c r="E1497" s="12" t="n">
        <x:v>0</x:v>
      </x:c>
      <x:c r="F1497" s="12" t="n">
        <x:v>146000</x:v>
      </x:c>
      <x:c r="G1497" s="10" t="str">
        <x:v>Fakturajournal EU Warenlieferungen</x:v>
      </x:c>
      <x:c r="H1497" s="10" t="str">
        <x:v>Umsatz</x:v>
      </x:c>
    </x:row>
    <x:row r="1498" ht="14" customHeight="1">
      <x:c r="A1498" s="10" t="str">
        <x:v>2024-12-0602</x:v>
      </x:c>
      <x:c r="B1498" s="11" t="n">
        <x:v>45657</x:v>
      </x:c>
      <x:c r="C1498" s="10" t="n">
        <x:v>12</x:v>
      </x:c>
      <x:c r="D1498" s="10" t="str">
        <x:v>1200</x:v>
      </x:c>
      <x:c r="E1498" s="12" t="n">
        <x:v>146000</x:v>
      </x:c>
      <x:c r="F1498" s="12" t="n">
        <x:v>0</x:v>
      </x:c>
      <x:c r="G1498" s="10" t="str">
        <x:v>Fakturajournal Drittland Warenlieferungen</x:v>
      </x:c>
      <x:c r="H1498" s="10" t="str">
        <x:v>Umsatz</x:v>
      </x:c>
    </x:row>
    <x:row r="1499" ht="14" customHeight="1">
      <x:c r="A1499" s="10" t="str">
        <x:v>2024-12-0602</x:v>
      </x:c>
      <x:c r="B1499" s="11" t="n">
        <x:v>45657</x:v>
      </x:c>
      <x:c r="C1499" s="10" t="n">
        <x:v>12</x:v>
      </x:c>
      <x:c r="D1499" s="10" t="str">
        <x:v>4120</x:v>
      </x:c>
      <x:c r="E1499" s="12" t="n">
        <x:v>0</x:v>
      </x:c>
      <x:c r="F1499" s="12" t="n">
        <x:v>146000</x:v>
      </x:c>
      <x:c r="G1499" s="10" t="str">
        <x:v>Fakturajournal Drittland Warenlieferungen</x:v>
      </x:c>
      <x:c r="H1499" s="10" t="str">
        <x:v>Umsatz</x:v>
      </x:c>
    </x:row>
    <x:row r="1500" ht="14" customHeight="1">
      <x:c r="A1500" s="10" t="str">
        <x:v>2024-12-0603</x:v>
      </x:c>
      <x:c r="B1500" s="11" t="n">
        <x:v>45657</x:v>
      </x:c>
      <x:c r="C1500" s="10" t="n">
        <x:v>12</x:v>
      </x:c>
      <x:c r="D1500" s="10" t="str">
        <x:v>4730</x:v>
      </x:c>
      <x:c r="E1500" s="12" t="n">
        <x:v>2280</x:v>
      </x:c>
      <x:c r="F1500" s="12" t="n">
        <x:v>0</x:v>
      </x:c>
      <x:c r="G1500" s="10" t="str">
        <x:v>Gutschriftjournal Retouren und Mengenrabatte</x:v>
      </x:c>
      <x:c r="H1500" s="10" t="str">
        <x:v>Gutschriften</x:v>
      </x:c>
    </x:row>
    <x:row r="1501" ht="14" customHeight="1">
      <x:c r="A1501" s="10" t="str">
        <x:v>2024-12-0603</x:v>
      </x:c>
      <x:c r="B1501" s="11" t="n">
        <x:v>45657</x:v>
      </x:c>
      <x:c r="C1501" s="10" t="n">
        <x:v>12</x:v>
      </x:c>
      <x:c r="D1501" s="10" t="str">
        <x:v>3801</x:v>
      </x:c>
      <x:c r="E1501" s="12" t="n">
        <x:v>159.6</x:v>
      </x:c>
      <x:c r="F1501" s="12" t="n">
        <x:v>0</x:v>
      </x:c>
      <x:c r="G1501" s="10" t="str">
        <x:v>Gutschriftjournal Retouren und Mengenrabatte</x:v>
      </x:c>
      <x:c r="H1501" s="10" t="str">
        <x:v>Gutschriften</x:v>
      </x:c>
    </x:row>
    <x:row r="1502" ht="14" customHeight="1">
      <x:c r="A1502" s="10" t="str">
        <x:v>2024-12-0603</x:v>
      </x:c>
      <x:c r="B1502" s="11" t="n">
        <x:v>45657</x:v>
      </x:c>
      <x:c r="C1502" s="10" t="n">
        <x:v>12</x:v>
      </x:c>
      <x:c r="D1502" s="10" t="str">
        <x:v>1200</x:v>
      </x:c>
      <x:c r="E1502" s="12" t="n">
        <x:v>0</x:v>
      </x:c>
      <x:c r="F1502" s="12" t="n">
        <x:v>2439.6</x:v>
      </x:c>
      <x:c r="G1502" s="10" t="str">
        <x:v>Gutschriftjournal Retouren und Mengenrabatte</x:v>
      </x:c>
      <x:c r="H1502" s="10" t="str">
        <x:v>Gutschriften</x:v>
      </x:c>
    </x:row>
    <x:row r="1503" ht="14" customHeight="1">
      <x:c r="A1503" s="10" t="str">
        <x:v>2024-12-0604</x:v>
      </x:c>
      <x:c r="B1503" s="11" t="n">
        <x:v>45657</x:v>
      </x:c>
      <x:c r="C1503" s="10" t="n">
        <x:v>12</x:v>
      </x:c>
      <x:c r="D1503" s="10" t="str">
        <x:v>4735</x:v>
      </x:c>
      <x:c r="E1503" s="12" t="n">
        <x:v>1520</x:v>
      </x:c>
      <x:c r="F1503" s="12" t="n">
        <x:v>0</x:v>
      </x:c>
      <x:c r="G1503" s="10" t="str">
        <x:v>Gutschriftjournal Retouren und Mengenrabatte</x:v>
      </x:c>
      <x:c r="H1503" s="10" t="str">
        <x:v>Gutschriften</x:v>
      </x:c>
    </x:row>
    <x:row r="1504" ht="14" customHeight="1">
      <x:c r="A1504" s="10" t="str">
        <x:v>2024-12-0604</x:v>
      </x:c>
      <x:c r="B1504" s="11" t="n">
        <x:v>45657</x:v>
      </x:c>
      <x:c r="C1504" s="10" t="n">
        <x:v>12</x:v>
      </x:c>
      <x:c r="D1504" s="10" t="str">
        <x:v>1200</x:v>
      </x:c>
      <x:c r="E1504" s="12" t="n">
        <x:v>0</x:v>
      </x:c>
      <x:c r="F1504" s="12" t="n">
        <x:v>1520</x:v>
      </x:c>
      <x:c r="G1504" s="10" t="str">
        <x:v>Gutschriftjournal Retouren und Mengenrabatte</x:v>
      </x:c>
      <x:c r="H1504" s="10" t="str">
        <x:v>Gutschriften</x:v>
      </x:c>
    </x:row>
    <x:row r="1505" ht="14" customHeight="1">
      <x:c r="A1505" s="10" t="str">
        <x:v>2024-12-0605</x:v>
      </x:c>
      <x:c r="B1505" s="11" t="n">
        <x:v>45657</x:v>
      </x:c>
      <x:c r="C1505" s="10" t="n">
        <x:v>12</x:v>
      </x:c>
      <x:c r="D1505" s="10" t="str">
        <x:v>1140</x:v>
      </x:c>
      <x:c r="E1505" s="12" t="n">
        <x:v>164171.4</x:v>
      </x:c>
      <x:c r="F1505" s="12" t="n">
        <x:v>0</x:v>
      </x:c>
      <x:c r="G1505" s="10" t="str">
        <x:v>Wareneingang Inland 7 Prozent</x:v>
      </x:c>
      <x:c r="H1505" s="10" t="str">
        <x:v>Einkauf</x:v>
      </x:c>
    </x:row>
    <x:row r="1506" ht="14" customHeight="1">
      <x:c r="A1506" s="10" t="str">
        <x:v>2024-12-0605</x:v>
      </x:c>
      <x:c r="B1506" s="11" t="n">
        <x:v>45657</x:v>
      </x:c>
      <x:c r="C1506" s="10" t="n">
        <x:v>12</x:v>
      </x:c>
      <x:c r="D1506" s="10" t="str">
        <x:v>1401</x:v>
      </x:c>
      <x:c r="E1506" s="12" t="n">
        <x:v>11492</x:v>
      </x:c>
      <x:c r="F1506" s="12" t="n">
        <x:v>0</x:v>
      </x:c>
      <x:c r="G1506" s="10" t="str">
        <x:v>Wareneingang Inland 7 Prozent</x:v>
      </x:c>
      <x:c r="H1506" s="10" t="str">
        <x:v>Einkauf</x:v>
      </x:c>
    </x:row>
    <x:row r="1507" ht="14" customHeight="1">
      <x:c r="A1507" s="10" t="str">
        <x:v>2024-12-0605</x:v>
      </x:c>
      <x:c r="B1507" s="11" t="n">
        <x:v>45657</x:v>
      </x:c>
      <x:c r="C1507" s="10" t="n">
        <x:v>12</x:v>
      </x:c>
      <x:c r="D1507" s="10" t="str">
        <x:v>3300</x:v>
      </x:c>
      <x:c r="E1507" s="12" t="n">
        <x:v>0</x:v>
      </x:c>
      <x:c r="F1507" s="12" t="n">
        <x:v>175663.4</x:v>
      </x:c>
      <x:c r="G1507" s="10" t="str">
        <x:v>Wareneingang Inland 7 Prozent</x:v>
      </x:c>
      <x:c r="H1507" s="10" t="str">
        <x:v>Einkauf</x:v>
      </x:c>
    </x:row>
    <x:row r="1508" ht="14" customHeight="1">
      <x:c r="A1508" s="10" t="str">
        <x:v>2024-12-0606</x:v>
      </x:c>
      <x:c r="B1508" s="11" t="n">
        <x:v>45657</x:v>
      </x:c>
      <x:c r="C1508" s="10" t="n">
        <x:v>12</x:v>
      </x:c>
      <x:c r="D1508" s="10" t="str">
        <x:v>1140</x:v>
      </x:c>
      <x:c r="E1508" s="12" t="n">
        <x:v>30242.1</x:v>
      </x:c>
      <x:c r="F1508" s="12" t="n">
        <x:v>0</x:v>
      </x:c>
      <x:c r="G1508" s="10" t="str">
        <x:v>Wareneingang Inland 19 Prozent</x:v>
      </x:c>
      <x:c r="H1508" s="10" t="str">
        <x:v>Einkauf</x:v>
      </x:c>
    </x:row>
    <x:row r="1509" ht="14" customHeight="1">
      <x:c r="A1509" s="10" t="str">
        <x:v>2024-12-0606</x:v>
      </x:c>
      <x:c r="B1509" s="11" t="n">
        <x:v>45657</x:v>
      </x:c>
      <x:c r="C1509" s="10" t="n">
        <x:v>12</x:v>
      </x:c>
      <x:c r="D1509" s="10" t="str">
        <x:v>1406</x:v>
      </x:c>
      <x:c r="E1509" s="12" t="n">
        <x:v>5746</x:v>
      </x:c>
      <x:c r="F1509" s="12" t="n">
        <x:v>0</x:v>
      </x:c>
      <x:c r="G1509" s="10" t="str">
        <x:v>Wareneingang Inland 19 Prozent</x:v>
      </x:c>
      <x:c r="H1509" s="10" t="str">
        <x:v>Einkauf</x:v>
      </x:c>
    </x:row>
    <x:row r="1510" ht="14" customHeight="1">
      <x:c r="A1510" s="10" t="str">
        <x:v>2024-12-0606</x:v>
      </x:c>
      <x:c r="B1510" s="11" t="n">
        <x:v>45657</x:v>
      </x:c>
      <x:c r="C1510" s="10" t="n">
        <x:v>12</x:v>
      </x:c>
      <x:c r="D1510" s="10" t="str">
        <x:v>3300</x:v>
      </x:c>
      <x:c r="E1510" s="12" t="n">
        <x:v>0</x:v>
      </x:c>
      <x:c r="F1510" s="12" t="n">
        <x:v>35988.1</x:v>
      </x:c>
      <x:c r="G1510" s="10" t="str">
        <x:v>Wareneingang Inland 19 Prozent</x:v>
      </x:c>
      <x:c r="H1510" s="10" t="str">
        <x:v>Einkauf</x:v>
      </x:c>
    </x:row>
    <x:row r="1511" ht="14" customHeight="1">
      <x:c r="A1511" s="10" t="str">
        <x:v>2024-12-0607</x:v>
      </x:c>
      <x:c r="B1511" s="11" t="n">
        <x:v>45657</x:v>
      </x:c>
      <x:c r="C1511" s="10" t="n">
        <x:v>12</x:v>
      </x:c>
      <x:c r="D1511" s="10" t="str">
        <x:v>1140</x:v>
      </x:c>
      <x:c r="E1511" s="12" t="n">
        <x:v>86406</x:v>
      </x:c>
      <x:c r="F1511" s="12" t="n">
        <x:v>0</x:v>
      </x:c>
      <x:c r="G1511" s="10" t="str">
        <x:v>Wareneingang EU 7 Prozent</x:v>
      </x:c>
      <x:c r="H1511" s="10" t="str">
        <x:v>Einkauf</x:v>
      </x:c>
    </x:row>
    <x:row r="1512" ht="14" customHeight="1">
      <x:c r="A1512" s="10" t="str">
        <x:v>2024-12-0607</x:v>
      </x:c>
      <x:c r="B1512" s="11" t="n">
        <x:v>45657</x:v>
      </x:c>
      <x:c r="C1512" s="10" t="n">
        <x:v>12</x:v>
      </x:c>
      <x:c r="D1512" s="10" t="str">
        <x:v>3300</x:v>
      </x:c>
      <x:c r="E1512" s="12" t="n">
        <x:v>0</x:v>
      </x:c>
      <x:c r="F1512" s="12" t="n">
        <x:v>86406</x:v>
      </x:c>
      <x:c r="G1512" s="10" t="str">
        <x:v>Wareneingang EU 7 Prozent</x:v>
      </x:c>
      <x:c r="H1512" s="10" t="str">
        <x:v>Einkauf</x:v>
      </x:c>
    </x:row>
    <x:row r="1513" ht="14" customHeight="1">
      <x:c r="A1513" s="10" t="str">
        <x:v>2024-12-0607</x:v>
      </x:c>
      <x:c r="B1513" s="11" t="n">
        <x:v>45657</x:v>
      </x:c>
      <x:c r="C1513" s="10" t="n">
        <x:v>12</x:v>
      </x:c>
      <x:c r="D1513" s="10" t="str">
        <x:v>1404</x:v>
      </x:c>
      <x:c r="E1513" s="12" t="n">
        <x:v>6048.42</x:v>
      </x:c>
      <x:c r="F1513" s="12" t="n">
        <x:v>0</x:v>
      </x:c>
      <x:c r="G1513" s="10" t="str">
        <x:v>Wareneingang EU 7 Prozent</x:v>
      </x:c>
      <x:c r="H1513" s="10" t="str">
        <x:v>Einkauf</x:v>
      </x:c>
    </x:row>
    <x:row r="1514" ht="14" customHeight="1">
      <x:c r="A1514" s="10" t="str">
        <x:v>2024-12-0607</x:v>
      </x:c>
      <x:c r="B1514" s="11" t="n">
        <x:v>45657</x:v>
      </x:c>
      <x:c r="C1514" s="10" t="n">
        <x:v>12</x:v>
      </x:c>
      <x:c r="D1514" s="10" t="str">
        <x:v>3804</x:v>
      </x:c>
      <x:c r="E1514" s="12" t="n">
        <x:v>0</x:v>
      </x:c>
      <x:c r="F1514" s="12" t="n">
        <x:v>6048.42</x:v>
      </x:c>
      <x:c r="G1514" s="10" t="str">
        <x:v>Wareneingang EU 7 Prozent</x:v>
      </x:c>
      <x:c r="H1514" s="10" t="str">
        <x:v>Einkauf</x:v>
      </x:c>
    </x:row>
    <x:row r="1515" ht="14" customHeight="1">
      <x:c r="A1515" s="10" t="str">
        <x:v>2024-12-0608</x:v>
      </x:c>
      <x:c r="B1515" s="11" t="n">
        <x:v>45657</x:v>
      </x:c>
      <x:c r="C1515" s="10" t="n">
        <x:v>12</x:v>
      </x:c>
      <x:c r="D1515" s="10" t="str">
        <x:v>1140</x:v>
      </x:c>
      <x:c r="E1515" s="12" t="n">
        <x:v>21601.5</x:v>
      </x:c>
      <x:c r="F1515" s="12" t="n">
        <x:v>0</x:v>
      </x:c>
      <x:c r="G1515" s="10" t="str">
        <x:v>Wareneingang EU 19 Prozent</x:v>
      </x:c>
      <x:c r="H1515" s="10" t="str">
        <x:v>Einkauf</x:v>
      </x:c>
    </x:row>
    <x:row r="1516" ht="14" customHeight="1">
      <x:c r="A1516" s="10" t="str">
        <x:v>2024-12-0608</x:v>
      </x:c>
      <x:c r="B1516" s="11" t="n">
        <x:v>45657</x:v>
      </x:c>
      <x:c r="C1516" s="10" t="n">
        <x:v>12</x:v>
      </x:c>
      <x:c r="D1516" s="10" t="str">
        <x:v>3300</x:v>
      </x:c>
      <x:c r="E1516" s="12" t="n">
        <x:v>0</x:v>
      </x:c>
      <x:c r="F1516" s="12" t="n">
        <x:v>21601.5</x:v>
      </x:c>
      <x:c r="G1516" s="10" t="str">
        <x:v>Wareneingang EU 19 Prozent</x:v>
      </x:c>
      <x:c r="H1516" s="10" t="str">
        <x:v>Einkauf</x:v>
      </x:c>
    </x:row>
    <x:row r="1517" ht="14" customHeight="1">
      <x:c r="A1517" s="10" t="str">
        <x:v>2024-12-0608</x:v>
      </x:c>
      <x:c r="B1517" s="11" t="n">
        <x:v>45657</x:v>
      </x:c>
      <x:c r="C1517" s="10" t="n">
        <x:v>12</x:v>
      </x:c>
      <x:c r="D1517" s="10" t="str">
        <x:v>1409</x:v>
      </x:c>
      <x:c r="E1517" s="12" t="n">
        <x:v>4104.28</x:v>
      </x:c>
      <x:c r="F1517" s="12" t="n">
        <x:v>0</x:v>
      </x:c>
      <x:c r="G1517" s="10" t="str">
        <x:v>Wareneingang EU 19 Prozent</x:v>
      </x:c>
      <x:c r="H1517" s="10" t="str">
        <x:v>Einkauf</x:v>
      </x:c>
    </x:row>
    <x:row r="1518" ht="14" customHeight="1">
      <x:c r="A1518" s="10" t="str">
        <x:v>2024-12-0608</x:v>
      </x:c>
      <x:c r="B1518" s="11" t="n">
        <x:v>45657</x:v>
      </x:c>
      <x:c r="C1518" s="10" t="n">
        <x:v>12</x:v>
      </x:c>
      <x:c r="D1518" s="10" t="str">
        <x:v>3809</x:v>
      </x:c>
      <x:c r="E1518" s="12" t="n">
        <x:v>0</x:v>
      </x:c>
      <x:c r="F1518" s="12" t="n">
        <x:v>4104.28</x:v>
      </x:c>
      <x:c r="G1518" s="10" t="str">
        <x:v>Wareneingang EU 19 Prozent</x:v>
      </x:c>
      <x:c r="H1518" s="10" t="str">
        <x:v>Einkauf</x:v>
      </x:c>
    </x:row>
    <x:row r="1519" ht="14" customHeight="1">
      <x:c r="A1519" s="10" t="str">
        <x:v>2024-12-0609</x:v>
      </x:c>
      <x:c r="B1519" s="11" t="n">
        <x:v>45657</x:v>
      </x:c>
      <x:c r="C1519" s="10" t="n">
        <x:v>12</x:v>
      </x:c>
      <x:c r="D1519" s="10" t="str">
        <x:v>1140</x:v>
      </x:c>
      <x:c r="E1519" s="12" t="n">
        <x:v>129609</x:v>
      </x:c>
      <x:c r="F1519" s="12" t="n">
        <x:v>0</x:v>
      </x:c>
      <x:c r="G1519" s="10" t="str">
        <x:v>Wareneingang Drittland</x:v>
      </x:c>
      <x:c r="H1519" s="10" t="str">
        <x:v>Einkauf</x:v>
      </x:c>
    </x:row>
    <x:row r="1520" ht="14" customHeight="1">
      <x:c r="A1520" s="10" t="str">
        <x:v>2024-12-0609</x:v>
      </x:c>
      <x:c r="B1520" s="11" t="n">
        <x:v>45657</x:v>
      </x:c>
      <x:c r="C1520" s="10" t="n">
        <x:v>12</x:v>
      </x:c>
      <x:c r="D1520" s="10" t="str">
        <x:v>3300</x:v>
      </x:c>
      <x:c r="E1520" s="12" t="n">
        <x:v>0</x:v>
      </x:c>
      <x:c r="F1520" s="12" t="n">
        <x:v>129609</x:v>
      </x:c>
      <x:c r="G1520" s="10" t="str">
        <x:v>Wareneingang Drittland</x:v>
      </x:c>
      <x:c r="H1520" s="10" t="str">
        <x:v>Einkauf</x:v>
      </x:c>
    </x:row>
    <x:row r="1521" ht="14" customHeight="1">
      <x:c r="A1521" s="10" t="str">
        <x:v>2024-12-0610</x:v>
      </x:c>
      <x:c r="B1521" s="11" t="n">
        <x:v>45648</x:v>
      </x:c>
      <x:c r="C1521" s="10" t="n">
        <x:v>12</x:v>
      </x:c>
      <x:c r="D1521" s="10" t="str">
        <x:v>1433</x:v>
      </x:c>
      <x:c r="E1521" s="12" t="n">
        <x:v>10627.94</x:v>
      </x:c>
      <x:c r="F1521" s="12" t="n">
        <x:v>0</x:v>
      </x:c>
      <x:c r="G1521" s="10" t="str">
        <x:v>Einfuhrabgabenjournal bezahlte EUSt</x:v>
      </x:c>
      <x:c r="H1521" s="10" t="str">
        <x:v>Einfuhrumsatzsteuer</x:v>
      </x:c>
    </x:row>
    <x:row r="1522" ht="14" customHeight="1">
      <x:c r="A1522" s="10" t="str">
        <x:v>2024-12-0610</x:v>
      </x:c>
      <x:c r="B1522" s="11" t="n">
        <x:v>45648</x:v>
      </x:c>
      <x:c r="C1522" s="10" t="n">
        <x:v>12</x:v>
      </x:c>
      <x:c r="D1522" s="10" t="str">
        <x:v>1800</x:v>
      </x:c>
      <x:c r="E1522" s="12" t="n">
        <x:v>0</x:v>
      </x:c>
      <x:c r="F1522" s="12" t="n">
        <x:v>10627.94</x:v>
      </x:c>
      <x:c r="G1522" s="10" t="str">
        <x:v>Einfuhrabgabenjournal bezahlte EUSt</x:v>
      </x:c>
      <x:c r="H1522" s="10" t="str">
        <x:v>Einfuhrumsatzsteuer</x:v>
      </x:c>
    </x:row>
    <x:row r="1523" ht="14" customHeight="1">
      <x:c r="A1523" s="10" t="str">
        <x:v>2024-12-0611</x:v>
      </x:c>
      <x:c r="B1523" s="11" t="n">
        <x:v>45657</x:v>
      </x:c>
      <x:c r="C1523" s="10" t="n">
        <x:v>12</x:v>
      </x:c>
      <x:c r="D1523" s="10" t="str">
        <x:v>5000</x:v>
      </x:c>
      <x:c r="E1523" s="12" t="n">
        <x:v>472030</x:v>
      </x:c>
      <x:c r="F1523" s="12" t="n">
        <x:v>0</x:v>
      </x:c>
      <x:c r="G1523" s="10" t="str">
        <x:v>Warenabgänge zu Einstandswerten</x:v>
      </x:c>
      <x:c r="H1523" s="10" t="str">
        <x:v>Verbrauch</x:v>
      </x:c>
    </x:row>
    <x:row r="1524" ht="14" customHeight="1">
      <x:c r="A1524" s="10" t="str">
        <x:v>2024-12-0611</x:v>
      </x:c>
      <x:c r="B1524" s="11" t="n">
        <x:v>45657</x:v>
      </x:c>
      <x:c r="C1524" s="10" t="n">
        <x:v>12</x:v>
      </x:c>
      <x:c r="D1524" s="10" t="str">
        <x:v>1140</x:v>
      </x:c>
      <x:c r="E1524" s="12" t="n">
        <x:v>0</x:v>
      </x:c>
      <x:c r="F1524" s="12" t="n">
        <x:v>472030</x:v>
      </x:c>
      <x:c r="G1524" s="10" t="str">
        <x:v>Warenabgänge zu Einstandswerten</x:v>
      </x:c>
      <x:c r="H1524" s="10" t="str">
        <x:v>Verbrauch</x:v>
      </x:c>
    </x:row>
    <x:row r="1525" ht="14" customHeight="1">
      <x:c r="A1525" s="10" t="str">
        <x:v>2024-12-0612</x:v>
      </x:c>
      <x:c r="B1525" s="11" t="n">
        <x:v>45657</x:v>
      </x:c>
      <x:c r="C1525" s="10" t="n">
        <x:v>12</x:v>
      </x:c>
      <x:c r="D1525" s="10" t="str">
        <x:v>5005</x:v>
      </x:c>
      <x:c r="E1525" s="12" t="n">
        <x:v>18000</x:v>
      </x:c>
      <x:c r="F1525" s="12" t="n">
        <x:v>0</x:v>
      </x:c>
      <x:c r="G1525" s="10" t="str">
        <x:v>Inventurbewertung laut Chargenliste</x:v>
      </x:c>
      <x:c r="H1525" s="10" t="str">
        <x:v>Bewertung</x:v>
      </x:c>
    </x:row>
    <x:row r="1526" ht="14" customHeight="1">
      <x:c r="A1526" s="10" t="str">
        <x:v>2024-12-0612</x:v>
      </x:c>
      <x:c r="B1526" s="11" t="n">
        <x:v>45657</x:v>
      </x:c>
      <x:c r="C1526" s="10" t="n">
        <x:v>12</x:v>
      </x:c>
      <x:c r="D1526" s="10" t="str">
        <x:v>1140</x:v>
      </x:c>
      <x:c r="E1526" s="12" t="n">
        <x:v>0</x:v>
      </x:c>
      <x:c r="F1526" s="12" t="n">
        <x:v>18000</x:v>
      </x:c>
      <x:c r="G1526" s="10" t="str">
        <x:v>Inventurbewertung laut Chargenliste</x:v>
      </x:c>
      <x:c r="H1526" s="10" t="str">
        <x:v>Bewertung</x:v>
      </x:c>
    </x:row>
    <x:row r="1527" ht="14" customHeight="1">
      <x:c r="A1527" s="10" t="str">
        <x:v>2024-12-0613</x:v>
      </x:c>
      <x:c r="B1527" s="11" t="n">
        <x:v>45657</x:v>
      </x:c>
      <x:c r="C1527" s="10" t="n">
        <x:v>12</x:v>
      </x:c>
      <x:c r="D1527" s="10" t="str">
        <x:v>6950</x:v>
      </x:c>
      <x:c r="E1527" s="12" t="n">
        <x:v>10000</x:v>
      </x:c>
      <x:c r="F1527" s="12" t="n">
        <x:v>0</x:v>
      </x:c>
      <x:c r="G1527" s="10" t="str">
        <x:v>Einzelwertberichtigung laut OP-Vermerk</x:v>
      </x:c>
      <x:c r="H1527" s="10" t="str">
        <x:v>Bewertung</x:v>
      </x:c>
    </x:row>
    <x:row r="1528" ht="14" customHeight="1">
      <x:c r="A1528" s="10" t="str">
        <x:v>2024-12-0613</x:v>
      </x:c>
      <x:c r="B1528" s="11" t="n">
        <x:v>45657</x:v>
      </x:c>
      <x:c r="C1528" s="10" t="n">
        <x:v>12</x:v>
      </x:c>
      <x:c r="D1528" s="10" t="str">
        <x:v>1248</x:v>
      </x:c>
      <x:c r="E1528" s="12" t="n">
        <x:v>0</x:v>
      </x:c>
      <x:c r="F1528" s="12" t="n">
        <x:v>10000</x:v>
      </x:c>
      <x:c r="G1528" s="10" t="str">
        <x:v>Einzelwertberichtigung laut OP-Vermerk</x:v>
      </x:c>
      <x:c r="H1528" s="10" t="str">
        <x:v>Bewertung</x:v>
      </x:c>
    </x:row>
    <x:row r="1529" ht="14" customHeight="1">
      <x:c r="A1529" s="10" t="str">
        <x:v>2024-12-0614</x:v>
      </x:c>
      <x:c r="B1529" s="11" t="n">
        <x:v>45657</x:v>
      </x:c>
      <x:c r="C1529" s="10" t="n">
        <x:v>12</x:v>
      </x:c>
      <x:c r="D1529" s="10" t="str">
        <x:v>6020</x:v>
      </x:c>
      <x:c r="E1529" s="12" t="n">
        <x:v>86000</x:v>
      </x:c>
      <x:c r="F1529" s="12" t="n">
        <x:v>0</x:v>
      </x:c>
      <x:c r="G1529" s="10" t="str">
        <x:v>Lohnjournal 20 Beschäftigte</x:v>
      </x:c>
      <x:c r="H1529" s="10" t="str">
        <x:v>Personal</x:v>
      </x:c>
    </x:row>
    <x:row r="1530" ht="14" customHeight="1">
      <x:c r="A1530" s="10" t="str">
        <x:v>2024-12-0614</x:v>
      </x:c>
      <x:c r="B1530" s="11" t="n">
        <x:v>45657</x:v>
      </x:c>
      <x:c r="C1530" s="10" t="n">
        <x:v>12</x:v>
      </x:c>
      <x:c r="D1530" s="10" t="str">
        <x:v>6110</x:v>
      </x:c>
      <x:c r="E1530" s="12" t="n">
        <x:v>18000</x:v>
      </x:c>
      <x:c r="F1530" s="12" t="n">
        <x:v>0</x:v>
      </x:c>
      <x:c r="G1530" s="10" t="str">
        <x:v>Lohnjournal 20 Beschäftigte</x:v>
      </x:c>
      <x:c r="H1530" s="10" t="str">
        <x:v>Personal</x:v>
      </x:c>
    </x:row>
    <x:row r="1531" ht="14" customHeight="1">
      <x:c r="A1531" s="10" t="str">
        <x:v>2024-12-0614</x:v>
      </x:c>
      <x:c r="B1531" s="11" t="n">
        <x:v>45657</x:v>
      </x:c>
      <x:c r="C1531" s="10" t="n">
        <x:v>12</x:v>
      </x:c>
      <x:c r="D1531" s="10" t="str">
        <x:v>3720</x:v>
      </x:c>
      <x:c r="E1531" s="12" t="n">
        <x:v>0</x:v>
      </x:c>
      <x:c r="F1531" s="12" t="n">
        <x:v>56760</x:v>
      </x:c>
      <x:c r="G1531" s="10" t="str">
        <x:v>Lohnjournal 20 Beschäftigte</x:v>
      </x:c>
      <x:c r="H1531" s="10" t="str">
        <x:v>Personal</x:v>
      </x:c>
    </x:row>
    <x:row r="1532" ht="14" customHeight="1">
      <x:c r="A1532" s="10" t="str">
        <x:v>2024-12-0614</x:v>
      </x:c>
      <x:c r="B1532" s="11" t="n">
        <x:v>45657</x:v>
      </x:c>
      <x:c r="C1532" s="10" t="n">
        <x:v>12</x:v>
      </x:c>
      <x:c r="D1532" s="10" t="str">
        <x:v>3730</x:v>
      </x:c>
      <x:c r="E1532" s="12" t="n">
        <x:v>0</x:v>
      </x:c>
      <x:c r="F1532" s="12" t="n">
        <x:v>12900</x:v>
      </x:c>
      <x:c r="G1532" s="10" t="str">
        <x:v>Lohnjournal 20 Beschäftigte</x:v>
      </x:c>
      <x:c r="H1532" s="10" t="str">
        <x:v>Personal</x:v>
      </x:c>
    </x:row>
    <x:row r="1533" ht="14" customHeight="1">
      <x:c r="A1533" s="10" t="str">
        <x:v>2024-12-0614</x:v>
      </x:c>
      <x:c r="B1533" s="11" t="n">
        <x:v>45657</x:v>
      </x:c>
      <x:c r="C1533" s="10" t="n">
        <x:v>12</x:v>
      </x:c>
      <x:c r="D1533" s="10" t="str">
        <x:v>3740</x:v>
      </x:c>
      <x:c r="E1533" s="12" t="n">
        <x:v>0</x:v>
      </x:c>
      <x:c r="F1533" s="12" t="n">
        <x:v>34340</x:v>
      </x:c>
      <x:c r="G1533" s="10" t="str">
        <x:v>Lohnjournal 20 Beschäftigte</x:v>
      </x:c>
      <x:c r="H1533" s="10" t="str">
        <x:v>Personal</x:v>
      </x:c>
    </x:row>
    <x:row r="1534" ht="14" customHeight="1">
      <x:c r="A1534" s="10" t="str">
        <x:v>2024-12-0615</x:v>
      </x:c>
      <x:c r="B1534" s="11" t="n">
        <x:v>45654</x:v>
      </x:c>
      <x:c r="C1534" s="10" t="n">
        <x:v>12</x:v>
      </x:c>
      <x:c r="D1534" s="10" t="str">
        <x:v>3720</x:v>
      </x:c>
      <x:c r="E1534" s="12" t="n">
        <x:v>56760</x:v>
      </x:c>
      <x:c r="F1534" s="12" t="n">
        <x:v>0</x:v>
      </x:c>
      <x:c r="G1534" s="10" t="str">
        <x:v>Zahlungsjournal Verbindlichkeiten Nettolöhne</x:v>
      </x:c>
      <x:c r="H1534" s="10" t="str">
        <x:v>Personalzahlung</x:v>
      </x:c>
    </x:row>
    <x:row r="1535" ht="14" customHeight="1">
      <x:c r="A1535" s="10" t="str">
        <x:v>2024-12-0615</x:v>
      </x:c>
      <x:c r="B1535" s="11" t="n">
        <x:v>45654</x:v>
      </x:c>
      <x:c r="C1535" s="10" t="n">
        <x:v>12</x:v>
      </x:c>
      <x:c r="D1535" s="10" t="str">
        <x:v>1800</x:v>
      </x:c>
      <x:c r="E1535" s="12" t="n">
        <x:v>0</x:v>
      </x:c>
      <x:c r="F1535" s="12" t="n">
        <x:v>56760</x:v>
      </x:c>
      <x:c r="G1535" s="10" t="str">
        <x:v>Zahlungsjournal Verbindlichkeiten Nettolöhne</x:v>
      </x:c>
      <x:c r="H1535" s="10" t="str">
        <x:v>Personalzahlung</x:v>
      </x:c>
    </x:row>
    <x:row r="1536" ht="14" customHeight="1">
      <x:c r="A1536" s="10" t="str">
        <x:v>2024-12-0616</x:v>
      </x:c>
      <x:c r="B1536" s="11" t="n">
        <x:v>45636</x:v>
      </x:c>
      <x:c r="C1536" s="10" t="n">
        <x:v>12</x:v>
      </x:c>
      <x:c r="D1536" s="10" t="str">
        <x:v>3730</x:v>
      </x:c>
      <x:c r="E1536" s="12" t="n">
        <x:v>12900</x:v>
      </x:c>
      <x:c r="F1536" s="12" t="n">
        <x:v>0</x:v>
      </x:c>
      <x:c r="G1536" s="10" t="str">
        <x:v>Zahlungsjournal Verbindlichkeiten Lohnsteuer</x:v>
      </x:c>
      <x:c r="H1536" s="10" t="str">
        <x:v>Personalzahlung</x:v>
      </x:c>
    </x:row>
    <x:row r="1537" ht="14" customHeight="1">
      <x:c r="A1537" s="10" t="str">
        <x:v>2024-12-0616</x:v>
      </x:c>
      <x:c r="B1537" s="11" t="n">
        <x:v>45636</x:v>
      </x:c>
      <x:c r="C1537" s="10" t="n">
        <x:v>12</x:v>
      </x:c>
      <x:c r="D1537" s="10" t="str">
        <x:v>1800</x:v>
      </x:c>
      <x:c r="E1537" s="12" t="n">
        <x:v>0</x:v>
      </x:c>
      <x:c r="F1537" s="12" t="n">
        <x:v>12900</x:v>
      </x:c>
      <x:c r="G1537" s="10" t="str">
        <x:v>Zahlungsjournal Verbindlichkeiten Lohnsteuer</x:v>
      </x:c>
      <x:c r="H1537" s="10" t="str">
        <x:v>Personalzahlung</x:v>
      </x:c>
    </x:row>
    <x:row r="1538" ht="14" customHeight="1">
      <x:c r="A1538" s="10" t="str">
        <x:v>2024-12-0617</x:v>
      </x:c>
      <x:c r="B1538" s="11" t="n">
        <x:v>45654</x:v>
      </x:c>
      <x:c r="C1538" s="10" t="n">
        <x:v>12</x:v>
      </x:c>
      <x:c r="D1538" s="10" t="str">
        <x:v>3740</x:v>
      </x:c>
      <x:c r="E1538" s="12" t="n">
        <x:v>34340</x:v>
      </x:c>
      <x:c r="F1538" s="12" t="n">
        <x:v>0</x:v>
      </x:c>
      <x:c r="G1538" s="10" t="str">
        <x:v>Zahlungsjournal Verbindlichkeiten Sozialversicherung</x:v>
      </x:c>
      <x:c r="H1538" s="10" t="str">
        <x:v>Personalzahlung</x:v>
      </x:c>
    </x:row>
    <x:row r="1539" ht="14" customHeight="1">
      <x:c r="A1539" s="10" t="str">
        <x:v>2024-12-0617</x:v>
      </x:c>
      <x:c r="B1539" s="11" t="n">
        <x:v>45654</x:v>
      </x:c>
      <x:c r="C1539" s="10" t="n">
        <x:v>12</x:v>
      </x:c>
      <x:c r="D1539" s="10" t="str">
        <x:v>1800</x:v>
      </x:c>
      <x:c r="E1539" s="12" t="n">
        <x:v>0</x:v>
      </x:c>
      <x:c r="F1539" s="12" t="n">
        <x:v>34340</x:v>
      </x:c>
      <x:c r="G1539" s="10" t="str">
        <x:v>Zahlungsjournal Verbindlichkeiten Sozialversicherung</x:v>
      </x:c>
      <x:c r="H1539" s="10" t="str">
        <x:v>Personalzahlung</x:v>
      </x:c>
    </x:row>
    <x:row r="1540" ht="14" customHeight="1">
      <x:c r="A1540" s="10" t="str">
        <x:v>2024-12-0618</x:v>
      </x:c>
      <x:c r="B1540" s="11" t="n">
        <x:v>45657</x:v>
      </x:c>
      <x:c r="C1540" s="10" t="n">
        <x:v>12</x:v>
      </x:c>
      <x:c r="D1540" s="10" t="str">
        <x:v>6310</x:v>
      </x:c>
      <x:c r="E1540" s="12" t="n">
        <x:v>4000</x:v>
      </x:c>
      <x:c r="F1540" s="12" t="n">
        <x:v>0</x:v>
      </x:c>
      <x:c r="G1540" s="10" t="str">
        <x:v>Miete Büro Nürnberg Monatsjournal</x:v>
      </x:c>
      <x:c r="H1540" s="10" t="str">
        <x:v>Betriebskosten</x:v>
      </x:c>
    </x:row>
    <x:row r="1541" ht="14" customHeight="1">
      <x:c r="A1541" s="10" t="str">
        <x:v>2024-12-0618</x:v>
      </x:c>
      <x:c r="B1541" s="11" t="n">
        <x:v>45657</x:v>
      </x:c>
      <x:c r="C1541" s="10" t="n">
        <x:v>12</x:v>
      </x:c>
      <x:c r="D1541" s="10" t="str">
        <x:v>1406</x:v>
      </x:c>
      <x:c r="E1541" s="12" t="n">
        <x:v>760</x:v>
      </x:c>
      <x:c r="F1541" s="12" t="n">
        <x:v>0</x:v>
      </x:c>
      <x:c r="G1541" s="10" t="str">
        <x:v>Miete Büro Nürnberg Monatsjournal</x:v>
      </x:c>
      <x:c r="H1541" s="10" t="str">
        <x:v>Betriebskosten</x:v>
      </x:c>
    </x:row>
    <x:row r="1542" ht="14" customHeight="1">
      <x:c r="A1542" s="10" t="str">
        <x:v>2024-12-0618</x:v>
      </x:c>
      <x:c r="B1542" s="11" t="n">
        <x:v>45657</x:v>
      </x:c>
      <x:c r="C1542" s="10" t="n">
        <x:v>12</x:v>
      </x:c>
      <x:c r="D1542" s="10" t="str">
        <x:v>3300</x:v>
      </x:c>
      <x:c r="E1542" s="12" t="n">
        <x:v>0</x:v>
      </x:c>
      <x:c r="F1542" s="12" t="n">
        <x:v>4760</x:v>
      </x:c>
      <x:c r="G1542" s="10" t="str">
        <x:v>Miete Büro Nürnberg Monatsjournal</x:v>
      </x:c>
      <x:c r="H1542" s="10" t="str">
        <x:v>Betriebskosten</x:v>
      </x:c>
    </x:row>
    <x:row r="1543" ht="14" customHeight="1">
      <x:c r="A1543" s="10" t="str">
        <x:v>2024-12-0619</x:v>
      </x:c>
      <x:c r="B1543" s="11" t="n">
        <x:v>45657</x:v>
      </x:c>
      <x:c r="C1543" s="10" t="n">
        <x:v>12</x:v>
      </x:c>
      <x:c r="D1543" s="10" t="str">
        <x:v>6311</x:v>
      </x:c>
      <x:c r="E1543" s="12" t="n">
        <x:v>10000</x:v>
      </x:c>
      <x:c r="F1543" s="12" t="n">
        <x:v>0</x:v>
      </x:c>
      <x:c r="G1543" s="10" t="str">
        <x:v>Miete Lager Erlangen Monatsjournal</x:v>
      </x:c>
      <x:c r="H1543" s="10" t="str">
        <x:v>Betriebskosten</x:v>
      </x:c>
    </x:row>
    <x:row r="1544" ht="14" customHeight="1">
      <x:c r="A1544" s="10" t="str">
        <x:v>2024-12-0619</x:v>
      </x:c>
      <x:c r="B1544" s="11" t="n">
        <x:v>45657</x:v>
      </x:c>
      <x:c r="C1544" s="10" t="n">
        <x:v>12</x:v>
      </x:c>
      <x:c r="D1544" s="10" t="str">
        <x:v>1406</x:v>
      </x:c>
      <x:c r="E1544" s="12" t="n">
        <x:v>1900</x:v>
      </x:c>
      <x:c r="F1544" s="12" t="n">
        <x:v>0</x:v>
      </x:c>
      <x:c r="G1544" s="10" t="str">
        <x:v>Miete Lager Erlangen Monatsjournal</x:v>
      </x:c>
      <x:c r="H1544" s="10" t="str">
        <x:v>Betriebskosten</x:v>
      </x:c>
    </x:row>
    <x:row r="1545" ht="14" customHeight="1">
      <x:c r="A1545" s="10" t="str">
        <x:v>2024-12-0619</x:v>
      </x:c>
      <x:c r="B1545" s="11" t="n">
        <x:v>45657</x:v>
      </x:c>
      <x:c r="C1545" s="10" t="n">
        <x:v>12</x:v>
      </x:c>
      <x:c r="D1545" s="10" t="str">
        <x:v>3300</x:v>
      </x:c>
      <x:c r="E1545" s="12" t="n">
        <x:v>0</x:v>
      </x:c>
      <x:c r="F1545" s="12" t="n">
        <x:v>11900</x:v>
      </x:c>
      <x:c r="G1545" s="10" t="str">
        <x:v>Miete Lager Erlangen Monatsjournal</x:v>
      </x:c>
      <x:c r="H1545" s="10" t="str">
        <x:v>Betriebskosten</x:v>
      </x:c>
    </x:row>
    <x:row r="1546" ht="14" customHeight="1">
      <x:c r="A1546" s="10" t="str">
        <x:v>2024-12-0620</x:v>
      </x:c>
      <x:c r="B1546" s="11" t="n">
        <x:v>45657</x:v>
      </x:c>
      <x:c r="C1546" s="10" t="n">
        <x:v>12</x:v>
      </x:c>
      <x:c r="D1546" s="10" t="str">
        <x:v>6325</x:v>
      </x:c>
      <x:c r="E1546" s="12" t="n">
        <x:v>4500</x:v>
      </x:c>
      <x:c r="F1546" s="12" t="n">
        <x:v>0</x:v>
      </x:c>
      <x:c r="G1546" s="10" t="str">
        <x:v>Strom und Kühlung Monatsjournal</x:v>
      </x:c>
      <x:c r="H1546" s="10" t="str">
        <x:v>Betriebskosten</x:v>
      </x:c>
    </x:row>
    <x:row r="1547" ht="14" customHeight="1">
      <x:c r="A1547" s="10" t="str">
        <x:v>2024-12-0620</x:v>
      </x:c>
      <x:c r="B1547" s="11" t="n">
        <x:v>45657</x:v>
      </x:c>
      <x:c r="C1547" s="10" t="n">
        <x:v>12</x:v>
      </x:c>
      <x:c r="D1547" s="10" t="str">
        <x:v>1406</x:v>
      </x:c>
      <x:c r="E1547" s="12" t="n">
        <x:v>855</x:v>
      </x:c>
      <x:c r="F1547" s="12" t="n">
        <x:v>0</x:v>
      </x:c>
      <x:c r="G1547" s="10" t="str">
        <x:v>Strom und Kühlung Monatsjournal</x:v>
      </x:c>
      <x:c r="H1547" s="10" t="str">
        <x:v>Betriebskosten</x:v>
      </x:c>
    </x:row>
    <x:row r="1548" ht="14" customHeight="1">
      <x:c r="A1548" s="10" t="str">
        <x:v>2024-12-0620</x:v>
      </x:c>
      <x:c r="B1548" s="11" t="n">
        <x:v>45657</x:v>
      </x:c>
      <x:c r="C1548" s="10" t="n">
        <x:v>12</x:v>
      </x:c>
      <x:c r="D1548" s="10" t="str">
        <x:v>3300</x:v>
      </x:c>
      <x:c r="E1548" s="12" t="n">
        <x:v>0</x:v>
      </x:c>
      <x:c r="F1548" s="12" t="n">
        <x:v>5355</x:v>
      </x:c>
      <x:c r="G1548" s="10" t="str">
        <x:v>Strom und Kühlung Monatsjournal</x:v>
      </x:c>
      <x:c r="H1548" s="10" t="str">
        <x:v>Betriebskosten</x:v>
      </x:c>
    </x:row>
    <x:row r="1549" ht="14" customHeight="1">
      <x:c r="A1549" s="10" t="str">
        <x:v>2024-12-0621</x:v>
      </x:c>
      <x:c r="B1549" s="11" t="n">
        <x:v>45657</x:v>
      </x:c>
      <x:c r="C1549" s="10" t="n">
        <x:v>12</x:v>
      </x:c>
      <x:c r="D1549" s="10" t="str">
        <x:v>6400</x:v>
      </x:c>
      <x:c r="E1549" s="12" t="n">
        <x:v>2500</x:v>
      </x:c>
      <x:c r="F1549" s="12" t="n">
        <x:v>0</x:v>
      </x:c>
      <x:c r="G1549" s="10" t="str">
        <x:v>Versicherungen Monatsjournal</x:v>
      </x:c>
      <x:c r="H1549" s="10" t="str">
        <x:v>Betriebskosten</x:v>
      </x:c>
    </x:row>
    <x:row r="1550" ht="14" customHeight="1">
      <x:c r="A1550" s="10" t="str">
        <x:v>2024-12-0621</x:v>
      </x:c>
      <x:c r="B1550" s="11" t="n">
        <x:v>45657</x:v>
      </x:c>
      <x:c r="C1550" s="10" t="n">
        <x:v>12</x:v>
      </x:c>
      <x:c r="D1550" s="10" t="str">
        <x:v>3300</x:v>
      </x:c>
      <x:c r="E1550" s="12" t="n">
        <x:v>0</x:v>
      </x:c>
      <x:c r="F1550" s="12" t="n">
        <x:v>2500</x:v>
      </x:c>
      <x:c r="G1550" s="10" t="str">
        <x:v>Versicherungen Monatsjournal</x:v>
      </x:c>
      <x:c r="H1550" s="10" t="str">
        <x:v>Betriebskosten</x:v>
      </x:c>
    </x:row>
    <x:row r="1551" ht="14" customHeight="1">
      <x:c r="A1551" s="10" t="str">
        <x:v>2024-12-0622</x:v>
      </x:c>
      <x:c r="B1551" s="11" t="n">
        <x:v>45657</x:v>
      </x:c>
      <x:c r="C1551" s="10" t="n">
        <x:v>12</x:v>
      </x:c>
      <x:c r="D1551" s="10" t="str">
        <x:v>6470</x:v>
      </x:c>
      <x:c r="E1551" s="12" t="n">
        <x:v>6000</x:v>
      </x:c>
      <x:c r="F1551" s="12" t="n">
        <x:v>0</x:v>
      </x:c>
      <x:c r="G1551" s="10" t="str">
        <x:v>Lagerbetrieb und Reinigung Monatsjournal</x:v>
      </x:c>
      <x:c r="H1551" s="10" t="str">
        <x:v>Betriebskosten</x:v>
      </x:c>
    </x:row>
    <x:row r="1552" ht="14" customHeight="1">
      <x:c r="A1552" s="10" t="str">
        <x:v>2024-12-0622</x:v>
      </x:c>
      <x:c r="B1552" s="11" t="n">
        <x:v>45657</x:v>
      </x:c>
      <x:c r="C1552" s="10" t="n">
        <x:v>12</x:v>
      </x:c>
      <x:c r="D1552" s="10" t="str">
        <x:v>1406</x:v>
      </x:c>
      <x:c r="E1552" s="12" t="n">
        <x:v>1140</x:v>
      </x:c>
      <x:c r="F1552" s="12" t="n">
        <x:v>0</x:v>
      </x:c>
      <x:c r="G1552" s="10" t="str">
        <x:v>Lagerbetrieb und Reinigung Monatsjournal</x:v>
      </x:c>
      <x:c r="H1552" s="10" t="str">
        <x:v>Betriebskosten</x:v>
      </x:c>
    </x:row>
    <x:row r="1553" ht="14" customHeight="1">
      <x:c r="A1553" s="10" t="str">
        <x:v>2024-12-0622</x:v>
      </x:c>
      <x:c r="B1553" s="11" t="n">
        <x:v>45657</x:v>
      </x:c>
      <x:c r="C1553" s="10" t="n">
        <x:v>12</x:v>
      </x:c>
      <x:c r="D1553" s="10" t="str">
        <x:v>3300</x:v>
      </x:c>
      <x:c r="E1553" s="12" t="n">
        <x:v>0</x:v>
      </x:c>
      <x:c r="F1553" s="12" t="n">
        <x:v>7140</x:v>
      </x:c>
      <x:c r="G1553" s="10" t="str">
        <x:v>Lagerbetrieb und Reinigung Monatsjournal</x:v>
      </x:c>
      <x:c r="H1553" s="10" t="str">
        <x:v>Betriebskosten</x:v>
      </x:c>
    </x:row>
    <x:row r="1554" ht="14" customHeight="1">
      <x:c r="A1554" s="10" t="str">
        <x:v>2024-12-0623</x:v>
      </x:c>
      <x:c r="B1554" s="11" t="n">
        <x:v>45657</x:v>
      </x:c>
      <x:c r="C1554" s="10" t="n">
        <x:v>12</x:v>
      </x:c>
      <x:c r="D1554" s="10" t="str">
        <x:v>6490</x:v>
      </x:c>
      <x:c r="E1554" s="12" t="n">
        <x:v>2500</x:v>
      </x:c>
      <x:c r="F1554" s="12" t="n">
        <x:v>0</x:v>
      </x:c>
      <x:c r="G1554" s="10" t="str">
        <x:v>Reparaturen und Wartung Monatsjournal</x:v>
      </x:c>
      <x:c r="H1554" s="10" t="str">
        <x:v>Betriebskosten</x:v>
      </x:c>
    </x:row>
    <x:row r="1555" ht="14" customHeight="1">
      <x:c r="A1555" s="10" t="str">
        <x:v>2024-12-0623</x:v>
      </x:c>
      <x:c r="B1555" s="11" t="n">
        <x:v>45657</x:v>
      </x:c>
      <x:c r="C1555" s="10" t="n">
        <x:v>12</x:v>
      </x:c>
      <x:c r="D1555" s="10" t="str">
        <x:v>1406</x:v>
      </x:c>
      <x:c r="E1555" s="12" t="n">
        <x:v>475</x:v>
      </x:c>
      <x:c r="F1555" s="12" t="n">
        <x:v>0</x:v>
      </x:c>
      <x:c r="G1555" s="10" t="str">
        <x:v>Reparaturen und Wartung Monatsjournal</x:v>
      </x:c>
      <x:c r="H1555" s="10" t="str">
        <x:v>Betriebskosten</x:v>
      </x:c>
    </x:row>
    <x:row r="1556" ht="14" customHeight="1">
      <x:c r="A1556" s="10" t="str">
        <x:v>2024-12-0623</x:v>
      </x:c>
      <x:c r="B1556" s="11" t="n">
        <x:v>45657</x:v>
      </x:c>
      <x:c r="C1556" s="10" t="n">
        <x:v>12</x:v>
      </x:c>
      <x:c r="D1556" s="10" t="str">
        <x:v>3300</x:v>
      </x:c>
      <x:c r="E1556" s="12" t="n">
        <x:v>0</x:v>
      </x:c>
      <x:c r="F1556" s="12" t="n">
        <x:v>2975</x:v>
      </x:c>
      <x:c r="G1556" s="10" t="str">
        <x:v>Reparaturen und Wartung Monatsjournal</x:v>
      </x:c>
      <x:c r="H1556" s="10" t="str">
        <x:v>Betriebskosten</x:v>
      </x:c>
    </x:row>
    <x:row r="1557" ht="14" customHeight="1">
      <x:c r="A1557" s="10" t="str">
        <x:v>2024-12-0624</x:v>
      </x:c>
      <x:c r="B1557" s="11" t="n">
        <x:v>45657</x:v>
      </x:c>
      <x:c r="C1557" s="10" t="n">
        <x:v>12</x:v>
      </x:c>
      <x:c r="D1557" s="10" t="str">
        <x:v>6600</x:v>
      </x:c>
      <x:c r="E1557" s="12" t="n">
        <x:v>6000</x:v>
      </x:c>
      <x:c r="F1557" s="12" t="n">
        <x:v>0</x:v>
      </x:c>
      <x:c r="G1557" s="10" t="str">
        <x:v>Marketing und Messen Monatsjournal</x:v>
      </x:c>
      <x:c r="H1557" s="10" t="str">
        <x:v>Betriebskosten</x:v>
      </x:c>
    </x:row>
    <x:row r="1558" ht="14" customHeight="1">
      <x:c r="A1558" s="10" t="str">
        <x:v>2024-12-0624</x:v>
      </x:c>
      <x:c r="B1558" s="11" t="n">
        <x:v>45657</x:v>
      </x:c>
      <x:c r="C1558" s="10" t="n">
        <x:v>12</x:v>
      </x:c>
      <x:c r="D1558" s="10" t="str">
        <x:v>1406</x:v>
      </x:c>
      <x:c r="E1558" s="12" t="n">
        <x:v>1140</x:v>
      </x:c>
      <x:c r="F1558" s="12" t="n">
        <x:v>0</x:v>
      </x:c>
      <x:c r="G1558" s="10" t="str">
        <x:v>Marketing und Messen Monatsjournal</x:v>
      </x:c>
      <x:c r="H1558" s="10" t="str">
        <x:v>Betriebskosten</x:v>
      </x:c>
    </x:row>
    <x:row r="1559" ht="14" customHeight="1">
      <x:c r="A1559" s="10" t="str">
        <x:v>2024-12-0624</x:v>
      </x:c>
      <x:c r="B1559" s="11" t="n">
        <x:v>45657</x:v>
      </x:c>
      <x:c r="C1559" s="10" t="n">
        <x:v>12</x:v>
      </x:c>
      <x:c r="D1559" s="10" t="str">
        <x:v>3300</x:v>
      </x:c>
      <x:c r="E1559" s="12" t="n">
        <x:v>0</x:v>
      </x:c>
      <x:c r="F1559" s="12" t="n">
        <x:v>7140</x:v>
      </x:c>
      <x:c r="G1559" s="10" t="str">
        <x:v>Marketing und Messen Monatsjournal</x:v>
      </x:c>
      <x:c r="H1559" s="10" t="str">
        <x:v>Betriebskosten</x:v>
      </x:c>
    </x:row>
    <x:row r="1560" ht="14" customHeight="1">
      <x:c r="A1560" s="10" t="str">
        <x:v>2024-12-0625</x:v>
      </x:c>
      <x:c r="B1560" s="11" t="n">
        <x:v>45657</x:v>
      </x:c>
      <x:c r="C1560" s="10" t="n">
        <x:v>12</x:v>
      </x:c>
      <x:c r="D1560" s="10" t="str">
        <x:v>6650</x:v>
      </x:c>
      <x:c r="E1560" s="12" t="n">
        <x:v>1500</x:v>
      </x:c>
      <x:c r="F1560" s="12" t="n">
        <x:v>0</x:v>
      </x:c>
      <x:c r="G1560" s="10" t="str">
        <x:v>Reisekosten Monatsjournal</x:v>
      </x:c>
      <x:c r="H1560" s="10" t="str">
        <x:v>Betriebskosten</x:v>
      </x:c>
    </x:row>
    <x:row r="1561" ht="14" customHeight="1">
      <x:c r="A1561" s="10" t="str">
        <x:v>2024-12-0625</x:v>
      </x:c>
      <x:c r="B1561" s="11" t="n">
        <x:v>45657</x:v>
      </x:c>
      <x:c r="C1561" s="10" t="n">
        <x:v>12</x:v>
      </x:c>
      <x:c r="D1561" s="10" t="str">
        <x:v>1406</x:v>
      </x:c>
      <x:c r="E1561" s="12" t="n">
        <x:v>285</x:v>
      </x:c>
      <x:c r="F1561" s="12" t="n">
        <x:v>0</x:v>
      </x:c>
      <x:c r="G1561" s="10" t="str">
        <x:v>Reisekosten Monatsjournal</x:v>
      </x:c>
      <x:c r="H1561" s="10" t="str">
        <x:v>Betriebskosten</x:v>
      </x:c>
    </x:row>
    <x:row r="1562" ht="14" customHeight="1">
      <x:c r="A1562" s="10" t="str">
        <x:v>2024-12-0625</x:v>
      </x:c>
      <x:c r="B1562" s="11" t="n">
        <x:v>45657</x:v>
      </x:c>
      <x:c r="C1562" s="10" t="n">
        <x:v>12</x:v>
      </x:c>
      <x:c r="D1562" s="10" t="str">
        <x:v>3300</x:v>
      </x:c>
      <x:c r="E1562" s="12" t="n">
        <x:v>0</x:v>
      </x:c>
      <x:c r="F1562" s="12" t="n">
        <x:v>1485</x:v>
      </x:c>
      <x:c r="G1562" s="10" t="str">
        <x:v>Reisekosten Monatsjournal</x:v>
      </x:c>
      <x:c r="H1562" s="10" t="str">
        <x:v>Betriebskosten</x:v>
      </x:c>
    </x:row>
    <x:row r="1563" ht="14" customHeight="1">
      <x:c r="A1563" s="10" t="str">
        <x:v>2024-12-0625</x:v>
      </x:c>
      <x:c r="B1563" s="11" t="n">
        <x:v>45657</x:v>
      </x:c>
      <x:c r="C1563" s="10" t="n">
        <x:v>12</x:v>
      </x:c>
      <x:c r="D1563" s="10" t="str">
        <x:v>1600</x:v>
      </x:c>
      <x:c r="E1563" s="12" t="n">
        <x:v>0</x:v>
      </x:c>
      <x:c r="F1563" s="12" t="n">
        <x:v>300</x:v>
      </x:c>
      <x:c r="G1563" s="10" t="str">
        <x:v>Reisekosten Monatsjournal</x:v>
      </x:c>
      <x:c r="H1563" s="10" t="str">
        <x:v>Betriebskosten</x:v>
      </x:c>
    </x:row>
    <x:row r="1564" ht="14" customHeight="1">
      <x:c r="A1564" s="10" t="str">
        <x:v>2024-12-0626</x:v>
      </x:c>
      <x:c r="B1564" s="11" t="n">
        <x:v>45657</x:v>
      </x:c>
      <x:c r="C1564" s="10" t="n">
        <x:v>12</x:v>
      </x:c>
      <x:c r="D1564" s="10" t="str">
        <x:v>6740</x:v>
      </x:c>
      <x:c r="E1564" s="12" t="n">
        <x:v>13000</x:v>
      </x:c>
      <x:c r="F1564" s="12" t="n">
        <x:v>0</x:v>
      </x:c>
      <x:c r="G1564" s="10" t="str">
        <x:v>Ausgangsfrachten Inland Monatsjournal</x:v>
      </x:c>
      <x:c r="H1564" s="10" t="str">
        <x:v>Betriebskosten</x:v>
      </x:c>
    </x:row>
    <x:row r="1565" ht="14" customHeight="1">
      <x:c r="A1565" s="10" t="str">
        <x:v>2024-12-0626</x:v>
      </x:c>
      <x:c r="B1565" s="11" t="n">
        <x:v>45657</x:v>
      </x:c>
      <x:c r="C1565" s="10" t="n">
        <x:v>12</x:v>
      </x:c>
      <x:c r="D1565" s="10" t="str">
        <x:v>1406</x:v>
      </x:c>
      <x:c r="E1565" s="12" t="n">
        <x:v>2470</x:v>
      </x:c>
      <x:c r="F1565" s="12" t="n">
        <x:v>0</x:v>
      </x:c>
      <x:c r="G1565" s="10" t="str">
        <x:v>Ausgangsfrachten Inland Monatsjournal</x:v>
      </x:c>
      <x:c r="H1565" s="10" t="str">
        <x:v>Betriebskosten</x:v>
      </x:c>
    </x:row>
    <x:row r="1566" ht="14" customHeight="1">
      <x:c r="A1566" s="10" t="str">
        <x:v>2024-12-0626</x:v>
      </x:c>
      <x:c r="B1566" s="11" t="n">
        <x:v>45657</x:v>
      </x:c>
      <x:c r="C1566" s="10" t="n">
        <x:v>12</x:v>
      </x:c>
      <x:c r="D1566" s="10" t="str">
        <x:v>3300</x:v>
      </x:c>
      <x:c r="E1566" s="12" t="n">
        <x:v>0</x:v>
      </x:c>
      <x:c r="F1566" s="12" t="n">
        <x:v>15470</x:v>
      </x:c>
      <x:c r="G1566" s="10" t="str">
        <x:v>Ausgangsfrachten Inland Monatsjournal</x:v>
      </x:c>
      <x:c r="H1566" s="10" t="str">
        <x:v>Betriebskosten</x:v>
      </x:c>
    </x:row>
    <x:row r="1567" ht="14" customHeight="1">
      <x:c r="A1567" s="10" t="str">
        <x:v>2024-12-0627</x:v>
      </x:c>
      <x:c r="B1567" s="11" t="n">
        <x:v>45657</x:v>
      </x:c>
      <x:c r="C1567" s="10" t="n">
        <x:v>12</x:v>
      </x:c>
      <x:c r="D1567" s="10" t="str">
        <x:v>6741</x:v>
      </x:c>
      <x:c r="E1567" s="12" t="n">
        <x:v>14000</x:v>
      </x:c>
      <x:c r="F1567" s="12" t="n">
        <x:v>0</x:v>
      </x:c>
      <x:c r="G1567" s="10" t="str">
        <x:v>Ausgangsfrachten Ausland Monatsjournal</x:v>
      </x:c>
      <x:c r="H1567" s="10" t="str">
        <x:v>Betriebskosten</x:v>
      </x:c>
    </x:row>
    <x:row r="1568" ht="14" customHeight="1">
      <x:c r="A1568" s="10" t="str">
        <x:v>2024-12-0627</x:v>
      </x:c>
      <x:c r="B1568" s="11" t="n">
        <x:v>45657</x:v>
      </x:c>
      <x:c r="C1568" s="10" t="n">
        <x:v>12</x:v>
      </x:c>
      <x:c r="D1568" s="10" t="str">
        <x:v>1406</x:v>
      </x:c>
      <x:c r="E1568" s="12" t="n">
        <x:v>2660</x:v>
      </x:c>
      <x:c r="F1568" s="12" t="n">
        <x:v>0</x:v>
      </x:c>
      <x:c r="G1568" s="10" t="str">
        <x:v>Ausgangsfrachten Ausland Monatsjournal</x:v>
      </x:c>
      <x:c r="H1568" s="10" t="str">
        <x:v>Betriebskosten</x:v>
      </x:c>
    </x:row>
    <x:row r="1569" ht="14" customHeight="1">
      <x:c r="A1569" s="10" t="str">
        <x:v>2024-12-0627</x:v>
      </x:c>
      <x:c r="B1569" s="11" t="n">
        <x:v>45657</x:v>
      </x:c>
      <x:c r="C1569" s="10" t="n">
        <x:v>12</x:v>
      </x:c>
      <x:c r="D1569" s="10" t="str">
        <x:v>3300</x:v>
      </x:c>
      <x:c r="E1569" s="12" t="n">
        <x:v>0</x:v>
      </x:c>
      <x:c r="F1569" s="12" t="n">
        <x:v>16660</x:v>
      </x:c>
      <x:c r="G1569" s="10" t="str">
        <x:v>Ausgangsfrachten Ausland Monatsjournal</x:v>
      </x:c>
      <x:c r="H1569" s="10" t="str">
        <x:v>Betriebskosten</x:v>
      </x:c>
    </x:row>
    <x:row r="1570" ht="14" customHeight="1">
      <x:c r="A1570" s="10" t="str">
        <x:v>2024-12-0628</x:v>
      </x:c>
      <x:c r="B1570" s="11" t="n">
        <x:v>45657</x:v>
      </x:c>
      <x:c r="C1570" s="10" t="n">
        <x:v>12</x:v>
      </x:c>
      <x:c r="D1570" s="10" t="str">
        <x:v>6805</x:v>
      </x:c>
      <x:c r="E1570" s="12" t="n">
        <x:v>1500</x:v>
      </x:c>
      <x:c r="F1570" s="12" t="n">
        <x:v>0</x:v>
      </x:c>
      <x:c r="G1570" s="10" t="str">
        <x:v>Telekommunikation und IT Monatsjournal</x:v>
      </x:c>
      <x:c r="H1570" s="10" t="str">
        <x:v>Betriebskosten</x:v>
      </x:c>
    </x:row>
    <x:row r="1571" ht="14" customHeight="1">
      <x:c r="A1571" s="10" t="str">
        <x:v>2024-12-0628</x:v>
      </x:c>
      <x:c r="B1571" s="11" t="n">
        <x:v>45657</x:v>
      </x:c>
      <x:c r="C1571" s="10" t="n">
        <x:v>12</x:v>
      </x:c>
      <x:c r="D1571" s="10" t="str">
        <x:v>1406</x:v>
      </x:c>
      <x:c r="E1571" s="12" t="n">
        <x:v>285</x:v>
      </x:c>
      <x:c r="F1571" s="12" t="n">
        <x:v>0</x:v>
      </x:c>
      <x:c r="G1571" s="10" t="str">
        <x:v>Telekommunikation und IT Monatsjournal</x:v>
      </x:c>
      <x:c r="H1571" s="10" t="str">
        <x:v>Betriebskosten</x:v>
      </x:c>
    </x:row>
    <x:row r="1572" ht="14" customHeight="1">
      <x:c r="A1572" s="10" t="str">
        <x:v>2024-12-0628</x:v>
      </x:c>
      <x:c r="B1572" s="11" t="n">
        <x:v>45657</x:v>
      </x:c>
      <x:c r="C1572" s="10" t="n">
        <x:v>12</x:v>
      </x:c>
      <x:c r="D1572" s="10" t="str">
        <x:v>3300</x:v>
      </x:c>
      <x:c r="E1572" s="12" t="n">
        <x:v>0</x:v>
      </x:c>
      <x:c r="F1572" s="12" t="n">
        <x:v>1785</x:v>
      </x:c>
      <x:c r="G1572" s="10" t="str">
        <x:v>Telekommunikation und IT Monatsjournal</x:v>
      </x:c>
      <x:c r="H1572" s="10" t="str">
        <x:v>Betriebskosten</x:v>
      </x:c>
    </x:row>
    <x:row r="1573" ht="14" customHeight="1">
      <x:c r="A1573" s="10" t="str">
        <x:v>2024-12-0629</x:v>
      </x:c>
      <x:c r="B1573" s="11" t="n">
        <x:v>45657</x:v>
      </x:c>
      <x:c r="C1573" s="10" t="n">
        <x:v>12</x:v>
      </x:c>
      <x:c r="D1573" s="10" t="str">
        <x:v>6825</x:v>
      </x:c>
      <x:c r="E1573" s="12" t="n">
        <x:v>3000</x:v>
      </x:c>
      <x:c r="F1573" s="12" t="n">
        <x:v>0</x:v>
      </x:c>
      <x:c r="G1573" s="10" t="str">
        <x:v>Rechtsberatung und Buchführung Monatsjournal</x:v>
      </x:c>
      <x:c r="H1573" s="10" t="str">
        <x:v>Betriebskosten</x:v>
      </x:c>
    </x:row>
    <x:row r="1574" ht="14" customHeight="1">
      <x:c r="A1574" s="10" t="str">
        <x:v>2024-12-0629</x:v>
      </x:c>
      <x:c r="B1574" s="11" t="n">
        <x:v>45657</x:v>
      </x:c>
      <x:c r="C1574" s="10" t="n">
        <x:v>12</x:v>
      </x:c>
      <x:c r="D1574" s="10" t="str">
        <x:v>1406</x:v>
      </x:c>
      <x:c r="E1574" s="12" t="n">
        <x:v>570</x:v>
      </x:c>
      <x:c r="F1574" s="12" t="n">
        <x:v>0</x:v>
      </x:c>
      <x:c r="G1574" s="10" t="str">
        <x:v>Rechtsberatung und Buchführung Monatsjournal</x:v>
      </x:c>
      <x:c r="H1574" s="10" t="str">
        <x:v>Betriebskosten</x:v>
      </x:c>
    </x:row>
    <x:row r="1575" ht="14" customHeight="1">
      <x:c r="A1575" s="10" t="str">
        <x:v>2024-12-0629</x:v>
      </x:c>
      <x:c r="B1575" s="11" t="n">
        <x:v>45657</x:v>
      </x:c>
      <x:c r="C1575" s="10" t="n">
        <x:v>12</x:v>
      </x:c>
      <x:c r="D1575" s="10" t="str">
        <x:v>3300</x:v>
      </x:c>
      <x:c r="E1575" s="12" t="n">
        <x:v>0</x:v>
      </x:c>
      <x:c r="F1575" s="12" t="n">
        <x:v>3570</x:v>
      </x:c>
      <x:c r="G1575" s="10" t="str">
        <x:v>Rechtsberatung und Buchführung Monatsjournal</x:v>
      </x:c>
      <x:c r="H1575" s="10" t="str">
        <x:v>Betriebskosten</x:v>
      </x:c>
    </x:row>
    <x:row r="1576" ht="14" customHeight="1">
      <x:c r="A1576" s="10" t="str">
        <x:v>2024-12-0630</x:v>
      </x:c>
      <x:c r="B1576" s="11" t="n">
        <x:v>45657</x:v>
      </x:c>
      <x:c r="C1576" s="10" t="n">
        <x:v>12</x:v>
      </x:c>
      <x:c r="D1576" s="10" t="str">
        <x:v>6830</x:v>
      </x:c>
      <x:c r="E1576" s="12" t="n">
        <x:v>3500</x:v>
      </x:c>
      <x:c r="F1576" s="12" t="n">
        <x:v>0</x:v>
      </x:c>
      <x:c r="G1576" s="10" t="str">
        <x:v>Labor und Qualitätssicherung Monatsjournal</x:v>
      </x:c>
      <x:c r="H1576" s="10" t="str">
        <x:v>Betriebskosten</x:v>
      </x:c>
    </x:row>
    <x:row r="1577" ht="14" customHeight="1">
      <x:c r="A1577" s="10" t="str">
        <x:v>2024-12-0630</x:v>
      </x:c>
      <x:c r="B1577" s="11" t="n">
        <x:v>45657</x:v>
      </x:c>
      <x:c r="C1577" s="10" t="n">
        <x:v>12</x:v>
      </x:c>
      <x:c r="D1577" s="10" t="str">
        <x:v>1406</x:v>
      </x:c>
      <x:c r="E1577" s="12" t="n">
        <x:v>665</x:v>
      </x:c>
      <x:c r="F1577" s="12" t="n">
        <x:v>0</x:v>
      </x:c>
      <x:c r="G1577" s="10" t="str">
        <x:v>Labor und Qualitätssicherung Monatsjournal</x:v>
      </x:c>
      <x:c r="H1577" s="10" t="str">
        <x:v>Betriebskosten</x:v>
      </x:c>
    </x:row>
    <x:row r="1578" ht="14" customHeight="1">
      <x:c r="A1578" s="10" t="str">
        <x:v>2024-12-0630</x:v>
      </x:c>
      <x:c r="B1578" s="11" t="n">
        <x:v>45657</x:v>
      </x:c>
      <x:c r="C1578" s="10" t="n">
        <x:v>12</x:v>
      </x:c>
      <x:c r="D1578" s="10" t="str">
        <x:v>3300</x:v>
      </x:c>
      <x:c r="E1578" s="12" t="n">
        <x:v>0</x:v>
      </x:c>
      <x:c r="F1578" s="12" t="n">
        <x:v>4165</x:v>
      </x:c>
      <x:c r="G1578" s="10" t="str">
        <x:v>Labor und Qualitätssicherung Monatsjournal</x:v>
      </x:c>
      <x:c r="H1578" s="10" t="str">
        <x:v>Betriebskosten</x:v>
      </x:c>
    </x:row>
    <x:row r="1579" ht="14" customHeight="1">
      <x:c r="A1579" s="10" t="str">
        <x:v>2024-12-0631</x:v>
      </x:c>
      <x:c r="B1579" s="11" t="n">
        <x:v>45657</x:v>
      </x:c>
      <x:c r="C1579" s="10" t="n">
        <x:v>12</x:v>
      </x:c>
      <x:c r="D1579" s="10" t="str">
        <x:v>6850</x:v>
      </x:c>
      <x:c r="E1579" s="12" t="n">
        <x:v>2000</x:v>
      </x:c>
      <x:c r="F1579" s="12" t="n">
        <x:v>0</x:v>
      </x:c>
      <x:c r="G1579" s="10" t="str">
        <x:v>Bürobedarf und übriger Aufwand Monatsjournal</x:v>
      </x:c>
      <x:c r="H1579" s="10" t="str">
        <x:v>Betriebskosten</x:v>
      </x:c>
    </x:row>
    <x:row r="1580" ht="14" customHeight="1">
      <x:c r="A1580" s="10" t="str">
        <x:v>2024-12-0631</x:v>
      </x:c>
      <x:c r="B1580" s="11" t="n">
        <x:v>45657</x:v>
      </x:c>
      <x:c r="C1580" s="10" t="n">
        <x:v>12</x:v>
      </x:c>
      <x:c r="D1580" s="10" t="str">
        <x:v>1406</x:v>
      </x:c>
      <x:c r="E1580" s="12" t="n">
        <x:v>380</x:v>
      </x:c>
      <x:c r="F1580" s="12" t="n">
        <x:v>0</x:v>
      </x:c>
      <x:c r="G1580" s="10" t="str">
        <x:v>Bürobedarf und übriger Aufwand Monatsjournal</x:v>
      </x:c>
      <x:c r="H1580" s="10" t="str">
        <x:v>Betriebskosten</x:v>
      </x:c>
    </x:row>
    <x:row r="1581" ht="14" customHeight="1">
      <x:c r="A1581" s="10" t="str">
        <x:v>2024-12-0631</x:v>
      </x:c>
      <x:c r="B1581" s="11" t="n">
        <x:v>45657</x:v>
      </x:c>
      <x:c r="C1581" s="10" t="n">
        <x:v>12</x:v>
      </x:c>
      <x:c r="D1581" s="10" t="str">
        <x:v>3300</x:v>
      </x:c>
      <x:c r="E1581" s="12" t="n">
        <x:v>0</x:v>
      </x:c>
      <x:c r="F1581" s="12" t="n">
        <x:v>2380</x:v>
      </x:c>
      <x:c r="G1581" s="10" t="str">
        <x:v>Bürobedarf und übriger Aufwand Monatsjournal</x:v>
      </x:c>
      <x:c r="H1581" s="10" t="str">
        <x:v>Betriebskosten</x:v>
      </x:c>
    </x:row>
    <x:row r="1582" ht="14" customHeight="1">
      <x:c r="A1582" s="10" t="str">
        <x:v>2024-12-0632</x:v>
      </x:c>
      <x:c r="B1582" s="11" t="n">
        <x:v>45657</x:v>
      </x:c>
      <x:c r="C1582" s="10" t="n">
        <x:v>12</x:v>
      </x:c>
      <x:c r="D1582" s="10" t="str">
        <x:v>6859</x:v>
      </x:c>
      <x:c r="E1582" s="12" t="n">
        <x:v>500</x:v>
      </x:c>
      <x:c r="F1582" s="12" t="n">
        <x:v>0</x:v>
      </x:c>
      <x:c r="G1582" s="10" t="str">
        <x:v>Bankgebühren Monatsjournal</x:v>
      </x:c>
      <x:c r="H1582" s="10" t="str">
        <x:v>Betriebskosten</x:v>
      </x:c>
    </x:row>
    <x:row r="1583" ht="14" customHeight="1">
      <x:c r="A1583" s="10" t="str">
        <x:v>2024-12-0632</x:v>
      </x:c>
      <x:c r="B1583" s="11" t="n">
        <x:v>45657</x:v>
      </x:c>
      <x:c r="C1583" s="10" t="n">
        <x:v>12</x:v>
      </x:c>
      <x:c r="D1583" s="10" t="str">
        <x:v>3300</x:v>
      </x:c>
      <x:c r="E1583" s="12" t="n">
        <x:v>0</x:v>
      </x:c>
      <x:c r="F1583" s="12" t="n">
        <x:v>500</x:v>
      </x:c>
      <x:c r="G1583" s="10" t="str">
        <x:v>Bankgebühren Monatsjournal</x:v>
      </x:c>
      <x:c r="H1583" s="10" t="str">
        <x:v>Betriebskosten</x:v>
      </x:c>
    </x:row>
    <x:row r="1584" ht="14" customHeight="1">
      <x:c r="A1584" s="10" t="str">
        <x:v>2024-12-0633</x:v>
      </x:c>
      <x:c r="B1584" s="11" t="n">
        <x:v>45631</x:v>
      </x:c>
      <x:c r="C1584" s="10" t="n">
        <x:v>12</x:v>
      </x:c>
      <x:c r="D1584" s="10" t="str">
        <x:v>1600</x:v>
      </x:c>
      <x:c r="E1584" s="12" t="n">
        <x:v>300</x:v>
      </x:c>
      <x:c r="F1584" s="12" t="n">
        <x:v>0</x:v>
      </x:c>
      <x:c r="G1584" s="10" t="str">
        <x:v>Kassenvorschuss Reisekosten</x:v>
      </x:c>
      <x:c r="H1584" s="10" t="str">
        <x:v>Kassenumbuchung</x:v>
      </x:c>
    </x:row>
    <x:row r="1585" ht="14" customHeight="1">
      <x:c r="A1585" s="10" t="str">
        <x:v>2024-12-0633</x:v>
      </x:c>
      <x:c r="B1585" s="11" t="n">
        <x:v>45631</x:v>
      </x:c>
      <x:c r="C1585" s="10" t="n">
        <x:v>12</x:v>
      </x:c>
      <x:c r="D1585" s="10" t="str">
        <x:v>1800</x:v>
      </x:c>
      <x:c r="E1585" s="12" t="n">
        <x:v>0</x:v>
      </x:c>
      <x:c r="F1585" s="12" t="n">
        <x:v>300</x:v>
      </x:c>
      <x:c r="G1585" s="10" t="str">
        <x:v>Kassenvorschuss Reisekosten</x:v>
      </x:c>
      <x:c r="H1585" s="10" t="str">
        <x:v>Kassenumbuchung</x:v>
      </x:c>
    </x:row>
    <x:row r="1586" ht="14" customHeight="1">
      <x:c r="A1586" s="10" t="str">
        <x:v>2024-12-0634</x:v>
      </x:c>
      <x:c r="B1586" s="11" t="n">
        <x:v>45646</x:v>
      </x:c>
      <x:c r="C1586" s="10" t="n">
        <x:v>12</x:v>
      </x:c>
      <x:c r="D1586" s="10" t="str">
        <x:v>1900</x:v>
      </x:c>
      <x:c r="E1586" s="12" t="n">
        <x:v>18000</x:v>
      </x:c>
      <x:c r="F1586" s="12" t="n">
        <x:v>0</x:v>
      </x:c>
      <x:c r="G1586" s="10" t="str">
        <x:v>IT Lizenz Januar bis Juni Folgejahr</x:v>
      </x:c>
      <x:c r="H1586" s="10" t="str">
        <x:v>Vorauszahlung</x:v>
      </x:c>
    </x:row>
    <x:row r="1587" ht="14" customHeight="1">
      <x:c r="A1587" s="10" t="str">
        <x:v>2024-12-0634</x:v>
      </x:c>
      <x:c r="B1587" s="11" t="n">
        <x:v>45646</x:v>
      </x:c>
      <x:c r="C1587" s="10" t="n">
        <x:v>12</x:v>
      </x:c>
      <x:c r="D1587" s="10" t="str">
        <x:v>1406</x:v>
      </x:c>
      <x:c r="E1587" s="12" t="n">
        <x:v>3420</x:v>
      </x:c>
      <x:c r="F1587" s="12" t="n">
        <x:v>0</x:v>
      </x:c>
      <x:c r="G1587" s="10" t="str">
        <x:v>IT Lizenz Januar bis Juni Folgejahr</x:v>
      </x:c>
      <x:c r="H1587" s="10" t="str">
        <x:v>Vorauszahlung</x:v>
      </x:c>
    </x:row>
    <x:row r="1588" ht="14" customHeight="1">
      <x:c r="A1588" s="10" t="str">
        <x:v>2024-12-0634</x:v>
      </x:c>
      <x:c r="B1588" s="11" t="n">
        <x:v>45646</x:v>
      </x:c>
      <x:c r="C1588" s="10" t="n">
        <x:v>12</x:v>
      </x:c>
      <x:c r="D1588" s="10" t="str">
        <x:v>1800</x:v>
      </x:c>
      <x:c r="E1588" s="12" t="n">
        <x:v>0</x:v>
      </x:c>
      <x:c r="F1588" s="12" t="n">
        <x:v>21420</x:v>
      </x:c>
      <x:c r="G1588" s="10" t="str">
        <x:v>IT Lizenz Januar bis Juni Folgejahr</x:v>
      </x:c>
      <x:c r="H1588" s="10" t="str">
        <x:v>Vorauszahlung</x:v>
      </x:c>
    </x:row>
    <x:row r="1589" ht="14" customHeight="1">
      <x:c r="A1589" s="10" t="str">
        <x:v>2024-12-0635</x:v>
      </x:c>
      <x:c r="B1589" s="11" t="n">
        <x:v>45657</x:v>
      </x:c>
      <x:c r="C1589" s="10" t="n">
        <x:v>12</x:v>
      </x:c>
      <x:c r="D1589" s="10" t="str">
        <x:v>6220</x:v>
      </x:c>
      <x:c r="E1589" s="12" t="n">
        <x:v>500</x:v>
      </x:c>
      <x:c r="F1589" s="12" t="n">
        <x:v>0</x:v>
      </x:c>
      <x:c r="G1589" s="10" t="str">
        <x:v>Software Monatsabschreibung</x:v>
      </x:c>
      <x:c r="H1589" s="10" t="str">
        <x:v>Abschreibung</x:v>
      </x:c>
    </x:row>
    <x:row r="1590" ht="14" customHeight="1">
      <x:c r="A1590" s="10" t="str">
        <x:v>2024-12-0635</x:v>
      </x:c>
      <x:c r="B1590" s="11" t="n">
        <x:v>45657</x:v>
      </x:c>
      <x:c r="C1590" s="10" t="n">
        <x:v>12</x:v>
      </x:c>
      <x:c r="D1590" s="10" t="str">
        <x:v>0100</x:v>
      </x:c>
      <x:c r="E1590" s="12" t="n">
        <x:v>0</x:v>
      </x:c>
      <x:c r="F1590" s="12" t="n">
        <x:v>500</x:v>
      </x:c>
      <x:c r="G1590" s="10" t="str">
        <x:v>Software Monatsabschreibung</x:v>
      </x:c>
      <x:c r="H1590" s="10" t="str">
        <x:v>Abschreibung</x:v>
      </x:c>
    </x:row>
    <x:row r="1591" ht="14" customHeight="1">
      <x:c r="A1591" s="10" t="str">
        <x:v>2024-12-0636</x:v>
      </x:c>
      <x:c r="B1591" s="11" t="n">
        <x:v>45657</x:v>
      </x:c>
      <x:c r="C1591" s="10" t="n">
        <x:v>12</x:v>
      </x:c>
      <x:c r="D1591" s="10" t="str">
        <x:v>6220</x:v>
      </x:c>
      <x:c r="E1591" s="12" t="n">
        <x:v>2500</x:v>
      </x:c>
      <x:c r="F1591" s="12" t="n">
        <x:v>0</x:v>
      </x:c>
      <x:c r="G1591" s="10" t="str">
        <x:v>Lagereinbauten Erlangen Monatsabschreibung</x:v>
      </x:c>
      <x:c r="H1591" s="10" t="str">
        <x:v>Abschreibung</x:v>
      </x:c>
    </x:row>
    <x:row r="1592" ht="14" customHeight="1">
      <x:c r="A1592" s="10" t="str">
        <x:v>2024-12-0636</x:v>
      </x:c>
      <x:c r="B1592" s="11" t="n">
        <x:v>45657</x:v>
      </x:c>
      <x:c r="C1592" s="10" t="n">
        <x:v>12</x:v>
      </x:c>
      <x:c r="D1592" s="10" t="str">
        <x:v>0400</x:v>
      </x:c>
      <x:c r="E1592" s="12" t="n">
        <x:v>0</x:v>
      </x:c>
      <x:c r="F1592" s="12" t="n">
        <x:v>2500</x:v>
      </x:c>
      <x:c r="G1592" s="10" t="str">
        <x:v>Lagereinbauten Erlangen Monatsabschreibung</x:v>
      </x:c>
      <x:c r="H1592" s="10" t="str">
        <x:v>Abschreibung</x:v>
      </x:c>
    </x:row>
    <x:row r="1593" ht="14" customHeight="1">
      <x:c r="A1593" s="10" t="str">
        <x:v>2024-12-0637</x:v>
      </x:c>
      <x:c r="B1593" s="11" t="n">
        <x:v>45657</x:v>
      </x:c>
      <x:c r="C1593" s="10" t="n">
        <x:v>12</x:v>
      </x:c>
      <x:c r="D1593" s="10" t="str">
        <x:v>6220</x:v>
      </x:c>
      <x:c r="E1593" s="12" t="n">
        <x:v>1500</x:v>
      </x:c>
      <x:c r="F1593" s="12" t="n">
        <x:v>0</x:v>
      </x:c>
      <x:c r="G1593" s="10" t="str">
        <x:v>Flurförderzeuge Monatsabschreibung</x:v>
      </x:c>
      <x:c r="H1593" s="10" t="str">
        <x:v>Abschreibung</x:v>
      </x:c>
    </x:row>
    <x:row r="1594" ht="14" customHeight="1">
      <x:c r="A1594" s="10" t="str">
        <x:v>2024-12-0637</x:v>
      </x:c>
      <x:c r="B1594" s="11" t="n">
        <x:v>45657</x:v>
      </x:c>
      <x:c r="C1594" s="10" t="n">
        <x:v>12</x:v>
      </x:c>
      <x:c r="D1594" s="10" t="str">
        <x:v>0520</x:v>
      </x:c>
      <x:c r="E1594" s="12" t="n">
        <x:v>0</x:v>
      </x:c>
      <x:c r="F1594" s="12" t="n">
        <x:v>1500</x:v>
      </x:c>
      <x:c r="G1594" s="10" t="str">
        <x:v>Flurförderzeuge Monatsabschreibung</x:v>
      </x:c>
      <x:c r="H1594" s="10" t="str">
        <x:v>Abschreibung</x:v>
      </x:c>
    </x:row>
    <x:row r="1595" ht="14" customHeight="1">
      <x:c r="A1595" s="10" t="str">
        <x:v>2024-12-0638</x:v>
      </x:c>
      <x:c r="B1595" s="11" t="n">
        <x:v>45657</x:v>
      </x:c>
      <x:c r="C1595" s="10" t="n">
        <x:v>12</x:v>
      </x:c>
      <x:c r="D1595" s="10" t="str">
        <x:v>6220</x:v>
      </x:c>
      <x:c r="E1595" s="12" t="n">
        <x:v>2000</x:v>
      </x:c>
      <x:c r="F1595" s="12" t="n">
        <x:v>0</x:v>
      </x:c>
      <x:c r="G1595" s="10" t="str">
        <x:v>IT und Kommunikation Monatsabschreibung</x:v>
      </x:c>
      <x:c r="H1595" s="10" t="str">
        <x:v>Abschreibung</x:v>
      </x:c>
    </x:row>
    <x:row r="1596" ht="14" customHeight="1">
      <x:c r="A1596" s="10" t="str">
        <x:v>2024-12-0638</x:v>
      </x:c>
      <x:c r="B1596" s="11" t="n">
        <x:v>45657</x:v>
      </x:c>
      <x:c r="C1596" s="10" t="n">
        <x:v>12</x:v>
      </x:c>
      <x:c r="D1596" s="10" t="str">
        <x:v>0650</x:v>
      </x:c>
      <x:c r="E1596" s="12" t="n">
        <x:v>0</x:v>
      </x:c>
      <x:c r="F1596" s="12" t="n">
        <x:v>2000</x:v>
      </x:c>
      <x:c r="G1596" s="10" t="str">
        <x:v>IT und Kommunikation Monatsabschreibung</x:v>
      </x:c>
      <x:c r="H1596" s="10" t="str">
        <x:v>Abschreibung</x:v>
      </x:c>
    </x:row>
    <x:row r="1597" ht="14" customHeight="1">
      <x:c r="A1597" s="10" t="str">
        <x:v>2024-12-0639</x:v>
      </x:c>
      <x:c r="B1597" s="11" t="n">
        <x:v>45657</x:v>
      </x:c>
      <x:c r="C1597" s="10" t="n">
        <x:v>12</x:v>
      </x:c>
      <x:c r="D1597" s="10" t="str">
        <x:v>6220</x:v>
      </x:c>
      <x:c r="E1597" s="12" t="n">
        <x:v>1000</x:v>
      </x:c>
      <x:c r="F1597" s="12" t="n">
        <x:v>0</x:v>
      </x:c>
      <x:c r="G1597" s="10" t="str">
        <x:v>Büroausstattung Monatsabschreibung</x:v>
      </x:c>
      <x:c r="H1597" s="10" t="str">
        <x:v>Abschreibung</x:v>
      </x:c>
    </x:row>
    <x:row r="1598" ht="14" customHeight="1">
      <x:c r="A1598" s="10" t="str">
        <x:v>2024-12-0639</x:v>
      </x:c>
      <x:c r="B1598" s="11" t="n">
        <x:v>45657</x:v>
      </x:c>
      <x:c r="C1598" s="10" t="n">
        <x:v>12</x:v>
      </x:c>
      <x:c r="D1598" s="10" t="str">
        <x:v>0670</x:v>
      </x:c>
      <x:c r="E1598" s="12" t="n">
        <x:v>0</x:v>
      </x:c>
      <x:c r="F1598" s="12" t="n">
        <x:v>1000</x:v>
      </x:c>
      <x:c r="G1598" s="10" t="str">
        <x:v>Büroausstattung Monatsabschreibung</x:v>
      </x:c>
      <x:c r="H1598" s="10" t="str">
        <x:v>Abschreibung</x:v>
      </x:c>
    </x:row>
    <x:row r="1599" ht="14" customHeight="1">
      <x:c r="A1599" s="10" t="str">
        <x:v>2024-12-0640</x:v>
      </x:c>
      <x:c r="B1599" s="11" t="n">
        <x:v>45656</x:v>
      </x:c>
      <x:c r="C1599" s="10" t="n">
        <x:v>12</x:v>
      </x:c>
      <x:c r="D1599" s="10" t="str">
        <x:v>3150</x:v>
      </x:c>
      <x:c r="E1599" s="12" t="n">
        <x:v>10000</x:v>
      </x:c>
      <x:c r="F1599" s="12" t="n">
        <x:v>0</x:v>
      </x:c>
      <x:c r="G1599" s="10" t="str">
        <x:v>Investitionsdarlehen Tilgungsrate</x:v>
      </x:c>
      <x:c r="H1599" s="10" t="str">
        <x:v>Tilgung</x:v>
      </x:c>
    </x:row>
    <x:row r="1600" ht="14" customHeight="1">
      <x:c r="A1600" s="10" t="str">
        <x:v>2024-12-0640</x:v>
      </x:c>
      <x:c r="B1600" s="11" t="n">
        <x:v>45656</x:v>
      </x:c>
      <x:c r="C1600" s="10" t="n">
        <x:v>12</x:v>
      </x:c>
      <x:c r="D1600" s="10" t="str">
        <x:v>1800</x:v>
      </x:c>
      <x:c r="E1600" s="12" t="n">
        <x:v>0</x:v>
      </x:c>
      <x:c r="F1600" s="12" t="n">
        <x:v>10000</x:v>
      </x:c>
      <x:c r="G1600" s="10" t="str">
        <x:v>Investitionsdarlehen Tilgungsrate</x:v>
      </x:c>
      <x:c r="H1600" s="10" t="str">
        <x:v>Tilgung</x:v>
      </x:c>
    </x:row>
    <x:row r="1601" ht="14" customHeight="1">
      <x:c r="A1601" s="10" t="str">
        <x:v>2024-12-0641</x:v>
      </x:c>
      <x:c r="B1601" s="11" t="n">
        <x:v>45657</x:v>
      </x:c>
      <x:c r="C1601" s="10" t="n">
        <x:v>12</x:v>
      </x:c>
      <x:c r="D1601" s="10" t="str">
        <x:v>7300</x:v>
      </x:c>
      <x:c r="E1601" s="12" t="n">
        <x:v>2500</x:v>
      </x:c>
      <x:c r="F1601" s="12" t="n">
        <x:v>0</x:v>
      </x:c>
      <x:c r="G1601" s="10" t="str">
        <x:v>Investitionsdarlehen Zinsabrechnung</x:v>
      </x:c>
      <x:c r="H1601" s="10" t="str">
        <x:v>Zinsen</x:v>
      </x:c>
    </x:row>
    <x:row r="1602" ht="14" customHeight="1">
      <x:c r="A1602" s="10" t="str">
        <x:v>2024-12-0641</x:v>
      </x:c>
      <x:c r="B1602" s="11" t="n">
        <x:v>45657</x:v>
      </x:c>
      <x:c r="C1602" s="10" t="n">
        <x:v>12</x:v>
      </x:c>
      <x:c r="D1602" s="10" t="str">
        <x:v>1800</x:v>
      </x:c>
      <x:c r="E1602" s="12" t="n">
        <x:v>0</x:v>
      </x:c>
      <x:c r="F1602" s="12" t="n">
        <x:v>2500</x:v>
      </x:c>
      <x:c r="G1602" s="10" t="str">
        <x:v>Investitionsdarlehen Zinsabrechnung</x:v>
      </x:c>
      <x:c r="H1602" s="10" t="str">
        <x:v>Zinsen</x:v>
      </x:c>
    </x:row>
    <x:row r="1603" ht="14" customHeight="1">
      <x:c r="A1603" s="10" t="str">
        <x:v>2024-12-0642</x:v>
      </x:c>
      <x:c r="B1603" s="11" t="n">
        <x:v>45657</x:v>
      </x:c>
      <x:c r="C1603" s="10" t="n">
        <x:v>12</x:v>
      </x:c>
      <x:c r="D1603" s="10" t="str">
        <x:v>7310</x:v>
      </x:c>
      <x:c r="E1603" s="12" t="n">
        <x:v>1000</x:v>
      </x:c>
      <x:c r="F1603" s="12" t="n">
        <x:v>0</x:v>
      </x:c>
      <x:c r="G1603" s="10" t="str">
        <x:v>Kontokorrent Zinsen und Bereitstellung</x:v>
      </x:c>
      <x:c r="H1603" s="10" t="str">
        <x:v>Zinsen</x:v>
      </x:c>
    </x:row>
    <x:row r="1604" ht="14" customHeight="1">
      <x:c r="A1604" s="10" t="str">
        <x:v>2024-12-0642</x:v>
      </x:c>
      <x:c r="B1604" s="11" t="n">
        <x:v>45657</x:v>
      </x:c>
      <x:c r="C1604" s="10" t="n">
        <x:v>12</x:v>
      </x:c>
      <x:c r="D1604" s="10" t="str">
        <x:v>1800</x:v>
      </x:c>
      <x:c r="E1604" s="12" t="n">
        <x:v>0</x:v>
      </x:c>
      <x:c r="F1604" s="12" t="n">
        <x:v>1000</x:v>
      </x:c>
      <x:c r="G1604" s="10" t="str">
        <x:v>Kontokorrent Zinsen und Bereitstellung</x:v>
      </x:c>
      <x:c r="H1604" s="10" t="str">
        <x:v>Zinsen</x:v>
      </x:c>
    </x:row>
    <x:row r="1605" ht="14" customHeight="1">
      <x:c r="A1605" s="10" t="str">
        <x:v>2024-12-0643</x:v>
      </x:c>
      <x:c r="B1605" s="11" t="n">
        <x:v>45636</x:v>
      </x:c>
      <x:c r="C1605" s="10" t="n">
        <x:v>12</x:v>
      </x:c>
      <x:c r="D1605" s="10" t="str">
        <x:v>3840</x:v>
      </x:c>
      <x:c r="E1605" s="12" t="n">
        <x:v>12000</x:v>
      </x:c>
      <x:c r="F1605" s="12" t="n">
        <x:v>0</x:v>
      </x:c>
      <x:c r="G1605" s="10" t="str">
        <x:v>Ertragsteuervorauszahlung Zahlungsjournal</x:v>
      </x:c>
      <x:c r="H1605" s="10" t="str">
        <x:v>Ertragsteuerzahlung</x:v>
      </x:c>
    </x:row>
    <x:row r="1606" ht="14" customHeight="1">
      <x:c r="A1606" s="10" t="str">
        <x:v>2024-12-0643</x:v>
      </x:c>
      <x:c r="B1606" s="11" t="n">
        <x:v>45636</x:v>
      </x:c>
      <x:c r="C1606" s="10" t="n">
        <x:v>12</x:v>
      </x:c>
      <x:c r="D1606" s="10" t="str">
        <x:v>1800</x:v>
      </x:c>
      <x:c r="E1606" s="12" t="n">
        <x:v>0</x:v>
      </x:c>
      <x:c r="F1606" s="12" t="n">
        <x:v>12000</x:v>
      </x:c>
      <x:c r="G1606" s="10" t="str">
        <x:v>Ertragsteuervorauszahlung Zahlungsjournal</x:v>
      </x:c>
      <x:c r="H1606" s="10" t="str">
        <x:v>Ertragsteuerzahlung</x:v>
      </x:c>
    </x:row>
    <x:row r="1607" ht="14" customHeight="1">
      <x:c r="A1607" s="10" t="str">
        <x:v>2024-12-0644</x:v>
      </x:c>
      <x:c r="B1607" s="11" t="n">
        <x:v>45657</x:v>
      </x:c>
      <x:c r="C1607" s="10" t="n">
        <x:v>12</x:v>
      </x:c>
      <x:c r="D1607" s="10" t="str">
        <x:v>6855</x:v>
      </x:c>
      <x:c r="E1607" s="12" t="n">
        <x:v>15000</x:v>
      </x:c>
      <x:c r="F1607" s="12" t="n">
        <x:v>0</x:v>
      </x:c>
      <x:c r="G1607" s="10" t="str">
        <x:v>Zuführung Abschluss und Urlaub</x:v>
      </x:c>
      <x:c r="H1607" s="10" t="str">
        <x:v>Rückstellungen</x:v>
      </x:c>
    </x:row>
    <x:row r="1608" ht="14" customHeight="1">
      <x:c r="A1608" s="10" t="str">
        <x:v>2024-12-0644</x:v>
      </x:c>
      <x:c r="B1608" s="11" t="n">
        <x:v>45657</x:v>
      </x:c>
      <x:c r="C1608" s="10" t="n">
        <x:v>12</x:v>
      </x:c>
      <x:c r="D1608" s="10" t="str">
        <x:v>3090</x:v>
      </x:c>
      <x:c r="E1608" s="12" t="n">
        <x:v>0</x:v>
      </x:c>
      <x:c r="F1608" s="12" t="n">
        <x:v>15000</x:v>
      </x:c>
      <x:c r="G1608" s="10" t="str">
        <x:v>Zuführung Abschluss und Urlaub</x:v>
      </x:c>
      <x:c r="H1608" s="10" t="str">
        <x:v>Rückstellungen</x:v>
      </x:c>
    </x:row>
    <x:row r="1609" ht="14" customHeight="1">
      <x:c r="A1609" s="10" t="str">
        <x:v>2024-12-0645</x:v>
      </x:c>
      <x:c r="B1609" s="11" t="n">
        <x:v>45657</x:v>
      </x:c>
      <x:c r="C1609" s="10" t="n">
        <x:v>12</x:v>
      </x:c>
      <x:c r="D1609" s="10" t="str">
        <x:v>7600</x:v>
      </x:c>
      <x:c r="E1609" s="12" t="n">
        <x:v>50000</x:v>
      </x:c>
      <x:c r="F1609" s="12" t="n">
        <x:v>0</x:v>
      </x:c>
      <x:c r="G1609" s="10" t="str">
        <x:v>Ertragsteuerabgrenzung Buchhaltung</x:v>
      </x:c>
      <x:c r="H1609" s="10" t="str">
        <x:v>Steueraufwand</x:v>
      </x:c>
    </x:row>
    <x:row r="1610" ht="14" customHeight="1">
      <x:c r="A1610" s="10" t="str">
        <x:v>2024-12-0645</x:v>
      </x:c>
      <x:c r="B1610" s="11" t="n">
        <x:v>45657</x:v>
      </x:c>
      <x:c r="C1610" s="10" t="n">
        <x:v>12</x:v>
      </x:c>
      <x:c r="D1610" s="10" t="str">
        <x:v>3840</x:v>
      </x:c>
      <x:c r="E1610" s="12" t="n">
        <x:v>0</x:v>
      </x:c>
      <x:c r="F1610" s="12" t="n">
        <x:v>50000</x:v>
      </x:c>
      <x:c r="G1610" s="10" t="str">
        <x:v>Ertragsteuerabgrenzung Buchhaltung</x:v>
      </x:c>
      <x:c r="H1610" s="10" t="str">
        <x:v>Steueraufwand</x:v>
      </x:c>
    </x:row>
    <x:row r="1611" ht="14" customHeight="1">
      <x:c r="A1611" s="10" t="str">
        <x:v>2024-12-0646</x:v>
      </x:c>
      <x:c r="B1611" s="11" t="n">
        <x:v>45657</x:v>
      </x:c>
      <x:c r="C1611" s="10" t="n">
        <x:v>12</x:v>
      </x:c>
      <x:c r="D1611" s="10" t="str">
        <x:v>1800</x:v>
      </x:c>
      <x:c r="E1611" s="12" t="n">
        <x:v>827212.4</x:v>
      </x:c>
      <x:c r="F1611" s="12" t="n">
        <x:v>0</x:v>
      </x:c>
      <x:c r="G1611" s="10" t="str">
        <x:v>Bankjournal Kundeneingänge brutto</x:v>
      </x:c>
      <x:c r="H1611" s="10" t="str">
        <x:v>Kundenzahlungen</x:v>
      </x:c>
    </x:row>
    <x:row r="1612" ht="14" customHeight="1">
      <x:c r="A1612" s="10" t="str">
        <x:v>2024-12-0646</x:v>
      </x:c>
      <x:c r="B1612" s="11" t="n">
        <x:v>45657</x:v>
      </x:c>
      <x:c r="C1612" s="10" t="n">
        <x:v>12</x:v>
      </x:c>
      <x:c r="D1612" s="10" t="str">
        <x:v>1200</x:v>
      </x:c>
      <x:c r="E1612" s="12" t="n">
        <x:v>0</x:v>
      </x:c>
      <x:c r="F1612" s="12" t="n">
        <x:v>827212.4</x:v>
      </x:c>
      <x:c r="G1612" s="10" t="str">
        <x:v>Bankjournal Kundeneingänge brutto</x:v>
      </x:c>
      <x:c r="H1612" s="10" t="str">
        <x:v>Kundenzahlungen</x:v>
      </x:c>
    </x:row>
    <x:row r="1613" ht="14" customHeight="1">
      <x:c r="A1613" s="10" t="str">
        <x:v>2024-12-0647</x:v>
      </x:c>
      <x:c r="B1613" s="11" t="n">
        <x:v>45657</x:v>
      </x:c>
      <x:c r="C1613" s="10" t="n">
        <x:v>12</x:v>
      </x:c>
      <x:c r="D1613" s="10" t="str">
        <x:v>3300</x:v>
      </x:c>
      <x:c r="E1613" s="12" t="n">
        <x:v>587053</x:v>
      </x:c>
      <x:c r="F1613" s="12" t="n">
        <x:v>0</x:v>
      </x:c>
      <x:c r="G1613" s="10" t="str">
        <x:v>Bankjournal Lieferantenzahlungen brutto</x:v>
      </x:c>
      <x:c r="H1613" s="10" t="str">
        <x:v>Lieferantenzahlungen</x:v>
      </x:c>
    </x:row>
    <x:row r="1614" ht="14" customHeight="1">
      <x:c r="A1614" s="10" t="str">
        <x:v>2024-12-0647</x:v>
      </x:c>
      <x:c r="B1614" s="11" t="n">
        <x:v>45657</x:v>
      </x:c>
      <x:c r="C1614" s="10" t="n">
        <x:v>12</x:v>
      </x:c>
      <x:c r="D1614" s="10" t="str">
        <x:v>1800</x:v>
      </x:c>
      <x:c r="E1614" s="12" t="n">
        <x:v>0</x:v>
      </x:c>
      <x:c r="F1614" s="12" t="n">
        <x:v>587053</x:v>
      </x:c>
      <x:c r="G1614" s="10" t="str">
        <x:v>Bankjournal Lieferantenzahlungen brutto</x:v>
      </x:c>
      <x:c r="H1614" s="10" t="str">
        <x:v>Lieferantenzahlungen</x:v>
      </x:c>
    </x:row>
    <x:row r="1615" ht="14" customHeight="1">
      <x:c r="A1615" s="10" t="str">
        <x:v>2024-12-0648</x:v>
      </x:c>
      <x:c r="B1615" s="11" t="n">
        <x:v>45657</x:v>
      </x:c>
      <x:c r="C1615" s="10" t="n">
        <x:v>12</x:v>
      </x:c>
      <x:c r="D1615" s="10" t="str">
        <x:v>1401</x:v>
      </x:c>
      <x:c r="E1615" s="12" t="n">
        <x:v>0</x:v>
      </x:c>
      <x:c r="F1615" s="12" t="n">
        <x:v>11492</x:v>
      </x:c>
      <x:c r="G1615" s="10" t="str">
        <x:v>Umsatzsteuer Monatsumbuchung 1401</x:v>
      </x:c>
      <x:c r="H1615" s="10" t="str">
        <x:v>Steuerverrechnung</x:v>
      </x:c>
    </x:row>
    <x:row r="1616" ht="14" customHeight="1">
      <x:c r="A1616" s="10" t="str">
        <x:v>2024-12-0648</x:v>
      </x:c>
      <x:c r="B1616" s="11" t="n">
        <x:v>45657</x:v>
      </x:c>
      <x:c r="C1616" s="10" t="n">
        <x:v>12</x:v>
      </x:c>
      <x:c r="D1616" s="10" t="str">
        <x:v>3820</x:v>
      </x:c>
      <x:c r="E1616" s="12" t="n">
        <x:v>11492</x:v>
      </x:c>
      <x:c r="F1616" s="12" t="n">
        <x:v>0</x:v>
      </x:c>
      <x:c r="G1616" s="10" t="str">
        <x:v>Umsatzsteuer Monatsumbuchung 1401</x:v>
      </x:c>
      <x:c r="H1616" s="10" t="str">
        <x:v>Steuerverrechnung</x:v>
      </x:c>
    </x:row>
    <x:row r="1617" ht="14" customHeight="1">
      <x:c r="A1617" s="10" t="str">
        <x:v>2024-12-0649</x:v>
      </x:c>
      <x:c r="B1617" s="11" t="n">
        <x:v>45657</x:v>
      </x:c>
      <x:c r="C1617" s="10" t="n">
        <x:v>12</x:v>
      </x:c>
      <x:c r="D1617" s="10" t="str">
        <x:v>1406</x:v>
      </x:c>
      <x:c r="E1617" s="12" t="n">
        <x:v>0</x:v>
      </x:c>
      <x:c r="F1617" s="12" t="n">
        <x:v>22751</x:v>
      </x:c>
      <x:c r="G1617" s="10" t="str">
        <x:v>Umsatzsteuer Monatsumbuchung 1406</x:v>
      </x:c>
      <x:c r="H1617" s="10" t="str">
        <x:v>Steuerverrechnung</x:v>
      </x:c>
    </x:row>
    <x:row r="1618" ht="14" customHeight="1">
      <x:c r="A1618" s="10" t="str">
        <x:v>2024-12-0649</x:v>
      </x:c>
      <x:c r="B1618" s="11" t="n">
        <x:v>45657</x:v>
      </x:c>
      <x:c r="C1618" s="10" t="n">
        <x:v>12</x:v>
      </x:c>
      <x:c r="D1618" s="10" t="str">
        <x:v>3820</x:v>
      </x:c>
      <x:c r="E1618" s="12" t="n">
        <x:v>22751</x:v>
      </x:c>
      <x:c r="F1618" s="12" t="n">
        <x:v>0</x:v>
      </x:c>
      <x:c r="G1618" s="10" t="str">
        <x:v>Umsatzsteuer Monatsumbuchung 1406</x:v>
      </x:c>
      <x:c r="H1618" s="10" t="str">
        <x:v>Steuerverrechnung</x:v>
      </x:c>
    </x:row>
    <x:row r="1619" ht="14" customHeight="1">
      <x:c r="A1619" s="10" t="str">
        <x:v>2024-12-0650</x:v>
      </x:c>
      <x:c r="B1619" s="11" t="n">
        <x:v>45657</x:v>
      </x:c>
      <x:c r="C1619" s="10" t="n">
        <x:v>12</x:v>
      </x:c>
      <x:c r="D1619" s="10" t="str">
        <x:v>1404</x:v>
      </x:c>
      <x:c r="E1619" s="12" t="n">
        <x:v>0</x:v>
      </x:c>
      <x:c r="F1619" s="12" t="n">
        <x:v>6048.42</x:v>
      </x:c>
      <x:c r="G1619" s="10" t="str">
        <x:v>Umsatzsteuer Monatsumbuchung 1404</x:v>
      </x:c>
      <x:c r="H1619" s="10" t="str">
        <x:v>Steuerverrechnung</x:v>
      </x:c>
    </x:row>
    <x:row r="1620" ht="14" customHeight="1">
      <x:c r="A1620" s="10" t="str">
        <x:v>2024-12-0650</x:v>
      </x:c>
      <x:c r="B1620" s="11" t="n">
        <x:v>45657</x:v>
      </x:c>
      <x:c r="C1620" s="10" t="n">
        <x:v>12</x:v>
      </x:c>
      <x:c r="D1620" s="10" t="str">
        <x:v>3820</x:v>
      </x:c>
      <x:c r="E1620" s="12" t="n">
        <x:v>6048.42</x:v>
      </x:c>
      <x:c r="F1620" s="12" t="n">
        <x:v>0</x:v>
      </x:c>
      <x:c r="G1620" s="10" t="str">
        <x:v>Umsatzsteuer Monatsumbuchung 1404</x:v>
      </x:c>
      <x:c r="H1620" s="10" t="str">
        <x:v>Steuerverrechnung</x:v>
      </x:c>
    </x:row>
    <x:row r="1621" ht="14" customHeight="1">
      <x:c r="A1621" s="10" t="str">
        <x:v>2024-12-0651</x:v>
      </x:c>
      <x:c r="B1621" s="11" t="n">
        <x:v>45657</x:v>
      </x:c>
      <x:c r="C1621" s="10" t="n">
        <x:v>12</x:v>
      </x:c>
      <x:c r="D1621" s="10" t="str">
        <x:v>1409</x:v>
      </x:c>
      <x:c r="E1621" s="12" t="n">
        <x:v>0</x:v>
      </x:c>
      <x:c r="F1621" s="12" t="n">
        <x:v>4104.28</x:v>
      </x:c>
      <x:c r="G1621" s="10" t="str">
        <x:v>Umsatzsteuer Monatsumbuchung 1409</x:v>
      </x:c>
      <x:c r="H1621" s="10" t="str">
        <x:v>Steuerverrechnung</x:v>
      </x:c>
    </x:row>
    <x:row r="1622" ht="14" customHeight="1">
      <x:c r="A1622" s="10" t="str">
        <x:v>2024-12-0651</x:v>
      </x:c>
      <x:c r="B1622" s="11" t="n">
        <x:v>45657</x:v>
      </x:c>
      <x:c r="C1622" s="10" t="n">
        <x:v>12</x:v>
      </x:c>
      <x:c r="D1622" s="10" t="str">
        <x:v>3820</x:v>
      </x:c>
      <x:c r="E1622" s="12" t="n">
        <x:v>4104.28</x:v>
      </x:c>
      <x:c r="F1622" s="12" t="n">
        <x:v>0</x:v>
      </x:c>
      <x:c r="G1622" s="10" t="str">
        <x:v>Umsatzsteuer Monatsumbuchung 1409</x:v>
      </x:c>
      <x:c r="H1622" s="10" t="str">
        <x:v>Steuerverrechnung</x:v>
      </x:c>
    </x:row>
    <x:row r="1623" ht="14" customHeight="1">
      <x:c r="A1623" s="10" t="str">
        <x:v>2024-12-0652</x:v>
      </x:c>
      <x:c r="B1623" s="11" t="n">
        <x:v>45657</x:v>
      </x:c>
      <x:c r="C1623" s="10" t="n">
        <x:v>12</x:v>
      </x:c>
      <x:c r="D1623" s="10" t="str">
        <x:v>1433</x:v>
      </x:c>
      <x:c r="E1623" s="12" t="n">
        <x:v>0</x:v>
      </x:c>
      <x:c r="F1623" s="12" t="n">
        <x:v>10627.94</x:v>
      </x:c>
      <x:c r="G1623" s="10" t="str">
        <x:v>Umsatzsteuer Monatsumbuchung 1433</x:v>
      </x:c>
      <x:c r="H1623" s="10" t="str">
        <x:v>Steuerverrechnung</x:v>
      </x:c>
    </x:row>
    <x:row r="1624" ht="14" customHeight="1">
      <x:c r="A1624" s="10" t="str">
        <x:v>2024-12-0652</x:v>
      </x:c>
      <x:c r="B1624" s="11" t="n">
        <x:v>45657</x:v>
      </x:c>
      <x:c r="C1624" s="10" t="n">
        <x:v>12</x:v>
      </x:c>
      <x:c r="D1624" s="10" t="str">
        <x:v>3820</x:v>
      </x:c>
      <x:c r="E1624" s="12" t="n">
        <x:v>10627.94</x:v>
      </x:c>
      <x:c r="F1624" s="12" t="n">
        <x:v>0</x:v>
      </x:c>
      <x:c r="G1624" s="10" t="str">
        <x:v>Umsatzsteuer Monatsumbuchung 1433</x:v>
      </x:c>
      <x:c r="H1624" s="10" t="str">
        <x:v>Steuerverrechnung</x:v>
      </x:c>
    </x:row>
    <x:row r="1625" ht="14" customHeight="1">
      <x:c r="A1625" s="10" t="str">
        <x:v>2024-12-0653</x:v>
      </x:c>
      <x:c r="B1625" s="11" t="n">
        <x:v>45657</x:v>
      </x:c>
      <x:c r="C1625" s="10" t="n">
        <x:v>12</x:v>
      </x:c>
      <x:c r="D1625" s="10" t="str">
        <x:v>3801</x:v>
      </x:c>
      <x:c r="E1625" s="12" t="n">
        <x:v>24368.4</x:v>
      </x:c>
      <x:c r="F1625" s="12" t="n">
        <x:v>0</x:v>
      </x:c>
      <x:c r="G1625" s="10" t="str">
        <x:v>Umsatzsteuer Monatsumbuchung 3801</x:v>
      </x:c>
      <x:c r="H1625" s="10" t="str">
        <x:v>Steuerverrechnung</x:v>
      </x:c>
    </x:row>
    <x:row r="1626" ht="14" customHeight="1">
      <x:c r="A1626" s="10" t="str">
        <x:v>2024-12-0653</x:v>
      </x:c>
      <x:c r="B1626" s="11" t="n">
        <x:v>45657</x:v>
      </x:c>
      <x:c r="C1626" s="10" t="n">
        <x:v>12</x:v>
      </x:c>
      <x:c r="D1626" s="10" t="str">
        <x:v>3820</x:v>
      </x:c>
      <x:c r="E1626" s="12" t="n">
        <x:v>0</x:v>
      </x:c>
      <x:c r="F1626" s="12" t="n">
        <x:v>24368.4</x:v>
      </x:c>
      <x:c r="G1626" s="10" t="str">
        <x:v>Umsatzsteuer Monatsumbuchung 3801</x:v>
      </x:c>
      <x:c r="H1626" s="10" t="str">
        <x:v>Steuerverrechnung</x:v>
      </x:c>
    </x:row>
    <x:row r="1627" ht="14" customHeight="1">
      <x:c r="A1627" s="10" t="str">
        <x:v>2024-12-0654</x:v>
      </x:c>
      <x:c r="B1627" s="11" t="n">
        <x:v>45657</x:v>
      </x:c>
      <x:c r="C1627" s="10" t="n">
        <x:v>12</x:v>
      </x:c>
      <x:c r="D1627" s="10" t="str">
        <x:v>3806</x:v>
      </x:c>
      <x:c r="E1627" s="12" t="n">
        <x:v>16644</x:v>
      </x:c>
      <x:c r="F1627" s="12" t="n">
        <x:v>0</x:v>
      </x:c>
      <x:c r="G1627" s="10" t="str">
        <x:v>Umsatzsteuer Monatsumbuchung 3806</x:v>
      </x:c>
      <x:c r="H1627" s="10" t="str">
        <x:v>Steuerverrechnung</x:v>
      </x:c>
    </x:row>
    <x:row r="1628" ht="14" customHeight="1">
      <x:c r="A1628" s="10" t="str">
        <x:v>2024-12-0654</x:v>
      </x:c>
      <x:c r="B1628" s="11" t="n">
        <x:v>45657</x:v>
      </x:c>
      <x:c r="C1628" s="10" t="n">
        <x:v>12</x:v>
      </x:c>
      <x:c r="D1628" s="10" t="str">
        <x:v>3820</x:v>
      </x:c>
      <x:c r="E1628" s="12" t="n">
        <x:v>0</x:v>
      </x:c>
      <x:c r="F1628" s="12" t="n">
        <x:v>16644</x:v>
      </x:c>
      <x:c r="G1628" s="10" t="str">
        <x:v>Umsatzsteuer Monatsumbuchung 3806</x:v>
      </x:c>
      <x:c r="H1628" s="10" t="str">
        <x:v>Steuerverrechnung</x:v>
      </x:c>
    </x:row>
    <x:row r="1629" ht="14" customHeight="1">
      <x:c r="A1629" s="10" t="str">
        <x:v>2024-12-0655</x:v>
      </x:c>
      <x:c r="B1629" s="11" t="n">
        <x:v>45657</x:v>
      </x:c>
      <x:c r="C1629" s="10" t="n">
        <x:v>12</x:v>
      </x:c>
      <x:c r="D1629" s="10" t="str">
        <x:v>3804</x:v>
      </x:c>
      <x:c r="E1629" s="12" t="n">
        <x:v>6048.42</x:v>
      </x:c>
      <x:c r="F1629" s="12" t="n">
        <x:v>0</x:v>
      </x:c>
      <x:c r="G1629" s="10" t="str">
        <x:v>Umsatzsteuer Monatsumbuchung 3804</x:v>
      </x:c>
      <x:c r="H1629" s="10" t="str">
        <x:v>Steuerverrechnung</x:v>
      </x:c>
    </x:row>
    <x:row r="1630" ht="14" customHeight="1">
      <x:c r="A1630" s="10" t="str">
        <x:v>2024-12-0655</x:v>
      </x:c>
      <x:c r="B1630" s="11" t="n">
        <x:v>45657</x:v>
      </x:c>
      <x:c r="C1630" s="10" t="n">
        <x:v>12</x:v>
      </x:c>
      <x:c r="D1630" s="10" t="str">
        <x:v>3820</x:v>
      </x:c>
      <x:c r="E1630" s="12" t="n">
        <x:v>0</x:v>
      </x:c>
      <x:c r="F1630" s="12" t="n">
        <x:v>6048.42</x:v>
      </x:c>
      <x:c r="G1630" s="10" t="str">
        <x:v>Umsatzsteuer Monatsumbuchung 3804</x:v>
      </x:c>
      <x:c r="H1630" s="10" t="str">
        <x:v>Steuerverrechnung</x:v>
      </x:c>
    </x:row>
    <x:row r="1631" ht="14" customHeight="1">
      <x:c r="A1631" s="10" t="str">
        <x:v>2024-12-0656</x:v>
      </x:c>
      <x:c r="B1631" s="11" t="n">
        <x:v>45657</x:v>
      </x:c>
      <x:c r="C1631" s="10" t="n">
        <x:v>12</x:v>
      </x:c>
      <x:c r="D1631" s="10" t="str">
        <x:v>3809</x:v>
      </x:c>
      <x:c r="E1631" s="12" t="n">
        <x:v>4104.28</x:v>
      </x:c>
      <x:c r="F1631" s="12" t="n">
        <x:v>0</x:v>
      </x:c>
      <x:c r="G1631" s="10" t="str">
        <x:v>Umsatzsteuer Monatsumbuchung 3809</x:v>
      </x:c>
      <x:c r="H1631" s="10" t="str">
        <x:v>Steuerverrechnung</x:v>
      </x:c>
    </x:row>
    <x:row r="1632" ht="14" customHeight="1">
      <x:c r="A1632" s="10" t="str">
        <x:v>2024-12-0656</x:v>
      </x:c>
      <x:c r="B1632" s="11" t="n">
        <x:v>45657</x:v>
      </x:c>
      <x:c r="C1632" s="10" t="n">
        <x:v>12</x:v>
      </x:c>
      <x:c r="D1632" s="10" t="str">
        <x:v>3820</x:v>
      </x:c>
      <x:c r="E1632" s="12" t="n">
        <x:v>0</x:v>
      </x:c>
      <x:c r="F1632" s="12" t="n">
        <x:v>4104.28</x:v>
      </x:c>
      <x:c r="G1632" s="10" t="str">
        <x:v>Umsatzsteuer Monatsumbuchung 3809</x:v>
      </x:c>
      <x:c r="H1632" s="10" t="str">
        <x:v>Steuerverrechnung</x:v>
      </x:c>
    </x:row>
  </x:sheetData>
  <x:pageMargins left="0.3" right="0.3" top="0.35" bottom="0.35" header="0.15" footer="0.15"/>
  <x:pageSetup paperSize="9" orientation="landscape" fitToWidth="1" fitToHeight="0"/>
  <x:tableParts count="1">
    <x:tablePart xmlns:r="http://schemas.openxmlformats.org/officeDocument/2006/relationships" r:id="R615a4f5505e54f1c"/>
  </x:tableParts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.33000183105469" hidden="0" customWidth="1"/>
    <x:col min="2" max="2" width="16.670000076293945" hidden="0" customWidth="1"/>
    <x:col min="3" max="3" width="3.3299999237060547" hidden="0" customWidth="1"/>
    <x:col min="4" max="4" width="38.33000183105469" hidden="0" customWidth="1"/>
    <x:col min="5" max="5" width="16.670000076293945" hidden="0" customWidth="1"/>
  </x:cols>
  <x:sheetData>
    <x:row r="1" ht="24" customHeight="1">
      <x:c r="A1" s="2" t="str">
        <x:v>Kontenbasierte Bilanzübersicht 2024</x:v>
      </x:c>
      <x:c r="B1" s="1"/>
      <x:c r="C1" s="1"/>
      <x:c r="D1" s="1"/>
      <x:c r="E1" s="1"/>
    </x:row>
    <x:row r="2" ht="14" customHeight="1">
      <x:c r="A2" s="3" t="str">
        <x:v>EUR. Stichtag 31.12. Alle Buchkonten enthalten, keine Fortführungs- oder Verwertungsbewertung.</x:v>
      </x:c>
      <x:c r="B2" s="1"/>
      <x:c r="C2" s="1"/>
      <x:c r="D2" s="1"/>
      <x:c r="E2" s="1"/>
    </x:row>
    <x:row r="3" ht="14" customHeight="1">
      <x:c r="A3" s="1"/>
      <x:c r="B3" s="1"/>
      <x:c r="C3" s="1"/>
      <x:c r="D3" s="1"/>
      <x:c r="E3" s="1"/>
    </x:row>
    <x:row r="4" ht="14" customHeight="1">
      <x:c r="A4" s="1"/>
      <x:c r="B4" s="1"/>
      <x:c r="C4" s="1"/>
      <x:c r="D4" s="1"/>
      <x:c r="E4" s="1"/>
    </x:row>
    <x:row r="5" ht="28" customHeight="1">
      <x:c r="A5" s="7" t="str">
        <x:v>Aktiva</x:v>
      </x:c>
      <x:c r="B5" s="7" t="str">
        <x:v>31.12.</x:v>
      </x:c>
      <x:c r="C5" s="7" t="str"/>
      <x:c r="D5" s="7" t="str">
        <x:v>Passiva</x:v>
      </x:c>
      <x:c r="E5" s="7" t="str">
        <x:v>31.12.</x:v>
      </x:c>
    </x:row>
    <x:row r="6" ht="14" customHeight="1">
      <x:c r="A6" s="1" t="str">
        <x:v>Software</x:v>
      </x:c>
      <x:c r="B6" s="9" t="n">
        <x:f>('JahresSuSa'!G6-'JahresSuSa'!H6)</x:f>
        <x:v>14000</x:v>
      </x:c>
      <x:c r="C6" s="1"/>
      <x:c r="D6" s="1" t="str">
        <x:v>Gezeichnetes Kapital</x:v>
      </x:c>
      <x:c r="E6" s="9" t="n">
        <x:f>-('JahresSuSa'!G24-'JahresSuSa'!H24)</x:f>
        <x:v>100000</x:v>
      </x:c>
    </x:row>
    <x:row r="7" ht="14" customHeight="1">
      <x:c r="A7" s="1" t="str">
        <x:v>Lagereinbauten und Ausstattung</x:v>
      </x:c>
      <x:c r="B7" s="9" t="n">
        <x:f>('JahresSuSa'!G7-'JahresSuSa'!H7)+('JahresSuSa'!G8-'JahresSuSa'!H8)+('JahresSuSa'!G9-'JahresSuSa'!H9)+('JahresSuSa'!G10-'JahresSuSa'!H10)</x:f>
        <x:v>456000</x:v>
      </x:c>
      <x:c r="C7" s="1"/>
      <x:c r="D7" s="1" t="str">
        <x:v>Gewinnvortrag bis 2023</x:v>
      </x:c>
      <x:c r="E7" s="9" t="n">
        <x:f>-('JahresSuSa'!G25-'JahresSuSa'!H25)</x:f>
        <x:v>705000</x:v>
      </x:c>
    </x:row>
    <x:row r="8" ht="14" customHeight="1">
      <x:c r="A8" s="1" t="str">
        <x:v>Waren nach Abwertung</x:v>
      </x:c>
      <x:c r="B8" s="9" t="n">
        <x:f>('JahresSuSa'!G11-'JahresSuSa'!H11)</x:f>
        <x:v>762000</x:v>
      </x:c>
      <x:c r="C8" s="1"/>
      <x:c r="D8" s="1" t="str">
        <x:v>Ergebnisvortrag 2024</x:v>
      </x:c>
      <x:c r="E8" s="9" t="n">
        <x:f>-('JahresSuSa'!G26-'JahresSuSa'!H26)</x:f>
        <x:v>0</x:v>
      </x:c>
    </x:row>
    <x:row r="9" ht="14" customHeight="1">
      <x:c r="A9" s="1" t="str">
        <x:v>Forderungen brutto</x:v>
      </x:c>
      <x:c r="B9" s="9" t="n">
        <x:f>('JahresSuSa'!G12-'JahresSuSa'!H12)</x:f>
        <x:v>820000</x:v>
      </x:c>
      <x:c r="C9" s="1"/>
      <x:c r="D9" s="1" t="str">
        <x:v>Jahresergebnis</x:v>
      </x:c>
      <x:c r="E9" s="9" t="n">
        <x:f>-(('JahresSuSa'!G41-'JahresSuSa'!H41)+('JahresSuSa'!G42-'JahresSuSa'!H42)+('JahresSuSa'!G43-'JahresSuSa'!H43)+('JahresSuSa'!G44-'JahresSuSa'!H44)+('JahresSuSa'!G45-'JahresSuSa'!H45)+('JahresSuSa'!G46-'JahresSuSa'!H46)+('JahresSuSa'!G47-'JahresSuSa'!H47)+('JahresSuSa'!G48-'JahresSuSa'!H48)+('JahresSuSa'!G49-'JahresSuSa'!H49)+('JahresSuSa'!G50-'JahresSuSa'!H50)+('JahresSuSa'!G51-'JahresSuSa'!H51)+('JahresSuSa'!G52-'JahresSuSa'!H52)+('JahresSuSa'!G53-'JahresSuSa'!H53)+('JahresSuSa'!G54-'JahresSuSa'!H54)+('JahresSuSa'!G55-'JahresSuSa'!H55)+('JahresSuSa'!G56-'JahresSuSa'!H56)+('JahresSuSa'!G57-'JahresSuSa'!H57)+('JahresSuSa'!G58-'JahresSuSa'!H58)+('JahresSuSa'!G59-'JahresSuSa'!H59)+('JahresSuSa'!G60-'JahresSuSa'!H60)+('JahresSuSa'!G61-'JahresSuSa'!H61)+('JahresSuSa'!G62-'JahresSuSa'!H62)+('JahresSuSa'!G63-'JahresSuSa'!H63)+('JahresSuSa'!G64-'JahresSuSa'!H64)+('JahresSuSa'!G65-'JahresSuSa'!H65)+('JahresSuSa'!G66-'JahresSuSa'!H66)+('JahresSuSa'!G67-'JahresSuSa'!H67)+('JahresSuSa'!G68-'JahresSuSa'!H68)+('JahresSuSa'!G69-'JahresSuSa'!H69)+('JahresSuSa'!G70-'JahresSuSa'!H70)+('JahresSuSa'!G71-'JahresSuSa'!H71)+('JahresSuSa'!G72-'JahresSuSa'!H72)+('JahresSuSa'!G73-'JahresSuSa'!H73))</x:f>
        <x:v>274505</x:v>
      </x:c>
    </x:row>
    <x:row r="10" ht="14" customHeight="1">
      <x:c r="A10" s="1" t="str">
        <x:v>Einzelwertberichtigungen</x:v>
      </x:c>
      <x:c r="B10" s="9" t="n">
        <x:f>('JahresSuSa'!G13-'JahresSuSa'!H13)</x:f>
        <x:v>-30000</x:v>
      </x:c>
      <x:c r="C10" s="1"/>
      <x:c r="D10" s="1" t="str">
        <x:v>Rückstellungen</x:v>
      </x:c>
      <x:c r="E10" s="9" t="n">
        <x:f>-('JahresSuSa'!G27-'JahresSuSa'!H27)</x:f>
        <x:v>60000</x:v>
      </x:c>
    </x:row>
    <x:row r="11" ht="14" customHeight="1">
      <x:c r="A11" s="1" t="str">
        <x:v>Geleistete Anzahlungen</x:v>
      </x:c>
      <x:c r="B11" s="9" t="n">
        <x:f>('JahresSuSa'!G14-'JahresSuSa'!H14)</x:f>
        <x:v>100000</x:v>
      </x:c>
      <x:c r="C11" s="1"/>
      <x:c r="D11" s="1" t="str">
        <x:v>Investitionsdarlehen</x:v>
      </x:c>
      <x:c r="E11" s="9" t="n">
        <x:f>-('JahresSuSa'!G28-'JahresSuSa'!H28)</x:f>
        <x:v>480000</x:v>
      </x:c>
    </x:row>
    <x:row r="12" ht="14" customHeight="1">
      <x:c r="A12" s="1" t="str">
        <x:v>Mietkaution</x:v>
      </x:c>
      <x:c r="B12" s="9" t="n">
        <x:f>('JahresSuSa'!G15-'JahresSuSa'!H15)</x:f>
        <x:v>25000</x:v>
      </x:c>
      <x:c r="C12" s="1"/>
      <x:c r="D12" s="1" t="str">
        <x:v>Gesellschafterdarlehen</x:v>
      </x:c>
      <x:c r="E12" s="9" t="n">
        <x:f>-('JahresSuSa'!G29-'JahresSuSa'!H29)</x:f>
        <x:v>0</x:v>
      </x:c>
    </x:row>
    <x:row r="13" ht="14" customHeight="1">
      <x:c r="A13" s="1" t="str">
        <x:v>Kasse</x:v>
      </x:c>
      <x:c r="B13" s="9" t="n">
        <x:f>('JahresSuSa'!G21-'JahresSuSa'!H21)</x:f>
        <x:v>3000</x:v>
      </x:c>
      <x:c r="C13" s="1"/>
      <x:c r="D13" s="1" t="str">
        <x:v>Verbindlichkeiten Lieferanten</x:v>
      </x:c>
      <x:c r="E13" s="9" t="n">
        <x:f>-('JahresSuSa'!G30-'JahresSuSa'!H30)</x:f>
        <x:v>700000</x:v>
      </x:c>
    </x:row>
    <x:row r="14" ht="14" customHeight="1">
      <x:c r="A14" s="1" t="str">
        <x:v>Bankguthaben</x:v>
      </x:c>
      <x:c r="B14" s="9" t="n">
        <x:f>MAX(('JahresSuSa'!G22-'JahresSuSa'!H22),0)</x:f>
        <x:v>219546.46</x:v>
      </x:c>
      <x:c r="C14" s="1"/>
      <x:c r="D14" s="1" t="str">
        <x:v>Sonstige Verbindlichkeiten</x:v>
      </x:c>
      <x:c r="E14" s="9" t="n">
        <x:f>-('JahresSuSa'!G31-'JahresSuSa'!H31)</x:f>
        <x:v>22000</x:v>
      </x:c>
    </x:row>
    <x:row r="15" ht="14" customHeight="1">
      <x:c r="A15" s="1" t="str">
        <x:v>Aktive Rechnungsabgrenzung</x:v>
      </x:c>
      <x:c r="B15" s="9" t="n">
        <x:f>('JahresSuSa'!G23-'JahresSuSa'!H23)</x:f>
        <x:v>18000</x:v>
      </x:c>
      <x:c r="C15" s="1"/>
      <x:c r="D15" s="1" t="str">
        <x:v>Verbindlichkeiten Nettolöhne</x:v>
      </x:c>
      <x:c r="E15" s="9" t="n">
        <x:f>-('JahresSuSa'!G32-'JahresSuSa'!H32)</x:f>
        <x:v>0</x:v>
      </x:c>
    </x:row>
    <x:row r="16" ht="14" customHeight="1">
      <x:c r="A16" s="1" t="str">
        <x:v>Umsatzsteuerforderung</x:v>
      </x:c>
      <x:c r="B16" s="9" t="n">
        <x:f>MAX(('JahresSuSa'!G39-'JahresSuSa'!H39),0)</x:f>
        <x:v>3858.54</x:v>
      </x:c>
      <x:c r="C16" s="1"/>
      <x:c r="D16" s="1" t="str">
        <x:v>Verbindlichkeiten Lohnsteuer</x:v>
      </x:c>
      <x:c r="E16" s="9" t="n">
        <x:f>-('JahresSuSa'!G33-'JahresSuSa'!H33)</x:f>
        <x:v>12900</x:v>
      </x:c>
    </x:row>
    <x:row r="17" ht="14" customHeight="1">
      <x:c r="A17" s="1" t="str">
        <x:v>Ertragsteuerforderung</x:v>
      </x:c>
      <x:c r="B17" s="9" t="n">
        <x:f>MAX(('JahresSuSa'!G40-'JahresSuSa'!H40),0)</x:f>
        <x:v>0</x:v>
      </x:c>
      <x:c r="C17" s="1"/>
      <x:c r="D17" s="1" t="str">
        <x:v>Verbindlichkeiten Sozialversicherung</x:v>
      </x:c>
      <x:c r="E17" s="9" t="n">
        <x:f>-('JahresSuSa'!G34-'JahresSuSa'!H34)</x:f>
        <x:v>0</x:v>
      </x:c>
    </x:row>
    <x:row r="18" ht="14" customHeight="1">
      <x:c r="A18" s="1" t="str">
        <x:v>Steuerzwischenkonten Soll</x:v>
      </x:c>
      <x:c r="B18" s="9" t="n">
        <x:f>MAX(('JahresSuSa'!G16-'JahresSuSa'!H16),0)+MAX(('JahresSuSa'!G17-'JahresSuSa'!H17),0)+MAX(('JahresSuSa'!G18-'JahresSuSa'!H18),0)+MAX(('JahresSuSa'!G19-'JahresSuSa'!H19),0)+MAX(('JahresSuSa'!G20-'JahresSuSa'!H20),0)+MAX(('JahresSuSa'!G35-'JahresSuSa'!H35),0)+MAX(('JahresSuSa'!G36-'JahresSuSa'!H36),0)+MAX(('JahresSuSa'!G37-'JahresSuSa'!H37),0)+MAX(('JahresSuSa'!G38-'JahresSuSa'!H38),0)</x:f>
        <x:v>0</x:v>
      </x:c>
      <x:c r="C18" s="1"/>
      <x:c r="D18" s="1" t="str">
        <x:v>Kontokorrentverbindlichkeit</x:v>
      </x:c>
      <x:c r="E18" s="9" t="n">
        <x:f>MAX(-('JahresSuSa'!G22-'JahresSuSa'!H22),0)</x:f>
        <x:v>0</x:v>
      </x:c>
    </x:row>
    <x:row r="19" ht="14" customHeight="1">
      <x:c r="A19" s="1"/>
      <x:c r="B19" s="9"/>
      <x:c r="C19" s="1"/>
      <x:c r="D19" s="1" t="str">
        <x:v>Umsatzsteuerverbindlichkeit</x:v>
      </x:c>
      <x:c r="E19" s="9" t="n">
        <x:f>MAX(-('JahresSuSa'!G39-'JahresSuSa'!H39),0)</x:f>
        <x:v>0</x:v>
      </x:c>
    </x:row>
    <x:row r="20" ht="14" customHeight="1">
      <x:c r="A20" s="1"/>
      <x:c r="B20" s="9"/>
      <x:c r="C20" s="1"/>
      <x:c r="D20" s="1" t="str">
        <x:v>Ertragsteuerverbindlichkeit</x:v>
      </x:c>
      <x:c r="E20" s="9" t="n">
        <x:f>MAX(-('JahresSuSa'!G40-'JahresSuSa'!H40),0)</x:f>
        <x:v>37000</x:v>
      </x:c>
    </x:row>
    <x:row r="21" ht="14" customHeight="1">
      <x:c r="A21" s="1"/>
      <x:c r="B21" s="9"/>
      <x:c r="C21" s="1"/>
      <x:c r="D21" s="1" t="str">
        <x:v>Steuerzwischenkonten Haben</x:v>
      </x:c>
      <x:c r="E21" s="9" t="n">
        <x:f>MAX(-('JahresSuSa'!G16-'JahresSuSa'!H16),0)+MAX(-('JahresSuSa'!G17-'JahresSuSa'!H17),0)+MAX(-('JahresSuSa'!G18-'JahresSuSa'!H18),0)+MAX(-('JahresSuSa'!G19-'JahresSuSa'!H19),0)+MAX(-('JahresSuSa'!G20-'JahresSuSa'!H20),0)+MAX(-('JahresSuSa'!G35-'JahresSuSa'!H35),0)+MAX(-('JahresSuSa'!G36-'JahresSuSa'!H36),0)+MAX(-('JahresSuSa'!G37-'JahresSuSa'!H37),0)+MAX(-('JahresSuSa'!G38-'JahresSuSa'!H38),0)</x:f>
        <x:v>0</x:v>
      </x:c>
    </x:row>
    <x:row r="22" ht="14" customHeight="1">
      <x:c r="A22" s="1"/>
      <x:c r="B22" s="9"/>
      <x:c r="C22" s="1"/>
      <x:c r="D22" s="1"/>
      <x:c r="E22" s="9"/>
    </x:row>
    <x:row r="23" ht="14" customHeight="1">
      <x:c r="A23" s="15" t="str">
        <x:v>Summe Aktiva</x:v>
      </x:c>
      <x:c r="B23" s="16" t="n">
        <x:f>SUM(B6:B21)</x:f>
        <x:v>2391405</x:v>
      </x:c>
      <x:c r="C23" s="15"/>
      <x:c r="D23" s="15" t="str">
        <x:v>Summe Passiva</x:v>
      </x:c>
      <x:c r="E23" s="16" t="n">
        <x:f>SUM(E6:E21)</x:f>
        <x:v>2391405</x:v>
      </x:c>
    </x:row>
    <x:row r="24" ht="14" customHeight="1">
      <x:c r="A24" s="1"/>
      <x:c r="B24" s="9"/>
      <x:c r="C24" s="1"/>
      <x:c r="D24" s="1"/>
      <x:c r="E24" s="9"/>
    </x:row>
    <x:row r="25" ht="14" customHeight="1">
      <x:c r="A25" s="1" t="str">
        <x:v>Bilanzdifferenz</x:v>
      </x:c>
      <x:c r="B25" s="9" t="n">
        <x:f>ROUND(B23-E23,2)</x:f>
        <x:v>0</x:v>
      </x:c>
      <x:c r="C25" s="1"/>
      <x:c r="D25" s="1" t="str">
        <x:v>Eigenkapital einschließlich Ergebnis</x:v>
      </x:c>
      <x:c r="E25" s="9" t="n">
        <x:f>SUM(E6:E9)</x:f>
        <x:v>1079505</x:v>
      </x:c>
    </x:row>
    <x:row r="26" ht="14" customHeight="1">
      <x:c r="A26" s="1"/>
      <x:c r="B26" s="1"/>
      <x:c r="C26" s="1"/>
      <x:c r="D26" s="1"/>
      <x:c r="E26" s="1"/>
    </x:row>
    <x:row r="27" ht="14" customHeight="1">
      <x:c r="A27" s="1"/>
      <x:c r="B27" s="1"/>
      <x:c r="C27" s="1"/>
      <x:c r="D27" s="1"/>
      <x:c r="E27" s="1"/>
    </x:row>
    <x:row r="28" ht="14" customHeight="1">
      <x:c r="A28" s="1" t="str">
        <x:v>1 Buchungsstand und Abgrenzung</x:v>
      </x:c>
      <x:c r="B28" s="1"/>
      <x:c r="C28" s="1"/>
      <x:c r="D28" s="1"/>
      <x:c r="E28" s="1"/>
    </x:row>
    <x:row r="29" ht="14" customHeight="1">
      <x:c r="A29" s="1" t="str">
        <x:v>2024: Abschlussbuchungen in dieser Fassung nachgetragen. 2025: vorläufig, Freigabe des Abschlusses steht aus.</x:v>
      </x:c>
      <x:c r="B29" s="1"/>
      <x:c r="C29" s="1"/>
      <x:c r="D29" s="1"/>
      <x:c r="E29" s="1"/>
    </x:row>
    <x:row r="30" ht="14" customHeight="1">
      <x:c r="A30" s="1" t="str">
        <x:v>Forderungen und Lieferantenverbindlichkeiten enthalten Umsatzsteuer, soweit die Einzelrechnung sie ausweist.</x:v>
      </x:c>
      <x:c r="B30" s="1"/>
      <x:c r="C30" s="1"/>
      <x:c r="D30" s="1"/>
      <x:c r="E30" s="1"/>
    </x:row>
    <x:row r="31" ht="14" customHeight="1">
      <x:c r="A31" s="1" t="str">
        <x:v>Waren werden netto zu Einstandswerten abzüglich gebuchter Abwertung gezeigt. Lagerware ist kein Bankguthaben.</x:v>
      </x:c>
      <x:c r="B31" s="1"/>
      <x:c r="C31" s="1"/>
      <x:c r="D31" s="1"/>
      <x:c r="E31" s="1"/>
    </x:row>
    <x:row r="32" ht="14" customHeight="1">
      <x:c r="A32" s="1" t="str">
        <x:v>2 Unterlagen und Verrechnung</x:v>
      </x:c>
      <x:c r="B32" s="1"/>
      <x:c r="C32" s="1"/>
      <x:c r="D32" s="1"/>
      <x:c r="E32" s="1"/>
    </x:row>
    <x:row r="33" ht="14" customHeight="1">
      <x:c r="A33" s="1" t="str">
        <x:v>OP-Summen: 20_OP_Debitoren_2024_2025.csv und 21_OP_Kreditoren_2024_2025.csv. Inventur: 22_Inventur_2024_2025.csv.</x:v>
      </x:c>
      <x:c r="B33" s="1"/>
      <x:c r="C33" s="1"/>
      <x:c r="D33" s="1"/>
      <x:c r="E33" s="1"/>
    </x:row>
    <x:row r="34" ht="14" customHeight="1">
      <x:c r="A34" s="1" t="str">
        <x:v>Erwerbsteuer und zugehörige Vorsteuer werden getrennt gebucht. Inlandsumsatzsteuer und EUSt sind nicht GuV-wirksam.</x:v>
      </x:c>
      <x:c r="B34" s="1"/>
      <x:c r="C34" s="1"/>
      <x:c r="D34" s="1"/>
      <x:c r="E34" s="1"/>
    </x:row>
    <x:row r="35" ht="14" customHeight="1">
      <x:c r="A35" s="1" t="str">
        <x:v>2025: Umsatzsteuer November und Dezember am Stichtag noch nicht ausgeglichen. Ertragsteuerkonten zeigen Zahlungen und Abgrenzungen.</x:v>
      </x:c>
      <x:c r="B35" s="1"/>
      <x:c r="C35" s="1"/>
      <x:c r="D35" s="1"/>
      <x:c r="E35" s="1"/>
    </x:row>
    <x:row r="36" ht="14" customHeight="1">
      <x:c r="A36" s="1" t="str">
        <x:v>Monatsjournale sind keine vollständigen Einzelbelegkopien. Die Daten enthalten keine Zahlungsprognose oder Rechtsbewertung.</x:v>
      </x:c>
      <x:c r="B36" s="1"/>
      <x:c r="C36" s="1"/>
      <x:c r="D36" s="1"/>
      <x:c r="E36" s="1"/>
    </x:row>
    <x:row r="37" ht="14" customHeight="1">
      <x:c r="A37" s="1"/>
      <x:c r="B37" s="1"/>
      <x:c r="C37" s="1"/>
      <x:c r="D37" s="1"/>
      <x:c r="E37" s="1"/>
    </x:row>
    <x:row r="38" ht="14" customHeight="1">
      <x:c r="A38" s="1"/>
      <x:c r="B38" s="1"/>
      <x:c r="C38" s="1"/>
      <x:c r="D38" s="1"/>
      <x:c r="E38" s="1"/>
    </x:row>
    <x:row r="39" ht="14" customHeight="1">
      <x:c r="A39" s="1"/>
      <x:c r="B39" s="1"/>
      <x:c r="C39" s="1"/>
      <x:c r="D39" s="1"/>
      <x:c r="E39" s="1"/>
    </x:row>
  </x:sheetData>
  <x:pageMargins left="0.3" right="0.3" top="0.35" bottom="0.35" header="0.15" footer="0.15"/>
  <x:pageSetup paperSize="9" orientation="landscape" fitToWidth="1" fitToHeight="0"/>
</x:worksheet>
</file>