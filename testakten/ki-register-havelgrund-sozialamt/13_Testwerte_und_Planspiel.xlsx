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a467ca612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werte" sheetId="1" r:id="R88c3efa75fb8415f"/>
    <x:sheet xmlns:r="http://schemas.openxmlformats.org/officeDocument/2006/relationships" name="Aufwand" sheetId="2" r:id="R30c03fd1bb0b465f"/>
    <x:sheet xmlns:r="http://schemas.openxmlformats.org/officeDocument/2006/relationships" name="Planspiel" sheetId="3" r:id="R891c20aa2b0b494a"/>
  </x:sheets>
  <x:definedNames>
    <x:definedName name="_xlnm.Print_Area" localSheetId="0">'Testwerte'!$A$1:$F$20</x:definedName>
    <x:definedName name="_xlnm.Print_Area" localSheetId="1">'Aufwand'!$A$1:$F$20</x:definedName>
    <x:definedName name="_xlnm.Print_Area" localSheetId="2">'Planspiel'!$A$1:$F$20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%"/>
    <x:numFmt numFmtId="202" formatCode="#,##0.00"/>
    <x:numFmt numFmtId="203" formatCode="0.000"/>
  </x:numFmts>
  <x:fonts count="7">
    <x:font>
      <x:sz val="11"/>
      <x:name val="Carlito"/>
    </x:font>
    <x:font>
      <x:sz val="11"/>
      <x:color rgb="FF172331"/>
      <x:name val="Arial"/>
    </x:font>
    <x:font>
      <x:b/>
      <x:sz val="15"/>
      <x:color rgb="FF172331"/>
      <x:name val="Arial"/>
    </x:font>
    <x:font>
      <x:sz val="10"/>
      <x:color rgb="FF465460"/>
      <x:name val="Arial"/>
    </x:font>
    <x:font>
      <x:b/>
      <x:sz val="11"/>
      <x:color rgb="FFFFFFFF"/>
      <x:name val="Arial"/>
    </x:font>
    <x:font>
      <x:sz val="11"/>
      <x:color rgb="FF1D4ED8"/>
      <x:name val="Arial"/>
    </x:font>
    <x:font>
      <x:b/>
      <x:sz val="11"/>
      <x:color rgb="FF17233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4C68"/>
      </x:patternFill>
    </x:fill>
    <x:fill>
      <x:patternFill patternType="solid">
        <x:fgColor rgb="FFE9EE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/>
    </x:xf>
    <x:xf numFmtId="200" fontId="6" fillId="3" borderId="0" xfId="0" applyNumberFormat="1" applyFont="1" applyFill="1" applyBorder="1" applyAlignment="1">
      <x:alignment horizontal="center" vertical="center"/>
    </x:xf>
    <x:xf numFmtId="202" fontId="5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 vertical="center"/>
    </x:xf>
    <x:xf numFmtId="202" fontId="5" fillId="0" borderId="0" xfId="0" applyNumberFormat="1" applyFont="1" applyFill="1" applyBorder="1" applyAlignment="1">
      <x:alignment horizontal="center" vertical="center"/>
    </x:xf>
    <x:xf numFmtId="203" fontId="5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da347ab054509" /><Relationship Type="http://schemas.openxmlformats.org/officeDocument/2006/relationships/theme" Target="/xl/theme/theme1.xml" Id="R4f665df88101489a" /><Relationship Type="http://schemas.openxmlformats.org/officeDocument/2006/relationships/sharedStrings" Target="/xl/sharedStrings.xml" Id="R17f04abc97bf4a68" /><Relationship Type="http://schemas.openxmlformats.org/officeDocument/2006/relationships/worksheet" Target="/xl/worksheets/sheet1.xml" Id="R88c3efa75fb8415f" /><Relationship Type="http://schemas.openxmlformats.org/officeDocument/2006/relationships/worksheet" Target="/xl/worksheets/sheet2.xml" Id="R30c03fd1bb0b465f" /><Relationship Type="http://schemas.openxmlformats.org/officeDocument/2006/relationships/worksheet" Target="/xl/worksheets/sheet3.xml" Id="R891c20aa2b0b49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9" hidden="0" customWidth="1"/>
    <x:col min="3" max="3" width="19" hidden="0" customWidth="1"/>
    <x:col min="4" max="4" width="22" hidden="0" customWidth="1"/>
    <x:col min="5" max="5" width="21" hidden="0" customWidth="1"/>
    <x:col min="6" max="6" width="24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1" customHeight="1">
      <x:c r="A2" s="3" t="str">
        <x:v>Fallspur Testzählungen</x:v>
      </x:c>
      <x:c r="B2" s="2"/>
      <x:c r="C2" s="2"/>
      <x:c r="D2" s="2"/>
      <x:c r="E2" s="2"/>
      <x:c r="F2" s="2"/>
    </x:row>
    <x:row r="3" ht="29" customHeight="1">
      <x:c r="A3" s="5" t="str">
        <x:v>Aktenstand 09.10.2026. Blaue Werte sind Eingaben; schwarze Werte sind Formeln.</x:v>
      </x:c>
      <x:c r="B3" s="2"/>
      <x:c r="C3" s="2"/>
      <x:c r="D3" s="2"/>
      <x:c r="E3" s="2"/>
      <x:c r="F3" s="2"/>
    </x:row>
    <x:row r="4" ht="23" customHeight="1">
      <x:c r="A4" s="2"/>
      <x:c r="B4" s="2"/>
      <x:c r="C4" s="2"/>
      <x:c r="D4" s="2"/>
      <x:c r="E4" s="2"/>
      <x:c r="F4" s="2"/>
    </x:row>
    <x:row r="5" ht="36" customHeight="1">
      <x:c r="A5" s="9" t="str">
        <x:v>Testgruppe</x:v>
      </x:c>
      <x:c r="B5" s="9" t="str">
        <x:v>Fälle</x:v>
      </x:c>
      <x:c r="C5" s="9" t="str">
        <x:v>Abweichungen</x:v>
      </x:c>
      <x:c r="D5" s="9" t="str">
        <x:v>Original geöffnet</x:v>
      </x:c>
      <x:c r="E5" s="9" t="str">
        <x:v>Abweichungsanteil</x:v>
      </x:c>
      <x:c r="F5" s="9" t="str">
        <x:v>Sichtungsanteil</x:v>
      </x:c>
    </x:row>
    <x:row r="6" ht="36" customHeight="1">
      <x:c r="A6" s="10" t="str">
        <x:v>Wenig deutscher Text</x:v>
      </x:c>
      <x:c r="B6" s="24" t="n">
        <x:v>12</x:v>
      </x:c>
      <x:c r="C6" s="24" t="n">
        <x:v>5</x:v>
      </x:c>
      <x:c r="D6" s="24" t="n">
        <x:v>7</x:v>
      </x:c>
      <x:c r="E6" s="25" t="n">
        <x:f>IF(COUNT(B6)=0,"offen",IF(B6=0,"nicht geprüft",C6/B6))</x:f>
        <x:v>0.4166666666666667</x:v>
      </x:c>
      <x:c r="F6" s="25" t="n">
        <x:f>IF(COUNT(B6)=0,"offen",IF(B6=0,"nicht geprüft",D6/B6))</x:f>
        <x:v>0.5833333333333334</x:v>
      </x:c>
    </x:row>
    <x:row r="7" ht="36" customHeight="1">
      <x:c r="A7" s="10" t="str">
        <x:v>Übrige Testfälle</x:v>
      </x:c>
      <x:c r="B7" s="24" t="n">
        <x:v>68</x:v>
      </x:c>
      <x:c r="C7" s="24" t="n">
        <x:v>4</x:v>
      </x:c>
      <x:c r="D7" s="24" t="n">
        <x:v>50</x:v>
      </x:c>
      <x:c r="E7" s="25" t="n">
        <x:f>IF(COUNT(B7)=0,"offen",IF(B7=0,"nicht geprüft",C7/B7))</x:f>
        <x:v>0.058823529411764705</x:v>
      </x:c>
      <x:c r="F7" s="25" t="n">
        <x:f>IF(COUNT(B7)=0,"offen",IF(B7=0,"nicht geprüft",D7/B7))</x:f>
        <x:v>0.7352941176470589</x:v>
      </x:c>
    </x:row>
    <x:row r="8" ht="36" customHeight="1">
      <x:c r="A8" s="10" t="str">
        <x:v>Fehlende Haushaltstypen</x:v>
      </x:c>
      <x:c r="B8" s="24" t="n">
        <x:v>0</x:v>
      </x:c>
      <x:c r="C8" s="24" t="n">
        <x:v>0</x:v>
      </x:c>
      <x:c r="D8" s="24" t="n">
        <x:v>0</x:v>
      </x:c>
      <x:c r="E8" s="25" t="str">
        <x:f>IF(COUNT(B8)=0,"offen",IF(B8=0,"nicht geprüft",C8/B8))</x:f>
        <x:v>nicht geprüft</x:v>
      </x:c>
      <x:c r="F8" s="25" t="str">
        <x:f>IF(COUNT(B8)=0,"offen",IF(B8=0,"nicht geprüft",D8/B8))</x:f>
        <x:v>nicht geprüft</x:v>
      </x:c>
    </x:row>
    <x:row r="9" ht="23" customHeight="1">
      <x:c r="A9" s="2"/>
      <x:c r="B9" s="26"/>
      <x:c r="C9" s="26"/>
      <x:c r="D9" s="26"/>
      <x:c r="E9" s="25"/>
      <x:c r="F9" s="25"/>
    </x:row>
    <x:row r="10" ht="27" customHeight="1">
      <x:c r="A10" s="13" t="str">
        <x:v>Zählwerte des tatsächlich vorliegenden Testsatzes</x:v>
      </x:c>
      <x:c r="B10" s="27"/>
      <x:c r="C10" s="27"/>
      <x:c r="D10" s="27"/>
      <x:c r="E10" s="28"/>
      <x:c r="F10" s="28"/>
    </x:row>
    <x:row r="11" ht="23" customHeight="1">
      <x:c r="A11" s="2" t="str">
        <x:v>Summe Fälle</x:v>
      </x:c>
      <x:c r="B11" s="26" t="n">
        <x:f>SUM(B6:B8)</x:f>
        <x:v>80</x:v>
      </x:c>
      <x:c r="C11" s="26" t="str">
        <x:v>Summe Abweichungen</x:v>
      </x:c>
      <x:c r="D11" s="26" t="n">
        <x:f>SUM(C6:C8)</x:f>
        <x:v>9</x:v>
      </x:c>
      <x:c r="E11" s="26"/>
      <x:c r="F11" s="26"/>
    </x:row>
    <x:row r="12" ht="23" customHeight="1">
      <x:c r="A12" s="2" t="str">
        <x:v>Originalfenster insgesamt</x:v>
      </x:c>
      <x:c r="B12" s="26" t="n">
        <x:f>SUM(D6:D8)</x:f>
        <x:v>57</x:v>
      </x:c>
      <x:c r="C12" s="26" t="str">
        <x:v>Nur Kurzansicht</x:v>
      </x:c>
      <x:c r="D12" s="26" t="n">
        <x:f>B11-B12</x:f>
        <x:v>23</x:v>
      </x:c>
      <x:c r="E12" s="26"/>
      <x:c r="F12" s="26"/>
    </x:row>
    <x:row r="13" ht="23" customHeight="1">
      <x:c r="A13" s="2" t="str">
        <x:v>Kontrolle Sichtung höchstens Fälle</x:v>
      </x:c>
      <x:c r="B13" s="26"/>
      <x:c r="C13" s="26"/>
      <x:c r="D13" s="26" t="str">
        <x:f>IF(B12&lt;=B11,"plausibel","Zählung prüfen")</x:f>
        <x:v>plausibel</x:v>
      </x:c>
      <x:c r="E13" s="26"/>
      <x:c r="F13" s="26"/>
    </x:row>
    <x:row r="14" ht="23" customHeight="1">
      <x:c r="A14" s="2"/>
      <x:c r="B14" s="26"/>
      <x:c r="C14" s="26"/>
      <x:c r="D14" s="26"/>
      <x:c r="E14" s="26"/>
      <x:c r="F14" s="26"/>
    </x:row>
    <x:row r="15" ht="23" customHeight="1">
      <x:c r="A15" s="2"/>
      <x:c r="B15" s="2"/>
      <x:c r="C15" s="2"/>
      <x:c r="D15" s="2"/>
      <x:c r="E15" s="2"/>
      <x:c r="F15" s="2"/>
    </x:row>
    <x:row r="16" ht="23" customHeight="1">
      <x:c r="A16" s="2"/>
      <x:c r="B16" s="2"/>
      <x:c r="C16" s="2"/>
      <x:c r="D16" s="2"/>
      <x:c r="E16" s="2"/>
      <x:c r="F16" s="2"/>
    </x:row>
    <x:row r="17" ht="29" customHeight="1">
      <x:c r="A17" s="5" t="str">
        <x:v>Synthetischer Testsatz vom 30.09.2026; keine Aussage über echte Leistungsberechtigte.</x:v>
      </x:c>
      <x:c r="B17" s="2"/>
      <x:c r="C17" s="2"/>
      <x:c r="D17" s="2"/>
      <x:c r="E17" s="2"/>
      <x:c r="F17" s="2"/>
    </x:row>
    <x:row r="18" ht="29" customHeight="1">
      <x:c r="A18" s="5" t="str">
        <x:v>Abweichung: fachlich zeitkritisch angelegt, aber zunächst geringe Modellpriorität.</x:v>
      </x:c>
      <x:c r="B18" s="2"/>
      <x:c r="C18" s="2"/>
      <x:c r="D18" s="2"/>
      <x:c r="E18" s="2"/>
      <x:c r="F18" s="2"/>
    </x:row>
    <x:row r="19" ht="29" customHeight="1">
      <x:c r="A19" s="5" t="str">
        <x:v>Originalfenster zählen verschiedene Fälle, keine erneuten Öffnungen. Quelle: Dokumente 02, 03 und 05.</x:v>
      </x:c>
      <x:c r="B19" s="2"/>
      <x:c r="C19" s="2"/>
      <x:c r="D19" s="2"/>
      <x:c r="E19" s="2"/>
      <x:c r="F19" s="2"/>
    </x:row>
    <x:row r="20" ht="29" customHeight="1">
      <x:c r="A20" s="5" t="str">
        <x:v>Prüfwerte kontrollieren Zählung und Umfang. Sie bescheinigen keine rechtliche oder technische Freigabe.</x:v>
      </x:c>
      <x:c r="B20" s="2"/>
      <x:c r="C20" s="2"/>
      <x:c r="D20" s="2"/>
      <x:c r="E20" s="2"/>
      <x:c r="F20" s="2"/>
    </x:row>
    <x:row r="21" ht="23" customHeight="1">
      <x:c r="A21" s="2"/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23" customHeight="1">
      <x:c r="A23" s="2"/>
      <x:c r="B23" s="2"/>
      <x:c r="C23" s="2"/>
      <x:c r="D23" s="2"/>
      <x:c r="E23" s="2"/>
      <x:c r="F23" s="2"/>
    </x:row>
    <x:row r="24" ht="23" customHeight="1">
      <x:c r="A24" s="2"/>
      <x:c r="B24" s="2"/>
      <x:c r="C24" s="2"/>
      <x:c r="D24" s="2"/>
      <x:c r="E24" s="2"/>
      <x:c r="F24" s="2"/>
    </x:row>
  </x:sheetData>
  <x:mergeCells>
    <x:mergeCell ref="A3:F3"/>
    <x:mergeCell ref="A10:F10"/>
    <x:mergeCell ref="A17:F17"/>
    <x:mergeCell ref="A18:F18"/>
    <x:mergeCell ref="A19:F19"/>
    <x:mergeCell ref="A20:F20"/>
  </x:mergeCells>
  <x:pageMargins left="0.3" right="0.3" top="0.35" bottom="0.35" header="0.15" footer="0.15"/>
  <x:pageSetup paperSize="9" orientation="landscape" fitToWidth="1" fitToHeight="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9" hidden="0" customWidth="1"/>
    <x:col min="3" max="3" width="19" hidden="0" customWidth="1"/>
    <x:col min="4" max="4" width="22" hidden="0" customWidth="1"/>
    <x:col min="5" max="5" width="21" hidden="0" customWidth="1"/>
    <x:col min="6" max="6" width="24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1" customHeight="1">
      <x:c r="A2" s="3" t="str">
        <x:v>Fallspur Angebotsrechnung</x:v>
      </x:c>
      <x:c r="B2" s="2"/>
      <x:c r="C2" s="2"/>
      <x:c r="D2" s="2"/>
      <x:c r="E2" s="2"/>
      <x:c r="F2" s="2"/>
    </x:row>
    <x:row r="3" ht="29" customHeight="1">
      <x:c r="A3" s="5" t="str">
        <x:v>Aktenstand 09.10.2026. Blaue Werte sind Eingaben; schwarze Werte sind Formeln.</x:v>
      </x:c>
      <x:c r="B3" s="2"/>
      <x:c r="C3" s="2"/>
      <x:c r="D3" s="2"/>
      <x:c r="E3" s="2"/>
      <x:c r="F3" s="2"/>
    </x:row>
    <x:row r="4" ht="23" customHeight="1">
      <x:c r="A4" s="2"/>
      <x:c r="B4" s="2"/>
      <x:c r="C4" s="2"/>
      <x:c r="D4" s="2"/>
      <x:c r="E4" s="2"/>
      <x:c r="F4" s="2"/>
    </x:row>
    <x:row r="5" ht="36" customHeight="1">
      <x:c r="A5" s="9" t="str">
        <x:v>Position</x:v>
      </x:c>
      <x:c r="B5" s="9" t="str">
        <x:v>Anzahl</x:v>
      </x:c>
      <x:c r="C5" s="9" t="str">
        <x:v>Preis netto EUR</x:v>
      </x:c>
      <x:c r="D5" s="9" t="str">
        <x:v>Perioden</x:v>
      </x:c>
      <x:c r="E5" s="9" t="str">
        <x:v>Summe netto EUR</x:v>
      </x:c>
      <x:c r="F5" s="9" t="str">
        <x:v>Art</x:v>
      </x:c>
    </x:row>
    <x:row r="6" ht="36" customHeight="1">
      <x:c r="A6" s="10" t="str">
        <x:v>Testkonten monatlich</x:v>
      </x:c>
      <x:c r="B6" s="24" t="n">
        <x:v>12</x:v>
      </x:c>
      <x:c r="C6" s="29" t="n">
        <x:v>85</x:v>
      </x:c>
      <x:c r="D6" s="24" t="n">
        <x:v>3</x:v>
      </x:c>
      <x:c r="E6" s="30" t="n">
        <x:f>ROUND(B6*C6*D6,2)</x:f>
        <x:v>3060</x:v>
      </x:c>
      <x:c r="F6" s="10" t="str">
        <x:v>monatlich</x:v>
      </x:c>
    </x:row>
    <x:row r="7" ht="36" customHeight="1">
      <x:c r="A7" s="10" t="str">
        <x:v>Schnittstellenklärung</x:v>
      </x:c>
      <x:c r="B7" s="24" t="n">
        <x:v>1</x:v>
      </x:c>
      <x:c r="C7" s="29" t="n">
        <x:v>1800</x:v>
      </x:c>
      <x:c r="D7" s="24" t="n">
        <x:v>1</x:v>
      </x:c>
      <x:c r="E7" s="30" t="n">
        <x:f>ROUND(B7*C7*D7,2)</x:f>
        <x:v>1800</x:v>
      </x:c>
      <x:c r="F7" s="10" t="str">
        <x:v>einmalig</x:v>
      </x:c>
    </x:row>
    <x:row r="8" ht="36" customHeight="1">
      <x:c r="A8" s="10" t="str">
        <x:v>Fachworkshop</x:v>
      </x:c>
      <x:c r="B8" s="24" t="n">
        <x:v>2</x:v>
      </x:c>
      <x:c r="C8" s="29" t="n">
        <x:v>650</x:v>
      </x:c>
      <x:c r="D8" s="24" t="n">
        <x:v>1</x:v>
      </x:c>
      <x:c r="E8" s="30" t="n">
        <x:f>ROUND(B8*C8*D8,2)</x:f>
        <x:v>1300</x:v>
      </x:c>
      <x:c r="F8" s="10" t="str">
        <x:v>einmalig</x:v>
      </x:c>
    </x:row>
    <x:row r="9" ht="23" customHeight="1">
      <x:c r="A9" s="2"/>
      <x:c r="B9" s="26"/>
      <x:c r="C9" s="26"/>
      <x:c r="D9" s="26"/>
      <x:c r="E9" s="31"/>
      <x:c r="F9" s="2"/>
    </x:row>
    <x:row r="10" ht="23" customHeight="1">
      <x:c r="A10" s="2" t="str">
        <x:v>Netto gesamt</x:v>
      </x:c>
      <x:c r="B10" s="26"/>
      <x:c r="C10" s="26"/>
      <x:c r="D10" s="26"/>
      <x:c r="E10" s="31" t="n">
        <x:f>SUM(E6:E8)</x:f>
        <x:v>6160</x:v>
      </x:c>
      <x:c r="F10" s="2"/>
    </x:row>
    <x:row r="11" ht="23" customHeight="1">
      <x:c r="A11" s="2" t="str">
        <x:v>Umsatzsteuer</x:v>
      </x:c>
      <x:c r="B11" s="26"/>
      <x:c r="C11" s="32" t="n">
        <x:v>0.19</x:v>
      </x:c>
      <x:c r="D11" s="26"/>
      <x:c r="E11" s="31" t="n">
        <x:f>ROUND(E10*C11,2)</x:f>
        <x:v>1170.4</x:v>
      </x:c>
      <x:c r="F11" s="2"/>
    </x:row>
    <x:row r="12" ht="23" customHeight="1">
      <x:c r="A12" s="2" t="str">
        <x:v>Brutto gesamt</x:v>
      </x:c>
      <x:c r="B12" s="26"/>
      <x:c r="C12" s="26"/>
      <x:c r="D12" s="26"/>
      <x:c r="E12" s="31" t="n">
        <x:f>E10+E11</x:f>
        <x:v>7330.4</x:v>
      </x:c>
      <x:c r="F12" s="2"/>
    </x:row>
    <x:row r="13" ht="23" customHeight="1">
      <x:c r="A13" s="2"/>
      <x:c r="B13" s="26"/>
      <x:c r="C13" s="26"/>
      <x:c r="D13" s="26"/>
      <x:c r="E13" s="31"/>
      <x:c r="F13" s="2"/>
    </x:row>
    <x:row r="14" ht="23" customHeight="1">
      <x:c r="A14" s="2" t="str">
        <x:v>Prüfwert Netto laut Mail</x:v>
      </x:c>
      <x:c r="B14" s="26"/>
      <x:c r="C14" s="33" t="n">
        <x:v>6160</x:v>
      </x:c>
      <x:c r="D14" s="26"/>
      <x:c r="E14" s="31" t="n">
        <x:f>E10-C14</x:f>
        <x:v>0</x:v>
      </x:c>
      <x:c r="F14" s="2" t="str">
        <x:v>Differenz EUR</x:v>
      </x:c>
    </x:row>
    <x:row r="15" ht="23" customHeight="1">
      <x:c r="A15" s="2"/>
      <x:c r="B15" s="2"/>
      <x:c r="C15" s="2"/>
      <x:c r="D15" s="2"/>
      <x:c r="E15" s="2"/>
      <x:c r="F15" s="2"/>
    </x:row>
    <x:row r="16" ht="23" customHeight="1">
      <x:c r="A16" s="2"/>
      <x:c r="B16" s="2"/>
      <x:c r="C16" s="2"/>
      <x:c r="D16" s="2"/>
      <x:c r="E16" s="2"/>
      <x:c r="F16" s="2"/>
    </x:row>
    <x:row r="17" ht="29" customHeight="1">
      <x:c r="A17" s="5" t="str">
        <x:v>Quelle: E-Mail 11 vom 08.10.2026. Planangebot, keine Bestellung und keine fällige Rechnung.</x:v>
      </x:c>
      <x:c r="B17" s="2"/>
      <x:c r="C17" s="2"/>
      <x:c r="D17" s="2"/>
      <x:c r="E17" s="2"/>
      <x:c r="F17" s="2"/>
    </x:row>
    <x:row r="18" ht="29" customHeight="1">
      <x:c r="A18" s="5" t="str">
        <x:v>Monatliche Positionen: Anzahl mal Monatspreis mal Monate. Einmalige Positionen haben eine Periode.</x:v>
      </x:c>
      <x:c r="B18" s="2"/>
      <x:c r="C18" s="2"/>
      <x:c r="D18" s="2"/>
      <x:c r="E18" s="2"/>
      <x:c r="F18" s="2"/>
    </x:row>
    <x:row r="19" ht="29" customHeight="1">
      <x:c r="A19" s="5" t="str">
        <x:v>Der unveränderte Prüfwert ist die Angebotssumme aus der Quelle; eine Eingabeänderung zeigt eine Abweichung.</x:v>
      </x:c>
      <x:c r="B19" s="2"/>
      <x:c r="C19" s="2"/>
      <x:c r="D19" s="2"/>
      <x:c r="E19" s="2"/>
      <x:c r="F19" s="2"/>
    </x:row>
    <x:row r="20" ht="29" customHeight="1">
      <x:c r="A20" s="5" t="str">
        <x:v>Die Rechnung setzt keine gesetzlichen Fristen und entscheidet nicht über den Einsatz einer Anwendung.</x:v>
      </x:c>
      <x:c r="B20" s="2"/>
      <x:c r="C20" s="2"/>
      <x:c r="D20" s="2"/>
      <x:c r="E20" s="2"/>
      <x:c r="F20" s="2"/>
    </x:row>
    <x:row r="21" ht="23" customHeight="1">
      <x:c r="A21" s="2"/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23" customHeight="1">
      <x:c r="A23" s="2"/>
      <x:c r="B23" s="2"/>
      <x:c r="C23" s="2"/>
      <x:c r="D23" s="2"/>
      <x:c r="E23" s="2"/>
      <x:c r="F23" s="2"/>
    </x:row>
    <x:row r="24" ht="23" customHeight="1">
      <x:c r="A24" s="2"/>
      <x:c r="B24" s="2"/>
      <x:c r="C24" s="2"/>
      <x:c r="D24" s="2"/>
      <x:c r="E24" s="2"/>
      <x:c r="F24" s="2"/>
    </x:row>
  </x:sheetData>
  <x:mergeCells>
    <x:mergeCell ref="A3:F3"/>
    <x:mergeCell ref="A17:F17"/>
    <x:mergeCell ref="A18:F18"/>
    <x:mergeCell ref="A19:F19"/>
    <x:mergeCell ref="A20:F20"/>
  </x:mergeCells>
  <x:pageMargins left="0.3" right="0.3" top="0.35" bottom="0.35" header="0.15" footer="0.15"/>
  <x:pageSetup paperSize="9" orientation="landscape" fitToWidth="1" fitToHeight="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9" hidden="0" customWidth="1"/>
    <x:col min="3" max="3" width="19" hidden="0" customWidth="1"/>
    <x:col min="4" max="4" width="22" hidden="0" customWidth="1"/>
    <x:col min="5" max="5" width="21" hidden="0" customWidth="1"/>
    <x:col min="6" max="6" width="24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1" customHeight="1">
      <x:c r="A2" s="3" t="str">
        <x:v>Zukünftiges Bereitschaftsplanspiel</x:v>
      </x:c>
      <x:c r="B2" s="2"/>
      <x:c r="C2" s="2"/>
      <x:c r="D2" s="2"/>
      <x:c r="E2" s="2"/>
      <x:c r="F2" s="2"/>
    </x:row>
    <x:row r="3" ht="29" customHeight="1">
      <x:c r="A3" s="5" t="str">
        <x:v>Aktenstand 09.10.2026. Blaue Werte sind Eingaben; schwarze Werte sind Formeln.</x:v>
      </x:c>
      <x:c r="B3" s="2"/>
      <x:c r="C3" s="2"/>
      <x:c r="D3" s="2"/>
      <x:c r="E3" s="2"/>
      <x:c r="F3" s="2"/>
    </x:row>
    <x:row r="4" ht="29" customHeight="1">
      <x:c r="A4" s="5" t="str">
        <x:v>Ausschließlich angenommene Ereignisse vom 21. und 22.02.2028; am Aktenstand nicht geschehen.</x:v>
      </x:c>
      <x:c r="B4" s="2"/>
      <x:c r="C4" s="2"/>
      <x:c r="D4" s="2"/>
      <x:c r="E4" s="2"/>
      <x:c r="F4" s="2"/>
    </x:row>
    <x:row r="5" ht="23" customHeight="1">
      <x:c r="A5" s="2"/>
      <x:c r="B5" s="2"/>
      <x:c r="C5" s="2"/>
      <x:c r="D5" s="2"/>
      <x:c r="E5" s="2"/>
      <x:c r="F5" s="2"/>
    </x:row>
    <x:row r="6" ht="36" customHeight="1">
      <x:c r="A6" s="9" t="str">
        <x:v>Szenarioereignis</x:v>
      </x:c>
      <x:c r="B6" s="9" t="str">
        <x:v>Rohstunden ab Tag 1</x:v>
      </x:c>
      <x:c r="C6" s="9" t="str">
        <x:v>Zeitbasis laut Entwurf</x:v>
      </x:c>
      <x:c r="D6" s="9" t="str">
        <x:v>Abstand zum Vorwert h</x:v>
      </x:c>
      <x:c r="E6" s="9" t="str">
        <x:v>Kenntnisinhalt</x:v>
      </x:c>
      <x:c r="F6" s="9" t="str">
        <x:v>Belegstatus</x:v>
      </x:c>
    </x:row>
    <x:row r="7" ht="36" customHeight="1">
      <x:c r="A7" s="10" t="str">
        <x:v>Schalterhinweis</x:v>
      </x:c>
      <x:c r="B7" s="34" t="n">
        <x:v>9.166666666666666</x:v>
      </x:c>
      <x:c r="C7" s="24" t="str">
        <x:v>Ortszeit laut Entwurf</x:v>
      </x:c>
      <x:c r="D7" s="35"/>
      <x:c r="E7" s="10" t="str">
        <x:v>Verzögerung berichtet</x:v>
      </x:c>
      <x:c r="F7" s="10" t="str">
        <x:v>Szenarioannahme</x:v>
      </x:c>
    </x:row>
    <x:row r="8" ht="36" customHeight="1">
      <x:c r="A8" s="10" t="str">
        <x:v>IT-Ticket</x:v>
      </x:c>
      <x:c r="B8" s="34" t="n">
        <x:v>10.583333333333334</x:v>
      </x:c>
      <x:c r="C8" s="24" t="str">
        <x:v>Ortszeit laut Entwurf</x:v>
      </x:c>
      <x:c r="D8" s="36" t="n">
        <x:f>B8-B7</x:f>
        <x:v>1.4166666666666679</x:v>
      </x:c>
      <x:c r="E8" s="10" t="str">
        <x:v>Prioritätswert erwähnt</x:v>
      </x:c>
      <x:c r="F8" s="10" t="str">
        <x:v>Szenarioannahme</x:v>
      </x:c>
    </x:row>
    <x:row r="9" ht="36" customHeight="1">
      <x:c r="A9" s="10" t="str">
        <x:v>Telefonat</x:v>
      </x:c>
      <x:c r="B9" s="34" t="n">
        <x:v>14.333333333333334</x:v>
      </x:c>
      <x:c r="C9" s="24" t="str">
        <x:v>Ortszeit laut Entwurf</x:v>
      </x:c>
      <x:c r="D9" s="36" t="n">
        <x:f>B9-B8</x:f>
        <x:v>3.75</x:v>
      </x:c>
      <x:c r="E9" s="10" t="str">
        <x:v>Zusammenhang wahrscheinlich</x:v>
      </x:c>
      <x:c r="F9" s="10" t="str">
        <x:v>Szenarioannahme</x:v>
      </x:c>
    </x:row>
    <x:row r="10" ht="36" customHeight="1">
      <x:c r="A10" s="10" t="str">
        <x:v>Anbieterjournal Folgetag</x:v>
      </x:c>
      <x:c r="B10" s="34" t="n">
        <x:v>32.75</x:v>
      </x:c>
      <x:c r="C10" s="24" t="str">
        <x:v>UTC laut Entwurf</x:v>
      </x:c>
      <x:c r="D10" s="36" t="n">
        <x:f>B10-B9</x:f>
        <x:v>18.416666666666664</x:v>
      </x:c>
      <x:c r="E10" s="10" t="str">
        <x:v>Ticket vollständig</x:v>
      </x:c>
      <x:c r="F10" s="10" t="str">
        <x:v>Szenarioannahme</x:v>
      </x:c>
    </x:row>
    <x:row r="11" ht="23" customHeight="1">
      <x:c r="A11" s="2"/>
      <x:c r="B11" s="2"/>
      <x:c r="C11" s="2"/>
      <x:c r="D11" s="2"/>
      <x:c r="E11" s="2"/>
      <x:c r="F11" s="2"/>
    </x:row>
    <x:row r="12" ht="23" customHeight="1">
      <x:c r="A12" s="2"/>
      <x:c r="B12" s="2"/>
      <x:c r="C12" s="2"/>
      <x:c r="D12" s="2"/>
      <x:c r="E12" s="2"/>
      <x:c r="F12" s="2"/>
    </x:row>
    <x:row r="13" ht="29" customHeight="1">
      <x:c r="A13" s="5" t="str">
        <x:v>Rohzeiten sind noch nicht auf eine gemeinsame Zeitzone gebracht. Die Differenz ist kein Fristbeginn.</x:v>
      </x:c>
      <x:c r="B13" s="2"/>
      <x:c r="C13" s="2"/>
      <x:c r="D13" s="2"/>
      <x:c r="E13" s="2"/>
      <x:c r="F13" s="2"/>
    </x:row>
    <x:row r="14" ht="29" customHeight="1">
      <x:c r="A14" s="5" t="str">
        <x:v>09:10, 10:35 und 14:20 stehen im Ortszeitentwurf; 08:45 am Folgetag im Journal ist als UTC bezeichnet.</x:v>
      </x:c>
      <x:c r="B14" s="2"/>
      <x:c r="C14" s="2"/>
      <x:c r="D14" s="2"/>
      <x:c r="E14" s="2"/>
      <x:c r="F14" s="2"/>
    </x:row>
    <x:row r="15" ht="23" customHeight="1">
      <x:c r="A15" s="2"/>
      <x:c r="B15" s="2"/>
      <x:c r="C15" s="2"/>
      <x:c r="D15" s="2"/>
      <x:c r="E15" s="2"/>
      <x:c r="F15" s="2"/>
    </x:row>
    <x:row r="16" ht="29" customHeight="1">
      <x:c r="A16" s="5" t="str">
        <x:v>Quelle: Dokument 05, ausdrücklich zukünftige Bereitschaftsvariante. Kenntnisumfang und Folgen bleiben offen.</x:v>
      </x:c>
      <x:c r="B16" s="2"/>
      <x:c r="C16" s="2"/>
      <x:c r="D16" s="2"/>
      <x:c r="E16" s="2"/>
      <x:c r="F16" s="2"/>
    </x:row>
    <x:row r="17" ht="29" customHeight="1">
      <x:c r="A17" s="5" t="str">
        <x:v>Das Blatt berechnet keine gesetzlichen Höchstfristen, meldet keinen Vorfall und behauptet keinen Eingang.</x:v>
      </x:c>
      <x:c r="B17" s="2"/>
      <x:c r="C17" s="2"/>
      <x:c r="D17" s="2"/>
      <x:c r="E17" s="2"/>
      <x:c r="F17" s="2"/>
    </x:row>
    <x:row r="18" ht="23" customHeight="1">
      <x:c r="A18" s="2"/>
      <x:c r="B18" s="2"/>
      <x:c r="C18" s="2"/>
      <x:c r="D18" s="2"/>
      <x:c r="E18" s="2"/>
      <x:c r="F18" s="2"/>
    </x:row>
    <x:row r="19" ht="23" customHeight="1">
      <x:c r="A19" s="2"/>
      <x:c r="B19" s="2"/>
      <x:c r="C19" s="2"/>
      <x:c r="D19" s="2"/>
      <x:c r="E19" s="2"/>
      <x:c r="F19" s="2"/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2"/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23" customHeight="1">
      <x:c r="A23" s="2"/>
      <x:c r="B23" s="2"/>
      <x:c r="C23" s="2"/>
      <x:c r="D23" s="2"/>
      <x:c r="E23" s="2"/>
      <x:c r="F23" s="2"/>
    </x:row>
    <x:row r="24" ht="23" customHeight="1">
      <x:c r="A24" s="2"/>
      <x:c r="B24" s="2"/>
      <x:c r="C24" s="2"/>
      <x:c r="D24" s="2"/>
      <x:c r="E24" s="2"/>
      <x:c r="F24" s="2"/>
    </x:row>
  </x:sheetData>
  <x:mergeCells>
    <x:mergeCell ref="A3:F3"/>
    <x:mergeCell ref="A4:F4"/>
    <x:mergeCell ref="A13:F13"/>
    <x:mergeCell ref="A14:F14"/>
    <x:mergeCell ref="A16:F16"/>
    <x:mergeCell ref="A17:F17"/>
  </x:mergeCells>
  <x:pageMargins left="0.3" right="0.3" top="0.35" bottom="0.35" header="0.15" footer="0.15"/>
  <x:pageSetup paperSize="9" orientation="landscape" fitToWidth="1" fitToHeight="1"/>
</x:worksheet>
</file>