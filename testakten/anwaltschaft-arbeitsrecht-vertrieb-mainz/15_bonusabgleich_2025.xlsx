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bcbc8a8a0e43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nus 2025" sheetId="1" r:id="R5fac7ca87b534f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#,##0.00"/>
    <x:numFmt numFmtId="202" formatCode="#,##0.00&quot; EUR&quot;"/>
  </x:numFmts>
  <x:fonts count="6">
    <x:font>
      <x:sz val="11"/>
      <x:name val="Carlito"/>
    </x:font>
    <x:font>
      <x:sz val="11"/>
      <x:color rgb="FF111111"/>
      <x:name val="Times New Roman"/>
    </x:font>
    <x:font>
      <x:b/>
      <x:sz val="14"/>
      <x:color rgb="FF111111"/>
      <x:name val="Times New Roman"/>
    </x:font>
    <x:font>
      <x:b/>
      <x:sz val="11"/>
      <x:color rgb="FFFFFFFF"/>
      <x:name val="Times New Roman"/>
    </x:font>
    <x:font>
      <x:b/>
      <x:sz val="11"/>
      <x:color rgb="FF111111"/>
      <x:name val="Times New Roman"/>
    </x:font>
    <x:font>
      <x:sz val="11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334D47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/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1" fillId="0" borderId="0" xfId="0" applyNumberFormat="1" applyFont="1" applyFill="1" applyBorder="1"/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c1b659d5cc4b44" /><Relationship Type="http://schemas.openxmlformats.org/officeDocument/2006/relationships/theme" Target="/xl/theme/theme1.xml" Id="Ra2740bab01484920" /><Relationship Type="http://schemas.openxmlformats.org/officeDocument/2006/relationships/sharedStrings" Target="/xl/sharedStrings.xml" Id="Rfe3d52ec01314e8e" /><Relationship Type="http://schemas.openxmlformats.org/officeDocument/2006/relationships/worksheet" Target="/xl/worksheets/sheet1.xml" Id="R5fac7ca87b534f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23" hidden="0" customWidth="1"/>
    <x:col min="4" max="4" width="22" hidden="0" customWidth="1"/>
    <x:col min="5" max="5" width="23" hidden="0" customWidth="1"/>
    <x:col min="6" max="6" width="23" hidden="0" customWidth="1"/>
  </x:cols>
  <x:sheetData>
    <x:row r="1">
      <x:c r="A1" s="1"/>
      <x:c r="B1" s="1"/>
      <x:c r="C1" s="1"/>
      <x:c r="D1" s="1"/>
      <x:c r="E1" s="1"/>
      <x:c r="F1" s="1"/>
    </x:row>
    <x:row r="2">
      <x:c r="A2" s="2" t="str">
        <x:v>Torben Hesse Bonus 2025</x:v>
      </x:c>
      <x:c r="B2" s="1"/>
      <x:c r="C2" s="1"/>
      <x:c r="D2" s="1"/>
      <x:c r="E2" s="1"/>
      <x:c r="F2" s="1"/>
    </x:row>
    <x:row r="3">
      <x:c r="A3" s="1" t="str">
        <x:v>Derya Engel, 21.09.2026. CRM-Auszug V25-101 bis V25-120, Änderung 21.04.2026.</x:v>
      </x:c>
      <x:c r="B3" s="1"/>
      <x:c r="C3" s="1"/>
      <x:c r="D3" s="1"/>
      <x:c r="E3" s="1"/>
      <x:c r="F3" s="1"/>
    </x:row>
    <x:row r="4">
      <x:c r="A4" s="1"/>
      <x:c r="B4" s="1"/>
      <x:c r="C4" s="1"/>
      <x:c r="D4" s="1"/>
      <x:c r="E4" s="1"/>
      <x:c r="F4" s="1"/>
    </x:row>
    <x:row r="5" ht="34" customHeight="1">
      <x:c r="A5" s="6" t="str">
        <x:v>Auftrag</x:v>
      </x:c>
      <x:c r="B5" s="6" t="str">
        <x:v>Hesse Umsatz EUR</x:v>
      </x:c>
      <x:c r="C5" s="6" t="str">
        <x:v>Personal Umsatz EUR</x:v>
      </x:c>
      <x:c r="D5" s="6" t="str">
        <x:v>Abweichung EUR</x:v>
      </x:c>
      <x:c r="E5" s="6" t="str">
        <x:v>Bonus Hesse EUR</x:v>
      </x:c>
      <x:c r="F5" s="6" t="str">
        <x:v>Bonus Personal EUR</x:v>
      </x:c>
    </x:row>
    <x:row r="6" ht="25" customHeight="1">
      <x:c r="A6" s="7" t="str">
        <x:v>V25-101</x:v>
      </x:c>
      <x:c r="B6" s="9" t="n">
        <x:v>20000</x:v>
      </x:c>
      <x:c r="C6" s="9" t="n">
        <x:v>20000</x:v>
      </x:c>
      <x:c r="D6" s="9" t="n">
        <x:f>B6-C6</x:f>
        <x:v>0</x:v>
      </x:c>
      <x:c r="E6" s="9" t="n">
        <x:f>ROUND(B6*$B$29,2)</x:f>
        <x:v>400</x:v>
      </x:c>
      <x:c r="F6" s="9" t="n">
        <x:f>ROUND(C6*$B$29,2)</x:f>
        <x:v>400</x:v>
      </x:c>
    </x:row>
    <x:row r="7" ht="25" customHeight="1">
      <x:c r="A7" s="7" t="str">
        <x:v>V25-102</x:v>
      </x:c>
      <x:c r="B7" s="9" t="n">
        <x:v>25000</x:v>
      </x:c>
      <x:c r="C7" s="9" t="n">
        <x:v>10000</x:v>
      </x:c>
      <x:c r="D7" s="9" t="n">
        <x:f>B7-C7</x:f>
        <x:v>15000</x:v>
      </x:c>
      <x:c r="E7" s="9" t="n">
        <x:f>ROUND(B7*$B$29,2)</x:f>
        <x:v>500</x:v>
      </x:c>
      <x:c r="F7" s="9" t="n">
        <x:f>ROUND(C7*$B$29,2)</x:f>
        <x:v>200</x:v>
      </x:c>
    </x:row>
    <x:row r="8" ht="25" customHeight="1">
      <x:c r="A8" s="7" t="str">
        <x:v>V25-103</x:v>
      </x:c>
      <x:c r="B8" s="9" t="n">
        <x:v>30000</x:v>
      </x:c>
      <x:c r="C8" s="9" t="n">
        <x:v>30000</x:v>
      </x:c>
      <x:c r="D8" s="9" t="n">
        <x:f>B8-C8</x:f>
        <x:v>0</x:v>
      </x:c>
      <x:c r="E8" s="9" t="n">
        <x:f>ROUND(B8*$B$29,2)</x:f>
        <x:v>600</x:v>
      </x:c>
      <x:c r="F8" s="9" t="n">
        <x:f>ROUND(C8*$B$29,2)</x:f>
        <x:v>600</x:v>
      </x:c>
    </x:row>
    <x:row r="9" ht="25" customHeight="1">
      <x:c r="A9" s="7" t="str">
        <x:v>V25-104</x:v>
      </x:c>
      <x:c r="B9" s="9" t="n">
        <x:v>35000</x:v>
      </x:c>
      <x:c r="C9" s="9" t="n">
        <x:v>35000</x:v>
      </x:c>
      <x:c r="D9" s="9" t="n">
        <x:f>B9-C9</x:f>
        <x:v>0</x:v>
      </x:c>
      <x:c r="E9" s="9" t="n">
        <x:f>ROUND(B9*$B$29,2)</x:f>
        <x:v>700</x:v>
      </x:c>
      <x:c r="F9" s="9" t="n">
        <x:f>ROUND(C9*$B$29,2)</x:f>
        <x:v>700</x:v>
      </x:c>
    </x:row>
    <x:row r="10" ht="25" customHeight="1">
      <x:c r="A10" s="7" t="str">
        <x:v>V25-105</x:v>
      </x:c>
      <x:c r="B10" s="9" t="n">
        <x:v>40000</x:v>
      </x:c>
      <x:c r="C10" s="9" t="n">
        <x:v>40000</x:v>
      </x:c>
      <x:c r="D10" s="9" t="n">
        <x:f>B10-C10</x:f>
        <x:v>0</x:v>
      </x:c>
      <x:c r="E10" s="9" t="n">
        <x:f>ROUND(B10*$B$29,2)</x:f>
        <x:v>800</x:v>
      </x:c>
      <x:c r="F10" s="9" t="n">
        <x:f>ROUND(C10*$B$29,2)</x:f>
        <x:v>800</x:v>
      </x:c>
    </x:row>
    <x:row r="11" ht="25" customHeight="1">
      <x:c r="A11" s="7" t="str">
        <x:v>V25-106</x:v>
      </x:c>
      <x:c r="B11" s="9" t="n">
        <x:v>45000</x:v>
      </x:c>
      <x:c r="C11" s="9" t="n">
        <x:v>45000</x:v>
      </x:c>
      <x:c r="D11" s="9" t="n">
        <x:f>B11-C11</x:f>
        <x:v>0</x:v>
      </x:c>
      <x:c r="E11" s="9" t="n">
        <x:f>ROUND(B11*$B$29,2)</x:f>
        <x:v>900</x:v>
      </x:c>
      <x:c r="F11" s="9" t="n">
        <x:f>ROUND(C11*$B$29,2)</x:f>
        <x:v>900</x:v>
      </x:c>
    </x:row>
    <x:row r="12" ht="25" customHeight="1">
      <x:c r="A12" s="7" t="str">
        <x:v>V25-107</x:v>
      </x:c>
      <x:c r="B12" s="9" t="n">
        <x:v>50000</x:v>
      </x:c>
      <x:c r="C12" s="9" t="n">
        <x:v>50000</x:v>
      </x:c>
      <x:c r="D12" s="9" t="n">
        <x:f>B12-C12</x:f>
        <x:v>0</x:v>
      </x:c>
      <x:c r="E12" s="9" t="n">
        <x:f>ROUND(B12*$B$29,2)</x:f>
        <x:v>1000</x:v>
      </x:c>
      <x:c r="F12" s="9" t="n">
        <x:f>ROUND(C12*$B$29,2)</x:f>
        <x:v>1000</x:v>
      </x:c>
    </x:row>
    <x:row r="13" ht="25" customHeight="1">
      <x:c r="A13" s="7" t="str">
        <x:v>V25-108</x:v>
      </x:c>
      <x:c r="B13" s="9" t="n">
        <x:v>30000</x:v>
      </x:c>
      <x:c r="C13" s="9" t="n">
        <x:v>30000</x:v>
      </x:c>
      <x:c r="D13" s="9" t="n">
        <x:f>B13-C13</x:f>
        <x:v>0</x:v>
      </x:c>
      <x:c r="E13" s="9" t="n">
        <x:f>ROUND(B13*$B$29,2)</x:f>
        <x:v>600</x:v>
      </x:c>
      <x:c r="F13" s="9" t="n">
        <x:f>ROUND(C13*$B$29,2)</x:f>
        <x:v>600</x:v>
      </x:c>
    </x:row>
    <x:row r="14" ht="25" customHeight="1">
      <x:c r="A14" s="7" t="str">
        <x:v>V25-109</x:v>
      </x:c>
      <x:c r="B14" s="9" t="n">
        <x:v>25000</x:v>
      </x:c>
      <x:c r="C14" s="9" t="n">
        <x:v>5000</x:v>
      </x:c>
      <x:c r="D14" s="9" t="n">
        <x:f>B14-C14</x:f>
        <x:v>20000</x:v>
      </x:c>
      <x:c r="E14" s="9" t="n">
        <x:f>ROUND(B14*$B$29,2)</x:f>
        <x:v>500</x:v>
      </x:c>
      <x:c r="F14" s="9" t="n">
        <x:f>ROUND(C14*$B$29,2)</x:f>
        <x:v>100</x:v>
      </x:c>
    </x:row>
    <x:row r="15" ht="25" customHeight="1">
      <x:c r="A15" s="7" t="str">
        <x:v>V25-110</x:v>
      </x:c>
      <x:c r="B15" s="9" t="n">
        <x:v>40000</x:v>
      </x:c>
      <x:c r="C15" s="9" t="n">
        <x:v>40000</x:v>
      </x:c>
      <x:c r="D15" s="9" t="n">
        <x:f>B15-C15</x:f>
        <x:v>0</x:v>
      </x:c>
      <x:c r="E15" s="9" t="n">
        <x:f>ROUND(B15*$B$29,2)</x:f>
        <x:v>800</x:v>
      </x:c>
      <x:c r="F15" s="9" t="n">
        <x:f>ROUND(C15*$B$29,2)</x:f>
        <x:v>800</x:v>
      </x:c>
    </x:row>
    <x:row r="16" ht="25" customHeight="1">
      <x:c r="A16" s="7" t="str">
        <x:v>V25-111</x:v>
      </x:c>
      <x:c r="B16" s="9" t="n">
        <x:v>35000</x:v>
      </x:c>
      <x:c r="C16" s="9" t="n">
        <x:v>35000</x:v>
      </x:c>
      <x:c r="D16" s="9" t="n">
        <x:f>B16-C16</x:f>
        <x:v>0</x:v>
      </x:c>
      <x:c r="E16" s="9" t="n">
        <x:f>ROUND(B16*$B$29,2)</x:f>
        <x:v>700</x:v>
      </x:c>
      <x:c r="F16" s="9" t="n">
        <x:f>ROUND(C16*$B$29,2)</x:f>
        <x:v>700</x:v>
      </x:c>
    </x:row>
    <x:row r="17" ht="25" customHeight="1">
      <x:c r="A17" s="7" t="str">
        <x:v>V25-112</x:v>
      </x:c>
      <x:c r="B17" s="9" t="n">
        <x:v>45000</x:v>
      </x:c>
      <x:c r="C17" s="9" t="n">
        <x:v>45000</x:v>
      </x:c>
      <x:c r="D17" s="9" t="n">
        <x:f>B17-C17</x:f>
        <x:v>0</x:v>
      </x:c>
      <x:c r="E17" s="9" t="n">
        <x:f>ROUND(B17*$B$29,2)</x:f>
        <x:v>900</x:v>
      </x:c>
      <x:c r="F17" s="9" t="n">
        <x:f>ROUND(C17*$B$29,2)</x:f>
        <x:v>900</x:v>
      </x:c>
    </x:row>
    <x:row r="18" ht="25" customHeight="1">
      <x:c r="A18" s="7" t="str">
        <x:v>V25-113</x:v>
      </x:c>
      <x:c r="B18" s="9" t="n">
        <x:v>30000</x:v>
      </x:c>
      <x:c r="C18" s="9" t="n">
        <x:v>30000</x:v>
      </x:c>
      <x:c r="D18" s="9" t="n">
        <x:f>B18-C18</x:f>
        <x:v>0</x:v>
      </x:c>
      <x:c r="E18" s="9" t="n">
        <x:f>ROUND(B18*$B$29,2)</x:f>
        <x:v>600</x:v>
      </x:c>
      <x:c r="F18" s="9" t="n">
        <x:f>ROUND(C18*$B$29,2)</x:f>
        <x:v>600</x:v>
      </x:c>
    </x:row>
    <x:row r="19" ht="25" customHeight="1">
      <x:c r="A19" s="7" t="str">
        <x:v>V25-114</x:v>
      </x:c>
      <x:c r="B19" s="9" t="n">
        <x:v>40000</x:v>
      </x:c>
      <x:c r="C19" s="9" t="n">
        <x:v>40000</x:v>
      </x:c>
      <x:c r="D19" s="9" t="n">
        <x:f>B19-C19</x:f>
        <x:v>0</x:v>
      </x:c>
      <x:c r="E19" s="9" t="n">
        <x:f>ROUND(B19*$B$29,2)</x:f>
        <x:v>800</x:v>
      </x:c>
      <x:c r="F19" s="9" t="n">
        <x:f>ROUND(C19*$B$29,2)</x:f>
        <x:v>800</x:v>
      </x:c>
    </x:row>
    <x:row r="20" ht="25" customHeight="1">
      <x:c r="A20" s="7" t="str">
        <x:v>V25-115</x:v>
      </x:c>
      <x:c r="B20" s="9" t="n">
        <x:v>35000</x:v>
      </x:c>
      <x:c r="C20" s="9" t="n">
        <x:v>35000</x:v>
      </x:c>
      <x:c r="D20" s="9" t="n">
        <x:f>B20-C20</x:f>
        <x:v>0</x:v>
      </x:c>
      <x:c r="E20" s="9" t="n">
        <x:f>ROUND(B20*$B$29,2)</x:f>
        <x:v>700</x:v>
      </x:c>
      <x:c r="F20" s="9" t="n">
        <x:f>ROUND(C20*$B$29,2)</x:f>
        <x:v>700</x:v>
      </x:c>
    </x:row>
    <x:row r="21" ht="25" customHeight="1">
      <x:c r="A21" s="7" t="str">
        <x:v>V25-116</x:v>
      </x:c>
      <x:c r="B21" s="9" t="n">
        <x:v>30000</x:v>
      </x:c>
      <x:c r="C21" s="9" t="n">
        <x:v>30000</x:v>
      </x:c>
      <x:c r="D21" s="9" t="n">
        <x:f>B21-C21</x:f>
        <x:v>0</x:v>
      </x:c>
      <x:c r="E21" s="9" t="n">
        <x:f>ROUND(B21*$B$29,2)</x:f>
        <x:v>600</x:v>
      </x:c>
      <x:c r="F21" s="9" t="n">
        <x:f>ROUND(C21*$B$29,2)</x:f>
        <x:v>600</x:v>
      </x:c>
    </x:row>
    <x:row r="22" ht="25" customHeight="1">
      <x:c r="A22" s="7" t="str">
        <x:v>V25-117</x:v>
      </x:c>
      <x:c r="B22" s="9" t="n">
        <x:v>50000</x:v>
      </x:c>
      <x:c r="C22" s="9" t="n">
        <x:v>25000</x:v>
      </x:c>
      <x:c r="D22" s="9" t="n">
        <x:f>B22-C22</x:f>
        <x:v>25000</x:v>
      </x:c>
      <x:c r="E22" s="9" t="n">
        <x:f>ROUND(B22*$B$29,2)</x:f>
        <x:v>1000</x:v>
      </x:c>
      <x:c r="F22" s="9" t="n">
        <x:f>ROUND(C22*$B$29,2)</x:f>
        <x:v>500</x:v>
      </x:c>
    </x:row>
    <x:row r="23" ht="25" customHeight="1">
      <x:c r="A23" s="7" t="str">
        <x:v>V25-118</x:v>
      </x:c>
      <x:c r="B23" s="9" t="n">
        <x:v>30000</x:v>
      </x:c>
      <x:c r="C23" s="9" t="n">
        <x:v>30000</x:v>
      </x:c>
      <x:c r="D23" s="9" t="n">
        <x:f>B23-C23</x:f>
        <x:v>0</x:v>
      </x:c>
      <x:c r="E23" s="9" t="n">
        <x:f>ROUND(B23*$B$29,2)</x:f>
        <x:v>600</x:v>
      </x:c>
      <x:c r="F23" s="9" t="n">
        <x:f>ROUND(C23*$B$29,2)</x:f>
        <x:v>600</x:v>
      </x:c>
    </x:row>
    <x:row r="24" ht="25" customHeight="1">
      <x:c r="A24" s="7" t="str">
        <x:v>V25-119</x:v>
      </x:c>
      <x:c r="B24" s="9" t="n">
        <x:v>40000</x:v>
      </x:c>
      <x:c r="C24" s="9" t="n">
        <x:v>40000</x:v>
      </x:c>
      <x:c r="D24" s="9" t="n">
        <x:f>B24-C24</x:f>
        <x:v>0</x:v>
      </x:c>
      <x:c r="E24" s="9" t="n">
        <x:f>ROUND(B24*$B$29,2)</x:f>
        <x:v>800</x:v>
      </x:c>
      <x:c r="F24" s="9" t="n">
        <x:f>ROUND(C24*$B$29,2)</x:f>
        <x:v>800</x:v>
      </x:c>
    </x:row>
    <x:row r="25" ht="25" customHeight="1">
      <x:c r="A25" s="7" t="str">
        <x:v>V25-120</x:v>
      </x:c>
      <x:c r="B25" s="9" t="n">
        <x:v>35000</x:v>
      </x:c>
      <x:c r="C25" s="9" t="n">
        <x:v>35000</x:v>
      </x:c>
      <x:c r="D25" s="9" t="n">
        <x:f>B25-C25</x:f>
        <x:v>0</x:v>
      </x:c>
      <x:c r="E25" s="9" t="n">
        <x:f>ROUND(B25*$B$29,2)</x:f>
        <x:v>700</x:v>
      </x:c>
      <x:c r="F25" s="9" t="n">
        <x:f>ROUND(C25*$B$29,2)</x:f>
        <x:v>700</x:v>
      </x:c>
    </x:row>
    <x:row r="26">
      <x:c r="A26" s="1"/>
      <x:c r="B26" s="10"/>
      <x:c r="C26" s="10"/>
      <x:c r="D26" s="10"/>
      <x:c r="E26" s="10"/>
      <x:c r="F26" s="10"/>
    </x:row>
    <x:row r="27">
      <x:c r="A27" s="11" t="str">
        <x:v>Summe</x:v>
      </x:c>
      <x:c r="B27" s="12" t="n">
        <x:f>SUM(B6:B25)</x:f>
        <x:v>710000</x:v>
      </x:c>
      <x:c r="C27" s="12" t="n">
        <x:f>SUM(C6:C25)</x:f>
        <x:v>650000</x:v>
      </x:c>
      <x:c r="D27" s="12" t="n">
        <x:f>SUM(D6:D25)</x:f>
        <x:v>60000</x:v>
      </x:c>
      <x:c r="E27" s="12" t="n">
        <x:f>SUM(E6:E25)</x:f>
        <x:v>14200</x:v>
      </x:c>
      <x:c r="F27" s="12" t="n">
        <x:f>SUM(F6:F25)</x:f>
        <x:v>13000</x:v>
      </x:c>
    </x:row>
    <x:row r="28">
      <x:c r="A28" s="1"/>
      <x:c r="B28" s="1"/>
      <x:c r="C28" s="1"/>
      <x:c r="D28" s="1"/>
      <x:c r="E28" s="1"/>
      <x:c r="F28" s="1"/>
    </x:row>
    <x:row r="29">
      <x:c r="A29" s="1" t="str">
        <x:v>Bonussatz</x:v>
      </x:c>
      <x:c r="B29" s="8" t="n">
        <x:v>0.02</x:v>
      </x:c>
      <x:c r="C29" s="1"/>
      <x:c r="D29" s="1"/>
      <x:c r="E29" s="1"/>
      <x:c r="F29" s="1"/>
    </x:row>
    <x:row r="30">
      <x:c r="A30" s="1"/>
      <x:c r="B30" s="1"/>
      <x:c r="C30" s="1"/>
      <x:c r="D30" s="1"/>
      <x:c r="E30" s="1"/>
      <x:c r="F30" s="1"/>
    </x:row>
    <x:row r="31">
      <x:c r="A31" s="1" t="str">
        <x:v>Von Geschäftsführung genannte Verrechnung</x:v>
      </x:c>
      <x:c r="B31" s="1"/>
      <x:c r="C31" s="1"/>
      <x:c r="D31" s="1"/>
      <x:c r="E31" s="1"/>
      <x:c r="F31" s="13" t="n">
        <x:v>1800</x:v>
      </x:c>
    </x:row>
    <x:row r="32">
      <x:c r="A32" s="1" t="str">
        <x:v>Rechenstand Personal nach dieser Verrechnung</x:v>
      </x:c>
      <x:c r="B32" s="1"/>
      <x:c r="C32" s="1"/>
      <x:c r="D32" s="1"/>
      <x:c r="E32" s="1"/>
      <x:c r="F32" s="13" t="n">
        <x:f>F27-F31</x:f>
        <x:v>11200</x:v>
      </x:c>
    </x:row>
    <x:row r="33">
      <x:c r="A33" s="1"/>
      <x:c r="B33" s="1"/>
      <x:c r="C33" s="1"/>
      <x:c r="D33" s="1"/>
      <x:c r="E33" s="1"/>
      <x:c r="F33" s="1"/>
    </x:row>
    <x:row r="34">
      <x:c r="A34" s="1" t="str">
        <x:v>Verrechnung aus E-Mail Engel vom 28.04.2026; GS26-0410 betrifft Umsatz 2026.</x:v>
      </x:c>
      <x:c r="B34" s="1"/>
      <x:c r="C34" s="1"/>
      <x:c r="D34" s="1"/>
      <x:c r="E34" s="1"/>
      <x:c r="F34" s="1"/>
    </x:row>
    <x:row r="35">
      <x:c r="A35" s="1" t="str">
        <x:v>Bisher ausgezahlt: 0,00 EUR. Keine Freigabe der Geschäftsführung.</x:v>
      </x:c>
      <x:c r="B35" s="1"/>
      <x:c r="C35" s="1"/>
      <x:c r="D35" s="1"/>
      <x:c r="E35" s="1"/>
      <x:c r="F35" s="1"/>
    </x:row>
    <x:row r="36">
      <x:c r="A36" s="14" t="str">
        <x:v>Die drei geänderten Zuordnungen stehen im CRM-Auszug, Spalten Änderung und Vermerk.</x:v>
      </x:c>
      <x:c r="B36" s="14"/>
      <x:c r="C36" s="14"/>
      <x:c r="D36" s="14"/>
      <x:c r="E36" s="14"/>
      <x:c r="F36" s="14"/>
    </x:row>
    <x:row r="37">
      <x:c r="A37" s="14"/>
      <x:c r="B37" s="14"/>
      <x:c r="C37" s="14"/>
      <x:c r="D37" s="14"/>
      <x:c r="E37" s="14"/>
      <x:c r="F37" s="14"/>
    </x:row>
  </x:sheetData>
  <x:pageMargins left="0.7" right="0.7" top="0.75" bottom="0.75" header="0.3" footer="0.3"/>
</x:worksheet>
</file>