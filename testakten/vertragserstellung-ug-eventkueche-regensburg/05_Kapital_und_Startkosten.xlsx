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7575d6038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" sheetId="1" r:id="Rcda6c151d3e64d1b"/>
    <x:sheet xmlns:r="http://schemas.openxmlformats.org/officeDocument/2006/relationships" name="Startkosten" sheetId="2" r:id="Raf904102b2f2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D45"/>
      </x:patternFill>
    </x:fill>
    <x:fill>
      <x:patternFill patternType="solid">
        <x:fgColor rgb="FFEFF3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37af24427411e" /><Relationship Type="http://schemas.openxmlformats.org/officeDocument/2006/relationships/theme" Target="/xl/theme/theme1.xml" Id="R929820bf74764032" /><Relationship Type="http://schemas.openxmlformats.org/officeDocument/2006/relationships/sharedStrings" Target="/xl/sharedStrings.xml" Id="Rd55a66c528fb4b72" /><Relationship Type="http://schemas.openxmlformats.org/officeDocument/2006/relationships/worksheet" Target="/xl/worksheets/sheet1.xml" Id="Rcda6c151d3e64d1b" /><Relationship Type="http://schemas.openxmlformats.org/officeDocument/2006/relationships/worksheet" Target="/xl/worksheets/sheet2.xml" Id="Raf904102b2f2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Suppenfaden / Kapital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Person</ns0:v>
      </ns0:c>
      <ns0:c r="B5" s="7" t="str">
        <ns0:v>Geplant bar EUR</ns0:v>
      </ns0:c>
      <ns0:c r="C5" s="7" t="str">
        <ns0:v>Bisher bezahlt EUR</ns0:v>
      </ns0:c>
      <ns0:c r="D5" s="7" t="str">
        <ns0:v>Anteil</ns0:v>
      </ns0:c>
      <ns0:c r="E5" s="7" t="str">
        <ns0:v>Quelle</ns0:v>
      </ns0:c>
      <ns0:c r="F5" s="7" t="str">
        <ns0:v>Bemerkung</ns0:v>
      </ns0:c>
    </ns0:row>
    <ns0:row r="6" ht="52" customHeight="1">
      <ns0:c r="A6" s="4" t="str">
        <ns0:v>Jana Böwer</ns0:v>
      </ns0:c>
      <ns0:c r="B6" s="9" t="n">
        <ns0:v>700</ns0:v>
      </ns0:c>
      <ns0:c r="C6" s="9" t="n">
        <ns0:v>0</ns0:v>
      </ns0:c>
      <ns0:c r="D6" s="11" t="n">
        <ns0:v>0.7</ns0:v>
      </ns0:c>
      <ns0:c r="E6" s="4" t="str">
        <ns0:v>Chat 25.09.; Mail 30.09.</ns0:v>
      </ns0:c>
      <ns0:c r="F6" s="4" t="str">
        <ns0:v>Ofen getrennt von der Bareinzahlung</ns0:v>
      </ns0:c>
    </ns0:row>
    <ns0:row r="7" ht="52" customHeight="1">
      <ns0:c r="A7" s="8" t="str">
        <ns0:v>Timo Lenz</ns0:v>
      </ns0:c>
      <ns0:c r="B7" s="10" t="n">
        <ns0:v>300</ns0:v>
      </ns0:c>
      <ns0:c r="C7" s="10" t="n">
        <ns0:v>0</ns0:v>
      </ns0:c>
      <ns0:c r="D7" s="12" t="n">
        <ns0:v>0.3</ns0:v>
      </ns0:c>
      <ns0:c r="E7" s="8" t="str">
        <ns0:v>Chat 25.09.</ns0:v>
      </ns0:c>
      <ns0:c r="F7" s="8" t="str">
        <ns0:v>Keine weitere Einzahlung zugesagt</ns0:v>
      </ns0:c>
    </ns0:row>
    <ns0:row r="8">
      <ns0:c r="A8" s="1"/>
      <ns0:c r="B8" s="1"/>
      <ns0:c r="C8" s="1"/>
      <ns0:c r="D8" s="1"/>
      <ns0:c r="E8" s="1"/>
      <ns0:c r="F8" s="1"/>
    </ns0:row>
    <ns0:row r="9">
      <ns0:c r="A9" s="1" t="str">
        <ns0:v>Summe zugesagt / bezahlt</ns0:v>
      </ns0:c>
      <ns0:c r="B9" s="13" t="n">
        <ns0:f>SUM(B6:B7)</ns0:f>
        <ns0:v>1000</ns0:v>
      </ns0:c>
      <ns0:c r="C9" s="13" t="n">
        <ns0:f>SUM(C6:C7)</ns0:f>
        <ns0:v>0</ns0:v>
      </ns0:c>
      <ns0:c r="D9" s="1"/>
      <ns0:c r="E9" s="1"/>
      <ns0:c r="F9" s="1"/>
    </ns0:row>
  </ns0:sheetData>
  <ns0:pageMargins left="0.2" right="0.2" top="0.3" bottom="0.3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29" hidden="0" customWidth="1"/>
    <ns0:col min="2" max="2" width="29" hidden="0" customWidth="1"/>
    <ns0:col min="3" max="3" width="23" hidden="0" customWidth="1"/>
    <ns0:col min="4" max="4" width="24" hidden="0" customWidth="1"/>
    <ns0:col min="5" max="5" width="28" hidden="0" customWidth="1"/>
    <ns0:col min="6" max="6" width="35" hidden="0" customWidth="1"/>
  </ns0:cols>
  <ns0:sheetData>
    <ns0:row r="2">
      <ns0:c r="A2" s="2" t="str">
        <ns0:v>Suppenfaden / Startkosten</ns0:v>
      </ns0:c>
      <ns0:c r="B2" s="1"/>
      <ns0:c r="C2" s="1"/>
      <ns0:c r="D2" s="1"/>
      <ns0:c r="E2" s="1"/>
      <ns0:c r="F2" s="1"/>
    </ns0:row>
    <ns0:row r="3">
      <ns0:c r="A3" s="1" t="str">
        <ns0:v>Stand 30. September 2026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4" customHeight="1">
      <ns0:c r="A5" s="7" t="str">
        <ns0:v>Position</ns0:v>
      </ns0:c>
      <ns0:c r="B5" s="7" t="str">
        <ns0:v>Betrag EUR</ns0:v>
      </ns0:c>
      <ns0:c r="C5" s="7" t="str">
        <ns0:v>Basis</ns0:v>
      </ns0:c>
      <ns0:c r="D5" s="7" t="str">
        <ns0:v>Stand</ns0:v>
      </ns0:c>
      <ns0:c r="E5" s="7" t="str">
        <ns0:v>Quelle</ns0:v>
      </ns0:c>
      <ns0:c r="F5" s="7" t="str">
        <ns0:v>Bemerkung</ns0:v>
      </ns0:c>
    </ns0:row>
    <ns0:row r="6" ht="52" customHeight="1">
      <ns0:c r="A6" s="4" t="str">
        <ns0:v>Küchenkaution</ns0:v>
      </ns0:c>
      <ns0:c r="B6" s="9" t="n">
        <ns0:v>2850</ns0:v>
      </ns0:c>
      <ns0:c r="C6" s="4" t="str">
        <ns0:v>Sicherheit, keine Umsatzsteuer</ns0:v>
      </ns0:c>
      <ns0:c r="D6" s="4" t="str">
        <ns0:v>Angebot</ns0:v>
      </ns0:c>
      <ns0:c r="E6" s="4" t="str">
        <ns0:v>Küchenangebot 23.09.</ns0:v>
      </ns0:c>
      <ns0:c r="F6" s="4" t="str">
        <ns0:v>Noch nicht fällig</ns0:v>
      </ns0:c>
    </ns0:row>
    <ns0:row r="7" ht="52" customHeight="1">
      <ns0:c r="A7" s="8" t="str">
        <ns0:v>Novembermiete</ns0:v>
      </ns0:c>
      <ns0:c r="B7" s="10" t="n">
        <ns0:v>950</ns0:v>
      </ns0:c>
      <ns0:c r="C7" s="8" t="str">
        <ns0:v>Netto</ns0:v>
      </ns0:c>
      <ns0:c r="D7" s="8" t="str">
        <ns0:v>Angebot</ns0:v>
      </ns0:c>
      <ns0:c r="E7" s="8" t="str">
        <ns0:v>Küchenangebot 23.09.</ns0:v>
      </ns0:c>
      <ns0:c r="F7" s="8" t="str">
        <ns0:v>Zuzüglich Umsatzsteuer</ns0:v>
      </ns0:c>
    </ns0:row>
    <ns0:row r="8" ht="52" customHeight="1">
      <ns0:c r="A8" s="4" t="str">
        <ns0:v>Nebenkosten November</ns0:v>
      </ns0:c>
      <ns0:c r="B8" s="9" t="n">
        <ns0:v>220</ns0:v>
      </ns0:c>
      <ns0:c r="C8" s="4" t="str">
        <ns0:v>Netto</ns0:v>
      </ns0:c>
      <ns0:c r="D8" s="4" t="str">
        <ns0:v>Vorauszahlung</ns0:v>
      </ns0:c>
      <ns0:c r="E8" s="4" t="str">
        <ns0:v>Küchenangebot 23.09.</ns0:v>
      </ns0:c>
      <ns0:c r="F8" s="4" t="str">
        <ns0:v>Strom separat</ns0:v>
      </ns0:c>
    </ns0:row>
    <ns0:row r="9" ht="52" customHeight="1">
      <ns0:c r="A9" s="8" t="str">
        <ns0:v>Elektroanschluss</ns0:v>
      </ns0:c>
      <ns0:c r="B9" s="10" t="n">
        <ns0:v>900</ns0:v>
      </ns0:c>
      <ns0:c r="C9" s="8" t="str">
        <ns0:v>Netto, nur Untergrenze</ns0:v>
      </ns0:c>
      <ns0:c r="D9" s="8" t="str">
        <ns0:v>Schätzung</ns0:v>
      </ns0:c>
      <ns0:c r="E9" s="8" t="str">
        <ns0:v>Notizzettel 29.09.</ns0:v>
      </ns0:c>
      <ns0:c r="F9" s="8" t="str">
        <ns0:v>Telefonisch 900 bis 1400, Besichtigung fehlt</ns0:v>
      </ns0:c>
    </ns0:row>
    <ns0:row r="10" ht="52" customHeight="1">
      <ns0:c r="A10" s="4" t="str">
        <ns0:v>Lebensmittel Werkstattfest</ns0:v>
      </ns0:c>
      <ns0:c r="B10" s="9" t="n">
        <ns0:v>520</ns0:v>
      </ns0:c>
      <ns0:c r="C10" s="4" t="str">
        <ns0:v>Netto</ns0:v>
      </ns0:c>
      <ns0:c r="D10" s="4" t="str">
        <ns0:v>Schätzung Jana</ns0:v>
      </ns0:c>
      <ns0:c r="E10" s="4" t="str">
        <ns0:v>Notizzettel 29.09.</ns0:v>
      </ns0:c>
      <ns0:c r="F10" s="4" t="str">
        <ns0:v>Noch nicht gekauft</ns0:v>
      </ns0:c>
    </ns0:row>
    <ns0:row r="11" ht="52" customHeight="1">
      <ns0:c r="A11" s="8" t="str">
        <ns0:v>Kartons und Servietten</ns0:v>
      </ns0:c>
      <ns0:c r="B11" s="10" t="n">
        <ns0:v>180</ns0:v>
      </ns0:c>
      <ns0:c r="C11" s="8" t="str">
        <ns0:v>Netto</ns0:v>
      </ns0:c>
      <ns0:c r="D11" s="8" t="str">
        <ns0:v>Schätzung Jana</ns0:v>
      </ns0:c>
      <ns0:c r="E11" s="8" t="str">
        <ns0:v>Notizzettel 29.09.</ns0:v>
      </ns0:c>
      <ns0:c r="F11" s="8" t="str">
        <ns0:v>Noch nicht gekauft</ns0:v>
      </ns0:c>
    </ns0:row>
    <ns0:row r="12" ht="52" customHeight="1">
      <ns0:c r="A12" s="4" t="str">
        <ns0:v>Ofen damaliger Kauf</ns0:v>
      </ns0:c>
      <ns0:c r="B12" s="9" t="n">
        <ns0:v>5236</ns0:v>
      </ns0:c>
      <ns0:c r="C12" s="4" t="str">
        <ns0:v>Brutto</ns0:v>
      </ns0:c>
      <ns0:c r="D12" s="4" t="str">
        <ns0:v>Bezahlt privat</ns0:v>
      </ns0:c>
      <ns0:c r="E12" s="4" t="str">
        <ns0:v>KS-260414, 14.04.</ns0:v>
      </ns0:c>
      <ns0:c r="F12" s="4" t="str">
        <ns0:v>Historischer Beleg, nicht nochmals Startausgabe</ns0:v>
      </ns0:c>
    </ns0:row>
    <ns0:row r="13">
      <ns0:c r="A13" s="1"/>
      <ns0:c r="B13" s="1"/>
      <ns0:c r="C13" s="1"/>
      <ns0:c r="D13" s="1"/>
      <ns0:c r="E13" s="1"/>
      <ns0:c r="F13" s="1"/>
    </ns0:row>
    <ns0:row r="14">
      <ns0:c r="A14" s="1"/>
      <ns0:c r="B14" s="1"/>
      <ns0:c r="C14" s="1"/>
      <ns0:c r="D14" s="1"/>
      <ns0:c r="E14" s="1"/>
      <ns0:c r="F14" s="1"/>
    </ns0:row>
  </ns0:sheetData>
  <ns0:pageMargins left="0.2" right="0.2" top="0.3" bottom="0.3" header="0.1" footer="0.1"/>
  <ns0:pageSetup paperSize="9" orientation="landscape" fitToWidth="1" fitToHeight="0"/>
</ns0:worksheet>
</file>