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8a0a721d5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sten" sheetId="1" r:id="Rb00cf4f74847445c"/>
    <x:sheet xmlns:r="http://schemas.openxmlformats.org/officeDocument/2006/relationships" name="Eingaben" sheetId="2" r:id="R910f824e9c84452c"/>
    <x:sheet xmlns:r="http://schemas.openxmlformats.org/officeDocument/2006/relationships" name="Buchungen" sheetId="3" r:id="Rdc1f43b9e9fb44fd"/>
  </x:sheets>
  <x:definedNames>
    <x:definedName name="_xlnm.Print_Area" localSheetId="0">'Kosten'!$A$1:$D$24</x:definedName>
    <x:definedName name="_xlnm.Print_Area" localSheetId="1">'Eingaben'!$A$1:$D$22</x:definedName>
    <x:definedName name="_xlnm.Print_Area" localSheetId="2">'Buchungen'!$A$1:$D$23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-&quot;"/>
    <x:numFmt numFmtId="201" formatCode="0"/>
    <x:numFmt numFmtId="202" formatCode="0.0%"/>
  </x:numFmts>
  <x:fonts count="7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55555"/>
      <x:name val="Arial"/>
    </x:font>
    <x:font>
      <x:b/>
      <x:sz val="10"/>
      <x:color rgb="FFFFFFFF"/>
      <x:name val="Arial"/>
    </x:font>
    <x:font>
      <x:sz val="10"/>
      <x:color rgb="FF1D4ED8"/>
      <x:name val="Arial"/>
    </x:font>
    <x:font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4760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31444b45d4050" /><Relationship Type="http://schemas.openxmlformats.org/officeDocument/2006/relationships/theme" Target="/xl/theme/theme1.xml" Id="R031bf20912f148f6" /><Relationship Type="http://schemas.openxmlformats.org/officeDocument/2006/relationships/sharedStrings" Target="/xl/sharedStrings.xml" Id="R9261e69fc4f74dd8" /><Relationship Type="http://schemas.openxmlformats.org/officeDocument/2006/relationships/worksheet" Target="/xl/worksheets/sheet1.xml" Id="Rb00cf4f74847445c" /><Relationship Type="http://schemas.openxmlformats.org/officeDocument/2006/relationships/worksheet" Target="/xl/worksheets/sheet2.xml" Id="R910f824e9c84452c" /><Relationship Type="http://schemas.openxmlformats.org/officeDocument/2006/relationships/worksheet" Target="/xl/worksheets/sheet3.xml" Id="Rdc1f43b9e9fb44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1" hidden="0" customWidth="1"/>
    <x:col min="3" max="3" width="21" hidden="0" customWidth="1"/>
    <x:col min="4" max="4" width="29" hidden="0" customWidth="1"/>
  </x:cols>
  <x:sheetData>
    <x:row r="1" ht="22" customHeight="1">
      <x:c r="A1" s="2"/>
      <x:c r="B1" s="2"/>
      <x:c r="C1" s="2"/>
      <x:c r="D1" s="2"/>
    </x:row>
    <x:row r="2" ht="30" customHeight="1">
      <x:c r="A2" s="3" t="str">
        <x:v>SorglosPlus Kosten und belegte Zahlungen</x:v>
      </x:c>
      <x:c r="B2" s="2"/>
      <x:c r="C2" s="2"/>
      <x:c r="D2" s="2"/>
    </x:row>
    <x:row r="3" ht="22" customHeight="1">
      <x:c r="A3" s="4" t="str">
        <x:v>Stand 09.10.2026. Blaue Werte sind Eingaben; schwarze Werte werden berechnet.</x:v>
      </x:c>
      <x:c r="B3" s="2"/>
      <x:c r="C3" s="2"/>
      <x:c r="D3" s="2"/>
    </x:row>
    <x:row r="4" ht="22" customHeight="1">
      <x:c r="A4" s="2"/>
      <x:c r="B4" s="2"/>
      <x:c r="C4" s="2"/>
      <x:c r="D4" s="2"/>
    </x:row>
    <x:row r="5" ht="30" customHeight="1">
      <x:c r="A5" s="8" t="str">
        <x:v>Rechnung</x:v>
      </x:c>
      <x:c r="B5" s="8" t="str">
        <x:v>Tarif oder Annahme</x:v>
      </x:c>
      <x:c r="C5" s="8" t="str">
        <x:v>Einheit</x:v>
      </x:c>
      <x:c r="D5" s="8" t="str">
        <x:v>Ergebnis</x:v>
      </x:c>
    </x:row>
    <x:row r="6" ht="36" customHeight="1">
      <x:c r="A6" s="11" t="str">
        <x:v>Grundentgelt nach Eingaben</x:v>
      </x:c>
      <x:c r="B6" s="11" t="str">
        <x:v>Laufzeit und Einrichtung</x:v>
      </x:c>
      <x:c r="C6" s="2" t="str">
        <x:v>EUR</x:v>
      </x:c>
      <x:c r="D6" s="18" t="n">
        <x:f>IF(COUNT(Eingaben!B6:B8)=3,Eingaben!B6*Eingaben!B7+Eingaben!B8,"offen")</x:f>
        <x:v>791</x:v>
      </x:c>
    </x:row>
    <x:row r="7" ht="36" customHeight="1">
      <x:c r="A7" s="11" t="str">
        <x:v>Belegte Bankbelastung netto</x:v>
      </x:c>
      <x:c r="B7" s="11" t="str">
        <x:v>2 Umsatzzeilen</x:v>
      </x:c>
      <x:c r="C7" s="2" t="str">
        <x:v>EUR</x:v>
      </x:c>
      <x:c r="D7" s="18" t="n">
        <x:f>'Buchungen'!D10</x:f>
        <x:v>174</x:v>
      </x:c>
    </x:row>
    <x:row r="8" ht="36" customHeight="1">
      <x:c r="A8" s="11" t="str">
        <x:v>Grundentgelt abzüglich Banknetto</x:v>
      </x:c>
      <x:c r="B8" s="11" t="str">
        <x:v>ohne Zusatzannahme</x:v>
      </x:c>
      <x:c r="C8" s="2" t="str">
        <x:v>EUR</x:v>
      </x:c>
      <x:c r="D8" s="18" t="n">
        <x:f>IF(COUNT(D6:D7)=2,D6-D7,"offen")</x:f>
        <x:v>617</x:v>
      </x:c>
    </x:row>
    <x:row r="9" ht="36" customHeight="1">
      <x:c r="A9" s="11"/>
      <x:c r="B9" s="11"/>
      <x:c r="C9" s="2"/>
      <x:c r="D9" s="16"/>
    </x:row>
    <x:row r="10" ht="36" customHeight="1">
      <x:c r="A10" s="11" t="str">
        <x:v>Zusatzentgelt bei eingegebenen Monaten</x:v>
      </x:c>
      <x:c r="B10" s="11" t="str">
        <x:v>Monate laut Eingaben</x:v>
      </x:c>
      <x:c r="C10" s="2" t="str">
        <x:v>EUR</x:v>
      </x:c>
      <x:c r="D10" s="18" t="str">
        <x:f>IF(COUNT(Eingaben!B9:B10)=2,Eingaben!B9*Eingaben!B10,"offen")</x:f>
        <x:v>offen</x:v>
      </x:c>
    </x:row>
    <x:row r="11" ht="36" customHeight="1">
      <x:c r="A11" s="11" t="str">
        <x:v>Entgelt einschließlich Zusatzannahme</x:v>
      </x:c>
      <x:c r="B11" s="11" t="str">
        <x:v>nach Eingabe der Monate</x:v>
      </x:c>
      <x:c r="C11" s="2" t="str">
        <x:v>EUR</x:v>
      </x:c>
      <x:c r="D11" s="18" t="str">
        <x:f>IF(COUNT(D6,D10)=2,D6+D10,"offen")</x:f>
        <x:v>offen</x:v>
      </x:c>
    </x:row>
    <x:row r="12" ht="36" customHeight="1">
      <x:c r="A12" s="11"/>
      <x:c r="B12" s="11"/>
      <x:c r="C12" s="2"/>
      <x:c r="D12" s="16"/>
    </x:row>
    <x:row r="13" ht="36" customHeight="1">
      <x:c r="A13" s="11" t="str">
        <x:v>Gutschrift im Journal</x:v>
      </x:c>
      <x:c r="B13" s="11" t="str">
        <x:v>Auszahlung offen</x:v>
      </x:c>
      <x:c r="C13" s="2" t="str">
        <x:v>EUR</x:v>
      </x:c>
      <x:c r="D13" s="18" t="n">
        <x:f>IF(ISNUMBER(Eingaben!B11),Eingaben!B11,"offen")</x:f>
        <x:v>39</x:v>
      </x:c>
    </x:row>
    <x:row r="14" ht="36" customHeight="1">
      <x:c r="A14" s="11"/>
      <x:c r="B14" s="11"/>
      <x:c r="C14" s="2"/>
      <x:c r="D14" s="16"/>
    </x:row>
    <x:row r="15" ht="36" customHeight="1">
      <x:c r="A15" s="11" t="str">
        <x:v>Rente abzüglich Warmmiete</x:v>
      </x:c>
      <x:c r="B15" s="11" t="str">
        <x:v>Angaben der Kundin</x:v>
      </x:c>
      <x:c r="C15" s="2" t="str">
        <x:v>EUR</x:v>
      </x:c>
      <x:c r="D15" s="18" t="n">
        <x:f>IF(COUNT(Eingaben!B12:B13)=2,Eingaben!B12-Eingaben!B13,"offen")</x:f>
        <x:v>476</x:v>
      </x:c>
    </x:row>
    <x:row r="16" ht="36" customHeight="1">
      <x:c r="A16" s="11" t="str">
        <x:v>Grundrate / Betrag aus Zeile 15</x:v>
      </x:c>
      <x:c r="B16" s="11" t="str">
        <x:v>Grundrate aus Eingaben</x:v>
      </x:c>
      <x:c r="C16" s="2" t="str">
        <x:v>Anteil</x:v>
      </x:c>
      <x:c r="D16" s="19" t="n">
        <x:f>IF(COUNT(D15,Eingaben!B6)=2,IF(D15=0,"n.a.",Eingaben!B6/D15),"offen")</x:f>
        <x:v>0.0819327731092437</x:v>
      </x:c>
    </x:row>
    <x:row r="17" ht="22" customHeight="1">
      <x:c r="A17" s="2"/>
      <x:c r="B17" s="2"/>
      <x:c r="C17" s="2"/>
      <x:c r="D17" s="2"/>
    </x:row>
    <x:row r="18" ht="22" customHeight="1">
      <x:c r="A18" s="2"/>
      <x:c r="B18" s="2"/>
      <x:c r="C18" s="2"/>
      <x:c r="D18" s="2"/>
    </x:row>
    <x:row r="19" ht="22" customHeight="1">
      <x:c r="A19" s="4" t="str">
        <x:v>Zeile 8 ist eine Rechengröße, keine Feststellung einer wirksamen Restforderung.</x:v>
      </x:c>
      <x:c r="B19" s="2"/>
      <x:c r="C19" s="2"/>
      <x:c r="D19" s="2"/>
    </x:row>
    <x:row r="20" ht="22" customHeight="1">
      <x:c r="A20" s="4" t="str">
        <x:v>Die Journalgutschrift wird nicht zusätzlich von Banknetto oder Grundentgelt abgezogen.</x:v>
      </x:c>
      <x:c r="B20" s="2"/>
      <x:c r="C20" s="2"/>
      <x:c r="D20" s="2"/>
    </x:row>
    <x:row r="21" ht="22" customHeight="1">
      <x:c r="A21" s="2"/>
      <x:c r="B21" s="2"/>
      <x:c r="C21" s="2"/>
      <x:c r="D21" s="2"/>
    </x:row>
    <x:row r="22" ht="22" customHeight="1">
      <x:c r="A22" s="4" t="str">
        <x:v>Zeile 15 ist kein frei verfügbares Einkommen. Weitere Lebenshaltungskosten fehlen.</x:v>
      </x:c>
      <x:c r="B22" s="2"/>
      <x:c r="C22" s="2"/>
      <x:c r="D22" s="2"/>
    </x:row>
    <x:row r="23" ht="22" customHeight="1">
      <x:c r="A23" s="4" t="str">
        <x:v>Ein Kostenanteil allein belegt weder Ursache noch Erheblichkeit eines Schadens.</x:v>
      </x:c>
      <x:c r="B23" s="2"/>
      <x:c r="C23" s="2"/>
      <x:c r="D23" s="2"/>
    </x:row>
    <x:row r="24" ht="22" customHeight="1">
      <x:c r="A24" s="2"/>
      <x:c r="B24" s="2"/>
      <x:c r="C24" s="2"/>
      <x:c r="D24" s="2"/>
    </x:row>
    <x:row r="25" ht="22" customHeight="1">
      <x:c r="A25" s="2"/>
      <x:c r="B25" s="2"/>
      <x:c r="C25" s="2"/>
      <x:c r="D25" s="2"/>
    </x:row>
    <x:row r="26" ht="22" customHeight="1">
      <x:c r="A26" s="2"/>
      <x:c r="B26" s="2"/>
      <x:c r="C26" s="2"/>
      <x:c r="D26" s="2"/>
    </x:row>
    <x:row r="27" ht="22" customHeight="1">
      <x:c r="A27" s="2"/>
      <x:c r="B27" s="2"/>
      <x:c r="C27" s="2"/>
      <x:c r="D27" s="2"/>
    </x:row>
    <x:row r="28" ht="22" customHeight="1">
      <x:c r="A28" s="2"/>
      <x:c r="B28" s="2"/>
      <x:c r="C28" s="2"/>
      <x:c r="D28" s="2"/>
    </x:row>
    <x:row r="29" ht="22" customHeight="1">
      <x:c r="A29" s="2"/>
      <x:c r="B29" s="2"/>
      <x:c r="C29" s="2"/>
      <x:c r="D29" s="2"/>
    </x:row>
  </x:sheetData>
  <x:pageMargins left="0.3" right="0.3" top="0.4" bottom="0.4" header="0.15" footer="0.15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9" hidden="0" customWidth="1"/>
    <x:col min="3" max="3" width="18" hidden="0" customWidth="1"/>
    <x:col min="4" max="4" width="41" hidden="0" customWidth="1"/>
  </x:cols>
  <x:sheetData>
    <x:row r="1" ht="22" customHeight="1">
      <x:c r="A1" s="2"/>
      <x:c r="B1" s="2"/>
      <x:c r="C1" s="2"/>
      <x:c r="D1" s="2"/>
    </x:row>
    <x:row r="2" ht="30" customHeight="1">
      <x:c r="A2" s="3" t="str">
        <x:v>Tarifangaben und offene Zusatzoption</x:v>
      </x:c>
      <x:c r="B2" s="2"/>
      <x:c r="C2" s="2"/>
      <x:c r="D2" s="2"/>
    </x:row>
    <x:row r="3" ht="22" customHeight="1">
      <x:c r="A3" s="4" t="str">
        <x:v>Stand 09.10.2026. Blaue Werte sind Eingaben; schwarze Werte werden berechnet.</x:v>
      </x:c>
      <x:c r="B3" s="2"/>
      <x:c r="C3" s="2"/>
      <x:c r="D3" s="2"/>
    </x:row>
    <x:row r="4" ht="22" customHeight="1">
      <x:c r="A4" s="2"/>
      <x:c r="B4" s="2"/>
      <x:c r="C4" s="2"/>
      <x:c r="D4" s="2"/>
    </x:row>
    <x:row r="5" ht="30" customHeight="1">
      <x:c r="A5" s="8" t="str">
        <x:v>Angabe</x:v>
      </x:c>
      <x:c r="B5" s="8" t="str">
        <x:v>Wert</x:v>
      </x:c>
      <x:c r="C5" s="8" t="str">
        <x:v>Einheit</x:v>
      </x:c>
      <x:c r="D5" s="8" t="str">
        <x:v>Quelle oder Einschränkung</x:v>
      </x:c>
    </x:row>
    <x:row r="6" ht="36" customHeight="1">
      <x:c r="A6" s="2" t="str">
        <x:v>Grundrate</x:v>
      </x:c>
      <x:c r="B6" s="20" t="n">
        <x:v>39</x:v>
      </x:c>
      <x:c r="C6" s="2" t="str">
        <x:v>EUR / Monat</x:v>
      </x:c>
      <x:c r="D6" s="11" t="str">
        <x:v>01_Pruefauftrag Abschnitt 2</x:v>
      </x:c>
    </x:row>
    <x:row r="7" ht="36" customHeight="1">
      <x:c r="A7" s="2" t="str">
        <x:v>Grundlaufzeit</x:v>
      </x:c>
      <x:c r="B7" s="21" t="n">
        <x:v>18</x:v>
      </x:c>
      <x:c r="C7" s="2" t="str">
        <x:v>Monate</x:v>
      </x:c>
      <x:c r="D7" s="11" t="str">
        <x:v>01_Pruefauftrag Abschnitt 2</x:v>
      </x:c>
    </x:row>
    <x:row r="8" ht="36" customHeight="1">
      <x:c r="A8" s="2" t="str">
        <x:v>Einrichtung</x:v>
      </x:c>
      <x:c r="B8" s="20" t="n">
        <x:v>89</x:v>
      </x:c>
      <x:c r="C8" s="2" t="str">
        <x:v>EUR einmalig</x:v>
      </x:c>
      <x:c r="D8" s="11" t="str">
        <x:v>01_Pruefauftrag Abschnitt 2</x:v>
      </x:c>
    </x:row>
    <x:row r="9" ht="36" customHeight="1">
      <x:c r="A9" s="2" t="str">
        <x:v>Zusatzrate</x:v>
      </x:c>
      <x:c r="B9" s="20" t="n">
        <x:v>7</x:v>
      </x:c>
      <x:c r="C9" s="2" t="str">
        <x:v>EUR / Monat</x:v>
      </x:c>
      <x:c r="D9" s="11" t="str">
        <x:v>01_Pruefauftrag Abschnitt 2</x:v>
      </x:c>
    </x:row>
    <x:row r="10" ht="36" customHeight="1">
      <x:c r="A10" s="2" t="str">
        <x:v>Zusatzmonate</x:v>
      </x:c>
      <x:c r="B10" s="22"/>
      <x:c r="C10" s="2" t="str">
        <x:v>Monate</x:v>
      </x:c>
      <x:c r="D10" s="11" t="str">
        <x:v>Bestellnachweis fehlt</x:v>
      </x:c>
    </x:row>
    <x:row r="11" ht="36" customHeight="1">
      <x:c r="A11" s="2" t="str">
        <x:v>Journalgutschrift</x:v>
      </x:c>
      <x:c r="B11" s="20" t="n">
        <x:v>39</x:v>
      </x:c>
      <x:c r="C11" s="2" t="str">
        <x:v>EUR</x:v>
      </x:c>
      <x:c r="D11" s="11" t="str">
        <x:v>10_Gutschrift_Buchhaltung.eml</x:v>
      </x:c>
    </x:row>
    <x:row r="12" ht="36" customHeight="1">
      <x:c r="A12" s="2" t="str">
        <x:v>Rente laut Kundin</x:v>
      </x:c>
      <x:c r="B12" s="20" t="n">
        <x:v>1118</x:v>
      </x:c>
      <x:c r="C12" s="2" t="str">
        <x:v>EUR / Monat</x:v>
      </x:c>
      <x:c r="D12" s="11" t="str">
        <x:v>03_Gespraechsprotokoll</x:v>
      </x:c>
    </x:row>
    <x:row r="13" ht="36" customHeight="1">
      <x:c r="A13" s="2" t="str">
        <x:v>Warmmiete laut Kundin</x:v>
      </x:c>
      <x:c r="B13" s="20" t="n">
        <x:v>642</x:v>
      </x:c>
      <x:c r="C13" s="2" t="str">
        <x:v>EUR / Monat</x:v>
      </x:c>
      <x:c r="D13" s="11" t="str">
        <x:v>03_Gespraechsprotokoll</x:v>
      </x:c>
    </x:row>
    <x:row r="14" ht="22" customHeight="1">
      <x:c r="A14" s="2"/>
      <x:c r="B14" s="2"/>
      <x:c r="C14" s="2"/>
      <x:c r="D14" s="2"/>
    </x:row>
    <x:row r="15" ht="22" customHeight="1">
      <x:c r="A15" s="2"/>
      <x:c r="B15" s="2"/>
      <x:c r="C15" s="2"/>
      <x:c r="D15" s="2"/>
    </x:row>
    <x:row r="16" ht="22" customHeight="1">
      <x:c r="A16" s="4" t="str">
        <x:v>Zusatzmonate bleiben leer, solange der tatsächliche Bestellumfang ungeklärt ist.</x:v>
      </x:c>
      <x:c r="B16" s="2"/>
      <x:c r="C16" s="2"/>
      <x:c r="D16" s="2"/>
    </x:row>
    <x:row r="17" ht="22" customHeight="1">
      <x:c r="A17" s="4" t="str">
        <x:v>Eine Eingabe 0 wäre eine Rechenannahme; sie ist derzeit nicht als Tatsache belegt.</x:v>
      </x:c>
      <x:c r="B17" s="2"/>
      <x:c r="C17" s="2"/>
      <x:c r="D17" s="2"/>
    </x:row>
    <x:row r="18" ht="22" customHeight="1">
      <x:c r="A18" s="2"/>
      <x:c r="B18" s="2"/>
      <x:c r="C18" s="2"/>
      <x:c r="D18" s="2"/>
    </x:row>
    <x:row r="19" ht="22" customHeight="1">
      <x:c r="A19" s="4" t="str">
        <x:v>Rente und Miete sind Angaben der Kundin. Andere notwendige Ausgaben fehlen.</x:v>
      </x:c>
      <x:c r="B19" s="2"/>
      <x:c r="C19" s="2"/>
      <x:c r="D19" s="2"/>
    </x:row>
    <x:row r="20" ht="22" customHeight="1">
      <x:c r="A20" s="4" t="str">
        <x:v>Die Journalgutschrift ist weder Bankeingang noch belegte Änderung des Gesamtpreises.</x:v>
      </x:c>
      <x:c r="B20" s="2"/>
      <x:c r="C20" s="2"/>
      <x:c r="D20" s="2"/>
    </x:row>
    <x:row r="21" ht="22" customHeight="1">
      <x:c r="A21" s="2"/>
      <x:c r="B21" s="2"/>
      <x:c r="C21" s="2"/>
      <x:c r="D21" s="2"/>
    </x:row>
    <x:row r="22" ht="22" customHeight="1">
      <x:c r="A22" s="2"/>
      <x:c r="B22" s="2"/>
      <x:c r="C22" s="2"/>
      <x:c r="D22" s="2"/>
    </x:row>
    <x:row r="23" ht="22" customHeight="1">
      <x:c r="A23" s="2"/>
      <x:c r="B23" s="2"/>
      <x:c r="C23" s="2"/>
      <x:c r="D23" s="2"/>
    </x:row>
    <x:row r="24" ht="22" customHeight="1">
      <x:c r="A24" s="2"/>
      <x:c r="B24" s="2"/>
      <x:c r="C24" s="2"/>
      <x:c r="D24" s="2"/>
    </x:row>
    <x:row r="25" ht="22" customHeight="1">
      <x:c r="A25" s="2"/>
      <x:c r="B25" s="2"/>
      <x:c r="C25" s="2"/>
      <x:c r="D25" s="2"/>
    </x:row>
    <x:row r="26" ht="22" customHeight="1">
      <x:c r="A26" s="2"/>
      <x:c r="B26" s="2"/>
      <x:c r="C26" s="2"/>
      <x:c r="D26" s="2"/>
    </x:row>
    <x:row r="27" ht="22" customHeight="1">
      <x:c r="A27" s="2"/>
      <x:c r="B27" s="2"/>
      <x:c r="C27" s="2"/>
      <x:c r="D27" s="2"/>
    </x:row>
    <x:row r="28" ht="22" customHeight="1">
      <x:c r="A28" s="2"/>
      <x:c r="B28" s="2"/>
      <x:c r="C28" s="2"/>
      <x:c r="D28" s="2"/>
    </x:row>
    <x:row r="29" ht="22" customHeight="1">
      <x:c r="A29" s="2"/>
      <x:c r="B29" s="2"/>
      <x:c r="C29" s="2"/>
      <x:c r="D29" s="2"/>
    </x:row>
  </x:sheetData>
  <x:dataValidations count="1">
    <x:dataValidation type="whole" operator="between" sqref="B10">
      <x:formula1>0</x:formula1>
      <x:formula2>18</x:formula2>
    </x:dataValidation>
  </x:dataValidations>
  <x:pageMargins left="0.3" right="0.3" top="0.4" bottom="0.4" header="0.15" footer="0.15"/>
  <x:pageSetup paperSize="9" orientation="landscape" fitToWidth="1" fitToHeight="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3" hidden="0" customWidth="1"/>
    <x:col min="3" max="3" width="23" hidden="0" customWidth="1"/>
    <x:col min="4" max="4" width="42" hidden="0" customWidth="1"/>
  </x:cols>
  <x:sheetData>
    <x:row r="1" ht="22" customHeight="1">
      <x:c r="A1" s="2"/>
      <x:c r="B1" s="2"/>
      <x:c r="C1" s="2"/>
      <x:c r="D1" s="2"/>
    </x:row>
    <x:row r="2" ht="30" customHeight="1">
      <x:c r="A2" s="3" t="str">
        <x:v>Bankumsätze und unabhängiger Summenabgleich</x:v>
      </x:c>
      <x:c r="B2" s="2"/>
      <x:c r="C2" s="2"/>
      <x:c r="D2" s="2"/>
    </x:row>
    <x:row r="3" ht="22" customHeight="1">
      <x:c r="A3" s="4" t="str">
        <x:v>Stand 09.10.2026. Blaue Werte sind Eingaben; schwarze Werte werden berechnet.</x:v>
      </x:c>
      <x:c r="B3" s="2"/>
      <x:c r="C3" s="2"/>
      <x:c r="D3" s="2"/>
    </x:row>
    <x:row r="4" ht="22" customHeight="1">
      <x:c r="A4" s="2"/>
      <x:c r="B4" s="2"/>
      <x:c r="C4" s="2"/>
      <x:c r="D4" s="2"/>
    </x:row>
    <x:row r="5" ht="30" customHeight="1">
      <x:c r="A5" s="8" t="str">
        <x:v>Buchungsmonat</x:v>
      </x:c>
      <x:c r="B5" s="8" t="str">
        <x:v>Belastung EUR</x:v>
      </x:c>
      <x:c r="C5" s="8" t="str">
        <x:v>Erstattung EUR</x:v>
      </x:c>
      <x:c r="D5" s="8" t="str">
        <x:v>Quelle</x:v>
      </x:c>
    </x:row>
    <x:row r="6" ht="22" customHeight="1">
      <x:c r="A6" s="2" t="str">
        <x:v>September 2026</x:v>
      </x:c>
      <x:c r="B6" s="20" t="n">
        <x:v>128</x:v>
      </x:c>
      <x:c r="C6" s="20" t="n">
        <x:v>0</x:v>
      </x:c>
      <x:c r="D6" s="2" t="str">
        <x:v>Umsatzzeile September</x:v>
      </x:c>
    </x:row>
    <x:row r="7" ht="22" customHeight="1">
      <x:c r="A7" s="2" t="str">
        <x:v>Oktober 2026</x:v>
      </x:c>
      <x:c r="B7" s="20" t="n">
        <x:v>46</x:v>
      </x:c>
      <x:c r="C7" s="20" t="n">
        <x:v>0</x:v>
      </x:c>
      <x:c r="D7" s="2" t="str">
        <x:v>Umsatzzeile Oktober</x:v>
      </x:c>
    </x:row>
    <x:row r="8" ht="22" customHeight="1">
      <x:c r="A8" s="2"/>
      <x:c r="B8" s="2"/>
      <x:c r="C8" s="2"/>
      <x:c r="D8" s="2"/>
    </x:row>
    <x:row r="9" ht="22" customHeight="1">
      <x:c r="A9" s="2"/>
      <x:c r="B9" s="2"/>
      <x:c r="C9" s="2"/>
      <x:c r="D9" s="2"/>
    </x:row>
    <x:row r="10" ht="22" customHeight="1">
      <x:c r="A10" s="2" t="str">
        <x:v>Banknetto</x:v>
      </x:c>
      <x:c r="B10" s="2"/>
      <x:c r="C10" s="2"/>
      <x:c r="D10" s="18" t="n">
        <x:f>IF(COUNT(B6:C7)=4,SUM(B6:B7)-SUM(C6:C7),"offen")</x:f>
        <x:v>174</x:v>
      </x:c>
    </x:row>
    <x:row r="11" ht="22" customHeight="1">
      <x:c r="A11" s="2"/>
      <x:c r="B11" s="2"/>
      <x:c r="C11" s="2"/>
      <x:c r="D11" s="16"/>
    </x:row>
    <x:row r="12" ht="22" customHeight="1">
      <x:c r="A12" s="2"/>
      <x:c r="B12" s="2"/>
      <x:c r="C12" s="2"/>
      <x:c r="D12" s="16"/>
    </x:row>
    <x:row r="13" ht="22" customHeight="1">
      <x:c r="A13" s="2" t="str">
        <x:v>Kontrollsumme Kundin</x:v>
      </x:c>
      <x:c r="B13" s="2"/>
      <x:c r="C13" s="2"/>
      <x:c r="D13" s="12" t="n">
        <x:v>174</x:v>
      </x:c>
    </x:row>
    <x:row r="14" ht="22" customHeight="1">
      <x:c r="A14" s="2" t="str">
        <x:v>Abweichung zum Netto</x:v>
      </x:c>
      <x:c r="B14" s="2"/>
      <x:c r="C14" s="2"/>
      <x:c r="D14" s="18" t="n">
        <x:f>IF(COUNT(D10,D13)=2,D10-D13,"offen")</x:f>
        <x:v>0</x:v>
      </x:c>
    </x:row>
    <x:row r="15" ht="22" customHeight="1">
      <x:c r="A15" s="2"/>
      <x:c r="B15" s="2"/>
      <x:c r="C15" s="2"/>
      <x:c r="D15" s="2"/>
    </x:row>
    <x:row r="16" ht="22" customHeight="1">
      <x:c r="A16" s="2"/>
      <x:c r="B16" s="2"/>
      <x:c r="C16" s="2"/>
      <x:c r="D16" s="2"/>
    </x:row>
    <x:row r="17" ht="22" customHeight="1">
      <x:c r="A17" s="4" t="str">
        <x:v>Quelle der Beträge und Kontrollsumme: 05_Kontrollnotiz_Betrieb, Abschnitt 3.</x:v>
      </x:c>
      <x:c r="B17" s="2"/>
      <x:c r="C17" s="2"/>
      <x:c r="D17" s="2"/>
    </x:row>
    <x:row r="18" ht="22" customHeight="1">
      <x:c r="A18" s="4" t="str">
        <x:v>Null Erstattung bedeutet: In den zwei vorliegenden Umsatzzeilen ist keine enthalten.</x:v>
      </x:c>
      <x:c r="B18" s="2"/>
      <x:c r="C18" s="2"/>
      <x:c r="D18" s="2"/>
    </x:row>
    <x:row r="19" ht="22" customHeight="1">
      <x:c r="A19" s="4" t="str">
        <x:v>Weitere Kontoumsätze sind nicht Teil dieses Auszugs; keine vollständige Kontoabstimmung.</x:v>
      </x:c>
      <x:c r="B19" s="2"/>
      <x:c r="C19" s="2"/>
      <x:c r="D19" s="2"/>
    </x:row>
    <x:row r="20" ht="22" customHeight="1">
      <x:c r="A20" s="2"/>
      <x:c r="B20" s="2"/>
      <x:c r="C20" s="2"/>
      <x:c r="D20" s="2"/>
    </x:row>
    <x:row r="21" ht="22" customHeight="1">
      <x:c r="A21" s="4" t="str">
        <x:v>Der Kontrollbereich beobachtet die Zahlen. Keine andere Berechnung hängt davon ab.</x:v>
      </x:c>
      <x:c r="B21" s="2"/>
      <x:c r="C21" s="2"/>
      <x:c r="D21" s="2"/>
    </x:row>
    <x:row r="22" ht="22" customHeight="1">
      <x:c r="A22" s="2"/>
      <x:c r="B22" s="2"/>
      <x:c r="C22" s="2"/>
      <x:c r="D22" s="2"/>
    </x:row>
    <x:row r="23" ht="22" customHeight="1">
      <x:c r="A23" s="2"/>
      <x:c r="B23" s="2"/>
      <x:c r="C23" s="2"/>
      <x:c r="D23" s="2"/>
    </x:row>
    <x:row r="24" ht="22" customHeight="1">
      <x:c r="A24" s="2"/>
      <x:c r="B24" s="2"/>
      <x:c r="C24" s="2"/>
      <x:c r="D24" s="2"/>
    </x:row>
    <x:row r="25" ht="22" customHeight="1">
      <x:c r="A25" s="2"/>
      <x:c r="B25" s="2"/>
      <x:c r="C25" s="2"/>
      <x:c r="D25" s="2"/>
    </x:row>
    <x:row r="26" ht="22" customHeight="1">
      <x:c r="A26" s="2"/>
      <x:c r="B26" s="2"/>
      <x:c r="C26" s="2"/>
      <x:c r="D26" s="2"/>
    </x:row>
    <x:row r="27" ht="22" customHeight="1">
      <x:c r="A27" s="2"/>
      <x:c r="B27" s="2"/>
      <x:c r="C27" s="2"/>
      <x:c r="D27" s="2"/>
    </x:row>
    <x:row r="28" ht="22" customHeight="1">
      <x:c r="A28" s="2"/>
      <x:c r="B28" s="2"/>
      <x:c r="C28" s="2"/>
      <x:c r="D28" s="2"/>
    </x:row>
    <x:row r="29" ht="22" customHeight="1">
      <x:c r="A29" s="2"/>
      <x:c r="B29" s="2"/>
      <x:c r="C29" s="2"/>
      <x:c r="D29" s="2"/>
    </x:row>
  </x:sheetData>
  <x:pageMargins left="0.3" right="0.3" top="0.4" bottom="0.4" header="0.15" footer="0.15"/>
  <x:pageSetup paperSize="9" orientation="landscape" fitToWidth="1" fitToHeight="1"/>
</x:worksheet>
</file>