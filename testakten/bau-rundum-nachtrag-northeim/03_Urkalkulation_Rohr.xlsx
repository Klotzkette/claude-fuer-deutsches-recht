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1f126c090e24fe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N150" sheetId="1" r:id="R61090ee7ae0e464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@"/>
    <x:numFmt numFmtId="201" formatCode="#,##0.00"/>
    <x:numFmt numFmtId="202" formatCode="0.0%"/>
  </x:numFmts>
  <x:fonts count="4">
    <x:font>
      <x:sz val="11"/>
      <x:name val="Carlito"/>
    </x:font>
    <x:font>
      <x:sz val="11"/>
      <x:color rgb="FF202020"/>
      <x:name val="Arial"/>
    </x:font>
    <x:font>
      <x:b/>
      <x:sz val="14"/>
      <x:color rgb="FF202020"/>
      <x:name val="Arial"/>
    </x:font>
    <x:font>
      <x:b/>
      <x:sz val="11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3F4D46"/>
      </x:patternFill>
    </x:fill>
    <x:fill>
      <x:patternFill patternType="solid">
        <x:fgColor rgb="FFF1F3F2"/>
      </x:patternFill>
    </x:fill>
  </x:fills>
  <x:borders count="1">
    <x:border/>
  </x:borders>
  <x:cellStyleXfs count="1">
    <x:xf numFmtId="0" fontId="0" fillId="0" borderId="0"/>
  </x:cellStyleXfs>
  <x:cellXfs count="16">
    <x:xf numFmtId="0" fontId="0" fillId="0" borderId="0" xfId="0"/>
    <x:xf numFmtId="200" fontId="0" fillId="0" borderId="0" xfId="0" applyNumberFormat="1" applyFont="1" applyFill="1" applyBorder="1"/>
    <x:xf numFmtId="0" fontId="1" fillId="0" borderId="0" xfId="0" applyNumberFormat="1" applyFont="1" applyFill="1" applyBorder="1"/>
    <x:xf numFmtId="20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vertical="center" wrapText="1"/>
    </x:xf>
    <x:xf numFmtId="200" fontId="1" fillId="3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201" fontId="1" fillId="3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 wrapText="1"/>
    </x:xf>
    <x:xf numFmtId="202" fontId="1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5ddb33e90dd4a56" /><Relationship Type="http://schemas.openxmlformats.org/officeDocument/2006/relationships/theme" Target="/xl/theme/theme1.xml" Id="Rd2822e1e2f5b4d8d" /><Relationship Type="http://schemas.openxmlformats.org/officeDocument/2006/relationships/sharedStrings" Target="/xl/sharedStrings.xml" Id="R99239c02441e4cde" /><Relationship Type="http://schemas.openxmlformats.org/officeDocument/2006/relationships/worksheet" Target="/xl/worksheets/sheet1.xml" Id="R61090ee7ae0e464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ns0:worksheet xmlns:ns0="http://schemas.openxmlformats.org/spreadsheetml/2006/main">
  <ns0:sheetPr>
    <ns0:pageSetUpPr fitToPage="1"/>
  </ns0:sheetPr>
  <ns0:sheetViews>
    <ns0:sheetView showGridLines="0" workbookViewId="0">
      <ns0:pane ySplit="5" topLeftCell="A6" activePane="bottomLeft" state="frozen"/>
    </ns0:sheetView>
  </ns0:sheetViews>
  <ns0:sheetFormatPr defaultRowHeight="15"/>
  <ns0:cols>
    <ns0:col min="1" max="1" width="25" hidden="0" customWidth="1"/>
    <ns0:col min="2" max="2" width="32" hidden="0" customWidth="1"/>
    <ns0:col min="3" max="3" width="13" hidden="0" customWidth="1"/>
    <ns0:col min="4" max="4" width="15" hidden="0" customWidth="1"/>
    <ns0:col min="5" max="5" width="17" hidden="0" customWidth="1"/>
    <ns0:col min="6" max="6" width="22" hidden="0" customWidth="1"/>
  </ns0:cols>
  <ns0:sheetData>
    <ns0:row r="2" ht="28" customHeight="1">
      <ns0:c r="A2" s="8" t="str">
        <ns0:v>Preisermittlung Rohr DN150</ns0:v>
      </ns0:c>
      <ns0:c r="B2" s="8"/>
      <ns0:c r="C2" s="8"/>
      <ns0:c r="D2" s="8"/>
      <ns0:c r="E2" s="8"/>
      <ns0:c r="F2" s="8"/>
    </ns0:row>
    <ns0:row r="3" ht="28" customHeight="1">
      <ns0:c r="A3" s="6" t="str">
        <ns0:v>Rhume Tiefbau / Uwe Brinkmann | 2026-07-17</ns0:v>
      </ns0:c>
      <ns0:c r="B3" s="6"/>
      <ns0:c r="C3" s="6"/>
      <ns0:c r="D3" s="6"/>
      <ns0:c r="E3" s="6"/>
      <ns0:c r="F3" s="6"/>
    </ns0:row>
    <ns0:row r="4" ht="22" customHeight="1">
      <ns0:c r="A4" s="6"/>
      <ns0:c r="B4" s="6"/>
      <ns0:c r="C4" s="6"/>
      <ns0:c r="D4" s="6"/>
      <ns0:c r="E4" s="6"/>
      <ns0:c r="F4" s="6"/>
    </ns0:row>
    <ns0:row r="5" ht="38" customHeight="1">
      <ns0:c r="A5" s="10" t="str">
        <ns0:v>Bestandteil</ns0:v>
      </ns0:c>
      <ns0:c r="B5" s="10" t="str">
        <ns0:v>Bezug</ns0:v>
      </ns0:c>
      <ns0:c r="C5" s="10" t="str">
        <ns0:v>Einheit</ns0:v>
      </ns0:c>
      <ns0:c r="D5" s="10" t="str">
        <ns0:v>Ansatz je m</ns0:v>
      </ns0:c>
      <ns0:c r="E5" s="10" t="str">
        <ns0:v>Satz netto EUR</ns0:v>
      </ns0:c>
      <ns0:c r="F5" s="10" t="str">
        <ns0:v>Kosten je m EUR</ns0:v>
      </ns0:c>
    </ns0:row>
    <ns0:row r="6" ht="22" customHeight="1">
      <ns0:c r="A6" s="11" t="str">
        <ns0:v>Lohn</ns0:v>
      </ns0:c>
      <ns0:c r="B6" s="11" t="str">
        <ns0:v>Kolonne</ns0:v>
      </ns0:c>
      <ns0:c r="C6" s="11" t="str">
        <ns0:v>h</ns0:v>
      </ns0:c>
      <ns0:c r="D6" s="13" t="n">
        <ns0:v>0.6</ns0:v>
      </ns0:c>
      <ns0:c r="E6" s="13" t="n">
        <ns0:v>38</ns0:v>
      </ns0:c>
      <ns0:c r="F6" s="13" t="n">
        <ns0:f>ROUND(D6*E6,2)</ns0:f>
        <ns0:v>22.8</ns0:v>
      </ns0:c>
    </ns0:row>
    <ns0:row r="7" ht="22" customHeight="1">
      <ns0:c r="A7" s="7" t="str">
        <ns0:v>Rohrmaterial</ns0:v>
      </ns0:c>
      <ns0:c r="B7" s="7" t="str">
        <ns0:v>DN150</ns0:v>
      </ns0:c>
      <ns0:c r="C7" s="7" t="str">
        <ns0:v>m</ns0:v>
      </ns0:c>
      <ns0:c r="D7" s="14" t="n">
        <ns0:v>1</ns0:v>
      </ns0:c>
      <ns0:c r="E7" s="14" t="n">
        <ns0:v>34</ns0:v>
      </ns0:c>
      <ns0:c r="F7" s="14" t="n">
        <ns0:f>ROUND(D7*E7,2)</ns0:f>
        <ns0:v>34</ns0:v>
      </ns0:c>
    </ns0:row>
    <ns0:row r="8" ht="22" customHeight="1">
      <ns0:c r="A8" s="11" t="str">
        <ns0:v>Gerät</ns0:v>
      </ns0:c>
      <ns0:c r="B8" s="11" t="str">
        <ns0:v>Kleingerät</ns0:v>
      </ns0:c>
      <ns0:c r="C8" s="11" t="str">
        <ns0:v>h</ns0:v>
      </ns0:c>
      <ns0:c r="D8" s="13" t="n">
        <ns0:v>0.2</ns0:v>
      </ns0:c>
      <ns0:c r="E8" s="13" t="n">
        <ns0:v>48</ns0:v>
      </ns0:c>
      <ns0:c r="F8" s="13" t="n">
        <ns0:f>ROUND(D8*E8,2)</ns0:f>
        <ns0:v>9.6</ns0:v>
      </ns0:c>
    </ns0:row>
    <ns0:row r="9" ht="22" customHeight="1">
      <ns0:c r="A9" s="7" t="str">
        <ns0:v>Transport</ns0:v>
      </ns0:c>
      <ns0:c r="B9" s="7" t="str">
        <ns0:v>Zuordnung</ns0:v>
      </ns0:c>
      <ns0:c r="C9" s="7" t="str">
        <ns0:v>psch/m</ns0:v>
      </ns0:c>
      <ns0:c r="D9" s="14" t="n">
        <ns0:v>1</ns0:v>
      </ns0:c>
      <ns0:c r="E9" s="14" t="n">
        <ns0:v>6</ns0:v>
      </ns0:c>
      <ns0:c r="F9" s="14" t="n">
        <ns0:f>ROUND(D9*E9,2)</ns0:f>
        <ns0:v>6</ns0:v>
      </ns0:c>
    </ns0:row>
    <ns0:row r="10" ht="22" customHeight="1">
      <ns0:c r="A10" s="11" t="str">
        <ns0:v>Einzelkosten</ns0:v>
      </ns0:c>
      <ns0:c r="B10" s="11" t="str"/>
      <ns0:c r="C10" s="11" t="str"/>
      <ns0:c r="D10" s="13" t="str"/>
      <ns0:c r="E10" s="13" t="str"/>
      <ns0:c r="F10" s="13" t="n">
        <ns0:f>SUM(F6:F9)</ns0:f>
        <ns0:v>72.39999999999999</ns0:v>
      </ns0:c>
    </ns0:row>
    <ns0:row r="11" ht="22" customHeight="1">
      <ns0:c r="A11" s="7" t="str">
        <ns0:v>Zuschlag</ns0:v>
      </ns0:c>
      <ns0:c r="B11" s="15" t="n">
        <ns0:v>0.17</ns0:v>
      </ns0:c>
      <ns0:c r="C11" s="7" t="str"/>
      <ns0:c r="D11" s="14" t="str"/>
      <ns0:c r="E11" s="14" t="str"/>
      <ns0:c r="F11" s="14" t="n">
        <ns0:f>ROUND(F10*B11,2)</ns0:f>
        <ns0:v>12.31</ns0:v>
      </ns0:c>
    </ns0:row>
    <ns0:row r="12" ht="22" customHeight="1">
      <ns0:c r="A12" s="11" t="str">
        <ns0:v>Einheitspreis</ns0:v>
      </ns0:c>
      <ns0:c r="B12" s="11" t="str"/>
      <ns0:c r="C12" s="11" t="str"/>
      <ns0:c r="D12" s="13" t="str"/>
      <ns0:c r="E12" s="13" t="str"/>
      <ns0:c r="F12" s="13" t="n">
        <ns0:f>F10+F11</ns0:f>
        <ns0:v>84.71</ns0:v>
      </ns0:c>
    </ns0:row>
    <ns0:row r="13" ht="22" customHeight="1">
      <ns0:c r="A13" s="6"/>
      <ns0:c r="B13" s="6"/>
      <ns0:c r="C13" s="6"/>
      <ns0:c r="D13" s="6"/>
      <ns0:c r="E13" s="6"/>
      <ns0:c r="F13" s="6"/>
    </ns0:row>
    <ns0:row r="14" ht="22" customHeight="1">
      <ns0:c r="A14" s="6" t="str">
        <ns0:v>Zuschlag auf Einzelkosten einschließlich Baustellen- und Geschäftskosten sowie Wagnis/Gewinn.</ns0:v>
      </ns0:c>
      <ns0:c r="B14" s="6"/>
      <ns0:c r="C14" s="6"/>
      <ns0:c r="D14" s="6"/>
      <ns0:c r="E14" s="6"/>
      <ns0:c r="F14" s="6"/>
    </ns0:row>
    <ns0:row r="15" ht="22" customHeight="1">
      <ns0:c r="A15" s="6" t="str">
        <ns0:v>Preisermittlung zum Angebot 17.07.2026; gez. Uwe Brinkmann.</ns0:v>
      </ns0:c>
      <ns0:c r="B15" s="6"/>
      <ns0:c r="C15" s="6"/>
      <ns0:c r="D15" s="6"/>
      <ns0:c r="E15" s="6"/>
      <ns0:c r="F15" s="6"/>
    </ns0:row>
  </ns0:sheetData>
  <ns0:mergeCells>
    <ns0:mergeCell ref="A2:F2"/>
    <ns0:mergeCell ref="A3:F3"/>
    <ns0:mergeCell ref="A14:F14"/>
    <ns0:mergeCell ref="A15:F15"/>
  </ns0:mergeCells>
  <ns0:pageMargins left="0.3" right="0.3" top="0.4" bottom="0.4" header="0.2" footer="0.2"/>
  <ns0:pageSetup paperSize="9" orientation="landscape" fitToWidth="1" fitToHeight="1"/>
</ns0:worksheet>
</file>