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ssenstationen" sheetId="1" state="visible" r:id="rId3"/>
    <sheet name="Rohrlager" sheetId="2" state="visible" r:id="rId4"/>
    <sheet name="Preisregister" sheetId="3" state="visible" r:id="rId5"/>
  </sheets>
  <definedNames>
    <definedName function="false" hidden="false" localSheetId="2" name="_xlnm.Print_Area" vbProcedure="false">Preisregister!$A$1:$I$35</definedName>
    <definedName function="false" hidden="false" localSheetId="2" name="_xlnm.Print_Titles" vbProcedure="false">Preisregister!$8:$8</definedName>
    <definedName function="false" hidden="false" localSheetId="1" name="_xlnm.Print_Area" vbProcedure="false">Rohrlager!$A$1:$I$16</definedName>
    <definedName function="false" hidden="false" localSheetId="1" name="_xlnm.Print_Titles" vbProcedure="false">Rohrlager!$8:$8</definedName>
    <definedName function="false" hidden="false" localSheetId="0" name="_xlnm.Print_Area" vbProcedure="false">Trassenstationen!$A$1:$I$38</definedName>
    <definedName function="false" hidden="false" localSheetId="0" name="_xlnm.Print_Titles" vbProcedure="false">Trassenstationen!$8:$8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<sst xmlns="http://schemas.openxmlformats.org/spreadsheetml/2006/main" count="325" uniqueCount="134">
  <si>
    <t xml:space="preserve">Entwässerungsachsen nach Bestandsaufnahme</t>
  </si>
  <si>
    <t xml:space="preserve">Neues Stationsregister aus 06_Aufmass_Leitungsachsen.csv. Rechnerische 10-m-Teilung innerhalb der vier Achsen; kein zusätzliches Feldaufmaß. Stationierung je Abschnitt ab null.</t>
  </si>
  <si>
    <t xml:space="preserve">Uwe Brinkmann, Rhume Tiefbau GmbH, Stand 25.09.2026</t>
  </si>
  <si>
    <t xml:space="preserve">Positionen</t>
  </si>
  <si>
    <t xml:space="preserve">Teillänge m</t>
  </si>
  <si>
    <t xml:space="preserve">Registerkennung</t>
  </si>
  <si>
    <t xml:space="preserve">Abschnitt</t>
  </si>
  <si>
    <t xml:space="preserve">Anfang Achse</t>
  </si>
  <si>
    <t xml:space="preserve">Ende Achse</t>
  </si>
  <si>
    <t xml:space="preserve">Station von m</t>
  </si>
  <si>
    <t xml:space="preserve">Station bis m</t>
  </si>
  <si>
    <t xml:space="preserve">DN laut LV</t>
  </si>
  <si>
    <t xml:space="preserve">Planungsstand</t>
  </si>
  <si>
    <t xml:space="preserve">N1-01</t>
  </si>
  <si>
    <t xml:space="preserve">N1</t>
  </si>
  <si>
    <t xml:space="preserve">Schacht N1</t>
  </si>
  <si>
    <t xml:space="preserve">Schacht N2</t>
  </si>
  <si>
    <t xml:space="preserve">Nordzugang unverändert gewünscht</t>
  </si>
  <si>
    <t xml:space="preserve">N1-02</t>
  </si>
  <si>
    <t xml:space="preserve">N1-03</t>
  </si>
  <si>
    <t xml:space="preserve">N1-04</t>
  </si>
  <si>
    <t xml:space="preserve">N1-05</t>
  </si>
  <si>
    <t xml:space="preserve">N1-06</t>
  </si>
  <si>
    <t xml:space="preserve">N1-07</t>
  </si>
  <si>
    <t xml:space="preserve">N1-08</t>
  </si>
  <si>
    <t xml:space="preserve">N1-09</t>
  </si>
  <si>
    <t xml:space="preserve">S1-01</t>
  </si>
  <si>
    <t xml:space="preserve">S1</t>
  </si>
  <si>
    <t xml:space="preserve">Schacht S2</t>
  </si>
  <si>
    <t xml:space="preserve">DN200 in technischer Klärung</t>
  </si>
  <si>
    <t xml:space="preserve">S1-02</t>
  </si>
  <si>
    <t xml:space="preserve">S1-03</t>
  </si>
  <si>
    <t xml:space="preserve">S1-04</t>
  </si>
  <si>
    <t xml:space="preserve">S1-05</t>
  </si>
  <si>
    <t xml:space="preserve">S1-06</t>
  </si>
  <si>
    <t xml:space="preserve">S1-07</t>
  </si>
  <si>
    <t xml:space="preserve">S2-01</t>
  </si>
  <si>
    <t xml:space="preserve">S2</t>
  </si>
  <si>
    <t xml:space="preserve">Schacht S4</t>
  </si>
  <si>
    <t xml:space="preserve">S2-02</t>
  </si>
  <si>
    <t xml:space="preserve">S2-03</t>
  </si>
  <si>
    <t xml:space="preserve">S2-04</t>
  </si>
  <si>
    <t xml:space="preserve">S2-05</t>
  </si>
  <si>
    <t xml:space="preserve">S2-06</t>
  </si>
  <si>
    <t xml:space="preserve">S2-07</t>
  </si>
  <si>
    <t xml:space="preserve">S2-08</t>
  </si>
  <si>
    <t xml:space="preserve">N2-01</t>
  </si>
  <si>
    <t xml:space="preserve">N2</t>
  </si>
  <si>
    <t xml:space="preserve">Einleitung E1</t>
  </si>
  <si>
    <t xml:space="preserve">DN150-Stutzen E1</t>
  </si>
  <si>
    <t xml:space="preserve">N2-02</t>
  </si>
  <si>
    <t xml:space="preserve">N2-03</t>
  </si>
  <si>
    <t xml:space="preserve">N2-04</t>
  </si>
  <si>
    <t xml:space="preserve">N2-05</t>
  </si>
  <si>
    <t xml:space="preserve">N2-06</t>
  </si>
  <si>
    <t xml:space="preserve">DN150: Lagerbestand und Rücknahmeauskunft</t>
  </si>
  <si>
    <t xml:space="preserve">18_Lagerbestaende_DN150.csv und 19_Ruecknahmeauskunft_Rohrkontor.pdf. Bestand Lager Ost; Rücknahmebeträge unter Eingangsvorbehalt, bislang keine Gutschrift.</t>
  </si>
  <si>
    <t xml:space="preserve">Bestand m</t>
  </si>
  <si>
    <t xml:space="preserve">Materialwert EUR</t>
  </si>
  <si>
    <t xml:space="preserve">Rücknahmeangebot EUR</t>
  </si>
  <si>
    <t xml:space="preserve">Kennung</t>
  </si>
  <si>
    <t xml:space="preserve">Zustand</t>
  </si>
  <si>
    <t xml:space="preserve">Material EUR/m</t>
  </si>
  <si>
    <t xml:space="preserve">Bearbeitung</t>
  </si>
  <si>
    <t xml:space="preserve">Rücknahmestand</t>
  </si>
  <si>
    <t xml:space="preserve">Aufnahme</t>
  </si>
  <si>
    <t xml:space="preserve">B01</t>
  </si>
  <si>
    <t xml:space="preserve">Bund geschlossen</t>
  </si>
  <si>
    <t xml:space="preserve">nach unbeschädigtem Lagereingang</t>
  </si>
  <si>
    <t xml:space="preserve">B02</t>
  </si>
  <si>
    <t xml:space="preserve">B03</t>
  </si>
  <si>
    <t xml:space="preserve">B04</t>
  </si>
  <si>
    <t xml:space="preserve">B05</t>
  </si>
  <si>
    <t xml:space="preserve">O01</t>
  </si>
  <si>
    <t xml:space="preserve">geöffnet; ungekürzt; zwei Muffen verschmutzt</t>
  </si>
  <si>
    <t xml:space="preserve">Rücknahmepreis offen</t>
  </si>
  <si>
    <t xml:space="preserve">Z01</t>
  </si>
  <si>
    <t xml:space="preserve">zugeschnitten; nicht verlegt</t>
  </si>
  <si>
    <t xml:space="preserve">Vertrag, Preisermittlung und Angebot N03</t>
  </si>
  <si>
    <t xml:space="preserve">Neues Preisregister aus den genannten Originalen. Meterkalkulation und Gesamtbeträge getrennt bezeichnet. Angebot N03 für 280 m; Lieferpreise ohne Sonderübergang E1.</t>
  </si>
  <si>
    <t xml:space="preserve">Preisstand</t>
  </si>
  <si>
    <t xml:space="preserve">Kalkulation</t>
  </si>
  <si>
    <t xml:space="preserve">Bestandteil</t>
  </si>
  <si>
    <t xml:space="preserve">Einheit</t>
  </si>
  <si>
    <t xml:space="preserve">Menge / Ansatz</t>
  </si>
  <si>
    <t xml:space="preserve">Satz / Basis EUR</t>
  </si>
  <si>
    <t xml:space="preserve">Zuschlag</t>
  </si>
  <si>
    <t xml:space="preserve">Wert EUR</t>
  </si>
  <si>
    <t xml:space="preserve">Beleg</t>
  </si>
  <si>
    <t xml:space="preserve">LV T02</t>
  </si>
  <si>
    <t xml:space="preserve">01.010 Rohr DN150 einschließlich Bettung</t>
  </si>
  <si>
    <t xml:space="preserve">m</t>
  </si>
  <si>
    <t xml:space="preserve">02_Leistungsverzeichnis.pdf</t>
  </si>
  <si>
    <t xml:space="preserve">01.020 Kontrollschacht</t>
  </si>
  <si>
    <t xml:space="preserve">St</t>
  </si>
  <si>
    <t xml:space="preserve">02.010 Aushub Leitungsgraben</t>
  </si>
  <si>
    <t xml:space="preserve">m³</t>
  </si>
  <si>
    <t xml:space="preserve">02.020 Bodenabfuhr</t>
  </si>
  <si>
    <t xml:space="preserve">t</t>
  </si>
  <si>
    <t xml:space="preserve">03.010 Pflaster wiederherstellen</t>
  </si>
  <si>
    <t xml:space="preserve">m²</t>
  </si>
  <si>
    <t xml:space="preserve">04.010 Einrichtung und Verkehrssicherung</t>
  </si>
  <si>
    <t xml:space="preserve">psch</t>
  </si>
  <si>
    <t xml:space="preserve">DN150 je m</t>
  </si>
  <si>
    <t xml:space="preserve">Lohn</t>
  </si>
  <si>
    <t xml:space="preserve">h/m</t>
  </si>
  <si>
    <t xml:space="preserve">03_Urkalkulation_Rohr.xlsx</t>
  </si>
  <si>
    <t xml:space="preserve">Rohrmaterial DN150</t>
  </si>
  <si>
    <t xml:space="preserve">m/m</t>
  </si>
  <si>
    <t xml:space="preserve">Kleingerät</t>
  </si>
  <si>
    <t xml:space="preserve">Transport</t>
  </si>
  <si>
    <t xml:space="preserve">psch/m</t>
  </si>
  <si>
    <t xml:space="preserve">Zuschlag auf Einzelkosten</t>
  </si>
  <si>
    <t xml:space="preserve">je m</t>
  </si>
  <si>
    <t xml:space="preserve">Einheitspreis</t>
  </si>
  <si>
    <t xml:space="preserve">DN200 je m</t>
  </si>
  <si>
    <t xml:space="preserve">08_Nachtragsangebot_N03.xlsx</t>
  </si>
  <si>
    <t xml:space="preserve">Rohrmaterial DN200</t>
  </si>
  <si>
    <t xml:space="preserve">Gerät</t>
  </si>
  <si>
    <t xml:space="preserve">N03 gesamt</t>
  </si>
  <si>
    <t xml:space="preserve">Rohr DN200</t>
  </si>
  <si>
    <t xml:space="preserve">Entfall DN150</t>
  </si>
  <si>
    <t xml:space="preserve">Neue Einrichtung</t>
  </si>
  <si>
    <t xml:space="preserve">Wartezeit 22. bis 25.09.</t>
  </si>
  <si>
    <t xml:space="preserve">Tag</t>
  </si>
  <si>
    <t xml:space="preserve">RK-26221</t>
  </si>
  <si>
    <t xml:space="preserve">DN200 bei Abruf 280 m</t>
  </si>
  <si>
    <t xml:space="preserve">07_Lieferangebot_DN200.pdf</t>
  </si>
  <si>
    <t xml:space="preserve">DN200 bei Abruf 136 m</t>
  </si>
  <si>
    <t xml:space="preserve">Mehrforderung netto</t>
  </si>
  <si>
    <t xml:space="preserve">gesamt</t>
  </si>
  <si>
    <t xml:space="preserve">09_Begleitschreiben_N03.docx</t>
  </si>
  <si>
    <t xml:space="preserve">Umsatzsteuer</t>
  </si>
  <si>
    <t xml:space="preserve">Mehrforderung brutto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</si>
</sst>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7]#,##0.00\ ;\(#,##0.00&quot;) &quot;;&quot;– &quot;"/>
    <numFmt numFmtId="166" formatCode="\ @"/>
    <numFmt numFmtId="167" formatCode="0"/>
    <numFmt numFmtId="168" formatCode="[$-407]0.0%\ "/>
    <numFmt numFmtId="169" formatCode="dd\.mm\.yyyy\ 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5A6041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sz val="9"/>
      <color rgb="FF202D32"/>
      <name val="Arial"/>
      <family val="0"/>
      <charset val="1"/>
    </font>
    <font>
      <b val="true"/>
      <sz val="13"/>
      <color rgb="FF5A60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E9A"/>
      <name val="Arial"/>
      <family val="0"/>
      <charset val="1"/>
    </font>
    <font>
      <sz val="10"/>
      <color rgb="FF23704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6041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A604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2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1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ill>
        <patternFill patternType="solid">
          <fgColor rgb="FF5A6041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ill>
        <patternFill patternType="solid">
          <fgColor rgb="FF245E9A"/>
          <bgColor rgb="FF000000"/>
        </patternFill>
      </fill>
    </dxf>
    <dxf>
      <fill>
        <patternFill patternType="solid">
          <fgColor rgb="FF23704B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6" type="wholeTable"/>
      <tableStyleElement dxfId="7" type="firstColumnStripe"/>
      <tableStyleElement dxfId="8" type="firstRowStripe"/>
      <tableStyleElement dxfId="9" type="lastColumn"/>
      <tableStyleElement dxfId="10" type="firstColumn"/>
      <tableStyleElement dxfId="11" type="headerRow"/>
      <tableStyleElement dxfId="12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5A6041"/>
      <rgbColor rgb="FF9999FF"/>
      <rgbColor rgb="FF993366"/>
      <rgbColor rgb="FFF0F4F3"/>
      <rgbColor rgb="FFCCFFFF"/>
      <rgbColor rgb="FF660066"/>
      <rgbColor rgb="FFFF8080"/>
      <rgbColor rgb="FF245E9A"/>
      <rgbColor rgb="FFCCCCFF"/>
      <rgbColor rgb="FF000080"/>
      <rgbColor rgb="FFFF00FF"/>
      <rgbColor rgb="FFFFFF00"/>
      <rgbColor rgb="FF00FFFF"/>
      <rgbColor rgb="FF800080"/>
      <rgbColor rgb="FF800000"/>
      <rgbColor rgb="FF23704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10_1" displayName="Register10_1" ref="A8:I38" headerRowCount="1" totalsRowCount="0" totalsRowShown="0">
  <autoFilter ref="A8:I38"/>
  <tableColumns count="9">
    <tableColumn id="1" name="Registerkennung"/>
    <tableColumn id="2" name="Abschnitt"/>
    <tableColumn id="3" name="Anfang Achse"/>
    <tableColumn id="4" name="Ende Achse"/>
    <tableColumn id="5" name="Station von m"/>
    <tableColumn id="6" name="Station bis m"/>
    <tableColumn id="7" name="Teillänge m"/>
    <tableColumn id="8" name="DN laut LV"/>
    <tableColumn id="9" name="Planungsst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10_2" displayName="Register10_2" ref="A8:I16" headerRowCount="1" totalsRowCount="0" totalsRowShown="0">
  <autoFilter ref="A8:I16"/>
  <tableColumns count="9">
    <tableColumn id="1" name="Kennung"/>
    <tableColumn id="2" name="Zustand"/>
    <tableColumn id="3" name="Bestand m"/>
    <tableColumn id="4" name="Material EUR/m"/>
    <tableColumn id="5" name="Materialwert EUR"/>
    <tableColumn id="6" name="Bearbeitung"/>
    <tableColumn id="7" name="Rücknahmeangebot EUR"/>
    <tableColumn id="8" name="Rücknahmestand"/>
    <tableColumn id="9" name="Aufnah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10_3" displayName="Register10_3" ref="A8:I35" headerRowCount="1" totalsRowCount="0" totalsRowShown="0">
  <autoFilter ref="A8:I35"/>
  <tableColumns count="9">
    <tableColumn id="1" name="Preisstand"/>
    <tableColumn id="2" name="Kalkulation"/>
    <tableColumn id="3" name="Bestandteil"/>
    <tableColumn id="4" name="Einheit"/>
    <tableColumn id="5" name="Menge / Ansatz"/>
    <tableColumn id="6" name="Satz / Basis EUR"/>
    <tableColumn id="7" name="Zuschlag"/>
    <tableColumn id="8" name="Wert EUR"/>
    <tableColumn id="9" name="Bele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041"/>
    <pageSetUpPr fitToPage="tru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4" min="3" style="0" width="22"/>
    <col collapsed="false" customWidth="true" hidden="false" outlineLevel="0" max="6" min="5" style="0" width="18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38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5" t="s">
        <v>4</v>
      </c>
      <c r="H4" s="4"/>
      <c r="I4" s="4"/>
    </row>
    <row r="5" customFormat="false" ht="29" hidden="false" customHeight="true" outlineLevel="0" collapsed="false">
      <c r="A5" s="6" t="n">
        <v>30</v>
      </c>
      <c r="B5" s="6"/>
      <c r="C5" s="6"/>
      <c r="D5" s="6"/>
      <c r="E5" s="6"/>
      <c r="F5" s="6"/>
      <c r="G5" s="7" t="n">
        <f aca="false">SUM(G9:G38)</f>
        <v>280</v>
      </c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4</v>
      </c>
      <c r="H8" s="8" t="s">
        <v>11</v>
      </c>
      <c r="I8" s="8" t="s">
        <v>12</v>
      </c>
    </row>
    <row r="9" customFormat="false" ht="22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10" t="n">
        <v>0</v>
      </c>
      <c r="F9" s="10" t="n">
        <v>10</v>
      </c>
      <c r="G9" s="10" t="n">
        <f aca="false">F9-E9</f>
        <v>10</v>
      </c>
      <c r="H9" s="11" t="n">
        <v>150</v>
      </c>
      <c r="I9" s="9" t="s">
        <v>17</v>
      </c>
    </row>
    <row r="10" customFormat="false" ht="22" hidden="false" customHeight="true" outlineLevel="0" collapsed="false">
      <c r="A10" s="12" t="s">
        <v>18</v>
      </c>
      <c r="B10" s="12" t="s">
        <v>14</v>
      </c>
      <c r="C10" s="12" t="s">
        <v>15</v>
      </c>
      <c r="D10" s="12" t="s">
        <v>16</v>
      </c>
      <c r="E10" s="13" t="n">
        <v>10</v>
      </c>
      <c r="F10" s="13" t="n">
        <v>20</v>
      </c>
      <c r="G10" s="13" t="n">
        <f aca="false">F10-E10</f>
        <v>10</v>
      </c>
      <c r="H10" s="14" t="n">
        <v>150</v>
      </c>
      <c r="I10" s="12" t="s">
        <v>17</v>
      </c>
    </row>
    <row r="11" customFormat="false" ht="22" hidden="false" customHeight="true" outlineLevel="0" collapsed="false">
      <c r="A11" s="9" t="s">
        <v>19</v>
      </c>
      <c r="B11" s="9" t="s">
        <v>14</v>
      </c>
      <c r="C11" s="9" t="s">
        <v>15</v>
      </c>
      <c r="D11" s="9" t="s">
        <v>16</v>
      </c>
      <c r="E11" s="10" t="n">
        <v>20</v>
      </c>
      <c r="F11" s="10" t="n">
        <v>30</v>
      </c>
      <c r="G11" s="10" t="n">
        <f aca="false">F11-E11</f>
        <v>10</v>
      </c>
      <c r="H11" s="11" t="n">
        <v>150</v>
      </c>
      <c r="I11" s="9" t="s">
        <v>17</v>
      </c>
    </row>
    <row r="12" customFormat="false" ht="22" hidden="false" customHeight="true" outlineLevel="0" collapsed="false">
      <c r="A12" s="12" t="s">
        <v>20</v>
      </c>
      <c r="B12" s="12" t="s">
        <v>14</v>
      </c>
      <c r="C12" s="12" t="s">
        <v>15</v>
      </c>
      <c r="D12" s="12" t="s">
        <v>16</v>
      </c>
      <c r="E12" s="13" t="n">
        <v>30</v>
      </c>
      <c r="F12" s="13" t="n">
        <v>40</v>
      </c>
      <c r="G12" s="13" t="n">
        <f aca="false">F12-E12</f>
        <v>10</v>
      </c>
      <c r="H12" s="14" t="n">
        <v>150</v>
      </c>
      <c r="I12" s="12" t="s">
        <v>17</v>
      </c>
    </row>
    <row r="13" customFormat="false" ht="22" hidden="false" customHeight="true" outlineLevel="0" collapsed="false">
      <c r="A13" s="9" t="s">
        <v>21</v>
      </c>
      <c r="B13" s="9" t="s">
        <v>14</v>
      </c>
      <c r="C13" s="9" t="s">
        <v>15</v>
      </c>
      <c r="D13" s="9" t="s">
        <v>16</v>
      </c>
      <c r="E13" s="10" t="n">
        <v>40</v>
      </c>
      <c r="F13" s="10" t="n">
        <v>50</v>
      </c>
      <c r="G13" s="10" t="n">
        <f aca="false">F13-E13</f>
        <v>10</v>
      </c>
      <c r="H13" s="11" t="n">
        <v>150</v>
      </c>
      <c r="I13" s="9" t="s">
        <v>17</v>
      </c>
    </row>
    <row r="14" customFormat="false" ht="22" hidden="false" customHeight="true" outlineLevel="0" collapsed="false">
      <c r="A14" s="12" t="s">
        <v>22</v>
      </c>
      <c r="B14" s="12" t="s">
        <v>14</v>
      </c>
      <c r="C14" s="12" t="s">
        <v>15</v>
      </c>
      <c r="D14" s="12" t="s">
        <v>16</v>
      </c>
      <c r="E14" s="13" t="n">
        <v>50</v>
      </c>
      <c r="F14" s="13" t="n">
        <v>60</v>
      </c>
      <c r="G14" s="13" t="n">
        <f aca="false">F14-E14</f>
        <v>10</v>
      </c>
      <c r="H14" s="14" t="n">
        <v>150</v>
      </c>
      <c r="I14" s="12" t="s">
        <v>17</v>
      </c>
    </row>
    <row r="15" customFormat="false" ht="22" hidden="false" customHeight="true" outlineLevel="0" collapsed="false">
      <c r="A15" s="9" t="s">
        <v>23</v>
      </c>
      <c r="B15" s="9" t="s">
        <v>14</v>
      </c>
      <c r="C15" s="9" t="s">
        <v>15</v>
      </c>
      <c r="D15" s="9" t="s">
        <v>16</v>
      </c>
      <c r="E15" s="10" t="n">
        <v>60</v>
      </c>
      <c r="F15" s="10" t="n">
        <v>70</v>
      </c>
      <c r="G15" s="10" t="n">
        <f aca="false">F15-E15</f>
        <v>10</v>
      </c>
      <c r="H15" s="11" t="n">
        <v>150</v>
      </c>
      <c r="I15" s="9" t="s">
        <v>17</v>
      </c>
    </row>
    <row r="16" customFormat="false" ht="22" hidden="false" customHeight="true" outlineLevel="0" collapsed="false">
      <c r="A16" s="12" t="s">
        <v>24</v>
      </c>
      <c r="B16" s="12" t="s">
        <v>14</v>
      </c>
      <c r="C16" s="12" t="s">
        <v>15</v>
      </c>
      <c r="D16" s="12" t="s">
        <v>16</v>
      </c>
      <c r="E16" s="13" t="n">
        <v>70</v>
      </c>
      <c r="F16" s="13" t="n">
        <v>80</v>
      </c>
      <c r="G16" s="13" t="n">
        <f aca="false">F16-E16</f>
        <v>10</v>
      </c>
      <c r="H16" s="14" t="n">
        <v>150</v>
      </c>
      <c r="I16" s="12" t="s">
        <v>17</v>
      </c>
    </row>
    <row r="17" customFormat="false" ht="22" hidden="false" customHeight="true" outlineLevel="0" collapsed="false">
      <c r="A17" s="9" t="s">
        <v>25</v>
      </c>
      <c r="B17" s="9" t="s">
        <v>14</v>
      </c>
      <c r="C17" s="9" t="s">
        <v>15</v>
      </c>
      <c r="D17" s="9" t="s">
        <v>16</v>
      </c>
      <c r="E17" s="10" t="n">
        <v>80</v>
      </c>
      <c r="F17" s="10" t="n">
        <v>86</v>
      </c>
      <c r="G17" s="10" t="n">
        <f aca="false">F17-E17</f>
        <v>6</v>
      </c>
      <c r="H17" s="11" t="n">
        <v>150</v>
      </c>
      <c r="I17" s="9" t="s">
        <v>17</v>
      </c>
    </row>
    <row r="18" customFormat="false" ht="22" hidden="false" customHeight="true" outlineLevel="0" collapsed="false">
      <c r="A18" s="12" t="s">
        <v>26</v>
      </c>
      <c r="B18" s="12" t="s">
        <v>27</v>
      </c>
      <c r="C18" s="12" t="s">
        <v>16</v>
      </c>
      <c r="D18" s="12" t="s">
        <v>28</v>
      </c>
      <c r="E18" s="13" t="n">
        <v>0</v>
      </c>
      <c r="F18" s="13" t="n">
        <v>10</v>
      </c>
      <c r="G18" s="13" t="n">
        <f aca="false">F18-E18</f>
        <v>10</v>
      </c>
      <c r="H18" s="14" t="n">
        <v>150</v>
      </c>
      <c r="I18" s="12" t="s">
        <v>29</v>
      </c>
    </row>
    <row r="19" customFormat="false" ht="22" hidden="false" customHeight="true" outlineLevel="0" collapsed="false">
      <c r="A19" s="9" t="s">
        <v>30</v>
      </c>
      <c r="B19" s="9" t="s">
        <v>27</v>
      </c>
      <c r="C19" s="9" t="s">
        <v>16</v>
      </c>
      <c r="D19" s="9" t="s">
        <v>28</v>
      </c>
      <c r="E19" s="10" t="n">
        <v>10</v>
      </c>
      <c r="F19" s="10" t="n">
        <v>20</v>
      </c>
      <c r="G19" s="10" t="n">
        <f aca="false">F19-E19</f>
        <v>10</v>
      </c>
      <c r="H19" s="11" t="n">
        <v>150</v>
      </c>
      <c r="I19" s="9" t="s">
        <v>29</v>
      </c>
    </row>
    <row r="20" customFormat="false" ht="22" hidden="false" customHeight="true" outlineLevel="0" collapsed="false">
      <c r="A20" s="12" t="s">
        <v>31</v>
      </c>
      <c r="B20" s="12" t="s">
        <v>27</v>
      </c>
      <c r="C20" s="12" t="s">
        <v>16</v>
      </c>
      <c r="D20" s="12" t="s">
        <v>28</v>
      </c>
      <c r="E20" s="13" t="n">
        <v>20</v>
      </c>
      <c r="F20" s="13" t="n">
        <v>30</v>
      </c>
      <c r="G20" s="13" t="n">
        <f aca="false">F20-E20</f>
        <v>10</v>
      </c>
      <c r="H20" s="14" t="n">
        <v>150</v>
      </c>
      <c r="I20" s="12" t="s">
        <v>29</v>
      </c>
    </row>
    <row r="21" customFormat="false" ht="22" hidden="false" customHeight="true" outlineLevel="0" collapsed="false">
      <c r="A21" s="9" t="s">
        <v>32</v>
      </c>
      <c r="B21" s="9" t="s">
        <v>27</v>
      </c>
      <c r="C21" s="9" t="s">
        <v>16</v>
      </c>
      <c r="D21" s="9" t="s">
        <v>28</v>
      </c>
      <c r="E21" s="10" t="n">
        <v>30</v>
      </c>
      <c r="F21" s="10" t="n">
        <v>40</v>
      </c>
      <c r="G21" s="10" t="n">
        <f aca="false">F21-E21</f>
        <v>10</v>
      </c>
      <c r="H21" s="11" t="n">
        <v>150</v>
      </c>
      <c r="I21" s="9" t="s">
        <v>29</v>
      </c>
    </row>
    <row r="22" customFormat="false" ht="22" hidden="false" customHeight="true" outlineLevel="0" collapsed="false">
      <c r="A22" s="12" t="s">
        <v>33</v>
      </c>
      <c r="B22" s="12" t="s">
        <v>27</v>
      </c>
      <c r="C22" s="12" t="s">
        <v>16</v>
      </c>
      <c r="D22" s="12" t="s">
        <v>28</v>
      </c>
      <c r="E22" s="13" t="n">
        <v>40</v>
      </c>
      <c r="F22" s="13" t="n">
        <v>50</v>
      </c>
      <c r="G22" s="13" t="n">
        <f aca="false">F22-E22</f>
        <v>10</v>
      </c>
      <c r="H22" s="14" t="n">
        <v>150</v>
      </c>
      <c r="I22" s="12" t="s">
        <v>29</v>
      </c>
    </row>
    <row r="23" customFormat="false" ht="22" hidden="false" customHeight="true" outlineLevel="0" collapsed="false">
      <c r="A23" s="9" t="s">
        <v>34</v>
      </c>
      <c r="B23" s="9" t="s">
        <v>27</v>
      </c>
      <c r="C23" s="9" t="s">
        <v>16</v>
      </c>
      <c r="D23" s="9" t="s">
        <v>28</v>
      </c>
      <c r="E23" s="10" t="n">
        <v>50</v>
      </c>
      <c r="F23" s="10" t="n">
        <v>60</v>
      </c>
      <c r="G23" s="10" t="n">
        <f aca="false">F23-E23</f>
        <v>10</v>
      </c>
      <c r="H23" s="11" t="n">
        <v>150</v>
      </c>
      <c r="I23" s="9" t="s">
        <v>29</v>
      </c>
    </row>
    <row r="24" customFormat="false" ht="22" hidden="false" customHeight="true" outlineLevel="0" collapsed="false">
      <c r="A24" s="12" t="s">
        <v>35</v>
      </c>
      <c r="B24" s="12" t="s">
        <v>27</v>
      </c>
      <c r="C24" s="12" t="s">
        <v>16</v>
      </c>
      <c r="D24" s="12" t="s">
        <v>28</v>
      </c>
      <c r="E24" s="13" t="n">
        <v>60</v>
      </c>
      <c r="F24" s="13" t="n">
        <v>64</v>
      </c>
      <c r="G24" s="13" t="n">
        <f aca="false">F24-E24</f>
        <v>4</v>
      </c>
      <c r="H24" s="14" t="n">
        <v>150</v>
      </c>
      <c r="I24" s="12" t="s">
        <v>29</v>
      </c>
    </row>
    <row r="25" customFormat="false" ht="22" hidden="false" customHeight="true" outlineLevel="0" collapsed="false">
      <c r="A25" s="9" t="s">
        <v>36</v>
      </c>
      <c r="B25" s="9" t="s">
        <v>37</v>
      </c>
      <c r="C25" s="9" t="s">
        <v>28</v>
      </c>
      <c r="D25" s="9" t="s">
        <v>38</v>
      </c>
      <c r="E25" s="10" t="n">
        <v>0</v>
      </c>
      <c r="F25" s="10" t="n">
        <v>10</v>
      </c>
      <c r="G25" s="10" t="n">
        <f aca="false">F25-E25</f>
        <v>10</v>
      </c>
      <c r="H25" s="11" t="n">
        <v>150</v>
      </c>
      <c r="I25" s="9" t="s">
        <v>29</v>
      </c>
    </row>
    <row r="26" customFormat="false" ht="22" hidden="false" customHeight="true" outlineLevel="0" collapsed="false">
      <c r="A26" s="12" t="s">
        <v>39</v>
      </c>
      <c r="B26" s="12" t="s">
        <v>37</v>
      </c>
      <c r="C26" s="12" t="s">
        <v>28</v>
      </c>
      <c r="D26" s="12" t="s">
        <v>38</v>
      </c>
      <c r="E26" s="13" t="n">
        <v>10</v>
      </c>
      <c r="F26" s="13" t="n">
        <v>20</v>
      </c>
      <c r="G26" s="13" t="n">
        <f aca="false">F26-E26</f>
        <v>10</v>
      </c>
      <c r="H26" s="14" t="n">
        <v>150</v>
      </c>
      <c r="I26" s="12" t="s">
        <v>29</v>
      </c>
    </row>
    <row r="27" customFormat="false" ht="22" hidden="false" customHeight="true" outlineLevel="0" collapsed="false">
      <c r="A27" s="9" t="s">
        <v>40</v>
      </c>
      <c r="B27" s="9" t="s">
        <v>37</v>
      </c>
      <c r="C27" s="9" t="s">
        <v>28</v>
      </c>
      <c r="D27" s="9" t="s">
        <v>38</v>
      </c>
      <c r="E27" s="10" t="n">
        <v>20</v>
      </c>
      <c r="F27" s="10" t="n">
        <v>30</v>
      </c>
      <c r="G27" s="10" t="n">
        <f aca="false">F27-E27</f>
        <v>10</v>
      </c>
      <c r="H27" s="11" t="n">
        <v>150</v>
      </c>
      <c r="I27" s="9" t="s">
        <v>29</v>
      </c>
    </row>
    <row r="28" customFormat="false" ht="22" hidden="false" customHeight="true" outlineLevel="0" collapsed="false">
      <c r="A28" s="12" t="s">
        <v>41</v>
      </c>
      <c r="B28" s="12" t="s">
        <v>37</v>
      </c>
      <c r="C28" s="12" t="s">
        <v>28</v>
      </c>
      <c r="D28" s="12" t="s">
        <v>38</v>
      </c>
      <c r="E28" s="13" t="n">
        <v>30</v>
      </c>
      <c r="F28" s="13" t="n">
        <v>40</v>
      </c>
      <c r="G28" s="13" t="n">
        <f aca="false">F28-E28</f>
        <v>10</v>
      </c>
      <c r="H28" s="14" t="n">
        <v>150</v>
      </c>
      <c r="I28" s="12" t="s">
        <v>29</v>
      </c>
    </row>
    <row r="29" customFormat="false" ht="22" hidden="false" customHeight="true" outlineLevel="0" collapsed="false">
      <c r="A29" s="9" t="s">
        <v>42</v>
      </c>
      <c r="B29" s="9" t="s">
        <v>37</v>
      </c>
      <c r="C29" s="9" t="s">
        <v>28</v>
      </c>
      <c r="D29" s="9" t="s">
        <v>38</v>
      </c>
      <c r="E29" s="10" t="n">
        <v>40</v>
      </c>
      <c r="F29" s="10" t="n">
        <v>50</v>
      </c>
      <c r="G29" s="10" t="n">
        <f aca="false">F29-E29</f>
        <v>10</v>
      </c>
      <c r="H29" s="11" t="n">
        <v>150</v>
      </c>
      <c r="I29" s="9" t="s">
        <v>29</v>
      </c>
    </row>
    <row r="30" customFormat="false" ht="22" hidden="false" customHeight="true" outlineLevel="0" collapsed="false">
      <c r="A30" s="12" t="s">
        <v>43</v>
      </c>
      <c r="B30" s="12" t="s">
        <v>37</v>
      </c>
      <c r="C30" s="12" t="s">
        <v>28</v>
      </c>
      <c r="D30" s="12" t="s">
        <v>38</v>
      </c>
      <c r="E30" s="13" t="n">
        <v>50</v>
      </c>
      <c r="F30" s="13" t="n">
        <v>60</v>
      </c>
      <c r="G30" s="13" t="n">
        <f aca="false">F30-E30</f>
        <v>10</v>
      </c>
      <c r="H30" s="14" t="n">
        <v>150</v>
      </c>
      <c r="I30" s="12" t="s">
        <v>29</v>
      </c>
    </row>
    <row r="31" customFormat="false" ht="22" hidden="false" customHeight="true" outlineLevel="0" collapsed="false">
      <c r="A31" s="9" t="s">
        <v>44</v>
      </c>
      <c r="B31" s="9" t="s">
        <v>37</v>
      </c>
      <c r="C31" s="9" t="s">
        <v>28</v>
      </c>
      <c r="D31" s="9" t="s">
        <v>38</v>
      </c>
      <c r="E31" s="10" t="n">
        <v>60</v>
      </c>
      <c r="F31" s="10" t="n">
        <v>70</v>
      </c>
      <c r="G31" s="10" t="n">
        <f aca="false">F31-E31</f>
        <v>10</v>
      </c>
      <c r="H31" s="11" t="n">
        <v>150</v>
      </c>
      <c r="I31" s="9" t="s">
        <v>29</v>
      </c>
    </row>
    <row r="32" customFormat="false" ht="22" hidden="false" customHeight="true" outlineLevel="0" collapsed="false">
      <c r="A32" s="12" t="s">
        <v>45</v>
      </c>
      <c r="B32" s="12" t="s">
        <v>37</v>
      </c>
      <c r="C32" s="12" t="s">
        <v>28</v>
      </c>
      <c r="D32" s="12" t="s">
        <v>38</v>
      </c>
      <c r="E32" s="13" t="n">
        <v>70</v>
      </c>
      <c r="F32" s="13" t="n">
        <v>72</v>
      </c>
      <c r="G32" s="13" t="n">
        <f aca="false">F32-E32</f>
        <v>2</v>
      </c>
      <c r="H32" s="14" t="n">
        <v>150</v>
      </c>
      <c r="I32" s="12" t="s">
        <v>29</v>
      </c>
    </row>
    <row r="33" customFormat="false" ht="22" hidden="false" customHeight="true" outlineLevel="0" collapsed="false">
      <c r="A33" s="9" t="s">
        <v>46</v>
      </c>
      <c r="B33" s="9" t="s">
        <v>47</v>
      </c>
      <c r="C33" s="9" t="s">
        <v>38</v>
      </c>
      <c r="D33" s="9" t="s">
        <v>48</v>
      </c>
      <c r="E33" s="10" t="n">
        <v>0</v>
      </c>
      <c r="F33" s="10" t="n">
        <v>10</v>
      </c>
      <c r="G33" s="10" t="n">
        <f aca="false">F33-E33</f>
        <v>10</v>
      </c>
      <c r="H33" s="11" t="n">
        <v>150</v>
      </c>
      <c r="I33" s="9" t="s">
        <v>49</v>
      </c>
    </row>
    <row r="34" customFormat="false" ht="22" hidden="false" customHeight="true" outlineLevel="0" collapsed="false">
      <c r="A34" s="12" t="s">
        <v>50</v>
      </c>
      <c r="B34" s="12" t="s">
        <v>47</v>
      </c>
      <c r="C34" s="12" t="s">
        <v>38</v>
      </c>
      <c r="D34" s="12" t="s">
        <v>48</v>
      </c>
      <c r="E34" s="13" t="n">
        <v>10</v>
      </c>
      <c r="F34" s="13" t="n">
        <v>20</v>
      </c>
      <c r="G34" s="13" t="n">
        <f aca="false">F34-E34</f>
        <v>10</v>
      </c>
      <c r="H34" s="14" t="n">
        <v>150</v>
      </c>
      <c r="I34" s="12" t="s">
        <v>49</v>
      </c>
    </row>
    <row r="35" customFormat="false" ht="22" hidden="false" customHeight="true" outlineLevel="0" collapsed="false">
      <c r="A35" s="9" t="s">
        <v>51</v>
      </c>
      <c r="B35" s="9" t="s">
        <v>47</v>
      </c>
      <c r="C35" s="9" t="s">
        <v>38</v>
      </c>
      <c r="D35" s="9" t="s">
        <v>48</v>
      </c>
      <c r="E35" s="10" t="n">
        <v>20</v>
      </c>
      <c r="F35" s="10" t="n">
        <v>30</v>
      </c>
      <c r="G35" s="10" t="n">
        <f aca="false">F35-E35</f>
        <v>10</v>
      </c>
      <c r="H35" s="11" t="n">
        <v>150</v>
      </c>
      <c r="I35" s="9" t="s">
        <v>49</v>
      </c>
    </row>
    <row r="36" customFormat="false" ht="22" hidden="false" customHeight="true" outlineLevel="0" collapsed="false">
      <c r="A36" s="12" t="s">
        <v>52</v>
      </c>
      <c r="B36" s="12" t="s">
        <v>47</v>
      </c>
      <c r="C36" s="12" t="s">
        <v>38</v>
      </c>
      <c r="D36" s="12" t="s">
        <v>48</v>
      </c>
      <c r="E36" s="13" t="n">
        <v>30</v>
      </c>
      <c r="F36" s="13" t="n">
        <v>40</v>
      </c>
      <c r="G36" s="13" t="n">
        <f aca="false">F36-E36</f>
        <v>10</v>
      </c>
      <c r="H36" s="14" t="n">
        <v>150</v>
      </c>
      <c r="I36" s="12" t="s">
        <v>49</v>
      </c>
    </row>
    <row r="37" customFormat="false" ht="22" hidden="false" customHeight="true" outlineLevel="0" collapsed="false">
      <c r="A37" s="9" t="s">
        <v>53</v>
      </c>
      <c r="B37" s="9" t="s">
        <v>47</v>
      </c>
      <c r="C37" s="9" t="s">
        <v>38</v>
      </c>
      <c r="D37" s="9" t="s">
        <v>48</v>
      </c>
      <c r="E37" s="10" t="n">
        <v>40</v>
      </c>
      <c r="F37" s="10" t="n">
        <v>50</v>
      </c>
      <c r="G37" s="10" t="n">
        <f aca="false">F37-E37</f>
        <v>10</v>
      </c>
      <c r="H37" s="11" t="n">
        <v>150</v>
      </c>
      <c r="I37" s="9" t="s">
        <v>49</v>
      </c>
    </row>
    <row r="38" customFormat="false" ht="22" hidden="false" customHeight="true" outlineLevel="0" collapsed="false">
      <c r="A38" s="12" t="s">
        <v>54</v>
      </c>
      <c r="B38" s="12" t="s">
        <v>47</v>
      </c>
      <c r="C38" s="12" t="s">
        <v>38</v>
      </c>
      <c r="D38" s="12" t="s">
        <v>48</v>
      </c>
      <c r="E38" s="13" t="n">
        <v>50</v>
      </c>
      <c r="F38" s="13" t="n">
        <v>58</v>
      </c>
      <c r="G38" s="13" t="n">
        <f aca="false">F38-E38</f>
        <v>8</v>
      </c>
      <c r="H38" s="14" t="n">
        <v>150</v>
      </c>
      <c r="I38" s="12" t="s">
        <v>49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7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21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9" min="9" style="0" width="15"/>
  </cols>
  <sheetData>
    <row r="1" customFormat="false" ht="34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5" t="s">
        <v>57</v>
      </c>
      <c r="D4" s="4"/>
      <c r="E4" s="5" t="s">
        <v>58</v>
      </c>
      <c r="F4" s="4"/>
      <c r="G4" s="5" t="s">
        <v>59</v>
      </c>
      <c r="H4" s="4"/>
      <c r="I4" s="4"/>
    </row>
    <row r="5" customFormat="false" ht="29" hidden="false" customHeight="true" outlineLevel="0" collapsed="false">
      <c r="A5" s="6" t="n">
        <v>8</v>
      </c>
      <c r="B5" s="6"/>
      <c r="C5" s="7" t="n">
        <f aca="false">SUM(C9:C16)</f>
        <v>300</v>
      </c>
      <c r="D5" s="6"/>
      <c r="E5" s="7" t="n">
        <f aca="false">SUM(E9:E16)</f>
        <v>10200</v>
      </c>
      <c r="F5" s="6"/>
      <c r="G5" s="7" t="n">
        <f aca="false">SUM(G9:G16)</f>
        <v>7344</v>
      </c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60</v>
      </c>
      <c r="B8" s="8" t="s">
        <v>61</v>
      </c>
      <c r="C8" s="8" t="s">
        <v>57</v>
      </c>
      <c r="D8" s="8" t="s">
        <v>62</v>
      </c>
      <c r="E8" s="8" t="s">
        <v>58</v>
      </c>
      <c r="F8" s="8" t="s">
        <v>63</v>
      </c>
      <c r="G8" s="8" t="s">
        <v>59</v>
      </c>
      <c r="H8" s="8" t="s">
        <v>64</v>
      </c>
      <c r="I8" s="8" t="s">
        <v>65</v>
      </c>
    </row>
    <row r="9" customFormat="false" ht="22" hidden="false" customHeight="true" outlineLevel="0" collapsed="false">
      <c r="A9" s="9" t="s">
        <v>66</v>
      </c>
      <c r="B9" s="9" t="s">
        <v>67</v>
      </c>
      <c r="C9" s="15" t="n">
        <v>40</v>
      </c>
      <c r="D9" s="16" t="n">
        <f aca="false">Preisregister!F16</f>
        <v>34</v>
      </c>
      <c r="E9" s="10" t="n">
        <f aca="false">ROUND(C9*D9,2)</f>
        <v>1360</v>
      </c>
      <c r="F9" s="17" t="n">
        <v>0.1</v>
      </c>
      <c r="G9" s="10" t="n">
        <f aca="false">ROUND(E9*(1-F9),2)</f>
        <v>1224</v>
      </c>
      <c r="H9" s="9" t="s">
        <v>68</v>
      </c>
      <c r="I9" s="18" t="n">
        <v>46289</v>
      </c>
    </row>
    <row r="10" customFormat="false" ht="22" hidden="false" customHeight="true" outlineLevel="0" collapsed="false">
      <c r="A10" s="12" t="s">
        <v>69</v>
      </c>
      <c r="B10" s="12" t="s">
        <v>67</v>
      </c>
      <c r="C10" s="19" t="n">
        <v>40</v>
      </c>
      <c r="D10" s="20" t="n">
        <f aca="false">Preisregister!F16</f>
        <v>34</v>
      </c>
      <c r="E10" s="13" t="n">
        <f aca="false">ROUND(C10*D10,2)</f>
        <v>1360</v>
      </c>
      <c r="F10" s="21" t="n">
        <v>0.1</v>
      </c>
      <c r="G10" s="13" t="n">
        <f aca="false">ROUND(E10*(1-F10),2)</f>
        <v>1224</v>
      </c>
      <c r="H10" s="12" t="s">
        <v>68</v>
      </c>
      <c r="I10" s="22" t="n">
        <v>46289</v>
      </c>
    </row>
    <row r="11" customFormat="false" ht="22" hidden="false" customHeight="true" outlineLevel="0" collapsed="false">
      <c r="A11" s="9" t="s">
        <v>70</v>
      </c>
      <c r="B11" s="9" t="s">
        <v>67</v>
      </c>
      <c r="C11" s="15" t="n">
        <v>40</v>
      </c>
      <c r="D11" s="16" t="n">
        <f aca="false">Preisregister!F16</f>
        <v>34</v>
      </c>
      <c r="E11" s="10" t="n">
        <f aca="false">ROUND(C11*D11,2)</f>
        <v>1360</v>
      </c>
      <c r="F11" s="17" t="n">
        <v>0.1</v>
      </c>
      <c r="G11" s="10" t="n">
        <f aca="false">ROUND(E11*(1-F11),2)</f>
        <v>1224</v>
      </c>
      <c r="H11" s="9" t="s">
        <v>68</v>
      </c>
      <c r="I11" s="18" t="n">
        <v>46289</v>
      </c>
    </row>
    <row r="12" customFormat="false" ht="22" hidden="false" customHeight="true" outlineLevel="0" collapsed="false">
      <c r="A12" s="12" t="s">
        <v>71</v>
      </c>
      <c r="B12" s="12" t="s">
        <v>67</v>
      </c>
      <c r="C12" s="19" t="n">
        <v>40</v>
      </c>
      <c r="D12" s="20" t="n">
        <f aca="false">Preisregister!F16</f>
        <v>34</v>
      </c>
      <c r="E12" s="13" t="n">
        <f aca="false">ROUND(C12*D12,2)</f>
        <v>1360</v>
      </c>
      <c r="F12" s="21" t="n">
        <v>0.1</v>
      </c>
      <c r="G12" s="13" t="n">
        <f aca="false">ROUND(E12*(1-F12),2)</f>
        <v>1224</v>
      </c>
      <c r="H12" s="12" t="s">
        <v>68</v>
      </c>
      <c r="I12" s="22" t="n">
        <v>46289</v>
      </c>
    </row>
    <row r="13" customFormat="false" ht="22" hidden="false" customHeight="true" outlineLevel="0" collapsed="false">
      <c r="A13" s="9" t="s">
        <v>72</v>
      </c>
      <c r="B13" s="9" t="s">
        <v>67</v>
      </c>
      <c r="C13" s="15" t="n">
        <v>40</v>
      </c>
      <c r="D13" s="16" t="n">
        <f aca="false">Preisregister!F16</f>
        <v>34</v>
      </c>
      <c r="E13" s="10" t="n">
        <f aca="false">ROUND(C13*D13,2)</f>
        <v>1360</v>
      </c>
      <c r="F13" s="17" t="n">
        <v>0.1</v>
      </c>
      <c r="G13" s="10" t="n">
        <f aca="false">ROUND(E13*(1-F13),2)</f>
        <v>1224</v>
      </c>
      <c r="H13" s="9" t="s">
        <v>68</v>
      </c>
      <c r="I13" s="18" t="n">
        <v>46289</v>
      </c>
    </row>
    <row r="14" customFormat="false" ht="22" hidden="false" customHeight="true" outlineLevel="0" collapsed="false">
      <c r="A14" s="12" t="s">
        <v>72</v>
      </c>
      <c r="B14" s="12" t="s">
        <v>67</v>
      </c>
      <c r="C14" s="19" t="n">
        <v>40</v>
      </c>
      <c r="D14" s="20" t="n">
        <f aca="false">Preisregister!F16</f>
        <v>34</v>
      </c>
      <c r="E14" s="13" t="n">
        <f aca="false">ROUND(C14*D14,2)</f>
        <v>1360</v>
      </c>
      <c r="F14" s="21" t="n">
        <v>0.1</v>
      </c>
      <c r="G14" s="13" t="n">
        <f aca="false">ROUND(E14*(1-F14),2)</f>
        <v>1224</v>
      </c>
      <c r="H14" s="12" t="s">
        <v>68</v>
      </c>
      <c r="I14" s="22" t="n">
        <v>46289</v>
      </c>
    </row>
    <row r="15" customFormat="false" ht="34" hidden="false" customHeight="true" outlineLevel="0" collapsed="false">
      <c r="A15" s="9" t="s">
        <v>73</v>
      </c>
      <c r="B15" s="9" t="s">
        <v>74</v>
      </c>
      <c r="C15" s="15" t="n">
        <v>48</v>
      </c>
      <c r="D15" s="16" t="n">
        <f aca="false">Preisregister!F16</f>
        <v>34</v>
      </c>
      <c r="E15" s="10" t="n">
        <f aca="false">ROUND(C15*D15,2)</f>
        <v>1632</v>
      </c>
      <c r="F15" s="23"/>
      <c r="G15" s="10"/>
      <c r="H15" s="9" t="s">
        <v>75</v>
      </c>
      <c r="I15" s="18" t="n">
        <v>46289</v>
      </c>
    </row>
    <row r="16" customFormat="false" ht="22" hidden="false" customHeight="true" outlineLevel="0" collapsed="false">
      <c r="A16" s="12" t="s">
        <v>76</v>
      </c>
      <c r="B16" s="12" t="s">
        <v>77</v>
      </c>
      <c r="C16" s="19" t="n">
        <v>12</v>
      </c>
      <c r="D16" s="20" t="n">
        <f aca="false">Preisregister!F16</f>
        <v>34</v>
      </c>
      <c r="E16" s="13" t="n">
        <f aca="false">ROUND(C16*D16,2)</f>
        <v>408</v>
      </c>
      <c r="F16" s="24"/>
      <c r="G16" s="13"/>
      <c r="H16" s="12" t="s">
        <v>75</v>
      </c>
      <c r="I16" s="22" t="n">
        <v>46289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43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21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39"/>
  </cols>
  <sheetData>
    <row r="1" customFormat="false" ht="34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6" t="n">
        <v>27</v>
      </c>
      <c r="B5" s="6"/>
      <c r="C5" s="6"/>
      <c r="D5" s="6"/>
      <c r="E5" s="6"/>
      <c r="F5" s="6"/>
      <c r="G5" s="6"/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80</v>
      </c>
      <c r="B8" s="8" t="s">
        <v>81</v>
      </c>
      <c r="C8" s="8" t="s">
        <v>82</v>
      </c>
      <c r="D8" s="8" t="s">
        <v>83</v>
      </c>
      <c r="E8" s="8" t="s">
        <v>84</v>
      </c>
      <c r="F8" s="8" t="s">
        <v>85</v>
      </c>
      <c r="G8" s="8" t="s">
        <v>86</v>
      </c>
      <c r="H8" s="8" t="s">
        <v>87</v>
      </c>
      <c r="I8" s="8" t="s">
        <v>88</v>
      </c>
    </row>
    <row r="9" customFormat="false" ht="34" hidden="false" customHeight="true" outlineLevel="0" collapsed="false">
      <c r="A9" s="18" t="n">
        <v>46220</v>
      </c>
      <c r="B9" s="9" t="s">
        <v>89</v>
      </c>
      <c r="C9" s="9" t="s">
        <v>90</v>
      </c>
      <c r="D9" s="9" t="s">
        <v>91</v>
      </c>
      <c r="E9" s="15" t="n">
        <v>300</v>
      </c>
      <c r="F9" s="15" t="n">
        <v>84.71</v>
      </c>
      <c r="G9" s="23"/>
      <c r="H9" s="10" t="n">
        <f aca="false">ROUND(E9*F9,2)</f>
        <v>25413</v>
      </c>
      <c r="I9" s="9" t="s">
        <v>92</v>
      </c>
    </row>
    <row r="10" customFormat="false" ht="22" hidden="false" customHeight="true" outlineLevel="0" collapsed="false">
      <c r="A10" s="22" t="n">
        <v>46220</v>
      </c>
      <c r="B10" s="12" t="s">
        <v>89</v>
      </c>
      <c r="C10" s="12" t="s">
        <v>93</v>
      </c>
      <c r="D10" s="12" t="s">
        <v>94</v>
      </c>
      <c r="E10" s="19" t="n">
        <v>6</v>
      </c>
      <c r="F10" s="19" t="n">
        <v>1250</v>
      </c>
      <c r="G10" s="24"/>
      <c r="H10" s="13" t="n">
        <f aca="false">ROUND(E10*F10,2)</f>
        <v>7500</v>
      </c>
      <c r="I10" s="12" t="s">
        <v>92</v>
      </c>
    </row>
    <row r="11" customFormat="false" ht="22" hidden="false" customHeight="true" outlineLevel="0" collapsed="false">
      <c r="A11" s="18" t="n">
        <v>46220</v>
      </c>
      <c r="B11" s="9" t="s">
        <v>89</v>
      </c>
      <c r="C11" s="9" t="s">
        <v>95</v>
      </c>
      <c r="D11" s="9" t="s">
        <v>96</v>
      </c>
      <c r="E11" s="15" t="n">
        <v>210</v>
      </c>
      <c r="F11" s="15" t="n">
        <v>24.5</v>
      </c>
      <c r="G11" s="23"/>
      <c r="H11" s="10" t="n">
        <f aca="false">ROUND(E11*F11,2)</f>
        <v>5145</v>
      </c>
      <c r="I11" s="9" t="s">
        <v>92</v>
      </c>
    </row>
    <row r="12" customFormat="false" ht="22" hidden="false" customHeight="true" outlineLevel="0" collapsed="false">
      <c r="A12" s="22" t="n">
        <v>46220</v>
      </c>
      <c r="B12" s="12" t="s">
        <v>89</v>
      </c>
      <c r="C12" s="12" t="s">
        <v>97</v>
      </c>
      <c r="D12" s="12" t="s">
        <v>98</v>
      </c>
      <c r="E12" s="19" t="n">
        <v>180</v>
      </c>
      <c r="F12" s="19" t="n">
        <v>19</v>
      </c>
      <c r="G12" s="24"/>
      <c r="H12" s="13" t="n">
        <f aca="false">ROUND(E12*F12,2)</f>
        <v>3420</v>
      </c>
      <c r="I12" s="12" t="s">
        <v>92</v>
      </c>
    </row>
    <row r="13" customFormat="false" ht="22" hidden="false" customHeight="true" outlineLevel="0" collapsed="false">
      <c r="A13" s="18" t="n">
        <v>46220</v>
      </c>
      <c r="B13" s="9" t="s">
        <v>89</v>
      </c>
      <c r="C13" s="9" t="s">
        <v>99</v>
      </c>
      <c r="D13" s="9" t="s">
        <v>100</v>
      </c>
      <c r="E13" s="15" t="n">
        <v>190</v>
      </c>
      <c r="F13" s="15" t="n">
        <v>48</v>
      </c>
      <c r="G13" s="23"/>
      <c r="H13" s="10" t="n">
        <f aca="false">ROUND(E13*F13,2)</f>
        <v>9120</v>
      </c>
      <c r="I13" s="9" t="s">
        <v>92</v>
      </c>
    </row>
    <row r="14" customFormat="false" ht="34" hidden="false" customHeight="true" outlineLevel="0" collapsed="false">
      <c r="A14" s="22" t="n">
        <v>46220</v>
      </c>
      <c r="B14" s="12" t="s">
        <v>89</v>
      </c>
      <c r="C14" s="12" t="s">
        <v>101</v>
      </c>
      <c r="D14" s="12" t="s">
        <v>102</v>
      </c>
      <c r="E14" s="19" t="n">
        <v>1</v>
      </c>
      <c r="F14" s="19" t="n">
        <v>6200</v>
      </c>
      <c r="G14" s="24"/>
      <c r="H14" s="13" t="n">
        <f aca="false">ROUND(E14*F14,2)</f>
        <v>6200</v>
      </c>
      <c r="I14" s="12" t="s">
        <v>92</v>
      </c>
    </row>
    <row r="15" customFormat="false" ht="22" hidden="false" customHeight="true" outlineLevel="0" collapsed="false">
      <c r="A15" s="18" t="n">
        <v>46220</v>
      </c>
      <c r="B15" s="9" t="s">
        <v>103</v>
      </c>
      <c r="C15" s="9" t="s">
        <v>104</v>
      </c>
      <c r="D15" s="9" t="s">
        <v>105</v>
      </c>
      <c r="E15" s="15" t="n">
        <v>0.6</v>
      </c>
      <c r="F15" s="15" t="n">
        <v>38</v>
      </c>
      <c r="G15" s="23"/>
      <c r="H15" s="10" t="n">
        <f aca="false">ROUND(E15*F15,2)</f>
        <v>22.8</v>
      </c>
      <c r="I15" s="9" t="s">
        <v>106</v>
      </c>
    </row>
    <row r="16" customFormat="false" ht="22" hidden="false" customHeight="true" outlineLevel="0" collapsed="false">
      <c r="A16" s="22" t="n">
        <v>46220</v>
      </c>
      <c r="B16" s="12" t="s">
        <v>103</v>
      </c>
      <c r="C16" s="12" t="s">
        <v>107</v>
      </c>
      <c r="D16" s="12" t="s">
        <v>108</v>
      </c>
      <c r="E16" s="19" t="n">
        <v>1</v>
      </c>
      <c r="F16" s="19" t="n">
        <v>34</v>
      </c>
      <c r="G16" s="24"/>
      <c r="H16" s="13" t="n">
        <f aca="false">ROUND(E16*F16,2)</f>
        <v>34</v>
      </c>
      <c r="I16" s="12" t="s">
        <v>106</v>
      </c>
    </row>
    <row r="17" customFormat="false" ht="22" hidden="false" customHeight="true" outlineLevel="0" collapsed="false">
      <c r="A17" s="18" t="n">
        <v>46220</v>
      </c>
      <c r="B17" s="9" t="s">
        <v>103</v>
      </c>
      <c r="C17" s="9" t="s">
        <v>109</v>
      </c>
      <c r="D17" s="9" t="s">
        <v>105</v>
      </c>
      <c r="E17" s="15" t="n">
        <v>0.2</v>
      </c>
      <c r="F17" s="15" t="n">
        <v>48</v>
      </c>
      <c r="G17" s="23"/>
      <c r="H17" s="10" t="n">
        <f aca="false">ROUND(E17*F17,2)</f>
        <v>9.6</v>
      </c>
      <c r="I17" s="9" t="s">
        <v>106</v>
      </c>
    </row>
    <row r="18" customFormat="false" ht="22" hidden="false" customHeight="true" outlineLevel="0" collapsed="false">
      <c r="A18" s="22" t="n">
        <v>46220</v>
      </c>
      <c r="B18" s="12" t="s">
        <v>103</v>
      </c>
      <c r="C18" s="12" t="s">
        <v>110</v>
      </c>
      <c r="D18" s="12" t="s">
        <v>111</v>
      </c>
      <c r="E18" s="19" t="n">
        <v>1</v>
      </c>
      <c r="F18" s="19" t="n">
        <v>6</v>
      </c>
      <c r="G18" s="24"/>
      <c r="H18" s="13" t="n">
        <f aca="false">ROUND(E18*F18,2)</f>
        <v>6</v>
      </c>
      <c r="I18" s="12" t="s">
        <v>106</v>
      </c>
    </row>
    <row r="19" customFormat="false" ht="22" hidden="false" customHeight="true" outlineLevel="0" collapsed="false">
      <c r="A19" s="18" t="n">
        <v>46220</v>
      </c>
      <c r="B19" s="9" t="s">
        <v>103</v>
      </c>
      <c r="C19" s="9" t="s">
        <v>112</v>
      </c>
      <c r="D19" s="9" t="s">
        <v>113</v>
      </c>
      <c r="E19" s="10"/>
      <c r="F19" s="10" t="n">
        <f aca="false">SUM(H15:H18)</f>
        <v>72.4</v>
      </c>
      <c r="G19" s="17" t="n">
        <v>0.17</v>
      </c>
      <c r="H19" s="10" t="n">
        <f aca="false">ROUND(F19*G19,2)</f>
        <v>12.31</v>
      </c>
      <c r="I19" s="9" t="s">
        <v>106</v>
      </c>
    </row>
    <row r="20" customFormat="false" ht="22" hidden="false" customHeight="true" outlineLevel="0" collapsed="false">
      <c r="A20" s="22" t="n">
        <v>46220</v>
      </c>
      <c r="B20" s="12" t="s">
        <v>103</v>
      </c>
      <c r="C20" s="12" t="s">
        <v>114</v>
      </c>
      <c r="D20" s="12" t="s">
        <v>91</v>
      </c>
      <c r="E20" s="19" t="n">
        <v>1</v>
      </c>
      <c r="F20" s="13" t="n">
        <f aca="false">SUM(H15:H19)</f>
        <v>84.71</v>
      </c>
      <c r="G20" s="24"/>
      <c r="H20" s="13" t="n">
        <f aca="false">ROUND(E20*F20,2)</f>
        <v>84.71</v>
      </c>
      <c r="I20" s="12" t="s">
        <v>106</v>
      </c>
    </row>
    <row r="21" customFormat="false" ht="22" hidden="false" customHeight="true" outlineLevel="0" collapsed="false">
      <c r="A21" s="18" t="n">
        <v>46288</v>
      </c>
      <c r="B21" s="9" t="s">
        <v>115</v>
      </c>
      <c r="C21" s="9" t="s">
        <v>104</v>
      </c>
      <c r="D21" s="9" t="s">
        <v>105</v>
      </c>
      <c r="E21" s="15" t="n">
        <v>0.85</v>
      </c>
      <c r="F21" s="15" t="n">
        <v>42</v>
      </c>
      <c r="G21" s="23"/>
      <c r="H21" s="10" t="n">
        <f aca="false">ROUND(E21*F21,2)</f>
        <v>35.7</v>
      </c>
      <c r="I21" s="9" t="s">
        <v>116</v>
      </c>
    </row>
    <row r="22" customFormat="false" ht="22" hidden="false" customHeight="true" outlineLevel="0" collapsed="false">
      <c r="A22" s="22" t="n">
        <v>46288</v>
      </c>
      <c r="B22" s="12" t="s">
        <v>115</v>
      </c>
      <c r="C22" s="12" t="s">
        <v>117</v>
      </c>
      <c r="D22" s="12" t="s">
        <v>108</v>
      </c>
      <c r="E22" s="19" t="n">
        <v>1</v>
      </c>
      <c r="F22" s="19" t="n">
        <v>49.5</v>
      </c>
      <c r="G22" s="24"/>
      <c r="H22" s="13" t="n">
        <f aca="false">ROUND(E22*F22,2)</f>
        <v>49.5</v>
      </c>
      <c r="I22" s="12" t="s">
        <v>116</v>
      </c>
    </row>
    <row r="23" customFormat="false" ht="22" hidden="false" customHeight="true" outlineLevel="0" collapsed="false">
      <c r="A23" s="18" t="n">
        <v>46288</v>
      </c>
      <c r="B23" s="9" t="s">
        <v>115</v>
      </c>
      <c r="C23" s="9" t="s">
        <v>118</v>
      </c>
      <c r="D23" s="9" t="s">
        <v>105</v>
      </c>
      <c r="E23" s="15" t="n">
        <v>0.3</v>
      </c>
      <c r="F23" s="15" t="n">
        <v>52</v>
      </c>
      <c r="G23" s="23"/>
      <c r="H23" s="10" t="n">
        <f aca="false">ROUND(E23*F23,2)</f>
        <v>15.6</v>
      </c>
      <c r="I23" s="9" t="s">
        <v>116</v>
      </c>
    </row>
    <row r="24" customFormat="false" ht="22" hidden="false" customHeight="true" outlineLevel="0" collapsed="false">
      <c r="A24" s="22" t="n">
        <v>46288</v>
      </c>
      <c r="B24" s="12" t="s">
        <v>115</v>
      </c>
      <c r="C24" s="12" t="s">
        <v>110</v>
      </c>
      <c r="D24" s="12" t="s">
        <v>111</v>
      </c>
      <c r="E24" s="19" t="n">
        <v>1</v>
      </c>
      <c r="F24" s="19" t="n">
        <v>8.5</v>
      </c>
      <c r="G24" s="24"/>
      <c r="H24" s="13" t="n">
        <f aca="false">ROUND(E24*F24,2)</f>
        <v>8.5</v>
      </c>
      <c r="I24" s="12" t="s">
        <v>116</v>
      </c>
    </row>
    <row r="25" customFormat="false" ht="22" hidden="false" customHeight="true" outlineLevel="0" collapsed="false">
      <c r="A25" s="18" t="n">
        <v>46288</v>
      </c>
      <c r="B25" s="9" t="s">
        <v>115</v>
      </c>
      <c r="C25" s="9" t="s">
        <v>112</v>
      </c>
      <c r="D25" s="9" t="s">
        <v>113</v>
      </c>
      <c r="E25" s="10"/>
      <c r="F25" s="10" t="n">
        <f aca="false">SUM(H21:H24)</f>
        <v>109.3</v>
      </c>
      <c r="G25" s="17" t="n">
        <v>0.18</v>
      </c>
      <c r="H25" s="10" t="n">
        <f aca="false">ROUND(F25*G25,2)</f>
        <v>19.67</v>
      </c>
      <c r="I25" s="9" t="s">
        <v>116</v>
      </c>
    </row>
    <row r="26" customFormat="false" ht="22" hidden="false" customHeight="true" outlineLevel="0" collapsed="false">
      <c r="A26" s="22" t="n">
        <v>46288</v>
      </c>
      <c r="B26" s="12" t="s">
        <v>115</v>
      </c>
      <c r="C26" s="12" t="s">
        <v>114</v>
      </c>
      <c r="D26" s="12" t="s">
        <v>91</v>
      </c>
      <c r="E26" s="19" t="n">
        <v>1</v>
      </c>
      <c r="F26" s="13" t="n">
        <f aca="false">SUM(H21:H25)</f>
        <v>128.97</v>
      </c>
      <c r="G26" s="24"/>
      <c r="H26" s="13" t="n">
        <f aca="false">ROUND(E26*F26,2)</f>
        <v>128.97</v>
      </c>
      <c r="I26" s="12" t="s">
        <v>116</v>
      </c>
    </row>
    <row r="27" customFormat="false" ht="22" hidden="false" customHeight="true" outlineLevel="0" collapsed="false">
      <c r="A27" s="18" t="n">
        <v>46288</v>
      </c>
      <c r="B27" s="9" t="s">
        <v>119</v>
      </c>
      <c r="C27" s="9" t="s">
        <v>120</v>
      </c>
      <c r="D27" s="9" t="s">
        <v>91</v>
      </c>
      <c r="E27" s="16" t="n">
        <f aca="false">Trassenstationen!G5</f>
        <v>280</v>
      </c>
      <c r="F27" s="10" t="n">
        <f aca="false">H26</f>
        <v>128.97</v>
      </c>
      <c r="G27" s="23"/>
      <c r="H27" s="10" t="n">
        <f aca="false">ROUND(E27*F27,2)</f>
        <v>36111.6</v>
      </c>
      <c r="I27" s="9" t="s">
        <v>116</v>
      </c>
    </row>
    <row r="28" customFormat="false" ht="22" hidden="false" customHeight="true" outlineLevel="0" collapsed="false">
      <c r="A28" s="22" t="n">
        <v>46288</v>
      </c>
      <c r="B28" s="12" t="s">
        <v>119</v>
      </c>
      <c r="C28" s="12" t="s">
        <v>121</v>
      </c>
      <c r="D28" s="12" t="s">
        <v>91</v>
      </c>
      <c r="E28" s="20" t="n">
        <f aca="false">-Trassenstationen!G5</f>
        <v>-280</v>
      </c>
      <c r="F28" s="13" t="n">
        <f aca="false">H20</f>
        <v>84.71</v>
      </c>
      <c r="G28" s="24"/>
      <c r="H28" s="13" t="n">
        <f aca="false">ROUND(E28*F28,2)</f>
        <v>-23718.8</v>
      </c>
      <c r="I28" s="12" t="s">
        <v>116</v>
      </c>
    </row>
    <row r="29" customFormat="false" ht="22" hidden="false" customHeight="true" outlineLevel="0" collapsed="false">
      <c r="A29" s="18" t="n">
        <v>46288</v>
      </c>
      <c r="B29" s="9" t="s">
        <v>119</v>
      </c>
      <c r="C29" s="9" t="s">
        <v>122</v>
      </c>
      <c r="D29" s="9" t="s">
        <v>102</v>
      </c>
      <c r="E29" s="15" t="n">
        <v>1</v>
      </c>
      <c r="F29" s="15" t="n">
        <v>1850</v>
      </c>
      <c r="G29" s="23"/>
      <c r="H29" s="10" t="n">
        <f aca="false">ROUND(E29*F29,2)</f>
        <v>1850</v>
      </c>
      <c r="I29" s="9" t="s">
        <v>116</v>
      </c>
    </row>
    <row r="30" customFormat="false" ht="22" hidden="false" customHeight="true" outlineLevel="0" collapsed="false">
      <c r="A30" s="22" t="n">
        <v>46288</v>
      </c>
      <c r="B30" s="12" t="s">
        <v>119</v>
      </c>
      <c r="C30" s="12" t="s">
        <v>123</v>
      </c>
      <c r="D30" s="12" t="s">
        <v>124</v>
      </c>
      <c r="E30" s="19" t="n">
        <v>4</v>
      </c>
      <c r="F30" s="19" t="n">
        <v>640</v>
      </c>
      <c r="G30" s="24"/>
      <c r="H30" s="13" t="n">
        <f aca="false">ROUND(E30*F30,2)</f>
        <v>2560</v>
      </c>
      <c r="I30" s="12" t="s">
        <v>116</v>
      </c>
    </row>
    <row r="31" customFormat="false" ht="22" hidden="false" customHeight="true" outlineLevel="0" collapsed="false">
      <c r="A31" s="18" t="n">
        <v>46287</v>
      </c>
      <c r="B31" s="9" t="s">
        <v>125</v>
      </c>
      <c r="C31" s="9" t="s">
        <v>126</v>
      </c>
      <c r="D31" s="9" t="s">
        <v>91</v>
      </c>
      <c r="E31" s="15" t="n">
        <v>280</v>
      </c>
      <c r="F31" s="15" t="n">
        <v>49.5</v>
      </c>
      <c r="G31" s="23"/>
      <c r="H31" s="10" t="n">
        <f aca="false">ROUND(E31*F31,2)</f>
        <v>13860</v>
      </c>
      <c r="I31" s="9" t="s">
        <v>127</v>
      </c>
    </row>
    <row r="32" customFormat="false" ht="22" hidden="false" customHeight="true" outlineLevel="0" collapsed="false">
      <c r="A32" s="22" t="n">
        <v>46287</v>
      </c>
      <c r="B32" s="12" t="s">
        <v>125</v>
      </c>
      <c r="C32" s="12" t="s">
        <v>128</v>
      </c>
      <c r="D32" s="12" t="s">
        <v>91</v>
      </c>
      <c r="E32" s="19" t="n">
        <v>136</v>
      </c>
      <c r="F32" s="19" t="n">
        <v>52.5</v>
      </c>
      <c r="G32" s="24"/>
      <c r="H32" s="13" t="n">
        <f aca="false">ROUND(E32*F32,2)</f>
        <v>7140</v>
      </c>
      <c r="I32" s="12" t="s">
        <v>127</v>
      </c>
    </row>
    <row r="33" customFormat="false" ht="22" hidden="false" customHeight="true" outlineLevel="0" collapsed="false">
      <c r="A33" s="18" t="n">
        <v>46288</v>
      </c>
      <c r="B33" s="9" t="s">
        <v>119</v>
      </c>
      <c r="C33" s="9" t="s">
        <v>129</v>
      </c>
      <c r="D33" s="9" t="s">
        <v>130</v>
      </c>
      <c r="E33" s="10"/>
      <c r="F33" s="10"/>
      <c r="G33" s="23"/>
      <c r="H33" s="10" t="n">
        <f aca="false">SUM(H27:H30)</f>
        <v>16802.8</v>
      </c>
      <c r="I33" s="9" t="s">
        <v>131</v>
      </c>
    </row>
    <row r="34" customFormat="false" ht="22" hidden="false" customHeight="true" outlineLevel="0" collapsed="false">
      <c r="A34" s="22" t="n">
        <v>46288</v>
      </c>
      <c r="B34" s="12" t="s">
        <v>119</v>
      </c>
      <c r="C34" s="12" t="s">
        <v>132</v>
      </c>
      <c r="D34" s="12" t="s">
        <v>130</v>
      </c>
      <c r="E34" s="13"/>
      <c r="F34" s="13" t="n">
        <f aca="false">H33</f>
        <v>16802.8</v>
      </c>
      <c r="G34" s="21" t="n">
        <v>0.19</v>
      </c>
      <c r="H34" s="13" t="n">
        <f aca="false">ROUND(F34*G34,2)</f>
        <v>3192.53</v>
      </c>
      <c r="I34" s="12" t="s">
        <v>116</v>
      </c>
    </row>
    <row r="35" customFormat="false" ht="22" hidden="false" customHeight="true" outlineLevel="0" collapsed="false">
      <c r="A35" s="18" t="n">
        <v>46288</v>
      </c>
      <c r="B35" s="9" t="s">
        <v>119</v>
      </c>
      <c r="C35" s="9" t="s">
        <v>133</v>
      </c>
      <c r="D35" s="9" t="s">
        <v>130</v>
      </c>
      <c r="E35" s="10"/>
      <c r="F35" s="10"/>
      <c r="G35" s="23"/>
      <c r="H35" s="10" t="n">
        <f aca="false">SUM(H33:H34)</f>
        <v>19995.33</v>
      </c>
      <c r="I35" s="9" t="s">
        <v>116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2026-09-25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