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8741c80b2e48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03" sheetId="1" r:id="R9b622842465c4c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.00"/>
    <x:numFmt numFmtId="202" formatCode="0.0%"/>
  </x:numFmts>
  <x:fonts count="4">
    <x:font>
      <x:sz val="11"/>
      <x:name val="Carlito"/>
    </x:font>
    <x:font>
      <x:sz val="11"/>
      <x:color rgb="FF202020"/>
      <x:name val="Arial"/>
    </x:font>
    <x:font>
      <x:b/>
      <x:sz val="14"/>
      <x:color rgb="FF202020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F4D46"/>
      </x:patternFill>
    </x:fill>
    <x:fill>
      <x:patternFill patternType="solid">
        <x:fgColor rgb="FFF1F3F2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4baf78e02b48b6" /><Relationship Type="http://schemas.openxmlformats.org/officeDocument/2006/relationships/theme" Target="/xl/theme/theme1.xml" Id="Rfc98dc8ca17c4741" /><Relationship Type="http://schemas.openxmlformats.org/officeDocument/2006/relationships/sharedStrings" Target="/xl/sharedStrings.xml" Id="R68944093c1214425" /><Relationship Type="http://schemas.openxmlformats.org/officeDocument/2006/relationships/worksheet" Target="/xl/worksheets/sheet1.xml" Id="R9b622842465c4c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>
    <ns0:pageSetUpPr fitToPage="1"/>
  </ns0:sheetPr>
  <ns0:sheetViews>
    <ns0:sheetView showGridLines="0" workbookViewId="0">
      <ns0:pane ySplit="5" topLeftCell="A6" activePane="bottomLeft" state="frozen"/>
    </ns0:sheetView>
  </ns0:sheetViews>
  <ns0:sheetFormatPr defaultRowHeight="15"/>
  <ns0:cols>
    <ns0:col min="1" max="1" width="25" hidden="0" customWidth="1"/>
    <ns0:col min="2" max="2" width="32" hidden="0" customWidth="1"/>
    <ns0:col min="3" max="3" width="13" hidden="0" customWidth="1"/>
    <ns0:col min="4" max="4" width="15" hidden="0" customWidth="1"/>
    <ns0:col min="5" max="5" width="17" hidden="0" customWidth="1"/>
    <ns0:col min="6" max="6" width="22" hidden="0" customWidth="1"/>
  </ns0:cols>
  <ns0:sheetData>
    <ns0:row r="2" ht="28" customHeight="1">
      <ns0:c r="A2" s="8" t="str">
        <ns0:v>Angebotskalkulation N03 DN200</ns0:v>
      </ns0:c>
      <ns0:c r="B2" s="8"/>
      <ns0:c r="C2" s="8"/>
      <ns0:c r="D2" s="8"/>
      <ns0:c r="E2" s="8"/>
      <ns0:c r="F2" s="8"/>
    </ns0:row>
    <ns0:row r="3" ht="28" customHeight="1">
      <ns0:c r="A3" s="6" t="str">
        <ns0:v>Rhume Tiefbau / Uwe Brinkmann | 2026-09-23</ns0:v>
      </ns0:c>
      <ns0:c r="B3" s="6"/>
      <ns0:c r="C3" s="6"/>
      <ns0:c r="D3" s="6"/>
      <ns0:c r="E3" s="6"/>
      <ns0:c r="F3" s="6"/>
    </ns0:row>
    <ns0:row r="4" ht="22" customHeight="1">
      <ns0:c r="A4" s="6"/>
      <ns0:c r="B4" s="6"/>
      <ns0:c r="C4" s="6"/>
      <ns0:c r="D4" s="6"/>
      <ns0:c r="E4" s="6"/>
      <ns0:c r="F4" s="6"/>
    </ns0:row>
    <ns0:row r="5" ht="38" customHeight="1">
      <ns0:c r="A5" s="10" t="str">
        <ns0:v>Bestandteil</ns0:v>
      </ns0:c>
      <ns0:c r="B5" s="10" t="str">
        <ns0:v>Bezug</ns0:v>
      </ns0:c>
      <ns0:c r="C5" s="10" t="str">
        <ns0:v>Einheit</ns0:v>
      </ns0:c>
      <ns0:c r="D5" s="10" t="str">
        <ns0:v>Ansatz</ns0:v>
      </ns0:c>
      <ns0:c r="E5" s="10" t="str">
        <ns0:v>Satz netto EUR</ns0:v>
      </ns0:c>
      <ns0:c r="F5" s="10" t="str">
        <ns0:v>Betrag netto EUR</ns0:v>
      </ns0:c>
    </ns0:row>
    <ns0:row r="6" ht="22" customHeight="1">
      <ns0:c r="A6" s="11" t="str">
        <ns0:v>Lohn neu</ns0:v>
      </ns0:c>
      <ns0:c r="B6" s="11" t="str">
        <ns0:v>je m</ns0:v>
      </ns0:c>
      <ns0:c r="C6" s="11" t="str">
        <ns0:v>h</ns0:v>
      </ns0:c>
      <ns0:c r="D6" s="13" t="n">
        <ns0:v>0.85</ns0:v>
      </ns0:c>
      <ns0:c r="E6" s="13" t="n">
        <ns0:v>42</ns0:v>
      </ns0:c>
      <ns0:c r="F6" s="13" t="n">
        <ns0:f>ROUND(D6*E6,2)</ns0:f>
        <ns0:v>35.7</ns0:v>
      </ns0:c>
    </ns0:row>
    <ns0:row r="7" ht="22" customHeight="1">
      <ns0:c r="A7" s="7" t="str">
        <ns0:v>Rohr DN200</ns0:v>
      </ns0:c>
      <ns0:c r="B7" s="7" t="str">
        <ns0:v>je m</ns0:v>
      </ns0:c>
      <ns0:c r="C7" s="7" t="str">
        <ns0:v>m</ns0:v>
      </ns0:c>
      <ns0:c r="D7" s="14" t="n">
        <ns0:v>1</ns0:v>
      </ns0:c>
      <ns0:c r="E7" s="14" t="n">
        <ns0:v>49.5</ns0:v>
      </ns0:c>
      <ns0:c r="F7" s="14" t="n">
        <ns0:f>ROUND(D7*E7,2)</ns0:f>
        <ns0:v>49.5</ns0:v>
      </ns0:c>
    </ns0:row>
    <ns0:row r="8" ht="22" customHeight="1">
      <ns0:c r="A8" s="11" t="str">
        <ns0:v>Gerät neu</ns0:v>
      </ns0:c>
      <ns0:c r="B8" s="11" t="str">
        <ns0:v>je m</ns0:v>
      </ns0:c>
      <ns0:c r="C8" s="11" t="str">
        <ns0:v>h</ns0:v>
      </ns0:c>
      <ns0:c r="D8" s="13" t="n">
        <ns0:v>0.3</ns0:v>
      </ns0:c>
      <ns0:c r="E8" s="13" t="n">
        <ns0:v>52</ns0:v>
      </ns0:c>
      <ns0:c r="F8" s="13" t="n">
        <ns0:f>ROUND(D8*E8,2)</ns0:f>
        <ns0:v>15.6</ns0:v>
      </ns0:c>
    </ns0:row>
    <ns0:row r="9" ht="22" customHeight="1">
      <ns0:c r="A9" s="7" t="str">
        <ns0:v>Transport</ns0:v>
      </ns0:c>
      <ns0:c r="B9" s="7" t="str">
        <ns0:v>je m</ns0:v>
      </ns0:c>
      <ns0:c r="C9" s="7" t="str">
        <ns0:v>psch/m</ns0:v>
      </ns0:c>
      <ns0:c r="D9" s="14" t="n">
        <ns0:v>1</ns0:v>
      </ns0:c>
      <ns0:c r="E9" s="14" t="n">
        <ns0:v>8.5</ns0:v>
      </ns0:c>
      <ns0:c r="F9" s="14" t="n">
        <ns0:f>ROUND(D9*E9,2)</ns0:f>
        <ns0:v>8.5</ns0:v>
      </ns0:c>
    </ns0:row>
    <ns0:row r="10" ht="22" customHeight="1">
      <ns0:c r="A10" s="11" t="str">
        <ns0:v>Einzelkosten je m</ns0:v>
      </ns0:c>
      <ns0:c r="B10" s="11" t="str"/>
      <ns0:c r="C10" s="11" t="str"/>
      <ns0:c r="D10" s="13" t="str"/>
      <ns0:c r="E10" s="13" t="str"/>
      <ns0:c r="F10" s="13" t="n">
        <ns0:f>SUM(F6:F9)</ns0:f>
        <ns0:v>109.3</ns0:v>
      </ns0:c>
    </ns0:row>
    <ns0:row r="11" ht="22" customHeight="1">
      <ns0:c r="A11" s="7" t="str">
        <ns0:v>Zuschlag neu</ns0:v>
      </ns0:c>
      <ns0:c r="B11" s="15" t="n">
        <ns0:v>0.18</ns0:v>
      </ns0:c>
      <ns0:c r="C11" s="7" t="str"/>
      <ns0:c r="D11" s="14" t="str"/>
      <ns0:c r="E11" s="14" t="str"/>
      <ns0:c r="F11" s="14" t="n">
        <ns0:f>ROUND(F10*B11,2)</ns0:f>
        <ns0:v>19.67</ns0:v>
      </ns0:c>
    </ns0:row>
    <ns0:row r="12" ht="22" customHeight="1">
      <ns0:c r="A12" s="11" t="str">
        <ns0:v>Neuer EP je m</ns0:v>
      </ns0:c>
      <ns0:c r="B12" s="11" t="str"/>
      <ns0:c r="C12" s="11" t="str"/>
      <ns0:c r="D12" s="13" t="str"/>
      <ns0:c r="E12" s="13" t="str"/>
      <ns0:c r="F12" s="13" t="n">
        <ns0:f>F10+F11</ns0:f>
        <ns0:v>128.97</ns0:v>
      </ns0:c>
    </ns0:row>
    <ns0:row r="13" ht="22" customHeight="1">
      <ns0:c r="A13" s="7" t="str">
        <ns0:v>Rohr DN200</ns0:v>
      </ns0:c>
      <ns0:c r="B13" s="7" t="str">
        <ns0:v>gesamt</ns0:v>
      </ns0:c>
      <ns0:c r="C13" s="7" t="str">
        <ns0:v>m</ns0:v>
      </ns0:c>
      <ns0:c r="D13" s="14" t="n">
        <ns0:v>280</ns0:v>
      </ns0:c>
      <ns0:c r="E13" s="14" t="n">
        <ns0:f>F12</ns0:f>
        <ns0:v>128.97</ns0:v>
      </ns0:c>
      <ns0:c r="F13" s="14" t="n">
        <ns0:f>ROUND(D13*E13,2)</ns0:f>
        <ns0:v>36111.6</ns0:v>
      </ns0:c>
    </ns0:row>
    <ns0:row r="14" ht="22" customHeight="1">
      <ns0:c r="A14" s="11" t="str">
        <ns0:v>Entfall DN150</ns0:v>
      </ns0:c>
      <ns0:c r="B14" s="11" t="str">
        <ns0:v>gesamt</ns0:v>
      </ns0:c>
      <ns0:c r="C14" s="11" t="str">
        <ns0:v>m</ns0:v>
      </ns0:c>
      <ns0:c r="D14" s="13" t="n">
        <ns0:v>280</ns0:v>
      </ns0:c>
      <ns0:c r="E14" s="13" t="n">
        <ns0:v>84.71</ns0:v>
      </ns0:c>
      <ns0:c r="F14" s="13" t="n">
        <ns0:f>-ROUND(D14*E14,2)</ns0:f>
        <ns0:v>-23718.8</ns0:v>
      </ns0:c>
    </ns0:row>
    <ns0:row r="15" ht="22" customHeight="1">
      <ns0:c r="A15" s="7" t="str">
        <ns0:v>Neue Einrichtung</ns0:v>
      </ns0:c>
      <ns0:c r="B15" s="7" t="str">
        <ns0:v>gesamt</ns0:v>
      </ns0:c>
      <ns0:c r="C15" s="7" t="str">
        <ns0:v>psch</ns0:v>
      </ns0:c>
      <ns0:c r="D15" s="14" t="n">
        <ns0:v>1</ns0:v>
      </ns0:c>
      <ns0:c r="E15" s="14" t="n">
        <ns0:v>1850</ns0:v>
      </ns0:c>
      <ns0:c r="F15" s="14" t="n">
        <ns0:f>ROUND(D15*E15,2)</ns0:f>
        <ns0:v>1850</ns0:v>
      </ns0:c>
    </ns0:row>
    <ns0:row r="16" ht="22" customHeight="1">
      <ns0:c r="A16" s="11" t="str">
        <ns0:v>Wartezeit</ns0:v>
      </ns0:c>
      <ns0:c r="B16" s="11" t="str">
        <ns0:v>22. bis 25.09.</ns0:v>
      </ns0:c>
      <ns0:c r="C16" s="11" t="str">
        <ns0:v>Tag</ns0:v>
      </ns0:c>
      <ns0:c r="D16" s="13" t="n">
        <ns0:v>4</ns0:v>
      </ns0:c>
      <ns0:c r="E16" s="13" t="n">
        <ns0:v>640</ns0:v>
      </ns0:c>
      <ns0:c r="F16" s="13" t="n">
        <ns0:f>ROUND(D16*E16,2)</ns0:f>
        <ns0:v>2560</ns0:v>
      </ns0:c>
    </ns0:row>
    <ns0:row r="17" ht="22" customHeight="1">
      <ns0:c r="A17" s="7" t="str">
        <ns0:v>Mehrforderung netto</ns0:v>
      </ns0:c>
      <ns0:c r="B17" s="7" t="str"/>
      <ns0:c r="C17" s="7" t="str"/>
      <ns0:c r="D17" s="14" t="str"/>
      <ns0:c r="E17" s="14" t="str"/>
      <ns0:c r="F17" s="14" t="n">
        <ns0:f>SUM(F13:F16)</ns0:f>
        <ns0:v>16802.8</ns0:v>
      </ns0:c>
    </ns0:row>
    <ns0:row r="18" ht="22" customHeight="1">
      <ns0:c r="A18" s="11" t="str">
        <ns0:v>Umsatzsteuer</ns0:v>
      </ns0:c>
      <ns0:c r="B18" s="16" t="n">
        <ns0:v>0.19</ns0:v>
      </ns0:c>
      <ns0:c r="C18" s="11" t="str"/>
      <ns0:c r="D18" s="13" t="str"/>
      <ns0:c r="E18" s="13" t="str"/>
      <ns0:c r="F18" s="13" t="n">
        <ns0:f>ROUND(F17*B18,2)</ns0:f>
        <ns0:v>3192.53</ns0:v>
      </ns0:c>
    </ns0:row>
    <ns0:row r="19" ht="22" customHeight="1">
      <ns0:c r="A19" s="7" t="str">
        <ns0:v>Mehrforderung brutto</ns0:v>
      </ns0:c>
      <ns0:c r="B19" s="7" t="str"/>
      <ns0:c r="C19" s="7" t="str"/>
      <ns0:c r="D19" s="14" t="str"/>
      <ns0:c r="E19" s="14" t="str"/>
      <ns0:c r="F19" s="14" t="n">
        <ns0:f>F17+F18</ns0:f>
        <ns0:v>19995.329999999998</ns0:v>
      </ns0:c>
    </ns0:row>
    <ns0:row r="20" ht="22" customHeight="1">
      <ns0:c r="A20" s="6"/>
      <ns0:c r="B20" s="6"/>
      <ns0:c r="C20" s="6"/>
      <ns0:c r="D20" s="6"/>
      <ns0:c r="E20" s="6"/>
      <ns0:c r="F20" s="6"/>
    </ns0:row>
    <ns0:row r="21" ht="22" customHeight="1">
      <ns0:c r="A21" s="6" t="str">
        <ns0:v>Angebot betrifft sämtliche 280 m; Gutschrift Altmaterial ist noch nicht vereinbart.</ns0:v>
      </ns0:c>
      <ns0:c r="B21" s="6"/>
      <ns0:c r="C21" s="6"/>
      <ns0:c r="D21" s="6"/>
      <ns0:c r="E21" s="6"/>
      <ns0:c r="F21" s="6"/>
    </ns0:row>
    <ns0:row r="22" ht="22" customHeight="1">
      <ns0:c r="A22" s="6" t="str">
        <ns0:v>Einrichtungs- und Wartekosten zusätzlich verlangt. Bindung: 28.09.2026, 10:00 Uhr.</ns0:v>
      </ns0:c>
      <ns0:c r="B22" s="6"/>
      <ns0:c r="C22" s="6"/>
      <ns0:c r="D22" s="6"/>
      <ns0:c r="E22" s="6"/>
      <ns0:c r="F22" s="6"/>
    </ns0:row>
    <ns0:row r="23" ht="22" customHeight="1">
      <ns0:c r="A23" s="6" t="str">
        <ns0:v>gez. Uwe Brinkmann; 23.09.2026.</ns0:v>
      </ns0:c>
      <ns0:c r="B23" s="6"/>
      <ns0:c r="C23" s="6"/>
      <ns0:c r="D23" s="6"/>
      <ns0:c r="E23" s="6"/>
      <ns0:c r="F23" s="6"/>
    </ns0:row>
  </ns0:sheetData>
  <ns0:mergeCells>
    <ns0:mergeCell ref="A2:F2"/>
    <ns0:mergeCell ref="A3:F3"/>
    <ns0:mergeCell ref="A21:F21"/>
    <ns0:mergeCell ref="A22:F22"/>
    <ns0:mergeCell ref="A23:F23"/>
  </ns0:mergeCells>
  <ns0:pageMargins left="0.3" right="0.3" top="0.4" bottom="0.4" header="0.2" footer="0.2"/>
  <ns0:pageSetup paperSize="9" orientation="landscape" fitToWidth="1" fitToHeight="1"/>
</ns0:worksheet>
</file>