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ns0:workbook xmlns:ns0="http://schemas.openxmlformats.org/spreadsheetml/2006/main" xmlns:ns1="http://schemas.openxmlformats.org/officeDocument/2006/relationships" xmlns:ns2="http://schemas.libreoffice.org/">
  <ns0:fileVersion appName="Calc"/>
  <ns0:workbookPr backupFile="false" showObjects="all" date1904="false"/>
  <ns0:workbookProtection/>
  <ns0:bookViews>
    <ns0:workbookView showHorizontalScroll="true" showVerticalScroll="true" showSheetTabs="true" xWindow="0" yWindow="0" windowWidth="16384" windowHeight="8192" tabRatio="600" firstSheet="0" activeTab="0"/>
  </ns0:bookViews>
  <ns0:sheets>
    <ns0:sheet name="LV" sheetId="1" state="visible" ns1:id="rId3"/>
    <ns0:sheet name="Kosten" sheetId="2" state="visible" ns1:id="rId4"/>
  </ns0:sheets>
  <ns0:definedNames>
    <ns0:definedName name="_xlnm.Print_Area" localSheetId="0">'LV'!A1:F27</ns0:definedName>
    <ns0:definedName name="_xlnm.Print_Titles" localSheetId="0">'LV'!$1:$5</ns0:definedName>
    <ns0:definedName name="_xlnm.Print_Area" localSheetId="1">'Kosten'!A1:C25</ns0:definedName>
  </ns0:definedNames>
  <ns0:calcPr iterateCount="100" refMode="A1" iterate="false" iterateDelta="0.0001" calcMode="auto" fullCalcOnLoad="1" forceFullCalc="1"/>
  <ns0:extLst>
    <ns0:ext uri="{7626C862-2A13-11E5-B345-FEFF819CDC9F}">
      <ns2:extCalcPr stringRefSyntax="CalcA1ExcelA1"/>
    </ns0:ext>
  </ns0:extLst>
</ns0:workbook>
</file>

<file path=xl/sharedStrings.xml><?xml version="1.0" encoding="utf-8"?>
<sst xmlns="http://schemas.openxmlformats.org/spreadsheetml/2006/main" count="77" uniqueCount="65">
  <si>
    <t xml:space="preserve">Planer-Bepreisung Ausbau LV-AU 02</t>
  </si>
  <si>
    <t xml:space="preserve">Mira Falkenhain · 14.09.2026 · PE-OB26 · interne Arbeitsannahmen, EUR netto</t>
  </si>
  <si>
    <t xml:space="preserve">Position</t>
  </si>
  <si>
    <t xml:space="preserve">Leistungsbeschreibung</t>
  </si>
  <si>
    <t xml:space="preserve">Menge</t>
  </si>
  <si>
    <t xml:space="preserve">Einheit</t>
  </si>
  <si>
    <t xml:space="preserve">EP EUR</t>
  </si>
  <si>
    <t xml:space="preserve">GP EUR</t>
  </si>
  <si>
    <t xml:space="preserve">01.010</t>
  </si>
  <si>
    <t xml:space="preserve">Untergrund Sportboden. Vorhandenen mineralischen Untergrund der Halle auf der gesamten Innenfläche reinigen und für den neuen Sportboden vorbereiten. Lose Bestandteile entfernen, geeignete Grundierung aufbringen und kleinere örtliche Unebenheiten im vereinbarten Aufbau ausgleichen. Die ausgeschriebene Leistung umfasst keine Sanierung unbekannter Feuchteursachen. Der Untergrundzustand ist vor Beginn gemeinsam aufzunehmen; abweichende Befunde sind vor Überdeckung mitzuteilen.</t>
  </si>
  <si>
    <t xml:space="preserve">m²</t>
  </si>
  <si>
    <t xml:space="preserve">01.020</t>
  </si>
  <si>
    <t xml:space="preserve">Sportboden Halle. Sportboden für die Halle H-01 auf vorbereitetem Untergrund liefern und verlegen. Der Aufbau muss für Schulungs- und Vereinssport geeignet sein und die im Nutzerkonzept beschriebene Nutzung ohne feste Tribüne aufnehmen. Feldmarkierungen für ein Volleyballfeld und ein Badmintonfeld sind enthalten. Die Systemhöhe von 45 mm ist mit Türanschlüssen und Geräteraumübergang abzustimmen. Ein abweichendes System bedarf vor Ausführung des dokumentierten Funktions- und Anschlussnachweises.</t>
  </si>
  <si>
    <t xml:space="preserve">01.030</t>
  </si>
  <si>
    <t xml:space="preserve">Sockel Halle. Sockelabschluss am Sportboden umlaufend an den Hallenwänden herstellen. Die Anschlussfuge des Bodens darf nicht starr überbrückt werden. Innen- und Außenecken, Endstücke an den beiden Hallenausgängen sowie Anschlüsse an die Prallwand sind enthalten. Türbreiten werden vollständig von der geometrischen Länge abgezogen. Die Sockelleistung ist nicht Bestandteil der Prallwandposition.</t>
  </si>
  <si>
    <t xml:space="preserve">m</t>
  </si>
  <si>
    <t xml:space="preserve">02.010</t>
  </si>
  <si>
    <t xml:space="preserve">Prallwand Halle. Prallwandbekleidung in Halle H-01 bis 2,00 m über Fertigfußboden herstellen. Die Bekleidung umfasst die im System erforderliche Unterkonstruktion und geschlossene, für die vereinbarte Sportnutzung geeignete Oberfläche. Die beiden Ausgangsöffnungen werden bis zur Bekleidungshöhe vollständig ausgespart. Geräteraum und Sozialtrakt sind nicht enthalten. Anschlüsse an Türzargen sind ohne vorstehende Kanten auszubilden und mit dem Türlieferanten abzustimmen.</t>
  </si>
  <si>
    <t xml:space="preserve">02.020</t>
  </si>
  <si>
    <t xml:space="preserve">Einbauausschnitte Prallwand. Acht Ausschnitte für die bezeichneten Elektroeinbauten in der Prallwand herstellen und deren Ränder systemgerecht schließen. Lage und fertige Einbautiefe sind vor Bearbeitung anhand des Elektroplans E-04 abzustimmen. Die elektrischen Geräte, Leitungen und deren Anschluss sind nicht enthalten. Der Ausschnitt darf die zugesagte Eignung des Bekleidungssystems nicht beeinträchtigen; der erforderliche Systembezug ist vor Ausführung nachzuweisen.</t>
  </si>
  <si>
    <t xml:space="preserve">St</t>
  </si>
  <si>
    <t xml:space="preserve">03.010</t>
  </si>
  <si>
    <t xml:space="preserve">Hallendecke. Demontierbare Akustikdecke unter der Hallentragkonstruktion herstellen. Die Unterkonstruktion ist auf den bestätigten Befestigungsgrund und die Lasten des gewählten Systems abzustimmen. Leuchten und Lüftungsauslässe werden nach den Fachplänen integriert; ihre technischen Komponenten gehören zu den Fachlosen. Vier gesondert vergütete Revisionsöffnungen sind in der geometrischen Fläche abgezogen. Die Decke ist nicht als Ersatz für erforderliche Bauteilabschottungen beschrieben.</t>
  </si>
  <si>
    <t xml:space="preserve">03.020</t>
  </si>
  <si>
    <t xml:space="preserve">Revisionsklappen. Vier Revisionsklappen mit lichter Öffnung 600 mm mal 600 mm in der Hallendecke liefern und einbauen. Die Ausführung muss zur angrenzenden Decke passen und den Zugang zu den in A-603/B bezeichneten Wartungsstellen erlauben. Verstärkungen der Unterkonstruktion und saubere Randanschlüsse sind enthalten. Die Klappen dürfen nicht durch Leuchten oder Einbauten blockiert werden. Zusätzliche Wartungsstellen sind in dieser Position nicht mengenmäßig erfasst.</t>
  </si>
  <si>
    <t xml:space="preserve">04.010</t>
  </si>
  <si>
    <t xml:space="preserve">Trennwände Sozialtrakt. Nichttragende Trennwände im Sozialtrakt gemäß Wandliste und Grundriss A-601/B herstellen. Der ausgeschriebene Wandaufbau hat 125 mm Gesamtdicke mit beidseitiger zweilagiger Bekleidung und Hohlraumdämmung. Beide Wandseiten und die erforderliche Unterkonstruktion sind im Einheitspreis der Wandansichtsfläche enthalten. Türöffnungen werden geometrisch vollständig abgezogen. Oberflächenendbehandlung wird in den nachfolgenden Positionen gesondert vergütet.</t>
  </si>
  <si>
    <t xml:space="preserve">04.020</t>
  </si>
  <si>
    <t xml:space="preserve">Wandoberflächen vorbereiten. Beide sichtbaren Seiten der Trennwände im Sozialtrakt für den vereinbarten Anstrich vorbereiten. Fugen und Befestigungspunkte sind systemgerecht zu bearbeiten; die Fläche muss für den in der nächsten Position beschriebenen Beschichtungsaufbau geeignet sein. Die Leistung wird nach der tatsächlich beschriebenen beidseitigen Fläche angesetzt. Sonderanforderungen aus später gewählten Streiflicht- oder Hochglanzoberflächen sind nicht Bestandteil dieses Textstands.</t>
  </si>
  <si>
    <t xml:space="preserve">04.030</t>
  </si>
  <si>
    <t xml:space="preserve">Wandanstrich Sozialtrakt. Vorbereitete Wandflächen im Sozialtrakt mit einem für die vereinbarte Nutzung geeigneten, reinigungsfähigen Innenanstrich beschichten. Grundierung und deckender Beschichtungsaufbau in einem hellen Farbton nach Bemusterung sind enthalten. Die Bemusterung betrifft den Farbton, nicht eine offene Änderung der technischen Qualität. Zargen, Bodenflächen und Einbauten sind während der Arbeiten zu schützen. Die Leistung umfasst beide in der Mengenermittlung bezeichneten Wandseiten.</t>
  </si>
  <si>
    <t xml:space="preserve">05.010</t>
  </si>
  <si>
    <t xml:space="preserve">Innentüren T-01 bis T-04. Vier Innentürelemente T-01 bis T-04 für die Räume des Sozialtrakts liefern und einbauen. Türblatt, Zarge, Standardbeschläge und Anschluss an die Trockenbauwand sind enthalten. Die Rohbauöffnungen betragen nach diesem Textstand jeweils 1,01 m mal 2,135 m. Besondere Feuer- oder Rauchschutzanforderungen sind in dieser Position nicht beschrieben. Bodenanschluss und Anschlagrichtung sind vor Fertigung mit der aktuellen Türliste abzugleichen.</t>
  </si>
  <si>
    <t xml:space="preserve">05.020</t>
  </si>
  <si>
    <t xml:space="preserve">Hallenausgänge T-05 und T-06. Zwei Türanlagen an den Hallenausgängen T-05 und T-06 gemäß Türliste liefern und einbauen. Die geometrischen Öffnungen betragen jeweils 1,26 m mal 2,26 m. Der Anschluss an Sportboden und Prallwand ist enthalten; vorstehende Kanten im Sportbereich sind zu vermeiden. Die betriebliche Funktion aus dem Brandschutzbeitrag ist mit den vorgesehenen Beschlägen nachzuweisen. Elektroantriebe und Zutrittssteuerung sind nicht vorgesehen.</t>
  </si>
  <si>
    <t xml:space="preserve">06.010</t>
  </si>
  <si>
    <t xml:space="preserve">Boden Sozialtrakt. Elastischen Bodenbelag im Sozialtrakt auf vorbereitetem Untergrund verlegen. Die Gesamtfläche umfasst Umkleiden, Aufenthaltsraum, Geräteraum und internen Verbindungsbereich gemäß A-601/B. Untergrundvorbereitung im vereinbarten Umfang, Klebung und Übergangsprofile an den Türöffnungen sind enthalten. Nassbelastete Sonderflächen sind nach diesem Stand nicht Bestandteil des Leistungsbereichs. Der Anschluss an den Hallenboden erfolgt höhengleich nach dem bezeichneten Detail.</t>
  </si>
  <si>
    <t xml:space="preserve">06.020</t>
  </si>
  <si>
    <t xml:space="preserve">Sockel Sozialtrakt. Sockelleisten im Sozialtrakt einschließlich Ecken, Endstücke und Anschlüsse an Türzargen liefern und montieren. Die Länge von 98,00 m stammt aus der raumweisen Längenaufnahme ML-01. Türöffnungen sind darin abgezogen. Leitungsdurchführungen dürfen nicht verdeckt werden, wenn hierfür ein Wartungszugang vorgesehen ist. Die Sockelleisten sind auf den gewählten Bodenbelag abzustimmen; zusätzliche Wandbekleidungen sind nicht enthalten.</t>
  </si>
  <si>
    <t xml:space="preserve">07.010</t>
  </si>
  <si>
    <t xml:space="preserve">Schutz und Abschnittstrennung. Für die Dauer der Ausbauarbeiten den Zugang zum nicht umgebauten Vereinsbüro staubgeschützt vom Arbeitsbereich trennen. Enthalten sind eine provisorische Trennwand mit verschließbarem Durchgang, Schutz der verbleibenden Bodenflächen und Rückbau nach Abschluss. Die Vorhaltung ist für sechs Kalenderwochen angesetzt. Ein öffentlicher Sportbetrieb in der Halle während der Arbeiten ist nicht vorgesehen und wird durch diese Position nicht ermöglicht.</t>
  </si>
  <si>
    <t xml:space="preserve">psch</t>
  </si>
  <si>
    <t xml:space="preserve">07.020</t>
  </si>
  <si>
    <t xml:space="preserve">Bauendreinigung Ausbau. Die durch dieses Los bearbeiteten Flächen nach Abschluss der Arbeiten von baubedingten Verschmutzungen reinigen. Schutzfolien und eigene Verpackungsreste entfernen, Tür- und Bodenoberflächen entsprechend den Pflegevorgaben des gewählten Systems behandeln. Die Leistung umfasst Halle und Sozialtrakt mit zusammen 396,00 m². Eine laufende Unterhaltsreinigung nach Aufnahme des Betriebs und die Entsorgung fremder Reststoffe sind nicht enthalten.</t>
  </si>
  <si>
    <t xml:space="preserve">Summe netto</t>
  </si>
  <si>
    <t xml:space="preserve">Mengen: ML-01, 04.09.2026. Preise: interne Preisannahmen, 14.09.2026.</t>
  </si>
  <si>
    <t xml:space="preserve">Ausbau Kostenüberleitung</t>
  </si>
  <si>
    <t xml:space="preserve">Stand LV-AU/02, 14.09.2026. Spätere Fachbeiträge noch nicht eingerechnet.</t>
  </si>
  <si>
    <t xml:space="preserve">Vergleichsgröße</t>
  </si>
  <si>
    <t xml:space="preserve">EUR netto</t>
  </si>
  <si>
    <t xml:space="preserve">Bezug</t>
  </si>
  <si>
    <t xml:space="preserve">Ausbau in Kostenberechnung</t>
  </si>
  <si>
    <t xml:space="preserve">KB-03: gleicher betrachteter Ausbauumfang</t>
  </si>
  <si>
    <t xml:space="preserve">Planer-LV Ausbau</t>
  </si>
  <si>
    <t xml:space="preserve">Nur die 16 Positionen dieser Fassung</t>
  </si>
  <si>
    <t xml:space="preserve">Differenz LV zu Kostenberechnung</t>
  </si>
  <si>
    <t xml:space="preserve">Kostenberechnung Gesamtprojekt</t>
  </si>
  <si>
    <t xml:space="preserve">Übriger Umfang aus Kostenberechnung</t>
  </si>
  <si>
    <t xml:space="preserve">Gesamt mit diesem Planer-LV</t>
  </si>
  <si>
    <t xml:space="preserve">Reserve gesondert</t>
  </si>
  <si>
    <t xml:space="preserve">Gesamt einschließlich Reserve</t>
  </si>
  <si>
    <t xml:space="preserve">Restleistungen sind mit KB-03 fortgeführt, nicht bereits durch eigene LV bepreist.</t>
  </si>
  <si>
    <t xml:space="preserve">Der Vergleich ist keine Bestätigung des gesamten Budgets und keine Vergabefreigabe.</t>
  </si>
  <si>
    <t xml:space="preserve">Tür T-04 und zusätzliche Wartungsstellen stammen aus späterer Korrespondenz.</t>
  </si>
  <si>
    <t xml:space="preserve">gez. Mira Falkenhain · Falkenhain Architektur</t>
  </si>
</sst>
</file>

<file path=xl/styles.xml><?xml version="1.0" encoding="utf-8"?>
<styleSheet xmlns="http://schemas.openxmlformats.org/spreadsheetml/2006/main">
  <numFmts count="4">
    <numFmt numFmtId="164" formatCode="General"/>
    <numFmt numFmtId="165" formatCode="@"/>
    <numFmt numFmtId="166" formatCode="[$-407]0.0000"/>
    <numFmt numFmtId="167" formatCode="[$-407]#,##0.00"/>
  </numFmts>
  <fonts count="9">
    <font>
      <sz val="10"/>
      <name val="Arial"/>
      <family val="2"/>
    </font>
    <font>
      <sz val="10"/>
      <name val="Arial"/>
      <family val="0"/>
    </font>
    <font>
      <sz val="10"/>
      <name val="Arial"/>
      <family val="0"/>
    </font>
    <font>
      <sz val="10"/>
      <name val="Arial"/>
      <family val="0"/>
    </font>
    <font>
      <sz val="11"/>
      <name val="Calibri"/>
      <family val="0"/>
      <charset val="1"/>
    </font>
    <font>
      <sz val="11"/>
      <color rgb="FF202529"/>
      <name val="Arial"/>
      <family val="0"/>
      <charset val="1"/>
    </font>
    <font>
      <b val="true"/>
      <sz val="15"/>
      <color rgb="FF202529"/>
      <name val="Arial"/>
      <family val="0"/>
      <charset val="1"/>
    </font>
    <font>
      <b val="true"/>
      <sz val="11"/>
      <color rgb="FFFFFFFF"/>
      <name val="Arial"/>
      <family val="0"/>
      <charset val="1"/>
    </font>
    <font>
      <sz val="11"/>
      <color rgb="FF215774"/>
      <name val="Arial"/>
      <family val="0"/>
      <charset val="1"/>
    </font>
  </fonts>
  <fills count="4">
    <fill>
      <patternFill patternType="none"/>
    </fill>
    <fill>
      <patternFill patternType="gray125"/>
    </fill>
    <fill>
      <patternFill patternType="solid">
        <fgColor rgb="FF3D4A52"/>
        <bgColor rgb="FF215774"/>
      </patternFill>
    </fill>
    <fill>
      <patternFill patternType="solid">
        <fgColor rgb="FFF6EDCF"/>
        <bgColor rgb="FFFFFF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general" vertical="center" textRotation="0" wrapText="false" indent="0" shrinkToFit="false"/>
      <protection locked="true" hidden="false"/>
    </xf>
    <xf numFmtId="164" fontId="6" fillId="0" borderId="0" xfId="20" applyFont="true" applyBorder="true" applyAlignment="true" applyProtection="false">
      <alignment horizontal="general" vertical="center" textRotation="0" wrapText="false" indent="0" shrinkToFit="false"/>
      <protection locked="true" hidden="false"/>
    </xf>
    <xf numFmtId="164" fontId="7" fillId="2" borderId="0" xfId="20" applyFont="true" applyBorder="true" applyAlignment="true" applyProtection="false">
      <alignment horizontal="center" vertical="center" textRotation="0" wrapText="true" indent="0" shrinkToFit="false"/>
      <protection locked="true" hidden="false"/>
    </xf>
    <xf numFmtId="165" fontId="5" fillId="0" borderId="0" xfId="20" applyFont="true" applyBorder="true" applyAlignment="true" applyProtection="false">
      <alignment horizontal="general" vertical="center" textRotation="0" wrapText="false" indent="0" shrinkToFit="false"/>
      <protection locked="true" hidden="false"/>
    </xf>
    <xf numFmtId="164" fontId="5" fillId="0" borderId="0" xfId="20" applyFont="true" applyBorder="true" applyAlignment="true" applyProtection="false">
      <alignment horizontal="general" vertical="center" textRotation="0" wrapText="true" indent="0" shrinkToFit="false"/>
      <protection locked="true" hidden="false"/>
    </xf>
    <xf numFmtId="166" fontId="8" fillId="3" borderId="0" xfId="20" applyFont="true" applyBorder="true" applyAlignment="true" applyProtection="false">
      <alignment horizontal="general" vertical="center" textRotation="0" wrapText="false" indent="0" shrinkToFit="false"/>
      <protection locked="true" hidden="false"/>
    </xf>
    <xf numFmtId="167" fontId="8" fillId="3" borderId="0" xfId="20" applyFont="true" applyBorder="true" applyAlignment="true" applyProtection="false">
      <alignment horizontal="general" vertical="center" textRotation="0" wrapText="false" indent="0" shrinkToFit="false"/>
      <protection locked="true" hidden="false"/>
    </xf>
    <xf numFmtId="167" fontId="5" fillId="0" borderId="0" xfId="20" applyFont="true" applyBorder="tru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ED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15774"/>
      <rgbColor rgb="FF339966"/>
      <rgbColor rgb="FF003300"/>
      <rgbColor rgb="FF333300"/>
      <rgbColor rgb="FF993300"/>
      <rgbColor rgb="FF993366"/>
      <rgbColor rgb="FF3D4A52"/>
      <rgbColor rgb="FF20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ns0:worksheet xmlns:ns0="http://schemas.openxmlformats.org/spreadsheetml/2006/main">
  <ns0:sheetPr filterMode="false">
    <ns0:pageSetUpPr fitToPage="1"/>
  </ns0:sheetPr>
  <ns0:dimension ref="A1:F27"/>
  <ns0:sheetViews>
    <ns0:sheetView showFormulas="false" showGridLines="false" showRowColHeaders="true" showZeros="true" rightToLeft="false" tabSelected="true" showOutlineSymbols="true" defaultGridColor="true" view="normal" topLeftCell="A1" colorId="64" zoomScale="100" zoomScaleNormal="100" zoomScalePageLayoutView="100" workbookViewId="0">
      <ns0:pane xSplit="0" ySplit="5" topLeftCell="A6" activePane="bottomLeft" state="frozen"/>
      <ns0:selection pane="topLeft" activeCell="A1" activeCellId="0" sqref="A1"/>
      <ns0:selection pane="bottomLeft" activeCell="A1" activeCellId="0" sqref="A1"/>
    </ns0:sheetView>
  </ns0:sheetViews>
  <ns0:sheetFormatPr defaultColWidth="8.6796875" defaultRowHeight="15" customHeight="false" zeroHeight="false" outlineLevelRow="0" outlineLevelCol="0"/>
  <ns0:cols>
    <ns0:col collapsed="false" customWidth="true" hidden="false" outlineLevel="0" max="1" min="1" style="0" width="8.89"/>
    <ns0:col collapsed="false" customWidth="true" hidden="false" outlineLevel="0" max="2" min="2" style="0" width="58.89"/>
    <ns0:col collapsed="false" customWidth="true" hidden="false" outlineLevel="0" max="3" min="3" style="0" width="11.11"/>
    <ns0:col collapsed="false" customWidth="true" hidden="false" outlineLevel="0" max="4" min="4" style="0" width="7.78"/>
    <ns0:col collapsed="false" customWidth="true" hidden="false" outlineLevel="0" max="5" min="5" style="0" width="12.22"/>
    <ns0:col collapsed="false" customWidth="true" hidden="false" outlineLevel="0" max="6" min="6" style="0" width="13.89"/>
  </ns0:cols>
  <ns0:sheetData>
    <ns0:row r="1" customFormat="false" ht="8" hidden="false" customHeight="true" outlineLevel="0" collapsed="false">
      <ns0:c r="A1" s="1"/>
      <ns0:c r="B1" s="1"/>
      <ns0:c r="C1" s="1"/>
      <ns0:c r="D1" s="1"/>
      <ns0:c r="E1" s="1"/>
      <ns0:c r="F1" s="1"/>
    </ns0:row>
    <ns0:row r="2" customFormat="false" ht="24" hidden="false" customHeight="true" outlineLevel="0" collapsed="false">
      <ns0:c r="A2" s="2" t="s">
        <ns0:v>0</ns0:v>
      </ns0:c>
      <ns0:c r="B2" s="1"/>
      <ns0:c r="C2" s="1"/>
      <ns0:c r="D2" s="1"/>
      <ns0:c r="E2" s="1"/>
      <ns0:c r="F2" s="1"/>
    </ns0:row>
    <ns0:row r="3" customFormat="false" ht="18" hidden="false" customHeight="true" outlineLevel="0" collapsed="false">
      <ns0:c r="A3" s="1" t="s">
        <ns0:v>1</ns0:v>
      </ns0:c>
      <ns0:c r="B3" s="1"/>
      <ns0:c r="C3" s="1"/>
      <ns0:c r="D3" s="1"/>
      <ns0:c r="E3" s="1"/>
      <ns0:c r="F3" s="1"/>
    </ns0:row>
    <ns0:row r="4" customFormat="false" ht="8" hidden="false" customHeight="true" outlineLevel="0" collapsed="false">
      <ns0:c r="A4" s="1"/>
      <ns0:c r="B4" s="1"/>
      <ns0:c r="C4" s="1"/>
      <ns0:c r="D4" s="1"/>
      <ns0:c r="E4" s="1"/>
      <ns0:c r="F4" s="1"/>
    </ns0:row>
    <ns0:row r="5" customFormat="false" ht="36" hidden="false" customHeight="true" outlineLevel="0" collapsed="false">
      <ns0:c r="A5" s="3" t="s">
        <ns0:v>2</ns0:v>
      </ns0:c>
      <ns0:c r="B5" s="3" t="s">
        <ns0:v>3</ns0:v>
      </ns0:c>
      <ns0:c r="C5" s="3" t="s">
        <ns0:v>4</ns0:v>
      </ns0:c>
      <ns0:c r="D5" s="3" t="s">
        <ns0:v>5</ns0:v>
      </ns0:c>
      <ns0:c r="E5" s="3" t="s">
        <ns0:v>6</ns0:v>
      </ns0:c>
      <ns0:c r="F5" s="3" t="s">
        <ns0:v>7</ns0:v>
      </ns0:c>
    </ns0:row>
    <ns0:row r="6" customFormat="false" ht="138" hidden="false" customHeight="true" outlineLevel="0" collapsed="false">
      <ns0:c r="A6" s="4" t="s">
        <ns0:v>8</ns0:v>
      </ns0:c>
      <ns0:c r="B6" s="5" t="s">
        <ns0:v>9</ns0:v>
      </ns0:c>
      <ns0:c r="C6" s="6" t="n">
        <ns0:v>288</ns0:v>
      </ns0:c>
      <ns0:c r="D6" s="1" t="s">
        <ns0:v>10</ns0:v>
      </ns0:c>
      <ns0:c r="E6" s="7" t="n">
        <ns0:v>12</ns0:v>
      </ns0:c>
      <ns0:c r="F6" s="8" t="n">
        <ns0:f aca="false">IF(COUNT(C6,E6)=2,ROUND(C6*E6,2),"")</ns0:f>
        <ns0:v>3456</ns0:v>
      </ns0:c>
    </ns0:row>
    <ns0:row r="7" customFormat="false" ht="138" hidden="false" customHeight="true" outlineLevel="0" collapsed="false">
      <ns0:c r="A7" s="4" t="s">
        <ns0:v>11</ns0:v>
      </ns0:c>
      <ns0:c r="B7" s="5" t="s">
        <ns0:v>12</ns0:v>
      </ns0:c>
      <ns0:c r="C7" s="6" t="n">
        <ns0:v>288</ns0:v>
      </ns0:c>
      <ns0:c r="D7" s="1" t="s">
        <ns0:v>10</ns0:v>
      </ns0:c>
      <ns0:c r="E7" s="7" t="n">
        <ns0:v>89</ns0:v>
      </ns0:c>
      <ns0:c r="F7" s="8" t="n">
        <ns0:f aca="false">IF(COUNT(C7,E7)=2,ROUND(C7*E7,2),"")</ns0:f>
        <ns0:v>25632</ns0:v>
      </ns0:c>
    </ns0:row>
    <ns0:row r="8" customFormat="false" ht="138" hidden="false" customHeight="true" outlineLevel="0" collapsed="false">
      <ns0:c r="A8" s="4" t="s">
        <ns0:v>13</ns0:v>
      </ns0:c>
      <ns0:c r="B8" s="5" t="s">
        <ns0:v>14</ns0:v>
      </ns0:c>
      <ns0:c r="C8" s="6" t="n">
        <ns0:v>69.48</ns0:v>
      </ns0:c>
      <ns0:c r="D8" s="1" t="s">
        <ns0:v>15</ns0:v>
      </ns0:c>
      <ns0:c r="E8" s="7" t="n">
        <ns0:v>18</ns0:v>
      </ns0:c>
      <ns0:c r="F8" s="8" t="n">
        <ns0:f aca="false">IF(COUNT(C8,E8)=2,ROUND(C8*E8,2),"")</ns0:f>
        <ns0:v>1250.64</ns0:v>
      </ns0:c>
    </ns0:row>
    <ns0:row r="9" customFormat="false" ht="138" hidden="false" customHeight="true" outlineLevel="0" collapsed="false">
      <ns0:c r="A9" s="4" t="s">
        <ns0:v>16</ns0:v>
      </ns0:c>
      <ns0:c r="B9" s="5" t="s">
        <ns0:v>17</ns0:v>
      </ns0:c>
      <ns0:c r="C9" s="6" t="n">
        <ns0:v>138.96</ns0:v>
      </ns0:c>
      <ns0:c r="D9" s="1" t="s">
        <ns0:v>10</ns0:v>
      </ns0:c>
      <ns0:c r="E9" s="7" t="n">
        <ns0:v>115</ns0:v>
      </ns0:c>
      <ns0:c r="F9" s="8" t="n">
        <ns0:f aca="false">IF(COUNT(C9,E9)=2,ROUND(C9*E9,2),"")</ns0:f>
        <ns0:v>15980.4</ns0:v>
      </ns0:c>
    </ns0:row>
    <ns0:row r="10" customFormat="false" ht="138" hidden="false" customHeight="true" outlineLevel="0" collapsed="false">
      <ns0:c r="A10" s="4" t="s">
        <ns0:v>18</ns0:v>
      </ns0:c>
      <ns0:c r="B10" s="5" t="s">
        <ns0:v>19</ns0:v>
      </ns0:c>
      <ns0:c r="C10" s="6" t="n">
        <ns0:v>8</ns0:v>
      </ns0:c>
      <ns0:c r="D10" s="1" t="s">
        <ns0:v>20</ns0:v>
      </ns0:c>
      <ns0:c r="E10" s="7" t="n">
        <ns0:v>45</ns0:v>
      </ns0:c>
      <ns0:c r="F10" s="8" t="n">
        <ns0:f aca="false">IF(COUNT(C10,E10)=2,ROUND(C10*E10,2),"")</ns0:f>
        <ns0:v>360</ns0:v>
      </ns0:c>
    </ns0:row>
    <ns0:row r="11" customFormat="false" ht="138" hidden="false" customHeight="true" outlineLevel="0" collapsed="false">
      <ns0:c r="A11" s="4" t="s">
        <ns0:v>21</ns0:v>
      </ns0:c>
      <ns0:c r="B11" s="5" t="s">
        <ns0:v>22</ns0:v>
      </ns0:c>
      <ns0:c r="C11" s="6" t="n">
        <ns0:v>286.56</ns0:v>
      </ns0:c>
      <ns0:c r="D11" s="1" t="s">
        <ns0:v>10</ns0:v>
      </ns0:c>
      <ns0:c r="E11" s="7" t="n">
        <ns0:v>64</ns0:v>
      </ns0:c>
      <ns0:c r="F11" s="8" t="n">
        <ns0:f aca="false">IF(COUNT(C11,E11)=2,ROUND(C11*E11,2),"")</ns0:f>
        <ns0:v>18339.84</ns0:v>
      </ns0:c>
    </ns0:row>
    <ns0:row r="12" customFormat="false" ht="138" hidden="false" customHeight="true" outlineLevel="0" collapsed="false">
      <ns0:c r="A12" s="4" t="s">
        <ns0:v>23</ns0:v>
      </ns0:c>
      <ns0:c r="B12" s="5" t="s">
        <ns0:v>24</ns0:v>
      </ns0:c>
      <ns0:c r="C12" s="6" t="n">
        <ns0:v>4</ns0:v>
      </ns0:c>
      <ns0:c r="D12" s="1" t="s">
        <ns0:v>20</ns0:v>
      </ns0:c>
      <ns0:c r="E12" s="7" t="n">
        <ns0:v>145</ns0:v>
      </ns0:c>
      <ns0:c r="F12" s="8" t="n">
        <ns0:f aca="false">IF(COUNT(C12,E12)=2,ROUND(C12*E12,2),"")</ns0:f>
        <ns0:v>580</ns0:v>
      </ns0:c>
    </ns0:row>
    <ns0:row r="13" customFormat="false" ht="138" hidden="false" customHeight="true" outlineLevel="0" collapsed="false">
      <ns0:c r="A13" s="4" t="s">
        <ns0:v>25</ns0:v>
      </ns0:c>
      <ns0:c r="B13" s="5" t="s">
        <ns0:v>26</ns0:v>
      </ns0:c>
      <ns0:c r="C13" s="6" t="n">
        <ns0:v>100.1746</ns0:v>
      </ns0:c>
      <ns0:c r="D13" s="1" t="s">
        <ns0:v>10</ns0:v>
      </ns0:c>
      <ns0:c r="E13" s="7" t="n">
        <ns0:v>76</ns0:v>
      </ns0:c>
      <ns0:c r="F13" s="8" t="n">
        <ns0:f aca="false">IF(COUNT(C13,E13)=2,ROUND(C13*E13,2),"")</ns0:f>
        <ns0:v>7613.27</ns0:v>
      </ns0:c>
    </ns0:row>
    <ns0:row r="14" customFormat="false" ht="138" hidden="false" customHeight="true" outlineLevel="0" collapsed="false">
      <ns0:c r="A14" s="4" t="s">
        <ns0:v>27</ns0:v>
      </ns0:c>
      <ns0:c r="B14" s="5" t="s">
        <ns0:v>28</ns0:v>
      </ns0:c>
      <ns0:c r="C14" s="6" t="n">
        <ns0:v>200.3492</ns0:v>
      </ns0:c>
      <ns0:c r="D14" s="1" t="s">
        <ns0:v>10</ns0:v>
      </ns0:c>
      <ns0:c r="E14" s="7" t="n">
        <ns0:v>12</ns0:v>
      </ns0:c>
      <ns0:c r="F14" s="8" t="n">
        <ns0:f aca="false">IF(COUNT(C14,E14)=2,ROUND(C14*E14,2),"")</ns0:f>
        <ns0:v>2404.19</ns0:v>
      </ns0:c>
    </ns0:row>
    <ns0:row r="15" customFormat="false" ht="138" hidden="false" customHeight="true" outlineLevel="0" collapsed="false">
      <ns0:c r="A15" s="4" t="s">
        <ns0:v>29</ns0:v>
      </ns0:c>
      <ns0:c r="B15" s="5" t="s">
        <ns0:v>30</ns0:v>
      </ns0:c>
      <ns0:c r="C15" s="6" t="n">
        <ns0:v>200.3492</ns0:v>
      </ns0:c>
      <ns0:c r="D15" s="1" t="s">
        <ns0:v>10</ns0:v>
      </ns0:c>
      <ns0:c r="E15" s="7" t="n">
        <ns0:v>9.5</ns0:v>
      </ns0:c>
      <ns0:c r="F15" s="8" t="n">
        <ns0:f aca="false">IF(COUNT(C15,E15)=2,ROUND(C15*E15,2),"")</ns0:f>
        <ns0:v>1903.32</ns0:v>
      </ns0:c>
    </ns0:row>
    <ns0:row r="16" customFormat="false" ht="138" hidden="false" customHeight="true" outlineLevel="0" collapsed="false">
      <ns0:c r="A16" s="4" t="s">
        <ns0:v>31</ns0:v>
      </ns0:c>
      <ns0:c r="B16" s="5" t="s">
        <ns0:v>32</ns0:v>
      </ns0:c>
      <ns0:c r="C16" s="6" t="n">
        <ns0:v>4</ns0:v>
      </ns0:c>
      <ns0:c r="D16" s="1" t="s">
        <ns0:v>20</ns0:v>
      </ns0:c>
      <ns0:c r="E16" s="7" t="n">
        <ns0:v>620</ns0:v>
      </ns0:c>
      <ns0:c r="F16" s="8" t="n">
        <ns0:f aca="false">IF(COUNT(C16,E16)=2,ROUND(C16*E16,2),"")</ns0:f>
        <ns0:v>2480</ns0:v>
      </ns0:c>
    </ns0:row>
    <ns0:row r="17" customFormat="false" ht="138" hidden="false" customHeight="true" outlineLevel="0" collapsed="false">
      <ns0:c r="A17" s="4" t="s">
        <ns0:v>33</ns0:v>
      </ns0:c>
      <ns0:c r="B17" s="5" t="s">
        <ns0:v>34</ns0:v>
      </ns0:c>
      <ns0:c r="C17" s="6" t="n">
        <ns0:v>2</ns0:v>
      </ns0:c>
      <ns0:c r="D17" s="1" t="s">
        <ns0:v>20</ns0:v>
      </ns0:c>
      <ns0:c r="E17" s="7" t="n">
        <ns0:v>1750</ns0:v>
      </ns0:c>
      <ns0:c r="F17" s="8" t="n">
        <ns0:f aca="false">IF(COUNT(C17,E17)=2,ROUND(C17*E17,2),"")</ns0:f>
        <ns0:v>3500</ns0:v>
      </ns0:c>
    </ns0:row>
    <ns0:row r="18" customFormat="false" ht="138" hidden="false" customHeight="true" outlineLevel="0" collapsed="false">
      <ns0:c r="A18" s="4" t="s">
        <ns0:v>35</ns0:v>
      </ns0:c>
      <ns0:c r="B18" s="5" t="s">
        <ns0:v>36</ns0:v>
      </ns0:c>
      <ns0:c r="C18" s="6" t="n">
        <ns0:v>108</ns0:v>
      </ns0:c>
      <ns0:c r="D18" s="1" t="s">
        <ns0:v>10</ns0:v>
      </ns0:c>
      <ns0:c r="E18" s="7" t="n">
        <ns0:v>48</ns0:v>
      </ns0:c>
      <ns0:c r="F18" s="8" t="n">
        <ns0:f aca="false">IF(COUNT(C18,E18)=2,ROUND(C18*E18,2),"")</ns0:f>
        <ns0:v>5184</ns0:v>
      </ns0:c>
    </ns0:row>
    <ns0:row r="19" customFormat="false" ht="138" hidden="false" customHeight="true" outlineLevel="0" collapsed="false">
      <ns0:c r="A19" s="4" t="s">
        <ns0:v>37</ns0:v>
      </ns0:c>
      <ns0:c r="B19" s="5" t="s">
        <ns0:v>38</ns0:v>
      </ns0:c>
      <ns0:c r="C19" s="6" t="n">
        <ns0:v>98</ns0:v>
      </ns0:c>
      <ns0:c r="D19" s="1" t="s">
        <ns0:v>15</ns0:v>
      </ns0:c>
      <ns0:c r="E19" s="7" t="n">
        <ns0:v>9</ns0:v>
      </ns0:c>
      <ns0:c r="F19" s="8" t="n">
        <ns0:f aca="false">IF(COUNT(C19,E19)=2,ROUND(C19*E19,2),"")</ns0:f>
        <ns0:v>882</ns0:v>
      </ns0:c>
    </ns0:row>
    <ns0:row r="20" customFormat="false" ht="138" hidden="false" customHeight="true" outlineLevel="0" collapsed="false">
      <ns0:c r="A20" s="4" t="s">
        <ns0:v>39</ns0:v>
      </ns0:c>
      <ns0:c r="B20" s="5" t="s">
        <ns0:v>40</ns0:v>
      </ns0:c>
      <ns0:c r="C20" s="6" t="n">
        <ns0:v>1</ns0:v>
      </ns0:c>
      <ns0:c r="D20" s="1" t="s">
        <ns0:v>41</ns0:v>
      </ns0:c>
      <ns0:c r="E20" s="7" t="n">
        <ns0:v>1450</ns0:v>
      </ns0:c>
      <ns0:c r="F20" s="8" t="n">
        <ns0:f aca="false">IF(COUNT(C20,E20)=2,ROUND(C20*E20,2),"")</ns0:f>
        <ns0:v>1450</ns0:v>
      </ns0:c>
    </ns0:row>
    <ns0:row r="21" customFormat="false" ht="138" hidden="false" customHeight="true" outlineLevel="0" collapsed="false">
      <ns0:c r="A21" s="4" t="s">
        <ns0:v>42</ns0:v>
      </ns0:c>
      <ns0:c r="B21" s="5" t="s">
        <ns0:v>43</ns0:v>
      </ns0:c>
      <ns0:c r="C21" s="6" t="n">
        <ns0:v>396</ns0:v>
      </ns0:c>
      <ns0:c r="D21" s="1" t="s">
        <ns0:v>10</ns0:v>
      </ns0:c>
      <ns0:c r="E21" s="7" t="n">
        <ns0:v>3.2</ns0:v>
      </ns0:c>
      <ns0:c r="F21" s="8" t="n">
        <ns0:f aca="false">IF(COUNT(C21,E21)=2,ROUND(C21*E21,2),"")</ns0:f>
        <ns0:v>1267.2</ns0:v>
      </ns0:c>
    </ns0:row>
    <ns0:row r="22" customFormat="false" ht="8" hidden="false" customHeight="true" outlineLevel="0" collapsed="false">
      <ns0:c r="A22" s="1"/>
      <ns0:c r="B22" s="1"/>
      <ns0:c r="C22" s="1"/>
      <ns0:c r="D22" s="1"/>
      <ns0:c r="E22" s="1"/>
      <ns0:c r="F22" s="8"/>
    </ns0:row>
    <ns0:row r="23" customFormat="false" ht="18" hidden="false" customHeight="true" outlineLevel="0" collapsed="false">
      <ns0:c r="A23" s="1"/>
      <ns0:c r="B23" s="1" t="s">
        <ns0:v>44</ns0:v>
      </ns0:c>
      <ns0:c r="C23" s="1"/>
      <ns0:c r="D23" s="1"/>
      <ns0:c r="E23" s="1"/>
      <ns0:c r="F23" s="8" t="n">
        <ns0:f aca="false">IF(COUNT(F6:F21)=16,SUM(F6:F21),"")</ns0:f>
        <ns0:v>92282.86</ns0:v>
      </ns0:c>
    </ns0:row>
    <ns0:row r="24" customFormat="false" ht="8" hidden="false" customHeight="true" outlineLevel="0" collapsed="false">
      <ns0:c r="A24" s="1"/>
      <ns0:c r="B24" s="1"/>
      <ns0:c r="C24" s="1"/>
      <ns0:c r="D24" s="1"/>
      <ns0:c r="E24" s="1"/>
      <ns0:c r="F24" s="8"/>
    </ns0:row>
    <ns0:row r="25" customFormat="false" ht="30" hidden="false" customHeight="true" outlineLevel="0" collapsed="false">
      <ns0:c r="A25" s="1"/>
      <ns0:c r="B25" s="5" t="s">
        <ns0:v>45</ns0:v>
      </ns0:c>
      <ns0:c r="C25" s="1"/>
      <ns0:c r="D25" s="1"/>
      <ns0:c r="E25" s="1"/>
      <ns0:c r="F25" s="1"/>
    </ns0:row>
    <ns0:row r="26" customFormat="false" ht="8" hidden="false" customHeight="true" outlineLevel="0" collapsed="false">
      <ns0:c r="A26" s="1"/>
      <ns0:c r="B26" s="1"/>
      <ns0:c r="C26" s="1"/>
      <ns0:c r="D26" s="1"/>
      <ns0:c r="E26" s="1"/>
      <ns0:c r="F26" s="1"/>
    </ns0:row>
    <ns0:row r="27" customFormat="false" ht="8" hidden="false" customHeight="true" outlineLevel="0" collapsed="false">
      <ns0:c r="A27" s="1"/>
      <ns0:c r="B27" s="1"/>
      <ns0:c r="C27" s="1"/>
      <ns0:c r="D27" s="1"/>
      <ns0:c r="E27" s="1"/>
      <ns0:c r="F27" s="1"/>
    </ns0:row>
  </ns0:sheetData>
  <ns0:printOptions headings="false" gridLines="false" gridLinesSet="true" horizontalCentered="false" verticalCentered="false"/>
  <ns0:pageMargins left="0.3" right="0.3" top="0.35" bottom="0.35" header="0.1" footer="0.1"/>
  <ns0:pageSetup paperSize="8" scale="100" fitToWidth="1" fitToHeight="0" pageOrder="downThenOver" orientation="landscape" blackAndWhite="false" draft="false" cellComments="none" horizontalDpi="300" verticalDpi="300" copies="1"/>
  <ns0:headerFooter differentFirst="false" differentOddEven="false">
    <ns0:oddHeader/>
    <ns0:oddFooter/>
  </ns0:headerFooter>
</ns0:worksheet>
</file>

<file path=xl/worksheets/sheet2.xml><?xml version="1.0" encoding="utf-8"?>
<ns0:worksheet xmlns:ns0="http://schemas.openxmlformats.org/spreadsheetml/2006/main">
  <ns0:sheetPr filterMode="false">
    <ns0:pageSetUpPr fitToPage="1"/>
  </ns0:sheetPr>
  <ns0:dimension ref="A1:C25"/>
  <ns0:sheetViews>
    <ns0:sheetView showFormulas="false" showGridLines="false" showRowColHeaders="true" showZeros="true" rightToLeft="false" tabSelected="false" showOutlineSymbols="true" defaultGridColor="true" view="normal" topLeftCell="A1" colorId="64" zoomScale="100" zoomScaleNormal="100" zoomScalePageLayoutView="100" workbookViewId="0">
      <ns0:selection pane="topLeft" activeCell="A1" activeCellId="0" sqref="A1"/>
    </ns0:sheetView>
  </ns0:sheetViews>
  <ns0:sheetFormatPr defaultColWidth="8.6796875" defaultRowHeight="15" customHeight="false" zeroHeight="false" outlineLevelRow="0" outlineLevelCol="0"/>
  <ns0:cols>
    <ns0:col collapsed="false" customWidth="true" hidden="false" outlineLevel="0" max="1" min="1" style="0" width="41.67"/>
    <ns0:col collapsed="false" customWidth="true" hidden="false" outlineLevel="0" max="2" min="2" style="0" width="18.89"/>
    <ns0:col collapsed="false" customWidth="true" hidden="false" outlineLevel="0" max="3" min="3" style="0" width="44.44"/>
  </ns0:cols>
  <ns0:sheetData>
    <ns0:row r="1" customFormat="false" ht="8" hidden="false" customHeight="true" outlineLevel="0" collapsed="false">
      <ns0:c r="A1" s="1"/>
      <ns0:c r="B1" s="1"/>
      <ns0:c r="C1" s="1"/>
    </ns0:row>
    <ns0:row r="2" customFormat="false" ht="24" hidden="false" customHeight="true" outlineLevel="0" collapsed="false">
      <ns0:c r="A2" s="2" t="s">
        <ns0:v>46</ns0:v>
      </ns0:c>
      <ns0:c r="B2" s="1"/>
      <ns0:c r="C2" s="1"/>
    </ns0:row>
    <ns0:row r="3" customFormat="false" ht="18" hidden="false" customHeight="true" outlineLevel="0" collapsed="false">
      <ns0:c r="A3" s="1" t="s">
        <ns0:v>47</ns0:v>
      </ns0:c>
      <ns0:c r="B3" s="1"/>
      <ns0:c r="C3" s="1"/>
    </ns0:row>
    <ns0:row r="4" customFormat="false" ht="8" hidden="false" customHeight="true" outlineLevel="0" collapsed="false">
      <ns0:c r="A4" s="1"/>
      <ns0:c r="B4" s="1"/>
      <ns0:c r="C4" s="1"/>
    </ns0:row>
    <ns0:row r="5" customFormat="false" ht="36" hidden="false" customHeight="true" outlineLevel="0" collapsed="false">
      <ns0:c r="A5" s="3" t="s">
        <ns0:v>48</ns0:v>
      </ns0:c>
      <ns0:c r="B5" s="3" t="s">
        <ns0:v>49</ns0:v>
      </ns0:c>
      <ns0:c r="C5" s="3" t="s">
        <ns0:v>50</ns0:v>
      </ns0:c>
    </ns0:row>
    <ns0:row r="6" customFormat="false" ht="35" hidden="false" customHeight="true" outlineLevel="0" collapsed="false">
      <ns0:c r="A6" s="1" t="s">
        <ns0:v>51</ns0:v>
      </ns0:c>
      <ns0:c r="B6" s="7" t="n">
        <ns0:v>94000</ns0:v>
      </ns0:c>
      <ns0:c r="C6" s="1" t="s">
        <ns0:v>52</ns0:v>
      </ns0:c>
    </ns0:row>
    <ns0:row r="7" customFormat="false" ht="35" hidden="false" customHeight="true" outlineLevel="0" collapsed="false">
      <ns0:c r="A7" s="1" t="s">
        <ns0:v>53</ns0:v>
      </ns0:c>
      <ns0:c r="B7" s="8" t="n">
        <ns0:f aca="false">LV!F23</ns0:f>
        <ns0:v>92282.86</ns0:v>
      </ns0:c>
      <ns0:c r="C7" s="1" t="s">
        <ns0:v>54</ns0:v>
      </ns0:c>
    </ns0:row>
    <ns0:row r="8" customFormat="false" ht="35" hidden="false" customHeight="true" outlineLevel="0" collapsed="false">
      <ns0:c r="A8" s="1" t="s">
        <ns0:v>55</ns0:v>
      </ns0:c>
      <ns0:c r="B8" s="8" t="n">
        <ns0:f aca="false">IF(B7="","",B7-B6)</ns0:f>
        <ns0:v>-1717.14</ns0:v>
      </ns0:c>
      <ns0:c r="C8" s="1"/>
    </ns0:row>
    <ns0:row r="9" customFormat="false" ht="8" hidden="false" customHeight="true" outlineLevel="0" collapsed="false">
      <ns0:c r="A9" s="1"/>
      <ns0:c r="B9" s="8"/>
      <ns0:c r="C9" s="1"/>
    </ns0:row>
    <ns0:row r="10" customFormat="false" ht="35" hidden="false" customHeight="true" outlineLevel="0" collapsed="false">
      <ns0:c r="A10" s="1" t="s">
        <ns0:v>56</ns0:v>
      </ns0:c>
      <ns0:c r="B10" s="7" t="n">
        <ns0:v>1065000</ns0:v>
      </ns0:c>
      <ns0:c r="C10" s="1"/>
    </ns0:row>
    <ns0:row r="11" customFormat="false" ht="35" hidden="false" customHeight="true" outlineLevel="0" collapsed="false">
      <ns0:c r="A11" s="1" t="s">
        <ns0:v>57</ns0:v>
      </ns0:c>
      <ns0:c r="B11" s="8" t="n">
        <ns0:f aca="false">B10-B6</ns0:f>
        <ns0:v>971000</ns0:v>
      </ns0:c>
      <ns0:c r="C11" s="1"/>
    </ns0:row>
    <ns0:row r="12" customFormat="false" ht="35" hidden="false" customHeight="true" outlineLevel="0" collapsed="false">
      <ns0:c r="A12" s="1" t="s">
        <ns0:v>58</ns0:v>
      </ns0:c>
      <ns0:c r="B12" s="8" t="n">
        <ns0:f aca="false">IF(B7="","",B11+B7)</ns0:f>
        <ns0:v>1063282.86</ns0:v>
      </ns0:c>
      <ns0:c r="C12" s="1"/>
    </ns0:row>
    <ns0:row r="13" customFormat="false" ht="8" hidden="false" customHeight="true" outlineLevel="0" collapsed="false">
      <ns0:c r="A13" s="1"/>
      <ns0:c r="B13" s="8"/>
      <ns0:c r="C13" s="1"/>
    </ns0:row>
    <ns0:row r="14" customFormat="false" ht="35" hidden="false" customHeight="true" outlineLevel="0" collapsed="false">
      <ns0:c r="A14" s="1" t="s">
        <ns0:v>59</ns0:v>
      </ns0:c>
      <ns0:c r="B14" s="7" t="n">
        <ns0:v>65000</ns0:v>
      </ns0:c>
      <ns0:c r="C14" s="1"/>
    </ns0:row>
    <ns0:row r="15" customFormat="false" ht="35" hidden="false" customHeight="true" outlineLevel="0" collapsed="false">
      <ns0:c r="A15" s="1" t="s">
        <ns0:v>60</ns0:v>
      </ns0:c>
      <ns0:c r="B15" s="8" t="n">
        <ns0:f aca="false">IF(B12="","",B12+B14)</ns0:f>
        <ns0:v>1128282.86</ns0:v>
      </ns0:c>
      <ns0:c r="C15" s="1"/>
    </ns0:row>
    <ns0:row r="16" customFormat="false" ht="8" hidden="false" customHeight="true" outlineLevel="0" collapsed="false">
      <ns0:c r="A16" s="1"/>
      <ns0:c r="B16" s="1"/>
      <ns0:c r="C16" s="1"/>
    </ns0:row>
    <ns0:row r="17" customFormat="false" ht="8" hidden="false" customHeight="true" outlineLevel="0" collapsed="false">
      <ns0:c r="A17" s="1"/>
      <ns0:c r="B17" s="1"/>
      <ns0:c r="C17" s="1"/>
    </ns0:row>
    <ns0:row r="18" customFormat="false" ht="8" hidden="false" customHeight="true" outlineLevel="0" collapsed="false">
      <ns0:c r="A18" s="1"/>
      <ns0:c r="B18" s="1"/>
      <ns0:c r="C18" s="1"/>
    </ns0:row>
    <ns0:row r="19" customFormat="false" ht="18" hidden="false" customHeight="true" outlineLevel="0" collapsed="false">
      <ns0:c r="A19" s="1" t="s">
        <ns0:v>61</ns0:v>
      </ns0:c>
      <ns0:c r="B19" s="1"/>
      <ns0:c r="C19" s="1"/>
    </ns0:row>
    <ns0:row r="20" customFormat="false" ht="18" hidden="false" customHeight="true" outlineLevel="0" collapsed="false">
      <ns0:c r="A20" s="1" t="s">
        <ns0:v>62</ns0:v>
      </ns0:c>
      <ns0:c r="B20" s="1"/>
      <ns0:c r="C20" s="1"/>
    </ns0:row>
    <ns0:row r="21" customFormat="false" ht="18" hidden="false" customHeight="true" outlineLevel="0" collapsed="false">
      <ns0:c r="A21" s="1" t="s">
        <ns0:v>63</ns0:v>
      </ns0:c>
      <ns0:c r="B21" s="1"/>
      <ns0:c r="C21" s="1"/>
    </ns0:row>
    <ns0:row r="22" customFormat="false" ht="8" hidden="false" customHeight="true" outlineLevel="0" collapsed="false">
      <ns0:c r="A22" s="1"/>
      <ns0:c r="B22" s="1"/>
      <ns0:c r="C22" s="1"/>
    </ns0:row>
    <ns0:row r="23" customFormat="false" ht="18" hidden="false" customHeight="true" outlineLevel="0" collapsed="false">
      <ns0:c r="A23" s="1" t="s">
        <ns0:v>64</ns0:v>
      </ns0:c>
      <ns0:c r="B23" s="1"/>
      <ns0:c r="C23" s="1"/>
    </ns0:row>
    <ns0:row r="24" customFormat="false" ht="8" hidden="false" customHeight="true" outlineLevel="0" collapsed="false">
      <ns0:c r="A24" s="1"/>
      <ns0:c r="B24" s="1"/>
      <ns0:c r="C24" s="1"/>
    </ns0:row>
    <ns0:row r="25" customFormat="false" ht="8" hidden="false" customHeight="true" outlineLevel="0" collapsed="false">
      <ns0:c r="A25" s="1"/>
      <ns0:c r="B25" s="1"/>
      <ns0:c r="C25" s="1"/>
    </ns0:row>
  </ns0:sheetData>
  <ns0:printOptions headings="false" gridLines="false" gridLinesSet="true" horizontalCentered="false" verticalCentered="false"/>
  <ns0:pageMargins left="0.3" right="0.3" top="0.35" bottom="0.35" header="0.1" footer="0.1"/>
  <ns0:pageSetup paperSize="8" scale="100" fitToWidth="1" fitToHeight="1" pageOrder="downThenOver" orientation="landscape" blackAndWhite="false" draft="false" cellComments="none" horizontalDpi="300" verticalDpi="300" copies="1"/>
  <ns0:headerFooter differentFirst="false" differentOddEven="false">
    <ns0:oddHeader/>
    <ns0:oddFooter/>
  </ns0:headerFooter>
</ns0: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ns0:coreProperties xmlns:dc="http://purl.org/dc/elements/1.1/" xmlns:ns0="http://schemas.openxmlformats.org/package/2006/metadata/core-properties">
  <dc:creator>Klotzkette</dc:creator>
  <dc:description/>
  <dc:language>en-US</dc:language>
  <ns0:lastModifiedBy>Klotzkette</ns0:lastModifiedBy>
  <ns0:revision>0</ns0:revision>
  <dc:subject/>
  <dc:title/>
</ns0:coreProperties>
</file>