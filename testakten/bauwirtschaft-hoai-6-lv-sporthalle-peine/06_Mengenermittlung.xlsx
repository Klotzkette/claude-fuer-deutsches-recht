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ns0:workbook xmlns:ns0="http://schemas.openxmlformats.org/spreadsheetml/2006/main" xmlns:ns1="http://schemas.openxmlformats.org/officeDocument/2006/relationships" xmlns:ns2="http://schemas.libreoffice.org/">
  <ns0:fileVersion appName="Calc"/>
  <ns0:workbookPr backupFile="false" showObjects="all" date1904="false"/>
  <ns0:workbookProtection/>
  <ns0:bookViews>
    <ns0:workbookView showHorizontalScroll="true" showVerticalScroll="true" showSheetTabs="true" xWindow="0" yWindow="0" windowWidth="16384" windowHeight="8192" tabRatio="600" firstSheet="0" activeTab="0"/>
  </ns0:bookViews>
  <ns0:sheets>
    <ns0:sheet name="Mengen" sheetId="1" state="visible" ns1:id="rId3"/>
  </ns0:sheets>
  <ns0:definedNames>
    <ns0:definedName name="_xlnm.Print_Area" localSheetId="0">'Mengen'!A1:H27</ns0:definedName>
  </ns0:definedNames>
  <ns0:calcPr iterateCount="100" refMode="A1" iterate="false" iterateDelta="0.0001" calcMode="auto" fullCalcOnLoad="1" forceFullCalc="1"/>
  <ns0:extLst>
    <ns0:ext uri="{7626C862-2A13-11E5-B345-FEFF819CDC9F}">
      <ns2:extCalcPr stringRefSyntax="CalcA1ExcelA1"/>
    </ns0:ext>
  </ns0:extLst>
</ns0:workbook>
</file>

<file path=xl/sharedStrings.xml><?xml version="1.0" encoding="utf-8"?>
<sst xmlns="http://schemas.openxmlformats.org/spreadsheetml/2006/main" count="42" uniqueCount="39">
  <si>
    <t xml:space="preserve">Sporthalle Okerbogen Mengen</t>
  </si>
  <si>
    <t xml:space="preserve">ML-01 · Mira Falkenhain · 04.09.2026 · geometrischer Abzug aller bezeichneten Öffnungen</t>
  </si>
  <si>
    <t xml:space="preserve">Ansatz</t>
  </si>
  <si>
    <t xml:space="preserve">Anzahl</t>
  </si>
  <si>
    <t xml:space="preserve">Maß 1 m</t>
  </si>
  <si>
    <t xml:space="preserve">Maß 2 m</t>
  </si>
  <si>
    <t xml:space="preserve">Brutto</t>
  </si>
  <si>
    <t xml:space="preserve">Abzug</t>
  </si>
  <si>
    <t xml:space="preserve">Ergebnis</t>
  </si>
  <si>
    <t xml:space="preserve">Quelle / Einheit</t>
  </si>
  <si>
    <t xml:space="preserve">Hallenboden</t>
  </si>
  <si>
    <t xml:space="preserve">A-601/B / m²</t>
  </si>
  <si>
    <t xml:space="preserve">Hallenwände gesamt</t>
  </si>
  <si>
    <t xml:space="preserve">A-602/B / m²</t>
  </si>
  <si>
    <t xml:space="preserve">Prallwandband</t>
  </si>
  <si>
    <t xml:space="preserve">Hallendecke netto</t>
  </si>
  <si>
    <t xml:space="preserve">A-603/B / m²</t>
  </si>
  <si>
    <t xml:space="preserve">Trennwände Ansicht</t>
  </si>
  <si>
    <t xml:space="preserve">Oberflächen beidseitig</t>
  </si>
  <si>
    <t xml:space="preserve">zweifache Wandansicht / m²</t>
  </si>
  <si>
    <t xml:space="preserve">Sozialtrakt Boden</t>
  </si>
  <si>
    <t xml:space="preserve">A-601/B lichte Rechenfläche / m²</t>
  </si>
  <si>
    <t xml:space="preserve">Reinigung gesamt</t>
  </si>
  <si>
    <t xml:space="preserve">Halle und Trakt / m²</t>
  </si>
  <si>
    <t xml:space="preserve">Sockel Halle</t>
  </si>
  <si>
    <t xml:space="preserve">Umfang abzüglich Türen / m</t>
  </si>
  <si>
    <t xml:space="preserve">Sockel Sozialtrakt</t>
  </si>
  <si>
    <t xml:space="preserve">raumweise Längenaufnahme / m</t>
  </si>
  <si>
    <t xml:space="preserve">Deckenöffnungen</t>
  </si>
  <si>
    <t xml:space="preserve">A-603/B R-01 bis R-04 / m²</t>
  </si>
  <si>
    <t xml:space="preserve">Fensteröffnungen</t>
  </si>
  <si>
    <t xml:space="preserve">Hallentüröffnungen</t>
  </si>
  <si>
    <t xml:space="preserve">T-05 und T-06 / m²</t>
  </si>
  <si>
    <t xml:space="preserve">Innentüröffnungen</t>
  </si>
  <si>
    <t xml:space="preserve">T-01 bis T-04 / m²</t>
  </si>
  <si>
    <t xml:space="preserve">Quelle: A-601/B, A-602/B, A-603/B und Türliste TL-02/B, jeweils 04.09.2026.</t>
  </si>
  <si>
    <t xml:space="preserve">Maße sind lichte projektseitige Rechenmaße. Keine pauschale Übernahme einer DIN-/ATV-Abzugsregel.</t>
  </si>
  <si>
    <t xml:space="preserve">Neue Fachbeiträge nach dem 04.09.2026 sind in dieser Mengenfassung noch nicht eingearbeitet.</t>
  </si>
  <si>
    <t xml:space="preserve">gez. Mira Falkenhain · PE-OB26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</si>
</sst>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-407]0.0000"/>
  </numFmts>
  <fonts count="9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sz val="11"/>
      <color rgb="FF202529"/>
      <name val="Arial"/>
      <family val="0"/>
      <charset val="1"/>
    </font>
    <font>
      <b val="true"/>
      <sz val="15"/>
      <color rgb="FF20252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215774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3D4A52"/>
        <bgColor rgb="FF215774"/>
      </patternFill>
    </fill>
    <fill>
      <patternFill patternType="solid">
        <fgColor rgb="FFF6EDCF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3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6EDCF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215774"/>
      <rgbColor rgb="FF339966"/>
      <rgbColor rgb="FF003300"/>
      <rgbColor rgb="FF333300"/>
      <rgbColor rgb="FF993300"/>
      <rgbColor rgb="FF993366"/>
      <rgbColor rgb="FF3D4A52"/>
      <rgbColor rgb="FF2025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Pr filterMode="false">
    <ns0:pageSetUpPr fitToPage="1"/>
  </ns0:sheetPr>
  <ns0:dimension ref="A1:H27"/>
  <ns0:sheetViews>
    <ns0: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ns0:selection pane="topLeft" activeCell="A1" activeCellId="0" sqref="A1"/>
    </ns0:sheetView>
  </ns0:sheetViews>
  <ns0:sheetFormatPr defaultColWidth="8.6796875" defaultRowHeight="15" customHeight="false" zeroHeight="false" outlineLevelRow="0" outlineLevelCol="0"/>
  <ns0:cols>
    <ns0:col collapsed="false" customWidth="true" hidden="false" outlineLevel="0" max="1" min="1" style="0" width="26.67"/>
    <ns0:col collapsed="false" customWidth="true" hidden="false" outlineLevel="0" max="2" min="2" style="0" width="7.22"/>
    <ns0:col collapsed="false" customWidth="true" hidden="false" outlineLevel="0" max="4" min="3" style="0" width="10.56"/>
    <ns0:col collapsed="false" customWidth="true" hidden="false" outlineLevel="0" max="6" min="5" style="0" width="12.78"/>
    <ns0:col collapsed="false" customWidth="true" hidden="false" outlineLevel="0" max="7" min="7" style="0" width="13.34"/>
    <ns0:col collapsed="false" customWidth="true" hidden="false" outlineLevel="0" max="8" min="8" style="0" width="27.22"/>
  </ns0:cols>
  <ns0:sheetData>
    <ns0:row r="1" customFormat="false" ht="8" hidden="false" customHeight="true" outlineLevel="0" collapsed="false">
      <ns0:c r="A1" s="1"/>
      <ns0:c r="B1" s="1"/>
      <ns0:c r="C1" s="1"/>
      <ns0:c r="D1" s="1"/>
      <ns0:c r="E1" s="1"/>
      <ns0:c r="F1" s="1"/>
      <ns0:c r="G1" s="1"/>
      <ns0:c r="H1" s="1"/>
    </ns0:row>
    <ns0:row r="2" customFormat="false" ht="24" hidden="false" customHeight="true" outlineLevel="0" collapsed="false">
      <ns0:c r="A2" s="2" t="s">
        <ns0:v>0</ns0:v>
      </ns0:c>
      <ns0:c r="B2" s="1"/>
      <ns0:c r="C2" s="1"/>
      <ns0:c r="D2" s="1"/>
      <ns0:c r="E2" s="1"/>
      <ns0:c r="F2" s="1"/>
      <ns0:c r="G2" s="1"/>
      <ns0:c r="H2" s="1"/>
    </ns0:row>
    <ns0:row r="3" customFormat="false" ht="18" hidden="false" customHeight="true" outlineLevel="0" collapsed="false">
      <ns0:c r="A3" s="1" t="s">
        <ns0:v>1</ns0:v>
      </ns0:c>
      <ns0:c r="B3" s="1"/>
      <ns0:c r="C3" s="1"/>
      <ns0:c r="D3" s="1"/>
      <ns0:c r="E3" s="1"/>
      <ns0:c r="F3" s="1"/>
      <ns0:c r="G3" s="1"/>
      <ns0:c r="H3" s="1"/>
    </ns0:row>
    <ns0:row r="4" customFormat="false" ht="8" hidden="false" customHeight="true" outlineLevel="0" collapsed="false">
      <ns0:c r="A4" s="1"/>
      <ns0:c r="B4" s="1"/>
      <ns0:c r="C4" s="1"/>
      <ns0:c r="D4" s="1"/>
      <ns0:c r="E4" s="1"/>
      <ns0:c r="F4" s="1"/>
      <ns0:c r="G4" s="1"/>
      <ns0:c r="H4" s="1"/>
    </ns0:row>
    <ns0:row r="5" customFormat="false" ht="36" hidden="false" customHeight="true" outlineLevel="0" collapsed="false">
      <ns0:c r="A5" s="3" t="s">
        <ns0:v>2</ns0:v>
      </ns0:c>
      <ns0:c r="B5" s="3" t="s">
        <ns0:v>3</ns0:v>
      </ns0:c>
      <ns0:c r="C5" s="3" t="s">
        <ns0:v>4</ns0:v>
      </ns0:c>
      <ns0:c r="D5" s="3" t="s">
        <ns0:v>5</ns0:v>
      </ns0:c>
      <ns0:c r="E5" s="3" t="s">
        <ns0:v>6</ns0:v>
      </ns0:c>
      <ns0:c r="F5" s="3" t="s">
        <ns0:v>7</ns0:v>
      </ns0:c>
      <ns0:c r="G5" s="3" t="s">
        <ns0:v>8</ns0:v>
      </ns0:c>
      <ns0:c r="H5" s="3" t="s">
        <ns0:v>9</ns0:v>
      </ns0:c>
    </ns0:row>
    <ns0:row r="6" customFormat="false" ht="30" hidden="false" customHeight="true" outlineLevel="0" collapsed="false">
      <ns0:c r="A6" s="1" t="s">
        <ns0:v>10</ns0:v>
      </ns0:c>
      <ns0:c r="B6" s="4" t="n">
        <ns0:v>1</ns0:v>
      </ns0:c>
      <ns0:c r="C6" s="4" t="n">
        <ns0:v>24</ns0:v>
      </ns0:c>
      <ns0:c r="D6" s="4" t="n">
        <ns0:v>12</ns0:v>
      </ns0:c>
      <ns0:c r="E6" s="5" t="n">
        <ns0:f aca="false">IF(COUNT(B6:D6)=3,B6*C6*D6,"")</ns0:f>
        <ns0:v>288</ns0:v>
      </ns0:c>
      <ns0:c r="F6" s="5" t="n">
        <ns0:v>0</ns0:v>
      </ns0:c>
      <ns0:c r="G6" s="5" t="n">
        <ns0:f aca="false">IF(COUNT(E6:F6)=2,E6-F6,"")</ns0:f>
        <ns0:v>288</ns0:v>
      </ns0:c>
      <ns0:c r="H6" s="6" t="s">
        <ns0:v>11</ns0:v>
      </ns0:c>
    </ns0:row>
    <ns0:row r="7" customFormat="false" ht="30" hidden="false" customHeight="true" outlineLevel="0" collapsed="false">
      <ns0:c r="A7" s="1" t="s">
        <ns0:v>12</ns0:v>
      </ns0:c>
      <ns0:c r="B7" s="4" t="n">
        <ns0:v>1</ns0:v>
      </ns0:c>
      <ns0:c r="C7" s="4" t="n">
        <ns0:v>72</ns0:v>
      </ns0:c>
      <ns0:c r="D7" s="4" t="n">
        <ns0:v>4.8</ns0:v>
      </ns0:c>
      <ns0:c r="E7" s="5" t="n">
        <ns0:f aca="false">IF(COUNT(B7:D7)=3,B7*C7*D7,"")</ns0:f>
        <ns0:v>345.6</ns0:v>
      </ns0:c>
      <ns0:c r="F7" s="5" t="n">
        <ns0:f aca="false">IF(COUNT(G17:G18)=2,SUM(G17:G18),"")</ns0:f>
        <ns0:v>16.4952</ns0:v>
      </ns0:c>
      <ns0:c r="G7" s="5" t="n">
        <ns0:f aca="false">IF(COUNT(E7:F7)=2,E7-F7,"")</ns0:f>
        <ns0:v>329.1048</ns0:v>
      </ns0:c>
      <ns0:c r="H7" s="6" t="s">
        <ns0:v>13</ns0:v>
      </ns0:c>
    </ns0:row>
    <ns0:row r="8" customFormat="false" ht="30" hidden="false" customHeight="true" outlineLevel="0" collapsed="false">
      <ns0:c r="A8" s="1" t="s">
        <ns0:v>14</ns0:v>
      </ns0:c>
      <ns0:c r="B8" s="4" t="n">
        <ns0:v>1</ns0:v>
      </ns0:c>
      <ns0:c r="C8" s="4" t="n">
        <ns0:v>72</ns0:v>
      </ns0:c>
      <ns0:c r="D8" s="4" t="n">
        <ns0:v>2</ns0:v>
      </ns0:c>
      <ns0:c r="E8" s="5" t="n">
        <ns0:f aca="false">IF(COUNT(B8:D8)=3,B8*C8*D8,"")</ns0:f>
        <ns0:v>144</ns0:v>
      </ns0:c>
      <ns0:c r="F8" s="5" t="n">
        <ns0:f aca="false">IF(COUNT(B18:C18)=2,B18*C18*D8,"")</ns0:f>
        <ns0:v>5.04</ns0:v>
      </ns0:c>
      <ns0:c r="G8" s="5" t="n">
        <ns0:f aca="false">IF(COUNT(E8:F8)=2,E8-F8,"")</ns0:f>
        <ns0:v>138.96</ns0:v>
      </ns0:c>
      <ns0:c r="H8" s="6" t="s">
        <ns0:v>13</ns0:v>
      </ns0:c>
    </ns0:row>
    <ns0:row r="9" customFormat="false" ht="30" hidden="false" customHeight="true" outlineLevel="0" collapsed="false">
      <ns0:c r="A9" s="1" t="s">
        <ns0:v>15</ns0:v>
      </ns0:c>
      <ns0:c r="B9" s="4" t="n">
        <ns0:v>1</ns0:v>
      </ns0:c>
      <ns0:c r="C9" s="4" t="n">
        <ns0:v>24</ns0:v>
      </ns0:c>
      <ns0:c r="D9" s="4" t="n">
        <ns0:v>12</ns0:v>
      </ns0:c>
      <ns0:c r="E9" s="5" t="n">
        <ns0:f aca="false">IF(COUNT(B9:D9)=3,B9*C9*D9,"")</ns0:f>
        <ns0:v>288</ns0:v>
      </ns0:c>
      <ns0:c r="F9" s="5" t="n">
        <ns0:f aca="false">G16</ns0:f>
        <ns0:v>1.44</ns0:v>
      </ns0:c>
      <ns0:c r="G9" s="5" t="n">
        <ns0:f aca="false">IF(COUNT(E9:F9)=2,E9-F9,"")</ns0:f>
        <ns0:v>286.56</ns0:v>
      </ns0:c>
      <ns0:c r="H9" s="6" t="s">
        <ns0:v>16</ns0:v>
      </ns0:c>
    </ns0:row>
    <ns0:row r="10" customFormat="false" ht="30" hidden="false" customHeight="true" outlineLevel="0" collapsed="false">
      <ns0:c r="A10" s="1" t="s">
        <ns0:v>17</ns0:v>
      </ns0:c>
      <ns0:c r="B10" s="4" t="n">
        <ns0:v>1</ns0:v>
      </ns0:c>
      <ns0:c r="C10" s="4" t="n">
        <ns0:v>34</ns0:v>
      </ns0:c>
      <ns0:c r="D10" s="4" t="n">
        <ns0:v>3.2</ns0:v>
      </ns0:c>
      <ns0:c r="E10" s="5" t="n">
        <ns0:f aca="false">IF(COUNT(B10:D10)=3,B10*C10*D10,"")</ns0:f>
        <ns0:v>108.8</ns0:v>
      </ns0:c>
      <ns0:c r="F10" s="5" t="n">
        <ns0:f aca="false">G19</ns0:f>
        <ns0:v>8.6254</ns0:v>
      </ns0:c>
      <ns0:c r="G10" s="5" t="n">
        <ns0:f aca="false">IF(COUNT(E10:F10)=2,E10-F10,"")</ns0:f>
        <ns0:v>100.1746</ns0:v>
      </ns0:c>
      <ns0:c r="H10" s="6" t="s">
        <ns0:v>11</ns0:v>
      </ns0:c>
    </ns0:row>
    <ns0:row r="11" customFormat="false" ht="30" hidden="false" customHeight="true" outlineLevel="0" collapsed="false">
      <ns0:c r="A11" s="1" t="s">
        <ns0:v>18</ns0:v>
      </ns0:c>
      <ns0:c r="B11" s="4" t="n">
        <ns0:v>2</ns0:v>
      </ns0:c>
      <ns0:c r="C11" s="4" t="n">
        <ns0:f aca="false">G10</ns0:f>
        <ns0:v>100.1746</ns0:v>
      </ns0:c>
      <ns0:c r="D11" s="4" t="n">
        <ns0:v>1</ns0:v>
      </ns0:c>
      <ns0:c r="E11" s="5" t="n">
        <ns0:f aca="false">IF(COUNT(B11:D11)=3,B11*C11*D11,"")</ns0:f>
        <ns0:v>200.3492</ns0:v>
      </ns0:c>
      <ns0:c r="F11" s="5" t="n">
        <ns0:v>0</ns0:v>
      </ns0:c>
      <ns0:c r="G11" s="5" t="n">
        <ns0:f aca="false">IF(COUNT(E11:F11)=2,E11-F11,"")</ns0:f>
        <ns0:v>200.3492</ns0:v>
      </ns0:c>
      <ns0:c r="H11" s="6" t="s">
        <ns0:v>19</ns0:v>
      </ns0:c>
    </ns0:row>
    <ns0:row r="12" customFormat="false" ht="30" hidden="false" customHeight="true" outlineLevel="0" collapsed="false">
      <ns0:c r="A12" s="1" t="s">
        <ns0:v>20</ns0:v>
      </ns0:c>
      <ns0:c r="B12" s="4" t="n">
        <ns0:v>1</ns0:v>
      </ns0:c>
      <ns0:c r="C12" s="4" t="n">
        <ns0:v>18</ns0:v>
      </ns0:c>
      <ns0:c r="D12" s="4" t="n">
        <ns0:v>6</ns0:v>
      </ns0:c>
      <ns0:c r="E12" s="5" t="n">
        <ns0:f aca="false">IF(COUNT(B12:D12)=3,B12*C12*D12,"")</ns0:f>
        <ns0:v>108</ns0:v>
      </ns0:c>
      <ns0:c r="F12" s="5" t="n">
        <ns0:v>0</ns0:v>
      </ns0:c>
      <ns0:c r="G12" s="5" t="n">
        <ns0:f aca="false">IF(COUNT(E12:F12)=2,E12-F12,"")</ns0:f>
        <ns0:v>108</ns0:v>
      </ns0:c>
      <ns0:c r="H12" s="6" t="s">
        <ns0:v>21</ns0:v>
      </ns0:c>
    </ns0:row>
    <ns0:row r="13" customFormat="false" ht="30" hidden="false" customHeight="true" outlineLevel="0" collapsed="false">
      <ns0:c r="A13" s="1" t="s">
        <ns0:v>22</ns0:v>
      </ns0:c>
      <ns0:c r="B13" s="4" t="n">
        <ns0:v>1</ns0:v>
      </ns0:c>
      <ns0:c r="C13" s="4" t="n">
        <ns0:f aca="false">IF(COUNT(G6,G12)=2,G6+G12,"")</ns0:f>
        <ns0:v>396</ns0:v>
      </ns0:c>
      <ns0:c r="D13" s="4" t="n">
        <ns0:v>1</ns0:v>
      </ns0:c>
      <ns0:c r="E13" s="5" t="n">
        <ns0:f aca="false">IF(COUNT(B13:D13)=3,B13*C13*D13,"")</ns0:f>
        <ns0:v>396</ns0:v>
      </ns0:c>
      <ns0:c r="F13" s="5" t="n">
        <ns0:v>0</ns0:v>
      </ns0:c>
      <ns0:c r="G13" s="5" t="n">
        <ns0:f aca="false">IF(COUNT(E13:F13)=2,E13-F13,"")</ns0:f>
        <ns0:v>396</ns0:v>
      </ns0:c>
      <ns0:c r="H13" s="6" t="s">
        <ns0:v>23</ns0:v>
      </ns0:c>
    </ns0:row>
    <ns0:row r="14" customFormat="false" ht="30" hidden="false" customHeight="true" outlineLevel="0" collapsed="false">
      <ns0:c r="A14" s="1" t="s">
        <ns0:v>24</ns0:v>
      </ns0:c>
      <ns0:c r="B14" s="4" t="n">
        <ns0:v>1</ns0:v>
      </ns0:c>
      <ns0:c r="C14" s="4" t="n">
        <ns0:v>72</ns0:v>
      </ns0:c>
      <ns0:c r="D14" s="4" t="n">
        <ns0:v>1</ns0:v>
      </ns0:c>
      <ns0:c r="E14" s="5" t="n">
        <ns0:f aca="false">IF(COUNT(B14:D14)=3,B14*C14*D14,"")</ns0:f>
        <ns0:v>72</ns0:v>
      </ns0:c>
      <ns0:c r="F14" s="5" t="n">
        <ns0:f aca="false">B18*C18</ns0:f>
        <ns0:v>2.52</ns0:v>
      </ns0:c>
      <ns0:c r="G14" s="5" t="n">
        <ns0:f aca="false">IF(COUNT(E14:F14)=2,E14-F14,"")</ns0:f>
        <ns0:v>69.48</ns0:v>
      </ns0:c>
      <ns0:c r="H14" s="6" t="s">
        <ns0:v>25</ns0:v>
      </ns0:c>
    </ns0:row>
    <ns0:row r="15" customFormat="false" ht="30" hidden="false" customHeight="true" outlineLevel="0" collapsed="false">
      <ns0:c r="A15" s="1" t="s">
        <ns0:v>26</ns0:v>
      </ns0:c>
      <ns0:c r="B15" s="4" t="n">
        <ns0:v>1</ns0:v>
      </ns0:c>
      <ns0:c r="C15" s="4" t="n">
        <ns0:v>98</ns0:v>
      </ns0:c>
      <ns0:c r="D15" s="4" t="n">
        <ns0:v>1</ns0:v>
      </ns0:c>
      <ns0:c r="E15" s="5" t="n">
        <ns0:f aca="false">IF(COUNT(B15:D15)=3,B15*C15*D15,"")</ns0:f>
        <ns0:v>98</ns0:v>
      </ns0:c>
      <ns0:c r="F15" s="5" t="n">
        <ns0:v>0</ns0:v>
      </ns0:c>
      <ns0:c r="G15" s="5" t="n">
        <ns0:f aca="false">IF(COUNT(E15:F15)=2,E15-F15,"")</ns0:f>
        <ns0:v>98</ns0:v>
      </ns0:c>
      <ns0:c r="H15" s="6" t="s">
        <ns0:v>27</ns0:v>
      </ns0:c>
    </ns0:row>
    <ns0:row r="16" customFormat="false" ht="30" hidden="false" customHeight="true" outlineLevel="0" collapsed="false">
      <ns0:c r="A16" s="1" t="s">
        <ns0:v>28</ns0:v>
      </ns0:c>
      <ns0:c r="B16" s="4" t="n">
        <ns0:v>4</ns0:v>
      </ns0:c>
      <ns0:c r="C16" s="4" t="n">
        <ns0:v>0.6</ns0:v>
      </ns0:c>
      <ns0:c r="D16" s="4" t="n">
        <ns0:v>0.6</ns0:v>
      </ns0:c>
      <ns0:c r="E16" s="5" t="n">
        <ns0:f aca="false">IF(COUNT(B16:D16)=3,B16*C16*D16,"")</ns0:f>
        <ns0:v>1.44</ns0:v>
      </ns0:c>
      <ns0:c r="F16" s="5" t="n">
        <ns0:v>0</ns0:v>
      </ns0:c>
      <ns0:c r="G16" s="5" t="n">
        <ns0:f aca="false">IF(COUNT(E16:F16)=2,E16-F16,"")</ns0:f>
        <ns0:v>1.44</ns0:v>
      </ns0:c>
      <ns0:c r="H16" s="6" t="s">
        <ns0:v>29</ns0:v>
      </ns0:c>
    </ns0:row>
    <ns0:row r="17" customFormat="false" ht="30" hidden="false" customHeight="true" outlineLevel="0" collapsed="false">
      <ns0:c r="A17" s="1" t="s">
        <ns0:v>30</ns0:v>
      </ns0:c>
      <ns0:c r="B17" s="4" t="n">
        <ns0:v>6</ns0:v>
      </ns0:c>
      <ns0:c r="C17" s="4" t="n">
        <ns0:v>1.5</ns0:v>
      </ns0:c>
      <ns0:c r="D17" s="4" t="n">
        <ns0:v>1.2</ns0:v>
      </ns0:c>
      <ns0:c r="E17" s="5" t="n">
        <ns0:f aca="false">IF(COUNT(B17:D17)=3,B17*C17*D17,"")</ns0:f>
        <ns0:v>10.8</ns0:v>
      </ns0:c>
      <ns0:c r="F17" s="5" t="n">
        <ns0:v>0</ns0:v>
      </ns0:c>
      <ns0:c r="G17" s="5" t="n">
        <ns0:f aca="false">IF(COUNT(E17:F17)=2,E17-F17,"")</ns0:f>
        <ns0:v>10.8</ns0:v>
      </ns0:c>
      <ns0:c r="H17" s="6" t="s">
        <ns0:v>13</ns0:v>
      </ns0:c>
    </ns0:row>
    <ns0:row r="18" customFormat="false" ht="30" hidden="false" customHeight="true" outlineLevel="0" collapsed="false">
      <ns0:c r="A18" s="1" t="s">
        <ns0:v>31</ns0:v>
      </ns0:c>
      <ns0:c r="B18" s="4" t="n">
        <ns0:v>2</ns0:v>
      </ns0:c>
      <ns0:c r="C18" s="4" t="n">
        <ns0:v>1.26</ns0:v>
      </ns0:c>
      <ns0:c r="D18" s="4" t="n">
        <ns0:v>2.26</ns0:v>
      </ns0:c>
      <ns0:c r="E18" s="5" t="n">
        <ns0:f aca="false">IF(COUNT(B18:D18)=3,B18*C18*D18,"")</ns0:f>
        <ns0:v>5.6952</ns0:v>
      </ns0:c>
      <ns0:c r="F18" s="5" t="n">
        <ns0:v>0</ns0:v>
      </ns0:c>
      <ns0:c r="G18" s="5" t="n">
        <ns0:f aca="false">IF(COUNT(E18:F18)=2,E18-F18,"")</ns0:f>
        <ns0:v>5.6952</ns0:v>
      </ns0:c>
      <ns0:c r="H18" s="6" t="s">
        <ns0:v>32</ns0:v>
      </ns0:c>
    </ns0:row>
    <ns0:row r="19" customFormat="false" ht="30" hidden="false" customHeight="true" outlineLevel="0" collapsed="false">
      <ns0:c r="A19" s="1" t="s">
        <ns0:v>33</ns0:v>
      </ns0:c>
      <ns0:c r="B19" s="4" t="n">
        <ns0:v>4</ns0:v>
      </ns0:c>
      <ns0:c r="C19" s="4" t="n">
        <ns0:v>1.01</ns0:v>
      </ns0:c>
      <ns0:c r="D19" s="4" t="n">
        <ns0:v>2.135</ns0:v>
      </ns0:c>
      <ns0:c r="E19" s="5" t="n">
        <ns0:f aca="false">IF(COUNT(B19:D19)=3,B19*C19*D19,"")</ns0:f>
        <ns0:v>8.6254</ns0:v>
      </ns0:c>
      <ns0:c r="F19" s="5" t="n">
        <ns0:v>0</ns0:v>
      </ns0:c>
      <ns0:c r="G19" s="5" t="n">
        <ns0:f aca="false">IF(COUNT(E19:F19)=2,E19-F19,"")</ns0:f>
        <ns0:v>8.6254</ns0:v>
      </ns0:c>
      <ns0:c r="H19" s="6" t="s">
        <ns0:v>34</ns0:v>
      </ns0:c>
    </ns0:row>
    <ns0:row r="20" customFormat="false" ht="8" hidden="false" customHeight="true" outlineLevel="0" collapsed="false">
      <ns0:c r="A20" s="1"/>
      <ns0:c r="B20" s="1"/>
      <ns0:c r="C20" s="1"/>
      <ns0:c r="D20" s="1"/>
      <ns0:c r="E20" s="1"/>
      <ns0:c r="F20" s="1"/>
      <ns0:c r="G20" s="1"/>
      <ns0:c r="H20" s="1"/>
    </ns0:row>
    <ns0:row r="21" customFormat="false" ht="8" hidden="false" customHeight="true" outlineLevel="0" collapsed="false">
      <ns0:c r="A21" s="1"/>
      <ns0:c r="B21" s="1"/>
      <ns0:c r="C21" s="1"/>
      <ns0:c r="D21" s="1"/>
      <ns0:c r="E21" s="1"/>
      <ns0:c r="F21" s="1"/>
      <ns0:c r="G21" s="1"/>
      <ns0:c r="H21" s="1"/>
    </ns0:row>
    <ns0:row r="22" customFormat="false" ht="18" hidden="false" customHeight="true" outlineLevel="0" collapsed="false">
      <ns0:c r="A22" s="1" t="s">
        <ns0:v>35</ns0:v>
      </ns0:c>
      <ns0:c r="B22" s="1"/>
      <ns0:c r="C22" s="1"/>
      <ns0:c r="D22" s="1"/>
      <ns0:c r="E22" s="1"/>
      <ns0:c r="F22" s="1"/>
      <ns0:c r="G22" s="1"/>
      <ns0:c r="H22" s="1"/>
    </ns0:row>
    <ns0:row r="23" customFormat="false" ht="18" hidden="false" customHeight="true" outlineLevel="0" collapsed="false">
      <ns0:c r="A23" s="1" t="s">
        <ns0:v>36</ns0:v>
      </ns0:c>
      <ns0:c r="B23" s="1"/>
      <ns0:c r="C23" s="1"/>
      <ns0:c r="D23" s="1"/>
      <ns0:c r="E23" s="1"/>
      <ns0:c r="F23" s="1"/>
      <ns0:c r="G23" s="1"/>
      <ns0:c r="H23" s="1"/>
    </ns0:row>
    <ns0:row r="24" customFormat="false" ht="18" hidden="false" customHeight="true" outlineLevel="0" collapsed="false">
      <ns0:c r="A24" s="1" t="s">
        <ns0:v>37</ns0:v>
      </ns0:c>
      <ns0:c r="B24" s="1"/>
      <ns0:c r="C24" s="1"/>
      <ns0:c r="D24" s="1"/>
      <ns0:c r="E24" s="1"/>
      <ns0:c r="F24" s="1"/>
      <ns0:c r="G24" s="1"/>
      <ns0:c r="H24" s="1"/>
    </ns0:row>
    <ns0:row r="25" customFormat="false" ht="8" hidden="false" customHeight="true" outlineLevel="0" collapsed="false">
      <ns0:c r="A25" s="1"/>
      <ns0:c r="B25" s="1"/>
      <ns0:c r="C25" s="1"/>
      <ns0:c r="D25" s="1"/>
      <ns0:c r="E25" s="1"/>
      <ns0:c r="F25" s="1"/>
      <ns0:c r="G25" s="1"/>
      <ns0:c r="H25" s="1"/>
    </ns0:row>
    <ns0:row r="26" customFormat="false" ht="18" hidden="false" customHeight="true" outlineLevel="0" collapsed="false">
      <ns0:c r="A26" s="1" t="s">
        <ns0:v>38</ns0:v>
      </ns0:c>
      <ns0:c r="B26" s="1"/>
      <ns0:c r="C26" s="1"/>
      <ns0:c r="D26" s="1"/>
      <ns0:c r="E26" s="1"/>
      <ns0:c r="F26" s="1"/>
      <ns0:c r="G26" s="1"/>
      <ns0:c r="H26" s="1"/>
    </ns0:row>
    <ns0:row r="27" customFormat="false" ht="8" hidden="false" customHeight="true" outlineLevel="0" collapsed="false">
      <ns0:c r="A27" s="1"/>
      <ns0:c r="B27" s="1"/>
      <ns0:c r="C27" s="1"/>
      <ns0:c r="D27" s="1"/>
      <ns0:c r="E27" s="1"/>
      <ns0:c r="F27" s="1"/>
      <ns0:c r="G27" s="1"/>
      <ns0:c r="H27" s="1"/>
    </ns0:row>
  </ns0:sheetData>
  <ns0:printOptions headings="false" gridLines="false" gridLinesSet="true" horizontalCentered="false" verticalCentered="false"/>
  <ns0:pageMargins left="0.3" right="0.3" top="0.35" bottom="0.35" header="0.1" footer="0.1"/>
  <ns0:pageSetup paperSize="8" scale="100" fitToWidth="1" fitToHeight="1" pageOrder="downThenOver" orientation="landscape" blackAndWhite="false" draft="false" cellComments="none" horizontalDpi="300" verticalDpi="300" copies="1"/>
  <ns0:headerFooter differentFirst="false" differentOddEven="false">
    <ns0:oddHeader/>
    <ns0:oddFooter/>
  </ns0:headerFooter>
</ns0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ns0:coreProperties xmlns:dc="http://purl.org/dc/elements/1.1/" xmlns:ns0="http://schemas.openxmlformats.org/package/2006/metadata/core-properties">
  <dc:creator>Klotzkette</dc:creator>
  <dc:description/>
  <dc:language>en-US</dc:language>
  <ns0:lastModifiedBy>Klotzkette</ns0:lastModifiedBy>
  <ns0:revision>0</ns0:revision>
  <dc:subject/>
  <dc:title/>
</ns0:coreProperties>
</file>