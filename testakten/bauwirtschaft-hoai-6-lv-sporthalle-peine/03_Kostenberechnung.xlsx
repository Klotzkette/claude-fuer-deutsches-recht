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Kosten" sheetId="1" state="visible" ns1:id="rId3"/>
  </ns0:sheets>
  <ns0:definedNames>
    <ns0:definedName name="_xlnm.Print_Area" localSheetId="0">'Kosten'!A1:C23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<sst xmlns="http://schemas.openxmlformats.org/spreadsheetml/2006/main" count="25" uniqueCount="25">
  <si>
    <t xml:space="preserve">Sporthalle Okerbogen Kostenberechnung</t>
  </si>
  <si>
    <t xml:space="preserve">KB-03 · Mira Falkenhain · 15.07.2026 · EUR netto</t>
  </si>
  <si>
    <t xml:space="preserve">Projektseitige Kostengruppe</t>
  </si>
  <si>
    <t xml:space="preserve">Betrag EUR</t>
  </si>
  <si>
    <t xml:space="preserve">Inhalt / Grundlage</t>
  </si>
  <si>
    <t xml:space="preserve">200 Vorbereitende Maßnahmen</t>
  </si>
  <si>
    <t xml:space="preserve">Freimachung und Anschlussarbeiten</t>
  </si>
  <si>
    <t xml:space="preserve">300 Baukonstruktion</t>
  </si>
  <si>
    <t xml:space="preserve">Enthält Ausbauanteil 94.000 EUR</t>
  </si>
  <si>
    <t xml:space="preserve">400 Technische Anlagen</t>
  </si>
  <si>
    <t xml:space="preserve">Fachbeitrag Harms, Stand 10.07.2026</t>
  </si>
  <si>
    <t xml:space="preserve">500 Außenanlagen</t>
  </si>
  <si>
    <t xml:space="preserve">Zugänge und Entwässerungsanschlüsse</t>
  </si>
  <si>
    <t xml:space="preserve">600 Ausstattung</t>
  </si>
  <si>
    <t xml:space="preserve">Mobile Sport- und Lagereinrichtung</t>
  </si>
  <si>
    <t xml:space="preserve">700 Baunebenkosten</t>
  </si>
  <si>
    <t xml:space="preserve">Planung, Fachnachweise und Gebührenansätze</t>
  </si>
  <si>
    <t xml:space="preserve">Kostenberechnung netto</t>
  </si>
  <si>
    <t xml:space="preserve">Gesonderte Reserve</t>
  </si>
  <si>
    <t xml:space="preserve">Finanzierungsrahmen netto</t>
  </si>
  <si>
    <t xml:space="preserve">Umsatzsteuer Planannahme</t>
  </si>
  <si>
    <t xml:space="preserve">Finanzierungsrahmen brutto</t>
  </si>
  <si>
    <t xml:space="preserve">Ausbauanteil: Boden 30.400, Wände/Oberflächen 38.200, Decken 19.000, Türen 6.400 EUR netto.</t>
  </si>
  <si>
    <t xml:space="preserve">Summe Ausbau 94.000 EUR ist Teil der Kostengruppe 300, nicht zusätzlich zur Kostenberechnung.</t>
  </si>
  <si>
    <t xml:space="preserve">gez. Mira Falkenhain · PE-OB26 · Reserve nicht in Einheitspreisen enthalten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</si>
</sst>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7]#,##0.00"/>
    <numFmt numFmtId="166" formatCode="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529"/>
      <name val="Arial"/>
      <family val="0"/>
      <charset val="1"/>
    </font>
    <font>
      <b val="true"/>
      <sz val="15"/>
      <color rgb="FF20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577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4A52"/>
        <bgColor rgb="FF215774"/>
      </patternFill>
    </fill>
    <fill>
      <patternFill patternType="solid">
        <fgColor rgb="FFF6EDC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D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5774"/>
      <rgbColor rgb="FF339966"/>
      <rgbColor rgb="FF003300"/>
      <rgbColor rgb="FF333300"/>
      <rgbColor rgb="FF993300"/>
      <rgbColor rgb="FF993366"/>
      <rgbColor rgb="FF3D4A52"/>
      <rgbColor rgb="FF20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C23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4.44"/>
    <ns0:col collapsed="false" customWidth="true" hidden="false" outlineLevel="0" max="2" min="2" style="0" width="18.89"/>
    <ns0:col collapsed="false" customWidth="true" hidden="false" outlineLevel="0" max="3" min="3" style="0" width="42.79"/>
  </ns0:cols>
  <ns0:sheetData>
    <ns0:row r="1" customFormat="false" ht="8" hidden="false" customHeight="true" outlineLevel="0" collapsed="false">
      <ns0:c r="A1" s="1"/>
      <ns0:c r="B1" s="1"/>
      <ns0:c r="C1" s="1"/>
    </ns0:row>
    <ns0:row r="2" customFormat="false" ht="24" hidden="false" customHeight="true" outlineLevel="0" collapsed="false">
      <ns0:c r="A2" s="2" t="s">
        <ns0:v>0</ns0:v>
      </ns0:c>
      <ns0:c r="B2" s="1"/>
      <ns0:c r="C2" s="1"/>
    </ns0:row>
    <ns0:row r="3" customFormat="false" ht="18" hidden="false" customHeight="true" outlineLevel="0" collapsed="false">
      <ns0:c r="A3" s="1" t="s">
        <ns0:v>1</ns0:v>
      </ns0:c>
      <ns0:c r="B3" s="1"/>
      <ns0:c r="C3" s="1"/>
    </ns0:row>
    <ns0:row r="4" customFormat="false" ht="8" hidden="false" customHeight="true" outlineLevel="0" collapsed="false">
      <ns0:c r="A4" s="1"/>
      <ns0:c r="B4" s="1"/>
      <ns0:c r="C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</ns0:row>
    <ns0:row r="6" customFormat="false" ht="30" hidden="false" customHeight="true" outlineLevel="0" collapsed="false">
      <ns0:c r="A6" s="1" t="s">
        <ns0:v>5</ns0:v>
      </ns0:c>
      <ns0:c r="B6" s="4" t="n">
        <ns0:v>45000</ns0:v>
      </ns0:c>
      <ns0:c r="C6" s="1" t="s">
        <ns0:v>6</ns0:v>
      </ns0:c>
    </ns0:row>
    <ns0:row r="7" customFormat="false" ht="30" hidden="false" customHeight="true" outlineLevel="0" collapsed="false">
      <ns0:c r="A7" s="1" t="s">
        <ns0:v>7</ns0:v>
      </ns0:c>
      <ns0:c r="B7" s="4" t="n">
        <ns0:v>630000</ns0:v>
      </ns0:c>
      <ns0:c r="C7" s="1" t="s">
        <ns0:v>8</ns0:v>
      </ns0:c>
    </ns0:row>
    <ns0:row r="8" customFormat="false" ht="30" hidden="false" customHeight="true" outlineLevel="0" collapsed="false">
      <ns0:c r="A8" s="1" t="s">
        <ns0:v>9</ns0:v>
      </ns0:c>
      <ns0:c r="B8" s="4" t="n">
        <ns0:v>195000</ns0:v>
      </ns0:c>
      <ns0:c r="C8" s="1" t="s">
        <ns0:v>10</ns0:v>
      </ns0:c>
    </ns0:row>
    <ns0:row r="9" customFormat="false" ht="30" hidden="false" customHeight="true" outlineLevel="0" collapsed="false">
      <ns0:c r="A9" s="1" t="s">
        <ns0:v>11</ns0:v>
      </ns0:c>
      <ns0:c r="B9" s="4" t="n">
        <ns0:v>48000</ns0:v>
      </ns0:c>
      <ns0:c r="C9" s="1" t="s">
        <ns0:v>12</ns0:v>
      </ns0:c>
    </ns0:row>
    <ns0:row r="10" customFormat="false" ht="30" hidden="false" customHeight="true" outlineLevel="0" collapsed="false">
      <ns0:c r="A10" s="1" t="s">
        <ns0:v>13</ns0:v>
      </ns0:c>
      <ns0:c r="B10" s="4" t="n">
        <ns0:v>17000</ns0:v>
      </ns0:c>
      <ns0:c r="C10" s="1" t="s">
        <ns0:v>14</ns0:v>
      </ns0:c>
    </ns0:row>
    <ns0:row r="11" customFormat="false" ht="30" hidden="false" customHeight="true" outlineLevel="0" collapsed="false">
      <ns0:c r="A11" s="1" t="s">
        <ns0:v>15</ns0:v>
      </ns0:c>
      <ns0:c r="B11" s="4" t="n">
        <ns0:v>130000</ns0:v>
      </ns0:c>
      <ns0:c r="C11" s="1" t="s">
        <ns0:v>16</ns0:v>
      </ns0:c>
    </ns0:row>
    <ns0:row r="12" customFormat="false" ht="8" hidden="false" customHeight="true" outlineLevel="0" collapsed="false">
      <ns0:c r="A12" s="1"/>
      <ns0:c r="B12" s="1"/>
      <ns0:c r="C12" s="1"/>
    </ns0:row>
    <ns0:row r="13" customFormat="false" ht="18" hidden="false" customHeight="true" outlineLevel="0" collapsed="false">
      <ns0:c r="A13" s="1" t="s">
        <ns0:v>17</ns0:v>
      </ns0:c>
      <ns0:c r="B13" s="5" t="n">
        <ns0:f aca="false">SUM(B6:B11)</ns0:f>
        <ns0:v>1065000</ns0:v>
      </ns0:c>
      <ns0:c r="C13" s="1"/>
    </ns0:row>
    <ns0:row r="14" customFormat="false" ht="18" hidden="false" customHeight="true" outlineLevel="0" collapsed="false">
      <ns0:c r="A14" s="1" t="s">
        <ns0:v>18</ns0:v>
      </ns0:c>
      <ns0:c r="B14" s="4" t="n">
        <ns0:v>65000</ns0:v>
      </ns0:c>
      <ns0:c r="C14" s="1"/>
    </ns0:row>
    <ns0:row r="15" customFormat="false" ht="18" hidden="false" customHeight="true" outlineLevel="0" collapsed="false">
      <ns0:c r="A15" s="1" t="s">
        <ns0:v>19</ns0:v>
      </ns0:c>
      <ns0:c r="B15" s="5" t="n">
        <ns0:f aca="false">B13+B14</ns0:f>
        <ns0:v>1130000</ns0:v>
      </ns0:c>
      <ns0:c r="C15" s="1"/>
    </ns0:row>
    <ns0:row r="16" customFormat="false" ht="18" hidden="false" customHeight="true" outlineLevel="0" collapsed="false">
      <ns0:c r="A16" s="1" t="s">
        <ns0:v>20</ns0:v>
      </ns0:c>
      <ns0:c r="B16" s="6" t="n">
        <ns0:v>0.19</ns0:v>
      </ns0:c>
      <ns0:c r="C16" s="1"/>
    </ns0:row>
    <ns0:row r="17" customFormat="false" ht="18" hidden="false" customHeight="true" outlineLevel="0" collapsed="false">
      <ns0:c r="A17" s="1" t="s">
        <ns0:v>21</ns0:v>
      </ns0:c>
      <ns0:c r="B17" s="5" t="n">
        <ns0:f aca="false">ROUND(B15*(1+B16),2)</ns0:f>
        <ns0:v>1344700</ns0:v>
      </ns0:c>
      <ns0:c r="C17" s="1"/>
    </ns0:row>
    <ns0:row r="18" customFormat="false" ht="8" hidden="false" customHeight="true" outlineLevel="0" collapsed="false">
      <ns0:c r="A18" s="1"/>
      <ns0:c r="B18" s="1"/>
      <ns0:c r="C18" s="1"/>
    </ns0:row>
    <ns0:row r="19" customFormat="false" ht="8" hidden="false" customHeight="true" outlineLevel="0" collapsed="false">
      <ns0:c r="A19" s="1"/>
      <ns0:c r="B19" s="1"/>
      <ns0:c r="C19" s="1"/>
    </ns0:row>
    <ns0:row r="20" customFormat="false" ht="18" hidden="false" customHeight="true" outlineLevel="0" collapsed="false">
      <ns0:c r="A20" s="1" t="s">
        <ns0:v>22</ns0:v>
      </ns0:c>
      <ns0:c r="B20" s="1"/>
      <ns0:c r="C20" s="1"/>
    </ns0:row>
    <ns0:row r="21" customFormat="false" ht="18" hidden="false" customHeight="true" outlineLevel="0" collapsed="false">
      <ns0:c r="A21" s="1" t="s">
        <ns0:v>23</ns0:v>
      </ns0:c>
      <ns0:c r="B21" s="1"/>
      <ns0:c r="C21" s="1"/>
    </ns0:row>
    <ns0:row r="22" customFormat="false" ht="18" hidden="false" customHeight="true" outlineLevel="0" collapsed="false">
      <ns0:c r="A22" s="1" t="s">
        <ns0:v>24</ns0:v>
      </ns0:c>
      <ns0:c r="B22" s="1"/>
      <ns0:c r="C22" s="1"/>
    </ns0:row>
    <ns0:row r="23" customFormat="false" ht="8" hidden="false" customHeight="true" outlineLevel="0" collapsed="false">
      <ns0:c r="A23" s="1"/>
      <ns0:c r="B23" s="1"/>
      <ns0:c r="C23" s="1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8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