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fe55b7cca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zahlungen" sheetId="1" r:id="R5eb4978b8cd94105"/>
    <x:sheet xmlns:r="http://schemas.openxmlformats.org/officeDocument/2006/relationships" name="Inventar" sheetId="2" r:id="Rf4b4d54a1b2c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%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D45"/>
      </x:patternFill>
    </x:fill>
    <x:fill>
      <x:patternFill patternType="solid">
        <x:fgColor rgb="FFEFF3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52cc58e144faf" /><Relationship Type="http://schemas.openxmlformats.org/officeDocument/2006/relationships/theme" Target="/xl/theme/theme1.xml" Id="Re54623104c294142" /><Relationship Type="http://schemas.openxmlformats.org/officeDocument/2006/relationships/sharedStrings" Target="/xl/sharedStrings.xml" Id="Re8b80f05c35941f6" /><Relationship Type="http://schemas.openxmlformats.org/officeDocument/2006/relationships/worksheet" Target="/xl/worksheets/sheet1.xml" Id="R5eb4978b8cd94105" /><Relationship Type="http://schemas.openxmlformats.org/officeDocument/2006/relationships/worksheet" Target="/xl/worksheets/sheet2.xml" Id="Rf4b4d54a1b2c46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9" hidden="0" customWidth="1"/>
    <ns0:col min="2" max="2" width="29" hidden="0" customWidth="1"/>
    <ns0:col min="3" max="3" width="23" hidden="0" customWidth="1"/>
    <ns0:col min="4" max="4" width="24" hidden="0" customWidth="1"/>
    <ns0:col min="5" max="5" width="28" hidden="0" customWidth="1"/>
    <ns0:col min="6" max="6" width="35" hidden="0" customWidth="1"/>
  </ns0:cols>
  <ns0:sheetData>
    <ns0:row r="2">
      <ns0:c r="A2" s="2" t="str">
        <ns0:v>Speichenraum / Einzahlungen</ns0:v>
      </ns0:c>
      <ns0:c r="B2" s="1"/>
      <ns0:c r="C2" s="1"/>
      <ns0:c r="D2" s="1"/>
      <ns0:c r="E2" s="1"/>
      <ns0:c r="F2" s="1"/>
    </ns0:row>
    <ns0:row r="3">
      <ns0:c r="A3" s="1" t="str">
        <ns0:v>Stand 30.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Beteiligter</ns0:v>
      </ns0:c>
      <ns0:c r="B5" s="7" t="str">
        <ns0:v>Zugesagt EUR</ns0:v>
      </ns0:c>
      <ns0:c r="C5" s="7" t="str">
        <ns0:v>Eingezahlt EUR</ns0:v>
      </ns0:c>
      <ns0:c r="D5" s="7" t="str">
        <ns0:v>Gewinnanteil</ns0:v>
      </ns0:c>
      <ns0:c r="E5" s="7" t="str">
        <ns0:v>Quelle</ns0:v>
      </ns0:c>
      <ns0:c r="F5" s="7" t="str">
        <ns0:v>Anmerkung</ns0:v>
      </ns0:c>
    </ns0:row>
    <ns0:row r="6" ht="52" customHeight="1">
      <ns0:c r="A6" s="4" t="str">
        <ns0:v>Selma Berendt</ns0:v>
      </ns0:c>
      <ns0:c r="B6" s="9" t="n">
        <ns0:v>12000</ns0:v>
      </ns0:c>
      <ns0:c r="C6" s="9" t="n">
        <ns0:v>0</ns0:v>
      </ns0:c>
      <ns0:c r="D6" s="11" t="n">
        <ns0:v>0.5</ns0:v>
      </ns0:c>
      <ns0:c r="E6" s="4" t="str">
        <ns0:v>Chat 23.09.; Mail 30.09.</ns0:v>
      </ns0:c>
      <ns0:c r="F6" s="4" t="str">
        <ns0:v>Eigener Laptop nur zur Nutzung</ns0:v>
      </ns0:c>
    </ns0:row>
    <ns0:row r="7" ht="52" customHeight="1">
      <ns0:c r="A7" s="8" t="str">
        <ns0:v>Olav Norden</ns0:v>
      </ns0:c>
      <ns0:c r="B7" s="10" t="n">
        <ns0:v>6000</ns0:v>
      </ns0:c>
      <ns0:c r="C7" s="10" t="n">
        <ns0:v>0</ns0:v>
      </ns0:c>
      <ns0:c r="D7" s="12" t="n">
        <ns0:v>0.3</ns0:v>
      </ns0:c>
      <ns0:c r="E7" s="8" t="str">
        <ns0:v>Chat 23.09.; Mail 25.09.</ns0:v>
      </ns0:c>
      <ns0:c r="F7" s="8" t="str">
        <ns0:v>Räder gesondert besprechen</ns0:v>
      </ns0:c>
    </ns0:row>
    <ns0:row r="8" ht="52" customHeight="1">
      <ns0:c r="A8" s="4" t="str">
        <ns0:v>Miro Falkenberg</ns0:v>
      </ns0:c>
      <ns0:c r="B8" s="9" t="n">
        <ns0:v>0</ns0:v>
      </ns0:c>
      <ns0:c r="C8" s="9" t="n">
        <ns0:v>0</ns0:v>
      </ns0:c>
      <ns0:c r="D8" s="11" t="n">
        <ns0:v>0.2</ns0:v>
      </ns0:c>
      <ns0:c r="E8" s="4" t="str">
        <ns0:v>Chat 23.09.; Mail 29.09.</ns0:v>
      </ns0:c>
      <ns0:c r="F8" s="4" t="str">
        <ns0:v>Mitarbeit zehn Stunden je Woche</ns0:v>
      </ns0:c>
    </ns0:row>
    <ns0:row r="9">
      <ns0:c r="A9" s="1"/>
      <ns0:c r="B9" s="1"/>
      <ns0:c r="C9" s="1"/>
      <ns0:c r="D9" s="1"/>
      <ns0:c r="E9" s="1"/>
      <ns0:c r="F9" s="1"/>
    </ns0:row>
    <ns0:row r="10">
      <ns0:c r="A10" s="1" t="str">
        <ns0:v>Summe zugesagt / bezahlt</ns0:v>
      </ns0:c>
      <ns0:c r="B10" s="13" t="n">
        <ns0:f>SUM(B6:B8)</ns0:f>
        <ns0:v>18000</ns0:v>
      </ns0:c>
      <ns0:c r="C10" s="13" t="n">
        <ns0:f>SUM(C6:C8)</ns0:f>
        <ns0:v>0</ns0:v>
      </ns0:c>
      <ns0:c r="D10" s="1"/>
      <ns0:c r="E10" s="1"/>
      <ns0:c r="F10" s="1"/>
    </ns0:row>
  </ns0:sheetData>
  <ns0:pageMargins left="0.2" right="0.2" top="0.3" bottom="0.3" header="0.1" footer="0.1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9" hidden="0" customWidth="1"/>
    <ns0:col min="2" max="2" width="29" hidden="0" customWidth="1"/>
    <ns0:col min="3" max="3" width="23" hidden="0" customWidth="1"/>
    <ns0:col min="4" max="4" width="24" hidden="0" customWidth="1"/>
    <ns0:col min="5" max="5" width="28" hidden="0" customWidth="1"/>
    <ns0:col min="6" max="6" width="35" hidden="0" customWidth="1"/>
  </ns0:cols>
  <ns0:sheetData>
    <ns0:row r="2">
      <ns0:c r="A2" s="2" t="str">
        <ns0:v>Speichenraum / Inventar</ns0:v>
      </ns0:c>
      <ns0:c r="B2" s="1"/>
      <ns0:c r="C2" s="1"/>
      <ns0:c r="D2" s="1"/>
      <ns0:c r="E2" s="1"/>
      <ns0:c r="F2" s="1"/>
    </ns0:row>
    <ns0:row r="3">
      <ns0:c r="A3" s="1" t="str">
        <ns0:v>Stand 30.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Kennung</ns0:v>
      </ns0:c>
      <ns0:c r="B5" s="7" t="str">
        <ns0:v>Gegenstand</ns0:v>
      </ns0:c>
      <ns0:c r="C5" s="7" t="str">
        <ns0:v>Inhaber laut Beleg</ns0:v>
      </ns0:c>
      <ns0:c r="D5" s="7" t="str">
        <ns0:v>Anzahl</ns0:v>
      </ns0:c>
      <ns0:c r="E5" s="7" t="str">
        <ns0:v>Beleg</ns0:v>
      </ns0:c>
      <ns0:c r="F5" s="7" t="str">
        <ns0:v>Zustand bei Gespräch</ns0:v>
      </ns0:c>
    </ns0:row>
    <ns0:row r="6" ht="52" customHeight="1">
      <ns0:c r="A6" s="4" t="str">
        <ns0:v>K7-240031</ns0:v>
      </ns0:c>
      <ns0:c r="B6" s="4" t="str">
        <ns0:v>Lastenrad Kurier 7</ns0:v>
      </ns0:c>
      <ns0:c r="C6" s="4" t="str">
        <ns0:v>Olav Norden</ns0:v>
      </ns0:c>
      <ns0:c r="D6" s="4" t="n">
        <ns0:v>1</ns0:v>
      </ns0:c>
      <ns0:c r="E6" s="4" t="str">
        <ns0:v>RL-240318, 18.03.2024</ns0:v>
      </ns0:c>
      <ns0:c r="F6" s="4" t="str">
        <ns0:v>Gebraucht, am 22.09. im Hof gesehen</ns0:v>
      </ns0:c>
    </ns0:row>
    <ns0:row r="7" ht="52" customHeight="1">
      <ns0:c r="A7" s="8" t="str">
        <ns0:v>K7-240032</ns0:v>
      </ns0:c>
      <ns0:c r="B7" s="8" t="str">
        <ns0:v>Lastenrad Kurier 7</ns0:v>
      </ns0:c>
      <ns0:c r="C7" s="8" t="str">
        <ns0:v>Olav Norden</ns0:v>
      </ns0:c>
      <ns0:c r="D7" s="8" t="n">
        <ns0:v>1</ns0:v>
      </ns0:c>
      <ns0:c r="E7" s="8" t="str">
        <ns0:v>RL-240318, 18.03.2024</ns0:v>
      </ns0:c>
      <ns0:c r="F7" s="8" t="str">
        <ns0:v>Gebraucht, Reifen hinten neu</ns0:v>
      </ns0:c>
    </ns0:row>
    <ns0:row r="8" ht="52" customHeight="1">
      <ns0:c r="A8" s="4" t="str">
        <ns0:v>K7-240033</ns0:v>
      </ns0:c>
      <ns0:c r="B8" s="4" t="str">
        <ns0:v>Lastenrad Kurier 7</ns0:v>
      </ns0:c>
      <ns0:c r="C8" s="4" t="str">
        <ns0:v>Olav Norden</ns0:v>
      </ns0:c>
      <ns0:c r="D8" s="4" t="n">
        <ns0:v>1</ns0:v>
      </ns0:c>
      <ns0:c r="E8" s="4" t="str">
        <ns0:v>RL-240318, 18.03.2024</ns0:v>
      </ns0:c>
      <ns0:c r="F8" s="4" t="str">
        <ns0:v>Anderer Gepäckträger laut Seldner</ns0:v>
      </ns0:c>
    </ns0:row>
    <ns0:row r="9" ht="52" customHeight="1">
      <ns0:c r="A9" s="8" t="str">
        <ns0:v>M2-23118</ns0:v>
      </ns0:c>
      <ns0:c r="B9" s="8" t="str">
        <ns0:v>Montageständer</ns0:v>
      </ns0:c>
      <ns0:c r="C9" s="8" t="str">
        <ns0:v>Olav Norden</ns0:v>
      </ns0:c>
      <ns0:c r="D9" s="8" t="n">
        <ns0:v>1</ns0:v>
      </ns0:c>
      <ns0:c r="E9" s="8" t="str">
        <ns0:v>RL-240318, 18.03.2024</ns0:v>
      </ns0:c>
      <ns0:c r="F9" s="8" t="str">
        <ns0:v>Ablageschale fehlt</ns0:v>
      </ns0:c>
    </ns0:row>
    <ns0:row r="10" ht="52" customHeight="1">
      <ns0:c r="A10" s="4" t="str">
        <ns0:v>SB-L01</ns0:v>
      </ns0:c>
      <ns0:c r="B10" s="4" t="str">
        <ns0:v>Privater Laptop</ns0:v>
      </ns0:c>
      <ns0:c r="C10" s="4" t="str">
        <ns0:v>Selma Berendt</ns0:v>
      </ns0:c>
      <ns0:c r="D10" s="4" t="n">
        <ns0:v>1</ns0:v>
      </ns0:c>
      <ns0:c r="E10" s="4" t="str">
        <ns0:v>Chat 23.09.</ns0:v>
      </ns0:c>
      <ns0:c r="F10" s="4" t="str">
        <ns0:v>Wird abends mitgenommen</ns0:v>
      </ns0:c>
    </ns0:row>
    <ns0:row r="11" ht="52" customHeight="1">
      <ns0:c r="A11" s="8" t="str">
        <ns0:v>MF-W01</ns0:v>
      </ns0:c>
      <ns0:c r="B11" s="8" t="str">
        <ns0:v>Webadresse und Hosting</ns0:v>
      </ns0:c>
      <ns0:c r="C11" s="8" t="str">
        <ns0:v>Miro Falkenberg</ns0:v>
      </ns0:c>
      <ns0:c r="D11" s="8" t="n">
        <ns0:v>1</ns0:v>
      </ns0:c>
      <ns0:c r="E11" s="8" t="str">
        <ns0:v>Mail 29.09.</ns0:v>
      </ns0:c>
      <ns0:c r="F11" s="8" t="str">
        <ns0:v>12 EUR monatlich, Buchung noch ohne Modul</ns0:v>
      </ns0:c>
    </ns0:row>
    <ns0:row r="12">
      <ns0:c r="A12" s="1"/>
      <ns0:c r="B12" s="1"/>
      <ns0:c r="C12" s="1"/>
      <ns0:c r="D12" s="1"/>
      <ns0:c r="E12" s="1"/>
      <ns0:c r="F12" s="1"/>
    </ns0:row>
    <ns0:row r="13">
      <ns0:c r="A13" s="1"/>
      <ns0:c r="B13" s="1"/>
      <ns0:c r="C13" s="1"/>
      <ns0:c r="D13" s="1"/>
      <ns0:c r="E13" s="1"/>
      <ns0:c r="F13" s="1"/>
    </ns0:row>
  </ns0:sheetData>
  <ns0:pageMargins left="0.2" right="0.2" top="0.3" bottom="0.3" header="0.1" footer="0.1"/>
  <ns0:pageSetup paperSize="9" orientation="landscape" fitToWidth="1" fitToHeight="0"/>
</ns0:worksheet>
</file>