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lussverzeichnis" sheetId="1" state="visible" r:id="rId1"/>
    <sheet xmlns:r="http://schemas.openxmlformats.org/officeDocument/2006/relationships" name="Quotenblatt" sheetId="2" state="visible" r:id="rId2"/>
  </sheets>
  <definedNames>
    <definedName name="_xlnm._FilterDatabase" localSheetId="0" hidden="1">'Schlussverzeichnis'!$A$1:$G$14</definedName>
    <definedName name="_xlnm.Print_Titles" localSheetId="0">'Schlussverzeichnis'!$1:$1</definedName>
    <definedName name="_xlnm._FilterDatabase" localSheetId="1" hidden="1">'Quotenblatt'!$A$1:$B$9</definedName>
    <definedName name="_xlnm.Print_Titles" localSheetId="1">'Quotenblatt'!$1:$1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#,##0.00 &quot;EUR&quot;"/>
  </numFmts>
  <fonts count="3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9" customWidth="1" min="2" max="2"/>
    <col width="46" customWidth="1" min="3" max="3"/>
    <col width="20" customWidth="1" min="4" max="4"/>
    <col width="19" customWidth="1" min="5" max="5"/>
    <col width="20" customWidth="1" min="6" max="6"/>
    <col width="46" customWidth="1" min="7" max="7"/>
  </cols>
  <sheetData>
    <row r="1">
      <c r="A1" s="1" t="inlineStr">
        <is>
          <t>Lfd. Nr.</t>
        </is>
      </c>
      <c r="B1" s="1" t="inlineStr">
        <is>
          <t>Gläubiger</t>
        </is>
      </c>
      <c r="C1" s="1" t="inlineStr">
        <is>
          <t>Grund</t>
        </is>
      </c>
      <c r="D1" s="1" t="inlineStr">
        <is>
          <t>Festgestellt EUR</t>
        </is>
      </c>
      <c r="E1" s="1" t="inlineStr">
        <is>
          <t>Status</t>
        </is>
      </c>
      <c r="F1" s="1" t="inlineStr">
        <is>
          <t>Quote</t>
        </is>
      </c>
      <c r="G1" s="1" t="inlineStr">
        <is>
          <t>Auszahlung EUR</t>
        </is>
      </c>
    </row>
    <row r="2">
      <c r="A2" s="2" t="n">
        <v>1</v>
      </c>
      <c r="B2" s="2" t="inlineStr">
        <is>
          <t>Werttal Bank eG</t>
        </is>
      </c>
      <c r="C2" s="2" t="inlineStr">
        <is>
          <t>Darlehen und Ausfall nach Sicherheitenverwertung</t>
        </is>
      </c>
      <c r="D2" s="2" t="n">
        <v>430000</v>
      </c>
      <c r="E2" s="2" t="inlineStr">
        <is>
          <t>festgestellt § 38</t>
        </is>
      </c>
      <c r="F2" s="2">
        <f>'Quotenblatt'!B4</f>
        <v/>
      </c>
      <c r="G2" s="2">
        <f>ROUND(D2*F2,2)</f>
        <v/>
      </c>
    </row>
    <row r="3">
      <c r="A3" s="2" t="n">
        <v>2</v>
      </c>
      <c r="B3" s="2" t="inlineStr">
        <is>
          <t>AOK Bayern</t>
        </is>
      </c>
      <c r="C3" s="2" t="inlineStr">
        <is>
          <t>Sozialversicherungsbeiträge</t>
        </is>
      </c>
      <c r="D3" s="2" t="n">
        <v>98530.16</v>
      </c>
      <c r="E3" s="2" t="inlineStr">
        <is>
          <t>festgestellt § 38</t>
        </is>
      </c>
      <c r="F3" s="2">
        <f>'Quotenblatt'!B4</f>
        <v/>
      </c>
      <c r="G3" s="2">
        <f>ROUND(D3*F3,2)</f>
        <v/>
      </c>
    </row>
    <row r="4">
      <c r="A4" s="2" t="n">
        <v>3</v>
      </c>
      <c r="B4" s="2" t="inlineStr">
        <is>
          <t>Gerätebrücke Süd GmbH</t>
        </is>
      </c>
      <c r="C4" s="2" t="inlineStr">
        <is>
          <t>Hardware- und Wartungslieferungen</t>
        </is>
      </c>
      <c r="D4" s="2" t="n">
        <v>225400</v>
      </c>
      <c r="E4" s="2" t="inlineStr">
        <is>
          <t>festgestellt § 38</t>
        </is>
      </c>
      <c r="F4" s="2">
        <f>'Quotenblatt'!B4</f>
        <v/>
      </c>
      <c r="G4" s="2">
        <f>ROUND(D4*F4,2)</f>
        <v/>
      </c>
    </row>
    <row r="5">
      <c r="A5" s="2" t="n">
        <v>4</v>
      </c>
      <c r="B5" s="2" t="inlineStr">
        <is>
          <t>Labyrinth Lizenzsysteme GmbH</t>
        </is>
      </c>
      <c r="C5" s="2" t="inlineStr">
        <is>
          <t>Lizenzentgelte</t>
        </is>
      </c>
      <c r="D5" s="2" t="n">
        <v>185320.4</v>
      </c>
      <c r="E5" s="2" t="inlineStr">
        <is>
          <t>festgestellt § 38</t>
        </is>
      </c>
      <c r="F5" s="2">
        <f>'Quotenblatt'!B4</f>
        <v/>
      </c>
      <c r="G5" s="2">
        <f>ROUND(D5*F5,2)</f>
        <v/>
      </c>
    </row>
    <row r="6">
      <c r="A6" s="2" t="n">
        <v>5</v>
      </c>
      <c r="B6" s="2" t="inlineStr">
        <is>
          <t>Erbengemeinschaft Zobel</t>
        </is>
      </c>
      <c r="C6" s="2" t="inlineStr">
        <is>
          <t>Mietforderungen</t>
        </is>
      </c>
      <c r="D6" s="2" t="n">
        <v>74250</v>
      </c>
      <c r="E6" s="2" t="inlineStr">
        <is>
          <t>festgestellt § 38</t>
        </is>
      </c>
      <c r="F6" s="2">
        <f>'Quotenblatt'!B4</f>
        <v/>
      </c>
      <c r="G6" s="2">
        <f>ROUND(D6*F6,2)</f>
        <v/>
      </c>
    </row>
    <row r="7">
      <c r="A7" s="2" t="n">
        <v>6</v>
      </c>
      <c r="B7" s="2" t="inlineStr">
        <is>
          <t>Arbeitnehmergruppe Mainbogen</t>
        </is>
      </c>
      <c r="C7" s="2" t="inlineStr">
        <is>
          <t>Arbeitsentgelt und Urlaub</t>
        </is>
      </c>
      <c r="D7" s="2" t="n">
        <v>92471</v>
      </c>
      <c r="E7" s="2" t="inlineStr">
        <is>
          <t>festgestellt § 38</t>
        </is>
      </c>
      <c r="F7" s="2">
        <f>'Quotenblatt'!B4</f>
        <v/>
      </c>
      <c r="G7" s="2">
        <f>ROUND(D7*F7,2)</f>
        <v/>
      </c>
    </row>
    <row r="8">
      <c r="A8" s="2" t="n">
        <v>7</v>
      </c>
      <c r="B8" s="2" t="inlineStr">
        <is>
          <t>Finanzamt Würzburg</t>
        </is>
      </c>
      <c r="C8" s="2" t="inlineStr">
        <is>
          <t>Steuerforderungen</t>
        </is>
      </c>
      <c r="D8" s="2" t="n">
        <v>166800</v>
      </c>
      <c r="E8" s="2" t="inlineStr">
        <is>
          <t>festgestellt § 38</t>
        </is>
      </c>
      <c r="F8" s="2">
        <f>'Quotenblatt'!B4</f>
        <v/>
      </c>
      <c r="G8" s="2">
        <f>ROUND(D8*F8,2)</f>
        <v/>
      </c>
    </row>
    <row r="9">
      <c r="A9" s="2" t="n">
        <v>8</v>
      </c>
      <c r="B9" s="2" t="inlineStr">
        <is>
          <t>Kundengruppe Projektanzahlungen</t>
        </is>
      </c>
      <c r="C9" s="2" t="inlineStr">
        <is>
          <t>Rückzahlungsansprüche</t>
        </is>
      </c>
      <c r="D9" s="2" t="n">
        <v>118900</v>
      </c>
      <c r="E9" s="2" t="inlineStr">
        <is>
          <t>festgestellt § 38</t>
        </is>
      </c>
      <c r="F9" s="2">
        <f>'Quotenblatt'!B4</f>
        <v/>
      </c>
      <c r="G9" s="2">
        <f>ROUND(D9*F9,2)</f>
        <v/>
      </c>
    </row>
    <row r="10">
      <c r="A10" s="2" t="n">
        <v>9</v>
      </c>
      <c r="B10" s="2" t="inlineStr">
        <is>
          <t>Frankenrack Rechenzentrum KG</t>
        </is>
      </c>
      <c r="C10" s="2" t="inlineStr">
        <is>
          <t>Hosting und Housing</t>
        </is>
      </c>
      <c r="D10" s="2" t="n">
        <v>83500</v>
      </c>
      <c r="E10" s="2" t="inlineStr">
        <is>
          <t>festgestellt § 38</t>
        </is>
      </c>
      <c r="F10" s="2">
        <f>'Quotenblatt'!B4</f>
        <v/>
      </c>
      <c r="G10" s="2">
        <f>ROUND(D10*F10,2)</f>
        <v/>
      </c>
    </row>
    <row r="11">
      <c r="A11" s="2" t="n">
        <v>10</v>
      </c>
      <c r="B11" s="2" t="inlineStr">
        <is>
          <t>Dr. Elfrieda Ringelmann</t>
        </is>
      </c>
      <c r="C11" s="2" t="inlineStr">
        <is>
          <t>Projektberatung</t>
        </is>
      </c>
      <c r="D11" s="2" t="n">
        <v>79800</v>
      </c>
      <c r="E11" s="2" t="inlineStr">
        <is>
          <t>festgestellt § 38</t>
        </is>
      </c>
      <c r="F11" s="2">
        <f>'Quotenblatt'!B4</f>
        <v/>
      </c>
      <c r="G11" s="2">
        <f>ROUND(D11*F11,2)</f>
        <v/>
      </c>
    </row>
    <row r="12">
      <c r="A12" s="2" t="n">
        <v>11</v>
      </c>
      <c r="B12" s="2" t="inlineStr">
        <is>
          <t>Sensorik am Main GmbH</t>
        </is>
      </c>
      <c r="C12" s="2" t="inlineStr">
        <is>
          <t>Messgeräte und Ersatzteile</t>
        </is>
      </c>
      <c r="D12" s="2" t="n">
        <v>68400</v>
      </c>
      <c r="E12" s="2" t="inlineStr">
        <is>
          <t>festgestellt § 38</t>
        </is>
      </c>
      <c r="F12" s="2">
        <f>'Quotenblatt'!B4</f>
        <v/>
      </c>
      <c r="G12" s="2">
        <f>ROUND(D12*F12,2)</f>
        <v/>
      </c>
    </row>
    <row r="13">
      <c r="A13" s="2" t="n">
        <v>12</v>
      </c>
      <c r="B13" s="2" t="inlineStr">
        <is>
          <t>Sonstige festgestellte Kleingläubiger</t>
        </is>
      </c>
      <c r="C13" s="2" t="inlineStr">
        <is>
          <t>Lieferungen und Leistungen</t>
        </is>
      </c>
      <c r="D13" s="2" t="n">
        <v>62600</v>
      </c>
      <c r="E13" s="2" t="inlineStr">
        <is>
          <t>festgestellt § 38</t>
        </is>
      </c>
      <c r="F13" s="2">
        <f>'Quotenblatt'!B4</f>
        <v/>
      </c>
      <c r="G13" s="2">
        <f>ROUND(D13*F13,2)+ROUND('Quotenblatt'!B2-SUM(G2:G12)-ROUND(D13*F13,2),2)</f>
        <v/>
      </c>
    </row>
    <row r="14">
      <c r="A14" s="2" t="n"/>
      <c r="B14" s="2" t="inlineStr">
        <is>
          <t>Summe</t>
        </is>
      </c>
      <c r="C14" s="2" t="n"/>
      <c r="D14" s="2">
        <f>SUM(D2:D13)</f>
        <v/>
      </c>
      <c r="E14" s="2" t="n"/>
      <c r="F14" s="2" t="n"/>
      <c r="G14" s="2">
        <f>SUM(G2:G13)</f>
        <v/>
      </c>
    </row>
  </sheetData>
  <autoFilter ref="A1:G14"/>
  <pageMargins left="0.25" right="0.2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1" t="inlineStr">
        <is>
          <t>Kennzahl</t>
        </is>
      </c>
      <c r="B1" s="1" t="inlineStr">
        <is>
          <t>Wert</t>
        </is>
      </c>
    </row>
    <row r="2">
      <c r="A2" s="2" t="inlineStr">
        <is>
          <t>Verteilungsmasse</t>
        </is>
      </c>
      <c r="B2" s="3" t="n">
        <v>425430</v>
      </c>
    </row>
    <row r="3">
      <c r="A3" s="2" t="inlineStr">
        <is>
          <t>Festgestellte Forderungen</t>
        </is>
      </c>
      <c r="B3" s="3">
        <f>Schlussverzeichnis!D14</f>
        <v/>
      </c>
    </row>
    <row r="4">
      <c r="A4" s="2" t="inlineStr">
        <is>
          <t>Quote</t>
        </is>
      </c>
      <c r="B4" s="4">
        <f>B2/B3</f>
        <v/>
      </c>
    </row>
    <row r="5">
      <c r="A5" s="2" t="inlineStr">
        <is>
          <t>Summe vor Centausgleich</t>
        </is>
      </c>
      <c r="B5" s="3">
        <f>SUMPRODUCT(ROUND(Schlussverzeichnis!D2:D13*B4,2))</f>
        <v/>
      </c>
    </row>
    <row r="6">
      <c r="A6" s="2" t="inlineStr">
        <is>
          <t>Rundungsdifferenz vor Centausgleich</t>
        </is>
      </c>
      <c r="B6" s="3">
        <f>ROUND(B2-B5,2)</f>
        <v/>
      </c>
    </row>
    <row r="7">
      <c r="A7" s="2" t="inlineStr">
        <is>
          <t>Centrest zugeordnet an lfd. Nr.</t>
        </is>
      </c>
      <c r="B7" s="2">
        <f>Schlussverzeichnis!A13</f>
        <v/>
      </c>
    </row>
    <row r="8">
      <c r="A8" s="2" t="inlineStr">
        <is>
          <t>Summe nach Centausgleich</t>
        </is>
      </c>
      <c r="B8" s="3">
        <f>Schlussverzeichnis!G14</f>
        <v/>
      </c>
    </row>
    <row r="9">
      <c r="A9" s="2" t="inlineStr">
        <is>
          <t>Kontrolle</t>
        </is>
      </c>
      <c r="B9" s="3">
        <f>ROUND(B2-B8,2)</f>
        <v/>
      </c>
    </row>
  </sheetData>
  <autoFilter ref="A1:B9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2026-10-22T11:13:47Z</dcterms:created>
  <dcterms:modified xmlns:dcterms="http://purl.org/dc/terms/" xmlns:xsi="http://www.w3.org/2001/XMLSchema-instance" xsi:type="dcterms:W3CDTF">2026-10-22T11:13:47Z</dcterms:modified>
</cp:coreProperties>
</file>