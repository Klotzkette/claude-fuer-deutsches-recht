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bstimmung" sheetId="1" state="visible" r:id="rId1"/>
    <sheet xmlns:r="http://schemas.openxmlformats.org/officeDocument/2006/relationships" name="Einnahmen" sheetId="2" state="visible" r:id="rId2"/>
    <sheet xmlns:r="http://schemas.openxmlformats.org/officeDocument/2006/relationships" name="Ausgaben" sheetId="3" state="visible" r:id="rId3"/>
    <sheet xmlns:r="http://schemas.openxmlformats.org/officeDocument/2006/relationships" name="Schlusskosten" sheetId="4" state="visible" r:id="rId4"/>
  </sheets>
  <definedNames>
    <definedName name="_xlnm._FilterDatabase" localSheetId="0" hidden="1">'Abstimmung'!$A$1:$C$31</definedName>
    <definedName name="_xlnm.Print_Titles" localSheetId="0">'Abstimmung'!$1:$1</definedName>
    <definedName name="_xlnm._FilterDatabase" localSheetId="1" hidden="1">'Einnahmen'!$A$1:$C$10</definedName>
    <definedName name="_xlnm.Print_Titles" localSheetId="1">'Einnahmen'!$1:$1</definedName>
    <definedName name="_xlnm._FilterDatabase" localSheetId="2" hidden="1">'Ausgaben'!$A$1:$C$11</definedName>
    <definedName name="_xlnm.Print_Titles" localSheetId="2">'Ausgaben'!$1:$1</definedName>
    <definedName name="_xlnm._FilterDatabase" localSheetId="3" hidden="1">'Schlusskosten'!$A$1:$C$4</definedName>
    <definedName name="_xlnm.Print_Titles" localSheetId="3">'Schlusskosten'!$1:$1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%"/>
    <numFmt numFmtId="165" formatCode="#,##0.00 &quot;EUR&quot;"/>
  </numFmts>
  <fonts count="3">
    <font>
      <name val="Calibri"/>
      <family val="2"/>
      <color theme="1"/>
      <sz val="11"/>
      <scheme val="minor"/>
    </font>
    <font>
      <name val="Times New Roman"/>
      <b val="1"/>
      <color rgb="00FFFFFF"/>
    </font>
    <font>
      <name val="Times New Roman"/>
      <sz val="11"/>
    </font>
  </fonts>
  <fills count="3">
    <fill>
      <patternFill/>
    </fill>
    <fill>
      <patternFill patternType="gray125"/>
    </fill>
    <fill>
      <patternFill patternType="solid">
        <fgColor rgb="0017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165" fontId="2" fillId="0" borderId="0" applyAlignment="1" pivotButton="0" quotePrefix="0" xfId="0">
      <alignment vertical="top" wrapText="1"/>
    </xf>
    <xf numFmtId="164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3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6" customWidth="1" min="1" max="1"/>
    <col width="20" customWidth="1" min="2" max="2"/>
    <col width="29" customWidth="1" min="3" max="3"/>
  </cols>
  <sheetData>
    <row r="1">
      <c r="A1" s="1" t="inlineStr">
        <is>
          <t>Schlussrechnung und Kontenabgleich</t>
        </is>
      </c>
      <c r="B1" s="1" t="n"/>
      <c r="C1" s="1" t="n"/>
    </row>
    <row r="2">
      <c r="A2" s="2" t="inlineStr">
        <is>
          <t>Position</t>
        </is>
      </c>
      <c r="B2" s="2" t="inlineStr">
        <is>
          <t>Betrag EUR</t>
        </is>
      </c>
      <c r="C2" s="2" t="inlineStr">
        <is>
          <t>Kontrolle</t>
        </is>
      </c>
    </row>
    <row r="3">
      <c r="A3" s="2" t="inlineStr">
        <is>
          <t>Einnahme: Übernommene liquide Mittel und vorläufiges Verfahren</t>
        </is>
      </c>
      <c r="B3" s="3" t="n">
        <v>118450</v>
      </c>
      <c r="C3" s="2" t="inlineStr">
        <is>
          <t>Belegmatrix</t>
        </is>
      </c>
    </row>
    <row r="4">
      <c r="A4" s="2" t="inlineStr">
        <is>
          <t>Einnahme: Einzug vorinsolvenzlicher Forderungen</t>
        </is>
      </c>
      <c r="B4" s="3" t="n">
        <v>356200</v>
      </c>
      <c r="C4" s="2" t="inlineStr">
        <is>
          <t>Belegmatrix</t>
        </is>
      </c>
    </row>
    <row r="5">
      <c r="A5" s="2" t="inlineStr">
        <is>
          <t>Einnahme: Erlöse aus Betriebsfortführung</t>
        </is>
      </c>
      <c r="B5" s="3" t="n">
        <v>1109600</v>
      </c>
      <c r="C5" s="2" t="inlineStr">
        <is>
          <t>Belegmatrix</t>
        </is>
      </c>
    </row>
    <row r="6">
      <c r="A6" s="2" t="inlineStr">
        <is>
          <t>Einnahme: Kaufpreis Asset Deal</t>
        </is>
      </c>
      <c r="B6" s="3" t="n">
        <v>286000</v>
      </c>
      <c r="C6" s="2" t="inlineStr">
        <is>
          <t>Belegmatrix</t>
        </is>
      </c>
    </row>
    <row r="7">
      <c r="A7" s="2" t="inlineStr">
        <is>
          <t>Einnahme: Anfechtungsvergleiche</t>
        </is>
      </c>
      <c r="B7" s="3" t="n">
        <v>94500</v>
      </c>
      <c r="C7" s="2" t="inlineStr">
        <is>
          <t>Belegmatrix</t>
        </is>
      </c>
    </row>
    <row r="8">
      <c r="A8" s="2" t="inlineStr">
        <is>
          <t>Einnahme: D&amp;O- und Organhaftungsvergleich</t>
        </is>
      </c>
      <c r="B8" s="3" t="n">
        <v>120000</v>
      </c>
      <c r="C8" s="2" t="inlineStr">
        <is>
          <t>Belegmatrix</t>
        </is>
      </c>
    </row>
    <row r="9">
      <c r="A9" s="2" t="inlineStr">
        <is>
          <t>Einnahme: Steuererstattungen</t>
        </is>
      </c>
      <c r="B9" s="3" t="n">
        <v>58400</v>
      </c>
      <c r="C9" s="2" t="inlineStr">
        <is>
          <t>Belegmatrix</t>
        </is>
      </c>
    </row>
    <row r="10">
      <c r="A10" s="2" t="inlineStr">
        <is>
          <t>Einnahme: Kautionen und sonstige Erstattungen</t>
        </is>
      </c>
      <c r="B10" s="3" t="n">
        <v>21500</v>
      </c>
      <c r="C10" s="2" t="inlineStr">
        <is>
          <t>Belegmatrix</t>
        </is>
      </c>
    </row>
    <row r="11">
      <c r="A11" s="2" t="inlineStr">
        <is>
          <t>Einnahme: Zinsen</t>
        </is>
      </c>
      <c r="B11" s="3" t="n">
        <v>20000</v>
      </c>
      <c r="C11" s="2" t="inlineStr">
        <is>
          <t>Belegmatrix</t>
        </is>
      </c>
    </row>
    <row r="12">
      <c r="A12" s="2" t="inlineStr">
        <is>
          <t>Summe Einnahmen</t>
        </is>
      </c>
      <c r="B12" s="2">
        <f>SUM(B3:B11)</f>
        <v/>
      </c>
      <c r="C12" s="2" t="inlineStr">
        <is>
          <t>Soll 2.184.650,00</t>
        </is>
      </c>
    </row>
    <row r="13">
      <c r="A13" s="2" t="inlineStr">
        <is>
          <t>Ausgabe: Lieferanten und Fremdleistungen der Fortführung</t>
        </is>
      </c>
      <c r="B13" s="3" t="n">
        <v>602480.3</v>
      </c>
      <c r="C13" s="2" t="inlineStr">
        <is>
          <t>Belegmatrix</t>
        </is>
      </c>
    </row>
    <row r="14">
      <c r="A14" s="2" t="inlineStr">
        <is>
          <t>Ausgabe: Löhne und Gehälter</t>
        </is>
      </c>
      <c r="B14" s="3" t="n">
        <v>354680</v>
      </c>
      <c r="C14" s="2" t="inlineStr">
        <is>
          <t>Belegmatrix</t>
        </is>
      </c>
    </row>
    <row r="15">
      <c r="A15" s="2" t="inlineStr">
        <is>
          <t>Ausgabe: Sozialversicherungsbeiträge</t>
        </is>
      </c>
      <c r="B15" s="3" t="n">
        <v>141872.45</v>
      </c>
      <c r="C15" s="2" t="inlineStr">
        <is>
          <t>Belegmatrix</t>
        </is>
      </c>
    </row>
    <row r="16">
      <c r="A16" s="2" t="inlineStr">
        <is>
          <t>Ausgabe: Steuern der Masse</t>
        </is>
      </c>
      <c r="B16" s="3" t="n">
        <v>184335.6</v>
      </c>
      <c r="C16" s="2" t="inlineStr">
        <is>
          <t>Belegmatrix</t>
        </is>
      </c>
    </row>
    <row r="17">
      <c r="A17" s="2" t="inlineStr">
        <is>
          <t>Ausgabe: Miete, Energie und Betriebskosten</t>
        </is>
      </c>
      <c r="B17" s="3" t="n">
        <v>126790.2</v>
      </c>
      <c r="C17" s="2" t="inlineStr">
        <is>
          <t>Belegmatrix</t>
        </is>
      </c>
    </row>
    <row r="18">
      <c r="A18" s="2" t="inlineStr">
        <is>
          <t>Ausgabe: Buchhaltung, IT und sonstige Dienstleistungen</t>
        </is>
      </c>
      <c r="B18" s="3" t="n">
        <v>96480.25</v>
      </c>
      <c r="C18" s="2" t="inlineStr">
        <is>
          <t>Belegmatrix</t>
        </is>
      </c>
    </row>
    <row r="19">
      <c r="A19" s="2" t="inlineStr">
        <is>
          <t>Ausgabe: Verwertungs- und Archivkosten</t>
        </is>
      </c>
      <c r="B19" s="3" t="n">
        <v>21890</v>
      </c>
      <c r="C19" s="2" t="inlineStr">
        <is>
          <t>Belegmatrix</t>
        </is>
      </c>
    </row>
    <row r="20">
      <c r="A20" s="2" t="inlineStr">
        <is>
          <t>Ausgabe: Prozess- und Beratungskosten</t>
        </is>
      </c>
      <c r="B20" s="3" t="n">
        <v>37320</v>
      </c>
      <c r="C20" s="2" t="inlineStr">
        <is>
          <t>Belegmatrix</t>
        </is>
      </c>
    </row>
    <row r="21">
      <c r="A21" s="2" t="inlineStr">
        <is>
          <t>Ausgabe: Bank- und Geldverkehrskosten</t>
        </is>
      </c>
      <c r="B21" s="3" t="n">
        <v>4125.6</v>
      </c>
      <c r="C21" s="2" t="inlineStr">
        <is>
          <t>Belegmatrix</t>
        </is>
      </c>
    </row>
    <row r="22">
      <c r="A22" s="2" t="inlineStr">
        <is>
          <t>Ausgabe: Vergütung und Auslagen der vorläufigen Verwalterin</t>
        </is>
      </c>
      <c r="B22" s="3" t="n">
        <v>73318</v>
      </c>
      <c r="C22" s="2" t="inlineStr">
        <is>
          <t>Belegmatrix</t>
        </is>
      </c>
    </row>
    <row r="23">
      <c r="A23" s="2" t="inlineStr">
        <is>
          <t>Summe Ausgaben</t>
        </is>
      </c>
      <c r="B23" s="2">
        <f>SUM(B13:B22)</f>
        <v/>
      </c>
      <c r="C23" s="2" t="inlineStr">
        <is>
          <t>Soll 1.643.292,40</t>
        </is>
      </c>
    </row>
    <row r="24">
      <c r="A24" s="2" t="inlineStr">
        <is>
          <t>Kontenbestand</t>
        </is>
      </c>
      <c r="B24" s="2">
        <f>B12-B23</f>
        <v/>
      </c>
      <c r="C24" s="2" t="inlineStr">
        <is>
          <t>Soll 541.357,60</t>
        </is>
      </c>
    </row>
    <row r="25">
      <c r="A25" s="2" t="inlineStr">
        <is>
          <t>Rückstellung: Gerichtskosten</t>
        </is>
      </c>
      <c r="B25" s="3" t="n">
        <v>13850</v>
      </c>
      <c r="C25" s="2" t="inlineStr">
        <is>
          <t>noch zu zahlen/festzusetzen</t>
        </is>
      </c>
    </row>
    <row r="26">
      <c r="A26" s="2" t="inlineStr">
        <is>
          <t>Rückstellung: beantragte Vergütung und Auslagen der Insolvenzverwalterin einschließlich Umsatzsteuer</t>
        </is>
      </c>
      <c r="B26" s="3" t="n">
        <v>96577.60000000001</v>
      </c>
      <c r="C26" s="2" t="inlineStr">
        <is>
          <t>noch zu zahlen/festzusetzen</t>
        </is>
      </c>
    </row>
    <row r="27">
      <c r="A27" s="2" t="inlineStr">
        <is>
          <t>Rückstellung: Schlussabwicklung, Archivierung und Kontoführung</t>
        </is>
      </c>
      <c r="B27" s="3" t="n">
        <v>5500</v>
      </c>
      <c r="C27" s="2" t="inlineStr">
        <is>
          <t>noch zu zahlen/festzusetzen</t>
        </is>
      </c>
    </row>
    <row r="28">
      <c r="A28" s="2" t="inlineStr">
        <is>
          <t>Summe Rückstellungen</t>
        </is>
      </c>
      <c r="B28" s="2">
        <f>SUM(B25:B27)</f>
        <v/>
      </c>
      <c r="C28" s="2" t="inlineStr">
        <is>
          <t>Soll 115.927,60</t>
        </is>
      </c>
    </row>
    <row r="29">
      <c r="A29" s="2" t="inlineStr">
        <is>
          <t>Verfügbare Verteilungsmasse</t>
        </is>
      </c>
      <c r="B29" s="2">
        <f>B24-B28</f>
        <v/>
      </c>
      <c r="C29" s="2" t="inlineStr">
        <is>
          <t>Soll 425.430,00</t>
        </is>
      </c>
    </row>
    <row r="30">
      <c r="A30" s="2" t="inlineStr">
        <is>
          <t>Festgestellte Forderungen</t>
        </is>
      </c>
      <c r="B30" s="3" t="n">
        <v>1685971.56</v>
      </c>
      <c r="C30" s="2" t="inlineStr">
        <is>
          <t>Schlussverzeichnis</t>
        </is>
      </c>
    </row>
    <row r="31">
      <c r="A31" s="2" t="inlineStr">
        <is>
          <t>Quote</t>
        </is>
      </c>
      <c r="B31" s="4">
        <f>B29/B30</f>
        <v/>
      </c>
      <c r="C31" s="2" t="inlineStr">
        <is>
          <t>Prozentformat</t>
        </is>
      </c>
    </row>
  </sheetData>
  <autoFilter ref="A1:C31"/>
  <pageMargins left="0.25" right="0.25" top="0.5" bottom="0.5" header="0.5" footer="0.5"/>
  <pageSetup orientation="landscape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C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6" customWidth="1" min="1" max="1"/>
    <col width="20" customWidth="1" min="2" max="2"/>
    <col width="13" customWidth="1" min="3" max="3"/>
  </cols>
  <sheetData>
    <row r="1">
      <c r="A1" s="1" t="inlineStr">
        <is>
          <t>Kategorie</t>
        </is>
      </c>
      <c r="B1" s="1" t="inlineStr">
        <is>
          <t>Betrag EUR</t>
        </is>
      </c>
      <c r="C1" s="1" t="inlineStr">
        <is>
          <t>Belegstatus</t>
        </is>
      </c>
    </row>
    <row r="2">
      <c r="A2" s="2" t="inlineStr">
        <is>
          <t>Übernommene liquide Mittel und vorläufiges Verfahren</t>
        </is>
      </c>
      <c r="B2" s="3" t="n">
        <v>118450</v>
      </c>
      <c r="C2" s="2" t="inlineStr">
        <is>
          <t>belegt</t>
        </is>
      </c>
    </row>
    <row r="3">
      <c r="A3" s="2" t="inlineStr">
        <is>
          <t>Einzug vorinsolvenzlicher Forderungen</t>
        </is>
      </c>
      <c r="B3" s="3" t="n">
        <v>356200</v>
      </c>
      <c r="C3" s="2" t="inlineStr">
        <is>
          <t>belegt</t>
        </is>
      </c>
    </row>
    <row r="4">
      <c r="A4" s="2" t="inlineStr">
        <is>
          <t>Erlöse aus Betriebsfortführung</t>
        </is>
      </c>
      <c r="B4" s="3" t="n">
        <v>1109600</v>
      </c>
      <c r="C4" s="2" t="inlineStr">
        <is>
          <t>belegt</t>
        </is>
      </c>
    </row>
    <row r="5">
      <c r="A5" s="2" t="inlineStr">
        <is>
          <t>Kaufpreis Asset Deal</t>
        </is>
      </c>
      <c r="B5" s="3" t="n">
        <v>286000</v>
      </c>
      <c r="C5" s="2" t="inlineStr">
        <is>
          <t>belegt</t>
        </is>
      </c>
    </row>
    <row r="6">
      <c r="A6" s="2" t="inlineStr">
        <is>
          <t>Anfechtungsvergleiche</t>
        </is>
      </c>
      <c r="B6" s="3" t="n">
        <v>94500</v>
      </c>
      <c r="C6" s="2" t="inlineStr">
        <is>
          <t>belegt</t>
        </is>
      </c>
    </row>
    <row r="7">
      <c r="A7" s="2" t="inlineStr">
        <is>
          <t>D&amp;O- und Organhaftungsvergleich</t>
        </is>
      </c>
      <c r="B7" s="3" t="n">
        <v>120000</v>
      </c>
      <c r="C7" s="2" t="inlineStr">
        <is>
          <t>belegt</t>
        </is>
      </c>
    </row>
    <row r="8">
      <c r="A8" s="2" t="inlineStr">
        <is>
          <t>Steuererstattungen</t>
        </is>
      </c>
      <c r="B8" s="3" t="n">
        <v>58400</v>
      </c>
      <c r="C8" s="2" t="inlineStr">
        <is>
          <t>belegt</t>
        </is>
      </c>
    </row>
    <row r="9">
      <c r="A9" s="2" t="inlineStr">
        <is>
          <t>Kautionen und sonstige Erstattungen</t>
        </is>
      </c>
      <c r="B9" s="3" t="n">
        <v>21500</v>
      </c>
      <c r="C9" s="2" t="inlineStr">
        <is>
          <t>belegt</t>
        </is>
      </c>
    </row>
    <row r="10">
      <c r="A10" s="2" t="inlineStr">
        <is>
          <t>Zinsen</t>
        </is>
      </c>
      <c r="B10" s="3" t="n">
        <v>20000</v>
      </c>
      <c r="C10" s="2" t="inlineStr">
        <is>
          <t>belegt</t>
        </is>
      </c>
    </row>
  </sheetData>
  <autoFilter ref="A1:C10"/>
  <pageMargins left="0.25" right="0.25" top="0.5" bottom="0.5" header="0.5" footer="0.5"/>
  <pageSetup orientation="landscape" paperSize="9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C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6" customWidth="1" min="1" max="1"/>
    <col width="20" customWidth="1" min="2" max="2"/>
    <col width="13" customWidth="1" min="3" max="3"/>
  </cols>
  <sheetData>
    <row r="1">
      <c r="A1" s="1" t="inlineStr">
        <is>
          <t>Kategorie</t>
        </is>
      </c>
      <c r="B1" s="1" t="inlineStr">
        <is>
          <t>Betrag EUR</t>
        </is>
      </c>
      <c r="C1" s="1" t="inlineStr">
        <is>
          <t>Belegstatus</t>
        </is>
      </c>
    </row>
    <row r="2">
      <c r="A2" s="2" t="inlineStr">
        <is>
          <t>Lieferanten und Fremdleistungen der Fortführung</t>
        </is>
      </c>
      <c r="B2" s="3" t="n">
        <v>602480.3</v>
      </c>
      <c r="C2" s="2" t="inlineStr">
        <is>
          <t>belegt</t>
        </is>
      </c>
    </row>
    <row r="3">
      <c r="A3" s="2" t="inlineStr">
        <is>
          <t>Löhne und Gehälter</t>
        </is>
      </c>
      <c r="B3" s="3" t="n">
        <v>354680</v>
      </c>
      <c r="C3" s="2" t="inlineStr">
        <is>
          <t>belegt</t>
        </is>
      </c>
    </row>
    <row r="4">
      <c r="A4" s="2" t="inlineStr">
        <is>
          <t>Sozialversicherungsbeiträge</t>
        </is>
      </c>
      <c r="B4" s="3" t="n">
        <v>141872.45</v>
      </c>
      <c r="C4" s="2" t="inlineStr">
        <is>
          <t>belegt</t>
        </is>
      </c>
    </row>
    <row r="5">
      <c r="A5" s="2" t="inlineStr">
        <is>
          <t>Steuern der Masse</t>
        </is>
      </c>
      <c r="B5" s="3" t="n">
        <v>184335.6</v>
      </c>
      <c r="C5" s="2" t="inlineStr">
        <is>
          <t>belegt</t>
        </is>
      </c>
    </row>
    <row r="6">
      <c r="A6" s="2" t="inlineStr">
        <is>
          <t>Miete, Energie und Betriebskosten</t>
        </is>
      </c>
      <c r="B6" s="3" t="n">
        <v>126790.2</v>
      </c>
      <c r="C6" s="2" t="inlineStr">
        <is>
          <t>belegt</t>
        </is>
      </c>
    </row>
    <row r="7">
      <c r="A7" s="2" t="inlineStr">
        <is>
          <t>Buchhaltung, IT und sonstige Dienstleistungen</t>
        </is>
      </c>
      <c r="B7" s="3" t="n">
        <v>96480.25</v>
      </c>
      <c r="C7" s="2" t="inlineStr">
        <is>
          <t>belegt</t>
        </is>
      </c>
    </row>
    <row r="8">
      <c r="A8" s="2" t="inlineStr">
        <is>
          <t>Verwertungs- und Archivkosten</t>
        </is>
      </c>
      <c r="B8" s="3" t="n">
        <v>21890</v>
      </c>
      <c r="C8" s="2" t="inlineStr">
        <is>
          <t>belegt</t>
        </is>
      </c>
    </row>
    <row r="9">
      <c r="A9" s="2" t="inlineStr">
        <is>
          <t>Prozess- und Beratungskosten</t>
        </is>
      </c>
      <c r="B9" s="3" t="n">
        <v>37320</v>
      </c>
      <c r="C9" s="2" t="inlineStr">
        <is>
          <t>belegt</t>
        </is>
      </c>
    </row>
    <row r="10">
      <c r="A10" s="2" t="inlineStr">
        <is>
          <t>Bank- und Geldverkehrskosten</t>
        </is>
      </c>
      <c r="B10" s="3" t="n">
        <v>4125.6</v>
      </c>
      <c r="C10" s="2" t="inlineStr">
        <is>
          <t>belegt</t>
        </is>
      </c>
    </row>
    <row r="11">
      <c r="A11" s="2" t="inlineStr">
        <is>
          <t>Vergütung und Auslagen der vorläufigen Verwalterin</t>
        </is>
      </c>
      <c r="B11" s="3" t="n">
        <v>73318</v>
      </c>
      <c r="C11" s="2" t="inlineStr">
        <is>
          <t>belegt</t>
        </is>
      </c>
    </row>
  </sheetData>
  <autoFilter ref="A1:C11"/>
  <pageMargins left="0.25" right="0.25" top="0.5" bottom="0.5" header="0.5" footer="0.5"/>
  <pageSetup orientation="landscape" paperSize="9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C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6" customWidth="1" min="1" max="1"/>
    <col width="20" customWidth="1" min="2" max="2"/>
    <col width="13" customWidth="1" min="3" max="3"/>
  </cols>
  <sheetData>
    <row r="1">
      <c r="A1" s="1" t="inlineStr">
        <is>
          <t>Kategorie</t>
        </is>
      </c>
      <c r="B1" s="1" t="inlineStr">
        <is>
          <t>Betrag EUR</t>
        </is>
      </c>
      <c r="C1" s="1" t="inlineStr">
        <is>
          <t>Belegstatus</t>
        </is>
      </c>
    </row>
    <row r="2">
      <c r="A2" s="2" t="inlineStr">
        <is>
          <t>Gerichtskosten</t>
        </is>
      </c>
      <c r="B2" s="3" t="n">
        <v>13850</v>
      </c>
      <c r="C2" s="2" t="inlineStr">
        <is>
          <t>belegt</t>
        </is>
      </c>
    </row>
    <row r="3">
      <c r="A3" s="2" t="inlineStr">
        <is>
          <t>beantragte Vergütung und Auslagen der Insolvenzverwalterin einschließlich Umsatzsteuer</t>
        </is>
      </c>
      <c r="B3" s="3" t="n">
        <v>96577.60000000001</v>
      </c>
      <c r="C3" s="2" t="inlineStr">
        <is>
          <t>belegt</t>
        </is>
      </c>
    </row>
    <row r="4">
      <c r="A4" s="2" t="inlineStr">
        <is>
          <t>Schlussabwicklung, Archivierung und Kontoführung</t>
        </is>
      </c>
      <c r="B4" s="3" t="n">
        <v>5500</v>
      </c>
      <c r="C4" s="2" t="inlineStr">
        <is>
          <t>belegt</t>
        </is>
      </c>
    </row>
  </sheetData>
  <autoFilter ref="A1:C4"/>
  <pageMargins left="0.25" right="0.25" top="0.5" bottom="0.5" header="0.5" footer="0.5"/>
  <pageSetup orientation="landscape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2026-10-22T11:13:47Z</dcterms:created>
  <dcterms:modified xmlns:dcterms="http://purl.org/dc/terms/" xmlns:xsi="http://www.w3.org/2001/XMLSchema-instance" xsi:type="dcterms:W3CDTF">2026-10-22T11:13:47Z</dcterms:modified>
</cp:coreProperties>
</file>