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Berechnung" sheetId="1" state="visible" ns1:id="rId3"/>
  </ns0:sheets>
  <ns0:definedNames>
    <ns0:definedName name="_xlnm.Print_Area" localSheetId="0">'Berechnung'!A1:G34</ns0:definedName>
    <ns0:definedName name="_xlnm.Print_Titles" localSheetId="0">'Berechnung'!$1:$5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<sst xmlns="http://schemas.openxmlformats.org/spreadsheetml/2006/main" count="71" uniqueCount="61">
  <si>
    <t xml:space="preserve">Ärztehaus Kostenberechnung</t>
  </si>
  <si>
    <t xml:space="preserve">Heller und Seifert · an Mühlenanger Immobilien · 08.06.2026 · AS-26-03</t>
  </si>
  <si>
    <t xml:space="preserve">Projektbestandteil</t>
  </si>
  <si>
    <t xml:space="preserve">Menge</t>
  </si>
  <si>
    <t xml:space="preserve">Einheit</t>
  </si>
  <si>
    <t xml:space="preserve">Ansatz netto EUR</t>
  </si>
  <si>
    <t xml:space="preserve">Netto EUR</t>
  </si>
  <si>
    <t xml:space="preserve">Quelle</t>
  </si>
  <si>
    <t xml:space="preserve">Stand</t>
  </si>
  <si>
    <t xml:space="preserve">Erdarbeiten</t>
  </si>
  <si>
    <t xml:space="preserve">m²</t>
  </si>
  <si>
    <t xml:space="preserve">E-03 / Grundfläche</t>
  </si>
  <si>
    <t xml:space="preserve">Ansatz Juni</t>
  </si>
  <si>
    <t xml:space="preserve">Gründung und Bodenplatte</t>
  </si>
  <si>
    <t xml:space="preserve">E-03 / T-02</t>
  </si>
  <si>
    <t xml:space="preserve">Ohne Bodenverbesserung</t>
  </si>
  <si>
    <t xml:space="preserve">Tragwerk und Decken</t>
  </si>
  <si>
    <t xml:space="preserve">m² BGF</t>
  </si>
  <si>
    <t xml:space="preserve">T-02 / 03.06.</t>
  </si>
  <si>
    <t xml:space="preserve">Schachtänderung offen</t>
  </si>
  <si>
    <t xml:space="preserve">Fassade geschlossen</t>
  </si>
  <si>
    <t xml:space="preserve">E-03 / Ansicht</t>
  </si>
  <si>
    <t xml:space="preserve">Fenster separat</t>
  </si>
  <si>
    <t xml:space="preserve">Dachaufbau</t>
  </si>
  <si>
    <t xml:space="preserve">E-03 / Schnitt</t>
  </si>
  <si>
    <t xml:space="preserve">Flachdach</t>
  </si>
  <si>
    <t xml:space="preserve">Fenster und Außentüren</t>
  </si>
  <si>
    <t xml:space="preserve">Planeransatz</t>
  </si>
  <si>
    <t xml:space="preserve">Innenausbau</t>
  </si>
  <si>
    <t xml:space="preserve">E-03 / Raumstand</t>
  </si>
  <si>
    <t xml:space="preserve">Allgemeine Praxisnutzung</t>
  </si>
  <si>
    <t xml:space="preserve">Technische Anlagen</t>
  </si>
  <si>
    <t xml:space="preserve">psch</t>
  </si>
  <si>
    <t xml:space="preserve">TGA 04.06.</t>
  </si>
  <si>
    <t xml:space="preserve">Ohne Aufzug</t>
  </si>
  <si>
    <t xml:space="preserve">Aufzug</t>
  </si>
  <si>
    <t xml:space="preserve">St</t>
  </si>
  <si>
    <t xml:space="preserve">Zwei Haltestellen</t>
  </si>
  <si>
    <t xml:space="preserve">Außenanlagen</t>
  </si>
  <si>
    <t xml:space="preserve">Vorplanung 01.04.</t>
  </si>
  <si>
    <t xml:space="preserve">Unverändert</t>
  </si>
  <si>
    <t xml:space="preserve">Lose Ausstattung</t>
  </si>
  <si>
    <t xml:space="preserve">Betreiber 10.04.</t>
  </si>
  <si>
    <t xml:space="preserve">Keine OP-Ausstattung</t>
  </si>
  <si>
    <t xml:space="preserve">Planung und Nebenkosten</t>
  </si>
  <si>
    <t xml:space="preserve">Abruf / Ansatz</t>
  </si>
  <si>
    <t xml:space="preserve">Steuerpflichtige Ansätze</t>
  </si>
  <si>
    <t xml:space="preserve">Gesamt netto</t>
  </si>
  <si>
    <t xml:space="preserve">Umsatzsteuer</t>
  </si>
  <si>
    <t xml:space="preserve">Kosten brutto</t>
  </si>
  <si>
    <t xml:space="preserve">Reserve brutto</t>
  </si>
  <si>
    <t xml:space="preserve">Mit Reserve brutto</t>
  </si>
  <si>
    <t xml:space="preserve">Kostenschätzung netto</t>
  </si>
  <si>
    <t xml:space="preserve">01.04.2026</t>
  </si>
  <si>
    <t xml:space="preserve">Veränderung netto</t>
  </si>
  <si>
    <t xml:space="preserve">Finanzrahmen brutto</t>
  </si>
  <si>
    <t xml:space="preserve">Abstand mit Reserve</t>
  </si>
  <si>
    <t xml:space="preserve">Planbezug E-03. Schachtgeometrie K-07 ungeklärt; TGA-Ansatz ohne Änderung am Tragwerk.</t>
  </si>
  <si>
    <t xml:space="preserve">Grundstück und öffentlich-rechtliche Gebühren außerhalb dieser Berechnung; Gebühren noch offen.</t>
  </si>
  <si>
    <t xml:space="preserve">Interne Projektkostengliederung. Keine Kostenerfassung für später vorgeschlagene OP-Nutzung.</t>
  </si>
  <si>
    <t xml:space="preserve">gez. Janne Heller · Mengen aus Zeichnungen 03 bis 05 und Raumliste 10; Fachansätze 08 und 09.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</si>
</sst>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 &quot;"/>
    <numFmt numFmtId="166" formatCode="[$-407]#,##0.00&quot;  &quot;"/>
    <numFmt numFmtId="167" formatCode="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11"/>
      <color rgb="FF195BA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D45"/>
        <bgColor rgb="FF333300"/>
      </patternFill>
    </fill>
    <fill>
      <patternFill patternType="solid">
        <fgColor rgb="FFE8EE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EEB"/>
      <rgbColor rgb="FFCCFFFF"/>
      <rgbColor rgb="FF660066"/>
      <rgbColor rgb="FFFF8080"/>
      <rgbColor rgb="FF195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54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4"/>
    <ns0:col collapsed="false" customWidth="true" hidden="false" outlineLevel="0" max="3" min="2" style="0" width="11"/>
    <ns0:col collapsed="false" customWidth="true" hidden="false" outlineLevel="0" max="4" min="4" style="0" width="18"/>
    <ns0:col collapsed="false" customWidth="true" hidden="false" outlineLevel="0" max="5" min="5" style="0" width="20"/>
    <ns0:col collapsed="false" customWidth="true" hidden="false" outlineLevel="0" max="6" min="6" style="0" width="22"/>
    <ns0:col collapsed="false" customWidth="true" hidden="false" outlineLevel="0" max="7" min="7" style="0" width="29"/>
  </ns0:cols>
  <ns0:sheetData>
    <ns0:row r="1" customFormat="false" ht="24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1</ns0:v>
      </ns0:c>
      <ns0:c r="B2" s="2"/>
      <ns0:c r="C2" s="2"/>
      <ns0:c r="D2" s="2"/>
      <ns0:c r="E2" s="2"/>
      <ns0:c r="F2" s="2"/>
      <ns0:c r="G2" s="2"/>
    </ns0:row>
    <ns0:row r="3" customFormat="false" ht="12" hidden="false" customHeight="true" outlineLevel="0" collapsed="false">
      <ns0:c r="A3" s="2"/>
      <ns0:c r="B3" s="2"/>
      <ns0:c r="C3" s="2"/>
      <ns0:c r="D3" s="2"/>
      <ns0:c r="E3" s="2"/>
      <ns0:c r="F3" s="2"/>
      <ns0:c r="G3" s="2"/>
    </ns0:row>
    <ns0:row r="4" customFormat="false" ht="12" hidden="false" customHeight="true" outlineLevel="0" collapsed="false">
      <ns0:c r="A4" s="2"/>
      <ns0:c r="B4" s="2"/>
      <ns0:c r="C4" s="2"/>
      <ns0:c r="D4" s="2"/>
      <ns0:c r="E4" s="2"/>
      <ns0:c r="F4" s="2"/>
      <ns0:c r="G4" s="2"/>
    </ns0:row>
    <ns0:row r="5" customFormat="false" ht="28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20" hidden="false" customHeight="true" outlineLevel="0" collapsed="false">
      <ns0:c r="A6" s="4" t="s">
        <ns0:v>9</ns0:v>
      </ns0:c>
      <ns0:c r="B6" s="5" t="n">
        <ns0:v>540</ns0:v>
      </ns0:c>
      <ns0:c r="C6" s="6" t="s">
        <ns0:v>10</ns0:v>
      </ns0:c>
      <ns0:c r="D6" s="7" t="n">
        <ns0:v>95</ns0:v>
      </ns0:c>
      <ns0:c r="E6" s="7" t="n">
        <ns0:f aca="false">IF(OR(B6="",D6=""),NA(),ROUND(B6*D6,2))</ns0:f>
        <ns0:v>51300</ns0:v>
      </ns0:c>
      <ns0:c r="F6" s="4" t="s">
        <ns0:v>11</ns0:v>
      </ns0:c>
      <ns0:c r="G6" s="4" t="s">
        <ns0:v>12</ns0:v>
      </ns0:c>
    </ns0:row>
    <ns0:row r="7" customFormat="false" ht="20" hidden="false" customHeight="true" outlineLevel="0" collapsed="false">
      <ns0:c r="A7" s="4" t="s">
        <ns0:v>13</ns0:v>
      </ns0:c>
      <ns0:c r="B7" s="5" t="n">
        <ns0:v>540</ns0:v>
      </ns0:c>
      <ns0:c r="C7" s="6" t="s">
        <ns0:v>10</ns0:v>
      </ns0:c>
      <ns0:c r="D7" s="7" t="n">
        <ns0:v>260</ns0:v>
      </ns0:c>
      <ns0:c r="E7" s="7" t="n">
        <ns0:f aca="false">IF(OR(B7="",D7=""),NA(),ROUND(B7*D7,2))</ns0:f>
        <ns0:v>140400</ns0:v>
      </ns0:c>
      <ns0:c r="F7" s="4" t="s">
        <ns0:v>14</ns0:v>
      </ns0:c>
      <ns0:c r="G7" s="4" t="s">
        <ns0:v>15</ns0:v>
      </ns0:c>
    </ns0:row>
    <ns0:row r="8" customFormat="false" ht="20" hidden="false" customHeight="true" outlineLevel="0" collapsed="false">
      <ns0:c r="A8" s="4" t="s">
        <ns0:v>16</ns0:v>
      </ns0:c>
      <ns0:c r="B8" s="5" t="n">
        <ns0:v>1080</ns0:v>
      </ns0:c>
      <ns0:c r="C8" s="6" t="s">
        <ns0:v>17</ns0:v>
      </ns0:c>
      <ns0:c r="D8" s="7" t="n">
        <ns0:v>290</ns0:v>
      </ns0:c>
      <ns0:c r="E8" s="7" t="n">
        <ns0:f aca="false">IF(OR(B8="",D8=""),NA(),ROUND(B8*D8,2))</ns0:f>
        <ns0:v>313200</ns0:v>
      </ns0:c>
      <ns0:c r="F8" s="4" t="s">
        <ns0:v>18</ns0:v>
      </ns0:c>
      <ns0:c r="G8" s="4" t="s">
        <ns0:v>19</ns0:v>
      </ns0:c>
    </ns0:row>
    <ns0:row r="9" customFormat="false" ht="20" hidden="false" customHeight="true" outlineLevel="0" collapsed="false">
      <ns0:c r="A9" s="4" t="s">
        <ns0:v>20</ns0:v>
      </ns0:c>
      <ns0:c r="B9" s="5" t="n">
        <ns0:v>720</ns0:v>
      </ns0:c>
      <ns0:c r="C9" s="6" t="s">
        <ns0:v>10</ns0:v>
      </ns0:c>
      <ns0:c r="D9" s="7" t="n">
        <ns0:v>310</ns0:v>
      </ns0:c>
      <ns0:c r="E9" s="7" t="n">
        <ns0:f aca="false">IF(OR(B9="",D9=""),NA(),ROUND(B9*D9,2))</ns0:f>
        <ns0:v>223200</ns0:v>
      </ns0:c>
      <ns0:c r="F9" s="4" t="s">
        <ns0:v>21</ns0:v>
      </ns0:c>
      <ns0:c r="G9" s="4" t="s">
        <ns0:v>22</ns0:v>
      </ns0:c>
    </ns0:row>
    <ns0:row r="10" customFormat="false" ht="20" hidden="false" customHeight="true" outlineLevel="0" collapsed="false">
      <ns0:c r="A10" s="4" t="s">
        <ns0:v>23</ns0:v>
      </ns0:c>
      <ns0:c r="B10" s="5" t="n">
        <ns0:v>540</ns0:v>
      </ns0:c>
      <ns0:c r="C10" s="6" t="s">
        <ns0:v>10</ns0:v>
      </ns0:c>
      <ns0:c r="D10" s="7" t="n">
        <ns0:v>210</ns0:v>
      </ns0:c>
      <ns0:c r="E10" s="7" t="n">
        <ns0:f aca="false">IF(OR(B10="",D10=""),NA(),ROUND(B10*D10,2))</ns0:f>
        <ns0:v>113400</ns0:v>
      </ns0:c>
      <ns0:c r="F10" s="4" t="s">
        <ns0:v>24</ns0:v>
      </ns0:c>
      <ns0:c r="G10" s="4" t="s">
        <ns0:v>25</ns0:v>
      </ns0:c>
    </ns0:row>
    <ns0:row r="11" customFormat="false" ht="20" hidden="false" customHeight="true" outlineLevel="0" collapsed="false">
      <ns0:c r="A11" s="4" t="s">
        <ns0:v>26</ns0:v>
      </ns0:c>
      <ns0:c r="B11" s="5" t="n">
        <ns0:v>180</ns0:v>
      </ns0:c>
      <ns0:c r="C11" s="6" t="s">
        <ns0:v>10</ns0:v>
      </ns0:c>
      <ns0:c r="D11" s="7" t="n">
        <ns0:v>590</ns0:v>
      </ns0:c>
      <ns0:c r="E11" s="7" t="n">
        <ns0:f aca="false">IF(OR(B11="",D11=""),NA(),ROUND(B11*D11,2))</ns0:f>
        <ns0:v>106200</ns0:v>
      </ns0:c>
      <ns0:c r="F11" s="4" t="s">
        <ns0:v>21</ns0:v>
      </ns0:c>
      <ns0:c r="G11" s="4" t="s">
        <ns0:v>27</ns0:v>
      </ns0:c>
    </ns0:row>
    <ns0:row r="12" customFormat="false" ht="20" hidden="false" customHeight="true" outlineLevel="0" collapsed="false">
      <ns0:c r="A12" s="4" t="s">
        <ns0:v>28</ns0:v>
      </ns0:c>
      <ns0:c r="B12" s="5" t="n">
        <ns0:v>1080</ns0:v>
      </ns0:c>
      <ns0:c r="C12" s="6" t="s">
        <ns0:v>17</ns0:v>
      </ns0:c>
      <ns0:c r="D12" s="7" t="n">
        <ns0:v>420</ns0:v>
      </ns0:c>
      <ns0:c r="E12" s="7" t="n">
        <ns0:f aca="false">IF(OR(B12="",D12=""),NA(),ROUND(B12*D12,2))</ns0:f>
        <ns0:v>453600</ns0:v>
      </ns0:c>
      <ns0:c r="F12" s="4" t="s">
        <ns0:v>29</ns0:v>
      </ns0:c>
      <ns0:c r="G12" s="4" t="s">
        <ns0:v>30</ns0:v>
      </ns0:c>
    </ns0:row>
    <ns0:row r="13" customFormat="false" ht="20" hidden="false" customHeight="true" outlineLevel="0" collapsed="false">
      <ns0:c r="A13" s="4" t="s">
        <ns0:v>31</ns0:v>
      </ns0:c>
      <ns0:c r="B13" s="5" t="n">
        <ns0:v>1</ns0:v>
      </ns0:c>
      <ns0:c r="C13" s="6" t="s">
        <ns0:v>32</ns0:v>
      </ns0:c>
      <ns0:c r="D13" s="7" t="n">
        <ns0:v>690000</ns0:v>
      </ns0:c>
      <ns0:c r="E13" s="7" t="n">
        <ns0:f aca="false">IF(OR(B13="",D13=""),NA(),ROUND(B13*D13,2))</ns0:f>
        <ns0:v>690000</ns0:v>
      </ns0:c>
      <ns0:c r="F13" s="4" t="s">
        <ns0:v>33</ns0:v>
      </ns0:c>
      <ns0:c r="G13" s="4" t="s">
        <ns0:v>34</ns0:v>
      </ns0:c>
    </ns0:row>
    <ns0:row r="14" customFormat="false" ht="20" hidden="false" customHeight="true" outlineLevel="0" collapsed="false">
      <ns0:c r="A14" s="4" t="s">
        <ns0:v>35</ns0:v>
      </ns0:c>
      <ns0:c r="B14" s="5" t="n">
        <ns0:v>1</ns0:v>
      </ns0:c>
      <ns0:c r="C14" s="6" t="s">
        <ns0:v>36</ns0:v>
      </ns0:c>
      <ns0:c r="D14" s="7" t="n">
        <ns0:v>48000</ns0:v>
      </ns0:c>
      <ns0:c r="E14" s="7" t="n">
        <ns0:f aca="false">IF(OR(B14="",D14=""),NA(),ROUND(B14*D14,2))</ns0:f>
        <ns0:v>48000</ns0:v>
      </ns0:c>
      <ns0:c r="F14" s="4" t="s">
        <ns0:v>33</ns0:v>
      </ns0:c>
      <ns0:c r="G14" s="4" t="s">
        <ns0:v>37</ns0:v>
      </ns0:c>
    </ns0:row>
    <ns0:row r="15" customFormat="false" ht="20" hidden="false" customHeight="true" outlineLevel="0" collapsed="false">
      <ns0:c r="A15" s="4" t="s">
        <ns0:v>38</ns0:v>
      </ns0:c>
      <ns0:c r="B15" s="5" t="n">
        <ns0:v>1250</ns0:v>
      </ns0:c>
      <ns0:c r="C15" s="6" t="s">
        <ns0:v>10</ns0:v>
      </ns0:c>
      <ns0:c r="D15" s="7" t="n">
        <ns0:v>110</ns0:v>
      </ns0:c>
      <ns0:c r="E15" s="7" t="n">
        <ns0:f aca="false">IF(OR(B15="",D15=""),NA(),ROUND(B15*D15,2))</ns0:f>
        <ns0:v>137500</ns0:v>
      </ns0:c>
      <ns0:c r="F15" s="4" t="s">
        <ns0:v>39</ns0:v>
      </ns0:c>
      <ns0:c r="G15" s="4" t="s">
        <ns0:v>40</ns0:v>
      </ns0:c>
    </ns0:row>
    <ns0:row r="16" customFormat="false" ht="20" hidden="false" customHeight="true" outlineLevel="0" collapsed="false">
      <ns0:c r="A16" s="4" t="s">
        <ns0:v>41</ns0:v>
      </ns0:c>
      <ns0:c r="B16" s="5" t="n">
        <ns0:v>1</ns0:v>
      </ns0:c>
      <ns0:c r="C16" s="6" t="s">
        <ns0:v>32</ns0:v>
      </ns0:c>
      <ns0:c r="D16" s="7" t="n">
        <ns0:v>150000</ns0:v>
      </ns0:c>
      <ns0:c r="E16" s="7" t="n">
        <ns0:f aca="false">IF(OR(B16="",D16=""),NA(),ROUND(B16*D16,2))</ns0:f>
        <ns0:v>150000</ns0:v>
      </ns0:c>
      <ns0:c r="F16" s="4" t="s">
        <ns0:v>42</ns0:v>
      </ns0:c>
      <ns0:c r="G16" s="4" t="s">
        <ns0:v>43</ns0:v>
      </ns0:c>
    </ns0:row>
    <ns0:row r="17" customFormat="false" ht="20" hidden="false" customHeight="true" outlineLevel="0" collapsed="false">
      <ns0:c r="A17" s="4" t="s">
        <ns0:v>44</ns0:v>
      </ns0:c>
      <ns0:c r="B17" s="5" t="n">
        <ns0:v>1</ns0:v>
      </ns0:c>
      <ns0:c r="C17" s="6" t="s">
        <ns0:v>32</ns0:v>
      </ns0:c>
      <ns0:c r="D17" s="7" t="n">
        <ns0:v>380000</ns0:v>
      </ns0:c>
      <ns0:c r="E17" s="7" t="n">
        <ns0:f aca="false">IF(OR(B17="",D17=""),NA(),ROUND(B17*D17,2))</ns0:f>
        <ns0:v>380000</ns0:v>
      </ns0:c>
      <ns0:c r="F17" s="4" t="s">
        <ns0:v>45</ns0:v>
      </ns0:c>
      <ns0:c r="G17" s="4" t="s">
        <ns0:v>46</ns0:v>
      </ns0:c>
    </ns0:row>
    <ns0:row r="18" customFormat="false" ht="7" hidden="false" customHeight="true" outlineLevel="0" collapsed="false">
      <ns0:c r="A18" s="4"/>
      <ns0:c r="B18" s="4"/>
      <ns0:c r="C18" s="4"/>
      <ns0:c r="D18" s="7"/>
      <ns0:c r="E18" s="7"/>
      <ns0:c r="F18" s="4"/>
      <ns0:c r="G18" s="4"/>
    </ns0:row>
    <ns0:row r="19" customFormat="false" ht="14" hidden="false" customHeight="true" outlineLevel="0" collapsed="false">
      <ns0:c r="A19" s="8" t="s">
        <ns0:v>47</ns0:v>
      </ns0:c>
      <ns0:c r="B19" s="8"/>
      <ns0:c r="C19" s="8"/>
      <ns0:c r="D19" s="9"/>
      <ns0:c r="E19" s="9" t="n">
        <ns0:f aca="false">SUM(E6:E17)</ns0:f>
        <ns0:v>2806800</ns0:v>
      </ns0:c>
      <ns0:c r="F19" s="8"/>
      <ns0:c r="G19" s="8"/>
    </ns0:row>
    <ns0:row r="20" customFormat="false" ht="14" hidden="false" customHeight="true" outlineLevel="0" collapsed="false">
      <ns0:c r="A20" s="4" t="s">
        <ns0:v>48</ns0:v>
      </ns0:c>
      <ns0:c r="B20" s="10" t="n">
        <ns0:v>0.19</ns0:v>
      </ns0:c>
      <ns0:c r="C20" s="4"/>
      <ns0:c r="D20" s="7"/>
      <ns0:c r="E20" s="7" t="n">
        <ns0:f aca="false">ROUND(E19*B20,2)</ns0:f>
        <ns0:v>533292</ns0:v>
      </ns0:c>
      <ns0:c r="F20" s="4"/>
      <ns0:c r="G20" s="4"/>
    </ns0:row>
    <ns0:row r="21" customFormat="false" ht="14" hidden="false" customHeight="true" outlineLevel="0" collapsed="false">
      <ns0:c r="A21" s="4" t="s">
        <ns0:v>49</ns0:v>
      </ns0:c>
      <ns0:c r="B21" s="4"/>
      <ns0:c r="C21" s="4"/>
      <ns0:c r="D21" s="7"/>
      <ns0:c r="E21" s="7" t="n">
        <ns0:f aca="false">E19+E20</ns0:f>
        <ns0:v>3340092</ns0:v>
      </ns0:c>
      <ns0:c r="F21" s="4"/>
      <ns0:c r="G21" s="4"/>
    </ns0:row>
    <ns0:row r="22" customFormat="false" ht="14" hidden="false" customHeight="true" outlineLevel="0" collapsed="false">
      <ns0:c r="A22" s="4" t="s">
        <ns0:v>50</ns0:v>
      </ns0:c>
      <ns0:c r="B22" s="4"/>
      <ns0:c r="C22" s="4"/>
      <ns0:c r="D22" s="7"/>
      <ns0:c r="E22" s="11" t="n">
        <ns0:v>200000</ns0:v>
      </ns0:c>
      <ns0:c r="F22" s="4"/>
      <ns0:c r="G22" s="4"/>
    </ns0:row>
    <ns0:row r="23" customFormat="false" ht="14" hidden="false" customHeight="true" outlineLevel="0" collapsed="false">
      <ns0:c r="A23" s="8" t="s">
        <ns0:v>51</ns0:v>
      </ns0:c>
      <ns0:c r="B23" s="8"/>
      <ns0:c r="C23" s="8"/>
      <ns0:c r="D23" s="9"/>
      <ns0:c r="E23" s="9" t="n">
        <ns0:f aca="false">E21+E22</ns0:f>
        <ns0:v>3540092</ns0:v>
      </ns0:c>
      <ns0:c r="F23" s="8"/>
      <ns0:c r="G23" s="8"/>
    </ns0:row>
    <ns0:row r="24" customFormat="false" ht="7" hidden="false" customHeight="true" outlineLevel="0" collapsed="false">
      <ns0:c r="A24" s="4"/>
      <ns0:c r="B24" s="4"/>
      <ns0:c r="C24" s="4"/>
      <ns0:c r="D24" s="7"/>
      <ns0:c r="E24" s="7"/>
      <ns0:c r="F24" s="4"/>
      <ns0:c r="G24" s="4"/>
    </ns0:row>
    <ns0:row r="25" customFormat="false" ht="14" hidden="false" customHeight="true" outlineLevel="0" collapsed="false">
      <ns0:c r="A25" s="4" t="s">
        <ns0:v>52</ns0:v>
      </ns0:c>
      <ns0:c r="B25" s="4"/>
      <ns0:c r="C25" s="4"/>
      <ns0:c r="D25" s="7"/>
      <ns0:c r="E25" s="11" t="n">
        <ns0:v>2780000</ns0:v>
      </ns0:c>
      <ns0:c r="F25" s="4" t="s">
        <ns0:v>53</ns0:v>
      </ns0:c>
      <ns0:c r="G25" s="4"/>
    </ns0:row>
    <ns0:row r="26" customFormat="false" ht="14" hidden="false" customHeight="true" outlineLevel="0" collapsed="false">
      <ns0:c r="A26" s="4" t="s">
        <ns0:v>54</ns0:v>
      </ns0:c>
      <ns0:c r="B26" s="4"/>
      <ns0:c r="C26" s="4"/>
      <ns0:c r="D26" s="7"/>
      <ns0:c r="E26" s="7" t="n">
        <ns0:f aca="false">E19-E25</ns0:f>
        <ns0:v>26800</ns0:v>
      </ns0:c>
      <ns0:c r="F26" s="4"/>
      <ns0:c r="G26" s="4"/>
    </ns0:row>
    <ns0:row r="27" customFormat="false" ht="14" hidden="false" customHeight="true" outlineLevel="0" collapsed="false">
      <ns0:c r="A27" s="4" t="s">
        <ns0:v>55</ns0:v>
      </ns0:c>
      <ns0:c r="B27" s="4"/>
      <ns0:c r="C27" s="4"/>
      <ns0:c r="D27" s="7"/>
      <ns0:c r="E27" s="11" t="n">
        <ns0:v>3800000</ns0:v>
      </ns0:c>
      <ns0:c r="F27" s="4"/>
      <ns0:c r="G27" s="4"/>
    </ns0:row>
    <ns0:row r="28" customFormat="false" ht="14" hidden="false" customHeight="true" outlineLevel="0" collapsed="false">
      <ns0:c r="A28" s="4" t="s">
        <ns0:v>56</ns0:v>
      </ns0:c>
      <ns0:c r="B28" s="4"/>
      <ns0:c r="C28" s="4"/>
      <ns0:c r="D28" s="7"/>
      <ns0:c r="E28" s="7" t="n">
        <ns0:f aca="false">E27-E23</ns0:f>
        <ns0:v>259908</ns0:v>
      </ns0:c>
      <ns0:c r="F28" s="4"/>
      <ns0:c r="G28" s="4"/>
    </ns0:row>
    <ns0:row r="29" customFormat="false" ht="7" hidden="false" customHeight="true" outlineLevel="0" collapsed="false">
      <ns0:c r="A29" s="4"/>
      <ns0:c r="B29" s="4"/>
      <ns0:c r="C29" s="4"/>
      <ns0:c r="D29" s="4"/>
      <ns0:c r="E29" s="4"/>
      <ns0:c r="F29" s="4"/>
      <ns0:c r="G29" s="4"/>
    </ns0:row>
    <ns0:row r="30" customFormat="false" ht="18" hidden="false" customHeight="true" outlineLevel="0" collapsed="false">
      <ns0:c r="A30" s="4" t="s">
        <ns0:v>57</ns0:v>
      </ns0:c>
      <ns0:c r="B30" s="4"/>
      <ns0:c r="C30" s="4"/>
      <ns0:c r="D30" s="4"/>
      <ns0:c r="E30" s="4"/>
      <ns0:c r="F30" s="4"/>
      <ns0:c r="G30" s="4"/>
    </ns0:row>
    <ns0:row r="31" customFormat="false" ht="18" hidden="false" customHeight="true" outlineLevel="0" collapsed="false">
      <ns0:c r="A31" s="4" t="s">
        <ns0:v>58</ns0:v>
      </ns0:c>
      <ns0:c r="B31" s="4"/>
      <ns0:c r="C31" s="4"/>
      <ns0:c r="D31" s="4"/>
      <ns0:c r="E31" s="4"/>
      <ns0:c r="F31" s="4"/>
      <ns0:c r="G31" s="4"/>
    </ns0:row>
    <ns0:row r="32" customFormat="false" ht="18" hidden="false" customHeight="true" outlineLevel="0" collapsed="false">
      <ns0:c r="A32" s="4" t="s">
        <ns0:v>59</ns0:v>
      </ns0:c>
      <ns0:c r="B32" s="4"/>
      <ns0:c r="C32" s="4"/>
      <ns0:c r="D32" s="4"/>
      <ns0:c r="E32" s="4"/>
      <ns0:c r="F32" s="4"/>
      <ns0:c r="G32" s="4"/>
    </ns0:row>
    <ns0:row r="33" customFormat="false" ht="7" hidden="false" customHeight="true" outlineLevel="0" collapsed="false">
      <ns0:c r="A33" s="4"/>
      <ns0:c r="B33" s="4"/>
      <ns0:c r="C33" s="4"/>
      <ns0:c r="D33" s="4"/>
      <ns0:c r="E33" s="4"/>
      <ns0:c r="F33" s="4"/>
      <ns0:c r="G33" s="4"/>
    </ns0:row>
    <ns0:row r="34" customFormat="false" ht="18" hidden="false" customHeight="true" outlineLevel="0" collapsed="false">
      <ns0:c r="A34" s="4" t="s">
        <ns0:v>60</ns0:v>
      </ns0:c>
      <ns0:c r="B34" s="4"/>
      <ns0:c r="C34" s="4"/>
      <ns0:c r="D34" s="4"/>
      <ns0:c r="E34" s="4"/>
      <ns0:c r="F34" s="4"/>
      <ns0:c r="G34" s="4"/>
    </ns0:row>
    <ns0:row r="35" customFormat="false" ht="14" hidden="false" customHeight="true" outlineLevel="0" collapsed="false">
      <ns0:c r="A35" s="4"/>
      <ns0:c r="B35" s="4"/>
      <ns0:c r="C35" s="4"/>
      <ns0:c r="D35" s="4"/>
      <ns0:c r="E35" s="4"/>
      <ns0:c r="F35" s="4"/>
      <ns0:c r="G35" s="4"/>
    </ns0:row>
    <ns0:row r="36" customFormat="false" ht="14" hidden="false" customHeight="true" outlineLevel="0" collapsed="false">
      <ns0:c r="A36" s="4"/>
      <ns0:c r="B36" s="4"/>
      <ns0:c r="C36" s="4"/>
      <ns0:c r="D36" s="4"/>
      <ns0:c r="E36" s="4"/>
      <ns0:c r="F36" s="4"/>
      <ns0:c r="G36" s="4"/>
    </ns0:row>
  </ns0:sheetData>
  <ns0:mergeCells count="7">
    <ns0:mergeCell ref="A1:G1"/>
    <ns0:mergeCell ref="A2:G2"/>
    <ns0:mergeCell ref="A3:G3"/>
    <ns0:mergeCell ref="A30:G30"/>
    <ns0:mergeCell ref="A31:G31"/>
    <ns0:mergeCell ref="A32:G32"/>
    <ns0:mergeCell ref="A34:G34"/>
  </ns0:mergeCells>
  <ns0:printOptions headings="false" gridLines="false" gridLinesSet="true" horizontalCentered="false" verticalCentered="false"/>
  <ns0:pageMargins left="0.5" right="0.5" top="0.45" bottom="0.45" header="0.2" footer="0.2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