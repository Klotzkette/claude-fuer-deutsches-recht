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05ae110f7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uf" sheetId="1" r:id="Rc976daf4c4d342ba"/>
    <x:sheet xmlns:r="http://schemas.openxmlformats.org/officeDocument/2006/relationships" name="Ordner" sheetId="2" r:id="R157ee92f8982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7072956e745ce" /><Relationship Type="http://schemas.openxmlformats.org/officeDocument/2006/relationships/theme" Target="/xl/theme/theme1.xml" Id="Rd0ef1891eb4b4631" /><Relationship Type="http://schemas.openxmlformats.org/officeDocument/2006/relationships/sharedStrings" Target="/xl/sharedStrings.xml" Id="R7ac06485b7ef43e3" /><Relationship Type="http://schemas.openxmlformats.org/officeDocument/2006/relationships/worksheet" Target="/xl/worksheets/sheet1.xml" Id="Rc976daf4c4d342ba" /><Relationship Type="http://schemas.openxmlformats.org/officeDocument/2006/relationships/worksheet" Target="/xl/worksheets/sheet2.xml" Id="R157ee92f8982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6" hidden="0" customWidth="1"/>
    <x:col min="5" max="5" width="40" hidden="0" customWidth="1"/>
  </x:cols>
  <x:sheetData>
    <x:row r="1" ht="36" customHeight="1">
      <x:c r="A1" s="6" t="str">
        <x:v>Teil</x:v>
      </x:c>
      <x:c r="B1" s="6" t="str">
        <x:v>Beginn</x:v>
      </x:c>
      <x:c r="C1" s="6" t="str">
        <x:v>Ende</x:v>
      </x:c>
      <x:c r="D1" s="6" t="str">
        <x:v>Minuten</x:v>
      </x:c>
      <x:c r="E1" s="6" t="str">
        <x:v>Stand</x:v>
      </x:c>
    </x:row>
    <x:row r="2" ht="24" customHeight="1">
      <x:c r="A2" s="3" t="str">
        <x:v>Begrüßung</x:v>
      </x:c>
      <x:c r="B2" s="9" t="n">
        <x:f>TIME(14,0,0)</x:f>
        <x:v>0.5833333333333334</x:v>
      </x:c>
      <x:c r="C2" s="9" t="n">
        <x:f>TIME(14,10,0)</x:f>
        <x:v>0.5902777777777778</x:v>
      </x:c>
      <x:c r="D2" s="10" t="n">
        <x:f>ROUND((C2-B2)*1440,0)</x:f>
        <x:v>10</x:v>
      </x:c>
      <x:c r="E2" s="3" t="str">
        <x:v>Anzeige vom 18. September</x:v>
      </x:c>
    </x:row>
    <x:row r="3" ht="24" customHeight="1">
      <x:c r="A3" s="3" t="str">
        <x:v>Korso</x:v>
      </x:c>
      <x:c r="B3" s="9" t="n">
        <x:f>C2</x:f>
        <x:v>0.5902777777777778</x:v>
      </x:c>
      <x:c r="C3" s="9" t="n">
        <x:f>TIME(15,20,0)</x:f>
        <x:v>0.6388888888888888</x:v>
      </x:c>
      <x:c r="D3" s="10" t="n">
        <x:f>ROUND((C3-B3)*1440,0)</x:f>
        <x:v>70</x:v>
      </x:c>
      <x:c r="E3" s="3" t="str">
        <x:v>Rückweg enthalten</x:v>
      </x:c>
    </x:row>
    <x:row r="4" ht="24" customHeight="1">
      <x:c r="A4" s="3" t="str">
        <x:v>Abschluss</x:v>
      </x:c>
      <x:c r="B4" s="9" t="n">
        <x:f>C3</x:f>
        <x:v>0.6388888888888888</x:v>
      </x:c>
      <x:c r="C4" s="9" t="n">
        <x:v>0.6458333333333334</x:v>
      </x:c>
      <x:c r="D4" s="10" t="n">
        <x:f>ROUND((C4-B4)*1440,0)</x:f>
        <x:v>10</x:v>
      </x:c>
      <x:c r="E4" s="3" t="str">
        <x:v>Ende weiterhin 15.30 Uhr</x:v>
      </x:c>
    </x:row>
    <x:row r="5" ht="24" customHeight="1">
      <x:c r="A5" s="3" t="str">
        <x:v>Gesamt</x:v>
      </x:c>
      <x:c r="B5" s="9"/>
      <x:c r="C5" s="9"/>
      <x:c r="D5" s="10" t="n">
        <x:f>SUM(D2:D4)</x:f>
        <x:v>90</x:v>
      </x:c>
      <x:c r="E5" s="3" t="str">
        <x:v>Ursprünglicher Zeitplan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6" hidden="0" customWidth="1"/>
    <x:col min="4" max="4" width="15" hidden="0" customWidth="1"/>
    <x:col min="5" max="5" width="48" hidden="0" customWidth="1"/>
  </x:cols>
  <x:sheetData>
    <x:row r="1" ht="36" customHeight="1">
      <x:c r="A1" s="6" t="str">
        <x:v>Bereich</x:v>
      </x:c>
      <x:c r="B1" s="6" t="str">
        <x:v>Geplant</x:v>
      </x:c>
      <x:c r="C1" s="6" t="str">
        <x:v>Bestaetigt</x:v>
      </x:c>
      <x:c r="D1" s="6" t="str">
        <x:v>Offen</x:v>
      </x:c>
      <x:c r="E1" s="6" t="str">
        <x:v>Hinweis</x:v>
      </x:c>
    </x:row>
    <x:row r="2" ht="24" customHeight="1">
      <x:c r="A2" s="3" t="str">
        <x:v>Spitze</x:v>
      </x:c>
      <x:c r="B2" s="10" t="n">
        <x:v>2</x:v>
      </x:c>
      <x:c r="C2" s="10" t="n">
        <x:v>2</x:v>
      </x:c>
      <x:c r="D2" s="10" t="n">
        <x:f>B2-C2</x:f>
        <x:v>0</x:v>
      </x:c>
      <x:c r="E2" s="3" t="str">
        <x:v>Eberhard und Noor</x:v>
      </x:c>
    </x:row>
    <x:row r="3" ht="24" customHeight="1">
      <x:c r="A3" s="3" t="str">
        <x:v>Mitte</x:v>
      </x:c>
      <x:c r="B3" s="10" t="n">
        <x:v>4</x:v>
      </x:c>
      <x:c r="C3" s="10" t="n">
        <x:v>3</x:v>
      </x:c>
      <x:c r="D3" s="10" t="n">
        <x:f>B3-C3</x:f>
        <x:v>1</x:v>
      </x:c>
      <x:c r="E3" s="3" t="str">
        <x:v>Eine Rückmeldung fehlt</x:v>
      </x:c>
    </x:row>
    <x:row r="4" ht="24" customHeight="1">
      <x:c r="A4" s="3" t="str">
        <x:v>Schluss</x:v>
      </x:c>
      <x:c r="B4" s="10" t="n">
        <x:v>2</x:v>
      </x:c>
      <x:c r="C4" s="10" t="n">
        <x:v>1</x:v>
      </x:c>
      <x:c r="D4" s="10" t="n">
        <x:f>B4-C4</x:f>
        <x:v>1</x:v>
      </x:c>
      <x:c r="E4" s="3" t="str">
        <x:v>Eine Person nur bis 15 Uhr</x:v>
      </x:c>
    </x:row>
    <x:row r="5" ht="24" customHeight="1">
      <x:c r="A5" s="3" t="str">
        <x:v>Gesamt</x:v>
      </x:c>
      <x:c r="B5" s="10" t="n">
        <x:f>SUM(B2:B4)</x:f>
        <x:v>8</x:v>
      </x:c>
      <x:c r="C5" s="10" t="n">
        <x:f>SUM(C2:C4)</x:f>
        <x:v>6</x:v>
      </x:c>
      <x:c r="D5" s="10" t="n">
        <x:f>SUM(D2:D4)</x:f>
        <x:v>2</x:v>
      </x:c>
      <x:c r="E5" s="3" t="str">
        <x:v>Keine verbindliche Mindestvorgabe</x:v>
      </x:c>
    </x:row>
  </x:sheetData>
  <x:pageMargins left="0.4" right="0.4" top="0.4" bottom="0.4" header="0.15" footer="0.15"/>
  <x:pageSetup paperSize="9" orientation="landscape" fitToWidth="1" fitToHeight="0"/>
</x:worksheet>
</file>