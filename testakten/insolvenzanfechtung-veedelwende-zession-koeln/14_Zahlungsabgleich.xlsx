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db9375cb584fa9" /></Relationships>
</file>

<file path=xl/workbook.xml><?xml version="1.0" encoding="utf-8"?>
<ns0:workbook xmlns:ns0="http://schemas.openxmlformats.org/spreadsheetml/2006/main" xmlns:ns1="http://schemas.openxmlformats.org/officeDocument/2006/relationships">
  <ns0:sheets>
    <ns0:sheet name="Abgleich" sheetId="1" ns1:id="R00a8dfa8d4bc409b"/>
  </ns0:sheets>
  <ns0:definedNames>
    <ns0:definedName name="_xlnm.Print_Area" localSheetId="0">'Abgleich'!$A$1:$C$20</ns0:definedName>
  </ns0:definedNames>
</ns0: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
    <x:numFmt numFmtId="201" formatCode="[$-407]#,##0.00_);[Red](#,##0.00);&quot;-&quot;_)"/>
  </x:numFmts>
  <x:fonts count="9">
    <x:font>
      <x:sz val="11"/>
      <x:name val="Carlito"/>
    </x:font>
    <x:font>
      <x:sz val="11"/>
      <x:name val="Times New Roman"/>
    </x:font>
    <x:font>
      <x:b/>
      <x:sz val="15"/>
      <x:name val="Times New Roman"/>
    </x:font>
    <x:font>
      <x:i/>
      <x:sz val="11"/>
      <x:color rgb="FF555555"/>
      <x:name val="Times New Roman"/>
    </x:font>
    <x:font>
      <x:sz val="11"/>
      <x:color rgb="FF0000FF"/>
      <x:name val="Times New Roman"/>
    </x:font>
    <x:font>
      <x:b/>
      <x:sz val="11"/>
      <x:color rgb="FFFFFFFF"/>
      <x:name val="Times New Roman"/>
    </x:font>
    <x:font>
      <x:b/>
      <x:sz val="11"/>
      <x:name val="Times New Roman"/>
    </x:font>
    <x:font>
      <x:b/>
      <x:sz val="11"/>
      <x:color rgb="FF111111"/>
      <x:name val="Times New Roman"/>
    </x:font>
    <x:font>
      <x:sz val="11"/>
      <x:color rgb="FF555555"/>
      <x:name val="Times New Roman"/>
    </x:font>
  </x:fonts>
  <x:fills count="3">
    <x:fill>
      <x:patternFill patternType="none"/>
    </x:fill>
    <x:fill>
      <x:patternFill patternType="gray125"/>
    </x:fill>
    <x:fill>
      <x:patternFill patternType="solid">
        <x:fgColor rgb="FF293C50"/>
      </x:patternFill>
    </x:fill>
  </x:fills>
  <x:borders count="2">
    <x:border>
      <x:left/>
      <x:right/>
      <x:top/>
      <x:bottom/>
      <x:diagonal/>
    </x:border>
    <x:border>
      <x:left/>
      <x:right/>
      <x:top style="thin">
        <x:color rgb="FF8192A0"/>
      </x:top>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201" fontId="6" fillId="0" borderId="0" xfId="0" applyNumberFormat="1" applyFont="1" applyFill="1" applyBorder="1" applyAlignment="1">
      <x:alignment vertical="center"/>
    </x:xf>
    <x:xf numFmtId="200" fontId="6" fillId="0" borderId="0" xfId="0" applyNumberFormat="1" applyFont="1" applyFill="1" applyBorder="1" applyAlignment="1">
      <x:alignment vertical="center"/>
    </x:xf>
    <x:xf numFmtId="0" fontId="6" fillId="0" borderId="1" xfId="0" applyNumberFormat="1" applyFont="1" applyFill="1" applyBorder="1" applyAlignment="1">
      <x:alignment vertical="center"/>
    </x:xf>
    <x:xf numFmtId="201" fontId="6" fillId="0" borderId="1" xfId="0" applyNumberFormat="1" applyFont="1" applyFill="1" applyBorder="1" applyAlignment="1">
      <x:alignment vertical="center"/>
    </x:xf>
    <x:xf numFmtId="200" fontId="6" fillId="0" borderId="1" xfId="0" applyNumberFormat="1" applyFont="1" applyFill="1" applyBorder="1" applyAlignment="1">
      <x:alignment vertical="center"/>
    </x:xf>
    <x:xf numFmtId="201" fontId="7" fillId="0" borderId="1" xfId="0" applyNumberFormat="1" applyFont="1" applyFill="1" applyBorder="1" applyAlignment="1">
      <x:alignment vertical="center"/>
    </x:xf>
    <x:xf numFmtId="0" fontId="8" fillId="0" borderId="0" xfId="0" applyNumberFormat="1" applyFont="1" applyFill="1" applyBorder="1" applyAlignment="1">
      <x:alignment vertical="center"/>
    </x:xf>
    <x:xf numFmtId="0" fontId="8" fillId="0" borderId="0" xfId="0" applyNumberFormat="1" applyFont="1" applyFill="1" applyBorder="1" applyAlignment="1">
      <x:alignment vertical="center" wrapText="1"/>
    </x:xf>
    <x:xf numFmtId="0" fontId="8"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985891f24a4262" /><Relationship Type="http://schemas.openxmlformats.org/officeDocument/2006/relationships/theme" Target="/xl/theme/theme1.xml" Id="Rbb5e7e215cf64bb8" /><Relationship Type="http://schemas.openxmlformats.org/officeDocument/2006/relationships/sharedStrings" Target="/xl/sharedStrings.xml" Id="R09a2ddc70c20486a" /><Relationship Type="http://schemas.openxmlformats.org/officeDocument/2006/relationships/worksheet" Target="/xl/worksheets/sheet1.xml" Id="R00a8dfa8d4bc409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ns0:worksheet xmlns:ns0="http://schemas.openxmlformats.org/spreadsheetml/2006/main">
  <ns0:sheetViews>
    <ns0:sheetView showGridLines="0" workbookViewId="0"/>
  </ns0:sheetViews>
  <ns0:sheetFormatPr defaultRowHeight="15"/>
  <ns0:cols>
    <ns0:col min="1" max="1" width="38" hidden="0" customWidth="1"/>
    <ns0:col min="2" max="2" width="21" hidden="0" customWidth="1"/>
    <ns0:col min="3" max="3" width="54" hidden="0" customWidth="1"/>
  </ns0:cols>
  <ns0:sheetData>
    <ns0:row r="1" ht="20" customHeight="1">
      <ns0:c r="A1" s="2"/>
      <ns0:c r="B1" s="2"/>
      <ns0:c r="C1" s="2"/>
      <ns0:c r="D1" s="2"/>
      <ns0:c r="E1" s="2"/>
      <ns0:c r="F1" s="2"/>
    </ns0:row>
    <ns0:row r="2" ht="20" customHeight="1">
      <ns0:c r="A2" s="3" t="str">
        <ns0:v>Kapitalfluss im Zessionsfall</ns0:v>
      </ns0:c>
      <ns0:c r="B2" s="2"/>
      <ns0:c r="C2" s="2"/>
      <ns0:c r="D2" s="2"/>
      <ns0:c r="E2" s="2"/>
      <ns0:c r="F2" s="2"/>
    </ns0:row>
    <ns0:row r="3" ht="20" customHeight="1">
      <ns0:c r="A3" s="4" t="str">
        <ns0:v>Linn Berg | ehemalige Buchhaltung VeedelWende | Stand 10.08.2026 | EUR</ns0:v>
      </ns0:c>
      <ns0:c r="B3" s="2"/>
      <ns0:c r="C3" s="2"/>
      <ns0:c r="D3" s="2"/>
      <ns0:c r="E3" s="2"/>
      <ns0:c r="F3" s="2"/>
    </ns0:row>
    <ns0:row r="4" ht="20" customHeight="1">
      <ns0:c r="A4" s="2"/>
      <ns0:c r="B4" s="2"/>
      <ns0:c r="C4" s="2"/>
      <ns0:c r="D4" s="2"/>
      <ns0:c r="E4" s="2"/>
      <ns0:c r="F4" s="2"/>
    </ns0:row>
    <ns0:row r="5" ht="32" customHeight="1">
      <ns0:c r="A5" s="12" t="str">
        <ns0:v>Position</ns0:v>
      </ns0:c>
      <ns0:c r="B5" s="12" t="str">
        <ns0:v>Betrag EUR</ns0:v>
      </ns0:c>
      <ns0:c r="C5" s="12" t="str">
        <ns0:v>Erläuterung</ns0:v>
      </ns0:c>
      <ns0:c r="D5" s="2"/>
      <ns0:c r="E5" s="2"/>
      <ns0:c r="F5" s="2"/>
    </ns0:row>
    <ns0:row r="6" ht="20" customHeight="1">
      <ns0:c r="A6" s="2" t="str">
        <ns0:v>Nominalbetrag Darlehensforderung</ns0:v>
      </ns0:c>
      <ns0:c r="B6" s="7" t="n">
        <ns0:v>96000</ns0:v>
      </ns0:c>
      <ns0:c r="C6" s="6" t="str">
        <ns0:v>12_Bank_Bestaetigung.pdf</ns0:v>
      </ns0:c>
      <ns0:c r="D6" s="2"/>
      <ns0:c r="E6" s="2"/>
      <ns0:c r="F6" s="2"/>
    </ns0:row>
    <ns0:row r="7" ht="20" customHeight="1">
      <ns0:c r="A7" s="2" t="str">
        <ns0:v>Rueckzahlung an Rocco Quast</ns0:v>
      </ns0:c>
      <ns0:c r="B7" s="7" t="n">
        <ns0:v>96000</ns0:v>
      </ns0:c>
      <ns0:c r="C7" s="6" t="str">
        <ns0:v>16_Kontoauszug_Auswahl.pdf</ns0:v>
      </ns0:c>
      <ns0:c r="D7" s="2"/>
      <ns0:c r="E7" s="2"/>
      <ns0:c r="F7" s="2"/>
    </ns0:row>
    <ns0:row r="8" ht="20" customHeight="1">
      <ns0:c r="A8" s="2" t="str">
        <ns0:v>Kaufpreis von Quast an Zech</ns0:v>
      </ns0:c>
      <ns0:c r="B8" s="7" t="n">
        <ns0:v>48000</ns0:v>
      </ns0:c>
      <ns0:c r="C8" s="6" t="str">
        <ns0:v>10_Bank_Buergschaft.pdf</ns0:v>
      </ns0:c>
      <ns0:c r="D8" s="2"/>
      <ns0:c r="E8" s="2"/>
      <ns0:c r="F8" s="2"/>
    </ns0:row>
    <ns0:row r="9" ht="20" customHeight="1">
      <ns0:c r="A9" s="2"/>
      <ns0:c r="B9" s="8"/>
      <ns0:c r="C9" s="6"/>
      <ns0:c r="D9" s="2"/>
      <ns0:c r="E9" s="2"/>
      <ns0:c r="F9" s="2"/>
    </ns0:row>
    <ns0:row r="10" ht="20" customHeight="1">
      <ns0:c r="A10" s="16" t="str">
        <ns0:v>Restkapital nach Zahlung</ns0:v>
      </ns0:c>
      <ns0:c r="B10" s="19" t="n">
        <ns0:f>B6-B7</ns0:f>
        <ns0:v>0</ns0:v>
      </ns0:c>
      <ns0:c r="C10" s="18" t="str">
        <ns0:v>Nur Kapital; Zinsen und Kosten nicht enthalten</ns0:v>
      </ns0:c>
      <ns0:c r="D10" s="2"/>
      <ns0:c r="E10" s="2"/>
      <ns0:c r="F10" s="2"/>
    </ns0:row>
    <ns0:row r="11" ht="20" customHeight="1">
      <ns0:c r="A11" s="2"/>
      <ns0:c r="B11" s="2"/>
      <ns0:c r="C11" s="2"/>
      <ns0:c r="D11" s="2"/>
      <ns0:c r="E11" s="2"/>
      <ns0:c r="F11" s="2"/>
    </ns0:row>
    <ns0:row r="12" ht="20" customHeight="1">
      <ns0:c r="A12" s="2"/>
      <ns0:c r="B12" s="2"/>
      <ns0:c r="C12" s="2"/>
      <ns0:c r="D12" s="2"/>
      <ns0:c r="E12" s="2"/>
      <ns0:c r="F12" s="2"/>
    </ns0:row>
    <ns0:row r="13" ht="20" customHeight="1">
      <ns0:c r="A13" s="22" t="str">
        <ns0:v>Die Formel berechnet den offenen Nominalbetrag nach der Schuldnerzahlung. Der Kaufpreis ist eine gesonderte Zahlung von Quast an Zech und darf nicht als Massezufluss behandelt werden. Ein späterer Rückfluss von Quast an Zech ist in den vorliegenden Belegen nicht erfasst.</ns0:v>
      </ns0:c>
      <ns0:c r="B13" s="22"/>
      <ns0:c r="C13" s="22"/>
      <ns0:c r="D13" s="2"/>
      <ns0:c r="E13" s="2"/>
      <ns0:c r="F13" s="2"/>
    </ns0:row>
    <ns0:row r="14" ht="20" customHeight="1">
      <ns0:c r="A14" s="22"/>
      <ns0:c r="B14" s="22"/>
      <ns0:c r="C14" s="22"/>
      <ns0:c r="D14" s="2"/>
      <ns0:c r="E14" s="2"/>
      <ns0:c r="F14" s="2"/>
    </ns0:row>
    <ns0:row r="15" ht="20" customHeight="1">
      <ns0:c r="A15" s="2"/>
      <ns0:c r="B15" s="2"/>
      <ns0:c r="C15" s="2"/>
      <ns0:c r="D15" s="2"/>
      <ns0:c r="E15" s="2"/>
      <ns0:c r="F15" s="2"/>
    </ns0:row>
    <ns0:row r="16" ht="20" customHeight="1">
      <ns0:c r="A16" s="22" t="str">
        <ns0:v>Blaue Beträge sind Eingaben aus den bezeichneten Belegen. Schwarze Beträge sind Formeln. Änderungen an Eingaben aktualisieren den Abgleich.</ns0:v>
      </ns0:c>
      <ns0:c r="B16" s="22"/>
      <ns0:c r="C16" s="22"/>
      <ns0:c r="D16" s="2"/>
      <ns0:c r="E16" s="2"/>
      <ns0:c r="F16" s="2"/>
    </ns0:row>
    <ns0:row r="17" ht="20" customHeight="1">
      <ns0:c r="A17" s="22"/>
      <ns0:c r="B17" s="22"/>
      <ns0:c r="C17" s="22"/>
      <ns0:c r="D17" s="2"/>
      <ns0:c r="E17" s="2"/>
      <ns0:c r="F17" s="2"/>
    </ns0:row>
    <ns0:row r="18" ht="20" customHeight="1">
      <ns0:c r="A18" s="2"/>
      <ns0:c r="B18" s="2"/>
      <ns0:c r="C18" s="2"/>
      <ns0:c r="D18" s="2"/>
      <ns0:c r="E18" s="2"/>
      <ns0:c r="F18" s="2"/>
    </ns0:row>
    <ns0:row r="19" ht="20" customHeight="1">
      <ns0:c r="A19" s="22" t="str">
        <ns0:v>Weitere Vorgänge unterhalb der Einzelzeilen ergänzen und Summenbereiche entsprechend erweitern. Die Tabelle betrifft nur die hier bezeichneten Vorgänge.</ns0:v>
      </ns0:c>
      <ns0:c r="B19" s="22"/>
      <ns0:c r="C19" s="22"/>
      <ns0:c r="D19" s="2"/>
      <ns0:c r="E19" s="2"/>
      <ns0:c r="F19" s="2"/>
    </ns0:row>
    <ns0:row r="20" ht="20" customHeight="1">
      <ns0:c r="A20" s="22"/>
      <ns0:c r="B20" s="22"/>
      <ns0:c r="C20" s="22"/>
      <ns0:c r="D20" s="2"/>
      <ns0:c r="E20" s="2"/>
      <ns0:c r="F20" s="2"/>
    </ns0:row>
    <ns0:row r="21" ht="20" customHeight="1">
      <ns0:c r="A21" s="2"/>
      <ns0:c r="B21" s="2"/>
      <ns0:c r="C21" s="2"/>
      <ns0:c r="D21" s="2"/>
      <ns0:c r="E21" s="2"/>
      <ns0:c r="F21" s="2"/>
    </ns0:row>
    <ns0:row r="22" ht="20" customHeight="1">
      <ns0:c r="A22" s="2"/>
      <ns0:c r="B22" s="2"/>
      <ns0:c r="C22" s="2"/>
      <ns0:c r="D22" s="2"/>
      <ns0:c r="E22" s="2"/>
      <ns0:c r="F22" s="2"/>
    </ns0:row>
    <ns0:row r="23" ht="20" customHeight="1">
      <ns0:c r="A23" s="2"/>
      <ns0:c r="B23" s="2"/>
      <ns0:c r="C23" s="2"/>
      <ns0:c r="D23" s="2"/>
      <ns0:c r="E23" s="2"/>
      <ns0:c r="F23" s="2"/>
    </ns0:row>
    <ns0:row r="24" ht="20" customHeight="1">
      <ns0:c r="A24" s="2"/>
      <ns0:c r="B24" s="2"/>
      <ns0:c r="C24" s="2"/>
      <ns0:c r="D24" s="2"/>
      <ns0:c r="E24" s="2"/>
      <ns0:c r="F24" s="2"/>
    </ns0:row>
    <ns0:row r="25" ht="20" customHeight="1">
      <ns0:c r="A25" s="2"/>
      <ns0:c r="B25" s="2"/>
      <ns0:c r="C25" s="2"/>
      <ns0:c r="D25" s="2"/>
      <ns0:c r="E25" s="2"/>
      <ns0:c r="F25" s="2"/>
    </ns0:row>
    <ns0:row r="26" ht="20" customHeight="1">
      <ns0:c r="A26" s="2"/>
      <ns0:c r="B26" s="2"/>
      <ns0:c r="C26" s="2"/>
      <ns0:c r="D26" s="2"/>
      <ns0:c r="E26" s="2"/>
      <ns0:c r="F26" s="2"/>
    </ns0:row>
    <ns0:row r="27" ht="20" customHeight="1">
      <ns0:c r="A27" s="2"/>
      <ns0:c r="B27" s="2"/>
      <ns0:c r="C27" s="2"/>
      <ns0:c r="D27" s="2"/>
      <ns0:c r="E27" s="2"/>
      <ns0:c r="F27" s="2"/>
    </ns0:row>
    <ns0:row r="28" ht="20" customHeight="1">
      <ns0:c r="A28" s="2"/>
      <ns0:c r="B28" s="2"/>
      <ns0:c r="C28" s="2"/>
      <ns0:c r="D28" s="2"/>
      <ns0:c r="E28" s="2"/>
      <ns0:c r="F28" s="2"/>
    </ns0:row>
  </ns0:sheetData>
  <ns0:mergeCells>
    <ns0:mergeCell ref="A13:C14"/>
    <ns0:mergeCell ref="A16:C17"/>
    <ns0:mergeCell ref="A19:C20"/>
  </ns0:mergeCells>
  <ns0:pageMargins left="0.7" right="0.7" top="0.75" bottom="0.75" header="0.3" footer="0.3"/>
  <ns0:pageSetup orientation="landscape" paperSize="9" fitToWidth="1" fitToHeight="0"/>
</ns0:worksheet>
</file>