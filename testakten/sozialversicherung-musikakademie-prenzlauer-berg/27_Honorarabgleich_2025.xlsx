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d87381081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ademie 2025" sheetId="1" r:id="Rc6220e53f3b94613"/>
    <x:sheet xmlns:r="http://schemas.openxmlformats.org/officeDocument/2006/relationships" name="Weitere Einnahmen" sheetId="2" r:id="R8ab053fd7650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;[Red](#,##0.00) &quot;€&quot;;&quot;–&quot;"/>
  </x:numFmts>
  <x:fonts count="6">
    <x:font>
      <x:sz val="11"/>
      <x:name val="Carlito"/>
    </x:font>
    <x:font>
      <x:sz val="11"/>
      <x:color rgb="FF222222"/>
      <x:name val="Calibri"/>
    </x:font>
    <x:font>
      <x:b/>
      <x:sz val="16"/>
      <x:color rgb="FF222222"/>
      <x:name val="Calibri"/>
    </x:font>
    <x:font>
      <x:sz val="10"/>
      <x:color rgb="FF555555"/>
      <x:name val="Calibri"/>
    </x:font>
    <x:font>
      <x:b/>
      <x:sz val="11"/>
      <x:color rgb="FF222222"/>
      <x:name val="Calibri"/>
    </x:font>
    <x:font>
      <x:sz val="11"/>
      <x:color rgb="FF174F82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CECEC"/>
      </x:patternFill>
    </x:fill>
    <x:fill>
      <x:patternFill patternType="solid">
        <x:fgColor rgb="FFDAE5EB"/>
      </x:patternFill>
    </x:fill>
    <x:fill>
      <x:patternFill patternType="solid">
        <x:fgColor rgb="FFE8E8E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1" fillId="0" borderId="0" xfId="0" applyNumberFormat="1" applyFont="1" applyFill="1" applyBorder="1"/>
    <x:xf numFmtId="200" fontId="4" fillId="4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cab7a470149dd" /><Relationship Type="http://schemas.openxmlformats.org/officeDocument/2006/relationships/theme" Target="/xl/theme/theme1.xml" Id="Rd4125c885e8a4f73" /><Relationship Type="http://schemas.openxmlformats.org/officeDocument/2006/relationships/sharedStrings" Target="/xl/sharedStrings.xml" Id="R6f6e08c8c515485b" /><Relationship Type="http://schemas.openxmlformats.org/officeDocument/2006/relationships/worksheet" Target="/xl/worksheets/sheet1.xml" Id="Rc6220e53f3b94613" /><Relationship Type="http://schemas.openxmlformats.org/officeDocument/2006/relationships/worksheet" Target="/xl/worksheets/sheet2.xml" Id="R8ab053fd765040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7" hidden="0" customWidth="1"/>
    <x:col min="7" max="7" width="17" hidden="0" customWidth="1"/>
    <x:col min="8" max="8" width="16" hidden="0" customWidth="1"/>
    <x:col min="9" max="9" width="34" hidden="0" customWidth="1"/>
  </x:cols>
  <x:sheetData>
    <x:row r="1" ht="32" customHeight="1">
      <x:c r="A1" s="3" t="str">
        <x:v>Honorarübersicht 2025 – Mara Noémi Zwirn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4" t="str">
        <x:v>Büroabgleich vom 23.09.2026 · Beträge laut korrigierten Monatsrechnungen</x:v>
      </x:c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6" customHeight="1">
      <x:c r="A4" s="7" t="str">
        <x:v>Monat</x:v>
      </x:c>
      <x:c r="B4" s="7" t="str">
        <x:v>Unterricht / 45 Min.</x:v>
      </x:c>
      <x:c r="C4" s="7" t="str">
        <x:v>Bezahlte Ausfälle</x:v>
      </x:c>
      <x:c r="D4" s="7" t="str">
        <x:v>Auftritt / 45 Min.</x:v>
      </x:c>
      <x:c r="E4" s="7" t="str">
        <x:v>Satz</x:v>
      </x:c>
      <x:c r="F4" s="7" t="str">
        <x:v>Honorar</x:v>
      </x:c>
      <x:c r="G4" s="7" t="str">
        <x:v>Zahlungen</x:v>
      </x:c>
      <x:c r="H4" s="7" t="str">
        <x:v>Differenz</x:v>
      </x:c>
      <x:c r="I4" s="7" t="str">
        <x:v>Bemerkung</x:v>
      </x:c>
    </x:row>
    <x:row r="5" ht="34" customHeight="1">
      <x:c r="A5" s="1" t="str">
        <x:v>2025-01</x:v>
      </x:c>
      <x:c r="B5" s="12" t="n">
        <x:v>64</x:v>
      </x:c>
      <x:c r="C5" s="12" t="n">
        <x:v>4</x:v>
      </x:c>
      <x:c r="D5" s="12" t="n">
        <x:v>0</x:v>
      </x:c>
      <x:c r="E5" s="13" t="n">
        <x:v>36</x:v>
      </x:c>
      <x:c r="F5" s="10" t="n">
        <x:f>SUM(B5:D5)*E5</x:f>
        <x:v>2448</x:v>
      </x:c>
      <x:c r="G5" s="13" t="n">
        <x:v>2448</x:v>
      </x:c>
      <x:c r="H5" s="10" t="n">
        <x:f>G5-F5</x:f>
        <x:v>0</x:v>
      </x:c>
      <x:c r="I5" s="14" t="str">
        <x:v>Januar: Korrektur statt Erstfassung</x:v>
      </x:c>
    </x:row>
    <x:row r="6" ht="34" customHeight="1">
      <x:c r="A6" s="1" t="str">
        <x:v>2025-02</x:v>
      </x:c>
      <x:c r="B6" s="12" t="n">
        <x:v>60</x:v>
      </x:c>
      <x:c r="C6" s="12" t="n">
        <x:v>3</x:v>
      </x:c>
      <x:c r="D6" s="12" t="n">
        <x:v>2</x:v>
      </x:c>
      <x:c r="E6" s="13" t="n">
        <x:v>36</x:v>
      </x:c>
      <x:c r="F6" s="10" t="n">
        <x:f>SUM(B6:D6)*E6</x:f>
        <x:v>2340</x:v>
      </x:c>
      <x:c r="G6" s="13" t="n">
        <x:v>2340</x:v>
      </x:c>
      <x:c r="H6" s="10" t="n">
        <x:f>G6-F6</x:f>
        <x:v>0</x:v>
      </x:c>
      <x:c r="I6" s="14" t="str">
        <x:v>72 € Probespiel separat überwiesen</x:v>
      </x:c>
    </x:row>
    <x:row r="7" ht="34" customHeight="1">
      <x:c r="A7" s="1" t="str">
        <x:v>2025-03</x:v>
      </x:c>
      <x:c r="B7" s="12" t="n">
        <x:v>72</x:v>
      </x:c>
      <x:c r="C7" s="12" t="n">
        <x:v>4</x:v>
      </x:c>
      <x:c r="D7" s="12" t="n">
        <x:v>0</x:v>
      </x:c>
      <x:c r="E7" s="13" t="n">
        <x:v>36</x:v>
      </x:c>
      <x:c r="F7" s="10" t="n">
        <x:f>SUM(B7:D7)*E7</x:f>
        <x:v>2736</x:v>
      </x:c>
      <x:c r="G7" s="13" t="n">
        <x:v>2736</x:v>
      </x:c>
      <x:c r="H7" s="10" t="n">
        <x:f>G7-F7</x:f>
        <x:v>0</x:v>
      </x:c>
      <x:c r="I7" s="14" t="str"/>
    </x:row>
    <x:row r="8" ht="34" customHeight="1">
      <x:c r="A8" s="1" t="str">
        <x:v>2025-04</x:v>
      </x:c>
      <x:c r="B8" s="12" t="n">
        <x:v>48</x:v>
      </x:c>
      <x:c r="C8" s="12" t="n">
        <x:v>2</x:v>
      </x:c>
      <x:c r="D8" s="12" t="n">
        <x:v>0</x:v>
      </x:c>
      <x:c r="E8" s="13" t="n">
        <x:v>36</x:v>
      </x:c>
      <x:c r="F8" s="10" t="n">
        <x:f>SUM(B8:D8)*E8</x:f>
        <x:v>1800</x:v>
      </x:c>
      <x:c r="G8" s="13" t="n">
        <x:v>1800</x:v>
      </x:c>
      <x:c r="H8" s="10" t="n">
        <x:f>G8-F8</x:f>
        <x:v>0</x:v>
      </x:c>
      <x:c r="I8" s="14" t="str">
        <x:v>Osterferien</x:v>
      </x:c>
    </x:row>
    <x:row r="9" ht="34" customHeight="1">
      <x:c r="A9" s="1" t="str">
        <x:v>2025-05</x:v>
      </x:c>
      <x:c r="B9" s="12" t="n">
        <x:v>68</x:v>
      </x:c>
      <x:c r="C9" s="12" t="n">
        <x:v>4</x:v>
      </x:c>
      <x:c r="D9" s="12" t="n">
        <x:v>0</x:v>
      </x:c>
      <x:c r="E9" s="13" t="n">
        <x:v>36</x:v>
      </x:c>
      <x:c r="F9" s="10" t="n">
        <x:f>SUM(B9:D9)*E9</x:f>
        <x:v>2592</x:v>
      </x:c>
      <x:c r="G9" s="13" t="n">
        <x:v>2592</x:v>
      </x:c>
      <x:c r="H9" s="10" t="n">
        <x:f>G9-F9</x:f>
        <x:v>0</x:v>
      </x:c>
      <x:c r="I9" s="14" t="str"/>
    </x:row>
    <x:row r="10" ht="34" customHeight="1">
      <x:c r="A10" s="1" t="str">
        <x:v>2025-06</x:v>
      </x:c>
      <x:c r="B10" s="12" t="n">
        <x:v>56</x:v>
      </x:c>
      <x:c r="C10" s="12" t="n">
        <x:v>2</x:v>
      </x:c>
      <x:c r="D10" s="12" t="n">
        <x:v>2</x:v>
      </x:c>
      <x:c r="E10" s="13" t="n">
        <x:v>36</x:v>
      </x:c>
      <x:c r="F10" s="10" t="n">
        <x:f>SUM(B10:D10)*E10</x:f>
        <x:v>2160</x:v>
      </x:c>
      <x:c r="G10" s="13" t="n">
        <x:v>2160</x:v>
      </x:c>
      <x:c r="H10" s="10" t="n">
        <x:f>G10-F10</x:f>
        <x:v>0</x:v>
      </x:c>
      <x:c r="I10" s="14" t="str">
        <x:v>Konzertreise; Nachholstunden</x:v>
      </x:c>
    </x:row>
    <x:row r="11" ht="34" customHeight="1">
      <x:c r="A11" s="1" t="str">
        <x:v>2025-07</x:v>
      </x:c>
      <x:c r="B11" s="12" t="n">
        <x:v>36</x:v>
      </x:c>
      <x:c r="C11" s="12" t="n">
        <x:v>1</x:v>
      </x:c>
      <x:c r="D11" s="12" t="n">
        <x:v>0</x:v>
      </x:c>
      <x:c r="E11" s="13" t="n">
        <x:v>36</x:v>
      </x:c>
      <x:c r="F11" s="10" t="n">
        <x:f>SUM(B11:D11)*E11</x:f>
        <x:v>1332</x:v>
      </x:c>
      <x:c r="G11" s="13" t="n">
        <x:v>1332</x:v>
      </x:c>
      <x:c r="H11" s="10" t="n">
        <x:f>G11-F11</x:f>
        <x:v>0</x:v>
      </x:c>
      <x:c r="I11" s="14" t="str">
        <x:v>Sommerferien</x:v>
      </x:c>
    </x:row>
    <x:row r="12" ht="34" customHeight="1">
      <x:c r="A12" s="1" t="str">
        <x:v>2025-08</x:v>
      </x:c>
      <x:c r="B12" s="12" t="n">
        <x:v>0</x:v>
      </x:c>
      <x:c r="C12" s="12" t="n">
        <x:v>0</x:v>
      </x:c>
      <x:c r="D12" s="12" t="n">
        <x:v>0</x:v>
      </x:c>
      <x:c r="E12" s="13" t="n">
        <x:v>36</x:v>
      </x:c>
      <x:c r="F12" s="10" t="n">
        <x:f>SUM(B12:D12)*E12</x:f>
        <x:v>0</x:v>
      </x:c>
      <x:c r="G12" s="13" t="n">
        <x:v>0</x:v>
      </x:c>
      <x:c r="H12" s="10" t="n">
        <x:f>G12-F12</x:f>
        <x:v>0</x:v>
      </x:c>
      <x:c r="I12" s="14" t="str">
        <x:v>Keine Rechnung</x:v>
      </x:c>
    </x:row>
    <x:row r="13" ht="34" customHeight="1">
      <x:c r="A13" s="1" t="str">
        <x:v>2025-09</x:v>
      </x:c>
      <x:c r="B13" s="12" t="n">
        <x:v>76</x:v>
      </x:c>
      <x:c r="C13" s="12" t="n">
        <x:v>3</x:v>
      </x:c>
      <x:c r="D13" s="12" t="n">
        <x:v>0</x:v>
      </x:c>
      <x:c r="E13" s="13" t="n">
        <x:v>36</x:v>
      </x:c>
      <x:c r="F13" s="10" t="n">
        <x:f>SUM(B13:D13)*E13</x:f>
        <x:v>2844</x:v>
      </x:c>
      <x:c r="G13" s="13" t="n">
        <x:v>2844</x:v>
      </x:c>
      <x:c r="H13" s="10" t="n">
        <x:f>G13-F13</x:f>
        <x:v>0</x:v>
      </x:c>
      <x:c r="I13" s="14" t="str"/>
    </x:row>
    <x:row r="14" ht="34" customHeight="1">
      <x:c r="A14" s="1" t="str">
        <x:v>2025-10</x:v>
      </x:c>
      <x:c r="B14" s="12" t="n">
        <x:v>64</x:v>
      </x:c>
      <x:c r="C14" s="12" t="n">
        <x:v>2</x:v>
      </x:c>
      <x:c r="D14" s="12" t="n">
        <x:v>0</x:v>
      </x:c>
      <x:c r="E14" s="13" t="n">
        <x:v>36</x:v>
      </x:c>
      <x:c r="F14" s="10" t="n">
        <x:f>SUM(B14:D14)*E14</x:f>
        <x:v>2376</x:v>
      </x:c>
      <x:c r="G14" s="13" t="n">
        <x:v>2376</x:v>
      </x:c>
      <x:c r="H14" s="10" t="n">
        <x:f>G14-F14</x:f>
        <x:v>0</x:v>
      </x:c>
      <x:c r="I14" s="14" t="str">
        <x:v>Herbstferien</x:v>
      </x:c>
    </x:row>
    <x:row r="15" ht="34" customHeight="1">
      <x:c r="A15" s="1" t="str">
        <x:v>2025-11</x:v>
      </x:c>
      <x:c r="B15" s="12" t="n">
        <x:v>72</x:v>
      </x:c>
      <x:c r="C15" s="12" t="n">
        <x:v>2</x:v>
      </x:c>
      <x:c r="D15" s="12" t="n">
        <x:v>0</x:v>
      </x:c>
      <x:c r="E15" s="13" t="n">
        <x:v>36</x:v>
      </x:c>
      <x:c r="F15" s="10" t="n">
        <x:f>SUM(B15:D15)*E15</x:f>
        <x:v>2664</x:v>
      </x:c>
      <x:c r="G15" s="13" t="n">
        <x:v>2664</x:v>
      </x:c>
      <x:c r="H15" s="10" t="n">
        <x:f>G15-F15</x:f>
        <x:v>0</x:v>
      </x:c>
      <x:c r="I15" s="14" t="str">
        <x:v>Eigene Ausfälle ohne Honorar</x:v>
      </x:c>
    </x:row>
    <x:row r="16" ht="34" customHeight="1">
      <x:c r="A16" s="1" t="str">
        <x:v>2025-12</x:v>
      </x:c>
      <x:c r="B16" s="12" t="n">
        <x:v>48</x:v>
      </x:c>
      <x:c r="C16" s="12" t="n">
        <x:v>3</x:v>
      </x:c>
      <x:c r="D16" s="12" t="n">
        <x:v>2</x:v>
      </x:c>
      <x:c r="E16" s="13" t="n">
        <x:v>36</x:v>
      </x:c>
      <x:c r="F16" s="10" t="n">
        <x:f>SUM(B16:D16)*E16</x:f>
        <x:v>1908</x:v>
      </x:c>
      <x:c r="G16" s="13" t="n">
        <x:v>1908</x:v>
      </x:c>
      <x:c r="H16" s="10" t="n">
        <x:f>G16-F16</x:f>
        <x:v>0</x:v>
      </x:c>
      <x:c r="I16" s="14" t="str">
        <x:v>Schülerkonzert</x:v>
      </x:c>
    </x:row>
    <x:row r="17" ht="28" customHeight="1">
      <x:c r="A17" s="9" t="str">
        <x:v>Jahr 2025</x:v>
      </x:c>
      <x:c r="B17" s="9" t="n">
        <x:f>SUM(B5:B16)</x:f>
        <x:v>664</x:v>
      </x:c>
      <x:c r="C17" s="9" t="n">
        <x:f>SUM(C5:C16)</x:f>
        <x:v>30</x:v>
      </x:c>
      <x:c r="D17" s="9" t="n">
        <x:f>SUM(D5:D16)</x:f>
        <x:v>6</x:v>
      </x:c>
      <x:c r="E17" s="11"/>
      <x:c r="F17" s="11" t="n">
        <x:f>SUM(F5:F16)</x:f>
        <x:v>25200</x:v>
      </x:c>
      <x:c r="G17" s="11" t="n">
        <x:f>SUM(G5:G16)</x:f>
        <x:v>25200</x:v>
      </x:c>
      <x:c r="H17" s="11" t="n">
        <x:f>SUM(H5:H16)</x:f>
        <x:v>0</x:v>
      </x:c>
      <x:c r="I17" s="9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34" customHeight="1">
      <x:c r="A19" s="15" t="str">
        <x:v>Januar: 72 zunächst berechnete Einheiten wurden um 4 Einheiten gekürzt. Korrigierte Rechnung: 68 × 36 € = 2.448 €.</x:v>
      </x:c>
      <x:c r="B19" s="15"/>
      <x:c r="C19" s="15"/>
      <x:c r="D19" s="15"/>
      <x:c r="E19" s="15"/>
      <x:c r="F19" s="15"/>
      <x:c r="G19" s="15"/>
      <x:c r="H19" s="15"/>
      <x:c r="I19" s="15"/>
    </x:row>
    <x:row r="20" ht="34" customHeight="1">
      <x:c r="A20" s="15" t="str">
        <x:v>Notenerstattung 27,80 € vom 18.02.2025 ist kein Honorar und bleibt in dieser Übersicht unberücksichtigt.</x:v>
      </x:c>
      <x:c r="B20" s="15"/>
      <x:c r="C20" s="15"/>
      <x:c r="D20" s="15"/>
      <x:c r="E20" s="15"/>
      <x:c r="F20" s="15"/>
      <x:c r="G20" s="15"/>
      <x:c r="H20" s="15"/>
      <x:c r="I20" s="15"/>
    </x:row>
    <x:row r="21" ht="34" customHeight="1">
      <x:c r="A21" s="15" t="str">
        <x:v>Zahlungen sind den Leistungsmonaten zugeordnet, nicht nach Bankmonat sortiert. Grundlage: Honorarkonto und Rechnungskopien.</x:v>
      </x:c>
      <x:c r="B21" s="15"/>
      <x:c r="C21" s="15"/>
      <x:c r="D21" s="15"/>
      <x:c r="E21" s="15"/>
      <x:c r="F21" s="15"/>
      <x:c r="G21" s="15"/>
      <x:c r="H21" s="15"/>
      <x:c r="I21" s="15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</x:row>
  </x:sheetData>
  <x:mergeCells>
    <x:mergeCell ref="A1:I1"/>
    <x:mergeCell ref="A2:I2"/>
    <x:mergeCell ref="A19:I19"/>
    <x:mergeCell ref="A20:I20"/>
    <x:mergeCell ref="A21:I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21" hidden="0" customWidth="1"/>
    <x:col min="5" max="5" width="26" hidden="0" customWidth="1"/>
    <x:col min="6" max="6" width="42" hidden="0" customWidth="1"/>
  </x:cols>
  <x:sheetData>
    <x:row r="1" ht="32" customHeight="1">
      <x:c r="A1" s="3" t="str">
        <x:v>Eigene Unterrichts- und Auftrittseinnahmen</x:v>
      </x:c>
      <x:c r="B1" s="3"/>
      <x:c r="C1" s="3"/>
      <x:c r="D1" s="3"/>
      <x:c r="E1" s="3"/>
      <x:c r="F1" s="3"/>
    </x:row>
    <x:row r="2" ht="24" customHeight="1">
      <x:c r="A2" s="4" t="str">
        <x:v>Aufstellung Mara vom 24.09.2026 · Einnahmen, keine Gewinnermittlung</x:v>
      </x:c>
      <x:c r="B2" s="4"/>
      <x:c r="C2" s="4"/>
      <x:c r="D2" s="4"/>
      <x:c r="E2" s="4"/>
      <x:c r="F2" s="4"/>
    </x:row>
    <x:row r="3" ht="24" customHeight="1">
      <x:c r="A3" s="1"/>
      <x:c r="B3" s="1"/>
      <x:c r="C3" s="1"/>
      <x:c r="D3" s="1"/>
      <x:c r="E3" s="1"/>
      <x:c r="F3" s="1"/>
    </x:row>
    <x:row r="4" ht="36" customHeight="1">
      <x:c r="A4" s="7" t="str">
        <x:v>Auftrag / Person</x:v>
      </x:c>
      <x:c r="B4" s="7" t="str">
        <x:v>Einheiten 2025</x:v>
      </x:c>
      <x:c r="C4" s="7" t="str">
        <x:v>Honorar je Einheit</x:v>
      </x:c>
      <x:c r="D4" s="7" t="str">
        <x:v>Jahreseinnahmen</x:v>
      </x:c>
      <x:c r="E4" s="7" t="str">
        <x:v>Abrechnung</x:v>
      </x:c>
      <x:c r="F4" s="7" t="str">
        <x:v>Anmerkung</x:v>
      </x:c>
    </x:row>
    <x:row r="5" ht="38" customHeight="1">
      <x:c r="A5" s="1" t="str">
        <x:v>Paul Werner</x:v>
      </x:c>
      <x:c r="B5" s="12" t="n">
        <x:v>40</x:v>
      </x:c>
      <x:c r="C5" s="13" t="n">
        <x:v>48</x:v>
      </x:c>
      <x:c r="D5" s="10" t="n">
        <x:f>B5*C5</x:f>
        <x:v>1920</x:v>
      </x:c>
      <x:c r="E5" s="14" t="str">
        <x:v>Eigene Rechnung</x:v>
      </x:c>
      <x:c r="F5" s="14" t="str">
        <x:v>60 Minuten; Unterricht zu Hause</x:v>
      </x:c>
    </x:row>
    <x:row r="6" ht="38" customHeight="1">
      <x:c r="A6" s="1" t="str">
        <x:v>Greta Lind</x:v>
      </x:c>
      <x:c r="B6" s="12" t="n">
        <x:v>30</x:v>
      </x:c>
      <x:c r="C6" s="13" t="n">
        <x:v>48</x:v>
      </x:c>
      <x:c r="D6" s="10" t="n">
        <x:f>B6*C6</x:f>
        <x:v>1440</x:v>
      </x:c>
      <x:c r="E6" s="14" t="str">
        <x:v>Eigene Rechnung</x:v>
      </x:c>
      <x:c r="F6" s="14" t="str">
        <x:v>60 Minuten; Unterricht zu Hause</x:v>
      </x:c>
    </x:row>
    <x:row r="7" ht="38" customHeight="1">
      <x:c r="A7" s="1" t="str">
        <x:v>Louis Schapp</x:v>
      </x:c>
      <x:c r="B7" s="12" t="n">
        <x:v>25</x:v>
      </x:c>
      <x:c r="C7" s="13" t="n">
        <x:v>48</x:v>
      </x:c>
      <x:c r="D7" s="10" t="n">
        <x:f>B7*C7</x:f>
        <x:v>1200</x:v>
      </x:c>
      <x:c r="E7" s="14" t="str">
        <x:v>Eigene Rechnung</x:v>
      </x:c>
      <x:c r="F7" s="14" t="str">
        <x:v>60 Minuten; Unterricht zu Hause</x:v>
      </x:c>
    </x:row>
    <x:row r="8" ht="38" customHeight="1">
      <x:c r="A8" s="1" t="str">
        <x:v>Musikraum Pankow</x:v>
      </x:c>
      <x:c r="B8" s="12" t="n">
        <x:v>65</x:v>
      </x:c>
      <x:c r="C8" s="13" t="n">
        <x:v>60</x:v>
      </x:c>
      <x:c r="D8" s="10" t="n">
        <x:f>B8*C8</x:f>
        <x:v>3900</x:v>
      </x:c>
      <x:c r="E8" s="14" t="str">
        <x:v>Monatsrechnung</x:v>
      </x:c>
      <x:c r="F8" s="14" t="str">
        <x:v>Workshops / Auftritte; noch aufzuteilen</x:v>
      </x:c>
    </x:row>
    <x:row r="9" ht="24" customHeight="1">
      <x:c r="A9" s="1"/>
      <x:c r="B9" s="1"/>
      <x:c r="C9" s="10"/>
      <x:c r="D9" s="10"/>
      <x:c r="E9" s="1"/>
      <x:c r="F9" s="1"/>
    </x:row>
    <x:row r="10" ht="28" customHeight="1">
      <x:c r="A10" s="9" t="str">
        <x:v>Weitere Einnahmen</x:v>
      </x:c>
      <x:c r="B10" s="9"/>
      <x:c r="C10" s="11"/>
      <x:c r="D10" s="11" t="n">
        <x:f>SUM(D5:D8)</x:f>
        <x:v>8460</x:v>
      </x:c>
      <x:c r="E10" s="9"/>
      <x:c r="F10" s="9"/>
    </x:row>
    <x:row r="11" ht="24" customHeight="1">
      <x:c r="A11" s="1"/>
      <x:c r="B11" s="1"/>
      <x:c r="C11" s="10"/>
      <x:c r="D11" s="10"/>
      <x:c r="E11" s="1"/>
      <x:c r="F11" s="1"/>
    </x:row>
    <x:row r="12" ht="24" customHeight="1">
      <x:c r="A12" s="1" t="str">
        <x:v>Akademiehonorar</x:v>
      </x:c>
      <x:c r="B12" s="1"/>
      <x:c r="C12" s="10"/>
      <x:c r="D12" s="10" t="n">
        <x:f>'Akademie 2025'!F17</x:f>
        <x:v>25200</x:v>
      </x:c>
      <x:c r="E12" s="1"/>
      <x:c r="F12" s="1"/>
    </x:row>
    <x:row r="13" ht="28" customHeight="1">
      <x:c r="A13" s="9" t="str">
        <x:v>Honorare zusammen</x:v>
      </x:c>
      <x:c r="B13" s="9"/>
      <x:c r="C13" s="11"/>
      <x:c r="D13" s="11" t="n">
        <x:f>D10+D12</x:f>
        <x:v>33660</x:v>
      </x:c>
      <x:c r="E13" s="9"/>
      <x:c r="F13" s="9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34" customHeight="1">
      <x:c r="A16" s="15" t="str">
        <x:v>Keine Betriebsausgaben abgezogen. Private Altersvorsorge, Krankenversicherung und Fahrtkosten sind hier nicht erfasst.</x:v>
      </x:c>
      <x:c r="B16" s="15"/>
      <x:c r="C16" s="15"/>
      <x:c r="D16" s="15"/>
      <x:c r="E16" s="15"/>
      <x:c r="F16" s="15"/>
    </x:row>
    <x:row r="17" ht="34" customHeight="1">
      <x:c r="A17" s="15" t="str">
        <x:v>Die drei Privatpersonen hatten schon vor Beginn des Akademievertrags Unterricht bei Mara. Belege im privaten Rechnungsordner.</x:v>
      </x:c>
      <x:c r="B17" s="15"/>
      <x:c r="C17" s="15"/>
      <x:c r="D17" s="15"/>
      <x:c r="E17" s="15"/>
      <x:c r="F17" s="15"/>
    </x:row>
    <x:row r="18" ht="34" customHeight="1">
      <x:c r="A18" s="15" t="str">
        <x:v>Pankow: Rechnungspositionen sind bisher nur nach Honorarstunden addiert. Trennung von Workshops und Auftritten für die KSK noch offen.</x:v>
      </x:c>
      <x:c r="B18" s="15"/>
      <x:c r="C18" s="15"/>
      <x:c r="D18" s="15"/>
      <x:c r="E18" s="15"/>
      <x:c r="F18" s="15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</x:sheetData>
  <x:mergeCells>
    <x:mergeCell ref="A1:F1"/>
    <x:mergeCell ref="A2:F2"/>
    <x:mergeCell ref="A16:F16"/>
    <x:mergeCell ref="A17:F17"/>
    <x:mergeCell ref="A18:F18"/>
  </x:mergeCells>
  <x:pageMargins left="0.7" right="0.7" top="0.75" bottom="0.75" header="0.3" footer="0.3"/>
</x:worksheet>
</file>