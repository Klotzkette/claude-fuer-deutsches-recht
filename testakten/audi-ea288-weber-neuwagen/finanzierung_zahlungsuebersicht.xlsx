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'Zahlungsuebersicht'!$A$4:$D$8</definedName>
  </definedNames>
  <calcPr calcId="124519" calcMode="auto" fullCalcOnLoad="1" forceFullCalc="1"/>
</workbook>
</file>

<file path=xl/styles.xml><?xml version="1.0" encoding="utf-8"?>
<styleSheet xmlns="http://schemas.openxmlformats.org/spreadsheetml/2006/main">
  <numFmts count="3">
    <numFmt numFmtId="164" formatCode="yyyy-mm-dd"/>
    <numFmt numFmtId="165" formatCode="DD.MM.YYYY"/>
    <numFmt numFmtId="166" formatCode="#,##0.00 [$€-407]"/>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1" applyAlignment="1" pivotButton="0" quotePrefix="0" xfId="0">
      <alignment vertical="top" wrapText="1"/>
    </xf>
    <xf numFmtId="0"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33"/>
  <sheetViews>
    <sheetView showGridLines="0" workbookViewId="0">
      <pane ySplit="4" topLeftCell="A5" activePane="bottomLeft" state="frozen"/>
      <selection pane="bottomLeft" activeCell="A1" sqref="A1"/>
    </sheetView>
  </sheetViews>
  <sheetFormatPr baseColWidth="8" defaultRowHeight="14"/>
  <cols>
    <col width="26" customWidth="1" min="1" max="1"/>
    <col width="26" customWidth="1" min="2" max="2"/>
    <col width="26" customWidth="1" min="3" max="3"/>
    <col width="26" customWidth="1" min="4" max="4"/>
  </cols>
  <sheetData>
    <row r="1" ht="24" customHeight="1">
      <c r="A1" s="1" t="inlineStr">
        <is>
          <t>Zahlungs- und Vorteilsausgleichsrechnung</t>
        </is>
      </c>
    </row>
    <row r="2" ht="44" customHeight="1">
      <c r="A2" s="2" t="inlineStr">
        <is>
          <t>Mandat: M-2026-03019
Rechenstand: 07.07.2026
Zweck: interne Kontrollrechnung, keine Anspruchsbezifferung</t>
        </is>
      </c>
    </row>
    <row r="3">
      <c r="A3" s="3" t="inlineStr">
        <is>
          <t>Belegte Zahlungen</t>
        </is>
      </c>
    </row>
    <row r="4" ht="16" customHeight="1">
      <c r="A4" s="4" t="inlineStr">
        <is>
          <t>Vorgang</t>
        </is>
      </c>
      <c r="B4" s="4" t="inlineStr">
        <is>
          <t>Datum</t>
        </is>
      </c>
      <c r="C4" s="4" t="inlineStr">
        <is>
          <t>Betrag</t>
        </is>
      </c>
      <c r="D4" s="4" t="inlineStr">
        <is>
          <t>Beleg</t>
        </is>
      </c>
    </row>
    <row r="5" ht="44" customHeight="1">
      <c r="A5" s="5" t="inlineStr">
        <is>
          <t>Kaufpreiszahlung an Audi Zentrum Berlin Adlershof GmbH</t>
        </is>
      </c>
      <c r="B5" s="6" t="n">
        <v>43201</v>
      </c>
      <c r="C5" s="7" t="n">
        <v>41200</v>
      </c>
      <c r="D5" s="5" t="inlineStr">
        <is>
          <t>Fahrzeugrechnung AZA-R-2018-04116</t>
        </is>
      </c>
    </row>
    <row r="6" ht="16" customHeight="1">
      <c r="A6" s="5" t="inlineStr">
        <is>
          <t>Finanzierungskosten</t>
        </is>
      </c>
      <c r="B6" s="5" t="inlineStr">
        <is>
          <t>—</t>
        </is>
      </c>
      <c r="C6" s="7" t="n">
        <v>0</v>
      </c>
      <c r="D6" s="5" t="inlineStr">
        <is>
          <t>keine Finanzierung</t>
        </is>
      </c>
    </row>
    <row r="7" ht="16" customHeight="1">
      <c r="A7" s="5" t="inlineStr">
        <is>
          <t>Inzahlungnahme</t>
        </is>
      </c>
      <c r="B7" s="5" t="inlineStr">
        <is>
          <t>—</t>
        </is>
      </c>
      <c r="C7" s="7" t="n">
        <v>0</v>
      </c>
      <c r="D7" s="5" t="inlineStr">
        <is>
          <t>keine Inzahlungnahme</t>
        </is>
      </c>
    </row>
    <row r="8" ht="44" customHeight="1">
      <c r="A8" s="5" t="inlineStr">
        <is>
          <t>Werkstattrechnung</t>
        </is>
      </c>
      <c r="B8" s="6" t="n">
        <v>44333</v>
      </c>
      <c r="C8" s="7" t="n">
        <v>466.24</v>
      </c>
      <c r="D8" s="5" t="inlineStr">
        <is>
          <t>Rechnung 2021-ADL-18477; regulärer Service, kein gesonderter Schaden</t>
        </is>
      </c>
    </row>
    <row r="9"/>
    <row r="10">
      <c r="A10" s="3" t="inlineStr">
        <is>
          <t>Nutzungsvorteil</t>
        </is>
      </c>
    </row>
    <row r="11" ht="44" customHeight="1">
      <c r="A11" s="2" t="inlineStr">
        <is>
          <t>Der Tachostand am 05.07.2026 beträgt 76.043 km. Nach Abzug der 9 km bei Übergabe verbleiben 76.034 gefahrene Kilometer. Bei 250.000 km erwarteter Gesamtlaufleistung beträgt die ab Übergabe verfügbare Strecke 249.991 km.</t>
        </is>
      </c>
    </row>
    <row r="12" ht="16" customHeight="1">
      <c r="A12" s="4" t="inlineStr">
        <is>
          <t>Rechenschritt</t>
        </is>
      </c>
      <c r="B12" s="4" t="inlineStr">
        <is>
          <t>Rechnung</t>
        </is>
      </c>
      <c r="C12" s="4" t="inlineStr">
        <is>
          <t>Ergebnis</t>
        </is>
      </c>
    </row>
    <row r="13" ht="30" customHeight="1">
      <c r="A13" s="5" t="inlineStr">
        <is>
          <t>Nutzungsvorteil</t>
        </is>
      </c>
      <c r="B13" s="5" t="inlineStr">
        <is>
          <t>41.200,00 EUR × 76.034 km ÷ 249.991 km</t>
        </is>
      </c>
      <c r="C13" s="7">
        <f>C5*76034/249991</f>
        <v/>
      </c>
    </row>
    <row r="14" ht="30" customHeight="1">
      <c r="A14" s="5" t="inlineStr">
        <is>
          <t>Kaufpreis abzüglich Nutzungsvorteil</t>
        </is>
      </c>
      <c r="B14" s="5" t="inlineStr">
        <is>
          <t>41.200,00 EUR − 12.530,85 EUR</t>
        </is>
      </c>
      <c r="C14" s="7">
        <f>C5-C13</f>
        <v/>
      </c>
    </row>
    <row r="15"/>
    <row r="16">
      <c r="A16" s="2" t="inlineStr">
        <is>
          <t>Die zweite Zeile ist keine Schadenssumme. Ein aktueller Restwert ist nicht belegt.</t>
        </is>
      </c>
    </row>
    <row r="17">
      <c r="A17" s="3" t="inlineStr">
        <is>
          <t>Brutto-Korridor des Differenzschadens</t>
        </is>
      </c>
    </row>
    <row r="18" ht="16" customHeight="1">
      <c r="A18" s="4" t="inlineStr">
        <is>
          <t>Quote</t>
        </is>
      </c>
      <c r="B18" s="4" t="inlineStr">
        <is>
          <t>Rechnung</t>
        </is>
      </c>
      <c r="C18" s="4" t="inlineStr">
        <is>
          <t>Bruttobetrag</t>
        </is>
      </c>
    </row>
    <row r="19" ht="16" customHeight="1">
      <c r="A19" s="5" t="inlineStr">
        <is>
          <t>5 Prozent</t>
        </is>
      </c>
      <c r="B19" s="5" t="inlineStr">
        <is>
          <t>41.200,00 EUR × 0,05</t>
        </is>
      </c>
      <c r="C19" s="7">
        <f>C5*0.05</f>
        <v/>
      </c>
    </row>
    <row r="20" ht="16" customHeight="1">
      <c r="A20" s="5" t="inlineStr">
        <is>
          <t>10 Prozent</t>
        </is>
      </c>
      <c r="B20" s="5" t="inlineStr">
        <is>
          <t>41.200,00 EUR × 0,10</t>
        </is>
      </c>
      <c r="C20" s="7">
        <f>C5*0.10</f>
        <v/>
      </c>
    </row>
    <row r="21" ht="16" customHeight="1">
      <c r="A21" s="5" t="inlineStr">
        <is>
          <t>15 Prozent</t>
        </is>
      </c>
      <c r="B21" s="5" t="inlineStr">
        <is>
          <t>41.200,00 EUR × 0,15</t>
        </is>
      </c>
      <c r="C21" s="7">
        <f>C5*0.15</f>
        <v/>
      </c>
    </row>
    <row r="22"/>
    <row r="23" ht="30" customHeight="1">
      <c r="A23" s="2" t="inlineStr">
        <is>
          <t>Die Quote wäre erst nach festgestelltem Pflichtverstoß, Verschulden und Erwerbskausalität zu schätzen. Der Korridor ist deshalb keine Forderung.</t>
        </is>
      </c>
    </row>
    <row r="24">
      <c r="A24" s="3" t="inlineStr">
        <is>
          <t>Kontrollmodell zum Vorteilsausgleich</t>
        </is>
      </c>
    </row>
    <row r="25" ht="72" customHeight="1">
      <c r="A25" s="2" t="inlineStr">
        <is>
          <t>Nach dem in BGH VIa ZR 335/21 geprüften Modell sind Nutzungsvorteil und Restwert beim Differenzschaden nicht schlicht vom Bruttokorridor abzuziehen. Eine Anrechnung kommt insoweit in Betracht, als beide Vorteile zusammen den tatsächlichen Fahrzeugwert bei Erwerb übersteigen. Weil dieser Wert von der erst festzustellenden Differenzquote abhängt und der heutige Restwert fehlt, lässt sich der Nettoanspruch nicht abschließend bestimmen.</t>
        </is>
      </c>
    </row>
    <row r="26" ht="58" customHeight="1">
      <c r="A26" s="4" t="inlineStr">
        <is>
          <t>Unterstellte Quote</t>
        </is>
      </c>
      <c r="B26" s="4" t="inlineStr">
        <is>
          <t>Tatsächlicher Wert bei Erwerb</t>
        </is>
      </c>
      <c r="C26" s="4" t="inlineStr">
        <is>
          <t>Restwert, ab dem bei 12.530,85 EUR Nutzung erstmals eine Anrechnung einsetzt</t>
        </is>
      </c>
    </row>
    <row r="27" ht="16" customHeight="1">
      <c r="A27" s="5" t="inlineStr">
        <is>
          <t>5 Prozent</t>
        </is>
      </c>
      <c r="B27" s="7" t="n">
        <v>39140</v>
      </c>
      <c r="C27" s="5" t="inlineStr">
        <is>
          <t>über 26.609,15 EUR</t>
        </is>
      </c>
    </row>
    <row r="28" ht="16" customHeight="1">
      <c r="A28" s="5" t="inlineStr">
        <is>
          <t>10 Prozent</t>
        </is>
      </c>
      <c r="B28" s="7" t="n">
        <v>37080</v>
      </c>
      <c r="C28" s="5" t="inlineStr">
        <is>
          <t>über 24.549,15 EUR</t>
        </is>
      </c>
    </row>
    <row r="29" ht="16" customHeight="1">
      <c r="A29" s="5" t="inlineStr">
        <is>
          <t>15 Prozent</t>
        </is>
      </c>
      <c r="B29" s="7" t="n">
        <v>35020</v>
      </c>
      <c r="C29" s="5" t="inlineStr">
        <is>
          <t>über 22.489,15 EUR</t>
        </is>
      </c>
    </row>
    <row r="30"/>
    <row r="31" ht="30" customHeight="1">
      <c r="A31" s="2" t="inlineStr">
        <is>
          <t>Bei einem Restwert von mindestens 28.669,15 EUR wäre der rechnerische Differenzschaden in jeder dieser Varianten vollständig aufgezehrt. Diese Schwellen sind Rechenkontrollen, keine Restwertschätzung.</t>
        </is>
      </c>
    </row>
    <row r="32">
      <c r="A32" s="3" t="inlineStr">
        <is>
          <t>Umsatzsteuerkontrolle</t>
        </is>
      </c>
    </row>
    <row r="33">
      <c r="A33" s="2" t="inlineStr">
        <is>
          <t>34.621,85 EUR netto zuzüglich 6.578,15 EUR Umsatzsteuer ergeben exakt 41.200,00 EUR brutto.</t>
        </is>
      </c>
    </row>
  </sheetData>
  <autoFilter ref="A4:D8"/>
  <mergeCells count="13">
    <mergeCell ref="A1:D1"/>
    <mergeCell ref="A17:D17"/>
    <mergeCell ref="A23:D23"/>
    <mergeCell ref="A31:D31"/>
    <mergeCell ref="A3:D3"/>
    <mergeCell ref="A25:D25"/>
    <mergeCell ref="A24:D24"/>
    <mergeCell ref="A2:D2"/>
    <mergeCell ref="A11:D11"/>
    <mergeCell ref="A16:D16"/>
    <mergeCell ref="A10:D10"/>
    <mergeCell ref="A33:D33"/>
    <mergeCell ref="A32:D32"/>
  </mergeCells>
  <printOptions horizontalCentered="1"/>
  <pageMargins left="0.25" right="0.25" top="0.4" bottom="0.4" header="0.15" footer="0.15"/>
  <pageSetup orientation="portrait" paperSize="9" scale="85"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