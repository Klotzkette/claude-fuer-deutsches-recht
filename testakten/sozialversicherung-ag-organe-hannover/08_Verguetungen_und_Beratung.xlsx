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4a6c2c8e9249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guetungen" sheetId="1" r:id="Re5ce9bc1d0e6443b"/>
    <x:sheet xmlns:r="http://schemas.openxmlformats.org/officeDocument/2006/relationships" name="Beratung" sheetId="2" r:id="R90c01dc67be74153"/>
  </x:sheets>
  <x:definedNames>
    <x:definedName name="_xlnm.Print_Area" localSheetId="0">'Verguetungen'!$A$1:$F$23</x:definedName>
    <x:definedName name="_xlnm.Print_Area" localSheetId="1">'Beratung'!$A$1:$F$21</x:definedName>
  </x:definedName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"/>
    <x:numFmt numFmtId="202" formatCode="0%"/>
  </x:numFmts>
  <x:fonts count="4">
    <x:font>
      <x:sz val="11"/>
      <x:name val="Carlito"/>
    </x:font>
    <x:font>
      <x:sz val="11"/>
      <x:name val="Arial"/>
    </x:font>
    <x:font>
      <x:b/>
      <x:sz val="1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1485B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f158014bfa462e" /><Relationship Type="http://schemas.openxmlformats.org/officeDocument/2006/relationships/theme" Target="/xl/theme/theme1.xml" Id="Rc655812870ec49ac" /><Relationship Type="http://schemas.openxmlformats.org/officeDocument/2006/relationships/sharedStrings" Target="/xl/sharedStrings.xml" Id="Ra12b7dca4d2643ca" /><Relationship Type="http://schemas.openxmlformats.org/officeDocument/2006/relationships/worksheet" Target="/xl/worksheets/sheet1.xml" Id="Re5ce9bc1d0e6443b" /><Relationship Type="http://schemas.openxmlformats.org/officeDocument/2006/relationships/worksheet" Target="/xl/worksheets/sheet2.xml" Id="R90c01dc67be741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23" hidden="0" customWidth="1"/>
    <x:col min="4" max="4" width="18" hidden="0" customWidth="1"/>
    <x:col min="5" max="5" width="18" hidden="0" customWidth="1"/>
    <x:col min="6" max="6" width="27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9" customHeight="1">
      <x:c r="A2" s="3" t="str">
        <x:v>Vergütungsübersicht April bis September</x:v>
      </x:c>
      <x:c r="B2" s="2"/>
      <x:c r="C2" s="2"/>
      <x:c r="D2" s="2"/>
      <x:c r="E2" s="2"/>
      <x:c r="F2" s="2"/>
    </x:row>
    <x:row r="3" ht="25" customHeight="1">
      <x:c r="A3" s="2"/>
      <x:c r="B3" s="2"/>
      <x:c r="C3" s="2"/>
      <x:c r="D3" s="2"/>
      <x:c r="E3" s="2"/>
      <x:c r="F3" s="2"/>
    </x:row>
    <x:row r="4" ht="25" customHeight="1">
      <x:c r="A4" s="2" t="str">
        <x:v>Elfriede Holle, berichtigte Zusammenstellung vom 24. September 2026</x:v>
      </x:c>
      <x:c r="B4" s="2"/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42" customHeight="1">
      <x:c r="A6" s="7" t="str">
        <x:v>Zeitraum</x:v>
      </x:c>
      <x:c r="B6" s="7" t="str">
        <x:v>Gesellschaft</x:v>
      </x:c>
      <x:c r="C6" s="7" t="str">
        <x:v>Art</x:v>
      </x:c>
      <x:c r="D6" s="7" t="str">
        <x:v>Betrag EUR</x:v>
      </x:c>
      <x:c r="E6" s="7" t="str">
        <x:v>Stand</x:v>
      </x:c>
      <x:c r="F6" s="7" t="str">
        <x:v>Beleg</x:v>
      </x:c>
    </x:row>
    <x:row r="7" ht="32" customHeight="1">
      <x:c r="A7" s="8" t="str">
        <x:v>April</x:v>
      </x:c>
      <x:c r="B7" s="2" t="str">
        <x:v>Leinefaden</x:v>
      </x:c>
      <x:c r="C7" s="2" t="str">
        <x:v>Festvergütung</x:v>
      </x:c>
      <x:c r="D7" s="10" t="n">
        <x:v>6200</x:v>
      </x:c>
      <x:c r="E7" s="9" t="str">
        <x:v>bezahlt</x:v>
      </x:c>
      <x:c r="F7" s="2" t="str">
        <x:v>Dienstvertrag 20.03.</x:v>
      </x:c>
    </x:row>
    <x:row r="8" ht="32" customHeight="1">
      <x:c r="A8" s="8" t="str">
        <x:v>Mai</x:v>
      </x:c>
      <x:c r="B8" s="2" t="str">
        <x:v>Leinefaden</x:v>
      </x:c>
      <x:c r="C8" s="2" t="str">
        <x:v>Festvergütung</x:v>
      </x:c>
      <x:c r="D8" s="10" t="n">
        <x:v>6200</x:v>
      </x:c>
      <x:c r="E8" s="9" t="str">
        <x:v>bezahlt</x:v>
      </x:c>
      <x:c r="F8" s="2" t="str">
        <x:v>Entgeltliste</x:v>
      </x:c>
    </x:row>
    <x:row r="9" ht="32" customHeight="1">
      <x:c r="A9" s="8" t="str">
        <x:v>Juni</x:v>
      </x:c>
      <x:c r="B9" s="2" t="str">
        <x:v>Leinefaden</x:v>
      </x:c>
      <x:c r="C9" s="2" t="str">
        <x:v>Festvergütung</x:v>
      </x:c>
      <x:c r="D9" s="10" t="n">
        <x:v>6200</x:v>
      </x:c>
      <x:c r="E9" s="9" t="str">
        <x:v>bezahlt</x:v>
      </x:c>
      <x:c r="F9" s="2" t="str">
        <x:v>Entgeltliste</x:v>
      </x:c>
    </x:row>
    <x:row r="10" ht="32" customHeight="1">
      <x:c r="A10" s="8" t="str">
        <x:v>Juli</x:v>
      </x:c>
      <x:c r="B10" s="2" t="str">
        <x:v>Leinefaden</x:v>
      </x:c>
      <x:c r="C10" s="2" t="str">
        <x:v>Festvergütung</x:v>
      </x:c>
      <x:c r="D10" s="10" t="n">
        <x:v>6200</x:v>
      </x:c>
      <x:c r="E10" s="9" t="str">
        <x:v>bezahlt</x:v>
      </x:c>
      <x:c r="F10" s="2" t="str">
        <x:v>Entgeltliste</x:v>
      </x:c>
    </x:row>
    <x:row r="11" ht="32" customHeight="1">
      <x:c r="A11" s="8" t="str">
        <x:v>August</x:v>
      </x:c>
      <x:c r="B11" s="2" t="str">
        <x:v>Leinefaden</x:v>
      </x:c>
      <x:c r="C11" s="2" t="str">
        <x:v>Festvergütung</x:v>
      </x:c>
      <x:c r="D11" s="10" t="n">
        <x:v>6200</x:v>
      </x:c>
      <x:c r="E11" s="9" t="str">
        <x:v>bezahlt</x:v>
      </x:c>
      <x:c r="F11" s="2" t="str">
        <x:v>Entgeltliste</x:v>
      </x:c>
    </x:row>
    <x:row r="12" ht="32" customHeight="1">
      <x:c r="A12" s="8" t="str">
        <x:v>September</x:v>
      </x:c>
      <x:c r="B12" s="2" t="str">
        <x:v>Leinefaden</x:v>
      </x:c>
      <x:c r="C12" s="2" t="str">
        <x:v>Festvergütung</x:v>
      </x:c>
      <x:c r="D12" s="10" t="n">
        <x:v>6200</x:v>
      </x:c>
      <x:c r="E12" s="9" t="str">
        <x:v>bezahlt</x:v>
      </x:c>
      <x:c r="F12" s="2" t="str">
        <x:v>Entgeltliste</x:v>
      </x:c>
    </x:row>
    <x:row r="13" ht="32" customHeight="1">
      <x:c r="A13" s="8" t="str">
        <x:v>2026</x:v>
      </x:c>
      <x:c r="B13" s="2" t="str">
        <x:v>Leinefaden</x:v>
      </x:c>
      <x:c r="C13" s="2" t="str">
        <x:v>Bonusreserve</x:v>
      </x:c>
      <x:c r="D13" s="10" t="n">
        <x:v>24000</x:v>
      </x:c>
      <x:c r="E13" s="9" t="str">
        <x:v>Budget</x:v>
      </x:c>
      <x:c r="F13" s="2" t="str">
        <x:v>Keine Zielvereinbarung</x:v>
      </x:c>
    </x:row>
    <x:row r="14" ht="32" customHeight="1">
      <x:c r="A14" s="8" t="str">
        <x:v>April bis Dezember</x:v>
      </x:c>
      <x:c r="B14" s="2" t="str">
        <x:v>Havelstrom</x:v>
      </x:c>
      <x:c r="C14" s="2" t="str">
        <x:v>Aufsichtsrat</x:v>
      </x:c>
      <x:c r="D14" s="10" t="n">
        <x:v>9000</x:v>
      </x:c>
      <x:c r="E14" s="9" t="str">
        <x:v>vorgemerkt</x:v>
      </x:c>
      <x:c r="F14" s="2" t="str">
        <x:v>Mitteilung 25.09.</x:v>
      </x:c>
    </x:row>
    <x:row r="15" ht="32" customHeight="1">
      <x:c r="A15" s="8" t="str">
        <x:v>Juni</x:v>
      </x:c>
      <x:c r="B15" s="2" t="str">
        <x:v>Havelstrom</x:v>
      </x:c>
      <x:c r="C15" s="2" t="str">
        <x:v>Reisekosten</x:v>
      </x:c>
      <x:c r="D15" s="10" t="n">
        <x:v>68.4</x:v>
      </x:c>
      <x:c r="E15" s="9" t="str">
        <x:v>bezahlt</x:v>
      </x:c>
      <x:c r="F15" s="2" t="str">
        <x:v>Erstattung 24.06.</x:v>
      </x:c>
    </x:row>
    <x:row r="16" ht="25" customHeight="1">
      <x:c r="A16" s="2"/>
      <x:c r="B16" s="2"/>
      <x:c r="C16" s="2"/>
      <x:c r="D16" s="10"/>
      <x:c r="E16" s="2"/>
      <x:c r="F16" s="2"/>
    </x:row>
    <x:row r="17" ht="25" customHeight="1">
      <x:c r="A17" s="2"/>
      <x:c r="B17" s="2"/>
      <x:c r="C17" s="2"/>
      <x:c r="D17" s="10"/>
      <x:c r="E17" s="2"/>
      <x:c r="F17" s="2"/>
    </x:row>
    <x:row r="18" ht="25" customHeight="1">
      <x:c r="A18" s="2" t="str">
        <x:v>Gezahlte Beträge EUR</x:v>
      </x:c>
      <x:c r="B18" s="2"/>
      <x:c r="C18" s="2"/>
      <x:c r="D18" s="10" t="n">
        <x:f>SUMIFS(D7:D15,E7:E15,"bezahlt")</x:f>
        <x:v>37268.4</x:v>
      </x:c>
      <x:c r="E18" s="2"/>
      <x:c r="F18" s="2"/>
    </x:row>
    <x:row r="19" ht="25" customHeight="1">
      <x:c r="A19" s="2" t="str">
        <x:v>Vorgemerkt EUR</x:v>
      </x:c>
      <x:c r="B19" s="2"/>
      <x:c r="C19" s="2"/>
      <x:c r="D19" s="10" t="n">
        <x:f>SUMIFS(D7:D15,E7:E15,"vorgemerkt")</x:f>
        <x:v>9000</x:v>
      </x:c>
      <x:c r="E19" s="2"/>
      <x:c r="F19" s="2"/>
    </x:row>
    <x:row r="20" ht="25" customHeight="1">
      <x:c r="A20" s="2" t="str">
        <x:v>Budgetreserve EUR</x:v>
      </x:c>
      <x:c r="B20" s="2"/>
      <x:c r="C20" s="2"/>
      <x:c r="D20" s="10" t="n">
        <x:f>SUMIFS(D7:D15,E7:E15,"Budget")</x:f>
        <x:v>24000</x:v>
      </x:c>
      <x:c r="E20" s="2"/>
      <x:c r="F20" s="2"/>
    </x:row>
    <x:row r="21" ht="25" customHeight="1">
      <x:c r="A21" s="2"/>
      <x:c r="B21" s="2"/>
      <x:c r="C21" s="2"/>
      <x:c r="D21" s="2"/>
      <x:c r="E21" s="2"/>
      <x:c r="F21" s="2"/>
    </x:row>
    <x:row r="22" ht="25" customHeight="1">
      <x:c r="A22" s="2" t="str">
        <x:v>Mohnwinkel wird in der gesonderten Beratungsliste geführt.</x:v>
      </x:c>
      <x:c r="B22" s="2"/>
      <x:c r="C22" s="2"/>
      <x:c r="D22" s="2"/>
      <x:c r="E22" s="2"/>
      <x:c r="F22" s="2"/>
    </x:row>
    <x:row r="23" ht="25" customHeight="1">
      <x:c r="A23" s="2" t="str">
        <x:v>Beträge sind Vergütungsdaten, keine Feststellung beitragspflichtiger Einnahmen.</x:v>
      </x:c>
      <x:c r="B23" s="2"/>
      <x:c r="C23" s="2"/>
      <x:c r="D23" s="2"/>
      <x:c r="E23" s="2"/>
      <x:c r="F23" s="2"/>
    </x:row>
  </x:sheetData>
  <x:pageMargins left="0.7" right="0.7" top="0.75" bottom="0.75" header="0.3" footer="0.3"/>
  <x:pageSetup paperSize="9" orientation="landscape" fitToWidth="1" fitToHeight="1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9" customHeight="1">
      <x:c r="A2" s="3" t="str">
        <x:v>Beratungstage Mohnwinkel</x:v>
      </x:c>
      <x:c r="B2" s="2"/>
      <x:c r="C2" s="2"/>
      <x:c r="D2" s="2"/>
      <x:c r="E2" s="2"/>
      <x:c r="F2" s="2"/>
    </x:row>
    <x:row r="3" ht="25" customHeight="1">
      <x:c r="A3" s="2"/>
      <x:c r="B3" s="2"/>
      <x:c r="C3" s="2"/>
      <x:c r="D3" s="2"/>
      <x:c r="E3" s="2"/>
      <x:c r="F3" s="2"/>
    </x:row>
    <x:row r="4" ht="25" customHeight="1">
      <x:c r="A4" s="2" t="str">
        <x:v>Dr. Elif Brandt, Tagesliste mit Septemberstand 29. September 2026</x:v>
      </x:c>
      <x:c r="B4" s="2"/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42" customHeight="1">
      <x:c r="A6" s="7" t="str">
        <x:v>Monat</x:v>
      </x:c>
      <x:c r="B6" s="7" t="str">
        <x:v>Tage</x:v>
      </x:c>
      <x:c r="C6" s="7" t="str">
        <x:v>Tagessatz EUR</x:v>
      </x:c>
      <x:c r="D6" s="7" t="str">
        <x:v>Netto EUR</x:v>
      </x:c>
      <x:c r="E6" s="7" t="str">
        <x:v>USt EUR</x:v>
      </x:c>
      <x:c r="F6" s="7" t="str">
        <x:v>Brutto EUR</x:v>
      </x:c>
    </x:row>
    <x:row r="7" ht="25" customHeight="1">
      <x:c r="A7" s="2" t="str">
        <x:v>April</x:v>
      </x:c>
      <x:c r="B7" s="11" t="n">
        <x:v>3</x:v>
      </x:c>
      <x:c r="C7" s="10" t="n">
        <x:v>900</x:v>
      </x:c>
      <x:c r="D7" s="10" t="n">
        <x:f>ROUND(B7*C7,2)</x:f>
        <x:v>2700</x:v>
      </x:c>
      <x:c r="E7" s="10" t="n">
        <x:f>ROUND(D7*$B$17,2)</x:f>
        <x:v>513</x:v>
      </x:c>
      <x:c r="F7" s="10" t="n">
        <x:f>SUM(D7:E7)</x:f>
        <x:v>3213</x:v>
      </x:c>
    </x:row>
    <x:row r="8" ht="25" customHeight="1">
      <x:c r="A8" s="2" t="str">
        <x:v>Mai</x:v>
      </x:c>
      <x:c r="B8" s="11" t="n">
        <x:v>4</x:v>
      </x:c>
      <x:c r="C8" s="10" t="n">
        <x:v>900</x:v>
      </x:c>
      <x:c r="D8" s="10" t="n">
        <x:f>ROUND(B8*C8,2)</x:f>
        <x:v>3600</x:v>
      </x:c>
      <x:c r="E8" s="10" t="n">
        <x:f>ROUND(D8*$B$17,2)</x:f>
        <x:v>684</x:v>
      </x:c>
      <x:c r="F8" s="10" t="n">
        <x:f>SUM(D8:E8)</x:f>
        <x:v>4284</x:v>
      </x:c>
    </x:row>
    <x:row r="9" ht="25" customHeight="1">
      <x:c r="A9" s="2" t="str">
        <x:v>Juni</x:v>
      </x:c>
      <x:c r="B9" s="11" t="n">
        <x:v>3.5</x:v>
      </x:c>
      <x:c r="C9" s="10" t="n">
        <x:v>900</x:v>
      </x:c>
      <x:c r="D9" s="10" t="n">
        <x:f>ROUND(B9*C9,2)</x:f>
        <x:v>3150</x:v>
      </x:c>
      <x:c r="E9" s="10" t="n">
        <x:f>ROUND(D9*$B$17,2)</x:f>
        <x:v>598.5</x:v>
      </x:c>
      <x:c r="F9" s="10" t="n">
        <x:f>SUM(D9:E9)</x:f>
        <x:v>3748.5</x:v>
      </x:c>
    </x:row>
    <x:row r="10" ht="25" customHeight="1">
      <x:c r="A10" s="2" t="str">
        <x:v>Juli</x:v>
      </x:c>
      <x:c r="B10" s="11" t="n">
        <x:v>0</x:v>
      </x:c>
      <x:c r="C10" s="10" t="n">
        <x:v>900</x:v>
      </x:c>
      <x:c r="D10" s="10" t="n">
        <x:f>ROUND(B10*C10,2)</x:f>
        <x:v>0</x:v>
      </x:c>
      <x:c r="E10" s="10" t="n">
        <x:f>ROUND(D10*$B$17,2)</x:f>
        <x:v>0</x:v>
      </x:c>
      <x:c r="F10" s="10" t="n">
        <x:f>SUM(D10:E10)</x:f>
        <x:v>0</x:v>
      </x:c>
    </x:row>
    <x:row r="11" ht="25" customHeight="1">
      <x:c r="A11" s="2" t="str">
        <x:v>August</x:v>
      </x:c>
      <x:c r="B11" s="11" t="n">
        <x:v>4</x:v>
      </x:c>
      <x:c r="C11" s="10" t="n">
        <x:v>900</x:v>
      </x:c>
      <x:c r="D11" s="10" t="n">
        <x:f>ROUND(B11*C11,2)</x:f>
        <x:v>3600</x:v>
      </x:c>
      <x:c r="E11" s="10" t="n">
        <x:f>ROUND(D11*$B$17,2)</x:f>
        <x:v>684</x:v>
      </x:c>
      <x:c r="F11" s="10" t="n">
        <x:f>SUM(D11:E11)</x:f>
        <x:v>4284</x:v>
      </x:c>
    </x:row>
    <x:row r="12" ht="25" customHeight="1">
      <x:c r="A12" s="2" t="str">
        <x:v>September</x:v>
      </x:c>
      <x:c r="B12" s="11" t="n">
        <x:v>1.5</x:v>
      </x:c>
      <x:c r="C12" s="10" t="n">
        <x:v>900</x:v>
      </x:c>
      <x:c r="D12" s="10" t="n">
        <x:f>ROUND(B12*C12,2)</x:f>
        <x:v>1350</x:v>
      </x:c>
      <x:c r="E12" s="10" t="n">
        <x:f>ROUND(D12*$B$17,2)</x:f>
        <x:v>256.5</x:v>
      </x:c>
      <x:c r="F12" s="10" t="n">
        <x:f>SUM(D12:E12)</x:f>
        <x:v>1606.5</x:v>
      </x:c>
    </x:row>
    <x:row r="13" ht="25" customHeight="1">
      <x:c r="A13" s="2"/>
      <x:c r="B13" s="11"/>
      <x:c r="C13" s="10"/>
      <x:c r="D13" s="10"/>
      <x:c r="E13" s="10"/>
      <x:c r="F13" s="10"/>
    </x:row>
    <x:row r="14" ht="25" customHeight="1">
      <x:c r="A14" s="2" t="str">
        <x:v>Summe</x:v>
      </x:c>
      <x:c r="B14" s="11" t="n">
        <x:f>SUM(B7:B12)</x:f>
        <x:v>16</x:v>
      </x:c>
      <x:c r="C14" s="10"/>
      <x:c r="D14" s="10" t="n">
        <x:f>SUM(D7:D12)</x:f>
        <x:v>14400</x:v>
      </x:c>
      <x:c r="E14" s="10" t="n">
        <x:f>SUM(E7:E12)</x:f>
        <x:v>2736</x:v>
      </x:c>
      <x:c r="F14" s="10" t="n">
        <x:f>SUM(F7:F12)</x:f>
        <x:v>17136</x:v>
      </x:c>
    </x:row>
    <x:row r="15" ht="25" customHeight="1">
      <x:c r="A15" s="2"/>
      <x:c r="B15" s="2"/>
      <x:c r="C15" s="2"/>
      <x:c r="D15" s="2"/>
      <x:c r="E15" s="2"/>
      <x:c r="F15" s="2"/>
    </x:row>
    <x:row r="16" ht="25" customHeight="1">
      <x:c r="A16" s="2" t="str">
        <x:v>Vereinbarte Tage</x:v>
      </x:c>
      <x:c r="B16" s="2" t="n">
        <x:v>16</x:v>
      </x:c>
      <x:c r="C16" s="2"/>
      <x:c r="D16" s="2"/>
      <x:c r="E16" s="2"/>
      <x:c r="F16" s="2"/>
    </x:row>
    <x:row r="17" ht="25" customHeight="1">
      <x:c r="A17" s="2" t="str">
        <x:v>Umsatzsteuersatz</x:v>
      </x:c>
      <x:c r="B17" s="12" t="n">
        <x:v>0.19</x:v>
      </x:c>
      <x:c r="C17" s="2"/>
      <x:c r="D17" s="2"/>
      <x:c r="E17" s="2"/>
      <x:c r="F17" s="2"/>
    </x:row>
    <x:row r="18" ht="25" customHeight="1">
      <x:c r="A18" s="2" t="str">
        <x:v>Restliche Tage</x:v>
      </x:c>
      <x:c r="B18" s="2" t="n">
        <x:f>B16-B14</x:f>
        <x:v>0</x:v>
      </x:c>
      <x:c r="C18" s="2"/>
      <x:c r="D18" s="2"/>
      <x:c r="E18" s="2"/>
      <x:c r="F18" s="2"/>
    </x:row>
    <x:row r="19" ht="25" customHeight="1">
      <x:c r="A19" s="2"/>
      <x:c r="B19" s="2"/>
      <x:c r="C19" s="2"/>
      <x:c r="D19" s="2"/>
      <x:c r="E19" s="2"/>
      <x:c r="F19" s="2"/>
    </x:row>
    <x:row r="20" ht="25" customHeight="1">
      <x:c r="A20" s="2" t="str">
        <x:v>September ist zur Rechnungsstellung vorbereitet, noch nicht bezahlt.</x:v>
      </x:c>
      <x:c r="B20" s="2"/>
      <x:c r="C20" s="2"/>
      <x:c r="D20" s="2"/>
      <x:c r="E20" s="2"/>
      <x:c r="F20" s="2"/>
    </x:row>
    <x:row r="21" ht="25" customHeight="1">
      <x:c r="A21" s="2" t="str">
        <x:v>Havelstroms Sitzung vom 15. Juni wurde vor Rechnungsversand entfernt.</x:v>
      </x:c>
      <x:c r="B21" s="2"/>
      <x:c r="C21" s="2"/>
      <x:c r="D21" s="2"/>
      <x:c r="E21" s="2"/>
      <x:c r="F21" s="2"/>
    </x:row>
  </x:sheetData>
  <x:pageMargins left="0.7" right="0.7" top="0.75" bottom="0.75" header="0.3" footer="0.3"/>
  <x:pageSetup paperSize="9" orientation="landscape" fitToWidth="1" fitToHeight="1"/>
</x:worksheet>
</file>