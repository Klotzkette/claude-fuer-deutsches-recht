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abe6467b0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7a60ca225e1547bf"/>
    <x:sheet xmlns:r="http://schemas.openxmlformats.org/officeDocument/2006/relationships" name="Zahlungen" sheetId="2" r:id="R77ff69fa7f0b4b6c"/>
    <x:sheet xmlns:r="http://schemas.openxmlformats.org/officeDocument/2006/relationships" name="Beteiligte" sheetId="3" r:id="R599fd0007192455b"/>
    <x:sheet xmlns:r="http://schemas.openxmlformats.org/officeDocument/2006/relationships" name="Verlauf" sheetId="4" r:id="Re748eaf8f0eb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%"/>
  </x:numFmts>
  <x:fonts count="5">
    <x:font>
      <x:sz val="11"/>
      <x:name val="Carlito"/>
    </x:font>
    <x:font>
      <x:sz val="11"/>
      <x:color rgb="FF242A30"/>
      <x:name val="Times New Roman"/>
    </x:font>
    <x:font>
      <x:b/>
      <x:sz val="15"/>
      <x:color rgb="FF253A48"/>
      <x:name val="Times New Roman"/>
    </x:font>
    <x:font>
      <x:b/>
      <x:sz val="11"/>
      <x:color rgb="FFFFFFFF"/>
      <x:name val="Times New Roman"/>
    </x:font>
    <x:font>
      <x:b/>
      <x:sz val="11"/>
      <x:color rgb="FF242A3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253A48"/>
      </x:patternFill>
    </x:fill>
    <x:fill>
      <x:patternFill patternType="solid">
        <x:fgColor rgb="FFFFF0C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7B3BB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1f5cfd14a4e80" /><Relationship Type="http://schemas.openxmlformats.org/officeDocument/2006/relationships/theme" Target="/xl/theme/theme1.xml" Id="R26a120228d094008" /><Relationship Type="http://schemas.openxmlformats.org/officeDocument/2006/relationships/sharedStrings" Target="/xl/sharedStrings.xml" Id="Rcba8e516d24343d0" /><Relationship Type="http://schemas.openxmlformats.org/officeDocument/2006/relationships/worksheet" Target="/xl/worksheets/sheet1.xml" Id="R7a60ca225e1547bf" /><Relationship Type="http://schemas.openxmlformats.org/officeDocument/2006/relationships/worksheet" Target="/xl/worksheets/sheet2.xml" Id="R77ff69fa7f0b4b6c" /><Relationship Type="http://schemas.openxmlformats.org/officeDocument/2006/relationships/worksheet" Target="/xl/worksheets/sheet3.xml" Id="R599fd0007192455b" /><Relationship Type="http://schemas.openxmlformats.org/officeDocument/2006/relationships/worksheet" Target="/xl/worksheets/sheet4.xml" Id="Re748eaf8f0eb486f" /></Relationships>
</file>

<file path=xl/tables/table1.xml><?xml version="1.0" encoding="utf-8"?>
<x:table xmlns:x="http://schemas.openxmlformats.org/spreadsheetml/2006/main" id="2" name="Betragsarten" displayName="Betragsarten" ref="A7:D12" headerRowCount="1" totalsRowCount="0" totalsRowShown="0">
  <x:tableColumns count="4">
    <x:tableColumn id="1" name="Betragsart"/>
    <x:tableColumn id="2" name="Betrag EUR"/>
    <x:tableColumn id="3" name="Positionen"/>
    <x:tableColumn id="4" name="Aussagegrenz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Zahlungsangaben" displayName="Zahlungsangaben" ref="A6:I10" headerRowCount="1" totalsRowCount="0" totalsRowShown="0">
  <x:tableColumns count="9">
    <x:tableColumn id="1" name="Vorgang-ID"/>
    <x:tableColumn id="2" name="Datum"/>
    <x:tableColumn id="3" name="Betrag EUR"/>
    <x:tableColumn id="4" name="Betragsart"/>
    <x:tableColumn id="5" name="Nachweisstand laut Unterlage"/>
    <x:tableColumn id="6" name="Zahler / Leistender"/>
    <x:tableColumn id="7" name="Empfänger"/>
    <x:tableColumn id="8" name="Beleg-ID"/>
    <x:tableColumn id="9" name="Zuordn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ontakte" displayName="Kontakte" ref="A6:D13" headerRowCount="1" totalsRowCount="0" totalsRowShown="0">
  <x:tableColumns count="4">
    <x:tableColumn id="1" name="Person"/>
    <x:tableColumn id="2" name="Rolle"/>
    <x:tableColumn id="3" name="Organisation / Kontakt"/>
    <x:tableColumn id="4" name="Anschrif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teiligungsangaben" displayName="Beteiligungsangaben" ref="A17:D21" headerRowCount="1" totalsRowCount="0" totalsRowShown="0">
  <x:tableColumns count="4">
    <x:tableColumn id="1" name="Anteilseigner / Kontrollperson"/>
    <x:tableColumn id="2" name="Gesellschaft"/>
    <x:tableColumn id="3" name="Anteil"/>
    <x:tableColumn id="4" name="Quelle und Aussage der Unterl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ronologie" displayName="Chronologie" ref="A6:D11" headerRowCount="1" totalsRowCount="0" totalsRowShown="0">
  <x:tableColumns count="4">
    <x:tableColumn id="1" name="Datum"/>
    <x:tableColumn id="2" name="Ereignis"/>
    <x:tableColumn id="3" name="Beleg-ID"/>
    <x:tableColumn id="4" name="Ergänzung nach Sicht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3ec310026e43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9ef8fa16674f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63823b34704f51" /><Relationship Type="http://schemas.openxmlformats.org/officeDocument/2006/relationships/table" Target="/xl/tables/table4.xml" Id="R045a5b844a824d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7faa44bb44342b1" /></Relationships>
</file>

<file path=xl/worksheets/sheet1.xml><?xml version="1.0" encoding="utf-8"?>
<x:worksheet xmlns:x="http://schemas.openxmlformats.org/spreadsheetml/2006/main">
  <x:sheetPr>
    <x:tabColor rgb="FF253A4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1" hidden="0" customWidth="1"/>
    <x:col min="3" max="3" width="18" hidden="0" customWidth="1"/>
    <x:col min="4" max="4" width="66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Beträge nach Nachweisstand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 t="str">
        <x:v>Fall</x:v>
      </x:c>
      <x:c r="B4" s="2" t="str">
        <x:v>aml-kanzlei-grundstueck-berlin</x:v>
      </x:c>
      <x:c r="C4" s="2"/>
      <x:c r="D4" s="2"/>
    </x:row>
    <x:row r="5" ht="24" customHeight="1">
      <x:c r="A5" s="2" t="str">
        <x:v>Bearbeitungsstand</x:v>
      </x:c>
      <x:c r="B5" s="5" t="n">
        <x:v>46303</x:v>
      </x:c>
      <x:c r="C5" s="2"/>
      <x:c r="D5" s="2"/>
    </x:row>
    <x:row r="6" ht="24" customHeight="1">
      <x:c r="A6" s="2"/>
      <x:c r="B6" s="2"/>
      <x:c r="C6" s="2"/>
      <x:c r="D6" s="2"/>
    </x:row>
    <x:row r="7" ht="34" customHeight="1">
      <x:c r="A7" s="9" t="str">
        <x:v>Betragsart</x:v>
      </x:c>
      <x:c r="B7" s="9" t="str">
        <x:v>Betrag EUR</x:v>
      </x:c>
      <x:c r="C7" s="9" t="str">
        <x:v>Positionen</x:v>
      </x:c>
      <x:c r="D7" s="9" t="str">
        <x:v>Aussagegrenze</x:v>
      </x:c>
    </x:row>
    <x:row r="8" ht="63" customHeight="1">
      <x:c r="A8" s="10" t="str">
        <x:v>Vertragssoll</x:v>
      </x:c>
      <x:c r="B8" s="12" t="n">
        <x:f>IF(C8=0,"keine Angabe",SUMIFS('Zahlungen'!$C$7:$C$10,'Zahlungen'!$D$7:$D$10,A8))</x:f>
        <x:v>1280000</x:v>
      </x:c>
      <x:c r="C8" s="13" t="n">
        <x:f>COUNTIFS('Zahlungen'!$D$7:$D$10,A8)</x:f>
        <x:v>1</x:v>
      </x:c>
      <x:c r="D8" s="10" t="str">
        <x:v>Verpflichtung aus Vertrag oder Entwurf. Keine zusätzliche Zahlung.</x:v>
      </x:c>
    </x:row>
    <x:row r="9" ht="63" customHeight="1">
      <x:c r="A9" s="10" t="str">
        <x:v>Kassenbeleg</x:v>
      </x:c>
      <x:c r="B9" s="12" t="str">
        <x:f>IF(C9=0,"keine Angabe",SUMIFS('Zahlungen'!$C$7:$C$10,'Zahlungen'!$D$7:$D$10,A9))</x:f>
        <x:v>keine Angabe</x:v>
      </x:c>
      <x:c r="C9" s="13" t="n">
        <x:f>COUNTIFS('Zahlungen'!$D$7:$D$10,A9)</x:f>
        <x:v>0</x:v>
      </x:c>
      <x:c r="D9" s="10" t="str">
        <x:v>Belegt ist die im Kassenbeleg beschriebene Annahme. Herkunft und Befugnis bleiben gesonderte Fragen.</x:v>
      </x:c>
    </x:row>
    <x:row r="10" ht="63" customHeight="1">
      <x:c r="A10" s="10" t="str">
        <x:v>Bankabgang</x:v>
      </x:c>
      <x:c r="B10" s="12" t="str">
        <x:f>IF(C10=0,"keine Angabe",SUMIFS('Zahlungen'!$C$7:$C$10,'Zahlungen'!$D$7:$D$10,A10))</x:f>
        <x:v>keine Angabe</x:v>
      </x:c>
      <x:c r="C10" s="13" t="n">
        <x:f>COUNTIFS('Zahlungen'!$D$7:$D$10,A10)</x:f>
        <x:v>0</x:v>
      </x:c>
      <x:c r="D10" s="10" t="str">
        <x:v>Belegt ist der Abgang laut Unterlage. Der Eingang beim Empfänger ist damit noch nicht bestätigt.</x:v>
      </x:c>
    </x:row>
    <x:row r="11" ht="63" customHeight="1">
      <x:c r="A11" s="10" t="str">
        <x:v>Planwert</x:v>
      </x:c>
      <x:c r="B11" s="12" t="n">
        <x:f>IF(C11=0,"keine Angabe",SUMIFS('Zahlungen'!$C$7:$C$10,'Zahlungen'!$D$7:$D$10,A11))</x:f>
        <x:v>1280000</x:v>
      </x:c>
      <x:c r="C11" s="13" t="n">
        <x:f>COUNTIFS('Zahlungen'!$D$7:$D$10,A11)</x:f>
        <x:v>3</x:v>
      </x:c>
      <x:c r="D11" s="10" t="str">
        <x:v>Angekündigt oder bedingt. Zum Bearbeitungsstand nicht als erfolgte Zahlung gezählt.</x:v>
      </x:c>
    </x:row>
    <x:row r="12" ht="63" customHeight="1">
      <x:c r="A12" s="10" t="str">
        <x:v>Behauptung</x:v>
      </x:c>
      <x:c r="B12" s="12" t="str">
        <x:f>IF(C12=0,"keine Angabe",SUMIFS('Zahlungen'!$C$7:$C$10,'Zahlungen'!$D$7:$D$10,A12))</x:f>
        <x:v>keine Angabe</x:v>
      </x:c>
      <x:c r="C12" s="13" t="n">
        <x:f>COUNTIFS('Zahlungen'!$D$7:$D$10,A12)</x:f>
        <x:v>0</x:v>
      </x:c>
      <x:c r="D12" s="10" t="str">
        <x:v>Widersprüchliche oder noch unbestätigte Angabe. Keine bestätigte Kaufpreisleistung.</x:v>
      </x:c>
    </x:row>
    <x:row r="13" ht="24" customHeight="1">
      <x:c r="A13" s="2"/>
      <x:c r="B13" s="2"/>
      <x:c r="C13" s="2"/>
      <x:c r="D13" s="2"/>
    </x:row>
    <x:row r="14" ht="24" customHeight="1">
      <x:c r="A14" s="2"/>
      <x:c r="B14" s="2"/>
      <x:c r="C14" s="2"/>
      <x:c r="D14" s="2"/>
    </x:row>
    <x:row r="15" ht="24" customHeight="1">
      <x:c r="A15" s="14" t="str">
        <x:v>Bearbeitungsfragen</x:v>
      </x:c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23" customHeight="1">
      <x:c r="A17" s="2" t="str">
        <x:v>1. Welche wirtschaftlich Berechtigten ergeben sich nach Prüfung der gesamten Kette und zusätzlicher Kontrolle?</x:v>
      </x:c>
      <x:c r="B17" s="2"/>
      <x:c r="C17" s="2"/>
      <x:c r="D17" s="2"/>
    </x:row>
    <x:row r="18" ht="23" customHeight="1">
      <x:c r="A18" s="2"/>
      <x:c r="B18" s="2"/>
      <x:c r="C18" s="2"/>
      <x:c r="D18" s="2"/>
    </x:row>
    <x:row r="19" ht="24" customHeight="1">
      <x:c r="A19" s="2"/>
      <x:c r="B19" s="2"/>
      <x:c r="C19" s="2"/>
      <x:c r="D19" s="2"/>
    </x:row>
    <x:row r="20" ht="23" customHeight="1">
      <x:c r="A20" s="2" t="str">
        <x:v>2. Wie sind der Registerstand und die neuere Gesellschafterübersicht zeitlich zu erklären?</x:v>
      </x:c>
      <x:c r="B20" s="2"/>
      <x:c r="C20" s="2"/>
      <x:c r="D20" s="2"/>
    </x:row>
    <x:row r="21" ht="23" customHeight="1">
      <x:c r="A21" s="2"/>
      <x:c r="B21" s="2"/>
      <x:c r="C21" s="2"/>
      <x:c r="D21" s="2"/>
    </x:row>
    <x:row r="22" ht="24" customHeight="1">
      <x:c r="A22" s="2"/>
      <x:c r="B22" s="2"/>
      <x:c r="C22" s="2"/>
      <x:c r="D22" s="2"/>
    </x:row>
    <x:row r="23" ht="23" customHeight="1">
      <x:c r="A23" s="2" t="str">
        <x:v>3. Welcher Amtsträgerbezug ist nachweisbar und welche zusätzlichen Tatsachen fehlen?</x:v>
      </x:c>
      <x:c r="B23" s="2"/>
      <x:c r="C23" s="2"/>
      <x:c r="D23" s="2"/>
    </x:row>
    <x:row r="24" ht="23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3" customHeight="1">
      <x:c r="A26" s="2" t="str">
        <x:v>4. Welche Information stammt aus der Transaktionsorganisation und welche ausschließlich aus vertraulicher Rechtsberatung?</x:v>
      </x:c>
      <x:c r="B26" s="2"/>
      <x:c r="C26" s="2"/>
      <x:c r="D26" s="2"/>
    </x:row>
    <x:row r="27" ht="23" customHeight="1">
      <x:c r="A27" s="2"/>
      <x:c r="B27" s="2"/>
      <x:c r="C27" s="2"/>
      <x:c r="D27" s="2"/>
    </x:row>
    <x:row r="28" ht="24" customHeight="1">
      <x:c r="A28" s="2"/>
      <x:c r="B28" s="2"/>
      <x:c r="C28" s="2"/>
      <x:c r="D28" s="2"/>
    </x:row>
    <x:row r="29" ht="23" customHeight="1">
      <x:c r="A29" s="2" t="str">
        <x:v>5. Wie unterscheiden sich Kaufpreisdeckung und Herkunft der Eigenmittel?</x:v>
      </x:c>
      <x:c r="B29" s="2"/>
      <x:c r="C29" s="2"/>
      <x:c r="D29" s="2"/>
    </x:row>
    <x:row r="30" ht="23" customHeight="1">
      <x:c r="A30" s="2"/>
      <x:c r="B30" s="2"/>
      <x:c r="C30" s="2"/>
      <x:c r="D30" s="2"/>
    </x:row>
    <x:row r="31" ht="24" customHeight="1">
      <x:c r="A31" s="2"/>
      <x:c r="B31" s="2"/>
      <x:c r="C31" s="2"/>
      <x:c r="D31" s="2"/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 t="str">
        <x:v>Betragsarten nicht addieren. Vertragssoll und Teilbeträge überschneiden sich.</x:v>
      </x:c>
      <x:c r="B34" s="2"/>
      <x:c r="C34" s="2"/>
      <x:c r="D34" s="2"/>
    </x:row>
    <x:row r="35" ht="24" customHeight="1">
      <x:c r="A35" s="2" t="str">
        <x:v>Beleg-IDs verweisen auf die Originaldateien. Keine rechtliche Bewertung in dieser Übersicht.</x:v>
      </x:c>
      <x:c r="B35" s="2"/>
      <x:c r="C35" s="2"/>
      <x:c r="D35" s="2"/>
    </x:row>
    <x:row r="36" ht="24" customHeight="1">
      <x:c r="A36" s="2"/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24" customHeight="1">
      <x:c r="A38" s="2"/>
      <x:c r="B38" s="2"/>
      <x:c r="C38" s="2"/>
      <x:c r="D38" s="2"/>
    </x:row>
  </x:sheetData>
  <x:pageMargins left="0.7" right="0.7" top="0.75" bottom="0.75" header="0.3" footer="0.3"/>
  <x:tableParts count="1">
    <x:tablePart xmlns:r="http://schemas.openxmlformats.org/officeDocument/2006/relationships" r:id="R703ec310026e43a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24" hidden="0" customWidth="1"/>
    <x:col min="5" max="5" width="45" hidden="0" customWidth="1"/>
    <x:col min="6" max="6" width="42" hidden="0" customWidth="1"/>
    <x:col min="7" max="7" width="42" hidden="0" customWidth="1"/>
    <x:col min="8" max="8" width="18" hidden="0" customWidth="1"/>
    <x:col min="9" max="9" width="6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Zahlungsangaben und Belege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9" t="str">
        <x:v>Vorgang-ID</x:v>
      </x:c>
      <x:c r="B6" s="9" t="str">
        <x:v>Datum</x:v>
      </x:c>
      <x:c r="C6" s="9" t="str">
        <x:v>Betrag EUR</x:v>
      </x:c>
      <x:c r="D6" s="9" t="str">
        <x:v>Betragsart</x:v>
      </x:c>
      <x:c r="E6" s="9" t="str">
        <x:v>Nachweisstand laut Unterlage</x:v>
      </x:c>
      <x:c r="F6" s="9" t="str">
        <x:v>Zahler / Leistender</x:v>
      </x:c>
      <x:c r="G6" s="9" t="str">
        <x:v>Empfänger</x:v>
      </x:c>
      <x:c r="H6" s="9" t="str">
        <x:v>Beleg-ID</x:v>
      </x:c>
      <x:c r="I6" s="9" t="str">
        <x:v>Zuordnung</x:v>
      </x:c>
    </x:row>
    <x:row r="7" ht="80" customHeight="1">
      <x:c r="A7" s="10" t="str">
        <x:v>K-T01</x:v>
      </x:c>
      <x:c r="B7" s="11" t="n">
        <x:v>46294</x:v>
      </x:c>
      <x:c r="C7" s="12" t="n">
        <x:v>1280000</x:v>
      </x:c>
      <x:c r="D7" s="13" t="str">
        <x:v>Vertragssoll</x:v>
      </x:c>
      <x:c r="E7" s="10" t="str">
        <x:v>Kaufpreis im Entwurf</x:v>
      </x:c>
      <x:c r="F7" s="10" t="str">
        <x:v>Hofbogen Immobilien GmbH</x:v>
      </x:c>
      <x:c r="G7" s="10" t="str">
        <x:v>Kunigunde Töpfer</x:v>
      </x:c>
      <x:c r="H7" s="10" t="str">
        <x:v>K-P01</x:v>
      </x:c>
      <x:c r="I7" s="10" t="str">
        <x:v>Noch keine Fälligkeit oder Zahlung bestätigt.</x:v>
      </x:c>
    </x:row>
    <x:row r="8" ht="80" customHeight="1">
      <x:c r="A8" s="10" t="str">
        <x:v>K-T02</x:v>
      </x:c>
      <x:c r="B8" s="11" t="n">
        <x:v>46297</x:v>
      </x:c>
      <x:c r="C8" s="12" t="n">
        <x:v>850000</x:v>
      </x:c>
      <x:c r="D8" s="13" t="str">
        <x:v>Planwert</x:v>
      </x:c>
      <x:c r="E8" s="10" t="str">
        <x:v>Finanzierungszusage mit Bedingungen</x:v>
      </x:c>
      <x:c r="F8" s="10" t="str">
        <x:v>Modellbank Stadtbogen</x:v>
      </x:c>
      <x:c r="G8" s="10" t="str">
        <x:v>Hofbogen Immobilien GmbH</x:v>
      </x:c>
      <x:c r="H8" s="10" t="str">
        <x:v>K-P05</x:v>
      </x:c>
      <x:c r="I8" s="10" t="str">
        <x:v>Darlehen; Valutierung nicht belegt.</x:v>
      </x:c>
    </x:row>
    <x:row r="9" ht="80" customHeight="1">
      <x:c r="A9" s="10" t="str">
        <x:v>K-T03</x:v>
      </x:c>
      <x:c r="B9" s="11" t="n">
        <x:v>46297</x:v>
      </x:c>
      <x:c r="C9" s="12" t="n">
        <x:v>330000</x:v>
      </x:c>
      <x:c r="D9" s="13" t="str">
        <x:v>Planwert</x:v>
      </x:c>
      <x:c r="E9" s="10" t="str">
        <x:v>Eigenmittel angekündigt</x:v>
      </x:c>
      <x:c r="F9" s="10" t="str">
        <x:v>Atelier Horizonte Lda</x:v>
      </x:c>
      <x:c r="G9" s="10" t="str">
        <x:v>Hofbogen Immobilien GmbH</x:v>
      </x:c>
      <x:c r="H9" s="10" t="str">
        <x:v>K-P06</x:v>
      </x:c>
      <x:c r="I9" s="10" t="str">
        <x:v>Gesellschafterdarlehen angekündigt; Herkunft nicht durch Kontobewegung belegt.</x:v>
      </x:c>
    </x:row>
    <x:row r="10" ht="80" customHeight="1">
      <x:c r="A10" s="10" t="str">
        <x:v>K-T04</x:v>
      </x:c>
      <x:c r="B10" s="11" t="n">
        <x:v>46297</x:v>
      </x:c>
      <x:c r="C10" s="12" t="n">
        <x:v>100000</x:v>
      </x:c>
      <x:c r="D10" s="13" t="str">
        <x:v>Planwert</x:v>
      </x:c>
      <x:c r="E10" s="10" t="str">
        <x:v>Eigenmittel angekündigt</x:v>
      </x:c>
      <x:c r="F10" s="10" t="str">
        <x:v>Liv Morgenroth</x:v>
      </x:c>
      <x:c r="G10" s="10" t="str">
        <x:v>Hofbogen Immobilien GmbH</x:v>
      </x:c>
      <x:c r="H10" s="10" t="str">
        <x:v>K-E05</x:v>
      </x:c>
      <x:c r="I10" s="10" t="str">
        <x:v>Privates Darlehen; Auszahlung nicht belegt.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</x:sheetData>
  <x:pageMargins left="0.7" right="0.7" top="0.75" bottom="0.75" header="0.3" footer="0.3"/>
  <x:tableParts count="1">
    <x:tablePart xmlns:r="http://schemas.openxmlformats.org/officeDocument/2006/relationships" r:id="R9c9ef8fa16674f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43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Ansprechpartner und Beteiligungen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/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9" t="str">
        <x:v>Person</x:v>
      </x:c>
      <x:c r="B6" s="9" t="str">
        <x:v>Rolle</x:v>
      </x:c>
      <x:c r="C6" s="9" t="str">
        <x:v>Organisation / Kontakt</x:v>
      </x:c>
      <x:c r="D6" s="9" t="str">
        <x:v>Anschrift</x:v>
      </x:c>
    </x:row>
    <x:row r="7" ht="68" customHeight="1">
      <x:c r="A7" s="10" t="str">
        <x:v>Dr. Samira Seidel</x:v>
      </x:c>
      <x:c r="B7" s="10" t="str">
        <x:v>Rechtsanwältin und Geldwäschebeauftragte</x:v>
      </x:c>
      <x:c r="C7" s="10" t="str">
        <x:v>Seidel Kern Rechtsanwälte
samira.seidel@seidel-kern.example</x:v>
      </x:c>
      <x:c r="D7" s="10" t="str">
        <x:v>Papiermühlenplatz 8, 10997 Berlin</x:v>
      </x:c>
    </x:row>
    <x:row r="8" ht="68" customHeight="1">
      <x:c r="A8" s="10" t="str">
        <x:v>Korbinian Kern</x:v>
      </x:c>
      <x:c r="B8" s="10" t="str">
        <x:v>Rechtsanwalt und Mandatspartner</x:v>
      </x:c>
      <x:c r="C8" s="10" t="str">
        <x:v>Seidel Kern Rechtsanwälte
korbinian.kern@seidel-kern.example</x:v>
      </x:c>
      <x:c r="D8" s="10" t="str">
        <x:v>Papiermühlenplatz 8, 10997 Berlin</x:v>
      </x:c>
    </x:row>
    <x:row r="9" ht="68" customHeight="1">
      <x:c r="A9" s="10" t="str">
        <x:v>Liv Morgenroth</x:v>
      </x:c>
      <x:c r="B9" s="10" t="str">
        <x:v>Geschäftsführerin</x:v>
      </x:c>
      <x:c r="C9" s="10" t="str">
        <x:v>Hofbogen Immobilien GmbH
liv.morgenroth@hofbogen.example</x:v>
      </x:c>
      <x:c r="D9" s="10" t="str">
        <x:v>Hofbogen 17, 10997 Berlin</x:v>
      </x:c>
    </x:row>
    <x:row r="10" ht="68" customHeight="1">
      <x:c r="A10" s="10" t="str">
        <x:v>Tanja Klee</x:v>
      </x:c>
      <x:c r="B10" s="10" t="str">
        <x:v>Assistenz der Käuferin</x:v>
      </x:c>
      <x:c r="C10" s="10" t="str">
        <x:v>Hofbogen Immobilien GmbH
tanja.klee@hofbogen.example</x:v>
      </x:c>
      <x:c r="D10" s="10" t="str">
        <x:v>Hofbogen 17, 10997 Berlin</x:v>
      </x:c>
    </x:row>
    <x:row r="11" ht="68" customHeight="1">
      <x:c r="A11" s="10" t="str">
        <x:v>Rafael Luz</x:v>
      </x:c>
      <x:c r="B11" s="10" t="str">
        <x:v>Bevollmächtigter der Holding</x:v>
      </x:c>
      <x:c r="C11" s="10" t="str">
        <x:v>Atelier Horizonte Lda
rafael.luz@horizonte-holding.example</x:v>
      </x:c>
      <x:c r="D11" s="10" t="str">
        <x:v>Rua da Oficina 28, 1100-421 Lisboa, Portugal</x:v>
      </x:c>
    </x:row>
    <x:row r="12" ht="68" customHeight="1">
      <x:c r="A12" s="10" t="str">
        <x:v>Kunigunde Töpfer</x:v>
      </x:c>
      <x:c r="B12" s="10" t="str">
        <x:v>Verkäuferin</x:v>
      </x:c>
      <x:c r="C12" s="10" t="str">
        <x:v>Privat
kunigunde.toepfer@hofpost.example</x:v>
      </x:c>
      <x:c r="D12" s="10" t="str">
        <x:v>Kranichbogen 9, 12555 Berlin</x:v>
      </x:c>
    </x:row>
    <x:row r="13" ht="68" customHeight="1">
      <x:c r="A13" s="10" t="str">
        <x:v>Dr. Arvid Beck</x:v>
      </x:c>
      <x:c r="B13" s="10" t="str">
        <x:v>Notar des Kaufvertrags</x:v>
      </x:c>
      <x:c r="C13" s="10" t="str">
        <x:v>Notariat Beck
post@notariat-beck.example</x:v>
      </x:c>
      <x:c r="D13" s="10" t="str">
        <x:v>Buchbinderplatz 11, 10179 Berlin</x:v>
      </x:c>
    </x:row>
    <x:row r="14" ht="24" customHeight="1">
      <x:c r="A14" s="2"/>
      <x:c r="B14" s="2"/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34" customHeight="1">
      <x:c r="A17" s="9" t="str">
        <x:v>Anteilseigner / Kontrollperson</x:v>
      </x:c>
      <x:c r="B17" s="9" t="str">
        <x:v>Gesellschaft</x:v>
      </x:c>
      <x:c r="C17" s="9" t="str">
        <x:v>Anteil</x:v>
      </x:c>
      <x:c r="D17" s="9" t="str">
        <x:v>Quelle und Aussage der Unterlage</x:v>
      </x:c>
    </x:row>
    <x:row r="18" ht="78" customHeight="1">
      <x:c r="A18" s="10" t="str">
        <x:v>Atelier Horizonte Lda</x:v>
      </x:c>
      <x:c r="B18" s="10" t="str">
        <x:v>Hofbogen Immobilien GmbH</x:v>
      </x:c>
      <x:c r="C18" s="15" t="n">
        <x:v>0.6</x:v>
      </x:c>
      <x:c r="D18" s="10" t="str">
        <x:v>K-P02
Aktuelle Beteiligung laut Gesellschafterübersicht vom 01.09.2026.</x:v>
      </x:c>
    </x:row>
    <x:row r="19" ht="78" customHeight="1">
      <x:c r="A19" s="10" t="str">
        <x:v>Liv Morgenroth</x:v>
      </x:c>
      <x:c r="B19" s="10" t="str">
        <x:v>Hofbogen Immobilien GmbH</x:v>
      </x:c>
      <x:c r="C19" s="15" t="n">
        <x:v>0.4</x:v>
      </x:c>
      <x:c r="D19" s="10" t="str">
        <x:v>K-P02
Direkte Beteiligung; keine abweichenden Sonderrechte bekannt.</x:v>
      </x:c>
    </x:row>
    <x:row r="20" ht="78" customHeight="1">
      <x:c r="A20" s="10" t="str">
        <x:v>Leonor Vale</x:v>
      </x:c>
      <x:c r="B20" s="10" t="str">
        <x:v>Atelier Horizonte Lda</x:v>
      </x:c>
      <x:c r="C20" s="15" t="n">
        <x:v>0.6</x:v>
      </x:c>
      <x:c r="D20" s="10" t="str">
        <x:v>K-P03
Abweichend vom deutschen Transparenzregisterabruf; fiktive EU-Amtsträgerin laut offengelegtem Hinweis.</x:v>
      </x:c>
    </x:row>
    <x:row r="21" ht="78" customHeight="1">
      <x:c r="A21" s="10" t="str">
        <x:v>Nuno Vale</x:v>
      </x:c>
      <x:c r="B21" s="10" t="str">
        <x:v>Atelier Horizonte Lda</x:v>
      </x:c>
      <x:c r="C21" s="15" t="n">
        <x:v>0.4</x:v>
      </x:c>
      <x:c r="D21" s="10" t="str">
        <x:v>K-P03
Bruder von Leonor Vale; Identität und Kontrollrechte noch zu verifizieren.</x:v>
      </x:c>
    </x:row>
    <x:row r="22" ht="24" customHeight="1">
      <x:c r="A22" s="2"/>
      <x:c r="B22" s="2"/>
      <x:c r="C22" s="2"/>
      <x:c r="D22" s="2"/>
    </x:row>
    <x:row r="23" ht="24" customHeight="1">
      <x:c r="A23" s="2"/>
      <x:c r="B23" s="2"/>
      <x:c r="C23" s="2"/>
      <x:c r="D23" s="2"/>
    </x:row>
    <x:row r="24" ht="24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24" customHeight="1">
      <x:c r="A28" s="2"/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/>
      <x:c r="B30" s="2"/>
      <x:c r="C30" s="2"/>
      <x:c r="D30" s="2"/>
    </x:row>
    <x:row r="31" ht="24" customHeight="1">
      <x:c r="A31" s="2"/>
      <x:c r="B31" s="2"/>
      <x:c r="C31" s="2"/>
      <x:c r="D31" s="2"/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  <x:row r="36" ht="24" customHeight="1">
      <x:c r="A36" s="2"/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24" customHeight="1">
      <x:c r="A38" s="2"/>
      <x:c r="B38" s="2"/>
      <x:c r="C38" s="2"/>
      <x:c r="D38" s="2"/>
    </x:row>
    <x:row r="39" ht="24" customHeight="1">
      <x:c r="A39" s="2"/>
      <x:c r="B39" s="2"/>
      <x:c r="C39" s="2"/>
      <x:c r="D39" s="2"/>
    </x:row>
    <x:row r="40" ht="24" customHeight="1">
      <x:c r="A40" s="2"/>
      <x:c r="B40" s="2"/>
      <x:c r="C40" s="2"/>
      <x:c r="D40" s="2"/>
    </x:row>
  </x:sheetData>
  <x:pageMargins left="0.7" right="0.7" top="0.75" bottom="0.75" header="0.3" footer="0.3"/>
  <x:tableParts count="2">
    <x:tablePart xmlns:r="http://schemas.openxmlformats.org/officeDocument/2006/relationships" r:id="R2c63823b34704f51"/>
    <x:tablePart xmlns:r="http://schemas.openxmlformats.org/officeDocument/2006/relationships" r:id="R045a5b844a824dc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84" hidden="0" customWidth="1"/>
    <x:col min="3" max="3" width="20" hidden="0" customWidth="1"/>
    <x:col min="4" max="4" width="42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Chronologie und offene Fragen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/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9" t="str">
        <x:v>Datum</x:v>
      </x:c>
      <x:c r="B6" s="9" t="str">
        <x:v>Ereignis</x:v>
      </x:c>
      <x:c r="C6" s="9" t="str">
        <x:v>Beleg-ID</x:v>
      </x:c>
      <x:c r="D6" s="9" t="str">
        <x:v>Ergänzung nach Sichtung</x:v>
      </x:c>
    </x:row>
    <x:row r="7" ht="63" customHeight="1">
      <x:c r="A7" s="16" t="n">
        <x:v>46287</x:v>
      </x:c>
      <x:c r="B7" s="10" t="str">
        <x:v>Transaktionsbegleitung einschließlich Prüfung des Kaufvertrags und Organisation der Unterlagen angefragt.</x:v>
      </x:c>
      <x:c r="C7" s="10" t="str">
        <x:v>K-E01</x:v>
      </x:c>
      <x:c r="D7" s="17"/>
    </x:row>
    <x:row r="8" ht="63" customHeight="1">
      <x:c r="A8" s="16" t="n">
        <x:v>46294</x:v>
      </x:c>
      <x:c r="B8" s="10" t="str">
        <x:v>Kaufvertragsentwurf über 1.28 Mio. EUR geht ein.</x:v>
      </x:c>
      <x:c r="C8" s="10" t="str">
        <x:v>K-P01</x:v>
      </x:c>
      <x:c r="D8" s="17"/>
    </x:row>
    <x:row r="9" ht="63" customHeight="1">
      <x:c r="A9" s="16" t="n">
        <x:v>46296</x:v>
      </x:c>
      <x:c r="B9" s="10" t="str">
        <x:v>Registerabruf nennt noch Rafael Luz; neue Holdingübersicht nennt Leonor und Nuno Vale.</x:v>
      </x:c>
      <x:c r="C9" s="10" t="str">
        <x:v>K-P04</x:v>
      </x:c>
      <x:c r="D9" s="17"/>
    </x:row>
    <x:row r="10" ht="63" customHeight="1">
      <x:c r="A10" s="16" t="n">
        <x:v>46301</x:v>
      </x:c>
      <x:c r="B10" s="10" t="str">
        <x:v>Amtsträgerhinweis wird von Rafael Luz übermittelt; Namensgleichheit und Amt sind noch nicht unabhängig geprüft.</x:v>
      </x:c>
      <x:c r="C10" s="10" t="str">
        <x:v>K-P07</x:v>
      </x:c>
      <x:c r="D10" s="17"/>
    </x:row>
    <x:row r="11" ht="63" customHeight="1">
      <x:c r="A11" s="16" t="n">
        <x:v>46302</x:v>
      </x:c>
      <x:c r="B11" s="10" t="str">
        <x:v>Getrennte vertrauliche Rechtsberatungsnotiz gelangt in den abgeschotteten Bereich der Akte.</x:v>
      </x:c>
      <x:c r="C11" s="10" t="str">
        <x:v>K-P08</x:v>
      </x:c>
      <x:c r="D11" s="17"/>
    </x:row>
    <x:row r="12" ht="24" customHeight="1">
      <x:c r="A12" s="2"/>
      <x:c r="B12" s="2"/>
      <x:c r="C12" s="2"/>
      <x:c r="D12" s="2"/>
    </x:row>
    <x:row r="13" ht="24" customHeight="1">
      <x:c r="A13" s="2"/>
      <x:c r="B13" s="2"/>
      <x:c r="C13" s="2"/>
      <x:c r="D13" s="2"/>
    </x:row>
    <x:row r="14" ht="24" customHeight="1">
      <x:c r="A14" s="2" t="str">
        <x:v>Gelbe Felder sind für eigene Ergänzungen bestimmt. Quellenangaben bleiben erhalten.</x:v>
      </x:c>
      <x:c r="B14" s="2"/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24" customHeight="1">
      <x:c r="A19" s="2"/>
      <x:c r="B19" s="2"/>
      <x:c r="C19" s="2"/>
      <x:c r="D19" s="2"/>
    </x:row>
    <x:row r="20" ht="24" customHeight="1">
      <x:c r="A20" s="2"/>
      <x:c r="B20" s="2"/>
      <x:c r="C20" s="2"/>
      <x:c r="D20" s="2"/>
    </x:row>
    <x:row r="21" ht="24" customHeight="1">
      <x:c r="A21" s="2"/>
      <x:c r="B21" s="2"/>
      <x:c r="C21" s="2"/>
      <x:c r="D21" s="2"/>
    </x:row>
    <x:row r="22" ht="24" customHeight="1">
      <x:c r="A22" s="2"/>
      <x:c r="B22" s="2"/>
      <x:c r="C22" s="2"/>
      <x:c r="D22" s="2"/>
    </x:row>
    <x:row r="23" ht="24" customHeight="1">
      <x:c r="A23" s="2"/>
      <x:c r="B23" s="2"/>
      <x:c r="C23" s="2"/>
      <x:c r="D23" s="2"/>
    </x:row>
    <x:row r="24" ht="24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24" customHeight="1">
      <x:c r="A28" s="2"/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/>
      <x:c r="B30" s="2"/>
      <x:c r="C30" s="2"/>
      <x:c r="D30" s="2"/>
    </x:row>
    <x:row r="31" ht="24" customHeight="1">
      <x:c r="A31" s="2"/>
      <x:c r="B31" s="2"/>
      <x:c r="C31" s="2"/>
      <x:c r="D31" s="2"/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</x:sheetData>
  <x:pageMargins left="0.7" right="0.7" top="0.75" bottom="0.75" header="0.3" footer="0.3"/>
  <x:tableParts count="1">
    <x:tablePart xmlns:r="http://schemas.openxmlformats.org/officeDocument/2006/relationships" r:id="Re7faa44bb44342b1"/>
  </x:tableParts>
</x:worksheet>
</file>