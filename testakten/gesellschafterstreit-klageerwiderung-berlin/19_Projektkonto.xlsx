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b05580b0f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ktkonto" sheetId="1" r:id="Rb0114886db60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yyyy-mm-dd"/>
  </x:numFmts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8ED"/>
      </x:patternFill>
    </x:fill>
    <x:fill>
      <x:patternFill patternType="solid">
        <x:fgColor rgb="FFF1F2F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b2ae2868c4285" /><Relationship Type="http://schemas.openxmlformats.org/officeDocument/2006/relationships/theme" Target="/xl/theme/theme1.xml" Id="Rdc9dbe7489544ea5" /><Relationship Type="http://schemas.openxmlformats.org/officeDocument/2006/relationships/sharedStrings" Target="/xl/sharedStrings.xml" Id="R4f434182d9ae48ae" /><Relationship Type="http://schemas.openxmlformats.org/officeDocument/2006/relationships/worksheet" Target="/xl/worksheets/sheet1.xml" Id="Rb0114886db60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33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8" customHeight="1">
      <x:c r="A2" s="3" t="str">
        <x:v>Spreebogen Lichtwerk GmbH – Projektkonto August 2026</x:v>
      </x:c>
      <x:c r="B2" s="2"/>
      <x:c r="C2" s="2"/>
      <x:c r="D2" s="2"/>
      <x:c r="E2" s="2"/>
      <x:c r="F2" s="2"/>
    </x:row>
    <x:row r="3" ht="20" customHeight="1">
      <x:c r="A3" s="2" t="str">
        <x:v>Ottilie Heller, 31.08.2026. Beträge in EUR. Quelle: Bankexport B-0818 bis B-0831.</x:v>
      </x:c>
      <x:c r="B3" s="2"/>
      <x:c r="C3" s="2"/>
      <x:c r="D3" s="2"/>
      <x:c r="E3" s="2"/>
      <x:c r="F3" s="2"/>
    </x:row>
    <x:row r="4" ht="8" customHeight="1">
      <x:c r="A4" s="2"/>
      <x:c r="B4" s="2"/>
      <x:c r="C4" s="2"/>
      <x:c r="D4" s="2"/>
      <x:c r="E4" s="2"/>
      <x:c r="F4" s="2"/>
    </x:row>
    <x:row r="5" ht="34" customHeight="1">
      <x:c r="A5" s="7" t="str">
        <x:v>Buchungstag</x:v>
      </x:c>
      <x:c r="B5" s="7" t="str">
        <x:v>Beleg</x:v>
      </x:c>
      <x:c r="C5" s="7" t="str">
        <x:v>Zweck</x:v>
      </x:c>
      <x:c r="D5" s="7" t="str">
        <x:v>Eingang EUR</x:v>
      </x:c>
      <x:c r="E5" s="7" t="str">
        <x:v>Ausgang EUR</x:v>
      </x:c>
      <x:c r="F5" s="7" t="str">
        <x:v>Saldo EUR</x:v>
      </x:c>
    </x:row>
    <x:row r="6" ht="20" customHeight="1">
      <x:c r="A6" s="12" t="n">
        <x:v>46251</x:v>
      </x:c>
      <x:c r="B6" s="2" t="str">
        <x:v>Übertrag</x:v>
      </x:c>
      <x:c r="C6" s="2" t="str">
        <x:v>Bestand vor Buchungen</x:v>
      </x:c>
      <x:c r="D6" s="13"/>
      <x:c r="E6" s="13"/>
      <x:c r="F6" s="13" t="n">
        <x:v>32000</x:v>
      </x:c>
    </x:row>
    <x:row r="7" ht="20" customHeight="1">
      <x:c r="A7" s="12" t="n">
        <x:v>46252</x:v>
      </x:c>
      <x:c r="B7" s="2" t="str">
        <x:v>B-0818</x:v>
      </x:c>
      <x:c r="C7" s="2" t="str">
        <x:v>Lindenhof Abschlag</x:v>
      </x:c>
      <x:c r="D7" s="13" t="n">
        <x:v>25000</x:v>
      </x:c>
      <x:c r="E7" s="13" t="n">
        <x:v>0</x:v>
      </x:c>
      <x:c r="F7" s="13" t="n">
        <x:f>F6+D7-E7</x:f>
        <x:v>57000</x:v>
      </x:c>
    </x:row>
    <x:row r="8" ht="20" customHeight="1">
      <x:c r="A8" s="12" t="n">
        <x:v>46253</x:v>
      </x:c>
      <x:c r="B8" s="2" t="str">
        <x:v>B-0819</x:v>
      </x:c>
      <x:c r="C8" s="2" t="str">
        <x:v>Werkstattmiete</x:v>
      </x:c>
      <x:c r="D8" s="13" t="n">
        <x:v>0</x:v>
      </x:c>
      <x:c r="E8" s="13" t="n">
        <x:v>2400</x:v>
      </x:c>
      <x:c r="F8" s="13" t="n">
        <x:f>F7+D8-E8</x:f>
        <x:v>54600</x:v>
      </x:c>
    </x:row>
    <x:row r="9" ht="20" customHeight="1">
      <x:c r="A9" s="12" t="n">
        <x:v>46255</x:v>
      </x:c>
      <x:c r="B9" s="2" t="str">
        <x:v>B-0821</x:v>
      </x:c>
      <x:c r="C9" s="2" t="str">
        <x:v>SBS-2026-084</x:v>
      </x:c>
      <x:c r="D9" s="13" t="n">
        <x:v>0</x:v>
      </x:c>
      <x:c r="E9" s="13" t="n">
        <x:v>18400</x:v>
      </x:c>
      <x:c r="F9" s="13" t="n">
        <x:f>F8+D9-E9</x:f>
        <x:v>36200</x:v>
      </x:c>
    </x:row>
    <x:row r="10" ht="20" customHeight="1">
      <x:c r="A10" s="12" t="n">
        <x:v>46258</x:v>
      </x:c>
      <x:c r="B10" s="2" t="str">
        <x:v>B-0824</x:v>
      </x:c>
      <x:c r="C10" s="2" t="str">
        <x:v>Kabelkontor</x:v>
      </x:c>
      <x:c r="D10" s="13" t="n">
        <x:v>0</x:v>
      </x:c>
      <x:c r="E10" s="13" t="n">
        <x:v>1250</x:v>
      </x:c>
      <x:c r="F10" s="13" t="n">
        <x:f>F9+D10-E10</x:f>
        <x:v>34950</x:v>
      </x:c>
    </x:row>
    <x:row r="11" ht="20" customHeight="1">
      <x:c r="A11" s="12" t="n">
        <x:v>46262</x:v>
      </x:c>
      <x:c r="B11" s="2" t="str">
        <x:v>B-0828</x:v>
      </x:c>
      <x:c r="C11" s="2" t="str">
        <x:v>Lindenhof Restzahlung</x:v>
      </x:c>
      <x:c r="D11" s="13" t="n">
        <x:v>12000</x:v>
      </x:c>
      <x:c r="E11" s="13" t="n">
        <x:v>0</x:v>
      </x:c>
      <x:c r="F11" s="13" t="n">
        <x:f>F10+D11-E11</x:f>
        <x:v>46950</x:v>
      </x:c>
    </x:row>
    <x:row r="12" ht="20" customHeight="1">
      <x:c r="A12" s="12" t="n">
        <x:v>46265</x:v>
      </x:c>
      <x:c r="B12" s="2" t="str">
        <x:v>B-0831</x:v>
      </x:c>
      <x:c r="C12" s="2" t="str">
        <x:v>Löhne Sammelauftrag</x:v>
      </x:c>
      <x:c r="D12" s="13" t="n">
        <x:v>0</x:v>
      </x:c>
      <x:c r="E12" s="13" t="n">
        <x:v>18750</x:v>
      </x:c>
      <x:c r="F12" s="13" t="n">
        <x:f>F11+D12-E12</x:f>
        <x:v>28200</x:v>
      </x:c>
    </x:row>
    <x:row r="13" ht="20" customHeight="1">
      <x:c r="A13" s="2"/>
      <x:c r="B13" s="2"/>
      <x:c r="C13" s="2"/>
      <x:c r="D13" s="13"/>
      <x:c r="E13" s="13"/>
      <x:c r="F13" s="13"/>
    </x:row>
    <x:row r="14" ht="29" customHeight="1">
      <x:c r="A14" s="2"/>
      <x:c r="B14" s="2"/>
      <x:c r="C14" s="9" t="str">
        <x:v>Summe / Schlussbestand</x:v>
      </x:c>
      <x:c r="D14" s="14" t="n">
        <x:f>SUM(D7:D12)</x:f>
        <x:v>37000</x:v>
      </x:c>
      <x:c r="E14" s="14" t="n">
        <x:f>SUM(E7:E12)</x:f>
        <x:v>40800</x:v>
      </x:c>
      <x:c r="F14" s="14" t="n">
        <x:f>F12</x:f>
        <x:v>28200</x:v>
      </x:c>
    </x:row>
    <x:row r="15" ht="20" customHeight="1">
      <x:c r="A15" s="2"/>
      <x:c r="B15" s="2"/>
      <x:c r="C15" s="2"/>
      <x:c r="D15" s="2"/>
      <x:c r="E15" s="2"/>
      <x:c r="F15" s="2"/>
    </x:row>
    <x:row r="16" ht="20" customHeight="1">
      <x:c r="A16" s="2"/>
      <x:c r="B16" s="2"/>
      <x:c r="C16" s="2"/>
      <x:c r="D16" s="2"/>
      <x:c r="E16" s="2"/>
      <x:c r="F16" s="2"/>
    </x:row>
    <x:row r="17" ht="20" customHeight="1">
      <x:c r="A17" s="2" t="str">
        <x:v>Erfassung: Projektkonto, nicht sämtliche Konten der Gesellschaft.</x:v>
      </x:c>
      <x:c r="B17" s="2"/>
      <x:c r="C17" s="2"/>
      <x:c r="D17" s="2"/>
      <x:c r="E17" s="2"/>
      <x:c r="F17" s="2"/>
    </x:row>
    <x:row r="18" ht="20" customHeight="1">
      <x:c r="A18" s="2" t="str">
        <x:v>Das Geschäftsführerentgelt September läuft über das Lohnkonto und steht hier nicht.</x:v>
      </x:c>
      <x:c r="B18" s="2"/>
      <x:c r="C18" s="2"/>
      <x:c r="D18" s="2"/>
      <x:c r="E18" s="2"/>
      <x:c r="F18" s="2"/>
    </x:row>
    <x:row r="19" ht="20" customHeight="1">
      <x:c r="A19" s="2" t="str">
        <x:v>Ausführungszeit B-0821: 21.08.2026, 07:43 Uhr, Nutzerkennung GS.</x:v>
      </x:c>
      <x:c r="B19" s="2"/>
      <x:c r="C19" s="2"/>
      <x:c r="D19" s="2"/>
      <x:c r="E19" s="2"/>
      <x:c r="F19" s="2"/>
    </x:row>
    <x:row r="20" ht="20" customHeight="1">
      <x:c r="A20" s="2" t="str">
        <x:v>Die Liste dokumentiert Zahlungen, keine Bestell- oder Gesellschafterfreigaben.</x:v>
      </x:c>
      <x:c r="B20" s="2"/>
      <x:c r="C20" s="2"/>
      <x:c r="D20" s="2"/>
      <x:c r="E20" s="2"/>
      <x:c r="F20" s="2"/>
    </x:row>
    <x:row r="21" ht="20" customHeight="1">
      <x:c r="A21" s="2"/>
      <x:c r="B21" s="2"/>
      <x:c r="C21" s="2"/>
      <x:c r="D21" s="2"/>
      <x:c r="E21" s="2"/>
      <x:c r="F21" s="2"/>
    </x:row>
  </x:sheetData>
  <x:pageMargins left="0.7" right="0.7" top="0.75" bottom="0.75" header="0.3" footer="0.3"/>
  <x:pageSetup paperSize="9" orientation="landscape" fitToWidth="1" fitToHeight="1"/>
</x:worksheet>
</file>