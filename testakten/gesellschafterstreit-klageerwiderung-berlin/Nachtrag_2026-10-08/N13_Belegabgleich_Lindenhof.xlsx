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d437514f246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hnung" sheetId="1" r:id="R20193f82f6684290"/>
    <x:sheet xmlns:r="http://schemas.openxmlformats.org/officeDocument/2006/relationships" name="Geräte" sheetId="2" r:id="R4a5a148c64d84e14"/>
  </x:sheets>
  <x:definedNames>
    <x:definedName name="_xlnm.Print_Area" localSheetId="0">'Rechnung'!$A$1:$E$29</x:definedName>
    <x:definedName name="_xlnm.Print_Area" localSheetId="1">'Geräte'!$A$1:$E$15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&quot;-&quot;"/>
    <x:numFmt numFmtId="201" formatCode="0.0%"/>
    <x:numFmt numFmtId="202" formatCode="0"/>
  </x:numFmts>
  <x:fonts count="9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sz val="10"/>
      <x:color rgb="FF5A5A5A"/>
      <x:name val="Arial"/>
    </x:font>
    <x:font>
      <x:b/>
      <x:sz val="10"/>
      <x:color rgb="FF222222"/>
      <x:name val="Arial"/>
    </x:font>
    <x:font>
      <x:sz val="10"/>
      <x:color rgb="FF111111"/>
      <x:name val="Arial"/>
    </x:font>
    <x:font>
      <x:b/>
      <x:sz val="10"/>
      <x:color rgb="FF111111"/>
      <x:name val="Arial"/>
    </x:font>
    <x:font>
      <x:sz val="10"/>
      <x:color rgb="FF1D4ED8"/>
      <x:name val="Arial"/>
    </x:font>
    <x:font>
      <x:sz val="10"/>
      <x:color rgb="FF4B556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4E8ED"/>
      </x:patternFill>
    </x:fill>
    <x:fill>
      <x:patternFill patternType="solid">
        <x:fgColor rgb="FFF1F3F5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929AA5"/>
      </x:top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/>
    </x:xf>
    <x:xf numFmtId="200" fontId="6" fillId="3" borderId="1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6" fillId="3" borderId="1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0" fontId="4" fillId="2" borderId="0" xfId="0" applyNumberFormat="1" applyFont="1" applyFill="1" applyBorder="1" applyAlignment="1">
      <x:alignment horizontal="center" vertical="center" wrapText="1"/>
    </x:xf>
    <x:xf numFmtId="200" fontId="4" fillId="2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3f4f59ee1b4340" /><Relationship Type="http://schemas.openxmlformats.org/officeDocument/2006/relationships/theme" Target="/xl/theme/theme1.xml" Id="R35a40eb3dd594f4a" /><Relationship Type="http://schemas.openxmlformats.org/officeDocument/2006/relationships/sharedStrings" Target="/xl/sharedStrings.xml" Id="R74f1a8a6cbb24925" /><Relationship Type="http://schemas.openxmlformats.org/officeDocument/2006/relationships/worksheet" Target="/xl/worksheets/sheet1.xml" Id="R20193f82f6684290" /><Relationship Type="http://schemas.openxmlformats.org/officeDocument/2006/relationships/worksheet" Target="/xl/worksheets/sheet2.xml" Id="R4a5a148c64d84e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7" hidden="0" customWidth="1"/>
    <x:col min="3" max="3" width="17" hidden="0" customWidth="1"/>
    <x:col min="4" max="4" width="17" hidden="0" customWidth="1"/>
    <x:col min="5" max="5" width="46" hidden="0" customWidth="1"/>
  </x:cols>
  <x:sheetData>
    <x:row r="1" ht="6" customHeight="1">
      <x:c r="A1" s="2"/>
      <x:c r="B1" s="2"/>
      <x:c r="C1" s="2"/>
      <x:c r="D1" s="2"/>
      <x:c r="E1" s="2"/>
    </x:row>
    <x:row r="2" ht="30" customHeight="1">
      <x:c r="A2" s="3" t="str">
        <x:v>Lindenhof Rechnung und rechnerische Varianten</x:v>
      </x:c>
      <x:c r="B2" s="2"/>
      <x:c r="C2" s="2"/>
      <x:c r="D2" s="2"/>
      <x:c r="E2" s="2"/>
    </x:row>
    <x:row r="3" ht="21" customHeight="1">
      <x:c r="A3" s="4" t="str">
        <x:v>Stand 08.10.2026. Blaue Zahlen: Eingaben. Schwarze Zahlen: Formeln. Belegpfade relativ zum Ordner.</x:v>
      </x:c>
      <x:c r="B3" s="2"/>
      <x:c r="C3" s="2"/>
      <x:c r="D3" s="2"/>
      <x:c r="E3" s="2"/>
    </x:row>
    <x:row r="4" ht="6" customHeight="1">
      <x:c r="A4" s="2"/>
      <x:c r="B4" s="2"/>
      <x:c r="C4" s="2"/>
      <x:c r="D4" s="2"/>
      <x:c r="E4" s="2"/>
    </x:row>
    <x:row r="5" ht="26" customHeight="1">
      <x:c r="A5" s="8" t="str">
        <x:v>Position</x:v>
      </x:c>
      <x:c r="B5" s="8" t="str">
        <x:v>Netto EUR</x:v>
      </x:c>
      <x:c r="C5" s="8" t="str">
        <x:v>USt Satz</x:v>
      </x:c>
      <x:c r="D5" s="8" t="str">
        <x:v>Rechnerisch brutto EUR</x:v>
      </x:c>
      <x:c r="E5" s="8" t="str">
        <x:v>Beleg</x:v>
      </x:c>
    </x:row>
    <x:row r="6" ht="18" customHeight="1">
      <x:c r="A6" s="2" t="str">
        <x:v>Sechs Geräte</x:v>
      </x:c>
      <x:c r="B6" s="25" t="n">
        <x:v>11700</x:v>
      </x:c>
      <x:c r="C6" s="31" t="n">
        <x:v>0.19</x:v>
      </x:c>
      <x:c r="D6" s="26" t="n">
        <x:f>ROUND(B6*(1+C6),2)</x:f>
        <x:v>13923</x:v>
      </x:c>
      <x:c r="E6" s="33" t="str">
        <x:v>../10_Rechnung_SBS_K6.pdf</x:v>
      </x:c>
    </x:row>
    <x:row r="7" ht="18" customHeight="1">
      <x:c r="A7" s="2" t="str">
        <x:v>Kabel und Stecker</x:v>
      </x:c>
      <x:c r="B7" s="25" t="n">
        <x:v>1900</x:v>
      </x:c>
      <x:c r="C7" s="31" t="n">
        <x:v>0.19</x:v>
      </x:c>
      <x:c r="D7" s="26" t="n">
        <x:f>ROUND(B7*(1+C7),2)</x:f>
        <x:v>2261</x:v>
      </x:c>
      <x:c r="E7" s="33" t="str">
        <x:v>../10_Rechnung_SBS_K6.pdf</x:v>
      </x:c>
    </x:row>
    <x:row r="8" ht="18" customHeight="1">
      <x:c r="A8" s="2" t="str">
        <x:v>Transport und Einbauhilfe</x:v>
      </x:c>
      <x:c r="B8" s="25" t="n">
        <x:v>1000</x:v>
      </x:c>
      <x:c r="C8" s="31" t="n">
        <x:v>0.19</x:v>
      </x:c>
      <x:c r="D8" s="26" t="n">
        <x:f>ROUND(B8*(1+C8),2)</x:f>
        <x:v>1190</x:v>
      </x:c>
      <x:c r="E8" s="33" t="str">
        <x:v>../10_Rechnung_SBS_K6.pdf</x:v>
      </x:c>
    </x:row>
    <x:row r="9" ht="18" customHeight="1">
      <x:c r="A9" s="2" t="str">
        <x:v>Express und Zusatzarbeit</x:v>
      </x:c>
      <x:c r="B9" s="25" t="n">
        <x:v>862.18</x:v>
      </x:c>
      <x:c r="C9" s="31" t="n">
        <x:v>0.19</x:v>
      </x:c>
      <x:c r="D9" s="26" t="n">
        <x:f>ROUND(B9*(1+C9),2)</x:f>
        <x:v>1025.99</x:v>
      </x:c>
      <x:c r="E9" s="33" t="str">
        <x:v>../10_Rechnung_SBS_K6.pdf</x:v>
      </x:c>
    </x:row>
    <x:row r="10" ht="24" customHeight="1">
      <x:c r="A10" s="14" t="str">
        <x:v>Rechnung laut Beleg</x:v>
      </x:c>
      <x:c r="B10" s="24" t="n">
        <x:f>SUM(B6:B9)</x:f>
        <x:v>15462.18</x:v>
      </x:c>
      <x:c r="C10" s="14"/>
      <x:c r="D10" s="24" t="n">
        <x:f>B10+B11</x:f>
        <x:v>18400</x:v>
      </x:c>
      <x:c r="E10" s="34"/>
    </x:row>
    <x:row r="11" ht="18" customHeight="1">
      <x:c r="A11" s="2" t="str">
        <x:v>Umsatzsteuer laut Beleg</x:v>
      </x:c>
      <x:c r="B11" s="25" t="n">
        <x:v>2937.82</x:v>
      </x:c>
      <x:c r="C11" s="2"/>
      <x:c r="D11" s="23"/>
      <x:c r="E11" s="33" t="str">
        <x:v>../10_Rechnung_SBS_K6.pdf</x:v>
      </x:c>
    </x:row>
    <x:row r="12" ht="18" customHeight="1">
      <x:c r="A12" s="2" t="str">
        <x:v>USt rechnerisch / Differenz</x:v>
      </x:c>
      <x:c r="B12" s="26" t="n">
        <x:f>ROUND(B10*C6,2)</x:f>
        <x:v>2937.81</x:v>
      </x:c>
      <x:c r="C12" s="2"/>
      <x:c r="D12" s="26" t="n">
        <x:f>B11-B12</x:f>
        <x:v>0.010000000000218279</x:v>
      </x:c>
      <x:c r="E12" s="33"/>
    </x:row>
    <x:row r="13" ht="18" customHeight="1">
      <x:c r="A13" s="2" t="str">
        <x:v>Erste Preisangabe brutto EUR</x:v>
      </x:c>
      <x:c r="B13" s="25" t="n">
        <x:v>14900</x:v>
      </x:c>
      <x:c r="C13" s="2"/>
      <x:c r="D13" s="23"/>
      <x:c r="E13" s="33" t="str">
        <x:v>../11_Nachrichten_K7.txt</x:v>
      </x:c>
    </x:row>
    <x:row r="14" ht="18" customHeight="1">
      <x:c r="A14" s="2" t="str">
        <x:v>Differenz zur Endrechnung</x:v>
      </x:c>
      <x:c r="B14" s="23"/>
      <x:c r="C14" s="2"/>
      <x:c r="D14" s="26" t="n">
        <x:f>D10-B13</x:f>
        <x:v>3500</x:v>
      </x:c>
      <x:c r="E14" s="33"/>
    </x:row>
    <x:row r="15" ht="6" customHeight="1">
      <x:c r="A15" s="2"/>
      <x:c r="B15" s="2"/>
      <x:c r="C15" s="2"/>
      <x:c r="D15" s="23"/>
      <x:c r="E15" s="33"/>
    </x:row>
    <x:row r="16" ht="6" customHeight="1">
      <x:c r="A16" s="2"/>
      <x:c r="B16" s="2"/>
      <x:c r="C16" s="2"/>
      <x:c r="D16" s="23"/>
      <x:c r="E16" s="33"/>
    </x:row>
    <x:row r="17" ht="26" customHeight="1">
      <x:c r="A17" s="8" t="str">
        <x:v>Rechenannahme</x:v>
      </x:c>
      <x:c r="B17" s="8" t="str">
        <x:v>Eingabe</x:v>
      </x:c>
      <x:c r="C17" s="8" t="str">
        <x:v>Einheit</x:v>
      </x:c>
      <x:c r="D17" s="28" t="str">
        <x:v>Ergebnis EUR</x:v>
      </x:c>
      <x:c r="E17" s="8" t="str">
        <x:v>Quelle und Bedeutung</x:v>
      </x:c>
    </x:row>
    <x:row r="18" ht="30" customHeight="1">
      <x:c r="A18" s="2" t="str">
        <x:v>Zu untersuchende Stückzahl</x:v>
      </x:c>
      <x:c r="B18" s="32" t="n">
        <x:v>1</x:v>
      </x:c>
      <x:c r="C18" s="2" t="str">
        <x:v>Stück</x:v>
      </x:c>
      <x:c r="D18" s="23"/>
      <x:c r="E18" s="33" t="str">
        <x:v>Annahme für Preisrechnung; kein Befund</x:v>
      </x:c>
    </x:row>
    <x:row r="19" ht="30" customHeight="1">
      <x:c r="A19" s="2" t="str">
        <x:v>Rechnungspreis je Gerät</x:v>
      </x:c>
      <x:c r="B19" s="25" t="n">
        <x:v>1950</x:v>
      </x:c>
      <x:c r="C19" s="2" t="str">
        <x:v>EUR netto</x:v>
      </x:c>
      <x:c r="D19" s="23"/>
      <x:c r="E19" s="33" t="str">
        <x:v>../10_Rechnung_SBS_K6.pdf</x:v>
      </x:c>
    </x:row>
    <x:row r="20" ht="30" customHeight="1">
      <x:c r="A20" s="2" t="str">
        <x:v>Umsatzsteuersatz</x:v>
      </x:c>
      <x:c r="B20" s="31" t="n">
        <x:v>0.19</x:v>
      </x:c>
      <x:c r="C20" s="2" t="str">
        <x:v>Satz</x:v>
      </x:c>
      <x:c r="D20" s="23"/>
      <x:c r="E20" s="33" t="str">
        <x:v>../10_Rechnung_SBS_K6.pdf</x:v>
      </x:c>
    </x:row>
    <x:row r="21" ht="18" customHeight="1">
      <x:c r="A21" s="2" t="str">
        <x:v>Rechenbetrag netto</x:v>
      </x:c>
      <x:c r="B21" s="2"/>
      <x:c r="C21" s="2"/>
      <x:c r="D21" s="26" t="n">
        <x:f>B18*B19</x:f>
        <x:v>1950</x:v>
      </x:c>
      <x:c r="E21" s="33"/>
    </x:row>
    <x:row r="22" ht="18" customHeight="1">
      <x:c r="A22" s="2" t="str">
        <x:v>Rechenbetrag brutto</x:v>
      </x:c>
      <x:c r="B22" s="2"/>
      <x:c r="C22" s="2"/>
      <x:c r="D22" s="26" t="n">
        <x:f>ROUND(D21*(1+B20),2)</x:f>
        <x:v>2320.5</x:v>
      </x:c>
      <x:c r="E22" s="33"/>
    </x:row>
    <x:row r="23" ht="6" customHeight="1">
      <x:c r="A23" s="2"/>
      <x:c r="B23" s="2"/>
      <x:c r="C23" s="2"/>
      <x:c r="D23" s="2"/>
      <x:c r="E23" s="2"/>
    </x:row>
    <x:row r="24" ht="18" customHeight="1">
      <x:c r="A24" s="18" t="str">
        <x:v>Die Variante ist keine Gutschrift und kein festgestellter Zahlungsanspruch. Eingabe B18 ist frei änderbar.</x:v>
      </x:c>
      <x:c r="B24" s="2"/>
      <x:c r="C24" s="2"/>
      <x:c r="D24" s="2"/>
      <x:c r="E24" s="2"/>
    </x:row>
    <x:row r="25" ht="18" customHeight="1">
      <x:c r="A25" s="18" t="str">
        <x:v>Bankzahlung: 18.400 EUR am 21.08.2026, 07:43 Uhr; Quelle ../17_Bankprotokoll.csv, B-0821.</x:v>
      </x:c>
      <x:c r="B25" s="2"/>
      <x:c r="C25" s="2"/>
      <x:c r="D25" s="2"/>
      <x:c r="E25" s="2"/>
    </x:row>
    <x:row r="26" ht="18" customHeight="1">
      <x:c r="A26" s="18" t="str">
        <x:v>Eine Lieferung, interne Freigabe oder Genehmigung ergibt sich nicht allein aus der Bankzahlung.</x:v>
      </x:c>
      <x:c r="B26" s="2"/>
      <x:c r="C26" s="2"/>
      <x:c r="D26" s="2"/>
      <x:c r="E26" s="2"/>
    </x:row>
    <x:row r="27" ht="18" customHeight="1">
      <x:c r="A27" s="18" t="str">
        <x:v>N03_Seidel_Kalkulationsnachtrag.docx: 360 EUR Stunden und 502,18 EUR Rest sind Teile der Expressposition.</x:v>
      </x:c>
      <x:c r="B27" s="2"/>
      <x:c r="C27" s="2"/>
      <x:c r="D27" s="2"/>
      <x:c r="E27" s="2"/>
    </x:row>
    <x:row r="28" ht="18" customHeight="1">
      <x:c r="A28" s="18" t="str">
        <x:v>Die alte Preisangabe war brutto; sie wird nur mit der Brutto-Endrechnung verglichen.</x:v>
      </x:c>
      <x:c r="B28" s="2"/>
      <x:c r="C28" s="2"/>
      <x:c r="D28" s="2"/>
      <x:c r="E28" s="2"/>
    </x:row>
    <x:row r="29" ht="18" customHeight="1">
      <x:c r="A29" s="18" t="str">
        <x:v>D12: 0,01 EUR Abweichung zwischen USt laut Rechnung und 19-Prozent-Rechnung. Der Altbeleg bleibt unverändert.</x:v>
      </x:c>
      <x:c r="B29" s="2"/>
      <x:c r="C29" s="2"/>
      <x:c r="D29" s="2"/>
      <x:c r="E29" s="2"/>
    </x:row>
    <x:row r="30" ht="6" customHeight="1">
      <x:c r="A30" s="2"/>
      <x:c r="B30" s="2"/>
      <x:c r="C30" s="2"/>
      <x:c r="D30" s="2"/>
      <x:c r="E30" s="2"/>
    </x:row>
  </x:sheetData>
  <x:pageMargins left="0.28" right="0.28" top="0.35" bottom="0.35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26" hidden="0" customWidth="1"/>
    <x:col min="4" max="4" width="39" hidden="0" customWidth="1"/>
    <x:col min="5" max="5" width="40" hidden="0" customWidth="1"/>
  </x:cols>
  <x:sheetData>
    <x:row r="1" ht="6" customHeight="1">
      <x:c r="A1" s="2"/>
      <x:c r="B1" s="2"/>
      <x:c r="C1" s="2"/>
      <x:c r="D1" s="2"/>
      <x:c r="E1" s="2"/>
    </x:row>
    <x:row r="2" ht="30" customHeight="1">
      <x:c r="A2" s="3" t="str">
        <x:v>Lindenhof Gerätezuordnung nach späteren Aussagen</x:v>
      </x:c>
      <x:c r="B2" s="2"/>
      <x:c r="C2" s="2"/>
      <x:c r="D2" s="2"/>
      <x:c r="E2" s="2"/>
    </x:row>
    <x:row r="3" ht="21" customHeight="1">
      <x:c r="A3" s="4" t="str">
        <x:v>Stand 08.10.2026. Blaue Zahlen: Eingaben. Schwarze Zahlen: Formeln. Belegpfade relativ zum Ordner.</x:v>
      </x:c>
      <x:c r="B3" s="2"/>
      <x:c r="C3" s="2"/>
      <x:c r="D3" s="2"/>
      <x:c r="E3" s="2"/>
    </x:row>
    <x:row r="4" ht="6" customHeight="1">
      <x:c r="A4" s="2"/>
      <x:c r="B4" s="2"/>
      <x:c r="C4" s="2"/>
      <x:c r="D4" s="2"/>
      <x:c r="E4" s="2"/>
    </x:row>
    <x:row r="5" ht="26" customHeight="1">
      <x:c r="A5" s="8" t="str">
        <x:v>Pos.</x:v>
      </x:c>
      <x:c r="B5" s="8" t="str">
        <x:v>Seriennummer</x:v>
      </x:c>
      <x:c r="C5" s="8" t="str">
        <x:v>Zeitnaher Beleg</x:v>
      </x:c>
      <x:c r="D5" s="8" t="str">
        <x:v>Spätere Beobachtung</x:v>
      </x:c>
      <x:c r="E5" s="8" t="str">
        <x:v>Quelle</x:v>
      </x:c>
    </x:row>
    <x:row r="6" ht="42" customHeight="1">
      <x:c r="A6" s="35" t="n">
        <x:v>1</x:v>
      </x:c>
      <x:c r="B6" s="33" t="str">
        <x:v>L-402</x:v>
      </x:c>
      <x:c r="C6" s="33" t="str">
        <x:v>Wareneingang 24.08.</x:v>
      </x:c>
      <x:c r="D6" s="33" t="str">
        <x:v>Am 06.10. eingebaut gesehen</x:v>
      </x:c>
      <x:c r="E6" s="33" t="str">
        <x:v>../14_Wareneingang_Lindenhof.docx; N01_Ergaenzung_Brandt.docx</x:v>
      </x:c>
    </x:row>
    <x:row r="7" ht="42" customHeight="1">
      <x:c r="A7" s="35" t="n">
        <x:v>2</x:v>
      </x:c>
      <x:c r="B7" s="33" t="str">
        <x:v>L-407</x:v>
      </x:c>
      <x:c r="C7" s="33" t="str">
        <x:v>Wareneingang 24.08.</x:v>
      </x:c>
      <x:c r="D7" s="33" t="str">
        <x:v>Am 06.10. eingebaut gesehen</x:v>
      </x:c>
      <x:c r="E7" s="33" t="str">
        <x:v>../14_Wareneingang_Lindenhof.docx; N01_Ergaenzung_Brandt.docx</x:v>
      </x:c>
    </x:row>
    <x:row r="8" ht="42" customHeight="1">
      <x:c r="A8" s="35" t="n">
        <x:v>3</x:v>
      </x:c>
      <x:c r="B8" s="33" t="str">
        <x:v>L-411</x:v>
      </x:c>
      <x:c r="C8" s="33" t="str">
        <x:v>Wareneingang 24.08.</x:v>
      </x:c>
      <x:c r="D8" s="33" t="str">
        <x:v>Am 06.10. eingebaut gesehen</x:v>
      </x:c>
      <x:c r="E8" s="33" t="str">
        <x:v>../14_Wareneingang_Lindenhof.docx; N01_Ergaenzung_Brandt.docx</x:v>
      </x:c>
    </x:row>
    <x:row r="9" ht="42" customHeight="1">
      <x:c r="A9" s="35" t="n">
        <x:v>4</x:v>
      </x:c>
      <x:c r="B9" s="33" t="str">
        <x:v>L-419</x:v>
      </x:c>
      <x:c r="C9" s="33" t="str">
        <x:v>Wareneingang 24.08.</x:v>
      </x:c>
      <x:c r="D9" s="33" t="str">
        <x:v>Am 06.10. eingebaut gesehen</x:v>
      </x:c>
      <x:c r="E9" s="33" t="str">
        <x:v>../14_Wareneingang_Lindenhof.docx; N01_Ergaenzung_Brandt.docx</x:v>
      </x:c>
    </x:row>
    <x:row r="10" ht="42" customHeight="1">
      <x:c r="A10" s="35" t="n">
        <x:v>5</x:v>
      </x:c>
      <x:c r="B10" s="33" t="str">
        <x:v>L-433</x:v>
      </x:c>
      <x:c r="C10" s="33" t="str">
        <x:v>Notiz am 25.08. zum 22.08.</x:v>
      </x:c>
      <x:c r="D10" s="33" t="str">
        <x:v>Riedel nennt ein gesehenes Gerät</x:v>
      </x:c>
      <x:c r="E10" s="33" t="str">
        <x:v>N02_Betriebsbuch_Riedel.docx</x:v>
      </x:c>
    </x:row>
    <x:row r="11" ht="42" customHeight="1">
      <x:c r="A11" s="35" t="n">
        <x:v>6</x:v>
      </x:c>
      <x:c r="B11" s="33" t="str">
        <x:v>Zuordnung offen</x:v>
      </x:c>
      <x:c r="C11" s="33" t="str">
        <x:v>Rechnung nennt sechs Geräte</x:v>
      </x:c>
      <x:c r="D11" s="33" t="str">
        <x:v>L-427 war 2025 vorhanden; Platinenarbeit laut Seidel möglich</x:v>
      </x:c>
      <x:c r="E11" s="33" t="str">
        <x:v>N02_Betriebsbuch_Riedel.docx; N03_Seidel_Kalkulationsnachtrag.docx</x:v>
      </x:c>
    </x:row>
    <x:row r="12" ht="6" customHeight="1">
      <x:c r="A12" s="2"/>
      <x:c r="B12" s="2"/>
      <x:c r="C12" s="2"/>
      <x:c r="D12" s="2"/>
      <x:c r="E12" s="2"/>
    </x:row>
    <x:row r="13" ht="18" customHeight="1">
      <x:c r="A13" s="18" t="str">
        <x:v>Zahlungseingänge des Kunden über 37.000 EUR belegen den Gesamtauftrag, nicht sechs neu gelieferte Geräte.</x:v>
      </x:c>
      <x:c r="B13" s="2"/>
      <x:c r="C13" s="2"/>
      <x:c r="D13" s="2"/>
      <x:c r="E13" s="2"/>
    </x:row>
    <x:row r="14" ht="18" customHeight="1">
      <x:c r="A14" s="18" t="str">
        <x:v>Kontrollorte: Werkstatt am 24. August; Technikraum am 6. Oktober. Die Zeitpunkte sind nicht austauschbar.</x:v>
      </x:c>
      <x:c r="B14" s="2"/>
      <x:c r="C14" s="2"/>
      <x:c r="D14" s="2"/>
      <x:c r="E14" s="2"/>
    </x:row>
    <x:row r="15" ht="18" customHeight="1">
      <x:c r="A15" s="18" t="str">
        <x:v>Quellenpfade gelten relativ zu diesem Nachtragsordner. Die Erstbelege liegen eine Ebene darüber.</x:v>
      </x:c>
      <x:c r="B15" s="2"/>
      <x:c r="C15" s="2"/>
      <x:c r="D15" s="2"/>
      <x:c r="E15" s="2"/>
    </x:row>
    <x:row r="16" ht="6" customHeight="1">
      <x:c r="A16" s="2"/>
      <x:c r="B16" s="2"/>
      <x:c r="C16" s="2"/>
      <x:c r="D16" s="2"/>
      <x:c r="E16" s="2"/>
    </x:row>
    <x:row r="17" ht="6" customHeight="1">
      <x:c r="A17" s="2"/>
      <x:c r="B17" s="2"/>
      <x:c r="C17" s="2"/>
      <x:c r="D17" s="2"/>
      <x:c r="E17" s="2"/>
    </x:row>
  </x:sheetData>
  <x:pageMargins left="0.28" right="0.28" top="0.35" bottom="0.35" header="0.15" footer="0.15"/>
  <x:pageSetup paperSize="9" orientation="landscape" fitToWidth="1" fitToHeight="0"/>
</x:worksheet>
</file>