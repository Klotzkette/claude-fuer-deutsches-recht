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emeinschaft" sheetId="1" state="visible" r:id="rId3"/>
    <sheet name="Private_Meldungen" sheetId="2" state="visible" r:id="rId4"/>
    <sheet name="Verteilung_Arbeitsblat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<sst xmlns="http://schemas.openxmlformats.org/spreadsheetml/2006/main" count="37" uniqueCount="37">
  <si>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 xml:space="preserve">Position</t>
  </si>
  <si>
    <t xml:space="preserve">Netto EUR</t>
  </si>
  <si>
    <t xml:space="preserve">USt EUR</t>
  </si>
  <si>
    <t xml:space="preserve">Brutto EUR</t>
  </si>
  <si>
    <t xml:space="preserve">Stand</t>
  </si>
  <si>
    <t xml:space="preserve">Provisorische Sicherung</t>
  </si>
  <si>
    <t xml:space="preserve">Bezahlt 14.09.2026</t>
  </si>
  <si>
    <t xml:space="preserve">Rahmenreparatur</t>
  </si>
  <si>
    <t xml:space="preserve">Angebot OA-260916-12</t>
  </si>
  <si>
    <t xml:space="preserve">Zusätzliche Schließung</t>
  </si>
  <si>
    <t xml:space="preserve">Angebot SM-A-260916</t>
  </si>
  <si>
    <t xml:space="preserve">Summe Optionen</t>
  </si>
  <si>
    <t xml:space="preserve">Keine gemeinsame Beauftragung</t>
  </si>
  <si>
    <t xml:space="preserve">Gegenstand</t>
  </si>
  <si>
    <t xml:space="preserve">Person</t>
  </si>
  <si>
    <t xml:space="preserve">Kaufwert EUR</t>
  </si>
  <si>
    <t xml:space="preserve">Nachweis</t>
  </si>
  <si>
    <t xml:space="preserve">Versicherung</t>
  </si>
  <si>
    <t xml:space="preserve">E-Bike</t>
  </si>
  <si>
    <t xml:space="preserve">Sana Özdemir</t>
  </si>
  <si>
    <t xml:space="preserve">10_Kaufbeleg_E_Bike.docx</t>
  </si>
  <si>
    <t xml:space="preserve">Hausratprüfung läuft</t>
  </si>
  <si>
    <t xml:space="preserve">Kinderfahrrad</t>
  </si>
  <si>
    <t xml:space="preserve">Benedikt Brösel</t>
  </si>
  <si>
    <t xml:space="preserve">11_Kaufbeleg_Kinderfahrrad.docx</t>
  </si>
  <si>
    <t xml:space="preserve">Noch keine Meldung</t>
  </si>
  <si>
    <t xml:space="preserve">Werkzeug</t>
  </si>
  <si>
    <t xml:space="preserve">Yuna Albrecht</t>
  </si>
  <si>
    <t xml:space="preserve">Schätzung per E-Mail</t>
  </si>
  <si>
    <t xml:space="preserve">Noch offen</t>
  </si>
  <si>
    <t xml:space="preserve">Summe gemeldet</t>
  </si>
  <si>
    <t xml:space="preserve">Kein festgestellter Erstattungswert</t>
  </si>
  <si>
    <t xml:space="preserve">Wohnung</t>
  </si>
  <si>
    <t xml:space="preserve">MEA</t>
  </si>
  <si>
    <t xml:space="preserve">Betrag im Vergleich EUR</t>
  </si>
  <si>
    <t xml:space="preserve">Anteil nach MEA EUR</t>
  </si>
  <si>
    <t xml:space="preserve">Je Einheit EUR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</si>
</sst>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263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63641"/>
        <bgColor rgb="FF17263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2630"/>
      <rgbColor rgb="FF333300"/>
      <rgbColor rgb="FF993300"/>
      <rgbColor rgb="FF993366"/>
      <rgbColor rgb="FF333399"/>
      <rgbColor rgb="FF26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.11"/>
    <col collapsed="false" customWidth="true" hidden="false" outlineLevel="0" max="4" min="2" style="1" width="17.62"/>
    <col collapsed="false" customWidth="true" hidden="false" outlineLevel="0" max="5" min="5" style="1" width="37.03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4" hidden="false" customHeight="true" outlineLevel="0" collapsed="false">
      <c r="A2" s="3" t="s">
        <v>5</v>
      </c>
      <c r="B2" s="4" t="n">
        <v>200</v>
      </c>
      <c r="C2" s="4" t="n">
        <f aca="false">ROUND(B2*0.19,2)</f>
        <v>38</v>
      </c>
      <c r="D2" s="4" t="n">
        <f aca="false">B2+C2</f>
        <v>238</v>
      </c>
      <c r="E2" s="3" t="s">
        <v>6</v>
      </c>
    </row>
    <row r="3" customFormat="false" ht="24" hidden="false" customHeight="true" outlineLevel="0" collapsed="false">
      <c r="A3" s="3" t="s">
        <v>7</v>
      </c>
      <c r="B3" s="4" t="n">
        <v>600</v>
      </c>
      <c r="C3" s="4" t="n">
        <f aca="false">ROUND(B3*0.19,2)</f>
        <v>114</v>
      </c>
      <c r="D3" s="4" t="n">
        <f aca="false">B3+C3</f>
        <v>714</v>
      </c>
      <c r="E3" s="3" t="s">
        <v>8</v>
      </c>
    </row>
    <row r="4" customFormat="false" ht="24" hidden="false" customHeight="true" outlineLevel="0" collapsed="false">
      <c r="A4" s="3" t="s">
        <v>9</v>
      </c>
      <c r="B4" s="4" t="n">
        <v>1000</v>
      </c>
      <c r="C4" s="4" t="n">
        <f aca="false">ROUND(B4*0.19,2)</f>
        <v>190</v>
      </c>
      <c r="D4" s="4" t="n">
        <f aca="false">B4+C4</f>
        <v>1190</v>
      </c>
      <c r="E4" s="3" t="s">
        <v>10</v>
      </c>
    </row>
    <row r="5" customFormat="false" ht="38" hidden="false" customHeight="true" outlineLevel="0" collapsed="false">
      <c r="A5" s="3" t="s">
        <v>11</v>
      </c>
      <c r="B5" s="4" t="n">
        <f aca="false">SUM(B2:B4)</f>
        <v>1800</v>
      </c>
      <c r="C5" s="4" t="n">
        <f aca="false">SUM(C2:C4)</f>
        <v>342</v>
      </c>
      <c r="D5" s="4" t="n">
        <f aca="false">SUM(D2:D4)</f>
        <v>2142</v>
      </c>
      <c r="E5" s="3" t="s">
        <v>12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.56"/>
    <col collapsed="false" customWidth="true" hidden="false" outlineLevel="0" max="2" min="2" style="1" width="23.75"/>
    <col collapsed="false" customWidth="true" hidden="false" outlineLevel="0" max="3" min="3" style="1" width="18.38"/>
    <col collapsed="false" customWidth="true" hidden="false" outlineLevel="0" max="4" min="4" style="1" width="32.74"/>
    <col collapsed="false" customWidth="true" hidden="false" outlineLevel="0" max="5" min="5" style="1" width="25.56"/>
  </cols>
  <sheetData>
    <row r="1" customFormat="false" ht="36" hidden="false" customHeight="tru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customFormat="false" ht="38" hidden="false" customHeight="true" outlineLevel="0" collapsed="false">
      <c r="A2" s="3" t="s">
        <v>18</v>
      </c>
      <c r="B2" s="3" t="s">
        <v>19</v>
      </c>
      <c r="C2" s="4" t="n">
        <v>2299</v>
      </c>
      <c r="D2" s="3" t="s">
        <v>20</v>
      </c>
      <c r="E2" s="3" t="s">
        <v>21</v>
      </c>
    </row>
    <row r="3" customFormat="false" ht="38" hidden="false" customHeight="true" outlineLevel="0" collapsed="false">
      <c r="A3" s="3" t="s">
        <v>22</v>
      </c>
      <c r="B3" s="3" t="s">
        <v>23</v>
      </c>
      <c r="C3" s="4" t="n">
        <v>420</v>
      </c>
      <c r="D3" s="3" t="s">
        <v>24</v>
      </c>
      <c r="E3" s="3" t="s">
        <v>25</v>
      </c>
    </row>
    <row r="4" customFormat="false" ht="24" hidden="false" customHeight="true" outlineLevel="0" collapsed="false">
      <c r="A4" s="3" t="s">
        <v>26</v>
      </c>
      <c r="B4" s="3" t="s">
        <v>27</v>
      </c>
      <c r="C4" s="4" t="n">
        <v>180</v>
      </c>
      <c r="D4" s="3" t="s">
        <v>28</v>
      </c>
      <c r="E4" s="3" t="s">
        <v>29</v>
      </c>
    </row>
    <row r="5" customFormat="false" ht="38" hidden="false" customHeight="true" outlineLevel="0" collapsed="false">
      <c r="A5" s="3" t="s">
        <v>30</v>
      </c>
      <c r="B5" s="3"/>
      <c r="C5" s="4" t="n">
        <f aca="false">SUM(C2:C4)</f>
        <v>2899</v>
      </c>
      <c r="D5" s="3" t="s">
        <v>31</v>
      </c>
      <c r="E5" s="3"/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5" min="3" style="1" width="28"/>
  </cols>
  <sheetData>
    <row r="1" customFormat="false" ht="38" hidden="false" customHeight="true" outlineLevel="0" collapsed="false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</row>
    <row r="2" customFormat="false" ht="24" hidden="false" customHeight="true" outlineLevel="0" collapsed="false">
      <c r="A2" s="3" t="n">
        <v>1</v>
      </c>
      <c r="B2" s="5" t="n">
        <v>80</v>
      </c>
      <c r="C2" s="4" t="n">
        <v>714</v>
      </c>
      <c r="D2" s="4" t="n">
        <f aca="false">ROUND(C2*B2/1000,2)</f>
        <v>57.12</v>
      </c>
      <c r="E2" s="4" t="n">
        <f aca="false">C2/6</f>
        <v>119</v>
      </c>
    </row>
    <row r="3" customFormat="false" ht="24" hidden="false" customHeight="true" outlineLevel="0" collapsed="false">
      <c r="A3" s="3" t="n">
        <v>2</v>
      </c>
      <c r="B3" s="5" t="n">
        <v>120</v>
      </c>
      <c r="C3" s="4" t="n">
        <v>714</v>
      </c>
      <c r="D3" s="4" t="n">
        <f aca="false">ROUND(C3*B3/1000,2)</f>
        <v>85.68</v>
      </c>
      <c r="E3" s="4" t="n">
        <f aca="false">C3/6</f>
        <v>119</v>
      </c>
    </row>
    <row r="4" customFormat="false" ht="24" hidden="false" customHeight="true" outlineLevel="0" collapsed="false">
      <c r="A4" s="3" t="n">
        <v>3</v>
      </c>
      <c r="B4" s="5" t="n">
        <v>150</v>
      </c>
      <c r="C4" s="4" t="n">
        <v>714</v>
      </c>
      <c r="D4" s="4" t="n">
        <f aca="false">ROUND(C4*B4/1000,2)</f>
        <v>107.1</v>
      </c>
      <c r="E4" s="4" t="n">
        <f aca="false">C4/6</f>
        <v>119</v>
      </c>
    </row>
    <row r="5" customFormat="false" ht="24" hidden="false" customHeight="true" outlineLevel="0" collapsed="false">
      <c r="A5" s="3" t="n">
        <v>4</v>
      </c>
      <c r="B5" s="5" t="n">
        <v>180</v>
      </c>
      <c r="C5" s="4" t="n">
        <v>714</v>
      </c>
      <c r="D5" s="4" t="n">
        <f aca="false">ROUND(C5*B5/1000,2)</f>
        <v>128.52</v>
      </c>
      <c r="E5" s="4" t="n">
        <f aca="false">C5/6</f>
        <v>119</v>
      </c>
    </row>
    <row r="6" customFormat="false" ht="24" hidden="false" customHeight="true" outlineLevel="0" collapsed="false">
      <c r="A6" s="3" t="n">
        <v>5</v>
      </c>
      <c r="B6" s="5" t="n">
        <v>220</v>
      </c>
      <c r="C6" s="4" t="n">
        <v>714</v>
      </c>
      <c r="D6" s="4" t="n">
        <f aca="false">ROUND(C6*B6/1000,2)</f>
        <v>157.08</v>
      </c>
      <c r="E6" s="4" t="n">
        <f aca="false">C6/6</f>
        <v>119</v>
      </c>
    </row>
    <row r="7" customFormat="false" ht="24" hidden="false" customHeight="true" outlineLevel="0" collapsed="false">
      <c r="A7" s="3" t="n">
        <v>6</v>
      </c>
      <c r="B7" s="5" t="n">
        <v>250</v>
      </c>
      <c r="C7" s="4" t="n">
        <v>714</v>
      </c>
      <c r="D7" s="4" t="n">
        <f aca="false">ROUND(C7*B7/1000,2)</f>
        <v>178.5</v>
      </c>
      <c r="E7" s="4" t="n">
        <f aca="false">C7/6</f>
        <v>119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