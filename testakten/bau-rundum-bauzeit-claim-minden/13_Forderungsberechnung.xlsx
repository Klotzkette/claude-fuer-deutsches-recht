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7bc3e6e51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Z01" sheetId="1" r:id="R6dd868115358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.0%"/>
  </x:numFmts>
  <x:fonts count="4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4D46"/>
      </x:patternFill>
    </x:fill>
    <x:fill>
      <x:patternFill patternType="solid">
        <x:fgColor rgb="FFF1F3F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84fd7b35b4cf1" /><Relationship Type="http://schemas.openxmlformats.org/officeDocument/2006/relationships/theme" Target="/xl/theme/theme1.xml" Id="Rea3f91e354f24ccd" /><Relationship Type="http://schemas.openxmlformats.org/officeDocument/2006/relationships/sharedStrings" Target="/xl/sharedStrings.xml" Id="R79d08b550356472e" /><Relationship Type="http://schemas.openxmlformats.org/officeDocument/2006/relationships/worksheet" Target="/xl/worksheets/sheet1.xml" Id="R6dd868115358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5" hidden="0" customWidth="1"/>
    <ns0:col min="2" max="2" width="32" hidden="0" customWidth="1"/>
    <ns0:col min="3" max="3" width="13" hidden="0" customWidth="1"/>
    <ns0:col min="4" max="4" width="15" hidden="0" customWidth="1"/>
    <ns0:col min="5" max="5" width="17" hidden="0" customWidth="1"/>
    <ns0:col min="6" max="6" width="22" hidden="0" customWidth="1"/>
  </ns0:cols>
  <ns0:sheetData>
    <ns0:row r="2" ht="28" customHeight="1">
      <ns0:c r="A2" s="8" t="str">
        <ns0:v>Berechnung BZ01 des Auftragnehmers</ns0:v>
      </ns0:c>
      <ns0:c r="B2" s="8"/>
      <ns0:c r="C2" s="8"/>
      <ns0:c r="D2" s="8"/>
      <ns0:c r="E2" s="8"/>
      <ns0:c r="F2" s="8"/>
    </ns0:row>
    <ns0:row r="3" ht="28" customHeight="1">
      <ns0:c r="A3" s="6" t="str">
        <ns0:v>Porta Hallenbau / Stefan Köster | 2026-06-10</ns0:v>
      </ns0:c>
      <ns0:c r="B3" s="6"/>
      <ns0:c r="C3" s="6"/>
      <ns0:c r="D3" s="6"/>
      <ns0:c r="E3" s="6"/>
      <ns0:c r="F3" s="6"/>
    </ns0:row>
    <ns0:row r="4" ht="22" customHeight="1">
      <ns0:c r="A4" s="6"/>
      <ns0:c r="B4" s="6"/>
      <ns0:c r="C4" s="6"/>
      <ns0:c r="D4" s="6"/>
      <ns0:c r="E4" s="6"/>
      <ns0:c r="F4" s="6"/>
    </ns0:row>
    <ns0:row r="5" ht="38" customHeight="1">
      <ns0:c r="A5" s="10" t="str">
        <ns0:v>Kostenart</ns0:v>
      </ns0:c>
      <ns0:c r="B5" s="10" t="str">
        <ns0:v>Bezug</ns0:v>
      </ns0:c>
      <ns0:c r="C5" s="10" t="str">
        <ns0:v>Einheit</ns0:v>
      </ns0:c>
      <ns0:c r="D5" s="10" t="str">
        <ns0:v>Anzahl</ns0:v>
      </ns0:c>
      <ns0:c r="E5" s="10" t="str">
        <ns0:v>Satz netto EUR</ns0:v>
      </ns0:c>
      <ns0:c r="F5" s="10" t="str">
        <ns0:v>Betrag netto EUR</ns0:v>
      </ns0:c>
    </ns0:row>
    <ns0:row r="6" ht="22" customHeight="1">
      <ns0:c r="A6" s="11" t="str">
        <ns0:v>Mobilkran</ns0:v>
      </ns0:c>
      <ns0:c r="B6" s="11" t="str">
        <ns0:v>B01 und B02</ns0:v>
      </ns0:c>
      <ns0:c r="C6" s="11" t="str">
        <ns0:v>Tag</ns0:v>
      </ns0:c>
      <ns0:c r="D6" s="13" t="n">
        <ns0:v>20</ns0:v>
      </ns0:c>
      <ns0:c r="E6" s="13" t="n">
        <ns0:v>420</ns0:v>
      </ns0:c>
      <ns0:c r="F6" s="13" t="n">
        <ns0:f>ROUND(D6*E6,2)</ns0:f>
        <ns0:v>8400</ns0:v>
      </ns0:c>
    </ns0:row>
    <ns0:row r="7" ht="22" customHeight="1">
      <ns0:c r="A7" s="7" t="str">
        <ns0:v>Container</ns0:v>
      </ns0:c>
      <ns0:c r="B7" s="7" t="str">
        <ns0:v>B01 und B02</ns0:v>
      </ns0:c>
      <ns0:c r="C7" s="7" t="str">
        <ns0:v>Tag</ns0:v>
      </ns0:c>
      <ns0:c r="D7" s="14" t="n">
        <ns0:v>20</ns0:v>
      </ns0:c>
      <ns0:c r="E7" s="14" t="n">
        <ns0:v>90</ns0:v>
      </ns0:c>
      <ns0:c r="F7" s="14" t="n">
        <ns0:f>ROUND(D7*E7,2)</ns0:f>
        <ns0:v>1800</ns0:v>
      </ns0:c>
    </ns0:row>
    <ns0:row r="8" ht="22" customHeight="1">
      <ns0:c r="A8" s="11" t="str">
        <ns0:v>Bauleitung und Polier</ns0:v>
      </ns0:c>
      <ns0:c r="B8" s="11" t="str">
        <ns0:v>B01 und B02</ns0:v>
      </ns0:c>
      <ns0:c r="C8" s="11" t="str">
        <ns0:v>Tag</ns0:v>
      </ns0:c>
      <ns0:c r="D8" s="13" t="n">
        <ns0:v>20</ns0:v>
      </ns0:c>
      <ns0:c r="E8" s="13" t="n">
        <ns0:v>560</ns0:v>
      </ns0:c>
      <ns0:c r="F8" s="13" t="n">
        <ns0:f>ROUND(D8*E8,2)</ns0:f>
        <ns0:v>11200</ns0:v>
      </ns0:c>
    </ns0:row>
    <ns0:row r="9" ht="22" customHeight="1">
      <ns0:c r="A9" s="7" t="str">
        <ns0:v>Zaun und Einrichtung</ns0:v>
      </ns0:c>
      <ns0:c r="B9" s="7" t="str">
        <ns0:v>B01 und B02</ns0:v>
      </ns0:c>
      <ns0:c r="C9" s="7" t="str">
        <ns0:v>Tag</ns0:v>
      </ns0:c>
      <ns0:c r="D9" s="14" t="n">
        <ns0:v>20</ns0:v>
      </ns0:c>
      <ns0:c r="E9" s="14" t="n">
        <ns0:v>45</ns0:v>
      </ns0:c>
      <ns0:c r="F9" s="14" t="n">
        <ns0:f>ROUND(D9*E9,2)</ns0:f>
        <ns0:v>900</ns0:v>
      </ns0:c>
    </ns0:row>
    <ns0:row r="10" ht="22" customHeight="1">
      <ns0:c r="A10" s="11" t="str">
        <ns0:v>Zusatzschichten</ns0:v>
      </ns0:c>
      <ns0:c r="B10" s="11" t="str">
        <ns0:v>April</ns0:v>
      </ns0:c>
      <ns0:c r="C10" s="11" t="str">
        <ns0:v>h</ns0:v>
      </ns0:c>
      <ns0:c r="D10" s="13" t="n">
        <ns0:v>160</ns0:v>
      </ns0:c>
      <ns0:c r="E10" s="13" t="n">
        <ns0:v>60</ns0:v>
      </ns0:c>
      <ns0:c r="F10" s="13" t="n">
        <ns0:f>ROUND(D10*E10,2)</ns0:f>
        <ns0:v>9600</ns0:v>
      </ns0:c>
    </ns0:row>
    <ns0:row r="11" ht="22" customHeight="1">
      <ns0:c r="A11" s="7" t="str">
        <ns0:v>Tageskosten</ns0:v>
      </ns0:c>
      <ns0:c r="B11" s="7" t="str"/>
      <ns0:c r="C11" s="7" t="str"/>
      <ns0:c r="D11" s="14" t="str"/>
      <ns0:c r="E11" s="14" t="str"/>
      <ns0:c r="F11" s="14" t="n">
        <ns0:f>SUM(F6:F9)</ns0:f>
        <ns0:v>22300</ns0:v>
      </ns0:c>
    </ns0:row>
    <ns0:row r="12" ht="22" customHeight="1">
      <ns0:c r="A12" s="11" t="str">
        <ns0:v>Geschäftskosten</ns0:v>
      </ns0:c>
      <ns0:c r="B12" s="15" t="n">
        <ns0:v>0.08</ns0:v>
      </ns0:c>
      <ns0:c r="C12" s="11" t="str"/>
      <ns0:c r="D12" s="13" t="str"/>
      <ns0:c r="E12" s="13" t="str"/>
      <ns0:c r="F12" s="13" t="n">
        <ns0:f>ROUND(F11*B12,2)</ns0:f>
        <ns0:v>1784</ns0:v>
      </ns0:c>
    </ns0:row>
    <ns0:row r="13" ht="22" customHeight="1">
      <ns0:c r="A13" s="7" t="str">
        <ns0:v>Forderung netto</ns0:v>
      </ns0:c>
      <ns0:c r="B13" s="7" t="str"/>
      <ns0:c r="C13" s="7" t="str"/>
      <ns0:c r="D13" s="14" t="str"/>
      <ns0:c r="E13" s="14" t="str"/>
      <ns0:c r="F13" s="14" t="n">
        <ns0:f>F11+F10+F12</ns0:f>
        <ns0:v>33684</ns0:v>
      </ns0:c>
    </ns0:row>
    <ns0:row r="14" ht="22" customHeight="1">
      <ns0:c r="A14" s="11" t="str">
        <ns0:v>Umsatzsteuer</ns0:v>
      </ns0:c>
      <ns0:c r="B14" s="15" t="n">
        <ns0:v>0.19</ns0:v>
      </ns0:c>
      <ns0:c r="C14" s="11" t="str"/>
      <ns0:c r="D14" s="13" t="str"/>
      <ns0:c r="E14" s="13" t="str"/>
      <ns0:c r="F14" s="13" t="n">
        <ns0:f>ROUND(F13*B14,2)</ns0:f>
        <ns0:v>6399.96</ns0:v>
      </ns0:c>
    </ns0:row>
    <ns0:row r="15" ht="22" customHeight="1">
      <ns0:c r="A15" s="7" t="str">
        <ns0:v>Forderung brutto</ns0:v>
      </ns0:c>
      <ns0:c r="B15" s="7" t="str"/>
      <ns0:c r="C15" s="7" t="str"/>
      <ns0:c r="D15" s="14" t="str"/>
      <ns0:c r="E15" s="14" t="str"/>
      <ns0:c r="F15" s="14" t="n">
        <ns0:f>F13+F14</ns0:f>
        <ns0:v>40083.96</ns0:v>
      </ns0:c>
    </ns0:row>
    <ns0:row r="16" ht="22" customHeight="1">
      <ns0:c r="A16" s="6"/>
      <ns0:c r="B16" s="6"/>
      <ns0:c r="C16" s="6"/>
      <ns0:c r="D16" s="6"/>
      <ns0:c r="E16" s="6"/>
      <ns0:c r="F16" s="6"/>
    </ns0:row>
    <ns0:row r="17" ht="22" customHeight="1">
      <ns0:c r="A17" s="6" t="str">
        <ns0:v>Ansätze der Forderung, keine Anerkennung durch die Auftraggeberin.</ns0:v>
      </ns0:c>
      <ns0:c r="B17" s="6"/>
      <ns0:c r="C17" s="6"/>
      <ns0:c r="D17" s="6"/>
      <ns0:c r="E17" s="6"/>
      <ns0:c r="F17" s="6"/>
    </ns0:row>
    <ns0:row r="18" ht="22" customHeight="1">
      <ns0:c r="A18" s="6" t="str">
        <ns0:v>Tage: zehn wegen Planung zuzüglich zehn wegen Leitung laut Schreiben vom 10.06.</ns0:v>
      </ns0:c>
      <ns0:c r="B18" s="6"/>
      <ns0:c r="C18" s="6"/>
      <ns0:c r="D18" s="6"/>
      <ns0:c r="E18" s="6"/>
      <ns0:c r="F18" s="6"/>
    </ns0:row>
    <ns0:row r="19" ht="22" customHeight="1">
      <ns0:c r="A19" s="6" t="str">
        <ns0:v>gez. Stefan Köster; Stundenansatz April gemäß erster Bauleitermeldung.</ns0:v>
      </ns0:c>
      <ns0:c r="B19" s="6"/>
      <ns0:c r="C19" s="6"/>
      <ns0:c r="D19" s="6"/>
      <ns0:c r="E19" s="6"/>
      <ns0:c r="F19" s="6"/>
    </ns0:row>
  </ns0:sheetData>
  <ns0:mergeCells>
    <ns0:mergeCell ref="A2:F2"/>
    <ns0:mergeCell ref="A3:F3"/>
    <ns0:mergeCell ref="A17:F17"/>
    <ns0:mergeCell ref="A18:F18"/>
    <ns0:mergeCell ref="A19:F19"/>
  </ns0:mergeCells>
  <ns0:pageMargins left="0.3" right="0.3" top="0.4" bottom="0.4" header="0.2" footer="0.2"/>
  <ns0:pageSetup paperSize="9" orientation="landscape" fitToWidth="1" fitToHeight="1"/>
</ns0:worksheet>
</file>