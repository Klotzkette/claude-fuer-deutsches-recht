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efe199200941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lauf" sheetId="1" r:id="Rddcd5808afd14f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.mm.yyyy"/>
    <x:numFmt numFmtId="202" formatCode="#,##0.00"/>
  </x:numFmts>
  <x:fonts count="4">
    <x:font>
      <x:sz val="11"/>
      <x:name val="Carlito"/>
    </x:font>
    <x:font>
      <x:sz val="11"/>
      <x:color rgb="FF202020"/>
      <x:name val="Arial"/>
    </x:font>
    <x:font>
      <x:b/>
      <x:sz val="14"/>
      <x:color rgb="FF202020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F4D46"/>
      </x:patternFill>
    </x:fill>
    <x:fill>
      <x:patternFill patternType="solid">
        <x:fgColor rgb="FFF1F3F2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aaf7f9f9ba4f35" /><Relationship Type="http://schemas.openxmlformats.org/officeDocument/2006/relationships/theme" Target="/xl/theme/theme1.xml" Id="Rb7142dcf6cc048e6" /><Relationship Type="http://schemas.openxmlformats.org/officeDocument/2006/relationships/sharedStrings" Target="/xl/sharedStrings.xml" Id="R9a8c6c1549b14da1" /><Relationship Type="http://schemas.openxmlformats.org/officeDocument/2006/relationships/worksheet" Target="/xl/worksheets/sheet1.xml" Id="Rddcd5808afd14f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25" hidden="0" customWidth="1"/>
    <ns0:col min="2" max="2" width="32" hidden="0" customWidth="1"/>
    <ns0:col min="3" max="3" width="13" hidden="0" customWidth="1"/>
    <ns0:col min="4" max="4" width="15" hidden="0" customWidth="1"/>
    <ns0:col min="5" max="5" width="17" hidden="0" customWidth="1"/>
    <ns0:col min="6" max="6" width="22" hidden="0" customWidth="1"/>
  </ns0:cols>
  <ns0:sheetData>
    <ns0:row r="2" ht="28" customHeight="1">
      <ns0:c r="A2" s="12" t="str">
        <ns0:v>Vertragsablauf Gerätehalle</ns0:v>
      </ns0:c>
      <ns0:c r="B2" s="12"/>
      <ns0:c r="C2" s="12"/>
      <ns0:c r="D2" s="12"/>
      <ns0:c r="E2" s="12"/>
      <ns0:c r="F2" s="12"/>
    </ns0:row>
    <ns0:row r="3" ht="28" customHeight="1">
      <ns0:c r="A3" s="9" t="str">
        <ns0:v>Porta Hallenbau / Stefan Köster | 2026-02-13</ns0:v>
      </ns0:c>
      <ns0:c r="B3" s="9"/>
      <ns0:c r="C3" s="9"/>
      <ns0:c r="D3" s="9"/>
      <ns0:c r="E3" s="9"/>
      <ns0:c r="F3" s="9"/>
    </ns0:row>
    <ns0:row r="4" ht="22" customHeight="1">
      <ns0:c r="A4" s="9"/>
      <ns0:c r="B4" s="9"/>
      <ns0:c r="C4" s="9"/>
      <ns0:c r="D4" s="9"/>
      <ns0:c r="E4" s="9"/>
      <ns0:c r="F4" s="9"/>
    </ns0:row>
    <ns0:row r="5" ht="38" customHeight="1">
      <ns0:c r="A5" s="14" t="str">
        <ns0:v>Vorgang</ns0:v>
      </ns0:c>
      <ns0:c r="B5" s="14" t="str">
        <ns0:v>Leistung</ns0:v>
      </ns0:c>
      <ns0:c r="C5" s="14" t="str">
        <ns0:v>Beginn</ns0:v>
      </ns0:c>
      <ns0:c r="D5" s="14" t="str">
        <ns0:v>Ende</ns0:v>
      </ns0:c>
      <ns0:c r="E5" s="14" t="str">
        <ns0:v>Kalendertage</ns0:v>
      </ns0:c>
      <ns0:c r="F5" s="14" t="str">
        <ns0:v>Vorgänger</ns0:v>
      </ns0:c>
    </ns0:row>
    <ns0:row r="6" ht="22" customHeight="1">
      <ns0:c r="A6" s="15" t="str">
        <ns0:v>V01</ns0:v>
      </ns0:c>
      <ns0:c r="B6" s="15" t="str">
        <ns0:v>Einrichtung</ns0:v>
      </ns0:c>
      <ns0:c r="C6" s="16" t="n">
        <ns0:v>46083</ns0:v>
      </ns0:c>
      <ns0:c r="D6" s="16" t="n">
        <ns0:v>46083</ns0:v>
      </ns0:c>
      <ns0:c r="E6" s="18" t="n">
        <ns0:f>D6-C6+1</ns0:f>
        <ns0:v>1</ns0:v>
      </ns0:c>
      <ns0:c r="F6" s="18" t="str"/>
    </ns0:row>
    <ns0:row r="7" ht="22" customHeight="1">
      <ns0:c r="A7" s="10" t="str">
        <ns0:v>V02</ns0:v>
      </ns0:c>
      <ns0:c r="B7" s="10" t="str">
        <ns0:v>Aushub</ns0:v>
      </ns0:c>
      <ns0:c r="C7" s="11" t="n">
        <ns0:v>46084</ns0:v>
      </ns0:c>
      <ns0:c r="D7" s="11" t="n">
        <ns0:v>46087</ns0:v>
      </ns0:c>
      <ns0:c r="E7" s="19" t="n">
        <ns0:f>D7-C7+1</ns0:f>
        <ns0:v>4</ns0:v>
      </ns0:c>
      <ns0:c r="F7" s="19" t="str">
        <ns0:v>V01</ns0:v>
      </ns0:c>
    </ns0:row>
    <ns0:row r="8" ht="22" customHeight="1">
      <ns0:c r="A8" s="15" t="str">
        <ns0:v>V03</ns0:v>
      </ns0:c>
      <ns0:c r="B8" s="15" t="str">
        <ns0:v>Fundamente</ns0:v>
      </ns0:c>
      <ns0:c r="C8" s="16" t="n">
        <ns0:v>46090</ns0:v>
      </ns0:c>
      <ns0:c r="D8" s="16" t="n">
        <ns0:v>46094</ns0:v>
      </ns0:c>
      <ns0:c r="E8" s="18" t="n">
        <ns0:f>D8-C8+1</ns0:f>
        <ns0:v>5</ns0:v>
      </ns0:c>
      <ns0:c r="F8" s="18" t="str">
        <ns0:v>V02</ns0:v>
      </ns0:c>
    </ns0:row>
    <ns0:row r="9" ht="22" customHeight="1">
      <ns0:c r="A9" s="10" t="str">
        <ns0:v>V04</ns0:v>
      </ns0:c>
      <ns0:c r="B9" s="10" t="str">
        <ns0:v>Bodenplatte</ns0:v>
      </ns0:c>
      <ns0:c r="C9" s="11" t="n">
        <ns0:v>46097</ns0:v>
      </ns0:c>
      <ns0:c r="D9" s="11" t="n">
        <ns0:v>46101</ns0:v>
      </ns0:c>
      <ns0:c r="E9" s="19" t="n">
        <ns0:f>D9-C9+1</ns0:f>
        <ns0:v>5</ns0:v>
      </ns0:c>
      <ns0:c r="F9" s="19" t="str">
        <ns0:v>V03</ns0:v>
      </ns0:c>
    </ns0:row>
    <ns0:row r="10" ht="22" customHeight="1">
      <ns0:c r="A10" s="15" t="str">
        <ns0:v>V05</ns0:v>
      </ns0:c>
      <ns0:c r="B10" s="15" t="str">
        <ns0:v>Wände</ns0:v>
      </ns0:c>
      <ns0:c r="C10" s="16" t="n">
        <ns0:v>46104</ns0:v>
      </ns0:c>
      <ns0:c r="D10" s="16" t="n">
        <ns0:v>46112</ns0:v>
      </ns0:c>
      <ns0:c r="E10" s="18" t="n">
        <ns0:f>D10-C10+1</ns0:f>
        <ns0:v>9</ns0:v>
      </ns0:c>
      <ns0:c r="F10" s="18" t="str">
        <ns0:v>V04</ns0:v>
      </ns0:c>
    </ns0:row>
    <ns0:row r="11" ht="22" customHeight="1">
      <ns0:c r="A11" s="10" t="str">
        <ns0:v>V06</ns0:v>
      </ns0:c>
      <ns0:c r="B11" s="10" t="str">
        <ns0:v>Decke</ns0:v>
      </ns0:c>
      <ns0:c r="C11" s="11" t="n">
        <ns0:v>46113</ns0:v>
      </ns0:c>
      <ns0:c r="D11" s="11" t="n">
        <ns0:v>46122</ns0:v>
      </ns0:c>
      <ns0:c r="E11" s="19" t="n">
        <ns0:f>D11-C11+1</ns0:f>
        <ns0:v>10</ns0:v>
      </ns0:c>
      <ns0:c r="F11" s="19" t="str">
        <ns0:v>V05</ns0:v>
      </ns0:c>
    </ns0:row>
    <ns0:row r="12" ht="22" customHeight="1">
      <ns0:c r="A12" s="15" t="str">
        <ns0:v>V07</ns0:v>
      </ns0:c>
      <ns0:c r="B12" s="15" t="str">
        <ns0:v>Erhärtung</ns0:v>
      </ns0:c>
      <ns0:c r="C12" s="16" t="n">
        <ns0:v>46123</ns0:v>
      </ns0:c>
      <ns0:c r="D12" s="16" t="n">
        <ns0:v>46129</ns0:v>
      </ns0:c>
      <ns0:c r="E12" s="18" t="n">
        <ns0:f>D12-C12+1</ns0:f>
        <ns0:v>7</ns0:v>
      </ns0:c>
      <ns0:c r="F12" s="18" t="str">
        <ns0:v>V06</ns0:v>
      </ns0:c>
    </ns0:row>
    <ns0:row r="13" ht="22" customHeight="1">
      <ns0:c r="A13" s="10" t="str">
        <ns0:v>V08</ns0:v>
      </ns0:c>
      <ns0:c r="B13" s="10" t="str">
        <ns0:v>Dachunterkonstruktion</ns0:v>
      </ns0:c>
      <ns0:c r="C13" s="11" t="n">
        <ns0:v>46132</ns0:v>
      </ns0:c>
      <ns0:c r="D13" s="11" t="n">
        <ns0:v>46136</ns0:v>
      </ns0:c>
      <ns0:c r="E13" s="19" t="n">
        <ns0:f>D13-C13+1</ns0:f>
        <ns0:v>5</ns0:v>
      </ns0:c>
      <ns0:c r="F13" s="19" t="str">
        <ns0:v>V07</ns0:v>
      </ns0:c>
    </ns0:row>
    <ns0:row r="14" ht="22" customHeight="1">
      <ns0:c r="A14" s="15" t="str">
        <ns0:v>V09</ns0:v>
      </ns0:c>
      <ns0:c r="B14" s="15" t="str">
        <ns0:v>Abdichtung</ns0:v>
      </ns0:c>
      <ns0:c r="C14" s="16" t="n">
        <ns0:v>46139</ns0:v>
      </ns0:c>
      <ns0:c r="D14" s="16" t="n">
        <ns0:v>46142</ns0:v>
      </ns0:c>
      <ns0:c r="E14" s="18" t="n">
        <ns0:f>D14-C14+1</ns0:f>
        <ns0:v>4</ns0:v>
      </ns0:c>
      <ns0:c r="F14" s="18" t="str">
        <ns0:v>V08</ns0:v>
      </ns0:c>
    </ns0:row>
    <ns0:row r="15" ht="22" customHeight="1">
      <ns0:c r="A15" s="10" t="str">
        <ns0:v>V10</ns0:v>
      </ns0:c>
      <ns0:c r="B15" s="10" t="str">
        <ns0:v>Fassadenanker</ns0:v>
      </ns0:c>
      <ns0:c r="C15" s="11" t="n">
        <ns0:v>46146</ns0:v>
      </ns0:c>
      <ns0:c r="D15" s="11" t="n">
        <ns0:v>46150</ns0:v>
      </ns0:c>
      <ns0:c r="E15" s="19" t="n">
        <ns0:f>D15-C15+1</ns0:f>
        <ns0:v>5</ns0:v>
      </ns0:c>
      <ns0:c r="F15" s="19" t="str">
        <ns0:v>V09</ns0:v>
      </ns0:c>
    </ns0:row>
    <ns0:row r="16" ht="22" customHeight="1">
      <ns0:c r="A16" s="15" t="str">
        <ns0:v>V11</ns0:v>
      </ns0:c>
      <ns0:c r="B16" s="15" t="str">
        <ns0:v>Räumen und Kontrolle</ns0:v>
      </ns0:c>
      <ns0:c r="C16" s="16" t="n">
        <ns0:v>46153</ns0:v>
      </ns0:c>
      <ns0:c r="D16" s="16" t="n">
        <ns0:v>46155</ns0:v>
      </ns0:c>
      <ns0:c r="E16" s="18" t="n">
        <ns0:f>D16-C16+1</ns0:f>
        <ns0:v>3</ns0:v>
      </ns0:c>
      <ns0:c r="F16" s="18" t="str">
        <ns0:v>V10</ns0:v>
      </ns0:c>
    </ns0:row>
    <ns0:row r="17" ht="22" customHeight="1">
      <ns0:c r="A17" s="10" t="str">
        <ns0:v>V12</ns0:v>
      </ns0:c>
      <ns0:c r="B17" s="10" t="str">
        <ns0:v>Übergabe</ns0:v>
      </ns0:c>
      <ns0:c r="C17" s="11" t="n">
        <ns0:v>46157</ns0:v>
      </ns0:c>
      <ns0:c r="D17" s="11" t="n">
        <ns0:v>46157</ns0:v>
      </ns0:c>
      <ns0:c r="E17" s="19" t="n">
        <ns0:f>D17-C17+1</ns0:f>
        <ns0:v>1</ns0:v>
      </ns0:c>
      <ns0:c r="F17" s="19" t="str">
        <ns0:v>V11</ns0:v>
      </ns0:c>
    </ns0:row>
    <ns0:row r="18" ht="22" customHeight="1">
      <ns0:c r="A18" s="9"/>
      <ns0:c r="B18" s="9"/>
      <ns0:c r="C18" s="9"/>
      <ns0:c r="D18" s="9"/>
      <ns0:c r="E18" s="9"/>
      <ns0:c r="F18" s="9"/>
    </ns0:row>
    <ns0:row r="19" ht="22" customHeight="1">
      <ns0:c r="A19" s="9" t="str">
        <ns0:v>Datumsbänder zeigen Kalenderbelegung einschließlich Wochenenden und Erhärtung.</ns0:v>
      </ns0:c>
      <ns0:c r="B19" s="9"/>
      <ns0:c r="C19" s="9"/>
      <ns0:c r="D19" s="9"/>
      <ns0:c r="E19" s="9"/>
      <ns0:c r="F19" s="9"/>
    </ns0:row>
    <ns0:row r="20" ht="22" customHeight="1">
      <ns0:c r="A20" s="9" t="str">
        <ns0:v>Montage an Arbeitstagen; Feiertage 03.04., 06.04., 01.05. und 14.05. sind arbeitsfrei.</ns0:v>
      </ns0:c>
      <ns0:c r="B20" s="9"/>
      <ns0:c r="C20" s="9"/>
      <ns0:c r="D20" s="9"/>
      <ns0:c r="E20" s="9"/>
      <ns0:c r="F20" s="9"/>
    </ns0:row>
    <ns0:row r="21" ht="22" customHeight="1">
      <ns0:c r="A21" s="9" t="str">
        <ns0:v>V03/V04 abschnittsweise Nord vor Süd. Kolonne Rohbau: sechs Fachkräfte.</ns0:v>
      </ns0:c>
      <ns0:c r="B21" s="9"/>
      <ns0:c r="C21" s="9"/>
      <ns0:c r="D21" s="9"/>
      <ns0:c r="E21" s="9"/>
      <ns0:c r="F21" s="9"/>
    </ns0:row>
    <ns0:row r="22" ht="22" customHeight="1">
      <ns0:c r="A22" s="9" t="str">
        <ns0:v>gez. Stefan Köster und Ines Reuter; abgestimmt am 13.02.2026.</ns0:v>
      </ns0:c>
      <ns0:c r="B22" s="9"/>
      <ns0:c r="C22" s="9"/>
      <ns0:c r="D22" s="9"/>
      <ns0:c r="E22" s="9"/>
      <ns0:c r="F22" s="9"/>
    </ns0:row>
  </ns0:sheetData>
  <ns0:mergeCells>
    <ns0:mergeCell ref="A2:F2"/>
    <ns0:mergeCell ref="A3:F3"/>
    <ns0:mergeCell ref="A19:F19"/>
    <ns0:mergeCell ref="A20:F20"/>
    <ns0:mergeCell ref="A21:F21"/>
    <ns0:mergeCell ref="A22:F22"/>
  </ns0:mergeCells>
  <ns0:pageMargins left="0.3" right="0.3" top="0.4" bottom="0.4" header="0.2" footer="0.2"/>
  <ns0:pageSetup paperSize="9" orientation="landscape" fitToWidth="1" fitToHeight="1"/>
</ns0:worksheet>
</file>