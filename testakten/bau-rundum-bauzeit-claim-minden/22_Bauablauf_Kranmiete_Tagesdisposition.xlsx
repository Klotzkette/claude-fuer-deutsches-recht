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uablauf" sheetId="1" state="visible" r:id="rId3"/>
    <sheet name="Kranmiete März" sheetId="2" state="visible" r:id="rId4"/>
    <sheet name="Tagesdisposition" sheetId="3" state="visible" r:id="rId5"/>
  </sheets>
  <definedNames>
    <definedName function="false" hidden="false" localSheetId="0" name="_xlnm.Print_Area" vbProcedure="false">Bauablauf!$A$1:$I$20</definedName>
    <definedName function="false" hidden="false" localSheetId="0" name="_xlnm.Print_Titles" vbProcedure="false">Bauablauf!$8:$8</definedName>
    <definedName function="false" hidden="false" localSheetId="1" name="_xlnm.Print_Area" vbProcedure="false">'Kranmiete März'!$A$1:$I$30</definedName>
    <definedName function="false" hidden="false" localSheetId="1" name="_xlnm.Print_Titles" vbProcedure="false">'Kranmiete März'!$8:$8</definedName>
    <definedName function="false" hidden="false" localSheetId="2" name="_xlnm.Print_Area" vbProcedure="false">Tagesdisposition!$A$1:$I$35</definedName>
    <definedName function="false" hidden="false" localSheetId="2" name="_xlnm.Print_Titles" vbProcedure="false">Tagesdisposition!$8:$8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<sst xmlns="http://schemas.openxmlformats.org/spreadsheetml/2006/main" count="183" uniqueCount="94">
  <si>
    <t xml:space="preserve">Vertragsablauf und gemeldete Isttermine</t>
  </si>
  <si>
    <t xml:space="preserve">Neues Ablaufregister aus 02_Vertragsablauf.xlsx und 03_Isttermine.csv. Dauern als Kalenderbelegung, einschließlich Erhärtung; Vorgänger aus Vertragsablauf.</t>
  </si>
  <si>
    <t xml:space="preserve">Jana Brüggemann, Porta Hallenbau GmbH, Stand 15.06.2026</t>
  </si>
  <si>
    <t xml:space="preserve">Positionen</t>
  </si>
  <si>
    <t xml:space="preserve">Vorgang</t>
  </si>
  <si>
    <t xml:space="preserve">Leistung</t>
  </si>
  <si>
    <t xml:space="preserve">Sollbeginn</t>
  </si>
  <si>
    <t xml:space="preserve">Sollende</t>
  </si>
  <si>
    <t xml:space="preserve">Istbeginn</t>
  </si>
  <si>
    <t xml:space="preserve">Istende</t>
  </si>
  <si>
    <t xml:space="preserve">Soll Kalendertage</t>
  </si>
  <si>
    <t xml:space="preserve">Ist Kalendertage</t>
  </si>
  <si>
    <t xml:space="preserve">Vorgänger</t>
  </si>
  <si>
    <t xml:space="preserve">V01</t>
  </si>
  <si>
    <t xml:space="preserve">Einrichtung</t>
  </si>
  <si>
    <t xml:space="preserve">V02</t>
  </si>
  <si>
    <t xml:space="preserve">Aushub</t>
  </si>
  <si>
    <t xml:space="preserve">V03</t>
  </si>
  <si>
    <t xml:space="preserve">Fundamente</t>
  </si>
  <si>
    <t xml:space="preserve">V04</t>
  </si>
  <si>
    <t xml:space="preserve">Bodenplatte</t>
  </si>
  <si>
    <t xml:space="preserve">V05</t>
  </si>
  <si>
    <t xml:space="preserve">Wände</t>
  </si>
  <si>
    <t xml:space="preserve">V06</t>
  </si>
  <si>
    <t xml:space="preserve">Decke</t>
  </si>
  <si>
    <t xml:space="preserve">V07</t>
  </si>
  <si>
    <t xml:space="preserve">Erhärtung</t>
  </si>
  <si>
    <t xml:space="preserve">V08</t>
  </si>
  <si>
    <t xml:space="preserve">Dachunterkonstruktion</t>
  </si>
  <si>
    <t xml:space="preserve">V09</t>
  </si>
  <si>
    <t xml:space="preserve">Abdichtung</t>
  </si>
  <si>
    <t xml:space="preserve">V10</t>
  </si>
  <si>
    <t xml:space="preserve">Fassadenanker</t>
  </si>
  <si>
    <t xml:space="preserve">V11</t>
  </si>
  <si>
    <t xml:space="preserve">Räumen und Kontrolle</t>
  </si>
  <si>
    <t xml:space="preserve">V12</t>
  </si>
  <si>
    <t xml:space="preserve">Übergabe</t>
  </si>
  <si>
    <t xml:space="preserve">MK-44: Miettage und belegte Hubzeiten</t>
  </si>
  <si>
    <t xml:space="preserve">17_Mietrechnung_Mobilkran.pdf: 22 Miettage im März. Hubzeiten nur aus den sechs Kartenzeilen in 18_Geraetestunden_MK44.csv; keine vollständige Betriebsstundenerfassung.</t>
  </si>
  <si>
    <t xml:space="preserve">Berechnete Tage</t>
  </si>
  <si>
    <t xml:space="preserve">Miete netto EUR</t>
  </si>
  <si>
    <t xml:space="preserve">Belegte Hubstunden</t>
  </si>
  <si>
    <t xml:space="preserve">Miettag</t>
  </si>
  <si>
    <t xml:space="preserve">Gerät</t>
  </si>
  <si>
    <t xml:space="preserve">Mietbeleg</t>
  </si>
  <si>
    <t xml:space="preserve">Tagessatz netto EUR</t>
  </si>
  <si>
    <t xml:space="preserve">Karteneintrag</t>
  </si>
  <si>
    <t xml:space="preserve">Stundenbeleg</t>
  </si>
  <si>
    <t xml:space="preserve">MK-44</t>
  </si>
  <si>
    <t xml:space="preserve">KM-260331</t>
  </si>
  <si>
    <t xml:space="preserve">kein Hub vermerkt</t>
  </si>
  <si>
    <t xml:space="preserve">18_Geraetestunden_MK44.csv</t>
  </si>
  <si>
    <t xml:space="preserve">Schalung umgesetzt</t>
  </si>
  <si>
    <t xml:space="preserve">Bewehrung und Material umgesetzt</t>
  </si>
  <si>
    <t xml:space="preserve">Schalung und Betonierhilfen</t>
  </si>
  <si>
    <t xml:space="preserve">Plattentakt bedient</t>
  </si>
  <si>
    <t xml:space="preserve">Fundamentergänzung</t>
  </si>
  <si>
    <t xml:space="preserve">Personal, Wetter und Bautagesmeldungen</t>
  </si>
  <si>
    <t xml:space="preserve">Neues Tagesregister: 10_Personalstunden.csv an elf Tagen, 09_Wettermessungen.csv an zehn Tagen. Tagesnotizen aus 08_Bautagebuch.txt, WB-1203 und Istablauf. Summen nur aus belegten Stunden.</t>
  </si>
  <si>
    <t xml:space="preserve">Regelstunden</t>
  </si>
  <si>
    <t xml:space="preserve">Zusatzstunden</t>
  </si>
  <si>
    <t xml:space="preserve">Datum</t>
  </si>
  <si>
    <t xml:space="preserve">Soll Fachkräfte</t>
  </si>
  <si>
    <t xml:space="preserve">Ist Fachkräfte</t>
  </si>
  <si>
    <t xml:space="preserve">Regen mm/24 h</t>
  </si>
  <si>
    <t xml:space="preserve">Personalbeleg</t>
  </si>
  <si>
    <t xml:space="preserve">Wetterbeleg</t>
  </si>
  <si>
    <t xml:space="preserve">Tagesnotiz</t>
  </si>
  <si>
    <t xml:space="preserve">Einrichtung abgeschlossen</t>
  </si>
  <si>
    <t xml:space="preserve">Aushub begonnen</t>
  </si>
  <si>
    <t xml:space="preserve">Aushubphase laut Istablauf</t>
  </si>
  <si>
    <t xml:space="preserve">10_Personalstunden.csv</t>
  </si>
  <si>
    <t xml:space="preserve">09_Wettermessungen.csv</t>
  </si>
  <si>
    <t xml:space="preserve">F17 Süd fehlt; Norden Aushub</t>
  </si>
  <si>
    <t xml:space="preserve">Aushub Nord fertig; F17B 16:20</t>
  </si>
  <si>
    <t xml:space="preserve">F17B 06:48 abgerufen; Westbeginn</t>
  </si>
  <si>
    <t xml:space="preserve">Betonabruf 07:40 abgesagt</t>
  </si>
  <si>
    <t xml:space="preserve">Schalung Nord; Abschaltung entfällt</t>
  </si>
  <si>
    <t xml:space="preserve">Süd gesperrt; Schalung West</t>
  </si>
  <si>
    <t xml:space="preserve">Nordbewehrung und Umlagerung</t>
  </si>
  <si>
    <t xml:space="preserve">Fundamente West fertig</t>
  </si>
  <si>
    <t xml:space="preserve">Bodenplatte Nord begonnen</t>
  </si>
  <si>
    <t xml:space="preserve">F17C 11:05; Süd bleibt gesperrt</t>
  </si>
  <si>
    <t xml:space="preserve">Bodenplatte Nord</t>
  </si>
  <si>
    <t xml:space="preserve">Bodenplatte Mitte</t>
  </si>
  <si>
    <t xml:space="preserve">Letzter Plattenteil Nord fertig</t>
  </si>
  <si>
    <t xml:space="preserve">Wandbeginn Nord</t>
  </si>
  <si>
    <t xml:space="preserve">Anruf Freischaltung 09:20</t>
  </si>
  <si>
    <t xml:space="preserve">Fundamentergänzung Süd</t>
  </si>
  <si>
    <t xml:space="preserve">Südlicher Plattenrand geschlossen</t>
  </si>
  <si>
    <t xml:space="preserve">Deckenschichten, acht Fachkräfte</t>
  </si>
  <si>
    <t xml:space="preserve">Zusätzliche Schicht</t>
  </si>
  <si>
    <t xml:space="preserve">Deckenschichten fortgesetzt</t>
  </si>
  <si>
    <t xml:space="preserve">Deckenbetonage abgeschlossen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</si>
</sst>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dd\.mm\.yyyy\ "/>
    <numFmt numFmtId="167" formatCode="[$-407]#,##0.00\ ;\(#,##0.00&quot;) &quot;;&quot;– &quot;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4B5572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b val="true"/>
      <sz val="13"/>
      <color rgb="FF4B55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02D32"/>
      <name val="Arial"/>
      <family val="0"/>
      <charset val="1"/>
    </font>
    <font>
      <sz val="10"/>
      <color rgb="FF245E9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B5572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B557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4B5572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ill>
        <patternFill patternType="solid">
          <fgColor rgb="FF245E9A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993366"/>
      <rgbColor rgb="FFF0F4F3"/>
      <rgbColor rgb="FFCCFFFF"/>
      <rgbColor rgb="FF660066"/>
      <rgbColor rgb="FFFF8080"/>
      <rgbColor rgb="FF245E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4B5572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9_1" displayName="Register9_1" ref="A8:I20" headerRowCount="1" totalsRowCount="0" totalsRowShown="0">
  <autoFilter ref="A8:I20"/>
  <tableColumns count="9">
    <tableColumn id="1" name="Vorgang"/>
    <tableColumn id="2" name="Leistung"/>
    <tableColumn id="3" name="Sollbeginn"/>
    <tableColumn id="4" name="Sollende"/>
    <tableColumn id="5" name="Istbeginn"/>
    <tableColumn id="6" name="Istende"/>
    <tableColumn id="7" name="Soll Kalendertage"/>
    <tableColumn id="8" name="Ist Kalendertage"/>
    <tableColumn id="9" name="Vorgän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9_2" displayName="Register9_2" ref="A8:I30" headerRowCount="1" totalsRowCount="0" totalsRowShown="0">
  <autoFilter ref="A8:I30"/>
  <tableColumns count="9">
    <tableColumn id="1" name="Miettag"/>
    <tableColumn id="2" name="Gerät"/>
    <tableColumn id="3" name="Mietbeleg"/>
    <tableColumn id="4" name="Berechnete Tage"/>
    <tableColumn id="5" name="Tagessatz netto EUR"/>
    <tableColumn id="6" name="Miete netto EUR"/>
    <tableColumn id="7" name="Belegte Hubstunden"/>
    <tableColumn id="8" name="Karteneintrag"/>
    <tableColumn id="9" name="Stundenbele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9_3" displayName="Register9_3" ref="A8:I35" headerRowCount="1" totalsRowCount="0" totalsRowShown="0">
  <autoFilter ref="A8:I35"/>
  <tableColumns count="9">
    <tableColumn id="1" name="Datum"/>
    <tableColumn id="2" name="Soll Fachkräfte"/>
    <tableColumn id="3" name="Ist Fachkräfte"/>
    <tableColumn id="4" name="Regelstunden"/>
    <tableColumn id="5" name="Zusatzstunden"/>
    <tableColumn id="6" name="Regen mm/24 h"/>
    <tableColumn id="7" name="Personalbeleg"/>
    <tableColumn id="8" name="Wetterbeleg"/>
    <tableColumn id="9" name="Tagesnoti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5572"/>
    <pageSetUpPr fitToPage="tru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6" min="3" style="0" width="15"/>
    <col collapsed="false" customWidth="true" hidden="false" outlineLevel="0" max="8" min="7" style="0" width="20"/>
    <col collapsed="false" customWidth="true" hidden="false" outlineLevel="0" max="9" min="9" style="0" width="14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5" t="n">
        <v>12</v>
      </c>
      <c r="B5" s="5"/>
      <c r="C5" s="5"/>
      <c r="D5" s="5"/>
      <c r="E5" s="5"/>
      <c r="F5" s="5"/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</row>
    <row r="9" customFormat="false" ht="22" hidden="false" customHeight="true" outlineLevel="0" collapsed="false">
      <c r="A9" s="7" t="s">
        <v>13</v>
      </c>
      <c r="B9" s="7" t="s">
        <v>14</v>
      </c>
      <c r="C9" s="8" t="n">
        <v>46083</v>
      </c>
      <c r="D9" s="8" t="n">
        <v>46083</v>
      </c>
      <c r="E9" s="8" t="n">
        <v>46083</v>
      </c>
      <c r="F9" s="8" t="n">
        <v>46083</v>
      </c>
      <c r="G9" s="9" t="n">
        <f aca="false">D9-C9+1</f>
        <v>1</v>
      </c>
      <c r="H9" s="9" t="n">
        <f aca="false">F9-E9+1</f>
        <v>1</v>
      </c>
      <c r="I9" s="7"/>
    </row>
    <row r="10" customFormat="false" ht="22" hidden="false" customHeight="true" outlineLevel="0" collapsed="false">
      <c r="A10" s="10" t="s">
        <v>15</v>
      </c>
      <c r="B10" s="10" t="s">
        <v>16</v>
      </c>
      <c r="C10" s="11" t="n">
        <v>46084</v>
      </c>
      <c r="D10" s="11" t="n">
        <v>46087</v>
      </c>
      <c r="E10" s="11" t="n">
        <v>46084</v>
      </c>
      <c r="F10" s="11" t="n">
        <v>46091</v>
      </c>
      <c r="G10" s="12" t="n">
        <f aca="false">D10-C10+1</f>
        <v>4</v>
      </c>
      <c r="H10" s="12" t="n">
        <f aca="false">F10-E10+1</f>
        <v>8</v>
      </c>
      <c r="I10" s="10" t="s">
        <v>13</v>
      </c>
    </row>
    <row r="11" customFormat="false" ht="22" hidden="false" customHeight="true" outlineLevel="0" collapsed="false">
      <c r="A11" s="7" t="s">
        <v>17</v>
      </c>
      <c r="B11" s="7" t="s">
        <v>18</v>
      </c>
      <c r="C11" s="8" t="n">
        <v>46090</v>
      </c>
      <c r="D11" s="8" t="n">
        <v>46094</v>
      </c>
      <c r="E11" s="8" t="n">
        <v>46092</v>
      </c>
      <c r="F11" s="8" t="n">
        <v>46111</v>
      </c>
      <c r="G11" s="9" t="n">
        <f aca="false">D11-C11+1</f>
        <v>5</v>
      </c>
      <c r="H11" s="9" t="n">
        <f aca="false">F11-E11+1</f>
        <v>20</v>
      </c>
      <c r="I11" s="7" t="s">
        <v>15</v>
      </c>
    </row>
    <row r="12" customFormat="false" ht="22" hidden="false" customHeight="true" outlineLevel="0" collapsed="false">
      <c r="A12" s="10" t="s">
        <v>19</v>
      </c>
      <c r="B12" s="10" t="s">
        <v>20</v>
      </c>
      <c r="C12" s="11" t="n">
        <v>46097</v>
      </c>
      <c r="D12" s="11" t="n">
        <v>46101</v>
      </c>
      <c r="E12" s="11" t="n">
        <v>46100</v>
      </c>
      <c r="F12" s="11" t="n">
        <v>46112</v>
      </c>
      <c r="G12" s="12" t="n">
        <f aca="false">D12-C12+1</f>
        <v>5</v>
      </c>
      <c r="H12" s="12" t="n">
        <f aca="false">F12-E12+1</f>
        <v>13</v>
      </c>
      <c r="I12" s="10" t="s">
        <v>17</v>
      </c>
    </row>
    <row r="13" customFormat="false" ht="22" hidden="false" customHeight="true" outlineLevel="0" collapsed="false">
      <c r="A13" s="7" t="s">
        <v>21</v>
      </c>
      <c r="B13" s="7" t="s">
        <v>22</v>
      </c>
      <c r="C13" s="8" t="n">
        <v>46104</v>
      </c>
      <c r="D13" s="8" t="n">
        <v>46112</v>
      </c>
      <c r="E13" s="8" t="n">
        <v>46108</v>
      </c>
      <c r="F13" s="8" t="n">
        <v>46126</v>
      </c>
      <c r="G13" s="9" t="n">
        <f aca="false">D13-C13+1</f>
        <v>9</v>
      </c>
      <c r="H13" s="9" t="n">
        <f aca="false">F13-E13+1</f>
        <v>19</v>
      </c>
      <c r="I13" s="7" t="s">
        <v>19</v>
      </c>
    </row>
    <row r="14" customFormat="false" ht="22" hidden="false" customHeight="true" outlineLevel="0" collapsed="false">
      <c r="A14" s="10" t="s">
        <v>23</v>
      </c>
      <c r="B14" s="10" t="s">
        <v>24</v>
      </c>
      <c r="C14" s="11" t="n">
        <v>46113</v>
      </c>
      <c r="D14" s="11" t="n">
        <v>46122</v>
      </c>
      <c r="E14" s="11" t="n">
        <v>46127</v>
      </c>
      <c r="F14" s="11" t="n">
        <v>46140</v>
      </c>
      <c r="G14" s="12" t="n">
        <f aca="false">D14-C14+1</f>
        <v>10</v>
      </c>
      <c r="H14" s="12" t="n">
        <f aca="false">F14-E14+1</f>
        <v>14</v>
      </c>
      <c r="I14" s="10" t="s">
        <v>21</v>
      </c>
    </row>
    <row r="15" customFormat="false" ht="22" hidden="false" customHeight="true" outlineLevel="0" collapsed="false">
      <c r="A15" s="7" t="s">
        <v>25</v>
      </c>
      <c r="B15" s="7" t="s">
        <v>26</v>
      </c>
      <c r="C15" s="8" t="n">
        <v>46123</v>
      </c>
      <c r="D15" s="8" t="n">
        <v>46129</v>
      </c>
      <c r="E15" s="8" t="n">
        <v>46141</v>
      </c>
      <c r="F15" s="8" t="n">
        <v>46147</v>
      </c>
      <c r="G15" s="9" t="n">
        <f aca="false">D15-C15+1</f>
        <v>7</v>
      </c>
      <c r="H15" s="9" t="n">
        <f aca="false">F15-E15+1</f>
        <v>7</v>
      </c>
      <c r="I15" s="7" t="s">
        <v>23</v>
      </c>
    </row>
    <row r="16" customFormat="false" ht="22" hidden="false" customHeight="true" outlineLevel="0" collapsed="false">
      <c r="A16" s="10" t="s">
        <v>27</v>
      </c>
      <c r="B16" s="10" t="s">
        <v>28</v>
      </c>
      <c r="C16" s="11" t="n">
        <v>46132</v>
      </c>
      <c r="D16" s="11" t="n">
        <v>46136</v>
      </c>
      <c r="E16" s="11" t="n">
        <v>46148</v>
      </c>
      <c r="F16" s="11" t="n">
        <v>46155</v>
      </c>
      <c r="G16" s="12" t="n">
        <f aca="false">D16-C16+1</f>
        <v>5</v>
      </c>
      <c r="H16" s="12" t="n">
        <f aca="false">F16-E16+1</f>
        <v>8</v>
      </c>
      <c r="I16" s="10" t="s">
        <v>25</v>
      </c>
    </row>
    <row r="17" customFormat="false" ht="22" hidden="false" customHeight="true" outlineLevel="0" collapsed="false">
      <c r="A17" s="7" t="s">
        <v>29</v>
      </c>
      <c r="B17" s="7" t="s">
        <v>30</v>
      </c>
      <c r="C17" s="8" t="n">
        <v>46139</v>
      </c>
      <c r="D17" s="8" t="n">
        <v>46142</v>
      </c>
      <c r="E17" s="8" t="n">
        <v>46157</v>
      </c>
      <c r="F17" s="8" t="n">
        <v>46164</v>
      </c>
      <c r="G17" s="9" t="n">
        <f aca="false">D17-C17+1</f>
        <v>4</v>
      </c>
      <c r="H17" s="9" t="n">
        <f aca="false">F17-E17+1</f>
        <v>8</v>
      </c>
      <c r="I17" s="7" t="s">
        <v>27</v>
      </c>
    </row>
    <row r="18" customFormat="false" ht="22" hidden="false" customHeight="true" outlineLevel="0" collapsed="false">
      <c r="A18" s="10" t="s">
        <v>31</v>
      </c>
      <c r="B18" s="10" t="s">
        <v>32</v>
      </c>
      <c r="C18" s="11" t="n">
        <v>46146</v>
      </c>
      <c r="D18" s="11" t="n">
        <v>46150</v>
      </c>
      <c r="E18" s="11" t="n">
        <v>46168</v>
      </c>
      <c r="F18" s="11" t="n">
        <v>46175</v>
      </c>
      <c r="G18" s="12" t="n">
        <f aca="false">D18-C18+1</f>
        <v>5</v>
      </c>
      <c r="H18" s="12" t="n">
        <f aca="false">F18-E18+1</f>
        <v>8</v>
      </c>
      <c r="I18" s="10" t="s">
        <v>29</v>
      </c>
    </row>
    <row r="19" customFormat="false" ht="22" hidden="false" customHeight="true" outlineLevel="0" collapsed="false">
      <c r="A19" s="7" t="s">
        <v>33</v>
      </c>
      <c r="B19" s="7" t="s">
        <v>34</v>
      </c>
      <c r="C19" s="8" t="n">
        <v>46153</v>
      </c>
      <c r="D19" s="8" t="n">
        <v>46155</v>
      </c>
      <c r="E19" s="8" t="n">
        <v>46176</v>
      </c>
      <c r="F19" s="8" t="n">
        <v>46178</v>
      </c>
      <c r="G19" s="9" t="n">
        <f aca="false">D19-C19+1</f>
        <v>3</v>
      </c>
      <c r="H19" s="9" t="n">
        <f aca="false">F19-E19+1</f>
        <v>3</v>
      </c>
      <c r="I19" s="7" t="s">
        <v>31</v>
      </c>
    </row>
    <row r="20" customFormat="false" ht="22" hidden="false" customHeight="true" outlineLevel="0" collapsed="false">
      <c r="A20" s="10" t="s">
        <v>35</v>
      </c>
      <c r="B20" s="10" t="s">
        <v>36</v>
      </c>
      <c r="C20" s="11" t="n">
        <v>46157</v>
      </c>
      <c r="D20" s="11" t="n">
        <v>46157</v>
      </c>
      <c r="E20" s="11" t="n">
        <v>46181</v>
      </c>
      <c r="F20" s="11" t="n">
        <v>46181</v>
      </c>
      <c r="G20" s="12" t="n">
        <f aca="false">D20-C20+1</f>
        <v>1</v>
      </c>
      <c r="H20" s="12" t="n">
        <f aca="false">F20-E20+1</f>
        <v>1</v>
      </c>
      <c r="I20" s="10" t="s">
        <v>33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2026-06-15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1"/>
    <col collapsed="false" customWidth="true" hidden="false" outlineLevel="0" max="8" min="8" style="0" width="38"/>
    <col collapsed="false" customWidth="true" hidden="false" outlineLevel="0" max="9" min="9" style="0" width="37"/>
  </cols>
  <sheetData>
    <row r="1" customFormat="false" ht="34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13" t="s">
        <v>39</v>
      </c>
      <c r="E4" s="4"/>
      <c r="F4" s="13" t="s">
        <v>40</v>
      </c>
      <c r="G4" s="13" t="s">
        <v>41</v>
      </c>
      <c r="H4" s="4"/>
      <c r="I4" s="4"/>
    </row>
    <row r="5" customFormat="false" ht="29" hidden="false" customHeight="true" outlineLevel="0" collapsed="false">
      <c r="A5" s="5" t="n">
        <v>22</v>
      </c>
      <c r="B5" s="5"/>
      <c r="C5" s="5"/>
      <c r="D5" s="14" t="n">
        <f aca="false">SUM(D9:D30)</f>
        <v>22</v>
      </c>
      <c r="E5" s="5"/>
      <c r="F5" s="14" t="n">
        <f aca="false">SUM(F9:F30)</f>
        <v>9240</v>
      </c>
      <c r="G5" s="14" t="n">
        <f aca="false">SUM(G9:G30)</f>
        <v>19</v>
      </c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42</v>
      </c>
      <c r="B8" s="6" t="s">
        <v>43</v>
      </c>
      <c r="C8" s="6" t="s">
        <v>44</v>
      </c>
      <c r="D8" s="6" t="s">
        <v>39</v>
      </c>
      <c r="E8" s="6" t="s">
        <v>45</v>
      </c>
      <c r="F8" s="6" t="s">
        <v>40</v>
      </c>
      <c r="G8" s="6" t="s">
        <v>41</v>
      </c>
      <c r="H8" s="6" t="s">
        <v>46</v>
      </c>
      <c r="I8" s="6" t="s">
        <v>47</v>
      </c>
    </row>
    <row r="9" customFormat="false" ht="22" hidden="false" customHeight="true" outlineLevel="0" collapsed="false">
      <c r="A9" s="8" t="n">
        <v>46083</v>
      </c>
      <c r="B9" s="7" t="s">
        <v>48</v>
      </c>
      <c r="C9" s="7" t="s">
        <v>49</v>
      </c>
      <c r="D9" s="15" t="n">
        <v>1</v>
      </c>
      <c r="E9" s="15" t="n">
        <v>420</v>
      </c>
      <c r="F9" s="9" t="n">
        <f aca="false">ROUND(D9*E9,2)</f>
        <v>420</v>
      </c>
      <c r="G9" s="9"/>
      <c r="H9" s="7"/>
      <c r="I9" s="7"/>
    </row>
    <row r="10" customFormat="false" ht="22" hidden="false" customHeight="true" outlineLevel="0" collapsed="false">
      <c r="A10" s="11" t="n">
        <v>46084</v>
      </c>
      <c r="B10" s="10" t="s">
        <v>48</v>
      </c>
      <c r="C10" s="10" t="s">
        <v>49</v>
      </c>
      <c r="D10" s="16" t="n">
        <v>1</v>
      </c>
      <c r="E10" s="16" t="n">
        <v>420</v>
      </c>
      <c r="F10" s="12" t="n">
        <f aca="false">ROUND(D10*E10,2)</f>
        <v>420</v>
      </c>
      <c r="G10" s="12"/>
      <c r="H10" s="10"/>
      <c r="I10" s="10"/>
    </row>
    <row r="11" customFormat="false" ht="22" hidden="false" customHeight="true" outlineLevel="0" collapsed="false">
      <c r="A11" s="8" t="n">
        <v>46085</v>
      </c>
      <c r="B11" s="7" t="s">
        <v>48</v>
      </c>
      <c r="C11" s="7" t="s">
        <v>49</v>
      </c>
      <c r="D11" s="15" t="n">
        <v>1</v>
      </c>
      <c r="E11" s="15" t="n">
        <v>420</v>
      </c>
      <c r="F11" s="9" t="n">
        <f aca="false">ROUND(D11*E11,2)</f>
        <v>420</v>
      </c>
      <c r="G11" s="9"/>
      <c r="H11" s="7"/>
      <c r="I11" s="7"/>
    </row>
    <row r="12" customFormat="false" ht="22" hidden="false" customHeight="true" outlineLevel="0" collapsed="false">
      <c r="A12" s="11" t="n">
        <v>46086</v>
      </c>
      <c r="B12" s="10" t="s">
        <v>48</v>
      </c>
      <c r="C12" s="10" t="s">
        <v>49</v>
      </c>
      <c r="D12" s="16" t="n">
        <v>1</v>
      </c>
      <c r="E12" s="16" t="n">
        <v>420</v>
      </c>
      <c r="F12" s="12" t="n">
        <f aca="false">ROUND(D12*E12,2)</f>
        <v>420</v>
      </c>
      <c r="G12" s="12"/>
      <c r="H12" s="10"/>
      <c r="I12" s="10"/>
    </row>
    <row r="13" customFormat="false" ht="22" hidden="false" customHeight="true" outlineLevel="0" collapsed="false">
      <c r="A13" s="8" t="n">
        <v>46087</v>
      </c>
      <c r="B13" s="7" t="s">
        <v>48</v>
      </c>
      <c r="C13" s="7" t="s">
        <v>49</v>
      </c>
      <c r="D13" s="15" t="n">
        <v>1</v>
      </c>
      <c r="E13" s="15" t="n">
        <v>420</v>
      </c>
      <c r="F13" s="9" t="n">
        <f aca="false">ROUND(D13*E13,2)</f>
        <v>420</v>
      </c>
      <c r="G13" s="9"/>
      <c r="H13" s="7"/>
      <c r="I13" s="7"/>
    </row>
    <row r="14" customFormat="false" ht="22" hidden="false" customHeight="true" outlineLevel="0" collapsed="false">
      <c r="A14" s="11" t="n">
        <v>46090</v>
      </c>
      <c r="B14" s="10" t="s">
        <v>48</v>
      </c>
      <c r="C14" s="10" t="s">
        <v>49</v>
      </c>
      <c r="D14" s="16" t="n">
        <v>1</v>
      </c>
      <c r="E14" s="16" t="n">
        <v>420</v>
      </c>
      <c r="F14" s="12" t="n">
        <f aca="false">ROUND(D14*E14,2)</f>
        <v>420</v>
      </c>
      <c r="G14" s="16" t="n">
        <v>0</v>
      </c>
      <c r="H14" s="10" t="s">
        <v>50</v>
      </c>
      <c r="I14" s="10" t="s">
        <v>51</v>
      </c>
    </row>
    <row r="15" customFormat="false" ht="22" hidden="false" customHeight="true" outlineLevel="0" collapsed="false">
      <c r="A15" s="8" t="n">
        <v>46091</v>
      </c>
      <c r="B15" s="7" t="s">
        <v>48</v>
      </c>
      <c r="C15" s="7" t="s">
        <v>49</v>
      </c>
      <c r="D15" s="15" t="n">
        <v>1</v>
      </c>
      <c r="E15" s="15" t="n">
        <v>420</v>
      </c>
      <c r="F15" s="9" t="n">
        <f aca="false">ROUND(D15*E15,2)</f>
        <v>420</v>
      </c>
      <c r="G15" s="9"/>
      <c r="H15" s="7"/>
      <c r="I15" s="7"/>
    </row>
    <row r="16" customFormat="false" ht="22" hidden="false" customHeight="true" outlineLevel="0" collapsed="false">
      <c r="A16" s="11" t="n">
        <v>46092</v>
      </c>
      <c r="B16" s="10" t="s">
        <v>48</v>
      </c>
      <c r="C16" s="10" t="s">
        <v>49</v>
      </c>
      <c r="D16" s="16" t="n">
        <v>1</v>
      </c>
      <c r="E16" s="16" t="n">
        <v>420</v>
      </c>
      <c r="F16" s="12" t="n">
        <f aca="false">ROUND(D16*E16,2)</f>
        <v>420</v>
      </c>
      <c r="G16" s="12"/>
      <c r="H16" s="10"/>
      <c r="I16" s="10"/>
    </row>
    <row r="17" customFormat="false" ht="22" hidden="false" customHeight="true" outlineLevel="0" collapsed="false">
      <c r="A17" s="8" t="n">
        <v>46093</v>
      </c>
      <c r="B17" s="7" t="s">
        <v>48</v>
      </c>
      <c r="C17" s="7" t="s">
        <v>49</v>
      </c>
      <c r="D17" s="15" t="n">
        <v>1</v>
      </c>
      <c r="E17" s="15" t="n">
        <v>420</v>
      </c>
      <c r="F17" s="9" t="n">
        <f aca="false">ROUND(D17*E17,2)</f>
        <v>420</v>
      </c>
      <c r="G17" s="9"/>
      <c r="H17" s="7"/>
      <c r="I17" s="7"/>
    </row>
    <row r="18" customFormat="false" ht="22" hidden="false" customHeight="true" outlineLevel="0" collapsed="false">
      <c r="A18" s="11" t="n">
        <v>46094</v>
      </c>
      <c r="B18" s="10" t="s">
        <v>48</v>
      </c>
      <c r="C18" s="10" t="s">
        <v>49</v>
      </c>
      <c r="D18" s="16" t="n">
        <v>1</v>
      </c>
      <c r="E18" s="16" t="n">
        <v>420</v>
      </c>
      <c r="F18" s="12" t="n">
        <f aca="false">ROUND(D18*E18,2)</f>
        <v>420</v>
      </c>
      <c r="G18" s="12"/>
      <c r="H18" s="10"/>
      <c r="I18" s="10"/>
    </row>
    <row r="19" customFormat="false" ht="22" hidden="false" customHeight="true" outlineLevel="0" collapsed="false">
      <c r="A19" s="8" t="n">
        <v>46097</v>
      </c>
      <c r="B19" s="7" t="s">
        <v>48</v>
      </c>
      <c r="C19" s="7" t="s">
        <v>49</v>
      </c>
      <c r="D19" s="15" t="n">
        <v>1</v>
      </c>
      <c r="E19" s="15" t="n">
        <v>420</v>
      </c>
      <c r="F19" s="9" t="n">
        <f aca="false">ROUND(D19*E19,2)</f>
        <v>420</v>
      </c>
      <c r="G19" s="15" t="n">
        <v>4</v>
      </c>
      <c r="H19" s="7" t="s">
        <v>52</v>
      </c>
      <c r="I19" s="7" t="s">
        <v>51</v>
      </c>
    </row>
    <row r="20" customFormat="false" ht="22" hidden="false" customHeight="true" outlineLevel="0" collapsed="false">
      <c r="A20" s="11" t="n">
        <v>46098</v>
      </c>
      <c r="B20" s="10" t="s">
        <v>48</v>
      </c>
      <c r="C20" s="10" t="s">
        <v>49</v>
      </c>
      <c r="D20" s="16" t="n">
        <v>1</v>
      </c>
      <c r="E20" s="16" t="n">
        <v>420</v>
      </c>
      <c r="F20" s="12" t="n">
        <f aca="false">ROUND(D20*E20,2)</f>
        <v>420</v>
      </c>
      <c r="G20" s="16" t="n">
        <v>3.5</v>
      </c>
      <c r="H20" s="10" t="s">
        <v>53</v>
      </c>
      <c r="I20" s="10" t="s">
        <v>51</v>
      </c>
    </row>
    <row r="21" customFormat="false" ht="22" hidden="false" customHeight="true" outlineLevel="0" collapsed="false">
      <c r="A21" s="8" t="n">
        <v>46099</v>
      </c>
      <c r="B21" s="7" t="s">
        <v>48</v>
      </c>
      <c r="C21" s="7" t="s">
        <v>49</v>
      </c>
      <c r="D21" s="15" t="n">
        <v>1</v>
      </c>
      <c r="E21" s="15" t="n">
        <v>420</v>
      </c>
      <c r="F21" s="9" t="n">
        <f aca="false">ROUND(D21*E21,2)</f>
        <v>420</v>
      </c>
      <c r="G21" s="9"/>
      <c r="H21" s="7"/>
      <c r="I21" s="7"/>
    </row>
    <row r="22" customFormat="false" ht="22" hidden="false" customHeight="true" outlineLevel="0" collapsed="false">
      <c r="A22" s="11" t="n">
        <v>46100</v>
      </c>
      <c r="B22" s="10" t="s">
        <v>48</v>
      </c>
      <c r="C22" s="10" t="s">
        <v>49</v>
      </c>
      <c r="D22" s="16" t="n">
        <v>1</v>
      </c>
      <c r="E22" s="16" t="n">
        <v>420</v>
      </c>
      <c r="F22" s="12" t="n">
        <f aca="false">ROUND(D22*E22,2)</f>
        <v>420</v>
      </c>
      <c r="G22" s="12"/>
      <c r="H22" s="10"/>
      <c r="I22" s="10"/>
    </row>
    <row r="23" customFormat="false" ht="22" hidden="false" customHeight="true" outlineLevel="0" collapsed="false">
      <c r="A23" s="8" t="n">
        <v>46101</v>
      </c>
      <c r="B23" s="7" t="s">
        <v>48</v>
      </c>
      <c r="C23" s="7" t="s">
        <v>49</v>
      </c>
      <c r="D23" s="15" t="n">
        <v>1</v>
      </c>
      <c r="E23" s="15" t="n">
        <v>420</v>
      </c>
      <c r="F23" s="9" t="n">
        <f aca="false">ROUND(D23*E23,2)</f>
        <v>420</v>
      </c>
      <c r="G23" s="9"/>
      <c r="H23" s="7"/>
      <c r="I23" s="7"/>
    </row>
    <row r="24" customFormat="false" ht="22" hidden="false" customHeight="true" outlineLevel="0" collapsed="false">
      <c r="A24" s="11" t="n">
        <v>46104</v>
      </c>
      <c r="B24" s="10" t="s">
        <v>48</v>
      </c>
      <c r="C24" s="10" t="s">
        <v>49</v>
      </c>
      <c r="D24" s="16" t="n">
        <v>1</v>
      </c>
      <c r="E24" s="16" t="n">
        <v>420</v>
      </c>
      <c r="F24" s="12" t="n">
        <f aca="false">ROUND(D24*E24,2)</f>
        <v>420</v>
      </c>
      <c r="G24" s="16" t="n">
        <v>5</v>
      </c>
      <c r="H24" s="10" t="s">
        <v>54</v>
      </c>
      <c r="I24" s="10" t="s">
        <v>51</v>
      </c>
    </row>
    <row r="25" customFormat="false" ht="22" hidden="false" customHeight="true" outlineLevel="0" collapsed="false">
      <c r="A25" s="8" t="n">
        <v>46105</v>
      </c>
      <c r="B25" s="7" t="s">
        <v>48</v>
      </c>
      <c r="C25" s="7" t="s">
        <v>49</v>
      </c>
      <c r="D25" s="15" t="n">
        <v>1</v>
      </c>
      <c r="E25" s="15" t="n">
        <v>420</v>
      </c>
      <c r="F25" s="9" t="n">
        <f aca="false">ROUND(D25*E25,2)</f>
        <v>420</v>
      </c>
      <c r="G25" s="15" t="n">
        <v>4.5</v>
      </c>
      <c r="H25" s="7" t="s">
        <v>55</v>
      </c>
      <c r="I25" s="7" t="s">
        <v>51</v>
      </c>
    </row>
    <row r="26" customFormat="false" ht="22" hidden="false" customHeight="true" outlineLevel="0" collapsed="false">
      <c r="A26" s="11" t="n">
        <v>46106</v>
      </c>
      <c r="B26" s="10" t="s">
        <v>48</v>
      </c>
      <c r="C26" s="10" t="s">
        <v>49</v>
      </c>
      <c r="D26" s="16" t="n">
        <v>1</v>
      </c>
      <c r="E26" s="16" t="n">
        <v>420</v>
      </c>
      <c r="F26" s="12" t="n">
        <f aca="false">ROUND(D26*E26,2)</f>
        <v>420</v>
      </c>
      <c r="G26" s="12"/>
      <c r="H26" s="10"/>
      <c r="I26" s="10"/>
    </row>
    <row r="27" customFormat="false" ht="22" hidden="false" customHeight="true" outlineLevel="0" collapsed="false">
      <c r="A27" s="8" t="n">
        <v>46107</v>
      </c>
      <c r="B27" s="7" t="s">
        <v>48</v>
      </c>
      <c r="C27" s="7" t="s">
        <v>49</v>
      </c>
      <c r="D27" s="15" t="n">
        <v>1</v>
      </c>
      <c r="E27" s="15" t="n">
        <v>420</v>
      </c>
      <c r="F27" s="9" t="n">
        <f aca="false">ROUND(D27*E27,2)</f>
        <v>420</v>
      </c>
      <c r="G27" s="9"/>
      <c r="H27" s="7"/>
      <c r="I27" s="7"/>
    </row>
    <row r="28" customFormat="false" ht="22" hidden="false" customHeight="true" outlineLevel="0" collapsed="false">
      <c r="A28" s="11" t="n">
        <v>46108</v>
      </c>
      <c r="B28" s="10" t="s">
        <v>48</v>
      </c>
      <c r="C28" s="10" t="s">
        <v>49</v>
      </c>
      <c r="D28" s="16" t="n">
        <v>1</v>
      </c>
      <c r="E28" s="16" t="n">
        <v>420</v>
      </c>
      <c r="F28" s="12" t="n">
        <f aca="false">ROUND(D28*E28,2)</f>
        <v>420</v>
      </c>
      <c r="G28" s="12"/>
      <c r="H28" s="10"/>
      <c r="I28" s="10"/>
    </row>
    <row r="29" customFormat="false" ht="22" hidden="false" customHeight="true" outlineLevel="0" collapsed="false">
      <c r="A29" s="8" t="n">
        <v>46111</v>
      </c>
      <c r="B29" s="7" t="s">
        <v>48</v>
      </c>
      <c r="C29" s="7" t="s">
        <v>49</v>
      </c>
      <c r="D29" s="15" t="n">
        <v>1</v>
      </c>
      <c r="E29" s="15" t="n">
        <v>420</v>
      </c>
      <c r="F29" s="9" t="n">
        <f aca="false">ROUND(D29*E29,2)</f>
        <v>420</v>
      </c>
      <c r="G29" s="15" t="n">
        <v>2</v>
      </c>
      <c r="H29" s="7" t="s">
        <v>56</v>
      </c>
      <c r="I29" s="7" t="s">
        <v>51</v>
      </c>
    </row>
    <row r="30" customFormat="false" ht="22" hidden="false" customHeight="true" outlineLevel="0" collapsed="false">
      <c r="A30" s="11" t="n">
        <v>46112</v>
      </c>
      <c r="B30" s="10" t="s">
        <v>48</v>
      </c>
      <c r="C30" s="10" t="s">
        <v>49</v>
      </c>
      <c r="D30" s="16" t="n">
        <v>1</v>
      </c>
      <c r="E30" s="16" t="n">
        <v>420</v>
      </c>
      <c r="F30" s="12" t="n">
        <f aca="false">ROUND(D30*E30,2)</f>
        <v>420</v>
      </c>
      <c r="G30" s="12"/>
      <c r="H30" s="10"/>
      <c r="I30" s="10"/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2026-06-15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5" min="3" style="0" width="18"/>
    <col collapsed="false" customWidth="true" hidden="false" outlineLevel="0" max="6" min="6" style="0" width="19"/>
    <col collapsed="false" customWidth="true" hidden="false" outlineLevel="0" max="8" min="7" style="0" width="31"/>
    <col collapsed="false" customWidth="true" hidden="false" outlineLevel="0" max="9" min="9" style="0" width="43"/>
  </cols>
  <sheetData>
    <row r="1" customFormat="false" ht="34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58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13" t="s">
        <v>59</v>
      </c>
      <c r="E4" s="13" t="s">
        <v>60</v>
      </c>
      <c r="F4" s="4"/>
      <c r="G4" s="4"/>
      <c r="H4" s="4"/>
      <c r="I4" s="4"/>
    </row>
    <row r="5" customFormat="false" ht="29" hidden="false" customHeight="true" outlineLevel="0" collapsed="false">
      <c r="A5" s="5" t="n">
        <v>27</v>
      </c>
      <c r="B5" s="5"/>
      <c r="C5" s="5"/>
      <c r="D5" s="14" t="n">
        <f aca="false">SUM(D9:D35)</f>
        <v>504</v>
      </c>
      <c r="E5" s="14" t="n">
        <f aca="false">SUM(E9:E35)</f>
        <v>144</v>
      </c>
      <c r="F5" s="5"/>
      <c r="G5" s="5"/>
      <c r="H5" s="5"/>
      <c r="I5" s="5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6" t="s">
        <v>61</v>
      </c>
      <c r="B8" s="6" t="s">
        <v>62</v>
      </c>
      <c r="C8" s="6" t="s">
        <v>63</v>
      </c>
      <c r="D8" s="6" t="s">
        <v>59</v>
      </c>
      <c r="E8" s="6" t="s">
        <v>60</v>
      </c>
      <c r="F8" s="6" t="s">
        <v>64</v>
      </c>
      <c r="G8" s="6" t="s">
        <v>65</v>
      </c>
      <c r="H8" s="6" t="s">
        <v>66</v>
      </c>
      <c r="I8" s="6" t="s">
        <v>67</v>
      </c>
    </row>
    <row r="9" customFormat="false" ht="22" hidden="false" customHeight="true" outlineLevel="0" collapsed="false">
      <c r="A9" s="8" t="n">
        <v>46083</v>
      </c>
      <c r="B9" s="9"/>
      <c r="C9" s="9"/>
      <c r="D9" s="9"/>
      <c r="E9" s="9"/>
      <c r="F9" s="9"/>
      <c r="G9" s="7"/>
      <c r="H9" s="7"/>
      <c r="I9" s="7" t="s">
        <v>68</v>
      </c>
    </row>
    <row r="10" customFormat="false" ht="22" hidden="false" customHeight="true" outlineLevel="0" collapsed="false">
      <c r="A10" s="11" t="n">
        <v>46084</v>
      </c>
      <c r="B10" s="12"/>
      <c r="C10" s="12"/>
      <c r="D10" s="12"/>
      <c r="E10" s="12"/>
      <c r="F10" s="12"/>
      <c r="G10" s="10"/>
      <c r="H10" s="10"/>
      <c r="I10" s="10" t="s">
        <v>69</v>
      </c>
    </row>
    <row r="11" customFormat="false" ht="22" hidden="false" customHeight="true" outlineLevel="0" collapsed="false">
      <c r="A11" s="8" t="n">
        <v>46085</v>
      </c>
      <c r="B11" s="9"/>
      <c r="C11" s="9"/>
      <c r="D11" s="9"/>
      <c r="E11" s="9"/>
      <c r="F11" s="9"/>
      <c r="G11" s="7"/>
      <c r="H11" s="7"/>
      <c r="I11" s="7" t="s">
        <v>70</v>
      </c>
    </row>
    <row r="12" customFormat="false" ht="22" hidden="false" customHeight="true" outlineLevel="0" collapsed="false">
      <c r="A12" s="11" t="n">
        <v>46086</v>
      </c>
      <c r="B12" s="12"/>
      <c r="C12" s="12"/>
      <c r="D12" s="12"/>
      <c r="E12" s="12"/>
      <c r="F12" s="12"/>
      <c r="G12" s="10"/>
      <c r="H12" s="10"/>
      <c r="I12" s="10" t="s">
        <v>70</v>
      </c>
    </row>
    <row r="13" customFormat="false" ht="22" hidden="false" customHeight="true" outlineLevel="0" collapsed="false">
      <c r="A13" s="8" t="n">
        <v>46087</v>
      </c>
      <c r="B13" s="9"/>
      <c r="C13" s="9"/>
      <c r="D13" s="9"/>
      <c r="E13" s="9"/>
      <c r="F13" s="9"/>
      <c r="G13" s="7"/>
      <c r="H13" s="7"/>
      <c r="I13" s="7" t="s">
        <v>70</v>
      </c>
    </row>
    <row r="14" customFormat="false" ht="22" hidden="false" customHeight="true" outlineLevel="0" collapsed="false">
      <c r="A14" s="11" t="n">
        <v>46090</v>
      </c>
      <c r="B14" s="12" t="n">
        <v>6</v>
      </c>
      <c r="C14" s="12" t="n">
        <v>4</v>
      </c>
      <c r="D14" s="12" t="n">
        <v>32</v>
      </c>
      <c r="E14" s="12" t="n">
        <v>0</v>
      </c>
      <c r="F14" s="12" t="n">
        <v>0</v>
      </c>
      <c r="G14" s="10" t="s">
        <v>71</v>
      </c>
      <c r="H14" s="10" t="s">
        <v>72</v>
      </c>
      <c r="I14" s="10" t="s">
        <v>73</v>
      </c>
    </row>
    <row r="15" customFormat="false" ht="22" hidden="false" customHeight="true" outlineLevel="0" collapsed="false">
      <c r="A15" s="8" t="n">
        <v>46091</v>
      </c>
      <c r="B15" s="9" t="n">
        <v>6</v>
      </c>
      <c r="C15" s="9" t="n">
        <v>4</v>
      </c>
      <c r="D15" s="9" t="n">
        <v>32</v>
      </c>
      <c r="E15" s="9" t="n">
        <v>0</v>
      </c>
      <c r="F15" s="9" t="n">
        <v>2</v>
      </c>
      <c r="G15" s="7" t="s">
        <v>71</v>
      </c>
      <c r="H15" s="7" t="s">
        <v>72</v>
      </c>
      <c r="I15" s="7" t="s">
        <v>74</v>
      </c>
    </row>
    <row r="16" customFormat="false" ht="22" hidden="false" customHeight="true" outlineLevel="0" collapsed="false">
      <c r="A16" s="11" t="n">
        <v>46092</v>
      </c>
      <c r="B16" s="12" t="n">
        <v>6</v>
      </c>
      <c r="C16" s="12" t="n">
        <v>3</v>
      </c>
      <c r="D16" s="12" t="n">
        <v>24</v>
      </c>
      <c r="E16" s="12" t="n">
        <v>0</v>
      </c>
      <c r="F16" s="12" t="n">
        <v>18</v>
      </c>
      <c r="G16" s="10" t="s">
        <v>71</v>
      </c>
      <c r="H16" s="10" t="s">
        <v>72</v>
      </c>
      <c r="I16" s="10" t="s">
        <v>75</v>
      </c>
    </row>
    <row r="17" customFormat="false" ht="22" hidden="false" customHeight="true" outlineLevel="0" collapsed="false">
      <c r="A17" s="8" t="n">
        <v>46093</v>
      </c>
      <c r="B17" s="9" t="n">
        <v>6</v>
      </c>
      <c r="C17" s="9" t="n">
        <v>3</v>
      </c>
      <c r="D17" s="9" t="n">
        <v>24</v>
      </c>
      <c r="E17" s="9" t="n">
        <v>0</v>
      </c>
      <c r="F17" s="9" t="n">
        <v>26</v>
      </c>
      <c r="G17" s="7" t="s">
        <v>72</v>
      </c>
      <c r="H17" s="7" t="s">
        <v>72</v>
      </c>
      <c r="I17" s="7" t="s">
        <v>76</v>
      </c>
    </row>
    <row r="18" customFormat="false" ht="22" hidden="false" customHeight="true" outlineLevel="0" collapsed="false">
      <c r="A18" s="11" t="n">
        <v>46094</v>
      </c>
      <c r="B18" s="12" t="n">
        <v>6</v>
      </c>
      <c r="C18" s="12" t="n">
        <v>3</v>
      </c>
      <c r="D18" s="12" t="n">
        <v>24</v>
      </c>
      <c r="E18" s="12" t="n">
        <v>0</v>
      </c>
      <c r="F18" s="12" t="n">
        <v>12</v>
      </c>
      <c r="G18" s="10" t="s">
        <v>71</v>
      </c>
      <c r="H18" s="10" t="s">
        <v>72</v>
      </c>
      <c r="I18" s="10" t="s">
        <v>77</v>
      </c>
    </row>
    <row r="19" customFormat="false" ht="22" hidden="false" customHeight="true" outlineLevel="0" collapsed="false">
      <c r="A19" s="8" t="n">
        <v>46097</v>
      </c>
      <c r="B19" s="9" t="n">
        <v>6</v>
      </c>
      <c r="C19" s="9" t="n">
        <v>6</v>
      </c>
      <c r="D19" s="9" t="n">
        <v>48</v>
      </c>
      <c r="E19" s="9" t="n">
        <v>0</v>
      </c>
      <c r="F19" s="9" t="n">
        <v>1</v>
      </c>
      <c r="G19" s="7" t="s">
        <v>71</v>
      </c>
      <c r="H19" s="7" t="s">
        <v>72</v>
      </c>
      <c r="I19" s="7" t="s">
        <v>78</v>
      </c>
    </row>
    <row r="20" customFormat="false" ht="22" hidden="false" customHeight="true" outlineLevel="0" collapsed="false">
      <c r="A20" s="11" t="n">
        <v>46098</v>
      </c>
      <c r="B20" s="12"/>
      <c r="C20" s="12"/>
      <c r="D20" s="12"/>
      <c r="E20" s="12"/>
      <c r="F20" s="12"/>
      <c r="G20" s="10"/>
      <c r="H20" s="10"/>
      <c r="I20" s="10" t="s">
        <v>79</v>
      </c>
    </row>
    <row r="21" customFormat="false" ht="22" hidden="false" customHeight="true" outlineLevel="0" collapsed="false">
      <c r="A21" s="8" t="n">
        <v>46099</v>
      </c>
      <c r="B21" s="9"/>
      <c r="C21" s="9"/>
      <c r="D21" s="9"/>
      <c r="E21" s="9"/>
      <c r="F21" s="9"/>
      <c r="G21" s="7"/>
      <c r="H21" s="7"/>
      <c r="I21" s="7" t="s">
        <v>80</v>
      </c>
    </row>
    <row r="22" customFormat="false" ht="22" hidden="false" customHeight="true" outlineLevel="0" collapsed="false">
      <c r="A22" s="11" t="n">
        <v>46100</v>
      </c>
      <c r="B22" s="12"/>
      <c r="C22" s="12"/>
      <c r="D22" s="12"/>
      <c r="E22" s="12"/>
      <c r="F22" s="12"/>
      <c r="G22" s="10"/>
      <c r="H22" s="10"/>
      <c r="I22" s="10" t="s">
        <v>81</v>
      </c>
    </row>
    <row r="23" customFormat="false" ht="22" hidden="false" customHeight="true" outlineLevel="0" collapsed="false">
      <c r="A23" s="8" t="n">
        <v>46101</v>
      </c>
      <c r="B23" s="9"/>
      <c r="C23" s="9"/>
      <c r="D23" s="9"/>
      <c r="E23" s="9"/>
      <c r="F23" s="9" t="n">
        <v>0</v>
      </c>
      <c r="G23" s="7"/>
      <c r="H23" s="7" t="s">
        <v>72</v>
      </c>
      <c r="I23" s="7" t="s">
        <v>82</v>
      </c>
    </row>
    <row r="24" customFormat="false" ht="22" hidden="false" customHeight="true" outlineLevel="0" collapsed="false">
      <c r="A24" s="11" t="n">
        <v>46104</v>
      </c>
      <c r="B24" s="12"/>
      <c r="C24" s="12"/>
      <c r="D24" s="12"/>
      <c r="E24" s="12"/>
      <c r="F24" s="12" t="n">
        <v>0</v>
      </c>
      <c r="G24" s="10"/>
      <c r="H24" s="10" t="s">
        <v>72</v>
      </c>
      <c r="I24" s="10" t="s">
        <v>83</v>
      </c>
    </row>
    <row r="25" customFormat="false" ht="22" hidden="false" customHeight="true" outlineLevel="0" collapsed="false">
      <c r="A25" s="8" t="n">
        <v>46105</v>
      </c>
      <c r="B25" s="9"/>
      <c r="C25" s="9"/>
      <c r="D25" s="9"/>
      <c r="E25" s="9"/>
      <c r="F25" s="9"/>
      <c r="G25" s="7"/>
      <c r="H25" s="7"/>
      <c r="I25" s="7" t="s">
        <v>84</v>
      </c>
    </row>
    <row r="26" customFormat="false" ht="22" hidden="false" customHeight="true" outlineLevel="0" collapsed="false">
      <c r="A26" s="11" t="n">
        <v>46106</v>
      </c>
      <c r="B26" s="12"/>
      <c r="C26" s="12"/>
      <c r="D26" s="12"/>
      <c r="E26" s="12"/>
      <c r="F26" s="12"/>
      <c r="G26" s="10"/>
      <c r="H26" s="10"/>
      <c r="I26" s="10" t="s">
        <v>85</v>
      </c>
    </row>
    <row r="27" customFormat="false" ht="22" hidden="false" customHeight="true" outlineLevel="0" collapsed="false">
      <c r="A27" s="8" t="n">
        <v>46107</v>
      </c>
      <c r="B27" s="9"/>
      <c r="C27" s="9"/>
      <c r="D27" s="9"/>
      <c r="E27" s="9"/>
      <c r="F27" s="9"/>
      <c r="G27" s="7"/>
      <c r="H27" s="7"/>
      <c r="I27" s="7" t="s">
        <v>86</v>
      </c>
    </row>
    <row r="28" customFormat="false" ht="22" hidden="false" customHeight="true" outlineLevel="0" collapsed="false">
      <c r="A28" s="11" t="n">
        <v>46108</v>
      </c>
      <c r="B28" s="12"/>
      <c r="C28" s="12"/>
      <c r="D28" s="12"/>
      <c r="E28" s="12"/>
      <c r="F28" s="12" t="n">
        <v>2</v>
      </c>
      <c r="G28" s="10"/>
      <c r="H28" s="10" t="s">
        <v>72</v>
      </c>
      <c r="I28" s="10" t="s">
        <v>87</v>
      </c>
    </row>
    <row r="29" customFormat="false" ht="22" hidden="false" customHeight="true" outlineLevel="0" collapsed="false">
      <c r="A29" s="8" t="n">
        <v>46111</v>
      </c>
      <c r="B29" s="9"/>
      <c r="C29" s="9"/>
      <c r="D29" s="9"/>
      <c r="E29" s="9"/>
      <c r="F29" s="9" t="n">
        <v>0</v>
      </c>
      <c r="G29" s="7"/>
      <c r="H29" s="7" t="s">
        <v>72</v>
      </c>
      <c r="I29" s="7" t="s">
        <v>88</v>
      </c>
    </row>
    <row r="30" customFormat="false" ht="22" hidden="false" customHeight="true" outlineLevel="0" collapsed="false">
      <c r="A30" s="11" t="n">
        <v>46112</v>
      </c>
      <c r="B30" s="12"/>
      <c r="C30" s="12"/>
      <c r="D30" s="12"/>
      <c r="E30" s="12"/>
      <c r="F30" s="12"/>
      <c r="G30" s="10"/>
      <c r="H30" s="10"/>
      <c r="I30" s="10" t="s">
        <v>89</v>
      </c>
    </row>
    <row r="31" customFormat="false" ht="22" hidden="false" customHeight="true" outlineLevel="0" collapsed="false">
      <c r="A31" s="8" t="n">
        <v>46134</v>
      </c>
      <c r="B31" s="9" t="n">
        <v>6</v>
      </c>
      <c r="C31" s="9" t="n">
        <v>8</v>
      </c>
      <c r="D31" s="9" t="n">
        <v>64</v>
      </c>
      <c r="E31" s="9" t="n">
        <v>24</v>
      </c>
      <c r="F31" s="9"/>
      <c r="G31" s="7" t="s">
        <v>71</v>
      </c>
      <c r="H31" s="7"/>
      <c r="I31" s="7" t="s">
        <v>90</v>
      </c>
    </row>
    <row r="32" customFormat="false" ht="22" hidden="false" customHeight="true" outlineLevel="0" collapsed="false">
      <c r="A32" s="11" t="n">
        <v>46135</v>
      </c>
      <c r="B32" s="12" t="n">
        <v>6</v>
      </c>
      <c r="C32" s="12" t="n">
        <v>8</v>
      </c>
      <c r="D32" s="12" t="n">
        <v>64</v>
      </c>
      <c r="E32" s="12" t="n">
        <v>32</v>
      </c>
      <c r="F32" s="12"/>
      <c r="G32" s="10" t="s">
        <v>71</v>
      </c>
      <c r="H32" s="10"/>
      <c r="I32" s="10" t="s">
        <v>91</v>
      </c>
    </row>
    <row r="33" customFormat="false" ht="22" hidden="false" customHeight="true" outlineLevel="0" collapsed="false">
      <c r="A33" s="8" t="n">
        <v>46136</v>
      </c>
      <c r="B33" s="9" t="n">
        <v>6</v>
      </c>
      <c r="C33" s="9" t="n">
        <v>8</v>
      </c>
      <c r="D33" s="9" t="n">
        <v>64</v>
      </c>
      <c r="E33" s="9" t="n">
        <v>32</v>
      </c>
      <c r="F33" s="9"/>
      <c r="G33" s="7" t="s">
        <v>71</v>
      </c>
      <c r="H33" s="7"/>
      <c r="I33" s="7" t="s">
        <v>92</v>
      </c>
    </row>
    <row r="34" customFormat="false" ht="22" hidden="false" customHeight="true" outlineLevel="0" collapsed="false">
      <c r="A34" s="11" t="n">
        <v>46139</v>
      </c>
      <c r="B34" s="12" t="n">
        <v>6</v>
      </c>
      <c r="C34" s="12" t="n">
        <v>8</v>
      </c>
      <c r="D34" s="12" t="n">
        <v>64</v>
      </c>
      <c r="E34" s="12" t="n">
        <v>32</v>
      </c>
      <c r="F34" s="12"/>
      <c r="G34" s="10" t="s">
        <v>71</v>
      </c>
      <c r="H34" s="10"/>
      <c r="I34" s="10" t="s">
        <v>92</v>
      </c>
    </row>
    <row r="35" customFormat="false" ht="22" hidden="false" customHeight="true" outlineLevel="0" collapsed="false">
      <c r="A35" s="8" t="n">
        <v>46140</v>
      </c>
      <c r="B35" s="9" t="n">
        <v>6</v>
      </c>
      <c r="C35" s="9" t="n">
        <v>8</v>
      </c>
      <c r="D35" s="9" t="n">
        <v>64</v>
      </c>
      <c r="E35" s="9" t="n">
        <v>24</v>
      </c>
      <c r="F35" s="9"/>
      <c r="G35" s="7" t="s">
        <v>71</v>
      </c>
      <c r="H35" s="7"/>
      <c r="I35" s="7" t="s">
        <v>93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2026-06-15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