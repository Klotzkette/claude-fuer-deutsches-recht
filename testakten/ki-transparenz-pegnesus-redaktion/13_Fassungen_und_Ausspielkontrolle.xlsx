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3b1c86420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spielung" sheetId="1" r:id="Ra71d033cb5294592"/>
    <x:sheet xmlns:r="http://schemas.openxmlformats.org/officeDocument/2006/relationships" name="Schnittplan" sheetId="2" r:id="Rf491e99836bb4981"/>
  </x:sheets>
  <x:definedNames>
    <x:definedName name="_xlnm.Print_Area" localSheetId="0">'Ausspielung'!$A$1:$F$25</x:definedName>
    <x:definedName name="_xlnm.Print_Area" localSheetId="1">'Schnittplan'!$A$1:$D$24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c37981e644110" /><Relationship Type="http://schemas.openxmlformats.org/officeDocument/2006/relationships/theme" Target="/xl/theme/theme1.xml" Id="Rca4fb58c67784462" /><Relationship Type="http://schemas.openxmlformats.org/officeDocument/2006/relationships/sharedStrings" Target="/xl/sharedStrings.xml" Id="R989ac1a339634051" /><Relationship Type="http://schemas.openxmlformats.org/officeDocument/2006/relationships/worksheet" Target="/xl/worksheets/sheet1.xml" Id="Ra71d033cb5294592" /><Relationship Type="http://schemas.openxmlformats.org/officeDocument/2006/relationships/worksheet" Target="/xl/worksheets/sheet2.xml" Id="Rf491e99836bb49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2" hidden="0" customWidth="1"/>
    <x:col min="4" max="4" width="24" hidden="0" customWidth="1"/>
    <x:col min="5" max="5" width="22" hidden="0" customWidth="1"/>
    <x:col min="6" max="6" width="27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30" customHeight="1">
      <x:c r="A2" s="3" t="str">
        <x:v>Pegnesus Fassungen und vorhandene Belege</x:v>
      </x:c>
      <x:c r="B2" s="2"/>
      <x:c r="C2" s="2"/>
      <x:c r="D2" s="2"/>
      <x:c r="E2" s="2"/>
      <x:c r="F2" s="2"/>
    </x:row>
    <x:row r="3" ht="22" customHeight="1">
      <x:c r="A3" s="4" t="str">
        <x:v>Stand 09.10.2026. Blaue Werte sind Eingaben; schwarze Werte werden berechnet.</x:v>
      </x:c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30" customHeight="1">
      <x:c r="A5" s="8" t="str">
        <x:v>Kanal</x:v>
      </x:c>
      <x:c r="B5" s="8" t="str">
        <x:v>Sollfassung</x:v>
      </x:c>
      <x:c r="C5" s="8" t="str">
        <x:v>Belegte Prüffassung</x:v>
      </x:c>
      <x:c r="D5" s="8" t="str">
        <x:v>Versionsabgleich</x:v>
      </x:c>
      <x:c r="E5" s="8" t="str">
        <x:v>Medienprobe belegt</x:v>
      </x:c>
      <x:c r="F5" s="8" t="str">
        <x:v>Zuständig</x:v>
      </x:c>
    </x:row>
    <x:row r="6" ht="38" customHeight="1">
      <x:c r="A6" s="10" t="str">
        <x:v>Webseite</x:v>
      </x:c>
      <x:c r="B6" s="12" t="str">
        <x:v>Text v3</x:v>
      </x:c>
      <x:c r="C6" s="12" t="str">
        <x:v>Text v2</x:v>
      </x:c>
      <x:c r="D6" s="11" t="str">
        <x:f>IF(AND(B6&lt;&gt;"",C6&lt;&gt;"",B6=C6),"gleich","abweichend/offen")</x:f>
        <x:v>abweichend/offen</x:v>
      </x:c>
      <x:c r="E6" s="19" t="n">
        <x:v>0</x:v>
      </x:c>
      <x:c r="F6" s="10" t="str">
        <x:v>Ottmar Dörfler</x:v>
      </x:c>
    </x:row>
    <x:row r="7" ht="38" customHeight="1">
      <x:c r="A7" s="10" t="str">
        <x:v>Newsletter</x:v>
      </x:c>
      <x:c r="B7" s="12" t="str">
        <x:v>Text v3 kurz</x:v>
      </x:c>
      <x:c r="C7" s="12" t="str">
        <x:v>Text v2</x:v>
      </x:c>
      <x:c r="D7" s="11" t="str">
        <x:f>IF(AND(B7&lt;&gt;"",C7&lt;&gt;"",B7=C7),"gleich","abweichend/offen")</x:f>
        <x:v>abweichend/offen</x:v>
      </x:c>
      <x:c r="E7" s="19" t="n">
        <x:v>0</x:v>
      </x:c>
      <x:c r="F7" s="10" t="str">
        <x:v>Jule Sommer</x:v>
      </x:c>
    </x:row>
    <x:row r="8" ht="38" customHeight="1">
      <x:c r="A8" s="10" t="str">
        <x:v>Satireseite</x:v>
      </x:c>
      <x:c r="B8" s="12" t="str">
        <x:v>SAT-51</x:v>
      </x:c>
      <x:c r="C8" s="12" t="str">
        <x:v>Beschreibung</x:v>
      </x:c>
      <x:c r="D8" s="11" t="str">
        <x:f>IF(AND(B8&lt;&gt;"",C8&lt;&gt;"",B8=C8),"gleich","abweichend/offen")</x:f>
        <x:v>abweichend/offen</x:v>
      </x:c>
      <x:c r="E8" s="19" t="n">
        <x:v>0</x:v>
      </x:c>
      <x:c r="F8" s="10" t="str">
        <x:v>Frida Karg</x:v>
      </x:c>
    </x:row>
    <x:row r="9" ht="38" customHeight="1">
      <x:c r="A9" s="10" t="str">
        <x:v>Vorschaukarte</x:v>
      </x:c>
      <x:c r="B9" s="12" t="str">
        <x:v>SAT-51</x:v>
      </x:c>
      <x:c r="C9" s="12" t="str">
        <x:v>ROOM-14 alt</x:v>
      </x:c>
      <x:c r="D9" s="11" t="str">
        <x:f>IF(AND(B9&lt;&gt;"",C9&lt;&gt;"",B9=C9),"gleich","abweichend/offen")</x:f>
        <x:v>abweichend/offen</x:v>
      </x:c>
      <x:c r="E9" s="19" t="n">
        <x:v>0</x:v>
      </x:c>
      <x:c r="F9" s="10" t="str">
        <x:v>Ben Riegel</x:v>
      </x:c>
    </x:row>
    <x:row r="10" ht="38" customHeight="1">
      <x:c r="A10" s="10" t="str">
        <x:v>Langer Ton</x:v>
      </x:c>
      <x:c r="B10" s="12" t="str">
        <x:v>AU-62</x:v>
      </x:c>
      <x:c r="C10" s="12" t="str">
        <x:v>AU-62</x:v>
      </x:c>
      <x:c r="D10" s="11" t="str">
        <x:f>IF(AND(B10&lt;&gt;"",C10&lt;&gt;"",B10=C10),"gleich","abweichend/offen")</x:f>
        <x:v>gleich</x:v>
      </x:c>
      <x:c r="E10" s="19" t="n">
        <x:v>0</x:v>
      </x:c>
      <x:c r="F10" s="10" t="str">
        <x:v>Jule Sommer</x:v>
      </x:c>
    </x:row>
    <x:row r="11" ht="38" customHeight="1">
      <x:c r="A11" s="10" t="str">
        <x:v>Kurzclip</x:v>
      </x:c>
      <x:c r="B11" s="12" t="str">
        <x:v>AU-62-C</x:v>
      </x:c>
      <x:c r="C11" s="12" t="str">
        <x:v>Schnittplan</x:v>
      </x:c>
      <x:c r="D11" s="11" t="str">
        <x:f>IF(AND(B11&lt;&gt;"",C11&lt;&gt;"",B11=C11),"gleich","abweichend/offen")</x:f>
        <x:v>abweichend/offen</x:v>
      </x:c>
      <x:c r="E11" s="19" t="n">
        <x:v>0</x:v>
      </x:c>
      <x:c r="F11" s="10" t="str">
        <x:v>Ben Riegel</x:v>
      </x:c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 t="str">
        <x:v>Geplante Ausspielungen</x:v>
      </x:c>
      <x:c r="B14" s="2"/>
      <x:c r="C14" s="2"/>
      <x:c r="D14" s="9" t="n">
        <x:f>COUNTA(A6:A11)</x:f>
        <x:v>6</x:v>
      </x:c>
      <x:c r="E14" s="2"/>
      <x:c r="F14" s="2"/>
    </x:row>
    <x:row r="15" ht="22" customHeight="1">
      <x:c r="A15" s="2" t="str">
        <x:v>Abweichend oder offen</x:v>
      </x:c>
      <x:c r="B15" s="2"/>
      <x:c r="C15" s="2"/>
      <x:c r="D15" s="9" t="n">
        <x:f>COUNTIF(D6:D11,"abweichend/offen")</x:f>
        <x:v>5</x:v>
      </x:c>
      <x:c r="E15" s="2"/>
      <x:c r="F15" s="2"/>
    </x:row>
    <x:row r="16" ht="22" customHeight="1">
      <x:c r="A16" s="2" t="str">
        <x:v>Belegte Medienproben</x:v>
      </x:c>
      <x:c r="B16" s="2"/>
      <x:c r="C16" s="2"/>
      <x:c r="D16" s="9" t="n">
        <x:f>IF(COUNT(E6:E11)=6,SUM(E6:E11),"offen")</x:f>
        <x:v>0</x:v>
      </x:c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4" t="str">
        <x:v>Quelle: 03_Redaktionsprotokoll und 05_Kontrollblatt_Ausspielung. Keine Veröffentlichung erfolgt.</x:v>
      </x:c>
      <x:c r="B19" s="2"/>
      <x:c r="C19" s="2"/>
      <x:c r="D19" s="2"/>
      <x:c r="E19" s="2"/>
      <x:c r="F19" s="2"/>
    </x:row>
    <x:row r="20" ht="22" customHeight="1">
      <x:c r="A20" s="4" t="str">
        <x:v>0 = keine Medienprobe belegt; 1 = zugeordnete Probe dokumentiert. Keine rechtliche Freigabe.</x:v>
      </x:c>
      <x:c r="B20" s="2"/>
      <x:c r="C20" s="2"/>
      <x:c r="D20" s="2"/>
      <x:c r="E20" s="2"/>
      <x:c r="F20" s="2"/>
    </x:row>
    <x:row r="21" ht="22" customHeight="1">
      <x:c r="A21" s="4" t="str">
        <x:v>AU-62 ist durch das Produktionsprotokoll bezeichnet. Eine Hörprobe ist auch dort nicht belegt.</x:v>
      </x:c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4" t="str">
        <x:v>Der Versionsabgleich vergleicht Kennungen. Gleiche Kennungen belegen keine inhaltliche Prüfung.</x:v>
      </x:c>
      <x:c r="B23" s="2"/>
      <x:c r="C23" s="2"/>
      <x:c r="D23" s="2"/>
      <x:c r="E23" s="2"/>
      <x:c r="F23" s="2"/>
    </x:row>
    <x:row r="24" ht="22" customHeight="1">
      <x:c r="A24" s="4" t="str">
        <x:v>Neue Ergebnisse mit Fassung und Prüfperson nachtragen; keine rückwirkende Freigabe eintragen.</x:v>
      </x:c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</x:sheetData>
  <x:dataValidations count="1">
    <x:dataValidation type="list" sqref="E6:E11">
      <x:formula1>"0,1"</x:formula1>
    </x:dataValidation>
  </x:dataValidations>
  <x:pageMargins left="0.3" right="0.3" top="0.4" bottom="0.4" header="0.15" footer="0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22" hidden="0" customWidth="1"/>
    <x:col min="4" max="4" width="37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Audioclip und erhaltener Vorspann</x:v>
      </x:c>
      <x:c r="B2" s="2"/>
      <x:c r="C2" s="2"/>
      <x:c r="D2" s="2"/>
    </x:row>
    <x:row r="3" ht="22" customHeight="1">
      <x:c r="A3" s="4" t="str">
        <x:v>Stand 09.10.2026. Blaue Werte sind Eingaben; schwarze Werte werden berechnet.</x:v>
      </x:c>
      <x:c r="B3" s="2"/>
      <x:c r="C3" s="2"/>
      <x:c r="D3" s="2"/>
    </x:row>
    <x:row r="4" ht="22" customHeight="1">
      <x:c r="A4" s="2"/>
      <x:c r="B4" s="2"/>
      <x:c r="C4" s="2"/>
      <x:c r="D4" s="2"/>
    </x:row>
    <x:row r="5" ht="30" customHeight="1">
      <x:c r="A5" s="8" t="str">
        <x:v>Angabe</x:v>
      </x:c>
      <x:c r="B5" s="8" t="str">
        <x:v>Sekunden</x:v>
      </x:c>
      <x:c r="C5" s="8" t="str">
        <x:v>Art</x:v>
      </x:c>
      <x:c r="D5" s="8" t="str">
        <x:v>Quelle oder Bedeutung</x:v>
      </x:c>
    </x:row>
    <x:row r="6" ht="22" customHeight="1">
      <x:c r="A6" s="2" t="str">
        <x:v>Lange Fassung insgesamt</x:v>
      </x:c>
      <x:c r="B6" s="15" t="n">
        <x:v>96</x:v>
      </x:c>
      <x:c r="C6" s="2" t="str">
        <x:v>Eingabe</x:v>
      </x:c>
      <x:c r="D6" s="2" t="str">
        <x:v>AU-62 Produktionsplan</x:v>
      </x:c>
    </x:row>
    <x:row r="7" ht="22" customHeight="1">
      <x:c r="A7" s="2" t="str">
        <x:v>Vorspann beginnt</x:v>
      </x:c>
      <x:c r="B7" s="15" t="n">
        <x:v>0</x:v>
      </x:c>
      <x:c r="C7" s="2" t="str">
        <x:v>Eingabe</x:v>
      </x:c>
      <x:c r="D7" s="2" t="str">
        <x:v>Lange Fassung</x:v>
      </x:c>
    </x:row>
    <x:row r="8" ht="22" customHeight="1">
      <x:c r="A8" s="2" t="str">
        <x:v>Vorspann endet</x:v>
      </x:c>
      <x:c r="B8" s="15" t="n">
        <x:v>6</x:v>
      </x:c>
      <x:c r="C8" s="2" t="str">
        <x:v>Eingabe</x:v>
      </x:c>
      <x:c r="D8" s="2" t="str">
        <x:v>Lange Fassung</x:v>
      </x:c>
    </x:row>
    <x:row r="9" ht="22" customHeight="1">
      <x:c r="A9" s="2" t="str">
        <x:v>Clip beginnt</x:v>
      </x:c>
      <x:c r="B9" s="15" t="n">
        <x:v>12</x:v>
      </x:c>
      <x:c r="C9" s="2" t="str">
        <x:v>Eingabe</x:v>
      </x:c>
      <x:c r="D9" s="2" t="str">
        <x:v>AU-62-C Schnittplanung</x:v>
      </x:c>
    </x:row>
    <x:row r="10" ht="22" customHeight="1">
      <x:c r="A10" s="2" t="str">
        <x:v>Clip endet</x:v>
      </x:c>
      <x:c r="B10" s="15" t="n">
        <x:v>42</x:v>
      </x:c>
      <x:c r="C10" s="2" t="str">
        <x:v>Eingabe</x:v>
      </x:c>
      <x:c r="D10" s="2" t="str">
        <x:v>AU-62-C Schnittplanung</x:v>
      </x:c>
    </x:row>
    <x:row r="11" ht="22" customHeight="1">
      <x:c r="A11" s="2"/>
      <x:c r="B11" s="16"/>
      <x:c r="C11" s="2"/>
      <x:c r="D11" s="2"/>
    </x:row>
    <x:row r="12" ht="22" customHeight="1">
      <x:c r="A12" s="2" t="str">
        <x:v>Clipdauer</x:v>
      </x:c>
      <x:c r="B12" s="17" t="n">
        <x:f>IF(COUNT(B9:B10)=2,B10-B9,"offen")</x:f>
        <x:v>30</x:v>
      </x:c>
      <x:c r="C12" s="2"/>
      <x:c r="D12" s="2"/>
    </x:row>
    <x:row r="13" ht="22" customHeight="1">
      <x:c r="A13" s="2" t="str">
        <x:v>Vorspann im Clip</x:v>
      </x:c>
      <x:c r="B13" s="17" t="n">
        <x:f>IF(COUNT(B7:B10)=4,MAX(0,MIN(B8,B10)-MAX(B7,B9)),"offen")</x:f>
        <x:v>0</x:v>
      </x:c>
      <x:c r="C13" s="2"/>
      <x:c r="D13" s="2"/>
    </x:row>
    <x:row r="14" ht="22" customHeight="1">
      <x:c r="A14" s="2" t="str">
        <x:v>Anteil Vorspann an Clip</x:v>
      </x:c>
      <x:c r="B14" s="18" t="n">
        <x:f>IF(COUNT(B12:B13)=2,IF(B12=0,"n.a.",B13/B12),"offen")</x:f>
        <x:v>0</x:v>
      </x:c>
      <x:c r="C14" s="2"/>
      <x:c r="D14" s="2"/>
    </x:row>
    <x:row r="15" ht="22" customHeight="1">
      <x:c r="A15" s="2"/>
      <x:c r="B15" s="2"/>
      <x:c r="C15" s="2"/>
      <x:c r="D15" s="2"/>
    </x:row>
    <x:row r="16" ht="22" customHeight="1">
      <x:c r="A16" s="2" t="str">
        <x:v>Schnitt innerhalb Langfassung</x:v>
      </x:c>
      <x:c r="B16" s="2"/>
      <x:c r="C16" s="2"/>
      <x:c r="D16" s="9" t="str">
        <x:f>IF(COUNT(B6,B9:B10)=3,IF(AND(B9&gt;=0,B10&gt;=B9,B10&lt;=B6),"ja","prüfen"),"offen")</x:f>
        <x:v>ja</x:v>
      </x:c>
    </x:row>
    <x:row r="17" ht="22" customHeight="1">
      <x:c r="A17" s="2"/>
      <x:c r="B17" s="2"/>
      <x:c r="C17" s="2"/>
      <x:c r="D17" s="2"/>
    </x:row>
    <x:row r="18" ht="22" customHeight="1">
      <x:c r="A18" s="2"/>
      <x:c r="B18" s="2"/>
      <x:c r="C18" s="2"/>
      <x:c r="D18" s="2"/>
    </x:row>
    <x:row r="19" ht="22" customHeight="1">
      <x:c r="A19" s="4" t="str">
        <x:v>Quelle: 02_Produktionsbeschreibung und 05_Kontrollblatt, Abschnitt 3.</x:v>
      </x:c>
      <x:c r="B19" s="2"/>
      <x:c r="C19" s="2"/>
      <x:c r="D19" s="2"/>
    </x:row>
    <x:row r="20" ht="22" customHeight="1">
      <x:c r="A20" s="4" t="str">
        <x:v>Rechnung aus dem Schnittplan. Die tatsächlich exportierte Tondatei ist noch nicht geprüft.</x:v>
      </x:c>
      <x:c r="B20" s="2"/>
      <x:c r="C20" s="2"/>
      <x:c r="D20" s="2"/>
    </x:row>
    <x:row r="21" ht="22" customHeight="1">
      <x:c r="A21" s="2"/>
      <x:c r="B21" s="2"/>
      <x:c r="C21" s="2"/>
      <x:c r="D21" s="2"/>
    </x:row>
    <x:row r="22" ht="22" customHeight="1">
      <x:c r="A22" s="4" t="str">
        <x:v>Der fehlende Originalvorspann sagt nichts über einen zusätzlichen Plattformhinweis.</x:v>
      </x:c>
      <x:c r="B22" s="2"/>
      <x:c r="C22" s="2"/>
      <x:c r="D22" s="2"/>
    </x:row>
    <x:row r="23" ht="22" customHeight="1">
      <x:c r="A23" s="4" t="str">
        <x:v>Auch einen ergänzten Hinweis muss das Publikum bei der konkreten Ausspielung wahrnehmen.</x:v>
      </x:c>
      <x:c r="B23" s="2"/>
      <x:c r="C23" s="2"/>
      <x:c r="D23" s="2"/>
    </x:row>
    <x:row r="24" ht="22" customHeight="1">
      <x:c r="A24" s="2"/>
      <x:c r="B24" s="2"/>
      <x:c r="C24" s="2"/>
      <x:c r="D24" s="2"/>
    </x:row>
    <x:row r="25" ht="22" customHeight="1">
      <x:c r="A25" s="2"/>
      <x:c r="B25" s="2"/>
      <x:c r="C25" s="2"/>
      <x:c r="D25" s="2"/>
    </x:row>
    <x:row r="26" ht="22" customHeight="1">
      <x:c r="A26" s="2"/>
      <x:c r="B26" s="2"/>
      <x:c r="C26" s="2"/>
      <x:c r="D26" s="2"/>
    </x:row>
    <x:row r="27" ht="22" customHeight="1">
      <x:c r="A27" s="2"/>
      <x:c r="B27" s="2"/>
      <x:c r="C27" s="2"/>
      <x:c r="D27" s="2"/>
    </x:row>
  </x:sheetData>
  <x:pageMargins left="0.3" right="0.3" top="0.4" bottom="0.4" header="0.15" footer="0.15"/>
  <x:pageSetup paperSize="9" orientation="landscape" fitToWidth="1" fitToHeight="1"/>
</x:worksheet>
</file>