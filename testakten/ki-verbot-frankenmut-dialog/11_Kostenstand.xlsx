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dffd0ccfd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137e975e04ee4c00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(#,##0.00);&quot;-&quot;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4" fillId="2" borderId="0" xfId="0" applyNumberFormat="1" applyFont="1" applyFill="1" applyBorder="1" applyAlignment="1">
      <x:alignment horizontal="center"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2817503f64186" /><Relationship Type="http://schemas.openxmlformats.org/officeDocument/2006/relationships/theme" Target="/xl/theme/theme1.xml" Id="Rf1fec4d3732b480f" /><Relationship Type="http://schemas.openxmlformats.org/officeDocument/2006/relationships/sharedStrings" Target="/xl/sharedStrings.xml" Id="R50065abb6d65479b" /><Relationship Type="http://schemas.openxmlformats.org/officeDocument/2006/relationships/worksheet" Target="/xl/worksheets/sheet1.xml" Id="R137e975e04ee4c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Frankenmut Dialog und das Familienabo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Position</x:v>
      </x:c>
      <x:c r="B5" s="8" t="str">
        <x:v>Betrag EUR</x:v>
      </x:c>
      <x:c r="C5" s="8" t="str">
        <x:v>Anzahl</x:v>
      </x:c>
      <x:c r="D5" s="8" t="str">
        <x:v>Gesamt EUR</x:v>
      </x:c>
    </x:row>
    <x:row r="6" ht="18" customHeight="1">
      <x:c r="A6" s="16" t="str">
        <x:v>Einrichtung brutto</x:v>
      </x:c>
      <x:c r="B6" s="19" t="n">
        <x:v>149</x:v>
      </x:c>
      <x:c r="C6" s="23" t="n">
        <x:v>1</x:v>
      </x:c>
      <x:c r="D6" s="18" t="n">
        <x:f>B6*C6</x:f>
        <x:v>149</x:v>
      </x:c>
    </x:row>
    <x:row r="7" ht="18" customHeight="1">
      <x:c r="A7" s="16" t="str">
        <x:v>Monatsrate brutto</x:v>
      </x:c>
      <x:c r="B7" s="19" t="n">
        <x:v>79</x:v>
      </x:c>
      <x:c r="C7" s="23" t="n">
        <x:v>12</x:v>
      </x:c>
      <x:c r="D7" s="18" t="n">
        <x:f>B7*C7</x:f>
        <x:v>948</x:v>
      </x:c>
    </x:row>
    <x:row r="8" ht="18" customHeight="1">
      <x:c r="A8" s="16" t="str">
        <x:v>Bereits bezahlt</x:v>
      </x:c>
      <x:c r="B8" s="19" t="n">
        <x:v>228</x:v>
      </x:c>
      <x:c r="C8" s="23" t="n">
        <x:v>1</x:v>
      </x:c>
      <x:c r="D8" s="18" t="n">
        <x:f>B8*C8</x:f>
        <x:v>228</x:v>
      </x:c>
    </x:row>
    <x:row r="9" ht="8" customHeight="1">
      <x:c r="A9" s="16"/>
      <x:c r="B9" s="17"/>
      <x:c r="C9" s="16"/>
      <x:c r="D9" s="17"/>
    </x:row>
    <x:row r="10" ht="18" customHeight="1">
      <x:c r="A10" s="16" t="str">
        <x:v>Vertragssumme brutto</x:v>
      </x:c>
      <x:c r="B10" s="17"/>
      <x:c r="C10" s="16"/>
      <x:c r="D10" s="18" t="n">
        <x:f>SUM(D6:D7)</x:f>
        <x:v>1097</x:v>
      </x:c>
    </x:row>
    <x:row r="11" ht="18" customHeight="1">
      <x:c r="A11" s="16" t="str">
        <x:v>Nach Zahlung rechnerisch offen</x:v>
      </x:c>
      <x:c r="B11" s="17"/>
      <x:c r="C11" s="16"/>
      <x:c r="D11" s="18" t="n">
        <x:f>D10-D8</x:f>
        <x:v>869</x:v>
      </x:c>
    </x:row>
    <x:row r="12" ht="8" customHeight="1">
      <x:c r="A12" s="16"/>
      <x:c r="B12" s="17"/>
      <x:c r="C12" s="16"/>
      <x:c r="D12" s="17"/>
    </x:row>
    <x:row r="13" ht="8" customHeight="1">
      <x:c r="A13" s="16"/>
      <x:c r="B13" s="17"/>
      <x:c r="C13" s="16"/>
      <x:c r="D13" s="17"/>
    </x:row>
    <x:row r="14" ht="26" customHeight="1">
      <x:c r="A14" s="15" t="str">
        <x:v>Angaben der Kundin</x:v>
      </x:c>
      <x:c r="B14" s="20" t="str">
        <x:v>Betrag EUR</x:v>
      </x:c>
      <x:c r="C14" s="15" t="str">
        <x:v>Monate</x:v>
      </x:c>
      <x:c r="D14" s="20" t="str">
        <x:v>Rechenwert EUR</x:v>
      </x:c>
    </x:row>
    <x:row r="15" ht="18" customHeight="1">
      <x:c r="A15" s="16" t="str">
        <x:v>Monatliche Rente</x:v>
      </x:c>
      <x:c r="B15" s="19" t="n">
        <x:v>1140</x:v>
      </x:c>
      <x:c r="C15" s="23" t="n">
        <x:v>1</x:v>
      </x:c>
      <x:c r="D15" s="18" t="n">
        <x:f>B15*C15</x:f>
        <x:v>1140</x:v>
      </x:c>
    </x:row>
    <x:row r="16" ht="18" customHeight="1">
      <x:c r="A16" s="16" t="str">
        <x:v>Monatliche Wohnkosten</x:v>
      </x:c>
      <x:c r="B16" s="19" t="n">
        <x:v>680</x:v>
      </x:c>
      <x:c r="C16" s="23" t="n">
        <x:v>1</x:v>
      </x:c>
      <x:c r="D16" s="18" t="n">
        <x:f>B16*C16</x:f>
        <x:v>680</x:v>
      </x:c>
    </x:row>
    <x:row r="17" ht="18" customHeight="1">
      <x:c r="A17" s="16" t="str">
        <x:v>Verbleibend vor anderen Kosten</x:v>
      </x:c>
      <x:c r="B17" s="17"/>
      <x:c r="C17" s="16"/>
      <x:c r="D17" s="18" t="n">
        <x:f>D15-D16</x:f>
        <x:v>460</x:v>
      </x:c>
    </x:row>
    <x:row r="18" ht="8" customHeight="1">
      <x:c r="A18" s="16"/>
      <x:c r="B18" s="16"/>
      <x:c r="C18" s="16"/>
      <x:c r="D18" s="16"/>
    </x:row>
    <x:row r="19" ht="18" customHeight="1">
      <x:c r="A19" s="16" t="str">
        <x:v>Monatsrate / Betrag aus D17</x:v>
      </x:c>
      <x:c r="B19" s="16"/>
      <x:c r="C19" s="16"/>
      <x:c r="D19" s="21" t="n">
        <x:f>IF(D17=0,"n.a.",B7/D17)</x:f>
        <x:v>0.17173913043478262</x:v>
      </x:c>
    </x:row>
    <x:row r="20" ht="8" customHeight="1">
      <x:c r="A20" s="16"/>
      <x:c r="B20" s="16"/>
      <x:c r="C20" s="16"/>
      <x:c r="D20" s="16"/>
    </x:row>
    <x:row r="21" ht="8" customHeight="1">
      <x:c r="A21" s="16"/>
      <x:c r="B21" s="16"/>
      <x:c r="C21" s="16"/>
      <x:c r="D21" s="16"/>
    </x:row>
    <x:row r="22" ht="18" customHeight="1">
      <x:c r="A22" s="22" t="str">
        <x:v>Quelle Kosten und Zahlung: 01_Pruefauftrag.docx, Abschnitt 2.</x:v>
      </x:c>
      <x:c r="B22" s="16"/>
      <x:c r="C22" s="16"/>
      <x:c r="D22" s="16"/>
    </x:row>
    <x:row r="23" ht="18" customHeight="1">
      <x:c r="A23" s="22" t="str">
        <x:v>Quelle Rente und Wohnen: 03_Gespraech_Riemenschneider.docx; Angaben unbestätigt.</x:v>
      </x:c>
      <x:c r="B23" s="16"/>
      <x:c r="C23" s="16"/>
      <x:c r="D23" s="16"/>
    </x:row>
    <x:row r="24" ht="18" customHeight="1">
      <x:c r="A24" s="22" t="str">
        <x:v>D11 ist eine Rechengröße, keine Feststellung einer durchsetzbaren Forderung.</x:v>
      </x:c>
      <x:c r="B24" s="16"/>
      <x:c r="C24" s="16"/>
      <x:c r="D24" s="16"/>
    </x:row>
    <x:row r="25" ht="18" customHeight="1">
      <x:c r="A25" s="22" t="str">
        <x:v>Andere Lebenshaltungskosten fehlen. D17 ist kein frei verfügbares Einkommen.</x:v>
      </x:c>
      <x:c r="B25" s="16"/>
      <x:c r="C25" s="16"/>
      <x:c r="D25" s="16"/>
    </x:row>
    <x:row r="26" ht="8" customHeight="1">
      <x:c r="A26" s="16"/>
      <x:c r="B26" s="16"/>
      <x:c r="C26" s="16"/>
      <x:c r="D26" s="16"/>
    </x:row>
    <x:row r="27" ht="8" customHeight="1">
      <x:c r="A27" s="16"/>
      <x:c r="B27" s="16"/>
      <x:c r="C27" s="16"/>
      <x:c r="D27" s="16"/>
    </x:row>
    <x:row r="28" ht="8" customHeight="1">
      <x:c r="A28" s="16"/>
      <x:c r="B28" s="16"/>
      <x:c r="C28" s="16"/>
      <x:c r="D28" s="16"/>
    </x:row>
    <x:row r="29" ht="8" customHeight="1">
      <x:c r="A29" s="16"/>
      <x:c r="B29" s="16"/>
      <x:c r="C29" s="16"/>
      <x:c r="D29" s="16"/>
    </x:row>
  </x:sheetData>
  <x:pageMargins left="0.3" right="0.3" top="0.35" bottom="0.35" header="0.15" footer="0.15"/>
  <x:pageSetup paperSize="9" orientation="landscape" fitToWidth="1" fitToHeight="0"/>
</x:worksheet>
</file>