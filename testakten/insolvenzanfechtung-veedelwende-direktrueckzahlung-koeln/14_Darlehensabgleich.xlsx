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766526228434039" /></Relationships>
</file>

<file path=xl/workbook.xml><?xml version="1.0" encoding="utf-8"?>
<ns0:workbook xmlns:ns0="http://schemas.openxmlformats.org/spreadsheetml/2006/main" xmlns:ns1="http://schemas.openxmlformats.org/officeDocument/2006/relationships">
  <ns0:sheets>
    <ns0:sheet name="Abgleich" sheetId="1" ns1:id="Rd03589e9d5464a0f"/>
  </ns0:sheets>
  <ns0:definedNames>
    <ns0:definedName name="_xlnm.Print_Area" localSheetId="0">'Abgleich'!$A$1:$E$20</ns0:definedName>
  </ns0:definedNames>
</ns0: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  @"/>
    <x:numFmt numFmtId="201" formatCode="[$-407]#,##0.00_);[Red](#,##0.00);&quot;-&quot;_)"/>
  </x:numFmts>
  <x:fonts count="10">
    <x:font>
      <x:sz val="11"/>
      <x:name val="Carlito"/>
    </x:font>
    <x:font>
      <x:sz val="11"/>
      <x:name val="Times New Roman"/>
    </x:font>
    <x:font>
      <x:b/>
      <x:sz val="15"/>
      <x:name val="Times New Roman"/>
    </x:font>
    <x:font>
      <x:i/>
      <x:sz val="11"/>
      <x:color rgb="FF555555"/>
      <x:name val="Times New Roman"/>
    </x:font>
    <x:font>
      <x:sz val="11"/>
      <x:color rgb="FF0000FF"/>
      <x:name val="Times New Roman"/>
    </x:font>
    <x:font>
      <x:b/>
      <x:sz val="11"/>
      <x:color rgb="FFFFFFFF"/>
      <x:name val="Times New Roman"/>
    </x:font>
    <x:font>
      <x:b/>
      <x:sz val="11"/>
      <x:name val="Times New Roman"/>
    </x:font>
    <x:font>
      <x:sz val="11"/>
      <x:color rgb="FF111111"/>
      <x:name val="Times New Roman"/>
    </x:font>
    <x:font>
      <x:b/>
      <x:sz val="11"/>
      <x:color rgb="FF111111"/>
      <x:name val="Times New Roman"/>
    </x:font>
    <x:font>
      <x:sz val="11"/>
      <x:color rgb="FF555555"/>
      <x:name val="Times New Roman"/>
    </x:font>
  </x:fonts>
  <x:fills count="3">
    <x:fill>
      <x:patternFill patternType="none"/>
    </x:fill>
    <x:fill>
      <x:patternFill patternType="gray125"/>
    </x:fill>
    <x:fill>
      <x:patternFill patternType="solid">
        <x:fgColor rgb="FF293C50"/>
      </x:patternFill>
    </x:fill>
  </x:fills>
  <x:borders count="2">
    <x:border>
      <x:left/>
      <x:right/>
      <x:top/>
      <x:bottom/>
      <x:diagonal/>
    </x:border>
    <x:border>
      <x:left/>
      <x:right/>
      <x:top style="thin">
        <x:color rgb="FF8192A0"/>
      </x:top>
      <x:bottom/>
      <x:diagonal/>
    </x:border>
  </x:borders>
  <x:cellStyleXfs count="1">
    <x:xf numFmtId="0" fontId="0" fillId="0" borderId="0"/>
  </x:cellStyleXfs>
  <x:cellXfs count="22">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200" fontId="1" fillId="0" borderId="0" xfId="0" applyNumberFormat="1" applyFont="1" applyFill="1" applyBorder="1" applyAlignment="1">
      <x:alignment vertical="center"/>
    </x:xf>
    <x:xf numFmtId="0" fontId="4" fillId="0" borderId="0" xfId="0" applyNumberFormat="1" applyFont="1" applyFill="1" applyBorder="1" applyAlignment="1">
      <x:alignment vertical="center"/>
    </x:xf>
    <x:xf numFmtId="201" fontId="4"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5" fillId="2" borderId="0" xfId="0" applyNumberFormat="1" applyFont="1" applyFill="1" applyBorder="1" applyAlignment="1">
      <x:alignment vertical="center"/>
    </x:xf>
    <x:xf numFmtId="0" fontId="5" fillId="2" borderId="0" xfId="0" applyNumberFormat="1" applyFont="1" applyFill="1" applyBorder="1" applyAlignment="1">
      <x:alignment vertical="center" wrapText="1"/>
    </x:xf>
    <x:xf numFmtId="0" fontId="5" fillId="2" borderId="0" xfId="0" applyNumberFormat="1" applyFont="1" applyFill="1" applyBorder="1" applyAlignment="1">
      <x:alignment horizontal="center" vertical="center" wrapText="1"/>
    </x:xf>
    <x:xf numFmtId="0" fontId="6" fillId="0" borderId="0" xfId="0" applyNumberFormat="1" applyFont="1" applyFill="1" applyBorder="1" applyAlignment="1">
      <x:alignment vertical="center"/>
    </x:xf>
    <x:xf numFmtId="201" fontId="6" fillId="0" borderId="0" xfId="0" applyNumberFormat="1" applyFont="1" applyFill="1" applyBorder="1" applyAlignment="1">
      <x:alignment vertical="center"/>
    </x:xf>
    <x:xf numFmtId="0" fontId="6" fillId="0" borderId="1" xfId="0" applyNumberFormat="1" applyFont="1" applyFill="1" applyBorder="1" applyAlignment="1">
      <x:alignment vertical="center"/>
    </x:xf>
    <x:xf numFmtId="201" fontId="6" fillId="0" borderId="1" xfId="0" applyNumberFormat="1" applyFont="1" applyFill="1" applyBorder="1" applyAlignment="1">
      <x:alignment vertical="center"/>
    </x:xf>
    <x:xf numFmtId="201" fontId="7" fillId="0" borderId="0" xfId="0" applyNumberFormat="1" applyFont="1" applyFill="1" applyBorder="1" applyAlignment="1">
      <x:alignment vertical="center"/>
    </x:xf>
    <x:xf numFmtId="201" fontId="8" fillId="0" borderId="1" xfId="0" applyNumberFormat="1" applyFont="1" applyFill="1" applyBorder="1" applyAlignment="1">
      <x:alignment vertical="center"/>
    </x:xf>
    <x:xf numFmtId="0" fontId="9" fillId="0" borderId="0" xfId="0" applyNumberFormat="1" applyFont="1" applyFill="1" applyBorder="1" applyAlignment="1">
      <x:alignment vertical="center"/>
    </x:xf>
    <x:xf numFmtId="0" fontId="9" fillId="0" borderId="0" xfId="0" applyNumberFormat="1" applyFont="1" applyFill="1" applyBorder="1" applyAlignment="1">
      <x:alignment vertical="center" wrapText="1"/>
    </x:xf>
    <x:xf numFmtId="0" fontId="9"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570717a5d7847af" /><Relationship Type="http://schemas.openxmlformats.org/officeDocument/2006/relationships/theme" Target="/xl/theme/theme1.xml" Id="R4325e3cd15134f88" /><Relationship Type="http://schemas.openxmlformats.org/officeDocument/2006/relationships/sharedStrings" Target="/xl/sharedStrings.xml" Id="R40304977d7f14582" /><Relationship Type="http://schemas.openxmlformats.org/officeDocument/2006/relationships/worksheet" Target="/xl/worksheets/sheet1.xml" Id="Rd03589e9d5464a0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ns0:worksheet xmlns:ns0="http://schemas.openxmlformats.org/spreadsheetml/2006/main">
  <ns0:sheetViews>
    <ns0:sheetView showGridLines="0" workbookViewId="0"/>
  </ns0:sheetViews>
  <ns0:sheetFormatPr defaultRowHeight="15"/>
  <ns0:cols>
    <ns0:col min="1" max="1" width="25" hidden="0" customWidth="1"/>
    <ns0:col min="2" max="2" width="21" hidden="0" customWidth="1"/>
    <ns0:col min="3" max="3" width="21" hidden="0" customWidth="1"/>
    <ns0:col min="4" max="4" width="43" hidden="0" customWidth="1"/>
    <ns0:col min="5" max="5" width="18" hidden="0" customWidth="1"/>
  </ns0:cols>
  <ns0:sheetData>
    <ns0:row r="1" ht="20" customHeight="1">
      <ns0:c r="A1" s="2"/>
      <ns0:c r="B1" s="2"/>
      <ns0:c r="C1" s="2"/>
      <ns0:c r="D1" s="2"/>
      <ns0:c r="E1" s="2"/>
      <ns0:c r="F1" s="2"/>
    </ns0:row>
    <ns0:row r="2" ht="20" customHeight="1">
      <ns0:c r="A2" s="3" t="str">
        <ns0:v>Darlehenskonto und Rückzahlung</ns0:v>
      </ns0:c>
      <ns0:c r="B2" s="2"/>
      <ns0:c r="C2" s="2"/>
      <ns0:c r="D2" s="2"/>
      <ns0:c r="E2" s="2"/>
      <ns0:c r="F2" s="2"/>
    </ns0:row>
    <ns0:row r="3" ht="20" customHeight="1">
      <ns0:c r="A3" s="4" t="str">
        <ns0:v>Linn Berg | ehemalige Buchhaltung VeedelWende | Stand 07.08.2026 | EUR</ns0:v>
      </ns0:c>
      <ns0:c r="B3" s="2"/>
      <ns0:c r="C3" s="2"/>
      <ns0:c r="D3" s="2"/>
      <ns0:c r="E3" s="2"/>
      <ns0:c r="F3" s="2"/>
    </ns0:row>
    <ns0:row r="4" ht="20" customHeight="1">
      <ns0:c r="A4" s="2"/>
      <ns0:c r="B4" s="2"/>
      <ns0:c r="C4" s="2"/>
      <ns0:c r="D4" s="2"/>
      <ns0:c r="E4" s="2"/>
      <ns0:c r="F4" s="2"/>
    </ns0:row>
    <ns0:row r="5" ht="32" customHeight="1">
      <ns0:c r="A5" s="12" t="str">
        <ns0:v>Konto</ns0:v>
      </ns0:c>
      <ns0:c r="B5" s="12" t="str">
        <ns0:v>Auszahlung EUR</ns0:v>
      </ns0:c>
      <ns0:c r="C5" s="12" t="str">
        <ns0:v>Rückzahlung EUR</ns0:v>
      </ns0:c>
      <ns0:c r="D5" s="12" t="str">
        <ns0:v>Beleg</ns0:v>
      </ns0:c>
      <ns0:c r="E5" s="12" t="str">
        <ns0:v>Rest EUR</ns0:v>
      </ns0:c>
      <ns0:c r="F5" s="2"/>
    </ns0:row>
    <ns0:row r="6" ht="20" customHeight="1">
      <ns0:c r="A6" s="2" t="str">
        <ns0:v>Haderlein Gesellschafterdarlehen</ns0:v>
      </ns0:c>
      <ns0:c r="B6" s="7" t="n">
        <ns0:v>150000</ns0:v>
      </ns0:c>
      <ns0:c r="C6" s="7" t="n">
        <ns0:v>150000</ns0:v>
      </ns0:c>
      <ns0:c r="D6" s="5" t="str">
        <ns0:v>05_Darlehensvertrag_Haderlein.docx</ns0:v>
      </ns0:c>
      <ns0:c r="E6" s="17" t="n">
        <ns0:f>B6-C6</ns0:f>
        <ns0:v>0</ns0:v>
      </ns0:c>
      <ns0:c r="F6" s="2"/>
    </ns0:row>
    <ns0:row r="7" ht="20" customHeight="1">
      <ns0:c r="A7" s="2" t="str">
        <ns0:v>Offene Vertragszinsen</ns0:v>
      </ns0:c>
      <ns0:c r="B7" s="7" t="n">
        <ns0:v>0</ns0:v>
      </ns0:c>
      <ns0:c r="C7" s="7" t="n">
        <ns0:v>0</ns0:v>
      </ns0:c>
      <ns0:c r="D7" s="5" t="str">
        <ns0:v>11_Zahlungsanforderung_Haderlein.eml</ns0:v>
      </ns0:c>
      <ns0:c r="E7" s="17" t="n">
        <ns0:f>B7-C7</ns0:f>
        <ns0:v>0</ns0:v>
      </ns0:c>
      <ns0:c r="F7" s="2"/>
    </ns0:row>
    <ns0:row r="8" ht="20" customHeight="1">
      <ns0:c r="A8" s="2" t="str">
        <ns0:v>Serviceentwurf ohne Vergütung</ns0:v>
      </ns0:c>
      <ns0:c r="B8" s="7" t="n">
        <ns0:v>0</ns0:v>
      </ns0:c>
      <ns0:c r="C8" s="7" t="n">
        <ns0:v>0</ns0:v>
      </ns0:c>
      <ns0:c r="D8" s="5" t="str">
        <ns0:v>10_Servicevertrag_Entwurf.docx</ns0:v>
      </ns0:c>
      <ns0:c r="E8" s="17" t="n">
        <ns0:f>B8-C8</ns0:f>
        <ns0:v>0</ns0:v>
      </ns0:c>
      <ns0:c r="F8" s="2"/>
    </ns0:row>
    <ns0:row r="9" ht="20" customHeight="1">
      <ns0:c r="A9" s="2"/>
      <ns0:c r="B9" s="8"/>
      <ns0:c r="C9" s="8"/>
      <ns0:c r="D9" s="2"/>
      <ns0:c r="E9" s="8"/>
      <ns0:c r="F9" s="2"/>
    </ns0:row>
    <ns0:row r="10" ht="20" customHeight="1">
      <ns0:c r="A10" s="15" t="str">
        <ns0:v>Gesamt</ns0:v>
      </ns0:c>
      <ns0:c r="B10" s="18" t="n">
        <ns0:f>SUM(B6:B8)</ns0:f>
        <ns0:v>150000</ns0:v>
      </ns0:c>
      <ns0:c r="C10" s="18" t="n">
        <ns0:f>SUM(C6:C8)</ns0:f>
        <ns0:v>150000</ns0:v>
      </ns0:c>
      <ns0:c r="D10" s="15"/>
      <ns0:c r="E10" s="18" t="n">
        <ns0:f>SUM(E6:E8)</ns0:f>
        <ns0:v>0</ns0:v>
      </ns0:c>
      <ns0:c r="F10" s="2"/>
    </ns0:row>
    <ns0:row r="11" ht="20" customHeight="1">
      <ns0:c r="A11" s="2"/>
      <ns0:c r="B11" s="2"/>
      <ns0:c r="C11" s="2"/>
      <ns0:c r="D11" s="2"/>
      <ns0:c r="E11" s="2"/>
      <ns0:c r="F11" s="2"/>
    </ns0:row>
    <ns0:row r="12" ht="20" customHeight="1">
      <ns0:c r="A12" s="2"/>
      <ns0:c r="B12" s="2"/>
      <ns0:c r="C12" s="2"/>
      <ns0:c r="D12" s="2"/>
      <ns0:c r="E12" s="2"/>
      <ns0:c r="F12" s="2"/>
    </ns0:row>
    <ns0:row r="13" ht="20" customHeight="1">
      <ns0:c r="A13" s="21" t="str">
        <ns0:v>Die Formel zieht die belegte Rückzahlung von der jeweiligen Auszahlung ab. Der Serviceentwurf ist mangels Abschluss und Vergütung mit null erfasst. Die Tabelle ersetzt weder die rechtliche Prüfung nach Paragraf 135 InsO noch die Feststellung der Gläubigerbenachteiligung.</ns0:v>
      </ns0:c>
      <ns0:c r="B13" s="21"/>
      <ns0:c r="C13" s="21"/>
      <ns0:c r="D13" s="21"/>
      <ns0:c r="E13" s="21"/>
      <ns0:c r="F13" s="2"/>
    </ns0:row>
    <ns0:row r="14" ht="20" customHeight="1">
      <ns0:c r="A14" s="21"/>
      <ns0:c r="B14" s="21"/>
      <ns0:c r="C14" s="21"/>
      <ns0:c r="D14" s="21"/>
      <ns0:c r="E14" s="21"/>
      <ns0:c r="F14" s="2"/>
    </ns0:row>
    <ns0:row r="15" ht="20" customHeight="1">
      <ns0:c r="A15" s="2"/>
      <ns0:c r="B15" s="2"/>
      <ns0:c r="C15" s="2"/>
      <ns0:c r="D15" s="2"/>
      <ns0:c r="E15" s="2"/>
      <ns0:c r="F15" s="2"/>
    </ns0:row>
    <ns0:row r="16" ht="20" customHeight="1">
      <ns0:c r="A16" s="21" t="str">
        <ns0:v>Blaue Beträge sind Eingaben aus den bezeichneten Belegen. Schwarze Beträge sind Formeln. Änderungen an Eingaben aktualisieren den Abgleich.</ns0:v>
      </ns0:c>
      <ns0:c r="B16" s="21"/>
      <ns0:c r="C16" s="21"/>
      <ns0:c r="D16" s="21"/>
      <ns0:c r="E16" s="21"/>
      <ns0:c r="F16" s="2"/>
    </ns0:row>
    <ns0:row r="17" ht="20" customHeight="1">
      <ns0:c r="A17" s="21"/>
      <ns0:c r="B17" s="21"/>
      <ns0:c r="C17" s="21"/>
      <ns0:c r="D17" s="21"/>
      <ns0:c r="E17" s="21"/>
      <ns0:c r="F17" s="2"/>
    </ns0:row>
    <ns0:row r="18" ht="20" customHeight="1">
      <ns0:c r="A18" s="2"/>
      <ns0:c r="B18" s="2"/>
      <ns0:c r="C18" s="2"/>
      <ns0:c r="D18" s="2"/>
      <ns0:c r="E18" s="2"/>
      <ns0:c r="F18" s="2"/>
    </ns0:row>
    <ns0:row r="19" ht="20" customHeight="1">
      <ns0:c r="A19" s="21" t="str">
        <ns0:v>Weitere Vorgänge unterhalb der Einzelzeilen ergänzen und Summenbereiche entsprechend erweitern. Die Tabelle betrifft nur die hier bezeichneten Vorgänge.</ns0:v>
      </ns0:c>
      <ns0:c r="B19" s="21"/>
      <ns0:c r="C19" s="21"/>
      <ns0:c r="D19" s="21"/>
      <ns0:c r="E19" s="21"/>
      <ns0:c r="F19" s="2"/>
    </ns0:row>
    <ns0:row r="20" ht="20" customHeight="1">
      <ns0:c r="A20" s="21"/>
      <ns0:c r="B20" s="21"/>
      <ns0:c r="C20" s="21"/>
      <ns0:c r="D20" s="21"/>
      <ns0:c r="E20" s="21"/>
      <ns0:c r="F20" s="2"/>
    </ns0:row>
    <ns0:row r="21" ht="20" customHeight="1">
      <ns0:c r="A21" s="2"/>
      <ns0:c r="B21" s="2"/>
      <ns0:c r="C21" s="2"/>
      <ns0:c r="D21" s="2"/>
      <ns0:c r="E21" s="2"/>
      <ns0:c r="F21" s="2"/>
    </ns0:row>
    <ns0:row r="22" ht="20" customHeight="1">
      <ns0:c r="A22" s="2"/>
      <ns0:c r="B22" s="2"/>
      <ns0:c r="C22" s="2"/>
      <ns0:c r="D22" s="2"/>
      <ns0:c r="E22" s="2"/>
      <ns0:c r="F22" s="2"/>
    </ns0:row>
    <ns0:row r="23" ht="20" customHeight="1">
      <ns0:c r="A23" s="2"/>
      <ns0:c r="B23" s="2"/>
      <ns0:c r="C23" s="2"/>
      <ns0:c r="D23" s="2"/>
      <ns0:c r="E23" s="2"/>
      <ns0:c r="F23" s="2"/>
    </ns0:row>
    <ns0:row r="24" ht="20" customHeight="1">
      <ns0:c r="A24" s="2"/>
      <ns0:c r="B24" s="2"/>
      <ns0:c r="C24" s="2"/>
      <ns0:c r="D24" s="2"/>
      <ns0:c r="E24" s="2"/>
      <ns0:c r="F24" s="2"/>
    </ns0:row>
    <ns0:row r="25" ht="20" customHeight="1">
      <ns0:c r="A25" s="2"/>
      <ns0:c r="B25" s="2"/>
      <ns0:c r="C25" s="2"/>
      <ns0:c r="D25" s="2"/>
      <ns0:c r="E25" s="2"/>
      <ns0:c r="F25" s="2"/>
    </ns0:row>
    <ns0:row r="26" ht="20" customHeight="1">
      <ns0:c r="A26" s="2"/>
      <ns0:c r="B26" s="2"/>
      <ns0:c r="C26" s="2"/>
      <ns0:c r="D26" s="2"/>
      <ns0:c r="E26" s="2"/>
      <ns0:c r="F26" s="2"/>
    </ns0:row>
    <ns0:row r="27" ht="20" customHeight="1">
      <ns0:c r="A27" s="2"/>
      <ns0:c r="B27" s="2"/>
      <ns0:c r="C27" s="2"/>
      <ns0:c r="D27" s="2"/>
      <ns0:c r="E27" s="2"/>
      <ns0:c r="F27" s="2"/>
    </ns0:row>
    <ns0:row r="28" ht="20" customHeight="1">
      <ns0:c r="A28" s="2"/>
      <ns0:c r="B28" s="2"/>
      <ns0:c r="C28" s="2"/>
      <ns0:c r="D28" s="2"/>
      <ns0:c r="E28" s="2"/>
      <ns0:c r="F28" s="2"/>
    </ns0:row>
  </ns0:sheetData>
  <ns0:mergeCells>
    <ns0:mergeCell ref="A13:E14"/>
    <ns0:mergeCell ref="A16:E17"/>
    <ns0:mergeCell ref="A19:E20"/>
  </ns0:mergeCells>
  <ns0:pageMargins left="0.7" right="0.7" top="0.75" bottom="0.75" header="0.3" footer="0.3"/>
  <ns0:pageSetup orientation="landscape" paperSize="9" fitToWidth="1" fitToHeight="0"/>
</ns0:worksheet>
</file>