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aadb77df764476" /></Relationships>
</file>

<file path=xl/workbook.xml><?xml version="1.0" encoding="utf-8"?>
<ns0:workbook xmlns:ns0="http://schemas.openxmlformats.org/spreadsheetml/2006/main" xmlns:ns1="http://schemas.openxmlformats.org/officeDocument/2006/relationships">
  <ns0:sheets>
    <ns0:sheet name="Abgleich" sheetId="1" ns1:id="R9c142031302e45da"/>
  </ns0:sheets>
  <ns0:definedNames>
    <ns0:definedName name="_xlnm.Print_Area" localSheetId="0">'Abgleich'!$A$1:$C$20</ns0:definedName>
  </ns0:definedNames>
</ns0: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
    <x:numFmt numFmtId="201" formatCode="[$-407]#,##0.00_);[Red](#,##0.00);&quot;-&quot;_)"/>
  </x:numFmts>
  <x:fonts count="9">
    <x:font>
      <x:sz val="11"/>
      <x:name val="Carlito"/>
    </x:font>
    <x:font>
      <x:sz val="11"/>
      <x:name val="Times New Roman"/>
    </x:font>
    <x:font>
      <x:b/>
      <x:sz val="15"/>
      <x:name val="Times New Roman"/>
    </x:font>
    <x:font>
      <x:i/>
      <x:sz val="11"/>
      <x:color rgb="FF555555"/>
      <x:name val="Times New Roman"/>
    </x:font>
    <x:font>
      <x:sz val="11"/>
      <x:color rgb="FF0000FF"/>
      <x:name val="Times New Roman"/>
    </x:font>
    <x:font>
      <x:b/>
      <x:sz val="11"/>
      <x:color rgb="FFFFFFFF"/>
      <x:name val="Times New Roman"/>
    </x:font>
    <x:font>
      <x:b/>
      <x:sz val="11"/>
      <x:name val="Times New Roman"/>
    </x:font>
    <x:font>
      <x:b/>
      <x:sz val="11"/>
      <x:color rgb="FF111111"/>
      <x:name val="Times New Roman"/>
    </x:font>
    <x:font>
      <x:sz val="11"/>
      <x:color rgb="FF555555"/>
      <x:name val="Times New Roman"/>
    </x:font>
  </x:fonts>
  <x:fills count="3">
    <x:fill>
      <x:patternFill patternType="none"/>
    </x:fill>
    <x:fill>
      <x:patternFill patternType="gray125"/>
    </x:fill>
    <x:fill>
      <x:patternFill patternType="solid">
        <x:fgColor rgb="FF293C50"/>
      </x:patternFill>
    </x:fill>
  </x:fills>
  <x:borders count="2">
    <x:border>
      <x:left/>
      <x:right/>
      <x:top/>
      <x:bottom/>
      <x:diagonal/>
    </x:border>
    <x:border>
      <x:left/>
      <x:right/>
      <x:top style="thin">
        <x:color rgb="FF8192A0"/>
      </x:top>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201" fontId="6" fillId="0" borderId="0" xfId="0" applyNumberFormat="1" applyFont="1" applyFill="1" applyBorder="1" applyAlignment="1">
      <x:alignment vertical="center"/>
    </x:xf>
    <x:xf numFmtId="200" fontId="6" fillId="0" borderId="0" xfId="0" applyNumberFormat="1" applyFont="1" applyFill="1" applyBorder="1" applyAlignment="1">
      <x:alignment vertical="center"/>
    </x:xf>
    <x:xf numFmtId="0" fontId="6" fillId="0" borderId="1" xfId="0" applyNumberFormat="1" applyFont="1" applyFill="1" applyBorder="1" applyAlignment="1">
      <x:alignment vertical="center"/>
    </x:xf>
    <x:xf numFmtId="201" fontId="6" fillId="0" borderId="1" xfId="0" applyNumberFormat="1" applyFont="1" applyFill="1" applyBorder="1" applyAlignment="1">
      <x:alignment vertical="center"/>
    </x:xf>
    <x:xf numFmtId="200" fontId="6" fillId="0" borderId="1" xfId="0" applyNumberFormat="1" applyFont="1" applyFill="1" applyBorder="1" applyAlignment="1">
      <x:alignment vertical="center"/>
    </x:xf>
    <x:xf numFmtId="201" fontId="7" fillId="0" borderId="1" xfId="0" applyNumberFormat="1" applyFont="1" applyFill="1" applyBorder="1" applyAlignment="1">
      <x:alignment vertical="center"/>
    </x:xf>
    <x:xf numFmtId="0" fontId="8" fillId="0"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0" fontId="8"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58dae3640ed4f3b" /><Relationship Type="http://schemas.openxmlformats.org/officeDocument/2006/relationships/theme" Target="/xl/theme/theme1.xml" Id="Rbbeeaf11f8084e9d" /><Relationship Type="http://schemas.openxmlformats.org/officeDocument/2006/relationships/sharedStrings" Target="/xl/sharedStrings.xml" Id="Ree13f48bea5d45a5" /><Relationship Type="http://schemas.openxmlformats.org/officeDocument/2006/relationships/worksheet" Target="/xl/worksheets/sheet1.xml" Id="R9c142031302e45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Views>
    <ns0:sheetView showGridLines="0" workbookViewId="0"/>
  </ns0:sheetViews>
  <ns0:sheetFormatPr defaultRowHeight="15"/>
  <ns0:cols>
    <ns0:col min="1" max="1" width="38" hidden="0" customWidth="1"/>
    <ns0:col min="2" max="2" width="21" hidden="0" customWidth="1"/>
    <ns0:col min="3" max="3" width="54" hidden="0" customWidth="1"/>
  </ns0:cols>
  <ns0:sheetData>
    <ns0:row r="1" ht="20" customHeight="1">
      <ns0:c r="A1" s="2"/>
      <ns0:c r="B1" s="2"/>
      <ns0:c r="C1" s="2"/>
      <ns0:c r="D1" s="2"/>
      <ns0:c r="E1" s="2"/>
      <ns0:c r="F1" s="2"/>
    </ns0:row>
    <ns0:row r="2" ht="20" customHeight="1">
      <ns0:c r="A2" s="3" t="str">
        <ns0:v>Kontostand vor und nach Rückzahlung</ns0:v>
      </ns0:c>
      <ns0:c r="B2" s="2"/>
      <ns0:c r="C2" s="2"/>
      <ns0:c r="D2" s="2"/>
      <ns0:c r="E2" s="2"/>
      <ns0:c r="F2" s="2"/>
    </ns0:row>
    <ns0:row r="3" ht="20" customHeight="1">
      <ns0:c r="A3" s="4" t="str">
        <ns0:v>Linn Berg | ehemalige Buchhaltung VeedelWende | Stand 07.08.2026 | EUR</ns0:v>
      </ns0:c>
      <ns0:c r="B3" s="2"/>
      <ns0:c r="C3" s="2"/>
      <ns0:c r="D3" s="2"/>
      <ns0:c r="E3" s="2"/>
      <ns0:c r="F3" s="2"/>
    </ns0:row>
    <ns0:row r="4" ht="20" customHeight="1">
      <ns0:c r="A4" s="2"/>
      <ns0:c r="B4" s="2"/>
      <ns0:c r="C4" s="2"/>
      <ns0:c r="D4" s="2"/>
      <ns0:c r="E4" s="2"/>
      <ns0:c r="F4" s="2"/>
    </ns0:row>
    <ns0:row r="5" ht="32" customHeight="1">
      <ns0:c r="A5" s="12" t="str">
        <ns0:v>Position</ns0:v>
      </ns0:c>
      <ns0:c r="B5" s="12" t="str">
        <ns0:v>Betrag EUR</ns0:v>
      </ns0:c>
      <ns0:c r="C5" s="12" t="str">
        <ns0:v>Erläuterung</ns0:v>
      </ns0:c>
      <ns0:c r="D5" s="2"/>
      <ns0:c r="E5" s="2"/>
      <ns0:c r="F5" s="2"/>
    </ns0:row>
    <ns0:row r="6" ht="20" customHeight="1">
      <ns0:c r="A6" s="2" t="str">
        <ns0:v>Kontostand vor Zahlung</ns0:v>
      </ns0:c>
      <ns0:c r="B6" s="7" t="n">
        <ns0:v>211430.58</ns0:v>
      </ns0:c>
      <ns0:c r="C6" s="6" t="str">
        <ns0:v>12_Bank_Bestaetigung.pdf</ns0:v>
      </ns0:c>
      <ns0:c r="D6" s="2"/>
      <ns0:c r="E6" s="2"/>
      <ns0:c r="F6" s="2"/>
    </ns0:row>
    <ns0:row r="7" ht="20" customHeight="1">
      <ns0:c r="A7" s="2" t="str">
        <ns0:v>Zahlung an Haderlein</ns0:v>
      </ns0:c>
      <ns0:c r="B7" s="7" t="n">
        <ns0:v>150000</ns0:v>
      </ns0:c>
      <ns0:c r="C7" s="6" t="str">
        <ns0:v>16_Kontoauszug_Auswahl.pdf</ns0:v>
      </ns0:c>
      <ns0:c r="D7" s="2"/>
      <ns0:c r="E7" s="2"/>
      <ns0:c r="F7" s="2"/>
    </ns0:row>
    <ns0:row r="8" ht="20" customHeight="1">
      <ns0:c r="A8" s="2" t="str">
        <ns0:v>Weitere Fälligkeiten bis 15.02.2026</ns0:v>
      </ns0:c>
      <ns0:c r="B8" s="7" t="n">
        <ns0:v>173990</ns0:v>
      </ns0:c>
      <ns0:c r="C8" s="6" t="str">
        <ns0:v>10_Bank_Buergschaft.pdf</ns0:v>
      </ns0:c>
      <ns0:c r="D8" s="2"/>
      <ns0:c r="E8" s="2"/>
      <ns0:c r="F8" s="2"/>
    </ns0:row>
    <ns0:row r="9" ht="20" customHeight="1">
      <ns0:c r="A9" s="2"/>
      <ns0:c r="B9" s="8"/>
      <ns0:c r="C9" s="6"/>
      <ns0:c r="D9" s="2"/>
      <ns0:c r="E9" s="2"/>
      <ns0:c r="F9" s="2"/>
    </ns0:row>
    <ns0:row r="10" ht="20" customHeight="1">
      <ns0:c r="A10" s="16" t="str">
        <ns0:v>Restkapital nach Zahlung</ns0:v>
      </ns0:c>
      <ns0:c r="B10" s="19" t="n">
        <ns0:f>B6-B7</ns0:f>
        <ns0:v>61430.57999999999</ns0:v>
      </ns0:c>
      <ns0:c r="C10" s="18" t="str">
        <ns0:v>Nur Kapital; Zinsen und Kosten nicht enthalten</ns0:v>
      </ns0:c>
      <ns0:c r="D10" s="2"/>
      <ns0:c r="E10" s="2"/>
      <ns0:c r="F10" s="2"/>
    </ns0:row>
    <ns0:row r="11" ht="20" customHeight="1">
      <ns0:c r="A11" s="2"/>
      <ns0:c r="B11" s="2"/>
      <ns0:c r="C11" s="2"/>
      <ns0:c r="D11" s="2"/>
      <ns0:c r="E11" s="2"/>
      <ns0:c r="F11" s="2"/>
    </ns0:row>
    <ns0:row r="12" ht="20" customHeight="1">
      <ns0:c r="A12" s="2"/>
      <ns0:c r="B12" s="2"/>
      <ns0:c r="C12" s="2"/>
      <ns0:c r="D12" s="2"/>
      <ns0:c r="E12" s="2"/>
      <ns0:c r="F12" s="2"/>
    </ns0:row>
    <ns0:row r="13" ht="20" customHeight="1">
      <ns0:c r="A13" s="22" t="str">
        <ns0:v>Die Formel berechnet nur den Kontostand nach der Zahlung. Die weiteren Fälligkeiten werden als Kontrollgröße angezeigt, aber nicht automatisch abgezogen. Die Förderrate war nicht gesichert und ist nicht als Eingang erfasst.</ns0:v>
      </ns0:c>
      <ns0:c r="B13" s="22"/>
      <ns0:c r="C13" s="22"/>
      <ns0:c r="D13" s="2"/>
      <ns0:c r="E13" s="2"/>
      <ns0:c r="F13" s="2"/>
    </ns0:row>
    <ns0:row r="14" ht="20" customHeight="1">
      <ns0:c r="A14" s="22"/>
      <ns0:c r="B14" s="22"/>
      <ns0:c r="C14" s="22"/>
      <ns0:c r="D14" s="2"/>
      <ns0:c r="E14" s="2"/>
      <ns0:c r="F14" s="2"/>
    </ns0:row>
    <ns0:row r="15" ht="20" customHeight="1">
      <ns0:c r="A15" s="2"/>
      <ns0:c r="B15" s="2"/>
      <ns0:c r="C15" s="2"/>
      <ns0:c r="D15" s="2"/>
      <ns0:c r="E15" s="2"/>
      <ns0:c r="F15" s="2"/>
    </ns0:row>
    <ns0:row r="16" ht="20" customHeight="1">
      <ns0:c r="A16" s="22" t="str">
        <ns0:v>Blaue Beträge sind Eingaben aus den bezeichneten Belegen. Schwarze Beträge sind Formeln. Änderungen an Eingaben aktualisieren den Abgleich.</ns0:v>
      </ns0:c>
      <ns0:c r="B16" s="22"/>
      <ns0:c r="C16" s="22"/>
      <ns0:c r="D16" s="2"/>
      <ns0:c r="E16" s="2"/>
      <ns0:c r="F16" s="2"/>
    </ns0:row>
    <ns0:row r="17" ht="20" customHeight="1">
      <ns0:c r="A17" s="22"/>
      <ns0:c r="B17" s="22"/>
      <ns0:c r="C17" s="22"/>
      <ns0:c r="D17" s="2"/>
      <ns0:c r="E17" s="2"/>
      <ns0:c r="F17" s="2"/>
    </ns0:row>
    <ns0:row r="18" ht="20" customHeight="1">
      <ns0:c r="A18" s="2"/>
      <ns0:c r="B18" s="2"/>
      <ns0:c r="C18" s="2"/>
      <ns0:c r="D18" s="2"/>
      <ns0:c r="E18" s="2"/>
      <ns0:c r="F18" s="2"/>
    </ns0:row>
    <ns0:row r="19" ht="20" customHeight="1">
      <ns0:c r="A19" s="22" t="str">
        <ns0:v>Weitere Vorgänge unterhalb der Einzelzeilen ergänzen und Summenbereiche entsprechend erweitern. Die Tabelle betrifft nur die hier bezeichneten Vorgänge.</ns0:v>
      </ns0:c>
      <ns0:c r="B19" s="22"/>
      <ns0:c r="C19" s="22"/>
      <ns0:c r="D19" s="2"/>
      <ns0:c r="E19" s="2"/>
      <ns0:c r="F19" s="2"/>
    </ns0:row>
    <ns0:row r="20" ht="20" customHeight="1">
      <ns0:c r="A20" s="22"/>
      <ns0:c r="B20" s="22"/>
      <ns0:c r="C20" s="22"/>
      <ns0:c r="D20" s="2"/>
      <ns0:c r="E20" s="2"/>
      <ns0:c r="F20" s="2"/>
    </ns0:row>
    <ns0:row r="21" ht="20" customHeight="1">
      <ns0:c r="A21" s="2"/>
      <ns0:c r="B21" s="2"/>
      <ns0:c r="C21" s="2"/>
      <ns0:c r="D21" s="2"/>
      <ns0:c r="E21" s="2"/>
      <ns0:c r="F21" s="2"/>
    </ns0:row>
    <ns0:row r="22" ht="20" customHeight="1">
      <ns0:c r="A22" s="2"/>
      <ns0:c r="B22" s="2"/>
      <ns0:c r="C22" s="2"/>
      <ns0:c r="D22" s="2"/>
      <ns0:c r="E22" s="2"/>
      <ns0:c r="F22" s="2"/>
    </ns0:row>
    <ns0:row r="23" ht="20" customHeight="1">
      <ns0:c r="A23" s="2"/>
      <ns0:c r="B23" s="2"/>
      <ns0:c r="C23" s="2"/>
      <ns0:c r="D23" s="2"/>
      <ns0:c r="E23" s="2"/>
      <ns0:c r="F23" s="2"/>
    </ns0:row>
    <ns0:row r="24" ht="20" customHeight="1">
      <ns0:c r="A24" s="2"/>
      <ns0:c r="B24" s="2"/>
      <ns0:c r="C24" s="2"/>
      <ns0:c r="D24" s="2"/>
      <ns0:c r="E24" s="2"/>
      <ns0:c r="F24" s="2"/>
    </ns0:row>
    <ns0:row r="25" ht="20" customHeight="1">
      <ns0:c r="A25" s="2"/>
      <ns0:c r="B25" s="2"/>
      <ns0:c r="C25" s="2"/>
      <ns0:c r="D25" s="2"/>
      <ns0:c r="E25" s="2"/>
      <ns0:c r="F25" s="2"/>
    </ns0:row>
    <ns0:row r="26" ht="20" customHeight="1">
      <ns0:c r="A26" s="2"/>
      <ns0:c r="B26" s="2"/>
      <ns0:c r="C26" s="2"/>
      <ns0:c r="D26" s="2"/>
      <ns0:c r="E26" s="2"/>
      <ns0:c r="F26" s="2"/>
    </ns0:row>
    <ns0:row r="27" ht="20" customHeight="1">
      <ns0:c r="A27" s="2"/>
      <ns0:c r="B27" s="2"/>
      <ns0:c r="C27" s="2"/>
      <ns0:c r="D27" s="2"/>
      <ns0:c r="E27" s="2"/>
      <ns0:c r="F27" s="2"/>
    </ns0:row>
    <ns0:row r="28" ht="20" customHeight="1">
      <ns0:c r="A28" s="2"/>
      <ns0:c r="B28" s="2"/>
      <ns0:c r="C28" s="2"/>
      <ns0:c r="D28" s="2"/>
      <ns0:c r="E28" s="2"/>
      <ns0:c r="F28" s="2"/>
    </ns0:row>
  </ns0:sheetData>
  <ns0:mergeCells>
    <ns0:mergeCell ref="A13:C14"/>
    <ns0:mergeCell ref="A16:C17"/>
    <ns0:mergeCell ref="A19:C20"/>
  </ns0:mergeCells>
  <ns0:pageMargins left="0.7" right="0.7" top="0.75" bottom="0.75" header="0.3" footer="0.3"/>
  <ns0:pageSetup orientation="landscape" paperSize="9" fitToWidth="1" fitToHeight="0"/>
</ns0:worksheet>
</file>