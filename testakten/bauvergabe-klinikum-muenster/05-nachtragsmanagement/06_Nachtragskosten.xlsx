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58bfeae87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chtrag N01" sheetId="1" r:id="Rc5a3a9867475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0.00"/>
    <x:numFmt numFmtId="201" formatCode="@"/>
    <x:numFmt numFmtId="202" formatCode="0.0%"/>
  </x:numFmts>
  <x:fonts count="7">
    <x:font>
      <x:sz val="11"/>
      <x:name val="Carlito"/>
    </x:font>
    <x:font>
      <x:sz val="11"/>
      <x:color rgb="FF000000"/>
      <x:name val="Times New Roman"/>
    </x:font>
    <x:font>
      <x:b/>
      <x:sz val="11"/>
      <x:color rgb="FF192D3E"/>
      <x:name val="Times New Roman"/>
    </x:font>
    <x:font>
      <x:b/>
      <x:sz val="11"/>
      <x:color rgb="FF000000"/>
      <x:name val="Times New Roman"/>
    </x:font>
    <x:font>
      <x:sz val="11"/>
      <x:color rgb="FF9C3E16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192D3E"/>
      </x:patternFill>
    </x:fill>
  </x:fills>
  <x:borders count="6">
    <x:border/>
    <x:border>
      <x:bottom style="thin">
        <x:color rgb="FFBDCBD5"/>
      </x:bottom>
    </x:border>
    <x:border>
      <x:top style="thin">
        <x:color rgb="FFBDCBD5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5" fillId="2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1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200" fontId="6" fillId="3" borderId="4" xfId="0" applyNumberFormat="1" applyFont="1" applyFill="1" applyBorder="1" applyAlignment="1">
      <x:alignment horizontal="right" vertical="center"/>
    </x:xf>
    <x:xf numFmtId="200" fontId="6" fillId="3" borderId="5" xfId="0" applyNumberFormat="1" applyFont="1" applyFill="1" applyBorder="1" applyAlignment="1">
      <x:alignment horizontal="right" vertical="center"/>
    </x:xf>
    <x:xf numFmtId="201" fontId="6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200" fontId="6" fillId="3" borderId="4" xfId="0" applyNumberFormat="1" applyFont="1" applyFill="1" applyBorder="1" applyAlignment="1">
      <x:alignment horizontal="center" vertical="center"/>
    </x:xf>
    <x:xf numFmtId="200" fontId="6" fillId="3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228dd0f92454d" /><Relationship Type="http://schemas.openxmlformats.org/officeDocument/2006/relationships/theme" Target="/xl/theme/theme1.xml" Id="Rcc634cdbe1ec450c" /><Relationship Type="http://schemas.openxmlformats.org/officeDocument/2006/relationships/sharedStrings" Target="/xl/sharedStrings.xml" Id="Re898a361cde04eb1" /><Relationship Type="http://schemas.openxmlformats.org/officeDocument/2006/relationships/worksheet" Target="/xl/worksheets/sheet1.xml" Id="Rc5a3a986747544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D3E"/>
  </x:sheetPr>
  <x:sheetViews>
    <x:sheetView showGridLines="0" workbookViewId="0"/>
  </x:sheetViews>
  <x:sheetFormatPr defaultRowHeight="15"/>
  <x:cols>
    <x:col min="1" max="1" width="6.21999979019165" hidden="0" customWidth="1"/>
    <x:col min="2" max="2" width="33.33000183105469" hidden="0" customWidth="1"/>
    <x:col min="3" max="3" width="5.110000133514404" hidden="0" customWidth="1"/>
    <x:col min="4" max="4" width="11.670000076293945" hidden="0" customWidth="1"/>
    <x:col min="5" max="5" width="11.779999732971191" hidden="0" customWidth="1"/>
    <x:col min="6" max="6" width="13.779999732971191" hidden="0" customWidth="1"/>
  </x:cols>
  <x:sheetData>
    <x:row r="1" ht="16" customHeight="1">
      <x:c r="A1" s="4"/>
      <x:c r="B1" s="2"/>
      <x:c r="C1" s="2"/>
      <x:c r="D1" s="5"/>
      <x:c r="E1" s="5"/>
      <x:c r="F1" s="5"/>
    </x:row>
    <x:row r="2" ht="16" customHeight="1">
      <x:c r="A2" s="9" t="str">
        <x:v>1. Nachtragskosten N01</x:v>
      </x:c>
      <x:c r="B2" s="10"/>
      <x:c r="C2" s="10"/>
      <x:c r="D2" s="11"/>
      <x:c r="E2" s="11"/>
      <x:c r="F2" s="11"/>
    </x:row>
    <x:row r="3" ht="16" customHeight="1">
      <x:c r="A3" s="4" t="str">
        <x:v>Klinikum Lindenbogen Münster · LBM-2026-01</x:v>
      </x:c>
      <x:c r="B3" s="2"/>
      <x:c r="C3" s="2"/>
      <x:c r="D3" s="5"/>
      <x:c r="E3" s="5"/>
      <x:c r="F3" s="5"/>
    </x:row>
    <x:row r="4" ht="16" customHeight="1">
      <x:c r="A4" s="4" t="str">
        <x:v>Anselm Klinker Bau GmbH</x:v>
      </x:c>
      <x:c r="B4" s="2"/>
      <x:c r="C4" s="2"/>
      <x:c r="D4" s="5"/>
      <x:c r="E4" s="5"/>
      <x:c r="F4" s="5"/>
    </x:row>
    <x:row r="5" ht="16" customHeight="1">
      <x:c r="A5" s="4" t="str">
        <x:v>Kalkulationsstand 10.03.2027 · Anordnung 05.03.2027 · Plan P07</x:v>
      </x:c>
      <x:c r="B5" s="2"/>
      <x:c r="C5" s="2"/>
      <x:c r="D5" s="5"/>
      <x:c r="E5" s="5"/>
      <x:c r="F5" s="5"/>
    </x:row>
    <x:row r="6" ht="16" customHeight="1">
      <x:c r="A6" s="4" t="str">
        <x:v>Beträge in EUR · Berechnungsgrundlagen siehe Quellen</x:v>
      </x:c>
      <x:c r="B6" s="2"/>
      <x:c r="C6" s="2"/>
      <x:c r="D6" s="5"/>
      <x:c r="E6" s="5"/>
      <x:c r="F6" s="5"/>
    </x:row>
    <x:row r="7" ht="16" customHeight="1">
      <x:c r="A7" s="4" t="str">
        <x:v>Gelb / blaue Schrift: Eingaben. Schwarz: Formeln. Leer ist „n.a.“, null ist 0,00.</x:v>
      </x:c>
      <x:c r="B7" s="2"/>
      <x:c r="C7" s="2"/>
      <x:c r="D7" s="5"/>
      <x:c r="E7" s="5"/>
      <x:c r="F7" s="5"/>
    </x:row>
    <x:row r="8" ht="16" customHeight="1">
      <x:c r="A8" s="4"/>
      <x:c r="B8" s="2"/>
      <x:c r="C8" s="2"/>
      <x:c r="D8" s="5"/>
      <x:c r="E8" s="5"/>
      <x:c r="F8" s="5"/>
    </x:row>
    <x:row r="9" ht="16" customHeight="1">
      <x:c r="A9" s="4"/>
      <x:c r="B9" s="12" t="str">
        <x:v>Beansprucht netto</x:v>
      </x:c>
      <x:c r="C9" s="12"/>
      <x:c r="D9" s="13"/>
      <x:c r="E9" s="13"/>
      <x:c r="F9" s="13" t="n">
        <x:f>F25</x:f>
        <x:v>244532</x:v>
      </x:c>
    </x:row>
    <x:row r="10" ht="16" customHeight="1">
      <x:c r="A10" s="4"/>
      <x:c r="B10" s="12" t="str">
        <x:v>Beansprucht brutto</x:v>
      </x:c>
      <x:c r="C10" s="12"/>
      <x:c r="D10" s="13"/>
      <x:c r="E10" s="13"/>
      <x:c r="F10" s="13" t="n">
        <x:f>F28</x:f>
        <x:v>290993.08</x:v>
      </x:c>
    </x:row>
    <x:row r="11" ht="16" customHeight="1">
      <x:c r="A11" s="14" t="str">
        <x:v>Angebotsforderung, nicht anerkannt. Zuschläge sind nicht vereinbart.</x:v>
      </x:c>
      <x:c r="B11" s="15"/>
      <x:c r="C11" s="15"/>
      <x:c r="D11" s="16"/>
      <x:c r="E11" s="16"/>
      <x:c r="F11" s="16"/>
    </x:row>
    <x:row r="12" ht="16" customHeight="1">
      <x:c r="A12" s="4"/>
      <x:c r="B12" s="2"/>
      <x:c r="C12" s="2"/>
      <x:c r="D12" s="5"/>
      <x:c r="E12" s="5"/>
      <x:c r="F12" s="5"/>
    </x:row>
    <x:row r="13" ht="16" customHeight="1">
      <x:c r="A13" s="4" t="str">
        <x:v>1.1 Ausschließlich zusätzliche Mengen nach P07</x:v>
      </x:c>
      <x:c r="B13" s="2"/>
      <x:c r="C13" s="2"/>
      <x:c r="D13" s="5"/>
      <x:c r="E13" s="5"/>
      <x:c r="F13" s="5"/>
    </x:row>
    <x:row r="14" ht="26" customHeight="1">
      <x:c r="A14" s="35" t="str">
        <x:v>OZ</x:v>
      </x:c>
      <x:c r="B14" s="36" t="str">
        <x:v>Mehrleistung</x:v>
      </x:c>
      <x:c r="C14" s="36" t="str">
        <x:v>Einh.</x:v>
      </x:c>
      <x:c r="D14" s="37" t="str">
        <x:v>Menge</x:v>
      </x:c>
      <x:c r="E14" s="37" t="str">
        <x:v>Kostensatz</x:v>
      </x:c>
      <x:c r="F14" s="38" t="str">
        <x:v>Direkte Kosten</x:v>
      </x:c>
    </x:row>
    <x:row r="15" ht="30" customHeight="1">
      <x:c r="A15" s="4" t="str">
        <x:v>03.01</x:v>
      </x:c>
      <x:c r="B15" s="17" t="str">
        <x:v>Zusätzlicher Beton der Fundamentvertiefung</x:v>
      </x:c>
      <x:c r="C15" s="2" t="str">
        <x:v>m3</x:v>
      </x:c>
      <x:c r="D15" s="19" t="n">
        <x:v>220</x:v>
      </x:c>
      <x:c r="E15" s="19" t="n">
        <x:v>268</x:v>
      </x:c>
      <x:c r="F15" s="5" t="n">
        <x:f>IF(COUNT(D15,E15)=2,ROUND(D15*E15,2),"n.a.")</x:f>
        <x:v>58960</x:v>
      </x:c>
    </x:row>
    <x:row r="16" ht="30" customHeight="1">
      <x:c r="A16" s="4" t="str">
        <x:v>03.02</x:v>
      </x:c>
      <x:c r="B16" s="17" t="str">
        <x:v>Zusätzlicher Betonstahl</x:v>
      </x:c>
      <x:c r="C16" s="2" t="str">
        <x:v>kg</x:v>
      </x:c>
      <x:c r="D16" s="19" t="n">
        <x:v>34000</x:v>
      </x:c>
      <x:c r="E16" s="19" t="n">
        <x:v>2.52</x:v>
      </x:c>
      <x:c r="F16" s="5" t="n">
        <x:f>IF(COUNT(D16,E16)=2,ROUND(D16*E16,2),"n.a.")</x:f>
        <x:v>85680</x:v>
      </x:c>
    </x:row>
    <x:row r="17" ht="30" customHeight="1">
      <x:c r="A17" s="4" t="str">
        <x:v>03.03</x:v>
      </x:c>
      <x:c r="B17" s="17" t="str">
        <x:v>Zusätzliche Schalung</x:v>
      </x:c>
      <x:c r="C17" s="2" t="str">
        <x:v>m2</x:v>
      </x:c>
      <x:c r="D17" s="19" t="n">
        <x:v>920</x:v>
      </x:c>
      <x:c r="E17" s="19" t="n">
        <x:v>78</x:v>
      </x:c>
      <x:c r="F17" s="5" t="n">
        <x:f>IF(COUNT(D17,E17)=2,ROUND(D17*E17,2),"n.a.")</x:f>
        <x:v>71760</x:v>
      </x:c>
    </x:row>
    <x:row r="18" ht="16" customHeight="1">
      <x:c r="A18" s="4"/>
      <x:c r="B18" s="2"/>
      <x:c r="C18" s="2"/>
      <x:c r="D18" s="5"/>
      <x:c r="E18" s="5"/>
      <x:c r="F18" s="5"/>
    </x:row>
    <x:row r="19" ht="16" customHeight="1">
      <x:c r="A19" s="4"/>
      <x:c r="B19" s="20" t="str">
        <x:v>Direkte Kosten</x:v>
      </x:c>
      <x:c r="C19" s="20"/>
      <x:c r="D19" s="21"/>
      <x:c r="E19" s="21"/>
      <x:c r="F19" s="21" t="n">
        <x:f>IF(COUNT(F15:F17)=3,SUM(F15:F17),"n.a.")</x:f>
        <x:v>216400</x:v>
      </x:c>
    </x:row>
    <x:row r="20" ht="16" customHeight="1">
      <x:c r="A20" s="4"/>
      <x:c r="B20" s="2"/>
      <x:c r="C20" s="2"/>
      <x:c r="D20" s="5"/>
      <x:c r="E20" s="5"/>
      <x:c r="F20" s="5"/>
    </x:row>
    <x:row r="21" ht="16" customHeight="1">
      <x:c r="A21" s="4" t="str">
        <x:v>1.2 Zuschläge jeweils auf direkte Kosten</x:v>
      </x:c>
      <x:c r="B21" s="2"/>
      <x:c r="C21" s="2"/>
      <x:c r="D21" s="5"/>
      <x:c r="E21" s="5"/>
      <x:c r="F21" s="5"/>
    </x:row>
    <x:row r="22" ht="16" customHeight="1">
      <x:c r="A22" s="4"/>
      <x:c r="B22" s="2" t="str">
        <x:v>Allgemeine Geschäftskosten</x:v>
      </x:c>
      <x:c r="C22" s="2"/>
      <x:c r="D22" s="5"/>
      <x:c r="E22" s="24" t="n">
        <x:v>0.08</x:v>
      </x:c>
      <x:c r="F22" s="5" t="n">
        <x:f>IF(COUNT(F19,E22)=2,ROUND(F19*E22,2),"n.a.")</x:f>
        <x:v>17312</x:v>
      </x:c>
    </x:row>
    <x:row r="23" ht="16" customHeight="1">
      <x:c r="A23" s="4"/>
      <x:c r="B23" s="2" t="str">
        <x:v>Wagnis und Gewinn</x:v>
      </x:c>
      <x:c r="C23" s="2"/>
      <x:c r="D23" s="5"/>
      <x:c r="E23" s="24" t="n">
        <x:v>0.05</x:v>
      </x:c>
      <x:c r="F23" s="5" t="n">
        <x:f>IF(COUNT(F19,E23)=2,ROUND(F19*E23,2),"n.a.")</x:f>
        <x:v>10820</x:v>
      </x:c>
    </x:row>
    <x:row r="24" ht="16" customHeight="1">
      <x:c r="A24" s="4"/>
      <x:c r="B24" s="2"/>
      <x:c r="C24" s="2"/>
      <x:c r="D24" s="5"/>
      <x:c r="E24" s="5"/>
      <x:c r="F24" s="5"/>
    </x:row>
    <x:row r="25" ht="16" customHeight="1">
      <x:c r="A25" s="4"/>
      <x:c r="B25" s="20" t="str">
        <x:v>Beanspruchter Nachtrag netto</x:v>
      </x:c>
      <x:c r="C25" s="20"/>
      <x:c r="D25" s="21"/>
      <x:c r="E25" s="21"/>
      <x:c r="F25" s="21" t="n">
        <x:f>IF(COUNT(F19,F22,F23)=3,SUM(F19,F22,F23),"n.a.")</x:f>
        <x:v>244532</x:v>
      </x:c>
    </x:row>
    <x:row r="26" ht="16" customHeight="1">
      <x:c r="A26" s="4"/>
      <x:c r="B26" s="2" t="str">
        <x:v>Umsatzsteuersatz</x:v>
      </x:c>
      <x:c r="C26" s="2"/>
      <x:c r="D26" s="5"/>
      <x:c r="E26" s="24" t="n">
        <x:v>0.19</x:v>
      </x:c>
      <x:c r="F26" s="5"/>
    </x:row>
    <x:row r="27" ht="16" customHeight="1">
      <x:c r="A27" s="4"/>
      <x:c r="B27" s="2" t="str">
        <x:v>Umsatzsteuer</x:v>
      </x:c>
      <x:c r="C27" s="2"/>
      <x:c r="D27" s="5"/>
      <x:c r="E27" s="5"/>
      <x:c r="F27" s="5" t="n">
        <x:f>IF(COUNT(F25,E26)=2,ROUND(F25*E26,2),"n.a.")</x:f>
        <x:v>46461.08</x:v>
      </x:c>
    </x:row>
    <x:row r="28" ht="16" customHeight="1">
      <x:c r="A28" s="4"/>
      <x:c r="B28" s="20" t="str">
        <x:v>Beanspruchter Nachtrag brutto</x:v>
      </x:c>
      <x:c r="C28" s="20"/>
      <x:c r="D28" s="21"/>
      <x:c r="E28" s="21"/>
      <x:c r="F28" s="21" t="n">
        <x:f>IF(COUNT(F25,F27)=2,SUM(F25,F27),"n.a.")</x:f>
        <x:v>290993.08</x:v>
      </x:c>
    </x:row>
    <x:row r="29" ht="16" customHeight="1">
      <x:c r="A29" s="4"/>
      <x:c r="B29" s="2"/>
      <x:c r="C29" s="2"/>
      <x:c r="D29" s="5"/>
      <x:c r="E29" s="5"/>
      <x:c r="F29" s="5"/>
    </x:row>
    <x:row r="30" ht="16" customHeight="1">
      <x:c r="A30" s="4" t="str">
        <x:v>1.3 Abgrenzung und Quelle</x:v>
      </x:c>
      <x:c r="B30" s="2"/>
      <x:c r="C30" s="2"/>
      <x:c r="D30" s="5"/>
      <x:c r="E30" s="5"/>
      <x:c r="F30" s="5"/>
    </x:row>
    <x:row r="31" ht="16" customHeight="1">
      <x:c r="A31" s="4" t="str">
        <x:v>Kein pauschaler BGK-Zuschlag; konkret enthaltene BGK nicht doppelt fordern.</x:v>
      </x:c>
      <x:c r="B31" s="2"/>
      <x:c r="C31" s="2"/>
      <x:c r="D31" s="5"/>
      <x:c r="E31" s="5"/>
      <x:c r="F31" s="5"/>
    </x:row>
    <x:row r="32" ht="16" customHeight="1">
      <x:c r="A32" s="4" t="str">
        <x:v>Bauzeit: 12 Kalendertage behauptet; Preisfolge streitig und hier nicht bewertet.</x:v>
      </x:c>
      <x:c r="B32" s="2"/>
      <x:c r="C32" s="2"/>
      <x:c r="D32" s="5"/>
      <x:c r="E32" s="5"/>
      <x:c r="F32" s="5"/>
    </x:row>
    <x:row r="33" ht="16" customHeight="1">
      <x:c r="A33" s="4" t="str">
        <x:v>Mengen- und Preisfreigabe getrennt prüfen; keine Anerkennung durch Aufmaß.</x:v>
      </x:c>
      <x:c r="B33" s="2"/>
      <x:c r="C33" s="2"/>
      <x:c r="D33" s="5"/>
      <x:c r="E33" s="5"/>
      <x:c r="F33" s="5"/>
    </x:row>
    <x:row r="34" ht="16" customHeight="1">
      <x:c r="A34" s="4" t="str">
        <x:v>Quelle: 05-nachtragsmanagement/03_Nachtragsangebot.docx, Abschnitt 2.</x:v>
      </x:c>
      <x:c r="B34" s="2"/>
      <x:c r="C34" s="2"/>
      <x:c r="D34" s="5"/>
      <x:c r="E34" s="5"/>
      <x:c r="F34" s="5"/>
    </x:row>
    <x:row r="35" ht="16" customHeight="1">
      <x:c r="A35" s="4" t="str">
        <x:v>Mengen: 05-nachtragsmanagement/04_Aufmass_N01.csv; OZ wie Vertrags-LV.</x:v>
      </x:c>
      <x:c r="B35" s="2"/>
      <x:c r="C35" s="2"/>
      <x:c r="D35" s="5"/>
      <x:c r="E35" s="5"/>
      <x:c r="F35" s="5"/>
    </x:row>
    <x:row r="36" ht="16" customHeight="1">
      <x:c r="A36" s="4" t="str">
        <x:v>N01 enthält ausschließlich die drei dargestellten Mehrleistungen.</x:v>
      </x:c>
      <x:c r="B36" s="2"/>
      <x:c r="C36" s="2"/>
      <x:c r="D36" s="5"/>
      <x:c r="E36" s="5"/>
      <x:c r="F36" s="5"/>
    </x:row>
  </x:sheetData>
  <x:conditionalFormatting sqref="F9:F36">
    <x:cfRule type="containsText" dxfId="0" priority="1" operator="containsText" text="n.a."/>
  </x:conditionalFormatting>
  <x:pageMargins left="0.7" right="0.7" top="0.75" bottom="0.75" header="0.3" footer="0.3"/>
</x:worksheet>
</file>