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ore.xml" ContentType="application/vnd.openxmlformats-package.core-properties+xml"/>
</Types>
</file>

<file path=_rels/.rels><?xml version='1.0' encoding='utf-8'?>
<Relationships xmlns="http://schemas.openxmlformats.org/package/2006/relationships"><Relationship Type="http://schemas.openxmlformats.org/officeDocument/2006/relationships/officeDocument" Target="/xl/workbook.xml" Id="R628f674610a14414" /><Relationship Id="rIdKlotzketteCore" Type="http://schemas.openxmlformats.org/package/2006/relationships/metadata/core-properties" Target="docProps/core.xml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Kreditoren" sheetId="1" r:id="Rc1d3b3acd6964e05"/>
    <x:sheet xmlns:r="http://schemas.openxmlformats.org/officeDocument/2006/relationships" name="Belege" sheetId="2" r:id="Rda99f8391ccb4df4"/>
    <x:sheet xmlns:r="http://schemas.openxmlformats.org/officeDocument/2006/relationships" name="Ausgleich" sheetId="3" r:id="R38b39726324d4d8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.00;(#,##0.00);&quot;-&quot;"/>
    <x:numFmt numFmtId="201" formatCode="0.0%"/>
    <x:numFmt numFmtId="202" formatCode="#,##0.00"/>
  </x:numFmts>
  <x:fonts count="10">
    <x:font>
      <x:sz val="11"/>
      <x:name val="Carlito"/>
    </x:font>
    <x:font>
      <x:b/>
      <x:sz val="14"/>
      <x:name val="Arial"/>
    </x:font>
    <x:font>
      <x:i/>
      <x:sz val="10"/>
      <x:name val="Arial"/>
    </x:font>
    <x:font>
      <x:b/>
      <x:sz val="10"/>
      <x:color rgb="FFFFFFFF"/>
      <x:name val="Arial"/>
    </x:font>
    <x:font>
      <x:sz val="10"/>
      <x:name val="Arial"/>
    </x:font>
    <x:font>
      <x:sz val="10"/>
      <x:color rgb="FF2457A7"/>
      <x:name val="Arial"/>
    </x:font>
    <x:font>
      <x:sz val="10"/>
      <x:color rgb="FF000000"/>
      <x:name val="Arial"/>
    </x:font>
    <x:font>
      <x:b/>
      <x:sz val="10"/>
      <x:name val="Arial"/>
    </x:font>
    <x:font>
      <x:b/>
      <x:sz val="10"/>
      <x:color rgb="FF000000"/>
      <x:name val="Arial"/>
    </x:font>
    <x:font>
      <x:sz val="10"/>
      <x:color rgb="FF25704B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344A47"/>
      </x:patternFill>
    </x:fill>
    <x:fill>
      <x:patternFill patternType="solid">
        <x:fgColor rgb="FFE8EBED"/>
      </x:patternFill>
    </x:fill>
  </x:fills>
  <x:borders count="1">
    <x:border/>
  </x:borders>
  <x:cellStyleXfs count="1">
    <x:xf numFmtId="0" fontId="0" fillId="0" borderId="0"/>
  </x:cellStyleXfs>
  <x:cellXfs count="31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horizontal="center" vertical="center" wrapText="1"/>
    </x:xf>
    <x:xf numFmtId="0" fontId="6" fillId="0" borderId="0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 applyAlignment="1">
      <x:alignment vertical="center" wrapText="1"/>
    </x:xf>
    <x:xf numFmtId="201" fontId="5" fillId="0" borderId="0" xfId="0" applyNumberFormat="1" applyFont="1" applyFill="1" applyBorder="1" applyAlignment="1">
      <x:alignment vertical="center" wrapText="1"/>
    </x:xf>
    <x:xf numFmtId="200" fontId="6" fillId="0" borderId="0" xfId="0" applyNumberFormat="1" applyFont="1" applyFill="1" applyBorder="1" applyAlignment="1">
      <x:alignment vertical="center" wrapText="1"/>
    </x:xf>
    <x:xf numFmtId="0" fontId="6" fillId="0" borderId="0" xfId="0" applyNumberFormat="1" applyFont="1" applyFill="1" applyBorder="1"/>
    <x:xf numFmtId="0" fontId="0" fillId="3" borderId="0" xfId="0" applyNumberFormat="1" applyFont="1" applyFill="1" applyBorder="1"/>
    <x:xf numFmtId="0" fontId="6" fillId="3" borderId="0" xfId="0" applyNumberFormat="1" applyFont="1" applyFill="1" applyBorder="1"/>
    <x:xf numFmtId="0" fontId="7" fillId="3" borderId="0" xfId="0" applyNumberFormat="1" applyFont="1" applyFill="1" applyBorder="1"/>
    <x:xf numFmtId="0" fontId="8" fillId="3" borderId="0" xfId="0" applyNumberFormat="1" applyFont="1" applyFill="1" applyBorder="1"/>
    <x:xf numFmtId="200" fontId="8" fillId="3" borderId="0" xfId="0" applyNumberFormat="1" applyFont="1" applyFill="1" applyBorder="1"/>
    <x:xf numFmtId="0" fontId="9" fillId="0" borderId="0" xfId="0" applyNumberFormat="1" applyFont="1" applyFill="1" applyBorder="1" applyAlignment="1">
      <x:alignment vertical="center" wrapText="1"/>
    </x:xf>
    <x:xf numFmtId="200" fontId="9" fillId="0" borderId="0" xfId="0" applyNumberFormat="1" applyFont="1" applyFill="1" applyBorder="1" applyAlignment="1">
      <x:alignment vertical="center" wrapText="1"/>
    </x:xf>
    <x:xf numFmtId="0" fontId="9" fillId="0" borderId="0" xfId="0" applyNumberFormat="1" applyFont="1" applyFill="1" applyBorder="1"/>
    <x:xf numFmtId="200" fontId="0" fillId="0" borderId="0" xfId="0" applyNumberFormat="1" applyFont="1" applyFill="1" applyBorder="1"/>
    <x:xf numFmtId="200" fontId="6" fillId="0" borderId="0" xfId="0" applyNumberFormat="1" applyFont="1" applyFill="1" applyBorder="1"/>
    <x:xf numFmtId="200" fontId="9" fillId="0" borderId="0" xfId="0" applyNumberFormat="1" applyFont="1" applyFill="1" applyBorder="1"/>
    <x:xf numFmtId="202" fontId="6" fillId="0" borderId="0" xfId="0" applyNumberFormat="1" applyFont="1" applyFill="1" applyBorder="1"/>
    <x:xf numFmtId="202" fontId="9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0bfbfc603fa451e" /><Relationship Type="http://schemas.openxmlformats.org/officeDocument/2006/relationships/theme" Target="/xl/theme/theme1.xml" Id="R9f2e5e92f8854a35" /><Relationship Type="http://schemas.openxmlformats.org/officeDocument/2006/relationships/sharedStrings" Target="/xl/sharedStrings.xml" Id="R2d9e426118324533" /><Relationship Type="http://schemas.openxmlformats.org/officeDocument/2006/relationships/worksheet" Target="/xl/worksheets/sheet1.xml" Id="Rc1d3b3acd6964e05" /><Relationship Type="http://schemas.openxmlformats.org/officeDocument/2006/relationships/worksheet" Target="/xl/worksheets/sheet2.xml" Id="Rda99f8391ccb4df4" /><Relationship Type="http://schemas.openxmlformats.org/officeDocument/2006/relationships/worksheet" Target="/xl/worksheets/sheet3.xml" Id="R38b39726324d4d8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3" hidden="0" customWidth="1"/>
    <x:col min="2" max="2" width="20" hidden="0" customWidth="1"/>
    <x:col min="3" max="3" width="19" hidden="0" customWidth="1"/>
    <x:col min="4" max="4" width="20" hidden="0" customWidth="1"/>
    <x:col min="5" max="5" width="18" hidden="0" customWidth="1"/>
    <x:col min="6" max="6" width="18" hidden="0" customWidth="1"/>
    <x:col min="7" max="7" width="18" hidden="0" customWidth="1"/>
  </x:cols>
  <x:sheetData>
    <x:row r="2">
      <x:c r="A2" s="1" t="str">
        <x:v>Mertens Lieferantenstand</x:v>
      </x:c>
    </x:row>
    <x:row r="3">
      <x:c r="A3" s="2" t="str">
        <x:v>Stand 25.09.2026 | EUR netto, soweit nicht anders bezeichnet</x:v>
      </x:c>
    </x:row>
    <x:row r="5" ht="34" customHeight="1">
      <x:c r="A5" s="7" t="str">
        <x:v>Kreditor</x:v>
      </x:c>
      <x:c r="B5" s="7" t="str">
        <x:v>Belege brutto</x:v>
      </x:c>
      <x:c r="C5" s="7" t="str">
        <x:v>Zahlung</x:v>
      </x:c>
      <x:c r="D5" s="7" t="str">
        <x:v>Skonto brutto</x:v>
      </x:c>
      <x:c r="E5" s="7" t="str">
        <x:v>Offen</x:v>
      </x:c>
      <x:c r="F5" s="7" t="str">
        <x:v>Sicherheit</x:v>
      </x:c>
      <x:c r="G5" s="7" t="str">
        <x:v>Freie OP</x:v>
      </x:c>
    </x:row>
    <x:row r="6" ht="29" customHeight="1">
      <x:c r="A6" s="10" t="str">
        <x:v>K100 Röding</x:v>
      </x:c>
      <x:c r="B6" s="24" t="n">
        <x:f>SUMIFS('Belege'!$F$6:$F$10,'Belege'!$B$6:$B$10,"K100")</x:f>
        <x:v>24000</x:v>
      </x:c>
      <x:c r="C6" s="24" t="n">
        <x:f>'Ausgleich'!C6</x:f>
        <x:v>22800</x:v>
      </x:c>
      <x:c r="D6" s="24" t="n">
        <x:f>'Ausgleich'!D6</x:f>
        <x:v>0</x:v>
      </x:c>
      <x:c r="E6" s="16" t="n">
        <x:f>B6-SUM(C6:D6)</x:f>
        <x:v>1200</x:v>
      </x:c>
      <x:c r="F6" s="24" t="n">
        <x:f>'Ausgleich'!E6</x:f>
        <x:v>1200</x:v>
      </x:c>
      <x:c r="G6" s="16" t="n">
        <x:f>E6-F6</x:f>
        <x:v>0</x:v>
      </x:c>
    </x:row>
    <x:row r="7" ht="29" customHeight="1">
      <x:c r="A7" s="10" t="str">
        <x:v>K200 Lippe</x:v>
      </x:c>
      <x:c r="B7" s="24" t="n">
        <x:f>SUMIFS('Belege'!$F$6:$F$10,'Belege'!$B$6:$B$10,"K200")</x:f>
        <x:v>13090</x:v>
      </x:c>
      <x:c r="C7" s="24" t="n">
        <x:f>'Ausgleich'!C7</x:f>
        <x:v>12828.2</x:v>
      </x:c>
      <x:c r="D7" s="24" t="n">
        <x:f>'Ausgleich'!D7</x:f>
        <x:v>261.8</x:v>
      </x:c>
      <x:c r="E7" s="16" t="n">
        <x:f>B7-SUM(C7:D7)</x:f>
        <x:v>0</x:v>
      </x:c>
      <x:c r="F7" s="24" t="n">
        <x:f>'Ausgleich'!E7</x:f>
        <x:v>0</x:v>
      </x:c>
      <x:c r="G7" s="16" t="n">
        <x:f>E7-F7</x:f>
        <x:v>0</x:v>
      </x:c>
    </x:row>
    <x:row r="8" ht="29" customHeight="1">
      <x:c r="A8" s="10" t="str">
        <x:v>K300 Weser</x:v>
      </x:c>
      <x:c r="B8" s="24" t="n">
        <x:f>SUMIFS('Belege'!$F$6:$F$10,'Belege'!$B$6:$B$10,"K300")</x:f>
        <x:v>2975</x:v>
      </x:c>
      <x:c r="C8" s="24" t="n">
        <x:f>'Ausgleich'!C8</x:f>
        <x:v>2975</x:v>
      </x:c>
      <x:c r="D8" s="24" t="n">
        <x:f>'Ausgleich'!D8</x:f>
        <x:v>0</x:v>
      </x:c>
      <x:c r="E8" s="16" t="n">
        <x:f>B8-SUM(C8:D8)</x:f>
        <x:v>0</x:v>
      </x:c>
      <x:c r="F8" s="24" t="n">
        <x:f>'Ausgleich'!E8</x:f>
        <x:v>0</x:v>
      </x:c>
      <x:c r="G8" s="16" t="n">
        <x:f>E8-F8</x:f>
        <x:v>0</x:v>
      </x:c>
    </x:row>
    <x:row r="9" ht="29" customHeight="1">
      <x:c r="A9" s="10" t="str">
        <x:v>K400 Seidel</x:v>
      </x:c>
      <x:c r="B9" s="24" t="n">
        <x:f>SUMIFS('Belege'!$F$6:$F$10,'Belege'!$B$6:$B$10,"K400")</x:f>
        <x:v>2142</x:v>
      </x:c>
      <x:c r="C9" s="24" t="n">
        <x:f>'Ausgleich'!C9</x:f>
        <x:v>0</x:v>
      </x:c>
      <x:c r="D9" s="24" t="n">
        <x:f>'Ausgleich'!D9</x:f>
        <x:v>0</x:v>
      </x:c>
      <x:c r="E9" s="16" t="n">
        <x:f>B9-SUM(C9:D9)</x:f>
        <x:v>2142</x:v>
      </x:c>
      <x:c r="F9" s="24" t="n">
        <x:f>'Ausgleich'!E9</x:f>
        <x:v>0</x:v>
      </x:c>
      <x:c r="G9" s="16" t="n">
        <x:f>E9-F9</x:f>
        <x:v>2142</x:v>
      </x:c>
    </x:row>
    <x:row r="10" ht="29" customHeight="1">
      <x:c r="A10" s="20" t="str">
        <x:v>Summe</x:v>
      </x:c>
      <x:c r="B10" s="22" t="n">
        <x:f>SUM(B6:B9)</x:f>
        <x:v>42207</x:v>
      </x:c>
      <x:c r="C10" s="22" t="n">
        <x:f>SUM(C6:C9)</x:f>
        <x:v>38603.2</x:v>
      </x:c>
      <x:c r="D10" s="22" t="n">
        <x:f>SUM(D6:D9)</x:f>
        <x:v>261.8</x:v>
      </x:c>
      <x:c r="E10" s="22" t="n">
        <x:f>SUM(E6:E9)</x:f>
        <x:v>3342</x:v>
      </x:c>
      <x:c r="F10" s="22" t="n">
        <x:f>SUM(F6:F9)</x:f>
        <x:v>1200</x:v>
      </x:c>
      <x:c r="G10" s="22" t="n">
        <x:f>SUM(G6:G9)</x:f>
        <x:v>2142</x:v>
      </x:c>
    </x:row>
    <x:row r="13">
      <x:c r="A13" t="str">
        <x:v>OPOS laut Export</x:v>
      </x:c>
      <x:c r="B13" s="26" t="n">
        <x:v>3342</x:v>
      </x:c>
    </x:row>
    <x:row r="14">
      <x:c r="A14" t="str">
        <x:v>Differenz zum OPOS</x:v>
      </x:c>
      <x:c r="B14" s="29" t="n">
        <x:f>E10-B13</x:f>
        <x:v>0</x:v>
      </x:c>
    </x:row>
    <x:row r="15">
      <x:c r="A15" t="str">
        <x:v>Belegsumme Kontrolle</x:v>
      </x:c>
      <x:c r="B15" s="30" t="n">
        <x:f>B10-'Belege'!F11</x:f>
        <x:v>0</x:v>
      </x:c>
    </x:row>
    <x:row r="18">
      <x:c r="A18" t="str">
        <x:v>Freie OP bezeichnet den Betrag ohne vertragliche Sicherheit, nicht eine Zahlungsfreigabe.</x:v>
      </x:c>
    </x:row>
    <x:row r="19">
      <x:c r="A19" t="str">
        <x:v>Quelle: 23 OPOS. ST-260922 ist gebucht; die Leistungsfreigabe steht aus.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1" hidden="0" customWidth="1"/>
    <x:col min="2" max="2" width="14" hidden="0" customWidth="1"/>
    <x:col min="3" max="3" width="18" hidden="0" customWidth="1"/>
    <x:col min="4" max="4" width="15" hidden="0" customWidth="1"/>
    <x:col min="5" max="5" width="18" hidden="0" customWidth="1"/>
    <x:col min="6" max="6" width="20" hidden="0" customWidth="1"/>
    <x:col min="7" max="7" width="22" hidden="0" customWidth="1"/>
  </x:cols>
  <x:sheetData>
    <x:row r="2">
      <x:c r="A2" s="1" t="str">
        <x:v>Mertens Rechnungseingang</x:v>
      </x:c>
    </x:row>
    <x:row r="3">
      <x:c r="A3" s="2" t="str">
        <x:v>Stand 25.09.2026 | EUR netto, soweit nicht anders bezeichnet</x:v>
      </x:c>
    </x:row>
    <x:row r="5" ht="34" customHeight="1">
      <x:c r="A5" s="7" t="str">
        <x:v>Buchung</x:v>
      </x:c>
      <x:c r="B5" s="7" t="str">
        <x:v>Kreditor</x:v>
      </x:c>
      <x:c r="C5" s="7" t="str">
        <x:v>Netto</x:v>
      </x:c>
      <x:c r="D5" s="7" t="str">
        <x:v>Steuerausweis %</x:v>
      </x:c>
      <x:c r="E5" s="7" t="str">
        <x:v>USt im Beleg</x:v>
      </x:c>
      <x:c r="F5" s="7" t="str">
        <x:v>Belegbetrag</x:v>
      </x:c>
      <x:c r="G5" s="7" t="str">
        <x:v>Freigabe</x:v>
      </x:c>
    </x:row>
    <x:row r="6" ht="29" customHeight="1">
      <x:c r="A6" s="10" t="str">
        <x:v>ER-260901</x:v>
      </x:c>
      <x:c r="B6" s="10" t="str">
        <x:v>K100</x:v>
      </x:c>
      <x:c r="C6" s="14" t="n">
        <x:v>24000</x:v>
      </x:c>
      <x:c r="D6" s="15" t="n">
        <x:v>0</x:v>
      </x:c>
      <x:c r="E6" s="16" t="n">
        <x:f>ROUND(C6*D6,2)</x:f>
        <x:v>0</x:v>
      </x:c>
      <x:c r="F6" s="16" t="n">
        <x:f>SUM(C6,E6)</x:f>
        <x:v>24000</x:v>
      </x:c>
      <x:c r="G6" s="12" t="str">
        <x:v>freigegeben</x:v>
      </x:c>
    </x:row>
    <x:row r="7" ht="29" customHeight="1">
      <x:c r="A7" s="10" t="str">
        <x:v>ER-260908</x:v>
      </x:c>
      <x:c r="B7" s="10" t="str">
        <x:v>K200</x:v>
      </x:c>
      <x:c r="C7" s="14" t="n">
        <x:v>12000</x:v>
      </x:c>
      <x:c r="D7" s="15" t="n">
        <x:v>0.19</x:v>
      </x:c>
      <x:c r="E7" s="16" t="n">
        <x:f>ROUND(C7*D7,2)</x:f>
        <x:v>2280</x:v>
      </x:c>
      <x:c r="F7" s="16" t="n">
        <x:f>SUM(C7,E7)</x:f>
        <x:v>14280</x:v>
      </x:c>
      <x:c r="G7" s="12" t="str">
        <x:v>freigegeben</x:v>
      </x:c>
    </x:row>
    <x:row r="8" ht="29" customHeight="1">
      <x:c r="A8" s="10" t="str">
        <x:v>GS-260912</x:v>
      </x:c>
      <x:c r="B8" s="10" t="str">
        <x:v>K200</x:v>
      </x:c>
      <x:c r="C8" s="14" t="n">
        <x:v>-1000</x:v>
      </x:c>
      <x:c r="D8" s="15" t="n">
        <x:v>0.19</x:v>
      </x:c>
      <x:c r="E8" s="16" t="n">
        <x:f>ROUND(C8*D8,2)</x:f>
        <x:v>-190</x:v>
      </x:c>
      <x:c r="F8" s="16" t="n">
        <x:f>SUM(C8,E8)</x:f>
        <x:v>-1190</x:v>
      </x:c>
      <x:c r="G8" s="12" t="str">
        <x:v>verrechnet</x:v>
      </x:c>
    </x:row>
    <x:row r="9" ht="29" customHeight="1">
      <x:c r="A9" s="10" t="str">
        <x:v>ER-260915</x:v>
      </x:c>
      <x:c r="B9" s="10" t="str">
        <x:v>K300</x:v>
      </x:c>
      <x:c r="C9" s="14" t="n">
        <x:v>2500</x:v>
      </x:c>
      <x:c r="D9" s="15" t="n">
        <x:v>0.19</x:v>
      </x:c>
      <x:c r="E9" s="16" t="n">
        <x:f>ROUND(C9*D9,2)</x:f>
        <x:v>475</x:v>
      </x:c>
      <x:c r="F9" s="16" t="n">
        <x:f>SUM(C9,E9)</x:f>
        <x:v>2975</x:v>
      </x:c>
      <x:c r="G9" s="12" t="str">
        <x:v>freigegeben</x:v>
      </x:c>
    </x:row>
    <x:row r="10" ht="29" customHeight="1">
      <x:c r="A10" s="10" t="str">
        <x:v>ER-260922</x:v>
      </x:c>
      <x:c r="B10" s="10" t="str">
        <x:v>K400</x:v>
      </x:c>
      <x:c r="C10" s="14" t="n">
        <x:v>1800</x:v>
      </x:c>
      <x:c r="D10" s="15" t="n">
        <x:v>0.19</x:v>
      </x:c>
      <x:c r="E10" s="16" t="n">
        <x:f>ROUND(C10*D10,2)</x:f>
        <x:v>342</x:v>
      </x:c>
      <x:c r="F10" s="16" t="n">
        <x:f>SUM(C10,E10)</x:f>
        <x:v>2142</x:v>
      </x:c>
      <x:c r="G10" s="12" t="str">
        <x:v>ausstehend</x:v>
      </x:c>
    </x:row>
    <x:row r="11" ht="29" customHeight="1">
      <x:c r="A11" s="20" t="str">
        <x:v>Summe</x:v>
      </x:c>
      <x:c r="B11" s="20"/>
      <x:c r="C11" s="20"/>
      <x:c r="D11" s="20"/>
      <x:c r="E11" s="22" t="n">
        <x:f>SUM(E6:E10)</x:f>
        <x:v>2907</x:v>
      </x:c>
      <x:c r="F11" s="22" t="n">
        <x:f>SUM(F6:F10)</x:f>
        <x:v>42207</x:v>
      </x:c>
    </x:row>
    <x:row r="14">
      <x:c r="A14" t="str">
        <x:v>K100: Steuerschuldnerschaft des Leistungsempfängers, kein steuerfreier Umsatz.</x:v>
      </x:c>
    </x:row>
    <x:row r="15">
      <x:c r="A15" t="str">
        <x:v>Quellen: 22 Eingangsjournal sowie 05, 08, 11, 13 und 15 Rechnungsbelege.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6" hidden="0" customWidth="1"/>
    <x:col min="2" max="2" width="20" hidden="0" customWidth="1"/>
    <x:col min="3" max="3" width="19" hidden="0" customWidth="1"/>
    <x:col min="4" max="4" width="20" hidden="0" customWidth="1"/>
    <x:col min="5" max="5" width="18" hidden="0" customWidth="1"/>
    <x:col min="6" max="6" width="22" hidden="0" customWidth="1"/>
  </x:cols>
  <x:sheetData>
    <x:row r="2">
      <x:c r="A2" s="1" t="str">
        <x:v>Mertens Zahlungen und Abzüge</x:v>
      </x:c>
    </x:row>
    <x:row r="3">
      <x:c r="A3" s="2" t="str">
        <x:v>Stand 25.09.2026 | EUR netto, soweit nicht anders bezeichnet</x:v>
      </x:c>
    </x:row>
    <x:row r="5" ht="34" customHeight="1">
      <x:c r="A5" s="7" t="str">
        <x:v>Kreditor</x:v>
      </x:c>
      <x:c r="B5" s="7" t="str">
        <x:v>Bankreferenz</x:v>
      </x:c>
      <x:c r="C5" s="7" t="str">
        <x:v>Zahlung</x:v>
      </x:c>
      <x:c r="D5" s="7" t="str">
        <x:v>Skonto brutto</x:v>
      </x:c>
      <x:c r="E5" s="7" t="str">
        <x:v>Sicherheit</x:v>
      </x:c>
      <x:c r="F5" s="7" t="str">
        <x:v>Bezugsbeleg</x:v>
      </x:c>
    </x:row>
    <x:row r="6" ht="29" customHeight="1">
      <x:c r="A6" s="10" t="str">
        <x:v>K100</x:v>
      </x:c>
      <x:c r="B6" s="10" t="str">
        <x:v>BK-0914</x:v>
      </x:c>
      <x:c r="C6" s="14" t="n">
        <x:v>22800</x:v>
      </x:c>
      <x:c r="D6" s="14" t="n">
        <x:v>0</x:v>
      </x:c>
      <x:c r="E6" s="14" t="n">
        <x:v>1200</x:v>
      </x:c>
      <x:c r="F6" s="12" t="str">
        <x:v>RB-260901</x:v>
      </x:c>
    </x:row>
    <x:row r="7" ht="29" customHeight="1">
      <x:c r="A7" s="10" t="str">
        <x:v>K200</x:v>
      </x:c>
      <x:c r="B7" s="10" t="str">
        <x:v>BK-0918</x:v>
      </x:c>
      <x:c r="C7" s="14" t="n">
        <x:v>12828.2</x:v>
      </x:c>
      <x:c r="D7" s="14" t="n">
        <x:v>261.8</x:v>
      </x:c>
      <x:c r="E7" s="14" t="n">
        <x:v>0</x:v>
      </x:c>
      <x:c r="F7" s="12" t="str">
        <x:v>LB-260908</x:v>
      </x:c>
    </x:row>
    <x:row r="8" ht="29" customHeight="1">
      <x:c r="A8" s="10" t="str">
        <x:v>K300</x:v>
      </x:c>
      <x:c r="B8" s="10" t="str">
        <x:v>BK-0922</x:v>
      </x:c>
      <x:c r="C8" s="14" t="n">
        <x:v>2975</x:v>
      </x:c>
      <x:c r="D8" s="14" t="n">
        <x:v>0</x:v>
      </x:c>
      <x:c r="E8" s="14" t="n">
        <x:v>0</x:v>
      </x:c>
      <x:c r="F8" s="12" t="str">
        <x:v>WM-260915</x:v>
      </x:c>
    </x:row>
    <x:row r="9" ht="29" customHeight="1">
      <x:c r="A9" s="10" t="str">
        <x:v>K400</x:v>
      </x:c>
      <x:c r="B9" s="10" t="str"/>
      <x:c r="C9" s="14" t="n">
        <x:v>0</x:v>
      </x:c>
      <x:c r="D9" s="14" t="n">
        <x:v>0</x:v>
      </x:c>
      <x:c r="E9" s="14" t="n">
        <x:v>0</x:v>
      </x:c>
      <x:c r="F9" s="12" t="str">
        <x:v>ST-260922</x:v>
      </x:c>
    </x:row>
    <x:row r="10" ht="29" customHeight="1">
      <x:c r="A10" s="20" t="str">
        <x:v>Summe</x:v>
      </x:c>
      <x:c r="B10" s="20"/>
      <x:c r="C10" s="22" t="n">
        <x:f>SUM(C6:C9)</x:f>
        <x:v>38603.2</x:v>
      </x:c>
      <x:c r="D10" s="22" t="n">
        <x:f>SUM(D6:D9)</x:f>
        <x:v>261.8</x:v>
      </x:c>
      <x:c r="E10" s="22" t="n">
        <x:f>SUM(E6:E9)</x:f>
        <x:v>1200</x:v>
      </x:c>
    </x:row>
    <x:row r="13">
      <x:c r="A13" t="str">
        <x:v>Quelle: 19 Bankumsatz, 26 Freigabe. Die Zahlung BK-0924C ist noch nicht zugeordnet.</x:v>
      </x:c>
    </x:row>
  </x:sheetData>
  <x:pageMargins left="0.7" right="0.7" top="0.75" bottom="0.75" header="0.3" footer="0.3"/>
</x:worksheet>
</file>

<file path=docProps/core.xml><?xml version="1.0" encoding="utf-8"?>
<ns0:coreProperties xmlns:dc="http://purl.org/dc/elements/1.1/" xmlns:ns0="http://schemas.openxmlformats.org/package/2006/metadata/core-properties">
  <dc:creator>Klotzkette</dc:creator>
  <ns0:lastModifiedBy>Klotzkette</ns0:lastModifiedBy>
  <dc:language>de-DE</dc:language>
</ns0:coreProperties>
</file>