
<file path=[Content_Types].xml><?xml version="1.0" encoding="utf-8"?>
<ns0:Types xmlns:ns0="http://schemas.openxmlformats.org/package/2006/content-types">
  <ns0:Default Extension="xml" ContentType="application/vnd.openxmlformats-officedocument.spreadsheetml.sheet.main+xml"/>
  <ns0:Default Extension="rels" ContentType="application/vnd.openxmlformats-package.relationship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sharedStrings.xml" ContentType="application/vnd.openxmlformats-officedocument.spreadsheetml.sharedString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docProps/core.xml" ContentType="application/vnd.openxmlformats-package.core-properties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/xl/workbook.xml" Id="R2e8efb344ba547db" /><ns0:Relationship Id="rIdKlotzketteCore" Type="http://schemas.openxmlformats.org/package/2006/relationships/metadata/core-properties" Target="docProps/core.xml" /></ns0: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ktkosten" sheetId="1" r:id="Rab521cf822784b42"/>
    <x:sheet xmlns:r="http://schemas.openxmlformats.org/officeDocument/2006/relationships" name="Fremdleistungen" sheetId="2" r:id="R41e45ca0cad54e79"/>
    <x:sheet xmlns:r="http://schemas.openxmlformats.org/officeDocument/2006/relationships" name="Lohn August" sheetId="3" r:id="R4d5294026ed5489b"/>
    <x:sheet xmlns:r="http://schemas.openxmlformats.org/officeDocument/2006/relationships" name="Bank" sheetId="4" r:id="Re0cc040129d046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;(#,##0.00);&quot;-&quot;"/>
    <x:numFmt numFmtId="201" formatCode="#,##0.00"/>
    <x:numFmt numFmtId="202" formatCode="yyyy-mm-dd"/>
  </x:numFmts>
  <x:fonts count="10">
    <x:font>
      <x:sz val="11"/>
      <x:name val="Carlito"/>
    </x:font>
    <x:font>
      <x:b/>
      <x:sz val="14"/>
      <x:name val="Arial"/>
    </x:font>
    <x:font>
      <x:i/>
      <x:sz val="10"/>
      <x:name val="Arial"/>
    </x:font>
    <x:font>
      <x:b/>
      <x:sz val="10"/>
      <x:color rgb="FFFFFFFF"/>
      <x:name val="Arial"/>
    </x:font>
    <x:font>
      <x:sz val="10"/>
      <x:name val="Arial"/>
    </x:font>
    <x:font>
      <x:sz val="10"/>
      <x:color rgb="FF2457A7"/>
      <x:name val="Arial"/>
    </x:font>
    <x:font>
      <x:sz val="10"/>
      <x:color rgb="FF000000"/>
      <x:name val="Arial"/>
    </x:font>
    <x:font>
      <x:b/>
      <x:sz val="10"/>
      <x:name val="Arial"/>
    </x:font>
    <x:font>
      <x:b/>
      <x:sz val="10"/>
      <x:color rgb="FF000000"/>
      <x:name val="Arial"/>
    </x:font>
    <x:font>
      <x:sz val="10"/>
      <x:color rgb="FF25704B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44A47"/>
      </x:patternFill>
    </x:fill>
    <x:fill>
      <x:patternFill patternType="solid">
        <x:fgColor rgb="FFE8EBED"/>
      </x:patternFill>
    </x:fill>
  </x:fills>
  <x:borders count="1">
    <x:border/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 applyAlignment="1">
      <x:alignment vertical="center" wrapText="1"/>
    </x:xf>
    <x:xf numFmtId="200" fontId="6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7" fillId="3" borderId="0" xfId="0" applyNumberFormat="1" applyFont="1" applyFill="1" applyBorder="1"/>
    <x:xf numFmtId="0" fontId="8" fillId="3" borderId="0" xfId="0" applyNumberFormat="1" applyFont="1" applyFill="1" applyBorder="1"/>
    <x:xf numFmtId="200" fontId="8" fillId="3" borderId="0" xfId="0" applyNumberFormat="1" applyFont="1" applyFill="1" applyBorder="1"/>
    <x:xf numFmtId="200" fontId="0" fillId="0" borderId="0" xfId="0" applyNumberFormat="1" applyFont="1" applyFill="1" applyBorder="1"/>
    <x:xf numFmtId="200" fontId="6" fillId="0" borderId="0" xfId="0" applyNumberFormat="1" applyFont="1" applyFill="1" applyBorder="1"/>
    <x:xf numFmtId="201" fontId="6" fillId="0" borderId="0" xfId="0" applyNumberFormat="1" applyFont="1" applyFill="1" applyBorder="1"/>
    <x:xf numFmtId="0" fontId="9" fillId="0" borderId="0" xfId="0" applyNumberFormat="1" applyFont="1" applyFill="1" applyBorder="1" applyAlignment="1">
      <x:alignment vertical="center" wrapText="1"/>
    </x:xf>
    <x:xf numFmtId="200" fontId="9" fillId="0" borderId="0" xfId="0" applyNumberFormat="1" applyFont="1" applyFill="1" applyBorder="1" applyAlignment="1">
      <x:alignment vertical="center" wrapText="1"/>
    </x:xf>
    <x:xf numFmtId="202" fontId="5" fillId="0" borderId="0" xfId="0" applyNumberFormat="1" applyFont="1" applyFill="1" applyBorder="1" applyAlignment="1">
      <x:alignment vertical="center" wrapText="1"/>
    </x:xf>
    <x:xf numFmtId="202" fontId="5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f81f47b72247d4" /><Relationship Type="http://schemas.openxmlformats.org/officeDocument/2006/relationships/theme" Target="/xl/theme/theme1.xml" Id="Rb092ffc0b46944f6" /><Relationship Type="http://schemas.openxmlformats.org/officeDocument/2006/relationships/sharedStrings" Target="/xl/sharedStrings.xml" Id="R1dd5b3c21c804ae7" /><Relationship Type="http://schemas.openxmlformats.org/officeDocument/2006/relationships/worksheet" Target="/xl/worksheets/sheet1.xml" Id="Rab521cf822784b42" /><Relationship Type="http://schemas.openxmlformats.org/officeDocument/2006/relationships/worksheet" Target="/xl/worksheets/sheet2.xml" Id="R41e45ca0cad54e79" /><Relationship Type="http://schemas.openxmlformats.org/officeDocument/2006/relationships/worksheet" Target="/xl/worksheets/sheet3.xml" Id="R4d5294026ed5489b" /><Relationship Type="http://schemas.openxmlformats.org/officeDocument/2006/relationships/worksheet" Target="/xl/worksheets/sheet4.xml" Id="Re0cc040129d046c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27" hidden="0" customWidth="1"/>
    <x:col min="3" max="3" width="20" hidden="0" customWidth="1"/>
    <x:col min="4" max="4" width="21" hidden="0" customWidth="1"/>
    <x:col min="5" max="5" width="22" hidden="0" customWidth="1"/>
    <x:col min="6" max="6" width="21" hidden="0" customWidth="1"/>
  </x:cols>
  <x:sheetData>
    <x:row r="2">
      <x:c r="A2" s="1" t="str">
        <x:v>Mertens ausgewählter Kostenstand</x:v>
      </x:c>
    </x:row>
    <x:row r="3">
      <x:c r="A3" s="2" t="str">
        <x:v>Stand 25.09.2026 | EUR netto, soweit nicht anders bezeichnet</x:v>
      </x:c>
    </x:row>
    <x:row r="5" ht="34" customHeight="1">
      <x:c r="A5" s="7" t="str">
        <x:v>Projekt</x:v>
      </x:c>
      <x:c r="B5" s="7" t="str">
        <x:v>Fremdleistung netto</x:v>
      </x:c>
      <x:c r="C5" s="7" t="str">
        <x:v>Lohnkosten</x:v>
      </x:c>
      <x:c r="D5" s="7" t="str">
        <x:v>Gesamt netto</x:v>
      </x:c>
      <x:c r="E5" s="7" t="str">
        <x:v>Budget netto</x:v>
      </x:c>
      <x:c r="F5" s="7" t="str">
        <x:v>Budgetrest</x:v>
      </x:c>
    </x:row>
    <x:row r="6" ht="29" customHeight="1">
      <x:c r="A6" s="10" t="str">
        <x:v>BS26-01</x:v>
      </x:c>
      <x:c r="B6" s="25" t="n">
        <x:f>SUMIFS('Fremdleistungen'!$E$6:$E$11,'Fremdleistungen'!$B$6:$B$11,A6)</x:f>
        <x:v>36280</x:v>
      </x:c>
      <x:c r="C6" s="25" t="n">
        <x:f>SUMIFS('Lohn August'!$G$6:$G$15,'Lohn August'!$B$6:$B$15,A6)</x:f>
        <x:v>15240</x:v>
      </x:c>
      <x:c r="D6" s="14" t="n">
        <x:f>SUM(B6:C6)</x:f>
        <x:v>51520</x:v>
      </x:c>
      <x:c r="E6" s="13" t="n">
        <x:v>180000</x:v>
      </x:c>
      <x:c r="F6" s="14" t="n">
        <x:f>E6-D6</x:f>
        <x:v>128480</x:v>
      </x:c>
    </x:row>
    <x:row r="7" ht="29" customHeight="1">
      <x:c r="A7" s="10" t="str">
        <x:v>BS26-02</x:v>
      </x:c>
      <x:c r="B7" s="25" t="n">
        <x:f>SUMIFS('Fremdleistungen'!$E$6:$E$11,'Fremdleistungen'!$B$6:$B$11,A7)</x:f>
        <x:v>2800</x:v>
      </x:c>
      <x:c r="C7" s="25" t="n">
        <x:f>SUMIFS('Lohn August'!$G$6:$G$15,'Lohn August'!$B$6:$B$15,A7)</x:f>
        <x:v>10160</x:v>
      </x:c>
      <x:c r="D7" s="14" t="n">
        <x:f>SUM(B7:C7)</x:f>
        <x:v>12960</x:v>
      </x:c>
      <x:c r="E7" s="13" t="n">
        <x:v>95000</x:v>
      </x:c>
      <x:c r="F7" s="14" t="n">
        <x:f>E7-D7</x:f>
        <x:v>82040</x:v>
      </x:c>
    </x:row>
    <x:row r="8" ht="29" customHeight="1">
      <x:c r="A8" s="18" t="str">
        <x:v>Summe</x:v>
      </x:c>
      <x:c r="B8" s="20" t="n">
        <x:f>SUM(B6:B7)</x:f>
        <x:v>39080</x:v>
      </x:c>
      <x:c r="C8" s="20" t="n">
        <x:f>SUM(C6:C7)</x:f>
        <x:v>25400</x:v>
      </x:c>
      <x:c r="D8" s="20" t="n">
        <x:f>SUM(D6:D7)</x:f>
        <x:v>64480</x:v>
      </x:c>
      <x:c r="E8" s="20" t="n">
        <x:f>SUM(E6:E7)</x:f>
        <x:v>275000</x:v>
      </x:c>
      <x:c r="F8" s="20" t="n">
        <x:f>SUM(F6:F7)</x:f>
        <x:v>210520</x:v>
      </x:c>
    </x:row>
    <x:row r="11">
      <x:c r="A11" t="str">
        <x:v>Ausgewählter Belegstapel und Auguststunden. Budgetrest ist keine Restkostenprognose.</x:v>
      </x:c>
    </x:row>
    <x:row r="12">
      <x:c r="A12" t="str">
        <x:v>Keine Vollständigkeitsaussage zum Gesamtprojekt. Konto 1590 ist noch ohne Projektzuordnung.</x:v>
      </x:c>
    </x:row>
    <x:row r="13">
      <x:c r="A13" t="str">
        <x:v>Quelle Budget: 02 Projektstamm. Fremdleistungen enthalten noch nicht bezahlte Rechnungen.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22" hidden="0" customWidth="1"/>
    <x:col min="3" max="3" width="20" hidden="0" customWidth="1"/>
    <x:col min="4" max="4" width="22" hidden="0" customWidth="1"/>
    <x:col min="5" max="5" width="22" hidden="0" customWidth="1"/>
  </x:cols>
  <x:sheetData>
    <x:row r="2">
      <x:c r="A2" s="1" t="str">
        <x:v>Mertens Projektzuordnung</x:v>
      </x:c>
    </x:row>
    <x:row r="3">
      <x:c r="A3" s="2" t="str">
        <x:v>Stand 25.09.2026 | EUR netto, soweit nicht anders bezeichnet</x:v>
      </x:c>
    </x:row>
    <x:row r="5" ht="34" customHeight="1">
      <x:c r="A5" s="7" t="str">
        <x:v>Beleg</x:v>
      </x:c>
      <x:c r="B5" s="7" t="str">
        <x:v>Projekt</x:v>
      </x:c>
      <x:c r="C5" s="7" t="str">
        <x:v>Netto</x:v>
      </x:c>
      <x:c r="D5" s="7" t="str">
        <x:v>Minderung netto</x:v>
      </x:c>
      <x:c r="E5" s="7" t="str">
        <x:v>Projektkosten</x:v>
      </x:c>
    </x:row>
    <x:row r="6" ht="29" customHeight="1">
      <x:c r="A6" s="10" t="str">
        <x:v>RB-260901</x:v>
      </x:c>
      <x:c r="B6" s="10" t="str">
        <x:v>BS26-01</x:v>
      </x:c>
      <x:c r="C6" s="13" t="n">
        <x:v>24000</x:v>
      </x:c>
      <x:c r="D6" s="13" t="n">
        <x:v>0</x:v>
      </x:c>
      <x:c r="E6" s="14" t="n">
        <x:f>C6-D6</x:f>
        <x:v>24000</x:v>
      </x:c>
    </x:row>
    <x:row r="7" ht="29" customHeight="1">
      <x:c r="A7" s="10" t="str">
        <x:v>LB-260908</x:v>
      </x:c>
      <x:c r="B7" s="10" t="str">
        <x:v>BS26-01</x:v>
      </x:c>
      <x:c r="C7" s="13" t="n">
        <x:v>12000</x:v>
      </x:c>
      <x:c r="D7" s="13" t="n">
        <x:v>220</x:v>
      </x:c>
      <x:c r="E7" s="14" t="n">
        <x:f>C7-D7</x:f>
        <x:v>11780</x:v>
      </x:c>
    </x:row>
    <x:row r="8" ht="29" customHeight="1">
      <x:c r="A8" s="10" t="str">
        <x:v>LB-G260912</x:v>
      </x:c>
      <x:c r="B8" s="10" t="str">
        <x:v>BS26-01</x:v>
      </x:c>
      <x:c r="C8" s="13" t="n">
        <x:v>-1000</x:v>
      </x:c>
      <x:c r="D8" s="13" t="n">
        <x:v>0</x:v>
      </x:c>
      <x:c r="E8" s="14" t="n">
        <x:f>C8-D8</x:f>
        <x:v>-1000</x:v>
      </x:c>
    </x:row>
    <x:row r="9" ht="29" customHeight="1">
      <x:c r="A9" s="10" t="str">
        <x:v>WM-260915/1</x:v>
      </x:c>
      <x:c r="B9" s="10" t="str">
        <x:v>BS26-01</x:v>
      </x:c>
      <x:c r="C9" s="13" t="n">
        <x:v>1500</x:v>
      </x:c>
      <x:c r="D9" s="13" t="n">
        <x:v>0</x:v>
      </x:c>
      <x:c r="E9" s="14" t="n">
        <x:f>C9-D9</x:f>
        <x:v>1500</x:v>
      </x:c>
    </x:row>
    <x:row r="10" ht="29" customHeight="1">
      <x:c r="A10" s="10" t="str">
        <x:v>WM-260915/2</x:v>
      </x:c>
      <x:c r="B10" s="10" t="str">
        <x:v>BS26-02</x:v>
      </x:c>
      <x:c r="C10" s="13" t="n">
        <x:v>1000</x:v>
      </x:c>
      <x:c r="D10" s="13" t="n">
        <x:v>0</x:v>
      </x:c>
      <x:c r="E10" s="14" t="n">
        <x:f>C10-D10</x:f>
        <x:v>1000</x:v>
      </x:c>
    </x:row>
    <x:row r="11" ht="29" customHeight="1">
      <x:c r="A11" s="10" t="str">
        <x:v>ST-260922</x:v>
      </x:c>
      <x:c r="B11" s="10" t="str">
        <x:v>BS26-02</x:v>
      </x:c>
      <x:c r="C11" s="13" t="n">
        <x:v>1800</x:v>
      </x:c>
      <x:c r="D11" s="13" t="n">
        <x:v>0</x:v>
      </x:c>
      <x:c r="E11" s="14" t="n">
        <x:f>C11-D11</x:f>
        <x:v>1800</x:v>
      </x:c>
    </x:row>
    <x:row r="12" ht="29" customHeight="1">
      <x:c r="A12" s="18" t="str">
        <x:v>Summe</x:v>
      </x:c>
      <x:c r="B12" s="18"/>
      <x:c r="C12" s="20" t="n">
        <x:f>SUM(C6:C11)</x:f>
        <x:v>39300</x:v>
      </x:c>
      <x:c r="D12" s="20" t="n">
        <x:f>SUM(D6:D11)</x:f>
        <x:v>220</x:v>
      </x:c>
      <x:c r="E12" s="20" t="n">
        <x:f>SUM(E6:E11)</x:f>
        <x:v>39080</x:v>
      </x:c>
    </x:row>
    <x:row r="15">
      <x:c r="A15" t="str">
        <x:v>Quelle: Rechnungen, 14 Mietnachweis, 12 Skontobestätigung. Seidel bleibt trotz offener Freigabe im Kostenstand.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17" hidden="0" customWidth="1"/>
    <x:col min="4" max="4" width="20" hidden="0" customWidth="1"/>
    <x:col min="5" max="5" width="21" hidden="0" customWidth="1"/>
    <x:col min="6" max="6" width="21" hidden="0" customWidth="1"/>
    <x:col min="7" max="7" width="21" hidden="0" customWidth="1"/>
  </x:cols>
  <x:sheetData>
    <x:row r="2">
      <x:c r="A2" s="1" t="str">
        <x:v>Mertens gewerbliche Projektstunden</x:v>
      </x:c>
    </x:row>
    <x:row r="3">
      <x:c r="A3" s="2" t="str">
        <x:v>Stand 25.09.2026 | EUR netto, soweit nicht anders bezeichnet</x:v>
      </x:c>
    </x:row>
    <x:row r="5" ht="34" customHeight="1">
      <x:c r="A5" s="7" t="str">
        <x:v>Personalnr</x:v>
      </x:c>
      <x:c r="B5" s="7" t="str">
        <x:v>Projekt</x:v>
      </x:c>
      <x:c r="C5" s="7" t="str">
        <x:v>Stunden</x:v>
      </x:c>
      <x:c r="D5" s="7" t="str">
        <x:v>Lohn je Stunde</x:v>
      </x:c>
      <x:c r="E5" s="7" t="str">
        <x:v>Bruttolohn</x:v>
      </x:c>
      <x:c r="F5" s="7" t="str">
        <x:v>AG Belastung</x:v>
      </x:c>
      <x:c r="G5" s="7" t="str">
        <x:v>Projektkosten</x:v>
      </x:c>
    </x:row>
    <x:row r="6" ht="29" customHeight="1">
      <x:c r="A6" s="10" t="str">
        <x:v>P001</x:v>
      </x:c>
      <x:c r="B6" s="10" t="str">
        <x:v>BS26-01</x:v>
      </x:c>
      <x:c r="C6" s="11" t="n">
        <x:v>70</x:v>
      </x:c>
      <x:c r="D6" s="13" t="n">
        <x:v>30</x:v>
      </x:c>
      <x:c r="E6" s="14" t="n">
        <x:f>ROUND(C6*D6,2)</x:f>
        <x:v>2100</x:v>
      </x:c>
      <x:c r="F6" s="13" t="n">
        <x:v>440</x:v>
      </x:c>
      <x:c r="G6" s="14" t="n">
        <x:f>SUM(E6:F6)</x:f>
        <x:v>2540</x:v>
      </x:c>
    </x:row>
    <x:row r="7" ht="29" customHeight="1">
      <x:c r="A7" s="10" t="str">
        <x:v>P002</x:v>
      </x:c>
      <x:c r="B7" s="10" t="str">
        <x:v>BS26-01</x:v>
      </x:c>
      <x:c r="C7" s="11" t="n">
        <x:v>70</x:v>
      </x:c>
      <x:c r="D7" s="13" t="n">
        <x:v>30</x:v>
      </x:c>
      <x:c r="E7" s="14" t="n">
        <x:f>ROUND(C7*D7,2)</x:f>
        <x:v>2100</x:v>
      </x:c>
      <x:c r="F7" s="13" t="n">
        <x:v>440</x:v>
      </x:c>
      <x:c r="G7" s="14" t="n">
        <x:f>SUM(E7:F7)</x:f>
        <x:v>2540</x:v>
      </x:c>
    </x:row>
    <x:row r="8" ht="29" customHeight="1">
      <x:c r="A8" s="10" t="str">
        <x:v>P003</x:v>
      </x:c>
      <x:c r="B8" s="10" t="str">
        <x:v>BS26-01</x:v>
      </x:c>
      <x:c r="C8" s="11" t="n">
        <x:v>70</x:v>
      </x:c>
      <x:c r="D8" s="13" t="n">
        <x:v>30</x:v>
      </x:c>
      <x:c r="E8" s="14" t="n">
        <x:f>ROUND(C8*D8,2)</x:f>
        <x:v>2100</x:v>
      </x:c>
      <x:c r="F8" s="13" t="n">
        <x:v>440</x:v>
      </x:c>
      <x:c r="G8" s="14" t="n">
        <x:f>SUM(E8:F8)</x:f>
        <x:v>2540</x:v>
      </x:c>
    </x:row>
    <x:row r="9" ht="29" customHeight="1">
      <x:c r="A9" s="10" t="str">
        <x:v>P004</x:v>
      </x:c>
      <x:c r="B9" s="10" t="str">
        <x:v>BS26-01</x:v>
      </x:c>
      <x:c r="C9" s="11" t="n">
        <x:v>70</x:v>
      </x:c>
      <x:c r="D9" s="13" t="n">
        <x:v>30</x:v>
      </x:c>
      <x:c r="E9" s="14" t="n">
        <x:f>ROUND(C9*D9,2)</x:f>
        <x:v>2100</x:v>
      </x:c>
      <x:c r="F9" s="13" t="n">
        <x:v>440</x:v>
      </x:c>
      <x:c r="G9" s="14" t="n">
        <x:f>SUM(E9:F9)</x:f>
        <x:v>2540</x:v>
      </x:c>
    </x:row>
    <x:row r="10" ht="29" customHeight="1">
      <x:c r="A10" s="10" t="str">
        <x:v>P005</x:v>
      </x:c>
      <x:c r="B10" s="10" t="str">
        <x:v>BS26-01</x:v>
      </x:c>
      <x:c r="C10" s="11" t="n">
        <x:v>70</x:v>
      </x:c>
      <x:c r="D10" s="13" t="n">
        <x:v>30</x:v>
      </x:c>
      <x:c r="E10" s="14" t="n">
        <x:f>ROUND(C10*D10,2)</x:f>
        <x:v>2100</x:v>
      </x:c>
      <x:c r="F10" s="13" t="n">
        <x:v>440</x:v>
      </x:c>
      <x:c r="G10" s="14" t="n">
        <x:f>SUM(E10:F10)</x:f>
        <x:v>2540</x:v>
      </x:c>
    </x:row>
    <x:row r="11" ht="29" customHeight="1">
      <x:c r="A11" s="10" t="str">
        <x:v>P006</x:v>
      </x:c>
      <x:c r="B11" s="10" t="str">
        <x:v>BS26-01</x:v>
      </x:c>
      <x:c r="C11" s="11" t="n">
        <x:v>70</x:v>
      </x:c>
      <x:c r="D11" s="13" t="n">
        <x:v>30</x:v>
      </x:c>
      <x:c r="E11" s="14" t="n">
        <x:f>ROUND(C11*D11,2)</x:f>
        <x:v>2100</x:v>
      </x:c>
      <x:c r="F11" s="13" t="n">
        <x:v>440</x:v>
      </x:c>
      <x:c r="G11" s="14" t="n">
        <x:f>SUM(E11:F11)</x:f>
        <x:v>2540</x:v>
      </x:c>
    </x:row>
    <x:row r="12" ht="29" customHeight="1">
      <x:c r="A12" s="10" t="str">
        <x:v>P007</x:v>
      </x:c>
      <x:c r="B12" s="10" t="str">
        <x:v>BS26-02</x:v>
      </x:c>
      <x:c r="C12" s="11" t="n">
        <x:v>70</x:v>
      </x:c>
      <x:c r="D12" s="13" t="n">
        <x:v>30</x:v>
      </x:c>
      <x:c r="E12" s="14" t="n">
        <x:f>ROUND(C12*D12,2)</x:f>
        <x:v>2100</x:v>
      </x:c>
      <x:c r="F12" s="13" t="n">
        <x:v>440</x:v>
      </x:c>
      <x:c r="G12" s="14" t="n">
        <x:f>SUM(E12:F12)</x:f>
        <x:v>2540</x:v>
      </x:c>
    </x:row>
    <x:row r="13" ht="29" customHeight="1">
      <x:c r="A13" s="10" t="str">
        <x:v>P008</x:v>
      </x:c>
      <x:c r="B13" s="10" t="str">
        <x:v>BS26-02</x:v>
      </x:c>
      <x:c r="C13" s="11" t="n">
        <x:v>70</x:v>
      </x:c>
      <x:c r="D13" s="13" t="n">
        <x:v>30</x:v>
      </x:c>
      <x:c r="E13" s="14" t="n">
        <x:f>ROUND(C13*D13,2)</x:f>
        <x:v>2100</x:v>
      </x:c>
      <x:c r="F13" s="13" t="n">
        <x:v>440</x:v>
      </x:c>
      <x:c r="G13" s="14" t="n">
        <x:f>SUM(E13:F13)</x:f>
        <x:v>2540</x:v>
      </x:c>
    </x:row>
    <x:row r="14" ht="29" customHeight="1">
      <x:c r="A14" s="10" t="str">
        <x:v>P009</x:v>
      </x:c>
      <x:c r="B14" s="10" t="str">
        <x:v>BS26-02</x:v>
      </x:c>
      <x:c r="C14" s="11" t="n">
        <x:v>70</x:v>
      </x:c>
      <x:c r="D14" s="13" t="n">
        <x:v>30</x:v>
      </x:c>
      <x:c r="E14" s="14" t="n">
        <x:f>ROUND(C14*D14,2)</x:f>
        <x:v>2100</x:v>
      </x:c>
      <x:c r="F14" s="13" t="n">
        <x:v>440</x:v>
      </x:c>
      <x:c r="G14" s="14" t="n">
        <x:f>SUM(E14:F14)</x:f>
        <x:v>2540</x:v>
      </x:c>
    </x:row>
    <x:row r="15" ht="29" customHeight="1">
      <x:c r="A15" s="10" t="str">
        <x:v>P010</x:v>
      </x:c>
      <x:c r="B15" s="10" t="str">
        <x:v>BS26-02</x:v>
      </x:c>
      <x:c r="C15" s="11" t="n">
        <x:v>70</x:v>
      </x:c>
      <x:c r="D15" s="13" t="n">
        <x:v>30</x:v>
      </x:c>
      <x:c r="E15" s="14" t="n">
        <x:f>ROUND(C15*D15,2)</x:f>
        <x:v>2100</x:v>
      </x:c>
      <x:c r="F15" s="13" t="n">
        <x:v>440</x:v>
      </x:c>
      <x:c r="G15" s="14" t="n">
        <x:f>SUM(E15:F15)</x:f>
        <x:v>2540</x:v>
      </x:c>
    </x:row>
    <x:row r="16" ht="29" customHeight="1">
      <x:c r="A16" s="18" t="str">
        <x:v>Summe</x:v>
      </x:c>
      <x:c r="B16" s="18"/>
      <x:c r="C16" s="18"/>
      <x:c r="D16" s="18"/>
      <x:c r="E16" s="20" t="n">
        <x:f>SUM(E6:E15)</x:f>
        <x:v>21000</x:v>
      </x:c>
      <x:c r="F16" s="20" t="n">
        <x:f>SUM(F6:F15)</x:f>
        <x:v>4400</x:v>
      </x:c>
      <x:c r="G16" s="20" t="n">
        <x:f>SUM(G6:G15)</x:f>
        <x:v>25400</x:v>
      </x:c>
    </x:row>
    <x:row r="19">
      <x:c r="A19" t="str">
        <x:v>Lohnquelle Kosten</x:v>
      </x:c>
      <x:c r="B19" s="21" t="n">
        <x:v>25400</x:v>
      </x:c>
    </x:row>
    <x:row r="20">
      <x:c r="A20" t="str">
        <x:v>Kontrollsumme</x:v>
      </x:c>
      <x:c r="B20" s="23" t="n">
        <x:f>G16-B19</x:f>
        <x:v>0</x:v>
      </x:c>
    </x:row>
    <x:row r="23">
      <x:c r="A23" t="str">
        <x:v>Quelle: 17 Lohnzusammenfassung, 18 Projektstunden. Leistungsmonat August; Zahlung im September.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1" hidden="0" customWidth="1"/>
    <x:col min="2" max="2" width="18" hidden="0" customWidth="1"/>
    <x:col min="3" max="3" width="31" hidden="0" customWidth="1"/>
    <x:col min="4" max="4" width="20" hidden="0" customWidth="1"/>
    <x:col min="5" max="5" width="20" hidden="0" customWidth="1"/>
    <x:col min="6" max="6" width="21" hidden="0" customWidth="1"/>
  </x:cols>
  <x:sheetData>
    <x:row r="2">
      <x:c r="A2" s="1" t="str">
        <x:v>Mertens Betriebskonto September</x:v>
      </x:c>
    </x:row>
    <x:row r="3">
      <x:c r="A3" s="2" t="str">
        <x:v>Stand 25.09.2026 | EUR netto, soweit nicht anders bezeichnet</x:v>
      </x:c>
    </x:row>
    <x:row r="5" ht="34" customHeight="1">
      <x:c r="A5" s="7" t="str">
        <x:v>Referenz</x:v>
      </x:c>
      <x:c r="B5" s="7" t="str">
        <x:v>Valuta</x:v>
      </x:c>
      <x:c r="C5" s="7" t="str">
        <x:v>Gegenpartei</x:v>
      </x:c>
      <x:c r="D5" s="7" t="str">
        <x:v>Haben</x:v>
      </x:c>
      <x:c r="E5" s="7" t="str">
        <x:v>Soll</x:v>
      </x:c>
      <x:c r="F5" s="7" t="str">
        <x:v>Saldo</x:v>
      </x:c>
    </x:row>
    <x:row r="6" ht="29" customHeight="1">
      <x:c r="A6" s="10" t="str">
        <x:v>BK-0901</x:v>
      </x:c>
      <x:c r="B6" s="27" t="n">
        <x:v>46266</x:v>
      </x:c>
      <x:c r="C6" s="10" t="str">
        <x:v>Kunde Alte Mühle</x:v>
      </x:c>
      <x:c r="D6" s="13" t="n">
        <x:v>60000</x:v>
      </x:c>
      <x:c r="E6" s="13" t="n">
        <x:v>0</x:v>
      </x:c>
      <x:c r="F6" s="14" t="n">
        <x:f>SUM($B$16,D6)-E6</x:f>
        <x:v>145000</x:v>
      </x:c>
    </x:row>
    <x:row r="7" ht="29" customHeight="1">
      <x:c r="A7" s="10" t="str">
        <x:v>BK-0914</x:v>
      </x:c>
      <x:c r="B7" s="27" t="n">
        <x:v>46279</x:v>
      </x:c>
      <x:c r="C7" s="10" t="str">
        <x:v>Röding Betonbau</x:v>
      </x:c>
      <x:c r="D7" s="13" t="n">
        <x:v>0</x:v>
      </x:c>
      <x:c r="E7" s="13" t="n">
        <x:v>22800</x:v>
      </x:c>
      <x:c r="F7" s="14" t="n">
        <x:f>SUM(F6,D7)-E7</x:f>
        <x:v>122200</x:v>
      </x:c>
    </x:row>
    <x:row r="8" ht="29" customHeight="1">
      <x:c r="A8" s="10" t="str">
        <x:v>BK-0918</x:v>
      </x:c>
      <x:c r="B8" s="27" t="n">
        <x:v>46283</x:v>
      </x:c>
      <x:c r="C8" s="10" t="str">
        <x:v>Lippe Baustoffhandel</x:v>
      </x:c>
      <x:c r="D8" s="13" t="n">
        <x:v>0</x:v>
      </x:c>
      <x:c r="E8" s="13" t="n">
        <x:v>12828.2</x:v>
      </x:c>
      <x:c r="F8" s="14" t="n">
        <x:f>SUM(F7,D8)-E8</x:f>
        <x:v>109371.8</x:v>
      </x:c>
    </x:row>
    <x:row r="9" ht="29" customHeight="1">
      <x:c r="A9" s="10" t="str">
        <x:v>BK-0922</x:v>
      </x:c>
      <x:c r="B9" s="27" t="n">
        <x:v>46287</x:v>
      </x:c>
      <x:c r="C9" s="10" t="str">
        <x:v>Weser Miettechnik</x:v>
      </x:c>
      <x:c r="D9" s="13" t="n">
        <x:v>0</x:v>
      </x:c>
      <x:c r="E9" s="13" t="n">
        <x:v>2975</x:v>
      </x:c>
      <x:c r="F9" s="14" t="n">
        <x:f>SUM(F8,D9)-E9</x:f>
        <x:v>106396.8</x:v>
      </x:c>
    </x:row>
    <x:row r="10" ht="29" customHeight="1">
      <x:c r="A10" s="10" t="str">
        <x:v>BK-0923</x:v>
      </x:c>
      <x:c r="B10" s="27" t="n">
        <x:v>46288</x:v>
      </x:c>
      <x:c r="C10" s="10" t="str">
        <x:v>Lohn August</x:v>
      </x:c>
      <x:c r="D10" s="13" t="n">
        <x:v>0</x:v>
      </x:c>
      <x:c r="E10" s="13" t="n">
        <x:v>15700</x:v>
      </x:c>
      <x:c r="F10" s="14" t="n">
        <x:f>SUM(F9,D10)-E10</x:f>
        <x:v>90696.8</x:v>
      </x:c>
    </x:row>
    <x:row r="11" ht="29" customHeight="1">
      <x:c r="A11" s="10" t="str">
        <x:v>BK-0924A</x:v>
      </x:c>
      <x:c r="B11" s="27" t="n">
        <x:v>46289</x:v>
      </x:c>
      <x:c r="C11" s="10" t="str">
        <x:v>Sozialkassen August</x:v>
      </x:c>
      <x:c r="D11" s="13" t="n">
        <x:v>0</x:v>
      </x:c>
      <x:c r="E11" s="13" t="n">
        <x:v>7700</x:v>
      </x:c>
      <x:c r="F11" s="14" t="n">
        <x:f>SUM(F10,D11)-E11</x:f>
        <x:v>82996.8</x:v>
      </x:c>
    </x:row>
    <x:row r="12" ht="29" customHeight="1">
      <x:c r="A12" s="10" t="str">
        <x:v>BK-0924B</x:v>
      </x:c>
      <x:c r="B12" s="27" t="n">
        <x:v>46289</x:v>
      </x:c>
      <x:c r="C12" s="10" t="str">
        <x:v>Finanzamt</x:v>
      </x:c>
      <x:c r="D12" s="13" t="n">
        <x:v>0</x:v>
      </x:c>
      <x:c r="E12" s="13" t="n">
        <x:v>2000</x:v>
      </x:c>
      <x:c r="F12" s="14" t="n">
        <x:f>SUM(F11,D12)-E12</x:f>
        <x:v>80996.8</x:v>
      </x:c>
    </x:row>
    <x:row r="13" ht="29" customHeight="1">
      <x:c r="A13" s="10" t="str">
        <x:v>BK-0924C</x:v>
      </x:c>
      <x:c r="B13" s="27" t="n">
        <x:v>46289</x:v>
      </x:c>
      <x:c r="C13" s="10" t="str">
        <x:v>Weser Miettechnik</x:v>
      </x:c>
      <x:c r="D13" s="13" t="n">
        <x:v>0</x:v>
      </x:c>
      <x:c r="E13" s="13" t="n">
        <x:v>1785</x:v>
      </x:c>
      <x:c r="F13" s="14" t="n">
        <x:f>SUM(F12,D13)-E13</x:f>
        <x:v>79211.8</x:v>
      </x:c>
    </x:row>
    <x:row r="16">
      <x:c r="A16" t="str">
        <x:v>Anfangssaldo</x:v>
      </x:c>
      <x:c r="B16" s="21" t="n">
        <x:v>85000</x:v>
      </x:c>
    </x:row>
    <x:row r="17">
      <x:c r="A17" t="str">
        <x:v>Schluss laut Auszug</x:v>
      </x:c>
      <x:c r="B17" s="21" t="n">
        <x:v>79211.8</x:v>
      </x:c>
    </x:row>
    <x:row r="18">
      <x:c r="A18" t="str">
        <x:v>Kontrollsumme</x:v>
      </x:c>
      <x:c r="B18" s="23" t="n">
        <x:f>F13-B17</x:f>
        <x:v>0</x:v>
      </x:c>
    </x:row>
    <x:row r="19">
      <x:c r="A19" t="str">
        <x:v>Konto 1590</x:v>
      </x:c>
      <x:c r="B19" s="21" t="n">
        <x:v>1785</x:v>
      </x:c>
    </x:row>
    <x:row r="22">
      <x:c r="A22" t="str">
        <x:v>Quelle: 19 Bankumsatz und 28 Kontoauszug. BK-0924C auf Konto 1590 ohne Belegzuordnung.</x:v>
      </x:c>
    </x:row>
  </x:sheetData>
  <x:pageMargins left="0.7" right="0.7" top="0.75" bottom="0.75" header="0.3" footer="0.3"/>
</x:worksheet>
</file>

<file path=docProps/core.xml><?xml version="1.0" encoding="utf-8"?>
<cp:coreProperties xmlns:cp="http://schemas.openxmlformats.org/package/2006/metadata/core-properties" xmlns:dc="http://purl.org/dc/elements/1.1/">
  <dc:creator>Klotzkette</dc:creator>
  <cp:lastModifiedBy>Klotzkette</cp:lastModifiedBy>
  <dc:language>de-DE</dc:language>
</cp:coreProperties>
</file>