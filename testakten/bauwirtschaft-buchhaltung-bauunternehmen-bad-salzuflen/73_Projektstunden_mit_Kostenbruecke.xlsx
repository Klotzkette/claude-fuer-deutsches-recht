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Stunden" sheetId="1" state="visible" ns1:id="rId3"/>
    <ns0:sheet name="Abstimmung" sheetId="2" state="visible" ns1:id="rId4"/>
  </ns0:sheets>
  <ns0:definedNames>
    <ns0:definedName name="_xlnm.Print_Area" localSheetId="0">'Stunden'!A1:G21</ns0:definedName>
    <ns0:definedName name="_xlnm.Print_Titles" localSheetId="0">'Stunden'!$7:$7</ns0:definedName>
    <ns0:definedName name="_xlnm.Print_Area" localSheetId="1">'Abstimmung'!A1:D21</ns0:definedName>
    <ns0:definedName name="_xlnm.Print_Titles" localSheetId="1">'Abstimmung'!$7:$7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<sst xmlns="http://schemas.openxmlformats.org/spreadsheetml/2006/main" count="57" uniqueCount="45">
  <si>
    <t xml:space="preserve">Auguststunden und Arbeitgeberkosten</t>
  </si>
  <si>
    <t xml:space="preserve">Mertens GmbH | Nora Brinkmann | Stand 25.09.2026, 16:00 Uhr</t>
  </si>
  <si>
    <t xml:space="preserve">Quelle 18: 70 Stunden je Person zu 30 EUR. Quelle 17/71: 440 EUR Arbeitgeberbelastung je Person. Keine individuelle Abgabenberechnung.</t>
  </si>
  <si>
    <t xml:space="preserve">Personal</t>
  </si>
  <si>
    <t xml:space="preserve">Projekt</t>
  </si>
  <si>
    <t xml:space="preserve">Stunden</t>
  </si>
  <si>
    <t xml:space="preserve">EUR / Std.</t>
  </si>
  <si>
    <t xml:space="preserve">AG EUR</t>
  </si>
  <si>
    <t xml:space="preserve">Brutto EUR</t>
  </si>
  <si>
    <t xml:space="preserve">Kosten EUR</t>
  </si>
  <si>
    <t xml:space="preserve">P001</t>
  </si>
  <si>
    <t xml:space="preserve">BS26-01</t>
  </si>
  <si>
    <t xml:space="preserve">P002</t>
  </si>
  <si>
    <t xml:space="preserve">P003</t>
  </si>
  <si>
    <t xml:space="preserve">P004</t>
  </si>
  <si>
    <t xml:space="preserve">P005</t>
  </si>
  <si>
    <t xml:space="preserve">P006</t>
  </si>
  <si>
    <t xml:space="preserve">P007</t>
  </si>
  <si>
    <t xml:space="preserve">BS26-02</t>
  </si>
  <si>
    <t xml:space="preserve">P008</t>
  </si>
  <si>
    <t xml:space="preserve">P009</t>
  </si>
  <si>
    <t xml:space="preserve">P010</t>
  </si>
  <si>
    <t xml:space="preserve">Summe</t>
  </si>
  <si>
    <t xml:space="preserve">Kosten = Bruttolohn + Arbeitgeberbelastung. Stunden gehören in August 2026; Bankzahlungen erfolgten im September. Ein Zahlungsdatum erzeugt keinen zweiten Aufwand.</t>
  </si>
  <si>
    <t xml:space="preserve">Projektkosten und Geldabfluss</t>
  </si>
  <si>
    <t xml:space="preserve">Grün = Übernahme aus Blatt Stunden. Die nachfolgenden Bankbeträge stammen aus 19/28; Änderungen der Stunden ändern nicht automatisch den Kontoauszug.</t>
  </si>
  <si>
    <t xml:space="preserve">Position</t>
  </si>
  <si>
    <t xml:space="preserve">Kosten / Betrag EUR</t>
  </si>
  <si>
    <t xml:space="preserve">Quelle / Bedeutung</t>
  </si>
  <si>
    <t xml:space="preserve">Sechs Personen; Werkstattanbau Fricke</t>
  </si>
  <si>
    <t xml:space="preserve">Vier Personen; Ladenfläche Lage</t>
  </si>
  <si>
    <t xml:space="preserve">Kosten gesamt</t>
  </si>
  <si>
    <t xml:space="preserve">Verteilte Bruttolöhne und Arbeitgeberanteile</t>
  </si>
  <si>
    <t xml:space="preserve">Nettolohn</t>
  </si>
  <si>
    <t xml:space="preserve">23.09.2026 | Betriebskonto</t>
  </si>
  <si>
    <t xml:space="preserve">Sozialversicherung</t>
  </si>
  <si>
    <t xml:space="preserve">24.09.2026 | enthält 3.300 AN + 4.400 AG</t>
  </si>
  <si>
    <t xml:space="preserve">Lohnsteuer</t>
  </si>
  <si>
    <t xml:space="preserve">24.09.2026 | Betriebskonto</t>
  </si>
  <si>
    <t xml:space="preserve">Bank gesamt</t>
  </si>
  <si>
    <t xml:space="preserve">Summe der drei ausgeführten Zahlungen</t>
  </si>
  <si>
    <t xml:space="preserve">Differenz</t>
  </si>
  <si>
    <t xml:space="preserve">Kosten minus Bank; Abweichungen aufklären</t>
  </si>
  <si>
    <t xml:space="preserve">Der Arbeitgeberanteil steckt bereits in der Sozialversicherungszahlung. Ihn zur Banksumme nochmals zu addieren würde denselben Abfluss doppelt zählen.</t>
  </si>
  <si>
    <t xml:space="preserve">Änderungshinweis: Neue Stunden oder Korrekturen nur mit Nachweis übernehmen. Eine Differenz beweist noch keinen Fehler der Lohnabrechnung. Rückfrage an Sabine Krüger (Beleg 71).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</si>
</sst>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;\(#,##0.00\);&quot;0.00&quot;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213E5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457A7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25704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F3F5"/>
        <bgColor rgb="FFF0F3F4"/>
      </patternFill>
    </fill>
    <fill>
      <patternFill patternType="solid">
        <fgColor rgb="FF213E50"/>
        <bgColor rgb="FF003366"/>
      </patternFill>
    </fill>
    <fill>
      <patternFill patternType="solid">
        <fgColor rgb="FFDCE9E9"/>
        <bgColor rgb="FFEDF3F5"/>
      </patternFill>
    </fill>
    <fill>
      <patternFill patternType="solid">
        <fgColor rgb="FFF0F3F4"/>
        <bgColor rgb="FFEDF3F5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5704B"/>
      <rgbColor rgb="FFC0C0C0"/>
      <rgbColor rgb="FF808080"/>
      <rgbColor rgb="FF9999FF"/>
      <rgbColor rgb="FF993366"/>
      <rgbColor rgb="FFF0F3F4"/>
      <rgbColor rgb="FFDCE9E9"/>
      <rgbColor rgb="FF660066"/>
      <rgbColor rgb="FFFF8080"/>
      <rgbColor rgb="FF2457A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3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G70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7" topLeftCell="A8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5"/>
    <ns0:col collapsed="false" customWidth="true" hidden="false" outlineLevel="0" max="2" min="2" style="0" width="18"/>
    <ns0:col collapsed="false" customWidth="true" hidden="false" outlineLevel="0" max="3" min="3" style="0" width="13"/>
    <ns0:col collapsed="false" customWidth="true" hidden="false" outlineLevel="0" max="5" min="4" style="0" width="15"/>
    <ns0:col collapsed="false" customWidth="true" hidden="false" outlineLevel="0" max="6" min="6" style="0" width="17"/>
    <ns0:col collapsed="false" customWidth="true" hidden="false" outlineLevel="0" max="7" min="7" style="0" width="18"/>
  </ns0:cols>
  <ns0:sheetData>
    <ns0:row r="1" customFormat="false" ht="18" hidden="false" customHeight="true" outlineLevel="0" collapsed="false">
      <ns0:c r="A1" s="1" t="s">
        <ns0:v>0</ns0:v>
      </ns0:c>
      <ns0:c r="B1" s="1"/>
      <ns0:c r="C1" s="1"/>
      <ns0:c r="D1" s="1"/>
      <ns0:c r="E1" s="1"/>
      <ns0:c r="F1" s="1"/>
      <ns0:c r="G1" s="1"/>
    </ns0:row>
    <ns0:row r="2" customFormat="false" ht="18" hidden="false" customHeight="true" outlineLevel="0" collapsed="false">
      <ns0:c r="A2" s="1"/>
      <ns0:c r="B2" s="1"/>
      <ns0:c r="C2" s="1"/>
      <ns0:c r="D2" s="1"/>
      <ns0:c r="E2" s="1"/>
      <ns0:c r="F2" s="1"/>
      <ns0:c r="G2" s="1"/>
    </ns0:row>
    <ns0:row r="3" customFormat="false" ht="18" hidden="false" customHeight="true" outlineLevel="0" collapsed="false">
      <ns0:c r="A3" s="2" t="s">
        <ns0:v>1</ns0:v>
      </ns0:c>
      <ns0:c r="B3" s="2"/>
      <ns0:c r="C3" s="2"/>
      <ns0:c r="D3" s="2"/>
      <ns0:c r="E3" s="2"/>
      <ns0:c r="F3" s="2"/>
      <ns0:c r="G3" s="2"/>
    </ns0:row>
    <ns0:row r="4" customFormat="false" ht="18" hidden="false" customHeight="true" outlineLevel="0" collapsed="false">
      <ns0:c r="A4" s="3" t="s">
        <ns0:v>2</ns0:v>
      </ns0:c>
      <ns0:c r="B4" s="3"/>
      <ns0:c r="C4" s="3"/>
      <ns0:c r="D4" s="3"/>
      <ns0:c r="E4" s="3"/>
      <ns0:c r="F4" s="3"/>
      <ns0:c r="G4" s="3"/>
    </ns0:row>
    <ns0:row r="5" customFormat="false" ht="18" hidden="false" customHeight="true" outlineLevel="0" collapsed="false">
      <ns0:c r="A5" s="3"/>
      <ns0:c r="B5" s="3"/>
      <ns0:c r="C5" s="3"/>
      <ns0:c r="D5" s="3"/>
      <ns0:c r="E5" s="3"/>
      <ns0:c r="F5" s="3"/>
      <ns0:c r="G5" s="3"/>
    </ns0:row>
    <ns0:row r="6" customFormat="false" ht="18" hidden="false" customHeight="true" outlineLevel="0" collapsed="false">
      <ns0:c r="A6" s="2"/>
      <ns0:c r="B6" s="2"/>
      <ns0:c r="C6" s="2"/>
      <ns0:c r="D6" s="2"/>
      <ns0:c r="E6" s="2"/>
      <ns0:c r="F6" s="2"/>
      <ns0:c r="G6" s="2"/>
    </ns0:row>
    <ns0:row r="7" customFormat="false" ht="38" hidden="false" customHeight="true" outlineLevel="0" collapsed="false">
      <ns0:c r="A7" s="4" t="s">
        <ns0:v>3</ns0:v>
      </ns0:c>
      <ns0:c r="B7" s="4" t="s">
        <ns0:v>4</ns0:v>
      </ns0:c>
      <ns0:c r="C7" s="4" t="s">
        <ns0:v>5</ns0:v>
      </ns0:c>
      <ns0:c r="D7" s="4" t="s">
        <ns0:v>6</ns0:v>
      </ns0:c>
      <ns0:c r="E7" s="4" t="s">
        <ns0:v>7</ns0:v>
      </ns0:c>
      <ns0:c r="F7" s="4" t="s">
        <ns0:v>8</ns0:v>
      </ns0:c>
      <ns0:c r="G7" s="4" t="s">
        <ns0:v>9</ns0:v>
      </ns0:c>
    </ns0:row>
    <ns0:row r="8" customFormat="false" ht="26" hidden="false" customHeight="true" outlineLevel="0" collapsed="false">
      <ns0:c r="A8" s="2" t="s">
        <ns0:v>10</ns0:v>
      </ns0:c>
      <ns0:c r="B8" s="2" t="s">
        <ns0:v>11</ns0:v>
      </ns0:c>
      <ns0:c r="C8" s="5" t="n">
        <ns0:v>70</ns0:v>
      </ns0:c>
      <ns0:c r="D8" s="6" t="n">
        <ns0:v>30</ns0:v>
      </ns0:c>
      <ns0:c r="E8" s="6" t="n">
        <ns0:v>440</ns0:v>
      </ns0:c>
      <ns0:c r="F8" s="7" t="n">
        <ns0:f aca="false">IF(COUNT(C8:D8)=2,ROUND(C8*D8,2),"Angabe fehlt")</ns0:f>
        <ns0:v>2100</ns0:v>
      </ns0:c>
      <ns0:c r="G8" s="7" t="n">
        <ns0:f aca="false">IF(COUNT(E8:F8)=2,SUM(E8:F8),"Angabe fehlt")</ns0:f>
        <ns0:v>2540</ns0:v>
      </ns0:c>
    </ns0:row>
    <ns0:row r="9" customFormat="false" ht="26" hidden="false" customHeight="true" outlineLevel="0" collapsed="false">
      <ns0:c r="A9" s="2" t="s">
        <ns0:v>12</ns0:v>
      </ns0:c>
      <ns0:c r="B9" s="2" t="s">
        <ns0:v>11</ns0:v>
      </ns0:c>
      <ns0:c r="C9" s="5" t="n">
        <ns0:v>70</ns0:v>
      </ns0:c>
      <ns0:c r="D9" s="6" t="n">
        <ns0:v>30</ns0:v>
      </ns0:c>
      <ns0:c r="E9" s="6" t="n">
        <ns0:v>440</ns0:v>
      </ns0:c>
      <ns0:c r="F9" s="7" t="n">
        <ns0:f aca="false">IF(COUNT(C9:D9)=2,ROUND(C9*D9,2),"Angabe fehlt")</ns0:f>
        <ns0:v>2100</ns0:v>
      </ns0:c>
      <ns0:c r="G9" s="7" t="n">
        <ns0:f aca="false">IF(COUNT(E9:F9)=2,SUM(E9:F9),"Angabe fehlt")</ns0:f>
        <ns0:v>2540</ns0:v>
      </ns0:c>
    </ns0:row>
    <ns0:row r="10" customFormat="false" ht="26" hidden="false" customHeight="true" outlineLevel="0" collapsed="false">
      <ns0:c r="A10" s="2" t="s">
        <ns0:v>13</ns0:v>
      </ns0:c>
      <ns0:c r="B10" s="2" t="s">
        <ns0:v>11</ns0:v>
      </ns0:c>
      <ns0:c r="C10" s="5" t="n">
        <ns0:v>70</ns0:v>
      </ns0:c>
      <ns0:c r="D10" s="6" t="n">
        <ns0:v>30</ns0:v>
      </ns0:c>
      <ns0:c r="E10" s="6" t="n">
        <ns0:v>440</ns0:v>
      </ns0:c>
      <ns0:c r="F10" s="7" t="n">
        <ns0:f aca="false">IF(COUNT(C10:D10)=2,ROUND(C10*D10,2),"Angabe fehlt")</ns0:f>
        <ns0:v>2100</ns0:v>
      </ns0:c>
      <ns0:c r="G10" s="7" t="n">
        <ns0:f aca="false">IF(COUNT(E10:F10)=2,SUM(E10:F10),"Angabe fehlt")</ns0:f>
        <ns0:v>2540</ns0:v>
      </ns0:c>
    </ns0:row>
    <ns0:row r="11" customFormat="false" ht="26" hidden="false" customHeight="true" outlineLevel="0" collapsed="false">
      <ns0:c r="A11" s="2" t="s">
        <ns0:v>14</ns0:v>
      </ns0:c>
      <ns0:c r="B11" s="2" t="s">
        <ns0:v>11</ns0:v>
      </ns0:c>
      <ns0:c r="C11" s="5" t="n">
        <ns0:v>70</ns0:v>
      </ns0:c>
      <ns0:c r="D11" s="6" t="n">
        <ns0:v>30</ns0:v>
      </ns0:c>
      <ns0:c r="E11" s="6" t="n">
        <ns0:v>440</ns0:v>
      </ns0:c>
      <ns0:c r="F11" s="7" t="n">
        <ns0:f aca="false">IF(COUNT(C11:D11)=2,ROUND(C11*D11,2),"Angabe fehlt")</ns0:f>
        <ns0:v>2100</ns0:v>
      </ns0:c>
      <ns0:c r="G11" s="7" t="n">
        <ns0:f aca="false">IF(COUNT(E11:F11)=2,SUM(E11:F11),"Angabe fehlt")</ns0:f>
        <ns0:v>2540</ns0:v>
      </ns0:c>
    </ns0:row>
    <ns0:row r="12" customFormat="false" ht="26" hidden="false" customHeight="true" outlineLevel="0" collapsed="false">
      <ns0:c r="A12" s="2" t="s">
        <ns0:v>15</ns0:v>
      </ns0:c>
      <ns0:c r="B12" s="2" t="s">
        <ns0:v>11</ns0:v>
      </ns0:c>
      <ns0:c r="C12" s="5" t="n">
        <ns0:v>70</ns0:v>
      </ns0:c>
      <ns0:c r="D12" s="6" t="n">
        <ns0:v>30</ns0:v>
      </ns0:c>
      <ns0:c r="E12" s="6" t="n">
        <ns0:v>440</ns0:v>
      </ns0:c>
      <ns0:c r="F12" s="7" t="n">
        <ns0:f aca="false">IF(COUNT(C12:D12)=2,ROUND(C12*D12,2),"Angabe fehlt")</ns0:f>
        <ns0:v>2100</ns0:v>
      </ns0:c>
      <ns0:c r="G12" s="7" t="n">
        <ns0:f aca="false">IF(COUNT(E12:F12)=2,SUM(E12:F12),"Angabe fehlt")</ns0:f>
        <ns0:v>2540</ns0:v>
      </ns0:c>
    </ns0:row>
    <ns0:row r="13" customFormat="false" ht="26" hidden="false" customHeight="true" outlineLevel="0" collapsed="false">
      <ns0:c r="A13" s="2" t="s">
        <ns0:v>16</ns0:v>
      </ns0:c>
      <ns0:c r="B13" s="2" t="s">
        <ns0:v>11</ns0:v>
      </ns0:c>
      <ns0:c r="C13" s="5" t="n">
        <ns0:v>70</ns0:v>
      </ns0:c>
      <ns0:c r="D13" s="6" t="n">
        <ns0:v>30</ns0:v>
      </ns0:c>
      <ns0:c r="E13" s="6" t="n">
        <ns0:v>440</ns0:v>
      </ns0:c>
      <ns0:c r="F13" s="7" t="n">
        <ns0:f aca="false">IF(COUNT(C13:D13)=2,ROUND(C13*D13,2),"Angabe fehlt")</ns0:f>
        <ns0:v>2100</ns0:v>
      </ns0:c>
      <ns0:c r="G13" s="7" t="n">
        <ns0:f aca="false">IF(COUNT(E13:F13)=2,SUM(E13:F13),"Angabe fehlt")</ns0:f>
        <ns0:v>2540</ns0:v>
      </ns0:c>
    </ns0:row>
    <ns0:row r="14" customFormat="false" ht="26" hidden="false" customHeight="true" outlineLevel="0" collapsed="false">
      <ns0:c r="A14" s="2" t="s">
        <ns0:v>17</ns0:v>
      </ns0:c>
      <ns0:c r="B14" s="2" t="s">
        <ns0:v>18</ns0:v>
      </ns0:c>
      <ns0:c r="C14" s="5" t="n">
        <ns0:v>70</ns0:v>
      </ns0:c>
      <ns0:c r="D14" s="6" t="n">
        <ns0:v>30</ns0:v>
      </ns0:c>
      <ns0:c r="E14" s="6" t="n">
        <ns0:v>440</ns0:v>
      </ns0:c>
      <ns0:c r="F14" s="7" t="n">
        <ns0:f aca="false">IF(COUNT(C14:D14)=2,ROUND(C14*D14,2),"Angabe fehlt")</ns0:f>
        <ns0:v>2100</ns0:v>
      </ns0:c>
      <ns0:c r="G14" s="7" t="n">
        <ns0:f aca="false">IF(COUNT(E14:F14)=2,SUM(E14:F14),"Angabe fehlt")</ns0:f>
        <ns0:v>2540</ns0:v>
      </ns0:c>
    </ns0:row>
    <ns0:row r="15" customFormat="false" ht="26" hidden="false" customHeight="true" outlineLevel="0" collapsed="false">
      <ns0:c r="A15" s="2" t="s">
        <ns0:v>19</ns0:v>
      </ns0:c>
      <ns0:c r="B15" s="2" t="s">
        <ns0:v>18</ns0:v>
      </ns0:c>
      <ns0:c r="C15" s="5" t="n">
        <ns0:v>70</ns0:v>
      </ns0:c>
      <ns0:c r="D15" s="6" t="n">
        <ns0:v>30</ns0:v>
      </ns0:c>
      <ns0:c r="E15" s="6" t="n">
        <ns0:v>440</ns0:v>
      </ns0:c>
      <ns0:c r="F15" s="7" t="n">
        <ns0:f aca="false">IF(COUNT(C15:D15)=2,ROUND(C15*D15,2),"Angabe fehlt")</ns0:f>
        <ns0:v>2100</ns0:v>
      </ns0:c>
      <ns0:c r="G15" s="7" t="n">
        <ns0:f aca="false">IF(COUNT(E15:F15)=2,SUM(E15:F15),"Angabe fehlt")</ns0:f>
        <ns0:v>2540</ns0:v>
      </ns0:c>
    </ns0:row>
    <ns0:row r="16" customFormat="false" ht="26" hidden="false" customHeight="true" outlineLevel="0" collapsed="false">
      <ns0:c r="A16" s="2" t="s">
        <ns0:v>20</ns0:v>
      </ns0:c>
      <ns0:c r="B16" s="2" t="s">
        <ns0:v>18</ns0:v>
      </ns0:c>
      <ns0:c r="C16" s="5" t="n">
        <ns0:v>70</ns0:v>
      </ns0:c>
      <ns0:c r="D16" s="6" t="n">
        <ns0:v>30</ns0:v>
      </ns0:c>
      <ns0:c r="E16" s="6" t="n">
        <ns0:v>440</ns0:v>
      </ns0:c>
      <ns0:c r="F16" s="7" t="n">
        <ns0:f aca="false">IF(COUNT(C16:D16)=2,ROUND(C16*D16,2),"Angabe fehlt")</ns0:f>
        <ns0:v>2100</ns0:v>
      </ns0:c>
      <ns0:c r="G16" s="7" t="n">
        <ns0:f aca="false">IF(COUNT(E16:F16)=2,SUM(E16:F16),"Angabe fehlt")</ns0:f>
        <ns0:v>2540</ns0:v>
      </ns0:c>
    </ns0:row>
    <ns0:row r="17" customFormat="false" ht="26" hidden="false" customHeight="true" outlineLevel="0" collapsed="false">
      <ns0:c r="A17" s="2" t="s">
        <ns0:v>21</ns0:v>
      </ns0:c>
      <ns0:c r="B17" s="2" t="s">
        <ns0:v>18</ns0:v>
      </ns0:c>
      <ns0:c r="C17" s="5" t="n">
        <ns0:v>70</ns0:v>
      </ns0:c>
      <ns0:c r="D17" s="6" t="n">
        <ns0:v>30</ns0:v>
      </ns0:c>
      <ns0:c r="E17" s="6" t="n">
        <ns0:v>440</ns0:v>
      </ns0:c>
      <ns0:c r="F17" s="7" t="n">
        <ns0:f aca="false">IF(COUNT(C17:D17)=2,ROUND(C17*D17,2),"Angabe fehlt")</ns0:f>
        <ns0:v>2100</ns0:v>
      </ns0:c>
      <ns0:c r="G17" s="7" t="n">
        <ns0:f aca="false">IF(COUNT(E17:F17)=2,SUM(E17:F17),"Angabe fehlt")</ns0:f>
        <ns0:v>2540</ns0:v>
      </ns0:c>
    </ns0:row>
    <ns0:row r="18" customFormat="false" ht="18" hidden="false" customHeight="true" outlineLevel="0" collapsed="false">
      <ns0:c r="A18" s="8" t="s">
        <ns0:v>22</ns0:v>
      </ns0:c>
      <ns0:c r="B18" s="8"/>
      <ns0:c r="C18" s="9" t="n">
        <ns0:f aca="false">IF(COUNT(C8:C17)=10,SUM(C8:C17),"Angabe fehlt")</ns0:f>
        <ns0:v>700</ns0:v>
      </ns0:c>
      <ns0:c r="D18" s="10"/>
      <ns0:c r="E18" s="10" t="n">
        <ns0:f aca="false">IF(COUNT(E8:E17)=10,SUM(E8:E17),"Angabe fehlt")</ns0:f>
        <ns0:v>4400</ns0:v>
      </ns0:c>
      <ns0:c r="F18" s="10" t="n">
        <ns0:f aca="false">IF(COUNT(F8:F17)=10,SUM(F8:F17),"Angabe fehlt")</ns0:f>
        <ns0:v>21000</ns0:v>
      </ns0:c>
      <ns0:c r="G18" s="10" t="n">
        <ns0:f aca="false">IF(COUNT(G8:G17)=10,SUM(G8:G17),"Angabe fehlt")</ns0:f>
        <ns0:v>25400</ns0:v>
      </ns0:c>
    </ns0:row>
    <ns0:row r="19" customFormat="false" ht="18" hidden="false" customHeight="true" outlineLevel="0" collapsed="false">
      <ns0:c r="A19" s="2"/>
      <ns0:c r="B19" s="2"/>
      <ns0:c r="C19" s="2"/>
      <ns0:c r="D19" s="2"/>
      <ns0:c r="E19" s="2"/>
      <ns0:c r="F19" s="2"/>
      <ns0:c r="G19" s="2"/>
    </ns0:row>
    <ns0:row r="20" customFormat="false" ht="18" hidden="false" customHeight="true" outlineLevel="0" collapsed="false">
      <ns0:c r="A20" s="11" t="s">
        <ns0:v>23</ns0:v>
      </ns0:c>
      <ns0:c r="B20" s="11"/>
      <ns0:c r="C20" s="11"/>
      <ns0:c r="D20" s="11"/>
      <ns0:c r="E20" s="11"/>
      <ns0:c r="F20" s="11"/>
      <ns0:c r="G20" s="11"/>
    </ns0:row>
    <ns0:row r="21" customFormat="false" ht="18" hidden="false" customHeight="true" outlineLevel="0" collapsed="false">
      <ns0:c r="A21" s="11"/>
      <ns0:c r="B21" s="11"/>
      <ns0:c r="C21" s="11"/>
      <ns0:c r="D21" s="11"/>
      <ns0:c r="E21" s="11"/>
      <ns0:c r="F21" s="11"/>
      <ns0:c r="G21" s="11"/>
    </ns0:row>
    <ns0:row r="22" customFormat="false" ht="18" hidden="false" customHeight="true" outlineLevel="0" collapsed="false">
      <ns0:c r="A22" s="2"/>
      <ns0:c r="B22" s="2"/>
      <ns0:c r="C22" s="2"/>
      <ns0:c r="D22" s="2"/>
      <ns0:c r="E22" s="2"/>
      <ns0:c r="F22" s="2"/>
      <ns0:c r="G22" s="2"/>
    </ns0:row>
    <ns0:row r="23" customFormat="false" ht="18" hidden="false" customHeight="true" outlineLevel="0" collapsed="false">
      <ns0:c r="A23" s="2"/>
      <ns0:c r="B23" s="2"/>
      <ns0:c r="C23" s="2"/>
      <ns0:c r="D23" s="2"/>
      <ns0:c r="E23" s="2"/>
      <ns0:c r="F23" s="2"/>
      <ns0:c r="G23" s="2"/>
    </ns0:row>
    <ns0:row r="24" customFormat="false" ht="18" hidden="false" customHeight="true" outlineLevel="0" collapsed="false">
      <ns0:c r="A24" s="2"/>
      <ns0:c r="B24" s="2"/>
      <ns0:c r="C24" s="2"/>
      <ns0:c r="D24" s="2"/>
      <ns0:c r="E24" s="2"/>
      <ns0:c r="F24" s="2"/>
      <ns0:c r="G24" s="2"/>
    </ns0:row>
    <ns0:row r="25" customFormat="false" ht="18" hidden="false" customHeight="true" outlineLevel="0" collapsed="false">
      <ns0:c r="A25" s="2"/>
      <ns0:c r="B25" s="2"/>
      <ns0:c r="C25" s="2"/>
      <ns0:c r="D25" s="2"/>
      <ns0:c r="E25" s="2"/>
      <ns0:c r="F25" s="2"/>
      <ns0:c r="G25" s="2"/>
    </ns0:row>
    <ns0:row r="26" customFormat="false" ht="18" hidden="false" customHeight="true" outlineLevel="0" collapsed="false">
      <ns0:c r="A26" s="2"/>
      <ns0:c r="B26" s="2"/>
      <ns0:c r="C26" s="2"/>
      <ns0:c r="D26" s="2"/>
      <ns0:c r="E26" s="2"/>
      <ns0:c r="F26" s="2"/>
      <ns0:c r="G26" s="2"/>
    </ns0:row>
    <ns0:row r="27" customFormat="false" ht="18" hidden="false" customHeight="true" outlineLevel="0" collapsed="false">
      <ns0:c r="A27" s="2"/>
      <ns0:c r="B27" s="2"/>
      <ns0:c r="C27" s="2"/>
      <ns0:c r="D27" s="2"/>
      <ns0:c r="E27" s="2"/>
      <ns0:c r="F27" s="2"/>
      <ns0:c r="G27" s="2"/>
    </ns0:row>
    <ns0:row r="28" customFormat="false" ht="18" hidden="false" customHeight="true" outlineLevel="0" collapsed="false">
      <ns0:c r="A28" s="2"/>
      <ns0:c r="B28" s="2"/>
      <ns0:c r="C28" s="2"/>
      <ns0:c r="D28" s="2"/>
      <ns0:c r="E28" s="2"/>
      <ns0:c r="F28" s="2"/>
      <ns0:c r="G28" s="2"/>
    </ns0:row>
    <ns0:row r="29" customFormat="false" ht="18" hidden="false" customHeight="true" outlineLevel="0" collapsed="false">
      <ns0:c r="A29" s="2"/>
      <ns0:c r="B29" s="2"/>
      <ns0:c r="C29" s="2"/>
      <ns0:c r="D29" s="2"/>
      <ns0:c r="E29" s="2"/>
      <ns0:c r="F29" s="2"/>
      <ns0:c r="G29" s="2"/>
    </ns0:row>
    <ns0:row r="30" customFormat="false" ht="18" hidden="false" customHeight="true" outlineLevel="0" collapsed="false">
      <ns0:c r="A30" s="2"/>
      <ns0:c r="B30" s="2"/>
      <ns0:c r="C30" s="2"/>
      <ns0:c r="D30" s="2"/>
      <ns0:c r="E30" s="2"/>
      <ns0:c r="F30" s="2"/>
      <ns0:c r="G30" s="2"/>
    </ns0:row>
    <ns0:row r="31" customFormat="false" ht="18" hidden="false" customHeight="true" outlineLevel="0" collapsed="false">
      <ns0:c r="A31" s="2"/>
      <ns0:c r="B31" s="2"/>
      <ns0:c r="C31" s="2"/>
      <ns0:c r="D31" s="2"/>
      <ns0:c r="E31" s="2"/>
      <ns0:c r="F31" s="2"/>
      <ns0:c r="G31" s="2"/>
    </ns0:row>
    <ns0:row r="32" customFormat="false" ht="18" hidden="false" customHeight="true" outlineLevel="0" collapsed="false">
      <ns0:c r="A32" s="2"/>
      <ns0:c r="B32" s="2"/>
      <ns0:c r="C32" s="2"/>
      <ns0:c r="D32" s="2"/>
      <ns0:c r="E32" s="2"/>
      <ns0:c r="F32" s="2"/>
      <ns0:c r="G32" s="2"/>
    </ns0:row>
    <ns0:row r="33" customFormat="false" ht="18" hidden="false" customHeight="true" outlineLevel="0" collapsed="false">
      <ns0:c r="A33" s="2"/>
      <ns0:c r="B33" s="2"/>
      <ns0:c r="C33" s="2"/>
      <ns0:c r="D33" s="2"/>
      <ns0:c r="E33" s="2"/>
      <ns0:c r="F33" s="2"/>
      <ns0:c r="G33" s="2"/>
    </ns0:row>
    <ns0:row r="34" customFormat="false" ht="18" hidden="false" customHeight="true" outlineLevel="0" collapsed="false">
      <ns0:c r="A34" s="2"/>
      <ns0:c r="B34" s="2"/>
      <ns0:c r="C34" s="2"/>
      <ns0:c r="D34" s="2"/>
      <ns0:c r="E34" s="2"/>
      <ns0:c r="F34" s="2"/>
      <ns0:c r="G34" s="2"/>
    </ns0:row>
    <ns0:row r="35" customFormat="false" ht="18" hidden="false" customHeight="true" outlineLevel="0" collapsed="false">
      <ns0:c r="A35" s="2"/>
      <ns0:c r="B35" s="2"/>
      <ns0:c r="C35" s="2"/>
      <ns0:c r="D35" s="2"/>
      <ns0:c r="E35" s="2"/>
      <ns0:c r="F35" s="2"/>
      <ns0:c r="G35" s="2"/>
    </ns0:row>
    <ns0:row r="36" customFormat="false" ht="18" hidden="false" customHeight="true" outlineLevel="0" collapsed="false">
      <ns0:c r="A36" s="2"/>
      <ns0:c r="B36" s="2"/>
      <ns0:c r="C36" s="2"/>
      <ns0:c r="D36" s="2"/>
      <ns0:c r="E36" s="2"/>
      <ns0:c r="F36" s="2"/>
      <ns0:c r="G36" s="2"/>
    </ns0:row>
    <ns0:row r="37" customFormat="false" ht="18" hidden="false" customHeight="true" outlineLevel="0" collapsed="false">
      <ns0:c r="A37" s="2"/>
      <ns0:c r="B37" s="2"/>
      <ns0:c r="C37" s="2"/>
      <ns0:c r="D37" s="2"/>
      <ns0:c r="E37" s="2"/>
      <ns0:c r="F37" s="2"/>
      <ns0:c r="G37" s="2"/>
    </ns0:row>
    <ns0:row r="38" customFormat="false" ht="18" hidden="false" customHeight="true" outlineLevel="0" collapsed="false">
      <ns0:c r="A38" s="2"/>
      <ns0:c r="B38" s="2"/>
      <ns0:c r="C38" s="2"/>
      <ns0:c r="D38" s="2"/>
      <ns0:c r="E38" s="2"/>
      <ns0:c r="F38" s="2"/>
      <ns0:c r="G38" s="2"/>
    </ns0:row>
    <ns0:row r="39" customFormat="false" ht="18" hidden="false" customHeight="true" outlineLevel="0" collapsed="false">
      <ns0:c r="A39" s="2"/>
      <ns0:c r="B39" s="2"/>
      <ns0:c r="C39" s="2"/>
      <ns0:c r="D39" s="2"/>
      <ns0:c r="E39" s="2"/>
      <ns0:c r="F39" s="2"/>
      <ns0:c r="G39" s="2"/>
    </ns0:row>
    <ns0:row r="40" customFormat="false" ht="18" hidden="false" customHeight="true" outlineLevel="0" collapsed="false">
      <ns0:c r="A40" s="2"/>
      <ns0:c r="B40" s="2"/>
      <ns0:c r="C40" s="2"/>
      <ns0:c r="D40" s="2"/>
      <ns0:c r="E40" s="2"/>
      <ns0:c r="F40" s="2"/>
      <ns0:c r="G40" s="2"/>
    </ns0:row>
    <ns0:row r="41" customFormat="false" ht="18" hidden="false" customHeight="true" outlineLevel="0" collapsed="false">
      <ns0:c r="A41" s="2"/>
      <ns0:c r="B41" s="2"/>
      <ns0:c r="C41" s="2"/>
      <ns0:c r="D41" s="2"/>
      <ns0:c r="E41" s="2"/>
      <ns0:c r="F41" s="2"/>
      <ns0:c r="G41" s="2"/>
    </ns0:row>
    <ns0:row r="42" customFormat="false" ht="18" hidden="false" customHeight="true" outlineLevel="0" collapsed="false">
      <ns0:c r="A42" s="2"/>
      <ns0:c r="B42" s="2"/>
      <ns0:c r="C42" s="2"/>
      <ns0:c r="D42" s="2"/>
      <ns0:c r="E42" s="2"/>
      <ns0:c r="F42" s="2"/>
      <ns0:c r="G42" s="2"/>
    </ns0:row>
    <ns0:row r="43" customFormat="false" ht="18" hidden="false" customHeight="true" outlineLevel="0" collapsed="false">
      <ns0:c r="A43" s="2"/>
      <ns0:c r="B43" s="2"/>
      <ns0:c r="C43" s="2"/>
      <ns0:c r="D43" s="2"/>
      <ns0:c r="E43" s="2"/>
      <ns0:c r="F43" s="2"/>
      <ns0:c r="G43" s="2"/>
    </ns0:row>
    <ns0:row r="44" customFormat="false" ht="18" hidden="false" customHeight="true" outlineLevel="0" collapsed="false">
      <ns0:c r="A44" s="2"/>
      <ns0:c r="B44" s="2"/>
      <ns0:c r="C44" s="2"/>
      <ns0:c r="D44" s="2"/>
      <ns0:c r="E44" s="2"/>
      <ns0:c r="F44" s="2"/>
      <ns0:c r="G44" s="2"/>
    </ns0:row>
    <ns0:row r="45" customFormat="false" ht="18" hidden="false" customHeight="true" outlineLevel="0" collapsed="false">
      <ns0:c r="A45" s="2"/>
      <ns0:c r="B45" s="2"/>
      <ns0:c r="C45" s="2"/>
      <ns0:c r="D45" s="2"/>
      <ns0:c r="E45" s="2"/>
      <ns0:c r="F45" s="2"/>
      <ns0:c r="G45" s="2"/>
    </ns0:row>
    <ns0:row r="46" customFormat="false" ht="18" hidden="false" customHeight="true" outlineLevel="0" collapsed="false">
      <ns0:c r="A46" s="2"/>
      <ns0:c r="B46" s="2"/>
      <ns0:c r="C46" s="2"/>
      <ns0:c r="D46" s="2"/>
      <ns0:c r="E46" s="2"/>
      <ns0:c r="F46" s="2"/>
      <ns0:c r="G46" s="2"/>
    </ns0:row>
    <ns0:row r="47" customFormat="false" ht="18" hidden="false" customHeight="true" outlineLevel="0" collapsed="false">
      <ns0:c r="A47" s="2"/>
      <ns0:c r="B47" s="2"/>
      <ns0:c r="C47" s="2"/>
      <ns0:c r="D47" s="2"/>
      <ns0:c r="E47" s="2"/>
      <ns0:c r="F47" s="2"/>
      <ns0:c r="G47" s="2"/>
    </ns0:row>
    <ns0:row r="48" customFormat="false" ht="18" hidden="false" customHeight="true" outlineLevel="0" collapsed="false">
      <ns0:c r="A48" s="2"/>
      <ns0:c r="B48" s="2"/>
      <ns0:c r="C48" s="2"/>
      <ns0:c r="D48" s="2"/>
      <ns0:c r="E48" s="2"/>
      <ns0:c r="F48" s="2"/>
      <ns0:c r="G48" s="2"/>
    </ns0:row>
    <ns0:row r="49" customFormat="false" ht="18" hidden="false" customHeight="true" outlineLevel="0" collapsed="false">
      <ns0:c r="A49" s="2"/>
      <ns0:c r="B49" s="2"/>
      <ns0:c r="C49" s="2"/>
      <ns0:c r="D49" s="2"/>
      <ns0:c r="E49" s="2"/>
      <ns0:c r="F49" s="2"/>
      <ns0:c r="G49" s="2"/>
    </ns0:row>
    <ns0:row r="50" customFormat="false" ht="18" hidden="false" customHeight="true" outlineLevel="0" collapsed="false">
      <ns0:c r="A50" s="2"/>
      <ns0:c r="B50" s="2"/>
      <ns0:c r="C50" s="2"/>
      <ns0:c r="D50" s="2"/>
      <ns0:c r="E50" s="2"/>
      <ns0:c r="F50" s="2"/>
      <ns0:c r="G50" s="2"/>
    </ns0:row>
    <ns0:row r="51" customFormat="false" ht="18" hidden="false" customHeight="true" outlineLevel="0" collapsed="false">
      <ns0:c r="A51" s="2"/>
      <ns0:c r="B51" s="2"/>
      <ns0:c r="C51" s="2"/>
      <ns0:c r="D51" s="2"/>
      <ns0:c r="E51" s="2"/>
      <ns0:c r="F51" s="2"/>
      <ns0:c r="G51" s="2"/>
    </ns0:row>
    <ns0:row r="52" customFormat="false" ht="18" hidden="false" customHeight="true" outlineLevel="0" collapsed="false">
      <ns0:c r="A52" s="2"/>
      <ns0:c r="B52" s="2"/>
      <ns0:c r="C52" s="2"/>
      <ns0:c r="D52" s="2"/>
      <ns0:c r="E52" s="2"/>
      <ns0:c r="F52" s="2"/>
      <ns0:c r="G52" s="2"/>
    </ns0:row>
    <ns0:row r="53" customFormat="false" ht="18" hidden="false" customHeight="true" outlineLevel="0" collapsed="false">
      <ns0:c r="A53" s="2"/>
      <ns0:c r="B53" s="2"/>
      <ns0:c r="C53" s="2"/>
      <ns0:c r="D53" s="2"/>
      <ns0:c r="E53" s="2"/>
      <ns0:c r="F53" s="2"/>
      <ns0:c r="G53" s="2"/>
    </ns0:row>
    <ns0:row r="54" customFormat="false" ht="18" hidden="false" customHeight="true" outlineLevel="0" collapsed="false">
      <ns0:c r="A54" s="2"/>
      <ns0:c r="B54" s="2"/>
      <ns0:c r="C54" s="2"/>
      <ns0:c r="D54" s="2"/>
      <ns0:c r="E54" s="2"/>
      <ns0:c r="F54" s="2"/>
      <ns0:c r="G54" s="2"/>
    </ns0:row>
    <ns0:row r="55" customFormat="false" ht="18" hidden="false" customHeight="true" outlineLevel="0" collapsed="false">
      <ns0:c r="A55" s="2"/>
      <ns0:c r="B55" s="2"/>
      <ns0:c r="C55" s="2"/>
      <ns0:c r="D55" s="2"/>
      <ns0:c r="E55" s="2"/>
      <ns0:c r="F55" s="2"/>
      <ns0:c r="G55" s="2"/>
    </ns0:row>
    <ns0:row r="56" customFormat="false" ht="18" hidden="false" customHeight="true" outlineLevel="0" collapsed="false">
      <ns0:c r="A56" s="2"/>
      <ns0:c r="B56" s="2"/>
      <ns0:c r="C56" s="2"/>
      <ns0:c r="D56" s="2"/>
      <ns0:c r="E56" s="2"/>
      <ns0:c r="F56" s="2"/>
      <ns0:c r="G56" s="2"/>
    </ns0:row>
    <ns0:row r="57" customFormat="false" ht="18" hidden="false" customHeight="true" outlineLevel="0" collapsed="false">
      <ns0:c r="A57" s="2"/>
      <ns0:c r="B57" s="2"/>
      <ns0:c r="C57" s="2"/>
      <ns0:c r="D57" s="2"/>
      <ns0:c r="E57" s="2"/>
      <ns0:c r="F57" s="2"/>
      <ns0:c r="G57" s="2"/>
    </ns0:row>
    <ns0:row r="58" customFormat="false" ht="18" hidden="false" customHeight="true" outlineLevel="0" collapsed="false">
      <ns0:c r="A58" s="2"/>
      <ns0:c r="B58" s="2"/>
      <ns0:c r="C58" s="2"/>
      <ns0:c r="D58" s="2"/>
      <ns0:c r="E58" s="2"/>
      <ns0:c r="F58" s="2"/>
      <ns0:c r="G58" s="2"/>
    </ns0:row>
    <ns0:row r="59" customFormat="false" ht="18" hidden="false" customHeight="true" outlineLevel="0" collapsed="false">
      <ns0:c r="A59" s="2"/>
      <ns0:c r="B59" s="2"/>
      <ns0:c r="C59" s="2"/>
      <ns0:c r="D59" s="2"/>
      <ns0:c r="E59" s="2"/>
      <ns0:c r="F59" s="2"/>
      <ns0:c r="G59" s="2"/>
    </ns0:row>
    <ns0:row r="60" customFormat="false" ht="18" hidden="false" customHeight="true" outlineLevel="0" collapsed="false">
      <ns0:c r="A60" s="2"/>
      <ns0:c r="B60" s="2"/>
      <ns0:c r="C60" s="2"/>
      <ns0:c r="D60" s="2"/>
      <ns0:c r="E60" s="2"/>
      <ns0:c r="F60" s="2"/>
      <ns0:c r="G60" s="2"/>
    </ns0:row>
    <ns0:row r="61" customFormat="false" ht="18" hidden="false" customHeight="true" outlineLevel="0" collapsed="false">
      <ns0:c r="A61" s="2"/>
      <ns0:c r="B61" s="2"/>
      <ns0:c r="C61" s="2"/>
      <ns0:c r="D61" s="2"/>
      <ns0:c r="E61" s="2"/>
      <ns0:c r="F61" s="2"/>
      <ns0:c r="G61" s="2"/>
    </ns0:row>
    <ns0:row r="62" customFormat="false" ht="18" hidden="false" customHeight="true" outlineLevel="0" collapsed="false">
      <ns0:c r="A62" s="2"/>
      <ns0:c r="B62" s="2"/>
      <ns0:c r="C62" s="2"/>
      <ns0:c r="D62" s="2"/>
      <ns0:c r="E62" s="2"/>
      <ns0:c r="F62" s="2"/>
      <ns0:c r="G62" s="2"/>
    </ns0:row>
    <ns0:row r="63" customFormat="false" ht="18" hidden="false" customHeight="true" outlineLevel="0" collapsed="false">
      <ns0:c r="A63" s="2"/>
      <ns0:c r="B63" s="2"/>
      <ns0:c r="C63" s="2"/>
      <ns0:c r="D63" s="2"/>
      <ns0:c r="E63" s="2"/>
      <ns0:c r="F63" s="2"/>
      <ns0:c r="G63" s="2"/>
    </ns0:row>
    <ns0:row r="64" customFormat="false" ht="18" hidden="false" customHeight="true" outlineLevel="0" collapsed="false">
      <ns0:c r="A64" s="2"/>
      <ns0:c r="B64" s="2"/>
      <ns0:c r="C64" s="2"/>
      <ns0:c r="D64" s="2"/>
      <ns0:c r="E64" s="2"/>
      <ns0:c r="F64" s="2"/>
      <ns0:c r="G64" s="2"/>
    </ns0:row>
    <ns0:row r="65" customFormat="false" ht="18" hidden="false" customHeight="true" outlineLevel="0" collapsed="false">
      <ns0:c r="A65" s="2"/>
      <ns0:c r="B65" s="2"/>
      <ns0:c r="C65" s="2"/>
      <ns0:c r="D65" s="2"/>
      <ns0:c r="E65" s="2"/>
      <ns0:c r="F65" s="2"/>
      <ns0:c r="G65" s="2"/>
    </ns0:row>
    <ns0:row r="66" customFormat="false" ht="18" hidden="false" customHeight="true" outlineLevel="0" collapsed="false">
      <ns0:c r="A66" s="2"/>
      <ns0:c r="B66" s="2"/>
      <ns0:c r="C66" s="2"/>
      <ns0:c r="D66" s="2"/>
      <ns0:c r="E66" s="2"/>
      <ns0:c r="F66" s="2"/>
      <ns0:c r="G66" s="2"/>
    </ns0:row>
    <ns0:row r="67" customFormat="false" ht="18" hidden="false" customHeight="true" outlineLevel="0" collapsed="false">
      <ns0:c r="A67" s="2"/>
      <ns0:c r="B67" s="2"/>
      <ns0:c r="C67" s="2"/>
      <ns0:c r="D67" s="2"/>
      <ns0:c r="E67" s="2"/>
      <ns0:c r="F67" s="2"/>
      <ns0:c r="G67" s="2"/>
    </ns0:row>
    <ns0:row r="68" customFormat="false" ht="18" hidden="false" customHeight="true" outlineLevel="0" collapsed="false">
      <ns0:c r="A68" s="2"/>
      <ns0:c r="B68" s="2"/>
      <ns0:c r="C68" s="2"/>
      <ns0:c r="D68" s="2"/>
      <ns0:c r="E68" s="2"/>
      <ns0:c r="F68" s="2"/>
      <ns0:c r="G68" s="2"/>
    </ns0:row>
    <ns0:row r="69" customFormat="false" ht="18" hidden="false" customHeight="true" outlineLevel="0" collapsed="false">
      <ns0:c r="A69" s="2"/>
      <ns0:c r="B69" s="2"/>
      <ns0:c r="C69" s="2"/>
      <ns0:c r="D69" s="2"/>
      <ns0:c r="E69" s="2"/>
      <ns0:c r="F69" s="2"/>
      <ns0:c r="G69" s="2"/>
    </ns0:row>
    <ns0:row r="70" customFormat="false" ht="18" hidden="false" customHeight="true" outlineLevel="0" collapsed="false">
      <ns0:c r="A70" s="2"/>
      <ns0:c r="B70" s="2"/>
      <ns0:c r="C70" s="2"/>
      <ns0:c r="D70" s="2"/>
      <ns0:c r="E70" s="2"/>
      <ns0:c r="F70" s="2"/>
      <ns0:c r="G70" s="2"/>
    </ns0:row>
  </ns0:sheetData>
  <ns0:mergeCells count="4">
    <ns0:mergeCell ref="A1:G2"/>
    <ns0:mergeCell ref="A3:G3"/>
    <ns0:mergeCell ref="A4:G5"/>
    <ns0:mergeCell ref="A20:G21"/>
  </ns0:mergeCell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ns0:worksheet xmlns:ns0="http://schemas.openxmlformats.org/spreadsheetml/2006/main">
  <ns0:sheetPr filterMode="false">
    <ns0:pageSetUpPr fitToPage="1"/>
  </ns0:sheetPr>
  <ns0:dimension ref="A1:D70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7" topLeftCell="A8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25"/>
    <ns0:col collapsed="false" customWidth="true" hidden="false" outlineLevel="0" max="2" min="2" style="0" width="15"/>
    <ns0:col collapsed="false" customWidth="true" hidden="false" outlineLevel="0" max="3" min="3" style="0" width="24"/>
    <ns0:col collapsed="false" customWidth="true" hidden="false" outlineLevel="0" max="4" min="4" style="0" width="47"/>
  </ns0:cols>
  <ns0:sheetData>
    <ns0:row r="1" customFormat="false" ht="18" hidden="false" customHeight="true" outlineLevel="0" collapsed="false">
      <ns0:c r="A1" s="1" t="s">
        <ns0:v>24</ns0:v>
      </ns0:c>
      <ns0:c r="B1" s="1"/>
      <ns0:c r="C1" s="1"/>
      <ns0:c r="D1" s="1"/>
    </ns0:row>
    <ns0:row r="2" customFormat="false" ht="18" hidden="false" customHeight="true" outlineLevel="0" collapsed="false">
      <ns0:c r="A2" s="1"/>
      <ns0:c r="B2" s="1"/>
      <ns0:c r="C2" s="1"/>
      <ns0:c r="D2" s="1"/>
    </ns0:row>
    <ns0:row r="3" customFormat="false" ht="18" hidden="false" customHeight="true" outlineLevel="0" collapsed="false">
      <ns0:c r="A3" s="2" t="s">
        <ns0:v>1</ns0:v>
      </ns0:c>
      <ns0:c r="B3" s="2"/>
      <ns0:c r="C3" s="2"/>
      <ns0:c r="D3" s="2"/>
    </ns0:row>
    <ns0:row r="4" customFormat="false" ht="18" hidden="false" customHeight="true" outlineLevel="0" collapsed="false">
      <ns0:c r="A4" s="3" t="s">
        <ns0:v>25</ns0:v>
      </ns0:c>
      <ns0:c r="B4" s="3"/>
      <ns0:c r="C4" s="3"/>
      <ns0:c r="D4" s="3"/>
    </ns0:row>
    <ns0:row r="5" customFormat="false" ht="18" hidden="false" customHeight="true" outlineLevel="0" collapsed="false">
      <ns0:c r="A5" s="3"/>
      <ns0:c r="B5" s="3"/>
      <ns0:c r="C5" s="3"/>
      <ns0:c r="D5" s="3"/>
    </ns0:row>
    <ns0:row r="6" customFormat="false" ht="18" hidden="false" customHeight="true" outlineLevel="0" collapsed="false">
      <ns0:c r="A6" s="2"/>
      <ns0:c r="B6" s="2"/>
      <ns0:c r="C6" s="2"/>
      <ns0:c r="D6" s="2"/>
    </ns0:row>
    <ns0:row r="7" customFormat="false" ht="38" hidden="false" customHeight="true" outlineLevel="0" collapsed="false">
      <ns0:c r="A7" s="4" t="s">
        <ns0:v>26</ns0:v>
      </ns0:c>
      <ns0:c r="B7" s="4" t="s">
        <ns0:v>5</ns0:v>
      </ns0:c>
      <ns0:c r="C7" s="4" t="s">
        <ns0:v>27</ns0:v>
      </ns0:c>
      <ns0:c r="D7" s="4" t="s">
        <ns0:v>28</ns0:v>
      </ns0:c>
    </ns0:row>
    <ns0:row r="8" customFormat="false" ht="35" hidden="false" customHeight="true" outlineLevel="0" collapsed="false">
      <ns0:c r="A8" s="2" t="s">
        <ns0:v>11</ns0:v>
      </ns0:c>
      <ns0:c r="B8" s="12" t="n">
        <ns0:f aca="false">IF(COUNT(Stunden!$C$8:$C$17)=10,SUMIF(Stunden!$B$8:$B$17,A8,Stunden!$C$8:$C$17),"Angabe fehlt")</ns0:f>
        <ns0:v>420</ns0:v>
      </ns0:c>
      <ns0:c r="C8" s="13" t="n">
        <ns0:f aca="false">IF(AND(COUNT(Stunden!$G$8:$G$17)=10,COUNTIF(Stunden!$B$8:$B$17,"BS26-01")+COUNTIF(Stunden!$B$8:$B$17,"BS26-02")=10),SUMIF(Stunden!$B$8:$B$17,A8,Stunden!$G$8:$G$17),"Angabe fehlt")</ns0:f>
        <ns0:v>15240</ns0:v>
      </ns0:c>
      <ns0:c r="D8" s="2" t="s">
        <ns0:v>29</ns0:v>
      </ns0:c>
    </ns0:row>
    <ns0:row r="9" customFormat="false" ht="35" hidden="false" customHeight="true" outlineLevel="0" collapsed="false">
      <ns0:c r="A9" s="2" t="s">
        <ns0:v>18</ns0:v>
      </ns0:c>
      <ns0:c r="B9" s="12" t="n">
        <ns0:f aca="false">IF(COUNT(Stunden!$C$8:$C$17)=10,SUMIF(Stunden!$B$8:$B$17,A9,Stunden!$C$8:$C$17),"Angabe fehlt")</ns0:f>
        <ns0:v>280</ns0:v>
      </ns0:c>
      <ns0:c r="C9" s="13" t="n">
        <ns0:f aca="false">IF(AND(COUNT(Stunden!$G$8:$G$17)=10,COUNTIF(Stunden!$B$8:$B$17,"BS26-01")+COUNTIF(Stunden!$B$8:$B$17,"BS26-02")=10),SUMIF(Stunden!$B$8:$B$17,A9,Stunden!$G$8:$G$17),"Angabe fehlt")</ns0:f>
        <ns0:v>10160</ns0:v>
      </ns0:c>
      <ns0:c r="D9" s="2" t="s">
        <ns0:v>30</ns0:v>
      </ns0:c>
    </ns0:row>
    <ns0:row r="10" customFormat="false" ht="35" hidden="false" customHeight="true" outlineLevel="0" collapsed="false">
      <ns0:c r="A10" s="2" t="s">
        <ns0:v>31</ns0:v>
      </ns0:c>
      <ns0:c r="B10" s="14" t="n">
        <ns0:f aca="false">IF(COUNT(B8:B9)=2,SUM(B8:B9),"Angabe fehlt")</ns0:f>
        <ns0:v>700</ns0:v>
      </ns0:c>
      <ns0:c r="C10" s="7" t="n">
        <ns0:f aca="false">IF(COUNT(C8:C9)=2,SUM(C8:C9),"Angabe fehlt")</ns0:f>
        <ns0:v>25400</ns0:v>
      </ns0:c>
      <ns0:c r="D10" s="2" t="s">
        <ns0:v>32</ns0:v>
      </ns0:c>
    </ns0:row>
    <ns0:row r="11" customFormat="false" ht="35" hidden="false" customHeight="true" outlineLevel="0" collapsed="false">
      <ns0:c r="A11" s="2" t="s">
        <ns0:v>33</ns0:v>
      </ns0:c>
      <ns0:c r="B11" s="2"/>
      <ns0:c r="C11" s="6" t="n">
        <ns0:v>15700</ns0:v>
      </ns0:c>
      <ns0:c r="D11" s="2" t="s">
        <ns0:v>34</ns0:v>
      </ns0:c>
    </ns0:row>
    <ns0:row r="12" customFormat="false" ht="35" hidden="false" customHeight="true" outlineLevel="0" collapsed="false">
      <ns0:c r="A12" s="2" t="s">
        <ns0:v>35</ns0:v>
      </ns0:c>
      <ns0:c r="B12" s="2"/>
      <ns0:c r="C12" s="6" t="n">
        <ns0:v>7700</ns0:v>
      </ns0:c>
      <ns0:c r="D12" s="2" t="s">
        <ns0:v>36</ns0:v>
      </ns0:c>
    </ns0:row>
    <ns0:row r="13" customFormat="false" ht="35" hidden="false" customHeight="true" outlineLevel="0" collapsed="false">
      <ns0:c r="A13" s="2" t="s">
        <ns0:v>37</ns0:v>
      </ns0:c>
      <ns0:c r="B13" s="2"/>
      <ns0:c r="C13" s="6" t="n">
        <ns0:v>2000</ns0:v>
      </ns0:c>
      <ns0:c r="D13" s="2" t="s">
        <ns0:v>38</ns0:v>
      </ns0:c>
    </ns0:row>
    <ns0:row r="14" customFormat="false" ht="35" hidden="false" customHeight="true" outlineLevel="0" collapsed="false">
      <ns0:c r="A14" s="2" t="s">
        <ns0:v>39</ns0:v>
      </ns0:c>
      <ns0:c r="B14" s="2"/>
      <ns0:c r="C14" s="7" t="n">
        <ns0:f aca="false">IF(COUNT(C11:C13)=3,SUM(C11:C13),"Angabe fehlt")</ns0:f>
        <ns0:v>25400</ns0:v>
      </ns0:c>
      <ns0:c r="D14" s="2" t="s">
        <ns0:v>40</ns0:v>
      </ns0:c>
    </ns0:row>
    <ns0:row r="15" customFormat="false" ht="35" hidden="false" customHeight="true" outlineLevel="0" collapsed="false">
      <ns0:c r="A15" s="2" t="s">
        <ns0:v>41</ns0:v>
      </ns0:c>
      <ns0:c r="B15" s="2"/>
      <ns0:c r="C15" s="7" t="n">
        <ns0:f aca="false">IF(AND(ISNUMBER(C10),ISNUMBER(C14)),C10-C14,"Angabe fehlt")</ns0:f>
        <ns0:v>0</ns0:v>
      </ns0:c>
      <ns0:c r="D15" s="2" t="s">
        <ns0:v>42</ns0:v>
      </ns0:c>
    </ns0:row>
    <ns0:row r="16" customFormat="false" ht="18" hidden="false" customHeight="true" outlineLevel="0" collapsed="false">
      <ns0:c r="A16" s="2"/>
      <ns0:c r="B16" s="2"/>
      <ns0:c r="C16" s="2"/>
      <ns0:c r="D16" s="2"/>
    </ns0:row>
    <ns0:row r="17" customFormat="false" ht="18" hidden="false" customHeight="true" outlineLevel="0" collapsed="false">
      <ns0:c r="A17" s="11" t="s">
        <ns0:v>43</ns0:v>
      </ns0:c>
      <ns0:c r="B17" s="11"/>
      <ns0:c r="C17" s="11"/>
      <ns0:c r="D17" s="11"/>
    </ns0:row>
    <ns0:row r="18" customFormat="false" ht="18" hidden="false" customHeight="true" outlineLevel="0" collapsed="false">
      <ns0:c r="A18" s="11"/>
      <ns0:c r="B18" s="11"/>
      <ns0:c r="C18" s="11"/>
      <ns0:c r="D18" s="11"/>
    </ns0:row>
    <ns0:row r="19" customFormat="false" ht="18" hidden="false" customHeight="true" outlineLevel="0" collapsed="false">
      <ns0:c r="A19" s="2"/>
      <ns0:c r="B19" s="2"/>
      <ns0:c r="C19" s="2"/>
      <ns0:c r="D19" s="2"/>
    </ns0:row>
    <ns0:row r="20" customFormat="false" ht="18" hidden="false" customHeight="true" outlineLevel="0" collapsed="false">
      <ns0:c r="A20" s="11" t="s">
        <ns0:v>44</ns0:v>
      </ns0:c>
      <ns0:c r="B20" s="11"/>
      <ns0:c r="C20" s="11"/>
      <ns0:c r="D20" s="11"/>
    </ns0:row>
    <ns0:row r="21" customFormat="false" ht="18" hidden="false" customHeight="true" outlineLevel="0" collapsed="false">
      <ns0:c r="A21" s="11"/>
      <ns0:c r="B21" s="11"/>
      <ns0:c r="C21" s="11"/>
      <ns0:c r="D21" s="11"/>
    </ns0:row>
    <ns0:row r="22" customFormat="false" ht="18" hidden="false" customHeight="true" outlineLevel="0" collapsed="false">
      <ns0:c r="A22" s="2"/>
      <ns0:c r="B22" s="2"/>
      <ns0:c r="C22" s="2"/>
      <ns0:c r="D22" s="2"/>
    </ns0:row>
    <ns0:row r="23" customFormat="false" ht="18" hidden="false" customHeight="true" outlineLevel="0" collapsed="false">
      <ns0:c r="A23" s="2"/>
      <ns0:c r="B23" s="2"/>
      <ns0:c r="C23" s="2"/>
      <ns0:c r="D23" s="2"/>
    </ns0:row>
    <ns0:row r="24" customFormat="false" ht="18" hidden="false" customHeight="true" outlineLevel="0" collapsed="false">
      <ns0:c r="A24" s="2"/>
      <ns0:c r="B24" s="2"/>
      <ns0:c r="C24" s="2"/>
      <ns0:c r="D24" s="2"/>
    </ns0:row>
    <ns0:row r="25" customFormat="false" ht="18" hidden="false" customHeight="true" outlineLevel="0" collapsed="false">
      <ns0:c r="A25" s="2"/>
      <ns0:c r="B25" s="2"/>
      <ns0:c r="C25" s="2"/>
      <ns0:c r="D25" s="2"/>
    </ns0:row>
    <ns0:row r="26" customFormat="false" ht="18" hidden="false" customHeight="true" outlineLevel="0" collapsed="false">
      <ns0:c r="A26" s="2"/>
      <ns0:c r="B26" s="2"/>
      <ns0:c r="C26" s="2"/>
      <ns0:c r="D26" s="2"/>
    </ns0:row>
    <ns0:row r="27" customFormat="false" ht="18" hidden="false" customHeight="true" outlineLevel="0" collapsed="false">
      <ns0:c r="A27" s="2"/>
      <ns0:c r="B27" s="2"/>
      <ns0:c r="C27" s="2"/>
      <ns0:c r="D27" s="2"/>
    </ns0:row>
    <ns0:row r="28" customFormat="false" ht="18" hidden="false" customHeight="true" outlineLevel="0" collapsed="false">
      <ns0:c r="A28" s="2"/>
      <ns0:c r="B28" s="2"/>
      <ns0:c r="C28" s="2"/>
      <ns0:c r="D28" s="2"/>
    </ns0:row>
    <ns0:row r="29" customFormat="false" ht="18" hidden="false" customHeight="true" outlineLevel="0" collapsed="false">
      <ns0:c r="A29" s="2"/>
      <ns0:c r="B29" s="2"/>
      <ns0:c r="C29" s="2"/>
      <ns0:c r="D29" s="2"/>
    </ns0:row>
    <ns0:row r="30" customFormat="false" ht="18" hidden="false" customHeight="true" outlineLevel="0" collapsed="false">
      <ns0:c r="A30" s="2"/>
      <ns0:c r="B30" s="2"/>
      <ns0:c r="C30" s="2"/>
      <ns0:c r="D30" s="2"/>
    </ns0:row>
    <ns0:row r="31" customFormat="false" ht="18" hidden="false" customHeight="true" outlineLevel="0" collapsed="false">
      <ns0:c r="A31" s="2"/>
      <ns0:c r="B31" s="2"/>
      <ns0:c r="C31" s="2"/>
      <ns0:c r="D31" s="2"/>
    </ns0:row>
    <ns0:row r="32" customFormat="false" ht="18" hidden="false" customHeight="true" outlineLevel="0" collapsed="false">
      <ns0:c r="A32" s="2"/>
      <ns0:c r="B32" s="2"/>
      <ns0:c r="C32" s="2"/>
      <ns0:c r="D32" s="2"/>
    </ns0:row>
    <ns0:row r="33" customFormat="false" ht="18" hidden="false" customHeight="true" outlineLevel="0" collapsed="false">
      <ns0:c r="A33" s="2"/>
      <ns0:c r="B33" s="2"/>
      <ns0:c r="C33" s="2"/>
      <ns0:c r="D33" s="2"/>
    </ns0:row>
    <ns0:row r="34" customFormat="false" ht="18" hidden="false" customHeight="true" outlineLevel="0" collapsed="false">
      <ns0:c r="A34" s="2"/>
      <ns0:c r="B34" s="2"/>
      <ns0:c r="C34" s="2"/>
      <ns0:c r="D34" s="2"/>
    </ns0:row>
    <ns0:row r="35" customFormat="false" ht="18" hidden="false" customHeight="true" outlineLevel="0" collapsed="false">
      <ns0:c r="A35" s="2"/>
      <ns0:c r="B35" s="2"/>
      <ns0:c r="C35" s="2"/>
      <ns0:c r="D35" s="2"/>
    </ns0:row>
    <ns0:row r="36" customFormat="false" ht="18" hidden="false" customHeight="true" outlineLevel="0" collapsed="false">
      <ns0:c r="A36" s="2"/>
      <ns0:c r="B36" s="2"/>
      <ns0:c r="C36" s="2"/>
      <ns0:c r="D36" s="2"/>
    </ns0:row>
    <ns0:row r="37" customFormat="false" ht="18" hidden="false" customHeight="true" outlineLevel="0" collapsed="false">
      <ns0:c r="A37" s="2"/>
      <ns0:c r="B37" s="2"/>
      <ns0:c r="C37" s="2"/>
      <ns0:c r="D37" s="2"/>
    </ns0:row>
    <ns0:row r="38" customFormat="false" ht="18" hidden="false" customHeight="true" outlineLevel="0" collapsed="false">
      <ns0:c r="A38" s="2"/>
      <ns0:c r="B38" s="2"/>
      <ns0:c r="C38" s="2"/>
      <ns0:c r="D38" s="2"/>
    </ns0:row>
    <ns0:row r="39" customFormat="false" ht="18" hidden="false" customHeight="true" outlineLevel="0" collapsed="false">
      <ns0:c r="A39" s="2"/>
      <ns0:c r="B39" s="2"/>
      <ns0:c r="C39" s="2"/>
      <ns0:c r="D39" s="2"/>
    </ns0:row>
    <ns0:row r="40" customFormat="false" ht="18" hidden="false" customHeight="true" outlineLevel="0" collapsed="false">
      <ns0:c r="A40" s="2"/>
      <ns0:c r="B40" s="2"/>
      <ns0:c r="C40" s="2"/>
      <ns0:c r="D40" s="2"/>
    </ns0:row>
    <ns0:row r="41" customFormat="false" ht="18" hidden="false" customHeight="true" outlineLevel="0" collapsed="false">
      <ns0:c r="A41" s="2"/>
      <ns0:c r="B41" s="2"/>
      <ns0:c r="C41" s="2"/>
      <ns0:c r="D41" s="2"/>
    </ns0:row>
    <ns0:row r="42" customFormat="false" ht="18" hidden="false" customHeight="true" outlineLevel="0" collapsed="false">
      <ns0:c r="A42" s="2"/>
      <ns0:c r="B42" s="2"/>
      <ns0:c r="C42" s="2"/>
      <ns0:c r="D42" s="2"/>
    </ns0:row>
    <ns0:row r="43" customFormat="false" ht="18" hidden="false" customHeight="true" outlineLevel="0" collapsed="false">
      <ns0:c r="A43" s="2"/>
      <ns0:c r="B43" s="2"/>
      <ns0:c r="C43" s="2"/>
      <ns0:c r="D43" s="2"/>
    </ns0:row>
    <ns0:row r="44" customFormat="false" ht="18" hidden="false" customHeight="true" outlineLevel="0" collapsed="false">
      <ns0:c r="A44" s="2"/>
      <ns0:c r="B44" s="2"/>
      <ns0:c r="C44" s="2"/>
      <ns0:c r="D44" s="2"/>
    </ns0:row>
    <ns0:row r="45" customFormat="false" ht="18" hidden="false" customHeight="true" outlineLevel="0" collapsed="false">
      <ns0:c r="A45" s="2"/>
      <ns0:c r="B45" s="2"/>
      <ns0:c r="C45" s="2"/>
      <ns0:c r="D45" s="2"/>
    </ns0:row>
    <ns0:row r="46" customFormat="false" ht="18" hidden="false" customHeight="true" outlineLevel="0" collapsed="false">
      <ns0:c r="A46" s="2"/>
      <ns0:c r="B46" s="2"/>
      <ns0:c r="C46" s="2"/>
      <ns0:c r="D46" s="2"/>
    </ns0:row>
    <ns0:row r="47" customFormat="false" ht="18" hidden="false" customHeight="true" outlineLevel="0" collapsed="false">
      <ns0:c r="A47" s="2"/>
      <ns0:c r="B47" s="2"/>
      <ns0:c r="C47" s="2"/>
      <ns0:c r="D47" s="2"/>
    </ns0:row>
    <ns0:row r="48" customFormat="false" ht="18" hidden="false" customHeight="true" outlineLevel="0" collapsed="false">
      <ns0:c r="A48" s="2"/>
      <ns0:c r="B48" s="2"/>
      <ns0:c r="C48" s="2"/>
      <ns0:c r="D48" s="2"/>
    </ns0:row>
    <ns0:row r="49" customFormat="false" ht="18" hidden="false" customHeight="true" outlineLevel="0" collapsed="false">
      <ns0:c r="A49" s="2"/>
      <ns0:c r="B49" s="2"/>
      <ns0:c r="C49" s="2"/>
      <ns0:c r="D49" s="2"/>
    </ns0:row>
    <ns0:row r="50" customFormat="false" ht="18" hidden="false" customHeight="true" outlineLevel="0" collapsed="false">
      <ns0:c r="A50" s="2"/>
      <ns0:c r="B50" s="2"/>
      <ns0:c r="C50" s="2"/>
      <ns0:c r="D50" s="2"/>
    </ns0:row>
    <ns0:row r="51" customFormat="false" ht="18" hidden="false" customHeight="true" outlineLevel="0" collapsed="false">
      <ns0:c r="A51" s="2"/>
      <ns0:c r="B51" s="2"/>
      <ns0:c r="C51" s="2"/>
      <ns0:c r="D51" s="2"/>
    </ns0:row>
    <ns0:row r="52" customFormat="false" ht="18" hidden="false" customHeight="true" outlineLevel="0" collapsed="false">
      <ns0:c r="A52" s="2"/>
      <ns0:c r="B52" s="2"/>
      <ns0:c r="C52" s="2"/>
      <ns0:c r="D52" s="2"/>
    </ns0:row>
    <ns0:row r="53" customFormat="false" ht="18" hidden="false" customHeight="true" outlineLevel="0" collapsed="false">
      <ns0:c r="A53" s="2"/>
      <ns0:c r="B53" s="2"/>
      <ns0:c r="C53" s="2"/>
      <ns0:c r="D53" s="2"/>
    </ns0:row>
    <ns0:row r="54" customFormat="false" ht="18" hidden="false" customHeight="true" outlineLevel="0" collapsed="false">
      <ns0:c r="A54" s="2"/>
      <ns0:c r="B54" s="2"/>
      <ns0:c r="C54" s="2"/>
      <ns0:c r="D54" s="2"/>
    </ns0:row>
    <ns0:row r="55" customFormat="false" ht="18" hidden="false" customHeight="true" outlineLevel="0" collapsed="false">
      <ns0:c r="A55" s="2"/>
      <ns0:c r="B55" s="2"/>
      <ns0:c r="C55" s="2"/>
      <ns0:c r="D55" s="2"/>
    </ns0:row>
    <ns0:row r="56" customFormat="false" ht="18" hidden="false" customHeight="true" outlineLevel="0" collapsed="false">
      <ns0:c r="A56" s="2"/>
      <ns0:c r="B56" s="2"/>
      <ns0:c r="C56" s="2"/>
      <ns0:c r="D56" s="2"/>
    </ns0:row>
    <ns0:row r="57" customFormat="false" ht="18" hidden="false" customHeight="true" outlineLevel="0" collapsed="false">
      <ns0:c r="A57" s="2"/>
      <ns0:c r="B57" s="2"/>
      <ns0:c r="C57" s="2"/>
      <ns0:c r="D57" s="2"/>
    </ns0:row>
    <ns0:row r="58" customFormat="false" ht="18" hidden="false" customHeight="true" outlineLevel="0" collapsed="false">
      <ns0:c r="A58" s="2"/>
      <ns0:c r="B58" s="2"/>
      <ns0:c r="C58" s="2"/>
      <ns0:c r="D58" s="2"/>
    </ns0:row>
    <ns0:row r="59" customFormat="false" ht="18" hidden="false" customHeight="true" outlineLevel="0" collapsed="false">
      <ns0:c r="A59" s="2"/>
      <ns0:c r="B59" s="2"/>
      <ns0:c r="C59" s="2"/>
      <ns0:c r="D59" s="2"/>
    </ns0:row>
    <ns0:row r="60" customFormat="false" ht="18" hidden="false" customHeight="true" outlineLevel="0" collapsed="false">
      <ns0:c r="A60" s="2"/>
      <ns0:c r="B60" s="2"/>
      <ns0:c r="C60" s="2"/>
      <ns0:c r="D60" s="2"/>
    </ns0:row>
    <ns0:row r="61" customFormat="false" ht="18" hidden="false" customHeight="true" outlineLevel="0" collapsed="false">
      <ns0:c r="A61" s="2"/>
      <ns0:c r="B61" s="2"/>
      <ns0:c r="C61" s="2"/>
      <ns0:c r="D61" s="2"/>
    </ns0:row>
    <ns0:row r="62" customFormat="false" ht="18" hidden="false" customHeight="true" outlineLevel="0" collapsed="false">
      <ns0:c r="A62" s="2"/>
      <ns0:c r="B62" s="2"/>
      <ns0:c r="C62" s="2"/>
      <ns0:c r="D62" s="2"/>
    </ns0:row>
    <ns0:row r="63" customFormat="false" ht="18" hidden="false" customHeight="true" outlineLevel="0" collapsed="false">
      <ns0:c r="A63" s="2"/>
      <ns0:c r="B63" s="2"/>
      <ns0:c r="C63" s="2"/>
      <ns0:c r="D63" s="2"/>
    </ns0:row>
    <ns0:row r="64" customFormat="false" ht="18" hidden="false" customHeight="true" outlineLevel="0" collapsed="false">
      <ns0:c r="A64" s="2"/>
      <ns0:c r="B64" s="2"/>
      <ns0:c r="C64" s="2"/>
      <ns0:c r="D64" s="2"/>
    </ns0:row>
    <ns0:row r="65" customFormat="false" ht="18" hidden="false" customHeight="true" outlineLevel="0" collapsed="false">
      <ns0:c r="A65" s="2"/>
      <ns0:c r="B65" s="2"/>
      <ns0:c r="C65" s="2"/>
      <ns0:c r="D65" s="2"/>
    </ns0:row>
    <ns0:row r="66" customFormat="false" ht="18" hidden="false" customHeight="true" outlineLevel="0" collapsed="false">
      <ns0:c r="A66" s="2"/>
      <ns0:c r="B66" s="2"/>
      <ns0:c r="C66" s="2"/>
      <ns0:c r="D66" s="2"/>
    </ns0:row>
    <ns0:row r="67" customFormat="false" ht="18" hidden="false" customHeight="true" outlineLevel="0" collapsed="false">
      <ns0:c r="A67" s="2"/>
      <ns0:c r="B67" s="2"/>
      <ns0:c r="C67" s="2"/>
      <ns0:c r="D67" s="2"/>
    </ns0:row>
    <ns0:row r="68" customFormat="false" ht="18" hidden="false" customHeight="true" outlineLevel="0" collapsed="false">
      <ns0:c r="A68" s="2"/>
      <ns0:c r="B68" s="2"/>
      <ns0:c r="C68" s="2"/>
      <ns0:c r="D68" s="2"/>
    </ns0:row>
    <ns0:row r="69" customFormat="false" ht="18" hidden="false" customHeight="true" outlineLevel="0" collapsed="false">
      <ns0:c r="A69" s="2"/>
      <ns0:c r="B69" s="2"/>
      <ns0:c r="C69" s="2"/>
      <ns0:c r="D69" s="2"/>
    </ns0:row>
    <ns0:row r="70" customFormat="false" ht="18" hidden="false" customHeight="true" outlineLevel="0" collapsed="false">
      <ns0:c r="A70" s="2"/>
      <ns0:c r="B70" s="2"/>
      <ns0:c r="C70" s="2"/>
      <ns0:c r="D70" s="2"/>
    </ns0:row>
  </ns0:sheetData>
  <ns0:mergeCells count="5">
    <ns0:mergeCell ref="A1:D2"/>
    <ns0:mergeCell ref="A3:D3"/>
    <ns0:mergeCell ref="A4:D5"/>
    <ns0:mergeCell ref="A17:D18"/>
    <ns0:mergeCell ref="A20:D21"/>
  </ns0:mergeCell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de-DE</dc:language>
  <ns0:lastModifiedBy>Klotzkette</ns0:lastModifiedBy>
  <ns0:revision>0</ns0:revision>
  <dc:subject/>
  <dc:title/>
</ns0:coreProperties>
</file>