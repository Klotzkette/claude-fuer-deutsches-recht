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cc72fd2f183a42d4" /><Relationship Id="rIdKlotzketteCore" Type="http://schemas.openxmlformats.org/package/2006/relationships/metadata/core-properties" Target="docProps/core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ne Posten" sheetId="1" r:id="Reb33001921384971"/>
    <x:sheet xmlns:r="http://schemas.openxmlformats.org/officeDocument/2006/relationships" name="Belege" sheetId="2" r:id="Rff88a59d090c45a0"/>
    <x:sheet xmlns:r="http://schemas.openxmlformats.org/officeDocument/2006/relationships" name="Zuordnung" sheetId="3" r:id="Rf476e20f0a6b4988"/>
    <x:sheet xmlns:r="http://schemas.openxmlformats.org/officeDocument/2006/relationships" name="Bank" sheetId="4" r:id="R251c2722e954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&quot;-&quot;"/>
    <x:numFmt numFmtId="201" formatCode="yyyy-mm-dd"/>
  </x:numFmts>
  <x:fonts count="10">
    <x:font>
      <x:sz val="11"/>
      <x:name val="Carlito"/>
    </x:font>
    <x:font>
      <x:b/>
      <x:sz val="14"/>
      <x:name val="Arial"/>
    </x:font>
    <x:font>
      <x:i/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2457A7"/>
      <x:name val="Arial"/>
    </x:font>
    <x:font>
      <x:sz val="10"/>
      <x:color rgb="FF000000"/>
      <x:name val="Arial"/>
    </x:font>
    <x:font>
      <x:b/>
      <x:sz val="10"/>
      <x:name val="Arial"/>
    </x:font>
    <x:font>
      <x:b/>
      <x:sz val="10"/>
      <x:color rgb="FF000000"/>
      <x:name val="Arial"/>
    </x:font>
    <x:font>
      <x:sz val="10"/>
      <x:color rgb="FF2570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A47"/>
      </x:patternFill>
    </x:fill>
    <x:fill>
      <x:patternFill patternType="solid">
        <x:fgColor rgb="FFE8EBED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1" fontId="5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3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e852e3e2c424c" /><Relationship Type="http://schemas.openxmlformats.org/officeDocument/2006/relationships/theme" Target="/xl/theme/theme1.xml" Id="R9907cbb9e9964c72" /><Relationship Type="http://schemas.openxmlformats.org/officeDocument/2006/relationships/sharedStrings" Target="/xl/sharedStrings.xml" Id="R1043e0ff69f8402e" /><Relationship Type="http://schemas.openxmlformats.org/officeDocument/2006/relationships/worksheet" Target="/xl/worksheets/sheet1.xml" Id="Reb33001921384971" /><Relationship Type="http://schemas.openxmlformats.org/officeDocument/2006/relationships/worksheet" Target="/xl/worksheets/sheet2.xml" Id="Rff88a59d090c45a0" /><Relationship Type="http://schemas.openxmlformats.org/officeDocument/2006/relationships/worksheet" Target="/xl/worksheets/sheet3.xml" Id="Rf476e20f0a6b4988" /><Relationship Type="http://schemas.openxmlformats.org/officeDocument/2006/relationships/worksheet" Target="/xl/worksheets/sheet4.xml" Id="R251c2722e95441e7" /></Relationships>
</file>

<file path=xl/tables/table1.xml><?xml version="1.0" encoding="utf-8"?>
<x:table xmlns:x="http://schemas.openxmlformats.org/spreadsheetml/2006/main" id="3" name="ErgaenzungsOPOS" displayName="ErgaenzungsOPOS" ref="A5:G19" headerRowCount="1" totalsRowCount="0" totalsRowShown="0">
  <x:tableColumns count="7">
    <x:tableColumn id="1" name="Rechnung"/>
    <x:tableColumn id="2" name="Kreditor"/>
    <x:tableColumn id="3" name="Rechnung EUR"/>
    <x:tableColumn id="4" name="Korrektur EUR"/>
    <x:tableColumn id="5" name="Zahlung EUR"/>
    <x:tableColumn id="6" name="Offen EUR"/>
    <x:tableColumn id="7" name="Bearbeitung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Ergaenzungsbelege" displayName="Ergaenzungsbelege" ref="A5:G21" headerRowCount="1" totalsRowCount="0" totalsRowShown="0">
  <x:tableColumns count="7">
    <x:tableColumn id="1" name="Beleg"/>
    <x:tableColumn id="2" name="Projekt"/>
    <x:tableColumn id="3" name="Netto EUR"/>
    <x:tableColumn id="4" name="Schlüssel"/>
    <x:tableColumn id="5" name="USt im Beleg"/>
    <x:tableColumn id="6" name="Belegbetrag"/>
    <x:tableColumn id="7" name="Bezug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Zahlungszuordnungen" displayName="Zahlungszuordnungen" ref="A5:D16" headerRowCount="1" totalsRowCount="0" totalsRowShown="0">
  <x:tableColumns count="4">
    <x:tableColumn id="1" name="Bankreferenz"/>
    <x:tableColumn id="2" name="Valuta"/>
    <x:tableColumn id="3" name="Rechnung"/>
    <x:tableColumn id="4" name="Zugeordnet EUR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rojektkontoUmsaetze" displayName="ProjektkontoUmsaetze" ref="A5:F15" headerRowCount="1" totalsRowCount="0" totalsRowShown="0">
  <x:tableColumns count="6">
    <x:tableColumn id="1" name="Referenz"/>
    <x:tableColumn id="2" name="Valuta"/>
    <x:tableColumn id="3" name="Soll EUR"/>
    <x:tableColumn id="4" name="Zugeordnet EUR"/>
    <x:tableColumn id="5" name="Differenz EUR"/>
    <x:tableColumn id="6" name="Saldo EU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4b061bef164f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225af266f246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7c7b8eb1d4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3cb65ba8054627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0" hidden="0" customWidth="1"/>
    <col min="2" max="2" width="13" hidden="0" customWidth="1"/>
    <col min="3" max="3" width="17" hidden="0" customWidth="1"/>
    <col min="4" max="4" width="17" hidden="0" customWidth="1"/>
    <col min="5" max="5" width="17" hidden="0" customWidth="1"/>
    <col min="6" max="6" width="17" hidden="0" customWidth="1"/>
    <col min="7" max="7" width="29" hidden="0" customWidth="1"/>
  </cols>
  <sheetData>
    <row r="2">
      <c r="A2" s="1" t="str">
        <v>Ergänzungsstapel Lieferanten</v>
      </c>
    </row>
    <row r="3">
      <c r="A3" s="2" t="str">
        <v>Stand 25.09.2026 | Ergänzungsstapel | Beträge in EUR</v>
      </c>
    </row>
    <row r="5" ht="34" customHeight="1">
      <c r="A5" s="7" t="str">
        <v>Rechnung</v>
      </c>
      <c r="B5" s="7" t="str">
        <v>Kreditor</v>
      </c>
      <c r="C5" s="7" t="str">
        <v>Rechnung EUR</v>
      </c>
      <c r="D5" s="7" t="str">
        <v>Korrektur EUR</v>
      </c>
      <c r="E5" s="7" t="str">
        <v>Zahlung EUR</v>
      </c>
      <c r="F5" s="7" t="str">
        <v>Offen EUR</v>
      </c>
      <c r="G5" s="7" t="str">
        <v>Bearbeitung</v>
      </c>
    </row>
    <row r="6" ht="23" customHeight="1">
      <c r="A6" s="10" t="str">
        <v>ST-260902</v>
      </c>
      <c r="B6" s="10" t="str">
        <v>51001</v>
      </c>
      <c r="C6" s="26" t="n">
        <f>SUMIFS('Belege'!$F$6:$F$21,'Belege'!$A$6:$A$21,A6)</f>
        <v>2142</v>
      </c>
      <c r="D6" s="26" t="n">
        <f>-SUMIFS('Belege'!$F$20:$F$21,'Belege'!$G$20:$G$21,A6)</f>
        <v>0</v>
      </c>
      <c r="E6" s="26" t="n">
        <f>SUMIFS('Zuordnung'!$D$6:$D$16,'Zuordnung'!$C$6:$C$16,A6)</f>
        <v>2142</v>
      </c>
      <c r="F6" s="14" t="n">
        <f>C6-SUM(D6:E6)</f>
        <v>0</v>
      </c>
      <c r="G6" s="10" t="str">
        <v>ausgeglichen</v>
      </c>
    </row>
    <row r="7" ht="23" customHeight="1">
      <c r="A7" s="10" t="str">
        <v>HB-260903</v>
      </c>
      <c r="B7" s="10" t="str">
        <v>51002</v>
      </c>
      <c r="C7" s="26" t="n">
        <f>SUMIFS('Belege'!$F$6:$F$21,'Belege'!$A$6:$A$21,A7)</f>
        <v>2856</v>
      </c>
      <c r="D7" s="26" t="n">
        <f>-SUMIFS('Belege'!$F$20:$F$21,'Belege'!$G$20:$G$21,A7)</f>
        <v>238</v>
      </c>
      <c r="E7" s="26" t="n">
        <f>SUMIFS('Zuordnung'!$D$6:$D$16,'Zuordnung'!$C$6:$C$16,A7)</f>
        <v>2618</v>
      </c>
      <c r="F7" s="14" t="n">
        <f>C7-SUM(D7:E7)</f>
        <v>0</v>
      </c>
      <c r="G7" s="10" t="str">
        <v>ausgeglichen</v>
      </c>
    </row>
    <row r="8" ht="23" customHeight="1">
      <c r="A8" s="10" t="str">
        <v>EL-260904</v>
      </c>
      <c r="B8" s="10" t="str">
        <v>51003</v>
      </c>
      <c r="C8" s="26" t="n">
        <f>SUMIFS('Belege'!$F$6:$F$21,'Belege'!$A$6:$A$21,A8)</f>
        <v>892.5</v>
      </c>
      <c r="D8" s="26" t="n">
        <f>-SUMIFS('Belege'!$F$20:$F$21,'Belege'!$G$20:$G$21,A8)</f>
        <v>0</v>
      </c>
      <c r="E8" s="26" t="n">
        <f>SUMIFS('Zuordnung'!$D$6:$D$16,'Zuordnung'!$C$6:$C$16,A8)</f>
        <v>892.5</v>
      </c>
      <c r="F8" s="14" t="n">
        <f>C8-SUM(D8:E8)</f>
        <v>0</v>
      </c>
      <c r="G8" s="10" t="str">
        <v>ausgeglichen</v>
      </c>
    </row>
    <row r="9" ht="23" customHeight="1">
      <c r="A9" s="10" t="str">
        <v>TB-260905</v>
      </c>
      <c r="B9" s="10" t="str">
        <v>51004</v>
      </c>
      <c r="C9" s="26" t="n">
        <f>SUMIFS('Belege'!$F$6:$F$21,'Belege'!$A$6:$A$21,A9)</f>
        <v>4800</v>
      </c>
      <c r="D9" s="26" t="n">
        <f>-SUMIFS('Belege'!$F$20:$F$21,'Belege'!$G$20:$G$21,A9)</f>
        <v>0</v>
      </c>
      <c r="E9" s="26" t="n">
        <f>SUMIFS('Zuordnung'!$D$6:$D$16,'Zuordnung'!$C$6:$C$16,A9)</f>
        <v>0</v>
      </c>
      <c r="F9" s="14" t="n">
        <f>C9-SUM(D9:E9)</f>
        <v>4800</v>
      </c>
      <c r="G9" s="10" t="str">
        <v>Bauabzug prüfen</v>
      </c>
    </row>
    <row r="10" ht="23" customHeight="1">
      <c r="A10" s="10" t="str">
        <v>SA-260906</v>
      </c>
      <c r="B10" s="10" t="str">
        <v>51005</v>
      </c>
      <c r="C10" s="26" t="n">
        <f>SUMIFS('Belege'!$F$6:$F$21,'Belege'!$A$6:$A$21,A10)</f>
        <v>3200</v>
      </c>
      <c r="D10" s="26" t="n">
        <f>-SUMIFS('Belege'!$F$20:$F$21,'Belege'!$G$20:$G$21,A10)</f>
        <v>0</v>
      </c>
      <c r="E10" s="26" t="n">
        <f>SUMIFS('Zuordnung'!$D$6:$D$16,'Zuordnung'!$C$6:$C$16,A10)</f>
        <v>0</v>
      </c>
      <c r="F10" s="14" t="n">
        <f>C10-SUM(D10:E10)</f>
        <v>3200</v>
      </c>
      <c r="G10" s="10" t="str">
        <v>Bauabzug prüfen</v>
      </c>
    </row>
    <row r="11" ht="23" customHeight="1">
      <c r="A11" s="10" t="str">
        <v>MR-260907</v>
      </c>
      <c r="B11" s="10" t="str">
        <v>51006</v>
      </c>
      <c r="C11" s="26" t="n">
        <f>SUMIFS('Belege'!$F$6:$F$21,'Belege'!$A$6:$A$21,A11)</f>
        <v>1071</v>
      </c>
      <c r="D11" s="26" t="n">
        <f>-SUMIFS('Belege'!$F$20:$F$21,'Belege'!$G$20:$G$21,A11)</f>
        <v>0</v>
      </c>
      <c r="E11" s="26" t="n">
        <f>SUMIFS('Zuordnung'!$D$6:$D$16,'Zuordnung'!$C$6:$C$16,A11)</f>
        <v>500</v>
      </c>
      <c r="F11" s="14" t="n">
        <f>C11-SUM(D11:E11)</f>
        <v>571</v>
      </c>
      <c r="G11" s="10" t="str">
        <v>Restzahlung offen</v>
      </c>
    </row>
    <row r="12" ht="23" customHeight="1">
      <c r="A12" s="10" t="str">
        <v>GE-260908</v>
      </c>
      <c r="B12" s="10" t="str">
        <v>51007</v>
      </c>
      <c r="C12" s="26" t="n">
        <f>SUMIFS('Belege'!$F$6:$F$21,'Belege'!$A$6:$A$21,A12)</f>
        <v>1309</v>
      </c>
      <c r="D12" s="26" t="n">
        <f>-SUMIFS('Belege'!$F$20:$F$21,'Belege'!$G$20:$G$21,A12)</f>
        <v>0</v>
      </c>
      <c r="E12" s="26" t="n">
        <f>SUMIFS('Zuordnung'!$D$6:$D$16,'Zuordnung'!$C$6:$C$16,A12)</f>
        <v>1309</v>
      </c>
      <c r="F12" s="14" t="n">
        <f>C12-SUM(D12:E12)</f>
        <v>0</v>
      </c>
      <c r="G12" s="10" t="str">
        <v>ausgeglichen</v>
      </c>
    </row>
    <row r="13" ht="23" customHeight="1">
      <c r="A13" s="10" t="str">
        <v>EN-260909</v>
      </c>
      <c r="B13" s="10" t="str">
        <v>51008</v>
      </c>
      <c r="C13" s="26" t="n">
        <f>SUMIFS('Belege'!$F$6:$F$21,'Belege'!$A$6:$A$21,A13)</f>
        <v>571.2</v>
      </c>
      <c r="D13" s="26" t="n">
        <f>-SUMIFS('Belege'!$F$20:$F$21,'Belege'!$G$20:$G$21,A13)</f>
        <v>0</v>
      </c>
      <c r="E13" s="26" t="n">
        <f>SUMIFS('Zuordnung'!$D$6:$D$16,'Zuordnung'!$C$6:$C$16,A13)</f>
        <v>571.2</v>
      </c>
      <c r="F13" s="14" t="n">
        <f>C13-SUM(D13:E13)</f>
        <v>0</v>
      </c>
      <c r="G13" s="10" t="str">
        <v>ausgeglichen</v>
      </c>
    </row>
    <row r="14" ht="23" customHeight="1">
      <c r="A14" s="10" t="str">
        <v>TP-260910</v>
      </c>
      <c r="B14" s="10" t="str">
        <v>51009</v>
      </c>
      <c r="C14" s="26" t="n">
        <f>SUMIFS('Belege'!$F$6:$F$21,'Belege'!$A$6:$A$21,A14)</f>
        <v>1428</v>
      </c>
      <c r="D14" s="26" t="n">
        <f>-SUMIFS('Belege'!$F$20:$F$21,'Belege'!$G$20:$G$21,A14)</f>
        <v>0</v>
      </c>
      <c r="E14" s="26" t="n">
        <f>SUMIFS('Zuordnung'!$D$6:$D$16,'Zuordnung'!$C$6:$C$16,A14)</f>
        <v>0</v>
      </c>
      <c r="F14" s="14" t="n">
        <f>C14-SUM(D14:E14)</f>
        <v>1428</v>
      </c>
      <c r="G14" s="10" t="str">
        <v>Leistungsfreigabe fehlt</v>
      </c>
    </row>
    <row r="15" ht="23" customHeight="1">
      <c r="A15" s="10" t="str">
        <v>ST-260911</v>
      </c>
      <c r="B15" s="10" t="str">
        <v>51001</v>
      </c>
      <c r="C15" s="26" t="n">
        <f>SUMIFS('Belege'!$F$6:$F$21,'Belege'!$A$6:$A$21,A15)</f>
        <v>714</v>
      </c>
      <c r="D15" s="26" t="n">
        <f>-SUMIFS('Belege'!$F$20:$F$21,'Belege'!$G$20:$G$21,A15)</f>
        <v>0</v>
      </c>
      <c r="E15" s="26" t="n">
        <f>SUMIFS('Zuordnung'!$D$6:$D$16,'Zuordnung'!$C$6:$C$16,A15)</f>
        <v>714</v>
      </c>
      <c r="F15" s="14" t="n">
        <f>C15-SUM(D15:E15)</f>
        <v>0</v>
      </c>
      <c r="G15" s="10" t="str">
        <v>ausgeglichen</v>
      </c>
    </row>
    <row r="16" ht="23" customHeight="1">
      <c r="A16" s="10" t="str">
        <v>TR-260912</v>
      </c>
      <c r="B16" s="10" t="str">
        <v>51010</v>
      </c>
      <c r="C16" s="26" t="n">
        <f>SUMIFS('Belege'!$F$6:$F$21,'Belege'!$A$6:$A$21,A16)</f>
        <v>499.8</v>
      </c>
      <c r="D16" s="26" t="n">
        <f>-SUMIFS('Belege'!$F$20:$F$21,'Belege'!$G$20:$G$21,A16)</f>
        <v>0</v>
      </c>
      <c r="E16" s="26" t="n">
        <f>SUMIFS('Zuordnung'!$D$6:$D$16,'Zuordnung'!$C$6:$C$16,A16)</f>
        <v>499.8</v>
      </c>
      <c r="F16" s="14" t="n">
        <f>C16-SUM(D16:E16)</f>
        <v>0</v>
      </c>
      <c r="G16" s="10" t="str">
        <v>ausgeglichen</v>
      </c>
    </row>
    <row r="17" ht="23" customHeight="1">
      <c r="A17" s="10" t="str">
        <v>VW-260913</v>
      </c>
      <c r="B17" s="10" t="str">
        <v>51011</v>
      </c>
      <c r="C17" s="26" t="n">
        <f>SUMIFS('Belege'!$F$6:$F$21,'Belege'!$A$6:$A$21,A17)</f>
        <v>1130.5</v>
      </c>
      <c r="D17" s="26" t="n">
        <f>-SUMIFS('Belege'!$F$20:$F$21,'Belege'!$G$20:$G$21,A17)</f>
        <v>59.5</v>
      </c>
      <c r="E17" s="26" t="n">
        <f>SUMIFS('Zuordnung'!$D$6:$D$16,'Zuordnung'!$C$6:$C$16,A17)</f>
        <v>1071</v>
      </c>
      <c r="F17" s="14" t="n">
        <f>C17-SUM(D17:E17)</f>
        <v>0</v>
      </c>
      <c r="G17" s="10" t="str">
        <v>ausgeglichen</v>
      </c>
    </row>
    <row r="18" ht="23" customHeight="1">
      <c r="A18" s="10" t="str">
        <v>MT-260914</v>
      </c>
      <c r="B18" s="10" t="str">
        <v>51012</v>
      </c>
      <c r="C18" s="26" t="n">
        <f>SUMIFS('Belege'!$F$6:$F$21,'Belege'!$A$6:$A$21,A18)</f>
        <v>285.6</v>
      </c>
      <c r="D18" s="26" t="n">
        <f>-SUMIFS('Belege'!$F$20:$F$21,'Belege'!$G$20:$G$21,A18)</f>
        <v>0</v>
      </c>
      <c r="E18" s="26" t="n">
        <f>SUMIFS('Zuordnung'!$D$6:$D$16,'Zuordnung'!$C$6:$C$16,A18)</f>
        <v>285.6</v>
      </c>
      <c r="F18" s="14" t="n">
        <f>C18-SUM(D18:E18)</f>
        <v>0</v>
      </c>
      <c r="G18" s="10" t="str">
        <v>ausgeglichen</v>
      </c>
    </row>
    <row r="19" ht="23" customHeight="1">
      <c r="A19" s="10" t="str">
        <v>DZ-260915</v>
      </c>
      <c r="B19" s="10" t="str">
        <v>51013</v>
      </c>
      <c r="C19" s="26" t="n">
        <f>SUMIFS('Belege'!$F$6:$F$21,'Belege'!$A$6:$A$21,A19)</f>
        <v>1178.1</v>
      </c>
      <c r="D19" s="26" t="n">
        <f>-SUMIFS('Belege'!$F$20:$F$21,'Belege'!$G$20:$G$21,A19)</f>
        <v>0</v>
      </c>
      <c r="E19" s="26" t="n">
        <f>SUMIFS('Zuordnung'!$D$6:$D$16,'Zuordnung'!$C$6:$C$16,A19)</f>
        <v>1178.1</v>
      </c>
      <c r="F19" s="14" t="n">
        <f>C19-SUM(D19:E19)</f>
        <v>0</v>
      </c>
      <c r="G19" s="10" t="str">
        <v>ausgeglichen</v>
      </c>
    </row>
    <row r="20" ht="23" customHeight="1">
      <c r="A20" s="18" t="str">
        <v>Summe</v>
      </c>
      <c r="B20" s="18"/>
      <c r="C20" s="20" t="n">
        <f>SUM(C6:C19)</f>
        <v>22077.699999999997</v>
      </c>
      <c r="D20" s="20" t="n">
        <f>SUM(D6:D19)</f>
        <v>297.5</v>
      </c>
      <c r="E20" s="20" t="n">
        <f>SUM(E6:E19)</f>
        <v>11781.2</v>
      </c>
      <c r="F20" s="20" t="n">
        <f>SUM(F6:F19)</f>
        <v>9999</v>
      </c>
    </row>
    <row r="22" ht="28" customHeight="1">
      <c r="A22" s="28" t="str">
        <v>Nettokosten EUR</v>
      </c>
      <c r="B22" s="28" t="str">
        <v>RC-Steuer EUR</v>
      </c>
      <c r="C22" s="28" t="str">
        <v>RC-Vorsteuer EUR</v>
      </c>
    </row>
    <row r="23">
      <c r="A23" s="30" t="n">
        <f>'Belege'!C22</f>
        <v>19580</v>
      </c>
      <c r="B23" s="30" t="n">
        <f>SUMIFS('Belege'!$C$6:$C$21,'Belege'!$D$6:$D$21,"RC19")*0.19</f>
        <v>1520</v>
      </c>
      <c r="C23" s="23" t="n">
        <f>B23</f>
        <v>1520</v>
      </c>
    </row>
    <row r="25">
      <c r="A25" t="str">
        <v>Fachliche Freigabe bleibt erforderlich. Steueransätze unter den Verwendungsannahmen in Datei 56.</v>
      </c>
    </row>
  </sheetData>
  <conditionalFormatting sqref="F6:F19">
    <cfRule type="cellIs" dxfId="0" priority="1" operator="greaterThan">
      <formula>0</formula>
    </cfRule>
  </conditionalFormatting>
  <dataValidations count="1">
    <dataValidation type="list" sqref="G6:G19">
      <formula1>"ausgeglichen,Restzahlung offen,Bauabzug prüfen,Leistungsfreigabe fehlt,zur Prüfung"</formula1>
    </dataValidation>
  </dataValidations>
  <pageMargins left="0.3" right="0.3" top="0.35" bottom="0.35" header="0.15" footer="0.15"/>
  <pageSetup paperSize="9" orientation="landscape" fitToWidth="1" fitToHeight="1"/>
  <tableParts count="1">
    <tablePart ns1:id="Rab4b061bef164f83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1" hidden="0" customWidth="1"/>
    <col min="2" max="2" width="16" hidden="0" customWidth="1"/>
    <col min="3" max="3" width="18" hidden="0" customWidth="1"/>
    <col min="4" max="4" width="12" hidden="0" customWidth="1"/>
    <col min="5" max="5" width="18" hidden="0" customWidth="1"/>
    <col min="6" max="6" width="18" hidden="0" customWidth="1"/>
    <col min="7" max="7" width="22" hidden="0" customWidth="1"/>
  </cols>
  <sheetData>
    <row r="2">
      <c r="A2" s="1" t="str">
        <v>Ergänzungsstapel Rechnungseingang</v>
      </c>
    </row>
    <row r="3">
      <c r="A3" s="2" t="str">
        <v>Stand 25.09.2026 | Ergänzungsstapel | Beträge in EUR</v>
      </c>
    </row>
    <row r="5" ht="34" customHeight="1">
      <c r="A5" s="7" t="str">
        <v>Beleg</v>
      </c>
      <c r="B5" s="7" t="str">
        <v>Projekt</v>
      </c>
      <c r="C5" s="7" t="str">
        <v>Netto EUR</v>
      </c>
      <c r="D5" s="7" t="str">
        <v>Schlüssel</v>
      </c>
      <c r="E5" s="7" t="str">
        <v>USt im Beleg</v>
      </c>
      <c r="F5" s="7" t="str">
        <v>Belegbetrag</v>
      </c>
      <c r="G5" s="7" t="str">
        <v>Bezug</v>
      </c>
    </row>
    <row r="6" ht="23" customHeight="1">
      <c r="A6" s="10" t="str">
        <v>ST-260902</v>
      </c>
      <c r="B6" s="10" t="str">
        <v>BS26-01</v>
      </c>
      <c r="C6" s="13" t="n">
        <v>1800</v>
      </c>
      <c r="D6" s="10" t="str">
        <v>V19</v>
      </c>
      <c r="E6" s="14" t="n">
        <f>IF(D6="V19",ROUND(C6*0.19,2),0)</f>
        <v>342</v>
      </c>
      <c r="F6" s="14" t="n">
        <f>SUM(C6,E6)</f>
        <v>2142</v>
      </c>
      <c r="G6" s="10" t="str">
        <v>ST-260902</v>
      </c>
    </row>
    <row r="7" ht="23" customHeight="1">
      <c r="A7" s="10" t="str">
        <v>HB-260903</v>
      </c>
      <c r="B7" s="10" t="str">
        <v>BS26-01</v>
      </c>
      <c r="C7" s="13" t="n">
        <v>2400</v>
      </c>
      <c r="D7" s="10" t="str">
        <v>V19</v>
      </c>
      <c r="E7" s="14" t="n">
        <f>IF(D7="V19",ROUND(C7*0.19,2),0)</f>
        <v>456</v>
      </c>
      <c r="F7" s="14" t="n">
        <f>SUM(C7,E7)</f>
        <v>2856</v>
      </c>
      <c r="G7" s="10" t="str">
        <v>HB-260903</v>
      </c>
    </row>
    <row r="8" ht="23" customHeight="1">
      <c r="A8" s="10" t="str">
        <v>EL-260904</v>
      </c>
      <c r="B8" s="10" t="str">
        <v>BS26-02</v>
      </c>
      <c r="C8" s="13" t="n">
        <v>750</v>
      </c>
      <c r="D8" s="10" t="str">
        <v>V19</v>
      </c>
      <c r="E8" s="14" t="n">
        <f>IF(D8="V19",ROUND(C8*0.19,2),0)</f>
        <v>142.5</v>
      </c>
      <c r="F8" s="14" t="n">
        <f>SUM(C8,E8)</f>
        <v>892.5</v>
      </c>
      <c r="G8" s="10" t="str">
        <v>EL-260904</v>
      </c>
    </row>
    <row r="9" ht="23" customHeight="1">
      <c r="A9" s="10" t="str">
        <v>TB-260905</v>
      </c>
      <c r="B9" s="10" t="str">
        <v>BS26-01</v>
      </c>
      <c r="C9" s="13" t="n">
        <v>4800</v>
      </c>
      <c r="D9" s="10" t="str">
        <v>RC19</v>
      </c>
      <c r="E9" s="14" t="n">
        <f>IF(D9="V19",ROUND(C9*0.19,2),0)</f>
        <v>0</v>
      </c>
      <c r="F9" s="14" t="n">
        <f>SUM(C9,E9)</f>
        <v>4800</v>
      </c>
      <c r="G9" s="10" t="str">
        <v>TB-260905</v>
      </c>
    </row>
    <row r="10" ht="23" customHeight="1">
      <c r="A10" s="10" t="str">
        <v>SA-260906</v>
      </c>
      <c r="B10" s="10" t="str">
        <v>BS26-02</v>
      </c>
      <c r="C10" s="13" t="n">
        <v>3200</v>
      </c>
      <c r="D10" s="10" t="str">
        <v>RC19</v>
      </c>
      <c r="E10" s="14" t="n">
        <f>IF(D10="V19",ROUND(C10*0.19,2),0)</f>
        <v>0</v>
      </c>
      <c r="F10" s="14" t="n">
        <f>SUM(C10,E10)</f>
        <v>3200</v>
      </c>
      <c r="G10" s="10" t="str">
        <v>SA-260906</v>
      </c>
    </row>
    <row r="11" ht="23" customHeight="1">
      <c r="A11" s="10" t="str">
        <v>MR-260907</v>
      </c>
      <c r="B11" s="10" t="str">
        <v>BS26-01</v>
      </c>
      <c r="C11" s="13" t="n">
        <v>900</v>
      </c>
      <c r="D11" s="10" t="str">
        <v>V19</v>
      </c>
      <c r="E11" s="14" t="n">
        <f>IF(D11="V19",ROUND(C11*0.19,2),0)</f>
        <v>171</v>
      </c>
      <c r="F11" s="14" t="n">
        <f>SUM(C11,E11)</f>
        <v>1071</v>
      </c>
      <c r="G11" s="10" t="str">
        <v>MR-260907</v>
      </c>
    </row>
    <row r="12" ht="23" customHeight="1">
      <c r="A12" s="10" t="str">
        <v>GE-260908</v>
      </c>
      <c r="B12" s="10" t="str">
        <v>BS26-01</v>
      </c>
      <c r="C12" s="13" t="n">
        <v>1100</v>
      </c>
      <c r="D12" s="10" t="str">
        <v>V19</v>
      </c>
      <c r="E12" s="14" t="n">
        <f>IF(D12="V19",ROUND(C12*0.19,2),0)</f>
        <v>209</v>
      </c>
      <c r="F12" s="14" t="n">
        <f>SUM(C12,E12)</f>
        <v>1309</v>
      </c>
      <c r="G12" s="10" t="str">
        <v>GE-260908</v>
      </c>
    </row>
    <row r="13" ht="23" customHeight="1">
      <c r="A13" s="10" t="str">
        <v>EN-260909</v>
      </c>
      <c r="B13" s="10" t="str">
        <v>BS26-02</v>
      </c>
      <c r="C13" s="13" t="n">
        <v>480</v>
      </c>
      <c r="D13" s="10" t="str">
        <v>V19</v>
      </c>
      <c r="E13" s="14" t="n">
        <f>IF(D13="V19",ROUND(C13*0.19,2),0)</f>
        <v>91.2</v>
      </c>
      <c r="F13" s="14" t="n">
        <f>SUM(C13,E13)</f>
        <v>571.2</v>
      </c>
      <c r="G13" s="10" t="str">
        <v>EN-260909</v>
      </c>
    </row>
    <row r="14" ht="23" customHeight="1">
      <c r="A14" s="10" t="str">
        <v>TP-260910</v>
      </c>
      <c r="B14" s="10" t="str">
        <v>BS26-02</v>
      </c>
      <c r="C14" s="13" t="n">
        <v>1200</v>
      </c>
      <c r="D14" s="10" t="str">
        <v>V19</v>
      </c>
      <c r="E14" s="14" t="n">
        <f>IF(D14="V19",ROUND(C14*0.19,2),0)</f>
        <v>228</v>
      </c>
      <c r="F14" s="14" t="n">
        <f>SUM(C14,E14)</f>
        <v>1428</v>
      </c>
      <c r="G14" s="10" t="str">
        <v>TP-260910</v>
      </c>
    </row>
    <row r="15" ht="23" customHeight="1">
      <c r="A15" s="10" t="str">
        <v>ST-260911</v>
      </c>
      <c r="B15" s="10" t="str">
        <v>BS26-01</v>
      </c>
      <c r="C15" s="13" t="n">
        <v>600</v>
      </c>
      <c r="D15" s="10" t="str">
        <v>V19</v>
      </c>
      <c r="E15" s="14" t="n">
        <f>IF(D15="V19",ROUND(C15*0.19,2),0)</f>
        <v>114</v>
      </c>
      <c r="F15" s="14" t="n">
        <f>SUM(C15,E15)</f>
        <v>714</v>
      </c>
      <c r="G15" s="10" t="str">
        <v>ST-260911</v>
      </c>
    </row>
    <row r="16" ht="23" customHeight="1">
      <c r="A16" s="10" t="str">
        <v>TR-260912</v>
      </c>
      <c r="B16" s="10" t="str">
        <v>BS26-01</v>
      </c>
      <c r="C16" s="13" t="n">
        <v>420</v>
      </c>
      <c r="D16" s="10" t="str">
        <v>V19</v>
      </c>
      <c r="E16" s="14" t="n">
        <f>IF(D16="V19",ROUND(C16*0.19,2),0)</f>
        <v>79.8</v>
      </c>
      <c r="F16" s="14" t="n">
        <f>SUM(C16,E16)</f>
        <v>499.8</v>
      </c>
      <c r="G16" s="10" t="str">
        <v>TR-260912</v>
      </c>
    </row>
    <row r="17" ht="23" customHeight="1">
      <c r="A17" s="10" t="str">
        <v>VW-260913</v>
      </c>
      <c r="B17" s="10" t="str">
        <v>BS26-02</v>
      </c>
      <c r="C17" s="13" t="n">
        <v>950</v>
      </c>
      <c r="D17" s="10" t="str">
        <v>V19</v>
      </c>
      <c r="E17" s="14" t="n">
        <f>IF(D17="V19",ROUND(C17*0.19,2),0)</f>
        <v>180.5</v>
      </c>
      <c r="F17" s="14" t="n">
        <f>SUM(C17,E17)</f>
        <v>1130.5</v>
      </c>
      <c r="G17" s="10" t="str">
        <v>VW-260913</v>
      </c>
    </row>
    <row r="18" ht="23" customHeight="1">
      <c r="A18" s="10" t="str">
        <v>MT-260914</v>
      </c>
      <c r="B18" s="10" t="str">
        <v>BS26-02</v>
      </c>
      <c r="C18" s="13" t="n">
        <v>240</v>
      </c>
      <c r="D18" s="10" t="str">
        <v>V19</v>
      </c>
      <c r="E18" s="14" t="n">
        <f>IF(D18="V19",ROUND(C18*0.19,2),0)</f>
        <v>45.6</v>
      </c>
      <c r="F18" s="14" t="n">
        <f>SUM(C18,E18)</f>
        <v>285.6</v>
      </c>
      <c r="G18" s="10" t="str">
        <v>MT-260914</v>
      </c>
    </row>
    <row r="19" ht="23" customHeight="1">
      <c r="A19" s="10" t="str">
        <v>DZ-260915</v>
      </c>
      <c r="B19" s="10" t="str">
        <v>BS26-01</v>
      </c>
      <c r="C19" s="13" t="n">
        <v>990</v>
      </c>
      <c r="D19" s="10" t="str">
        <v>V19</v>
      </c>
      <c r="E19" s="14" t="n">
        <f>IF(D19="V19",ROUND(C19*0.19,2),0)</f>
        <v>188.1</v>
      </c>
      <c r="F19" s="14" t="n">
        <f>SUM(C19,E19)</f>
        <v>1178.1</v>
      </c>
      <c r="G19" s="10" t="str">
        <v>DZ-260915</v>
      </c>
    </row>
    <row r="20" ht="23" customHeight="1">
      <c r="A20" s="10" t="str">
        <v>HB-G260916</v>
      </c>
      <c r="B20" s="10" t="str">
        <v>BS26-01</v>
      </c>
      <c r="C20" s="13" t="n">
        <v>-200</v>
      </c>
      <c r="D20" s="10" t="str">
        <v>V19</v>
      </c>
      <c r="E20" s="14" t="n">
        <f>IF(D20="V19",ROUND(C20*0.19,2),0)</f>
        <v>-38</v>
      </c>
      <c r="F20" s="14" t="n">
        <f>SUM(C20,E20)</f>
        <v>-238</v>
      </c>
      <c r="G20" s="10" t="str">
        <v>HB-260903</v>
      </c>
    </row>
    <row r="21" ht="23" customHeight="1">
      <c r="A21" s="10" t="str">
        <v>VW-G260919</v>
      </c>
      <c r="B21" s="10" t="str">
        <v>BS26-02</v>
      </c>
      <c r="C21" s="13" t="n">
        <v>-50</v>
      </c>
      <c r="D21" s="10" t="str">
        <v>V19</v>
      </c>
      <c r="E21" s="14" t="n">
        <f>IF(D21="V19",ROUND(C21*0.19,2),0)</f>
        <v>-9.5</v>
      </c>
      <c r="F21" s="14" t="n">
        <f>SUM(C21,E21)</f>
        <v>-59.5</v>
      </c>
      <c r="G21" s="10" t="str">
        <v>VW-260913</v>
      </c>
    </row>
    <row r="22" ht="23" customHeight="1">
      <c r="A22" s="18" t="str">
        <v>Summe</v>
      </c>
      <c r="B22" s="18"/>
      <c r="C22" s="20" t="n">
        <f>SUM(C6:C21)</f>
        <v>19580</v>
      </c>
      <c r="D22" s="18"/>
      <c r="E22" s="20" t="n">
        <f>SUM(E6:E21)</f>
        <v>2200.2</v>
      </c>
      <c r="F22" s="20" t="n">
        <f>SUM(F6:F21)</f>
        <v>21780.199999999997</v>
      </c>
    </row>
    <row r="25">
      <c r="A25" t="str">
        <v>Quelle: 50 Ergänzungsjournal. RC19 enthält keine an den Lieferanten gezahlte Steuer.</v>
      </c>
    </row>
  </sheetData>
  <dataValidations count="1">
    <dataValidation type="list" sqref="D6:D21">
      <formula1>"V19,RC19"</formula1>
    </dataValidation>
  </dataValidations>
  <pageMargins left="0.3" right="0.3" top="0.35" bottom="0.35" header="0.15" footer="0.15"/>
  <pageSetup paperSize="9" orientation="landscape" fitToWidth="1" fitToHeight="1"/>
  <tableParts count="1">
    <tablePart ns1:id="Rbf225af266f2460e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4" hidden="0" customWidth="1"/>
    <col min="2" max="2" width="18" hidden="0" customWidth="1"/>
    <col min="3" max="3" width="23" hidden="0" customWidth="1"/>
    <col min="4" max="4" width="23" hidden="0" customWidth="1"/>
  </cols>
  <sheetData>
    <row r="2">
      <c r="A2" s="1" t="str">
        <v>Projektkonto Zahlungszuordnung</v>
      </c>
    </row>
    <row r="3">
      <c r="A3" s="2" t="str">
        <v>Stand 25.09.2026 | Ergänzungsstapel | Beträge in EUR</v>
      </c>
    </row>
    <row r="5" ht="34" customHeight="1">
      <c r="A5" s="7" t="str">
        <v>Bankreferenz</v>
      </c>
      <c r="B5" s="7" t="str">
        <v>Valuta</v>
      </c>
      <c r="C5" s="7" t="str">
        <v>Rechnung</v>
      </c>
      <c r="D5" s="7" t="str">
        <v>Zugeordnet EUR</v>
      </c>
    </row>
    <row r="6" ht="23" customHeight="1">
      <c r="A6" s="10" t="str">
        <v>EB-0916A</v>
      </c>
      <c r="B6" s="21" t="n">
        <v>46281</v>
      </c>
      <c r="C6" s="10" t="str">
        <v>ST-260902</v>
      </c>
      <c r="D6" s="13" t="n">
        <v>2142</v>
      </c>
    </row>
    <row r="7" ht="23" customHeight="1">
      <c r="A7" s="10" t="str">
        <v>EB-0916A</v>
      </c>
      <c r="B7" s="21" t="n">
        <v>46281</v>
      </c>
      <c r="C7" s="10" t="str">
        <v>ST-260911</v>
      </c>
      <c r="D7" s="13" t="n">
        <v>714</v>
      </c>
    </row>
    <row r="8" ht="23" customHeight="1">
      <c r="A8" s="10" t="str">
        <v>EB-0917</v>
      </c>
      <c r="B8" s="21" t="n">
        <v>46282</v>
      </c>
      <c r="C8" s="10" t="str">
        <v>HB-260903</v>
      </c>
      <c r="D8" s="13" t="n">
        <v>2618</v>
      </c>
    </row>
    <row r="9" ht="23" customHeight="1">
      <c r="A9" s="10" t="str">
        <v>EB-0918A</v>
      </c>
      <c r="B9" s="21" t="n">
        <v>46283</v>
      </c>
      <c r="C9" s="10" t="str">
        <v>EL-260904</v>
      </c>
      <c r="D9" s="13" t="n">
        <v>892.5</v>
      </c>
    </row>
    <row r="10" ht="23" customHeight="1">
      <c r="A10" s="10" t="str">
        <v>EB-0918B</v>
      </c>
      <c r="B10" s="21" t="n">
        <v>46283</v>
      </c>
      <c r="C10" s="10" t="str">
        <v>MR-260907</v>
      </c>
      <c r="D10" s="13" t="n">
        <v>500</v>
      </c>
    </row>
    <row r="11" ht="23" customHeight="1">
      <c r="A11" s="10" t="str">
        <v>EB-0921A</v>
      </c>
      <c r="B11" s="21" t="n">
        <v>46286</v>
      </c>
      <c r="C11" s="10" t="str">
        <v>GE-260908</v>
      </c>
      <c r="D11" s="13" t="n">
        <v>1309</v>
      </c>
    </row>
    <row r="12" ht="23" customHeight="1">
      <c r="A12" s="10" t="str">
        <v>EB-0921B</v>
      </c>
      <c r="B12" s="21" t="n">
        <v>46286</v>
      </c>
      <c r="C12" s="10" t="str">
        <v>EN-260909</v>
      </c>
      <c r="D12" s="13" t="n">
        <v>571.2</v>
      </c>
    </row>
    <row r="13" ht="23" customHeight="1">
      <c r="A13" s="10" t="str">
        <v>EB-0922</v>
      </c>
      <c r="B13" s="21" t="n">
        <v>46287</v>
      </c>
      <c r="C13" s="10" t="str">
        <v>TR-260912</v>
      </c>
      <c r="D13" s="13" t="n">
        <v>499.8</v>
      </c>
    </row>
    <row r="14" ht="23" customHeight="1">
      <c r="A14" s="10" t="str">
        <v>EB-0923</v>
      </c>
      <c r="B14" s="21" t="n">
        <v>46288</v>
      </c>
      <c r="C14" s="10" t="str">
        <v>VW-260913</v>
      </c>
      <c r="D14" s="13" t="n">
        <v>1071</v>
      </c>
    </row>
    <row r="15" ht="23" customHeight="1">
      <c r="A15" s="10" t="str">
        <v>EB-0924</v>
      </c>
      <c r="B15" s="21" t="n">
        <v>46289</v>
      </c>
      <c r="C15" s="10" t="str">
        <v>MT-260914</v>
      </c>
      <c r="D15" s="13" t="n">
        <v>285.6</v>
      </c>
    </row>
    <row r="16" ht="23" customHeight="1">
      <c r="A16" s="10" t="str">
        <v>EB-0925</v>
      </c>
      <c r="B16" s="21" t="n">
        <v>46290</v>
      </c>
      <c r="C16" s="10" t="str">
        <v>DZ-260915</v>
      </c>
      <c r="D16" s="13" t="n">
        <v>1178.1</v>
      </c>
    </row>
    <row r="17" ht="23" customHeight="1">
      <c r="A17" s="18" t="str">
        <v>Summe</v>
      </c>
      <c r="B17" s="18"/>
      <c r="C17" s="18"/>
      <c r="D17" s="20" t="n">
        <f>SUM(D6:D16)</f>
        <v>11781.2</v>
      </c>
    </row>
    <row r="20">
      <c r="A20" t="str">
        <v>Quelle: 57 Zahlungszuordnung. EB-0916A verteilt sich auf zwei Rechnungen.</v>
      </c>
    </row>
  </sheetData>
  <pageMargins left="0.3" right="0.3" top="0.35" bottom="0.35" header="0.15" footer="0.15"/>
  <pageSetup paperSize="9" orientation="landscape" fitToWidth="1" fitToHeight="1"/>
  <tableParts count="1">
    <tablePart ns1:id="Rdd7c7b8eb1d446b2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4" hidden="0" customWidth="1"/>
    <col min="2" max="2" width="18" hidden="0" customWidth="1"/>
    <col min="3" max="3" width="20" hidden="0" customWidth="1"/>
    <col min="4" max="4" width="22" hidden="0" customWidth="1"/>
    <col min="5" max="5" width="20" hidden="0" customWidth="1"/>
    <col min="6" max="6" width="22" hidden="0" customWidth="1"/>
  </cols>
  <sheetData>
    <row r="2">
      <c r="A2" s="1" t="str">
        <v>Projektkonto 471109</v>
      </c>
    </row>
    <row r="3">
      <c r="A3" s="2" t="str">
        <v>Stand 25.09.2026 | Ergänzungsstapel | Beträge in EUR</v>
      </c>
    </row>
    <row r="5" ht="34" customHeight="1">
      <c r="A5" s="7" t="str">
        <v>Referenz</v>
      </c>
      <c r="B5" s="7" t="str">
        <v>Valuta</v>
      </c>
      <c r="C5" s="7" t="str">
        <v>Soll EUR</v>
      </c>
      <c r="D5" s="7" t="str">
        <v>Zugeordnet EUR</v>
      </c>
      <c r="E5" s="7" t="str">
        <v>Differenz EUR</v>
      </c>
      <c r="F5" s="7" t="str">
        <v>Saldo EUR</v>
      </c>
    </row>
    <row r="6" ht="23" customHeight="1">
      <c r="A6" s="10" t="str">
        <v>EB-0916A</v>
      </c>
      <c r="B6" s="21" t="n">
        <v>46281</v>
      </c>
      <c r="C6" s="13" t="n">
        <v>2856</v>
      </c>
      <c r="D6" s="26" t="n">
        <f>SUMIFS('Zuordnung'!$D$6:$D$16,'Zuordnung'!$A$6:$A$16,A6)</f>
        <v>2856</v>
      </c>
      <c r="E6" s="14" t="n">
        <f>C6-D6</f>
        <v>0</v>
      </c>
      <c r="F6" s="14" t="n">
        <f>$B$18-C6</f>
        <v>47144</v>
      </c>
    </row>
    <row r="7" ht="23" customHeight="1">
      <c r="A7" s="10" t="str">
        <v>EB-0917</v>
      </c>
      <c r="B7" s="21" t="n">
        <v>46282</v>
      </c>
      <c r="C7" s="13" t="n">
        <v>2618</v>
      </c>
      <c r="D7" s="26" t="n">
        <f>SUMIFS('Zuordnung'!$D$6:$D$16,'Zuordnung'!$A$6:$A$16,A7)</f>
        <v>2618</v>
      </c>
      <c r="E7" s="14" t="n">
        <f>C7-D7</f>
        <v>0</v>
      </c>
      <c r="F7" s="14" t="n">
        <f>F6-C7</f>
        <v>44526</v>
      </c>
    </row>
    <row r="8" ht="23" customHeight="1">
      <c r="A8" s="10" t="str">
        <v>EB-0918A</v>
      </c>
      <c r="B8" s="21" t="n">
        <v>46283</v>
      </c>
      <c r="C8" s="13" t="n">
        <v>892.5</v>
      </c>
      <c r="D8" s="26" t="n">
        <f>SUMIFS('Zuordnung'!$D$6:$D$16,'Zuordnung'!$A$6:$A$16,A8)</f>
        <v>892.5</v>
      </c>
      <c r="E8" s="14" t="n">
        <f>C8-D8</f>
        <v>0</v>
      </c>
      <c r="F8" s="14" t="n">
        <f>F7-C8</f>
        <v>43633.5</v>
      </c>
    </row>
    <row r="9" ht="23" customHeight="1">
      <c r="A9" s="10" t="str">
        <v>EB-0918B</v>
      </c>
      <c r="B9" s="21" t="n">
        <v>46283</v>
      </c>
      <c r="C9" s="13" t="n">
        <v>500</v>
      </c>
      <c r="D9" s="26" t="n">
        <f>SUMIFS('Zuordnung'!$D$6:$D$16,'Zuordnung'!$A$6:$A$16,A9)</f>
        <v>500</v>
      </c>
      <c r="E9" s="14" t="n">
        <f>C9-D9</f>
        <v>0</v>
      </c>
      <c r="F9" s="14" t="n">
        <f>F8-C9</f>
        <v>43133.5</v>
      </c>
    </row>
    <row r="10" ht="23" customHeight="1">
      <c r="A10" s="10" t="str">
        <v>EB-0921A</v>
      </c>
      <c r="B10" s="21" t="n">
        <v>46286</v>
      </c>
      <c r="C10" s="13" t="n">
        <v>1309</v>
      </c>
      <c r="D10" s="26" t="n">
        <f>SUMIFS('Zuordnung'!$D$6:$D$16,'Zuordnung'!$A$6:$A$16,A10)</f>
        <v>1309</v>
      </c>
      <c r="E10" s="14" t="n">
        <f>C10-D10</f>
        <v>0</v>
      </c>
      <c r="F10" s="14" t="n">
        <f>F9-C10</f>
        <v>41824.5</v>
      </c>
    </row>
    <row r="11" ht="23" customHeight="1">
      <c r="A11" s="10" t="str">
        <v>EB-0921B</v>
      </c>
      <c r="B11" s="21" t="n">
        <v>46286</v>
      </c>
      <c r="C11" s="13" t="n">
        <v>571.2</v>
      </c>
      <c r="D11" s="26" t="n">
        <f>SUMIFS('Zuordnung'!$D$6:$D$16,'Zuordnung'!$A$6:$A$16,A11)</f>
        <v>571.2</v>
      </c>
      <c r="E11" s="14" t="n">
        <f>C11-D11</f>
        <v>0</v>
      </c>
      <c r="F11" s="14" t="n">
        <f>F10-C11</f>
        <v>41253.3</v>
      </c>
    </row>
    <row r="12" ht="23" customHeight="1">
      <c r="A12" s="10" t="str">
        <v>EB-0922</v>
      </c>
      <c r="B12" s="21" t="n">
        <v>46287</v>
      </c>
      <c r="C12" s="13" t="n">
        <v>499.8</v>
      </c>
      <c r="D12" s="26" t="n">
        <f>SUMIFS('Zuordnung'!$D$6:$D$16,'Zuordnung'!$A$6:$A$16,A12)</f>
        <v>499.8</v>
      </c>
      <c r="E12" s="14" t="n">
        <f>C12-D12</f>
        <v>0</v>
      </c>
      <c r="F12" s="14" t="n">
        <f>F11-C12</f>
        <v>40753.5</v>
      </c>
    </row>
    <row r="13" ht="23" customHeight="1">
      <c r="A13" s="10" t="str">
        <v>EB-0923</v>
      </c>
      <c r="B13" s="21" t="n">
        <v>46288</v>
      </c>
      <c r="C13" s="13" t="n">
        <v>1071</v>
      </c>
      <c r="D13" s="26" t="n">
        <f>SUMIFS('Zuordnung'!$D$6:$D$16,'Zuordnung'!$A$6:$A$16,A13)</f>
        <v>1071</v>
      </c>
      <c r="E13" s="14" t="n">
        <f>C13-D13</f>
        <v>0</v>
      </c>
      <c r="F13" s="14" t="n">
        <f>F12-C13</f>
        <v>39682.5</v>
      </c>
    </row>
    <row r="14" ht="23" customHeight="1">
      <c r="A14" s="10" t="str">
        <v>EB-0924</v>
      </c>
      <c r="B14" s="21" t="n">
        <v>46289</v>
      </c>
      <c r="C14" s="13" t="n">
        <v>285.6</v>
      </c>
      <c r="D14" s="26" t="n">
        <f>SUMIFS('Zuordnung'!$D$6:$D$16,'Zuordnung'!$A$6:$A$16,A14)</f>
        <v>285.6</v>
      </c>
      <c r="E14" s="14" t="n">
        <f>C14-D14</f>
        <v>0</v>
      </c>
      <c r="F14" s="14" t="n">
        <f>F13-C14</f>
        <v>39396.9</v>
      </c>
    </row>
    <row r="15" ht="23" customHeight="1">
      <c r="A15" s="10" t="str">
        <v>EB-0925</v>
      </c>
      <c r="B15" s="21" t="n">
        <v>46290</v>
      </c>
      <c r="C15" s="13" t="n">
        <v>1178.1</v>
      </c>
      <c r="D15" s="26" t="n">
        <f>SUMIFS('Zuordnung'!$D$6:$D$16,'Zuordnung'!$A$6:$A$16,A15)</f>
        <v>1178.1</v>
      </c>
      <c r="E15" s="14" t="n">
        <f>C15-D15</f>
        <v>0</v>
      </c>
      <c r="F15" s="14" t="n">
        <f>F14-C15</f>
        <v>38218.8</v>
      </c>
    </row>
    <row r="18">
      <c r="A18" t="str">
        <v>Anfangssaldo</v>
      </c>
      <c r="B18" s="22" t="n">
        <v>50000</v>
      </c>
    </row>
    <row r="19">
      <c r="A19" t="str">
        <v>Schluss laut Auszug</v>
      </c>
      <c r="B19" s="22" t="n">
        <v>38218.8</v>
      </c>
    </row>
    <row r="20">
      <c r="A20" t="str">
        <v>Abweichung zum Auszug</v>
      </c>
      <c r="B20" s="23" t="n">
        <f>F15-B19</f>
        <v>0</v>
      </c>
    </row>
    <row r="23">
      <c r="A23" t="str">
        <v>Quelle: 48 Projektkonto Bank und 49 Kontoauszug. Keine Umsätze des Betriebskontos 471108.</v>
      </c>
    </row>
  </sheetData>
  <pageMargins left="0.3" right="0.3" top="0.35" bottom="0.35" header="0.15" footer="0.15"/>
  <pageSetup paperSize="9" orientation="landscape" fitToWidth="1" fitToHeight="1"/>
  <tableParts count="1">
    <tablePart ns1:id="Rd63cb65ba8054627"/>
  </tableParts>
</worksheet>
</file>

<file path=docProps/core.xml><?xml version="1.0" encoding="utf-8"?>
<cp:coreProperties xmlns:cp="http://schemas.openxmlformats.org/package/2006/metadata/core-properties" xmlns:dc="http://purl.org/dc/elements/1.1/">
  <dc:creator>Klotzkette</dc:creator>
  <cp:lastModifiedBy>Klotzkette</cp:lastModifiedBy>
  <dc:language>de-DE</dc:language>
</cp:coreProperties>
</file>