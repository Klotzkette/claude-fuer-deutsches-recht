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f8ab98956944664" /></Relationships>
</file>

<file path=xl/workbook.xml><?xml version="1.0" encoding="utf-8"?>
<workbook xmlns="http://schemas.openxmlformats.org/spreadsheetml/2006/main" xmlns:ns1="http://schemas.openxmlformats.org/officeDocument/2006/relationships">
  <sheets>
    <sheet name="Raumwerte" sheetId="1" ns1:id="Ra43b815af3f6439c"/>
    <sheet name="Zeiträume" sheetId="2" ns1:id="Rf2fe5f7951eb4a77"/>
    <sheet name="Kontakte" sheetId="3" ns1:id="R6dce58afeffa45a3"/>
    <sheet name="Erläuterung" sheetId="4" ns1:id="R2f7a8e0abe534d71"/>
  </sheets>
  <definedNames>
    <definedName name="_xlnm.Print_Area" localSheetId="0">'Raumwerte'!A1:F9</definedName>
    <definedName name="_xlnm.Print_Titles" localSheetId="0">'Raumwerte'!$5:$5</definedName>
    <definedName name="_xlnm.Print_Area" localSheetId="1">'Zeiträume'!A1:D6</definedName>
    <definedName name="_xlnm.Print_Titles" localSheetId="1">'Zeiträume'!$5:$5</definedName>
    <definedName name="_xlnm.Print_Area" localSheetId="2">'Kontakte'!A1:D26</definedName>
    <definedName name="_xlnm.Print_Titles" localSheetId="2">'Kontakte'!$5:$5</definedName>
    <definedName name="_xlnm.Print_Area" localSheetId="3">'Erläuterung'!A1:B10</definedName>
    <definedName name="_xlnm.Print_Titles" localSheetId="3">'Erläuterung'!$5:$5</definedName>
  </definedNames>
</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yyyy-mm-dd"/>
  </x:numFmts>
  <x:fonts count="4">
    <x:font>
      <x:sz val="11"/>
      <x:name val="Carlito"/>
    </x:font>
    <x:font>
      <x:sz val="11"/>
      <x:color rgb="FF172B3A"/>
      <x:name val="Arial"/>
    </x:font>
    <x:font>
      <x:b/>
      <x:sz val="15"/>
      <x:color rgb="FF172B3A"/>
      <x:name val="Arial"/>
    </x:font>
    <x:font>
      <x:b/>
      <x:sz val="11"/>
      <x:color rgb="FFFFFFFF"/>
      <x:name val="Arial"/>
    </x:font>
  </x:fonts>
  <x:fills count="4">
    <x:fill>
      <x:patternFill patternType="none"/>
    </x:fill>
    <x:fill>
      <x:patternFill patternType="gray125"/>
    </x:fill>
    <x:fill>
      <x:patternFill patternType="solid">
        <x:fgColor rgb="FF334B62"/>
      </x:patternFill>
    </x:fill>
    <x:fill>
      <x:patternFill patternType="solid">
        <x:fgColor rgb="FFF1F4F6"/>
      </x:patternFill>
    </x:fill>
  </x:fills>
  <x:borders count="1">
    <x:border>
      <x:left/>
      <x:right/>
      <x:top/>
      <x:bottom/>
      <x:diagonal/>
    </x:border>
  </x:borders>
  <x:cellStyleXfs count="1">
    <x:xf numFmtId="0" fontId="0" fillId="0" borderId="0"/>
  </x:cellStyleXfs>
  <x:cellXfs count="13">
    <x:xf numFmtId="0" fontId="0" fillId="0" borderId="0" xfId="0"/>
    <x:xf numFmtId="0" fontId="1" fillId="0" borderId="0" xfId="0" applyNumberFormat="1" applyFont="1" applyFill="1" applyBorder="1"/>
    <x:xf numFmtId="0" fontId="2" fillId="0" borderId="0" xfId="0" applyNumberFormat="1" applyFont="1" applyFill="1" applyBorder="1"/>
    <x:xf numFmtId="0" fontId="1"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0" fontId="1"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1" fontId="1" fillId="0"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201" fontId="1" fillId="3"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ff7817cfa8f4169" /><Relationship Type="http://schemas.openxmlformats.org/officeDocument/2006/relationships/theme" Target="/xl/theme/theme1.xml" Id="R257a36b47cfa4a0e" /><Relationship Type="http://schemas.openxmlformats.org/officeDocument/2006/relationships/sharedStrings" Target="/xl/sharedStrings.xml" Id="Rf10b0359e4354998" /><Relationship Type="http://schemas.openxmlformats.org/officeDocument/2006/relationships/worksheet" Target="/xl/worksheets/sheet1.xml" Id="Ra43b815af3f6439c" /><Relationship Type="http://schemas.openxmlformats.org/officeDocument/2006/relationships/worksheet" Target="/xl/worksheets/sheet2.xml" Id="Rf2fe5f7951eb4a77" /><Relationship Type="http://schemas.openxmlformats.org/officeDocument/2006/relationships/worksheet" Target="/xl/worksheets/sheet3.xml" Id="R6dce58afeffa45a3" /><Relationship Type="http://schemas.openxmlformats.org/officeDocument/2006/relationships/worksheet" Target="/xl/worksheets/sheet4.xml" Id="R2f7a8e0abe534d7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Views>
    <sheetView showGridLines="0" workbookViewId="0">
      <pane ySplit="5" topLeftCell="A6" activePane="bottomLeft" state="frozen"/>
    </sheetView>
  </sheetViews>
  <sheetFormatPr defaultRowHeight="15"/>
  <cols>
    <col min="1" max="1" width="38" hidden="0" customWidth="1"/>
    <col min="2" max="2" width="19" hidden="0" customWidth="1"/>
    <col min="3" max="3" width="19" hidden="0" customWidth="1"/>
    <col min="4" max="4" width="15" hidden="0" customWidth="1"/>
    <col min="5" max="5" width="22" hidden="0" customWidth="1"/>
    <col min="6" max="6" width="24" hidden="0" customWidth="1"/>
  </cols>
  <sheetData>
    <row r="1">
      <c r="A1" s="1"/>
      <c r="B1" s="1"/>
      <c r="C1" s="1"/>
      <c r="D1" s="1"/>
      <c r="E1" s="1"/>
      <c r="F1" s="1"/>
    </row>
    <row r="2" ht="27" customHeight="1">
      <c r="A2" s="2" t="str">
        <v>Technische Flächenberechnung</v>
      </c>
      <c r="B2" s="1"/>
      <c r="C2" s="1"/>
      <c r="D2" s="1"/>
      <c r="E2" s="1"/>
      <c r="F2" s="1"/>
    </row>
    <row r="3">
      <c r="A3" s="1"/>
      <c r="B3" s="1"/>
      <c r="C3" s="1"/>
      <c r="D3" s="1"/>
      <c r="E3" s="1"/>
      <c r="F3" s="1"/>
    </row>
    <row r="4">
      <c r="A4" s="1"/>
      <c r="B4" s="1"/>
      <c r="C4" s="1"/>
      <c r="D4" s="1"/>
      <c r="E4" s="1"/>
      <c r="F4" s="1"/>
    </row>
    <row r="5" ht="31" customHeight="1">
      <c r="A5" s="6" t="str">
        <v>Planstand</v>
      </c>
      <c r="B5" s="6" t="str">
        <v>Gesamt m²</v>
      </c>
      <c r="C5" s="6" t="str">
        <v>Sanitär m²</v>
      </c>
      <c r="D5" s="6" t="str">
        <v>Personen</v>
      </c>
      <c r="E5" s="6" t="str">
        <v>Restfläche m²</v>
      </c>
      <c r="F5" s="6" t="str">
        <v>Rest je Person m²</v>
      </c>
    </row>
    <row r="6" ht="42" customHeight="1">
      <c r="A6" s="8" t="str">
        <v>S 4 Bestandsplan</v>
      </c>
      <c r="B6" s="9" t="n">
        <v>10.26</v>
      </c>
      <c r="C6" s="9" t="n">
        <v>1.55</v>
      </c>
      <c r="D6" s="8" t="n">
        <v>1</v>
      </c>
      <c r="E6" s="9" t="n">
        <f>B6-C6</f>
        <v>8.709999999999999</v>
      </c>
      <c r="F6" s="9" t="n">
        <f>IF(D6&gt;0,E6/D6,"Personenzahl fehlt")</f>
        <v>8.709999999999999</v>
      </c>
    </row>
    <row r="9" ht="47" customHeight="1">
      <c r="A9" t="str">
        <v>Quelle</v>
      </c>
      <c r="B9" t="str">
        <v>20_Raumblatt_und_Uebergaben.pdf</v>
      </c>
    </row>
  </sheetData>
  <mergeCells>
    <mergeCell ref="B9:F9"/>
  </mergeCells>
  <pageMargins left="0.3" right="0.3" top="0.3" bottom="0.3" header="0.15" footer="0.15"/>
  <pageSetup orientation="landscape" paperSize="9" fitToWidth="1" fitToHeight="0"/>
</worksheet>
</file>

<file path=xl/worksheets/sheet2.xml><?xml version="1.0" encoding="utf-8"?>
<worksheet xmlns="http://schemas.openxmlformats.org/spreadsheetml/2006/main">
  <sheetViews>
    <sheetView showGridLines="0" workbookViewId="0">
      <pane ySplit="5" topLeftCell="A6" activePane="bottomLeft" state="frozen"/>
    </sheetView>
  </sheetViews>
  <sheetFormatPr defaultRowHeight="15"/>
  <cols>
    <col min="1" max="1" width="18" hidden="0" customWidth="1"/>
    <col min="2" max="2" width="25" hidden="0" customWidth="1"/>
    <col min="3" max="3" width="16" hidden="0" customWidth="1"/>
    <col min="4" max="4" width="91" hidden="0" customWidth="1"/>
  </cols>
  <sheetData>
    <row r="1">
      <c r="A1" s="1"/>
      <c r="B1" s="1"/>
      <c r="C1" s="1"/>
      <c r="D1" s="1"/>
    </row>
    <row r="2" ht="27" customHeight="1">
      <c r="A2" s="2" t="str">
        <v>Kalenderdaten der Unterbringung</v>
      </c>
      <c r="B2" s="1"/>
      <c r="C2" s="1"/>
      <c r="D2" s="1"/>
    </row>
    <row r="3">
      <c r="A3" s="1"/>
      <c r="B3" s="1"/>
      <c r="C3" s="1"/>
      <c r="D3" s="1"/>
    </row>
    <row r="4">
      <c r="A4" s="1"/>
      <c r="B4" s="1"/>
      <c r="C4" s="1"/>
      <c r="D4" s="1"/>
    </row>
    <row r="5" ht="31" customHeight="1">
      <c r="A5" s="6" t="str">
        <v>Von</v>
      </c>
      <c r="B5" s="6" t="str">
        <v>Bis Stand oder Wechsel</v>
      </c>
      <c r="C5" s="6" t="str">
        <v>Personen</v>
      </c>
      <c r="D5" s="6" t="str">
        <v>Dokumentierter Ablauf</v>
      </c>
    </row>
    <row r="6" ht="42" customHeight="1">
      <c r="A6" s="10" t="n">
        <v>46274</v>
      </c>
      <c r="B6" s="10" t="n">
        <v>46311</v>
      </c>
      <c r="C6" s="8" t="n">
        <v>1</v>
      </c>
      <c r="D6" s="8" t="str">
        <v>Absonderung; Ende offen; Tabelle nur bis Stichtag</v>
      </c>
    </row>
  </sheetData>
  <pageMargins left="0.3" right="0.3" top="0.3" bottom="0.3" header="0.15" footer="0.15"/>
  <pageSetup orientation="landscape" paperSize="9" fitToWidth="1" fitToHeight="0"/>
</worksheet>
</file>

<file path=xl/worksheets/sheet3.xml><?xml version="1.0" encoding="utf-8"?>
<worksheet xmlns="http://schemas.openxmlformats.org/spreadsheetml/2006/main">
  <sheetViews>
    <sheetView showGridLines="0" workbookViewId="0">
      <pane ySplit="5" topLeftCell="A6" activePane="bottomLeft" state="frozen"/>
    </sheetView>
  </sheetViews>
  <sheetFormatPr defaultRowHeight="15"/>
  <cols>
    <col min="1" max="1" width="18" hidden="0" customWidth="1"/>
    <col min="2" max="2" width="23" hidden="0" customWidth="1"/>
    <col min="3" max="3" width="24" hidden="0" customWidth="1"/>
    <col min="4" max="4" width="89" hidden="0" customWidth="1"/>
  </cols>
  <sheetData>
    <row r="1">
      <c r="A1" s="1"/>
      <c r="B1" s="1"/>
      <c r="C1" s="1"/>
      <c r="D1" s="1"/>
    </row>
    <row r="2" ht="27" customHeight="1">
      <c r="A2" s="2" t="str">
        <v>Übertragene Kontakt und Öffnungsminuten</v>
      </c>
      <c r="B2" s="1"/>
      <c r="C2" s="1"/>
      <c r="D2" s="1"/>
    </row>
    <row r="3">
      <c r="A3" s="1"/>
      <c r="B3" s="1"/>
      <c r="C3" s="1"/>
      <c r="D3" s="1"/>
    </row>
    <row r="4">
      <c r="A4" s="1"/>
      <c r="B4" s="1"/>
      <c r="C4" s="1"/>
      <c r="D4" s="1"/>
    </row>
    <row r="5" ht="31" customHeight="1">
      <c r="A5" s="6" t="str">
        <v>Datum</v>
      </c>
      <c r="B5" s="6" t="str">
        <v>Kontaktminuten</v>
      </c>
      <c r="C5" s="6" t="str">
        <v>Minuten außerhalb</v>
      </c>
      <c r="D5" s="6" t="str">
        <v>Beleg oder Lücke</v>
      </c>
    </row>
    <row r="6" ht="42" customHeight="1">
      <c r="A6" s="10" t="n">
        <v>46274</v>
      </c>
      <c r="B6" s="8" t="n">
        <v>0</v>
      </c>
      <c r="C6" s="8" t="n">
        <v>0</v>
      </c>
      <c r="D6" s="8" t="str">
        <v>Anordnung/Stationsübernahme S-0909</v>
      </c>
    </row>
    <row r="7" ht="42" customHeight="1">
      <c r="A7" s="12" t="n">
        <v>46275</v>
      </c>
      <c r="B7" s="11" t="n">
        <v>10</v>
      </c>
      <c r="C7" s="11" t="n">
        <v>45</v>
      </c>
      <c r="D7" s="11" t="str">
        <v>S-0910; Türkontakt, kein geplanter Sozialtermin</v>
      </c>
    </row>
    <row r="8" ht="42" customHeight="1">
      <c r="A8" s="10" t="n">
        <v>46276</v>
      </c>
      <c r="B8" s="8" t="n">
        <v>5</v>
      </c>
      <c r="C8" s="8" t="n">
        <v>60</v>
      </c>
      <c r="D8" s="8" t="str">
        <v>S-0911</v>
      </c>
    </row>
    <row r="9" ht="42" customHeight="1">
      <c r="A9" s="12" t="n">
        <v>46277</v>
      </c>
      <c r="B9" s="11" t="n">
        <v>5</v>
      </c>
      <c r="C9" s="11" t="n">
        <v>0</v>
      </c>
      <c r="D9" s="11" t="str">
        <v>S-0912; Angebot vom Gefangenen abgelehnt</v>
      </c>
    </row>
    <row r="10" ht="42" customHeight="1">
      <c r="A10" s="10" t="n">
        <v>46278</v>
      </c>
      <c r="B10" s="8"/>
      <c r="C10" s="8"/>
      <c r="D10" s="8" t="str">
        <v>S-0913 fehlt im übertragenen Auszug</v>
      </c>
    </row>
    <row r="11" ht="42" customHeight="1">
      <c r="A11" s="12" t="n">
        <v>46279</v>
      </c>
      <c r="B11" s="11"/>
      <c r="C11" s="11"/>
      <c r="D11" s="11" t="str">
        <v>S-0914 fehlt; Gefangener behauptet Wunsch</v>
      </c>
    </row>
    <row r="12" ht="42" customHeight="1">
      <c r="A12" s="10" t="n">
        <v>46282</v>
      </c>
      <c r="B12" s="8" t="n">
        <v>35</v>
      </c>
      <c r="C12" s="8" t="n">
        <v>60</v>
      </c>
      <c r="D12" s="8" t="str">
        <v>Sozialdiensttermin laut eigener Nachricht</v>
      </c>
    </row>
    <row r="13" ht="42" customHeight="1">
      <c r="A13" s="12" t="n">
        <v>46286</v>
      </c>
      <c r="B13" s="11" t="n">
        <v>10</v>
      </c>
      <c r="C13" s="11" t="n">
        <v>60</v>
      </c>
      <c r="D13" s="11" t="str">
        <v>S-0921</v>
      </c>
    </row>
    <row r="14" ht="42" customHeight="1">
      <c r="A14" s="10" t="n">
        <v>46289</v>
      </c>
      <c r="B14" s="8" t="n">
        <v>5</v>
      </c>
      <c r="C14" s="8" t="n">
        <v>45</v>
      </c>
      <c r="D14" s="8" t="str">
        <v>S-0924</v>
      </c>
    </row>
    <row r="15" ht="42" customHeight="1">
      <c r="A15" s="12" t="n">
        <v>46294</v>
      </c>
      <c r="B15" s="11" t="n">
        <v>20</v>
      </c>
      <c r="C15" s="11" t="n">
        <v>60</v>
      </c>
      <c r="D15" s="11" t="str">
        <v>Telefonat, Datum durch Familie korrigiert</v>
      </c>
    </row>
    <row r="16" ht="42" customHeight="1">
      <c r="A16" s="10" t="n">
        <v>46296</v>
      </c>
      <c r="B16" s="8" t="n">
        <v>10</v>
      </c>
      <c r="C16" s="8" t="n">
        <v>60</v>
      </c>
      <c r="D16" s="8" t="str">
        <v>S-1001</v>
      </c>
    </row>
    <row r="17" ht="42" customHeight="1">
      <c r="A17" s="12" t="n">
        <v>46299</v>
      </c>
      <c r="B17" s="11" t="n">
        <v>5</v>
      </c>
      <c r="C17" s="11" t="n">
        <v>0</v>
      </c>
      <c r="D17" s="11" t="str">
        <v>S-1004; keine Begründung übertragen</v>
      </c>
    </row>
    <row r="18" ht="42" customHeight="1">
      <c r="A18" s="10" t="n">
        <v>46301</v>
      </c>
      <c r="B18" s="8" t="n">
        <v>15</v>
      </c>
      <c r="C18" s="8" t="n">
        <v>60</v>
      </c>
      <c r="D18" s="8" t="str">
        <v>Sozialdienst nennt kurzes Gespräch</v>
      </c>
    </row>
    <row r="19" ht="42" customHeight="1">
      <c r="A19" s="12" t="n">
        <v>46303</v>
      </c>
      <c r="B19" s="11" t="n">
        <v>5</v>
      </c>
      <c r="C19" s="11" t="n">
        <v>60</v>
      </c>
      <c r="D19" s="11" t="str">
        <v>S-1008</v>
      </c>
    </row>
    <row r="20" ht="42" customHeight="1">
      <c r="A20" s="10" t="n">
        <v>46304</v>
      </c>
      <c r="B20" s="8" t="n">
        <v>10</v>
      </c>
      <c r="C20" s="8" t="n">
        <v>60</v>
      </c>
      <c r="D20" s="8" t="str">
        <v>S-1009</v>
      </c>
    </row>
    <row r="21" ht="42" customHeight="1">
      <c r="A21" s="12" t="n">
        <v>46307</v>
      </c>
      <c r="B21" s="11"/>
      <c r="C21" s="11" t="n">
        <v>60</v>
      </c>
      <c r="D21" s="11" t="str">
        <v>Kontaktminuten nicht eingetragen</v>
      </c>
    </row>
    <row r="22" ht="42" customHeight="1">
      <c r="A22" s="10" t="n">
        <v>46310</v>
      </c>
      <c r="B22" s="8" t="n">
        <v>43</v>
      </c>
      <c r="C22" s="8" t="n">
        <v>60</v>
      </c>
      <c r="D22" s="8" t="str">
        <v>Anwaltsbesuch 14.05 bis 14.48</v>
      </c>
    </row>
    <row r="23" ht="42" customHeight="1">
      <c r="A23" s="12" t="n">
        <v>46311</v>
      </c>
      <c r="B23" s="11"/>
      <c r="C23" s="11"/>
      <c r="D23" s="11" t="str">
        <v>Laufender Tag; keine vollständige Erfassung</v>
      </c>
    </row>
    <row r="25" ht="52" customHeight="1">
      <c r="A25" s="8" t="str">
        <v>Erfasste Minuten</v>
      </c>
      <c r="B25" s="8" t="n">
        <f>SUM(B6:B23)</f>
        <v>178</v>
      </c>
      <c r="C25" s="8" t="n">
        <f>SUM(C6:C23)</f>
        <v>690</v>
      </c>
      <c r="D25" s="8" t="str">
        <v>Nur vorhandene Einträge; fehlende Tage nicht aufgefüllt</v>
      </c>
    </row>
    <row r="26" ht="52" customHeight="1">
      <c r="A26" s="8" t="str">
        <v>Fehlende Felder</v>
      </c>
      <c r="B26" s="8" t="n">
        <f>COUNTBLANK(B6:B23)</f>
        <v>4</v>
      </c>
      <c r="C26" s="8" t="n">
        <f>COUNTBLANK(C6:C23)</f>
        <v>3</v>
      </c>
      <c r="D26" s="8" t="str">
        <v>Leere Felder sind unbekannt und keine Nullwerte</v>
      </c>
    </row>
  </sheetData>
  <pageMargins left="0.3" right="0.3" top="0.3" bottom="0.3" header="0.15" footer="0.15"/>
  <pageSetup orientation="landscape" paperSize="9" fitToWidth="1" fitToHeight="0"/>
</worksheet>
</file>

<file path=xl/worksheets/sheet4.xml><?xml version="1.0" encoding="utf-8"?>
<worksheet xmlns="http://schemas.openxmlformats.org/spreadsheetml/2006/main">
  <sheetViews>
    <sheetView showGridLines="0" workbookViewId="0">
      <pane ySplit="5" topLeftCell="A6" activePane="bottomLeft" state="frozen"/>
    </sheetView>
  </sheetViews>
  <sheetFormatPr defaultRowHeight="15"/>
  <cols>
    <col min="1" max="1" width="26" hidden="0" customWidth="1"/>
    <col min="2" max="2" width="97" hidden="0" customWidth="1"/>
  </cols>
  <sheetData>
    <row r="1">
      <c r="A1" s="1"/>
      <c r="B1" s="1"/>
    </row>
    <row r="2" ht="27" customHeight="1">
      <c r="A2" s="2" t="str">
        <v>Hinweise zur Benutzung</v>
      </c>
      <c r="B2" s="1"/>
    </row>
    <row r="3">
      <c r="A3" s="1"/>
      <c r="B3" s="1"/>
    </row>
    <row r="4">
      <c r="A4" s="1"/>
      <c r="B4" s="1"/>
    </row>
    <row r="5" ht="31" customHeight="1">
      <c r="A5" s="6" t="str">
        <v>Thema</v>
      </c>
      <c r="B5" s="6" t="str">
        <v>Erläuterung</v>
      </c>
    </row>
    <row r="6" ht="68" customHeight="1">
      <c r="A6" s="8" t="str">
        <v>Herkunft</v>
      </c>
      <c r="B6" s="8" t="str">
        <v>Arbeitsauszug der fiktiven Anstalt aus Raumblatt, Belegungsdienst und Stationsjournal. Es handelt sich nicht um eine vollständige Gesundheits- oder Vollzugsakte.</v>
      </c>
    </row>
    <row r="7" ht="68" customHeight="1">
      <c r="A7" s="11" t="str">
        <v>Messwerte</v>
      </c>
      <c r="B7" s="11" t="str">
        <v>Die Raumwerte werden aus dem jeweils bezeichneten Plan übernommen. Gesamtfläche minus Sanitärfläche ist eine technische Rechengröße. Es gibt keine automatische rechtliche Ampel.</v>
      </c>
    </row>
    <row r="8" ht="68" customHeight="1">
      <c r="A8" s="8" t="str">
        <v>Zeiträume</v>
      </c>
      <c r="B8" s="8" t="str">
        <v>Der Stationsauszug enthält nur die übertragenen Tage, keine lückenlose Tagesdokumentation. Türkontakte, Telefonat, Sozialdienst und anwaltlicher Besuch sind verschiedenartige Kontakte. Eine Summe ist keine Qualitätsbewertung. Fehlende Minuten bleiben leer. Die laufende Absonderung endet nicht automatisch am Tabellenstichtag.</v>
      </c>
    </row>
    <row r="9" ht="68" customHeight="1">
      <c r="A9" s="11" t="str">
        <v>Fehlende Einträge</v>
      </c>
      <c r="B9" s="11" t="str">
        <v>Leere Kontakt- oder Öffnungsminuten werden nicht als null summiert. Eine Null steht für einen dokumentierten Nullwert. Ein fehlender Tag ist nicht durch einen Nachbartag zu ersetzen.</v>
      </c>
    </row>
    <row r="10" ht="68" customHeight="1">
      <c r="A10" s="8" t="str">
        <v>Nächster Schritt</v>
      </c>
      <c r="B10" s="8" t="str">
        <v>Fehlende Journalauszüge, aktuelle Anordnungen und konkrete Alternativen anfordern. Die Rechnung ersetzt keine Prüfung von Landesrecht, Schutzbedarf, Privatheit oder Rechtsschutz.</v>
      </c>
    </row>
  </sheetData>
  <pageMargins left="0.3" right="0.3" top="0.3" bottom="0.3" header="0.15" footer="0.15"/>
  <pageSetup orientation="landscape" paperSize="9" fitToWidth="1" fitToHeight="0"/>
</worksheet>
</file>