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b259248e7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werte" sheetId="1" r:id="R7fb018967ca245ed"/>
    <x:sheet xmlns:r="http://schemas.openxmlformats.org/officeDocument/2006/relationships" name="Aufwand" sheetId="2" r:id="R5300a144e79647ab"/>
    <x:sheet xmlns:r="http://schemas.openxmlformats.org/officeDocument/2006/relationships" name="Nachweise" sheetId="3" r:id="R4ccb436205af4938"/>
  </x:sheets>
  <x:definedNames>
    <x:definedName name="_xlnm.Print_Area" localSheetId="0">'Testwerte'!$A$1:$F$20</x:definedName>
    <x:definedName name="_xlnm.Print_Area" localSheetId="1">'Aufwand'!$A$1:$F$20</x:definedName>
    <x:definedName name="_xlnm.Print_Area" localSheetId="2">'Nachweise'!$A$1:$F$20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#,##0.00"/>
  </x:numFmts>
  <x:fonts count="7">
    <x:font>
      <x:sz val="11"/>
      <x:name val="Carlito"/>
    </x:font>
    <x:font>
      <x:sz val="11"/>
      <x:color rgb="FF172331"/>
      <x:name val="Arial"/>
    </x:font>
    <x:font>
      <x:b/>
      <x:sz val="15"/>
      <x:color rgb="FF172331"/>
      <x:name val="Arial"/>
    </x:font>
    <x:font>
      <x:sz val="10"/>
      <x:color rgb="FF465460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b/>
      <x:sz val="11"/>
      <x:color rgb="FF17233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C68"/>
      </x:patternFill>
    </x:fill>
    <x:fill>
      <x:patternFill patternType="solid">
        <x:fgColor rgb="FFE9EE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b4c122dbf4bee" /><Relationship Type="http://schemas.openxmlformats.org/officeDocument/2006/relationships/theme" Target="/xl/theme/theme1.xml" Id="R9f0705c41db643c9" /><Relationship Type="http://schemas.openxmlformats.org/officeDocument/2006/relationships/sharedStrings" Target="/xl/sharedStrings.xml" Id="Raaca4c0356e943eb" /><Relationship Type="http://schemas.openxmlformats.org/officeDocument/2006/relationships/worksheet" Target="/xl/worksheets/sheet1.xml" Id="R7fb018967ca245ed" /><Relationship Type="http://schemas.openxmlformats.org/officeDocument/2006/relationships/worksheet" Target="/xl/worksheets/sheet2.xml" Id="R5300a144e79647ab" /><Relationship Type="http://schemas.openxmlformats.org/officeDocument/2006/relationships/worksheet" Target="/xl/worksheets/sheet3.xml" Id="R4ccb436205af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22" hidden="0" customWidth="1"/>
    <x:col min="5" max="5" width="21" hidden="0" customWidth="1"/>
    <x:col min="6" max="6" width="2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Eichengrund Testumfang</x:v>
      </x:c>
      <x:c r="B2" s="2"/>
      <x:c r="C2" s="2"/>
      <x:c r="D2" s="2"/>
      <x:c r="E2" s="2"/>
      <x:c r="F2" s="2"/>
    </x:row>
    <x:row r="3" ht="29" customHeight="1">
      <x:c r="A3" s="5" t="str">
        <x:v>Aktenstand 09.10.2026. Blaue Werte sind Eingaben; schwarze Werte sind Formeln.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36" customHeight="1">
      <x:c r="A5" s="9" t="str">
        <x:v>Testgruppe</x:v>
      </x:c>
      <x:c r="B5" s="9" t="str">
        <x:v>Planfälle</x:v>
      </x:c>
      <x:c r="C5" s="9" t="str">
        <x:v>Ausgeführt</x:v>
      </x:c>
      <x:c r="D5" s="9" t="str">
        <x:v>Abweichungen</x:v>
      </x:c>
      <x:c r="E5" s="9" t="str">
        <x:v>Planabdeckung</x:v>
      </x:c>
      <x:c r="F5" s="9" t="str">
        <x:v>Abweichungsanteil</x:v>
      </x:c>
    </x:row>
    <x:row r="6" ht="36" customHeight="1">
      <x:c r="A6" s="10" t="str">
        <x:v>Disposition Tag</x:v>
      </x:c>
      <x:c r="B6" s="21" t="n">
        <x:v>120</x:v>
      </x:c>
      <x:c r="C6" s="21" t="n">
        <x:v>120</x:v>
      </x:c>
      <x:c r="D6" s="21" t="n">
        <x:v>8</x:v>
      </x:c>
      <x:c r="E6" s="22" t="n">
        <x:f>IF(COUNT(B6)=0,"offen",IF(B6=0,"kein Plan",C6/B6))</x:f>
        <x:v>1</x:v>
      </x:c>
      <x:c r="F6" s="22" t="n">
        <x:f>IF(COUNT(C6)=0,"offen",IF(C6=0,"nicht geprüft",D6/C6))</x:f>
        <x:v>0.06666666666666667</x:v>
      </x:c>
    </x:row>
    <x:row r="7" ht="36" customHeight="1">
      <x:c r="A7" s="10" t="str">
        <x:v>Disposition Nacht</x:v>
      </x:c>
      <x:c r="B7" s="21" t="n">
        <x:v>60</x:v>
      </x:c>
      <x:c r="C7" s="21" t="n">
        <x:v>0</x:v>
      </x:c>
      <x:c r="D7" s="21" t="n">
        <x:v>0</x:v>
      </x:c>
      <x:c r="E7" s="22" t="n">
        <x:f>IF(COUNT(B7)=0,"offen",IF(B7=0,"kein Plan",C7/B7))</x:f>
        <x:v>0</x:v>
      </x:c>
      <x:c r="F7" s="22" t="str">
        <x:f>IF(COUNT(C7)=0,"offen",IF(C7=0,"nicht geprüft",D7/C7))</x:f>
        <x:v>nicht geprüft</x:v>
      </x:c>
    </x:row>
    <x:row r="8" ht="36" customHeight="1">
      <x:c r="A8" s="10" t="str">
        <x:v>Personaloption</x:v>
      </x:c>
      <x:c r="B8" s="21" t="n">
        <x:v>40</x:v>
      </x:c>
      <x:c r="C8" s="21" t="n">
        <x:v>40</x:v>
      </x:c>
      <x:c r="D8" s="21" t="n">
        <x:v>11</x:v>
      </x:c>
      <x:c r="E8" s="22" t="n">
        <x:f>IF(COUNT(B8)=0,"offen",IF(B8=0,"kein Plan",C8/B8))</x:f>
        <x:v>1</x:v>
      </x:c>
      <x:c r="F8" s="22" t="n">
        <x:f>IF(COUNT(C8)=0,"offen",IF(C8=0,"nicht geprüft",D8/C8))</x:f>
        <x:v>0.275</x:v>
      </x:c>
    </x:row>
    <x:row r="9" ht="36" customHeight="1">
      <x:c r="A9" s="10" t="str">
        <x:v>S1 beleuchtet</x:v>
      </x:c>
      <x:c r="B9" s="21" t="n">
        <x:v>75</x:v>
      </x:c>
      <x:c r="C9" s="21" t="n">
        <x:v>75</x:v>
      </x:c>
      <x:c r="D9" s="21" t="n">
        <x:v>3</x:v>
      </x:c>
      <x:c r="E9" s="22" t="n">
        <x:f>IF(COUNT(B9)=0,"offen",IF(B9=0,"kein Plan",C9/B9))</x:f>
        <x:v>1</x:v>
      </x:c>
      <x:c r="F9" s="22" t="n">
        <x:f>IF(COUNT(C9)=0,"offen",IF(C9=0,"nicht geprüft",D9/C9))</x:f>
        <x:v>0.04</x:v>
      </x:c>
    </x:row>
    <x:row r="10" ht="36" customHeight="1">
      <x:c r="A10" s="10" t="str">
        <x:v>S1 Nacht</x:v>
      </x:c>
      <x:c r="B10" s="21" t="n">
        <x:v>25</x:v>
      </x:c>
      <x:c r="C10" s="21" t="n">
        <x:v>0</x:v>
      </x:c>
      <x:c r="D10" s="21" t="n">
        <x:v>0</x:v>
      </x:c>
      <x:c r="E10" s="22" t="n">
        <x:f>IF(COUNT(B10)=0,"offen",IF(B10=0,"kein Plan",C10/B10))</x:f>
        <x:v>0</x:v>
      </x:c>
      <x:c r="F10" s="22" t="str">
        <x:f>IF(COUNT(C10)=0,"offen",IF(C10=0,"nicht geprüft",D10/C10))</x:f>
        <x:v>nicht geprüft</x:v>
      </x:c>
    </x:row>
    <x:row r="11" ht="23" customHeight="1">
      <x:c r="A11" s="2"/>
      <x:c r="B11" s="23"/>
      <x:c r="C11" s="23"/>
      <x:c r="D11" s="23"/>
      <x:c r="E11" s="23"/>
      <x:c r="F11" s="23"/>
    </x:row>
    <x:row r="12" ht="27" customHeight="1">
      <x:c r="A12" s="13" t="str">
        <x:v>Umfangskontrolle ohne rechtliche Gesamtbewertung</x:v>
      </x:c>
      <x:c r="B12" s="24"/>
      <x:c r="C12" s="24"/>
      <x:c r="D12" s="24"/>
      <x:c r="E12" s="24"/>
      <x:c r="F12" s="24"/>
    </x:row>
    <x:row r="13" ht="23" customHeight="1">
      <x:c r="A13" s="2" t="str">
        <x:v>Planfälle insgesamt</x:v>
      </x:c>
      <x:c r="B13" s="23" t="n">
        <x:f>SUM(B6:B10)</x:f>
        <x:v>320</x:v>
      </x:c>
      <x:c r="C13" s="23" t="str">
        <x:v>Ausgeführt insgesamt</x:v>
      </x:c>
      <x:c r="D13" s="23" t="n">
        <x:f>SUM(C6:C10)</x:f>
        <x:v>235</x:v>
      </x:c>
      <x:c r="E13" s="23"/>
      <x:c r="F13" s="23"/>
    </x:row>
    <x:row r="14" ht="23" customHeight="1">
      <x:c r="A14" s="2" t="str">
        <x:v>Noch nicht ausgeführt</x:v>
      </x:c>
      <x:c r="B14" s="23" t="n">
        <x:f>B13-D13</x:f>
        <x:v>85</x:v>
      </x:c>
      <x:c r="C14" s="23" t="str">
        <x:v>Kontrolle Umfang</x:v>
      </x:c>
      <x:c r="D14" s="23" t="str">
        <x:f>IF(D13&lt;=B13,"plausibel","Plan prüfen")</x:f>
        <x:v>plausibel</x:v>
      </x:c>
      <x:c r="E14" s="23"/>
      <x:c r="F14" s="23"/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9" customHeight="1">
      <x:c r="A17" s="5" t="str">
        <x:v>Fiktive und isolierte Testdaten; keine echte Personalentscheidung oder Gefährdung.</x:v>
      </x:c>
      <x:c r="B17" s="2"/>
      <x:c r="C17" s="2"/>
      <x:c r="D17" s="2"/>
      <x:c r="E17" s="2"/>
      <x:c r="F17" s="2"/>
    </x:row>
    <x:row r="18" ht="29" customHeight="1">
      <x:c r="A18" s="5" t="str">
        <x:v>Abweichung je Zeile unterschiedlich definiert. Quoten nicht als einheitliches Gütesiegel addieren.</x:v>
      </x:c>
      <x:c r="B18" s="2"/>
      <x:c r="C18" s="2"/>
      <x:c r="D18" s="2"/>
      <x:c r="E18" s="2"/>
      <x:c r="F18" s="2"/>
    </x:row>
    <x:row r="19" ht="29" customHeight="1">
      <x:c r="A19" s="5" t="str">
        <x:v>Quellen: Dokumente 02, 03 und 05. Planmenge ist kein Nachweis ausgeführter Tests.</x:v>
      </x:c>
      <x:c r="B19" s="2"/>
      <x:c r="C19" s="2"/>
      <x:c r="D19" s="2"/>
      <x:c r="E19" s="2"/>
      <x:c r="F19" s="2"/>
    </x:row>
    <x:row r="20" ht="29" customHeight="1">
      <x:c r="A20" s="5" t="str">
        <x:v>Prüfwerte kontrollieren Zählung und Umfang. Sie bescheinigen keine rechtliche oder technische Freigabe.</x:v>
      </x:c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</x:sheetData>
  <x:mergeCells>
    <x:mergeCell ref="A3:F3"/>
    <x:mergeCell ref="A12:F12"/>
    <x:mergeCell ref="A17:F17"/>
    <x:mergeCell ref="A18:F18"/>
    <x:mergeCell ref="A19:F19"/>
    <x:mergeCell ref="A20:F20"/>
  </x:mergeCells>
  <x:pageMargins left="0.3" right="0.3" top="0.35" bottom="0.35" header="0.15" footer="0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22" hidden="0" customWidth="1"/>
    <x:col min="5" max="5" width="21" hidden="0" customWidth="1"/>
    <x:col min="6" max="6" width="2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Eichengrund Angebotsrechnung</x:v>
      </x:c>
      <x:c r="B2" s="2"/>
      <x:c r="C2" s="2"/>
      <x:c r="D2" s="2"/>
      <x:c r="E2" s="2"/>
      <x:c r="F2" s="2"/>
    </x:row>
    <x:row r="3" ht="29" customHeight="1">
      <x:c r="A3" s="5" t="str">
        <x:v>Aktenstand 09.10.2026. Blaue Werte sind Eingaben; schwarze Werte sind Formeln.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36" customHeight="1">
      <x:c r="A5" s="9" t="str">
        <x:v>Position</x:v>
      </x:c>
      <x:c r="B5" s="9" t="str">
        <x:v>Anzahl</x:v>
      </x:c>
      <x:c r="C5" s="9" t="str">
        <x:v>Preis netto EUR</x:v>
      </x:c>
      <x:c r="D5" s="9" t="str">
        <x:v>Perioden</x:v>
      </x:c>
      <x:c r="E5" s="9" t="str">
        <x:v>Summe netto EUR</x:v>
      </x:c>
      <x:c r="F5" s="9" t="str">
        <x:v>Art</x:v>
      </x:c>
    </x:row>
    <x:row r="6" ht="36" customHeight="1">
      <x:c r="A6" s="10" t="str">
        <x:v>Disposition monatlich</x:v>
      </x:c>
      <x:c r="B6" s="21" t="n">
        <x:v>1</x:v>
      </x:c>
      <x:c r="C6" s="25" t="n">
        <x:v>720</x:v>
      </x:c>
      <x:c r="D6" s="21" t="n">
        <x:v>3</x:v>
      </x:c>
      <x:c r="E6" s="26" t="n">
        <x:f>ROUND(B6*C6*D6,2)</x:f>
        <x:v>2160</x:v>
      </x:c>
      <x:c r="F6" s="10" t="str">
        <x:v>monatlich</x:v>
      </x:c>
    </x:row>
    <x:row r="7" ht="36" customHeight="1">
      <x:c r="A7" s="10" t="str">
        <x:v>Personaloption Vorbereitung</x:v>
      </x:c>
      <x:c r="B7" s="21" t="n">
        <x:v>1</x:v>
      </x:c>
      <x:c r="C7" s="25" t="n">
        <x:v>1500</x:v>
      </x:c>
      <x:c r="D7" s="21" t="n">
        <x:v>1</x:v>
      </x:c>
      <x:c r="E7" s="26" t="n">
        <x:f>ROUND(B7*C7*D7,2)</x:f>
        <x:v>1500</x:v>
      </x:c>
      <x:c r="F7" s="10" t="str">
        <x:v>einmalig</x:v>
      </x:c>
    </x:row>
    <x:row r="8" ht="36" customHeight="1">
      <x:c r="A8" s="10" t="str">
        <x:v>S1 Prüfaufbau</x:v>
      </x:c>
      <x:c r="B8" s="21" t="n">
        <x:v>1</x:v>
      </x:c>
      <x:c r="C8" s="25" t="n">
        <x:v>4800</x:v>
      </x:c>
      <x:c r="D8" s="21" t="n">
        <x:v>1</x:v>
      </x:c>
      <x:c r="E8" s="26" t="n">
        <x:f>ROUND(B8*C8*D8,2)</x:f>
        <x:v>4800</x:v>
      </x:c>
      <x:c r="F8" s="10" t="str">
        <x:v>einmalig</x:v>
      </x:c>
    </x:row>
    <x:row r="9" ht="23" customHeight="1">
      <x:c r="A9" s="2"/>
      <x:c r="B9" s="23"/>
      <x:c r="C9" s="23"/>
      <x:c r="D9" s="23"/>
      <x:c r="E9" s="27"/>
      <x:c r="F9" s="2"/>
    </x:row>
    <x:row r="10" ht="23" customHeight="1">
      <x:c r="A10" s="2" t="str">
        <x:v>Netto gesamt</x:v>
      </x:c>
      <x:c r="B10" s="23"/>
      <x:c r="C10" s="23"/>
      <x:c r="D10" s="23"/>
      <x:c r="E10" s="27" t="n">
        <x:f>SUM(E6:E8)</x:f>
        <x:v>8460</x:v>
      </x:c>
      <x:c r="F10" s="2"/>
    </x:row>
    <x:row r="11" ht="23" customHeight="1">
      <x:c r="A11" s="2" t="str">
        <x:v>Umsatzsteuer</x:v>
      </x:c>
      <x:c r="B11" s="23"/>
      <x:c r="C11" s="28" t="n">
        <x:v>0.19</x:v>
      </x:c>
      <x:c r="D11" s="23"/>
      <x:c r="E11" s="27" t="n">
        <x:f>ROUND(E10*C11,2)</x:f>
        <x:v>1607.4</x:v>
      </x:c>
      <x:c r="F11" s="2"/>
    </x:row>
    <x:row r="12" ht="23" customHeight="1">
      <x:c r="A12" s="2" t="str">
        <x:v>Brutto gesamt</x:v>
      </x:c>
      <x:c r="B12" s="23"/>
      <x:c r="C12" s="23"/>
      <x:c r="D12" s="23"/>
      <x:c r="E12" s="27" t="n">
        <x:f>E10+E11</x:f>
        <x:v>10067.4</x:v>
      </x:c>
      <x:c r="F12" s="2"/>
    </x:row>
    <x:row r="13" ht="23" customHeight="1">
      <x:c r="A13" s="2"/>
      <x:c r="B13" s="23"/>
      <x:c r="C13" s="23"/>
      <x:c r="D13" s="23"/>
      <x:c r="E13" s="27"/>
      <x:c r="F13" s="2"/>
    </x:row>
    <x:row r="14" ht="23" customHeight="1">
      <x:c r="A14" s="2" t="str">
        <x:v>Prüfwert Netto laut Mail</x:v>
      </x:c>
      <x:c r="B14" s="23"/>
      <x:c r="C14" s="29" t="n">
        <x:v>8460</x:v>
      </x:c>
      <x:c r="D14" s="23"/>
      <x:c r="E14" s="27" t="n">
        <x:f>E10-C14</x:f>
        <x:v>0</x:v>
      </x:c>
      <x:c r="F14" s="2" t="str">
        <x:v>Differenz EUR</x:v>
      </x:c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9" customHeight="1">
      <x:c r="A17" s="5" t="str">
        <x:v>Quelle: E-Mail 09 vom 06.10.2026. Planangebot, keine Bestellung und keine fällige Rechnung.</x:v>
      </x:c>
      <x:c r="B17" s="2"/>
      <x:c r="C17" s="2"/>
      <x:c r="D17" s="2"/>
      <x:c r="E17" s="2"/>
      <x:c r="F17" s="2"/>
    </x:row>
    <x:row r="18" ht="29" customHeight="1">
      <x:c r="A18" s="5" t="str">
        <x:v>Monatliche Positionen: Anzahl mal Monatspreis mal Monate. Einmalige Positionen haben eine Periode.</x:v>
      </x:c>
      <x:c r="B18" s="2"/>
      <x:c r="C18" s="2"/>
      <x:c r="D18" s="2"/>
      <x:c r="E18" s="2"/>
      <x:c r="F18" s="2"/>
    </x:row>
    <x:row r="19" ht="29" customHeight="1">
      <x:c r="A19" s="5" t="str">
        <x:v>Der unveränderte Prüfwert ist die Angebotssumme aus der Quelle; eine Eingabeänderung zeigt eine Abweichung.</x:v>
      </x:c>
      <x:c r="B19" s="2"/>
      <x:c r="C19" s="2"/>
      <x:c r="D19" s="2"/>
      <x:c r="E19" s="2"/>
      <x:c r="F19" s="2"/>
    </x:row>
    <x:row r="20" ht="29" customHeight="1">
      <x:c r="A20" s="5" t="str">
        <x:v>Die Rechnung setzt keine gesetzlichen Fristen und entscheidet nicht über den Einsatz einer Anwendung.</x:v>
      </x:c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</x:sheetData>
  <x:mergeCells>
    <x:mergeCell ref="A3:F3"/>
    <x:mergeCell ref="A17:F17"/>
    <x:mergeCell ref="A18:F18"/>
    <x:mergeCell ref="A19:F19"/>
    <x:mergeCell ref="A20:F20"/>
  </x:mergeCells>
  <x:pageMargins left="0.3" right="0.3" top="0.35" bottom="0.35" header="0.15" footer="0.15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9" hidden="0" customWidth="1"/>
    <x:col min="4" max="4" width="22" hidden="0" customWidth="1"/>
    <x:col min="5" max="5" width="21" hidden="0" customWidth="1"/>
    <x:col min="6" max="6" width="2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Dokumente und offene Nachweise</x:v>
      </x:c>
      <x:c r="B2" s="2"/>
      <x:c r="C2" s="2"/>
      <x:c r="D2" s="2"/>
      <x:c r="E2" s="2"/>
      <x:c r="F2" s="2"/>
    </x:row>
    <x:row r="3" ht="29" customHeight="1">
      <x:c r="A3" s="5" t="str">
        <x:v>Aktenstand 09.10.2026. Blaue Werte sind Eingaben; schwarze Werte sind Formeln.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36" customHeight="1">
      <x:c r="A5" s="9" t="str">
        <x:v>Dokument</x:v>
      </x:c>
      <x:c r="B5" s="9" t="str">
        <x:v>Organisation</x:v>
      </x:c>
      <x:c r="C5" s="9" t="str">
        <x:v>Systembezug</x:v>
      </x:c>
      <x:c r="D5" s="9" t="str">
        <x:v>Vorhanden 1 oder 0</x:v>
      </x:c>
      <x:c r="E5" s="9" t="str">
        <x:v>Offene Angabe</x:v>
      </x:c>
      <x:c r="F5" s="9" t="str">
        <x:v>Quelle</x:v>
      </x:c>
    </x:row>
    <x:row r="6" ht="36" customHeight="1">
      <x:c r="A6" s="10" t="str">
        <x:v>AIMS-Abschrift</x:v>
      </x:c>
      <x:c r="B6" s="10" t="str">
        <x:v>Holding Services GmbH</x:v>
      </x:c>
      <x:c r="C6" s="10" t="str">
        <x:v>Beratung im Konzern</x:v>
      </x:c>
      <x:c r="D6" s="21" t="n">
        <x:v>1</x:v>
      </x:c>
      <x:c r="E6" s="10" t="str">
        <x:v>Original und Anlagen</x:v>
      </x:c>
      <x:c r="F6" s="10" t="str">
        <x:v>Dokument 05 Abschnitt 1</x:v>
      </x:c>
    </x:row>
    <x:row r="7" ht="36" customHeight="1">
      <x:c r="A7" s="10" t="str">
        <x:v>Normenfolie S1</x:v>
      </x:c>
      <x:c r="B7" s="10" t="str">
        <x:v>Eichenrobotik</x:v>
      </x:c>
      <x:c r="C7" s="10" t="str">
        <x:v>Wächterkern S1</x:v>
      </x:c>
      <x:c r="D7" s="21" t="n">
        <x:v>1</x:v>
      </x:c>
      <x:c r="E7" s="10" t="str">
        <x:v>Ausgabe und Anwendung</x:v>
      </x:c>
      <x:c r="F7" s="10" t="str">
        <x:v>Dokument 05 Abschnitt 2</x:v>
      </x:c>
    </x:row>
    <x:row r="8" ht="36" customHeight="1">
      <x:c r="A8" s="10" t="str">
        <x:v>Nachtbericht Disposition</x:v>
      </x:c>
      <x:c r="B8" s="10" t="str">
        <x:v>Taktweg Systeme</x:v>
      </x:c>
      <x:c r="C8" s="10" t="str">
        <x:v>Disposition 2.4</x:v>
      </x:c>
      <x:c r="D8" s="21" t="n">
        <x:v>0</x:v>
      </x:c>
      <x:c r="E8" s="10" t="str">
        <x:v>Testdaten fehlen</x:v>
      </x:c>
      <x:c r="F8" s="10" t="str">
        <x:v>Dokument 02 Abschnitt 1</x:v>
      </x:c>
    </x:row>
    <x:row r="9" ht="36" customHeight="1">
      <x:c r="A9" s="10" t="str">
        <x:v>Nachtbericht S1</x:v>
      </x:c>
      <x:c r="B9" s="10" t="str">
        <x:v>Eichenrobotik</x:v>
      </x:c>
      <x:c r="C9" s="10" t="str">
        <x:v>S1 mit neuem Sensor</x:v>
      </x:c>
      <x:c r="D9" s="21" t="n">
        <x:v>0</x:v>
      </x:c>
      <x:c r="E9" s="10" t="str">
        <x:v>Läufe fehlen</x:v>
      </x:c>
      <x:c r="F9" s="10" t="str">
        <x:v>Dokument 02 Abschnitt 3</x:v>
      </x:c>
    </x:row>
    <x:row r="10" ht="36" customHeight="1">
      <x:c r="A10" s="10" t="str">
        <x:v>Ursachenbericht S1</x:v>
      </x:c>
      <x:c r="B10" s="10" t="str">
        <x:v>Eichenrobotik</x:v>
      </x:c>
      <x:c r="C10" s="10" t="str">
        <x:v>Drei Freigaben</x:v>
      </x:c>
      <x:c r="D10" s="21" t="n">
        <x:v>0</x:v>
      </x:c>
      <x:c r="E10" s="10" t="str">
        <x:v>Ursachenklärung</x:v>
      </x:c>
      <x:c r="F10" s="10" t="str">
        <x:v>Dokument 05 Abschnitt 3</x:v>
      </x:c>
    </x:row>
    <x:row r="11" ht="23" customHeight="1">
      <x:c r="A11" s="2"/>
      <x:c r="B11" s="2"/>
      <x:c r="C11" s="2"/>
      <x:c r="D11" s="23"/>
      <x:c r="E11" s="2"/>
      <x:c r="F11" s="2"/>
    </x:row>
    <x:row r="12" ht="23" customHeight="1">
      <x:c r="A12" s="2" t="str">
        <x:v>Vorhandene Dokumente</x:v>
      </x:c>
      <x:c r="B12" s="2"/>
      <x:c r="C12" s="2"/>
      <x:c r="D12" s="23" t="n">
        <x:f>SUM(D6:D10)</x:f>
        <x:v>2</x:v>
      </x:c>
      <x:c r="E12" s="2"/>
      <x:c r="F12" s="2"/>
    </x:row>
    <x:row r="13" ht="23" customHeight="1">
      <x:c r="A13" s="2" t="str">
        <x:v>Noch offene Dokumente</x:v>
      </x:c>
      <x:c r="B13" s="2"/>
      <x:c r="C13" s="2"/>
      <x:c r="D13" s="23" t="n">
        <x:f>ROWS(D6:D10)-SUM(D6:D10)</x:f>
        <x:v>3</x:v>
      </x:c>
      <x:c r="E13" s="2"/>
      <x:c r="F13" s="2"/>
    </x:row>
    <x:row r="14" ht="23" customHeight="1">
      <x:c r="A14" s="2"/>
      <x:c r="B14" s="2"/>
      <x:c r="C14" s="2"/>
      <x:c r="D14" s="2"/>
      <x:c r="E14" s="2"/>
      <x:c r="F14" s="2"/>
    </x:row>
    <x:row r="15" ht="23" customHeight="1">
      <x:c r="A15" s="2"/>
      <x:c r="B15" s="2"/>
      <x:c r="C15" s="2"/>
      <x:c r="D15" s="2"/>
      <x:c r="E15" s="2"/>
      <x:c r="F15" s="2"/>
    </x:row>
    <x:row r="16" ht="29" customHeight="1">
      <x:c r="A16" s="5" t="str">
        <x:v>Vorhanden bedeutet nur in der Mappe erfasst. Es bedeutet weder geprüft noch geeignet oder gesetzlich erforderlich.</x:v>
      </x:c>
      <x:c r="B16" s="2"/>
      <x:c r="C16" s="2"/>
      <x:c r="D16" s="2"/>
      <x:c r="E16" s="2"/>
      <x:c r="F16" s="2"/>
    </x:row>
    <x:row r="17" ht="29" customHeight="1">
      <x:c r="A17" s="5" t="str">
        <x:v>Zählwerte entscheiden weder Rollen noch Konformitätsverfahren. Angaben zum Inhalt bleiben einzeln zu prüfen.</x:v>
      </x:c>
      <x:c r="B17" s="2"/>
      <x:c r="C17" s="2"/>
      <x:c r="D17" s="2"/>
      <x:c r="E17" s="2"/>
      <x:c r="F17" s="2"/>
    </x:row>
    <x:row r="18" ht="29" customHeight="1">
      <x:c r="A18" s="5" t="str">
        <x:v>Quelle: Kontrollblatt vom 08.10.2026. Ausgaben und Amtsblattbelege sind ausdrücklich noch offen.</x:v>
      </x:c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</x:sheetData>
  <x:mergeCells>
    <x:mergeCell ref="A3:F3"/>
    <x:mergeCell ref="A16:F16"/>
    <x:mergeCell ref="A17:F17"/>
    <x:mergeCell ref="A18:F18"/>
  </x:mergeCells>
  <x:pageMargins left="0.3" right="0.3" top="0.35" bottom="0.35" header="0.15" footer="0.15"/>
  <x:pageSetup paperSize="9" orientation="landscape" fitToWidth="1" fitToHeight="1"/>
</x:worksheet>
</file>