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3b499b8a2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aeche" sheetId="1" r:id="R17ddfa3ed8af4225"/>
    <x:sheet xmlns:r="http://schemas.openxmlformats.org/officeDocument/2006/relationships" name="Nachtplan" sheetId="2" r:id="R34e1337df5974a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88cb8c07284741" /><Relationship Type="http://schemas.openxmlformats.org/officeDocument/2006/relationships/theme" Target="/xl/theme/theme1.xml" Id="Rb3f94ea5999c4f86" /><Relationship Type="http://schemas.openxmlformats.org/officeDocument/2006/relationships/sharedStrings" Target="/xl/sharedStrings.xml" Id="Raf0057dcd0b144b2" /><Relationship Type="http://schemas.openxmlformats.org/officeDocument/2006/relationships/worksheet" Target="/xl/worksheets/sheet1.xml" Id="R17ddfa3ed8af4225" /><Relationship Type="http://schemas.openxmlformats.org/officeDocument/2006/relationships/worksheet" Target="/xl/worksheets/sheet2.xml" Id="R34e1337df5974a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399999618530273" hidden="0" customWidth="1"/>
    <x:col min="2" max="2" width="13" hidden="0" customWidth="1"/>
    <x:col min="3" max="3" width="14.8100004196167" hidden="0" customWidth="1"/>
    <x:col min="4" max="4" width="14.8100004196167" hidden="0" customWidth="1"/>
    <x:col min="5" max="5" width="17.530000686645508" hidden="0" customWidth="1"/>
    <x:col min="6" max="6" width="37.45000076293945" hidden="0" customWidth="1"/>
  </x:cols>
  <x:sheetData>
    <x:row r="1" ht="36" customHeight="1">
      <x:c r="A1" s="6" t="str">
        <x:v>Gegenstand</x:v>
      </x:c>
      <x:c r="B1" s="6" t="str">
        <x:v>Anzahl</x:v>
      </x:c>
      <x:c r="C1" s="6" t="str">
        <x:v>Breite m</x:v>
      </x:c>
      <x:c r="D1" s="6" t="str">
        <x:v>Laenge m</x:v>
      </x:c>
      <x:c r="E1" s="6" t="str">
        <x:v>Flaeche qm</x:v>
      </x:c>
      <x:c r="F1" s="6" t="str">
        <x:v>Stand</x:v>
      </x:c>
    </x:row>
    <x:row r="2" ht="24" customHeight="1">
      <x:c r="A2" s="3" t="str">
        <x:v>Gesprächszelt</x:v>
      </x:c>
      <x:c r="B2" s="9" t="n">
        <x:v>1</x:v>
      </x:c>
      <x:c r="C2" s="10" t="n">
        <x:v>3</x:v>
      </x:c>
      <x:c r="D2" s="10" t="n">
        <x:v>4</x:v>
      </x:c>
      <x:c r="E2" s="10" t="n">
        <x:f>B2*C2*D2</x:f>
        <x:v>12</x:v>
      </x:c>
      <x:c r="F2" s="3" t="str">
        <x:v>offen</x:v>
      </x:c>
    </x:row>
    <x:row r="3" ht="24" customHeight="1">
      <x:c r="A3" s="3" t="str">
        <x:v>Schlafzelt</x:v>
      </x:c>
      <x:c r="B3" s="9" t="n">
        <x:v>4</x:v>
      </x:c>
      <x:c r="C3" s="10" t="n">
        <x:v>2</x:v>
      </x:c>
      <x:c r="D3" s="10" t="n">
        <x:v>2.5</x:v>
      </x:c>
      <x:c r="E3" s="10" t="n">
        <x:f>B3*C3*D3</x:f>
        <x:v>20</x:v>
      </x:c>
      <x:c r="F3" s="3" t="str">
        <x:v>ursprünglicher Antrag</x:v>
      </x:c>
    </x:row>
    <x:row r="4" ht="24" customHeight="1">
      <x:c r="A4" s="3" t="str">
        <x:v>Teestation</x:v>
      </x:c>
      <x:c r="B4" s="9" t="n">
        <x:v>1</x:v>
      </x:c>
      <x:c r="C4" s="10" t="n">
        <x:v>1.5</x:v>
      </x:c>
      <x:c r="D4" s="10" t="n">
        <x:v>2</x:v>
      </x:c>
      <x:c r="E4" s="10" t="n">
        <x:f>B4*C4*D4</x:f>
        <x:v>3</x:v>
      </x:c>
      <x:c r="F4" s="3" t="str">
        <x:v>kein Gas</x:v>
      </x:c>
    </x:row>
    <x:row r="5" ht="24" customHeight="1">
      <x:c r="A5" s="3" t="str">
        <x:v>Toiletten</x:v>
      </x:c>
      <x:c r="B5" s="9" t="n">
        <x:v>2</x:v>
      </x:c>
      <x:c r="C5" s="10" t="n">
        <x:v>1.2</x:v>
      </x:c>
      <x:c r="D5" s="10" t="n">
        <x:v>1.2</x:v>
      </x:c>
      <x:c r="E5" s="10" t="n">
        <x:f>B5*C5*D5</x:f>
        <x:v>2.88</x:v>
      </x:c>
      <x:c r="F5" s="3" t="str">
        <x:v>Lieferung offen</x:v>
      </x:c>
    </x:row>
    <x:row r="6" ht="24" customHeight="1">
      <x:c r="A6" s="3" t="str">
        <x:v>Stellwände</x:v>
      </x:c>
      <x:c r="B6" s="9" t="n">
        <x:v>2</x:v>
      </x:c>
      <x:c r="C6" s="10" t="n">
        <x:v>0.8</x:v>
      </x:c>
      <x:c r="D6" s="10" t="n">
        <x:v>2</x:v>
      </x:c>
      <x:c r="E6" s="10" t="n">
        <x:f>B6*C6*D6</x:f>
        <x:v>3.2</x:v>
      </x:c>
      <x:c r="F6" s="3" t="str">
        <x:v>Fußfläche</x:v>
      </x:c>
    </x:row>
    <x:row r="7" ht="24" customHeight="1">
      <x:c r="A7" s="3" t="str">
        <x:v>Gesamt</x:v>
      </x:c>
      <x:c r="B7" s="9"/>
      <x:c r="C7" s="10"/>
      <x:c r="D7" s="10"/>
      <x:c r="E7" s="10" t="n">
        <x:f>SUM(E2:E6)</x:f>
        <x:v>41.080000000000005</x:v>
      </x:c>
      <x:c r="F7" s="3" t="str">
        <x:v>Wege nicht enthalten</x:v>
      </x:c>
    </x:row>
  </x:sheetData>
  <x:pageMargins left="0.4" right="0.4" top="0.4" bottom="0.4" header="0.15" footer="0.15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6" hidden="0" customWidth="1"/>
    <x:col min="4" max="4" width="18" hidden="0" customWidth="1"/>
    <x:col min="5" max="5" width="42" hidden="0" customWidth="1"/>
  </x:cols>
  <x:sheetData>
    <x:row r="1" ht="36" customHeight="1">
      <x:c r="A1" s="6" t="str">
        <x:v>Schicht</x:v>
      </x:c>
      <x:c r="B1" s="6" t="str">
        <x:v>Ansprechbar</x:v>
      </x:c>
      <x:c r="C1" s="6" t="str">
        <x:v>Ruhend</x:v>
      </x:c>
      <x:c r="D1" s="6" t="str">
        <x:v>Personen</x:v>
      </x:c>
      <x:c r="E1" s="6" t="str">
        <x:v>Bemerkung</x:v>
      </x:c>
    </x:row>
    <x:row r="2" ht="24" customHeight="1">
      <x:c r="A2" s="3" t="str">
        <x:v>Freitag 22 bis 2</x:v>
      </x:c>
      <x:c r="B2" s="9" t="n">
        <x:v>2</x:v>
      </x:c>
      <x:c r="C2" s="9" t="n">
        <x:v>2</x:v>
      </x:c>
      <x:c r="D2" s="9" t="n">
        <x:f>B2+C2</x:f>
        <x:v>4</x:v>
      </x:c>
      <x:c r="E2" s="3" t="str">
        <x:v>vier eigene Helfer</x:v>
      </x:c>
    </x:row>
    <x:row r="3" ht="24" customHeight="1">
      <x:c r="A3" s="3" t="str">
        <x:v>Samstag 2 bis 6</x:v>
      </x:c>
      <x:c r="B3" s="9" t="n">
        <x:v>2</x:v>
      </x:c>
      <x:c r="C3" s="9" t="n">
        <x:v>2</x:v>
      </x:c>
      <x:c r="D3" s="9" t="n">
        <x:f>B3+C3</x:f>
        <x:v>4</x:v>
      </x:c>
      <x:c r="E3" s="3" t="str">
        <x:v>Wechsel derselben vier</x:v>
      </x:c>
    </x:row>
    <x:row r="4" ht="24" customHeight="1">
      <x:c r="A4" s="3" t="str">
        <x:v>Samstag 22 bis 2</x:v>
      </x:c>
      <x:c r="B4" s="9" t="n">
        <x:v>2</x:v>
      </x:c>
      <x:c r="C4" s="9" t="n">
        <x:v>2</x:v>
      </x:c>
      <x:c r="D4" s="9" t="n">
        <x:f>B4+C4</x:f>
        <x:v>4</x:v>
      </x:c>
      <x:c r="E4" s="3" t="str">
        <x:v>vier eigene Helfer</x:v>
      </x:c>
    </x:row>
    <x:row r="5" ht="24" customHeight="1">
      <x:c r="A5" s="3" t="str">
        <x:v>Sonntag 2 bis 6</x:v>
      </x:c>
      <x:c r="B5" s="9" t="n">
        <x:v>2</x:v>
      </x:c>
      <x:c r="C5" s="9" t="n">
        <x:v>2</x:v>
      </x:c>
      <x:c r="D5" s="9" t="n">
        <x:f>B5+C5</x:f>
        <x:v>4</x:v>
      </x:c>
      <x:c r="E5" s="3" t="str">
        <x:v>externe Gäste nicht enthalten</x:v>
      </x:c>
    </x:row>
  </x:sheetData>
  <x:pageMargins left="0.4" right="0.4" top="0.4" bottom="0.4" header="0.15" footer="0.15"/>
  <x:pageSetup paperSize="9" orientation="landscape" fitToWidth="1" fitToHeight="0"/>
</x:worksheet>
</file>