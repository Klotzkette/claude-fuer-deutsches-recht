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d34c8cd734daf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Arbeitsstand" sheetId="1" ns1:id="R0dc0c1b03fc1464d"/>
  </ns0:sheets>
  <ns0:definedNames>
    <ns0:definedName name="_xlnm.Print_Area" localSheetId="0">'Arbeitsstand'!$A$1:$E$17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[$-407]#,##0.00&quot;  &quot;"/>
    <x:numFmt numFmtId="201" formatCode="  @"/>
  </x:numFmts>
  <x:fonts count="8">
    <x:font>
      <x:sz val="11"/>
      <x:name val="Carlito"/>
    </x:font>
    <x:font>
      <x:sz val="11"/>
      <x:name val="Times New Roman"/>
    </x:font>
    <x:font>
      <x:b/>
      <x:sz val="15"/>
      <x:name val="Times New Roman"/>
    </x:font>
    <x:font>
      <x:i/>
      <x:sz val="11"/>
      <x:color rgb="FF555555"/>
      <x:name val="Times New Roman"/>
    </x:font>
    <x:font>
      <x:sz val="11"/>
      <x:color rgb="FF0000FF"/>
      <x:name val="Times New Roman"/>
    </x:font>
    <x:font>
      <x:b/>
      <x:sz val="11"/>
      <x:color rgb="FFFFFFFF"/>
      <x:name val="Times New Roman"/>
    </x:font>
    <x:font>
      <x:b/>
      <x:sz val="11"/>
      <x:name val="Times New Roman"/>
    </x:font>
    <x:font>
      <x:sz val="11"/>
      <x:color rgb="FF444444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33465B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899AA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6464feaf34da3" /><Relationship Type="http://schemas.openxmlformats.org/officeDocument/2006/relationships/theme" Target="/xl/theme/theme1.xml" Id="R4090b725c9094ed4" /><Relationship Type="http://schemas.openxmlformats.org/officeDocument/2006/relationships/sharedStrings" Target="/xl/sharedStrings.xml" Id="R14a025c1584c4cd9" /><Relationship Type="http://schemas.openxmlformats.org/officeDocument/2006/relationships/worksheet" Target="/xl/worksheets/sheet1.xml" Id="R0dc0c1b03fc146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7" hidden="0" customWidth="1"/>
    <ns0:col min="2" max="2" width="12" hidden="0" customWidth="1"/>
    <ns0:col min="3" max="3" width="22" hidden="0" customWidth="1"/>
    <ns0:col min="4" max="4" width="22" hidden="0" customWidth="1"/>
    <ns0:col min="5" max="5" width="34" hidden="0" customWidth="1"/>
  </ns0:cols>
  <ns0:sheetData>
    <ns0:row r="1" ht="15" customHeight="1">
      <ns0:c r="A1" s="2"/>
      <ns0:c r="B1" s="2"/>
      <ns0:c r="C1" s="2"/>
      <ns0:c r="D1" s="2"/>
      <ns0:c r="E1" s="2"/>
      <ns0:c r="F1" s="2"/>
    </ns0:row>
    <ns0:row r="2" ht="25" customHeight="1">
      <ns0:c r="A2" s="3" t="str">
        <ns0:v>Katzenware Bestand und Einkaufswerte</ns0:v>
      </ns0:c>
      <ns0:c r="B2" s="2"/>
      <ns0:c r="C2" s="2"/>
      <ns0:c r="D2" s="2"/>
      <ns0:c r="E2" s="2"/>
      <ns0:c r="F2" s="2"/>
    </ns0:row>
    <ns0:row r="3" ht="18" customHeight="1">
      <ns0:c r="A3" s="4" t="str">
        <ns0:v>Lene Dörfler | Stand 06.10.2026</ns0:v>
      </ns0:c>
      <ns0:c r="B3" s="2"/>
      <ns0:c r="C3" s="2"/>
      <ns0:c r="D3" s="2"/>
      <ns0:c r="E3" s="2"/>
      <ns0:c r="F3" s="2"/>
    </ns0:row>
    <ns0:row r="4" ht="15" customHeight="1">
      <ns0:c r="A4" s="2"/>
      <ns0:c r="B4" s="2"/>
      <ns0:c r="C4" s="2"/>
      <ns0:c r="D4" s="2"/>
      <ns0:c r="E4" s="2"/>
      <ns0:c r="F4" s="2"/>
    </ns0:row>
    <ns0:row r="5" ht="32" customHeight="1">
      <ns0:c r="A5" s="11" t="str">
        <ns0:v>Artikel</ns0:v>
      </ns0:c>
      <ns0:c r="B5" s="11" t="str">
        <ns0:v>Stück</ns0:v>
      </ns0:c>
      <ns0:c r="C5" s="11" t="str">
        <ns0:v>Brutto je Stück EUR</ns0:v>
      </ns0:c>
      <ns0:c r="D5" s="11" t="str">
        <ns0:v>Wert EUR</ns0:v>
      </ns0:c>
      <ns0:c r="E5" s="11" t="str">
        <ns0:v>Beleg</ns0:v>
      </ns0:c>
      <ns0:c r="F5" s="2"/>
    </ns0:row>
    <ns0:row r="6" ht="22" customHeight="1">
      <ns0:c r="A6" s="2" t="str">
        <ns0:v>FH60 Katzenhöhle</ns0:v>
      </ns0:c>
      <ns0:c r="B6" s="5" t="n">
        <ns0:v>200</ns0:v>
      </ns0:c>
      <ns0:c r="C6" s="6" t="n">
        <ns0:v>60</ns0:v>
      </ns0:c>
      <ns0:c r="D6" s="7" t="n">
        <ns0:f>B6*C6</ns0:f>
        <ns0:v>12000</ns0:v>
      </ns0:c>
      <ns0:c r="E6" s="19" t="str">
        <ns0:v>10 und 12 Los MM260603</ns0:v>
      </ns0:c>
      <ns0:c r="F6" s="2"/>
    </ns0:row>
    <ns0:row r="7" ht="22" customHeight="1">
      <ns0:c r="A7" s="2" t="str">
        <ns0:v>KB35 Kratzbrett</ns0:v>
      </ns0:c>
      <ns0:c r="B7" s="5" t="n">
        <ns0:v>200</ns0:v>
      </ns0:c>
      <ns0:c r="C7" s="6" t="n">
        <ns0:v>35</ns0:v>
      </ns0:c>
      <ns0:c r="D7" s="7" t="n">
        <ns0:f>B7*C7</ns0:f>
        <ns0:v>7000</ns0:v>
      </ns0:c>
      <ns0:c r="E7" s="19" t="str">
        <ns0:v>10 und 12 Los MM260603</ns0:v>
      </ns0:c>
      <ns0:c r="F7" s="2"/>
    </ns0:row>
    <ns0:row r="8" ht="22" customHeight="1">
      <ns0:c r="A8" s="2" t="str">
        <ns0:v>MS20 Spielset</ns0:v>
      </ns0:c>
      <ns0:c r="B8" s="5" t="n">
        <ns0:v>300</ns0:v>
      </ns0:c>
      <ns0:c r="C8" s="6" t="n">
        <ns0:v>20</ns0:v>
      </ns0:c>
      <ns0:c r="D8" s="7" t="n">
        <ns0:f>B8*C8</ns0:f>
        <ns0:v>6000</ns0:v>
      </ns0:c>
      <ns0:c r="E8" s="19" t="str">
        <ns0:v>10 und 12 Los MM260603</ns0:v>
      </ns0:c>
      <ns0:c r="F8" s="2"/>
    </ns0:row>
    <ns0:row r="9" ht="22" customHeight="1">
      <ns0:c r="A9" s="2"/>
      <ns0:c r="B9" s="2"/>
      <ns0:c r="C9" s="7"/>
      <ns0:c r="D9" s="7"/>
      <ns0:c r="E9" s="2"/>
      <ns0:c r="F9" s="2"/>
    </ns0:row>
    <ns0:row r="10" ht="22" customHeight="1">
      <ns0:c r="A10" s="14" t="str">
        <ns0:v>Gesamt</ns0:v>
      </ns0:c>
      <ns0:c r="B10" s="14"/>
      <ns0:c r="C10" s="15"/>
      <ns0:c r="D10" s="15" t="n">
        <ns0:f>SUM(D6:D8)</ns0:f>
        <ns0:v>25000</ns0:v>
      </ns0:c>
      <ns0:c r="E10" s="14"/>
      <ns0:c r="F10" s="2"/>
    </ns0:row>
    <ns0:row r="11" ht="15" customHeight="1">
      <ns0:c r="A11" s="2"/>
      <ns0:c r="B11" s="2"/>
      <ns0:c r="C11" s="2"/>
      <ns0:c r="D11" s="2"/>
      <ns0:c r="E11" s="2"/>
      <ns0:c r="F11" s="2"/>
    </ns0:row>
    <ns0:row r="12" ht="15" customHeight="1">
      <ns0:c r="A12" s="2"/>
      <ns0:c r="B12" s="2"/>
      <ns0:c r="C12" s="2"/>
      <ns0:c r="D12" s="2"/>
      <ns0:c r="E12" s="2"/>
      <ns0:c r="F12" s="2"/>
    </ns0:row>
    <ns0:row r="13" ht="22" customHeight="1">
      <ns0:c r="A13" s="18" t="str">
        <ns0:v>Ansatz sind Brutto-Einkaufspreise aus Rechnung 11. Die Summe ist kein Liquidationswert und entscheidet nicht über Eigentum oder Herausgabe. Die Musterhöhle ohne Losetikett ist nicht enthalten. Vertrag und AGB-Fassung sind weiterhin streitig.</ns0:v>
      </ns0:c>
      <ns0:c r="B13" s="18"/>
      <ns0:c r="C13" s="18"/>
      <ns0:c r="D13" s="18"/>
      <ns0:c r="E13" s="18"/>
      <ns0:c r="F13" s="2"/>
    </ns0:row>
    <ns0:row r="14" ht="22" customHeight="1">
      <ns0:c r="A14" s="18"/>
      <ns0:c r="B14" s="18"/>
      <ns0:c r="C14" s="18"/>
      <ns0:c r="D14" s="18"/>
      <ns0:c r="E14" s="18"/>
      <ns0:c r="F14" s="2"/>
    </ns0:row>
    <ns0:row r="15" ht="15" customHeight="1">
      <ns0:c r="A15" s="2"/>
      <ns0:c r="B15" s="2"/>
      <ns0:c r="C15" s="2"/>
      <ns0:c r="D15" s="2"/>
      <ns0:c r="E15" s="2"/>
      <ns0:c r="F15" s="2"/>
    </ns0:row>
    <ns0:row r="16" ht="22" customHeight="1">
      <ns0:c r="A16" s="18" t="str">
        <ns0:v>Blaue Zahlen sind Eingaben aus den genannten Aktenstücken. Schwarze Ergebnisse sind Formeln. Die Belegangaben beziehen sich auf die Dateinummern derselben Akte.</ns0:v>
      </ns0:c>
      <ns0:c r="B16" s="18"/>
      <ns0:c r="C16" s="18"/>
      <ns0:c r="D16" s="18"/>
      <ns0:c r="E16" s="18"/>
      <ns0:c r="F16" s="2"/>
    </ns0:row>
    <ns0:row r="17" ht="22" customHeight="1">
      <ns0:c r="A17" s="18"/>
      <ns0:c r="B17" s="18"/>
      <ns0:c r="C17" s="18"/>
      <ns0:c r="D17" s="18"/>
      <ns0:c r="E17" s="18"/>
      <ns0:c r="F17" s="2"/>
    </ns0:row>
    <ns0:row r="18" ht="15" customHeight="1">
      <ns0:c r="A18" s="2"/>
      <ns0:c r="B18" s="2"/>
      <ns0:c r="C18" s="2"/>
      <ns0:c r="D18" s="2"/>
      <ns0:c r="E18" s="2"/>
      <ns0:c r="F18" s="2"/>
    </ns0:row>
    <ns0:row r="19" ht="15" customHeight="1">
      <ns0:c r="A19" s="2"/>
      <ns0:c r="B19" s="2"/>
      <ns0:c r="C19" s="2"/>
      <ns0:c r="D19" s="2"/>
      <ns0:c r="E19" s="2"/>
      <ns0:c r="F19" s="2"/>
    </ns0:row>
    <ns0:row r="20" ht="15" customHeight="1">
      <ns0:c r="A20" s="2"/>
      <ns0:c r="B20" s="2"/>
      <ns0:c r="C20" s="2"/>
      <ns0:c r="D20" s="2"/>
      <ns0:c r="E20" s="2"/>
      <ns0:c r="F20" s="2"/>
    </ns0:row>
    <ns0:row r="21" ht="15" customHeight="1">
      <ns0:c r="A21" s="2"/>
      <ns0:c r="B21" s="2"/>
      <ns0:c r="C21" s="2"/>
      <ns0:c r="D21" s="2"/>
      <ns0:c r="E21" s="2"/>
      <ns0:c r="F21" s="2"/>
    </ns0:row>
    <ns0:row r="22" ht="15" customHeight="1">
      <ns0:c r="A22" s="2"/>
      <ns0:c r="B22" s="2"/>
      <ns0:c r="C22" s="2"/>
      <ns0:c r="D22" s="2"/>
      <ns0:c r="E22" s="2"/>
      <ns0:c r="F22" s="2"/>
    </ns0:row>
    <ns0:row r="23" ht="15" customHeight="1">
      <ns0:c r="A23" s="2"/>
      <ns0:c r="B23" s="2"/>
      <ns0:c r="C23" s="2"/>
      <ns0:c r="D23" s="2"/>
      <ns0:c r="E23" s="2"/>
      <ns0:c r="F23" s="2"/>
    </ns0:row>
    <ns0:row r="24" ht="15" customHeight="1">
      <ns0:c r="A24" s="2"/>
      <ns0:c r="B24" s="2"/>
      <ns0:c r="C24" s="2"/>
      <ns0:c r="D24" s="2"/>
      <ns0:c r="E24" s="2"/>
      <ns0:c r="F24" s="2"/>
    </ns0:row>
    <ns0:row r="25" ht="15" customHeight="1">
      <ns0:c r="A25" s="2"/>
      <ns0:c r="B25" s="2"/>
      <ns0:c r="C25" s="2"/>
      <ns0:c r="D25" s="2"/>
      <ns0:c r="E25" s="2"/>
      <ns0:c r="F25" s="2"/>
    </ns0:row>
    <ns0:row r="26" ht="15" customHeight="1">
      <ns0:c r="A26" s="2"/>
      <ns0:c r="B26" s="2"/>
      <ns0:c r="C26" s="2"/>
      <ns0:c r="D26" s="2"/>
      <ns0:c r="E26" s="2"/>
      <ns0:c r="F26" s="2"/>
    </ns0:row>
    <ns0:row r="27" ht="15" customHeight="1">
      <ns0:c r="A27" s="2"/>
      <ns0:c r="B27" s="2"/>
      <ns0:c r="C27" s="2"/>
      <ns0:c r="D27" s="2"/>
      <ns0:c r="E27" s="2"/>
      <ns0:c r="F27" s="2"/>
    </ns0:row>
    <ns0:row r="28" ht="15" customHeight="1">
      <ns0:c r="A28" s="2"/>
      <ns0:c r="B28" s="2"/>
      <ns0:c r="C28" s="2"/>
      <ns0:c r="D28" s="2"/>
      <ns0:c r="E28" s="2"/>
      <ns0:c r="F28" s="2"/>
    </ns0:row>
  </ns0:sheetData>
  <ns0:mergeCells>
    <ns0:mergeCell ref="A13:E14"/>
    <ns0:mergeCell ref="A16:E17"/>
  </ns0:mergeCells>
  <ns0:pageMargins left="0.7" right="0.7" top="0.75" bottom="0.75" header="0.3" footer="0.3"/>
  <ns0:pageSetup orientation="landscape" paperSize="9" fitToWidth="1" fitToHeight="0"/>
</ns0:worksheet>
</file>