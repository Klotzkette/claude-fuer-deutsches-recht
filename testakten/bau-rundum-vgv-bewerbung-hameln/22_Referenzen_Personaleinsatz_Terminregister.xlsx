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ferenzleistungen" sheetId="1" state="visible" r:id="rId3"/>
    <sheet name="Teamkapazität" sheetId="2" state="visible" r:id="rId4"/>
    <sheet name="Terminbindungen" sheetId="3" state="visible" r:id="rId5"/>
  </sheets>
  <definedNames>
    <definedName function="false" hidden="false" localSheetId="0" name="_xlnm.Print_Area" vbProcedure="false">Referenzleistungen!$A$1:$I$44</definedName>
    <definedName function="false" hidden="false" localSheetId="0" name="_xlnm.Print_Titles" vbProcedure="false">Referenzleistungen!$8:$8</definedName>
    <definedName function="false" hidden="false" localSheetId="1" name="_xlnm.Print_Area" vbProcedure="false">Teamkapazität!$A$1:$I$17</definedName>
    <definedName function="false" hidden="false" localSheetId="1" name="_xlnm.Print_Titles" vbProcedure="false">Teamkapazität!$8:$8</definedName>
    <definedName function="false" hidden="false" localSheetId="2" name="_xlnm.Print_Area" vbProcedure="false">Terminbindungen!$A$1:$H$26</definedName>
    <definedName function="false" hidden="false" localSheetId="2" name="_xlnm.Print_Titles" vbProcedure="false">Terminbindungen!$8:$8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<sst xmlns="http://schemas.openxmlformats.org/spreadsheetml/2006/main" count="351" uniqueCount="141">
  <si>
    <t xml:space="preserve">Referenzen nach Leistungsphasen</t>
  </si>
  <si>
    <t xml:space="preserve">Neues Register aus 04_Referenzarchiv.csv, HG-19, SB-22, 07_Kruse_Referenzzuordnung.eml und 17_ARGE_Leistungsabgrenzung.docx. KG 300/400 je Projekt einmal; ARGE-Honoraranteil gesondert.</t>
  </si>
  <si>
    <t xml:space="preserve">Anna Finke, Faltwerk Architektur PartG, Stand 05.10.2026</t>
  </si>
  <si>
    <t xml:space="preserve">Positionen</t>
  </si>
  <si>
    <t xml:space="preserve">Kennung</t>
  </si>
  <si>
    <t xml:space="preserve">Projekt</t>
  </si>
  <si>
    <t xml:space="preserve">Phase</t>
  </si>
  <si>
    <t xml:space="preserve">Leistungserbringer</t>
  </si>
  <si>
    <t xml:space="preserve">Leistungsbereich</t>
  </si>
  <si>
    <t xml:space="preserve">Stand</t>
  </si>
  <si>
    <t xml:space="preserve">Abschluss Phase 8</t>
  </si>
  <si>
    <t xml:space="preserve">Projektkosten netto EUR</t>
  </si>
  <si>
    <t xml:space="preserve">Honorar Faltwerk</t>
  </si>
  <si>
    <t xml:space="preserve">FW-19</t>
  </si>
  <si>
    <t xml:space="preserve">Campus Hofgarten</t>
  </si>
  <si>
    <t xml:space="preserve">Faltwerk</t>
  </si>
  <si>
    <t xml:space="preserve">Objektplanung</t>
  </si>
  <si>
    <t xml:space="preserve">abgeschlossen</t>
  </si>
  <si>
    <t xml:space="preserve">FW-22</t>
  </si>
  <si>
    <t xml:space="preserve">Stadtteilhaus Südbogen</t>
  </si>
  <si>
    <t xml:space="preserve">Baukontur</t>
  </si>
  <si>
    <t xml:space="preserve">Gesamtobjekt</t>
  </si>
  <si>
    <t xml:space="preserve">Faltwerk / Baukontur</t>
  </si>
  <si>
    <t xml:space="preserve">Innenausbau / Außenhülle</t>
  </si>
  <si>
    <t xml:space="preserve">FW-11</t>
  </si>
  <si>
    <t xml:space="preserve">Lernzentrum Nordtor</t>
  </si>
  <si>
    <t xml:space="preserve">FW-28</t>
  </si>
  <si>
    <t xml:space="preserve">Schule Riedhof</t>
  </si>
  <si>
    <t xml:space="preserve">Auftragsstand Phase 5</t>
  </si>
  <si>
    <t xml:space="preserve">beauftragt</t>
  </si>
  <si>
    <t xml:space="preserve">in Bearbeitung</t>
  </si>
  <si>
    <t xml:space="preserve">vorgesehen</t>
  </si>
  <si>
    <t xml:space="preserve">FW-16</t>
  </si>
  <si>
    <t xml:space="preserve">Verwaltungsbau Lindenhof</t>
  </si>
  <si>
    <t xml:space="preserve">FW-07</t>
  </si>
  <si>
    <t xml:space="preserve">Sporthalle Wiesenrain</t>
  </si>
  <si>
    <t xml:space="preserve">Feldmaß</t>
  </si>
  <si>
    <t xml:space="preserve">Lena Kruse, Vorbüro</t>
  </si>
  <si>
    <t xml:space="preserve">Durchschnittliche Wochenstunden je Monat</t>
  </si>
  <si>
    <t xml:space="preserve">10_Personaleinsatz.xlsx, unveränderter Dispositionsstand 30.09.2026. Urlaub bereits enthalten. Lernhaus intern reserviert; Riedhof-Vertretung am 12.01. noch nicht verteilt.</t>
  </si>
  <si>
    <t xml:space="preserve">Person</t>
  </si>
  <si>
    <t xml:space="preserve">Monat</t>
  </si>
  <si>
    <t xml:space="preserve">Dispositionsstand</t>
  </si>
  <si>
    <t xml:space="preserve">Verfügbar h/W</t>
  </si>
  <si>
    <t xml:space="preserve">Bestand h/W</t>
  </si>
  <si>
    <t xml:space="preserve">Büro h/W</t>
  </si>
  <si>
    <t xml:space="preserve">Lernhaus h/W</t>
  </si>
  <si>
    <t xml:space="preserve">Rest h/W</t>
  </si>
  <si>
    <t xml:space="preserve">Quelle</t>
  </si>
  <si>
    <t xml:space="preserve">Lena Kruse</t>
  </si>
  <si>
    <t xml:space="preserve">10_Personaleinsatz.xlsx</t>
  </si>
  <si>
    <t xml:space="preserve">Mehmet Aydin</t>
  </si>
  <si>
    <t xml:space="preserve">Clara Weiß</t>
  </si>
  <si>
    <t xml:space="preserve">Bewerbung, Versicherung und Personaltermine</t>
  </si>
  <si>
    <t xml:space="preserve">Neues Terminregister aus den genannten Unterlagen. Künftige Termine nach Mitteilung; keine Einreichung oder Beauftragung verbucht.</t>
  </si>
  <si>
    <t xml:space="preserve">Datum</t>
  </si>
  <si>
    <t xml:space="preserve">Uhrzeit</t>
  </si>
  <si>
    <t xml:space="preserve">Vorgang</t>
  </si>
  <si>
    <t xml:space="preserve">Beteiligte</t>
  </si>
  <si>
    <t xml:space="preserve">Bezug</t>
  </si>
  <si>
    <t xml:space="preserve">Mitgeteilter Stand</t>
  </si>
  <si>
    <t xml:space="preserve">Unterlage</t>
  </si>
  <si>
    <t xml:space="preserve">Vermerk</t>
  </si>
  <si>
    <t xml:space="preserve">Bekanntmachung</t>
  </si>
  <si>
    <t xml:space="preserve">Schulbauverband</t>
  </si>
  <si>
    <t xml:space="preserve">SW-2026-18</t>
  </si>
  <si>
    <t xml:space="preserve">veröffentlicht</t>
  </si>
  <si>
    <t xml:space="preserve">01_Bekanntmachungsdaten.pdf</t>
  </si>
  <si>
    <t xml:space="preserve">Objektplanung Lernhaus</t>
  </si>
  <si>
    <t xml:space="preserve">Bestehende Versicherung</t>
  </si>
  <si>
    <t xml:space="preserve">Sina Vogt</t>
  </si>
  <si>
    <t xml:space="preserve">HW-FA-2086</t>
  </si>
  <si>
    <t xml:space="preserve">3 Mio. / 1 Mio. EUR</t>
  </si>
  <si>
    <t xml:space="preserve">08_Versicherungsbestaetigung.pdf</t>
  </si>
  <si>
    <t xml:space="preserve">jeweils zweifach pro Jahr</t>
  </si>
  <si>
    <t xml:space="preserve">12:00</t>
  </si>
  <si>
    <t xml:space="preserve">Bewerbungsschluss bestätigt</t>
  </si>
  <si>
    <t xml:space="preserve">Eva Brüning</t>
  </si>
  <si>
    <t xml:space="preserve">2026-10-09</t>
  </si>
  <si>
    <t xml:space="preserve">unverändert</t>
  </si>
  <si>
    <t xml:space="preserve">13_Antwort_Vergabestelle.eml</t>
  </si>
  <si>
    <t xml:space="preserve">genau zwei Referenzen</t>
  </si>
  <si>
    <t xml:space="preserve">Konzeptstand 0.3</t>
  </si>
  <si>
    <t xml:space="preserve">Lernhaus</t>
  </si>
  <si>
    <t xml:space="preserve">intern, nicht freigegeben</t>
  </si>
  <si>
    <t xml:space="preserve">12_Konzeptstand_Buero.docx</t>
  </si>
  <si>
    <t xml:space="preserve">für spätere Angebotsphase</t>
  </si>
  <si>
    <t xml:space="preserve">Projektbeschreibung eingegangen</t>
  </si>
  <si>
    <t xml:space="preserve">Tätigkeitsumfang noch offen</t>
  </si>
  <si>
    <t xml:space="preserve">19_Versicherer_Risikofragen.pdf</t>
  </si>
  <si>
    <t xml:space="preserve">Schadstoffplanung ungeklärt</t>
  </si>
  <si>
    <t xml:space="preserve">11:00</t>
  </si>
  <si>
    <t xml:space="preserve">Arbeitszeitgespräch</t>
  </si>
  <si>
    <t xml:space="preserve">Anna Finke / Mehmet Aydin</t>
  </si>
  <si>
    <t xml:space="preserve">Personal</t>
  </si>
  <si>
    <t xml:space="preserve">32 h/W unverändert</t>
  </si>
  <si>
    <t xml:space="preserve">20_Personalgespraech_Aydin.docx</t>
  </si>
  <si>
    <t xml:space="preserve">kein Änderungsvertrag</t>
  </si>
  <si>
    <t xml:space="preserve">08:12</t>
  </si>
  <si>
    <t xml:space="preserve">Riedhof-Vertretung</t>
  </si>
  <si>
    <t xml:space="preserve">RH-28</t>
  </si>
  <si>
    <t xml:space="preserve">sieben Stunden benannt</t>
  </si>
  <si>
    <t xml:space="preserve">21_Aydin_Terminbindung.eml</t>
  </si>
  <si>
    <t xml:space="preserve">Vorbereitung, Fahrt und Termin</t>
  </si>
  <si>
    <t xml:space="preserve">13:00</t>
  </si>
  <si>
    <t xml:space="preserve">Tätigkeitsbeschreibung benötigt</t>
  </si>
  <si>
    <t xml:space="preserve">Bearbeitungsfrist benannt</t>
  </si>
  <si>
    <t xml:space="preserve">unterschriebene Beschreibung</t>
  </si>
  <si>
    <t xml:space="preserve">Zeichnungsstelle</t>
  </si>
  <si>
    <t xml:space="preserve">Hansewinkel</t>
  </si>
  <si>
    <t xml:space="preserve">Bearbeitungsfenster</t>
  </si>
  <si>
    <t xml:space="preserve">Erhöhung noch nicht bestätigt</t>
  </si>
  <si>
    <t xml:space="preserve">Teilnahmeantrag</t>
  </si>
  <si>
    <t xml:space="preserve">veröffentlichte Abgabefrist</t>
  </si>
  <si>
    <t xml:space="preserve">Freigabe / Upload noch offen</t>
  </si>
  <si>
    <t xml:space="preserve">Vereinbarung Moderation</t>
  </si>
  <si>
    <t xml:space="preserve">Frauke Bendel</t>
  </si>
  <si>
    <t xml:space="preserve">Reservierung unter Vorbehalt</t>
  </si>
  <si>
    <t xml:space="preserve">11_Bendel_Kapazitaet.eml</t>
  </si>
  <si>
    <t xml:space="preserve">Februar und März je 8 h/W</t>
  </si>
  <si>
    <t xml:space="preserve">Urlaubsbeginn</t>
  </si>
  <si>
    <t xml:space="preserve">bestätigt</t>
  </si>
  <si>
    <t xml:space="preserve">09_Teamprofile.docx</t>
  </si>
  <si>
    <t xml:space="preserve">Januarkapazität bereits angepasst</t>
  </si>
  <si>
    <t xml:space="preserve">Unterlagen Vertretung</t>
  </si>
  <si>
    <t xml:space="preserve">Termin benannt</t>
  </si>
  <si>
    <t xml:space="preserve">18_Riedhof_Abstimmung_Januar.pdf</t>
  </si>
  <si>
    <t xml:space="preserve">Werkstattdetails</t>
  </si>
  <si>
    <t xml:space="preserve">Planungsabstimmung Riedhof</t>
  </si>
  <si>
    <t xml:space="preserve">Vertretung vorgesehen</t>
  </si>
  <si>
    <t xml:space="preserve">Kruse im Urlaub</t>
  </si>
  <si>
    <t xml:space="preserve">Urlaubsende</t>
  </si>
  <si>
    <t xml:space="preserve">keine durchgehende Aydin-Vertretung</t>
  </si>
  <si>
    <t xml:space="preserve">09:00</t>
  </si>
  <si>
    <t xml:space="preserve">Planungsgespräch bis 13:00</t>
  </si>
  <si>
    <t xml:space="preserve">abgestimmt</t>
  </si>
  <si>
    <t xml:space="preserve">Freigabe Werkstattdetails</t>
  </si>
  <si>
    <t xml:space="preserve">Versand Ende Januar vorgesehen</t>
  </si>
  <si>
    <t xml:space="preserve">Arbeitszeiterhöhung denkbar</t>
  </si>
  <si>
    <t xml:space="preserve">nicht vereinbart</t>
  </si>
  <si>
    <t xml:space="preserve">bis Juni erwogen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</si>
</sst>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 @"/>
    <numFmt numFmtId="166" formatCode="0"/>
    <numFmt numFmtId="167" formatCode="dd\.mm\.yyyy\ "/>
    <numFmt numFmtId="168" formatCode="[$-407]#,##0.00\ ;\(#,##0.00&quot;) &quot;;&quot;– &quot;"/>
    <numFmt numFmtId="169" formatCode="[$-407]0.0%\ 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385A78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b val="true"/>
      <sz val="13"/>
      <color rgb="FF385A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E9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85A78"/>
        <bgColor rgb="FF245E9A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85A7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0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385A78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ill>
        <patternFill patternType="solid">
          <fgColor rgb="FF245E9A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245E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85A78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7_1" displayName="Register7_1" ref="A8:I44" headerRowCount="1" totalsRowCount="0" totalsRowShown="0">
  <autoFilter ref="A8:I44"/>
  <tableColumns count="9">
    <tableColumn id="1" name="Kennung"/>
    <tableColumn id="2" name="Projekt"/>
    <tableColumn id="3" name="Phase"/>
    <tableColumn id="4" name="Leistungserbringer"/>
    <tableColumn id="5" name="Leistungsbereich"/>
    <tableColumn id="6" name="Stand"/>
    <tableColumn id="7" name="Abschluss Phase 8"/>
    <tableColumn id="8" name="Projektkosten netto EUR"/>
    <tableColumn id="9" name="Honorar Faltwe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7_2" displayName="Register7_2" ref="A8:I17" headerRowCount="1" totalsRowCount="0" totalsRowShown="0">
  <autoFilter ref="A8:I17"/>
  <tableColumns count="9">
    <tableColumn id="1" name="Person"/>
    <tableColumn id="2" name="Monat"/>
    <tableColumn id="3" name="Dispositionsstand"/>
    <tableColumn id="4" name="Verfügbar h/W"/>
    <tableColumn id="5" name="Bestand h/W"/>
    <tableColumn id="6" name="Büro h/W"/>
    <tableColumn id="7" name="Lernhaus h/W"/>
    <tableColumn id="8" name="Rest h/W"/>
    <tableColumn id="9" name="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7_3" displayName="Register7_3" ref="A8:H26" headerRowCount="1" totalsRowCount="0" totalsRowShown="0">
  <autoFilter ref="A8:H26"/>
  <tableColumns count="8">
    <tableColumn id="1" name="Datum"/>
    <tableColumn id="2" name="Uhrzeit"/>
    <tableColumn id="3" name="Vorgang"/>
    <tableColumn id="4" name="Beteiligte"/>
    <tableColumn id="5" name="Bezug"/>
    <tableColumn id="6" name="Mitgeteilter Stand"/>
    <tableColumn id="7" name="Unterlage"/>
    <tableColumn id="8" name="Verme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A78"/>
    <pageSetUpPr fitToPage="tru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9"/>
    <col collapsed="false" customWidth="true" hidden="false" outlineLevel="0" max="7" min="6" style="0" width="19"/>
    <col collapsed="false" customWidth="true" hidden="false" outlineLevel="0" max="8" min="8" style="0" width="23"/>
    <col collapsed="false" customWidth="true" hidden="false" outlineLevel="0" max="9" min="9" style="0" width="20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5" t="n">
        <v>36</v>
      </c>
      <c r="B5" s="5"/>
      <c r="C5" s="5"/>
      <c r="D5" s="5"/>
      <c r="E5" s="5"/>
      <c r="F5" s="5"/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</row>
    <row r="9" customFormat="false" ht="22" hidden="false" customHeight="true" outlineLevel="0" collapsed="false">
      <c r="A9" s="7" t="s">
        <v>13</v>
      </c>
      <c r="B9" s="7" t="s">
        <v>14</v>
      </c>
      <c r="C9" s="8" t="n">
        <v>3</v>
      </c>
      <c r="D9" s="7" t="s">
        <v>15</v>
      </c>
      <c r="E9" s="7" t="s">
        <v>16</v>
      </c>
      <c r="F9" s="7" t="s">
        <v>17</v>
      </c>
      <c r="G9" s="9"/>
      <c r="H9" s="10" t="n">
        <v>6200000</v>
      </c>
      <c r="I9" s="11"/>
    </row>
    <row r="10" customFormat="false" ht="22" hidden="false" customHeight="true" outlineLevel="0" collapsed="false">
      <c r="A10" s="12" t="s">
        <v>13</v>
      </c>
      <c r="B10" s="12" t="s">
        <v>14</v>
      </c>
      <c r="C10" s="13" t="n">
        <v>4</v>
      </c>
      <c r="D10" s="12" t="s">
        <v>15</v>
      </c>
      <c r="E10" s="12" t="s">
        <v>16</v>
      </c>
      <c r="F10" s="12" t="s">
        <v>17</v>
      </c>
      <c r="G10" s="14"/>
      <c r="H10" s="15"/>
      <c r="I10" s="16"/>
    </row>
    <row r="11" customFormat="false" ht="22" hidden="false" customHeight="true" outlineLevel="0" collapsed="false">
      <c r="A11" s="7" t="s">
        <v>13</v>
      </c>
      <c r="B11" s="7" t="s">
        <v>14</v>
      </c>
      <c r="C11" s="8" t="n">
        <v>5</v>
      </c>
      <c r="D11" s="7" t="s">
        <v>15</v>
      </c>
      <c r="E11" s="7" t="s">
        <v>16</v>
      </c>
      <c r="F11" s="7" t="s">
        <v>17</v>
      </c>
      <c r="G11" s="9"/>
      <c r="H11" s="17"/>
      <c r="I11" s="11"/>
    </row>
    <row r="12" customFormat="false" ht="22" hidden="false" customHeight="true" outlineLevel="0" collapsed="false">
      <c r="A12" s="12" t="s">
        <v>13</v>
      </c>
      <c r="B12" s="12" t="s">
        <v>14</v>
      </c>
      <c r="C12" s="13" t="n">
        <v>6</v>
      </c>
      <c r="D12" s="12" t="s">
        <v>15</v>
      </c>
      <c r="E12" s="12" t="s">
        <v>16</v>
      </c>
      <c r="F12" s="12" t="s">
        <v>17</v>
      </c>
      <c r="G12" s="14"/>
      <c r="H12" s="15"/>
      <c r="I12" s="16"/>
    </row>
    <row r="13" customFormat="false" ht="22" hidden="false" customHeight="true" outlineLevel="0" collapsed="false">
      <c r="A13" s="7" t="s">
        <v>13</v>
      </c>
      <c r="B13" s="7" t="s">
        <v>14</v>
      </c>
      <c r="C13" s="8" t="n">
        <v>7</v>
      </c>
      <c r="D13" s="7" t="s">
        <v>15</v>
      </c>
      <c r="E13" s="7" t="s">
        <v>16</v>
      </c>
      <c r="F13" s="7" t="s">
        <v>17</v>
      </c>
      <c r="G13" s="9"/>
      <c r="H13" s="17"/>
      <c r="I13" s="11"/>
    </row>
    <row r="14" customFormat="false" ht="22" hidden="false" customHeight="true" outlineLevel="0" collapsed="false">
      <c r="A14" s="12" t="s">
        <v>13</v>
      </c>
      <c r="B14" s="12" t="s">
        <v>14</v>
      </c>
      <c r="C14" s="13" t="n">
        <v>8</v>
      </c>
      <c r="D14" s="12" t="s">
        <v>15</v>
      </c>
      <c r="E14" s="12" t="s">
        <v>16</v>
      </c>
      <c r="F14" s="12" t="s">
        <v>17</v>
      </c>
      <c r="G14" s="14" t="n">
        <v>45534</v>
      </c>
      <c r="H14" s="15"/>
      <c r="I14" s="16"/>
    </row>
    <row r="15" customFormat="false" ht="22" hidden="false" customHeight="true" outlineLevel="0" collapsed="false">
      <c r="A15" s="7" t="s">
        <v>18</v>
      </c>
      <c r="B15" s="7" t="s">
        <v>19</v>
      </c>
      <c r="C15" s="8" t="n">
        <v>3</v>
      </c>
      <c r="D15" s="7" t="s">
        <v>20</v>
      </c>
      <c r="E15" s="7" t="s">
        <v>21</v>
      </c>
      <c r="F15" s="7" t="s">
        <v>17</v>
      </c>
      <c r="G15" s="9"/>
      <c r="H15" s="10" t="n">
        <v>4400000</v>
      </c>
      <c r="I15" s="18" t="n">
        <v>0.4</v>
      </c>
    </row>
    <row r="16" customFormat="false" ht="22" hidden="false" customHeight="true" outlineLevel="0" collapsed="false">
      <c r="A16" s="12" t="s">
        <v>18</v>
      </c>
      <c r="B16" s="12" t="s">
        <v>19</v>
      </c>
      <c r="C16" s="13" t="n">
        <v>4</v>
      </c>
      <c r="D16" s="12" t="s">
        <v>20</v>
      </c>
      <c r="E16" s="12" t="s">
        <v>21</v>
      </c>
      <c r="F16" s="12" t="s">
        <v>17</v>
      </c>
      <c r="G16" s="14"/>
      <c r="H16" s="15"/>
      <c r="I16" s="16"/>
    </row>
    <row r="17" customFormat="false" ht="22" hidden="false" customHeight="true" outlineLevel="0" collapsed="false">
      <c r="A17" s="7" t="s">
        <v>18</v>
      </c>
      <c r="B17" s="7" t="s">
        <v>19</v>
      </c>
      <c r="C17" s="8" t="n">
        <v>5</v>
      </c>
      <c r="D17" s="7" t="s">
        <v>22</v>
      </c>
      <c r="E17" s="7" t="s">
        <v>23</v>
      </c>
      <c r="F17" s="7" t="s">
        <v>17</v>
      </c>
      <c r="G17" s="9"/>
      <c r="H17" s="17"/>
      <c r="I17" s="11"/>
    </row>
    <row r="18" customFormat="false" ht="22" hidden="false" customHeight="true" outlineLevel="0" collapsed="false">
      <c r="A18" s="12" t="s">
        <v>18</v>
      </c>
      <c r="B18" s="12" t="s">
        <v>19</v>
      </c>
      <c r="C18" s="13" t="n">
        <v>6</v>
      </c>
      <c r="D18" s="12" t="s">
        <v>22</v>
      </c>
      <c r="E18" s="12" t="s">
        <v>23</v>
      </c>
      <c r="F18" s="12" t="s">
        <v>17</v>
      </c>
      <c r="G18" s="14"/>
      <c r="H18" s="15"/>
      <c r="I18" s="16"/>
    </row>
    <row r="19" customFormat="false" ht="22" hidden="false" customHeight="true" outlineLevel="0" collapsed="false">
      <c r="A19" s="7" t="s">
        <v>18</v>
      </c>
      <c r="B19" s="7" t="s">
        <v>19</v>
      </c>
      <c r="C19" s="8" t="n">
        <v>7</v>
      </c>
      <c r="D19" s="7" t="s">
        <v>22</v>
      </c>
      <c r="E19" s="7" t="s">
        <v>23</v>
      </c>
      <c r="F19" s="7" t="s">
        <v>17</v>
      </c>
      <c r="G19" s="9"/>
      <c r="H19" s="17"/>
      <c r="I19" s="11"/>
    </row>
    <row r="20" customFormat="false" ht="22" hidden="false" customHeight="true" outlineLevel="0" collapsed="false">
      <c r="A20" s="12" t="s">
        <v>18</v>
      </c>
      <c r="B20" s="12" t="s">
        <v>19</v>
      </c>
      <c r="C20" s="13" t="n">
        <v>8</v>
      </c>
      <c r="D20" s="12" t="s">
        <v>22</v>
      </c>
      <c r="E20" s="12" t="s">
        <v>23</v>
      </c>
      <c r="F20" s="12" t="s">
        <v>17</v>
      </c>
      <c r="G20" s="14" t="n">
        <v>45975</v>
      </c>
      <c r="H20" s="15"/>
      <c r="I20" s="16"/>
    </row>
    <row r="21" customFormat="false" ht="22" hidden="false" customHeight="true" outlineLevel="0" collapsed="false">
      <c r="A21" s="7" t="s">
        <v>24</v>
      </c>
      <c r="B21" s="7" t="s">
        <v>25</v>
      </c>
      <c r="C21" s="8" t="n">
        <v>3</v>
      </c>
      <c r="D21" s="7" t="s">
        <v>15</v>
      </c>
      <c r="E21" s="7" t="s">
        <v>16</v>
      </c>
      <c r="F21" s="7" t="s">
        <v>17</v>
      </c>
      <c r="G21" s="9"/>
      <c r="H21" s="10" t="n">
        <v>5900000</v>
      </c>
      <c r="I21" s="11"/>
    </row>
    <row r="22" customFormat="false" ht="22" hidden="false" customHeight="true" outlineLevel="0" collapsed="false">
      <c r="A22" s="12" t="s">
        <v>24</v>
      </c>
      <c r="B22" s="12" t="s">
        <v>25</v>
      </c>
      <c r="C22" s="13" t="n">
        <v>4</v>
      </c>
      <c r="D22" s="12" t="s">
        <v>15</v>
      </c>
      <c r="E22" s="12" t="s">
        <v>16</v>
      </c>
      <c r="F22" s="12" t="s">
        <v>17</v>
      </c>
      <c r="G22" s="14"/>
      <c r="H22" s="15"/>
      <c r="I22" s="16"/>
    </row>
    <row r="23" customFormat="false" ht="22" hidden="false" customHeight="true" outlineLevel="0" collapsed="false">
      <c r="A23" s="7" t="s">
        <v>24</v>
      </c>
      <c r="B23" s="7" t="s">
        <v>25</v>
      </c>
      <c r="C23" s="8" t="n">
        <v>5</v>
      </c>
      <c r="D23" s="7" t="s">
        <v>15</v>
      </c>
      <c r="E23" s="7" t="s">
        <v>16</v>
      </c>
      <c r="F23" s="7" t="s">
        <v>17</v>
      </c>
      <c r="G23" s="9"/>
      <c r="H23" s="17"/>
      <c r="I23" s="11"/>
    </row>
    <row r="24" customFormat="false" ht="22" hidden="false" customHeight="true" outlineLevel="0" collapsed="false">
      <c r="A24" s="12" t="s">
        <v>24</v>
      </c>
      <c r="B24" s="12" t="s">
        <v>25</v>
      </c>
      <c r="C24" s="13" t="n">
        <v>6</v>
      </c>
      <c r="D24" s="12" t="s">
        <v>15</v>
      </c>
      <c r="E24" s="12" t="s">
        <v>16</v>
      </c>
      <c r="F24" s="12" t="s">
        <v>17</v>
      </c>
      <c r="G24" s="14"/>
      <c r="H24" s="15"/>
      <c r="I24" s="16"/>
    </row>
    <row r="25" customFormat="false" ht="22" hidden="false" customHeight="true" outlineLevel="0" collapsed="false">
      <c r="A25" s="7" t="s">
        <v>24</v>
      </c>
      <c r="B25" s="7" t="s">
        <v>25</v>
      </c>
      <c r="C25" s="8" t="n">
        <v>7</v>
      </c>
      <c r="D25" s="7" t="s">
        <v>15</v>
      </c>
      <c r="E25" s="7" t="s">
        <v>16</v>
      </c>
      <c r="F25" s="7" t="s">
        <v>17</v>
      </c>
      <c r="G25" s="9"/>
      <c r="H25" s="17"/>
      <c r="I25" s="11"/>
    </row>
    <row r="26" customFormat="false" ht="22" hidden="false" customHeight="true" outlineLevel="0" collapsed="false">
      <c r="A26" s="12" t="s">
        <v>24</v>
      </c>
      <c r="B26" s="12" t="s">
        <v>25</v>
      </c>
      <c r="C26" s="13" t="n">
        <v>8</v>
      </c>
      <c r="D26" s="12" t="s">
        <v>15</v>
      </c>
      <c r="E26" s="12" t="s">
        <v>16</v>
      </c>
      <c r="F26" s="12" t="s">
        <v>17</v>
      </c>
      <c r="G26" s="14" t="n">
        <v>44548</v>
      </c>
      <c r="H26" s="15"/>
      <c r="I26" s="16"/>
    </row>
    <row r="27" customFormat="false" ht="22" hidden="false" customHeight="true" outlineLevel="0" collapsed="false">
      <c r="A27" s="7" t="s">
        <v>26</v>
      </c>
      <c r="B27" s="7" t="s">
        <v>27</v>
      </c>
      <c r="C27" s="8" t="n">
        <v>3</v>
      </c>
      <c r="D27" s="7" t="s">
        <v>15</v>
      </c>
      <c r="E27" s="7" t="s">
        <v>28</v>
      </c>
      <c r="F27" s="7" t="s">
        <v>29</v>
      </c>
      <c r="G27" s="9"/>
      <c r="H27" s="10" t="n">
        <v>7100000</v>
      </c>
      <c r="I27" s="11"/>
    </row>
    <row r="28" customFormat="false" ht="22" hidden="false" customHeight="true" outlineLevel="0" collapsed="false">
      <c r="A28" s="12" t="s">
        <v>26</v>
      </c>
      <c r="B28" s="12" t="s">
        <v>27</v>
      </c>
      <c r="C28" s="13" t="n">
        <v>4</v>
      </c>
      <c r="D28" s="12" t="s">
        <v>15</v>
      </c>
      <c r="E28" s="12" t="s">
        <v>28</v>
      </c>
      <c r="F28" s="12" t="s">
        <v>29</v>
      </c>
      <c r="G28" s="14"/>
      <c r="H28" s="15"/>
      <c r="I28" s="16"/>
    </row>
    <row r="29" customFormat="false" ht="22" hidden="false" customHeight="true" outlineLevel="0" collapsed="false">
      <c r="A29" s="7" t="s">
        <v>26</v>
      </c>
      <c r="B29" s="7" t="s">
        <v>27</v>
      </c>
      <c r="C29" s="8" t="n">
        <v>5</v>
      </c>
      <c r="D29" s="7" t="s">
        <v>15</v>
      </c>
      <c r="E29" s="7" t="s">
        <v>28</v>
      </c>
      <c r="F29" s="7" t="s">
        <v>30</v>
      </c>
      <c r="G29" s="9"/>
      <c r="H29" s="17"/>
      <c r="I29" s="11"/>
    </row>
    <row r="30" customFormat="false" ht="22" hidden="false" customHeight="true" outlineLevel="0" collapsed="false">
      <c r="A30" s="12" t="s">
        <v>26</v>
      </c>
      <c r="B30" s="12" t="s">
        <v>27</v>
      </c>
      <c r="C30" s="13" t="n">
        <v>6</v>
      </c>
      <c r="D30" s="12" t="s">
        <v>15</v>
      </c>
      <c r="E30" s="12" t="s">
        <v>28</v>
      </c>
      <c r="F30" s="12" t="s">
        <v>31</v>
      </c>
      <c r="G30" s="14"/>
      <c r="H30" s="15"/>
      <c r="I30" s="16"/>
    </row>
    <row r="31" customFormat="false" ht="22" hidden="false" customHeight="true" outlineLevel="0" collapsed="false">
      <c r="A31" s="7" t="s">
        <v>26</v>
      </c>
      <c r="B31" s="7" t="s">
        <v>27</v>
      </c>
      <c r="C31" s="8" t="n">
        <v>7</v>
      </c>
      <c r="D31" s="7" t="s">
        <v>15</v>
      </c>
      <c r="E31" s="7" t="s">
        <v>28</v>
      </c>
      <c r="F31" s="7" t="s">
        <v>31</v>
      </c>
      <c r="G31" s="9"/>
      <c r="H31" s="17"/>
      <c r="I31" s="11"/>
    </row>
    <row r="32" customFormat="false" ht="22" hidden="false" customHeight="true" outlineLevel="0" collapsed="false">
      <c r="A32" s="12" t="s">
        <v>26</v>
      </c>
      <c r="B32" s="12" t="s">
        <v>27</v>
      </c>
      <c r="C32" s="13" t="n">
        <v>8</v>
      </c>
      <c r="D32" s="12" t="s">
        <v>15</v>
      </c>
      <c r="E32" s="12" t="s">
        <v>28</v>
      </c>
      <c r="F32" s="12" t="s">
        <v>31</v>
      </c>
      <c r="G32" s="14" t="n">
        <v>46568</v>
      </c>
      <c r="H32" s="15"/>
      <c r="I32" s="16"/>
    </row>
    <row r="33" customFormat="false" ht="22" hidden="false" customHeight="true" outlineLevel="0" collapsed="false">
      <c r="A33" s="7" t="s">
        <v>32</v>
      </c>
      <c r="B33" s="7" t="s">
        <v>33</v>
      </c>
      <c r="C33" s="8" t="n">
        <v>3</v>
      </c>
      <c r="D33" s="7" t="s">
        <v>15</v>
      </c>
      <c r="E33" s="7" t="s">
        <v>16</v>
      </c>
      <c r="F33" s="7" t="s">
        <v>17</v>
      </c>
      <c r="G33" s="9"/>
      <c r="H33" s="10" t="n">
        <v>5200000</v>
      </c>
      <c r="I33" s="11"/>
    </row>
    <row r="34" customFormat="false" ht="22" hidden="false" customHeight="true" outlineLevel="0" collapsed="false">
      <c r="A34" s="12" t="s">
        <v>32</v>
      </c>
      <c r="B34" s="12" t="s">
        <v>33</v>
      </c>
      <c r="C34" s="13" t="n">
        <v>4</v>
      </c>
      <c r="D34" s="12" t="s">
        <v>15</v>
      </c>
      <c r="E34" s="12" t="s">
        <v>16</v>
      </c>
      <c r="F34" s="12" t="s">
        <v>17</v>
      </c>
      <c r="G34" s="14"/>
      <c r="H34" s="15"/>
      <c r="I34" s="16"/>
    </row>
    <row r="35" customFormat="false" ht="22" hidden="false" customHeight="true" outlineLevel="0" collapsed="false">
      <c r="A35" s="7" t="s">
        <v>32</v>
      </c>
      <c r="B35" s="7" t="s">
        <v>33</v>
      </c>
      <c r="C35" s="8" t="n">
        <v>5</v>
      </c>
      <c r="D35" s="7" t="s">
        <v>15</v>
      </c>
      <c r="E35" s="7" t="s">
        <v>16</v>
      </c>
      <c r="F35" s="7" t="s">
        <v>17</v>
      </c>
      <c r="G35" s="9"/>
      <c r="H35" s="17"/>
      <c r="I35" s="11"/>
    </row>
    <row r="36" customFormat="false" ht="22" hidden="false" customHeight="true" outlineLevel="0" collapsed="false">
      <c r="A36" s="12" t="s">
        <v>32</v>
      </c>
      <c r="B36" s="12" t="s">
        <v>33</v>
      </c>
      <c r="C36" s="13" t="n">
        <v>6</v>
      </c>
      <c r="D36" s="12" t="s">
        <v>15</v>
      </c>
      <c r="E36" s="12" t="s">
        <v>16</v>
      </c>
      <c r="F36" s="12" t="s">
        <v>17</v>
      </c>
      <c r="G36" s="14"/>
      <c r="H36" s="15"/>
      <c r="I36" s="16"/>
    </row>
    <row r="37" customFormat="false" ht="22" hidden="false" customHeight="true" outlineLevel="0" collapsed="false">
      <c r="A37" s="7" t="s">
        <v>32</v>
      </c>
      <c r="B37" s="7" t="s">
        <v>33</v>
      </c>
      <c r="C37" s="8" t="n">
        <v>7</v>
      </c>
      <c r="D37" s="7" t="s">
        <v>15</v>
      </c>
      <c r="E37" s="7" t="s">
        <v>16</v>
      </c>
      <c r="F37" s="7" t="s">
        <v>17</v>
      </c>
      <c r="G37" s="9"/>
      <c r="H37" s="17"/>
      <c r="I37" s="11"/>
    </row>
    <row r="38" customFormat="false" ht="22" hidden="false" customHeight="true" outlineLevel="0" collapsed="false">
      <c r="A38" s="12" t="s">
        <v>32</v>
      </c>
      <c r="B38" s="12" t="s">
        <v>33</v>
      </c>
      <c r="C38" s="13" t="n">
        <v>8</v>
      </c>
      <c r="D38" s="12" t="s">
        <v>15</v>
      </c>
      <c r="E38" s="12" t="s">
        <v>16</v>
      </c>
      <c r="F38" s="12" t="s">
        <v>17</v>
      </c>
      <c r="G38" s="14" t="n">
        <v>44988</v>
      </c>
      <c r="H38" s="15"/>
      <c r="I38" s="16"/>
    </row>
    <row r="39" customFormat="false" ht="22" hidden="false" customHeight="true" outlineLevel="0" collapsed="false">
      <c r="A39" s="7" t="s">
        <v>34</v>
      </c>
      <c r="B39" s="7" t="s">
        <v>35</v>
      </c>
      <c r="C39" s="8" t="n">
        <v>3</v>
      </c>
      <c r="D39" s="7" t="s">
        <v>36</v>
      </c>
      <c r="E39" s="7" t="s">
        <v>37</v>
      </c>
      <c r="F39" s="7" t="s">
        <v>17</v>
      </c>
      <c r="G39" s="9"/>
      <c r="H39" s="10" t="n">
        <v>3600000</v>
      </c>
      <c r="I39" s="11"/>
    </row>
    <row r="40" customFormat="false" ht="22" hidden="false" customHeight="true" outlineLevel="0" collapsed="false">
      <c r="A40" s="12" t="s">
        <v>34</v>
      </c>
      <c r="B40" s="12" t="s">
        <v>35</v>
      </c>
      <c r="C40" s="13" t="n">
        <v>4</v>
      </c>
      <c r="D40" s="12" t="s">
        <v>36</v>
      </c>
      <c r="E40" s="12" t="s">
        <v>37</v>
      </c>
      <c r="F40" s="12" t="s">
        <v>17</v>
      </c>
      <c r="G40" s="14"/>
      <c r="H40" s="15"/>
      <c r="I40" s="16"/>
    </row>
    <row r="41" customFormat="false" ht="22" hidden="false" customHeight="true" outlineLevel="0" collapsed="false">
      <c r="A41" s="7" t="s">
        <v>34</v>
      </c>
      <c r="B41" s="7" t="s">
        <v>35</v>
      </c>
      <c r="C41" s="8" t="n">
        <v>5</v>
      </c>
      <c r="D41" s="7" t="s">
        <v>36</v>
      </c>
      <c r="E41" s="7" t="s">
        <v>37</v>
      </c>
      <c r="F41" s="7" t="s">
        <v>17</v>
      </c>
      <c r="G41" s="9"/>
      <c r="H41" s="17"/>
      <c r="I41" s="11"/>
    </row>
    <row r="42" customFormat="false" ht="22" hidden="false" customHeight="true" outlineLevel="0" collapsed="false">
      <c r="A42" s="12" t="s">
        <v>34</v>
      </c>
      <c r="B42" s="12" t="s">
        <v>35</v>
      </c>
      <c r="C42" s="13" t="n">
        <v>6</v>
      </c>
      <c r="D42" s="12" t="s">
        <v>36</v>
      </c>
      <c r="E42" s="12" t="s">
        <v>37</v>
      </c>
      <c r="F42" s="12" t="s">
        <v>17</v>
      </c>
      <c r="G42" s="14"/>
      <c r="H42" s="15"/>
      <c r="I42" s="16"/>
    </row>
    <row r="43" customFormat="false" ht="22" hidden="false" customHeight="true" outlineLevel="0" collapsed="false">
      <c r="A43" s="7" t="s">
        <v>34</v>
      </c>
      <c r="B43" s="7" t="s">
        <v>35</v>
      </c>
      <c r="C43" s="8" t="n">
        <v>7</v>
      </c>
      <c r="D43" s="7" t="s">
        <v>36</v>
      </c>
      <c r="E43" s="7" t="s">
        <v>37</v>
      </c>
      <c r="F43" s="7" t="s">
        <v>17</v>
      </c>
      <c r="G43" s="9"/>
      <c r="H43" s="17"/>
      <c r="I43" s="11"/>
    </row>
    <row r="44" customFormat="false" ht="22" hidden="false" customHeight="true" outlineLevel="0" collapsed="false">
      <c r="A44" s="12" t="s">
        <v>34</v>
      </c>
      <c r="B44" s="12" t="s">
        <v>35</v>
      </c>
      <c r="C44" s="13" t="n">
        <v>8</v>
      </c>
      <c r="D44" s="12" t="s">
        <v>36</v>
      </c>
      <c r="E44" s="12" t="s">
        <v>37</v>
      </c>
      <c r="F44" s="12" t="s">
        <v>17</v>
      </c>
      <c r="G44" s="14" t="n">
        <v>44764</v>
      </c>
      <c r="H44" s="15"/>
      <c r="I44" s="16"/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2026-10-05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31"/>
  </cols>
  <sheetData>
    <row r="1" customFormat="false" ht="34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5" t="n">
        <v>9</v>
      </c>
      <c r="B5" s="5"/>
      <c r="C5" s="5"/>
      <c r="D5" s="5"/>
      <c r="E5" s="5"/>
      <c r="F5" s="5"/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</row>
    <row r="9" customFormat="false" ht="22" hidden="false" customHeight="true" outlineLevel="0" collapsed="false">
      <c r="A9" s="7" t="s">
        <v>49</v>
      </c>
      <c r="B9" s="9" t="n">
        <v>46388</v>
      </c>
      <c r="C9" s="9" t="n">
        <v>46295</v>
      </c>
      <c r="D9" s="17" t="n">
        <v>32</v>
      </c>
      <c r="E9" s="17" t="n">
        <v>26</v>
      </c>
      <c r="F9" s="17" t="n">
        <v>6</v>
      </c>
      <c r="G9" s="17" t="n">
        <v>16</v>
      </c>
      <c r="H9" s="17" t="n">
        <f aca="false">D9-SUM(E9:G9)</f>
        <v>-16</v>
      </c>
      <c r="I9" s="7" t="s">
        <v>50</v>
      </c>
    </row>
    <row r="10" customFormat="false" ht="22" hidden="false" customHeight="true" outlineLevel="0" collapsed="false">
      <c r="A10" s="12" t="s">
        <v>49</v>
      </c>
      <c r="B10" s="14" t="n">
        <v>46419</v>
      </c>
      <c r="C10" s="14" t="n">
        <v>46295</v>
      </c>
      <c r="D10" s="15" t="n">
        <v>40</v>
      </c>
      <c r="E10" s="15" t="n">
        <v>24</v>
      </c>
      <c r="F10" s="15" t="n">
        <v>6</v>
      </c>
      <c r="G10" s="15" t="n">
        <v>16</v>
      </c>
      <c r="H10" s="15" t="n">
        <f aca="false">D10-SUM(E10:G10)</f>
        <v>-6</v>
      </c>
      <c r="I10" s="12" t="s">
        <v>50</v>
      </c>
    </row>
    <row r="11" customFormat="false" ht="22" hidden="false" customHeight="true" outlineLevel="0" collapsed="false">
      <c r="A11" s="7" t="s">
        <v>49</v>
      </c>
      <c r="B11" s="9" t="n">
        <v>46447</v>
      </c>
      <c r="C11" s="9" t="n">
        <v>46295</v>
      </c>
      <c r="D11" s="17" t="n">
        <v>40</v>
      </c>
      <c r="E11" s="17" t="n">
        <v>20</v>
      </c>
      <c r="F11" s="17" t="n">
        <v>6</v>
      </c>
      <c r="G11" s="17" t="n">
        <v>16</v>
      </c>
      <c r="H11" s="17" t="n">
        <f aca="false">D11-SUM(E11:G11)</f>
        <v>-2</v>
      </c>
      <c r="I11" s="7" t="s">
        <v>50</v>
      </c>
    </row>
    <row r="12" customFormat="false" ht="22" hidden="false" customHeight="true" outlineLevel="0" collapsed="false">
      <c r="A12" s="12" t="s">
        <v>51</v>
      </c>
      <c r="B12" s="14" t="n">
        <v>46388</v>
      </c>
      <c r="C12" s="14" t="n">
        <v>46295</v>
      </c>
      <c r="D12" s="15" t="n">
        <v>32</v>
      </c>
      <c r="E12" s="15" t="n">
        <v>18</v>
      </c>
      <c r="F12" s="15" t="n">
        <v>2</v>
      </c>
      <c r="G12" s="15" t="n">
        <v>12</v>
      </c>
      <c r="H12" s="15" t="n">
        <f aca="false">D12-SUM(E12:G12)</f>
        <v>0</v>
      </c>
      <c r="I12" s="12" t="s">
        <v>50</v>
      </c>
    </row>
    <row r="13" customFormat="false" ht="22" hidden="false" customHeight="true" outlineLevel="0" collapsed="false">
      <c r="A13" s="7" t="s">
        <v>51</v>
      </c>
      <c r="B13" s="9" t="n">
        <v>46419</v>
      </c>
      <c r="C13" s="9" t="n">
        <v>46295</v>
      </c>
      <c r="D13" s="17" t="n">
        <v>32</v>
      </c>
      <c r="E13" s="17" t="n">
        <v>18</v>
      </c>
      <c r="F13" s="17" t="n">
        <v>2</v>
      </c>
      <c r="G13" s="17" t="n">
        <v>12</v>
      </c>
      <c r="H13" s="17" t="n">
        <f aca="false">D13-SUM(E13:G13)</f>
        <v>0</v>
      </c>
      <c r="I13" s="7" t="s">
        <v>50</v>
      </c>
    </row>
    <row r="14" customFormat="false" ht="22" hidden="false" customHeight="true" outlineLevel="0" collapsed="false">
      <c r="A14" s="12" t="s">
        <v>51</v>
      </c>
      <c r="B14" s="14" t="n">
        <v>46447</v>
      </c>
      <c r="C14" s="14" t="n">
        <v>46295</v>
      </c>
      <c r="D14" s="15" t="n">
        <v>32</v>
      </c>
      <c r="E14" s="15" t="n">
        <v>14</v>
      </c>
      <c r="F14" s="15" t="n">
        <v>2</v>
      </c>
      <c r="G14" s="15" t="n">
        <v>12</v>
      </c>
      <c r="H14" s="15" t="n">
        <f aca="false">D14-SUM(E14:G14)</f>
        <v>4</v>
      </c>
      <c r="I14" s="12" t="s">
        <v>50</v>
      </c>
    </row>
    <row r="15" customFormat="false" ht="22" hidden="false" customHeight="true" outlineLevel="0" collapsed="false">
      <c r="A15" s="7" t="s">
        <v>52</v>
      </c>
      <c r="B15" s="9" t="n">
        <v>46388</v>
      </c>
      <c r="C15" s="9" t="n">
        <v>46295</v>
      </c>
      <c r="D15" s="17" t="n">
        <v>40</v>
      </c>
      <c r="E15" s="17" t="n">
        <v>24</v>
      </c>
      <c r="F15" s="17" t="n">
        <v>2</v>
      </c>
      <c r="G15" s="17" t="n">
        <v>16</v>
      </c>
      <c r="H15" s="17" t="n">
        <f aca="false">D15-SUM(E15:G15)</f>
        <v>-2</v>
      </c>
      <c r="I15" s="7" t="s">
        <v>50</v>
      </c>
    </row>
    <row r="16" customFormat="false" ht="22" hidden="false" customHeight="true" outlineLevel="0" collapsed="false">
      <c r="A16" s="12" t="s">
        <v>52</v>
      </c>
      <c r="B16" s="14" t="n">
        <v>46419</v>
      </c>
      <c r="C16" s="14" t="n">
        <v>46295</v>
      </c>
      <c r="D16" s="15" t="n">
        <v>40</v>
      </c>
      <c r="E16" s="15" t="n">
        <v>20</v>
      </c>
      <c r="F16" s="15" t="n">
        <v>2</v>
      </c>
      <c r="G16" s="15" t="n">
        <v>16</v>
      </c>
      <c r="H16" s="15" t="n">
        <f aca="false">D16-SUM(E16:G16)</f>
        <v>2</v>
      </c>
      <c r="I16" s="12" t="s">
        <v>50</v>
      </c>
    </row>
    <row r="17" customFormat="false" ht="22" hidden="false" customHeight="true" outlineLevel="0" collapsed="false">
      <c r="A17" s="7" t="s">
        <v>52</v>
      </c>
      <c r="B17" s="9" t="n">
        <v>46447</v>
      </c>
      <c r="C17" s="9" t="n">
        <v>46295</v>
      </c>
      <c r="D17" s="17" t="n">
        <v>40</v>
      </c>
      <c r="E17" s="17" t="n">
        <v>16</v>
      </c>
      <c r="F17" s="17" t="n">
        <v>2</v>
      </c>
      <c r="G17" s="17" t="n">
        <v>16</v>
      </c>
      <c r="H17" s="17" t="n">
        <f aca="false">D17-SUM(E17:G17)</f>
        <v>6</v>
      </c>
      <c r="I17" s="7" t="s">
        <v>50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2026-10-05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9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36"/>
  </cols>
  <sheetData>
    <row r="1" customFormat="false" ht="34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5" t="n">
        <v>18</v>
      </c>
      <c r="B5" s="5"/>
      <c r="C5" s="5"/>
      <c r="D5" s="5"/>
      <c r="E5" s="5"/>
      <c r="F5" s="5"/>
      <c r="G5" s="5"/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55</v>
      </c>
      <c r="B8" s="6" t="s">
        <v>56</v>
      </c>
      <c r="C8" s="6" t="s">
        <v>57</v>
      </c>
      <c r="D8" s="6" t="s">
        <v>58</v>
      </c>
      <c r="E8" s="6" t="s">
        <v>59</v>
      </c>
      <c r="F8" s="6" t="s">
        <v>60</v>
      </c>
      <c r="G8" s="6" t="s">
        <v>61</v>
      </c>
      <c r="H8" s="6" t="s">
        <v>62</v>
      </c>
    </row>
    <row r="9" customFormat="false" ht="22" hidden="false" customHeight="true" outlineLevel="0" collapsed="false">
      <c r="A9" s="9" t="n">
        <v>46272</v>
      </c>
      <c r="B9" s="7"/>
      <c r="C9" s="7" t="s">
        <v>63</v>
      </c>
      <c r="D9" s="7" t="s">
        <v>64</v>
      </c>
      <c r="E9" s="7" t="s">
        <v>65</v>
      </c>
      <c r="F9" s="7" t="s">
        <v>66</v>
      </c>
      <c r="G9" s="7" t="s">
        <v>67</v>
      </c>
      <c r="H9" s="7" t="s">
        <v>68</v>
      </c>
    </row>
    <row r="10" customFormat="false" ht="22" hidden="false" customHeight="true" outlineLevel="0" collapsed="false">
      <c r="A10" s="14" t="n">
        <v>46288</v>
      </c>
      <c r="B10" s="12"/>
      <c r="C10" s="12" t="s">
        <v>69</v>
      </c>
      <c r="D10" s="12" t="s">
        <v>70</v>
      </c>
      <c r="E10" s="12" t="s">
        <v>71</v>
      </c>
      <c r="F10" s="12" t="s">
        <v>72</v>
      </c>
      <c r="G10" s="12" t="s">
        <v>73</v>
      </c>
      <c r="H10" s="12" t="s">
        <v>74</v>
      </c>
    </row>
    <row r="11" customFormat="false" ht="22" hidden="false" customHeight="true" outlineLevel="0" collapsed="false">
      <c r="A11" s="9" t="n">
        <v>46290</v>
      </c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</row>
    <row r="12" customFormat="false" ht="22" hidden="false" customHeight="true" outlineLevel="0" collapsed="false">
      <c r="A12" s="14" t="n">
        <v>46295</v>
      </c>
      <c r="B12" s="12"/>
      <c r="C12" s="12" t="s">
        <v>82</v>
      </c>
      <c r="D12" s="12" t="s">
        <v>52</v>
      </c>
      <c r="E12" s="12" t="s">
        <v>83</v>
      </c>
      <c r="F12" s="12" t="s">
        <v>84</v>
      </c>
      <c r="G12" s="12" t="s">
        <v>85</v>
      </c>
      <c r="H12" s="12" t="s">
        <v>86</v>
      </c>
    </row>
    <row r="13" customFormat="false" ht="22" hidden="false" customHeight="true" outlineLevel="0" collapsed="false">
      <c r="A13" s="9" t="n">
        <v>46296</v>
      </c>
      <c r="B13" s="7"/>
      <c r="C13" s="7" t="s">
        <v>87</v>
      </c>
      <c r="D13" s="7" t="s">
        <v>70</v>
      </c>
      <c r="E13" s="7" t="s">
        <v>71</v>
      </c>
      <c r="F13" s="7" t="s">
        <v>88</v>
      </c>
      <c r="G13" s="7" t="s">
        <v>89</v>
      </c>
      <c r="H13" s="7" t="s">
        <v>90</v>
      </c>
    </row>
    <row r="14" customFormat="false" ht="22" hidden="false" customHeight="true" outlineLevel="0" collapsed="false">
      <c r="A14" s="14" t="n">
        <v>46297</v>
      </c>
      <c r="B14" s="12" t="s">
        <v>91</v>
      </c>
      <c r="C14" s="12" t="s">
        <v>92</v>
      </c>
      <c r="D14" s="12" t="s">
        <v>93</v>
      </c>
      <c r="E14" s="12" t="s">
        <v>94</v>
      </c>
      <c r="F14" s="12" t="s">
        <v>95</v>
      </c>
      <c r="G14" s="12" t="s">
        <v>96</v>
      </c>
      <c r="H14" s="12" t="s">
        <v>97</v>
      </c>
    </row>
    <row r="15" customFormat="false" ht="22" hidden="false" customHeight="true" outlineLevel="0" collapsed="false">
      <c r="A15" s="9" t="n">
        <v>46300</v>
      </c>
      <c r="B15" s="7" t="s">
        <v>98</v>
      </c>
      <c r="C15" s="7" t="s">
        <v>99</v>
      </c>
      <c r="D15" s="7" t="s">
        <v>51</v>
      </c>
      <c r="E15" s="7" t="s">
        <v>100</v>
      </c>
      <c r="F15" s="7" t="s">
        <v>101</v>
      </c>
      <c r="G15" s="7" t="s">
        <v>102</v>
      </c>
      <c r="H15" s="7" t="s">
        <v>103</v>
      </c>
    </row>
    <row r="16" customFormat="false" ht="22" hidden="false" customHeight="true" outlineLevel="0" collapsed="false">
      <c r="A16" s="14" t="n">
        <v>46301</v>
      </c>
      <c r="B16" s="12" t="s">
        <v>104</v>
      </c>
      <c r="C16" s="12" t="s">
        <v>105</v>
      </c>
      <c r="D16" s="12" t="s">
        <v>70</v>
      </c>
      <c r="E16" s="12" t="s">
        <v>71</v>
      </c>
      <c r="F16" s="12" t="s">
        <v>106</v>
      </c>
      <c r="G16" s="12" t="s">
        <v>89</v>
      </c>
      <c r="H16" s="12" t="s">
        <v>107</v>
      </c>
    </row>
    <row r="17" customFormat="false" ht="22" hidden="false" customHeight="true" outlineLevel="0" collapsed="false">
      <c r="A17" s="9" t="n">
        <v>46302</v>
      </c>
      <c r="B17" s="7"/>
      <c r="C17" s="7" t="s">
        <v>108</v>
      </c>
      <c r="D17" s="7" t="s">
        <v>109</v>
      </c>
      <c r="E17" s="7" t="s">
        <v>71</v>
      </c>
      <c r="F17" s="7" t="s">
        <v>110</v>
      </c>
      <c r="G17" s="7" t="s">
        <v>89</v>
      </c>
      <c r="H17" s="7" t="s">
        <v>111</v>
      </c>
    </row>
    <row r="18" customFormat="false" ht="22" hidden="false" customHeight="true" outlineLevel="0" collapsed="false">
      <c r="A18" s="14" t="n">
        <v>46304</v>
      </c>
      <c r="B18" s="12" t="s">
        <v>75</v>
      </c>
      <c r="C18" s="12" t="s">
        <v>112</v>
      </c>
      <c r="D18" s="12" t="s">
        <v>15</v>
      </c>
      <c r="E18" s="12" t="s">
        <v>65</v>
      </c>
      <c r="F18" s="12" t="s">
        <v>113</v>
      </c>
      <c r="G18" s="12" t="s">
        <v>67</v>
      </c>
      <c r="H18" s="12" t="s">
        <v>114</v>
      </c>
    </row>
    <row r="19" customFormat="false" ht="22" hidden="false" customHeight="true" outlineLevel="0" collapsed="false">
      <c r="A19" s="9" t="n">
        <v>46311</v>
      </c>
      <c r="B19" s="7"/>
      <c r="C19" s="7" t="s">
        <v>115</v>
      </c>
      <c r="D19" s="7" t="s">
        <v>116</v>
      </c>
      <c r="E19" s="7" t="s">
        <v>83</v>
      </c>
      <c r="F19" s="7" t="s">
        <v>117</v>
      </c>
      <c r="G19" s="7" t="s">
        <v>118</v>
      </c>
      <c r="H19" s="7" t="s">
        <v>119</v>
      </c>
    </row>
    <row r="20" customFormat="false" ht="34" hidden="false" customHeight="true" outlineLevel="0" collapsed="false">
      <c r="A20" s="14" t="n">
        <v>46391</v>
      </c>
      <c r="B20" s="12"/>
      <c r="C20" s="12" t="s">
        <v>120</v>
      </c>
      <c r="D20" s="12" t="s">
        <v>49</v>
      </c>
      <c r="E20" s="12" t="s">
        <v>94</v>
      </c>
      <c r="F20" s="12" t="s">
        <v>121</v>
      </c>
      <c r="G20" s="12" t="s">
        <v>122</v>
      </c>
      <c r="H20" s="12" t="s">
        <v>123</v>
      </c>
    </row>
    <row r="21" customFormat="false" ht="22" hidden="false" customHeight="true" outlineLevel="0" collapsed="false">
      <c r="A21" s="9" t="n">
        <v>46395</v>
      </c>
      <c r="B21" s="7"/>
      <c r="C21" s="7" t="s">
        <v>124</v>
      </c>
      <c r="D21" s="7" t="s">
        <v>51</v>
      </c>
      <c r="E21" s="7" t="s">
        <v>100</v>
      </c>
      <c r="F21" s="7" t="s">
        <v>125</v>
      </c>
      <c r="G21" s="7" t="s">
        <v>126</v>
      </c>
      <c r="H21" s="7" t="s">
        <v>127</v>
      </c>
    </row>
    <row r="22" customFormat="false" ht="22" hidden="false" customHeight="true" outlineLevel="0" collapsed="false">
      <c r="A22" s="14" t="n">
        <v>46399</v>
      </c>
      <c r="B22" s="12"/>
      <c r="C22" s="12" t="s">
        <v>128</v>
      </c>
      <c r="D22" s="12" t="s">
        <v>51</v>
      </c>
      <c r="E22" s="12" t="s">
        <v>100</v>
      </c>
      <c r="F22" s="12" t="s">
        <v>129</v>
      </c>
      <c r="G22" s="12" t="s">
        <v>126</v>
      </c>
      <c r="H22" s="12" t="s">
        <v>130</v>
      </c>
    </row>
    <row r="23" customFormat="false" ht="34" hidden="false" customHeight="true" outlineLevel="0" collapsed="false">
      <c r="A23" s="9" t="n">
        <v>46402</v>
      </c>
      <c r="B23" s="7"/>
      <c r="C23" s="7" t="s">
        <v>131</v>
      </c>
      <c r="D23" s="7" t="s">
        <v>49</v>
      </c>
      <c r="E23" s="7" t="s">
        <v>94</v>
      </c>
      <c r="F23" s="7" t="s">
        <v>121</v>
      </c>
      <c r="G23" s="7" t="s">
        <v>122</v>
      </c>
      <c r="H23" s="7" t="s">
        <v>132</v>
      </c>
    </row>
    <row r="24" customFormat="false" ht="22" hidden="false" customHeight="true" outlineLevel="0" collapsed="false">
      <c r="A24" s="14" t="n">
        <v>46406</v>
      </c>
      <c r="B24" s="12" t="s">
        <v>133</v>
      </c>
      <c r="C24" s="12" t="s">
        <v>134</v>
      </c>
      <c r="D24" s="12" t="s">
        <v>49</v>
      </c>
      <c r="E24" s="12" t="s">
        <v>100</v>
      </c>
      <c r="F24" s="12" t="s">
        <v>135</v>
      </c>
      <c r="G24" s="12" t="s">
        <v>126</v>
      </c>
      <c r="H24" s="12" t="s">
        <v>136</v>
      </c>
    </row>
    <row r="25" customFormat="false" ht="22" hidden="false" customHeight="true" outlineLevel="0" collapsed="false">
      <c r="A25" s="9" t="n">
        <v>46413</v>
      </c>
      <c r="B25" s="7" t="s">
        <v>133</v>
      </c>
      <c r="C25" s="7" t="s">
        <v>134</v>
      </c>
      <c r="D25" s="7" t="s">
        <v>49</v>
      </c>
      <c r="E25" s="7" t="s">
        <v>100</v>
      </c>
      <c r="F25" s="7" t="s">
        <v>135</v>
      </c>
      <c r="G25" s="7" t="s">
        <v>126</v>
      </c>
      <c r="H25" s="7" t="s">
        <v>137</v>
      </c>
    </row>
    <row r="26" customFormat="false" ht="22" hidden="false" customHeight="true" outlineLevel="0" collapsed="false">
      <c r="A26" s="14" t="n">
        <v>46447</v>
      </c>
      <c r="B26" s="12"/>
      <c r="C26" s="12" t="s">
        <v>138</v>
      </c>
      <c r="D26" s="12" t="s">
        <v>51</v>
      </c>
      <c r="E26" s="12" t="s">
        <v>94</v>
      </c>
      <c r="F26" s="12" t="s">
        <v>139</v>
      </c>
      <c r="G26" s="12" t="s">
        <v>96</v>
      </c>
      <c r="H26" s="12" t="s">
        <v>140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2026-10-05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