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4286758ee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azität" sheetId="1" r:id="Rf0f9cc0aae1f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39178b5724af4" /><Relationship Type="http://schemas.openxmlformats.org/officeDocument/2006/relationships/theme" Target="/xl/theme/theme1.xml" Id="R50db624ac73340e2" /><Relationship Type="http://schemas.openxmlformats.org/officeDocument/2006/relationships/sharedStrings" Target="/xl/sharedStrings.xml" Id="Rb3bad6181d5e421e" /><Relationship Type="http://schemas.openxmlformats.org/officeDocument/2006/relationships/worksheet" Target="/xl/worksheets/sheet1.xml" Id="Rf0f9cc0aae1f4b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Personaleinsatz erstes Quartal 2027</ns0:v>
      </ns0:c>
      <ns0:c r="B2" s="8"/>
      <ns0:c r="C2" s="8"/>
      <ns0:c r="D2" s="8"/>
      <ns0:c r="E2" s="8"/>
      <ns0:c r="F2" s="8"/>
    </ns0:row>
    <ns0:row r="3" ht="28" customHeight="1">
      <ns0:c r="A3" s="6" t="str">
        <ns0:v>Faltwerk / Anna Finke | 2026-09-30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Person und Monat</ns0:v>
      </ns0:c>
      <ns0:c r="B5" s="10" t="str">
        <ns0:v>Verfügbar h/W</ns0:v>
      </ns0:c>
      <ns0:c r="C5" s="10" t="str">
        <ns0:v>Bestand h/W</ns0:v>
      </ns0:c>
      <ns0:c r="D5" s="10" t="str">
        <ns0:v>Büro h/W</ns0:v>
      </ns0:c>
      <ns0:c r="E5" s="10" t="str">
        <ns0:v>Lernhaus h/W</ns0:v>
      </ns0:c>
      <ns0:c r="F5" s="10" t="str">
        <ns0:v>Rest h/W</ns0:v>
      </ns0:c>
    </ns0:row>
    <ns0:row r="6" ht="22" customHeight="1">
      <ns0:c r="A6" s="11" t="str">
        <ns0:v>Kruse Januar</ns0:v>
      </ns0:c>
      <ns0:c r="B6" s="13" t="n">
        <ns0:v>32</ns0:v>
      </ns0:c>
      <ns0:c r="C6" s="12" t="n">
        <ns0:v>26</ns0:v>
      </ns0:c>
      <ns0:c r="D6" s="13" t="n">
        <ns0:v>6</ns0:v>
      </ns0:c>
      <ns0:c r="E6" s="13" t="n">
        <ns0:v>16</ns0:v>
      </ns0:c>
      <ns0:c r="F6" s="13" t="n">
        <ns0:f>B6-C6-D6-E6</ns0:f>
        <ns0:v>-16</ns0:v>
      </ns0:c>
    </ns0:row>
    <ns0:row r="7" ht="22" customHeight="1">
      <ns0:c r="A7" s="7" t="str">
        <ns0:v>Kruse Februar</ns0:v>
      </ns0:c>
      <ns0:c r="B7" s="14" t="n">
        <ns0:v>40</ns0:v>
      </ns0:c>
      <ns0:c r="C7" s="6" t="n">
        <ns0:v>24</ns0:v>
      </ns0:c>
      <ns0:c r="D7" s="14" t="n">
        <ns0:v>6</ns0:v>
      </ns0:c>
      <ns0:c r="E7" s="14" t="n">
        <ns0:v>16</ns0:v>
      </ns0:c>
      <ns0:c r="F7" s="14" t="n">
        <ns0:f>B7-C7-D7-E7</ns0:f>
        <ns0:v>-6</ns0:v>
      </ns0:c>
    </ns0:row>
    <ns0:row r="8" ht="22" customHeight="1">
      <ns0:c r="A8" s="11" t="str">
        <ns0:v>Kruse März</ns0:v>
      </ns0:c>
      <ns0:c r="B8" s="13" t="n">
        <ns0:v>40</ns0:v>
      </ns0:c>
      <ns0:c r="C8" s="12" t="n">
        <ns0:v>20</ns0:v>
      </ns0:c>
      <ns0:c r="D8" s="13" t="n">
        <ns0:v>6</ns0:v>
      </ns0:c>
      <ns0:c r="E8" s="13" t="n">
        <ns0:v>16</ns0:v>
      </ns0:c>
      <ns0:c r="F8" s="13" t="n">
        <ns0:f>B8-C8-D8-E8</ns0:f>
        <ns0:v>-2</ns0:v>
      </ns0:c>
    </ns0:row>
    <ns0:row r="9" ht="22" customHeight="1">
      <ns0:c r="A9" s="7" t="str">
        <ns0:v>Aydin Januar</ns0:v>
      </ns0:c>
      <ns0:c r="B9" s="14" t="n">
        <ns0:v>32</ns0:v>
      </ns0:c>
      <ns0:c r="C9" s="6" t="n">
        <ns0:v>18</ns0:v>
      </ns0:c>
      <ns0:c r="D9" s="14" t="n">
        <ns0:v>2</ns0:v>
      </ns0:c>
      <ns0:c r="E9" s="14" t="n">
        <ns0:v>12</ns0:v>
      </ns0:c>
      <ns0:c r="F9" s="14" t="n">
        <ns0:f>B9-C9-D9-E9</ns0:f>
        <ns0:v>0</ns0:v>
      </ns0:c>
    </ns0:row>
    <ns0:row r="10" ht="22" customHeight="1">
      <ns0:c r="A10" s="11" t="str">
        <ns0:v>Aydin Februar</ns0:v>
      </ns0:c>
      <ns0:c r="B10" s="13" t="n">
        <ns0:v>32</ns0:v>
      </ns0:c>
      <ns0:c r="C10" s="12" t="n">
        <ns0:v>18</ns0:v>
      </ns0:c>
      <ns0:c r="D10" s="13" t="n">
        <ns0:v>2</ns0:v>
      </ns0:c>
      <ns0:c r="E10" s="13" t="n">
        <ns0:v>12</ns0:v>
      </ns0:c>
      <ns0:c r="F10" s="13" t="n">
        <ns0:f>B10-C10-D10-E10</ns0:f>
        <ns0:v>0</ns0:v>
      </ns0:c>
    </ns0:row>
    <ns0:row r="11" ht="22" customHeight="1">
      <ns0:c r="A11" s="7" t="str">
        <ns0:v>Aydin März</ns0:v>
      </ns0:c>
      <ns0:c r="B11" s="14" t="n">
        <ns0:v>32</ns0:v>
      </ns0:c>
      <ns0:c r="C11" s="6" t="n">
        <ns0:v>14</ns0:v>
      </ns0:c>
      <ns0:c r="D11" s="14" t="n">
        <ns0:v>2</ns0:v>
      </ns0:c>
      <ns0:c r="E11" s="14" t="n">
        <ns0:v>12</ns0:v>
      </ns0:c>
      <ns0:c r="F11" s="14" t="n">
        <ns0:f>B11-C11-D11-E11</ns0:f>
        <ns0:v>4</ns0:v>
      </ns0:c>
    </ns0:row>
    <ns0:row r="12" ht="22" customHeight="1">
      <ns0:c r="A12" s="11" t="str">
        <ns0:v>Weiß Januar</ns0:v>
      </ns0:c>
      <ns0:c r="B12" s="13" t="n">
        <ns0:v>40</ns0:v>
      </ns0:c>
      <ns0:c r="C12" s="12" t="n">
        <ns0:v>24</ns0:v>
      </ns0:c>
      <ns0:c r="D12" s="13" t="n">
        <ns0:v>2</ns0:v>
      </ns0:c>
      <ns0:c r="E12" s="13" t="n">
        <ns0:v>16</ns0:v>
      </ns0:c>
      <ns0:c r="F12" s="13" t="n">
        <ns0:f>B12-C12-D12-E12</ns0:f>
        <ns0:v>-2</ns0:v>
      </ns0:c>
    </ns0:row>
    <ns0:row r="13" ht="22" customHeight="1">
      <ns0:c r="A13" s="7" t="str">
        <ns0:v>Weiß Februar</ns0:v>
      </ns0:c>
      <ns0:c r="B13" s="14" t="n">
        <ns0:v>40</ns0:v>
      </ns0:c>
      <ns0:c r="C13" s="6" t="n">
        <ns0:v>20</ns0:v>
      </ns0:c>
      <ns0:c r="D13" s="14" t="n">
        <ns0:v>2</ns0:v>
      </ns0:c>
      <ns0:c r="E13" s="14" t="n">
        <ns0:v>16</ns0:v>
      </ns0:c>
      <ns0:c r="F13" s="14" t="n">
        <ns0:f>B13-C13-D13-E13</ns0:f>
        <ns0:v>2</ns0:v>
      </ns0:c>
    </ns0:row>
    <ns0:row r="14" ht="22" customHeight="1">
      <ns0:c r="A14" s="11" t="str">
        <ns0:v>Weiß März</ns0:v>
      </ns0:c>
      <ns0:c r="B14" s="13" t="n">
        <ns0:v>40</ns0:v>
      </ns0:c>
      <ns0:c r="C14" s="12" t="n">
        <ns0:v>16</ns0:v>
      </ns0:c>
      <ns0:c r="D14" s="13" t="n">
        <ns0:v>2</ns0:v>
      </ns0:c>
      <ns0:c r="E14" s="13" t="n">
        <ns0:v>16</ns0:v>
      </ns0:c>
      <ns0:c r="F14" s="13" t="n">
        <ns0:f>B14-C14-D14-E14</ns0:f>
        <ns0:v>6</ns0:v>
      </ns0:c>
    </ns0:row>
    <ns0:row r="15" ht="22" customHeight="1">
      <ns0:c r="A15" s="6"/>
      <ns0:c r="B15" s="6"/>
      <ns0:c r="C15" s="6"/>
      <ns0:c r="D15" s="6"/>
      <ns0:c r="E15" s="6"/>
      <ns0:c r="F15" s="6"/>
    </ns0:row>
    <ns0:row r="16" ht="22" customHeight="1">
      <ns0:c r="A16" s="6" t="str">
        <ns0:v>Durchschnittliche Wochenstunden je Monat, keine Vollzeitäquivalente.</ns0:v>
      </ns0:c>
      <ns0:c r="B16" s="6"/>
      <ns0:c r="C16" s="6"/>
      <ns0:c r="D16" s="6"/>
      <ns0:c r="E16" s="6"/>
      <ns0:c r="F16" s="6"/>
    </ns0:row>
    <ns0:row r="17" ht="22" customHeight="1">
      <ns0:c r="A17" s="6" t="str">
        <ns0:v>Lernhaus ist eine Disposition, noch keine Freigabe. Urlaub ist in Verfügbar enthalten.</ns0:v>
      </ns0:c>
      <ns0:c r="B17" s="6"/>
      <ns0:c r="C17" s="6"/>
      <ns0:c r="D17" s="6"/>
      <ns0:c r="E17" s="6"/>
      <ns0:c r="F17" s="6"/>
    </ns0:row>
    <ns0:row r="18" ht="22" customHeight="1">
      <ns0:c r="A18" s="6" t="str">
        <ns0:v>gez. Anna Finke; 30.09.2026. Externe Zusagen sind nicht eingerechnet.</ns0:v>
      </ns0:c>
      <ns0:c r="B18" s="6"/>
      <ns0:c r="C18" s="6"/>
      <ns0:c r="D18" s="6"/>
      <ns0:c r="E18" s="6"/>
      <ns0:c r="F18" s="6"/>
    </ns0:row>
  </ns0:sheetData>
  <ns0:mergeCells>
    <ns0:mergeCell ref="A2:F2"/>
    <ns0:mergeCell ref="A3:F3"/>
    <ns0:mergeCell ref="A16:F16"/>
    <ns0:mergeCell ref="A17:F17"/>
    <ns0:mergeCell ref="A18:F18"/>
  </ns0:mergeCells>
  <ns0:pageMargins left="0.3" right="0.3" top="0.4" bottom="0.4" header="0.2" footer="0.2"/>
  <ns0:pageSetup paperSize="9" orientation="landscape" fitToWidth="1" fitToHeight="1"/>
</ns0:worksheet>
</file>