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69ef67bac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derungskonto" sheetId="1" r:id="Rf1e1855867f64650"/>
    <x:sheet xmlns:r="http://schemas.openxmlformats.org/officeDocument/2006/relationships" name="Zahlungsbelege" sheetId="2" r:id="Ra3a446ecdbb0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(#,##0.00);0.00"/>
    <x:numFmt numFmtId="202" formatCode="#,##0.00&quot;   &quot;;(#,##0.00)&quot;   &quot;;0.00&quot;   &quot;"/>
  </x:numFmts>
  <x:fonts count="11">
    <x:font>
      <x:sz val="11"/>
      <x:name val="Carlito"/>
    </x:font>
    <x:font>
      <x:sz val="11"/>
      <x:color rgb="FF252B29"/>
      <x:name val="Arial"/>
    </x:font>
    <x:font>
      <x:b/>
      <x:sz val="16"/>
      <x:color rgb="FF252B29"/>
      <x:name val="Arial"/>
    </x:font>
    <x:font>
      <x:b/>
      <x:sz val="14"/>
      <x:color rgb="FF252B29"/>
      <x:name val="Arial"/>
    </x:font>
    <x:font>
      <x:sz val="11"/>
      <x:color rgb="FF58605D"/>
      <x:name val="Arial"/>
    </x:font>
    <x:font>
      <x:i/>
      <x:sz val="11"/>
      <x:color rgb="FF58605D"/>
      <x:name val="Arial"/>
    </x:font>
    <x:font>
      <x:b/>
      <x:sz val="11"/>
      <x:color rgb="FFFFFFFF"/>
      <x:name val="Arial"/>
    </x:font>
    <x:font>
      <x:b/>
      <x:sz val="11"/>
      <x:color rgb="FF252B29"/>
      <x:name val="Arial"/>
    </x:font>
    <x:font>
      <x:sz val="11"/>
      <x:color rgb="FF24548A"/>
      <x:name val="Arial"/>
    </x:font>
    <x:font>
      <x:sz val="10"/>
      <x:color rgb="FF58605D"/>
      <x:name val="Arial"/>
    </x:font>
    <x:font>
      <x:i/>
      <x:sz val="10"/>
      <x:color rgb="FF5860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544B"/>
      </x:patternFill>
    </x:fill>
    <x:fill>
      <x:patternFill patternType="solid">
        <x:fgColor rgb="FFE8EEEA"/>
      </x:patternFill>
    </x:fill>
  </x:fills>
  <x:borders count="6">
    <x:border/>
    <x:border>
      <x:bottom style="thin">
        <x:color rgb="FFCFD6D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40544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horizontal="right" vertical="center"/>
    </x:xf>
    <x:xf numFmtId="0" fontId="7" fillId="3" borderId="5" xfId="0" applyNumberFormat="1" applyFont="1" applyFill="1" applyBorder="1" applyAlignment="1">
      <x:alignment vertical="center"/>
    </x:xf>
    <x:xf numFmtId="201" fontId="7" fillId="3" borderId="5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bd7599cc547af" /><Relationship Type="http://schemas.openxmlformats.org/officeDocument/2006/relationships/theme" Target="/xl/theme/theme1.xml" Id="R9696fca58fe74d68" /><Relationship Type="http://schemas.openxmlformats.org/officeDocument/2006/relationships/sharedStrings" Target="/xl/sharedStrings.xml" Id="R0e0f8c3fae0a40e3" /><Relationship Type="http://schemas.openxmlformats.org/officeDocument/2006/relationships/worksheet" Target="/xl/worksheets/sheet1.xml" Id="Rf1e1855867f64650" /><Relationship Type="http://schemas.openxmlformats.org/officeDocument/2006/relationships/worksheet" Target="/xl/worksheets/sheet2.xml" Id="Ra3a446ecdbb044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0544B"/>
  </x:sheetPr>
  <x:sheetViews>
    <x:sheetView showGridLines="0" workbookViewId="0"/>
  </x:sheetViews>
  <x:sheetFormatPr defaultRowHeight="15"/>
  <x:cols>
    <x:col min="1" max="1" width="15" hidden="0" customWidth="1"/>
    <x:col min="2" max="2" width="24.440000534057617" hidden="0" customWidth="1"/>
    <x:col min="3" max="3" width="19.329999923706055" hidden="0" customWidth="1"/>
    <x:col min="4" max="4" width="14.670000076293945" hidden="0" customWidth="1"/>
    <x:col min="5" max="5" width="14.670000076293945" hidden="0" customWidth="1"/>
    <x:col min="6" max="6" width="13.329999923706055" hidden="0" customWidth="1"/>
    <x:col min="7" max="7" width="2" hidden="0" customWidth="1"/>
    <x:col min="8" max="8" width="29.440000534057617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InkassoZentrale GmbH</x:v>
      </x:c>
      <x:c r="B2" s="2"/>
      <x:c r="C2" s="2"/>
      <x:c r="D2" s="2"/>
      <x:c r="E2" s="2"/>
      <x:c r="F2" s="2"/>
      <x:c r="G2" s="2"/>
      <x:c r="H2" s="2"/>
    </x:row>
    <x:row r="3" ht="23" customHeight="1">
      <x:c r="A3" s="5" t="str">
        <x:v>Forderungskonto</x:v>
      </x:c>
      <x:c r="B3" s="6"/>
      <x:c r="C3" s="6"/>
      <x:c r="D3" s="6"/>
      <x:c r="E3" s="6"/>
      <x:c r="F3" s="6"/>
      <x:c r="G3" s="6"/>
      <x:c r="H3" s="6"/>
    </x:row>
    <x:row r="4" ht="8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9" t="str">
        <x:v>Stand</x:v>
      </x:c>
      <x:c r="B5" s="8" t="n">
        <x:v>45843</x:v>
      </x:c>
      <x:c r="C5" s="9" t="str">
        <x:v>Vorgang</x:v>
      </x:c>
      <x:c r="D5" s="2" t="str">
        <x:v>IZ-MF-2025-1749</x:v>
      </x:c>
      <x:c r="E5" s="2"/>
      <x:c r="F5" s="2"/>
      <x:c r="G5" s="2"/>
      <x:c r="H5" s="2"/>
    </x:row>
    <x:row r="6" ht="23" customHeight="1">
      <x:c r="A6" s="9" t="str">
        <x:v>Kundenkonto</x:v>
      </x:c>
      <x:c r="B6" s="2" t="str">
        <x:v>KD-0047-ALT</x:v>
      </x:c>
      <x:c r="C6" s="9" t="str">
        <x:v>Schuldner</x:v>
      </x:c>
      <x:c r="D6" s="2" t="str">
        <x:v>Gottlieb von Altenhausen</x:v>
      </x:c>
      <x:c r="E6" s="2"/>
      <x:c r="F6" s="2"/>
      <x:c r="G6" s="2"/>
      <x:c r="H6" s="2"/>
    </x:row>
    <x:row r="7" ht="23" customHeight="1">
      <x:c r="A7" s="9" t="str">
        <x:v>Rechnung</x:v>
      </x:c>
      <x:c r="B7" s="2" t="str">
        <x:v>R-20250406-3098</x:v>
      </x:c>
      <x:c r="C7" s="9" t="str">
        <x:v>Bestellung</x:v>
      </x:c>
      <x:c r="D7" s="2" t="str">
        <x:v>MF-20250403-1749</x:v>
      </x:c>
      <x:c r="E7" s="2"/>
      <x:c r="F7" s="2"/>
      <x:c r="G7" s="2"/>
      <x:c r="H7" s="2"/>
    </x:row>
    <x:row r="8" ht="23" customHeight="1">
      <x:c r="A8" s="9" t="str">
        <x:v>Auftraggeberin</x:v>
      </x:c>
      <x:c r="B8" s="2" t="str">
        <x:v>ModeFuchs GmbH</x:v>
      </x:c>
      <x:c r="C8" s="9" t="str">
        <x:v>Bearbeitung</x:v>
      </x:c>
      <x:c r="D8" s="2" t="str">
        <x:v>Denise Radtke</x:v>
      </x:c>
      <x:c r="E8" s="2"/>
      <x:c r="F8" s="2"/>
      <x:c r="G8" s="2"/>
      <x:c r="H8" s="2"/>
    </x:row>
    <x:row r="9" ht="8" customHeight="1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10" t="str">
        <x:v>Übernommene Belastungen und eingegangene Gutschriften. Zahlung unaufgeteilt gebucht.</x:v>
      </x:c>
      <x:c r="B10" s="2"/>
      <x:c r="C10" s="2"/>
      <x:c r="D10" s="2"/>
      <x:c r="E10" s="2"/>
      <x:c r="F10" s="2"/>
      <x:c r="G10" s="2"/>
      <x:c r="H10" s="2"/>
    </x:row>
    <x:row r="11" ht="48" customHeight="1">
      <x:c r="A11" s="19" t="str">
        <x:v>Belegdatum</x:v>
      </x:c>
      <x:c r="B11" s="20" t="str">
        <x:v>Buchungstext</x:v>
      </x:c>
      <x:c r="C11" s="20" t="str">
        <x:v>Beleg</x:v>
      </x:c>
      <x:c r="D11" s="20" t="str">
        <x:v>Angeforderte
Belastungen (EUR)</x:v>
      </x:c>
      <x:c r="E11" s="20" t="str">
        <x:v>Eingegangene
Gutschriften (EUR)</x:v>
      </x:c>
      <x:c r="F11" s="21" t="str">
        <x:v>Buchsaldo (EUR)</x:v>
      </x:c>
      <x:c r="G11" s="2"/>
      <x:c r="H11" s="22" t="str">
        <x:v>Belegquelle</x:v>
      </x:c>
    </x:row>
    <x:row r="12" ht="42" customHeight="1">
      <x:c r="A12" s="8" t="n">
        <x:v>45816</x:v>
      </x:c>
      <x:c r="B12" s="27" t="str">
        <x:v>Übernahme Hauptforderung</x:v>
      </x:c>
      <x:c r="C12" s="27" t="str">
        <x:v>R-20250406-3098</x:v>
      </x:c>
      <x:c r="D12" s="25" t="n">
        <x:v>698</x:v>
      </x:c>
      <x:c r="E12" s="25" t="n">
        <x:v>0</x:v>
      </x:c>
      <x:c r="F12" s="26" t="n">
        <x:f>ROUND(D12-E12,2)</x:f>
        <x:v>698</x:v>
      </x:c>
      <x:c r="G12" s="2"/>
      <x:c r="H12" s="28" t="str">
        <x:v>04 Rechnung; 13 Eingangsvermerk (je S. 1)</x:v>
      </x:c>
    </x:row>
    <x:row r="13" ht="42" customHeight="1">
      <x:c r="A13" s="8" t="n">
        <x:v>45816</x:v>
      </x:c>
      <x:c r="B13" s="27" t="str">
        <x:v>Mahngebühren, Vorbestand</x:v>
      </x:c>
      <x:c r="C13" s="27" t="str">
        <x:v>Mahnung 04.05.2025</x:v>
      </x:c>
      <x:c r="D13" s="25" t="n">
        <x:v>5.5</x:v>
      </x:c>
      <x:c r="E13" s="25" t="n">
        <x:v>0</x:v>
      </x:c>
      <x:c r="F13" s="26" t="n">
        <x:f>ROUND(SUM(F12,D13)-E13,2)</x:f>
        <x:v>703.5</x:v>
      </x:c>
      <x:c r="G13" s="2"/>
      <x:c r="H13" s="28" t="str">
        <x:v>06 Mahnung; 13 Eingangsvermerk (je S. 1)</x:v>
      </x:c>
    </x:row>
    <x:row r="14" ht="42" customHeight="1">
      <x:c r="A14" s="8" t="n">
        <x:v>45816</x:v>
      </x:c>
      <x:c r="B14" s="27" t="str">
        <x:v>Zinsen, Vorbestand</x:v>
      </x:c>
      <x:c r="C14" s="27" t="str">
        <x:v>Abtretung 08.06.2025</x:v>
      </x:c>
      <x:c r="D14" s="25" t="n">
        <x:v>10.8</x:v>
      </x:c>
      <x:c r="E14" s="25" t="n">
        <x:v>0</x:v>
      </x:c>
      <x:c r="F14" s="26" t="n">
        <x:f>ROUND(SUM(F13,D14)-E14,2)</x:f>
        <x:v>714.3</x:v>
      </x:c>
      <x:c r="G14" s="2"/>
      <x:c r="H14" s="28" t="str">
        <x:v>09 Abtretung; 13 Eingangsvermerk (je S. 1)</x:v>
      </x:c>
    </x:row>
    <x:row r="15" ht="42" customHeight="1">
      <x:c r="A15" s="8" t="n">
        <x:v>45818</x:v>
      </x:c>
      <x:c r="B15" s="27" t="str">
        <x:v>Inkassokosten</x:v>
      </x:c>
      <x:c r="C15" s="27" t="str">
        <x:v>IZ-R-20250610-88291</x:v>
      </x:c>
      <x:c r="D15" s="25" t="n">
        <x:v>83.54</x:v>
      </x:c>
      <x:c r="E15" s="25" t="n">
        <x:v>0</x:v>
      </x:c>
      <x:c r="F15" s="26" t="n">
        <x:f>ROUND(SUM(F14,D15)-E15,2)</x:f>
        <x:v>797.84</x:v>
      </x:c>
      <x:c r="G15" s="2"/>
      <x:c r="H15" s="28" t="str">
        <x:v>12 Gebührenrechnung, S. 1</x:v>
      </x:c>
    </x:row>
    <x:row r="16" ht="42" customHeight="1">
      <x:c r="A16" s="8" t="n">
        <x:v>45839</x:v>
      </x:c>
      <x:c r="B16" s="27" t="str">
        <x:v>Zahlungseingang aus Weiterleitung ModeFuchs GmbH</x:v>
      </x:c>
      <x:c r="C16" s="27" t="str">
        <x:v>Zahlungsnotiz 01.07.2025</x:v>
      </x:c>
      <x:c r="D16" s="25" t="n">
        <x:v>0</x:v>
      </x:c>
      <x:c r="E16" s="25" t="n">
        <x:v>698</x:v>
      </x:c>
      <x:c r="F16" s="26" t="n">
        <x:f>ROUND(SUM(F15,D16)-E16,2)</x:f>
        <x:v>99.84</x:v>
      </x:c>
      <x:c r="G16" s="2"/>
      <x:c r="H16" s="28" t="str">
        <x:v>15 Zahlungsnotiz, S. 1</x:v>
      </x:c>
    </x:row>
    <x:row r="17" ht="23" customHeight="1">
      <x:c r="A17" s="33"/>
      <x:c r="B17" s="33" t="str">
        <x:v>Summen und Buchsaldo</x:v>
      </x:c>
      <x:c r="C17" s="33"/>
      <x:c r="D17" s="34" t="n">
        <x:f>ROUND(SUM(D12:D16),2)</x:f>
        <x:v>797.84</x:v>
      </x:c>
      <x:c r="E17" s="34" t="n">
        <x:f>ROUND(SUM(E12:E16),2)</x:f>
        <x:v>698</x:v>
      </x:c>
      <x:c r="F17" s="34" t="n">
        <x:f>F16</x:f>
        <x:v>99.84</x:v>
      </x:c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35" t="str">
        <x:v>Zinsen als Vorbestand übernommen. Keine Fortschreibung nach Tagen oder Zinssätzen.</x:v>
      </x:c>
      <x:c r="B19" s="2"/>
      <x:c r="C19" s="2"/>
      <x:c r="D19" s="2"/>
      <x:c r="E19" s="2"/>
      <x:c r="F19" s="2"/>
      <x:c r="G19" s="2"/>
      <x:c r="H19" s="2"/>
    </x:row>
    <x:row r="20" ht="23" customHeight="1">
      <x:c r="A20" s="35" t="str">
        <x:v>Übergabe-Nebenforderungen 16,30 EUR: Mahngebühren 5,50 EUR und Zinsen 10,80 EUR (Abtretung, S. 1).</x:v>
      </x:c>
      <x:c r="B20" s="2"/>
      <x:c r="C20" s="2"/>
      <x:c r="D20" s="2"/>
      <x:c r="E20" s="2"/>
      <x:c r="F20" s="2"/>
      <x:c r="G20" s="2"/>
      <x:c r="H20" s="2"/>
    </x:row>
    <x:row r="21" ht="23" customHeight="1">
      <x:c r="A21" s="35" t="str">
        <x:v>Gutschrift vom 01.07.2025 ohne Aufteilung auf Hauptforderung, Gebühren und Zinsen erfasst.</x:v>
      </x:c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2" t="str">
        <x:v>Verfahrensnotiz vom 05.07.2025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2" t="str">
        <x:v>Mahnbescheidsantrag: 797,84 EUR laut Antragsbeleg. Keine zusätzliche Belastungsbuchung.</x:v>
      </x:c>
      <x:c r="B24" s="2"/>
      <x:c r="C24" s="2"/>
      <x:c r="D24" s="2"/>
      <x:c r="E24" s="2"/>
      <x:c r="F24" s="2"/>
      <x:c r="G24" s="2"/>
      <x:c r="H24" s="2"/>
    </x:row>
    <x:row r="25" ht="23" customHeight="1">
      <x:c r="A25" s="35" t="str">
        <x:v>Belegquelle: 21 Mahnbescheid-Antrag InkassoZentrale, 05.07.2025, S. 1.</x:v>
      </x:c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1.110000610351562" hidden="0" customWidth="1"/>
    <x:col min="3" max="3" width="14.779999732971191" hidden="0" customWidth="1"/>
    <x:col min="4" max="4" width="41.11000061035156" hidden="0" customWidth="1"/>
    <x:col min="5" max="5" width="2" hidden="0" customWidth="1"/>
    <x:col min="6" max="6" width="28.889999389648438" hidden="0" customWidth="1"/>
    <x:col min="7" max="7" width="2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23" customHeight="1">
      <x:c r="A2" s="3" t="str">
        <x:v>Zahlungsbelege</x:v>
      </x:c>
      <x:c r="B2" s="2"/>
      <x:c r="C2" s="2"/>
      <x:c r="D2" s="2"/>
      <x:c r="E2" s="2"/>
      <x:c r="F2" s="2"/>
    </x:row>
    <x:row r="3" ht="23" customHeight="1">
      <x:c r="A3" s="6" t="str">
        <x:v>InkassoZentrale GmbH</x:v>
      </x:c>
      <x:c r="B3" s="6"/>
      <x:c r="C3" s="6"/>
      <x:c r="D3" s="6"/>
      <x:c r="E3" s="6"/>
      <x:c r="F3" s="6"/>
    </x:row>
    <x:row r="4" ht="23" customHeight="1">
      <x:c r="A4" s="2"/>
      <x:c r="B4" s="2"/>
      <x:c r="C4" s="2"/>
      <x:c r="D4" s="2"/>
      <x:c r="E4" s="2"/>
      <x:c r="F4" s="2"/>
    </x:row>
    <x:row r="5" ht="23" customHeight="1">
      <x:c r="A5" s="2" t="str">
        <x:v>Vorgang</x:v>
      </x:c>
      <x:c r="B5" s="2" t="str">
        <x:v>IZ-MF-2025-1749</x:v>
      </x:c>
      <x:c r="C5" s="2"/>
      <x:c r="D5" s="2" t="str">
        <x:v>Rechnung R-20250406-3098</x:v>
      </x:c>
      <x:c r="E5" s="2"/>
      <x:c r="F5" s="2"/>
    </x:row>
    <x:row r="6" ht="23" customHeight="1">
      <x:c r="A6" s="2" t="str">
        <x:v>Arbeitsstand</x:v>
      </x:c>
      <x:c r="B6" s="8" t="n">
        <x:v>45843</x:v>
      </x:c>
      <x:c r="C6" s="2"/>
      <x:c r="D6" s="2"/>
      <x:c r="E6" s="2"/>
      <x:c r="F6" s="2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19" t="str">
        <x:v>Belegdatum</x:v>
      </x:c>
      <x:c r="B8" s="20" t="str">
        <x:v>Beleg</x:v>
      </x:c>
      <x:c r="C8" s="20" t="str">
        <x:v>Betrag (EUR)</x:v>
      </x:c>
      <x:c r="D8" s="21" t="str">
        <x:v>Vermerk</x:v>
      </x:c>
      <x:c r="E8" s="2"/>
      <x:c r="F8" s="22" t="str">
        <x:v>Belegquelle</x:v>
      </x:c>
    </x:row>
    <x:row r="9" ht="72" customHeight="1">
      <x:c r="A9" s="8" t="n">
        <x:v>45834</x:v>
      </x:c>
      <x:c r="B9" s="27" t="str">
        <x:v>Kontoauszug 2025/12</x:v>
      </x:c>
      <x:c r="C9" s="37" t="n">
        <x:v>698</x:v>
      </x:c>
      <x:c r="D9" s="27" t="str">
        <x:v>Überweisung von Gottlieb von Altenhausen am 26.06.2025 an ModeFuchs GmbH. Verwendungszweck R-20250406-3098.</x:v>
      </x:c>
      <x:c r="E9" s="2"/>
      <x:c r="F9" s="28" t="str">
        <x:v>19 Kontoauszug Altenhausen, S. 1</x:v>
      </x:c>
    </x:row>
    <x:row r="10" ht="72" customHeight="1">
      <x:c r="A10" s="8" t="n">
        <x:v>45838</x:v>
      </x:c>
      <x:c r="B10" s="27" t="str">
        <x:v>Zahlungsbestätigung ModeFuchs GmbH</x:v>
      </x:c>
      <x:c r="C10" s="37" t="n">
        <x:v>698</x:v>
      </x:c>
      <x:c r="D10" s="27" t="str">
        <x:v>Eingang bei ModeFuchs GmbH am 28.06.2025 bestätigt. Der Betrag wurde der Rechnung zugeordnet.</x:v>
      </x:c>
      <x:c r="E10" s="2"/>
      <x:c r="F10" s="28" t="str">
        <x:v>27 Zahlungsbestätigung 30.06.2025, S. 1</x:v>
      </x:c>
    </x:row>
    <x:row r="11" ht="72" customHeight="1">
      <x:c r="A11" s="8" t="n">
        <x:v>45838</x:v>
      </x:c>
      <x:c r="B11" s="27" t="str">
        <x:v>Weiterleitung ModeFuchs GmbH</x:v>
      </x:c>
      <x:c r="C11" s="37" t="n">
        <x:v>698</x:v>
      </x:c>
      <x:c r="D11" s="27" t="str">
        <x:v>ModeFuchs GmbH hat den Betrag am 30.06.2025 an InkassoZentrale GmbH weitergeleitet.</x:v>
      </x:c>
      <x:c r="E11" s="2"/>
      <x:c r="F11" s="28" t="str">
        <x:v>Weiterleitung_Direktzahlung_1749.eml, 01.07.2025</x:v>
      </x:c>
    </x:row>
    <x:row r="12" ht="72" customHeight="1">
      <x:c r="A12" s="8" t="n">
        <x:v>45839</x:v>
      </x:c>
      <x:c r="B12" s="27" t="str">
        <x:v>Interne Zahlungsnotiz InkassoZentrale GmbH</x:v>
      </x:c>
      <x:c r="C12" s="37" t="n">
        <x:v>698</x:v>
      </x:c>
      <x:c r="D12" s="27" t="str">
        <x:v>Eingang und Verbuchung auf dem Inkassokonto am 01.07.2025. Als eine Gutschrift im Forderungskonto erfasst.</x:v>
      </x:c>
      <x:c r="E12" s="2"/>
      <x:c r="F12" s="28" t="str">
        <x:v>15 Zahlungsnotiz 01.07.2025, S. 1</x:v>
      </x:c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38" t="str">
        <x:v>Alle Vermerke betreffen dieselbe Zahlung über 698,00 EUR. Die Beträge sind nicht zu addieren.</x:v>
      </x:c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2" t="str">
        <x:v>Buchungszuordnung</x:v>
      </x:c>
      <x:c r="B16" s="2"/>
      <x:c r="C16" s="2"/>
      <x:c r="D16" s="2"/>
      <x:c r="E16" s="2"/>
      <x:c r="F16" s="2"/>
    </x:row>
    <x:row r="17" ht="23" customHeight="1">
      <x:c r="A17" s="2" t="str">
        <x:v>Der Eingang bei ModeFuchs am 28.06.2025 ist von der Überweisung des Schuldners am 26.06.2025 zu trennen.</x:v>
      </x:c>
      <x:c r="B17" s="2"/>
      <x:c r="C17" s="2"/>
      <x:c r="D17" s="2"/>
      <x:c r="E17" s="2"/>
      <x:c r="F17" s="2"/>
    </x:row>
    <x:row r="18" ht="23" customHeight="1">
      <x:c r="A18" s="2" t="str">
        <x:v>Für das Inkassokonto ist der bestätigte Eingang am 01.07.2025 als Gutschrift übernommen.</x:v>
      </x:c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 t="str">
        <x:v>Kontakt ModeFuchs GmbH: Sabine Wienecke, Buchhaltung.</x:v>
      </x:c>
      <x:c r="B20" s="2"/>
      <x:c r="C20" s="2"/>
      <x:c r="D20" s="2"/>
      <x:c r="E20" s="2"/>
      <x:c r="F20" s="2"/>
    </x:row>
    <x:row r="21" ht="23" customHeight="1">
      <x:c r="A21" s="2" t="str">
        <x:v>Bearbeitung InkassoZentrale GmbH: Denise Radtke, Forderungsmanagement.</x:v>
      </x:c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</x:worksheet>
</file>