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ital" sheetId="1" state="visible" r:id="rId3"/>
    <sheet name="Tranchen" sheetId="2" state="visible" r:id="rId4"/>
    <sheet name="Budget" sheetId="3" state="visible" r:id="rId5"/>
    <sheet name="Historie" sheetId="4" state="visible" r:id="rId6"/>
    <sheet name="Darlehen" sheetId="5" state="visible" r:id="rId7"/>
    <sheet name="Wandlung" sheetId="6" state="visible" r:id="rId8"/>
    <sheet name="Kontojournal" sheetId="7" state="visible" r:id="rId9"/>
  </sheets>
  <definedNames>
    <definedName function="false" hidden="false" localSheetId="2" name="_xlnm.Print_Area" vbProcedure="false">Budget!$A$1:$I$19</definedName>
    <definedName function="false" hidden="false" localSheetId="2" name="_xlnm.Print_Titles" vbProcedure="false">Budget!$8:$8</definedName>
    <definedName function="false" hidden="false" localSheetId="4" name="_xlnm.Print_Area" vbProcedure="false">Darlehen!$A$1:$J$18</definedName>
    <definedName function="false" hidden="false" localSheetId="4" name="_xlnm.Print_Titles" vbProcedure="false">Darlehen!$8:$8</definedName>
    <definedName function="false" hidden="false" localSheetId="3" name="_xlnm.Print_Area" vbProcedure="false">Historie!$A$1:$J$16</definedName>
    <definedName function="false" hidden="false" localSheetId="3" name="_xlnm.Print_Titles" vbProcedure="false">Historie!$8:$8</definedName>
    <definedName function="false" hidden="false" localSheetId="0" name="_xlnm.Print_Area" vbProcedure="false">Kapital!$A$1:$I$19</definedName>
    <definedName function="false" hidden="false" localSheetId="0" name="_xlnm.Print_Titles" vbProcedure="false">Kapital!$8:$8</definedName>
    <definedName function="false" hidden="false" localSheetId="6" name="_xlnm.Print_Area" vbProcedure="false">Kontojournal!$A$1:$H$23</definedName>
    <definedName function="false" hidden="false" localSheetId="6" name="_xlnm.Print_Titles" vbProcedure="false">Kontojournal!$8:$8</definedName>
    <definedName function="false" hidden="false" localSheetId="1" name="_xlnm.Print_Area" vbProcedure="false">Tranchen!$A$1:$I$19</definedName>
    <definedName function="false" hidden="false" localSheetId="1" name="_xlnm.Print_Titles" vbProcedure="false">Tranchen!$8:$8</definedName>
    <definedName function="false" hidden="false" localSheetId="5" name="_xlnm.Print_Area" vbProcedure="false">Wandlung!$A$1:$H$21</definedName>
    <definedName function="false" hidden="false" localSheetId="5" name="_xlnm.Print_Titles" vbProcedure="false">Wandlung!$8:$8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<sst xmlns="http://schemas.openxmlformats.org/spreadsheetml/2006/main" count="142" uniqueCount="125">
  <si>
    <t xml:space="preserve">SkyFade Robotics Kapitalübersicht</t>
  </si>
  <si>
    <t xml:space="preserve">9. Oktober 2026 · Bestand und geplante Kapitalzustände · EUR Nennbetrag</t>
  </si>
  <si>
    <t xml:space="preserve">Gesellschafter</t>
  </si>
  <si>
    <t xml:space="preserve">Bestand</t>
  </si>
  <si>
    <t xml:space="preserve">Neu Tranche 1</t>
  </si>
  <si>
    <t xml:space="preserve">Nach Tranche 1</t>
  </si>
  <si>
    <t xml:space="preserve">Neu Tranche 2</t>
  </si>
  <si>
    <t xml:space="preserve">Nach Tranche 2</t>
  </si>
  <si>
    <t xml:space="preserve">Quote Bestand</t>
  </si>
  <si>
    <t xml:space="preserve">Quote final</t>
  </si>
  <si>
    <t xml:space="preserve">Kunigunde Wolkenberger</t>
  </si>
  <si>
    <t xml:space="preserve">Kilian Funkenschlag</t>
  </si>
  <si>
    <t xml:space="preserve">Ottilie Trutz</t>
  </si>
  <si>
    <t xml:space="preserve">ABC Ventures GmbH</t>
  </si>
  <si>
    <t xml:space="preserve">DEF Partners GmbH</t>
  </si>
  <si>
    <t xml:space="preserve">GHI Capital GmbH</t>
  </si>
  <si>
    <t xml:space="preserve">JKL Fonds GmbH</t>
  </si>
  <si>
    <t xml:space="preserve">Gesamt</t>
  </si>
  <si>
    <t xml:space="preserve">Bestand: Beteiligungsübersicht vom 30. September 2026.</t>
  </si>
  <si>
    <t xml:space="preserve">Neue Anteile sind geplant. Entstehung jeweils erst nach dem erforderlichen Registervollzug.</t>
  </si>
  <si>
    <t xml:space="preserve">Kein neuer Mitarbeiterpool eingerechnet. Keine Erlösverteilung aus diesen Quoten ableiten.</t>
  </si>
  <si>
    <t xml:space="preserve">SkyFade Robotics Finanzierungsplan</t>
  </si>
  <si>
    <t xml:space="preserve">Vorschlag vom 9. Oktober 2026 · noch keine Zahlung der neuen Investoren</t>
  </si>
  <si>
    <t xml:space="preserve">Ausgabebetrag je Anteil EUR</t>
  </si>
  <si>
    <t xml:space="preserve">Investor</t>
  </si>
  <si>
    <t xml:space="preserve">Tranche</t>
  </si>
  <si>
    <t xml:space="preserve">Ausgabebetrag EUR</t>
  </si>
  <si>
    <t xml:space="preserve">Nennwert je Anteil</t>
  </si>
  <si>
    <t xml:space="preserve">Neue Anteile</t>
  </si>
  <si>
    <t xml:space="preserve">Nennbetrag EUR</t>
  </si>
  <si>
    <t xml:space="preserve">Agio EUR</t>
  </si>
  <si>
    <t xml:space="preserve">Tranche 1 gesamt</t>
  </si>
  <si>
    <t xml:space="preserve">Tranche 2 gesamt</t>
  </si>
  <si>
    <t xml:space="preserve">Beide Tranchen</t>
  </si>
  <si>
    <t xml:space="preserve">Quelle: Term Sheet Nummer 3. Die zweite Tranche hängt von noch zu vereinbarenden Nachweisen ab.</t>
  </si>
  <si>
    <t xml:space="preserve">Blaue Zahlen: Eingaben. Schwarze Zahlen: Formeln. Grüne Zahlen: Verknüpfungen zu anderen Blättern.</t>
  </si>
  <si>
    <t xml:space="preserve">SkyFade Robotics Mittelverwendung</t>
  </si>
  <si>
    <t xml:space="preserve">Budgetvorschlag bei vollständiger Finanzierung · keine bereits gebuchten Ausgaben</t>
  </si>
  <si>
    <t xml:space="preserve">Gesamtrahmen EUR</t>
  </si>
  <si>
    <t xml:space="preserve">Verwendungsbereich</t>
  </si>
  <si>
    <t xml:space="preserve">Anteil</t>
  </si>
  <si>
    <t xml:space="preserve">Budget EUR</t>
  </si>
  <si>
    <t xml:space="preserve">Robotik und Sicherheit</t>
  </si>
  <si>
    <t xml:space="preserve">Zulassung und Versicherung</t>
  </si>
  <si>
    <t xml:space="preserve">Software und Daten</t>
  </si>
  <si>
    <t xml:space="preserve">Personal und Pilotstandorte</t>
  </si>
  <si>
    <t xml:space="preserve">Betriebskapital</t>
  </si>
  <si>
    <t xml:space="preserve">Quelle: Term Sheet Nummer 5. Ein Zeitplan bis zur zweiten Tranche wird noch abgestimmt.</t>
  </si>
  <si>
    <t xml:space="preserve">Kapitalhistorie und Anteilskette</t>
  </si>
  <si>
    <t xml:space="preserve">Quelle: 45_Kapitalhistorie.csv und zugeordnete Vollzugsmitteilungen · EUR Nennbetrag</t>
  </si>
  <si>
    <t xml:space="preserve">Eintragung</t>
  </si>
  <si>
    <t xml:space="preserve">Vorgang</t>
  </si>
  <si>
    <t xml:space="preserve">Wolkenberger</t>
  </si>
  <si>
    <t xml:space="preserve">Funkenschlag</t>
  </si>
  <si>
    <t xml:space="preserve">Trutz</t>
  </si>
  <si>
    <t xml:space="preserve">ABC</t>
  </si>
  <si>
    <t xml:space="preserve">DEF</t>
  </si>
  <si>
    <t xml:space="preserve">Nachweis</t>
  </si>
  <si>
    <t xml:space="preserve">Ersteintragung UG</t>
  </si>
  <si>
    <t xml:space="preserve">24</t>
  </si>
  <si>
    <t xml:space="preserve">Barkapitalerhöhung und Firma GmbH</t>
  </si>
  <si>
    <t xml:space="preserve">27</t>
  </si>
  <si>
    <t xml:space="preserve">Eintritt Ottilie Trutz</t>
  </si>
  <si>
    <t xml:space="preserve">28</t>
  </si>
  <si>
    <t xml:space="preserve">Frühfinanzierung ABC und DEF</t>
  </si>
  <si>
    <t xml:space="preserve">30</t>
  </si>
  <si>
    <t xml:space="preserve">Bestand vor neuer Runde</t>
  </si>
  <si>
    <t xml:space="preserve">04</t>
  </si>
  <si>
    <t xml:space="preserve">Rechtezuwendung Juli 2023: 24.000 EUR interner Ansatz, keine Bareinzahlung und kein Nennkapital.</t>
  </si>
  <si>
    <t xml:space="preserve">Gründeranteile wurden November 2023 neu nummeriert. Alte und neue Nummern nicht addieren.</t>
  </si>
  <si>
    <t xml:space="preserve">Nachweis: Dateinummer des jeweiligen Aktenstücks; die Rechnung belegt keinen aktuellen Registerstand.</t>
  </si>
  <si>
    <t xml:space="preserve">Darlehen und aufgelaufene Zinsen</t>
  </si>
  <si>
    <t xml:space="preserve">Quelle: 43_Darlehensbestand.csv, Verträge 29 und 31 · Stichtag ausgeschlossen, Auszahlungstag eingeschlossen</t>
  </si>
  <si>
    <t xml:space="preserve">Abrechnungsstichtag</t>
  </si>
  <si>
    <t xml:space="preserve">Gläubiger</t>
  </si>
  <si>
    <t xml:space="preserve">Kapital EUR</t>
  </si>
  <si>
    <t xml:space="preserve">Auszahlung</t>
  </si>
  <si>
    <t xml:space="preserve">Zins p.a.</t>
  </si>
  <si>
    <t xml:space="preserve">Tage</t>
  </si>
  <si>
    <t xml:space="preserve">Zinsen EUR</t>
  </si>
  <si>
    <t xml:space="preserve">Bestand EUR</t>
  </si>
  <si>
    <t xml:space="preserve">Fälligkeit</t>
  </si>
  <si>
    <t xml:space="preserve">Rangpapier</t>
  </si>
  <si>
    <t xml:space="preserve">Fridolin Fizzel</t>
  </si>
  <si>
    <t xml:space="preserve">Keines</t>
  </si>
  <si>
    <t xml:space="preserve">Dokument 32</t>
  </si>
  <si>
    <t xml:space="preserve">Keine Tilgung oder Zinszahlung bis zum Stichtag laut Darlehensbuchhaltung. Kein Zinseszins.</t>
  </si>
  <si>
    <t xml:space="preserve">Die Rückzahlungstermine sind keine Aussage zur Durchsetzbarkeit trotz Rangvereinbarung.</t>
  </si>
  <si>
    <t xml:space="preserve">Kein Papier bedeutet nur: keine gesonderte vertragliche Rangabrede im Ordner.</t>
  </si>
  <si>
    <t xml:space="preserve">Fridolin Fizzel: unverbindliche Wandlungsrechnung</t>
  </si>
  <si>
    <t xml:space="preserve">Keine vollzogene Beteiligung. Anspruch, Zinsumfang und Umsetzung sind noch nicht vereinbart.</t>
  </si>
  <si>
    <t xml:space="preserve">Zinsen einbeziehen (0/1)</t>
  </si>
  <si>
    <t xml:space="preserve">Darlehenskapital EUR</t>
  </si>
  <si>
    <t xml:space="preserve">Aufgelaufene Zinsen EUR</t>
  </si>
  <si>
    <t xml:space="preserve">Einbezogene Forderung EUR</t>
  </si>
  <si>
    <t xml:space="preserve">Referenzpreis EUR</t>
  </si>
  <si>
    <t xml:space="preserve">Angenommener Abschlag</t>
  </si>
  <si>
    <t xml:space="preserve">Ausgabepreis EUR</t>
  </si>
  <si>
    <t xml:space="preserve">Ganze neue Anteile zu 1 EUR</t>
  </si>
  <si>
    <t xml:space="preserve">Rechnerischer Rest EUR</t>
  </si>
  <si>
    <t xml:space="preserve">Kapital nach beiden Tranchen</t>
  </si>
  <si>
    <t xml:space="preserve">Kapital mit Variante</t>
  </si>
  <si>
    <t xml:space="preserve">Fridolins Quote in Variante</t>
  </si>
  <si>
    <t xml:space="preserve">Referenz: Dokumente 29, 30, 36 und E-Mail 39. Abschlag und Zinsen sind Annahmen, keine Einigung.</t>
  </si>
  <si>
    <t xml:space="preserve">Der Rest bleibt rechnerisch offen. Ein Erlass oder eine Einbringung wird nicht automatisch erzeugt.</t>
  </si>
  <si>
    <t xml:space="preserve">Hauptkonto: Februar und März 2026</t>
  </si>
  <si>
    <t xml:space="preserve">Quelle: 44_Bankjournal_Fruehjahr.csv · Buchhaltungsauszug, kein vollständiger Liquiditätsstatus</t>
  </si>
  <si>
    <t xml:space="preserve">Datum</t>
  </si>
  <si>
    <t xml:space="preserve">Zugang EUR</t>
  </si>
  <si>
    <t xml:space="preserve">Abgang EUR</t>
  </si>
  <si>
    <t xml:space="preserve">Saldo EUR</t>
  </si>
  <si>
    <t xml:space="preserve">Quelle EUR</t>
  </si>
  <si>
    <t xml:space="preserve">Differenz EUR</t>
  </si>
  <si>
    <t xml:space="preserve">Anfangsbestand</t>
  </si>
  <si>
    <t xml:space="preserve">Kundeneingänge</t>
  </si>
  <si>
    <t xml:space="preserve">Lieferanten und Miete</t>
  </si>
  <si>
    <t xml:space="preserve">Personal und Abgaben</t>
  </si>
  <si>
    <t xml:space="preserve">Darlehen Kunigunde</t>
  </si>
  <si>
    <t xml:space="preserve">Darlehen Kilian</t>
  </si>
  <si>
    <t xml:space="preserve">Darlehen ABC</t>
  </si>
  <si>
    <t xml:space="preserve">Darlehen DEF</t>
  </si>
  <si>
    <t xml:space="preserve">Lieferanten</t>
  </si>
  <si>
    <t xml:space="preserve">Miete und Betrieb</t>
  </si>
  <si>
    <t xml:space="preserve">Stundung: 45.000 EUR Spulenkranz, Zahlung erst 30. April. Erwartete Eingänge sind nicht gebucht.</t>
  </si>
  <si>
    <t xml:space="preserve">Das Journal allein enthält weder sämtliche Verpflichtungen noch alle Konten der Gesellschaft.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</si>
</sst>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0%"/>
    <numFmt numFmtId="167" formatCode="0%"/>
    <numFmt numFmtId="168" formatCode="yyyy\-mm\-dd"/>
    <numFmt numFmtId="169" formatCode="#,##0.00;\(#,##0.00\);\-"/>
    <numFmt numFmtId="170" formatCode="0.0%"/>
    <numFmt numFmtId="171" formatCode="0"/>
    <numFmt numFmtId="172" formatCode="0.00;\(0.00\);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0"/>
      <color rgb="FF202020"/>
      <name val="Arial"/>
      <family val="0"/>
      <charset val="1"/>
    </font>
    <font>
      <b val="true"/>
      <sz val="15"/>
      <color rgb="FF20202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20202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94955"/>
        <bgColor rgb="FF333300"/>
      </patternFill>
    </fill>
    <fill>
      <patternFill patternType="solid">
        <fgColor rgb="FFE7EDF0"/>
        <bgColor rgb="FFFC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394955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3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3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3" borderId="1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" fillId="0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">
    <dxf>
      <font>
        <color rgb="FF9C0006"/>
      </font>
      <fill>
        <patternFill>
          <bgColor rgb="FFFC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6E6"/>
      <rgbColor rgb="FFE7ED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94955"/>
      <rgbColor rgb="FF2020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10" min="3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1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38" hidden="false" customHeight="true" outlineLevel="0" collapsed="false">
      <c r="A5" s="1"/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1"/>
    </row>
    <row r="6" customFormat="false" ht="22" hidden="false" customHeight="true" outlineLevel="0" collapsed="false">
      <c r="A6" s="1"/>
      <c r="B6" s="1" t="s">
        <v>10</v>
      </c>
      <c r="C6" s="4" t="n">
        <v>12500</v>
      </c>
      <c r="D6" s="5" t="n">
        <v>0</v>
      </c>
      <c r="E6" s="5" t="n">
        <f aca="false">SUM(C6:D6)</f>
        <v>12500</v>
      </c>
      <c r="F6" s="5" t="n">
        <v>0</v>
      </c>
      <c r="G6" s="5" t="n">
        <f aca="false">SUM(E6:F6)</f>
        <v>12500</v>
      </c>
      <c r="H6" s="6" t="n">
        <f aca="false">C6/$C$13</f>
        <v>0.25</v>
      </c>
      <c r="I6" s="6" t="n">
        <f aca="false">G6/$G$13</f>
        <v>0.178571428571429</v>
      </c>
      <c r="J6" s="1"/>
    </row>
    <row r="7" customFormat="false" ht="22" hidden="false" customHeight="true" outlineLevel="0" collapsed="false">
      <c r="A7" s="1"/>
      <c r="B7" s="1" t="s">
        <v>11</v>
      </c>
      <c r="C7" s="4" t="n">
        <v>12500</v>
      </c>
      <c r="D7" s="5" t="n">
        <v>0</v>
      </c>
      <c r="E7" s="5" t="n">
        <f aca="false">SUM(C7:D7)</f>
        <v>12500</v>
      </c>
      <c r="F7" s="5" t="n">
        <v>0</v>
      </c>
      <c r="G7" s="5" t="n">
        <f aca="false">SUM(E7:F7)</f>
        <v>12500</v>
      </c>
      <c r="H7" s="6" t="n">
        <f aca="false">C7/$C$13</f>
        <v>0.25</v>
      </c>
      <c r="I7" s="6" t="n">
        <f aca="false">G7/$G$13</f>
        <v>0.178571428571429</v>
      </c>
      <c r="J7" s="1"/>
    </row>
    <row r="8" customFormat="false" ht="22" hidden="false" customHeight="true" outlineLevel="0" collapsed="false">
      <c r="A8" s="1"/>
      <c r="B8" s="1" t="s">
        <v>12</v>
      </c>
      <c r="C8" s="4" t="n">
        <v>5000</v>
      </c>
      <c r="D8" s="5" t="n">
        <v>0</v>
      </c>
      <c r="E8" s="5" t="n">
        <f aca="false">SUM(C8:D8)</f>
        <v>5000</v>
      </c>
      <c r="F8" s="5" t="n">
        <v>0</v>
      </c>
      <c r="G8" s="5" t="n">
        <f aca="false">SUM(E8:F8)</f>
        <v>5000</v>
      </c>
      <c r="H8" s="6" t="n">
        <f aca="false">C8/$C$13</f>
        <v>0.1</v>
      </c>
      <c r="I8" s="6" t="n">
        <f aca="false">G8/$G$13</f>
        <v>0.0714285714285714</v>
      </c>
      <c r="J8" s="1"/>
    </row>
    <row r="9" customFormat="false" ht="22" hidden="false" customHeight="true" outlineLevel="0" collapsed="false">
      <c r="A9" s="1"/>
      <c r="B9" s="1" t="s">
        <v>13</v>
      </c>
      <c r="C9" s="4" t="n">
        <v>11000</v>
      </c>
      <c r="D9" s="5" t="n">
        <v>0</v>
      </c>
      <c r="E9" s="5" t="n">
        <f aca="false">SUM(C9:D9)</f>
        <v>11000</v>
      </c>
      <c r="F9" s="5" t="n">
        <v>0</v>
      </c>
      <c r="G9" s="5" t="n">
        <f aca="false">SUM(E9:F9)</f>
        <v>11000</v>
      </c>
      <c r="H9" s="6" t="n">
        <f aca="false">C9/$C$13</f>
        <v>0.22</v>
      </c>
      <c r="I9" s="6" t="n">
        <f aca="false">G9/$G$13</f>
        <v>0.157142857142857</v>
      </c>
      <c r="J9" s="1"/>
    </row>
    <row r="10" customFormat="false" ht="22" hidden="false" customHeight="true" outlineLevel="0" collapsed="false">
      <c r="A10" s="1"/>
      <c r="B10" s="1" t="s">
        <v>14</v>
      </c>
      <c r="C10" s="4" t="n">
        <v>9000</v>
      </c>
      <c r="D10" s="5" t="n">
        <v>0</v>
      </c>
      <c r="E10" s="5" t="n">
        <f aca="false">SUM(C10:D10)</f>
        <v>9000</v>
      </c>
      <c r="F10" s="5" t="n">
        <v>0</v>
      </c>
      <c r="G10" s="5" t="n">
        <f aca="false">SUM(E10:F10)</f>
        <v>9000</v>
      </c>
      <c r="H10" s="6" t="n">
        <f aca="false">C10/$C$13</f>
        <v>0.18</v>
      </c>
      <c r="I10" s="6" t="n">
        <f aca="false">G10/$G$13</f>
        <v>0.128571428571429</v>
      </c>
      <c r="J10" s="1"/>
    </row>
    <row r="11" customFormat="false" ht="22" hidden="false" customHeight="true" outlineLevel="0" collapsed="false">
      <c r="A11" s="1"/>
      <c r="B11" s="1" t="s">
        <v>15</v>
      </c>
      <c r="C11" s="4" t="n">
        <v>0</v>
      </c>
      <c r="D11" s="7" t="n">
        <f aca="false">Tranchen!F7</f>
        <v>9000</v>
      </c>
      <c r="E11" s="5" t="n">
        <f aca="false">SUM(C11:D11)</f>
        <v>9000</v>
      </c>
      <c r="F11" s="7" t="n">
        <f aca="false">Tranchen!F9</f>
        <v>6000</v>
      </c>
      <c r="G11" s="5" t="n">
        <f aca="false">SUM(E11:F11)</f>
        <v>15000</v>
      </c>
      <c r="H11" s="6" t="n">
        <f aca="false">C11/$C$13</f>
        <v>0</v>
      </c>
      <c r="I11" s="6" t="n">
        <f aca="false">G11/$G$13</f>
        <v>0.214285714285714</v>
      </c>
      <c r="J11" s="1"/>
    </row>
    <row r="12" customFormat="false" ht="22" hidden="false" customHeight="true" outlineLevel="0" collapsed="false">
      <c r="A12" s="1"/>
      <c r="B12" s="1" t="s">
        <v>16</v>
      </c>
      <c r="C12" s="4" t="n">
        <v>0</v>
      </c>
      <c r="D12" s="7" t="n">
        <f aca="false">Tranchen!F8</f>
        <v>3000</v>
      </c>
      <c r="E12" s="5" t="n">
        <f aca="false">SUM(C12:D12)</f>
        <v>3000</v>
      </c>
      <c r="F12" s="7" t="n">
        <f aca="false">Tranchen!F10</f>
        <v>2000</v>
      </c>
      <c r="G12" s="5" t="n">
        <f aca="false">SUM(E12:F12)</f>
        <v>5000</v>
      </c>
      <c r="H12" s="6" t="n">
        <f aca="false">C12/$C$13</f>
        <v>0</v>
      </c>
      <c r="I12" s="6" t="n">
        <f aca="false">G12/$G$13</f>
        <v>0.0714285714285714</v>
      </c>
      <c r="J12" s="1"/>
    </row>
    <row r="13" customFormat="false" ht="22" hidden="false" customHeight="true" outlineLevel="0" collapsed="false">
      <c r="A13" s="1"/>
      <c r="B13" s="8" t="s">
        <v>17</v>
      </c>
      <c r="C13" s="9" t="n">
        <f aca="false">SUM(C6:C12)</f>
        <v>50000</v>
      </c>
      <c r="D13" s="9" t="n">
        <f aca="false">SUM(D6:D12)</f>
        <v>12000</v>
      </c>
      <c r="E13" s="9" t="n">
        <f aca="false">SUM(E6:E12)</f>
        <v>62000</v>
      </c>
      <c r="F13" s="9" t="n">
        <f aca="false">SUM(F6:F12)</f>
        <v>8000</v>
      </c>
      <c r="G13" s="9" t="n">
        <f aca="false">SUM(G6:G12)</f>
        <v>70000</v>
      </c>
      <c r="H13" s="10" t="n">
        <f aca="false">SUM(H6:H12)</f>
        <v>1</v>
      </c>
      <c r="I13" s="10" t="n">
        <f aca="false">SUM(I6:I12)</f>
        <v>1</v>
      </c>
      <c r="J13" s="1"/>
    </row>
    <row r="14" customFormat="false" ht="22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22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1" t="s">
        <v>18</v>
      </c>
      <c r="C16" s="1"/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 t="s">
        <v>19</v>
      </c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 t="s">
        <v>20</v>
      </c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3" min="3" style="0" width="17"/>
    <col collapsed="false" customWidth="true" hidden="false" outlineLevel="0" max="8" min="4" style="0" width="20"/>
    <col collapsed="false" customWidth="true" hidden="false" outlineLevel="0" max="10" min="9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22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22" hidden="false" customHeight="true" outlineLevel="0" collapsed="false">
      <c r="A5" s="1"/>
      <c r="B5" s="1" t="s">
        <v>23</v>
      </c>
      <c r="C5" s="11" t="n">
        <v>500</v>
      </c>
      <c r="D5" s="1"/>
      <c r="E5" s="1"/>
      <c r="F5" s="1"/>
      <c r="G5" s="1"/>
      <c r="H5" s="1"/>
      <c r="I5" s="1"/>
      <c r="J5" s="1"/>
    </row>
    <row r="6" customFormat="false" ht="38" hidden="false" customHeight="true" outlineLevel="0" collapsed="false">
      <c r="A6" s="1"/>
      <c r="B6" s="3" t="s">
        <v>24</v>
      </c>
      <c r="C6" s="3" t="s">
        <v>25</v>
      </c>
      <c r="D6" s="3" t="s">
        <v>26</v>
      </c>
      <c r="E6" s="3" t="s">
        <v>27</v>
      </c>
      <c r="F6" s="3" t="s">
        <v>28</v>
      </c>
      <c r="G6" s="3" t="s">
        <v>29</v>
      </c>
      <c r="H6" s="3" t="s">
        <v>30</v>
      </c>
      <c r="I6" s="1"/>
      <c r="J6" s="1"/>
    </row>
    <row r="7" customFormat="false" ht="22" hidden="false" customHeight="true" outlineLevel="0" collapsed="false">
      <c r="A7" s="1"/>
      <c r="B7" s="1" t="s">
        <v>15</v>
      </c>
      <c r="C7" s="12" t="n">
        <v>1</v>
      </c>
      <c r="D7" s="4" t="n">
        <v>4500000</v>
      </c>
      <c r="E7" s="4" t="n">
        <v>1</v>
      </c>
      <c r="F7" s="5" t="n">
        <f aca="false">D7/$C$5</f>
        <v>9000</v>
      </c>
      <c r="G7" s="5" t="n">
        <f aca="false">F7*E7</f>
        <v>9000</v>
      </c>
      <c r="H7" s="5" t="n">
        <f aca="false">D7-G7</f>
        <v>4491000</v>
      </c>
      <c r="I7" s="1"/>
      <c r="J7" s="1"/>
    </row>
    <row r="8" customFormat="false" ht="22" hidden="false" customHeight="true" outlineLevel="0" collapsed="false">
      <c r="A8" s="1"/>
      <c r="B8" s="1" t="s">
        <v>16</v>
      </c>
      <c r="C8" s="12" t="n">
        <v>1</v>
      </c>
      <c r="D8" s="4" t="n">
        <v>1500000</v>
      </c>
      <c r="E8" s="4" t="n">
        <v>1</v>
      </c>
      <c r="F8" s="5" t="n">
        <f aca="false">D8/$C$5</f>
        <v>3000</v>
      </c>
      <c r="G8" s="5" t="n">
        <f aca="false">F8*E8</f>
        <v>3000</v>
      </c>
      <c r="H8" s="5" t="n">
        <f aca="false">D8-G8</f>
        <v>1497000</v>
      </c>
      <c r="I8" s="1"/>
      <c r="J8" s="1"/>
    </row>
    <row r="9" customFormat="false" ht="22" hidden="false" customHeight="true" outlineLevel="0" collapsed="false">
      <c r="A9" s="1"/>
      <c r="B9" s="1" t="s">
        <v>15</v>
      </c>
      <c r="C9" s="12" t="n">
        <v>2</v>
      </c>
      <c r="D9" s="4" t="n">
        <v>3000000</v>
      </c>
      <c r="E9" s="4" t="n">
        <v>1</v>
      </c>
      <c r="F9" s="5" t="n">
        <f aca="false">D9/$C$5</f>
        <v>6000</v>
      </c>
      <c r="G9" s="5" t="n">
        <f aca="false">F9*E9</f>
        <v>6000</v>
      </c>
      <c r="H9" s="5" t="n">
        <f aca="false">D9-G9</f>
        <v>2994000</v>
      </c>
      <c r="I9" s="1"/>
      <c r="J9" s="1"/>
    </row>
    <row r="10" customFormat="false" ht="22" hidden="false" customHeight="true" outlineLevel="0" collapsed="false">
      <c r="A10" s="1"/>
      <c r="B10" s="1" t="s">
        <v>16</v>
      </c>
      <c r="C10" s="12" t="n">
        <v>2</v>
      </c>
      <c r="D10" s="4" t="n">
        <v>1000000</v>
      </c>
      <c r="E10" s="4" t="n">
        <v>1</v>
      </c>
      <c r="F10" s="5" t="n">
        <f aca="false">D10/$C$5</f>
        <v>2000</v>
      </c>
      <c r="G10" s="5" t="n">
        <f aca="false">F10*E10</f>
        <v>2000</v>
      </c>
      <c r="H10" s="5" t="n">
        <f aca="false">D10-G10</f>
        <v>998000</v>
      </c>
      <c r="I10" s="1"/>
      <c r="J10" s="1"/>
    </row>
    <row r="11" customFormat="false" ht="22" hidden="false" customHeight="true" outlineLevel="0" collapsed="false">
      <c r="A11" s="1"/>
      <c r="B11" s="1"/>
      <c r="C11" s="13"/>
      <c r="D11" s="5"/>
      <c r="E11" s="5"/>
      <c r="F11" s="5"/>
      <c r="G11" s="5"/>
      <c r="H11" s="5"/>
      <c r="I11" s="1"/>
      <c r="J11" s="1"/>
    </row>
    <row r="12" customFormat="false" ht="22" hidden="false" customHeight="true" outlineLevel="0" collapsed="false">
      <c r="A12" s="1"/>
      <c r="B12" s="1" t="s">
        <v>31</v>
      </c>
      <c r="C12" s="13"/>
      <c r="D12" s="5" t="n">
        <f aca="false">SUM(D7:D8)</f>
        <v>6000000</v>
      </c>
      <c r="E12" s="5"/>
      <c r="F12" s="5" t="n">
        <f aca="false">SUM(F7:F8)</f>
        <v>12000</v>
      </c>
      <c r="G12" s="5" t="n">
        <f aca="false">SUM(G7:G8)</f>
        <v>12000</v>
      </c>
      <c r="H12" s="5" t="n">
        <f aca="false">SUM(H7:H8)</f>
        <v>5988000</v>
      </c>
      <c r="I12" s="1"/>
      <c r="J12" s="1"/>
    </row>
    <row r="13" customFormat="false" ht="22" hidden="false" customHeight="true" outlineLevel="0" collapsed="false">
      <c r="A13" s="1"/>
      <c r="B13" s="1" t="s">
        <v>32</v>
      </c>
      <c r="C13" s="13"/>
      <c r="D13" s="5" t="n">
        <f aca="false">SUM(D9:D10)</f>
        <v>4000000</v>
      </c>
      <c r="E13" s="5"/>
      <c r="F13" s="5" t="n">
        <f aca="false">SUM(F9:F10)</f>
        <v>8000</v>
      </c>
      <c r="G13" s="5" t="n">
        <f aca="false">SUM(G9:G10)</f>
        <v>8000</v>
      </c>
      <c r="H13" s="5" t="n">
        <f aca="false">SUM(H9:H10)</f>
        <v>3992000</v>
      </c>
      <c r="I13" s="1"/>
      <c r="J13" s="1"/>
    </row>
    <row r="14" customFormat="false" ht="22" hidden="false" customHeight="true" outlineLevel="0" collapsed="false">
      <c r="A14" s="1"/>
      <c r="B14" s="8" t="s">
        <v>33</v>
      </c>
      <c r="C14" s="14"/>
      <c r="D14" s="9" t="n">
        <f aca="false">SUM(D12:D13)</f>
        <v>10000000</v>
      </c>
      <c r="E14" s="9"/>
      <c r="F14" s="9" t="n">
        <f aca="false">SUM(F12:F13)</f>
        <v>20000</v>
      </c>
      <c r="G14" s="9" t="n">
        <f aca="false">SUM(G12:G13)</f>
        <v>20000</v>
      </c>
      <c r="H14" s="9" t="n">
        <f aca="false">SUM(H12:H13)</f>
        <v>9980000</v>
      </c>
      <c r="I14" s="1"/>
      <c r="J14" s="1"/>
    </row>
    <row r="15" customFormat="false" ht="22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 t="s">
        <v>34</v>
      </c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 t="s">
        <v>35</v>
      </c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10" min="3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36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37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22" hidden="false" customHeight="true" outlineLevel="0" collapsed="false">
      <c r="A5" s="1"/>
      <c r="B5" s="1" t="s">
        <v>38</v>
      </c>
      <c r="C5" s="15" t="n">
        <f aca="false">Tranchen!D14</f>
        <v>10000000</v>
      </c>
      <c r="D5" s="1"/>
      <c r="E5" s="1"/>
      <c r="F5" s="1"/>
      <c r="G5" s="1"/>
      <c r="H5" s="1"/>
      <c r="I5" s="1"/>
      <c r="J5" s="1"/>
    </row>
    <row r="6" customFormat="false" ht="22" hidden="false" customHeight="tru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</row>
    <row r="7" customFormat="false" ht="38" hidden="false" customHeight="true" outlineLevel="0" collapsed="false">
      <c r="A7" s="1"/>
      <c r="B7" s="3" t="s">
        <v>39</v>
      </c>
      <c r="C7" s="3" t="s">
        <v>40</v>
      </c>
      <c r="D7" s="3" t="s">
        <v>41</v>
      </c>
      <c r="E7" s="1"/>
      <c r="F7" s="1"/>
      <c r="G7" s="1"/>
      <c r="H7" s="1"/>
      <c r="I7" s="1"/>
      <c r="J7" s="1"/>
    </row>
    <row r="8" customFormat="false" ht="22" hidden="false" customHeight="true" outlineLevel="0" collapsed="false">
      <c r="A8" s="1"/>
      <c r="B8" s="1" t="s">
        <v>42</v>
      </c>
      <c r="C8" s="16" t="n">
        <v>0.35</v>
      </c>
      <c r="D8" s="5" t="n">
        <f aca="false">C8*$C$5</f>
        <v>3500000</v>
      </c>
      <c r="E8" s="1"/>
      <c r="F8" s="1"/>
      <c r="G8" s="1"/>
      <c r="H8" s="1"/>
      <c r="I8" s="1"/>
      <c r="J8" s="1"/>
    </row>
    <row r="9" customFormat="false" ht="22" hidden="false" customHeight="true" outlineLevel="0" collapsed="false">
      <c r="A9" s="1"/>
      <c r="B9" s="1" t="s">
        <v>43</v>
      </c>
      <c r="C9" s="16" t="n">
        <v>0.2</v>
      </c>
      <c r="D9" s="5" t="n">
        <f aca="false">C9*$C$5</f>
        <v>2000000</v>
      </c>
      <c r="E9" s="1"/>
      <c r="F9" s="1"/>
      <c r="G9" s="1"/>
      <c r="H9" s="1"/>
      <c r="I9" s="1"/>
      <c r="J9" s="1"/>
    </row>
    <row r="10" customFormat="false" ht="22" hidden="false" customHeight="true" outlineLevel="0" collapsed="false">
      <c r="A10" s="1"/>
      <c r="B10" s="1" t="s">
        <v>44</v>
      </c>
      <c r="C10" s="16" t="n">
        <v>0.2</v>
      </c>
      <c r="D10" s="5" t="n">
        <f aca="false">C10*$C$5</f>
        <v>2000000</v>
      </c>
      <c r="E10" s="1"/>
      <c r="F10" s="1"/>
      <c r="G10" s="1"/>
      <c r="H10" s="1"/>
      <c r="I10" s="1"/>
      <c r="J10" s="1"/>
    </row>
    <row r="11" customFormat="false" ht="22" hidden="false" customHeight="true" outlineLevel="0" collapsed="false">
      <c r="A11" s="1"/>
      <c r="B11" s="1" t="s">
        <v>45</v>
      </c>
      <c r="C11" s="16" t="n">
        <v>0.15</v>
      </c>
      <c r="D11" s="5" t="n">
        <f aca="false">C11*$C$5</f>
        <v>1500000</v>
      </c>
      <c r="E11" s="1"/>
      <c r="F11" s="1"/>
      <c r="G11" s="1"/>
      <c r="H11" s="1"/>
      <c r="I11" s="1"/>
      <c r="J11" s="1"/>
    </row>
    <row r="12" customFormat="false" ht="22" hidden="false" customHeight="true" outlineLevel="0" collapsed="false">
      <c r="A12" s="1"/>
      <c r="B12" s="1" t="s">
        <v>46</v>
      </c>
      <c r="C12" s="16" t="n">
        <v>0.1</v>
      </c>
      <c r="D12" s="5" t="n">
        <f aca="false">C12*$C$5</f>
        <v>1000000</v>
      </c>
      <c r="E12" s="1"/>
      <c r="F12" s="1"/>
      <c r="G12" s="1"/>
      <c r="H12" s="1"/>
      <c r="I12" s="1"/>
      <c r="J12" s="1"/>
    </row>
    <row r="13" customFormat="false" ht="22" hidden="false" customHeight="true" outlineLevel="0" collapsed="false">
      <c r="A13" s="1"/>
      <c r="B13" s="8" t="s">
        <v>17</v>
      </c>
      <c r="C13" s="17" t="n">
        <f aca="false">SUM(C8:C12)</f>
        <v>1</v>
      </c>
      <c r="D13" s="9" t="n">
        <f aca="false">SUM(D8:D12)</f>
        <v>10000000</v>
      </c>
      <c r="E13" s="1"/>
      <c r="F13" s="1"/>
      <c r="G13" s="1"/>
      <c r="H13" s="1"/>
      <c r="I13" s="1"/>
      <c r="J13" s="1"/>
    </row>
    <row r="14" customFormat="false" ht="22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22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1" t="s">
        <v>47</v>
      </c>
      <c r="C16" s="1"/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3" min="3" style="0" width="38"/>
    <col collapsed="false" customWidth="true" hidden="false" outlineLevel="0" max="10" min="4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48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49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38" hidden="false" customHeight="true" outlineLevel="0" collapsed="false">
      <c r="A5" s="1"/>
      <c r="B5" s="3" t="s">
        <v>50</v>
      </c>
      <c r="C5" s="3" t="s">
        <v>51</v>
      </c>
      <c r="D5" s="3" t="s">
        <v>52</v>
      </c>
      <c r="E5" s="3" t="s">
        <v>53</v>
      </c>
      <c r="F5" s="3" t="s">
        <v>54</v>
      </c>
      <c r="G5" s="3" t="s">
        <v>55</v>
      </c>
      <c r="H5" s="3" t="s">
        <v>56</v>
      </c>
      <c r="I5" s="3" t="s">
        <v>17</v>
      </c>
      <c r="J5" s="3" t="s">
        <v>57</v>
      </c>
    </row>
    <row r="6" customFormat="false" ht="38" hidden="false" customHeight="true" outlineLevel="0" collapsed="false">
      <c r="A6" s="1"/>
      <c r="B6" s="18" t="n">
        <v>45097</v>
      </c>
      <c r="C6" s="19" t="s">
        <v>58</v>
      </c>
      <c r="D6" s="20" t="n">
        <v>500</v>
      </c>
      <c r="E6" s="20" t="n">
        <v>500</v>
      </c>
      <c r="F6" s="20" t="n">
        <v>0</v>
      </c>
      <c r="G6" s="20" t="n">
        <v>0</v>
      </c>
      <c r="H6" s="20" t="n">
        <v>0</v>
      </c>
      <c r="I6" s="21" t="n">
        <f aca="false">SUM(D6:H6)</f>
        <v>1000</v>
      </c>
      <c r="J6" s="22" t="s">
        <v>59</v>
      </c>
    </row>
    <row r="7" customFormat="false" ht="38" hidden="false" customHeight="true" outlineLevel="0" collapsed="false">
      <c r="A7" s="1"/>
      <c r="B7" s="18" t="n">
        <v>45203</v>
      </c>
      <c r="C7" s="19" t="s">
        <v>60</v>
      </c>
      <c r="D7" s="20" t="n">
        <v>12500</v>
      </c>
      <c r="E7" s="20" t="n">
        <v>12500</v>
      </c>
      <c r="F7" s="20" t="n">
        <v>0</v>
      </c>
      <c r="G7" s="20" t="n">
        <v>0</v>
      </c>
      <c r="H7" s="20" t="n">
        <v>0</v>
      </c>
      <c r="I7" s="21" t="n">
        <f aca="false">SUM(D7:H7)</f>
        <v>25000</v>
      </c>
      <c r="J7" s="22" t="s">
        <v>61</v>
      </c>
    </row>
    <row r="8" customFormat="false" ht="38" hidden="false" customHeight="true" outlineLevel="0" collapsed="false">
      <c r="A8" s="1"/>
      <c r="B8" s="18" t="n">
        <v>45260</v>
      </c>
      <c r="C8" s="19" t="s">
        <v>62</v>
      </c>
      <c r="D8" s="20" t="n">
        <v>12500</v>
      </c>
      <c r="E8" s="20" t="n">
        <v>12500</v>
      </c>
      <c r="F8" s="20" t="n">
        <v>5000</v>
      </c>
      <c r="G8" s="20" t="n">
        <v>0</v>
      </c>
      <c r="H8" s="20" t="n">
        <v>0</v>
      </c>
      <c r="I8" s="21" t="n">
        <f aca="false">SUM(D8:H8)</f>
        <v>30000</v>
      </c>
      <c r="J8" s="22" t="s">
        <v>63</v>
      </c>
    </row>
    <row r="9" customFormat="false" ht="38" hidden="false" customHeight="true" outlineLevel="0" collapsed="false">
      <c r="A9" s="1"/>
      <c r="B9" s="18" t="n">
        <v>45740</v>
      </c>
      <c r="C9" s="19" t="s">
        <v>64</v>
      </c>
      <c r="D9" s="20" t="n">
        <v>12500</v>
      </c>
      <c r="E9" s="20" t="n">
        <v>12500</v>
      </c>
      <c r="F9" s="20" t="n">
        <v>5000</v>
      </c>
      <c r="G9" s="20" t="n">
        <v>11000</v>
      </c>
      <c r="H9" s="20" t="n">
        <v>9000</v>
      </c>
      <c r="I9" s="21" t="n">
        <f aca="false">SUM(D9:H9)</f>
        <v>50000</v>
      </c>
      <c r="J9" s="22" t="s">
        <v>65</v>
      </c>
    </row>
    <row r="10" customFormat="false" ht="38" hidden="false" customHeight="true" outlineLevel="0" collapsed="false">
      <c r="A10" s="1"/>
      <c r="B10" s="23" t="n">
        <v>46295</v>
      </c>
      <c r="C10" s="24" t="s">
        <v>66</v>
      </c>
      <c r="D10" s="25" t="n">
        <v>12500</v>
      </c>
      <c r="E10" s="25" t="n">
        <v>12500</v>
      </c>
      <c r="F10" s="25" t="n">
        <v>5000</v>
      </c>
      <c r="G10" s="25" t="n">
        <v>11000</v>
      </c>
      <c r="H10" s="25" t="n">
        <v>9000</v>
      </c>
      <c r="I10" s="26" t="n">
        <f aca="false">SUM(D10:H10)</f>
        <v>50000</v>
      </c>
      <c r="J10" s="27" t="s">
        <v>67</v>
      </c>
    </row>
    <row r="11" customFormat="false" ht="22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customFormat="false" ht="22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customFormat="false" ht="22" hidden="false" customHeight="true" outlineLevel="0" collapsed="false">
      <c r="A13" s="1"/>
      <c r="B13" s="1" t="s">
        <v>68</v>
      </c>
      <c r="C13" s="1"/>
      <c r="D13" s="1"/>
      <c r="E13" s="1"/>
      <c r="F13" s="1"/>
      <c r="G13" s="1"/>
      <c r="H13" s="1"/>
      <c r="I13" s="1"/>
      <c r="J13" s="1"/>
    </row>
    <row r="14" customFormat="false" ht="22" hidden="false" customHeight="true" outlineLevel="0" collapsed="false">
      <c r="A14" s="1"/>
      <c r="B14" s="1" t="s">
        <v>69</v>
      </c>
      <c r="C14" s="1"/>
      <c r="D14" s="1"/>
      <c r="E14" s="1"/>
      <c r="F14" s="1"/>
      <c r="G14" s="1"/>
      <c r="H14" s="1"/>
      <c r="I14" s="1"/>
      <c r="J14" s="1"/>
    </row>
    <row r="15" customFormat="false" ht="22" hidden="false" customHeight="true" outlineLevel="0" collapsed="false">
      <c r="A15" s="1"/>
      <c r="B15" s="1" t="s">
        <v>70</v>
      </c>
      <c r="C15" s="1"/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10" min="3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71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72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 t="s">
        <v>73</v>
      </c>
      <c r="C4" s="28" t="n">
        <v>46296</v>
      </c>
      <c r="D4" s="1"/>
      <c r="E4" s="1"/>
      <c r="F4" s="1"/>
      <c r="G4" s="1"/>
      <c r="H4" s="1"/>
      <c r="I4" s="1"/>
      <c r="J4" s="1"/>
    </row>
    <row r="5" customFormat="false" ht="22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</row>
    <row r="6" customFormat="false" ht="38" hidden="false" customHeight="true" outlineLevel="0" collapsed="false">
      <c r="A6" s="1"/>
      <c r="B6" s="3" t="s">
        <v>74</v>
      </c>
      <c r="C6" s="3" t="s">
        <v>75</v>
      </c>
      <c r="D6" s="3" t="s">
        <v>76</v>
      </c>
      <c r="E6" s="3" t="s">
        <v>77</v>
      </c>
      <c r="F6" s="3" t="s">
        <v>78</v>
      </c>
      <c r="G6" s="3" t="s">
        <v>79</v>
      </c>
      <c r="H6" s="3" t="s">
        <v>80</v>
      </c>
      <c r="I6" s="3" t="s">
        <v>81</v>
      </c>
      <c r="J6" s="3" t="s">
        <v>82</v>
      </c>
    </row>
    <row r="7" customFormat="false" ht="22" hidden="false" customHeight="true" outlineLevel="0" collapsed="false">
      <c r="A7" s="1"/>
      <c r="B7" s="1" t="s">
        <v>83</v>
      </c>
      <c r="C7" s="29" t="n">
        <v>120000</v>
      </c>
      <c r="D7" s="28" t="n">
        <v>45413</v>
      </c>
      <c r="E7" s="30" t="n">
        <v>0.06</v>
      </c>
      <c r="F7" s="1" t="n">
        <f aca="false">IF(OR(NOT(ISNUMBER($C$4)),NOT(ISNUMBER(D7)),$C$4&lt;D7),"Datum prüfen",$C$4-D7)</f>
        <v>883</v>
      </c>
      <c r="G7" s="31" t="n">
        <f aca="false">IF(OR(NOT(ISNUMBER(C7)),NOT(ISNUMBER(E7)),NOT(ISNUMBER(F7))),"Eingaben prüfen",ROUND(C7*E7*F7/365,2))</f>
        <v>17418.08</v>
      </c>
      <c r="H7" s="31" t="n">
        <f aca="false">IF(ISNUMBER(G7),C7+G7,"Eingaben prüfen")</f>
        <v>137418.08</v>
      </c>
      <c r="I7" s="32" t="n">
        <v>46477</v>
      </c>
      <c r="J7" s="22" t="s">
        <v>84</v>
      </c>
    </row>
    <row r="8" customFormat="false" ht="22" hidden="false" customHeight="true" outlineLevel="0" collapsed="false">
      <c r="A8" s="1"/>
      <c r="B8" s="1" t="s">
        <v>10</v>
      </c>
      <c r="C8" s="29" t="n">
        <v>60000</v>
      </c>
      <c r="D8" s="28" t="n">
        <v>46083</v>
      </c>
      <c r="E8" s="30" t="n">
        <v>0.05</v>
      </c>
      <c r="F8" s="1" t="n">
        <f aca="false">IF(OR(NOT(ISNUMBER($C$4)),NOT(ISNUMBER(D8)),$C$4&lt;D8),"Datum prüfen",$C$4-D8)</f>
        <v>213</v>
      </c>
      <c r="G8" s="31" t="n">
        <f aca="false">IF(OR(NOT(ISNUMBER(C8)),NOT(ISNUMBER(E8)),NOT(ISNUMBER(F8))),"Eingaben prüfen",ROUND(C8*E8*F8/365,2))</f>
        <v>1750.68</v>
      </c>
      <c r="H8" s="31" t="n">
        <f aca="false">IF(ISNUMBER(G8),C8+G8,"Eingaben prüfen")</f>
        <v>61750.68</v>
      </c>
      <c r="I8" s="32" t="n">
        <v>46387</v>
      </c>
      <c r="J8" s="22" t="s">
        <v>84</v>
      </c>
    </row>
    <row r="9" customFormat="false" ht="22" hidden="false" customHeight="true" outlineLevel="0" collapsed="false">
      <c r="A9" s="1"/>
      <c r="B9" s="1" t="s">
        <v>11</v>
      </c>
      <c r="C9" s="29" t="n">
        <v>40000</v>
      </c>
      <c r="D9" s="28" t="n">
        <v>46083</v>
      </c>
      <c r="E9" s="30" t="n">
        <v>0.05</v>
      </c>
      <c r="F9" s="1" t="n">
        <f aca="false">IF(OR(NOT(ISNUMBER($C$4)),NOT(ISNUMBER(D9)),$C$4&lt;D9),"Datum prüfen",$C$4-D9)</f>
        <v>213</v>
      </c>
      <c r="G9" s="31" t="n">
        <f aca="false">IF(OR(NOT(ISNUMBER(C9)),NOT(ISNUMBER(E9)),NOT(ISNUMBER(F9))),"Eingaben prüfen",ROUND(C9*E9*F9/365,2))</f>
        <v>1167.12</v>
      </c>
      <c r="H9" s="31" t="n">
        <f aca="false">IF(ISNUMBER(G9),C9+G9,"Eingaben prüfen")</f>
        <v>41167.12</v>
      </c>
      <c r="I9" s="32" t="n">
        <v>46387</v>
      </c>
      <c r="J9" s="22" t="s">
        <v>84</v>
      </c>
    </row>
    <row r="10" customFormat="false" ht="22" hidden="false" customHeight="true" outlineLevel="0" collapsed="false">
      <c r="A10" s="1"/>
      <c r="B10" s="1" t="s">
        <v>13</v>
      </c>
      <c r="C10" s="29" t="n">
        <v>150000</v>
      </c>
      <c r="D10" s="28" t="n">
        <v>46083</v>
      </c>
      <c r="E10" s="30" t="n">
        <v>0.05</v>
      </c>
      <c r="F10" s="1" t="n">
        <f aca="false">IF(OR(NOT(ISNUMBER($C$4)),NOT(ISNUMBER(D10)),$C$4&lt;D10),"Datum prüfen",$C$4-D10)</f>
        <v>213</v>
      </c>
      <c r="G10" s="31" t="n">
        <f aca="false">IF(OR(NOT(ISNUMBER(C10)),NOT(ISNUMBER(E10)),NOT(ISNUMBER(F10))),"Eingaben prüfen",ROUND(C10*E10*F10/365,2))</f>
        <v>4376.71</v>
      </c>
      <c r="H10" s="31" t="n">
        <f aca="false">IF(ISNUMBER(G10),C10+G10,"Eingaben prüfen")</f>
        <v>154376.71</v>
      </c>
      <c r="I10" s="32" t="n">
        <v>46387</v>
      </c>
      <c r="J10" s="22" t="s">
        <v>85</v>
      </c>
    </row>
    <row r="11" customFormat="false" ht="22" hidden="false" customHeight="true" outlineLevel="0" collapsed="false">
      <c r="A11" s="1"/>
      <c r="B11" s="1" t="s">
        <v>14</v>
      </c>
      <c r="C11" s="29" t="n">
        <v>100000</v>
      </c>
      <c r="D11" s="28" t="n">
        <v>46083</v>
      </c>
      <c r="E11" s="30" t="n">
        <v>0.05</v>
      </c>
      <c r="F11" s="1" t="n">
        <f aca="false">IF(OR(NOT(ISNUMBER($C$4)),NOT(ISNUMBER(D11)),$C$4&lt;D11),"Datum prüfen",$C$4-D11)</f>
        <v>213</v>
      </c>
      <c r="G11" s="31" t="n">
        <f aca="false">IF(OR(NOT(ISNUMBER(C11)),NOT(ISNUMBER(E11)),NOT(ISNUMBER(F11))),"Eingaben prüfen",ROUND(C11*E11*F11/365,2))</f>
        <v>2917.81</v>
      </c>
      <c r="H11" s="31" t="n">
        <f aca="false">IF(ISNUMBER(G11),C11+G11,"Eingaben prüfen")</f>
        <v>102917.81</v>
      </c>
      <c r="I11" s="32" t="n">
        <v>46387</v>
      </c>
      <c r="J11" s="22" t="s">
        <v>85</v>
      </c>
    </row>
    <row r="12" customFormat="false" ht="22" hidden="false" customHeight="true" outlineLevel="0" collapsed="false">
      <c r="A12" s="1"/>
      <c r="B12" s="8" t="s">
        <v>17</v>
      </c>
      <c r="C12" s="33" t="n">
        <f aca="false">SUM(C7:C11)</f>
        <v>470000</v>
      </c>
      <c r="D12" s="8"/>
      <c r="E12" s="8"/>
      <c r="F12" s="8"/>
      <c r="G12" s="33" t="n">
        <f aca="false">IF(COUNT(G7:G11)=5,SUM(G7:G11),"Eingaben prüfen")</f>
        <v>27630.4</v>
      </c>
      <c r="H12" s="33" t="n">
        <f aca="false">IF(COUNT(H7:H11)=5,SUM(H7:H11),"Eingaben prüfen")</f>
        <v>497630.4</v>
      </c>
      <c r="I12" s="8"/>
      <c r="J12" s="8"/>
    </row>
    <row r="13" customFormat="false" ht="22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customFormat="false" ht="22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customFormat="false" ht="22" hidden="false" customHeight="true" outlineLevel="0" collapsed="false">
      <c r="A15" s="1"/>
      <c r="B15" s="1" t="s">
        <v>86</v>
      </c>
      <c r="C15" s="1"/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1" t="s">
        <v>87</v>
      </c>
      <c r="C16" s="1"/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 t="s">
        <v>88</v>
      </c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9"/>
    <col collapsed="false" customWidth="true" hidden="false" outlineLevel="0" max="3" min="3" style="0" width="24"/>
    <col collapsed="false" customWidth="true" hidden="false" outlineLevel="0" max="10" min="4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89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90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22" hidden="false" customHeight="true" outlineLevel="0" collapsed="false">
      <c r="A5" s="1"/>
      <c r="B5" s="1" t="s">
        <v>91</v>
      </c>
      <c r="C5" s="11" t="n">
        <v>1</v>
      </c>
      <c r="D5" s="1"/>
      <c r="E5" s="1"/>
      <c r="F5" s="1"/>
      <c r="G5" s="1"/>
      <c r="H5" s="1"/>
      <c r="I5" s="1"/>
      <c r="J5" s="1"/>
    </row>
    <row r="6" customFormat="false" ht="22" hidden="false" customHeight="true" outlineLevel="0" collapsed="false">
      <c r="A6" s="1"/>
      <c r="B6" s="1" t="s">
        <v>92</v>
      </c>
      <c r="C6" s="34" t="n">
        <f aca="false">Darlehen!C7</f>
        <v>120000</v>
      </c>
      <c r="D6" s="1"/>
      <c r="E6" s="1"/>
      <c r="F6" s="1"/>
      <c r="G6" s="1"/>
      <c r="H6" s="1"/>
      <c r="I6" s="1"/>
      <c r="J6" s="1"/>
    </row>
    <row r="7" customFormat="false" ht="22" hidden="false" customHeight="true" outlineLevel="0" collapsed="false">
      <c r="A7" s="1"/>
      <c r="B7" s="1" t="s">
        <v>93</v>
      </c>
      <c r="C7" s="34" t="n">
        <f aca="false">Darlehen!G7</f>
        <v>17418.08</v>
      </c>
      <c r="D7" s="1"/>
      <c r="E7" s="1"/>
      <c r="F7" s="1"/>
      <c r="G7" s="1"/>
      <c r="H7" s="1"/>
      <c r="I7" s="1"/>
      <c r="J7" s="1"/>
    </row>
    <row r="8" customFormat="false" ht="22" hidden="false" customHeight="true" outlineLevel="0" collapsed="false">
      <c r="A8" s="1"/>
      <c r="B8" s="1" t="s">
        <v>94</v>
      </c>
      <c r="C8" s="31" t="n">
        <f aca="false">IF(OR(AND(C5&lt;&gt;0,C5&lt;&gt;1),NOT(ISNUMBER(C5)),NOT(ISNUMBER(C7))),"Eingaben prüfen",C6+C5*C7)</f>
        <v>137418.08</v>
      </c>
      <c r="D8" s="1"/>
      <c r="E8" s="1"/>
      <c r="F8" s="1"/>
      <c r="G8" s="1"/>
      <c r="H8" s="1"/>
      <c r="I8" s="1"/>
      <c r="J8" s="1"/>
    </row>
    <row r="9" customFormat="false" ht="22" hidden="false" customHeight="true" outlineLevel="0" collapsed="false">
      <c r="A9" s="1"/>
      <c r="B9" s="1" t="s">
        <v>95</v>
      </c>
      <c r="C9" s="34" t="n">
        <f aca="false">Tranchen!C5</f>
        <v>500</v>
      </c>
      <c r="D9" s="1"/>
      <c r="E9" s="1"/>
      <c r="F9" s="1"/>
      <c r="G9" s="1"/>
      <c r="H9" s="1"/>
      <c r="I9" s="1"/>
      <c r="J9" s="1"/>
    </row>
    <row r="10" customFormat="false" ht="22" hidden="false" customHeight="true" outlineLevel="0" collapsed="false">
      <c r="A10" s="1"/>
      <c r="B10" s="1" t="s">
        <v>96</v>
      </c>
      <c r="C10" s="30" t="n">
        <v>0.2</v>
      </c>
      <c r="D10" s="1"/>
      <c r="E10" s="1"/>
      <c r="F10" s="1"/>
      <c r="G10" s="1"/>
      <c r="H10" s="1"/>
      <c r="I10" s="1"/>
      <c r="J10" s="1"/>
    </row>
    <row r="11" customFormat="false" ht="22" hidden="false" customHeight="true" outlineLevel="0" collapsed="false">
      <c r="A11" s="1"/>
      <c r="B11" s="1" t="s">
        <v>97</v>
      </c>
      <c r="C11" s="31" t="n">
        <f aca="false">IF(OR(NOT(ISNUMBER(C10)),C10&lt;0,C10&gt;=1,C9&lt;=0),"Eingaben prüfen",C9*(1-C10))</f>
        <v>400</v>
      </c>
      <c r="D11" s="1"/>
      <c r="E11" s="1"/>
      <c r="F11" s="1"/>
      <c r="G11" s="1"/>
      <c r="H11" s="1"/>
      <c r="I11" s="1"/>
      <c r="J11" s="1"/>
    </row>
    <row r="12" customFormat="false" ht="22" hidden="false" customHeight="true" outlineLevel="0" collapsed="false">
      <c r="A12" s="1"/>
      <c r="B12" s="1" t="s">
        <v>98</v>
      </c>
      <c r="C12" s="35" t="n">
        <f aca="false">IF(AND(ISNUMBER(C8),ISNUMBER(C11)),ROUNDDOWN(C8/C11,0),"Eingaben prüfen")</f>
        <v>343</v>
      </c>
      <c r="D12" s="1"/>
      <c r="E12" s="1"/>
      <c r="F12" s="1"/>
      <c r="G12" s="1"/>
      <c r="H12" s="1"/>
      <c r="I12" s="1"/>
      <c r="J12" s="1"/>
    </row>
    <row r="13" customFormat="false" ht="22" hidden="false" customHeight="true" outlineLevel="0" collapsed="false">
      <c r="A13" s="1"/>
      <c r="B13" s="1" t="s">
        <v>99</v>
      </c>
      <c r="C13" s="31" t="n">
        <f aca="false">IF(ISNUMBER(C12),ROUND(C8-C12*C11,2),"Eingaben prüfen")</f>
        <v>218.08</v>
      </c>
      <c r="D13" s="1"/>
      <c r="E13" s="1"/>
      <c r="F13" s="1"/>
      <c r="G13" s="1"/>
      <c r="H13" s="1"/>
      <c r="I13" s="1"/>
      <c r="J13" s="1"/>
    </row>
    <row r="14" customFormat="false" ht="22" hidden="false" customHeight="true" outlineLevel="0" collapsed="false">
      <c r="A14" s="1"/>
      <c r="B14" s="1" t="s">
        <v>100</v>
      </c>
      <c r="C14" s="36" t="n">
        <f aca="false">Kapital!G13</f>
        <v>70000</v>
      </c>
      <c r="D14" s="1"/>
      <c r="E14" s="1"/>
      <c r="F14" s="1"/>
      <c r="G14" s="1"/>
      <c r="H14" s="1"/>
      <c r="I14" s="1"/>
      <c r="J14" s="1"/>
    </row>
    <row r="15" customFormat="false" ht="22" hidden="false" customHeight="true" outlineLevel="0" collapsed="false">
      <c r="A15" s="1"/>
      <c r="B15" s="8" t="s">
        <v>101</v>
      </c>
      <c r="C15" s="8" t="n">
        <f aca="false">IF(ISNUMBER(C12),C14+C12,"Eingaben prüfen")</f>
        <v>70343</v>
      </c>
      <c r="D15" s="1"/>
      <c r="E15" s="1"/>
      <c r="F15" s="1"/>
      <c r="G15" s="1"/>
      <c r="H15" s="1"/>
      <c r="I15" s="1"/>
      <c r="J15" s="1"/>
    </row>
    <row r="16" customFormat="false" ht="22" hidden="false" customHeight="true" outlineLevel="0" collapsed="false">
      <c r="A16" s="1"/>
      <c r="B16" s="37" t="s">
        <v>102</v>
      </c>
      <c r="C16" s="38" t="n">
        <f aca="false">IF(ISNUMBER(C15),C12/C15,"Eingaben prüfen")</f>
        <v>0.00487610707533088</v>
      </c>
      <c r="D16" s="1"/>
      <c r="E16" s="1"/>
      <c r="F16" s="1"/>
      <c r="G16" s="1"/>
      <c r="H16" s="1"/>
      <c r="I16" s="1"/>
      <c r="J16" s="1"/>
    </row>
    <row r="17" customFormat="false" ht="22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customFormat="false" ht="22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 t="s">
        <v>103</v>
      </c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 t="s">
        <v>104</v>
      </c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dataValidations count="2">
    <dataValidation allowBlank="false" errorStyle="stop" operator="between" showDropDown="false" showErrorMessage="false" showInputMessage="false" sqref="C5" type="whole">
      <formula1>0</formula1>
      <formula2>1</formula2>
    </dataValidation>
    <dataValidation allowBlank="false" errorStyle="stop" operator="between" showDropDown="false" showErrorMessage="false" showInputMessage="false" sqref="C10" type="decimal">
      <formula1>0</formula1>
      <formula2>0.99</formula2>
    </dataValidation>
  </dataValidations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9"/>
    <col collapsed="false" customWidth="true" hidden="false" outlineLevel="0" max="3" min="3" style="0" width="36"/>
    <col collapsed="false" customWidth="true" hidden="false" outlineLevel="0" max="10" min="4" style="0" width="17"/>
  </cols>
  <sheetData>
    <row r="1" customFormat="false" ht="2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22" hidden="false" customHeight="true" outlineLevel="0" collapsed="false">
      <c r="A2" s="1"/>
      <c r="B2" s="2" t="s">
        <v>105</v>
      </c>
      <c r="C2" s="1"/>
      <c r="D2" s="1"/>
      <c r="E2" s="1"/>
      <c r="F2" s="1"/>
      <c r="G2" s="1"/>
      <c r="H2" s="1"/>
      <c r="I2" s="1"/>
      <c r="J2" s="1"/>
    </row>
    <row r="3" customFormat="false" ht="22" hidden="false" customHeight="true" outlineLevel="0" collapsed="false">
      <c r="A3" s="1"/>
      <c r="B3" s="1" t="s">
        <v>106</v>
      </c>
      <c r="C3" s="1"/>
      <c r="D3" s="1"/>
      <c r="E3" s="1"/>
      <c r="F3" s="1"/>
      <c r="G3" s="1"/>
      <c r="H3" s="1"/>
      <c r="I3" s="1"/>
      <c r="J3" s="1"/>
    </row>
    <row r="4" customFormat="false" ht="22" hidden="false" customHeight="tru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</row>
    <row r="5" customFormat="false" ht="38" hidden="false" customHeight="true" outlineLevel="0" collapsed="false">
      <c r="A5" s="1"/>
      <c r="B5" s="3" t="s">
        <v>107</v>
      </c>
      <c r="C5" s="3" t="s">
        <v>51</v>
      </c>
      <c r="D5" s="3" t="s">
        <v>108</v>
      </c>
      <c r="E5" s="3" t="s">
        <v>109</v>
      </c>
      <c r="F5" s="3" t="s">
        <v>110</v>
      </c>
      <c r="G5" s="3" t="s">
        <v>111</v>
      </c>
      <c r="H5" s="3" t="s">
        <v>112</v>
      </c>
      <c r="I5" s="1"/>
      <c r="J5" s="1"/>
    </row>
    <row r="6" customFormat="false" ht="22" hidden="false" customHeight="true" outlineLevel="0" collapsed="false">
      <c r="A6" s="1"/>
      <c r="B6" s="18" t="n">
        <v>46066</v>
      </c>
      <c r="C6" s="1" t="s">
        <v>113</v>
      </c>
      <c r="D6" s="29" t="n">
        <v>0</v>
      </c>
      <c r="E6" s="29" t="n">
        <v>0</v>
      </c>
      <c r="F6" s="31" t="n">
        <f aca="false">G6</f>
        <v>88000</v>
      </c>
      <c r="G6" s="29" t="n">
        <v>88000</v>
      </c>
      <c r="H6" s="39" t="n">
        <f aca="false">F6-G6</f>
        <v>0</v>
      </c>
      <c r="I6" s="1"/>
      <c r="J6" s="1"/>
    </row>
    <row r="7" customFormat="false" ht="22" hidden="false" customHeight="true" outlineLevel="0" collapsed="false">
      <c r="A7" s="1"/>
      <c r="B7" s="18" t="n">
        <v>46069</v>
      </c>
      <c r="C7" s="1" t="s">
        <v>114</v>
      </c>
      <c r="D7" s="29" t="n">
        <v>63000</v>
      </c>
      <c r="E7" s="29" t="n">
        <v>0</v>
      </c>
      <c r="F7" s="31" t="n">
        <f aca="false">F6+D7-E7</f>
        <v>151000</v>
      </c>
      <c r="G7" s="29" t="n">
        <v>151000</v>
      </c>
      <c r="H7" s="39" t="n">
        <f aca="false">ROUND(F7-G7,2)</f>
        <v>0</v>
      </c>
      <c r="I7" s="1"/>
      <c r="J7" s="1"/>
    </row>
    <row r="8" customFormat="false" ht="22" hidden="false" customHeight="true" outlineLevel="0" collapsed="false">
      <c r="A8" s="1"/>
      <c r="B8" s="18" t="n">
        <v>46073</v>
      </c>
      <c r="C8" s="1" t="s">
        <v>115</v>
      </c>
      <c r="D8" s="29" t="n">
        <v>0</v>
      </c>
      <c r="E8" s="29" t="n">
        <v>34000</v>
      </c>
      <c r="F8" s="31" t="n">
        <f aca="false">F7+D8-E8</f>
        <v>117000</v>
      </c>
      <c r="G8" s="29" t="n">
        <v>117000</v>
      </c>
      <c r="H8" s="39" t="n">
        <f aca="false">ROUND(F8-G8,2)</f>
        <v>0</v>
      </c>
      <c r="I8" s="1"/>
      <c r="J8" s="1"/>
    </row>
    <row r="9" customFormat="false" ht="22" hidden="false" customHeight="true" outlineLevel="0" collapsed="false">
      <c r="A9" s="1"/>
      <c r="B9" s="18" t="n">
        <v>46080</v>
      </c>
      <c r="C9" s="1" t="s">
        <v>116</v>
      </c>
      <c r="D9" s="29" t="n">
        <v>0</v>
      </c>
      <c r="E9" s="29" t="n">
        <v>76000</v>
      </c>
      <c r="F9" s="31" t="n">
        <f aca="false">F8+D9-E9</f>
        <v>41000</v>
      </c>
      <c r="G9" s="29" t="n">
        <v>41000</v>
      </c>
      <c r="H9" s="39" t="n">
        <f aca="false">ROUND(F9-G9,2)</f>
        <v>0</v>
      </c>
      <c r="I9" s="1"/>
      <c r="J9" s="1"/>
    </row>
    <row r="10" customFormat="false" ht="22" hidden="false" customHeight="true" outlineLevel="0" collapsed="false">
      <c r="A10" s="1"/>
      <c r="B10" s="18" t="n">
        <v>46083</v>
      </c>
      <c r="C10" s="1" t="s">
        <v>117</v>
      </c>
      <c r="D10" s="29" t="n">
        <v>60000</v>
      </c>
      <c r="E10" s="29" t="n">
        <v>0</v>
      </c>
      <c r="F10" s="31" t="n">
        <f aca="false">F9+D10-E10</f>
        <v>101000</v>
      </c>
      <c r="G10" s="29" t="n">
        <v>101000</v>
      </c>
      <c r="H10" s="39" t="n">
        <f aca="false">ROUND(F10-G10,2)</f>
        <v>0</v>
      </c>
      <c r="I10" s="1"/>
      <c r="J10" s="1"/>
    </row>
    <row r="11" customFormat="false" ht="22" hidden="false" customHeight="true" outlineLevel="0" collapsed="false">
      <c r="A11" s="1"/>
      <c r="B11" s="18" t="n">
        <v>46083</v>
      </c>
      <c r="C11" s="1" t="s">
        <v>118</v>
      </c>
      <c r="D11" s="29" t="n">
        <v>40000</v>
      </c>
      <c r="E11" s="29" t="n">
        <v>0</v>
      </c>
      <c r="F11" s="31" t="n">
        <f aca="false">F10+D11-E11</f>
        <v>141000</v>
      </c>
      <c r="G11" s="29" t="n">
        <v>141000</v>
      </c>
      <c r="H11" s="39" t="n">
        <f aca="false">ROUND(F11-G11,2)</f>
        <v>0</v>
      </c>
      <c r="I11" s="1"/>
      <c r="J11" s="1"/>
    </row>
    <row r="12" customFormat="false" ht="22" hidden="false" customHeight="true" outlineLevel="0" collapsed="false">
      <c r="A12" s="1"/>
      <c r="B12" s="18" t="n">
        <v>46083</v>
      </c>
      <c r="C12" s="1" t="s">
        <v>119</v>
      </c>
      <c r="D12" s="29" t="n">
        <v>150000</v>
      </c>
      <c r="E12" s="29" t="n">
        <v>0</v>
      </c>
      <c r="F12" s="31" t="n">
        <f aca="false">F11+D12-E12</f>
        <v>291000</v>
      </c>
      <c r="G12" s="29" t="n">
        <v>291000</v>
      </c>
      <c r="H12" s="39" t="n">
        <f aca="false">ROUND(F12-G12,2)</f>
        <v>0</v>
      </c>
      <c r="I12" s="1"/>
      <c r="J12" s="1"/>
    </row>
    <row r="13" customFormat="false" ht="22" hidden="false" customHeight="true" outlineLevel="0" collapsed="false">
      <c r="A13" s="1"/>
      <c r="B13" s="18" t="n">
        <v>46083</v>
      </c>
      <c r="C13" s="1" t="s">
        <v>120</v>
      </c>
      <c r="D13" s="29" t="n">
        <v>100000</v>
      </c>
      <c r="E13" s="29" t="n">
        <v>0</v>
      </c>
      <c r="F13" s="31" t="n">
        <f aca="false">F12+D13-E13</f>
        <v>391000</v>
      </c>
      <c r="G13" s="29" t="n">
        <v>391000</v>
      </c>
      <c r="H13" s="39" t="n">
        <f aca="false">ROUND(F13-G13,2)</f>
        <v>0</v>
      </c>
      <c r="I13" s="1"/>
      <c r="J13" s="1"/>
    </row>
    <row r="14" customFormat="false" ht="22" hidden="false" customHeight="true" outlineLevel="0" collapsed="false">
      <c r="A14" s="1"/>
      <c r="B14" s="18" t="n">
        <v>46093</v>
      </c>
      <c r="C14" s="1" t="s">
        <v>114</v>
      </c>
      <c r="D14" s="29" t="n">
        <v>28000</v>
      </c>
      <c r="E14" s="29" t="n">
        <v>0</v>
      </c>
      <c r="F14" s="31" t="n">
        <f aca="false">F13+D14-E14</f>
        <v>419000</v>
      </c>
      <c r="G14" s="29" t="n">
        <v>419000</v>
      </c>
      <c r="H14" s="39" t="n">
        <f aca="false">ROUND(F14-G14,2)</f>
        <v>0</v>
      </c>
      <c r="I14" s="1"/>
      <c r="J14" s="1"/>
    </row>
    <row r="15" customFormat="false" ht="22" hidden="false" customHeight="true" outlineLevel="0" collapsed="false">
      <c r="A15" s="1"/>
      <c r="B15" s="18" t="n">
        <v>46101</v>
      </c>
      <c r="C15" s="1" t="s">
        <v>121</v>
      </c>
      <c r="D15" s="29" t="n">
        <v>0</v>
      </c>
      <c r="E15" s="29" t="n">
        <v>125000</v>
      </c>
      <c r="F15" s="31" t="n">
        <f aca="false">F14+D15-E15</f>
        <v>294000</v>
      </c>
      <c r="G15" s="29" t="n">
        <v>294000</v>
      </c>
      <c r="H15" s="39" t="n">
        <f aca="false">ROUND(F15-G15,2)</f>
        <v>0</v>
      </c>
      <c r="I15" s="1"/>
      <c r="J15" s="1"/>
    </row>
    <row r="16" customFormat="false" ht="22" hidden="false" customHeight="true" outlineLevel="0" collapsed="false">
      <c r="A16" s="1"/>
      <c r="B16" s="18" t="n">
        <v>46106</v>
      </c>
      <c r="C16" s="1" t="s">
        <v>122</v>
      </c>
      <c r="D16" s="29" t="n">
        <v>0</v>
      </c>
      <c r="E16" s="29" t="n">
        <v>24000</v>
      </c>
      <c r="F16" s="31" t="n">
        <f aca="false">F15+D16-E16</f>
        <v>270000</v>
      </c>
      <c r="G16" s="29" t="n">
        <v>270000</v>
      </c>
      <c r="H16" s="39" t="n">
        <f aca="false">ROUND(F16-G16,2)</f>
        <v>0</v>
      </c>
      <c r="I16" s="1"/>
      <c r="J16" s="1"/>
    </row>
    <row r="17" customFormat="false" ht="22" hidden="false" customHeight="true" outlineLevel="0" collapsed="false">
      <c r="A17" s="1"/>
      <c r="B17" s="23" t="n">
        <v>46112</v>
      </c>
      <c r="C17" s="8" t="s">
        <v>116</v>
      </c>
      <c r="D17" s="40" t="n">
        <v>0</v>
      </c>
      <c r="E17" s="40" t="n">
        <v>190000</v>
      </c>
      <c r="F17" s="33" t="n">
        <f aca="false">F16+D17-E17</f>
        <v>80000</v>
      </c>
      <c r="G17" s="40" t="n">
        <v>80000</v>
      </c>
      <c r="H17" s="41" t="n">
        <f aca="false">ROUND(F17-G17,2)</f>
        <v>0</v>
      </c>
      <c r="I17" s="1"/>
      <c r="J17" s="1"/>
    </row>
    <row r="18" customFormat="false" ht="22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customFormat="false" ht="22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customFormat="false" ht="22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customFormat="false" ht="22" hidden="false" customHeight="true" outlineLevel="0" collapsed="false">
      <c r="A21" s="1"/>
      <c r="B21" s="1" t="s">
        <v>123</v>
      </c>
      <c r="C21" s="1"/>
      <c r="D21" s="1"/>
      <c r="E21" s="1"/>
      <c r="F21" s="1"/>
      <c r="G21" s="1"/>
      <c r="H21" s="1"/>
      <c r="I21" s="1"/>
      <c r="J21" s="1"/>
    </row>
    <row r="22" customFormat="false" ht="22" hidden="false" customHeight="true" outlineLevel="0" collapsed="false">
      <c r="A22" s="1"/>
      <c r="B22" s="1" t="s">
        <v>124</v>
      </c>
      <c r="C22" s="1"/>
      <c r="D22" s="1"/>
      <c r="E22" s="1"/>
      <c r="F22" s="1"/>
      <c r="G22" s="1"/>
      <c r="H22" s="1"/>
      <c r="I22" s="1"/>
      <c r="J22" s="1"/>
    </row>
    <row r="23" customFormat="false" ht="22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customFormat="false" ht="22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conditionalFormatting sqref="H6:H17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3" right="0.3" top="0.4" bottom="0.4" header="0.511811023622047" footer="0.1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&amp;L&amp;"Calibri"&amp;11&amp;A&amp;C&amp;"Calibri"&amp;11Seite &amp;P von &amp;N&amp;R&amp;"Calibri"&amp;11 09.10.2026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