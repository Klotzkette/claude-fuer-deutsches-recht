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772dd9f1a4e9b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Kapital" sheetId="1" ns1:id="Red04c2e8667f4bdb"/>
    <sheet name="Tranchen" sheetId="2" ns1:id="R5d78f36ab50c4779"/>
    <sheet name="Budget" sheetId="3" ns1:id="R6b4baefc3ce24d76"/>
  </sheets>
  <definedNames>
    <definedName name="_xlnm.Print_Titles" localSheetId="0">'Kapital'!$8:$8</definedName>
    <definedName name="_xlnm.Print_Area" localSheetId="0">'Kapital'!$A$1:$I$19</definedName>
    <definedName name="_xlnm.Print_Titles" localSheetId="1">'Tranchen'!$8:$8</definedName>
    <definedName name="_xlnm.Print_Area" localSheetId="1">'Tranchen'!$A$1:$I$19</definedName>
    <definedName name="_xlnm.Print_Titles" localSheetId="2">'Budget'!$8:$8</definedName>
    <definedName name="_xlnm.Print_Area" localSheetId="2">'Budget'!$A$1:$I$19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%"/>
    <x:numFmt numFmtId="202" formatCode="0%"/>
  </x:numFmts>
  <x:fonts count="7">
    <x:font>
      <x:sz val="11"/>
      <x:name val="Carlito"/>
    </x:font>
    <x:font>
      <x:sz val="10"/>
      <x:color rgb="FF202020"/>
      <x:name val="Arial"/>
    </x:font>
    <x:font>
      <x:b/>
      <x:sz val="15"/>
      <x:color rgb="FF20202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2020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94955"/>
      </x:patternFill>
    </x:fill>
    <x:fill>
      <x:patternFill patternType="solid">
        <x:fgColor rgb="FFE7EDF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394955"/>
      </x:top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1" fontId="6" fillId="3" borderId="0" xfId="0" applyNumberFormat="1" applyFont="1" applyFill="1" applyBorder="1" applyAlignment="1">
      <x:alignment horizontal="right" vertical="center"/>
    </x:xf>
    <x:xf numFmtId="0" fontId="6" fillId="3" borderId="1" xfId="0" applyNumberFormat="1" applyFont="1" applyFill="1" applyBorder="1" applyAlignment="1">
      <x:alignment vertical="center"/>
    </x:xf>
    <x:xf numFmtId="200" fontId="6" fillId="3" borderId="1" xfId="0" applyNumberFormat="1" applyFont="1" applyFill="1" applyBorder="1" applyAlignment="1">
      <x:alignment horizontal="right" vertical="center"/>
    </x:xf>
    <x:xf numFmtId="201" fontId="6" fillId="3" borderId="1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horizontal="right" vertical="center"/>
    </x:xf>
    <x:xf numFmtId="0" fontId="6" fillId="3" borderId="1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2" fontId="6" fillId="3" borderId="0" xfId="0" applyNumberFormat="1" applyFont="1" applyFill="1" applyBorder="1" applyAlignment="1">
      <x:alignment horizontal="right" vertical="center"/>
    </x:xf>
    <x:xf numFmtId="202" fontId="6" fillId="3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a09245162419b" /><Relationship Type="http://schemas.openxmlformats.org/officeDocument/2006/relationships/theme" Target="/xl/theme/theme1.xml" Id="R4f9ffd6782564fcd" /><Relationship Type="http://schemas.openxmlformats.org/officeDocument/2006/relationships/sharedStrings" Target="/xl/sharedStrings.xml" Id="R0725af130b424aea" /><Relationship Type="http://schemas.openxmlformats.org/officeDocument/2006/relationships/worksheet" Target="/xl/worksheets/sheet1.xml" Id="Red04c2e8667f4bdb" /><Relationship Type="http://schemas.openxmlformats.org/officeDocument/2006/relationships/worksheet" Target="/xl/worksheets/sheet2.xml" Id="R5d78f36ab50c4779" /><Relationship Type="http://schemas.openxmlformats.org/officeDocument/2006/relationships/worksheet" Target="/xl/worksheets/sheet3.xml" Id="R6b4baefc3ce24d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29" hidden="0" customWidth="1"/>
    <col min="3" max="3" width="17" hidden="0" customWidth="1"/>
    <col min="4" max="4" width="17" hidden="0" customWidth="1"/>
    <col min="5" max="5" width="17" hidden="0" customWidth="1"/>
    <col min="6" max="6" width="17" hidden="0" customWidth="1"/>
    <col min="7" max="7" width="17" hidden="0" customWidth="1"/>
    <col min="8" max="8" width="17" hidden="0" customWidth="1"/>
    <col min="9" max="9" width="17" hidden="0" customWidth="1"/>
    <col min="10" max="10" width="17" hidden="0" customWidth="1"/>
  </cols>
  <sheetData>
    <row r="1" ht="22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22" customHeight="1">
      <c r="A2" s="2"/>
      <c r="B2" s="3" t="str">
        <v>SkyFade Robotics Kapitalübersicht</v>
      </c>
      <c r="C2" s="2"/>
      <c r="D2" s="2"/>
      <c r="E2" s="2"/>
      <c r="F2" s="2"/>
      <c r="G2" s="2"/>
      <c r="H2" s="2"/>
      <c r="I2" s="2"/>
      <c r="J2" s="2"/>
    </row>
    <row r="3" ht="22" customHeight="1">
      <c r="A3" s="2"/>
      <c r="B3" s="2" t="str">
        <v>9. Oktober 2026 · Bestand und geplante Kapitalzustände · EUR Nennbetrag</v>
      </c>
      <c r="C3" s="2"/>
      <c r="D3" s="2"/>
      <c r="E3" s="2"/>
      <c r="F3" s="2"/>
      <c r="G3" s="2"/>
      <c r="H3" s="2"/>
      <c r="I3" s="2"/>
      <c r="J3" s="2"/>
    </row>
    <row r="4" ht="22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38" customHeight="1">
      <c r="A5" s="2"/>
      <c r="B5" s="7" t="str">
        <v>Gesellschafter</v>
      </c>
      <c r="C5" s="7" t="str">
        <v>Bestand</v>
      </c>
      <c r="D5" s="7" t="str">
        <v>Neu Tranche 1</v>
      </c>
      <c r="E5" s="7" t="str">
        <v>Nach Tranche 1</v>
      </c>
      <c r="F5" s="7" t="str">
        <v>Neu Tranche 2</v>
      </c>
      <c r="G5" s="7" t="str">
        <v>Nach Tranche 2</v>
      </c>
      <c r="H5" s="7" t="str">
        <v>Quote Bestand</v>
      </c>
      <c r="I5" s="7" t="str">
        <v>Quote final</v>
      </c>
      <c r="J5" s="2"/>
    </row>
    <row r="6" ht="22" customHeight="1">
      <c r="A6" s="2"/>
      <c r="B6" s="2" t="str">
        <v>Kunigunde Wolkenberger</v>
      </c>
      <c r="C6" s="12" t="n">
        <v>12500</v>
      </c>
      <c r="D6" s="9" t="n">
        <v>0</v>
      </c>
      <c r="E6" s="9" t="n">
        <f>SUM(C6:D6)</f>
        <v>12500</v>
      </c>
      <c r="F6" s="9" t="n">
        <v>0</v>
      </c>
      <c r="G6" s="9" t="n">
        <f>SUM(E6:F6)</f>
        <v>12500</v>
      </c>
      <c r="H6" s="11" t="n">
        <f>C6/$C$13</f>
        <v>0.25</v>
      </c>
      <c r="I6" s="11" t="n">
        <f>G6/$G$13</f>
        <v>0.17857142857142858</v>
      </c>
      <c r="J6" s="2"/>
    </row>
    <row r="7" ht="22" customHeight="1">
      <c r="A7" s="2"/>
      <c r="B7" s="2" t="str">
        <v>Kilian Funkenschlag</v>
      </c>
      <c r="C7" s="12" t="n">
        <v>12500</v>
      </c>
      <c r="D7" s="9" t="n">
        <v>0</v>
      </c>
      <c r="E7" s="9" t="n">
        <f>SUM(C7:D7)</f>
        <v>12500</v>
      </c>
      <c r="F7" s="9" t="n">
        <v>0</v>
      </c>
      <c r="G7" s="9" t="n">
        <f>SUM(E7:F7)</f>
        <v>12500</v>
      </c>
      <c r="H7" s="11" t="n">
        <f>C7/$C$13</f>
        <v>0.25</v>
      </c>
      <c r="I7" s="11" t="n">
        <f>G7/$G$13</f>
        <v>0.17857142857142858</v>
      </c>
      <c r="J7" s="2"/>
    </row>
    <row r="8" ht="22" customHeight="1">
      <c r="A8" s="2"/>
      <c r="B8" s="2" t="str">
        <v>Ottilie Trutz</v>
      </c>
      <c r="C8" s="12" t="n">
        <v>5000</v>
      </c>
      <c r="D8" s="9" t="n">
        <v>0</v>
      </c>
      <c r="E8" s="9" t="n">
        <f>SUM(C8:D8)</f>
        <v>5000</v>
      </c>
      <c r="F8" s="9" t="n">
        <v>0</v>
      </c>
      <c r="G8" s="9" t="n">
        <f>SUM(E8:F8)</f>
        <v>5000</v>
      </c>
      <c r="H8" s="11" t="n">
        <f>C8/$C$13</f>
        <v>0.1</v>
      </c>
      <c r="I8" s="11" t="n">
        <f>G8/$G$13</f>
        <v>0.07142857142857142</v>
      </c>
      <c r="J8" s="2"/>
    </row>
    <row r="9" ht="22" customHeight="1">
      <c r="A9" s="2"/>
      <c r="B9" s="2" t="str">
        <v>ABC Ventures GmbH</v>
      </c>
      <c r="C9" s="12" t="n">
        <v>11000</v>
      </c>
      <c r="D9" s="9" t="n">
        <v>0</v>
      </c>
      <c r="E9" s="9" t="n">
        <f>SUM(C9:D9)</f>
        <v>11000</v>
      </c>
      <c r="F9" s="9" t="n">
        <v>0</v>
      </c>
      <c r="G9" s="9" t="n">
        <f>SUM(E9:F9)</f>
        <v>11000</v>
      </c>
      <c r="H9" s="11" t="n">
        <f>C9/$C$13</f>
        <v>0.22</v>
      </c>
      <c r="I9" s="11" t="n">
        <f>G9/$G$13</f>
        <v>0.15714285714285714</v>
      </c>
      <c r="J9" s="2"/>
    </row>
    <row r="10" ht="22" customHeight="1">
      <c r="A10" s="2"/>
      <c r="B10" s="2" t="str">
        <v>DEF Partners GmbH</v>
      </c>
      <c r="C10" s="12" t="n">
        <v>9000</v>
      </c>
      <c r="D10" s="9" t="n">
        <v>0</v>
      </c>
      <c r="E10" s="9" t="n">
        <f>SUM(C10:D10)</f>
        <v>9000</v>
      </c>
      <c r="F10" s="9" t="n">
        <v>0</v>
      </c>
      <c r="G10" s="9" t="n">
        <f>SUM(E10:F10)</f>
        <v>9000</v>
      </c>
      <c r="H10" s="11" t="n">
        <f>C10/$C$13</f>
        <v>0.18</v>
      </c>
      <c r="I10" s="11" t="n">
        <f>G10/$G$13</f>
        <v>0.12857142857142856</v>
      </c>
      <c r="J10" s="2"/>
    </row>
    <row r="11" ht="22" customHeight="1">
      <c r="A11" s="2"/>
      <c r="B11" s="2" t="str">
        <v>GHI Capital GmbH</v>
      </c>
      <c r="C11" s="12" t="n">
        <v>0</v>
      </c>
      <c r="D11" s="13" t="n">
        <f>'Tranchen'!F7</f>
        <v>9000</v>
      </c>
      <c r="E11" s="9" t="n">
        <f>SUM(C11:D11)</f>
        <v>9000</v>
      </c>
      <c r="F11" s="13" t="n">
        <f>'Tranchen'!F9</f>
        <v>6000</v>
      </c>
      <c r="G11" s="9" t="n">
        <f>SUM(E11:F11)</f>
        <v>15000</v>
      </c>
      <c r="H11" s="11" t="n">
        <f>C11/$C$13</f>
        <v>0</v>
      </c>
      <c r="I11" s="11" t="n">
        <f>G11/$G$13</f>
        <v>0.21428571428571427</v>
      </c>
      <c r="J11" s="2"/>
    </row>
    <row r="12" ht="22" customHeight="1">
      <c r="A12" s="2"/>
      <c r="B12" s="2" t="str">
        <v>JKL Fonds GmbH</v>
      </c>
      <c r="C12" s="12" t="n">
        <v>0</v>
      </c>
      <c r="D12" s="13" t="n">
        <f>'Tranchen'!F8</f>
        <v>3000</v>
      </c>
      <c r="E12" s="9" t="n">
        <f>SUM(C12:D12)</f>
        <v>3000</v>
      </c>
      <c r="F12" s="13" t="n">
        <f>'Tranchen'!F10</f>
        <v>2000</v>
      </c>
      <c r="G12" s="9" t="n">
        <f>SUM(E12:F12)</f>
        <v>5000</v>
      </c>
      <c r="H12" s="11" t="n">
        <f>C12/$C$13</f>
        <v>0</v>
      </c>
      <c r="I12" s="11" t="n">
        <f>G12/$G$13</f>
        <v>0.07142857142857142</v>
      </c>
      <c r="J12" s="2"/>
    </row>
    <row r="13" ht="22" customHeight="1">
      <c r="A13" s="2"/>
      <c r="B13" s="20" t="str">
        <v>Gesamt</v>
      </c>
      <c r="C13" s="21" t="n">
        <f>SUM(C6:C12)</f>
        <v>50000</v>
      </c>
      <c r="D13" s="21" t="n">
        <f>SUM(D6:D12)</f>
        <v>12000</v>
      </c>
      <c r="E13" s="21" t="n">
        <f>SUM(E6:E12)</f>
        <v>62000</v>
      </c>
      <c r="F13" s="21" t="n">
        <f>SUM(F6:F12)</f>
        <v>8000</v>
      </c>
      <c r="G13" s="21" t="n">
        <f>SUM(G6:G12)</f>
        <v>70000</v>
      </c>
      <c r="H13" s="22" t="n">
        <f>SUM(H6:H12)</f>
        <v>1</v>
      </c>
      <c r="I13" s="22" t="n">
        <f>SUM(I6:I12)</f>
        <v>1</v>
      </c>
      <c r="J13" s="2"/>
    </row>
    <row r="14" ht="22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2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22" customHeight="1">
      <c r="A16" s="2"/>
      <c r="B16" s="2" t="str">
        <v>Bestand: Beteiligungsübersicht vom 30. September 2026.</v>
      </c>
      <c r="C16" s="2"/>
      <c r="D16" s="2"/>
      <c r="E16" s="2"/>
      <c r="F16" s="2"/>
      <c r="G16" s="2"/>
      <c r="H16" s="2"/>
      <c r="I16" s="2"/>
      <c r="J16" s="2"/>
    </row>
    <row r="17" ht="22" customHeight="1">
      <c r="A17" s="2"/>
      <c r="B17" s="2" t="str">
        <v>Neue Anteile sind geplant. Entstehung jeweils erst nach dem erforderlichen Registervollzug.</v>
      </c>
      <c r="C17" s="2"/>
      <c r="D17" s="2"/>
      <c r="E17" s="2"/>
      <c r="F17" s="2"/>
      <c r="G17" s="2"/>
      <c r="H17" s="2"/>
      <c r="I17" s="2"/>
      <c r="J17" s="2"/>
    </row>
    <row r="18" ht="22" customHeight="1">
      <c r="A18" s="2"/>
      <c r="B18" s="2" t="str">
        <v>Kein neuer Mitarbeiterpool eingerechnet. Keine Erlösverteilung aus diesen Quoten ableiten.</v>
      </c>
      <c r="C18" s="2"/>
      <c r="D18" s="2"/>
      <c r="E18" s="2"/>
      <c r="F18" s="2"/>
      <c r="G18" s="2"/>
      <c r="H18" s="2"/>
      <c r="I18" s="2"/>
      <c r="J18" s="2"/>
    </row>
    <row r="19" ht="22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22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22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22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22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22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pageMargins left="0.3" right="0.3" top="0.4" bottom="0.4" header="0.15" footer="0.15"/>
  <pageSetup paperSize="8" orientation="landscape" fitToWidth="1" fitToHeight="0"/>
  <headerFooter>
    <oddFooter>&amp;L&amp;A&amp;CSeite &amp;P von &amp;N&amp;R09.10.2026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29" hidden="0" customWidth="1"/>
    <col min="3" max="3" width="17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  <col min="9" max="9" width="17" hidden="0" customWidth="1"/>
    <col min="10" max="10" width="17" hidden="0" customWidth="1"/>
  </cols>
  <sheetData>
    <row r="1" ht="22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22" customHeight="1">
      <c r="A2" s="2"/>
      <c r="B2" s="3" t="str">
        <v>SkyFade Robotics Finanzierungsplan</v>
      </c>
      <c r="C2" s="2"/>
      <c r="D2" s="2"/>
      <c r="E2" s="2"/>
      <c r="F2" s="2"/>
      <c r="G2" s="2"/>
      <c r="H2" s="2"/>
      <c r="I2" s="2"/>
      <c r="J2" s="2"/>
    </row>
    <row r="3" ht="22" customHeight="1">
      <c r="A3" s="2"/>
      <c r="B3" s="2" t="str">
        <v>Vorschlag vom 9. Oktober 2026 · noch keine Zahlung der neuen Investoren</v>
      </c>
      <c r="C3" s="2"/>
      <c r="D3" s="2"/>
      <c r="E3" s="2"/>
      <c r="F3" s="2"/>
      <c r="G3" s="2"/>
      <c r="H3" s="2"/>
      <c r="I3" s="2"/>
      <c r="J3" s="2"/>
    </row>
    <row r="4" ht="22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22" customHeight="1">
      <c r="A5" s="2"/>
      <c r="B5" s="2" t="str">
        <v>Ausgabebetrag je Anteil EUR</v>
      </c>
      <c r="C5" s="23" t="n">
        <v>500</v>
      </c>
      <c r="D5" s="2"/>
      <c r="E5" s="2"/>
      <c r="F5" s="2"/>
      <c r="G5" s="2"/>
      <c r="H5" s="2"/>
      <c r="I5" s="2"/>
      <c r="J5" s="2"/>
    </row>
    <row r="6" ht="38" customHeight="1">
      <c r="A6" s="2"/>
      <c r="B6" s="7" t="str">
        <v>Investor</v>
      </c>
      <c r="C6" s="7" t="str">
        <v>Tranche</v>
      </c>
      <c r="D6" s="7" t="str">
        <v>Ausgabebetrag EUR</v>
      </c>
      <c r="E6" s="7" t="str">
        <v>Nennwert je Anteil</v>
      </c>
      <c r="F6" s="7" t="str">
        <v>Neue Anteile</v>
      </c>
      <c r="G6" s="7" t="str">
        <v>Nennbetrag EUR</v>
      </c>
      <c r="H6" s="7" t="str">
        <v>Agio EUR</v>
      </c>
      <c r="I6" s="2"/>
      <c r="J6" s="2"/>
    </row>
    <row r="7" ht="22" customHeight="1">
      <c r="A7" s="2"/>
      <c r="B7" s="2" t="str">
        <v>GHI Capital GmbH</v>
      </c>
      <c r="C7" s="25" t="n">
        <v>1</v>
      </c>
      <c r="D7" s="12" t="n">
        <v>4500000</v>
      </c>
      <c r="E7" s="12" t="n">
        <v>1</v>
      </c>
      <c r="F7" s="9" t="n">
        <f>D7/$C$5</f>
        <v>9000</v>
      </c>
      <c r="G7" s="9" t="n">
        <f>F7*E7</f>
        <v>9000</v>
      </c>
      <c r="H7" s="9" t="n">
        <f>D7-G7</f>
        <v>4491000</v>
      </c>
      <c r="I7" s="2"/>
      <c r="J7" s="2"/>
    </row>
    <row r="8" ht="22" customHeight="1">
      <c r="A8" s="2"/>
      <c r="B8" s="2" t="str">
        <v>JKL Fonds GmbH</v>
      </c>
      <c r="C8" s="25" t="n">
        <v>1</v>
      </c>
      <c r="D8" s="12" t="n">
        <v>1500000</v>
      </c>
      <c r="E8" s="12" t="n">
        <v>1</v>
      </c>
      <c r="F8" s="9" t="n">
        <f>D8/$C$5</f>
        <v>3000</v>
      </c>
      <c r="G8" s="9" t="n">
        <f>F8*E8</f>
        <v>3000</v>
      </c>
      <c r="H8" s="9" t="n">
        <f>D8-G8</f>
        <v>1497000</v>
      </c>
      <c r="I8" s="2"/>
      <c r="J8" s="2"/>
    </row>
    <row r="9" ht="22" customHeight="1">
      <c r="A9" s="2"/>
      <c r="B9" s="2" t="str">
        <v>GHI Capital GmbH</v>
      </c>
      <c r="C9" s="25" t="n">
        <v>2</v>
      </c>
      <c r="D9" s="12" t="n">
        <v>3000000</v>
      </c>
      <c r="E9" s="12" t="n">
        <v>1</v>
      </c>
      <c r="F9" s="9" t="n">
        <f>D9/$C$5</f>
        <v>6000</v>
      </c>
      <c r="G9" s="9" t="n">
        <f>F9*E9</f>
        <v>6000</v>
      </c>
      <c r="H9" s="9" t="n">
        <f>D9-G9</f>
        <v>2994000</v>
      </c>
      <c r="I9" s="2"/>
      <c r="J9" s="2"/>
    </row>
    <row r="10" ht="22" customHeight="1">
      <c r="A10" s="2"/>
      <c r="B10" s="2" t="str">
        <v>JKL Fonds GmbH</v>
      </c>
      <c r="C10" s="25" t="n">
        <v>2</v>
      </c>
      <c r="D10" s="12" t="n">
        <v>1000000</v>
      </c>
      <c r="E10" s="12" t="n">
        <v>1</v>
      </c>
      <c r="F10" s="9" t="n">
        <f>D10/$C$5</f>
        <v>2000</v>
      </c>
      <c r="G10" s="9" t="n">
        <f>F10*E10</f>
        <v>2000</v>
      </c>
      <c r="H10" s="9" t="n">
        <f>D10-G10</f>
        <v>998000</v>
      </c>
      <c r="I10" s="2"/>
      <c r="J10" s="2"/>
    </row>
    <row r="11" ht="22" customHeight="1">
      <c r="A11" s="2"/>
      <c r="B11" s="2"/>
      <c r="C11" s="10"/>
      <c r="D11" s="9"/>
      <c r="E11" s="9"/>
      <c r="F11" s="9"/>
      <c r="G11" s="9"/>
      <c r="H11" s="9"/>
      <c r="I11" s="2"/>
      <c r="J11" s="2"/>
    </row>
    <row r="12" ht="22" customHeight="1">
      <c r="A12" s="2"/>
      <c r="B12" s="2" t="str">
        <v>Tranche 1 gesamt</v>
      </c>
      <c r="C12" s="10"/>
      <c r="D12" s="9" t="n">
        <f>SUM(D7:D8)</f>
        <v>6000000</v>
      </c>
      <c r="E12" s="9"/>
      <c r="F12" s="9" t="n">
        <f>SUM(F7:F8)</f>
        <v>12000</v>
      </c>
      <c r="G12" s="9" t="n">
        <f>SUM(G7:G8)</f>
        <v>12000</v>
      </c>
      <c r="H12" s="9" t="n">
        <f>SUM(H7:H8)</f>
        <v>5988000</v>
      </c>
      <c r="I12" s="2"/>
      <c r="J12" s="2"/>
    </row>
    <row r="13" ht="22" customHeight="1">
      <c r="A13" s="2"/>
      <c r="B13" s="2" t="str">
        <v>Tranche 2 gesamt</v>
      </c>
      <c r="C13" s="10"/>
      <c r="D13" s="9" t="n">
        <f>SUM(D9:D10)</f>
        <v>4000000</v>
      </c>
      <c r="E13" s="9"/>
      <c r="F13" s="9" t="n">
        <f>SUM(F9:F10)</f>
        <v>8000</v>
      </c>
      <c r="G13" s="9" t="n">
        <f>SUM(G9:G10)</f>
        <v>8000</v>
      </c>
      <c r="H13" s="9" t="n">
        <f>SUM(H9:H10)</f>
        <v>3992000</v>
      </c>
      <c r="I13" s="2"/>
      <c r="J13" s="2"/>
    </row>
    <row r="14" ht="22" customHeight="1">
      <c r="A14" s="2"/>
      <c r="B14" s="20" t="str">
        <v>Beide Tranchen</v>
      </c>
      <c r="C14" s="28"/>
      <c r="D14" s="21" t="n">
        <f>SUM(D12:D13)</f>
        <v>10000000</v>
      </c>
      <c r="E14" s="21"/>
      <c r="F14" s="21" t="n">
        <f>SUM(F12:F13)</f>
        <v>20000</v>
      </c>
      <c r="G14" s="21" t="n">
        <f>SUM(G12:G13)</f>
        <v>20000</v>
      </c>
      <c r="H14" s="21" t="n">
        <f>SUM(H12:H13)</f>
        <v>9980000</v>
      </c>
      <c r="I14" s="2"/>
      <c r="J14" s="2"/>
    </row>
    <row r="15" ht="22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22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22" customHeight="1">
      <c r="A17" s="2"/>
      <c r="B17" s="2" t="str">
        <v>Quelle: Term Sheet Nummer 3. Die zweite Tranche hängt von noch zu vereinbarenden Nachweisen ab.</v>
      </c>
      <c r="C17" s="2"/>
      <c r="D17" s="2"/>
      <c r="E17" s="2"/>
      <c r="F17" s="2"/>
      <c r="G17" s="2"/>
      <c r="H17" s="2"/>
      <c r="I17" s="2"/>
      <c r="J17" s="2"/>
    </row>
    <row r="18" ht="22" customHeight="1">
      <c r="A18" s="2"/>
      <c r="B18" s="2" t="str">
        <v>Blaue Zahlen: Eingaben. Schwarze Zahlen: Formeln. Grüne Zahlen: Verknüpfungen zu anderen Blättern.</v>
      </c>
      <c r="C18" s="2"/>
      <c r="D18" s="2"/>
      <c r="E18" s="2"/>
      <c r="F18" s="2"/>
      <c r="G18" s="2"/>
      <c r="H18" s="2"/>
      <c r="I18" s="2"/>
      <c r="J18" s="2"/>
    </row>
    <row r="19" ht="22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22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22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22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22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22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pageMargins left="0.3" right="0.3" top="0.4" bottom="0.4" header="0.15" footer="0.15"/>
  <pageSetup paperSize="8" orientation="landscape" fitToWidth="1" fitToHeight="0"/>
  <headerFooter>
    <oddFooter>&amp;L&amp;A&amp;CSeite &amp;P von &amp;N&amp;R09.10.2026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3" hidden="0" customWidth="1"/>
    <col min="2" max="2" width="29" hidden="0" customWidth="1"/>
    <col min="3" max="3" width="17" hidden="0" customWidth="1"/>
    <col min="4" max="4" width="17" hidden="0" customWidth="1"/>
    <col min="5" max="5" width="17" hidden="0" customWidth="1"/>
    <col min="6" max="6" width="17" hidden="0" customWidth="1"/>
    <col min="7" max="7" width="17" hidden="0" customWidth="1"/>
    <col min="8" max="8" width="17" hidden="0" customWidth="1"/>
    <col min="9" max="9" width="17" hidden="0" customWidth="1"/>
    <col min="10" max="10" width="17" hidden="0" customWidth="1"/>
  </cols>
  <sheetData>
    <row r="1" ht="22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22" customHeight="1">
      <c r="A2" s="2"/>
      <c r="B2" s="3" t="str">
        <v>SkyFade Robotics Mittelverwendung</v>
      </c>
      <c r="C2" s="2"/>
      <c r="D2" s="2"/>
      <c r="E2" s="2"/>
      <c r="F2" s="2"/>
      <c r="G2" s="2"/>
      <c r="H2" s="2"/>
      <c r="I2" s="2"/>
      <c r="J2" s="2"/>
    </row>
    <row r="3" ht="22" customHeight="1">
      <c r="A3" s="2"/>
      <c r="B3" s="2" t="str">
        <v>Budgetvorschlag bei vollständiger Finanzierung · keine bereits gebuchten Ausgaben</v>
      </c>
      <c r="C3" s="2"/>
      <c r="D3" s="2"/>
      <c r="E3" s="2"/>
      <c r="F3" s="2"/>
      <c r="G3" s="2"/>
      <c r="H3" s="2"/>
      <c r="I3" s="2"/>
      <c r="J3" s="2"/>
    </row>
    <row r="4" ht="22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22" customHeight="1">
      <c r="A5" s="2"/>
      <c r="B5" s="2" t="str">
        <v>Gesamtrahmen EUR</v>
      </c>
      <c r="C5" s="30" t="n">
        <f>'Tranchen'!D14</f>
        <v>10000000</v>
      </c>
      <c r="D5" s="2"/>
      <c r="E5" s="2"/>
      <c r="F5" s="2"/>
      <c r="G5" s="2"/>
      <c r="H5" s="2"/>
      <c r="I5" s="2"/>
      <c r="J5" s="2"/>
    </row>
    <row r="6" ht="22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38" customHeight="1">
      <c r="A7" s="2"/>
      <c r="B7" s="7" t="str">
        <v>Verwendungsbereich</v>
      </c>
      <c r="C7" s="7" t="str">
        <v>Anteil</v>
      </c>
      <c r="D7" s="7" t="str">
        <v>Budget EUR</v>
      </c>
      <c r="E7" s="2"/>
      <c r="F7" s="2"/>
      <c r="G7" s="2"/>
      <c r="H7" s="2"/>
      <c r="I7" s="2"/>
      <c r="J7" s="2"/>
    </row>
    <row r="8" ht="22" customHeight="1">
      <c r="A8" s="2"/>
      <c r="B8" s="2" t="str">
        <v>Robotik und Sicherheit</v>
      </c>
      <c r="C8" s="33" t="n">
        <v>0.35</v>
      </c>
      <c r="D8" s="9" t="n">
        <f>C8*$C$5</f>
        <v>3500000</v>
      </c>
      <c r="E8" s="2"/>
      <c r="F8" s="2"/>
      <c r="G8" s="2"/>
      <c r="H8" s="2"/>
      <c r="I8" s="2"/>
      <c r="J8" s="2"/>
    </row>
    <row r="9" ht="22" customHeight="1">
      <c r="A9" s="2"/>
      <c r="B9" s="2" t="str">
        <v>Zulassung und Versicherung</v>
      </c>
      <c r="C9" s="33" t="n">
        <v>0.2</v>
      </c>
      <c r="D9" s="9" t="n">
        <f>C9*$C$5</f>
        <v>2000000</v>
      </c>
      <c r="E9" s="2"/>
      <c r="F9" s="2"/>
      <c r="G9" s="2"/>
      <c r="H9" s="2"/>
      <c r="I9" s="2"/>
      <c r="J9" s="2"/>
    </row>
    <row r="10" ht="22" customHeight="1">
      <c r="A10" s="2"/>
      <c r="B10" s="2" t="str">
        <v>Software und Daten</v>
      </c>
      <c r="C10" s="33" t="n">
        <v>0.2</v>
      </c>
      <c r="D10" s="9" t="n">
        <f>C10*$C$5</f>
        <v>2000000</v>
      </c>
      <c r="E10" s="2"/>
      <c r="F10" s="2"/>
      <c r="G10" s="2"/>
      <c r="H10" s="2"/>
      <c r="I10" s="2"/>
      <c r="J10" s="2"/>
    </row>
    <row r="11" ht="22" customHeight="1">
      <c r="A11" s="2"/>
      <c r="B11" s="2" t="str">
        <v>Personal und Pilotstandorte</v>
      </c>
      <c r="C11" s="33" t="n">
        <v>0.15</v>
      </c>
      <c r="D11" s="9" t="n">
        <f>C11*$C$5</f>
        <v>1500000</v>
      </c>
      <c r="E11" s="2"/>
      <c r="F11" s="2"/>
      <c r="G11" s="2"/>
      <c r="H11" s="2"/>
      <c r="I11" s="2"/>
      <c r="J11" s="2"/>
    </row>
    <row r="12" ht="22" customHeight="1">
      <c r="A12" s="2"/>
      <c r="B12" s="2" t="str">
        <v>Betriebskapital</v>
      </c>
      <c r="C12" s="33" t="n">
        <v>0.1</v>
      </c>
      <c r="D12" s="9" t="n">
        <f>C12*$C$5</f>
        <v>1000000</v>
      </c>
      <c r="E12" s="2"/>
      <c r="F12" s="2"/>
      <c r="G12" s="2"/>
      <c r="H12" s="2"/>
      <c r="I12" s="2"/>
      <c r="J12" s="2"/>
    </row>
    <row r="13" ht="22" customHeight="1">
      <c r="A13" s="2"/>
      <c r="B13" s="20" t="str">
        <v>Gesamt</v>
      </c>
      <c r="C13" s="36" t="n">
        <f>SUM(C8:C12)</f>
        <v>1</v>
      </c>
      <c r="D13" s="21" t="n">
        <f>SUM(D8:D12)</f>
        <v>10000000</v>
      </c>
      <c r="E13" s="2"/>
      <c r="F13" s="2"/>
      <c r="G13" s="2"/>
      <c r="H13" s="2"/>
      <c r="I13" s="2"/>
      <c r="J13" s="2"/>
    </row>
    <row r="14" ht="22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2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22" customHeight="1">
      <c r="A16" s="2"/>
      <c r="B16" s="2" t="str">
        <v>Quelle: Term Sheet Nummer 5. Ein Zeitplan bis zur zweiten Tranche wird noch abgestimmt.</v>
      </c>
      <c r="C16" s="2"/>
      <c r="D16" s="2"/>
      <c r="E16" s="2"/>
      <c r="F16" s="2"/>
      <c r="G16" s="2"/>
      <c r="H16" s="2"/>
      <c r="I16" s="2"/>
      <c r="J16" s="2"/>
    </row>
    <row r="17" ht="22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22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22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22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22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22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22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22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pageMargins left="0.3" right="0.3" top="0.4" bottom="0.4" header="0.15" footer="0.15"/>
  <pageSetup paperSize="8" orientation="landscape" fitToWidth="1" fitToHeight="0"/>
  <headerFooter>
    <oddFooter>&amp;L&amp;A&amp;CSeite &amp;P von &amp;N&amp;R09.10.2026</oddFooter>
  </headerFooter>
</worksheet>
</file>