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d852b876a84eed" /></Relationships>
</file>

<file path=xl/workbook.xml><?xml version="1.0" encoding="utf-8"?>
<workbook xmlns="http://schemas.openxmlformats.org/spreadsheetml/2006/main">
  <sheets>
    <sheet xmlns:r="http://schemas.openxmlformats.org/officeDocument/2006/relationships" name="Preisstaffeln" sheetId="1" r:id="R1c407de1e8614b7c"/>
    <sheet xmlns:r="http://schemas.openxmlformats.org/officeDocument/2006/relationships" name="Anlauf" sheetId="2" r:id="R4713d7daa4bf406a"/>
  </sheets>
  <definedNames>
    <definedName name="_xlnm.Print_Area" localSheetId="0">'Preisstaffeln'!$A$1:$G$25</definedName>
    <definedName name="_xlnm.Print_Area" localSheetId="1">'Anlauf'!$A$1:$G$26</definedName>
  </definedNames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%"/>
    <x:numFmt numFmtId="201" formatCode="#,##0.00&quot;  &quot;"/>
    <x:numFmt numFmtId="202" formatCode="0&quot;  &quot;"/>
    <x:numFmt numFmtId="203" formatCode="dd&quot;.&quot;mm&quot;.&quot;yyyy"/>
  </x:numFmts>
  <x:fonts count="6">
    <x:font>
      <x:sz val="11"/>
      <x:name val="Carlito"/>
    </x:font>
    <x:font>
      <x:sz val="11"/>
      <x:color rgb="FF202C32"/>
      <x:name val="Arial"/>
    </x:font>
    <x:font>
      <x:b/>
      <x:sz val="15"/>
      <x:color rgb="FF263E46"/>
      <x:name val="Arial"/>
    </x:font>
    <x:font>
      <x:b/>
      <x:sz val="11"/>
      <x:color rgb="FFFFFFFF"/>
      <x:name val="Arial"/>
    </x:font>
    <x:font>
      <x:sz val="11"/>
      <x:color rgb="FF23557C"/>
      <x:name val="Arial"/>
    </x:font>
    <x:font>
      <x:b/>
      <x:sz val="11"/>
      <x:color rgb="FF202C32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54E58"/>
      </x:patternFill>
    </x:fill>
    <x:fill>
      <x:patternFill patternType="solid">
        <x:fgColor rgb="FFE9EFF0"/>
      </x:patternFill>
    </x:fill>
  </x:fills>
  <x:borders count="2">
    <x:border/>
    <x:border>
      <x:top style="thin">
        <x:color rgb="FF9AABAF"/>
      </x:top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201" fontId="5" fillId="3" borderId="0" xfId="0" applyNumberFormat="1" applyFont="1" applyFill="1" applyBorder="1" applyAlignment="1">
      <x:alignment vertical="center"/>
    </x:xf>
    <x:xf numFmtId="0" fontId="5" fillId="3" borderId="1" xfId="0" applyNumberFormat="1" applyFont="1" applyFill="1" applyBorder="1" applyAlignment="1">
      <x:alignment vertical="center"/>
    </x:xf>
    <x:xf numFmtId="201" fontId="5" fillId="3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abb2a5c72d4028" /><Relationship Type="http://schemas.openxmlformats.org/officeDocument/2006/relationships/theme" Target="/xl/theme/theme1.xml" Id="R7745b983a5374653" /><Relationship Type="http://schemas.openxmlformats.org/officeDocument/2006/relationships/sharedStrings" Target="/xl/sharedStrings.xml" Id="Ra9eb42a7c4be4b23" /><Relationship Type="http://schemas.openxmlformats.org/officeDocument/2006/relationships/worksheet" Target="/xl/worksheets/sheet1.xml" Id="R1c407de1e8614b7c" /><Relationship Type="http://schemas.openxmlformats.org/officeDocument/2006/relationships/worksheet" Target="/xl/worksheets/sheet2.xml" Id="R4713d7daa4bf406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pageSetUpPr fitToPage="1"/>
  </sheetPr>
  <sheetViews>
    <sheetView showGridLines="0" workbookViewId="0">
      <pane ySplit="8" topLeftCell="A9" activePane="bottomLeft" state="frozen"/>
    </sheetView>
  </sheetViews>
  <sheetFormatPr defaultRowHeight="15"/>
  <cols>
    <col min="1" max="1" width="26.670000076293945" hidden="0" customWidth="1"/>
    <col min="2" max="2" width="17.780000686645508" hidden="0" customWidth="1"/>
    <col min="3" max="3" width="16.110000610351562" hidden="0" customWidth="1"/>
    <col min="4" max="4" width="16.670000076293945" hidden="0" customWidth="1"/>
    <col min="5" max="5" width="18.889999389648438" hidden="0" customWidth="1"/>
    <col min="6" max="6" width="20" hidden="0" customWidth="1"/>
    <col min="7" max="7" width="21.110000610351562" hidden="0" customWidth="1"/>
  </cols>
  <sheetData>
    <row r="1" ht="26" customHeight="1">
      <c r="A1" s="2"/>
      <c r="B1" s="2"/>
      <c r="C1" s="2"/>
      <c r="D1" s="2"/>
      <c r="E1" s="2"/>
      <c r="F1" s="2"/>
      <c r="G1" s="2"/>
    </row>
    <row r="2" ht="26" customHeight="1">
      <c r="A2" s="3" t="str">
        <v>Rheinkern / D400 Preisstaffeln</v>
      </c>
      <c r="B2" s="2"/>
      <c r="C2" s="2"/>
      <c r="D2" s="2"/>
      <c r="E2" s="2"/>
      <c r="F2" s="2"/>
      <c r="G2" s="2"/>
    </row>
    <row r="3" ht="26" customHeight="1">
      <c r="A3" s="2" t="str">
        <v>Eva Schulte, 22.09.2026 · Angebot TS-260902 bei fest zugesagter Jahresmenge</v>
      </c>
      <c r="B3" s="2"/>
      <c r="C3" s="2"/>
      <c r="D3" s="2"/>
      <c r="E3" s="2"/>
      <c r="F3" s="2"/>
      <c r="G3" s="2"/>
    </row>
    <row r="4" ht="26" customHeight="1">
      <c r="A4" s="2" t="str">
        <v>Ausgangspreis EUR</v>
      </c>
      <c r="B4" s="5" t="n">
        <v>186</v>
      </c>
      <c r="C4" s="2" t="str">
        <v>USt</v>
      </c>
      <c r="D4" s="4" t="n">
        <v>0.19</v>
      </c>
      <c r="E4" s="2"/>
      <c r="F4" s="2"/>
      <c r="G4" s="2"/>
    </row>
    <row r="5" ht="26" customHeight="1">
      <c r="A5" s="2" t="str">
        <v>Staffel 1 ab Stück</v>
      </c>
      <c r="B5" s="6" t="n">
        <v>1200</v>
      </c>
      <c r="C5" s="2" t="str">
        <v>Nachlass</v>
      </c>
      <c r="D5" s="4" t="n">
        <v>0.03</v>
      </c>
      <c r="E5" s="2"/>
      <c r="F5" s="2"/>
      <c r="G5" s="2"/>
    </row>
    <row r="6" ht="26" customHeight="1">
      <c r="A6" s="2" t="str">
        <v>Staffel 2 ab Stück</v>
      </c>
      <c r="B6" s="6" t="n">
        <v>1800</v>
      </c>
      <c r="C6" s="2" t="str">
        <v>Nachlass</v>
      </c>
      <c r="D6" s="4" t="n">
        <v>0.05</v>
      </c>
      <c r="E6" s="2"/>
      <c r="F6" s="2"/>
      <c r="G6" s="2"/>
    </row>
    <row r="7" ht="26" customHeight="1">
      <c r="A7" s="2"/>
      <c r="B7" s="2"/>
      <c r="C7" s="2"/>
      <c r="D7" s="2"/>
      <c r="E7" s="2"/>
      <c r="F7" s="2"/>
      <c r="G7" s="2"/>
    </row>
    <row r="8" ht="43" customHeight="1">
      <c r="A8" s="10" t="str">
        <v>Jahresmenge Stück</v>
      </c>
      <c r="B8" s="10" t="str">
        <v>Basis EUR/Stück</v>
      </c>
      <c r="C8" s="10" t="str">
        <v>Nachlass</v>
      </c>
      <c r="D8" s="10" t="str">
        <v>Netto EUR/Stück</v>
      </c>
      <c r="E8" s="10" t="str">
        <v>Jahr netto EUR</v>
      </c>
      <c r="F8" s="10" t="str">
        <v>Jahr brutto EUR</v>
      </c>
      <c r="G8" s="10" t="str">
        <v>Nachlassbetrag EUR</v>
      </c>
    </row>
    <row r="9" ht="26" customHeight="1">
      <c r="A9" s="11" t="n">
        <v>600</v>
      </c>
      <c r="B9" s="5" t="n">
        <f>$B$4</f>
        <v>186</v>
      </c>
      <c r="C9" s="4" t="n">
        <f>IF(A9&gt;=$B$6,$D$6,IF(A9&gt;=$B$5,$D$5,0))</f>
        <v>0</v>
      </c>
      <c r="D9" s="5" t="n">
        <f>ROUND(B9*(1-C9),2)</f>
        <v>186</v>
      </c>
      <c r="E9" s="5" t="n">
        <f>ROUND(A9*D9,2)</f>
        <v>111600</v>
      </c>
      <c r="F9" s="5" t="n">
        <f>ROUND(E9*(1+$D$4),2)</f>
        <v>132804</v>
      </c>
      <c r="G9" s="5" t="n">
        <f>ROUND(A9*B9-E9,2)</f>
        <v>0</v>
      </c>
    </row>
    <row r="10" ht="26" customHeight="1">
      <c r="A10" s="11" t="n">
        <v>1000</v>
      </c>
      <c r="B10" s="5" t="n">
        <f>$B$4</f>
        <v>186</v>
      </c>
      <c r="C10" s="4" t="n">
        <f>IF(A10&gt;=$B$6,$D$6,IF(A10&gt;=$B$5,$D$5,0))</f>
        <v>0</v>
      </c>
      <c r="D10" s="5" t="n">
        <f>ROUND(B10*(1-C10),2)</f>
        <v>186</v>
      </c>
      <c r="E10" s="5" t="n">
        <f>ROUND(A10*D10,2)</f>
        <v>186000</v>
      </c>
      <c r="F10" s="5" t="n">
        <f>ROUND(E10*(1+$D$4),2)</f>
        <v>221340</v>
      </c>
      <c r="G10" s="5" t="n">
        <f>ROUND(A10*B10-E10,2)</f>
        <v>0</v>
      </c>
    </row>
    <row r="11" ht="26" customHeight="1">
      <c r="A11" s="11" t="n">
        <v>1200</v>
      </c>
      <c r="B11" s="5" t="n">
        <f>$B$4</f>
        <v>186</v>
      </c>
      <c r="C11" s="4" t="n">
        <f>IF(A11&gt;=$B$6,$D$6,IF(A11&gt;=$B$5,$D$5,0))</f>
        <v>0.03</v>
      </c>
      <c r="D11" s="5" t="n">
        <f>ROUND(B11*(1-C11),2)</f>
        <v>180.42</v>
      </c>
      <c r="E11" s="5" t="n">
        <f>ROUND(A11*D11,2)</f>
        <v>216504</v>
      </c>
      <c r="F11" s="5" t="n">
        <f>ROUND(E11*(1+$D$4),2)</f>
        <v>257639.76</v>
      </c>
      <c r="G11" s="5" t="n">
        <f>ROUND(A11*B11-E11,2)</f>
        <v>6696</v>
      </c>
    </row>
    <row r="12" ht="26" customHeight="1">
      <c r="A12" s="11" t="n">
        <v>1500</v>
      </c>
      <c r="B12" s="5" t="n">
        <f>$B$4</f>
        <v>186</v>
      </c>
      <c r="C12" s="4" t="n">
        <f>IF(A12&gt;=$B$6,$D$6,IF(A12&gt;=$B$5,$D$5,0))</f>
        <v>0.03</v>
      </c>
      <c r="D12" s="5" t="n">
        <f>ROUND(B12*(1-C12),2)</f>
        <v>180.42</v>
      </c>
      <c r="E12" s="5" t="n">
        <f>ROUND(A12*D12,2)</f>
        <v>270630</v>
      </c>
      <c r="F12" s="5" t="n">
        <f>ROUND(E12*(1+$D$4),2)</f>
        <v>322049.7</v>
      </c>
      <c r="G12" s="5" t="n">
        <f>ROUND(A12*B12-E12,2)</f>
        <v>8370</v>
      </c>
    </row>
    <row r="13" ht="26" customHeight="1">
      <c r="A13" s="11" t="n">
        <v>1800</v>
      </c>
      <c r="B13" s="5" t="n">
        <f>$B$4</f>
        <v>186</v>
      </c>
      <c r="C13" s="4" t="n">
        <f>IF(A13&gt;=$B$6,$D$6,IF(A13&gt;=$B$5,$D$5,0))</f>
        <v>0.05</v>
      </c>
      <c r="D13" s="5" t="n">
        <f>ROUND(B13*(1-C13),2)</f>
        <v>176.7</v>
      </c>
      <c r="E13" s="5" t="n">
        <f>ROUND(A13*D13,2)</f>
        <v>318060</v>
      </c>
      <c r="F13" s="5" t="n">
        <f>ROUND(E13*(1+$D$4),2)</f>
        <v>378491.4</v>
      </c>
      <c r="G13" s="5" t="n">
        <f>ROUND(A13*B13-E13,2)</f>
        <v>16740</v>
      </c>
    </row>
    <row r="14" ht="26" customHeight="1">
      <c r="A14" s="11" t="n">
        <v>2400</v>
      </c>
      <c r="B14" s="5" t="n">
        <f>$B$4</f>
        <v>186</v>
      </c>
      <c r="C14" s="4" t="n">
        <f>IF(A14&gt;=$B$6,$D$6,IF(A14&gt;=$B$5,$D$5,0))</f>
        <v>0.05</v>
      </c>
      <c r="D14" s="5" t="n">
        <f>ROUND(B14*(1-C14),2)</f>
        <v>176.7</v>
      </c>
      <c r="E14" s="5" t="n">
        <f>ROUND(A14*D14,2)</f>
        <v>424080</v>
      </c>
      <c r="F14" s="5" t="n">
        <f>ROUND(E14*(1+$D$4),2)</f>
        <v>504655.2</v>
      </c>
      <c r="G14" s="5" t="n">
        <f>ROUND(A14*B14-E14,2)</f>
        <v>22320</v>
      </c>
    </row>
    <row r="15" ht="26" customHeight="1">
      <c r="A15" s="2"/>
      <c r="B15" s="2"/>
      <c r="C15" s="2"/>
      <c r="D15" s="2"/>
      <c r="E15" s="2"/>
      <c r="F15" s="2"/>
      <c r="G15" s="2"/>
    </row>
    <row r="16" ht="26" customHeight="1">
      <c r="A16" s="2"/>
      <c r="B16" s="2"/>
      <c r="C16" s="2"/>
      <c r="D16" s="2"/>
      <c r="E16" s="2"/>
      <c r="F16" s="2"/>
      <c r="G16" s="2"/>
    </row>
    <row r="17" ht="26" customHeight="1">
      <c r="A17" s="2" t="str">
        <v>Planung Stück/Jahr</v>
      </c>
      <c r="B17" s="6" t="n">
        <v>1200</v>
      </c>
      <c r="C17" s="2" t="str">
        <v>Jahre</v>
      </c>
      <c r="D17" s="2" t="n">
        <v>3</v>
      </c>
      <c r="E17" s="2"/>
      <c r="F17" s="2"/>
      <c r="G17" s="2"/>
    </row>
    <row r="18" ht="26" customHeight="1">
      <c r="A18" s="2" t="str">
        <v>Planung gesamt Stück</v>
      </c>
      <c r="B18" s="6" t="n">
        <f>B17*D17</f>
        <v>3600</v>
      </c>
      <c r="C18" s="2"/>
      <c r="D18" s="2"/>
      <c r="E18" s="2"/>
      <c r="F18" s="2"/>
      <c r="G18" s="2"/>
    </row>
    <row r="19" ht="26" customHeight="1">
      <c r="A19" s="2"/>
      <c r="B19" s="2"/>
      <c r="C19" s="2"/>
      <c r="D19" s="2"/>
      <c r="E19" s="2"/>
      <c r="F19" s="2"/>
      <c r="G19" s="2"/>
    </row>
    <row r="20" ht="26" customHeight="1">
      <c r="A20" s="2" t="str">
        <v>Quelle: Angebot TS-260902 vom 02.09.2026, Abschnitt 1.</v>
      </c>
      <c r="B20" s="2"/>
      <c r="C20" s="2"/>
      <c r="D20" s="2"/>
      <c r="E20" s="2"/>
      <c r="F20" s="2"/>
      <c r="G20" s="2"/>
    </row>
    <row r="21" ht="26" customHeight="1">
      <c r="A21" s="2" t="str">
        <v>Die sechs Zeilen sind Preisvergleiche, keine Bestellungen. Rüstzuschläge sind nicht enthalten.</v>
      </c>
      <c r="B21" s="2"/>
      <c r="C21" s="2"/>
      <c r="D21" s="2"/>
      <c r="E21" s="2"/>
      <c r="F21" s="2"/>
      <c r="G21" s="2"/>
    </row>
    <row r="22" ht="26" customHeight="1">
      <c r="A22" s="2" t="str">
        <v>Lieferant: Staffel nur bei fester Jahreszusage. Einkauf: Jahresplanung weiterhin unverbindlich.</v>
      </c>
      <c r="B22" s="2"/>
      <c r="C22" s="2"/>
      <c r="D22" s="2"/>
      <c r="E22" s="2"/>
      <c r="F22" s="2"/>
      <c r="G22" s="2"/>
    </row>
    <row r="23" ht="26" customHeight="1">
      <c r="A23" s="2" t="str">
        <v>Gegenvorschlag 0.8: nachträgliche Gutschrift nach tatsächlicher Jahresabnahme; noch nicht bestätigt.</v>
      </c>
      <c r="B23" s="2"/>
      <c r="C23" s="2"/>
      <c r="D23" s="2"/>
      <c r="E23" s="2"/>
      <c r="F23" s="2"/>
      <c r="G23" s="2"/>
    </row>
    <row r="24" ht="26" customHeight="1">
      <c r="A24" s="2" t="str">
        <v>Planung über drei Jahre: 01.10.2026 bis 30.09.2029. Keine Zusammenrechnung mit Abrufen 2026.</v>
      </c>
      <c r="B24" s="2"/>
      <c r="C24" s="2"/>
      <c r="D24" s="2"/>
      <c r="E24" s="2"/>
      <c r="F24" s="2"/>
      <c r="G24" s="2"/>
    </row>
    <row r="25" ht="26" customHeight="1">
      <c r="A25" s="2"/>
      <c r="B25" s="2"/>
      <c r="C25" s="2"/>
      <c r="D25" s="2"/>
      <c r="E25" s="2"/>
      <c r="F25" s="2"/>
      <c r="G25" s="2"/>
    </row>
    <row r="26" ht="26" customHeight="1">
      <c r="A26" s="2"/>
      <c r="B26" s="2"/>
      <c r="C26" s="2"/>
      <c r="D26" s="2"/>
      <c r="E26" s="2"/>
      <c r="F26" s="2"/>
      <c r="G26" s="2"/>
    </row>
    <row r="27" ht="26" customHeight="1">
      <c r="A27" s="2"/>
      <c r="B27" s="2"/>
      <c r="C27" s="2"/>
      <c r="D27" s="2"/>
      <c r="E27" s="2"/>
      <c r="F27" s="2"/>
      <c r="G27" s="2"/>
    </row>
    <row r="28" ht="26" customHeight="1">
      <c r="A28" s="2"/>
      <c r="B28" s="2"/>
      <c r="C28" s="2"/>
      <c r="D28" s="2"/>
      <c r="E28" s="2"/>
      <c r="F28" s="2"/>
      <c r="G28" s="2"/>
    </row>
  </sheetData>
  <printOptions gridLines="0" headings="0"/>
  <pageMargins left="0.3" right="0.3" top="0.35" bottom="0.35" header="0.15" footer="0.15"/>
  <pageSetup paperSize="9" orientation="landscape" fitToWidth="1" fitToHeight="1"/>
</worksheet>
</file>

<file path=xl/worksheets/sheet2.xml><?xml version="1.0" encoding="utf-8"?>
<worksheet xmlns="http://schemas.openxmlformats.org/spreadsheetml/2006/main">
  <sheetPr>
    <pageSetUpPr fitToPage="1"/>
  </sheetPr>
  <sheetViews>
    <sheetView showGridLines="0" workbookViewId="0">
      <pane ySplit="8" topLeftCell="A9" activePane="bottomLeft" state="frozen"/>
    </sheetView>
  </sheetViews>
  <sheetFormatPr defaultRowHeight="15"/>
  <cols>
    <col min="1" max="1" width="28.889999389648438" hidden="0" customWidth="1"/>
    <col min="2" max="2" width="13.890000343322754" hidden="0" customWidth="1"/>
    <col min="3" max="3" width="19.440000534057617" hidden="0" customWidth="1"/>
    <col min="4" max="4" width="18.889999389648438" hidden="0" customWidth="1"/>
    <col min="5" max="5" width="20" hidden="0" customWidth="1"/>
    <col min="6" max="6" width="19.440000534057617" hidden="0" customWidth="1"/>
    <col min="7" max="7" width="20" hidden="0" customWidth="1"/>
  </cols>
  <sheetData>
    <row r="1" ht="26" customHeight="1">
      <c r="A1" s="2"/>
      <c r="B1" s="2"/>
      <c r="C1" s="2"/>
      <c r="D1" s="2"/>
      <c r="E1" s="2"/>
      <c r="F1" s="2"/>
      <c r="G1" s="2"/>
    </row>
    <row r="2" ht="26" customHeight="1">
      <c r="A2" s="3" t="str">
        <v>D400 / Anlaufmengen und Werkzeug</v>
      </c>
      <c r="B2" s="2"/>
      <c r="C2" s="2"/>
      <c r="D2" s="2"/>
      <c r="E2" s="2"/>
      <c r="F2" s="2"/>
      <c r="G2" s="2"/>
    </row>
    <row r="3" ht="26" customHeight="1">
      <c r="A3" s="2" t="str">
        <v>Terminabfrage vom 21.09.2026 · Ohne feste Jahreszusage und ohne Staffelabschlag</v>
      </c>
      <c r="B3" s="2"/>
      <c r="C3" s="2"/>
      <c r="D3" s="2"/>
      <c r="E3" s="2"/>
      <c r="F3" s="2"/>
      <c r="G3" s="2"/>
    </row>
    <row r="4" ht="26" customHeight="1">
      <c r="A4" s="2"/>
      <c r="B4" s="2"/>
      <c r="C4" s="2"/>
      <c r="D4" s="2"/>
      <c r="E4" s="2"/>
      <c r="F4" s="2"/>
      <c r="G4" s="2"/>
    </row>
    <row r="5" ht="26" customHeight="1">
      <c r="A5" s="2" t="str">
        <v>Rüstzuschlag EUR/Stück</v>
      </c>
      <c r="B5" s="5" t="n">
        <v>8</v>
      </c>
      <c r="C5" s="2" t="str">
        <v>Losgrenze Stück</v>
      </c>
      <c r="D5" s="2" t="n">
        <v>100</v>
      </c>
      <c r="E5" s="2"/>
      <c r="F5" s="2"/>
      <c r="G5" s="2"/>
    </row>
    <row r="6" ht="26" customHeight="1">
      <c r="A6" s="2"/>
      <c r="B6" s="2"/>
      <c r="C6" s="2"/>
      <c r="D6" s="2"/>
      <c r="E6" s="2"/>
      <c r="F6" s="2"/>
      <c r="G6" s="2"/>
    </row>
    <row r="7" ht="26" customHeight="1">
      <c r="A7" s="2"/>
      <c r="B7" s="2"/>
      <c r="C7" s="2"/>
      <c r="D7" s="2"/>
      <c r="E7" s="2"/>
      <c r="F7" s="2"/>
      <c r="G7" s="2"/>
    </row>
    <row r="8" ht="43" customHeight="1">
      <c r="A8" s="10" t="str">
        <v>Wunschtermin</v>
      </c>
      <c r="B8" s="10" t="str">
        <v>Stück</v>
      </c>
      <c r="C8" s="10" t="str">
        <v>Netto EUR/Stück</v>
      </c>
      <c r="D8" s="10" t="str">
        <v>Zuschlag/Stück EUR</v>
      </c>
      <c r="E8" s="10" t="str">
        <v>Los netto EUR</v>
      </c>
      <c r="F8" s="10" t="str">
        <v>USt EUR</v>
      </c>
      <c r="G8" s="10" t="str">
        <v>Los brutto EUR</v>
      </c>
    </row>
    <row r="9" ht="26" customHeight="1">
      <c r="A9" s="12" t="n">
        <v>46314</v>
      </c>
      <c r="B9" s="2" t="n">
        <v>60</v>
      </c>
      <c r="C9" s="5" t="n">
        <f>'Preisstaffeln'!$B$4</f>
        <v>186</v>
      </c>
      <c r="D9" s="5" t="n">
        <f>IF(B9&lt;$D$5,$B$5,0)</f>
        <v>8</v>
      </c>
      <c r="E9" s="5" t="n">
        <f>ROUND(B9*(C9+D9),2)</f>
        <v>11640</v>
      </c>
      <c r="F9" s="5" t="n">
        <f>ROUND(E9*'Preisstaffeln'!$D$4,2)</f>
        <v>2211.6</v>
      </c>
      <c r="G9" s="5" t="n">
        <f>SUM(E9:F9)</f>
        <v>13851.6</v>
      </c>
    </row>
    <row r="10" ht="26" customHeight="1">
      <c r="A10" s="12" t="n">
        <v>46342</v>
      </c>
      <c r="B10" s="2" t="n">
        <v>80</v>
      </c>
      <c r="C10" s="5" t="n">
        <f>'Preisstaffeln'!$B$4</f>
        <v>186</v>
      </c>
      <c r="D10" s="5" t="n">
        <f>IF(B10&lt;$D$5,$B$5,0)</f>
        <v>8</v>
      </c>
      <c r="E10" s="5" t="n">
        <f>ROUND(B10*(C10+D10),2)</f>
        <v>15520</v>
      </c>
      <c r="F10" s="5" t="n">
        <f>ROUND(E10*'Preisstaffeln'!$D$4,2)</f>
        <v>2948.8</v>
      </c>
      <c r="G10" s="5" t="n">
        <f>SUM(E10:F10)</f>
        <v>18468.8</v>
      </c>
    </row>
    <row r="11" ht="26" customHeight="1">
      <c r="A11" s="12" t="n">
        <v>46370</v>
      </c>
      <c r="B11" s="2" t="n">
        <v>100</v>
      </c>
      <c r="C11" s="5" t="n">
        <f>'Preisstaffeln'!$B$4</f>
        <v>186</v>
      </c>
      <c r="D11" s="5" t="n">
        <f>IF(B11&lt;$D$5,$B$5,0)</f>
        <v>0</v>
      </c>
      <c r="E11" s="5" t="n">
        <f>ROUND(B11*(C11+D11),2)</f>
        <v>18600</v>
      </c>
      <c r="F11" s="5" t="n">
        <f>ROUND(E11*'Preisstaffeln'!$D$4,2)</f>
        <v>3534</v>
      </c>
      <c r="G11" s="5" t="n">
        <f>SUM(E11:F11)</f>
        <v>22134</v>
      </c>
    </row>
    <row r="12" ht="26" customHeight="1">
      <c r="A12" s="2"/>
      <c r="B12" s="2"/>
      <c r="C12" s="5"/>
      <c r="D12" s="5"/>
      <c r="E12" s="5"/>
      <c r="F12" s="5"/>
      <c r="G12" s="5"/>
    </row>
    <row r="13" ht="26" customHeight="1">
      <c r="A13" s="17" t="str">
        <v>Serienanlauf</v>
      </c>
      <c r="B13" s="17" t="n">
        <f>SUM(B9:B11)</f>
        <v>240</v>
      </c>
      <c r="C13" s="18"/>
      <c r="D13" s="18"/>
      <c r="E13" s="18" t="n">
        <f>SUM(E9:E11)</f>
        <v>45760</v>
      </c>
      <c r="F13" s="18" t="n">
        <f>SUM(F9:F11)</f>
        <v>8694.4</v>
      </c>
      <c r="G13" s="18" t="n">
        <f>SUM(G9:G11)</f>
        <v>54454.4</v>
      </c>
    </row>
    <row r="14" ht="26" customHeight="1">
      <c r="A14" s="2"/>
      <c r="B14" s="2"/>
      <c r="C14" s="5"/>
      <c r="D14" s="5"/>
      <c r="E14" s="5"/>
      <c r="F14" s="5"/>
      <c r="G14" s="5"/>
    </row>
    <row r="15" ht="26" customHeight="1">
      <c r="A15" s="2" t="str">
        <v>Werkzeug und 12 Muster</v>
      </c>
      <c r="B15" s="2"/>
      <c r="C15" s="5"/>
      <c r="D15" s="5"/>
      <c r="E15" s="5" t="n">
        <v>12400</v>
      </c>
      <c r="F15" s="5" t="n">
        <f>ROUND(E15*'Preisstaffeln'!$D$4,2)</f>
        <v>2356</v>
      </c>
      <c r="G15" s="5" t="n">
        <f>SUM(E15:F15)</f>
        <v>14756</v>
      </c>
    </row>
    <row r="16" ht="26" customHeight="1">
      <c r="A16" s="2"/>
      <c r="B16" s="2"/>
      <c r="C16" s="5"/>
      <c r="D16" s="5"/>
      <c r="E16" s="5"/>
      <c r="F16" s="5"/>
      <c r="G16" s="5"/>
    </row>
    <row r="17" ht="26" customHeight="1">
      <c r="A17" s="17" t="str">
        <v>Anlauf plus Werkzeug</v>
      </c>
      <c r="B17" s="17"/>
      <c r="C17" s="18"/>
      <c r="D17" s="18"/>
      <c r="E17" s="18" t="n">
        <f>E13+E15</f>
        <v>58160</v>
      </c>
      <c r="F17" s="18" t="n">
        <f>F13+F15</f>
        <v>11050.4</v>
      </c>
      <c r="G17" s="18" t="n">
        <f>G13+G15</f>
        <v>69210.4</v>
      </c>
    </row>
    <row r="18" ht="26" customHeight="1">
      <c r="A18" s="2" t="str">
        <v>Werkzeug bezahlt brutto</v>
      </c>
      <c r="B18" s="2"/>
      <c r="C18" s="5"/>
      <c r="D18" s="5"/>
      <c r="E18" s="5"/>
      <c r="F18" s="5"/>
      <c r="G18" s="5" t="n">
        <v>14756</v>
      </c>
    </row>
    <row r="19" ht="26" customHeight="1">
      <c r="A19" s="2" t="str">
        <v>Rechenrest brutto</v>
      </c>
      <c r="B19" s="2"/>
      <c r="C19" s="5"/>
      <c r="D19" s="5"/>
      <c r="E19" s="5"/>
      <c r="F19" s="5"/>
      <c r="G19" s="5" t="n">
        <f>G17-G18</f>
        <v>54454.399999999994</v>
      </c>
    </row>
    <row r="20" ht="26" customHeight="1">
      <c r="A20" s="2"/>
      <c r="B20" s="2"/>
      <c r="C20" s="2"/>
      <c r="D20" s="2"/>
      <c r="E20" s="2"/>
      <c r="F20" s="2"/>
      <c r="G20" s="2"/>
    </row>
    <row r="21" ht="26" customHeight="1">
      <c r="A21" s="2" t="str">
        <v>Mengen und Termine: 11_erp_abrufe_20260921.csv, drei Terminabfragen 2026.</v>
      </c>
      <c r="B21" s="2"/>
      <c r="C21" s="2"/>
      <c r="D21" s="2"/>
      <c r="E21" s="2"/>
      <c r="F21" s="2"/>
      <c r="G21" s="2"/>
    </row>
    <row r="22" ht="26" customHeight="1">
      <c r="A22" s="2" t="str">
        <v>Stückpreis und Zuschlag: Angebot TS-260902. Kein Preisnachlass für ungebundene Planmengen.</v>
      </c>
      <c r="B22" s="2"/>
      <c r="C22" s="2"/>
      <c r="D22" s="2"/>
      <c r="E22" s="2"/>
      <c r="F22" s="2"/>
      <c r="G22" s="2"/>
    </row>
    <row r="23" ht="26" customHeight="1">
      <c r="A23" s="2" t="str">
        <v>Werkzeug: TS-2026-491. Zahlung 04.09.2026, Bankbeleg AGB-260904-7319.</v>
      </c>
      <c r="B23" s="2"/>
      <c r="C23" s="2"/>
      <c r="D23" s="2"/>
      <c r="E23" s="2"/>
      <c r="F23" s="2"/>
      <c r="G23" s="2"/>
    </row>
    <row r="24" ht="26" customHeight="1">
      <c r="A24" s="2" t="str">
        <v>Zwölf Muster sind im Werkzeugpreis enthalten; sie erhöhen die Serienmenge nicht.</v>
      </c>
      <c r="B24" s="2"/>
      <c r="C24" s="2"/>
      <c r="D24" s="2"/>
      <c r="E24" s="2"/>
      <c r="F24" s="2"/>
      <c r="G24" s="2"/>
    </row>
    <row r="25" ht="26" customHeight="1">
      <c r="A25" s="2" t="str">
        <v>Der Rechenrest ist ein Planbetrag. Serienrechnungen und bestätigte Serientermine liegen nicht vor.</v>
      </c>
      <c r="B25" s="2"/>
      <c r="C25" s="2"/>
      <c r="D25" s="2"/>
      <c r="E25" s="2"/>
      <c r="F25" s="2"/>
      <c r="G25" s="2"/>
    </row>
    <row r="26" ht="26" customHeight="1">
      <c r="A26" s="2"/>
      <c r="B26" s="2"/>
      <c r="C26" s="2"/>
      <c r="D26" s="2"/>
      <c r="E26" s="2"/>
      <c r="F26" s="2"/>
      <c r="G26" s="2"/>
    </row>
    <row r="27" ht="26" customHeight="1">
      <c r="A27" s="2"/>
      <c r="B27" s="2"/>
      <c r="C27" s="2"/>
      <c r="D27" s="2"/>
      <c r="E27" s="2"/>
      <c r="F27" s="2"/>
      <c r="G27" s="2"/>
    </row>
    <row r="28" ht="26" customHeight="1">
      <c r="A28" s="2"/>
      <c r="B28" s="2"/>
      <c r="C28" s="2"/>
      <c r="D28" s="2"/>
      <c r="E28" s="2"/>
      <c r="F28" s="2"/>
      <c r="G28" s="2"/>
    </row>
  </sheetData>
  <printOptions gridLines="0" headings="0"/>
  <pageMargins left="0.3" right="0.3" top="0.35" bottom="0.35" header="0.15" footer="0.15"/>
  <pageSetup paperSize="9" orientation="landscape" fitToWidth="1" fitToHeight="1"/>
</worksheet>
</file>