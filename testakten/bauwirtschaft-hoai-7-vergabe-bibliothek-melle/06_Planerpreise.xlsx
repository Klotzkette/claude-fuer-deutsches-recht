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libreoffice.org/">
  <ns0:fileVersion appName="Calc"/>
  <ns0:workbookPr backupFile="false" showObjects="all" date1904="false"/>
  <ns0:workbookProtection/>
  <ns0:bookViews>
    <ns0:workbookView showHorizontalScroll="true" showVerticalScroll="true" showSheetTabs="true" xWindow="0" yWindow="0" windowWidth="16384" windowHeight="8192" tabRatio="600" firstSheet="0" activeTab="0"/>
  </ns0:bookViews>
  <ns0:sheets>
    <ns0:sheet name="Planer-LV" sheetId="1" state="visible" ns1:id="rId3"/>
  </ns0:sheets>
  <ns0:definedNames>
    <ns0:definedName name="_xlnm.Print_Area" localSheetId="0">'Planer-LV'!A1:F26</ns0:definedName>
  </ns0:definedNames>
  <ns0:calcPr iterateCount="100" refMode="A1" iterate="false" iterateDelta="0.0001" calcMode="auto" fullCalcOnLoad="1" forceFullCalc="1"/>
  <ns0:extLst>
    <ns0:ext uri="{7626C862-2A13-11E5-B345-FEFF819CDC9F}">
      <ns2:extCalcPr stringRefSyntax="CalcA1ExcelA1"/>
    </ns0:ext>
  </ns0:extLst>
</ns0:workbook>
</file>

<file path=xl/sharedStrings.xml><?xml version="1.0" encoding="utf-8"?>
<sst xmlns="http://schemas.openxmlformats.org/spreadsheetml/2006/main" count="39" uniqueCount="34">
  <si>
    <t xml:space="preserve">Bibliothek Hasebogen, Planerpreise</t>
  </si>
  <si>
    <t xml:space="preserve">Ole Venn | 24.08.2026 | HM-26-F01</t>
  </si>
  <si>
    <t xml:space="preserve">Nettosumme EUR</t>
  </si>
  <si>
    <t xml:space="preserve">Umsatzsteuer</t>
  </si>
  <si>
    <t xml:space="preserve">Gesamt brutto EUR</t>
  </si>
  <si>
    <t xml:space="preserve">Pos.</t>
  </si>
  <si>
    <t xml:space="preserve">Leistung</t>
  </si>
  <si>
    <t xml:space="preserve">Menge</t>
  </si>
  <si>
    <t xml:space="preserve">Einheit</t>
  </si>
  <si>
    <t xml:space="preserve">EP netto EUR</t>
  </si>
  <si>
    <t xml:space="preserve">GP netto EUR</t>
  </si>
  <si>
    <t xml:space="preserve">1.01</t>
  </si>
  <si>
    <t xml:space="preserve">Baustelleneinrichtung</t>
  </si>
  <si>
    <t xml:space="preserve">psch</t>
  </si>
  <si>
    <t xml:space="preserve">1.02</t>
  </si>
  <si>
    <t xml:space="preserve">Fenster W1</t>
  </si>
  <si>
    <t xml:space="preserve">St</t>
  </si>
  <si>
    <t xml:space="preserve">1.03</t>
  </si>
  <si>
    <t xml:space="preserve">Fenster W2</t>
  </si>
  <si>
    <t xml:space="preserve">1.04</t>
  </si>
  <si>
    <t xml:space="preserve">Eingangselement T1</t>
  </si>
  <si>
    <t xml:space="preserve">1.05</t>
  </si>
  <si>
    <t xml:space="preserve">Außenfensterbänke</t>
  </si>
  <si>
    <t xml:space="preserve">1.06</t>
  </si>
  <si>
    <t xml:space="preserve">Laibungsputz</t>
  </si>
  <si>
    <t xml:space="preserve">m</t>
  </si>
  <si>
    <t xml:space="preserve">1.07</t>
  </si>
  <si>
    <t xml:space="preserve">Sonnenschutz R1</t>
  </si>
  <si>
    <t xml:space="preserve">1.08</t>
  </si>
  <si>
    <t xml:space="preserve">Funktionsprüfung und Einweisung</t>
  </si>
  <si>
    <t xml:space="preserve">Mengen und Leistungsumfang: Langtext-LV vom 24.08.2026 und F-04 B.</t>
  </si>
  <si>
    <t xml:space="preserve">Preise: Kostenansatz Konturhaus vom 24.08.2026, keine Unternehmerpreise.</t>
  </si>
  <si>
    <t xml:space="preserve">Budget Fensterlos netto EUR</t>
  </si>
  <si>
    <t xml:space="preserve">Aufgestellt: Ole Venn. Die Steuerzeile folgt der Projektkalkulation mit 19 Prozent.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</si>
</sst>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-407]#,##0.00"/>
    <numFmt numFmtId="166" formatCode="0%"/>
    <numFmt numFmtId="167" formatCode="[$-407]0.00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1"/>
      <color rgb="FF202629"/>
      <name val="Arial"/>
      <family val="0"/>
      <charset val="1"/>
    </font>
    <font>
      <b val="true"/>
      <sz val="15"/>
      <color rgb="FF20262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245F83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54C58"/>
        <bgColor rgb="FF245F83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45F83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54C58"/>
      <rgbColor rgb="FF2026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 filterMode="false">
    <ns0:pageSetUpPr fitToPage="1"/>
  </ns0:sheetPr>
  <ns0:dimension ref="A1:F27"/>
  <ns0:sheetViews>
    <ns0: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ns0:selection pane="topLeft" activeCell="A1" activeCellId="0" sqref="A1"/>
    </ns0:sheetView>
  </ns0:sheetViews>
  <ns0:sheetFormatPr defaultColWidth="8.6796875" defaultRowHeight="15" customHeight="false" zeroHeight="false" outlineLevelRow="0" outlineLevelCol="0"/>
  <ns0:cols>
    <ns0:col collapsed="false" customWidth="true" hidden="false" outlineLevel="0" max="1" min="1" style="0" width="8.34"/>
    <ns0:col collapsed="false" customWidth="true" hidden="false" outlineLevel="0" max="2" min="2" style="0" width="34.44"/>
    <ns0:col collapsed="false" customWidth="true" hidden="false" outlineLevel="0" max="3" min="3" style="0" width="10"/>
    <ns0:col collapsed="false" customWidth="true" hidden="false" outlineLevel="0" max="4" min="4" style="0" width="8.89"/>
    <ns0:col collapsed="false" customWidth="true" hidden="false" outlineLevel="0" max="5" min="5" style="0" width="13.89"/>
    <ns0:col collapsed="false" customWidth="true" hidden="false" outlineLevel="0" max="6" min="6" style="0" width="15"/>
  </ns0:cols>
  <ns0:sheetData>
    <ns0:row r="1" customFormat="false" ht="18" hidden="false" customHeight="true" outlineLevel="0" collapsed="false">
      <ns0:c r="A1" s="1"/>
      <ns0:c r="B1" s="1"/>
      <ns0:c r="C1" s="1"/>
      <ns0:c r="D1" s="1"/>
      <ns0:c r="E1" s="1"/>
      <ns0:c r="F1" s="1"/>
    </ns0:row>
    <ns0:row r="2" customFormat="false" ht="18" hidden="false" customHeight="true" outlineLevel="0" collapsed="false">
      <ns0:c r="A2" s="2" t="s">
        <ns0:v>0</ns0:v>
      </ns0:c>
      <ns0:c r="B2" s="1"/>
      <ns0:c r="C2" s="1"/>
      <ns0:c r="D2" s="1"/>
      <ns0:c r="E2" s="1"/>
      <ns0:c r="F2" s="1"/>
    </ns0:row>
    <ns0:row r="3" customFormat="false" ht="18" hidden="false" customHeight="true" outlineLevel="0" collapsed="false">
      <ns0:c r="A3" s="1" t="s">
        <ns0:v>1</ns0:v>
      </ns0:c>
      <ns0:c r="B3" s="1"/>
      <ns0:c r="C3" s="1"/>
      <ns0:c r="D3" s="1"/>
      <ns0:c r="E3" s="1"/>
      <ns0:c r="F3" s="1"/>
    </ns0:row>
    <ns0:row r="4" customFormat="false" ht="18" hidden="false" customHeight="true" outlineLevel="0" collapsed="false">
      <ns0:c r="A4" s="1"/>
      <ns0:c r="B4" s="1"/>
      <ns0:c r="C4" s="1"/>
      <ns0:c r="D4" s="1"/>
      <ns0:c r="E4" s="1"/>
      <ns0:c r="F4" s="1"/>
    </ns0:row>
    <ns0:row r="5" customFormat="false" ht="18" hidden="false" customHeight="true" outlineLevel="0" collapsed="false">
      <ns0:c r="A5" s="1" t="s">
        <ns0:v>2</ns0:v>
      </ns0:c>
      <ns0:c r="B5" s="1"/>
      <ns0:c r="C5" s="1"/>
      <ns0:c r="D5" s="1"/>
      <ns0:c r="E5" s="1"/>
      <ns0:c r="F5" s="3" t="n">
        <ns0:f aca="false">IF(COUNT(F10:F17)=8,SUM(F10:F17),"")</ns0:f>
        <ns0:v>39736</ns0:v>
      </ns0:c>
    </ns0:row>
    <ns0:row r="6" customFormat="false" ht="18" hidden="false" customHeight="true" outlineLevel="0" collapsed="false">
      <ns0:c r="A6" s="1" t="s">
        <ns0:v>3</ns0:v>
      </ns0:c>
      <ns0:c r="B6" s="1"/>
      <ns0:c r="C6" s="1"/>
      <ns0:c r="D6" s="1"/>
      <ns0:c r="E6" s="4" t="n">
        <ns0:v>0.19</ns0:v>
      </ns0:c>
      <ns0:c r="F6" s="3" t="n">
        <ns0:f aca="false">IF(COUNT(F5)=1,ROUND(F5*E6,2),"")</ns0:f>
        <ns0:v>7549.84</ns0:v>
      </ns0:c>
    </ns0:row>
    <ns0:row r="7" customFormat="false" ht="18" hidden="false" customHeight="true" outlineLevel="0" collapsed="false">
      <ns0:c r="A7" s="1" t="s">
        <ns0:v>4</ns0:v>
      </ns0:c>
      <ns0:c r="B7" s="1"/>
      <ns0:c r="C7" s="1"/>
      <ns0:c r="D7" s="1"/>
      <ns0:c r="E7" s="1"/>
      <ns0:c r="F7" s="3" t="n">
        <ns0:f aca="false">IF(COUNT(F5:F6)=2,SUM(F5:F6),"")</ns0:f>
        <ns0:v>47285.84</ns0:v>
      </ns0:c>
    </ns0:row>
    <ns0:row r="8" customFormat="false" ht="18" hidden="false" customHeight="true" outlineLevel="0" collapsed="false">
      <ns0:c r="A8" s="1"/>
      <ns0:c r="B8" s="1"/>
      <ns0:c r="C8" s="1"/>
      <ns0:c r="D8" s="1"/>
      <ns0:c r="E8" s="1"/>
      <ns0:c r="F8" s="1"/>
    </ns0:row>
    <ns0:row r="9" customFormat="false" ht="29" hidden="false" customHeight="true" outlineLevel="0" collapsed="false">
      <ns0:c r="A9" s="5" t="s">
        <ns0:v>5</ns0:v>
      </ns0:c>
      <ns0:c r="B9" s="5" t="s">
        <ns0:v>6</ns0:v>
      </ns0:c>
      <ns0:c r="C9" s="5" t="s">
        <ns0:v>7</ns0:v>
      </ns0:c>
      <ns0:c r="D9" s="5" t="s">
        <ns0:v>8</ns0:v>
      </ns0:c>
      <ns0:c r="E9" s="5" t="s">
        <ns0:v>9</ns0:v>
      </ns0:c>
      <ns0:c r="F9" s="5" t="s">
        <ns0:v>10</ns0:v>
      </ns0:c>
    </ns0:row>
    <ns0:row r="10" customFormat="false" ht="18" hidden="false" customHeight="true" outlineLevel="0" collapsed="false">
      <ns0:c r="A10" s="1" t="s">
        <ns0:v>11</ns0:v>
      </ns0:c>
      <ns0:c r="B10" s="1" t="s">
        <ns0:v>12</ns0:v>
      </ns0:c>
      <ns0:c r="C10" s="6" t="n">
        <ns0:v>1</ns0:v>
      </ns0:c>
      <ns0:c r="D10" s="7" t="s">
        <ns0:v>13</ns0:v>
      </ns0:c>
      <ns0:c r="E10" s="8" t="n">
        <ns0:v>1800</ns0:v>
      </ns0:c>
      <ns0:c r="F10" s="3" t="n">
        <ns0:f aca="false">IF(COUNT(C10,E10)=2,ROUND(C10*E10,2),"")</ns0:f>
        <ns0:v>1800</ns0:v>
      </ns0:c>
    </ns0:row>
    <ns0:row r="11" customFormat="false" ht="18" hidden="false" customHeight="true" outlineLevel="0" collapsed="false">
      <ns0:c r="A11" s="1" t="s">
        <ns0:v>14</ns0:v>
      </ns0:c>
      <ns0:c r="B11" s="1" t="s">
        <ns0:v>15</ns0:v>
      </ns0:c>
      <ns0:c r="C11" s="6" t="n">
        <ns0:v>12</ns0:v>
      </ns0:c>
      <ns0:c r="D11" s="7" t="s">
        <ns0:v>16</ns0:v>
      </ns0:c>
      <ns0:c r="E11" s="8" t="n">
        <ns0:v>950</ns0:v>
      </ns0:c>
      <ns0:c r="F11" s="3" t="n">
        <ns0:f aca="false">IF(COUNT(C11,E11)=2,ROUND(C11*E11,2),"")</ns0:f>
        <ns0:v>11400</ns0:v>
      </ns0:c>
    </ns0:row>
    <ns0:row r="12" customFormat="false" ht="18" hidden="false" customHeight="true" outlineLevel="0" collapsed="false">
      <ns0:c r="A12" s="1" t="s">
        <ns0:v>17</ns0:v>
      </ns0:c>
      <ns0:c r="B12" s="1" t="s">
        <ns0:v>18</ns0:v>
      </ns0:c>
      <ns0:c r="C12" s="6" t="n">
        <ns0:v>8</ns0:v>
      </ns0:c>
      <ns0:c r="D12" s="7" t="s">
        <ns0:v>16</ns0:v>
      </ns0:c>
      <ns0:c r="E12" s="8" t="n">
        <ns0:v>1350</ns0:v>
      </ns0:c>
      <ns0:c r="F12" s="3" t="n">
        <ns0:f aca="false">IF(COUNT(C12,E12)=2,ROUND(C12*E12,2),"")</ns0:f>
        <ns0:v>10800</ns0:v>
      </ns0:c>
    </ns0:row>
    <ns0:row r="13" customFormat="false" ht="18" hidden="false" customHeight="true" outlineLevel="0" collapsed="false">
      <ns0:c r="A13" s="1" t="s">
        <ns0:v>19</ns0:v>
      </ns0:c>
      <ns0:c r="B13" s="1" t="s">
        <ns0:v>20</ns0:v>
      </ns0:c>
      <ns0:c r="C13" s="6" t="n">
        <ns0:v>2</ns0:v>
      </ns0:c>
      <ns0:c r="D13" s="7" t="s">
        <ns0:v>16</ns0:v>
      </ns0:c>
      <ns0:c r="E13" s="8" t="n">
        <ns0:v>4200</ns0:v>
      </ns0:c>
      <ns0:c r="F13" s="3" t="n">
        <ns0:f aca="false">IF(COUNT(C13,E13)=2,ROUND(C13*E13,2),"")</ns0:f>
        <ns0:v>8400</ns0:v>
      </ns0:c>
    </ns0:row>
    <ns0:row r="14" customFormat="false" ht="18" hidden="false" customHeight="true" outlineLevel="0" collapsed="false">
      <ns0:c r="A14" s="1" t="s">
        <ns0:v>21</ns0:v>
      </ns0:c>
      <ns0:c r="B14" s="1" t="s">
        <ns0:v>22</ns0:v>
      </ns0:c>
      <ns0:c r="C14" s="6" t="n">
        <ns0:v>20</ns0:v>
      </ns0:c>
      <ns0:c r="D14" s="7" t="s">
        <ns0:v>16</ns0:v>
      </ns0:c>
      <ns0:c r="E14" s="8" t="n">
        <ns0:v>95</ns0:v>
      </ns0:c>
      <ns0:c r="F14" s="3" t="n">
        <ns0:f aca="false">IF(COUNT(C14,E14)=2,ROUND(C14*E14,2),"")</ns0:f>
        <ns0:v>1900</ns0:v>
      </ns0:c>
    </ns0:row>
    <ns0:row r="15" customFormat="false" ht="18" hidden="false" customHeight="true" outlineLevel="0" collapsed="false">
      <ns0:c r="A15" s="1" t="s">
        <ns0:v>23</ns0:v>
      </ns0:c>
      <ns0:c r="B15" s="1" t="s">
        <ns0:v>24</ns0:v>
      </ns0:c>
      <ns0:c r="C15" s="6" t="n">
        <ns0:v>72</ns0:v>
      </ns0:c>
      <ns0:c r="D15" s="7" t="s">
        <ns0:v>25</ns0:v>
      </ns0:c>
      <ns0:c r="E15" s="8" t="n">
        <ns0:v>28</ns0:v>
      </ns0:c>
      <ns0:c r="F15" s="3" t="n">
        <ns0:f aca="false">IF(COUNT(C15,E15)=2,ROUND(C15*E15,2),"")</ns0:f>
        <ns0:v>2016</ns0:v>
      </ns0:c>
    </ns0:row>
    <ns0:row r="16" customFormat="false" ht="18" hidden="false" customHeight="true" outlineLevel="0" collapsed="false">
      <ns0:c r="A16" s="1" t="s">
        <ns0:v>26</ns0:v>
      </ns0:c>
      <ns0:c r="B16" s="1" t="s">
        <ns0:v>27</ns0:v>
      </ns0:c>
      <ns0:c r="C16" s="6" t="n">
        <ns0:v>6</ns0:v>
      </ns0:c>
      <ns0:c r="D16" s="7" t="s">
        <ns0:v>16</ns0:v>
      </ns0:c>
      <ns0:c r="E16" s="8" t="n">
        <ns0:v>420</ns0:v>
      </ns0:c>
      <ns0:c r="F16" s="3" t="n">
        <ns0:f aca="false">IF(COUNT(C16,E16)=2,ROUND(C16*E16,2),"")</ns0:f>
        <ns0:v>2520</ns0:v>
      </ns0:c>
    </ns0:row>
    <ns0:row r="17" customFormat="false" ht="18" hidden="false" customHeight="true" outlineLevel="0" collapsed="false">
      <ns0:c r="A17" s="1" t="s">
        <ns0:v>28</ns0:v>
      </ns0:c>
      <ns0:c r="B17" s="1" t="s">
        <ns0:v>29</ns0:v>
      </ns0:c>
      <ns0:c r="C17" s="6" t="n">
        <ns0:v>1</ns0:v>
      </ns0:c>
      <ns0:c r="D17" s="7" t="s">
        <ns0:v>13</ns0:v>
      </ns0:c>
      <ns0:c r="E17" s="8" t="n">
        <ns0:v>900</ns0:v>
      </ns0:c>
      <ns0:c r="F17" s="3" t="n">
        <ns0:f aca="false">IF(COUNT(C17,E17)=2,ROUND(C17*E17,2),"")</ns0:f>
        <ns0:v>900</ns0:v>
      </ns0:c>
    </ns0:row>
    <ns0:row r="18" customFormat="false" ht="18" hidden="false" customHeight="true" outlineLevel="0" collapsed="false">
      <ns0:c r="A18" s="1"/>
      <ns0:c r="B18" s="1"/>
      <ns0:c r="C18" s="1"/>
      <ns0:c r="D18" s="1"/>
      <ns0:c r="E18" s="1"/>
      <ns0:c r="F18" s="1"/>
    </ns0:row>
    <ns0:row r="19" customFormat="false" ht="18" hidden="false" customHeight="true" outlineLevel="0" collapsed="false">
      <ns0:c r="A19" s="1"/>
      <ns0:c r="B19" s="1"/>
      <ns0:c r="C19" s="1"/>
      <ns0:c r="D19" s="1"/>
      <ns0:c r="E19" s="1"/>
      <ns0:c r="F19" s="1"/>
    </ns0:row>
    <ns0:row r="20" customFormat="false" ht="18" hidden="false" customHeight="true" outlineLevel="0" collapsed="false">
      <ns0:c r="A20" s="1" t="s">
        <ns0:v>30</ns0:v>
      </ns0:c>
      <ns0:c r="B20" s="1"/>
      <ns0:c r="C20" s="1"/>
      <ns0:c r="D20" s="1"/>
      <ns0:c r="E20" s="1"/>
      <ns0:c r="F20" s="1"/>
    </ns0:row>
    <ns0:row r="21" customFormat="false" ht="18" hidden="false" customHeight="true" outlineLevel="0" collapsed="false">
      <ns0:c r="A21" s="1" t="s">
        <ns0:v>31</ns0:v>
      </ns0:c>
      <ns0:c r="B21" s="1"/>
      <ns0:c r="C21" s="1"/>
      <ns0:c r="D21" s="1"/>
      <ns0:c r="E21" s="1"/>
      <ns0:c r="F21" s="1"/>
    </ns0:row>
    <ns0:row r="22" customFormat="false" ht="18" hidden="false" customHeight="true" outlineLevel="0" collapsed="false">
      <ns0:c r="A22" s="1"/>
      <ns0:c r="B22" s="1"/>
      <ns0:c r="C22" s="1"/>
      <ns0:c r="D22" s="1"/>
      <ns0:c r="E22" s="1"/>
      <ns0:c r="F22" s="1"/>
    </ns0:row>
    <ns0:row r="23" customFormat="false" ht="18" hidden="false" customHeight="true" outlineLevel="0" collapsed="false">
      <ns0:c r="A23" s="1" t="s">
        <ns0:v>32</ns0:v>
      </ns0:c>
      <ns0:c r="B23" s="1"/>
      <ns0:c r="C23" s="1"/>
      <ns0:c r="D23" s="1"/>
      <ns0:c r="E23" s="1"/>
      <ns0:c r="F23" s="3" t="n">
        <ns0:v>45000</ns0:v>
      </ns0:c>
    </ns0:row>
    <ns0:row r="24" customFormat="false" ht="18" hidden="false" customHeight="true" outlineLevel="0" collapsed="false">
      <ns0:c r="A24" s="1"/>
      <ns0:c r="B24" s="1"/>
      <ns0:c r="C24" s="1"/>
      <ns0:c r="D24" s="1"/>
      <ns0:c r="E24" s="1"/>
      <ns0:c r="F24" s="1"/>
    </ns0:row>
    <ns0:row r="25" customFormat="false" ht="18" hidden="false" customHeight="true" outlineLevel="0" collapsed="false">
      <ns0:c r="A25" s="1" t="s">
        <ns0:v>33</ns0:v>
      </ns0:c>
      <ns0:c r="B25" s="1"/>
      <ns0:c r="C25" s="1"/>
      <ns0:c r="D25" s="1"/>
      <ns0:c r="E25" s="1"/>
      <ns0:c r="F25" s="1"/>
    </ns0:row>
    <ns0:row r="26" customFormat="false" ht="18" hidden="false" customHeight="true" outlineLevel="0" collapsed="false">
      <ns0:c r="A26" s="1"/>
      <ns0:c r="B26" s="1"/>
      <ns0:c r="C26" s="1"/>
      <ns0:c r="D26" s="1"/>
      <ns0:c r="E26" s="1"/>
      <ns0:c r="F26" s="1"/>
    </ns0:row>
    <ns0:row r="27" customFormat="false" ht="18" hidden="false" customHeight="true" outlineLevel="0" collapsed="false">
      <ns0:c r="A27" s="1"/>
      <ns0:c r="B27" s="1"/>
      <ns0:c r="C27" s="1"/>
      <ns0:c r="D27" s="1"/>
      <ns0:c r="E27" s="1"/>
      <ns0:c r="F27" s="1"/>
    </ns0:row>
  </ns0:sheetData>
  <ns0:printOptions headings="false" gridLines="false" gridLinesSet="true" horizontalCentered="false" verticalCentered="false"/>
  <ns0:pageMargins left="0.3" right="0.3" top="0.3" bottom="0.3" header="0.1" footer="0.1"/>
  <ns0:pageSetup paperSize="9" scale="100" fitToWidth="1" fitToHeight="1" pageOrder="downThenOver" orientation="landscape" blackAndWhite="false" draft="false" cellComments="none" horizontalDpi="300" verticalDpi="300" copies="1"/>
  <ns0:headerFooter differentFirst="false" differentOddEven="false">
    <ns0:oddHeader/>
    <ns0:oddFooter/>
  </ns0:headerFooter>
</ns0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ns0:coreProperties xmlns:dc="http://purl.org/dc/elements/1.1/" xmlns:ns0="http://schemas.openxmlformats.org/package/2006/metadata/core-properties">
  <dc:creator>Klotzkette</dc:creator>
  <dc:description/>
  <dc:language>en-US</dc:language>
  <ns0:lastModifiedBy>Klotzkette</ns0:lastModifiedBy>
  <ns0:revision>0</ns0:revision>
  <dc:subject/>
  <dc:title/>
</ns0:coreProperties>
</file>