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2edc50e72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eferbestand" sheetId="1" r:id="R05999a99a3d24cc3"/>
    <x:sheet xmlns:r="http://schemas.openxmlformats.org/officeDocument/2006/relationships" name="Kassenjournal" sheetId="2" r:id="R8b8fe425fa56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4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D45"/>
      </x:patternFill>
    </x:fill>
    <x:fill>
      <x:patternFill patternType="solid">
        <x:fgColor rgb="FFEFF3F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27c56d3504039" /><Relationship Type="http://schemas.openxmlformats.org/officeDocument/2006/relationships/theme" Target="/xl/theme/theme1.xml" Id="R91329de4fd874cf6" /><Relationship Type="http://schemas.openxmlformats.org/officeDocument/2006/relationships/sharedStrings" Target="/xl/sharedStrings.xml" Id="Rce8ba4be68104298" /><Relationship Type="http://schemas.openxmlformats.org/officeDocument/2006/relationships/worksheet" Target="/xl/worksheets/sheet1.xml" Id="R05999a99a3d24cc3" /><Relationship Type="http://schemas.openxmlformats.org/officeDocument/2006/relationships/worksheet" Target="/xl/worksheets/sheet2.xml" Id="R8b8fe425fa564a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29" hidden="0" customWidth="1"/>
    <ns0:col min="2" max="2" width="29" hidden="0" customWidth="1"/>
    <ns0:col min="3" max="3" width="23" hidden="0" customWidth="1"/>
    <ns0:col min="4" max="4" width="24" hidden="0" customWidth="1"/>
    <ns0:col min="5" max="5" width="28" hidden="0" customWidth="1"/>
    <ns0:col min="6" max="6" width="35" hidden="0" customWidth="1"/>
  </ns0:cols>
  <ns0:sheetData>
    <ns0:row r="2">
      <ns0:c r="A2" s="2" t="str">
        <ns0:v>Tonfenster bei Blattwinkel / Lieferbestand</ns0:v>
      </ns0:c>
      <ns0:c r="B2" s="1"/>
      <ns0:c r="C2" s="1"/>
      <ns0:c r="D2" s="1"/>
      <ns0:c r="E2" s="1"/>
      <ns0:c r="F2" s="1"/>
    </ns0:row>
    <ns0:row r="3">
      <ns0:c r="A3" s="1" t="str">
        <ns0:v>Stand 29. September 2026 / Lieferung 25. September ohne spätere Bewegungen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4" customHeight="1">
      <ns0:c r="A5" s="7" t="str">
        <ns0:v>Artikel</ns0:v>
      </ns0:c>
      <ns0:c r="B5" s="7" t="str">
        <ns0:v>Bezeichnung</ns0:v>
      </ns0:c>
      <ns0:c r="C5" s="7" t="str">
        <ns0:v>Geliefert Stück</ns0:v>
      </ns0:c>
      <ns0:c r="D5" s="7" t="str">
        <ns0:v>Preis brutto EUR</ns0:v>
      </ns0:c>
      <ns0:c r="E5" s="7" t="str">
        <ns0:v>Quelle</ns0:v>
      </ns0:c>
      <ns0:c r="F5" s="7" t="str">
        <ns0:v>Ablage</ns0:v>
      </ns0:c>
    </ns0:row>
    <ns0:row r="6" ht="52" customHeight="1">
      <ns0:c r="A6" s="4" t="str">
        <ns0:v>TF-01</ns0:v>
      </ns0:c>
      <ns0:c r="B6" s="4" t="str">
        <ns0:v>Becher weiß</ns0:v>
      </ns0:c>
      <ns0:c r="C6" s="4" t="n">
        <ns0:v>8</ns0:v>
      </ns0:c>
      <ns0:c r="D6" s="9" t="n">
        <ns0:v>23.8</ns0:v>
      </ns0:c>
      <ns0:c r="E6" s="4" t="str">
        <ns0:v>Lieferschein TF-L-260925</ns0:v>
      </ns0:c>
      <ns0:c r="F6" s="4" t="str">
        <ns0:v>Nebenraum, Karton oben</ns0:v>
      </ns0:c>
    </ns0:row>
    <ns0:row r="7" ht="52" customHeight="1">
      <ns0:c r="A7" s="8" t="str">
        <ns0:v>TF-02</ns0:v>
      </ns0:c>
      <ns0:c r="B7" s="8" t="str">
        <ns0:v>Becher moosgrün</ns0:v>
      </ns0:c>
      <ns0:c r="C7" s="8" t="n">
        <ns0:v>7</ns0:v>
      </ns0:c>
      <ns0:c r="D7" s="10" t="n">
        <ns0:v>23.8</ns0:v>
      </ns0:c>
      <ns0:c r="E7" s="8" t="str">
        <ns0:v>Lieferschein TF-L-260925</ns0:v>
      </ns0:c>
      <ns0:c r="F7" s="8" t="str">
        <ns0:v>Nebenraum</ns0:v>
      </ns0:c>
    </ns0:row>
    <ns0:row r="8" ht="52" customHeight="1">
      <ns0:c r="A8" s="4" t="str">
        <ns0:v>TF-03</ns0:v>
      </ns0:c>
      <ns0:c r="B8" s="4" t="str">
        <ns0:v>Vase schmal blau</ns0:v>
      </ns0:c>
      <ns0:c r="C8" s="4" t="n">
        <ns0:v>4</ns0:v>
      </ns0:c>
      <ns0:c r="D8" s="9" t="n">
        <ns0:v>59.5</ns0:v>
      </ns0:c>
      <ns0:c r="E8" s="4" t="str">
        <ns0:v>Lieferschein TF-L-260925</ns0:v>
      </ns0:c>
      <ns0:c r="F8" s="4" t="str">
        <ns0:v>Nebenraum, einzeln gepolstert</ns0:v>
      </ns0:c>
    </ns0:row>
    <ns0:row r="9" ht="52" customHeight="1">
      <ns0:c r="A9" s="8" t="str">
        <ns0:v>TF-04</ns0:v>
      </ns0:c>
      <ns0:c r="B9" s="8" t="str">
        <ns0:v>Schale klein natur</ns0:v>
      </ns0:c>
      <ns0:c r="C9" s="8" t="n">
        <ns0:v>6</ns0:v>
      </ns0:c>
      <ns0:c r="D9" s="10" t="n">
        <ns0:v>35.7</ns0:v>
      </ns0:c>
      <ns0:c r="E9" s="8" t="str">
        <ns0:v>Lieferschein TF-L-260925</ns0:v>
      </ns0:c>
      <ns0:c r="F9" s="8" t="str">
        <ns0:v>Nebenraum</ns0:v>
      </ns0:c>
    </ns0:row>
    <ns0:row r="10" ht="52" customHeight="1">
      <ns0:c r="A10" s="4" t="str">
        <ns0:v>TF-05</ns0:v>
      </ns0:c>
      <ns0:c r="B10" s="4" t="str">
        <ns0:v>Teller 22 cm grau</ns0:v>
      </ns0:c>
      <ns0:c r="C10" s="4" t="n">
        <ns0:v>5</ns0:v>
      </ns0:c>
      <ns0:c r="D10" s="9" t="n">
        <ns0:v>29.75</ns0:v>
      </ns0:c>
      <ns0:c r="E10" s="4" t="str">
        <ns0:v>Lieferschein TF-L-260925</ns0:v>
      </ns0:c>
      <ns0:c r="F10" s="4" t="str">
        <ns0:v>Nebenraum</ns0:v>
      </ns0:c>
    </ns0:row>
    <ns0:row r="11" ht="52" customHeight="1">
      <ns0:c r="A11" s="8" t="str">
        <ns0:v>TF-06</ns0:v>
      </ns0:c>
      <ns0:c r="B11" s="8" t="str">
        <ns0:v>Milchkrug 300 ml</ns0:v>
      </ns0:c>
      <ns0:c r="C11" s="8" t="n">
        <ns0:v>3</ns0:v>
      </ns0:c>
      <ns0:c r="D11" s="10" t="n">
        <ns0:v>41.65</ns0:v>
      </ns0:c>
      <ns0:c r="E11" s="8" t="str">
        <ns0:v>Lieferschein TF-L-260925</ns0:v>
      </ns0:c>
      <ns0:c r="F11" s="8" t="str">
        <ns0:v>Nebenraum</ns0:v>
      </ns0:c>
    </ns0:row>
    <ns0:row r="12" ht="52" customHeight="1">
      <ns0:c r="A12" s="4" t="str">
        <ns0:v>TF-07</ns0:v>
      </ns0:c>
      <ns0:c r="B12" s="4" t="str">
        <ns0:v>Dose weiß</ns0:v>
      </ns0:c>
      <ns0:c r="C12" s="4" t="n">
        <ns0:v>4</ns0:v>
      </ns0:c>
      <ns0:c r="D12" s="9" t="n">
        <ns0:v>47.6</ns0:v>
      </ns0:c>
      <ns0:c r="E12" s="4" t="str">
        <ns0:v>Lieferschein TF-L-260925</ns0:v>
      </ns0:c>
      <ns0:c r="F12" s="4" t="str">
        <ns0:v>Nebenraum</ns0:v>
      </ns0:c>
    </ns0:row>
    <ns0:row r="13" ht="52" customHeight="1">
      <ns0:c r="A13" s="8" t="str">
        <ns0:v>TF-08</ns0:v>
      </ns0:c>
      <ns0:c r="B13" s="8" t="str">
        <ns0:v>Kerzenhalter grün</ns0:v>
      </ns0:c>
      <ns0:c r="C13" s="8" t="n">
        <ns0:v>4</ns0:v>
      </ns0:c>
      <ns0:c r="D13" s="10" t="n">
        <ns0:v>17.85</ns0:v>
      </ns0:c>
      <ns0:c r="E13" s="8" t="str">
        <ns0:v>Lieferschein TF-L-260925</ns0:v>
      </ns0:c>
      <ns0:c r="F13" s="8" t="str">
        <ns0:v>Nebenraum</ns0:v>
      </ns0:c>
    </ns0:row>
    <ns0:row r="14">
      <ns0:c r="A14" s="1"/>
      <ns0:c r="B14" s="1"/>
      <ns0:c r="C14" s="1"/>
      <ns0:c r="D14" s="1"/>
      <ns0:c r="E14" s="1"/>
      <ns0:c r="F14" s="1"/>
    </ns0:row>
    <ns0:row r="15">
      <ns0:c r="A15" s="1"/>
      <ns0:c r="B15" s="1"/>
      <ns0:c r="C15" s="1"/>
      <ns0:c r="D15" s="1"/>
      <ns0:c r="E15" s="1"/>
      <ns0:c r="F15" s="1"/>
    </ns0:row>
  </ns0:sheetData>
  <ns0:pageMargins left="0.2" right="0.2" top="0.3" bottom="0.3" header="0.1" footer="0.1"/>
  <ns0:pageSetup paperSize="9" orientation="landscape" fitToWidth="1" fitToHeight="0"/>
</ns0:worksheet>
</file>

<file path=xl/worksheets/sheet2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20" hidden="0" customWidth="1"/>
    <ns0:col min="2" max="2" width="18" hidden="0" customWidth="1"/>
    <ns0:col min="3" max="3" width="15" hidden="0" customWidth="1"/>
    <ns0:col min="4" max="4" width="17" hidden="0" customWidth="1"/>
    <ns0:col min="5" max="5" width="18" hidden="0" customWidth="1"/>
    <ns0:col min="6" max="6" width="37" hidden="0" customWidth="1"/>
  </ns0:cols>
  <ns0:sheetData>
    <ns0:row r="2">
      <ns0:c r="A2" s="2" t="str">
        <ns0:v>Tonfenster bei Blattwinkel / Kassenjournal</ns0:v>
      </ns0:c>
      <ns0:c r="B2" s="1"/>
      <ns0:c r="C2" s="1"/>
      <ns0:c r="D2" s="1"/>
      <ns0:c r="E2" s="1"/>
      <ns0:c r="F2" s="1"/>
    </ns0:row>
    <ns0:row r="3">
      <ns0:c r="A3" s="1" t="str">
        <ns0:v>Stand 29. September 2026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4" customHeight="1">
      <ns0:c r="A5" s="7" t="str">
        <ns0:v>Beleg</ns0:v>
      </ns0:c>
      <ns0:c r="B5" s="7" t="str">
        <ns0:v>Datum</ns0:v>
      </ns0:c>
      <ns0:c r="C5" s="7" t="str">
        <ns0:v>Artikel</ns0:v>
      </ns0:c>
      <ns0:c r="D5" s="7" t="str">
        <ns0:v>Stück verkauft</ns0:v>
      </ns0:c>
      <ns0:c r="E5" s="7" t="str">
        <ns0:v>Brutto EUR</ns0:v>
      </ns0:c>
      <ns0:c r="F5" s="7" t="str">
        <ns0:v>Zahlungsart</ns0:v>
      </ns0:c>
    </ns0:row>
    <ns0:row r="6" ht="52" customHeight="1">
      <ns0:c r="A6" s="4" t="str">
        <ns0:v>260926-117</ns0:v>
      </ns0:c>
      <ns0:c r="B6" s="11" t="n">
        <ns0:v>46291.5</ns0:v>
      </ns0:c>
      <ns0:c r="C6" s="4" t="str">
        <ns0:v>TF-01</ns0:v>
      </ns0:c>
      <ns0:c r="D6" s="4" t="n">
        <ns0:v>2</ns0:v>
      </ns0:c>
      <ns0:c r="E6" s="9" t="n">
        <ns0:v>47.6</ns0:v>
      </ns0:c>
      <ns0:c r="F6" s="4" t="str">
        <ns0:v>Karte</ns0:v>
      </ns0:c>
    </ns0:row>
    <ns0:row r="7" ht="52" customHeight="1">
      <ns0:c r="A7" s="8" t="str">
        <ns0:v>260926-124</ns0:v>
      </ns0:c>
      <ns0:c r="B7" s="12" t="n">
        <ns0:v>46291.5</ns0:v>
      </ns0:c>
      <ns0:c r="C7" s="8" t="str">
        <ns0:v>TF-03</ns0:v>
      </ns0:c>
      <ns0:c r="D7" s="8" t="n">
        <ns0:v>1</ns0:v>
      </ns0:c>
      <ns0:c r="E7" s="10" t="n">
        <ns0:v>59.5</ns0:v>
      </ns0:c>
      <ns0:c r="F7" s="8" t="str">
        <ns0:v>Bar</ns0:v>
      </ns0:c>
    </ns0:row>
    <ns0:row r="8" ht="52" customHeight="1">
      <ns0:c r="A8" s="4" t="str">
        <ns0:v>260926-139</ns0:v>
      </ns0:c>
      <ns0:c r="B8" s="11" t="n">
        <ns0:v>46291.5</ns0:v>
      </ns0:c>
      <ns0:c r="C8" s="4" t="str">
        <ns0:v>TF-04</ns0:v>
      </ns0:c>
      <ns0:c r="D8" s="4" t="n">
        <ns0:v>1</ns0:v>
      </ns0:c>
      <ns0:c r="E8" s="9" t="n">
        <ns0:v>35.7</ns0:v>
      </ns0:c>
      <ns0:c r="F8" s="4" t="str">
        <ns0:v>Karte</ns0:v>
      </ns0:c>
    </ns0:row>
    <ns0:row r="9" ht="52" customHeight="1">
      <ns0:c r="A9" s="8" t="str">
        <ns0:v>260928-012</ns0:v>
      </ns0:c>
      <ns0:c r="B9" s="12" t="n">
        <ns0:v>46293.5</ns0:v>
      </ns0:c>
      <ns0:c r="C9" s="8" t="str">
        <ns0:v>TF-01</ns0:v>
      </ns0:c>
      <ns0:c r="D9" s="8" t="n">
        <ns0:v>-1</ns0:v>
      </ns0:c>
      <ns0:c r="E9" s="10" t="n">
        <ns0:v>-23.8</ns0:v>
      </ns0:c>
      <ns0:c r="F9" s="8" t="str">
        <ns0:v>Rücknahme, bar ausgezahlt</ns0:v>
      </ns0:c>
    </ns0:row>
    <ns0:row r="10">
      <ns0:c r="A10" s="1"/>
      <ns0:c r="B10" s="1"/>
      <ns0:c r="C10" s="1"/>
      <ns0:c r="D10" s="1"/>
      <ns0:c r="E10" s="1"/>
      <ns0:c r="F10" s="1"/>
    </ns0:row>
    <ns0:row r="11">
      <ns0:c r="A11" s="1" t="str">
        <ns0:v>Kassenstand nach Rücknahme</ns0:v>
      </ns0:c>
      <ns0:c r="B11" s="1"/>
      <ns0:c r="C11" s="1"/>
      <ns0:c r="D11" s="1"/>
      <ns0:c r="E11" s="13" t="n">
        <ns0:f>SUM(E6:E9)</ns0:f>
        <ns0:v>119.00000000000001</ns0:v>
      </ns0:c>
      <ns0:c r="F11" s="1"/>
    </ns0:row>
  </ns0:sheetData>
  <ns0:pageMargins left="0.2" right="0.2" top="0.3" bottom="0.3" header="0.1" footer="0.1"/>
  <ns0:pageSetup paperSize="9" orientation="landscape" fitToWidth="1" fitToHeight="0"/>
</ns0:worksheet>
</file>