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0fbcbceda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eberblick" sheetId="1" r:id="Re92e0d7a8481425a"/>
    <x:sheet xmlns:r="http://schemas.openxmlformats.org/officeDocument/2006/relationships" name="Portfolio" sheetId="2" r:id="R697399f1e5ac469c"/>
    <x:sheet xmlns:r="http://schemas.openxmlformats.org/officeDocument/2006/relationships" name="Buchungen" sheetId="3" r:id="R9148a2b6b6d44566"/>
    <x:sheet xmlns:r="http://schemas.openxmlformats.org/officeDocument/2006/relationships" name="Stichprobe" sheetId="4" r:id="Ra968908ca6544d56"/>
    <x:sheet xmlns:r="http://schemas.openxmlformats.org/officeDocument/2006/relationships" name="Anleitung" sheetId="5" r:id="R9c5b06896a0f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.00"/>
    <x:numFmt numFmtId="201" formatCode="0.0%"/>
  </x:numFmts>
  <x:fonts count="5">
    <x:font>
      <x:sz val="11"/>
      <x:name val="Carlito"/>
    </x:font>
    <x:font>
      <x:sz val="11"/>
      <x:color rgb="FF172B38"/>
      <x:name val="Aptos"/>
    </x:font>
    <x:font>
      <x:b/>
      <x:sz val="17"/>
      <x:color rgb="FFFFFFFF"/>
      <x:name val="Aptos"/>
    </x:font>
    <x:font>
      <x:b/>
      <x:sz val="11"/>
      <x:color rgb="FFFFFFFF"/>
      <x:name val="Aptos"/>
    </x:font>
    <x:font>
      <x:sz val="11"/>
      <x:color rgb="FF215EAB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4"/>
      </x:patternFill>
    </x:fill>
    <x:fill>
      <x:patternFill patternType="solid">
        <x:fgColor rgb="FFEAF1F5"/>
      </x:patternFill>
    </x:fill>
    <x:fill>
      <x:patternFill patternType="solid">
        <x:fgColor rgb="FFFFF5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A12929"/>
      </x:font>
      <x:fill>
        <x:patternFill patternType="solid">
          <x:bgColor rgb="FFFBE6E5"/>
        </x:patternFill>
      </x:fill>
    </x:dxf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54012f0784022" /><Relationship Type="http://schemas.openxmlformats.org/officeDocument/2006/relationships/theme" Target="/xl/theme/theme1.xml" Id="R34c2f2b76f0447dd" /><Relationship Type="http://schemas.openxmlformats.org/officeDocument/2006/relationships/sharedStrings" Target="/xl/sharedStrings.xml" Id="R661442f829d54d9d" /><Relationship Type="http://schemas.openxmlformats.org/officeDocument/2006/relationships/worksheet" Target="/xl/worksheets/sheet1.xml" Id="Re92e0d7a8481425a" /><Relationship Type="http://schemas.openxmlformats.org/officeDocument/2006/relationships/worksheet" Target="/xl/worksheets/sheet2.xml" Id="R697399f1e5ac469c" /><Relationship Type="http://schemas.openxmlformats.org/officeDocument/2006/relationships/worksheet" Target="/xl/worksheets/sheet3.xml" Id="R9148a2b6b6d44566" /><Relationship Type="http://schemas.openxmlformats.org/officeDocument/2006/relationships/worksheet" Target="/xl/worksheets/sheet4.xml" Id="Ra968908ca6544d56" /><Relationship Type="http://schemas.openxmlformats.org/officeDocument/2006/relationships/worksheet" Target="/xl/worksheets/sheet5.xml" Id="R9c5b06896a0f4d8c" /></Relationships>
</file>

<file path=xl/tables/table1.xml><?xml version="1.0" encoding="utf-8"?>
<x:table xmlns:x="http://schemas.openxmlformats.org/spreadsheetml/2006/main" id="1" name="PortfolioDarlehen" displayName="PortfolioDarlehen" ref="A5:K1005" headerRowCount="1" totalsRowCount="0" totalsRowShown="0">
  <x:tableColumns count="11">
    <x:tableColumn id="1" name="Darlehen"/>
    <x:tableColumn id="2" name="Name im Export"/>
    <x:tableColumn id="3" name="Belegumfang"/>
    <x:tableColumn id="4" name="Kapital EUR"/>
    <x:tableColumn id="5" name="Zinsen EUR"/>
    <x:tableColumn id="6" name="Kosten EUR"/>
    <x:tableColumn id="7" name="Saldo EUR"/>
    <x:tableColumn id="8" name="Verkäuferfaktor"/>
    <x:tableColumn id="9" name="Preis EUR"/>
    <x:tableColumn id="10" name="Verkäuferstatus"/>
    <x:tableColumn id="11" name="Beleg / Herkunf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chungsjournal" displayName="Buchungsjournal" ref="A5:N245" headerRowCount="1" totalsRowCount="0" totalsRowShown="0">
  <x:tableColumns count="14">
    <x:tableColumn id="1" name="Darlehen"/>
    <x:tableColumn id="2" name="Buchungsdatum"/>
    <x:tableColumn id="3" name="Kapital Anfang"/>
    <x:tableColumn id="4" name="Zins gebucht"/>
    <x:tableColumn id="5" name="Kosten gebucht"/>
    <x:tableColumn id="6" name="Zahlung Kapital"/>
    <x:tableColumn id="7" name="Zahlung Zins"/>
    <x:tableColumn id="8" name="Zahlung Kosten"/>
    <x:tableColumn id="9" name="Geldeingang"/>
    <x:tableColumn id="10" name="Kapital Ende"/>
    <x:tableColumn id="11" name="Zins Ende"/>
    <x:tableColumn id="12" name="Kosten Ende"/>
    <x:tableColumn id="13" name="Saldo Ende"/>
    <x:tableColumn id="14" name="Buchungs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tailauswahl" displayName="Detailauswahl" ref="A5:F25" headerRowCount="1" totalsRowCount="0" totalsRowShown="0">
  <x:tableColumns count="6">
    <x:tableColumn id="1" name="Darlehen"/>
    <x:tableColumn id="2" name="Name"/>
    <x:tableColumn id="3" name="Auswahlthema"/>
    <x:tableColumn id="4" name="Vertrag und Belege"/>
    <x:tableColumn id="5" name="Prüfung durch Erwerber"/>
    <x:tableColumn id="6" name="Zusätzliche Nachforder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320eab3fdb4f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87c8c5e30f49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85781816e347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4" hidden="0" customWidth="1"/>
    <x:col min="4" max="4" width="34" hidden="0" customWidth="1"/>
    <x:col min="5" max="5" width="25" hidden="0" customWidth="1"/>
    <x:col min="6" max="6" width="17" hidden="0" customWidth="1"/>
  </x:cols>
  <x:sheetData>
    <x:row r="1" ht="24" customHeight="1">
      <x:c r="A1" s="4" t="str">
        <x:v>Projekt Lindenbogen  |  Kaufpreis und Bestand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2" customHeight="1">
      <x:c r="A3" s="2" t="str">
        <x:v>Arbeitsstand 10.10.2026 | wirtschaftlicher Stichtag 30.09.2026, 24.00 Uhr | EUR</x:v>
      </x:c>
      <x:c r="B3" s="2"/>
      <x:c r="C3" s="2"/>
      <x:c r="D3" s="2"/>
      <x:c r="E3" s="2"/>
      <x:c r="F3" s="2"/>
    </x:row>
    <x:row r="4" ht="22" customHeight="1">
      <x:c r="A4" s="2" t="str">
        <x:v>Verkäuferwerte. Keine Bewertung durch den Erwerber und keine Feststellung der Einziehbarkeit.</x:v>
      </x:c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36" customHeight="1">
      <x:c r="A6" s="6" t="str">
        <x:v>Bestandsübersicht</x:v>
      </x:c>
      <x:c r="B6" s="6" t="str">
        <x:v>Wert</x:v>
      </x:c>
      <x:c r="C6" s="6" t="str"/>
      <x:c r="D6" s="6" t="str">
        <x:v>Preisgrundlage</x:v>
      </x:c>
      <x:c r="E6" s="6" t="str">
        <x:v>Wert</x:v>
      </x:c>
      <x:c r="F6" s="6" t="str"/>
    </x:row>
    <x:row r="7" ht="22" customHeight="1">
      <x:c r="A7" s="2" t="str">
        <x:v>Darlehensnummern</x:v>
      </x:c>
      <x:c r="B7" s="2" t="n">
        <x:f>COUNTA(Portfolio!A6:A1005)</x:f>
        <x:v>1000</x:v>
      </x:c>
      <x:c r="C7" s="2"/>
      <x:c r="D7" s="2" t="str">
        <x:v>Indikativer Verkäuferpreis</x:v>
      </x:c>
      <x:c r="E7" s="7" t="n">
        <x:f>SUM(Portfolio!I6:I1005)</x:f>
        <x:v>16161791.500000004</x:v>
      </x:c>
      <x:c r="F7" s="2"/>
    </x:row>
    <x:row r="8" ht="22" customHeight="1">
      <x:c r="A8" s="2" t="str">
        <x:v>Detailakten</x:v>
      </x:c>
      <x:c r="B8" s="2" t="n">
        <x:f>COUNTIFS(Portfolio!C6:C1005,"Detailakte")</x:f>
        <x:v>20</x:v>
      </x:c>
      <x:c r="C8" s="2"/>
      <x:c r="D8" s="2" t="str">
        <x:v>Preis nur auf Kapital</x:v>
      </x:c>
      <x:c r="E8" s="2" t="str">
        <x:v>Zinsen / Kosten ohne Preis</x:v>
      </x:c>
      <x:c r="F8" s="2"/>
    </x:row>
    <x:row r="9" ht="22" customHeight="1">
      <x:c r="A9" s="2" t="str">
        <x:v>Nur knapper Export</x:v>
      </x:c>
      <x:c r="B9" s="2" t="n">
        <x:f>COUNTIFS(Portfolio!C6:C1005,"Nur Verkäuferexport")</x:f>
        <x:v>980</x:v>
      </x:c>
      <x:c r="C9" s="2"/>
      <x:c r="D9" s="2" t="str">
        <x:v>Anteil Preis / Kapital</x:v>
      </x:c>
      <x:c r="E9" s="8" t="n">
        <x:f>E7/B10</x:f>
        <x:v>0.9173037607555568</x:v>
      </x:c>
      <x:c r="F9" s="2"/>
    </x:row>
    <x:row r="10" ht="22" customHeight="1">
      <x:c r="A10" s="2" t="str">
        <x:v>Kapital</x:v>
      </x:c>
      <x:c r="B10" s="7" t="n">
        <x:f>SUM(Portfolio!D6:D1005)</x:f>
        <x:v>17618800</x:v>
      </x:c>
      <x:c r="C10" s="2"/>
      <x:c r="D10" s="2" t="str">
        <x:v>Weiterer Erwerberabschlag</x:v>
      </x:c>
      <x:c r="E10" s="2" t="str">
        <x:v>Noch nicht vereinbart</x:v>
      </x:c>
      <x:c r="F10" s="2"/>
    </x:row>
    <x:row r="11" ht="22" customHeight="1">
      <x:c r="A11" s="2" t="str">
        <x:v>Gebuchte Zinsen</x:v>
      </x:c>
      <x:c r="B11" s="7" t="n">
        <x:f>SUM(Portfolio!E6:E1005)</x:f>
        <x:v>27947.2</x:v>
      </x:c>
      <x:c r="C11" s="2"/>
      <x:c r="D11" s="2"/>
      <x:c r="E11" s="2"/>
      <x:c r="F11" s="2"/>
    </x:row>
    <x:row r="12" ht="22" customHeight="1">
      <x:c r="A12" s="2" t="str">
        <x:v>Gebuchte Kosten</x:v>
      </x:c>
      <x:c r="B12" s="7" t="n">
        <x:f>SUM(Portfolio!F6:F1005)</x:f>
        <x:v>1165</x:v>
      </x:c>
      <x:c r="C12" s="2"/>
      <x:c r="D12" s="2"/>
      <x:c r="E12" s="2"/>
      <x:c r="F12" s="2"/>
    </x:row>
    <x:row r="13" ht="22" customHeight="1">
      <x:c r="A13" s="2" t="str">
        <x:v>Nebenbuchsaldo</x:v>
      </x:c>
      <x:c r="B13" s="7" t="n">
        <x:f>SUM(Portfolio!G6:G1005)</x:f>
        <x:v>17647912.2</x:v>
      </x:c>
      <x:c r="C13" s="2"/>
      <x:c r="D13" s="2"/>
      <x:c r="E13" s="2"/>
      <x:c r="F13" s="2"/>
    </x:row>
    <x:row r="14" ht="22" customHeight="1">
      <x:c r="A14" s="2"/>
      <x:c r="B14" s="7"/>
      <x:c r="C14" s="2"/>
      <x:c r="D14" s="2"/>
      <x:c r="E14" s="2"/>
      <x:c r="F14" s="2"/>
    </x:row>
    <x:row r="15" ht="22" customHeight="1">
      <x:c r="A15" s="2"/>
      <x:c r="B15" s="7"/>
      <x:c r="C15" s="2"/>
      <x:c r="D15" s="2"/>
      <x:c r="E15" s="2"/>
      <x:c r="F15" s="2"/>
    </x:row>
    <x:row r="16" ht="36" customHeight="1">
      <x:c r="A16" s="6" t="str">
        <x:v>Stichtagsüberleitung</x:v>
      </x:c>
      <x:c r="B16" s="15" t="str">
        <x:v>EUR</x:v>
      </x:c>
      <x:c r="C16" s="6" t="str"/>
      <x:c r="D16" s="6" t="str">
        <x:v>Grundlage</x:v>
      </x:c>
      <x:c r="E16" s="6" t="str"/>
      <x:c r="F16" s="6" t="str"/>
    </x:row>
    <x:row r="17" ht="22" customHeight="1">
      <x:c r="A17" s="2" t="str">
        <x:v>Nebenbuch um 12.00 Uhr</x:v>
      </x:c>
      <x:c r="B17" s="7" t="n">
        <x:f>B13</x:f>
        <x:v>17647912.2</x:v>
      </x:c>
      <x:c r="C17" s="2"/>
      <x:c r="D17" s="2" t="str">
        <x:v>Unveränderter Mittagsauszug</x:v>
      </x:c>
      <x:c r="E17" s="2"/>
      <x:c r="F17" s="2"/>
    </x:row>
    <x:row r="18" ht="22" customHeight="1">
      <x:c r="A18" s="2" t="str">
        <x:v>Zahlung auf Sammelkonto</x:v>
      </x:c>
      <x:c r="B18" s="9" t="n">
        <x:v>-720</x:v>
      </x:c>
      <x:c r="C18" s="2"/>
      <x:c r="D18" s="2" t="str">
        <x:v>APB-0017, Eingang 30.09.2026 um 16.42 Uhr</x:v>
      </x:c>
      <x:c r="E18" s="2"/>
      <x:c r="F18" s="2"/>
    </x:row>
    <x:row r="19" ht="22" customHeight="1">
      <x:c r="A19" s="2" t="str">
        <x:v>Technische Nettoposition</x:v>
      </x:c>
      <x:c r="B19" s="7" t="n">
        <x:f>SUM(B17:B18)</x:f>
        <x:v>17647192.2</x:v>
      </x:c>
      <x:c r="C19" s="2"/>
      <x:c r="D19" s="2" t="str">
        <x:v>Zuordnung zu Zins / Kapital vor Endpreis klären</x:v>
      </x:c>
      <x:c r="E19" s="2"/>
      <x:c r="F19" s="2"/>
    </x:row>
    <x:row r="20" ht="22" customHeight="1">
      <x:c r="A20" s="2" t="str">
        <x:v>Hauptbuch laut Verkäufer</x:v>
      </x:c>
      <x:c r="B20" s="9" t="n">
        <x:v>17647192.2</x:v>
      </x:c>
      <x:c r="C20" s="2"/>
      <x:c r="D20" s="2" t="str">
        <x:v>03_Hauptbuch_und_Stichtagsbruecke.pdf</x:v>
      </x:c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36" customHeight="1">
      <x:c r="A23" s="6" t="str">
        <x:v>Kontrollen</x:v>
      </x:c>
      <x:c r="B23" s="6" t="str">
        <x:v>Ergebnis</x:v>
      </x:c>
      <x:c r="C23" s="6" t="str"/>
      <x:c r="D23" s="6" t="str">
        <x:v>Bedeutung</x:v>
      </x:c>
      <x:c r="E23" s="6" t="str"/>
      <x:c r="F23" s="6" t="str"/>
    </x:row>
    <x:row r="24" ht="22" customHeight="1">
      <x:c r="A24" s="2" t="str">
        <x:v>Differenz Hauptbuch</x:v>
      </x:c>
      <x:c r="B24" s="7" t="n">
        <x:f>B19-B20</x:f>
        <x:v>0</x:v>
      </x:c>
      <x:c r="C24" s="2"/>
      <x:c r="D24" s="2" t="str">
        <x:v>Null belegt nur die technische Abstimmung.</x:v>
      </x:c>
      <x:c r="E24" s="2"/>
      <x:c r="F24" s="2"/>
    </x:row>
    <x:row r="25" ht="22" customHeight="1">
      <x:c r="A25" s="2" t="str">
        <x:v>Bestandsanzahl minus 1000</x:v>
      </x:c>
      <x:c r="B25" s="2" t="n">
        <x:f>B7-1000</x:f>
        <x:v>0</x:v>
      </x:c>
      <x:c r="C25" s="2"/>
      <x:c r="D25" s="2" t="str">
        <x:v>Keine Aussage über Vollständigkeit der Belege.</x:v>
      </x:c>
      <x:c r="E25" s="2"/>
      <x:c r="F25" s="2"/>
    </x:row>
    <x:row r="26" ht="22" customHeight="1">
      <x:c r="A26" s="2" t="str">
        <x:v>Prüfung Detailfälle offen</x:v>
      </x:c>
      <x:c r="B26" s="2" t="n">
        <x:f>COUNTIFS(Stichprobe!E6:E25,"&lt;&gt;Dokumentiert")</x:f>
        <x:v>20</x:v>
      </x:c>
      <x:c r="C26" s="2"/>
      <x:c r="D26" s="2" t="str">
        <x:v>Dokumentiert ersetzt keine fachliche Freigabe.</x:v>
      </x:c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4" customHeight="1">
      <x:c r="A29" s="13" t="str">
        <x:v>Die 20 Detailfälle sind bewusst problemorientiert ausgewählt. Für 980 weitere Darlehen fehlen Einzelakten. Ein fehlender Risikovermerk im Verkäuferexport ist kein negatives Prüfungsergebnis.</x:v>
      </x:c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 t="str">
        <x:v>Die Preisfaktoren können in Portfolio geändert werden. Ein Faktor von null bedeutet Preis null; ein fehlender Faktor ist keine zulässige Nullannahme. Leere Faktoren müssen vor Verwendung der Endliste geklärt werden.</x:v>
      </x:c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 t="str">
        <x:v>Vollzug noch offen: tatsächlicher Erlaubnisstatus, Übertragbarkeit, Servicevereinbarung, Datenzugriff und Kundenmitteilungen sind nicht durch diese Arbeitsmappe freigegeben. Die Buchung von Zinsen oder Kosten bestätigt keinen entsprechenden Anspruch.</x:v>
      </x:c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2" customHeight="1">
      <x:c r="A38" s="2"/>
      <x:c r="B38" s="2"/>
      <x:c r="C38" s="2"/>
      <x:c r="D38" s="2"/>
      <x:c r="E38" s="2"/>
      <x:c r="F38" s="2"/>
    </x:row>
    <x:row r="39" ht="22" customHeight="1">
      <x:c r="A39" s="2"/>
      <x:c r="B39" s="2"/>
      <x:c r="C39" s="2"/>
      <x:c r="D39" s="2"/>
      <x:c r="E39" s="2"/>
      <x:c r="F39" s="2"/>
    </x:row>
  </x:sheetData>
  <x:mergeCells>
    <x:mergeCell ref="A1:F2"/>
    <x:mergeCell ref="A3:F3"/>
    <x:mergeCell ref="A4:F4"/>
    <x:mergeCell ref="D17:F17"/>
    <x:mergeCell ref="D18:F18"/>
    <x:mergeCell ref="D19:F19"/>
    <x:mergeCell ref="D20:F20"/>
    <x:mergeCell ref="D24:F24"/>
    <x:mergeCell ref="D25:F25"/>
    <x:mergeCell ref="D26:F26"/>
    <x:mergeCell ref="A29:F30"/>
    <x:mergeCell ref="A32:F33"/>
    <x:mergeCell ref="A35:F37"/>
  </x:mergeCells>
  <x:conditionalFormatting sqref="B24:B25">
    <x:cfRule type="cellIs" dxfId="0" priority="1" operator="notEqual">
      <x:formula>0</x:formula>
    </x:cfRule>
  </x:conditionalFormatting>
  <x:conditionalFormatting sqref="B26:B26"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5" hidden="0" customWidth="1"/>
    <x:col min="4" max="4" width="19" hidden="0" customWidth="1"/>
    <x:col min="5" max="5" width="17" hidden="0" customWidth="1"/>
    <x:col min="6" max="6" width="17" hidden="0" customWidth="1"/>
    <x:col min="7" max="7" width="19" hidden="0" customWidth="1"/>
    <x:col min="8" max="8" width="19" hidden="0" customWidth="1"/>
    <x:col min="9" max="9" width="20" hidden="0" customWidth="1"/>
    <x:col min="10" max="10" width="40" hidden="0" customWidth="1"/>
    <x:col min="11" max="11" width="69" hidden="0" customWidth="1"/>
  </x:cols>
  <x:sheetData>
    <x:row r="1" ht="24" customHeight="1">
      <x:c r="A1" s="4" t="str">
        <x:v>Forderungsbestand zum 30.09.2026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 t="str">
        <x:v>Verkäuferexport 12.00 Uhr | Geldbeträge in EUR | Faktor und Status sind unbestätigte Verkäuferangaben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6" customHeight="1">
      <x:c r="A5" s="6" t="str">
        <x:v>Darlehen</x:v>
      </x:c>
      <x:c r="B5" s="6" t="str">
        <x:v>Name im Export</x:v>
      </x:c>
      <x:c r="C5" s="6" t="str">
        <x:v>Belegumfang</x:v>
      </x:c>
      <x:c r="D5" s="6" t="str">
        <x:v>Kapital EUR</x:v>
      </x:c>
      <x:c r="E5" s="6" t="str">
        <x:v>Zinsen EUR</x:v>
      </x:c>
      <x:c r="F5" s="6" t="str">
        <x:v>Kosten EUR</x:v>
      </x:c>
      <x:c r="G5" s="6" t="str">
        <x:v>Saldo EUR</x:v>
      </x:c>
      <x:c r="H5" s="6" t="str">
        <x:v>Verkäuferfaktor</x:v>
      </x:c>
      <x:c r="I5" s="6" t="str">
        <x:v>Preis EUR</x:v>
      </x:c>
      <x:c r="J5" s="6" t="str">
        <x:v>Verkäuferstatus</x:v>
      </x:c>
      <x:c r="K5" s="6" t="str">
        <x:v>Beleg / Herkunft</x:v>
      </x:c>
    </x:row>
    <x:row r="6" ht="29" customHeight="1">
      <x:c r="A6" s="2" t="str">
        <x:v>APB-0001</x:v>
      </x:c>
      <x:c r="B6" s="2" t="str">
        <x:v>Kunigunde Schlehenried</x:v>
      </x:c>
      <x:c r="C6" s="2" t="str">
        <x:v>Detailakte</x:v>
      </x:c>
      <x:c r="D6" s="9" t="n">
        <x:v>8400</x:v>
      </x:c>
      <x:c r="E6" s="9" t="n">
        <x:v>134.4</x:v>
      </x:c>
      <x:c r="F6" s="9" t="n">
        <x:v>36</x:v>
      </x:c>
      <x:c r="G6" s="11" t="n">
        <x:f>SUM(D6:F6)</x:f>
        <x:v>8570.4</x:v>
      </x:c>
      <x:c r="H6" s="10" t="n">
        <x:v>0.24</x:v>
      </x:c>
      <x:c r="I6" s="11" t="n">
        <x:f>IF(ISNUMBER(H6),ROUND(D6*H6,2),NA())</x:f>
        <x:v>2016</x:v>
      </x:c>
      <x:c r="J6" s="2" t="str">
        <x:v>Verbraucherinsolvenz</x:v>
      </x:c>
      <x:c r="K6" s="2" t="str">
        <x:v>APB-0001_02_Kontojournal.pdf</x:v>
      </x:c>
    </x:row>
    <x:row r="7" ht="29" customHeight="1">
      <x:c r="A7" s="2" t="str">
        <x:v>APB-0002</x:v>
      </x:c>
      <x:c r="B7" s="2" t="str">
        <x:v>Balthasar Rummelspacher</x:v>
      </x:c>
      <x:c r="C7" s="2" t="str">
        <x:v>Detailakte</x:v>
      </x:c>
      <x:c r="D7" s="9" t="n">
        <x:v>22400</x:v>
      </x:c>
      <x:c r="E7" s="9" t="n">
        <x:v>1281.6</x:v>
      </x:c>
      <x:c r="F7" s="9" t="n">
        <x:v>0</x:v>
      </x:c>
      <x:c r="G7" s="11" t="n">
        <x:f>SUM(D7:F7)</x:f>
        <x:v>23681.6</x:v>
      </x:c>
      <x:c r="H7" s="10" t="n">
        <x:v>0.08</x:v>
      </x:c>
      <x:c r="I7" s="11" t="n">
        <x:f>IF(ISNUMBER(H7),ROUND(D7*H7,2),NA())</x:f>
        <x:v>1792</x:v>
      </x:c>
      <x:c r="J7" s="2" t="str">
        <x:v>Restschuldbefreiung und Altbestand</x:v>
      </x:c>
      <x:c r="K7" s="2" t="str">
        <x:v>APB-0002_02_Kontojournal.pdf</x:v>
      </x:c>
    </x:row>
    <x:row r="8" ht="29" customHeight="1">
      <x:c r="A8" s="2" t="str">
        <x:v>APB-0003</x:v>
      </x:c>
      <x:c r="B8" s="2" t="str">
        <x:v>Friedolin Kesselhut</x:v>
      </x:c>
      <x:c r="C8" s="2" t="str">
        <x:v>Detailakte</x:v>
      </x:c>
      <x:c r="D8" s="9" t="n">
        <x:v>9450</x:v>
      </x:c>
      <x:c r="E8" s="9" t="n">
        <x:v>141.75</x:v>
      </x:c>
      <x:c r="F8" s="9" t="n">
        <x:v>12</x:v>
      </x:c>
      <x:c r="G8" s="11" t="n">
        <x:f>SUM(D8:F8)</x:f>
        <x:v>9603.75</x:v>
      </x:c>
      <x:c r="H8" s="10" t="n">
        <x:v>0.65</x:v>
      </x:c>
      <x:c r="I8" s="11" t="n">
        <x:f>IF(ISNUMBER(H8),ROUND(D8*H8,2),NA())</x:f>
        <x:v>6142.5</x:v>
      </x:c>
      <x:c r="J8" s="2" t="str">
        <x:v>Zahlungsrückstand und Kündigung</x:v>
      </x:c>
      <x:c r="K8" s="2" t="str">
        <x:v>APB-0003_02_Kontojournal.pdf</x:v>
      </x:c>
    </x:row>
    <x:row r="9" ht="29" customHeight="1">
      <x:c r="A9" s="2" t="str">
        <x:v>APB-0004</x:v>
      </x:c>
      <x:c r="B9" s="2" t="str">
        <x:v>Meryem Aydin</x:v>
      </x:c>
      <x:c r="C9" s="2" t="str">
        <x:v>Detailakte</x:v>
      </x:c>
      <x:c r="D9" s="9" t="n">
        <x:v>6750</x:v>
      </x:c>
      <x:c r="E9" s="9" t="n">
        <x:v>81</x:v>
      </x:c>
      <x:c r="F9" s="9" t="n">
        <x:v>12</x:v>
      </x:c>
      <x:c r="G9" s="11" t="n">
        <x:f>SUM(D9:F9)</x:f>
        <x:v>6843</x:v>
      </x:c>
      <x:c r="H9" s="10" t="n">
        <x:v>0.9</x:v>
      </x:c>
      <x:c r="I9" s="11" t="n">
        <x:f>IF(ISNUMBER(H9),ROUND(D9*H9,2),NA())</x:f>
        <x:v>6075</x:v>
      </x:c>
      <x:c r="J9" s="2" t="str">
        <x:v>Zustellung und Adresswechsel</x:v>
      </x:c>
      <x:c r="K9" s="2" t="str">
        <x:v>APB-0004_02_Kontojournal.pdf</x:v>
      </x:c>
    </x:row>
    <x:row r="10" ht="29" customHeight="1">
      <x:c r="A10" s="2" t="str">
        <x:v>APB-0005</x:v>
      </x:c>
      <x:c r="B10" s="2" t="str">
        <x:v>Ottilie Haberkamm</x:v>
      </x:c>
      <x:c r="C10" s="2" t="str">
        <x:v>Detailakte</x:v>
      </x:c>
      <x:c r="D10" s="9" t="n">
        <x:v>14320</x:v>
      </x:c>
      <x:c r="E10" s="9" t="n">
        <x:v>253.75</x:v>
      </x:c>
      <x:c r="F10" s="9" t="n">
        <x:v>120</x:v>
      </x:c>
      <x:c r="G10" s="11" t="n">
        <x:f>SUM(D10:F10)</x:f>
        <x:v>14693.75</x:v>
      </x:c>
      <x:c r="H10" s="10" t="n">
        <x:v>0.42</x:v>
      </x:c>
      <x:c r="I10" s="11" t="n">
        <x:f>IF(ISNUMBER(H10),ROUND(D10*H10,2),NA())</x:f>
        <x:v>6014.4</x:v>
      </x:c>
      <x:c r="J10" s="2" t="str">
        <x:v>Titel und Vollstreckung</x:v>
      </x:c>
      <x:c r="K10" s="2" t="str">
        <x:v>APB-0005_02_Kontojournal.pdf</x:v>
      </x:c>
    </x:row>
    <x:row r="11" ht="29" customHeight="1">
      <x:c r="A11" s="2" t="str">
        <x:v>APB-0006</x:v>
      </x:c>
      <x:c r="B11" s="2" t="str">
        <x:v>Leander Schlotfeger</x:v>
      </x:c>
      <x:c r="C11" s="2" t="str">
        <x:v>Detailakte</x:v>
      </x:c>
      <x:c r="D11" s="9" t="n">
        <x:v>5400</x:v>
      </x:c>
      <x:c r="E11" s="9" t="n">
        <x:v>0</x:v>
      </x:c>
      <x:c r="F11" s="9" t="n">
        <x:v>0</x:v>
      </x:c>
      <x:c r="G11" s="11" t="n">
        <x:f>SUM(D11:F11)</x:f>
        <x:v>5400</x:v>
      </x:c>
      <x:c r="H11" s="10" t="n">
        <x:v>0.9</x:v>
      </x:c>
      <x:c r="I11" s="11" t="n">
        <x:f>IF(ISNUMBER(H11),ROUND(D11*H11,2),NA())</x:f>
        <x:v>4860</x:v>
      </x:c>
      <x:c r="J11" s="2" t="str">
        <x:v>Stundung</x:v>
      </x:c>
      <x:c r="K11" s="2" t="str">
        <x:v>APB-0006_02_Kontojournal.pdf</x:v>
      </x:c>
    </x:row>
    <x:row r="12" ht="29" customHeight="1">
      <x:c r="A12" s="2" t="str">
        <x:v>APB-0007</x:v>
      </x:c>
      <x:c r="B12" s="2" t="str">
        <x:v>Samira Ben Youssef</x:v>
      </x:c>
      <x:c r="C12" s="2" t="str">
        <x:v>Detailakte</x:v>
      </x:c>
      <x:c r="D12" s="9" t="n">
        <x:v>7200</x:v>
      </x:c>
      <x:c r="E12" s="9" t="n">
        <x:v>0</x:v>
      </x:c>
      <x:c r="F12" s="9" t="n">
        <x:v>0</x:v>
      </x:c>
      <x:c r="G12" s="11" t="n">
        <x:f>SUM(D12:F12)</x:f>
        <x:v>7200</x:v>
      </x:c>
      <x:c r="H12" s="10" t="n">
        <x:v>0.9</x:v>
      </x:c>
      <x:c r="I12" s="11" t="n">
        <x:f>IF(ISNUMBER(H12),ROUND(D12*H12,2),NA())</x:f>
        <x:v>6480</x:v>
      </x:c>
      <x:c r="J12" s="2" t="str">
        <x:v>Widerruf und Formulararchiv</x:v>
      </x:c>
      <x:c r="K12" s="2" t="str">
        <x:v>APB-0007_02_Kontojournal.pdf</x:v>
      </x:c>
    </x:row>
    <x:row r="13" ht="29" customHeight="1">
      <x:c r="A13" s="2" t="str">
        <x:v>APB-0008</x:v>
      </x:c>
      <x:c r="B13" s="2" t="str">
        <x:v>Gottlieb Birkenseer</x:v>
      </x:c>
      <x:c r="C13" s="2" t="str">
        <x:v>Detailakte</x:v>
      </x:c>
      <x:c r="D13" s="9" t="n">
        <x:v>10800</x:v>
      </x:c>
      <x:c r="E13" s="9" t="n">
        <x:v>0</x:v>
      </x:c>
      <x:c r="F13" s="9" t="n">
        <x:v>0</x:v>
      </x:c>
      <x:c r="G13" s="11" t="n">
        <x:f>SUM(D13:F13)</x:f>
        <x:v>10800</x:v>
      </x:c>
      <x:c r="H13" s="10" t="n">
        <x:v>0.9</x:v>
      </x:c>
      <x:c r="I13" s="11" t="n">
        <x:f>IF(ISNUMBER(H13),ROUND(D13*H13,2),NA())</x:f>
        <x:v>9720</x:v>
      </x:c>
      <x:c r="J13" s="2" t="str">
        <x:v>Abtretungsklausel</x:v>
      </x:c>
      <x:c r="K13" s="2" t="str">
        <x:v>APB-0008_02_Kontojournal.pdf</x:v>
      </x:c>
    </x:row>
    <x:row r="14" ht="29" customHeight="1">
      <x:c r="A14" s="2" t="str">
        <x:v>APB-0009</x:v>
      </x:c>
      <x:c r="B14" s="2" t="str">
        <x:v>Nora Chatterjee</x:v>
      </x:c>
      <x:c r="C14" s="2" t="str">
        <x:v>Detailakte</x:v>
      </x:c>
      <x:c r="D14" s="9" t="n">
        <x:v>9600</x:v>
      </x:c>
      <x:c r="E14" s="9" t="n">
        <x:v>0</x:v>
      </x:c>
      <x:c r="F14" s="9" t="n">
        <x:v>25</x:v>
      </x:c>
      <x:c r="G14" s="11" t="n">
        <x:f>SUM(D14:F14)</x:f>
        <x:v>9625</x:v>
      </x:c>
      <x:c r="H14" s="10" t="n">
        <x:v>0.9</x:v>
      </x:c>
      <x:c r="I14" s="11" t="n">
        <x:f>IF(ISNUMBER(H14),ROUND(D14*H14,2),NA())</x:f>
        <x:v>8640</x:v>
      </x:c>
      <x:c r="J14" s="2" t="str">
        <x:v>Bestrittene Forderung und Aufrechnung</x:v>
      </x:c>
      <x:c r="K14" s="2" t="str">
        <x:v>APB-0009_02_Kontojournal.pdf</x:v>
      </x:c>
    </x:row>
    <x:row r="15" ht="29" customHeight="1">
      <x:c r="A15" s="2" t="str">
        <x:v>APB-0010</x:v>
      </x:c>
      <x:c r="B15" s="2" t="str">
        <x:v>Hieronymus Fichtelbauer</x:v>
      </x:c>
      <x:c r="C15" s="2" t="str">
        <x:v>Detailakte</x:v>
      </x:c>
      <x:c r="D15" s="9" t="n">
        <x:v>15600</x:v>
      </x:c>
      <x:c r="E15" s="9" t="n">
        <x:v>109.2</x:v>
      </x:c>
      <x:c r="F15" s="9" t="n">
        <x:v>0</x:v>
      </x:c>
      <x:c r="G15" s="11" t="n">
        <x:f>SUM(D15:F15)</x:f>
        <x:v>15709.2</x:v>
      </x:c>
      <x:c r="H15" s="10" t="n">
        <x:v>0.9</x:v>
      </x:c>
      <x:c r="I15" s="11" t="n">
        <x:f>IF(ISNUMBER(H15),ROUND(D15*H15,2),NA())</x:f>
        <x:v>14040</x:v>
      </x:c>
      <x:c r="J15" s="2" t="str">
        <x:v>Erbfall und Vertretung</x:v>
      </x:c>
      <x:c r="K15" s="2" t="str">
        <x:v>APB-0010_02_Kontojournal.pdf</x:v>
      </x:c>
    </x:row>
    <x:row r="16" ht="29" customHeight="1">
      <x:c r="A16" s="2" t="str">
        <x:v>APB-0011</x:v>
      </x:c>
      <x:c r="B16" s="2" t="str">
        <x:v>Rosalie Ziegenhagen</x:v>
      </x:c>
      <x:c r="C16" s="2" t="str">
        <x:v>Detailakte</x:v>
      </x:c>
      <x:c r="D16" s="9" t="n">
        <x:v>11000</x:v>
      </x:c>
      <x:c r="E16" s="9" t="n">
        <x:v>0</x:v>
      </x:c>
      <x:c r="F16" s="9" t="n">
        <x:v>450</x:v>
      </x:c>
      <x:c r="G16" s="11" t="n">
        <x:f>SUM(D16:F16)</x:f>
        <x:v>11450</x:v>
      </x:c>
      <x:c r="H16" s="10" t="n">
        <x:v>0.9</x:v>
      </x:c>
      <x:c r="I16" s="11" t="n">
        <x:f>IF(ISNUMBER(H16),ROUND(D16*H16,2),NA())</x:f>
        <x:v>9900</x:v>
      </x:c>
      <x:c r="J16" s="2" t="str">
        <x:v>Sondertilgung und Vorfälligkeitskosten</x:v>
      </x:c>
      <x:c r="K16" s="2" t="str">
        <x:v>APB-0011_02_Kontojournal.pdf</x:v>
      </x:c>
    </x:row>
    <x:row r="17" ht="29" customHeight="1">
      <x:c r="A17" s="2" t="str">
        <x:v>APB-0012</x:v>
      </x:c>
      <x:c r="B17" s="2" t="str">
        <x:v>Cem Krawinkel</x:v>
      </x:c>
      <x:c r="C17" s="2" t="str">
        <x:v>Detailakte</x:v>
      </x:c>
      <x:c r="D17" s="9" t="n">
        <x:v>16800</x:v>
      </x:c>
      <x:c r="E17" s="9" t="n">
        <x:v>0</x:v>
      </x:c>
      <x:c r="F17" s="9" t="n">
        <x:v>0</x:v>
      </x:c>
      <x:c r="G17" s="11" t="n">
        <x:f>SUM(D17:F17)</x:f>
        <x:v>16800</x:v>
      </x:c>
      <x:c r="H17" s="10" t="n">
        <x:v>0.9</x:v>
      </x:c>
      <x:c r="I17" s="11" t="n">
        <x:f>IF(ISNUMBER(H17),ROUND(D17*H17,2),NA())</x:f>
        <x:v>15120</x:v>
      </x:c>
      <x:c r="J17" s="2" t="str">
        <x:v>Sicherheit und fehlende Urkunde</x:v>
      </x:c>
      <x:c r="K17" s="2" t="str">
        <x:v>APB-0012_02_Kontojournal.pdf</x:v>
      </x:c>
    </x:row>
    <x:row r="18" ht="29" customHeight="1">
      <x:c r="A18" s="2" t="str">
        <x:v>APB-0013</x:v>
      </x:c>
      <x:c r="B18" s="2" t="str">
        <x:v>Euphemia Dinkelacker</x:v>
      </x:c>
      <x:c r="C18" s="2" t="str">
        <x:v>Detailakte</x:v>
      </x:c>
      <x:c r="D18" s="9" t="n">
        <x:v>5000</x:v>
      </x:c>
      <x:c r="E18" s="9" t="n">
        <x:v>17.5</x:v>
      </x:c>
      <x:c r="F18" s="9" t="n">
        <x:v>0</x:v>
      </x:c>
      <x:c r="G18" s="11" t="n">
        <x:f>SUM(D18:F18)</x:f>
        <x:v>5017.5</x:v>
      </x:c>
      <x:c r="H18" s="10" t="n">
        <x:v>0.9</x:v>
      </x:c>
      <x:c r="I18" s="11" t="n">
        <x:f>IF(ISNUMBER(H18),ROUND(D18*H18,2),NA())</x:f>
        <x:v>4500</x:v>
      </x:c>
      <x:c r="J18" s="2" t="str">
        <x:v>Verbundener Vertrag und Rückabwicklung</x:v>
      </x:c>
      <x:c r="K18" s="2" t="str">
        <x:v>APB-0013_02_Kontojournal.pdf</x:v>
      </x:c>
    </x:row>
    <x:row r="19" ht="29" customHeight="1">
      <x:c r="A19" s="2" t="str">
        <x:v>APB-0014</x:v>
      </x:c>
      <x:c r="B19" s="2" t="str">
        <x:v>Yara von Lauterbach</x:v>
      </x:c>
      <x:c r="C19" s="2" t="str">
        <x:v>Detailakte</x:v>
      </x:c>
      <x:c r="D19" s="9" t="n">
        <x:v>7500</x:v>
      </x:c>
      <x:c r="E19" s="9" t="n">
        <x:v>37.5</x:v>
      </x:c>
      <x:c r="F19" s="9" t="n">
        <x:v>0</x:v>
      </x:c>
      <x:c r="G19" s="11" t="n">
        <x:f>SUM(D19:F19)</x:f>
        <x:v>7537.5</x:v>
      </x:c>
      <x:c r="H19" s="10" t="n">
        <x:v>0.1</x:v>
      </x:c>
      <x:c r="I19" s="11" t="n">
        <x:f>IF(ISNUMBER(H19),ROUND(D19*H19,2),NA())</x:f>
        <x:v>750</x:v>
      </x:c>
      <x:c r="J19" s="2" t="str">
        <x:v>Identität und bestrittene Signatur</x:v>
      </x:c>
      <x:c r="K19" s="2" t="str">
        <x:v>APB-0014_02_Kontojournal.pdf</x:v>
      </x:c>
    </x:row>
    <x:row r="20" ht="29" customHeight="1">
      <x:c r="A20" s="2" t="str">
        <x:v>APB-0015</x:v>
      </x:c>
      <x:c r="B20" s="2" t="str">
        <x:v>Severin Hopfenmüller</x:v>
      </x:c>
      <x:c r="C20" s="2" t="str">
        <x:v>Detailakte</x:v>
      </x:c>
      <x:c r="D20" s="9" t="n">
        <x:v>6000</x:v>
      </x:c>
      <x:c r="E20" s="9" t="n">
        <x:v>0</x:v>
      </x:c>
      <x:c r="F20" s="9" t="n">
        <x:v>0</x:v>
      </x:c>
      <x:c r="G20" s="11" t="n">
        <x:f>SUM(D20:F20)</x:f>
        <x:v>6000</x:v>
      </x:c>
      <x:c r="H20" s="10" t="n">
        <x:v>0.9</x:v>
      </x:c>
      <x:c r="I20" s="11" t="n">
        <x:f>IF(ISNUMBER(H20),ROUND(D20*H20,2),NA())</x:f>
        <x:v>5400</x:v>
      </x:c>
      <x:c r="J20" s="2" t="str">
        <x:v>Dienstleister und Datenzugang</x:v>
      </x:c>
      <x:c r="K20" s="2" t="str">
        <x:v>APB-0015_02_Kontojournal.pdf</x:v>
      </x:c>
    </x:row>
    <x:row r="21" ht="29" customHeight="1">
      <x:c r="A21" s="2" t="str">
        <x:v>APB-0016</x:v>
      </x:c>
      <x:c r="B21" s="2" t="str">
        <x:v>Thekla Morgenstern</x:v>
      </x:c>
      <x:c r="C21" s="2" t="str">
        <x:v>Detailakte</x:v>
      </x:c>
      <x:c r="D21" s="9" t="n">
        <x:v>9600</x:v>
      </x:c>
      <x:c r="E21" s="9" t="n">
        <x:v>0</x:v>
      </x:c>
      <x:c r="F21" s="9" t="n">
        <x:v>0</x:v>
      </x:c>
      <x:c r="G21" s="11" t="n">
        <x:f>SUM(D21:F21)</x:f>
        <x:v>9600</x:v>
      </x:c>
      <x:c r="H21" s="10" t="n">
        <x:v>0.9</x:v>
      </x:c>
      <x:c r="I21" s="11" t="n">
        <x:f>IF(ISNUMBER(H21),ROUND(D21*H21,2),NA())</x:f>
        <x:v>8640</x:v>
      </x:c>
      <x:c r="J21" s="2" t="str">
        <x:v>Gemeinschaftsschuldner und Trennung</x:v>
      </x:c>
      <x:c r="K21" s="2" t="str">
        <x:v>APB-0016_02_Kontojournal.pdf</x:v>
      </x:c>
    </x:row>
    <x:row r="22" ht="29" customHeight="1">
      <x:c r="A22" s="2" t="str">
        <x:v>APB-0017</x:v>
      </x:c>
      <x:c r="B22" s="2" t="str">
        <x:v>Abdul Rahman Eberlein</x:v>
      </x:c>
      <x:c r="C22" s="2" t="str">
        <x:v>Detailakte</x:v>
      </x:c>
      <x:c r="D22" s="9" t="n">
        <x:v>8750</x:v>
      </x:c>
      <x:c r="E22" s="9" t="n">
        <x:v>35</x:v>
      </x:c>
      <x:c r="F22" s="9" t="n">
        <x:v>0</x:v>
      </x:c>
      <x:c r="G22" s="11" t="n">
        <x:f>SUM(D22:F22)</x:f>
        <x:v>8785</x:v>
      </x:c>
      <x:c r="H22" s="10" t="n">
        <x:v>0.9</x:v>
      </x:c>
      <x:c r="I22" s="11" t="n">
        <x:f>IF(ISNUMBER(H22),ROUND(D22*H22,2),NA())</x:f>
        <x:v>7875</x:v>
      </x:c>
      <x:c r="J22" s="2" t="str">
        <x:v>Zahlungszuordnung und Stichtag</x:v>
      </x:c>
      <x:c r="K22" s="2" t="str">
        <x:v>APB-0017_02_Kontojournal.pdf</x:v>
      </x:c>
    </x:row>
    <x:row r="23" ht="29" customHeight="1">
      <x:c r="A23" s="2" t="str">
        <x:v>APB-0018</x:v>
      </x:c>
      <x:c r="B23" s="2" t="str">
        <x:v>Wendelin Nussbaumer</x:v>
      </x:c>
      <x:c r="C23" s="2" t="str">
        <x:v>Detailakte</x:v>
      </x:c>
      <x:c r="D23" s="9" t="n">
        <x:v>7200</x:v>
      </x:c>
      <x:c r="E23" s="9" t="n">
        <x:v>0</x:v>
      </x:c>
      <x:c r="F23" s="9" t="n">
        <x:v>0</x:v>
      </x:c>
      <x:c r="G23" s="11" t="n">
        <x:f>SUM(D23:F23)</x:f>
        <x:v>7200</x:v>
      </x:c>
      <x:c r="H23" s="10" t="n">
        <x:v>0.9</x:v>
      </x:c>
      <x:c r="I23" s="11" t="n">
        <x:f>IF(ISNUMBER(H23),ROUND(D23*H23,2),NA())</x:f>
        <x:v>6480</x:v>
      </x:c>
      <x:c r="J23" s="2" t="str">
        <x:v>Ordnungsgemäßer Verlauf</x:v>
      </x:c>
      <x:c r="K23" s="2" t="str">
        <x:v>APB-0018_02_Kontojournal.pdf</x:v>
      </x:c>
    </x:row>
    <x:row r="24" ht="29" customHeight="1">
      <x:c r="A24" s="2" t="str">
        <x:v>APB-0019</x:v>
      </x:c>
      <x:c r="B24" s="2" t="str">
        <x:v>Lotte Izumi Greifenstein</x:v>
      </x:c>
      <x:c r="C24" s="2" t="str">
        <x:v>Detailakte</x:v>
      </x:c>
      <x:c r="D24" s="9" t="n">
        <x:v>12500</x:v>
      </x:c>
      <x:c r="E24" s="9" t="n">
        <x:v>362.5</x:v>
      </x:c>
      <x:c r="F24" s="9" t="n">
        <x:v>0</x:v>
      </x:c>
      <x:c r="G24" s="11" t="n">
        <x:f>SUM(D24:F24)</x:f>
        <x:v>12862.5</x:v>
      </x:c>
      <x:c r="H24" s="10" t="n">
        <x:v>0.55</x:v>
      </x:c>
      <x:c r="I24" s="11" t="n">
        <x:f>IF(ISNUMBER(H24),ROUND(D24*H24,2),NA())</x:f>
        <x:v>6875</x:v>
      </x:c>
      <x:c r="J24" s="2" t="str">
        <x:v>Vergleich und bedingter Erlass</x:v>
      </x:c>
      <x:c r="K24" s="2" t="str">
        <x:v>APB-0019_02_Kontojournal.pdf</x:v>
      </x:c>
    </x:row>
    <x:row r="25" ht="29" customHeight="1">
      <x:c r="A25" s="2" t="str">
        <x:v>APB-0020</x:v>
      </x:c>
      <x:c r="B25" s="2" t="str">
        <x:v>Milo Wackernagel</x:v>
      </x:c>
      <x:c r="C25" s="2" t="str">
        <x:v>Detailakte</x:v>
      </x:c>
      <x:c r="D25" s="9" t="n">
        <x:v>4800</x:v>
      </x:c>
      <x:c r="E25" s="9" t="n">
        <x:v>0</x:v>
      </x:c>
      <x:c r="F25" s="9" t="n">
        <x:v>0</x:v>
      </x:c>
      <x:c r="G25" s="11" t="n">
        <x:f>SUM(D25:F25)</x:f>
        <x:v>4800</x:v>
      </x:c>
      <x:c r="H25" s="10" t="n">
        <x:v>0.9</x:v>
      </x:c>
      <x:c r="I25" s="11" t="n">
        <x:f>IF(ISNUMBER(H25),ROUND(D25*H25,2),NA())</x:f>
        <x:v>4320</x:v>
      </x:c>
      <x:c r="J25" s="2" t="str">
        <x:v>Altunterlagen und Zahlungsnachweis</x:v>
      </x:c>
      <x:c r="K25" s="2" t="str">
        <x:v>APB-0020_02_Kontojournal.pdf</x:v>
      </x:c>
    </x:row>
    <x:row r="26" ht="22" customHeight="1">
      <x:c r="A26" s="2" t="str">
        <x:v>APB-0021</x:v>
      </x:c>
      <x:c r="B26" s="2" t="str">
        <x:v>Bestandskunde 0021</x:v>
      </x:c>
      <x:c r="C26" s="2" t="str">
        <x:v>Nur Verkäuferexport</x:v>
      </x:c>
      <x:c r="D26" s="9" t="n">
        <x:v>8877</x:v>
      </x:c>
      <x:c r="E26" s="9" t="n">
        <x:v>19.5</x:v>
      </x:c>
      <x:c r="F26" s="9" t="n">
        <x:v>0</x:v>
      </x:c>
      <x:c r="G26" s="11" t="n">
        <x:f>SUM(D26:F26)</x:f>
        <x:v>8896.5</x:v>
      </x:c>
      <x:c r="H26" s="10" t="n">
        <x:v>0.92</x:v>
      </x:c>
      <x:c r="I26" s="11" t="n">
        <x:f>IF(ISNUMBER(H26),ROUND(D26*H26,2),NA())</x:f>
        <x:v>8166.84</x:v>
      </x:c>
      <x:c r="J26" s="2" t="str">
        <x:v>Regelbestand laut Verkäufer</x:v>
      </x:c>
      <x:c r="K26" s="2" t="str">
        <x:v>Export KREDIT-ERF-20260930, Einzelbelege nicht im Datenraum</x:v>
      </x:c>
    </x:row>
    <x:row r="27" ht="22" customHeight="1">
      <x:c r="A27" s="2" t="str">
        <x:v>APB-0022</x:v>
      </x:c>
      <x:c r="B27" s="2" t="str">
        <x:v>Bestandskunde 0022</x:v>
      </x:c>
      <x:c r="C27" s="2" t="str">
        <x:v>Nur Verkäuferexport</x:v>
      </x:c>
      <x:c r="D27" s="9" t="n">
        <x:v>9014</x:v>
      </x:c>
      <x:c r="E27" s="9" t="n">
        <x:v>26</x:v>
      </x:c>
      <x:c r="F27" s="9" t="n">
        <x:v>0</x:v>
      </x:c>
      <x:c r="G27" s="11" t="n">
        <x:f>SUM(D27:F27)</x:f>
        <x:v>9040</x:v>
      </x:c>
      <x:c r="H27" s="10" t="n">
        <x:v>0.92</x:v>
      </x:c>
      <x:c r="I27" s="11" t="n">
        <x:f>IF(ISNUMBER(H27),ROUND(D27*H27,2),NA())</x:f>
        <x:v>8292.88</x:v>
      </x:c>
      <x:c r="J27" s="2" t="str">
        <x:v>Regelbestand laut Verkäufer</x:v>
      </x:c>
      <x:c r="K27" s="2" t="str">
        <x:v>Export KREDIT-ERF-20260930, Einzelbelege nicht im Datenraum</x:v>
      </x:c>
    </x:row>
    <x:row r="28" ht="22" customHeight="1">
      <x:c r="A28" s="2" t="str">
        <x:v>APB-0023</x:v>
      </x:c>
      <x:c r="B28" s="2" t="str">
        <x:v>Bestandskunde 0023</x:v>
      </x:c>
      <x:c r="C28" s="2" t="str">
        <x:v>Nur Verkäuferexport</x:v>
      </x:c>
      <x:c r="D28" s="9" t="n">
        <x:v>9151</x:v>
      </x:c>
      <x:c r="E28" s="9" t="n">
        <x:v>32.5</x:v>
      </x:c>
      <x:c r="F28" s="9" t="n">
        <x:v>0</x:v>
      </x:c>
      <x:c r="G28" s="11" t="n">
        <x:f>SUM(D28:F28)</x:f>
        <x:v>9183.5</x:v>
      </x:c>
      <x:c r="H28" s="10" t="n">
        <x:v>0.92</x:v>
      </x:c>
      <x:c r="I28" s="11" t="n">
        <x:f>IF(ISNUMBER(H28),ROUND(D28*H28,2),NA())</x:f>
        <x:v>8418.92</x:v>
      </x:c>
      <x:c r="J28" s="2" t="str">
        <x:v>Regelbestand laut Verkäufer</x:v>
      </x:c>
      <x:c r="K28" s="2" t="str">
        <x:v>Export KREDIT-ERF-20260930, Einzelbelege nicht im Datenraum</x:v>
      </x:c>
    </x:row>
    <x:row r="29" ht="22" customHeight="1">
      <x:c r="A29" s="2" t="str">
        <x:v>APB-0024</x:v>
      </x:c>
      <x:c r="B29" s="2" t="str">
        <x:v>Bestandskunde 0024</x:v>
      </x:c>
      <x:c r="C29" s="2" t="str">
        <x:v>Nur Verkäuferexport</x:v>
      </x:c>
      <x:c r="D29" s="9" t="n">
        <x:v>9288</x:v>
      </x:c>
      <x:c r="E29" s="9" t="n">
        <x:v>39</x:v>
      </x:c>
      <x:c r="F29" s="9" t="n">
        <x:v>0</x:v>
      </x:c>
      <x:c r="G29" s="11" t="n">
        <x:f>SUM(D29:F29)</x:f>
        <x:v>9327</x:v>
      </x:c>
      <x:c r="H29" s="10" t="n">
        <x:v>0.92</x:v>
      </x:c>
      <x:c r="I29" s="11" t="n">
        <x:f>IF(ISNUMBER(H29),ROUND(D29*H29,2),NA())</x:f>
        <x:v>8544.96</x:v>
      </x:c>
      <x:c r="J29" s="2" t="str">
        <x:v>Regelbestand laut Verkäufer</x:v>
      </x:c>
      <x:c r="K29" s="2" t="str">
        <x:v>Export KREDIT-ERF-20260930, Einzelbelege nicht im Datenraum</x:v>
      </x:c>
    </x:row>
    <x:row r="30" ht="22" customHeight="1">
      <x:c r="A30" s="2" t="str">
        <x:v>APB-0025</x:v>
      </x:c>
      <x:c r="B30" s="2" t="str">
        <x:v>Bestandskunde 0025</x:v>
      </x:c>
      <x:c r="C30" s="2" t="str">
        <x:v>Nur Verkäuferexport</x:v>
      </x:c>
      <x:c r="D30" s="9" t="n">
        <x:v>9425</x:v>
      </x:c>
      <x:c r="E30" s="9" t="n">
        <x:v>45.5</x:v>
      </x:c>
      <x:c r="F30" s="9" t="n">
        <x:v>0</x:v>
      </x:c>
      <x:c r="G30" s="11" t="n">
        <x:f>SUM(D30:F30)</x:f>
        <x:v>9470.5</x:v>
      </x:c>
      <x:c r="H30" s="10" t="n">
        <x:v>0.92</x:v>
      </x:c>
      <x:c r="I30" s="11" t="n">
        <x:f>IF(ISNUMBER(H30),ROUND(D30*H30,2),NA())</x:f>
        <x:v>8671</x:v>
      </x:c>
      <x:c r="J30" s="2" t="str">
        <x:v>Regelbestand laut Verkäufer</x:v>
      </x:c>
      <x:c r="K30" s="2" t="str">
        <x:v>Export KREDIT-ERF-20260930, Einzelbelege nicht im Datenraum</x:v>
      </x:c>
    </x:row>
    <x:row r="31" ht="22" customHeight="1">
      <x:c r="A31" s="2" t="str">
        <x:v>APB-0026</x:v>
      </x:c>
      <x:c r="B31" s="2" t="str">
        <x:v>Bestandskunde 0026</x:v>
      </x:c>
      <x:c r="C31" s="2" t="str">
        <x:v>Nur Verkäuferexport</x:v>
      </x:c>
      <x:c r="D31" s="9" t="n">
        <x:v>9562</x:v>
      </x:c>
      <x:c r="E31" s="9" t="n">
        <x:v>52</x:v>
      </x:c>
      <x:c r="F31" s="9" t="n">
        <x:v>0</x:v>
      </x:c>
      <x:c r="G31" s="11" t="n">
        <x:f>SUM(D31:F31)</x:f>
        <x:v>9614</x:v>
      </x:c>
      <x:c r="H31" s="10" t="n">
        <x:v>0.92</x:v>
      </x:c>
      <x:c r="I31" s="11" t="n">
        <x:f>IF(ISNUMBER(H31),ROUND(D31*H31,2),NA())</x:f>
        <x:v>8797.04</x:v>
      </x:c>
      <x:c r="J31" s="2" t="str">
        <x:v>Regelbestand laut Verkäufer</x:v>
      </x:c>
      <x:c r="K31" s="2" t="str">
        <x:v>Export KREDIT-ERF-20260930, Einzelbelege nicht im Datenraum</x:v>
      </x:c>
    </x:row>
    <x:row r="32" ht="22" customHeight="1">
      <x:c r="A32" s="2" t="str">
        <x:v>APB-0027</x:v>
      </x:c>
      <x:c r="B32" s="2" t="str">
        <x:v>Bestandskunde 0027</x:v>
      </x:c>
      <x:c r="C32" s="2" t="str">
        <x:v>Nur Verkäuferexport</x:v>
      </x:c>
      <x:c r="D32" s="9" t="n">
        <x:v>9699</x:v>
      </x:c>
      <x:c r="E32" s="9" t="n">
        <x:v>0</x:v>
      </x:c>
      <x:c r="F32" s="9" t="n">
        <x:v>0</x:v>
      </x:c>
      <x:c r="G32" s="11" t="n">
        <x:f>SUM(D32:F32)</x:f>
        <x:v>9699</x:v>
      </x:c>
      <x:c r="H32" s="10" t="n">
        <x:v>0.92</x:v>
      </x:c>
      <x:c r="I32" s="11" t="n">
        <x:f>IF(ISNUMBER(H32),ROUND(D32*H32,2),NA())</x:f>
        <x:v>8923.08</x:v>
      </x:c>
      <x:c r="J32" s="2" t="str">
        <x:v>Regelbestand laut Verkäufer</x:v>
      </x:c>
      <x:c r="K32" s="2" t="str">
        <x:v>Export KREDIT-ERF-20260930, Einzelbelege nicht im Datenraum</x:v>
      </x:c>
    </x:row>
    <x:row r="33" ht="22" customHeight="1">
      <x:c r="A33" s="2" t="str">
        <x:v>APB-0028</x:v>
      </x:c>
      <x:c r="B33" s="2" t="str">
        <x:v>Bestandskunde 0028</x:v>
      </x:c>
      <x:c r="C33" s="2" t="str">
        <x:v>Nur Verkäuferexport</x:v>
      </x:c>
      <x:c r="D33" s="9" t="n">
        <x:v>9836</x:v>
      </x:c>
      <x:c r="E33" s="9" t="n">
        <x:v>6.5</x:v>
      </x:c>
      <x:c r="F33" s="9" t="n">
        <x:v>0</x:v>
      </x:c>
      <x:c r="G33" s="11" t="n">
        <x:f>SUM(D33:F33)</x:f>
        <x:v>9842.5</x:v>
      </x:c>
      <x:c r="H33" s="10" t="n">
        <x:v>0.92</x:v>
      </x:c>
      <x:c r="I33" s="11" t="n">
        <x:f>IF(ISNUMBER(H33),ROUND(D33*H33,2),NA())</x:f>
        <x:v>9049.12</x:v>
      </x:c>
      <x:c r="J33" s="2" t="str">
        <x:v>Regelbestand laut Verkäufer</x:v>
      </x:c>
      <x:c r="K33" s="2" t="str">
        <x:v>Export KREDIT-ERF-20260930, Einzelbelege nicht im Datenraum</x:v>
      </x:c>
    </x:row>
    <x:row r="34" ht="22" customHeight="1">
      <x:c r="A34" s="2" t="str">
        <x:v>APB-0029</x:v>
      </x:c>
      <x:c r="B34" s="2" t="str">
        <x:v>Bestandskunde 0029</x:v>
      </x:c>
      <x:c r="C34" s="2" t="str">
        <x:v>Nur Verkäuferexport</x:v>
      </x:c>
      <x:c r="D34" s="9" t="n">
        <x:v>9973</x:v>
      </x:c>
      <x:c r="E34" s="9" t="n">
        <x:v>13</x:v>
      </x:c>
      <x:c r="F34" s="9" t="n">
        <x:v>15</x:v>
      </x:c>
      <x:c r="G34" s="11" t="n">
        <x:f>SUM(D34:F34)</x:f>
        <x:v>10001</x:v>
      </x:c>
      <x:c r="H34" s="10" t="n">
        <x:v>0.92</x:v>
      </x:c>
      <x:c r="I34" s="11" t="n">
        <x:f>IF(ISNUMBER(H34),ROUND(D34*H34,2),NA())</x:f>
        <x:v>9175.16</x:v>
      </x:c>
      <x:c r="J34" s="2" t="str">
        <x:v>Zahlungslücke im Export</x:v>
      </x:c>
      <x:c r="K34" s="2" t="str">
        <x:v>Export KREDIT-ERF-20260930, Einzelbelege nicht im Datenraum</x:v>
      </x:c>
    </x:row>
    <x:row r="35" ht="22" customHeight="1">
      <x:c r="A35" s="2" t="str">
        <x:v>APB-0030</x:v>
      </x:c>
      <x:c r="B35" s="2" t="str">
        <x:v>Bestandskunde 0030</x:v>
      </x:c>
      <x:c r="C35" s="2" t="str">
        <x:v>Nur Verkäuferexport</x:v>
      </x:c>
      <x:c r="D35" s="9" t="n">
        <x:v>10110</x:v>
      </x:c>
      <x:c r="E35" s="9" t="n">
        <x:v>19.5</x:v>
      </x:c>
      <x:c r="F35" s="9" t="n">
        <x:v>0</x:v>
      </x:c>
      <x:c r="G35" s="11" t="n">
        <x:f>SUM(D35:F35)</x:f>
        <x:v>10129.5</x:v>
      </x:c>
      <x:c r="H35" s="10" t="n">
        <x:v>0.92</x:v>
      </x:c>
      <x:c r="I35" s="11" t="n">
        <x:f>IF(ISNUMBER(H35),ROUND(D35*H35,2),NA())</x:f>
        <x:v>9301.2</x:v>
      </x:c>
      <x:c r="J35" s="2" t="str">
        <x:v>Regelbestand laut Verkäufer</x:v>
      </x:c>
      <x:c r="K35" s="2" t="str">
        <x:v>Export KREDIT-ERF-20260930, Einzelbelege nicht im Datenraum</x:v>
      </x:c>
    </x:row>
    <x:row r="36" ht="22" customHeight="1">
      <x:c r="A36" s="2" t="str">
        <x:v>APB-0031</x:v>
      </x:c>
      <x:c r="B36" s="2" t="str">
        <x:v>Bestandskunde 0031</x:v>
      </x:c>
      <x:c r="C36" s="2" t="str">
        <x:v>Nur Verkäuferexport</x:v>
      </x:c>
      <x:c r="D36" s="9" t="n">
        <x:v>10247</x:v>
      </x:c>
      <x:c r="E36" s="9" t="n">
        <x:v>26</x:v>
      </x:c>
      <x:c r="F36" s="9" t="n">
        <x:v>0</x:v>
      </x:c>
      <x:c r="G36" s="11" t="n">
        <x:f>SUM(D36:F36)</x:f>
        <x:v>10273</x:v>
      </x:c>
      <x:c r="H36" s="10" t="n">
        <x:v>0.92</x:v>
      </x:c>
      <x:c r="I36" s="11" t="n">
        <x:f>IF(ISNUMBER(H36),ROUND(D36*H36,2),NA())</x:f>
        <x:v>9427.24</x:v>
      </x:c>
      <x:c r="J36" s="2" t="str">
        <x:v>Regelbestand laut Verkäufer</x:v>
      </x:c>
      <x:c r="K36" s="2" t="str">
        <x:v>Export KREDIT-ERF-20260930, Einzelbelege nicht im Datenraum</x:v>
      </x:c>
    </x:row>
    <x:row r="37" ht="22" customHeight="1">
      <x:c r="A37" s="2" t="str">
        <x:v>APB-0032</x:v>
      </x:c>
      <x:c r="B37" s="2" t="str">
        <x:v>Bestandskunde 0032</x:v>
      </x:c>
      <x:c r="C37" s="2" t="str">
        <x:v>Nur Verkäuferexport</x:v>
      </x:c>
      <x:c r="D37" s="9" t="n">
        <x:v>10384</x:v>
      </x:c>
      <x:c r="E37" s="9" t="n">
        <x:v>32.5</x:v>
      </x:c>
      <x:c r="F37" s="9" t="n">
        <x:v>0</x:v>
      </x:c>
      <x:c r="G37" s="11" t="n">
        <x:f>SUM(D37:F37)</x:f>
        <x:v>10416.5</x:v>
      </x:c>
      <x:c r="H37" s="10" t="n">
        <x:v>0.92</x:v>
      </x:c>
      <x:c r="I37" s="11" t="n">
        <x:f>IF(ISNUMBER(H37),ROUND(D37*H37,2),NA())</x:f>
        <x:v>9553.28</x:v>
      </x:c>
      <x:c r="J37" s="2" t="str">
        <x:v>Regelbestand laut Verkäufer</x:v>
      </x:c>
      <x:c r="K37" s="2" t="str">
        <x:v>Export KREDIT-ERF-20260930, Einzelbelege nicht im Datenraum</x:v>
      </x:c>
    </x:row>
    <x:row r="38" ht="22" customHeight="1">
      <x:c r="A38" s="2" t="str">
        <x:v>APB-0033</x:v>
      </x:c>
      <x:c r="B38" s="2" t="str">
        <x:v>Bestandskunde 0033</x:v>
      </x:c>
      <x:c r="C38" s="2" t="str">
        <x:v>Nur Verkäuferexport</x:v>
      </x:c>
      <x:c r="D38" s="9" t="n">
        <x:v>10521</x:v>
      </x:c>
      <x:c r="E38" s="9" t="n">
        <x:v>39</x:v>
      </x:c>
      <x:c r="F38" s="9" t="n">
        <x:v>0</x:v>
      </x:c>
      <x:c r="G38" s="11" t="n">
        <x:f>SUM(D38:F38)</x:f>
        <x:v>10560</x:v>
      </x:c>
      <x:c r="H38" s="10" t="n">
        <x:v>0.92</x:v>
      </x:c>
      <x:c r="I38" s="11" t="n">
        <x:f>IF(ISNUMBER(H38),ROUND(D38*H38,2),NA())</x:f>
        <x:v>9679.32</x:v>
      </x:c>
      <x:c r="J38" s="2" t="str">
        <x:v>Regelbestand laut Verkäufer</x:v>
      </x:c>
      <x:c r="K38" s="2" t="str">
        <x:v>Export KREDIT-ERF-20260930, Einzelbelege nicht im Datenraum</x:v>
      </x:c>
    </x:row>
    <x:row r="39" ht="22" customHeight="1">
      <x:c r="A39" s="2" t="str">
        <x:v>APB-0034</x:v>
      </x:c>
      <x:c r="B39" s="2" t="str">
        <x:v>Bestandskunde 0034</x:v>
      </x:c>
      <x:c r="C39" s="2" t="str">
        <x:v>Nur Verkäuferexport</x:v>
      </x:c>
      <x:c r="D39" s="9" t="n">
        <x:v>10658</x:v>
      </x:c>
      <x:c r="E39" s="9" t="n">
        <x:v>45.5</x:v>
      </x:c>
      <x:c r="F39" s="9" t="n">
        <x:v>0</x:v>
      </x:c>
      <x:c r="G39" s="11" t="n">
        <x:f>SUM(D39:F39)</x:f>
        <x:v>10703.5</x:v>
      </x:c>
      <x:c r="H39" s="10" t="n">
        <x:v>0.92</x:v>
      </x:c>
      <x:c r="I39" s="11" t="n">
        <x:f>IF(ISNUMBER(H39),ROUND(D39*H39,2),NA())</x:f>
        <x:v>9805.36</x:v>
      </x:c>
      <x:c r="J39" s="2" t="str">
        <x:v>Regelbestand laut Verkäufer</x:v>
      </x:c>
      <x:c r="K39" s="2" t="str">
        <x:v>Export KREDIT-ERF-20260930, Einzelbelege nicht im Datenraum</x:v>
      </x:c>
    </x:row>
    <x:row r="40" ht="22" customHeight="1">
      <x:c r="A40" s="2" t="str">
        <x:v>APB-0035</x:v>
      </x:c>
      <x:c r="B40" s="2" t="str">
        <x:v>Bestandskunde 0035</x:v>
      </x:c>
      <x:c r="C40" s="2" t="str">
        <x:v>Nur Verkäuferexport</x:v>
      </x:c>
      <x:c r="D40" s="9" t="n">
        <x:v>10795</x:v>
      </x:c>
      <x:c r="E40" s="9" t="n">
        <x:v>52</x:v>
      </x:c>
      <x:c r="F40" s="9" t="n">
        <x:v>0</x:v>
      </x:c>
      <x:c r="G40" s="11" t="n">
        <x:f>SUM(D40:F40)</x:f>
        <x:v>10847</x:v>
      </x:c>
      <x:c r="H40" s="10" t="n">
        <x:v>0.92</x:v>
      </x:c>
      <x:c r="I40" s="11" t="n">
        <x:f>IF(ISNUMBER(H40),ROUND(D40*H40,2),NA())</x:f>
        <x:v>9931.4</x:v>
      </x:c>
      <x:c r="J40" s="2" t="str">
        <x:v>Regelbestand laut Verkäufer</x:v>
      </x:c>
      <x:c r="K40" s="2" t="str">
        <x:v>Export KREDIT-ERF-20260930, Einzelbelege nicht im Datenraum</x:v>
      </x:c>
    </x:row>
    <x:row r="41" ht="22" customHeight="1">
      <x:c r="A41" s="2" t="str">
        <x:v>APB-0036</x:v>
      </x:c>
      <x:c r="B41" s="2" t="str">
        <x:v>Bestandskunde 0036</x:v>
      </x:c>
      <x:c r="C41" s="2" t="str">
        <x:v>Nur Verkäuferexport</x:v>
      </x:c>
      <x:c r="D41" s="9" t="n">
        <x:v>10932</x:v>
      </x:c>
      <x:c r="E41" s="9" t="n">
        <x:v>0</x:v>
      </x:c>
      <x:c r="F41" s="9" t="n">
        <x:v>0</x:v>
      </x:c>
      <x:c r="G41" s="11" t="n">
        <x:f>SUM(D41:F41)</x:f>
        <x:v>10932</x:v>
      </x:c>
      <x:c r="H41" s="10" t="n">
        <x:v>0.92</x:v>
      </x:c>
      <x:c r="I41" s="11" t="n">
        <x:f>IF(ISNUMBER(H41),ROUND(D41*H41,2),NA())</x:f>
        <x:v>10057.44</x:v>
      </x:c>
      <x:c r="J41" s="2" t="str">
        <x:v>Regelbestand laut Verkäufer</x:v>
      </x:c>
      <x:c r="K41" s="2" t="str">
        <x:v>Export KREDIT-ERF-20260930, Einzelbelege nicht im Datenraum</x:v>
      </x:c>
    </x:row>
    <x:row r="42" ht="22" customHeight="1">
      <x:c r="A42" s="2" t="str">
        <x:v>APB-0037</x:v>
      </x:c>
      <x:c r="B42" s="2" t="str">
        <x:v>Bestandskunde 0037</x:v>
      </x:c>
      <x:c r="C42" s="2" t="str">
        <x:v>Nur Verkäuferexport</x:v>
      </x:c>
      <x:c r="D42" s="9" t="n">
        <x:v>11069</x:v>
      </x:c>
      <x:c r="E42" s="9" t="n">
        <x:v>6.5</x:v>
      </x:c>
      <x:c r="F42" s="9" t="n">
        <x:v>0</x:v>
      </x:c>
      <x:c r="G42" s="11" t="n">
        <x:f>SUM(D42:F42)</x:f>
        <x:v>11075.5</x:v>
      </x:c>
      <x:c r="H42" s="10" t="n">
        <x:v>0.92</x:v>
      </x:c>
      <x:c r="I42" s="11" t="n">
        <x:f>IF(ISNUMBER(H42),ROUND(D42*H42,2),NA())</x:f>
        <x:v>10183.48</x:v>
      </x:c>
      <x:c r="J42" s="2" t="str">
        <x:v>Regelbestand laut Verkäufer</x:v>
      </x:c>
      <x:c r="K42" s="2" t="str">
        <x:v>Export KREDIT-ERF-20260930, Einzelbelege nicht im Datenraum</x:v>
      </x:c>
    </x:row>
    <x:row r="43" ht="22" customHeight="1">
      <x:c r="A43" s="2" t="str">
        <x:v>APB-0038</x:v>
      </x:c>
      <x:c r="B43" s="2" t="str">
        <x:v>Bestandskunde 0038</x:v>
      </x:c>
      <x:c r="C43" s="2" t="str">
        <x:v>Nur Verkäuferexport</x:v>
      </x:c>
      <x:c r="D43" s="9" t="n">
        <x:v>11206</x:v>
      </x:c>
      <x:c r="E43" s="9" t="n">
        <x:v>13</x:v>
      </x:c>
      <x:c r="F43" s="9" t="n">
        <x:v>0</x:v>
      </x:c>
      <x:c r="G43" s="11" t="n">
        <x:f>SUM(D43:F43)</x:f>
        <x:v>11219</x:v>
      </x:c>
      <x:c r="H43" s="10" t="n">
        <x:v>0.92</x:v>
      </x:c>
      <x:c r="I43" s="11" t="n">
        <x:f>IF(ISNUMBER(H43),ROUND(D43*H43,2),NA())</x:f>
        <x:v>10309.52</x:v>
      </x:c>
      <x:c r="J43" s="2" t="str">
        <x:v>Regelbestand laut Verkäufer</x:v>
      </x:c>
      <x:c r="K43" s="2" t="str">
        <x:v>Export KREDIT-ERF-20260930, Einzelbelege nicht im Datenraum</x:v>
      </x:c>
    </x:row>
    <x:row r="44" ht="22" customHeight="1">
      <x:c r="A44" s="2" t="str">
        <x:v>APB-0039</x:v>
      </x:c>
      <x:c r="B44" s="2" t="str">
        <x:v>Bestandskunde 0039</x:v>
      </x:c>
      <x:c r="C44" s="2" t="str">
        <x:v>Nur Verkäuferexport</x:v>
      </x:c>
      <x:c r="D44" s="9" t="n">
        <x:v>11343</x:v>
      </x:c>
      <x:c r="E44" s="9" t="n">
        <x:v>19.5</x:v>
      </x:c>
      <x:c r="F44" s="9" t="n">
        <x:v>0</x:v>
      </x:c>
      <x:c r="G44" s="11" t="n">
        <x:f>SUM(D44:F44)</x:f>
        <x:v>11362.5</x:v>
      </x:c>
      <x:c r="H44" s="10" t="n">
        <x:v>0.92</x:v>
      </x:c>
      <x:c r="I44" s="11" t="n">
        <x:f>IF(ISNUMBER(H44),ROUND(D44*H44,2),NA())</x:f>
        <x:v>10435.56</x:v>
      </x:c>
      <x:c r="J44" s="2" t="str">
        <x:v>Regelbestand laut Verkäufer</x:v>
      </x:c>
      <x:c r="K44" s="2" t="str">
        <x:v>Export KREDIT-ERF-20260930, Einzelbelege nicht im Datenraum</x:v>
      </x:c>
    </x:row>
    <x:row r="45" ht="22" customHeight="1">
      <x:c r="A45" s="2" t="str">
        <x:v>APB-0040</x:v>
      </x:c>
      <x:c r="B45" s="2" t="str">
        <x:v>Bestandskunde 0040</x:v>
      </x:c>
      <x:c r="C45" s="2" t="str">
        <x:v>Nur Verkäuferexport</x:v>
      </x:c>
      <x:c r="D45" s="9" t="n">
        <x:v>11480</x:v>
      </x:c>
      <x:c r="E45" s="9" t="n">
        <x:v>26</x:v>
      </x:c>
      <x:c r="F45" s="9" t="n">
        <x:v>0</x:v>
      </x:c>
      <x:c r="G45" s="11" t="n">
        <x:f>SUM(D45:F45)</x:f>
        <x:v>11506</x:v>
      </x:c>
      <x:c r="H45" s="10" t="n">
        <x:v>0.92</x:v>
      </x:c>
      <x:c r="I45" s="11" t="n">
        <x:f>IF(ISNUMBER(H45),ROUND(D45*H45,2),NA())</x:f>
        <x:v>10561.6</x:v>
      </x:c>
      <x:c r="J45" s="2" t="str">
        <x:v>Regelbestand laut Verkäufer</x:v>
      </x:c>
      <x:c r="K45" s="2" t="str">
        <x:v>Export KREDIT-ERF-20260930, Einzelbelege nicht im Datenraum</x:v>
      </x:c>
    </x:row>
    <x:row r="46" ht="22" customHeight="1">
      <x:c r="A46" s="2" t="str">
        <x:v>APB-0041</x:v>
      </x:c>
      <x:c r="B46" s="2" t="str">
        <x:v>Bestandskunde 0041</x:v>
      </x:c>
      <x:c r="C46" s="2" t="str">
        <x:v>Nur Verkäuferexport</x:v>
      </x:c>
      <x:c r="D46" s="9" t="n">
        <x:v>11617</x:v>
      </x:c>
      <x:c r="E46" s="9" t="n">
        <x:v>32.5</x:v>
      </x:c>
      <x:c r="F46" s="9" t="n">
        <x:v>0</x:v>
      </x:c>
      <x:c r="G46" s="11" t="n">
        <x:f>SUM(D46:F46)</x:f>
        <x:v>11649.5</x:v>
      </x:c>
      <x:c r="H46" s="10" t="n">
        <x:v>0.92</x:v>
      </x:c>
      <x:c r="I46" s="11" t="n">
        <x:f>IF(ISNUMBER(H46),ROUND(D46*H46,2),NA())</x:f>
        <x:v>10687.64</x:v>
      </x:c>
      <x:c r="J46" s="2" t="str">
        <x:v>Regelbestand laut Verkäufer</x:v>
      </x:c>
      <x:c r="K46" s="2" t="str">
        <x:v>Export KREDIT-ERF-20260930, Einzelbelege nicht im Datenraum</x:v>
      </x:c>
    </x:row>
    <x:row r="47" ht="22" customHeight="1">
      <x:c r="A47" s="2" t="str">
        <x:v>APB-0042</x:v>
      </x:c>
      <x:c r="B47" s="2" t="str">
        <x:v>Bestandskunde 0042</x:v>
      </x:c>
      <x:c r="C47" s="2" t="str">
        <x:v>Nur Verkäuferexport</x:v>
      </x:c>
      <x:c r="D47" s="9" t="n">
        <x:v>11754</x:v>
      </x:c>
      <x:c r="E47" s="9" t="n">
        <x:v>39</x:v>
      </x:c>
      <x:c r="F47" s="9" t="n">
        <x:v>0</x:v>
      </x:c>
      <x:c r="G47" s="11" t="n">
        <x:f>SUM(D47:F47)</x:f>
        <x:v>11793</x:v>
      </x:c>
      <x:c r="H47" s="10" t="n">
        <x:v>0.92</x:v>
      </x:c>
      <x:c r="I47" s="11" t="n">
        <x:f>IF(ISNUMBER(H47),ROUND(D47*H47,2),NA())</x:f>
        <x:v>10813.68</x:v>
      </x:c>
      <x:c r="J47" s="2" t="str">
        <x:v>Regelbestand laut Verkäufer</x:v>
      </x:c>
      <x:c r="K47" s="2" t="str">
        <x:v>Export KREDIT-ERF-20260930, Einzelbelege nicht im Datenraum</x:v>
      </x:c>
    </x:row>
    <x:row r="48" ht="22" customHeight="1">
      <x:c r="A48" s="2" t="str">
        <x:v>APB-0043</x:v>
      </x:c>
      <x:c r="B48" s="2" t="str">
        <x:v>Bestandskunde 0043</x:v>
      </x:c>
      <x:c r="C48" s="2" t="str">
        <x:v>Nur Verkäuferexport</x:v>
      </x:c>
      <x:c r="D48" s="9" t="n">
        <x:v>11891</x:v>
      </x:c>
      <x:c r="E48" s="9" t="n">
        <x:v>45.5</x:v>
      </x:c>
      <x:c r="F48" s="9" t="n">
        <x:v>0</x:v>
      </x:c>
      <x:c r="G48" s="11" t="n">
        <x:f>SUM(D48:F48)</x:f>
        <x:v>11936.5</x:v>
      </x:c>
      <x:c r="H48" s="10" t="n">
        <x:v>0.92</x:v>
      </x:c>
      <x:c r="I48" s="11" t="n">
        <x:f>IF(ISNUMBER(H48),ROUND(D48*H48,2),NA())</x:f>
        <x:v>10939.72</x:v>
      </x:c>
      <x:c r="J48" s="2" t="str">
        <x:v>Regelbestand laut Verkäufer</x:v>
      </x:c>
      <x:c r="K48" s="2" t="str">
        <x:v>Export KREDIT-ERF-20260930, Einzelbelege nicht im Datenraum</x:v>
      </x:c>
    </x:row>
    <x:row r="49" ht="22" customHeight="1">
      <x:c r="A49" s="2" t="str">
        <x:v>APB-0044</x:v>
      </x:c>
      <x:c r="B49" s="2" t="str">
        <x:v>Bestandskunde 0044</x:v>
      </x:c>
      <x:c r="C49" s="2" t="str">
        <x:v>Nur Verkäuferexport</x:v>
      </x:c>
      <x:c r="D49" s="9" t="n">
        <x:v>12028</x:v>
      </x:c>
      <x:c r="E49" s="9" t="n">
        <x:v>52</x:v>
      </x:c>
      <x:c r="F49" s="9" t="n">
        <x:v>0</x:v>
      </x:c>
      <x:c r="G49" s="11" t="n">
        <x:f>SUM(D49:F49)</x:f>
        <x:v>12080</x:v>
      </x:c>
      <x:c r="H49" s="10" t="n">
        <x:v>0.92</x:v>
      </x:c>
      <x:c r="I49" s="11" t="n">
        <x:f>IF(ISNUMBER(H49),ROUND(D49*H49,2),NA())</x:f>
        <x:v>11065.76</x:v>
      </x:c>
      <x:c r="J49" s="2" t="str">
        <x:v>Regelbestand laut Verkäufer</x:v>
      </x:c>
      <x:c r="K49" s="2" t="str">
        <x:v>Export KREDIT-ERF-20260930, Einzelbelege nicht im Datenraum</x:v>
      </x:c>
    </x:row>
    <x:row r="50" ht="22" customHeight="1">
      <x:c r="A50" s="2" t="str">
        <x:v>APB-0045</x:v>
      </x:c>
      <x:c r="B50" s="2" t="str">
        <x:v>Bestandskunde 0045</x:v>
      </x:c>
      <x:c r="C50" s="2" t="str">
        <x:v>Nur Verkäuferexport</x:v>
      </x:c>
      <x:c r="D50" s="9" t="n">
        <x:v>12165</x:v>
      </x:c>
      <x:c r="E50" s="9" t="n">
        <x:v>0</x:v>
      </x:c>
      <x:c r="F50" s="9" t="n">
        <x:v>0</x:v>
      </x:c>
      <x:c r="G50" s="11" t="n">
        <x:f>SUM(D50:F50)</x:f>
        <x:v>12165</x:v>
      </x:c>
      <x:c r="H50" s="10" t="n">
        <x:v>0.92</x:v>
      </x:c>
      <x:c r="I50" s="11" t="n">
        <x:f>IF(ISNUMBER(H50),ROUND(D50*H50,2),NA())</x:f>
        <x:v>11191.8</x:v>
      </x:c>
      <x:c r="J50" s="2" t="str">
        <x:v>Regelbestand laut Verkäufer</x:v>
      </x:c>
      <x:c r="K50" s="2" t="str">
        <x:v>Export KREDIT-ERF-20260930, Einzelbelege nicht im Datenraum</x:v>
      </x:c>
    </x:row>
    <x:row r="51" ht="22" customHeight="1">
      <x:c r="A51" s="2" t="str">
        <x:v>APB-0046</x:v>
      </x:c>
      <x:c r="B51" s="2" t="str">
        <x:v>Bestandskunde 0046</x:v>
      </x:c>
      <x:c r="C51" s="2" t="str">
        <x:v>Nur Verkäuferexport</x:v>
      </x:c>
      <x:c r="D51" s="9" t="n">
        <x:v>12302</x:v>
      </x:c>
      <x:c r="E51" s="9" t="n">
        <x:v>6.5</x:v>
      </x:c>
      <x:c r="F51" s="9" t="n">
        <x:v>0</x:v>
      </x:c>
      <x:c r="G51" s="11" t="n">
        <x:f>SUM(D51:F51)</x:f>
        <x:v>12308.5</x:v>
      </x:c>
      <x:c r="H51" s="10" t="n">
        <x:v>0.92</x:v>
      </x:c>
      <x:c r="I51" s="11" t="n">
        <x:f>IF(ISNUMBER(H51),ROUND(D51*H51,2),NA())</x:f>
        <x:v>11317.84</x:v>
      </x:c>
      <x:c r="J51" s="2" t="str">
        <x:v>Regelbestand laut Verkäufer</x:v>
      </x:c>
      <x:c r="K51" s="2" t="str">
        <x:v>Export KREDIT-ERF-20260930, Einzelbelege nicht im Datenraum</x:v>
      </x:c>
    </x:row>
    <x:row r="52" ht="22" customHeight="1">
      <x:c r="A52" s="2" t="str">
        <x:v>APB-0047</x:v>
      </x:c>
      <x:c r="B52" s="2" t="str">
        <x:v>Bestandskunde 0047</x:v>
      </x:c>
      <x:c r="C52" s="2" t="str">
        <x:v>Nur Verkäuferexport</x:v>
      </x:c>
      <x:c r="D52" s="9" t="n">
        <x:v>12439</x:v>
      </x:c>
      <x:c r="E52" s="9" t="n">
        <x:v>13</x:v>
      </x:c>
      <x:c r="F52" s="9" t="n">
        <x:v>0</x:v>
      </x:c>
      <x:c r="G52" s="11" t="n">
        <x:f>SUM(D52:F52)</x:f>
        <x:v>12452</x:v>
      </x:c>
      <x:c r="H52" s="10" t="n">
        <x:v>0.92</x:v>
      </x:c>
      <x:c r="I52" s="11" t="n">
        <x:f>IF(ISNUMBER(H52),ROUND(D52*H52,2),NA())</x:f>
        <x:v>11443.88</x:v>
      </x:c>
      <x:c r="J52" s="2" t="str">
        <x:v>Regelbestand laut Verkäufer</x:v>
      </x:c>
      <x:c r="K52" s="2" t="str">
        <x:v>Export KREDIT-ERF-20260930, Einzelbelege nicht im Datenraum</x:v>
      </x:c>
    </x:row>
    <x:row r="53" ht="22" customHeight="1">
      <x:c r="A53" s="2" t="str">
        <x:v>APB-0048</x:v>
      </x:c>
      <x:c r="B53" s="2" t="str">
        <x:v>Bestandskunde 0048</x:v>
      </x:c>
      <x:c r="C53" s="2" t="str">
        <x:v>Nur Verkäuferexport</x:v>
      </x:c>
      <x:c r="D53" s="9" t="n">
        <x:v>12576</x:v>
      </x:c>
      <x:c r="E53" s="9" t="n">
        <x:v>19.5</x:v>
      </x:c>
      <x:c r="F53" s="9" t="n">
        <x:v>0</x:v>
      </x:c>
      <x:c r="G53" s="11" t="n">
        <x:f>SUM(D53:F53)</x:f>
        <x:v>12595.5</x:v>
      </x:c>
      <x:c r="H53" s="10" t="n">
        <x:v>0.92</x:v>
      </x:c>
      <x:c r="I53" s="11" t="n">
        <x:f>IF(ISNUMBER(H53),ROUND(D53*H53,2),NA())</x:f>
        <x:v>11569.92</x:v>
      </x:c>
      <x:c r="J53" s="2" t="str">
        <x:v>Regelbestand laut Verkäufer</x:v>
      </x:c>
      <x:c r="K53" s="2" t="str">
        <x:v>Export KREDIT-ERF-20260930, Einzelbelege nicht im Datenraum</x:v>
      </x:c>
    </x:row>
    <x:row r="54" ht="22" customHeight="1">
      <x:c r="A54" s="2" t="str">
        <x:v>APB-0049</x:v>
      </x:c>
      <x:c r="B54" s="2" t="str">
        <x:v>Bestandskunde 0049</x:v>
      </x:c>
      <x:c r="C54" s="2" t="str">
        <x:v>Nur Verkäuferexport</x:v>
      </x:c>
      <x:c r="D54" s="9" t="n">
        <x:v>12713</x:v>
      </x:c>
      <x:c r="E54" s="9" t="n">
        <x:v>26</x:v>
      </x:c>
      <x:c r="F54" s="9" t="n">
        <x:v>0</x:v>
      </x:c>
      <x:c r="G54" s="11" t="n">
        <x:f>SUM(D54:F54)</x:f>
        <x:v>12739</x:v>
      </x:c>
      <x:c r="H54" s="10" t="n">
        <x:v>0.92</x:v>
      </x:c>
      <x:c r="I54" s="11" t="n">
        <x:f>IF(ISNUMBER(H54),ROUND(D54*H54,2),NA())</x:f>
        <x:v>11695.96</x:v>
      </x:c>
      <x:c r="J54" s="2" t="str">
        <x:v>Regelbestand laut Verkäufer</x:v>
      </x:c>
      <x:c r="K54" s="2" t="str">
        <x:v>Export KREDIT-ERF-20260930, Einzelbelege nicht im Datenraum</x:v>
      </x:c>
    </x:row>
    <x:row r="55" ht="22" customHeight="1">
      <x:c r="A55" s="2" t="str">
        <x:v>APB-0050</x:v>
      </x:c>
      <x:c r="B55" s="2" t="str">
        <x:v>Bestandskunde 0050</x:v>
      </x:c>
      <x:c r="C55" s="2" t="str">
        <x:v>Nur Verkäuferexport</x:v>
      </x:c>
      <x:c r="D55" s="9" t="n">
        <x:v>12850</x:v>
      </x:c>
      <x:c r="E55" s="9" t="n">
        <x:v>32.5</x:v>
      </x:c>
      <x:c r="F55" s="9" t="n">
        <x:v>0</x:v>
      </x:c>
      <x:c r="G55" s="11" t="n">
        <x:f>SUM(D55:F55)</x:f>
        <x:v>12882.5</x:v>
      </x:c>
      <x:c r="H55" s="10" t="n">
        <x:v>0.92</x:v>
      </x:c>
      <x:c r="I55" s="11" t="n">
        <x:f>IF(ISNUMBER(H55),ROUND(D55*H55,2),NA())</x:f>
        <x:v>11822</x:v>
      </x:c>
      <x:c r="J55" s="2" t="str">
        <x:v>Regelbestand laut Verkäufer</x:v>
      </x:c>
      <x:c r="K55" s="2" t="str">
        <x:v>Export KREDIT-ERF-20260930, Einzelbelege nicht im Datenraum</x:v>
      </x:c>
    </x:row>
    <x:row r="56" ht="22" customHeight="1">
      <x:c r="A56" s="2" t="str">
        <x:v>APB-0051</x:v>
      </x:c>
      <x:c r="B56" s="2" t="str">
        <x:v>Bestandskunde 0051</x:v>
      </x:c>
      <x:c r="C56" s="2" t="str">
        <x:v>Nur Verkäuferexport</x:v>
      </x:c>
      <x:c r="D56" s="9" t="n">
        <x:v>12987</x:v>
      </x:c>
      <x:c r="E56" s="9" t="n">
        <x:v>39</x:v>
      </x:c>
      <x:c r="F56" s="9" t="n">
        <x:v>0</x:v>
      </x:c>
      <x:c r="G56" s="11" t="n">
        <x:f>SUM(D56:F56)</x:f>
        <x:v>13026</x:v>
      </x:c>
      <x:c r="H56" s="10" t="n">
        <x:v>0.92</x:v>
      </x:c>
      <x:c r="I56" s="11" t="n">
        <x:f>IF(ISNUMBER(H56),ROUND(D56*H56,2),NA())</x:f>
        <x:v>11948.04</x:v>
      </x:c>
      <x:c r="J56" s="2" t="str">
        <x:v>Regelbestand laut Verkäufer</x:v>
      </x:c>
      <x:c r="K56" s="2" t="str">
        <x:v>Export KREDIT-ERF-20260930, Einzelbelege nicht im Datenraum</x:v>
      </x:c>
    </x:row>
    <x:row r="57" ht="22" customHeight="1">
      <x:c r="A57" s="2" t="str">
        <x:v>APB-0052</x:v>
      </x:c>
      <x:c r="B57" s="2" t="str">
        <x:v>Bestandskunde 0052</x:v>
      </x:c>
      <x:c r="C57" s="2" t="str">
        <x:v>Nur Verkäuferexport</x:v>
      </x:c>
      <x:c r="D57" s="9" t="n">
        <x:v>13124</x:v>
      </x:c>
      <x:c r="E57" s="9" t="n">
        <x:v>45.5</x:v>
      </x:c>
      <x:c r="F57" s="9" t="n">
        <x:v>0</x:v>
      </x:c>
      <x:c r="G57" s="11" t="n">
        <x:f>SUM(D57:F57)</x:f>
        <x:v>13169.5</x:v>
      </x:c>
      <x:c r="H57" s="10" t="n">
        <x:v>0.92</x:v>
      </x:c>
      <x:c r="I57" s="11" t="n">
        <x:f>IF(ISNUMBER(H57),ROUND(D57*H57,2),NA())</x:f>
        <x:v>12074.08</x:v>
      </x:c>
      <x:c r="J57" s="2" t="str">
        <x:v>Regelbestand laut Verkäufer</x:v>
      </x:c>
      <x:c r="K57" s="2" t="str">
        <x:v>Export KREDIT-ERF-20260930, Einzelbelege nicht im Datenraum</x:v>
      </x:c>
    </x:row>
    <x:row r="58" ht="22" customHeight="1">
      <x:c r="A58" s="2" t="str">
        <x:v>APB-0053</x:v>
      </x:c>
      <x:c r="B58" s="2" t="str">
        <x:v>Bestandskunde 0053</x:v>
      </x:c>
      <x:c r="C58" s="2" t="str">
        <x:v>Nur Verkäuferexport</x:v>
      </x:c>
      <x:c r="D58" s="9" t="n">
        <x:v>13261</x:v>
      </x:c>
      <x:c r="E58" s="9" t="n">
        <x:v>52</x:v>
      </x:c>
      <x:c r="F58" s="9" t="n">
        <x:v>0</x:v>
      </x:c>
      <x:c r="G58" s="11" t="n">
        <x:f>SUM(D58:F58)</x:f>
        <x:v>13313</x:v>
      </x:c>
      <x:c r="H58" s="10" t="n">
        <x:v>0.92</x:v>
      </x:c>
      <x:c r="I58" s="11" t="n">
        <x:f>IF(ISNUMBER(H58),ROUND(D58*H58,2),NA())</x:f>
        <x:v>12200.12</x:v>
      </x:c>
      <x:c r="J58" s="2" t="str">
        <x:v>Regelbestand laut Verkäufer</x:v>
      </x:c>
      <x:c r="K58" s="2" t="str">
        <x:v>Export KREDIT-ERF-20260930, Einzelbelege nicht im Datenraum</x:v>
      </x:c>
    </x:row>
    <x:row r="59" ht="22" customHeight="1">
      <x:c r="A59" s="2" t="str">
        <x:v>APB-0054</x:v>
      </x:c>
      <x:c r="B59" s="2" t="str">
        <x:v>Bestandskunde 0054</x:v>
      </x:c>
      <x:c r="C59" s="2" t="str">
        <x:v>Nur Verkäuferexport</x:v>
      </x:c>
      <x:c r="D59" s="9" t="n">
        <x:v>13398</x:v>
      </x:c>
      <x:c r="E59" s="9" t="n">
        <x:v>0</x:v>
      </x:c>
      <x:c r="F59" s="9" t="n">
        <x:v>0</x:v>
      </x:c>
      <x:c r="G59" s="11" t="n">
        <x:f>SUM(D59:F59)</x:f>
        <x:v>13398</x:v>
      </x:c>
      <x:c r="H59" s="10" t="n">
        <x:v>0.92</x:v>
      </x:c>
      <x:c r="I59" s="11" t="n">
        <x:f>IF(ISNUMBER(H59),ROUND(D59*H59,2),NA())</x:f>
        <x:v>12326.16</x:v>
      </x:c>
      <x:c r="J59" s="2" t="str">
        <x:v>Regelbestand laut Verkäufer</x:v>
      </x:c>
      <x:c r="K59" s="2" t="str">
        <x:v>Export KREDIT-ERF-20260930, Einzelbelege nicht im Datenraum</x:v>
      </x:c>
    </x:row>
    <x:row r="60" ht="22" customHeight="1">
      <x:c r="A60" s="2" t="str">
        <x:v>APB-0055</x:v>
      </x:c>
      <x:c r="B60" s="2" t="str">
        <x:v>Bestandskunde 0055</x:v>
      </x:c>
      <x:c r="C60" s="2" t="str">
        <x:v>Nur Verkäuferexport</x:v>
      </x:c>
      <x:c r="D60" s="9" t="n">
        <x:v>13535</x:v>
      </x:c>
      <x:c r="E60" s="9" t="n">
        <x:v>6.5</x:v>
      </x:c>
      <x:c r="F60" s="9" t="n">
        <x:v>0</x:v>
      </x:c>
      <x:c r="G60" s="11" t="n">
        <x:f>SUM(D60:F60)</x:f>
        <x:v>13541.5</x:v>
      </x:c>
      <x:c r="H60" s="10" t="n">
        <x:v>0.92</x:v>
      </x:c>
      <x:c r="I60" s="11" t="n">
        <x:f>IF(ISNUMBER(H60),ROUND(D60*H60,2),NA())</x:f>
        <x:v>12452.2</x:v>
      </x:c>
      <x:c r="J60" s="2" t="str">
        <x:v>Regelbestand laut Verkäufer</x:v>
      </x:c>
      <x:c r="K60" s="2" t="str">
        <x:v>Export KREDIT-ERF-20260930, Einzelbelege nicht im Datenraum</x:v>
      </x:c>
    </x:row>
    <x:row r="61" ht="22" customHeight="1">
      <x:c r="A61" s="2" t="str">
        <x:v>APB-0056</x:v>
      </x:c>
      <x:c r="B61" s="2" t="str">
        <x:v>Bestandskunde 0056</x:v>
      </x:c>
      <x:c r="C61" s="2" t="str">
        <x:v>Nur Verkäuferexport</x:v>
      </x:c>
      <x:c r="D61" s="9" t="n">
        <x:v>13672</x:v>
      </x:c>
      <x:c r="E61" s="9" t="n">
        <x:v>13</x:v>
      </x:c>
      <x:c r="F61" s="9" t="n">
        <x:v>0</x:v>
      </x:c>
      <x:c r="G61" s="11" t="n">
        <x:f>SUM(D61:F61)</x:f>
        <x:v>13685</x:v>
      </x:c>
      <x:c r="H61" s="10" t="n">
        <x:v>0.92</x:v>
      </x:c>
      <x:c r="I61" s="11" t="n">
        <x:f>IF(ISNUMBER(H61),ROUND(D61*H61,2),NA())</x:f>
        <x:v>12578.24</x:v>
      </x:c>
      <x:c r="J61" s="2" t="str">
        <x:v>Regelbestand laut Verkäufer</x:v>
      </x:c>
      <x:c r="K61" s="2" t="str">
        <x:v>Export KREDIT-ERF-20260930, Einzelbelege nicht im Datenraum</x:v>
      </x:c>
    </x:row>
    <x:row r="62" ht="22" customHeight="1">
      <x:c r="A62" s="2" t="str">
        <x:v>APB-0057</x:v>
      </x:c>
      <x:c r="B62" s="2" t="str">
        <x:v>Bestandskunde 0057</x:v>
      </x:c>
      <x:c r="C62" s="2" t="str">
        <x:v>Nur Verkäuferexport</x:v>
      </x:c>
      <x:c r="D62" s="9" t="n">
        <x:v>13809</x:v>
      </x:c>
      <x:c r="E62" s="9" t="n">
        <x:v>19.5</x:v>
      </x:c>
      <x:c r="F62" s="9" t="n">
        <x:v>0</x:v>
      </x:c>
      <x:c r="G62" s="11" t="n">
        <x:f>SUM(D62:F62)</x:f>
        <x:v>13828.5</x:v>
      </x:c>
      <x:c r="H62" s="10" t="n">
        <x:v>0.92</x:v>
      </x:c>
      <x:c r="I62" s="11" t="n">
        <x:f>IF(ISNUMBER(H62),ROUND(D62*H62,2),NA())</x:f>
        <x:v>12704.28</x:v>
      </x:c>
      <x:c r="J62" s="2" t="str">
        <x:v>Regelbestand laut Verkäufer</x:v>
      </x:c>
      <x:c r="K62" s="2" t="str">
        <x:v>Export KREDIT-ERF-20260930, Einzelbelege nicht im Datenraum</x:v>
      </x:c>
    </x:row>
    <x:row r="63" ht="22" customHeight="1">
      <x:c r="A63" s="2" t="str">
        <x:v>APB-0058</x:v>
      </x:c>
      <x:c r="B63" s="2" t="str">
        <x:v>Bestandskunde 0058</x:v>
      </x:c>
      <x:c r="C63" s="2" t="str">
        <x:v>Nur Verkäuferexport</x:v>
      </x:c>
      <x:c r="D63" s="9" t="n">
        <x:v>13946</x:v>
      </x:c>
      <x:c r="E63" s="9" t="n">
        <x:v>26</x:v>
      </x:c>
      <x:c r="F63" s="9" t="n">
        <x:v>15</x:v>
      </x:c>
      <x:c r="G63" s="11" t="n">
        <x:f>SUM(D63:F63)</x:f>
        <x:v>13987</x:v>
      </x:c>
      <x:c r="H63" s="10" t="n">
        <x:v>0.92</x:v>
      </x:c>
      <x:c r="I63" s="11" t="n">
        <x:f>IF(ISNUMBER(H63),ROUND(D63*H63,2),NA())</x:f>
        <x:v>12830.32</x:v>
      </x:c>
      <x:c r="J63" s="2" t="str">
        <x:v>Zahlungslücke im Export</x:v>
      </x:c>
      <x:c r="K63" s="2" t="str">
        <x:v>Export KREDIT-ERF-20260930, Einzelbelege nicht im Datenraum</x:v>
      </x:c>
    </x:row>
    <x:row r="64" ht="22" customHeight="1">
      <x:c r="A64" s="2" t="str">
        <x:v>APB-0059</x:v>
      </x:c>
      <x:c r="B64" s="2" t="str">
        <x:v>Bestandskunde 0059</x:v>
      </x:c>
      <x:c r="C64" s="2" t="str">
        <x:v>Nur Verkäuferexport</x:v>
      </x:c>
      <x:c r="D64" s="9" t="n">
        <x:v>14083</x:v>
      </x:c>
      <x:c r="E64" s="9" t="n">
        <x:v>32.5</x:v>
      </x:c>
      <x:c r="F64" s="9" t="n">
        <x:v>0</x:v>
      </x:c>
      <x:c r="G64" s="11" t="n">
        <x:f>SUM(D64:F64)</x:f>
        <x:v>14115.5</x:v>
      </x:c>
      <x:c r="H64" s="10" t="n">
        <x:v>0.92</x:v>
      </x:c>
      <x:c r="I64" s="11" t="n">
        <x:f>IF(ISNUMBER(H64),ROUND(D64*H64,2),NA())</x:f>
        <x:v>12956.36</x:v>
      </x:c>
      <x:c r="J64" s="2" t="str">
        <x:v>Regelbestand laut Verkäufer</x:v>
      </x:c>
      <x:c r="K64" s="2" t="str">
        <x:v>Export KREDIT-ERF-20260930, Einzelbelege nicht im Datenraum</x:v>
      </x:c>
    </x:row>
    <x:row r="65" ht="22" customHeight="1">
      <x:c r="A65" s="2" t="str">
        <x:v>APB-0060</x:v>
      </x:c>
      <x:c r="B65" s="2" t="str">
        <x:v>Bestandskunde 0060</x:v>
      </x:c>
      <x:c r="C65" s="2" t="str">
        <x:v>Nur Verkäuferexport</x:v>
      </x:c>
      <x:c r="D65" s="9" t="n">
        <x:v>14220</x:v>
      </x:c>
      <x:c r="E65" s="9" t="n">
        <x:v>39</x:v>
      </x:c>
      <x:c r="F65" s="9" t="n">
        <x:v>0</x:v>
      </x:c>
      <x:c r="G65" s="11" t="n">
        <x:f>SUM(D65:F65)</x:f>
        <x:v>14259</x:v>
      </x:c>
      <x:c r="H65" s="10" t="n">
        <x:v>0.92</x:v>
      </x:c>
      <x:c r="I65" s="11" t="n">
        <x:f>IF(ISNUMBER(H65),ROUND(D65*H65,2),NA())</x:f>
        <x:v>13082.4</x:v>
      </x:c>
      <x:c r="J65" s="2" t="str">
        <x:v>Regelbestand laut Verkäufer</x:v>
      </x:c>
      <x:c r="K65" s="2" t="str">
        <x:v>Export KREDIT-ERF-20260930, Einzelbelege nicht im Datenraum</x:v>
      </x:c>
    </x:row>
    <x:row r="66" ht="22" customHeight="1">
      <x:c r="A66" s="2" t="str">
        <x:v>APB-0061</x:v>
      </x:c>
      <x:c r="B66" s="2" t="str">
        <x:v>Bestandskunde 0061</x:v>
      </x:c>
      <x:c r="C66" s="2" t="str">
        <x:v>Nur Verkäuferexport</x:v>
      </x:c>
      <x:c r="D66" s="9" t="n">
        <x:v>14357</x:v>
      </x:c>
      <x:c r="E66" s="9" t="n">
        <x:v>45.5</x:v>
      </x:c>
      <x:c r="F66" s="9" t="n">
        <x:v>0</x:v>
      </x:c>
      <x:c r="G66" s="11" t="n">
        <x:f>SUM(D66:F66)</x:f>
        <x:v>14402.5</x:v>
      </x:c>
      <x:c r="H66" s="10" t="n">
        <x:v>0.92</x:v>
      </x:c>
      <x:c r="I66" s="11" t="n">
        <x:f>IF(ISNUMBER(H66),ROUND(D66*H66,2),NA())</x:f>
        <x:v>13208.44</x:v>
      </x:c>
      <x:c r="J66" s="2" t="str">
        <x:v>Regelbestand laut Verkäufer</x:v>
      </x:c>
      <x:c r="K66" s="2" t="str">
        <x:v>Export KREDIT-ERF-20260930, Einzelbelege nicht im Datenraum</x:v>
      </x:c>
    </x:row>
    <x:row r="67" ht="22" customHeight="1">
      <x:c r="A67" s="2" t="str">
        <x:v>APB-0062</x:v>
      </x:c>
      <x:c r="B67" s="2" t="str">
        <x:v>Bestandskunde 0062</x:v>
      </x:c>
      <x:c r="C67" s="2" t="str">
        <x:v>Nur Verkäuferexport</x:v>
      </x:c>
      <x:c r="D67" s="9" t="n">
        <x:v>14494</x:v>
      </x:c>
      <x:c r="E67" s="9" t="n">
        <x:v>52</x:v>
      </x:c>
      <x:c r="F67" s="9" t="n">
        <x:v>0</x:v>
      </x:c>
      <x:c r="G67" s="11" t="n">
        <x:f>SUM(D67:F67)</x:f>
        <x:v>14546</x:v>
      </x:c>
      <x:c r="H67" s="10" t="n">
        <x:v>0.92</x:v>
      </x:c>
      <x:c r="I67" s="11" t="n">
        <x:f>IF(ISNUMBER(H67),ROUND(D67*H67,2),NA())</x:f>
        <x:v>13334.48</x:v>
      </x:c>
      <x:c r="J67" s="2" t="str">
        <x:v>Regelbestand laut Verkäufer</x:v>
      </x:c>
      <x:c r="K67" s="2" t="str">
        <x:v>Export KREDIT-ERF-20260930, Einzelbelege nicht im Datenraum</x:v>
      </x:c>
    </x:row>
    <x:row r="68" ht="22" customHeight="1">
      <x:c r="A68" s="2" t="str">
        <x:v>APB-0063</x:v>
      </x:c>
      <x:c r="B68" s="2" t="str">
        <x:v>Bestandskunde 0063</x:v>
      </x:c>
      <x:c r="C68" s="2" t="str">
        <x:v>Nur Verkäuferexport</x:v>
      </x:c>
      <x:c r="D68" s="9" t="n">
        <x:v>14631</x:v>
      </x:c>
      <x:c r="E68" s="9" t="n">
        <x:v>0</x:v>
      </x:c>
      <x:c r="F68" s="9" t="n">
        <x:v>0</x:v>
      </x:c>
      <x:c r="G68" s="11" t="n">
        <x:f>SUM(D68:F68)</x:f>
        <x:v>14631</x:v>
      </x:c>
      <x:c r="H68" s="10" t="n">
        <x:v>0.92</x:v>
      </x:c>
      <x:c r="I68" s="11" t="n">
        <x:f>IF(ISNUMBER(H68),ROUND(D68*H68,2),NA())</x:f>
        <x:v>13460.52</x:v>
      </x:c>
      <x:c r="J68" s="2" t="str">
        <x:v>Regelbestand laut Verkäufer</x:v>
      </x:c>
      <x:c r="K68" s="2" t="str">
        <x:v>Export KREDIT-ERF-20260930, Einzelbelege nicht im Datenraum</x:v>
      </x:c>
    </x:row>
    <x:row r="69" ht="22" customHeight="1">
      <x:c r="A69" s="2" t="str">
        <x:v>APB-0064</x:v>
      </x:c>
      <x:c r="B69" s="2" t="str">
        <x:v>Bestandskunde 0064</x:v>
      </x:c>
      <x:c r="C69" s="2" t="str">
        <x:v>Nur Verkäuferexport</x:v>
      </x:c>
      <x:c r="D69" s="9" t="n">
        <x:v>14768</x:v>
      </x:c>
      <x:c r="E69" s="9" t="n">
        <x:v>6.5</x:v>
      </x:c>
      <x:c r="F69" s="9" t="n">
        <x:v>0</x:v>
      </x:c>
      <x:c r="G69" s="11" t="n">
        <x:f>SUM(D69:F69)</x:f>
        <x:v>14774.5</x:v>
      </x:c>
      <x:c r="H69" s="10" t="n">
        <x:v>0.92</x:v>
      </x:c>
      <x:c r="I69" s="11" t="n">
        <x:f>IF(ISNUMBER(H69),ROUND(D69*H69,2),NA())</x:f>
        <x:v>13586.56</x:v>
      </x:c>
      <x:c r="J69" s="2" t="str">
        <x:v>Regelbestand laut Verkäufer</x:v>
      </x:c>
      <x:c r="K69" s="2" t="str">
        <x:v>Export KREDIT-ERF-20260930, Einzelbelege nicht im Datenraum</x:v>
      </x:c>
    </x:row>
    <x:row r="70" ht="22" customHeight="1">
      <x:c r="A70" s="2" t="str">
        <x:v>APB-0065</x:v>
      </x:c>
      <x:c r="B70" s="2" t="str">
        <x:v>Bestandskunde 0065</x:v>
      </x:c>
      <x:c r="C70" s="2" t="str">
        <x:v>Nur Verkäuferexport</x:v>
      </x:c>
      <x:c r="D70" s="9" t="n">
        <x:v>14905</x:v>
      </x:c>
      <x:c r="E70" s="9" t="n">
        <x:v>13</x:v>
      </x:c>
      <x:c r="F70" s="9" t="n">
        <x:v>0</x:v>
      </x:c>
      <x:c r="G70" s="11" t="n">
        <x:f>SUM(D70:F70)</x:f>
        <x:v>14918</x:v>
      </x:c>
      <x:c r="H70" s="10" t="n">
        <x:v>0.92</x:v>
      </x:c>
      <x:c r="I70" s="11" t="n">
        <x:f>IF(ISNUMBER(H70),ROUND(D70*H70,2),NA())</x:f>
        <x:v>13712.6</x:v>
      </x:c>
      <x:c r="J70" s="2" t="str">
        <x:v>Regelbestand laut Verkäufer</x:v>
      </x:c>
      <x:c r="K70" s="2" t="str">
        <x:v>Export KREDIT-ERF-20260930, Einzelbelege nicht im Datenraum</x:v>
      </x:c>
    </x:row>
    <x:row r="71" ht="22" customHeight="1">
      <x:c r="A71" s="2" t="str">
        <x:v>APB-0066</x:v>
      </x:c>
      <x:c r="B71" s="2" t="str">
        <x:v>Bestandskunde 0066</x:v>
      </x:c>
      <x:c r="C71" s="2" t="str">
        <x:v>Nur Verkäuferexport</x:v>
      </x:c>
      <x:c r="D71" s="9" t="n">
        <x:v>15042</x:v>
      </x:c>
      <x:c r="E71" s="9" t="n">
        <x:v>19.5</x:v>
      </x:c>
      <x:c r="F71" s="9" t="n">
        <x:v>0</x:v>
      </x:c>
      <x:c r="G71" s="11" t="n">
        <x:f>SUM(D71:F71)</x:f>
        <x:v>15061.5</x:v>
      </x:c>
      <x:c r="H71" s="10" t="n">
        <x:v>0.92</x:v>
      </x:c>
      <x:c r="I71" s="11" t="n">
        <x:f>IF(ISNUMBER(H71),ROUND(D71*H71,2),NA())</x:f>
        <x:v>13838.64</x:v>
      </x:c>
      <x:c r="J71" s="2" t="str">
        <x:v>Regelbestand laut Verkäufer</x:v>
      </x:c>
      <x:c r="K71" s="2" t="str">
        <x:v>Export KREDIT-ERF-20260930, Einzelbelege nicht im Datenraum</x:v>
      </x:c>
    </x:row>
    <x:row r="72" ht="22" customHeight="1">
      <x:c r="A72" s="2" t="str">
        <x:v>APB-0067</x:v>
      </x:c>
      <x:c r="B72" s="2" t="str">
        <x:v>Bestandskunde 0067</x:v>
      </x:c>
      <x:c r="C72" s="2" t="str">
        <x:v>Nur Verkäuferexport</x:v>
      </x:c>
      <x:c r="D72" s="9" t="n">
        <x:v>15179</x:v>
      </x:c>
      <x:c r="E72" s="9" t="n">
        <x:v>26</x:v>
      </x:c>
      <x:c r="F72" s="9" t="n">
        <x:v>0</x:v>
      </x:c>
      <x:c r="G72" s="11" t="n">
        <x:f>SUM(D72:F72)</x:f>
        <x:v>15205</x:v>
      </x:c>
      <x:c r="H72" s="10" t="n">
        <x:v>0.92</x:v>
      </x:c>
      <x:c r="I72" s="11" t="n">
        <x:f>IF(ISNUMBER(H72),ROUND(D72*H72,2),NA())</x:f>
        <x:v>13964.68</x:v>
      </x:c>
      <x:c r="J72" s="2" t="str">
        <x:v>Regelbestand laut Verkäufer</x:v>
      </x:c>
      <x:c r="K72" s="2" t="str">
        <x:v>Export KREDIT-ERF-20260930, Einzelbelege nicht im Datenraum</x:v>
      </x:c>
    </x:row>
    <x:row r="73" ht="22" customHeight="1">
      <x:c r="A73" s="2" t="str">
        <x:v>APB-0068</x:v>
      </x:c>
      <x:c r="B73" s="2" t="str">
        <x:v>Bestandskunde 0068</x:v>
      </x:c>
      <x:c r="C73" s="2" t="str">
        <x:v>Nur Verkäuferexport</x:v>
      </x:c>
      <x:c r="D73" s="9" t="n">
        <x:v>15316</x:v>
      </x:c>
      <x:c r="E73" s="9" t="n">
        <x:v>32.5</x:v>
      </x:c>
      <x:c r="F73" s="9" t="n">
        <x:v>0</x:v>
      </x:c>
      <x:c r="G73" s="11" t="n">
        <x:f>SUM(D73:F73)</x:f>
        <x:v>15348.5</x:v>
      </x:c>
      <x:c r="H73" s="10" t="n">
        <x:v>0.92</x:v>
      </x:c>
      <x:c r="I73" s="11" t="n">
        <x:f>IF(ISNUMBER(H73),ROUND(D73*H73,2),NA())</x:f>
        <x:v>14090.72</x:v>
      </x:c>
      <x:c r="J73" s="2" t="str">
        <x:v>Regelbestand laut Verkäufer</x:v>
      </x:c>
      <x:c r="K73" s="2" t="str">
        <x:v>Export KREDIT-ERF-20260930, Einzelbelege nicht im Datenraum</x:v>
      </x:c>
    </x:row>
    <x:row r="74" ht="22" customHeight="1">
      <x:c r="A74" s="2" t="str">
        <x:v>APB-0069</x:v>
      </x:c>
      <x:c r="B74" s="2" t="str">
        <x:v>Bestandskunde 0069</x:v>
      </x:c>
      <x:c r="C74" s="2" t="str">
        <x:v>Nur Verkäuferexport</x:v>
      </x:c>
      <x:c r="D74" s="9" t="n">
        <x:v>15453</x:v>
      </x:c>
      <x:c r="E74" s="9" t="n">
        <x:v>39</x:v>
      </x:c>
      <x:c r="F74" s="9" t="n">
        <x:v>0</x:v>
      </x:c>
      <x:c r="G74" s="11" t="n">
        <x:f>SUM(D74:F74)</x:f>
        <x:v>15492</x:v>
      </x:c>
      <x:c r="H74" s="10" t="n">
        <x:v>0.92</x:v>
      </x:c>
      <x:c r="I74" s="11" t="n">
        <x:f>IF(ISNUMBER(H74),ROUND(D74*H74,2),NA())</x:f>
        <x:v>14216.76</x:v>
      </x:c>
      <x:c r="J74" s="2" t="str">
        <x:v>Regelbestand laut Verkäufer</x:v>
      </x:c>
      <x:c r="K74" s="2" t="str">
        <x:v>Export KREDIT-ERF-20260930, Einzelbelege nicht im Datenraum</x:v>
      </x:c>
    </x:row>
    <x:row r="75" ht="22" customHeight="1">
      <x:c r="A75" s="2" t="str">
        <x:v>APB-0070</x:v>
      </x:c>
      <x:c r="B75" s="2" t="str">
        <x:v>Bestandskunde 0070</x:v>
      </x:c>
      <x:c r="C75" s="2" t="str">
        <x:v>Nur Verkäuferexport</x:v>
      </x:c>
      <x:c r="D75" s="9" t="n">
        <x:v>15590</x:v>
      </x:c>
      <x:c r="E75" s="9" t="n">
        <x:v>45.5</x:v>
      </x:c>
      <x:c r="F75" s="9" t="n">
        <x:v>0</x:v>
      </x:c>
      <x:c r="G75" s="11" t="n">
        <x:f>SUM(D75:F75)</x:f>
        <x:v>15635.5</x:v>
      </x:c>
      <x:c r="H75" s="10" t="n">
        <x:v>0.92</x:v>
      </x:c>
      <x:c r="I75" s="11" t="n">
        <x:f>IF(ISNUMBER(H75),ROUND(D75*H75,2),NA())</x:f>
        <x:v>14342.8</x:v>
      </x:c>
      <x:c r="J75" s="2" t="str">
        <x:v>Regelbestand laut Verkäufer</x:v>
      </x:c>
      <x:c r="K75" s="2" t="str">
        <x:v>Export KREDIT-ERF-20260930, Einzelbelege nicht im Datenraum</x:v>
      </x:c>
    </x:row>
    <x:row r="76" ht="22" customHeight="1">
      <x:c r="A76" s="2" t="str">
        <x:v>APB-0071</x:v>
      </x:c>
      <x:c r="B76" s="2" t="str">
        <x:v>Bestandskunde 0071</x:v>
      </x:c>
      <x:c r="C76" s="2" t="str">
        <x:v>Nur Verkäuferexport</x:v>
      </x:c>
      <x:c r="D76" s="9" t="n">
        <x:v>15727</x:v>
      </x:c>
      <x:c r="E76" s="9" t="n">
        <x:v>52</x:v>
      </x:c>
      <x:c r="F76" s="9" t="n">
        <x:v>0</x:v>
      </x:c>
      <x:c r="G76" s="11" t="n">
        <x:f>SUM(D76:F76)</x:f>
        <x:v>15779</x:v>
      </x:c>
      <x:c r="H76" s="10" t="n">
        <x:v>0.92</x:v>
      </x:c>
      <x:c r="I76" s="11" t="n">
        <x:f>IF(ISNUMBER(H76),ROUND(D76*H76,2),NA())</x:f>
        <x:v>14468.84</x:v>
      </x:c>
      <x:c r="J76" s="2" t="str">
        <x:v>Regelbestand laut Verkäufer</x:v>
      </x:c>
      <x:c r="K76" s="2" t="str">
        <x:v>Export KREDIT-ERF-20260930, Einzelbelege nicht im Datenraum</x:v>
      </x:c>
    </x:row>
    <x:row r="77" ht="22" customHeight="1">
      <x:c r="A77" s="2" t="str">
        <x:v>APB-0072</x:v>
      </x:c>
      <x:c r="B77" s="2" t="str">
        <x:v>Bestandskunde 0072</x:v>
      </x:c>
      <x:c r="C77" s="2" t="str">
        <x:v>Nur Verkäuferexport</x:v>
      </x:c>
      <x:c r="D77" s="9" t="n">
        <x:v>15864</x:v>
      </x:c>
      <x:c r="E77" s="9" t="n">
        <x:v>0</x:v>
      </x:c>
      <x:c r="F77" s="9" t="n">
        <x:v>0</x:v>
      </x:c>
      <x:c r="G77" s="11" t="n">
        <x:f>SUM(D77:F77)</x:f>
        <x:v>15864</x:v>
      </x:c>
      <x:c r="H77" s="10" t="n">
        <x:v>0.92</x:v>
      </x:c>
      <x:c r="I77" s="11" t="n">
        <x:f>IF(ISNUMBER(H77),ROUND(D77*H77,2),NA())</x:f>
        <x:v>14594.88</x:v>
      </x:c>
      <x:c r="J77" s="2" t="str">
        <x:v>Regelbestand laut Verkäufer</x:v>
      </x:c>
      <x:c r="K77" s="2" t="str">
        <x:v>Export KREDIT-ERF-20260930, Einzelbelege nicht im Datenraum</x:v>
      </x:c>
    </x:row>
    <x:row r="78" ht="22" customHeight="1">
      <x:c r="A78" s="2" t="str">
        <x:v>APB-0073</x:v>
      </x:c>
      <x:c r="B78" s="2" t="str">
        <x:v>Bestandskunde 0073</x:v>
      </x:c>
      <x:c r="C78" s="2" t="str">
        <x:v>Nur Verkäuferexport</x:v>
      </x:c>
      <x:c r="D78" s="9" t="n">
        <x:v>16001</x:v>
      </x:c>
      <x:c r="E78" s="9" t="n">
        <x:v>6.5</x:v>
      </x:c>
      <x:c r="F78" s="9" t="n">
        <x:v>0</x:v>
      </x:c>
      <x:c r="G78" s="11" t="n">
        <x:f>SUM(D78:F78)</x:f>
        <x:v>16007.5</x:v>
      </x:c>
      <x:c r="H78" s="10" t="n">
        <x:v>0.92</x:v>
      </x:c>
      <x:c r="I78" s="11" t="n">
        <x:f>IF(ISNUMBER(H78),ROUND(D78*H78,2),NA())</x:f>
        <x:v>14720.92</x:v>
      </x:c>
      <x:c r="J78" s="2" t="str">
        <x:v>Regelbestand laut Verkäufer</x:v>
      </x:c>
      <x:c r="K78" s="2" t="str">
        <x:v>Export KREDIT-ERF-20260930, Einzelbelege nicht im Datenraum</x:v>
      </x:c>
    </x:row>
    <x:row r="79" ht="22" customHeight="1">
      <x:c r="A79" s="2" t="str">
        <x:v>APB-0074</x:v>
      </x:c>
      <x:c r="B79" s="2" t="str">
        <x:v>Bestandskunde 0074</x:v>
      </x:c>
      <x:c r="C79" s="2" t="str">
        <x:v>Nur Verkäuferexport</x:v>
      </x:c>
      <x:c r="D79" s="9" t="n">
        <x:v>16138</x:v>
      </x:c>
      <x:c r="E79" s="9" t="n">
        <x:v>13</x:v>
      </x:c>
      <x:c r="F79" s="9" t="n">
        <x:v>0</x:v>
      </x:c>
      <x:c r="G79" s="11" t="n">
        <x:f>SUM(D79:F79)</x:f>
        <x:v>16151</x:v>
      </x:c>
      <x:c r="H79" s="10" t="n">
        <x:v>0.92</x:v>
      </x:c>
      <x:c r="I79" s="11" t="n">
        <x:f>IF(ISNUMBER(H79),ROUND(D79*H79,2),NA())</x:f>
        <x:v>14846.96</x:v>
      </x:c>
      <x:c r="J79" s="2" t="str">
        <x:v>Regelbestand laut Verkäufer</x:v>
      </x:c>
      <x:c r="K79" s="2" t="str">
        <x:v>Export KREDIT-ERF-20260930, Einzelbelege nicht im Datenraum</x:v>
      </x:c>
    </x:row>
    <x:row r="80" ht="22" customHeight="1">
      <x:c r="A80" s="2" t="str">
        <x:v>APB-0075</x:v>
      </x:c>
      <x:c r="B80" s="2" t="str">
        <x:v>Bestandskunde 0075</x:v>
      </x:c>
      <x:c r="C80" s="2" t="str">
        <x:v>Nur Verkäuferexport</x:v>
      </x:c>
      <x:c r="D80" s="9" t="n">
        <x:v>16275</x:v>
      </x:c>
      <x:c r="E80" s="9" t="n">
        <x:v>19.5</x:v>
      </x:c>
      <x:c r="F80" s="9" t="n">
        <x:v>0</x:v>
      </x:c>
      <x:c r="G80" s="11" t="n">
        <x:f>SUM(D80:F80)</x:f>
        <x:v>16294.5</x:v>
      </x:c>
      <x:c r="H80" s="10" t="n">
        <x:v>0.92</x:v>
      </x:c>
      <x:c r="I80" s="11" t="n">
        <x:f>IF(ISNUMBER(H80),ROUND(D80*H80,2),NA())</x:f>
        <x:v>14973</x:v>
      </x:c>
      <x:c r="J80" s="2" t="str">
        <x:v>Regelbestand laut Verkäufer</x:v>
      </x:c>
      <x:c r="K80" s="2" t="str">
        <x:v>Export KREDIT-ERF-20260930, Einzelbelege nicht im Datenraum</x:v>
      </x:c>
    </x:row>
    <x:row r="81" ht="22" customHeight="1">
      <x:c r="A81" s="2" t="str">
        <x:v>APB-0076</x:v>
      </x:c>
      <x:c r="B81" s="2" t="str">
        <x:v>Bestandskunde 0076</x:v>
      </x:c>
      <x:c r="C81" s="2" t="str">
        <x:v>Nur Verkäuferexport</x:v>
      </x:c>
      <x:c r="D81" s="9" t="n">
        <x:v>16412</x:v>
      </x:c>
      <x:c r="E81" s="9" t="n">
        <x:v>26</x:v>
      </x:c>
      <x:c r="F81" s="9" t="n">
        <x:v>0</x:v>
      </x:c>
      <x:c r="G81" s="11" t="n">
        <x:f>SUM(D81:F81)</x:f>
        <x:v>16438</x:v>
      </x:c>
      <x:c r="H81" s="10" t="n">
        <x:v>0.92</x:v>
      </x:c>
      <x:c r="I81" s="11" t="n">
        <x:f>IF(ISNUMBER(H81),ROUND(D81*H81,2),NA())</x:f>
        <x:v>15099.04</x:v>
      </x:c>
      <x:c r="J81" s="2" t="str">
        <x:v>Regelbestand laut Verkäufer</x:v>
      </x:c>
      <x:c r="K81" s="2" t="str">
        <x:v>Export KREDIT-ERF-20260930, Einzelbelege nicht im Datenraum</x:v>
      </x:c>
    </x:row>
    <x:row r="82" ht="22" customHeight="1">
      <x:c r="A82" s="2" t="str">
        <x:v>APB-0077</x:v>
      </x:c>
      <x:c r="B82" s="2" t="str">
        <x:v>Bestandskunde 0077</x:v>
      </x:c>
      <x:c r="C82" s="2" t="str">
        <x:v>Nur Verkäuferexport</x:v>
      </x:c>
      <x:c r="D82" s="9" t="n">
        <x:v>16549</x:v>
      </x:c>
      <x:c r="E82" s="9" t="n">
        <x:v>32.5</x:v>
      </x:c>
      <x:c r="F82" s="9" t="n">
        <x:v>0</x:v>
      </x:c>
      <x:c r="G82" s="11" t="n">
        <x:f>SUM(D82:F82)</x:f>
        <x:v>16581.5</x:v>
      </x:c>
      <x:c r="H82" s="10" t="n">
        <x:v>0.92</x:v>
      </x:c>
      <x:c r="I82" s="11" t="n">
        <x:f>IF(ISNUMBER(H82),ROUND(D82*H82,2),NA())</x:f>
        <x:v>15225.08</x:v>
      </x:c>
      <x:c r="J82" s="2" t="str">
        <x:v>Regelbestand laut Verkäufer</x:v>
      </x:c>
      <x:c r="K82" s="2" t="str">
        <x:v>Export KREDIT-ERF-20260930, Einzelbelege nicht im Datenraum</x:v>
      </x:c>
    </x:row>
    <x:row r="83" ht="22" customHeight="1">
      <x:c r="A83" s="2" t="str">
        <x:v>APB-0078</x:v>
      </x:c>
      <x:c r="B83" s="2" t="str">
        <x:v>Bestandskunde 0078</x:v>
      </x:c>
      <x:c r="C83" s="2" t="str">
        <x:v>Nur Verkäuferexport</x:v>
      </x:c>
      <x:c r="D83" s="9" t="n">
        <x:v>16686</x:v>
      </x:c>
      <x:c r="E83" s="9" t="n">
        <x:v>39</x:v>
      </x:c>
      <x:c r="F83" s="9" t="n">
        <x:v>0</x:v>
      </x:c>
      <x:c r="G83" s="11" t="n">
        <x:f>SUM(D83:F83)</x:f>
        <x:v>16725</x:v>
      </x:c>
      <x:c r="H83" s="10" t="n">
        <x:v>0.92</x:v>
      </x:c>
      <x:c r="I83" s="11" t="n">
        <x:f>IF(ISNUMBER(H83),ROUND(D83*H83,2),NA())</x:f>
        <x:v>15351.12</x:v>
      </x:c>
      <x:c r="J83" s="2" t="str">
        <x:v>Regelbestand laut Verkäufer</x:v>
      </x:c>
      <x:c r="K83" s="2" t="str">
        <x:v>Export KREDIT-ERF-20260930, Einzelbelege nicht im Datenraum</x:v>
      </x:c>
    </x:row>
    <x:row r="84" ht="22" customHeight="1">
      <x:c r="A84" s="2" t="str">
        <x:v>APB-0079</x:v>
      </x:c>
      <x:c r="B84" s="2" t="str">
        <x:v>Bestandskunde 0079</x:v>
      </x:c>
      <x:c r="C84" s="2" t="str">
        <x:v>Nur Verkäuferexport</x:v>
      </x:c>
      <x:c r="D84" s="9" t="n">
        <x:v>16823</x:v>
      </x:c>
      <x:c r="E84" s="9" t="n">
        <x:v>45.5</x:v>
      </x:c>
      <x:c r="F84" s="9" t="n">
        <x:v>0</x:v>
      </x:c>
      <x:c r="G84" s="11" t="n">
        <x:f>SUM(D84:F84)</x:f>
        <x:v>16868.5</x:v>
      </x:c>
      <x:c r="H84" s="10" t="n">
        <x:v>0.92</x:v>
      </x:c>
      <x:c r="I84" s="11" t="n">
        <x:f>IF(ISNUMBER(H84),ROUND(D84*H84,2),NA())</x:f>
        <x:v>15477.16</x:v>
      </x:c>
      <x:c r="J84" s="2" t="str">
        <x:v>Regelbestand laut Verkäufer</x:v>
      </x:c>
      <x:c r="K84" s="2" t="str">
        <x:v>Export KREDIT-ERF-20260930, Einzelbelege nicht im Datenraum</x:v>
      </x:c>
    </x:row>
    <x:row r="85" ht="22" customHeight="1">
      <x:c r="A85" s="2" t="str">
        <x:v>APB-0080</x:v>
      </x:c>
      <x:c r="B85" s="2" t="str">
        <x:v>Bestandskunde 0080</x:v>
      </x:c>
      <x:c r="C85" s="2" t="str">
        <x:v>Nur Verkäuferexport</x:v>
      </x:c>
      <x:c r="D85" s="9" t="n">
        <x:v>16960</x:v>
      </x:c>
      <x:c r="E85" s="9" t="n">
        <x:v>52</x:v>
      </x:c>
      <x:c r="F85" s="9" t="n">
        <x:v>0</x:v>
      </x:c>
      <x:c r="G85" s="11" t="n">
        <x:f>SUM(D85:F85)</x:f>
        <x:v>17012</x:v>
      </x:c>
      <x:c r="H85" s="10" t="n">
        <x:v>0.92</x:v>
      </x:c>
      <x:c r="I85" s="11" t="n">
        <x:f>IF(ISNUMBER(H85),ROUND(D85*H85,2),NA())</x:f>
        <x:v>15603.2</x:v>
      </x:c>
      <x:c r="J85" s="2" t="str">
        <x:v>Regelbestand laut Verkäufer</x:v>
      </x:c>
      <x:c r="K85" s="2" t="str">
        <x:v>Export KREDIT-ERF-20260930, Einzelbelege nicht im Datenraum</x:v>
      </x:c>
    </x:row>
    <x:row r="86" ht="22" customHeight="1">
      <x:c r="A86" s="2" t="str">
        <x:v>APB-0081</x:v>
      </x:c>
      <x:c r="B86" s="2" t="str">
        <x:v>Bestandskunde 0081</x:v>
      </x:c>
      <x:c r="C86" s="2" t="str">
        <x:v>Nur Verkäuferexport</x:v>
      </x:c>
      <x:c r="D86" s="9" t="n">
        <x:v>17097</x:v>
      </x:c>
      <x:c r="E86" s="9" t="n">
        <x:v>0</x:v>
      </x:c>
      <x:c r="F86" s="9" t="n">
        <x:v>0</x:v>
      </x:c>
      <x:c r="G86" s="11" t="n">
        <x:f>SUM(D86:F86)</x:f>
        <x:v>17097</x:v>
      </x:c>
      <x:c r="H86" s="10" t="n">
        <x:v>0.92</x:v>
      </x:c>
      <x:c r="I86" s="11" t="n">
        <x:f>IF(ISNUMBER(H86),ROUND(D86*H86,2),NA())</x:f>
        <x:v>15729.24</x:v>
      </x:c>
      <x:c r="J86" s="2" t="str">
        <x:v>Regelbestand laut Verkäufer</x:v>
      </x:c>
      <x:c r="K86" s="2" t="str">
        <x:v>Export KREDIT-ERF-20260930, Einzelbelege nicht im Datenraum</x:v>
      </x:c>
    </x:row>
    <x:row r="87" ht="22" customHeight="1">
      <x:c r="A87" s="2" t="str">
        <x:v>APB-0082</x:v>
      </x:c>
      <x:c r="B87" s="2" t="str">
        <x:v>Bestandskunde 0082</x:v>
      </x:c>
      <x:c r="C87" s="2" t="str">
        <x:v>Nur Verkäuferexport</x:v>
      </x:c>
      <x:c r="D87" s="9" t="n">
        <x:v>17234</x:v>
      </x:c>
      <x:c r="E87" s="9" t="n">
        <x:v>6.5</x:v>
      </x:c>
      <x:c r="F87" s="9" t="n">
        <x:v>0</x:v>
      </x:c>
      <x:c r="G87" s="11" t="n">
        <x:f>SUM(D87:F87)</x:f>
        <x:v>17240.5</x:v>
      </x:c>
      <x:c r="H87" s="10" t="n">
        <x:v>0.92</x:v>
      </x:c>
      <x:c r="I87" s="11" t="n">
        <x:f>IF(ISNUMBER(H87),ROUND(D87*H87,2),NA())</x:f>
        <x:v>15855.28</x:v>
      </x:c>
      <x:c r="J87" s="2" t="str">
        <x:v>Regelbestand laut Verkäufer</x:v>
      </x:c>
      <x:c r="K87" s="2" t="str">
        <x:v>Export KREDIT-ERF-20260930, Einzelbelege nicht im Datenraum</x:v>
      </x:c>
    </x:row>
    <x:row r="88" ht="22" customHeight="1">
      <x:c r="A88" s="2" t="str">
        <x:v>APB-0083</x:v>
      </x:c>
      <x:c r="B88" s="2" t="str">
        <x:v>Bestandskunde 0083</x:v>
      </x:c>
      <x:c r="C88" s="2" t="str">
        <x:v>Nur Verkäuferexport</x:v>
      </x:c>
      <x:c r="D88" s="9" t="n">
        <x:v>17371</x:v>
      </x:c>
      <x:c r="E88" s="9" t="n">
        <x:v>13</x:v>
      </x:c>
      <x:c r="F88" s="9" t="n">
        <x:v>0</x:v>
      </x:c>
      <x:c r="G88" s="11" t="n">
        <x:f>SUM(D88:F88)</x:f>
        <x:v>17384</x:v>
      </x:c>
      <x:c r="H88" s="10" t="n">
        <x:v>0.92</x:v>
      </x:c>
      <x:c r="I88" s="11" t="n">
        <x:f>IF(ISNUMBER(H88),ROUND(D88*H88,2),NA())</x:f>
        <x:v>15981.32</x:v>
      </x:c>
      <x:c r="J88" s="2" t="str">
        <x:v>Regelbestand laut Verkäufer</x:v>
      </x:c>
      <x:c r="K88" s="2" t="str">
        <x:v>Export KREDIT-ERF-20260930, Einzelbelege nicht im Datenraum</x:v>
      </x:c>
    </x:row>
    <x:row r="89" ht="22" customHeight="1">
      <x:c r="A89" s="2" t="str">
        <x:v>APB-0084</x:v>
      </x:c>
      <x:c r="B89" s="2" t="str">
        <x:v>Bestandskunde 0084</x:v>
      </x:c>
      <x:c r="C89" s="2" t="str">
        <x:v>Nur Verkäuferexport</x:v>
      </x:c>
      <x:c r="D89" s="9" t="n">
        <x:v>17508</x:v>
      </x:c>
      <x:c r="E89" s="9" t="n">
        <x:v>19.5</x:v>
      </x:c>
      <x:c r="F89" s="9" t="n">
        <x:v>0</x:v>
      </x:c>
      <x:c r="G89" s="11" t="n">
        <x:f>SUM(D89:F89)</x:f>
        <x:v>17527.5</x:v>
      </x:c>
      <x:c r="H89" s="10" t="n">
        <x:v>0.92</x:v>
      </x:c>
      <x:c r="I89" s="11" t="n">
        <x:f>IF(ISNUMBER(H89),ROUND(D89*H89,2),NA())</x:f>
        <x:v>16107.36</x:v>
      </x:c>
      <x:c r="J89" s="2" t="str">
        <x:v>Regelbestand laut Verkäufer</x:v>
      </x:c>
      <x:c r="K89" s="2" t="str">
        <x:v>Export KREDIT-ERF-20260930, Einzelbelege nicht im Datenraum</x:v>
      </x:c>
    </x:row>
    <x:row r="90" ht="22" customHeight="1">
      <x:c r="A90" s="2" t="str">
        <x:v>APB-0085</x:v>
      </x:c>
      <x:c r="B90" s="2" t="str">
        <x:v>Bestandskunde 0085</x:v>
      </x:c>
      <x:c r="C90" s="2" t="str">
        <x:v>Nur Verkäuferexport</x:v>
      </x:c>
      <x:c r="D90" s="9" t="n">
        <x:v>17645</x:v>
      </x:c>
      <x:c r="E90" s="9" t="n">
        <x:v>26</x:v>
      </x:c>
      <x:c r="F90" s="9" t="n">
        <x:v>0</x:v>
      </x:c>
      <x:c r="G90" s="11" t="n">
        <x:f>SUM(D90:F90)</x:f>
        <x:v>17671</x:v>
      </x:c>
      <x:c r="H90" s="10" t="n">
        <x:v>0.92</x:v>
      </x:c>
      <x:c r="I90" s="11" t="n">
        <x:f>IF(ISNUMBER(H90),ROUND(D90*H90,2),NA())</x:f>
        <x:v>16233.4</x:v>
      </x:c>
      <x:c r="J90" s="2" t="str">
        <x:v>Regelbestand laut Verkäufer</x:v>
      </x:c>
      <x:c r="K90" s="2" t="str">
        <x:v>Export KREDIT-ERF-20260930, Einzelbelege nicht im Datenraum</x:v>
      </x:c>
    </x:row>
    <x:row r="91" ht="22" customHeight="1">
      <x:c r="A91" s="2" t="str">
        <x:v>APB-0086</x:v>
      </x:c>
      <x:c r="B91" s="2" t="str">
        <x:v>Bestandskunde 0086</x:v>
      </x:c>
      <x:c r="C91" s="2" t="str">
        <x:v>Nur Verkäuferexport</x:v>
      </x:c>
      <x:c r="D91" s="9" t="n">
        <x:v>17782</x:v>
      </x:c>
      <x:c r="E91" s="9" t="n">
        <x:v>32.5</x:v>
      </x:c>
      <x:c r="F91" s="9" t="n">
        <x:v>0</x:v>
      </x:c>
      <x:c r="G91" s="11" t="n">
        <x:f>SUM(D91:F91)</x:f>
        <x:v>17814.5</x:v>
      </x:c>
      <x:c r="H91" s="10" t="n">
        <x:v>0.92</x:v>
      </x:c>
      <x:c r="I91" s="11" t="n">
        <x:f>IF(ISNUMBER(H91),ROUND(D91*H91,2),NA())</x:f>
        <x:v>16359.44</x:v>
      </x:c>
      <x:c r="J91" s="2" t="str">
        <x:v>Regelbestand laut Verkäufer</x:v>
      </x:c>
      <x:c r="K91" s="2" t="str">
        <x:v>Export KREDIT-ERF-20260930, Einzelbelege nicht im Datenraum</x:v>
      </x:c>
    </x:row>
    <x:row r="92" ht="22" customHeight="1">
      <x:c r="A92" s="2" t="str">
        <x:v>APB-0087</x:v>
      </x:c>
      <x:c r="B92" s="2" t="str">
        <x:v>Bestandskunde 0087</x:v>
      </x:c>
      <x:c r="C92" s="2" t="str">
        <x:v>Nur Verkäuferexport</x:v>
      </x:c>
      <x:c r="D92" s="9" t="n">
        <x:v>17919</x:v>
      </x:c>
      <x:c r="E92" s="9" t="n">
        <x:v>39</x:v>
      </x:c>
      <x:c r="F92" s="9" t="n">
        <x:v>15</x:v>
      </x:c>
      <x:c r="G92" s="11" t="n">
        <x:f>SUM(D92:F92)</x:f>
        <x:v>17973</x:v>
      </x:c>
      <x:c r="H92" s="10" t="n">
        <x:v>0.92</x:v>
      </x:c>
      <x:c r="I92" s="11" t="n">
        <x:f>IF(ISNUMBER(H92),ROUND(D92*H92,2),NA())</x:f>
        <x:v>16485.48</x:v>
      </x:c>
      <x:c r="J92" s="2" t="str">
        <x:v>Zahlungslücke im Export</x:v>
      </x:c>
      <x:c r="K92" s="2" t="str">
        <x:v>Export KREDIT-ERF-20260930, Einzelbelege nicht im Datenraum</x:v>
      </x:c>
    </x:row>
    <x:row r="93" ht="22" customHeight="1">
      <x:c r="A93" s="2" t="str">
        <x:v>APB-0088</x:v>
      </x:c>
      <x:c r="B93" s="2" t="str">
        <x:v>Bestandskunde 0088</x:v>
      </x:c>
      <x:c r="C93" s="2" t="str">
        <x:v>Nur Verkäuferexport</x:v>
      </x:c>
      <x:c r="D93" s="9" t="n">
        <x:v>18056</x:v>
      </x:c>
      <x:c r="E93" s="9" t="n">
        <x:v>45.5</x:v>
      </x:c>
      <x:c r="F93" s="9" t="n">
        <x:v>0</x:v>
      </x:c>
      <x:c r="G93" s="11" t="n">
        <x:f>SUM(D93:F93)</x:f>
        <x:v>18101.5</x:v>
      </x:c>
      <x:c r="H93" s="10" t="n">
        <x:v>0.92</x:v>
      </x:c>
      <x:c r="I93" s="11" t="n">
        <x:f>IF(ISNUMBER(H93),ROUND(D93*H93,2),NA())</x:f>
        <x:v>16611.52</x:v>
      </x:c>
      <x:c r="J93" s="2" t="str">
        <x:v>Regelbestand laut Verkäufer</x:v>
      </x:c>
      <x:c r="K93" s="2" t="str">
        <x:v>Export KREDIT-ERF-20260930, Einzelbelege nicht im Datenraum</x:v>
      </x:c>
    </x:row>
    <x:row r="94" ht="22" customHeight="1">
      <x:c r="A94" s="2" t="str">
        <x:v>APB-0089</x:v>
      </x:c>
      <x:c r="B94" s="2" t="str">
        <x:v>Bestandskunde 0089</x:v>
      </x:c>
      <x:c r="C94" s="2" t="str">
        <x:v>Nur Verkäuferexport</x:v>
      </x:c>
      <x:c r="D94" s="9" t="n">
        <x:v>18193</x:v>
      </x:c>
      <x:c r="E94" s="9" t="n">
        <x:v>52</x:v>
      </x:c>
      <x:c r="F94" s="9" t="n">
        <x:v>0</x:v>
      </x:c>
      <x:c r="G94" s="11" t="n">
        <x:f>SUM(D94:F94)</x:f>
        <x:v>18245</x:v>
      </x:c>
      <x:c r="H94" s="10" t="n">
        <x:v>0.92</x:v>
      </x:c>
      <x:c r="I94" s="11" t="n">
        <x:f>IF(ISNUMBER(H94),ROUND(D94*H94,2),NA())</x:f>
        <x:v>16737.56</x:v>
      </x:c>
      <x:c r="J94" s="2" t="str">
        <x:v>Regelbestand laut Verkäufer</x:v>
      </x:c>
      <x:c r="K94" s="2" t="str">
        <x:v>Export KREDIT-ERF-20260930, Einzelbelege nicht im Datenraum</x:v>
      </x:c>
    </x:row>
    <x:row r="95" ht="22" customHeight="1">
      <x:c r="A95" s="2" t="str">
        <x:v>APB-0090</x:v>
      </x:c>
      <x:c r="B95" s="2" t="str">
        <x:v>Bestandskunde 0090</x:v>
      </x:c>
      <x:c r="C95" s="2" t="str">
        <x:v>Nur Verkäuferexport</x:v>
      </x:c>
      <x:c r="D95" s="9" t="n">
        <x:v>18330</x:v>
      </x:c>
      <x:c r="E95" s="9" t="n">
        <x:v>0</x:v>
      </x:c>
      <x:c r="F95" s="9" t="n">
        <x:v>0</x:v>
      </x:c>
      <x:c r="G95" s="11" t="n">
        <x:f>SUM(D95:F95)</x:f>
        <x:v>18330</x:v>
      </x:c>
      <x:c r="H95" s="10" t="n">
        <x:v>0.92</x:v>
      </x:c>
      <x:c r="I95" s="11" t="n">
        <x:f>IF(ISNUMBER(H95),ROUND(D95*H95,2),NA())</x:f>
        <x:v>16863.6</x:v>
      </x:c>
      <x:c r="J95" s="2" t="str">
        <x:v>Regelbestand laut Verkäufer</x:v>
      </x:c>
      <x:c r="K95" s="2" t="str">
        <x:v>Export KREDIT-ERF-20260930, Einzelbelege nicht im Datenraum</x:v>
      </x:c>
    </x:row>
    <x:row r="96" ht="22" customHeight="1">
      <x:c r="A96" s="2" t="str">
        <x:v>APB-0091</x:v>
      </x:c>
      <x:c r="B96" s="2" t="str">
        <x:v>Bestandskunde 0091</x:v>
      </x:c>
      <x:c r="C96" s="2" t="str">
        <x:v>Nur Verkäuferexport</x:v>
      </x:c>
      <x:c r="D96" s="9" t="n">
        <x:v>18467</x:v>
      </x:c>
      <x:c r="E96" s="9" t="n">
        <x:v>6.5</x:v>
      </x:c>
      <x:c r="F96" s="9" t="n">
        <x:v>0</x:v>
      </x:c>
      <x:c r="G96" s="11" t="n">
        <x:f>SUM(D96:F96)</x:f>
        <x:v>18473.5</x:v>
      </x:c>
      <x:c r="H96" s="10" t="n">
        <x:v>0.92</x:v>
      </x:c>
      <x:c r="I96" s="11" t="n">
        <x:f>IF(ISNUMBER(H96),ROUND(D96*H96,2),NA())</x:f>
        <x:v>16989.64</x:v>
      </x:c>
      <x:c r="J96" s="2" t="str">
        <x:v>Regelbestand laut Verkäufer</x:v>
      </x:c>
      <x:c r="K96" s="2" t="str">
        <x:v>Export KREDIT-ERF-20260930, Einzelbelege nicht im Datenraum</x:v>
      </x:c>
    </x:row>
    <x:row r="97" ht="22" customHeight="1">
      <x:c r="A97" s="2" t="str">
        <x:v>APB-0092</x:v>
      </x:c>
      <x:c r="B97" s="2" t="str">
        <x:v>Bestandskunde 0092</x:v>
      </x:c>
      <x:c r="C97" s="2" t="str">
        <x:v>Nur Verkäuferexport</x:v>
      </x:c>
      <x:c r="D97" s="9" t="n">
        <x:v>18604</x:v>
      </x:c>
      <x:c r="E97" s="9" t="n">
        <x:v>13</x:v>
      </x:c>
      <x:c r="F97" s="9" t="n">
        <x:v>0</x:v>
      </x:c>
      <x:c r="G97" s="11" t="n">
        <x:f>SUM(D97:F97)</x:f>
        <x:v>18617</x:v>
      </x:c>
      <x:c r="H97" s="10" t="n">
        <x:v>0.92</x:v>
      </x:c>
      <x:c r="I97" s="11" t="n">
        <x:f>IF(ISNUMBER(H97),ROUND(D97*H97,2),NA())</x:f>
        <x:v>17115.68</x:v>
      </x:c>
      <x:c r="J97" s="2" t="str">
        <x:v>Regelbestand laut Verkäufer</x:v>
      </x:c>
      <x:c r="K97" s="2" t="str">
        <x:v>Export KREDIT-ERF-20260930, Einzelbelege nicht im Datenraum</x:v>
      </x:c>
    </x:row>
    <x:row r="98" ht="22" customHeight="1">
      <x:c r="A98" s="2" t="str">
        <x:v>APB-0093</x:v>
      </x:c>
      <x:c r="B98" s="2" t="str">
        <x:v>Bestandskunde 0093</x:v>
      </x:c>
      <x:c r="C98" s="2" t="str">
        <x:v>Nur Verkäuferexport</x:v>
      </x:c>
      <x:c r="D98" s="9" t="n">
        <x:v>18741</x:v>
      </x:c>
      <x:c r="E98" s="9" t="n">
        <x:v>19.5</x:v>
      </x:c>
      <x:c r="F98" s="9" t="n">
        <x:v>0</x:v>
      </x:c>
      <x:c r="G98" s="11" t="n">
        <x:f>SUM(D98:F98)</x:f>
        <x:v>18760.5</x:v>
      </x:c>
      <x:c r="H98" s="10" t="n">
        <x:v>0.92</x:v>
      </x:c>
      <x:c r="I98" s="11" t="n">
        <x:f>IF(ISNUMBER(H98),ROUND(D98*H98,2),NA())</x:f>
        <x:v>17241.72</x:v>
      </x:c>
      <x:c r="J98" s="2" t="str">
        <x:v>Regelbestand laut Verkäufer</x:v>
      </x:c>
      <x:c r="K98" s="2" t="str">
        <x:v>Export KREDIT-ERF-20260930, Einzelbelege nicht im Datenraum</x:v>
      </x:c>
    </x:row>
    <x:row r="99" ht="22" customHeight="1">
      <x:c r="A99" s="2" t="str">
        <x:v>APB-0094</x:v>
      </x:c>
      <x:c r="B99" s="2" t="str">
        <x:v>Bestandskunde 0094</x:v>
      </x:c>
      <x:c r="C99" s="2" t="str">
        <x:v>Nur Verkäuferexport</x:v>
      </x:c>
      <x:c r="D99" s="9" t="n">
        <x:v>18878</x:v>
      </x:c>
      <x:c r="E99" s="9" t="n">
        <x:v>26</x:v>
      </x:c>
      <x:c r="F99" s="9" t="n">
        <x:v>0</x:v>
      </x:c>
      <x:c r="G99" s="11" t="n">
        <x:f>SUM(D99:F99)</x:f>
        <x:v>18904</x:v>
      </x:c>
      <x:c r="H99" s="10" t="n">
        <x:v>0.92</x:v>
      </x:c>
      <x:c r="I99" s="11" t="n">
        <x:f>IF(ISNUMBER(H99),ROUND(D99*H99,2),NA())</x:f>
        <x:v>17367.76</x:v>
      </x:c>
      <x:c r="J99" s="2" t="str">
        <x:v>Regelbestand laut Verkäufer</x:v>
      </x:c>
      <x:c r="K99" s="2" t="str">
        <x:v>Export KREDIT-ERF-20260930, Einzelbelege nicht im Datenraum</x:v>
      </x:c>
    </x:row>
    <x:row r="100" ht="22" customHeight="1">
      <x:c r="A100" s="2" t="str">
        <x:v>APB-0095</x:v>
      </x:c>
      <x:c r="B100" s="2" t="str">
        <x:v>Bestandskunde 0095</x:v>
      </x:c>
      <x:c r="C100" s="2" t="str">
        <x:v>Nur Verkäuferexport</x:v>
      </x:c>
      <x:c r="D100" s="9" t="n">
        <x:v>19015</x:v>
      </x:c>
      <x:c r="E100" s="9" t="n">
        <x:v>32.5</x:v>
      </x:c>
      <x:c r="F100" s="9" t="n">
        <x:v>0</x:v>
      </x:c>
      <x:c r="G100" s="11" t="n">
        <x:f>SUM(D100:F100)</x:f>
        <x:v>19047.5</x:v>
      </x:c>
      <x:c r="H100" s="10" t="n">
        <x:v>0.92</x:v>
      </x:c>
      <x:c r="I100" s="11" t="n">
        <x:f>IF(ISNUMBER(H100),ROUND(D100*H100,2),NA())</x:f>
        <x:v>17493.8</x:v>
      </x:c>
      <x:c r="J100" s="2" t="str">
        <x:v>Regelbestand laut Verkäufer</x:v>
      </x:c>
      <x:c r="K100" s="2" t="str">
        <x:v>Export KREDIT-ERF-20260930, Einzelbelege nicht im Datenraum</x:v>
      </x:c>
    </x:row>
    <x:row r="101" ht="22" customHeight="1">
      <x:c r="A101" s="2" t="str">
        <x:v>APB-0096</x:v>
      </x:c>
      <x:c r="B101" s="2" t="str">
        <x:v>Bestandskunde 0096</x:v>
      </x:c>
      <x:c r="C101" s="2" t="str">
        <x:v>Nur Verkäuferexport</x:v>
      </x:c>
      <x:c r="D101" s="9" t="n">
        <x:v>19152</x:v>
      </x:c>
      <x:c r="E101" s="9" t="n">
        <x:v>39</x:v>
      </x:c>
      <x:c r="F101" s="9" t="n">
        <x:v>0</x:v>
      </x:c>
      <x:c r="G101" s="11" t="n">
        <x:f>SUM(D101:F101)</x:f>
        <x:v>19191</x:v>
      </x:c>
      <x:c r="H101" s="10" t="n">
        <x:v>0.92</x:v>
      </x:c>
      <x:c r="I101" s="11" t="n">
        <x:f>IF(ISNUMBER(H101),ROUND(D101*H101,2),NA())</x:f>
        <x:v>17619.84</x:v>
      </x:c>
      <x:c r="J101" s="2" t="str">
        <x:v>Regelbestand laut Verkäufer</x:v>
      </x:c>
      <x:c r="K101" s="2" t="str">
        <x:v>Export KREDIT-ERF-20260930, Einzelbelege nicht im Datenraum</x:v>
      </x:c>
    </x:row>
    <x:row r="102" ht="22" customHeight="1">
      <x:c r="A102" s="2" t="str">
        <x:v>APB-0097</x:v>
      </x:c>
      <x:c r="B102" s="2" t="str">
        <x:v>Bestandskunde 0097</x:v>
      </x:c>
      <x:c r="C102" s="2" t="str">
        <x:v>Nur Verkäuferexport</x:v>
      </x:c>
      <x:c r="D102" s="9" t="n">
        <x:v>19289</x:v>
      </x:c>
      <x:c r="E102" s="9" t="n">
        <x:v>45.5</x:v>
      </x:c>
      <x:c r="F102" s="9" t="n">
        <x:v>0</x:v>
      </x:c>
      <x:c r="G102" s="11" t="n">
        <x:f>SUM(D102:F102)</x:f>
        <x:v>19334.5</x:v>
      </x:c>
      <x:c r="H102" s="10" t="n">
        <x:v>0.92</x:v>
      </x:c>
      <x:c r="I102" s="11" t="n">
        <x:f>IF(ISNUMBER(H102),ROUND(D102*H102,2),NA())</x:f>
        <x:v>17745.88</x:v>
      </x:c>
      <x:c r="J102" s="2" t="str">
        <x:v>Regelbestand laut Verkäufer</x:v>
      </x:c>
      <x:c r="K102" s="2" t="str">
        <x:v>Export KREDIT-ERF-20260930, Einzelbelege nicht im Datenraum</x:v>
      </x:c>
    </x:row>
    <x:row r="103" ht="22" customHeight="1">
      <x:c r="A103" s="2" t="str">
        <x:v>APB-0098</x:v>
      </x:c>
      <x:c r="B103" s="2" t="str">
        <x:v>Bestandskunde 0098</x:v>
      </x:c>
      <x:c r="C103" s="2" t="str">
        <x:v>Nur Verkäuferexport</x:v>
      </x:c>
      <x:c r="D103" s="9" t="n">
        <x:v>19426</x:v>
      </x:c>
      <x:c r="E103" s="9" t="n">
        <x:v>52</x:v>
      </x:c>
      <x:c r="F103" s="9" t="n">
        <x:v>0</x:v>
      </x:c>
      <x:c r="G103" s="11" t="n">
        <x:f>SUM(D103:F103)</x:f>
        <x:v>19478</x:v>
      </x:c>
      <x:c r="H103" s="10" t="n">
        <x:v>0.92</x:v>
      </x:c>
      <x:c r="I103" s="11" t="n">
        <x:f>IF(ISNUMBER(H103),ROUND(D103*H103,2),NA())</x:f>
        <x:v>17871.92</x:v>
      </x:c>
      <x:c r="J103" s="2" t="str">
        <x:v>Regelbestand laut Verkäufer</x:v>
      </x:c>
      <x:c r="K103" s="2" t="str">
        <x:v>Export KREDIT-ERF-20260930, Einzelbelege nicht im Datenraum</x:v>
      </x:c>
    </x:row>
    <x:row r="104" ht="22" customHeight="1">
      <x:c r="A104" s="2" t="str">
        <x:v>APB-0099</x:v>
      </x:c>
      <x:c r="B104" s="2" t="str">
        <x:v>Bestandskunde 0099</x:v>
      </x:c>
      <x:c r="C104" s="2" t="str">
        <x:v>Nur Verkäuferexport</x:v>
      </x:c>
      <x:c r="D104" s="9" t="n">
        <x:v>19563</x:v>
      </x:c>
      <x:c r="E104" s="9" t="n">
        <x:v>0</x:v>
      </x:c>
      <x:c r="F104" s="9" t="n">
        <x:v>0</x:v>
      </x:c>
      <x:c r="G104" s="11" t="n">
        <x:f>SUM(D104:F104)</x:f>
        <x:v>19563</x:v>
      </x:c>
      <x:c r="H104" s="10" t="n">
        <x:v>0.92</x:v>
      </x:c>
      <x:c r="I104" s="11" t="n">
        <x:f>IF(ISNUMBER(H104),ROUND(D104*H104,2),NA())</x:f>
        <x:v>17997.96</x:v>
      </x:c>
      <x:c r="J104" s="2" t="str">
        <x:v>Regelbestand laut Verkäufer</x:v>
      </x:c>
      <x:c r="K104" s="2" t="str">
        <x:v>Export KREDIT-ERF-20260930, Einzelbelege nicht im Datenraum</x:v>
      </x:c>
    </x:row>
    <x:row r="105" ht="22" customHeight="1">
      <x:c r="A105" s="2" t="str">
        <x:v>APB-0100</x:v>
      </x:c>
      <x:c r="B105" s="2" t="str">
        <x:v>Bestandskunde 0100</x:v>
      </x:c>
      <x:c r="C105" s="2" t="str">
        <x:v>Nur Verkäuferexport</x:v>
      </x:c>
      <x:c r="D105" s="9" t="n">
        <x:v>19700</x:v>
      </x:c>
      <x:c r="E105" s="9" t="n">
        <x:v>6.5</x:v>
      </x:c>
      <x:c r="F105" s="9" t="n">
        <x:v>0</x:v>
      </x:c>
      <x:c r="G105" s="11" t="n">
        <x:f>SUM(D105:F105)</x:f>
        <x:v>19706.5</x:v>
      </x:c>
      <x:c r="H105" s="10" t="n">
        <x:v>0.92</x:v>
      </x:c>
      <x:c r="I105" s="11" t="n">
        <x:f>IF(ISNUMBER(H105),ROUND(D105*H105,2),NA())</x:f>
        <x:v>18124</x:v>
      </x:c>
      <x:c r="J105" s="2" t="str">
        <x:v>Regelbestand laut Verkäufer</x:v>
      </x:c>
      <x:c r="K105" s="2" t="str">
        <x:v>Export KREDIT-ERF-20260930, Einzelbelege nicht im Datenraum</x:v>
      </x:c>
    </x:row>
    <x:row r="106" ht="22" customHeight="1">
      <x:c r="A106" s="2" t="str">
        <x:v>APB-0101</x:v>
      </x:c>
      <x:c r="B106" s="2" t="str">
        <x:v>Bestandskunde 0101</x:v>
      </x:c>
      <x:c r="C106" s="2" t="str">
        <x:v>Nur Verkäuferexport</x:v>
      </x:c>
      <x:c r="D106" s="9" t="n">
        <x:v>19837</x:v>
      </x:c>
      <x:c r="E106" s="9" t="n">
        <x:v>13</x:v>
      </x:c>
      <x:c r="F106" s="9" t="n">
        <x:v>0</x:v>
      </x:c>
      <x:c r="G106" s="11" t="n">
        <x:f>SUM(D106:F106)</x:f>
        <x:v>19850</x:v>
      </x:c>
      <x:c r="H106" s="10" t="n">
        <x:v>0.92</x:v>
      </x:c>
      <x:c r="I106" s="11" t="n">
        <x:f>IF(ISNUMBER(H106),ROUND(D106*H106,2),NA())</x:f>
        <x:v>18250.04</x:v>
      </x:c>
      <x:c r="J106" s="2" t="str">
        <x:v>Regelbestand laut Verkäufer</x:v>
      </x:c>
      <x:c r="K106" s="2" t="str">
        <x:v>Export KREDIT-ERF-20260930, Einzelbelege nicht im Datenraum</x:v>
      </x:c>
    </x:row>
    <x:row r="107" ht="22" customHeight="1">
      <x:c r="A107" s="2" t="str">
        <x:v>APB-0102</x:v>
      </x:c>
      <x:c r="B107" s="2" t="str">
        <x:v>Bestandskunde 0102</x:v>
      </x:c>
      <x:c r="C107" s="2" t="str">
        <x:v>Nur Verkäuferexport</x:v>
      </x:c>
      <x:c r="D107" s="9" t="n">
        <x:v>19974</x:v>
      </x:c>
      <x:c r="E107" s="9" t="n">
        <x:v>19.5</x:v>
      </x:c>
      <x:c r="F107" s="9" t="n">
        <x:v>0</x:v>
      </x:c>
      <x:c r="G107" s="11" t="n">
        <x:f>SUM(D107:F107)</x:f>
        <x:v>19993.5</x:v>
      </x:c>
      <x:c r="H107" s="10" t="n">
        <x:v>0.92</x:v>
      </x:c>
      <x:c r="I107" s="11" t="n">
        <x:f>IF(ISNUMBER(H107),ROUND(D107*H107,2),NA())</x:f>
        <x:v>18376.08</x:v>
      </x:c>
      <x:c r="J107" s="2" t="str">
        <x:v>Regelbestand laut Verkäufer</x:v>
      </x:c>
      <x:c r="K107" s="2" t="str">
        <x:v>Export KREDIT-ERF-20260930, Einzelbelege nicht im Datenraum</x:v>
      </x:c>
    </x:row>
    <x:row r="108" ht="22" customHeight="1">
      <x:c r="A108" s="2" t="str">
        <x:v>APB-0103</x:v>
      </x:c>
      <x:c r="B108" s="2" t="str">
        <x:v>Bestandskunde 0103</x:v>
      </x:c>
      <x:c r="C108" s="2" t="str">
        <x:v>Nur Verkäuferexport</x:v>
      </x:c>
      <x:c r="D108" s="9" t="n">
        <x:v>20111</x:v>
      </x:c>
      <x:c r="E108" s="9" t="n">
        <x:v>26</x:v>
      </x:c>
      <x:c r="F108" s="9" t="n">
        <x:v>0</x:v>
      </x:c>
      <x:c r="G108" s="11" t="n">
        <x:f>SUM(D108:F108)</x:f>
        <x:v>20137</x:v>
      </x:c>
      <x:c r="H108" s="10" t="n">
        <x:v>0.92</x:v>
      </x:c>
      <x:c r="I108" s="11" t="n">
        <x:f>IF(ISNUMBER(H108),ROUND(D108*H108,2),NA())</x:f>
        <x:v>18502.12</x:v>
      </x:c>
      <x:c r="J108" s="2" t="str">
        <x:v>Regelbestand laut Verkäufer</x:v>
      </x:c>
      <x:c r="K108" s="2" t="str">
        <x:v>Export KREDIT-ERF-20260930, Einzelbelege nicht im Datenraum</x:v>
      </x:c>
    </x:row>
    <x:row r="109" ht="22" customHeight="1">
      <x:c r="A109" s="2" t="str">
        <x:v>APB-0104</x:v>
      </x:c>
      <x:c r="B109" s="2" t="str">
        <x:v>Bestandskunde 0104</x:v>
      </x:c>
      <x:c r="C109" s="2" t="str">
        <x:v>Nur Verkäuferexport</x:v>
      </x:c>
      <x:c r="D109" s="9" t="n">
        <x:v>20248</x:v>
      </x:c>
      <x:c r="E109" s="9" t="n">
        <x:v>32.5</x:v>
      </x:c>
      <x:c r="F109" s="9" t="n">
        <x:v>0</x:v>
      </x:c>
      <x:c r="G109" s="11" t="n">
        <x:f>SUM(D109:F109)</x:f>
        <x:v>20280.5</x:v>
      </x:c>
      <x:c r="H109" s="10" t="n">
        <x:v>0.92</x:v>
      </x:c>
      <x:c r="I109" s="11" t="n">
        <x:f>IF(ISNUMBER(H109),ROUND(D109*H109,2),NA())</x:f>
        <x:v>18628.16</x:v>
      </x:c>
      <x:c r="J109" s="2" t="str">
        <x:v>Regelbestand laut Verkäufer</x:v>
      </x:c>
      <x:c r="K109" s="2" t="str">
        <x:v>Export KREDIT-ERF-20260930, Einzelbelege nicht im Datenraum</x:v>
      </x:c>
    </x:row>
    <x:row r="110" ht="22" customHeight="1">
      <x:c r="A110" s="2" t="str">
        <x:v>APB-0105</x:v>
      </x:c>
      <x:c r="B110" s="2" t="str">
        <x:v>Bestandskunde 0105</x:v>
      </x:c>
      <x:c r="C110" s="2" t="str">
        <x:v>Nur Verkäuferexport</x:v>
      </x:c>
      <x:c r="D110" s="9" t="n">
        <x:v>20385</x:v>
      </x:c>
      <x:c r="E110" s="9" t="n">
        <x:v>39</x:v>
      </x:c>
      <x:c r="F110" s="9" t="n">
        <x:v>0</x:v>
      </x:c>
      <x:c r="G110" s="11" t="n">
        <x:f>SUM(D110:F110)</x:f>
        <x:v>20424</x:v>
      </x:c>
      <x:c r="H110" s="10" t="n">
        <x:v>0.92</x:v>
      </x:c>
      <x:c r="I110" s="11" t="n">
        <x:f>IF(ISNUMBER(H110),ROUND(D110*H110,2),NA())</x:f>
        <x:v>18754.2</x:v>
      </x:c>
      <x:c r="J110" s="2" t="str">
        <x:v>Regelbestand laut Verkäufer</x:v>
      </x:c>
      <x:c r="K110" s="2" t="str">
        <x:v>Export KREDIT-ERF-20260930, Einzelbelege nicht im Datenraum</x:v>
      </x:c>
    </x:row>
    <x:row r="111" ht="22" customHeight="1">
      <x:c r="A111" s="2" t="str">
        <x:v>APB-0106</x:v>
      </x:c>
      <x:c r="B111" s="2" t="str">
        <x:v>Bestandskunde 0106</x:v>
      </x:c>
      <x:c r="C111" s="2" t="str">
        <x:v>Nur Verkäuferexport</x:v>
      </x:c>
      <x:c r="D111" s="9" t="n">
        <x:v>20522</x:v>
      </x:c>
      <x:c r="E111" s="9" t="n">
        <x:v>45.5</x:v>
      </x:c>
      <x:c r="F111" s="9" t="n">
        <x:v>0</x:v>
      </x:c>
      <x:c r="G111" s="11" t="n">
        <x:f>SUM(D111:F111)</x:f>
        <x:v>20567.5</x:v>
      </x:c>
      <x:c r="H111" s="10" t="n">
        <x:v>0.92</x:v>
      </x:c>
      <x:c r="I111" s="11" t="n">
        <x:f>IF(ISNUMBER(H111),ROUND(D111*H111,2),NA())</x:f>
        <x:v>18880.24</x:v>
      </x:c>
      <x:c r="J111" s="2" t="str">
        <x:v>Regelbestand laut Verkäufer</x:v>
      </x:c>
      <x:c r="K111" s="2" t="str">
        <x:v>Export KREDIT-ERF-20260930, Einzelbelege nicht im Datenraum</x:v>
      </x:c>
    </x:row>
    <x:row r="112" ht="22" customHeight="1">
      <x:c r="A112" s="2" t="str">
        <x:v>APB-0107</x:v>
      </x:c>
      <x:c r="B112" s="2" t="str">
        <x:v>Bestandskunde 0107</x:v>
      </x:c>
      <x:c r="C112" s="2" t="str">
        <x:v>Nur Verkäuferexport</x:v>
      </x:c>
      <x:c r="D112" s="9" t="n">
        <x:v>20659</x:v>
      </x:c>
      <x:c r="E112" s="9" t="n">
        <x:v>52</x:v>
      </x:c>
      <x:c r="F112" s="9" t="n">
        <x:v>0</x:v>
      </x:c>
      <x:c r="G112" s="11" t="n">
        <x:f>SUM(D112:F112)</x:f>
        <x:v>20711</x:v>
      </x:c>
      <x:c r="H112" s="10" t="n">
        <x:v>0.92</x:v>
      </x:c>
      <x:c r="I112" s="11" t="n">
        <x:f>IF(ISNUMBER(H112),ROUND(D112*H112,2),NA())</x:f>
        <x:v>19006.28</x:v>
      </x:c>
      <x:c r="J112" s="2" t="str">
        <x:v>Regelbestand laut Verkäufer</x:v>
      </x:c>
      <x:c r="K112" s="2" t="str">
        <x:v>Export KREDIT-ERF-20260930, Einzelbelege nicht im Datenraum</x:v>
      </x:c>
    </x:row>
    <x:row r="113" ht="22" customHeight="1">
      <x:c r="A113" s="2" t="str">
        <x:v>APB-0108</x:v>
      </x:c>
      <x:c r="B113" s="2" t="str">
        <x:v>Bestandskunde 0108</x:v>
      </x:c>
      <x:c r="C113" s="2" t="str">
        <x:v>Nur Verkäuferexport</x:v>
      </x:c>
      <x:c r="D113" s="9" t="n">
        <x:v>20796</x:v>
      </x:c>
      <x:c r="E113" s="9" t="n">
        <x:v>0</x:v>
      </x:c>
      <x:c r="F113" s="9" t="n">
        <x:v>0</x:v>
      </x:c>
      <x:c r="G113" s="11" t="n">
        <x:f>SUM(D113:F113)</x:f>
        <x:v>20796</x:v>
      </x:c>
      <x:c r="H113" s="10" t="n">
        <x:v>0.92</x:v>
      </x:c>
      <x:c r="I113" s="11" t="n">
        <x:f>IF(ISNUMBER(H113),ROUND(D113*H113,2),NA())</x:f>
        <x:v>19132.32</x:v>
      </x:c>
      <x:c r="J113" s="2" t="str">
        <x:v>Regelbestand laut Verkäufer</x:v>
      </x:c>
      <x:c r="K113" s="2" t="str">
        <x:v>Export KREDIT-ERF-20260930, Einzelbelege nicht im Datenraum</x:v>
      </x:c>
    </x:row>
    <x:row r="114" ht="22" customHeight="1">
      <x:c r="A114" s="2" t="str">
        <x:v>APB-0109</x:v>
      </x:c>
      <x:c r="B114" s="2" t="str">
        <x:v>Bestandskunde 0109</x:v>
      </x:c>
      <x:c r="C114" s="2" t="str">
        <x:v>Nur Verkäuferexport</x:v>
      </x:c>
      <x:c r="D114" s="9" t="n">
        <x:v>20933</x:v>
      </x:c>
      <x:c r="E114" s="9" t="n">
        <x:v>6.5</x:v>
      </x:c>
      <x:c r="F114" s="9" t="n">
        <x:v>0</x:v>
      </x:c>
      <x:c r="G114" s="11" t="n">
        <x:f>SUM(D114:F114)</x:f>
        <x:v>20939.5</x:v>
      </x:c>
      <x:c r="H114" s="10" t="n">
        <x:v>0.92</x:v>
      </x:c>
      <x:c r="I114" s="11" t="n">
        <x:f>IF(ISNUMBER(H114),ROUND(D114*H114,2),NA())</x:f>
        <x:v>19258.36</x:v>
      </x:c>
      <x:c r="J114" s="2" t="str">
        <x:v>Regelbestand laut Verkäufer</x:v>
      </x:c>
      <x:c r="K114" s="2" t="str">
        <x:v>Export KREDIT-ERF-20260930, Einzelbelege nicht im Datenraum</x:v>
      </x:c>
    </x:row>
    <x:row r="115" ht="22" customHeight="1">
      <x:c r="A115" s="2" t="str">
        <x:v>APB-0110</x:v>
      </x:c>
      <x:c r="B115" s="2" t="str">
        <x:v>Bestandskunde 0110</x:v>
      </x:c>
      <x:c r="C115" s="2" t="str">
        <x:v>Nur Verkäuferexport</x:v>
      </x:c>
      <x:c r="D115" s="9" t="n">
        <x:v>21070</x:v>
      </x:c>
      <x:c r="E115" s="9" t="n">
        <x:v>13</x:v>
      </x:c>
      <x:c r="F115" s="9" t="n">
        <x:v>0</x:v>
      </x:c>
      <x:c r="G115" s="11" t="n">
        <x:f>SUM(D115:F115)</x:f>
        <x:v>21083</x:v>
      </x:c>
      <x:c r="H115" s="10" t="n">
        <x:v>0.92</x:v>
      </x:c>
      <x:c r="I115" s="11" t="n">
        <x:f>IF(ISNUMBER(H115),ROUND(D115*H115,2),NA())</x:f>
        <x:v>19384.4</x:v>
      </x:c>
      <x:c r="J115" s="2" t="str">
        <x:v>Regelbestand laut Verkäufer</x:v>
      </x:c>
      <x:c r="K115" s="2" t="str">
        <x:v>Export KREDIT-ERF-20260930, Einzelbelege nicht im Datenraum</x:v>
      </x:c>
    </x:row>
    <x:row r="116" ht="22" customHeight="1">
      <x:c r="A116" s="2" t="str">
        <x:v>APB-0111</x:v>
      </x:c>
      <x:c r="B116" s="2" t="str">
        <x:v>Bestandskunde 0111</x:v>
      </x:c>
      <x:c r="C116" s="2" t="str">
        <x:v>Nur Verkäuferexport</x:v>
      </x:c>
      <x:c r="D116" s="9" t="n">
        <x:v>21207</x:v>
      </x:c>
      <x:c r="E116" s="9" t="n">
        <x:v>19.5</x:v>
      </x:c>
      <x:c r="F116" s="9" t="n">
        <x:v>0</x:v>
      </x:c>
      <x:c r="G116" s="11" t="n">
        <x:f>SUM(D116:F116)</x:f>
        <x:v>21226.5</x:v>
      </x:c>
      <x:c r="H116" s="10" t="n">
        <x:v>0.92</x:v>
      </x:c>
      <x:c r="I116" s="11" t="n">
        <x:f>IF(ISNUMBER(H116),ROUND(D116*H116,2),NA())</x:f>
        <x:v>19510.44</x:v>
      </x:c>
      <x:c r="J116" s="2" t="str">
        <x:v>Regelbestand laut Verkäufer</x:v>
      </x:c>
      <x:c r="K116" s="2" t="str">
        <x:v>Export KREDIT-ERF-20260930, Einzelbelege nicht im Datenraum</x:v>
      </x:c>
    </x:row>
    <x:row r="117" ht="22" customHeight="1">
      <x:c r="A117" s="2" t="str">
        <x:v>APB-0112</x:v>
      </x:c>
      <x:c r="B117" s="2" t="str">
        <x:v>Bestandskunde 0112</x:v>
      </x:c>
      <x:c r="C117" s="2" t="str">
        <x:v>Nur Verkäuferexport</x:v>
      </x:c>
      <x:c r="D117" s="9" t="n">
        <x:v>21344</x:v>
      </x:c>
      <x:c r="E117" s="9" t="n">
        <x:v>26</x:v>
      </x:c>
      <x:c r="F117" s="9" t="n">
        <x:v>0</x:v>
      </x:c>
      <x:c r="G117" s="11" t="n">
        <x:f>SUM(D117:F117)</x:f>
        <x:v>21370</x:v>
      </x:c>
      <x:c r="H117" s="10" t="n">
        <x:v>0.92</x:v>
      </x:c>
      <x:c r="I117" s="11" t="n">
        <x:f>IF(ISNUMBER(H117),ROUND(D117*H117,2),NA())</x:f>
        <x:v>19636.48</x:v>
      </x:c>
      <x:c r="J117" s="2" t="str">
        <x:v>Regelbestand laut Verkäufer</x:v>
      </x:c>
      <x:c r="K117" s="2" t="str">
        <x:v>Export KREDIT-ERF-20260930, Einzelbelege nicht im Datenraum</x:v>
      </x:c>
    </x:row>
    <x:row r="118" ht="22" customHeight="1">
      <x:c r="A118" s="2" t="str">
        <x:v>APB-0113</x:v>
      </x:c>
      <x:c r="B118" s="2" t="str">
        <x:v>Bestandskunde 0113</x:v>
      </x:c>
      <x:c r="C118" s="2" t="str">
        <x:v>Nur Verkäuferexport</x:v>
      </x:c>
      <x:c r="D118" s="9" t="n">
        <x:v>21481</x:v>
      </x:c>
      <x:c r="E118" s="9" t="n">
        <x:v>32.5</x:v>
      </x:c>
      <x:c r="F118" s="9" t="n">
        <x:v>0</x:v>
      </x:c>
      <x:c r="G118" s="11" t="n">
        <x:f>SUM(D118:F118)</x:f>
        <x:v>21513.5</x:v>
      </x:c>
      <x:c r="H118" s="10" t="n">
        <x:v>0.92</x:v>
      </x:c>
      <x:c r="I118" s="11" t="n">
        <x:f>IF(ISNUMBER(H118),ROUND(D118*H118,2),NA())</x:f>
        <x:v>19762.52</x:v>
      </x:c>
      <x:c r="J118" s="2" t="str">
        <x:v>Regelbestand laut Verkäufer</x:v>
      </x:c>
      <x:c r="K118" s="2" t="str">
        <x:v>Export KREDIT-ERF-20260930, Einzelbelege nicht im Datenraum</x:v>
      </x:c>
    </x:row>
    <x:row r="119" ht="22" customHeight="1">
      <x:c r="A119" s="2" t="str">
        <x:v>APB-0114</x:v>
      </x:c>
      <x:c r="B119" s="2" t="str">
        <x:v>Bestandskunde 0114</x:v>
      </x:c>
      <x:c r="C119" s="2" t="str">
        <x:v>Nur Verkäuferexport</x:v>
      </x:c>
      <x:c r="D119" s="9" t="n">
        <x:v>21618</x:v>
      </x:c>
      <x:c r="E119" s="9" t="n">
        <x:v>39</x:v>
      </x:c>
      <x:c r="F119" s="9" t="n">
        <x:v>0</x:v>
      </x:c>
      <x:c r="G119" s="11" t="n">
        <x:f>SUM(D119:F119)</x:f>
        <x:v>21657</x:v>
      </x:c>
      <x:c r="H119" s="10" t="n">
        <x:v>0.92</x:v>
      </x:c>
      <x:c r="I119" s="11" t="n">
        <x:f>IF(ISNUMBER(H119),ROUND(D119*H119,2),NA())</x:f>
        <x:v>19888.56</x:v>
      </x:c>
      <x:c r="J119" s="2" t="str">
        <x:v>Regelbestand laut Verkäufer</x:v>
      </x:c>
      <x:c r="K119" s="2" t="str">
        <x:v>Export KREDIT-ERF-20260930, Einzelbelege nicht im Datenraum</x:v>
      </x:c>
    </x:row>
    <x:row r="120" ht="22" customHeight="1">
      <x:c r="A120" s="2" t="str">
        <x:v>APB-0115</x:v>
      </x:c>
      <x:c r="B120" s="2" t="str">
        <x:v>Bestandskunde 0115</x:v>
      </x:c>
      <x:c r="C120" s="2" t="str">
        <x:v>Nur Verkäuferexport</x:v>
      </x:c>
      <x:c r="D120" s="9" t="n">
        <x:v>21755</x:v>
      </x:c>
      <x:c r="E120" s="9" t="n">
        <x:v>45.5</x:v>
      </x:c>
      <x:c r="F120" s="9" t="n">
        <x:v>0</x:v>
      </x:c>
      <x:c r="G120" s="11" t="n">
        <x:f>SUM(D120:F120)</x:f>
        <x:v>21800.5</x:v>
      </x:c>
      <x:c r="H120" s="10" t="n">
        <x:v>0.92</x:v>
      </x:c>
      <x:c r="I120" s="11" t="n">
        <x:f>IF(ISNUMBER(H120),ROUND(D120*H120,2),NA())</x:f>
        <x:v>20014.6</x:v>
      </x:c>
      <x:c r="J120" s="2" t="str">
        <x:v>Regelbestand laut Verkäufer</x:v>
      </x:c>
      <x:c r="K120" s="2" t="str">
        <x:v>Export KREDIT-ERF-20260930, Einzelbelege nicht im Datenraum</x:v>
      </x:c>
    </x:row>
    <x:row r="121" ht="22" customHeight="1">
      <x:c r="A121" s="2" t="str">
        <x:v>APB-0116</x:v>
      </x:c>
      <x:c r="B121" s="2" t="str">
        <x:v>Bestandskunde 0116</x:v>
      </x:c>
      <x:c r="C121" s="2" t="str">
        <x:v>Nur Verkäuferexport</x:v>
      </x:c>
      <x:c r="D121" s="9" t="n">
        <x:v>21892</x:v>
      </x:c>
      <x:c r="E121" s="9" t="n">
        <x:v>52</x:v>
      </x:c>
      <x:c r="F121" s="9" t="n">
        <x:v>15</x:v>
      </x:c>
      <x:c r="G121" s="11" t="n">
        <x:f>SUM(D121:F121)</x:f>
        <x:v>21959</x:v>
      </x:c>
      <x:c r="H121" s="10" t="n">
        <x:v>0.92</x:v>
      </x:c>
      <x:c r="I121" s="11" t="n">
        <x:f>IF(ISNUMBER(H121),ROUND(D121*H121,2),NA())</x:f>
        <x:v>20140.64</x:v>
      </x:c>
      <x:c r="J121" s="2" t="str">
        <x:v>Zahlungslücke im Export</x:v>
      </x:c>
      <x:c r="K121" s="2" t="str">
        <x:v>Export KREDIT-ERF-20260930, Einzelbelege nicht im Datenraum</x:v>
      </x:c>
    </x:row>
    <x:row r="122" ht="22" customHeight="1">
      <x:c r="A122" s="2" t="str">
        <x:v>APB-0117</x:v>
      </x:c>
      <x:c r="B122" s="2" t="str">
        <x:v>Bestandskunde 0117</x:v>
      </x:c>
      <x:c r="C122" s="2" t="str">
        <x:v>Nur Verkäuferexport</x:v>
      </x:c>
      <x:c r="D122" s="9" t="n">
        <x:v>22029</x:v>
      </x:c>
      <x:c r="E122" s="9" t="n">
        <x:v>0</x:v>
      </x:c>
      <x:c r="F122" s="9" t="n">
        <x:v>0</x:v>
      </x:c>
      <x:c r="G122" s="11" t="n">
        <x:f>SUM(D122:F122)</x:f>
        <x:v>22029</x:v>
      </x:c>
      <x:c r="H122" s="10" t="n">
        <x:v>0.92</x:v>
      </x:c>
      <x:c r="I122" s="11" t="n">
        <x:f>IF(ISNUMBER(H122),ROUND(D122*H122,2),NA())</x:f>
        <x:v>20266.68</x:v>
      </x:c>
      <x:c r="J122" s="2" t="str">
        <x:v>Regelbestand laut Verkäufer</x:v>
      </x:c>
      <x:c r="K122" s="2" t="str">
        <x:v>Export KREDIT-ERF-20260930, Einzelbelege nicht im Datenraum</x:v>
      </x:c>
    </x:row>
    <x:row r="123" ht="22" customHeight="1">
      <x:c r="A123" s="2" t="str">
        <x:v>APB-0118</x:v>
      </x:c>
      <x:c r="B123" s="2" t="str">
        <x:v>Bestandskunde 0118</x:v>
      </x:c>
      <x:c r="C123" s="2" t="str">
        <x:v>Nur Verkäuferexport</x:v>
      </x:c>
      <x:c r="D123" s="9" t="n">
        <x:v>22166</x:v>
      </x:c>
      <x:c r="E123" s="9" t="n">
        <x:v>6.5</x:v>
      </x:c>
      <x:c r="F123" s="9" t="n">
        <x:v>0</x:v>
      </x:c>
      <x:c r="G123" s="11" t="n">
        <x:f>SUM(D123:F123)</x:f>
        <x:v>22172.5</x:v>
      </x:c>
      <x:c r="H123" s="10" t="n">
        <x:v>0.92</x:v>
      </x:c>
      <x:c r="I123" s="11" t="n">
        <x:f>IF(ISNUMBER(H123),ROUND(D123*H123,2),NA())</x:f>
        <x:v>20392.72</x:v>
      </x:c>
      <x:c r="J123" s="2" t="str">
        <x:v>Regelbestand laut Verkäufer</x:v>
      </x:c>
      <x:c r="K123" s="2" t="str">
        <x:v>Export KREDIT-ERF-20260930, Einzelbelege nicht im Datenraum</x:v>
      </x:c>
    </x:row>
    <x:row r="124" ht="22" customHeight="1">
      <x:c r="A124" s="2" t="str">
        <x:v>APB-0119</x:v>
      </x:c>
      <x:c r="B124" s="2" t="str">
        <x:v>Bestandskunde 0119</x:v>
      </x:c>
      <x:c r="C124" s="2" t="str">
        <x:v>Nur Verkäuferexport</x:v>
      </x:c>
      <x:c r="D124" s="9" t="n">
        <x:v>22303</x:v>
      </x:c>
      <x:c r="E124" s="9" t="n">
        <x:v>13</x:v>
      </x:c>
      <x:c r="F124" s="9" t="n">
        <x:v>0</x:v>
      </x:c>
      <x:c r="G124" s="11" t="n">
        <x:f>SUM(D124:F124)</x:f>
        <x:v>22316</x:v>
      </x:c>
      <x:c r="H124" s="10" t="n">
        <x:v>0.92</x:v>
      </x:c>
      <x:c r="I124" s="11" t="n">
        <x:f>IF(ISNUMBER(H124),ROUND(D124*H124,2),NA())</x:f>
        <x:v>20518.76</x:v>
      </x:c>
      <x:c r="J124" s="2" t="str">
        <x:v>Regelbestand laut Verkäufer</x:v>
      </x:c>
      <x:c r="K124" s="2" t="str">
        <x:v>Export KREDIT-ERF-20260930, Einzelbelege nicht im Datenraum</x:v>
      </x:c>
    </x:row>
    <x:row r="125" ht="22" customHeight="1">
      <x:c r="A125" s="2" t="str">
        <x:v>APB-0120</x:v>
      </x:c>
      <x:c r="B125" s="2" t="str">
        <x:v>Bestandskunde 0120</x:v>
      </x:c>
      <x:c r="C125" s="2" t="str">
        <x:v>Nur Verkäuferexport</x:v>
      </x:c>
      <x:c r="D125" s="9" t="n">
        <x:v>22440</x:v>
      </x:c>
      <x:c r="E125" s="9" t="n">
        <x:v>19.5</x:v>
      </x:c>
      <x:c r="F125" s="9" t="n">
        <x:v>0</x:v>
      </x:c>
      <x:c r="G125" s="11" t="n">
        <x:f>SUM(D125:F125)</x:f>
        <x:v>22459.5</x:v>
      </x:c>
      <x:c r="H125" s="10" t="n">
        <x:v>0.92</x:v>
      </x:c>
      <x:c r="I125" s="11" t="n">
        <x:f>IF(ISNUMBER(H125),ROUND(D125*H125,2),NA())</x:f>
        <x:v>20644.8</x:v>
      </x:c>
      <x:c r="J125" s="2" t="str">
        <x:v>Regelbestand laut Verkäufer</x:v>
      </x:c>
      <x:c r="K125" s="2" t="str">
        <x:v>Export KREDIT-ERF-20260930, Einzelbelege nicht im Datenraum</x:v>
      </x:c>
    </x:row>
    <x:row r="126" ht="22" customHeight="1">
      <x:c r="A126" s="2" t="str">
        <x:v>APB-0121</x:v>
      </x:c>
      <x:c r="B126" s="2" t="str">
        <x:v>Bestandskunde 0121</x:v>
      </x:c>
      <x:c r="C126" s="2" t="str">
        <x:v>Nur Verkäuferexport</x:v>
      </x:c>
      <x:c r="D126" s="9" t="n">
        <x:v>22577</x:v>
      </x:c>
      <x:c r="E126" s="9" t="n">
        <x:v>26</x:v>
      </x:c>
      <x:c r="F126" s="9" t="n">
        <x:v>0</x:v>
      </x:c>
      <x:c r="G126" s="11" t="n">
        <x:f>SUM(D126:F126)</x:f>
        <x:v>22603</x:v>
      </x:c>
      <x:c r="H126" s="10" t="n">
        <x:v>0.92</x:v>
      </x:c>
      <x:c r="I126" s="11" t="n">
        <x:f>IF(ISNUMBER(H126),ROUND(D126*H126,2),NA())</x:f>
        <x:v>20770.84</x:v>
      </x:c>
      <x:c r="J126" s="2" t="str">
        <x:v>Regelbestand laut Verkäufer</x:v>
      </x:c>
      <x:c r="K126" s="2" t="str">
        <x:v>Export KREDIT-ERF-20260930, Einzelbelege nicht im Datenraum</x:v>
      </x:c>
    </x:row>
    <x:row r="127" ht="22" customHeight="1">
      <x:c r="A127" s="2" t="str">
        <x:v>APB-0122</x:v>
      </x:c>
      <x:c r="B127" s="2" t="str">
        <x:v>Bestandskunde 0122</x:v>
      </x:c>
      <x:c r="C127" s="2" t="str">
        <x:v>Nur Verkäuferexport</x:v>
      </x:c>
      <x:c r="D127" s="9" t="n">
        <x:v>22714</x:v>
      </x:c>
      <x:c r="E127" s="9" t="n">
        <x:v>32.5</x:v>
      </x:c>
      <x:c r="F127" s="9" t="n">
        <x:v>0</x:v>
      </x:c>
      <x:c r="G127" s="11" t="n">
        <x:f>SUM(D127:F127)</x:f>
        <x:v>22746.5</x:v>
      </x:c>
      <x:c r="H127" s="10" t="n">
        <x:v>0.92</x:v>
      </x:c>
      <x:c r="I127" s="11" t="n">
        <x:f>IF(ISNUMBER(H127),ROUND(D127*H127,2),NA())</x:f>
        <x:v>20896.88</x:v>
      </x:c>
      <x:c r="J127" s="2" t="str">
        <x:v>Regelbestand laut Verkäufer</x:v>
      </x:c>
      <x:c r="K127" s="2" t="str">
        <x:v>Export KREDIT-ERF-20260930, Einzelbelege nicht im Datenraum</x:v>
      </x:c>
    </x:row>
    <x:row r="128" ht="22" customHeight="1">
      <x:c r="A128" s="2" t="str">
        <x:v>APB-0123</x:v>
      </x:c>
      <x:c r="B128" s="2" t="str">
        <x:v>Bestandskunde 0123</x:v>
      </x:c>
      <x:c r="C128" s="2" t="str">
        <x:v>Nur Verkäuferexport</x:v>
      </x:c>
      <x:c r="D128" s="9" t="n">
        <x:v>22851</x:v>
      </x:c>
      <x:c r="E128" s="9" t="n">
        <x:v>39</x:v>
      </x:c>
      <x:c r="F128" s="9" t="n">
        <x:v>0</x:v>
      </x:c>
      <x:c r="G128" s="11" t="n">
        <x:f>SUM(D128:F128)</x:f>
        <x:v>22890</x:v>
      </x:c>
      <x:c r="H128" s="10" t="n">
        <x:v>0.92</x:v>
      </x:c>
      <x:c r="I128" s="11" t="n">
        <x:f>IF(ISNUMBER(H128),ROUND(D128*H128,2),NA())</x:f>
        <x:v>21022.92</x:v>
      </x:c>
      <x:c r="J128" s="2" t="str">
        <x:v>Regelbestand laut Verkäufer</x:v>
      </x:c>
      <x:c r="K128" s="2" t="str">
        <x:v>Export KREDIT-ERF-20260930, Einzelbelege nicht im Datenraum</x:v>
      </x:c>
    </x:row>
    <x:row r="129" ht="22" customHeight="1">
      <x:c r="A129" s="2" t="str">
        <x:v>APB-0124</x:v>
      </x:c>
      <x:c r="B129" s="2" t="str">
        <x:v>Bestandskunde 0124</x:v>
      </x:c>
      <x:c r="C129" s="2" t="str">
        <x:v>Nur Verkäuferexport</x:v>
      </x:c>
      <x:c r="D129" s="9" t="n">
        <x:v>22988</x:v>
      </x:c>
      <x:c r="E129" s="9" t="n">
        <x:v>45.5</x:v>
      </x:c>
      <x:c r="F129" s="9" t="n">
        <x:v>0</x:v>
      </x:c>
      <x:c r="G129" s="11" t="n">
        <x:f>SUM(D129:F129)</x:f>
        <x:v>23033.5</x:v>
      </x:c>
      <x:c r="H129" s="10" t="n">
        <x:v>0.92</x:v>
      </x:c>
      <x:c r="I129" s="11" t="n">
        <x:f>IF(ISNUMBER(H129),ROUND(D129*H129,2),NA())</x:f>
        <x:v>21148.96</x:v>
      </x:c>
      <x:c r="J129" s="2" t="str">
        <x:v>Regelbestand laut Verkäufer</x:v>
      </x:c>
      <x:c r="K129" s="2" t="str">
        <x:v>Export KREDIT-ERF-20260930, Einzelbelege nicht im Datenraum</x:v>
      </x:c>
    </x:row>
    <x:row r="130" ht="22" customHeight="1">
      <x:c r="A130" s="2" t="str">
        <x:v>APB-0125</x:v>
      </x:c>
      <x:c r="B130" s="2" t="str">
        <x:v>Bestandskunde 0125</x:v>
      </x:c>
      <x:c r="C130" s="2" t="str">
        <x:v>Nur Verkäuferexport</x:v>
      </x:c>
      <x:c r="D130" s="9" t="n">
        <x:v>23125</x:v>
      </x:c>
      <x:c r="E130" s="9" t="n">
        <x:v>52</x:v>
      </x:c>
      <x:c r="F130" s="9" t="n">
        <x:v>0</x:v>
      </x:c>
      <x:c r="G130" s="11" t="n">
        <x:f>SUM(D130:F130)</x:f>
        <x:v>23177</x:v>
      </x:c>
      <x:c r="H130" s="10" t="n">
        <x:v>0.92</x:v>
      </x:c>
      <x:c r="I130" s="11" t="n">
        <x:f>IF(ISNUMBER(H130),ROUND(D130*H130,2),NA())</x:f>
        <x:v>21275</x:v>
      </x:c>
      <x:c r="J130" s="2" t="str">
        <x:v>Regelbestand laut Verkäufer</x:v>
      </x:c>
      <x:c r="K130" s="2" t="str">
        <x:v>Export KREDIT-ERF-20260930, Einzelbelege nicht im Datenraum</x:v>
      </x:c>
    </x:row>
    <x:row r="131" ht="22" customHeight="1">
      <x:c r="A131" s="2" t="str">
        <x:v>APB-0126</x:v>
      </x:c>
      <x:c r="B131" s="2" t="str">
        <x:v>Bestandskunde 0126</x:v>
      </x:c>
      <x:c r="C131" s="2" t="str">
        <x:v>Nur Verkäuferexport</x:v>
      </x:c>
      <x:c r="D131" s="9" t="n">
        <x:v>23262</x:v>
      </x:c>
      <x:c r="E131" s="9" t="n">
        <x:v>0</x:v>
      </x:c>
      <x:c r="F131" s="9" t="n">
        <x:v>0</x:v>
      </x:c>
      <x:c r="G131" s="11" t="n">
        <x:f>SUM(D131:F131)</x:f>
        <x:v>23262</x:v>
      </x:c>
      <x:c r="H131" s="10" t="n">
        <x:v>0.92</x:v>
      </x:c>
      <x:c r="I131" s="11" t="n">
        <x:f>IF(ISNUMBER(H131),ROUND(D131*H131,2),NA())</x:f>
        <x:v>21401.04</x:v>
      </x:c>
      <x:c r="J131" s="2" t="str">
        <x:v>Regelbestand laut Verkäufer</x:v>
      </x:c>
      <x:c r="K131" s="2" t="str">
        <x:v>Export KREDIT-ERF-20260930, Einzelbelege nicht im Datenraum</x:v>
      </x:c>
    </x:row>
    <x:row r="132" ht="22" customHeight="1">
      <x:c r="A132" s="2" t="str">
        <x:v>APB-0127</x:v>
      </x:c>
      <x:c r="B132" s="2" t="str">
        <x:v>Bestandskunde 0127</x:v>
      </x:c>
      <x:c r="C132" s="2" t="str">
        <x:v>Nur Verkäuferexport</x:v>
      </x:c>
      <x:c r="D132" s="9" t="n">
        <x:v>23399</x:v>
      </x:c>
      <x:c r="E132" s="9" t="n">
        <x:v>6.5</x:v>
      </x:c>
      <x:c r="F132" s="9" t="n">
        <x:v>0</x:v>
      </x:c>
      <x:c r="G132" s="11" t="n">
        <x:f>SUM(D132:F132)</x:f>
        <x:v>23405.5</x:v>
      </x:c>
      <x:c r="H132" s="10" t="n">
        <x:v>0.92</x:v>
      </x:c>
      <x:c r="I132" s="11" t="n">
        <x:f>IF(ISNUMBER(H132),ROUND(D132*H132,2),NA())</x:f>
        <x:v>21527.08</x:v>
      </x:c>
      <x:c r="J132" s="2" t="str">
        <x:v>Regelbestand laut Verkäufer</x:v>
      </x:c>
      <x:c r="K132" s="2" t="str">
        <x:v>Export KREDIT-ERF-20260930, Einzelbelege nicht im Datenraum</x:v>
      </x:c>
    </x:row>
    <x:row r="133" ht="22" customHeight="1">
      <x:c r="A133" s="2" t="str">
        <x:v>APB-0128</x:v>
      </x:c>
      <x:c r="B133" s="2" t="str">
        <x:v>Bestandskunde 0128</x:v>
      </x:c>
      <x:c r="C133" s="2" t="str">
        <x:v>Nur Verkäuferexport</x:v>
      </x:c>
      <x:c r="D133" s="9" t="n">
        <x:v>23536</x:v>
      </x:c>
      <x:c r="E133" s="9" t="n">
        <x:v>13</x:v>
      </x:c>
      <x:c r="F133" s="9" t="n">
        <x:v>0</x:v>
      </x:c>
      <x:c r="G133" s="11" t="n">
        <x:f>SUM(D133:F133)</x:f>
        <x:v>23549</x:v>
      </x:c>
      <x:c r="H133" s="10" t="n">
        <x:v>0.92</x:v>
      </x:c>
      <x:c r="I133" s="11" t="n">
        <x:f>IF(ISNUMBER(H133),ROUND(D133*H133,2),NA())</x:f>
        <x:v>21653.12</x:v>
      </x:c>
      <x:c r="J133" s="2" t="str">
        <x:v>Regelbestand laut Verkäufer</x:v>
      </x:c>
      <x:c r="K133" s="2" t="str">
        <x:v>Export KREDIT-ERF-20260930, Einzelbelege nicht im Datenraum</x:v>
      </x:c>
    </x:row>
    <x:row r="134" ht="22" customHeight="1">
      <x:c r="A134" s="2" t="str">
        <x:v>APB-0129</x:v>
      </x:c>
      <x:c r="B134" s="2" t="str">
        <x:v>Bestandskunde 0129</x:v>
      </x:c>
      <x:c r="C134" s="2" t="str">
        <x:v>Nur Verkäuferexport</x:v>
      </x:c>
      <x:c r="D134" s="9" t="n">
        <x:v>23673</x:v>
      </x:c>
      <x:c r="E134" s="9" t="n">
        <x:v>19.5</x:v>
      </x:c>
      <x:c r="F134" s="9" t="n">
        <x:v>0</x:v>
      </x:c>
      <x:c r="G134" s="11" t="n">
        <x:f>SUM(D134:F134)</x:f>
        <x:v>23692.5</x:v>
      </x:c>
      <x:c r="H134" s="10" t="n">
        <x:v>0.92</x:v>
      </x:c>
      <x:c r="I134" s="11" t="n">
        <x:f>IF(ISNUMBER(H134),ROUND(D134*H134,2),NA())</x:f>
        <x:v>21779.16</x:v>
      </x:c>
      <x:c r="J134" s="2" t="str">
        <x:v>Regelbestand laut Verkäufer</x:v>
      </x:c>
      <x:c r="K134" s="2" t="str">
        <x:v>Export KREDIT-ERF-20260930, Einzelbelege nicht im Datenraum</x:v>
      </x:c>
    </x:row>
    <x:row r="135" ht="22" customHeight="1">
      <x:c r="A135" s="2" t="str">
        <x:v>APB-0130</x:v>
      </x:c>
      <x:c r="B135" s="2" t="str">
        <x:v>Bestandskunde 0130</x:v>
      </x:c>
      <x:c r="C135" s="2" t="str">
        <x:v>Nur Verkäuferexport</x:v>
      </x:c>
      <x:c r="D135" s="9" t="n">
        <x:v>23810</x:v>
      </x:c>
      <x:c r="E135" s="9" t="n">
        <x:v>26</x:v>
      </x:c>
      <x:c r="F135" s="9" t="n">
        <x:v>0</x:v>
      </x:c>
      <x:c r="G135" s="11" t="n">
        <x:f>SUM(D135:F135)</x:f>
        <x:v>23836</x:v>
      </x:c>
      <x:c r="H135" s="10" t="n">
        <x:v>0.92</x:v>
      </x:c>
      <x:c r="I135" s="11" t="n">
        <x:f>IF(ISNUMBER(H135),ROUND(D135*H135,2),NA())</x:f>
        <x:v>21905.2</x:v>
      </x:c>
      <x:c r="J135" s="2" t="str">
        <x:v>Regelbestand laut Verkäufer</x:v>
      </x:c>
      <x:c r="K135" s="2" t="str">
        <x:v>Export KREDIT-ERF-20260930, Einzelbelege nicht im Datenraum</x:v>
      </x:c>
    </x:row>
    <x:row r="136" ht="22" customHeight="1">
      <x:c r="A136" s="2" t="str">
        <x:v>APB-0131</x:v>
      </x:c>
      <x:c r="B136" s="2" t="str">
        <x:v>Bestandskunde 0131</x:v>
      </x:c>
      <x:c r="C136" s="2" t="str">
        <x:v>Nur Verkäuferexport</x:v>
      </x:c>
      <x:c r="D136" s="9" t="n">
        <x:v>23947</x:v>
      </x:c>
      <x:c r="E136" s="9" t="n">
        <x:v>32.5</x:v>
      </x:c>
      <x:c r="F136" s="9" t="n">
        <x:v>0</x:v>
      </x:c>
      <x:c r="G136" s="11" t="n">
        <x:f>SUM(D136:F136)</x:f>
        <x:v>23979.5</x:v>
      </x:c>
      <x:c r="H136" s="10" t="n">
        <x:v>0.92</x:v>
      </x:c>
      <x:c r="I136" s="11" t="n">
        <x:f>IF(ISNUMBER(H136),ROUND(D136*H136,2),NA())</x:f>
        <x:v>22031.24</x:v>
      </x:c>
      <x:c r="J136" s="2" t="str">
        <x:v>Regelbestand laut Verkäufer</x:v>
      </x:c>
      <x:c r="K136" s="2" t="str">
        <x:v>Export KREDIT-ERF-20260930, Einzelbelege nicht im Datenraum</x:v>
      </x:c>
    </x:row>
    <x:row r="137" ht="22" customHeight="1">
      <x:c r="A137" s="2" t="str">
        <x:v>APB-0132</x:v>
      </x:c>
      <x:c r="B137" s="2" t="str">
        <x:v>Bestandskunde 0132</x:v>
      </x:c>
      <x:c r="C137" s="2" t="str">
        <x:v>Nur Verkäuferexport</x:v>
      </x:c>
      <x:c r="D137" s="9" t="n">
        <x:v>24084</x:v>
      </x:c>
      <x:c r="E137" s="9" t="n">
        <x:v>39</x:v>
      </x:c>
      <x:c r="F137" s="9" t="n">
        <x:v>0</x:v>
      </x:c>
      <x:c r="G137" s="11" t="n">
        <x:f>SUM(D137:F137)</x:f>
        <x:v>24123</x:v>
      </x:c>
      <x:c r="H137" s="10" t="n">
        <x:v>0.92</x:v>
      </x:c>
      <x:c r="I137" s="11" t="n">
        <x:f>IF(ISNUMBER(H137),ROUND(D137*H137,2),NA())</x:f>
        <x:v>22157.28</x:v>
      </x:c>
      <x:c r="J137" s="2" t="str">
        <x:v>Regelbestand laut Verkäufer</x:v>
      </x:c>
      <x:c r="K137" s="2" t="str">
        <x:v>Export KREDIT-ERF-20260930, Einzelbelege nicht im Datenraum</x:v>
      </x:c>
    </x:row>
    <x:row r="138" ht="22" customHeight="1">
      <x:c r="A138" s="2" t="str">
        <x:v>APB-0133</x:v>
      </x:c>
      <x:c r="B138" s="2" t="str">
        <x:v>Bestandskunde 0133</x:v>
      </x:c>
      <x:c r="C138" s="2" t="str">
        <x:v>Nur Verkäuferexport</x:v>
      </x:c>
      <x:c r="D138" s="9" t="n">
        <x:v>24221</x:v>
      </x:c>
      <x:c r="E138" s="9" t="n">
        <x:v>45.5</x:v>
      </x:c>
      <x:c r="F138" s="9" t="n">
        <x:v>0</x:v>
      </x:c>
      <x:c r="G138" s="11" t="n">
        <x:f>SUM(D138:F138)</x:f>
        <x:v>24266.5</x:v>
      </x:c>
      <x:c r="H138" s="10" t="n">
        <x:v>0.92</x:v>
      </x:c>
      <x:c r="I138" s="11" t="n">
        <x:f>IF(ISNUMBER(H138),ROUND(D138*H138,2),NA())</x:f>
        <x:v>22283.32</x:v>
      </x:c>
      <x:c r="J138" s="2" t="str">
        <x:v>Regelbestand laut Verkäufer</x:v>
      </x:c>
      <x:c r="K138" s="2" t="str">
        <x:v>Export KREDIT-ERF-20260930, Einzelbelege nicht im Datenraum</x:v>
      </x:c>
    </x:row>
    <x:row r="139" ht="22" customHeight="1">
      <x:c r="A139" s="2" t="str">
        <x:v>APB-0134</x:v>
      </x:c>
      <x:c r="B139" s="2" t="str">
        <x:v>Bestandskunde 0134</x:v>
      </x:c>
      <x:c r="C139" s="2" t="str">
        <x:v>Nur Verkäuferexport</x:v>
      </x:c>
      <x:c r="D139" s="9" t="n">
        <x:v>24358</x:v>
      </x:c>
      <x:c r="E139" s="9" t="n">
        <x:v>52</x:v>
      </x:c>
      <x:c r="F139" s="9" t="n">
        <x:v>0</x:v>
      </x:c>
      <x:c r="G139" s="11" t="n">
        <x:f>SUM(D139:F139)</x:f>
        <x:v>24410</x:v>
      </x:c>
      <x:c r="H139" s="10" t="n">
        <x:v>0.92</x:v>
      </x:c>
      <x:c r="I139" s="11" t="n">
        <x:f>IF(ISNUMBER(H139),ROUND(D139*H139,2),NA())</x:f>
        <x:v>22409.36</x:v>
      </x:c>
      <x:c r="J139" s="2" t="str">
        <x:v>Regelbestand laut Verkäufer</x:v>
      </x:c>
      <x:c r="K139" s="2" t="str">
        <x:v>Export KREDIT-ERF-20260930, Einzelbelege nicht im Datenraum</x:v>
      </x:c>
    </x:row>
    <x:row r="140" ht="22" customHeight="1">
      <x:c r="A140" s="2" t="str">
        <x:v>APB-0135</x:v>
      </x:c>
      <x:c r="B140" s="2" t="str">
        <x:v>Bestandskunde 0135</x:v>
      </x:c>
      <x:c r="C140" s="2" t="str">
        <x:v>Nur Verkäuferexport</x:v>
      </x:c>
      <x:c r="D140" s="9" t="n">
        <x:v>24495</x:v>
      </x:c>
      <x:c r="E140" s="9" t="n">
        <x:v>0</x:v>
      </x:c>
      <x:c r="F140" s="9" t="n">
        <x:v>0</x:v>
      </x:c>
      <x:c r="G140" s="11" t="n">
        <x:f>SUM(D140:F140)</x:f>
        <x:v>24495</x:v>
      </x:c>
      <x:c r="H140" s="10" t="n">
        <x:v>0.92</x:v>
      </x:c>
      <x:c r="I140" s="11" t="n">
        <x:f>IF(ISNUMBER(H140),ROUND(D140*H140,2),NA())</x:f>
        <x:v>22535.4</x:v>
      </x:c>
      <x:c r="J140" s="2" t="str">
        <x:v>Regelbestand laut Verkäufer</x:v>
      </x:c>
      <x:c r="K140" s="2" t="str">
        <x:v>Export KREDIT-ERF-20260930, Einzelbelege nicht im Datenraum</x:v>
      </x:c>
    </x:row>
    <x:row r="141" ht="22" customHeight="1">
      <x:c r="A141" s="2" t="str">
        <x:v>APB-0136</x:v>
      </x:c>
      <x:c r="B141" s="2" t="str">
        <x:v>Bestandskunde 0136</x:v>
      </x:c>
      <x:c r="C141" s="2" t="str">
        <x:v>Nur Verkäuferexport</x:v>
      </x:c>
      <x:c r="D141" s="9" t="n">
        <x:v>24632</x:v>
      </x:c>
      <x:c r="E141" s="9" t="n">
        <x:v>6.5</x:v>
      </x:c>
      <x:c r="F141" s="9" t="n">
        <x:v>0</x:v>
      </x:c>
      <x:c r="G141" s="11" t="n">
        <x:f>SUM(D141:F141)</x:f>
        <x:v>24638.5</x:v>
      </x:c>
      <x:c r="H141" s="10" t="n">
        <x:v>0.92</x:v>
      </x:c>
      <x:c r="I141" s="11" t="n">
        <x:f>IF(ISNUMBER(H141),ROUND(D141*H141,2),NA())</x:f>
        <x:v>22661.44</x:v>
      </x:c>
      <x:c r="J141" s="2" t="str">
        <x:v>Regelbestand laut Verkäufer</x:v>
      </x:c>
      <x:c r="K141" s="2" t="str">
        <x:v>Export KREDIT-ERF-20260930, Einzelbelege nicht im Datenraum</x:v>
      </x:c>
    </x:row>
    <x:row r="142" ht="22" customHeight="1">
      <x:c r="A142" s="2" t="str">
        <x:v>APB-0137</x:v>
      </x:c>
      <x:c r="B142" s="2" t="str">
        <x:v>Bestandskunde 0137</x:v>
      </x:c>
      <x:c r="C142" s="2" t="str">
        <x:v>Nur Verkäuferexport</x:v>
      </x:c>
      <x:c r="D142" s="9" t="n">
        <x:v>24769</x:v>
      </x:c>
      <x:c r="E142" s="9" t="n">
        <x:v>13</x:v>
      </x:c>
      <x:c r="F142" s="9" t="n">
        <x:v>0</x:v>
      </x:c>
      <x:c r="G142" s="11" t="n">
        <x:f>SUM(D142:F142)</x:f>
        <x:v>24782</x:v>
      </x:c>
      <x:c r="H142" s="10" t="n">
        <x:v>0.92</x:v>
      </x:c>
      <x:c r="I142" s="11" t="n">
        <x:f>IF(ISNUMBER(H142),ROUND(D142*H142,2),NA())</x:f>
        <x:v>22787.48</x:v>
      </x:c>
      <x:c r="J142" s="2" t="str">
        <x:v>Regelbestand laut Verkäufer</x:v>
      </x:c>
      <x:c r="K142" s="2" t="str">
        <x:v>Export KREDIT-ERF-20260930, Einzelbelege nicht im Datenraum</x:v>
      </x:c>
    </x:row>
    <x:row r="143" ht="22" customHeight="1">
      <x:c r="A143" s="2" t="str">
        <x:v>APB-0138</x:v>
      </x:c>
      <x:c r="B143" s="2" t="str">
        <x:v>Bestandskunde 0138</x:v>
      </x:c>
      <x:c r="C143" s="2" t="str">
        <x:v>Nur Verkäuferexport</x:v>
      </x:c>
      <x:c r="D143" s="9" t="n">
        <x:v>24906</x:v>
      </x:c>
      <x:c r="E143" s="9" t="n">
        <x:v>19.5</x:v>
      </x:c>
      <x:c r="F143" s="9" t="n">
        <x:v>0</x:v>
      </x:c>
      <x:c r="G143" s="11" t="n">
        <x:f>SUM(D143:F143)</x:f>
        <x:v>24925.5</x:v>
      </x:c>
      <x:c r="H143" s="10" t="n">
        <x:v>0.92</x:v>
      </x:c>
      <x:c r="I143" s="11" t="n">
        <x:f>IF(ISNUMBER(H143),ROUND(D143*H143,2),NA())</x:f>
        <x:v>22913.52</x:v>
      </x:c>
      <x:c r="J143" s="2" t="str">
        <x:v>Regelbestand laut Verkäufer</x:v>
      </x:c>
      <x:c r="K143" s="2" t="str">
        <x:v>Export KREDIT-ERF-20260930, Einzelbelege nicht im Datenraum</x:v>
      </x:c>
    </x:row>
    <x:row r="144" ht="22" customHeight="1">
      <x:c r="A144" s="2" t="str">
        <x:v>APB-0139</x:v>
      </x:c>
      <x:c r="B144" s="2" t="str">
        <x:v>Bestandskunde 0139</x:v>
      </x:c>
      <x:c r="C144" s="2" t="str">
        <x:v>Nur Verkäuferexport</x:v>
      </x:c>
      <x:c r="D144" s="9" t="n">
        <x:v>25043</x:v>
      </x:c>
      <x:c r="E144" s="9" t="n">
        <x:v>26</x:v>
      </x:c>
      <x:c r="F144" s="9" t="n">
        <x:v>0</x:v>
      </x:c>
      <x:c r="G144" s="11" t="n">
        <x:f>SUM(D144:F144)</x:f>
        <x:v>25069</x:v>
      </x:c>
      <x:c r="H144" s="10" t="n">
        <x:v>0.92</x:v>
      </x:c>
      <x:c r="I144" s="11" t="n">
        <x:f>IF(ISNUMBER(H144),ROUND(D144*H144,2),NA())</x:f>
        <x:v>23039.56</x:v>
      </x:c>
      <x:c r="J144" s="2" t="str">
        <x:v>Regelbestand laut Verkäufer</x:v>
      </x:c>
      <x:c r="K144" s="2" t="str">
        <x:v>Export KREDIT-ERF-20260930, Einzelbelege nicht im Datenraum</x:v>
      </x:c>
    </x:row>
    <x:row r="145" ht="22" customHeight="1">
      <x:c r="A145" s="2" t="str">
        <x:v>APB-0140</x:v>
      </x:c>
      <x:c r="B145" s="2" t="str">
        <x:v>Bestandskunde 0140</x:v>
      </x:c>
      <x:c r="C145" s="2" t="str">
        <x:v>Nur Verkäuferexport</x:v>
      </x:c>
      <x:c r="D145" s="9" t="n">
        <x:v>25180</x:v>
      </x:c>
      <x:c r="E145" s="9" t="n">
        <x:v>32.5</x:v>
      </x:c>
      <x:c r="F145" s="9" t="n">
        <x:v>0</x:v>
      </x:c>
      <x:c r="G145" s="11" t="n">
        <x:f>SUM(D145:F145)</x:f>
        <x:v>25212.5</x:v>
      </x:c>
      <x:c r="H145" s="10" t="n">
        <x:v>0.92</x:v>
      </x:c>
      <x:c r="I145" s="11" t="n">
        <x:f>IF(ISNUMBER(H145),ROUND(D145*H145,2),NA())</x:f>
        <x:v>23165.6</x:v>
      </x:c>
      <x:c r="J145" s="2" t="str">
        <x:v>Regelbestand laut Verkäufer</x:v>
      </x:c>
      <x:c r="K145" s="2" t="str">
        <x:v>Export KREDIT-ERF-20260930, Einzelbelege nicht im Datenraum</x:v>
      </x:c>
    </x:row>
    <x:row r="146" ht="22" customHeight="1">
      <x:c r="A146" s="2" t="str">
        <x:v>APB-0141</x:v>
      </x:c>
      <x:c r="B146" s="2" t="str">
        <x:v>Bestandskunde 0141</x:v>
      </x:c>
      <x:c r="C146" s="2" t="str">
        <x:v>Nur Verkäuferexport</x:v>
      </x:c>
      <x:c r="D146" s="9" t="n">
        <x:v>25317</x:v>
      </x:c>
      <x:c r="E146" s="9" t="n">
        <x:v>39</x:v>
      </x:c>
      <x:c r="F146" s="9" t="n">
        <x:v>0</x:v>
      </x:c>
      <x:c r="G146" s="11" t="n">
        <x:f>SUM(D146:F146)</x:f>
        <x:v>25356</x:v>
      </x:c>
      <x:c r="H146" s="10" t="n">
        <x:v>0.92</x:v>
      </x:c>
      <x:c r="I146" s="11" t="n">
        <x:f>IF(ISNUMBER(H146),ROUND(D146*H146,2),NA())</x:f>
        <x:v>23291.64</x:v>
      </x:c>
      <x:c r="J146" s="2" t="str">
        <x:v>Regelbestand laut Verkäufer</x:v>
      </x:c>
      <x:c r="K146" s="2" t="str">
        <x:v>Export KREDIT-ERF-20260930, Einzelbelege nicht im Datenraum</x:v>
      </x:c>
    </x:row>
    <x:row r="147" ht="22" customHeight="1">
      <x:c r="A147" s="2" t="str">
        <x:v>APB-0142</x:v>
      </x:c>
      <x:c r="B147" s="2" t="str">
        <x:v>Bestandskunde 0142</x:v>
      </x:c>
      <x:c r="C147" s="2" t="str">
        <x:v>Nur Verkäuferexport</x:v>
      </x:c>
      <x:c r="D147" s="9" t="n">
        <x:v>25454</x:v>
      </x:c>
      <x:c r="E147" s="9" t="n">
        <x:v>45.5</x:v>
      </x:c>
      <x:c r="F147" s="9" t="n">
        <x:v>0</x:v>
      </x:c>
      <x:c r="G147" s="11" t="n">
        <x:f>SUM(D147:F147)</x:f>
        <x:v>25499.5</x:v>
      </x:c>
      <x:c r="H147" s="10" t="n">
        <x:v>0.92</x:v>
      </x:c>
      <x:c r="I147" s="11" t="n">
        <x:f>IF(ISNUMBER(H147),ROUND(D147*H147,2),NA())</x:f>
        <x:v>23417.68</x:v>
      </x:c>
      <x:c r="J147" s="2" t="str">
        <x:v>Regelbestand laut Verkäufer</x:v>
      </x:c>
      <x:c r="K147" s="2" t="str">
        <x:v>Export KREDIT-ERF-20260930, Einzelbelege nicht im Datenraum</x:v>
      </x:c>
    </x:row>
    <x:row r="148" ht="22" customHeight="1">
      <x:c r="A148" s="2" t="str">
        <x:v>APB-0143</x:v>
      </x:c>
      <x:c r="B148" s="2" t="str">
        <x:v>Bestandskunde 0143</x:v>
      </x:c>
      <x:c r="C148" s="2" t="str">
        <x:v>Nur Verkäuferexport</x:v>
      </x:c>
      <x:c r="D148" s="9" t="n">
        <x:v>25591</x:v>
      </x:c>
      <x:c r="E148" s="9" t="n">
        <x:v>52</x:v>
      </x:c>
      <x:c r="F148" s="9" t="n">
        <x:v>0</x:v>
      </x:c>
      <x:c r="G148" s="11" t="n">
        <x:f>SUM(D148:F148)</x:f>
        <x:v>25643</x:v>
      </x:c>
      <x:c r="H148" s="10" t="n">
        <x:v>0.92</x:v>
      </x:c>
      <x:c r="I148" s="11" t="n">
        <x:f>IF(ISNUMBER(H148),ROUND(D148*H148,2),NA())</x:f>
        <x:v>23543.72</x:v>
      </x:c>
      <x:c r="J148" s="2" t="str">
        <x:v>Regelbestand laut Verkäufer</x:v>
      </x:c>
      <x:c r="K148" s="2" t="str">
        <x:v>Export KREDIT-ERF-20260930, Einzelbelege nicht im Datenraum</x:v>
      </x:c>
    </x:row>
    <x:row r="149" ht="22" customHeight="1">
      <x:c r="A149" s="2" t="str">
        <x:v>APB-0144</x:v>
      </x:c>
      <x:c r="B149" s="2" t="str">
        <x:v>Bestandskunde 0144</x:v>
      </x:c>
      <x:c r="C149" s="2" t="str">
        <x:v>Nur Verkäuferexport</x:v>
      </x:c>
      <x:c r="D149" s="9" t="n">
        <x:v>25728</x:v>
      </x:c>
      <x:c r="E149" s="9" t="n">
        <x:v>0</x:v>
      </x:c>
      <x:c r="F149" s="9" t="n">
        <x:v>0</x:v>
      </x:c>
      <x:c r="G149" s="11" t="n">
        <x:f>SUM(D149:F149)</x:f>
        <x:v>25728</x:v>
      </x:c>
      <x:c r="H149" s="10" t="n">
        <x:v>0.92</x:v>
      </x:c>
      <x:c r="I149" s="11" t="n">
        <x:f>IF(ISNUMBER(H149),ROUND(D149*H149,2),NA())</x:f>
        <x:v>23669.76</x:v>
      </x:c>
      <x:c r="J149" s="2" t="str">
        <x:v>Regelbestand laut Verkäufer</x:v>
      </x:c>
      <x:c r="K149" s="2" t="str">
        <x:v>Export KREDIT-ERF-20260930, Einzelbelege nicht im Datenraum</x:v>
      </x:c>
    </x:row>
    <x:row r="150" ht="22" customHeight="1">
      <x:c r="A150" s="2" t="str">
        <x:v>APB-0145</x:v>
      </x:c>
      <x:c r="B150" s="2" t="str">
        <x:v>Bestandskunde 0145</x:v>
      </x:c>
      <x:c r="C150" s="2" t="str">
        <x:v>Nur Verkäuferexport</x:v>
      </x:c>
      <x:c r="D150" s="9" t="n">
        <x:v>25865</x:v>
      </x:c>
      <x:c r="E150" s="9" t="n">
        <x:v>6.5</x:v>
      </x:c>
      <x:c r="F150" s="9" t="n">
        <x:v>15</x:v>
      </x:c>
      <x:c r="G150" s="11" t="n">
        <x:f>SUM(D150:F150)</x:f>
        <x:v>25886.5</x:v>
      </x:c>
      <x:c r="H150" s="10" t="n">
        <x:v>0.92</x:v>
      </x:c>
      <x:c r="I150" s="11" t="n">
        <x:f>IF(ISNUMBER(H150),ROUND(D150*H150,2),NA())</x:f>
        <x:v>23795.8</x:v>
      </x:c>
      <x:c r="J150" s="2" t="str">
        <x:v>Zahlungslücke im Export</x:v>
      </x:c>
      <x:c r="K150" s="2" t="str">
        <x:v>Export KREDIT-ERF-20260930, Einzelbelege nicht im Datenraum</x:v>
      </x:c>
    </x:row>
    <x:row r="151" ht="22" customHeight="1">
      <x:c r="A151" s="2" t="str">
        <x:v>APB-0146</x:v>
      </x:c>
      <x:c r="B151" s="2" t="str">
        <x:v>Bestandskunde 0146</x:v>
      </x:c>
      <x:c r="C151" s="2" t="str">
        <x:v>Nur Verkäuferexport</x:v>
      </x:c>
      <x:c r="D151" s="9" t="n">
        <x:v>26002</x:v>
      </x:c>
      <x:c r="E151" s="9" t="n">
        <x:v>13</x:v>
      </x:c>
      <x:c r="F151" s="9" t="n">
        <x:v>0</x:v>
      </x:c>
      <x:c r="G151" s="11" t="n">
        <x:f>SUM(D151:F151)</x:f>
        <x:v>26015</x:v>
      </x:c>
      <x:c r="H151" s="10" t="n">
        <x:v>0.92</x:v>
      </x:c>
      <x:c r="I151" s="11" t="n">
        <x:f>IF(ISNUMBER(H151),ROUND(D151*H151,2),NA())</x:f>
        <x:v>23921.84</x:v>
      </x:c>
      <x:c r="J151" s="2" t="str">
        <x:v>Regelbestand laut Verkäufer</x:v>
      </x:c>
      <x:c r="K151" s="2" t="str">
        <x:v>Export KREDIT-ERF-20260930, Einzelbelege nicht im Datenraum</x:v>
      </x:c>
    </x:row>
    <x:row r="152" ht="22" customHeight="1">
      <x:c r="A152" s="2" t="str">
        <x:v>APB-0147</x:v>
      </x:c>
      <x:c r="B152" s="2" t="str">
        <x:v>Bestandskunde 0147</x:v>
      </x:c>
      <x:c r="C152" s="2" t="str">
        <x:v>Nur Verkäuferexport</x:v>
      </x:c>
      <x:c r="D152" s="9" t="n">
        <x:v>26139</x:v>
      </x:c>
      <x:c r="E152" s="9" t="n">
        <x:v>19.5</x:v>
      </x:c>
      <x:c r="F152" s="9" t="n">
        <x:v>0</x:v>
      </x:c>
      <x:c r="G152" s="11" t="n">
        <x:f>SUM(D152:F152)</x:f>
        <x:v>26158.5</x:v>
      </x:c>
      <x:c r="H152" s="10" t="n">
        <x:v>0.92</x:v>
      </x:c>
      <x:c r="I152" s="11" t="n">
        <x:f>IF(ISNUMBER(H152),ROUND(D152*H152,2),NA())</x:f>
        <x:v>24047.88</x:v>
      </x:c>
      <x:c r="J152" s="2" t="str">
        <x:v>Regelbestand laut Verkäufer</x:v>
      </x:c>
      <x:c r="K152" s="2" t="str">
        <x:v>Export KREDIT-ERF-20260930, Einzelbelege nicht im Datenraum</x:v>
      </x:c>
    </x:row>
    <x:row r="153" ht="22" customHeight="1">
      <x:c r="A153" s="2" t="str">
        <x:v>APB-0148</x:v>
      </x:c>
      <x:c r="B153" s="2" t="str">
        <x:v>Bestandskunde 0148</x:v>
      </x:c>
      <x:c r="C153" s="2" t="str">
        <x:v>Nur Verkäuferexport</x:v>
      </x:c>
      <x:c r="D153" s="9" t="n">
        <x:v>26276</x:v>
      </x:c>
      <x:c r="E153" s="9" t="n">
        <x:v>26</x:v>
      </x:c>
      <x:c r="F153" s="9" t="n">
        <x:v>0</x:v>
      </x:c>
      <x:c r="G153" s="11" t="n">
        <x:f>SUM(D153:F153)</x:f>
        <x:v>26302</x:v>
      </x:c>
      <x:c r="H153" s="10" t="n">
        <x:v>0.92</x:v>
      </x:c>
      <x:c r="I153" s="11" t="n">
        <x:f>IF(ISNUMBER(H153),ROUND(D153*H153,2),NA())</x:f>
        <x:v>24173.92</x:v>
      </x:c>
      <x:c r="J153" s="2" t="str">
        <x:v>Regelbestand laut Verkäufer</x:v>
      </x:c>
      <x:c r="K153" s="2" t="str">
        <x:v>Export KREDIT-ERF-20260930, Einzelbelege nicht im Datenraum</x:v>
      </x:c>
    </x:row>
    <x:row r="154" ht="22" customHeight="1">
      <x:c r="A154" s="2" t="str">
        <x:v>APB-0149</x:v>
      </x:c>
      <x:c r="B154" s="2" t="str">
        <x:v>Bestandskunde 0149</x:v>
      </x:c>
      <x:c r="C154" s="2" t="str">
        <x:v>Nur Verkäuferexport</x:v>
      </x:c>
      <x:c r="D154" s="9" t="n">
        <x:v>26413</x:v>
      </x:c>
      <x:c r="E154" s="9" t="n">
        <x:v>32.5</x:v>
      </x:c>
      <x:c r="F154" s="9" t="n">
        <x:v>0</x:v>
      </x:c>
      <x:c r="G154" s="11" t="n">
        <x:f>SUM(D154:F154)</x:f>
        <x:v>26445.5</x:v>
      </x:c>
      <x:c r="H154" s="10" t="n">
        <x:v>0.92</x:v>
      </x:c>
      <x:c r="I154" s="11" t="n">
        <x:f>IF(ISNUMBER(H154),ROUND(D154*H154,2),NA())</x:f>
        <x:v>24299.96</x:v>
      </x:c>
      <x:c r="J154" s="2" t="str">
        <x:v>Regelbestand laut Verkäufer</x:v>
      </x:c>
      <x:c r="K154" s="2" t="str">
        <x:v>Export KREDIT-ERF-20260930, Einzelbelege nicht im Datenraum</x:v>
      </x:c>
    </x:row>
    <x:row r="155" ht="22" customHeight="1">
      <x:c r="A155" s="2" t="str">
        <x:v>APB-0150</x:v>
      </x:c>
      <x:c r="B155" s="2" t="str">
        <x:v>Bestandskunde 0150</x:v>
      </x:c>
      <x:c r="C155" s="2" t="str">
        <x:v>Nur Verkäuferexport</x:v>
      </x:c>
      <x:c r="D155" s="9" t="n">
        <x:v>26550</x:v>
      </x:c>
      <x:c r="E155" s="9" t="n">
        <x:v>39</x:v>
      </x:c>
      <x:c r="F155" s="9" t="n">
        <x:v>0</x:v>
      </x:c>
      <x:c r="G155" s="11" t="n">
        <x:f>SUM(D155:F155)</x:f>
        <x:v>26589</x:v>
      </x:c>
      <x:c r="H155" s="10" t="n">
        <x:v>0.92</x:v>
      </x:c>
      <x:c r="I155" s="11" t="n">
        <x:f>IF(ISNUMBER(H155),ROUND(D155*H155,2),NA())</x:f>
        <x:v>24426</x:v>
      </x:c>
      <x:c r="J155" s="2" t="str">
        <x:v>Regelbestand laut Verkäufer</x:v>
      </x:c>
      <x:c r="K155" s="2" t="str">
        <x:v>Export KREDIT-ERF-20260930, Einzelbelege nicht im Datenraum</x:v>
      </x:c>
    </x:row>
    <x:row r="156" ht="22" customHeight="1">
      <x:c r="A156" s="2" t="str">
        <x:v>APB-0151</x:v>
      </x:c>
      <x:c r="B156" s="2" t="str">
        <x:v>Bestandskunde 0151</x:v>
      </x:c>
      <x:c r="C156" s="2" t="str">
        <x:v>Nur Verkäuferexport</x:v>
      </x:c>
      <x:c r="D156" s="9" t="n">
        <x:v>26687</x:v>
      </x:c>
      <x:c r="E156" s="9" t="n">
        <x:v>45.5</x:v>
      </x:c>
      <x:c r="F156" s="9" t="n">
        <x:v>0</x:v>
      </x:c>
      <x:c r="G156" s="11" t="n">
        <x:f>SUM(D156:F156)</x:f>
        <x:v>26732.5</x:v>
      </x:c>
      <x:c r="H156" s="10" t="n">
        <x:v>0.92</x:v>
      </x:c>
      <x:c r="I156" s="11" t="n">
        <x:f>IF(ISNUMBER(H156),ROUND(D156*H156,2),NA())</x:f>
        <x:v>24552.04</x:v>
      </x:c>
      <x:c r="J156" s="2" t="str">
        <x:v>Regelbestand laut Verkäufer</x:v>
      </x:c>
      <x:c r="K156" s="2" t="str">
        <x:v>Export KREDIT-ERF-20260930, Einzelbelege nicht im Datenraum</x:v>
      </x:c>
    </x:row>
    <x:row r="157" ht="22" customHeight="1">
      <x:c r="A157" s="2" t="str">
        <x:v>APB-0152</x:v>
      </x:c>
      <x:c r="B157" s="2" t="str">
        <x:v>Bestandskunde 0152</x:v>
      </x:c>
      <x:c r="C157" s="2" t="str">
        <x:v>Nur Verkäuferexport</x:v>
      </x:c>
      <x:c r="D157" s="9" t="n">
        <x:v>26824</x:v>
      </x:c>
      <x:c r="E157" s="9" t="n">
        <x:v>52</x:v>
      </x:c>
      <x:c r="F157" s="9" t="n">
        <x:v>0</x:v>
      </x:c>
      <x:c r="G157" s="11" t="n">
        <x:f>SUM(D157:F157)</x:f>
        <x:v>26876</x:v>
      </x:c>
      <x:c r="H157" s="10" t="n">
        <x:v>0.92</x:v>
      </x:c>
      <x:c r="I157" s="11" t="n">
        <x:f>IF(ISNUMBER(H157),ROUND(D157*H157,2),NA())</x:f>
        <x:v>24678.08</x:v>
      </x:c>
      <x:c r="J157" s="2" t="str">
        <x:v>Regelbestand laut Verkäufer</x:v>
      </x:c>
      <x:c r="K157" s="2" t="str">
        <x:v>Export KREDIT-ERF-20260930, Einzelbelege nicht im Datenraum</x:v>
      </x:c>
    </x:row>
    <x:row r="158" ht="22" customHeight="1">
      <x:c r="A158" s="2" t="str">
        <x:v>APB-0153</x:v>
      </x:c>
      <x:c r="B158" s="2" t="str">
        <x:v>Bestandskunde 0153</x:v>
      </x:c>
      <x:c r="C158" s="2" t="str">
        <x:v>Nur Verkäuferexport</x:v>
      </x:c>
      <x:c r="D158" s="9" t="n">
        <x:v>26961</x:v>
      </x:c>
      <x:c r="E158" s="9" t="n">
        <x:v>0</x:v>
      </x:c>
      <x:c r="F158" s="9" t="n">
        <x:v>0</x:v>
      </x:c>
      <x:c r="G158" s="11" t="n">
        <x:f>SUM(D158:F158)</x:f>
        <x:v>26961</x:v>
      </x:c>
      <x:c r="H158" s="10" t="n">
        <x:v>0.92</x:v>
      </x:c>
      <x:c r="I158" s="11" t="n">
        <x:f>IF(ISNUMBER(H158),ROUND(D158*H158,2),NA())</x:f>
        <x:v>24804.12</x:v>
      </x:c>
      <x:c r="J158" s="2" t="str">
        <x:v>Regelbestand laut Verkäufer</x:v>
      </x:c>
      <x:c r="K158" s="2" t="str">
        <x:v>Export KREDIT-ERF-20260930, Einzelbelege nicht im Datenraum</x:v>
      </x:c>
    </x:row>
    <x:row r="159" ht="22" customHeight="1">
      <x:c r="A159" s="2" t="str">
        <x:v>APB-0154</x:v>
      </x:c>
      <x:c r="B159" s="2" t="str">
        <x:v>Bestandskunde 0154</x:v>
      </x:c>
      <x:c r="C159" s="2" t="str">
        <x:v>Nur Verkäuferexport</x:v>
      </x:c>
      <x:c r="D159" s="9" t="n">
        <x:v>27098</x:v>
      </x:c>
      <x:c r="E159" s="9" t="n">
        <x:v>6.5</x:v>
      </x:c>
      <x:c r="F159" s="9" t="n">
        <x:v>0</x:v>
      </x:c>
      <x:c r="G159" s="11" t="n">
        <x:f>SUM(D159:F159)</x:f>
        <x:v>27104.5</x:v>
      </x:c>
      <x:c r="H159" s="10" t="n">
        <x:v>0.92</x:v>
      </x:c>
      <x:c r="I159" s="11" t="n">
        <x:f>IF(ISNUMBER(H159),ROUND(D159*H159,2),NA())</x:f>
        <x:v>24930.16</x:v>
      </x:c>
      <x:c r="J159" s="2" t="str">
        <x:v>Regelbestand laut Verkäufer</x:v>
      </x:c>
      <x:c r="K159" s="2" t="str">
        <x:v>Export KREDIT-ERF-20260930, Einzelbelege nicht im Datenraum</x:v>
      </x:c>
    </x:row>
    <x:row r="160" ht="22" customHeight="1">
      <x:c r="A160" s="2" t="str">
        <x:v>APB-0155</x:v>
      </x:c>
      <x:c r="B160" s="2" t="str">
        <x:v>Bestandskunde 0155</x:v>
      </x:c>
      <x:c r="C160" s="2" t="str">
        <x:v>Nur Verkäuferexport</x:v>
      </x:c>
      <x:c r="D160" s="9" t="n">
        <x:v>27235</x:v>
      </x:c>
      <x:c r="E160" s="9" t="n">
        <x:v>13</x:v>
      </x:c>
      <x:c r="F160" s="9" t="n">
        <x:v>0</x:v>
      </x:c>
      <x:c r="G160" s="11" t="n">
        <x:f>SUM(D160:F160)</x:f>
        <x:v>27248</x:v>
      </x:c>
      <x:c r="H160" s="10" t="n">
        <x:v>0.92</x:v>
      </x:c>
      <x:c r="I160" s="11" t="n">
        <x:f>IF(ISNUMBER(H160),ROUND(D160*H160,2),NA())</x:f>
        <x:v>25056.2</x:v>
      </x:c>
      <x:c r="J160" s="2" t="str">
        <x:v>Regelbestand laut Verkäufer</x:v>
      </x:c>
      <x:c r="K160" s="2" t="str">
        <x:v>Export KREDIT-ERF-20260930, Einzelbelege nicht im Datenraum</x:v>
      </x:c>
    </x:row>
    <x:row r="161" ht="22" customHeight="1">
      <x:c r="A161" s="2" t="str">
        <x:v>APB-0156</x:v>
      </x:c>
      <x:c r="B161" s="2" t="str">
        <x:v>Bestandskunde 0156</x:v>
      </x:c>
      <x:c r="C161" s="2" t="str">
        <x:v>Nur Verkäuferexport</x:v>
      </x:c>
      <x:c r="D161" s="9" t="n">
        <x:v>27372</x:v>
      </x:c>
      <x:c r="E161" s="9" t="n">
        <x:v>19.5</x:v>
      </x:c>
      <x:c r="F161" s="9" t="n">
        <x:v>0</x:v>
      </x:c>
      <x:c r="G161" s="11" t="n">
        <x:f>SUM(D161:F161)</x:f>
        <x:v>27391.5</x:v>
      </x:c>
      <x:c r="H161" s="10" t="n">
        <x:v>0.92</x:v>
      </x:c>
      <x:c r="I161" s="11" t="n">
        <x:f>IF(ISNUMBER(H161),ROUND(D161*H161,2),NA())</x:f>
        <x:v>25182.24</x:v>
      </x:c>
      <x:c r="J161" s="2" t="str">
        <x:v>Regelbestand laut Verkäufer</x:v>
      </x:c>
      <x:c r="K161" s="2" t="str">
        <x:v>Export KREDIT-ERF-20260930, Einzelbelege nicht im Datenraum</x:v>
      </x:c>
    </x:row>
    <x:row r="162" ht="22" customHeight="1">
      <x:c r="A162" s="2" t="str">
        <x:v>APB-0157</x:v>
      </x:c>
      <x:c r="B162" s="2" t="str">
        <x:v>Bestandskunde 0157</x:v>
      </x:c>
      <x:c r="C162" s="2" t="str">
        <x:v>Nur Verkäuferexport</x:v>
      </x:c>
      <x:c r="D162" s="9" t="n">
        <x:v>27509</x:v>
      </x:c>
      <x:c r="E162" s="9" t="n">
        <x:v>26</x:v>
      </x:c>
      <x:c r="F162" s="9" t="n">
        <x:v>0</x:v>
      </x:c>
      <x:c r="G162" s="11" t="n">
        <x:f>SUM(D162:F162)</x:f>
        <x:v>27535</x:v>
      </x:c>
      <x:c r="H162" s="10" t="n">
        <x:v>0.92</x:v>
      </x:c>
      <x:c r="I162" s="11" t="n">
        <x:f>IF(ISNUMBER(H162),ROUND(D162*H162,2),NA())</x:f>
        <x:v>25308.28</x:v>
      </x:c>
      <x:c r="J162" s="2" t="str">
        <x:v>Regelbestand laut Verkäufer</x:v>
      </x:c>
      <x:c r="K162" s="2" t="str">
        <x:v>Export KREDIT-ERF-20260930, Einzelbelege nicht im Datenraum</x:v>
      </x:c>
    </x:row>
    <x:row r="163" ht="22" customHeight="1">
      <x:c r="A163" s="2" t="str">
        <x:v>APB-0158</x:v>
      </x:c>
      <x:c r="B163" s="2" t="str">
        <x:v>Bestandskunde 0158</x:v>
      </x:c>
      <x:c r="C163" s="2" t="str">
        <x:v>Nur Verkäuferexport</x:v>
      </x:c>
      <x:c r="D163" s="9" t="n">
        <x:v>27646</x:v>
      </x:c>
      <x:c r="E163" s="9" t="n">
        <x:v>32.5</x:v>
      </x:c>
      <x:c r="F163" s="9" t="n">
        <x:v>0</x:v>
      </x:c>
      <x:c r="G163" s="11" t="n">
        <x:f>SUM(D163:F163)</x:f>
        <x:v>27678.5</x:v>
      </x:c>
      <x:c r="H163" s="10" t="n">
        <x:v>0.92</x:v>
      </x:c>
      <x:c r="I163" s="11" t="n">
        <x:f>IF(ISNUMBER(H163),ROUND(D163*H163,2),NA())</x:f>
        <x:v>25434.32</x:v>
      </x:c>
      <x:c r="J163" s="2" t="str">
        <x:v>Regelbestand laut Verkäufer</x:v>
      </x:c>
      <x:c r="K163" s="2" t="str">
        <x:v>Export KREDIT-ERF-20260930, Einzelbelege nicht im Datenraum</x:v>
      </x:c>
    </x:row>
    <x:row r="164" ht="22" customHeight="1">
      <x:c r="A164" s="2" t="str">
        <x:v>APB-0159</x:v>
      </x:c>
      <x:c r="B164" s="2" t="str">
        <x:v>Bestandskunde 0159</x:v>
      </x:c>
      <x:c r="C164" s="2" t="str">
        <x:v>Nur Verkäuferexport</x:v>
      </x:c>
      <x:c r="D164" s="9" t="n">
        <x:v>27783</x:v>
      </x:c>
      <x:c r="E164" s="9" t="n">
        <x:v>39</x:v>
      </x:c>
      <x:c r="F164" s="9" t="n">
        <x:v>0</x:v>
      </x:c>
      <x:c r="G164" s="11" t="n">
        <x:f>SUM(D164:F164)</x:f>
        <x:v>27822</x:v>
      </x:c>
      <x:c r="H164" s="10" t="n">
        <x:v>0.92</x:v>
      </x:c>
      <x:c r="I164" s="11" t="n">
        <x:f>IF(ISNUMBER(H164),ROUND(D164*H164,2),NA())</x:f>
        <x:v>25560.36</x:v>
      </x:c>
      <x:c r="J164" s="2" t="str">
        <x:v>Regelbestand laut Verkäufer</x:v>
      </x:c>
      <x:c r="K164" s="2" t="str">
        <x:v>Export KREDIT-ERF-20260930, Einzelbelege nicht im Datenraum</x:v>
      </x:c>
    </x:row>
    <x:row r="165" ht="22" customHeight="1">
      <x:c r="A165" s="2" t="str">
        <x:v>APB-0160</x:v>
      </x:c>
      <x:c r="B165" s="2" t="str">
        <x:v>Bestandskunde 0160</x:v>
      </x:c>
      <x:c r="C165" s="2" t="str">
        <x:v>Nur Verkäuferexport</x:v>
      </x:c>
      <x:c r="D165" s="9" t="n">
        <x:v>27920</x:v>
      </x:c>
      <x:c r="E165" s="9" t="n">
        <x:v>45.5</x:v>
      </x:c>
      <x:c r="F165" s="9" t="n">
        <x:v>0</x:v>
      </x:c>
      <x:c r="G165" s="11" t="n">
        <x:f>SUM(D165:F165)</x:f>
        <x:v>27965.5</x:v>
      </x:c>
      <x:c r="H165" s="10" t="n">
        <x:v>0.92</x:v>
      </x:c>
      <x:c r="I165" s="11" t="n">
        <x:f>IF(ISNUMBER(H165),ROUND(D165*H165,2),NA())</x:f>
        <x:v>25686.4</x:v>
      </x:c>
      <x:c r="J165" s="2" t="str">
        <x:v>Regelbestand laut Verkäufer</x:v>
      </x:c>
      <x:c r="K165" s="2" t="str">
        <x:v>Export KREDIT-ERF-20260930, Einzelbelege nicht im Datenraum</x:v>
      </x:c>
    </x:row>
    <x:row r="166" ht="22" customHeight="1">
      <x:c r="A166" s="2" t="str">
        <x:v>APB-0161</x:v>
      </x:c>
      <x:c r="B166" s="2" t="str">
        <x:v>Bestandskunde 0161</x:v>
      </x:c>
      <x:c r="C166" s="2" t="str">
        <x:v>Nur Verkäuferexport</x:v>
      </x:c>
      <x:c r="D166" s="9" t="n">
        <x:v>28057</x:v>
      </x:c>
      <x:c r="E166" s="9" t="n">
        <x:v>52</x:v>
      </x:c>
      <x:c r="F166" s="9" t="n">
        <x:v>0</x:v>
      </x:c>
      <x:c r="G166" s="11" t="n">
        <x:f>SUM(D166:F166)</x:f>
        <x:v>28109</x:v>
      </x:c>
      <x:c r="H166" s="10" t="n">
        <x:v>0.92</x:v>
      </x:c>
      <x:c r="I166" s="11" t="n">
        <x:f>IF(ISNUMBER(H166),ROUND(D166*H166,2),NA())</x:f>
        <x:v>25812.44</x:v>
      </x:c>
      <x:c r="J166" s="2" t="str">
        <x:v>Regelbestand laut Verkäufer</x:v>
      </x:c>
      <x:c r="K166" s="2" t="str">
        <x:v>Export KREDIT-ERF-20260930, Einzelbelege nicht im Datenraum</x:v>
      </x:c>
    </x:row>
    <x:row r="167" ht="22" customHeight="1">
      <x:c r="A167" s="2" t="str">
        <x:v>APB-0162</x:v>
      </x:c>
      <x:c r="B167" s="2" t="str">
        <x:v>Bestandskunde 0162</x:v>
      </x:c>
      <x:c r="C167" s="2" t="str">
        <x:v>Nur Verkäuferexport</x:v>
      </x:c>
      <x:c r="D167" s="9" t="n">
        <x:v>28194</x:v>
      </x:c>
      <x:c r="E167" s="9" t="n">
        <x:v>0</x:v>
      </x:c>
      <x:c r="F167" s="9" t="n">
        <x:v>0</x:v>
      </x:c>
      <x:c r="G167" s="11" t="n">
        <x:f>SUM(D167:F167)</x:f>
        <x:v>28194</x:v>
      </x:c>
      <x:c r="H167" s="10" t="n">
        <x:v>0.92</x:v>
      </x:c>
      <x:c r="I167" s="11" t="n">
        <x:f>IF(ISNUMBER(H167),ROUND(D167*H167,2),NA())</x:f>
        <x:v>25938.48</x:v>
      </x:c>
      <x:c r="J167" s="2" t="str">
        <x:v>Regelbestand laut Verkäufer</x:v>
      </x:c>
      <x:c r="K167" s="2" t="str">
        <x:v>Export KREDIT-ERF-20260930, Einzelbelege nicht im Datenraum</x:v>
      </x:c>
    </x:row>
    <x:row r="168" ht="22" customHeight="1">
      <x:c r="A168" s="2" t="str">
        <x:v>APB-0163</x:v>
      </x:c>
      <x:c r="B168" s="2" t="str">
        <x:v>Bestandskunde 0163</x:v>
      </x:c>
      <x:c r="C168" s="2" t="str">
        <x:v>Nur Verkäuferexport</x:v>
      </x:c>
      <x:c r="D168" s="9" t="n">
        <x:v>28331</x:v>
      </x:c>
      <x:c r="E168" s="9" t="n">
        <x:v>6.5</x:v>
      </x:c>
      <x:c r="F168" s="9" t="n">
        <x:v>0</x:v>
      </x:c>
      <x:c r="G168" s="11" t="n">
        <x:f>SUM(D168:F168)</x:f>
        <x:v>28337.5</x:v>
      </x:c>
      <x:c r="H168" s="10" t="n">
        <x:v>0.92</x:v>
      </x:c>
      <x:c r="I168" s="11" t="n">
        <x:f>IF(ISNUMBER(H168),ROUND(D168*H168,2),NA())</x:f>
        <x:v>26064.52</x:v>
      </x:c>
      <x:c r="J168" s="2" t="str">
        <x:v>Regelbestand laut Verkäufer</x:v>
      </x:c>
      <x:c r="K168" s="2" t="str">
        <x:v>Export KREDIT-ERF-20260930, Einzelbelege nicht im Datenraum</x:v>
      </x:c>
    </x:row>
    <x:row r="169" ht="22" customHeight="1">
      <x:c r="A169" s="2" t="str">
        <x:v>APB-0164</x:v>
      </x:c>
      <x:c r="B169" s="2" t="str">
        <x:v>Bestandskunde 0164</x:v>
      </x:c>
      <x:c r="C169" s="2" t="str">
        <x:v>Nur Verkäuferexport</x:v>
      </x:c>
      <x:c r="D169" s="9" t="n">
        <x:v>28468</x:v>
      </x:c>
      <x:c r="E169" s="9" t="n">
        <x:v>13</x:v>
      </x:c>
      <x:c r="F169" s="9" t="n">
        <x:v>0</x:v>
      </x:c>
      <x:c r="G169" s="11" t="n">
        <x:f>SUM(D169:F169)</x:f>
        <x:v>28481</x:v>
      </x:c>
      <x:c r="H169" s="10" t="n">
        <x:v>0.92</x:v>
      </x:c>
      <x:c r="I169" s="11" t="n">
        <x:f>IF(ISNUMBER(H169),ROUND(D169*H169,2),NA())</x:f>
        <x:v>26190.56</x:v>
      </x:c>
      <x:c r="J169" s="2" t="str">
        <x:v>Regelbestand laut Verkäufer</x:v>
      </x:c>
      <x:c r="K169" s="2" t="str">
        <x:v>Export KREDIT-ERF-20260930, Einzelbelege nicht im Datenraum</x:v>
      </x:c>
    </x:row>
    <x:row r="170" ht="22" customHeight="1">
      <x:c r="A170" s="2" t="str">
        <x:v>APB-0165</x:v>
      </x:c>
      <x:c r="B170" s="2" t="str">
        <x:v>Bestandskunde 0165</x:v>
      </x:c>
      <x:c r="C170" s="2" t="str">
        <x:v>Nur Verkäuferexport</x:v>
      </x:c>
      <x:c r="D170" s="9" t="n">
        <x:v>28605</x:v>
      </x:c>
      <x:c r="E170" s="9" t="n">
        <x:v>19.5</x:v>
      </x:c>
      <x:c r="F170" s="9" t="n">
        <x:v>0</x:v>
      </x:c>
      <x:c r="G170" s="11" t="n">
        <x:f>SUM(D170:F170)</x:f>
        <x:v>28624.5</x:v>
      </x:c>
      <x:c r="H170" s="10" t="n">
        <x:v>0.92</x:v>
      </x:c>
      <x:c r="I170" s="11" t="n">
        <x:f>IF(ISNUMBER(H170),ROUND(D170*H170,2),NA())</x:f>
        <x:v>26316.6</x:v>
      </x:c>
      <x:c r="J170" s="2" t="str">
        <x:v>Regelbestand laut Verkäufer</x:v>
      </x:c>
      <x:c r="K170" s="2" t="str">
        <x:v>Export KREDIT-ERF-20260930, Einzelbelege nicht im Datenraum</x:v>
      </x:c>
    </x:row>
    <x:row r="171" ht="22" customHeight="1">
      <x:c r="A171" s="2" t="str">
        <x:v>APB-0166</x:v>
      </x:c>
      <x:c r="B171" s="2" t="str">
        <x:v>Bestandskunde 0166</x:v>
      </x:c>
      <x:c r="C171" s="2" t="str">
        <x:v>Nur Verkäuferexport</x:v>
      </x:c>
      <x:c r="D171" s="9" t="n">
        <x:v>28742</x:v>
      </x:c>
      <x:c r="E171" s="9" t="n">
        <x:v>26</x:v>
      </x:c>
      <x:c r="F171" s="9" t="n">
        <x:v>0</x:v>
      </x:c>
      <x:c r="G171" s="11" t="n">
        <x:f>SUM(D171:F171)</x:f>
        <x:v>28768</x:v>
      </x:c>
      <x:c r="H171" s="10" t="n">
        <x:v>0.92</x:v>
      </x:c>
      <x:c r="I171" s="11" t="n">
        <x:f>IF(ISNUMBER(H171),ROUND(D171*H171,2),NA())</x:f>
        <x:v>26442.64</x:v>
      </x:c>
      <x:c r="J171" s="2" t="str">
        <x:v>Regelbestand laut Verkäufer</x:v>
      </x:c>
      <x:c r="K171" s="2" t="str">
        <x:v>Export KREDIT-ERF-20260930, Einzelbelege nicht im Datenraum</x:v>
      </x:c>
    </x:row>
    <x:row r="172" ht="22" customHeight="1">
      <x:c r="A172" s="2" t="str">
        <x:v>APB-0167</x:v>
      </x:c>
      <x:c r="B172" s="2" t="str">
        <x:v>Bestandskunde 0167</x:v>
      </x:c>
      <x:c r="C172" s="2" t="str">
        <x:v>Nur Verkäuferexport</x:v>
      </x:c>
      <x:c r="D172" s="9" t="n">
        <x:v>28879</x:v>
      </x:c>
      <x:c r="E172" s="9" t="n">
        <x:v>32.5</x:v>
      </x:c>
      <x:c r="F172" s="9" t="n">
        <x:v>0</x:v>
      </x:c>
      <x:c r="G172" s="11" t="n">
        <x:f>SUM(D172:F172)</x:f>
        <x:v>28911.5</x:v>
      </x:c>
      <x:c r="H172" s="10" t="n">
        <x:v>0.92</x:v>
      </x:c>
      <x:c r="I172" s="11" t="n">
        <x:f>IF(ISNUMBER(H172),ROUND(D172*H172,2),NA())</x:f>
        <x:v>26568.68</x:v>
      </x:c>
      <x:c r="J172" s="2" t="str">
        <x:v>Regelbestand laut Verkäufer</x:v>
      </x:c>
      <x:c r="K172" s="2" t="str">
        <x:v>Export KREDIT-ERF-20260930, Einzelbelege nicht im Datenraum</x:v>
      </x:c>
    </x:row>
    <x:row r="173" ht="22" customHeight="1">
      <x:c r="A173" s="2" t="str">
        <x:v>APB-0168</x:v>
      </x:c>
      <x:c r="B173" s="2" t="str">
        <x:v>Bestandskunde 0168</x:v>
      </x:c>
      <x:c r="C173" s="2" t="str">
        <x:v>Nur Verkäuferexport</x:v>
      </x:c>
      <x:c r="D173" s="9" t="n">
        <x:v>29016</x:v>
      </x:c>
      <x:c r="E173" s="9" t="n">
        <x:v>39</x:v>
      </x:c>
      <x:c r="F173" s="9" t="n">
        <x:v>0</x:v>
      </x:c>
      <x:c r="G173" s="11" t="n">
        <x:f>SUM(D173:F173)</x:f>
        <x:v>29055</x:v>
      </x:c>
      <x:c r="H173" s="10" t="n">
        <x:v>0.92</x:v>
      </x:c>
      <x:c r="I173" s="11" t="n">
        <x:f>IF(ISNUMBER(H173),ROUND(D173*H173,2),NA())</x:f>
        <x:v>26694.72</x:v>
      </x:c>
      <x:c r="J173" s="2" t="str">
        <x:v>Regelbestand laut Verkäufer</x:v>
      </x:c>
      <x:c r="K173" s="2" t="str">
        <x:v>Export KREDIT-ERF-20260930, Einzelbelege nicht im Datenraum</x:v>
      </x:c>
    </x:row>
    <x:row r="174" ht="22" customHeight="1">
      <x:c r="A174" s="2" t="str">
        <x:v>APB-0169</x:v>
      </x:c>
      <x:c r="B174" s="2" t="str">
        <x:v>Bestandskunde 0169</x:v>
      </x:c>
      <x:c r="C174" s="2" t="str">
        <x:v>Nur Verkäuferexport</x:v>
      </x:c>
      <x:c r="D174" s="9" t="n">
        <x:v>29153</x:v>
      </x:c>
      <x:c r="E174" s="9" t="n">
        <x:v>45.5</x:v>
      </x:c>
      <x:c r="F174" s="9" t="n">
        <x:v>0</x:v>
      </x:c>
      <x:c r="G174" s="11" t="n">
        <x:f>SUM(D174:F174)</x:f>
        <x:v>29198.5</x:v>
      </x:c>
      <x:c r="H174" s="10" t="n">
        <x:v>0.92</x:v>
      </x:c>
      <x:c r="I174" s="11" t="n">
        <x:f>IF(ISNUMBER(H174),ROUND(D174*H174,2),NA())</x:f>
        <x:v>26820.76</x:v>
      </x:c>
      <x:c r="J174" s="2" t="str">
        <x:v>Regelbestand laut Verkäufer</x:v>
      </x:c>
      <x:c r="K174" s="2" t="str">
        <x:v>Export KREDIT-ERF-20260930, Einzelbelege nicht im Datenraum</x:v>
      </x:c>
    </x:row>
    <x:row r="175" ht="22" customHeight="1">
      <x:c r="A175" s="2" t="str">
        <x:v>APB-0170</x:v>
      </x:c>
      <x:c r="B175" s="2" t="str">
        <x:v>Bestandskunde 0170</x:v>
      </x:c>
      <x:c r="C175" s="2" t="str">
        <x:v>Nur Verkäuferexport</x:v>
      </x:c>
      <x:c r="D175" s="9" t="n">
        <x:v>29290</x:v>
      </x:c>
      <x:c r="E175" s="9" t="n">
        <x:v>52</x:v>
      </x:c>
      <x:c r="F175" s="9" t="n">
        <x:v>0</x:v>
      </x:c>
      <x:c r="G175" s="11" t="n">
        <x:f>SUM(D175:F175)</x:f>
        <x:v>29342</x:v>
      </x:c>
      <x:c r="H175" s="10" t="n">
        <x:v>0.92</x:v>
      </x:c>
      <x:c r="I175" s="11" t="n">
        <x:f>IF(ISNUMBER(H175),ROUND(D175*H175,2),NA())</x:f>
        <x:v>26946.8</x:v>
      </x:c>
      <x:c r="J175" s="2" t="str">
        <x:v>Regelbestand laut Verkäufer</x:v>
      </x:c>
      <x:c r="K175" s="2" t="str">
        <x:v>Export KREDIT-ERF-20260930, Einzelbelege nicht im Datenraum</x:v>
      </x:c>
    </x:row>
    <x:row r="176" ht="22" customHeight="1">
      <x:c r="A176" s="2" t="str">
        <x:v>APB-0171</x:v>
      </x:c>
      <x:c r="B176" s="2" t="str">
        <x:v>Bestandskunde 0171</x:v>
      </x:c>
      <x:c r="C176" s="2" t="str">
        <x:v>Nur Verkäuferexport</x:v>
      </x:c>
      <x:c r="D176" s="9" t="n">
        <x:v>29427</x:v>
      </x:c>
      <x:c r="E176" s="9" t="n">
        <x:v>0</x:v>
      </x:c>
      <x:c r="F176" s="9" t="n">
        <x:v>0</x:v>
      </x:c>
      <x:c r="G176" s="11" t="n">
        <x:f>SUM(D176:F176)</x:f>
        <x:v>29427</x:v>
      </x:c>
      <x:c r="H176" s="10" t="n">
        <x:v>0.92</x:v>
      </x:c>
      <x:c r="I176" s="11" t="n">
        <x:f>IF(ISNUMBER(H176),ROUND(D176*H176,2),NA())</x:f>
        <x:v>27072.84</x:v>
      </x:c>
      <x:c r="J176" s="2" t="str">
        <x:v>Regelbestand laut Verkäufer</x:v>
      </x:c>
      <x:c r="K176" s="2" t="str">
        <x:v>Export KREDIT-ERF-20260930, Einzelbelege nicht im Datenraum</x:v>
      </x:c>
    </x:row>
    <x:row r="177" ht="22" customHeight="1">
      <x:c r="A177" s="2" t="str">
        <x:v>APB-0172</x:v>
      </x:c>
      <x:c r="B177" s="2" t="str">
        <x:v>Bestandskunde 0172</x:v>
      </x:c>
      <x:c r="C177" s="2" t="str">
        <x:v>Nur Verkäuferexport</x:v>
      </x:c>
      <x:c r="D177" s="9" t="n">
        <x:v>29564</x:v>
      </x:c>
      <x:c r="E177" s="9" t="n">
        <x:v>6.5</x:v>
      </x:c>
      <x:c r="F177" s="9" t="n">
        <x:v>0</x:v>
      </x:c>
      <x:c r="G177" s="11" t="n">
        <x:f>SUM(D177:F177)</x:f>
        <x:v>29570.5</x:v>
      </x:c>
      <x:c r="H177" s="10" t="n">
        <x:v>0.92</x:v>
      </x:c>
      <x:c r="I177" s="11" t="n">
        <x:f>IF(ISNUMBER(H177),ROUND(D177*H177,2),NA())</x:f>
        <x:v>27198.88</x:v>
      </x:c>
      <x:c r="J177" s="2" t="str">
        <x:v>Regelbestand laut Verkäufer</x:v>
      </x:c>
      <x:c r="K177" s="2" t="str">
        <x:v>Export KREDIT-ERF-20260930, Einzelbelege nicht im Datenraum</x:v>
      </x:c>
    </x:row>
    <x:row r="178" ht="22" customHeight="1">
      <x:c r="A178" s="2" t="str">
        <x:v>APB-0173</x:v>
      </x:c>
      <x:c r="B178" s="2" t="str">
        <x:v>Bestandskunde 0173</x:v>
      </x:c>
      <x:c r="C178" s="2" t="str">
        <x:v>Nur Verkäuferexport</x:v>
      </x:c>
      <x:c r="D178" s="9" t="n">
        <x:v>29701</x:v>
      </x:c>
      <x:c r="E178" s="9" t="n">
        <x:v>13</x:v>
      </x:c>
      <x:c r="F178" s="9" t="n">
        <x:v>0</x:v>
      </x:c>
      <x:c r="G178" s="11" t="n">
        <x:f>SUM(D178:F178)</x:f>
        <x:v>29714</x:v>
      </x:c>
      <x:c r="H178" s="10" t="n">
        <x:v>0.92</x:v>
      </x:c>
      <x:c r="I178" s="11" t="n">
        <x:f>IF(ISNUMBER(H178),ROUND(D178*H178,2),NA())</x:f>
        <x:v>27324.92</x:v>
      </x:c>
      <x:c r="J178" s="2" t="str">
        <x:v>Regelbestand laut Verkäufer</x:v>
      </x:c>
      <x:c r="K178" s="2" t="str">
        <x:v>Export KREDIT-ERF-20260930, Einzelbelege nicht im Datenraum</x:v>
      </x:c>
    </x:row>
    <x:row r="179" ht="22" customHeight="1">
      <x:c r="A179" s="2" t="str">
        <x:v>APB-0174</x:v>
      </x:c>
      <x:c r="B179" s="2" t="str">
        <x:v>Bestandskunde 0174</x:v>
      </x:c>
      <x:c r="C179" s="2" t="str">
        <x:v>Nur Verkäuferexport</x:v>
      </x:c>
      <x:c r="D179" s="9" t="n">
        <x:v>29838</x:v>
      </x:c>
      <x:c r="E179" s="9" t="n">
        <x:v>19.5</x:v>
      </x:c>
      <x:c r="F179" s="9" t="n">
        <x:v>15</x:v>
      </x:c>
      <x:c r="G179" s="11" t="n">
        <x:f>SUM(D179:F179)</x:f>
        <x:v>29872.5</x:v>
      </x:c>
      <x:c r="H179" s="10" t="n">
        <x:v>0.92</x:v>
      </x:c>
      <x:c r="I179" s="11" t="n">
        <x:f>IF(ISNUMBER(H179),ROUND(D179*H179,2),NA())</x:f>
        <x:v>27450.96</x:v>
      </x:c>
      <x:c r="J179" s="2" t="str">
        <x:v>Zahlungslücke im Export</x:v>
      </x:c>
      <x:c r="K179" s="2" t="str">
        <x:v>Export KREDIT-ERF-20260930, Einzelbelege nicht im Datenraum</x:v>
      </x:c>
    </x:row>
    <x:row r="180" ht="22" customHeight="1">
      <x:c r="A180" s="2" t="str">
        <x:v>APB-0175</x:v>
      </x:c>
      <x:c r="B180" s="2" t="str">
        <x:v>Bestandskunde 0175</x:v>
      </x:c>
      <x:c r="C180" s="2" t="str">
        <x:v>Nur Verkäuferexport</x:v>
      </x:c>
      <x:c r="D180" s="9" t="n">
        <x:v>29975</x:v>
      </x:c>
      <x:c r="E180" s="9" t="n">
        <x:v>26</x:v>
      </x:c>
      <x:c r="F180" s="9" t="n">
        <x:v>0</x:v>
      </x:c>
      <x:c r="G180" s="11" t="n">
        <x:f>SUM(D180:F180)</x:f>
        <x:v>30001</x:v>
      </x:c>
      <x:c r="H180" s="10" t="n">
        <x:v>0.92</x:v>
      </x:c>
      <x:c r="I180" s="11" t="n">
        <x:f>IF(ISNUMBER(H180),ROUND(D180*H180,2),NA())</x:f>
        <x:v>27577</x:v>
      </x:c>
      <x:c r="J180" s="2" t="str">
        <x:v>Regelbestand laut Verkäufer</x:v>
      </x:c>
      <x:c r="K180" s="2" t="str">
        <x:v>Export KREDIT-ERF-20260930, Einzelbelege nicht im Datenraum</x:v>
      </x:c>
    </x:row>
    <x:row r="181" ht="22" customHeight="1">
      <x:c r="A181" s="2" t="str">
        <x:v>APB-0176</x:v>
      </x:c>
      <x:c r="B181" s="2" t="str">
        <x:v>Bestandskunde 0176</x:v>
      </x:c>
      <x:c r="C181" s="2" t="str">
        <x:v>Nur Verkäuferexport</x:v>
      </x:c>
      <x:c r="D181" s="9" t="n">
        <x:v>6112</x:v>
      </x:c>
      <x:c r="E181" s="9" t="n">
        <x:v>32.5</x:v>
      </x:c>
      <x:c r="F181" s="9" t="n">
        <x:v>0</x:v>
      </x:c>
      <x:c r="G181" s="11" t="n">
        <x:f>SUM(D181:F181)</x:f>
        <x:v>6144.5</x:v>
      </x:c>
      <x:c r="H181" s="10" t="n">
        <x:v>0.92</x:v>
      </x:c>
      <x:c r="I181" s="11" t="n">
        <x:f>IF(ISNUMBER(H181),ROUND(D181*H181,2),NA())</x:f>
        <x:v>5623.04</x:v>
      </x:c>
      <x:c r="J181" s="2" t="str">
        <x:v>Regelbestand laut Verkäufer</x:v>
      </x:c>
      <x:c r="K181" s="2" t="str">
        <x:v>Export KREDIT-ERF-20260930, Einzelbelege nicht im Datenraum</x:v>
      </x:c>
    </x:row>
    <x:row r="182" ht="22" customHeight="1">
      <x:c r="A182" s="2" t="str">
        <x:v>APB-0177</x:v>
      </x:c>
      <x:c r="B182" s="2" t="str">
        <x:v>Bestandskunde 0177</x:v>
      </x:c>
      <x:c r="C182" s="2" t="str">
        <x:v>Nur Verkäuferexport</x:v>
      </x:c>
      <x:c r="D182" s="9" t="n">
        <x:v>6249</x:v>
      </x:c>
      <x:c r="E182" s="9" t="n">
        <x:v>39</x:v>
      </x:c>
      <x:c r="F182" s="9" t="n">
        <x:v>0</x:v>
      </x:c>
      <x:c r="G182" s="11" t="n">
        <x:f>SUM(D182:F182)</x:f>
        <x:v>6288</x:v>
      </x:c>
      <x:c r="H182" s="10" t="n">
        <x:v>0.92</x:v>
      </x:c>
      <x:c r="I182" s="11" t="n">
        <x:f>IF(ISNUMBER(H182),ROUND(D182*H182,2),NA())</x:f>
        <x:v>5749.08</x:v>
      </x:c>
      <x:c r="J182" s="2" t="str">
        <x:v>Regelbestand laut Verkäufer</x:v>
      </x:c>
      <x:c r="K182" s="2" t="str">
        <x:v>Export KREDIT-ERF-20260930, Einzelbelege nicht im Datenraum</x:v>
      </x:c>
    </x:row>
    <x:row r="183" ht="22" customHeight="1">
      <x:c r="A183" s="2" t="str">
        <x:v>APB-0178</x:v>
      </x:c>
      <x:c r="B183" s="2" t="str">
        <x:v>Bestandskunde 0178</x:v>
      </x:c>
      <x:c r="C183" s="2" t="str">
        <x:v>Nur Verkäuferexport</x:v>
      </x:c>
      <x:c r="D183" s="9" t="n">
        <x:v>6386</x:v>
      </x:c>
      <x:c r="E183" s="9" t="n">
        <x:v>45.5</x:v>
      </x:c>
      <x:c r="F183" s="9" t="n">
        <x:v>0</x:v>
      </x:c>
      <x:c r="G183" s="11" t="n">
        <x:f>SUM(D183:F183)</x:f>
        <x:v>6431.5</x:v>
      </x:c>
      <x:c r="H183" s="10" t="n">
        <x:v>0.92</x:v>
      </x:c>
      <x:c r="I183" s="11" t="n">
        <x:f>IF(ISNUMBER(H183),ROUND(D183*H183,2),NA())</x:f>
        <x:v>5875.12</x:v>
      </x:c>
      <x:c r="J183" s="2" t="str">
        <x:v>Regelbestand laut Verkäufer</x:v>
      </x:c>
      <x:c r="K183" s="2" t="str">
        <x:v>Export KREDIT-ERF-20260930, Einzelbelege nicht im Datenraum</x:v>
      </x:c>
    </x:row>
    <x:row r="184" ht="22" customHeight="1">
      <x:c r="A184" s="2" t="str">
        <x:v>APB-0179</x:v>
      </x:c>
      <x:c r="B184" s="2" t="str">
        <x:v>Bestandskunde 0179</x:v>
      </x:c>
      <x:c r="C184" s="2" t="str">
        <x:v>Nur Verkäuferexport</x:v>
      </x:c>
      <x:c r="D184" s="9" t="n">
        <x:v>6523</x:v>
      </x:c>
      <x:c r="E184" s="9" t="n">
        <x:v>52</x:v>
      </x:c>
      <x:c r="F184" s="9" t="n">
        <x:v>0</x:v>
      </x:c>
      <x:c r="G184" s="11" t="n">
        <x:f>SUM(D184:F184)</x:f>
        <x:v>6575</x:v>
      </x:c>
      <x:c r="H184" s="10" t="n">
        <x:v>0.92</x:v>
      </x:c>
      <x:c r="I184" s="11" t="n">
        <x:f>IF(ISNUMBER(H184),ROUND(D184*H184,2),NA())</x:f>
        <x:v>6001.16</x:v>
      </x:c>
      <x:c r="J184" s="2" t="str">
        <x:v>Regelbestand laut Verkäufer</x:v>
      </x:c>
      <x:c r="K184" s="2" t="str">
        <x:v>Export KREDIT-ERF-20260930, Einzelbelege nicht im Datenraum</x:v>
      </x:c>
    </x:row>
    <x:row r="185" ht="22" customHeight="1">
      <x:c r="A185" s="2" t="str">
        <x:v>APB-0180</x:v>
      </x:c>
      <x:c r="B185" s="2" t="str">
        <x:v>Bestandskunde 0180</x:v>
      </x:c>
      <x:c r="C185" s="2" t="str">
        <x:v>Nur Verkäuferexport</x:v>
      </x:c>
      <x:c r="D185" s="9" t="n">
        <x:v>6660</x:v>
      </x:c>
      <x:c r="E185" s="9" t="n">
        <x:v>0</x:v>
      </x:c>
      <x:c r="F185" s="9" t="n">
        <x:v>0</x:v>
      </x:c>
      <x:c r="G185" s="11" t="n">
        <x:f>SUM(D185:F185)</x:f>
        <x:v>6660</x:v>
      </x:c>
      <x:c r="H185" s="10" t="n">
        <x:v>0.92</x:v>
      </x:c>
      <x:c r="I185" s="11" t="n">
        <x:f>IF(ISNUMBER(H185),ROUND(D185*H185,2),NA())</x:f>
        <x:v>6127.2</x:v>
      </x:c>
      <x:c r="J185" s="2" t="str">
        <x:v>Regelbestand laut Verkäufer</x:v>
      </x:c>
      <x:c r="K185" s="2" t="str">
        <x:v>Export KREDIT-ERF-20260930, Einzelbelege nicht im Datenraum</x:v>
      </x:c>
    </x:row>
    <x:row r="186" ht="22" customHeight="1">
      <x:c r="A186" s="2" t="str">
        <x:v>APB-0181</x:v>
      </x:c>
      <x:c r="B186" s="2" t="str">
        <x:v>Bestandskunde 0181</x:v>
      </x:c>
      <x:c r="C186" s="2" t="str">
        <x:v>Nur Verkäuferexport</x:v>
      </x:c>
      <x:c r="D186" s="9" t="n">
        <x:v>6797</x:v>
      </x:c>
      <x:c r="E186" s="9" t="n">
        <x:v>6.5</x:v>
      </x:c>
      <x:c r="F186" s="9" t="n">
        <x:v>0</x:v>
      </x:c>
      <x:c r="G186" s="11" t="n">
        <x:f>SUM(D186:F186)</x:f>
        <x:v>6803.5</x:v>
      </x:c>
      <x:c r="H186" s="10" t="n">
        <x:v>0.92</x:v>
      </x:c>
      <x:c r="I186" s="11" t="n">
        <x:f>IF(ISNUMBER(H186),ROUND(D186*H186,2),NA())</x:f>
        <x:v>6253.24</x:v>
      </x:c>
      <x:c r="J186" s="2" t="str">
        <x:v>Regelbestand laut Verkäufer</x:v>
      </x:c>
      <x:c r="K186" s="2" t="str">
        <x:v>Export KREDIT-ERF-20260930, Einzelbelege nicht im Datenraum</x:v>
      </x:c>
    </x:row>
    <x:row r="187" ht="22" customHeight="1">
      <x:c r="A187" s="2" t="str">
        <x:v>APB-0182</x:v>
      </x:c>
      <x:c r="B187" s="2" t="str">
        <x:v>Bestandskunde 0182</x:v>
      </x:c>
      <x:c r="C187" s="2" t="str">
        <x:v>Nur Verkäuferexport</x:v>
      </x:c>
      <x:c r="D187" s="9" t="n">
        <x:v>6934</x:v>
      </x:c>
      <x:c r="E187" s="9" t="n">
        <x:v>13</x:v>
      </x:c>
      <x:c r="F187" s="9" t="n">
        <x:v>0</x:v>
      </x:c>
      <x:c r="G187" s="11" t="n">
        <x:f>SUM(D187:F187)</x:f>
        <x:v>6947</x:v>
      </x:c>
      <x:c r="H187" s="10" t="n">
        <x:v>0.92</x:v>
      </x:c>
      <x:c r="I187" s="11" t="n">
        <x:f>IF(ISNUMBER(H187),ROUND(D187*H187,2),NA())</x:f>
        <x:v>6379.28</x:v>
      </x:c>
      <x:c r="J187" s="2" t="str">
        <x:v>Regelbestand laut Verkäufer</x:v>
      </x:c>
      <x:c r="K187" s="2" t="str">
        <x:v>Export KREDIT-ERF-20260930, Einzelbelege nicht im Datenraum</x:v>
      </x:c>
    </x:row>
    <x:row r="188" ht="22" customHeight="1">
      <x:c r="A188" s="2" t="str">
        <x:v>APB-0183</x:v>
      </x:c>
      <x:c r="B188" s="2" t="str">
        <x:v>Bestandskunde 0183</x:v>
      </x:c>
      <x:c r="C188" s="2" t="str">
        <x:v>Nur Verkäuferexport</x:v>
      </x:c>
      <x:c r="D188" s="9" t="n">
        <x:v>7071</x:v>
      </x:c>
      <x:c r="E188" s="9" t="n">
        <x:v>19.5</x:v>
      </x:c>
      <x:c r="F188" s="9" t="n">
        <x:v>0</x:v>
      </x:c>
      <x:c r="G188" s="11" t="n">
        <x:f>SUM(D188:F188)</x:f>
        <x:v>7090.5</x:v>
      </x:c>
      <x:c r="H188" s="10" t="n">
        <x:v>0.92</x:v>
      </x:c>
      <x:c r="I188" s="11" t="n">
        <x:f>IF(ISNUMBER(H188),ROUND(D188*H188,2),NA())</x:f>
        <x:v>6505.32</x:v>
      </x:c>
      <x:c r="J188" s="2" t="str">
        <x:v>Regelbestand laut Verkäufer</x:v>
      </x:c>
      <x:c r="K188" s="2" t="str">
        <x:v>Export KREDIT-ERF-20260930, Einzelbelege nicht im Datenraum</x:v>
      </x:c>
    </x:row>
    <x:row r="189" ht="22" customHeight="1">
      <x:c r="A189" s="2" t="str">
        <x:v>APB-0184</x:v>
      </x:c>
      <x:c r="B189" s="2" t="str">
        <x:v>Bestandskunde 0184</x:v>
      </x:c>
      <x:c r="C189" s="2" t="str">
        <x:v>Nur Verkäuferexport</x:v>
      </x:c>
      <x:c r="D189" s="9" t="n">
        <x:v>7208</x:v>
      </x:c>
      <x:c r="E189" s="9" t="n">
        <x:v>26</x:v>
      </x:c>
      <x:c r="F189" s="9" t="n">
        <x:v>0</x:v>
      </x:c>
      <x:c r="G189" s="11" t="n">
        <x:f>SUM(D189:F189)</x:f>
        <x:v>7234</x:v>
      </x:c>
      <x:c r="H189" s="10" t="n">
        <x:v>0.92</x:v>
      </x:c>
      <x:c r="I189" s="11" t="n">
        <x:f>IF(ISNUMBER(H189),ROUND(D189*H189,2),NA())</x:f>
        <x:v>6631.36</x:v>
      </x:c>
      <x:c r="J189" s="2" t="str">
        <x:v>Regelbestand laut Verkäufer</x:v>
      </x:c>
      <x:c r="K189" s="2" t="str">
        <x:v>Export KREDIT-ERF-20260930, Einzelbelege nicht im Datenraum</x:v>
      </x:c>
    </x:row>
    <x:row r="190" ht="22" customHeight="1">
      <x:c r="A190" s="2" t="str">
        <x:v>APB-0185</x:v>
      </x:c>
      <x:c r="B190" s="2" t="str">
        <x:v>Bestandskunde 0185</x:v>
      </x:c>
      <x:c r="C190" s="2" t="str">
        <x:v>Nur Verkäuferexport</x:v>
      </x:c>
      <x:c r="D190" s="9" t="n">
        <x:v>7345</x:v>
      </x:c>
      <x:c r="E190" s="9" t="n">
        <x:v>32.5</x:v>
      </x:c>
      <x:c r="F190" s="9" t="n">
        <x:v>0</x:v>
      </x:c>
      <x:c r="G190" s="11" t="n">
        <x:f>SUM(D190:F190)</x:f>
        <x:v>7377.5</x:v>
      </x:c>
      <x:c r="H190" s="10" t="n">
        <x:v>0.92</x:v>
      </x:c>
      <x:c r="I190" s="11" t="n">
        <x:f>IF(ISNUMBER(H190),ROUND(D190*H190,2),NA())</x:f>
        <x:v>6757.4</x:v>
      </x:c>
      <x:c r="J190" s="2" t="str">
        <x:v>Regelbestand laut Verkäufer</x:v>
      </x:c>
      <x:c r="K190" s="2" t="str">
        <x:v>Export KREDIT-ERF-20260930, Einzelbelege nicht im Datenraum</x:v>
      </x:c>
    </x:row>
    <x:row r="191" ht="22" customHeight="1">
      <x:c r="A191" s="2" t="str">
        <x:v>APB-0186</x:v>
      </x:c>
      <x:c r="B191" s="2" t="str">
        <x:v>Bestandskunde 0186</x:v>
      </x:c>
      <x:c r="C191" s="2" t="str">
        <x:v>Nur Verkäuferexport</x:v>
      </x:c>
      <x:c r="D191" s="9" t="n">
        <x:v>7482</x:v>
      </x:c>
      <x:c r="E191" s="9" t="n">
        <x:v>39</x:v>
      </x:c>
      <x:c r="F191" s="9" t="n">
        <x:v>0</x:v>
      </x:c>
      <x:c r="G191" s="11" t="n">
        <x:f>SUM(D191:F191)</x:f>
        <x:v>7521</x:v>
      </x:c>
      <x:c r="H191" s="10" t="n">
        <x:v>0.92</x:v>
      </x:c>
      <x:c r="I191" s="11" t="n">
        <x:f>IF(ISNUMBER(H191),ROUND(D191*H191,2),NA())</x:f>
        <x:v>6883.44</x:v>
      </x:c>
      <x:c r="J191" s="2" t="str">
        <x:v>Regelbestand laut Verkäufer</x:v>
      </x:c>
      <x:c r="K191" s="2" t="str">
        <x:v>Export KREDIT-ERF-20260930, Einzelbelege nicht im Datenraum</x:v>
      </x:c>
    </x:row>
    <x:row r="192" ht="22" customHeight="1">
      <x:c r="A192" s="2" t="str">
        <x:v>APB-0187</x:v>
      </x:c>
      <x:c r="B192" s="2" t="str">
        <x:v>Bestandskunde 0187</x:v>
      </x:c>
      <x:c r="C192" s="2" t="str">
        <x:v>Nur Verkäuferexport</x:v>
      </x:c>
      <x:c r="D192" s="9" t="n">
        <x:v>7619</x:v>
      </x:c>
      <x:c r="E192" s="9" t="n">
        <x:v>45.5</x:v>
      </x:c>
      <x:c r="F192" s="9" t="n">
        <x:v>0</x:v>
      </x:c>
      <x:c r="G192" s="11" t="n">
        <x:f>SUM(D192:F192)</x:f>
        <x:v>7664.5</x:v>
      </x:c>
      <x:c r="H192" s="10" t="n">
        <x:v>0.92</x:v>
      </x:c>
      <x:c r="I192" s="11" t="n">
        <x:f>IF(ISNUMBER(H192),ROUND(D192*H192,2),NA())</x:f>
        <x:v>7009.48</x:v>
      </x:c>
      <x:c r="J192" s="2" t="str">
        <x:v>Regelbestand laut Verkäufer</x:v>
      </x:c>
      <x:c r="K192" s="2" t="str">
        <x:v>Export KREDIT-ERF-20260930, Einzelbelege nicht im Datenraum</x:v>
      </x:c>
    </x:row>
    <x:row r="193" ht="22" customHeight="1">
      <x:c r="A193" s="2" t="str">
        <x:v>APB-0188</x:v>
      </x:c>
      <x:c r="B193" s="2" t="str">
        <x:v>Bestandskunde 0188</x:v>
      </x:c>
      <x:c r="C193" s="2" t="str">
        <x:v>Nur Verkäuferexport</x:v>
      </x:c>
      <x:c r="D193" s="9" t="n">
        <x:v>7756</x:v>
      </x:c>
      <x:c r="E193" s="9" t="n">
        <x:v>52</x:v>
      </x:c>
      <x:c r="F193" s="9" t="n">
        <x:v>0</x:v>
      </x:c>
      <x:c r="G193" s="11" t="n">
        <x:f>SUM(D193:F193)</x:f>
        <x:v>7808</x:v>
      </x:c>
      <x:c r="H193" s="10" t="n">
        <x:v>0.92</x:v>
      </x:c>
      <x:c r="I193" s="11" t="n">
        <x:f>IF(ISNUMBER(H193),ROUND(D193*H193,2),NA())</x:f>
        <x:v>7135.52</x:v>
      </x:c>
      <x:c r="J193" s="2" t="str">
        <x:v>Regelbestand laut Verkäufer</x:v>
      </x:c>
      <x:c r="K193" s="2" t="str">
        <x:v>Export KREDIT-ERF-20260930, Einzelbelege nicht im Datenraum</x:v>
      </x:c>
    </x:row>
    <x:row r="194" ht="22" customHeight="1">
      <x:c r="A194" s="2" t="str">
        <x:v>APB-0189</x:v>
      </x:c>
      <x:c r="B194" s="2" t="str">
        <x:v>Bestandskunde 0189</x:v>
      </x:c>
      <x:c r="C194" s="2" t="str">
        <x:v>Nur Verkäuferexport</x:v>
      </x:c>
      <x:c r="D194" s="9" t="n">
        <x:v>7893</x:v>
      </x:c>
      <x:c r="E194" s="9" t="n">
        <x:v>0</x:v>
      </x:c>
      <x:c r="F194" s="9" t="n">
        <x:v>0</x:v>
      </x:c>
      <x:c r="G194" s="11" t="n">
        <x:f>SUM(D194:F194)</x:f>
        <x:v>7893</x:v>
      </x:c>
      <x:c r="H194" s="10" t="n">
        <x:v>0.92</x:v>
      </x:c>
      <x:c r="I194" s="11" t="n">
        <x:f>IF(ISNUMBER(H194),ROUND(D194*H194,2),NA())</x:f>
        <x:v>7261.56</x:v>
      </x:c>
      <x:c r="J194" s="2" t="str">
        <x:v>Regelbestand laut Verkäufer</x:v>
      </x:c>
      <x:c r="K194" s="2" t="str">
        <x:v>Export KREDIT-ERF-20260930, Einzelbelege nicht im Datenraum</x:v>
      </x:c>
    </x:row>
    <x:row r="195" ht="22" customHeight="1">
      <x:c r="A195" s="2" t="str">
        <x:v>APB-0190</x:v>
      </x:c>
      <x:c r="B195" s="2" t="str">
        <x:v>Bestandskunde 0190</x:v>
      </x:c>
      <x:c r="C195" s="2" t="str">
        <x:v>Nur Verkäuferexport</x:v>
      </x:c>
      <x:c r="D195" s="9" t="n">
        <x:v>8030</x:v>
      </x:c>
      <x:c r="E195" s="9" t="n">
        <x:v>6.5</x:v>
      </x:c>
      <x:c r="F195" s="9" t="n">
        <x:v>0</x:v>
      </x:c>
      <x:c r="G195" s="11" t="n">
        <x:f>SUM(D195:F195)</x:f>
        <x:v>8036.5</x:v>
      </x:c>
      <x:c r="H195" s="10" t="n">
        <x:v>0.92</x:v>
      </x:c>
      <x:c r="I195" s="11" t="n">
        <x:f>IF(ISNUMBER(H195),ROUND(D195*H195,2),NA())</x:f>
        <x:v>7387.6</x:v>
      </x:c>
      <x:c r="J195" s="2" t="str">
        <x:v>Regelbestand laut Verkäufer</x:v>
      </x:c>
      <x:c r="K195" s="2" t="str">
        <x:v>Export KREDIT-ERF-20260930, Einzelbelege nicht im Datenraum</x:v>
      </x:c>
    </x:row>
    <x:row r="196" ht="22" customHeight="1">
      <x:c r="A196" s="2" t="str">
        <x:v>APB-0191</x:v>
      </x:c>
      <x:c r="B196" s="2" t="str">
        <x:v>Bestandskunde 0191</x:v>
      </x:c>
      <x:c r="C196" s="2" t="str">
        <x:v>Nur Verkäuferexport</x:v>
      </x:c>
      <x:c r="D196" s="9" t="n">
        <x:v>8167</x:v>
      </x:c>
      <x:c r="E196" s="9" t="n">
        <x:v>13</x:v>
      </x:c>
      <x:c r="F196" s="9" t="n">
        <x:v>0</x:v>
      </x:c>
      <x:c r="G196" s="11" t="n">
        <x:f>SUM(D196:F196)</x:f>
        <x:v>8180</x:v>
      </x:c>
      <x:c r="H196" s="10" t="n">
        <x:v>0.92</x:v>
      </x:c>
      <x:c r="I196" s="11" t="n">
        <x:f>IF(ISNUMBER(H196),ROUND(D196*H196,2),NA())</x:f>
        <x:v>7513.64</x:v>
      </x:c>
      <x:c r="J196" s="2" t="str">
        <x:v>Regelbestand laut Verkäufer</x:v>
      </x:c>
      <x:c r="K196" s="2" t="str">
        <x:v>Export KREDIT-ERF-20260930, Einzelbelege nicht im Datenraum</x:v>
      </x:c>
    </x:row>
    <x:row r="197" ht="22" customHeight="1">
      <x:c r="A197" s="2" t="str">
        <x:v>APB-0192</x:v>
      </x:c>
      <x:c r="B197" s="2" t="str">
        <x:v>Bestandskunde 0192</x:v>
      </x:c>
      <x:c r="C197" s="2" t="str">
        <x:v>Nur Verkäuferexport</x:v>
      </x:c>
      <x:c r="D197" s="9" t="n">
        <x:v>8304</x:v>
      </x:c>
      <x:c r="E197" s="9" t="n">
        <x:v>19.5</x:v>
      </x:c>
      <x:c r="F197" s="9" t="n">
        <x:v>0</x:v>
      </x:c>
      <x:c r="G197" s="11" t="n">
        <x:f>SUM(D197:F197)</x:f>
        <x:v>8323.5</x:v>
      </x:c>
      <x:c r="H197" s="10" t="n">
        <x:v>0.92</x:v>
      </x:c>
      <x:c r="I197" s="11" t="n">
        <x:f>IF(ISNUMBER(H197),ROUND(D197*H197,2),NA())</x:f>
        <x:v>7639.68</x:v>
      </x:c>
      <x:c r="J197" s="2" t="str">
        <x:v>Regelbestand laut Verkäufer</x:v>
      </x:c>
      <x:c r="K197" s="2" t="str">
        <x:v>Export KREDIT-ERF-20260930, Einzelbelege nicht im Datenraum</x:v>
      </x:c>
    </x:row>
    <x:row r="198" ht="22" customHeight="1">
      <x:c r="A198" s="2" t="str">
        <x:v>APB-0193</x:v>
      </x:c>
      <x:c r="B198" s="2" t="str">
        <x:v>Bestandskunde 0193</x:v>
      </x:c>
      <x:c r="C198" s="2" t="str">
        <x:v>Nur Verkäuferexport</x:v>
      </x:c>
      <x:c r="D198" s="9" t="n">
        <x:v>8441</x:v>
      </x:c>
      <x:c r="E198" s="9" t="n">
        <x:v>26</x:v>
      </x:c>
      <x:c r="F198" s="9" t="n">
        <x:v>0</x:v>
      </x:c>
      <x:c r="G198" s="11" t="n">
        <x:f>SUM(D198:F198)</x:f>
        <x:v>8467</x:v>
      </x:c>
      <x:c r="H198" s="10" t="n">
        <x:v>0.92</x:v>
      </x:c>
      <x:c r="I198" s="11" t="n">
        <x:f>IF(ISNUMBER(H198),ROUND(D198*H198,2),NA())</x:f>
        <x:v>7765.72</x:v>
      </x:c>
      <x:c r="J198" s="2" t="str">
        <x:v>Regelbestand laut Verkäufer</x:v>
      </x:c>
      <x:c r="K198" s="2" t="str">
        <x:v>Export KREDIT-ERF-20260930, Einzelbelege nicht im Datenraum</x:v>
      </x:c>
    </x:row>
    <x:row r="199" ht="22" customHeight="1">
      <x:c r="A199" s="2" t="str">
        <x:v>APB-0194</x:v>
      </x:c>
      <x:c r="B199" s="2" t="str">
        <x:v>Bestandskunde 0194</x:v>
      </x:c>
      <x:c r="C199" s="2" t="str">
        <x:v>Nur Verkäuferexport</x:v>
      </x:c>
      <x:c r="D199" s="9" t="n">
        <x:v>8578</x:v>
      </x:c>
      <x:c r="E199" s="9" t="n">
        <x:v>32.5</x:v>
      </x:c>
      <x:c r="F199" s="9" t="n">
        <x:v>0</x:v>
      </x:c>
      <x:c r="G199" s="11" t="n">
        <x:f>SUM(D199:F199)</x:f>
        <x:v>8610.5</x:v>
      </x:c>
      <x:c r="H199" s="10" t="n">
        <x:v>0.92</x:v>
      </x:c>
      <x:c r="I199" s="11" t="n">
        <x:f>IF(ISNUMBER(H199),ROUND(D199*H199,2),NA())</x:f>
        <x:v>7891.76</x:v>
      </x:c>
      <x:c r="J199" s="2" t="str">
        <x:v>Regelbestand laut Verkäufer</x:v>
      </x:c>
      <x:c r="K199" s="2" t="str">
        <x:v>Export KREDIT-ERF-20260930, Einzelbelege nicht im Datenraum</x:v>
      </x:c>
    </x:row>
    <x:row r="200" ht="22" customHeight="1">
      <x:c r="A200" s="2" t="str">
        <x:v>APB-0195</x:v>
      </x:c>
      <x:c r="B200" s="2" t="str">
        <x:v>Bestandskunde 0195</x:v>
      </x:c>
      <x:c r="C200" s="2" t="str">
        <x:v>Nur Verkäuferexport</x:v>
      </x:c>
      <x:c r="D200" s="9" t="n">
        <x:v>8715</x:v>
      </x:c>
      <x:c r="E200" s="9" t="n">
        <x:v>39</x:v>
      </x:c>
      <x:c r="F200" s="9" t="n">
        <x:v>0</x:v>
      </x:c>
      <x:c r="G200" s="11" t="n">
        <x:f>SUM(D200:F200)</x:f>
        <x:v>8754</x:v>
      </x:c>
      <x:c r="H200" s="10" t="n">
        <x:v>0.92</x:v>
      </x:c>
      <x:c r="I200" s="11" t="n">
        <x:f>IF(ISNUMBER(H200),ROUND(D200*H200,2),NA())</x:f>
        <x:v>8017.8</x:v>
      </x:c>
      <x:c r="J200" s="2" t="str">
        <x:v>Regelbestand laut Verkäufer</x:v>
      </x:c>
      <x:c r="K200" s="2" t="str">
        <x:v>Export KREDIT-ERF-20260930, Einzelbelege nicht im Datenraum</x:v>
      </x:c>
    </x:row>
    <x:row r="201" ht="22" customHeight="1">
      <x:c r="A201" s="2" t="str">
        <x:v>APB-0196</x:v>
      </x:c>
      <x:c r="B201" s="2" t="str">
        <x:v>Bestandskunde 0196</x:v>
      </x:c>
      <x:c r="C201" s="2" t="str">
        <x:v>Nur Verkäuferexport</x:v>
      </x:c>
      <x:c r="D201" s="9" t="n">
        <x:v>8852</x:v>
      </x:c>
      <x:c r="E201" s="9" t="n">
        <x:v>45.5</x:v>
      </x:c>
      <x:c r="F201" s="9" t="n">
        <x:v>0</x:v>
      </x:c>
      <x:c r="G201" s="11" t="n">
        <x:f>SUM(D201:F201)</x:f>
        <x:v>8897.5</x:v>
      </x:c>
      <x:c r="H201" s="10" t="n">
        <x:v>0.92</x:v>
      </x:c>
      <x:c r="I201" s="11" t="n">
        <x:f>IF(ISNUMBER(H201),ROUND(D201*H201,2),NA())</x:f>
        <x:v>8143.84</x:v>
      </x:c>
      <x:c r="J201" s="2" t="str">
        <x:v>Regelbestand laut Verkäufer</x:v>
      </x:c>
      <x:c r="K201" s="2" t="str">
        <x:v>Export KREDIT-ERF-20260930, Einzelbelege nicht im Datenraum</x:v>
      </x:c>
    </x:row>
    <x:row r="202" ht="22" customHeight="1">
      <x:c r="A202" s="2" t="str">
        <x:v>APB-0197</x:v>
      </x:c>
      <x:c r="B202" s="2" t="str">
        <x:v>Bestandskunde 0197</x:v>
      </x:c>
      <x:c r="C202" s="2" t="str">
        <x:v>Nur Verkäuferexport</x:v>
      </x:c>
      <x:c r="D202" s="9" t="n">
        <x:v>8989</x:v>
      </x:c>
      <x:c r="E202" s="9" t="n">
        <x:v>52</x:v>
      </x:c>
      <x:c r="F202" s="9" t="n">
        <x:v>0</x:v>
      </x:c>
      <x:c r="G202" s="11" t="n">
        <x:f>SUM(D202:F202)</x:f>
        <x:v>9041</x:v>
      </x:c>
      <x:c r="H202" s="10" t="n">
        <x:v>0.92</x:v>
      </x:c>
      <x:c r="I202" s="11" t="n">
        <x:f>IF(ISNUMBER(H202),ROUND(D202*H202,2),NA())</x:f>
        <x:v>8269.88</x:v>
      </x:c>
      <x:c r="J202" s="2" t="str">
        <x:v>Regelbestand laut Verkäufer</x:v>
      </x:c>
      <x:c r="K202" s="2" t="str">
        <x:v>Export KREDIT-ERF-20260930, Einzelbelege nicht im Datenraum</x:v>
      </x:c>
    </x:row>
    <x:row r="203" ht="22" customHeight="1">
      <x:c r="A203" s="2" t="str">
        <x:v>APB-0198</x:v>
      </x:c>
      <x:c r="B203" s="2" t="str">
        <x:v>Bestandskunde 0198</x:v>
      </x:c>
      <x:c r="C203" s="2" t="str">
        <x:v>Nur Verkäuferexport</x:v>
      </x:c>
      <x:c r="D203" s="9" t="n">
        <x:v>9126</x:v>
      </x:c>
      <x:c r="E203" s="9" t="n">
        <x:v>0</x:v>
      </x:c>
      <x:c r="F203" s="9" t="n">
        <x:v>0</x:v>
      </x:c>
      <x:c r="G203" s="11" t="n">
        <x:f>SUM(D203:F203)</x:f>
        <x:v>9126</x:v>
      </x:c>
      <x:c r="H203" s="10" t="n">
        <x:v>0.92</x:v>
      </x:c>
      <x:c r="I203" s="11" t="n">
        <x:f>IF(ISNUMBER(H203),ROUND(D203*H203,2),NA())</x:f>
        <x:v>8395.92</x:v>
      </x:c>
      <x:c r="J203" s="2" t="str">
        <x:v>Regelbestand laut Verkäufer</x:v>
      </x:c>
      <x:c r="K203" s="2" t="str">
        <x:v>Export KREDIT-ERF-20260930, Einzelbelege nicht im Datenraum</x:v>
      </x:c>
    </x:row>
    <x:row r="204" ht="22" customHeight="1">
      <x:c r="A204" s="2" t="str">
        <x:v>APB-0199</x:v>
      </x:c>
      <x:c r="B204" s="2" t="str">
        <x:v>Bestandskunde 0199</x:v>
      </x:c>
      <x:c r="C204" s="2" t="str">
        <x:v>Nur Verkäuferexport</x:v>
      </x:c>
      <x:c r="D204" s="9" t="n">
        <x:v>9263</x:v>
      </x:c>
      <x:c r="E204" s="9" t="n">
        <x:v>6.5</x:v>
      </x:c>
      <x:c r="F204" s="9" t="n">
        <x:v>0</x:v>
      </x:c>
      <x:c r="G204" s="11" t="n">
        <x:f>SUM(D204:F204)</x:f>
        <x:v>9269.5</x:v>
      </x:c>
      <x:c r="H204" s="10" t="n">
        <x:v>0.92</x:v>
      </x:c>
      <x:c r="I204" s="11" t="n">
        <x:f>IF(ISNUMBER(H204),ROUND(D204*H204,2),NA())</x:f>
        <x:v>8521.96</x:v>
      </x:c>
      <x:c r="J204" s="2" t="str">
        <x:v>Regelbestand laut Verkäufer</x:v>
      </x:c>
      <x:c r="K204" s="2" t="str">
        <x:v>Export KREDIT-ERF-20260930, Einzelbelege nicht im Datenraum</x:v>
      </x:c>
    </x:row>
    <x:row r="205" ht="22" customHeight="1">
      <x:c r="A205" s="2" t="str">
        <x:v>APB-0200</x:v>
      </x:c>
      <x:c r="B205" s="2" t="str">
        <x:v>Bestandskunde 0200</x:v>
      </x:c>
      <x:c r="C205" s="2" t="str">
        <x:v>Nur Verkäuferexport</x:v>
      </x:c>
      <x:c r="D205" s="9" t="n">
        <x:v>9400</x:v>
      </x:c>
      <x:c r="E205" s="9" t="n">
        <x:v>13</x:v>
      </x:c>
      <x:c r="F205" s="9" t="n">
        <x:v>0</x:v>
      </x:c>
      <x:c r="G205" s="11" t="n">
        <x:f>SUM(D205:F205)</x:f>
        <x:v>9413</x:v>
      </x:c>
      <x:c r="H205" s="10" t="n">
        <x:v>0.92</x:v>
      </x:c>
      <x:c r="I205" s="11" t="n">
        <x:f>IF(ISNUMBER(H205),ROUND(D205*H205,2),NA())</x:f>
        <x:v>8648</x:v>
      </x:c>
      <x:c r="J205" s="2" t="str">
        <x:v>Regelbestand laut Verkäufer</x:v>
      </x:c>
      <x:c r="K205" s="2" t="str">
        <x:v>Export KREDIT-ERF-20260930, Einzelbelege nicht im Datenraum</x:v>
      </x:c>
    </x:row>
    <x:row r="206" ht="22" customHeight="1">
      <x:c r="A206" s="2" t="str">
        <x:v>APB-0201</x:v>
      </x:c>
      <x:c r="B206" s="2" t="str">
        <x:v>Bestandskunde 0201</x:v>
      </x:c>
      <x:c r="C206" s="2" t="str">
        <x:v>Nur Verkäuferexport</x:v>
      </x:c>
      <x:c r="D206" s="9" t="n">
        <x:v>9537</x:v>
      </x:c>
      <x:c r="E206" s="9" t="n">
        <x:v>19.5</x:v>
      </x:c>
      <x:c r="F206" s="9" t="n">
        <x:v>0</x:v>
      </x:c>
      <x:c r="G206" s="11" t="n">
        <x:f>SUM(D206:F206)</x:f>
        <x:v>9556.5</x:v>
      </x:c>
      <x:c r="H206" s="10" t="n">
        <x:v>0.92</x:v>
      </x:c>
      <x:c r="I206" s="11" t="n">
        <x:f>IF(ISNUMBER(H206),ROUND(D206*H206,2),NA())</x:f>
        <x:v>8774.04</x:v>
      </x:c>
      <x:c r="J206" s="2" t="str">
        <x:v>Regelbestand laut Verkäufer</x:v>
      </x:c>
      <x:c r="K206" s="2" t="str">
        <x:v>Export KREDIT-ERF-20260930, Einzelbelege nicht im Datenraum</x:v>
      </x:c>
    </x:row>
    <x:row r="207" ht="22" customHeight="1">
      <x:c r="A207" s="2" t="str">
        <x:v>APB-0202</x:v>
      </x:c>
      <x:c r="B207" s="2" t="str">
        <x:v>Bestandskunde 0202</x:v>
      </x:c>
      <x:c r="C207" s="2" t="str">
        <x:v>Nur Verkäuferexport</x:v>
      </x:c>
      <x:c r="D207" s="9" t="n">
        <x:v>9674</x:v>
      </x:c>
      <x:c r="E207" s="9" t="n">
        <x:v>26</x:v>
      </x:c>
      <x:c r="F207" s="9" t="n">
        <x:v>0</x:v>
      </x:c>
      <x:c r="G207" s="11" t="n">
        <x:f>SUM(D207:F207)</x:f>
        <x:v>9700</x:v>
      </x:c>
      <x:c r="H207" s="10" t="n">
        <x:v>0.92</x:v>
      </x:c>
      <x:c r="I207" s="11" t="n">
        <x:f>IF(ISNUMBER(H207),ROUND(D207*H207,2),NA())</x:f>
        <x:v>8900.08</x:v>
      </x:c>
      <x:c r="J207" s="2" t="str">
        <x:v>Regelbestand laut Verkäufer</x:v>
      </x:c>
      <x:c r="K207" s="2" t="str">
        <x:v>Export KREDIT-ERF-20260930, Einzelbelege nicht im Datenraum</x:v>
      </x:c>
    </x:row>
    <x:row r="208" ht="22" customHeight="1">
      <x:c r="A208" s="2" t="str">
        <x:v>APB-0203</x:v>
      </x:c>
      <x:c r="B208" s="2" t="str">
        <x:v>Bestandskunde 0203</x:v>
      </x:c>
      <x:c r="C208" s="2" t="str">
        <x:v>Nur Verkäuferexport</x:v>
      </x:c>
      <x:c r="D208" s="9" t="n">
        <x:v>9811</x:v>
      </x:c>
      <x:c r="E208" s="9" t="n">
        <x:v>32.5</x:v>
      </x:c>
      <x:c r="F208" s="9" t="n">
        <x:v>15</x:v>
      </x:c>
      <x:c r="G208" s="11" t="n">
        <x:f>SUM(D208:F208)</x:f>
        <x:v>9858.5</x:v>
      </x:c>
      <x:c r="H208" s="10" t="n">
        <x:v>0.92</x:v>
      </x:c>
      <x:c r="I208" s="11" t="n">
        <x:f>IF(ISNUMBER(H208),ROUND(D208*H208,2),NA())</x:f>
        <x:v>9026.12</x:v>
      </x:c>
      <x:c r="J208" s="2" t="str">
        <x:v>Zahlungslücke im Export</x:v>
      </x:c>
      <x:c r="K208" s="2" t="str">
        <x:v>Export KREDIT-ERF-20260930, Einzelbelege nicht im Datenraum</x:v>
      </x:c>
    </x:row>
    <x:row r="209" ht="22" customHeight="1">
      <x:c r="A209" s="2" t="str">
        <x:v>APB-0204</x:v>
      </x:c>
      <x:c r="B209" s="2" t="str">
        <x:v>Bestandskunde 0204</x:v>
      </x:c>
      <x:c r="C209" s="2" t="str">
        <x:v>Nur Verkäuferexport</x:v>
      </x:c>
      <x:c r="D209" s="9" t="n">
        <x:v>9948</x:v>
      </x:c>
      <x:c r="E209" s="9" t="n">
        <x:v>39</x:v>
      </x:c>
      <x:c r="F209" s="9" t="n">
        <x:v>0</x:v>
      </x:c>
      <x:c r="G209" s="11" t="n">
        <x:f>SUM(D209:F209)</x:f>
        <x:v>9987</x:v>
      </x:c>
      <x:c r="H209" s="10" t="n">
        <x:v>0.92</x:v>
      </x:c>
      <x:c r="I209" s="11" t="n">
        <x:f>IF(ISNUMBER(H209),ROUND(D209*H209,2),NA())</x:f>
        <x:v>9152.16</x:v>
      </x:c>
      <x:c r="J209" s="2" t="str">
        <x:v>Regelbestand laut Verkäufer</x:v>
      </x:c>
      <x:c r="K209" s="2" t="str">
        <x:v>Export KREDIT-ERF-20260930, Einzelbelege nicht im Datenraum</x:v>
      </x:c>
    </x:row>
    <x:row r="210" ht="22" customHeight="1">
      <x:c r="A210" s="2" t="str">
        <x:v>APB-0205</x:v>
      </x:c>
      <x:c r="B210" s="2" t="str">
        <x:v>Bestandskunde 0205</x:v>
      </x:c>
      <x:c r="C210" s="2" t="str">
        <x:v>Nur Verkäuferexport</x:v>
      </x:c>
      <x:c r="D210" s="9" t="n">
        <x:v>10085</x:v>
      </x:c>
      <x:c r="E210" s="9" t="n">
        <x:v>45.5</x:v>
      </x:c>
      <x:c r="F210" s="9" t="n">
        <x:v>0</x:v>
      </x:c>
      <x:c r="G210" s="11" t="n">
        <x:f>SUM(D210:F210)</x:f>
        <x:v>10130.5</x:v>
      </x:c>
      <x:c r="H210" s="10" t="n">
        <x:v>0.92</x:v>
      </x:c>
      <x:c r="I210" s="11" t="n">
        <x:f>IF(ISNUMBER(H210),ROUND(D210*H210,2),NA())</x:f>
        <x:v>9278.2</x:v>
      </x:c>
      <x:c r="J210" s="2" t="str">
        <x:v>Regelbestand laut Verkäufer</x:v>
      </x:c>
      <x:c r="K210" s="2" t="str">
        <x:v>Export KREDIT-ERF-20260930, Einzelbelege nicht im Datenraum</x:v>
      </x:c>
    </x:row>
    <x:row r="211" ht="22" customHeight="1">
      <x:c r="A211" s="2" t="str">
        <x:v>APB-0206</x:v>
      </x:c>
      <x:c r="B211" s="2" t="str">
        <x:v>Bestandskunde 0206</x:v>
      </x:c>
      <x:c r="C211" s="2" t="str">
        <x:v>Nur Verkäuferexport</x:v>
      </x:c>
      <x:c r="D211" s="9" t="n">
        <x:v>10222</x:v>
      </x:c>
      <x:c r="E211" s="9" t="n">
        <x:v>52</x:v>
      </x:c>
      <x:c r="F211" s="9" t="n">
        <x:v>0</x:v>
      </x:c>
      <x:c r="G211" s="11" t="n">
        <x:f>SUM(D211:F211)</x:f>
        <x:v>10274</x:v>
      </x:c>
      <x:c r="H211" s="10" t="n">
        <x:v>0.92</x:v>
      </x:c>
      <x:c r="I211" s="11" t="n">
        <x:f>IF(ISNUMBER(H211),ROUND(D211*H211,2),NA())</x:f>
        <x:v>9404.24</x:v>
      </x:c>
      <x:c r="J211" s="2" t="str">
        <x:v>Regelbestand laut Verkäufer</x:v>
      </x:c>
      <x:c r="K211" s="2" t="str">
        <x:v>Export KREDIT-ERF-20260930, Einzelbelege nicht im Datenraum</x:v>
      </x:c>
    </x:row>
    <x:row r="212" ht="22" customHeight="1">
      <x:c r="A212" s="2" t="str">
        <x:v>APB-0207</x:v>
      </x:c>
      <x:c r="B212" s="2" t="str">
        <x:v>Bestandskunde 0207</x:v>
      </x:c>
      <x:c r="C212" s="2" t="str">
        <x:v>Nur Verkäuferexport</x:v>
      </x:c>
      <x:c r="D212" s="9" t="n">
        <x:v>10359</x:v>
      </x:c>
      <x:c r="E212" s="9" t="n">
        <x:v>0</x:v>
      </x:c>
      <x:c r="F212" s="9" t="n">
        <x:v>0</x:v>
      </x:c>
      <x:c r="G212" s="11" t="n">
        <x:f>SUM(D212:F212)</x:f>
        <x:v>10359</x:v>
      </x:c>
      <x:c r="H212" s="10" t="n">
        <x:v>0.92</x:v>
      </x:c>
      <x:c r="I212" s="11" t="n">
        <x:f>IF(ISNUMBER(H212),ROUND(D212*H212,2),NA())</x:f>
        <x:v>9530.28</x:v>
      </x:c>
      <x:c r="J212" s="2" t="str">
        <x:v>Regelbestand laut Verkäufer</x:v>
      </x:c>
      <x:c r="K212" s="2" t="str">
        <x:v>Export KREDIT-ERF-20260930, Einzelbelege nicht im Datenraum</x:v>
      </x:c>
    </x:row>
    <x:row r="213" ht="22" customHeight="1">
      <x:c r="A213" s="2" t="str">
        <x:v>APB-0208</x:v>
      </x:c>
      <x:c r="B213" s="2" t="str">
        <x:v>Bestandskunde 0208</x:v>
      </x:c>
      <x:c r="C213" s="2" t="str">
        <x:v>Nur Verkäuferexport</x:v>
      </x:c>
      <x:c r="D213" s="9" t="n">
        <x:v>10496</x:v>
      </x:c>
      <x:c r="E213" s="9" t="n">
        <x:v>6.5</x:v>
      </x:c>
      <x:c r="F213" s="9" t="n">
        <x:v>0</x:v>
      </x:c>
      <x:c r="G213" s="11" t="n">
        <x:f>SUM(D213:F213)</x:f>
        <x:v>10502.5</x:v>
      </x:c>
      <x:c r="H213" s="10" t="n">
        <x:v>0.92</x:v>
      </x:c>
      <x:c r="I213" s="11" t="n">
        <x:f>IF(ISNUMBER(H213),ROUND(D213*H213,2),NA())</x:f>
        <x:v>9656.32</x:v>
      </x:c>
      <x:c r="J213" s="2" t="str">
        <x:v>Regelbestand laut Verkäufer</x:v>
      </x:c>
      <x:c r="K213" s="2" t="str">
        <x:v>Export KREDIT-ERF-20260930, Einzelbelege nicht im Datenraum</x:v>
      </x:c>
    </x:row>
    <x:row r="214" ht="22" customHeight="1">
      <x:c r="A214" s="2" t="str">
        <x:v>APB-0209</x:v>
      </x:c>
      <x:c r="B214" s="2" t="str">
        <x:v>Bestandskunde 0209</x:v>
      </x:c>
      <x:c r="C214" s="2" t="str">
        <x:v>Nur Verkäuferexport</x:v>
      </x:c>
      <x:c r="D214" s="9" t="n">
        <x:v>10633</x:v>
      </x:c>
      <x:c r="E214" s="9" t="n">
        <x:v>13</x:v>
      </x:c>
      <x:c r="F214" s="9" t="n">
        <x:v>0</x:v>
      </x:c>
      <x:c r="G214" s="11" t="n">
        <x:f>SUM(D214:F214)</x:f>
        <x:v>10646</x:v>
      </x:c>
      <x:c r="H214" s="10" t="n">
        <x:v>0.92</x:v>
      </x:c>
      <x:c r="I214" s="11" t="n">
        <x:f>IF(ISNUMBER(H214),ROUND(D214*H214,2),NA())</x:f>
        <x:v>9782.36</x:v>
      </x:c>
      <x:c r="J214" s="2" t="str">
        <x:v>Regelbestand laut Verkäufer</x:v>
      </x:c>
      <x:c r="K214" s="2" t="str">
        <x:v>Export KREDIT-ERF-20260930, Einzelbelege nicht im Datenraum</x:v>
      </x:c>
    </x:row>
    <x:row r="215" ht="22" customHeight="1">
      <x:c r="A215" s="2" t="str">
        <x:v>APB-0210</x:v>
      </x:c>
      <x:c r="B215" s="2" t="str">
        <x:v>Bestandskunde 0210</x:v>
      </x:c>
      <x:c r="C215" s="2" t="str">
        <x:v>Nur Verkäuferexport</x:v>
      </x:c>
      <x:c r="D215" s="9" t="n">
        <x:v>10770</x:v>
      </x:c>
      <x:c r="E215" s="9" t="n">
        <x:v>19.5</x:v>
      </x:c>
      <x:c r="F215" s="9" t="n">
        <x:v>0</x:v>
      </x:c>
      <x:c r="G215" s="11" t="n">
        <x:f>SUM(D215:F215)</x:f>
        <x:v>10789.5</x:v>
      </x:c>
      <x:c r="H215" s="10" t="n">
        <x:v>0.92</x:v>
      </x:c>
      <x:c r="I215" s="11" t="n">
        <x:f>IF(ISNUMBER(H215),ROUND(D215*H215,2),NA())</x:f>
        <x:v>9908.4</x:v>
      </x:c>
      <x:c r="J215" s="2" t="str">
        <x:v>Regelbestand laut Verkäufer</x:v>
      </x:c>
      <x:c r="K215" s="2" t="str">
        <x:v>Export KREDIT-ERF-20260930, Einzelbelege nicht im Datenraum</x:v>
      </x:c>
    </x:row>
    <x:row r="216" ht="22" customHeight="1">
      <x:c r="A216" s="2" t="str">
        <x:v>APB-0211</x:v>
      </x:c>
      <x:c r="B216" s="2" t="str">
        <x:v>Bestandskunde 0211</x:v>
      </x:c>
      <x:c r="C216" s="2" t="str">
        <x:v>Nur Verkäuferexport</x:v>
      </x:c>
      <x:c r="D216" s="9" t="n">
        <x:v>10907</x:v>
      </x:c>
      <x:c r="E216" s="9" t="n">
        <x:v>26</x:v>
      </x:c>
      <x:c r="F216" s="9" t="n">
        <x:v>0</x:v>
      </x:c>
      <x:c r="G216" s="11" t="n">
        <x:f>SUM(D216:F216)</x:f>
        <x:v>10933</x:v>
      </x:c>
      <x:c r="H216" s="10" t="n">
        <x:v>0.92</x:v>
      </x:c>
      <x:c r="I216" s="11" t="n">
        <x:f>IF(ISNUMBER(H216),ROUND(D216*H216,2),NA())</x:f>
        <x:v>10034.44</x:v>
      </x:c>
      <x:c r="J216" s="2" t="str">
        <x:v>Regelbestand laut Verkäufer</x:v>
      </x:c>
      <x:c r="K216" s="2" t="str">
        <x:v>Export KREDIT-ERF-20260930, Einzelbelege nicht im Datenraum</x:v>
      </x:c>
    </x:row>
    <x:row r="217" ht="22" customHeight="1">
      <x:c r="A217" s="2" t="str">
        <x:v>APB-0212</x:v>
      </x:c>
      <x:c r="B217" s="2" t="str">
        <x:v>Bestandskunde 0212</x:v>
      </x:c>
      <x:c r="C217" s="2" t="str">
        <x:v>Nur Verkäuferexport</x:v>
      </x:c>
      <x:c r="D217" s="9" t="n">
        <x:v>11044</x:v>
      </x:c>
      <x:c r="E217" s="9" t="n">
        <x:v>32.5</x:v>
      </x:c>
      <x:c r="F217" s="9" t="n">
        <x:v>0</x:v>
      </x:c>
      <x:c r="G217" s="11" t="n">
        <x:f>SUM(D217:F217)</x:f>
        <x:v>11076.5</x:v>
      </x:c>
      <x:c r="H217" s="10" t="n">
        <x:v>0.92</x:v>
      </x:c>
      <x:c r="I217" s="11" t="n">
        <x:f>IF(ISNUMBER(H217),ROUND(D217*H217,2),NA())</x:f>
        <x:v>10160.48</x:v>
      </x:c>
      <x:c r="J217" s="2" t="str">
        <x:v>Regelbestand laut Verkäufer</x:v>
      </x:c>
      <x:c r="K217" s="2" t="str">
        <x:v>Export KREDIT-ERF-20260930, Einzelbelege nicht im Datenraum</x:v>
      </x:c>
    </x:row>
    <x:row r="218" ht="22" customHeight="1">
      <x:c r="A218" s="2" t="str">
        <x:v>APB-0213</x:v>
      </x:c>
      <x:c r="B218" s="2" t="str">
        <x:v>Bestandskunde 0213</x:v>
      </x:c>
      <x:c r="C218" s="2" t="str">
        <x:v>Nur Verkäuferexport</x:v>
      </x:c>
      <x:c r="D218" s="9" t="n">
        <x:v>11181</x:v>
      </x:c>
      <x:c r="E218" s="9" t="n">
        <x:v>39</x:v>
      </x:c>
      <x:c r="F218" s="9" t="n">
        <x:v>0</x:v>
      </x:c>
      <x:c r="G218" s="11" t="n">
        <x:f>SUM(D218:F218)</x:f>
        <x:v>11220</x:v>
      </x:c>
      <x:c r="H218" s="10" t="n">
        <x:v>0.92</x:v>
      </x:c>
      <x:c r="I218" s="11" t="n">
        <x:f>IF(ISNUMBER(H218),ROUND(D218*H218,2),NA())</x:f>
        <x:v>10286.52</x:v>
      </x:c>
      <x:c r="J218" s="2" t="str">
        <x:v>Regelbestand laut Verkäufer</x:v>
      </x:c>
      <x:c r="K218" s="2" t="str">
        <x:v>Export KREDIT-ERF-20260930, Einzelbelege nicht im Datenraum</x:v>
      </x:c>
    </x:row>
    <x:row r="219" ht="22" customHeight="1">
      <x:c r="A219" s="2" t="str">
        <x:v>APB-0214</x:v>
      </x:c>
      <x:c r="B219" s="2" t="str">
        <x:v>Bestandskunde 0214</x:v>
      </x:c>
      <x:c r="C219" s="2" t="str">
        <x:v>Nur Verkäuferexport</x:v>
      </x:c>
      <x:c r="D219" s="9" t="n">
        <x:v>11318</x:v>
      </x:c>
      <x:c r="E219" s="9" t="n">
        <x:v>45.5</x:v>
      </x:c>
      <x:c r="F219" s="9" t="n">
        <x:v>0</x:v>
      </x:c>
      <x:c r="G219" s="11" t="n">
        <x:f>SUM(D219:F219)</x:f>
        <x:v>11363.5</x:v>
      </x:c>
      <x:c r="H219" s="10" t="n">
        <x:v>0.92</x:v>
      </x:c>
      <x:c r="I219" s="11" t="n">
        <x:f>IF(ISNUMBER(H219),ROUND(D219*H219,2),NA())</x:f>
        <x:v>10412.56</x:v>
      </x:c>
      <x:c r="J219" s="2" t="str">
        <x:v>Regelbestand laut Verkäufer</x:v>
      </x:c>
      <x:c r="K219" s="2" t="str">
        <x:v>Export KREDIT-ERF-20260930, Einzelbelege nicht im Datenraum</x:v>
      </x:c>
    </x:row>
    <x:row r="220" ht="22" customHeight="1">
      <x:c r="A220" s="2" t="str">
        <x:v>APB-0215</x:v>
      </x:c>
      <x:c r="B220" s="2" t="str">
        <x:v>Bestandskunde 0215</x:v>
      </x:c>
      <x:c r="C220" s="2" t="str">
        <x:v>Nur Verkäuferexport</x:v>
      </x:c>
      <x:c r="D220" s="9" t="n">
        <x:v>11455</x:v>
      </x:c>
      <x:c r="E220" s="9" t="n">
        <x:v>52</x:v>
      </x:c>
      <x:c r="F220" s="9" t="n">
        <x:v>0</x:v>
      </x:c>
      <x:c r="G220" s="11" t="n">
        <x:f>SUM(D220:F220)</x:f>
        <x:v>11507</x:v>
      </x:c>
      <x:c r="H220" s="10" t="n">
        <x:v>0.92</x:v>
      </x:c>
      <x:c r="I220" s="11" t="n">
        <x:f>IF(ISNUMBER(H220),ROUND(D220*H220,2),NA())</x:f>
        <x:v>10538.6</x:v>
      </x:c>
      <x:c r="J220" s="2" t="str">
        <x:v>Regelbestand laut Verkäufer</x:v>
      </x:c>
      <x:c r="K220" s="2" t="str">
        <x:v>Export KREDIT-ERF-20260930, Einzelbelege nicht im Datenraum</x:v>
      </x:c>
    </x:row>
    <x:row r="221" ht="22" customHeight="1">
      <x:c r="A221" s="2" t="str">
        <x:v>APB-0216</x:v>
      </x:c>
      <x:c r="B221" s="2" t="str">
        <x:v>Bestandskunde 0216</x:v>
      </x:c>
      <x:c r="C221" s="2" t="str">
        <x:v>Nur Verkäuferexport</x:v>
      </x:c>
      <x:c r="D221" s="9" t="n">
        <x:v>11592</x:v>
      </x:c>
      <x:c r="E221" s="9" t="n">
        <x:v>0</x:v>
      </x:c>
      <x:c r="F221" s="9" t="n">
        <x:v>0</x:v>
      </x:c>
      <x:c r="G221" s="11" t="n">
        <x:f>SUM(D221:F221)</x:f>
        <x:v>11592</x:v>
      </x:c>
      <x:c r="H221" s="10" t="n">
        <x:v>0.92</x:v>
      </x:c>
      <x:c r="I221" s="11" t="n">
        <x:f>IF(ISNUMBER(H221),ROUND(D221*H221,2),NA())</x:f>
        <x:v>10664.64</x:v>
      </x:c>
      <x:c r="J221" s="2" t="str">
        <x:v>Regelbestand laut Verkäufer</x:v>
      </x:c>
      <x:c r="K221" s="2" t="str">
        <x:v>Export KREDIT-ERF-20260930, Einzelbelege nicht im Datenraum</x:v>
      </x:c>
    </x:row>
    <x:row r="222" ht="22" customHeight="1">
      <x:c r="A222" s="2" t="str">
        <x:v>APB-0217</x:v>
      </x:c>
      <x:c r="B222" s="2" t="str">
        <x:v>Bestandskunde 0217</x:v>
      </x:c>
      <x:c r="C222" s="2" t="str">
        <x:v>Nur Verkäuferexport</x:v>
      </x:c>
      <x:c r="D222" s="9" t="n">
        <x:v>11729</x:v>
      </x:c>
      <x:c r="E222" s="9" t="n">
        <x:v>6.5</x:v>
      </x:c>
      <x:c r="F222" s="9" t="n">
        <x:v>0</x:v>
      </x:c>
      <x:c r="G222" s="11" t="n">
        <x:f>SUM(D222:F222)</x:f>
        <x:v>11735.5</x:v>
      </x:c>
      <x:c r="H222" s="10" t="n">
        <x:v>0.92</x:v>
      </x:c>
      <x:c r="I222" s="11" t="n">
        <x:f>IF(ISNUMBER(H222),ROUND(D222*H222,2),NA())</x:f>
        <x:v>10790.68</x:v>
      </x:c>
      <x:c r="J222" s="2" t="str">
        <x:v>Regelbestand laut Verkäufer</x:v>
      </x:c>
      <x:c r="K222" s="2" t="str">
        <x:v>Export KREDIT-ERF-20260930, Einzelbelege nicht im Datenraum</x:v>
      </x:c>
    </x:row>
    <x:row r="223" ht="22" customHeight="1">
      <x:c r="A223" s="2" t="str">
        <x:v>APB-0218</x:v>
      </x:c>
      <x:c r="B223" s="2" t="str">
        <x:v>Bestandskunde 0218</x:v>
      </x:c>
      <x:c r="C223" s="2" t="str">
        <x:v>Nur Verkäuferexport</x:v>
      </x:c>
      <x:c r="D223" s="9" t="n">
        <x:v>11866</x:v>
      </x:c>
      <x:c r="E223" s="9" t="n">
        <x:v>13</x:v>
      </x:c>
      <x:c r="F223" s="9" t="n">
        <x:v>0</x:v>
      </x:c>
      <x:c r="G223" s="11" t="n">
        <x:f>SUM(D223:F223)</x:f>
        <x:v>11879</x:v>
      </x:c>
      <x:c r="H223" s="10" t="n">
        <x:v>0.92</x:v>
      </x:c>
      <x:c r="I223" s="11" t="n">
        <x:f>IF(ISNUMBER(H223),ROUND(D223*H223,2),NA())</x:f>
        <x:v>10916.72</x:v>
      </x:c>
      <x:c r="J223" s="2" t="str">
        <x:v>Regelbestand laut Verkäufer</x:v>
      </x:c>
      <x:c r="K223" s="2" t="str">
        <x:v>Export KREDIT-ERF-20260930, Einzelbelege nicht im Datenraum</x:v>
      </x:c>
    </x:row>
    <x:row r="224" ht="22" customHeight="1">
      <x:c r="A224" s="2" t="str">
        <x:v>APB-0219</x:v>
      </x:c>
      <x:c r="B224" s="2" t="str">
        <x:v>Bestandskunde 0219</x:v>
      </x:c>
      <x:c r="C224" s="2" t="str">
        <x:v>Nur Verkäuferexport</x:v>
      </x:c>
      <x:c r="D224" s="9" t="n">
        <x:v>12003</x:v>
      </x:c>
      <x:c r="E224" s="9" t="n">
        <x:v>19.5</x:v>
      </x:c>
      <x:c r="F224" s="9" t="n">
        <x:v>0</x:v>
      </x:c>
      <x:c r="G224" s="11" t="n">
        <x:f>SUM(D224:F224)</x:f>
        <x:v>12022.5</x:v>
      </x:c>
      <x:c r="H224" s="10" t="n">
        <x:v>0.92</x:v>
      </x:c>
      <x:c r="I224" s="11" t="n">
        <x:f>IF(ISNUMBER(H224),ROUND(D224*H224,2),NA())</x:f>
        <x:v>11042.76</x:v>
      </x:c>
      <x:c r="J224" s="2" t="str">
        <x:v>Regelbestand laut Verkäufer</x:v>
      </x:c>
      <x:c r="K224" s="2" t="str">
        <x:v>Export KREDIT-ERF-20260930, Einzelbelege nicht im Datenraum</x:v>
      </x:c>
    </x:row>
    <x:row r="225" ht="22" customHeight="1">
      <x:c r="A225" s="2" t="str">
        <x:v>APB-0220</x:v>
      </x:c>
      <x:c r="B225" s="2" t="str">
        <x:v>Bestandskunde 0220</x:v>
      </x:c>
      <x:c r="C225" s="2" t="str">
        <x:v>Nur Verkäuferexport</x:v>
      </x:c>
      <x:c r="D225" s="9" t="n">
        <x:v>12140</x:v>
      </x:c>
      <x:c r="E225" s="9" t="n">
        <x:v>26</x:v>
      </x:c>
      <x:c r="F225" s="9" t="n">
        <x:v>0</x:v>
      </x:c>
      <x:c r="G225" s="11" t="n">
        <x:f>SUM(D225:F225)</x:f>
        <x:v>12166</x:v>
      </x:c>
      <x:c r="H225" s="10" t="n">
        <x:v>0.92</x:v>
      </x:c>
      <x:c r="I225" s="11" t="n">
        <x:f>IF(ISNUMBER(H225),ROUND(D225*H225,2),NA())</x:f>
        <x:v>11168.8</x:v>
      </x:c>
      <x:c r="J225" s="2" t="str">
        <x:v>Regelbestand laut Verkäufer</x:v>
      </x:c>
      <x:c r="K225" s="2" t="str">
        <x:v>Export KREDIT-ERF-20260930, Einzelbelege nicht im Datenraum</x:v>
      </x:c>
    </x:row>
    <x:row r="226" ht="22" customHeight="1">
      <x:c r="A226" s="2" t="str">
        <x:v>APB-0221</x:v>
      </x:c>
      <x:c r="B226" s="2" t="str">
        <x:v>Bestandskunde 0221</x:v>
      </x:c>
      <x:c r="C226" s="2" t="str">
        <x:v>Nur Verkäuferexport</x:v>
      </x:c>
      <x:c r="D226" s="9" t="n">
        <x:v>12277</x:v>
      </x:c>
      <x:c r="E226" s="9" t="n">
        <x:v>32.5</x:v>
      </x:c>
      <x:c r="F226" s="9" t="n">
        <x:v>0</x:v>
      </x:c>
      <x:c r="G226" s="11" t="n">
        <x:f>SUM(D226:F226)</x:f>
        <x:v>12309.5</x:v>
      </x:c>
      <x:c r="H226" s="10" t="n">
        <x:v>0.92</x:v>
      </x:c>
      <x:c r="I226" s="11" t="n">
        <x:f>IF(ISNUMBER(H226),ROUND(D226*H226,2),NA())</x:f>
        <x:v>11294.84</x:v>
      </x:c>
      <x:c r="J226" s="2" t="str">
        <x:v>Regelbestand laut Verkäufer</x:v>
      </x:c>
      <x:c r="K226" s="2" t="str">
        <x:v>Export KREDIT-ERF-20260930, Einzelbelege nicht im Datenraum</x:v>
      </x:c>
    </x:row>
    <x:row r="227" ht="22" customHeight="1">
      <x:c r="A227" s="2" t="str">
        <x:v>APB-0222</x:v>
      </x:c>
      <x:c r="B227" s="2" t="str">
        <x:v>Bestandskunde 0222</x:v>
      </x:c>
      <x:c r="C227" s="2" t="str">
        <x:v>Nur Verkäuferexport</x:v>
      </x:c>
      <x:c r="D227" s="9" t="n">
        <x:v>12414</x:v>
      </x:c>
      <x:c r="E227" s="9" t="n">
        <x:v>39</x:v>
      </x:c>
      <x:c r="F227" s="9" t="n">
        <x:v>0</x:v>
      </x:c>
      <x:c r="G227" s="11" t="n">
        <x:f>SUM(D227:F227)</x:f>
        <x:v>12453</x:v>
      </x:c>
      <x:c r="H227" s="10" t="n">
        <x:v>0.92</x:v>
      </x:c>
      <x:c r="I227" s="11" t="n">
        <x:f>IF(ISNUMBER(H227),ROUND(D227*H227,2),NA())</x:f>
        <x:v>11420.88</x:v>
      </x:c>
      <x:c r="J227" s="2" t="str">
        <x:v>Regelbestand laut Verkäufer</x:v>
      </x:c>
      <x:c r="K227" s="2" t="str">
        <x:v>Export KREDIT-ERF-20260930, Einzelbelege nicht im Datenraum</x:v>
      </x:c>
    </x:row>
    <x:row r="228" ht="22" customHeight="1">
      <x:c r="A228" s="2" t="str">
        <x:v>APB-0223</x:v>
      </x:c>
      <x:c r="B228" s="2" t="str">
        <x:v>Bestandskunde 0223</x:v>
      </x:c>
      <x:c r="C228" s="2" t="str">
        <x:v>Nur Verkäuferexport</x:v>
      </x:c>
      <x:c r="D228" s="9" t="n">
        <x:v>12551</x:v>
      </x:c>
      <x:c r="E228" s="9" t="n">
        <x:v>45.5</x:v>
      </x:c>
      <x:c r="F228" s="9" t="n">
        <x:v>0</x:v>
      </x:c>
      <x:c r="G228" s="11" t="n">
        <x:f>SUM(D228:F228)</x:f>
        <x:v>12596.5</x:v>
      </x:c>
      <x:c r="H228" s="10" t="n">
        <x:v>0.92</x:v>
      </x:c>
      <x:c r="I228" s="11" t="n">
        <x:f>IF(ISNUMBER(H228),ROUND(D228*H228,2),NA())</x:f>
        <x:v>11546.92</x:v>
      </x:c>
      <x:c r="J228" s="2" t="str">
        <x:v>Regelbestand laut Verkäufer</x:v>
      </x:c>
      <x:c r="K228" s="2" t="str">
        <x:v>Export KREDIT-ERF-20260930, Einzelbelege nicht im Datenraum</x:v>
      </x:c>
    </x:row>
    <x:row r="229" ht="22" customHeight="1">
      <x:c r="A229" s="2" t="str">
        <x:v>APB-0224</x:v>
      </x:c>
      <x:c r="B229" s="2" t="str">
        <x:v>Bestandskunde 0224</x:v>
      </x:c>
      <x:c r="C229" s="2" t="str">
        <x:v>Nur Verkäuferexport</x:v>
      </x:c>
      <x:c r="D229" s="9" t="n">
        <x:v>12688</x:v>
      </x:c>
      <x:c r="E229" s="9" t="n">
        <x:v>52</x:v>
      </x:c>
      <x:c r="F229" s="9" t="n">
        <x:v>0</x:v>
      </x:c>
      <x:c r="G229" s="11" t="n">
        <x:f>SUM(D229:F229)</x:f>
        <x:v>12740</x:v>
      </x:c>
      <x:c r="H229" s="10" t="n">
        <x:v>0.92</x:v>
      </x:c>
      <x:c r="I229" s="11" t="n">
        <x:f>IF(ISNUMBER(H229),ROUND(D229*H229,2),NA())</x:f>
        <x:v>11672.96</x:v>
      </x:c>
      <x:c r="J229" s="2" t="str">
        <x:v>Regelbestand laut Verkäufer</x:v>
      </x:c>
      <x:c r="K229" s="2" t="str">
        <x:v>Export KREDIT-ERF-20260930, Einzelbelege nicht im Datenraum</x:v>
      </x:c>
    </x:row>
    <x:row r="230" ht="22" customHeight="1">
      <x:c r="A230" s="2" t="str">
        <x:v>APB-0225</x:v>
      </x:c>
      <x:c r="B230" s="2" t="str">
        <x:v>Bestandskunde 0225</x:v>
      </x:c>
      <x:c r="C230" s="2" t="str">
        <x:v>Nur Verkäuferexport</x:v>
      </x:c>
      <x:c r="D230" s="9" t="n">
        <x:v>12825</x:v>
      </x:c>
      <x:c r="E230" s="9" t="n">
        <x:v>0</x:v>
      </x:c>
      <x:c r="F230" s="9" t="n">
        <x:v>0</x:v>
      </x:c>
      <x:c r="G230" s="11" t="n">
        <x:f>SUM(D230:F230)</x:f>
        <x:v>12825</x:v>
      </x:c>
      <x:c r="H230" s="10" t="n">
        <x:v>0.92</x:v>
      </x:c>
      <x:c r="I230" s="11" t="n">
        <x:f>IF(ISNUMBER(H230),ROUND(D230*H230,2),NA())</x:f>
        <x:v>11799</x:v>
      </x:c>
      <x:c r="J230" s="2" t="str">
        <x:v>Regelbestand laut Verkäufer</x:v>
      </x:c>
      <x:c r="K230" s="2" t="str">
        <x:v>Export KREDIT-ERF-20260930, Einzelbelege nicht im Datenraum</x:v>
      </x:c>
    </x:row>
    <x:row r="231" ht="22" customHeight="1">
      <x:c r="A231" s="2" t="str">
        <x:v>APB-0226</x:v>
      </x:c>
      <x:c r="B231" s="2" t="str">
        <x:v>Bestandskunde 0226</x:v>
      </x:c>
      <x:c r="C231" s="2" t="str">
        <x:v>Nur Verkäuferexport</x:v>
      </x:c>
      <x:c r="D231" s="9" t="n">
        <x:v>12962</x:v>
      </x:c>
      <x:c r="E231" s="9" t="n">
        <x:v>6.5</x:v>
      </x:c>
      <x:c r="F231" s="9" t="n">
        <x:v>0</x:v>
      </x:c>
      <x:c r="G231" s="11" t="n">
        <x:f>SUM(D231:F231)</x:f>
        <x:v>12968.5</x:v>
      </x:c>
      <x:c r="H231" s="10" t="n">
        <x:v>0.92</x:v>
      </x:c>
      <x:c r="I231" s="11" t="n">
        <x:f>IF(ISNUMBER(H231),ROUND(D231*H231,2),NA())</x:f>
        <x:v>11925.04</x:v>
      </x:c>
      <x:c r="J231" s="2" t="str">
        <x:v>Regelbestand laut Verkäufer</x:v>
      </x:c>
      <x:c r="K231" s="2" t="str">
        <x:v>Export KREDIT-ERF-20260930, Einzelbelege nicht im Datenraum</x:v>
      </x:c>
    </x:row>
    <x:row r="232" ht="22" customHeight="1">
      <x:c r="A232" s="2" t="str">
        <x:v>APB-0227</x:v>
      </x:c>
      <x:c r="B232" s="2" t="str">
        <x:v>Bestandskunde 0227</x:v>
      </x:c>
      <x:c r="C232" s="2" t="str">
        <x:v>Nur Verkäuferexport</x:v>
      </x:c>
      <x:c r="D232" s="9" t="n">
        <x:v>13099</x:v>
      </x:c>
      <x:c r="E232" s="9" t="n">
        <x:v>13</x:v>
      </x:c>
      <x:c r="F232" s="9" t="n">
        <x:v>0</x:v>
      </x:c>
      <x:c r="G232" s="11" t="n">
        <x:f>SUM(D232:F232)</x:f>
        <x:v>13112</x:v>
      </x:c>
      <x:c r="H232" s="10" t="n">
        <x:v>0.92</x:v>
      </x:c>
      <x:c r="I232" s="11" t="n">
        <x:f>IF(ISNUMBER(H232),ROUND(D232*H232,2),NA())</x:f>
        <x:v>12051.08</x:v>
      </x:c>
      <x:c r="J232" s="2" t="str">
        <x:v>Regelbestand laut Verkäufer</x:v>
      </x:c>
      <x:c r="K232" s="2" t="str">
        <x:v>Export KREDIT-ERF-20260930, Einzelbelege nicht im Datenraum</x:v>
      </x:c>
    </x:row>
    <x:row r="233" ht="22" customHeight="1">
      <x:c r="A233" s="2" t="str">
        <x:v>APB-0228</x:v>
      </x:c>
      <x:c r="B233" s="2" t="str">
        <x:v>Bestandskunde 0228</x:v>
      </x:c>
      <x:c r="C233" s="2" t="str">
        <x:v>Nur Verkäuferexport</x:v>
      </x:c>
      <x:c r="D233" s="9" t="n">
        <x:v>13236</x:v>
      </x:c>
      <x:c r="E233" s="9" t="n">
        <x:v>19.5</x:v>
      </x:c>
      <x:c r="F233" s="9" t="n">
        <x:v>0</x:v>
      </x:c>
      <x:c r="G233" s="11" t="n">
        <x:f>SUM(D233:F233)</x:f>
        <x:v>13255.5</x:v>
      </x:c>
      <x:c r="H233" s="10" t="n">
        <x:v>0.92</x:v>
      </x:c>
      <x:c r="I233" s="11" t="n">
        <x:f>IF(ISNUMBER(H233),ROUND(D233*H233,2),NA())</x:f>
        <x:v>12177.12</x:v>
      </x:c>
      <x:c r="J233" s="2" t="str">
        <x:v>Regelbestand laut Verkäufer</x:v>
      </x:c>
      <x:c r="K233" s="2" t="str">
        <x:v>Export KREDIT-ERF-20260930, Einzelbelege nicht im Datenraum</x:v>
      </x:c>
    </x:row>
    <x:row r="234" ht="22" customHeight="1">
      <x:c r="A234" s="2" t="str">
        <x:v>APB-0229</x:v>
      </x:c>
      <x:c r="B234" s="2" t="str">
        <x:v>Bestandskunde 0229</x:v>
      </x:c>
      <x:c r="C234" s="2" t="str">
        <x:v>Nur Verkäuferexport</x:v>
      </x:c>
      <x:c r="D234" s="9" t="n">
        <x:v>13373</x:v>
      </x:c>
      <x:c r="E234" s="9" t="n">
        <x:v>26</x:v>
      </x:c>
      <x:c r="F234" s="9" t="n">
        <x:v>0</x:v>
      </x:c>
      <x:c r="G234" s="11" t="n">
        <x:f>SUM(D234:F234)</x:f>
        <x:v>13399</x:v>
      </x:c>
      <x:c r="H234" s="10" t="n">
        <x:v>0.92</x:v>
      </x:c>
      <x:c r="I234" s="11" t="n">
        <x:f>IF(ISNUMBER(H234),ROUND(D234*H234,2),NA())</x:f>
        <x:v>12303.16</x:v>
      </x:c>
      <x:c r="J234" s="2" t="str">
        <x:v>Regelbestand laut Verkäufer</x:v>
      </x:c>
      <x:c r="K234" s="2" t="str">
        <x:v>Export KREDIT-ERF-20260930, Einzelbelege nicht im Datenraum</x:v>
      </x:c>
    </x:row>
    <x:row r="235" ht="22" customHeight="1">
      <x:c r="A235" s="2" t="str">
        <x:v>APB-0230</x:v>
      </x:c>
      <x:c r="B235" s="2" t="str">
        <x:v>Bestandskunde 0230</x:v>
      </x:c>
      <x:c r="C235" s="2" t="str">
        <x:v>Nur Verkäuferexport</x:v>
      </x:c>
      <x:c r="D235" s="9" t="n">
        <x:v>13510</x:v>
      </x:c>
      <x:c r="E235" s="9" t="n">
        <x:v>32.5</x:v>
      </x:c>
      <x:c r="F235" s="9" t="n">
        <x:v>0</x:v>
      </x:c>
      <x:c r="G235" s="11" t="n">
        <x:f>SUM(D235:F235)</x:f>
        <x:v>13542.5</x:v>
      </x:c>
      <x:c r="H235" s="10" t="n">
        <x:v>0.92</x:v>
      </x:c>
      <x:c r="I235" s="11" t="n">
        <x:f>IF(ISNUMBER(H235),ROUND(D235*H235,2),NA())</x:f>
        <x:v>12429.2</x:v>
      </x:c>
      <x:c r="J235" s="2" t="str">
        <x:v>Regelbestand laut Verkäufer</x:v>
      </x:c>
      <x:c r="K235" s="2" t="str">
        <x:v>Export KREDIT-ERF-20260930, Einzelbelege nicht im Datenraum</x:v>
      </x:c>
    </x:row>
    <x:row r="236" ht="22" customHeight="1">
      <x:c r="A236" s="2" t="str">
        <x:v>APB-0231</x:v>
      </x:c>
      <x:c r="B236" s="2" t="str">
        <x:v>Bestandskunde 0231</x:v>
      </x:c>
      <x:c r="C236" s="2" t="str">
        <x:v>Nur Verkäuferexport</x:v>
      </x:c>
      <x:c r="D236" s="9" t="n">
        <x:v>13647</x:v>
      </x:c>
      <x:c r="E236" s="9" t="n">
        <x:v>39</x:v>
      </x:c>
      <x:c r="F236" s="9" t="n">
        <x:v>0</x:v>
      </x:c>
      <x:c r="G236" s="11" t="n">
        <x:f>SUM(D236:F236)</x:f>
        <x:v>13686</x:v>
      </x:c>
      <x:c r="H236" s="10" t="n">
        <x:v>0.92</x:v>
      </x:c>
      <x:c r="I236" s="11" t="n">
        <x:f>IF(ISNUMBER(H236),ROUND(D236*H236,2),NA())</x:f>
        <x:v>12555.24</x:v>
      </x:c>
      <x:c r="J236" s="2" t="str">
        <x:v>Regelbestand laut Verkäufer</x:v>
      </x:c>
      <x:c r="K236" s="2" t="str">
        <x:v>Export KREDIT-ERF-20260930, Einzelbelege nicht im Datenraum</x:v>
      </x:c>
    </x:row>
    <x:row r="237" ht="22" customHeight="1">
      <x:c r="A237" s="2" t="str">
        <x:v>APB-0232</x:v>
      </x:c>
      <x:c r="B237" s="2" t="str">
        <x:v>Bestandskunde 0232</x:v>
      </x:c>
      <x:c r="C237" s="2" t="str">
        <x:v>Nur Verkäuferexport</x:v>
      </x:c>
      <x:c r="D237" s="9" t="n">
        <x:v>13784</x:v>
      </x:c>
      <x:c r="E237" s="9" t="n">
        <x:v>45.5</x:v>
      </x:c>
      <x:c r="F237" s="9" t="n">
        <x:v>15</x:v>
      </x:c>
      <x:c r="G237" s="11" t="n">
        <x:f>SUM(D237:F237)</x:f>
        <x:v>13844.5</x:v>
      </x:c>
      <x:c r="H237" s="10" t="n">
        <x:v>0.92</x:v>
      </x:c>
      <x:c r="I237" s="11" t="n">
        <x:f>IF(ISNUMBER(H237),ROUND(D237*H237,2),NA())</x:f>
        <x:v>12681.28</x:v>
      </x:c>
      <x:c r="J237" s="2" t="str">
        <x:v>Zahlungslücke im Export</x:v>
      </x:c>
      <x:c r="K237" s="2" t="str">
        <x:v>Export KREDIT-ERF-20260930, Einzelbelege nicht im Datenraum</x:v>
      </x:c>
    </x:row>
    <x:row r="238" ht="22" customHeight="1">
      <x:c r="A238" s="2" t="str">
        <x:v>APB-0233</x:v>
      </x:c>
      <x:c r="B238" s="2" t="str">
        <x:v>Bestandskunde 0233</x:v>
      </x:c>
      <x:c r="C238" s="2" t="str">
        <x:v>Nur Verkäuferexport</x:v>
      </x:c>
      <x:c r="D238" s="9" t="n">
        <x:v>13921</x:v>
      </x:c>
      <x:c r="E238" s="9" t="n">
        <x:v>52</x:v>
      </x:c>
      <x:c r="F238" s="9" t="n">
        <x:v>0</x:v>
      </x:c>
      <x:c r="G238" s="11" t="n">
        <x:f>SUM(D238:F238)</x:f>
        <x:v>13973</x:v>
      </x:c>
      <x:c r="H238" s="10" t="n">
        <x:v>0.92</x:v>
      </x:c>
      <x:c r="I238" s="11" t="n">
        <x:f>IF(ISNUMBER(H238),ROUND(D238*H238,2),NA())</x:f>
        <x:v>12807.32</x:v>
      </x:c>
      <x:c r="J238" s="2" t="str">
        <x:v>Regelbestand laut Verkäufer</x:v>
      </x:c>
      <x:c r="K238" s="2" t="str">
        <x:v>Export KREDIT-ERF-20260930, Einzelbelege nicht im Datenraum</x:v>
      </x:c>
    </x:row>
    <x:row r="239" ht="22" customHeight="1">
      <x:c r="A239" s="2" t="str">
        <x:v>APB-0234</x:v>
      </x:c>
      <x:c r="B239" s="2" t="str">
        <x:v>Bestandskunde 0234</x:v>
      </x:c>
      <x:c r="C239" s="2" t="str">
        <x:v>Nur Verkäuferexport</x:v>
      </x:c>
      <x:c r="D239" s="9" t="n">
        <x:v>14058</x:v>
      </x:c>
      <x:c r="E239" s="9" t="n">
        <x:v>0</x:v>
      </x:c>
      <x:c r="F239" s="9" t="n">
        <x:v>0</x:v>
      </x:c>
      <x:c r="G239" s="11" t="n">
        <x:f>SUM(D239:F239)</x:f>
        <x:v>14058</x:v>
      </x:c>
      <x:c r="H239" s="10" t="n">
        <x:v>0.92</x:v>
      </x:c>
      <x:c r="I239" s="11" t="n">
        <x:f>IF(ISNUMBER(H239),ROUND(D239*H239,2),NA())</x:f>
        <x:v>12933.36</x:v>
      </x:c>
      <x:c r="J239" s="2" t="str">
        <x:v>Regelbestand laut Verkäufer</x:v>
      </x:c>
      <x:c r="K239" s="2" t="str">
        <x:v>Export KREDIT-ERF-20260930, Einzelbelege nicht im Datenraum</x:v>
      </x:c>
    </x:row>
    <x:row r="240" ht="22" customHeight="1">
      <x:c r="A240" s="2" t="str">
        <x:v>APB-0235</x:v>
      </x:c>
      <x:c r="B240" s="2" t="str">
        <x:v>Bestandskunde 0235</x:v>
      </x:c>
      <x:c r="C240" s="2" t="str">
        <x:v>Nur Verkäuferexport</x:v>
      </x:c>
      <x:c r="D240" s="9" t="n">
        <x:v>14195</x:v>
      </x:c>
      <x:c r="E240" s="9" t="n">
        <x:v>6.5</x:v>
      </x:c>
      <x:c r="F240" s="9" t="n">
        <x:v>0</x:v>
      </x:c>
      <x:c r="G240" s="11" t="n">
        <x:f>SUM(D240:F240)</x:f>
        <x:v>14201.5</x:v>
      </x:c>
      <x:c r="H240" s="10" t="n">
        <x:v>0.92</x:v>
      </x:c>
      <x:c r="I240" s="11" t="n">
        <x:f>IF(ISNUMBER(H240),ROUND(D240*H240,2),NA())</x:f>
        <x:v>13059.4</x:v>
      </x:c>
      <x:c r="J240" s="2" t="str">
        <x:v>Regelbestand laut Verkäufer</x:v>
      </x:c>
      <x:c r="K240" s="2" t="str">
        <x:v>Export KREDIT-ERF-20260930, Einzelbelege nicht im Datenraum</x:v>
      </x:c>
    </x:row>
    <x:row r="241" ht="22" customHeight="1">
      <x:c r="A241" s="2" t="str">
        <x:v>APB-0236</x:v>
      </x:c>
      <x:c r="B241" s="2" t="str">
        <x:v>Bestandskunde 0236</x:v>
      </x:c>
      <x:c r="C241" s="2" t="str">
        <x:v>Nur Verkäuferexport</x:v>
      </x:c>
      <x:c r="D241" s="9" t="n">
        <x:v>14332</x:v>
      </x:c>
      <x:c r="E241" s="9" t="n">
        <x:v>13</x:v>
      </x:c>
      <x:c r="F241" s="9" t="n">
        <x:v>0</x:v>
      </x:c>
      <x:c r="G241" s="11" t="n">
        <x:f>SUM(D241:F241)</x:f>
        <x:v>14345</x:v>
      </x:c>
      <x:c r="H241" s="10" t="n">
        <x:v>0.92</x:v>
      </x:c>
      <x:c r="I241" s="11" t="n">
        <x:f>IF(ISNUMBER(H241),ROUND(D241*H241,2),NA())</x:f>
        <x:v>13185.44</x:v>
      </x:c>
      <x:c r="J241" s="2" t="str">
        <x:v>Regelbestand laut Verkäufer</x:v>
      </x:c>
      <x:c r="K241" s="2" t="str">
        <x:v>Export KREDIT-ERF-20260930, Einzelbelege nicht im Datenraum</x:v>
      </x:c>
    </x:row>
    <x:row r="242" ht="22" customHeight="1">
      <x:c r="A242" s="2" t="str">
        <x:v>APB-0237</x:v>
      </x:c>
      <x:c r="B242" s="2" t="str">
        <x:v>Bestandskunde 0237</x:v>
      </x:c>
      <x:c r="C242" s="2" t="str">
        <x:v>Nur Verkäuferexport</x:v>
      </x:c>
      <x:c r="D242" s="9" t="n">
        <x:v>14469</x:v>
      </x:c>
      <x:c r="E242" s="9" t="n">
        <x:v>19.5</x:v>
      </x:c>
      <x:c r="F242" s="9" t="n">
        <x:v>0</x:v>
      </x:c>
      <x:c r="G242" s="11" t="n">
        <x:f>SUM(D242:F242)</x:f>
        <x:v>14488.5</x:v>
      </x:c>
      <x:c r="H242" s="10" t="n">
        <x:v>0.92</x:v>
      </x:c>
      <x:c r="I242" s="11" t="n">
        <x:f>IF(ISNUMBER(H242),ROUND(D242*H242,2),NA())</x:f>
        <x:v>13311.48</x:v>
      </x:c>
      <x:c r="J242" s="2" t="str">
        <x:v>Regelbestand laut Verkäufer</x:v>
      </x:c>
      <x:c r="K242" s="2" t="str">
        <x:v>Export KREDIT-ERF-20260930, Einzelbelege nicht im Datenraum</x:v>
      </x:c>
    </x:row>
    <x:row r="243" ht="22" customHeight="1">
      <x:c r="A243" s="2" t="str">
        <x:v>APB-0238</x:v>
      </x:c>
      <x:c r="B243" s="2" t="str">
        <x:v>Bestandskunde 0238</x:v>
      </x:c>
      <x:c r="C243" s="2" t="str">
        <x:v>Nur Verkäuferexport</x:v>
      </x:c>
      <x:c r="D243" s="9" t="n">
        <x:v>14606</x:v>
      </x:c>
      <x:c r="E243" s="9" t="n">
        <x:v>26</x:v>
      </x:c>
      <x:c r="F243" s="9" t="n">
        <x:v>0</x:v>
      </x:c>
      <x:c r="G243" s="11" t="n">
        <x:f>SUM(D243:F243)</x:f>
        <x:v>14632</x:v>
      </x:c>
      <x:c r="H243" s="10" t="n">
        <x:v>0.92</x:v>
      </x:c>
      <x:c r="I243" s="11" t="n">
        <x:f>IF(ISNUMBER(H243),ROUND(D243*H243,2),NA())</x:f>
        <x:v>13437.52</x:v>
      </x:c>
      <x:c r="J243" s="2" t="str">
        <x:v>Regelbestand laut Verkäufer</x:v>
      </x:c>
      <x:c r="K243" s="2" t="str">
        <x:v>Export KREDIT-ERF-20260930, Einzelbelege nicht im Datenraum</x:v>
      </x:c>
    </x:row>
    <x:row r="244" ht="22" customHeight="1">
      <x:c r="A244" s="2" t="str">
        <x:v>APB-0239</x:v>
      </x:c>
      <x:c r="B244" s="2" t="str">
        <x:v>Bestandskunde 0239</x:v>
      </x:c>
      <x:c r="C244" s="2" t="str">
        <x:v>Nur Verkäuferexport</x:v>
      </x:c>
      <x:c r="D244" s="9" t="n">
        <x:v>14743</x:v>
      </x:c>
      <x:c r="E244" s="9" t="n">
        <x:v>32.5</x:v>
      </x:c>
      <x:c r="F244" s="9" t="n">
        <x:v>0</x:v>
      </x:c>
      <x:c r="G244" s="11" t="n">
        <x:f>SUM(D244:F244)</x:f>
        <x:v>14775.5</x:v>
      </x:c>
      <x:c r="H244" s="10" t="n">
        <x:v>0.92</x:v>
      </x:c>
      <x:c r="I244" s="11" t="n">
        <x:f>IF(ISNUMBER(H244),ROUND(D244*H244,2),NA())</x:f>
        <x:v>13563.56</x:v>
      </x:c>
      <x:c r="J244" s="2" t="str">
        <x:v>Regelbestand laut Verkäufer</x:v>
      </x:c>
      <x:c r="K244" s="2" t="str">
        <x:v>Export KREDIT-ERF-20260930, Einzelbelege nicht im Datenraum</x:v>
      </x:c>
    </x:row>
    <x:row r="245" ht="22" customHeight="1">
      <x:c r="A245" s="2" t="str">
        <x:v>APB-0240</x:v>
      </x:c>
      <x:c r="B245" s="2" t="str">
        <x:v>Bestandskunde 0240</x:v>
      </x:c>
      <x:c r="C245" s="2" t="str">
        <x:v>Nur Verkäuferexport</x:v>
      </x:c>
      <x:c r="D245" s="9" t="n">
        <x:v>14880</x:v>
      </x:c>
      <x:c r="E245" s="9" t="n">
        <x:v>39</x:v>
      </x:c>
      <x:c r="F245" s="9" t="n">
        <x:v>0</x:v>
      </x:c>
      <x:c r="G245" s="11" t="n">
        <x:f>SUM(D245:F245)</x:f>
        <x:v>14919</x:v>
      </x:c>
      <x:c r="H245" s="10" t="n">
        <x:v>0.92</x:v>
      </x:c>
      <x:c r="I245" s="11" t="n">
        <x:f>IF(ISNUMBER(H245),ROUND(D245*H245,2),NA())</x:f>
        <x:v>13689.6</x:v>
      </x:c>
      <x:c r="J245" s="2" t="str">
        <x:v>Regelbestand laut Verkäufer</x:v>
      </x:c>
      <x:c r="K245" s="2" t="str">
        <x:v>Export KREDIT-ERF-20260930, Einzelbelege nicht im Datenraum</x:v>
      </x:c>
    </x:row>
    <x:row r="246" ht="22" customHeight="1">
      <x:c r="A246" s="2" t="str">
        <x:v>APB-0241</x:v>
      </x:c>
      <x:c r="B246" s="2" t="str">
        <x:v>Bestandskunde 0241</x:v>
      </x:c>
      <x:c r="C246" s="2" t="str">
        <x:v>Nur Verkäuferexport</x:v>
      </x:c>
      <x:c r="D246" s="9" t="n">
        <x:v>15017</x:v>
      </x:c>
      <x:c r="E246" s="9" t="n">
        <x:v>45.5</x:v>
      </x:c>
      <x:c r="F246" s="9" t="n">
        <x:v>0</x:v>
      </x:c>
      <x:c r="G246" s="11" t="n">
        <x:f>SUM(D246:F246)</x:f>
        <x:v>15062.5</x:v>
      </x:c>
      <x:c r="H246" s="10" t="n">
        <x:v>0.92</x:v>
      </x:c>
      <x:c r="I246" s="11" t="n">
        <x:f>IF(ISNUMBER(H246),ROUND(D246*H246,2),NA())</x:f>
        <x:v>13815.64</x:v>
      </x:c>
      <x:c r="J246" s="2" t="str">
        <x:v>Regelbestand laut Verkäufer</x:v>
      </x:c>
      <x:c r="K246" s="2" t="str">
        <x:v>Export KREDIT-ERF-20260930, Einzelbelege nicht im Datenraum</x:v>
      </x:c>
    </x:row>
    <x:row r="247" ht="22" customHeight="1">
      <x:c r="A247" s="2" t="str">
        <x:v>APB-0242</x:v>
      </x:c>
      <x:c r="B247" s="2" t="str">
        <x:v>Bestandskunde 0242</x:v>
      </x:c>
      <x:c r="C247" s="2" t="str">
        <x:v>Nur Verkäuferexport</x:v>
      </x:c>
      <x:c r="D247" s="9" t="n">
        <x:v>15154</x:v>
      </x:c>
      <x:c r="E247" s="9" t="n">
        <x:v>52</x:v>
      </x:c>
      <x:c r="F247" s="9" t="n">
        <x:v>0</x:v>
      </x:c>
      <x:c r="G247" s="11" t="n">
        <x:f>SUM(D247:F247)</x:f>
        <x:v>15206</x:v>
      </x:c>
      <x:c r="H247" s="10" t="n">
        <x:v>0.92</x:v>
      </x:c>
      <x:c r="I247" s="11" t="n">
        <x:f>IF(ISNUMBER(H247),ROUND(D247*H247,2),NA())</x:f>
        <x:v>13941.68</x:v>
      </x:c>
      <x:c r="J247" s="2" t="str">
        <x:v>Regelbestand laut Verkäufer</x:v>
      </x:c>
      <x:c r="K247" s="2" t="str">
        <x:v>Export KREDIT-ERF-20260930, Einzelbelege nicht im Datenraum</x:v>
      </x:c>
    </x:row>
    <x:row r="248" ht="22" customHeight="1">
      <x:c r="A248" s="2" t="str">
        <x:v>APB-0243</x:v>
      </x:c>
      <x:c r="B248" s="2" t="str">
        <x:v>Bestandskunde 0243</x:v>
      </x:c>
      <x:c r="C248" s="2" t="str">
        <x:v>Nur Verkäuferexport</x:v>
      </x:c>
      <x:c r="D248" s="9" t="n">
        <x:v>15291</x:v>
      </x:c>
      <x:c r="E248" s="9" t="n">
        <x:v>0</x:v>
      </x:c>
      <x:c r="F248" s="9" t="n">
        <x:v>0</x:v>
      </x:c>
      <x:c r="G248" s="11" t="n">
        <x:f>SUM(D248:F248)</x:f>
        <x:v>15291</x:v>
      </x:c>
      <x:c r="H248" s="10" t="n">
        <x:v>0.92</x:v>
      </x:c>
      <x:c r="I248" s="11" t="n">
        <x:f>IF(ISNUMBER(H248),ROUND(D248*H248,2),NA())</x:f>
        <x:v>14067.72</x:v>
      </x:c>
      <x:c r="J248" s="2" t="str">
        <x:v>Regelbestand laut Verkäufer</x:v>
      </x:c>
      <x:c r="K248" s="2" t="str">
        <x:v>Export KREDIT-ERF-20260930, Einzelbelege nicht im Datenraum</x:v>
      </x:c>
    </x:row>
    <x:row r="249" ht="22" customHeight="1">
      <x:c r="A249" s="2" t="str">
        <x:v>APB-0244</x:v>
      </x:c>
      <x:c r="B249" s="2" t="str">
        <x:v>Bestandskunde 0244</x:v>
      </x:c>
      <x:c r="C249" s="2" t="str">
        <x:v>Nur Verkäuferexport</x:v>
      </x:c>
      <x:c r="D249" s="9" t="n">
        <x:v>15428</x:v>
      </x:c>
      <x:c r="E249" s="9" t="n">
        <x:v>6.5</x:v>
      </x:c>
      <x:c r="F249" s="9" t="n">
        <x:v>0</x:v>
      </x:c>
      <x:c r="G249" s="11" t="n">
        <x:f>SUM(D249:F249)</x:f>
        <x:v>15434.5</x:v>
      </x:c>
      <x:c r="H249" s="10" t="n">
        <x:v>0.92</x:v>
      </x:c>
      <x:c r="I249" s="11" t="n">
        <x:f>IF(ISNUMBER(H249),ROUND(D249*H249,2),NA())</x:f>
        <x:v>14193.76</x:v>
      </x:c>
      <x:c r="J249" s="2" t="str">
        <x:v>Regelbestand laut Verkäufer</x:v>
      </x:c>
      <x:c r="K249" s="2" t="str">
        <x:v>Export KREDIT-ERF-20260930, Einzelbelege nicht im Datenraum</x:v>
      </x:c>
    </x:row>
    <x:row r="250" ht="22" customHeight="1">
      <x:c r="A250" s="2" t="str">
        <x:v>APB-0245</x:v>
      </x:c>
      <x:c r="B250" s="2" t="str">
        <x:v>Bestandskunde 0245</x:v>
      </x:c>
      <x:c r="C250" s="2" t="str">
        <x:v>Nur Verkäuferexport</x:v>
      </x:c>
      <x:c r="D250" s="9" t="n">
        <x:v>15565</x:v>
      </x:c>
      <x:c r="E250" s="9" t="n">
        <x:v>13</x:v>
      </x:c>
      <x:c r="F250" s="9" t="n">
        <x:v>0</x:v>
      </x:c>
      <x:c r="G250" s="11" t="n">
        <x:f>SUM(D250:F250)</x:f>
        <x:v>15578</x:v>
      </x:c>
      <x:c r="H250" s="10" t="n">
        <x:v>0.92</x:v>
      </x:c>
      <x:c r="I250" s="11" t="n">
        <x:f>IF(ISNUMBER(H250),ROUND(D250*H250,2),NA())</x:f>
        <x:v>14319.8</x:v>
      </x:c>
      <x:c r="J250" s="2" t="str">
        <x:v>Regelbestand laut Verkäufer</x:v>
      </x:c>
      <x:c r="K250" s="2" t="str">
        <x:v>Export KREDIT-ERF-20260930, Einzelbelege nicht im Datenraum</x:v>
      </x:c>
    </x:row>
    <x:row r="251" ht="22" customHeight="1">
      <x:c r="A251" s="2" t="str">
        <x:v>APB-0246</x:v>
      </x:c>
      <x:c r="B251" s="2" t="str">
        <x:v>Bestandskunde 0246</x:v>
      </x:c>
      <x:c r="C251" s="2" t="str">
        <x:v>Nur Verkäuferexport</x:v>
      </x:c>
      <x:c r="D251" s="9" t="n">
        <x:v>15702</x:v>
      </x:c>
      <x:c r="E251" s="9" t="n">
        <x:v>19.5</x:v>
      </x:c>
      <x:c r="F251" s="9" t="n">
        <x:v>0</x:v>
      </x:c>
      <x:c r="G251" s="11" t="n">
        <x:f>SUM(D251:F251)</x:f>
        <x:v>15721.5</x:v>
      </x:c>
      <x:c r="H251" s="10" t="n">
        <x:v>0.92</x:v>
      </x:c>
      <x:c r="I251" s="11" t="n">
        <x:f>IF(ISNUMBER(H251),ROUND(D251*H251,2),NA())</x:f>
        <x:v>14445.84</x:v>
      </x:c>
      <x:c r="J251" s="2" t="str">
        <x:v>Regelbestand laut Verkäufer</x:v>
      </x:c>
      <x:c r="K251" s="2" t="str">
        <x:v>Export KREDIT-ERF-20260930, Einzelbelege nicht im Datenraum</x:v>
      </x:c>
    </x:row>
    <x:row r="252" ht="22" customHeight="1">
      <x:c r="A252" s="2" t="str">
        <x:v>APB-0247</x:v>
      </x:c>
      <x:c r="B252" s="2" t="str">
        <x:v>Bestandskunde 0247</x:v>
      </x:c>
      <x:c r="C252" s="2" t="str">
        <x:v>Nur Verkäuferexport</x:v>
      </x:c>
      <x:c r="D252" s="9" t="n">
        <x:v>15839</x:v>
      </x:c>
      <x:c r="E252" s="9" t="n">
        <x:v>26</x:v>
      </x:c>
      <x:c r="F252" s="9" t="n">
        <x:v>0</x:v>
      </x:c>
      <x:c r="G252" s="11" t="n">
        <x:f>SUM(D252:F252)</x:f>
        <x:v>15865</x:v>
      </x:c>
      <x:c r="H252" s="10" t="n">
        <x:v>0.92</x:v>
      </x:c>
      <x:c r="I252" s="11" t="n">
        <x:f>IF(ISNUMBER(H252),ROUND(D252*H252,2),NA())</x:f>
        <x:v>14571.88</x:v>
      </x:c>
      <x:c r="J252" s="2" t="str">
        <x:v>Regelbestand laut Verkäufer</x:v>
      </x:c>
      <x:c r="K252" s="2" t="str">
        <x:v>Export KREDIT-ERF-20260930, Einzelbelege nicht im Datenraum</x:v>
      </x:c>
    </x:row>
    <x:row r="253" ht="22" customHeight="1">
      <x:c r="A253" s="2" t="str">
        <x:v>APB-0248</x:v>
      </x:c>
      <x:c r="B253" s="2" t="str">
        <x:v>Bestandskunde 0248</x:v>
      </x:c>
      <x:c r="C253" s="2" t="str">
        <x:v>Nur Verkäuferexport</x:v>
      </x:c>
      <x:c r="D253" s="9" t="n">
        <x:v>15976</x:v>
      </x:c>
      <x:c r="E253" s="9" t="n">
        <x:v>32.5</x:v>
      </x:c>
      <x:c r="F253" s="9" t="n">
        <x:v>0</x:v>
      </x:c>
      <x:c r="G253" s="11" t="n">
        <x:f>SUM(D253:F253)</x:f>
        <x:v>16008.5</x:v>
      </x:c>
      <x:c r="H253" s="10" t="n">
        <x:v>0.92</x:v>
      </x:c>
      <x:c r="I253" s="11" t="n">
        <x:f>IF(ISNUMBER(H253),ROUND(D253*H253,2),NA())</x:f>
        <x:v>14697.92</x:v>
      </x:c>
      <x:c r="J253" s="2" t="str">
        <x:v>Regelbestand laut Verkäufer</x:v>
      </x:c>
      <x:c r="K253" s="2" t="str">
        <x:v>Export KREDIT-ERF-20260930, Einzelbelege nicht im Datenraum</x:v>
      </x:c>
    </x:row>
    <x:row r="254" ht="22" customHeight="1">
      <x:c r="A254" s="2" t="str">
        <x:v>APB-0249</x:v>
      </x:c>
      <x:c r="B254" s="2" t="str">
        <x:v>Bestandskunde 0249</x:v>
      </x:c>
      <x:c r="C254" s="2" t="str">
        <x:v>Nur Verkäuferexport</x:v>
      </x:c>
      <x:c r="D254" s="9" t="n">
        <x:v>16113</x:v>
      </x:c>
      <x:c r="E254" s="9" t="n">
        <x:v>39</x:v>
      </x:c>
      <x:c r="F254" s="9" t="n">
        <x:v>0</x:v>
      </x:c>
      <x:c r="G254" s="11" t="n">
        <x:f>SUM(D254:F254)</x:f>
        <x:v>16152</x:v>
      </x:c>
      <x:c r="H254" s="10" t="n">
        <x:v>0.92</x:v>
      </x:c>
      <x:c r="I254" s="11" t="n">
        <x:f>IF(ISNUMBER(H254),ROUND(D254*H254,2),NA())</x:f>
        <x:v>14823.96</x:v>
      </x:c>
      <x:c r="J254" s="2" t="str">
        <x:v>Regelbestand laut Verkäufer</x:v>
      </x:c>
      <x:c r="K254" s="2" t="str">
        <x:v>Export KREDIT-ERF-20260930, Einzelbelege nicht im Datenraum</x:v>
      </x:c>
    </x:row>
    <x:row r="255" ht="22" customHeight="1">
      <x:c r="A255" s="2" t="str">
        <x:v>APB-0250</x:v>
      </x:c>
      <x:c r="B255" s="2" t="str">
        <x:v>Bestandskunde 0250</x:v>
      </x:c>
      <x:c r="C255" s="2" t="str">
        <x:v>Nur Verkäuferexport</x:v>
      </x:c>
      <x:c r="D255" s="9" t="n">
        <x:v>16250</x:v>
      </x:c>
      <x:c r="E255" s="9" t="n">
        <x:v>45.5</x:v>
      </x:c>
      <x:c r="F255" s="9" t="n">
        <x:v>0</x:v>
      </x:c>
      <x:c r="G255" s="11" t="n">
        <x:f>SUM(D255:F255)</x:f>
        <x:v>16295.5</x:v>
      </x:c>
      <x:c r="H255" s="10" t="n">
        <x:v>0.92</x:v>
      </x:c>
      <x:c r="I255" s="11" t="n">
        <x:f>IF(ISNUMBER(H255),ROUND(D255*H255,2),NA())</x:f>
        <x:v>14950</x:v>
      </x:c>
      <x:c r="J255" s="2" t="str">
        <x:v>Regelbestand laut Verkäufer</x:v>
      </x:c>
      <x:c r="K255" s="2" t="str">
        <x:v>Export KREDIT-ERF-20260930, Einzelbelege nicht im Datenraum</x:v>
      </x:c>
    </x:row>
    <x:row r="256" ht="22" customHeight="1">
      <x:c r="A256" s="2" t="str">
        <x:v>APB-0251</x:v>
      </x:c>
      <x:c r="B256" s="2" t="str">
        <x:v>Bestandskunde 0251</x:v>
      </x:c>
      <x:c r="C256" s="2" t="str">
        <x:v>Nur Verkäuferexport</x:v>
      </x:c>
      <x:c r="D256" s="9" t="n">
        <x:v>16387</x:v>
      </x:c>
      <x:c r="E256" s="9" t="n">
        <x:v>52</x:v>
      </x:c>
      <x:c r="F256" s="9" t="n">
        <x:v>0</x:v>
      </x:c>
      <x:c r="G256" s="11" t="n">
        <x:f>SUM(D256:F256)</x:f>
        <x:v>16439</x:v>
      </x:c>
      <x:c r="H256" s="10" t="n">
        <x:v>0.92</x:v>
      </x:c>
      <x:c r="I256" s="11" t="n">
        <x:f>IF(ISNUMBER(H256),ROUND(D256*H256,2),NA())</x:f>
        <x:v>15076.04</x:v>
      </x:c>
      <x:c r="J256" s="2" t="str">
        <x:v>Regelbestand laut Verkäufer</x:v>
      </x:c>
      <x:c r="K256" s="2" t="str">
        <x:v>Export KREDIT-ERF-20260930, Einzelbelege nicht im Datenraum</x:v>
      </x:c>
    </x:row>
    <x:row r="257" ht="22" customHeight="1">
      <x:c r="A257" s="2" t="str">
        <x:v>APB-0252</x:v>
      </x:c>
      <x:c r="B257" s="2" t="str">
        <x:v>Bestandskunde 0252</x:v>
      </x:c>
      <x:c r="C257" s="2" t="str">
        <x:v>Nur Verkäuferexport</x:v>
      </x:c>
      <x:c r="D257" s="9" t="n">
        <x:v>16524</x:v>
      </x:c>
      <x:c r="E257" s="9" t="n">
        <x:v>0</x:v>
      </x:c>
      <x:c r="F257" s="9" t="n">
        <x:v>0</x:v>
      </x:c>
      <x:c r="G257" s="11" t="n">
        <x:f>SUM(D257:F257)</x:f>
        <x:v>16524</x:v>
      </x:c>
      <x:c r="H257" s="10" t="n">
        <x:v>0.92</x:v>
      </x:c>
      <x:c r="I257" s="11" t="n">
        <x:f>IF(ISNUMBER(H257),ROUND(D257*H257,2),NA())</x:f>
        <x:v>15202.08</x:v>
      </x:c>
      <x:c r="J257" s="2" t="str">
        <x:v>Regelbestand laut Verkäufer</x:v>
      </x:c>
      <x:c r="K257" s="2" t="str">
        <x:v>Export KREDIT-ERF-20260930, Einzelbelege nicht im Datenraum</x:v>
      </x:c>
    </x:row>
    <x:row r="258" ht="22" customHeight="1">
      <x:c r="A258" s="2" t="str">
        <x:v>APB-0253</x:v>
      </x:c>
      <x:c r="B258" s="2" t="str">
        <x:v>Bestandskunde 0253</x:v>
      </x:c>
      <x:c r="C258" s="2" t="str">
        <x:v>Nur Verkäuferexport</x:v>
      </x:c>
      <x:c r="D258" s="9" t="n">
        <x:v>16661</x:v>
      </x:c>
      <x:c r="E258" s="9" t="n">
        <x:v>6.5</x:v>
      </x:c>
      <x:c r="F258" s="9" t="n">
        <x:v>0</x:v>
      </x:c>
      <x:c r="G258" s="11" t="n">
        <x:f>SUM(D258:F258)</x:f>
        <x:v>16667.5</x:v>
      </x:c>
      <x:c r="H258" s="10" t="n">
        <x:v>0.92</x:v>
      </x:c>
      <x:c r="I258" s="11" t="n">
        <x:f>IF(ISNUMBER(H258),ROUND(D258*H258,2),NA())</x:f>
        <x:v>15328.12</x:v>
      </x:c>
      <x:c r="J258" s="2" t="str">
        <x:v>Regelbestand laut Verkäufer</x:v>
      </x:c>
      <x:c r="K258" s="2" t="str">
        <x:v>Export KREDIT-ERF-20260930, Einzelbelege nicht im Datenraum</x:v>
      </x:c>
    </x:row>
    <x:row r="259" ht="22" customHeight="1">
      <x:c r="A259" s="2" t="str">
        <x:v>APB-0254</x:v>
      </x:c>
      <x:c r="B259" s="2" t="str">
        <x:v>Bestandskunde 0254</x:v>
      </x:c>
      <x:c r="C259" s="2" t="str">
        <x:v>Nur Verkäuferexport</x:v>
      </x:c>
      <x:c r="D259" s="9" t="n">
        <x:v>16798</x:v>
      </x:c>
      <x:c r="E259" s="9" t="n">
        <x:v>13</x:v>
      </x:c>
      <x:c r="F259" s="9" t="n">
        <x:v>0</x:v>
      </x:c>
      <x:c r="G259" s="11" t="n">
        <x:f>SUM(D259:F259)</x:f>
        <x:v>16811</x:v>
      </x:c>
      <x:c r="H259" s="10" t="n">
        <x:v>0.92</x:v>
      </x:c>
      <x:c r="I259" s="11" t="n">
        <x:f>IF(ISNUMBER(H259),ROUND(D259*H259,2),NA())</x:f>
        <x:v>15454.16</x:v>
      </x:c>
      <x:c r="J259" s="2" t="str">
        <x:v>Regelbestand laut Verkäufer</x:v>
      </x:c>
      <x:c r="K259" s="2" t="str">
        <x:v>Export KREDIT-ERF-20260930, Einzelbelege nicht im Datenraum</x:v>
      </x:c>
    </x:row>
    <x:row r="260" ht="22" customHeight="1">
      <x:c r="A260" s="2" t="str">
        <x:v>APB-0255</x:v>
      </x:c>
      <x:c r="B260" s="2" t="str">
        <x:v>Bestandskunde 0255</x:v>
      </x:c>
      <x:c r="C260" s="2" t="str">
        <x:v>Nur Verkäuferexport</x:v>
      </x:c>
      <x:c r="D260" s="9" t="n">
        <x:v>16935</x:v>
      </x:c>
      <x:c r="E260" s="9" t="n">
        <x:v>19.5</x:v>
      </x:c>
      <x:c r="F260" s="9" t="n">
        <x:v>0</x:v>
      </x:c>
      <x:c r="G260" s="11" t="n">
        <x:f>SUM(D260:F260)</x:f>
        <x:v>16954.5</x:v>
      </x:c>
      <x:c r="H260" s="10" t="n">
        <x:v>0.92</x:v>
      </x:c>
      <x:c r="I260" s="11" t="n">
        <x:f>IF(ISNUMBER(H260),ROUND(D260*H260,2),NA())</x:f>
        <x:v>15580.2</x:v>
      </x:c>
      <x:c r="J260" s="2" t="str">
        <x:v>Regelbestand laut Verkäufer</x:v>
      </x:c>
      <x:c r="K260" s="2" t="str">
        <x:v>Export KREDIT-ERF-20260930, Einzelbelege nicht im Datenraum</x:v>
      </x:c>
    </x:row>
    <x:row r="261" ht="22" customHeight="1">
      <x:c r="A261" s="2" t="str">
        <x:v>APB-0256</x:v>
      </x:c>
      <x:c r="B261" s="2" t="str">
        <x:v>Bestandskunde 0256</x:v>
      </x:c>
      <x:c r="C261" s="2" t="str">
        <x:v>Nur Verkäuferexport</x:v>
      </x:c>
      <x:c r="D261" s="9" t="n">
        <x:v>17072</x:v>
      </x:c>
      <x:c r="E261" s="9" t="n">
        <x:v>26</x:v>
      </x:c>
      <x:c r="F261" s="9" t="n">
        <x:v>0</x:v>
      </x:c>
      <x:c r="G261" s="11" t="n">
        <x:f>SUM(D261:F261)</x:f>
        <x:v>17098</x:v>
      </x:c>
      <x:c r="H261" s="10" t="n">
        <x:v>0.92</x:v>
      </x:c>
      <x:c r="I261" s="11" t="n">
        <x:f>IF(ISNUMBER(H261),ROUND(D261*H261,2),NA())</x:f>
        <x:v>15706.24</x:v>
      </x:c>
      <x:c r="J261" s="2" t="str">
        <x:v>Regelbestand laut Verkäufer</x:v>
      </x:c>
      <x:c r="K261" s="2" t="str">
        <x:v>Export KREDIT-ERF-20260930, Einzelbelege nicht im Datenraum</x:v>
      </x:c>
    </x:row>
    <x:row r="262" ht="22" customHeight="1">
      <x:c r="A262" s="2" t="str">
        <x:v>APB-0257</x:v>
      </x:c>
      <x:c r="B262" s="2" t="str">
        <x:v>Bestandskunde 0257</x:v>
      </x:c>
      <x:c r="C262" s="2" t="str">
        <x:v>Nur Verkäuferexport</x:v>
      </x:c>
      <x:c r="D262" s="9" t="n">
        <x:v>17209</x:v>
      </x:c>
      <x:c r="E262" s="9" t="n">
        <x:v>32.5</x:v>
      </x:c>
      <x:c r="F262" s="9" t="n">
        <x:v>0</x:v>
      </x:c>
      <x:c r="G262" s="11" t="n">
        <x:f>SUM(D262:F262)</x:f>
        <x:v>17241.5</x:v>
      </x:c>
      <x:c r="H262" s="10" t="n">
        <x:v>0.92</x:v>
      </x:c>
      <x:c r="I262" s="11" t="n">
        <x:f>IF(ISNUMBER(H262),ROUND(D262*H262,2),NA())</x:f>
        <x:v>15832.28</x:v>
      </x:c>
      <x:c r="J262" s="2" t="str">
        <x:v>Regelbestand laut Verkäufer</x:v>
      </x:c>
      <x:c r="K262" s="2" t="str">
        <x:v>Export KREDIT-ERF-20260930, Einzelbelege nicht im Datenraum</x:v>
      </x:c>
    </x:row>
    <x:row r="263" ht="22" customHeight="1">
      <x:c r="A263" s="2" t="str">
        <x:v>APB-0258</x:v>
      </x:c>
      <x:c r="B263" s="2" t="str">
        <x:v>Bestandskunde 0258</x:v>
      </x:c>
      <x:c r="C263" s="2" t="str">
        <x:v>Nur Verkäuferexport</x:v>
      </x:c>
      <x:c r="D263" s="9" t="n">
        <x:v>17346</x:v>
      </x:c>
      <x:c r="E263" s="9" t="n">
        <x:v>39</x:v>
      </x:c>
      <x:c r="F263" s="9" t="n">
        <x:v>0</x:v>
      </x:c>
      <x:c r="G263" s="11" t="n">
        <x:f>SUM(D263:F263)</x:f>
        <x:v>17385</x:v>
      </x:c>
      <x:c r="H263" s="10" t="n">
        <x:v>0.92</x:v>
      </x:c>
      <x:c r="I263" s="11" t="n">
        <x:f>IF(ISNUMBER(H263),ROUND(D263*H263,2),NA())</x:f>
        <x:v>15958.32</x:v>
      </x:c>
      <x:c r="J263" s="2" t="str">
        <x:v>Regelbestand laut Verkäufer</x:v>
      </x:c>
      <x:c r="K263" s="2" t="str">
        <x:v>Export KREDIT-ERF-20260930, Einzelbelege nicht im Datenraum</x:v>
      </x:c>
    </x:row>
    <x:row r="264" ht="22" customHeight="1">
      <x:c r="A264" s="2" t="str">
        <x:v>APB-0259</x:v>
      </x:c>
      <x:c r="B264" s="2" t="str">
        <x:v>Bestandskunde 0259</x:v>
      </x:c>
      <x:c r="C264" s="2" t="str">
        <x:v>Nur Verkäuferexport</x:v>
      </x:c>
      <x:c r="D264" s="9" t="n">
        <x:v>17483</x:v>
      </x:c>
      <x:c r="E264" s="9" t="n">
        <x:v>45.5</x:v>
      </x:c>
      <x:c r="F264" s="9" t="n">
        <x:v>0</x:v>
      </x:c>
      <x:c r="G264" s="11" t="n">
        <x:f>SUM(D264:F264)</x:f>
        <x:v>17528.5</x:v>
      </x:c>
      <x:c r="H264" s="10" t="n">
        <x:v>0.92</x:v>
      </x:c>
      <x:c r="I264" s="11" t="n">
        <x:f>IF(ISNUMBER(H264),ROUND(D264*H264,2),NA())</x:f>
        <x:v>16084.36</x:v>
      </x:c>
      <x:c r="J264" s="2" t="str">
        <x:v>Regelbestand laut Verkäufer</x:v>
      </x:c>
      <x:c r="K264" s="2" t="str">
        <x:v>Export KREDIT-ERF-20260930, Einzelbelege nicht im Datenraum</x:v>
      </x:c>
    </x:row>
    <x:row r="265" ht="22" customHeight="1">
      <x:c r="A265" s="2" t="str">
        <x:v>APB-0260</x:v>
      </x:c>
      <x:c r="B265" s="2" t="str">
        <x:v>Bestandskunde 0260</x:v>
      </x:c>
      <x:c r="C265" s="2" t="str">
        <x:v>Nur Verkäuferexport</x:v>
      </x:c>
      <x:c r="D265" s="9" t="n">
        <x:v>17620</x:v>
      </x:c>
      <x:c r="E265" s="9" t="n">
        <x:v>52</x:v>
      </x:c>
      <x:c r="F265" s="9" t="n">
        <x:v>0</x:v>
      </x:c>
      <x:c r="G265" s="11" t="n">
        <x:f>SUM(D265:F265)</x:f>
        <x:v>17672</x:v>
      </x:c>
      <x:c r="H265" s="10" t="n">
        <x:v>0.92</x:v>
      </x:c>
      <x:c r="I265" s="11" t="n">
        <x:f>IF(ISNUMBER(H265),ROUND(D265*H265,2),NA())</x:f>
        <x:v>16210.4</x:v>
      </x:c>
      <x:c r="J265" s="2" t="str">
        <x:v>Regelbestand laut Verkäufer</x:v>
      </x:c>
      <x:c r="K265" s="2" t="str">
        <x:v>Export KREDIT-ERF-20260930, Einzelbelege nicht im Datenraum</x:v>
      </x:c>
    </x:row>
    <x:row r="266" ht="22" customHeight="1">
      <x:c r="A266" s="2" t="str">
        <x:v>APB-0261</x:v>
      </x:c>
      <x:c r="B266" s="2" t="str">
        <x:v>Bestandskunde 0261</x:v>
      </x:c>
      <x:c r="C266" s="2" t="str">
        <x:v>Nur Verkäuferexport</x:v>
      </x:c>
      <x:c r="D266" s="9" t="n">
        <x:v>17757</x:v>
      </x:c>
      <x:c r="E266" s="9" t="n">
        <x:v>0</x:v>
      </x:c>
      <x:c r="F266" s="9" t="n">
        <x:v>15</x:v>
      </x:c>
      <x:c r="G266" s="11" t="n">
        <x:f>SUM(D266:F266)</x:f>
        <x:v>17772</x:v>
      </x:c>
      <x:c r="H266" s="10" t="n">
        <x:v>0.92</x:v>
      </x:c>
      <x:c r="I266" s="11" t="n">
        <x:f>IF(ISNUMBER(H266),ROUND(D266*H266,2),NA())</x:f>
        <x:v>16336.44</x:v>
      </x:c>
      <x:c r="J266" s="2" t="str">
        <x:v>Zahlungslücke im Export</x:v>
      </x:c>
      <x:c r="K266" s="2" t="str">
        <x:v>Export KREDIT-ERF-20260930, Einzelbelege nicht im Datenraum</x:v>
      </x:c>
    </x:row>
    <x:row r="267" ht="22" customHeight="1">
      <x:c r="A267" s="2" t="str">
        <x:v>APB-0262</x:v>
      </x:c>
      <x:c r="B267" s="2" t="str">
        <x:v>Bestandskunde 0262</x:v>
      </x:c>
      <x:c r="C267" s="2" t="str">
        <x:v>Nur Verkäuferexport</x:v>
      </x:c>
      <x:c r="D267" s="9" t="n">
        <x:v>17894</x:v>
      </x:c>
      <x:c r="E267" s="9" t="n">
        <x:v>6.5</x:v>
      </x:c>
      <x:c r="F267" s="9" t="n">
        <x:v>0</x:v>
      </x:c>
      <x:c r="G267" s="11" t="n">
        <x:f>SUM(D267:F267)</x:f>
        <x:v>17900.5</x:v>
      </x:c>
      <x:c r="H267" s="10" t="n">
        <x:v>0.92</x:v>
      </x:c>
      <x:c r="I267" s="11" t="n">
        <x:f>IF(ISNUMBER(H267),ROUND(D267*H267,2),NA())</x:f>
        <x:v>16462.48</x:v>
      </x:c>
      <x:c r="J267" s="2" t="str">
        <x:v>Regelbestand laut Verkäufer</x:v>
      </x:c>
      <x:c r="K267" s="2" t="str">
        <x:v>Export KREDIT-ERF-20260930, Einzelbelege nicht im Datenraum</x:v>
      </x:c>
    </x:row>
    <x:row r="268" ht="22" customHeight="1">
      <x:c r="A268" s="2" t="str">
        <x:v>APB-0263</x:v>
      </x:c>
      <x:c r="B268" s="2" t="str">
        <x:v>Bestandskunde 0263</x:v>
      </x:c>
      <x:c r="C268" s="2" t="str">
        <x:v>Nur Verkäuferexport</x:v>
      </x:c>
      <x:c r="D268" s="9" t="n">
        <x:v>18031</x:v>
      </x:c>
      <x:c r="E268" s="9" t="n">
        <x:v>13</x:v>
      </x:c>
      <x:c r="F268" s="9" t="n">
        <x:v>0</x:v>
      </x:c>
      <x:c r="G268" s="11" t="n">
        <x:f>SUM(D268:F268)</x:f>
        <x:v>18044</x:v>
      </x:c>
      <x:c r="H268" s="10" t="n">
        <x:v>0.92</x:v>
      </x:c>
      <x:c r="I268" s="11" t="n">
        <x:f>IF(ISNUMBER(H268),ROUND(D268*H268,2),NA())</x:f>
        <x:v>16588.52</x:v>
      </x:c>
      <x:c r="J268" s="2" t="str">
        <x:v>Regelbestand laut Verkäufer</x:v>
      </x:c>
      <x:c r="K268" s="2" t="str">
        <x:v>Export KREDIT-ERF-20260930, Einzelbelege nicht im Datenraum</x:v>
      </x:c>
    </x:row>
    <x:row r="269" ht="22" customHeight="1">
      <x:c r="A269" s="2" t="str">
        <x:v>APB-0264</x:v>
      </x:c>
      <x:c r="B269" s="2" t="str">
        <x:v>Bestandskunde 0264</x:v>
      </x:c>
      <x:c r="C269" s="2" t="str">
        <x:v>Nur Verkäuferexport</x:v>
      </x:c>
      <x:c r="D269" s="9" t="n">
        <x:v>18168</x:v>
      </x:c>
      <x:c r="E269" s="9" t="n">
        <x:v>19.5</x:v>
      </x:c>
      <x:c r="F269" s="9" t="n">
        <x:v>0</x:v>
      </x:c>
      <x:c r="G269" s="11" t="n">
        <x:f>SUM(D269:F269)</x:f>
        <x:v>18187.5</x:v>
      </x:c>
      <x:c r="H269" s="10" t="n">
        <x:v>0.92</x:v>
      </x:c>
      <x:c r="I269" s="11" t="n">
        <x:f>IF(ISNUMBER(H269),ROUND(D269*H269,2),NA())</x:f>
        <x:v>16714.56</x:v>
      </x:c>
      <x:c r="J269" s="2" t="str">
        <x:v>Regelbestand laut Verkäufer</x:v>
      </x:c>
      <x:c r="K269" s="2" t="str">
        <x:v>Export KREDIT-ERF-20260930, Einzelbelege nicht im Datenraum</x:v>
      </x:c>
    </x:row>
    <x:row r="270" ht="22" customHeight="1">
      <x:c r="A270" s="2" t="str">
        <x:v>APB-0265</x:v>
      </x:c>
      <x:c r="B270" s="2" t="str">
        <x:v>Bestandskunde 0265</x:v>
      </x:c>
      <x:c r="C270" s="2" t="str">
        <x:v>Nur Verkäuferexport</x:v>
      </x:c>
      <x:c r="D270" s="9" t="n">
        <x:v>18305</x:v>
      </x:c>
      <x:c r="E270" s="9" t="n">
        <x:v>26</x:v>
      </x:c>
      <x:c r="F270" s="9" t="n">
        <x:v>0</x:v>
      </x:c>
      <x:c r="G270" s="11" t="n">
        <x:f>SUM(D270:F270)</x:f>
        <x:v>18331</x:v>
      </x:c>
      <x:c r="H270" s="10" t="n">
        <x:v>0.92</x:v>
      </x:c>
      <x:c r="I270" s="11" t="n">
        <x:f>IF(ISNUMBER(H270),ROUND(D270*H270,2),NA())</x:f>
        <x:v>16840.6</x:v>
      </x:c>
      <x:c r="J270" s="2" t="str">
        <x:v>Regelbestand laut Verkäufer</x:v>
      </x:c>
      <x:c r="K270" s="2" t="str">
        <x:v>Export KREDIT-ERF-20260930, Einzelbelege nicht im Datenraum</x:v>
      </x:c>
    </x:row>
    <x:row r="271" ht="22" customHeight="1">
      <x:c r="A271" s="2" t="str">
        <x:v>APB-0266</x:v>
      </x:c>
      <x:c r="B271" s="2" t="str">
        <x:v>Bestandskunde 0266</x:v>
      </x:c>
      <x:c r="C271" s="2" t="str">
        <x:v>Nur Verkäuferexport</x:v>
      </x:c>
      <x:c r="D271" s="9" t="n">
        <x:v>18442</x:v>
      </x:c>
      <x:c r="E271" s="9" t="n">
        <x:v>32.5</x:v>
      </x:c>
      <x:c r="F271" s="9" t="n">
        <x:v>0</x:v>
      </x:c>
      <x:c r="G271" s="11" t="n">
        <x:f>SUM(D271:F271)</x:f>
        <x:v>18474.5</x:v>
      </x:c>
      <x:c r="H271" s="10" t="n">
        <x:v>0.92</x:v>
      </x:c>
      <x:c r="I271" s="11" t="n">
        <x:f>IF(ISNUMBER(H271),ROUND(D271*H271,2),NA())</x:f>
        <x:v>16966.64</x:v>
      </x:c>
      <x:c r="J271" s="2" t="str">
        <x:v>Regelbestand laut Verkäufer</x:v>
      </x:c>
      <x:c r="K271" s="2" t="str">
        <x:v>Export KREDIT-ERF-20260930, Einzelbelege nicht im Datenraum</x:v>
      </x:c>
    </x:row>
    <x:row r="272" ht="22" customHeight="1">
      <x:c r="A272" s="2" t="str">
        <x:v>APB-0267</x:v>
      </x:c>
      <x:c r="B272" s="2" t="str">
        <x:v>Bestandskunde 0267</x:v>
      </x:c>
      <x:c r="C272" s="2" t="str">
        <x:v>Nur Verkäuferexport</x:v>
      </x:c>
      <x:c r="D272" s="9" t="n">
        <x:v>18579</x:v>
      </x:c>
      <x:c r="E272" s="9" t="n">
        <x:v>39</x:v>
      </x:c>
      <x:c r="F272" s="9" t="n">
        <x:v>0</x:v>
      </x:c>
      <x:c r="G272" s="11" t="n">
        <x:f>SUM(D272:F272)</x:f>
        <x:v>18618</x:v>
      </x:c>
      <x:c r="H272" s="10" t="n">
        <x:v>0.92</x:v>
      </x:c>
      <x:c r="I272" s="11" t="n">
        <x:f>IF(ISNUMBER(H272),ROUND(D272*H272,2),NA())</x:f>
        <x:v>17092.68</x:v>
      </x:c>
      <x:c r="J272" s="2" t="str">
        <x:v>Regelbestand laut Verkäufer</x:v>
      </x:c>
      <x:c r="K272" s="2" t="str">
        <x:v>Export KREDIT-ERF-20260930, Einzelbelege nicht im Datenraum</x:v>
      </x:c>
    </x:row>
    <x:row r="273" ht="22" customHeight="1">
      <x:c r="A273" s="2" t="str">
        <x:v>APB-0268</x:v>
      </x:c>
      <x:c r="B273" s="2" t="str">
        <x:v>Bestandskunde 0268</x:v>
      </x:c>
      <x:c r="C273" s="2" t="str">
        <x:v>Nur Verkäuferexport</x:v>
      </x:c>
      <x:c r="D273" s="9" t="n">
        <x:v>18716</x:v>
      </x:c>
      <x:c r="E273" s="9" t="n">
        <x:v>45.5</x:v>
      </x:c>
      <x:c r="F273" s="9" t="n">
        <x:v>0</x:v>
      </x:c>
      <x:c r="G273" s="11" t="n">
        <x:f>SUM(D273:F273)</x:f>
        <x:v>18761.5</x:v>
      </x:c>
      <x:c r="H273" s="10" t="n">
        <x:v>0.92</x:v>
      </x:c>
      <x:c r="I273" s="11" t="n">
        <x:f>IF(ISNUMBER(H273),ROUND(D273*H273,2),NA())</x:f>
        <x:v>17218.72</x:v>
      </x:c>
      <x:c r="J273" s="2" t="str">
        <x:v>Regelbestand laut Verkäufer</x:v>
      </x:c>
      <x:c r="K273" s="2" t="str">
        <x:v>Export KREDIT-ERF-20260930, Einzelbelege nicht im Datenraum</x:v>
      </x:c>
    </x:row>
    <x:row r="274" ht="22" customHeight="1">
      <x:c r="A274" s="2" t="str">
        <x:v>APB-0269</x:v>
      </x:c>
      <x:c r="B274" s="2" t="str">
        <x:v>Bestandskunde 0269</x:v>
      </x:c>
      <x:c r="C274" s="2" t="str">
        <x:v>Nur Verkäuferexport</x:v>
      </x:c>
      <x:c r="D274" s="9" t="n">
        <x:v>18853</x:v>
      </x:c>
      <x:c r="E274" s="9" t="n">
        <x:v>52</x:v>
      </x:c>
      <x:c r="F274" s="9" t="n">
        <x:v>0</x:v>
      </x:c>
      <x:c r="G274" s="11" t="n">
        <x:f>SUM(D274:F274)</x:f>
        <x:v>18905</x:v>
      </x:c>
      <x:c r="H274" s="10" t="n">
        <x:v>0.92</x:v>
      </x:c>
      <x:c r="I274" s="11" t="n">
        <x:f>IF(ISNUMBER(H274),ROUND(D274*H274,2),NA())</x:f>
        <x:v>17344.76</x:v>
      </x:c>
      <x:c r="J274" s="2" t="str">
        <x:v>Regelbestand laut Verkäufer</x:v>
      </x:c>
      <x:c r="K274" s="2" t="str">
        <x:v>Export KREDIT-ERF-20260930, Einzelbelege nicht im Datenraum</x:v>
      </x:c>
    </x:row>
    <x:row r="275" ht="22" customHeight="1">
      <x:c r="A275" s="2" t="str">
        <x:v>APB-0270</x:v>
      </x:c>
      <x:c r="B275" s="2" t="str">
        <x:v>Bestandskunde 0270</x:v>
      </x:c>
      <x:c r="C275" s="2" t="str">
        <x:v>Nur Verkäuferexport</x:v>
      </x:c>
      <x:c r="D275" s="9" t="n">
        <x:v>18990</x:v>
      </x:c>
      <x:c r="E275" s="9" t="n">
        <x:v>0</x:v>
      </x:c>
      <x:c r="F275" s="9" t="n">
        <x:v>0</x:v>
      </x:c>
      <x:c r="G275" s="11" t="n">
        <x:f>SUM(D275:F275)</x:f>
        <x:v>18990</x:v>
      </x:c>
      <x:c r="H275" s="10" t="n">
        <x:v>0.92</x:v>
      </x:c>
      <x:c r="I275" s="11" t="n">
        <x:f>IF(ISNUMBER(H275),ROUND(D275*H275,2),NA())</x:f>
        <x:v>17470.8</x:v>
      </x:c>
      <x:c r="J275" s="2" t="str">
        <x:v>Regelbestand laut Verkäufer</x:v>
      </x:c>
      <x:c r="K275" s="2" t="str">
        <x:v>Export KREDIT-ERF-20260930, Einzelbelege nicht im Datenraum</x:v>
      </x:c>
    </x:row>
    <x:row r="276" ht="22" customHeight="1">
      <x:c r="A276" s="2" t="str">
        <x:v>APB-0271</x:v>
      </x:c>
      <x:c r="B276" s="2" t="str">
        <x:v>Bestandskunde 0271</x:v>
      </x:c>
      <x:c r="C276" s="2" t="str">
        <x:v>Nur Verkäuferexport</x:v>
      </x:c>
      <x:c r="D276" s="9" t="n">
        <x:v>19127</x:v>
      </x:c>
      <x:c r="E276" s="9" t="n">
        <x:v>6.5</x:v>
      </x:c>
      <x:c r="F276" s="9" t="n">
        <x:v>0</x:v>
      </x:c>
      <x:c r="G276" s="11" t="n">
        <x:f>SUM(D276:F276)</x:f>
        <x:v>19133.5</x:v>
      </x:c>
      <x:c r="H276" s="10" t="n">
        <x:v>0.92</x:v>
      </x:c>
      <x:c r="I276" s="11" t="n">
        <x:f>IF(ISNUMBER(H276),ROUND(D276*H276,2),NA())</x:f>
        <x:v>17596.84</x:v>
      </x:c>
      <x:c r="J276" s="2" t="str">
        <x:v>Regelbestand laut Verkäufer</x:v>
      </x:c>
      <x:c r="K276" s="2" t="str">
        <x:v>Export KREDIT-ERF-20260930, Einzelbelege nicht im Datenraum</x:v>
      </x:c>
    </x:row>
    <x:row r="277" ht="22" customHeight="1">
      <x:c r="A277" s="2" t="str">
        <x:v>APB-0272</x:v>
      </x:c>
      <x:c r="B277" s="2" t="str">
        <x:v>Bestandskunde 0272</x:v>
      </x:c>
      <x:c r="C277" s="2" t="str">
        <x:v>Nur Verkäuferexport</x:v>
      </x:c>
      <x:c r="D277" s="9" t="n">
        <x:v>19264</x:v>
      </x:c>
      <x:c r="E277" s="9" t="n">
        <x:v>13</x:v>
      </x:c>
      <x:c r="F277" s="9" t="n">
        <x:v>0</x:v>
      </x:c>
      <x:c r="G277" s="11" t="n">
        <x:f>SUM(D277:F277)</x:f>
        <x:v>19277</x:v>
      </x:c>
      <x:c r="H277" s="10" t="n">
        <x:v>0.92</x:v>
      </x:c>
      <x:c r="I277" s="11" t="n">
        <x:f>IF(ISNUMBER(H277),ROUND(D277*H277,2),NA())</x:f>
        <x:v>17722.88</x:v>
      </x:c>
      <x:c r="J277" s="2" t="str">
        <x:v>Regelbestand laut Verkäufer</x:v>
      </x:c>
      <x:c r="K277" s="2" t="str">
        <x:v>Export KREDIT-ERF-20260930, Einzelbelege nicht im Datenraum</x:v>
      </x:c>
    </x:row>
    <x:row r="278" ht="22" customHeight="1">
      <x:c r="A278" s="2" t="str">
        <x:v>APB-0273</x:v>
      </x:c>
      <x:c r="B278" s="2" t="str">
        <x:v>Bestandskunde 0273</x:v>
      </x:c>
      <x:c r="C278" s="2" t="str">
        <x:v>Nur Verkäuferexport</x:v>
      </x:c>
      <x:c r="D278" s="9" t="n">
        <x:v>19401</x:v>
      </x:c>
      <x:c r="E278" s="9" t="n">
        <x:v>19.5</x:v>
      </x:c>
      <x:c r="F278" s="9" t="n">
        <x:v>0</x:v>
      </x:c>
      <x:c r="G278" s="11" t="n">
        <x:f>SUM(D278:F278)</x:f>
        <x:v>19420.5</x:v>
      </x:c>
      <x:c r="H278" s="10" t="n">
        <x:v>0.92</x:v>
      </x:c>
      <x:c r="I278" s="11" t="n">
        <x:f>IF(ISNUMBER(H278),ROUND(D278*H278,2),NA())</x:f>
        <x:v>17848.92</x:v>
      </x:c>
      <x:c r="J278" s="2" t="str">
        <x:v>Regelbestand laut Verkäufer</x:v>
      </x:c>
      <x:c r="K278" s="2" t="str">
        <x:v>Export KREDIT-ERF-20260930, Einzelbelege nicht im Datenraum</x:v>
      </x:c>
    </x:row>
    <x:row r="279" ht="22" customHeight="1">
      <x:c r="A279" s="2" t="str">
        <x:v>APB-0274</x:v>
      </x:c>
      <x:c r="B279" s="2" t="str">
        <x:v>Bestandskunde 0274</x:v>
      </x:c>
      <x:c r="C279" s="2" t="str">
        <x:v>Nur Verkäuferexport</x:v>
      </x:c>
      <x:c r="D279" s="9" t="n">
        <x:v>19538</x:v>
      </x:c>
      <x:c r="E279" s="9" t="n">
        <x:v>26</x:v>
      </x:c>
      <x:c r="F279" s="9" t="n">
        <x:v>0</x:v>
      </x:c>
      <x:c r="G279" s="11" t="n">
        <x:f>SUM(D279:F279)</x:f>
        <x:v>19564</x:v>
      </x:c>
      <x:c r="H279" s="10" t="n">
        <x:v>0.92</x:v>
      </x:c>
      <x:c r="I279" s="11" t="n">
        <x:f>IF(ISNUMBER(H279),ROUND(D279*H279,2),NA())</x:f>
        <x:v>17974.96</x:v>
      </x:c>
      <x:c r="J279" s="2" t="str">
        <x:v>Regelbestand laut Verkäufer</x:v>
      </x:c>
      <x:c r="K279" s="2" t="str">
        <x:v>Export KREDIT-ERF-20260930, Einzelbelege nicht im Datenraum</x:v>
      </x:c>
    </x:row>
    <x:row r="280" ht="22" customHeight="1">
      <x:c r="A280" s="2" t="str">
        <x:v>APB-0275</x:v>
      </x:c>
      <x:c r="B280" s="2" t="str">
        <x:v>Bestandskunde 0275</x:v>
      </x:c>
      <x:c r="C280" s="2" t="str">
        <x:v>Nur Verkäuferexport</x:v>
      </x:c>
      <x:c r="D280" s="9" t="n">
        <x:v>19675</x:v>
      </x:c>
      <x:c r="E280" s="9" t="n">
        <x:v>32.5</x:v>
      </x:c>
      <x:c r="F280" s="9" t="n">
        <x:v>0</x:v>
      </x:c>
      <x:c r="G280" s="11" t="n">
        <x:f>SUM(D280:F280)</x:f>
        <x:v>19707.5</x:v>
      </x:c>
      <x:c r="H280" s="10" t="n">
        <x:v>0.92</x:v>
      </x:c>
      <x:c r="I280" s="11" t="n">
        <x:f>IF(ISNUMBER(H280),ROUND(D280*H280,2),NA())</x:f>
        <x:v>18101</x:v>
      </x:c>
      <x:c r="J280" s="2" t="str">
        <x:v>Regelbestand laut Verkäufer</x:v>
      </x:c>
      <x:c r="K280" s="2" t="str">
        <x:v>Export KREDIT-ERF-20260930, Einzelbelege nicht im Datenraum</x:v>
      </x:c>
    </x:row>
    <x:row r="281" ht="22" customHeight="1">
      <x:c r="A281" s="2" t="str">
        <x:v>APB-0276</x:v>
      </x:c>
      <x:c r="B281" s="2" t="str">
        <x:v>Bestandskunde 0276</x:v>
      </x:c>
      <x:c r="C281" s="2" t="str">
        <x:v>Nur Verkäuferexport</x:v>
      </x:c>
      <x:c r="D281" s="9" t="n">
        <x:v>19812</x:v>
      </x:c>
      <x:c r="E281" s="9" t="n">
        <x:v>39</x:v>
      </x:c>
      <x:c r="F281" s="9" t="n">
        <x:v>0</x:v>
      </x:c>
      <x:c r="G281" s="11" t="n">
        <x:f>SUM(D281:F281)</x:f>
        <x:v>19851</x:v>
      </x:c>
      <x:c r="H281" s="10" t="n">
        <x:v>0.92</x:v>
      </x:c>
      <x:c r="I281" s="11" t="n">
        <x:f>IF(ISNUMBER(H281),ROUND(D281*H281,2),NA())</x:f>
        <x:v>18227.04</x:v>
      </x:c>
      <x:c r="J281" s="2" t="str">
        <x:v>Regelbestand laut Verkäufer</x:v>
      </x:c>
      <x:c r="K281" s="2" t="str">
        <x:v>Export KREDIT-ERF-20260930, Einzelbelege nicht im Datenraum</x:v>
      </x:c>
    </x:row>
    <x:row r="282" ht="22" customHeight="1">
      <x:c r="A282" s="2" t="str">
        <x:v>APB-0277</x:v>
      </x:c>
      <x:c r="B282" s="2" t="str">
        <x:v>Bestandskunde 0277</x:v>
      </x:c>
      <x:c r="C282" s="2" t="str">
        <x:v>Nur Verkäuferexport</x:v>
      </x:c>
      <x:c r="D282" s="9" t="n">
        <x:v>19949</x:v>
      </x:c>
      <x:c r="E282" s="9" t="n">
        <x:v>45.5</x:v>
      </x:c>
      <x:c r="F282" s="9" t="n">
        <x:v>0</x:v>
      </x:c>
      <x:c r="G282" s="11" t="n">
        <x:f>SUM(D282:F282)</x:f>
        <x:v>19994.5</x:v>
      </x:c>
      <x:c r="H282" s="10" t="n">
        <x:v>0.92</x:v>
      </x:c>
      <x:c r="I282" s="11" t="n">
        <x:f>IF(ISNUMBER(H282),ROUND(D282*H282,2),NA())</x:f>
        <x:v>18353.08</x:v>
      </x:c>
      <x:c r="J282" s="2" t="str">
        <x:v>Regelbestand laut Verkäufer</x:v>
      </x:c>
      <x:c r="K282" s="2" t="str">
        <x:v>Export KREDIT-ERF-20260930, Einzelbelege nicht im Datenraum</x:v>
      </x:c>
    </x:row>
    <x:row r="283" ht="22" customHeight="1">
      <x:c r="A283" s="2" t="str">
        <x:v>APB-0278</x:v>
      </x:c>
      <x:c r="B283" s="2" t="str">
        <x:v>Bestandskunde 0278</x:v>
      </x:c>
      <x:c r="C283" s="2" t="str">
        <x:v>Nur Verkäuferexport</x:v>
      </x:c>
      <x:c r="D283" s="9" t="n">
        <x:v>20086</x:v>
      </x:c>
      <x:c r="E283" s="9" t="n">
        <x:v>52</x:v>
      </x:c>
      <x:c r="F283" s="9" t="n">
        <x:v>0</x:v>
      </x:c>
      <x:c r="G283" s="11" t="n">
        <x:f>SUM(D283:F283)</x:f>
        <x:v>20138</x:v>
      </x:c>
      <x:c r="H283" s="10" t="n">
        <x:v>0.92</x:v>
      </x:c>
      <x:c r="I283" s="11" t="n">
        <x:f>IF(ISNUMBER(H283),ROUND(D283*H283,2),NA())</x:f>
        <x:v>18479.12</x:v>
      </x:c>
      <x:c r="J283" s="2" t="str">
        <x:v>Regelbestand laut Verkäufer</x:v>
      </x:c>
      <x:c r="K283" s="2" t="str">
        <x:v>Export KREDIT-ERF-20260930, Einzelbelege nicht im Datenraum</x:v>
      </x:c>
    </x:row>
    <x:row r="284" ht="22" customHeight="1">
      <x:c r="A284" s="2" t="str">
        <x:v>APB-0279</x:v>
      </x:c>
      <x:c r="B284" s="2" t="str">
        <x:v>Bestandskunde 0279</x:v>
      </x:c>
      <x:c r="C284" s="2" t="str">
        <x:v>Nur Verkäuferexport</x:v>
      </x:c>
      <x:c r="D284" s="9" t="n">
        <x:v>20223</x:v>
      </x:c>
      <x:c r="E284" s="9" t="n">
        <x:v>0</x:v>
      </x:c>
      <x:c r="F284" s="9" t="n">
        <x:v>0</x:v>
      </x:c>
      <x:c r="G284" s="11" t="n">
        <x:f>SUM(D284:F284)</x:f>
        <x:v>20223</x:v>
      </x:c>
      <x:c r="H284" s="10" t="n">
        <x:v>0.92</x:v>
      </x:c>
      <x:c r="I284" s="11" t="n">
        <x:f>IF(ISNUMBER(H284),ROUND(D284*H284,2),NA())</x:f>
        <x:v>18605.16</x:v>
      </x:c>
      <x:c r="J284" s="2" t="str">
        <x:v>Regelbestand laut Verkäufer</x:v>
      </x:c>
      <x:c r="K284" s="2" t="str">
        <x:v>Export KREDIT-ERF-20260930, Einzelbelege nicht im Datenraum</x:v>
      </x:c>
    </x:row>
    <x:row r="285" ht="22" customHeight="1">
      <x:c r="A285" s="2" t="str">
        <x:v>APB-0280</x:v>
      </x:c>
      <x:c r="B285" s="2" t="str">
        <x:v>Bestandskunde 0280</x:v>
      </x:c>
      <x:c r="C285" s="2" t="str">
        <x:v>Nur Verkäuferexport</x:v>
      </x:c>
      <x:c r="D285" s="9" t="n">
        <x:v>20360</x:v>
      </x:c>
      <x:c r="E285" s="9" t="n">
        <x:v>6.5</x:v>
      </x:c>
      <x:c r="F285" s="9" t="n">
        <x:v>0</x:v>
      </x:c>
      <x:c r="G285" s="11" t="n">
        <x:f>SUM(D285:F285)</x:f>
        <x:v>20366.5</x:v>
      </x:c>
      <x:c r="H285" s="10" t="n">
        <x:v>0.92</x:v>
      </x:c>
      <x:c r="I285" s="11" t="n">
        <x:f>IF(ISNUMBER(H285),ROUND(D285*H285,2),NA())</x:f>
        <x:v>18731.2</x:v>
      </x:c>
      <x:c r="J285" s="2" t="str">
        <x:v>Regelbestand laut Verkäufer</x:v>
      </x:c>
      <x:c r="K285" s="2" t="str">
        <x:v>Export KREDIT-ERF-20260930, Einzelbelege nicht im Datenraum</x:v>
      </x:c>
    </x:row>
    <x:row r="286" ht="22" customHeight="1">
      <x:c r="A286" s="2" t="str">
        <x:v>APB-0281</x:v>
      </x:c>
      <x:c r="B286" s="2" t="str">
        <x:v>Bestandskunde 0281</x:v>
      </x:c>
      <x:c r="C286" s="2" t="str">
        <x:v>Nur Verkäuferexport</x:v>
      </x:c>
      <x:c r="D286" s="9" t="n">
        <x:v>20497</x:v>
      </x:c>
      <x:c r="E286" s="9" t="n">
        <x:v>13</x:v>
      </x:c>
      <x:c r="F286" s="9" t="n">
        <x:v>0</x:v>
      </x:c>
      <x:c r="G286" s="11" t="n">
        <x:f>SUM(D286:F286)</x:f>
        <x:v>20510</x:v>
      </x:c>
      <x:c r="H286" s="10" t="n">
        <x:v>0.92</x:v>
      </x:c>
      <x:c r="I286" s="11" t="n">
        <x:f>IF(ISNUMBER(H286),ROUND(D286*H286,2),NA())</x:f>
        <x:v>18857.24</x:v>
      </x:c>
      <x:c r="J286" s="2" t="str">
        <x:v>Regelbestand laut Verkäufer</x:v>
      </x:c>
      <x:c r="K286" s="2" t="str">
        <x:v>Export KREDIT-ERF-20260930, Einzelbelege nicht im Datenraum</x:v>
      </x:c>
    </x:row>
    <x:row r="287" ht="22" customHeight="1">
      <x:c r="A287" s="2" t="str">
        <x:v>APB-0282</x:v>
      </x:c>
      <x:c r="B287" s="2" t="str">
        <x:v>Bestandskunde 0282</x:v>
      </x:c>
      <x:c r="C287" s="2" t="str">
        <x:v>Nur Verkäuferexport</x:v>
      </x:c>
      <x:c r="D287" s="9" t="n">
        <x:v>20634</x:v>
      </x:c>
      <x:c r="E287" s="9" t="n">
        <x:v>19.5</x:v>
      </x:c>
      <x:c r="F287" s="9" t="n">
        <x:v>0</x:v>
      </x:c>
      <x:c r="G287" s="11" t="n">
        <x:f>SUM(D287:F287)</x:f>
        <x:v>20653.5</x:v>
      </x:c>
      <x:c r="H287" s="10" t="n">
        <x:v>0.92</x:v>
      </x:c>
      <x:c r="I287" s="11" t="n">
        <x:f>IF(ISNUMBER(H287),ROUND(D287*H287,2),NA())</x:f>
        <x:v>18983.28</x:v>
      </x:c>
      <x:c r="J287" s="2" t="str">
        <x:v>Regelbestand laut Verkäufer</x:v>
      </x:c>
      <x:c r="K287" s="2" t="str">
        <x:v>Export KREDIT-ERF-20260930, Einzelbelege nicht im Datenraum</x:v>
      </x:c>
    </x:row>
    <x:row r="288" ht="22" customHeight="1">
      <x:c r="A288" s="2" t="str">
        <x:v>APB-0283</x:v>
      </x:c>
      <x:c r="B288" s="2" t="str">
        <x:v>Bestandskunde 0283</x:v>
      </x:c>
      <x:c r="C288" s="2" t="str">
        <x:v>Nur Verkäuferexport</x:v>
      </x:c>
      <x:c r="D288" s="9" t="n">
        <x:v>20771</x:v>
      </x:c>
      <x:c r="E288" s="9" t="n">
        <x:v>26</x:v>
      </x:c>
      <x:c r="F288" s="9" t="n">
        <x:v>0</x:v>
      </x:c>
      <x:c r="G288" s="11" t="n">
        <x:f>SUM(D288:F288)</x:f>
        <x:v>20797</x:v>
      </x:c>
      <x:c r="H288" s="10" t="n">
        <x:v>0.92</x:v>
      </x:c>
      <x:c r="I288" s="11" t="n">
        <x:f>IF(ISNUMBER(H288),ROUND(D288*H288,2),NA())</x:f>
        <x:v>19109.32</x:v>
      </x:c>
      <x:c r="J288" s="2" t="str">
        <x:v>Regelbestand laut Verkäufer</x:v>
      </x:c>
      <x:c r="K288" s="2" t="str">
        <x:v>Export KREDIT-ERF-20260930, Einzelbelege nicht im Datenraum</x:v>
      </x:c>
    </x:row>
    <x:row r="289" ht="22" customHeight="1">
      <x:c r="A289" s="2" t="str">
        <x:v>APB-0284</x:v>
      </x:c>
      <x:c r="B289" s="2" t="str">
        <x:v>Bestandskunde 0284</x:v>
      </x:c>
      <x:c r="C289" s="2" t="str">
        <x:v>Nur Verkäuferexport</x:v>
      </x:c>
      <x:c r="D289" s="9" t="n">
        <x:v>20908</x:v>
      </x:c>
      <x:c r="E289" s="9" t="n">
        <x:v>32.5</x:v>
      </x:c>
      <x:c r="F289" s="9" t="n">
        <x:v>0</x:v>
      </x:c>
      <x:c r="G289" s="11" t="n">
        <x:f>SUM(D289:F289)</x:f>
        <x:v>20940.5</x:v>
      </x:c>
      <x:c r="H289" s="10" t="n">
        <x:v>0.92</x:v>
      </x:c>
      <x:c r="I289" s="11" t="n">
        <x:f>IF(ISNUMBER(H289),ROUND(D289*H289,2),NA())</x:f>
        <x:v>19235.36</x:v>
      </x:c>
      <x:c r="J289" s="2" t="str">
        <x:v>Regelbestand laut Verkäufer</x:v>
      </x:c>
      <x:c r="K289" s="2" t="str">
        <x:v>Export KREDIT-ERF-20260930, Einzelbelege nicht im Datenraum</x:v>
      </x:c>
    </x:row>
    <x:row r="290" ht="22" customHeight="1">
      <x:c r="A290" s="2" t="str">
        <x:v>APB-0285</x:v>
      </x:c>
      <x:c r="B290" s="2" t="str">
        <x:v>Bestandskunde 0285</x:v>
      </x:c>
      <x:c r="C290" s="2" t="str">
        <x:v>Nur Verkäuferexport</x:v>
      </x:c>
      <x:c r="D290" s="9" t="n">
        <x:v>21045</x:v>
      </x:c>
      <x:c r="E290" s="9" t="n">
        <x:v>39</x:v>
      </x:c>
      <x:c r="F290" s="9" t="n">
        <x:v>0</x:v>
      </x:c>
      <x:c r="G290" s="11" t="n">
        <x:f>SUM(D290:F290)</x:f>
        <x:v>21084</x:v>
      </x:c>
      <x:c r="H290" s="10" t="n">
        <x:v>0.92</x:v>
      </x:c>
      <x:c r="I290" s="11" t="n">
        <x:f>IF(ISNUMBER(H290),ROUND(D290*H290,2),NA())</x:f>
        <x:v>19361.4</x:v>
      </x:c>
      <x:c r="J290" s="2" t="str">
        <x:v>Regelbestand laut Verkäufer</x:v>
      </x:c>
      <x:c r="K290" s="2" t="str">
        <x:v>Export KREDIT-ERF-20260930, Einzelbelege nicht im Datenraum</x:v>
      </x:c>
    </x:row>
    <x:row r="291" ht="22" customHeight="1">
      <x:c r="A291" s="2" t="str">
        <x:v>APB-0286</x:v>
      </x:c>
      <x:c r="B291" s="2" t="str">
        <x:v>Bestandskunde 0286</x:v>
      </x:c>
      <x:c r="C291" s="2" t="str">
        <x:v>Nur Verkäuferexport</x:v>
      </x:c>
      <x:c r="D291" s="9" t="n">
        <x:v>21182</x:v>
      </x:c>
      <x:c r="E291" s="9" t="n">
        <x:v>45.5</x:v>
      </x:c>
      <x:c r="F291" s="9" t="n">
        <x:v>0</x:v>
      </x:c>
      <x:c r="G291" s="11" t="n">
        <x:f>SUM(D291:F291)</x:f>
        <x:v>21227.5</x:v>
      </x:c>
      <x:c r="H291" s="10" t="n">
        <x:v>0.92</x:v>
      </x:c>
      <x:c r="I291" s="11" t="n">
        <x:f>IF(ISNUMBER(H291),ROUND(D291*H291,2),NA())</x:f>
        <x:v>19487.44</x:v>
      </x:c>
      <x:c r="J291" s="2" t="str">
        <x:v>Regelbestand laut Verkäufer</x:v>
      </x:c>
      <x:c r="K291" s="2" t="str">
        <x:v>Export KREDIT-ERF-20260930, Einzelbelege nicht im Datenraum</x:v>
      </x:c>
    </x:row>
    <x:row r="292" ht="22" customHeight="1">
      <x:c r="A292" s="2" t="str">
        <x:v>APB-0287</x:v>
      </x:c>
      <x:c r="B292" s="2" t="str">
        <x:v>Bestandskunde 0287</x:v>
      </x:c>
      <x:c r="C292" s="2" t="str">
        <x:v>Nur Verkäuferexport</x:v>
      </x:c>
      <x:c r="D292" s="9" t="n">
        <x:v>21319</x:v>
      </x:c>
      <x:c r="E292" s="9" t="n">
        <x:v>52</x:v>
      </x:c>
      <x:c r="F292" s="9" t="n">
        <x:v>0</x:v>
      </x:c>
      <x:c r="G292" s="11" t="n">
        <x:f>SUM(D292:F292)</x:f>
        <x:v>21371</x:v>
      </x:c>
      <x:c r="H292" s="10" t="n">
        <x:v>0.92</x:v>
      </x:c>
      <x:c r="I292" s="11" t="n">
        <x:f>IF(ISNUMBER(H292),ROUND(D292*H292,2),NA())</x:f>
        <x:v>19613.48</x:v>
      </x:c>
      <x:c r="J292" s="2" t="str">
        <x:v>Regelbestand laut Verkäufer</x:v>
      </x:c>
      <x:c r="K292" s="2" t="str">
        <x:v>Export KREDIT-ERF-20260930, Einzelbelege nicht im Datenraum</x:v>
      </x:c>
    </x:row>
    <x:row r="293" ht="22" customHeight="1">
      <x:c r="A293" s="2" t="str">
        <x:v>APB-0288</x:v>
      </x:c>
      <x:c r="B293" s="2" t="str">
        <x:v>Bestandskunde 0288</x:v>
      </x:c>
      <x:c r="C293" s="2" t="str">
        <x:v>Nur Verkäuferexport</x:v>
      </x:c>
      <x:c r="D293" s="9" t="n">
        <x:v>21456</x:v>
      </x:c>
      <x:c r="E293" s="9" t="n">
        <x:v>0</x:v>
      </x:c>
      <x:c r="F293" s="9" t="n">
        <x:v>0</x:v>
      </x:c>
      <x:c r="G293" s="11" t="n">
        <x:f>SUM(D293:F293)</x:f>
        <x:v>21456</x:v>
      </x:c>
      <x:c r="H293" s="10" t="n">
        <x:v>0.92</x:v>
      </x:c>
      <x:c r="I293" s="11" t="n">
        <x:f>IF(ISNUMBER(H293),ROUND(D293*H293,2),NA())</x:f>
        <x:v>19739.52</x:v>
      </x:c>
      <x:c r="J293" s="2" t="str">
        <x:v>Regelbestand laut Verkäufer</x:v>
      </x:c>
      <x:c r="K293" s="2" t="str">
        <x:v>Export KREDIT-ERF-20260930, Einzelbelege nicht im Datenraum</x:v>
      </x:c>
    </x:row>
    <x:row r="294" ht="22" customHeight="1">
      <x:c r="A294" s="2" t="str">
        <x:v>APB-0289</x:v>
      </x:c>
      <x:c r="B294" s="2" t="str">
        <x:v>Bestandskunde 0289</x:v>
      </x:c>
      <x:c r="C294" s="2" t="str">
        <x:v>Nur Verkäuferexport</x:v>
      </x:c>
      <x:c r="D294" s="9" t="n">
        <x:v>21593</x:v>
      </x:c>
      <x:c r="E294" s="9" t="n">
        <x:v>6.5</x:v>
      </x:c>
      <x:c r="F294" s="9" t="n">
        <x:v>0</x:v>
      </x:c>
      <x:c r="G294" s="11" t="n">
        <x:f>SUM(D294:F294)</x:f>
        <x:v>21599.5</x:v>
      </x:c>
      <x:c r="H294" s="10" t="n">
        <x:v>0.92</x:v>
      </x:c>
      <x:c r="I294" s="11" t="n">
        <x:f>IF(ISNUMBER(H294),ROUND(D294*H294,2),NA())</x:f>
        <x:v>19865.56</x:v>
      </x:c>
      <x:c r="J294" s="2" t="str">
        <x:v>Regelbestand laut Verkäufer</x:v>
      </x:c>
      <x:c r="K294" s="2" t="str">
        <x:v>Export KREDIT-ERF-20260930, Einzelbelege nicht im Datenraum</x:v>
      </x:c>
    </x:row>
    <x:row r="295" ht="22" customHeight="1">
      <x:c r="A295" s="2" t="str">
        <x:v>APB-0290</x:v>
      </x:c>
      <x:c r="B295" s="2" t="str">
        <x:v>Bestandskunde 0290</x:v>
      </x:c>
      <x:c r="C295" s="2" t="str">
        <x:v>Nur Verkäuferexport</x:v>
      </x:c>
      <x:c r="D295" s="9" t="n">
        <x:v>21730</x:v>
      </x:c>
      <x:c r="E295" s="9" t="n">
        <x:v>13</x:v>
      </x:c>
      <x:c r="F295" s="9" t="n">
        <x:v>15</x:v>
      </x:c>
      <x:c r="G295" s="11" t="n">
        <x:f>SUM(D295:F295)</x:f>
        <x:v>21758</x:v>
      </x:c>
      <x:c r="H295" s="10" t="n">
        <x:v>0.92</x:v>
      </x:c>
      <x:c r="I295" s="11" t="n">
        <x:f>IF(ISNUMBER(H295),ROUND(D295*H295,2),NA())</x:f>
        <x:v>19991.6</x:v>
      </x:c>
      <x:c r="J295" s="2" t="str">
        <x:v>Zahlungslücke im Export</x:v>
      </x:c>
      <x:c r="K295" s="2" t="str">
        <x:v>Export KREDIT-ERF-20260930, Einzelbelege nicht im Datenraum</x:v>
      </x:c>
    </x:row>
    <x:row r="296" ht="22" customHeight="1">
      <x:c r="A296" s="2" t="str">
        <x:v>APB-0291</x:v>
      </x:c>
      <x:c r="B296" s="2" t="str">
        <x:v>Bestandskunde 0291</x:v>
      </x:c>
      <x:c r="C296" s="2" t="str">
        <x:v>Nur Verkäuferexport</x:v>
      </x:c>
      <x:c r="D296" s="9" t="n">
        <x:v>21867</x:v>
      </x:c>
      <x:c r="E296" s="9" t="n">
        <x:v>19.5</x:v>
      </x:c>
      <x:c r="F296" s="9" t="n">
        <x:v>0</x:v>
      </x:c>
      <x:c r="G296" s="11" t="n">
        <x:f>SUM(D296:F296)</x:f>
        <x:v>21886.5</x:v>
      </x:c>
      <x:c r="H296" s="10" t="n">
        <x:v>0.92</x:v>
      </x:c>
      <x:c r="I296" s="11" t="n">
        <x:f>IF(ISNUMBER(H296),ROUND(D296*H296,2),NA())</x:f>
        <x:v>20117.64</x:v>
      </x:c>
      <x:c r="J296" s="2" t="str">
        <x:v>Regelbestand laut Verkäufer</x:v>
      </x:c>
      <x:c r="K296" s="2" t="str">
        <x:v>Export KREDIT-ERF-20260930, Einzelbelege nicht im Datenraum</x:v>
      </x:c>
    </x:row>
    <x:row r="297" ht="22" customHeight="1">
      <x:c r="A297" s="2" t="str">
        <x:v>APB-0292</x:v>
      </x:c>
      <x:c r="B297" s="2" t="str">
        <x:v>Bestandskunde 0292</x:v>
      </x:c>
      <x:c r="C297" s="2" t="str">
        <x:v>Nur Verkäuferexport</x:v>
      </x:c>
      <x:c r="D297" s="9" t="n">
        <x:v>22004</x:v>
      </x:c>
      <x:c r="E297" s="9" t="n">
        <x:v>26</x:v>
      </x:c>
      <x:c r="F297" s="9" t="n">
        <x:v>0</x:v>
      </x:c>
      <x:c r="G297" s="11" t="n">
        <x:f>SUM(D297:F297)</x:f>
        <x:v>22030</x:v>
      </x:c>
      <x:c r="H297" s="10" t="n">
        <x:v>0.92</x:v>
      </x:c>
      <x:c r="I297" s="11" t="n">
        <x:f>IF(ISNUMBER(H297),ROUND(D297*H297,2),NA())</x:f>
        <x:v>20243.68</x:v>
      </x:c>
      <x:c r="J297" s="2" t="str">
        <x:v>Regelbestand laut Verkäufer</x:v>
      </x:c>
      <x:c r="K297" s="2" t="str">
        <x:v>Export KREDIT-ERF-20260930, Einzelbelege nicht im Datenraum</x:v>
      </x:c>
    </x:row>
    <x:row r="298" ht="22" customHeight="1">
      <x:c r="A298" s="2" t="str">
        <x:v>APB-0293</x:v>
      </x:c>
      <x:c r="B298" s="2" t="str">
        <x:v>Bestandskunde 0293</x:v>
      </x:c>
      <x:c r="C298" s="2" t="str">
        <x:v>Nur Verkäuferexport</x:v>
      </x:c>
      <x:c r="D298" s="9" t="n">
        <x:v>22141</x:v>
      </x:c>
      <x:c r="E298" s="9" t="n">
        <x:v>32.5</x:v>
      </x:c>
      <x:c r="F298" s="9" t="n">
        <x:v>0</x:v>
      </x:c>
      <x:c r="G298" s="11" t="n">
        <x:f>SUM(D298:F298)</x:f>
        <x:v>22173.5</x:v>
      </x:c>
      <x:c r="H298" s="10" t="n">
        <x:v>0.92</x:v>
      </x:c>
      <x:c r="I298" s="11" t="n">
        <x:f>IF(ISNUMBER(H298),ROUND(D298*H298,2),NA())</x:f>
        <x:v>20369.72</x:v>
      </x:c>
      <x:c r="J298" s="2" t="str">
        <x:v>Regelbestand laut Verkäufer</x:v>
      </x:c>
      <x:c r="K298" s="2" t="str">
        <x:v>Export KREDIT-ERF-20260930, Einzelbelege nicht im Datenraum</x:v>
      </x:c>
    </x:row>
    <x:row r="299" ht="22" customHeight="1">
      <x:c r="A299" s="2" t="str">
        <x:v>APB-0294</x:v>
      </x:c>
      <x:c r="B299" s="2" t="str">
        <x:v>Bestandskunde 0294</x:v>
      </x:c>
      <x:c r="C299" s="2" t="str">
        <x:v>Nur Verkäuferexport</x:v>
      </x:c>
      <x:c r="D299" s="9" t="n">
        <x:v>22278</x:v>
      </x:c>
      <x:c r="E299" s="9" t="n">
        <x:v>39</x:v>
      </x:c>
      <x:c r="F299" s="9" t="n">
        <x:v>0</x:v>
      </x:c>
      <x:c r="G299" s="11" t="n">
        <x:f>SUM(D299:F299)</x:f>
        <x:v>22317</x:v>
      </x:c>
      <x:c r="H299" s="10" t="n">
        <x:v>0.92</x:v>
      </x:c>
      <x:c r="I299" s="11" t="n">
        <x:f>IF(ISNUMBER(H299),ROUND(D299*H299,2),NA())</x:f>
        <x:v>20495.76</x:v>
      </x:c>
      <x:c r="J299" s="2" t="str">
        <x:v>Regelbestand laut Verkäufer</x:v>
      </x:c>
      <x:c r="K299" s="2" t="str">
        <x:v>Export KREDIT-ERF-20260930, Einzelbelege nicht im Datenraum</x:v>
      </x:c>
    </x:row>
    <x:row r="300" ht="22" customHeight="1">
      <x:c r="A300" s="2" t="str">
        <x:v>APB-0295</x:v>
      </x:c>
      <x:c r="B300" s="2" t="str">
        <x:v>Bestandskunde 0295</x:v>
      </x:c>
      <x:c r="C300" s="2" t="str">
        <x:v>Nur Verkäuferexport</x:v>
      </x:c>
      <x:c r="D300" s="9" t="n">
        <x:v>22415</x:v>
      </x:c>
      <x:c r="E300" s="9" t="n">
        <x:v>45.5</x:v>
      </x:c>
      <x:c r="F300" s="9" t="n">
        <x:v>0</x:v>
      </x:c>
      <x:c r="G300" s="11" t="n">
        <x:f>SUM(D300:F300)</x:f>
        <x:v>22460.5</x:v>
      </x:c>
      <x:c r="H300" s="10" t="n">
        <x:v>0.92</x:v>
      </x:c>
      <x:c r="I300" s="11" t="n">
        <x:f>IF(ISNUMBER(H300),ROUND(D300*H300,2),NA())</x:f>
        <x:v>20621.8</x:v>
      </x:c>
      <x:c r="J300" s="2" t="str">
        <x:v>Regelbestand laut Verkäufer</x:v>
      </x:c>
      <x:c r="K300" s="2" t="str">
        <x:v>Export KREDIT-ERF-20260930, Einzelbelege nicht im Datenraum</x:v>
      </x:c>
    </x:row>
    <x:row r="301" ht="22" customHeight="1">
      <x:c r="A301" s="2" t="str">
        <x:v>APB-0296</x:v>
      </x:c>
      <x:c r="B301" s="2" t="str">
        <x:v>Bestandskunde 0296</x:v>
      </x:c>
      <x:c r="C301" s="2" t="str">
        <x:v>Nur Verkäuferexport</x:v>
      </x:c>
      <x:c r="D301" s="9" t="n">
        <x:v>22552</x:v>
      </x:c>
      <x:c r="E301" s="9" t="n">
        <x:v>52</x:v>
      </x:c>
      <x:c r="F301" s="9" t="n">
        <x:v>0</x:v>
      </x:c>
      <x:c r="G301" s="11" t="n">
        <x:f>SUM(D301:F301)</x:f>
        <x:v>22604</x:v>
      </x:c>
      <x:c r="H301" s="10" t="n">
        <x:v>0.92</x:v>
      </x:c>
      <x:c r="I301" s="11" t="n">
        <x:f>IF(ISNUMBER(H301),ROUND(D301*H301,2),NA())</x:f>
        <x:v>20747.84</x:v>
      </x:c>
      <x:c r="J301" s="2" t="str">
        <x:v>Regelbestand laut Verkäufer</x:v>
      </x:c>
      <x:c r="K301" s="2" t="str">
        <x:v>Export KREDIT-ERF-20260930, Einzelbelege nicht im Datenraum</x:v>
      </x:c>
    </x:row>
    <x:row r="302" ht="22" customHeight="1">
      <x:c r="A302" s="2" t="str">
        <x:v>APB-0297</x:v>
      </x:c>
      <x:c r="B302" s="2" t="str">
        <x:v>Bestandskunde 0297</x:v>
      </x:c>
      <x:c r="C302" s="2" t="str">
        <x:v>Nur Verkäuferexport</x:v>
      </x:c>
      <x:c r="D302" s="9" t="n">
        <x:v>22689</x:v>
      </x:c>
      <x:c r="E302" s="9" t="n">
        <x:v>0</x:v>
      </x:c>
      <x:c r="F302" s="9" t="n">
        <x:v>0</x:v>
      </x:c>
      <x:c r="G302" s="11" t="n">
        <x:f>SUM(D302:F302)</x:f>
        <x:v>22689</x:v>
      </x:c>
      <x:c r="H302" s="10" t="n">
        <x:v>0.92</x:v>
      </x:c>
      <x:c r="I302" s="11" t="n">
        <x:f>IF(ISNUMBER(H302),ROUND(D302*H302,2),NA())</x:f>
        <x:v>20873.88</x:v>
      </x:c>
      <x:c r="J302" s="2" t="str">
        <x:v>Regelbestand laut Verkäufer</x:v>
      </x:c>
      <x:c r="K302" s="2" t="str">
        <x:v>Export KREDIT-ERF-20260930, Einzelbelege nicht im Datenraum</x:v>
      </x:c>
    </x:row>
    <x:row r="303" ht="22" customHeight="1">
      <x:c r="A303" s="2" t="str">
        <x:v>APB-0298</x:v>
      </x:c>
      <x:c r="B303" s="2" t="str">
        <x:v>Bestandskunde 0298</x:v>
      </x:c>
      <x:c r="C303" s="2" t="str">
        <x:v>Nur Verkäuferexport</x:v>
      </x:c>
      <x:c r="D303" s="9" t="n">
        <x:v>22826</x:v>
      </x:c>
      <x:c r="E303" s="9" t="n">
        <x:v>6.5</x:v>
      </x:c>
      <x:c r="F303" s="9" t="n">
        <x:v>0</x:v>
      </x:c>
      <x:c r="G303" s="11" t="n">
        <x:f>SUM(D303:F303)</x:f>
        <x:v>22832.5</x:v>
      </x:c>
      <x:c r="H303" s="10" t="n">
        <x:v>0.92</x:v>
      </x:c>
      <x:c r="I303" s="11" t="n">
        <x:f>IF(ISNUMBER(H303),ROUND(D303*H303,2),NA())</x:f>
        <x:v>20999.92</x:v>
      </x:c>
      <x:c r="J303" s="2" t="str">
        <x:v>Regelbestand laut Verkäufer</x:v>
      </x:c>
      <x:c r="K303" s="2" t="str">
        <x:v>Export KREDIT-ERF-20260930, Einzelbelege nicht im Datenraum</x:v>
      </x:c>
    </x:row>
    <x:row r="304" ht="22" customHeight="1">
      <x:c r="A304" s="2" t="str">
        <x:v>APB-0299</x:v>
      </x:c>
      <x:c r="B304" s="2" t="str">
        <x:v>Bestandskunde 0299</x:v>
      </x:c>
      <x:c r="C304" s="2" t="str">
        <x:v>Nur Verkäuferexport</x:v>
      </x:c>
      <x:c r="D304" s="9" t="n">
        <x:v>22963</x:v>
      </x:c>
      <x:c r="E304" s="9" t="n">
        <x:v>13</x:v>
      </x:c>
      <x:c r="F304" s="9" t="n">
        <x:v>0</x:v>
      </x:c>
      <x:c r="G304" s="11" t="n">
        <x:f>SUM(D304:F304)</x:f>
        <x:v>22976</x:v>
      </x:c>
      <x:c r="H304" s="10" t="n">
        <x:v>0.92</x:v>
      </x:c>
      <x:c r="I304" s="11" t="n">
        <x:f>IF(ISNUMBER(H304),ROUND(D304*H304,2),NA())</x:f>
        <x:v>21125.96</x:v>
      </x:c>
      <x:c r="J304" s="2" t="str">
        <x:v>Regelbestand laut Verkäufer</x:v>
      </x:c>
      <x:c r="K304" s="2" t="str">
        <x:v>Export KREDIT-ERF-20260930, Einzelbelege nicht im Datenraum</x:v>
      </x:c>
    </x:row>
    <x:row r="305" ht="22" customHeight="1">
      <x:c r="A305" s="2" t="str">
        <x:v>APB-0300</x:v>
      </x:c>
      <x:c r="B305" s="2" t="str">
        <x:v>Bestandskunde 0300</x:v>
      </x:c>
      <x:c r="C305" s="2" t="str">
        <x:v>Nur Verkäuferexport</x:v>
      </x:c>
      <x:c r="D305" s="9" t="n">
        <x:v>23100</x:v>
      </x:c>
      <x:c r="E305" s="9" t="n">
        <x:v>19.5</x:v>
      </x:c>
      <x:c r="F305" s="9" t="n">
        <x:v>0</x:v>
      </x:c>
      <x:c r="G305" s="11" t="n">
        <x:f>SUM(D305:F305)</x:f>
        <x:v>23119.5</x:v>
      </x:c>
      <x:c r="H305" s="10" t="n">
        <x:v>0.92</x:v>
      </x:c>
      <x:c r="I305" s="11" t="n">
        <x:f>IF(ISNUMBER(H305),ROUND(D305*H305,2),NA())</x:f>
        <x:v>21252</x:v>
      </x:c>
      <x:c r="J305" s="2" t="str">
        <x:v>Regelbestand laut Verkäufer</x:v>
      </x:c>
      <x:c r="K305" s="2" t="str">
        <x:v>Export KREDIT-ERF-20260930, Einzelbelege nicht im Datenraum</x:v>
      </x:c>
    </x:row>
    <x:row r="306" ht="22" customHeight="1">
      <x:c r="A306" s="2" t="str">
        <x:v>APB-0301</x:v>
      </x:c>
      <x:c r="B306" s="2" t="str">
        <x:v>Bestandskunde 0301</x:v>
      </x:c>
      <x:c r="C306" s="2" t="str">
        <x:v>Nur Verkäuferexport</x:v>
      </x:c>
      <x:c r="D306" s="9" t="n">
        <x:v>23237</x:v>
      </x:c>
      <x:c r="E306" s="9" t="n">
        <x:v>26</x:v>
      </x:c>
      <x:c r="F306" s="9" t="n">
        <x:v>0</x:v>
      </x:c>
      <x:c r="G306" s="11" t="n">
        <x:f>SUM(D306:F306)</x:f>
        <x:v>23263</x:v>
      </x:c>
      <x:c r="H306" s="10" t="n">
        <x:v>0.92</x:v>
      </x:c>
      <x:c r="I306" s="11" t="n">
        <x:f>IF(ISNUMBER(H306),ROUND(D306*H306,2),NA())</x:f>
        <x:v>21378.04</x:v>
      </x:c>
      <x:c r="J306" s="2" t="str">
        <x:v>Regelbestand laut Verkäufer</x:v>
      </x:c>
      <x:c r="K306" s="2" t="str">
        <x:v>Export KREDIT-ERF-20260930, Einzelbelege nicht im Datenraum</x:v>
      </x:c>
    </x:row>
    <x:row r="307" ht="22" customHeight="1">
      <x:c r="A307" s="2" t="str">
        <x:v>APB-0302</x:v>
      </x:c>
      <x:c r="B307" s="2" t="str">
        <x:v>Bestandskunde 0302</x:v>
      </x:c>
      <x:c r="C307" s="2" t="str">
        <x:v>Nur Verkäuferexport</x:v>
      </x:c>
      <x:c r="D307" s="9" t="n">
        <x:v>23374</x:v>
      </x:c>
      <x:c r="E307" s="9" t="n">
        <x:v>32.5</x:v>
      </x:c>
      <x:c r="F307" s="9" t="n">
        <x:v>0</x:v>
      </x:c>
      <x:c r="G307" s="11" t="n">
        <x:f>SUM(D307:F307)</x:f>
        <x:v>23406.5</x:v>
      </x:c>
      <x:c r="H307" s="10" t="n">
        <x:v>0.92</x:v>
      </x:c>
      <x:c r="I307" s="11" t="n">
        <x:f>IF(ISNUMBER(H307),ROUND(D307*H307,2),NA())</x:f>
        <x:v>21504.08</x:v>
      </x:c>
      <x:c r="J307" s="2" t="str">
        <x:v>Regelbestand laut Verkäufer</x:v>
      </x:c>
      <x:c r="K307" s="2" t="str">
        <x:v>Export KREDIT-ERF-20260930, Einzelbelege nicht im Datenraum</x:v>
      </x:c>
    </x:row>
    <x:row r="308" ht="22" customHeight="1">
      <x:c r="A308" s="2" t="str">
        <x:v>APB-0303</x:v>
      </x:c>
      <x:c r="B308" s="2" t="str">
        <x:v>Bestandskunde 0303</x:v>
      </x:c>
      <x:c r="C308" s="2" t="str">
        <x:v>Nur Verkäuferexport</x:v>
      </x:c>
      <x:c r="D308" s="9" t="n">
        <x:v>23511</x:v>
      </x:c>
      <x:c r="E308" s="9" t="n">
        <x:v>39</x:v>
      </x:c>
      <x:c r="F308" s="9" t="n">
        <x:v>0</x:v>
      </x:c>
      <x:c r="G308" s="11" t="n">
        <x:f>SUM(D308:F308)</x:f>
        <x:v>23550</x:v>
      </x:c>
      <x:c r="H308" s="10" t="n">
        <x:v>0.92</x:v>
      </x:c>
      <x:c r="I308" s="11" t="n">
        <x:f>IF(ISNUMBER(H308),ROUND(D308*H308,2),NA())</x:f>
        <x:v>21630.12</x:v>
      </x:c>
      <x:c r="J308" s="2" t="str">
        <x:v>Regelbestand laut Verkäufer</x:v>
      </x:c>
      <x:c r="K308" s="2" t="str">
        <x:v>Export KREDIT-ERF-20260930, Einzelbelege nicht im Datenraum</x:v>
      </x:c>
    </x:row>
    <x:row r="309" ht="22" customHeight="1">
      <x:c r="A309" s="2" t="str">
        <x:v>APB-0304</x:v>
      </x:c>
      <x:c r="B309" s="2" t="str">
        <x:v>Bestandskunde 0304</x:v>
      </x:c>
      <x:c r="C309" s="2" t="str">
        <x:v>Nur Verkäuferexport</x:v>
      </x:c>
      <x:c r="D309" s="9" t="n">
        <x:v>23648</x:v>
      </x:c>
      <x:c r="E309" s="9" t="n">
        <x:v>45.5</x:v>
      </x:c>
      <x:c r="F309" s="9" t="n">
        <x:v>0</x:v>
      </x:c>
      <x:c r="G309" s="11" t="n">
        <x:f>SUM(D309:F309)</x:f>
        <x:v>23693.5</x:v>
      </x:c>
      <x:c r="H309" s="10" t="n">
        <x:v>0.92</x:v>
      </x:c>
      <x:c r="I309" s="11" t="n">
        <x:f>IF(ISNUMBER(H309),ROUND(D309*H309,2),NA())</x:f>
        <x:v>21756.16</x:v>
      </x:c>
      <x:c r="J309" s="2" t="str">
        <x:v>Regelbestand laut Verkäufer</x:v>
      </x:c>
      <x:c r="K309" s="2" t="str">
        <x:v>Export KREDIT-ERF-20260930, Einzelbelege nicht im Datenraum</x:v>
      </x:c>
    </x:row>
    <x:row r="310" ht="22" customHeight="1">
      <x:c r="A310" s="2" t="str">
        <x:v>APB-0305</x:v>
      </x:c>
      <x:c r="B310" s="2" t="str">
        <x:v>Bestandskunde 0305</x:v>
      </x:c>
      <x:c r="C310" s="2" t="str">
        <x:v>Nur Verkäuferexport</x:v>
      </x:c>
      <x:c r="D310" s="9" t="n">
        <x:v>23785</x:v>
      </x:c>
      <x:c r="E310" s="9" t="n">
        <x:v>52</x:v>
      </x:c>
      <x:c r="F310" s="9" t="n">
        <x:v>0</x:v>
      </x:c>
      <x:c r="G310" s="11" t="n">
        <x:f>SUM(D310:F310)</x:f>
        <x:v>23837</x:v>
      </x:c>
      <x:c r="H310" s="10" t="n">
        <x:v>0.92</x:v>
      </x:c>
      <x:c r="I310" s="11" t="n">
        <x:f>IF(ISNUMBER(H310),ROUND(D310*H310,2),NA())</x:f>
        <x:v>21882.2</x:v>
      </x:c>
      <x:c r="J310" s="2" t="str">
        <x:v>Regelbestand laut Verkäufer</x:v>
      </x:c>
      <x:c r="K310" s="2" t="str">
        <x:v>Export KREDIT-ERF-20260930, Einzelbelege nicht im Datenraum</x:v>
      </x:c>
    </x:row>
    <x:row r="311" ht="22" customHeight="1">
      <x:c r="A311" s="2" t="str">
        <x:v>APB-0306</x:v>
      </x:c>
      <x:c r="B311" s="2" t="str">
        <x:v>Bestandskunde 0306</x:v>
      </x:c>
      <x:c r="C311" s="2" t="str">
        <x:v>Nur Verkäuferexport</x:v>
      </x:c>
      <x:c r="D311" s="9" t="n">
        <x:v>23922</x:v>
      </x:c>
      <x:c r="E311" s="9" t="n">
        <x:v>0</x:v>
      </x:c>
      <x:c r="F311" s="9" t="n">
        <x:v>0</x:v>
      </x:c>
      <x:c r="G311" s="11" t="n">
        <x:f>SUM(D311:F311)</x:f>
        <x:v>23922</x:v>
      </x:c>
      <x:c r="H311" s="10" t="n">
        <x:v>0.92</x:v>
      </x:c>
      <x:c r="I311" s="11" t="n">
        <x:f>IF(ISNUMBER(H311),ROUND(D311*H311,2),NA())</x:f>
        <x:v>22008.24</x:v>
      </x:c>
      <x:c r="J311" s="2" t="str">
        <x:v>Regelbestand laut Verkäufer</x:v>
      </x:c>
      <x:c r="K311" s="2" t="str">
        <x:v>Export KREDIT-ERF-20260930, Einzelbelege nicht im Datenraum</x:v>
      </x:c>
    </x:row>
    <x:row r="312" ht="22" customHeight="1">
      <x:c r="A312" s="2" t="str">
        <x:v>APB-0307</x:v>
      </x:c>
      <x:c r="B312" s="2" t="str">
        <x:v>Bestandskunde 0307</x:v>
      </x:c>
      <x:c r="C312" s="2" t="str">
        <x:v>Nur Verkäuferexport</x:v>
      </x:c>
      <x:c r="D312" s="9" t="n">
        <x:v>24059</x:v>
      </x:c>
      <x:c r="E312" s="9" t="n">
        <x:v>6.5</x:v>
      </x:c>
      <x:c r="F312" s="9" t="n">
        <x:v>0</x:v>
      </x:c>
      <x:c r="G312" s="11" t="n">
        <x:f>SUM(D312:F312)</x:f>
        <x:v>24065.5</x:v>
      </x:c>
      <x:c r="H312" s="10" t="n">
        <x:v>0.92</x:v>
      </x:c>
      <x:c r="I312" s="11" t="n">
        <x:f>IF(ISNUMBER(H312),ROUND(D312*H312,2),NA())</x:f>
        <x:v>22134.28</x:v>
      </x:c>
      <x:c r="J312" s="2" t="str">
        <x:v>Regelbestand laut Verkäufer</x:v>
      </x:c>
      <x:c r="K312" s="2" t="str">
        <x:v>Export KREDIT-ERF-20260930, Einzelbelege nicht im Datenraum</x:v>
      </x:c>
    </x:row>
    <x:row r="313" ht="22" customHeight="1">
      <x:c r="A313" s="2" t="str">
        <x:v>APB-0308</x:v>
      </x:c>
      <x:c r="B313" s="2" t="str">
        <x:v>Bestandskunde 0308</x:v>
      </x:c>
      <x:c r="C313" s="2" t="str">
        <x:v>Nur Verkäuferexport</x:v>
      </x:c>
      <x:c r="D313" s="9" t="n">
        <x:v>24196</x:v>
      </x:c>
      <x:c r="E313" s="9" t="n">
        <x:v>13</x:v>
      </x:c>
      <x:c r="F313" s="9" t="n">
        <x:v>0</x:v>
      </x:c>
      <x:c r="G313" s="11" t="n">
        <x:f>SUM(D313:F313)</x:f>
        <x:v>24209</x:v>
      </x:c>
      <x:c r="H313" s="10" t="n">
        <x:v>0.92</x:v>
      </x:c>
      <x:c r="I313" s="11" t="n">
        <x:f>IF(ISNUMBER(H313),ROUND(D313*H313,2),NA())</x:f>
        <x:v>22260.32</x:v>
      </x:c>
      <x:c r="J313" s="2" t="str">
        <x:v>Regelbestand laut Verkäufer</x:v>
      </x:c>
      <x:c r="K313" s="2" t="str">
        <x:v>Export KREDIT-ERF-20260930, Einzelbelege nicht im Datenraum</x:v>
      </x:c>
    </x:row>
    <x:row r="314" ht="22" customHeight="1">
      <x:c r="A314" s="2" t="str">
        <x:v>APB-0309</x:v>
      </x:c>
      <x:c r="B314" s="2" t="str">
        <x:v>Bestandskunde 0309</x:v>
      </x:c>
      <x:c r="C314" s="2" t="str">
        <x:v>Nur Verkäuferexport</x:v>
      </x:c>
      <x:c r="D314" s="9" t="n">
        <x:v>24333</x:v>
      </x:c>
      <x:c r="E314" s="9" t="n">
        <x:v>19.5</x:v>
      </x:c>
      <x:c r="F314" s="9" t="n">
        <x:v>0</x:v>
      </x:c>
      <x:c r="G314" s="11" t="n">
        <x:f>SUM(D314:F314)</x:f>
        <x:v>24352.5</x:v>
      </x:c>
      <x:c r="H314" s="10" t="n">
        <x:v>0.92</x:v>
      </x:c>
      <x:c r="I314" s="11" t="n">
        <x:f>IF(ISNUMBER(H314),ROUND(D314*H314,2),NA())</x:f>
        <x:v>22386.36</x:v>
      </x:c>
      <x:c r="J314" s="2" t="str">
        <x:v>Regelbestand laut Verkäufer</x:v>
      </x:c>
      <x:c r="K314" s="2" t="str">
        <x:v>Export KREDIT-ERF-20260930, Einzelbelege nicht im Datenraum</x:v>
      </x:c>
    </x:row>
    <x:row r="315" ht="22" customHeight="1">
      <x:c r="A315" s="2" t="str">
        <x:v>APB-0310</x:v>
      </x:c>
      <x:c r="B315" s="2" t="str">
        <x:v>Bestandskunde 0310</x:v>
      </x:c>
      <x:c r="C315" s="2" t="str">
        <x:v>Nur Verkäuferexport</x:v>
      </x:c>
      <x:c r="D315" s="9" t="n">
        <x:v>24470</x:v>
      </x:c>
      <x:c r="E315" s="9" t="n">
        <x:v>26</x:v>
      </x:c>
      <x:c r="F315" s="9" t="n">
        <x:v>0</x:v>
      </x:c>
      <x:c r="G315" s="11" t="n">
        <x:f>SUM(D315:F315)</x:f>
        <x:v>24496</x:v>
      </x:c>
      <x:c r="H315" s="10" t="n">
        <x:v>0.92</x:v>
      </x:c>
      <x:c r="I315" s="11" t="n">
        <x:f>IF(ISNUMBER(H315),ROUND(D315*H315,2),NA())</x:f>
        <x:v>22512.4</x:v>
      </x:c>
      <x:c r="J315" s="2" t="str">
        <x:v>Regelbestand laut Verkäufer</x:v>
      </x:c>
      <x:c r="K315" s="2" t="str">
        <x:v>Export KREDIT-ERF-20260930, Einzelbelege nicht im Datenraum</x:v>
      </x:c>
    </x:row>
    <x:row r="316" ht="22" customHeight="1">
      <x:c r="A316" s="2" t="str">
        <x:v>APB-0311</x:v>
      </x:c>
      <x:c r="B316" s="2" t="str">
        <x:v>Bestandskunde 0311</x:v>
      </x:c>
      <x:c r="C316" s="2" t="str">
        <x:v>Nur Verkäuferexport</x:v>
      </x:c>
      <x:c r="D316" s="9" t="n">
        <x:v>24607</x:v>
      </x:c>
      <x:c r="E316" s="9" t="n">
        <x:v>32.5</x:v>
      </x:c>
      <x:c r="F316" s="9" t="n">
        <x:v>0</x:v>
      </x:c>
      <x:c r="G316" s="11" t="n">
        <x:f>SUM(D316:F316)</x:f>
        <x:v>24639.5</x:v>
      </x:c>
      <x:c r="H316" s="10" t="n">
        <x:v>0.92</x:v>
      </x:c>
      <x:c r="I316" s="11" t="n">
        <x:f>IF(ISNUMBER(H316),ROUND(D316*H316,2),NA())</x:f>
        <x:v>22638.44</x:v>
      </x:c>
      <x:c r="J316" s="2" t="str">
        <x:v>Regelbestand laut Verkäufer</x:v>
      </x:c>
      <x:c r="K316" s="2" t="str">
        <x:v>Export KREDIT-ERF-20260930, Einzelbelege nicht im Datenraum</x:v>
      </x:c>
    </x:row>
    <x:row r="317" ht="22" customHeight="1">
      <x:c r="A317" s="2" t="str">
        <x:v>APB-0312</x:v>
      </x:c>
      <x:c r="B317" s="2" t="str">
        <x:v>Bestandskunde 0312</x:v>
      </x:c>
      <x:c r="C317" s="2" t="str">
        <x:v>Nur Verkäuferexport</x:v>
      </x:c>
      <x:c r="D317" s="9" t="n">
        <x:v>24744</x:v>
      </x:c>
      <x:c r="E317" s="9" t="n">
        <x:v>39</x:v>
      </x:c>
      <x:c r="F317" s="9" t="n">
        <x:v>0</x:v>
      </x:c>
      <x:c r="G317" s="11" t="n">
        <x:f>SUM(D317:F317)</x:f>
        <x:v>24783</x:v>
      </x:c>
      <x:c r="H317" s="10" t="n">
        <x:v>0.92</x:v>
      </x:c>
      <x:c r="I317" s="11" t="n">
        <x:f>IF(ISNUMBER(H317),ROUND(D317*H317,2),NA())</x:f>
        <x:v>22764.48</x:v>
      </x:c>
      <x:c r="J317" s="2" t="str">
        <x:v>Regelbestand laut Verkäufer</x:v>
      </x:c>
      <x:c r="K317" s="2" t="str">
        <x:v>Export KREDIT-ERF-20260930, Einzelbelege nicht im Datenraum</x:v>
      </x:c>
    </x:row>
    <x:row r="318" ht="22" customHeight="1">
      <x:c r="A318" s="2" t="str">
        <x:v>APB-0313</x:v>
      </x:c>
      <x:c r="B318" s="2" t="str">
        <x:v>Bestandskunde 0313</x:v>
      </x:c>
      <x:c r="C318" s="2" t="str">
        <x:v>Nur Verkäuferexport</x:v>
      </x:c>
      <x:c r="D318" s="9" t="n">
        <x:v>24881</x:v>
      </x:c>
      <x:c r="E318" s="9" t="n">
        <x:v>45.5</x:v>
      </x:c>
      <x:c r="F318" s="9" t="n">
        <x:v>0</x:v>
      </x:c>
      <x:c r="G318" s="11" t="n">
        <x:f>SUM(D318:F318)</x:f>
        <x:v>24926.5</x:v>
      </x:c>
      <x:c r="H318" s="10" t="n">
        <x:v>0.92</x:v>
      </x:c>
      <x:c r="I318" s="11" t="n">
        <x:f>IF(ISNUMBER(H318),ROUND(D318*H318,2),NA())</x:f>
        <x:v>22890.52</x:v>
      </x:c>
      <x:c r="J318" s="2" t="str">
        <x:v>Regelbestand laut Verkäufer</x:v>
      </x:c>
      <x:c r="K318" s="2" t="str">
        <x:v>Export KREDIT-ERF-20260930, Einzelbelege nicht im Datenraum</x:v>
      </x:c>
    </x:row>
    <x:row r="319" ht="22" customHeight="1">
      <x:c r="A319" s="2" t="str">
        <x:v>APB-0314</x:v>
      </x:c>
      <x:c r="B319" s="2" t="str">
        <x:v>Bestandskunde 0314</x:v>
      </x:c>
      <x:c r="C319" s="2" t="str">
        <x:v>Nur Verkäuferexport</x:v>
      </x:c>
      <x:c r="D319" s="9" t="n">
        <x:v>25018</x:v>
      </x:c>
      <x:c r="E319" s="9" t="n">
        <x:v>52</x:v>
      </x:c>
      <x:c r="F319" s="9" t="n">
        <x:v>0</x:v>
      </x:c>
      <x:c r="G319" s="11" t="n">
        <x:f>SUM(D319:F319)</x:f>
        <x:v>25070</x:v>
      </x:c>
      <x:c r="H319" s="10" t="n">
        <x:v>0.92</x:v>
      </x:c>
      <x:c r="I319" s="11" t="n">
        <x:f>IF(ISNUMBER(H319),ROUND(D319*H319,2),NA())</x:f>
        <x:v>23016.56</x:v>
      </x:c>
      <x:c r="J319" s="2" t="str">
        <x:v>Regelbestand laut Verkäufer</x:v>
      </x:c>
      <x:c r="K319" s="2" t="str">
        <x:v>Export KREDIT-ERF-20260930, Einzelbelege nicht im Datenraum</x:v>
      </x:c>
    </x:row>
    <x:row r="320" ht="22" customHeight="1">
      <x:c r="A320" s="2" t="str">
        <x:v>APB-0315</x:v>
      </x:c>
      <x:c r="B320" s="2" t="str">
        <x:v>Bestandskunde 0315</x:v>
      </x:c>
      <x:c r="C320" s="2" t="str">
        <x:v>Nur Verkäuferexport</x:v>
      </x:c>
      <x:c r="D320" s="9" t="n">
        <x:v>25155</x:v>
      </x:c>
      <x:c r="E320" s="9" t="n">
        <x:v>0</x:v>
      </x:c>
      <x:c r="F320" s="9" t="n">
        <x:v>0</x:v>
      </x:c>
      <x:c r="G320" s="11" t="n">
        <x:f>SUM(D320:F320)</x:f>
        <x:v>25155</x:v>
      </x:c>
      <x:c r="H320" s="10" t="n">
        <x:v>0.92</x:v>
      </x:c>
      <x:c r="I320" s="11" t="n">
        <x:f>IF(ISNUMBER(H320),ROUND(D320*H320,2),NA())</x:f>
        <x:v>23142.6</x:v>
      </x:c>
      <x:c r="J320" s="2" t="str">
        <x:v>Regelbestand laut Verkäufer</x:v>
      </x:c>
      <x:c r="K320" s="2" t="str">
        <x:v>Export KREDIT-ERF-20260930, Einzelbelege nicht im Datenraum</x:v>
      </x:c>
    </x:row>
    <x:row r="321" ht="22" customHeight="1">
      <x:c r="A321" s="2" t="str">
        <x:v>APB-0316</x:v>
      </x:c>
      <x:c r="B321" s="2" t="str">
        <x:v>Bestandskunde 0316</x:v>
      </x:c>
      <x:c r="C321" s="2" t="str">
        <x:v>Nur Verkäuferexport</x:v>
      </x:c>
      <x:c r="D321" s="9" t="n">
        <x:v>25292</x:v>
      </x:c>
      <x:c r="E321" s="9" t="n">
        <x:v>6.5</x:v>
      </x:c>
      <x:c r="F321" s="9" t="n">
        <x:v>0</x:v>
      </x:c>
      <x:c r="G321" s="11" t="n">
        <x:f>SUM(D321:F321)</x:f>
        <x:v>25298.5</x:v>
      </x:c>
      <x:c r="H321" s="10" t="n">
        <x:v>0.92</x:v>
      </x:c>
      <x:c r="I321" s="11" t="n">
        <x:f>IF(ISNUMBER(H321),ROUND(D321*H321,2),NA())</x:f>
        <x:v>23268.64</x:v>
      </x:c>
      <x:c r="J321" s="2" t="str">
        <x:v>Regelbestand laut Verkäufer</x:v>
      </x:c>
      <x:c r="K321" s="2" t="str">
        <x:v>Export KREDIT-ERF-20260930, Einzelbelege nicht im Datenraum</x:v>
      </x:c>
    </x:row>
    <x:row r="322" ht="22" customHeight="1">
      <x:c r="A322" s="2" t="str">
        <x:v>APB-0317</x:v>
      </x:c>
      <x:c r="B322" s="2" t="str">
        <x:v>Bestandskunde 0317</x:v>
      </x:c>
      <x:c r="C322" s="2" t="str">
        <x:v>Nur Verkäuferexport</x:v>
      </x:c>
      <x:c r="D322" s="9" t="n">
        <x:v>25429</x:v>
      </x:c>
      <x:c r="E322" s="9" t="n">
        <x:v>13</x:v>
      </x:c>
      <x:c r="F322" s="9" t="n">
        <x:v>0</x:v>
      </x:c>
      <x:c r="G322" s="11" t="n">
        <x:f>SUM(D322:F322)</x:f>
        <x:v>25442</x:v>
      </x:c>
      <x:c r="H322" s="10" t="n">
        <x:v>0.92</x:v>
      </x:c>
      <x:c r="I322" s="11" t="n">
        <x:f>IF(ISNUMBER(H322),ROUND(D322*H322,2),NA())</x:f>
        <x:v>23394.68</x:v>
      </x:c>
      <x:c r="J322" s="2" t="str">
        <x:v>Regelbestand laut Verkäufer</x:v>
      </x:c>
      <x:c r="K322" s="2" t="str">
        <x:v>Export KREDIT-ERF-20260930, Einzelbelege nicht im Datenraum</x:v>
      </x:c>
    </x:row>
    <x:row r="323" ht="22" customHeight="1">
      <x:c r="A323" s="2" t="str">
        <x:v>APB-0318</x:v>
      </x:c>
      <x:c r="B323" s="2" t="str">
        <x:v>Bestandskunde 0318</x:v>
      </x:c>
      <x:c r="C323" s="2" t="str">
        <x:v>Nur Verkäuferexport</x:v>
      </x:c>
      <x:c r="D323" s="9" t="n">
        <x:v>25566</x:v>
      </x:c>
      <x:c r="E323" s="9" t="n">
        <x:v>19.5</x:v>
      </x:c>
      <x:c r="F323" s="9" t="n">
        <x:v>0</x:v>
      </x:c>
      <x:c r="G323" s="11" t="n">
        <x:f>SUM(D323:F323)</x:f>
        <x:v>25585.5</x:v>
      </x:c>
      <x:c r="H323" s="10" t="n">
        <x:v>0.92</x:v>
      </x:c>
      <x:c r="I323" s="11" t="n">
        <x:f>IF(ISNUMBER(H323),ROUND(D323*H323,2),NA())</x:f>
        <x:v>23520.72</x:v>
      </x:c>
      <x:c r="J323" s="2" t="str">
        <x:v>Regelbestand laut Verkäufer</x:v>
      </x:c>
      <x:c r="K323" s="2" t="str">
        <x:v>Export KREDIT-ERF-20260930, Einzelbelege nicht im Datenraum</x:v>
      </x:c>
    </x:row>
    <x:row r="324" ht="22" customHeight="1">
      <x:c r="A324" s="2" t="str">
        <x:v>APB-0319</x:v>
      </x:c>
      <x:c r="B324" s="2" t="str">
        <x:v>Bestandskunde 0319</x:v>
      </x:c>
      <x:c r="C324" s="2" t="str">
        <x:v>Nur Verkäuferexport</x:v>
      </x:c>
      <x:c r="D324" s="9" t="n">
        <x:v>25703</x:v>
      </x:c>
      <x:c r="E324" s="9" t="n">
        <x:v>26</x:v>
      </x:c>
      <x:c r="F324" s="9" t="n">
        <x:v>15</x:v>
      </x:c>
      <x:c r="G324" s="11" t="n">
        <x:f>SUM(D324:F324)</x:f>
        <x:v>25744</x:v>
      </x:c>
      <x:c r="H324" s="10" t="n">
        <x:v>0.92</x:v>
      </x:c>
      <x:c r="I324" s="11" t="n">
        <x:f>IF(ISNUMBER(H324),ROUND(D324*H324,2),NA())</x:f>
        <x:v>23646.76</x:v>
      </x:c>
      <x:c r="J324" s="2" t="str">
        <x:v>Zahlungslücke im Export</x:v>
      </x:c>
      <x:c r="K324" s="2" t="str">
        <x:v>Export KREDIT-ERF-20260930, Einzelbelege nicht im Datenraum</x:v>
      </x:c>
    </x:row>
    <x:row r="325" ht="22" customHeight="1">
      <x:c r="A325" s="2" t="str">
        <x:v>APB-0320</x:v>
      </x:c>
      <x:c r="B325" s="2" t="str">
        <x:v>Bestandskunde 0320</x:v>
      </x:c>
      <x:c r="C325" s="2" t="str">
        <x:v>Nur Verkäuferexport</x:v>
      </x:c>
      <x:c r="D325" s="9" t="n">
        <x:v>25840</x:v>
      </x:c>
      <x:c r="E325" s="9" t="n">
        <x:v>32.5</x:v>
      </x:c>
      <x:c r="F325" s="9" t="n">
        <x:v>0</x:v>
      </x:c>
      <x:c r="G325" s="11" t="n">
        <x:f>SUM(D325:F325)</x:f>
        <x:v>25872.5</x:v>
      </x:c>
      <x:c r="H325" s="10" t="n">
        <x:v>0.92</x:v>
      </x:c>
      <x:c r="I325" s="11" t="n">
        <x:f>IF(ISNUMBER(H325),ROUND(D325*H325,2),NA())</x:f>
        <x:v>23772.8</x:v>
      </x:c>
      <x:c r="J325" s="2" t="str">
        <x:v>Regelbestand laut Verkäufer</x:v>
      </x:c>
      <x:c r="K325" s="2" t="str">
        <x:v>Export KREDIT-ERF-20260930, Einzelbelege nicht im Datenraum</x:v>
      </x:c>
    </x:row>
    <x:row r="326" ht="22" customHeight="1">
      <x:c r="A326" s="2" t="str">
        <x:v>APB-0321</x:v>
      </x:c>
      <x:c r="B326" s="2" t="str">
        <x:v>Bestandskunde 0321</x:v>
      </x:c>
      <x:c r="C326" s="2" t="str">
        <x:v>Nur Verkäuferexport</x:v>
      </x:c>
      <x:c r="D326" s="9" t="n">
        <x:v>25977</x:v>
      </x:c>
      <x:c r="E326" s="9" t="n">
        <x:v>39</x:v>
      </x:c>
      <x:c r="F326" s="9" t="n">
        <x:v>0</x:v>
      </x:c>
      <x:c r="G326" s="11" t="n">
        <x:f>SUM(D326:F326)</x:f>
        <x:v>26016</x:v>
      </x:c>
      <x:c r="H326" s="10" t="n">
        <x:v>0.92</x:v>
      </x:c>
      <x:c r="I326" s="11" t="n">
        <x:f>IF(ISNUMBER(H326),ROUND(D326*H326,2),NA())</x:f>
        <x:v>23898.84</x:v>
      </x:c>
      <x:c r="J326" s="2" t="str">
        <x:v>Regelbestand laut Verkäufer</x:v>
      </x:c>
      <x:c r="K326" s="2" t="str">
        <x:v>Export KREDIT-ERF-20260930, Einzelbelege nicht im Datenraum</x:v>
      </x:c>
    </x:row>
    <x:row r="327" ht="22" customHeight="1">
      <x:c r="A327" s="2" t="str">
        <x:v>APB-0322</x:v>
      </x:c>
      <x:c r="B327" s="2" t="str">
        <x:v>Bestandskunde 0322</x:v>
      </x:c>
      <x:c r="C327" s="2" t="str">
        <x:v>Nur Verkäuferexport</x:v>
      </x:c>
      <x:c r="D327" s="9" t="n">
        <x:v>26114</x:v>
      </x:c>
      <x:c r="E327" s="9" t="n">
        <x:v>45.5</x:v>
      </x:c>
      <x:c r="F327" s="9" t="n">
        <x:v>0</x:v>
      </x:c>
      <x:c r="G327" s="11" t="n">
        <x:f>SUM(D327:F327)</x:f>
        <x:v>26159.5</x:v>
      </x:c>
      <x:c r="H327" s="10" t="n">
        <x:v>0.92</x:v>
      </x:c>
      <x:c r="I327" s="11" t="n">
        <x:f>IF(ISNUMBER(H327),ROUND(D327*H327,2),NA())</x:f>
        <x:v>24024.88</x:v>
      </x:c>
      <x:c r="J327" s="2" t="str">
        <x:v>Regelbestand laut Verkäufer</x:v>
      </x:c>
      <x:c r="K327" s="2" t="str">
        <x:v>Export KREDIT-ERF-20260930, Einzelbelege nicht im Datenraum</x:v>
      </x:c>
    </x:row>
    <x:row r="328" ht="22" customHeight="1">
      <x:c r="A328" s="2" t="str">
        <x:v>APB-0323</x:v>
      </x:c>
      <x:c r="B328" s="2" t="str">
        <x:v>Bestandskunde 0323</x:v>
      </x:c>
      <x:c r="C328" s="2" t="str">
        <x:v>Nur Verkäuferexport</x:v>
      </x:c>
      <x:c r="D328" s="9" t="n">
        <x:v>26251</x:v>
      </x:c>
      <x:c r="E328" s="9" t="n">
        <x:v>52</x:v>
      </x:c>
      <x:c r="F328" s="9" t="n">
        <x:v>0</x:v>
      </x:c>
      <x:c r="G328" s="11" t="n">
        <x:f>SUM(D328:F328)</x:f>
        <x:v>26303</x:v>
      </x:c>
      <x:c r="H328" s="10" t="n">
        <x:v>0.92</x:v>
      </x:c>
      <x:c r="I328" s="11" t="n">
        <x:f>IF(ISNUMBER(H328),ROUND(D328*H328,2),NA())</x:f>
        <x:v>24150.92</x:v>
      </x:c>
      <x:c r="J328" s="2" t="str">
        <x:v>Regelbestand laut Verkäufer</x:v>
      </x:c>
      <x:c r="K328" s="2" t="str">
        <x:v>Export KREDIT-ERF-20260930, Einzelbelege nicht im Datenraum</x:v>
      </x:c>
    </x:row>
    <x:row r="329" ht="22" customHeight="1">
      <x:c r="A329" s="2" t="str">
        <x:v>APB-0324</x:v>
      </x:c>
      <x:c r="B329" s="2" t="str">
        <x:v>Bestandskunde 0324</x:v>
      </x:c>
      <x:c r="C329" s="2" t="str">
        <x:v>Nur Verkäuferexport</x:v>
      </x:c>
      <x:c r="D329" s="9" t="n">
        <x:v>26388</x:v>
      </x:c>
      <x:c r="E329" s="9" t="n">
        <x:v>0</x:v>
      </x:c>
      <x:c r="F329" s="9" t="n">
        <x:v>0</x:v>
      </x:c>
      <x:c r="G329" s="11" t="n">
        <x:f>SUM(D329:F329)</x:f>
        <x:v>26388</x:v>
      </x:c>
      <x:c r="H329" s="10" t="n">
        <x:v>0.92</x:v>
      </x:c>
      <x:c r="I329" s="11" t="n">
        <x:f>IF(ISNUMBER(H329),ROUND(D329*H329,2),NA())</x:f>
        <x:v>24276.96</x:v>
      </x:c>
      <x:c r="J329" s="2" t="str">
        <x:v>Regelbestand laut Verkäufer</x:v>
      </x:c>
      <x:c r="K329" s="2" t="str">
        <x:v>Export KREDIT-ERF-20260930, Einzelbelege nicht im Datenraum</x:v>
      </x:c>
    </x:row>
    <x:row r="330" ht="22" customHeight="1">
      <x:c r="A330" s="2" t="str">
        <x:v>APB-0325</x:v>
      </x:c>
      <x:c r="B330" s="2" t="str">
        <x:v>Bestandskunde 0325</x:v>
      </x:c>
      <x:c r="C330" s="2" t="str">
        <x:v>Nur Verkäuferexport</x:v>
      </x:c>
      <x:c r="D330" s="9" t="n">
        <x:v>26525</x:v>
      </x:c>
      <x:c r="E330" s="9" t="n">
        <x:v>6.5</x:v>
      </x:c>
      <x:c r="F330" s="9" t="n">
        <x:v>0</x:v>
      </x:c>
      <x:c r="G330" s="11" t="n">
        <x:f>SUM(D330:F330)</x:f>
        <x:v>26531.5</x:v>
      </x:c>
      <x:c r="H330" s="10" t="n">
        <x:v>0.92</x:v>
      </x:c>
      <x:c r="I330" s="11" t="n">
        <x:f>IF(ISNUMBER(H330),ROUND(D330*H330,2),NA())</x:f>
        <x:v>24403</x:v>
      </x:c>
      <x:c r="J330" s="2" t="str">
        <x:v>Regelbestand laut Verkäufer</x:v>
      </x:c>
      <x:c r="K330" s="2" t="str">
        <x:v>Export KREDIT-ERF-20260930, Einzelbelege nicht im Datenraum</x:v>
      </x:c>
    </x:row>
    <x:row r="331" ht="22" customHeight="1">
      <x:c r="A331" s="2" t="str">
        <x:v>APB-0326</x:v>
      </x:c>
      <x:c r="B331" s="2" t="str">
        <x:v>Bestandskunde 0326</x:v>
      </x:c>
      <x:c r="C331" s="2" t="str">
        <x:v>Nur Verkäuferexport</x:v>
      </x:c>
      <x:c r="D331" s="9" t="n">
        <x:v>26662</x:v>
      </x:c>
      <x:c r="E331" s="9" t="n">
        <x:v>13</x:v>
      </x:c>
      <x:c r="F331" s="9" t="n">
        <x:v>0</x:v>
      </x:c>
      <x:c r="G331" s="11" t="n">
        <x:f>SUM(D331:F331)</x:f>
        <x:v>26675</x:v>
      </x:c>
      <x:c r="H331" s="10" t="n">
        <x:v>0.92</x:v>
      </x:c>
      <x:c r="I331" s="11" t="n">
        <x:f>IF(ISNUMBER(H331),ROUND(D331*H331,2),NA())</x:f>
        <x:v>24529.04</x:v>
      </x:c>
      <x:c r="J331" s="2" t="str">
        <x:v>Regelbestand laut Verkäufer</x:v>
      </x:c>
      <x:c r="K331" s="2" t="str">
        <x:v>Export KREDIT-ERF-20260930, Einzelbelege nicht im Datenraum</x:v>
      </x:c>
    </x:row>
    <x:row r="332" ht="22" customHeight="1">
      <x:c r="A332" s="2" t="str">
        <x:v>APB-0327</x:v>
      </x:c>
      <x:c r="B332" s="2" t="str">
        <x:v>Bestandskunde 0327</x:v>
      </x:c>
      <x:c r="C332" s="2" t="str">
        <x:v>Nur Verkäuferexport</x:v>
      </x:c>
      <x:c r="D332" s="9" t="n">
        <x:v>26799</x:v>
      </x:c>
      <x:c r="E332" s="9" t="n">
        <x:v>19.5</x:v>
      </x:c>
      <x:c r="F332" s="9" t="n">
        <x:v>0</x:v>
      </x:c>
      <x:c r="G332" s="11" t="n">
        <x:f>SUM(D332:F332)</x:f>
        <x:v>26818.5</x:v>
      </x:c>
      <x:c r="H332" s="10" t="n">
        <x:v>0.92</x:v>
      </x:c>
      <x:c r="I332" s="11" t="n">
        <x:f>IF(ISNUMBER(H332),ROUND(D332*H332,2),NA())</x:f>
        <x:v>24655.08</x:v>
      </x:c>
      <x:c r="J332" s="2" t="str">
        <x:v>Regelbestand laut Verkäufer</x:v>
      </x:c>
      <x:c r="K332" s="2" t="str">
        <x:v>Export KREDIT-ERF-20260930, Einzelbelege nicht im Datenraum</x:v>
      </x:c>
    </x:row>
    <x:row r="333" ht="22" customHeight="1">
      <x:c r="A333" s="2" t="str">
        <x:v>APB-0328</x:v>
      </x:c>
      <x:c r="B333" s="2" t="str">
        <x:v>Bestandskunde 0328</x:v>
      </x:c>
      <x:c r="C333" s="2" t="str">
        <x:v>Nur Verkäuferexport</x:v>
      </x:c>
      <x:c r="D333" s="9" t="n">
        <x:v>26936</x:v>
      </x:c>
      <x:c r="E333" s="9" t="n">
        <x:v>26</x:v>
      </x:c>
      <x:c r="F333" s="9" t="n">
        <x:v>0</x:v>
      </x:c>
      <x:c r="G333" s="11" t="n">
        <x:f>SUM(D333:F333)</x:f>
        <x:v>26962</x:v>
      </x:c>
      <x:c r="H333" s="10" t="n">
        <x:v>0.92</x:v>
      </x:c>
      <x:c r="I333" s="11" t="n">
        <x:f>IF(ISNUMBER(H333),ROUND(D333*H333,2),NA())</x:f>
        <x:v>24781.12</x:v>
      </x:c>
      <x:c r="J333" s="2" t="str">
        <x:v>Regelbestand laut Verkäufer</x:v>
      </x:c>
      <x:c r="K333" s="2" t="str">
        <x:v>Export KREDIT-ERF-20260930, Einzelbelege nicht im Datenraum</x:v>
      </x:c>
    </x:row>
    <x:row r="334" ht="22" customHeight="1">
      <x:c r="A334" s="2" t="str">
        <x:v>APB-0329</x:v>
      </x:c>
      <x:c r="B334" s="2" t="str">
        <x:v>Bestandskunde 0329</x:v>
      </x:c>
      <x:c r="C334" s="2" t="str">
        <x:v>Nur Verkäuferexport</x:v>
      </x:c>
      <x:c r="D334" s="9" t="n">
        <x:v>27073</x:v>
      </x:c>
      <x:c r="E334" s="9" t="n">
        <x:v>32.5</x:v>
      </x:c>
      <x:c r="F334" s="9" t="n">
        <x:v>0</x:v>
      </x:c>
      <x:c r="G334" s="11" t="n">
        <x:f>SUM(D334:F334)</x:f>
        <x:v>27105.5</x:v>
      </x:c>
      <x:c r="H334" s="10" t="n">
        <x:v>0.92</x:v>
      </x:c>
      <x:c r="I334" s="11" t="n">
        <x:f>IF(ISNUMBER(H334),ROUND(D334*H334,2),NA())</x:f>
        <x:v>24907.16</x:v>
      </x:c>
      <x:c r="J334" s="2" t="str">
        <x:v>Regelbestand laut Verkäufer</x:v>
      </x:c>
      <x:c r="K334" s="2" t="str">
        <x:v>Export KREDIT-ERF-20260930, Einzelbelege nicht im Datenraum</x:v>
      </x:c>
    </x:row>
    <x:row r="335" ht="22" customHeight="1">
      <x:c r="A335" s="2" t="str">
        <x:v>APB-0330</x:v>
      </x:c>
      <x:c r="B335" s="2" t="str">
        <x:v>Bestandskunde 0330</x:v>
      </x:c>
      <x:c r="C335" s="2" t="str">
        <x:v>Nur Verkäuferexport</x:v>
      </x:c>
      <x:c r="D335" s="9" t="n">
        <x:v>27210</x:v>
      </x:c>
      <x:c r="E335" s="9" t="n">
        <x:v>39</x:v>
      </x:c>
      <x:c r="F335" s="9" t="n">
        <x:v>0</x:v>
      </x:c>
      <x:c r="G335" s="11" t="n">
        <x:f>SUM(D335:F335)</x:f>
        <x:v>27249</x:v>
      </x:c>
      <x:c r="H335" s="10" t="n">
        <x:v>0.92</x:v>
      </x:c>
      <x:c r="I335" s="11" t="n">
        <x:f>IF(ISNUMBER(H335),ROUND(D335*H335,2),NA())</x:f>
        <x:v>25033.2</x:v>
      </x:c>
      <x:c r="J335" s="2" t="str">
        <x:v>Regelbestand laut Verkäufer</x:v>
      </x:c>
      <x:c r="K335" s="2" t="str">
        <x:v>Export KREDIT-ERF-20260930, Einzelbelege nicht im Datenraum</x:v>
      </x:c>
    </x:row>
    <x:row r="336" ht="22" customHeight="1">
      <x:c r="A336" s="2" t="str">
        <x:v>APB-0331</x:v>
      </x:c>
      <x:c r="B336" s="2" t="str">
        <x:v>Bestandskunde 0331</x:v>
      </x:c>
      <x:c r="C336" s="2" t="str">
        <x:v>Nur Verkäuferexport</x:v>
      </x:c>
      <x:c r="D336" s="9" t="n">
        <x:v>27347</x:v>
      </x:c>
      <x:c r="E336" s="9" t="n">
        <x:v>45.5</x:v>
      </x:c>
      <x:c r="F336" s="9" t="n">
        <x:v>0</x:v>
      </x:c>
      <x:c r="G336" s="11" t="n">
        <x:f>SUM(D336:F336)</x:f>
        <x:v>27392.5</x:v>
      </x:c>
      <x:c r="H336" s="10" t="n">
        <x:v>0.92</x:v>
      </x:c>
      <x:c r="I336" s="11" t="n">
        <x:f>IF(ISNUMBER(H336),ROUND(D336*H336,2),NA())</x:f>
        <x:v>25159.24</x:v>
      </x:c>
      <x:c r="J336" s="2" t="str">
        <x:v>Regelbestand laut Verkäufer</x:v>
      </x:c>
      <x:c r="K336" s="2" t="str">
        <x:v>Export KREDIT-ERF-20260930, Einzelbelege nicht im Datenraum</x:v>
      </x:c>
    </x:row>
    <x:row r="337" ht="22" customHeight="1">
      <x:c r="A337" s="2" t="str">
        <x:v>APB-0332</x:v>
      </x:c>
      <x:c r="B337" s="2" t="str">
        <x:v>Bestandskunde 0332</x:v>
      </x:c>
      <x:c r="C337" s="2" t="str">
        <x:v>Nur Verkäuferexport</x:v>
      </x:c>
      <x:c r="D337" s="9" t="n">
        <x:v>27484</x:v>
      </x:c>
      <x:c r="E337" s="9" t="n">
        <x:v>52</x:v>
      </x:c>
      <x:c r="F337" s="9" t="n">
        <x:v>0</x:v>
      </x:c>
      <x:c r="G337" s="11" t="n">
        <x:f>SUM(D337:F337)</x:f>
        <x:v>27536</x:v>
      </x:c>
      <x:c r="H337" s="10" t="n">
        <x:v>0.92</x:v>
      </x:c>
      <x:c r="I337" s="11" t="n">
        <x:f>IF(ISNUMBER(H337),ROUND(D337*H337,2),NA())</x:f>
        <x:v>25285.28</x:v>
      </x:c>
      <x:c r="J337" s="2" t="str">
        <x:v>Regelbestand laut Verkäufer</x:v>
      </x:c>
      <x:c r="K337" s="2" t="str">
        <x:v>Export KREDIT-ERF-20260930, Einzelbelege nicht im Datenraum</x:v>
      </x:c>
    </x:row>
    <x:row r="338" ht="22" customHeight="1">
      <x:c r="A338" s="2" t="str">
        <x:v>APB-0333</x:v>
      </x:c>
      <x:c r="B338" s="2" t="str">
        <x:v>Bestandskunde 0333</x:v>
      </x:c>
      <x:c r="C338" s="2" t="str">
        <x:v>Nur Verkäuferexport</x:v>
      </x:c>
      <x:c r="D338" s="9" t="n">
        <x:v>27621</x:v>
      </x:c>
      <x:c r="E338" s="9" t="n">
        <x:v>0</x:v>
      </x:c>
      <x:c r="F338" s="9" t="n">
        <x:v>0</x:v>
      </x:c>
      <x:c r="G338" s="11" t="n">
        <x:f>SUM(D338:F338)</x:f>
        <x:v>27621</x:v>
      </x:c>
      <x:c r="H338" s="10" t="n">
        <x:v>0.92</x:v>
      </x:c>
      <x:c r="I338" s="11" t="n">
        <x:f>IF(ISNUMBER(H338),ROUND(D338*H338,2),NA())</x:f>
        <x:v>25411.32</x:v>
      </x:c>
      <x:c r="J338" s="2" t="str">
        <x:v>Regelbestand laut Verkäufer</x:v>
      </x:c>
      <x:c r="K338" s="2" t="str">
        <x:v>Export KREDIT-ERF-20260930, Einzelbelege nicht im Datenraum</x:v>
      </x:c>
    </x:row>
    <x:row r="339" ht="22" customHeight="1">
      <x:c r="A339" s="2" t="str">
        <x:v>APB-0334</x:v>
      </x:c>
      <x:c r="B339" s="2" t="str">
        <x:v>Bestandskunde 0334</x:v>
      </x:c>
      <x:c r="C339" s="2" t="str">
        <x:v>Nur Verkäuferexport</x:v>
      </x:c>
      <x:c r="D339" s="9" t="n">
        <x:v>27758</x:v>
      </x:c>
      <x:c r="E339" s="9" t="n">
        <x:v>6.5</x:v>
      </x:c>
      <x:c r="F339" s="9" t="n">
        <x:v>0</x:v>
      </x:c>
      <x:c r="G339" s="11" t="n">
        <x:f>SUM(D339:F339)</x:f>
        <x:v>27764.5</x:v>
      </x:c>
      <x:c r="H339" s="10" t="n">
        <x:v>0.92</x:v>
      </x:c>
      <x:c r="I339" s="11" t="n">
        <x:f>IF(ISNUMBER(H339),ROUND(D339*H339,2),NA())</x:f>
        <x:v>25537.36</x:v>
      </x:c>
      <x:c r="J339" s="2" t="str">
        <x:v>Regelbestand laut Verkäufer</x:v>
      </x:c>
      <x:c r="K339" s="2" t="str">
        <x:v>Export KREDIT-ERF-20260930, Einzelbelege nicht im Datenraum</x:v>
      </x:c>
    </x:row>
    <x:row r="340" ht="22" customHeight="1">
      <x:c r="A340" s="2" t="str">
        <x:v>APB-0335</x:v>
      </x:c>
      <x:c r="B340" s="2" t="str">
        <x:v>Bestandskunde 0335</x:v>
      </x:c>
      <x:c r="C340" s="2" t="str">
        <x:v>Nur Verkäuferexport</x:v>
      </x:c>
      <x:c r="D340" s="9" t="n">
        <x:v>27895</x:v>
      </x:c>
      <x:c r="E340" s="9" t="n">
        <x:v>13</x:v>
      </x:c>
      <x:c r="F340" s="9" t="n">
        <x:v>0</x:v>
      </x:c>
      <x:c r="G340" s="11" t="n">
        <x:f>SUM(D340:F340)</x:f>
        <x:v>27908</x:v>
      </x:c>
      <x:c r="H340" s="10" t="n">
        <x:v>0.92</x:v>
      </x:c>
      <x:c r="I340" s="11" t="n">
        <x:f>IF(ISNUMBER(H340),ROUND(D340*H340,2),NA())</x:f>
        <x:v>25663.4</x:v>
      </x:c>
      <x:c r="J340" s="2" t="str">
        <x:v>Regelbestand laut Verkäufer</x:v>
      </x:c>
      <x:c r="K340" s="2" t="str">
        <x:v>Export KREDIT-ERF-20260930, Einzelbelege nicht im Datenraum</x:v>
      </x:c>
    </x:row>
    <x:row r="341" ht="22" customHeight="1">
      <x:c r="A341" s="2" t="str">
        <x:v>APB-0336</x:v>
      </x:c>
      <x:c r="B341" s="2" t="str">
        <x:v>Bestandskunde 0336</x:v>
      </x:c>
      <x:c r="C341" s="2" t="str">
        <x:v>Nur Verkäuferexport</x:v>
      </x:c>
      <x:c r="D341" s="9" t="n">
        <x:v>28032</x:v>
      </x:c>
      <x:c r="E341" s="9" t="n">
        <x:v>19.5</x:v>
      </x:c>
      <x:c r="F341" s="9" t="n">
        <x:v>0</x:v>
      </x:c>
      <x:c r="G341" s="11" t="n">
        <x:f>SUM(D341:F341)</x:f>
        <x:v>28051.5</x:v>
      </x:c>
      <x:c r="H341" s="10" t="n">
        <x:v>0.92</x:v>
      </x:c>
      <x:c r="I341" s="11" t="n">
        <x:f>IF(ISNUMBER(H341),ROUND(D341*H341,2),NA())</x:f>
        <x:v>25789.44</x:v>
      </x:c>
      <x:c r="J341" s="2" t="str">
        <x:v>Regelbestand laut Verkäufer</x:v>
      </x:c>
      <x:c r="K341" s="2" t="str">
        <x:v>Export KREDIT-ERF-20260930, Einzelbelege nicht im Datenraum</x:v>
      </x:c>
    </x:row>
    <x:row r="342" ht="22" customHeight="1">
      <x:c r="A342" s="2" t="str">
        <x:v>APB-0337</x:v>
      </x:c>
      <x:c r="B342" s="2" t="str">
        <x:v>Bestandskunde 0337</x:v>
      </x:c>
      <x:c r="C342" s="2" t="str">
        <x:v>Nur Verkäuferexport</x:v>
      </x:c>
      <x:c r="D342" s="9" t="n">
        <x:v>28169</x:v>
      </x:c>
      <x:c r="E342" s="9" t="n">
        <x:v>26</x:v>
      </x:c>
      <x:c r="F342" s="9" t="n">
        <x:v>0</x:v>
      </x:c>
      <x:c r="G342" s="11" t="n">
        <x:f>SUM(D342:F342)</x:f>
        <x:v>28195</x:v>
      </x:c>
      <x:c r="H342" s="10" t="n">
        <x:v>0.92</x:v>
      </x:c>
      <x:c r="I342" s="11" t="n">
        <x:f>IF(ISNUMBER(H342),ROUND(D342*H342,2),NA())</x:f>
        <x:v>25915.48</x:v>
      </x:c>
      <x:c r="J342" s="2" t="str">
        <x:v>Regelbestand laut Verkäufer</x:v>
      </x:c>
      <x:c r="K342" s="2" t="str">
        <x:v>Export KREDIT-ERF-20260930, Einzelbelege nicht im Datenraum</x:v>
      </x:c>
    </x:row>
    <x:row r="343" ht="22" customHeight="1">
      <x:c r="A343" s="2" t="str">
        <x:v>APB-0338</x:v>
      </x:c>
      <x:c r="B343" s="2" t="str">
        <x:v>Bestandskunde 0338</x:v>
      </x:c>
      <x:c r="C343" s="2" t="str">
        <x:v>Nur Verkäuferexport</x:v>
      </x:c>
      <x:c r="D343" s="9" t="n">
        <x:v>28306</x:v>
      </x:c>
      <x:c r="E343" s="9" t="n">
        <x:v>32.5</x:v>
      </x:c>
      <x:c r="F343" s="9" t="n">
        <x:v>0</x:v>
      </x:c>
      <x:c r="G343" s="11" t="n">
        <x:f>SUM(D343:F343)</x:f>
        <x:v>28338.5</x:v>
      </x:c>
      <x:c r="H343" s="10" t="n">
        <x:v>0.92</x:v>
      </x:c>
      <x:c r="I343" s="11" t="n">
        <x:f>IF(ISNUMBER(H343),ROUND(D343*H343,2),NA())</x:f>
        <x:v>26041.52</x:v>
      </x:c>
      <x:c r="J343" s="2" t="str">
        <x:v>Regelbestand laut Verkäufer</x:v>
      </x:c>
      <x:c r="K343" s="2" t="str">
        <x:v>Export KREDIT-ERF-20260930, Einzelbelege nicht im Datenraum</x:v>
      </x:c>
    </x:row>
    <x:row r="344" ht="22" customHeight="1">
      <x:c r="A344" s="2" t="str">
        <x:v>APB-0339</x:v>
      </x:c>
      <x:c r="B344" s="2" t="str">
        <x:v>Bestandskunde 0339</x:v>
      </x:c>
      <x:c r="C344" s="2" t="str">
        <x:v>Nur Verkäuferexport</x:v>
      </x:c>
      <x:c r="D344" s="9" t="n">
        <x:v>28443</x:v>
      </x:c>
      <x:c r="E344" s="9" t="n">
        <x:v>39</x:v>
      </x:c>
      <x:c r="F344" s="9" t="n">
        <x:v>0</x:v>
      </x:c>
      <x:c r="G344" s="11" t="n">
        <x:f>SUM(D344:F344)</x:f>
        <x:v>28482</x:v>
      </x:c>
      <x:c r="H344" s="10" t="n">
        <x:v>0.92</x:v>
      </x:c>
      <x:c r="I344" s="11" t="n">
        <x:f>IF(ISNUMBER(H344),ROUND(D344*H344,2),NA())</x:f>
        <x:v>26167.56</x:v>
      </x:c>
      <x:c r="J344" s="2" t="str">
        <x:v>Regelbestand laut Verkäufer</x:v>
      </x:c>
      <x:c r="K344" s="2" t="str">
        <x:v>Export KREDIT-ERF-20260930, Einzelbelege nicht im Datenraum</x:v>
      </x:c>
    </x:row>
    <x:row r="345" ht="22" customHeight="1">
      <x:c r="A345" s="2" t="str">
        <x:v>APB-0340</x:v>
      </x:c>
      <x:c r="B345" s="2" t="str">
        <x:v>Bestandskunde 0340</x:v>
      </x:c>
      <x:c r="C345" s="2" t="str">
        <x:v>Nur Verkäuferexport</x:v>
      </x:c>
      <x:c r="D345" s="9" t="n">
        <x:v>28580</x:v>
      </x:c>
      <x:c r="E345" s="9" t="n">
        <x:v>45.5</x:v>
      </x:c>
      <x:c r="F345" s="9" t="n">
        <x:v>0</x:v>
      </x:c>
      <x:c r="G345" s="11" t="n">
        <x:f>SUM(D345:F345)</x:f>
        <x:v>28625.5</x:v>
      </x:c>
      <x:c r="H345" s="10" t="n">
        <x:v>0.92</x:v>
      </x:c>
      <x:c r="I345" s="11" t="n">
        <x:f>IF(ISNUMBER(H345),ROUND(D345*H345,2),NA())</x:f>
        <x:v>26293.6</x:v>
      </x:c>
      <x:c r="J345" s="2" t="str">
        <x:v>Regelbestand laut Verkäufer</x:v>
      </x:c>
      <x:c r="K345" s="2" t="str">
        <x:v>Export KREDIT-ERF-20260930, Einzelbelege nicht im Datenraum</x:v>
      </x:c>
    </x:row>
    <x:row r="346" ht="22" customHeight="1">
      <x:c r="A346" s="2" t="str">
        <x:v>APB-0341</x:v>
      </x:c>
      <x:c r="B346" s="2" t="str">
        <x:v>Bestandskunde 0341</x:v>
      </x:c>
      <x:c r="C346" s="2" t="str">
        <x:v>Nur Verkäuferexport</x:v>
      </x:c>
      <x:c r="D346" s="9" t="n">
        <x:v>28717</x:v>
      </x:c>
      <x:c r="E346" s="9" t="n">
        <x:v>52</x:v>
      </x:c>
      <x:c r="F346" s="9" t="n">
        <x:v>0</x:v>
      </x:c>
      <x:c r="G346" s="11" t="n">
        <x:f>SUM(D346:F346)</x:f>
        <x:v>28769</x:v>
      </x:c>
      <x:c r="H346" s="10" t="n">
        <x:v>0.92</x:v>
      </x:c>
      <x:c r="I346" s="11" t="n">
        <x:f>IF(ISNUMBER(H346),ROUND(D346*H346,2),NA())</x:f>
        <x:v>26419.64</x:v>
      </x:c>
      <x:c r="J346" s="2" t="str">
        <x:v>Regelbestand laut Verkäufer</x:v>
      </x:c>
      <x:c r="K346" s="2" t="str">
        <x:v>Export KREDIT-ERF-20260930, Einzelbelege nicht im Datenraum</x:v>
      </x:c>
    </x:row>
    <x:row r="347" ht="22" customHeight="1">
      <x:c r="A347" s="2" t="str">
        <x:v>APB-0342</x:v>
      </x:c>
      <x:c r="B347" s="2" t="str">
        <x:v>Bestandskunde 0342</x:v>
      </x:c>
      <x:c r="C347" s="2" t="str">
        <x:v>Nur Verkäuferexport</x:v>
      </x:c>
      <x:c r="D347" s="9" t="n">
        <x:v>28854</x:v>
      </x:c>
      <x:c r="E347" s="9" t="n">
        <x:v>0</x:v>
      </x:c>
      <x:c r="F347" s="9" t="n">
        <x:v>0</x:v>
      </x:c>
      <x:c r="G347" s="11" t="n">
        <x:f>SUM(D347:F347)</x:f>
        <x:v>28854</x:v>
      </x:c>
      <x:c r="H347" s="10" t="n">
        <x:v>0.92</x:v>
      </x:c>
      <x:c r="I347" s="11" t="n">
        <x:f>IF(ISNUMBER(H347),ROUND(D347*H347,2),NA())</x:f>
        <x:v>26545.68</x:v>
      </x:c>
      <x:c r="J347" s="2" t="str">
        <x:v>Regelbestand laut Verkäufer</x:v>
      </x:c>
      <x:c r="K347" s="2" t="str">
        <x:v>Export KREDIT-ERF-20260930, Einzelbelege nicht im Datenraum</x:v>
      </x:c>
    </x:row>
    <x:row r="348" ht="22" customHeight="1">
      <x:c r="A348" s="2" t="str">
        <x:v>APB-0343</x:v>
      </x:c>
      <x:c r="B348" s="2" t="str">
        <x:v>Bestandskunde 0343</x:v>
      </x:c>
      <x:c r="C348" s="2" t="str">
        <x:v>Nur Verkäuferexport</x:v>
      </x:c>
      <x:c r="D348" s="9" t="n">
        <x:v>28991</x:v>
      </x:c>
      <x:c r="E348" s="9" t="n">
        <x:v>6.5</x:v>
      </x:c>
      <x:c r="F348" s="9" t="n">
        <x:v>0</x:v>
      </x:c>
      <x:c r="G348" s="11" t="n">
        <x:f>SUM(D348:F348)</x:f>
        <x:v>28997.5</x:v>
      </x:c>
      <x:c r="H348" s="10" t="n">
        <x:v>0.92</x:v>
      </x:c>
      <x:c r="I348" s="11" t="n">
        <x:f>IF(ISNUMBER(H348),ROUND(D348*H348,2),NA())</x:f>
        <x:v>26671.72</x:v>
      </x:c>
      <x:c r="J348" s="2" t="str">
        <x:v>Regelbestand laut Verkäufer</x:v>
      </x:c>
      <x:c r="K348" s="2" t="str">
        <x:v>Export KREDIT-ERF-20260930, Einzelbelege nicht im Datenraum</x:v>
      </x:c>
    </x:row>
    <x:row r="349" ht="22" customHeight="1">
      <x:c r="A349" s="2" t="str">
        <x:v>APB-0344</x:v>
      </x:c>
      <x:c r="B349" s="2" t="str">
        <x:v>Bestandskunde 0344</x:v>
      </x:c>
      <x:c r="C349" s="2" t="str">
        <x:v>Nur Verkäuferexport</x:v>
      </x:c>
      <x:c r="D349" s="9" t="n">
        <x:v>29128</x:v>
      </x:c>
      <x:c r="E349" s="9" t="n">
        <x:v>13</x:v>
      </x:c>
      <x:c r="F349" s="9" t="n">
        <x:v>0</x:v>
      </x:c>
      <x:c r="G349" s="11" t="n">
        <x:f>SUM(D349:F349)</x:f>
        <x:v>29141</x:v>
      </x:c>
      <x:c r="H349" s="10" t="n">
        <x:v>0.92</x:v>
      </x:c>
      <x:c r="I349" s="11" t="n">
        <x:f>IF(ISNUMBER(H349),ROUND(D349*H349,2),NA())</x:f>
        <x:v>26797.76</x:v>
      </x:c>
      <x:c r="J349" s="2" t="str">
        <x:v>Regelbestand laut Verkäufer</x:v>
      </x:c>
      <x:c r="K349" s="2" t="str">
        <x:v>Export KREDIT-ERF-20260930, Einzelbelege nicht im Datenraum</x:v>
      </x:c>
    </x:row>
    <x:row r="350" ht="22" customHeight="1">
      <x:c r="A350" s="2" t="str">
        <x:v>APB-0345</x:v>
      </x:c>
      <x:c r="B350" s="2" t="str">
        <x:v>Bestandskunde 0345</x:v>
      </x:c>
      <x:c r="C350" s="2" t="str">
        <x:v>Nur Verkäuferexport</x:v>
      </x:c>
      <x:c r="D350" s="9" t="n">
        <x:v>29265</x:v>
      </x:c>
      <x:c r="E350" s="9" t="n">
        <x:v>19.5</x:v>
      </x:c>
      <x:c r="F350" s="9" t="n">
        <x:v>0</x:v>
      </x:c>
      <x:c r="G350" s="11" t="n">
        <x:f>SUM(D350:F350)</x:f>
        <x:v>29284.5</x:v>
      </x:c>
      <x:c r="H350" s="10" t="n">
        <x:v>0.92</x:v>
      </x:c>
      <x:c r="I350" s="11" t="n">
        <x:f>IF(ISNUMBER(H350),ROUND(D350*H350,2),NA())</x:f>
        <x:v>26923.8</x:v>
      </x:c>
      <x:c r="J350" s="2" t="str">
        <x:v>Regelbestand laut Verkäufer</x:v>
      </x:c>
      <x:c r="K350" s="2" t="str">
        <x:v>Export KREDIT-ERF-20260930, Einzelbelege nicht im Datenraum</x:v>
      </x:c>
    </x:row>
    <x:row r="351" ht="22" customHeight="1">
      <x:c r="A351" s="2" t="str">
        <x:v>APB-0346</x:v>
      </x:c>
      <x:c r="B351" s="2" t="str">
        <x:v>Bestandskunde 0346</x:v>
      </x:c>
      <x:c r="C351" s="2" t="str">
        <x:v>Nur Verkäuferexport</x:v>
      </x:c>
      <x:c r="D351" s="9" t="n">
        <x:v>29402</x:v>
      </x:c>
      <x:c r="E351" s="9" t="n">
        <x:v>26</x:v>
      </x:c>
      <x:c r="F351" s="9" t="n">
        <x:v>0</x:v>
      </x:c>
      <x:c r="G351" s="11" t="n">
        <x:f>SUM(D351:F351)</x:f>
        <x:v>29428</x:v>
      </x:c>
      <x:c r="H351" s="10" t="n">
        <x:v>0.92</x:v>
      </x:c>
      <x:c r="I351" s="11" t="n">
        <x:f>IF(ISNUMBER(H351),ROUND(D351*H351,2),NA())</x:f>
        <x:v>27049.84</x:v>
      </x:c>
      <x:c r="J351" s="2" t="str">
        <x:v>Regelbestand laut Verkäufer</x:v>
      </x:c>
      <x:c r="K351" s="2" t="str">
        <x:v>Export KREDIT-ERF-20260930, Einzelbelege nicht im Datenraum</x:v>
      </x:c>
    </x:row>
    <x:row r="352" ht="22" customHeight="1">
      <x:c r="A352" s="2" t="str">
        <x:v>APB-0347</x:v>
      </x:c>
      <x:c r="B352" s="2" t="str">
        <x:v>Bestandskunde 0347</x:v>
      </x:c>
      <x:c r="C352" s="2" t="str">
        <x:v>Nur Verkäuferexport</x:v>
      </x:c>
      <x:c r="D352" s="9" t="n">
        <x:v>29539</x:v>
      </x:c>
      <x:c r="E352" s="9" t="n">
        <x:v>32.5</x:v>
      </x:c>
      <x:c r="F352" s="9" t="n">
        <x:v>0</x:v>
      </x:c>
      <x:c r="G352" s="11" t="n">
        <x:f>SUM(D352:F352)</x:f>
        <x:v>29571.5</x:v>
      </x:c>
      <x:c r="H352" s="10" t="n">
        <x:v>0.92</x:v>
      </x:c>
      <x:c r="I352" s="11" t="n">
        <x:f>IF(ISNUMBER(H352),ROUND(D352*H352,2),NA())</x:f>
        <x:v>27175.88</x:v>
      </x:c>
      <x:c r="J352" s="2" t="str">
        <x:v>Regelbestand laut Verkäufer</x:v>
      </x:c>
      <x:c r="K352" s="2" t="str">
        <x:v>Export KREDIT-ERF-20260930, Einzelbelege nicht im Datenraum</x:v>
      </x:c>
    </x:row>
    <x:row r="353" ht="22" customHeight="1">
      <x:c r="A353" s="2" t="str">
        <x:v>APB-0348</x:v>
      </x:c>
      <x:c r="B353" s="2" t="str">
        <x:v>Bestandskunde 0348</x:v>
      </x:c>
      <x:c r="C353" s="2" t="str">
        <x:v>Nur Verkäuferexport</x:v>
      </x:c>
      <x:c r="D353" s="9" t="n">
        <x:v>29676</x:v>
      </x:c>
      <x:c r="E353" s="9" t="n">
        <x:v>39</x:v>
      </x:c>
      <x:c r="F353" s="9" t="n">
        <x:v>15</x:v>
      </x:c>
      <x:c r="G353" s="11" t="n">
        <x:f>SUM(D353:F353)</x:f>
        <x:v>29730</x:v>
      </x:c>
      <x:c r="H353" s="10" t="n">
        <x:v>0.92</x:v>
      </x:c>
      <x:c r="I353" s="11" t="n">
        <x:f>IF(ISNUMBER(H353),ROUND(D353*H353,2),NA())</x:f>
        <x:v>27301.92</x:v>
      </x:c>
      <x:c r="J353" s="2" t="str">
        <x:v>Zahlungslücke im Export</x:v>
      </x:c>
      <x:c r="K353" s="2" t="str">
        <x:v>Export KREDIT-ERF-20260930, Einzelbelege nicht im Datenraum</x:v>
      </x:c>
    </x:row>
    <x:row r="354" ht="22" customHeight="1">
      <x:c r="A354" s="2" t="str">
        <x:v>APB-0349</x:v>
      </x:c>
      <x:c r="B354" s="2" t="str">
        <x:v>Bestandskunde 0349</x:v>
      </x:c>
      <x:c r="C354" s="2" t="str">
        <x:v>Nur Verkäuferexport</x:v>
      </x:c>
      <x:c r="D354" s="9" t="n">
        <x:v>29813</x:v>
      </x:c>
      <x:c r="E354" s="9" t="n">
        <x:v>45.5</x:v>
      </x:c>
      <x:c r="F354" s="9" t="n">
        <x:v>0</x:v>
      </x:c>
      <x:c r="G354" s="11" t="n">
        <x:f>SUM(D354:F354)</x:f>
        <x:v>29858.5</x:v>
      </x:c>
      <x:c r="H354" s="10" t="n">
        <x:v>0.92</x:v>
      </x:c>
      <x:c r="I354" s="11" t="n">
        <x:f>IF(ISNUMBER(H354),ROUND(D354*H354,2),NA())</x:f>
        <x:v>27427.96</x:v>
      </x:c>
      <x:c r="J354" s="2" t="str">
        <x:v>Regelbestand laut Verkäufer</x:v>
      </x:c>
      <x:c r="K354" s="2" t="str">
        <x:v>Export KREDIT-ERF-20260930, Einzelbelege nicht im Datenraum</x:v>
      </x:c>
    </x:row>
    <x:row r="355" ht="22" customHeight="1">
      <x:c r="A355" s="2" t="str">
        <x:v>APB-0350</x:v>
      </x:c>
      <x:c r="B355" s="2" t="str">
        <x:v>Bestandskunde 0350</x:v>
      </x:c>
      <x:c r="C355" s="2" t="str">
        <x:v>Nur Verkäuferexport</x:v>
      </x:c>
      <x:c r="D355" s="9" t="n">
        <x:v>29950</x:v>
      </x:c>
      <x:c r="E355" s="9" t="n">
        <x:v>52</x:v>
      </x:c>
      <x:c r="F355" s="9" t="n">
        <x:v>0</x:v>
      </x:c>
      <x:c r="G355" s="11" t="n">
        <x:f>SUM(D355:F355)</x:f>
        <x:v>30002</x:v>
      </x:c>
      <x:c r="H355" s="10" t="n">
        <x:v>0.92</x:v>
      </x:c>
      <x:c r="I355" s="11" t="n">
        <x:f>IF(ISNUMBER(H355),ROUND(D355*H355,2),NA())</x:f>
        <x:v>27554</x:v>
      </x:c>
      <x:c r="J355" s="2" t="str">
        <x:v>Regelbestand laut Verkäufer</x:v>
      </x:c>
      <x:c r="K355" s="2" t="str">
        <x:v>Export KREDIT-ERF-20260930, Einzelbelege nicht im Datenraum</x:v>
      </x:c>
    </x:row>
    <x:row r="356" ht="22" customHeight="1">
      <x:c r="A356" s="2" t="str">
        <x:v>APB-0351</x:v>
      </x:c>
      <x:c r="B356" s="2" t="str">
        <x:v>Bestandskunde 0351</x:v>
      </x:c>
      <x:c r="C356" s="2" t="str">
        <x:v>Nur Verkäuferexport</x:v>
      </x:c>
      <x:c r="D356" s="9" t="n">
        <x:v>6087</x:v>
      </x:c>
      <x:c r="E356" s="9" t="n">
        <x:v>0</x:v>
      </x:c>
      <x:c r="F356" s="9" t="n">
        <x:v>0</x:v>
      </x:c>
      <x:c r="G356" s="11" t="n">
        <x:f>SUM(D356:F356)</x:f>
        <x:v>6087</x:v>
      </x:c>
      <x:c r="H356" s="10" t="n">
        <x:v>0.92</x:v>
      </x:c>
      <x:c r="I356" s="11" t="n">
        <x:f>IF(ISNUMBER(H356),ROUND(D356*H356,2),NA())</x:f>
        <x:v>5600.04</x:v>
      </x:c>
      <x:c r="J356" s="2" t="str">
        <x:v>Regelbestand laut Verkäufer</x:v>
      </x:c>
      <x:c r="K356" s="2" t="str">
        <x:v>Export KREDIT-ERF-20260930, Einzelbelege nicht im Datenraum</x:v>
      </x:c>
    </x:row>
    <x:row r="357" ht="22" customHeight="1">
      <x:c r="A357" s="2" t="str">
        <x:v>APB-0352</x:v>
      </x:c>
      <x:c r="B357" s="2" t="str">
        <x:v>Bestandskunde 0352</x:v>
      </x:c>
      <x:c r="C357" s="2" t="str">
        <x:v>Nur Verkäuferexport</x:v>
      </x:c>
      <x:c r="D357" s="9" t="n">
        <x:v>6224</x:v>
      </x:c>
      <x:c r="E357" s="9" t="n">
        <x:v>6.5</x:v>
      </x:c>
      <x:c r="F357" s="9" t="n">
        <x:v>0</x:v>
      </x:c>
      <x:c r="G357" s="11" t="n">
        <x:f>SUM(D357:F357)</x:f>
        <x:v>6230.5</x:v>
      </x:c>
      <x:c r="H357" s="10" t="n">
        <x:v>0.92</x:v>
      </x:c>
      <x:c r="I357" s="11" t="n">
        <x:f>IF(ISNUMBER(H357),ROUND(D357*H357,2),NA())</x:f>
        <x:v>5726.08</x:v>
      </x:c>
      <x:c r="J357" s="2" t="str">
        <x:v>Regelbestand laut Verkäufer</x:v>
      </x:c>
      <x:c r="K357" s="2" t="str">
        <x:v>Export KREDIT-ERF-20260930, Einzelbelege nicht im Datenraum</x:v>
      </x:c>
    </x:row>
    <x:row r="358" ht="22" customHeight="1">
      <x:c r="A358" s="2" t="str">
        <x:v>APB-0353</x:v>
      </x:c>
      <x:c r="B358" s="2" t="str">
        <x:v>Bestandskunde 0353</x:v>
      </x:c>
      <x:c r="C358" s="2" t="str">
        <x:v>Nur Verkäuferexport</x:v>
      </x:c>
      <x:c r="D358" s="9" t="n">
        <x:v>6361</x:v>
      </x:c>
      <x:c r="E358" s="9" t="n">
        <x:v>13</x:v>
      </x:c>
      <x:c r="F358" s="9" t="n">
        <x:v>0</x:v>
      </x:c>
      <x:c r="G358" s="11" t="n">
        <x:f>SUM(D358:F358)</x:f>
        <x:v>6374</x:v>
      </x:c>
      <x:c r="H358" s="10" t="n">
        <x:v>0.92</x:v>
      </x:c>
      <x:c r="I358" s="11" t="n">
        <x:f>IF(ISNUMBER(H358),ROUND(D358*H358,2),NA())</x:f>
        <x:v>5852.12</x:v>
      </x:c>
      <x:c r="J358" s="2" t="str">
        <x:v>Regelbestand laut Verkäufer</x:v>
      </x:c>
      <x:c r="K358" s="2" t="str">
        <x:v>Export KREDIT-ERF-20260930, Einzelbelege nicht im Datenraum</x:v>
      </x:c>
    </x:row>
    <x:row r="359" ht="22" customHeight="1">
      <x:c r="A359" s="2" t="str">
        <x:v>APB-0354</x:v>
      </x:c>
      <x:c r="B359" s="2" t="str">
        <x:v>Bestandskunde 0354</x:v>
      </x:c>
      <x:c r="C359" s="2" t="str">
        <x:v>Nur Verkäuferexport</x:v>
      </x:c>
      <x:c r="D359" s="9" t="n">
        <x:v>6498</x:v>
      </x:c>
      <x:c r="E359" s="9" t="n">
        <x:v>19.5</x:v>
      </x:c>
      <x:c r="F359" s="9" t="n">
        <x:v>0</x:v>
      </x:c>
      <x:c r="G359" s="11" t="n">
        <x:f>SUM(D359:F359)</x:f>
        <x:v>6517.5</x:v>
      </x:c>
      <x:c r="H359" s="10" t="n">
        <x:v>0.92</x:v>
      </x:c>
      <x:c r="I359" s="11" t="n">
        <x:f>IF(ISNUMBER(H359),ROUND(D359*H359,2),NA())</x:f>
        <x:v>5978.16</x:v>
      </x:c>
      <x:c r="J359" s="2" t="str">
        <x:v>Regelbestand laut Verkäufer</x:v>
      </x:c>
      <x:c r="K359" s="2" t="str">
        <x:v>Export KREDIT-ERF-20260930, Einzelbelege nicht im Datenraum</x:v>
      </x:c>
    </x:row>
    <x:row r="360" ht="22" customHeight="1">
      <x:c r="A360" s="2" t="str">
        <x:v>APB-0355</x:v>
      </x:c>
      <x:c r="B360" s="2" t="str">
        <x:v>Bestandskunde 0355</x:v>
      </x:c>
      <x:c r="C360" s="2" t="str">
        <x:v>Nur Verkäuferexport</x:v>
      </x:c>
      <x:c r="D360" s="9" t="n">
        <x:v>6635</x:v>
      </x:c>
      <x:c r="E360" s="9" t="n">
        <x:v>26</x:v>
      </x:c>
      <x:c r="F360" s="9" t="n">
        <x:v>0</x:v>
      </x:c>
      <x:c r="G360" s="11" t="n">
        <x:f>SUM(D360:F360)</x:f>
        <x:v>6661</x:v>
      </x:c>
      <x:c r="H360" s="10" t="n">
        <x:v>0.92</x:v>
      </x:c>
      <x:c r="I360" s="11" t="n">
        <x:f>IF(ISNUMBER(H360),ROUND(D360*H360,2),NA())</x:f>
        <x:v>6104.2</x:v>
      </x:c>
      <x:c r="J360" s="2" t="str">
        <x:v>Regelbestand laut Verkäufer</x:v>
      </x:c>
      <x:c r="K360" s="2" t="str">
        <x:v>Export KREDIT-ERF-20260930, Einzelbelege nicht im Datenraum</x:v>
      </x:c>
    </x:row>
    <x:row r="361" ht="22" customHeight="1">
      <x:c r="A361" s="2" t="str">
        <x:v>APB-0356</x:v>
      </x:c>
      <x:c r="B361" s="2" t="str">
        <x:v>Bestandskunde 0356</x:v>
      </x:c>
      <x:c r="C361" s="2" t="str">
        <x:v>Nur Verkäuferexport</x:v>
      </x:c>
      <x:c r="D361" s="9" t="n">
        <x:v>6772</x:v>
      </x:c>
      <x:c r="E361" s="9" t="n">
        <x:v>32.5</x:v>
      </x:c>
      <x:c r="F361" s="9" t="n">
        <x:v>0</x:v>
      </x:c>
      <x:c r="G361" s="11" t="n">
        <x:f>SUM(D361:F361)</x:f>
        <x:v>6804.5</x:v>
      </x:c>
      <x:c r="H361" s="10" t="n">
        <x:v>0.92</x:v>
      </x:c>
      <x:c r="I361" s="11" t="n">
        <x:f>IF(ISNUMBER(H361),ROUND(D361*H361,2),NA())</x:f>
        <x:v>6230.24</x:v>
      </x:c>
      <x:c r="J361" s="2" t="str">
        <x:v>Regelbestand laut Verkäufer</x:v>
      </x:c>
      <x:c r="K361" s="2" t="str">
        <x:v>Export KREDIT-ERF-20260930, Einzelbelege nicht im Datenraum</x:v>
      </x:c>
    </x:row>
    <x:row r="362" ht="22" customHeight="1">
      <x:c r="A362" s="2" t="str">
        <x:v>APB-0357</x:v>
      </x:c>
      <x:c r="B362" s="2" t="str">
        <x:v>Bestandskunde 0357</x:v>
      </x:c>
      <x:c r="C362" s="2" t="str">
        <x:v>Nur Verkäuferexport</x:v>
      </x:c>
      <x:c r="D362" s="9" t="n">
        <x:v>6909</x:v>
      </x:c>
      <x:c r="E362" s="9" t="n">
        <x:v>39</x:v>
      </x:c>
      <x:c r="F362" s="9" t="n">
        <x:v>0</x:v>
      </x:c>
      <x:c r="G362" s="11" t="n">
        <x:f>SUM(D362:F362)</x:f>
        <x:v>6948</x:v>
      </x:c>
      <x:c r="H362" s="10" t="n">
        <x:v>0.92</x:v>
      </x:c>
      <x:c r="I362" s="11" t="n">
        <x:f>IF(ISNUMBER(H362),ROUND(D362*H362,2),NA())</x:f>
        <x:v>6356.28</x:v>
      </x:c>
      <x:c r="J362" s="2" t="str">
        <x:v>Regelbestand laut Verkäufer</x:v>
      </x:c>
      <x:c r="K362" s="2" t="str">
        <x:v>Export KREDIT-ERF-20260930, Einzelbelege nicht im Datenraum</x:v>
      </x:c>
    </x:row>
    <x:row r="363" ht="22" customHeight="1">
      <x:c r="A363" s="2" t="str">
        <x:v>APB-0358</x:v>
      </x:c>
      <x:c r="B363" s="2" t="str">
        <x:v>Bestandskunde 0358</x:v>
      </x:c>
      <x:c r="C363" s="2" t="str">
        <x:v>Nur Verkäuferexport</x:v>
      </x:c>
      <x:c r="D363" s="9" t="n">
        <x:v>7046</x:v>
      </x:c>
      <x:c r="E363" s="9" t="n">
        <x:v>45.5</x:v>
      </x:c>
      <x:c r="F363" s="9" t="n">
        <x:v>0</x:v>
      </x:c>
      <x:c r="G363" s="11" t="n">
        <x:f>SUM(D363:F363)</x:f>
        <x:v>7091.5</x:v>
      </x:c>
      <x:c r="H363" s="10" t="n">
        <x:v>0.92</x:v>
      </x:c>
      <x:c r="I363" s="11" t="n">
        <x:f>IF(ISNUMBER(H363),ROUND(D363*H363,2),NA())</x:f>
        <x:v>6482.32</x:v>
      </x:c>
      <x:c r="J363" s="2" t="str">
        <x:v>Regelbestand laut Verkäufer</x:v>
      </x:c>
      <x:c r="K363" s="2" t="str">
        <x:v>Export KREDIT-ERF-20260930, Einzelbelege nicht im Datenraum</x:v>
      </x:c>
    </x:row>
    <x:row r="364" ht="22" customHeight="1">
      <x:c r="A364" s="2" t="str">
        <x:v>APB-0359</x:v>
      </x:c>
      <x:c r="B364" s="2" t="str">
        <x:v>Bestandskunde 0359</x:v>
      </x:c>
      <x:c r="C364" s="2" t="str">
        <x:v>Nur Verkäuferexport</x:v>
      </x:c>
      <x:c r="D364" s="9" t="n">
        <x:v>7183</x:v>
      </x:c>
      <x:c r="E364" s="9" t="n">
        <x:v>52</x:v>
      </x:c>
      <x:c r="F364" s="9" t="n">
        <x:v>0</x:v>
      </x:c>
      <x:c r="G364" s="11" t="n">
        <x:f>SUM(D364:F364)</x:f>
        <x:v>7235</x:v>
      </x:c>
      <x:c r="H364" s="10" t="n">
        <x:v>0.92</x:v>
      </x:c>
      <x:c r="I364" s="11" t="n">
        <x:f>IF(ISNUMBER(H364),ROUND(D364*H364,2),NA())</x:f>
        <x:v>6608.36</x:v>
      </x:c>
      <x:c r="J364" s="2" t="str">
        <x:v>Regelbestand laut Verkäufer</x:v>
      </x:c>
      <x:c r="K364" s="2" t="str">
        <x:v>Export KREDIT-ERF-20260930, Einzelbelege nicht im Datenraum</x:v>
      </x:c>
    </x:row>
    <x:row r="365" ht="22" customHeight="1">
      <x:c r="A365" s="2" t="str">
        <x:v>APB-0360</x:v>
      </x:c>
      <x:c r="B365" s="2" t="str">
        <x:v>Bestandskunde 0360</x:v>
      </x:c>
      <x:c r="C365" s="2" t="str">
        <x:v>Nur Verkäuferexport</x:v>
      </x:c>
      <x:c r="D365" s="9" t="n">
        <x:v>7320</x:v>
      </x:c>
      <x:c r="E365" s="9" t="n">
        <x:v>0</x:v>
      </x:c>
      <x:c r="F365" s="9" t="n">
        <x:v>0</x:v>
      </x:c>
      <x:c r="G365" s="11" t="n">
        <x:f>SUM(D365:F365)</x:f>
        <x:v>7320</x:v>
      </x:c>
      <x:c r="H365" s="10" t="n">
        <x:v>0.92</x:v>
      </x:c>
      <x:c r="I365" s="11" t="n">
        <x:f>IF(ISNUMBER(H365),ROUND(D365*H365,2),NA())</x:f>
        <x:v>6734.4</x:v>
      </x:c>
      <x:c r="J365" s="2" t="str">
        <x:v>Regelbestand laut Verkäufer</x:v>
      </x:c>
      <x:c r="K365" s="2" t="str">
        <x:v>Export KREDIT-ERF-20260930, Einzelbelege nicht im Datenraum</x:v>
      </x:c>
    </x:row>
    <x:row r="366" ht="22" customHeight="1">
      <x:c r="A366" s="2" t="str">
        <x:v>APB-0361</x:v>
      </x:c>
      <x:c r="B366" s="2" t="str">
        <x:v>Bestandskunde 0361</x:v>
      </x:c>
      <x:c r="C366" s="2" t="str">
        <x:v>Nur Verkäuferexport</x:v>
      </x:c>
      <x:c r="D366" s="9" t="n">
        <x:v>7457</x:v>
      </x:c>
      <x:c r="E366" s="9" t="n">
        <x:v>6.5</x:v>
      </x:c>
      <x:c r="F366" s="9" t="n">
        <x:v>0</x:v>
      </x:c>
      <x:c r="G366" s="11" t="n">
        <x:f>SUM(D366:F366)</x:f>
        <x:v>7463.5</x:v>
      </x:c>
      <x:c r="H366" s="10" t="n">
        <x:v>0.92</x:v>
      </x:c>
      <x:c r="I366" s="11" t="n">
        <x:f>IF(ISNUMBER(H366),ROUND(D366*H366,2),NA())</x:f>
        <x:v>6860.44</x:v>
      </x:c>
      <x:c r="J366" s="2" t="str">
        <x:v>Regelbestand laut Verkäufer</x:v>
      </x:c>
      <x:c r="K366" s="2" t="str">
        <x:v>Export KREDIT-ERF-20260930, Einzelbelege nicht im Datenraum</x:v>
      </x:c>
    </x:row>
    <x:row r="367" ht="22" customHeight="1">
      <x:c r="A367" s="2" t="str">
        <x:v>APB-0362</x:v>
      </x:c>
      <x:c r="B367" s="2" t="str">
        <x:v>Bestandskunde 0362</x:v>
      </x:c>
      <x:c r="C367" s="2" t="str">
        <x:v>Nur Verkäuferexport</x:v>
      </x:c>
      <x:c r="D367" s="9" t="n">
        <x:v>7594</x:v>
      </x:c>
      <x:c r="E367" s="9" t="n">
        <x:v>13</x:v>
      </x:c>
      <x:c r="F367" s="9" t="n">
        <x:v>0</x:v>
      </x:c>
      <x:c r="G367" s="11" t="n">
        <x:f>SUM(D367:F367)</x:f>
        <x:v>7607</x:v>
      </x:c>
      <x:c r="H367" s="10" t="n">
        <x:v>0.92</x:v>
      </x:c>
      <x:c r="I367" s="11" t="n">
        <x:f>IF(ISNUMBER(H367),ROUND(D367*H367,2),NA())</x:f>
        <x:v>6986.48</x:v>
      </x:c>
      <x:c r="J367" s="2" t="str">
        <x:v>Regelbestand laut Verkäufer</x:v>
      </x:c>
      <x:c r="K367" s="2" t="str">
        <x:v>Export KREDIT-ERF-20260930, Einzelbelege nicht im Datenraum</x:v>
      </x:c>
    </x:row>
    <x:row r="368" ht="22" customHeight="1">
      <x:c r="A368" s="2" t="str">
        <x:v>APB-0363</x:v>
      </x:c>
      <x:c r="B368" s="2" t="str">
        <x:v>Bestandskunde 0363</x:v>
      </x:c>
      <x:c r="C368" s="2" t="str">
        <x:v>Nur Verkäuferexport</x:v>
      </x:c>
      <x:c r="D368" s="9" t="n">
        <x:v>7731</x:v>
      </x:c>
      <x:c r="E368" s="9" t="n">
        <x:v>19.5</x:v>
      </x:c>
      <x:c r="F368" s="9" t="n">
        <x:v>0</x:v>
      </x:c>
      <x:c r="G368" s="11" t="n">
        <x:f>SUM(D368:F368)</x:f>
        <x:v>7750.5</x:v>
      </x:c>
      <x:c r="H368" s="10" t="n">
        <x:v>0.92</x:v>
      </x:c>
      <x:c r="I368" s="11" t="n">
        <x:f>IF(ISNUMBER(H368),ROUND(D368*H368,2),NA())</x:f>
        <x:v>7112.52</x:v>
      </x:c>
      <x:c r="J368" s="2" t="str">
        <x:v>Regelbestand laut Verkäufer</x:v>
      </x:c>
      <x:c r="K368" s="2" t="str">
        <x:v>Export KREDIT-ERF-20260930, Einzelbelege nicht im Datenraum</x:v>
      </x:c>
    </x:row>
    <x:row r="369" ht="22" customHeight="1">
      <x:c r="A369" s="2" t="str">
        <x:v>APB-0364</x:v>
      </x:c>
      <x:c r="B369" s="2" t="str">
        <x:v>Bestandskunde 0364</x:v>
      </x:c>
      <x:c r="C369" s="2" t="str">
        <x:v>Nur Verkäuferexport</x:v>
      </x:c>
      <x:c r="D369" s="9" t="n">
        <x:v>7868</x:v>
      </x:c>
      <x:c r="E369" s="9" t="n">
        <x:v>26</x:v>
      </x:c>
      <x:c r="F369" s="9" t="n">
        <x:v>0</x:v>
      </x:c>
      <x:c r="G369" s="11" t="n">
        <x:f>SUM(D369:F369)</x:f>
        <x:v>7894</x:v>
      </x:c>
      <x:c r="H369" s="10" t="n">
        <x:v>0.92</x:v>
      </x:c>
      <x:c r="I369" s="11" t="n">
        <x:f>IF(ISNUMBER(H369),ROUND(D369*H369,2),NA())</x:f>
        <x:v>7238.56</x:v>
      </x:c>
      <x:c r="J369" s="2" t="str">
        <x:v>Regelbestand laut Verkäufer</x:v>
      </x:c>
      <x:c r="K369" s="2" t="str">
        <x:v>Export KREDIT-ERF-20260930, Einzelbelege nicht im Datenraum</x:v>
      </x:c>
    </x:row>
    <x:row r="370" ht="22" customHeight="1">
      <x:c r="A370" s="2" t="str">
        <x:v>APB-0365</x:v>
      </x:c>
      <x:c r="B370" s="2" t="str">
        <x:v>Bestandskunde 0365</x:v>
      </x:c>
      <x:c r="C370" s="2" t="str">
        <x:v>Nur Verkäuferexport</x:v>
      </x:c>
      <x:c r="D370" s="9" t="n">
        <x:v>8005</x:v>
      </x:c>
      <x:c r="E370" s="9" t="n">
        <x:v>32.5</x:v>
      </x:c>
      <x:c r="F370" s="9" t="n">
        <x:v>0</x:v>
      </x:c>
      <x:c r="G370" s="11" t="n">
        <x:f>SUM(D370:F370)</x:f>
        <x:v>8037.5</x:v>
      </x:c>
      <x:c r="H370" s="10" t="n">
        <x:v>0.92</x:v>
      </x:c>
      <x:c r="I370" s="11" t="n">
        <x:f>IF(ISNUMBER(H370),ROUND(D370*H370,2),NA())</x:f>
        <x:v>7364.6</x:v>
      </x:c>
      <x:c r="J370" s="2" t="str">
        <x:v>Regelbestand laut Verkäufer</x:v>
      </x:c>
      <x:c r="K370" s="2" t="str">
        <x:v>Export KREDIT-ERF-20260930, Einzelbelege nicht im Datenraum</x:v>
      </x:c>
    </x:row>
    <x:row r="371" ht="22" customHeight="1">
      <x:c r="A371" s="2" t="str">
        <x:v>APB-0366</x:v>
      </x:c>
      <x:c r="B371" s="2" t="str">
        <x:v>Bestandskunde 0366</x:v>
      </x:c>
      <x:c r="C371" s="2" t="str">
        <x:v>Nur Verkäuferexport</x:v>
      </x:c>
      <x:c r="D371" s="9" t="n">
        <x:v>8142</x:v>
      </x:c>
      <x:c r="E371" s="9" t="n">
        <x:v>39</x:v>
      </x:c>
      <x:c r="F371" s="9" t="n">
        <x:v>0</x:v>
      </x:c>
      <x:c r="G371" s="11" t="n">
        <x:f>SUM(D371:F371)</x:f>
        <x:v>8181</x:v>
      </x:c>
      <x:c r="H371" s="10" t="n">
        <x:v>0.92</x:v>
      </x:c>
      <x:c r="I371" s="11" t="n">
        <x:f>IF(ISNUMBER(H371),ROUND(D371*H371,2),NA())</x:f>
        <x:v>7490.64</x:v>
      </x:c>
      <x:c r="J371" s="2" t="str">
        <x:v>Regelbestand laut Verkäufer</x:v>
      </x:c>
      <x:c r="K371" s="2" t="str">
        <x:v>Export KREDIT-ERF-20260930, Einzelbelege nicht im Datenraum</x:v>
      </x:c>
    </x:row>
    <x:row r="372" ht="22" customHeight="1">
      <x:c r="A372" s="2" t="str">
        <x:v>APB-0367</x:v>
      </x:c>
      <x:c r="B372" s="2" t="str">
        <x:v>Bestandskunde 0367</x:v>
      </x:c>
      <x:c r="C372" s="2" t="str">
        <x:v>Nur Verkäuferexport</x:v>
      </x:c>
      <x:c r="D372" s="9" t="n">
        <x:v>8279</x:v>
      </x:c>
      <x:c r="E372" s="9" t="n">
        <x:v>45.5</x:v>
      </x:c>
      <x:c r="F372" s="9" t="n">
        <x:v>0</x:v>
      </x:c>
      <x:c r="G372" s="11" t="n">
        <x:f>SUM(D372:F372)</x:f>
        <x:v>8324.5</x:v>
      </x:c>
      <x:c r="H372" s="10" t="n">
        <x:v>0.92</x:v>
      </x:c>
      <x:c r="I372" s="11" t="n">
        <x:f>IF(ISNUMBER(H372),ROUND(D372*H372,2),NA())</x:f>
        <x:v>7616.68</x:v>
      </x:c>
      <x:c r="J372" s="2" t="str">
        <x:v>Regelbestand laut Verkäufer</x:v>
      </x:c>
      <x:c r="K372" s="2" t="str">
        <x:v>Export KREDIT-ERF-20260930, Einzelbelege nicht im Datenraum</x:v>
      </x:c>
    </x:row>
    <x:row r="373" ht="22" customHeight="1">
      <x:c r="A373" s="2" t="str">
        <x:v>APB-0368</x:v>
      </x:c>
      <x:c r="B373" s="2" t="str">
        <x:v>Bestandskunde 0368</x:v>
      </x:c>
      <x:c r="C373" s="2" t="str">
        <x:v>Nur Verkäuferexport</x:v>
      </x:c>
      <x:c r="D373" s="9" t="n">
        <x:v>8416</x:v>
      </x:c>
      <x:c r="E373" s="9" t="n">
        <x:v>52</x:v>
      </x:c>
      <x:c r="F373" s="9" t="n">
        <x:v>0</x:v>
      </x:c>
      <x:c r="G373" s="11" t="n">
        <x:f>SUM(D373:F373)</x:f>
        <x:v>8468</x:v>
      </x:c>
      <x:c r="H373" s="10" t="n">
        <x:v>0.92</x:v>
      </x:c>
      <x:c r="I373" s="11" t="n">
        <x:f>IF(ISNUMBER(H373),ROUND(D373*H373,2),NA())</x:f>
        <x:v>7742.72</x:v>
      </x:c>
      <x:c r="J373" s="2" t="str">
        <x:v>Regelbestand laut Verkäufer</x:v>
      </x:c>
      <x:c r="K373" s="2" t="str">
        <x:v>Export KREDIT-ERF-20260930, Einzelbelege nicht im Datenraum</x:v>
      </x:c>
    </x:row>
    <x:row r="374" ht="22" customHeight="1">
      <x:c r="A374" s="2" t="str">
        <x:v>APB-0369</x:v>
      </x:c>
      <x:c r="B374" s="2" t="str">
        <x:v>Bestandskunde 0369</x:v>
      </x:c>
      <x:c r="C374" s="2" t="str">
        <x:v>Nur Verkäuferexport</x:v>
      </x:c>
      <x:c r="D374" s="9" t="n">
        <x:v>8553</x:v>
      </x:c>
      <x:c r="E374" s="9" t="n">
        <x:v>0</x:v>
      </x:c>
      <x:c r="F374" s="9" t="n">
        <x:v>0</x:v>
      </x:c>
      <x:c r="G374" s="11" t="n">
        <x:f>SUM(D374:F374)</x:f>
        <x:v>8553</x:v>
      </x:c>
      <x:c r="H374" s="10" t="n">
        <x:v>0.92</x:v>
      </x:c>
      <x:c r="I374" s="11" t="n">
        <x:f>IF(ISNUMBER(H374),ROUND(D374*H374,2),NA())</x:f>
        <x:v>7868.76</x:v>
      </x:c>
      <x:c r="J374" s="2" t="str">
        <x:v>Regelbestand laut Verkäufer</x:v>
      </x:c>
      <x:c r="K374" s="2" t="str">
        <x:v>Export KREDIT-ERF-20260930, Einzelbelege nicht im Datenraum</x:v>
      </x:c>
    </x:row>
    <x:row r="375" ht="22" customHeight="1">
      <x:c r="A375" s="2" t="str">
        <x:v>APB-0370</x:v>
      </x:c>
      <x:c r="B375" s="2" t="str">
        <x:v>Bestandskunde 0370</x:v>
      </x:c>
      <x:c r="C375" s="2" t="str">
        <x:v>Nur Verkäuferexport</x:v>
      </x:c>
      <x:c r="D375" s="9" t="n">
        <x:v>8690</x:v>
      </x:c>
      <x:c r="E375" s="9" t="n">
        <x:v>6.5</x:v>
      </x:c>
      <x:c r="F375" s="9" t="n">
        <x:v>0</x:v>
      </x:c>
      <x:c r="G375" s="11" t="n">
        <x:f>SUM(D375:F375)</x:f>
        <x:v>8696.5</x:v>
      </x:c>
      <x:c r="H375" s="10" t="n">
        <x:v>0.92</x:v>
      </x:c>
      <x:c r="I375" s="11" t="n">
        <x:f>IF(ISNUMBER(H375),ROUND(D375*H375,2),NA())</x:f>
        <x:v>7994.8</x:v>
      </x:c>
      <x:c r="J375" s="2" t="str">
        <x:v>Regelbestand laut Verkäufer</x:v>
      </x:c>
      <x:c r="K375" s="2" t="str">
        <x:v>Export KREDIT-ERF-20260930, Einzelbelege nicht im Datenraum</x:v>
      </x:c>
    </x:row>
    <x:row r="376" ht="22" customHeight="1">
      <x:c r="A376" s="2" t="str">
        <x:v>APB-0371</x:v>
      </x:c>
      <x:c r="B376" s="2" t="str">
        <x:v>Bestandskunde 0371</x:v>
      </x:c>
      <x:c r="C376" s="2" t="str">
        <x:v>Nur Verkäuferexport</x:v>
      </x:c>
      <x:c r="D376" s="9" t="n">
        <x:v>8827</x:v>
      </x:c>
      <x:c r="E376" s="9" t="n">
        <x:v>13</x:v>
      </x:c>
      <x:c r="F376" s="9" t="n">
        <x:v>0</x:v>
      </x:c>
      <x:c r="G376" s="11" t="n">
        <x:f>SUM(D376:F376)</x:f>
        <x:v>8840</x:v>
      </x:c>
      <x:c r="H376" s="10" t="n">
        <x:v>0.92</x:v>
      </x:c>
      <x:c r="I376" s="11" t="n">
        <x:f>IF(ISNUMBER(H376),ROUND(D376*H376,2),NA())</x:f>
        <x:v>8120.84</x:v>
      </x:c>
      <x:c r="J376" s="2" t="str">
        <x:v>Regelbestand laut Verkäufer</x:v>
      </x:c>
      <x:c r="K376" s="2" t="str">
        <x:v>Export KREDIT-ERF-20260930, Einzelbelege nicht im Datenraum</x:v>
      </x:c>
    </x:row>
    <x:row r="377" ht="22" customHeight="1">
      <x:c r="A377" s="2" t="str">
        <x:v>APB-0372</x:v>
      </x:c>
      <x:c r="B377" s="2" t="str">
        <x:v>Bestandskunde 0372</x:v>
      </x:c>
      <x:c r="C377" s="2" t="str">
        <x:v>Nur Verkäuferexport</x:v>
      </x:c>
      <x:c r="D377" s="9" t="n">
        <x:v>8964</x:v>
      </x:c>
      <x:c r="E377" s="9" t="n">
        <x:v>19.5</x:v>
      </x:c>
      <x:c r="F377" s="9" t="n">
        <x:v>0</x:v>
      </x:c>
      <x:c r="G377" s="11" t="n">
        <x:f>SUM(D377:F377)</x:f>
        <x:v>8983.5</x:v>
      </x:c>
      <x:c r="H377" s="10" t="n">
        <x:v>0.92</x:v>
      </x:c>
      <x:c r="I377" s="11" t="n">
        <x:f>IF(ISNUMBER(H377),ROUND(D377*H377,2),NA())</x:f>
        <x:v>8246.88</x:v>
      </x:c>
      <x:c r="J377" s="2" t="str">
        <x:v>Regelbestand laut Verkäufer</x:v>
      </x:c>
      <x:c r="K377" s="2" t="str">
        <x:v>Export KREDIT-ERF-20260930, Einzelbelege nicht im Datenraum</x:v>
      </x:c>
    </x:row>
    <x:row r="378" ht="22" customHeight="1">
      <x:c r="A378" s="2" t="str">
        <x:v>APB-0373</x:v>
      </x:c>
      <x:c r="B378" s="2" t="str">
        <x:v>Bestandskunde 0373</x:v>
      </x:c>
      <x:c r="C378" s="2" t="str">
        <x:v>Nur Verkäuferexport</x:v>
      </x:c>
      <x:c r="D378" s="9" t="n">
        <x:v>9101</x:v>
      </x:c>
      <x:c r="E378" s="9" t="n">
        <x:v>26</x:v>
      </x:c>
      <x:c r="F378" s="9" t="n">
        <x:v>0</x:v>
      </x:c>
      <x:c r="G378" s="11" t="n">
        <x:f>SUM(D378:F378)</x:f>
        <x:v>9127</x:v>
      </x:c>
      <x:c r="H378" s="10" t="n">
        <x:v>0.92</x:v>
      </x:c>
      <x:c r="I378" s="11" t="n">
        <x:f>IF(ISNUMBER(H378),ROUND(D378*H378,2),NA())</x:f>
        <x:v>8372.92</x:v>
      </x:c>
      <x:c r="J378" s="2" t="str">
        <x:v>Regelbestand laut Verkäufer</x:v>
      </x:c>
      <x:c r="K378" s="2" t="str">
        <x:v>Export KREDIT-ERF-20260930, Einzelbelege nicht im Datenraum</x:v>
      </x:c>
    </x:row>
    <x:row r="379" ht="22" customHeight="1">
      <x:c r="A379" s="2" t="str">
        <x:v>APB-0374</x:v>
      </x:c>
      <x:c r="B379" s="2" t="str">
        <x:v>Bestandskunde 0374</x:v>
      </x:c>
      <x:c r="C379" s="2" t="str">
        <x:v>Nur Verkäuferexport</x:v>
      </x:c>
      <x:c r="D379" s="9" t="n">
        <x:v>9238</x:v>
      </x:c>
      <x:c r="E379" s="9" t="n">
        <x:v>32.5</x:v>
      </x:c>
      <x:c r="F379" s="9" t="n">
        <x:v>0</x:v>
      </x:c>
      <x:c r="G379" s="11" t="n">
        <x:f>SUM(D379:F379)</x:f>
        <x:v>9270.5</x:v>
      </x:c>
      <x:c r="H379" s="10" t="n">
        <x:v>0.92</x:v>
      </x:c>
      <x:c r="I379" s="11" t="n">
        <x:f>IF(ISNUMBER(H379),ROUND(D379*H379,2),NA())</x:f>
        <x:v>8498.96</x:v>
      </x:c>
      <x:c r="J379" s="2" t="str">
        <x:v>Regelbestand laut Verkäufer</x:v>
      </x:c>
      <x:c r="K379" s="2" t="str">
        <x:v>Export KREDIT-ERF-20260930, Einzelbelege nicht im Datenraum</x:v>
      </x:c>
    </x:row>
    <x:row r="380" ht="22" customHeight="1">
      <x:c r="A380" s="2" t="str">
        <x:v>APB-0375</x:v>
      </x:c>
      <x:c r="B380" s="2" t="str">
        <x:v>Bestandskunde 0375</x:v>
      </x:c>
      <x:c r="C380" s="2" t="str">
        <x:v>Nur Verkäuferexport</x:v>
      </x:c>
      <x:c r="D380" s="9" t="n">
        <x:v>9375</x:v>
      </x:c>
      <x:c r="E380" s="9" t="n">
        <x:v>39</x:v>
      </x:c>
      <x:c r="F380" s="9" t="n">
        <x:v>0</x:v>
      </x:c>
      <x:c r="G380" s="11" t="n">
        <x:f>SUM(D380:F380)</x:f>
        <x:v>9414</x:v>
      </x:c>
      <x:c r="H380" s="10" t="n">
        <x:v>0.92</x:v>
      </x:c>
      <x:c r="I380" s="11" t="n">
        <x:f>IF(ISNUMBER(H380),ROUND(D380*H380,2),NA())</x:f>
        <x:v>8625</x:v>
      </x:c>
      <x:c r="J380" s="2" t="str">
        <x:v>Regelbestand laut Verkäufer</x:v>
      </x:c>
      <x:c r="K380" s="2" t="str">
        <x:v>Export KREDIT-ERF-20260930, Einzelbelege nicht im Datenraum</x:v>
      </x:c>
    </x:row>
    <x:row r="381" ht="22" customHeight="1">
      <x:c r="A381" s="2" t="str">
        <x:v>APB-0376</x:v>
      </x:c>
      <x:c r="B381" s="2" t="str">
        <x:v>Bestandskunde 0376</x:v>
      </x:c>
      <x:c r="C381" s="2" t="str">
        <x:v>Nur Verkäuferexport</x:v>
      </x:c>
      <x:c r="D381" s="9" t="n">
        <x:v>9512</x:v>
      </x:c>
      <x:c r="E381" s="9" t="n">
        <x:v>45.5</x:v>
      </x:c>
      <x:c r="F381" s="9" t="n">
        <x:v>0</x:v>
      </x:c>
      <x:c r="G381" s="11" t="n">
        <x:f>SUM(D381:F381)</x:f>
        <x:v>9557.5</x:v>
      </x:c>
      <x:c r="H381" s="10" t="n">
        <x:v>0.92</x:v>
      </x:c>
      <x:c r="I381" s="11" t="n">
        <x:f>IF(ISNUMBER(H381),ROUND(D381*H381,2),NA())</x:f>
        <x:v>8751.04</x:v>
      </x:c>
      <x:c r="J381" s="2" t="str">
        <x:v>Regelbestand laut Verkäufer</x:v>
      </x:c>
      <x:c r="K381" s="2" t="str">
        <x:v>Export KREDIT-ERF-20260930, Einzelbelege nicht im Datenraum</x:v>
      </x:c>
    </x:row>
    <x:row r="382" ht="22" customHeight="1">
      <x:c r="A382" s="2" t="str">
        <x:v>APB-0377</x:v>
      </x:c>
      <x:c r="B382" s="2" t="str">
        <x:v>Bestandskunde 0377</x:v>
      </x:c>
      <x:c r="C382" s="2" t="str">
        <x:v>Nur Verkäuferexport</x:v>
      </x:c>
      <x:c r="D382" s="9" t="n">
        <x:v>9649</x:v>
      </x:c>
      <x:c r="E382" s="9" t="n">
        <x:v>52</x:v>
      </x:c>
      <x:c r="F382" s="9" t="n">
        <x:v>15</x:v>
      </x:c>
      <x:c r="G382" s="11" t="n">
        <x:f>SUM(D382:F382)</x:f>
        <x:v>9716</x:v>
      </x:c>
      <x:c r="H382" s="10" t="n">
        <x:v>0.92</x:v>
      </x:c>
      <x:c r="I382" s="11" t="n">
        <x:f>IF(ISNUMBER(H382),ROUND(D382*H382,2),NA())</x:f>
        <x:v>8877.08</x:v>
      </x:c>
      <x:c r="J382" s="2" t="str">
        <x:v>Zahlungslücke im Export</x:v>
      </x:c>
      <x:c r="K382" s="2" t="str">
        <x:v>Export KREDIT-ERF-20260930, Einzelbelege nicht im Datenraum</x:v>
      </x:c>
    </x:row>
    <x:row r="383" ht="22" customHeight="1">
      <x:c r="A383" s="2" t="str">
        <x:v>APB-0378</x:v>
      </x:c>
      <x:c r="B383" s="2" t="str">
        <x:v>Bestandskunde 0378</x:v>
      </x:c>
      <x:c r="C383" s="2" t="str">
        <x:v>Nur Verkäuferexport</x:v>
      </x:c>
      <x:c r="D383" s="9" t="n">
        <x:v>9786</x:v>
      </x:c>
      <x:c r="E383" s="9" t="n">
        <x:v>0</x:v>
      </x:c>
      <x:c r="F383" s="9" t="n">
        <x:v>0</x:v>
      </x:c>
      <x:c r="G383" s="11" t="n">
        <x:f>SUM(D383:F383)</x:f>
        <x:v>9786</x:v>
      </x:c>
      <x:c r="H383" s="10" t="n">
        <x:v>0.92</x:v>
      </x:c>
      <x:c r="I383" s="11" t="n">
        <x:f>IF(ISNUMBER(H383),ROUND(D383*H383,2),NA())</x:f>
        <x:v>9003.12</x:v>
      </x:c>
      <x:c r="J383" s="2" t="str">
        <x:v>Regelbestand laut Verkäufer</x:v>
      </x:c>
      <x:c r="K383" s="2" t="str">
        <x:v>Export KREDIT-ERF-20260930, Einzelbelege nicht im Datenraum</x:v>
      </x:c>
    </x:row>
    <x:row r="384" ht="22" customHeight="1">
      <x:c r="A384" s="2" t="str">
        <x:v>APB-0379</x:v>
      </x:c>
      <x:c r="B384" s="2" t="str">
        <x:v>Bestandskunde 0379</x:v>
      </x:c>
      <x:c r="C384" s="2" t="str">
        <x:v>Nur Verkäuferexport</x:v>
      </x:c>
      <x:c r="D384" s="9" t="n">
        <x:v>9923</x:v>
      </x:c>
      <x:c r="E384" s="9" t="n">
        <x:v>6.5</x:v>
      </x:c>
      <x:c r="F384" s="9" t="n">
        <x:v>0</x:v>
      </x:c>
      <x:c r="G384" s="11" t="n">
        <x:f>SUM(D384:F384)</x:f>
        <x:v>9929.5</x:v>
      </x:c>
      <x:c r="H384" s="10" t="n">
        <x:v>0.92</x:v>
      </x:c>
      <x:c r="I384" s="11" t="n">
        <x:f>IF(ISNUMBER(H384),ROUND(D384*H384,2),NA())</x:f>
        <x:v>9129.16</x:v>
      </x:c>
      <x:c r="J384" s="2" t="str">
        <x:v>Regelbestand laut Verkäufer</x:v>
      </x:c>
      <x:c r="K384" s="2" t="str">
        <x:v>Export KREDIT-ERF-20260930, Einzelbelege nicht im Datenraum</x:v>
      </x:c>
    </x:row>
    <x:row r="385" ht="22" customHeight="1">
      <x:c r="A385" s="2" t="str">
        <x:v>APB-0380</x:v>
      </x:c>
      <x:c r="B385" s="2" t="str">
        <x:v>Bestandskunde 0380</x:v>
      </x:c>
      <x:c r="C385" s="2" t="str">
        <x:v>Nur Verkäuferexport</x:v>
      </x:c>
      <x:c r="D385" s="9" t="n">
        <x:v>10060</x:v>
      </x:c>
      <x:c r="E385" s="9" t="n">
        <x:v>13</x:v>
      </x:c>
      <x:c r="F385" s="9" t="n">
        <x:v>0</x:v>
      </x:c>
      <x:c r="G385" s="11" t="n">
        <x:f>SUM(D385:F385)</x:f>
        <x:v>10073</x:v>
      </x:c>
      <x:c r="H385" s="10" t="n">
        <x:v>0.92</x:v>
      </x:c>
      <x:c r="I385" s="11" t="n">
        <x:f>IF(ISNUMBER(H385),ROUND(D385*H385,2),NA())</x:f>
        <x:v>9255.2</x:v>
      </x:c>
      <x:c r="J385" s="2" t="str">
        <x:v>Regelbestand laut Verkäufer</x:v>
      </x:c>
      <x:c r="K385" s="2" t="str">
        <x:v>Export KREDIT-ERF-20260930, Einzelbelege nicht im Datenraum</x:v>
      </x:c>
    </x:row>
    <x:row r="386" ht="22" customHeight="1">
      <x:c r="A386" s="2" t="str">
        <x:v>APB-0381</x:v>
      </x:c>
      <x:c r="B386" s="2" t="str">
        <x:v>Bestandskunde 0381</x:v>
      </x:c>
      <x:c r="C386" s="2" t="str">
        <x:v>Nur Verkäuferexport</x:v>
      </x:c>
      <x:c r="D386" s="9" t="n">
        <x:v>10197</x:v>
      </x:c>
      <x:c r="E386" s="9" t="n">
        <x:v>19.5</x:v>
      </x:c>
      <x:c r="F386" s="9" t="n">
        <x:v>0</x:v>
      </x:c>
      <x:c r="G386" s="11" t="n">
        <x:f>SUM(D386:F386)</x:f>
        <x:v>10216.5</x:v>
      </x:c>
      <x:c r="H386" s="10" t="n">
        <x:v>0.92</x:v>
      </x:c>
      <x:c r="I386" s="11" t="n">
        <x:f>IF(ISNUMBER(H386),ROUND(D386*H386,2),NA())</x:f>
        <x:v>9381.24</x:v>
      </x:c>
      <x:c r="J386" s="2" t="str">
        <x:v>Regelbestand laut Verkäufer</x:v>
      </x:c>
      <x:c r="K386" s="2" t="str">
        <x:v>Export KREDIT-ERF-20260930, Einzelbelege nicht im Datenraum</x:v>
      </x:c>
    </x:row>
    <x:row r="387" ht="22" customHeight="1">
      <x:c r="A387" s="2" t="str">
        <x:v>APB-0382</x:v>
      </x:c>
      <x:c r="B387" s="2" t="str">
        <x:v>Bestandskunde 0382</x:v>
      </x:c>
      <x:c r="C387" s="2" t="str">
        <x:v>Nur Verkäuferexport</x:v>
      </x:c>
      <x:c r="D387" s="9" t="n">
        <x:v>10334</x:v>
      </x:c>
      <x:c r="E387" s="9" t="n">
        <x:v>26</x:v>
      </x:c>
      <x:c r="F387" s="9" t="n">
        <x:v>0</x:v>
      </x:c>
      <x:c r="G387" s="11" t="n">
        <x:f>SUM(D387:F387)</x:f>
        <x:v>10360</x:v>
      </x:c>
      <x:c r="H387" s="10" t="n">
        <x:v>0.92</x:v>
      </x:c>
      <x:c r="I387" s="11" t="n">
        <x:f>IF(ISNUMBER(H387),ROUND(D387*H387,2),NA())</x:f>
        <x:v>9507.28</x:v>
      </x:c>
      <x:c r="J387" s="2" t="str">
        <x:v>Regelbestand laut Verkäufer</x:v>
      </x:c>
      <x:c r="K387" s="2" t="str">
        <x:v>Export KREDIT-ERF-20260930, Einzelbelege nicht im Datenraum</x:v>
      </x:c>
    </x:row>
    <x:row r="388" ht="22" customHeight="1">
      <x:c r="A388" s="2" t="str">
        <x:v>APB-0383</x:v>
      </x:c>
      <x:c r="B388" s="2" t="str">
        <x:v>Bestandskunde 0383</x:v>
      </x:c>
      <x:c r="C388" s="2" t="str">
        <x:v>Nur Verkäuferexport</x:v>
      </x:c>
      <x:c r="D388" s="9" t="n">
        <x:v>10471</x:v>
      </x:c>
      <x:c r="E388" s="9" t="n">
        <x:v>32.5</x:v>
      </x:c>
      <x:c r="F388" s="9" t="n">
        <x:v>0</x:v>
      </x:c>
      <x:c r="G388" s="11" t="n">
        <x:f>SUM(D388:F388)</x:f>
        <x:v>10503.5</x:v>
      </x:c>
      <x:c r="H388" s="10" t="n">
        <x:v>0.92</x:v>
      </x:c>
      <x:c r="I388" s="11" t="n">
        <x:f>IF(ISNUMBER(H388),ROUND(D388*H388,2),NA())</x:f>
        <x:v>9633.32</x:v>
      </x:c>
      <x:c r="J388" s="2" t="str">
        <x:v>Regelbestand laut Verkäufer</x:v>
      </x:c>
      <x:c r="K388" s="2" t="str">
        <x:v>Export KREDIT-ERF-20260930, Einzelbelege nicht im Datenraum</x:v>
      </x:c>
    </x:row>
    <x:row r="389" ht="22" customHeight="1">
      <x:c r="A389" s="2" t="str">
        <x:v>APB-0384</x:v>
      </x:c>
      <x:c r="B389" s="2" t="str">
        <x:v>Bestandskunde 0384</x:v>
      </x:c>
      <x:c r="C389" s="2" t="str">
        <x:v>Nur Verkäuferexport</x:v>
      </x:c>
      <x:c r="D389" s="9" t="n">
        <x:v>10608</x:v>
      </x:c>
      <x:c r="E389" s="9" t="n">
        <x:v>39</x:v>
      </x:c>
      <x:c r="F389" s="9" t="n">
        <x:v>0</x:v>
      </x:c>
      <x:c r="G389" s="11" t="n">
        <x:f>SUM(D389:F389)</x:f>
        <x:v>10647</x:v>
      </x:c>
      <x:c r="H389" s="10" t="n">
        <x:v>0.92</x:v>
      </x:c>
      <x:c r="I389" s="11" t="n">
        <x:f>IF(ISNUMBER(H389),ROUND(D389*H389,2),NA())</x:f>
        <x:v>9759.36</x:v>
      </x:c>
      <x:c r="J389" s="2" t="str">
        <x:v>Regelbestand laut Verkäufer</x:v>
      </x:c>
      <x:c r="K389" s="2" t="str">
        <x:v>Export KREDIT-ERF-20260930, Einzelbelege nicht im Datenraum</x:v>
      </x:c>
    </x:row>
    <x:row r="390" ht="22" customHeight="1">
      <x:c r="A390" s="2" t="str">
        <x:v>APB-0385</x:v>
      </x:c>
      <x:c r="B390" s="2" t="str">
        <x:v>Bestandskunde 0385</x:v>
      </x:c>
      <x:c r="C390" s="2" t="str">
        <x:v>Nur Verkäuferexport</x:v>
      </x:c>
      <x:c r="D390" s="9" t="n">
        <x:v>10745</x:v>
      </x:c>
      <x:c r="E390" s="9" t="n">
        <x:v>45.5</x:v>
      </x:c>
      <x:c r="F390" s="9" t="n">
        <x:v>0</x:v>
      </x:c>
      <x:c r="G390" s="11" t="n">
        <x:f>SUM(D390:F390)</x:f>
        <x:v>10790.5</x:v>
      </x:c>
      <x:c r="H390" s="10" t="n">
        <x:v>0.92</x:v>
      </x:c>
      <x:c r="I390" s="11" t="n">
        <x:f>IF(ISNUMBER(H390),ROUND(D390*H390,2),NA())</x:f>
        <x:v>9885.4</x:v>
      </x:c>
      <x:c r="J390" s="2" t="str">
        <x:v>Regelbestand laut Verkäufer</x:v>
      </x:c>
      <x:c r="K390" s="2" t="str">
        <x:v>Export KREDIT-ERF-20260930, Einzelbelege nicht im Datenraum</x:v>
      </x:c>
    </x:row>
    <x:row r="391" ht="22" customHeight="1">
      <x:c r="A391" s="2" t="str">
        <x:v>APB-0386</x:v>
      </x:c>
      <x:c r="B391" s="2" t="str">
        <x:v>Bestandskunde 0386</x:v>
      </x:c>
      <x:c r="C391" s="2" t="str">
        <x:v>Nur Verkäuferexport</x:v>
      </x:c>
      <x:c r="D391" s="9" t="n">
        <x:v>10882</x:v>
      </x:c>
      <x:c r="E391" s="9" t="n">
        <x:v>52</x:v>
      </x:c>
      <x:c r="F391" s="9" t="n">
        <x:v>0</x:v>
      </x:c>
      <x:c r="G391" s="11" t="n">
        <x:f>SUM(D391:F391)</x:f>
        <x:v>10934</x:v>
      </x:c>
      <x:c r="H391" s="10" t="n">
        <x:v>0.92</x:v>
      </x:c>
      <x:c r="I391" s="11" t="n">
        <x:f>IF(ISNUMBER(H391),ROUND(D391*H391,2),NA())</x:f>
        <x:v>10011.44</x:v>
      </x:c>
      <x:c r="J391" s="2" t="str">
        <x:v>Regelbestand laut Verkäufer</x:v>
      </x:c>
      <x:c r="K391" s="2" t="str">
        <x:v>Export KREDIT-ERF-20260930, Einzelbelege nicht im Datenraum</x:v>
      </x:c>
    </x:row>
    <x:row r="392" ht="22" customHeight="1">
      <x:c r="A392" s="2" t="str">
        <x:v>APB-0387</x:v>
      </x:c>
      <x:c r="B392" s="2" t="str">
        <x:v>Bestandskunde 0387</x:v>
      </x:c>
      <x:c r="C392" s="2" t="str">
        <x:v>Nur Verkäuferexport</x:v>
      </x:c>
      <x:c r="D392" s="9" t="n">
        <x:v>11019</x:v>
      </x:c>
      <x:c r="E392" s="9" t="n">
        <x:v>0</x:v>
      </x:c>
      <x:c r="F392" s="9" t="n">
        <x:v>0</x:v>
      </x:c>
      <x:c r="G392" s="11" t="n">
        <x:f>SUM(D392:F392)</x:f>
        <x:v>11019</x:v>
      </x:c>
      <x:c r="H392" s="10" t="n">
        <x:v>0.92</x:v>
      </x:c>
      <x:c r="I392" s="11" t="n">
        <x:f>IF(ISNUMBER(H392),ROUND(D392*H392,2),NA())</x:f>
        <x:v>10137.48</x:v>
      </x:c>
      <x:c r="J392" s="2" t="str">
        <x:v>Regelbestand laut Verkäufer</x:v>
      </x:c>
      <x:c r="K392" s="2" t="str">
        <x:v>Export KREDIT-ERF-20260930, Einzelbelege nicht im Datenraum</x:v>
      </x:c>
    </x:row>
    <x:row r="393" ht="22" customHeight="1">
      <x:c r="A393" s="2" t="str">
        <x:v>APB-0388</x:v>
      </x:c>
      <x:c r="B393" s="2" t="str">
        <x:v>Bestandskunde 0388</x:v>
      </x:c>
      <x:c r="C393" s="2" t="str">
        <x:v>Nur Verkäuferexport</x:v>
      </x:c>
      <x:c r="D393" s="9" t="n">
        <x:v>11156</x:v>
      </x:c>
      <x:c r="E393" s="9" t="n">
        <x:v>6.5</x:v>
      </x:c>
      <x:c r="F393" s="9" t="n">
        <x:v>0</x:v>
      </x:c>
      <x:c r="G393" s="11" t="n">
        <x:f>SUM(D393:F393)</x:f>
        <x:v>11162.5</x:v>
      </x:c>
      <x:c r="H393" s="10" t="n">
        <x:v>0.92</x:v>
      </x:c>
      <x:c r="I393" s="11" t="n">
        <x:f>IF(ISNUMBER(H393),ROUND(D393*H393,2),NA())</x:f>
        <x:v>10263.52</x:v>
      </x:c>
      <x:c r="J393" s="2" t="str">
        <x:v>Regelbestand laut Verkäufer</x:v>
      </x:c>
      <x:c r="K393" s="2" t="str">
        <x:v>Export KREDIT-ERF-20260930, Einzelbelege nicht im Datenraum</x:v>
      </x:c>
    </x:row>
    <x:row r="394" ht="22" customHeight="1">
      <x:c r="A394" s="2" t="str">
        <x:v>APB-0389</x:v>
      </x:c>
      <x:c r="B394" s="2" t="str">
        <x:v>Bestandskunde 0389</x:v>
      </x:c>
      <x:c r="C394" s="2" t="str">
        <x:v>Nur Verkäuferexport</x:v>
      </x:c>
      <x:c r="D394" s="9" t="n">
        <x:v>11293</x:v>
      </x:c>
      <x:c r="E394" s="9" t="n">
        <x:v>13</x:v>
      </x:c>
      <x:c r="F394" s="9" t="n">
        <x:v>0</x:v>
      </x:c>
      <x:c r="G394" s="11" t="n">
        <x:f>SUM(D394:F394)</x:f>
        <x:v>11306</x:v>
      </x:c>
      <x:c r="H394" s="10" t="n">
        <x:v>0.92</x:v>
      </x:c>
      <x:c r="I394" s="11" t="n">
        <x:f>IF(ISNUMBER(H394),ROUND(D394*H394,2),NA())</x:f>
        <x:v>10389.56</x:v>
      </x:c>
      <x:c r="J394" s="2" t="str">
        <x:v>Regelbestand laut Verkäufer</x:v>
      </x:c>
      <x:c r="K394" s="2" t="str">
        <x:v>Export KREDIT-ERF-20260930, Einzelbelege nicht im Datenraum</x:v>
      </x:c>
    </x:row>
    <x:row r="395" ht="22" customHeight="1">
      <x:c r="A395" s="2" t="str">
        <x:v>APB-0390</x:v>
      </x:c>
      <x:c r="B395" s="2" t="str">
        <x:v>Bestandskunde 0390</x:v>
      </x:c>
      <x:c r="C395" s="2" t="str">
        <x:v>Nur Verkäuferexport</x:v>
      </x:c>
      <x:c r="D395" s="9" t="n">
        <x:v>11430</x:v>
      </x:c>
      <x:c r="E395" s="9" t="n">
        <x:v>19.5</x:v>
      </x:c>
      <x:c r="F395" s="9" t="n">
        <x:v>0</x:v>
      </x:c>
      <x:c r="G395" s="11" t="n">
        <x:f>SUM(D395:F395)</x:f>
        <x:v>11449.5</x:v>
      </x:c>
      <x:c r="H395" s="10" t="n">
        <x:v>0.92</x:v>
      </x:c>
      <x:c r="I395" s="11" t="n">
        <x:f>IF(ISNUMBER(H395),ROUND(D395*H395,2),NA())</x:f>
        <x:v>10515.6</x:v>
      </x:c>
      <x:c r="J395" s="2" t="str">
        <x:v>Regelbestand laut Verkäufer</x:v>
      </x:c>
      <x:c r="K395" s="2" t="str">
        <x:v>Export KREDIT-ERF-20260930, Einzelbelege nicht im Datenraum</x:v>
      </x:c>
    </x:row>
    <x:row r="396" ht="22" customHeight="1">
      <x:c r="A396" s="2" t="str">
        <x:v>APB-0391</x:v>
      </x:c>
      <x:c r="B396" s="2" t="str">
        <x:v>Bestandskunde 0391</x:v>
      </x:c>
      <x:c r="C396" s="2" t="str">
        <x:v>Nur Verkäuferexport</x:v>
      </x:c>
      <x:c r="D396" s="9" t="n">
        <x:v>11567</x:v>
      </x:c>
      <x:c r="E396" s="9" t="n">
        <x:v>26</x:v>
      </x:c>
      <x:c r="F396" s="9" t="n">
        <x:v>0</x:v>
      </x:c>
      <x:c r="G396" s="11" t="n">
        <x:f>SUM(D396:F396)</x:f>
        <x:v>11593</x:v>
      </x:c>
      <x:c r="H396" s="10" t="n">
        <x:v>0.92</x:v>
      </x:c>
      <x:c r="I396" s="11" t="n">
        <x:f>IF(ISNUMBER(H396),ROUND(D396*H396,2),NA())</x:f>
        <x:v>10641.64</x:v>
      </x:c>
      <x:c r="J396" s="2" t="str">
        <x:v>Regelbestand laut Verkäufer</x:v>
      </x:c>
      <x:c r="K396" s="2" t="str">
        <x:v>Export KREDIT-ERF-20260930, Einzelbelege nicht im Datenraum</x:v>
      </x:c>
    </x:row>
    <x:row r="397" ht="22" customHeight="1">
      <x:c r="A397" s="2" t="str">
        <x:v>APB-0392</x:v>
      </x:c>
      <x:c r="B397" s="2" t="str">
        <x:v>Bestandskunde 0392</x:v>
      </x:c>
      <x:c r="C397" s="2" t="str">
        <x:v>Nur Verkäuferexport</x:v>
      </x:c>
      <x:c r="D397" s="9" t="n">
        <x:v>11704</x:v>
      </x:c>
      <x:c r="E397" s="9" t="n">
        <x:v>32.5</x:v>
      </x:c>
      <x:c r="F397" s="9" t="n">
        <x:v>0</x:v>
      </x:c>
      <x:c r="G397" s="11" t="n">
        <x:f>SUM(D397:F397)</x:f>
        <x:v>11736.5</x:v>
      </x:c>
      <x:c r="H397" s="10" t="n">
        <x:v>0.92</x:v>
      </x:c>
      <x:c r="I397" s="11" t="n">
        <x:f>IF(ISNUMBER(H397),ROUND(D397*H397,2),NA())</x:f>
        <x:v>10767.68</x:v>
      </x:c>
      <x:c r="J397" s="2" t="str">
        <x:v>Regelbestand laut Verkäufer</x:v>
      </x:c>
      <x:c r="K397" s="2" t="str">
        <x:v>Export KREDIT-ERF-20260930, Einzelbelege nicht im Datenraum</x:v>
      </x:c>
    </x:row>
    <x:row r="398" ht="22" customHeight="1">
      <x:c r="A398" s="2" t="str">
        <x:v>APB-0393</x:v>
      </x:c>
      <x:c r="B398" s="2" t="str">
        <x:v>Bestandskunde 0393</x:v>
      </x:c>
      <x:c r="C398" s="2" t="str">
        <x:v>Nur Verkäuferexport</x:v>
      </x:c>
      <x:c r="D398" s="9" t="n">
        <x:v>11841</x:v>
      </x:c>
      <x:c r="E398" s="9" t="n">
        <x:v>39</x:v>
      </x:c>
      <x:c r="F398" s="9" t="n">
        <x:v>0</x:v>
      </x:c>
      <x:c r="G398" s="11" t="n">
        <x:f>SUM(D398:F398)</x:f>
        <x:v>11880</x:v>
      </x:c>
      <x:c r="H398" s="10" t="n">
        <x:v>0.92</x:v>
      </x:c>
      <x:c r="I398" s="11" t="n">
        <x:f>IF(ISNUMBER(H398),ROUND(D398*H398,2),NA())</x:f>
        <x:v>10893.72</x:v>
      </x:c>
      <x:c r="J398" s="2" t="str">
        <x:v>Regelbestand laut Verkäufer</x:v>
      </x:c>
      <x:c r="K398" s="2" t="str">
        <x:v>Export KREDIT-ERF-20260930, Einzelbelege nicht im Datenraum</x:v>
      </x:c>
    </x:row>
    <x:row r="399" ht="22" customHeight="1">
      <x:c r="A399" s="2" t="str">
        <x:v>APB-0394</x:v>
      </x:c>
      <x:c r="B399" s="2" t="str">
        <x:v>Bestandskunde 0394</x:v>
      </x:c>
      <x:c r="C399" s="2" t="str">
        <x:v>Nur Verkäuferexport</x:v>
      </x:c>
      <x:c r="D399" s="9" t="n">
        <x:v>11978</x:v>
      </x:c>
      <x:c r="E399" s="9" t="n">
        <x:v>45.5</x:v>
      </x:c>
      <x:c r="F399" s="9" t="n">
        <x:v>0</x:v>
      </x:c>
      <x:c r="G399" s="11" t="n">
        <x:f>SUM(D399:F399)</x:f>
        <x:v>12023.5</x:v>
      </x:c>
      <x:c r="H399" s="10" t="n">
        <x:v>0.92</x:v>
      </x:c>
      <x:c r="I399" s="11" t="n">
        <x:f>IF(ISNUMBER(H399),ROUND(D399*H399,2),NA())</x:f>
        <x:v>11019.76</x:v>
      </x:c>
      <x:c r="J399" s="2" t="str">
        <x:v>Regelbestand laut Verkäufer</x:v>
      </x:c>
      <x:c r="K399" s="2" t="str">
        <x:v>Export KREDIT-ERF-20260930, Einzelbelege nicht im Datenraum</x:v>
      </x:c>
    </x:row>
    <x:row r="400" ht="22" customHeight="1">
      <x:c r="A400" s="2" t="str">
        <x:v>APB-0395</x:v>
      </x:c>
      <x:c r="B400" s="2" t="str">
        <x:v>Bestandskunde 0395</x:v>
      </x:c>
      <x:c r="C400" s="2" t="str">
        <x:v>Nur Verkäuferexport</x:v>
      </x:c>
      <x:c r="D400" s="9" t="n">
        <x:v>12115</x:v>
      </x:c>
      <x:c r="E400" s="9" t="n">
        <x:v>52</x:v>
      </x:c>
      <x:c r="F400" s="9" t="n">
        <x:v>0</x:v>
      </x:c>
      <x:c r="G400" s="11" t="n">
        <x:f>SUM(D400:F400)</x:f>
        <x:v>12167</x:v>
      </x:c>
      <x:c r="H400" s="10" t="n">
        <x:v>0.92</x:v>
      </x:c>
      <x:c r="I400" s="11" t="n">
        <x:f>IF(ISNUMBER(H400),ROUND(D400*H400,2),NA())</x:f>
        <x:v>11145.8</x:v>
      </x:c>
      <x:c r="J400" s="2" t="str">
        <x:v>Regelbestand laut Verkäufer</x:v>
      </x:c>
      <x:c r="K400" s="2" t="str">
        <x:v>Export KREDIT-ERF-20260930, Einzelbelege nicht im Datenraum</x:v>
      </x:c>
    </x:row>
    <x:row r="401" ht="22" customHeight="1">
      <x:c r="A401" s="2" t="str">
        <x:v>APB-0396</x:v>
      </x:c>
      <x:c r="B401" s="2" t="str">
        <x:v>Bestandskunde 0396</x:v>
      </x:c>
      <x:c r="C401" s="2" t="str">
        <x:v>Nur Verkäuferexport</x:v>
      </x:c>
      <x:c r="D401" s="9" t="n">
        <x:v>12252</x:v>
      </x:c>
      <x:c r="E401" s="9" t="n">
        <x:v>0</x:v>
      </x:c>
      <x:c r="F401" s="9" t="n">
        <x:v>0</x:v>
      </x:c>
      <x:c r="G401" s="11" t="n">
        <x:f>SUM(D401:F401)</x:f>
        <x:v>12252</x:v>
      </x:c>
      <x:c r="H401" s="10" t="n">
        <x:v>0.92</x:v>
      </x:c>
      <x:c r="I401" s="11" t="n">
        <x:f>IF(ISNUMBER(H401),ROUND(D401*H401,2),NA())</x:f>
        <x:v>11271.84</x:v>
      </x:c>
      <x:c r="J401" s="2" t="str">
        <x:v>Regelbestand laut Verkäufer</x:v>
      </x:c>
      <x:c r="K401" s="2" t="str">
        <x:v>Export KREDIT-ERF-20260930, Einzelbelege nicht im Datenraum</x:v>
      </x:c>
    </x:row>
    <x:row r="402" ht="22" customHeight="1">
      <x:c r="A402" s="2" t="str">
        <x:v>APB-0397</x:v>
      </x:c>
      <x:c r="B402" s="2" t="str">
        <x:v>Bestandskunde 0397</x:v>
      </x:c>
      <x:c r="C402" s="2" t="str">
        <x:v>Nur Verkäuferexport</x:v>
      </x:c>
      <x:c r="D402" s="9" t="n">
        <x:v>12389</x:v>
      </x:c>
      <x:c r="E402" s="9" t="n">
        <x:v>6.5</x:v>
      </x:c>
      <x:c r="F402" s="9" t="n">
        <x:v>0</x:v>
      </x:c>
      <x:c r="G402" s="11" t="n">
        <x:f>SUM(D402:F402)</x:f>
        <x:v>12395.5</x:v>
      </x:c>
      <x:c r="H402" s="10" t="n">
        <x:v>0.92</x:v>
      </x:c>
      <x:c r="I402" s="11" t="n">
        <x:f>IF(ISNUMBER(H402),ROUND(D402*H402,2),NA())</x:f>
        <x:v>11397.88</x:v>
      </x:c>
      <x:c r="J402" s="2" t="str">
        <x:v>Regelbestand laut Verkäufer</x:v>
      </x:c>
      <x:c r="K402" s="2" t="str">
        <x:v>Export KREDIT-ERF-20260930, Einzelbelege nicht im Datenraum</x:v>
      </x:c>
    </x:row>
    <x:row r="403" ht="22" customHeight="1">
      <x:c r="A403" s="2" t="str">
        <x:v>APB-0398</x:v>
      </x:c>
      <x:c r="B403" s="2" t="str">
        <x:v>Bestandskunde 0398</x:v>
      </x:c>
      <x:c r="C403" s="2" t="str">
        <x:v>Nur Verkäuferexport</x:v>
      </x:c>
      <x:c r="D403" s="9" t="n">
        <x:v>12526</x:v>
      </x:c>
      <x:c r="E403" s="9" t="n">
        <x:v>13</x:v>
      </x:c>
      <x:c r="F403" s="9" t="n">
        <x:v>0</x:v>
      </x:c>
      <x:c r="G403" s="11" t="n">
        <x:f>SUM(D403:F403)</x:f>
        <x:v>12539</x:v>
      </x:c>
      <x:c r="H403" s="10" t="n">
        <x:v>0.92</x:v>
      </x:c>
      <x:c r="I403" s="11" t="n">
        <x:f>IF(ISNUMBER(H403),ROUND(D403*H403,2),NA())</x:f>
        <x:v>11523.92</x:v>
      </x:c>
      <x:c r="J403" s="2" t="str">
        <x:v>Regelbestand laut Verkäufer</x:v>
      </x:c>
      <x:c r="K403" s="2" t="str">
        <x:v>Export KREDIT-ERF-20260930, Einzelbelege nicht im Datenraum</x:v>
      </x:c>
    </x:row>
    <x:row r="404" ht="22" customHeight="1">
      <x:c r="A404" s="2" t="str">
        <x:v>APB-0399</x:v>
      </x:c>
      <x:c r="B404" s="2" t="str">
        <x:v>Bestandskunde 0399</x:v>
      </x:c>
      <x:c r="C404" s="2" t="str">
        <x:v>Nur Verkäuferexport</x:v>
      </x:c>
      <x:c r="D404" s="9" t="n">
        <x:v>12663</x:v>
      </x:c>
      <x:c r="E404" s="9" t="n">
        <x:v>19.5</x:v>
      </x:c>
      <x:c r="F404" s="9" t="n">
        <x:v>0</x:v>
      </x:c>
      <x:c r="G404" s="11" t="n">
        <x:f>SUM(D404:F404)</x:f>
        <x:v>12682.5</x:v>
      </x:c>
      <x:c r="H404" s="10" t="n">
        <x:v>0.92</x:v>
      </x:c>
      <x:c r="I404" s="11" t="n">
        <x:f>IF(ISNUMBER(H404),ROUND(D404*H404,2),NA())</x:f>
        <x:v>11649.96</x:v>
      </x:c>
      <x:c r="J404" s="2" t="str">
        <x:v>Regelbestand laut Verkäufer</x:v>
      </x:c>
      <x:c r="K404" s="2" t="str">
        <x:v>Export KREDIT-ERF-20260930, Einzelbelege nicht im Datenraum</x:v>
      </x:c>
    </x:row>
    <x:row r="405" ht="22" customHeight="1">
      <x:c r="A405" s="2" t="str">
        <x:v>APB-0400</x:v>
      </x:c>
      <x:c r="B405" s="2" t="str">
        <x:v>Bestandskunde 0400</x:v>
      </x:c>
      <x:c r="C405" s="2" t="str">
        <x:v>Nur Verkäuferexport</x:v>
      </x:c>
      <x:c r="D405" s="9" t="n">
        <x:v>12800</x:v>
      </x:c>
      <x:c r="E405" s="9" t="n">
        <x:v>26</x:v>
      </x:c>
      <x:c r="F405" s="9" t="n">
        <x:v>0</x:v>
      </x:c>
      <x:c r="G405" s="11" t="n">
        <x:f>SUM(D405:F405)</x:f>
        <x:v>12826</x:v>
      </x:c>
      <x:c r="H405" s="10" t="n">
        <x:v>0.92</x:v>
      </x:c>
      <x:c r="I405" s="11" t="n">
        <x:f>IF(ISNUMBER(H405),ROUND(D405*H405,2),NA())</x:f>
        <x:v>11776</x:v>
      </x:c>
      <x:c r="J405" s="2" t="str">
        <x:v>Regelbestand laut Verkäufer</x:v>
      </x:c>
      <x:c r="K405" s="2" t="str">
        <x:v>Export KREDIT-ERF-20260930, Einzelbelege nicht im Datenraum</x:v>
      </x:c>
    </x:row>
    <x:row r="406" ht="22" customHeight="1">
      <x:c r="A406" s="2" t="str">
        <x:v>APB-0401</x:v>
      </x:c>
      <x:c r="B406" s="2" t="str">
        <x:v>Bestandskunde 0401</x:v>
      </x:c>
      <x:c r="C406" s="2" t="str">
        <x:v>Nur Verkäuferexport</x:v>
      </x:c>
      <x:c r="D406" s="9" t="n">
        <x:v>12937</x:v>
      </x:c>
      <x:c r="E406" s="9" t="n">
        <x:v>32.5</x:v>
      </x:c>
      <x:c r="F406" s="9" t="n">
        <x:v>0</x:v>
      </x:c>
      <x:c r="G406" s="11" t="n">
        <x:f>SUM(D406:F406)</x:f>
        <x:v>12969.5</x:v>
      </x:c>
      <x:c r="H406" s="10" t="n">
        <x:v>0.92</x:v>
      </x:c>
      <x:c r="I406" s="11" t="n">
        <x:f>IF(ISNUMBER(H406),ROUND(D406*H406,2),NA())</x:f>
        <x:v>11902.04</x:v>
      </x:c>
      <x:c r="J406" s="2" t="str">
        <x:v>Regelbestand laut Verkäufer</x:v>
      </x:c>
      <x:c r="K406" s="2" t="str">
        <x:v>Export KREDIT-ERF-20260930, Einzelbelege nicht im Datenraum</x:v>
      </x:c>
    </x:row>
    <x:row r="407" ht="22" customHeight="1">
      <x:c r="A407" s="2" t="str">
        <x:v>APB-0402</x:v>
      </x:c>
      <x:c r="B407" s="2" t="str">
        <x:v>Bestandskunde 0402</x:v>
      </x:c>
      <x:c r="C407" s="2" t="str">
        <x:v>Nur Verkäuferexport</x:v>
      </x:c>
      <x:c r="D407" s="9" t="n">
        <x:v>13074</x:v>
      </x:c>
      <x:c r="E407" s="9" t="n">
        <x:v>39</x:v>
      </x:c>
      <x:c r="F407" s="9" t="n">
        <x:v>0</x:v>
      </x:c>
      <x:c r="G407" s="11" t="n">
        <x:f>SUM(D407:F407)</x:f>
        <x:v>13113</x:v>
      </x:c>
      <x:c r="H407" s="10" t="n">
        <x:v>0.92</x:v>
      </x:c>
      <x:c r="I407" s="11" t="n">
        <x:f>IF(ISNUMBER(H407),ROUND(D407*H407,2),NA())</x:f>
        <x:v>12028.08</x:v>
      </x:c>
      <x:c r="J407" s="2" t="str">
        <x:v>Regelbestand laut Verkäufer</x:v>
      </x:c>
      <x:c r="K407" s="2" t="str">
        <x:v>Export KREDIT-ERF-20260930, Einzelbelege nicht im Datenraum</x:v>
      </x:c>
    </x:row>
    <x:row r="408" ht="22" customHeight="1">
      <x:c r="A408" s="2" t="str">
        <x:v>APB-0403</x:v>
      </x:c>
      <x:c r="B408" s="2" t="str">
        <x:v>Bestandskunde 0403</x:v>
      </x:c>
      <x:c r="C408" s="2" t="str">
        <x:v>Nur Verkäuferexport</x:v>
      </x:c>
      <x:c r="D408" s="9" t="n">
        <x:v>13211</x:v>
      </x:c>
      <x:c r="E408" s="9" t="n">
        <x:v>45.5</x:v>
      </x:c>
      <x:c r="F408" s="9" t="n">
        <x:v>0</x:v>
      </x:c>
      <x:c r="G408" s="11" t="n">
        <x:f>SUM(D408:F408)</x:f>
        <x:v>13256.5</x:v>
      </x:c>
      <x:c r="H408" s="10" t="n">
        <x:v>0.92</x:v>
      </x:c>
      <x:c r="I408" s="11" t="n">
        <x:f>IF(ISNUMBER(H408),ROUND(D408*H408,2),NA())</x:f>
        <x:v>12154.12</x:v>
      </x:c>
      <x:c r="J408" s="2" t="str">
        <x:v>Regelbestand laut Verkäufer</x:v>
      </x:c>
      <x:c r="K408" s="2" t="str">
        <x:v>Export KREDIT-ERF-20260930, Einzelbelege nicht im Datenraum</x:v>
      </x:c>
    </x:row>
    <x:row r="409" ht="22" customHeight="1">
      <x:c r="A409" s="2" t="str">
        <x:v>APB-0404</x:v>
      </x:c>
      <x:c r="B409" s="2" t="str">
        <x:v>Bestandskunde 0404</x:v>
      </x:c>
      <x:c r="C409" s="2" t="str">
        <x:v>Nur Verkäuferexport</x:v>
      </x:c>
      <x:c r="D409" s="9" t="n">
        <x:v>13348</x:v>
      </x:c>
      <x:c r="E409" s="9" t="n">
        <x:v>52</x:v>
      </x:c>
      <x:c r="F409" s="9" t="n">
        <x:v>0</x:v>
      </x:c>
      <x:c r="G409" s="11" t="n">
        <x:f>SUM(D409:F409)</x:f>
        <x:v>13400</x:v>
      </x:c>
      <x:c r="H409" s="10" t="n">
        <x:v>0.92</x:v>
      </x:c>
      <x:c r="I409" s="11" t="n">
        <x:f>IF(ISNUMBER(H409),ROUND(D409*H409,2),NA())</x:f>
        <x:v>12280.16</x:v>
      </x:c>
      <x:c r="J409" s="2" t="str">
        <x:v>Regelbestand laut Verkäufer</x:v>
      </x:c>
      <x:c r="K409" s="2" t="str">
        <x:v>Export KREDIT-ERF-20260930, Einzelbelege nicht im Datenraum</x:v>
      </x:c>
    </x:row>
    <x:row r="410" ht="22" customHeight="1">
      <x:c r="A410" s="2" t="str">
        <x:v>APB-0405</x:v>
      </x:c>
      <x:c r="B410" s="2" t="str">
        <x:v>Bestandskunde 0405</x:v>
      </x:c>
      <x:c r="C410" s="2" t="str">
        <x:v>Nur Verkäuferexport</x:v>
      </x:c>
      <x:c r="D410" s="9" t="n">
        <x:v>13485</x:v>
      </x:c>
      <x:c r="E410" s="9" t="n">
        <x:v>0</x:v>
      </x:c>
      <x:c r="F410" s="9" t="n">
        <x:v>0</x:v>
      </x:c>
      <x:c r="G410" s="11" t="n">
        <x:f>SUM(D410:F410)</x:f>
        <x:v>13485</x:v>
      </x:c>
      <x:c r="H410" s="10" t="n">
        <x:v>0.92</x:v>
      </x:c>
      <x:c r="I410" s="11" t="n">
        <x:f>IF(ISNUMBER(H410),ROUND(D410*H410,2),NA())</x:f>
        <x:v>12406.2</x:v>
      </x:c>
      <x:c r="J410" s="2" t="str">
        <x:v>Regelbestand laut Verkäufer</x:v>
      </x:c>
      <x:c r="K410" s="2" t="str">
        <x:v>Export KREDIT-ERF-20260930, Einzelbelege nicht im Datenraum</x:v>
      </x:c>
    </x:row>
    <x:row r="411" ht="22" customHeight="1">
      <x:c r="A411" s="2" t="str">
        <x:v>APB-0406</x:v>
      </x:c>
      <x:c r="B411" s="2" t="str">
        <x:v>Bestandskunde 0406</x:v>
      </x:c>
      <x:c r="C411" s="2" t="str">
        <x:v>Nur Verkäuferexport</x:v>
      </x:c>
      <x:c r="D411" s="9" t="n">
        <x:v>13622</x:v>
      </x:c>
      <x:c r="E411" s="9" t="n">
        <x:v>6.5</x:v>
      </x:c>
      <x:c r="F411" s="9" t="n">
        <x:v>15</x:v>
      </x:c>
      <x:c r="G411" s="11" t="n">
        <x:f>SUM(D411:F411)</x:f>
        <x:v>13643.5</x:v>
      </x:c>
      <x:c r="H411" s="10" t="n">
        <x:v>0.92</x:v>
      </x:c>
      <x:c r="I411" s="11" t="n">
        <x:f>IF(ISNUMBER(H411),ROUND(D411*H411,2),NA())</x:f>
        <x:v>12532.24</x:v>
      </x:c>
      <x:c r="J411" s="2" t="str">
        <x:v>Zahlungslücke im Export</x:v>
      </x:c>
      <x:c r="K411" s="2" t="str">
        <x:v>Export KREDIT-ERF-20260930, Einzelbelege nicht im Datenraum</x:v>
      </x:c>
    </x:row>
    <x:row r="412" ht="22" customHeight="1">
      <x:c r="A412" s="2" t="str">
        <x:v>APB-0407</x:v>
      </x:c>
      <x:c r="B412" s="2" t="str">
        <x:v>Bestandskunde 0407</x:v>
      </x:c>
      <x:c r="C412" s="2" t="str">
        <x:v>Nur Verkäuferexport</x:v>
      </x:c>
      <x:c r="D412" s="9" t="n">
        <x:v>13759</x:v>
      </x:c>
      <x:c r="E412" s="9" t="n">
        <x:v>13</x:v>
      </x:c>
      <x:c r="F412" s="9" t="n">
        <x:v>0</x:v>
      </x:c>
      <x:c r="G412" s="11" t="n">
        <x:f>SUM(D412:F412)</x:f>
        <x:v>13772</x:v>
      </x:c>
      <x:c r="H412" s="10" t="n">
        <x:v>0.92</x:v>
      </x:c>
      <x:c r="I412" s="11" t="n">
        <x:f>IF(ISNUMBER(H412),ROUND(D412*H412,2),NA())</x:f>
        <x:v>12658.28</x:v>
      </x:c>
      <x:c r="J412" s="2" t="str">
        <x:v>Regelbestand laut Verkäufer</x:v>
      </x:c>
      <x:c r="K412" s="2" t="str">
        <x:v>Export KREDIT-ERF-20260930, Einzelbelege nicht im Datenraum</x:v>
      </x:c>
    </x:row>
    <x:row r="413" ht="22" customHeight="1">
      <x:c r="A413" s="2" t="str">
        <x:v>APB-0408</x:v>
      </x:c>
      <x:c r="B413" s="2" t="str">
        <x:v>Bestandskunde 0408</x:v>
      </x:c>
      <x:c r="C413" s="2" t="str">
        <x:v>Nur Verkäuferexport</x:v>
      </x:c>
      <x:c r="D413" s="9" t="n">
        <x:v>13896</x:v>
      </x:c>
      <x:c r="E413" s="9" t="n">
        <x:v>19.5</x:v>
      </x:c>
      <x:c r="F413" s="9" t="n">
        <x:v>0</x:v>
      </x:c>
      <x:c r="G413" s="11" t="n">
        <x:f>SUM(D413:F413)</x:f>
        <x:v>13915.5</x:v>
      </x:c>
      <x:c r="H413" s="10" t="n">
        <x:v>0.92</x:v>
      </x:c>
      <x:c r="I413" s="11" t="n">
        <x:f>IF(ISNUMBER(H413),ROUND(D413*H413,2),NA())</x:f>
        <x:v>12784.32</x:v>
      </x:c>
      <x:c r="J413" s="2" t="str">
        <x:v>Regelbestand laut Verkäufer</x:v>
      </x:c>
      <x:c r="K413" s="2" t="str">
        <x:v>Export KREDIT-ERF-20260930, Einzelbelege nicht im Datenraum</x:v>
      </x:c>
    </x:row>
    <x:row r="414" ht="22" customHeight="1">
      <x:c r="A414" s="2" t="str">
        <x:v>APB-0409</x:v>
      </x:c>
      <x:c r="B414" s="2" t="str">
        <x:v>Bestandskunde 0409</x:v>
      </x:c>
      <x:c r="C414" s="2" t="str">
        <x:v>Nur Verkäuferexport</x:v>
      </x:c>
      <x:c r="D414" s="9" t="n">
        <x:v>14033</x:v>
      </x:c>
      <x:c r="E414" s="9" t="n">
        <x:v>26</x:v>
      </x:c>
      <x:c r="F414" s="9" t="n">
        <x:v>0</x:v>
      </x:c>
      <x:c r="G414" s="11" t="n">
        <x:f>SUM(D414:F414)</x:f>
        <x:v>14059</x:v>
      </x:c>
      <x:c r="H414" s="10" t="n">
        <x:v>0.92</x:v>
      </x:c>
      <x:c r="I414" s="11" t="n">
        <x:f>IF(ISNUMBER(H414),ROUND(D414*H414,2),NA())</x:f>
        <x:v>12910.36</x:v>
      </x:c>
      <x:c r="J414" s="2" t="str">
        <x:v>Regelbestand laut Verkäufer</x:v>
      </x:c>
      <x:c r="K414" s="2" t="str">
        <x:v>Export KREDIT-ERF-20260930, Einzelbelege nicht im Datenraum</x:v>
      </x:c>
    </x:row>
    <x:row r="415" ht="22" customHeight="1">
      <x:c r="A415" s="2" t="str">
        <x:v>APB-0410</x:v>
      </x:c>
      <x:c r="B415" s="2" t="str">
        <x:v>Bestandskunde 0410</x:v>
      </x:c>
      <x:c r="C415" s="2" t="str">
        <x:v>Nur Verkäuferexport</x:v>
      </x:c>
      <x:c r="D415" s="9" t="n">
        <x:v>14170</x:v>
      </x:c>
      <x:c r="E415" s="9" t="n">
        <x:v>32.5</x:v>
      </x:c>
      <x:c r="F415" s="9" t="n">
        <x:v>0</x:v>
      </x:c>
      <x:c r="G415" s="11" t="n">
        <x:f>SUM(D415:F415)</x:f>
        <x:v>14202.5</x:v>
      </x:c>
      <x:c r="H415" s="10" t="n">
        <x:v>0.92</x:v>
      </x:c>
      <x:c r="I415" s="11" t="n">
        <x:f>IF(ISNUMBER(H415),ROUND(D415*H415,2),NA())</x:f>
        <x:v>13036.4</x:v>
      </x:c>
      <x:c r="J415" s="2" t="str">
        <x:v>Regelbestand laut Verkäufer</x:v>
      </x:c>
      <x:c r="K415" s="2" t="str">
        <x:v>Export KREDIT-ERF-20260930, Einzelbelege nicht im Datenraum</x:v>
      </x:c>
    </x:row>
    <x:row r="416" ht="22" customHeight="1">
      <x:c r="A416" s="2" t="str">
        <x:v>APB-0411</x:v>
      </x:c>
      <x:c r="B416" s="2" t="str">
        <x:v>Bestandskunde 0411</x:v>
      </x:c>
      <x:c r="C416" s="2" t="str">
        <x:v>Nur Verkäuferexport</x:v>
      </x:c>
      <x:c r="D416" s="9" t="n">
        <x:v>14307</x:v>
      </x:c>
      <x:c r="E416" s="9" t="n">
        <x:v>39</x:v>
      </x:c>
      <x:c r="F416" s="9" t="n">
        <x:v>0</x:v>
      </x:c>
      <x:c r="G416" s="11" t="n">
        <x:f>SUM(D416:F416)</x:f>
        <x:v>14346</x:v>
      </x:c>
      <x:c r="H416" s="10" t="n">
        <x:v>0.92</x:v>
      </x:c>
      <x:c r="I416" s="11" t="n">
        <x:f>IF(ISNUMBER(H416),ROUND(D416*H416,2),NA())</x:f>
        <x:v>13162.44</x:v>
      </x:c>
      <x:c r="J416" s="2" t="str">
        <x:v>Regelbestand laut Verkäufer</x:v>
      </x:c>
      <x:c r="K416" s="2" t="str">
        <x:v>Export KREDIT-ERF-20260930, Einzelbelege nicht im Datenraum</x:v>
      </x:c>
    </x:row>
    <x:row r="417" ht="22" customHeight="1">
      <x:c r="A417" s="2" t="str">
        <x:v>APB-0412</x:v>
      </x:c>
      <x:c r="B417" s="2" t="str">
        <x:v>Bestandskunde 0412</x:v>
      </x:c>
      <x:c r="C417" s="2" t="str">
        <x:v>Nur Verkäuferexport</x:v>
      </x:c>
      <x:c r="D417" s="9" t="n">
        <x:v>14444</x:v>
      </x:c>
      <x:c r="E417" s="9" t="n">
        <x:v>45.5</x:v>
      </x:c>
      <x:c r="F417" s="9" t="n">
        <x:v>0</x:v>
      </x:c>
      <x:c r="G417" s="11" t="n">
        <x:f>SUM(D417:F417)</x:f>
        <x:v>14489.5</x:v>
      </x:c>
      <x:c r="H417" s="10" t="n">
        <x:v>0.92</x:v>
      </x:c>
      <x:c r="I417" s="11" t="n">
        <x:f>IF(ISNUMBER(H417),ROUND(D417*H417,2),NA())</x:f>
        <x:v>13288.48</x:v>
      </x:c>
      <x:c r="J417" s="2" t="str">
        <x:v>Regelbestand laut Verkäufer</x:v>
      </x:c>
      <x:c r="K417" s="2" t="str">
        <x:v>Export KREDIT-ERF-20260930, Einzelbelege nicht im Datenraum</x:v>
      </x:c>
    </x:row>
    <x:row r="418" ht="22" customHeight="1">
      <x:c r="A418" s="2" t="str">
        <x:v>APB-0413</x:v>
      </x:c>
      <x:c r="B418" s="2" t="str">
        <x:v>Bestandskunde 0413</x:v>
      </x:c>
      <x:c r="C418" s="2" t="str">
        <x:v>Nur Verkäuferexport</x:v>
      </x:c>
      <x:c r="D418" s="9" t="n">
        <x:v>14581</x:v>
      </x:c>
      <x:c r="E418" s="9" t="n">
        <x:v>52</x:v>
      </x:c>
      <x:c r="F418" s="9" t="n">
        <x:v>0</x:v>
      </x:c>
      <x:c r="G418" s="11" t="n">
        <x:f>SUM(D418:F418)</x:f>
        <x:v>14633</x:v>
      </x:c>
      <x:c r="H418" s="10" t="n">
        <x:v>0.92</x:v>
      </x:c>
      <x:c r="I418" s="11" t="n">
        <x:f>IF(ISNUMBER(H418),ROUND(D418*H418,2),NA())</x:f>
        <x:v>13414.52</x:v>
      </x:c>
      <x:c r="J418" s="2" t="str">
        <x:v>Regelbestand laut Verkäufer</x:v>
      </x:c>
      <x:c r="K418" s="2" t="str">
        <x:v>Export KREDIT-ERF-20260930, Einzelbelege nicht im Datenraum</x:v>
      </x:c>
    </x:row>
    <x:row r="419" ht="22" customHeight="1">
      <x:c r="A419" s="2" t="str">
        <x:v>APB-0414</x:v>
      </x:c>
      <x:c r="B419" s="2" t="str">
        <x:v>Bestandskunde 0414</x:v>
      </x:c>
      <x:c r="C419" s="2" t="str">
        <x:v>Nur Verkäuferexport</x:v>
      </x:c>
      <x:c r="D419" s="9" t="n">
        <x:v>14718</x:v>
      </x:c>
      <x:c r="E419" s="9" t="n">
        <x:v>0</x:v>
      </x:c>
      <x:c r="F419" s="9" t="n">
        <x:v>0</x:v>
      </x:c>
      <x:c r="G419" s="11" t="n">
        <x:f>SUM(D419:F419)</x:f>
        <x:v>14718</x:v>
      </x:c>
      <x:c r="H419" s="10" t="n">
        <x:v>0.92</x:v>
      </x:c>
      <x:c r="I419" s="11" t="n">
        <x:f>IF(ISNUMBER(H419),ROUND(D419*H419,2),NA())</x:f>
        <x:v>13540.56</x:v>
      </x:c>
      <x:c r="J419" s="2" t="str">
        <x:v>Regelbestand laut Verkäufer</x:v>
      </x:c>
      <x:c r="K419" s="2" t="str">
        <x:v>Export KREDIT-ERF-20260930, Einzelbelege nicht im Datenraum</x:v>
      </x:c>
    </x:row>
    <x:row r="420" ht="22" customHeight="1">
      <x:c r="A420" s="2" t="str">
        <x:v>APB-0415</x:v>
      </x:c>
      <x:c r="B420" s="2" t="str">
        <x:v>Bestandskunde 0415</x:v>
      </x:c>
      <x:c r="C420" s="2" t="str">
        <x:v>Nur Verkäuferexport</x:v>
      </x:c>
      <x:c r="D420" s="9" t="n">
        <x:v>14855</x:v>
      </x:c>
      <x:c r="E420" s="9" t="n">
        <x:v>6.5</x:v>
      </x:c>
      <x:c r="F420" s="9" t="n">
        <x:v>0</x:v>
      </x:c>
      <x:c r="G420" s="11" t="n">
        <x:f>SUM(D420:F420)</x:f>
        <x:v>14861.5</x:v>
      </x:c>
      <x:c r="H420" s="10" t="n">
        <x:v>0.92</x:v>
      </x:c>
      <x:c r="I420" s="11" t="n">
        <x:f>IF(ISNUMBER(H420),ROUND(D420*H420,2),NA())</x:f>
        <x:v>13666.6</x:v>
      </x:c>
      <x:c r="J420" s="2" t="str">
        <x:v>Regelbestand laut Verkäufer</x:v>
      </x:c>
      <x:c r="K420" s="2" t="str">
        <x:v>Export KREDIT-ERF-20260930, Einzelbelege nicht im Datenraum</x:v>
      </x:c>
    </x:row>
    <x:row r="421" ht="22" customHeight="1">
      <x:c r="A421" s="2" t="str">
        <x:v>APB-0416</x:v>
      </x:c>
      <x:c r="B421" s="2" t="str">
        <x:v>Bestandskunde 0416</x:v>
      </x:c>
      <x:c r="C421" s="2" t="str">
        <x:v>Nur Verkäuferexport</x:v>
      </x:c>
      <x:c r="D421" s="9" t="n">
        <x:v>14992</x:v>
      </x:c>
      <x:c r="E421" s="9" t="n">
        <x:v>13</x:v>
      </x:c>
      <x:c r="F421" s="9" t="n">
        <x:v>0</x:v>
      </x:c>
      <x:c r="G421" s="11" t="n">
        <x:f>SUM(D421:F421)</x:f>
        <x:v>15005</x:v>
      </x:c>
      <x:c r="H421" s="10" t="n">
        <x:v>0.92</x:v>
      </x:c>
      <x:c r="I421" s="11" t="n">
        <x:f>IF(ISNUMBER(H421),ROUND(D421*H421,2),NA())</x:f>
        <x:v>13792.64</x:v>
      </x:c>
      <x:c r="J421" s="2" t="str">
        <x:v>Regelbestand laut Verkäufer</x:v>
      </x:c>
      <x:c r="K421" s="2" t="str">
        <x:v>Export KREDIT-ERF-20260930, Einzelbelege nicht im Datenraum</x:v>
      </x:c>
    </x:row>
    <x:row r="422" ht="22" customHeight="1">
      <x:c r="A422" s="2" t="str">
        <x:v>APB-0417</x:v>
      </x:c>
      <x:c r="B422" s="2" t="str">
        <x:v>Bestandskunde 0417</x:v>
      </x:c>
      <x:c r="C422" s="2" t="str">
        <x:v>Nur Verkäuferexport</x:v>
      </x:c>
      <x:c r="D422" s="9" t="n">
        <x:v>15129</x:v>
      </x:c>
      <x:c r="E422" s="9" t="n">
        <x:v>19.5</x:v>
      </x:c>
      <x:c r="F422" s="9" t="n">
        <x:v>0</x:v>
      </x:c>
      <x:c r="G422" s="11" t="n">
        <x:f>SUM(D422:F422)</x:f>
        <x:v>15148.5</x:v>
      </x:c>
      <x:c r="H422" s="10" t="n">
        <x:v>0.92</x:v>
      </x:c>
      <x:c r="I422" s="11" t="n">
        <x:f>IF(ISNUMBER(H422),ROUND(D422*H422,2),NA())</x:f>
        <x:v>13918.68</x:v>
      </x:c>
      <x:c r="J422" s="2" t="str">
        <x:v>Regelbestand laut Verkäufer</x:v>
      </x:c>
      <x:c r="K422" s="2" t="str">
        <x:v>Export KREDIT-ERF-20260930, Einzelbelege nicht im Datenraum</x:v>
      </x:c>
    </x:row>
    <x:row r="423" ht="22" customHeight="1">
      <x:c r="A423" s="2" t="str">
        <x:v>APB-0418</x:v>
      </x:c>
      <x:c r="B423" s="2" t="str">
        <x:v>Bestandskunde 0418</x:v>
      </x:c>
      <x:c r="C423" s="2" t="str">
        <x:v>Nur Verkäuferexport</x:v>
      </x:c>
      <x:c r="D423" s="9" t="n">
        <x:v>15266</x:v>
      </x:c>
      <x:c r="E423" s="9" t="n">
        <x:v>26</x:v>
      </x:c>
      <x:c r="F423" s="9" t="n">
        <x:v>0</x:v>
      </x:c>
      <x:c r="G423" s="11" t="n">
        <x:f>SUM(D423:F423)</x:f>
        <x:v>15292</x:v>
      </x:c>
      <x:c r="H423" s="10" t="n">
        <x:v>0.92</x:v>
      </x:c>
      <x:c r="I423" s="11" t="n">
        <x:f>IF(ISNUMBER(H423),ROUND(D423*H423,2),NA())</x:f>
        <x:v>14044.72</x:v>
      </x:c>
      <x:c r="J423" s="2" t="str">
        <x:v>Regelbestand laut Verkäufer</x:v>
      </x:c>
      <x:c r="K423" s="2" t="str">
        <x:v>Export KREDIT-ERF-20260930, Einzelbelege nicht im Datenraum</x:v>
      </x:c>
    </x:row>
    <x:row r="424" ht="22" customHeight="1">
      <x:c r="A424" s="2" t="str">
        <x:v>APB-0419</x:v>
      </x:c>
      <x:c r="B424" s="2" t="str">
        <x:v>Bestandskunde 0419</x:v>
      </x:c>
      <x:c r="C424" s="2" t="str">
        <x:v>Nur Verkäuferexport</x:v>
      </x:c>
      <x:c r="D424" s="9" t="n">
        <x:v>15403</x:v>
      </x:c>
      <x:c r="E424" s="9" t="n">
        <x:v>32.5</x:v>
      </x:c>
      <x:c r="F424" s="9" t="n">
        <x:v>0</x:v>
      </x:c>
      <x:c r="G424" s="11" t="n">
        <x:f>SUM(D424:F424)</x:f>
        <x:v>15435.5</x:v>
      </x:c>
      <x:c r="H424" s="10" t="n">
        <x:v>0.92</x:v>
      </x:c>
      <x:c r="I424" s="11" t="n">
        <x:f>IF(ISNUMBER(H424),ROUND(D424*H424,2),NA())</x:f>
        <x:v>14170.76</x:v>
      </x:c>
      <x:c r="J424" s="2" t="str">
        <x:v>Regelbestand laut Verkäufer</x:v>
      </x:c>
      <x:c r="K424" s="2" t="str">
        <x:v>Export KREDIT-ERF-20260930, Einzelbelege nicht im Datenraum</x:v>
      </x:c>
    </x:row>
    <x:row r="425" ht="22" customHeight="1">
      <x:c r="A425" s="2" t="str">
        <x:v>APB-0420</x:v>
      </x:c>
      <x:c r="B425" s="2" t="str">
        <x:v>Bestandskunde 0420</x:v>
      </x:c>
      <x:c r="C425" s="2" t="str">
        <x:v>Nur Verkäuferexport</x:v>
      </x:c>
      <x:c r="D425" s="9" t="n">
        <x:v>15540</x:v>
      </x:c>
      <x:c r="E425" s="9" t="n">
        <x:v>39</x:v>
      </x:c>
      <x:c r="F425" s="9" t="n">
        <x:v>0</x:v>
      </x:c>
      <x:c r="G425" s="11" t="n">
        <x:f>SUM(D425:F425)</x:f>
        <x:v>15579</x:v>
      </x:c>
      <x:c r="H425" s="10" t="n">
        <x:v>0.92</x:v>
      </x:c>
      <x:c r="I425" s="11" t="n">
        <x:f>IF(ISNUMBER(H425),ROUND(D425*H425,2),NA())</x:f>
        <x:v>14296.8</x:v>
      </x:c>
      <x:c r="J425" s="2" t="str">
        <x:v>Regelbestand laut Verkäufer</x:v>
      </x:c>
      <x:c r="K425" s="2" t="str">
        <x:v>Export KREDIT-ERF-20260930, Einzelbelege nicht im Datenraum</x:v>
      </x:c>
    </x:row>
    <x:row r="426" ht="22" customHeight="1">
      <x:c r="A426" s="2" t="str">
        <x:v>APB-0421</x:v>
      </x:c>
      <x:c r="B426" s="2" t="str">
        <x:v>Bestandskunde 0421</x:v>
      </x:c>
      <x:c r="C426" s="2" t="str">
        <x:v>Nur Verkäuferexport</x:v>
      </x:c>
      <x:c r="D426" s="9" t="n">
        <x:v>15677</x:v>
      </x:c>
      <x:c r="E426" s="9" t="n">
        <x:v>45.5</x:v>
      </x:c>
      <x:c r="F426" s="9" t="n">
        <x:v>0</x:v>
      </x:c>
      <x:c r="G426" s="11" t="n">
        <x:f>SUM(D426:F426)</x:f>
        <x:v>15722.5</x:v>
      </x:c>
      <x:c r="H426" s="10" t="n">
        <x:v>0.92</x:v>
      </x:c>
      <x:c r="I426" s="11" t="n">
        <x:f>IF(ISNUMBER(H426),ROUND(D426*H426,2),NA())</x:f>
        <x:v>14422.84</x:v>
      </x:c>
      <x:c r="J426" s="2" t="str">
        <x:v>Regelbestand laut Verkäufer</x:v>
      </x:c>
      <x:c r="K426" s="2" t="str">
        <x:v>Export KREDIT-ERF-20260930, Einzelbelege nicht im Datenraum</x:v>
      </x:c>
    </x:row>
    <x:row r="427" ht="22" customHeight="1">
      <x:c r="A427" s="2" t="str">
        <x:v>APB-0422</x:v>
      </x:c>
      <x:c r="B427" s="2" t="str">
        <x:v>Bestandskunde 0422</x:v>
      </x:c>
      <x:c r="C427" s="2" t="str">
        <x:v>Nur Verkäuferexport</x:v>
      </x:c>
      <x:c r="D427" s="9" t="n">
        <x:v>15814</x:v>
      </x:c>
      <x:c r="E427" s="9" t="n">
        <x:v>52</x:v>
      </x:c>
      <x:c r="F427" s="9" t="n">
        <x:v>0</x:v>
      </x:c>
      <x:c r="G427" s="11" t="n">
        <x:f>SUM(D427:F427)</x:f>
        <x:v>15866</x:v>
      </x:c>
      <x:c r="H427" s="10" t="n">
        <x:v>0.92</x:v>
      </x:c>
      <x:c r="I427" s="11" t="n">
        <x:f>IF(ISNUMBER(H427),ROUND(D427*H427,2),NA())</x:f>
        <x:v>14548.88</x:v>
      </x:c>
      <x:c r="J427" s="2" t="str">
        <x:v>Regelbestand laut Verkäufer</x:v>
      </x:c>
      <x:c r="K427" s="2" t="str">
        <x:v>Export KREDIT-ERF-20260930, Einzelbelege nicht im Datenraum</x:v>
      </x:c>
    </x:row>
    <x:row r="428" ht="22" customHeight="1">
      <x:c r="A428" s="2" t="str">
        <x:v>APB-0423</x:v>
      </x:c>
      <x:c r="B428" s="2" t="str">
        <x:v>Bestandskunde 0423</x:v>
      </x:c>
      <x:c r="C428" s="2" t="str">
        <x:v>Nur Verkäuferexport</x:v>
      </x:c>
      <x:c r="D428" s="9" t="n">
        <x:v>15951</x:v>
      </x:c>
      <x:c r="E428" s="9" t="n">
        <x:v>0</x:v>
      </x:c>
      <x:c r="F428" s="9" t="n">
        <x:v>0</x:v>
      </x:c>
      <x:c r="G428" s="11" t="n">
        <x:f>SUM(D428:F428)</x:f>
        <x:v>15951</x:v>
      </x:c>
      <x:c r="H428" s="10" t="n">
        <x:v>0.92</x:v>
      </x:c>
      <x:c r="I428" s="11" t="n">
        <x:f>IF(ISNUMBER(H428),ROUND(D428*H428,2),NA())</x:f>
        <x:v>14674.92</x:v>
      </x:c>
      <x:c r="J428" s="2" t="str">
        <x:v>Regelbestand laut Verkäufer</x:v>
      </x:c>
      <x:c r="K428" s="2" t="str">
        <x:v>Export KREDIT-ERF-20260930, Einzelbelege nicht im Datenraum</x:v>
      </x:c>
    </x:row>
    <x:row r="429" ht="22" customHeight="1">
      <x:c r="A429" s="2" t="str">
        <x:v>APB-0424</x:v>
      </x:c>
      <x:c r="B429" s="2" t="str">
        <x:v>Bestandskunde 0424</x:v>
      </x:c>
      <x:c r="C429" s="2" t="str">
        <x:v>Nur Verkäuferexport</x:v>
      </x:c>
      <x:c r="D429" s="9" t="n">
        <x:v>16088</x:v>
      </x:c>
      <x:c r="E429" s="9" t="n">
        <x:v>6.5</x:v>
      </x:c>
      <x:c r="F429" s="9" t="n">
        <x:v>0</x:v>
      </x:c>
      <x:c r="G429" s="11" t="n">
        <x:f>SUM(D429:F429)</x:f>
        <x:v>16094.5</x:v>
      </x:c>
      <x:c r="H429" s="10" t="n">
        <x:v>0.92</x:v>
      </x:c>
      <x:c r="I429" s="11" t="n">
        <x:f>IF(ISNUMBER(H429),ROUND(D429*H429,2),NA())</x:f>
        <x:v>14800.96</x:v>
      </x:c>
      <x:c r="J429" s="2" t="str">
        <x:v>Regelbestand laut Verkäufer</x:v>
      </x:c>
      <x:c r="K429" s="2" t="str">
        <x:v>Export KREDIT-ERF-20260930, Einzelbelege nicht im Datenraum</x:v>
      </x:c>
    </x:row>
    <x:row r="430" ht="22" customHeight="1">
      <x:c r="A430" s="2" t="str">
        <x:v>APB-0425</x:v>
      </x:c>
      <x:c r="B430" s="2" t="str">
        <x:v>Bestandskunde 0425</x:v>
      </x:c>
      <x:c r="C430" s="2" t="str">
        <x:v>Nur Verkäuferexport</x:v>
      </x:c>
      <x:c r="D430" s="9" t="n">
        <x:v>16225</x:v>
      </x:c>
      <x:c r="E430" s="9" t="n">
        <x:v>13</x:v>
      </x:c>
      <x:c r="F430" s="9" t="n">
        <x:v>0</x:v>
      </x:c>
      <x:c r="G430" s="11" t="n">
        <x:f>SUM(D430:F430)</x:f>
        <x:v>16238</x:v>
      </x:c>
      <x:c r="H430" s="10" t="n">
        <x:v>0.92</x:v>
      </x:c>
      <x:c r="I430" s="11" t="n">
        <x:f>IF(ISNUMBER(H430),ROUND(D430*H430,2),NA())</x:f>
        <x:v>14927</x:v>
      </x:c>
      <x:c r="J430" s="2" t="str">
        <x:v>Regelbestand laut Verkäufer</x:v>
      </x:c>
      <x:c r="K430" s="2" t="str">
        <x:v>Export KREDIT-ERF-20260930, Einzelbelege nicht im Datenraum</x:v>
      </x:c>
    </x:row>
    <x:row r="431" ht="22" customHeight="1">
      <x:c r="A431" s="2" t="str">
        <x:v>APB-0426</x:v>
      </x:c>
      <x:c r="B431" s="2" t="str">
        <x:v>Bestandskunde 0426</x:v>
      </x:c>
      <x:c r="C431" s="2" t="str">
        <x:v>Nur Verkäuferexport</x:v>
      </x:c>
      <x:c r="D431" s="9" t="n">
        <x:v>16362</x:v>
      </x:c>
      <x:c r="E431" s="9" t="n">
        <x:v>19.5</x:v>
      </x:c>
      <x:c r="F431" s="9" t="n">
        <x:v>0</x:v>
      </x:c>
      <x:c r="G431" s="11" t="n">
        <x:f>SUM(D431:F431)</x:f>
        <x:v>16381.5</x:v>
      </x:c>
      <x:c r="H431" s="10" t="n">
        <x:v>0.92</x:v>
      </x:c>
      <x:c r="I431" s="11" t="n">
        <x:f>IF(ISNUMBER(H431),ROUND(D431*H431,2),NA())</x:f>
        <x:v>15053.04</x:v>
      </x:c>
      <x:c r="J431" s="2" t="str">
        <x:v>Regelbestand laut Verkäufer</x:v>
      </x:c>
      <x:c r="K431" s="2" t="str">
        <x:v>Export KREDIT-ERF-20260930, Einzelbelege nicht im Datenraum</x:v>
      </x:c>
    </x:row>
    <x:row r="432" ht="22" customHeight="1">
      <x:c r="A432" s="2" t="str">
        <x:v>APB-0427</x:v>
      </x:c>
      <x:c r="B432" s="2" t="str">
        <x:v>Bestandskunde 0427</x:v>
      </x:c>
      <x:c r="C432" s="2" t="str">
        <x:v>Nur Verkäuferexport</x:v>
      </x:c>
      <x:c r="D432" s="9" t="n">
        <x:v>16499</x:v>
      </x:c>
      <x:c r="E432" s="9" t="n">
        <x:v>26</x:v>
      </x:c>
      <x:c r="F432" s="9" t="n">
        <x:v>0</x:v>
      </x:c>
      <x:c r="G432" s="11" t="n">
        <x:f>SUM(D432:F432)</x:f>
        <x:v>16525</x:v>
      </x:c>
      <x:c r="H432" s="10" t="n">
        <x:v>0.92</x:v>
      </x:c>
      <x:c r="I432" s="11" t="n">
        <x:f>IF(ISNUMBER(H432),ROUND(D432*H432,2),NA())</x:f>
        <x:v>15179.08</x:v>
      </x:c>
      <x:c r="J432" s="2" t="str">
        <x:v>Regelbestand laut Verkäufer</x:v>
      </x:c>
      <x:c r="K432" s="2" t="str">
        <x:v>Export KREDIT-ERF-20260930, Einzelbelege nicht im Datenraum</x:v>
      </x:c>
    </x:row>
    <x:row r="433" ht="22" customHeight="1">
      <x:c r="A433" s="2" t="str">
        <x:v>APB-0428</x:v>
      </x:c>
      <x:c r="B433" s="2" t="str">
        <x:v>Bestandskunde 0428</x:v>
      </x:c>
      <x:c r="C433" s="2" t="str">
        <x:v>Nur Verkäuferexport</x:v>
      </x:c>
      <x:c r="D433" s="9" t="n">
        <x:v>16636</x:v>
      </x:c>
      <x:c r="E433" s="9" t="n">
        <x:v>32.5</x:v>
      </x:c>
      <x:c r="F433" s="9" t="n">
        <x:v>0</x:v>
      </x:c>
      <x:c r="G433" s="11" t="n">
        <x:f>SUM(D433:F433)</x:f>
        <x:v>16668.5</x:v>
      </x:c>
      <x:c r="H433" s="10" t="n">
        <x:v>0.92</x:v>
      </x:c>
      <x:c r="I433" s="11" t="n">
        <x:f>IF(ISNUMBER(H433),ROUND(D433*H433,2),NA())</x:f>
        <x:v>15305.12</x:v>
      </x:c>
      <x:c r="J433" s="2" t="str">
        <x:v>Regelbestand laut Verkäufer</x:v>
      </x:c>
      <x:c r="K433" s="2" t="str">
        <x:v>Export KREDIT-ERF-20260930, Einzelbelege nicht im Datenraum</x:v>
      </x:c>
    </x:row>
    <x:row r="434" ht="22" customHeight="1">
      <x:c r="A434" s="2" t="str">
        <x:v>APB-0429</x:v>
      </x:c>
      <x:c r="B434" s="2" t="str">
        <x:v>Bestandskunde 0429</x:v>
      </x:c>
      <x:c r="C434" s="2" t="str">
        <x:v>Nur Verkäuferexport</x:v>
      </x:c>
      <x:c r="D434" s="9" t="n">
        <x:v>16773</x:v>
      </x:c>
      <x:c r="E434" s="9" t="n">
        <x:v>39</x:v>
      </x:c>
      <x:c r="F434" s="9" t="n">
        <x:v>0</x:v>
      </x:c>
      <x:c r="G434" s="11" t="n">
        <x:f>SUM(D434:F434)</x:f>
        <x:v>16812</x:v>
      </x:c>
      <x:c r="H434" s="10" t="n">
        <x:v>0.92</x:v>
      </x:c>
      <x:c r="I434" s="11" t="n">
        <x:f>IF(ISNUMBER(H434),ROUND(D434*H434,2),NA())</x:f>
        <x:v>15431.16</x:v>
      </x:c>
      <x:c r="J434" s="2" t="str">
        <x:v>Regelbestand laut Verkäufer</x:v>
      </x:c>
      <x:c r="K434" s="2" t="str">
        <x:v>Export KREDIT-ERF-20260930, Einzelbelege nicht im Datenraum</x:v>
      </x:c>
    </x:row>
    <x:row r="435" ht="22" customHeight="1">
      <x:c r="A435" s="2" t="str">
        <x:v>APB-0430</x:v>
      </x:c>
      <x:c r="B435" s="2" t="str">
        <x:v>Bestandskunde 0430</x:v>
      </x:c>
      <x:c r="C435" s="2" t="str">
        <x:v>Nur Verkäuferexport</x:v>
      </x:c>
      <x:c r="D435" s="9" t="n">
        <x:v>16910</x:v>
      </x:c>
      <x:c r="E435" s="9" t="n">
        <x:v>45.5</x:v>
      </x:c>
      <x:c r="F435" s="9" t="n">
        <x:v>0</x:v>
      </x:c>
      <x:c r="G435" s="11" t="n">
        <x:f>SUM(D435:F435)</x:f>
        <x:v>16955.5</x:v>
      </x:c>
      <x:c r="H435" s="10" t="n">
        <x:v>0.92</x:v>
      </x:c>
      <x:c r="I435" s="11" t="n">
        <x:f>IF(ISNUMBER(H435),ROUND(D435*H435,2),NA())</x:f>
        <x:v>15557.2</x:v>
      </x:c>
      <x:c r="J435" s="2" t="str">
        <x:v>Regelbestand laut Verkäufer</x:v>
      </x:c>
      <x:c r="K435" s="2" t="str">
        <x:v>Export KREDIT-ERF-20260930, Einzelbelege nicht im Datenraum</x:v>
      </x:c>
    </x:row>
    <x:row r="436" ht="22" customHeight="1">
      <x:c r="A436" s="2" t="str">
        <x:v>APB-0431</x:v>
      </x:c>
      <x:c r="B436" s="2" t="str">
        <x:v>Bestandskunde 0431</x:v>
      </x:c>
      <x:c r="C436" s="2" t="str">
        <x:v>Nur Verkäuferexport</x:v>
      </x:c>
      <x:c r="D436" s="9" t="n">
        <x:v>17047</x:v>
      </x:c>
      <x:c r="E436" s="9" t="n">
        <x:v>52</x:v>
      </x:c>
      <x:c r="F436" s="9" t="n">
        <x:v>0</x:v>
      </x:c>
      <x:c r="G436" s="11" t="n">
        <x:f>SUM(D436:F436)</x:f>
        <x:v>17099</x:v>
      </x:c>
      <x:c r="H436" s="10" t="n">
        <x:v>0.92</x:v>
      </x:c>
      <x:c r="I436" s="11" t="n">
        <x:f>IF(ISNUMBER(H436),ROUND(D436*H436,2),NA())</x:f>
        <x:v>15683.24</x:v>
      </x:c>
      <x:c r="J436" s="2" t="str">
        <x:v>Regelbestand laut Verkäufer</x:v>
      </x:c>
      <x:c r="K436" s="2" t="str">
        <x:v>Export KREDIT-ERF-20260930, Einzelbelege nicht im Datenraum</x:v>
      </x:c>
    </x:row>
    <x:row r="437" ht="22" customHeight="1">
      <x:c r="A437" s="2" t="str">
        <x:v>APB-0432</x:v>
      </x:c>
      <x:c r="B437" s="2" t="str">
        <x:v>Bestandskunde 0432</x:v>
      </x:c>
      <x:c r="C437" s="2" t="str">
        <x:v>Nur Verkäuferexport</x:v>
      </x:c>
      <x:c r="D437" s="9" t="n">
        <x:v>17184</x:v>
      </x:c>
      <x:c r="E437" s="9" t="n">
        <x:v>0</x:v>
      </x:c>
      <x:c r="F437" s="9" t="n">
        <x:v>0</x:v>
      </x:c>
      <x:c r="G437" s="11" t="n">
        <x:f>SUM(D437:F437)</x:f>
        <x:v>17184</x:v>
      </x:c>
      <x:c r="H437" s="10" t="n">
        <x:v>0.92</x:v>
      </x:c>
      <x:c r="I437" s="11" t="n">
        <x:f>IF(ISNUMBER(H437),ROUND(D437*H437,2),NA())</x:f>
        <x:v>15809.28</x:v>
      </x:c>
      <x:c r="J437" s="2" t="str">
        <x:v>Regelbestand laut Verkäufer</x:v>
      </x:c>
      <x:c r="K437" s="2" t="str">
        <x:v>Export KREDIT-ERF-20260930, Einzelbelege nicht im Datenraum</x:v>
      </x:c>
    </x:row>
    <x:row r="438" ht="22" customHeight="1">
      <x:c r="A438" s="2" t="str">
        <x:v>APB-0433</x:v>
      </x:c>
      <x:c r="B438" s="2" t="str">
        <x:v>Bestandskunde 0433</x:v>
      </x:c>
      <x:c r="C438" s="2" t="str">
        <x:v>Nur Verkäuferexport</x:v>
      </x:c>
      <x:c r="D438" s="9" t="n">
        <x:v>17321</x:v>
      </x:c>
      <x:c r="E438" s="9" t="n">
        <x:v>6.5</x:v>
      </x:c>
      <x:c r="F438" s="9" t="n">
        <x:v>0</x:v>
      </x:c>
      <x:c r="G438" s="11" t="n">
        <x:f>SUM(D438:F438)</x:f>
        <x:v>17327.5</x:v>
      </x:c>
      <x:c r="H438" s="10" t="n">
        <x:v>0.92</x:v>
      </x:c>
      <x:c r="I438" s="11" t="n">
        <x:f>IF(ISNUMBER(H438),ROUND(D438*H438,2),NA())</x:f>
        <x:v>15935.32</x:v>
      </x:c>
      <x:c r="J438" s="2" t="str">
        <x:v>Regelbestand laut Verkäufer</x:v>
      </x:c>
      <x:c r="K438" s="2" t="str">
        <x:v>Export KREDIT-ERF-20260930, Einzelbelege nicht im Datenraum</x:v>
      </x:c>
    </x:row>
    <x:row r="439" ht="22" customHeight="1">
      <x:c r="A439" s="2" t="str">
        <x:v>APB-0434</x:v>
      </x:c>
      <x:c r="B439" s="2" t="str">
        <x:v>Bestandskunde 0434</x:v>
      </x:c>
      <x:c r="C439" s="2" t="str">
        <x:v>Nur Verkäuferexport</x:v>
      </x:c>
      <x:c r="D439" s="9" t="n">
        <x:v>17458</x:v>
      </x:c>
      <x:c r="E439" s="9" t="n">
        <x:v>13</x:v>
      </x:c>
      <x:c r="F439" s="9" t="n">
        <x:v>0</x:v>
      </x:c>
      <x:c r="G439" s="11" t="n">
        <x:f>SUM(D439:F439)</x:f>
        <x:v>17471</x:v>
      </x:c>
      <x:c r="H439" s="10" t="n">
        <x:v>0.92</x:v>
      </x:c>
      <x:c r="I439" s="11" t="n">
        <x:f>IF(ISNUMBER(H439),ROUND(D439*H439,2),NA())</x:f>
        <x:v>16061.36</x:v>
      </x:c>
      <x:c r="J439" s="2" t="str">
        <x:v>Regelbestand laut Verkäufer</x:v>
      </x:c>
      <x:c r="K439" s="2" t="str">
        <x:v>Export KREDIT-ERF-20260930, Einzelbelege nicht im Datenraum</x:v>
      </x:c>
    </x:row>
    <x:row r="440" ht="22" customHeight="1">
      <x:c r="A440" s="2" t="str">
        <x:v>APB-0435</x:v>
      </x:c>
      <x:c r="B440" s="2" t="str">
        <x:v>Bestandskunde 0435</x:v>
      </x:c>
      <x:c r="C440" s="2" t="str">
        <x:v>Nur Verkäuferexport</x:v>
      </x:c>
      <x:c r="D440" s="9" t="n">
        <x:v>17595</x:v>
      </x:c>
      <x:c r="E440" s="9" t="n">
        <x:v>19.5</x:v>
      </x:c>
      <x:c r="F440" s="9" t="n">
        <x:v>15</x:v>
      </x:c>
      <x:c r="G440" s="11" t="n">
        <x:f>SUM(D440:F440)</x:f>
        <x:v>17629.5</x:v>
      </x:c>
      <x:c r="H440" s="10" t="n">
        <x:v>0.92</x:v>
      </x:c>
      <x:c r="I440" s="11" t="n">
        <x:f>IF(ISNUMBER(H440),ROUND(D440*H440,2),NA())</x:f>
        <x:v>16187.4</x:v>
      </x:c>
      <x:c r="J440" s="2" t="str">
        <x:v>Zahlungslücke im Export</x:v>
      </x:c>
      <x:c r="K440" s="2" t="str">
        <x:v>Export KREDIT-ERF-20260930, Einzelbelege nicht im Datenraum</x:v>
      </x:c>
    </x:row>
    <x:row r="441" ht="22" customHeight="1">
      <x:c r="A441" s="2" t="str">
        <x:v>APB-0436</x:v>
      </x:c>
      <x:c r="B441" s="2" t="str">
        <x:v>Bestandskunde 0436</x:v>
      </x:c>
      <x:c r="C441" s="2" t="str">
        <x:v>Nur Verkäuferexport</x:v>
      </x:c>
      <x:c r="D441" s="9" t="n">
        <x:v>17732</x:v>
      </x:c>
      <x:c r="E441" s="9" t="n">
        <x:v>26</x:v>
      </x:c>
      <x:c r="F441" s="9" t="n">
        <x:v>0</x:v>
      </x:c>
      <x:c r="G441" s="11" t="n">
        <x:f>SUM(D441:F441)</x:f>
        <x:v>17758</x:v>
      </x:c>
      <x:c r="H441" s="10" t="n">
        <x:v>0.92</x:v>
      </x:c>
      <x:c r="I441" s="11" t="n">
        <x:f>IF(ISNUMBER(H441),ROUND(D441*H441,2),NA())</x:f>
        <x:v>16313.44</x:v>
      </x:c>
      <x:c r="J441" s="2" t="str">
        <x:v>Regelbestand laut Verkäufer</x:v>
      </x:c>
      <x:c r="K441" s="2" t="str">
        <x:v>Export KREDIT-ERF-20260930, Einzelbelege nicht im Datenraum</x:v>
      </x:c>
    </x:row>
    <x:row r="442" ht="22" customHeight="1">
      <x:c r="A442" s="2" t="str">
        <x:v>APB-0437</x:v>
      </x:c>
      <x:c r="B442" s="2" t="str">
        <x:v>Bestandskunde 0437</x:v>
      </x:c>
      <x:c r="C442" s="2" t="str">
        <x:v>Nur Verkäuferexport</x:v>
      </x:c>
      <x:c r="D442" s="9" t="n">
        <x:v>17869</x:v>
      </x:c>
      <x:c r="E442" s="9" t="n">
        <x:v>32.5</x:v>
      </x:c>
      <x:c r="F442" s="9" t="n">
        <x:v>0</x:v>
      </x:c>
      <x:c r="G442" s="11" t="n">
        <x:f>SUM(D442:F442)</x:f>
        <x:v>17901.5</x:v>
      </x:c>
      <x:c r="H442" s="10" t="n">
        <x:v>0.92</x:v>
      </x:c>
      <x:c r="I442" s="11" t="n">
        <x:f>IF(ISNUMBER(H442),ROUND(D442*H442,2),NA())</x:f>
        <x:v>16439.48</x:v>
      </x:c>
      <x:c r="J442" s="2" t="str">
        <x:v>Regelbestand laut Verkäufer</x:v>
      </x:c>
      <x:c r="K442" s="2" t="str">
        <x:v>Export KREDIT-ERF-20260930, Einzelbelege nicht im Datenraum</x:v>
      </x:c>
    </x:row>
    <x:row r="443" ht="22" customHeight="1">
      <x:c r="A443" s="2" t="str">
        <x:v>APB-0438</x:v>
      </x:c>
      <x:c r="B443" s="2" t="str">
        <x:v>Bestandskunde 0438</x:v>
      </x:c>
      <x:c r="C443" s="2" t="str">
        <x:v>Nur Verkäuferexport</x:v>
      </x:c>
      <x:c r="D443" s="9" t="n">
        <x:v>18006</x:v>
      </x:c>
      <x:c r="E443" s="9" t="n">
        <x:v>39</x:v>
      </x:c>
      <x:c r="F443" s="9" t="n">
        <x:v>0</x:v>
      </x:c>
      <x:c r="G443" s="11" t="n">
        <x:f>SUM(D443:F443)</x:f>
        <x:v>18045</x:v>
      </x:c>
      <x:c r="H443" s="10" t="n">
        <x:v>0.92</x:v>
      </x:c>
      <x:c r="I443" s="11" t="n">
        <x:f>IF(ISNUMBER(H443),ROUND(D443*H443,2),NA())</x:f>
        <x:v>16565.52</x:v>
      </x:c>
      <x:c r="J443" s="2" t="str">
        <x:v>Regelbestand laut Verkäufer</x:v>
      </x:c>
      <x:c r="K443" s="2" t="str">
        <x:v>Export KREDIT-ERF-20260930, Einzelbelege nicht im Datenraum</x:v>
      </x:c>
    </x:row>
    <x:row r="444" ht="22" customHeight="1">
      <x:c r="A444" s="2" t="str">
        <x:v>APB-0439</x:v>
      </x:c>
      <x:c r="B444" s="2" t="str">
        <x:v>Bestandskunde 0439</x:v>
      </x:c>
      <x:c r="C444" s="2" t="str">
        <x:v>Nur Verkäuferexport</x:v>
      </x:c>
      <x:c r="D444" s="9" t="n">
        <x:v>18143</x:v>
      </x:c>
      <x:c r="E444" s="9" t="n">
        <x:v>45.5</x:v>
      </x:c>
      <x:c r="F444" s="9" t="n">
        <x:v>0</x:v>
      </x:c>
      <x:c r="G444" s="11" t="n">
        <x:f>SUM(D444:F444)</x:f>
        <x:v>18188.5</x:v>
      </x:c>
      <x:c r="H444" s="10" t="n">
        <x:v>0.92</x:v>
      </x:c>
      <x:c r="I444" s="11" t="n">
        <x:f>IF(ISNUMBER(H444),ROUND(D444*H444,2),NA())</x:f>
        <x:v>16691.56</x:v>
      </x:c>
      <x:c r="J444" s="2" t="str">
        <x:v>Regelbestand laut Verkäufer</x:v>
      </x:c>
      <x:c r="K444" s="2" t="str">
        <x:v>Export KREDIT-ERF-20260930, Einzelbelege nicht im Datenraum</x:v>
      </x:c>
    </x:row>
    <x:row r="445" ht="22" customHeight="1">
      <x:c r="A445" s="2" t="str">
        <x:v>APB-0440</x:v>
      </x:c>
      <x:c r="B445" s="2" t="str">
        <x:v>Bestandskunde 0440</x:v>
      </x:c>
      <x:c r="C445" s="2" t="str">
        <x:v>Nur Verkäuferexport</x:v>
      </x:c>
      <x:c r="D445" s="9" t="n">
        <x:v>18280</x:v>
      </x:c>
      <x:c r="E445" s="9" t="n">
        <x:v>52</x:v>
      </x:c>
      <x:c r="F445" s="9" t="n">
        <x:v>0</x:v>
      </x:c>
      <x:c r="G445" s="11" t="n">
        <x:f>SUM(D445:F445)</x:f>
        <x:v>18332</x:v>
      </x:c>
      <x:c r="H445" s="10" t="n">
        <x:v>0.92</x:v>
      </x:c>
      <x:c r="I445" s="11" t="n">
        <x:f>IF(ISNUMBER(H445),ROUND(D445*H445,2),NA())</x:f>
        <x:v>16817.6</x:v>
      </x:c>
      <x:c r="J445" s="2" t="str">
        <x:v>Regelbestand laut Verkäufer</x:v>
      </x:c>
      <x:c r="K445" s="2" t="str">
        <x:v>Export KREDIT-ERF-20260930, Einzelbelege nicht im Datenraum</x:v>
      </x:c>
    </x:row>
    <x:row r="446" ht="22" customHeight="1">
      <x:c r="A446" s="2" t="str">
        <x:v>APB-0441</x:v>
      </x:c>
      <x:c r="B446" s="2" t="str">
        <x:v>Bestandskunde 0441</x:v>
      </x:c>
      <x:c r="C446" s="2" t="str">
        <x:v>Nur Verkäuferexport</x:v>
      </x:c>
      <x:c r="D446" s="9" t="n">
        <x:v>18417</x:v>
      </x:c>
      <x:c r="E446" s="9" t="n">
        <x:v>0</x:v>
      </x:c>
      <x:c r="F446" s="9" t="n">
        <x:v>0</x:v>
      </x:c>
      <x:c r="G446" s="11" t="n">
        <x:f>SUM(D446:F446)</x:f>
        <x:v>18417</x:v>
      </x:c>
      <x:c r="H446" s="10" t="n">
        <x:v>0.92</x:v>
      </x:c>
      <x:c r="I446" s="11" t="n">
        <x:f>IF(ISNUMBER(H446),ROUND(D446*H446,2),NA())</x:f>
        <x:v>16943.64</x:v>
      </x:c>
      <x:c r="J446" s="2" t="str">
        <x:v>Regelbestand laut Verkäufer</x:v>
      </x:c>
      <x:c r="K446" s="2" t="str">
        <x:v>Export KREDIT-ERF-20260930, Einzelbelege nicht im Datenraum</x:v>
      </x:c>
    </x:row>
    <x:row r="447" ht="22" customHeight="1">
      <x:c r="A447" s="2" t="str">
        <x:v>APB-0442</x:v>
      </x:c>
      <x:c r="B447" s="2" t="str">
        <x:v>Bestandskunde 0442</x:v>
      </x:c>
      <x:c r="C447" s="2" t="str">
        <x:v>Nur Verkäuferexport</x:v>
      </x:c>
      <x:c r="D447" s="9" t="n">
        <x:v>18554</x:v>
      </x:c>
      <x:c r="E447" s="9" t="n">
        <x:v>6.5</x:v>
      </x:c>
      <x:c r="F447" s="9" t="n">
        <x:v>0</x:v>
      </x:c>
      <x:c r="G447" s="11" t="n">
        <x:f>SUM(D447:F447)</x:f>
        <x:v>18560.5</x:v>
      </x:c>
      <x:c r="H447" s="10" t="n">
        <x:v>0.92</x:v>
      </x:c>
      <x:c r="I447" s="11" t="n">
        <x:f>IF(ISNUMBER(H447),ROUND(D447*H447,2),NA())</x:f>
        <x:v>17069.68</x:v>
      </x:c>
      <x:c r="J447" s="2" t="str">
        <x:v>Regelbestand laut Verkäufer</x:v>
      </x:c>
      <x:c r="K447" s="2" t="str">
        <x:v>Export KREDIT-ERF-20260930, Einzelbelege nicht im Datenraum</x:v>
      </x:c>
    </x:row>
    <x:row r="448" ht="22" customHeight="1">
      <x:c r="A448" s="2" t="str">
        <x:v>APB-0443</x:v>
      </x:c>
      <x:c r="B448" s="2" t="str">
        <x:v>Bestandskunde 0443</x:v>
      </x:c>
      <x:c r="C448" s="2" t="str">
        <x:v>Nur Verkäuferexport</x:v>
      </x:c>
      <x:c r="D448" s="9" t="n">
        <x:v>18691</x:v>
      </x:c>
      <x:c r="E448" s="9" t="n">
        <x:v>13</x:v>
      </x:c>
      <x:c r="F448" s="9" t="n">
        <x:v>0</x:v>
      </x:c>
      <x:c r="G448" s="11" t="n">
        <x:f>SUM(D448:F448)</x:f>
        <x:v>18704</x:v>
      </x:c>
      <x:c r="H448" s="10" t="n">
        <x:v>0.92</x:v>
      </x:c>
      <x:c r="I448" s="11" t="n">
        <x:f>IF(ISNUMBER(H448),ROUND(D448*H448,2),NA())</x:f>
        <x:v>17195.72</x:v>
      </x:c>
      <x:c r="J448" s="2" t="str">
        <x:v>Regelbestand laut Verkäufer</x:v>
      </x:c>
      <x:c r="K448" s="2" t="str">
        <x:v>Export KREDIT-ERF-20260930, Einzelbelege nicht im Datenraum</x:v>
      </x:c>
    </x:row>
    <x:row r="449" ht="22" customHeight="1">
      <x:c r="A449" s="2" t="str">
        <x:v>APB-0444</x:v>
      </x:c>
      <x:c r="B449" s="2" t="str">
        <x:v>Bestandskunde 0444</x:v>
      </x:c>
      <x:c r="C449" s="2" t="str">
        <x:v>Nur Verkäuferexport</x:v>
      </x:c>
      <x:c r="D449" s="9" t="n">
        <x:v>18828</x:v>
      </x:c>
      <x:c r="E449" s="9" t="n">
        <x:v>19.5</x:v>
      </x:c>
      <x:c r="F449" s="9" t="n">
        <x:v>0</x:v>
      </x:c>
      <x:c r="G449" s="11" t="n">
        <x:f>SUM(D449:F449)</x:f>
        <x:v>18847.5</x:v>
      </x:c>
      <x:c r="H449" s="10" t="n">
        <x:v>0.92</x:v>
      </x:c>
      <x:c r="I449" s="11" t="n">
        <x:f>IF(ISNUMBER(H449),ROUND(D449*H449,2),NA())</x:f>
        <x:v>17321.76</x:v>
      </x:c>
      <x:c r="J449" s="2" t="str">
        <x:v>Regelbestand laut Verkäufer</x:v>
      </x:c>
      <x:c r="K449" s="2" t="str">
        <x:v>Export KREDIT-ERF-20260930, Einzelbelege nicht im Datenraum</x:v>
      </x:c>
    </x:row>
    <x:row r="450" ht="22" customHeight="1">
      <x:c r="A450" s="2" t="str">
        <x:v>APB-0445</x:v>
      </x:c>
      <x:c r="B450" s="2" t="str">
        <x:v>Bestandskunde 0445</x:v>
      </x:c>
      <x:c r="C450" s="2" t="str">
        <x:v>Nur Verkäuferexport</x:v>
      </x:c>
      <x:c r="D450" s="9" t="n">
        <x:v>18965</x:v>
      </x:c>
      <x:c r="E450" s="9" t="n">
        <x:v>26</x:v>
      </x:c>
      <x:c r="F450" s="9" t="n">
        <x:v>0</x:v>
      </x:c>
      <x:c r="G450" s="11" t="n">
        <x:f>SUM(D450:F450)</x:f>
        <x:v>18991</x:v>
      </x:c>
      <x:c r="H450" s="10" t="n">
        <x:v>0.92</x:v>
      </x:c>
      <x:c r="I450" s="11" t="n">
        <x:f>IF(ISNUMBER(H450),ROUND(D450*H450,2),NA())</x:f>
        <x:v>17447.8</x:v>
      </x:c>
      <x:c r="J450" s="2" t="str">
        <x:v>Regelbestand laut Verkäufer</x:v>
      </x:c>
      <x:c r="K450" s="2" t="str">
        <x:v>Export KREDIT-ERF-20260930, Einzelbelege nicht im Datenraum</x:v>
      </x:c>
    </x:row>
    <x:row r="451" ht="22" customHeight="1">
      <x:c r="A451" s="2" t="str">
        <x:v>APB-0446</x:v>
      </x:c>
      <x:c r="B451" s="2" t="str">
        <x:v>Bestandskunde 0446</x:v>
      </x:c>
      <x:c r="C451" s="2" t="str">
        <x:v>Nur Verkäuferexport</x:v>
      </x:c>
      <x:c r="D451" s="9" t="n">
        <x:v>19102</x:v>
      </x:c>
      <x:c r="E451" s="9" t="n">
        <x:v>32.5</x:v>
      </x:c>
      <x:c r="F451" s="9" t="n">
        <x:v>0</x:v>
      </x:c>
      <x:c r="G451" s="11" t="n">
        <x:f>SUM(D451:F451)</x:f>
        <x:v>19134.5</x:v>
      </x:c>
      <x:c r="H451" s="10" t="n">
        <x:v>0.92</x:v>
      </x:c>
      <x:c r="I451" s="11" t="n">
        <x:f>IF(ISNUMBER(H451),ROUND(D451*H451,2),NA())</x:f>
        <x:v>17573.84</x:v>
      </x:c>
      <x:c r="J451" s="2" t="str">
        <x:v>Regelbestand laut Verkäufer</x:v>
      </x:c>
      <x:c r="K451" s="2" t="str">
        <x:v>Export KREDIT-ERF-20260930, Einzelbelege nicht im Datenraum</x:v>
      </x:c>
    </x:row>
    <x:row r="452" ht="22" customHeight="1">
      <x:c r="A452" s="2" t="str">
        <x:v>APB-0447</x:v>
      </x:c>
      <x:c r="B452" s="2" t="str">
        <x:v>Bestandskunde 0447</x:v>
      </x:c>
      <x:c r="C452" s="2" t="str">
        <x:v>Nur Verkäuferexport</x:v>
      </x:c>
      <x:c r="D452" s="9" t="n">
        <x:v>19239</x:v>
      </x:c>
      <x:c r="E452" s="9" t="n">
        <x:v>39</x:v>
      </x:c>
      <x:c r="F452" s="9" t="n">
        <x:v>0</x:v>
      </x:c>
      <x:c r="G452" s="11" t="n">
        <x:f>SUM(D452:F452)</x:f>
        <x:v>19278</x:v>
      </x:c>
      <x:c r="H452" s="10" t="n">
        <x:v>0.92</x:v>
      </x:c>
      <x:c r="I452" s="11" t="n">
        <x:f>IF(ISNUMBER(H452),ROUND(D452*H452,2),NA())</x:f>
        <x:v>17699.88</x:v>
      </x:c>
      <x:c r="J452" s="2" t="str">
        <x:v>Regelbestand laut Verkäufer</x:v>
      </x:c>
      <x:c r="K452" s="2" t="str">
        <x:v>Export KREDIT-ERF-20260930, Einzelbelege nicht im Datenraum</x:v>
      </x:c>
    </x:row>
    <x:row r="453" ht="22" customHeight="1">
      <x:c r="A453" s="2" t="str">
        <x:v>APB-0448</x:v>
      </x:c>
      <x:c r="B453" s="2" t="str">
        <x:v>Bestandskunde 0448</x:v>
      </x:c>
      <x:c r="C453" s="2" t="str">
        <x:v>Nur Verkäuferexport</x:v>
      </x:c>
      <x:c r="D453" s="9" t="n">
        <x:v>19376</x:v>
      </x:c>
      <x:c r="E453" s="9" t="n">
        <x:v>45.5</x:v>
      </x:c>
      <x:c r="F453" s="9" t="n">
        <x:v>0</x:v>
      </x:c>
      <x:c r="G453" s="11" t="n">
        <x:f>SUM(D453:F453)</x:f>
        <x:v>19421.5</x:v>
      </x:c>
      <x:c r="H453" s="10" t="n">
        <x:v>0.92</x:v>
      </x:c>
      <x:c r="I453" s="11" t="n">
        <x:f>IF(ISNUMBER(H453),ROUND(D453*H453,2),NA())</x:f>
        <x:v>17825.92</x:v>
      </x:c>
      <x:c r="J453" s="2" t="str">
        <x:v>Regelbestand laut Verkäufer</x:v>
      </x:c>
      <x:c r="K453" s="2" t="str">
        <x:v>Export KREDIT-ERF-20260930, Einzelbelege nicht im Datenraum</x:v>
      </x:c>
    </x:row>
    <x:row r="454" ht="22" customHeight="1">
      <x:c r="A454" s="2" t="str">
        <x:v>APB-0449</x:v>
      </x:c>
      <x:c r="B454" s="2" t="str">
        <x:v>Bestandskunde 0449</x:v>
      </x:c>
      <x:c r="C454" s="2" t="str">
        <x:v>Nur Verkäuferexport</x:v>
      </x:c>
      <x:c r="D454" s="9" t="n">
        <x:v>19513</x:v>
      </x:c>
      <x:c r="E454" s="9" t="n">
        <x:v>52</x:v>
      </x:c>
      <x:c r="F454" s="9" t="n">
        <x:v>0</x:v>
      </x:c>
      <x:c r="G454" s="11" t="n">
        <x:f>SUM(D454:F454)</x:f>
        <x:v>19565</x:v>
      </x:c>
      <x:c r="H454" s="10" t="n">
        <x:v>0.92</x:v>
      </x:c>
      <x:c r="I454" s="11" t="n">
        <x:f>IF(ISNUMBER(H454),ROUND(D454*H454,2),NA())</x:f>
        <x:v>17951.96</x:v>
      </x:c>
      <x:c r="J454" s="2" t="str">
        <x:v>Regelbestand laut Verkäufer</x:v>
      </x:c>
      <x:c r="K454" s="2" t="str">
        <x:v>Export KREDIT-ERF-20260930, Einzelbelege nicht im Datenraum</x:v>
      </x:c>
    </x:row>
    <x:row r="455" ht="22" customHeight="1">
      <x:c r="A455" s="2" t="str">
        <x:v>APB-0450</x:v>
      </x:c>
      <x:c r="B455" s="2" t="str">
        <x:v>Bestandskunde 0450</x:v>
      </x:c>
      <x:c r="C455" s="2" t="str">
        <x:v>Nur Verkäuferexport</x:v>
      </x:c>
      <x:c r="D455" s="9" t="n">
        <x:v>19650</x:v>
      </x:c>
      <x:c r="E455" s="9" t="n">
        <x:v>0</x:v>
      </x:c>
      <x:c r="F455" s="9" t="n">
        <x:v>0</x:v>
      </x:c>
      <x:c r="G455" s="11" t="n">
        <x:f>SUM(D455:F455)</x:f>
        <x:v>19650</x:v>
      </x:c>
      <x:c r="H455" s="10" t="n">
        <x:v>0.92</x:v>
      </x:c>
      <x:c r="I455" s="11" t="n">
        <x:f>IF(ISNUMBER(H455),ROUND(D455*H455,2),NA())</x:f>
        <x:v>18078</x:v>
      </x:c>
      <x:c r="J455" s="2" t="str">
        <x:v>Regelbestand laut Verkäufer</x:v>
      </x:c>
      <x:c r="K455" s="2" t="str">
        <x:v>Export KREDIT-ERF-20260930, Einzelbelege nicht im Datenraum</x:v>
      </x:c>
    </x:row>
    <x:row r="456" ht="22" customHeight="1">
      <x:c r="A456" s="2" t="str">
        <x:v>APB-0451</x:v>
      </x:c>
      <x:c r="B456" s="2" t="str">
        <x:v>Bestandskunde 0451</x:v>
      </x:c>
      <x:c r="C456" s="2" t="str">
        <x:v>Nur Verkäuferexport</x:v>
      </x:c>
      <x:c r="D456" s="9" t="n">
        <x:v>19787</x:v>
      </x:c>
      <x:c r="E456" s="9" t="n">
        <x:v>6.5</x:v>
      </x:c>
      <x:c r="F456" s="9" t="n">
        <x:v>0</x:v>
      </x:c>
      <x:c r="G456" s="11" t="n">
        <x:f>SUM(D456:F456)</x:f>
        <x:v>19793.5</x:v>
      </x:c>
      <x:c r="H456" s="10" t="n">
        <x:v>0.92</x:v>
      </x:c>
      <x:c r="I456" s="11" t="n">
        <x:f>IF(ISNUMBER(H456),ROUND(D456*H456,2),NA())</x:f>
        <x:v>18204.04</x:v>
      </x:c>
      <x:c r="J456" s="2" t="str">
        <x:v>Regelbestand laut Verkäufer</x:v>
      </x:c>
      <x:c r="K456" s="2" t="str">
        <x:v>Export KREDIT-ERF-20260930, Einzelbelege nicht im Datenraum</x:v>
      </x:c>
    </x:row>
    <x:row r="457" ht="22" customHeight="1">
      <x:c r="A457" s="2" t="str">
        <x:v>APB-0452</x:v>
      </x:c>
      <x:c r="B457" s="2" t="str">
        <x:v>Bestandskunde 0452</x:v>
      </x:c>
      <x:c r="C457" s="2" t="str">
        <x:v>Nur Verkäuferexport</x:v>
      </x:c>
      <x:c r="D457" s="9" t="n">
        <x:v>19924</x:v>
      </x:c>
      <x:c r="E457" s="9" t="n">
        <x:v>13</x:v>
      </x:c>
      <x:c r="F457" s="9" t="n">
        <x:v>0</x:v>
      </x:c>
      <x:c r="G457" s="11" t="n">
        <x:f>SUM(D457:F457)</x:f>
        <x:v>19937</x:v>
      </x:c>
      <x:c r="H457" s="10" t="n">
        <x:v>0.92</x:v>
      </x:c>
      <x:c r="I457" s="11" t="n">
        <x:f>IF(ISNUMBER(H457),ROUND(D457*H457,2),NA())</x:f>
        <x:v>18330.08</x:v>
      </x:c>
      <x:c r="J457" s="2" t="str">
        <x:v>Regelbestand laut Verkäufer</x:v>
      </x:c>
      <x:c r="K457" s="2" t="str">
        <x:v>Export KREDIT-ERF-20260930, Einzelbelege nicht im Datenraum</x:v>
      </x:c>
    </x:row>
    <x:row r="458" ht="22" customHeight="1">
      <x:c r="A458" s="2" t="str">
        <x:v>APB-0453</x:v>
      </x:c>
      <x:c r="B458" s="2" t="str">
        <x:v>Bestandskunde 0453</x:v>
      </x:c>
      <x:c r="C458" s="2" t="str">
        <x:v>Nur Verkäuferexport</x:v>
      </x:c>
      <x:c r="D458" s="9" t="n">
        <x:v>20061</x:v>
      </x:c>
      <x:c r="E458" s="9" t="n">
        <x:v>19.5</x:v>
      </x:c>
      <x:c r="F458" s="9" t="n">
        <x:v>0</x:v>
      </x:c>
      <x:c r="G458" s="11" t="n">
        <x:f>SUM(D458:F458)</x:f>
        <x:v>20080.5</x:v>
      </x:c>
      <x:c r="H458" s="10" t="n">
        <x:v>0.92</x:v>
      </x:c>
      <x:c r="I458" s="11" t="n">
        <x:f>IF(ISNUMBER(H458),ROUND(D458*H458,2),NA())</x:f>
        <x:v>18456.12</x:v>
      </x:c>
      <x:c r="J458" s="2" t="str">
        <x:v>Regelbestand laut Verkäufer</x:v>
      </x:c>
      <x:c r="K458" s="2" t="str">
        <x:v>Export KREDIT-ERF-20260930, Einzelbelege nicht im Datenraum</x:v>
      </x:c>
    </x:row>
    <x:row r="459" ht="22" customHeight="1">
      <x:c r="A459" s="2" t="str">
        <x:v>APB-0454</x:v>
      </x:c>
      <x:c r="B459" s="2" t="str">
        <x:v>Bestandskunde 0454</x:v>
      </x:c>
      <x:c r="C459" s="2" t="str">
        <x:v>Nur Verkäuferexport</x:v>
      </x:c>
      <x:c r="D459" s="9" t="n">
        <x:v>20198</x:v>
      </x:c>
      <x:c r="E459" s="9" t="n">
        <x:v>26</x:v>
      </x:c>
      <x:c r="F459" s="9" t="n">
        <x:v>0</x:v>
      </x:c>
      <x:c r="G459" s="11" t="n">
        <x:f>SUM(D459:F459)</x:f>
        <x:v>20224</x:v>
      </x:c>
      <x:c r="H459" s="10" t="n">
        <x:v>0.92</x:v>
      </x:c>
      <x:c r="I459" s="11" t="n">
        <x:f>IF(ISNUMBER(H459),ROUND(D459*H459,2),NA())</x:f>
        <x:v>18582.16</x:v>
      </x:c>
      <x:c r="J459" s="2" t="str">
        <x:v>Regelbestand laut Verkäufer</x:v>
      </x:c>
      <x:c r="K459" s="2" t="str">
        <x:v>Export KREDIT-ERF-20260930, Einzelbelege nicht im Datenraum</x:v>
      </x:c>
    </x:row>
    <x:row r="460" ht="22" customHeight="1">
      <x:c r="A460" s="2" t="str">
        <x:v>APB-0455</x:v>
      </x:c>
      <x:c r="B460" s="2" t="str">
        <x:v>Bestandskunde 0455</x:v>
      </x:c>
      <x:c r="C460" s="2" t="str">
        <x:v>Nur Verkäuferexport</x:v>
      </x:c>
      <x:c r="D460" s="9" t="n">
        <x:v>20335</x:v>
      </x:c>
      <x:c r="E460" s="9" t="n">
        <x:v>32.5</x:v>
      </x:c>
      <x:c r="F460" s="9" t="n">
        <x:v>0</x:v>
      </x:c>
      <x:c r="G460" s="11" t="n">
        <x:f>SUM(D460:F460)</x:f>
        <x:v>20367.5</x:v>
      </x:c>
      <x:c r="H460" s="10" t="n">
        <x:v>0.92</x:v>
      </x:c>
      <x:c r="I460" s="11" t="n">
        <x:f>IF(ISNUMBER(H460),ROUND(D460*H460,2),NA())</x:f>
        <x:v>18708.2</x:v>
      </x:c>
      <x:c r="J460" s="2" t="str">
        <x:v>Regelbestand laut Verkäufer</x:v>
      </x:c>
      <x:c r="K460" s="2" t="str">
        <x:v>Export KREDIT-ERF-20260930, Einzelbelege nicht im Datenraum</x:v>
      </x:c>
    </x:row>
    <x:row r="461" ht="22" customHeight="1">
      <x:c r="A461" s="2" t="str">
        <x:v>APB-0456</x:v>
      </x:c>
      <x:c r="B461" s="2" t="str">
        <x:v>Bestandskunde 0456</x:v>
      </x:c>
      <x:c r="C461" s="2" t="str">
        <x:v>Nur Verkäuferexport</x:v>
      </x:c>
      <x:c r="D461" s="9" t="n">
        <x:v>20472</x:v>
      </x:c>
      <x:c r="E461" s="9" t="n">
        <x:v>39</x:v>
      </x:c>
      <x:c r="F461" s="9" t="n">
        <x:v>0</x:v>
      </x:c>
      <x:c r="G461" s="11" t="n">
        <x:f>SUM(D461:F461)</x:f>
        <x:v>20511</x:v>
      </x:c>
      <x:c r="H461" s="10" t="n">
        <x:v>0.92</x:v>
      </x:c>
      <x:c r="I461" s="11" t="n">
        <x:f>IF(ISNUMBER(H461),ROUND(D461*H461,2),NA())</x:f>
        <x:v>18834.24</x:v>
      </x:c>
      <x:c r="J461" s="2" t="str">
        <x:v>Regelbestand laut Verkäufer</x:v>
      </x:c>
      <x:c r="K461" s="2" t="str">
        <x:v>Export KREDIT-ERF-20260930, Einzelbelege nicht im Datenraum</x:v>
      </x:c>
    </x:row>
    <x:row r="462" ht="22" customHeight="1">
      <x:c r="A462" s="2" t="str">
        <x:v>APB-0457</x:v>
      </x:c>
      <x:c r="B462" s="2" t="str">
        <x:v>Bestandskunde 0457</x:v>
      </x:c>
      <x:c r="C462" s="2" t="str">
        <x:v>Nur Verkäuferexport</x:v>
      </x:c>
      <x:c r="D462" s="9" t="n">
        <x:v>20609</x:v>
      </x:c>
      <x:c r="E462" s="9" t="n">
        <x:v>45.5</x:v>
      </x:c>
      <x:c r="F462" s="9" t="n">
        <x:v>0</x:v>
      </x:c>
      <x:c r="G462" s="11" t="n">
        <x:f>SUM(D462:F462)</x:f>
        <x:v>20654.5</x:v>
      </x:c>
      <x:c r="H462" s="10" t="n">
        <x:v>0.92</x:v>
      </x:c>
      <x:c r="I462" s="11" t="n">
        <x:f>IF(ISNUMBER(H462),ROUND(D462*H462,2),NA())</x:f>
        <x:v>18960.28</x:v>
      </x:c>
      <x:c r="J462" s="2" t="str">
        <x:v>Regelbestand laut Verkäufer</x:v>
      </x:c>
      <x:c r="K462" s="2" t="str">
        <x:v>Export KREDIT-ERF-20260930, Einzelbelege nicht im Datenraum</x:v>
      </x:c>
    </x:row>
    <x:row r="463" ht="22" customHeight="1">
      <x:c r="A463" s="2" t="str">
        <x:v>APB-0458</x:v>
      </x:c>
      <x:c r="B463" s="2" t="str">
        <x:v>Bestandskunde 0458</x:v>
      </x:c>
      <x:c r="C463" s="2" t="str">
        <x:v>Nur Verkäuferexport</x:v>
      </x:c>
      <x:c r="D463" s="9" t="n">
        <x:v>20746</x:v>
      </x:c>
      <x:c r="E463" s="9" t="n">
        <x:v>52</x:v>
      </x:c>
      <x:c r="F463" s="9" t="n">
        <x:v>0</x:v>
      </x:c>
      <x:c r="G463" s="11" t="n">
        <x:f>SUM(D463:F463)</x:f>
        <x:v>20798</x:v>
      </x:c>
      <x:c r="H463" s="10" t="n">
        <x:v>0.92</x:v>
      </x:c>
      <x:c r="I463" s="11" t="n">
        <x:f>IF(ISNUMBER(H463),ROUND(D463*H463,2),NA())</x:f>
        <x:v>19086.32</x:v>
      </x:c>
      <x:c r="J463" s="2" t="str">
        <x:v>Regelbestand laut Verkäufer</x:v>
      </x:c>
      <x:c r="K463" s="2" t="str">
        <x:v>Export KREDIT-ERF-20260930, Einzelbelege nicht im Datenraum</x:v>
      </x:c>
    </x:row>
    <x:row r="464" ht="22" customHeight="1">
      <x:c r="A464" s="2" t="str">
        <x:v>APB-0459</x:v>
      </x:c>
      <x:c r="B464" s="2" t="str">
        <x:v>Bestandskunde 0459</x:v>
      </x:c>
      <x:c r="C464" s="2" t="str">
        <x:v>Nur Verkäuferexport</x:v>
      </x:c>
      <x:c r="D464" s="9" t="n">
        <x:v>20883</x:v>
      </x:c>
      <x:c r="E464" s="9" t="n">
        <x:v>0</x:v>
      </x:c>
      <x:c r="F464" s="9" t="n">
        <x:v>0</x:v>
      </x:c>
      <x:c r="G464" s="11" t="n">
        <x:f>SUM(D464:F464)</x:f>
        <x:v>20883</x:v>
      </x:c>
      <x:c r="H464" s="10" t="n">
        <x:v>0.92</x:v>
      </x:c>
      <x:c r="I464" s="11" t="n">
        <x:f>IF(ISNUMBER(H464),ROUND(D464*H464,2),NA())</x:f>
        <x:v>19212.36</x:v>
      </x:c>
      <x:c r="J464" s="2" t="str">
        <x:v>Regelbestand laut Verkäufer</x:v>
      </x:c>
      <x:c r="K464" s="2" t="str">
        <x:v>Export KREDIT-ERF-20260930, Einzelbelege nicht im Datenraum</x:v>
      </x:c>
    </x:row>
    <x:row r="465" ht="22" customHeight="1">
      <x:c r="A465" s="2" t="str">
        <x:v>APB-0460</x:v>
      </x:c>
      <x:c r="B465" s="2" t="str">
        <x:v>Bestandskunde 0460</x:v>
      </x:c>
      <x:c r="C465" s="2" t="str">
        <x:v>Nur Verkäuferexport</x:v>
      </x:c>
      <x:c r="D465" s="9" t="n">
        <x:v>21020</x:v>
      </x:c>
      <x:c r="E465" s="9" t="n">
        <x:v>6.5</x:v>
      </x:c>
      <x:c r="F465" s="9" t="n">
        <x:v>0</x:v>
      </x:c>
      <x:c r="G465" s="11" t="n">
        <x:f>SUM(D465:F465)</x:f>
        <x:v>21026.5</x:v>
      </x:c>
      <x:c r="H465" s="10" t="n">
        <x:v>0.92</x:v>
      </x:c>
      <x:c r="I465" s="11" t="n">
        <x:f>IF(ISNUMBER(H465),ROUND(D465*H465,2),NA())</x:f>
        <x:v>19338.4</x:v>
      </x:c>
      <x:c r="J465" s="2" t="str">
        <x:v>Regelbestand laut Verkäufer</x:v>
      </x:c>
      <x:c r="K465" s="2" t="str">
        <x:v>Export KREDIT-ERF-20260930, Einzelbelege nicht im Datenraum</x:v>
      </x:c>
    </x:row>
    <x:row r="466" ht="22" customHeight="1">
      <x:c r="A466" s="2" t="str">
        <x:v>APB-0461</x:v>
      </x:c>
      <x:c r="B466" s="2" t="str">
        <x:v>Bestandskunde 0461</x:v>
      </x:c>
      <x:c r="C466" s="2" t="str">
        <x:v>Nur Verkäuferexport</x:v>
      </x:c>
      <x:c r="D466" s="9" t="n">
        <x:v>21157</x:v>
      </x:c>
      <x:c r="E466" s="9" t="n">
        <x:v>13</x:v>
      </x:c>
      <x:c r="F466" s="9" t="n">
        <x:v>0</x:v>
      </x:c>
      <x:c r="G466" s="11" t="n">
        <x:f>SUM(D466:F466)</x:f>
        <x:v>21170</x:v>
      </x:c>
      <x:c r="H466" s="10" t="n">
        <x:v>0.92</x:v>
      </x:c>
      <x:c r="I466" s="11" t="n">
        <x:f>IF(ISNUMBER(H466),ROUND(D466*H466,2),NA())</x:f>
        <x:v>19464.44</x:v>
      </x:c>
      <x:c r="J466" s="2" t="str">
        <x:v>Regelbestand laut Verkäufer</x:v>
      </x:c>
      <x:c r="K466" s="2" t="str">
        <x:v>Export KREDIT-ERF-20260930, Einzelbelege nicht im Datenraum</x:v>
      </x:c>
    </x:row>
    <x:row r="467" ht="22" customHeight="1">
      <x:c r="A467" s="2" t="str">
        <x:v>APB-0462</x:v>
      </x:c>
      <x:c r="B467" s="2" t="str">
        <x:v>Bestandskunde 0462</x:v>
      </x:c>
      <x:c r="C467" s="2" t="str">
        <x:v>Nur Verkäuferexport</x:v>
      </x:c>
      <x:c r="D467" s="9" t="n">
        <x:v>21294</x:v>
      </x:c>
      <x:c r="E467" s="9" t="n">
        <x:v>19.5</x:v>
      </x:c>
      <x:c r="F467" s="9" t="n">
        <x:v>0</x:v>
      </x:c>
      <x:c r="G467" s="11" t="n">
        <x:f>SUM(D467:F467)</x:f>
        <x:v>21313.5</x:v>
      </x:c>
      <x:c r="H467" s="10" t="n">
        <x:v>0.92</x:v>
      </x:c>
      <x:c r="I467" s="11" t="n">
        <x:f>IF(ISNUMBER(H467),ROUND(D467*H467,2),NA())</x:f>
        <x:v>19590.48</x:v>
      </x:c>
      <x:c r="J467" s="2" t="str">
        <x:v>Regelbestand laut Verkäufer</x:v>
      </x:c>
      <x:c r="K467" s="2" t="str">
        <x:v>Export KREDIT-ERF-20260930, Einzelbelege nicht im Datenraum</x:v>
      </x:c>
    </x:row>
    <x:row r="468" ht="22" customHeight="1">
      <x:c r="A468" s="2" t="str">
        <x:v>APB-0463</x:v>
      </x:c>
      <x:c r="B468" s="2" t="str">
        <x:v>Bestandskunde 0463</x:v>
      </x:c>
      <x:c r="C468" s="2" t="str">
        <x:v>Nur Verkäuferexport</x:v>
      </x:c>
      <x:c r="D468" s="9" t="n">
        <x:v>21431</x:v>
      </x:c>
      <x:c r="E468" s="9" t="n">
        <x:v>26</x:v>
      </x:c>
      <x:c r="F468" s="9" t="n">
        <x:v>0</x:v>
      </x:c>
      <x:c r="G468" s="11" t="n">
        <x:f>SUM(D468:F468)</x:f>
        <x:v>21457</x:v>
      </x:c>
      <x:c r="H468" s="10" t="n">
        <x:v>0.92</x:v>
      </x:c>
      <x:c r="I468" s="11" t="n">
        <x:f>IF(ISNUMBER(H468),ROUND(D468*H468,2),NA())</x:f>
        <x:v>19716.52</x:v>
      </x:c>
      <x:c r="J468" s="2" t="str">
        <x:v>Regelbestand laut Verkäufer</x:v>
      </x:c>
      <x:c r="K468" s="2" t="str">
        <x:v>Export KREDIT-ERF-20260930, Einzelbelege nicht im Datenraum</x:v>
      </x:c>
    </x:row>
    <x:row r="469" ht="22" customHeight="1">
      <x:c r="A469" s="2" t="str">
        <x:v>APB-0464</x:v>
      </x:c>
      <x:c r="B469" s="2" t="str">
        <x:v>Bestandskunde 0464</x:v>
      </x:c>
      <x:c r="C469" s="2" t="str">
        <x:v>Nur Verkäuferexport</x:v>
      </x:c>
      <x:c r="D469" s="9" t="n">
        <x:v>21568</x:v>
      </x:c>
      <x:c r="E469" s="9" t="n">
        <x:v>32.5</x:v>
      </x:c>
      <x:c r="F469" s="9" t="n">
        <x:v>15</x:v>
      </x:c>
      <x:c r="G469" s="11" t="n">
        <x:f>SUM(D469:F469)</x:f>
        <x:v>21615.5</x:v>
      </x:c>
      <x:c r="H469" s="10" t="n">
        <x:v>0.92</x:v>
      </x:c>
      <x:c r="I469" s="11" t="n">
        <x:f>IF(ISNUMBER(H469),ROUND(D469*H469,2),NA())</x:f>
        <x:v>19842.56</x:v>
      </x:c>
      <x:c r="J469" s="2" t="str">
        <x:v>Zahlungslücke im Export</x:v>
      </x:c>
      <x:c r="K469" s="2" t="str">
        <x:v>Export KREDIT-ERF-20260930, Einzelbelege nicht im Datenraum</x:v>
      </x:c>
    </x:row>
    <x:row r="470" ht="22" customHeight="1">
      <x:c r="A470" s="2" t="str">
        <x:v>APB-0465</x:v>
      </x:c>
      <x:c r="B470" s="2" t="str">
        <x:v>Bestandskunde 0465</x:v>
      </x:c>
      <x:c r="C470" s="2" t="str">
        <x:v>Nur Verkäuferexport</x:v>
      </x:c>
      <x:c r="D470" s="9" t="n">
        <x:v>21705</x:v>
      </x:c>
      <x:c r="E470" s="9" t="n">
        <x:v>39</x:v>
      </x:c>
      <x:c r="F470" s="9" t="n">
        <x:v>0</x:v>
      </x:c>
      <x:c r="G470" s="11" t="n">
        <x:f>SUM(D470:F470)</x:f>
        <x:v>21744</x:v>
      </x:c>
      <x:c r="H470" s="10" t="n">
        <x:v>0.92</x:v>
      </x:c>
      <x:c r="I470" s="11" t="n">
        <x:f>IF(ISNUMBER(H470),ROUND(D470*H470,2),NA())</x:f>
        <x:v>19968.6</x:v>
      </x:c>
      <x:c r="J470" s="2" t="str">
        <x:v>Regelbestand laut Verkäufer</x:v>
      </x:c>
      <x:c r="K470" s="2" t="str">
        <x:v>Export KREDIT-ERF-20260930, Einzelbelege nicht im Datenraum</x:v>
      </x:c>
    </x:row>
    <x:row r="471" ht="22" customHeight="1">
      <x:c r="A471" s="2" t="str">
        <x:v>APB-0466</x:v>
      </x:c>
      <x:c r="B471" s="2" t="str">
        <x:v>Bestandskunde 0466</x:v>
      </x:c>
      <x:c r="C471" s="2" t="str">
        <x:v>Nur Verkäuferexport</x:v>
      </x:c>
      <x:c r="D471" s="9" t="n">
        <x:v>21842</x:v>
      </x:c>
      <x:c r="E471" s="9" t="n">
        <x:v>45.5</x:v>
      </x:c>
      <x:c r="F471" s="9" t="n">
        <x:v>0</x:v>
      </x:c>
      <x:c r="G471" s="11" t="n">
        <x:f>SUM(D471:F471)</x:f>
        <x:v>21887.5</x:v>
      </x:c>
      <x:c r="H471" s="10" t="n">
        <x:v>0.92</x:v>
      </x:c>
      <x:c r="I471" s="11" t="n">
        <x:f>IF(ISNUMBER(H471),ROUND(D471*H471,2),NA())</x:f>
        <x:v>20094.64</x:v>
      </x:c>
      <x:c r="J471" s="2" t="str">
        <x:v>Regelbestand laut Verkäufer</x:v>
      </x:c>
      <x:c r="K471" s="2" t="str">
        <x:v>Export KREDIT-ERF-20260930, Einzelbelege nicht im Datenraum</x:v>
      </x:c>
    </x:row>
    <x:row r="472" ht="22" customHeight="1">
      <x:c r="A472" s="2" t="str">
        <x:v>APB-0467</x:v>
      </x:c>
      <x:c r="B472" s="2" t="str">
        <x:v>Bestandskunde 0467</x:v>
      </x:c>
      <x:c r="C472" s="2" t="str">
        <x:v>Nur Verkäuferexport</x:v>
      </x:c>
      <x:c r="D472" s="9" t="n">
        <x:v>21979</x:v>
      </x:c>
      <x:c r="E472" s="9" t="n">
        <x:v>52</x:v>
      </x:c>
      <x:c r="F472" s="9" t="n">
        <x:v>0</x:v>
      </x:c>
      <x:c r="G472" s="11" t="n">
        <x:f>SUM(D472:F472)</x:f>
        <x:v>22031</x:v>
      </x:c>
      <x:c r="H472" s="10" t="n">
        <x:v>0.92</x:v>
      </x:c>
      <x:c r="I472" s="11" t="n">
        <x:f>IF(ISNUMBER(H472),ROUND(D472*H472,2),NA())</x:f>
        <x:v>20220.68</x:v>
      </x:c>
      <x:c r="J472" s="2" t="str">
        <x:v>Regelbestand laut Verkäufer</x:v>
      </x:c>
      <x:c r="K472" s="2" t="str">
        <x:v>Export KREDIT-ERF-20260930, Einzelbelege nicht im Datenraum</x:v>
      </x:c>
    </x:row>
    <x:row r="473" ht="22" customHeight="1">
      <x:c r="A473" s="2" t="str">
        <x:v>APB-0468</x:v>
      </x:c>
      <x:c r="B473" s="2" t="str">
        <x:v>Bestandskunde 0468</x:v>
      </x:c>
      <x:c r="C473" s="2" t="str">
        <x:v>Nur Verkäuferexport</x:v>
      </x:c>
      <x:c r="D473" s="9" t="n">
        <x:v>22116</x:v>
      </x:c>
      <x:c r="E473" s="9" t="n">
        <x:v>0</x:v>
      </x:c>
      <x:c r="F473" s="9" t="n">
        <x:v>0</x:v>
      </x:c>
      <x:c r="G473" s="11" t="n">
        <x:f>SUM(D473:F473)</x:f>
        <x:v>22116</x:v>
      </x:c>
      <x:c r="H473" s="10" t="n">
        <x:v>0.92</x:v>
      </x:c>
      <x:c r="I473" s="11" t="n">
        <x:f>IF(ISNUMBER(H473),ROUND(D473*H473,2),NA())</x:f>
        <x:v>20346.72</x:v>
      </x:c>
      <x:c r="J473" s="2" t="str">
        <x:v>Regelbestand laut Verkäufer</x:v>
      </x:c>
      <x:c r="K473" s="2" t="str">
        <x:v>Export KREDIT-ERF-20260930, Einzelbelege nicht im Datenraum</x:v>
      </x:c>
    </x:row>
    <x:row r="474" ht="22" customHeight="1">
      <x:c r="A474" s="2" t="str">
        <x:v>APB-0469</x:v>
      </x:c>
      <x:c r="B474" s="2" t="str">
        <x:v>Bestandskunde 0469</x:v>
      </x:c>
      <x:c r="C474" s="2" t="str">
        <x:v>Nur Verkäuferexport</x:v>
      </x:c>
      <x:c r="D474" s="9" t="n">
        <x:v>22253</x:v>
      </x:c>
      <x:c r="E474" s="9" t="n">
        <x:v>6.5</x:v>
      </x:c>
      <x:c r="F474" s="9" t="n">
        <x:v>0</x:v>
      </x:c>
      <x:c r="G474" s="11" t="n">
        <x:f>SUM(D474:F474)</x:f>
        <x:v>22259.5</x:v>
      </x:c>
      <x:c r="H474" s="10" t="n">
        <x:v>0.92</x:v>
      </x:c>
      <x:c r="I474" s="11" t="n">
        <x:f>IF(ISNUMBER(H474),ROUND(D474*H474,2),NA())</x:f>
        <x:v>20472.76</x:v>
      </x:c>
      <x:c r="J474" s="2" t="str">
        <x:v>Regelbestand laut Verkäufer</x:v>
      </x:c>
      <x:c r="K474" s="2" t="str">
        <x:v>Export KREDIT-ERF-20260930, Einzelbelege nicht im Datenraum</x:v>
      </x:c>
    </x:row>
    <x:row r="475" ht="22" customHeight="1">
      <x:c r="A475" s="2" t="str">
        <x:v>APB-0470</x:v>
      </x:c>
      <x:c r="B475" s="2" t="str">
        <x:v>Bestandskunde 0470</x:v>
      </x:c>
      <x:c r="C475" s="2" t="str">
        <x:v>Nur Verkäuferexport</x:v>
      </x:c>
      <x:c r="D475" s="9" t="n">
        <x:v>22390</x:v>
      </x:c>
      <x:c r="E475" s="9" t="n">
        <x:v>13</x:v>
      </x:c>
      <x:c r="F475" s="9" t="n">
        <x:v>0</x:v>
      </x:c>
      <x:c r="G475" s="11" t="n">
        <x:f>SUM(D475:F475)</x:f>
        <x:v>22403</x:v>
      </x:c>
      <x:c r="H475" s="10" t="n">
        <x:v>0.92</x:v>
      </x:c>
      <x:c r="I475" s="11" t="n">
        <x:f>IF(ISNUMBER(H475),ROUND(D475*H475,2),NA())</x:f>
        <x:v>20598.8</x:v>
      </x:c>
      <x:c r="J475" s="2" t="str">
        <x:v>Regelbestand laut Verkäufer</x:v>
      </x:c>
      <x:c r="K475" s="2" t="str">
        <x:v>Export KREDIT-ERF-20260930, Einzelbelege nicht im Datenraum</x:v>
      </x:c>
    </x:row>
    <x:row r="476" ht="22" customHeight="1">
      <x:c r="A476" s="2" t="str">
        <x:v>APB-0471</x:v>
      </x:c>
      <x:c r="B476" s="2" t="str">
        <x:v>Bestandskunde 0471</x:v>
      </x:c>
      <x:c r="C476" s="2" t="str">
        <x:v>Nur Verkäuferexport</x:v>
      </x:c>
      <x:c r="D476" s="9" t="n">
        <x:v>22527</x:v>
      </x:c>
      <x:c r="E476" s="9" t="n">
        <x:v>19.5</x:v>
      </x:c>
      <x:c r="F476" s="9" t="n">
        <x:v>0</x:v>
      </x:c>
      <x:c r="G476" s="11" t="n">
        <x:f>SUM(D476:F476)</x:f>
        <x:v>22546.5</x:v>
      </x:c>
      <x:c r="H476" s="10" t="n">
        <x:v>0.92</x:v>
      </x:c>
      <x:c r="I476" s="11" t="n">
        <x:f>IF(ISNUMBER(H476),ROUND(D476*H476,2),NA())</x:f>
        <x:v>20724.84</x:v>
      </x:c>
      <x:c r="J476" s="2" t="str">
        <x:v>Regelbestand laut Verkäufer</x:v>
      </x:c>
      <x:c r="K476" s="2" t="str">
        <x:v>Export KREDIT-ERF-20260930, Einzelbelege nicht im Datenraum</x:v>
      </x:c>
    </x:row>
    <x:row r="477" ht="22" customHeight="1">
      <x:c r="A477" s="2" t="str">
        <x:v>APB-0472</x:v>
      </x:c>
      <x:c r="B477" s="2" t="str">
        <x:v>Bestandskunde 0472</x:v>
      </x:c>
      <x:c r="C477" s="2" t="str">
        <x:v>Nur Verkäuferexport</x:v>
      </x:c>
      <x:c r="D477" s="9" t="n">
        <x:v>22664</x:v>
      </x:c>
      <x:c r="E477" s="9" t="n">
        <x:v>26</x:v>
      </x:c>
      <x:c r="F477" s="9" t="n">
        <x:v>0</x:v>
      </x:c>
      <x:c r="G477" s="11" t="n">
        <x:f>SUM(D477:F477)</x:f>
        <x:v>22690</x:v>
      </x:c>
      <x:c r="H477" s="10" t="n">
        <x:v>0.92</x:v>
      </x:c>
      <x:c r="I477" s="11" t="n">
        <x:f>IF(ISNUMBER(H477),ROUND(D477*H477,2),NA())</x:f>
        <x:v>20850.88</x:v>
      </x:c>
      <x:c r="J477" s="2" t="str">
        <x:v>Regelbestand laut Verkäufer</x:v>
      </x:c>
      <x:c r="K477" s="2" t="str">
        <x:v>Export KREDIT-ERF-20260930, Einzelbelege nicht im Datenraum</x:v>
      </x:c>
    </x:row>
    <x:row r="478" ht="22" customHeight="1">
      <x:c r="A478" s="2" t="str">
        <x:v>APB-0473</x:v>
      </x:c>
      <x:c r="B478" s="2" t="str">
        <x:v>Bestandskunde 0473</x:v>
      </x:c>
      <x:c r="C478" s="2" t="str">
        <x:v>Nur Verkäuferexport</x:v>
      </x:c>
      <x:c r="D478" s="9" t="n">
        <x:v>22801</x:v>
      </x:c>
      <x:c r="E478" s="9" t="n">
        <x:v>32.5</x:v>
      </x:c>
      <x:c r="F478" s="9" t="n">
        <x:v>0</x:v>
      </x:c>
      <x:c r="G478" s="11" t="n">
        <x:f>SUM(D478:F478)</x:f>
        <x:v>22833.5</x:v>
      </x:c>
      <x:c r="H478" s="10" t="n">
        <x:v>0.92</x:v>
      </x:c>
      <x:c r="I478" s="11" t="n">
        <x:f>IF(ISNUMBER(H478),ROUND(D478*H478,2),NA())</x:f>
        <x:v>20976.92</x:v>
      </x:c>
      <x:c r="J478" s="2" t="str">
        <x:v>Regelbestand laut Verkäufer</x:v>
      </x:c>
      <x:c r="K478" s="2" t="str">
        <x:v>Export KREDIT-ERF-20260930, Einzelbelege nicht im Datenraum</x:v>
      </x:c>
    </x:row>
    <x:row r="479" ht="22" customHeight="1">
      <x:c r="A479" s="2" t="str">
        <x:v>APB-0474</x:v>
      </x:c>
      <x:c r="B479" s="2" t="str">
        <x:v>Bestandskunde 0474</x:v>
      </x:c>
      <x:c r="C479" s="2" t="str">
        <x:v>Nur Verkäuferexport</x:v>
      </x:c>
      <x:c r="D479" s="9" t="n">
        <x:v>22938</x:v>
      </x:c>
      <x:c r="E479" s="9" t="n">
        <x:v>39</x:v>
      </x:c>
      <x:c r="F479" s="9" t="n">
        <x:v>0</x:v>
      </x:c>
      <x:c r="G479" s="11" t="n">
        <x:f>SUM(D479:F479)</x:f>
        <x:v>22977</x:v>
      </x:c>
      <x:c r="H479" s="10" t="n">
        <x:v>0.92</x:v>
      </x:c>
      <x:c r="I479" s="11" t="n">
        <x:f>IF(ISNUMBER(H479),ROUND(D479*H479,2),NA())</x:f>
        <x:v>21102.96</x:v>
      </x:c>
      <x:c r="J479" s="2" t="str">
        <x:v>Regelbestand laut Verkäufer</x:v>
      </x:c>
      <x:c r="K479" s="2" t="str">
        <x:v>Export KREDIT-ERF-20260930, Einzelbelege nicht im Datenraum</x:v>
      </x:c>
    </x:row>
    <x:row r="480" ht="22" customHeight="1">
      <x:c r="A480" s="2" t="str">
        <x:v>APB-0475</x:v>
      </x:c>
      <x:c r="B480" s="2" t="str">
        <x:v>Bestandskunde 0475</x:v>
      </x:c>
      <x:c r="C480" s="2" t="str">
        <x:v>Nur Verkäuferexport</x:v>
      </x:c>
      <x:c r="D480" s="9" t="n">
        <x:v>23075</x:v>
      </x:c>
      <x:c r="E480" s="9" t="n">
        <x:v>45.5</x:v>
      </x:c>
      <x:c r="F480" s="9" t="n">
        <x:v>0</x:v>
      </x:c>
      <x:c r="G480" s="11" t="n">
        <x:f>SUM(D480:F480)</x:f>
        <x:v>23120.5</x:v>
      </x:c>
      <x:c r="H480" s="10" t="n">
        <x:v>0.92</x:v>
      </x:c>
      <x:c r="I480" s="11" t="n">
        <x:f>IF(ISNUMBER(H480),ROUND(D480*H480,2),NA())</x:f>
        <x:v>21229</x:v>
      </x:c>
      <x:c r="J480" s="2" t="str">
        <x:v>Regelbestand laut Verkäufer</x:v>
      </x:c>
      <x:c r="K480" s="2" t="str">
        <x:v>Export KREDIT-ERF-20260930, Einzelbelege nicht im Datenraum</x:v>
      </x:c>
    </x:row>
    <x:row r="481" ht="22" customHeight="1">
      <x:c r="A481" s="2" t="str">
        <x:v>APB-0476</x:v>
      </x:c>
      <x:c r="B481" s="2" t="str">
        <x:v>Bestandskunde 0476</x:v>
      </x:c>
      <x:c r="C481" s="2" t="str">
        <x:v>Nur Verkäuferexport</x:v>
      </x:c>
      <x:c r="D481" s="9" t="n">
        <x:v>23212</x:v>
      </x:c>
      <x:c r="E481" s="9" t="n">
        <x:v>52</x:v>
      </x:c>
      <x:c r="F481" s="9" t="n">
        <x:v>0</x:v>
      </x:c>
      <x:c r="G481" s="11" t="n">
        <x:f>SUM(D481:F481)</x:f>
        <x:v>23264</x:v>
      </x:c>
      <x:c r="H481" s="10" t="n">
        <x:v>0.92</x:v>
      </x:c>
      <x:c r="I481" s="11" t="n">
        <x:f>IF(ISNUMBER(H481),ROUND(D481*H481,2),NA())</x:f>
        <x:v>21355.04</x:v>
      </x:c>
      <x:c r="J481" s="2" t="str">
        <x:v>Regelbestand laut Verkäufer</x:v>
      </x:c>
      <x:c r="K481" s="2" t="str">
        <x:v>Export KREDIT-ERF-20260930, Einzelbelege nicht im Datenraum</x:v>
      </x:c>
    </x:row>
    <x:row r="482" ht="22" customHeight="1">
      <x:c r="A482" s="2" t="str">
        <x:v>APB-0477</x:v>
      </x:c>
      <x:c r="B482" s="2" t="str">
        <x:v>Bestandskunde 0477</x:v>
      </x:c>
      <x:c r="C482" s="2" t="str">
        <x:v>Nur Verkäuferexport</x:v>
      </x:c>
      <x:c r="D482" s="9" t="n">
        <x:v>23349</x:v>
      </x:c>
      <x:c r="E482" s="9" t="n">
        <x:v>0</x:v>
      </x:c>
      <x:c r="F482" s="9" t="n">
        <x:v>0</x:v>
      </x:c>
      <x:c r="G482" s="11" t="n">
        <x:f>SUM(D482:F482)</x:f>
        <x:v>23349</x:v>
      </x:c>
      <x:c r="H482" s="10" t="n">
        <x:v>0.92</x:v>
      </x:c>
      <x:c r="I482" s="11" t="n">
        <x:f>IF(ISNUMBER(H482),ROUND(D482*H482,2),NA())</x:f>
        <x:v>21481.08</x:v>
      </x:c>
      <x:c r="J482" s="2" t="str">
        <x:v>Regelbestand laut Verkäufer</x:v>
      </x:c>
      <x:c r="K482" s="2" t="str">
        <x:v>Export KREDIT-ERF-20260930, Einzelbelege nicht im Datenraum</x:v>
      </x:c>
    </x:row>
    <x:row r="483" ht="22" customHeight="1">
      <x:c r="A483" s="2" t="str">
        <x:v>APB-0478</x:v>
      </x:c>
      <x:c r="B483" s="2" t="str">
        <x:v>Bestandskunde 0478</x:v>
      </x:c>
      <x:c r="C483" s="2" t="str">
        <x:v>Nur Verkäuferexport</x:v>
      </x:c>
      <x:c r="D483" s="9" t="n">
        <x:v>23486</x:v>
      </x:c>
      <x:c r="E483" s="9" t="n">
        <x:v>6.5</x:v>
      </x:c>
      <x:c r="F483" s="9" t="n">
        <x:v>0</x:v>
      </x:c>
      <x:c r="G483" s="11" t="n">
        <x:f>SUM(D483:F483)</x:f>
        <x:v>23492.5</x:v>
      </x:c>
      <x:c r="H483" s="10" t="n">
        <x:v>0.92</x:v>
      </x:c>
      <x:c r="I483" s="11" t="n">
        <x:f>IF(ISNUMBER(H483),ROUND(D483*H483,2),NA())</x:f>
        <x:v>21607.12</x:v>
      </x:c>
      <x:c r="J483" s="2" t="str">
        <x:v>Regelbestand laut Verkäufer</x:v>
      </x:c>
      <x:c r="K483" s="2" t="str">
        <x:v>Export KREDIT-ERF-20260930, Einzelbelege nicht im Datenraum</x:v>
      </x:c>
    </x:row>
    <x:row r="484" ht="22" customHeight="1">
      <x:c r="A484" s="2" t="str">
        <x:v>APB-0479</x:v>
      </x:c>
      <x:c r="B484" s="2" t="str">
        <x:v>Bestandskunde 0479</x:v>
      </x:c>
      <x:c r="C484" s="2" t="str">
        <x:v>Nur Verkäuferexport</x:v>
      </x:c>
      <x:c r="D484" s="9" t="n">
        <x:v>23623</x:v>
      </x:c>
      <x:c r="E484" s="9" t="n">
        <x:v>13</x:v>
      </x:c>
      <x:c r="F484" s="9" t="n">
        <x:v>0</x:v>
      </x:c>
      <x:c r="G484" s="11" t="n">
        <x:f>SUM(D484:F484)</x:f>
        <x:v>23636</x:v>
      </x:c>
      <x:c r="H484" s="10" t="n">
        <x:v>0.92</x:v>
      </x:c>
      <x:c r="I484" s="11" t="n">
        <x:f>IF(ISNUMBER(H484),ROUND(D484*H484,2),NA())</x:f>
        <x:v>21733.16</x:v>
      </x:c>
      <x:c r="J484" s="2" t="str">
        <x:v>Regelbestand laut Verkäufer</x:v>
      </x:c>
      <x:c r="K484" s="2" t="str">
        <x:v>Export KREDIT-ERF-20260930, Einzelbelege nicht im Datenraum</x:v>
      </x:c>
    </x:row>
    <x:row r="485" ht="22" customHeight="1">
      <x:c r="A485" s="2" t="str">
        <x:v>APB-0480</x:v>
      </x:c>
      <x:c r="B485" s="2" t="str">
        <x:v>Bestandskunde 0480</x:v>
      </x:c>
      <x:c r="C485" s="2" t="str">
        <x:v>Nur Verkäuferexport</x:v>
      </x:c>
      <x:c r="D485" s="9" t="n">
        <x:v>23760</x:v>
      </x:c>
      <x:c r="E485" s="9" t="n">
        <x:v>19.5</x:v>
      </x:c>
      <x:c r="F485" s="9" t="n">
        <x:v>0</x:v>
      </x:c>
      <x:c r="G485" s="11" t="n">
        <x:f>SUM(D485:F485)</x:f>
        <x:v>23779.5</x:v>
      </x:c>
      <x:c r="H485" s="10" t="n">
        <x:v>0.92</x:v>
      </x:c>
      <x:c r="I485" s="11" t="n">
        <x:f>IF(ISNUMBER(H485),ROUND(D485*H485,2),NA())</x:f>
        <x:v>21859.2</x:v>
      </x:c>
      <x:c r="J485" s="2" t="str">
        <x:v>Regelbestand laut Verkäufer</x:v>
      </x:c>
      <x:c r="K485" s="2" t="str">
        <x:v>Export KREDIT-ERF-20260930, Einzelbelege nicht im Datenraum</x:v>
      </x:c>
    </x:row>
    <x:row r="486" ht="22" customHeight="1">
      <x:c r="A486" s="2" t="str">
        <x:v>APB-0481</x:v>
      </x:c>
      <x:c r="B486" s="2" t="str">
        <x:v>Bestandskunde 0481</x:v>
      </x:c>
      <x:c r="C486" s="2" t="str">
        <x:v>Nur Verkäuferexport</x:v>
      </x:c>
      <x:c r="D486" s="9" t="n">
        <x:v>23897</x:v>
      </x:c>
      <x:c r="E486" s="9" t="n">
        <x:v>26</x:v>
      </x:c>
      <x:c r="F486" s="9" t="n">
        <x:v>0</x:v>
      </x:c>
      <x:c r="G486" s="11" t="n">
        <x:f>SUM(D486:F486)</x:f>
        <x:v>23923</x:v>
      </x:c>
      <x:c r="H486" s="10" t="n">
        <x:v>0.92</x:v>
      </x:c>
      <x:c r="I486" s="11" t="n">
        <x:f>IF(ISNUMBER(H486),ROUND(D486*H486,2),NA())</x:f>
        <x:v>21985.24</x:v>
      </x:c>
      <x:c r="J486" s="2" t="str">
        <x:v>Regelbestand laut Verkäufer</x:v>
      </x:c>
      <x:c r="K486" s="2" t="str">
        <x:v>Export KREDIT-ERF-20260930, Einzelbelege nicht im Datenraum</x:v>
      </x:c>
    </x:row>
    <x:row r="487" ht="22" customHeight="1">
      <x:c r="A487" s="2" t="str">
        <x:v>APB-0482</x:v>
      </x:c>
      <x:c r="B487" s="2" t="str">
        <x:v>Bestandskunde 0482</x:v>
      </x:c>
      <x:c r="C487" s="2" t="str">
        <x:v>Nur Verkäuferexport</x:v>
      </x:c>
      <x:c r="D487" s="9" t="n">
        <x:v>24034</x:v>
      </x:c>
      <x:c r="E487" s="9" t="n">
        <x:v>32.5</x:v>
      </x:c>
      <x:c r="F487" s="9" t="n">
        <x:v>0</x:v>
      </x:c>
      <x:c r="G487" s="11" t="n">
        <x:f>SUM(D487:F487)</x:f>
        <x:v>24066.5</x:v>
      </x:c>
      <x:c r="H487" s="10" t="n">
        <x:v>0.92</x:v>
      </x:c>
      <x:c r="I487" s="11" t="n">
        <x:f>IF(ISNUMBER(H487),ROUND(D487*H487,2),NA())</x:f>
        <x:v>22111.28</x:v>
      </x:c>
      <x:c r="J487" s="2" t="str">
        <x:v>Regelbestand laut Verkäufer</x:v>
      </x:c>
      <x:c r="K487" s="2" t="str">
        <x:v>Export KREDIT-ERF-20260930, Einzelbelege nicht im Datenraum</x:v>
      </x:c>
    </x:row>
    <x:row r="488" ht="22" customHeight="1">
      <x:c r="A488" s="2" t="str">
        <x:v>APB-0483</x:v>
      </x:c>
      <x:c r="B488" s="2" t="str">
        <x:v>Bestandskunde 0483</x:v>
      </x:c>
      <x:c r="C488" s="2" t="str">
        <x:v>Nur Verkäuferexport</x:v>
      </x:c>
      <x:c r="D488" s="9" t="n">
        <x:v>24171</x:v>
      </x:c>
      <x:c r="E488" s="9" t="n">
        <x:v>39</x:v>
      </x:c>
      <x:c r="F488" s="9" t="n">
        <x:v>0</x:v>
      </x:c>
      <x:c r="G488" s="11" t="n">
        <x:f>SUM(D488:F488)</x:f>
        <x:v>24210</x:v>
      </x:c>
      <x:c r="H488" s="10" t="n">
        <x:v>0.92</x:v>
      </x:c>
      <x:c r="I488" s="11" t="n">
        <x:f>IF(ISNUMBER(H488),ROUND(D488*H488,2),NA())</x:f>
        <x:v>22237.32</x:v>
      </x:c>
      <x:c r="J488" s="2" t="str">
        <x:v>Regelbestand laut Verkäufer</x:v>
      </x:c>
      <x:c r="K488" s="2" t="str">
        <x:v>Export KREDIT-ERF-20260930, Einzelbelege nicht im Datenraum</x:v>
      </x:c>
    </x:row>
    <x:row r="489" ht="22" customHeight="1">
      <x:c r="A489" s="2" t="str">
        <x:v>APB-0484</x:v>
      </x:c>
      <x:c r="B489" s="2" t="str">
        <x:v>Bestandskunde 0484</x:v>
      </x:c>
      <x:c r="C489" s="2" t="str">
        <x:v>Nur Verkäuferexport</x:v>
      </x:c>
      <x:c r="D489" s="9" t="n">
        <x:v>24308</x:v>
      </x:c>
      <x:c r="E489" s="9" t="n">
        <x:v>45.5</x:v>
      </x:c>
      <x:c r="F489" s="9" t="n">
        <x:v>0</x:v>
      </x:c>
      <x:c r="G489" s="11" t="n">
        <x:f>SUM(D489:F489)</x:f>
        <x:v>24353.5</x:v>
      </x:c>
      <x:c r="H489" s="10" t="n">
        <x:v>0.92</x:v>
      </x:c>
      <x:c r="I489" s="11" t="n">
        <x:f>IF(ISNUMBER(H489),ROUND(D489*H489,2),NA())</x:f>
        <x:v>22363.36</x:v>
      </x:c>
      <x:c r="J489" s="2" t="str">
        <x:v>Regelbestand laut Verkäufer</x:v>
      </x:c>
      <x:c r="K489" s="2" t="str">
        <x:v>Export KREDIT-ERF-20260930, Einzelbelege nicht im Datenraum</x:v>
      </x:c>
    </x:row>
    <x:row r="490" ht="22" customHeight="1">
      <x:c r="A490" s="2" t="str">
        <x:v>APB-0485</x:v>
      </x:c>
      <x:c r="B490" s="2" t="str">
        <x:v>Bestandskunde 0485</x:v>
      </x:c>
      <x:c r="C490" s="2" t="str">
        <x:v>Nur Verkäuferexport</x:v>
      </x:c>
      <x:c r="D490" s="9" t="n">
        <x:v>24445</x:v>
      </x:c>
      <x:c r="E490" s="9" t="n">
        <x:v>52</x:v>
      </x:c>
      <x:c r="F490" s="9" t="n">
        <x:v>0</x:v>
      </x:c>
      <x:c r="G490" s="11" t="n">
        <x:f>SUM(D490:F490)</x:f>
        <x:v>24497</x:v>
      </x:c>
      <x:c r="H490" s="10" t="n">
        <x:v>0.92</x:v>
      </x:c>
      <x:c r="I490" s="11" t="n">
        <x:f>IF(ISNUMBER(H490),ROUND(D490*H490,2),NA())</x:f>
        <x:v>22489.4</x:v>
      </x:c>
      <x:c r="J490" s="2" t="str">
        <x:v>Regelbestand laut Verkäufer</x:v>
      </x:c>
      <x:c r="K490" s="2" t="str">
        <x:v>Export KREDIT-ERF-20260930, Einzelbelege nicht im Datenraum</x:v>
      </x:c>
    </x:row>
    <x:row r="491" ht="22" customHeight="1">
      <x:c r="A491" s="2" t="str">
        <x:v>APB-0486</x:v>
      </x:c>
      <x:c r="B491" s="2" t="str">
        <x:v>Bestandskunde 0486</x:v>
      </x:c>
      <x:c r="C491" s="2" t="str">
        <x:v>Nur Verkäuferexport</x:v>
      </x:c>
      <x:c r="D491" s="9" t="n">
        <x:v>24582</x:v>
      </x:c>
      <x:c r="E491" s="9" t="n">
        <x:v>0</x:v>
      </x:c>
      <x:c r="F491" s="9" t="n">
        <x:v>0</x:v>
      </x:c>
      <x:c r="G491" s="11" t="n">
        <x:f>SUM(D491:F491)</x:f>
        <x:v>24582</x:v>
      </x:c>
      <x:c r="H491" s="10" t="n">
        <x:v>0.92</x:v>
      </x:c>
      <x:c r="I491" s="11" t="n">
        <x:f>IF(ISNUMBER(H491),ROUND(D491*H491,2),NA())</x:f>
        <x:v>22615.44</x:v>
      </x:c>
      <x:c r="J491" s="2" t="str">
        <x:v>Regelbestand laut Verkäufer</x:v>
      </x:c>
      <x:c r="K491" s="2" t="str">
        <x:v>Export KREDIT-ERF-20260930, Einzelbelege nicht im Datenraum</x:v>
      </x:c>
    </x:row>
    <x:row r="492" ht="22" customHeight="1">
      <x:c r="A492" s="2" t="str">
        <x:v>APB-0487</x:v>
      </x:c>
      <x:c r="B492" s="2" t="str">
        <x:v>Bestandskunde 0487</x:v>
      </x:c>
      <x:c r="C492" s="2" t="str">
        <x:v>Nur Verkäuferexport</x:v>
      </x:c>
      <x:c r="D492" s="9" t="n">
        <x:v>24719</x:v>
      </x:c>
      <x:c r="E492" s="9" t="n">
        <x:v>6.5</x:v>
      </x:c>
      <x:c r="F492" s="9" t="n">
        <x:v>0</x:v>
      </x:c>
      <x:c r="G492" s="11" t="n">
        <x:f>SUM(D492:F492)</x:f>
        <x:v>24725.5</x:v>
      </x:c>
      <x:c r="H492" s="10" t="n">
        <x:v>0.92</x:v>
      </x:c>
      <x:c r="I492" s="11" t="n">
        <x:f>IF(ISNUMBER(H492),ROUND(D492*H492,2),NA())</x:f>
        <x:v>22741.48</x:v>
      </x:c>
      <x:c r="J492" s="2" t="str">
        <x:v>Regelbestand laut Verkäufer</x:v>
      </x:c>
      <x:c r="K492" s="2" t="str">
        <x:v>Export KREDIT-ERF-20260930, Einzelbelege nicht im Datenraum</x:v>
      </x:c>
    </x:row>
    <x:row r="493" ht="22" customHeight="1">
      <x:c r="A493" s="2" t="str">
        <x:v>APB-0488</x:v>
      </x:c>
      <x:c r="B493" s="2" t="str">
        <x:v>Bestandskunde 0488</x:v>
      </x:c>
      <x:c r="C493" s="2" t="str">
        <x:v>Nur Verkäuferexport</x:v>
      </x:c>
      <x:c r="D493" s="9" t="n">
        <x:v>24856</x:v>
      </x:c>
      <x:c r="E493" s="9" t="n">
        <x:v>13</x:v>
      </x:c>
      <x:c r="F493" s="9" t="n">
        <x:v>0</x:v>
      </x:c>
      <x:c r="G493" s="11" t="n">
        <x:f>SUM(D493:F493)</x:f>
        <x:v>24869</x:v>
      </x:c>
      <x:c r="H493" s="10" t="n">
        <x:v>0.92</x:v>
      </x:c>
      <x:c r="I493" s="11" t="n">
        <x:f>IF(ISNUMBER(H493),ROUND(D493*H493,2),NA())</x:f>
        <x:v>22867.52</x:v>
      </x:c>
      <x:c r="J493" s="2" t="str">
        <x:v>Regelbestand laut Verkäufer</x:v>
      </x:c>
      <x:c r="K493" s="2" t="str">
        <x:v>Export KREDIT-ERF-20260930, Einzelbelege nicht im Datenraum</x:v>
      </x:c>
    </x:row>
    <x:row r="494" ht="22" customHeight="1">
      <x:c r="A494" s="2" t="str">
        <x:v>APB-0489</x:v>
      </x:c>
      <x:c r="B494" s="2" t="str">
        <x:v>Bestandskunde 0489</x:v>
      </x:c>
      <x:c r="C494" s="2" t="str">
        <x:v>Nur Verkäuferexport</x:v>
      </x:c>
      <x:c r="D494" s="9" t="n">
        <x:v>24993</x:v>
      </x:c>
      <x:c r="E494" s="9" t="n">
        <x:v>19.5</x:v>
      </x:c>
      <x:c r="F494" s="9" t="n">
        <x:v>0</x:v>
      </x:c>
      <x:c r="G494" s="11" t="n">
        <x:f>SUM(D494:F494)</x:f>
        <x:v>25012.5</x:v>
      </x:c>
      <x:c r="H494" s="10" t="n">
        <x:v>0.92</x:v>
      </x:c>
      <x:c r="I494" s="11" t="n">
        <x:f>IF(ISNUMBER(H494),ROUND(D494*H494,2),NA())</x:f>
        <x:v>22993.56</x:v>
      </x:c>
      <x:c r="J494" s="2" t="str">
        <x:v>Regelbestand laut Verkäufer</x:v>
      </x:c>
      <x:c r="K494" s="2" t="str">
        <x:v>Export KREDIT-ERF-20260930, Einzelbelege nicht im Datenraum</x:v>
      </x:c>
    </x:row>
    <x:row r="495" ht="22" customHeight="1">
      <x:c r="A495" s="2" t="str">
        <x:v>APB-0490</x:v>
      </x:c>
      <x:c r="B495" s="2" t="str">
        <x:v>Bestandskunde 0490</x:v>
      </x:c>
      <x:c r="C495" s="2" t="str">
        <x:v>Nur Verkäuferexport</x:v>
      </x:c>
      <x:c r="D495" s="9" t="n">
        <x:v>25130</x:v>
      </x:c>
      <x:c r="E495" s="9" t="n">
        <x:v>26</x:v>
      </x:c>
      <x:c r="F495" s="9" t="n">
        <x:v>0</x:v>
      </x:c>
      <x:c r="G495" s="11" t="n">
        <x:f>SUM(D495:F495)</x:f>
        <x:v>25156</x:v>
      </x:c>
      <x:c r="H495" s="10" t="n">
        <x:v>0.92</x:v>
      </x:c>
      <x:c r="I495" s="11" t="n">
        <x:f>IF(ISNUMBER(H495),ROUND(D495*H495,2),NA())</x:f>
        <x:v>23119.6</x:v>
      </x:c>
      <x:c r="J495" s="2" t="str">
        <x:v>Regelbestand laut Verkäufer</x:v>
      </x:c>
      <x:c r="K495" s="2" t="str">
        <x:v>Export KREDIT-ERF-20260930, Einzelbelege nicht im Datenraum</x:v>
      </x:c>
    </x:row>
    <x:row r="496" ht="22" customHeight="1">
      <x:c r="A496" s="2" t="str">
        <x:v>APB-0491</x:v>
      </x:c>
      <x:c r="B496" s="2" t="str">
        <x:v>Bestandskunde 0491</x:v>
      </x:c>
      <x:c r="C496" s="2" t="str">
        <x:v>Nur Verkäuferexport</x:v>
      </x:c>
      <x:c r="D496" s="9" t="n">
        <x:v>25267</x:v>
      </x:c>
      <x:c r="E496" s="9" t="n">
        <x:v>32.5</x:v>
      </x:c>
      <x:c r="F496" s="9" t="n">
        <x:v>0</x:v>
      </x:c>
      <x:c r="G496" s="11" t="n">
        <x:f>SUM(D496:F496)</x:f>
        <x:v>25299.5</x:v>
      </x:c>
      <x:c r="H496" s="10" t="n">
        <x:v>0.92</x:v>
      </x:c>
      <x:c r="I496" s="11" t="n">
        <x:f>IF(ISNUMBER(H496),ROUND(D496*H496,2),NA())</x:f>
        <x:v>23245.64</x:v>
      </x:c>
      <x:c r="J496" s="2" t="str">
        <x:v>Regelbestand laut Verkäufer</x:v>
      </x:c>
      <x:c r="K496" s="2" t="str">
        <x:v>Export KREDIT-ERF-20260930, Einzelbelege nicht im Datenraum</x:v>
      </x:c>
    </x:row>
    <x:row r="497" ht="22" customHeight="1">
      <x:c r="A497" s="2" t="str">
        <x:v>APB-0492</x:v>
      </x:c>
      <x:c r="B497" s="2" t="str">
        <x:v>Bestandskunde 0492</x:v>
      </x:c>
      <x:c r="C497" s="2" t="str">
        <x:v>Nur Verkäuferexport</x:v>
      </x:c>
      <x:c r="D497" s="9" t="n">
        <x:v>25404</x:v>
      </x:c>
      <x:c r="E497" s="9" t="n">
        <x:v>39</x:v>
      </x:c>
      <x:c r="F497" s="9" t="n">
        <x:v>0</x:v>
      </x:c>
      <x:c r="G497" s="11" t="n">
        <x:f>SUM(D497:F497)</x:f>
        <x:v>25443</x:v>
      </x:c>
      <x:c r="H497" s="10" t="n">
        <x:v>0.92</x:v>
      </x:c>
      <x:c r="I497" s="11" t="n">
        <x:f>IF(ISNUMBER(H497),ROUND(D497*H497,2),NA())</x:f>
        <x:v>23371.68</x:v>
      </x:c>
      <x:c r="J497" s="2" t="str">
        <x:v>Regelbestand laut Verkäufer</x:v>
      </x:c>
      <x:c r="K497" s="2" t="str">
        <x:v>Export KREDIT-ERF-20260930, Einzelbelege nicht im Datenraum</x:v>
      </x:c>
    </x:row>
    <x:row r="498" ht="22" customHeight="1">
      <x:c r="A498" s="2" t="str">
        <x:v>APB-0493</x:v>
      </x:c>
      <x:c r="B498" s="2" t="str">
        <x:v>Bestandskunde 0493</x:v>
      </x:c>
      <x:c r="C498" s="2" t="str">
        <x:v>Nur Verkäuferexport</x:v>
      </x:c>
      <x:c r="D498" s="9" t="n">
        <x:v>25541</x:v>
      </x:c>
      <x:c r="E498" s="9" t="n">
        <x:v>45.5</x:v>
      </x:c>
      <x:c r="F498" s="9" t="n">
        <x:v>15</x:v>
      </x:c>
      <x:c r="G498" s="11" t="n">
        <x:f>SUM(D498:F498)</x:f>
        <x:v>25601.5</x:v>
      </x:c>
      <x:c r="H498" s="10" t="n">
        <x:v>0.92</x:v>
      </x:c>
      <x:c r="I498" s="11" t="n">
        <x:f>IF(ISNUMBER(H498),ROUND(D498*H498,2),NA())</x:f>
        <x:v>23497.72</x:v>
      </x:c>
      <x:c r="J498" s="2" t="str">
        <x:v>Zahlungslücke im Export</x:v>
      </x:c>
      <x:c r="K498" s="2" t="str">
        <x:v>Export KREDIT-ERF-20260930, Einzelbelege nicht im Datenraum</x:v>
      </x:c>
    </x:row>
    <x:row r="499" ht="22" customHeight="1">
      <x:c r="A499" s="2" t="str">
        <x:v>APB-0494</x:v>
      </x:c>
      <x:c r="B499" s="2" t="str">
        <x:v>Bestandskunde 0494</x:v>
      </x:c>
      <x:c r="C499" s="2" t="str">
        <x:v>Nur Verkäuferexport</x:v>
      </x:c>
      <x:c r="D499" s="9" t="n">
        <x:v>25678</x:v>
      </x:c>
      <x:c r="E499" s="9" t="n">
        <x:v>52</x:v>
      </x:c>
      <x:c r="F499" s="9" t="n">
        <x:v>0</x:v>
      </x:c>
      <x:c r="G499" s="11" t="n">
        <x:f>SUM(D499:F499)</x:f>
        <x:v>25730</x:v>
      </x:c>
      <x:c r="H499" s="10" t="n">
        <x:v>0.92</x:v>
      </x:c>
      <x:c r="I499" s="11" t="n">
        <x:f>IF(ISNUMBER(H499),ROUND(D499*H499,2),NA())</x:f>
        <x:v>23623.76</x:v>
      </x:c>
      <x:c r="J499" s="2" t="str">
        <x:v>Regelbestand laut Verkäufer</x:v>
      </x:c>
      <x:c r="K499" s="2" t="str">
        <x:v>Export KREDIT-ERF-20260930, Einzelbelege nicht im Datenraum</x:v>
      </x:c>
    </x:row>
    <x:row r="500" ht="22" customHeight="1">
      <x:c r="A500" s="2" t="str">
        <x:v>APB-0495</x:v>
      </x:c>
      <x:c r="B500" s="2" t="str">
        <x:v>Bestandskunde 0495</x:v>
      </x:c>
      <x:c r="C500" s="2" t="str">
        <x:v>Nur Verkäuferexport</x:v>
      </x:c>
      <x:c r="D500" s="9" t="n">
        <x:v>25815</x:v>
      </x:c>
      <x:c r="E500" s="9" t="n">
        <x:v>0</x:v>
      </x:c>
      <x:c r="F500" s="9" t="n">
        <x:v>0</x:v>
      </x:c>
      <x:c r="G500" s="11" t="n">
        <x:f>SUM(D500:F500)</x:f>
        <x:v>25815</x:v>
      </x:c>
      <x:c r="H500" s="10" t="n">
        <x:v>0.92</x:v>
      </x:c>
      <x:c r="I500" s="11" t="n">
        <x:f>IF(ISNUMBER(H500),ROUND(D500*H500,2),NA())</x:f>
        <x:v>23749.8</x:v>
      </x:c>
      <x:c r="J500" s="2" t="str">
        <x:v>Regelbestand laut Verkäufer</x:v>
      </x:c>
      <x:c r="K500" s="2" t="str">
        <x:v>Export KREDIT-ERF-20260930, Einzelbelege nicht im Datenraum</x:v>
      </x:c>
    </x:row>
    <x:row r="501" ht="22" customHeight="1">
      <x:c r="A501" s="2" t="str">
        <x:v>APB-0496</x:v>
      </x:c>
      <x:c r="B501" s="2" t="str">
        <x:v>Bestandskunde 0496</x:v>
      </x:c>
      <x:c r="C501" s="2" t="str">
        <x:v>Nur Verkäuferexport</x:v>
      </x:c>
      <x:c r="D501" s="9" t="n">
        <x:v>25952</x:v>
      </x:c>
      <x:c r="E501" s="9" t="n">
        <x:v>6.5</x:v>
      </x:c>
      <x:c r="F501" s="9" t="n">
        <x:v>0</x:v>
      </x:c>
      <x:c r="G501" s="11" t="n">
        <x:f>SUM(D501:F501)</x:f>
        <x:v>25958.5</x:v>
      </x:c>
      <x:c r="H501" s="10" t="n">
        <x:v>0.92</x:v>
      </x:c>
      <x:c r="I501" s="11" t="n">
        <x:f>IF(ISNUMBER(H501),ROUND(D501*H501,2),NA())</x:f>
        <x:v>23875.84</x:v>
      </x:c>
      <x:c r="J501" s="2" t="str">
        <x:v>Regelbestand laut Verkäufer</x:v>
      </x:c>
      <x:c r="K501" s="2" t="str">
        <x:v>Export KREDIT-ERF-20260930, Einzelbelege nicht im Datenraum</x:v>
      </x:c>
    </x:row>
    <x:row r="502" ht="22" customHeight="1">
      <x:c r="A502" s="2" t="str">
        <x:v>APB-0497</x:v>
      </x:c>
      <x:c r="B502" s="2" t="str">
        <x:v>Bestandskunde 0497</x:v>
      </x:c>
      <x:c r="C502" s="2" t="str">
        <x:v>Nur Verkäuferexport</x:v>
      </x:c>
      <x:c r="D502" s="9" t="n">
        <x:v>26089</x:v>
      </x:c>
      <x:c r="E502" s="9" t="n">
        <x:v>13</x:v>
      </x:c>
      <x:c r="F502" s="9" t="n">
        <x:v>0</x:v>
      </x:c>
      <x:c r="G502" s="11" t="n">
        <x:f>SUM(D502:F502)</x:f>
        <x:v>26102</x:v>
      </x:c>
      <x:c r="H502" s="10" t="n">
        <x:v>0.92</x:v>
      </x:c>
      <x:c r="I502" s="11" t="n">
        <x:f>IF(ISNUMBER(H502),ROUND(D502*H502,2),NA())</x:f>
        <x:v>24001.88</x:v>
      </x:c>
      <x:c r="J502" s="2" t="str">
        <x:v>Regelbestand laut Verkäufer</x:v>
      </x:c>
      <x:c r="K502" s="2" t="str">
        <x:v>Export KREDIT-ERF-20260930, Einzelbelege nicht im Datenraum</x:v>
      </x:c>
    </x:row>
    <x:row r="503" ht="22" customHeight="1">
      <x:c r="A503" s="2" t="str">
        <x:v>APB-0498</x:v>
      </x:c>
      <x:c r="B503" s="2" t="str">
        <x:v>Bestandskunde 0498</x:v>
      </x:c>
      <x:c r="C503" s="2" t="str">
        <x:v>Nur Verkäuferexport</x:v>
      </x:c>
      <x:c r="D503" s="9" t="n">
        <x:v>26226</x:v>
      </x:c>
      <x:c r="E503" s="9" t="n">
        <x:v>19.5</x:v>
      </x:c>
      <x:c r="F503" s="9" t="n">
        <x:v>0</x:v>
      </x:c>
      <x:c r="G503" s="11" t="n">
        <x:f>SUM(D503:F503)</x:f>
        <x:v>26245.5</x:v>
      </x:c>
      <x:c r="H503" s="10" t="n">
        <x:v>0.92</x:v>
      </x:c>
      <x:c r="I503" s="11" t="n">
        <x:f>IF(ISNUMBER(H503),ROUND(D503*H503,2),NA())</x:f>
        <x:v>24127.92</x:v>
      </x:c>
      <x:c r="J503" s="2" t="str">
        <x:v>Regelbestand laut Verkäufer</x:v>
      </x:c>
      <x:c r="K503" s="2" t="str">
        <x:v>Export KREDIT-ERF-20260930, Einzelbelege nicht im Datenraum</x:v>
      </x:c>
    </x:row>
    <x:row r="504" ht="22" customHeight="1">
      <x:c r="A504" s="2" t="str">
        <x:v>APB-0499</x:v>
      </x:c>
      <x:c r="B504" s="2" t="str">
        <x:v>Bestandskunde 0499</x:v>
      </x:c>
      <x:c r="C504" s="2" t="str">
        <x:v>Nur Verkäuferexport</x:v>
      </x:c>
      <x:c r="D504" s="9" t="n">
        <x:v>26363</x:v>
      </x:c>
      <x:c r="E504" s="9" t="n">
        <x:v>26</x:v>
      </x:c>
      <x:c r="F504" s="9" t="n">
        <x:v>0</x:v>
      </x:c>
      <x:c r="G504" s="11" t="n">
        <x:f>SUM(D504:F504)</x:f>
        <x:v>26389</x:v>
      </x:c>
      <x:c r="H504" s="10" t="n">
        <x:v>0.92</x:v>
      </x:c>
      <x:c r="I504" s="11" t="n">
        <x:f>IF(ISNUMBER(H504),ROUND(D504*H504,2),NA())</x:f>
        <x:v>24253.96</x:v>
      </x:c>
      <x:c r="J504" s="2" t="str">
        <x:v>Regelbestand laut Verkäufer</x:v>
      </x:c>
      <x:c r="K504" s="2" t="str">
        <x:v>Export KREDIT-ERF-20260930, Einzelbelege nicht im Datenraum</x:v>
      </x:c>
    </x:row>
    <x:row r="505" ht="22" customHeight="1">
      <x:c r="A505" s="2" t="str">
        <x:v>APB-0500</x:v>
      </x:c>
      <x:c r="B505" s="2" t="str">
        <x:v>Bestandskunde 0500</x:v>
      </x:c>
      <x:c r="C505" s="2" t="str">
        <x:v>Nur Verkäuferexport</x:v>
      </x:c>
      <x:c r="D505" s="9" t="n">
        <x:v>26500</x:v>
      </x:c>
      <x:c r="E505" s="9" t="n">
        <x:v>32.5</x:v>
      </x:c>
      <x:c r="F505" s="9" t="n">
        <x:v>0</x:v>
      </x:c>
      <x:c r="G505" s="11" t="n">
        <x:f>SUM(D505:F505)</x:f>
        <x:v>26532.5</x:v>
      </x:c>
      <x:c r="H505" s="10" t="n">
        <x:v>0.92</x:v>
      </x:c>
      <x:c r="I505" s="11" t="n">
        <x:f>IF(ISNUMBER(H505),ROUND(D505*H505,2),NA())</x:f>
        <x:v>24380</x:v>
      </x:c>
      <x:c r="J505" s="2" t="str">
        <x:v>Regelbestand laut Verkäufer</x:v>
      </x:c>
      <x:c r="K505" s="2" t="str">
        <x:v>Export KREDIT-ERF-20260930, Einzelbelege nicht im Datenraum</x:v>
      </x:c>
    </x:row>
    <x:row r="506" ht="22" customHeight="1">
      <x:c r="A506" s="2" t="str">
        <x:v>APB-0501</x:v>
      </x:c>
      <x:c r="B506" s="2" t="str">
        <x:v>Bestandskunde 0501</x:v>
      </x:c>
      <x:c r="C506" s="2" t="str">
        <x:v>Nur Verkäuferexport</x:v>
      </x:c>
      <x:c r="D506" s="9" t="n">
        <x:v>26637</x:v>
      </x:c>
      <x:c r="E506" s="9" t="n">
        <x:v>39</x:v>
      </x:c>
      <x:c r="F506" s="9" t="n">
        <x:v>0</x:v>
      </x:c>
      <x:c r="G506" s="11" t="n">
        <x:f>SUM(D506:F506)</x:f>
        <x:v>26676</x:v>
      </x:c>
      <x:c r="H506" s="10" t="n">
        <x:v>0.92</x:v>
      </x:c>
      <x:c r="I506" s="11" t="n">
        <x:f>IF(ISNUMBER(H506),ROUND(D506*H506,2),NA())</x:f>
        <x:v>24506.04</x:v>
      </x:c>
      <x:c r="J506" s="2" t="str">
        <x:v>Regelbestand laut Verkäufer</x:v>
      </x:c>
      <x:c r="K506" s="2" t="str">
        <x:v>Export KREDIT-ERF-20260930, Einzelbelege nicht im Datenraum</x:v>
      </x:c>
    </x:row>
    <x:row r="507" ht="22" customHeight="1">
      <x:c r="A507" s="2" t="str">
        <x:v>APB-0502</x:v>
      </x:c>
      <x:c r="B507" s="2" t="str">
        <x:v>Bestandskunde 0502</x:v>
      </x:c>
      <x:c r="C507" s="2" t="str">
        <x:v>Nur Verkäuferexport</x:v>
      </x:c>
      <x:c r="D507" s="9" t="n">
        <x:v>26774</x:v>
      </x:c>
      <x:c r="E507" s="9" t="n">
        <x:v>45.5</x:v>
      </x:c>
      <x:c r="F507" s="9" t="n">
        <x:v>0</x:v>
      </x:c>
      <x:c r="G507" s="11" t="n">
        <x:f>SUM(D507:F507)</x:f>
        <x:v>26819.5</x:v>
      </x:c>
      <x:c r="H507" s="10" t="n">
        <x:v>0.92</x:v>
      </x:c>
      <x:c r="I507" s="11" t="n">
        <x:f>IF(ISNUMBER(H507),ROUND(D507*H507,2),NA())</x:f>
        <x:v>24632.08</x:v>
      </x:c>
      <x:c r="J507" s="2" t="str">
        <x:v>Regelbestand laut Verkäufer</x:v>
      </x:c>
      <x:c r="K507" s="2" t="str">
        <x:v>Export KREDIT-ERF-20260930, Einzelbelege nicht im Datenraum</x:v>
      </x:c>
    </x:row>
    <x:row r="508" ht="22" customHeight="1">
      <x:c r="A508" s="2" t="str">
        <x:v>APB-0503</x:v>
      </x:c>
      <x:c r="B508" s="2" t="str">
        <x:v>Bestandskunde 0503</x:v>
      </x:c>
      <x:c r="C508" s="2" t="str">
        <x:v>Nur Verkäuferexport</x:v>
      </x:c>
      <x:c r="D508" s="9" t="n">
        <x:v>26911</x:v>
      </x:c>
      <x:c r="E508" s="9" t="n">
        <x:v>52</x:v>
      </x:c>
      <x:c r="F508" s="9" t="n">
        <x:v>0</x:v>
      </x:c>
      <x:c r="G508" s="11" t="n">
        <x:f>SUM(D508:F508)</x:f>
        <x:v>26963</x:v>
      </x:c>
      <x:c r="H508" s="10" t="n">
        <x:v>0.92</x:v>
      </x:c>
      <x:c r="I508" s="11" t="n">
        <x:f>IF(ISNUMBER(H508),ROUND(D508*H508,2),NA())</x:f>
        <x:v>24758.12</x:v>
      </x:c>
      <x:c r="J508" s="2" t="str">
        <x:v>Regelbestand laut Verkäufer</x:v>
      </x:c>
      <x:c r="K508" s="2" t="str">
        <x:v>Export KREDIT-ERF-20260930, Einzelbelege nicht im Datenraum</x:v>
      </x:c>
    </x:row>
    <x:row r="509" ht="22" customHeight="1">
      <x:c r="A509" s="2" t="str">
        <x:v>APB-0504</x:v>
      </x:c>
      <x:c r="B509" s="2" t="str">
        <x:v>Bestandskunde 0504</x:v>
      </x:c>
      <x:c r="C509" s="2" t="str">
        <x:v>Nur Verkäuferexport</x:v>
      </x:c>
      <x:c r="D509" s="9" t="n">
        <x:v>27048</x:v>
      </x:c>
      <x:c r="E509" s="9" t="n">
        <x:v>0</x:v>
      </x:c>
      <x:c r="F509" s="9" t="n">
        <x:v>0</x:v>
      </x:c>
      <x:c r="G509" s="11" t="n">
        <x:f>SUM(D509:F509)</x:f>
        <x:v>27048</x:v>
      </x:c>
      <x:c r="H509" s="10" t="n">
        <x:v>0.92</x:v>
      </x:c>
      <x:c r="I509" s="11" t="n">
        <x:f>IF(ISNUMBER(H509),ROUND(D509*H509,2),NA())</x:f>
        <x:v>24884.16</x:v>
      </x:c>
      <x:c r="J509" s="2" t="str">
        <x:v>Regelbestand laut Verkäufer</x:v>
      </x:c>
      <x:c r="K509" s="2" t="str">
        <x:v>Export KREDIT-ERF-20260930, Einzelbelege nicht im Datenraum</x:v>
      </x:c>
    </x:row>
    <x:row r="510" ht="22" customHeight="1">
      <x:c r="A510" s="2" t="str">
        <x:v>APB-0505</x:v>
      </x:c>
      <x:c r="B510" s="2" t="str">
        <x:v>Bestandskunde 0505</x:v>
      </x:c>
      <x:c r="C510" s="2" t="str">
        <x:v>Nur Verkäuferexport</x:v>
      </x:c>
      <x:c r="D510" s="9" t="n">
        <x:v>27185</x:v>
      </x:c>
      <x:c r="E510" s="9" t="n">
        <x:v>6.5</x:v>
      </x:c>
      <x:c r="F510" s="9" t="n">
        <x:v>0</x:v>
      </x:c>
      <x:c r="G510" s="11" t="n">
        <x:f>SUM(D510:F510)</x:f>
        <x:v>27191.5</x:v>
      </x:c>
      <x:c r="H510" s="10" t="n">
        <x:v>0.92</x:v>
      </x:c>
      <x:c r="I510" s="11" t="n">
        <x:f>IF(ISNUMBER(H510),ROUND(D510*H510,2),NA())</x:f>
        <x:v>25010.2</x:v>
      </x:c>
      <x:c r="J510" s="2" t="str">
        <x:v>Regelbestand laut Verkäufer</x:v>
      </x:c>
      <x:c r="K510" s="2" t="str">
        <x:v>Export KREDIT-ERF-20260930, Einzelbelege nicht im Datenraum</x:v>
      </x:c>
    </x:row>
    <x:row r="511" ht="22" customHeight="1">
      <x:c r="A511" s="2" t="str">
        <x:v>APB-0506</x:v>
      </x:c>
      <x:c r="B511" s="2" t="str">
        <x:v>Bestandskunde 0506</x:v>
      </x:c>
      <x:c r="C511" s="2" t="str">
        <x:v>Nur Verkäuferexport</x:v>
      </x:c>
      <x:c r="D511" s="9" t="n">
        <x:v>27322</x:v>
      </x:c>
      <x:c r="E511" s="9" t="n">
        <x:v>13</x:v>
      </x:c>
      <x:c r="F511" s="9" t="n">
        <x:v>0</x:v>
      </x:c>
      <x:c r="G511" s="11" t="n">
        <x:f>SUM(D511:F511)</x:f>
        <x:v>27335</x:v>
      </x:c>
      <x:c r="H511" s="10" t="n">
        <x:v>0.92</x:v>
      </x:c>
      <x:c r="I511" s="11" t="n">
        <x:f>IF(ISNUMBER(H511),ROUND(D511*H511,2),NA())</x:f>
        <x:v>25136.24</x:v>
      </x:c>
      <x:c r="J511" s="2" t="str">
        <x:v>Regelbestand laut Verkäufer</x:v>
      </x:c>
      <x:c r="K511" s="2" t="str">
        <x:v>Export KREDIT-ERF-20260930, Einzelbelege nicht im Datenraum</x:v>
      </x:c>
    </x:row>
    <x:row r="512" ht="22" customHeight="1">
      <x:c r="A512" s="2" t="str">
        <x:v>APB-0507</x:v>
      </x:c>
      <x:c r="B512" s="2" t="str">
        <x:v>Bestandskunde 0507</x:v>
      </x:c>
      <x:c r="C512" s="2" t="str">
        <x:v>Nur Verkäuferexport</x:v>
      </x:c>
      <x:c r="D512" s="9" t="n">
        <x:v>27459</x:v>
      </x:c>
      <x:c r="E512" s="9" t="n">
        <x:v>19.5</x:v>
      </x:c>
      <x:c r="F512" s="9" t="n">
        <x:v>0</x:v>
      </x:c>
      <x:c r="G512" s="11" t="n">
        <x:f>SUM(D512:F512)</x:f>
        <x:v>27478.5</x:v>
      </x:c>
      <x:c r="H512" s="10" t="n">
        <x:v>0.92</x:v>
      </x:c>
      <x:c r="I512" s="11" t="n">
        <x:f>IF(ISNUMBER(H512),ROUND(D512*H512,2),NA())</x:f>
        <x:v>25262.28</x:v>
      </x:c>
      <x:c r="J512" s="2" t="str">
        <x:v>Regelbestand laut Verkäufer</x:v>
      </x:c>
      <x:c r="K512" s="2" t="str">
        <x:v>Export KREDIT-ERF-20260930, Einzelbelege nicht im Datenraum</x:v>
      </x:c>
    </x:row>
    <x:row r="513" ht="22" customHeight="1">
      <x:c r="A513" s="2" t="str">
        <x:v>APB-0508</x:v>
      </x:c>
      <x:c r="B513" s="2" t="str">
        <x:v>Bestandskunde 0508</x:v>
      </x:c>
      <x:c r="C513" s="2" t="str">
        <x:v>Nur Verkäuferexport</x:v>
      </x:c>
      <x:c r="D513" s="9" t="n">
        <x:v>27596</x:v>
      </x:c>
      <x:c r="E513" s="9" t="n">
        <x:v>26</x:v>
      </x:c>
      <x:c r="F513" s="9" t="n">
        <x:v>0</x:v>
      </x:c>
      <x:c r="G513" s="11" t="n">
        <x:f>SUM(D513:F513)</x:f>
        <x:v>27622</x:v>
      </x:c>
      <x:c r="H513" s="10" t="n">
        <x:v>0.92</x:v>
      </x:c>
      <x:c r="I513" s="11" t="n">
        <x:f>IF(ISNUMBER(H513),ROUND(D513*H513,2),NA())</x:f>
        <x:v>25388.32</x:v>
      </x:c>
      <x:c r="J513" s="2" t="str">
        <x:v>Regelbestand laut Verkäufer</x:v>
      </x:c>
      <x:c r="K513" s="2" t="str">
        <x:v>Export KREDIT-ERF-20260930, Einzelbelege nicht im Datenraum</x:v>
      </x:c>
    </x:row>
    <x:row r="514" ht="22" customHeight="1">
      <x:c r="A514" s="2" t="str">
        <x:v>APB-0509</x:v>
      </x:c>
      <x:c r="B514" s="2" t="str">
        <x:v>Bestandskunde 0509</x:v>
      </x:c>
      <x:c r="C514" s="2" t="str">
        <x:v>Nur Verkäuferexport</x:v>
      </x:c>
      <x:c r="D514" s="9" t="n">
        <x:v>27733</x:v>
      </x:c>
      <x:c r="E514" s="9" t="n">
        <x:v>32.5</x:v>
      </x:c>
      <x:c r="F514" s="9" t="n">
        <x:v>0</x:v>
      </x:c>
      <x:c r="G514" s="11" t="n">
        <x:f>SUM(D514:F514)</x:f>
        <x:v>27765.5</x:v>
      </x:c>
      <x:c r="H514" s="10" t="n">
        <x:v>0.92</x:v>
      </x:c>
      <x:c r="I514" s="11" t="n">
        <x:f>IF(ISNUMBER(H514),ROUND(D514*H514,2),NA())</x:f>
        <x:v>25514.36</x:v>
      </x:c>
      <x:c r="J514" s="2" t="str">
        <x:v>Regelbestand laut Verkäufer</x:v>
      </x:c>
      <x:c r="K514" s="2" t="str">
        <x:v>Export KREDIT-ERF-20260930, Einzelbelege nicht im Datenraum</x:v>
      </x:c>
    </x:row>
    <x:row r="515" ht="22" customHeight="1">
      <x:c r="A515" s="2" t="str">
        <x:v>APB-0510</x:v>
      </x:c>
      <x:c r="B515" s="2" t="str">
        <x:v>Bestandskunde 0510</x:v>
      </x:c>
      <x:c r="C515" s="2" t="str">
        <x:v>Nur Verkäuferexport</x:v>
      </x:c>
      <x:c r="D515" s="9" t="n">
        <x:v>27870</x:v>
      </x:c>
      <x:c r="E515" s="9" t="n">
        <x:v>39</x:v>
      </x:c>
      <x:c r="F515" s="9" t="n">
        <x:v>0</x:v>
      </x:c>
      <x:c r="G515" s="11" t="n">
        <x:f>SUM(D515:F515)</x:f>
        <x:v>27909</x:v>
      </x:c>
      <x:c r="H515" s="10" t="n">
        <x:v>0.92</x:v>
      </x:c>
      <x:c r="I515" s="11" t="n">
        <x:f>IF(ISNUMBER(H515),ROUND(D515*H515,2),NA())</x:f>
        <x:v>25640.4</x:v>
      </x:c>
      <x:c r="J515" s="2" t="str">
        <x:v>Regelbestand laut Verkäufer</x:v>
      </x:c>
      <x:c r="K515" s="2" t="str">
        <x:v>Export KREDIT-ERF-20260930, Einzelbelege nicht im Datenraum</x:v>
      </x:c>
    </x:row>
    <x:row r="516" ht="22" customHeight="1">
      <x:c r="A516" s="2" t="str">
        <x:v>APB-0511</x:v>
      </x:c>
      <x:c r="B516" s="2" t="str">
        <x:v>Bestandskunde 0511</x:v>
      </x:c>
      <x:c r="C516" s="2" t="str">
        <x:v>Nur Verkäuferexport</x:v>
      </x:c>
      <x:c r="D516" s="9" t="n">
        <x:v>28007</x:v>
      </x:c>
      <x:c r="E516" s="9" t="n">
        <x:v>45.5</x:v>
      </x:c>
      <x:c r="F516" s="9" t="n">
        <x:v>0</x:v>
      </x:c>
      <x:c r="G516" s="11" t="n">
        <x:f>SUM(D516:F516)</x:f>
        <x:v>28052.5</x:v>
      </x:c>
      <x:c r="H516" s="10" t="n">
        <x:v>0.92</x:v>
      </x:c>
      <x:c r="I516" s="11" t="n">
        <x:f>IF(ISNUMBER(H516),ROUND(D516*H516,2),NA())</x:f>
        <x:v>25766.44</x:v>
      </x:c>
      <x:c r="J516" s="2" t="str">
        <x:v>Regelbestand laut Verkäufer</x:v>
      </x:c>
      <x:c r="K516" s="2" t="str">
        <x:v>Export KREDIT-ERF-20260930, Einzelbelege nicht im Datenraum</x:v>
      </x:c>
    </x:row>
    <x:row r="517" ht="22" customHeight="1">
      <x:c r="A517" s="2" t="str">
        <x:v>APB-0512</x:v>
      </x:c>
      <x:c r="B517" s="2" t="str">
        <x:v>Bestandskunde 0512</x:v>
      </x:c>
      <x:c r="C517" s="2" t="str">
        <x:v>Nur Verkäuferexport</x:v>
      </x:c>
      <x:c r="D517" s="9" t="n">
        <x:v>28144</x:v>
      </x:c>
      <x:c r="E517" s="9" t="n">
        <x:v>52</x:v>
      </x:c>
      <x:c r="F517" s="9" t="n">
        <x:v>0</x:v>
      </x:c>
      <x:c r="G517" s="11" t="n">
        <x:f>SUM(D517:F517)</x:f>
        <x:v>28196</x:v>
      </x:c>
      <x:c r="H517" s="10" t="n">
        <x:v>0.92</x:v>
      </x:c>
      <x:c r="I517" s="11" t="n">
        <x:f>IF(ISNUMBER(H517),ROUND(D517*H517,2),NA())</x:f>
        <x:v>25892.48</x:v>
      </x:c>
      <x:c r="J517" s="2" t="str">
        <x:v>Regelbestand laut Verkäufer</x:v>
      </x:c>
      <x:c r="K517" s="2" t="str">
        <x:v>Export KREDIT-ERF-20260930, Einzelbelege nicht im Datenraum</x:v>
      </x:c>
    </x:row>
    <x:row r="518" ht="22" customHeight="1">
      <x:c r="A518" s="2" t="str">
        <x:v>APB-0513</x:v>
      </x:c>
      <x:c r="B518" s="2" t="str">
        <x:v>Bestandskunde 0513</x:v>
      </x:c>
      <x:c r="C518" s="2" t="str">
        <x:v>Nur Verkäuferexport</x:v>
      </x:c>
      <x:c r="D518" s="9" t="n">
        <x:v>28281</x:v>
      </x:c>
      <x:c r="E518" s="9" t="n">
        <x:v>0</x:v>
      </x:c>
      <x:c r="F518" s="9" t="n">
        <x:v>0</x:v>
      </x:c>
      <x:c r="G518" s="11" t="n">
        <x:f>SUM(D518:F518)</x:f>
        <x:v>28281</x:v>
      </x:c>
      <x:c r="H518" s="10" t="n">
        <x:v>0.92</x:v>
      </x:c>
      <x:c r="I518" s="11" t="n">
        <x:f>IF(ISNUMBER(H518),ROUND(D518*H518,2),NA())</x:f>
        <x:v>26018.52</x:v>
      </x:c>
      <x:c r="J518" s="2" t="str">
        <x:v>Regelbestand laut Verkäufer</x:v>
      </x:c>
      <x:c r="K518" s="2" t="str">
        <x:v>Export KREDIT-ERF-20260930, Einzelbelege nicht im Datenraum</x:v>
      </x:c>
    </x:row>
    <x:row r="519" ht="22" customHeight="1">
      <x:c r="A519" s="2" t="str">
        <x:v>APB-0514</x:v>
      </x:c>
      <x:c r="B519" s="2" t="str">
        <x:v>Bestandskunde 0514</x:v>
      </x:c>
      <x:c r="C519" s="2" t="str">
        <x:v>Nur Verkäuferexport</x:v>
      </x:c>
      <x:c r="D519" s="9" t="n">
        <x:v>28418</x:v>
      </x:c>
      <x:c r="E519" s="9" t="n">
        <x:v>6.5</x:v>
      </x:c>
      <x:c r="F519" s="9" t="n">
        <x:v>0</x:v>
      </x:c>
      <x:c r="G519" s="11" t="n">
        <x:f>SUM(D519:F519)</x:f>
        <x:v>28424.5</x:v>
      </x:c>
      <x:c r="H519" s="10" t="n">
        <x:v>0.92</x:v>
      </x:c>
      <x:c r="I519" s="11" t="n">
        <x:f>IF(ISNUMBER(H519),ROUND(D519*H519,2),NA())</x:f>
        <x:v>26144.56</x:v>
      </x:c>
      <x:c r="J519" s="2" t="str">
        <x:v>Regelbestand laut Verkäufer</x:v>
      </x:c>
      <x:c r="K519" s="2" t="str">
        <x:v>Export KREDIT-ERF-20260930, Einzelbelege nicht im Datenraum</x:v>
      </x:c>
    </x:row>
    <x:row r="520" ht="22" customHeight="1">
      <x:c r="A520" s="2" t="str">
        <x:v>APB-0515</x:v>
      </x:c>
      <x:c r="B520" s="2" t="str">
        <x:v>Bestandskunde 0515</x:v>
      </x:c>
      <x:c r="C520" s="2" t="str">
        <x:v>Nur Verkäuferexport</x:v>
      </x:c>
      <x:c r="D520" s="9" t="n">
        <x:v>28555</x:v>
      </x:c>
      <x:c r="E520" s="9" t="n">
        <x:v>13</x:v>
      </x:c>
      <x:c r="F520" s="9" t="n">
        <x:v>0</x:v>
      </x:c>
      <x:c r="G520" s="11" t="n">
        <x:f>SUM(D520:F520)</x:f>
        <x:v>28568</x:v>
      </x:c>
      <x:c r="H520" s="10" t="n">
        <x:v>0.92</x:v>
      </x:c>
      <x:c r="I520" s="11" t="n">
        <x:f>IF(ISNUMBER(H520),ROUND(D520*H520,2),NA())</x:f>
        <x:v>26270.6</x:v>
      </x:c>
      <x:c r="J520" s="2" t="str">
        <x:v>Regelbestand laut Verkäufer</x:v>
      </x:c>
      <x:c r="K520" s="2" t="str">
        <x:v>Export KREDIT-ERF-20260930, Einzelbelege nicht im Datenraum</x:v>
      </x:c>
    </x:row>
    <x:row r="521" ht="22" customHeight="1">
      <x:c r="A521" s="2" t="str">
        <x:v>APB-0516</x:v>
      </x:c>
      <x:c r="B521" s="2" t="str">
        <x:v>Bestandskunde 0516</x:v>
      </x:c>
      <x:c r="C521" s="2" t="str">
        <x:v>Nur Verkäuferexport</x:v>
      </x:c>
      <x:c r="D521" s="9" t="n">
        <x:v>28692</x:v>
      </x:c>
      <x:c r="E521" s="9" t="n">
        <x:v>19.5</x:v>
      </x:c>
      <x:c r="F521" s="9" t="n">
        <x:v>0</x:v>
      </x:c>
      <x:c r="G521" s="11" t="n">
        <x:f>SUM(D521:F521)</x:f>
        <x:v>28711.5</x:v>
      </x:c>
      <x:c r="H521" s="10" t="n">
        <x:v>0.92</x:v>
      </x:c>
      <x:c r="I521" s="11" t="n">
        <x:f>IF(ISNUMBER(H521),ROUND(D521*H521,2),NA())</x:f>
        <x:v>26396.64</x:v>
      </x:c>
      <x:c r="J521" s="2" t="str">
        <x:v>Regelbestand laut Verkäufer</x:v>
      </x:c>
      <x:c r="K521" s="2" t="str">
        <x:v>Export KREDIT-ERF-20260930, Einzelbelege nicht im Datenraum</x:v>
      </x:c>
    </x:row>
    <x:row r="522" ht="22" customHeight="1">
      <x:c r="A522" s="2" t="str">
        <x:v>APB-0517</x:v>
      </x:c>
      <x:c r="B522" s="2" t="str">
        <x:v>Bestandskunde 0517</x:v>
      </x:c>
      <x:c r="C522" s="2" t="str">
        <x:v>Nur Verkäuferexport</x:v>
      </x:c>
      <x:c r="D522" s="9" t="n">
        <x:v>28829</x:v>
      </x:c>
      <x:c r="E522" s="9" t="n">
        <x:v>26</x:v>
      </x:c>
      <x:c r="F522" s="9" t="n">
        <x:v>0</x:v>
      </x:c>
      <x:c r="G522" s="11" t="n">
        <x:f>SUM(D522:F522)</x:f>
        <x:v>28855</x:v>
      </x:c>
      <x:c r="H522" s="10" t="n">
        <x:v>0.92</x:v>
      </x:c>
      <x:c r="I522" s="11" t="n">
        <x:f>IF(ISNUMBER(H522),ROUND(D522*H522,2),NA())</x:f>
        <x:v>26522.68</x:v>
      </x:c>
      <x:c r="J522" s="2" t="str">
        <x:v>Regelbestand laut Verkäufer</x:v>
      </x:c>
      <x:c r="K522" s="2" t="str">
        <x:v>Export KREDIT-ERF-20260930, Einzelbelege nicht im Datenraum</x:v>
      </x:c>
    </x:row>
    <x:row r="523" ht="22" customHeight="1">
      <x:c r="A523" s="2" t="str">
        <x:v>APB-0518</x:v>
      </x:c>
      <x:c r="B523" s="2" t="str">
        <x:v>Bestandskunde 0518</x:v>
      </x:c>
      <x:c r="C523" s="2" t="str">
        <x:v>Nur Verkäuferexport</x:v>
      </x:c>
      <x:c r="D523" s="9" t="n">
        <x:v>28966</x:v>
      </x:c>
      <x:c r="E523" s="9" t="n">
        <x:v>32.5</x:v>
      </x:c>
      <x:c r="F523" s="9" t="n">
        <x:v>0</x:v>
      </x:c>
      <x:c r="G523" s="11" t="n">
        <x:f>SUM(D523:F523)</x:f>
        <x:v>28998.5</x:v>
      </x:c>
      <x:c r="H523" s="10" t="n">
        <x:v>0.92</x:v>
      </x:c>
      <x:c r="I523" s="11" t="n">
        <x:f>IF(ISNUMBER(H523),ROUND(D523*H523,2),NA())</x:f>
        <x:v>26648.72</x:v>
      </x:c>
      <x:c r="J523" s="2" t="str">
        <x:v>Regelbestand laut Verkäufer</x:v>
      </x:c>
      <x:c r="K523" s="2" t="str">
        <x:v>Export KREDIT-ERF-20260930, Einzelbelege nicht im Datenraum</x:v>
      </x:c>
    </x:row>
    <x:row r="524" ht="22" customHeight="1">
      <x:c r="A524" s="2" t="str">
        <x:v>APB-0519</x:v>
      </x:c>
      <x:c r="B524" s="2" t="str">
        <x:v>Bestandskunde 0519</x:v>
      </x:c>
      <x:c r="C524" s="2" t="str">
        <x:v>Nur Verkäuferexport</x:v>
      </x:c>
      <x:c r="D524" s="9" t="n">
        <x:v>29103</x:v>
      </x:c>
      <x:c r="E524" s="9" t="n">
        <x:v>39</x:v>
      </x:c>
      <x:c r="F524" s="9" t="n">
        <x:v>0</x:v>
      </x:c>
      <x:c r="G524" s="11" t="n">
        <x:f>SUM(D524:F524)</x:f>
        <x:v>29142</x:v>
      </x:c>
      <x:c r="H524" s="10" t="n">
        <x:v>0.92</x:v>
      </x:c>
      <x:c r="I524" s="11" t="n">
        <x:f>IF(ISNUMBER(H524),ROUND(D524*H524,2),NA())</x:f>
        <x:v>26774.76</x:v>
      </x:c>
      <x:c r="J524" s="2" t="str">
        <x:v>Regelbestand laut Verkäufer</x:v>
      </x:c>
      <x:c r="K524" s="2" t="str">
        <x:v>Export KREDIT-ERF-20260930, Einzelbelege nicht im Datenraum</x:v>
      </x:c>
    </x:row>
    <x:row r="525" ht="22" customHeight="1">
      <x:c r="A525" s="2" t="str">
        <x:v>APB-0520</x:v>
      </x:c>
      <x:c r="B525" s="2" t="str">
        <x:v>Bestandskunde 0520</x:v>
      </x:c>
      <x:c r="C525" s="2" t="str">
        <x:v>Nur Verkäuferexport</x:v>
      </x:c>
      <x:c r="D525" s="9" t="n">
        <x:v>29240</x:v>
      </x:c>
      <x:c r="E525" s="9" t="n">
        <x:v>45.5</x:v>
      </x:c>
      <x:c r="F525" s="9" t="n">
        <x:v>0</x:v>
      </x:c>
      <x:c r="G525" s="11" t="n">
        <x:f>SUM(D525:F525)</x:f>
        <x:v>29285.5</x:v>
      </x:c>
      <x:c r="H525" s="10" t="n">
        <x:v>0.92</x:v>
      </x:c>
      <x:c r="I525" s="11" t="n">
        <x:f>IF(ISNUMBER(H525),ROUND(D525*H525,2),NA())</x:f>
        <x:v>26900.8</x:v>
      </x:c>
      <x:c r="J525" s="2" t="str">
        <x:v>Regelbestand laut Verkäufer</x:v>
      </x:c>
      <x:c r="K525" s="2" t="str">
        <x:v>Export KREDIT-ERF-20260930, Einzelbelege nicht im Datenraum</x:v>
      </x:c>
    </x:row>
    <x:row r="526" ht="22" customHeight="1">
      <x:c r="A526" s="2" t="str">
        <x:v>APB-0521</x:v>
      </x:c>
      <x:c r="B526" s="2" t="str">
        <x:v>Bestandskunde 0521</x:v>
      </x:c>
      <x:c r="C526" s="2" t="str">
        <x:v>Nur Verkäuferexport</x:v>
      </x:c>
      <x:c r="D526" s="9" t="n">
        <x:v>29377</x:v>
      </x:c>
      <x:c r="E526" s="9" t="n">
        <x:v>52</x:v>
      </x:c>
      <x:c r="F526" s="9" t="n">
        <x:v>0</x:v>
      </x:c>
      <x:c r="G526" s="11" t="n">
        <x:f>SUM(D526:F526)</x:f>
        <x:v>29429</x:v>
      </x:c>
      <x:c r="H526" s="10" t="n">
        <x:v>0.92</x:v>
      </x:c>
      <x:c r="I526" s="11" t="n">
        <x:f>IF(ISNUMBER(H526),ROUND(D526*H526,2),NA())</x:f>
        <x:v>27026.84</x:v>
      </x:c>
      <x:c r="J526" s="2" t="str">
        <x:v>Regelbestand laut Verkäufer</x:v>
      </x:c>
      <x:c r="K526" s="2" t="str">
        <x:v>Export KREDIT-ERF-20260930, Einzelbelege nicht im Datenraum</x:v>
      </x:c>
    </x:row>
    <x:row r="527" ht="22" customHeight="1">
      <x:c r="A527" s="2" t="str">
        <x:v>APB-0522</x:v>
      </x:c>
      <x:c r="B527" s="2" t="str">
        <x:v>Bestandskunde 0522</x:v>
      </x:c>
      <x:c r="C527" s="2" t="str">
        <x:v>Nur Verkäuferexport</x:v>
      </x:c>
      <x:c r="D527" s="9" t="n">
        <x:v>29514</x:v>
      </x:c>
      <x:c r="E527" s="9" t="n">
        <x:v>0</x:v>
      </x:c>
      <x:c r="F527" s="9" t="n">
        <x:v>15</x:v>
      </x:c>
      <x:c r="G527" s="11" t="n">
        <x:f>SUM(D527:F527)</x:f>
        <x:v>29529</x:v>
      </x:c>
      <x:c r="H527" s="10" t="n">
        <x:v>0.92</x:v>
      </x:c>
      <x:c r="I527" s="11" t="n">
        <x:f>IF(ISNUMBER(H527),ROUND(D527*H527,2),NA())</x:f>
        <x:v>27152.88</x:v>
      </x:c>
      <x:c r="J527" s="2" t="str">
        <x:v>Zahlungslücke im Export</x:v>
      </x:c>
      <x:c r="K527" s="2" t="str">
        <x:v>Export KREDIT-ERF-20260930, Einzelbelege nicht im Datenraum</x:v>
      </x:c>
    </x:row>
    <x:row r="528" ht="22" customHeight="1">
      <x:c r="A528" s="2" t="str">
        <x:v>APB-0523</x:v>
      </x:c>
      <x:c r="B528" s="2" t="str">
        <x:v>Bestandskunde 0523</x:v>
      </x:c>
      <x:c r="C528" s="2" t="str">
        <x:v>Nur Verkäuferexport</x:v>
      </x:c>
      <x:c r="D528" s="9" t="n">
        <x:v>29651</x:v>
      </x:c>
      <x:c r="E528" s="9" t="n">
        <x:v>6.5</x:v>
      </x:c>
      <x:c r="F528" s="9" t="n">
        <x:v>0</x:v>
      </x:c>
      <x:c r="G528" s="11" t="n">
        <x:f>SUM(D528:F528)</x:f>
        <x:v>29657.5</x:v>
      </x:c>
      <x:c r="H528" s="10" t="n">
        <x:v>0.92</x:v>
      </x:c>
      <x:c r="I528" s="11" t="n">
        <x:f>IF(ISNUMBER(H528),ROUND(D528*H528,2),NA())</x:f>
        <x:v>27278.92</x:v>
      </x:c>
      <x:c r="J528" s="2" t="str">
        <x:v>Regelbestand laut Verkäufer</x:v>
      </x:c>
      <x:c r="K528" s="2" t="str">
        <x:v>Export KREDIT-ERF-20260930, Einzelbelege nicht im Datenraum</x:v>
      </x:c>
    </x:row>
    <x:row r="529" ht="22" customHeight="1">
      <x:c r="A529" s="2" t="str">
        <x:v>APB-0524</x:v>
      </x:c>
      <x:c r="B529" s="2" t="str">
        <x:v>Bestandskunde 0524</x:v>
      </x:c>
      <x:c r="C529" s="2" t="str">
        <x:v>Nur Verkäuferexport</x:v>
      </x:c>
      <x:c r="D529" s="9" t="n">
        <x:v>29788</x:v>
      </x:c>
      <x:c r="E529" s="9" t="n">
        <x:v>13</x:v>
      </x:c>
      <x:c r="F529" s="9" t="n">
        <x:v>0</x:v>
      </x:c>
      <x:c r="G529" s="11" t="n">
        <x:f>SUM(D529:F529)</x:f>
        <x:v>29801</x:v>
      </x:c>
      <x:c r="H529" s="10" t="n">
        <x:v>0.92</x:v>
      </x:c>
      <x:c r="I529" s="11" t="n">
        <x:f>IF(ISNUMBER(H529),ROUND(D529*H529,2),NA())</x:f>
        <x:v>27404.96</x:v>
      </x:c>
      <x:c r="J529" s="2" t="str">
        <x:v>Regelbestand laut Verkäufer</x:v>
      </x:c>
      <x:c r="K529" s="2" t="str">
        <x:v>Export KREDIT-ERF-20260930, Einzelbelege nicht im Datenraum</x:v>
      </x:c>
    </x:row>
    <x:row r="530" ht="22" customHeight="1">
      <x:c r="A530" s="2" t="str">
        <x:v>APB-0525</x:v>
      </x:c>
      <x:c r="B530" s="2" t="str">
        <x:v>Bestandskunde 0525</x:v>
      </x:c>
      <x:c r="C530" s="2" t="str">
        <x:v>Nur Verkäuferexport</x:v>
      </x:c>
      <x:c r="D530" s="9" t="n">
        <x:v>29925</x:v>
      </x:c>
      <x:c r="E530" s="9" t="n">
        <x:v>19.5</x:v>
      </x:c>
      <x:c r="F530" s="9" t="n">
        <x:v>0</x:v>
      </x:c>
      <x:c r="G530" s="11" t="n">
        <x:f>SUM(D530:F530)</x:f>
        <x:v>29944.5</x:v>
      </x:c>
      <x:c r="H530" s="10" t="n">
        <x:v>0.92</x:v>
      </x:c>
      <x:c r="I530" s="11" t="n">
        <x:f>IF(ISNUMBER(H530),ROUND(D530*H530,2),NA())</x:f>
        <x:v>27531</x:v>
      </x:c>
      <x:c r="J530" s="2" t="str">
        <x:v>Regelbestand laut Verkäufer</x:v>
      </x:c>
      <x:c r="K530" s="2" t="str">
        <x:v>Export KREDIT-ERF-20260930, Einzelbelege nicht im Datenraum</x:v>
      </x:c>
    </x:row>
    <x:row r="531" ht="22" customHeight="1">
      <x:c r="A531" s="2" t="str">
        <x:v>APB-0526</x:v>
      </x:c>
      <x:c r="B531" s="2" t="str">
        <x:v>Bestandskunde 0526</x:v>
      </x:c>
      <x:c r="C531" s="2" t="str">
        <x:v>Nur Verkäuferexport</x:v>
      </x:c>
      <x:c r="D531" s="9" t="n">
        <x:v>6062</x:v>
      </x:c>
      <x:c r="E531" s="9" t="n">
        <x:v>26</x:v>
      </x:c>
      <x:c r="F531" s="9" t="n">
        <x:v>0</x:v>
      </x:c>
      <x:c r="G531" s="11" t="n">
        <x:f>SUM(D531:F531)</x:f>
        <x:v>6088</x:v>
      </x:c>
      <x:c r="H531" s="10" t="n">
        <x:v>0.92</x:v>
      </x:c>
      <x:c r="I531" s="11" t="n">
        <x:f>IF(ISNUMBER(H531),ROUND(D531*H531,2),NA())</x:f>
        <x:v>5577.04</x:v>
      </x:c>
      <x:c r="J531" s="2" t="str">
        <x:v>Regelbestand laut Verkäufer</x:v>
      </x:c>
      <x:c r="K531" s="2" t="str">
        <x:v>Export KREDIT-ERF-20260930, Einzelbelege nicht im Datenraum</x:v>
      </x:c>
    </x:row>
    <x:row r="532" ht="22" customHeight="1">
      <x:c r="A532" s="2" t="str">
        <x:v>APB-0527</x:v>
      </x:c>
      <x:c r="B532" s="2" t="str">
        <x:v>Bestandskunde 0527</x:v>
      </x:c>
      <x:c r="C532" s="2" t="str">
        <x:v>Nur Verkäuferexport</x:v>
      </x:c>
      <x:c r="D532" s="9" t="n">
        <x:v>6199</x:v>
      </x:c>
      <x:c r="E532" s="9" t="n">
        <x:v>32.5</x:v>
      </x:c>
      <x:c r="F532" s="9" t="n">
        <x:v>0</x:v>
      </x:c>
      <x:c r="G532" s="11" t="n">
        <x:f>SUM(D532:F532)</x:f>
        <x:v>6231.5</x:v>
      </x:c>
      <x:c r="H532" s="10" t="n">
        <x:v>0.92</x:v>
      </x:c>
      <x:c r="I532" s="11" t="n">
        <x:f>IF(ISNUMBER(H532),ROUND(D532*H532,2),NA())</x:f>
        <x:v>5703.08</x:v>
      </x:c>
      <x:c r="J532" s="2" t="str">
        <x:v>Regelbestand laut Verkäufer</x:v>
      </x:c>
      <x:c r="K532" s="2" t="str">
        <x:v>Export KREDIT-ERF-20260930, Einzelbelege nicht im Datenraum</x:v>
      </x:c>
    </x:row>
    <x:row r="533" ht="22" customHeight="1">
      <x:c r="A533" s="2" t="str">
        <x:v>APB-0528</x:v>
      </x:c>
      <x:c r="B533" s="2" t="str">
        <x:v>Bestandskunde 0528</x:v>
      </x:c>
      <x:c r="C533" s="2" t="str">
        <x:v>Nur Verkäuferexport</x:v>
      </x:c>
      <x:c r="D533" s="9" t="n">
        <x:v>6336</x:v>
      </x:c>
      <x:c r="E533" s="9" t="n">
        <x:v>39</x:v>
      </x:c>
      <x:c r="F533" s="9" t="n">
        <x:v>0</x:v>
      </x:c>
      <x:c r="G533" s="11" t="n">
        <x:f>SUM(D533:F533)</x:f>
        <x:v>6375</x:v>
      </x:c>
      <x:c r="H533" s="10" t="n">
        <x:v>0.92</x:v>
      </x:c>
      <x:c r="I533" s="11" t="n">
        <x:f>IF(ISNUMBER(H533),ROUND(D533*H533,2),NA())</x:f>
        <x:v>5829.12</x:v>
      </x:c>
      <x:c r="J533" s="2" t="str">
        <x:v>Regelbestand laut Verkäufer</x:v>
      </x:c>
      <x:c r="K533" s="2" t="str">
        <x:v>Export KREDIT-ERF-20260930, Einzelbelege nicht im Datenraum</x:v>
      </x:c>
    </x:row>
    <x:row r="534" ht="22" customHeight="1">
      <x:c r="A534" s="2" t="str">
        <x:v>APB-0529</x:v>
      </x:c>
      <x:c r="B534" s="2" t="str">
        <x:v>Bestandskunde 0529</x:v>
      </x:c>
      <x:c r="C534" s="2" t="str">
        <x:v>Nur Verkäuferexport</x:v>
      </x:c>
      <x:c r="D534" s="9" t="n">
        <x:v>6473</x:v>
      </x:c>
      <x:c r="E534" s="9" t="n">
        <x:v>45.5</x:v>
      </x:c>
      <x:c r="F534" s="9" t="n">
        <x:v>0</x:v>
      </x:c>
      <x:c r="G534" s="11" t="n">
        <x:f>SUM(D534:F534)</x:f>
        <x:v>6518.5</x:v>
      </x:c>
      <x:c r="H534" s="10" t="n">
        <x:v>0.92</x:v>
      </x:c>
      <x:c r="I534" s="11" t="n">
        <x:f>IF(ISNUMBER(H534),ROUND(D534*H534,2),NA())</x:f>
        <x:v>5955.16</x:v>
      </x:c>
      <x:c r="J534" s="2" t="str">
        <x:v>Regelbestand laut Verkäufer</x:v>
      </x:c>
      <x:c r="K534" s="2" t="str">
        <x:v>Export KREDIT-ERF-20260930, Einzelbelege nicht im Datenraum</x:v>
      </x:c>
    </x:row>
    <x:row r="535" ht="22" customHeight="1">
      <x:c r="A535" s="2" t="str">
        <x:v>APB-0530</x:v>
      </x:c>
      <x:c r="B535" s="2" t="str">
        <x:v>Bestandskunde 0530</x:v>
      </x:c>
      <x:c r="C535" s="2" t="str">
        <x:v>Nur Verkäuferexport</x:v>
      </x:c>
      <x:c r="D535" s="9" t="n">
        <x:v>6610</x:v>
      </x:c>
      <x:c r="E535" s="9" t="n">
        <x:v>52</x:v>
      </x:c>
      <x:c r="F535" s="9" t="n">
        <x:v>0</x:v>
      </x:c>
      <x:c r="G535" s="11" t="n">
        <x:f>SUM(D535:F535)</x:f>
        <x:v>6662</x:v>
      </x:c>
      <x:c r="H535" s="10" t="n">
        <x:v>0.92</x:v>
      </x:c>
      <x:c r="I535" s="11" t="n">
        <x:f>IF(ISNUMBER(H535),ROUND(D535*H535,2),NA())</x:f>
        <x:v>6081.2</x:v>
      </x:c>
      <x:c r="J535" s="2" t="str">
        <x:v>Regelbestand laut Verkäufer</x:v>
      </x:c>
      <x:c r="K535" s="2" t="str">
        <x:v>Export KREDIT-ERF-20260930, Einzelbelege nicht im Datenraum</x:v>
      </x:c>
    </x:row>
    <x:row r="536" ht="22" customHeight="1">
      <x:c r="A536" s="2" t="str">
        <x:v>APB-0531</x:v>
      </x:c>
      <x:c r="B536" s="2" t="str">
        <x:v>Bestandskunde 0531</x:v>
      </x:c>
      <x:c r="C536" s="2" t="str">
        <x:v>Nur Verkäuferexport</x:v>
      </x:c>
      <x:c r="D536" s="9" t="n">
        <x:v>6747</x:v>
      </x:c>
      <x:c r="E536" s="9" t="n">
        <x:v>0</x:v>
      </x:c>
      <x:c r="F536" s="9" t="n">
        <x:v>0</x:v>
      </x:c>
      <x:c r="G536" s="11" t="n">
        <x:f>SUM(D536:F536)</x:f>
        <x:v>6747</x:v>
      </x:c>
      <x:c r="H536" s="10" t="n">
        <x:v>0.92</x:v>
      </x:c>
      <x:c r="I536" s="11" t="n">
        <x:f>IF(ISNUMBER(H536),ROUND(D536*H536,2),NA())</x:f>
        <x:v>6207.24</x:v>
      </x:c>
      <x:c r="J536" s="2" t="str">
        <x:v>Regelbestand laut Verkäufer</x:v>
      </x:c>
      <x:c r="K536" s="2" t="str">
        <x:v>Export KREDIT-ERF-20260930, Einzelbelege nicht im Datenraum</x:v>
      </x:c>
    </x:row>
    <x:row r="537" ht="22" customHeight="1">
      <x:c r="A537" s="2" t="str">
        <x:v>APB-0532</x:v>
      </x:c>
      <x:c r="B537" s="2" t="str">
        <x:v>Bestandskunde 0532</x:v>
      </x:c>
      <x:c r="C537" s="2" t="str">
        <x:v>Nur Verkäuferexport</x:v>
      </x:c>
      <x:c r="D537" s="9" t="n">
        <x:v>6884</x:v>
      </x:c>
      <x:c r="E537" s="9" t="n">
        <x:v>6.5</x:v>
      </x:c>
      <x:c r="F537" s="9" t="n">
        <x:v>0</x:v>
      </x:c>
      <x:c r="G537" s="11" t="n">
        <x:f>SUM(D537:F537)</x:f>
        <x:v>6890.5</x:v>
      </x:c>
      <x:c r="H537" s="10" t="n">
        <x:v>0.92</x:v>
      </x:c>
      <x:c r="I537" s="11" t="n">
        <x:f>IF(ISNUMBER(H537),ROUND(D537*H537,2),NA())</x:f>
        <x:v>6333.28</x:v>
      </x:c>
      <x:c r="J537" s="2" t="str">
        <x:v>Regelbestand laut Verkäufer</x:v>
      </x:c>
      <x:c r="K537" s="2" t="str">
        <x:v>Export KREDIT-ERF-20260930, Einzelbelege nicht im Datenraum</x:v>
      </x:c>
    </x:row>
    <x:row r="538" ht="22" customHeight="1">
      <x:c r="A538" s="2" t="str">
        <x:v>APB-0533</x:v>
      </x:c>
      <x:c r="B538" s="2" t="str">
        <x:v>Bestandskunde 0533</x:v>
      </x:c>
      <x:c r="C538" s="2" t="str">
        <x:v>Nur Verkäuferexport</x:v>
      </x:c>
      <x:c r="D538" s="9" t="n">
        <x:v>7021</x:v>
      </x:c>
      <x:c r="E538" s="9" t="n">
        <x:v>13</x:v>
      </x:c>
      <x:c r="F538" s="9" t="n">
        <x:v>0</x:v>
      </x:c>
      <x:c r="G538" s="11" t="n">
        <x:f>SUM(D538:F538)</x:f>
        <x:v>7034</x:v>
      </x:c>
      <x:c r="H538" s="10" t="n">
        <x:v>0.92</x:v>
      </x:c>
      <x:c r="I538" s="11" t="n">
        <x:f>IF(ISNUMBER(H538),ROUND(D538*H538,2),NA())</x:f>
        <x:v>6459.32</x:v>
      </x:c>
      <x:c r="J538" s="2" t="str">
        <x:v>Regelbestand laut Verkäufer</x:v>
      </x:c>
      <x:c r="K538" s="2" t="str">
        <x:v>Export KREDIT-ERF-20260930, Einzelbelege nicht im Datenraum</x:v>
      </x:c>
    </x:row>
    <x:row r="539" ht="22" customHeight="1">
      <x:c r="A539" s="2" t="str">
        <x:v>APB-0534</x:v>
      </x:c>
      <x:c r="B539" s="2" t="str">
        <x:v>Bestandskunde 0534</x:v>
      </x:c>
      <x:c r="C539" s="2" t="str">
        <x:v>Nur Verkäuferexport</x:v>
      </x:c>
      <x:c r="D539" s="9" t="n">
        <x:v>7158</x:v>
      </x:c>
      <x:c r="E539" s="9" t="n">
        <x:v>19.5</x:v>
      </x:c>
      <x:c r="F539" s="9" t="n">
        <x:v>0</x:v>
      </x:c>
      <x:c r="G539" s="11" t="n">
        <x:f>SUM(D539:F539)</x:f>
        <x:v>7177.5</x:v>
      </x:c>
      <x:c r="H539" s="10" t="n">
        <x:v>0.92</x:v>
      </x:c>
      <x:c r="I539" s="11" t="n">
        <x:f>IF(ISNUMBER(H539),ROUND(D539*H539,2),NA())</x:f>
        <x:v>6585.36</x:v>
      </x:c>
      <x:c r="J539" s="2" t="str">
        <x:v>Regelbestand laut Verkäufer</x:v>
      </x:c>
      <x:c r="K539" s="2" t="str">
        <x:v>Export KREDIT-ERF-20260930, Einzelbelege nicht im Datenraum</x:v>
      </x:c>
    </x:row>
    <x:row r="540" ht="22" customHeight="1">
      <x:c r="A540" s="2" t="str">
        <x:v>APB-0535</x:v>
      </x:c>
      <x:c r="B540" s="2" t="str">
        <x:v>Bestandskunde 0535</x:v>
      </x:c>
      <x:c r="C540" s="2" t="str">
        <x:v>Nur Verkäuferexport</x:v>
      </x:c>
      <x:c r="D540" s="9" t="n">
        <x:v>7295</x:v>
      </x:c>
      <x:c r="E540" s="9" t="n">
        <x:v>26</x:v>
      </x:c>
      <x:c r="F540" s="9" t="n">
        <x:v>0</x:v>
      </x:c>
      <x:c r="G540" s="11" t="n">
        <x:f>SUM(D540:F540)</x:f>
        <x:v>7321</x:v>
      </x:c>
      <x:c r="H540" s="10" t="n">
        <x:v>0.92</x:v>
      </x:c>
      <x:c r="I540" s="11" t="n">
        <x:f>IF(ISNUMBER(H540),ROUND(D540*H540,2),NA())</x:f>
        <x:v>6711.4</x:v>
      </x:c>
      <x:c r="J540" s="2" t="str">
        <x:v>Regelbestand laut Verkäufer</x:v>
      </x:c>
      <x:c r="K540" s="2" t="str">
        <x:v>Export KREDIT-ERF-20260930, Einzelbelege nicht im Datenraum</x:v>
      </x:c>
    </x:row>
    <x:row r="541" ht="22" customHeight="1">
      <x:c r="A541" s="2" t="str">
        <x:v>APB-0536</x:v>
      </x:c>
      <x:c r="B541" s="2" t="str">
        <x:v>Bestandskunde 0536</x:v>
      </x:c>
      <x:c r="C541" s="2" t="str">
        <x:v>Nur Verkäuferexport</x:v>
      </x:c>
      <x:c r="D541" s="9" t="n">
        <x:v>7432</x:v>
      </x:c>
      <x:c r="E541" s="9" t="n">
        <x:v>32.5</x:v>
      </x:c>
      <x:c r="F541" s="9" t="n">
        <x:v>0</x:v>
      </x:c>
      <x:c r="G541" s="11" t="n">
        <x:f>SUM(D541:F541)</x:f>
        <x:v>7464.5</x:v>
      </x:c>
      <x:c r="H541" s="10" t="n">
        <x:v>0.92</x:v>
      </x:c>
      <x:c r="I541" s="11" t="n">
        <x:f>IF(ISNUMBER(H541),ROUND(D541*H541,2),NA())</x:f>
        <x:v>6837.44</x:v>
      </x:c>
      <x:c r="J541" s="2" t="str">
        <x:v>Regelbestand laut Verkäufer</x:v>
      </x:c>
      <x:c r="K541" s="2" t="str">
        <x:v>Export KREDIT-ERF-20260930, Einzelbelege nicht im Datenraum</x:v>
      </x:c>
    </x:row>
    <x:row r="542" ht="22" customHeight="1">
      <x:c r="A542" s="2" t="str">
        <x:v>APB-0537</x:v>
      </x:c>
      <x:c r="B542" s="2" t="str">
        <x:v>Bestandskunde 0537</x:v>
      </x:c>
      <x:c r="C542" s="2" t="str">
        <x:v>Nur Verkäuferexport</x:v>
      </x:c>
      <x:c r="D542" s="9" t="n">
        <x:v>7569</x:v>
      </x:c>
      <x:c r="E542" s="9" t="n">
        <x:v>39</x:v>
      </x:c>
      <x:c r="F542" s="9" t="n">
        <x:v>0</x:v>
      </x:c>
      <x:c r="G542" s="11" t="n">
        <x:f>SUM(D542:F542)</x:f>
        <x:v>7608</x:v>
      </x:c>
      <x:c r="H542" s="10" t="n">
        <x:v>0.92</x:v>
      </x:c>
      <x:c r="I542" s="11" t="n">
        <x:f>IF(ISNUMBER(H542),ROUND(D542*H542,2),NA())</x:f>
        <x:v>6963.48</x:v>
      </x:c>
      <x:c r="J542" s="2" t="str">
        <x:v>Regelbestand laut Verkäufer</x:v>
      </x:c>
      <x:c r="K542" s="2" t="str">
        <x:v>Export KREDIT-ERF-20260930, Einzelbelege nicht im Datenraum</x:v>
      </x:c>
    </x:row>
    <x:row r="543" ht="22" customHeight="1">
      <x:c r="A543" s="2" t="str">
        <x:v>APB-0538</x:v>
      </x:c>
      <x:c r="B543" s="2" t="str">
        <x:v>Bestandskunde 0538</x:v>
      </x:c>
      <x:c r="C543" s="2" t="str">
        <x:v>Nur Verkäuferexport</x:v>
      </x:c>
      <x:c r="D543" s="9" t="n">
        <x:v>7706</x:v>
      </x:c>
      <x:c r="E543" s="9" t="n">
        <x:v>45.5</x:v>
      </x:c>
      <x:c r="F543" s="9" t="n">
        <x:v>0</x:v>
      </x:c>
      <x:c r="G543" s="11" t="n">
        <x:f>SUM(D543:F543)</x:f>
        <x:v>7751.5</x:v>
      </x:c>
      <x:c r="H543" s="10" t="n">
        <x:v>0.92</x:v>
      </x:c>
      <x:c r="I543" s="11" t="n">
        <x:f>IF(ISNUMBER(H543),ROUND(D543*H543,2),NA())</x:f>
        <x:v>7089.52</x:v>
      </x:c>
      <x:c r="J543" s="2" t="str">
        <x:v>Regelbestand laut Verkäufer</x:v>
      </x:c>
      <x:c r="K543" s="2" t="str">
        <x:v>Export KREDIT-ERF-20260930, Einzelbelege nicht im Datenraum</x:v>
      </x:c>
    </x:row>
    <x:row r="544" ht="22" customHeight="1">
      <x:c r="A544" s="2" t="str">
        <x:v>APB-0539</x:v>
      </x:c>
      <x:c r="B544" s="2" t="str">
        <x:v>Bestandskunde 0539</x:v>
      </x:c>
      <x:c r="C544" s="2" t="str">
        <x:v>Nur Verkäuferexport</x:v>
      </x:c>
      <x:c r="D544" s="9" t="n">
        <x:v>7843</x:v>
      </x:c>
      <x:c r="E544" s="9" t="n">
        <x:v>52</x:v>
      </x:c>
      <x:c r="F544" s="9" t="n">
        <x:v>0</x:v>
      </x:c>
      <x:c r="G544" s="11" t="n">
        <x:f>SUM(D544:F544)</x:f>
        <x:v>7895</x:v>
      </x:c>
      <x:c r="H544" s="10" t="n">
        <x:v>0.92</x:v>
      </x:c>
      <x:c r="I544" s="11" t="n">
        <x:f>IF(ISNUMBER(H544),ROUND(D544*H544,2),NA())</x:f>
        <x:v>7215.56</x:v>
      </x:c>
      <x:c r="J544" s="2" t="str">
        <x:v>Regelbestand laut Verkäufer</x:v>
      </x:c>
      <x:c r="K544" s="2" t="str">
        <x:v>Export KREDIT-ERF-20260930, Einzelbelege nicht im Datenraum</x:v>
      </x:c>
    </x:row>
    <x:row r="545" ht="22" customHeight="1">
      <x:c r="A545" s="2" t="str">
        <x:v>APB-0540</x:v>
      </x:c>
      <x:c r="B545" s="2" t="str">
        <x:v>Bestandskunde 0540</x:v>
      </x:c>
      <x:c r="C545" s="2" t="str">
        <x:v>Nur Verkäuferexport</x:v>
      </x:c>
      <x:c r="D545" s="9" t="n">
        <x:v>7980</x:v>
      </x:c>
      <x:c r="E545" s="9" t="n">
        <x:v>0</x:v>
      </x:c>
      <x:c r="F545" s="9" t="n">
        <x:v>0</x:v>
      </x:c>
      <x:c r="G545" s="11" t="n">
        <x:f>SUM(D545:F545)</x:f>
        <x:v>7980</x:v>
      </x:c>
      <x:c r="H545" s="10" t="n">
        <x:v>0.92</x:v>
      </x:c>
      <x:c r="I545" s="11" t="n">
        <x:f>IF(ISNUMBER(H545),ROUND(D545*H545,2),NA())</x:f>
        <x:v>7341.6</x:v>
      </x:c>
      <x:c r="J545" s="2" t="str">
        <x:v>Regelbestand laut Verkäufer</x:v>
      </x:c>
      <x:c r="K545" s="2" t="str">
        <x:v>Export KREDIT-ERF-20260930, Einzelbelege nicht im Datenraum</x:v>
      </x:c>
    </x:row>
    <x:row r="546" ht="22" customHeight="1">
      <x:c r="A546" s="2" t="str">
        <x:v>APB-0541</x:v>
      </x:c>
      <x:c r="B546" s="2" t="str">
        <x:v>Bestandskunde 0541</x:v>
      </x:c>
      <x:c r="C546" s="2" t="str">
        <x:v>Nur Verkäuferexport</x:v>
      </x:c>
      <x:c r="D546" s="9" t="n">
        <x:v>8117</x:v>
      </x:c>
      <x:c r="E546" s="9" t="n">
        <x:v>6.5</x:v>
      </x:c>
      <x:c r="F546" s="9" t="n">
        <x:v>0</x:v>
      </x:c>
      <x:c r="G546" s="11" t="n">
        <x:f>SUM(D546:F546)</x:f>
        <x:v>8123.5</x:v>
      </x:c>
      <x:c r="H546" s="10" t="n">
        <x:v>0.92</x:v>
      </x:c>
      <x:c r="I546" s="11" t="n">
        <x:f>IF(ISNUMBER(H546),ROUND(D546*H546,2),NA())</x:f>
        <x:v>7467.64</x:v>
      </x:c>
      <x:c r="J546" s="2" t="str">
        <x:v>Regelbestand laut Verkäufer</x:v>
      </x:c>
      <x:c r="K546" s="2" t="str">
        <x:v>Export KREDIT-ERF-20260930, Einzelbelege nicht im Datenraum</x:v>
      </x:c>
    </x:row>
    <x:row r="547" ht="22" customHeight="1">
      <x:c r="A547" s="2" t="str">
        <x:v>APB-0542</x:v>
      </x:c>
      <x:c r="B547" s="2" t="str">
        <x:v>Bestandskunde 0542</x:v>
      </x:c>
      <x:c r="C547" s="2" t="str">
        <x:v>Nur Verkäuferexport</x:v>
      </x:c>
      <x:c r="D547" s="9" t="n">
        <x:v>8254</x:v>
      </x:c>
      <x:c r="E547" s="9" t="n">
        <x:v>13</x:v>
      </x:c>
      <x:c r="F547" s="9" t="n">
        <x:v>0</x:v>
      </x:c>
      <x:c r="G547" s="11" t="n">
        <x:f>SUM(D547:F547)</x:f>
        <x:v>8267</x:v>
      </x:c>
      <x:c r="H547" s="10" t="n">
        <x:v>0.92</x:v>
      </x:c>
      <x:c r="I547" s="11" t="n">
        <x:f>IF(ISNUMBER(H547),ROUND(D547*H547,2),NA())</x:f>
        <x:v>7593.68</x:v>
      </x:c>
      <x:c r="J547" s="2" t="str">
        <x:v>Regelbestand laut Verkäufer</x:v>
      </x:c>
      <x:c r="K547" s="2" t="str">
        <x:v>Export KREDIT-ERF-20260930, Einzelbelege nicht im Datenraum</x:v>
      </x:c>
    </x:row>
    <x:row r="548" ht="22" customHeight="1">
      <x:c r="A548" s="2" t="str">
        <x:v>APB-0543</x:v>
      </x:c>
      <x:c r="B548" s="2" t="str">
        <x:v>Bestandskunde 0543</x:v>
      </x:c>
      <x:c r="C548" s="2" t="str">
        <x:v>Nur Verkäuferexport</x:v>
      </x:c>
      <x:c r="D548" s="9" t="n">
        <x:v>8391</x:v>
      </x:c>
      <x:c r="E548" s="9" t="n">
        <x:v>19.5</x:v>
      </x:c>
      <x:c r="F548" s="9" t="n">
        <x:v>0</x:v>
      </x:c>
      <x:c r="G548" s="11" t="n">
        <x:f>SUM(D548:F548)</x:f>
        <x:v>8410.5</x:v>
      </x:c>
      <x:c r="H548" s="10" t="n">
        <x:v>0.92</x:v>
      </x:c>
      <x:c r="I548" s="11" t="n">
        <x:f>IF(ISNUMBER(H548),ROUND(D548*H548,2),NA())</x:f>
        <x:v>7719.72</x:v>
      </x:c>
      <x:c r="J548" s="2" t="str">
        <x:v>Regelbestand laut Verkäufer</x:v>
      </x:c>
      <x:c r="K548" s="2" t="str">
        <x:v>Export KREDIT-ERF-20260930, Einzelbelege nicht im Datenraum</x:v>
      </x:c>
    </x:row>
    <x:row r="549" ht="22" customHeight="1">
      <x:c r="A549" s="2" t="str">
        <x:v>APB-0544</x:v>
      </x:c>
      <x:c r="B549" s="2" t="str">
        <x:v>Bestandskunde 0544</x:v>
      </x:c>
      <x:c r="C549" s="2" t="str">
        <x:v>Nur Verkäuferexport</x:v>
      </x:c>
      <x:c r="D549" s="9" t="n">
        <x:v>8528</x:v>
      </x:c>
      <x:c r="E549" s="9" t="n">
        <x:v>26</x:v>
      </x:c>
      <x:c r="F549" s="9" t="n">
        <x:v>0</x:v>
      </x:c>
      <x:c r="G549" s="11" t="n">
        <x:f>SUM(D549:F549)</x:f>
        <x:v>8554</x:v>
      </x:c>
      <x:c r="H549" s="10" t="n">
        <x:v>0.92</x:v>
      </x:c>
      <x:c r="I549" s="11" t="n">
        <x:f>IF(ISNUMBER(H549),ROUND(D549*H549,2),NA())</x:f>
        <x:v>7845.76</x:v>
      </x:c>
      <x:c r="J549" s="2" t="str">
        <x:v>Regelbestand laut Verkäufer</x:v>
      </x:c>
      <x:c r="K549" s="2" t="str">
        <x:v>Export KREDIT-ERF-20260930, Einzelbelege nicht im Datenraum</x:v>
      </x:c>
    </x:row>
    <x:row r="550" ht="22" customHeight="1">
      <x:c r="A550" s="2" t="str">
        <x:v>APB-0545</x:v>
      </x:c>
      <x:c r="B550" s="2" t="str">
        <x:v>Bestandskunde 0545</x:v>
      </x:c>
      <x:c r="C550" s="2" t="str">
        <x:v>Nur Verkäuferexport</x:v>
      </x:c>
      <x:c r="D550" s="9" t="n">
        <x:v>8665</x:v>
      </x:c>
      <x:c r="E550" s="9" t="n">
        <x:v>32.5</x:v>
      </x:c>
      <x:c r="F550" s="9" t="n">
        <x:v>0</x:v>
      </x:c>
      <x:c r="G550" s="11" t="n">
        <x:f>SUM(D550:F550)</x:f>
        <x:v>8697.5</x:v>
      </x:c>
      <x:c r="H550" s="10" t="n">
        <x:v>0.92</x:v>
      </x:c>
      <x:c r="I550" s="11" t="n">
        <x:f>IF(ISNUMBER(H550),ROUND(D550*H550,2),NA())</x:f>
        <x:v>7971.8</x:v>
      </x:c>
      <x:c r="J550" s="2" t="str">
        <x:v>Regelbestand laut Verkäufer</x:v>
      </x:c>
      <x:c r="K550" s="2" t="str">
        <x:v>Export KREDIT-ERF-20260930, Einzelbelege nicht im Datenraum</x:v>
      </x:c>
    </x:row>
    <x:row r="551" ht="22" customHeight="1">
      <x:c r="A551" s="2" t="str">
        <x:v>APB-0546</x:v>
      </x:c>
      <x:c r="B551" s="2" t="str">
        <x:v>Bestandskunde 0546</x:v>
      </x:c>
      <x:c r="C551" s="2" t="str">
        <x:v>Nur Verkäuferexport</x:v>
      </x:c>
      <x:c r="D551" s="9" t="n">
        <x:v>8802</x:v>
      </x:c>
      <x:c r="E551" s="9" t="n">
        <x:v>39</x:v>
      </x:c>
      <x:c r="F551" s="9" t="n">
        <x:v>0</x:v>
      </x:c>
      <x:c r="G551" s="11" t="n">
        <x:f>SUM(D551:F551)</x:f>
        <x:v>8841</x:v>
      </x:c>
      <x:c r="H551" s="10" t="n">
        <x:v>0.92</x:v>
      </x:c>
      <x:c r="I551" s="11" t="n">
        <x:f>IF(ISNUMBER(H551),ROUND(D551*H551,2),NA())</x:f>
        <x:v>8097.84</x:v>
      </x:c>
      <x:c r="J551" s="2" t="str">
        <x:v>Regelbestand laut Verkäufer</x:v>
      </x:c>
      <x:c r="K551" s="2" t="str">
        <x:v>Export KREDIT-ERF-20260930, Einzelbelege nicht im Datenraum</x:v>
      </x:c>
    </x:row>
    <x:row r="552" ht="22" customHeight="1">
      <x:c r="A552" s="2" t="str">
        <x:v>APB-0547</x:v>
      </x:c>
      <x:c r="B552" s="2" t="str">
        <x:v>Bestandskunde 0547</x:v>
      </x:c>
      <x:c r="C552" s="2" t="str">
        <x:v>Nur Verkäuferexport</x:v>
      </x:c>
      <x:c r="D552" s="9" t="n">
        <x:v>8939</x:v>
      </x:c>
      <x:c r="E552" s="9" t="n">
        <x:v>45.5</x:v>
      </x:c>
      <x:c r="F552" s="9" t="n">
        <x:v>0</x:v>
      </x:c>
      <x:c r="G552" s="11" t="n">
        <x:f>SUM(D552:F552)</x:f>
        <x:v>8984.5</x:v>
      </x:c>
      <x:c r="H552" s="10" t="n">
        <x:v>0.92</x:v>
      </x:c>
      <x:c r="I552" s="11" t="n">
        <x:f>IF(ISNUMBER(H552),ROUND(D552*H552,2),NA())</x:f>
        <x:v>8223.88</x:v>
      </x:c>
      <x:c r="J552" s="2" t="str">
        <x:v>Regelbestand laut Verkäufer</x:v>
      </x:c>
      <x:c r="K552" s="2" t="str">
        <x:v>Export KREDIT-ERF-20260930, Einzelbelege nicht im Datenraum</x:v>
      </x:c>
    </x:row>
    <x:row r="553" ht="22" customHeight="1">
      <x:c r="A553" s="2" t="str">
        <x:v>APB-0548</x:v>
      </x:c>
      <x:c r="B553" s="2" t="str">
        <x:v>Bestandskunde 0548</x:v>
      </x:c>
      <x:c r="C553" s="2" t="str">
        <x:v>Nur Verkäuferexport</x:v>
      </x:c>
      <x:c r="D553" s="9" t="n">
        <x:v>9076</x:v>
      </x:c>
      <x:c r="E553" s="9" t="n">
        <x:v>52</x:v>
      </x:c>
      <x:c r="F553" s="9" t="n">
        <x:v>0</x:v>
      </x:c>
      <x:c r="G553" s="11" t="n">
        <x:f>SUM(D553:F553)</x:f>
        <x:v>9128</x:v>
      </x:c>
      <x:c r="H553" s="10" t="n">
        <x:v>0.92</x:v>
      </x:c>
      <x:c r="I553" s="11" t="n">
        <x:f>IF(ISNUMBER(H553),ROUND(D553*H553,2),NA())</x:f>
        <x:v>8349.92</x:v>
      </x:c>
      <x:c r="J553" s="2" t="str">
        <x:v>Regelbestand laut Verkäufer</x:v>
      </x:c>
      <x:c r="K553" s="2" t="str">
        <x:v>Export KREDIT-ERF-20260930, Einzelbelege nicht im Datenraum</x:v>
      </x:c>
    </x:row>
    <x:row r="554" ht="22" customHeight="1">
      <x:c r="A554" s="2" t="str">
        <x:v>APB-0549</x:v>
      </x:c>
      <x:c r="B554" s="2" t="str">
        <x:v>Bestandskunde 0549</x:v>
      </x:c>
      <x:c r="C554" s="2" t="str">
        <x:v>Nur Verkäuferexport</x:v>
      </x:c>
      <x:c r="D554" s="9" t="n">
        <x:v>9213</x:v>
      </x:c>
      <x:c r="E554" s="9" t="n">
        <x:v>0</x:v>
      </x:c>
      <x:c r="F554" s="9" t="n">
        <x:v>0</x:v>
      </x:c>
      <x:c r="G554" s="11" t="n">
        <x:f>SUM(D554:F554)</x:f>
        <x:v>9213</x:v>
      </x:c>
      <x:c r="H554" s="10" t="n">
        <x:v>0.92</x:v>
      </x:c>
      <x:c r="I554" s="11" t="n">
        <x:f>IF(ISNUMBER(H554),ROUND(D554*H554,2),NA())</x:f>
        <x:v>8475.96</x:v>
      </x:c>
      <x:c r="J554" s="2" t="str">
        <x:v>Regelbestand laut Verkäufer</x:v>
      </x:c>
      <x:c r="K554" s="2" t="str">
        <x:v>Export KREDIT-ERF-20260930, Einzelbelege nicht im Datenraum</x:v>
      </x:c>
    </x:row>
    <x:row r="555" ht="22" customHeight="1">
      <x:c r="A555" s="2" t="str">
        <x:v>APB-0550</x:v>
      </x:c>
      <x:c r="B555" s="2" t="str">
        <x:v>Bestandskunde 0550</x:v>
      </x:c>
      <x:c r="C555" s="2" t="str">
        <x:v>Nur Verkäuferexport</x:v>
      </x:c>
      <x:c r="D555" s="9" t="n">
        <x:v>9350</x:v>
      </x:c>
      <x:c r="E555" s="9" t="n">
        <x:v>6.5</x:v>
      </x:c>
      <x:c r="F555" s="9" t="n">
        <x:v>0</x:v>
      </x:c>
      <x:c r="G555" s="11" t="n">
        <x:f>SUM(D555:F555)</x:f>
        <x:v>9356.5</x:v>
      </x:c>
      <x:c r="H555" s="10" t="n">
        <x:v>0.92</x:v>
      </x:c>
      <x:c r="I555" s="11" t="n">
        <x:f>IF(ISNUMBER(H555),ROUND(D555*H555,2),NA())</x:f>
        <x:v>8602</x:v>
      </x:c>
      <x:c r="J555" s="2" t="str">
        <x:v>Regelbestand laut Verkäufer</x:v>
      </x:c>
      <x:c r="K555" s="2" t="str">
        <x:v>Export KREDIT-ERF-20260930, Einzelbelege nicht im Datenraum</x:v>
      </x:c>
    </x:row>
    <x:row r="556" ht="22" customHeight="1">
      <x:c r="A556" s="2" t="str">
        <x:v>APB-0551</x:v>
      </x:c>
      <x:c r="B556" s="2" t="str">
        <x:v>Bestandskunde 0551</x:v>
      </x:c>
      <x:c r="C556" s="2" t="str">
        <x:v>Nur Verkäuferexport</x:v>
      </x:c>
      <x:c r="D556" s="9" t="n">
        <x:v>9487</x:v>
      </x:c>
      <x:c r="E556" s="9" t="n">
        <x:v>13</x:v>
      </x:c>
      <x:c r="F556" s="9" t="n">
        <x:v>15</x:v>
      </x:c>
      <x:c r="G556" s="11" t="n">
        <x:f>SUM(D556:F556)</x:f>
        <x:v>9515</x:v>
      </x:c>
      <x:c r="H556" s="10" t="n">
        <x:v>0.92</x:v>
      </x:c>
      <x:c r="I556" s="11" t="n">
        <x:f>IF(ISNUMBER(H556),ROUND(D556*H556,2),NA())</x:f>
        <x:v>8728.04</x:v>
      </x:c>
      <x:c r="J556" s="2" t="str">
        <x:v>Zahlungslücke im Export</x:v>
      </x:c>
      <x:c r="K556" s="2" t="str">
        <x:v>Export KREDIT-ERF-20260930, Einzelbelege nicht im Datenraum</x:v>
      </x:c>
    </x:row>
    <x:row r="557" ht="22" customHeight="1">
      <x:c r="A557" s="2" t="str">
        <x:v>APB-0552</x:v>
      </x:c>
      <x:c r="B557" s="2" t="str">
        <x:v>Bestandskunde 0552</x:v>
      </x:c>
      <x:c r="C557" s="2" t="str">
        <x:v>Nur Verkäuferexport</x:v>
      </x:c>
      <x:c r="D557" s="9" t="n">
        <x:v>9624</x:v>
      </x:c>
      <x:c r="E557" s="9" t="n">
        <x:v>19.5</x:v>
      </x:c>
      <x:c r="F557" s="9" t="n">
        <x:v>0</x:v>
      </x:c>
      <x:c r="G557" s="11" t="n">
        <x:f>SUM(D557:F557)</x:f>
        <x:v>9643.5</x:v>
      </x:c>
      <x:c r="H557" s="10" t="n">
        <x:v>0.92</x:v>
      </x:c>
      <x:c r="I557" s="11" t="n">
        <x:f>IF(ISNUMBER(H557),ROUND(D557*H557,2),NA())</x:f>
        <x:v>8854.08</x:v>
      </x:c>
      <x:c r="J557" s="2" t="str">
        <x:v>Regelbestand laut Verkäufer</x:v>
      </x:c>
      <x:c r="K557" s="2" t="str">
        <x:v>Export KREDIT-ERF-20260930, Einzelbelege nicht im Datenraum</x:v>
      </x:c>
    </x:row>
    <x:row r="558" ht="22" customHeight="1">
      <x:c r="A558" s="2" t="str">
        <x:v>APB-0553</x:v>
      </x:c>
      <x:c r="B558" s="2" t="str">
        <x:v>Bestandskunde 0553</x:v>
      </x:c>
      <x:c r="C558" s="2" t="str">
        <x:v>Nur Verkäuferexport</x:v>
      </x:c>
      <x:c r="D558" s="9" t="n">
        <x:v>9761</x:v>
      </x:c>
      <x:c r="E558" s="9" t="n">
        <x:v>26</x:v>
      </x:c>
      <x:c r="F558" s="9" t="n">
        <x:v>0</x:v>
      </x:c>
      <x:c r="G558" s="11" t="n">
        <x:f>SUM(D558:F558)</x:f>
        <x:v>9787</x:v>
      </x:c>
      <x:c r="H558" s="10" t="n">
        <x:v>0.92</x:v>
      </x:c>
      <x:c r="I558" s="11" t="n">
        <x:f>IF(ISNUMBER(H558),ROUND(D558*H558,2),NA())</x:f>
        <x:v>8980.12</x:v>
      </x:c>
      <x:c r="J558" s="2" t="str">
        <x:v>Regelbestand laut Verkäufer</x:v>
      </x:c>
      <x:c r="K558" s="2" t="str">
        <x:v>Export KREDIT-ERF-20260930, Einzelbelege nicht im Datenraum</x:v>
      </x:c>
    </x:row>
    <x:row r="559" ht="22" customHeight="1">
      <x:c r="A559" s="2" t="str">
        <x:v>APB-0554</x:v>
      </x:c>
      <x:c r="B559" s="2" t="str">
        <x:v>Bestandskunde 0554</x:v>
      </x:c>
      <x:c r="C559" s="2" t="str">
        <x:v>Nur Verkäuferexport</x:v>
      </x:c>
      <x:c r="D559" s="9" t="n">
        <x:v>9898</x:v>
      </x:c>
      <x:c r="E559" s="9" t="n">
        <x:v>32.5</x:v>
      </x:c>
      <x:c r="F559" s="9" t="n">
        <x:v>0</x:v>
      </x:c>
      <x:c r="G559" s="11" t="n">
        <x:f>SUM(D559:F559)</x:f>
        <x:v>9930.5</x:v>
      </x:c>
      <x:c r="H559" s="10" t="n">
        <x:v>0.92</x:v>
      </x:c>
      <x:c r="I559" s="11" t="n">
        <x:f>IF(ISNUMBER(H559),ROUND(D559*H559,2),NA())</x:f>
        <x:v>9106.16</x:v>
      </x:c>
      <x:c r="J559" s="2" t="str">
        <x:v>Regelbestand laut Verkäufer</x:v>
      </x:c>
      <x:c r="K559" s="2" t="str">
        <x:v>Export KREDIT-ERF-20260930, Einzelbelege nicht im Datenraum</x:v>
      </x:c>
    </x:row>
    <x:row r="560" ht="22" customHeight="1">
      <x:c r="A560" s="2" t="str">
        <x:v>APB-0555</x:v>
      </x:c>
      <x:c r="B560" s="2" t="str">
        <x:v>Bestandskunde 0555</x:v>
      </x:c>
      <x:c r="C560" s="2" t="str">
        <x:v>Nur Verkäuferexport</x:v>
      </x:c>
      <x:c r="D560" s="9" t="n">
        <x:v>10035</x:v>
      </x:c>
      <x:c r="E560" s="9" t="n">
        <x:v>39</x:v>
      </x:c>
      <x:c r="F560" s="9" t="n">
        <x:v>0</x:v>
      </x:c>
      <x:c r="G560" s="11" t="n">
        <x:f>SUM(D560:F560)</x:f>
        <x:v>10074</x:v>
      </x:c>
      <x:c r="H560" s="10" t="n">
        <x:v>0.92</x:v>
      </x:c>
      <x:c r="I560" s="11" t="n">
        <x:f>IF(ISNUMBER(H560),ROUND(D560*H560,2),NA())</x:f>
        <x:v>9232.2</x:v>
      </x:c>
      <x:c r="J560" s="2" t="str">
        <x:v>Regelbestand laut Verkäufer</x:v>
      </x:c>
      <x:c r="K560" s="2" t="str">
        <x:v>Export KREDIT-ERF-20260930, Einzelbelege nicht im Datenraum</x:v>
      </x:c>
    </x:row>
    <x:row r="561" ht="22" customHeight="1">
      <x:c r="A561" s="2" t="str">
        <x:v>APB-0556</x:v>
      </x:c>
      <x:c r="B561" s="2" t="str">
        <x:v>Bestandskunde 0556</x:v>
      </x:c>
      <x:c r="C561" s="2" t="str">
        <x:v>Nur Verkäuferexport</x:v>
      </x:c>
      <x:c r="D561" s="9" t="n">
        <x:v>10172</x:v>
      </x:c>
      <x:c r="E561" s="9" t="n">
        <x:v>45.5</x:v>
      </x:c>
      <x:c r="F561" s="9" t="n">
        <x:v>0</x:v>
      </x:c>
      <x:c r="G561" s="11" t="n">
        <x:f>SUM(D561:F561)</x:f>
        <x:v>10217.5</x:v>
      </x:c>
      <x:c r="H561" s="10" t="n">
        <x:v>0.92</x:v>
      </x:c>
      <x:c r="I561" s="11" t="n">
        <x:f>IF(ISNUMBER(H561),ROUND(D561*H561,2),NA())</x:f>
        <x:v>9358.24</x:v>
      </x:c>
      <x:c r="J561" s="2" t="str">
        <x:v>Regelbestand laut Verkäufer</x:v>
      </x:c>
      <x:c r="K561" s="2" t="str">
        <x:v>Export KREDIT-ERF-20260930, Einzelbelege nicht im Datenraum</x:v>
      </x:c>
    </x:row>
    <x:row r="562" ht="22" customHeight="1">
      <x:c r="A562" s="2" t="str">
        <x:v>APB-0557</x:v>
      </x:c>
      <x:c r="B562" s="2" t="str">
        <x:v>Bestandskunde 0557</x:v>
      </x:c>
      <x:c r="C562" s="2" t="str">
        <x:v>Nur Verkäuferexport</x:v>
      </x:c>
      <x:c r="D562" s="9" t="n">
        <x:v>10309</x:v>
      </x:c>
      <x:c r="E562" s="9" t="n">
        <x:v>52</x:v>
      </x:c>
      <x:c r="F562" s="9" t="n">
        <x:v>0</x:v>
      </x:c>
      <x:c r="G562" s="11" t="n">
        <x:f>SUM(D562:F562)</x:f>
        <x:v>10361</x:v>
      </x:c>
      <x:c r="H562" s="10" t="n">
        <x:v>0.92</x:v>
      </x:c>
      <x:c r="I562" s="11" t="n">
        <x:f>IF(ISNUMBER(H562),ROUND(D562*H562,2),NA())</x:f>
        <x:v>9484.28</x:v>
      </x:c>
      <x:c r="J562" s="2" t="str">
        <x:v>Regelbestand laut Verkäufer</x:v>
      </x:c>
      <x:c r="K562" s="2" t="str">
        <x:v>Export KREDIT-ERF-20260930, Einzelbelege nicht im Datenraum</x:v>
      </x:c>
    </x:row>
    <x:row r="563" ht="22" customHeight="1">
      <x:c r="A563" s="2" t="str">
        <x:v>APB-0558</x:v>
      </x:c>
      <x:c r="B563" s="2" t="str">
        <x:v>Bestandskunde 0558</x:v>
      </x:c>
      <x:c r="C563" s="2" t="str">
        <x:v>Nur Verkäuferexport</x:v>
      </x:c>
      <x:c r="D563" s="9" t="n">
        <x:v>10446</x:v>
      </x:c>
      <x:c r="E563" s="9" t="n">
        <x:v>0</x:v>
      </x:c>
      <x:c r="F563" s="9" t="n">
        <x:v>0</x:v>
      </x:c>
      <x:c r="G563" s="11" t="n">
        <x:f>SUM(D563:F563)</x:f>
        <x:v>10446</x:v>
      </x:c>
      <x:c r="H563" s="10" t="n">
        <x:v>0.92</x:v>
      </x:c>
      <x:c r="I563" s="11" t="n">
        <x:f>IF(ISNUMBER(H563),ROUND(D563*H563,2),NA())</x:f>
        <x:v>9610.32</x:v>
      </x:c>
      <x:c r="J563" s="2" t="str">
        <x:v>Regelbestand laut Verkäufer</x:v>
      </x:c>
      <x:c r="K563" s="2" t="str">
        <x:v>Export KREDIT-ERF-20260930, Einzelbelege nicht im Datenraum</x:v>
      </x:c>
    </x:row>
    <x:row r="564" ht="22" customHeight="1">
      <x:c r="A564" s="2" t="str">
        <x:v>APB-0559</x:v>
      </x:c>
      <x:c r="B564" s="2" t="str">
        <x:v>Bestandskunde 0559</x:v>
      </x:c>
      <x:c r="C564" s="2" t="str">
        <x:v>Nur Verkäuferexport</x:v>
      </x:c>
      <x:c r="D564" s="9" t="n">
        <x:v>10583</x:v>
      </x:c>
      <x:c r="E564" s="9" t="n">
        <x:v>6.5</x:v>
      </x:c>
      <x:c r="F564" s="9" t="n">
        <x:v>0</x:v>
      </x:c>
      <x:c r="G564" s="11" t="n">
        <x:f>SUM(D564:F564)</x:f>
        <x:v>10589.5</x:v>
      </x:c>
      <x:c r="H564" s="10" t="n">
        <x:v>0.92</x:v>
      </x:c>
      <x:c r="I564" s="11" t="n">
        <x:f>IF(ISNUMBER(H564),ROUND(D564*H564,2),NA())</x:f>
        <x:v>9736.36</x:v>
      </x:c>
      <x:c r="J564" s="2" t="str">
        <x:v>Regelbestand laut Verkäufer</x:v>
      </x:c>
      <x:c r="K564" s="2" t="str">
        <x:v>Export KREDIT-ERF-20260930, Einzelbelege nicht im Datenraum</x:v>
      </x:c>
    </x:row>
    <x:row r="565" ht="22" customHeight="1">
      <x:c r="A565" s="2" t="str">
        <x:v>APB-0560</x:v>
      </x:c>
      <x:c r="B565" s="2" t="str">
        <x:v>Bestandskunde 0560</x:v>
      </x:c>
      <x:c r="C565" s="2" t="str">
        <x:v>Nur Verkäuferexport</x:v>
      </x:c>
      <x:c r="D565" s="9" t="n">
        <x:v>10720</x:v>
      </x:c>
      <x:c r="E565" s="9" t="n">
        <x:v>13</x:v>
      </x:c>
      <x:c r="F565" s="9" t="n">
        <x:v>0</x:v>
      </x:c>
      <x:c r="G565" s="11" t="n">
        <x:f>SUM(D565:F565)</x:f>
        <x:v>10733</x:v>
      </x:c>
      <x:c r="H565" s="10" t="n">
        <x:v>0.92</x:v>
      </x:c>
      <x:c r="I565" s="11" t="n">
        <x:f>IF(ISNUMBER(H565),ROUND(D565*H565,2),NA())</x:f>
        <x:v>9862.4</x:v>
      </x:c>
      <x:c r="J565" s="2" t="str">
        <x:v>Regelbestand laut Verkäufer</x:v>
      </x:c>
      <x:c r="K565" s="2" t="str">
        <x:v>Export KREDIT-ERF-20260930, Einzelbelege nicht im Datenraum</x:v>
      </x:c>
    </x:row>
    <x:row r="566" ht="22" customHeight="1">
      <x:c r="A566" s="2" t="str">
        <x:v>APB-0561</x:v>
      </x:c>
      <x:c r="B566" s="2" t="str">
        <x:v>Bestandskunde 0561</x:v>
      </x:c>
      <x:c r="C566" s="2" t="str">
        <x:v>Nur Verkäuferexport</x:v>
      </x:c>
      <x:c r="D566" s="9" t="n">
        <x:v>10857</x:v>
      </x:c>
      <x:c r="E566" s="9" t="n">
        <x:v>19.5</x:v>
      </x:c>
      <x:c r="F566" s="9" t="n">
        <x:v>0</x:v>
      </x:c>
      <x:c r="G566" s="11" t="n">
        <x:f>SUM(D566:F566)</x:f>
        <x:v>10876.5</x:v>
      </x:c>
      <x:c r="H566" s="10" t="n">
        <x:v>0.92</x:v>
      </x:c>
      <x:c r="I566" s="11" t="n">
        <x:f>IF(ISNUMBER(H566),ROUND(D566*H566,2),NA())</x:f>
        <x:v>9988.44</x:v>
      </x:c>
      <x:c r="J566" s="2" t="str">
        <x:v>Regelbestand laut Verkäufer</x:v>
      </x:c>
      <x:c r="K566" s="2" t="str">
        <x:v>Export KREDIT-ERF-20260930, Einzelbelege nicht im Datenraum</x:v>
      </x:c>
    </x:row>
    <x:row r="567" ht="22" customHeight="1">
      <x:c r="A567" s="2" t="str">
        <x:v>APB-0562</x:v>
      </x:c>
      <x:c r="B567" s="2" t="str">
        <x:v>Bestandskunde 0562</x:v>
      </x:c>
      <x:c r="C567" s="2" t="str">
        <x:v>Nur Verkäuferexport</x:v>
      </x:c>
      <x:c r="D567" s="9" t="n">
        <x:v>10994</x:v>
      </x:c>
      <x:c r="E567" s="9" t="n">
        <x:v>26</x:v>
      </x:c>
      <x:c r="F567" s="9" t="n">
        <x:v>0</x:v>
      </x:c>
      <x:c r="G567" s="11" t="n">
        <x:f>SUM(D567:F567)</x:f>
        <x:v>11020</x:v>
      </x:c>
      <x:c r="H567" s="10" t="n">
        <x:v>0.92</x:v>
      </x:c>
      <x:c r="I567" s="11" t="n">
        <x:f>IF(ISNUMBER(H567),ROUND(D567*H567,2),NA())</x:f>
        <x:v>10114.48</x:v>
      </x:c>
      <x:c r="J567" s="2" t="str">
        <x:v>Regelbestand laut Verkäufer</x:v>
      </x:c>
      <x:c r="K567" s="2" t="str">
        <x:v>Export KREDIT-ERF-20260930, Einzelbelege nicht im Datenraum</x:v>
      </x:c>
    </x:row>
    <x:row r="568" ht="22" customHeight="1">
      <x:c r="A568" s="2" t="str">
        <x:v>APB-0563</x:v>
      </x:c>
      <x:c r="B568" s="2" t="str">
        <x:v>Bestandskunde 0563</x:v>
      </x:c>
      <x:c r="C568" s="2" t="str">
        <x:v>Nur Verkäuferexport</x:v>
      </x:c>
      <x:c r="D568" s="9" t="n">
        <x:v>11131</x:v>
      </x:c>
      <x:c r="E568" s="9" t="n">
        <x:v>32.5</x:v>
      </x:c>
      <x:c r="F568" s="9" t="n">
        <x:v>0</x:v>
      </x:c>
      <x:c r="G568" s="11" t="n">
        <x:f>SUM(D568:F568)</x:f>
        <x:v>11163.5</x:v>
      </x:c>
      <x:c r="H568" s="10" t="n">
        <x:v>0.92</x:v>
      </x:c>
      <x:c r="I568" s="11" t="n">
        <x:f>IF(ISNUMBER(H568),ROUND(D568*H568,2),NA())</x:f>
        <x:v>10240.52</x:v>
      </x:c>
      <x:c r="J568" s="2" t="str">
        <x:v>Regelbestand laut Verkäufer</x:v>
      </x:c>
      <x:c r="K568" s="2" t="str">
        <x:v>Export KREDIT-ERF-20260930, Einzelbelege nicht im Datenraum</x:v>
      </x:c>
    </x:row>
    <x:row r="569" ht="22" customHeight="1">
      <x:c r="A569" s="2" t="str">
        <x:v>APB-0564</x:v>
      </x:c>
      <x:c r="B569" s="2" t="str">
        <x:v>Bestandskunde 0564</x:v>
      </x:c>
      <x:c r="C569" s="2" t="str">
        <x:v>Nur Verkäuferexport</x:v>
      </x:c>
      <x:c r="D569" s="9" t="n">
        <x:v>11268</x:v>
      </x:c>
      <x:c r="E569" s="9" t="n">
        <x:v>39</x:v>
      </x:c>
      <x:c r="F569" s="9" t="n">
        <x:v>0</x:v>
      </x:c>
      <x:c r="G569" s="11" t="n">
        <x:f>SUM(D569:F569)</x:f>
        <x:v>11307</x:v>
      </x:c>
      <x:c r="H569" s="10" t="n">
        <x:v>0.92</x:v>
      </x:c>
      <x:c r="I569" s="11" t="n">
        <x:f>IF(ISNUMBER(H569),ROUND(D569*H569,2),NA())</x:f>
        <x:v>10366.56</x:v>
      </x:c>
      <x:c r="J569" s="2" t="str">
        <x:v>Regelbestand laut Verkäufer</x:v>
      </x:c>
      <x:c r="K569" s="2" t="str">
        <x:v>Export KREDIT-ERF-20260930, Einzelbelege nicht im Datenraum</x:v>
      </x:c>
    </x:row>
    <x:row r="570" ht="22" customHeight="1">
      <x:c r="A570" s="2" t="str">
        <x:v>APB-0565</x:v>
      </x:c>
      <x:c r="B570" s="2" t="str">
        <x:v>Bestandskunde 0565</x:v>
      </x:c>
      <x:c r="C570" s="2" t="str">
        <x:v>Nur Verkäuferexport</x:v>
      </x:c>
      <x:c r="D570" s="9" t="n">
        <x:v>11405</x:v>
      </x:c>
      <x:c r="E570" s="9" t="n">
        <x:v>45.5</x:v>
      </x:c>
      <x:c r="F570" s="9" t="n">
        <x:v>0</x:v>
      </x:c>
      <x:c r="G570" s="11" t="n">
        <x:f>SUM(D570:F570)</x:f>
        <x:v>11450.5</x:v>
      </x:c>
      <x:c r="H570" s="10" t="n">
        <x:v>0.92</x:v>
      </x:c>
      <x:c r="I570" s="11" t="n">
        <x:f>IF(ISNUMBER(H570),ROUND(D570*H570,2),NA())</x:f>
        <x:v>10492.6</x:v>
      </x:c>
      <x:c r="J570" s="2" t="str">
        <x:v>Regelbestand laut Verkäufer</x:v>
      </x:c>
      <x:c r="K570" s="2" t="str">
        <x:v>Export KREDIT-ERF-20260930, Einzelbelege nicht im Datenraum</x:v>
      </x:c>
    </x:row>
    <x:row r="571" ht="22" customHeight="1">
      <x:c r="A571" s="2" t="str">
        <x:v>APB-0566</x:v>
      </x:c>
      <x:c r="B571" s="2" t="str">
        <x:v>Bestandskunde 0566</x:v>
      </x:c>
      <x:c r="C571" s="2" t="str">
        <x:v>Nur Verkäuferexport</x:v>
      </x:c>
      <x:c r="D571" s="9" t="n">
        <x:v>11542</x:v>
      </x:c>
      <x:c r="E571" s="9" t="n">
        <x:v>52</x:v>
      </x:c>
      <x:c r="F571" s="9" t="n">
        <x:v>0</x:v>
      </x:c>
      <x:c r="G571" s="11" t="n">
        <x:f>SUM(D571:F571)</x:f>
        <x:v>11594</x:v>
      </x:c>
      <x:c r="H571" s="10" t="n">
        <x:v>0.92</x:v>
      </x:c>
      <x:c r="I571" s="11" t="n">
        <x:f>IF(ISNUMBER(H571),ROUND(D571*H571,2),NA())</x:f>
        <x:v>10618.64</x:v>
      </x:c>
      <x:c r="J571" s="2" t="str">
        <x:v>Regelbestand laut Verkäufer</x:v>
      </x:c>
      <x:c r="K571" s="2" t="str">
        <x:v>Export KREDIT-ERF-20260930, Einzelbelege nicht im Datenraum</x:v>
      </x:c>
    </x:row>
    <x:row r="572" ht="22" customHeight="1">
      <x:c r="A572" s="2" t="str">
        <x:v>APB-0567</x:v>
      </x:c>
      <x:c r="B572" s="2" t="str">
        <x:v>Bestandskunde 0567</x:v>
      </x:c>
      <x:c r="C572" s="2" t="str">
        <x:v>Nur Verkäuferexport</x:v>
      </x:c>
      <x:c r="D572" s="9" t="n">
        <x:v>11679</x:v>
      </x:c>
      <x:c r="E572" s="9" t="n">
        <x:v>0</x:v>
      </x:c>
      <x:c r="F572" s="9" t="n">
        <x:v>0</x:v>
      </x:c>
      <x:c r="G572" s="11" t="n">
        <x:f>SUM(D572:F572)</x:f>
        <x:v>11679</x:v>
      </x:c>
      <x:c r="H572" s="10" t="n">
        <x:v>0.92</x:v>
      </x:c>
      <x:c r="I572" s="11" t="n">
        <x:f>IF(ISNUMBER(H572),ROUND(D572*H572,2),NA())</x:f>
        <x:v>10744.68</x:v>
      </x:c>
      <x:c r="J572" s="2" t="str">
        <x:v>Regelbestand laut Verkäufer</x:v>
      </x:c>
      <x:c r="K572" s="2" t="str">
        <x:v>Export KREDIT-ERF-20260930, Einzelbelege nicht im Datenraum</x:v>
      </x:c>
    </x:row>
    <x:row r="573" ht="22" customHeight="1">
      <x:c r="A573" s="2" t="str">
        <x:v>APB-0568</x:v>
      </x:c>
      <x:c r="B573" s="2" t="str">
        <x:v>Bestandskunde 0568</x:v>
      </x:c>
      <x:c r="C573" s="2" t="str">
        <x:v>Nur Verkäuferexport</x:v>
      </x:c>
      <x:c r="D573" s="9" t="n">
        <x:v>11816</x:v>
      </x:c>
      <x:c r="E573" s="9" t="n">
        <x:v>6.5</x:v>
      </x:c>
      <x:c r="F573" s="9" t="n">
        <x:v>0</x:v>
      </x:c>
      <x:c r="G573" s="11" t="n">
        <x:f>SUM(D573:F573)</x:f>
        <x:v>11822.5</x:v>
      </x:c>
      <x:c r="H573" s="10" t="n">
        <x:v>0.92</x:v>
      </x:c>
      <x:c r="I573" s="11" t="n">
        <x:f>IF(ISNUMBER(H573),ROUND(D573*H573,2),NA())</x:f>
        <x:v>10870.72</x:v>
      </x:c>
      <x:c r="J573" s="2" t="str">
        <x:v>Regelbestand laut Verkäufer</x:v>
      </x:c>
      <x:c r="K573" s="2" t="str">
        <x:v>Export KREDIT-ERF-20260930, Einzelbelege nicht im Datenraum</x:v>
      </x:c>
    </x:row>
    <x:row r="574" ht="22" customHeight="1">
      <x:c r="A574" s="2" t="str">
        <x:v>APB-0569</x:v>
      </x:c>
      <x:c r="B574" s="2" t="str">
        <x:v>Bestandskunde 0569</x:v>
      </x:c>
      <x:c r="C574" s="2" t="str">
        <x:v>Nur Verkäuferexport</x:v>
      </x:c>
      <x:c r="D574" s="9" t="n">
        <x:v>11953</x:v>
      </x:c>
      <x:c r="E574" s="9" t="n">
        <x:v>13</x:v>
      </x:c>
      <x:c r="F574" s="9" t="n">
        <x:v>0</x:v>
      </x:c>
      <x:c r="G574" s="11" t="n">
        <x:f>SUM(D574:F574)</x:f>
        <x:v>11966</x:v>
      </x:c>
      <x:c r="H574" s="10" t="n">
        <x:v>0.92</x:v>
      </x:c>
      <x:c r="I574" s="11" t="n">
        <x:f>IF(ISNUMBER(H574),ROUND(D574*H574,2),NA())</x:f>
        <x:v>10996.76</x:v>
      </x:c>
      <x:c r="J574" s="2" t="str">
        <x:v>Regelbestand laut Verkäufer</x:v>
      </x:c>
      <x:c r="K574" s="2" t="str">
        <x:v>Export KREDIT-ERF-20260930, Einzelbelege nicht im Datenraum</x:v>
      </x:c>
    </x:row>
    <x:row r="575" ht="22" customHeight="1">
      <x:c r="A575" s="2" t="str">
        <x:v>APB-0570</x:v>
      </x:c>
      <x:c r="B575" s="2" t="str">
        <x:v>Bestandskunde 0570</x:v>
      </x:c>
      <x:c r="C575" s="2" t="str">
        <x:v>Nur Verkäuferexport</x:v>
      </x:c>
      <x:c r="D575" s="9" t="n">
        <x:v>12090</x:v>
      </x:c>
      <x:c r="E575" s="9" t="n">
        <x:v>19.5</x:v>
      </x:c>
      <x:c r="F575" s="9" t="n">
        <x:v>0</x:v>
      </x:c>
      <x:c r="G575" s="11" t="n">
        <x:f>SUM(D575:F575)</x:f>
        <x:v>12109.5</x:v>
      </x:c>
      <x:c r="H575" s="10" t="n">
        <x:v>0.92</x:v>
      </x:c>
      <x:c r="I575" s="11" t="n">
        <x:f>IF(ISNUMBER(H575),ROUND(D575*H575,2),NA())</x:f>
        <x:v>11122.8</x:v>
      </x:c>
      <x:c r="J575" s="2" t="str">
        <x:v>Regelbestand laut Verkäufer</x:v>
      </x:c>
      <x:c r="K575" s="2" t="str">
        <x:v>Export KREDIT-ERF-20260930, Einzelbelege nicht im Datenraum</x:v>
      </x:c>
    </x:row>
    <x:row r="576" ht="22" customHeight="1">
      <x:c r="A576" s="2" t="str">
        <x:v>APB-0571</x:v>
      </x:c>
      <x:c r="B576" s="2" t="str">
        <x:v>Bestandskunde 0571</x:v>
      </x:c>
      <x:c r="C576" s="2" t="str">
        <x:v>Nur Verkäuferexport</x:v>
      </x:c>
      <x:c r="D576" s="9" t="n">
        <x:v>12227</x:v>
      </x:c>
      <x:c r="E576" s="9" t="n">
        <x:v>26</x:v>
      </x:c>
      <x:c r="F576" s="9" t="n">
        <x:v>0</x:v>
      </x:c>
      <x:c r="G576" s="11" t="n">
        <x:f>SUM(D576:F576)</x:f>
        <x:v>12253</x:v>
      </x:c>
      <x:c r="H576" s="10" t="n">
        <x:v>0.92</x:v>
      </x:c>
      <x:c r="I576" s="11" t="n">
        <x:f>IF(ISNUMBER(H576),ROUND(D576*H576,2),NA())</x:f>
        <x:v>11248.84</x:v>
      </x:c>
      <x:c r="J576" s="2" t="str">
        <x:v>Regelbestand laut Verkäufer</x:v>
      </x:c>
      <x:c r="K576" s="2" t="str">
        <x:v>Export KREDIT-ERF-20260930, Einzelbelege nicht im Datenraum</x:v>
      </x:c>
    </x:row>
    <x:row r="577" ht="22" customHeight="1">
      <x:c r="A577" s="2" t="str">
        <x:v>APB-0572</x:v>
      </x:c>
      <x:c r="B577" s="2" t="str">
        <x:v>Bestandskunde 0572</x:v>
      </x:c>
      <x:c r="C577" s="2" t="str">
        <x:v>Nur Verkäuferexport</x:v>
      </x:c>
      <x:c r="D577" s="9" t="n">
        <x:v>12364</x:v>
      </x:c>
      <x:c r="E577" s="9" t="n">
        <x:v>32.5</x:v>
      </x:c>
      <x:c r="F577" s="9" t="n">
        <x:v>0</x:v>
      </x:c>
      <x:c r="G577" s="11" t="n">
        <x:f>SUM(D577:F577)</x:f>
        <x:v>12396.5</x:v>
      </x:c>
      <x:c r="H577" s="10" t="n">
        <x:v>0.92</x:v>
      </x:c>
      <x:c r="I577" s="11" t="n">
        <x:f>IF(ISNUMBER(H577),ROUND(D577*H577,2),NA())</x:f>
        <x:v>11374.88</x:v>
      </x:c>
      <x:c r="J577" s="2" t="str">
        <x:v>Regelbestand laut Verkäufer</x:v>
      </x:c>
      <x:c r="K577" s="2" t="str">
        <x:v>Export KREDIT-ERF-20260930, Einzelbelege nicht im Datenraum</x:v>
      </x:c>
    </x:row>
    <x:row r="578" ht="22" customHeight="1">
      <x:c r="A578" s="2" t="str">
        <x:v>APB-0573</x:v>
      </x:c>
      <x:c r="B578" s="2" t="str">
        <x:v>Bestandskunde 0573</x:v>
      </x:c>
      <x:c r="C578" s="2" t="str">
        <x:v>Nur Verkäuferexport</x:v>
      </x:c>
      <x:c r="D578" s="9" t="n">
        <x:v>12501</x:v>
      </x:c>
      <x:c r="E578" s="9" t="n">
        <x:v>39</x:v>
      </x:c>
      <x:c r="F578" s="9" t="n">
        <x:v>0</x:v>
      </x:c>
      <x:c r="G578" s="11" t="n">
        <x:f>SUM(D578:F578)</x:f>
        <x:v>12540</x:v>
      </x:c>
      <x:c r="H578" s="10" t="n">
        <x:v>0.92</x:v>
      </x:c>
      <x:c r="I578" s="11" t="n">
        <x:f>IF(ISNUMBER(H578),ROUND(D578*H578,2),NA())</x:f>
        <x:v>11500.92</x:v>
      </x:c>
      <x:c r="J578" s="2" t="str">
        <x:v>Regelbestand laut Verkäufer</x:v>
      </x:c>
      <x:c r="K578" s="2" t="str">
        <x:v>Export KREDIT-ERF-20260930, Einzelbelege nicht im Datenraum</x:v>
      </x:c>
    </x:row>
    <x:row r="579" ht="22" customHeight="1">
      <x:c r="A579" s="2" t="str">
        <x:v>APB-0574</x:v>
      </x:c>
      <x:c r="B579" s="2" t="str">
        <x:v>Bestandskunde 0574</x:v>
      </x:c>
      <x:c r="C579" s="2" t="str">
        <x:v>Nur Verkäuferexport</x:v>
      </x:c>
      <x:c r="D579" s="9" t="n">
        <x:v>12638</x:v>
      </x:c>
      <x:c r="E579" s="9" t="n">
        <x:v>45.5</x:v>
      </x:c>
      <x:c r="F579" s="9" t="n">
        <x:v>0</x:v>
      </x:c>
      <x:c r="G579" s="11" t="n">
        <x:f>SUM(D579:F579)</x:f>
        <x:v>12683.5</x:v>
      </x:c>
      <x:c r="H579" s="10" t="n">
        <x:v>0.92</x:v>
      </x:c>
      <x:c r="I579" s="11" t="n">
        <x:f>IF(ISNUMBER(H579),ROUND(D579*H579,2),NA())</x:f>
        <x:v>11626.96</x:v>
      </x:c>
      <x:c r="J579" s="2" t="str">
        <x:v>Regelbestand laut Verkäufer</x:v>
      </x:c>
      <x:c r="K579" s="2" t="str">
        <x:v>Export KREDIT-ERF-20260930, Einzelbelege nicht im Datenraum</x:v>
      </x:c>
    </x:row>
    <x:row r="580" ht="22" customHeight="1">
      <x:c r="A580" s="2" t="str">
        <x:v>APB-0575</x:v>
      </x:c>
      <x:c r="B580" s="2" t="str">
        <x:v>Bestandskunde 0575</x:v>
      </x:c>
      <x:c r="C580" s="2" t="str">
        <x:v>Nur Verkäuferexport</x:v>
      </x:c>
      <x:c r="D580" s="9" t="n">
        <x:v>12775</x:v>
      </x:c>
      <x:c r="E580" s="9" t="n">
        <x:v>52</x:v>
      </x:c>
      <x:c r="F580" s="9" t="n">
        <x:v>0</x:v>
      </x:c>
      <x:c r="G580" s="11" t="n">
        <x:f>SUM(D580:F580)</x:f>
        <x:v>12827</x:v>
      </x:c>
      <x:c r="H580" s="10" t="n">
        <x:v>0.92</x:v>
      </x:c>
      <x:c r="I580" s="11" t="n">
        <x:f>IF(ISNUMBER(H580),ROUND(D580*H580,2),NA())</x:f>
        <x:v>11753</x:v>
      </x:c>
      <x:c r="J580" s="2" t="str">
        <x:v>Regelbestand laut Verkäufer</x:v>
      </x:c>
      <x:c r="K580" s="2" t="str">
        <x:v>Export KREDIT-ERF-20260930, Einzelbelege nicht im Datenraum</x:v>
      </x:c>
    </x:row>
    <x:row r="581" ht="22" customHeight="1">
      <x:c r="A581" s="2" t="str">
        <x:v>APB-0576</x:v>
      </x:c>
      <x:c r="B581" s="2" t="str">
        <x:v>Bestandskunde 0576</x:v>
      </x:c>
      <x:c r="C581" s="2" t="str">
        <x:v>Nur Verkäuferexport</x:v>
      </x:c>
      <x:c r="D581" s="9" t="n">
        <x:v>12912</x:v>
      </x:c>
      <x:c r="E581" s="9" t="n">
        <x:v>0</x:v>
      </x:c>
      <x:c r="F581" s="9" t="n">
        <x:v>0</x:v>
      </x:c>
      <x:c r="G581" s="11" t="n">
        <x:f>SUM(D581:F581)</x:f>
        <x:v>12912</x:v>
      </x:c>
      <x:c r="H581" s="10" t="n">
        <x:v>0.92</x:v>
      </x:c>
      <x:c r="I581" s="11" t="n">
        <x:f>IF(ISNUMBER(H581),ROUND(D581*H581,2),NA())</x:f>
        <x:v>11879.04</x:v>
      </x:c>
      <x:c r="J581" s="2" t="str">
        <x:v>Regelbestand laut Verkäufer</x:v>
      </x:c>
      <x:c r="K581" s="2" t="str">
        <x:v>Export KREDIT-ERF-20260930, Einzelbelege nicht im Datenraum</x:v>
      </x:c>
    </x:row>
    <x:row r="582" ht="22" customHeight="1">
      <x:c r="A582" s="2" t="str">
        <x:v>APB-0577</x:v>
      </x:c>
      <x:c r="B582" s="2" t="str">
        <x:v>Bestandskunde 0577</x:v>
      </x:c>
      <x:c r="C582" s="2" t="str">
        <x:v>Nur Verkäuferexport</x:v>
      </x:c>
      <x:c r="D582" s="9" t="n">
        <x:v>13049</x:v>
      </x:c>
      <x:c r="E582" s="9" t="n">
        <x:v>6.5</x:v>
      </x:c>
      <x:c r="F582" s="9" t="n">
        <x:v>0</x:v>
      </x:c>
      <x:c r="G582" s="11" t="n">
        <x:f>SUM(D582:F582)</x:f>
        <x:v>13055.5</x:v>
      </x:c>
      <x:c r="H582" s="10" t="n">
        <x:v>0.92</x:v>
      </x:c>
      <x:c r="I582" s="11" t="n">
        <x:f>IF(ISNUMBER(H582),ROUND(D582*H582,2),NA())</x:f>
        <x:v>12005.08</x:v>
      </x:c>
      <x:c r="J582" s="2" t="str">
        <x:v>Regelbestand laut Verkäufer</x:v>
      </x:c>
      <x:c r="K582" s="2" t="str">
        <x:v>Export KREDIT-ERF-20260930, Einzelbelege nicht im Datenraum</x:v>
      </x:c>
    </x:row>
    <x:row r="583" ht="22" customHeight="1">
      <x:c r="A583" s="2" t="str">
        <x:v>APB-0578</x:v>
      </x:c>
      <x:c r="B583" s="2" t="str">
        <x:v>Bestandskunde 0578</x:v>
      </x:c>
      <x:c r="C583" s="2" t="str">
        <x:v>Nur Verkäuferexport</x:v>
      </x:c>
      <x:c r="D583" s="9" t="n">
        <x:v>13186</x:v>
      </x:c>
      <x:c r="E583" s="9" t="n">
        <x:v>13</x:v>
      </x:c>
      <x:c r="F583" s="9" t="n">
        <x:v>0</x:v>
      </x:c>
      <x:c r="G583" s="11" t="n">
        <x:f>SUM(D583:F583)</x:f>
        <x:v>13199</x:v>
      </x:c>
      <x:c r="H583" s="10" t="n">
        <x:v>0.92</x:v>
      </x:c>
      <x:c r="I583" s="11" t="n">
        <x:f>IF(ISNUMBER(H583),ROUND(D583*H583,2),NA())</x:f>
        <x:v>12131.12</x:v>
      </x:c>
      <x:c r="J583" s="2" t="str">
        <x:v>Regelbestand laut Verkäufer</x:v>
      </x:c>
      <x:c r="K583" s="2" t="str">
        <x:v>Export KREDIT-ERF-20260930, Einzelbelege nicht im Datenraum</x:v>
      </x:c>
    </x:row>
    <x:row r="584" ht="22" customHeight="1">
      <x:c r="A584" s="2" t="str">
        <x:v>APB-0579</x:v>
      </x:c>
      <x:c r="B584" s="2" t="str">
        <x:v>Bestandskunde 0579</x:v>
      </x:c>
      <x:c r="C584" s="2" t="str">
        <x:v>Nur Verkäuferexport</x:v>
      </x:c>
      <x:c r="D584" s="9" t="n">
        <x:v>13323</x:v>
      </x:c>
      <x:c r="E584" s="9" t="n">
        <x:v>19.5</x:v>
      </x:c>
      <x:c r="F584" s="9" t="n">
        <x:v>0</x:v>
      </x:c>
      <x:c r="G584" s="11" t="n">
        <x:f>SUM(D584:F584)</x:f>
        <x:v>13342.5</x:v>
      </x:c>
      <x:c r="H584" s="10" t="n">
        <x:v>0.92</x:v>
      </x:c>
      <x:c r="I584" s="11" t="n">
        <x:f>IF(ISNUMBER(H584),ROUND(D584*H584,2),NA())</x:f>
        <x:v>12257.16</x:v>
      </x:c>
      <x:c r="J584" s="2" t="str">
        <x:v>Regelbestand laut Verkäufer</x:v>
      </x:c>
      <x:c r="K584" s="2" t="str">
        <x:v>Export KREDIT-ERF-20260930, Einzelbelege nicht im Datenraum</x:v>
      </x:c>
    </x:row>
    <x:row r="585" ht="22" customHeight="1">
      <x:c r="A585" s="2" t="str">
        <x:v>APB-0580</x:v>
      </x:c>
      <x:c r="B585" s="2" t="str">
        <x:v>Bestandskunde 0580</x:v>
      </x:c>
      <x:c r="C585" s="2" t="str">
        <x:v>Nur Verkäuferexport</x:v>
      </x:c>
      <x:c r="D585" s="9" t="n">
        <x:v>13460</x:v>
      </x:c>
      <x:c r="E585" s="9" t="n">
        <x:v>26</x:v>
      </x:c>
      <x:c r="F585" s="9" t="n">
        <x:v>15</x:v>
      </x:c>
      <x:c r="G585" s="11" t="n">
        <x:f>SUM(D585:F585)</x:f>
        <x:v>13501</x:v>
      </x:c>
      <x:c r="H585" s="10" t="n">
        <x:v>0.92</x:v>
      </x:c>
      <x:c r="I585" s="11" t="n">
        <x:f>IF(ISNUMBER(H585),ROUND(D585*H585,2),NA())</x:f>
        <x:v>12383.2</x:v>
      </x:c>
      <x:c r="J585" s="2" t="str">
        <x:v>Zahlungslücke im Export</x:v>
      </x:c>
      <x:c r="K585" s="2" t="str">
        <x:v>Export KREDIT-ERF-20260930, Einzelbelege nicht im Datenraum</x:v>
      </x:c>
    </x:row>
    <x:row r="586" ht="22" customHeight="1">
      <x:c r="A586" s="2" t="str">
        <x:v>APB-0581</x:v>
      </x:c>
      <x:c r="B586" s="2" t="str">
        <x:v>Bestandskunde 0581</x:v>
      </x:c>
      <x:c r="C586" s="2" t="str">
        <x:v>Nur Verkäuferexport</x:v>
      </x:c>
      <x:c r="D586" s="9" t="n">
        <x:v>13597</x:v>
      </x:c>
      <x:c r="E586" s="9" t="n">
        <x:v>32.5</x:v>
      </x:c>
      <x:c r="F586" s="9" t="n">
        <x:v>0</x:v>
      </x:c>
      <x:c r="G586" s="11" t="n">
        <x:f>SUM(D586:F586)</x:f>
        <x:v>13629.5</x:v>
      </x:c>
      <x:c r="H586" s="10" t="n">
        <x:v>0.92</x:v>
      </x:c>
      <x:c r="I586" s="11" t="n">
        <x:f>IF(ISNUMBER(H586),ROUND(D586*H586,2),NA())</x:f>
        <x:v>12509.24</x:v>
      </x:c>
      <x:c r="J586" s="2" t="str">
        <x:v>Regelbestand laut Verkäufer</x:v>
      </x:c>
      <x:c r="K586" s="2" t="str">
        <x:v>Export KREDIT-ERF-20260930, Einzelbelege nicht im Datenraum</x:v>
      </x:c>
    </x:row>
    <x:row r="587" ht="22" customHeight="1">
      <x:c r="A587" s="2" t="str">
        <x:v>APB-0582</x:v>
      </x:c>
      <x:c r="B587" s="2" t="str">
        <x:v>Bestandskunde 0582</x:v>
      </x:c>
      <x:c r="C587" s="2" t="str">
        <x:v>Nur Verkäuferexport</x:v>
      </x:c>
      <x:c r="D587" s="9" t="n">
        <x:v>13734</x:v>
      </x:c>
      <x:c r="E587" s="9" t="n">
        <x:v>39</x:v>
      </x:c>
      <x:c r="F587" s="9" t="n">
        <x:v>0</x:v>
      </x:c>
      <x:c r="G587" s="11" t="n">
        <x:f>SUM(D587:F587)</x:f>
        <x:v>13773</x:v>
      </x:c>
      <x:c r="H587" s="10" t="n">
        <x:v>0.92</x:v>
      </x:c>
      <x:c r="I587" s="11" t="n">
        <x:f>IF(ISNUMBER(H587),ROUND(D587*H587,2),NA())</x:f>
        <x:v>12635.28</x:v>
      </x:c>
      <x:c r="J587" s="2" t="str">
        <x:v>Regelbestand laut Verkäufer</x:v>
      </x:c>
      <x:c r="K587" s="2" t="str">
        <x:v>Export KREDIT-ERF-20260930, Einzelbelege nicht im Datenraum</x:v>
      </x:c>
    </x:row>
    <x:row r="588" ht="22" customHeight="1">
      <x:c r="A588" s="2" t="str">
        <x:v>APB-0583</x:v>
      </x:c>
      <x:c r="B588" s="2" t="str">
        <x:v>Bestandskunde 0583</x:v>
      </x:c>
      <x:c r="C588" s="2" t="str">
        <x:v>Nur Verkäuferexport</x:v>
      </x:c>
      <x:c r="D588" s="9" t="n">
        <x:v>13871</x:v>
      </x:c>
      <x:c r="E588" s="9" t="n">
        <x:v>45.5</x:v>
      </x:c>
      <x:c r="F588" s="9" t="n">
        <x:v>0</x:v>
      </x:c>
      <x:c r="G588" s="11" t="n">
        <x:f>SUM(D588:F588)</x:f>
        <x:v>13916.5</x:v>
      </x:c>
      <x:c r="H588" s="10" t="n">
        <x:v>0.92</x:v>
      </x:c>
      <x:c r="I588" s="11" t="n">
        <x:f>IF(ISNUMBER(H588),ROUND(D588*H588,2),NA())</x:f>
        <x:v>12761.32</x:v>
      </x:c>
      <x:c r="J588" s="2" t="str">
        <x:v>Regelbestand laut Verkäufer</x:v>
      </x:c>
      <x:c r="K588" s="2" t="str">
        <x:v>Export KREDIT-ERF-20260930, Einzelbelege nicht im Datenraum</x:v>
      </x:c>
    </x:row>
    <x:row r="589" ht="22" customHeight="1">
      <x:c r="A589" s="2" t="str">
        <x:v>APB-0584</x:v>
      </x:c>
      <x:c r="B589" s="2" t="str">
        <x:v>Bestandskunde 0584</x:v>
      </x:c>
      <x:c r="C589" s="2" t="str">
        <x:v>Nur Verkäuferexport</x:v>
      </x:c>
      <x:c r="D589" s="9" t="n">
        <x:v>14008</x:v>
      </x:c>
      <x:c r="E589" s="9" t="n">
        <x:v>52</x:v>
      </x:c>
      <x:c r="F589" s="9" t="n">
        <x:v>0</x:v>
      </x:c>
      <x:c r="G589" s="11" t="n">
        <x:f>SUM(D589:F589)</x:f>
        <x:v>14060</x:v>
      </x:c>
      <x:c r="H589" s="10" t="n">
        <x:v>0.92</x:v>
      </x:c>
      <x:c r="I589" s="11" t="n">
        <x:f>IF(ISNUMBER(H589),ROUND(D589*H589,2),NA())</x:f>
        <x:v>12887.36</x:v>
      </x:c>
      <x:c r="J589" s="2" t="str">
        <x:v>Regelbestand laut Verkäufer</x:v>
      </x:c>
      <x:c r="K589" s="2" t="str">
        <x:v>Export KREDIT-ERF-20260930, Einzelbelege nicht im Datenraum</x:v>
      </x:c>
    </x:row>
    <x:row r="590" ht="22" customHeight="1">
      <x:c r="A590" s="2" t="str">
        <x:v>APB-0585</x:v>
      </x:c>
      <x:c r="B590" s="2" t="str">
        <x:v>Bestandskunde 0585</x:v>
      </x:c>
      <x:c r="C590" s="2" t="str">
        <x:v>Nur Verkäuferexport</x:v>
      </x:c>
      <x:c r="D590" s="9" t="n">
        <x:v>14145</x:v>
      </x:c>
      <x:c r="E590" s="9" t="n">
        <x:v>0</x:v>
      </x:c>
      <x:c r="F590" s="9" t="n">
        <x:v>0</x:v>
      </x:c>
      <x:c r="G590" s="11" t="n">
        <x:f>SUM(D590:F590)</x:f>
        <x:v>14145</x:v>
      </x:c>
      <x:c r="H590" s="10" t="n">
        <x:v>0.92</x:v>
      </x:c>
      <x:c r="I590" s="11" t="n">
        <x:f>IF(ISNUMBER(H590),ROUND(D590*H590,2),NA())</x:f>
        <x:v>13013.4</x:v>
      </x:c>
      <x:c r="J590" s="2" t="str">
        <x:v>Regelbestand laut Verkäufer</x:v>
      </x:c>
      <x:c r="K590" s="2" t="str">
        <x:v>Export KREDIT-ERF-20260930, Einzelbelege nicht im Datenraum</x:v>
      </x:c>
    </x:row>
    <x:row r="591" ht="22" customHeight="1">
      <x:c r="A591" s="2" t="str">
        <x:v>APB-0586</x:v>
      </x:c>
      <x:c r="B591" s="2" t="str">
        <x:v>Bestandskunde 0586</x:v>
      </x:c>
      <x:c r="C591" s="2" t="str">
        <x:v>Nur Verkäuferexport</x:v>
      </x:c>
      <x:c r="D591" s="9" t="n">
        <x:v>14282</x:v>
      </x:c>
      <x:c r="E591" s="9" t="n">
        <x:v>6.5</x:v>
      </x:c>
      <x:c r="F591" s="9" t="n">
        <x:v>0</x:v>
      </x:c>
      <x:c r="G591" s="11" t="n">
        <x:f>SUM(D591:F591)</x:f>
        <x:v>14288.5</x:v>
      </x:c>
      <x:c r="H591" s="10" t="n">
        <x:v>0.92</x:v>
      </x:c>
      <x:c r="I591" s="11" t="n">
        <x:f>IF(ISNUMBER(H591),ROUND(D591*H591,2),NA())</x:f>
        <x:v>13139.44</x:v>
      </x:c>
      <x:c r="J591" s="2" t="str">
        <x:v>Regelbestand laut Verkäufer</x:v>
      </x:c>
      <x:c r="K591" s="2" t="str">
        <x:v>Export KREDIT-ERF-20260930, Einzelbelege nicht im Datenraum</x:v>
      </x:c>
    </x:row>
    <x:row r="592" ht="22" customHeight="1">
      <x:c r="A592" s="2" t="str">
        <x:v>APB-0587</x:v>
      </x:c>
      <x:c r="B592" s="2" t="str">
        <x:v>Bestandskunde 0587</x:v>
      </x:c>
      <x:c r="C592" s="2" t="str">
        <x:v>Nur Verkäuferexport</x:v>
      </x:c>
      <x:c r="D592" s="9" t="n">
        <x:v>14419</x:v>
      </x:c>
      <x:c r="E592" s="9" t="n">
        <x:v>13</x:v>
      </x:c>
      <x:c r="F592" s="9" t="n">
        <x:v>0</x:v>
      </x:c>
      <x:c r="G592" s="11" t="n">
        <x:f>SUM(D592:F592)</x:f>
        <x:v>14432</x:v>
      </x:c>
      <x:c r="H592" s="10" t="n">
        <x:v>0.92</x:v>
      </x:c>
      <x:c r="I592" s="11" t="n">
        <x:f>IF(ISNUMBER(H592),ROUND(D592*H592,2),NA())</x:f>
        <x:v>13265.48</x:v>
      </x:c>
      <x:c r="J592" s="2" t="str">
        <x:v>Regelbestand laut Verkäufer</x:v>
      </x:c>
      <x:c r="K592" s="2" t="str">
        <x:v>Export KREDIT-ERF-20260930, Einzelbelege nicht im Datenraum</x:v>
      </x:c>
    </x:row>
    <x:row r="593" ht="22" customHeight="1">
      <x:c r="A593" s="2" t="str">
        <x:v>APB-0588</x:v>
      </x:c>
      <x:c r="B593" s="2" t="str">
        <x:v>Bestandskunde 0588</x:v>
      </x:c>
      <x:c r="C593" s="2" t="str">
        <x:v>Nur Verkäuferexport</x:v>
      </x:c>
      <x:c r="D593" s="9" t="n">
        <x:v>14556</x:v>
      </x:c>
      <x:c r="E593" s="9" t="n">
        <x:v>19.5</x:v>
      </x:c>
      <x:c r="F593" s="9" t="n">
        <x:v>0</x:v>
      </x:c>
      <x:c r="G593" s="11" t="n">
        <x:f>SUM(D593:F593)</x:f>
        <x:v>14575.5</x:v>
      </x:c>
      <x:c r="H593" s="10" t="n">
        <x:v>0.92</x:v>
      </x:c>
      <x:c r="I593" s="11" t="n">
        <x:f>IF(ISNUMBER(H593),ROUND(D593*H593,2),NA())</x:f>
        <x:v>13391.52</x:v>
      </x:c>
      <x:c r="J593" s="2" t="str">
        <x:v>Regelbestand laut Verkäufer</x:v>
      </x:c>
      <x:c r="K593" s="2" t="str">
        <x:v>Export KREDIT-ERF-20260930, Einzelbelege nicht im Datenraum</x:v>
      </x:c>
    </x:row>
    <x:row r="594" ht="22" customHeight="1">
      <x:c r="A594" s="2" t="str">
        <x:v>APB-0589</x:v>
      </x:c>
      <x:c r="B594" s="2" t="str">
        <x:v>Bestandskunde 0589</x:v>
      </x:c>
      <x:c r="C594" s="2" t="str">
        <x:v>Nur Verkäuferexport</x:v>
      </x:c>
      <x:c r="D594" s="9" t="n">
        <x:v>14693</x:v>
      </x:c>
      <x:c r="E594" s="9" t="n">
        <x:v>26</x:v>
      </x:c>
      <x:c r="F594" s="9" t="n">
        <x:v>0</x:v>
      </x:c>
      <x:c r="G594" s="11" t="n">
        <x:f>SUM(D594:F594)</x:f>
        <x:v>14719</x:v>
      </x:c>
      <x:c r="H594" s="10" t="n">
        <x:v>0.92</x:v>
      </x:c>
      <x:c r="I594" s="11" t="n">
        <x:f>IF(ISNUMBER(H594),ROUND(D594*H594,2),NA())</x:f>
        <x:v>13517.56</x:v>
      </x:c>
      <x:c r="J594" s="2" t="str">
        <x:v>Regelbestand laut Verkäufer</x:v>
      </x:c>
      <x:c r="K594" s="2" t="str">
        <x:v>Export KREDIT-ERF-20260930, Einzelbelege nicht im Datenraum</x:v>
      </x:c>
    </x:row>
    <x:row r="595" ht="22" customHeight="1">
      <x:c r="A595" s="2" t="str">
        <x:v>APB-0590</x:v>
      </x:c>
      <x:c r="B595" s="2" t="str">
        <x:v>Bestandskunde 0590</x:v>
      </x:c>
      <x:c r="C595" s="2" t="str">
        <x:v>Nur Verkäuferexport</x:v>
      </x:c>
      <x:c r="D595" s="9" t="n">
        <x:v>14830</x:v>
      </x:c>
      <x:c r="E595" s="9" t="n">
        <x:v>32.5</x:v>
      </x:c>
      <x:c r="F595" s="9" t="n">
        <x:v>0</x:v>
      </x:c>
      <x:c r="G595" s="11" t="n">
        <x:f>SUM(D595:F595)</x:f>
        <x:v>14862.5</x:v>
      </x:c>
      <x:c r="H595" s="10" t="n">
        <x:v>0.92</x:v>
      </x:c>
      <x:c r="I595" s="11" t="n">
        <x:f>IF(ISNUMBER(H595),ROUND(D595*H595,2),NA())</x:f>
        <x:v>13643.6</x:v>
      </x:c>
      <x:c r="J595" s="2" t="str">
        <x:v>Regelbestand laut Verkäufer</x:v>
      </x:c>
      <x:c r="K595" s="2" t="str">
        <x:v>Export KREDIT-ERF-20260930, Einzelbelege nicht im Datenraum</x:v>
      </x:c>
    </x:row>
    <x:row r="596" ht="22" customHeight="1">
      <x:c r="A596" s="2" t="str">
        <x:v>APB-0591</x:v>
      </x:c>
      <x:c r="B596" s="2" t="str">
        <x:v>Bestandskunde 0591</x:v>
      </x:c>
      <x:c r="C596" s="2" t="str">
        <x:v>Nur Verkäuferexport</x:v>
      </x:c>
      <x:c r="D596" s="9" t="n">
        <x:v>14967</x:v>
      </x:c>
      <x:c r="E596" s="9" t="n">
        <x:v>39</x:v>
      </x:c>
      <x:c r="F596" s="9" t="n">
        <x:v>0</x:v>
      </x:c>
      <x:c r="G596" s="11" t="n">
        <x:f>SUM(D596:F596)</x:f>
        <x:v>15006</x:v>
      </x:c>
      <x:c r="H596" s="10" t="n">
        <x:v>0.92</x:v>
      </x:c>
      <x:c r="I596" s="11" t="n">
        <x:f>IF(ISNUMBER(H596),ROUND(D596*H596,2),NA())</x:f>
        <x:v>13769.64</x:v>
      </x:c>
      <x:c r="J596" s="2" t="str">
        <x:v>Regelbestand laut Verkäufer</x:v>
      </x:c>
      <x:c r="K596" s="2" t="str">
        <x:v>Export KREDIT-ERF-20260930, Einzelbelege nicht im Datenraum</x:v>
      </x:c>
    </x:row>
    <x:row r="597" ht="22" customHeight="1">
      <x:c r="A597" s="2" t="str">
        <x:v>APB-0592</x:v>
      </x:c>
      <x:c r="B597" s="2" t="str">
        <x:v>Bestandskunde 0592</x:v>
      </x:c>
      <x:c r="C597" s="2" t="str">
        <x:v>Nur Verkäuferexport</x:v>
      </x:c>
      <x:c r="D597" s="9" t="n">
        <x:v>15104</x:v>
      </x:c>
      <x:c r="E597" s="9" t="n">
        <x:v>45.5</x:v>
      </x:c>
      <x:c r="F597" s="9" t="n">
        <x:v>0</x:v>
      </x:c>
      <x:c r="G597" s="11" t="n">
        <x:f>SUM(D597:F597)</x:f>
        <x:v>15149.5</x:v>
      </x:c>
      <x:c r="H597" s="10" t="n">
        <x:v>0.92</x:v>
      </x:c>
      <x:c r="I597" s="11" t="n">
        <x:f>IF(ISNUMBER(H597),ROUND(D597*H597,2),NA())</x:f>
        <x:v>13895.68</x:v>
      </x:c>
      <x:c r="J597" s="2" t="str">
        <x:v>Regelbestand laut Verkäufer</x:v>
      </x:c>
      <x:c r="K597" s="2" t="str">
        <x:v>Export KREDIT-ERF-20260930, Einzelbelege nicht im Datenraum</x:v>
      </x:c>
    </x:row>
    <x:row r="598" ht="22" customHeight="1">
      <x:c r="A598" s="2" t="str">
        <x:v>APB-0593</x:v>
      </x:c>
      <x:c r="B598" s="2" t="str">
        <x:v>Bestandskunde 0593</x:v>
      </x:c>
      <x:c r="C598" s="2" t="str">
        <x:v>Nur Verkäuferexport</x:v>
      </x:c>
      <x:c r="D598" s="9" t="n">
        <x:v>15241</x:v>
      </x:c>
      <x:c r="E598" s="9" t="n">
        <x:v>52</x:v>
      </x:c>
      <x:c r="F598" s="9" t="n">
        <x:v>0</x:v>
      </x:c>
      <x:c r="G598" s="11" t="n">
        <x:f>SUM(D598:F598)</x:f>
        <x:v>15293</x:v>
      </x:c>
      <x:c r="H598" s="10" t="n">
        <x:v>0.92</x:v>
      </x:c>
      <x:c r="I598" s="11" t="n">
        <x:f>IF(ISNUMBER(H598),ROUND(D598*H598,2),NA())</x:f>
        <x:v>14021.72</x:v>
      </x:c>
      <x:c r="J598" s="2" t="str">
        <x:v>Regelbestand laut Verkäufer</x:v>
      </x:c>
      <x:c r="K598" s="2" t="str">
        <x:v>Export KREDIT-ERF-20260930, Einzelbelege nicht im Datenraum</x:v>
      </x:c>
    </x:row>
    <x:row r="599" ht="22" customHeight="1">
      <x:c r="A599" s="2" t="str">
        <x:v>APB-0594</x:v>
      </x:c>
      <x:c r="B599" s="2" t="str">
        <x:v>Bestandskunde 0594</x:v>
      </x:c>
      <x:c r="C599" s="2" t="str">
        <x:v>Nur Verkäuferexport</x:v>
      </x:c>
      <x:c r="D599" s="9" t="n">
        <x:v>15378</x:v>
      </x:c>
      <x:c r="E599" s="9" t="n">
        <x:v>0</x:v>
      </x:c>
      <x:c r="F599" s="9" t="n">
        <x:v>0</x:v>
      </x:c>
      <x:c r="G599" s="11" t="n">
        <x:f>SUM(D599:F599)</x:f>
        <x:v>15378</x:v>
      </x:c>
      <x:c r="H599" s="10" t="n">
        <x:v>0.92</x:v>
      </x:c>
      <x:c r="I599" s="11" t="n">
        <x:f>IF(ISNUMBER(H599),ROUND(D599*H599,2),NA())</x:f>
        <x:v>14147.76</x:v>
      </x:c>
      <x:c r="J599" s="2" t="str">
        <x:v>Regelbestand laut Verkäufer</x:v>
      </x:c>
      <x:c r="K599" s="2" t="str">
        <x:v>Export KREDIT-ERF-20260930, Einzelbelege nicht im Datenraum</x:v>
      </x:c>
    </x:row>
    <x:row r="600" ht="22" customHeight="1">
      <x:c r="A600" s="2" t="str">
        <x:v>APB-0595</x:v>
      </x:c>
      <x:c r="B600" s="2" t="str">
        <x:v>Bestandskunde 0595</x:v>
      </x:c>
      <x:c r="C600" s="2" t="str">
        <x:v>Nur Verkäuferexport</x:v>
      </x:c>
      <x:c r="D600" s="9" t="n">
        <x:v>15515</x:v>
      </x:c>
      <x:c r="E600" s="9" t="n">
        <x:v>6.5</x:v>
      </x:c>
      <x:c r="F600" s="9" t="n">
        <x:v>0</x:v>
      </x:c>
      <x:c r="G600" s="11" t="n">
        <x:f>SUM(D600:F600)</x:f>
        <x:v>15521.5</x:v>
      </x:c>
      <x:c r="H600" s="10" t="n">
        <x:v>0.92</x:v>
      </x:c>
      <x:c r="I600" s="11" t="n">
        <x:f>IF(ISNUMBER(H600),ROUND(D600*H600,2),NA())</x:f>
        <x:v>14273.8</x:v>
      </x:c>
      <x:c r="J600" s="2" t="str">
        <x:v>Regelbestand laut Verkäufer</x:v>
      </x:c>
      <x:c r="K600" s="2" t="str">
        <x:v>Export KREDIT-ERF-20260930, Einzelbelege nicht im Datenraum</x:v>
      </x:c>
    </x:row>
    <x:row r="601" ht="22" customHeight="1">
      <x:c r="A601" s="2" t="str">
        <x:v>APB-0596</x:v>
      </x:c>
      <x:c r="B601" s="2" t="str">
        <x:v>Bestandskunde 0596</x:v>
      </x:c>
      <x:c r="C601" s="2" t="str">
        <x:v>Nur Verkäuferexport</x:v>
      </x:c>
      <x:c r="D601" s="9" t="n">
        <x:v>15652</x:v>
      </x:c>
      <x:c r="E601" s="9" t="n">
        <x:v>13</x:v>
      </x:c>
      <x:c r="F601" s="9" t="n">
        <x:v>0</x:v>
      </x:c>
      <x:c r="G601" s="11" t="n">
        <x:f>SUM(D601:F601)</x:f>
        <x:v>15665</x:v>
      </x:c>
      <x:c r="H601" s="10" t="n">
        <x:v>0.92</x:v>
      </x:c>
      <x:c r="I601" s="11" t="n">
        <x:f>IF(ISNUMBER(H601),ROUND(D601*H601,2),NA())</x:f>
        <x:v>14399.84</x:v>
      </x:c>
      <x:c r="J601" s="2" t="str">
        <x:v>Regelbestand laut Verkäufer</x:v>
      </x:c>
      <x:c r="K601" s="2" t="str">
        <x:v>Export KREDIT-ERF-20260930, Einzelbelege nicht im Datenraum</x:v>
      </x:c>
    </x:row>
    <x:row r="602" ht="22" customHeight="1">
      <x:c r="A602" s="2" t="str">
        <x:v>APB-0597</x:v>
      </x:c>
      <x:c r="B602" s="2" t="str">
        <x:v>Bestandskunde 0597</x:v>
      </x:c>
      <x:c r="C602" s="2" t="str">
        <x:v>Nur Verkäuferexport</x:v>
      </x:c>
      <x:c r="D602" s="9" t="n">
        <x:v>15789</x:v>
      </x:c>
      <x:c r="E602" s="9" t="n">
        <x:v>19.5</x:v>
      </x:c>
      <x:c r="F602" s="9" t="n">
        <x:v>0</x:v>
      </x:c>
      <x:c r="G602" s="11" t="n">
        <x:f>SUM(D602:F602)</x:f>
        <x:v>15808.5</x:v>
      </x:c>
      <x:c r="H602" s="10" t="n">
        <x:v>0.92</x:v>
      </x:c>
      <x:c r="I602" s="11" t="n">
        <x:f>IF(ISNUMBER(H602),ROUND(D602*H602,2),NA())</x:f>
        <x:v>14525.88</x:v>
      </x:c>
      <x:c r="J602" s="2" t="str">
        <x:v>Regelbestand laut Verkäufer</x:v>
      </x:c>
      <x:c r="K602" s="2" t="str">
        <x:v>Export KREDIT-ERF-20260930, Einzelbelege nicht im Datenraum</x:v>
      </x:c>
    </x:row>
    <x:row r="603" ht="22" customHeight="1">
      <x:c r="A603" s="2" t="str">
        <x:v>APB-0598</x:v>
      </x:c>
      <x:c r="B603" s="2" t="str">
        <x:v>Bestandskunde 0598</x:v>
      </x:c>
      <x:c r="C603" s="2" t="str">
        <x:v>Nur Verkäuferexport</x:v>
      </x:c>
      <x:c r="D603" s="9" t="n">
        <x:v>15926</x:v>
      </x:c>
      <x:c r="E603" s="9" t="n">
        <x:v>26</x:v>
      </x:c>
      <x:c r="F603" s="9" t="n">
        <x:v>0</x:v>
      </x:c>
      <x:c r="G603" s="11" t="n">
        <x:f>SUM(D603:F603)</x:f>
        <x:v>15952</x:v>
      </x:c>
      <x:c r="H603" s="10" t="n">
        <x:v>0.92</x:v>
      </x:c>
      <x:c r="I603" s="11" t="n">
        <x:f>IF(ISNUMBER(H603),ROUND(D603*H603,2),NA())</x:f>
        <x:v>14651.92</x:v>
      </x:c>
      <x:c r="J603" s="2" t="str">
        <x:v>Regelbestand laut Verkäufer</x:v>
      </x:c>
      <x:c r="K603" s="2" t="str">
        <x:v>Export KREDIT-ERF-20260930, Einzelbelege nicht im Datenraum</x:v>
      </x:c>
    </x:row>
    <x:row r="604" ht="22" customHeight="1">
      <x:c r="A604" s="2" t="str">
        <x:v>APB-0599</x:v>
      </x:c>
      <x:c r="B604" s="2" t="str">
        <x:v>Bestandskunde 0599</x:v>
      </x:c>
      <x:c r="C604" s="2" t="str">
        <x:v>Nur Verkäuferexport</x:v>
      </x:c>
      <x:c r="D604" s="9" t="n">
        <x:v>16063</x:v>
      </x:c>
      <x:c r="E604" s="9" t="n">
        <x:v>32.5</x:v>
      </x:c>
      <x:c r="F604" s="9" t="n">
        <x:v>0</x:v>
      </x:c>
      <x:c r="G604" s="11" t="n">
        <x:f>SUM(D604:F604)</x:f>
        <x:v>16095.5</x:v>
      </x:c>
      <x:c r="H604" s="10" t="n">
        <x:v>0.92</x:v>
      </x:c>
      <x:c r="I604" s="11" t="n">
        <x:f>IF(ISNUMBER(H604),ROUND(D604*H604,2),NA())</x:f>
        <x:v>14777.96</x:v>
      </x:c>
      <x:c r="J604" s="2" t="str">
        <x:v>Regelbestand laut Verkäufer</x:v>
      </x:c>
      <x:c r="K604" s="2" t="str">
        <x:v>Export KREDIT-ERF-20260930, Einzelbelege nicht im Datenraum</x:v>
      </x:c>
    </x:row>
    <x:row r="605" ht="22" customHeight="1">
      <x:c r="A605" s="2" t="str">
        <x:v>APB-0600</x:v>
      </x:c>
      <x:c r="B605" s="2" t="str">
        <x:v>Bestandskunde 0600</x:v>
      </x:c>
      <x:c r="C605" s="2" t="str">
        <x:v>Nur Verkäuferexport</x:v>
      </x:c>
      <x:c r="D605" s="9" t="n">
        <x:v>16200</x:v>
      </x:c>
      <x:c r="E605" s="9" t="n">
        <x:v>39</x:v>
      </x:c>
      <x:c r="F605" s="9" t="n">
        <x:v>0</x:v>
      </x:c>
      <x:c r="G605" s="11" t="n">
        <x:f>SUM(D605:F605)</x:f>
        <x:v>16239</x:v>
      </x:c>
      <x:c r="H605" s="10" t="n">
        <x:v>0.92</x:v>
      </x:c>
      <x:c r="I605" s="11" t="n">
        <x:f>IF(ISNUMBER(H605),ROUND(D605*H605,2),NA())</x:f>
        <x:v>14904</x:v>
      </x:c>
      <x:c r="J605" s="2" t="str">
        <x:v>Regelbestand laut Verkäufer</x:v>
      </x:c>
      <x:c r="K605" s="2" t="str">
        <x:v>Export KREDIT-ERF-20260930, Einzelbelege nicht im Datenraum</x:v>
      </x:c>
    </x:row>
    <x:row r="606" ht="22" customHeight="1">
      <x:c r="A606" s="2" t="str">
        <x:v>APB-0601</x:v>
      </x:c>
      <x:c r="B606" s="2" t="str">
        <x:v>Bestandskunde 0601</x:v>
      </x:c>
      <x:c r="C606" s="2" t="str">
        <x:v>Nur Verkäuferexport</x:v>
      </x:c>
      <x:c r="D606" s="9" t="n">
        <x:v>16337</x:v>
      </x:c>
      <x:c r="E606" s="9" t="n">
        <x:v>45.5</x:v>
      </x:c>
      <x:c r="F606" s="9" t="n">
        <x:v>0</x:v>
      </x:c>
      <x:c r="G606" s="11" t="n">
        <x:f>SUM(D606:F606)</x:f>
        <x:v>16382.5</x:v>
      </x:c>
      <x:c r="H606" s="10" t="n">
        <x:v>0.92</x:v>
      </x:c>
      <x:c r="I606" s="11" t="n">
        <x:f>IF(ISNUMBER(H606),ROUND(D606*H606,2),NA())</x:f>
        <x:v>15030.04</x:v>
      </x:c>
      <x:c r="J606" s="2" t="str">
        <x:v>Regelbestand laut Verkäufer</x:v>
      </x:c>
      <x:c r="K606" s="2" t="str">
        <x:v>Export KREDIT-ERF-20260930, Einzelbelege nicht im Datenraum</x:v>
      </x:c>
    </x:row>
    <x:row r="607" ht="22" customHeight="1">
      <x:c r="A607" s="2" t="str">
        <x:v>APB-0602</x:v>
      </x:c>
      <x:c r="B607" s="2" t="str">
        <x:v>Bestandskunde 0602</x:v>
      </x:c>
      <x:c r="C607" s="2" t="str">
        <x:v>Nur Verkäuferexport</x:v>
      </x:c>
      <x:c r="D607" s="9" t="n">
        <x:v>16474</x:v>
      </x:c>
      <x:c r="E607" s="9" t="n">
        <x:v>52</x:v>
      </x:c>
      <x:c r="F607" s="9" t="n">
        <x:v>0</x:v>
      </x:c>
      <x:c r="G607" s="11" t="n">
        <x:f>SUM(D607:F607)</x:f>
        <x:v>16526</x:v>
      </x:c>
      <x:c r="H607" s="10" t="n">
        <x:v>0.92</x:v>
      </x:c>
      <x:c r="I607" s="11" t="n">
        <x:f>IF(ISNUMBER(H607),ROUND(D607*H607,2),NA())</x:f>
        <x:v>15156.08</x:v>
      </x:c>
      <x:c r="J607" s="2" t="str">
        <x:v>Regelbestand laut Verkäufer</x:v>
      </x:c>
      <x:c r="K607" s="2" t="str">
        <x:v>Export KREDIT-ERF-20260930, Einzelbelege nicht im Datenraum</x:v>
      </x:c>
    </x:row>
    <x:row r="608" ht="22" customHeight="1">
      <x:c r="A608" s="2" t="str">
        <x:v>APB-0603</x:v>
      </x:c>
      <x:c r="B608" s="2" t="str">
        <x:v>Bestandskunde 0603</x:v>
      </x:c>
      <x:c r="C608" s="2" t="str">
        <x:v>Nur Verkäuferexport</x:v>
      </x:c>
      <x:c r="D608" s="9" t="n">
        <x:v>16611</x:v>
      </x:c>
      <x:c r="E608" s="9" t="n">
        <x:v>0</x:v>
      </x:c>
      <x:c r="F608" s="9" t="n">
        <x:v>0</x:v>
      </x:c>
      <x:c r="G608" s="11" t="n">
        <x:f>SUM(D608:F608)</x:f>
        <x:v>16611</x:v>
      </x:c>
      <x:c r="H608" s="10" t="n">
        <x:v>0.92</x:v>
      </x:c>
      <x:c r="I608" s="11" t="n">
        <x:f>IF(ISNUMBER(H608),ROUND(D608*H608,2),NA())</x:f>
        <x:v>15282.12</x:v>
      </x:c>
      <x:c r="J608" s="2" t="str">
        <x:v>Regelbestand laut Verkäufer</x:v>
      </x:c>
      <x:c r="K608" s="2" t="str">
        <x:v>Export KREDIT-ERF-20260930, Einzelbelege nicht im Datenraum</x:v>
      </x:c>
    </x:row>
    <x:row r="609" ht="22" customHeight="1">
      <x:c r="A609" s="2" t="str">
        <x:v>APB-0604</x:v>
      </x:c>
      <x:c r="B609" s="2" t="str">
        <x:v>Bestandskunde 0604</x:v>
      </x:c>
      <x:c r="C609" s="2" t="str">
        <x:v>Nur Verkäuferexport</x:v>
      </x:c>
      <x:c r="D609" s="9" t="n">
        <x:v>16748</x:v>
      </x:c>
      <x:c r="E609" s="9" t="n">
        <x:v>6.5</x:v>
      </x:c>
      <x:c r="F609" s="9" t="n">
        <x:v>0</x:v>
      </x:c>
      <x:c r="G609" s="11" t="n">
        <x:f>SUM(D609:F609)</x:f>
        <x:v>16754.5</x:v>
      </x:c>
      <x:c r="H609" s="10" t="n">
        <x:v>0.92</x:v>
      </x:c>
      <x:c r="I609" s="11" t="n">
        <x:f>IF(ISNUMBER(H609),ROUND(D609*H609,2),NA())</x:f>
        <x:v>15408.16</x:v>
      </x:c>
      <x:c r="J609" s="2" t="str">
        <x:v>Regelbestand laut Verkäufer</x:v>
      </x:c>
      <x:c r="K609" s="2" t="str">
        <x:v>Export KREDIT-ERF-20260930, Einzelbelege nicht im Datenraum</x:v>
      </x:c>
    </x:row>
    <x:row r="610" ht="22" customHeight="1">
      <x:c r="A610" s="2" t="str">
        <x:v>APB-0605</x:v>
      </x:c>
      <x:c r="B610" s="2" t="str">
        <x:v>Bestandskunde 0605</x:v>
      </x:c>
      <x:c r="C610" s="2" t="str">
        <x:v>Nur Verkäuferexport</x:v>
      </x:c>
      <x:c r="D610" s="9" t="n">
        <x:v>16885</x:v>
      </x:c>
      <x:c r="E610" s="9" t="n">
        <x:v>13</x:v>
      </x:c>
      <x:c r="F610" s="9" t="n">
        <x:v>0</x:v>
      </x:c>
      <x:c r="G610" s="11" t="n">
        <x:f>SUM(D610:F610)</x:f>
        <x:v>16898</x:v>
      </x:c>
      <x:c r="H610" s="10" t="n">
        <x:v>0.92</x:v>
      </x:c>
      <x:c r="I610" s="11" t="n">
        <x:f>IF(ISNUMBER(H610),ROUND(D610*H610,2),NA())</x:f>
        <x:v>15534.2</x:v>
      </x:c>
      <x:c r="J610" s="2" t="str">
        <x:v>Regelbestand laut Verkäufer</x:v>
      </x:c>
      <x:c r="K610" s="2" t="str">
        <x:v>Export KREDIT-ERF-20260930, Einzelbelege nicht im Datenraum</x:v>
      </x:c>
    </x:row>
    <x:row r="611" ht="22" customHeight="1">
      <x:c r="A611" s="2" t="str">
        <x:v>APB-0606</x:v>
      </x:c>
      <x:c r="B611" s="2" t="str">
        <x:v>Bestandskunde 0606</x:v>
      </x:c>
      <x:c r="C611" s="2" t="str">
        <x:v>Nur Verkäuferexport</x:v>
      </x:c>
      <x:c r="D611" s="9" t="n">
        <x:v>17022</x:v>
      </x:c>
      <x:c r="E611" s="9" t="n">
        <x:v>19.5</x:v>
      </x:c>
      <x:c r="F611" s="9" t="n">
        <x:v>0</x:v>
      </x:c>
      <x:c r="G611" s="11" t="n">
        <x:f>SUM(D611:F611)</x:f>
        <x:v>17041.5</x:v>
      </x:c>
      <x:c r="H611" s="10" t="n">
        <x:v>0.92</x:v>
      </x:c>
      <x:c r="I611" s="11" t="n">
        <x:f>IF(ISNUMBER(H611),ROUND(D611*H611,2),NA())</x:f>
        <x:v>15660.24</x:v>
      </x:c>
      <x:c r="J611" s="2" t="str">
        <x:v>Regelbestand laut Verkäufer</x:v>
      </x:c>
      <x:c r="K611" s="2" t="str">
        <x:v>Export KREDIT-ERF-20260930, Einzelbelege nicht im Datenraum</x:v>
      </x:c>
    </x:row>
    <x:row r="612" ht="22" customHeight="1">
      <x:c r="A612" s="2" t="str">
        <x:v>APB-0607</x:v>
      </x:c>
      <x:c r="B612" s="2" t="str">
        <x:v>Bestandskunde 0607</x:v>
      </x:c>
      <x:c r="C612" s="2" t="str">
        <x:v>Nur Verkäuferexport</x:v>
      </x:c>
      <x:c r="D612" s="9" t="n">
        <x:v>17159</x:v>
      </x:c>
      <x:c r="E612" s="9" t="n">
        <x:v>26</x:v>
      </x:c>
      <x:c r="F612" s="9" t="n">
        <x:v>0</x:v>
      </x:c>
      <x:c r="G612" s="11" t="n">
        <x:f>SUM(D612:F612)</x:f>
        <x:v>17185</x:v>
      </x:c>
      <x:c r="H612" s="10" t="n">
        <x:v>0.92</x:v>
      </x:c>
      <x:c r="I612" s="11" t="n">
        <x:f>IF(ISNUMBER(H612),ROUND(D612*H612,2),NA())</x:f>
        <x:v>15786.28</x:v>
      </x:c>
      <x:c r="J612" s="2" t="str">
        <x:v>Regelbestand laut Verkäufer</x:v>
      </x:c>
      <x:c r="K612" s="2" t="str">
        <x:v>Export KREDIT-ERF-20260930, Einzelbelege nicht im Datenraum</x:v>
      </x:c>
    </x:row>
    <x:row r="613" ht="22" customHeight="1">
      <x:c r="A613" s="2" t="str">
        <x:v>APB-0608</x:v>
      </x:c>
      <x:c r="B613" s="2" t="str">
        <x:v>Bestandskunde 0608</x:v>
      </x:c>
      <x:c r="C613" s="2" t="str">
        <x:v>Nur Verkäuferexport</x:v>
      </x:c>
      <x:c r="D613" s="9" t="n">
        <x:v>17296</x:v>
      </x:c>
      <x:c r="E613" s="9" t="n">
        <x:v>32.5</x:v>
      </x:c>
      <x:c r="F613" s="9" t="n">
        <x:v>0</x:v>
      </x:c>
      <x:c r="G613" s="11" t="n">
        <x:f>SUM(D613:F613)</x:f>
        <x:v>17328.5</x:v>
      </x:c>
      <x:c r="H613" s="10" t="n">
        <x:v>0.92</x:v>
      </x:c>
      <x:c r="I613" s="11" t="n">
        <x:f>IF(ISNUMBER(H613),ROUND(D613*H613,2),NA())</x:f>
        <x:v>15912.32</x:v>
      </x:c>
      <x:c r="J613" s="2" t="str">
        <x:v>Regelbestand laut Verkäufer</x:v>
      </x:c>
      <x:c r="K613" s="2" t="str">
        <x:v>Export KREDIT-ERF-20260930, Einzelbelege nicht im Datenraum</x:v>
      </x:c>
    </x:row>
    <x:row r="614" ht="22" customHeight="1">
      <x:c r="A614" s="2" t="str">
        <x:v>APB-0609</x:v>
      </x:c>
      <x:c r="B614" s="2" t="str">
        <x:v>Bestandskunde 0609</x:v>
      </x:c>
      <x:c r="C614" s="2" t="str">
        <x:v>Nur Verkäuferexport</x:v>
      </x:c>
      <x:c r="D614" s="9" t="n">
        <x:v>17433</x:v>
      </x:c>
      <x:c r="E614" s="9" t="n">
        <x:v>39</x:v>
      </x:c>
      <x:c r="F614" s="9" t="n">
        <x:v>15</x:v>
      </x:c>
      <x:c r="G614" s="11" t="n">
        <x:f>SUM(D614:F614)</x:f>
        <x:v>17487</x:v>
      </x:c>
      <x:c r="H614" s="10" t="n">
        <x:v>0.92</x:v>
      </x:c>
      <x:c r="I614" s="11" t="n">
        <x:f>IF(ISNUMBER(H614),ROUND(D614*H614,2),NA())</x:f>
        <x:v>16038.36</x:v>
      </x:c>
      <x:c r="J614" s="2" t="str">
        <x:v>Zahlungslücke im Export</x:v>
      </x:c>
      <x:c r="K614" s="2" t="str">
        <x:v>Export KREDIT-ERF-20260930, Einzelbelege nicht im Datenraum</x:v>
      </x:c>
    </x:row>
    <x:row r="615" ht="22" customHeight="1">
      <x:c r="A615" s="2" t="str">
        <x:v>APB-0610</x:v>
      </x:c>
      <x:c r="B615" s="2" t="str">
        <x:v>Bestandskunde 0610</x:v>
      </x:c>
      <x:c r="C615" s="2" t="str">
        <x:v>Nur Verkäuferexport</x:v>
      </x:c>
      <x:c r="D615" s="9" t="n">
        <x:v>17570</x:v>
      </x:c>
      <x:c r="E615" s="9" t="n">
        <x:v>45.5</x:v>
      </x:c>
      <x:c r="F615" s="9" t="n">
        <x:v>0</x:v>
      </x:c>
      <x:c r="G615" s="11" t="n">
        <x:f>SUM(D615:F615)</x:f>
        <x:v>17615.5</x:v>
      </x:c>
      <x:c r="H615" s="10" t="n">
        <x:v>0.92</x:v>
      </x:c>
      <x:c r="I615" s="11" t="n">
        <x:f>IF(ISNUMBER(H615),ROUND(D615*H615,2),NA())</x:f>
        <x:v>16164.4</x:v>
      </x:c>
      <x:c r="J615" s="2" t="str">
        <x:v>Regelbestand laut Verkäufer</x:v>
      </x:c>
      <x:c r="K615" s="2" t="str">
        <x:v>Export KREDIT-ERF-20260930, Einzelbelege nicht im Datenraum</x:v>
      </x:c>
    </x:row>
    <x:row r="616" ht="22" customHeight="1">
      <x:c r="A616" s="2" t="str">
        <x:v>APB-0611</x:v>
      </x:c>
      <x:c r="B616" s="2" t="str">
        <x:v>Bestandskunde 0611</x:v>
      </x:c>
      <x:c r="C616" s="2" t="str">
        <x:v>Nur Verkäuferexport</x:v>
      </x:c>
      <x:c r="D616" s="9" t="n">
        <x:v>17707</x:v>
      </x:c>
      <x:c r="E616" s="9" t="n">
        <x:v>52</x:v>
      </x:c>
      <x:c r="F616" s="9" t="n">
        <x:v>0</x:v>
      </x:c>
      <x:c r="G616" s="11" t="n">
        <x:f>SUM(D616:F616)</x:f>
        <x:v>17759</x:v>
      </x:c>
      <x:c r="H616" s="10" t="n">
        <x:v>0.92</x:v>
      </x:c>
      <x:c r="I616" s="11" t="n">
        <x:f>IF(ISNUMBER(H616),ROUND(D616*H616,2),NA())</x:f>
        <x:v>16290.44</x:v>
      </x:c>
      <x:c r="J616" s="2" t="str">
        <x:v>Regelbestand laut Verkäufer</x:v>
      </x:c>
      <x:c r="K616" s="2" t="str">
        <x:v>Export KREDIT-ERF-20260930, Einzelbelege nicht im Datenraum</x:v>
      </x:c>
    </x:row>
    <x:row r="617" ht="22" customHeight="1">
      <x:c r="A617" s="2" t="str">
        <x:v>APB-0612</x:v>
      </x:c>
      <x:c r="B617" s="2" t="str">
        <x:v>Bestandskunde 0612</x:v>
      </x:c>
      <x:c r="C617" s="2" t="str">
        <x:v>Nur Verkäuferexport</x:v>
      </x:c>
      <x:c r="D617" s="9" t="n">
        <x:v>17844</x:v>
      </x:c>
      <x:c r="E617" s="9" t="n">
        <x:v>0</x:v>
      </x:c>
      <x:c r="F617" s="9" t="n">
        <x:v>0</x:v>
      </x:c>
      <x:c r="G617" s="11" t="n">
        <x:f>SUM(D617:F617)</x:f>
        <x:v>17844</x:v>
      </x:c>
      <x:c r="H617" s="10" t="n">
        <x:v>0.92</x:v>
      </x:c>
      <x:c r="I617" s="11" t="n">
        <x:f>IF(ISNUMBER(H617),ROUND(D617*H617,2),NA())</x:f>
        <x:v>16416.48</x:v>
      </x:c>
      <x:c r="J617" s="2" t="str">
        <x:v>Regelbestand laut Verkäufer</x:v>
      </x:c>
      <x:c r="K617" s="2" t="str">
        <x:v>Export KREDIT-ERF-20260930, Einzelbelege nicht im Datenraum</x:v>
      </x:c>
    </x:row>
    <x:row r="618" ht="22" customHeight="1">
      <x:c r="A618" s="2" t="str">
        <x:v>APB-0613</x:v>
      </x:c>
      <x:c r="B618" s="2" t="str">
        <x:v>Bestandskunde 0613</x:v>
      </x:c>
      <x:c r="C618" s="2" t="str">
        <x:v>Nur Verkäuferexport</x:v>
      </x:c>
      <x:c r="D618" s="9" t="n">
        <x:v>17981</x:v>
      </x:c>
      <x:c r="E618" s="9" t="n">
        <x:v>6.5</x:v>
      </x:c>
      <x:c r="F618" s="9" t="n">
        <x:v>0</x:v>
      </x:c>
      <x:c r="G618" s="11" t="n">
        <x:f>SUM(D618:F618)</x:f>
        <x:v>17987.5</x:v>
      </x:c>
      <x:c r="H618" s="10" t="n">
        <x:v>0.92</x:v>
      </x:c>
      <x:c r="I618" s="11" t="n">
        <x:f>IF(ISNUMBER(H618),ROUND(D618*H618,2),NA())</x:f>
        <x:v>16542.52</x:v>
      </x:c>
      <x:c r="J618" s="2" t="str">
        <x:v>Regelbestand laut Verkäufer</x:v>
      </x:c>
      <x:c r="K618" s="2" t="str">
        <x:v>Export KREDIT-ERF-20260930, Einzelbelege nicht im Datenraum</x:v>
      </x:c>
    </x:row>
    <x:row r="619" ht="22" customHeight="1">
      <x:c r="A619" s="2" t="str">
        <x:v>APB-0614</x:v>
      </x:c>
      <x:c r="B619" s="2" t="str">
        <x:v>Bestandskunde 0614</x:v>
      </x:c>
      <x:c r="C619" s="2" t="str">
        <x:v>Nur Verkäuferexport</x:v>
      </x:c>
      <x:c r="D619" s="9" t="n">
        <x:v>18118</x:v>
      </x:c>
      <x:c r="E619" s="9" t="n">
        <x:v>13</x:v>
      </x:c>
      <x:c r="F619" s="9" t="n">
        <x:v>0</x:v>
      </x:c>
      <x:c r="G619" s="11" t="n">
        <x:f>SUM(D619:F619)</x:f>
        <x:v>18131</x:v>
      </x:c>
      <x:c r="H619" s="10" t="n">
        <x:v>0.92</x:v>
      </x:c>
      <x:c r="I619" s="11" t="n">
        <x:f>IF(ISNUMBER(H619),ROUND(D619*H619,2),NA())</x:f>
        <x:v>16668.56</x:v>
      </x:c>
      <x:c r="J619" s="2" t="str">
        <x:v>Regelbestand laut Verkäufer</x:v>
      </x:c>
      <x:c r="K619" s="2" t="str">
        <x:v>Export KREDIT-ERF-20260930, Einzelbelege nicht im Datenraum</x:v>
      </x:c>
    </x:row>
    <x:row r="620" ht="22" customHeight="1">
      <x:c r="A620" s="2" t="str">
        <x:v>APB-0615</x:v>
      </x:c>
      <x:c r="B620" s="2" t="str">
        <x:v>Bestandskunde 0615</x:v>
      </x:c>
      <x:c r="C620" s="2" t="str">
        <x:v>Nur Verkäuferexport</x:v>
      </x:c>
      <x:c r="D620" s="9" t="n">
        <x:v>18255</x:v>
      </x:c>
      <x:c r="E620" s="9" t="n">
        <x:v>19.5</x:v>
      </x:c>
      <x:c r="F620" s="9" t="n">
        <x:v>0</x:v>
      </x:c>
      <x:c r="G620" s="11" t="n">
        <x:f>SUM(D620:F620)</x:f>
        <x:v>18274.5</x:v>
      </x:c>
      <x:c r="H620" s="10" t="n">
        <x:v>0.92</x:v>
      </x:c>
      <x:c r="I620" s="11" t="n">
        <x:f>IF(ISNUMBER(H620),ROUND(D620*H620,2),NA())</x:f>
        <x:v>16794.6</x:v>
      </x:c>
      <x:c r="J620" s="2" t="str">
        <x:v>Regelbestand laut Verkäufer</x:v>
      </x:c>
      <x:c r="K620" s="2" t="str">
        <x:v>Export KREDIT-ERF-20260930, Einzelbelege nicht im Datenraum</x:v>
      </x:c>
    </x:row>
    <x:row r="621" ht="22" customHeight="1">
      <x:c r="A621" s="2" t="str">
        <x:v>APB-0616</x:v>
      </x:c>
      <x:c r="B621" s="2" t="str">
        <x:v>Bestandskunde 0616</x:v>
      </x:c>
      <x:c r="C621" s="2" t="str">
        <x:v>Nur Verkäuferexport</x:v>
      </x:c>
      <x:c r="D621" s="9" t="n">
        <x:v>18392</x:v>
      </x:c>
      <x:c r="E621" s="9" t="n">
        <x:v>26</x:v>
      </x:c>
      <x:c r="F621" s="9" t="n">
        <x:v>0</x:v>
      </x:c>
      <x:c r="G621" s="11" t="n">
        <x:f>SUM(D621:F621)</x:f>
        <x:v>18418</x:v>
      </x:c>
      <x:c r="H621" s="10" t="n">
        <x:v>0.92</x:v>
      </x:c>
      <x:c r="I621" s="11" t="n">
        <x:f>IF(ISNUMBER(H621),ROUND(D621*H621,2),NA())</x:f>
        <x:v>16920.64</x:v>
      </x:c>
      <x:c r="J621" s="2" t="str">
        <x:v>Regelbestand laut Verkäufer</x:v>
      </x:c>
      <x:c r="K621" s="2" t="str">
        <x:v>Export KREDIT-ERF-20260930, Einzelbelege nicht im Datenraum</x:v>
      </x:c>
    </x:row>
    <x:row r="622" ht="22" customHeight="1">
      <x:c r="A622" s="2" t="str">
        <x:v>APB-0617</x:v>
      </x:c>
      <x:c r="B622" s="2" t="str">
        <x:v>Bestandskunde 0617</x:v>
      </x:c>
      <x:c r="C622" s="2" t="str">
        <x:v>Nur Verkäuferexport</x:v>
      </x:c>
      <x:c r="D622" s="9" t="n">
        <x:v>18529</x:v>
      </x:c>
      <x:c r="E622" s="9" t="n">
        <x:v>32.5</x:v>
      </x:c>
      <x:c r="F622" s="9" t="n">
        <x:v>0</x:v>
      </x:c>
      <x:c r="G622" s="11" t="n">
        <x:f>SUM(D622:F622)</x:f>
        <x:v>18561.5</x:v>
      </x:c>
      <x:c r="H622" s="10" t="n">
        <x:v>0.92</x:v>
      </x:c>
      <x:c r="I622" s="11" t="n">
        <x:f>IF(ISNUMBER(H622),ROUND(D622*H622,2),NA())</x:f>
        <x:v>17046.68</x:v>
      </x:c>
      <x:c r="J622" s="2" t="str">
        <x:v>Regelbestand laut Verkäufer</x:v>
      </x:c>
      <x:c r="K622" s="2" t="str">
        <x:v>Export KREDIT-ERF-20260930, Einzelbelege nicht im Datenraum</x:v>
      </x:c>
    </x:row>
    <x:row r="623" ht="22" customHeight="1">
      <x:c r="A623" s="2" t="str">
        <x:v>APB-0618</x:v>
      </x:c>
      <x:c r="B623" s="2" t="str">
        <x:v>Bestandskunde 0618</x:v>
      </x:c>
      <x:c r="C623" s="2" t="str">
        <x:v>Nur Verkäuferexport</x:v>
      </x:c>
      <x:c r="D623" s="9" t="n">
        <x:v>18666</x:v>
      </x:c>
      <x:c r="E623" s="9" t="n">
        <x:v>39</x:v>
      </x:c>
      <x:c r="F623" s="9" t="n">
        <x:v>0</x:v>
      </x:c>
      <x:c r="G623" s="11" t="n">
        <x:f>SUM(D623:F623)</x:f>
        <x:v>18705</x:v>
      </x:c>
      <x:c r="H623" s="10" t="n">
        <x:v>0.92</x:v>
      </x:c>
      <x:c r="I623" s="11" t="n">
        <x:f>IF(ISNUMBER(H623),ROUND(D623*H623,2),NA())</x:f>
        <x:v>17172.72</x:v>
      </x:c>
      <x:c r="J623" s="2" t="str">
        <x:v>Regelbestand laut Verkäufer</x:v>
      </x:c>
      <x:c r="K623" s="2" t="str">
        <x:v>Export KREDIT-ERF-20260930, Einzelbelege nicht im Datenraum</x:v>
      </x:c>
    </x:row>
    <x:row r="624" ht="22" customHeight="1">
      <x:c r="A624" s="2" t="str">
        <x:v>APB-0619</x:v>
      </x:c>
      <x:c r="B624" s="2" t="str">
        <x:v>Bestandskunde 0619</x:v>
      </x:c>
      <x:c r="C624" s="2" t="str">
        <x:v>Nur Verkäuferexport</x:v>
      </x:c>
      <x:c r="D624" s="9" t="n">
        <x:v>18803</x:v>
      </x:c>
      <x:c r="E624" s="9" t="n">
        <x:v>45.5</x:v>
      </x:c>
      <x:c r="F624" s="9" t="n">
        <x:v>0</x:v>
      </x:c>
      <x:c r="G624" s="11" t="n">
        <x:f>SUM(D624:F624)</x:f>
        <x:v>18848.5</x:v>
      </x:c>
      <x:c r="H624" s="10" t="n">
        <x:v>0.92</x:v>
      </x:c>
      <x:c r="I624" s="11" t="n">
        <x:f>IF(ISNUMBER(H624),ROUND(D624*H624,2),NA())</x:f>
        <x:v>17298.76</x:v>
      </x:c>
      <x:c r="J624" s="2" t="str">
        <x:v>Regelbestand laut Verkäufer</x:v>
      </x:c>
      <x:c r="K624" s="2" t="str">
        <x:v>Export KREDIT-ERF-20260930, Einzelbelege nicht im Datenraum</x:v>
      </x:c>
    </x:row>
    <x:row r="625" ht="22" customHeight="1">
      <x:c r="A625" s="2" t="str">
        <x:v>APB-0620</x:v>
      </x:c>
      <x:c r="B625" s="2" t="str">
        <x:v>Bestandskunde 0620</x:v>
      </x:c>
      <x:c r="C625" s="2" t="str">
        <x:v>Nur Verkäuferexport</x:v>
      </x:c>
      <x:c r="D625" s="9" t="n">
        <x:v>18940</x:v>
      </x:c>
      <x:c r="E625" s="9" t="n">
        <x:v>52</x:v>
      </x:c>
      <x:c r="F625" s="9" t="n">
        <x:v>0</x:v>
      </x:c>
      <x:c r="G625" s="11" t="n">
        <x:f>SUM(D625:F625)</x:f>
        <x:v>18992</x:v>
      </x:c>
      <x:c r="H625" s="10" t="n">
        <x:v>0.92</x:v>
      </x:c>
      <x:c r="I625" s="11" t="n">
        <x:f>IF(ISNUMBER(H625),ROUND(D625*H625,2),NA())</x:f>
        <x:v>17424.8</x:v>
      </x:c>
      <x:c r="J625" s="2" t="str">
        <x:v>Regelbestand laut Verkäufer</x:v>
      </x:c>
      <x:c r="K625" s="2" t="str">
        <x:v>Export KREDIT-ERF-20260930, Einzelbelege nicht im Datenraum</x:v>
      </x:c>
    </x:row>
    <x:row r="626" ht="22" customHeight="1">
      <x:c r="A626" s="2" t="str">
        <x:v>APB-0621</x:v>
      </x:c>
      <x:c r="B626" s="2" t="str">
        <x:v>Bestandskunde 0621</x:v>
      </x:c>
      <x:c r="C626" s="2" t="str">
        <x:v>Nur Verkäuferexport</x:v>
      </x:c>
      <x:c r="D626" s="9" t="n">
        <x:v>19077</x:v>
      </x:c>
      <x:c r="E626" s="9" t="n">
        <x:v>0</x:v>
      </x:c>
      <x:c r="F626" s="9" t="n">
        <x:v>0</x:v>
      </x:c>
      <x:c r="G626" s="11" t="n">
        <x:f>SUM(D626:F626)</x:f>
        <x:v>19077</x:v>
      </x:c>
      <x:c r="H626" s="10" t="n">
        <x:v>0.92</x:v>
      </x:c>
      <x:c r="I626" s="11" t="n">
        <x:f>IF(ISNUMBER(H626),ROUND(D626*H626,2),NA())</x:f>
        <x:v>17550.84</x:v>
      </x:c>
      <x:c r="J626" s="2" t="str">
        <x:v>Regelbestand laut Verkäufer</x:v>
      </x:c>
      <x:c r="K626" s="2" t="str">
        <x:v>Export KREDIT-ERF-20260930, Einzelbelege nicht im Datenraum</x:v>
      </x:c>
    </x:row>
    <x:row r="627" ht="22" customHeight="1">
      <x:c r="A627" s="2" t="str">
        <x:v>APB-0622</x:v>
      </x:c>
      <x:c r="B627" s="2" t="str">
        <x:v>Bestandskunde 0622</x:v>
      </x:c>
      <x:c r="C627" s="2" t="str">
        <x:v>Nur Verkäuferexport</x:v>
      </x:c>
      <x:c r="D627" s="9" t="n">
        <x:v>19214</x:v>
      </x:c>
      <x:c r="E627" s="9" t="n">
        <x:v>6.5</x:v>
      </x:c>
      <x:c r="F627" s="9" t="n">
        <x:v>0</x:v>
      </x:c>
      <x:c r="G627" s="11" t="n">
        <x:f>SUM(D627:F627)</x:f>
        <x:v>19220.5</x:v>
      </x:c>
      <x:c r="H627" s="10" t="n">
        <x:v>0.92</x:v>
      </x:c>
      <x:c r="I627" s="11" t="n">
        <x:f>IF(ISNUMBER(H627),ROUND(D627*H627,2),NA())</x:f>
        <x:v>17676.88</x:v>
      </x:c>
      <x:c r="J627" s="2" t="str">
        <x:v>Regelbestand laut Verkäufer</x:v>
      </x:c>
      <x:c r="K627" s="2" t="str">
        <x:v>Export KREDIT-ERF-20260930, Einzelbelege nicht im Datenraum</x:v>
      </x:c>
    </x:row>
    <x:row r="628" ht="22" customHeight="1">
      <x:c r="A628" s="2" t="str">
        <x:v>APB-0623</x:v>
      </x:c>
      <x:c r="B628" s="2" t="str">
        <x:v>Bestandskunde 0623</x:v>
      </x:c>
      <x:c r="C628" s="2" t="str">
        <x:v>Nur Verkäuferexport</x:v>
      </x:c>
      <x:c r="D628" s="9" t="n">
        <x:v>19351</x:v>
      </x:c>
      <x:c r="E628" s="9" t="n">
        <x:v>13</x:v>
      </x:c>
      <x:c r="F628" s="9" t="n">
        <x:v>0</x:v>
      </x:c>
      <x:c r="G628" s="11" t="n">
        <x:f>SUM(D628:F628)</x:f>
        <x:v>19364</x:v>
      </x:c>
      <x:c r="H628" s="10" t="n">
        <x:v>0.92</x:v>
      </x:c>
      <x:c r="I628" s="11" t="n">
        <x:f>IF(ISNUMBER(H628),ROUND(D628*H628,2),NA())</x:f>
        <x:v>17802.92</x:v>
      </x:c>
      <x:c r="J628" s="2" t="str">
        <x:v>Regelbestand laut Verkäufer</x:v>
      </x:c>
      <x:c r="K628" s="2" t="str">
        <x:v>Export KREDIT-ERF-20260930, Einzelbelege nicht im Datenraum</x:v>
      </x:c>
    </x:row>
    <x:row r="629" ht="22" customHeight="1">
      <x:c r="A629" s="2" t="str">
        <x:v>APB-0624</x:v>
      </x:c>
      <x:c r="B629" s="2" t="str">
        <x:v>Bestandskunde 0624</x:v>
      </x:c>
      <x:c r="C629" s="2" t="str">
        <x:v>Nur Verkäuferexport</x:v>
      </x:c>
      <x:c r="D629" s="9" t="n">
        <x:v>19488</x:v>
      </x:c>
      <x:c r="E629" s="9" t="n">
        <x:v>19.5</x:v>
      </x:c>
      <x:c r="F629" s="9" t="n">
        <x:v>0</x:v>
      </x:c>
      <x:c r="G629" s="11" t="n">
        <x:f>SUM(D629:F629)</x:f>
        <x:v>19507.5</x:v>
      </x:c>
      <x:c r="H629" s="10" t="n">
        <x:v>0.92</x:v>
      </x:c>
      <x:c r="I629" s="11" t="n">
        <x:f>IF(ISNUMBER(H629),ROUND(D629*H629,2),NA())</x:f>
        <x:v>17928.96</x:v>
      </x:c>
      <x:c r="J629" s="2" t="str">
        <x:v>Regelbestand laut Verkäufer</x:v>
      </x:c>
      <x:c r="K629" s="2" t="str">
        <x:v>Export KREDIT-ERF-20260930, Einzelbelege nicht im Datenraum</x:v>
      </x:c>
    </x:row>
    <x:row r="630" ht="22" customHeight="1">
      <x:c r="A630" s="2" t="str">
        <x:v>APB-0625</x:v>
      </x:c>
      <x:c r="B630" s="2" t="str">
        <x:v>Bestandskunde 0625</x:v>
      </x:c>
      <x:c r="C630" s="2" t="str">
        <x:v>Nur Verkäuferexport</x:v>
      </x:c>
      <x:c r="D630" s="9" t="n">
        <x:v>19625</x:v>
      </x:c>
      <x:c r="E630" s="9" t="n">
        <x:v>26</x:v>
      </x:c>
      <x:c r="F630" s="9" t="n">
        <x:v>0</x:v>
      </x:c>
      <x:c r="G630" s="11" t="n">
        <x:f>SUM(D630:F630)</x:f>
        <x:v>19651</x:v>
      </x:c>
      <x:c r="H630" s="10" t="n">
        <x:v>0.92</x:v>
      </x:c>
      <x:c r="I630" s="11" t="n">
        <x:f>IF(ISNUMBER(H630),ROUND(D630*H630,2),NA())</x:f>
        <x:v>18055</x:v>
      </x:c>
      <x:c r="J630" s="2" t="str">
        <x:v>Regelbestand laut Verkäufer</x:v>
      </x:c>
      <x:c r="K630" s="2" t="str">
        <x:v>Export KREDIT-ERF-20260930, Einzelbelege nicht im Datenraum</x:v>
      </x:c>
    </x:row>
    <x:row r="631" ht="22" customHeight="1">
      <x:c r="A631" s="2" t="str">
        <x:v>APB-0626</x:v>
      </x:c>
      <x:c r="B631" s="2" t="str">
        <x:v>Bestandskunde 0626</x:v>
      </x:c>
      <x:c r="C631" s="2" t="str">
        <x:v>Nur Verkäuferexport</x:v>
      </x:c>
      <x:c r="D631" s="9" t="n">
        <x:v>19762</x:v>
      </x:c>
      <x:c r="E631" s="9" t="n">
        <x:v>32.5</x:v>
      </x:c>
      <x:c r="F631" s="9" t="n">
        <x:v>0</x:v>
      </x:c>
      <x:c r="G631" s="11" t="n">
        <x:f>SUM(D631:F631)</x:f>
        <x:v>19794.5</x:v>
      </x:c>
      <x:c r="H631" s="10" t="n">
        <x:v>0.92</x:v>
      </x:c>
      <x:c r="I631" s="11" t="n">
        <x:f>IF(ISNUMBER(H631),ROUND(D631*H631,2),NA())</x:f>
        <x:v>18181.04</x:v>
      </x:c>
      <x:c r="J631" s="2" t="str">
        <x:v>Regelbestand laut Verkäufer</x:v>
      </x:c>
      <x:c r="K631" s="2" t="str">
        <x:v>Export KREDIT-ERF-20260930, Einzelbelege nicht im Datenraum</x:v>
      </x:c>
    </x:row>
    <x:row r="632" ht="22" customHeight="1">
      <x:c r="A632" s="2" t="str">
        <x:v>APB-0627</x:v>
      </x:c>
      <x:c r="B632" s="2" t="str">
        <x:v>Bestandskunde 0627</x:v>
      </x:c>
      <x:c r="C632" s="2" t="str">
        <x:v>Nur Verkäuferexport</x:v>
      </x:c>
      <x:c r="D632" s="9" t="n">
        <x:v>19899</x:v>
      </x:c>
      <x:c r="E632" s="9" t="n">
        <x:v>39</x:v>
      </x:c>
      <x:c r="F632" s="9" t="n">
        <x:v>0</x:v>
      </x:c>
      <x:c r="G632" s="11" t="n">
        <x:f>SUM(D632:F632)</x:f>
        <x:v>19938</x:v>
      </x:c>
      <x:c r="H632" s="10" t="n">
        <x:v>0.92</x:v>
      </x:c>
      <x:c r="I632" s="11" t="n">
        <x:f>IF(ISNUMBER(H632),ROUND(D632*H632,2),NA())</x:f>
        <x:v>18307.08</x:v>
      </x:c>
      <x:c r="J632" s="2" t="str">
        <x:v>Regelbestand laut Verkäufer</x:v>
      </x:c>
      <x:c r="K632" s="2" t="str">
        <x:v>Export KREDIT-ERF-20260930, Einzelbelege nicht im Datenraum</x:v>
      </x:c>
    </x:row>
    <x:row r="633" ht="22" customHeight="1">
      <x:c r="A633" s="2" t="str">
        <x:v>APB-0628</x:v>
      </x:c>
      <x:c r="B633" s="2" t="str">
        <x:v>Bestandskunde 0628</x:v>
      </x:c>
      <x:c r="C633" s="2" t="str">
        <x:v>Nur Verkäuferexport</x:v>
      </x:c>
      <x:c r="D633" s="9" t="n">
        <x:v>20036</x:v>
      </x:c>
      <x:c r="E633" s="9" t="n">
        <x:v>45.5</x:v>
      </x:c>
      <x:c r="F633" s="9" t="n">
        <x:v>0</x:v>
      </x:c>
      <x:c r="G633" s="11" t="n">
        <x:f>SUM(D633:F633)</x:f>
        <x:v>20081.5</x:v>
      </x:c>
      <x:c r="H633" s="10" t="n">
        <x:v>0.92</x:v>
      </x:c>
      <x:c r="I633" s="11" t="n">
        <x:f>IF(ISNUMBER(H633),ROUND(D633*H633,2),NA())</x:f>
        <x:v>18433.12</x:v>
      </x:c>
      <x:c r="J633" s="2" t="str">
        <x:v>Regelbestand laut Verkäufer</x:v>
      </x:c>
      <x:c r="K633" s="2" t="str">
        <x:v>Export KREDIT-ERF-20260930, Einzelbelege nicht im Datenraum</x:v>
      </x:c>
    </x:row>
    <x:row r="634" ht="22" customHeight="1">
      <x:c r="A634" s="2" t="str">
        <x:v>APB-0629</x:v>
      </x:c>
      <x:c r="B634" s="2" t="str">
        <x:v>Bestandskunde 0629</x:v>
      </x:c>
      <x:c r="C634" s="2" t="str">
        <x:v>Nur Verkäuferexport</x:v>
      </x:c>
      <x:c r="D634" s="9" t="n">
        <x:v>20173</x:v>
      </x:c>
      <x:c r="E634" s="9" t="n">
        <x:v>52</x:v>
      </x:c>
      <x:c r="F634" s="9" t="n">
        <x:v>0</x:v>
      </x:c>
      <x:c r="G634" s="11" t="n">
        <x:f>SUM(D634:F634)</x:f>
        <x:v>20225</x:v>
      </x:c>
      <x:c r="H634" s="10" t="n">
        <x:v>0.92</x:v>
      </x:c>
      <x:c r="I634" s="11" t="n">
        <x:f>IF(ISNUMBER(H634),ROUND(D634*H634,2),NA())</x:f>
        <x:v>18559.16</x:v>
      </x:c>
      <x:c r="J634" s="2" t="str">
        <x:v>Regelbestand laut Verkäufer</x:v>
      </x:c>
      <x:c r="K634" s="2" t="str">
        <x:v>Export KREDIT-ERF-20260930, Einzelbelege nicht im Datenraum</x:v>
      </x:c>
    </x:row>
    <x:row r="635" ht="22" customHeight="1">
      <x:c r="A635" s="2" t="str">
        <x:v>APB-0630</x:v>
      </x:c>
      <x:c r="B635" s="2" t="str">
        <x:v>Bestandskunde 0630</x:v>
      </x:c>
      <x:c r="C635" s="2" t="str">
        <x:v>Nur Verkäuferexport</x:v>
      </x:c>
      <x:c r="D635" s="9" t="n">
        <x:v>20310</x:v>
      </x:c>
      <x:c r="E635" s="9" t="n">
        <x:v>0</x:v>
      </x:c>
      <x:c r="F635" s="9" t="n">
        <x:v>0</x:v>
      </x:c>
      <x:c r="G635" s="11" t="n">
        <x:f>SUM(D635:F635)</x:f>
        <x:v>20310</x:v>
      </x:c>
      <x:c r="H635" s="10" t="n">
        <x:v>0.92</x:v>
      </x:c>
      <x:c r="I635" s="11" t="n">
        <x:f>IF(ISNUMBER(H635),ROUND(D635*H635,2),NA())</x:f>
        <x:v>18685.2</x:v>
      </x:c>
      <x:c r="J635" s="2" t="str">
        <x:v>Regelbestand laut Verkäufer</x:v>
      </x:c>
      <x:c r="K635" s="2" t="str">
        <x:v>Export KREDIT-ERF-20260930, Einzelbelege nicht im Datenraum</x:v>
      </x:c>
    </x:row>
    <x:row r="636" ht="22" customHeight="1">
      <x:c r="A636" s="2" t="str">
        <x:v>APB-0631</x:v>
      </x:c>
      <x:c r="B636" s="2" t="str">
        <x:v>Bestandskunde 0631</x:v>
      </x:c>
      <x:c r="C636" s="2" t="str">
        <x:v>Nur Verkäuferexport</x:v>
      </x:c>
      <x:c r="D636" s="9" t="n">
        <x:v>20447</x:v>
      </x:c>
      <x:c r="E636" s="9" t="n">
        <x:v>6.5</x:v>
      </x:c>
      <x:c r="F636" s="9" t="n">
        <x:v>0</x:v>
      </x:c>
      <x:c r="G636" s="11" t="n">
        <x:f>SUM(D636:F636)</x:f>
        <x:v>20453.5</x:v>
      </x:c>
      <x:c r="H636" s="10" t="n">
        <x:v>0.92</x:v>
      </x:c>
      <x:c r="I636" s="11" t="n">
        <x:f>IF(ISNUMBER(H636),ROUND(D636*H636,2),NA())</x:f>
        <x:v>18811.24</x:v>
      </x:c>
      <x:c r="J636" s="2" t="str">
        <x:v>Regelbestand laut Verkäufer</x:v>
      </x:c>
      <x:c r="K636" s="2" t="str">
        <x:v>Export KREDIT-ERF-20260930, Einzelbelege nicht im Datenraum</x:v>
      </x:c>
    </x:row>
    <x:row r="637" ht="22" customHeight="1">
      <x:c r="A637" s="2" t="str">
        <x:v>APB-0632</x:v>
      </x:c>
      <x:c r="B637" s="2" t="str">
        <x:v>Bestandskunde 0632</x:v>
      </x:c>
      <x:c r="C637" s="2" t="str">
        <x:v>Nur Verkäuferexport</x:v>
      </x:c>
      <x:c r="D637" s="9" t="n">
        <x:v>20584</x:v>
      </x:c>
      <x:c r="E637" s="9" t="n">
        <x:v>13</x:v>
      </x:c>
      <x:c r="F637" s="9" t="n">
        <x:v>0</x:v>
      </x:c>
      <x:c r="G637" s="11" t="n">
        <x:f>SUM(D637:F637)</x:f>
        <x:v>20597</x:v>
      </x:c>
      <x:c r="H637" s="10" t="n">
        <x:v>0.92</x:v>
      </x:c>
      <x:c r="I637" s="11" t="n">
        <x:f>IF(ISNUMBER(H637),ROUND(D637*H637,2),NA())</x:f>
        <x:v>18937.28</x:v>
      </x:c>
      <x:c r="J637" s="2" t="str">
        <x:v>Regelbestand laut Verkäufer</x:v>
      </x:c>
      <x:c r="K637" s="2" t="str">
        <x:v>Export KREDIT-ERF-20260930, Einzelbelege nicht im Datenraum</x:v>
      </x:c>
    </x:row>
    <x:row r="638" ht="22" customHeight="1">
      <x:c r="A638" s="2" t="str">
        <x:v>APB-0633</x:v>
      </x:c>
      <x:c r="B638" s="2" t="str">
        <x:v>Bestandskunde 0633</x:v>
      </x:c>
      <x:c r="C638" s="2" t="str">
        <x:v>Nur Verkäuferexport</x:v>
      </x:c>
      <x:c r="D638" s="9" t="n">
        <x:v>20721</x:v>
      </x:c>
      <x:c r="E638" s="9" t="n">
        <x:v>19.5</x:v>
      </x:c>
      <x:c r="F638" s="9" t="n">
        <x:v>0</x:v>
      </x:c>
      <x:c r="G638" s="11" t="n">
        <x:f>SUM(D638:F638)</x:f>
        <x:v>20740.5</x:v>
      </x:c>
      <x:c r="H638" s="10" t="n">
        <x:v>0.92</x:v>
      </x:c>
      <x:c r="I638" s="11" t="n">
        <x:f>IF(ISNUMBER(H638),ROUND(D638*H638,2),NA())</x:f>
        <x:v>19063.32</x:v>
      </x:c>
      <x:c r="J638" s="2" t="str">
        <x:v>Regelbestand laut Verkäufer</x:v>
      </x:c>
      <x:c r="K638" s="2" t="str">
        <x:v>Export KREDIT-ERF-20260930, Einzelbelege nicht im Datenraum</x:v>
      </x:c>
    </x:row>
    <x:row r="639" ht="22" customHeight="1">
      <x:c r="A639" s="2" t="str">
        <x:v>APB-0634</x:v>
      </x:c>
      <x:c r="B639" s="2" t="str">
        <x:v>Bestandskunde 0634</x:v>
      </x:c>
      <x:c r="C639" s="2" t="str">
        <x:v>Nur Verkäuferexport</x:v>
      </x:c>
      <x:c r="D639" s="9" t="n">
        <x:v>20858</x:v>
      </x:c>
      <x:c r="E639" s="9" t="n">
        <x:v>26</x:v>
      </x:c>
      <x:c r="F639" s="9" t="n">
        <x:v>0</x:v>
      </x:c>
      <x:c r="G639" s="11" t="n">
        <x:f>SUM(D639:F639)</x:f>
        <x:v>20884</x:v>
      </x:c>
      <x:c r="H639" s="10" t="n">
        <x:v>0.92</x:v>
      </x:c>
      <x:c r="I639" s="11" t="n">
        <x:f>IF(ISNUMBER(H639),ROUND(D639*H639,2),NA())</x:f>
        <x:v>19189.36</x:v>
      </x:c>
      <x:c r="J639" s="2" t="str">
        <x:v>Regelbestand laut Verkäufer</x:v>
      </x:c>
      <x:c r="K639" s="2" t="str">
        <x:v>Export KREDIT-ERF-20260930, Einzelbelege nicht im Datenraum</x:v>
      </x:c>
    </x:row>
    <x:row r="640" ht="22" customHeight="1">
      <x:c r="A640" s="2" t="str">
        <x:v>APB-0635</x:v>
      </x:c>
      <x:c r="B640" s="2" t="str">
        <x:v>Bestandskunde 0635</x:v>
      </x:c>
      <x:c r="C640" s="2" t="str">
        <x:v>Nur Verkäuferexport</x:v>
      </x:c>
      <x:c r="D640" s="9" t="n">
        <x:v>20995</x:v>
      </x:c>
      <x:c r="E640" s="9" t="n">
        <x:v>32.5</x:v>
      </x:c>
      <x:c r="F640" s="9" t="n">
        <x:v>0</x:v>
      </x:c>
      <x:c r="G640" s="11" t="n">
        <x:f>SUM(D640:F640)</x:f>
        <x:v>21027.5</x:v>
      </x:c>
      <x:c r="H640" s="10" t="n">
        <x:v>0.92</x:v>
      </x:c>
      <x:c r="I640" s="11" t="n">
        <x:f>IF(ISNUMBER(H640),ROUND(D640*H640,2),NA())</x:f>
        <x:v>19315.4</x:v>
      </x:c>
      <x:c r="J640" s="2" t="str">
        <x:v>Regelbestand laut Verkäufer</x:v>
      </x:c>
      <x:c r="K640" s="2" t="str">
        <x:v>Export KREDIT-ERF-20260930, Einzelbelege nicht im Datenraum</x:v>
      </x:c>
    </x:row>
    <x:row r="641" ht="22" customHeight="1">
      <x:c r="A641" s="2" t="str">
        <x:v>APB-0636</x:v>
      </x:c>
      <x:c r="B641" s="2" t="str">
        <x:v>Bestandskunde 0636</x:v>
      </x:c>
      <x:c r="C641" s="2" t="str">
        <x:v>Nur Verkäuferexport</x:v>
      </x:c>
      <x:c r="D641" s="9" t="n">
        <x:v>21132</x:v>
      </x:c>
      <x:c r="E641" s="9" t="n">
        <x:v>39</x:v>
      </x:c>
      <x:c r="F641" s="9" t="n">
        <x:v>0</x:v>
      </x:c>
      <x:c r="G641" s="11" t="n">
        <x:f>SUM(D641:F641)</x:f>
        <x:v>21171</x:v>
      </x:c>
      <x:c r="H641" s="10" t="n">
        <x:v>0.92</x:v>
      </x:c>
      <x:c r="I641" s="11" t="n">
        <x:f>IF(ISNUMBER(H641),ROUND(D641*H641,2),NA())</x:f>
        <x:v>19441.44</x:v>
      </x:c>
      <x:c r="J641" s="2" t="str">
        <x:v>Regelbestand laut Verkäufer</x:v>
      </x:c>
      <x:c r="K641" s="2" t="str">
        <x:v>Export KREDIT-ERF-20260930, Einzelbelege nicht im Datenraum</x:v>
      </x:c>
    </x:row>
    <x:row r="642" ht="22" customHeight="1">
      <x:c r="A642" s="2" t="str">
        <x:v>APB-0637</x:v>
      </x:c>
      <x:c r="B642" s="2" t="str">
        <x:v>Bestandskunde 0637</x:v>
      </x:c>
      <x:c r="C642" s="2" t="str">
        <x:v>Nur Verkäuferexport</x:v>
      </x:c>
      <x:c r="D642" s="9" t="n">
        <x:v>21269</x:v>
      </x:c>
      <x:c r="E642" s="9" t="n">
        <x:v>45.5</x:v>
      </x:c>
      <x:c r="F642" s="9" t="n">
        <x:v>0</x:v>
      </x:c>
      <x:c r="G642" s="11" t="n">
        <x:f>SUM(D642:F642)</x:f>
        <x:v>21314.5</x:v>
      </x:c>
      <x:c r="H642" s="10" t="n">
        <x:v>0.92</x:v>
      </x:c>
      <x:c r="I642" s="11" t="n">
        <x:f>IF(ISNUMBER(H642),ROUND(D642*H642,2),NA())</x:f>
        <x:v>19567.48</x:v>
      </x:c>
      <x:c r="J642" s="2" t="str">
        <x:v>Regelbestand laut Verkäufer</x:v>
      </x:c>
      <x:c r="K642" s="2" t="str">
        <x:v>Export KREDIT-ERF-20260930, Einzelbelege nicht im Datenraum</x:v>
      </x:c>
    </x:row>
    <x:row r="643" ht="22" customHeight="1">
      <x:c r="A643" s="2" t="str">
        <x:v>APB-0638</x:v>
      </x:c>
      <x:c r="B643" s="2" t="str">
        <x:v>Bestandskunde 0638</x:v>
      </x:c>
      <x:c r="C643" s="2" t="str">
        <x:v>Nur Verkäuferexport</x:v>
      </x:c>
      <x:c r="D643" s="9" t="n">
        <x:v>21406</x:v>
      </x:c>
      <x:c r="E643" s="9" t="n">
        <x:v>52</x:v>
      </x:c>
      <x:c r="F643" s="9" t="n">
        <x:v>15</x:v>
      </x:c>
      <x:c r="G643" s="11" t="n">
        <x:f>SUM(D643:F643)</x:f>
        <x:v>21473</x:v>
      </x:c>
      <x:c r="H643" s="10" t="n">
        <x:v>0.92</x:v>
      </x:c>
      <x:c r="I643" s="11" t="n">
        <x:f>IF(ISNUMBER(H643),ROUND(D643*H643,2),NA())</x:f>
        <x:v>19693.52</x:v>
      </x:c>
      <x:c r="J643" s="2" t="str">
        <x:v>Zahlungslücke im Export</x:v>
      </x:c>
      <x:c r="K643" s="2" t="str">
        <x:v>Export KREDIT-ERF-20260930, Einzelbelege nicht im Datenraum</x:v>
      </x:c>
    </x:row>
    <x:row r="644" ht="22" customHeight="1">
      <x:c r="A644" s="2" t="str">
        <x:v>APB-0639</x:v>
      </x:c>
      <x:c r="B644" s="2" t="str">
        <x:v>Bestandskunde 0639</x:v>
      </x:c>
      <x:c r="C644" s="2" t="str">
        <x:v>Nur Verkäuferexport</x:v>
      </x:c>
      <x:c r="D644" s="9" t="n">
        <x:v>21543</x:v>
      </x:c>
      <x:c r="E644" s="9" t="n">
        <x:v>0</x:v>
      </x:c>
      <x:c r="F644" s="9" t="n">
        <x:v>0</x:v>
      </x:c>
      <x:c r="G644" s="11" t="n">
        <x:f>SUM(D644:F644)</x:f>
        <x:v>21543</x:v>
      </x:c>
      <x:c r="H644" s="10" t="n">
        <x:v>0.92</x:v>
      </x:c>
      <x:c r="I644" s="11" t="n">
        <x:f>IF(ISNUMBER(H644),ROUND(D644*H644,2),NA())</x:f>
        <x:v>19819.56</x:v>
      </x:c>
      <x:c r="J644" s="2" t="str">
        <x:v>Regelbestand laut Verkäufer</x:v>
      </x:c>
      <x:c r="K644" s="2" t="str">
        <x:v>Export KREDIT-ERF-20260930, Einzelbelege nicht im Datenraum</x:v>
      </x:c>
    </x:row>
    <x:row r="645" ht="22" customHeight="1">
      <x:c r="A645" s="2" t="str">
        <x:v>APB-0640</x:v>
      </x:c>
      <x:c r="B645" s="2" t="str">
        <x:v>Bestandskunde 0640</x:v>
      </x:c>
      <x:c r="C645" s="2" t="str">
        <x:v>Nur Verkäuferexport</x:v>
      </x:c>
      <x:c r="D645" s="9" t="n">
        <x:v>21680</x:v>
      </x:c>
      <x:c r="E645" s="9" t="n">
        <x:v>6.5</x:v>
      </x:c>
      <x:c r="F645" s="9" t="n">
        <x:v>0</x:v>
      </x:c>
      <x:c r="G645" s="11" t="n">
        <x:f>SUM(D645:F645)</x:f>
        <x:v>21686.5</x:v>
      </x:c>
      <x:c r="H645" s="10" t="n">
        <x:v>0.92</x:v>
      </x:c>
      <x:c r="I645" s="11" t="n">
        <x:f>IF(ISNUMBER(H645),ROUND(D645*H645,2),NA())</x:f>
        <x:v>19945.6</x:v>
      </x:c>
      <x:c r="J645" s="2" t="str">
        <x:v>Regelbestand laut Verkäufer</x:v>
      </x:c>
      <x:c r="K645" s="2" t="str">
        <x:v>Export KREDIT-ERF-20260930, Einzelbelege nicht im Datenraum</x:v>
      </x:c>
    </x:row>
    <x:row r="646" ht="22" customHeight="1">
      <x:c r="A646" s="2" t="str">
        <x:v>APB-0641</x:v>
      </x:c>
      <x:c r="B646" s="2" t="str">
        <x:v>Bestandskunde 0641</x:v>
      </x:c>
      <x:c r="C646" s="2" t="str">
        <x:v>Nur Verkäuferexport</x:v>
      </x:c>
      <x:c r="D646" s="9" t="n">
        <x:v>21817</x:v>
      </x:c>
      <x:c r="E646" s="9" t="n">
        <x:v>13</x:v>
      </x:c>
      <x:c r="F646" s="9" t="n">
        <x:v>0</x:v>
      </x:c>
      <x:c r="G646" s="11" t="n">
        <x:f>SUM(D646:F646)</x:f>
        <x:v>21830</x:v>
      </x:c>
      <x:c r="H646" s="10" t="n">
        <x:v>0.92</x:v>
      </x:c>
      <x:c r="I646" s="11" t="n">
        <x:f>IF(ISNUMBER(H646),ROUND(D646*H646,2),NA())</x:f>
        <x:v>20071.64</x:v>
      </x:c>
      <x:c r="J646" s="2" t="str">
        <x:v>Regelbestand laut Verkäufer</x:v>
      </x:c>
      <x:c r="K646" s="2" t="str">
        <x:v>Export KREDIT-ERF-20260930, Einzelbelege nicht im Datenraum</x:v>
      </x:c>
    </x:row>
    <x:row r="647" ht="22" customHeight="1">
      <x:c r="A647" s="2" t="str">
        <x:v>APB-0642</x:v>
      </x:c>
      <x:c r="B647" s="2" t="str">
        <x:v>Bestandskunde 0642</x:v>
      </x:c>
      <x:c r="C647" s="2" t="str">
        <x:v>Nur Verkäuferexport</x:v>
      </x:c>
      <x:c r="D647" s="9" t="n">
        <x:v>21954</x:v>
      </x:c>
      <x:c r="E647" s="9" t="n">
        <x:v>19.5</x:v>
      </x:c>
      <x:c r="F647" s="9" t="n">
        <x:v>0</x:v>
      </x:c>
      <x:c r="G647" s="11" t="n">
        <x:f>SUM(D647:F647)</x:f>
        <x:v>21973.5</x:v>
      </x:c>
      <x:c r="H647" s="10" t="n">
        <x:v>0.92</x:v>
      </x:c>
      <x:c r="I647" s="11" t="n">
        <x:f>IF(ISNUMBER(H647),ROUND(D647*H647,2),NA())</x:f>
        <x:v>20197.68</x:v>
      </x:c>
      <x:c r="J647" s="2" t="str">
        <x:v>Regelbestand laut Verkäufer</x:v>
      </x:c>
      <x:c r="K647" s="2" t="str">
        <x:v>Export KREDIT-ERF-20260930, Einzelbelege nicht im Datenraum</x:v>
      </x:c>
    </x:row>
    <x:row r="648" ht="22" customHeight="1">
      <x:c r="A648" s="2" t="str">
        <x:v>APB-0643</x:v>
      </x:c>
      <x:c r="B648" s="2" t="str">
        <x:v>Bestandskunde 0643</x:v>
      </x:c>
      <x:c r="C648" s="2" t="str">
        <x:v>Nur Verkäuferexport</x:v>
      </x:c>
      <x:c r="D648" s="9" t="n">
        <x:v>22091</x:v>
      </x:c>
      <x:c r="E648" s="9" t="n">
        <x:v>26</x:v>
      </x:c>
      <x:c r="F648" s="9" t="n">
        <x:v>0</x:v>
      </x:c>
      <x:c r="G648" s="11" t="n">
        <x:f>SUM(D648:F648)</x:f>
        <x:v>22117</x:v>
      </x:c>
      <x:c r="H648" s="10" t="n">
        <x:v>0.92</x:v>
      </x:c>
      <x:c r="I648" s="11" t="n">
        <x:f>IF(ISNUMBER(H648),ROUND(D648*H648,2),NA())</x:f>
        <x:v>20323.72</x:v>
      </x:c>
      <x:c r="J648" s="2" t="str">
        <x:v>Regelbestand laut Verkäufer</x:v>
      </x:c>
      <x:c r="K648" s="2" t="str">
        <x:v>Export KREDIT-ERF-20260930, Einzelbelege nicht im Datenraum</x:v>
      </x:c>
    </x:row>
    <x:row r="649" ht="22" customHeight="1">
      <x:c r="A649" s="2" t="str">
        <x:v>APB-0644</x:v>
      </x:c>
      <x:c r="B649" s="2" t="str">
        <x:v>Bestandskunde 0644</x:v>
      </x:c>
      <x:c r="C649" s="2" t="str">
        <x:v>Nur Verkäuferexport</x:v>
      </x:c>
      <x:c r="D649" s="9" t="n">
        <x:v>22228</x:v>
      </x:c>
      <x:c r="E649" s="9" t="n">
        <x:v>32.5</x:v>
      </x:c>
      <x:c r="F649" s="9" t="n">
        <x:v>0</x:v>
      </x:c>
      <x:c r="G649" s="11" t="n">
        <x:f>SUM(D649:F649)</x:f>
        <x:v>22260.5</x:v>
      </x:c>
      <x:c r="H649" s="10" t="n">
        <x:v>0.92</x:v>
      </x:c>
      <x:c r="I649" s="11" t="n">
        <x:f>IF(ISNUMBER(H649),ROUND(D649*H649,2),NA())</x:f>
        <x:v>20449.76</x:v>
      </x:c>
      <x:c r="J649" s="2" t="str">
        <x:v>Regelbestand laut Verkäufer</x:v>
      </x:c>
      <x:c r="K649" s="2" t="str">
        <x:v>Export KREDIT-ERF-20260930, Einzelbelege nicht im Datenraum</x:v>
      </x:c>
    </x:row>
    <x:row r="650" ht="22" customHeight="1">
      <x:c r="A650" s="2" t="str">
        <x:v>APB-0645</x:v>
      </x:c>
      <x:c r="B650" s="2" t="str">
        <x:v>Bestandskunde 0645</x:v>
      </x:c>
      <x:c r="C650" s="2" t="str">
        <x:v>Nur Verkäuferexport</x:v>
      </x:c>
      <x:c r="D650" s="9" t="n">
        <x:v>22365</x:v>
      </x:c>
      <x:c r="E650" s="9" t="n">
        <x:v>39</x:v>
      </x:c>
      <x:c r="F650" s="9" t="n">
        <x:v>0</x:v>
      </x:c>
      <x:c r="G650" s="11" t="n">
        <x:f>SUM(D650:F650)</x:f>
        <x:v>22404</x:v>
      </x:c>
      <x:c r="H650" s="10" t="n">
        <x:v>0.92</x:v>
      </x:c>
      <x:c r="I650" s="11" t="n">
        <x:f>IF(ISNUMBER(H650),ROUND(D650*H650,2),NA())</x:f>
        <x:v>20575.8</x:v>
      </x:c>
      <x:c r="J650" s="2" t="str">
        <x:v>Regelbestand laut Verkäufer</x:v>
      </x:c>
      <x:c r="K650" s="2" t="str">
        <x:v>Export KREDIT-ERF-20260930, Einzelbelege nicht im Datenraum</x:v>
      </x:c>
    </x:row>
    <x:row r="651" ht="22" customHeight="1">
      <x:c r="A651" s="2" t="str">
        <x:v>APB-0646</x:v>
      </x:c>
      <x:c r="B651" s="2" t="str">
        <x:v>Bestandskunde 0646</x:v>
      </x:c>
      <x:c r="C651" s="2" t="str">
        <x:v>Nur Verkäuferexport</x:v>
      </x:c>
      <x:c r="D651" s="9" t="n">
        <x:v>22502</x:v>
      </x:c>
      <x:c r="E651" s="9" t="n">
        <x:v>45.5</x:v>
      </x:c>
      <x:c r="F651" s="9" t="n">
        <x:v>0</x:v>
      </x:c>
      <x:c r="G651" s="11" t="n">
        <x:f>SUM(D651:F651)</x:f>
        <x:v>22547.5</x:v>
      </x:c>
      <x:c r="H651" s="10" t="n">
        <x:v>0.92</x:v>
      </x:c>
      <x:c r="I651" s="11" t="n">
        <x:f>IF(ISNUMBER(H651),ROUND(D651*H651,2),NA())</x:f>
        <x:v>20701.84</x:v>
      </x:c>
      <x:c r="J651" s="2" t="str">
        <x:v>Regelbestand laut Verkäufer</x:v>
      </x:c>
      <x:c r="K651" s="2" t="str">
        <x:v>Export KREDIT-ERF-20260930, Einzelbelege nicht im Datenraum</x:v>
      </x:c>
    </x:row>
    <x:row r="652" ht="22" customHeight="1">
      <x:c r="A652" s="2" t="str">
        <x:v>APB-0647</x:v>
      </x:c>
      <x:c r="B652" s="2" t="str">
        <x:v>Bestandskunde 0647</x:v>
      </x:c>
      <x:c r="C652" s="2" t="str">
        <x:v>Nur Verkäuferexport</x:v>
      </x:c>
      <x:c r="D652" s="9" t="n">
        <x:v>22639</x:v>
      </x:c>
      <x:c r="E652" s="9" t="n">
        <x:v>52</x:v>
      </x:c>
      <x:c r="F652" s="9" t="n">
        <x:v>0</x:v>
      </x:c>
      <x:c r="G652" s="11" t="n">
        <x:f>SUM(D652:F652)</x:f>
        <x:v>22691</x:v>
      </x:c>
      <x:c r="H652" s="10" t="n">
        <x:v>0.92</x:v>
      </x:c>
      <x:c r="I652" s="11" t="n">
        <x:f>IF(ISNUMBER(H652),ROUND(D652*H652,2),NA())</x:f>
        <x:v>20827.88</x:v>
      </x:c>
      <x:c r="J652" s="2" t="str">
        <x:v>Regelbestand laut Verkäufer</x:v>
      </x:c>
      <x:c r="K652" s="2" t="str">
        <x:v>Export KREDIT-ERF-20260930, Einzelbelege nicht im Datenraum</x:v>
      </x:c>
    </x:row>
    <x:row r="653" ht="22" customHeight="1">
      <x:c r="A653" s="2" t="str">
        <x:v>APB-0648</x:v>
      </x:c>
      <x:c r="B653" s="2" t="str">
        <x:v>Bestandskunde 0648</x:v>
      </x:c>
      <x:c r="C653" s="2" t="str">
        <x:v>Nur Verkäuferexport</x:v>
      </x:c>
      <x:c r="D653" s="9" t="n">
        <x:v>22776</x:v>
      </x:c>
      <x:c r="E653" s="9" t="n">
        <x:v>0</x:v>
      </x:c>
      <x:c r="F653" s="9" t="n">
        <x:v>0</x:v>
      </x:c>
      <x:c r="G653" s="11" t="n">
        <x:f>SUM(D653:F653)</x:f>
        <x:v>22776</x:v>
      </x:c>
      <x:c r="H653" s="10" t="n">
        <x:v>0.92</x:v>
      </x:c>
      <x:c r="I653" s="11" t="n">
        <x:f>IF(ISNUMBER(H653),ROUND(D653*H653,2),NA())</x:f>
        <x:v>20953.92</x:v>
      </x:c>
      <x:c r="J653" s="2" t="str">
        <x:v>Regelbestand laut Verkäufer</x:v>
      </x:c>
      <x:c r="K653" s="2" t="str">
        <x:v>Export KREDIT-ERF-20260930, Einzelbelege nicht im Datenraum</x:v>
      </x:c>
    </x:row>
    <x:row r="654" ht="22" customHeight="1">
      <x:c r="A654" s="2" t="str">
        <x:v>APB-0649</x:v>
      </x:c>
      <x:c r="B654" s="2" t="str">
        <x:v>Bestandskunde 0649</x:v>
      </x:c>
      <x:c r="C654" s="2" t="str">
        <x:v>Nur Verkäuferexport</x:v>
      </x:c>
      <x:c r="D654" s="9" t="n">
        <x:v>22913</x:v>
      </x:c>
      <x:c r="E654" s="9" t="n">
        <x:v>6.5</x:v>
      </x:c>
      <x:c r="F654" s="9" t="n">
        <x:v>0</x:v>
      </x:c>
      <x:c r="G654" s="11" t="n">
        <x:f>SUM(D654:F654)</x:f>
        <x:v>22919.5</x:v>
      </x:c>
      <x:c r="H654" s="10" t="n">
        <x:v>0.92</x:v>
      </x:c>
      <x:c r="I654" s="11" t="n">
        <x:f>IF(ISNUMBER(H654),ROUND(D654*H654,2),NA())</x:f>
        <x:v>21079.96</x:v>
      </x:c>
      <x:c r="J654" s="2" t="str">
        <x:v>Regelbestand laut Verkäufer</x:v>
      </x:c>
      <x:c r="K654" s="2" t="str">
        <x:v>Export KREDIT-ERF-20260930, Einzelbelege nicht im Datenraum</x:v>
      </x:c>
    </x:row>
    <x:row r="655" ht="22" customHeight="1">
      <x:c r="A655" s="2" t="str">
        <x:v>APB-0650</x:v>
      </x:c>
      <x:c r="B655" s="2" t="str">
        <x:v>Bestandskunde 0650</x:v>
      </x:c>
      <x:c r="C655" s="2" t="str">
        <x:v>Nur Verkäuferexport</x:v>
      </x:c>
      <x:c r="D655" s="9" t="n">
        <x:v>23050</x:v>
      </x:c>
      <x:c r="E655" s="9" t="n">
        <x:v>13</x:v>
      </x:c>
      <x:c r="F655" s="9" t="n">
        <x:v>0</x:v>
      </x:c>
      <x:c r="G655" s="11" t="n">
        <x:f>SUM(D655:F655)</x:f>
        <x:v>23063</x:v>
      </x:c>
      <x:c r="H655" s="10" t="n">
        <x:v>0.92</x:v>
      </x:c>
      <x:c r="I655" s="11" t="n">
        <x:f>IF(ISNUMBER(H655),ROUND(D655*H655,2),NA())</x:f>
        <x:v>21206</x:v>
      </x:c>
      <x:c r="J655" s="2" t="str">
        <x:v>Regelbestand laut Verkäufer</x:v>
      </x:c>
      <x:c r="K655" s="2" t="str">
        <x:v>Export KREDIT-ERF-20260930, Einzelbelege nicht im Datenraum</x:v>
      </x:c>
    </x:row>
    <x:row r="656" ht="22" customHeight="1">
      <x:c r="A656" s="2" t="str">
        <x:v>APB-0651</x:v>
      </x:c>
      <x:c r="B656" s="2" t="str">
        <x:v>Bestandskunde 0651</x:v>
      </x:c>
      <x:c r="C656" s="2" t="str">
        <x:v>Nur Verkäuferexport</x:v>
      </x:c>
      <x:c r="D656" s="9" t="n">
        <x:v>23187</x:v>
      </x:c>
      <x:c r="E656" s="9" t="n">
        <x:v>19.5</x:v>
      </x:c>
      <x:c r="F656" s="9" t="n">
        <x:v>0</x:v>
      </x:c>
      <x:c r="G656" s="11" t="n">
        <x:f>SUM(D656:F656)</x:f>
        <x:v>23206.5</x:v>
      </x:c>
      <x:c r="H656" s="10" t="n">
        <x:v>0.92</x:v>
      </x:c>
      <x:c r="I656" s="11" t="n">
        <x:f>IF(ISNUMBER(H656),ROUND(D656*H656,2),NA())</x:f>
        <x:v>21332.04</x:v>
      </x:c>
      <x:c r="J656" s="2" t="str">
        <x:v>Regelbestand laut Verkäufer</x:v>
      </x:c>
      <x:c r="K656" s="2" t="str">
        <x:v>Export KREDIT-ERF-20260930, Einzelbelege nicht im Datenraum</x:v>
      </x:c>
    </x:row>
    <x:row r="657" ht="22" customHeight="1">
      <x:c r="A657" s="2" t="str">
        <x:v>APB-0652</x:v>
      </x:c>
      <x:c r="B657" s="2" t="str">
        <x:v>Bestandskunde 0652</x:v>
      </x:c>
      <x:c r="C657" s="2" t="str">
        <x:v>Nur Verkäuferexport</x:v>
      </x:c>
      <x:c r="D657" s="9" t="n">
        <x:v>23324</x:v>
      </x:c>
      <x:c r="E657" s="9" t="n">
        <x:v>26</x:v>
      </x:c>
      <x:c r="F657" s="9" t="n">
        <x:v>0</x:v>
      </x:c>
      <x:c r="G657" s="11" t="n">
        <x:f>SUM(D657:F657)</x:f>
        <x:v>23350</x:v>
      </x:c>
      <x:c r="H657" s="10" t="n">
        <x:v>0.92</x:v>
      </x:c>
      <x:c r="I657" s="11" t="n">
        <x:f>IF(ISNUMBER(H657),ROUND(D657*H657,2),NA())</x:f>
        <x:v>21458.08</x:v>
      </x:c>
      <x:c r="J657" s="2" t="str">
        <x:v>Regelbestand laut Verkäufer</x:v>
      </x:c>
      <x:c r="K657" s="2" t="str">
        <x:v>Export KREDIT-ERF-20260930, Einzelbelege nicht im Datenraum</x:v>
      </x:c>
    </x:row>
    <x:row r="658" ht="22" customHeight="1">
      <x:c r="A658" s="2" t="str">
        <x:v>APB-0653</x:v>
      </x:c>
      <x:c r="B658" s="2" t="str">
        <x:v>Bestandskunde 0653</x:v>
      </x:c>
      <x:c r="C658" s="2" t="str">
        <x:v>Nur Verkäuferexport</x:v>
      </x:c>
      <x:c r="D658" s="9" t="n">
        <x:v>23461</x:v>
      </x:c>
      <x:c r="E658" s="9" t="n">
        <x:v>32.5</x:v>
      </x:c>
      <x:c r="F658" s="9" t="n">
        <x:v>0</x:v>
      </x:c>
      <x:c r="G658" s="11" t="n">
        <x:f>SUM(D658:F658)</x:f>
        <x:v>23493.5</x:v>
      </x:c>
      <x:c r="H658" s="10" t="n">
        <x:v>0.92</x:v>
      </x:c>
      <x:c r="I658" s="11" t="n">
        <x:f>IF(ISNUMBER(H658),ROUND(D658*H658,2),NA())</x:f>
        <x:v>21584.12</x:v>
      </x:c>
      <x:c r="J658" s="2" t="str">
        <x:v>Regelbestand laut Verkäufer</x:v>
      </x:c>
      <x:c r="K658" s="2" t="str">
        <x:v>Export KREDIT-ERF-20260930, Einzelbelege nicht im Datenraum</x:v>
      </x:c>
    </x:row>
    <x:row r="659" ht="22" customHeight="1">
      <x:c r="A659" s="2" t="str">
        <x:v>APB-0654</x:v>
      </x:c>
      <x:c r="B659" s="2" t="str">
        <x:v>Bestandskunde 0654</x:v>
      </x:c>
      <x:c r="C659" s="2" t="str">
        <x:v>Nur Verkäuferexport</x:v>
      </x:c>
      <x:c r="D659" s="9" t="n">
        <x:v>23598</x:v>
      </x:c>
      <x:c r="E659" s="9" t="n">
        <x:v>39</x:v>
      </x:c>
      <x:c r="F659" s="9" t="n">
        <x:v>0</x:v>
      </x:c>
      <x:c r="G659" s="11" t="n">
        <x:f>SUM(D659:F659)</x:f>
        <x:v>23637</x:v>
      </x:c>
      <x:c r="H659" s="10" t="n">
        <x:v>0.92</x:v>
      </x:c>
      <x:c r="I659" s="11" t="n">
        <x:f>IF(ISNUMBER(H659),ROUND(D659*H659,2),NA())</x:f>
        <x:v>21710.16</x:v>
      </x:c>
      <x:c r="J659" s="2" t="str">
        <x:v>Regelbestand laut Verkäufer</x:v>
      </x:c>
      <x:c r="K659" s="2" t="str">
        <x:v>Export KREDIT-ERF-20260930, Einzelbelege nicht im Datenraum</x:v>
      </x:c>
    </x:row>
    <x:row r="660" ht="22" customHeight="1">
      <x:c r="A660" s="2" t="str">
        <x:v>APB-0655</x:v>
      </x:c>
      <x:c r="B660" s="2" t="str">
        <x:v>Bestandskunde 0655</x:v>
      </x:c>
      <x:c r="C660" s="2" t="str">
        <x:v>Nur Verkäuferexport</x:v>
      </x:c>
      <x:c r="D660" s="9" t="n">
        <x:v>23735</x:v>
      </x:c>
      <x:c r="E660" s="9" t="n">
        <x:v>45.5</x:v>
      </x:c>
      <x:c r="F660" s="9" t="n">
        <x:v>0</x:v>
      </x:c>
      <x:c r="G660" s="11" t="n">
        <x:f>SUM(D660:F660)</x:f>
        <x:v>23780.5</x:v>
      </x:c>
      <x:c r="H660" s="10" t="n">
        <x:v>0.92</x:v>
      </x:c>
      <x:c r="I660" s="11" t="n">
        <x:f>IF(ISNUMBER(H660),ROUND(D660*H660,2),NA())</x:f>
        <x:v>21836.2</x:v>
      </x:c>
      <x:c r="J660" s="2" t="str">
        <x:v>Regelbestand laut Verkäufer</x:v>
      </x:c>
      <x:c r="K660" s="2" t="str">
        <x:v>Export KREDIT-ERF-20260930, Einzelbelege nicht im Datenraum</x:v>
      </x:c>
    </x:row>
    <x:row r="661" ht="22" customHeight="1">
      <x:c r="A661" s="2" t="str">
        <x:v>APB-0656</x:v>
      </x:c>
      <x:c r="B661" s="2" t="str">
        <x:v>Bestandskunde 0656</x:v>
      </x:c>
      <x:c r="C661" s="2" t="str">
        <x:v>Nur Verkäuferexport</x:v>
      </x:c>
      <x:c r="D661" s="9" t="n">
        <x:v>23872</x:v>
      </x:c>
      <x:c r="E661" s="9" t="n">
        <x:v>52</x:v>
      </x:c>
      <x:c r="F661" s="9" t="n">
        <x:v>0</x:v>
      </x:c>
      <x:c r="G661" s="11" t="n">
        <x:f>SUM(D661:F661)</x:f>
        <x:v>23924</x:v>
      </x:c>
      <x:c r="H661" s="10" t="n">
        <x:v>0.92</x:v>
      </x:c>
      <x:c r="I661" s="11" t="n">
        <x:f>IF(ISNUMBER(H661),ROUND(D661*H661,2),NA())</x:f>
        <x:v>21962.24</x:v>
      </x:c>
      <x:c r="J661" s="2" t="str">
        <x:v>Regelbestand laut Verkäufer</x:v>
      </x:c>
      <x:c r="K661" s="2" t="str">
        <x:v>Export KREDIT-ERF-20260930, Einzelbelege nicht im Datenraum</x:v>
      </x:c>
    </x:row>
    <x:row r="662" ht="22" customHeight="1">
      <x:c r="A662" s="2" t="str">
        <x:v>APB-0657</x:v>
      </x:c>
      <x:c r="B662" s="2" t="str">
        <x:v>Bestandskunde 0657</x:v>
      </x:c>
      <x:c r="C662" s="2" t="str">
        <x:v>Nur Verkäuferexport</x:v>
      </x:c>
      <x:c r="D662" s="9" t="n">
        <x:v>24009</x:v>
      </x:c>
      <x:c r="E662" s="9" t="n">
        <x:v>0</x:v>
      </x:c>
      <x:c r="F662" s="9" t="n">
        <x:v>0</x:v>
      </x:c>
      <x:c r="G662" s="11" t="n">
        <x:f>SUM(D662:F662)</x:f>
        <x:v>24009</x:v>
      </x:c>
      <x:c r="H662" s="10" t="n">
        <x:v>0.92</x:v>
      </x:c>
      <x:c r="I662" s="11" t="n">
        <x:f>IF(ISNUMBER(H662),ROUND(D662*H662,2),NA())</x:f>
        <x:v>22088.28</x:v>
      </x:c>
      <x:c r="J662" s="2" t="str">
        <x:v>Regelbestand laut Verkäufer</x:v>
      </x:c>
      <x:c r="K662" s="2" t="str">
        <x:v>Export KREDIT-ERF-20260930, Einzelbelege nicht im Datenraum</x:v>
      </x:c>
    </x:row>
    <x:row r="663" ht="22" customHeight="1">
      <x:c r="A663" s="2" t="str">
        <x:v>APB-0658</x:v>
      </x:c>
      <x:c r="B663" s="2" t="str">
        <x:v>Bestandskunde 0658</x:v>
      </x:c>
      <x:c r="C663" s="2" t="str">
        <x:v>Nur Verkäuferexport</x:v>
      </x:c>
      <x:c r="D663" s="9" t="n">
        <x:v>24146</x:v>
      </x:c>
      <x:c r="E663" s="9" t="n">
        <x:v>6.5</x:v>
      </x:c>
      <x:c r="F663" s="9" t="n">
        <x:v>0</x:v>
      </x:c>
      <x:c r="G663" s="11" t="n">
        <x:f>SUM(D663:F663)</x:f>
        <x:v>24152.5</x:v>
      </x:c>
      <x:c r="H663" s="10" t="n">
        <x:v>0.92</x:v>
      </x:c>
      <x:c r="I663" s="11" t="n">
        <x:f>IF(ISNUMBER(H663),ROUND(D663*H663,2),NA())</x:f>
        <x:v>22214.32</x:v>
      </x:c>
      <x:c r="J663" s="2" t="str">
        <x:v>Regelbestand laut Verkäufer</x:v>
      </x:c>
      <x:c r="K663" s="2" t="str">
        <x:v>Export KREDIT-ERF-20260930, Einzelbelege nicht im Datenraum</x:v>
      </x:c>
    </x:row>
    <x:row r="664" ht="22" customHeight="1">
      <x:c r="A664" s="2" t="str">
        <x:v>APB-0659</x:v>
      </x:c>
      <x:c r="B664" s="2" t="str">
        <x:v>Bestandskunde 0659</x:v>
      </x:c>
      <x:c r="C664" s="2" t="str">
        <x:v>Nur Verkäuferexport</x:v>
      </x:c>
      <x:c r="D664" s="9" t="n">
        <x:v>24283</x:v>
      </x:c>
      <x:c r="E664" s="9" t="n">
        <x:v>13</x:v>
      </x:c>
      <x:c r="F664" s="9" t="n">
        <x:v>0</x:v>
      </x:c>
      <x:c r="G664" s="11" t="n">
        <x:f>SUM(D664:F664)</x:f>
        <x:v>24296</x:v>
      </x:c>
      <x:c r="H664" s="10" t="n">
        <x:v>0.92</x:v>
      </x:c>
      <x:c r="I664" s="11" t="n">
        <x:f>IF(ISNUMBER(H664),ROUND(D664*H664,2),NA())</x:f>
        <x:v>22340.36</x:v>
      </x:c>
      <x:c r="J664" s="2" t="str">
        <x:v>Regelbestand laut Verkäufer</x:v>
      </x:c>
      <x:c r="K664" s="2" t="str">
        <x:v>Export KREDIT-ERF-20260930, Einzelbelege nicht im Datenraum</x:v>
      </x:c>
    </x:row>
    <x:row r="665" ht="22" customHeight="1">
      <x:c r="A665" s="2" t="str">
        <x:v>APB-0660</x:v>
      </x:c>
      <x:c r="B665" s="2" t="str">
        <x:v>Bestandskunde 0660</x:v>
      </x:c>
      <x:c r="C665" s="2" t="str">
        <x:v>Nur Verkäuferexport</x:v>
      </x:c>
      <x:c r="D665" s="9" t="n">
        <x:v>24420</x:v>
      </x:c>
      <x:c r="E665" s="9" t="n">
        <x:v>19.5</x:v>
      </x:c>
      <x:c r="F665" s="9" t="n">
        <x:v>0</x:v>
      </x:c>
      <x:c r="G665" s="11" t="n">
        <x:f>SUM(D665:F665)</x:f>
        <x:v>24439.5</x:v>
      </x:c>
      <x:c r="H665" s="10" t="n">
        <x:v>0.92</x:v>
      </x:c>
      <x:c r="I665" s="11" t="n">
        <x:f>IF(ISNUMBER(H665),ROUND(D665*H665,2),NA())</x:f>
        <x:v>22466.4</x:v>
      </x:c>
      <x:c r="J665" s="2" t="str">
        <x:v>Regelbestand laut Verkäufer</x:v>
      </x:c>
      <x:c r="K665" s="2" t="str">
        <x:v>Export KREDIT-ERF-20260930, Einzelbelege nicht im Datenraum</x:v>
      </x:c>
    </x:row>
    <x:row r="666" ht="22" customHeight="1">
      <x:c r="A666" s="2" t="str">
        <x:v>APB-0661</x:v>
      </x:c>
      <x:c r="B666" s="2" t="str">
        <x:v>Bestandskunde 0661</x:v>
      </x:c>
      <x:c r="C666" s="2" t="str">
        <x:v>Nur Verkäuferexport</x:v>
      </x:c>
      <x:c r="D666" s="9" t="n">
        <x:v>24557</x:v>
      </x:c>
      <x:c r="E666" s="9" t="n">
        <x:v>26</x:v>
      </x:c>
      <x:c r="F666" s="9" t="n">
        <x:v>0</x:v>
      </x:c>
      <x:c r="G666" s="11" t="n">
        <x:f>SUM(D666:F666)</x:f>
        <x:v>24583</x:v>
      </x:c>
      <x:c r="H666" s="10" t="n">
        <x:v>0.92</x:v>
      </x:c>
      <x:c r="I666" s="11" t="n">
        <x:f>IF(ISNUMBER(H666),ROUND(D666*H666,2),NA())</x:f>
        <x:v>22592.44</x:v>
      </x:c>
      <x:c r="J666" s="2" t="str">
        <x:v>Regelbestand laut Verkäufer</x:v>
      </x:c>
      <x:c r="K666" s="2" t="str">
        <x:v>Export KREDIT-ERF-20260930, Einzelbelege nicht im Datenraum</x:v>
      </x:c>
    </x:row>
    <x:row r="667" ht="22" customHeight="1">
      <x:c r="A667" s="2" t="str">
        <x:v>APB-0662</x:v>
      </x:c>
      <x:c r="B667" s="2" t="str">
        <x:v>Bestandskunde 0662</x:v>
      </x:c>
      <x:c r="C667" s="2" t="str">
        <x:v>Nur Verkäuferexport</x:v>
      </x:c>
      <x:c r="D667" s="9" t="n">
        <x:v>24694</x:v>
      </x:c>
      <x:c r="E667" s="9" t="n">
        <x:v>32.5</x:v>
      </x:c>
      <x:c r="F667" s="9" t="n">
        <x:v>0</x:v>
      </x:c>
      <x:c r="G667" s="11" t="n">
        <x:f>SUM(D667:F667)</x:f>
        <x:v>24726.5</x:v>
      </x:c>
      <x:c r="H667" s="10" t="n">
        <x:v>0.92</x:v>
      </x:c>
      <x:c r="I667" s="11" t="n">
        <x:f>IF(ISNUMBER(H667),ROUND(D667*H667,2),NA())</x:f>
        <x:v>22718.48</x:v>
      </x:c>
      <x:c r="J667" s="2" t="str">
        <x:v>Regelbestand laut Verkäufer</x:v>
      </x:c>
      <x:c r="K667" s="2" t="str">
        <x:v>Export KREDIT-ERF-20260930, Einzelbelege nicht im Datenraum</x:v>
      </x:c>
    </x:row>
    <x:row r="668" ht="22" customHeight="1">
      <x:c r="A668" s="2" t="str">
        <x:v>APB-0663</x:v>
      </x:c>
      <x:c r="B668" s="2" t="str">
        <x:v>Bestandskunde 0663</x:v>
      </x:c>
      <x:c r="C668" s="2" t="str">
        <x:v>Nur Verkäuferexport</x:v>
      </x:c>
      <x:c r="D668" s="9" t="n">
        <x:v>24831</x:v>
      </x:c>
      <x:c r="E668" s="9" t="n">
        <x:v>39</x:v>
      </x:c>
      <x:c r="F668" s="9" t="n">
        <x:v>0</x:v>
      </x:c>
      <x:c r="G668" s="11" t="n">
        <x:f>SUM(D668:F668)</x:f>
        <x:v>24870</x:v>
      </x:c>
      <x:c r="H668" s="10" t="n">
        <x:v>0.92</x:v>
      </x:c>
      <x:c r="I668" s="11" t="n">
        <x:f>IF(ISNUMBER(H668),ROUND(D668*H668,2),NA())</x:f>
        <x:v>22844.52</x:v>
      </x:c>
      <x:c r="J668" s="2" t="str">
        <x:v>Regelbestand laut Verkäufer</x:v>
      </x:c>
      <x:c r="K668" s="2" t="str">
        <x:v>Export KREDIT-ERF-20260930, Einzelbelege nicht im Datenraum</x:v>
      </x:c>
    </x:row>
    <x:row r="669" ht="22" customHeight="1">
      <x:c r="A669" s="2" t="str">
        <x:v>APB-0664</x:v>
      </x:c>
      <x:c r="B669" s="2" t="str">
        <x:v>Bestandskunde 0664</x:v>
      </x:c>
      <x:c r="C669" s="2" t="str">
        <x:v>Nur Verkäuferexport</x:v>
      </x:c>
      <x:c r="D669" s="9" t="n">
        <x:v>24968</x:v>
      </x:c>
      <x:c r="E669" s="9" t="n">
        <x:v>45.5</x:v>
      </x:c>
      <x:c r="F669" s="9" t="n">
        <x:v>0</x:v>
      </x:c>
      <x:c r="G669" s="11" t="n">
        <x:f>SUM(D669:F669)</x:f>
        <x:v>25013.5</x:v>
      </x:c>
      <x:c r="H669" s="10" t="n">
        <x:v>0.92</x:v>
      </x:c>
      <x:c r="I669" s="11" t="n">
        <x:f>IF(ISNUMBER(H669),ROUND(D669*H669,2),NA())</x:f>
        <x:v>22970.56</x:v>
      </x:c>
      <x:c r="J669" s="2" t="str">
        <x:v>Regelbestand laut Verkäufer</x:v>
      </x:c>
      <x:c r="K669" s="2" t="str">
        <x:v>Export KREDIT-ERF-20260930, Einzelbelege nicht im Datenraum</x:v>
      </x:c>
    </x:row>
    <x:row r="670" ht="22" customHeight="1">
      <x:c r="A670" s="2" t="str">
        <x:v>APB-0665</x:v>
      </x:c>
      <x:c r="B670" s="2" t="str">
        <x:v>Bestandskunde 0665</x:v>
      </x:c>
      <x:c r="C670" s="2" t="str">
        <x:v>Nur Verkäuferexport</x:v>
      </x:c>
      <x:c r="D670" s="9" t="n">
        <x:v>25105</x:v>
      </x:c>
      <x:c r="E670" s="9" t="n">
        <x:v>52</x:v>
      </x:c>
      <x:c r="F670" s="9" t="n">
        <x:v>0</x:v>
      </x:c>
      <x:c r="G670" s="11" t="n">
        <x:f>SUM(D670:F670)</x:f>
        <x:v>25157</x:v>
      </x:c>
      <x:c r="H670" s="10" t="n">
        <x:v>0.92</x:v>
      </x:c>
      <x:c r="I670" s="11" t="n">
        <x:f>IF(ISNUMBER(H670),ROUND(D670*H670,2),NA())</x:f>
        <x:v>23096.6</x:v>
      </x:c>
      <x:c r="J670" s="2" t="str">
        <x:v>Regelbestand laut Verkäufer</x:v>
      </x:c>
      <x:c r="K670" s="2" t="str">
        <x:v>Export KREDIT-ERF-20260930, Einzelbelege nicht im Datenraum</x:v>
      </x:c>
    </x:row>
    <x:row r="671" ht="22" customHeight="1">
      <x:c r="A671" s="2" t="str">
        <x:v>APB-0666</x:v>
      </x:c>
      <x:c r="B671" s="2" t="str">
        <x:v>Bestandskunde 0666</x:v>
      </x:c>
      <x:c r="C671" s="2" t="str">
        <x:v>Nur Verkäuferexport</x:v>
      </x:c>
      <x:c r="D671" s="9" t="n">
        <x:v>25242</x:v>
      </x:c>
      <x:c r="E671" s="9" t="n">
        <x:v>0</x:v>
      </x:c>
      <x:c r="F671" s="9" t="n">
        <x:v>0</x:v>
      </x:c>
      <x:c r="G671" s="11" t="n">
        <x:f>SUM(D671:F671)</x:f>
        <x:v>25242</x:v>
      </x:c>
      <x:c r="H671" s="10" t="n">
        <x:v>0.92</x:v>
      </x:c>
      <x:c r="I671" s="11" t="n">
        <x:f>IF(ISNUMBER(H671),ROUND(D671*H671,2),NA())</x:f>
        <x:v>23222.64</x:v>
      </x:c>
      <x:c r="J671" s="2" t="str">
        <x:v>Regelbestand laut Verkäufer</x:v>
      </x:c>
      <x:c r="K671" s="2" t="str">
        <x:v>Export KREDIT-ERF-20260930, Einzelbelege nicht im Datenraum</x:v>
      </x:c>
    </x:row>
    <x:row r="672" ht="22" customHeight="1">
      <x:c r="A672" s="2" t="str">
        <x:v>APB-0667</x:v>
      </x:c>
      <x:c r="B672" s="2" t="str">
        <x:v>Bestandskunde 0667</x:v>
      </x:c>
      <x:c r="C672" s="2" t="str">
        <x:v>Nur Verkäuferexport</x:v>
      </x:c>
      <x:c r="D672" s="9" t="n">
        <x:v>25379</x:v>
      </x:c>
      <x:c r="E672" s="9" t="n">
        <x:v>6.5</x:v>
      </x:c>
      <x:c r="F672" s="9" t="n">
        <x:v>15</x:v>
      </x:c>
      <x:c r="G672" s="11" t="n">
        <x:f>SUM(D672:F672)</x:f>
        <x:v>25400.5</x:v>
      </x:c>
      <x:c r="H672" s="10" t="n">
        <x:v>0.92</x:v>
      </x:c>
      <x:c r="I672" s="11" t="n">
        <x:f>IF(ISNUMBER(H672),ROUND(D672*H672,2),NA())</x:f>
        <x:v>23348.68</x:v>
      </x:c>
      <x:c r="J672" s="2" t="str">
        <x:v>Zahlungslücke im Export</x:v>
      </x:c>
      <x:c r="K672" s="2" t="str">
        <x:v>Export KREDIT-ERF-20260930, Einzelbelege nicht im Datenraum</x:v>
      </x:c>
    </x:row>
    <x:row r="673" ht="22" customHeight="1">
      <x:c r="A673" s="2" t="str">
        <x:v>APB-0668</x:v>
      </x:c>
      <x:c r="B673" s="2" t="str">
        <x:v>Bestandskunde 0668</x:v>
      </x:c>
      <x:c r="C673" s="2" t="str">
        <x:v>Nur Verkäuferexport</x:v>
      </x:c>
      <x:c r="D673" s="9" t="n">
        <x:v>25516</x:v>
      </x:c>
      <x:c r="E673" s="9" t="n">
        <x:v>13</x:v>
      </x:c>
      <x:c r="F673" s="9" t="n">
        <x:v>0</x:v>
      </x:c>
      <x:c r="G673" s="11" t="n">
        <x:f>SUM(D673:F673)</x:f>
        <x:v>25529</x:v>
      </x:c>
      <x:c r="H673" s="10" t="n">
        <x:v>0.92</x:v>
      </x:c>
      <x:c r="I673" s="11" t="n">
        <x:f>IF(ISNUMBER(H673),ROUND(D673*H673,2),NA())</x:f>
        <x:v>23474.72</x:v>
      </x:c>
      <x:c r="J673" s="2" t="str">
        <x:v>Regelbestand laut Verkäufer</x:v>
      </x:c>
      <x:c r="K673" s="2" t="str">
        <x:v>Export KREDIT-ERF-20260930, Einzelbelege nicht im Datenraum</x:v>
      </x:c>
    </x:row>
    <x:row r="674" ht="22" customHeight="1">
      <x:c r="A674" s="2" t="str">
        <x:v>APB-0669</x:v>
      </x:c>
      <x:c r="B674" s="2" t="str">
        <x:v>Bestandskunde 0669</x:v>
      </x:c>
      <x:c r="C674" s="2" t="str">
        <x:v>Nur Verkäuferexport</x:v>
      </x:c>
      <x:c r="D674" s="9" t="n">
        <x:v>25653</x:v>
      </x:c>
      <x:c r="E674" s="9" t="n">
        <x:v>19.5</x:v>
      </x:c>
      <x:c r="F674" s="9" t="n">
        <x:v>0</x:v>
      </x:c>
      <x:c r="G674" s="11" t="n">
        <x:f>SUM(D674:F674)</x:f>
        <x:v>25672.5</x:v>
      </x:c>
      <x:c r="H674" s="10" t="n">
        <x:v>0.92</x:v>
      </x:c>
      <x:c r="I674" s="11" t="n">
        <x:f>IF(ISNUMBER(H674),ROUND(D674*H674,2),NA())</x:f>
        <x:v>23600.76</x:v>
      </x:c>
      <x:c r="J674" s="2" t="str">
        <x:v>Regelbestand laut Verkäufer</x:v>
      </x:c>
      <x:c r="K674" s="2" t="str">
        <x:v>Export KREDIT-ERF-20260930, Einzelbelege nicht im Datenraum</x:v>
      </x:c>
    </x:row>
    <x:row r="675" ht="22" customHeight="1">
      <x:c r="A675" s="2" t="str">
        <x:v>APB-0670</x:v>
      </x:c>
      <x:c r="B675" s="2" t="str">
        <x:v>Bestandskunde 0670</x:v>
      </x:c>
      <x:c r="C675" s="2" t="str">
        <x:v>Nur Verkäuferexport</x:v>
      </x:c>
      <x:c r="D675" s="9" t="n">
        <x:v>25790</x:v>
      </x:c>
      <x:c r="E675" s="9" t="n">
        <x:v>26</x:v>
      </x:c>
      <x:c r="F675" s="9" t="n">
        <x:v>0</x:v>
      </x:c>
      <x:c r="G675" s="11" t="n">
        <x:f>SUM(D675:F675)</x:f>
        <x:v>25816</x:v>
      </x:c>
      <x:c r="H675" s="10" t="n">
        <x:v>0.92</x:v>
      </x:c>
      <x:c r="I675" s="11" t="n">
        <x:f>IF(ISNUMBER(H675),ROUND(D675*H675,2),NA())</x:f>
        <x:v>23726.8</x:v>
      </x:c>
      <x:c r="J675" s="2" t="str">
        <x:v>Regelbestand laut Verkäufer</x:v>
      </x:c>
      <x:c r="K675" s="2" t="str">
        <x:v>Export KREDIT-ERF-20260930, Einzelbelege nicht im Datenraum</x:v>
      </x:c>
    </x:row>
    <x:row r="676" ht="22" customHeight="1">
      <x:c r="A676" s="2" t="str">
        <x:v>APB-0671</x:v>
      </x:c>
      <x:c r="B676" s="2" t="str">
        <x:v>Bestandskunde 0671</x:v>
      </x:c>
      <x:c r="C676" s="2" t="str">
        <x:v>Nur Verkäuferexport</x:v>
      </x:c>
      <x:c r="D676" s="9" t="n">
        <x:v>25927</x:v>
      </x:c>
      <x:c r="E676" s="9" t="n">
        <x:v>32.5</x:v>
      </x:c>
      <x:c r="F676" s="9" t="n">
        <x:v>0</x:v>
      </x:c>
      <x:c r="G676" s="11" t="n">
        <x:f>SUM(D676:F676)</x:f>
        <x:v>25959.5</x:v>
      </x:c>
      <x:c r="H676" s="10" t="n">
        <x:v>0.92</x:v>
      </x:c>
      <x:c r="I676" s="11" t="n">
        <x:f>IF(ISNUMBER(H676),ROUND(D676*H676,2),NA())</x:f>
        <x:v>23852.84</x:v>
      </x:c>
      <x:c r="J676" s="2" t="str">
        <x:v>Regelbestand laut Verkäufer</x:v>
      </x:c>
      <x:c r="K676" s="2" t="str">
        <x:v>Export KREDIT-ERF-20260930, Einzelbelege nicht im Datenraum</x:v>
      </x:c>
    </x:row>
    <x:row r="677" ht="22" customHeight="1">
      <x:c r="A677" s="2" t="str">
        <x:v>APB-0672</x:v>
      </x:c>
      <x:c r="B677" s="2" t="str">
        <x:v>Bestandskunde 0672</x:v>
      </x:c>
      <x:c r="C677" s="2" t="str">
        <x:v>Nur Verkäuferexport</x:v>
      </x:c>
      <x:c r="D677" s="9" t="n">
        <x:v>26064</x:v>
      </x:c>
      <x:c r="E677" s="9" t="n">
        <x:v>39</x:v>
      </x:c>
      <x:c r="F677" s="9" t="n">
        <x:v>0</x:v>
      </x:c>
      <x:c r="G677" s="11" t="n">
        <x:f>SUM(D677:F677)</x:f>
        <x:v>26103</x:v>
      </x:c>
      <x:c r="H677" s="10" t="n">
        <x:v>0.92</x:v>
      </x:c>
      <x:c r="I677" s="11" t="n">
        <x:f>IF(ISNUMBER(H677),ROUND(D677*H677,2),NA())</x:f>
        <x:v>23978.88</x:v>
      </x:c>
      <x:c r="J677" s="2" t="str">
        <x:v>Regelbestand laut Verkäufer</x:v>
      </x:c>
      <x:c r="K677" s="2" t="str">
        <x:v>Export KREDIT-ERF-20260930, Einzelbelege nicht im Datenraum</x:v>
      </x:c>
    </x:row>
    <x:row r="678" ht="22" customHeight="1">
      <x:c r="A678" s="2" t="str">
        <x:v>APB-0673</x:v>
      </x:c>
      <x:c r="B678" s="2" t="str">
        <x:v>Bestandskunde 0673</x:v>
      </x:c>
      <x:c r="C678" s="2" t="str">
        <x:v>Nur Verkäuferexport</x:v>
      </x:c>
      <x:c r="D678" s="9" t="n">
        <x:v>26201</x:v>
      </x:c>
      <x:c r="E678" s="9" t="n">
        <x:v>45.5</x:v>
      </x:c>
      <x:c r="F678" s="9" t="n">
        <x:v>0</x:v>
      </x:c>
      <x:c r="G678" s="11" t="n">
        <x:f>SUM(D678:F678)</x:f>
        <x:v>26246.5</x:v>
      </x:c>
      <x:c r="H678" s="10" t="n">
        <x:v>0.92</x:v>
      </x:c>
      <x:c r="I678" s="11" t="n">
        <x:f>IF(ISNUMBER(H678),ROUND(D678*H678,2),NA())</x:f>
        <x:v>24104.92</x:v>
      </x:c>
      <x:c r="J678" s="2" t="str">
        <x:v>Regelbestand laut Verkäufer</x:v>
      </x:c>
      <x:c r="K678" s="2" t="str">
        <x:v>Export KREDIT-ERF-20260930, Einzelbelege nicht im Datenraum</x:v>
      </x:c>
    </x:row>
    <x:row r="679" ht="22" customHeight="1">
      <x:c r="A679" s="2" t="str">
        <x:v>APB-0674</x:v>
      </x:c>
      <x:c r="B679" s="2" t="str">
        <x:v>Bestandskunde 0674</x:v>
      </x:c>
      <x:c r="C679" s="2" t="str">
        <x:v>Nur Verkäuferexport</x:v>
      </x:c>
      <x:c r="D679" s="9" t="n">
        <x:v>26338</x:v>
      </x:c>
      <x:c r="E679" s="9" t="n">
        <x:v>52</x:v>
      </x:c>
      <x:c r="F679" s="9" t="n">
        <x:v>0</x:v>
      </x:c>
      <x:c r="G679" s="11" t="n">
        <x:f>SUM(D679:F679)</x:f>
        <x:v>26390</x:v>
      </x:c>
      <x:c r="H679" s="10" t="n">
        <x:v>0.92</x:v>
      </x:c>
      <x:c r="I679" s="11" t="n">
        <x:f>IF(ISNUMBER(H679),ROUND(D679*H679,2),NA())</x:f>
        <x:v>24230.96</x:v>
      </x:c>
      <x:c r="J679" s="2" t="str">
        <x:v>Regelbestand laut Verkäufer</x:v>
      </x:c>
      <x:c r="K679" s="2" t="str">
        <x:v>Export KREDIT-ERF-20260930, Einzelbelege nicht im Datenraum</x:v>
      </x:c>
    </x:row>
    <x:row r="680" ht="22" customHeight="1">
      <x:c r="A680" s="2" t="str">
        <x:v>APB-0675</x:v>
      </x:c>
      <x:c r="B680" s="2" t="str">
        <x:v>Bestandskunde 0675</x:v>
      </x:c>
      <x:c r="C680" s="2" t="str">
        <x:v>Nur Verkäuferexport</x:v>
      </x:c>
      <x:c r="D680" s="9" t="n">
        <x:v>26475</x:v>
      </x:c>
      <x:c r="E680" s="9" t="n">
        <x:v>0</x:v>
      </x:c>
      <x:c r="F680" s="9" t="n">
        <x:v>0</x:v>
      </x:c>
      <x:c r="G680" s="11" t="n">
        <x:f>SUM(D680:F680)</x:f>
        <x:v>26475</x:v>
      </x:c>
      <x:c r="H680" s="10" t="n">
        <x:v>0.92</x:v>
      </x:c>
      <x:c r="I680" s="11" t="n">
        <x:f>IF(ISNUMBER(H680),ROUND(D680*H680,2),NA())</x:f>
        <x:v>24357</x:v>
      </x:c>
      <x:c r="J680" s="2" t="str">
        <x:v>Regelbestand laut Verkäufer</x:v>
      </x:c>
      <x:c r="K680" s="2" t="str">
        <x:v>Export KREDIT-ERF-20260930, Einzelbelege nicht im Datenraum</x:v>
      </x:c>
    </x:row>
    <x:row r="681" ht="22" customHeight="1">
      <x:c r="A681" s="2" t="str">
        <x:v>APB-0676</x:v>
      </x:c>
      <x:c r="B681" s="2" t="str">
        <x:v>Bestandskunde 0676</x:v>
      </x:c>
      <x:c r="C681" s="2" t="str">
        <x:v>Nur Verkäuferexport</x:v>
      </x:c>
      <x:c r="D681" s="9" t="n">
        <x:v>26612</x:v>
      </x:c>
      <x:c r="E681" s="9" t="n">
        <x:v>6.5</x:v>
      </x:c>
      <x:c r="F681" s="9" t="n">
        <x:v>0</x:v>
      </x:c>
      <x:c r="G681" s="11" t="n">
        <x:f>SUM(D681:F681)</x:f>
        <x:v>26618.5</x:v>
      </x:c>
      <x:c r="H681" s="10" t="n">
        <x:v>0.92</x:v>
      </x:c>
      <x:c r="I681" s="11" t="n">
        <x:f>IF(ISNUMBER(H681),ROUND(D681*H681,2),NA())</x:f>
        <x:v>24483.04</x:v>
      </x:c>
      <x:c r="J681" s="2" t="str">
        <x:v>Regelbestand laut Verkäufer</x:v>
      </x:c>
      <x:c r="K681" s="2" t="str">
        <x:v>Export KREDIT-ERF-20260930, Einzelbelege nicht im Datenraum</x:v>
      </x:c>
    </x:row>
    <x:row r="682" ht="22" customHeight="1">
      <x:c r="A682" s="2" t="str">
        <x:v>APB-0677</x:v>
      </x:c>
      <x:c r="B682" s="2" t="str">
        <x:v>Bestandskunde 0677</x:v>
      </x:c>
      <x:c r="C682" s="2" t="str">
        <x:v>Nur Verkäuferexport</x:v>
      </x:c>
      <x:c r="D682" s="9" t="n">
        <x:v>26749</x:v>
      </x:c>
      <x:c r="E682" s="9" t="n">
        <x:v>13</x:v>
      </x:c>
      <x:c r="F682" s="9" t="n">
        <x:v>0</x:v>
      </x:c>
      <x:c r="G682" s="11" t="n">
        <x:f>SUM(D682:F682)</x:f>
        <x:v>26762</x:v>
      </x:c>
      <x:c r="H682" s="10" t="n">
        <x:v>0.92</x:v>
      </x:c>
      <x:c r="I682" s="11" t="n">
        <x:f>IF(ISNUMBER(H682),ROUND(D682*H682,2),NA())</x:f>
        <x:v>24609.08</x:v>
      </x:c>
      <x:c r="J682" s="2" t="str">
        <x:v>Regelbestand laut Verkäufer</x:v>
      </x:c>
      <x:c r="K682" s="2" t="str">
        <x:v>Export KREDIT-ERF-20260930, Einzelbelege nicht im Datenraum</x:v>
      </x:c>
    </x:row>
    <x:row r="683" ht="22" customHeight="1">
      <x:c r="A683" s="2" t="str">
        <x:v>APB-0678</x:v>
      </x:c>
      <x:c r="B683" s="2" t="str">
        <x:v>Bestandskunde 0678</x:v>
      </x:c>
      <x:c r="C683" s="2" t="str">
        <x:v>Nur Verkäuferexport</x:v>
      </x:c>
      <x:c r="D683" s="9" t="n">
        <x:v>26886</x:v>
      </x:c>
      <x:c r="E683" s="9" t="n">
        <x:v>19.5</x:v>
      </x:c>
      <x:c r="F683" s="9" t="n">
        <x:v>0</x:v>
      </x:c>
      <x:c r="G683" s="11" t="n">
        <x:f>SUM(D683:F683)</x:f>
        <x:v>26905.5</x:v>
      </x:c>
      <x:c r="H683" s="10" t="n">
        <x:v>0.92</x:v>
      </x:c>
      <x:c r="I683" s="11" t="n">
        <x:f>IF(ISNUMBER(H683),ROUND(D683*H683,2),NA())</x:f>
        <x:v>24735.12</x:v>
      </x:c>
      <x:c r="J683" s="2" t="str">
        <x:v>Regelbestand laut Verkäufer</x:v>
      </x:c>
      <x:c r="K683" s="2" t="str">
        <x:v>Export KREDIT-ERF-20260930, Einzelbelege nicht im Datenraum</x:v>
      </x:c>
    </x:row>
    <x:row r="684" ht="22" customHeight="1">
      <x:c r="A684" s="2" t="str">
        <x:v>APB-0679</x:v>
      </x:c>
      <x:c r="B684" s="2" t="str">
        <x:v>Bestandskunde 0679</x:v>
      </x:c>
      <x:c r="C684" s="2" t="str">
        <x:v>Nur Verkäuferexport</x:v>
      </x:c>
      <x:c r="D684" s="9" t="n">
        <x:v>27023</x:v>
      </x:c>
      <x:c r="E684" s="9" t="n">
        <x:v>26</x:v>
      </x:c>
      <x:c r="F684" s="9" t="n">
        <x:v>0</x:v>
      </x:c>
      <x:c r="G684" s="11" t="n">
        <x:f>SUM(D684:F684)</x:f>
        <x:v>27049</x:v>
      </x:c>
      <x:c r="H684" s="10" t="n">
        <x:v>0.92</x:v>
      </x:c>
      <x:c r="I684" s="11" t="n">
        <x:f>IF(ISNUMBER(H684),ROUND(D684*H684,2),NA())</x:f>
        <x:v>24861.16</x:v>
      </x:c>
      <x:c r="J684" s="2" t="str">
        <x:v>Regelbestand laut Verkäufer</x:v>
      </x:c>
      <x:c r="K684" s="2" t="str">
        <x:v>Export KREDIT-ERF-20260930, Einzelbelege nicht im Datenraum</x:v>
      </x:c>
    </x:row>
    <x:row r="685" ht="22" customHeight="1">
      <x:c r="A685" s="2" t="str">
        <x:v>APB-0680</x:v>
      </x:c>
      <x:c r="B685" s="2" t="str">
        <x:v>Bestandskunde 0680</x:v>
      </x:c>
      <x:c r="C685" s="2" t="str">
        <x:v>Nur Verkäuferexport</x:v>
      </x:c>
      <x:c r="D685" s="9" t="n">
        <x:v>27160</x:v>
      </x:c>
      <x:c r="E685" s="9" t="n">
        <x:v>32.5</x:v>
      </x:c>
      <x:c r="F685" s="9" t="n">
        <x:v>0</x:v>
      </x:c>
      <x:c r="G685" s="11" t="n">
        <x:f>SUM(D685:F685)</x:f>
        <x:v>27192.5</x:v>
      </x:c>
      <x:c r="H685" s="10" t="n">
        <x:v>0.92</x:v>
      </x:c>
      <x:c r="I685" s="11" t="n">
        <x:f>IF(ISNUMBER(H685),ROUND(D685*H685,2),NA())</x:f>
        <x:v>24987.2</x:v>
      </x:c>
      <x:c r="J685" s="2" t="str">
        <x:v>Regelbestand laut Verkäufer</x:v>
      </x:c>
      <x:c r="K685" s="2" t="str">
        <x:v>Export KREDIT-ERF-20260930, Einzelbelege nicht im Datenraum</x:v>
      </x:c>
    </x:row>
    <x:row r="686" ht="22" customHeight="1">
      <x:c r="A686" s="2" t="str">
        <x:v>APB-0681</x:v>
      </x:c>
      <x:c r="B686" s="2" t="str">
        <x:v>Bestandskunde 0681</x:v>
      </x:c>
      <x:c r="C686" s="2" t="str">
        <x:v>Nur Verkäuferexport</x:v>
      </x:c>
      <x:c r="D686" s="9" t="n">
        <x:v>27297</x:v>
      </x:c>
      <x:c r="E686" s="9" t="n">
        <x:v>39</x:v>
      </x:c>
      <x:c r="F686" s="9" t="n">
        <x:v>0</x:v>
      </x:c>
      <x:c r="G686" s="11" t="n">
        <x:f>SUM(D686:F686)</x:f>
        <x:v>27336</x:v>
      </x:c>
      <x:c r="H686" s="10" t="n">
        <x:v>0.92</x:v>
      </x:c>
      <x:c r="I686" s="11" t="n">
        <x:f>IF(ISNUMBER(H686),ROUND(D686*H686,2),NA())</x:f>
        <x:v>25113.24</x:v>
      </x:c>
      <x:c r="J686" s="2" t="str">
        <x:v>Regelbestand laut Verkäufer</x:v>
      </x:c>
      <x:c r="K686" s="2" t="str">
        <x:v>Export KREDIT-ERF-20260930, Einzelbelege nicht im Datenraum</x:v>
      </x:c>
    </x:row>
    <x:row r="687" ht="22" customHeight="1">
      <x:c r="A687" s="2" t="str">
        <x:v>APB-0682</x:v>
      </x:c>
      <x:c r="B687" s="2" t="str">
        <x:v>Bestandskunde 0682</x:v>
      </x:c>
      <x:c r="C687" s="2" t="str">
        <x:v>Nur Verkäuferexport</x:v>
      </x:c>
      <x:c r="D687" s="9" t="n">
        <x:v>27434</x:v>
      </x:c>
      <x:c r="E687" s="9" t="n">
        <x:v>45.5</x:v>
      </x:c>
      <x:c r="F687" s="9" t="n">
        <x:v>0</x:v>
      </x:c>
      <x:c r="G687" s="11" t="n">
        <x:f>SUM(D687:F687)</x:f>
        <x:v>27479.5</x:v>
      </x:c>
      <x:c r="H687" s="10" t="n">
        <x:v>0.92</x:v>
      </x:c>
      <x:c r="I687" s="11" t="n">
        <x:f>IF(ISNUMBER(H687),ROUND(D687*H687,2),NA())</x:f>
        <x:v>25239.28</x:v>
      </x:c>
      <x:c r="J687" s="2" t="str">
        <x:v>Regelbestand laut Verkäufer</x:v>
      </x:c>
      <x:c r="K687" s="2" t="str">
        <x:v>Export KREDIT-ERF-20260930, Einzelbelege nicht im Datenraum</x:v>
      </x:c>
    </x:row>
    <x:row r="688" ht="22" customHeight="1">
      <x:c r="A688" s="2" t="str">
        <x:v>APB-0683</x:v>
      </x:c>
      <x:c r="B688" s="2" t="str">
        <x:v>Bestandskunde 0683</x:v>
      </x:c>
      <x:c r="C688" s="2" t="str">
        <x:v>Nur Verkäuferexport</x:v>
      </x:c>
      <x:c r="D688" s="9" t="n">
        <x:v>27571</x:v>
      </x:c>
      <x:c r="E688" s="9" t="n">
        <x:v>52</x:v>
      </x:c>
      <x:c r="F688" s="9" t="n">
        <x:v>0</x:v>
      </x:c>
      <x:c r="G688" s="11" t="n">
        <x:f>SUM(D688:F688)</x:f>
        <x:v>27623</x:v>
      </x:c>
      <x:c r="H688" s="10" t="n">
        <x:v>0.92</x:v>
      </x:c>
      <x:c r="I688" s="11" t="n">
        <x:f>IF(ISNUMBER(H688),ROUND(D688*H688,2),NA())</x:f>
        <x:v>25365.32</x:v>
      </x:c>
      <x:c r="J688" s="2" t="str">
        <x:v>Regelbestand laut Verkäufer</x:v>
      </x:c>
      <x:c r="K688" s="2" t="str">
        <x:v>Export KREDIT-ERF-20260930, Einzelbelege nicht im Datenraum</x:v>
      </x:c>
    </x:row>
    <x:row r="689" ht="22" customHeight="1">
      <x:c r="A689" s="2" t="str">
        <x:v>APB-0684</x:v>
      </x:c>
      <x:c r="B689" s="2" t="str">
        <x:v>Bestandskunde 0684</x:v>
      </x:c>
      <x:c r="C689" s="2" t="str">
        <x:v>Nur Verkäuferexport</x:v>
      </x:c>
      <x:c r="D689" s="9" t="n">
        <x:v>27708</x:v>
      </x:c>
      <x:c r="E689" s="9" t="n">
        <x:v>0</x:v>
      </x:c>
      <x:c r="F689" s="9" t="n">
        <x:v>0</x:v>
      </x:c>
      <x:c r="G689" s="11" t="n">
        <x:f>SUM(D689:F689)</x:f>
        <x:v>27708</x:v>
      </x:c>
      <x:c r="H689" s="10" t="n">
        <x:v>0.92</x:v>
      </x:c>
      <x:c r="I689" s="11" t="n">
        <x:f>IF(ISNUMBER(H689),ROUND(D689*H689,2),NA())</x:f>
        <x:v>25491.36</x:v>
      </x:c>
      <x:c r="J689" s="2" t="str">
        <x:v>Regelbestand laut Verkäufer</x:v>
      </x:c>
      <x:c r="K689" s="2" t="str">
        <x:v>Export KREDIT-ERF-20260930, Einzelbelege nicht im Datenraum</x:v>
      </x:c>
    </x:row>
    <x:row r="690" ht="22" customHeight="1">
      <x:c r="A690" s="2" t="str">
        <x:v>APB-0685</x:v>
      </x:c>
      <x:c r="B690" s="2" t="str">
        <x:v>Bestandskunde 0685</x:v>
      </x:c>
      <x:c r="C690" s="2" t="str">
        <x:v>Nur Verkäuferexport</x:v>
      </x:c>
      <x:c r="D690" s="9" t="n">
        <x:v>27845</x:v>
      </x:c>
      <x:c r="E690" s="9" t="n">
        <x:v>6.5</x:v>
      </x:c>
      <x:c r="F690" s="9" t="n">
        <x:v>0</x:v>
      </x:c>
      <x:c r="G690" s="11" t="n">
        <x:f>SUM(D690:F690)</x:f>
        <x:v>27851.5</x:v>
      </x:c>
      <x:c r="H690" s="10" t="n">
        <x:v>0.92</x:v>
      </x:c>
      <x:c r="I690" s="11" t="n">
        <x:f>IF(ISNUMBER(H690),ROUND(D690*H690,2),NA())</x:f>
        <x:v>25617.4</x:v>
      </x:c>
      <x:c r="J690" s="2" t="str">
        <x:v>Regelbestand laut Verkäufer</x:v>
      </x:c>
      <x:c r="K690" s="2" t="str">
        <x:v>Export KREDIT-ERF-20260930, Einzelbelege nicht im Datenraum</x:v>
      </x:c>
    </x:row>
    <x:row r="691" ht="22" customHeight="1">
      <x:c r="A691" s="2" t="str">
        <x:v>APB-0686</x:v>
      </x:c>
      <x:c r="B691" s="2" t="str">
        <x:v>Bestandskunde 0686</x:v>
      </x:c>
      <x:c r="C691" s="2" t="str">
        <x:v>Nur Verkäuferexport</x:v>
      </x:c>
      <x:c r="D691" s="9" t="n">
        <x:v>27982</x:v>
      </x:c>
      <x:c r="E691" s="9" t="n">
        <x:v>13</x:v>
      </x:c>
      <x:c r="F691" s="9" t="n">
        <x:v>0</x:v>
      </x:c>
      <x:c r="G691" s="11" t="n">
        <x:f>SUM(D691:F691)</x:f>
        <x:v>27995</x:v>
      </x:c>
      <x:c r="H691" s="10" t="n">
        <x:v>0.92</x:v>
      </x:c>
      <x:c r="I691" s="11" t="n">
        <x:f>IF(ISNUMBER(H691),ROUND(D691*H691,2),NA())</x:f>
        <x:v>25743.44</x:v>
      </x:c>
      <x:c r="J691" s="2" t="str">
        <x:v>Regelbestand laut Verkäufer</x:v>
      </x:c>
      <x:c r="K691" s="2" t="str">
        <x:v>Export KREDIT-ERF-20260930, Einzelbelege nicht im Datenraum</x:v>
      </x:c>
    </x:row>
    <x:row r="692" ht="22" customHeight="1">
      <x:c r="A692" s="2" t="str">
        <x:v>APB-0687</x:v>
      </x:c>
      <x:c r="B692" s="2" t="str">
        <x:v>Bestandskunde 0687</x:v>
      </x:c>
      <x:c r="C692" s="2" t="str">
        <x:v>Nur Verkäuferexport</x:v>
      </x:c>
      <x:c r="D692" s="9" t="n">
        <x:v>28119</x:v>
      </x:c>
      <x:c r="E692" s="9" t="n">
        <x:v>19.5</x:v>
      </x:c>
      <x:c r="F692" s="9" t="n">
        <x:v>0</x:v>
      </x:c>
      <x:c r="G692" s="11" t="n">
        <x:f>SUM(D692:F692)</x:f>
        <x:v>28138.5</x:v>
      </x:c>
      <x:c r="H692" s="10" t="n">
        <x:v>0.92</x:v>
      </x:c>
      <x:c r="I692" s="11" t="n">
        <x:f>IF(ISNUMBER(H692),ROUND(D692*H692,2),NA())</x:f>
        <x:v>25869.48</x:v>
      </x:c>
      <x:c r="J692" s="2" t="str">
        <x:v>Regelbestand laut Verkäufer</x:v>
      </x:c>
      <x:c r="K692" s="2" t="str">
        <x:v>Export KREDIT-ERF-20260930, Einzelbelege nicht im Datenraum</x:v>
      </x:c>
    </x:row>
    <x:row r="693" ht="22" customHeight="1">
      <x:c r="A693" s="2" t="str">
        <x:v>APB-0688</x:v>
      </x:c>
      <x:c r="B693" s="2" t="str">
        <x:v>Bestandskunde 0688</x:v>
      </x:c>
      <x:c r="C693" s="2" t="str">
        <x:v>Nur Verkäuferexport</x:v>
      </x:c>
      <x:c r="D693" s="9" t="n">
        <x:v>28256</x:v>
      </x:c>
      <x:c r="E693" s="9" t="n">
        <x:v>26</x:v>
      </x:c>
      <x:c r="F693" s="9" t="n">
        <x:v>0</x:v>
      </x:c>
      <x:c r="G693" s="11" t="n">
        <x:f>SUM(D693:F693)</x:f>
        <x:v>28282</x:v>
      </x:c>
      <x:c r="H693" s="10" t="n">
        <x:v>0.92</x:v>
      </x:c>
      <x:c r="I693" s="11" t="n">
        <x:f>IF(ISNUMBER(H693),ROUND(D693*H693,2),NA())</x:f>
        <x:v>25995.52</x:v>
      </x:c>
      <x:c r="J693" s="2" t="str">
        <x:v>Regelbestand laut Verkäufer</x:v>
      </x:c>
      <x:c r="K693" s="2" t="str">
        <x:v>Export KREDIT-ERF-20260930, Einzelbelege nicht im Datenraum</x:v>
      </x:c>
    </x:row>
    <x:row r="694" ht="22" customHeight="1">
      <x:c r="A694" s="2" t="str">
        <x:v>APB-0689</x:v>
      </x:c>
      <x:c r="B694" s="2" t="str">
        <x:v>Bestandskunde 0689</x:v>
      </x:c>
      <x:c r="C694" s="2" t="str">
        <x:v>Nur Verkäuferexport</x:v>
      </x:c>
      <x:c r="D694" s="9" t="n">
        <x:v>28393</x:v>
      </x:c>
      <x:c r="E694" s="9" t="n">
        <x:v>32.5</x:v>
      </x:c>
      <x:c r="F694" s="9" t="n">
        <x:v>0</x:v>
      </x:c>
      <x:c r="G694" s="11" t="n">
        <x:f>SUM(D694:F694)</x:f>
        <x:v>28425.5</x:v>
      </x:c>
      <x:c r="H694" s="10" t="n">
        <x:v>0.92</x:v>
      </x:c>
      <x:c r="I694" s="11" t="n">
        <x:f>IF(ISNUMBER(H694),ROUND(D694*H694,2),NA())</x:f>
        <x:v>26121.56</x:v>
      </x:c>
      <x:c r="J694" s="2" t="str">
        <x:v>Regelbestand laut Verkäufer</x:v>
      </x:c>
      <x:c r="K694" s="2" t="str">
        <x:v>Export KREDIT-ERF-20260930, Einzelbelege nicht im Datenraum</x:v>
      </x:c>
    </x:row>
    <x:row r="695" ht="22" customHeight="1">
      <x:c r="A695" s="2" t="str">
        <x:v>APB-0690</x:v>
      </x:c>
      <x:c r="B695" s="2" t="str">
        <x:v>Bestandskunde 0690</x:v>
      </x:c>
      <x:c r="C695" s="2" t="str">
        <x:v>Nur Verkäuferexport</x:v>
      </x:c>
      <x:c r="D695" s="9" t="n">
        <x:v>28530</x:v>
      </x:c>
      <x:c r="E695" s="9" t="n">
        <x:v>39</x:v>
      </x:c>
      <x:c r="F695" s="9" t="n">
        <x:v>0</x:v>
      </x:c>
      <x:c r="G695" s="11" t="n">
        <x:f>SUM(D695:F695)</x:f>
        <x:v>28569</x:v>
      </x:c>
      <x:c r="H695" s="10" t="n">
        <x:v>0.92</x:v>
      </x:c>
      <x:c r="I695" s="11" t="n">
        <x:f>IF(ISNUMBER(H695),ROUND(D695*H695,2),NA())</x:f>
        <x:v>26247.6</x:v>
      </x:c>
      <x:c r="J695" s="2" t="str">
        <x:v>Regelbestand laut Verkäufer</x:v>
      </x:c>
      <x:c r="K695" s="2" t="str">
        <x:v>Export KREDIT-ERF-20260930, Einzelbelege nicht im Datenraum</x:v>
      </x:c>
    </x:row>
    <x:row r="696" ht="22" customHeight="1">
      <x:c r="A696" s="2" t="str">
        <x:v>APB-0691</x:v>
      </x:c>
      <x:c r="B696" s="2" t="str">
        <x:v>Bestandskunde 0691</x:v>
      </x:c>
      <x:c r="C696" s="2" t="str">
        <x:v>Nur Verkäuferexport</x:v>
      </x:c>
      <x:c r="D696" s="9" t="n">
        <x:v>28667</x:v>
      </x:c>
      <x:c r="E696" s="9" t="n">
        <x:v>45.5</x:v>
      </x:c>
      <x:c r="F696" s="9" t="n">
        <x:v>0</x:v>
      </x:c>
      <x:c r="G696" s="11" t="n">
        <x:f>SUM(D696:F696)</x:f>
        <x:v>28712.5</x:v>
      </x:c>
      <x:c r="H696" s="10" t="n">
        <x:v>0.92</x:v>
      </x:c>
      <x:c r="I696" s="11" t="n">
        <x:f>IF(ISNUMBER(H696),ROUND(D696*H696,2),NA())</x:f>
        <x:v>26373.64</x:v>
      </x:c>
      <x:c r="J696" s="2" t="str">
        <x:v>Regelbestand laut Verkäufer</x:v>
      </x:c>
      <x:c r="K696" s="2" t="str">
        <x:v>Export KREDIT-ERF-20260930, Einzelbelege nicht im Datenraum</x:v>
      </x:c>
    </x:row>
    <x:row r="697" ht="22" customHeight="1">
      <x:c r="A697" s="2" t="str">
        <x:v>APB-0692</x:v>
      </x:c>
      <x:c r="B697" s="2" t="str">
        <x:v>Bestandskunde 0692</x:v>
      </x:c>
      <x:c r="C697" s="2" t="str">
        <x:v>Nur Verkäuferexport</x:v>
      </x:c>
      <x:c r="D697" s="9" t="n">
        <x:v>28804</x:v>
      </x:c>
      <x:c r="E697" s="9" t="n">
        <x:v>52</x:v>
      </x:c>
      <x:c r="F697" s="9" t="n">
        <x:v>0</x:v>
      </x:c>
      <x:c r="G697" s="11" t="n">
        <x:f>SUM(D697:F697)</x:f>
        <x:v>28856</x:v>
      </x:c>
      <x:c r="H697" s="10" t="n">
        <x:v>0.92</x:v>
      </x:c>
      <x:c r="I697" s="11" t="n">
        <x:f>IF(ISNUMBER(H697),ROUND(D697*H697,2),NA())</x:f>
        <x:v>26499.68</x:v>
      </x:c>
      <x:c r="J697" s="2" t="str">
        <x:v>Regelbestand laut Verkäufer</x:v>
      </x:c>
      <x:c r="K697" s="2" t="str">
        <x:v>Export KREDIT-ERF-20260930, Einzelbelege nicht im Datenraum</x:v>
      </x:c>
    </x:row>
    <x:row r="698" ht="22" customHeight="1">
      <x:c r="A698" s="2" t="str">
        <x:v>APB-0693</x:v>
      </x:c>
      <x:c r="B698" s="2" t="str">
        <x:v>Bestandskunde 0693</x:v>
      </x:c>
      <x:c r="C698" s="2" t="str">
        <x:v>Nur Verkäuferexport</x:v>
      </x:c>
      <x:c r="D698" s="9" t="n">
        <x:v>28941</x:v>
      </x:c>
      <x:c r="E698" s="9" t="n">
        <x:v>0</x:v>
      </x:c>
      <x:c r="F698" s="9" t="n">
        <x:v>0</x:v>
      </x:c>
      <x:c r="G698" s="11" t="n">
        <x:f>SUM(D698:F698)</x:f>
        <x:v>28941</x:v>
      </x:c>
      <x:c r="H698" s="10" t="n">
        <x:v>0.92</x:v>
      </x:c>
      <x:c r="I698" s="11" t="n">
        <x:f>IF(ISNUMBER(H698),ROUND(D698*H698,2),NA())</x:f>
        <x:v>26625.72</x:v>
      </x:c>
      <x:c r="J698" s="2" t="str">
        <x:v>Regelbestand laut Verkäufer</x:v>
      </x:c>
      <x:c r="K698" s="2" t="str">
        <x:v>Export KREDIT-ERF-20260930, Einzelbelege nicht im Datenraum</x:v>
      </x:c>
    </x:row>
    <x:row r="699" ht="22" customHeight="1">
      <x:c r="A699" s="2" t="str">
        <x:v>APB-0694</x:v>
      </x:c>
      <x:c r="B699" s="2" t="str">
        <x:v>Bestandskunde 0694</x:v>
      </x:c>
      <x:c r="C699" s="2" t="str">
        <x:v>Nur Verkäuferexport</x:v>
      </x:c>
      <x:c r="D699" s="9" t="n">
        <x:v>29078</x:v>
      </x:c>
      <x:c r="E699" s="9" t="n">
        <x:v>6.5</x:v>
      </x:c>
      <x:c r="F699" s="9" t="n">
        <x:v>0</x:v>
      </x:c>
      <x:c r="G699" s="11" t="n">
        <x:f>SUM(D699:F699)</x:f>
        <x:v>29084.5</x:v>
      </x:c>
      <x:c r="H699" s="10" t="n">
        <x:v>0.92</x:v>
      </x:c>
      <x:c r="I699" s="11" t="n">
        <x:f>IF(ISNUMBER(H699),ROUND(D699*H699,2),NA())</x:f>
        <x:v>26751.76</x:v>
      </x:c>
      <x:c r="J699" s="2" t="str">
        <x:v>Regelbestand laut Verkäufer</x:v>
      </x:c>
      <x:c r="K699" s="2" t="str">
        <x:v>Export KREDIT-ERF-20260930, Einzelbelege nicht im Datenraum</x:v>
      </x:c>
    </x:row>
    <x:row r="700" ht="22" customHeight="1">
      <x:c r="A700" s="2" t="str">
        <x:v>APB-0695</x:v>
      </x:c>
      <x:c r="B700" s="2" t="str">
        <x:v>Bestandskunde 0695</x:v>
      </x:c>
      <x:c r="C700" s="2" t="str">
        <x:v>Nur Verkäuferexport</x:v>
      </x:c>
      <x:c r="D700" s="9" t="n">
        <x:v>29215</x:v>
      </x:c>
      <x:c r="E700" s="9" t="n">
        <x:v>13</x:v>
      </x:c>
      <x:c r="F700" s="9" t="n">
        <x:v>0</x:v>
      </x:c>
      <x:c r="G700" s="11" t="n">
        <x:f>SUM(D700:F700)</x:f>
        <x:v>29228</x:v>
      </x:c>
      <x:c r="H700" s="10" t="n">
        <x:v>0.92</x:v>
      </x:c>
      <x:c r="I700" s="11" t="n">
        <x:f>IF(ISNUMBER(H700),ROUND(D700*H700,2),NA())</x:f>
        <x:v>26877.8</x:v>
      </x:c>
      <x:c r="J700" s="2" t="str">
        <x:v>Regelbestand laut Verkäufer</x:v>
      </x:c>
      <x:c r="K700" s="2" t="str">
        <x:v>Export KREDIT-ERF-20260930, Einzelbelege nicht im Datenraum</x:v>
      </x:c>
    </x:row>
    <x:row r="701" ht="22" customHeight="1">
      <x:c r="A701" s="2" t="str">
        <x:v>APB-0696</x:v>
      </x:c>
      <x:c r="B701" s="2" t="str">
        <x:v>Bestandskunde 0696</x:v>
      </x:c>
      <x:c r="C701" s="2" t="str">
        <x:v>Nur Verkäuferexport</x:v>
      </x:c>
      <x:c r="D701" s="9" t="n">
        <x:v>29352</x:v>
      </x:c>
      <x:c r="E701" s="9" t="n">
        <x:v>19.5</x:v>
      </x:c>
      <x:c r="F701" s="9" t="n">
        <x:v>15</x:v>
      </x:c>
      <x:c r="G701" s="11" t="n">
        <x:f>SUM(D701:F701)</x:f>
        <x:v>29386.5</x:v>
      </x:c>
      <x:c r="H701" s="10" t="n">
        <x:v>0.92</x:v>
      </x:c>
      <x:c r="I701" s="11" t="n">
        <x:f>IF(ISNUMBER(H701),ROUND(D701*H701,2),NA())</x:f>
        <x:v>27003.84</x:v>
      </x:c>
      <x:c r="J701" s="2" t="str">
        <x:v>Zahlungslücke im Export</x:v>
      </x:c>
      <x:c r="K701" s="2" t="str">
        <x:v>Export KREDIT-ERF-20260930, Einzelbelege nicht im Datenraum</x:v>
      </x:c>
    </x:row>
    <x:row r="702" ht="22" customHeight="1">
      <x:c r="A702" s="2" t="str">
        <x:v>APB-0697</x:v>
      </x:c>
      <x:c r="B702" s="2" t="str">
        <x:v>Bestandskunde 0697</x:v>
      </x:c>
      <x:c r="C702" s="2" t="str">
        <x:v>Nur Verkäuferexport</x:v>
      </x:c>
      <x:c r="D702" s="9" t="n">
        <x:v>29489</x:v>
      </x:c>
      <x:c r="E702" s="9" t="n">
        <x:v>26</x:v>
      </x:c>
      <x:c r="F702" s="9" t="n">
        <x:v>0</x:v>
      </x:c>
      <x:c r="G702" s="11" t="n">
        <x:f>SUM(D702:F702)</x:f>
        <x:v>29515</x:v>
      </x:c>
      <x:c r="H702" s="10" t="n">
        <x:v>0.92</x:v>
      </x:c>
      <x:c r="I702" s="11" t="n">
        <x:f>IF(ISNUMBER(H702),ROUND(D702*H702,2),NA())</x:f>
        <x:v>27129.88</x:v>
      </x:c>
      <x:c r="J702" s="2" t="str">
        <x:v>Regelbestand laut Verkäufer</x:v>
      </x:c>
      <x:c r="K702" s="2" t="str">
        <x:v>Export KREDIT-ERF-20260930, Einzelbelege nicht im Datenraum</x:v>
      </x:c>
    </x:row>
    <x:row r="703" ht="22" customHeight="1">
      <x:c r="A703" s="2" t="str">
        <x:v>APB-0698</x:v>
      </x:c>
      <x:c r="B703" s="2" t="str">
        <x:v>Bestandskunde 0698</x:v>
      </x:c>
      <x:c r="C703" s="2" t="str">
        <x:v>Nur Verkäuferexport</x:v>
      </x:c>
      <x:c r="D703" s="9" t="n">
        <x:v>29626</x:v>
      </x:c>
      <x:c r="E703" s="9" t="n">
        <x:v>32.5</x:v>
      </x:c>
      <x:c r="F703" s="9" t="n">
        <x:v>0</x:v>
      </x:c>
      <x:c r="G703" s="11" t="n">
        <x:f>SUM(D703:F703)</x:f>
        <x:v>29658.5</x:v>
      </x:c>
      <x:c r="H703" s="10" t="n">
        <x:v>0.92</x:v>
      </x:c>
      <x:c r="I703" s="11" t="n">
        <x:f>IF(ISNUMBER(H703),ROUND(D703*H703,2),NA())</x:f>
        <x:v>27255.92</x:v>
      </x:c>
      <x:c r="J703" s="2" t="str">
        <x:v>Regelbestand laut Verkäufer</x:v>
      </x:c>
      <x:c r="K703" s="2" t="str">
        <x:v>Export KREDIT-ERF-20260930, Einzelbelege nicht im Datenraum</x:v>
      </x:c>
    </x:row>
    <x:row r="704" ht="22" customHeight="1">
      <x:c r="A704" s="2" t="str">
        <x:v>APB-0699</x:v>
      </x:c>
      <x:c r="B704" s="2" t="str">
        <x:v>Bestandskunde 0699</x:v>
      </x:c>
      <x:c r="C704" s="2" t="str">
        <x:v>Nur Verkäuferexport</x:v>
      </x:c>
      <x:c r="D704" s="9" t="n">
        <x:v>29763</x:v>
      </x:c>
      <x:c r="E704" s="9" t="n">
        <x:v>39</x:v>
      </x:c>
      <x:c r="F704" s="9" t="n">
        <x:v>0</x:v>
      </x:c>
      <x:c r="G704" s="11" t="n">
        <x:f>SUM(D704:F704)</x:f>
        <x:v>29802</x:v>
      </x:c>
      <x:c r="H704" s="10" t="n">
        <x:v>0.92</x:v>
      </x:c>
      <x:c r="I704" s="11" t="n">
        <x:f>IF(ISNUMBER(H704),ROUND(D704*H704,2),NA())</x:f>
        <x:v>27381.96</x:v>
      </x:c>
      <x:c r="J704" s="2" t="str">
        <x:v>Regelbestand laut Verkäufer</x:v>
      </x:c>
      <x:c r="K704" s="2" t="str">
        <x:v>Export KREDIT-ERF-20260930, Einzelbelege nicht im Datenraum</x:v>
      </x:c>
    </x:row>
    <x:row r="705" ht="22" customHeight="1">
      <x:c r="A705" s="2" t="str">
        <x:v>APB-0700</x:v>
      </x:c>
      <x:c r="B705" s="2" t="str">
        <x:v>Bestandskunde 0700</x:v>
      </x:c>
      <x:c r="C705" s="2" t="str">
        <x:v>Nur Verkäuferexport</x:v>
      </x:c>
      <x:c r="D705" s="9" t="n">
        <x:v>29900</x:v>
      </x:c>
      <x:c r="E705" s="9" t="n">
        <x:v>45.5</x:v>
      </x:c>
      <x:c r="F705" s="9" t="n">
        <x:v>0</x:v>
      </x:c>
      <x:c r="G705" s="11" t="n">
        <x:f>SUM(D705:F705)</x:f>
        <x:v>29945.5</x:v>
      </x:c>
      <x:c r="H705" s="10" t="n">
        <x:v>0.92</x:v>
      </x:c>
      <x:c r="I705" s="11" t="n">
        <x:f>IF(ISNUMBER(H705),ROUND(D705*H705,2),NA())</x:f>
        <x:v>27508</x:v>
      </x:c>
      <x:c r="J705" s="2" t="str">
        <x:v>Regelbestand laut Verkäufer</x:v>
      </x:c>
      <x:c r="K705" s="2" t="str">
        <x:v>Export KREDIT-ERF-20260930, Einzelbelege nicht im Datenraum</x:v>
      </x:c>
    </x:row>
    <x:row r="706" ht="22" customHeight="1">
      <x:c r="A706" s="2" t="str">
        <x:v>APB-0701</x:v>
      </x:c>
      <x:c r="B706" s="2" t="str">
        <x:v>Bestandskunde 0701</x:v>
      </x:c>
      <x:c r="C706" s="2" t="str">
        <x:v>Nur Verkäuferexport</x:v>
      </x:c>
      <x:c r="D706" s="9" t="n">
        <x:v>6037</x:v>
      </x:c>
      <x:c r="E706" s="9" t="n">
        <x:v>52</x:v>
      </x:c>
      <x:c r="F706" s="9" t="n">
        <x:v>0</x:v>
      </x:c>
      <x:c r="G706" s="11" t="n">
        <x:f>SUM(D706:F706)</x:f>
        <x:v>6089</x:v>
      </x:c>
      <x:c r="H706" s="10" t="n">
        <x:v>0.92</x:v>
      </x:c>
      <x:c r="I706" s="11" t="n">
        <x:f>IF(ISNUMBER(H706),ROUND(D706*H706,2),NA())</x:f>
        <x:v>5554.04</x:v>
      </x:c>
      <x:c r="J706" s="2" t="str">
        <x:v>Regelbestand laut Verkäufer</x:v>
      </x:c>
      <x:c r="K706" s="2" t="str">
        <x:v>Export KREDIT-ERF-20260930, Einzelbelege nicht im Datenraum</x:v>
      </x:c>
    </x:row>
    <x:row r="707" ht="22" customHeight="1">
      <x:c r="A707" s="2" t="str">
        <x:v>APB-0702</x:v>
      </x:c>
      <x:c r="B707" s="2" t="str">
        <x:v>Bestandskunde 0702</x:v>
      </x:c>
      <x:c r="C707" s="2" t="str">
        <x:v>Nur Verkäuferexport</x:v>
      </x:c>
      <x:c r="D707" s="9" t="n">
        <x:v>6174</x:v>
      </x:c>
      <x:c r="E707" s="9" t="n">
        <x:v>0</x:v>
      </x:c>
      <x:c r="F707" s="9" t="n">
        <x:v>0</x:v>
      </x:c>
      <x:c r="G707" s="11" t="n">
        <x:f>SUM(D707:F707)</x:f>
        <x:v>6174</x:v>
      </x:c>
      <x:c r="H707" s="10" t="n">
        <x:v>0.92</x:v>
      </x:c>
      <x:c r="I707" s="11" t="n">
        <x:f>IF(ISNUMBER(H707),ROUND(D707*H707,2),NA())</x:f>
        <x:v>5680.08</x:v>
      </x:c>
      <x:c r="J707" s="2" t="str">
        <x:v>Regelbestand laut Verkäufer</x:v>
      </x:c>
      <x:c r="K707" s="2" t="str">
        <x:v>Export KREDIT-ERF-20260930, Einzelbelege nicht im Datenraum</x:v>
      </x:c>
    </x:row>
    <x:row r="708" ht="22" customHeight="1">
      <x:c r="A708" s="2" t="str">
        <x:v>APB-0703</x:v>
      </x:c>
      <x:c r="B708" s="2" t="str">
        <x:v>Bestandskunde 0703</x:v>
      </x:c>
      <x:c r="C708" s="2" t="str">
        <x:v>Nur Verkäuferexport</x:v>
      </x:c>
      <x:c r="D708" s="9" t="n">
        <x:v>6311</x:v>
      </x:c>
      <x:c r="E708" s="9" t="n">
        <x:v>6.5</x:v>
      </x:c>
      <x:c r="F708" s="9" t="n">
        <x:v>0</x:v>
      </x:c>
      <x:c r="G708" s="11" t="n">
        <x:f>SUM(D708:F708)</x:f>
        <x:v>6317.5</x:v>
      </x:c>
      <x:c r="H708" s="10" t="n">
        <x:v>0.92</x:v>
      </x:c>
      <x:c r="I708" s="11" t="n">
        <x:f>IF(ISNUMBER(H708),ROUND(D708*H708,2),NA())</x:f>
        <x:v>5806.12</x:v>
      </x:c>
      <x:c r="J708" s="2" t="str">
        <x:v>Regelbestand laut Verkäufer</x:v>
      </x:c>
      <x:c r="K708" s="2" t="str">
        <x:v>Export KREDIT-ERF-20260930, Einzelbelege nicht im Datenraum</x:v>
      </x:c>
    </x:row>
    <x:row r="709" ht="22" customHeight="1">
      <x:c r="A709" s="2" t="str">
        <x:v>APB-0704</x:v>
      </x:c>
      <x:c r="B709" s="2" t="str">
        <x:v>Bestandskunde 0704</x:v>
      </x:c>
      <x:c r="C709" s="2" t="str">
        <x:v>Nur Verkäuferexport</x:v>
      </x:c>
      <x:c r="D709" s="9" t="n">
        <x:v>6448</x:v>
      </x:c>
      <x:c r="E709" s="9" t="n">
        <x:v>13</x:v>
      </x:c>
      <x:c r="F709" s="9" t="n">
        <x:v>0</x:v>
      </x:c>
      <x:c r="G709" s="11" t="n">
        <x:f>SUM(D709:F709)</x:f>
        <x:v>6461</x:v>
      </x:c>
      <x:c r="H709" s="10" t="n">
        <x:v>0.92</x:v>
      </x:c>
      <x:c r="I709" s="11" t="n">
        <x:f>IF(ISNUMBER(H709),ROUND(D709*H709,2),NA())</x:f>
        <x:v>5932.16</x:v>
      </x:c>
      <x:c r="J709" s="2" t="str">
        <x:v>Regelbestand laut Verkäufer</x:v>
      </x:c>
      <x:c r="K709" s="2" t="str">
        <x:v>Export KREDIT-ERF-20260930, Einzelbelege nicht im Datenraum</x:v>
      </x:c>
    </x:row>
    <x:row r="710" ht="22" customHeight="1">
      <x:c r="A710" s="2" t="str">
        <x:v>APB-0705</x:v>
      </x:c>
      <x:c r="B710" s="2" t="str">
        <x:v>Bestandskunde 0705</x:v>
      </x:c>
      <x:c r="C710" s="2" t="str">
        <x:v>Nur Verkäuferexport</x:v>
      </x:c>
      <x:c r="D710" s="9" t="n">
        <x:v>6585</x:v>
      </x:c>
      <x:c r="E710" s="9" t="n">
        <x:v>19.5</x:v>
      </x:c>
      <x:c r="F710" s="9" t="n">
        <x:v>0</x:v>
      </x:c>
      <x:c r="G710" s="11" t="n">
        <x:f>SUM(D710:F710)</x:f>
        <x:v>6604.5</x:v>
      </x:c>
      <x:c r="H710" s="10" t="n">
        <x:v>0.92</x:v>
      </x:c>
      <x:c r="I710" s="11" t="n">
        <x:f>IF(ISNUMBER(H710),ROUND(D710*H710,2),NA())</x:f>
        <x:v>6058.2</x:v>
      </x:c>
      <x:c r="J710" s="2" t="str">
        <x:v>Regelbestand laut Verkäufer</x:v>
      </x:c>
      <x:c r="K710" s="2" t="str">
        <x:v>Export KREDIT-ERF-20260930, Einzelbelege nicht im Datenraum</x:v>
      </x:c>
    </x:row>
    <x:row r="711" ht="22" customHeight="1">
      <x:c r="A711" s="2" t="str">
        <x:v>APB-0706</x:v>
      </x:c>
      <x:c r="B711" s="2" t="str">
        <x:v>Bestandskunde 0706</x:v>
      </x:c>
      <x:c r="C711" s="2" t="str">
        <x:v>Nur Verkäuferexport</x:v>
      </x:c>
      <x:c r="D711" s="9" t="n">
        <x:v>6722</x:v>
      </x:c>
      <x:c r="E711" s="9" t="n">
        <x:v>26</x:v>
      </x:c>
      <x:c r="F711" s="9" t="n">
        <x:v>0</x:v>
      </x:c>
      <x:c r="G711" s="11" t="n">
        <x:f>SUM(D711:F711)</x:f>
        <x:v>6748</x:v>
      </x:c>
      <x:c r="H711" s="10" t="n">
        <x:v>0.92</x:v>
      </x:c>
      <x:c r="I711" s="11" t="n">
        <x:f>IF(ISNUMBER(H711),ROUND(D711*H711,2),NA())</x:f>
        <x:v>6184.24</x:v>
      </x:c>
      <x:c r="J711" s="2" t="str">
        <x:v>Regelbestand laut Verkäufer</x:v>
      </x:c>
      <x:c r="K711" s="2" t="str">
        <x:v>Export KREDIT-ERF-20260930, Einzelbelege nicht im Datenraum</x:v>
      </x:c>
    </x:row>
    <x:row r="712" ht="22" customHeight="1">
      <x:c r="A712" s="2" t="str">
        <x:v>APB-0707</x:v>
      </x:c>
      <x:c r="B712" s="2" t="str">
        <x:v>Bestandskunde 0707</x:v>
      </x:c>
      <x:c r="C712" s="2" t="str">
        <x:v>Nur Verkäuferexport</x:v>
      </x:c>
      <x:c r="D712" s="9" t="n">
        <x:v>6859</x:v>
      </x:c>
      <x:c r="E712" s="9" t="n">
        <x:v>32.5</x:v>
      </x:c>
      <x:c r="F712" s="9" t="n">
        <x:v>0</x:v>
      </x:c>
      <x:c r="G712" s="11" t="n">
        <x:f>SUM(D712:F712)</x:f>
        <x:v>6891.5</x:v>
      </x:c>
      <x:c r="H712" s="10" t="n">
        <x:v>0.92</x:v>
      </x:c>
      <x:c r="I712" s="11" t="n">
        <x:f>IF(ISNUMBER(H712),ROUND(D712*H712,2),NA())</x:f>
        <x:v>6310.28</x:v>
      </x:c>
      <x:c r="J712" s="2" t="str">
        <x:v>Regelbestand laut Verkäufer</x:v>
      </x:c>
      <x:c r="K712" s="2" t="str">
        <x:v>Export KREDIT-ERF-20260930, Einzelbelege nicht im Datenraum</x:v>
      </x:c>
    </x:row>
    <x:row r="713" ht="22" customHeight="1">
      <x:c r="A713" s="2" t="str">
        <x:v>APB-0708</x:v>
      </x:c>
      <x:c r="B713" s="2" t="str">
        <x:v>Bestandskunde 0708</x:v>
      </x:c>
      <x:c r="C713" s="2" t="str">
        <x:v>Nur Verkäuferexport</x:v>
      </x:c>
      <x:c r="D713" s="9" t="n">
        <x:v>6996</x:v>
      </x:c>
      <x:c r="E713" s="9" t="n">
        <x:v>39</x:v>
      </x:c>
      <x:c r="F713" s="9" t="n">
        <x:v>0</x:v>
      </x:c>
      <x:c r="G713" s="11" t="n">
        <x:f>SUM(D713:F713)</x:f>
        <x:v>7035</x:v>
      </x:c>
      <x:c r="H713" s="10" t="n">
        <x:v>0.92</x:v>
      </x:c>
      <x:c r="I713" s="11" t="n">
        <x:f>IF(ISNUMBER(H713),ROUND(D713*H713,2),NA())</x:f>
        <x:v>6436.32</x:v>
      </x:c>
      <x:c r="J713" s="2" t="str">
        <x:v>Regelbestand laut Verkäufer</x:v>
      </x:c>
      <x:c r="K713" s="2" t="str">
        <x:v>Export KREDIT-ERF-20260930, Einzelbelege nicht im Datenraum</x:v>
      </x:c>
    </x:row>
    <x:row r="714" ht="22" customHeight="1">
      <x:c r="A714" s="2" t="str">
        <x:v>APB-0709</x:v>
      </x:c>
      <x:c r="B714" s="2" t="str">
        <x:v>Bestandskunde 0709</x:v>
      </x:c>
      <x:c r="C714" s="2" t="str">
        <x:v>Nur Verkäuferexport</x:v>
      </x:c>
      <x:c r="D714" s="9" t="n">
        <x:v>7133</x:v>
      </x:c>
      <x:c r="E714" s="9" t="n">
        <x:v>45.5</x:v>
      </x:c>
      <x:c r="F714" s="9" t="n">
        <x:v>0</x:v>
      </x:c>
      <x:c r="G714" s="11" t="n">
        <x:f>SUM(D714:F714)</x:f>
        <x:v>7178.5</x:v>
      </x:c>
      <x:c r="H714" s="10" t="n">
        <x:v>0.92</x:v>
      </x:c>
      <x:c r="I714" s="11" t="n">
        <x:f>IF(ISNUMBER(H714),ROUND(D714*H714,2),NA())</x:f>
        <x:v>6562.36</x:v>
      </x:c>
      <x:c r="J714" s="2" t="str">
        <x:v>Regelbestand laut Verkäufer</x:v>
      </x:c>
      <x:c r="K714" s="2" t="str">
        <x:v>Export KREDIT-ERF-20260930, Einzelbelege nicht im Datenraum</x:v>
      </x:c>
    </x:row>
    <x:row r="715" ht="22" customHeight="1">
      <x:c r="A715" s="2" t="str">
        <x:v>APB-0710</x:v>
      </x:c>
      <x:c r="B715" s="2" t="str">
        <x:v>Bestandskunde 0710</x:v>
      </x:c>
      <x:c r="C715" s="2" t="str">
        <x:v>Nur Verkäuferexport</x:v>
      </x:c>
      <x:c r="D715" s="9" t="n">
        <x:v>7270</x:v>
      </x:c>
      <x:c r="E715" s="9" t="n">
        <x:v>52</x:v>
      </x:c>
      <x:c r="F715" s="9" t="n">
        <x:v>0</x:v>
      </x:c>
      <x:c r="G715" s="11" t="n">
        <x:f>SUM(D715:F715)</x:f>
        <x:v>7322</x:v>
      </x:c>
      <x:c r="H715" s="10" t="n">
        <x:v>0.92</x:v>
      </x:c>
      <x:c r="I715" s="11" t="n">
        <x:f>IF(ISNUMBER(H715),ROUND(D715*H715,2),NA())</x:f>
        <x:v>6688.4</x:v>
      </x:c>
      <x:c r="J715" s="2" t="str">
        <x:v>Regelbestand laut Verkäufer</x:v>
      </x:c>
      <x:c r="K715" s="2" t="str">
        <x:v>Export KREDIT-ERF-20260930, Einzelbelege nicht im Datenraum</x:v>
      </x:c>
    </x:row>
    <x:row r="716" ht="22" customHeight="1">
      <x:c r="A716" s="2" t="str">
        <x:v>APB-0711</x:v>
      </x:c>
      <x:c r="B716" s="2" t="str">
        <x:v>Bestandskunde 0711</x:v>
      </x:c>
      <x:c r="C716" s="2" t="str">
        <x:v>Nur Verkäuferexport</x:v>
      </x:c>
      <x:c r="D716" s="9" t="n">
        <x:v>7407</x:v>
      </x:c>
      <x:c r="E716" s="9" t="n">
        <x:v>0</x:v>
      </x:c>
      <x:c r="F716" s="9" t="n">
        <x:v>0</x:v>
      </x:c>
      <x:c r="G716" s="11" t="n">
        <x:f>SUM(D716:F716)</x:f>
        <x:v>7407</x:v>
      </x:c>
      <x:c r="H716" s="10" t="n">
        <x:v>0.92</x:v>
      </x:c>
      <x:c r="I716" s="11" t="n">
        <x:f>IF(ISNUMBER(H716),ROUND(D716*H716,2),NA())</x:f>
        <x:v>6814.44</x:v>
      </x:c>
      <x:c r="J716" s="2" t="str">
        <x:v>Regelbestand laut Verkäufer</x:v>
      </x:c>
      <x:c r="K716" s="2" t="str">
        <x:v>Export KREDIT-ERF-20260930, Einzelbelege nicht im Datenraum</x:v>
      </x:c>
    </x:row>
    <x:row r="717" ht="22" customHeight="1">
      <x:c r="A717" s="2" t="str">
        <x:v>APB-0712</x:v>
      </x:c>
      <x:c r="B717" s="2" t="str">
        <x:v>Bestandskunde 0712</x:v>
      </x:c>
      <x:c r="C717" s="2" t="str">
        <x:v>Nur Verkäuferexport</x:v>
      </x:c>
      <x:c r="D717" s="9" t="n">
        <x:v>7544</x:v>
      </x:c>
      <x:c r="E717" s="9" t="n">
        <x:v>6.5</x:v>
      </x:c>
      <x:c r="F717" s="9" t="n">
        <x:v>0</x:v>
      </x:c>
      <x:c r="G717" s="11" t="n">
        <x:f>SUM(D717:F717)</x:f>
        <x:v>7550.5</x:v>
      </x:c>
      <x:c r="H717" s="10" t="n">
        <x:v>0.92</x:v>
      </x:c>
      <x:c r="I717" s="11" t="n">
        <x:f>IF(ISNUMBER(H717),ROUND(D717*H717,2),NA())</x:f>
        <x:v>6940.48</x:v>
      </x:c>
      <x:c r="J717" s="2" t="str">
        <x:v>Regelbestand laut Verkäufer</x:v>
      </x:c>
      <x:c r="K717" s="2" t="str">
        <x:v>Export KREDIT-ERF-20260930, Einzelbelege nicht im Datenraum</x:v>
      </x:c>
    </x:row>
    <x:row r="718" ht="22" customHeight="1">
      <x:c r="A718" s="2" t="str">
        <x:v>APB-0713</x:v>
      </x:c>
      <x:c r="B718" s="2" t="str">
        <x:v>Bestandskunde 0713</x:v>
      </x:c>
      <x:c r="C718" s="2" t="str">
        <x:v>Nur Verkäuferexport</x:v>
      </x:c>
      <x:c r="D718" s="9" t="n">
        <x:v>7681</x:v>
      </x:c>
      <x:c r="E718" s="9" t="n">
        <x:v>13</x:v>
      </x:c>
      <x:c r="F718" s="9" t="n">
        <x:v>0</x:v>
      </x:c>
      <x:c r="G718" s="11" t="n">
        <x:f>SUM(D718:F718)</x:f>
        <x:v>7694</x:v>
      </x:c>
      <x:c r="H718" s="10" t="n">
        <x:v>0.92</x:v>
      </x:c>
      <x:c r="I718" s="11" t="n">
        <x:f>IF(ISNUMBER(H718),ROUND(D718*H718,2),NA())</x:f>
        <x:v>7066.52</x:v>
      </x:c>
      <x:c r="J718" s="2" t="str">
        <x:v>Regelbestand laut Verkäufer</x:v>
      </x:c>
      <x:c r="K718" s="2" t="str">
        <x:v>Export KREDIT-ERF-20260930, Einzelbelege nicht im Datenraum</x:v>
      </x:c>
    </x:row>
    <x:row r="719" ht="22" customHeight="1">
      <x:c r="A719" s="2" t="str">
        <x:v>APB-0714</x:v>
      </x:c>
      <x:c r="B719" s="2" t="str">
        <x:v>Bestandskunde 0714</x:v>
      </x:c>
      <x:c r="C719" s="2" t="str">
        <x:v>Nur Verkäuferexport</x:v>
      </x:c>
      <x:c r="D719" s="9" t="n">
        <x:v>7818</x:v>
      </x:c>
      <x:c r="E719" s="9" t="n">
        <x:v>19.5</x:v>
      </x:c>
      <x:c r="F719" s="9" t="n">
        <x:v>0</x:v>
      </x:c>
      <x:c r="G719" s="11" t="n">
        <x:f>SUM(D719:F719)</x:f>
        <x:v>7837.5</x:v>
      </x:c>
      <x:c r="H719" s="10" t="n">
        <x:v>0.92</x:v>
      </x:c>
      <x:c r="I719" s="11" t="n">
        <x:f>IF(ISNUMBER(H719),ROUND(D719*H719,2),NA())</x:f>
        <x:v>7192.56</x:v>
      </x:c>
      <x:c r="J719" s="2" t="str">
        <x:v>Regelbestand laut Verkäufer</x:v>
      </x:c>
      <x:c r="K719" s="2" t="str">
        <x:v>Export KREDIT-ERF-20260930, Einzelbelege nicht im Datenraum</x:v>
      </x:c>
    </x:row>
    <x:row r="720" ht="22" customHeight="1">
      <x:c r="A720" s="2" t="str">
        <x:v>APB-0715</x:v>
      </x:c>
      <x:c r="B720" s="2" t="str">
        <x:v>Bestandskunde 0715</x:v>
      </x:c>
      <x:c r="C720" s="2" t="str">
        <x:v>Nur Verkäuferexport</x:v>
      </x:c>
      <x:c r="D720" s="9" t="n">
        <x:v>7955</x:v>
      </x:c>
      <x:c r="E720" s="9" t="n">
        <x:v>26</x:v>
      </x:c>
      <x:c r="F720" s="9" t="n">
        <x:v>0</x:v>
      </x:c>
      <x:c r="G720" s="11" t="n">
        <x:f>SUM(D720:F720)</x:f>
        <x:v>7981</x:v>
      </x:c>
      <x:c r="H720" s="10" t="n">
        <x:v>0.92</x:v>
      </x:c>
      <x:c r="I720" s="11" t="n">
        <x:f>IF(ISNUMBER(H720),ROUND(D720*H720,2),NA())</x:f>
        <x:v>7318.6</x:v>
      </x:c>
      <x:c r="J720" s="2" t="str">
        <x:v>Regelbestand laut Verkäufer</x:v>
      </x:c>
      <x:c r="K720" s="2" t="str">
        <x:v>Export KREDIT-ERF-20260930, Einzelbelege nicht im Datenraum</x:v>
      </x:c>
    </x:row>
    <x:row r="721" ht="22" customHeight="1">
      <x:c r="A721" s="2" t="str">
        <x:v>APB-0716</x:v>
      </x:c>
      <x:c r="B721" s="2" t="str">
        <x:v>Bestandskunde 0716</x:v>
      </x:c>
      <x:c r="C721" s="2" t="str">
        <x:v>Nur Verkäuferexport</x:v>
      </x:c>
      <x:c r="D721" s="9" t="n">
        <x:v>8092</x:v>
      </x:c>
      <x:c r="E721" s="9" t="n">
        <x:v>32.5</x:v>
      </x:c>
      <x:c r="F721" s="9" t="n">
        <x:v>0</x:v>
      </x:c>
      <x:c r="G721" s="11" t="n">
        <x:f>SUM(D721:F721)</x:f>
        <x:v>8124.5</x:v>
      </x:c>
      <x:c r="H721" s="10" t="n">
        <x:v>0.92</x:v>
      </x:c>
      <x:c r="I721" s="11" t="n">
        <x:f>IF(ISNUMBER(H721),ROUND(D721*H721,2),NA())</x:f>
        <x:v>7444.64</x:v>
      </x:c>
      <x:c r="J721" s="2" t="str">
        <x:v>Regelbestand laut Verkäufer</x:v>
      </x:c>
      <x:c r="K721" s="2" t="str">
        <x:v>Export KREDIT-ERF-20260930, Einzelbelege nicht im Datenraum</x:v>
      </x:c>
    </x:row>
    <x:row r="722" ht="22" customHeight="1">
      <x:c r="A722" s="2" t="str">
        <x:v>APB-0717</x:v>
      </x:c>
      <x:c r="B722" s="2" t="str">
        <x:v>Bestandskunde 0717</x:v>
      </x:c>
      <x:c r="C722" s="2" t="str">
        <x:v>Nur Verkäuferexport</x:v>
      </x:c>
      <x:c r="D722" s="9" t="n">
        <x:v>8229</x:v>
      </x:c>
      <x:c r="E722" s="9" t="n">
        <x:v>39</x:v>
      </x:c>
      <x:c r="F722" s="9" t="n">
        <x:v>0</x:v>
      </x:c>
      <x:c r="G722" s="11" t="n">
        <x:f>SUM(D722:F722)</x:f>
        <x:v>8268</x:v>
      </x:c>
      <x:c r="H722" s="10" t="n">
        <x:v>0.92</x:v>
      </x:c>
      <x:c r="I722" s="11" t="n">
        <x:f>IF(ISNUMBER(H722),ROUND(D722*H722,2),NA())</x:f>
        <x:v>7570.68</x:v>
      </x:c>
      <x:c r="J722" s="2" t="str">
        <x:v>Regelbestand laut Verkäufer</x:v>
      </x:c>
      <x:c r="K722" s="2" t="str">
        <x:v>Export KREDIT-ERF-20260930, Einzelbelege nicht im Datenraum</x:v>
      </x:c>
    </x:row>
    <x:row r="723" ht="22" customHeight="1">
      <x:c r="A723" s="2" t="str">
        <x:v>APB-0718</x:v>
      </x:c>
      <x:c r="B723" s="2" t="str">
        <x:v>Bestandskunde 0718</x:v>
      </x:c>
      <x:c r="C723" s="2" t="str">
        <x:v>Nur Verkäuferexport</x:v>
      </x:c>
      <x:c r="D723" s="9" t="n">
        <x:v>8366</x:v>
      </x:c>
      <x:c r="E723" s="9" t="n">
        <x:v>45.5</x:v>
      </x:c>
      <x:c r="F723" s="9" t="n">
        <x:v>0</x:v>
      </x:c>
      <x:c r="G723" s="11" t="n">
        <x:f>SUM(D723:F723)</x:f>
        <x:v>8411.5</x:v>
      </x:c>
      <x:c r="H723" s="10" t="n">
        <x:v>0.92</x:v>
      </x:c>
      <x:c r="I723" s="11" t="n">
        <x:f>IF(ISNUMBER(H723),ROUND(D723*H723,2),NA())</x:f>
        <x:v>7696.72</x:v>
      </x:c>
      <x:c r="J723" s="2" t="str">
        <x:v>Regelbestand laut Verkäufer</x:v>
      </x:c>
      <x:c r="K723" s="2" t="str">
        <x:v>Export KREDIT-ERF-20260930, Einzelbelege nicht im Datenraum</x:v>
      </x:c>
    </x:row>
    <x:row r="724" ht="22" customHeight="1">
      <x:c r="A724" s="2" t="str">
        <x:v>APB-0719</x:v>
      </x:c>
      <x:c r="B724" s="2" t="str">
        <x:v>Bestandskunde 0719</x:v>
      </x:c>
      <x:c r="C724" s="2" t="str">
        <x:v>Nur Verkäuferexport</x:v>
      </x:c>
      <x:c r="D724" s="9" t="n">
        <x:v>8503</x:v>
      </x:c>
      <x:c r="E724" s="9" t="n">
        <x:v>52</x:v>
      </x:c>
      <x:c r="F724" s="9" t="n">
        <x:v>0</x:v>
      </x:c>
      <x:c r="G724" s="11" t="n">
        <x:f>SUM(D724:F724)</x:f>
        <x:v>8555</x:v>
      </x:c>
      <x:c r="H724" s="10" t="n">
        <x:v>0.92</x:v>
      </x:c>
      <x:c r="I724" s="11" t="n">
        <x:f>IF(ISNUMBER(H724),ROUND(D724*H724,2),NA())</x:f>
        <x:v>7822.76</x:v>
      </x:c>
      <x:c r="J724" s="2" t="str">
        <x:v>Regelbestand laut Verkäufer</x:v>
      </x:c>
      <x:c r="K724" s="2" t="str">
        <x:v>Export KREDIT-ERF-20260930, Einzelbelege nicht im Datenraum</x:v>
      </x:c>
    </x:row>
    <x:row r="725" ht="22" customHeight="1">
      <x:c r="A725" s="2" t="str">
        <x:v>APB-0720</x:v>
      </x:c>
      <x:c r="B725" s="2" t="str">
        <x:v>Bestandskunde 0720</x:v>
      </x:c>
      <x:c r="C725" s="2" t="str">
        <x:v>Nur Verkäuferexport</x:v>
      </x:c>
      <x:c r="D725" s="9" t="n">
        <x:v>8640</x:v>
      </x:c>
      <x:c r="E725" s="9" t="n">
        <x:v>0</x:v>
      </x:c>
      <x:c r="F725" s="9" t="n">
        <x:v>0</x:v>
      </x:c>
      <x:c r="G725" s="11" t="n">
        <x:f>SUM(D725:F725)</x:f>
        <x:v>8640</x:v>
      </x:c>
      <x:c r="H725" s="10" t="n">
        <x:v>0.92</x:v>
      </x:c>
      <x:c r="I725" s="11" t="n">
        <x:f>IF(ISNUMBER(H725),ROUND(D725*H725,2),NA())</x:f>
        <x:v>7948.8</x:v>
      </x:c>
      <x:c r="J725" s="2" t="str">
        <x:v>Regelbestand laut Verkäufer</x:v>
      </x:c>
      <x:c r="K725" s="2" t="str">
        <x:v>Export KREDIT-ERF-20260930, Einzelbelege nicht im Datenraum</x:v>
      </x:c>
    </x:row>
    <x:row r="726" ht="22" customHeight="1">
      <x:c r="A726" s="2" t="str">
        <x:v>APB-0721</x:v>
      </x:c>
      <x:c r="B726" s="2" t="str">
        <x:v>Bestandskunde 0721</x:v>
      </x:c>
      <x:c r="C726" s="2" t="str">
        <x:v>Nur Verkäuferexport</x:v>
      </x:c>
      <x:c r="D726" s="9" t="n">
        <x:v>8777</x:v>
      </x:c>
      <x:c r="E726" s="9" t="n">
        <x:v>6.5</x:v>
      </x:c>
      <x:c r="F726" s="9" t="n">
        <x:v>0</x:v>
      </x:c>
      <x:c r="G726" s="11" t="n">
        <x:f>SUM(D726:F726)</x:f>
        <x:v>8783.5</x:v>
      </x:c>
      <x:c r="H726" s="10" t="n">
        <x:v>0.92</x:v>
      </x:c>
      <x:c r="I726" s="11" t="n">
        <x:f>IF(ISNUMBER(H726),ROUND(D726*H726,2),NA())</x:f>
        <x:v>8074.84</x:v>
      </x:c>
      <x:c r="J726" s="2" t="str">
        <x:v>Regelbestand laut Verkäufer</x:v>
      </x:c>
      <x:c r="K726" s="2" t="str">
        <x:v>Export KREDIT-ERF-20260930, Einzelbelege nicht im Datenraum</x:v>
      </x:c>
    </x:row>
    <x:row r="727" ht="22" customHeight="1">
      <x:c r="A727" s="2" t="str">
        <x:v>APB-0722</x:v>
      </x:c>
      <x:c r="B727" s="2" t="str">
        <x:v>Bestandskunde 0722</x:v>
      </x:c>
      <x:c r="C727" s="2" t="str">
        <x:v>Nur Verkäuferexport</x:v>
      </x:c>
      <x:c r="D727" s="9" t="n">
        <x:v>8914</x:v>
      </x:c>
      <x:c r="E727" s="9" t="n">
        <x:v>13</x:v>
      </x:c>
      <x:c r="F727" s="9" t="n">
        <x:v>0</x:v>
      </x:c>
      <x:c r="G727" s="11" t="n">
        <x:f>SUM(D727:F727)</x:f>
        <x:v>8927</x:v>
      </x:c>
      <x:c r="H727" s="10" t="n">
        <x:v>0.92</x:v>
      </x:c>
      <x:c r="I727" s="11" t="n">
        <x:f>IF(ISNUMBER(H727),ROUND(D727*H727,2),NA())</x:f>
        <x:v>8200.88</x:v>
      </x:c>
      <x:c r="J727" s="2" t="str">
        <x:v>Regelbestand laut Verkäufer</x:v>
      </x:c>
      <x:c r="K727" s="2" t="str">
        <x:v>Export KREDIT-ERF-20260930, Einzelbelege nicht im Datenraum</x:v>
      </x:c>
    </x:row>
    <x:row r="728" ht="22" customHeight="1">
      <x:c r="A728" s="2" t="str">
        <x:v>APB-0723</x:v>
      </x:c>
      <x:c r="B728" s="2" t="str">
        <x:v>Bestandskunde 0723</x:v>
      </x:c>
      <x:c r="C728" s="2" t="str">
        <x:v>Nur Verkäuferexport</x:v>
      </x:c>
      <x:c r="D728" s="9" t="n">
        <x:v>9051</x:v>
      </x:c>
      <x:c r="E728" s="9" t="n">
        <x:v>19.5</x:v>
      </x:c>
      <x:c r="F728" s="9" t="n">
        <x:v>0</x:v>
      </x:c>
      <x:c r="G728" s="11" t="n">
        <x:f>SUM(D728:F728)</x:f>
        <x:v>9070.5</x:v>
      </x:c>
      <x:c r="H728" s="10" t="n">
        <x:v>0.92</x:v>
      </x:c>
      <x:c r="I728" s="11" t="n">
        <x:f>IF(ISNUMBER(H728),ROUND(D728*H728,2),NA())</x:f>
        <x:v>8326.92</x:v>
      </x:c>
      <x:c r="J728" s="2" t="str">
        <x:v>Regelbestand laut Verkäufer</x:v>
      </x:c>
      <x:c r="K728" s="2" t="str">
        <x:v>Export KREDIT-ERF-20260930, Einzelbelege nicht im Datenraum</x:v>
      </x:c>
    </x:row>
    <x:row r="729" ht="22" customHeight="1">
      <x:c r="A729" s="2" t="str">
        <x:v>APB-0724</x:v>
      </x:c>
      <x:c r="B729" s="2" t="str">
        <x:v>Bestandskunde 0724</x:v>
      </x:c>
      <x:c r="C729" s="2" t="str">
        <x:v>Nur Verkäuferexport</x:v>
      </x:c>
      <x:c r="D729" s="9" t="n">
        <x:v>9188</x:v>
      </x:c>
      <x:c r="E729" s="9" t="n">
        <x:v>26</x:v>
      </x:c>
      <x:c r="F729" s="9" t="n">
        <x:v>0</x:v>
      </x:c>
      <x:c r="G729" s="11" t="n">
        <x:f>SUM(D729:F729)</x:f>
        <x:v>9214</x:v>
      </x:c>
      <x:c r="H729" s="10" t="n">
        <x:v>0.92</x:v>
      </x:c>
      <x:c r="I729" s="11" t="n">
        <x:f>IF(ISNUMBER(H729),ROUND(D729*H729,2),NA())</x:f>
        <x:v>8452.96</x:v>
      </x:c>
      <x:c r="J729" s="2" t="str">
        <x:v>Regelbestand laut Verkäufer</x:v>
      </x:c>
      <x:c r="K729" s="2" t="str">
        <x:v>Export KREDIT-ERF-20260930, Einzelbelege nicht im Datenraum</x:v>
      </x:c>
    </x:row>
    <x:row r="730" ht="22" customHeight="1">
      <x:c r="A730" s="2" t="str">
        <x:v>APB-0725</x:v>
      </x:c>
      <x:c r="B730" s="2" t="str">
        <x:v>Bestandskunde 0725</x:v>
      </x:c>
      <x:c r="C730" s="2" t="str">
        <x:v>Nur Verkäuferexport</x:v>
      </x:c>
      <x:c r="D730" s="9" t="n">
        <x:v>9325</x:v>
      </x:c>
      <x:c r="E730" s="9" t="n">
        <x:v>32.5</x:v>
      </x:c>
      <x:c r="F730" s="9" t="n">
        <x:v>15</x:v>
      </x:c>
      <x:c r="G730" s="11" t="n">
        <x:f>SUM(D730:F730)</x:f>
        <x:v>9372.5</x:v>
      </x:c>
      <x:c r="H730" s="10" t="n">
        <x:v>0.92</x:v>
      </x:c>
      <x:c r="I730" s="11" t="n">
        <x:f>IF(ISNUMBER(H730),ROUND(D730*H730,2),NA())</x:f>
        <x:v>8579</x:v>
      </x:c>
      <x:c r="J730" s="2" t="str">
        <x:v>Zahlungslücke im Export</x:v>
      </x:c>
      <x:c r="K730" s="2" t="str">
        <x:v>Export KREDIT-ERF-20260930, Einzelbelege nicht im Datenraum</x:v>
      </x:c>
    </x:row>
    <x:row r="731" ht="22" customHeight="1">
      <x:c r="A731" s="2" t="str">
        <x:v>APB-0726</x:v>
      </x:c>
      <x:c r="B731" s="2" t="str">
        <x:v>Bestandskunde 0726</x:v>
      </x:c>
      <x:c r="C731" s="2" t="str">
        <x:v>Nur Verkäuferexport</x:v>
      </x:c>
      <x:c r="D731" s="9" t="n">
        <x:v>9462</x:v>
      </x:c>
      <x:c r="E731" s="9" t="n">
        <x:v>39</x:v>
      </x:c>
      <x:c r="F731" s="9" t="n">
        <x:v>0</x:v>
      </x:c>
      <x:c r="G731" s="11" t="n">
        <x:f>SUM(D731:F731)</x:f>
        <x:v>9501</x:v>
      </x:c>
      <x:c r="H731" s="10" t="n">
        <x:v>0.92</x:v>
      </x:c>
      <x:c r="I731" s="11" t="n">
        <x:f>IF(ISNUMBER(H731),ROUND(D731*H731,2),NA())</x:f>
        <x:v>8705.04</x:v>
      </x:c>
      <x:c r="J731" s="2" t="str">
        <x:v>Regelbestand laut Verkäufer</x:v>
      </x:c>
      <x:c r="K731" s="2" t="str">
        <x:v>Export KREDIT-ERF-20260930, Einzelbelege nicht im Datenraum</x:v>
      </x:c>
    </x:row>
    <x:row r="732" ht="22" customHeight="1">
      <x:c r="A732" s="2" t="str">
        <x:v>APB-0727</x:v>
      </x:c>
      <x:c r="B732" s="2" t="str">
        <x:v>Bestandskunde 0727</x:v>
      </x:c>
      <x:c r="C732" s="2" t="str">
        <x:v>Nur Verkäuferexport</x:v>
      </x:c>
      <x:c r="D732" s="9" t="n">
        <x:v>9599</x:v>
      </x:c>
      <x:c r="E732" s="9" t="n">
        <x:v>45.5</x:v>
      </x:c>
      <x:c r="F732" s="9" t="n">
        <x:v>0</x:v>
      </x:c>
      <x:c r="G732" s="11" t="n">
        <x:f>SUM(D732:F732)</x:f>
        <x:v>9644.5</x:v>
      </x:c>
      <x:c r="H732" s="10" t="n">
        <x:v>0.92</x:v>
      </x:c>
      <x:c r="I732" s="11" t="n">
        <x:f>IF(ISNUMBER(H732),ROUND(D732*H732,2),NA())</x:f>
        <x:v>8831.08</x:v>
      </x:c>
      <x:c r="J732" s="2" t="str">
        <x:v>Regelbestand laut Verkäufer</x:v>
      </x:c>
      <x:c r="K732" s="2" t="str">
        <x:v>Export KREDIT-ERF-20260930, Einzelbelege nicht im Datenraum</x:v>
      </x:c>
    </x:row>
    <x:row r="733" ht="22" customHeight="1">
      <x:c r="A733" s="2" t="str">
        <x:v>APB-0728</x:v>
      </x:c>
      <x:c r="B733" s="2" t="str">
        <x:v>Bestandskunde 0728</x:v>
      </x:c>
      <x:c r="C733" s="2" t="str">
        <x:v>Nur Verkäuferexport</x:v>
      </x:c>
      <x:c r="D733" s="9" t="n">
        <x:v>9736</x:v>
      </x:c>
      <x:c r="E733" s="9" t="n">
        <x:v>52</x:v>
      </x:c>
      <x:c r="F733" s="9" t="n">
        <x:v>0</x:v>
      </x:c>
      <x:c r="G733" s="11" t="n">
        <x:f>SUM(D733:F733)</x:f>
        <x:v>9788</x:v>
      </x:c>
      <x:c r="H733" s="10" t="n">
        <x:v>0.92</x:v>
      </x:c>
      <x:c r="I733" s="11" t="n">
        <x:f>IF(ISNUMBER(H733),ROUND(D733*H733,2),NA())</x:f>
        <x:v>8957.12</x:v>
      </x:c>
      <x:c r="J733" s="2" t="str">
        <x:v>Regelbestand laut Verkäufer</x:v>
      </x:c>
      <x:c r="K733" s="2" t="str">
        <x:v>Export KREDIT-ERF-20260930, Einzelbelege nicht im Datenraum</x:v>
      </x:c>
    </x:row>
    <x:row r="734" ht="22" customHeight="1">
      <x:c r="A734" s="2" t="str">
        <x:v>APB-0729</x:v>
      </x:c>
      <x:c r="B734" s="2" t="str">
        <x:v>Bestandskunde 0729</x:v>
      </x:c>
      <x:c r="C734" s="2" t="str">
        <x:v>Nur Verkäuferexport</x:v>
      </x:c>
      <x:c r="D734" s="9" t="n">
        <x:v>9873</x:v>
      </x:c>
      <x:c r="E734" s="9" t="n">
        <x:v>0</x:v>
      </x:c>
      <x:c r="F734" s="9" t="n">
        <x:v>0</x:v>
      </x:c>
      <x:c r="G734" s="11" t="n">
        <x:f>SUM(D734:F734)</x:f>
        <x:v>9873</x:v>
      </x:c>
      <x:c r="H734" s="10" t="n">
        <x:v>0.92</x:v>
      </x:c>
      <x:c r="I734" s="11" t="n">
        <x:f>IF(ISNUMBER(H734),ROUND(D734*H734,2),NA())</x:f>
        <x:v>9083.16</x:v>
      </x:c>
      <x:c r="J734" s="2" t="str">
        <x:v>Regelbestand laut Verkäufer</x:v>
      </x:c>
      <x:c r="K734" s="2" t="str">
        <x:v>Export KREDIT-ERF-20260930, Einzelbelege nicht im Datenraum</x:v>
      </x:c>
    </x:row>
    <x:row r="735" ht="22" customHeight="1">
      <x:c r="A735" s="2" t="str">
        <x:v>APB-0730</x:v>
      </x:c>
      <x:c r="B735" s="2" t="str">
        <x:v>Bestandskunde 0730</x:v>
      </x:c>
      <x:c r="C735" s="2" t="str">
        <x:v>Nur Verkäuferexport</x:v>
      </x:c>
      <x:c r="D735" s="9" t="n">
        <x:v>10010</x:v>
      </x:c>
      <x:c r="E735" s="9" t="n">
        <x:v>6.5</x:v>
      </x:c>
      <x:c r="F735" s="9" t="n">
        <x:v>0</x:v>
      </x:c>
      <x:c r="G735" s="11" t="n">
        <x:f>SUM(D735:F735)</x:f>
        <x:v>10016.5</x:v>
      </x:c>
      <x:c r="H735" s="10" t="n">
        <x:v>0.92</x:v>
      </x:c>
      <x:c r="I735" s="11" t="n">
        <x:f>IF(ISNUMBER(H735),ROUND(D735*H735,2),NA())</x:f>
        <x:v>9209.2</x:v>
      </x:c>
      <x:c r="J735" s="2" t="str">
        <x:v>Regelbestand laut Verkäufer</x:v>
      </x:c>
      <x:c r="K735" s="2" t="str">
        <x:v>Export KREDIT-ERF-20260930, Einzelbelege nicht im Datenraum</x:v>
      </x:c>
    </x:row>
    <x:row r="736" ht="22" customHeight="1">
      <x:c r="A736" s="2" t="str">
        <x:v>APB-0731</x:v>
      </x:c>
      <x:c r="B736" s="2" t="str">
        <x:v>Bestandskunde 0731</x:v>
      </x:c>
      <x:c r="C736" s="2" t="str">
        <x:v>Nur Verkäuferexport</x:v>
      </x:c>
      <x:c r="D736" s="9" t="n">
        <x:v>10147</x:v>
      </x:c>
      <x:c r="E736" s="9" t="n">
        <x:v>13</x:v>
      </x:c>
      <x:c r="F736" s="9" t="n">
        <x:v>0</x:v>
      </x:c>
      <x:c r="G736" s="11" t="n">
        <x:f>SUM(D736:F736)</x:f>
        <x:v>10160</x:v>
      </x:c>
      <x:c r="H736" s="10" t="n">
        <x:v>0.92</x:v>
      </x:c>
      <x:c r="I736" s="11" t="n">
        <x:f>IF(ISNUMBER(H736),ROUND(D736*H736,2),NA())</x:f>
        <x:v>9335.24</x:v>
      </x:c>
      <x:c r="J736" s="2" t="str">
        <x:v>Regelbestand laut Verkäufer</x:v>
      </x:c>
      <x:c r="K736" s="2" t="str">
        <x:v>Export KREDIT-ERF-20260930, Einzelbelege nicht im Datenraum</x:v>
      </x:c>
    </x:row>
    <x:row r="737" ht="22" customHeight="1">
      <x:c r="A737" s="2" t="str">
        <x:v>APB-0732</x:v>
      </x:c>
      <x:c r="B737" s="2" t="str">
        <x:v>Bestandskunde 0732</x:v>
      </x:c>
      <x:c r="C737" s="2" t="str">
        <x:v>Nur Verkäuferexport</x:v>
      </x:c>
      <x:c r="D737" s="9" t="n">
        <x:v>10284</x:v>
      </x:c>
      <x:c r="E737" s="9" t="n">
        <x:v>19.5</x:v>
      </x:c>
      <x:c r="F737" s="9" t="n">
        <x:v>0</x:v>
      </x:c>
      <x:c r="G737" s="11" t="n">
        <x:f>SUM(D737:F737)</x:f>
        <x:v>10303.5</x:v>
      </x:c>
      <x:c r="H737" s="10" t="n">
        <x:v>0.92</x:v>
      </x:c>
      <x:c r="I737" s="11" t="n">
        <x:f>IF(ISNUMBER(H737),ROUND(D737*H737,2),NA())</x:f>
        <x:v>9461.28</x:v>
      </x:c>
      <x:c r="J737" s="2" t="str">
        <x:v>Regelbestand laut Verkäufer</x:v>
      </x:c>
      <x:c r="K737" s="2" t="str">
        <x:v>Export KREDIT-ERF-20260930, Einzelbelege nicht im Datenraum</x:v>
      </x:c>
    </x:row>
    <x:row r="738" ht="22" customHeight="1">
      <x:c r="A738" s="2" t="str">
        <x:v>APB-0733</x:v>
      </x:c>
      <x:c r="B738" s="2" t="str">
        <x:v>Bestandskunde 0733</x:v>
      </x:c>
      <x:c r="C738" s="2" t="str">
        <x:v>Nur Verkäuferexport</x:v>
      </x:c>
      <x:c r="D738" s="9" t="n">
        <x:v>10421</x:v>
      </x:c>
      <x:c r="E738" s="9" t="n">
        <x:v>26</x:v>
      </x:c>
      <x:c r="F738" s="9" t="n">
        <x:v>0</x:v>
      </x:c>
      <x:c r="G738" s="11" t="n">
        <x:f>SUM(D738:F738)</x:f>
        <x:v>10447</x:v>
      </x:c>
      <x:c r="H738" s="10" t="n">
        <x:v>0.92</x:v>
      </x:c>
      <x:c r="I738" s="11" t="n">
        <x:f>IF(ISNUMBER(H738),ROUND(D738*H738,2),NA())</x:f>
        <x:v>9587.32</x:v>
      </x:c>
      <x:c r="J738" s="2" t="str">
        <x:v>Regelbestand laut Verkäufer</x:v>
      </x:c>
      <x:c r="K738" s="2" t="str">
        <x:v>Export KREDIT-ERF-20260930, Einzelbelege nicht im Datenraum</x:v>
      </x:c>
    </x:row>
    <x:row r="739" ht="22" customHeight="1">
      <x:c r="A739" s="2" t="str">
        <x:v>APB-0734</x:v>
      </x:c>
      <x:c r="B739" s="2" t="str">
        <x:v>Bestandskunde 0734</x:v>
      </x:c>
      <x:c r="C739" s="2" t="str">
        <x:v>Nur Verkäuferexport</x:v>
      </x:c>
      <x:c r="D739" s="9" t="n">
        <x:v>10558</x:v>
      </x:c>
      <x:c r="E739" s="9" t="n">
        <x:v>32.5</x:v>
      </x:c>
      <x:c r="F739" s="9" t="n">
        <x:v>0</x:v>
      </x:c>
      <x:c r="G739" s="11" t="n">
        <x:f>SUM(D739:F739)</x:f>
        <x:v>10590.5</x:v>
      </x:c>
      <x:c r="H739" s="10" t="n">
        <x:v>0.92</x:v>
      </x:c>
      <x:c r="I739" s="11" t="n">
        <x:f>IF(ISNUMBER(H739),ROUND(D739*H739,2),NA())</x:f>
        <x:v>9713.36</x:v>
      </x:c>
      <x:c r="J739" s="2" t="str">
        <x:v>Regelbestand laut Verkäufer</x:v>
      </x:c>
      <x:c r="K739" s="2" t="str">
        <x:v>Export KREDIT-ERF-20260930, Einzelbelege nicht im Datenraum</x:v>
      </x:c>
    </x:row>
    <x:row r="740" ht="22" customHeight="1">
      <x:c r="A740" s="2" t="str">
        <x:v>APB-0735</x:v>
      </x:c>
      <x:c r="B740" s="2" t="str">
        <x:v>Bestandskunde 0735</x:v>
      </x:c>
      <x:c r="C740" s="2" t="str">
        <x:v>Nur Verkäuferexport</x:v>
      </x:c>
      <x:c r="D740" s="9" t="n">
        <x:v>10695</x:v>
      </x:c>
      <x:c r="E740" s="9" t="n">
        <x:v>39</x:v>
      </x:c>
      <x:c r="F740" s="9" t="n">
        <x:v>0</x:v>
      </x:c>
      <x:c r="G740" s="11" t="n">
        <x:f>SUM(D740:F740)</x:f>
        <x:v>10734</x:v>
      </x:c>
      <x:c r="H740" s="10" t="n">
        <x:v>0.92</x:v>
      </x:c>
      <x:c r="I740" s="11" t="n">
        <x:f>IF(ISNUMBER(H740),ROUND(D740*H740,2),NA())</x:f>
        <x:v>9839.4</x:v>
      </x:c>
      <x:c r="J740" s="2" t="str">
        <x:v>Regelbestand laut Verkäufer</x:v>
      </x:c>
      <x:c r="K740" s="2" t="str">
        <x:v>Export KREDIT-ERF-20260930, Einzelbelege nicht im Datenraum</x:v>
      </x:c>
    </x:row>
    <x:row r="741" ht="22" customHeight="1">
      <x:c r="A741" s="2" t="str">
        <x:v>APB-0736</x:v>
      </x:c>
      <x:c r="B741" s="2" t="str">
        <x:v>Bestandskunde 0736</x:v>
      </x:c>
      <x:c r="C741" s="2" t="str">
        <x:v>Nur Verkäuferexport</x:v>
      </x:c>
      <x:c r="D741" s="9" t="n">
        <x:v>10832</x:v>
      </x:c>
      <x:c r="E741" s="9" t="n">
        <x:v>45.5</x:v>
      </x:c>
      <x:c r="F741" s="9" t="n">
        <x:v>0</x:v>
      </x:c>
      <x:c r="G741" s="11" t="n">
        <x:f>SUM(D741:F741)</x:f>
        <x:v>10877.5</x:v>
      </x:c>
      <x:c r="H741" s="10" t="n">
        <x:v>0.92</x:v>
      </x:c>
      <x:c r="I741" s="11" t="n">
        <x:f>IF(ISNUMBER(H741),ROUND(D741*H741,2),NA())</x:f>
        <x:v>9965.44</x:v>
      </x:c>
      <x:c r="J741" s="2" t="str">
        <x:v>Regelbestand laut Verkäufer</x:v>
      </x:c>
      <x:c r="K741" s="2" t="str">
        <x:v>Export KREDIT-ERF-20260930, Einzelbelege nicht im Datenraum</x:v>
      </x:c>
    </x:row>
    <x:row r="742" ht="22" customHeight="1">
      <x:c r="A742" s="2" t="str">
        <x:v>APB-0737</x:v>
      </x:c>
      <x:c r="B742" s="2" t="str">
        <x:v>Bestandskunde 0737</x:v>
      </x:c>
      <x:c r="C742" s="2" t="str">
        <x:v>Nur Verkäuferexport</x:v>
      </x:c>
      <x:c r="D742" s="9" t="n">
        <x:v>10969</x:v>
      </x:c>
      <x:c r="E742" s="9" t="n">
        <x:v>52</x:v>
      </x:c>
      <x:c r="F742" s="9" t="n">
        <x:v>0</x:v>
      </x:c>
      <x:c r="G742" s="11" t="n">
        <x:f>SUM(D742:F742)</x:f>
        <x:v>11021</x:v>
      </x:c>
      <x:c r="H742" s="10" t="n">
        <x:v>0.92</x:v>
      </x:c>
      <x:c r="I742" s="11" t="n">
        <x:f>IF(ISNUMBER(H742),ROUND(D742*H742,2),NA())</x:f>
        <x:v>10091.48</x:v>
      </x:c>
      <x:c r="J742" s="2" t="str">
        <x:v>Regelbestand laut Verkäufer</x:v>
      </x:c>
      <x:c r="K742" s="2" t="str">
        <x:v>Export KREDIT-ERF-20260930, Einzelbelege nicht im Datenraum</x:v>
      </x:c>
    </x:row>
    <x:row r="743" ht="22" customHeight="1">
      <x:c r="A743" s="2" t="str">
        <x:v>APB-0738</x:v>
      </x:c>
      <x:c r="B743" s="2" t="str">
        <x:v>Bestandskunde 0738</x:v>
      </x:c>
      <x:c r="C743" s="2" t="str">
        <x:v>Nur Verkäuferexport</x:v>
      </x:c>
      <x:c r="D743" s="9" t="n">
        <x:v>11106</x:v>
      </x:c>
      <x:c r="E743" s="9" t="n">
        <x:v>0</x:v>
      </x:c>
      <x:c r="F743" s="9" t="n">
        <x:v>0</x:v>
      </x:c>
      <x:c r="G743" s="11" t="n">
        <x:f>SUM(D743:F743)</x:f>
        <x:v>11106</x:v>
      </x:c>
      <x:c r="H743" s="10" t="n">
        <x:v>0.92</x:v>
      </x:c>
      <x:c r="I743" s="11" t="n">
        <x:f>IF(ISNUMBER(H743),ROUND(D743*H743,2),NA())</x:f>
        <x:v>10217.52</x:v>
      </x:c>
      <x:c r="J743" s="2" t="str">
        <x:v>Regelbestand laut Verkäufer</x:v>
      </x:c>
      <x:c r="K743" s="2" t="str">
        <x:v>Export KREDIT-ERF-20260930, Einzelbelege nicht im Datenraum</x:v>
      </x:c>
    </x:row>
    <x:row r="744" ht="22" customHeight="1">
      <x:c r="A744" s="2" t="str">
        <x:v>APB-0739</x:v>
      </x:c>
      <x:c r="B744" s="2" t="str">
        <x:v>Bestandskunde 0739</x:v>
      </x:c>
      <x:c r="C744" s="2" t="str">
        <x:v>Nur Verkäuferexport</x:v>
      </x:c>
      <x:c r="D744" s="9" t="n">
        <x:v>11243</x:v>
      </x:c>
      <x:c r="E744" s="9" t="n">
        <x:v>6.5</x:v>
      </x:c>
      <x:c r="F744" s="9" t="n">
        <x:v>0</x:v>
      </x:c>
      <x:c r="G744" s="11" t="n">
        <x:f>SUM(D744:F744)</x:f>
        <x:v>11249.5</x:v>
      </x:c>
      <x:c r="H744" s="10" t="n">
        <x:v>0.92</x:v>
      </x:c>
      <x:c r="I744" s="11" t="n">
        <x:f>IF(ISNUMBER(H744),ROUND(D744*H744,2),NA())</x:f>
        <x:v>10343.56</x:v>
      </x:c>
      <x:c r="J744" s="2" t="str">
        <x:v>Regelbestand laut Verkäufer</x:v>
      </x:c>
      <x:c r="K744" s="2" t="str">
        <x:v>Export KREDIT-ERF-20260930, Einzelbelege nicht im Datenraum</x:v>
      </x:c>
    </x:row>
    <x:row r="745" ht="22" customHeight="1">
      <x:c r="A745" s="2" t="str">
        <x:v>APB-0740</x:v>
      </x:c>
      <x:c r="B745" s="2" t="str">
        <x:v>Bestandskunde 0740</x:v>
      </x:c>
      <x:c r="C745" s="2" t="str">
        <x:v>Nur Verkäuferexport</x:v>
      </x:c>
      <x:c r="D745" s="9" t="n">
        <x:v>11380</x:v>
      </x:c>
      <x:c r="E745" s="9" t="n">
        <x:v>13</x:v>
      </x:c>
      <x:c r="F745" s="9" t="n">
        <x:v>0</x:v>
      </x:c>
      <x:c r="G745" s="11" t="n">
        <x:f>SUM(D745:F745)</x:f>
        <x:v>11393</x:v>
      </x:c>
      <x:c r="H745" s="10" t="n">
        <x:v>0.92</x:v>
      </x:c>
      <x:c r="I745" s="11" t="n">
        <x:f>IF(ISNUMBER(H745),ROUND(D745*H745,2),NA())</x:f>
        <x:v>10469.6</x:v>
      </x:c>
      <x:c r="J745" s="2" t="str">
        <x:v>Regelbestand laut Verkäufer</x:v>
      </x:c>
      <x:c r="K745" s="2" t="str">
        <x:v>Export KREDIT-ERF-20260930, Einzelbelege nicht im Datenraum</x:v>
      </x:c>
    </x:row>
    <x:row r="746" ht="22" customHeight="1">
      <x:c r="A746" s="2" t="str">
        <x:v>APB-0741</x:v>
      </x:c>
      <x:c r="B746" s="2" t="str">
        <x:v>Bestandskunde 0741</x:v>
      </x:c>
      <x:c r="C746" s="2" t="str">
        <x:v>Nur Verkäuferexport</x:v>
      </x:c>
      <x:c r="D746" s="9" t="n">
        <x:v>11517</x:v>
      </x:c>
      <x:c r="E746" s="9" t="n">
        <x:v>19.5</x:v>
      </x:c>
      <x:c r="F746" s="9" t="n">
        <x:v>0</x:v>
      </x:c>
      <x:c r="G746" s="11" t="n">
        <x:f>SUM(D746:F746)</x:f>
        <x:v>11536.5</x:v>
      </x:c>
      <x:c r="H746" s="10" t="n">
        <x:v>0.92</x:v>
      </x:c>
      <x:c r="I746" s="11" t="n">
        <x:f>IF(ISNUMBER(H746),ROUND(D746*H746,2),NA())</x:f>
        <x:v>10595.64</x:v>
      </x:c>
      <x:c r="J746" s="2" t="str">
        <x:v>Regelbestand laut Verkäufer</x:v>
      </x:c>
      <x:c r="K746" s="2" t="str">
        <x:v>Export KREDIT-ERF-20260930, Einzelbelege nicht im Datenraum</x:v>
      </x:c>
    </x:row>
    <x:row r="747" ht="22" customHeight="1">
      <x:c r="A747" s="2" t="str">
        <x:v>APB-0742</x:v>
      </x:c>
      <x:c r="B747" s="2" t="str">
        <x:v>Bestandskunde 0742</x:v>
      </x:c>
      <x:c r="C747" s="2" t="str">
        <x:v>Nur Verkäuferexport</x:v>
      </x:c>
      <x:c r="D747" s="9" t="n">
        <x:v>11654</x:v>
      </x:c>
      <x:c r="E747" s="9" t="n">
        <x:v>26</x:v>
      </x:c>
      <x:c r="F747" s="9" t="n">
        <x:v>0</x:v>
      </x:c>
      <x:c r="G747" s="11" t="n">
        <x:f>SUM(D747:F747)</x:f>
        <x:v>11680</x:v>
      </x:c>
      <x:c r="H747" s="10" t="n">
        <x:v>0.92</x:v>
      </x:c>
      <x:c r="I747" s="11" t="n">
        <x:f>IF(ISNUMBER(H747),ROUND(D747*H747,2),NA())</x:f>
        <x:v>10721.68</x:v>
      </x:c>
      <x:c r="J747" s="2" t="str">
        <x:v>Regelbestand laut Verkäufer</x:v>
      </x:c>
      <x:c r="K747" s="2" t="str">
        <x:v>Export KREDIT-ERF-20260930, Einzelbelege nicht im Datenraum</x:v>
      </x:c>
    </x:row>
    <x:row r="748" ht="22" customHeight="1">
      <x:c r="A748" s="2" t="str">
        <x:v>APB-0743</x:v>
      </x:c>
      <x:c r="B748" s="2" t="str">
        <x:v>Bestandskunde 0743</x:v>
      </x:c>
      <x:c r="C748" s="2" t="str">
        <x:v>Nur Verkäuferexport</x:v>
      </x:c>
      <x:c r="D748" s="9" t="n">
        <x:v>11791</x:v>
      </x:c>
      <x:c r="E748" s="9" t="n">
        <x:v>32.5</x:v>
      </x:c>
      <x:c r="F748" s="9" t="n">
        <x:v>0</x:v>
      </x:c>
      <x:c r="G748" s="11" t="n">
        <x:f>SUM(D748:F748)</x:f>
        <x:v>11823.5</x:v>
      </x:c>
      <x:c r="H748" s="10" t="n">
        <x:v>0.92</x:v>
      </x:c>
      <x:c r="I748" s="11" t="n">
        <x:f>IF(ISNUMBER(H748),ROUND(D748*H748,2),NA())</x:f>
        <x:v>10847.72</x:v>
      </x:c>
      <x:c r="J748" s="2" t="str">
        <x:v>Regelbestand laut Verkäufer</x:v>
      </x:c>
      <x:c r="K748" s="2" t="str">
        <x:v>Export KREDIT-ERF-20260930, Einzelbelege nicht im Datenraum</x:v>
      </x:c>
    </x:row>
    <x:row r="749" ht="22" customHeight="1">
      <x:c r="A749" s="2" t="str">
        <x:v>APB-0744</x:v>
      </x:c>
      <x:c r="B749" s="2" t="str">
        <x:v>Bestandskunde 0744</x:v>
      </x:c>
      <x:c r="C749" s="2" t="str">
        <x:v>Nur Verkäuferexport</x:v>
      </x:c>
      <x:c r="D749" s="9" t="n">
        <x:v>11928</x:v>
      </x:c>
      <x:c r="E749" s="9" t="n">
        <x:v>39</x:v>
      </x:c>
      <x:c r="F749" s="9" t="n">
        <x:v>0</x:v>
      </x:c>
      <x:c r="G749" s="11" t="n">
        <x:f>SUM(D749:F749)</x:f>
        <x:v>11967</x:v>
      </x:c>
      <x:c r="H749" s="10" t="n">
        <x:v>0.92</x:v>
      </x:c>
      <x:c r="I749" s="11" t="n">
        <x:f>IF(ISNUMBER(H749),ROUND(D749*H749,2),NA())</x:f>
        <x:v>10973.76</x:v>
      </x:c>
      <x:c r="J749" s="2" t="str">
        <x:v>Regelbestand laut Verkäufer</x:v>
      </x:c>
      <x:c r="K749" s="2" t="str">
        <x:v>Export KREDIT-ERF-20260930, Einzelbelege nicht im Datenraum</x:v>
      </x:c>
    </x:row>
    <x:row r="750" ht="22" customHeight="1">
      <x:c r="A750" s="2" t="str">
        <x:v>APB-0745</x:v>
      </x:c>
      <x:c r="B750" s="2" t="str">
        <x:v>Bestandskunde 0745</x:v>
      </x:c>
      <x:c r="C750" s="2" t="str">
        <x:v>Nur Verkäuferexport</x:v>
      </x:c>
      <x:c r="D750" s="9" t="n">
        <x:v>12065</x:v>
      </x:c>
      <x:c r="E750" s="9" t="n">
        <x:v>45.5</x:v>
      </x:c>
      <x:c r="F750" s="9" t="n">
        <x:v>0</x:v>
      </x:c>
      <x:c r="G750" s="11" t="n">
        <x:f>SUM(D750:F750)</x:f>
        <x:v>12110.5</x:v>
      </x:c>
      <x:c r="H750" s="10" t="n">
        <x:v>0.92</x:v>
      </x:c>
      <x:c r="I750" s="11" t="n">
        <x:f>IF(ISNUMBER(H750),ROUND(D750*H750,2),NA())</x:f>
        <x:v>11099.8</x:v>
      </x:c>
      <x:c r="J750" s="2" t="str">
        <x:v>Regelbestand laut Verkäufer</x:v>
      </x:c>
      <x:c r="K750" s="2" t="str">
        <x:v>Export KREDIT-ERF-20260930, Einzelbelege nicht im Datenraum</x:v>
      </x:c>
    </x:row>
    <x:row r="751" ht="22" customHeight="1">
      <x:c r="A751" s="2" t="str">
        <x:v>APB-0746</x:v>
      </x:c>
      <x:c r="B751" s="2" t="str">
        <x:v>Bestandskunde 0746</x:v>
      </x:c>
      <x:c r="C751" s="2" t="str">
        <x:v>Nur Verkäuferexport</x:v>
      </x:c>
      <x:c r="D751" s="9" t="n">
        <x:v>12202</x:v>
      </x:c>
      <x:c r="E751" s="9" t="n">
        <x:v>52</x:v>
      </x:c>
      <x:c r="F751" s="9" t="n">
        <x:v>0</x:v>
      </x:c>
      <x:c r="G751" s="11" t="n">
        <x:f>SUM(D751:F751)</x:f>
        <x:v>12254</x:v>
      </x:c>
      <x:c r="H751" s="10" t="n">
        <x:v>0.92</x:v>
      </x:c>
      <x:c r="I751" s="11" t="n">
        <x:f>IF(ISNUMBER(H751),ROUND(D751*H751,2),NA())</x:f>
        <x:v>11225.84</x:v>
      </x:c>
      <x:c r="J751" s="2" t="str">
        <x:v>Regelbestand laut Verkäufer</x:v>
      </x:c>
      <x:c r="K751" s="2" t="str">
        <x:v>Export KREDIT-ERF-20260930, Einzelbelege nicht im Datenraum</x:v>
      </x:c>
    </x:row>
    <x:row r="752" ht="22" customHeight="1">
      <x:c r="A752" s="2" t="str">
        <x:v>APB-0747</x:v>
      </x:c>
      <x:c r="B752" s="2" t="str">
        <x:v>Bestandskunde 0747</x:v>
      </x:c>
      <x:c r="C752" s="2" t="str">
        <x:v>Nur Verkäuferexport</x:v>
      </x:c>
      <x:c r="D752" s="9" t="n">
        <x:v>12339</x:v>
      </x:c>
      <x:c r="E752" s="9" t="n">
        <x:v>0</x:v>
      </x:c>
      <x:c r="F752" s="9" t="n">
        <x:v>0</x:v>
      </x:c>
      <x:c r="G752" s="11" t="n">
        <x:f>SUM(D752:F752)</x:f>
        <x:v>12339</x:v>
      </x:c>
      <x:c r="H752" s="10" t="n">
        <x:v>0.92</x:v>
      </x:c>
      <x:c r="I752" s="11" t="n">
        <x:f>IF(ISNUMBER(H752),ROUND(D752*H752,2),NA())</x:f>
        <x:v>11351.88</x:v>
      </x:c>
      <x:c r="J752" s="2" t="str">
        <x:v>Regelbestand laut Verkäufer</x:v>
      </x:c>
      <x:c r="K752" s="2" t="str">
        <x:v>Export KREDIT-ERF-20260930, Einzelbelege nicht im Datenraum</x:v>
      </x:c>
    </x:row>
    <x:row r="753" ht="22" customHeight="1">
      <x:c r="A753" s="2" t="str">
        <x:v>APB-0748</x:v>
      </x:c>
      <x:c r="B753" s="2" t="str">
        <x:v>Bestandskunde 0748</x:v>
      </x:c>
      <x:c r="C753" s="2" t="str">
        <x:v>Nur Verkäuferexport</x:v>
      </x:c>
      <x:c r="D753" s="9" t="n">
        <x:v>12476</x:v>
      </x:c>
      <x:c r="E753" s="9" t="n">
        <x:v>6.5</x:v>
      </x:c>
      <x:c r="F753" s="9" t="n">
        <x:v>0</x:v>
      </x:c>
      <x:c r="G753" s="11" t="n">
        <x:f>SUM(D753:F753)</x:f>
        <x:v>12482.5</x:v>
      </x:c>
      <x:c r="H753" s="10" t="n">
        <x:v>0.92</x:v>
      </x:c>
      <x:c r="I753" s="11" t="n">
        <x:f>IF(ISNUMBER(H753),ROUND(D753*H753,2),NA())</x:f>
        <x:v>11477.92</x:v>
      </x:c>
      <x:c r="J753" s="2" t="str">
        <x:v>Regelbestand laut Verkäufer</x:v>
      </x:c>
      <x:c r="K753" s="2" t="str">
        <x:v>Export KREDIT-ERF-20260930, Einzelbelege nicht im Datenraum</x:v>
      </x:c>
    </x:row>
    <x:row r="754" ht="22" customHeight="1">
      <x:c r="A754" s="2" t="str">
        <x:v>APB-0749</x:v>
      </x:c>
      <x:c r="B754" s="2" t="str">
        <x:v>Bestandskunde 0749</x:v>
      </x:c>
      <x:c r="C754" s="2" t="str">
        <x:v>Nur Verkäuferexport</x:v>
      </x:c>
      <x:c r="D754" s="9" t="n">
        <x:v>12613</x:v>
      </x:c>
      <x:c r="E754" s="9" t="n">
        <x:v>13</x:v>
      </x:c>
      <x:c r="F754" s="9" t="n">
        <x:v>0</x:v>
      </x:c>
      <x:c r="G754" s="11" t="n">
        <x:f>SUM(D754:F754)</x:f>
        <x:v>12626</x:v>
      </x:c>
      <x:c r="H754" s="10" t="n">
        <x:v>0.92</x:v>
      </x:c>
      <x:c r="I754" s="11" t="n">
        <x:f>IF(ISNUMBER(H754),ROUND(D754*H754,2),NA())</x:f>
        <x:v>11603.96</x:v>
      </x:c>
      <x:c r="J754" s="2" t="str">
        <x:v>Regelbestand laut Verkäufer</x:v>
      </x:c>
      <x:c r="K754" s="2" t="str">
        <x:v>Export KREDIT-ERF-20260930, Einzelbelege nicht im Datenraum</x:v>
      </x:c>
    </x:row>
    <x:row r="755" ht="22" customHeight="1">
      <x:c r="A755" s="2" t="str">
        <x:v>APB-0750</x:v>
      </x:c>
      <x:c r="B755" s="2" t="str">
        <x:v>Bestandskunde 0750</x:v>
      </x:c>
      <x:c r="C755" s="2" t="str">
        <x:v>Nur Verkäuferexport</x:v>
      </x:c>
      <x:c r="D755" s="9" t="n">
        <x:v>12750</x:v>
      </x:c>
      <x:c r="E755" s="9" t="n">
        <x:v>19.5</x:v>
      </x:c>
      <x:c r="F755" s="9" t="n">
        <x:v>0</x:v>
      </x:c>
      <x:c r="G755" s="11" t="n">
        <x:f>SUM(D755:F755)</x:f>
        <x:v>12769.5</x:v>
      </x:c>
      <x:c r="H755" s="10" t="n">
        <x:v>0.92</x:v>
      </x:c>
      <x:c r="I755" s="11" t="n">
        <x:f>IF(ISNUMBER(H755),ROUND(D755*H755,2),NA())</x:f>
        <x:v>11730</x:v>
      </x:c>
      <x:c r="J755" s="2" t="str">
        <x:v>Regelbestand laut Verkäufer</x:v>
      </x:c>
      <x:c r="K755" s="2" t="str">
        <x:v>Export KREDIT-ERF-20260930, Einzelbelege nicht im Datenraum</x:v>
      </x:c>
    </x:row>
    <x:row r="756" ht="22" customHeight="1">
      <x:c r="A756" s="2" t="str">
        <x:v>APB-0751</x:v>
      </x:c>
      <x:c r="B756" s="2" t="str">
        <x:v>Bestandskunde 0751</x:v>
      </x:c>
      <x:c r="C756" s="2" t="str">
        <x:v>Nur Verkäuferexport</x:v>
      </x:c>
      <x:c r="D756" s="9" t="n">
        <x:v>12887</x:v>
      </x:c>
      <x:c r="E756" s="9" t="n">
        <x:v>26</x:v>
      </x:c>
      <x:c r="F756" s="9" t="n">
        <x:v>0</x:v>
      </x:c>
      <x:c r="G756" s="11" t="n">
        <x:f>SUM(D756:F756)</x:f>
        <x:v>12913</x:v>
      </x:c>
      <x:c r="H756" s="10" t="n">
        <x:v>0.92</x:v>
      </x:c>
      <x:c r="I756" s="11" t="n">
        <x:f>IF(ISNUMBER(H756),ROUND(D756*H756,2),NA())</x:f>
        <x:v>11856.04</x:v>
      </x:c>
      <x:c r="J756" s="2" t="str">
        <x:v>Regelbestand laut Verkäufer</x:v>
      </x:c>
      <x:c r="K756" s="2" t="str">
        <x:v>Export KREDIT-ERF-20260930, Einzelbelege nicht im Datenraum</x:v>
      </x:c>
    </x:row>
    <x:row r="757" ht="22" customHeight="1">
      <x:c r="A757" s="2" t="str">
        <x:v>APB-0752</x:v>
      </x:c>
      <x:c r="B757" s="2" t="str">
        <x:v>Bestandskunde 0752</x:v>
      </x:c>
      <x:c r="C757" s="2" t="str">
        <x:v>Nur Verkäuferexport</x:v>
      </x:c>
      <x:c r="D757" s="9" t="n">
        <x:v>13024</x:v>
      </x:c>
      <x:c r="E757" s="9" t="n">
        <x:v>32.5</x:v>
      </x:c>
      <x:c r="F757" s="9" t="n">
        <x:v>0</x:v>
      </x:c>
      <x:c r="G757" s="11" t="n">
        <x:f>SUM(D757:F757)</x:f>
        <x:v>13056.5</x:v>
      </x:c>
      <x:c r="H757" s="10" t="n">
        <x:v>0.92</x:v>
      </x:c>
      <x:c r="I757" s="11" t="n">
        <x:f>IF(ISNUMBER(H757),ROUND(D757*H757,2),NA())</x:f>
        <x:v>11982.08</x:v>
      </x:c>
      <x:c r="J757" s="2" t="str">
        <x:v>Regelbestand laut Verkäufer</x:v>
      </x:c>
      <x:c r="K757" s="2" t="str">
        <x:v>Export KREDIT-ERF-20260930, Einzelbelege nicht im Datenraum</x:v>
      </x:c>
    </x:row>
    <x:row r="758" ht="22" customHeight="1">
      <x:c r="A758" s="2" t="str">
        <x:v>APB-0753</x:v>
      </x:c>
      <x:c r="B758" s="2" t="str">
        <x:v>Bestandskunde 0753</x:v>
      </x:c>
      <x:c r="C758" s="2" t="str">
        <x:v>Nur Verkäuferexport</x:v>
      </x:c>
      <x:c r="D758" s="9" t="n">
        <x:v>13161</x:v>
      </x:c>
      <x:c r="E758" s="9" t="n">
        <x:v>39</x:v>
      </x:c>
      <x:c r="F758" s="9" t="n">
        <x:v>0</x:v>
      </x:c>
      <x:c r="G758" s="11" t="n">
        <x:f>SUM(D758:F758)</x:f>
        <x:v>13200</x:v>
      </x:c>
      <x:c r="H758" s="10" t="n">
        <x:v>0.92</x:v>
      </x:c>
      <x:c r="I758" s="11" t="n">
        <x:f>IF(ISNUMBER(H758),ROUND(D758*H758,2),NA())</x:f>
        <x:v>12108.12</x:v>
      </x:c>
      <x:c r="J758" s="2" t="str">
        <x:v>Regelbestand laut Verkäufer</x:v>
      </x:c>
      <x:c r="K758" s="2" t="str">
        <x:v>Export KREDIT-ERF-20260930, Einzelbelege nicht im Datenraum</x:v>
      </x:c>
    </x:row>
    <x:row r="759" ht="22" customHeight="1">
      <x:c r="A759" s="2" t="str">
        <x:v>APB-0754</x:v>
      </x:c>
      <x:c r="B759" s="2" t="str">
        <x:v>Bestandskunde 0754</x:v>
      </x:c>
      <x:c r="C759" s="2" t="str">
        <x:v>Nur Verkäuferexport</x:v>
      </x:c>
      <x:c r="D759" s="9" t="n">
        <x:v>13298</x:v>
      </x:c>
      <x:c r="E759" s="9" t="n">
        <x:v>45.5</x:v>
      </x:c>
      <x:c r="F759" s="9" t="n">
        <x:v>15</x:v>
      </x:c>
      <x:c r="G759" s="11" t="n">
        <x:f>SUM(D759:F759)</x:f>
        <x:v>13358.5</x:v>
      </x:c>
      <x:c r="H759" s="10" t="n">
        <x:v>0.92</x:v>
      </x:c>
      <x:c r="I759" s="11" t="n">
        <x:f>IF(ISNUMBER(H759),ROUND(D759*H759,2),NA())</x:f>
        <x:v>12234.16</x:v>
      </x:c>
      <x:c r="J759" s="2" t="str">
        <x:v>Zahlungslücke im Export</x:v>
      </x:c>
      <x:c r="K759" s="2" t="str">
        <x:v>Export KREDIT-ERF-20260930, Einzelbelege nicht im Datenraum</x:v>
      </x:c>
    </x:row>
    <x:row r="760" ht="22" customHeight="1">
      <x:c r="A760" s="2" t="str">
        <x:v>APB-0755</x:v>
      </x:c>
      <x:c r="B760" s="2" t="str">
        <x:v>Bestandskunde 0755</x:v>
      </x:c>
      <x:c r="C760" s="2" t="str">
        <x:v>Nur Verkäuferexport</x:v>
      </x:c>
      <x:c r="D760" s="9" t="n">
        <x:v>13435</x:v>
      </x:c>
      <x:c r="E760" s="9" t="n">
        <x:v>52</x:v>
      </x:c>
      <x:c r="F760" s="9" t="n">
        <x:v>0</x:v>
      </x:c>
      <x:c r="G760" s="11" t="n">
        <x:f>SUM(D760:F760)</x:f>
        <x:v>13487</x:v>
      </x:c>
      <x:c r="H760" s="10" t="n">
        <x:v>0.92</x:v>
      </x:c>
      <x:c r="I760" s="11" t="n">
        <x:f>IF(ISNUMBER(H760),ROUND(D760*H760,2),NA())</x:f>
        <x:v>12360.2</x:v>
      </x:c>
      <x:c r="J760" s="2" t="str">
        <x:v>Regelbestand laut Verkäufer</x:v>
      </x:c>
      <x:c r="K760" s="2" t="str">
        <x:v>Export KREDIT-ERF-20260930, Einzelbelege nicht im Datenraum</x:v>
      </x:c>
    </x:row>
    <x:row r="761" ht="22" customHeight="1">
      <x:c r="A761" s="2" t="str">
        <x:v>APB-0756</x:v>
      </x:c>
      <x:c r="B761" s="2" t="str">
        <x:v>Bestandskunde 0756</x:v>
      </x:c>
      <x:c r="C761" s="2" t="str">
        <x:v>Nur Verkäuferexport</x:v>
      </x:c>
      <x:c r="D761" s="9" t="n">
        <x:v>13572</x:v>
      </x:c>
      <x:c r="E761" s="9" t="n">
        <x:v>0</x:v>
      </x:c>
      <x:c r="F761" s="9" t="n">
        <x:v>0</x:v>
      </x:c>
      <x:c r="G761" s="11" t="n">
        <x:f>SUM(D761:F761)</x:f>
        <x:v>13572</x:v>
      </x:c>
      <x:c r="H761" s="10" t="n">
        <x:v>0.92</x:v>
      </x:c>
      <x:c r="I761" s="11" t="n">
        <x:f>IF(ISNUMBER(H761),ROUND(D761*H761,2),NA())</x:f>
        <x:v>12486.24</x:v>
      </x:c>
      <x:c r="J761" s="2" t="str">
        <x:v>Regelbestand laut Verkäufer</x:v>
      </x:c>
      <x:c r="K761" s="2" t="str">
        <x:v>Export KREDIT-ERF-20260930, Einzelbelege nicht im Datenraum</x:v>
      </x:c>
    </x:row>
    <x:row r="762" ht="22" customHeight="1">
      <x:c r="A762" s="2" t="str">
        <x:v>APB-0757</x:v>
      </x:c>
      <x:c r="B762" s="2" t="str">
        <x:v>Bestandskunde 0757</x:v>
      </x:c>
      <x:c r="C762" s="2" t="str">
        <x:v>Nur Verkäuferexport</x:v>
      </x:c>
      <x:c r="D762" s="9" t="n">
        <x:v>13709</x:v>
      </x:c>
      <x:c r="E762" s="9" t="n">
        <x:v>6.5</x:v>
      </x:c>
      <x:c r="F762" s="9" t="n">
        <x:v>0</x:v>
      </x:c>
      <x:c r="G762" s="11" t="n">
        <x:f>SUM(D762:F762)</x:f>
        <x:v>13715.5</x:v>
      </x:c>
      <x:c r="H762" s="10" t="n">
        <x:v>0.92</x:v>
      </x:c>
      <x:c r="I762" s="11" t="n">
        <x:f>IF(ISNUMBER(H762),ROUND(D762*H762,2),NA())</x:f>
        <x:v>12612.28</x:v>
      </x:c>
      <x:c r="J762" s="2" t="str">
        <x:v>Regelbestand laut Verkäufer</x:v>
      </x:c>
      <x:c r="K762" s="2" t="str">
        <x:v>Export KREDIT-ERF-20260930, Einzelbelege nicht im Datenraum</x:v>
      </x:c>
    </x:row>
    <x:row r="763" ht="22" customHeight="1">
      <x:c r="A763" s="2" t="str">
        <x:v>APB-0758</x:v>
      </x:c>
      <x:c r="B763" s="2" t="str">
        <x:v>Bestandskunde 0758</x:v>
      </x:c>
      <x:c r="C763" s="2" t="str">
        <x:v>Nur Verkäuferexport</x:v>
      </x:c>
      <x:c r="D763" s="9" t="n">
        <x:v>13846</x:v>
      </x:c>
      <x:c r="E763" s="9" t="n">
        <x:v>13</x:v>
      </x:c>
      <x:c r="F763" s="9" t="n">
        <x:v>0</x:v>
      </x:c>
      <x:c r="G763" s="11" t="n">
        <x:f>SUM(D763:F763)</x:f>
        <x:v>13859</x:v>
      </x:c>
      <x:c r="H763" s="10" t="n">
        <x:v>0.92</x:v>
      </x:c>
      <x:c r="I763" s="11" t="n">
        <x:f>IF(ISNUMBER(H763),ROUND(D763*H763,2),NA())</x:f>
        <x:v>12738.32</x:v>
      </x:c>
      <x:c r="J763" s="2" t="str">
        <x:v>Regelbestand laut Verkäufer</x:v>
      </x:c>
      <x:c r="K763" s="2" t="str">
        <x:v>Export KREDIT-ERF-20260930, Einzelbelege nicht im Datenraum</x:v>
      </x:c>
    </x:row>
    <x:row r="764" ht="22" customHeight="1">
      <x:c r="A764" s="2" t="str">
        <x:v>APB-0759</x:v>
      </x:c>
      <x:c r="B764" s="2" t="str">
        <x:v>Bestandskunde 0759</x:v>
      </x:c>
      <x:c r="C764" s="2" t="str">
        <x:v>Nur Verkäuferexport</x:v>
      </x:c>
      <x:c r="D764" s="9" t="n">
        <x:v>13983</x:v>
      </x:c>
      <x:c r="E764" s="9" t="n">
        <x:v>19.5</x:v>
      </x:c>
      <x:c r="F764" s="9" t="n">
        <x:v>0</x:v>
      </x:c>
      <x:c r="G764" s="11" t="n">
        <x:f>SUM(D764:F764)</x:f>
        <x:v>14002.5</x:v>
      </x:c>
      <x:c r="H764" s="10" t="n">
        <x:v>0.92</x:v>
      </x:c>
      <x:c r="I764" s="11" t="n">
        <x:f>IF(ISNUMBER(H764),ROUND(D764*H764,2),NA())</x:f>
        <x:v>12864.36</x:v>
      </x:c>
      <x:c r="J764" s="2" t="str">
        <x:v>Regelbestand laut Verkäufer</x:v>
      </x:c>
      <x:c r="K764" s="2" t="str">
        <x:v>Export KREDIT-ERF-20260930, Einzelbelege nicht im Datenraum</x:v>
      </x:c>
    </x:row>
    <x:row r="765" ht="22" customHeight="1">
      <x:c r="A765" s="2" t="str">
        <x:v>APB-0760</x:v>
      </x:c>
      <x:c r="B765" s="2" t="str">
        <x:v>Bestandskunde 0760</x:v>
      </x:c>
      <x:c r="C765" s="2" t="str">
        <x:v>Nur Verkäuferexport</x:v>
      </x:c>
      <x:c r="D765" s="9" t="n">
        <x:v>14120</x:v>
      </x:c>
      <x:c r="E765" s="9" t="n">
        <x:v>26</x:v>
      </x:c>
      <x:c r="F765" s="9" t="n">
        <x:v>0</x:v>
      </x:c>
      <x:c r="G765" s="11" t="n">
        <x:f>SUM(D765:F765)</x:f>
        <x:v>14146</x:v>
      </x:c>
      <x:c r="H765" s="10" t="n">
        <x:v>0.92</x:v>
      </x:c>
      <x:c r="I765" s="11" t="n">
        <x:f>IF(ISNUMBER(H765),ROUND(D765*H765,2),NA())</x:f>
        <x:v>12990.4</x:v>
      </x:c>
      <x:c r="J765" s="2" t="str">
        <x:v>Regelbestand laut Verkäufer</x:v>
      </x:c>
      <x:c r="K765" s="2" t="str">
        <x:v>Export KREDIT-ERF-20260930, Einzelbelege nicht im Datenraum</x:v>
      </x:c>
    </x:row>
    <x:row r="766" ht="22" customHeight="1">
      <x:c r="A766" s="2" t="str">
        <x:v>APB-0761</x:v>
      </x:c>
      <x:c r="B766" s="2" t="str">
        <x:v>Bestandskunde 0761</x:v>
      </x:c>
      <x:c r="C766" s="2" t="str">
        <x:v>Nur Verkäuferexport</x:v>
      </x:c>
      <x:c r="D766" s="9" t="n">
        <x:v>14257</x:v>
      </x:c>
      <x:c r="E766" s="9" t="n">
        <x:v>32.5</x:v>
      </x:c>
      <x:c r="F766" s="9" t="n">
        <x:v>0</x:v>
      </x:c>
      <x:c r="G766" s="11" t="n">
        <x:f>SUM(D766:F766)</x:f>
        <x:v>14289.5</x:v>
      </x:c>
      <x:c r="H766" s="10" t="n">
        <x:v>0.92</x:v>
      </x:c>
      <x:c r="I766" s="11" t="n">
        <x:f>IF(ISNUMBER(H766),ROUND(D766*H766,2),NA())</x:f>
        <x:v>13116.44</x:v>
      </x:c>
      <x:c r="J766" s="2" t="str">
        <x:v>Regelbestand laut Verkäufer</x:v>
      </x:c>
      <x:c r="K766" s="2" t="str">
        <x:v>Export KREDIT-ERF-20260930, Einzelbelege nicht im Datenraum</x:v>
      </x:c>
    </x:row>
    <x:row r="767" ht="22" customHeight="1">
      <x:c r="A767" s="2" t="str">
        <x:v>APB-0762</x:v>
      </x:c>
      <x:c r="B767" s="2" t="str">
        <x:v>Bestandskunde 0762</x:v>
      </x:c>
      <x:c r="C767" s="2" t="str">
        <x:v>Nur Verkäuferexport</x:v>
      </x:c>
      <x:c r="D767" s="9" t="n">
        <x:v>14394</x:v>
      </x:c>
      <x:c r="E767" s="9" t="n">
        <x:v>39</x:v>
      </x:c>
      <x:c r="F767" s="9" t="n">
        <x:v>0</x:v>
      </x:c>
      <x:c r="G767" s="11" t="n">
        <x:f>SUM(D767:F767)</x:f>
        <x:v>14433</x:v>
      </x:c>
      <x:c r="H767" s="10" t="n">
        <x:v>0.92</x:v>
      </x:c>
      <x:c r="I767" s="11" t="n">
        <x:f>IF(ISNUMBER(H767),ROUND(D767*H767,2),NA())</x:f>
        <x:v>13242.48</x:v>
      </x:c>
      <x:c r="J767" s="2" t="str">
        <x:v>Regelbestand laut Verkäufer</x:v>
      </x:c>
      <x:c r="K767" s="2" t="str">
        <x:v>Export KREDIT-ERF-20260930, Einzelbelege nicht im Datenraum</x:v>
      </x:c>
    </x:row>
    <x:row r="768" ht="22" customHeight="1">
      <x:c r="A768" s="2" t="str">
        <x:v>APB-0763</x:v>
      </x:c>
      <x:c r="B768" s="2" t="str">
        <x:v>Bestandskunde 0763</x:v>
      </x:c>
      <x:c r="C768" s="2" t="str">
        <x:v>Nur Verkäuferexport</x:v>
      </x:c>
      <x:c r="D768" s="9" t="n">
        <x:v>14531</x:v>
      </x:c>
      <x:c r="E768" s="9" t="n">
        <x:v>45.5</x:v>
      </x:c>
      <x:c r="F768" s="9" t="n">
        <x:v>0</x:v>
      </x:c>
      <x:c r="G768" s="11" t="n">
        <x:f>SUM(D768:F768)</x:f>
        <x:v>14576.5</x:v>
      </x:c>
      <x:c r="H768" s="10" t="n">
        <x:v>0.92</x:v>
      </x:c>
      <x:c r="I768" s="11" t="n">
        <x:f>IF(ISNUMBER(H768),ROUND(D768*H768,2),NA())</x:f>
        <x:v>13368.52</x:v>
      </x:c>
      <x:c r="J768" s="2" t="str">
        <x:v>Regelbestand laut Verkäufer</x:v>
      </x:c>
      <x:c r="K768" s="2" t="str">
        <x:v>Export KREDIT-ERF-20260930, Einzelbelege nicht im Datenraum</x:v>
      </x:c>
    </x:row>
    <x:row r="769" ht="22" customHeight="1">
      <x:c r="A769" s="2" t="str">
        <x:v>APB-0764</x:v>
      </x:c>
      <x:c r="B769" s="2" t="str">
        <x:v>Bestandskunde 0764</x:v>
      </x:c>
      <x:c r="C769" s="2" t="str">
        <x:v>Nur Verkäuferexport</x:v>
      </x:c>
      <x:c r="D769" s="9" t="n">
        <x:v>14668</x:v>
      </x:c>
      <x:c r="E769" s="9" t="n">
        <x:v>52</x:v>
      </x:c>
      <x:c r="F769" s="9" t="n">
        <x:v>0</x:v>
      </x:c>
      <x:c r="G769" s="11" t="n">
        <x:f>SUM(D769:F769)</x:f>
        <x:v>14720</x:v>
      </x:c>
      <x:c r="H769" s="10" t="n">
        <x:v>0.92</x:v>
      </x:c>
      <x:c r="I769" s="11" t="n">
        <x:f>IF(ISNUMBER(H769),ROUND(D769*H769,2),NA())</x:f>
        <x:v>13494.56</x:v>
      </x:c>
      <x:c r="J769" s="2" t="str">
        <x:v>Regelbestand laut Verkäufer</x:v>
      </x:c>
      <x:c r="K769" s="2" t="str">
        <x:v>Export KREDIT-ERF-20260930, Einzelbelege nicht im Datenraum</x:v>
      </x:c>
    </x:row>
    <x:row r="770" ht="22" customHeight="1">
      <x:c r="A770" s="2" t="str">
        <x:v>APB-0765</x:v>
      </x:c>
      <x:c r="B770" s="2" t="str">
        <x:v>Bestandskunde 0765</x:v>
      </x:c>
      <x:c r="C770" s="2" t="str">
        <x:v>Nur Verkäuferexport</x:v>
      </x:c>
      <x:c r="D770" s="9" t="n">
        <x:v>14805</x:v>
      </x:c>
      <x:c r="E770" s="9" t="n">
        <x:v>0</x:v>
      </x:c>
      <x:c r="F770" s="9" t="n">
        <x:v>0</x:v>
      </x:c>
      <x:c r="G770" s="11" t="n">
        <x:f>SUM(D770:F770)</x:f>
        <x:v>14805</x:v>
      </x:c>
      <x:c r="H770" s="10" t="n">
        <x:v>0.92</x:v>
      </x:c>
      <x:c r="I770" s="11" t="n">
        <x:f>IF(ISNUMBER(H770),ROUND(D770*H770,2),NA())</x:f>
        <x:v>13620.6</x:v>
      </x:c>
      <x:c r="J770" s="2" t="str">
        <x:v>Regelbestand laut Verkäufer</x:v>
      </x:c>
      <x:c r="K770" s="2" t="str">
        <x:v>Export KREDIT-ERF-20260930, Einzelbelege nicht im Datenraum</x:v>
      </x:c>
    </x:row>
    <x:row r="771" ht="22" customHeight="1">
      <x:c r="A771" s="2" t="str">
        <x:v>APB-0766</x:v>
      </x:c>
      <x:c r="B771" s="2" t="str">
        <x:v>Bestandskunde 0766</x:v>
      </x:c>
      <x:c r="C771" s="2" t="str">
        <x:v>Nur Verkäuferexport</x:v>
      </x:c>
      <x:c r="D771" s="9" t="n">
        <x:v>14942</x:v>
      </x:c>
      <x:c r="E771" s="9" t="n">
        <x:v>6.5</x:v>
      </x:c>
      <x:c r="F771" s="9" t="n">
        <x:v>0</x:v>
      </x:c>
      <x:c r="G771" s="11" t="n">
        <x:f>SUM(D771:F771)</x:f>
        <x:v>14948.5</x:v>
      </x:c>
      <x:c r="H771" s="10" t="n">
        <x:v>0.92</x:v>
      </x:c>
      <x:c r="I771" s="11" t="n">
        <x:f>IF(ISNUMBER(H771),ROUND(D771*H771,2),NA())</x:f>
        <x:v>13746.64</x:v>
      </x:c>
      <x:c r="J771" s="2" t="str">
        <x:v>Regelbestand laut Verkäufer</x:v>
      </x:c>
      <x:c r="K771" s="2" t="str">
        <x:v>Export KREDIT-ERF-20260930, Einzelbelege nicht im Datenraum</x:v>
      </x:c>
    </x:row>
    <x:row r="772" ht="22" customHeight="1">
      <x:c r="A772" s="2" t="str">
        <x:v>APB-0767</x:v>
      </x:c>
      <x:c r="B772" s="2" t="str">
        <x:v>Bestandskunde 0767</x:v>
      </x:c>
      <x:c r="C772" s="2" t="str">
        <x:v>Nur Verkäuferexport</x:v>
      </x:c>
      <x:c r="D772" s="9" t="n">
        <x:v>15079</x:v>
      </x:c>
      <x:c r="E772" s="9" t="n">
        <x:v>13</x:v>
      </x:c>
      <x:c r="F772" s="9" t="n">
        <x:v>0</x:v>
      </x:c>
      <x:c r="G772" s="11" t="n">
        <x:f>SUM(D772:F772)</x:f>
        <x:v>15092</x:v>
      </x:c>
      <x:c r="H772" s="10" t="n">
        <x:v>0.92</x:v>
      </x:c>
      <x:c r="I772" s="11" t="n">
        <x:f>IF(ISNUMBER(H772),ROUND(D772*H772,2),NA())</x:f>
        <x:v>13872.68</x:v>
      </x:c>
      <x:c r="J772" s="2" t="str">
        <x:v>Regelbestand laut Verkäufer</x:v>
      </x:c>
      <x:c r="K772" s="2" t="str">
        <x:v>Export KREDIT-ERF-20260930, Einzelbelege nicht im Datenraum</x:v>
      </x:c>
    </x:row>
    <x:row r="773" ht="22" customHeight="1">
      <x:c r="A773" s="2" t="str">
        <x:v>APB-0768</x:v>
      </x:c>
      <x:c r="B773" s="2" t="str">
        <x:v>Bestandskunde 0768</x:v>
      </x:c>
      <x:c r="C773" s="2" t="str">
        <x:v>Nur Verkäuferexport</x:v>
      </x:c>
      <x:c r="D773" s="9" t="n">
        <x:v>15216</x:v>
      </x:c>
      <x:c r="E773" s="9" t="n">
        <x:v>19.5</x:v>
      </x:c>
      <x:c r="F773" s="9" t="n">
        <x:v>0</x:v>
      </x:c>
      <x:c r="G773" s="11" t="n">
        <x:f>SUM(D773:F773)</x:f>
        <x:v>15235.5</x:v>
      </x:c>
      <x:c r="H773" s="10" t="n">
        <x:v>0.92</x:v>
      </x:c>
      <x:c r="I773" s="11" t="n">
        <x:f>IF(ISNUMBER(H773),ROUND(D773*H773,2),NA())</x:f>
        <x:v>13998.72</x:v>
      </x:c>
      <x:c r="J773" s="2" t="str">
        <x:v>Regelbestand laut Verkäufer</x:v>
      </x:c>
      <x:c r="K773" s="2" t="str">
        <x:v>Export KREDIT-ERF-20260930, Einzelbelege nicht im Datenraum</x:v>
      </x:c>
    </x:row>
    <x:row r="774" ht="22" customHeight="1">
      <x:c r="A774" s="2" t="str">
        <x:v>APB-0769</x:v>
      </x:c>
      <x:c r="B774" s="2" t="str">
        <x:v>Bestandskunde 0769</x:v>
      </x:c>
      <x:c r="C774" s="2" t="str">
        <x:v>Nur Verkäuferexport</x:v>
      </x:c>
      <x:c r="D774" s="9" t="n">
        <x:v>15353</x:v>
      </x:c>
      <x:c r="E774" s="9" t="n">
        <x:v>26</x:v>
      </x:c>
      <x:c r="F774" s="9" t="n">
        <x:v>0</x:v>
      </x:c>
      <x:c r="G774" s="11" t="n">
        <x:f>SUM(D774:F774)</x:f>
        <x:v>15379</x:v>
      </x:c>
      <x:c r="H774" s="10" t="n">
        <x:v>0.92</x:v>
      </x:c>
      <x:c r="I774" s="11" t="n">
        <x:f>IF(ISNUMBER(H774),ROUND(D774*H774,2),NA())</x:f>
        <x:v>14124.76</x:v>
      </x:c>
      <x:c r="J774" s="2" t="str">
        <x:v>Regelbestand laut Verkäufer</x:v>
      </x:c>
      <x:c r="K774" s="2" t="str">
        <x:v>Export KREDIT-ERF-20260930, Einzelbelege nicht im Datenraum</x:v>
      </x:c>
    </x:row>
    <x:row r="775" ht="22" customHeight="1">
      <x:c r="A775" s="2" t="str">
        <x:v>APB-0770</x:v>
      </x:c>
      <x:c r="B775" s="2" t="str">
        <x:v>Bestandskunde 0770</x:v>
      </x:c>
      <x:c r="C775" s="2" t="str">
        <x:v>Nur Verkäuferexport</x:v>
      </x:c>
      <x:c r="D775" s="9" t="n">
        <x:v>15490</x:v>
      </x:c>
      <x:c r="E775" s="9" t="n">
        <x:v>32.5</x:v>
      </x:c>
      <x:c r="F775" s="9" t="n">
        <x:v>0</x:v>
      </x:c>
      <x:c r="G775" s="11" t="n">
        <x:f>SUM(D775:F775)</x:f>
        <x:v>15522.5</x:v>
      </x:c>
      <x:c r="H775" s="10" t="n">
        <x:v>0.92</x:v>
      </x:c>
      <x:c r="I775" s="11" t="n">
        <x:f>IF(ISNUMBER(H775),ROUND(D775*H775,2),NA())</x:f>
        <x:v>14250.8</x:v>
      </x:c>
      <x:c r="J775" s="2" t="str">
        <x:v>Regelbestand laut Verkäufer</x:v>
      </x:c>
      <x:c r="K775" s="2" t="str">
        <x:v>Export KREDIT-ERF-20260930, Einzelbelege nicht im Datenraum</x:v>
      </x:c>
    </x:row>
    <x:row r="776" ht="22" customHeight="1">
      <x:c r="A776" s="2" t="str">
        <x:v>APB-0771</x:v>
      </x:c>
      <x:c r="B776" s="2" t="str">
        <x:v>Bestandskunde 0771</x:v>
      </x:c>
      <x:c r="C776" s="2" t="str">
        <x:v>Nur Verkäuferexport</x:v>
      </x:c>
      <x:c r="D776" s="9" t="n">
        <x:v>15627</x:v>
      </x:c>
      <x:c r="E776" s="9" t="n">
        <x:v>39</x:v>
      </x:c>
      <x:c r="F776" s="9" t="n">
        <x:v>0</x:v>
      </x:c>
      <x:c r="G776" s="11" t="n">
        <x:f>SUM(D776:F776)</x:f>
        <x:v>15666</x:v>
      </x:c>
      <x:c r="H776" s="10" t="n">
        <x:v>0.92</x:v>
      </x:c>
      <x:c r="I776" s="11" t="n">
        <x:f>IF(ISNUMBER(H776),ROUND(D776*H776,2),NA())</x:f>
        <x:v>14376.84</x:v>
      </x:c>
      <x:c r="J776" s="2" t="str">
        <x:v>Regelbestand laut Verkäufer</x:v>
      </x:c>
      <x:c r="K776" s="2" t="str">
        <x:v>Export KREDIT-ERF-20260930, Einzelbelege nicht im Datenraum</x:v>
      </x:c>
    </x:row>
    <x:row r="777" ht="22" customHeight="1">
      <x:c r="A777" s="2" t="str">
        <x:v>APB-0772</x:v>
      </x:c>
      <x:c r="B777" s="2" t="str">
        <x:v>Bestandskunde 0772</x:v>
      </x:c>
      <x:c r="C777" s="2" t="str">
        <x:v>Nur Verkäuferexport</x:v>
      </x:c>
      <x:c r="D777" s="9" t="n">
        <x:v>15764</x:v>
      </x:c>
      <x:c r="E777" s="9" t="n">
        <x:v>45.5</x:v>
      </x:c>
      <x:c r="F777" s="9" t="n">
        <x:v>0</x:v>
      </x:c>
      <x:c r="G777" s="11" t="n">
        <x:f>SUM(D777:F777)</x:f>
        <x:v>15809.5</x:v>
      </x:c>
      <x:c r="H777" s="10" t="n">
        <x:v>0.92</x:v>
      </x:c>
      <x:c r="I777" s="11" t="n">
        <x:f>IF(ISNUMBER(H777),ROUND(D777*H777,2),NA())</x:f>
        <x:v>14502.88</x:v>
      </x:c>
      <x:c r="J777" s="2" t="str">
        <x:v>Regelbestand laut Verkäufer</x:v>
      </x:c>
      <x:c r="K777" s="2" t="str">
        <x:v>Export KREDIT-ERF-20260930, Einzelbelege nicht im Datenraum</x:v>
      </x:c>
    </x:row>
    <x:row r="778" ht="22" customHeight="1">
      <x:c r="A778" s="2" t="str">
        <x:v>APB-0773</x:v>
      </x:c>
      <x:c r="B778" s="2" t="str">
        <x:v>Bestandskunde 0773</x:v>
      </x:c>
      <x:c r="C778" s="2" t="str">
        <x:v>Nur Verkäuferexport</x:v>
      </x:c>
      <x:c r="D778" s="9" t="n">
        <x:v>15901</x:v>
      </x:c>
      <x:c r="E778" s="9" t="n">
        <x:v>52</x:v>
      </x:c>
      <x:c r="F778" s="9" t="n">
        <x:v>0</x:v>
      </x:c>
      <x:c r="G778" s="11" t="n">
        <x:f>SUM(D778:F778)</x:f>
        <x:v>15953</x:v>
      </x:c>
      <x:c r="H778" s="10" t="n">
        <x:v>0.92</x:v>
      </x:c>
      <x:c r="I778" s="11" t="n">
        <x:f>IF(ISNUMBER(H778),ROUND(D778*H778,2),NA())</x:f>
        <x:v>14628.92</x:v>
      </x:c>
      <x:c r="J778" s="2" t="str">
        <x:v>Regelbestand laut Verkäufer</x:v>
      </x:c>
      <x:c r="K778" s="2" t="str">
        <x:v>Export KREDIT-ERF-20260930, Einzelbelege nicht im Datenraum</x:v>
      </x:c>
    </x:row>
    <x:row r="779" ht="22" customHeight="1">
      <x:c r="A779" s="2" t="str">
        <x:v>APB-0774</x:v>
      </x:c>
      <x:c r="B779" s="2" t="str">
        <x:v>Bestandskunde 0774</x:v>
      </x:c>
      <x:c r="C779" s="2" t="str">
        <x:v>Nur Verkäuferexport</x:v>
      </x:c>
      <x:c r="D779" s="9" t="n">
        <x:v>16038</x:v>
      </x:c>
      <x:c r="E779" s="9" t="n">
        <x:v>0</x:v>
      </x:c>
      <x:c r="F779" s="9" t="n">
        <x:v>0</x:v>
      </x:c>
      <x:c r="G779" s="11" t="n">
        <x:f>SUM(D779:F779)</x:f>
        <x:v>16038</x:v>
      </x:c>
      <x:c r="H779" s="10" t="n">
        <x:v>0.92</x:v>
      </x:c>
      <x:c r="I779" s="11" t="n">
        <x:f>IF(ISNUMBER(H779),ROUND(D779*H779,2),NA())</x:f>
        <x:v>14754.96</x:v>
      </x:c>
      <x:c r="J779" s="2" t="str">
        <x:v>Regelbestand laut Verkäufer</x:v>
      </x:c>
      <x:c r="K779" s="2" t="str">
        <x:v>Export KREDIT-ERF-20260930, Einzelbelege nicht im Datenraum</x:v>
      </x:c>
    </x:row>
    <x:row r="780" ht="22" customHeight="1">
      <x:c r="A780" s="2" t="str">
        <x:v>APB-0775</x:v>
      </x:c>
      <x:c r="B780" s="2" t="str">
        <x:v>Bestandskunde 0775</x:v>
      </x:c>
      <x:c r="C780" s="2" t="str">
        <x:v>Nur Verkäuferexport</x:v>
      </x:c>
      <x:c r="D780" s="9" t="n">
        <x:v>16175</x:v>
      </x:c>
      <x:c r="E780" s="9" t="n">
        <x:v>6.5</x:v>
      </x:c>
      <x:c r="F780" s="9" t="n">
        <x:v>0</x:v>
      </x:c>
      <x:c r="G780" s="11" t="n">
        <x:f>SUM(D780:F780)</x:f>
        <x:v>16181.5</x:v>
      </x:c>
      <x:c r="H780" s="10" t="n">
        <x:v>0.92</x:v>
      </x:c>
      <x:c r="I780" s="11" t="n">
        <x:f>IF(ISNUMBER(H780),ROUND(D780*H780,2),NA())</x:f>
        <x:v>14881</x:v>
      </x:c>
      <x:c r="J780" s="2" t="str">
        <x:v>Regelbestand laut Verkäufer</x:v>
      </x:c>
      <x:c r="K780" s="2" t="str">
        <x:v>Export KREDIT-ERF-20260930, Einzelbelege nicht im Datenraum</x:v>
      </x:c>
    </x:row>
    <x:row r="781" ht="22" customHeight="1">
      <x:c r="A781" s="2" t="str">
        <x:v>APB-0776</x:v>
      </x:c>
      <x:c r="B781" s="2" t="str">
        <x:v>Bestandskunde 0776</x:v>
      </x:c>
      <x:c r="C781" s="2" t="str">
        <x:v>Nur Verkäuferexport</x:v>
      </x:c>
      <x:c r="D781" s="9" t="n">
        <x:v>16312</x:v>
      </x:c>
      <x:c r="E781" s="9" t="n">
        <x:v>13</x:v>
      </x:c>
      <x:c r="F781" s="9" t="n">
        <x:v>0</x:v>
      </x:c>
      <x:c r="G781" s="11" t="n">
        <x:f>SUM(D781:F781)</x:f>
        <x:v>16325</x:v>
      </x:c>
      <x:c r="H781" s="10" t="n">
        <x:v>0.92</x:v>
      </x:c>
      <x:c r="I781" s="11" t="n">
        <x:f>IF(ISNUMBER(H781),ROUND(D781*H781,2),NA())</x:f>
        <x:v>15007.04</x:v>
      </x:c>
      <x:c r="J781" s="2" t="str">
        <x:v>Regelbestand laut Verkäufer</x:v>
      </x:c>
      <x:c r="K781" s="2" t="str">
        <x:v>Export KREDIT-ERF-20260930, Einzelbelege nicht im Datenraum</x:v>
      </x:c>
    </x:row>
    <x:row r="782" ht="22" customHeight="1">
      <x:c r="A782" s="2" t="str">
        <x:v>APB-0777</x:v>
      </x:c>
      <x:c r="B782" s="2" t="str">
        <x:v>Bestandskunde 0777</x:v>
      </x:c>
      <x:c r="C782" s="2" t="str">
        <x:v>Nur Verkäuferexport</x:v>
      </x:c>
      <x:c r="D782" s="9" t="n">
        <x:v>16449</x:v>
      </x:c>
      <x:c r="E782" s="9" t="n">
        <x:v>19.5</x:v>
      </x:c>
      <x:c r="F782" s="9" t="n">
        <x:v>0</x:v>
      </x:c>
      <x:c r="G782" s="11" t="n">
        <x:f>SUM(D782:F782)</x:f>
        <x:v>16468.5</x:v>
      </x:c>
      <x:c r="H782" s="10" t="n">
        <x:v>0.92</x:v>
      </x:c>
      <x:c r="I782" s="11" t="n">
        <x:f>IF(ISNUMBER(H782),ROUND(D782*H782,2),NA())</x:f>
        <x:v>15133.08</x:v>
      </x:c>
      <x:c r="J782" s="2" t="str">
        <x:v>Regelbestand laut Verkäufer</x:v>
      </x:c>
      <x:c r="K782" s="2" t="str">
        <x:v>Export KREDIT-ERF-20260930, Einzelbelege nicht im Datenraum</x:v>
      </x:c>
    </x:row>
    <x:row r="783" ht="22" customHeight="1">
      <x:c r="A783" s="2" t="str">
        <x:v>APB-0778</x:v>
      </x:c>
      <x:c r="B783" s="2" t="str">
        <x:v>Bestandskunde 0778</x:v>
      </x:c>
      <x:c r="C783" s="2" t="str">
        <x:v>Nur Verkäuferexport</x:v>
      </x:c>
      <x:c r="D783" s="9" t="n">
        <x:v>16586</x:v>
      </x:c>
      <x:c r="E783" s="9" t="n">
        <x:v>26</x:v>
      </x:c>
      <x:c r="F783" s="9" t="n">
        <x:v>0</x:v>
      </x:c>
      <x:c r="G783" s="11" t="n">
        <x:f>SUM(D783:F783)</x:f>
        <x:v>16612</x:v>
      </x:c>
      <x:c r="H783" s="10" t="n">
        <x:v>0.92</x:v>
      </x:c>
      <x:c r="I783" s="11" t="n">
        <x:f>IF(ISNUMBER(H783),ROUND(D783*H783,2),NA())</x:f>
        <x:v>15259.12</x:v>
      </x:c>
      <x:c r="J783" s="2" t="str">
        <x:v>Regelbestand laut Verkäufer</x:v>
      </x:c>
      <x:c r="K783" s="2" t="str">
        <x:v>Export KREDIT-ERF-20260930, Einzelbelege nicht im Datenraum</x:v>
      </x:c>
    </x:row>
    <x:row r="784" ht="22" customHeight="1">
      <x:c r="A784" s="2" t="str">
        <x:v>APB-0779</x:v>
      </x:c>
      <x:c r="B784" s="2" t="str">
        <x:v>Bestandskunde 0779</x:v>
      </x:c>
      <x:c r="C784" s="2" t="str">
        <x:v>Nur Verkäuferexport</x:v>
      </x:c>
      <x:c r="D784" s="9" t="n">
        <x:v>16723</x:v>
      </x:c>
      <x:c r="E784" s="9" t="n">
        <x:v>32.5</x:v>
      </x:c>
      <x:c r="F784" s="9" t="n">
        <x:v>0</x:v>
      </x:c>
      <x:c r="G784" s="11" t="n">
        <x:f>SUM(D784:F784)</x:f>
        <x:v>16755.5</x:v>
      </x:c>
      <x:c r="H784" s="10" t="n">
        <x:v>0.92</x:v>
      </x:c>
      <x:c r="I784" s="11" t="n">
        <x:f>IF(ISNUMBER(H784),ROUND(D784*H784,2),NA())</x:f>
        <x:v>15385.16</x:v>
      </x:c>
      <x:c r="J784" s="2" t="str">
        <x:v>Regelbestand laut Verkäufer</x:v>
      </x:c>
      <x:c r="K784" s="2" t="str">
        <x:v>Export KREDIT-ERF-20260930, Einzelbelege nicht im Datenraum</x:v>
      </x:c>
    </x:row>
    <x:row r="785" ht="22" customHeight="1">
      <x:c r="A785" s="2" t="str">
        <x:v>APB-0780</x:v>
      </x:c>
      <x:c r="B785" s="2" t="str">
        <x:v>Bestandskunde 0780</x:v>
      </x:c>
      <x:c r="C785" s="2" t="str">
        <x:v>Nur Verkäuferexport</x:v>
      </x:c>
      <x:c r="D785" s="9" t="n">
        <x:v>16860</x:v>
      </x:c>
      <x:c r="E785" s="9" t="n">
        <x:v>39</x:v>
      </x:c>
      <x:c r="F785" s="9" t="n">
        <x:v>0</x:v>
      </x:c>
      <x:c r="G785" s="11" t="n">
        <x:f>SUM(D785:F785)</x:f>
        <x:v>16899</x:v>
      </x:c>
      <x:c r="H785" s="10" t="n">
        <x:v>0.92</x:v>
      </x:c>
      <x:c r="I785" s="11" t="n">
        <x:f>IF(ISNUMBER(H785),ROUND(D785*H785,2),NA())</x:f>
        <x:v>15511.2</x:v>
      </x:c>
      <x:c r="J785" s="2" t="str">
        <x:v>Regelbestand laut Verkäufer</x:v>
      </x:c>
      <x:c r="K785" s="2" t="str">
        <x:v>Export KREDIT-ERF-20260930, Einzelbelege nicht im Datenraum</x:v>
      </x:c>
    </x:row>
    <x:row r="786" ht="22" customHeight="1">
      <x:c r="A786" s="2" t="str">
        <x:v>APB-0781</x:v>
      </x:c>
      <x:c r="B786" s="2" t="str">
        <x:v>Bestandskunde 0781</x:v>
      </x:c>
      <x:c r="C786" s="2" t="str">
        <x:v>Nur Verkäuferexport</x:v>
      </x:c>
      <x:c r="D786" s="9" t="n">
        <x:v>16997</x:v>
      </x:c>
      <x:c r="E786" s="9" t="n">
        <x:v>45.5</x:v>
      </x:c>
      <x:c r="F786" s="9" t="n">
        <x:v>0</x:v>
      </x:c>
      <x:c r="G786" s="11" t="n">
        <x:f>SUM(D786:F786)</x:f>
        <x:v>17042.5</x:v>
      </x:c>
      <x:c r="H786" s="10" t="n">
        <x:v>0.92</x:v>
      </x:c>
      <x:c r="I786" s="11" t="n">
        <x:f>IF(ISNUMBER(H786),ROUND(D786*H786,2),NA())</x:f>
        <x:v>15637.24</x:v>
      </x:c>
      <x:c r="J786" s="2" t="str">
        <x:v>Regelbestand laut Verkäufer</x:v>
      </x:c>
      <x:c r="K786" s="2" t="str">
        <x:v>Export KREDIT-ERF-20260930, Einzelbelege nicht im Datenraum</x:v>
      </x:c>
    </x:row>
    <x:row r="787" ht="22" customHeight="1">
      <x:c r="A787" s="2" t="str">
        <x:v>APB-0782</x:v>
      </x:c>
      <x:c r="B787" s="2" t="str">
        <x:v>Bestandskunde 0782</x:v>
      </x:c>
      <x:c r="C787" s="2" t="str">
        <x:v>Nur Verkäuferexport</x:v>
      </x:c>
      <x:c r="D787" s="9" t="n">
        <x:v>17134</x:v>
      </x:c>
      <x:c r="E787" s="9" t="n">
        <x:v>52</x:v>
      </x:c>
      <x:c r="F787" s="9" t="n">
        <x:v>0</x:v>
      </x:c>
      <x:c r="G787" s="11" t="n">
        <x:f>SUM(D787:F787)</x:f>
        <x:v>17186</x:v>
      </x:c>
      <x:c r="H787" s="10" t="n">
        <x:v>0.92</x:v>
      </x:c>
      <x:c r="I787" s="11" t="n">
        <x:f>IF(ISNUMBER(H787),ROUND(D787*H787,2),NA())</x:f>
        <x:v>15763.28</x:v>
      </x:c>
      <x:c r="J787" s="2" t="str">
        <x:v>Regelbestand laut Verkäufer</x:v>
      </x:c>
      <x:c r="K787" s="2" t="str">
        <x:v>Export KREDIT-ERF-20260930, Einzelbelege nicht im Datenraum</x:v>
      </x:c>
    </x:row>
    <x:row r="788" ht="22" customHeight="1">
      <x:c r="A788" s="2" t="str">
        <x:v>APB-0783</x:v>
      </x:c>
      <x:c r="B788" s="2" t="str">
        <x:v>Bestandskunde 0783</x:v>
      </x:c>
      <x:c r="C788" s="2" t="str">
        <x:v>Nur Verkäuferexport</x:v>
      </x:c>
      <x:c r="D788" s="9" t="n">
        <x:v>17271</x:v>
      </x:c>
      <x:c r="E788" s="9" t="n">
        <x:v>0</x:v>
      </x:c>
      <x:c r="F788" s="9" t="n">
        <x:v>15</x:v>
      </x:c>
      <x:c r="G788" s="11" t="n">
        <x:f>SUM(D788:F788)</x:f>
        <x:v>17286</x:v>
      </x:c>
      <x:c r="H788" s="10" t="n">
        <x:v>0.92</x:v>
      </x:c>
      <x:c r="I788" s="11" t="n">
        <x:f>IF(ISNUMBER(H788),ROUND(D788*H788,2),NA())</x:f>
        <x:v>15889.32</x:v>
      </x:c>
      <x:c r="J788" s="2" t="str">
        <x:v>Zahlungslücke im Export</x:v>
      </x:c>
      <x:c r="K788" s="2" t="str">
        <x:v>Export KREDIT-ERF-20260930, Einzelbelege nicht im Datenraum</x:v>
      </x:c>
    </x:row>
    <x:row r="789" ht="22" customHeight="1">
      <x:c r="A789" s="2" t="str">
        <x:v>APB-0784</x:v>
      </x:c>
      <x:c r="B789" s="2" t="str">
        <x:v>Bestandskunde 0784</x:v>
      </x:c>
      <x:c r="C789" s="2" t="str">
        <x:v>Nur Verkäuferexport</x:v>
      </x:c>
      <x:c r="D789" s="9" t="n">
        <x:v>17408</x:v>
      </x:c>
      <x:c r="E789" s="9" t="n">
        <x:v>6.5</x:v>
      </x:c>
      <x:c r="F789" s="9" t="n">
        <x:v>0</x:v>
      </x:c>
      <x:c r="G789" s="11" t="n">
        <x:f>SUM(D789:F789)</x:f>
        <x:v>17414.5</x:v>
      </x:c>
      <x:c r="H789" s="10" t="n">
        <x:v>0.92</x:v>
      </x:c>
      <x:c r="I789" s="11" t="n">
        <x:f>IF(ISNUMBER(H789),ROUND(D789*H789,2),NA())</x:f>
        <x:v>16015.36</x:v>
      </x:c>
      <x:c r="J789" s="2" t="str">
        <x:v>Regelbestand laut Verkäufer</x:v>
      </x:c>
      <x:c r="K789" s="2" t="str">
        <x:v>Export KREDIT-ERF-20260930, Einzelbelege nicht im Datenraum</x:v>
      </x:c>
    </x:row>
    <x:row r="790" ht="22" customHeight="1">
      <x:c r="A790" s="2" t="str">
        <x:v>APB-0785</x:v>
      </x:c>
      <x:c r="B790" s="2" t="str">
        <x:v>Bestandskunde 0785</x:v>
      </x:c>
      <x:c r="C790" s="2" t="str">
        <x:v>Nur Verkäuferexport</x:v>
      </x:c>
      <x:c r="D790" s="9" t="n">
        <x:v>17545</x:v>
      </x:c>
      <x:c r="E790" s="9" t="n">
        <x:v>13</x:v>
      </x:c>
      <x:c r="F790" s="9" t="n">
        <x:v>0</x:v>
      </x:c>
      <x:c r="G790" s="11" t="n">
        <x:f>SUM(D790:F790)</x:f>
        <x:v>17558</x:v>
      </x:c>
      <x:c r="H790" s="10" t="n">
        <x:v>0.92</x:v>
      </x:c>
      <x:c r="I790" s="11" t="n">
        <x:f>IF(ISNUMBER(H790),ROUND(D790*H790,2),NA())</x:f>
        <x:v>16141.4</x:v>
      </x:c>
      <x:c r="J790" s="2" t="str">
        <x:v>Regelbestand laut Verkäufer</x:v>
      </x:c>
      <x:c r="K790" s="2" t="str">
        <x:v>Export KREDIT-ERF-20260930, Einzelbelege nicht im Datenraum</x:v>
      </x:c>
    </x:row>
    <x:row r="791" ht="22" customHeight="1">
      <x:c r="A791" s="2" t="str">
        <x:v>APB-0786</x:v>
      </x:c>
      <x:c r="B791" s="2" t="str">
        <x:v>Bestandskunde 0786</x:v>
      </x:c>
      <x:c r="C791" s="2" t="str">
        <x:v>Nur Verkäuferexport</x:v>
      </x:c>
      <x:c r="D791" s="9" t="n">
        <x:v>17682</x:v>
      </x:c>
      <x:c r="E791" s="9" t="n">
        <x:v>19.5</x:v>
      </x:c>
      <x:c r="F791" s="9" t="n">
        <x:v>0</x:v>
      </x:c>
      <x:c r="G791" s="11" t="n">
        <x:f>SUM(D791:F791)</x:f>
        <x:v>17701.5</x:v>
      </x:c>
      <x:c r="H791" s="10" t="n">
        <x:v>0.92</x:v>
      </x:c>
      <x:c r="I791" s="11" t="n">
        <x:f>IF(ISNUMBER(H791),ROUND(D791*H791,2),NA())</x:f>
        <x:v>16267.44</x:v>
      </x:c>
      <x:c r="J791" s="2" t="str">
        <x:v>Regelbestand laut Verkäufer</x:v>
      </x:c>
      <x:c r="K791" s="2" t="str">
        <x:v>Export KREDIT-ERF-20260930, Einzelbelege nicht im Datenraum</x:v>
      </x:c>
    </x:row>
    <x:row r="792" ht="22" customHeight="1">
      <x:c r="A792" s="2" t="str">
        <x:v>APB-0787</x:v>
      </x:c>
      <x:c r="B792" s="2" t="str">
        <x:v>Bestandskunde 0787</x:v>
      </x:c>
      <x:c r="C792" s="2" t="str">
        <x:v>Nur Verkäuferexport</x:v>
      </x:c>
      <x:c r="D792" s="9" t="n">
        <x:v>17819</x:v>
      </x:c>
      <x:c r="E792" s="9" t="n">
        <x:v>26</x:v>
      </x:c>
      <x:c r="F792" s="9" t="n">
        <x:v>0</x:v>
      </x:c>
      <x:c r="G792" s="11" t="n">
        <x:f>SUM(D792:F792)</x:f>
        <x:v>17845</x:v>
      </x:c>
      <x:c r="H792" s="10" t="n">
        <x:v>0.92</x:v>
      </x:c>
      <x:c r="I792" s="11" t="n">
        <x:f>IF(ISNUMBER(H792),ROUND(D792*H792,2),NA())</x:f>
        <x:v>16393.48</x:v>
      </x:c>
      <x:c r="J792" s="2" t="str">
        <x:v>Regelbestand laut Verkäufer</x:v>
      </x:c>
      <x:c r="K792" s="2" t="str">
        <x:v>Export KREDIT-ERF-20260930, Einzelbelege nicht im Datenraum</x:v>
      </x:c>
    </x:row>
    <x:row r="793" ht="22" customHeight="1">
      <x:c r="A793" s="2" t="str">
        <x:v>APB-0788</x:v>
      </x:c>
      <x:c r="B793" s="2" t="str">
        <x:v>Bestandskunde 0788</x:v>
      </x:c>
      <x:c r="C793" s="2" t="str">
        <x:v>Nur Verkäuferexport</x:v>
      </x:c>
      <x:c r="D793" s="9" t="n">
        <x:v>17956</x:v>
      </x:c>
      <x:c r="E793" s="9" t="n">
        <x:v>32.5</x:v>
      </x:c>
      <x:c r="F793" s="9" t="n">
        <x:v>0</x:v>
      </x:c>
      <x:c r="G793" s="11" t="n">
        <x:f>SUM(D793:F793)</x:f>
        <x:v>17988.5</x:v>
      </x:c>
      <x:c r="H793" s="10" t="n">
        <x:v>0.92</x:v>
      </x:c>
      <x:c r="I793" s="11" t="n">
        <x:f>IF(ISNUMBER(H793),ROUND(D793*H793,2),NA())</x:f>
        <x:v>16519.52</x:v>
      </x:c>
      <x:c r="J793" s="2" t="str">
        <x:v>Regelbestand laut Verkäufer</x:v>
      </x:c>
      <x:c r="K793" s="2" t="str">
        <x:v>Export KREDIT-ERF-20260930, Einzelbelege nicht im Datenraum</x:v>
      </x:c>
    </x:row>
    <x:row r="794" ht="22" customHeight="1">
      <x:c r="A794" s="2" t="str">
        <x:v>APB-0789</x:v>
      </x:c>
      <x:c r="B794" s="2" t="str">
        <x:v>Bestandskunde 0789</x:v>
      </x:c>
      <x:c r="C794" s="2" t="str">
        <x:v>Nur Verkäuferexport</x:v>
      </x:c>
      <x:c r="D794" s="9" t="n">
        <x:v>18093</x:v>
      </x:c>
      <x:c r="E794" s="9" t="n">
        <x:v>39</x:v>
      </x:c>
      <x:c r="F794" s="9" t="n">
        <x:v>0</x:v>
      </x:c>
      <x:c r="G794" s="11" t="n">
        <x:f>SUM(D794:F794)</x:f>
        <x:v>18132</x:v>
      </x:c>
      <x:c r="H794" s="10" t="n">
        <x:v>0.92</x:v>
      </x:c>
      <x:c r="I794" s="11" t="n">
        <x:f>IF(ISNUMBER(H794),ROUND(D794*H794,2),NA())</x:f>
        <x:v>16645.56</x:v>
      </x:c>
      <x:c r="J794" s="2" t="str">
        <x:v>Regelbestand laut Verkäufer</x:v>
      </x:c>
      <x:c r="K794" s="2" t="str">
        <x:v>Export KREDIT-ERF-20260930, Einzelbelege nicht im Datenraum</x:v>
      </x:c>
    </x:row>
    <x:row r="795" ht="22" customHeight="1">
      <x:c r="A795" s="2" t="str">
        <x:v>APB-0790</x:v>
      </x:c>
      <x:c r="B795" s="2" t="str">
        <x:v>Bestandskunde 0790</x:v>
      </x:c>
      <x:c r="C795" s="2" t="str">
        <x:v>Nur Verkäuferexport</x:v>
      </x:c>
      <x:c r="D795" s="9" t="n">
        <x:v>18230</x:v>
      </x:c>
      <x:c r="E795" s="9" t="n">
        <x:v>45.5</x:v>
      </x:c>
      <x:c r="F795" s="9" t="n">
        <x:v>0</x:v>
      </x:c>
      <x:c r="G795" s="11" t="n">
        <x:f>SUM(D795:F795)</x:f>
        <x:v>18275.5</x:v>
      </x:c>
      <x:c r="H795" s="10" t="n">
        <x:v>0.92</x:v>
      </x:c>
      <x:c r="I795" s="11" t="n">
        <x:f>IF(ISNUMBER(H795),ROUND(D795*H795,2),NA())</x:f>
        <x:v>16771.6</x:v>
      </x:c>
      <x:c r="J795" s="2" t="str">
        <x:v>Regelbestand laut Verkäufer</x:v>
      </x:c>
      <x:c r="K795" s="2" t="str">
        <x:v>Export KREDIT-ERF-20260930, Einzelbelege nicht im Datenraum</x:v>
      </x:c>
    </x:row>
    <x:row r="796" ht="22" customHeight="1">
      <x:c r="A796" s="2" t="str">
        <x:v>APB-0791</x:v>
      </x:c>
      <x:c r="B796" s="2" t="str">
        <x:v>Bestandskunde 0791</x:v>
      </x:c>
      <x:c r="C796" s="2" t="str">
        <x:v>Nur Verkäuferexport</x:v>
      </x:c>
      <x:c r="D796" s="9" t="n">
        <x:v>18367</x:v>
      </x:c>
      <x:c r="E796" s="9" t="n">
        <x:v>52</x:v>
      </x:c>
      <x:c r="F796" s="9" t="n">
        <x:v>0</x:v>
      </x:c>
      <x:c r="G796" s="11" t="n">
        <x:f>SUM(D796:F796)</x:f>
        <x:v>18419</x:v>
      </x:c>
      <x:c r="H796" s="10" t="n">
        <x:v>0.92</x:v>
      </x:c>
      <x:c r="I796" s="11" t="n">
        <x:f>IF(ISNUMBER(H796),ROUND(D796*H796,2),NA())</x:f>
        <x:v>16897.64</x:v>
      </x:c>
      <x:c r="J796" s="2" t="str">
        <x:v>Regelbestand laut Verkäufer</x:v>
      </x:c>
      <x:c r="K796" s="2" t="str">
        <x:v>Export KREDIT-ERF-20260930, Einzelbelege nicht im Datenraum</x:v>
      </x:c>
    </x:row>
    <x:row r="797" ht="22" customHeight="1">
      <x:c r="A797" s="2" t="str">
        <x:v>APB-0792</x:v>
      </x:c>
      <x:c r="B797" s="2" t="str">
        <x:v>Bestandskunde 0792</x:v>
      </x:c>
      <x:c r="C797" s="2" t="str">
        <x:v>Nur Verkäuferexport</x:v>
      </x:c>
      <x:c r="D797" s="9" t="n">
        <x:v>18504</x:v>
      </x:c>
      <x:c r="E797" s="9" t="n">
        <x:v>0</x:v>
      </x:c>
      <x:c r="F797" s="9" t="n">
        <x:v>0</x:v>
      </x:c>
      <x:c r="G797" s="11" t="n">
        <x:f>SUM(D797:F797)</x:f>
        <x:v>18504</x:v>
      </x:c>
      <x:c r="H797" s="10" t="n">
        <x:v>0.92</x:v>
      </x:c>
      <x:c r="I797" s="11" t="n">
        <x:f>IF(ISNUMBER(H797),ROUND(D797*H797,2),NA())</x:f>
        <x:v>17023.68</x:v>
      </x:c>
      <x:c r="J797" s="2" t="str">
        <x:v>Regelbestand laut Verkäufer</x:v>
      </x:c>
      <x:c r="K797" s="2" t="str">
        <x:v>Export KREDIT-ERF-20260930, Einzelbelege nicht im Datenraum</x:v>
      </x:c>
    </x:row>
    <x:row r="798" ht="22" customHeight="1">
      <x:c r="A798" s="2" t="str">
        <x:v>APB-0793</x:v>
      </x:c>
      <x:c r="B798" s="2" t="str">
        <x:v>Bestandskunde 0793</x:v>
      </x:c>
      <x:c r="C798" s="2" t="str">
        <x:v>Nur Verkäuferexport</x:v>
      </x:c>
      <x:c r="D798" s="9" t="n">
        <x:v>18641</x:v>
      </x:c>
      <x:c r="E798" s="9" t="n">
        <x:v>6.5</x:v>
      </x:c>
      <x:c r="F798" s="9" t="n">
        <x:v>0</x:v>
      </x:c>
      <x:c r="G798" s="11" t="n">
        <x:f>SUM(D798:F798)</x:f>
        <x:v>18647.5</x:v>
      </x:c>
      <x:c r="H798" s="10" t="n">
        <x:v>0.92</x:v>
      </x:c>
      <x:c r="I798" s="11" t="n">
        <x:f>IF(ISNUMBER(H798),ROUND(D798*H798,2),NA())</x:f>
        <x:v>17149.72</x:v>
      </x:c>
      <x:c r="J798" s="2" t="str">
        <x:v>Regelbestand laut Verkäufer</x:v>
      </x:c>
      <x:c r="K798" s="2" t="str">
        <x:v>Export KREDIT-ERF-20260930, Einzelbelege nicht im Datenraum</x:v>
      </x:c>
    </x:row>
    <x:row r="799" ht="22" customHeight="1">
      <x:c r="A799" s="2" t="str">
        <x:v>APB-0794</x:v>
      </x:c>
      <x:c r="B799" s="2" t="str">
        <x:v>Bestandskunde 0794</x:v>
      </x:c>
      <x:c r="C799" s="2" t="str">
        <x:v>Nur Verkäuferexport</x:v>
      </x:c>
      <x:c r="D799" s="9" t="n">
        <x:v>18778</x:v>
      </x:c>
      <x:c r="E799" s="9" t="n">
        <x:v>13</x:v>
      </x:c>
      <x:c r="F799" s="9" t="n">
        <x:v>0</x:v>
      </x:c>
      <x:c r="G799" s="11" t="n">
        <x:f>SUM(D799:F799)</x:f>
        <x:v>18791</x:v>
      </x:c>
      <x:c r="H799" s="10" t="n">
        <x:v>0.92</x:v>
      </x:c>
      <x:c r="I799" s="11" t="n">
        <x:f>IF(ISNUMBER(H799),ROUND(D799*H799,2),NA())</x:f>
        <x:v>17275.76</x:v>
      </x:c>
      <x:c r="J799" s="2" t="str">
        <x:v>Regelbestand laut Verkäufer</x:v>
      </x:c>
      <x:c r="K799" s="2" t="str">
        <x:v>Export KREDIT-ERF-20260930, Einzelbelege nicht im Datenraum</x:v>
      </x:c>
    </x:row>
    <x:row r="800" ht="22" customHeight="1">
      <x:c r="A800" s="2" t="str">
        <x:v>APB-0795</x:v>
      </x:c>
      <x:c r="B800" s="2" t="str">
        <x:v>Bestandskunde 0795</x:v>
      </x:c>
      <x:c r="C800" s="2" t="str">
        <x:v>Nur Verkäuferexport</x:v>
      </x:c>
      <x:c r="D800" s="9" t="n">
        <x:v>18915</x:v>
      </x:c>
      <x:c r="E800" s="9" t="n">
        <x:v>19.5</x:v>
      </x:c>
      <x:c r="F800" s="9" t="n">
        <x:v>0</x:v>
      </x:c>
      <x:c r="G800" s="11" t="n">
        <x:f>SUM(D800:F800)</x:f>
        <x:v>18934.5</x:v>
      </x:c>
      <x:c r="H800" s="10" t="n">
        <x:v>0.92</x:v>
      </x:c>
      <x:c r="I800" s="11" t="n">
        <x:f>IF(ISNUMBER(H800),ROUND(D800*H800,2),NA())</x:f>
        <x:v>17401.8</x:v>
      </x:c>
      <x:c r="J800" s="2" t="str">
        <x:v>Regelbestand laut Verkäufer</x:v>
      </x:c>
      <x:c r="K800" s="2" t="str">
        <x:v>Export KREDIT-ERF-20260930, Einzelbelege nicht im Datenraum</x:v>
      </x:c>
    </x:row>
    <x:row r="801" ht="22" customHeight="1">
      <x:c r="A801" s="2" t="str">
        <x:v>APB-0796</x:v>
      </x:c>
      <x:c r="B801" s="2" t="str">
        <x:v>Bestandskunde 0796</x:v>
      </x:c>
      <x:c r="C801" s="2" t="str">
        <x:v>Nur Verkäuferexport</x:v>
      </x:c>
      <x:c r="D801" s="9" t="n">
        <x:v>19052</x:v>
      </x:c>
      <x:c r="E801" s="9" t="n">
        <x:v>26</x:v>
      </x:c>
      <x:c r="F801" s="9" t="n">
        <x:v>0</x:v>
      </x:c>
      <x:c r="G801" s="11" t="n">
        <x:f>SUM(D801:F801)</x:f>
        <x:v>19078</x:v>
      </x:c>
      <x:c r="H801" s="10" t="n">
        <x:v>0.92</x:v>
      </x:c>
      <x:c r="I801" s="11" t="n">
        <x:f>IF(ISNUMBER(H801),ROUND(D801*H801,2),NA())</x:f>
        <x:v>17527.84</x:v>
      </x:c>
      <x:c r="J801" s="2" t="str">
        <x:v>Regelbestand laut Verkäufer</x:v>
      </x:c>
      <x:c r="K801" s="2" t="str">
        <x:v>Export KREDIT-ERF-20260930, Einzelbelege nicht im Datenraum</x:v>
      </x:c>
    </x:row>
    <x:row r="802" ht="22" customHeight="1">
      <x:c r="A802" s="2" t="str">
        <x:v>APB-0797</x:v>
      </x:c>
      <x:c r="B802" s="2" t="str">
        <x:v>Bestandskunde 0797</x:v>
      </x:c>
      <x:c r="C802" s="2" t="str">
        <x:v>Nur Verkäuferexport</x:v>
      </x:c>
      <x:c r="D802" s="9" t="n">
        <x:v>19189</x:v>
      </x:c>
      <x:c r="E802" s="9" t="n">
        <x:v>32.5</x:v>
      </x:c>
      <x:c r="F802" s="9" t="n">
        <x:v>0</x:v>
      </x:c>
      <x:c r="G802" s="11" t="n">
        <x:f>SUM(D802:F802)</x:f>
        <x:v>19221.5</x:v>
      </x:c>
      <x:c r="H802" s="10" t="n">
        <x:v>0.92</x:v>
      </x:c>
      <x:c r="I802" s="11" t="n">
        <x:f>IF(ISNUMBER(H802),ROUND(D802*H802,2),NA())</x:f>
        <x:v>17653.88</x:v>
      </x:c>
      <x:c r="J802" s="2" t="str">
        <x:v>Regelbestand laut Verkäufer</x:v>
      </x:c>
      <x:c r="K802" s="2" t="str">
        <x:v>Export KREDIT-ERF-20260930, Einzelbelege nicht im Datenraum</x:v>
      </x:c>
    </x:row>
    <x:row r="803" ht="22" customHeight="1">
      <x:c r="A803" s="2" t="str">
        <x:v>APB-0798</x:v>
      </x:c>
      <x:c r="B803" s="2" t="str">
        <x:v>Bestandskunde 0798</x:v>
      </x:c>
      <x:c r="C803" s="2" t="str">
        <x:v>Nur Verkäuferexport</x:v>
      </x:c>
      <x:c r="D803" s="9" t="n">
        <x:v>19326</x:v>
      </x:c>
      <x:c r="E803" s="9" t="n">
        <x:v>39</x:v>
      </x:c>
      <x:c r="F803" s="9" t="n">
        <x:v>0</x:v>
      </x:c>
      <x:c r="G803" s="11" t="n">
        <x:f>SUM(D803:F803)</x:f>
        <x:v>19365</x:v>
      </x:c>
      <x:c r="H803" s="10" t="n">
        <x:v>0.92</x:v>
      </x:c>
      <x:c r="I803" s="11" t="n">
        <x:f>IF(ISNUMBER(H803),ROUND(D803*H803,2),NA())</x:f>
        <x:v>17779.92</x:v>
      </x:c>
      <x:c r="J803" s="2" t="str">
        <x:v>Regelbestand laut Verkäufer</x:v>
      </x:c>
      <x:c r="K803" s="2" t="str">
        <x:v>Export KREDIT-ERF-20260930, Einzelbelege nicht im Datenraum</x:v>
      </x:c>
    </x:row>
    <x:row r="804" ht="22" customHeight="1">
      <x:c r="A804" s="2" t="str">
        <x:v>APB-0799</x:v>
      </x:c>
      <x:c r="B804" s="2" t="str">
        <x:v>Bestandskunde 0799</x:v>
      </x:c>
      <x:c r="C804" s="2" t="str">
        <x:v>Nur Verkäuferexport</x:v>
      </x:c>
      <x:c r="D804" s="9" t="n">
        <x:v>19463</x:v>
      </x:c>
      <x:c r="E804" s="9" t="n">
        <x:v>45.5</x:v>
      </x:c>
      <x:c r="F804" s="9" t="n">
        <x:v>0</x:v>
      </x:c>
      <x:c r="G804" s="11" t="n">
        <x:f>SUM(D804:F804)</x:f>
        <x:v>19508.5</x:v>
      </x:c>
      <x:c r="H804" s="10" t="n">
        <x:v>0.92</x:v>
      </x:c>
      <x:c r="I804" s="11" t="n">
        <x:f>IF(ISNUMBER(H804),ROUND(D804*H804,2),NA())</x:f>
        <x:v>17905.96</x:v>
      </x:c>
      <x:c r="J804" s="2" t="str">
        <x:v>Regelbestand laut Verkäufer</x:v>
      </x:c>
      <x:c r="K804" s="2" t="str">
        <x:v>Export KREDIT-ERF-20260930, Einzelbelege nicht im Datenraum</x:v>
      </x:c>
    </x:row>
    <x:row r="805" ht="22" customHeight="1">
      <x:c r="A805" s="2" t="str">
        <x:v>APB-0800</x:v>
      </x:c>
      <x:c r="B805" s="2" t="str">
        <x:v>Bestandskunde 0800</x:v>
      </x:c>
      <x:c r="C805" s="2" t="str">
        <x:v>Nur Verkäuferexport</x:v>
      </x:c>
      <x:c r="D805" s="9" t="n">
        <x:v>19600</x:v>
      </x:c>
      <x:c r="E805" s="9" t="n">
        <x:v>52</x:v>
      </x:c>
      <x:c r="F805" s="9" t="n">
        <x:v>0</x:v>
      </x:c>
      <x:c r="G805" s="11" t="n">
        <x:f>SUM(D805:F805)</x:f>
        <x:v>19652</x:v>
      </x:c>
      <x:c r="H805" s="10" t="n">
        <x:v>0.92</x:v>
      </x:c>
      <x:c r="I805" s="11" t="n">
        <x:f>IF(ISNUMBER(H805),ROUND(D805*H805,2),NA())</x:f>
        <x:v>18032</x:v>
      </x:c>
      <x:c r="J805" s="2" t="str">
        <x:v>Regelbestand laut Verkäufer</x:v>
      </x:c>
      <x:c r="K805" s="2" t="str">
        <x:v>Export KREDIT-ERF-20260930, Einzelbelege nicht im Datenraum</x:v>
      </x:c>
    </x:row>
    <x:row r="806" ht="22" customHeight="1">
      <x:c r="A806" s="2" t="str">
        <x:v>APB-0801</x:v>
      </x:c>
      <x:c r="B806" s="2" t="str">
        <x:v>Bestandskunde 0801</x:v>
      </x:c>
      <x:c r="C806" s="2" t="str">
        <x:v>Nur Verkäuferexport</x:v>
      </x:c>
      <x:c r="D806" s="9" t="n">
        <x:v>19737</x:v>
      </x:c>
      <x:c r="E806" s="9" t="n">
        <x:v>0</x:v>
      </x:c>
      <x:c r="F806" s="9" t="n">
        <x:v>0</x:v>
      </x:c>
      <x:c r="G806" s="11" t="n">
        <x:f>SUM(D806:F806)</x:f>
        <x:v>19737</x:v>
      </x:c>
      <x:c r="H806" s="10" t="n">
        <x:v>0.92</x:v>
      </x:c>
      <x:c r="I806" s="11" t="n">
        <x:f>IF(ISNUMBER(H806),ROUND(D806*H806,2),NA())</x:f>
        <x:v>18158.04</x:v>
      </x:c>
      <x:c r="J806" s="2" t="str">
        <x:v>Regelbestand laut Verkäufer</x:v>
      </x:c>
      <x:c r="K806" s="2" t="str">
        <x:v>Export KREDIT-ERF-20260930, Einzelbelege nicht im Datenraum</x:v>
      </x:c>
    </x:row>
    <x:row r="807" ht="22" customHeight="1">
      <x:c r="A807" s="2" t="str">
        <x:v>APB-0802</x:v>
      </x:c>
      <x:c r="B807" s="2" t="str">
        <x:v>Bestandskunde 0802</x:v>
      </x:c>
      <x:c r="C807" s="2" t="str">
        <x:v>Nur Verkäuferexport</x:v>
      </x:c>
      <x:c r="D807" s="9" t="n">
        <x:v>19874</x:v>
      </x:c>
      <x:c r="E807" s="9" t="n">
        <x:v>6.5</x:v>
      </x:c>
      <x:c r="F807" s="9" t="n">
        <x:v>0</x:v>
      </x:c>
      <x:c r="G807" s="11" t="n">
        <x:f>SUM(D807:F807)</x:f>
        <x:v>19880.5</x:v>
      </x:c>
      <x:c r="H807" s="10" t="n">
        <x:v>0.92</x:v>
      </x:c>
      <x:c r="I807" s="11" t="n">
        <x:f>IF(ISNUMBER(H807),ROUND(D807*H807,2),NA())</x:f>
        <x:v>18284.08</x:v>
      </x:c>
      <x:c r="J807" s="2" t="str">
        <x:v>Regelbestand laut Verkäufer</x:v>
      </x:c>
      <x:c r="K807" s="2" t="str">
        <x:v>Export KREDIT-ERF-20260930, Einzelbelege nicht im Datenraum</x:v>
      </x:c>
    </x:row>
    <x:row r="808" ht="22" customHeight="1">
      <x:c r="A808" s="2" t="str">
        <x:v>APB-0803</x:v>
      </x:c>
      <x:c r="B808" s="2" t="str">
        <x:v>Bestandskunde 0803</x:v>
      </x:c>
      <x:c r="C808" s="2" t="str">
        <x:v>Nur Verkäuferexport</x:v>
      </x:c>
      <x:c r="D808" s="9" t="n">
        <x:v>20011</x:v>
      </x:c>
      <x:c r="E808" s="9" t="n">
        <x:v>13</x:v>
      </x:c>
      <x:c r="F808" s="9" t="n">
        <x:v>0</x:v>
      </x:c>
      <x:c r="G808" s="11" t="n">
        <x:f>SUM(D808:F808)</x:f>
        <x:v>20024</x:v>
      </x:c>
      <x:c r="H808" s="10" t="n">
        <x:v>0.92</x:v>
      </x:c>
      <x:c r="I808" s="11" t="n">
        <x:f>IF(ISNUMBER(H808),ROUND(D808*H808,2),NA())</x:f>
        <x:v>18410.12</x:v>
      </x:c>
      <x:c r="J808" s="2" t="str">
        <x:v>Regelbestand laut Verkäufer</x:v>
      </x:c>
      <x:c r="K808" s="2" t="str">
        <x:v>Export KREDIT-ERF-20260930, Einzelbelege nicht im Datenraum</x:v>
      </x:c>
    </x:row>
    <x:row r="809" ht="22" customHeight="1">
      <x:c r="A809" s="2" t="str">
        <x:v>APB-0804</x:v>
      </x:c>
      <x:c r="B809" s="2" t="str">
        <x:v>Bestandskunde 0804</x:v>
      </x:c>
      <x:c r="C809" s="2" t="str">
        <x:v>Nur Verkäuferexport</x:v>
      </x:c>
      <x:c r="D809" s="9" t="n">
        <x:v>20148</x:v>
      </x:c>
      <x:c r="E809" s="9" t="n">
        <x:v>19.5</x:v>
      </x:c>
      <x:c r="F809" s="9" t="n">
        <x:v>0</x:v>
      </x:c>
      <x:c r="G809" s="11" t="n">
        <x:f>SUM(D809:F809)</x:f>
        <x:v>20167.5</x:v>
      </x:c>
      <x:c r="H809" s="10" t="n">
        <x:v>0.92</x:v>
      </x:c>
      <x:c r="I809" s="11" t="n">
        <x:f>IF(ISNUMBER(H809),ROUND(D809*H809,2),NA())</x:f>
        <x:v>18536.16</x:v>
      </x:c>
      <x:c r="J809" s="2" t="str">
        <x:v>Regelbestand laut Verkäufer</x:v>
      </x:c>
      <x:c r="K809" s="2" t="str">
        <x:v>Export KREDIT-ERF-20260930, Einzelbelege nicht im Datenraum</x:v>
      </x:c>
    </x:row>
    <x:row r="810" ht="22" customHeight="1">
      <x:c r="A810" s="2" t="str">
        <x:v>APB-0805</x:v>
      </x:c>
      <x:c r="B810" s="2" t="str">
        <x:v>Bestandskunde 0805</x:v>
      </x:c>
      <x:c r="C810" s="2" t="str">
        <x:v>Nur Verkäuferexport</x:v>
      </x:c>
      <x:c r="D810" s="9" t="n">
        <x:v>20285</x:v>
      </x:c>
      <x:c r="E810" s="9" t="n">
        <x:v>26</x:v>
      </x:c>
      <x:c r="F810" s="9" t="n">
        <x:v>0</x:v>
      </x:c>
      <x:c r="G810" s="11" t="n">
        <x:f>SUM(D810:F810)</x:f>
        <x:v>20311</x:v>
      </x:c>
      <x:c r="H810" s="10" t="n">
        <x:v>0.92</x:v>
      </x:c>
      <x:c r="I810" s="11" t="n">
        <x:f>IF(ISNUMBER(H810),ROUND(D810*H810,2),NA())</x:f>
        <x:v>18662.2</x:v>
      </x:c>
      <x:c r="J810" s="2" t="str">
        <x:v>Regelbestand laut Verkäufer</x:v>
      </x:c>
      <x:c r="K810" s="2" t="str">
        <x:v>Export KREDIT-ERF-20260930, Einzelbelege nicht im Datenraum</x:v>
      </x:c>
    </x:row>
    <x:row r="811" ht="22" customHeight="1">
      <x:c r="A811" s="2" t="str">
        <x:v>APB-0806</x:v>
      </x:c>
      <x:c r="B811" s="2" t="str">
        <x:v>Bestandskunde 0806</x:v>
      </x:c>
      <x:c r="C811" s="2" t="str">
        <x:v>Nur Verkäuferexport</x:v>
      </x:c>
      <x:c r="D811" s="9" t="n">
        <x:v>20422</x:v>
      </x:c>
      <x:c r="E811" s="9" t="n">
        <x:v>32.5</x:v>
      </x:c>
      <x:c r="F811" s="9" t="n">
        <x:v>0</x:v>
      </x:c>
      <x:c r="G811" s="11" t="n">
        <x:f>SUM(D811:F811)</x:f>
        <x:v>20454.5</x:v>
      </x:c>
      <x:c r="H811" s="10" t="n">
        <x:v>0.92</x:v>
      </x:c>
      <x:c r="I811" s="11" t="n">
        <x:f>IF(ISNUMBER(H811),ROUND(D811*H811,2),NA())</x:f>
        <x:v>18788.24</x:v>
      </x:c>
      <x:c r="J811" s="2" t="str">
        <x:v>Regelbestand laut Verkäufer</x:v>
      </x:c>
      <x:c r="K811" s="2" t="str">
        <x:v>Export KREDIT-ERF-20260930, Einzelbelege nicht im Datenraum</x:v>
      </x:c>
    </x:row>
    <x:row r="812" ht="22" customHeight="1">
      <x:c r="A812" s="2" t="str">
        <x:v>APB-0807</x:v>
      </x:c>
      <x:c r="B812" s="2" t="str">
        <x:v>Bestandskunde 0807</x:v>
      </x:c>
      <x:c r="C812" s="2" t="str">
        <x:v>Nur Verkäuferexport</x:v>
      </x:c>
      <x:c r="D812" s="9" t="n">
        <x:v>20559</x:v>
      </x:c>
      <x:c r="E812" s="9" t="n">
        <x:v>39</x:v>
      </x:c>
      <x:c r="F812" s="9" t="n">
        <x:v>0</x:v>
      </x:c>
      <x:c r="G812" s="11" t="n">
        <x:f>SUM(D812:F812)</x:f>
        <x:v>20598</x:v>
      </x:c>
      <x:c r="H812" s="10" t="n">
        <x:v>0.92</x:v>
      </x:c>
      <x:c r="I812" s="11" t="n">
        <x:f>IF(ISNUMBER(H812),ROUND(D812*H812,2),NA())</x:f>
        <x:v>18914.28</x:v>
      </x:c>
      <x:c r="J812" s="2" t="str">
        <x:v>Regelbestand laut Verkäufer</x:v>
      </x:c>
      <x:c r="K812" s="2" t="str">
        <x:v>Export KREDIT-ERF-20260930, Einzelbelege nicht im Datenraum</x:v>
      </x:c>
    </x:row>
    <x:row r="813" ht="22" customHeight="1">
      <x:c r="A813" s="2" t="str">
        <x:v>APB-0808</x:v>
      </x:c>
      <x:c r="B813" s="2" t="str">
        <x:v>Bestandskunde 0808</x:v>
      </x:c>
      <x:c r="C813" s="2" t="str">
        <x:v>Nur Verkäuferexport</x:v>
      </x:c>
      <x:c r="D813" s="9" t="n">
        <x:v>20696</x:v>
      </x:c>
      <x:c r="E813" s="9" t="n">
        <x:v>45.5</x:v>
      </x:c>
      <x:c r="F813" s="9" t="n">
        <x:v>0</x:v>
      </x:c>
      <x:c r="G813" s="11" t="n">
        <x:f>SUM(D813:F813)</x:f>
        <x:v>20741.5</x:v>
      </x:c>
      <x:c r="H813" s="10" t="n">
        <x:v>0.92</x:v>
      </x:c>
      <x:c r="I813" s="11" t="n">
        <x:f>IF(ISNUMBER(H813),ROUND(D813*H813,2),NA())</x:f>
        <x:v>19040.32</x:v>
      </x:c>
      <x:c r="J813" s="2" t="str">
        <x:v>Regelbestand laut Verkäufer</x:v>
      </x:c>
      <x:c r="K813" s="2" t="str">
        <x:v>Export KREDIT-ERF-20260930, Einzelbelege nicht im Datenraum</x:v>
      </x:c>
    </x:row>
    <x:row r="814" ht="22" customHeight="1">
      <x:c r="A814" s="2" t="str">
        <x:v>APB-0809</x:v>
      </x:c>
      <x:c r="B814" s="2" t="str">
        <x:v>Bestandskunde 0809</x:v>
      </x:c>
      <x:c r="C814" s="2" t="str">
        <x:v>Nur Verkäuferexport</x:v>
      </x:c>
      <x:c r="D814" s="9" t="n">
        <x:v>20833</x:v>
      </x:c>
      <x:c r="E814" s="9" t="n">
        <x:v>52</x:v>
      </x:c>
      <x:c r="F814" s="9" t="n">
        <x:v>0</x:v>
      </x:c>
      <x:c r="G814" s="11" t="n">
        <x:f>SUM(D814:F814)</x:f>
        <x:v>20885</x:v>
      </x:c>
      <x:c r="H814" s="10" t="n">
        <x:v>0.92</x:v>
      </x:c>
      <x:c r="I814" s="11" t="n">
        <x:f>IF(ISNUMBER(H814),ROUND(D814*H814,2),NA())</x:f>
        <x:v>19166.36</x:v>
      </x:c>
      <x:c r="J814" s="2" t="str">
        <x:v>Regelbestand laut Verkäufer</x:v>
      </x:c>
      <x:c r="K814" s="2" t="str">
        <x:v>Export KREDIT-ERF-20260930, Einzelbelege nicht im Datenraum</x:v>
      </x:c>
    </x:row>
    <x:row r="815" ht="22" customHeight="1">
      <x:c r="A815" s="2" t="str">
        <x:v>APB-0810</x:v>
      </x:c>
      <x:c r="B815" s="2" t="str">
        <x:v>Bestandskunde 0810</x:v>
      </x:c>
      <x:c r="C815" s="2" t="str">
        <x:v>Nur Verkäuferexport</x:v>
      </x:c>
      <x:c r="D815" s="9" t="n">
        <x:v>20970</x:v>
      </x:c>
      <x:c r="E815" s="9" t="n">
        <x:v>0</x:v>
      </x:c>
      <x:c r="F815" s="9" t="n">
        <x:v>0</x:v>
      </x:c>
      <x:c r="G815" s="11" t="n">
        <x:f>SUM(D815:F815)</x:f>
        <x:v>20970</x:v>
      </x:c>
      <x:c r="H815" s="10" t="n">
        <x:v>0.92</x:v>
      </x:c>
      <x:c r="I815" s="11" t="n">
        <x:f>IF(ISNUMBER(H815),ROUND(D815*H815,2),NA())</x:f>
        <x:v>19292.4</x:v>
      </x:c>
      <x:c r="J815" s="2" t="str">
        <x:v>Regelbestand laut Verkäufer</x:v>
      </x:c>
      <x:c r="K815" s="2" t="str">
        <x:v>Export KREDIT-ERF-20260930, Einzelbelege nicht im Datenraum</x:v>
      </x:c>
    </x:row>
    <x:row r="816" ht="22" customHeight="1">
      <x:c r="A816" s="2" t="str">
        <x:v>APB-0811</x:v>
      </x:c>
      <x:c r="B816" s="2" t="str">
        <x:v>Bestandskunde 0811</x:v>
      </x:c>
      <x:c r="C816" s="2" t="str">
        <x:v>Nur Verkäuferexport</x:v>
      </x:c>
      <x:c r="D816" s="9" t="n">
        <x:v>21107</x:v>
      </x:c>
      <x:c r="E816" s="9" t="n">
        <x:v>6.5</x:v>
      </x:c>
      <x:c r="F816" s="9" t="n">
        <x:v>0</x:v>
      </x:c>
      <x:c r="G816" s="11" t="n">
        <x:f>SUM(D816:F816)</x:f>
        <x:v>21113.5</x:v>
      </x:c>
      <x:c r="H816" s="10" t="n">
        <x:v>0.92</x:v>
      </x:c>
      <x:c r="I816" s="11" t="n">
        <x:f>IF(ISNUMBER(H816),ROUND(D816*H816,2),NA())</x:f>
        <x:v>19418.44</x:v>
      </x:c>
      <x:c r="J816" s="2" t="str">
        <x:v>Regelbestand laut Verkäufer</x:v>
      </x:c>
      <x:c r="K816" s="2" t="str">
        <x:v>Export KREDIT-ERF-20260930, Einzelbelege nicht im Datenraum</x:v>
      </x:c>
    </x:row>
    <x:row r="817" ht="22" customHeight="1">
      <x:c r="A817" s="2" t="str">
        <x:v>APB-0812</x:v>
      </x:c>
      <x:c r="B817" s="2" t="str">
        <x:v>Bestandskunde 0812</x:v>
      </x:c>
      <x:c r="C817" s="2" t="str">
        <x:v>Nur Verkäuferexport</x:v>
      </x:c>
      <x:c r="D817" s="9" t="n">
        <x:v>21244</x:v>
      </x:c>
      <x:c r="E817" s="9" t="n">
        <x:v>13</x:v>
      </x:c>
      <x:c r="F817" s="9" t="n">
        <x:v>15</x:v>
      </x:c>
      <x:c r="G817" s="11" t="n">
        <x:f>SUM(D817:F817)</x:f>
        <x:v>21272</x:v>
      </x:c>
      <x:c r="H817" s="10" t="n">
        <x:v>0.92</x:v>
      </x:c>
      <x:c r="I817" s="11" t="n">
        <x:f>IF(ISNUMBER(H817),ROUND(D817*H817,2),NA())</x:f>
        <x:v>19544.48</x:v>
      </x:c>
      <x:c r="J817" s="2" t="str">
        <x:v>Zahlungslücke im Export</x:v>
      </x:c>
      <x:c r="K817" s="2" t="str">
        <x:v>Export KREDIT-ERF-20260930, Einzelbelege nicht im Datenraum</x:v>
      </x:c>
    </x:row>
    <x:row r="818" ht="22" customHeight="1">
      <x:c r="A818" s="2" t="str">
        <x:v>APB-0813</x:v>
      </x:c>
      <x:c r="B818" s="2" t="str">
        <x:v>Bestandskunde 0813</x:v>
      </x:c>
      <x:c r="C818" s="2" t="str">
        <x:v>Nur Verkäuferexport</x:v>
      </x:c>
      <x:c r="D818" s="9" t="n">
        <x:v>21381</x:v>
      </x:c>
      <x:c r="E818" s="9" t="n">
        <x:v>19.5</x:v>
      </x:c>
      <x:c r="F818" s="9" t="n">
        <x:v>0</x:v>
      </x:c>
      <x:c r="G818" s="11" t="n">
        <x:f>SUM(D818:F818)</x:f>
        <x:v>21400.5</x:v>
      </x:c>
      <x:c r="H818" s="10" t="n">
        <x:v>0.92</x:v>
      </x:c>
      <x:c r="I818" s="11" t="n">
        <x:f>IF(ISNUMBER(H818),ROUND(D818*H818,2),NA())</x:f>
        <x:v>19670.52</x:v>
      </x:c>
      <x:c r="J818" s="2" t="str">
        <x:v>Regelbestand laut Verkäufer</x:v>
      </x:c>
      <x:c r="K818" s="2" t="str">
        <x:v>Export KREDIT-ERF-20260930, Einzelbelege nicht im Datenraum</x:v>
      </x:c>
    </x:row>
    <x:row r="819" ht="22" customHeight="1">
      <x:c r="A819" s="2" t="str">
        <x:v>APB-0814</x:v>
      </x:c>
      <x:c r="B819" s="2" t="str">
        <x:v>Bestandskunde 0814</x:v>
      </x:c>
      <x:c r="C819" s="2" t="str">
        <x:v>Nur Verkäuferexport</x:v>
      </x:c>
      <x:c r="D819" s="9" t="n">
        <x:v>21518</x:v>
      </x:c>
      <x:c r="E819" s="9" t="n">
        <x:v>26</x:v>
      </x:c>
      <x:c r="F819" s="9" t="n">
        <x:v>0</x:v>
      </x:c>
      <x:c r="G819" s="11" t="n">
        <x:f>SUM(D819:F819)</x:f>
        <x:v>21544</x:v>
      </x:c>
      <x:c r="H819" s="10" t="n">
        <x:v>0.92</x:v>
      </x:c>
      <x:c r="I819" s="11" t="n">
        <x:f>IF(ISNUMBER(H819),ROUND(D819*H819,2),NA())</x:f>
        <x:v>19796.56</x:v>
      </x:c>
      <x:c r="J819" s="2" t="str">
        <x:v>Regelbestand laut Verkäufer</x:v>
      </x:c>
      <x:c r="K819" s="2" t="str">
        <x:v>Export KREDIT-ERF-20260930, Einzelbelege nicht im Datenraum</x:v>
      </x:c>
    </x:row>
    <x:row r="820" ht="22" customHeight="1">
      <x:c r="A820" s="2" t="str">
        <x:v>APB-0815</x:v>
      </x:c>
      <x:c r="B820" s="2" t="str">
        <x:v>Bestandskunde 0815</x:v>
      </x:c>
      <x:c r="C820" s="2" t="str">
        <x:v>Nur Verkäuferexport</x:v>
      </x:c>
      <x:c r="D820" s="9" t="n">
        <x:v>21655</x:v>
      </x:c>
      <x:c r="E820" s="9" t="n">
        <x:v>32.5</x:v>
      </x:c>
      <x:c r="F820" s="9" t="n">
        <x:v>0</x:v>
      </x:c>
      <x:c r="G820" s="11" t="n">
        <x:f>SUM(D820:F820)</x:f>
        <x:v>21687.5</x:v>
      </x:c>
      <x:c r="H820" s="10" t="n">
        <x:v>0.92</x:v>
      </x:c>
      <x:c r="I820" s="11" t="n">
        <x:f>IF(ISNUMBER(H820),ROUND(D820*H820,2),NA())</x:f>
        <x:v>19922.6</x:v>
      </x:c>
      <x:c r="J820" s="2" t="str">
        <x:v>Regelbestand laut Verkäufer</x:v>
      </x:c>
      <x:c r="K820" s="2" t="str">
        <x:v>Export KREDIT-ERF-20260930, Einzelbelege nicht im Datenraum</x:v>
      </x:c>
    </x:row>
    <x:row r="821" ht="22" customHeight="1">
      <x:c r="A821" s="2" t="str">
        <x:v>APB-0816</x:v>
      </x:c>
      <x:c r="B821" s="2" t="str">
        <x:v>Bestandskunde 0816</x:v>
      </x:c>
      <x:c r="C821" s="2" t="str">
        <x:v>Nur Verkäuferexport</x:v>
      </x:c>
      <x:c r="D821" s="9" t="n">
        <x:v>21792</x:v>
      </x:c>
      <x:c r="E821" s="9" t="n">
        <x:v>39</x:v>
      </x:c>
      <x:c r="F821" s="9" t="n">
        <x:v>0</x:v>
      </x:c>
      <x:c r="G821" s="11" t="n">
        <x:f>SUM(D821:F821)</x:f>
        <x:v>21831</x:v>
      </x:c>
      <x:c r="H821" s="10" t="n">
        <x:v>0.92</x:v>
      </x:c>
      <x:c r="I821" s="11" t="n">
        <x:f>IF(ISNUMBER(H821),ROUND(D821*H821,2),NA())</x:f>
        <x:v>20048.64</x:v>
      </x:c>
      <x:c r="J821" s="2" t="str">
        <x:v>Regelbestand laut Verkäufer</x:v>
      </x:c>
      <x:c r="K821" s="2" t="str">
        <x:v>Export KREDIT-ERF-20260930, Einzelbelege nicht im Datenraum</x:v>
      </x:c>
    </x:row>
    <x:row r="822" ht="22" customHeight="1">
      <x:c r="A822" s="2" t="str">
        <x:v>APB-0817</x:v>
      </x:c>
      <x:c r="B822" s="2" t="str">
        <x:v>Bestandskunde 0817</x:v>
      </x:c>
      <x:c r="C822" s="2" t="str">
        <x:v>Nur Verkäuferexport</x:v>
      </x:c>
      <x:c r="D822" s="9" t="n">
        <x:v>21929</x:v>
      </x:c>
      <x:c r="E822" s="9" t="n">
        <x:v>45.5</x:v>
      </x:c>
      <x:c r="F822" s="9" t="n">
        <x:v>0</x:v>
      </x:c>
      <x:c r="G822" s="11" t="n">
        <x:f>SUM(D822:F822)</x:f>
        <x:v>21974.5</x:v>
      </x:c>
      <x:c r="H822" s="10" t="n">
        <x:v>0.92</x:v>
      </x:c>
      <x:c r="I822" s="11" t="n">
        <x:f>IF(ISNUMBER(H822),ROUND(D822*H822,2),NA())</x:f>
        <x:v>20174.68</x:v>
      </x:c>
      <x:c r="J822" s="2" t="str">
        <x:v>Regelbestand laut Verkäufer</x:v>
      </x:c>
      <x:c r="K822" s="2" t="str">
        <x:v>Export KREDIT-ERF-20260930, Einzelbelege nicht im Datenraum</x:v>
      </x:c>
    </x:row>
    <x:row r="823" ht="22" customHeight="1">
      <x:c r="A823" s="2" t="str">
        <x:v>APB-0818</x:v>
      </x:c>
      <x:c r="B823" s="2" t="str">
        <x:v>Bestandskunde 0818</x:v>
      </x:c>
      <x:c r="C823" s="2" t="str">
        <x:v>Nur Verkäuferexport</x:v>
      </x:c>
      <x:c r="D823" s="9" t="n">
        <x:v>22066</x:v>
      </x:c>
      <x:c r="E823" s="9" t="n">
        <x:v>52</x:v>
      </x:c>
      <x:c r="F823" s="9" t="n">
        <x:v>0</x:v>
      </x:c>
      <x:c r="G823" s="11" t="n">
        <x:f>SUM(D823:F823)</x:f>
        <x:v>22118</x:v>
      </x:c>
      <x:c r="H823" s="10" t="n">
        <x:v>0.92</x:v>
      </x:c>
      <x:c r="I823" s="11" t="n">
        <x:f>IF(ISNUMBER(H823),ROUND(D823*H823,2),NA())</x:f>
        <x:v>20300.72</x:v>
      </x:c>
      <x:c r="J823" s="2" t="str">
        <x:v>Regelbestand laut Verkäufer</x:v>
      </x:c>
      <x:c r="K823" s="2" t="str">
        <x:v>Export KREDIT-ERF-20260930, Einzelbelege nicht im Datenraum</x:v>
      </x:c>
    </x:row>
    <x:row r="824" ht="22" customHeight="1">
      <x:c r="A824" s="2" t="str">
        <x:v>APB-0819</x:v>
      </x:c>
      <x:c r="B824" s="2" t="str">
        <x:v>Bestandskunde 0819</x:v>
      </x:c>
      <x:c r="C824" s="2" t="str">
        <x:v>Nur Verkäuferexport</x:v>
      </x:c>
      <x:c r="D824" s="9" t="n">
        <x:v>22203</x:v>
      </x:c>
      <x:c r="E824" s="9" t="n">
        <x:v>0</x:v>
      </x:c>
      <x:c r="F824" s="9" t="n">
        <x:v>0</x:v>
      </x:c>
      <x:c r="G824" s="11" t="n">
        <x:f>SUM(D824:F824)</x:f>
        <x:v>22203</x:v>
      </x:c>
      <x:c r="H824" s="10" t="n">
        <x:v>0.92</x:v>
      </x:c>
      <x:c r="I824" s="11" t="n">
        <x:f>IF(ISNUMBER(H824),ROUND(D824*H824,2),NA())</x:f>
        <x:v>20426.76</x:v>
      </x:c>
      <x:c r="J824" s="2" t="str">
        <x:v>Regelbestand laut Verkäufer</x:v>
      </x:c>
      <x:c r="K824" s="2" t="str">
        <x:v>Export KREDIT-ERF-20260930, Einzelbelege nicht im Datenraum</x:v>
      </x:c>
    </x:row>
    <x:row r="825" ht="22" customHeight="1">
      <x:c r="A825" s="2" t="str">
        <x:v>APB-0820</x:v>
      </x:c>
      <x:c r="B825" s="2" t="str">
        <x:v>Bestandskunde 0820</x:v>
      </x:c>
      <x:c r="C825" s="2" t="str">
        <x:v>Nur Verkäuferexport</x:v>
      </x:c>
      <x:c r="D825" s="9" t="n">
        <x:v>22340</x:v>
      </x:c>
      <x:c r="E825" s="9" t="n">
        <x:v>6.5</x:v>
      </x:c>
      <x:c r="F825" s="9" t="n">
        <x:v>0</x:v>
      </x:c>
      <x:c r="G825" s="11" t="n">
        <x:f>SUM(D825:F825)</x:f>
        <x:v>22346.5</x:v>
      </x:c>
      <x:c r="H825" s="10" t="n">
        <x:v>0.92</x:v>
      </x:c>
      <x:c r="I825" s="11" t="n">
        <x:f>IF(ISNUMBER(H825),ROUND(D825*H825,2),NA())</x:f>
        <x:v>20552.8</x:v>
      </x:c>
      <x:c r="J825" s="2" t="str">
        <x:v>Regelbestand laut Verkäufer</x:v>
      </x:c>
      <x:c r="K825" s="2" t="str">
        <x:v>Export KREDIT-ERF-20260930, Einzelbelege nicht im Datenraum</x:v>
      </x:c>
    </x:row>
    <x:row r="826" ht="22" customHeight="1">
      <x:c r="A826" s="2" t="str">
        <x:v>APB-0821</x:v>
      </x:c>
      <x:c r="B826" s="2" t="str">
        <x:v>Bestandskunde 0821</x:v>
      </x:c>
      <x:c r="C826" s="2" t="str">
        <x:v>Nur Verkäuferexport</x:v>
      </x:c>
      <x:c r="D826" s="9" t="n">
        <x:v>22477</x:v>
      </x:c>
      <x:c r="E826" s="9" t="n">
        <x:v>13</x:v>
      </x:c>
      <x:c r="F826" s="9" t="n">
        <x:v>0</x:v>
      </x:c>
      <x:c r="G826" s="11" t="n">
        <x:f>SUM(D826:F826)</x:f>
        <x:v>22490</x:v>
      </x:c>
      <x:c r="H826" s="10" t="n">
        <x:v>0.92</x:v>
      </x:c>
      <x:c r="I826" s="11" t="n">
        <x:f>IF(ISNUMBER(H826),ROUND(D826*H826,2),NA())</x:f>
        <x:v>20678.84</x:v>
      </x:c>
      <x:c r="J826" s="2" t="str">
        <x:v>Regelbestand laut Verkäufer</x:v>
      </x:c>
      <x:c r="K826" s="2" t="str">
        <x:v>Export KREDIT-ERF-20260930, Einzelbelege nicht im Datenraum</x:v>
      </x:c>
    </x:row>
    <x:row r="827" ht="22" customHeight="1">
      <x:c r="A827" s="2" t="str">
        <x:v>APB-0822</x:v>
      </x:c>
      <x:c r="B827" s="2" t="str">
        <x:v>Bestandskunde 0822</x:v>
      </x:c>
      <x:c r="C827" s="2" t="str">
        <x:v>Nur Verkäuferexport</x:v>
      </x:c>
      <x:c r="D827" s="9" t="n">
        <x:v>22614</x:v>
      </x:c>
      <x:c r="E827" s="9" t="n">
        <x:v>19.5</x:v>
      </x:c>
      <x:c r="F827" s="9" t="n">
        <x:v>0</x:v>
      </x:c>
      <x:c r="G827" s="11" t="n">
        <x:f>SUM(D827:F827)</x:f>
        <x:v>22633.5</x:v>
      </x:c>
      <x:c r="H827" s="10" t="n">
        <x:v>0.92</x:v>
      </x:c>
      <x:c r="I827" s="11" t="n">
        <x:f>IF(ISNUMBER(H827),ROUND(D827*H827,2),NA())</x:f>
        <x:v>20804.88</x:v>
      </x:c>
      <x:c r="J827" s="2" t="str">
        <x:v>Regelbestand laut Verkäufer</x:v>
      </x:c>
      <x:c r="K827" s="2" t="str">
        <x:v>Export KREDIT-ERF-20260930, Einzelbelege nicht im Datenraum</x:v>
      </x:c>
    </x:row>
    <x:row r="828" ht="22" customHeight="1">
      <x:c r="A828" s="2" t="str">
        <x:v>APB-0823</x:v>
      </x:c>
      <x:c r="B828" s="2" t="str">
        <x:v>Bestandskunde 0823</x:v>
      </x:c>
      <x:c r="C828" s="2" t="str">
        <x:v>Nur Verkäuferexport</x:v>
      </x:c>
      <x:c r="D828" s="9" t="n">
        <x:v>22751</x:v>
      </x:c>
      <x:c r="E828" s="9" t="n">
        <x:v>26</x:v>
      </x:c>
      <x:c r="F828" s="9" t="n">
        <x:v>0</x:v>
      </x:c>
      <x:c r="G828" s="11" t="n">
        <x:f>SUM(D828:F828)</x:f>
        <x:v>22777</x:v>
      </x:c>
      <x:c r="H828" s="10" t="n">
        <x:v>0.92</x:v>
      </x:c>
      <x:c r="I828" s="11" t="n">
        <x:f>IF(ISNUMBER(H828),ROUND(D828*H828,2),NA())</x:f>
        <x:v>20930.92</x:v>
      </x:c>
      <x:c r="J828" s="2" t="str">
        <x:v>Regelbestand laut Verkäufer</x:v>
      </x:c>
      <x:c r="K828" s="2" t="str">
        <x:v>Export KREDIT-ERF-20260930, Einzelbelege nicht im Datenraum</x:v>
      </x:c>
    </x:row>
    <x:row r="829" ht="22" customHeight="1">
      <x:c r="A829" s="2" t="str">
        <x:v>APB-0824</x:v>
      </x:c>
      <x:c r="B829" s="2" t="str">
        <x:v>Bestandskunde 0824</x:v>
      </x:c>
      <x:c r="C829" s="2" t="str">
        <x:v>Nur Verkäuferexport</x:v>
      </x:c>
      <x:c r="D829" s="9" t="n">
        <x:v>22888</x:v>
      </x:c>
      <x:c r="E829" s="9" t="n">
        <x:v>32.5</x:v>
      </x:c>
      <x:c r="F829" s="9" t="n">
        <x:v>0</x:v>
      </x:c>
      <x:c r="G829" s="11" t="n">
        <x:f>SUM(D829:F829)</x:f>
        <x:v>22920.5</x:v>
      </x:c>
      <x:c r="H829" s="10" t="n">
        <x:v>0.92</x:v>
      </x:c>
      <x:c r="I829" s="11" t="n">
        <x:f>IF(ISNUMBER(H829),ROUND(D829*H829,2),NA())</x:f>
        <x:v>21056.96</x:v>
      </x:c>
      <x:c r="J829" s="2" t="str">
        <x:v>Regelbestand laut Verkäufer</x:v>
      </x:c>
      <x:c r="K829" s="2" t="str">
        <x:v>Export KREDIT-ERF-20260930, Einzelbelege nicht im Datenraum</x:v>
      </x:c>
    </x:row>
    <x:row r="830" ht="22" customHeight="1">
      <x:c r="A830" s="2" t="str">
        <x:v>APB-0825</x:v>
      </x:c>
      <x:c r="B830" s="2" t="str">
        <x:v>Bestandskunde 0825</x:v>
      </x:c>
      <x:c r="C830" s="2" t="str">
        <x:v>Nur Verkäuferexport</x:v>
      </x:c>
      <x:c r="D830" s="9" t="n">
        <x:v>23025</x:v>
      </x:c>
      <x:c r="E830" s="9" t="n">
        <x:v>39</x:v>
      </x:c>
      <x:c r="F830" s="9" t="n">
        <x:v>0</x:v>
      </x:c>
      <x:c r="G830" s="11" t="n">
        <x:f>SUM(D830:F830)</x:f>
        <x:v>23064</x:v>
      </x:c>
      <x:c r="H830" s="10" t="n">
        <x:v>0.92</x:v>
      </x:c>
      <x:c r="I830" s="11" t="n">
        <x:f>IF(ISNUMBER(H830),ROUND(D830*H830,2),NA())</x:f>
        <x:v>21183</x:v>
      </x:c>
      <x:c r="J830" s="2" t="str">
        <x:v>Regelbestand laut Verkäufer</x:v>
      </x:c>
      <x:c r="K830" s="2" t="str">
        <x:v>Export KREDIT-ERF-20260930, Einzelbelege nicht im Datenraum</x:v>
      </x:c>
    </x:row>
    <x:row r="831" ht="22" customHeight="1">
      <x:c r="A831" s="2" t="str">
        <x:v>APB-0826</x:v>
      </x:c>
      <x:c r="B831" s="2" t="str">
        <x:v>Bestandskunde 0826</x:v>
      </x:c>
      <x:c r="C831" s="2" t="str">
        <x:v>Nur Verkäuferexport</x:v>
      </x:c>
      <x:c r="D831" s="9" t="n">
        <x:v>23162</x:v>
      </x:c>
      <x:c r="E831" s="9" t="n">
        <x:v>45.5</x:v>
      </x:c>
      <x:c r="F831" s="9" t="n">
        <x:v>0</x:v>
      </x:c>
      <x:c r="G831" s="11" t="n">
        <x:f>SUM(D831:F831)</x:f>
        <x:v>23207.5</x:v>
      </x:c>
      <x:c r="H831" s="10" t="n">
        <x:v>0.92</x:v>
      </x:c>
      <x:c r="I831" s="11" t="n">
        <x:f>IF(ISNUMBER(H831),ROUND(D831*H831,2),NA())</x:f>
        <x:v>21309.04</x:v>
      </x:c>
      <x:c r="J831" s="2" t="str">
        <x:v>Regelbestand laut Verkäufer</x:v>
      </x:c>
      <x:c r="K831" s="2" t="str">
        <x:v>Export KREDIT-ERF-20260930, Einzelbelege nicht im Datenraum</x:v>
      </x:c>
    </x:row>
    <x:row r="832" ht="22" customHeight="1">
      <x:c r="A832" s="2" t="str">
        <x:v>APB-0827</x:v>
      </x:c>
      <x:c r="B832" s="2" t="str">
        <x:v>Bestandskunde 0827</x:v>
      </x:c>
      <x:c r="C832" s="2" t="str">
        <x:v>Nur Verkäuferexport</x:v>
      </x:c>
      <x:c r="D832" s="9" t="n">
        <x:v>23299</x:v>
      </x:c>
      <x:c r="E832" s="9" t="n">
        <x:v>52</x:v>
      </x:c>
      <x:c r="F832" s="9" t="n">
        <x:v>0</x:v>
      </x:c>
      <x:c r="G832" s="11" t="n">
        <x:f>SUM(D832:F832)</x:f>
        <x:v>23351</x:v>
      </x:c>
      <x:c r="H832" s="10" t="n">
        <x:v>0.92</x:v>
      </x:c>
      <x:c r="I832" s="11" t="n">
        <x:f>IF(ISNUMBER(H832),ROUND(D832*H832,2),NA())</x:f>
        <x:v>21435.08</x:v>
      </x:c>
      <x:c r="J832" s="2" t="str">
        <x:v>Regelbestand laut Verkäufer</x:v>
      </x:c>
      <x:c r="K832" s="2" t="str">
        <x:v>Export KREDIT-ERF-20260930, Einzelbelege nicht im Datenraum</x:v>
      </x:c>
    </x:row>
    <x:row r="833" ht="22" customHeight="1">
      <x:c r="A833" s="2" t="str">
        <x:v>APB-0828</x:v>
      </x:c>
      <x:c r="B833" s="2" t="str">
        <x:v>Bestandskunde 0828</x:v>
      </x:c>
      <x:c r="C833" s="2" t="str">
        <x:v>Nur Verkäuferexport</x:v>
      </x:c>
      <x:c r="D833" s="9" t="n">
        <x:v>23436</x:v>
      </x:c>
      <x:c r="E833" s="9" t="n">
        <x:v>0</x:v>
      </x:c>
      <x:c r="F833" s="9" t="n">
        <x:v>0</x:v>
      </x:c>
      <x:c r="G833" s="11" t="n">
        <x:f>SUM(D833:F833)</x:f>
        <x:v>23436</x:v>
      </x:c>
      <x:c r="H833" s="10" t="n">
        <x:v>0.92</x:v>
      </x:c>
      <x:c r="I833" s="11" t="n">
        <x:f>IF(ISNUMBER(H833),ROUND(D833*H833,2),NA())</x:f>
        <x:v>21561.12</x:v>
      </x:c>
      <x:c r="J833" s="2" t="str">
        <x:v>Regelbestand laut Verkäufer</x:v>
      </x:c>
      <x:c r="K833" s="2" t="str">
        <x:v>Export KREDIT-ERF-20260930, Einzelbelege nicht im Datenraum</x:v>
      </x:c>
    </x:row>
    <x:row r="834" ht="22" customHeight="1">
      <x:c r="A834" s="2" t="str">
        <x:v>APB-0829</x:v>
      </x:c>
      <x:c r="B834" s="2" t="str">
        <x:v>Bestandskunde 0829</x:v>
      </x:c>
      <x:c r="C834" s="2" t="str">
        <x:v>Nur Verkäuferexport</x:v>
      </x:c>
      <x:c r="D834" s="9" t="n">
        <x:v>23573</x:v>
      </x:c>
      <x:c r="E834" s="9" t="n">
        <x:v>6.5</x:v>
      </x:c>
      <x:c r="F834" s="9" t="n">
        <x:v>0</x:v>
      </x:c>
      <x:c r="G834" s="11" t="n">
        <x:f>SUM(D834:F834)</x:f>
        <x:v>23579.5</x:v>
      </x:c>
      <x:c r="H834" s="10" t="n">
        <x:v>0.92</x:v>
      </x:c>
      <x:c r="I834" s="11" t="n">
        <x:f>IF(ISNUMBER(H834),ROUND(D834*H834,2),NA())</x:f>
        <x:v>21687.16</x:v>
      </x:c>
      <x:c r="J834" s="2" t="str">
        <x:v>Regelbestand laut Verkäufer</x:v>
      </x:c>
      <x:c r="K834" s="2" t="str">
        <x:v>Export KREDIT-ERF-20260930, Einzelbelege nicht im Datenraum</x:v>
      </x:c>
    </x:row>
    <x:row r="835" ht="22" customHeight="1">
      <x:c r="A835" s="2" t="str">
        <x:v>APB-0830</x:v>
      </x:c>
      <x:c r="B835" s="2" t="str">
        <x:v>Bestandskunde 0830</x:v>
      </x:c>
      <x:c r="C835" s="2" t="str">
        <x:v>Nur Verkäuferexport</x:v>
      </x:c>
      <x:c r="D835" s="9" t="n">
        <x:v>23710</x:v>
      </x:c>
      <x:c r="E835" s="9" t="n">
        <x:v>13</x:v>
      </x:c>
      <x:c r="F835" s="9" t="n">
        <x:v>0</x:v>
      </x:c>
      <x:c r="G835" s="11" t="n">
        <x:f>SUM(D835:F835)</x:f>
        <x:v>23723</x:v>
      </x:c>
      <x:c r="H835" s="10" t="n">
        <x:v>0.92</x:v>
      </x:c>
      <x:c r="I835" s="11" t="n">
        <x:f>IF(ISNUMBER(H835),ROUND(D835*H835,2),NA())</x:f>
        <x:v>21813.2</x:v>
      </x:c>
      <x:c r="J835" s="2" t="str">
        <x:v>Regelbestand laut Verkäufer</x:v>
      </x:c>
      <x:c r="K835" s="2" t="str">
        <x:v>Export KREDIT-ERF-20260930, Einzelbelege nicht im Datenraum</x:v>
      </x:c>
    </x:row>
    <x:row r="836" ht="22" customHeight="1">
      <x:c r="A836" s="2" t="str">
        <x:v>APB-0831</x:v>
      </x:c>
      <x:c r="B836" s="2" t="str">
        <x:v>Bestandskunde 0831</x:v>
      </x:c>
      <x:c r="C836" s="2" t="str">
        <x:v>Nur Verkäuferexport</x:v>
      </x:c>
      <x:c r="D836" s="9" t="n">
        <x:v>23847</x:v>
      </x:c>
      <x:c r="E836" s="9" t="n">
        <x:v>19.5</x:v>
      </x:c>
      <x:c r="F836" s="9" t="n">
        <x:v>0</x:v>
      </x:c>
      <x:c r="G836" s="11" t="n">
        <x:f>SUM(D836:F836)</x:f>
        <x:v>23866.5</x:v>
      </x:c>
      <x:c r="H836" s="10" t="n">
        <x:v>0.92</x:v>
      </x:c>
      <x:c r="I836" s="11" t="n">
        <x:f>IF(ISNUMBER(H836),ROUND(D836*H836,2),NA())</x:f>
        <x:v>21939.24</x:v>
      </x:c>
      <x:c r="J836" s="2" t="str">
        <x:v>Regelbestand laut Verkäufer</x:v>
      </x:c>
      <x:c r="K836" s="2" t="str">
        <x:v>Export KREDIT-ERF-20260930, Einzelbelege nicht im Datenraum</x:v>
      </x:c>
    </x:row>
    <x:row r="837" ht="22" customHeight="1">
      <x:c r="A837" s="2" t="str">
        <x:v>APB-0832</x:v>
      </x:c>
      <x:c r="B837" s="2" t="str">
        <x:v>Bestandskunde 0832</x:v>
      </x:c>
      <x:c r="C837" s="2" t="str">
        <x:v>Nur Verkäuferexport</x:v>
      </x:c>
      <x:c r="D837" s="9" t="n">
        <x:v>23984</x:v>
      </x:c>
      <x:c r="E837" s="9" t="n">
        <x:v>26</x:v>
      </x:c>
      <x:c r="F837" s="9" t="n">
        <x:v>0</x:v>
      </x:c>
      <x:c r="G837" s="11" t="n">
        <x:f>SUM(D837:F837)</x:f>
        <x:v>24010</x:v>
      </x:c>
      <x:c r="H837" s="10" t="n">
        <x:v>0.92</x:v>
      </x:c>
      <x:c r="I837" s="11" t="n">
        <x:f>IF(ISNUMBER(H837),ROUND(D837*H837,2),NA())</x:f>
        <x:v>22065.28</x:v>
      </x:c>
      <x:c r="J837" s="2" t="str">
        <x:v>Regelbestand laut Verkäufer</x:v>
      </x:c>
      <x:c r="K837" s="2" t="str">
        <x:v>Export KREDIT-ERF-20260930, Einzelbelege nicht im Datenraum</x:v>
      </x:c>
    </x:row>
    <x:row r="838" ht="22" customHeight="1">
      <x:c r="A838" s="2" t="str">
        <x:v>APB-0833</x:v>
      </x:c>
      <x:c r="B838" s="2" t="str">
        <x:v>Bestandskunde 0833</x:v>
      </x:c>
      <x:c r="C838" s="2" t="str">
        <x:v>Nur Verkäuferexport</x:v>
      </x:c>
      <x:c r="D838" s="9" t="n">
        <x:v>24121</x:v>
      </x:c>
      <x:c r="E838" s="9" t="n">
        <x:v>32.5</x:v>
      </x:c>
      <x:c r="F838" s="9" t="n">
        <x:v>0</x:v>
      </x:c>
      <x:c r="G838" s="11" t="n">
        <x:f>SUM(D838:F838)</x:f>
        <x:v>24153.5</x:v>
      </x:c>
      <x:c r="H838" s="10" t="n">
        <x:v>0.92</x:v>
      </x:c>
      <x:c r="I838" s="11" t="n">
        <x:f>IF(ISNUMBER(H838),ROUND(D838*H838,2),NA())</x:f>
        <x:v>22191.32</x:v>
      </x:c>
      <x:c r="J838" s="2" t="str">
        <x:v>Regelbestand laut Verkäufer</x:v>
      </x:c>
      <x:c r="K838" s="2" t="str">
        <x:v>Export KREDIT-ERF-20260930, Einzelbelege nicht im Datenraum</x:v>
      </x:c>
    </x:row>
    <x:row r="839" ht="22" customHeight="1">
      <x:c r="A839" s="2" t="str">
        <x:v>APB-0834</x:v>
      </x:c>
      <x:c r="B839" s="2" t="str">
        <x:v>Bestandskunde 0834</x:v>
      </x:c>
      <x:c r="C839" s="2" t="str">
        <x:v>Nur Verkäuferexport</x:v>
      </x:c>
      <x:c r="D839" s="9" t="n">
        <x:v>24258</x:v>
      </x:c>
      <x:c r="E839" s="9" t="n">
        <x:v>39</x:v>
      </x:c>
      <x:c r="F839" s="9" t="n">
        <x:v>0</x:v>
      </x:c>
      <x:c r="G839" s="11" t="n">
        <x:f>SUM(D839:F839)</x:f>
        <x:v>24297</x:v>
      </x:c>
      <x:c r="H839" s="10" t="n">
        <x:v>0.92</x:v>
      </x:c>
      <x:c r="I839" s="11" t="n">
        <x:f>IF(ISNUMBER(H839),ROUND(D839*H839,2),NA())</x:f>
        <x:v>22317.36</x:v>
      </x:c>
      <x:c r="J839" s="2" t="str">
        <x:v>Regelbestand laut Verkäufer</x:v>
      </x:c>
      <x:c r="K839" s="2" t="str">
        <x:v>Export KREDIT-ERF-20260930, Einzelbelege nicht im Datenraum</x:v>
      </x:c>
    </x:row>
    <x:row r="840" ht="22" customHeight="1">
      <x:c r="A840" s="2" t="str">
        <x:v>APB-0835</x:v>
      </x:c>
      <x:c r="B840" s="2" t="str">
        <x:v>Bestandskunde 0835</x:v>
      </x:c>
      <x:c r="C840" s="2" t="str">
        <x:v>Nur Verkäuferexport</x:v>
      </x:c>
      <x:c r="D840" s="9" t="n">
        <x:v>24395</x:v>
      </x:c>
      <x:c r="E840" s="9" t="n">
        <x:v>45.5</x:v>
      </x:c>
      <x:c r="F840" s="9" t="n">
        <x:v>0</x:v>
      </x:c>
      <x:c r="G840" s="11" t="n">
        <x:f>SUM(D840:F840)</x:f>
        <x:v>24440.5</x:v>
      </x:c>
      <x:c r="H840" s="10" t="n">
        <x:v>0.92</x:v>
      </x:c>
      <x:c r="I840" s="11" t="n">
        <x:f>IF(ISNUMBER(H840),ROUND(D840*H840,2),NA())</x:f>
        <x:v>22443.4</x:v>
      </x:c>
      <x:c r="J840" s="2" t="str">
        <x:v>Regelbestand laut Verkäufer</x:v>
      </x:c>
      <x:c r="K840" s="2" t="str">
        <x:v>Export KREDIT-ERF-20260930, Einzelbelege nicht im Datenraum</x:v>
      </x:c>
    </x:row>
    <x:row r="841" ht="22" customHeight="1">
      <x:c r="A841" s="2" t="str">
        <x:v>APB-0836</x:v>
      </x:c>
      <x:c r="B841" s="2" t="str">
        <x:v>Bestandskunde 0836</x:v>
      </x:c>
      <x:c r="C841" s="2" t="str">
        <x:v>Nur Verkäuferexport</x:v>
      </x:c>
      <x:c r="D841" s="9" t="n">
        <x:v>24532</x:v>
      </x:c>
      <x:c r="E841" s="9" t="n">
        <x:v>52</x:v>
      </x:c>
      <x:c r="F841" s="9" t="n">
        <x:v>0</x:v>
      </x:c>
      <x:c r="G841" s="11" t="n">
        <x:f>SUM(D841:F841)</x:f>
        <x:v>24584</x:v>
      </x:c>
      <x:c r="H841" s="10" t="n">
        <x:v>0.92</x:v>
      </x:c>
      <x:c r="I841" s="11" t="n">
        <x:f>IF(ISNUMBER(H841),ROUND(D841*H841,2),NA())</x:f>
        <x:v>22569.44</x:v>
      </x:c>
      <x:c r="J841" s="2" t="str">
        <x:v>Regelbestand laut Verkäufer</x:v>
      </x:c>
      <x:c r="K841" s="2" t="str">
        <x:v>Export KREDIT-ERF-20260930, Einzelbelege nicht im Datenraum</x:v>
      </x:c>
    </x:row>
    <x:row r="842" ht="22" customHeight="1">
      <x:c r="A842" s="2" t="str">
        <x:v>APB-0837</x:v>
      </x:c>
      <x:c r="B842" s="2" t="str">
        <x:v>Bestandskunde 0837</x:v>
      </x:c>
      <x:c r="C842" s="2" t="str">
        <x:v>Nur Verkäuferexport</x:v>
      </x:c>
      <x:c r="D842" s="9" t="n">
        <x:v>24669</x:v>
      </x:c>
      <x:c r="E842" s="9" t="n">
        <x:v>0</x:v>
      </x:c>
      <x:c r="F842" s="9" t="n">
        <x:v>0</x:v>
      </x:c>
      <x:c r="G842" s="11" t="n">
        <x:f>SUM(D842:F842)</x:f>
        <x:v>24669</x:v>
      </x:c>
      <x:c r="H842" s="10" t="n">
        <x:v>0.92</x:v>
      </x:c>
      <x:c r="I842" s="11" t="n">
        <x:f>IF(ISNUMBER(H842),ROUND(D842*H842,2),NA())</x:f>
        <x:v>22695.48</x:v>
      </x:c>
      <x:c r="J842" s="2" t="str">
        <x:v>Regelbestand laut Verkäufer</x:v>
      </x:c>
      <x:c r="K842" s="2" t="str">
        <x:v>Export KREDIT-ERF-20260930, Einzelbelege nicht im Datenraum</x:v>
      </x:c>
    </x:row>
    <x:row r="843" ht="22" customHeight="1">
      <x:c r="A843" s="2" t="str">
        <x:v>APB-0838</x:v>
      </x:c>
      <x:c r="B843" s="2" t="str">
        <x:v>Bestandskunde 0838</x:v>
      </x:c>
      <x:c r="C843" s="2" t="str">
        <x:v>Nur Verkäuferexport</x:v>
      </x:c>
      <x:c r="D843" s="9" t="n">
        <x:v>24806</x:v>
      </x:c>
      <x:c r="E843" s="9" t="n">
        <x:v>6.5</x:v>
      </x:c>
      <x:c r="F843" s="9" t="n">
        <x:v>0</x:v>
      </x:c>
      <x:c r="G843" s="11" t="n">
        <x:f>SUM(D843:F843)</x:f>
        <x:v>24812.5</x:v>
      </x:c>
      <x:c r="H843" s="10" t="n">
        <x:v>0.92</x:v>
      </x:c>
      <x:c r="I843" s="11" t="n">
        <x:f>IF(ISNUMBER(H843),ROUND(D843*H843,2),NA())</x:f>
        <x:v>22821.52</x:v>
      </x:c>
      <x:c r="J843" s="2" t="str">
        <x:v>Regelbestand laut Verkäufer</x:v>
      </x:c>
      <x:c r="K843" s="2" t="str">
        <x:v>Export KREDIT-ERF-20260930, Einzelbelege nicht im Datenraum</x:v>
      </x:c>
    </x:row>
    <x:row r="844" ht="22" customHeight="1">
      <x:c r="A844" s="2" t="str">
        <x:v>APB-0839</x:v>
      </x:c>
      <x:c r="B844" s="2" t="str">
        <x:v>Bestandskunde 0839</x:v>
      </x:c>
      <x:c r="C844" s="2" t="str">
        <x:v>Nur Verkäuferexport</x:v>
      </x:c>
      <x:c r="D844" s="9" t="n">
        <x:v>24943</x:v>
      </x:c>
      <x:c r="E844" s="9" t="n">
        <x:v>13</x:v>
      </x:c>
      <x:c r="F844" s="9" t="n">
        <x:v>0</x:v>
      </x:c>
      <x:c r="G844" s="11" t="n">
        <x:f>SUM(D844:F844)</x:f>
        <x:v>24956</x:v>
      </x:c>
      <x:c r="H844" s="10" t="n">
        <x:v>0.92</x:v>
      </x:c>
      <x:c r="I844" s="11" t="n">
        <x:f>IF(ISNUMBER(H844),ROUND(D844*H844,2),NA())</x:f>
        <x:v>22947.56</x:v>
      </x:c>
      <x:c r="J844" s="2" t="str">
        <x:v>Regelbestand laut Verkäufer</x:v>
      </x:c>
      <x:c r="K844" s="2" t="str">
        <x:v>Export KREDIT-ERF-20260930, Einzelbelege nicht im Datenraum</x:v>
      </x:c>
    </x:row>
    <x:row r="845" ht="22" customHeight="1">
      <x:c r="A845" s="2" t="str">
        <x:v>APB-0840</x:v>
      </x:c>
      <x:c r="B845" s="2" t="str">
        <x:v>Bestandskunde 0840</x:v>
      </x:c>
      <x:c r="C845" s="2" t="str">
        <x:v>Nur Verkäuferexport</x:v>
      </x:c>
      <x:c r="D845" s="9" t="n">
        <x:v>25080</x:v>
      </x:c>
      <x:c r="E845" s="9" t="n">
        <x:v>19.5</x:v>
      </x:c>
      <x:c r="F845" s="9" t="n">
        <x:v>0</x:v>
      </x:c>
      <x:c r="G845" s="11" t="n">
        <x:f>SUM(D845:F845)</x:f>
        <x:v>25099.5</x:v>
      </x:c>
      <x:c r="H845" s="10" t="n">
        <x:v>0.92</x:v>
      </x:c>
      <x:c r="I845" s="11" t="n">
        <x:f>IF(ISNUMBER(H845),ROUND(D845*H845,2),NA())</x:f>
        <x:v>23073.6</x:v>
      </x:c>
      <x:c r="J845" s="2" t="str">
        <x:v>Regelbestand laut Verkäufer</x:v>
      </x:c>
      <x:c r="K845" s="2" t="str">
        <x:v>Export KREDIT-ERF-20260930, Einzelbelege nicht im Datenraum</x:v>
      </x:c>
    </x:row>
    <x:row r="846" ht="22" customHeight="1">
      <x:c r="A846" s="2" t="str">
        <x:v>APB-0841</x:v>
      </x:c>
      <x:c r="B846" s="2" t="str">
        <x:v>Bestandskunde 0841</x:v>
      </x:c>
      <x:c r="C846" s="2" t="str">
        <x:v>Nur Verkäuferexport</x:v>
      </x:c>
      <x:c r="D846" s="9" t="n">
        <x:v>25217</x:v>
      </x:c>
      <x:c r="E846" s="9" t="n">
        <x:v>26</x:v>
      </x:c>
      <x:c r="F846" s="9" t="n">
        <x:v>15</x:v>
      </x:c>
      <x:c r="G846" s="11" t="n">
        <x:f>SUM(D846:F846)</x:f>
        <x:v>25258</x:v>
      </x:c>
      <x:c r="H846" s="10" t="n">
        <x:v>0.92</x:v>
      </x:c>
      <x:c r="I846" s="11" t="n">
        <x:f>IF(ISNUMBER(H846),ROUND(D846*H846,2),NA())</x:f>
        <x:v>23199.64</x:v>
      </x:c>
      <x:c r="J846" s="2" t="str">
        <x:v>Zahlungslücke im Export</x:v>
      </x:c>
      <x:c r="K846" s="2" t="str">
        <x:v>Export KREDIT-ERF-20260930, Einzelbelege nicht im Datenraum</x:v>
      </x:c>
    </x:row>
    <x:row r="847" ht="22" customHeight="1">
      <x:c r="A847" s="2" t="str">
        <x:v>APB-0842</x:v>
      </x:c>
      <x:c r="B847" s="2" t="str">
        <x:v>Bestandskunde 0842</x:v>
      </x:c>
      <x:c r="C847" s="2" t="str">
        <x:v>Nur Verkäuferexport</x:v>
      </x:c>
      <x:c r="D847" s="9" t="n">
        <x:v>25354</x:v>
      </x:c>
      <x:c r="E847" s="9" t="n">
        <x:v>32.5</x:v>
      </x:c>
      <x:c r="F847" s="9" t="n">
        <x:v>0</x:v>
      </x:c>
      <x:c r="G847" s="11" t="n">
        <x:f>SUM(D847:F847)</x:f>
        <x:v>25386.5</x:v>
      </x:c>
      <x:c r="H847" s="10" t="n">
        <x:v>0.92</x:v>
      </x:c>
      <x:c r="I847" s="11" t="n">
        <x:f>IF(ISNUMBER(H847),ROUND(D847*H847,2),NA())</x:f>
        <x:v>23325.68</x:v>
      </x:c>
      <x:c r="J847" s="2" t="str">
        <x:v>Regelbestand laut Verkäufer</x:v>
      </x:c>
      <x:c r="K847" s="2" t="str">
        <x:v>Export KREDIT-ERF-20260930, Einzelbelege nicht im Datenraum</x:v>
      </x:c>
    </x:row>
    <x:row r="848" ht="22" customHeight="1">
      <x:c r="A848" s="2" t="str">
        <x:v>APB-0843</x:v>
      </x:c>
      <x:c r="B848" s="2" t="str">
        <x:v>Bestandskunde 0843</x:v>
      </x:c>
      <x:c r="C848" s="2" t="str">
        <x:v>Nur Verkäuferexport</x:v>
      </x:c>
      <x:c r="D848" s="9" t="n">
        <x:v>25491</x:v>
      </x:c>
      <x:c r="E848" s="9" t="n">
        <x:v>39</x:v>
      </x:c>
      <x:c r="F848" s="9" t="n">
        <x:v>0</x:v>
      </x:c>
      <x:c r="G848" s="11" t="n">
        <x:f>SUM(D848:F848)</x:f>
        <x:v>25530</x:v>
      </x:c>
      <x:c r="H848" s="10" t="n">
        <x:v>0.92</x:v>
      </x:c>
      <x:c r="I848" s="11" t="n">
        <x:f>IF(ISNUMBER(H848),ROUND(D848*H848,2),NA())</x:f>
        <x:v>23451.72</x:v>
      </x:c>
      <x:c r="J848" s="2" t="str">
        <x:v>Regelbestand laut Verkäufer</x:v>
      </x:c>
      <x:c r="K848" s="2" t="str">
        <x:v>Export KREDIT-ERF-20260930, Einzelbelege nicht im Datenraum</x:v>
      </x:c>
    </x:row>
    <x:row r="849" ht="22" customHeight="1">
      <x:c r="A849" s="2" t="str">
        <x:v>APB-0844</x:v>
      </x:c>
      <x:c r="B849" s="2" t="str">
        <x:v>Bestandskunde 0844</x:v>
      </x:c>
      <x:c r="C849" s="2" t="str">
        <x:v>Nur Verkäuferexport</x:v>
      </x:c>
      <x:c r="D849" s="9" t="n">
        <x:v>25628</x:v>
      </x:c>
      <x:c r="E849" s="9" t="n">
        <x:v>45.5</x:v>
      </x:c>
      <x:c r="F849" s="9" t="n">
        <x:v>0</x:v>
      </x:c>
      <x:c r="G849" s="11" t="n">
        <x:f>SUM(D849:F849)</x:f>
        <x:v>25673.5</x:v>
      </x:c>
      <x:c r="H849" s="10" t="n">
        <x:v>0.92</x:v>
      </x:c>
      <x:c r="I849" s="11" t="n">
        <x:f>IF(ISNUMBER(H849),ROUND(D849*H849,2),NA())</x:f>
        <x:v>23577.76</x:v>
      </x:c>
      <x:c r="J849" s="2" t="str">
        <x:v>Regelbestand laut Verkäufer</x:v>
      </x:c>
      <x:c r="K849" s="2" t="str">
        <x:v>Export KREDIT-ERF-20260930, Einzelbelege nicht im Datenraum</x:v>
      </x:c>
    </x:row>
    <x:row r="850" ht="22" customHeight="1">
      <x:c r="A850" s="2" t="str">
        <x:v>APB-0845</x:v>
      </x:c>
      <x:c r="B850" s="2" t="str">
        <x:v>Bestandskunde 0845</x:v>
      </x:c>
      <x:c r="C850" s="2" t="str">
        <x:v>Nur Verkäuferexport</x:v>
      </x:c>
      <x:c r="D850" s="9" t="n">
        <x:v>25765</x:v>
      </x:c>
      <x:c r="E850" s="9" t="n">
        <x:v>52</x:v>
      </x:c>
      <x:c r="F850" s="9" t="n">
        <x:v>0</x:v>
      </x:c>
      <x:c r="G850" s="11" t="n">
        <x:f>SUM(D850:F850)</x:f>
        <x:v>25817</x:v>
      </x:c>
      <x:c r="H850" s="10" t="n">
        <x:v>0.92</x:v>
      </x:c>
      <x:c r="I850" s="11" t="n">
        <x:f>IF(ISNUMBER(H850),ROUND(D850*H850,2),NA())</x:f>
        <x:v>23703.8</x:v>
      </x:c>
      <x:c r="J850" s="2" t="str">
        <x:v>Regelbestand laut Verkäufer</x:v>
      </x:c>
      <x:c r="K850" s="2" t="str">
        <x:v>Export KREDIT-ERF-20260930, Einzelbelege nicht im Datenraum</x:v>
      </x:c>
    </x:row>
    <x:row r="851" ht="22" customHeight="1">
      <x:c r="A851" s="2" t="str">
        <x:v>APB-0846</x:v>
      </x:c>
      <x:c r="B851" s="2" t="str">
        <x:v>Bestandskunde 0846</x:v>
      </x:c>
      <x:c r="C851" s="2" t="str">
        <x:v>Nur Verkäuferexport</x:v>
      </x:c>
      <x:c r="D851" s="9" t="n">
        <x:v>25902</x:v>
      </x:c>
      <x:c r="E851" s="9" t="n">
        <x:v>0</x:v>
      </x:c>
      <x:c r="F851" s="9" t="n">
        <x:v>0</x:v>
      </x:c>
      <x:c r="G851" s="11" t="n">
        <x:f>SUM(D851:F851)</x:f>
        <x:v>25902</x:v>
      </x:c>
      <x:c r="H851" s="10" t="n">
        <x:v>0.92</x:v>
      </x:c>
      <x:c r="I851" s="11" t="n">
        <x:f>IF(ISNUMBER(H851),ROUND(D851*H851,2),NA())</x:f>
        <x:v>23829.84</x:v>
      </x:c>
      <x:c r="J851" s="2" t="str">
        <x:v>Regelbestand laut Verkäufer</x:v>
      </x:c>
      <x:c r="K851" s="2" t="str">
        <x:v>Export KREDIT-ERF-20260930, Einzelbelege nicht im Datenraum</x:v>
      </x:c>
    </x:row>
    <x:row r="852" ht="22" customHeight="1">
      <x:c r="A852" s="2" t="str">
        <x:v>APB-0847</x:v>
      </x:c>
      <x:c r="B852" s="2" t="str">
        <x:v>Bestandskunde 0847</x:v>
      </x:c>
      <x:c r="C852" s="2" t="str">
        <x:v>Nur Verkäuferexport</x:v>
      </x:c>
      <x:c r="D852" s="9" t="n">
        <x:v>26039</x:v>
      </x:c>
      <x:c r="E852" s="9" t="n">
        <x:v>6.5</x:v>
      </x:c>
      <x:c r="F852" s="9" t="n">
        <x:v>0</x:v>
      </x:c>
      <x:c r="G852" s="11" t="n">
        <x:f>SUM(D852:F852)</x:f>
        <x:v>26045.5</x:v>
      </x:c>
      <x:c r="H852" s="10" t="n">
        <x:v>0.92</x:v>
      </x:c>
      <x:c r="I852" s="11" t="n">
        <x:f>IF(ISNUMBER(H852),ROUND(D852*H852,2),NA())</x:f>
        <x:v>23955.88</x:v>
      </x:c>
      <x:c r="J852" s="2" t="str">
        <x:v>Regelbestand laut Verkäufer</x:v>
      </x:c>
      <x:c r="K852" s="2" t="str">
        <x:v>Export KREDIT-ERF-20260930, Einzelbelege nicht im Datenraum</x:v>
      </x:c>
    </x:row>
    <x:row r="853" ht="22" customHeight="1">
      <x:c r="A853" s="2" t="str">
        <x:v>APB-0848</x:v>
      </x:c>
      <x:c r="B853" s="2" t="str">
        <x:v>Bestandskunde 0848</x:v>
      </x:c>
      <x:c r="C853" s="2" t="str">
        <x:v>Nur Verkäuferexport</x:v>
      </x:c>
      <x:c r="D853" s="9" t="n">
        <x:v>26176</x:v>
      </x:c>
      <x:c r="E853" s="9" t="n">
        <x:v>13</x:v>
      </x:c>
      <x:c r="F853" s="9" t="n">
        <x:v>0</x:v>
      </x:c>
      <x:c r="G853" s="11" t="n">
        <x:f>SUM(D853:F853)</x:f>
        <x:v>26189</x:v>
      </x:c>
      <x:c r="H853" s="10" t="n">
        <x:v>0.92</x:v>
      </x:c>
      <x:c r="I853" s="11" t="n">
        <x:f>IF(ISNUMBER(H853),ROUND(D853*H853,2),NA())</x:f>
        <x:v>24081.92</x:v>
      </x:c>
      <x:c r="J853" s="2" t="str">
        <x:v>Regelbestand laut Verkäufer</x:v>
      </x:c>
      <x:c r="K853" s="2" t="str">
        <x:v>Export KREDIT-ERF-20260930, Einzelbelege nicht im Datenraum</x:v>
      </x:c>
    </x:row>
    <x:row r="854" ht="22" customHeight="1">
      <x:c r="A854" s="2" t="str">
        <x:v>APB-0849</x:v>
      </x:c>
      <x:c r="B854" s="2" t="str">
        <x:v>Bestandskunde 0849</x:v>
      </x:c>
      <x:c r="C854" s="2" t="str">
        <x:v>Nur Verkäuferexport</x:v>
      </x:c>
      <x:c r="D854" s="9" t="n">
        <x:v>26313</x:v>
      </x:c>
      <x:c r="E854" s="9" t="n">
        <x:v>19.5</x:v>
      </x:c>
      <x:c r="F854" s="9" t="n">
        <x:v>0</x:v>
      </x:c>
      <x:c r="G854" s="11" t="n">
        <x:f>SUM(D854:F854)</x:f>
        <x:v>26332.5</x:v>
      </x:c>
      <x:c r="H854" s="10" t="n">
        <x:v>0.92</x:v>
      </x:c>
      <x:c r="I854" s="11" t="n">
        <x:f>IF(ISNUMBER(H854),ROUND(D854*H854,2),NA())</x:f>
        <x:v>24207.96</x:v>
      </x:c>
      <x:c r="J854" s="2" t="str">
        <x:v>Regelbestand laut Verkäufer</x:v>
      </x:c>
      <x:c r="K854" s="2" t="str">
        <x:v>Export KREDIT-ERF-20260930, Einzelbelege nicht im Datenraum</x:v>
      </x:c>
    </x:row>
    <x:row r="855" ht="22" customHeight="1">
      <x:c r="A855" s="2" t="str">
        <x:v>APB-0850</x:v>
      </x:c>
      <x:c r="B855" s="2" t="str">
        <x:v>Bestandskunde 0850</x:v>
      </x:c>
      <x:c r="C855" s="2" t="str">
        <x:v>Nur Verkäuferexport</x:v>
      </x:c>
      <x:c r="D855" s="9" t="n">
        <x:v>26450</x:v>
      </x:c>
      <x:c r="E855" s="9" t="n">
        <x:v>26</x:v>
      </x:c>
      <x:c r="F855" s="9" t="n">
        <x:v>0</x:v>
      </x:c>
      <x:c r="G855" s="11" t="n">
        <x:f>SUM(D855:F855)</x:f>
        <x:v>26476</x:v>
      </x:c>
      <x:c r="H855" s="10" t="n">
        <x:v>0.92</x:v>
      </x:c>
      <x:c r="I855" s="11" t="n">
        <x:f>IF(ISNUMBER(H855),ROUND(D855*H855,2),NA())</x:f>
        <x:v>24334</x:v>
      </x:c>
      <x:c r="J855" s="2" t="str">
        <x:v>Regelbestand laut Verkäufer</x:v>
      </x:c>
      <x:c r="K855" s="2" t="str">
        <x:v>Export KREDIT-ERF-20260930, Einzelbelege nicht im Datenraum</x:v>
      </x:c>
    </x:row>
    <x:row r="856" ht="22" customHeight="1">
      <x:c r="A856" s="2" t="str">
        <x:v>APB-0851</x:v>
      </x:c>
      <x:c r="B856" s="2" t="str">
        <x:v>Bestandskunde 0851</x:v>
      </x:c>
      <x:c r="C856" s="2" t="str">
        <x:v>Nur Verkäuferexport</x:v>
      </x:c>
      <x:c r="D856" s="9" t="n">
        <x:v>26587</x:v>
      </x:c>
      <x:c r="E856" s="9" t="n">
        <x:v>32.5</x:v>
      </x:c>
      <x:c r="F856" s="9" t="n">
        <x:v>0</x:v>
      </x:c>
      <x:c r="G856" s="11" t="n">
        <x:f>SUM(D856:F856)</x:f>
        <x:v>26619.5</x:v>
      </x:c>
      <x:c r="H856" s="10" t="n">
        <x:v>0.92</x:v>
      </x:c>
      <x:c r="I856" s="11" t="n">
        <x:f>IF(ISNUMBER(H856),ROUND(D856*H856,2),NA())</x:f>
        <x:v>24460.04</x:v>
      </x:c>
      <x:c r="J856" s="2" t="str">
        <x:v>Regelbestand laut Verkäufer</x:v>
      </x:c>
      <x:c r="K856" s="2" t="str">
        <x:v>Export KREDIT-ERF-20260930, Einzelbelege nicht im Datenraum</x:v>
      </x:c>
    </x:row>
    <x:row r="857" ht="22" customHeight="1">
      <x:c r="A857" s="2" t="str">
        <x:v>APB-0852</x:v>
      </x:c>
      <x:c r="B857" s="2" t="str">
        <x:v>Bestandskunde 0852</x:v>
      </x:c>
      <x:c r="C857" s="2" t="str">
        <x:v>Nur Verkäuferexport</x:v>
      </x:c>
      <x:c r="D857" s="9" t="n">
        <x:v>26724</x:v>
      </x:c>
      <x:c r="E857" s="9" t="n">
        <x:v>39</x:v>
      </x:c>
      <x:c r="F857" s="9" t="n">
        <x:v>0</x:v>
      </x:c>
      <x:c r="G857" s="11" t="n">
        <x:f>SUM(D857:F857)</x:f>
        <x:v>26763</x:v>
      </x:c>
      <x:c r="H857" s="10" t="n">
        <x:v>0.92</x:v>
      </x:c>
      <x:c r="I857" s="11" t="n">
        <x:f>IF(ISNUMBER(H857),ROUND(D857*H857,2),NA())</x:f>
        <x:v>24586.08</x:v>
      </x:c>
      <x:c r="J857" s="2" t="str">
        <x:v>Regelbestand laut Verkäufer</x:v>
      </x:c>
      <x:c r="K857" s="2" t="str">
        <x:v>Export KREDIT-ERF-20260930, Einzelbelege nicht im Datenraum</x:v>
      </x:c>
    </x:row>
    <x:row r="858" ht="22" customHeight="1">
      <x:c r="A858" s="2" t="str">
        <x:v>APB-0853</x:v>
      </x:c>
      <x:c r="B858" s="2" t="str">
        <x:v>Bestandskunde 0853</x:v>
      </x:c>
      <x:c r="C858" s="2" t="str">
        <x:v>Nur Verkäuferexport</x:v>
      </x:c>
      <x:c r="D858" s="9" t="n">
        <x:v>26861</x:v>
      </x:c>
      <x:c r="E858" s="9" t="n">
        <x:v>45.5</x:v>
      </x:c>
      <x:c r="F858" s="9" t="n">
        <x:v>0</x:v>
      </x:c>
      <x:c r="G858" s="11" t="n">
        <x:f>SUM(D858:F858)</x:f>
        <x:v>26906.5</x:v>
      </x:c>
      <x:c r="H858" s="10" t="n">
        <x:v>0.92</x:v>
      </x:c>
      <x:c r="I858" s="11" t="n">
        <x:f>IF(ISNUMBER(H858),ROUND(D858*H858,2),NA())</x:f>
        <x:v>24712.12</x:v>
      </x:c>
      <x:c r="J858" s="2" t="str">
        <x:v>Regelbestand laut Verkäufer</x:v>
      </x:c>
      <x:c r="K858" s="2" t="str">
        <x:v>Export KREDIT-ERF-20260930, Einzelbelege nicht im Datenraum</x:v>
      </x:c>
    </x:row>
    <x:row r="859" ht="22" customHeight="1">
      <x:c r="A859" s="2" t="str">
        <x:v>APB-0854</x:v>
      </x:c>
      <x:c r="B859" s="2" t="str">
        <x:v>Bestandskunde 0854</x:v>
      </x:c>
      <x:c r="C859" s="2" t="str">
        <x:v>Nur Verkäuferexport</x:v>
      </x:c>
      <x:c r="D859" s="9" t="n">
        <x:v>26998</x:v>
      </x:c>
      <x:c r="E859" s="9" t="n">
        <x:v>52</x:v>
      </x:c>
      <x:c r="F859" s="9" t="n">
        <x:v>0</x:v>
      </x:c>
      <x:c r="G859" s="11" t="n">
        <x:f>SUM(D859:F859)</x:f>
        <x:v>27050</x:v>
      </x:c>
      <x:c r="H859" s="10" t="n">
        <x:v>0.92</x:v>
      </x:c>
      <x:c r="I859" s="11" t="n">
        <x:f>IF(ISNUMBER(H859),ROUND(D859*H859,2),NA())</x:f>
        <x:v>24838.16</x:v>
      </x:c>
      <x:c r="J859" s="2" t="str">
        <x:v>Regelbestand laut Verkäufer</x:v>
      </x:c>
      <x:c r="K859" s="2" t="str">
        <x:v>Export KREDIT-ERF-20260930, Einzelbelege nicht im Datenraum</x:v>
      </x:c>
    </x:row>
    <x:row r="860" ht="22" customHeight="1">
      <x:c r="A860" s="2" t="str">
        <x:v>APB-0855</x:v>
      </x:c>
      <x:c r="B860" s="2" t="str">
        <x:v>Bestandskunde 0855</x:v>
      </x:c>
      <x:c r="C860" s="2" t="str">
        <x:v>Nur Verkäuferexport</x:v>
      </x:c>
      <x:c r="D860" s="9" t="n">
        <x:v>27135</x:v>
      </x:c>
      <x:c r="E860" s="9" t="n">
        <x:v>0</x:v>
      </x:c>
      <x:c r="F860" s="9" t="n">
        <x:v>0</x:v>
      </x:c>
      <x:c r="G860" s="11" t="n">
        <x:f>SUM(D860:F860)</x:f>
        <x:v>27135</x:v>
      </x:c>
      <x:c r="H860" s="10" t="n">
        <x:v>0.92</x:v>
      </x:c>
      <x:c r="I860" s="11" t="n">
        <x:f>IF(ISNUMBER(H860),ROUND(D860*H860,2),NA())</x:f>
        <x:v>24964.2</x:v>
      </x:c>
      <x:c r="J860" s="2" t="str">
        <x:v>Regelbestand laut Verkäufer</x:v>
      </x:c>
      <x:c r="K860" s="2" t="str">
        <x:v>Export KREDIT-ERF-20260930, Einzelbelege nicht im Datenraum</x:v>
      </x:c>
    </x:row>
    <x:row r="861" ht="22" customHeight="1">
      <x:c r="A861" s="2" t="str">
        <x:v>APB-0856</x:v>
      </x:c>
      <x:c r="B861" s="2" t="str">
        <x:v>Bestandskunde 0856</x:v>
      </x:c>
      <x:c r="C861" s="2" t="str">
        <x:v>Nur Verkäuferexport</x:v>
      </x:c>
      <x:c r="D861" s="9" t="n">
        <x:v>27272</x:v>
      </x:c>
      <x:c r="E861" s="9" t="n">
        <x:v>6.5</x:v>
      </x:c>
      <x:c r="F861" s="9" t="n">
        <x:v>0</x:v>
      </x:c>
      <x:c r="G861" s="11" t="n">
        <x:f>SUM(D861:F861)</x:f>
        <x:v>27278.5</x:v>
      </x:c>
      <x:c r="H861" s="10" t="n">
        <x:v>0.92</x:v>
      </x:c>
      <x:c r="I861" s="11" t="n">
        <x:f>IF(ISNUMBER(H861),ROUND(D861*H861,2),NA())</x:f>
        <x:v>25090.24</x:v>
      </x:c>
      <x:c r="J861" s="2" t="str">
        <x:v>Regelbestand laut Verkäufer</x:v>
      </x:c>
      <x:c r="K861" s="2" t="str">
        <x:v>Export KREDIT-ERF-20260930, Einzelbelege nicht im Datenraum</x:v>
      </x:c>
    </x:row>
    <x:row r="862" ht="22" customHeight="1">
      <x:c r="A862" s="2" t="str">
        <x:v>APB-0857</x:v>
      </x:c>
      <x:c r="B862" s="2" t="str">
        <x:v>Bestandskunde 0857</x:v>
      </x:c>
      <x:c r="C862" s="2" t="str">
        <x:v>Nur Verkäuferexport</x:v>
      </x:c>
      <x:c r="D862" s="9" t="n">
        <x:v>27409</x:v>
      </x:c>
      <x:c r="E862" s="9" t="n">
        <x:v>13</x:v>
      </x:c>
      <x:c r="F862" s="9" t="n">
        <x:v>0</x:v>
      </x:c>
      <x:c r="G862" s="11" t="n">
        <x:f>SUM(D862:F862)</x:f>
        <x:v>27422</x:v>
      </x:c>
      <x:c r="H862" s="10" t="n">
        <x:v>0.92</x:v>
      </x:c>
      <x:c r="I862" s="11" t="n">
        <x:f>IF(ISNUMBER(H862),ROUND(D862*H862,2),NA())</x:f>
        <x:v>25216.28</x:v>
      </x:c>
      <x:c r="J862" s="2" t="str">
        <x:v>Regelbestand laut Verkäufer</x:v>
      </x:c>
      <x:c r="K862" s="2" t="str">
        <x:v>Export KREDIT-ERF-20260930, Einzelbelege nicht im Datenraum</x:v>
      </x:c>
    </x:row>
    <x:row r="863" ht="22" customHeight="1">
      <x:c r="A863" s="2" t="str">
        <x:v>APB-0858</x:v>
      </x:c>
      <x:c r="B863" s="2" t="str">
        <x:v>Bestandskunde 0858</x:v>
      </x:c>
      <x:c r="C863" s="2" t="str">
        <x:v>Nur Verkäuferexport</x:v>
      </x:c>
      <x:c r="D863" s="9" t="n">
        <x:v>27546</x:v>
      </x:c>
      <x:c r="E863" s="9" t="n">
        <x:v>19.5</x:v>
      </x:c>
      <x:c r="F863" s="9" t="n">
        <x:v>0</x:v>
      </x:c>
      <x:c r="G863" s="11" t="n">
        <x:f>SUM(D863:F863)</x:f>
        <x:v>27565.5</x:v>
      </x:c>
      <x:c r="H863" s="10" t="n">
        <x:v>0.92</x:v>
      </x:c>
      <x:c r="I863" s="11" t="n">
        <x:f>IF(ISNUMBER(H863),ROUND(D863*H863,2),NA())</x:f>
        <x:v>25342.32</x:v>
      </x:c>
      <x:c r="J863" s="2" t="str">
        <x:v>Regelbestand laut Verkäufer</x:v>
      </x:c>
      <x:c r="K863" s="2" t="str">
        <x:v>Export KREDIT-ERF-20260930, Einzelbelege nicht im Datenraum</x:v>
      </x:c>
    </x:row>
    <x:row r="864" ht="22" customHeight="1">
      <x:c r="A864" s="2" t="str">
        <x:v>APB-0859</x:v>
      </x:c>
      <x:c r="B864" s="2" t="str">
        <x:v>Bestandskunde 0859</x:v>
      </x:c>
      <x:c r="C864" s="2" t="str">
        <x:v>Nur Verkäuferexport</x:v>
      </x:c>
      <x:c r="D864" s="9" t="n">
        <x:v>27683</x:v>
      </x:c>
      <x:c r="E864" s="9" t="n">
        <x:v>26</x:v>
      </x:c>
      <x:c r="F864" s="9" t="n">
        <x:v>0</x:v>
      </x:c>
      <x:c r="G864" s="11" t="n">
        <x:f>SUM(D864:F864)</x:f>
        <x:v>27709</x:v>
      </x:c>
      <x:c r="H864" s="10" t="n">
        <x:v>0.92</x:v>
      </x:c>
      <x:c r="I864" s="11" t="n">
        <x:f>IF(ISNUMBER(H864),ROUND(D864*H864,2),NA())</x:f>
        <x:v>25468.36</x:v>
      </x:c>
      <x:c r="J864" s="2" t="str">
        <x:v>Regelbestand laut Verkäufer</x:v>
      </x:c>
      <x:c r="K864" s="2" t="str">
        <x:v>Export KREDIT-ERF-20260930, Einzelbelege nicht im Datenraum</x:v>
      </x:c>
    </x:row>
    <x:row r="865" ht="22" customHeight="1">
      <x:c r="A865" s="2" t="str">
        <x:v>APB-0860</x:v>
      </x:c>
      <x:c r="B865" s="2" t="str">
        <x:v>Bestandskunde 0860</x:v>
      </x:c>
      <x:c r="C865" s="2" t="str">
        <x:v>Nur Verkäuferexport</x:v>
      </x:c>
      <x:c r="D865" s="9" t="n">
        <x:v>27820</x:v>
      </x:c>
      <x:c r="E865" s="9" t="n">
        <x:v>32.5</x:v>
      </x:c>
      <x:c r="F865" s="9" t="n">
        <x:v>0</x:v>
      </x:c>
      <x:c r="G865" s="11" t="n">
        <x:f>SUM(D865:F865)</x:f>
        <x:v>27852.5</x:v>
      </x:c>
      <x:c r="H865" s="10" t="n">
        <x:v>0.92</x:v>
      </x:c>
      <x:c r="I865" s="11" t="n">
        <x:f>IF(ISNUMBER(H865),ROUND(D865*H865,2),NA())</x:f>
        <x:v>25594.4</x:v>
      </x:c>
      <x:c r="J865" s="2" t="str">
        <x:v>Regelbestand laut Verkäufer</x:v>
      </x:c>
      <x:c r="K865" s="2" t="str">
        <x:v>Export KREDIT-ERF-20260930, Einzelbelege nicht im Datenraum</x:v>
      </x:c>
    </x:row>
    <x:row r="866" ht="22" customHeight="1">
      <x:c r="A866" s="2" t="str">
        <x:v>APB-0861</x:v>
      </x:c>
      <x:c r="B866" s="2" t="str">
        <x:v>Bestandskunde 0861</x:v>
      </x:c>
      <x:c r="C866" s="2" t="str">
        <x:v>Nur Verkäuferexport</x:v>
      </x:c>
      <x:c r="D866" s="9" t="n">
        <x:v>27957</x:v>
      </x:c>
      <x:c r="E866" s="9" t="n">
        <x:v>39</x:v>
      </x:c>
      <x:c r="F866" s="9" t="n">
        <x:v>0</x:v>
      </x:c>
      <x:c r="G866" s="11" t="n">
        <x:f>SUM(D866:F866)</x:f>
        <x:v>27996</x:v>
      </x:c>
      <x:c r="H866" s="10" t="n">
        <x:v>0.92</x:v>
      </x:c>
      <x:c r="I866" s="11" t="n">
        <x:f>IF(ISNUMBER(H866),ROUND(D866*H866,2),NA())</x:f>
        <x:v>25720.44</x:v>
      </x:c>
      <x:c r="J866" s="2" t="str">
        <x:v>Regelbestand laut Verkäufer</x:v>
      </x:c>
      <x:c r="K866" s="2" t="str">
        <x:v>Export KREDIT-ERF-20260930, Einzelbelege nicht im Datenraum</x:v>
      </x:c>
    </x:row>
    <x:row r="867" ht="22" customHeight="1">
      <x:c r="A867" s="2" t="str">
        <x:v>APB-0862</x:v>
      </x:c>
      <x:c r="B867" s="2" t="str">
        <x:v>Bestandskunde 0862</x:v>
      </x:c>
      <x:c r="C867" s="2" t="str">
        <x:v>Nur Verkäuferexport</x:v>
      </x:c>
      <x:c r="D867" s="9" t="n">
        <x:v>28094</x:v>
      </x:c>
      <x:c r="E867" s="9" t="n">
        <x:v>45.5</x:v>
      </x:c>
      <x:c r="F867" s="9" t="n">
        <x:v>0</x:v>
      </x:c>
      <x:c r="G867" s="11" t="n">
        <x:f>SUM(D867:F867)</x:f>
        <x:v>28139.5</x:v>
      </x:c>
      <x:c r="H867" s="10" t="n">
        <x:v>0.92</x:v>
      </x:c>
      <x:c r="I867" s="11" t="n">
        <x:f>IF(ISNUMBER(H867),ROUND(D867*H867,2),NA())</x:f>
        <x:v>25846.48</x:v>
      </x:c>
      <x:c r="J867" s="2" t="str">
        <x:v>Regelbestand laut Verkäufer</x:v>
      </x:c>
      <x:c r="K867" s="2" t="str">
        <x:v>Export KREDIT-ERF-20260930, Einzelbelege nicht im Datenraum</x:v>
      </x:c>
    </x:row>
    <x:row r="868" ht="22" customHeight="1">
      <x:c r="A868" s="2" t="str">
        <x:v>APB-0863</x:v>
      </x:c>
      <x:c r="B868" s="2" t="str">
        <x:v>Bestandskunde 0863</x:v>
      </x:c>
      <x:c r="C868" s="2" t="str">
        <x:v>Nur Verkäuferexport</x:v>
      </x:c>
      <x:c r="D868" s="9" t="n">
        <x:v>28231</x:v>
      </x:c>
      <x:c r="E868" s="9" t="n">
        <x:v>52</x:v>
      </x:c>
      <x:c r="F868" s="9" t="n">
        <x:v>0</x:v>
      </x:c>
      <x:c r="G868" s="11" t="n">
        <x:f>SUM(D868:F868)</x:f>
        <x:v>28283</x:v>
      </x:c>
      <x:c r="H868" s="10" t="n">
        <x:v>0.92</x:v>
      </x:c>
      <x:c r="I868" s="11" t="n">
        <x:f>IF(ISNUMBER(H868),ROUND(D868*H868,2),NA())</x:f>
        <x:v>25972.52</x:v>
      </x:c>
      <x:c r="J868" s="2" t="str">
        <x:v>Regelbestand laut Verkäufer</x:v>
      </x:c>
      <x:c r="K868" s="2" t="str">
        <x:v>Export KREDIT-ERF-20260930, Einzelbelege nicht im Datenraum</x:v>
      </x:c>
    </x:row>
    <x:row r="869" ht="22" customHeight="1">
      <x:c r="A869" s="2" t="str">
        <x:v>APB-0864</x:v>
      </x:c>
      <x:c r="B869" s="2" t="str">
        <x:v>Bestandskunde 0864</x:v>
      </x:c>
      <x:c r="C869" s="2" t="str">
        <x:v>Nur Verkäuferexport</x:v>
      </x:c>
      <x:c r="D869" s="9" t="n">
        <x:v>28368</x:v>
      </x:c>
      <x:c r="E869" s="9" t="n">
        <x:v>0</x:v>
      </x:c>
      <x:c r="F869" s="9" t="n">
        <x:v>0</x:v>
      </x:c>
      <x:c r="G869" s="11" t="n">
        <x:f>SUM(D869:F869)</x:f>
        <x:v>28368</x:v>
      </x:c>
      <x:c r="H869" s="10" t="n">
        <x:v>0.92</x:v>
      </x:c>
      <x:c r="I869" s="11" t="n">
        <x:f>IF(ISNUMBER(H869),ROUND(D869*H869,2),NA())</x:f>
        <x:v>26098.56</x:v>
      </x:c>
      <x:c r="J869" s="2" t="str">
        <x:v>Regelbestand laut Verkäufer</x:v>
      </x:c>
      <x:c r="K869" s="2" t="str">
        <x:v>Export KREDIT-ERF-20260930, Einzelbelege nicht im Datenraum</x:v>
      </x:c>
    </x:row>
    <x:row r="870" ht="22" customHeight="1">
      <x:c r="A870" s="2" t="str">
        <x:v>APB-0865</x:v>
      </x:c>
      <x:c r="B870" s="2" t="str">
        <x:v>Bestandskunde 0865</x:v>
      </x:c>
      <x:c r="C870" s="2" t="str">
        <x:v>Nur Verkäuferexport</x:v>
      </x:c>
      <x:c r="D870" s="9" t="n">
        <x:v>28505</x:v>
      </x:c>
      <x:c r="E870" s="9" t="n">
        <x:v>6.5</x:v>
      </x:c>
      <x:c r="F870" s="9" t="n">
        <x:v>0</x:v>
      </x:c>
      <x:c r="G870" s="11" t="n">
        <x:f>SUM(D870:F870)</x:f>
        <x:v>28511.5</x:v>
      </x:c>
      <x:c r="H870" s="10" t="n">
        <x:v>0.92</x:v>
      </x:c>
      <x:c r="I870" s="11" t="n">
        <x:f>IF(ISNUMBER(H870),ROUND(D870*H870,2),NA())</x:f>
        <x:v>26224.6</x:v>
      </x:c>
      <x:c r="J870" s="2" t="str">
        <x:v>Regelbestand laut Verkäufer</x:v>
      </x:c>
      <x:c r="K870" s="2" t="str">
        <x:v>Export KREDIT-ERF-20260930, Einzelbelege nicht im Datenraum</x:v>
      </x:c>
    </x:row>
    <x:row r="871" ht="22" customHeight="1">
      <x:c r="A871" s="2" t="str">
        <x:v>APB-0866</x:v>
      </x:c>
      <x:c r="B871" s="2" t="str">
        <x:v>Bestandskunde 0866</x:v>
      </x:c>
      <x:c r="C871" s="2" t="str">
        <x:v>Nur Verkäuferexport</x:v>
      </x:c>
      <x:c r="D871" s="9" t="n">
        <x:v>28642</x:v>
      </x:c>
      <x:c r="E871" s="9" t="n">
        <x:v>13</x:v>
      </x:c>
      <x:c r="F871" s="9" t="n">
        <x:v>0</x:v>
      </x:c>
      <x:c r="G871" s="11" t="n">
        <x:f>SUM(D871:F871)</x:f>
        <x:v>28655</x:v>
      </x:c>
      <x:c r="H871" s="10" t="n">
        <x:v>0.92</x:v>
      </x:c>
      <x:c r="I871" s="11" t="n">
        <x:f>IF(ISNUMBER(H871),ROUND(D871*H871,2),NA())</x:f>
        <x:v>26350.64</x:v>
      </x:c>
      <x:c r="J871" s="2" t="str">
        <x:v>Regelbestand laut Verkäufer</x:v>
      </x:c>
      <x:c r="K871" s="2" t="str">
        <x:v>Export KREDIT-ERF-20260930, Einzelbelege nicht im Datenraum</x:v>
      </x:c>
    </x:row>
    <x:row r="872" ht="22" customHeight="1">
      <x:c r="A872" s="2" t="str">
        <x:v>APB-0867</x:v>
      </x:c>
      <x:c r="B872" s="2" t="str">
        <x:v>Bestandskunde 0867</x:v>
      </x:c>
      <x:c r="C872" s="2" t="str">
        <x:v>Nur Verkäuferexport</x:v>
      </x:c>
      <x:c r="D872" s="9" t="n">
        <x:v>28779</x:v>
      </x:c>
      <x:c r="E872" s="9" t="n">
        <x:v>19.5</x:v>
      </x:c>
      <x:c r="F872" s="9" t="n">
        <x:v>0</x:v>
      </x:c>
      <x:c r="G872" s="11" t="n">
        <x:f>SUM(D872:F872)</x:f>
        <x:v>28798.5</x:v>
      </x:c>
      <x:c r="H872" s="10" t="n">
        <x:v>0.92</x:v>
      </x:c>
      <x:c r="I872" s="11" t="n">
        <x:f>IF(ISNUMBER(H872),ROUND(D872*H872,2),NA())</x:f>
        <x:v>26476.68</x:v>
      </x:c>
      <x:c r="J872" s="2" t="str">
        <x:v>Regelbestand laut Verkäufer</x:v>
      </x:c>
      <x:c r="K872" s="2" t="str">
        <x:v>Export KREDIT-ERF-20260930, Einzelbelege nicht im Datenraum</x:v>
      </x:c>
    </x:row>
    <x:row r="873" ht="22" customHeight="1">
      <x:c r="A873" s="2" t="str">
        <x:v>APB-0868</x:v>
      </x:c>
      <x:c r="B873" s="2" t="str">
        <x:v>Bestandskunde 0868</x:v>
      </x:c>
      <x:c r="C873" s="2" t="str">
        <x:v>Nur Verkäuferexport</x:v>
      </x:c>
      <x:c r="D873" s="9" t="n">
        <x:v>28916</x:v>
      </x:c>
      <x:c r="E873" s="9" t="n">
        <x:v>26</x:v>
      </x:c>
      <x:c r="F873" s="9" t="n">
        <x:v>0</x:v>
      </x:c>
      <x:c r="G873" s="11" t="n">
        <x:f>SUM(D873:F873)</x:f>
        <x:v>28942</x:v>
      </x:c>
      <x:c r="H873" s="10" t="n">
        <x:v>0.92</x:v>
      </x:c>
      <x:c r="I873" s="11" t="n">
        <x:f>IF(ISNUMBER(H873),ROUND(D873*H873,2),NA())</x:f>
        <x:v>26602.72</x:v>
      </x:c>
      <x:c r="J873" s="2" t="str">
        <x:v>Regelbestand laut Verkäufer</x:v>
      </x:c>
      <x:c r="K873" s="2" t="str">
        <x:v>Export KREDIT-ERF-20260930, Einzelbelege nicht im Datenraum</x:v>
      </x:c>
    </x:row>
    <x:row r="874" ht="22" customHeight="1">
      <x:c r="A874" s="2" t="str">
        <x:v>APB-0869</x:v>
      </x:c>
      <x:c r="B874" s="2" t="str">
        <x:v>Bestandskunde 0869</x:v>
      </x:c>
      <x:c r="C874" s="2" t="str">
        <x:v>Nur Verkäuferexport</x:v>
      </x:c>
      <x:c r="D874" s="9" t="n">
        <x:v>29053</x:v>
      </x:c>
      <x:c r="E874" s="9" t="n">
        <x:v>32.5</x:v>
      </x:c>
      <x:c r="F874" s="9" t="n">
        <x:v>0</x:v>
      </x:c>
      <x:c r="G874" s="11" t="n">
        <x:f>SUM(D874:F874)</x:f>
        <x:v>29085.5</x:v>
      </x:c>
      <x:c r="H874" s="10" t="n">
        <x:v>0.92</x:v>
      </x:c>
      <x:c r="I874" s="11" t="n">
        <x:f>IF(ISNUMBER(H874),ROUND(D874*H874,2),NA())</x:f>
        <x:v>26728.76</x:v>
      </x:c>
      <x:c r="J874" s="2" t="str">
        <x:v>Regelbestand laut Verkäufer</x:v>
      </x:c>
      <x:c r="K874" s="2" t="str">
        <x:v>Export KREDIT-ERF-20260930, Einzelbelege nicht im Datenraum</x:v>
      </x:c>
    </x:row>
    <x:row r="875" ht="22" customHeight="1">
      <x:c r="A875" s="2" t="str">
        <x:v>APB-0870</x:v>
      </x:c>
      <x:c r="B875" s="2" t="str">
        <x:v>Bestandskunde 0870</x:v>
      </x:c>
      <x:c r="C875" s="2" t="str">
        <x:v>Nur Verkäuferexport</x:v>
      </x:c>
      <x:c r="D875" s="9" t="n">
        <x:v>29190</x:v>
      </x:c>
      <x:c r="E875" s="9" t="n">
        <x:v>39</x:v>
      </x:c>
      <x:c r="F875" s="9" t="n">
        <x:v>15</x:v>
      </x:c>
      <x:c r="G875" s="11" t="n">
        <x:f>SUM(D875:F875)</x:f>
        <x:v>29244</x:v>
      </x:c>
      <x:c r="H875" s="10" t="n">
        <x:v>0.92</x:v>
      </x:c>
      <x:c r="I875" s="11" t="n">
        <x:f>IF(ISNUMBER(H875),ROUND(D875*H875,2),NA())</x:f>
        <x:v>26854.8</x:v>
      </x:c>
      <x:c r="J875" s="2" t="str">
        <x:v>Zahlungslücke im Export</x:v>
      </x:c>
      <x:c r="K875" s="2" t="str">
        <x:v>Export KREDIT-ERF-20260930, Einzelbelege nicht im Datenraum</x:v>
      </x:c>
    </x:row>
    <x:row r="876" ht="22" customHeight="1">
      <x:c r="A876" s="2" t="str">
        <x:v>APB-0871</x:v>
      </x:c>
      <x:c r="B876" s="2" t="str">
        <x:v>Bestandskunde 0871</x:v>
      </x:c>
      <x:c r="C876" s="2" t="str">
        <x:v>Nur Verkäuferexport</x:v>
      </x:c>
      <x:c r="D876" s="9" t="n">
        <x:v>29327</x:v>
      </x:c>
      <x:c r="E876" s="9" t="n">
        <x:v>45.5</x:v>
      </x:c>
      <x:c r="F876" s="9" t="n">
        <x:v>0</x:v>
      </x:c>
      <x:c r="G876" s="11" t="n">
        <x:f>SUM(D876:F876)</x:f>
        <x:v>29372.5</x:v>
      </x:c>
      <x:c r="H876" s="10" t="n">
        <x:v>0.92</x:v>
      </x:c>
      <x:c r="I876" s="11" t="n">
        <x:f>IF(ISNUMBER(H876),ROUND(D876*H876,2),NA())</x:f>
        <x:v>26980.84</x:v>
      </x:c>
      <x:c r="J876" s="2" t="str">
        <x:v>Regelbestand laut Verkäufer</x:v>
      </x:c>
      <x:c r="K876" s="2" t="str">
        <x:v>Export KREDIT-ERF-20260930, Einzelbelege nicht im Datenraum</x:v>
      </x:c>
    </x:row>
    <x:row r="877" ht="22" customHeight="1">
      <x:c r="A877" s="2" t="str">
        <x:v>APB-0872</x:v>
      </x:c>
      <x:c r="B877" s="2" t="str">
        <x:v>Bestandskunde 0872</x:v>
      </x:c>
      <x:c r="C877" s="2" t="str">
        <x:v>Nur Verkäuferexport</x:v>
      </x:c>
      <x:c r="D877" s="9" t="n">
        <x:v>29464</x:v>
      </x:c>
      <x:c r="E877" s="9" t="n">
        <x:v>52</x:v>
      </x:c>
      <x:c r="F877" s="9" t="n">
        <x:v>0</x:v>
      </x:c>
      <x:c r="G877" s="11" t="n">
        <x:f>SUM(D877:F877)</x:f>
        <x:v>29516</x:v>
      </x:c>
      <x:c r="H877" s="10" t="n">
        <x:v>0.92</x:v>
      </x:c>
      <x:c r="I877" s="11" t="n">
        <x:f>IF(ISNUMBER(H877),ROUND(D877*H877,2),NA())</x:f>
        <x:v>27106.88</x:v>
      </x:c>
      <x:c r="J877" s="2" t="str">
        <x:v>Regelbestand laut Verkäufer</x:v>
      </x:c>
      <x:c r="K877" s="2" t="str">
        <x:v>Export KREDIT-ERF-20260930, Einzelbelege nicht im Datenraum</x:v>
      </x:c>
    </x:row>
    <x:row r="878" ht="22" customHeight="1">
      <x:c r="A878" s="2" t="str">
        <x:v>APB-0873</x:v>
      </x:c>
      <x:c r="B878" s="2" t="str">
        <x:v>Bestandskunde 0873</x:v>
      </x:c>
      <x:c r="C878" s="2" t="str">
        <x:v>Nur Verkäuferexport</x:v>
      </x:c>
      <x:c r="D878" s="9" t="n">
        <x:v>29601</x:v>
      </x:c>
      <x:c r="E878" s="9" t="n">
        <x:v>0</x:v>
      </x:c>
      <x:c r="F878" s="9" t="n">
        <x:v>0</x:v>
      </x:c>
      <x:c r="G878" s="11" t="n">
        <x:f>SUM(D878:F878)</x:f>
        <x:v>29601</x:v>
      </x:c>
      <x:c r="H878" s="10" t="n">
        <x:v>0.92</x:v>
      </x:c>
      <x:c r="I878" s="11" t="n">
        <x:f>IF(ISNUMBER(H878),ROUND(D878*H878,2),NA())</x:f>
        <x:v>27232.92</x:v>
      </x:c>
      <x:c r="J878" s="2" t="str">
        <x:v>Regelbestand laut Verkäufer</x:v>
      </x:c>
      <x:c r="K878" s="2" t="str">
        <x:v>Export KREDIT-ERF-20260930, Einzelbelege nicht im Datenraum</x:v>
      </x:c>
    </x:row>
    <x:row r="879" ht="22" customHeight="1">
      <x:c r="A879" s="2" t="str">
        <x:v>APB-0874</x:v>
      </x:c>
      <x:c r="B879" s="2" t="str">
        <x:v>Bestandskunde 0874</x:v>
      </x:c>
      <x:c r="C879" s="2" t="str">
        <x:v>Nur Verkäuferexport</x:v>
      </x:c>
      <x:c r="D879" s="9" t="n">
        <x:v>29738</x:v>
      </x:c>
      <x:c r="E879" s="9" t="n">
        <x:v>6.5</x:v>
      </x:c>
      <x:c r="F879" s="9" t="n">
        <x:v>0</x:v>
      </x:c>
      <x:c r="G879" s="11" t="n">
        <x:f>SUM(D879:F879)</x:f>
        <x:v>29744.5</x:v>
      </x:c>
      <x:c r="H879" s="10" t="n">
        <x:v>0.92</x:v>
      </x:c>
      <x:c r="I879" s="11" t="n">
        <x:f>IF(ISNUMBER(H879),ROUND(D879*H879,2),NA())</x:f>
        <x:v>27358.96</x:v>
      </x:c>
      <x:c r="J879" s="2" t="str">
        <x:v>Regelbestand laut Verkäufer</x:v>
      </x:c>
      <x:c r="K879" s="2" t="str">
        <x:v>Export KREDIT-ERF-20260930, Einzelbelege nicht im Datenraum</x:v>
      </x:c>
    </x:row>
    <x:row r="880" ht="22" customHeight="1">
      <x:c r="A880" s="2" t="str">
        <x:v>APB-0875</x:v>
      </x:c>
      <x:c r="B880" s="2" t="str">
        <x:v>Bestandskunde 0875</x:v>
      </x:c>
      <x:c r="C880" s="2" t="str">
        <x:v>Nur Verkäuferexport</x:v>
      </x:c>
      <x:c r="D880" s="9" t="n">
        <x:v>29875</x:v>
      </x:c>
      <x:c r="E880" s="9" t="n">
        <x:v>13</x:v>
      </x:c>
      <x:c r="F880" s="9" t="n">
        <x:v>0</x:v>
      </x:c>
      <x:c r="G880" s="11" t="n">
        <x:f>SUM(D880:F880)</x:f>
        <x:v>29888</x:v>
      </x:c>
      <x:c r="H880" s="10" t="n">
        <x:v>0.92</x:v>
      </x:c>
      <x:c r="I880" s="11" t="n">
        <x:f>IF(ISNUMBER(H880),ROUND(D880*H880,2),NA())</x:f>
        <x:v>27485</x:v>
      </x:c>
      <x:c r="J880" s="2" t="str">
        <x:v>Regelbestand laut Verkäufer</x:v>
      </x:c>
      <x:c r="K880" s="2" t="str">
        <x:v>Export KREDIT-ERF-20260930, Einzelbelege nicht im Datenraum</x:v>
      </x:c>
    </x:row>
    <x:row r="881" ht="22" customHeight="1">
      <x:c r="A881" s="2" t="str">
        <x:v>APB-0876</x:v>
      </x:c>
      <x:c r="B881" s="2" t="str">
        <x:v>Bestandskunde 0876</x:v>
      </x:c>
      <x:c r="C881" s="2" t="str">
        <x:v>Nur Verkäuferexport</x:v>
      </x:c>
      <x:c r="D881" s="9" t="n">
        <x:v>6012</x:v>
      </x:c>
      <x:c r="E881" s="9" t="n">
        <x:v>19.5</x:v>
      </x:c>
      <x:c r="F881" s="9" t="n">
        <x:v>0</x:v>
      </x:c>
      <x:c r="G881" s="11" t="n">
        <x:f>SUM(D881:F881)</x:f>
        <x:v>6031.5</x:v>
      </x:c>
      <x:c r="H881" s="10" t="n">
        <x:v>0.92</x:v>
      </x:c>
      <x:c r="I881" s="11" t="n">
        <x:f>IF(ISNUMBER(H881),ROUND(D881*H881,2),NA())</x:f>
        <x:v>5531.04</x:v>
      </x:c>
      <x:c r="J881" s="2" t="str">
        <x:v>Regelbestand laut Verkäufer</x:v>
      </x:c>
      <x:c r="K881" s="2" t="str">
        <x:v>Export KREDIT-ERF-20260930, Einzelbelege nicht im Datenraum</x:v>
      </x:c>
    </x:row>
    <x:row r="882" ht="22" customHeight="1">
      <x:c r="A882" s="2" t="str">
        <x:v>APB-0877</x:v>
      </x:c>
      <x:c r="B882" s="2" t="str">
        <x:v>Bestandskunde 0877</x:v>
      </x:c>
      <x:c r="C882" s="2" t="str">
        <x:v>Nur Verkäuferexport</x:v>
      </x:c>
      <x:c r="D882" s="9" t="n">
        <x:v>6149</x:v>
      </x:c>
      <x:c r="E882" s="9" t="n">
        <x:v>26</x:v>
      </x:c>
      <x:c r="F882" s="9" t="n">
        <x:v>0</x:v>
      </x:c>
      <x:c r="G882" s="11" t="n">
        <x:f>SUM(D882:F882)</x:f>
        <x:v>6175</x:v>
      </x:c>
      <x:c r="H882" s="10" t="n">
        <x:v>0.92</x:v>
      </x:c>
      <x:c r="I882" s="11" t="n">
        <x:f>IF(ISNUMBER(H882),ROUND(D882*H882,2),NA())</x:f>
        <x:v>5657.08</x:v>
      </x:c>
      <x:c r="J882" s="2" t="str">
        <x:v>Regelbestand laut Verkäufer</x:v>
      </x:c>
      <x:c r="K882" s="2" t="str">
        <x:v>Export KREDIT-ERF-20260930, Einzelbelege nicht im Datenraum</x:v>
      </x:c>
    </x:row>
    <x:row r="883" ht="22" customHeight="1">
      <x:c r="A883" s="2" t="str">
        <x:v>APB-0878</x:v>
      </x:c>
      <x:c r="B883" s="2" t="str">
        <x:v>Bestandskunde 0878</x:v>
      </x:c>
      <x:c r="C883" s="2" t="str">
        <x:v>Nur Verkäuferexport</x:v>
      </x:c>
      <x:c r="D883" s="9" t="n">
        <x:v>6286</x:v>
      </x:c>
      <x:c r="E883" s="9" t="n">
        <x:v>32.5</x:v>
      </x:c>
      <x:c r="F883" s="9" t="n">
        <x:v>0</x:v>
      </x:c>
      <x:c r="G883" s="11" t="n">
        <x:f>SUM(D883:F883)</x:f>
        <x:v>6318.5</x:v>
      </x:c>
      <x:c r="H883" s="10" t="n">
        <x:v>0.92</x:v>
      </x:c>
      <x:c r="I883" s="11" t="n">
        <x:f>IF(ISNUMBER(H883),ROUND(D883*H883,2),NA())</x:f>
        <x:v>5783.12</x:v>
      </x:c>
      <x:c r="J883" s="2" t="str">
        <x:v>Regelbestand laut Verkäufer</x:v>
      </x:c>
      <x:c r="K883" s="2" t="str">
        <x:v>Export KREDIT-ERF-20260930, Einzelbelege nicht im Datenraum</x:v>
      </x:c>
    </x:row>
    <x:row r="884" ht="22" customHeight="1">
      <x:c r="A884" s="2" t="str">
        <x:v>APB-0879</x:v>
      </x:c>
      <x:c r="B884" s="2" t="str">
        <x:v>Bestandskunde 0879</x:v>
      </x:c>
      <x:c r="C884" s="2" t="str">
        <x:v>Nur Verkäuferexport</x:v>
      </x:c>
      <x:c r="D884" s="9" t="n">
        <x:v>6423</x:v>
      </x:c>
      <x:c r="E884" s="9" t="n">
        <x:v>39</x:v>
      </x:c>
      <x:c r="F884" s="9" t="n">
        <x:v>0</x:v>
      </x:c>
      <x:c r="G884" s="11" t="n">
        <x:f>SUM(D884:F884)</x:f>
        <x:v>6462</x:v>
      </x:c>
      <x:c r="H884" s="10" t="n">
        <x:v>0.92</x:v>
      </x:c>
      <x:c r="I884" s="11" t="n">
        <x:f>IF(ISNUMBER(H884),ROUND(D884*H884,2),NA())</x:f>
        <x:v>5909.16</x:v>
      </x:c>
      <x:c r="J884" s="2" t="str">
        <x:v>Regelbestand laut Verkäufer</x:v>
      </x:c>
      <x:c r="K884" s="2" t="str">
        <x:v>Export KREDIT-ERF-20260930, Einzelbelege nicht im Datenraum</x:v>
      </x:c>
    </x:row>
    <x:row r="885" ht="22" customHeight="1">
      <x:c r="A885" s="2" t="str">
        <x:v>APB-0880</x:v>
      </x:c>
      <x:c r="B885" s="2" t="str">
        <x:v>Bestandskunde 0880</x:v>
      </x:c>
      <x:c r="C885" s="2" t="str">
        <x:v>Nur Verkäuferexport</x:v>
      </x:c>
      <x:c r="D885" s="9" t="n">
        <x:v>6560</x:v>
      </x:c>
      <x:c r="E885" s="9" t="n">
        <x:v>45.5</x:v>
      </x:c>
      <x:c r="F885" s="9" t="n">
        <x:v>0</x:v>
      </x:c>
      <x:c r="G885" s="11" t="n">
        <x:f>SUM(D885:F885)</x:f>
        <x:v>6605.5</x:v>
      </x:c>
      <x:c r="H885" s="10" t="n">
        <x:v>0.92</x:v>
      </x:c>
      <x:c r="I885" s="11" t="n">
        <x:f>IF(ISNUMBER(H885),ROUND(D885*H885,2),NA())</x:f>
        <x:v>6035.2</x:v>
      </x:c>
      <x:c r="J885" s="2" t="str">
        <x:v>Regelbestand laut Verkäufer</x:v>
      </x:c>
      <x:c r="K885" s="2" t="str">
        <x:v>Export KREDIT-ERF-20260930, Einzelbelege nicht im Datenraum</x:v>
      </x:c>
    </x:row>
    <x:row r="886" ht="22" customHeight="1">
      <x:c r="A886" s="2" t="str">
        <x:v>APB-0881</x:v>
      </x:c>
      <x:c r="B886" s="2" t="str">
        <x:v>Bestandskunde 0881</x:v>
      </x:c>
      <x:c r="C886" s="2" t="str">
        <x:v>Nur Verkäuferexport</x:v>
      </x:c>
      <x:c r="D886" s="9" t="n">
        <x:v>6697</x:v>
      </x:c>
      <x:c r="E886" s="9" t="n">
        <x:v>52</x:v>
      </x:c>
      <x:c r="F886" s="9" t="n">
        <x:v>0</x:v>
      </x:c>
      <x:c r="G886" s="11" t="n">
        <x:f>SUM(D886:F886)</x:f>
        <x:v>6749</x:v>
      </x:c>
      <x:c r="H886" s="10" t="n">
        <x:v>0.92</x:v>
      </x:c>
      <x:c r="I886" s="11" t="n">
        <x:f>IF(ISNUMBER(H886),ROUND(D886*H886,2),NA())</x:f>
        <x:v>6161.24</x:v>
      </x:c>
      <x:c r="J886" s="2" t="str">
        <x:v>Regelbestand laut Verkäufer</x:v>
      </x:c>
      <x:c r="K886" s="2" t="str">
        <x:v>Export KREDIT-ERF-20260930, Einzelbelege nicht im Datenraum</x:v>
      </x:c>
    </x:row>
    <x:row r="887" ht="22" customHeight="1">
      <x:c r="A887" s="2" t="str">
        <x:v>APB-0882</x:v>
      </x:c>
      <x:c r="B887" s="2" t="str">
        <x:v>Bestandskunde 0882</x:v>
      </x:c>
      <x:c r="C887" s="2" t="str">
        <x:v>Nur Verkäuferexport</x:v>
      </x:c>
      <x:c r="D887" s="9" t="n">
        <x:v>6834</x:v>
      </x:c>
      <x:c r="E887" s="9" t="n">
        <x:v>0</x:v>
      </x:c>
      <x:c r="F887" s="9" t="n">
        <x:v>0</x:v>
      </x:c>
      <x:c r="G887" s="11" t="n">
        <x:f>SUM(D887:F887)</x:f>
        <x:v>6834</x:v>
      </x:c>
      <x:c r="H887" s="10" t="n">
        <x:v>0.92</x:v>
      </x:c>
      <x:c r="I887" s="11" t="n">
        <x:f>IF(ISNUMBER(H887),ROUND(D887*H887,2),NA())</x:f>
        <x:v>6287.28</x:v>
      </x:c>
      <x:c r="J887" s="2" t="str">
        <x:v>Regelbestand laut Verkäufer</x:v>
      </x:c>
      <x:c r="K887" s="2" t="str">
        <x:v>Export KREDIT-ERF-20260930, Einzelbelege nicht im Datenraum</x:v>
      </x:c>
    </x:row>
    <x:row r="888" ht="22" customHeight="1">
      <x:c r="A888" s="2" t="str">
        <x:v>APB-0883</x:v>
      </x:c>
      <x:c r="B888" s="2" t="str">
        <x:v>Bestandskunde 0883</x:v>
      </x:c>
      <x:c r="C888" s="2" t="str">
        <x:v>Nur Verkäuferexport</x:v>
      </x:c>
      <x:c r="D888" s="9" t="n">
        <x:v>6971</x:v>
      </x:c>
      <x:c r="E888" s="9" t="n">
        <x:v>6.5</x:v>
      </x:c>
      <x:c r="F888" s="9" t="n">
        <x:v>0</x:v>
      </x:c>
      <x:c r="G888" s="11" t="n">
        <x:f>SUM(D888:F888)</x:f>
        <x:v>6977.5</x:v>
      </x:c>
      <x:c r="H888" s="10" t="n">
        <x:v>0.92</x:v>
      </x:c>
      <x:c r="I888" s="11" t="n">
        <x:f>IF(ISNUMBER(H888),ROUND(D888*H888,2),NA())</x:f>
        <x:v>6413.32</x:v>
      </x:c>
      <x:c r="J888" s="2" t="str">
        <x:v>Regelbestand laut Verkäufer</x:v>
      </x:c>
      <x:c r="K888" s="2" t="str">
        <x:v>Export KREDIT-ERF-20260930, Einzelbelege nicht im Datenraum</x:v>
      </x:c>
    </x:row>
    <x:row r="889" ht="22" customHeight="1">
      <x:c r="A889" s="2" t="str">
        <x:v>APB-0884</x:v>
      </x:c>
      <x:c r="B889" s="2" t="str">
        <x:v>Bestandskunde 0884</x:v>
      </x:c>
      <x:c r="C889" s="2" t="str">
        <x:v>Nur Verkäuferexport</x:v>
      </x:c>
      <x:c r="D889" s="9" t="n">
        <x:v>7108</x:v>
      </x:c>
      <x:c r="E889" s="9" t="n">
        <x:v>13</x:v>
      </x:c>
      <x:c r="F889" s="9" t="n">
        <x:v>0</x:v>
      </x:c>
      <x:c r="G889" s="11" t="n">
        <x:f>SUM(D889:F889)</x:f>
        <x:v>7121</x:v>
      </x:c>
      <x:c r="H889" s="10" t="n">
        <x:v>0.92</x:v>
      </x:c>
      <x:c r="I889" s="11" t="n">
        <x:f>IF(ISNUMBER(H889),ROUND(D889*H889,2),NA())</x:f>
        <x:v>6539.36</x:v>
      </x:c>
      <x:c r="J889" s="2" t="str">
        <x:v>Regelbestand laut Verkäufer</x:v>
      </x:c>
      <x:c r="K889" s="2" t="str">
        <x:v>Export KREDIT-ERF-20260930, Einzelbelege nicht im Datenraum</x:v>
      </x:c>
    </x:row>
    <x:row r="890" ht="22" customHeight="1">
      <x:c r="A890" s="2" t="str">
        <x:v>APB-0885</x:v>
      </x:c>
      <x:c r="B890" s="2" t="str">
        <x:v>Bestandskunde 0885</x:v>
      </x:c>
      <x:c r="C890" s="2" t="str">
        <x:v>Nur Verkäuferexport</x:v>
      </x:c>
      <x:c r="D890" s="9" t="n">
        <x:v>7245</x:v>
      </x:c>
      <x:c r="E890" s="9" t="n">
        <x:v>19.5</x:v>
      </x:c>
      <x:c r="F890" s="9" t="n">
        <x:v>0</x:v>
      </x:c>
      <x:c r="G890" s="11" t="n">
        <x:f>SUM(D890:F890)</x:f>
        <x:v>7264.5</x:v>
      </x:c>
      <x:c r="H890" s="10" t="n">
        <x:v>0.92</x:v>
      </x:c>
      <x:c r="I890" s="11" t="n">
        <x:f>IF(ISNUMBER(H890),ROUND(D890*H890,2),NA())</x:f>
        <x:v>6665.4</x:v>
      </x:c>
      <x:c r="J890" s="2" t="str">
        <x:v>Regelbestand laut Verkäufer</x:v>
      </x:c>
      <x:c r="K890" s="2" t="str">
        <x:v>Export KREDIT-ERF-20260930, Einzelbelege nicht im Datenraum</x:v>
      </x:c>
    </x:row>
    <x:row r="891" ht="22" customHeight="1">
      <x:c r="A891" s="2" t="str">
        <x:v>APB-0886</x:v>
      </x:c>
      <x:c r="B891" s="2" t="str">
        <x:v>Bestandskunde 0886</x:v>
      </x:c>
      <x:c r="C891" s="2" t="str">
        <x:v>Nur Verkäuferexport</x:v>
      </x:c>
      <x:c r="D891" s="9" t="n">
        <x:v>7382</x:v>
      </x:c>
      <x:c r="E891" s="9" t="n">
        <x:v>26</x:v>
      </x:c>
      <x:c r="F891" s="9" t="n">
        <x:v>0</x:v>
      </x:c>
      <x:c r="G891" s="11" t="n">
        <x:f>SUM(D891:F891)</x:f>
        <x:v>7408</x:v>
      </x:c>
      <x:c r="H891" s="10" t="n">
        <x:v>0.92</x:v>
      </x:c>
      <x:c r="I891" s="11" t="n">
        <x:f>IF(ISNUMBER(H891),ROUND(D891*H891,2),NA())</x:f>
        <x:v>6791.44</x:v>
      </x:c>
      <x:c r="J891" s="2" t="str">
        <x:v>Regelbestand laut Verkäufer</x:v>
      </x:c>
      <x:c r="K891" s="2" t="str">
        <x:v>Export KREDIT-ERF-20260930, Einzelbelege nicht im Datenraum</x:v>
      </x:c>
    </x:row>
    <x:row r="892" ht="22" customHeight="1">
      <x:c r="A892" s="2" t="str">
        <x:v>APB-0887</x:v>
      </x:c>
      <x:c r="B892" s="2" t="str">
        <x:v>Bestandskunde 0887</x:v>
      </x:c>
      <x:c r="C892" s="2" t="str">
        <x:v>Nur Verkäuferexport</x:v>
      </x:c>
      <x:c r="D892" s="9" t="n">
        <x:v>7519</x:v>
      </x:c>
      <x:c r="E892" s="9" t="n">
        <x:v>32.5</x:v>
      </x:c>
      <x:c r="F892" s="9" t="n">
        <x:v>0</x:v>
      </x:c>
      <x:c r="G892" s="11" t="n">
        <x:f>SUM(D892:F892)</x:f>
        <x:v>7551.5</x:v>
      </x:c>
      <x:c r="H892" s="10" t="n">
        <x:v>0.92</x:v>
      </x:c>
      <x:c r="I892" s="11" t="n">
        <x:f>IF(ISNUMBER(H892),ROUND(D892*H892,2),NA())</x:f>
        <x:v>6917.48</x:v>
      </x:c>
      <x:c r="J892" s="2" t="str">
        <x:v>Regelbestand laut Verkäufer</x:v>
      </x:c>
      <x:c r="K892" s="2" t="str">
        <x:v>Export KREDIT-ERF-20260930, Einzelbelege nicht im Datenraum</x:v>
      </x:c>
    </x:row>
    <x:row r="893" ht="22" customHeight="1">
      <x:c r="A893" s="2" t="str">
        <x:v>APB-0888</x:v>
      </x:c>
      <x:c r="B893" s="2" t="str">
        <x:v>Bestandskunde 0888</x:v>
      </x:c>
      <x:c r="C893" s="2" t="str">
        <x:v>Nur Verkäuferexport</x:v>
      </x:c>
      <x:c r="D893" s="9" t="n">
        <x:v>7656</x:v>
      </x:c>
      <x:c r="E893" s="9" t="n">
        <x:v>39</x:v>
      </x:c>
      <x:c r="F893" s="9" t="n">
        <x:v>0</x:v>
      </x:c>
      <x:c r="G893" s="11" t="n">
        <x:f>SUM(D893:F893)</x:f>
        <x:v>7695</x:v>
      </x:c>
      <x:c r="H893" s="10" t="n">
        <x:v>0.92</x:v>
      </x:c>
      <x:c r="I893" s="11" t="n">
        <x:f>IF(ISNUMBER(H893),ROUND(D893*H893,2),NA())</x:f>
        <x:v>7043.52</x:v>
      </x:c>
      <x:c r="J893" s="2" t="str">
        <x:v>Regelbestand laut Verkäufer</x:v>
      </x:c>
      <x:c r="K893" s="2" t="str">
        <x:v>Export KREDIT-ERF-20260930, Einzelbelege nicht im Datenraum</x:v>
      </x:c>
    </x:row>
    <x:row r="894" ht="22" customHeight="1">
      <x:c r="A894" s="2" t="str">
        <x:v>APB-0889</x:v>
      </x:c>
      <x:c r="B894" s="2" t="str">
        <x:v>Bestandskunde 0889</x:v>
      </x:c>
      <x:c r="C894" s="2" t="str">
        <x:v>Nur Verkäuferexport</x:v>
      </x:c>
      <x:c r="D894" s="9" t="n">
        <x:v>7793</x:v>
      </x:c>
      <x:c r="E894" s="9" t="n">
        <x:v>45.5</x:v>
      </x:c>
      <x:c r="F894" s="9" t="n">
        <x:v>0</x:v>
      </x:c>
      <x:c r="G894" s="11" t="n">
        <x:f>SUM(D894:F894)</x:f>
        <x:v>7838.5</x:v>
      </x:c>
      <x:c r="H894" s="10" t="n">
        <x:v>0.92</x:v>
      </x:c>
      <x:c r="I894" s="11" t="n">
        <x:f>IF(ISNUMBER(H894),ROUND(D894*H894,2),NA())</x:f>
        <x:v>7169.56</x:v>
      </x:c>
      <x:c r="J894" s="2" t="str">
        <x:v>Regelbestand laut Verkäufer</x:v>
      </x:c>
      <x:c r="K894" s="2" t="str">
        <x:v>Export KREDIT-ERF-20260930, Einzelbelege nicht im Datenraum</x:v>
      </x:c>
    </x:row>
    <x:row r="895" ht="22" customHeight="1">
      <x:c r="A895" s="2" t="str">
        <x:v>APB-0890</x:v>
      </x:c>
      <x:c r="B895" s="2" t="str">
        <x:v>Bestandskunde 0890</x:v>
      </x:c>
      <x:c r="C895" s="2" t="str">
        <x:v>Nur Verkäuferexport</x:v>
      </x:c>
      <x:c r="D895" s="9" t="n">
        <x:v>7930</x:v>
      </x:c>
      <x:c r="E895" s="9" t="n">
        <x:v>52</x:v>
      </x:c>
      <x:c r="F895" s="9" t="n">
        <x:v>0</x:v>
      </x:c>
      <x:c r="G895" s="11" t="n">
        <x:f>SUM(D895:F895)</x:f>
        <x:v>7982</x:v>
      </x:c>
      <x:c r="H895" s="10" t="n">
        <x:v>0.92</x:v>
      </x:c>
      <x:c r="I895" s="11" t="n">
        <x:f>IF(ISNUMBER(H895),ROUND(D895*H895,2),NA())</x:f>
        <x:v>7295.6</x:v>
      </x:c>
      <x:c r="J895" s="2" t="str">
        <x:v>Regelbestand laut Verkäufer</x:v>
      </x:c>
      <x:c r="K895" s="2" t="str">
        <x:v>Export KREDIT-ERF-20260930, Einzelbelege nicht im Datenraum</x:v>
      </x:c>
    </x:row>
    <x:row r="896" ht="22" customHeight="1">
      <x:c r="A896" s="2" t="str">
        <x:v>APB-0891</x:v>
      </x:c>
      <x:c r="B896" s="2" t="str">
        <x:v>Bestandskunde 0891</x:v>
      </x:c>
      <x:c r="C896" s="2" t="str">
        <x:v>Nur Verkäuferexport</x:v>
      </x:c>
      <x:c r="D896" s="9" t="n">
        <x:v>8067</x:v>
      </x:c>
      <x:c r="E896" s="9" t="n">
        <x:v>0</x:v>
      </x:c>
      <x:c r="F896" s="9" t="n">
        <x:v>0</x:v>
      </x:c>
      <x:c r="G896" s="11" t="n">
        <x:f>SUM(D896:F896)</x:f>
        <x:v>8067</x:v>
      </x:c>
      <x:c r="H896" s="10" t="n">
        <x:v>0.92</x:v>
      </x:c>
      <x:c r="I896" s="11" t="n">
        <x:f>IF(ISNUMBER(H896),ROUND(D896*H896,2),NA())</x:f>
        <x:v>7421.64</x:v>
      </x:c>
      <x:c r="J896" s="2" t="str">
        <x:v>Regelbestand laut Verkäufer</x:v>
      </x:c>
      <x:c r="K896" s="2" t="str">
        <x:v>Export KREDIT-ERF-20260930, Einzelbelege nicht im Datenraum</x:v>
      </x:c>
    </x:row>
    <x:row r="897" ht="22" customHeight="1">
      <x:c r="A897" s="2" t="str">
        <x:v>APB-0892</x:v>
      </x:c>
      <x:c r="B897" s="2" t="str">
        <x:v>Bestandskunde 0892</x:v>
      </x:c>
      <x:c r="C897" s="2" t="str">
        <x:v>Nur Verkäuferexport</x:v>
      </x:c>
      <x:c r="D897" s="9" t="n">
        <x:v>8204</x:v>
      </x:c>
      <x:c r="E897" s="9" t="n">
        <x:v>6.5</x:v>
      </x:c>
      <x:c r="F897" s="9" t="n">
        <x:v>0</x:v>
      </x:c>
      <x:c r="G897" s="11" t="n">
        <x:f>SUM(D897:F897)</x:f>
        <x:v>8210.5</x:v>
      </x:c>
      <x:c r="H897" s="10" t="n">
        <x:v>0.92</x:v>
      </x:c>
      <x:c r="I897" s="11" t="n">
        <x:f>IF(ISNUMBER(H897),ROUND(D897*H897,2),NA())</x:f>
        <x:v>7547.68</x:v>
      </x:c>
      <x:c r="J897" s="2" t="str">
        <x:v>Regelbestand laut Verkäufer</x:v>
      </x:c>
      <x:c r="K897" s="2" t="str">
        <x:v>Export KREDIT-ERF-20260930, Einzelbelege nicht im Datenraum</x:v>
      </x:c>
    </x:row>
    <x:row r="898" ht="22" customHeight="1">
      <x:c r="A898" s="2" t="str">
        <x:v>APB-0893</x:v>
      </x:c>
      <x:c r="B898" s="2" t="str">
        <x:v>Bestandskunde 0893</x:v>
      </x:c>
      <x:c r="C898" s="2" t="str">
        <x:v>Nur Verkäuferexport</x:v>
      </x:c>
      <x:c r="D898" s="9" t="n">
        <x:v>8341</x:v>
      </x:c>
      <x:c r="E898" s="9" t="n">
        <x:v>13</x:v>
      </x:c>
      <x:c r="F898" s="9" t="n">
        <x:v>0</x:v>
      </x:c>
      <x:c r="G898" s="11" t="n">
        <x:f>SUM(D898:F898)</x:f>
        <x:v>8354</x:v>
      </x:c>
      <x:c r="H898" s="10" t="n">
        <x:v>0.92</x:v>
      </x:c>
      <x:c r="I898" s="11" t="n">
        <x:f>IF(ISNUMBER(H898),ROUND(D898*H898,2),NA())</x:f>
        <x:v>7673.72</x:v>
      </x:c>
      <x:c r="J898" s="2" t="str">
        <x:v>Regelbestand laut Verkäufer</x:v>
      </x:c>
      <x:c r="K898" s="2" t="str">
        <x:v>Export KREDIT-ERF-20260930, Einzelbelege nicht im Datenraum</x:v>
      </x:c>
    </x:row>
    <x:row r="899" ht="22" customHeight="1">
      <x:c r="A899" s="2" t="str">
        <x:v>APB-0894</x:v>
      </x:c>
      <x:c r="B899" s="2" t="str">
        <x:v>Bestandskunde 0894</x:v>
      </x:c>
      <x:c r="C899" s="2" t="str">
        <x:v>Nur Verkäuferexport</x:v>
      </x:c>
      <x:c r="D899" s="9" t="n">
        <x:v>8478</x:v>
      </x:c>
      <x:c r="E899" s="9" t="n">
        <x:v>19.5</x:v>
      </x:c>
      <x:c r="F899" s="9" t="n">
        <x:v>0</x:v>
      </x:c>
      <x:c r="G899" s="11" t="n">
        <x:f>SUM(D899:F899)</x:f>
        <x:v>8497.5</x:v>
      </x:c>
      <x:c r="H899" s="10" t="n">
        <x:v>0.92</x:v>
      </x:c>
      <x:c r="I899" s="11" t="n">
        <x:f>IF(ISNUMBER(H899),ROUND(D899*H899,2),NA())</x:f>
        <x:v>7799.76</x:v>
      </x:c>
      <x:c r="J899" s="2" t="str">
        <x:v>Regelbestand laut Verkäufer</x:v>
      </x:c>
      <x:c r="K899" s="2" t="str">
        <x:v>Export KREDIT-ERF-20260930, Einzelbelege nicht im Datenraum</x:v>
      </x:c>
    </x:row>
    <x:row r="900" ht="22" customHeight="1">
      <x:c r="A900" s="2" t="str">
        <x:v>APB-0895</x:v>
      </x:c>
      <x:c r="B900" s="2" t="str">
        <x:v>Bestandskunde 0895</x:v>
      </x:c>
      <x:c r="C900" s="2" t="str">
        <x:v>Nur Verkäuferexport</x:v>
      </x:c>
      <x:c r="D900" s="9" t="n">
        <x:v>8615</x:v>
      </x:c>
      <x:c r="E900" s="9" t="n">
        <x:v>26</x:v>
      </x:c>
      <x:c r="F900" s="9" t="n">
        <x:v>0</x:v>
      </x:c>
      <x:c r="G900" s="11" t="n">
        <x:f>SUM(D900:F900)</x:f>
        <x:v>8641</x:v>
      </x:c>
      <x:c r="H900" s="10" t="n">
        <x:v>0.92</x:v>
      </x:c>
      <x:c r="I900" s="11" t="n">
        <x:f>IF(ISNUMBER(H900),ROUND(D900*H900,2),NA())</x:f>
        <x:v>7925.8</x:v>
      </x:c>
      <x:c r="J900" s="2" t="str">
        <x:v>Regelbestand laut Verkäufer</x:v>
      </x:c>
      <x:c r="K900" s="2" t="str">
        <x:v>Export KREDIT-ERF-20260930, Einzelbelege nicht im Datenraum</x:v>
      </x:c>
    </x:row>
    <x:row r="901" ht="22" customHeight="1">
      <x:c r="A901" s="2" t="str">
        <x:v>APB-0896</x:v>
      </x:c>
      <x:c r="B901" s="2" t="str">
        <x:v>Bestandskunde 0896</x:v>
      </x:c>
      <x:c r="C901" s="2" t="str">
        <x:v>Nur Verkäuferexport</x:v>
      </x:c>
      <x:c r="D901" s="9" t="n">
        <x:v>8752</x:v>
      </x:c>
      <x:c r="E901" s="9" t="n">
        <x:v>32.5</x:v>
      </x:c>
      <x:c r="F901" s="9" t="n">
        <x:v>0</x:v>
      </x:c>
      <x:c r="G901" s="11" t="n">
        <x:f>SUM(D901:F901)</x:f>
        <x:v>8784.5</x:v>
      </x:c>
      <x:c r="H901" s="10" t="n">
        <x:v>0.92</x:v>
      </x:c>
      <x:c r="I901" s="11" t="n">
        <x:f>IF(ISNUMBER(H901),ROUND(D901*H901,2),NA())</x:f>
        <x:v>8051.84</x:v>
      </x:c>
      <x:c r="J901" s="2" t="str">
        <x:v>Regelbestand laut Verkäufer</x:v>
      </x:c>
      <x:c r="K901" s="2" t="str">
        <x:v>Export KREDIT-ERF-20260930, Einzelbelege nicht im Datenraum</x:v>
      </x:c>
    </x:row>
    <x:row r="902" ht="22" customHeight="1">
      <x:c r="A902" s="2" t="str">
        <x:v>APB-0897</x:v>
      </x:c>
      <x:c r="B902" s="2" t="str">
        <x:v>Bestandskunde 0897</x:v>
      </x:c>
      <x:c r="C902" s="2" t="str">
        <x:v>Nur Verkäuferexport</x:v>
      </x:c>
      <x:c r="D902" s="9" t="n">
        <x:v>8889</x:v>
      </x:c>
      <x:c r="E902" s="9" t="n">
        <x:v>39</x:v>
      </x:c>
      <x:c r="F902" s="9" t="n">
        <x:v>0</x:v>
      </x:c>
      <x:c r="G902" s="11" t="n">
        <x:f>SUM(D902:F902)</x:f>
        <x:v>8928</x:v>
      </x:c>
      <x:c r="H902" s="10" t="n">
        <x:v>0.92</x:v>
      </x:c>
      <x:c r="I902" s="11" t="n">
        <x:f>IF(ISNUMBER(H902),ROUND(D902*H902,2),NA())</x:f>
        <x:v>8177.88</x:v>
      </x:c>
      <x:c r="J902" s="2" t="str">
        <x:v>Regelbestand laut Verkäufer</x:v>
      </x:c>
      <x:c r="K902" s="2" t="str">
        <x:v>Export KREDIT-ERF-20260930, Einzelbelege nicht im Datenraum</x:v>
      </x:c>
    </x:row>
    <x:row r="903" ht="22" customHeight="1">
      <x:c r="A903" s="2" t="str">
        <x:v>APB-0898</x:v>
      </x:c>
      <x:c r="B903" s="2" t="str">
        <x:v>Bestandskunde 0898</x:v>
      </x:c>
      <x:c r="C903" s="2" t="str">
        <x:v>Nur Verkäuferexport</x:v>
      </x:c>
      <x:c r="D903" s="9" t="n">
        <x:v>9026</x:v>
      </x:c>
      <x:c r="E903" s="9" t="n">
        <x:v>45.5</x:v>
      </x:c>
      <x:c r="F903" s="9" t="n">
        <x:v>0</x:v>
      </x:c>
      <x:c r="G903" s="11" t="n">
        <x:f>SUM(D903:F903)</x:f>
        <x:v>9071.5</x:v>
      </x:c>
      <x:c r="H903" s="10" t="n">
        <x:v>0.92</x:v>
      </x:c>
      <x:c r="I903" s="11" t="n">
        <x:f>IF(ISNUMBER(H903),ROUND(D903*H903,2),NA())</x:f>
        <x:v>8303.92</x:v>
      </x:c>
      <x:c r="J903" s="2" t="str">
        <x:v>Regelbestand laut Verkäufer</x:v>
      </x:c>
      <x:c r="K903" s="2" t="str">
        <x:v>Export KREDIT-ERF-20260930, Einzelbelege nicht im Datenraum</x:v>
      </x:c>
    </x:row>
    <x:row r="904" ht="22" customHeight="1">
      <x:c r="A904" s="2" t="str">
        <x:v>APB-0899</x:v>
      </x:c>
      <x:c r="B904" s="2" t="str">
        <x:v>Bestandskunde 0899</x:v>
      </x:c>
      <x:c r="C904" s="2" t="str">
        <x:v>Nur Verkäuferexport</x:v>
      </x:c>
      <x:c r="D904" s="9" t="n">
        <x:v>9163</x:v>
      </x:c>
      <x:c r="E904" s="9" t="n">
        <x:v>52</x:v>
      </x:c>
      <x:c r="F904" s="9" t="n">
        <x:v>15</x:v>
      </x:c>
      <x:c r="G904" s="11" t="n">
        <x:f>SUM(D904:F904)</x:f>
        <x:v>9230</x:v>
      </x:c>
      <x:c r="H904" s="10" t="n">
        <x:v>0.92</x:v>
      </x:c>
      <x:c r="I904" s="11" t="n">
        <x:f>IF(ISNUMBER(H904),ROUND(D904*H904,2),NA())</x:f>
        <x:v>8429.96</x:v>
      </x:c>
      <x:c r="J904" s="2" t="str">
        <x:v>Zahlungslücke im Export</x:v>
      </x:c>
      <x:c r="K904" s="2" t="str">
        <x:v>Export KREDIT-ERF-20260930, Einzelbelege nicht im Datenraum</x:v>
      </x:c>
    </x:row>
    <x:row r="905" ht="22" customHeight="1">
      <x:c r="A905" s="2" t="str">
        <x:v>APB-0900</x:v>
      </x:c>
      <x:c r="B905" s="2" t="str">
        <x:v>Bestandskunde 0900</x:v>
      </x:c>
      <x:c r="C905" s="2" t="str">
        <x:v>Nur Verkäuferexport</x:v>
      </x:c>
      <x:c r="D905" s="9" t="n">
        <x:v>9300</x:v>
      </x:c>
      <x:c r="E905" s="9" t="n">
        <x:v>0</x:v>
      </x:c>
      <x:c r="F905" s="9" t="n">
        <x:v>0</x:v>
      </x:c>
      <x:c r="G905" s="11" t="n">
        <x:f>SUM(D905:F905)</x:f>
        <x:v>9300</x:v>
      </x:c>
      <x:c r="H905" s="10" t="n">
        <x:v>0.92</x:v>
      </x:c>
      <x:c r="I905" s="11" t="n">
        <x:f>IF(ISNUMBER(H905),ROUND(D905*H905,2),NA())</x:f>
        <x:v>8556</x:v>
      </x:c>
      <x:c r="J905" s="2" t="str">
        <x:v>Regelbestand laut Verkäufer</x:v>
      </x:c>
      <x:c r="K905" s="2" t="str">
        <x:v>Export KREDIT-ERF-20260930, Einzelbelege nicht im Datenraum</x:v>
      </x:c>
    </x:row>
    <x:row r="906" ht="22" customHeight="1">
      <x:c r="A906" s="2" t="str">
        <x:v>APB-0901</x:v>
      </x:c>
      <x:c r="B906" s="2" t="str">
        <x:v>Bestandskunde 0901</x:v>
      </x:c>
      <x:c r="C906" s="2" t="str">
        <x:v>Nur Verkäuferexport</x:v>
      </x:c>
      <x:c r="D906" s="9" t="n">
        <x:v>9437</x:v>
      </x:c>
      <x:c r="E906" s="9" t="n">
        <x:v>6.5</x:v>
      </x:c>
      <x:c r="F906" s="9" t="n">
        <x:v>0</x:v>
      </x:c>
      <x:c r="G906" s="11" t="n">
        <x:f>SUM(D906:F906)</x:f>
        <x:v>9443.5</x:v>
      </x:c>
      <x:c r="H906" s="10" t="n">
        <x:v>0.92</x:v>
      </x:c>
      <x:c r="I906" s="11" t="n">
        <x:f>IF(ISNUMBER(H906),ROUND(D906*H906,2),NA())</x:f>
        <x:v>8682.04</x:v>
      </x:c>
      <x:c r="J906" s="2" t="str">
        <x:v>Regelbestand laut Verkäufer</x:v>
      </x:c>
      <x:c r="K906" s="2" t="str">
        <x:v>Export KREDIT-ERF-20260930, Einzelbelege nicht im Datenraum</x:v>
      </x:c>
    </x:row>
    <x:row r="907" ht="22" customHeight="1">
      <x:c r="A907" s="2" t="str">
        <x:v>APB-0902</x:v>
      </x:c>
      <x:c r="B907" s="2" t="str">
        <x:v>Bestandskunde 0902</x:v>
      </x:c>
      <x:c r="C907" s="2" t="str">
        <x:v>Nur Verkäuferexport</x:v>
      </x:c>
      <x:c r="D907" s="9" t="n">
        <x:v>9574</x:v>
      </x:c>
      <x:c r="E907" s="9" t="n">
        <x:v>13</x:v>
      </x:c>
      <x:c r="F907" s="9" t="n">
        <x:v>0</x:v>
      </x:c>
      <x:c r="G907" s="11" t="n">
        <x:f>SUM(D907:F907)</x:f>
        <x:v>9587</x:v>
      </x:c>
      <x:c r="H907" s="10" t="n">
        <x:v>0.92</x:v>
      </x:c>
      <x:c r="I907" s="11" t="n">
        <x:f>IF(ISNUMBER(H907),ROUND(D907*H907,2),NA())</x:f>
        <x:v>8808.08</x:v>
      </x:c>
      <x:c r="J907" s="2" t="str">
        <x:v>Regelbestand laut Verkäufer</x:v>
      </x:c>
      <x:c r="K907" s="2" t="str">
        <x:v>Export KREDIT-ERF-20260930, Einzelbelege nicht im Datenraum</x:v>
      </x:c>
    </x:row>
    <x:row r="908" ht="22" customHeight="1">
      <x:c r="A908" s="2" t="str">
        <x:v>APB-0903</x:v>
      </x:c>
      <x:c r="B908" s="2" t="str">
        <x:v>Bestandskunde 0903</x:v>
      </x:c>
      <x:c r="C908" s="2" t="str">
        <x:v>Nur Verkäuferexport</x:v>
      </x:c>
      <x:c r="D908" s="9" t="n">
        <x:v>9711</x:v>
      </x:c>
      <x:c r="E908" s="9" t="n">
        <x:v>19.5</x:v>
      </x:c>
      <x:c r="F908" s="9" t="n">
        <x:v>0</x:v>
      </x:c>
      <x:c r="G908" s="11" t="n">
        <x:f>SUM(D908:F908)</x:f>
        <x:v>9730.5</x:v>
      </x:c>
      <x:c r="H908" s="10" t="n">
        <x:v>0.92</x:v>
      </x:c>
      <x:c r="I908" s="11" t="n">
        <x:f>IF(ISNUMBER(H908),ROUND(D908*H908,2),NA())</x:f>
        <x:v>8934.12</x:v>
      </x:c>
      <x:c r="J908" s="2" t="str">
        <x:v>Regelbestand laut Verkäufer</x:v>
      </x:c>
      <x:c r="K908" s="2" t="str">
        <x:v>Export KREDIT-ERF-20260930, Einzelbelege nicht im Datenraum</x:v>
      </x:c>
    </x:row>
    <x:row r="909" ht="22" customHeight="1">
      <x:c r="A909" s="2" t="str">
        <x:v>APB-0904</x:v>
      </x:c>
      <x:c r="B909" s="2" t="str">
        <x:v>Bestandskunde 0904</x:v>
      </x:c>
      <x:c r="C909" s="2" t="str">
        <x:v>Nur Verkäuferexport</x:v>
      </x:c>
      <x:c r="D909" s="9" t="n">
        <x:v>9848</x:v>
      </x:c>
      <x:c r="E909" s="9" t="n">
        <x:v>26</x:v>
      </x:c>
      <x:c r="F909" s="9" t="n">
        <x:v>0</x:v>
      </x:c>
      <x:c r="G909" s="11" t="n">
        <x:f>SUM(D909:F909)</x:f>
        <x:v>9874</x:v>
      </x:c>
      <x:c r="H909" s="10" t="n">
        <x:v>0.92</x:v>
      </x:c>
      <x:c r="I909" s="11" t="n">
        <x:f>IF(ISNUMBER(H909),ROUND(D909*H909,2),NA())</x:f>
        <x:v>9060.16</x:v>
      </x:c>
      <x:c r="J909" s="2" t="str">
        <x:v>Regelbestand laut Verkäufer</x:v>
      </x:c>
      <x:c r="K909" s="2" t="str">
        <x:v>Export KREDIT-ERF-20260930, Einzelbelege nicht im Datenraum</x:v>
      </x:c>
    </x:row>
    <x:row r="910" ht="22" customHeight="1">
      <x:c r="A910" s="2" t="str">
        <x:v>APB-0905</x:v>
      </x:c>
      <x:c r="B910" s="2" t="str">
        <x:v>Bestandskunde 0905</x:v>
      </x:c>
      <x:c r="C910" s="2" t="str">
        <x:v>Nur Verkäuferexport</x:v>
      </x:c>
      <x:c r="D910" s="9" t="n">
        <x:v>9985</x:v>
      </x:c>
      <x:c r="E910" s="9" t="n">
        <x:v>32.5</x:v>
      </x:c>
      <x:c r="F910" s="9" t="n">
        <x:v>0</x:v>
      </x:c>
      <x:c r="G910" s="11" t="n">
        <x:f>SUM(D910:F910)</x:f>
        <x:v>10017.5</x:v>
      </x:c>
      <x:c r="H910" s="10" t="n">
        <x:v>0.92</x:v>
      </x:c>
      <x:c r="I910" s="11" t="n">
        <x:f>IF(ISNUMBER(H910),ROUND(D910*H910,2),NA())</x:f>
        <x:v>9186.2</x:v>
      </x:c>
      <x:c r="J910" s="2" t="str">
        <x:v>Regelbestand laut Verkäufer</x:v>
      </x:c>
      <x:c r="K910" s="2" t="str">
        <x:v>Export KREDIT-ERF-20260930, Einzelbelege nicht im Datenraum</x:v>
      </x:c>
    </x:row>
    <x:row r="911" ht="22" customHeight="1">
      <x:c r="A911" s="2" t="str">
        <x:v>APB-0906</x:v>
      </x:c>
      <x:c r="B911" s="2" t="str">
        <x:v>Bestandskunde 0906</x:v>
      </x:c>
      <x:c r="C911" s="2" t="str">
        <x:v>Nur Verkäuferexport</x:v>
      </x:c>
      <x:c r="D911" s="9" t="n">
        <x:v>10122</x:v>
      </x:c>
      <x:c r="E911" s="9" t="n">
        <x:v>39</x:v>
      </x:c>
      <x:c r="F911" s="9" t="n">
        <x:v>0</x:v>
      </x:c>
      <x:c r="G911" s="11" t="n">
        <x:f>SUM(D911:F911)</x:f>
        <x:v>10161</x:v>
      </x:c>
      <x:c r="H911" s="10" t="n">
        <x:v>0.92</x:v>
      </x:c>
      <x:c r="I911" s="11" t="n">
        <x:f>IF(ISNUMBER(H911),ROUND(D911*H911,2),NA())</x:f>
        <x:v>9312.24</x:v>
      </x:c>
      <x:c r="J911" s="2" t="str">
        <x:v>Regelbestand laut Verkäufer</x:v>
      </x:c>
      <x:c r="K911" s="2" t="str">
        <x:v>Export KREDIT-ERF-20260930, Einzelbelege nicht im Datenraum</x:v>
      </x:c>
    </x:row>
    <x:row r="912" ht="22" customHeight="1">
      <x:c r="A912" s="2" t="str">
        <x:v>APB-0907</x:v>
      </x:c>
      <x:c r="B912" s="2" t="str">
        <x:v>Bestandskunde 0907</x:v>
      </x:c>
      <x:c r="C912" s="2" t="str">
        <x:v>Nur Verkäuferexport</x:v>
      </x:c>
      <x:c r="D912" s="9" t="n">
        <x:v>10259</x:v>
      </x:c>
      <x:c r="E912" s="9" t="n">
        <x:v>45.5</x:v>
      </x:c>
      <x:c r="F912" s="9" t="n">
        <x:v>0</x:v>
      </x:c>
      <x:c r="G912" s="11" t="n">
        <x:f>SUM(D912:F912)</x:f>
        <x:v>10304.5</x:v>
      </x:c>
      <x:c r="H912" s="10" t="n">
        <x:v>0.92</x:v>
      </x:c>
      <x:c r="I912" s="11" t="n">
        <x:f>IF(ISNUMBER(H912),ROUND(D912*H912,2),NA())</x:f>
        <x:v>9438.28</x:v>
      </x:c>
      <x:c r="J912" s="2" t="str">
        <x:v>Regelbestand laut Verkäufer</x:v>
      </x:c>
      <x:c r="K912" s="2" t="str">
        <x:v>Export KREDIT-ERF-20260930, Einzelbelege nicht im Datenraum</x:v>
      </x:c>
    </x:row>
    <x:row r="913" ht="22" customHeight="1">
      <x:c r="A913" s="2" t="str">
        <x:v>APB-0908</x:v>
      </x:c>
      <x:c r="B913" s="2" t="str">
        <x:v>Bestandskunde 0908</x:v>
      </x:c>
      <x:c r="C913" s="2" t="str">
        <x:v>Nur Verkäuferexport</x:v>
      </x:c>
      <x:c r="D913" s="9" t="n">
        <x:v>10396</x:v>
      </x:c>
      <x:c r="E913" s="9" t="n">
        <x:v>52</x:v>
      </x:c>
      <x:c r="F913" s="9" t="n">
        <x:v>0</x:v>
      </x:c>
      <x:c r="G913" s="11" t="n">
        <x:f>SUM(D913:F913)</x:f>
        <x:v>10448</x:v>
      </x:c>
      <x:c r="H913" s="10" t="n">
        <x:v>0.92</x:v>
      </x:c>
      <x:c r="I913" s="11" t="n">
        <x:f>IF(ISNUMBER(H913),ROUND(D913*H913,2),NA())</x:f>
        <x:v>9564.32</x:v>
      </x:c>
      <x:c r="J913" s="2" t="str">
        <x:v>Regelbestand laut Verkäufer</x:v>
      </x:c>
      <x:c r="K913" s="2" t="str">
        <x:v>Export KREDIT-ERF-20260930, Einzelbelege nicht im Datenraum</x:v>
      </x:c>
    </x:row>
    <x:row r="914" ht="22" customHeight="1">
      <x:c r="A914" s="2" t="str">
        <x:v>APB-0909</x:v>
      </x:c>
      <x:c r="B914" s="2" t="str">
        <x:v>Bestandskunde 0909</x:v>
      </x:c>
      <x:c r="C914" s="2" t="str">
        <x:v>Nur Verkäuferexport</x:v>
      </x:c>
      <x:c r="D914" s="9" t="n">
        <x:v>10533</x:v>
      </x:c>
      <x:c r="E914" s="9" t="n">
        <x:v>0</x:v>
      </x:c>
      <x:c r="F914" s="9" t="n">
        <x:v>0</x:v>
      </x:c>
      <x:c r="G914" s="11" t="n">
        <x:f>SUM(D914:F914)</x:f>
        <x:v>10533</x:v>
      </x:c>
      <x:c r="H914" s="10" t="n">
        <x:v>0.92</x:v>
      </x:c>
      <x:c r="I914" s="11" t="n">
        <x:f>IF(ISNUMBER(H914),ROUND(D914*H914,2),NA())</x:f>
        <x:v>9690.36</x:v>
      </x:c>
      <x:c r="J914" s="2" t="str">
        <x:v>Regelbestand laut Verkäufer</x:v>
      </x:c>
      <x:c r="K914" s="2" t="str">
        <x:v>Export KREDIT-ERF-20260930, Einzelbelege nicht im Datenraum</x:v>
      </x:c>
    </x:row>
    <x:row r="915" ht="22" customHeight="1">
      <x:c r="A915" s="2" t="str">
        <x:v>APB-0910</x:v>
      </x:c>
      <x:c r="B915" s="2" t="str">
        <x:v>Bestandskunde 0910</x:v>
      </x:c>
      <x:c r="C915" s="2" t="str">
        <x:v>Nur Verkäuferexport</x:v>
      </x:c>
      <x:c r="D915" s="9" t="n">
        <x:v>10670</x:v>
      </x:c>
      <x:c r="E915" s="9" t="n">
        <x:v>6.5</x:v>
      </x:c>
      <x:c r="F915" s="9" t="n">
        <x:v>0</x:v>
      </x:c>
      <x:c r="G915" s="11" t="n">
        <x:f>SUM(D915:F915)</x:f>
        <x:v>10676.5</x:v>
      </x:c>
      <x:c r="H915" s="10" t="n">
        <x:v>0.92</x:v>
      </x:c>
      <x:c r="I915" s="11" t="n">
        <x:f>IF(ISNUMBER(H915),ROUND(D915*H915,2),NA())</x:f>
        <x:v>9816.4</x:v>
      </x:c>
      <x:c r="J915" s="2" t="str">
        <x:v>Regelbestand laut Verkäufer</x:v>
      </x:c>
      <x:c r="K915" s="2" t="str">
        <x:v>Export KREDIT-ERF-20260930, Einzelbelege nicht im Datenraum</x:v>
      </x:c>
    </x:row>
    <x:row r="916" ht="22" customHeight="1">
      <x:c r="A916" s="2" t="str">
        <x:v>APB-0911</x:v>
      </x:c>
      <x:c r="B916" s="2" t="str">
        <x:v>Bestandskunde 0911</x:v>
      </x:c>
      <x:c r="C916" s="2" t="str">
        <x:v>Nur Verkäuferexport</x:v>
      </x:c>
      <x:c r="D916" s="9" t="n">
        <x:v>10807</x:v>
      </x:c>
      <x:c r="E916" s="9" t="n">
        <x:v>13</x:v>
      </x:c>
      <x:c r="F916" s="9" t="n">
        <x:v>0</x:v>
      </x:c>
      <x:c r="G916" s="11" t="n">
        <x:f>SUM(D916:F916)</x:f>
        <x:v>10820</x:v>
      </x:c>
      <x:c r="H916" s="10" t="n">
        <x:v>0.92</x:v>
      </x:c>
      <x:c r="I916" s="11" t="n">
        <x:f>IF(ISNUMBER(H916),ROUND(D916*H916,2),NA())</x:f>
        <x:v>9942.44</x:v>
      </x:c>
      <x:c r="J916" s="2" t="str">
        <x:v>Regelbestand laut Verkäufer</x:v>
      </x:c>
      <x:c r="K916" s="2" t="str">
        <x:v>Export KREDIT-ERF-20260930, Einzelbelege nicht im Datenraum</x:v>
      </x:c>
    </x:row>
    <x:row r="917" ht="22" customHeight="1">
      <x:c r="A917" s="2" t="str">
        <x:v>APB-0912</x:v>
      </x:c>
      <x:c r="B917" s="2" t="str">
        <x:v>Bestandskunde 0912</x:v>
      </x:c>
      <x:c r="C917" s="2" t="str">
        <x:v>Nur Verkäuferexport</x:v>
      </x:c>
      <x:c r="D917" s="9" t="n">
        <x:v>10944</x:v>
      </x:c>
      <x:c r="E917" s="9" t="n">
        <x:v>19.5</x:v>
      </x:c>
      <x:c r="F917" s="9" t="n">
        <x:v>0</x:v>
      </x:c>
      <x:c r="G917" s="11" t="n">
        <x:f>SUM(D917:F917)</x:f>
        <x:v>10963.5</x:v>
      </x:c>
      <x:c r="H917" s="10" t="n">
        <x:v>0.92</x:v>
      </x:c>
      <x:c r="I917" s="11" t="n">
        <x:f>IF(ISNUMBER(H917),ROUND(D917*H917,2),NA())</x:f>
        <x:v>10068.48</x:v>
      </x:c>
      <x:c r="J917" s="2" t="str">
        <x:v>Regelbestand laut Verkäufer</x:v>
      </x:c>
      <x:c r="K917" s="2" t="str">
        <x:v>Export KREDIT-ERF-20260930, Einzelbelege nicht im Datenraum</x:v>
      </x:c>
    </x:row>
    <x:row r="918" ht="22" customHeight="1">
      <x:c r="A918" s="2" t="str">
        <x:v>APB-0913</x:v>
      </x:c>
      <x:c r="B918" s="2" t="str">
        <x:v>Bestandskunde 0913</x:v>
      </x:c>
      <x:c r="C918" s="2" t="str">
        <x:v>Nur Verkäuferexport</x:v>
      </x:c>
      <x:c r="D918" s="9" t="n">
        <x:v>11081</x:v>
      </x:c>
      <x:c r="E918" s="9" t="n">
        <x:v>26</x:v>
      </x:c>
      <x:c r="F918" s="9" t="n">
        <x:v>0</x:v>
      </x:c>
      <x:c r="G918" s="11" t="n">
        <x:f>SUM(D918:F918)</x:f>
        <x:v>11107</x:v>
      </x:c>
      <x:c r="H918" s="10" t="n">
        <x:v>0.92</x:v>
      </x:c>
      <x:c r="I918" s="11" t="n">
        <x:f>IF(ISNUMBER(H918),ROUND(D918*H918,2),NA())</x:f>
        <x:v>10194.52</x:v>
      </x:c>
      <x:c r="J918" s="2" t="str">
        <x:v>Regelbestand laut Verkäufer</x:v>
      </x:c>
      <x:c r="K918" s="2" t="str">
        <x:v>Export KREDIT-ERF-20260930, Einzelbelege nicht im Datenraum</x:v>
      </x:c>
    </x:row>
    <x:row r="919" ht="22" customHeight="1">
      <x:c r="A919" s="2" t="str">
        <x:v>APB-0914</x:v>
      </x:c>
      <x:c r="B919" s="2" t="str">
        <x:v>Bestandskunde 0914</x:v>
      </x:c>
      <x:c r="C919" s="2" t="str">
        <x:v>Nur Verkäuferexport</x:v>
      </x:c>
      <x:c r="D919" s="9" t="n">
        <x:v>11218</x:v>
      </x:c>
      <x:c r="E919" s="9" t="n">
        <x:v>32.5</x:v>
      </x:c>
      <x:c r="F919" s="9" t="n">
        <x:v>0</x:v>
      </x:c>
      <x:c r="G919" s="11" t="n">
        <x:f>SUM(D919:F919)</x:f>
        <x:v>11250.5</x:v>
      </x:c>
      <x:c r="H919" s="10" t="n">
        <x:v>0.92</x:v>
      </x:c>
      <x:c r="I919" s="11" t="n">
        <x:f>IF(ISNUMBER(H919),ROUND(D919*H919,2),NA())</x:f>
        <x:v>10320.56</x:v>
      </x:c>
      <x:c r="J919" s="2" t="str">
        <x:v>Regelbestand laut Verkäufer</x:v>
      </x:c>
      <x:c r="K919" s="2" t="str">
        <x:v>Export KREDIT-ERF-20260930, Einzelbelege nicht im Datenraum</x:v>
      </x:c>
    </x:row>
    <x:row r="920" ht="22" customHeight="1">
      <x:c r="A920" s="2" t="str">
        <x:v>APB-0915</x:v>
      </x:c>
      <x:c r="B920" s="2" t="str">
        <x:v>Bestandskunde 0915</x:v>
      </x:c>
      <x:c r="C920" s="2" t="str">
        <x:v>Nur Verkäuferexport</x:v>
      </x:c>
      <x:c r="D920" s="9" t="n">
        <x:v>11355</x:v>
      </x:c>
      <x:c r="E920" s="9" t="n">
        <x:v>39</x:v>
      </x:c>
      <x:c r="F920" s="9" t="n">
        <x:v>0</x:v>
      </x:c>
      <x:c r="G920" s="11" t="n">
        <x:f>SUM(D920:F920)</x:f>
        <x:v>11394</x:v>
      </x:c>
      <x:c r="H920" s="10" t="n">
        <x:v>0.92</x:v>
      </x:c>
      <x:c r="I920" s="11" t="n">
        <x:f>IF(ISNUMBER(H920),ROUND(D920*H920,2),NA())</x:f>
        <x:v>10446.6</x:v>
      </x:c>
      <x:c r="J920" s="2" t="str">
        <x:v>Regelbestand laut Verkäufer</x:v>
      </x:c>
      <x:c r="K920" s="2" t="str">
        <x:v>Export KREDIT-ERF-20260930, Einzelbelege nicht im Datenraum</x:v>
      </x:c>
    </x:row>
    <x:row r="921" ht="22" customHeight="1">
      <x:c r="A921" s="2" t="str">
        <x:v>APB-0916</x:v>
      </x:c>
      <x:c r="B921" s="2" t="str">
        <x:v>Bestandskunde 0916</x:v>
      </x:c>
      <x:c r="C921" s="2" t="str">
        <x:v>Nur Verkäuferexport</x:v>
      </x:c>
      <x:c r="D921" s="9" t="n">
        <x:v>11492</x:v>
      </x:c>
      <x:c r="E921" s="9" t="n">
        <x:v>45.5</x:v>
      </x:c>
      <x:c r="F921" s="9" t="n">
        <x:v>0</x:v>
      </x:c>
      <x:c r="G921" s="11" t="n">
        <x:f>SUM(D921:F921)</x:f>
        <x:v>11537.5</x:v>
      </x:c>
      <x:c r="H921" s="10" t="n">
        <x:v>0.92</x:v>
      </x:c>
      <x:c r="I921" s="11" t="n">
        <x:f>IF(ISNUMBER(H921),ROUND(D921*H921,2),NA())</x:f>
        <x:v>10572.64</x:v>
      </x:c>
      <x:c r="J921" s="2" t="str">
        <x:v>Regelbestand laut Verkäufer</x:v>
      </x:c>
      <x:c r="K921" s="2" t="str">
        <x:v>Export KREDIT-ERF-20260930, Einzelbelege nicht im Datenraum</x:v>
      </x:c>
    </x:row>
    <x:row r="922" ht="22" customHeight="1">
      <x:c r="A922" s="2" t="str">
        <x:v>APB-0917</x:v>
      </x:c>
      <x:c r="B922" s="2" t="str">
        <x:v>Bestandskunde 0917</x:v>
      </x:c>
      <x:c r="C922" s="2" t="str">
        <x:v>Nur Verkäuferexport</x:v>
      </x:c>
      <x:c r="D922" s="9" t="n">
        <x:v>11629</x:v>
      </x:c>
      <x:c r="E922" s="9" t="n">
        <x:v>52</x:v>
      </x:c>
      <x:c r="F922" s="9" t="n">
        <x:v>0</x:v>
      </x:c>
      <x:c r="G922" s="11" t="n">
        <x:f>SUM(D922:F922)</x:f>
        <x:v>11681</x:v>
      </x:c>
      <x:c r="H922" s="10" t="n">
        <x:v>0.92</x:v>
      </x:c>
      <x:c r="I922" s="11" t="n">
        <x:f>IF(ISNUMBER(H922),ROUND(D922*H922,2),NA())</x:f>
        <x:v>10698.68</x:v>
      </x:c>
      <x:c r="J922" s="2" t="str">
        <x:v>Regelbestand laut Verkäufer</x:v>
      </x:c>
      <x:c r="K922" s="2" t="str">
        <x:v>Export KREDIT-ERF-20260930, Einzelbelege nicht im Datenraum</x:v>
      </x:c>
    </x:row>
    <x:row r="923" ht="22" customHeight="1">
      <x:c r="A923" s="2" t="str">
        <x:v>APB-0918</x:v>
      </x:c>
      <x:c r="B923" s="2" t="str">
        <x:v>Bestandskunde 0918</x:v>
      </x:c>
      <x:c r="C923" s="2" t="str">
        <x:v>Nur Verkäuferexport</x:v>
      </x:c>
      <x:c r="D923" s="9" t="n">
        <x:v>11766</x:v>
      </x:c>
      <x:c r="E923" s="9" t="n">
        <x:v>0</x:v>
      </x:c>
      <x:c r="F923" s="9" t="n">
        <x:v>0</x:v>
      </x:c>
      <x:c r="G923" s="11" t="n">
        <x:f>SUM(D923:F923)</x:f>
        <x:v>11766</x:v>
      </x:c>
      <x:c r="H923" s="10" t="n">
        <x:v>0.92</x:v>
      </x:c>
      <x:c r="I923" s="11" t="n">
        <x:f>IF(ISNUMBER(H923),ROUND(D923*H923,2),NA())</x:f>
        <x:v>10824.72</x:v>
      </x:c>
      <x:c r="J923" s="2" t="str">
        <x:v>Regelbestand laut Verkäufer</x:v>
      </x:c>
      <x:c r="K923" s="2" t="str">
        <x:v>Export KREDIT-ERF-20260930, Einzelbelege nicht im Datenraum</x:v>
      </x:c>
    </x:row>
    <x:row r="924" ht="22" customHeight="1">
      <x:c r="A924" s="2" t="str">
        <x:v>APB-0919</x:v>
      </x:c>
      <x:c r="B924" s="2" t="str">
        <x:v>Bestandskunde 0919</x:v>
      </x:c>
      <x:c r="C924" s="2" t="str">
        <x:v>Nur Verkäuferexport</x:v>
      </x:c>
      <x:c r="D924" s="9" t="n">
        <x:v>11903</x:v>
      </x:c>
      <x:c r="E924" s="9" t="n">
        <x:v>6.5</x:v>
      </x:c>
      <x:c r="F924" s="9" t="n">
        <x:v>0</x:v>
      </x:c>
      <x:c r="G924" s="11" t="n">
        <x:f>SUM(D924:F924)</x:f>
        <x:v>11909.5</x:v>
      </x:c>
      <x:c r="H924" s="10" t="n">
        <x:v>0.92</x:v>
      </x:c>
      <x:c r="I924" s="11" t="n">
        <x:f>IF(ISNUMBER(H924),ROUND(D924*H924,2),NA())</x:f>
        <x:v>10950.76</x:v>
      </x:c>
      <x:c r="J924" s="2" t="str">
        <x:v>Regelbestand laut Verkäufer</x:v>
      </x:c>
      <x:c r="K924" s="2" t="str">
        <x:v>Export KREDIT-ERF-20260930, Einzelbelege nicht im Datenraum</x:v>
      </x:c>
    </x:row>
    <x:row r="925" ht="22" customHeight="1">
      <x:c r="A925" s="2" t="str">
        <x:v>APB-0920</x:v>
      </x:c>
      <x:c r="B925" s="2" t="str">
        <x:v>Bestandskunde 0920</x:v>
      </x:c>
      <x:c r="C925" s="2" t="str">
        <x:v>Nur Verkäuferexport</x:v>
      </x:c>
      <x:c r="D925" s="9" t="n">
        <x:v>12040</x:v>
      </x:c>
      <x:c r="E925" s="9" t="n">
        <x:v>13</x:v>
      </x:c>
      <x:c r="F925" s="9" t="n">
        <x:v>0</x:v>
      </x:c>
      <x:c r="G925" s="11" t="n">
        <x:f>SUM(D925:F925)</x:f>
        <x:v>12053</x:v>
      </x:c>
      <x:c r="H925" s="10" t="n">
        <x:v>0.92</x:v>
      </x:c>
      <x:c r="I925" s="11" t="n">
        <x:f>IF(ISNUMBER(H925),ROUND(D925*H925,2),NA())</x:f>
        <x:v>11076.8</x:v>
      </x:c>
      <x:c r="J925" s="2" t="str">
        <x:v>Regelbestand laut Verkäufer</x:v>
      </x:c>
      <x:c r="K925" s="2" t="str">
        <x:v>Export KREDIT-ERF-20260930, Einzelbelege nicht im Datenraum</x:v>
      </x:c>
    </x:row>
    <x:row r="926" ht="22" customHeight="1">
      <x:c r="A926" s="2" t="str">
        <x:v>APB-0921</x:v>
      </x:c>
      <x:c r="B926" s="2" t="str">
        <x:v>Bestandskunde 0921</x:v>
      </x:c>
      <x:c r="C926" s="2" t="str">
        <x:v>Nur Verkäuferexport</x:v>
      </x:c>
      <x:c r="D926" s="9" t="n">
        <x:v>12177</x:v>
      </x:c>
      <x:c r="E926" s="9" t="n">
        <x:v>19.5</x:v>
      </x:c>
      <x:c r="F926" s="9" t="n">
        <x:v>0</x:v>
      </x:c>
      <x:c r="G926" s="11" t="n">
        <x:f>SUM(D926:F926)</x:f>
        <x:v>12196.5</x:v>
      </x:c>
      <x:c r="H926" s="10" t="n">
        <x:v>0.92</x:v>
      </x:c>
      <x:c r="I926" s="11" t="n">
        <x:f>IF(ISNUMBER(H926),ROUND(D926*H926,2),NA())</x:f>
        <x:v>11202.84</x:v>
      </x:c>
      <x:c r="J926" s="2" t="str">
        <x:v>Regelbestand laut Verkäufer</x:v>
      </x:c>
      <x:c r="K926" s="2" t="str">
        <x:v>Export KREDIT-ERF-20260930, Einzelbelege nicht im Datenraum</x:v>
      </x:c>
    </x:row>
    <x:row r="927" ht="22" customHeight="1">
      <x:c r="A927" s="2" t="str">
        <x:v>APB-0922</x:v>
      </x:c>
      <x:c r="B927" s="2" t="str">
        <x:v>Bestandskunde 0922</x:v>
      </x:c>
      <x:c r="C927" s="2" t="str">
        <x:v>Nur Verkäuferexport</x:v>
      </x:c>
      <x:c r="D927" s="9" t="n">
        <x:v>12314</x:v>
      </x:c>
      <x:c r="E927" s="9" t="n">
        <x:v>26</x:v>
      </x:c>
      <x:c r="F927" s="9" t="n">
        <x:v>0</x:v>
      </x:c>
      <x:c r="G927" s="11" t="n">
        <x:f>SUM(D927:F927)</x:f>
        <x:v>12340</x:v>
      </x:c>
      <x:c r="H927" s="10" t="n">
        <x:v>0.92</x:v>
      </x:c>
      <x:c r="I927" s="11" t="n">
        <x:f>IF(ISNUMBER(H927),ROUND(D927*H927,2),NA())</x:f>
        <x:v>11328.88</x:v>
      </x:c>
      <x:c r="J927" s="2" t="str">
        <x:v>Regelbestand laut Verkäufer</x:v>
      </x:c>
      <x:c r="K927" s="2" t="str">
        <x:v>Export KREDIT-ERF-20260930, Einzelbelege nicht im Datenraum</x:v>
      </x:c>
    </x:row>
    <x:row r="928" ht="22" customHeight="1">
      <x:c r="A928" s="2" t="str">
        <x:v>APB-0923</x:v>
      </x:c>
      <x:c r="B928" s="2" t="str">
        <x:v>Bestandskunde 0923</x:v>
      </x:c>
      <x:c r="C928" s="2" t="str">
        <x:v>Nur Verkäuferexport</x:v>
      </x:c>
      <x:c r="D928" s="9" t="n">
        <x:v>12451</x:v>
      </x:c>
      <x:c r="E928" s="9" t="n">
        <x:v>32.5</x:v>
      </x:c>
      <x:c r="F928" s="9" t="n">
        <x:v>0</x:v>
      </x:c>
      <x:c r="G928" s="11" t="n">
        <x:f>SUM(D928:F928)</x:f>
        <x:v>12483.5</x:v>
      </x:c>
      <x:c r="H928" s="10" t="n">
        <x:v>0.92</x:v>
      </x:c>
      <x:c r="I928" s="11" t="n">
        <x:f>IF(ISNUMBER(H928),ROUND(D928*H928,2),NA())</x:f>
        <x:v>11454.92</x:v>
      </x:c>
      <x:c r="J928" s="2" t="str">
        <x:v>Regelbestand laut Verkäufer</x:v>
      </x:c>
      <x:c r="K928" s="2" t="str">
        <x:v>Export KREDIT-ERF-20260930, Einzelbelege nicht im Datenraum</x:v>
      </x:c>
    </x:row>
    <x:row r="929" ht="22" customHeight="1">
      <x:c r="A929" s="2" t="str">
        <x:v>APB-0924</x:v>
      </x:c>
      <x:c r="B929" s="2" t="str">
        <x:v>Bestandskunde 0924</x:v>
      </x:c>
      <x:c r="C929" s="2" t="str">
        <x:v>Nur Verkäuferexport</x:v>
      </x:c>
      <x:c r="D929" s="9" t="n">
        <x:v>12588</x:v>
      </x:c>
      <x:c r="E929" s="9" t="n">
        <x:v>39</x:v>
      </x:c>
      <x:c r="F929" s="9" t="n">
        <x:v>0</x:v>
      </x:c>
      <x:c r="G929" s="11" t="n">
        <x:f>SUM(D929:F929)</x:f>
        <x:v>12627</x:v>
      </x:c>
      <x:c r="H929" s="10" t="n">
        <x:v>0.92</x:v>
      </x:c>
      <x:c r="I929" s="11" t="n">
        <x:f>IF(ISNUMBER(H929),ROUND(D929*H929,2),NA())</x:f>
        <x:v>11580.96</x:v>
      </x:c>
      <x:c r="J929" s="2" t="str">
        <x:v>Regelbestand laut Verkäufer</x:v>
      </x:c>
      <x:c r="K929" s="2" t="str">
        <x:v>Export KREDIT-ERF-20260930, Einzelbelege nicht im Datenraum</x:v>
      </x:c>
    </x:row>
    <x:row r="930" ht="22" customHeight="1">
      <x:c r="A930" s="2" t="str">
        <x:v>APB-0925</x:v>
      </x:c>
      <x:c r="B930" s="2" t="str">
        <x:v>Bestandskunde 0925</x:v>
      </x:c>
      <x:c r="C930" s="2" t="str">
        <x:v>Nur Verkäuferexport</x:v>
      </x:c>
      <x:c r="D930" s="9" t="n">
        <x:v>12725</x:v>
      </x:c>
      <x:c r="E930" s="9" t="n">
        <x:v>45.5</x:v>
      </x:c>
      <x:c r="F930" s="9" t="n">
        <x:v>0</x:v>
      </x:c>
      <x:c r="G930" s="11" t="n">
        <x:f>SUM(D930:F930)</x:f>
        <x:v>12770.5</x:v>
      </x:c>
      <x:c r="H930" s="10" t="n">
        <x:v>0.92</x:v>
      </x:c>
      <x:c r="I930" s="11" t="n">
        <x:f>IF(ISNUMBER(H930),ROUND(D930*H930,2),NA())</x:f>
        <x:v>11707</x:v>
      </x:c>
      <x:c r="J930" s="2" t="str">
        <x:v>Regelbestand laut Verkäufer</x:v>
      </x:c>
      <x:c r="K930" s="2" t="str">
        <x:v>Export KREDIT-ERF-20260930, Einzelbelege nicht im Datenraum</x:v>
      </x:c>
    </x:row>
    <x:row r="931" ht="22" customHeight="1">
      <x:c r="A931" s="2" t="str">
        <x:v>APB-0926</x:v>
      </x:c>
      <x:c r="B931" s="2" t="str">
        <x:v>Bestandskunde 0926</x:v>
      </x:c>
      <x:c r="C931" s="2" t="str">
        <x:v>Nur Verkäuferexport</x:v>
      </x:c>
      <x:c r="D931" s="9" t="n">
        <x:v>12862</x:v>
      </x:c>
      <x:c r="E931" s="9" t="n">
        <x:v>52</x:v>
      </x:c>
      <x:c r="F931" s="9" t="n">
        <x:v>0</x:v>
      </x:c>
      <x:c r="G931" s="11" t="n">
        <x:f>SUM(D931:F931)</x:f>
        <x:v>12914</x:v>
      </x:c>
      <x:c r="H931" s="10" t="n">
        <x:v>0.92</x:v>
      </x:c>
      <x:c r="I931" s="11" t="n">
        <x:f>IF(ISNUMBER(H931),ROUND(D931*H931,2),NA())</x:f>
        <x:v>11833.04</x:v>
      </x:c>
      <x:c r="J931" s="2" t="str">
        <x:v>Regelbestand laut Verkäufer</x:v>
      </x:c>
      <x:c r="K931" s="2" t="str">
        <x:v>Export KREDIT-ERF-20260930, Einzelbelege nicht im Datenraum</x:v>
      </x:c>
    </x:row>
    <x:row r="932" ht="22" customHeight="1">
      <x:c r="A932" s="2" t="str">
        <x:v>APB-0927</x:v>
      </x:c>
      <x:c r="B932" s="2" t="str">
        <x:v>Bestandskunde 0927</x:v>
      </x:c>
      <x:c r="C932" s="2" t="str">
        <x:v>Nur Verkäuferexport</x:v>
      </x:c>
      <x:c r="D932" s="9" t="n">
        <x:v>12999</x:v>
      </x:c>
      <x:c r="E932" s="9" t="n">
        <x:v>0</x:v>
      </x:c>
      <x:c r="F932" s="9" t="n">
        <x:v>0</x:v>
      </x:c>
      <x:c r="G932" s="11" t="n">
        <x:f>SUM(D932:F932)</x:f>
        <x:v>12999</x:v>
      </x:c>
      <x:c r="H932" s="10" t="n">
        <x:v>0.92</x:v>
      </x:c>
      <x:c r="I932" s="11" t="n">
        <x:f>IF(ISNUMBER(H932),ROUND(D932*H932,2),NA())</x:f>
        <x:v>11959.08</x:v>
      </x:c>
      <x:c r="J932" s="2" t="str">
        <x:v>Regelbestand laut Verkäufer</x:v>
      </x:c>
      <x:c r="K932" s="2" t="str">
        <x:v>Export KREDIT-ERF-20260930, Einzelbelege nicht im Datenraum</x:v>
      </x:c>
    </x:row>
    <x:row r="933" ht="22" customHeight="1">
      <x:c r="A933" s="2" t="str">
        <x:v>APB-0928</x:v>
      </x:c>
      <x:c r="B933" s="2" t="str">
        <x:v>Bestandskunde 0928</x:v>
      </x:c>
      <x:c r="C933" s="2" t="str">
        <x:v>Nur Verkäuferexport</x:v>
      </x:c>
      <x:c r="D933" s="9" t="n">
        <x:v>13136</x:v>
      </x:c>
      <x:c r="E933" s="9" t="n">
        <x:v>6.5</x:v>
      </x:c>
      <x:c r="F933" s="9" t="n">
        <x:v>15</x:v>
      </x:c>
      <x:c r="G933" s="11" t="n">
        <x:f>SUM(D933:F933)</x:f>
        <x:v>13157.5</x:v>
      </x:c>
      <x:c r="H933" s="10" t="n">
        <x:v>0.92</x:v>
      </x:c>
      <x:c r="I933" s="11" t="n">
        <x:f>IF(ISNUMBER(H933),ROUND(D933*H933,2),NA())</x:f>
        <x:v>12085.12</x:v>
      </x:c>
      <x:c r="J933" s="2" t="str">
        <x:v>Zahlungslücke im Export</x:v>
      </x:c>
      <x:c r="K933" s="2" t="str">
        <x:v>Export KREDIT-ERF-20260930, Einzelbelege nicht im Datenraum</x:v>
      </x:c>
    </x:row>
    <x:row r="934" ht="22" customHeight="1">
      <x:c r="A934" s="2" t="str">
        <x:v>APB-0929</x:v>
      </x:c>
      <x:c r="B934" s="2" t="str">
        <x:v>Bestandskunde 0929</x:v>
      </x:c>
      <x:c r="C934" s="2" t="str">
        <x:v>Nur Verkäuferexport</x:v>
      </x:c>
      <x:c r="D934" s="9" t="n">
        <x:v>13273</x:v>
      </x:c>
      <x:c r="E934" s="9" t="n">
        <x:v>13</x:v>
      </x:c>
      <x:c r="F934" s="9" t="n">
        <x:v>0</x:v>
      </x:c>
      <x:c r="G934" s="11" t="n">
        <x:f>SUM(D934:F934)</x:f>
        <x:v>13286</x:v>
      </x:c>
      <x:c r="H934" s="10" t="n">
        <x:v>0.92</x:v>
      </x:c>
      <x:c r="I934" s="11" t="n">
        <x:f>IF(ISNUMBER(H934),ROUND(D934*H934,2),NA())</x:f>
        <x:v>12211.16</x:v>
      </x:c>
      <x:c r="J934" s="2" t="str">
        <x:v>Regelbestand laut Verkäufer</x:v>
      </x:c>
      <x:c r="K934" s="2" t="str">
        <x:v>Export KREDIT-ERF-20260930, Einzelbelege nicht im Datenraum</x:v>
      </x:c>
    </x:row>
    <x:row r="935" ht="22" customHeight="1">
      <x:c r="A935" s="2" t="str">
        <x:v>APB-0930</x:v>
      </x:c>
      <x:c r="B935" s="2" t="str">
        <x:v>Bestandskunde 0930</x:v>
      </x:c>
      <x:c r="C935" s="2" t="str">
        <x:v>Nur Verkäuferexport</x:v>
      </x:c>
      <x:c r="D935" s="9" t="n">
        <x:v>13410</x:v>
      </x:c>
      <x:c r="E935" s="9" t="n">
        <x:v>19.5</x:v>
      </x:c>
      <x:c r="F935" s="9" t="n">
        <x:v>0</x:v>
      </x:c>
      <x:c r="G935" s="11" t="n">
        <x:f>SUM(D935:F935)</x:f>
        <x:v>13429.5</x:v>
      </x:c>
      <x:c r="H935" s="10" t="n">
        <x:v>0.92</x:v>
      </x:c>
      <x:c r="I935" s="11" t="n">
        <x:f>IF(ISNUMBER(H935),ROUND(D935*H935,2),NA())</x:f>
        <x:v>12337.2</x:v>
      </x:c>
      <x:c r="J935" s="2" t="str">
        <x:v>Regelbestand laut Verkäufer</x:v>
      </x:c>
      <x:c r="K935" s="2" t="str">
        <x:v>Export KREDIT-ERF-20260930, Einzelbelege nicht im Datenraum</x:v>
      </x:c>
    </x:row>
    <x:row r="936" ht="22" customHeight="1">
      <x:c r="A936" s="2" t="str">
        <x:v>APB-0931</x:v>
      </x:c>
      <x:c r="B936" s="2" t="str">
        <x:v>Bestandskunde 0931</x:v>
      </x:c>
      <x:c r="C936" s="2" t="str">
        <x:v>Nur Verkäuferexport</x:v>
      </x:c>
      <x:c r="D936" s="9" t="n">
        <x:v>13547</x:v>
      </x:c>
      <x:c r="E936" s="9" t="n">
        <x:v>26</x:v>
      </x:c>
      <x:c r="F936" s="9" t="n">
        <x:v>0</x:v>
      </x:c>
      <x:c r="G936" s="11" t="n">
        <x:f>SUM(D936:F936)</x:f>
        <x:v>13573</x:v>
      </x:c>
      <x:c r="H936" s="10" t="n">
        <x:v>0.92</x:v>
      </x:c>
      <x:c r="I936" s="11" t="n">
        <x:f>IF(ISNUMBER(H936),ROUND(D936*H936,2),NA())</x:f>
        <x:v>12463.24</x:v>
      </x:c>
      <x:c r="J936" s="2" t="str">
        <x:v>Regelbestand laut Verkäufer</x:v>
      </x:c>
      <x:c r="K936" s="2" t="str">
        <x:v>Export KREDIT-ERF-20260930, Einzelbelege nicht im Datenraum</x:v>
      </x:c>
    </x:row>
    <x:row r="937" ht="22" customHeight="1">
      <x:c r="A937" s="2" t="str">
        <x:v>APB-0932</x:v>
      </x:c>
      <x:c r="B937" s="2" t="str">
        <x:v>Bestandskunde 0932</x:v>
      </x:c>
      <x:c r="C937" s="2" t="str">
        <x:v>Nur Verkäuferexport</x:v>
      </x:c>
      <x:c r="D937" s="9" t="n">
        <x:v>13684</x:v>
      </x:c>
      <x:c r="E937" s="9" t="n">
        <x:v>32.5</x:v>
      </x:c>
      <x:c r="F937" s="9" t="n">
        <x:v>0</x:v>
      </x:c>
      <x:c r="G937" s="11" t="n">
        <x:f>SUM(D937:F937)</x:f>
        <x:v>13716.5</x:v>
      </x:c>
      <x:c r="H937" s="10" t="n">
        <x:v>0.92</x:v>
      </x:c>
      <x:c r="I937" s="11" t="n">
        <x:f>IF(ISNUMBER(H937),ROUND(D937*H937,2),NA())</x:f>
        <x:v>12589.28</x:v>
      </x:c>
      <x:c r="J937" s="2" t="str">
        <x:v>Regelbestand laut Verkäufer</x:v>
      </x:c>
      <x:c r="K937" s="2" t="str">
        <x:v>Export KREDIT-ERF-20260930, Einzelbelege nicht im Datenraum</x:v>
      </x:c>
    </x:row>
    <x:row r="938" ht="22" customHeight="1">
      <x:c r="A938" s="2" t="str">
        <x:v>APB-0933</x:v>
      </x:c>
      <x:c r="B938" s="2" t="str">
        <x:v>Bestandskunde 0933</x:v>
      </x:c>
      <x:c r="C938" s="2" t="str">
        <x:v>Nur Verkäuferexport</x:v>
      </x:c>
      <x:c r="D938" s="9" t="n">
        <x:v>13821</x:v>
      </x:c>
      <x:c r="E938" s="9" t="n">
        <x:v>39</x:v>
      </x:c>
      <x:c r="F938" s="9" t="n">
        <x:v>0</x:v>
      </x:c>
      <x:c r="G938" s="11" t="n">
        <x:f>SUM(D938:F938)</x:f>
        <x:v>13860</x:v>
      </x:c>
      <x:c r="H938" s="10" t="n">
        <x:v>0.92</x:v>
      </x:c>
      <x:c r="I938" s="11" t="n">
        <x:f>IF(ISNUMBER(H938),ROUND(D938*H938,2),NA())</x:f>
        <x:v>12715.32</x:v>
      </x:c>
      <x:c r="J938" s="2" t="str">
        <x:v>Regelbestand laut Verkäufer</x:v>
      </x:c>
      <x:c r="K938" s="2" t="str">
        <x:v>Export KREDIT-ERF-20260930, Einzelbelege nicht im Datenraum</x:v>
      </x:c>
    </x:row>
    <x:row r="939" ht="22" customHeight="1">
      <x:c r="A939" s="2" t="str">
        <x:v>APB-0934</x:v>
      </x:c>
      <x:c r="B939" s="2" t="str">
        <x:v>Bestandskunde 0934</x:v>
      </x:c>
      <x:c r="C939" s="2" t="str">
        <x:v>Nur Verkäuferexport</x:v>
      </x:c>
      <x:c r="D939" s="9" t="n">
        <x:v>13958</x:v>
      </x:c>
      <x:c r="E939" s="9" t="n">
        <x:v>45.5</x:v>
      </x:c>
      <x:c r="F939" s="9" t="n">
        <x:v>0</x:v>
      </x:c>
      <x:c r="G939" s="11" t="n">
        <x:f>SUM(D939:F939)</x:f>
        <x:v>14003.5</x:v>
      </x:c>
      <x:c r="H939" s="10" t="n">
        <x:v>0.92</x:v>
      </x:c>
      <x:c r="I939" s="11" t="n">
        <x:f>IF(ISNUMBER(H939),ROUND(D939*H939,2),NA())</x:f>
        <x:v>12841.36</x:v>
      </x:c>
      <x:c r="J939" s="2" t="str">
        <x:v>Regelbestand laut Verkäufer</x:v>
      </x:c>
      <x:c r="K939" s="2" t="str">
        <x:v>Export KREDIT-ERF-20260930, Einzelbelege nicht im Datenraum</x:v>
      </x:c>
    </x:row>
    <x:row r="940" ht="22" customHeight="1">
      <x:c r="A940" s="2" t="str">
        <x:v>APB-0935</x:v>
      </x:c>
      <x:c r="B940" s="2" t="str">
        <x:v>Bestandskunde 0935</x:v>
      </x:c>
      <x:c r="C940" s="2" t="str">
        <x:v>Nur Verkäuferexport</x:v>
      </x:c>
      <x:c r="D940" s="9" t="n">
        <x:v>14095</x:v>
      </x:c>
      <x:c r="E940" s="9" t="n">
        <x:v>52</x:v>
      </x:c>
      <x:c r="F940" s="9" t="n">
        <x:v>0</x:v>
      </x:c>
      <x:c r="G940" s="11" t="n">
        <x:f>SUM(D940:F940)</x:f>
        <x:v>14147</x:v>
      </x:c>
      <x:c r="H940" s="10" t="n">
        <x:v>0.92</x:v>
      </x:c>
      <x:c r="I940" s="11" t="n">
        <x:f>IF(ISNUMBER(H940),ROUND(D940*H940,2),NA())</x:f>
        <x:v>12967.4</x:v>
      </x:c>
      <x:c r="J940" s="2" t="str">
        <x:v>Regelbestand laut Verkäufer</x:v>
      </x:c>
      <x:c r="K940" s="2" t="str">
        <x:v>Export KREDIT-ERF-20260930, Einzelbelege nicht im Datenraum</x:v>
      </x:c>
    </x:row>
    <x:row r="941" ht="22" customHeight="1">
      <x:c r="A941" s="2" t="str">
        <x:v>APB-0936</x:v>
      </x:c>
      <x:c r="B941" s="2" t="str">
        <x:v>Bestandskunde 0936</x:v>
      </x:c>
      <x:c r="C941" s="2" t="str">
        <x:v>Nur Verkäuferexport</x:v>
      </x:c>
      <x:c r="D941" s="9" t="n">
        <x:v>14232</x:v>
      </x:c>
      <x:c r="E941" s="9" t="n">
        <x:v>0</x:v>
      </x:c>
      <x:c r="F941" s="9" t="n">
        <x:v>0</x:v>
      </x:c>
      <x:c r="G941" s="11" t="n">
        <x:f>SUM(D941:F941)</x:f>
        <x:v>14232</x:v>
      </x:c>
      <x:c r="H941" s="10" t="n">
        <x:v>0.92</x:v>
      </x:c>
      <x:c r="I941" s="11" t="n">
        <x:f>IF(ISNUMBER(H941),ROUND(D941*H941,2),NA())</x:f>
        <x:v>13093.44</x:v>
      </x:c>
      <x:c r="J941" s="2" t="str">
        <x:v>Regelbestand laut Verkäufer</x:v>
      </x:c>
      <x:c r="K941" s="2" t="str">
        <x:v>Export KREDIT-ERF-20260930, Einzelbelege nicht im Datenraum</x:v>
      </x:c>
    </x:row>
    <x:row r="942" ht="22" customHeight="1">
      <x:c r="A942" s="2" t="str">
        <x:v>APB-0937</x:v>
      </x:c>
      <x:c r="B942" s="2" t="str">
        <x:v>Bestandskunde 0937</x:v>
      </x:c>
      <x:c r="C942" s="2" t="str">
        <x:v>Nur Verkäuferexport</x:v>
      </x:c>
      <x:c r="D942" s="9" t="n">
        <x:v>14369</x:v>
      </x:c>
      <x:c r="E942" s="9" t="n">
        <x:v>6.5</x:v>
      </x:c>
      <x:c r="F942" s="9" t="n">
        <x:v>0</x:v>
      </x:c>
      <x:c r="G942" s="11" t="n">
        <x:f>SUM(D942:F942)</x:f>
        <x:v>14375.5</x:v>
      </x:c>
      <x:c r="H942" s="10" t="n">
        <x:v>0.92</x:v>
      </x:c>
      <x:c r="I942" s="11" t="n">
        <x:f>IF(ISNUMBER(H942),ROUND(D942*H942,2),NA())</x:f>
        <x:v>13219.48</x:v>
      </x:c>
      <x:c r="J942" s="2" t="str">
        <x:v>Regelbestand laut Verkäufer</x:v>
      </x:c>
      <x:c r="K942" s="2" t="str">
        <x:v>Export KREDIT-ERF-20260930, Einzelbelege nicht im Datenraum</x:v>
      </x:c>
    </x:row>
    <x:row r="943" ht="22" customHeight="1">
      <x:c r="A943" s="2" t="str">
        <x:v>APB-0938</x:v>
      </x:c>
      <x:c r="B943" s="2" t="str">
        <x:v>Bestandskunde 0938</x:v>
      </x:c>
      <x:c r="C943" s="2" t="str">
        <x:v>Nur Verkäuferexport</x:v>
      </x:c>
      <x:c r="D943" s="9" t="n">
        <x:v>14506</x:v>
      </x:c>
      <x:c r="E943" s="9" t="n">
        <x:v>13</x:v>
      </x:c>
      <x:c r="F943" s="9" t="n">
        <x:v>0</x:v>
      </x:c>
      <x:c r="G943" s="11" t="n">
        <x:f>SUM(D943:F943)</x:f>
        <x:v>14519</x:v>
      </x:c>
      <x:c r="H943" s="10" t="n">
        <x:v>0.92</x:v>
      </x:c>
      <x:c r="I943" s="11" t="n">
        <x:f>IF(ISNUMBER(H943),ROUND(D943*H943,2),NA())</x:f>
        <x:v>13345.52</x:v>
      </x:c>
      <x:c r="J943" s="2" t="str">
        <x:v>Regelbestand laut Verkäufer</x:v>
      </x:c>
      <x:c r="K943" s="2" t="str">
        <x:v>Export KREDIT-ERF-20260930, Einzelbelege nicht im Datenraum</x:v>
      </x:c>
    </x:row>
    <x:row r="944" ht="22" customHeight="1">
      <x:c r="A944" s="2" t="str">
        <x:v>APB-0939</x:v>
      </x:c>
      <x:c r="B944" s="2" t="str">
        <x:v>Bestandskunde 0939</x:v>
      </x:c>
      <x:c r="C944" s="2" t="str">
        <x:v>Nur Verkäuferexport</x:v>
      </x:c>
      <x:c r="D944" s="9" t="n">
        <x:v>14643</x:v>
      </x:c>
      <x:c r="E944" s="9" t="n">
        <x:v>19.5</x:v>
      </x:c>
      <x:c r="F944" s="9" t="n">
        <x:v>0</x:v>
      </x:c>
      <x:c r="G944" s="11" t="n">
        <x:f>SUM(D944:F944)</x:f>
        <x:v>14662.5</x:v>
      </x:c>
      <x:c r="H944" s="10" t="n">
        <x:v>0.92</x:v>
      </x:c>
      <x:c r="I944" s="11" t="n">
        <x:f>IF(ISNUMBER(H944),ROUND(D944*H944,2),NA())</x:f>
        <x:v>13471.56</x:v>
      </x:c>
      <x:c r="J944" s="2" t="str">
        <x:v>Regelbestand laut Verkäufer</x:v>
      </x:c>
      <x:c r="K944" s="2" t="str">
        <x:v>Export KREDIT-ERF-20260930, Einzelbelege nicht im Datenraum</x:v>
      </x:c>
    </x:row>
    <x:row r="945" ht="22" customHeight="1">
      <x:c r="A945" s="2" t="str">
        <x:v>APB-0940</x:v>
      </x:c>
      <x:c r="B945" s="2" t="str">
        <x:v>Bestandskunde 0940</x:v>
      </x:c>
      <x:c r="C945" s="2" t="str">
        <x:v>Nur Verkäuferexport</x:v>
      </x:c>
      <x:c r="D945" s="9" t="n">
        <x:v>14780</x:v>
      </x:c>
      <x:c r="E945" s="9" t="n">
        <x:v>26</x:v>
      </x:c>
      <x:c r="F945" s="9" t="n">
        <x:v>0</x:v>
      </x:c>
      <x:c r="G945" s="11" t="n">
        <x:f>SUM(D945:F945)</x:f>
        <x:v>14806</x:v>
      </x:c>
      <x:c r="H945" s="10" t="n">
        <x:v>0.92</x:v>
      </x:c>
      <x:c r="I945" s="11" t="n">
        <x:f>IF(ISNUMBER(H945),ROUND(D945*H945,2),NA())</x:f>
        <x:v>13597.6</x:v>
      </x:c>
      <x:c r="J945" s="2" t="str">
        <x:v>Regelbestand laut Verkäufer</x:v>
      </x:c>
      <x:c r="K945" s="2" t="str">
        <x:v>Export KREDIT-ERF-20260930, Einzelbelege nicht im Datenraum</x:v>
      </x:c>
    </x:row>
    <x:row r="946" ht="22" customHeight="1">
      <x:c r="A946" s="2" t="str">
        <x:v>APB-0941</x:v>
      </x:c>
      <x:c r="B946" s="2" t="str">
        <x:v>Bestandskunde 0941</x:v>
      </x:c>
      <x:c r="C946" s="2" t="str">
        <x:v>Nur Verkäuferexport</x:v>
      </x:c>
      <x:c r="D946" s="9" t="n">
        <x:v>14917</x:v>
      </x:c>
      <x:c r="E946" s="9" t="n">
        <x:v>32.5</x:v>
      </x:c>
      <x:c r="F946" s="9" t="n">
        <x:v>0</x:v>
      </x:c>
      <x:c r="G946" s="11" t="n">
        <x:f>SUM(D946:F946)</x:f>
        <x:v>14949.5</x:v>
      </x:c>
      <x:c r="H946" s="10" t="n">
        <x:v>0.92</x:v>
      </x:c>
      <x:c r="I946" s="11" t="n">
        <x:f>IF(ISNUMBER(H946),ROUND(D946*H946,2),NA())</x:f>
        <x:v>13723.64</x:v>
      </x:c>
      <x:c r="J946" s="2" t="str">
        <x:v>Regelbestand laut Verkäufer</x:v>
      </x:c>
      <x:c r="K946" s="2" t="str">
        <x:v>Export KREDIT-ERF-20260930, Einzelbelege nicht im Datenraum</x:v>
      </x:c>
    </x:row>
    <x:row r="947" ht="22" customHeight="1">
      <x:c r="A947" s="2" t="str">
        <x:v>APB-0942</x:v>
      </x:c>
      <x:c r="B947" s="2" t="str">
        <x:v>Bestandskunde 0942</x:v>
      </x:c>
      <x:c r="C947" s="2" t="str">
        <x:v>Nur Verkäuferexport</x:v>
      </x:c>
      <x:c r="D947" s="9" t="n">
        <x:v>15054</x:v>
      </x:c>
      <x:c r="E947" s="9" t="n">
        <x:v>39</x:v>
      </x:c>
      <x:c r="F947" s="9" t="n">
        <x:v>0</x:v>
      </x:c>
      <x:c r="G947" s="11" t="n">
        <x:f>SUM(D947:F947)</x:f>
        <x:v>15093</x:v>
      </x:c>
      <x:c r="H947" s="10" t="n">
        <x:v>0.92</x:v>
      </x:c>
      <x:c r="I947" s="11" t="n">
        <x:f>IF(ISNUMBER(H947),ROUND(D947*H947,2),NA())</x:f>
        <x:v>13849.68</x:v>
      </x:c>
      <x:c r="J947" s="2" t="str">
        <x:v>Regelbestand laut Verkäufer</x:v>
      </x:c>
      <x:c r="K947" s="2" t="str">
        <x:v>Export KREDIT-ERF-20260930, Einzelbelege nicht im Datenraum</x:v>
      </x:c>
    </x:row>
    <x:row r="948" ht="22" customHeight="1">
      <x:c r="A948" s="2" t="str">
        <x:v>APB-0943</x:v>
      </x:c>
      <x:c r="B948" s="2" t="str">
        <x:v>Bestandskunde 0943</x:v>
      </x:c>
      <x:c r="C948" s="2" t="str">
        <x:v>Nur Verkäuferexport</x:v>
      </x:c>
      <x:c r="D948" s="9" t="n">
        <x:v>15191</x:v>
      </x:c>
      <x:c r="E948" s="9" t="n">
        <x:v>45.5</x:v>
      </x:c>
      <x:c r="F948" s="9" t="n">
        <x:v>0</x:v>
      </x:c>
      <x:c r="G948" s="11" t="n">
        <x:f>SUM(D948:F948)</x:f>
        <x:v>15236.5</x:v>
      </x:c>
      <x:c r="H948" s="10" t="n">
        <x:v>0.92</x:v>
      </x:c>
      <x:c r="I948" s="11" t="n">
        <x:f>IF(ISNUMBER(H948),ROUND(D948*H948,2),NA())</x:f>
        <x:v>13975.72</x:v>
      </x:c>
      <x:c r="J948" s="2" t="str">
        <x:v>Regelbestand laut Verkäufer</x:v>
      </x:c>
      <x:c r="K948" s="2" t="str">
        <x:v>Export KREDIT-ERF-20260930, Einzelbelege nicht im Datenraum</x:v>
      </x:c>
    </x:row>
    <x:row r="949" ht="22" customHeight="1">
      <x:c r="A949" s="2" t="str">
        <x:v>APB-0944</x:v>
      </x:c>
      <x:c r="B949" s="2" t="str">
        <x:v>Bestandskunde 0944</x:v>
      </x:c>
      <x:c r="C949" s="2" t="str">
        <x:v>Nur Verkäuferexport</x:v>
      </x:c>
      <x:c r="D949" s="9" t="n">
        <x:v>15328</x:v>
      </x:c>
      <x:c r="E949" s="9" t="n">
        <x:v>52</x:v>
      </x:c>
      <x:c r="F949" s="9" t="n">
        <x:v>0</x:v>
      </x:c>
      <x:c r="G949" s="11" t="n">
        <x:f>SUM(D949:F949)</x:f>
        <x:v>15380</x:v>
      </x:c>
      <x:c r="H949" s="10" t="n">
        <x:v>0.92</x:v>
      </x:c>
      <x:c r="I949" s="11" t="n">
        <x:f>IF(ISNUMBER(H949),ROUND(D949*H949,2),NA())</x:f>
        <x:v>14101.76</x:v>
      </x:c>
      <x:c r="J949" s="2" t="str">
        <x:v>Regelbestand laut Verkäufer</x:v>
      </x:c>
      <x:c r="K949" s="2" t="str">
        <x:v>Export KREDIT-ERF-20260930, Einzelbelege nicht im Datenraum</x:v>
      </x:c>
    </x:row>
    <x:row r="950" ht="22" customHeight="1">
      <x:c r="A950" s="2" t="str">
        <x:v>APB-0945</x:v>
      </x:c>
      <x:c r="B950" s="2" t="str">
        <x:v>Bestandskunde 0945</x:v>
      </x:c>
      <x:c r="C950" s="2" t="str">
        <x:v>Nur Verkäuferexport</x:v>
      </x:c>
      <x:c r="D950" s="9" t="n">
        <x:v>15465</x:v>
      </x:c>
      <x:c r="E950" s="9" t="n">
        <x:v>0</x:v>
      </x:c>
      <x:c r="F950" s="9" t="n">
        <x:v>0</x:v>
      </x:c>
      <x:c r="G950" s="11" t="n">
        <x:f>SUM(D950:F950)</x:f>
        <x:v>15465</x:v>
      </x:c>
      <x:c r="H950" s="10" t="n">
        <x:v>0.92</x:v>
      </x:c>
      <x:c r="I950" s="11" t="n">
        <x:f>IF(ISNUMBER(H950),ROUND(D950*H950,2),NA())</x:f>
        <x:v>14227.8</x:v>
      </x:c>
      <x:c r="J950" s="2" t="str">
        <x:v>Regelbestand laut Verkäufer</x:v>
      </x:c>
      <x:c r="K950" s="2" t="str">
        <x:v>Export KREDIT-ERF-20260930, Einzelbelege nicht im Datenraum</x:v>
      </x:c>
    </x:row>
    <x:row r="951" ht="22" customHeight="1">
      <x:c r="A951" s="2" t="str">
        <x:v>APB-0946</x:v>
      </x:c>
      <x:c r="B951" s="2" t="str">
        <x:v>Bestandskunde 0946</x:v>
      </x:c>
      <x:c r="C951" s="2" t="str">
        <x:v>Nur Verkäuferexport</x:v>
      </x:c>
      <x:c r="D951" s="9" t="n">
        <x:v>15602</x:v>
      </x:c>
      <x:c r="E951" s="9" t="n">
        <x:v>6.5</x:v>
      </x:c>
      <x:c r="F951" s="9" t="n">
        <x:v>0</x:v>
      </x:c>
      <x:c r="G951" s="11" t="n">
        <x:f>SUM(D951:F951)</x:f>
        <x:v>15608.5</x:v>
      </x:c>
      <x:c r="H951" s="10" t="n">
        <x:v>0.92</x:v>
      </x:c>
      <x:c r="I951" s="11" t="n">
        <x:f>IF(ISNUMBER(H951),ROUND(D951*H951,2),NA())</x:f>
        <x:v>14353.84</x:v>
      </x:c>
      <x:c r="J951" s="2" t="str">
        <x:v>Regelbestand laut Verkäufer</x:v>
      </x:c>
      <x:c r="K951" s="2" t="str">
        <x:v>Export KREDIT-ERF-20260930, Einzelbelege nicht im Datenraum</x:v>
      </x:c>
    </x:row>
    <x:row r="952" ht="22" customHeight="1">
      <x:c r="A952" s="2" t="str">
        <x:v>APB-0947</x:v>
      </x:c>
      <x:c r="B952" s="2" t="str">
        <x:v>Bestandskunde 0947</x:v>
      </x:c>
      <x:c r="C952" s="2" t="str">
        <x:v>Nur Verkäuferexport</x:v>
      </x:c>
      <x:c r="D952" s="9" t="n">
        <x:v>15739</x:v>
      </x:c>
      <x:c r="E952" s="9" t="n">
        <x:v>13</x:v>
      </x:c>
      <x:c r="F952" s="9" t="n">
        <x:v>0</x:v>
      </x:c>
      <x:c r="G952" s="11" t="n">
        <x:f>SUM(D952:F952)</x:f>
        <x:v>15752</x:v>
      </x:c>
      <x:c r="H952" s="10" t="n">
        <x:v>0.92</x:v>
      </x:c>
      <x:c r="I952" s="11" t="n">
        <x:f>IF(ISNUMBER(H952),ROUND(D952*H952,2),NA())</x:f>
        <x:v>14479.88</x:v>
      </x:c>
      <x:c r="J952" s="2" t="str">
        <x:v>Regelbestand laut Verkäufer</x:v>
      </x:c>
      <x:c r="K952" s="2" t="str">
        <x:v>Export KREDIT-ERF-20260930, Einzelbelege nicht im Datenraum</x:v>
      </x:c>
    </x:row>
    <x:row r="953" ht="22" customHeight="1">
      <x:c r="A953" s="2" t="str">
        <x:v>APB-0948</x:v>
      </x:c>
      <x:c r="B953" s="2" t="str">
        <x:v>Bestandskunde 0948</x:v>
      </x:c>
      <x:c r="C953" s="2" t="str">
        <x:v>Nur Verkäuferexport</x:v>
      </x:c>
      <x:c r="D953" s="9" t="n">
        <x:v>15876</x:v>
      </x:c>
      <x:c r="E953" s="9" t="n">
        <x:v>19.5</x:v>
      </x:c>
      <x:c r="F953" s="9" t="n">
        <x:v>0</x:v>
      </x:c>
      <x:c r="G953" s="11" t="n">
        <x:f>SUM(D953:F953)</x:f>
        <x:v>15895.5</x:v>
      </x:c>
      <x:c r="H953" s="10" t="n">
        <x:v>0.92</x:v>
      </x:c>
      <x:c r="I953" s="11" t="n">
        <x:f>IF(ISNUMBER(H953),ROUND(D953*H953,2),NA())</x:f>
        <x:v>14605.92</x:v>
      </x:c>
      <x:c r="J953" s="2" t="str">
        <x:v>Regelbestand laut Verkäufer</x:v>
      </x:c>
      <x:c r="K953" s="2" t="str">
        <x:v>Export KREDIT-ERF-20260930, Einzelbelege nicht im Datenraum</x:v>
      </x:c>
    </x:row>
    <x:row r="954" ht="22" customHeight="1">
      <x:c r="A954" s="2" t="str">
        <x:v>APB-0949</x:v>
      </x:c>
      <x:c r="B954" s="2" t="str">
        <x:v>Bestandskunde 0949</x:v>
      </x:c>
      <x:c r="C954" s="2" t="str">
        <x:v>Nur Verkäuferexport</x:v>
      </x:c>
      <x:c r="D954" s="9" t="n">
        <x:v>16013</x:v>
      </x:c>
      <x:c r="E954" s="9" t="n">
        <x:v>26</x:v>
      </x:c>
      <x:c r="F954" s="9" t="n">
        <x:v>0</x:v>
      </x:c>
      <x:c r="G954" s="11" t="n">
        <x:f>SUM(D954:F954)</x:f>
        <x:v>16039</x:v>
      </x:c>
      <x:c r="H954" s="10" t="n">
        <x:v>0.92</x:v>
      </x:c>
      <x:c r="I954" s="11" t="n">
        <x:f>IF(ISNUMBER(H954),ROUND(D954*H954,2),NA())</x:f>
        <x:v>14731.96</x:v>
      </x:c>
      <x:c r="J954" s="2" t="str">
        <x:v>Regelbestand laut Verkäufer</x:v>
      </x:c>
      <x:c r="K954" s="2" t="str">
        <x:v>Export KREDIT-ERF-20260930, Einzelbelege nicht im Datenraum</x:v>
      </x:c>
    </x:row>
    <x:row r="955" ht="22" customHeight="1">
      <x:c r="A955" s="2" t="str">
        <x:v>APB-0950</x:v>
      </x:c>
      <x:c r="B955" s="2" t="str">
        <x:v>Bestandskunde 0950</x:v>
      </x:c>
      <x:c r="C955" s="2" t="str">
        <x:v>Nur Verkäuferexport</x:v>
      </x:c>
      <x:c r="D955" s="9" t="n">
        <x:v>16150</x:v>
      </x:c>
      <x:c r="E955" s="9" t="n">
        <x:v>32.5</x:v>
      </x:c>
      <x:c r="F955" s="9" t="n">
        <x:v>0</x:v>
      </x:c>
      <x:c r="G955" s="11" t="n">
        <x:f>SUM(D955:F955)</x:f>
        <x:v>16182.5</x:v>
      </x:c>
      <x:c r="H955" s="10" t="n">
        <x:v>0.92</x:v>
      </x:c>
      <x:c r="I955" s="11" t="n">
        <x:f>IF(ISNUMBER(H955),ROUND(D955*H955,2),NA())</x:f>
        <x:v>14858</x:v>
      </x:c>
      <x:c r="J955" s="2" t="str">
        <x:v>Regelbestand laut Verkäufer</x:v>
      </x:c>
      <x:c r="K955" s="2" t="str">
        <x:v>Export KREDIT-ERF-20260930, Einzelbelege nicht im Datenraum</x:v>
      </x:c>
    </x:row>
    <x:row r="956" ht="22" customHeight="1">
      <x:c r="A956" s="2" t="str">
        <x:v>APB-0951</x:v>
      </x:c>
      <x:c r="B956" s="2" t="str">
        <x:v>Bestandskunde 0951</x:v>
      </x:c>
      <x:c r="C956" s="2" t="str">
        <x:v>Nur Verkäuferexport</x:v>
      </x:c>
      <x:c r="D956" s="9" t="n">
        <x:v>16287</x:v>
      </x:c>
      <x:c r="E956" s="9" t="n">
        <x:v>39</x:v>
      </x:c>
      <x:c r="F956" s="9" t="n">
        <x:v>0</x:v>
      </x:c>
      <x:c r="G956" s="11" t="n">
        <x:f>SUM(D956:F956)</x:f>
        <x:v>16326</x:v>
      </x:c>
      <x:c r="H956" s="10" t="n">
        <x:v>0.92</x:v>
      </x:c>
      <x:c r="I956" s="11" t="n">
        <x:f>IF(ISNUMBER(H956),ROUND(D956*H956,2),NA())</x:f>
        <x:v>14984.04</x:v>
      </x:c>
      <x:c r="J956" s="2" t="str">
        <x:v>Regelbestand laut Verkäufer</x:v>
      </x:c>
      <x:c r="K956" s="2" t="str">
        <x:v>Export KREDIT-ERF-20260930, Einzelbelege nicht im Datenraum</x:v>
      </x:c>
    </x:row>
    <x:row r="957" ht="22" customHeight="1">
      <x:c r="A957" s="2" t="str">
        <x:v>APB-0952</x:v>
      </x:c>
      <x:c r="B957" s="2" t="str">
        <x:v>Bestandskunde 0952</x:v>
      </x:c>
      <x:c r="C957" s="2" t="str">
        <x:v>Nur Verkäuferexport</x:v>
      </x:c>
      <x:c r="D957" s="9" t="n">
        <x:v>16424</x:v>
      </x:c>
      <x:c r="E957" s="9" t="n">
        <x:v>45.5</x:v>
      </x:c>
      <x:c r="F957" s="9" t="n">
        <x:v>0</x:v>
      </x:c>
      <x:c r="G957" s="11" t="n">
        <x:f>SUM(D957:F957)</x:f>
        <x:v>16469.5</x:v>
      </x:c>
      <x:c r="H957" s="10" t="n">
        <x:v>0.92</x:v>
      </x:c>
      <x:c r="I957" s="11" t="n">
        <x:f>IF(ISNUMBER(H957),ROUND(D957*H957,2),NA())</x:f>
        <x:v>15110.08</x:v>
      </x:c>
      <x:c r="J957" s="2" t="str">
        <x:v>Regelbestand laut Verkäufer</x:v>
      </x:c>
      <x:c r="K957" s="2" t="str">
        <x:v>Export KREDIT-ERF-20260930, Einzelbelege nicht im Datenraum</x:v>
      </x:c>
    </x:row>
    <x:row r="958" ht="22" customHeight="1">
      <x:c r="A958" s="2" t="str">
        <x:v>APB-0953</x:v>
      </x:c>
      <x:c r="B958" s="2" t="str">
        <x:v>Bestandskunde 0953</x:v>
      </x:c>
      <x:c r="C958" s="2" t="str">
        <x:v>Nur Verkäuferexport</x:v>
      </x:c>
      <x:c r="D958" s="9" t="n">
        <x:v>16561</x:v>
      </x:c>
      <x:c r="E958" s="9" t="n">
        <x:v>52</x:v>
      </x:c>
      <x:c r="F958" s="9" t="n">
        <x:v>0</x:v>
      </x:c>
      <x:c r="G958" s="11" t="n">
        <x:f>SUM(D958:F958)</x:f>
        <x:v>16613</x:v>
      </x:c>
      <x:c r="H958" s="10" t="n">
        <x:v>0.92</x:v>
      </x:c>
      <x:c r="I958" s="11" t="n">
        <x:f>IF(ISNUMBER(H958),ROUND(D958*H958,2),NA())</x:f>
        <x:v>15236.12</x:v>
      </x:c>
      <x:c r="J958" s="2" t="str">
        <x:v>Regelbestand laut Verkäufer</x:v>
      </x:c>
      <x:c r="K958" s="2" t="str">
        <x:v>Export KREDIT-ERF-20260930, Einzelbelege nicht im Datenraum</x:v>
      </x:c>
    </x:row>
    <x:row r="959" ht="22" customHeight="1">
      <x:c r="A959" s="2" t="str">
        <x:v>APB-0954</x:v>
      </x:c>
      <x:c r="B959" s="2" t="str">
        <x:v>Bestandskunde 0954</x:v>
      </x:c>
      <x:c r="C959" s="2" t="str">
        <x:v>Nur Verkäuferexport</x:v>
      </x:c>
      <x:c r="D959" s="9" t="n">
        <x:v>16698</x:v>
      </x:c>
      <x:c r="E959" s="9" t="n">
        <x:v>0</x:v>
      </x:c>
      <x:c r="F959" s="9" t="n">
        <x:v>0</x:v>
      </x:c>
      <x:c r="G959" s="11" t="n">
        <x:f>SUM(D959:F959)</x:f>
        <x:v>16698</x:v>
      </x:c>
      <x:c r="H959" s="10" t="n">
        <x:v>0.92</x:v>
      </x:c>
      <x:c r="I959" s="11" t="n">
        <x:f>IF(ISNUMBER(H959),ROUND(D959*H959,2),NA())</x:f>
        <x:v>15362.16</x:v>
      </x:c>
      <x:c r="J959" s="2" t="str">
        <x:v>Regelbestand laut Verkäufer</x:v>
      </x:c>
      <x:c r="K959" s="2" t="str">
        <x:v>Export KREDIT-ERF-20260930, Einzelbelege nicht im Datenraum</x:v>
      </x:c>
    </x:row>
    <x:row r="960" ht="22" customHeight="1">
      <x:c r="A960" s="2" t="str">
        <x:v>APB-0955</x:v>
      </x:c>
      <x:c r="B960" s="2" t="str">
        <x:v>Bestandskunde 0955</x:v>
      </x:c>
      <x:c r="C960" s="2" t="str">
        <x:v>Nur Verkäuferexport</x:v>
      </x:c>
      <x:c r="D960" s="9" t="n">
        <x:v>16835</x:v>
      </x:c>
      <x:c r="E960" s="9" t="n">
        <x:v>6.5</x:v>
      </x:c>
      <x:c r="F960" s="9" t="n">
        <x:v>0</x:v>
      </x:c>
      <x:c r="G960" s="11" t="n">
        <x:f>SUM(D960:F960)</x:f>
        <x:v>16841.5</x:v>
      </x:c>
      <x:c r="H960" s="10" t="n">
        <x:v>0.92</x:v>
      </x:c>
      <x:c r="I960" s="11" t="n">
        <x:f>IF(ISNUMBER(H960),ROUND(D960*H960,2),NA())</x:f>
        <x:v>15488.2</x:v>
      </x:c>
      <x:c r="J960" s="2" t="str">
        <x:v>Regelbestand laut Verkäufer</x:v>
      </x:c>
      <x:c r="K960" s="2" t="str">
        <x:v>Export KREDIT-ERF-20260930, Einzelbelege nicht im Datenraum</x:v>
      </x:c>
    </x:row>
    <x:row r="961" ht="22" customHeight="1">
      <x:c r="A961" s="2" t="str">
        <x:v>APB-0956</x:v>
      </x:c>
      <x:c r="B961" s="2" t="str">
        <x:v>Bestandskunde 0956</x:v>
      </x:c>
      <x:c r="C961" s="2" t="str">
        <x:v>Nur Verkäuferexport</x:v>
      </x:c>
      <x:c r="D961" s="9" t="n">
        <x:v>16972</x:v>
      </x:c>
      <x:c r="E961" s="9" t="n">
        <x:v>13</x:v>
      </x:c>
      <x:c r="F961" s="9" t="n">
        <x:v>0</x:v>
      </x:c>
      <x:c r="G961" s="11" t="n">
        <x:f>SUM(D961:F961)</x:f>
        <x:v>16985</x:v>
      </x:c>
      <x:c r="H961" s="10" t="n">
        <x:v>0.92</x:v>
      </x:c>
      <x:c r="I961" s="11" t="n">
        <x:f>IF(ISNUMBER(H961),ROUND(D961*H961,2),NA())</x:f>
        <x:v>15614.24</x:v>
      </x:c>
      <x:c r="J961" s="2" t="str">
        <x:v>Regelbestand laut Verkäufer</x:v>
      </x:c>
      <x:c r="K961" s="2" t="str">
        <x:v>Export KREDIT-ERF-20260930, Einzelbelege nicht im Datenraum</x:v>
      </x:c>
    </x:row>
    <x:row r="962" ht="22" customHeight="1">
      <x:c r="A962" s="2" t="str">
        <x:v>APB-0957</x:v>
      </x:c>
      <x:c r="B962" s="2" t="str">
        <x:v>Bestandskunde 0957</x:v>
      </x:c>
      <x:c r="C962" s="2" t="str">
        <x:v>Nur Verkäuferexport</x:v>
      </x:c>
      <x:c r="D962" s="9" t="n">
        <x:v>17109</x:v>
      </x:c>
      <x:c r="E962" s="9" t="n">
        <x:v>19.5</x:v>
      </x:c>
      <x:c r="F962" s="9" t="n">
        <x:v>15</x:v>
      </x:c>
      <x:c r="G962" s="11" t="n">
        <x:f>SUM(D962:F962)</x:f>
        <x:v>17143.5</x:v>
      </x:c>
      <x:c r="H962" s="10" t="n">
        <x:v>0.92</x:v>
      </x:c>
      <x:c r="I962" s="11" t="n">
        <x:f>IF(ISNUMBER(H962),ROUND(D962*H962,2),NA())</x:f>
        <x:v>15740.28</x:v>
      </x:c>
      <x:c r="J962" s="2" t="str">
        <x:v>Zahlungslücke im Export</x:v>
      </x:c>
      <x:c r="K962" s="2" t="str">
        <x:v>Export KREDIT-ERF-20260930, Einzelbelege nicht im Datenraum</x:v>
      </x:c>
    </x:row>
    <x:row r="963" ht="22" customHeight="1">
      <x:c r="A963" s="2" t="str">
        <x:v>APB-0958</x:v>
      </x:c>
      <x:c r="B963" s="2" t="str">
        <x:v>Bestandskunde 0958</x:v>
      </x:c>
      <x:c r="C963" s="2" t="str">
        <x:v>Nur Verkäuferexport</x:v>
      </x:c>
      <x:c r="D963" s="9" t="n">
        <x:v>17246</x:v>
      </x:c>
      <x:c r="E963" s="9" t="n">
        <x:v>26</x:v>
      </x:c>
      <x:c r="F963" s="9" t="n">
        <x:v>0</x:v>
      </x:c>
      <x:c r="G963" s="11" t="n">
        <x:f>SUM(D963:F963)</x:f>
        <x:v>17272</x:v>
      </x:c>
      <x:c r="H963" s="10" t="n">
        <x:v>0.92</x:v>
      </x:c>
      <x:c r="I963" s="11" t="n">
        <x:f>IF(ISNUMBER(H963),ROUND(D963*H963,2),NA())</x:f>
        <x:v>15866.32</x:v>
      </x:c>
      <x:c r="J963" s="2" t="str">
        <x:v>Regelbestand laut Verkäufer</x:v>
      </x:c>
      <x:c r="K963" s="2" t="str">
        <x:v>Export KREDIT-ERF-20260930, Einzelbelege nicht im Datenraum</x:v>
      </x:c>
    </x:row>
    <x:row r="964" ht="22" customHeight="1">
      <x:c r="A964" s="2" t="str">
        <x:v>APB-0959</x:v>
      </x:c>
      <x:c r="B964" s="2" t="str">
        <x:v>Bestandskunde 0959</x:v>
      </x:c>
      <x:c r="C964" s="2" t="str">
        <x:v>Nur Verkäuferexport</x:v>
      </x:c>
      <x:c r="D964" s="9" t="n">
        <x:v>17383</x:v>
      </x:c>
      <x:c r="E964" s="9" t="n">
        <x:v>32.5</x:v>
      </x:c>
      <x:c r="F964" s="9" t="n">
        <x:v>0</x:v>
      </x:c>
      <x:c r="G964" s="11" t="n">
        <x:f>SUM(D964:F964)</x:f>
        <x:v>17415.5</x:v>
      </x:c>
      <x:c r="H964" s="10" t="n">
        <x:v>0.92</x:v>
      </x:c>
      <x:c r="I964" s="11" t="n">
        <x:f>IF(ISNUMBER(H964),ROUND(D964*H964,2),NA())</x:f>
        <x:v>15992.36</x:v>
      </x:c>
      <x:c r="J964" s="2" t="str">
        <x:v>Regelbestand laut Verkäufer</x:v>
      </x:c>
      <x:c r="K964" s="2" t="str">
        <x:v>Export KREDIT-ERF-20260930, Einzelbelege nicht im Datenraum</x:v>
      </x:c>
    </x:row>
    <x:row r="965" ht="22" customHeight="1">
      <x:c r="A965" s="2" t="str">
        <x:v>APB-0960</x:v>
      </x:c>
      <x:c r="B965" s="2" t="str">
        <x:v>Bestandskunde 0960</x:v>
      </x:c>
      <x:c r="C965" s="2" t="str">
        <x:v>Nur Verkäuferexport</x:v>
      </x:c>
      <x:c r="D965" s="9" t="n">
        <x:v>17520</x:v>
      </x:c>
      <x:c r="E965" s="9" t="n">
        <x:v>39</x:v>
      </x:c>
      <x:c r="F965" s="9" t="n">
        <x:v>0</x:v>
      </x:c>
      <x:c r="G965" s="11" t="n">
        <x:f>SUM(D965:F965)</x:f>
        <x:v>17559</x:v>
      </x:c>
      <x:c r="H965" s="10" t="n">
        <x:v>0.92</x:v>
      </x:c>
      <x:c r="I965" s="11" t="n">
        <x:f>IF(ISNUMBER(H965),ROUND(D965*H965,2),NA())</x:f>
        <x:v>16118.4</x:v>
      </x:c>
      <x:c r="J965" s="2" t="str">
        <x:v>Regelbestand laut Verkäufer</x:v>
      </x:c>
      <x:c r="K965" s="2" t="str">
        <x:v>Export KREDIT-ERF-20260930, Einzelbelege nicht im Datenraum</x:v>
      </x:c>
    </x:row>
    <x:row r="966" ht="22" customHeight="1">
      <x:c r="A966" s="2" t="str">
        <x:v>APB-0961</x:v>
      </x:c>
      <x:c r="B966" s="2" t="str">
        <x:v>Bestandskunde 0961</x:v>
      </x:c>
      <x:c r="C966" s="2" t="str">
        <x:v>Nur Verkäuferexport</x:v>
      </x:c>
      <x:c r="D966" s="9" t="n">
        <x:v>17657</x:v>
      </x:c>
      <x:c r="E966" s="9" t="n">
        <x:v>45.5</x:v>
      </x:c>
      <x:c r="F966" s="9" t="n">
        <x:v>0</x:v>
      </x:c>
      <x:c r="G966" s="11" t="n">
        <x:f>SUM(D966:F966)</x:f>
        <x:v>17702.5</x:v>
      </x:c>
      <x:c r="H966" s="10" t="n">
        <x:v>0.92</x:v>
      </x:c>
      <x:c r="I966" s="11" t="n">
        <x:f>IF(ISNUMBER(H966),ROUND(D966*H966,2),NA())</x:f>
        <x:v>16244.44</x:v>
      </x:c>
      <x:c r="J966" s="2" t="str">
        <x:v>Regelbestand laut Verkäufer</x:v>
      </x:c>
      <x:c r="K966" s="2" t="str">
        <x:v>Export KREDIT-ERF-20260930, Einzelbelege nicht im Datenraum</x:v>
      </x:c>
    </x:row>
    <x:row r="967" ht="22" customHeight="1">
      <x:c r="A967" s="2" t="str">
        <x:v>APB-0962</x:v>
      </x:c>
      <x:c r="B967" s="2" t="str">
        <x:v>Bestandskunde 0962</x:v>
      </x:c>
      <x:c r="C967" s="2" t="str">
        <x:v>Nur Verkäuferexport</x:v>
      </x:c>
      <x:c r="D967" s="9" t="n">
        <x:v>17794</x:v>
      </x:c>
      <x:c r="E967" s="9" t="n">
        <x:v>52</x:v>
      </x:c>
      <x:c r="F967" s="9" t="n">
        <x:v>0</x:v>
      </x:c>
      <x:c r="G967" s="11" t="n">
        <x:f>SUM(D967:F967)</x:f>
        <x:v>17846</x:v>
      </x:c>
      <x:c r="H967" s="10" t="n">
        <x:v>0.92</x:v>
      </x:c>
      <x:c r="I967" s="11" t="n">
        <x:f>IF(ISNUMBER(H967),ROUND(D967*H967,2),NA())</x:f>
        <x:v>16370.48</x:v>
      </x:c>
      <x:c r="J967" s="2" t="str">
        <x:v>Regelbestand laut Verkäufer</x:v>
      </x:c>
      <x:c r="K967" s="2" t="str">
        <x:v>Export KREDIT-ERF-20260930, Einzelbelege nicht im Datenraum</x:v>
      </x:c>
    </x:row>
    <x:row r="968" ht="22" customHeight="1">
      <x:c r="A968" s="2" t="str">
        <x:v>APB-0963</x:v>
      </x:c>
      <x:c r="B968" s="2" t="str">
        <x:v>Bestandskunde 0963</x:v>
      </x:c>
      <x:c r="C968" s="2" t="str">
        <x:v>Nur Verkäuferexport</x:v>
      </x:c>
      <x:c r="D968" s="9" t="n">
        <x:v>17931</x:v>
      </x:c>
      <x:c r="E968" s="9" t="n">
        <x:v>0</x:v>
      </x:c>
      <x:c r="F968" s="9" t="n">
        <x:v>0</x:v>
      </x:c>
      <x:c r="G968" s="11" t="n">
        <x:f>SUM(D968:F968)</x:f>
        <x:v>17931</x:v>
      </x:c>
      <x:c r="H968" s="10" t="n">
        <x:v>0.92</x:v>
      </x:c>
      <x:c r="I968" s="11" t="n">
        <x:f>IF(ISNUMBER(H968),ROUND(D968*H968,2),NA())</x:f>
        <x:v>16496.52</x:v>
      </x:c>
      <x:c r="J968" s="2" t="str">
        <x:v>Regelbestand laut Verkäufer</x:v>
      </x:c>
      <x:c r="K968" s="2" t="str">
        <x:v>Export KREDIT-ERF-20260930, Einzelbelege nicht im Datenraum</x:v>
      </x:c>
    </x:row>
    <x:row r="969" ht="22" customHeight="1">
      <x:c r="A969" s="2" t="str">
        <x:v>APB-0964</x:v>
      </x:c>
      <x:c r="B969" s="2" t="str">
        <x:v>Bestandskunde 0964</x:v>
      </x:c>
      <x:c r="C969" s="2" t="str">
        <x:v>Nur Verkäuferexport</x:v>
      </x:c>
      <x:c r="D969" s="9" t="n">
        <x:v>18068</x:v>
      </x:c>
      <x:c r="E969" s="9" t="n">
        <x:v>6.5</x:v>
      </x:c>
      <x:c r="F969" s="9" t="n">
        <x:v>0</x:v>
      </x:c>
      <x:c r="G969" s="11" t="n">
        <x:f>SUM(D969:F969)</x:f>
        <x:v>18074.5</x:v>
      </x:c>
      <x:c r="H969" s="10" t="n">
        <x:v>0.92</x:v>
      </x:c>
      <x:c r="I969" s="11" t="n">
        <x:f>IF(ISNUMBER(H969),ROUND(D969*H969,2),NA())</x:f>
        <x:v>16622.56</x:v>
      </x:c>
      <x:c r="J969" s="2" t="str">
        <x:v>Regelbestand laut Verkäufer</x:v>
      </x:c>
      <x:c r="K969" s="2" t="str">
        <x:v>Export KREDIT-ERF-20260930, Einzelbelege nicht im Datenraum</x:v>
      </x:c>
    </x:row>
    <x:row r="970" ht="22" customHeight="1">
      <x:c r="A970" s="2" t="str">
        <x:v>APB-0965</x:v>
      </x:c>
      <x:c r="B970" s="2" t="str">
        <x:v>Bestandskunde 0965</x:v>
      </x:c>
      <x:c r="C970" s="2" t="str">
        <x:v>Nur Verkäuferexport</x:v>
      </x:c>
      <x:c r="D970" s="9" t="n">
        <x:v>18205</x:v>
      </x:c>
      <x:c r="E970" s="9" t="n">
        <x:v>13</x:v>
      </x:c>
      <x:c r="F970" s="9" t="n">
        <x:v>0</x:v>
      </x:c>
      <x:c r="G970" s="11" t="n">
        <x:f>SUM(D970:F970)</x:f>
        <x:v>18218</x:v>
      </x:c>
      <x:c r="H970" s="10" t="n">
        <x:v>0.92</x:v>
      </x:c>
      <x:c r="I970" s="11" t="n">
        <x:f>IF(ISNUMBER(H970),ROUND(D970*H970,2),NA())</x:f>
        <x:v>16748.6</x:v>
      </x:c>
      <x:c r="J970" s="2" t="str">
        <x:v>Regelbestand laut Verkäufer</x:v>
      </x:c>
      <x:c r="K970" s="2" t="str">
        <x:v>Export KREDIT-ERF-20260930, Einzelbelege nicht im Datenraum</x:v>
      </x:c>
    </x:row>
    <x:row r="971" ht="22" customHeight="1">
      <x:c r="A971" s="2" t="str">
        <x:v>APB-0966</x:v>
      </x:c>
      <x:c r="B971" s="2" t="str">
        <x:v>Bestandskunde 0966</x:v>
      </x:c>
      <x:c r="C971" s="2" t="str">
        <x:v>Nur Verkäuferexport</x:v>
      </x:c>
      <x:c r="D971" s="9" t="n">
        <x:v>18342</x:v>
      </x:c>
      <x:c r="E971" s="9" t="n">
        <x:v>19.5</x:v>
      </x:c>
      <x:c r="F971" s="9" t="n">
        <x:v>0</x:v>
      </x:c>
      <x:c r="G971" s="11" t="n">
        <x:f>SUM(D971:F971)</x:f>
        <x:v>18361.5</x:v>
      </x:c>
      <x:c r="H971" s="10" t="n">
        <x:v>0.92</x:v>
      </x:c>
      <x:c r="I971" s="11" t="n">
        <x:f>IF(ISNUMBER(H971),ROUND(D971*H971,2),NA())</x:f>
        <x:v>16874.64</x:v>
      </x:c>
      <x:c r="J971" s="2" t="str">
        <x:v>Regelbestand laut Verkäufer</x:v>
      </x:c>
      <x:c r="K971" s="2" t="str">
        <x:v>Export KREDIT-ERF-20260930, Einzelbelege nicht im Datenraum</x:v>
      </x:c>
    </x:row>
    <x:row r="972" ht="22" customHeight="1">
      <x:c r="A972" s="2" t="str">
        <x:v>APB-0967</x:v>
      </x:c>
      <x:c r="B972" s="2" t="str">
        <x:v>Bestandskunde 0967</x:v>
      </x:c>
      <x:c r="C972" s="2" t="str">
        <x:v>Nur Verkäuferexport</x:v>
      </x:c>
      <x:c r="D972" s="9" t="n">
        <x:v>18479</x:v>
      </x:c>
      <x:c r="E972" s="9" t="n">
        <x:v>26</x:v>
      </x:c>
      <x:c r="F972" s="9" t="n">
        <x:v>0</x:v>
      </x:c>
      <x:c r="G972" s="11" t="n">
        <x:f>SUM(D972:F972)</x:f>
        <x:v>18505</x:v>
      </x:c>
      <x:c r="H972" s="10" t="n">
        <x:v>0.92</x:v>
      </x:c>
      <x:c r="I972" s="11" t="n">
        <x:f>IF(ISNUMBER(H972),ROUND(D972*H972,2),NA())</x:f>
        <x:v>17000.68</x:v>
      </x:c>
      <x:c r="J972" s="2" t="str">
        <x:v>Regelbestand laut Verkäufer</x:v>
      </x:c>
      <x:c r="K972" s="2" t="str">
        <x:v>Export KREDIT-ERF-20260930, Einzelbelege nicht im Datenraum</x:v>
      </x:c>
    </x:row>
    <x:row r="973" ht="22" customHeight="1">
      <x:c r="A973" s="2" t="str">
        <x:v>APB-0968</x:v>
      </x:c>
      <x:c r="B973" s="2" t="str">
        <x:v>Bestandskunde 0968</x:v>
      </x:c>
      <x:c r="C973" s="2" t="str">
        <x:v>Nur Verkäuferexport</x:v>
      </x:c>
      <x:c r="D973" s="9" t="n">
        <x:v>18616</x:v>
      </x:c>
      <x:c r="E973" s="9" t="n">
        <x:v>32.5</x:v>
      </x:c>
      <x:c r="F973" s="9" t="n">
        <x:v>0</x:v>
      </x:c>
      <x:c r="G973" s="11" t="n">
        <x:f>SUM(D973:F973)</x:f>
        <x:v>18648.5</x:v>
      </x:c>
      <x:c r="H973" s="10" t="n">
        <x:v>0.92</x:v>
      </x:c>
      <x:c r="I973" s="11" t="n">
        <x:f>IF(ISNUMBER(H973),ROUND(D973*H973,2),NA())</x:f>
        <x:v>17126.72</x:v>
      </x:c>
      <x:c r="J973" s="2" t="str">
        <x:v>Regelbestand laut Verkäufer</x:v>
      </x:c>
      <x:c r="K973" s="2" t="str">
        <x:v>Export KREDIT-ERF-20260930, Einzelbelege nicht im Datenraum</x:v>
      </x:c>
    </x:row>
    <x:row r="974" ht="22" customHeight="1">
      <x:c r="A974" s="2" t="str">
        <x:v>APB-0969</x:v>
      </x:c>
      <x:c r="B974" s="2" t="str">
        <x:v>Bestandskunde 0969</x:v>
      </x:c>
      <x:c r="C974" s="2" t="str">
        <x:v>Nur Verkäuferexport</x:v>
      </x:c>
      <x:c r="D974" s="9" t="n">
        <x:v>18753</x:v>
      </x:c>
      <x:c r="E974" s="9" t="n">
        <x:v>39</x:v>
      </x:c>
      <x:c r="F974" s="9" t="n">
        <x:v>0</x:v>
      </x:c>
      <x:c r="G974" s="11" t="n">
        <x:f>SUM(D974:F974)</x:f>
        <x:v>18792</x:v>
      </x:c>
      <x:c r="H974" s="10" t="n">
        <x:v>0.92</x:v>
      </x:c>
      <x:c r="I974" s="11" t="n">
        <x:f>IF(ISNUMBER(H974),ROUND(D974*H974,2),NA())</x:f>
        <x:v>17252.76</x:v>
      </x:c>
      <x:c r="J974" s="2" t="str">
        <x:v>Regelbestand laut Verkäufer</x:v>
      </x:c>
      <x:c r="K974" s="2" t="str">
        <x:v>Export KREDIT-ERF-20260930, Einzelbelege nicht im Datenraum</x:v>
      </x:c>
    </x:row>
    <x:row r="975" ht="22" customHeight="1">
      <x:c r="A975" s="2" t="str">
        <x:v>APB-0970</x:v>
      </x:c>
      <x:c r="B975" s="2" t="str">
        <x:v>Bestandskunde 0970</x:v>
      </x:c>
      <x:c r="C975" s="2" t="str">
        <x:v>Nur Verkäuferexport</x:v>
      </x:c>
      <x:c r="D975" s="9" t="n">
        <x:v>18890</x:v>
      </x:c>
      <x:c r="E975" s="9" t="n">
        <x:v>45.5</x:v>
      </x:c>
      <x:c r="F975" s="9" t="n">
        <x:v>0</x:v>
      </x:c>
      <x:c r="G975" s="11" t="n">
        <x:f>SUM(D975:F975)</x:f>
        <x:v>18935.5</x:v>
      </x:c>
      <x:c r="H975" s="10" t="n">
        <x:v>0.92</x:v>
      </x:c>
      <x:c r="I975" s="11" t="n">
        <x:f>IF(ISNUMBER(H975),ROUND(D975*H975,2),NA())</x:f>
        <x:v>17378.8</x:v>
      </x:c>
      <x:c r="J975" s="2" t="str">
        <x:v>Regelbestand laut Verkäufer</x:v>
      </x:c>
      <x:c r="K975" s="2" t="str">
        <x:v>Export KREDIT-ERF-20260930, Einzelbelege nicht im Datenraum</x:v>
      </x:c>
    </x:row>
    <x:row r="976" ht="22" customHeight="1">
      <x:c r="A976" s="2" t="str">
        <x:v>APB-0971</x:v>
      </x:c>
      <x:c r="B976" s="2" t="str">
        <x:v>Bestandskunde 0971</x:v>
      </x:c>
      <x:c r="C976" s="2" t="str">
        <x:v>Nur Verkäuferexport</x:v>
      </x:c>
      <x:c r="D976" s="9" t="n">
        <x:v>19027</x:v>
      </x:c>
      <x:c r="E976" s="9" t="n">
        <x:v>52</x:v>
      </x:c>
      <x:c r="F976" s="9" t="n">
        <x:v>0</x:v>
      </x:c>
      <x:c r="G976" s="11" t="n">
        <x:f>SUM(D976:F976)</x:f>
        <x:v>19079</x:v>
      </x:c>
      <x:c r="H976" s="10" t="n">
        <x:v>0.92</x:v>
      </x:c>
      <x:c r="I976" s="11" t="n">
        <x:f>IF(ISNUMBER(H976),ROUND(D976*H976,2),NA())</x:f>
        <x:v>17504.84</x:v>
      </x:c>
      <x:c r="J976" s="2" t="str">
        <x:v>Regelbestand laut Verkäufer</x:v>
      </x:c>
      <x:c r="K976" s="2" t="str">
        <x:v>Export KREDIT-ERF-20260930, Einzelbelege nicht im Datenraum</x:v>
      </x:c>
    </x:row>
    <x:row r="977" ht="22" customHeight="1">
      <x:c r="A977" s="2" t="str">
        <x:v>APB-0972</x:v>
      </x:c>
      <x:c r="B977" s="2" t="str">
        <x:v>Bestandskunde 0972</x:v>
      </x:c>
      <x:c r="C977" s="2" t="str">
        <x:v>Nur Verkäuferexport</x:v>
      </x:c>
      <x:c r="D977" s="9" t="n">
        <x:v>19164</x:v>
      </x:c>
      <x:c r="E977" s="9" t="n">
        <x:v>0</x:v>
      </x:c>
      <x:c r="F977" s="9" t="n">
        <x:v>0</x:v>
      </x:c>
      <x:c r="G977" s="11" t="n">
        <x:f>SUM(D977:F977)</x:f>
        <x:v>19164</x:v>
      </x:c>
      <x:c r="H977" s="10" t="n">
        <x:v>0.92</x:v>
      </x:c>
      <x:c r="I977" s="11" t="n">
        <x:f>IF(ISNUMBER(H977),ROUND(D977*H977,2),NA())</x:f>
        <x:v>17630.88</x:v>
      </x:c>
      <x:c r="J977" s="2" t="str">
        <x:v>Regelbestand laut Verkäufer</x:v>
      </x:c>
      <x:c r="K977" s="2" t="str">
        <x:v>Export KREDIT-ERF-20260930, Einzelbelege nicht im Datenraum</x:v>
      </x:c>
    </x:row>
    <x:row r="978" ht="22" customHeight="1">
      <x:c r="A978" s="2" t="str">
        <x:v>APB-0973</x:v>
      </x:c>
      <x:c r="B978" s="2" t="str">
        <x:v>Bestandskunde 0973</x:v>
      </x:c>
      <x:c r="C978" s="2" t="str">
        <x:v>Nur Verkäuferexport</x:v>
      </x:c>
      <x:c r="D978" s="9" t="n">
        <x:v>19301</x:v>
      </x:c>
      <x:c r="E978" s="9" t="n">
        <x:v>6.5</x:v>
      </x:c>
      <x:c r="F978" s="9" t="n">
        <x:v>0</x:v>
      </x:c>
      <x:c r="G978" s="11" t="n">
        <x:f>SUM(D978:F978)</x:f>
        <x:v>19307.5</x:v>
      </x:c>
      <x:c r="H978" s="10" t="n">
        <x:v>0.92</x:v>
      </x:c>
      <x:c r="I978" s="11" t="n">
        <x:f>IF(ISNUMBER(H978),ROUND(D978*H978,2),NA())</x:f>
        <x:v>17756.92</x:v>
      </x:c>
      <x:c r="J978" s="2" t="str">
        <x:v>Regelbestand laut Verkäufer</x:v>
      </x:c>
      <x:c r="K978" s="2" t="str">
        <x:v>Export KREDIT-ERF-20260930, Einzelbelege nicht im Datenraum</x:v>
      </x:c>
    </x:row>
    <x:row r="979" ht="22" customHeight="1">
      <x:c r="A979" s="2" t="str">
        <x:v>APB-0974</x:v>
      </x:c>
      <x:c r="B979" s="2" t="str">
        <x:v>Bestandskunde 0974</x:v>
      </x:c>
      <x:c r="C979" s="2" t="str">
        <x:v>Nur Verkäuferexport</x:v>
      </x:c>
      <x:c r="D979" s="9" t="n">
        <x:v>19438</x:v>
      </x:c>
      <x:c r="E979" s="9" t="n">
        <x:v>13</x:v>
      </x:c>
      <x:c r="F979" s="9" t="n">
        <x:v>0</x:v>
      </x:c>
      <x:c r="G979" s="11" t="n">
        <x:f>SUM(D979:F979)</x:f>
        <x:v>19451</x:v>
      </x:c>
      <x:c r="H979" s="10" t="n">
        <x:v>0.92</x:v>
      </x:c>
      <x:c r="I979" s="11" t="n">
        <x:f>IF(ISNUMBER(H979),ROUND(D979*H979,2),NA())</x:f>
        <x:v>17882.96</x:v>
      </x:c>
      <x:c r="J979" s="2" t="str">
        <x:v>Regelbestand laut Verkäufer</x:v>
      </x:c>
      <x:c r="K979" s="2" t="str">
        <x:v>Export KREDIT-ERF-20260930, Einzelbelege nicht im Datenraum</x:v>
      </x:c>
    </x:row>
    <x:row r="980" ht="22" customHeight="1">
      <x:c r="A980" s="2" t="str">
        <x:v>APB-0975</x:v>
      </x:c>
      <x:c r="B980" s="2" t="str">
        <x:v>Bestandskunde 0975</x:v>
      </x:c>
      <x:c r="C980" s="2" t="str">
        <x:v>Nur Verkäuferexport</x:v>
      </x:c>
      <x:c r="D980" s="9" t="n">
        <x:v>19575</x:v>
      </x:c>
      <x:c r="E980" s="9" t="n">
        <x:v>19.5</x:v>
      </x:c>
      <x:c r="F980" s="9" t="n">
        <x:v>0</x:v>
      </x:c>
      <x:c r="G980" s="11" t="n">
        <x:f>SUM(D980:F980)</x:f>
        <x:v>19594.5</x:v>
      </x:c>
      <x:c r="H980" s="10" t="n">
        <x:v>0.92</x:v>
      </x:c>
      <x:c r="I980" s="11" t="n">
        <x:f>IF(ISNUMBER(H980),ROUND(D980*H980,2),NA())</x:f>
        <x:v>18009</x:v>
      </x:c>
      <x:c r="J980" s="2" t="str">
        <x:v>Regelbestand laut Verkäufer</x:v>
      </x:c>
      <x:c r="K980" s="2" t="str">
        <x:v>Export KREDIT-ERF-20260930, Einzelbelege nicht im Datenraum</x:v>
      </x:c>
    </x:row>
    <x:row r="981" ht="22" customHeight="1">
      <x:c r="A981" s="2" t="str">
        <x:v>APB-0976</x:v>
      </x:c>
      <x:c r="B981" s="2" t="str">
        <x:v>Bestandskunde 0976</x:v>
      </x:c>
      <x:c r="C981" s="2" t="str">
        <x:v>Nur Verkäuferexport</x:v>
      </x:c>
      <x:c r="D981" s="9" t="n">
        <x:v>19712</x:v>
      </x:c>
      <x:c r="E981" s="9" t="n">
        <x:v>26</x:v>
      </x:c>
      <x:c r="F981" s="9" t="n">
        <x:v>0</x:v>
      </x:c>
      <x:c r="G981" s="11" t="n">
        <x:f>SUM(D981:F981)</x:f>
        <x:v>19738</x:v>
      </x:c>
      <x:c r="H981" s="10" t="n">
        <x:v>0.92</x:v>
      </x:c>
      <x:c r="I981" s="11" t="n">
        <x:f>IF(ISNUMBER(H981),ROUND(D981*H981,2),NA())</x:f>
        <x:v>18135.04</x:v>
      </x:c>
      <x:c r="J981" s="2" t="str">
        <x:v>Regelbestand laut Verkäufer</x:v>
      </x:c>
      <x:c r="K981" s="2" t="str">
        <x:v>Export KREDIT-ERF-20260930, Einzelbelege nicht im Datenraum</x:v>
      </x:c>
    </x:row>
    <x:row r="982" ht="22" customHeight="1">
      <x:c r="A982" s="2" t="str">
        <x:v>APB-0977</x:v>
      </x:c>
      <x:c r="B982" s="2" t="str">
        <x:v>Bestandskunde 0977</x:v>
      </x:c>
      <x:c r="C982" s="2" t="str">
        <x:v>Nur Verkäuferexport</x:v>
      </x:c>
      <x:c r="D982" s="9" t="n">
        <x:v>19849</x:v>
      </x:c>
      <x:c r="E982" s="9" t="n">
        <x:v>32.5</x:v>
      </x:c>
      <x:c r="F982" s="9" t="n">
        <x:v>0</x:v>
      </x:c>
      <x:c r="G982" s="11" t="n">
        <x:f>SUM(D982:F982)</x:f>
        <x:v>19881.5</x:v>
      </x:c>
      <x:c r="H982" s="10" t="n">
        <x:v>0.92</x:v>
      </x:c>
      <x:c r="I982" s="11" t="n">
        <x:f>IF(ISNUMBER(H982),ROUND(D982*H982,2),NA())</x:f>
        <x:v>18261.08</x:v>
      </x:c>
      <x:c r="J982" s="2" t="str">
        <x:v>Regelbestand laut Verkäufer</x:v>
      </x:c>
      <x:c r="K982" s="2" t="str">
        <x:v>Export KREDIT-ERF-20260930, Einzelbelege nicht im Datenraum</x:v>
      </x:c>
    </x:row>
    <x:row r="983" ht="22" customHeight="1">
      <x:c r="A983" s="2" t="str">
        <x:v>APB-0978</x:v>
      </x:c>
      <x:c r="B983" s="2" t="str">
        <x:v>Bestandskunde 0978</x:v>
      </x:c>
      <x:c r="C983" s="2" t="str">
        <x:v>Nur Verkäuferexport</x:v>
      </x:c>
      <x:c r="D983" s="9" t="n">
        <x:v>19986</x:v>
      </x:c>
      <x:c r="E983" s="9" t="n">
        <x:v>39</x:v>
      </x:c>
      <x:c r="F983" s="9" t="n">
        <x:v>0</x:v>
      </x:c>
      <x:c r="G983" s="11" t="n">
        <x:f>SUM(D983:F983)</x:f>
        <x:v>20025</x:v>
      </x:c>
      <x:c r="H983" s="10" t="n">
        <x:v>0.92</x:v>
      </x:c>
      <x:c r="I983" s="11" t="n">
        <x:f>IF(ISNUMBER(H983),ROUND(D983*H983,2),NA())</x:f>
        <x:v>18387.12</x:v>
      </x:c>
      <x:c r="J983" s="2" t="str">
        <x:v>Regelbestand laut Verkäufer</x:v>
      </x:c>
      <x:c r="K983" s="2" t="str">
        <x:v>Export KREDIT-ERF-20260930, Einzelbelege nicht im Datenraum</x:v>
      </x:c>
    </x:row>
    <x:row r="984" ht="22" customHeight="1">
      <x:c r="A984" s="2" t="str">
        <x:v>APB-0979</x:v>
      </x:c>
      <x:c r="B984" s="2" t="str">
        <x:v>Bestandskunde 0979</x:v>
      </x:c>
      <x:c r="C984" s="2" t="str">
        <x:v>Nur Verkäuferexport</x:v>
      </x:c>
      <x:c r="D984" s="9" t="n">
        <x:v>20123</x:v>
      </x:c>
      <x:c r="E984" s="9" t="n">
        <x:v>45.5</x:v>
      </x:c>
      <x:c r="F984" s="9" t="n">
        <x:v>0</x:v>
      </x:c>
      <x:c r="G984" s="11" t="n">
        <x:f>SUM(D984:F984)</x:f>
        <x:v>20168.5</x:v>
      </x:c>
      <x:c r="H984" s="10" t="n">
        <x:v>0.92</x:v>
      </x:c>
      <x:c r="I984" s="11" t="n">
        <x:f>IF(ISNUMBER(H984),ROUND(D984*H984,2),NA())</x:f>
        <x:v>18513.16</x:v>
      </x:c>
      <x:c r="J984" s="2" t="str">
        <x:v>Regelbestand laut Verkäufer</x:v>
      </x:c>
      <x:c r="K984" s="2" t="str">
        <x:v>Export KREDIT-ERF-20260930, Einzelbelege nicht im Datenraum</x:v>
      </x:c>
    </x:row>
    <x:row r="985" ht="22" customHeight="1">
      <x:c r="A985" s="2" t="str">
        <x:v>APB-0980</x:v>
      </x:c>
      <x:c r="B985" s="2" t="str">
        <x:v>Bestandskunde 0980</x:v>
      </x:c>
      <x:c r="C985" s="2" t="str">
        <x:v>Nur Verkäuferexport</x:v>
      </x:c>
      <x:c r="D985" s="9" t="n">
        <x:v>20260</x:v>
      </x:c>
      <x:c r="E985" s="9" t="n">
        <x:v>52</x:v>
      </x:c>
      <x:c r="F985" s="9" t="n">
        <x:v>0</x:v>
      </x:c>
      <x:c r="G985" s="11" t="n">
        <x:f>SUM(D985:F985)</x:f>
        <x:v>20312</x:v>
      </x:c>
      <x:c r="H985" s="10" t="n">
        <x:v>0.92</x:v>
      </x:c>
      <x:c r="I985" s="11" t="n">
        <x:f>IF(ISNUMBER(H985),ROUND(D985*H985,2),NA())</x:f>
        <x:v>18639.2</x:v>
      </x:c>
      <x:c r="J985" s="2" t="str">
        <x:v>Regelbestand laut Verkäufer</x:v>
      </x:c>
      <x:c r="K985" s="2" t="str">
        <x:v>Export KREDIT-ERF-20260930, Einzelbelege nicht im Datenraum</x:v>
      </x:c>
    </x:row>
    <x:row r="986" ht="22" customHeight="1">
      <x:c r="A986" s="2" t="str">
        <x:v>APB-0981</x:v>
      </x:c>
      <x:c r="B986" s="2" t="str">
        <x:v>Bestandskunde 0981</x:v>
      </x:c>
      <x:c r="C986" s="2" t="str">
        <x:v>Nur Verkäuferexport</x:v>
      </x:c>
      <x:c r="D986" s="9" t="n">
        <x:v>20397</x:v>
      </x:c>
      <x:c r="E986" s="9" t="n">
        <x:v>0</x:v>
      </x:c>
      <x:c r="F986" s="9" t="n">
        <x:v>0</x:v>
      </x:c>
      <x:c r="G986" s="11" t="n">
        <x:f>SUM(D986:F986)</x:f>
        <x:v>20397</x:v>
      </x:c>
      <x:c r="H986" s="10" t="n">
        <x:v>0.92</x:v>
      </x:c>
      <x:c r="I986" s="11" t="n">
        <x:f>IF(ISNUMBER(H986),ROUND(D986*H986,2),NA())</x:f>
        <x:v>18765.24</x:v>
      </x:c>
      <x:c r="J986" s="2" t="str">
        <x:v>Regelbestand laut Verkäufer</x:v>
      </x:c>
      <x:c r="K986" s="2" t="str">
        <x:v>Export KREDIT-ERF-20260930, Einzelbelege nicht im Datenraum</x:v>
      </x:c>
    </x:row>
    <x:row r="987" ht="22" customHeight="1">
      <x:c r="A987" s="2" t="str">
        <x:v>APB-0982</x:v>
      </x:c>
      <x:c r="B987" s="2" t="str">
        <x:v>Bestandskunde 0982</x:v>
      </x:c>
      <x:c r="C987" s="2" t="str">
        <x:v>Nur Verkäuferexport</x:v>
      </x:c>
      <x:c r="D987" s="9" t="n">
        <x:v>20534</x:v>
      </x:c>
      <x:c r="E987" s="9" t="n">
        <x:v>6.5</x:v>
      </x:c>
      <x:c r="F987" s="9" t="n">
        <x:v>0</x:v>
      </x:c>
      <x:c r="G987" s="11" t="n">
        <x:f>SUM(D987:F987)</x:f>
        <x:v>20540.5</x:v>
      </x:c>
      <x:c r="H987" s="10" t="n">
        <x:v>0.92</x:v>
      </x:c>
      <x:c r="I987" s="11" t="n">
        <x:f>IF(ISNUMBER(H987),ROUND(D987*H987,2),NA())</x:f>
        <x:v>18891.28</x:v>
      </x:c>
      <x:c r="J987" s="2" t="str">
        <x:v>Regelbestand laut Verkäufer</x:v>
      </x:c>
      <x:c r="K987" s="2" t="str">
        <x:v>Export KREDIT-ERF-20260930, Einzelbelege nicht im Datenraum</x:v>
      </x:c>
    </x:row>
    <x:row r="988" ht="22" customHeight="1">
      <x:c r="A988" s="2" t="str">
        <x:v>APB-0983</x:v>
      </x:c>
      <x:c r="B988" s="2" t="str">
        <x:v>Bestandskunde 0983</x:v>
      </x:c>
      <x:c r="C988" s="2" t="str">
        <x:v>Nur Verkäuferexport</x:v>
      </x:c>
      <x:c r="D988" s="9" t="n">
        <x:v>20671</x:v>
      </x:c>
      <x:c r="E988" s="9" t="n">
        <x:v>13</x:v>
      </x:c>
      <x:c r="F988" s="9" t="n">
        <x:v>0</x:v>
      </x:c>
      <x:c r="G988" s="11" t="n">
        <x:f>SUM(D988:F988)</x:f>
        <x:v>20684</x:v>
      </x:c>
      <x:c r="H988" s="10" t="n">
        <x:v>0.92</x:v>
      </x:c>
      <x:c r="I988" s="11" t="n">
        <x:f>IF(ISNUMBER(H988),ROUND(D988*H988,2),NA())</x:f>
        <x:v>19017.32</x:v>
      </x:c>
      <x:c r="J988" s="2" t="str">
        <x:v>Regelbestand laut Verkäufer</x:v>
      </x:c>
      <x:c r="K988" s="2" t="str">
        <x:v>Export KREDIT-ERF-20260930, Einzelbelege nicht im Datenraum</x:v>
      </x:c>
    </x:row>
    <x:row r="989" ht="22" customHeight="1">
      <x:c r="A989" s="2" t="str">
        <x:v>APB-0984</x:v>
      </x:c>
      <x:c r="B989" s="2" t="str">
        <x:v>Bestandskunde 0984</x:v>
      </x:c>
      <x:c r="C989" s="2" t="str">
        <x:v>Nur Verkäuferexport</x:v>
      </x:c>
      <x:c r="D989" s="9" t="n">
        <x:v>20808</x:v>
      </x:c>
      <x:c r="E989" s="9" t="n">
        <x:v>19.5</x:v>
      </x:c>
      <x:c r="F989" s="9" t="n">
        <x:v>0</x:v>
      </x:c>
      <x:c r="G989" s="11" t="n">
        <x:f>SUM(D989:F989)</x:f>
        <x:v>20827.5</x:v>
      </x:c>
      <x:c r="H989" s="10" t="n">
        <x:v>0.92</x:v>
      </x:c>
      <x:c r="I989" s="11" t="n">
        <x:f>IF(ISNUMBER(H989),ROUND(D989*H989,2),NA())</x:f>
        <x:v>19143.36</x:v>
      </x:c>
      <x:c r="J989" s="2" t="str">
        <x:v>Regelbestand laut Verkäufer</x:v>
      </x:c>
      <x:c r="K989" s="2" t="str">
        <x:v>Export KREDIT-ERF-20260930, Einzelbelege nicht im Datenraum</x:v>
      </x:c>
    </x:row>
    <x:row r="990" ht="22" customHeight="1">
      <x:c r="A990" s="2" t="str">
        <x:v>APB-0985</x:v>
      </x:c>
      <x:c r="B990" s="2" t="str">
        <x:v>Bestandskunde 0985</x:v>
      </x:c>
      <x:c r="C990" s="2" t="str">
        <x:v>Nur Verkäuferexport</x:v>
      </x:c>
      <x:c r="D990" s="9" t="n">
        <x:v>20945</x:v>
      </x:c>
      <x:c r="E990" s="9" t="n">
        <x:v>26</x:v>
      </x:c>
      <x:c r="F990" s="9" t="n">
        <x:v>0</x:v>
      </x:c>
      <x:c r="G990" s="11" t="n">
        <x:f>SUM(D990:F990)</x:f>
        <x:v>20971</x:v>
      </x:c>
      <x:c r="H990" s="10" t="n">
        <x:v>0.92</x:v>
      </x:c>
      <x:c r="I990" s="11" t="n">
        <x:f>IF(ISNUMBER(H990),ROUND(D990*H990,2),NA())</x:f>
        <x:v>19269.4</x:v>
      </x:c>
      <x:c r="J990" s="2" t="str">
        <x:v>Regelbestand laut Verkäufer</x:v>
      </x:c>
      <x:c r="K990" s="2" t="str">
        <x:v>Export KREDIT-ERF-20260930, Einzelbelege nicht im Datenraum</x:v>
      </x:c>
    </x:row>
    <x:row r="991" ht="22" customHeight="1">
      <x:c r="A991" s="2" t="str">
        <x:v>APB-0986</x:v>
      </x:c>
      <x:c r="B991" s="2" t="str">
        <x:v>Bestandskunde 0986</x:v>
      </x:c>
      <x:c r="C991" s="2" t="str">
        <x:v>Nur Verkäuferexport</x:v>
      </x:c>
      <x:c r="D991" s="9" t="n">
        <x:v>21082</x:v>
      </x:c>
      <x:c r="E991" s="9" t="n">
        <x:v>32.5</x:v>
      </x:c>
      <x:c r="F991" s="9" t="n">
        <x:v>15</x:v>
      </x:c>
      <x:c r="G991" s="11" t="n">
        <x:f>SUM(D991:F991)</x:f>
        <x:v>21129.5</x:v>
      </x:c>
      <x:c r="H991" s="10" t="n">
        <x:v>0.92</x:v>
      </x:c>
      <x:c r="I991" s="11" t="n">
        <x:f>IF(ISNUMBER(H991),ROUND(D991*H991,2),NA())</x:f>
        <x:v>19395.44</x:v>
      </x:c>
      <x:c r="J991" s="2" t="str">
        <x:v>Zahlungslücke im Export</x:v>
      </x:c>
      <x:c r="K991" s="2" t="str">
        <x:v>Export KREDIT-ERF-20260930, Einzelbelege nicht im Datenraum</x:v>
      </x:c>
    </x:row>
    <x:row r="992" ht="22" customHeight="1">
      <x:c r="A992" s="2" t="str">
        <x:v>APB-0987</x:v>
      </x:c>
      <x:c r="B992" s="2" t="str">
        <x:v>Bestandskunde 0987</x:v>
      </x:c>
      <x:c r="C992" s="2" t="str">
        <x:v>Nur Verkäuferexport</x:v>
      </x:c>
      <x:c r="D992" s="9" t="n">
        <x:v>21219</x:v>
      </x:c>
      <x:c r="E992" s="9" t="n">
        <x:v>39</x:v>
      </x:c>
      <x:c r="F992" s="9" t="n">
        <x:v>0</x:v>
      </x:c>
      <x:c r="G992" s="11" t="n">
        <x:f>SUM(D992:F992)</x:f>
        <x:v>21258</x:v>
      </x:c>
      <x:c r="H992" s="10" t="n">
        <x:v>0.92</x:v>
      </x:c>
      <x:c r="I992" s="11" t="n">
        <x:f>IF(ISNUMBER(H992),ROUND(D992*H992,2),NA())</x:f>
        <x:v>19521.48</x:v>
      </x:c>
      <x:c r="J992" s="2" t="str">
        <x:v>Regelbestand laut Verkäufer</x:v>
      </x:c>
      <x:c r="K992" s="2" t="str">
        <x:v>Export KREDIT-ERF-20260930, Einzelbelege nicht im Datenraum</x:v>
      </x:c>
    </x:row>
    <x:row r="993" ht="22" customHeight="1">
      <x:c r="A993" s="2" t="str">
        <x:v>APB-0988</x:v>
      </x:c>
      <x:c r="B993" s="2" t="str">
        <x:v>Bestandskunde 0988</x:v>
      </x:c>
      <x:c r="C993" s="2" t="str">
        <x:v>Nur Verkäuferexport</x:v>
      </x:c>
      <x:c r="D993" s="9" t="n">
        <x:v>21356</x:v>
      </x:c>
      <x:c r="E993" s="9" t="n">
        <x:v>45.5</x:v>
      </x:c>
      <x:c r="F993" s="9" t="n">
        <x:v>0</x:v>
      </x:c>
      <x:c r="G993" s="11" t="n">
        <x:f>SUM(D993:F993)</x:f>
        <x:v>21401.5</x:v>
      </x:c>
      <x:c r="H993" s="10" t="n">
        <x:v>0.92</x:v>
      </x:c>
      <x:c r="I993" s="11" t="n">
        <x:f>IF(ISNUMBER(H993),ROUND(D993*H993,2),NA())</x:f>
        <x:v>19647.52</x:v>
      </x:c>
      <x:c r="J993" s="2" t="str">
        <x:v>Regelbestand laut Verkäufer</x:v>
      </x:c>
      <x:c r="K993" s="2" t="str">
        <x:v>Export KREDIT-ERF-20260930, Einzelbelege nicht im Datenraum</x:v>
      </x:c>
    </x:row>
    <x:row r="994" ht="22" customHeight="1">
      <x:c r="A994" s="2" t="str">
        <x:v>APB-0989</x:v>
      </x:c>
      <x:c r="B994" s="2" t="str">
        <x:v>Bestandskunde 0989</x:v>
      </x:c>
      <x:c r="C994" s="2" t="str">
        <x:v>Nur Verkäuferexport</x:v>
      </x:c>
      <x:c r="D994" s="9" t="n">
        <x:v>21493</x:v>
      </x:c>
      <x:c r="E994" s="9" t="n">
        <x:v>52</x:v>
      </x:c>
      <x:c r="F994" s="9" t="n">
        <x:v>0</x:v>
      </x:c>
      <x:c r="G994" s="11" t="n">
        <x:f>SUM(D994:F994)</x:f>
        <x:v>21545</x:v>
      </x:c>
      <x:c r="H994" s="10" t="n">
        <x:v>0.92</x:v>
      </x:c>
      <x:c r="I994" s="11" t="n">
        <x:f>IF(ISNUMBER(H994),ROUND(D994*H994,2),NA())</x:f>
        <x:v>19773.56</x:v>
      </x:c>
      <x:c r="J994" s="2" t="str">
        <x:v>Regelbestand laut Verkäufer</x:v>
      </x:c>
      <x:c r="K994" s="2" t="str">
        <x:v>Export KREDIT-ERF-20260930, Einzelbelege nicht im Datenraum</x:v>
      </x:c>
    </x:row>
    <x:row r="995" ht="22" customHeight="1">
      <x:c r="A995" s="2" t="str">
        <x:v>APB-0990</x:v>
      </x:c>
      <x:c r="B995" s="2" t="str">
        <x:v>Bestandskunde 0990</x:v>
      </x:c>
      <x:c r="C995" s="2" t="str">
        <x:v>Nur Verkäuferexport</x:v>
      </x:c>
      <x:c r="D995" s="9" t="n">
        <x:v>21630</x:v>
      </x:c>
      <x:c r="E995" s="9" t="n">
        <x:v>0</x:v>
      </x:c>
      <x:c r="F995" s="9" t="n">
        <x:v>0</x:v>
      </x:c>
      <x:c r="G995" s="11" t="n">
        <x:f>SUM(D995:F995)</x:f>
        <x:v>21630</x:v>
      </x:c>
      <x:c r="H995" s="10" t="n">
        <x:v>0.92</x:v>
      </x:c>
      <x:c r="I995" s="11" t="n">
        <x:f>IF(ISNUMBER(H995),ROUND(D995*H995,2),NA())</x:f>
        <x:v>19899.6</x:v>
      </x:c>
      <x:c r="J995" s="2" t="str">
        <x:v>Regelbestand laut Verkäufer</x:v>
      </x:c>
      <x:c r="K995" s="2" t="str">
        <x:v>Export KREDIT-ERF-20260930, Einzelbelege nicht im Datenraum</x:v>
      </x:c>
    </x:row>
    <x:row r="996" ht="22" customHeight="1">
      <x:c r="A996" s="2" t="str">
        <x:v>APB-0991</x:v>
      </x:c>
      <x:c r="B996" s="2" t="str">
        <x:v>Bestandskunde 0991</x:v>
      </x:c>
      <x:c r="C996" s="2" t="str">
        <x:v>Nur Verkäuferexport</x:v>
      </x:c>
      <x:c r="D996" s="9" t="n">
        <x:v>21767</x:v>
      </x:c>
      <x:c r="E996" s="9" t="n">
        <x:v>6.5</x:v>
      </x:c>
      <x:c r="F996" s="9" t="n">
        <x:v>0</x:v>
      </x:c>
      <x:c r="G996" s="11" t="n">
        <x:f>SUM(D996:F996)</x:f>
        <x:v>21773.5</x:v>
      </x:c>
      <x:c r="H996" s="10" t="n">
        <x:v>0.92</x:v>
      </x:c>
      <x:c r="I996" s="11" t="n">
        <x:f>IF(ISNUMBER(H996),ROUND(D996*H996,2),NA())</x:f>
        <x:v>20025.64</x:v>
      </x:c>
      <x:c r="J996" s="2" t="str">
        <x:v>Regelbestand laut Verkäufer</x:v>
      </x:c>
      <x:c r="K996" s="2" t="str">
        <x:v>Export KREDIT-ERF-20260930, Einzelbelege nicht im Datenraum</x:v>
      </x:c>
    </x:row>
    <x:row r="997" ht="22" customHeight="1">
      <x:c r="A997" s="2" t="str">
        <x:v>APB-0992</x:v>
      </x:c>
      <x:c r="B997" s="2" t="str">
        <x:v>Bestandskunde 0992</x:v>
      </x:c>
      <x:c r="C997" s="2" t="str">
        <x:v>Nur Verkäuferexport</x:v>
      </x:c>
      <x:c r="D997" s="9" t="n">
        <x:v>21904</x:v>
      </x:c>
      <x:c r="E997" s="9" t="n">
        <x:v>13</x:v>
      </x:c>
      <x:c r="F997" s="9" t="n">
        <x:v>0</x:v>
      </x:c>
      <x:c r="G997" s="11" t="n">
        <x:f>SUM(D997:F997)</x:f>
        <x:v>21917</x:v>
      </x:c>
      <x:c r="H997" s="10" t="n">
        <x:v>0.92</x:v>
      </x:c>
      <x:c r="I997" s="11" t="n">
        <x:f>IF(ISNUMBER(H997),ROUND(D997*H997,2),NA())</x:f>
        <x:v>20151.68</x:v>
      </x:c>
      <x:c r="J997" s="2" t="str">
        <x:v>Regelbestand laut Verkäufer</x:v>
      </x:c>
      <x:c r="K997" s="2" t="str">
        <x:v>Export KREDIT-ERF-20260930, Einzelbelege nicht im Datenraum</x:v>
      </x:c>
    </x:row>
    <x:row r="998" ht="22" customHeight="1">
      <x:c r="A998" s="2" t="str">
        <x:v>APB-0993</x:v>
      </x:c>
      <x:c r="B998" s="2" t="str">
        <x:v>Bestandskunde 0993</x:v>
      </x:c>
      <x:c r="C998" s="2" t="str">
        <x:v>Nur Verkäuferexport</x:v>
      </x:c>
      <x:c r="D998" s="9" t="n">
        <x:v>22041</x:v>
      </x:c>
      <x:c r="E998" s="9" t="n">
        <x:v>19.5</x:v>
      </x:c>
      <x:c r="F998" s="9" t="n">
        <x:v>0</x:v>
      </x:c>
      <x:c r="G998" s="11" t="n">
        <x:f>SUM(D998:F998)</x:f>
        <x:v>22060.5</x:v>
      </x:c>
      <x:c r="H998" s="10" t="n">
        <x:v>0.92</x:v>
      </x:c>
      <x:c r="I998" s="11" t="n">
        <x:f>IF(ISNUMBER(H998),ROUND(D998*H998,2),NA())</x:f>
        <x:v>20277.72</x:v>
      </x:c>
      <x:c r="J998" s="2" t="str">
        <x:v>Regelbestand laut Verkäufer</x:v>
      </x:c>
      <x:c r="K998" s="2" t="str">
        <x:v>Export KREDIT-ERF-20260930, Einzelbelege nicht im Datenraum</x:v>
      </x:c>
    </x:row>
    <x:row r="999" ht="22" customHeight="1">
      <x:c r="A999" s="2" t="str">
        <x:v>APB-0994</x:v>
      </x:c>
      <x:c r="B999" s="2" t="str">
        <x:v>Bestandskunde 0994</x:v>
      </x:c>
      <x:c r="C999" s="2" t="str">
        <x:v>Nur Verkäuferexport</x:v>
      </x:c>
      <x:c r="D999" s="9" t="n">
        <x:v>22178</x:v>
      </x:c>
      <x:c r="E999" s="9" t="n">
        <x:v>26</x:v>
      </x:c>
      <x:c r="F999" s="9" t="n">
        <x:v>0</x:v>
      </x:c>
      <x:c r="G999" s="11" t="n">
        <x:f>SUM(D999:F999)</x:f>
        <x:v>22204</x:v>
      </x:c>
      <x:c r="H999" s="10" t="n">
        <x:v>0.92</x:v>
      </x:c>
      <x:c r="I999" s="11" t="n">
        <x:f>IF(ISNUMBER(H999),ROUND(D999*H999,2),NA())</x:f>
        <x:v>20403.76</x:v>
      </x:c>
      <x:c r="J999" s="2" t="str">
        <x:v>Regelbestand laut Verkäufer</x:v>
      </x:c>
      <x:c r="K999" s="2" t="str">
        <x:v>Export KREDIT-ERF-20260930, Einzelbelege nicht im Datenraum</x:v>
      </x:c>
    </x:row>
    <x:row r="1000" ht="22" customHeight="1">
      <x:c r="A1000" s="2" t="str">
        <x:v>APB-0995</x:v>
      </x:c>
      <x:c r="B1000" s="2" t="str">
        <x:v>Bestandskunde 0995</x:v>
      </x:c>
      <x:c r="C1000" s="2" t="str">
        <x:v>Nur Verkäuferexport</x:v>
      </x:c>
      <x:c r="D1000" s="9" t="n">
        <x:v>22315</x:v>
      </x:c>
      <x:c r="E1000" s="9" t="n">
        <x:v>32.5</x:v>
      </x:c>
      <x:c r="F1000" s="9" t="n">
        <x:v>0</x:v>
      </x:c>
      <x:c r="G1000" s="11" t="n">
        <x:f>SUM(D1000:F1000)</x:f>
        <x:v>22347.5</x:v>
      </x:c>
      <x:c r="H1000" s="10" t="n">
        <x:v>0.92</x:v>
      </x:c>
      <x:c r="I1000" s="11" t="n">
        <x:f>IF(ISNUMBER(H1000),ROUND(D1000*H1000,2),NA())</x:f>
        <x:v>20529.8</x:v>
      </x:c>
      <x:c r="J1000" s="2" t="str">
        <x:v>Regelbestand laut Verkäufer</x:v>
      </x:c>
      <x:c r="K1000" s="2" t="str">
        <x:v>Export KREDIT-ERF-20260930, Einzelbelege nicht im Datenraum</x:v>
      </x:c>
    </x:row>
    <x:row r="1001" ht="22" customHeight="1">
      <x:c r="A1001" s="2" t="str">
        <x:v>APB-0996</x:v>
      </x:c>
      <x:c r="B1001" s="2" t="str">
        <x:v>Bestandskunde 0996</x:v>
      </x:c>
      <x:c r="C1001" s="2" t="str">
        <x:v>Nur Verkäuferexport</x:v>
      </x:c>
      <x:c r="D1001" s="9" t="n">
        <x:v>22452</x:v>
      </x:c>
      <x:c r="E1001" s="9" t="n">
        <x:v>39</x:v>
      </x:c>
      <x:c r="F1001" s="9" t="n">
        <x:v>0</x:v>
      </x:c>
      <x:c r="G1001" s="11" t="n">
        <x:f>SUM(D1001:F1001)</x:f>
        <x:v>22491</x:v>
      </x:c>
      <x:c r="H1001" s="10" t="n">
        <x:v>0.92</x:v>
      </x:c>
      <x:c r="I1001" s="11" t="n">
        <x:f>IF(ISNUMBER(H1001),ROUND(D1001*H1001,2),NA())</x:f>
        <x:v>20655.84</x:v>
      </x:c>
      <x:c r="J1001" s="2" t="str">
        <x:v>Regelbestand laut Verkäufer</x:v>
      </x:c>
      <x:c r="K1001" s="2" t="str">
        <x:v>Export KREDIT-ERF-20260930, Einzelbelege nicht im Datenraum</x:v>
      </x:c>
    </x:row>
    <x:row r="1002" ht="22" customHeight="1">
      <x:c r="A1002" s="2" t="str">
        <x:v>APB-0997</x:v>
      </x:c>
      <x:c r="B1002" s="2" t="str">
        <x:v>Bestandskunde 0997</x:v>
      </x:c>
      <x:c r="C1002" s="2" t="str">
        <x:v>Nur Verkäuferexport</x:v>
      </x:c>
      <x:c r="D1002" s="9" t="n">
        <x:v>22589</x:v>
      </x:c>
      <x:c r="E1002" s="9" t="n">
        <x:v>45.5</x:v>
      </x:c>
      <x:c r="F1002" s="9" t="n">
        <x:v>0</x:v>
      </x:c>
      <x:c r="G1002" s="11" t="n">
        <x:f>SUM(D1002:F1002)</x:f>
        <x:v>22634.5</x:v>
      </x:c>
      <x:c r="H1002" s="10" t="n">
        <x:v>0.92</x:v>
      </x:c>
      <x:c r="I1002" s="11" t="n">
        <x:f>IF(ISNUMBER(H1002),ROUND(D1002*H1002,2),NA())</x:f>
        <x:v>20781.88</x:v>
      </x:c>
      <x:c r="J1002" s="2" t="str">
        <x:v>Regelbestand laut Verkäufer</x:v>
      </x:c>
      <x:c r="K1002" s="2" t="str">
        <x:v>Export KREDIT-ERF-20260930, Einzelbelege nicht im Datenraum</x:v>
      </x:c>
    </x:row>
    <x:row r="1003" ht="22" customHeight="1">
      <x:c r="A1003" s="2" t="str">
        <x:v>APB-0998</x:v>
      </x:c>
      <x:c r="B1003" s="2" t="str">
        <x:v>Bestandskunde 0998</x:v>
      </x:c>
      <x:c r="C1003" s="2" t="str">
        <x:v>Nur Verkäuferexport</x:v>
      </x:c>
      <x:c r="D1003" s="9" t="n">
        <x:v>22726</x:v>
      </x:c>
      <x:c r="E1003" s="9" t="n">
        <x:v>52</x:v>
      </x:c>
      <x:c r="F1003" s="9" t="n">
        <x:v>0</x:v>
      </x:c>
      <x:c r="G1003" s="11" t="n">
        <x:f>SUM(D1003:F1003)</x:f>
        <x:v>22778</x:v>
      </x:c>
      <x:c r="H1003" s="10" t="n">
        <x:v>0.92</x:v>
      </x:c>
      <x:c r="I1003" s="11" t="n">
        <x:f>IF(ISNUMBER(H1003),ROUND(D1003*H1003,2),NA())</x:f>
        <x:v>20907.92</x:v>
      </x:c>
      <x:c r="J1003" s="2" t="str">
        <x:v>Regelbestand laut Verkäufer</x:v>
      </x:c>
      <x:c r="K1003" s="2" t="str">
        <x:v>Export KREDIT-ERF-20260930, Einzelbelege nicht im Datenraum</x:v>
      </x:c>
    </x:row>
    <x:row r="1004" ht="22" customHeight="1">
      <x:c r="A1004" s="2" t="str">
        <x:v>APB-0999</x:v>
      </x:c>
      <x:c r="B1004" s="2" t="str">
        <x:v>Bestandskunde 0999</x:v>
      </x:c>
      <x:c r="C1004" s="2" t="str">
        <x:v>Nur Verkäuferexport</x:v>
      </x:c>
      <x:c r="D1004" s="9" t="n">
        <x:v>22863</x:v>
      </x:c>
      <x:c r="E1004" s="9" t="n">
        <x:v>0</x:v>
      </x:c>
      <x:c r="F1004" s="9" t="n">
        <x:v>0</x:v>
      </x:c>
      <x:c r="G1004" s="11" t="n">
        <x:f>SUM(D1004:F1004)</x:f>
        <x:v>22863</x:v>
      </x:c>
      <x:c r="H1004" s="10" t="n">
        <x:v>0.92</x:v>
      </x:c>
      <x:c r="I1004" s="11" t="n">
        <x:f>IF(ISNUMBER(H1004),ROUND(D1004*H1004,2),NA())</x:f>
        <x:v>21033.96</x:v>
      </x:c>
      <x:c r="J1004" s="2" t="str">
        <x:v>Regelbestand laut Verkäufer</x:v>
      </x:c>
      <x:c r="K1004" s="2" t="str">
        <x:v>Export KREDIT-ERF-20260930, Einzelbelege nicht im Datenraum</x:v>
      </x:c>
    </x:row>
    <x:row r="1005" ht="22" customHeight="1">
      <x:c r="A1005" s="2" t="str">
        <x:v>APB-1000</x:v>
      </x:c>
      <x:c r="B1005" s="2" t="str">
        <x:v>Bestandskunde 1000</x:v>
      </x:c>
      <x:c r="C1005" s="2" t="str">
        <x:v>Nur Verkäuferexport</x:v>
      </x:c>
      <x:c r="D1005" s="9" t="n">
        <x:v>23000</x:v>
      </x:c>
      <x:c r="E1005" s="9" t="n">
        <x:v>6.5</x:v>
      </x:c>
      <x:c r="F1005" s="9" t="n">
        <x:v>0</x:v>
      </x:c>
      <x:c r="G1005" s="11" t="n">
        <x:f>SUM(D1005:F1005)</x:f>
        <x:v>23006.5</x:v>
      </x:c>
      <x:c r="H1005" s="10" t="n">
        <x:v>0.92</x:v>
      </x:c>
      <x:c r="I1005" s="11" t="n">
        <x:f>IF(ISNUMBER(H1005),ROUND(D1005*H1005,2),NA())</x:f>
        <x:v>21160</x:v>
      </x:c>
      <x:c r="J1005" s="2" t="str">
        <x:v>Regelbestand laut Verkäufer</x:v>
      </x:c>
      <x:c r="K1005" s="2" t="str">
        <x:v>Export KREDIT-ERF-20260930, Einzelbelege nicht im Datenraum</x:v>
      </x:c>
    </x:row>
    <x:row r="1006" ht="22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</x:row>
  </x:sheetData>
  <x:mergeCells>
    <x:mergeCell ref="A1:K2"/>
    <x:mergeCell ref="A3:K3"/>
  </x:mergeCells>
  <x:dataValidations count="1">
    <x:dataValidation type="decimal" operator="between" sqref="H6:H100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2320eab3fdb4f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69" hidden="0" customWidth="1"/>
  </x:cols>
  <x:sheetData>
    <x:row r="1" ht="24" customHeight="1">
      <x:c r="A1" s="4" t="str">
        <x:v>Monatsbuchungen der 20 Detailfälle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2" customHeight="1">
      <x:c r="A3" s="2" t="str">
        <x:v>01.10.2025 bis 30.09.2026 | zwölf Buchungen je Detailfall | Anfangssalden aus Vorjahresexport | EUR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6" t="str">
        <x:v>Darlehen</x:v>
      </x:c>
      <x:c r="B5" s="6" t="str">
        <x:v>Buchungsdatum</x:v>
      </x:c>
      <x:c r="C5" s="6" t="str">
        <x:v>Kapital Anfang</x:v>
      </x:c>
      <x:c r="D5" s="6" t="str">
        <x:v>Zins gebucht</x:v>
      </x:c>
      <x:c r="E5" s="6" t="str">
        <x:v>Kosten gebucht</x:v>
      </x:c>
      <x:c r="F5" s="6" t="str">
        <x:v>Zahlung Kapital</x:v>
      </x:c>
      <x:c r="G5" s="6" t="str">
        <x:v>Zahlung Zins</x:v>
      </x:c>
      <x:c r="H5" s="6" t="str">
        <x:v>Zahlung Kosten</x:v>
      </x:c>
      <x:c r="I5" s="6" t="str">
        <x:v>Geldeingang</x:v>
      </x:c>
      <x:c r="J5" s="6" t="str">
        <x:v>Kapital Ende</x:v>
      </x:c>
      <x:c r="K5" s="6" t="str">
        <x:v>Zins Ende</x:v>
      </x:c>
      <x:c r="L5" s="6" t="str">
        <x:v>Kosten Ende</x:v>
      </x:c>
      <x:c r="M5" s="6" t="str">
        <x:v>Saldo Ende</x:v>
      </x:c>
      <x:c r="N5" s="6" t="str">
        <x:v>Buchungstext</x:v>
      </x:c>
    </x:row>
    <x:row r="6" ht="22" customHeight="1">
      <x:c r="A6" s="2" t="str">
        <x:v>APB-0001</x:v>
      </x:c>
      <x:c r="B6" s="2" t="str">
        <x:v>2025-10-31</x:v>
      </x:c>
      <x:c r="C6" s="9" t="n">
        <x:v>10800</x:v>
      </x:c>
      <x:c r="D6" s="9" t="n">
        <x:v>43.2</x:v>
      </x:c>
      <x:c r="E6" s="9" t="n">
        <x:v>0</x:v>
      </x:c>
      <x:c r="F6" s="9" t="n">
        <x:v>300</x:v>
      </x:c>
      <x:c r="G6" s="9" t="n">
        <x:v>43.2</x:v>
      </x:c>
      <x:c r="H6" s="9" t="n">
        <x:v>0</x:v>
      </x:c>
      <x:c r="I6" s="11" t="n">
        <x:f>SUM(F6:H6)</x:f>
        <x:v>343.2</x:v>
      </x:c>
      <x:c r="J6" s="11" t="n">
        <x:f>C6-F6</x:f>
        <x:v>10500</x:v>
      </x:c>
      <x:c r="K6" s="9" t="n">
        <x:v>0</x:v>
      </x:c>
      <x:c r="L6" s="9" t="n">
        <x:v>0</x:v>
      </x:c>
      <x:c r="M6" s="11" t="n">
        <x:f>SUM(J6:L6)</x:f>
        <x:v>10500</x:v>
      </x:c>
      <x:c r="N6" s="2" t="str">
        <x:v>Monatszahlung gemäß Zahlungsauftrag</x:v>
      </x:c>
    </x:row>
    <x:row r="7" ht="22" customHeight="1">
      <x:c r="A7" s="2" t="str">
        <x:v>APB-0001</x:v>
      </x:c>
      <x:c r="B7" s="2" t="str">
        <x:v>2025-11-30</x:v>
      </x:c>
      <x:c r="C7" s="9" t="n">
        <x:v>10500</x:v>
      </x:c>
      <x:c r="D7" s="9" t="n">
        <x:v>42</x:v>
      </x:c>
      <x:c r="E7" s="9" t="n">
        <x:v>0</x:v>
      </x:c>
      <x:c r="F7" s="9" t="n">
        <x:v>300</x:v>
      </x:c>
      <x:c r="G7" s="9" t="n">
        <x:v>42</x:v>
      </x:c>
      <x:c r="H7" s="9" t="n">
        <x:v>0</x:v>
      </x:c>
      <x:c r="I7" s="11" t="n">
        <x:f>SUM(F7:H7)</x:f>
        <x:v>342</x:v>
      </x:c>
      <x:c r="J7" s="11" t="n">
        <x:f>C7-F7</x:f>
        <x:v>10200</x:v>
      </x:c>
      <x:c r="K7" s="9" t="n">
        <x:v>0</x:v>
      </x:c>
      <x:c r="L7" s="9" t="n">
        <x:v>0</x:v>
      </x:c>
      <x:c r="M7" s="11" t="n">
        <x:f>SUM(J7:L7)</x:f>
        <x:v>10200</x:v>
      </x:c>
      <x:c r="N7" s="2" t="str">
        <x:v>Monatszahlung gemäß Zahlungsauftrag</x:v>
      </x:c>
    </x:row>
    <x:row r="8" ht="22" customHeight="1">
      <x:c r="A8" s="2" t="str">
        <x:v>APB-0001</x:v>
      </x:c>
      <x:c r="B8" s="2" t="str">
        <x:v>2025-12-31</x:v>
      </x:c>
      <x:c r="C8" s="9" t="n">
        <x:v>10200</x:v>
      </x:c>
      <x:c r="D8" s="9" t="n">
        <x:v>40.8</x:v>
      </x:c>
      <x:c r="E8" s="9" t="n">
        <x:v>0</x:v>
      </x:c>
      <x:c r="F8" s="9" t="n">
        <x:v>300</x:v>
      </x:c>
      <x:c r="G8" s="9" t="n">
        <x:v>40.8</x:v>
      </x:c>
      <x:c r="H8" s="9" t="n">
        <x:v>0</x:v>
      </x:c>
      <x:c r="I8" s="11" t="n">
        <x:f>SUM(F8:H8)</x:f>
        <x:v>340.8</x:v>
      </x:c>
      <x:c r="J8" s="11" t="n">
        <x:f>C8-F8</x:f>
        <x:v>9900</x:v>
      </x:c>
      <x:c r="K8" s="9" t="n">
        <x:v>0</x:v>
      </x:c>
      <x:c r="L8" s="9" t="n">
        <x:v>0</x:v>
      </x:c>
      <x:c r="M8" s="11" t="n">
        <x:f>SUM(J8:L8)</x:f>
        <x:v>9900</x:v>
      </x:c>
      <x:c r="N8" s="2" t="str">
        <x:v>Monatszahlung gemäß Zahlungsauftrag</x:v>
      </x:c>
    </x:row>
    <x:row r="9" ht="22" customHeight="1">
      <x:c r="A9" s="2" t="str">
        <x:v>APB-0001</x:v>
      </x:c>
      <x:c r="B9" s="2" t="str">
        <x:v>2026-01-31</x:v>
      </x:c>
      <x:c r="C9" s="9" t="n">
        <x:v>9900</x:v>
      </x:c>
      <x:c r="D9" s="9" t="n">
        <x:v>39.6</x:v>
      </x:c>
      <x:c r="E9" s="9" t="n">
        <x:v>0</x:v>
      </x:c>
      <x:c r="F9" s="9" t="n">
        <x:v>300</x:v>
      </x:c>
      <x:c r="G9" s="9" t="n">
        <x:v>39.6</x:v>
      </x:c>
      <x:c r="H9" s="9" t="n">
        <x:v>0</x:v>
      </x:c>
      <x:c r="I9" s="11" t="n">
        <x:f>SUM(F9:H9)</x:f>
        <x:v>339.6</x:v>
      </x:c>
      <x:c r="J9" s="11" t="n">
        <x:f>C9-F9</x:f>
        <x:v>9600</x:v>
      </x:c>
      <x:c r="K9" s="9" t="n">
        <x:v>0</x:v>
      </x:c>
      <x:c r="L9" s="9" t="n">
        <x:v>0</x:v>
      </x:c>
      <x:c r="M9" s="11" t="n">
        <x:f>SUM(J9:L9)</x:f>
        <x:v>9600</x:v>
      </x:c>
      <x:c r="N9" s="2" t="str">
        <x:v>Monatszahlung gemäß Zahlungsauftrag</x:v>
      </x:c>
    </x:row>
    <x:row r="10" ht="22" customHeight="1">
      <x:c r="A10" s="2" t="str">
        <x:v>APB-0001</x:v>
      </x:c>
      <x:c r="B10" s="2" t="str">
        <x:v>2026-02-28</x:v>
      </x:c>
      <x:c r="C10" s="9" t="n">
        <x:v>9600</x:v>
      </x:c>
      <x:c r="D10" s="9" t="n">
        <x:v>38.4</x:v>
      </x:c>
      <x:c r="E10" s="9" t="n">
        <x:v>0</x:v>
      </x:c>
      <x:c r="F10" s="9" t="n">
        <x:v>300</x:v>
      </x:c>
      <x:c r="G10" s="9" t="n">
        <x:v>38.4</x:v>
      </x:c>
      <x:c r="H10" s="9" t="n">
        <x:v>0</x:v>
      </x:c>
      <x:c r="I10" s="11" t="n">
        <x:f>SUM(F10:H10)</x:f>
        <x:v>338.4</x:v>
      </x:c>
      <x:c r="J10" s="11" t="n">
        <x:f>C10-F10</x:f>
        <x:v>9300</x:v>
      </x:c>
      <x:c r="K10" s="9" t="n">
        <x:v>0</x:v>
      </x:c>
      <x:c r="L10" s="9" t="n">
        <x:v>0</x:v>
      </x:c>
      <x:c r="M10" s="11" t="n">
        <x:f>SUM(J10:L10)</x:f>
        <x:v>9300</x:v>
      </x:c>
      <x:c r="N10" s="2" t="str">
        <x:v>Monatszahlung gemäß Zahlungsauftrag</x:v>
      </x:c>
    </x:row>
    <x:row r="11" ht="22" customHeight="1">
      <x:c r="A11" s="2" t="str">
        <x:v>APB-0001</x:v>
      </x:c>
      <x:c r="B11" s="2" t="str">
        <x:v>2026-03-31</x:v>
      </x:c>
      <x:c r="C11" s="9" t="n">
        <x:v>9300</x:v>
      </x:c>
      <x:c r="D11" s="9" t="n">
        <x:v>37.2</x:v>
      </x:c>
      <x:c r="E11" s="9" t="n">
        <x:v>0</x:v>
      </x:c>
      <x:c r="F11" s="9" t="n">
        <x:v>300</x:v>
      </x:c>
      <x:c r="G11" s="9" t="n">
        <x:v>37.2</x:v>
      </x:c>
      <x:c r="H11" s="9" t="n">
        <x:v>0</x:v>
      </x:c>
      <x:c r="I11" s="11" t="n">
        <x:f>SUM(F11:H11)</x:f>
        <x:v>337.2</x:v>
      </x:c>
      <x:c r="J11" s="11" t="n">
        <x:f>C11-F11</x:f>
        <x:v>9000</x:v>
      </x:c>
      <x:c r="K11" s="9" t="n">
        <x:v>0</x:v>
      </x:c>
      <x:c r="L11" s="9" t="n">
        <x:v>0</x:v>
      </x:c>
      <x:c r="M11" s="11" t="n">
        <x:f>SUM(J11:L11)</x:f>
        <x:v>9000</x:v>
      </x:c>
      <x:c r="N11" s="2" t="str">
        <x:v>Monatszahlung gemäß Zahlungsauftrag</x:v>
      </x:c>
    </x:row>
    <x:row r="12" ht="22" customHeight="1">
      <x:c r="A12" s="2" t="str">
        <x:v>APB-0001</x:v>
      </x:c>
      <x:c r="B12" s="2" t="str">
        <x:v>2026-04-30</x:v>
      </x:c>
      <x:c r="C12" s="9" t="n">
        <x:v>9000</x:v>
      </x:c>
      <x:c r="D12" s="9" t="n">
        <x:v>36</x:v>
      </x:c>
      <x:c r="E12" s="9" t="n">
        <x:v>0</x:v>
      </x:c>
      <x:c r="F12" s="9" t="n">
        <x:v>300</x:v>
      </x:c>
      <x:c r="G12" s="9" t="n">
        <x:v>36</x:v>
      </x:c>
      <x:c r="H12" s="9" t="n">
        <x:v>0</x:v>
      </x:c>
      <x:c r="I12" s="11" t="n">
        <x:f>SUM(F12:H12)</x:f>
        <x:v>336</x:v>
      </x:c>
      <x:c r="J12" s="11" t="n">
        <x:f>C12-F12</x:f>
        <x:v>8700</x:v>
      </x:c>
      <x:c r="K12" s="9" t="n">
        <x:v>0</x:v>
      </x:c>
      <x:c r="L12" s="9" t="n">
        <x:v>0</x:v>
      </x:c>
      <x:c r="M12" s="11" t="n">
        <x:f>SUM(J12:L12)</x:f>
        <x:v>8700</x:v>
      </x:c>
      <x:c r="N12" s="2" t="str">
        <x:v>Monatszahlung gemäß Zahlungsauftrag</x:v>
      </x:c>
    </x:row>
    <x:row r="13" ht="22" customHeight="1">
      <x:c r="A13" s="2" t="str">
        <x:v>APB-0001</x:v>
      </x:c>
      <x:c r="B13" s="2" t="str">
        <x:v>2026-05-31</x:v>
      </x:c>
      <x:c r="C13" s="9" t="n">
        <x:v>8700</x:v>
      </x:c>
      <x:c r="D13" s="9" t="n">
        <x:v>34.8</x:v>
      </x:c>
      <x:c r="E13" s="9" t="n">
        <x:v>36</x:v>
      </x:c>
      <x:c r="F13" s="9" t="n">
        <x:v>300</x:v>
      </x:c>
      <x:c r="G13" s="9" t="n">
        <x:v>34.8</x:v>
      </x:c>
      <x:c r="H13" s="9" t="n">
        <x:v>0</x:v>
      </x:c>
      <x:c r="I13" s="11" t="n">
        <x:f>SUM(F13:H13)</x:f>
        <x:v>334.8</x:v>
      </x:c>
      <x:c r="J13" s="11" t="n">
        <x:f>C13-F13</x:f>
        <x:v>8400</x:v>
      </x:c>
      <x:c r="K13" s="9" t="n">
        <x:v>0</x:v>
      </x:c>
      <x:c r="L13" s="9" t="n">
        <x:v>36</x:v>
      </x:c>
      <x:c r="M13" s="11" t="n">
        <x:f>SUM(J13:L13)</x:f>
        <x:v>8436</x:v>
      </x:c>
      <x:c r="N13" s="2" t="str">
        <x:v>Monatszahlung gemäß Zahlungsauftrag</x:v>
      </x:c>
    </x:row>
    <x:row r="14" ht="22" customHeight="1">
      <x:c r="A14" s="2" t="str">
        <x:v>APB-0001</x:v>
      </x:c>
      <x:c r="B14" s="2" t="str">
        <x:v>2026-06-30</x:v>
      </x:c>
      <x:c r="C14" s="9" t="n">
        <x:v>8400</x:v>
      </x:c>
      <x:c r="D14" s="9" t="n">
        <x:v>33.6</x:v>
      </x:c>
      <x:c r="E14" s="9" t="n">
        <x:v>0</x:v>
      </x:c>
      <x:c r="F14" s="9" t="n">
        <x:v>0</x:v>
      </x:c>
      <x:c r="G14" s="9" t="n">
        <x:v>0</x:v>
      </x:c>
      <x:c r="H14" s="9" t="n">
        <x:v>0</x:v>
      </x:c>
      <x:c r="I14" s="11" t="n">
        <x:f>SUM(F14:H14)</x:f>
        <x:v>0</x:v>
      </x:c>
      <x:c r="J14" s="11" t="n">
        <x:f>C14-F14</x:f>
        <x:v>8400</x:v>
      </x:c>
      <x:c r="K14" s="9" t="n">
        <x:v>33.6</x:v>
      </x:c>
      <x:c r="L14" s="9" t="n">
        <x:v>36</x:v>
      </x:c>
      <x:c r="M14" s="11" t="n">
        <x:f>SUM(J14:L14)</x:f>
        <x:v>8469.6</x:v>
      </x:c>
      <x:c r="N14" s="2" t="str">
        <x:v>Kein Eingang seit Verfahrenseröffnung</x:v>
      </x:c>
    </x:row>
    <x:row r="15" ht="22" customHeight="1">
      <x:c r="A15" s="2" t="str">
        <x:v>APB-0001</x:v>
      </x:c>
      <x:c r="B15" s="2" t="str">
        <x:v>2026-07-31</x:v>
      </x:c>
      <x:c r="C15" s="9" t="n">
        <x:v>8400</x:v>
      </x:c>
      <x:c r="D15" s="9" t="n">
        <x:v>33.6</x:v>
      </x:c>
      <x:c r="E15" s="9" t="n">
        <x:v>0</x:v>
      </x:c>
      <x:c r="F15" s="9" t="n">
        <x:v>0</x:v>
      </x:c>
      <x:c r="G15" s="9" t="n">
        <x:v>0</x:v>
      </x:c>
      <x:c r="H15" s="9" t="n">
        <x:v>0</x:v>
      </x:c>
      <x:c r="I15" s="11" t="n">
        <x:f>SUM(F15:H15)</x:f>
        <x:v>0</x:v>
      </x:c>
      <x:c r="J15" s="11" t="n">
        <x:f>C15-F15</x:f>
        <x:v>8400</x:v>
      </x:c>
      <x:c r="K15" s="9" t="n">
        <x:v>67.2</x:v>
      </x:c>
      <x:c r="L15" s="9" t="n">
        <x:v>36</x:v>
      </x:c>
      <x:c r="M15" s="11" t="n">
        <x:f>SUM(J15:L15)</x:f>
        <x:v>8503.2</x:v>
      </x:c>
      <x:c r="N15" s="2" t="str">
        <x:v>Kein Eingang seit Verfahrenseröffnung</x:v>
      </x:c>
    </x:row>
    <x:row r="16" ht="22" customHeight="1">
      <x:c r="A16" s="2" t="str">
        <x:v>APB-0001</x:v>
      </x:c>
      <x:c r="B16" s="2" t="str">
        <x:v>2026-08-31</x:v>
      </x:c>
      <x:c r="C16" s="9" t="n">
        <x:v>8400</x:v>
      </x:c>
      <x:c r="D16" s="9" t="n">
        <x:v>33.6</x:v>
      </x:c>
      <x:c r="E16" s="9" t="n">
        <x:v>0</x:v>
      </x:c>
      <x:c r="F16" s="9" t="n">
        <x:v>0</x:v>
      </x:c>
      <x:c r="G16" s="9" t="n">
        <x:v>0</x:v>
      </x:c>
      <x:c r="H16" s="9" t="n">
        <x:v>0</x:v>
      </x:c>
      <x:c r="I16" s="11" t="n">
        <x:f>SUM(F16:H16)</x:f>
        <x:v>0</x:v>
      </x:c>
      <x:c r="J16" s="11" t="n">
        <x:f>C16-F16</x:f>
        <x:v>8400</x:v>
      </x:c>
      <x:c r="K16" s="9" t="n">
        <x:v>100.8</x:v>
      </x:c>
      <x:c r="L16" s="9" t="n">
        <x:v>36</x:v>
      </x:c>
      <x:c r="M16" s="11" t="n">
        <x:f>SUM(J16:L16)</x:f>
        <x:v>8536.8</x:v>
      </x:c>
      <x:c r="N16" s="2" t="str">
        <x:v>Kein Eingang seit Verfahrenseröffnung</x:v>
      </x:c>
    </x:row>
    <x:row r="17" ht="22" customHeight="1">
      <x:c r="A17" s="2" t="str">
        <x:v>APB-0001</x:v>
      </x:c>
      <x:c r="B17" s="2" t="str">
        <x:v>2026-09-30</x:v>
      </x:c>
      <x:c r="C17" s="9" t="n">
        <x:v>8400</x:v>
      </x:c>
      <x:c r="D17" s="9" t="n">
        <x:v>33.6</x:v>
      </x:c>
      <x:c r="E17" s="9" t="n">
        <x:v>0</x:v>
      </x:c>
      <x:c r="F17" s="9" t="n">
        <x:v>0</x:v>
      </x:c>
      <x:c r="G17" s="9" t="n">
        <x:v>0</x:v>
      </x:c>
      <x:c r="H17" s="9" t="n">
        <x:v>0</x:v>
      </x:c>
      <x:c r="I17" s="11" t="n">
        <x:f>SUM(F17:H17)</x:f>
        <x:v>0</x:v>
      </x:c>
      <x:c r="J17" s="11" t="n">
        <x:f>C17-F17</x:f>
        <x:v>8400</x:v>
      </x:c>
      <x:c r="K17" s="9" t="n">
        <x:v>134.4</x:v>
      </x:c>
      <x:c r="L17" s="9" t="n">
        <x:v>36</x:v>
      </x:c>
      <x:c r="M17" s="11" t="n">
        <x:f>SUM(J17:L17)</x:f>
        <x:v>8570.4</x:v>
      </x:c>
      <x:c r="N17" s="2" t="str">
        <x:v>Kein Eingang seit Verfahrenseröffnung</x:v>
      </x:c>
    </x:row>
    <x:row r="18" ht="22" customHeight="1">
      <x:c r="A18" s="2" t="str">
        <x:v>APB-0002</x:v>
      </x:c>
      <x:c r="B18" s="2" t="str">
        <x:v>2025-10-31</x:v>
      </x:c>
      <x:c r="C18" s="9" t="n">
        <x:v>22400</x:v>
      </x:c>
      <x:c r="D18" s="9" t="n">
        <x:v>100.8</x:v>
      </x:c>
      <x:c r="E18" s="9" t="n">
        <x:v>0</x:v>
      </x:c>
      <x:c r="F18" s="9" t="n">
        <x:v>0</x:v>
      </x:c>
      <x:c r="G18" s="9" t="n">
        <x:v>0</x:v>
      </x:c>
      <x:c r="H18" s="9" t="n">
        <x:v>0</x:v>
      </x:c>
      <x:c r="I18" s="11" t="n">
        <x:f>SUM(F18:H18)</x:f>
        <x:v>0</x:v>
      </x:c>
      <x:c r="J18" s="11" t="n">
        <x:f>C18-F18</x:f>
        <x:v>22400</x:v>
      </x:c>
      <x:c r="K18" s="9" t="n">
        <x:v>172.8</x:v>
      </x:c>
      <x:c r="L18" s="9" t="n">
        <x:v>0</x:v>
      </x:c>
      <x:c r="M18" s="11" t="n">
        <x:f>SUM(J18:L18)</x:f>
        <x:v>22572.8</x:v>
      </x:c>
      <x:c r="N18" s="2" t="str">
        <x:v>Altbestandsbuchung; keine Kundenzahlung</x:v>
      </x:c>
    </x:row>
    <x:row r="19" ht="22" customHeight="1">
      <x:c r="A19" s="2" t="str">
        <x:v>APB-0002</x:v>
      </x:c>
      <x:c r="B19" s="2" t="str">
        <x:v>2025-11-30</x:v>
      </x:c>
      <x:c r="C19" s="9" t="n">
        <x:v>22400</x:v>
      </x:c>
      <x:c r="D19" s="9" t="n">
        <x:v>100.8</x:v>
      </x:c>
      <x:c r="E19" s="9" t="n">
        <x:v>0</x:v>
      </x:c>
      <x:c r="F19" s="9" t="n">
        <x:v>0</x:v>
      </x:c>
      <x:c r="G19" s="9" t="n">
        <x:v>0</x:v>
      </x:c>
      <x:c r="H19" s="9" t="n">
        <x:v>0</x:v>
      </x:c>
      <x:c r="I19" s="11" t="n">
        <x:f>SUM(F19:H19)</x:f>
        <x:v>0</x:v>
      </x:c>
      <x:c r="J19" s="11" t="n">
        <x:f>C19-F19</x:f>
        <x:v>22400</x:v>
      </x:c>
      <x:c r="K19" s="9" t="n">
        <x:v>273.6</x:v>
      </x:c>
      <x:c r="L19" s="9" t="n">
        <x:v>0</x:v>
      </x:c>
      <x:c r="M19" s="11" t="n">
        <x:f>SUM(J19:L19)</x:f>
        <x:v>22673.6</x:v>
      </x:c>
      <x:c r="N19" s="2" t="str">
        <x:v>Altbestandsbuchung; keine Kundenzahlung</x:v>
      </x:c>
    </x:row>
    <x:row r="20" ht="22" customHeight="1">
      <x:c r="A20" s="2" t="str">
        <x:v>APB-0002</x:v>
      </x:c>
      <x:c r="B20" s="2" t="str">
        <x:v>2025-12-31</x:v>
      </x:c>
      <x:c r="C20" s="9" t="n">
        <x:v>22400</x:v>
      </x:c>
      <x:c r="D20" s="9" t="n">
        <x:v>100.8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11" t="n">
        <x:f>SUM(F20:H20)</x:f>
        <x:v>0</x:v>
      </x:c>
      <x:c r="J20" s="11" t="n">
        <x:f>C20-F20</x:f>
        <x:v>22400</x:v>
      </x:c>
      <x:c r="K20" s="9" t="n">
        <x:v>374.4</x:v>
      </x:c>
      <x:c r="L20" s="9" t="n">
        <x:v>0</x:v>
      </x:c>
      <x:c r="M20" s="11" t="n">
        <x:f>SUM(J20:L20)</x:f>
        <x:v>22774.4</x:v>
      </x:c>
      <x:c r="N20" s="2" t="str">
        <x:v>Altbestandsbuchung; keine Kundenzahlung</x:v>
      </x:c>
    </x:row>
    <x:row r="21" ht="22" customHeight="1">
      <x:c r="A21" s="2" t="str">
        <x:v>APB-0002</x:v>
      </x:c>
      <x:c r="B21" s="2" t="str">
        <x:v>2026-01-31</x:v>
      </x:c>
      <x:c r="C21" s="9" t="n">
        <x:v>22400</x:v>
      </x:c>
      <x:c r="D21" s="9" t="n">
        <x:v>100.8</x:v>
      </x:c>
      <x:c r="E21" s="9" t="n">
        <x:v>0</x:v>
      </x:c>
      <x:c r="F21" s="9" t="n">
        <x:v>0</x:v>
      </x:c>
      <x:c r="G21" s="9" t="n">
        <x:v>0</x:v>
      </x:c>
      <x:c r="H21" s="9" t="n">
        <x:v>0</x:v>
      </x:c>
      <x:c r="I21" s="11" t="n">
        <x:f>SUM(F21:H21)</x:f>
        <x:v>0</x:v>
      </x:c>
      <x:c r="J21" s="11" t="n">
        <x:f>C21-F21</x:f>
        <x:v>22400</x:v>
      </x:c>
      <x:c r="K21" s="9" t="n">
        <x:v>475.2</x:v>
      </x:c>
      <x:c r="L21" s="9" t="n">
        <x:v>0</x:v>
      </x:c>
      <x:c r="M21" s="11" t="n">
        <x:f>SUM(J21:L21)</x:f>
        <x:v>22875.2</x:v>
      </x:c>
      <x:c r="N21" s="2" t="str">
        <x:v>Altbestandsbuchung; keine Kundenzahlung</x:v>
      </x:c>
    </x:row>
    <x:row r="22" ht="22" customHeight="1">
      <x:c r="A22" s="2" t="str">
        <x:v>APB-0002</x:v>
      </x:c>
      <x:c r="B22" s="2" t="str">
        <x:v>2026-02-28</x:v>
      </x:c>
      <x:c r="C22" s="9" t="n">
        <x:v>22400</x:v>
      </x:c>
      <x:c r="D22" s="9" t="n">
        <x:v>100.8</x:v>
      </x:c>
      <x:c r="E22" s="9" t="n">
        <x:v>0</x:v>
      </x:c>
      <x:c r="F22" s="9" t="n">
        <x:v>0</x:v>
      </x:c>
      <x:c r="G22" s="9" t="n">
        <x:v>0</x:v>
      </x:c>
      <x:c r="H22" s="9" t="n">
        <x:v>0</x:v>
      </x:c>
      <x:c r="I22" s="11" t="n">
        <x:f>SUM(F22:H22)</x:f>
        <x:v>0</x:v>
      </x:c>
      <x:c r="J22" s="11" t="n">
        <x:f>C22-F22</x:f>
        <x:v>22400</x:v>
      </x:c>
      <x:c r="K22" s="9" t="n">
        <x:v>576</x:v>
      </x:c>
      <x:c r="L22" s="9" t="n">
        <x:v>0</x:v>
      </x:c>
      <x:c r="M22" s="11" t="n">
        <x:f>SUM(J22:L22)</x:f>
        <x:v>22976</x:v>
      </x:c>
      <x:c r="N22" s="2" t="str">
        <x:v>Altbestandsbuchung; keine Kundenzahlung</x:v>
      </x:c>
    </x:row>
    <x:row r="23" ht="22" customHeight="1">
      <x:c r="A23" s="2" t="str">
        <x:v>APB-0002</x:v>
      </x:c>
      <x:c r="B23" s="2" t="str">
        <x:v>2026-03-31</x:v>
      </x:c>
      <x:c r="C23" s="9" t="n">
        <x:v>22400</x:v>
      </x:c>
      <x:c r="D23" s="9" t="n">
        <x:v>100.8</x:v>
      </x:c>
      <x:c r="E23" s="9" t="n">
        <x:v>0</x:v>
      </x:c>
      <x:c r="F23" s="9" t="n">
        <x:v>0</x:v>
      </x:c>
      <x:c r="G23" s="9" t="n">
        <x:v>0</x:v>
      </x:c>
      <x:c r="H23" s="9" t="n">
        <x:v>0</x:v>
      </x:c>
      <x:c r="I23" s="11" t="n">
        <x:f>SUM(F23:H23)</x:f>
        <x:v>0</x:v>
      </x:c>
      <x:c r="J23" s="11" t="n">
        <x:f>C23-F23</x:f>
        <x:v>22400</x:v>
      </x:c>
      <x:c r="K23" s="9" t="n">
        <x:v>676.8</x:v>
      </x:c>
      <x:c r="L23" s="9" t="n">
        <x:v>0</x:v>
      </x:c>
      <x:c r="M23" s="11" t="n">
        <x:f>SUM(J23:L23)</x:f>
        <x:v>23076.8</x:v>
      </x:c>
      <x:c r="N23" s="2" t="str">
        <x:v>Altbestandsbuchung; keine Kundenzahlung</x:v>
      </x:c>
    </x:row>
    <x:row r="24" ht="22" customHeight="1">
      <x:c r="A24" s="2" t="str">
        <x:v>APB-0002</x:v>
      </x:c>
      <x:c r="B24" s="2" t="str">
        <x:v>2026-04-30</x:v>
      </x:c>
      <x:c r="C24" s="9" t="n">
        <x:v>22400</x:v>
      </x:c>
      <x:c r="D24" s="9" t="n">
        <x:v>100.8</x:v>
      </x:c>
      <x:c r="E24" s="9" t="n">
        <x:v>0</x:v>
      </x:c>
      <x:c r="F24" s="9" t="n">
        <x:v>0</x:v>
      </x:c>
      <x:c r="G24" s="9" t="n">
        <x:v>0</x:v>
      </x:c>
      <x:c r="H24" s="9" t="n">
        <x:v>0</x:v>
      </x:c>
      <x:c r="I24" s="11" t="n">
        <x:f>SUM(F24:H24)</x:f>
        <x:v>0</x:v>
      </x:c>
      <x:c r="J24" s="11" t="n">
        <x:f>C24-F24</x:f>
        <x:v>22400</x:v>
      </x:c>
      <x:c r="K24" s="9" t="n">
        <x:v>777.6</x:v>
      </x:c>
      <x:c r="L24" s="9" t="n">
        <x:v>0</x:v>
      </x:c>
      <x:c r="M24" s="11" t="n">
        <x:f>SUM(J24:L24)</x:f>
        <x:v>23177.6</x:v>
      </x:c>
      <x:c r="N24" s="2" t="str">
        <x:v>Altbestandsbuchung; keine Kundenzahlung</x:v>
      </x:c>
    </x:row>
    <x:row r="25" ht="22" customHeight="1">
      <x:c r="A25" s="2" t="str">
        <x:v>APB-0002</x:v>
      </x:c>
      <x:c r="B25" s="2" t="str">
        <x:v>2026-05-31</x:v>
      </x:c>
      <x:c r="C25" s="9" t="n">
        <x:v>22400</x:v>
      </x:c>
      <x:c r="D25" s="9" t="n">
        <x:v>100.8</x:v>
      </x:c>
      <x:c r="E25" s="9" t="n">
        <x:v>0</x:v>
      </x:c>
      <x:c r="F25" s="9" t="n">
        <x:v>0</x:v>
      </x:c>
      <x:c r="G25" s="9" t="n">
        <x:v>0</x:v>
      </x:c>
      <x:c r="H25" s="9" t="n">
        <x:v>0</x:v>
      </x:c>
      <x:c r="I25" s="11" t="n">
        <x:f>SUM(F25:H25)</x:f>
        <x:v>0</x:v>
      </x:c>
      <x:c r="J25" s="11" t="n">
        <x:f>C25-F25</x:f>
        <x:v>22400</x:v>
      </x:c>
      <x:c r="K25" s="9" t="n">
        <x:v>878.4</x:v>
      </x:c>
      <x:c r="L25" s="9" t="n">
        <x:v>0</x:v>
      </x:c>
      <x:c r="M25" s="11" t="n">
        <x:f>SUM(J25:L25)</x:f>
        <x:v>23278.4</x:v>
      </x:c>
      <x:c r="N25" s="2" t="str">
        <x:v>Altbestandsbuchung; keine Kundenzahlung</x:v>
      </x:c>
    </x:row>
    <x:row r="26" ht="22" customHeight="1">
      <x:c r="A26" s="2" t="str">
        <x:v>APB-0002</x:v>
      </x:c>
      <x:c r="B26" s="2" t="str">
        <x:v>2026-06-30</x:v>
      </x:c>
      <x:c r="C26" s="9" t="n">
        <x:v>22400</x:v>
      </x:c>
      <x:c r="D26" s="9" t="n">
        <x:v>100.8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11" t="n">
        <x:f>SUM(F26:H26)</x:f>
        <x:v>0</x:v>
      </x:c>
      <x:c r="J26" s="11" t="n">
        <x:f>C26-F26</x:f>
        <x:v>22400</x:v>
      </x:c>
      <x:c r="K26" s="9" t="n">
        <x:v>979.2</x:v>
      </x:c>
      <x:c r="L26" s="9" t="n">
        <x:v>0</x:v>
      </x:c>
      <x:c r="M26" s="11" t="n">
        <x:f>SUM(J26:L26)</x:f>
        <x:v>23379.2</x:v>
      </x:c>
      <x:c r="N26" s="2" t="str">
        <x:v>Altbestandsbuchung; keine Kundenzahlung</x:v>
      </x:c>
    </x:row>
    <x:row r="27" ht="22" customHeight="1">
      <x:c r="A27" s="2" t="str">
        <x:v>APB-0002</x:v>
      </x:c>
      <x:c r="B27" s="2" t="str">
        <x:v>2026-07-31</x:v>
      </x:c>
      <x:c r="C27" s="9" t="n">
        <x:v>22400</x:v>
      </x:c>
      <x:c r="D27" s="9" t="n">
        <x:v>100.8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11" t="n">
        <x:f>SUM(F27:H27)</x:f>
        <x:v>0</x:v>
      </x:c>
      <x:c r="J27" s="11" t="n">
        <x:f>C27-F27</x:f>
        <x:v>22400</x:v>
      </x:c>
      <x:c r="K27" s="9" t="n">
        <x:v>1080</x:v>
      </x:c>
      <x:c r="L27" s="9" t="n">
        <x:v>0</x:v>
      </x:c>
      <x:c r="M27" s="11" t="n">
        <x:f>SUM(J27:L27)</x:f>
        <x:v>23480</x:v>
      </x:c>
      <x:c r="N27" s="2" t="str">
        <x:v>Altbestandsbuchung; keine Kundenzahlung</x:v>
      </x:c>
    </x:row>
    <x:row r="28" ht="22" customHeight="1">
      <x:c r="A28" s="2" t="str">
        <x:v>APB-0002</x:v>
      </x:c>
      <x:c r="B28" s="2" t="str">
        <x:v>2026-08-31</x:v>
      </x:c>
      <x:c r="C28" s="9" t="n">
        <x:v>22400</x:v>
      </x:c>
      <x:c r="D28" s="9" t="n">
        <x:v>100.8</x:v>
      </x:c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11" t="n">
        <x:f>SUM(F28:H28)</x:f>
        <x:v>0</x:v>
      </x:c>
      <x:c r="J28" s="11" t="n">
        <x:f>C28-F28</x:f>
        <x:v>22400</x:v>
      </x:c>
      <x:c r="K28" s="9" t="n">
        <x:v>1180.8</x:v>
      </x:c>
      <x:c r="L28" s="9" t="n">
        <x:v>0</x:v>
      </x:c>
      <x:c r="M28" s="11" t="n">
        <x:f>SUM(J28:L28)</x:f>
        <x:v>23580.8</x:v>
      </x:c>
      <x:c r="N28" s="2" t="str">
        <x:v>Altbestandsbuchung; keine Kundenzahlung</x:v>
      </x:c>
    </x:row>
    <x:row r="29" ht="22" customHeight="1">
      <x:c r="A29" s="2" t="str">
        <x:v>APB-0002</x:v>
      </x:c>
      <x:c r="B29" s="2" t="str">
        <x:v>2026-09-30</x:v>
      </x:c>
      <x:c r="C29" s="9" t="n">
        <x:v>22400</x:v>
      </x:c>
      <x:c r="D29" s="9" t="n">
        <x:v>100.8</x:v>
      </x:c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11" t="n">
        <x:f>SUM(F29:H29)</x:f>
        <x:v>0</x:v>
      </x:c>
      <x:c r="J29" s="11" t="n">
        <x:f>C29-F29</x:f>
        <x:v>22400</x:v>
      </x:c>
      <x:c r="K29" s="9" t="n">
        <x:v>1281.6</x:v>
      </x:c>
      <x:c r="L29" s="9" t="n">
        <x:v>0</x:v>
      </x:c>
      <x:c r="M29" s="11" t="n">
        <x:f>SUM(J29:L29)</x:f>
        <x:v>23681.6</x:v>
      </x:c>
      <x:c r="N29" s="2" t="str">
        <x:v>Altbestandsbuchung; keine Kundenzahlung</x:v>
      </x:c>
    </x:row>
    <x:row r="30" ht="22" customHeight="1">
      <x:c r="A30" s="2" t="str">
        <x:v>APB-0003</x:v>
      </x:c>
      <x:c r="B30" s="2" t="str">
        <x:v>2025-10-31</x:v>
      </x:c>
      <x:c r="C30" s="9" t="n">
        <x:v>12600</x:v>
      </x:c>
      <x:c r="D30" s="9" t="n">
        <x:v>63</x:v>
      </x:c>
      <x:c r="E30" s="9" t="n">
        <x:v>0</x:v>
      </x:c>
      <x:c r="F30" s="9" t="n">
        <x:v>350</x:v>
      </x:c>
      <x:c r="G30" s="9" t="n">
        <x:v>63</x:v>
      </x:c>
      <x:c r="H30" s="9" t="n">
        <x:v>0</x:v>
      </x:c>
      <x:c r="I30" s="11" t="n">
        <x:f>SUM(F30:H30)</x:f>
        <x:v>413</x:v>
      </x:c>
      <x:c r="J30" s="11" t="n">
        <x:f>C30-F30</x:f>
        <x:v>12250</x:v>
      </x:c>
      <x:c r="K30" s="9" t="n">
        <x:v>0</x:v>
      </x:c>
      <x:c r="L30" s="9" t="n">
        <x:v>0</x:v>
      </x:c>
      <x:c r="M30" s="11" t="n">
        <x:f>SUM(J30:L30)</x:f>
        <x:v>12250</x:v>
      </x:c>
      <x:c r="N30" s="2" t="str">
        <x:v>Monatszahlung gemäß Zahlungsauftrag</x:v>
      </x:c>
    </x:row>
    <x:row r="31" ht="22" customHeight="1">
      <x:c r="A31" s="2" t="str">
        <x:v>APB-0003</x:v>
      </x:c>
      <x:c r="B31" s="2" t="str">
        <x:v>2025-11-30</x:v>
      </x:c>
      <x:c r="C31" s="9" t="n">
        <x:v>12250</x:v>
      </x:c>
      <x:c r="D31" s="9" t="n">
        <x:v>61.25</x:v>
      </x:c>
      <x:c r="E31" s="9" t="n">
        <x:v>0</x:v>
      </x:c>
      <x:c r="F31" s="9" t="n">
        <x:v>350</x:v>
      </x:c>
      <x:c r="G31" s="9" t="n">
        <x:v>61.25</x:v>
      </x:c>
      <x:c r="H31" s="9" t="n">
        <x:v>0</x:v>
      </x:c>
      <x:c r="I31" s="11" t="n">
        <x:f>SUM(F31:H31)</x:f>
        <x:v>411.25</x:v>
      </x:c>
      <x:c r="J31" s="11" t="n">
        <x:f>C31-F31</x:f>
        <x:v>11900</x:v>
      </x:c>
      <x:c r="K31" s="9" t="n">
        <x:v>0</x:v>
      </x:c>
      <x:c r="L31" s="9" t="n">
        <x:v>0</x:v>
      </x:c>
      <x:c r="M31" s="11" t="n">
        <x:f>SUM(J31:L31)</x:f>
        <x:v>11900</x:v>
      </x:c>
      <x:c r="N31" s="2" t="str">
        <x:v>Monatszahlung gemäß Zahlungsauftrag</x:v>
      </x:c>
    </x:row>
    <x:row r="32" ht="22" customHeight="1">
      <x:c r="A32" s="2" t="str">
        <x:v>APB-0003</x:v>
      </x:c>
      <x:c r="B32" s="2" t="str">
        <x:v>2025-12-31</x:v>
      </x:c>
      <x:c r="C32" s="9" t="n">
        <x:v>11900</x:v>
      </x:c>
      <x:c r="D32" s="9" t="n">
        <x:v>59.5</x:v>
      </x:c>
      <x:c r="E32" s="9" t="n">
        <x:v>0</x:v>
      </x:c>
      <x:c r="F32" s="9" t="n">
        <x:v>350</x:v>
      </x:c>
      <x:c r="G32" s="9" t="n">
        <x:v>59.5</x:v>
      </x:c>
      <x:c r="H32" s="9" t="n">
        <x:v>0</x:v>
      </x:c>
      <x:c r="I32" s="11" t="n">
        <x:f>SUM(F32:H32)</x:f>
        <x:v>409.5</x:v>
      </x:c>
      <x:c r="J32" s="11" t="n">
        <x:f>C32-F32</x:f>
        <x:v>11550</x:v>
      </x:c>
      <x:c r="K32" s="9" t="n">
        <x:v>0</x:v>
      </x:c>
      <x:c r="L32" s="9" t="n">
        <x:v>0</x:v>
      </x:c>
      <x:c r="M32" s="11" t="n">
        <x:f>SUM(J32:L32)</x:f>
        <x:v>11550</x:v>
      </x:c>
      <x:c r="N32" s="2" t="str">
        <x:v>Monatszahlung gemäß Zahlungsauftrag</x:v>
      </x:c>
    </x:row>
    <x:row r="33" ht="22" customHeight="1">
      <x:c r="A33" s="2" t="str">
        <x:v>APB-0003</x:v>
      </x:c>
      <x:c r="B33" s="2" t="str">
        <x:v>2026-01-31</x:v>
      </x:c>
      <x:c r="C33" s="9" t="n">
        <x:v>11550</x:v>
      </x:c>
      <x:c r="D33" s="9" t="n">
        <x:v>57.75</x:v>
      </x:c>
      <x:c r="E33" s="9" t="n">
        <x:v>0</x:v>
      </x:c>
      <x:c r="F33" s="9" t="n">
        <x:v>350</x:v>
      </x:c>
      <x:c r="G33" s="9" t="n">
        <x:v>57.75</x:v>
      </x:c>
      <x:c r="H33" s="9" t="n">
        <x:v>0</x:v>
      </x:c>
      <x:c r="I33" s="11" t="n">
        <x:f>SUM(F33:H33)</x:f>
        <x:v>407.75</x:v>
      </x:c>
      <x:c r="J33" s="11" t="n">
        <x:f>C33-F33</x:f>
        <x:v>11200</x:v>
      </x:c>
      <x:c r="K33" s="9" t="n">
        <x:v>0</x:v>
      </x:c>
      <x:c r="L33" s="9" t="n">
        <x:v>0</x:v>
      </x:c>
      <x:c r="M33" s="11" t="n">
        <x:f>SUM(J33:L33)</x:f>
        <x:v>11200</x:v>
      </x:c>
      <x:c r="N33" s="2" t="str">
        <x:v>Monatszahlung gemäß Zahlungsauftrag</x:v>
      </x:c>
    </x:row>
    <x:row r="34" ht="22" customHeight="1">
      <x:c r="A34" s="2" t="str">
        <x:v>APB-0003</x:v>
      </x:c>
      <x:c r="B34" s="2" t="str">
        <x:v>2026-02-28</x:v>
      </x:c>
      <x:c r="C34" s="9" t="n">
        <x:v>11200</x:v>
      </x:c>
      <x:c r="D34" s="9" t="n">
        <x:v>56</x:v>
      </x:c>
      <x:c r="E34" s="9" t="n">
        <x:v>0</x:v>
      </x:c>
      <x:c r="F34" s="9" t="n">
        <x:v>350</x:v>
      </x:c>
      <x:c r="G34" s="9" t="n">
        <x:v>56</x:v>
      </x:c>
      <x:c r="H34" s="9" t="n">
        <x:v>0</x:v>
      </x:c>
      <x:c r="I34" s="11" t="n">
        <x:f>SUM(F34:H34)</x:f>
        <x:v>406</x:v>
      </x:c>
      <x:c r="J34" s="11" t="n">
        <x:f>C34-F34</x:f>
        <x:v>10850</x:v>
      </x:c>
      <x:c r="K34" s="9" t="n">
        <x:v>0</x:v>
      </x:c>
      <x:c r="L34" s="9" t="n">
        <x:v>0</x:v>
      </x:c>
      <x:c r="M34" s="11" t="n">
        <x:f>SUM(J34:L34)</x:f>
        <x:v>10850</x:v>
      </x:c>
      <x:c r="N34" s="2" t="str">
        <x:v>Monatszahlung gemäß Zahlungsauftrag</x:v>
      </x:c>
    </x:row>
    <x:row r="35" ht="22" customHeight="1">
      <x:c r="A35" s="2" t="str">
        <x:v>APB-0003</x:v>
      </x:c>
      <x:c r="B35" s="2" t="str">
        <x:v>2026-03-31</x:v>
      </x:c>
      <x:c r="C35" s="9" t="n">
        <x:v>10850</x:v>
      </x:c>
      <x:c r="D35" s="9" t="n">
        <x:v>54.25</x:v>
      </x:c>
      <x:c r="E35" s="9" t="n">
        <x:v>0</x:v>
      </x:c>
      <x:c r="F35" s="9" t="n">
        <x:v>350</x:v>
      </x:c>
      <x:c r="G35" s="9" t="n">
        <x:v>54.25</x:v>
      </x:c>
      <x:c r="H35" s="9" t="n">
        <x:v>0</x:v>
      </x:c>
      <x:c r="I35" s="11" t="n">
        <x:f>SUM(F35:H35)</x:f>
        <x:v>404.25</x:v>
      </x:c>
      <x:c r="J35" s="11" t="n">
        <x:f>C35-F35</x:f>
        <x:v>10500</x:v>
      </x:c>
      <x:c r="K35" s="9" t="n">
        <x:v>0</x:v>
      </x:c>
      <x:c r="L35" s="9" t="n">
        <x:v>0</x:v>
      </x:c>
      <x:c r="M35" s="11" t="n">
        <x:f>SUM(J35:L35)</x:f>
        <x:v>10500</x:v>
      </x:c>
      <x:c r="N35" s="2" t="str">
        <x:v>Monatszahlung gemäß Zahlungsauftrag</x:v>
      </x:c>
    </x:row>
    <x:row r="36" ht="22" customHeight="1">
      <x:c r="A36" s="2" t="str">
        <x:v>APB-0003</x:v>
      </x:c>
      <x:c r="B36" s="2" t="str">
        <x:v>2026-04-30</x:v>
      </x:c>
      <x:c r="C36" s="9" t="n">
        <x:v>10500</x:v>
      </x:c>
      <x:c r="D36" s="9" t="n">
        <x:v>52.5</x:v>
      </x:c>
      <x:c r="E36" s="9" t="n">
        <x:v>0</x:v>
      </x:c>
      <x:c r="F36" s="9" t="n">
        <x:v>350</x:v>
      </x:c>
      <x:c r="G36" s="9" t="n">
        <x:v>52.5</x:v>
      </x:c>
      <x:c r="H36" s="9" t="n">
        <x:v>0</x:v>
      </x:c>
      <x:c r="I36" s="11" t="n">
        <x:f>SUM(F36:H36)</x:f>
        <x:v>402.5</x:v>
      </x:c>
      <x:c r="J36" s="11" t="n">
        <x:f>C36-F36</x:f>
        <x:v>10150</x:v>
      </x:c>
      <x:c r="K36" s="9" t="n">
        <x:v>0</x:v>
      </x:c>
      <x:c r="L36" s="9" t="n">
        <x:v>0</x:v>
      </x:c>
      <x:c r="M36" s="11" t="n">
        <x:f>SUM(J36:L36)</x:f>
        <x:v>10150</x:v>
      </x:c>
      <x:c r="N36" s="2" t="str">
        <x:v>Monatszahlung gemäß Zahlungsauftrag</x:v>
      </x:c>
    </x:row>
    <x:row r="37" ht="22" customHeight="1">
      <x:c r="A37" s="2" t="str">
        <x:v>APB-0003</x:v>
      </x:c>
      <x:c r="B37" s="2" t="str">
        <x:v>2026-05-31</x:v>
      </x:c>
      <x:c r="C37" s="9" t="n">
        <x:v>10150</x:v>
      </x:c>
      <x:c r="D37" s="9" t="n">
        <x:v>50.75</x:v>
      </x:c>
      <x:c r="E37" s="9" t="n">
        <x:v>0</x:v>
      </x:c>
      <x:c r="F37" s="9" t="n">
        <x:v>350</x:v>
      </x:c>
      <x:c r="G37" s="9" t="n">
        <x:v>50.75</x:v>
      </x:c>
      <x:c r="H37" s="9" t="n">
        <x:v>0</x:v>
      </x:c>
      <x:c r="I37" s="11" t="n">
        <x:f>SUM(F37:H37)</x:f>
        <x:v>400.75</x:v>
      </x:c>
      <x:c r="J37" s="11" t="n">
        <x:f>C37-F37</x:f>
        <x:v>9800</x:v>
      </x:c>
      <x:c r="K37" s="9" t="n">
        <x:v>0</x:v>
      </x:c>
      <x:c r="L37" s="9" t="n">
        <x:v>0</x:v>
      </x:c>
      <x:c r="M37" s="11" t="n">
        <x:f>SUM(J37:L37)</x:f>
        <x:v>9800</x:v>
      </x:c>
      <x:c r="N37" s="2" t="str">
        <x:v>Monatszahlung gemäß Zahlungsauftrag</x:v>
      </x:c>
    </x:row>
    <x:row r="38" ht="22" customHeight="1">
      <x:c r="A38" s="2" t="str">
        <x:v>APB-0003</x:v>
      </x:c>
      <x:c r="B38" s="2" t="str">
        <x:v>2026-06-30</x:v>
      </x:c>
      <x:c r="C38" s="9" t="n">
        <x:v>9800</x:v>
      </x:c>
      <x:c r="D38" s="9" t="n">
        <x:v>49</x:v>
      </x:c>
      <x:c r="E38" s="9" t="n">
        <x:v>0</x:v>
      </x:c>
      <x:c r="F38" s="9" t="n">
        <x:v>350</x:v>
      </x:c>
      <x:c r="G38" s="9" t="n">
        <x:v>49</x:v>
      </x:c>
      <x:c r="H38" s="9" t="n">
        <x:v>0</x:v>
      </x:c>
      <x:c r="I38" s="11" t="n">
        <x:f>SUM(F38:H38)</x:f>
        <x:v>399</x:v>
      </x:c>
      <x:c r="J38" s="11" t="n">
        <x:f>C38-F38</x:f>
        <x:v>9450</x:v>
      </x:c>
      <x:c r="K38" s="9" t="n">
        <x:v>0</x:v>
      </x:c>
      <x:c r="L38" s="9" t="n">
        <x:v>0</x:v>
      </x:c>
      <x:c r="M38" s="11" t="n">
        <x:f>SUM(J38:L38)</x:f>
        <x:v>9450</x:v>
      </x:c>
      <x:c r="N38" s="2" t="str">
        <x:v>Monatszahlung gemäß Zahlungsauftrag</x:v>
      </x:c>
    </x:row>
    <x:row r="39" ht="22" customHeight="1">
      <x:c r="A39" s="2" t="str">
        <x:v>APB-0003</x:v>
      </x:c>
      <x:c r="B39" s="2" t="str">
        <x:v>2026-07-31</x:v>
      </x:c>
      <x:c r="C39" s="9" t="n">
        <x:v>9450</x:v>
      </x:c>
      <x:c r="D39" s="9" t="n">
        <x:v>47.25</x:v>
      </x:c>
      <x:c r="E39" s="9" t="n">
        <x:v>0</x:v>
      </x:c>
      <x:c r="F39" s="9" t="n">
        <x:v>0</x:v>
      </x:c>
      <x:c r="G39" s="9" t="n">
        <x:v>0</x:v>
      </x:c>
      <x:c r="H39" s="9" t="n">
        <x:v>0</x:v>
      </x:c>
      <x:c r="I39" s="11" t="n">
        <x:f>SUM(F39:H39)</x:f>
        <x:v>0</x:v>
      </x:c>
      <x:c r="J39" s="11" t="n">
        <x:f>C39-F39</x:f>
        <x:v>9450</x:v>
      </x:c>
      <x:c r="K39" s="9" t="n">
        <x:v>47.25</x:v>
      </x:c>
      <x:c r="L39" s="9" t="n">
        <x:v>0</x:v>
      </x:c>
      <x:c r="M39" s="11" t="n">
        <x:f>SUM(J39:L39)</x:f>
        <x:v>9497.25</x:v>
      </x:c>
      <x:c r="N39" s="2" t="str">
        <x:v>Kein zugeordneter Monatseingang</x:v>
      </x:c>
    </x:row>
    <x:row r="40" ht="22" customHeight="1">
      <x:c r="A40" s="2" t="str">
        <x:v>APB-0003</x:v>
      </x:c>
      <x:c r="B40" s="2" t="str">
        <x:v>2026-08-31</x:v>
      </x:c>
      <x:c r="C40" s="9" t="n">
        <x:v>9450</x:v>
      </x:c>
      <x:c r="D40" s="9" t="n">
        <x:v>47.25</x:v>
      </x:c>
      <x:c r="E40" s="9" t="n">
        <x:v>6</x:v>
      </x:c>
      <x:c r="F40" s="9" t="n">
        <x:v>0</x:v>
      </x:c>
      <x:c r="G40" s="9" t="n">
        <x:v>0</x:v>
      </x:c>
      <x:c r="H40" s="9" t="n">
        <x:v>0</x:v>
      </x:c>
      <x:c r="I40" s="11" t="n">
        <x:f>SUM(F40:H40)</x:f>
        <x:v>0</x:v>
      </x:c>
      <x:c r="J40" s="11" t="n">
        <x:f>C40-F40</x:f>
        <x:v>9450</x:v>
      </x:c>
      <x:c r="K40" s="9" t="n">
        <x:v>94.5</x:v>
      </x:c>
      <x:c r="L40" s="9" t="n">
        <x:v>6</x:v>
      </x:c>
      <x:c r="M40" s="11" t="n">
        <x:f>SUM(J40:L40)</x:f>
        <x:v>9550.5</x:v>
      </x:c>
      <x:c r="N40" s="2" t="str">
        <x:v>Kein zugeordneter Monatseingang</x:v>
      </x:c>
    </x:row>
    <x:row r="41" ht="22" customHeight="1">
      <x:c r="A41" s="2" t="str">
        <x:v>APB-0003</x:v>
      </x:c>
      <x:c r="B41" s="2" t="str">
        <x:v>2026-09-30</x:v>
      </x:c>
      <x:c r="C41" s="9" t="n">
        <x:v>9450</x:v>
      </x:c>
      <x:c r="D41" s="9" t="n">
        <x:v>47.25</x:v>
      </x:c>
      <x:c r="E41" s="9" t="n">
        <x:v>6</x:v>
      </x:c>
      <x:c r="F41" s="9" t="n">
        <x:v>0</x:v>
      </x:c>
      <x:c r="G41" s="9" t="n">
        <x:v>0</x:v>
      </x:c>
      <x:c r="H41" s="9" t="n">
        <x:v>0</x:v>
      </x:c>
      <x:c r="I41" s="11" t="n">
        <x:f>SUM(F41:H41)</x:f>
        <x:v>0</x:v>
      </x:c>
      <x:c r="J41" s="11" t="n">
        <x:f>C41-F41</x:f>
        <x:v>9450</x:v>
      </x:c>
      <x:c r="K41" s="9" t="n">
        <x:v>141.75</x:v>
      </x:c>
      <x:c r="L41" s="9" t="n">
        <x:v>12</x:v>
      </x:c>
      <x:c r="M41" s="11" t="n">
        <x:f>SUM(J41:L41)</x:f>
        <x:v>9603.75</x:v>
      </x:c>
      <x:c r="N41" s="2" t="str">
        <x:v>Kein zugeordneter Monatseingang</x:v>
      </x:c>
    </x:row>
    <x:row r="42" ht="22" customHeight="1">
      <x:c r="A42" s="2" t="str">
        <x:v>APB-0004</x:v>
      </x:c>
      <x:c r="B42" s="2" t="str">
        <x:v>2025-10-31</x:v>
      </x:c>
      <x:c r="C42" s="9" t="n">
        <x:v>9000</x:v>
      </x:c>
      <x:c r="D42" s="9" t="n">
        <x:v>36</x:v>
      </x:c>
      <x:c r="E42" s="9" t="n">
        <x:v>0</x:v>
      </x:c>
      <x:c r="F42" s="9" t="n">
        <x:v>250</x:v>
      </x:c>
      <x:c r="G42" s="9" t="n">
        <x:v>36</x:v>
      </x:c>
      <x:c r="H42" s="9" t="n">
        <x:v>0</x:v>
      </x:c>
      <x:c r="I42" s="11" t="n">
        <x:f>SUM(F42:H42)</x:f>
        <x:v>286</x:v>
      </x:c>
      <x:c r="J42" s="11" t="n">
        <x:f>C42-F42</x:f>
        <x:v>8750</x:v>
      </x:c>
      <x:c r="K42" s="9" t="n">
        <x:v>0</x:v>
      </x:c>
      <x:c r="L42" s="9" t="n">
        <x:v>0</x:v>
      </x:c>
      <x:c r="M42" s="11" t="n">
        <x:f>SUM(J42:L42)</x:f>
        <x:v>8750</x:v>
      </x:c>
      <x:c r="N42" s="2" t="str">
        <x:v>Monatszahlung gemäß Zahlungsauftrag</x:v>
      </x:c>
    </x:row>
    <x:row r="43" ht="22" customHeight="1">
      <x:c r="A43" s="2" t="str">
        <x:v>APB-0004</x:v>
      </x:c>
      <x:c r="B43" s="2" t="str">
        <x:v>2025-11-30</x:v>
      </x:c>
      <x:c r="C43" s="9" t="n">
        <x:v>8750</x:v>
      </x:c>
      <x:c r="D43" s="9" t="n">
        <x:v>35</x:v>
      </x:c>
      <x:c r="E43" s="9" t="n">
        <x:v>0</x:v>
      </x:c>
      <x:c r="F43" s="9" t="n">
        <x:v>250</x:v>
      </x:c>
      <x:c r="G43" s="9" t="n">
        <x:v>35</x:v>
      </x:c>
      <x:c r="H43" s="9" t="n">
        <x:v>0</x:v>
      </x:c>
      <x:c r="I43" s="11" t="n">
        <x:f>SUM(F43:H43)</x:f>
        <x:v>285</x:v>
      </x:c>
      <x:c r="J43" s="11" t="n">
        <x:f>C43-F43</x:f>
        <x:v>8500</x:v>
      </x:c>
      <x:c r="K43" s="9" t="n">
        <x:v>0</x:v>
      </x:c>
      <x:c r="L43" s="9" t="n">
        <x:v>0</x:v>
      </x:c>
      <x:c r="M43" s="11" t="n">
        <x:f>SUM(J43:L43)</x:f>
        <x:v>8500</x:v>
      </x:c>
      <x:c r="N43" s="2" t="str">
        <x:v>Monatszahlung gemäß Zahlungsauftrag</x:v>
      </x:c>
    </x:row>
    <x:row r="44" ht="22" customHeight="1">
      <x:c r="A44" s="2" t="str">
        <x:v>APB-0004</x:v>
      </x:c>
      <x:c r="B44" s="2" t="str">
        <x:v>2025-12-31</x:v>
      </x:c>
      <x:c r="C44" s="9" t="n">
        <x:v>8500</x:v>
      </x:c>
      <x:c r="D44" s="9" t="n">
        <x:v>34</x:v>
      </x:c>
      <x:c r="E44" s="9" t="n">
        <x:v>0</x:v>
      </x:c>
      <x:c r="F44" s="9" t="n">
        <x:v>250</x:v>
      </x:c>
      <x:c r="G44" s="9" t="n">
        <x:v>34</x:v>
      </x:c>
      <x:c r="H44" s="9" t="n">
        <x:v>0</x:v>
      </x:c>
      <x:c r="I44" s="11" t="n">
        <x:f>SUM(F44:H44)</x:f>
        <x:v>284</x:v>
      </x:c>
      <x:c r="J44" s="11" t="n">
        <x:f>C44-F44</x:f>
        <x:v>8250</x:v>
      </x:c>
      <x:c r="K44" s="9" t="n">
        <x:v>0</x:v>
      </x:c>
      <x:c r="L44" s="9" t="n">
        <x:v>0</x:v>
      </x:c>
      <x:c r="M44" s="11" t="n">
        <x:f>SUM(J44:L44)</x:f>
        <x:v>8250</x:v>
      </x:c>
      <x:c r="N44" s="2" t="str">
        <x:v>Monatszahlung gemäß Zahlungsauftrag</x:v>
      </x:c>
    </x:row>
    <x:row r="45" ht="22" customHeight="1">
      <x:c r="A45" s="2" t="str">
        <x:v>APB-0004</x:v>
      </x:c>
      <x:c r="B45" s="2" t="str">
        <x:v>2026-01-31</x:v>
      </x:c>
      <x:c r="C45" s="9" t="n">
        <x:v>8250</x:v>
      </x:c>
      <x:c r="D45" s="9" t="n">
        <x:v>33</x:v>
      </x:c>
      <x:c r="E45" s="9" t="n">
        <x:v>0</x:v>
      </x:c>
      <x:c r="F45" s="9" t="n">
        <x:v>250</x:v>
      </x:c>
      <x:c r="G45" s="9" t="n">
        <x:v>33</x:v>
      </x:c>
      <x:c r="H45" s="9" t="n">
        <x:v>0</x:v>
      </x:c>
      <x:c r="I45" s="11" t="n">
        <x:f>SUM(F45:H45)</x:f>
        <x:v>283</x:v>
      </x:c>
      <x:c r="J45" s="11" t="n">
        <x:f>C45-F45</x:f>
        <x:v>8000</x:v>
      </x:c>
      <x:c r="K45" s="9" t="n">
        <x:v>0</x:v>
      </x:c>
      <x:c r="L45" s="9" t="n">
        <x:v>0</x:v>
      </x:c>
      <x:c r="M45" s="11" t="n">
        <x:f>SUM(J45:L45)</x:f>
        <x:v>8000</x:v>
      </x:c>
      <x:c r="N45" s="2" t="str">
        <x:v>Monatszahlung gemäß Zahlungsauftrag</x:v>
      </x:c>
    </x:row>
    <x:row r="46" ht="22" customHeight="1">
      <x:c r="A46" s="2" t="str">
        <x:v>APB-0004</x:v>
      </x:c>
      <x:c r="B46" s="2" t="str">
        <x:v>2026-02-28</x:v>
      </x:c>
      <x:c r="C46" s="9" t="n">
        <x:v>8000</x:v>
      </x:c>
      <x:c r="D46" s="9" t="n">
        <x:v>32</x:v>
      </x:c>
      <x:c r="E46" s="9" t="n">
        <x:v>0</x:v>
      </x:c>
      <x:c r="F46" s="9" t="n">
        <x:v>250</x:v>
      </x:c>
      <x:c r="G46" s="9" t="n">
        <x:v>32</x:v>
      </x:c>
      <x:c r="H46" s="9" t="n">
        <x:v>0</x:v>
      </x:c>
      <x:c r="I46" s="11" t="n">
        <x:f>SUM(F46:H46)</x:f>
        <x:v>282</x:v>
      </x:c>
      <x:c r="J46" s="11" t="n">
        <x:f>C46-F46</x:f>
        <x:v>7750</x:v>
      </x:c>
      <x:c r="K46" s="9" t="n">
        <x:v>0</x:v>
      </x:c>
      <x:c r="L46" s="9" t="n">
        <x:v>0</x:v>
      </x:c>
      <x:c r="M46" s="11" t="n">
        <x:f>SUM(J46:L46)</x:f>
        <x:v>7750</x:v>
      </x:c>
      <x:c r="N46" s="2" t="str">
        <x:v>Monatszahlung gemäß Zahlungsauftrag</x:v>
      </x:c>
    </x:row>
    <x:row r="47" ht="22" customHeight="1">
      <x:c r="A47" s="2" t="str">
        <x:v>APB-0004</x:v>
      </x:c>
      <x:c r="B47" s="2" t="str">
        <x:v>2026-03-31</x:v>
      </x:c>
      <x:c r="C47" s="9" t="n">
        <x:v>7750</x:v>
      </x:c>
      <x:c r="D47" s="9" t="n">
        <x:v>31</x:v>
      </x:c>
      <x:c r="E47" s="9" t="n">
        <x:v>0</x:v>
      </x:c>
      <x:c r="F47" s="9" t="n">
        <x:v>250</x:v>
      </x:c>
      <x:c r="G47" s="9" t="n">
        <x:v>31</x:v>
      </x:c>
      <x:c r="H47" s="9" t="n">
        <x:v>0</x:v>
      </x:c>
      <x:c r="I47" s="11" t="n">
        <x:f>SUM(F47:H47)</x:f>
        <x:v>281</x:v>
      </x:c>
      <x:c r="J47" s="11" t="n">
        <x:f>C47-F47</x:f>
        <x:v>7500</x:v>
      </x:c>
      <x:c r="K47" s="9" t="n">
        <x:v>0</x:v>
      </x:c>
      <x:c r="L47" s="9" t="n">
        <x:v>0</x:v>
      </x:c>
      <x:c r="M47" s="11" t="n">
        <x:f>SUM(J47:L47)</x:f>
        <x:v>7500</x:v>
      </x:c>
      <x:c r="N47" s="2" t="str">
        <x:v>Monatszahlung gemäß Zahlungsauftrag</x:v>
      </x:c>
    </x:row>
    <x:row r="48" ht="22" customHeight="1">
      <x:c r="A48" s="2" t="str">
        <x:v>APB-0004</x:v>
      </x:c>
      <x:c r="B48" s="2" t="str">
        <x:v>2026-04-30</x:v>
      </x:c>
      <x:c r="C48" s="9" t="n">
        <x:v>7500</x:v>
      </x:c>
      <x:c r="D48" s="9" t="n">
        <x:v>30</x:v>
      </x:c>
      <x:c r="E48" s="9" t="n">
        <x:v>0</x:v>
      </x:c>
      <x:c r="F48" s="9" t="n">
        <x:v>250</x:v>
      </x:c>
      <x:c r="G48" s="9" t="n">
        <x:v>30</x:v>
      </x:c>
      <x:c r="H48" s="9" t="n">
        <x:v>0</x:v>
      </x:c>
      <x:c r="I48" s="11" t="n">
        <x:f>SUM(F48:H48)</x:f>
        <x:v>280</x:v>
      </x:c>
      <x:c r="J48" s="11" t="n">
        <x:f>C48-F48</x:f>
        <x:v>7250</x:v>
      </x:c>
      <x:c r="K48" s="9" t="n">
        <x:v>0</x:v>
      </x:c>
      <x:c r="L48" s="9" t="n">
        <x:v>0</x:v>
      </x:c>
      <x:c r="M48" s="11" t="n">
        <x:f>SUM(J48:L48)</x:f>
        <x:v>7250</x:v>
      </x:c>
      <x:c r="N48" s="2" t="str">
        <x:v>Monatszahlung gemäß Zahlungsauftrag</x:v>
      </x:c>
    </x:row>
    <x:row r="49" ht="22" customHeight="1">
      <x:c r="A49" s="2" t="str">
        <x:v>APB-0004</x:v>
      </x:c>
      <x:c r="B49" s="2" t="str">
        <x:v>2026-05-31</x:v>
      </x:c>
      <x:c r="C49" s="9" t="n">
        <x:v>7250</x:v>
      </x:c>
      <x:c r="D49" s="9" t="n">
        <x:v>29</x:v>
      </x:c>
      <x:c r="E49" s="9" t="n">
        <x:v>0</x:v>
      </x:c>
      <x:c r="F49" s="9" t="n">
        <x:v>250</x:v>
      </x:c>
      <x:c r="G49" s="9" t="n">
        <x:v>29</x:v>
      </x:c>
      <x:c r="H49" s="9" t="n">
        <x:v>0</x:v>
      </x:c>
      <x:c r="I49" s="11" t="n">
        <x:f>SUM(F49:H49)</x:f>
        <x:v>279</x:v>
      </x:c>
      <x:c r="J49" s="11" t="n">
        <x:f>C49-F49</x:f>
        <x:v>7000</x:v>
      </x:c>
      <x:c r="K49" s="9" t="n">
        <x:v>0</x:v>
      </x:c>
      <x:c r="L49" s="9" t="n">
        <x:v>0</x:v>
      </x:c>
      <x:c r="M49" s="11" t="n">
        <x:f>SUM(J49:L49)</x:f>
        <x:v>7000</x:v>
      </x:c>
      <x:c r="N49" s="2" t="str">
        <x:v>Monatszahlung gemäß Zahlungsauftrag</x:v>
      </x:c>
    </x:row>
    <x:row r="50" ht="22" customHeight="1">
      <x:c r="A50" s="2" t="str">
        <x:v>APB-0004</x:v>
      </x:c>
      <x:c r="B50" s="2" t="str">
        <x:v>2026-06-30</x:v>
      </x:c>
      <x:c r="C50" s="9" t="n">
        <x:v>7000</x:v>
      </x:c>
      <x:c r="D50" s="9" t="n">
        <x:v>28</x:v>
      </x:c>
      <x:c r="E50" s="9" t="n">
        <x:v>0</x:v>
      </x:c>
      <x:c r="F50" s="9" t="n">
        <x:v>250</x:v>
      </x:c>
      <x:c r="G50" s="9" t="n">
        <x:v>28</x:v>
      </x:c>
      <x:c r="H50" s="9" t="n">
        <x:v>0</x:v>
      </x:c>
      <x:c r="I50" s="11" t="n">
        <x:f>SUM(F50:H50)</x:f>
        <x:v>278</x:v>
      </x:c>
      <x:c r="J50" s="11" t="n">
        <x:f>C50-F50</x:f>
        <x:v>6750</x:v>
      </x:c>
      <x:c r="K50" s="9" t="n">
        <x:v>0</x:v>
      </x:c>
      <x:c r="L50" s="9" t="n">
        <x:v>0</x:v>
      </x:c>
      <x:c r="M50" s="11" t="n">
        <x:f>SUM(J50:L50)</x:f>
        <x:v>6750</x:v>
      </x:c>
      <x:c r="N50" s="2" t="str">
        <x:v>Monatszahlung gemäß Zahlungsauftrag</x:v>
      </x:c>
    </x:row>
    <x:row r="51" ht="22" customHeight="1">
      <x:c r="A51" s="2" t="str">
        <x:v>APB-0004</x:v>
      </x:c>
      <x:c r="B51" s="2" t="str">
        <x:v>2026-07-31</x:v>
      </x:c>
      <x:c r="C51" s="9" t="n">
        <x:v>6750</x:v>
      </x:c>
      <x:c r="D51" s="9" t="n">
        <x:v>27</x:v>
      </x:c>
      <x:c r="E51" s="9" t="n">
        <x:v>0</x:v>
      </x:c>
      <x:c r="F51" s="9" t="n">
        <x:v>0</x:v>
      </x:c>
      <x:c r="G51" s="9" t="n">
        <x:v>0</x:v>
      </x:c>
      <x:c r="H51" s="9" t="n">
        <x:v>0</x:v>
      </x:c>
      <x:c r="I51" s="11" t="n">
        <x:f>SUM(F51:H51)</x:f>
        <x:v>0</x:v>
      </x:c>
      <x:c r="J51" s="11" t="n">
        <x:f>C51-F51</x:f>
        <x:v>6750</x:v>
      </x:c>
      <x:c r="K51" s="9" t="n">
        <x:v>27</x:v>
      </x:c>
      <x:c r="L51" s="9" t="n">
        <x:v>0</x:v>
      </x:c>
      <x:c r="M51" s="11" t="n">
        <x:f>SUM(J51:L51)</x:f>
        <x:v>6777</x:v>
      </x:c>
      <x:c r="N51" s="2" t="str">
        <x:v>Kein zugeordneter Monatseingang</x:v>
      </x:c>
    </x:row>
    <x:row r="52" ht="22" customHeight="1">
      <x:c r="A52" s="2" t="str">
        <x:v>APB-0004</x:v>
      </x:c>
      <x:c r="B52" s="2" t="str">
        <x:v>2026-08-31</x:v>
      </x:c>
      <x:c r="C52" s="9" t="n">
        <x:v>6750</x:v>
      </x:c>
      <x:c r="D52" s="9" t="n">
        <x:v>27</x:v>
      </x:c>
      <x:c r="E52" s="9" t="n">
        <x:v>6</x:v>
      </x:c>
      <x:c r="F52" s="9" t="n">
        <x:v>0</x:v>
      </x:c>
      <x:c r="G52" s="9" t="n">
        <x:v>0</x:v>
      </x:c>
      <x:c r="H52" s="9" t="n">
        <x:v>0</x:v>
      </x:c>
      <x:c r="I52" s="11" t="n">
        <x:f>SUM(F52:H52)</x:f>
        <x:v>0</x:v>
      </x:c>
      <x:c r="J52" s="11" t="n">
        <x:f>C52-F52</x:f>
        <x:v>6750</x:v>
      </x:c>
      <x:c r="K52" s="9" t="n">
        <x:v>54</x:v>
      </x:c>
      <x:c r="L52" s="9" t="n">
        <x:v>6</x:v>
      </x:c>
      <x:c r="M52" s="11" t="n">
        <x:f>SUM(J52:L52)</x:f>
        <x:v>6810</x:v>
      </x:c>
      <x:c r="N52" s="2" t="str">
        <x:v>Kein zugeordneter Monatseingang</x:v>
      </x:c>
    </x:row>
    <x:row r="53" ht="22" customHeight="1">
      <x:c r="A53" s="2" t="str">
        <x:v>APB-0004</x:v>
      </x:c>
      <x:c r="B53" s="2" t="str">
        <x:v>2026-09-30</x:v>
      </x:c>
      <x:c r="C53" s="9" t="n">
        <x:v>6750</x:v>
      </x:c>
      <x:c r="D53" s="9" t="n">
        <x:v>27</x:v>
      </x:c>
      <x:c r="E53" s="9" t="n">
        <x:v>6</x:v>
      </x:c>
      <x:c r="F53" s="9" t="n">
        <x:v>0</x:v>
      </x:c>
      <x:c r="G53" s="9" t="n">
        <x:v>0</x:v>
      </x:c>
      <x:c r="H53" s="9" t="n">
        <x:v>0</x:v>
      </x:c>
      <x:c r="I53" s="11" t="n">
        <x:f>SUM(F53:H53)</x:f>
        <x:v>0</x:v>
      </x:c>
      <x:c r="J53" s="11" t="n">
        <x:f>C53-F53</x:f>
        <x:v>6750</x:v>
      </x:c>
      <x:c r="K53" s="9" t="n">
        <x:v>81</x:v>
      </x:c>
      <x:c r="L53" s="9" t="n">
        <x:v>12</x:v>
      </x:c>
      <x:c r="M53" s="11" t="n">
        <x:f>SUM(J53:L53)</x:f>
        <x:v>6843</x:v>
      </x:c>
      <x:c r="N53" s="2" t="str">
        <x:v>Kein zugeordneter Monatseingang</x:v>
      </x:c>
    </x:row>
    <x:row r="54" ht="22" customHeight="1">
      <x:c r="A54" s="2" t="str">
        <x:v>APB-0005</x:v>
      </x:c>
      <x:c r="B54" s="2" t="str">
        <x:v>2025-10-31</x:v>
      </x:c>
      <x:c r="C54" s="9" t="n">
        <x:v>18000</x:v>
      </x:c>
      <x:c r="D54" s="9" t="n">
        <x:v>63</x:v>
      </x:c>
      <x:c r="E54" s="9" t="n">
        <x:v>0</x:v>
      </x:c>
      <x:c r="F54" s="9" t="n">
        <x:v>500</x:v>
      </x:c>
      <x:c r="G54" s="9" t="n">
        <x:v>63</x:v>
      </x:c>
      <x:c r="H54" s="9" t="n">
        <x:v>0</x:v>
      </x:c>
      <x:c r="I54" s="11" t="n">
        <x:f>SUM(F54:H54)</x:f>
        <x:v>563</x:v>
      </x:c>
      <x:c r="J54" s="11" t="n">
        <x:f>C54-F54</x:f>
        <x:v>17500</x:v>
      </x:c>
      <x:c r="K54" s="9" t="n">
        <x:v>0</x:v>
      </x:c>
      <x:c r="L54" s="9" t="n">
        <x:v>0</x:v>
      </x:c>
      <x:c r="M54" s="11" t="n">
        <x:f>SUM(J54:L54)</x:f>
        <x:v>17500</x:v>
      </x:c>
      <x:c r="N54" s="2" t="str">
        <x:v>Monatszahlung gemäß Zahlungsauftrag</x:v>
      </x:c>
    </x:row>
    <x:row r="55" ht="22" customHeight="1">
      <x:c r="A55" s="2" t="str">
        <x:v>APB-0005</x:v>
      </x:c>
      <x:c r="B55" s="2" t="str">
        <x:v>2025-11-30</x:v>
      </x:c>
      <x:c r="C55" s="9" t="n">
        <x:v>17500</x:v>
      </x:c>
      <x:c r="D55" s="9" t="n">
        <x:v>61.25</x:v>
      </x:c>
      <x:c r="E55" s="9" t="n">
        <x:v>0</x:v>
      </x:c>
      <x:c r="F55" s="9" t="n">
        <x:v>500</x:v>
      </x:c>
      <x:c r="G55" s="9" t="n">
        <x:v>61.25</x:v>
      </x:c>
      <x:c r="H55" s="9" t="n">
        <x:v>0</x:v>
      </x:c>
      <x:c r="I55" s="11" t="n">
        <x:f>SUM(F55:H55)</x:f>
        <x:v>561.25</x:v>
      </x:c>
      <x:c r="J55" s="11" t="n">
        <x:f>C55-F55</x:f>
        <x:v>17000</x:v>
      </x:c>
      <x:c r="K55" s="9" t="n">
        <x:v>0</x:v>
      </x:c>
      <x:c r="L55" s="9" t="n">
        <x:v>0</x:v>
      </x:c>
      <x:c r="M55" s="11" t="n">
        <x:f>SUM(J55:L55)</x:f>
        <x:v>17000</x:v>
      </x:c>
      <x:c r="N55" s="2" t="str">
        <x:v>Monatszahlung gemäß Zahlungsauftrag</x:v>
      </x:c>
    </x:row>
    <x:row r="56" ht="22" customHeight="1">
      <x:c r="A56" s="2" t="str">
        <x:v>APB-0005</x:v>
      </x:c>
      <x:c r="B56" s="2" t="str">
        <x:v>2025-12-31</x:v>
      </x:c>
      <x:c r="C56" s="9" t="n">
        <x:v>17000</x:v>
      </x:c>
      <x:c r="D56" s="9" t="n">
        <x:v>59.5</x:v>
      </x:c>
      <x:c r="E56" s="9" t="n">
        <x:v>0</x:v>
      </x:c>
      <x:c r="F56" s="9" t="n">
        <x:v>500</x:v>
      </x:c>
      <x:c r="G56" s="9" t="n">
        <x:v>59.5</x:v>
      </x:c>
      <x:c r="H56" s="9" t="n">
        <x:v>0</x:v>
      </x:c>
      <x:c r="I56" s="11" t="n">
        <x:f>SUM(F56:H56)</x:f>
        <x:v>559.5</x:v>
      </x:c>
      <x:c r="J56" s="11" t="n">
        <x:f>C56-F56</x:f>
        <x:v>16500</x:v>
      </x:c>
      <x:c r="K56" s="9" t="n">
        <x:v>0</x:v>
      </x:c>
      <x:c r="L56" s="9" t="n">
        <x:v>0</x:v>
      </x:c>
      <x:c r="M56" s="11" t="n">
        <x:f>SUM(J56:L56)</x:f>
        <x:v>16500</x:v>
      </x:c>
      <x:c r="N56" s="2" t="str">
        <x:v>Monatszahlung gemäß Zahlungsauftrag</x:v>
      </x:c>
    </x:row>
    <x:row r="57" ht="22" customHeight="1">
      <x:c r="A57" s="2" t="str">
        <x:v>APB-0005</x:v>
      </x:c>
      <x:c r="B57" s="2" t="str">
        <x:v>2026-01-31</x:v>
      </x:c>
      <x:c r="C57" s="9" t="n">
        <x:v>16500</x:v>
      </x:c>
      <x:c r="D57" s="9" t="n">
        <x:v>57.75</x:v>
      </x:c>
      <x:c r="E57" s="9" t="n">
        <x:v>0</x:v>
      </x:c>
      <x:c r="F57" s="9" t="n">
        <x:v>500</x:v>
      </x:c>
      <x:c r="G57" s="9" t="n">
        <x:v>57.75</x:v>
      </x:c>
      <x:c r="H57" s="9" t="n">
        <x:v>0</x:v>
      </x:c>
      <x:c r="I57" s="11" t="n">
        <x:f>SUM(F57:H57)</x:f>
        <x:v>557.75</x:v>
      </x:c>
      <x:c r="J57" s="11" t="n">
        <x:f>C57-F57</x:f>
        <x:v>16000</x:v>
      </x:c>
      <x:c r="K57" s="9" t="n">
        <x:v>0</x:v>
      </x:c>
      <x:c r="L57" s="9" t="n">
        <x:v>0</x:v>
      </x:c>
      <x:c r="M57" s="11" t="n">
        <x:f>SUM(J57:L57)</x:f>
        <x:v>16000</x:v>
      </x:c>
      <x:c r="N57" s="2" t="str">
        <x:v>Monatszahlung gemäß Zahlungsauftrag</x:v>
      </x:c>
    </x:row>
    <x:row r="58" ht="22" customHeight="1">
      <x:c r="A58" s="2" t="str">
        <x:v>APB-0005</x:v>
      </x:c>
      <x:c r="B58" s="2" t="str">
        <x:v>2026-02-28</x:v>
      </x:c>
      <x:c r="C58" s="9" t="n">
        <x:v>16000</x:v>
      </x:c>
      <x:c r="D58" s="9" t="n">
        <x:v>56</x:v>
      </x:c>
      <x:c r="E58" s="9" t="n">
        <x:v>0</x:v>
      </x:c>
      <x:c r="F58" s="9" t="n">
        <x:v>500</x:v>
      </x:c>
      <x:c r="G58" s="9" t="n">
        <x:v>56</x:v>
      </x:c>
      <x:c r="H58" s="9" t="n">
        <x:v>0</x:v>
      </x:c>
      <x:c r="I58" s="11" t="n">
        <x:f>SUM(F58:H58)</x:f>
        <x:v>556</x:v>
      </x:c>
      <x:c r="J58" s="11" t="n">
        <x:f>C58-F58</x:f>
        <x:v>15500</x:v>
      </x:c>
      <x:c r="K58" s="9" t="n">
        <x:v>0</x:v>
      </x:c>
      <x:c r="L58" s="9" t="n">
        <x:v>0</x:v>
      </x:c>
      <x:c r="M58" s="11" t="n">
        <x:f>SUM(J58:L58)</x:f>
        <x:v>15500</x:v>
      </x:c>
      <x:c r="N58" s="2" t="str">
        <x:v>Monatszahlung gemäß Zahlungsauftrag</x:v>
      </x:c>
    </x:row>
    <x:row r="59" ht="22" customHeight="1">
      <x:c r="A59" s="2" t="str">
        <x:v>APB-0005</x:v>
      </x:c>
      <x:c r="B59" s="2" t="str">
        <x:v>2026-03-31</x:v>
      </x:c>
      <x:c r="C59" s="9" t="n">
        <x:v>15500</x:v>
      </x:c>
      <x:c r="D59" s="9" t="n">
        <x:v>54.25</x:v>
      </x:c>
      <x:c r="E59" s="9" t="n">
        <x:v>0</x:v>
      </x:c>
      <x:c r="F59" s="9" t="n">
        <x:v>500</x:v>
      </x:c>
      <x:c r="G59" s="9" t="n">
        <x:v>54.25</x:v>
      </x:c>
      <x:c r="H59" s="9" t="n">
        <x:v>0</x:v>
      </x:c>
      <x:c r="I59" s="11" t="n">
        <x:f>SUM(F59:H59)</x:f>
        <x:v>554.25</x:v>
      </x:c>
      <x:c r="J59" s="11" t="n">
        <x:f>C59-F59</x:f>
        <x:v>15000</x:v>
      </x:c>
      <x:c r="K59" s="9" t="n">
        <x:v>0</x:v>
      </x:c>
      <x:c r="L59" s="9" t="n">
        <x:v>0</x:v>
      </x:c>
      <x:c r="M59" s="11" t="n">
        <x:f>SUM(J59:L59)</x:f>
        <x:v>15000</x:v>
      </x:c>
      <x:c r="N59" s="2" t="str">
        <x:v>Monatszahlung gemäß Zahlungsauftrag</x:v>
      </x:c>
    </x:row>
    <x:row r="60" ht="22" customHeight="1">
      <x:c r="A60" s="2" t="str">
        <x:v>APB-0005</x:v>
      </x:c>
      <x:c r="B60" s="2" t="str">
        <x:v>2026-04-30</x:v>
      </x:c>
      <x:c r="C60" s="9" t="n">
        <x:v>15000</x:v>
      </x:c>
      <x:c r="D60" s="9" t="n">
        <x:v>52.5</x:v>
      </x:c>
      <x:c r="E60" s="9" t="n">
        <x:v>0</x:v>
      </x:c>
      <x:c r="F60" s="9" t="n">
        <x:v>500</x:v>
      </x:c>
      <x:c r="G60" s="9" t="n">
        <x:v>52.5</x:v>
      </x:c>
      <x:c r="H60" s="9" t="n">
        <x:v>0</x:v>
      </x:c>
      <x:c r="I60" s="11" t="n">
        <x:f>SUM(F60:H60)</x:f>
        <x:v>552.5</x:v>
      </x:c>
      <x:c r="J60" s="11" t="n">
        <x:f>C60-F60</x:f>
        <x:v>14500</x:v>
      </x:c>
      <x:c r="K60" s="9" t="n">
        <x:v>0</x:v>
      </x:c>
      <x:c r="L60" s="9" t="n">
        <x:v>0</x:v>
      </x:c>
      <x:c r="M60" s="11" t="n">
        <x:f>SUM(J60:L60)</x:f>
        <x:v>14500</x:v>
      </x:c>
      <x:c r="N60" s="2" t="str">
        <x:v>Monatszahlung gemäß Zahlungsauftrag</x:v>
      </x:c>
    </x:row>
    <x:row r="61" ht="22" customHeight="1">
      <x:c r="A61" s="2" t="str">
        <x:v>APB-0005</x:v>
      </x:c>
      <x:c r="B61" s="2" t="str">
        <x:v>2026-05-31</x:v>
      </x:c>
      <x:c r="C61" s="9" t="n">
        <x:v>14500</x:v>
      </x:c>
      <x:c r="D61" s="9" t="n">
        <x:v>50.75</x:v>
      </x:c>
      <x:c r="E61" s="9" t="n">
        <x:v>0</x:v>
      </x:c>
      <x:c r="F61" s="9" t="n">
        <x:v>0</x:v>
      </x:c>
      <x:c r="G61" s="9" t="n">
        <x:v>0</x:v>
      </x:c>
      <x:c r="H61" s="9" t="n">
        <x:v>0</x:v>
      </x:c>
      <x:c r="I61" s="11" t="n">
        <x:f>SUM(F61:H61)</x:f>
        <x:v>0</x:v>
      </x:c>
      <x:c r="J61" s="11" t="n">
        <x:f>C61-F61</x:f>
        <x:v>14500</x:v>
      </x:c>
      <x:c r="K61" s="9" t="n">
        <x:v>50.75</x:v>
      </x:c>
      <x:c r="L61" s="9" t="n">
        <x:v>0</x:v>
      </x:c>
      <x:c r="M61" s="11" t="n">
        <x:f>SUM(J61:L61)</x:f>
        <x:v>14550.75</x:v>
      </x:c>
      <x:c r="N61" s="2" t="str">
        <x:v>Vollstreckungsakte; kein Eingang</x:v>
      </x:c>
    </x:row>
    <x:row r="62" ht="22" customHeight="1">
      <x:c r="A62" s="2" t="str">
        <x:v>APB-0005</x:v>
      </x:c>
      <x:c r="B62" s="2" t="str">
        <x:v>2026-06-30</x:v>
      </x:c>
      <x:c r="C62" s="9" t="n">
        <x:v>14500</x:v>
      </x:c>
      <x:c r="D62" s="9" t="n">
        <x:v>50.75</x:v>
      </x:c>
      <x:c r="E62" s="9" t="n">
        <x:v>0</x:v>
      </x:c>
      <x:c r="F62" s="9" t="n">
        <x:v>0</x:v>
      </x:c>
      <x:c r="G62" s="9" t="n">
        <x:v>0</x:v>
      </x:c>
      <x:c r="H62" s="9" t="n">
        <x:v>0</x:v>
      </x:c>
      <x:c r="I62" s="11" t="n">
        <x:f>SUM(F62:H62)</x:f>
        <x:v>0</x:v>
      </x:c>
      <x:c r="J62" s="11" t="n">
        <x:f>C62-F62</x:f>
        <x:v>14500</x:v>
      </x:c>
      <x:c r="K62" s="9" t="n">
        <x:v>101.5</x:v>
      </x:c>
      <x:c r="L62" s="9" t="n">
        <x:v>0</x:v>
      </x:c>
      <x:c r="M62" s="11" t="n">
        <x:f>SUM(J62:L62)</x:f>
        <x:v>14601.5</x:v>
      </x:c>
      <x:c r="N62" s="2" t="str">
        <x:v>Vollstreckungsakte; kein Eingang</x:v>
      </x:c>
    </x:row>
    <x:row r="63" ht="22" customHeight="1">
      <x:c r="A63" s="2" t="str">
        <x:v>APB-0005</x:v>
      </x:c>
      <x:c r="B63" s="2" t="str">
        <x:v>2026-07-31</x:v>
      </x:c>
      <x:c r="C63" s="9" t="n">
        <x:v>14500</x:v>
      </x:c>
      <x:c r="D63" s="9" t="n">
        <x:v>50.75</x:v>
      </x:c>
      <x:c r="E63" s="9" t="n">
        <x:v>0</x:v>
      </x:c>
      <x:c r="F63" s="9" t="n">
        <x:v>0</x:v>
      </x:c>
      <x:c r="G63" s="9" t="n">
        <x:v>0</x:v>
      </x:c>
      <x:c r="H63" s="9" t="n">
        <x:v>0</x:v>
      </x:c>
      <x:c r="I63" s="11" t="n">
        <x:f>SUM(F63:H63)</x:f>
        <x:v>0</x:v>
      </x:c>
      <x:c r="J63" s="11" t="n">
        <x:f>C63-F63</x:f>
        <x:v>14500</x:v>
      </x:c>
      <x:c r="K63" s="9" t="n">
        <x:v>152.25</x:v>
      </x:c>
      <x:c r="L63" s="9" t="n">
        <x:v>0</x:v>
      </x:c>
      <x:c r="M63" s="11" t="n">
        <x:f>SUM(J63:L63)</x:f>
        <x:v>14652.25</x:v>
      </x:c>
      <x:c r="N63" s="2" t="str">
        <x:v>Vollstreckungsakte; kein Eingang</x:v>
      </x:c>
    </x:row>
    <x:row r="64" ht="22" customHeight="1">
      <x:c r="A64" s="2" t="str">
        <x:v>APB-0005</x:v>
      </x:c>
      <x:c r="B64" s="2" t="str">
        <x:v>2026-08-31</x:v>
      </x:c>
      <x:c r="C64" s="9" t="n">
        <x:v>14500</x:v>
      </x:c>
      <x:c r="D64" s="9" t="n">
        <x:v>50.75</x:v>
      </x:c>
      <x:c r="E64" s="9" t="n">
        <x:v>120</x:v>
      </x:c>
      <x:c r="F64" s="9" t="n">
        <x:v>0</x:v>
      </x:c>
      <x:c r="G64" s="9" t="n">
        <x:v>0</x:v>
      </x:c>
      <x:c r="H64" s="9" t="n">
        <x:v>0</x:v>
      </x:c>
      <x:c r="I64" s="11" t="n">
        <x:f>SUM(F64:H64)</x:f>
        <x:v>0</x:v>
      </x:c>
      <x:c r="J64" s="11" t="n">
        <x:f>C64-F64</x:f>
        <x:v>14500</x:v>
      </x:c>
      <x:c r="K64" s="9" t="n">
        <x:v>203</x:v>
      </x:c>
      <x:c r="L64" s="9" t="n">
        <x:v>120</x:v>
      </x:c>
      <x:c r="M64" s="11" t="n">
        <x:f>SUM(J64:L64)</x:f>
        <x:v>14823</x:v>
      </x:c>
      <x:c r="N64" s="2" t="str">
        <x:v>Vollstreckungsakte; kein Eingang</x:v>
      </x:c>
    </x:row>
    <x:row r="65" ht="22" customHeight="1">
      <x:c r="A65" s="2" t="str">
        <x:v>APB-0005</x:v>
      </x:c>
      <x:c r="B65" s="2" t="str">
        <x:v>2026-09-30</x:v>
      </x:c>
      <x:c r="C65" s="9" t="n">
        <x:v>14500</x:v>
      </x:c>
      <x:c r="D65" s="9" t="n">
        <x:v>50.75</x:v>
      </x:c>
      <x:c r="E65" s="9" t="n">
        <x:v>0</x:v>
      </x:c>
      <x:c r="F65" s="9" t="n">
        <x:v>180</x:v>
      </x:c>
      <x:c r="G65" s="9" t="n">
        <x:v>0</x:v>
      </x:c>
      <x:c r="H65" s="9" t="n">
        <x:v>0</x:v>
      </x:c>
      <x:c r="I65" s="11" t="n">
        <x:f>SUM(F65:H65)</x:f>
        <x:v>180</x:v>
      </x:c>
      <x:c r="J65" s="11" t="n">
        <x:f>C65-F65</x:f>
        <x:v>14320</x:v>
      </x:c>
      <x:c r="K65" s="9" t="n">
        <x:v>253.75</x:v>
      </x:c>
      <x:c r="L65" s="9" t="n">
        <x:v>120</x:v>
      </x:c>
      <x:c r="M65" s="11" t="n">
        <x:f>SUM(J65:L65)</x:f>
        <x:v>14693.75</x:v>
      </x:c>
      <x:c r="N65" s="2" t="str">
        <x:v>Weiterleitung Kanzlei</x:v>
      </x:c>
    </x:row>
    <x:row r="66" ht="22" customHeight="1">
      <x:c r="A66" s="2" t="str">
        <x:v>APB-0006</x:v>
      </x:c>
      <x:c r="B66" s="2" t="str">
        <x:v>2025-10-31</x:v>
      </x:c>
      <x:c r="C66" s="9" t="n">
        <x:v>7200</x:v>
      </x:c>
      <x:c r="D66" s="9" t="n">
        <x:v>36</x:v>
      </x:c>
      <x:c r="E66" s="9" t="n">
        <x:v>0</x:v>
      </x:c>
      <x:c r="F66" s="9" t="n">
        <x:v>200</x:v>
      </x:c>
      <x:c r="G66" s="9" t="n">
        <x:v>36</x:v>
      </x:c>
      <x:c r="H66" s="9" t="n">
        <x:v>0</x:v>
      </x:c>
      <x:c r="I66" s="11" t="n">
        <x:f>SUM(F66:H66)</x:f>
        <x:v>236</x:v>
      </x:c>
      <x:c r="J66" s="11" t="n">
        <x:f>C66-F66</x:f>
        <x:v>7000</x:v>
      </x:c>
      <x:c r="K66" s="9" t="n">
        <x:v>0</x:v>
      </x:c>
      <x:c r="L66" s="9" t="n">
        <x:v>0</x:v>
      </x:c>
      <x:c r="M66" s="11" t="n">
        <x:f>SUM(J66:L66)</x:f>
        <x:v>7000</x:v>
      </x:c>
      <x:c r="N66" s="2" t="str">
        <x:v>Monatszahlung gemäß Zahlungsauftrag</x:v>
      </x:c>
    </x:row>
    <x:row r="67" ht="22" customHeight="1">
      <x:c r="A67" s="2" t="str">
        <x:v>APB-0006</x:v>
      </x:c>
      <x:c r="B67" s="2" t="str">
        <x:v>2025-11-30</x:v>
      </x:c>
      <x:c r="C67" s="9" t="n">
        <x:v>7000</x:v>
      </x:c>
      <x:c r="D67" s="9" t="n">
        <x:v>35</x:v>
      </x:c>
      <x:c r="E67" s="9" t="n">
        <x:v>0</x:v>
      </x:c>
      <x:c r="F67" s="9" t="n">
        <x:v>200</x:v>
      </x:c>
      <x:c r="G67" s="9" t="n">
        <x:v>35</x:v>
      </x:c>
      <x:c r="H67" s="9" t="n">
        <x:v>0</x:v>
      </x:c>
      <x:c r="I67" s="11" t="n">
        <x:f>SUM(F67:H67)</x:f>
        <x:v>235</x:v>
      </x:c>
      <x:c r="J67" s="11" t="n">
        <x:f>C67-F67</x:f>
        <x:v>6800</x:v>
      </x:c>
      <x:c r="K67" s="9" t="n">
        <x:v>0</x:v>
      </x:c>
      <x:c r="L67" s="9" t="n">
        <x:v>0</x:v>
      </x:c>
      <x:c r="M67" s="11" t="n">
        <x:f>SUM(J67:L67)</x:f>
        <x:v>6800</x:v>
      </x:c>
      <x:c r="N67" s="2" t="str">
        <x:v>Monatszahlung gemäß Zahlungsauftrag</x:v>
      </x:c>
    </x:row>
    <x:row r="68" ht="22" customHeight="1">
      <x:c r="A68" s="2" t="str">
        <x:v>APB-0006</x:v>
      </x:c>
      <x:c r="B68" s="2" t="str">
        <x:v>2025-12-31</x:v>
      </x:c>
      <x:c r="C68" s="9" t="n">
        <x:v>6800</x:v>
      </x:c>
      <x:c r="D68" s="9" t="n">
        <x:v>34</x:v>
      </x:c>
      <x:c r="E68" s="9" t="n">
        <x:v>0</x:v>
      </x:c>
      <x:c r="F68" s="9" t="n">
        <x:v>200</x:v>
      </x:c>
      <x:c r="G68" s="9" t="n">
        <x:v>34</x:v>
      </x:c>
      <x:c r="H68" s="9" t="n">
        <x:v>0</x:v>
      </x:c>
      <x:c r="I68" s="11" t="n">
        <x:f>SUM(F68:H68)</x:f>
        <x:v>234</x:v>
      </x:c>
      <x:c r="J68" s="11" t="n">
        <x:f>C68-F68</x:f>
        <x:v>6600</x:v>
      </x:c>
      <x:c r="K68" s="9" t="n">
        <x:v>0</x:v>
      </x:c>
      <x:c r="L68" s="9" t="n">
        <x:v>0</x:v>
      </x:c>
      <x:c r="M68" s="11" t="n">
        <x:f>SUM(J68:L68)</x:f>
        <x:v>6600</x:v>
      </x:c>
      <x:c r="N68" s="2" t="str">
        <x:v>Monatszahlung gemäß Zahlungsauftrag</x:v>
      </x:c>
    </x:row>
    <x:row r="69" ht="22" customHeight="1">
      <x:c r="A69" s="2" t="str">
        <x:v>APB-0006</x:v>
      </x:c>
      <x:c r="B69" s="2" t="str">
        <x:v>2026-01-31</x:v>
      </x:c>
      <x:c r="C69" s="9" t="n">
        <x:v>6600</x:v>
      </x:c>
      <x:c r="D69" s="9" t="n">
        <x:v>33</x:v>
      </x:c>
      <x:c r="E69" s="9" t="n">
        <x:v>0</x:v>
      </x:c>
      <x:c r="F69" s="9" t="n">
        <x:v>200</x:v>
      </x:c>
      <x:c r="G69" s="9" t="n">
        <x:v>33</x:v>
      </x:c>
      <x:c r="H69" s="9" t="n">
        <x:v>0</x:v>
      </x:c>
      <x:c r="I69" s="11" t="n">
        <x:f>SUM(F69:H69)</x:f>
        <x:v>233</x:v>
      </x:c>
      <x:c r="J69" s="11" t="n">
        <x:f>C69-F69</x:f>
        <x:v>6400</x:v>
      </x:c>
      <x:c r="K69" s="9" t="n">
        <x:v>0</x:v>
      </x:c>
      <x:c r="L69" s="9" t="n">
        <x:v>0</x:v>
      </x:c>
      <x:c r="M69" s="11" t="n">
        <x:f>SUM(J69:L69)</x:f>
        <x:v>6400</x:v>
      </x:c>
      <x:c r="N69" s="2" t="str">
        <x:v>Monatszahlung gemäß Zahlungsauftrag</x:v>
      </x:c>
    </x:row>
    <x:row r="70" ht="22" customHeight="1">
      <x:c r="A70" s="2" t="str">
        <x:v>APB-0006</x:v>
      </x:c>
      <x:c r="B70" s="2" t="str">
        <x:v>2026-02-28</x:v>
      </x:c>
      <x:c r="C70" s="9" t="n">
        <x:v>6400</x:v>
      </x:c>
      <x:c r="D70" s="9" t="n">
        <x:v>32</x:v>
      </x:c>
      <x:c r="E70" s="9" t="n">
        <x:v>0</x:v>
      </x:c>
      <x:c r="F70" s="9" t="n">
        <x:v>200</x:v>
      </x:c>
      <x:c r="G70" s="9" t="n">
        <x:v>32</x:v>
      </x:c>
      <x:c r="H70" s="9" t="n">
        <x:v>0</x:v>
      </x:c>
      <x:c r="I70" s="11" t="n">
        <x:f>SUM(F70:H70)</x:f>
        <x:v>232</x:v>
      </x:c>
      <x:c r="J70" s="11" t="n">
        <x:f>C70-F70</x:f>
        <x:v>6200</x:v>
      </x:c>
      <x:c r="K70" s="9" t="n">
        <x:v>0</x:v>
      </x:c>
      <x:c r="L70" s="9" t="n">
        <x:v>0</x:v>
      </x:c>
      <x:c r="M70" s="11" t="n">
        <x:f>SUM(J70:L70)</x:f>
        <x:v>6200</x:v>
      </x:c>
      <x:c r="N70" s="2" t="str">
        <x:v>Monatszahlung gemäß Zahlungsauftrag</x:v>
      </x:c>
    </x:row>
    <x:row r="71" ht="22" customHeight="1">
      <x:c r="A71" s="2" t="str">
        <x:v>APB-0006</x:v>
      </x:c>
      <x:c r="B71" s="2" t="str">
        <x:v>2026-03-31</x:v>
      </x:c>
      <x:c r="C71" s="9" t="n">
        <x:v>6200</x:v>
      </x:c>
      <x:c r="D71" s="9" t="n">
        <x:v>31</x:v>
      </x:c>
      <x:c r="E71" s="9" t="n">
        <x:v>0</x:v>
      </x:c>
      <x:c r="F71" s="9" t="n">
        <x:v>200</x:v>
      </x:c>
      <x:c r="G71" s="9" t="n">
        <x:v>31</x:v>
      </x:c>
      <x:c r="H71" s="9" t="n">
        <x:v>0</x:v>
      </x:c>
      <x:c r="I71" s="11" t="n">
        <x:f>SUM(F71:H71)</x:f>
        <x:v>231</x:v>
      </x:c>
      <x:c r="J71" s="11" t="n">
        <x:f>C71-F71</x:f>
        <x:v>6000</x:v>
      </x:c>
      <x:c r="K71" s="9" t="n">
        <x:v>0</x:v>
      </x:c>
      <x:c r="L71" s="9" t="n">
        <x:v>0</x:v>
      </x:c>
      <x:c r="M71" s="11" t="n">
        <x:f>SUM(J71:L71)</x:f>
        <x:v>6000</x:v>
      </x:c>
      <x:c r="N71" s="2" t="str">
        <x:v>Monatszahlung gemäß Zahlungsauftrag</x:v>
      </x:c>
    </x:row>
    <x:row r="72" ht="22" customHeight="1">
      <x:c r="A72" s="2" t="str">
        <x:v>APB-0006</x:v>
      </x:c>
      <x:c r="B72" s="2" t="str">
        <x:v>2026-04-30</x:v>
      </x:c>
      <x:c r="C72" s="9" t="n">
        <x:v>6000</x:v>
      </x:c>
      <x:c r="D72" s="9" t="n">
        <x:v>30</x:v>
      </x:c>
      <x:c r="E72" s="9" t="n">
        <x:v>0</x:v>
      </x:c>
      <x:c r="F72" s="9" t="n">
        <x:v>200</x:v>
      </x:c>
      <x:c r="G72" s="9" t="n">
        <x:v>30</x:v>
      </x:c>
      <x:c r="H72" s="9" t="n">
        <x:v>0</x:v>
      </x:c>
      <x:c r="I72" s="11" t="n">
        <x:f>SUM(F72:H72)</x:f>
        <x:v>230</x:v>
      </x:c>
      <x:c r="J72" s="11" t="n">
        <x:f>C72-F72</x:f>
        <x:v>5800</x:v>
      </x:c>
      <x:c r="K72" s="9" t="n">
        <x:v>0</x:v>
      </x:c>
      <x:c r="L72" s="9" t="n">
        <x:v>0</x:v>
      </x:c>
      <x:c r="M72" s="11" t="n">
        <x:f>SUM(J72:L72)</x:f>
        <x:v>5800</x:v>
      </x:c>
      <x:c r="N72" s="2" t="str">
        <x:v>Monatszahlung gemäß Zahlungsauftrag</x:v>
      </x:c>
    </x:row>
    <x:row r="73" ht="22" customHeight="1">
      <x:c r="A73" s="2" t="str">
        <x:v>APB-0006</x:v>
      </x:c>
      <x:c r="B73" s="2" t="str">
        <x:v>2026-05-31</x:v>
      </x:c>
      <x:c r="C73" s="9" t="n">
        <x:v>5800</x:v>
      </x:c>
      <x:c r="D73" s="9" t="n">
        <x:v>29</x:v>
      </x:c>
      <x:c r="E73" s="9" t="n">
        <x:v>0</x:v>
      </x:c>
      <x:c r="F73" s="9" t="n">
        <x:v>200</x:v>
      </x:c>
      <x:c r="G73" s="9" t="n">
        <x:v>29</x:v>
      </x:c>
      <x:c r="H73" s="9" t="n">
        <x:v>0</x:v>
      </x:c>
      <x:c r="I73" s="11" t="n">
        <x:f>SUM(F73:H73)</x:f>
        <x:v>229</x:v>
      </x:c>
      <x:c r="J73" s="11" t="n">
        <x:f>C73-F73</x:f>
        <x:v>5600</x:v>
      </x:c>
      <x:c r="K73" s="9" t="n">
        <x:v>0</x:v>
      </x:c>
      <x:c r="L73" s="9" t="n">
        <x:v>0</x:v>
      </x:c>
      <x:c r="M73" s="11" t="n">
        <x:f>SUM(J73:L73)</x:f>
        <x:v>5600</x:v>
      </x:c>
      <x:c r="N73" s="2" t="str">
        <x:v>Monatszahlung gemäß Zahlungsauftrag</x:v>
      </x:c>
    </x:row>
    <x:row r="74" ht="22" customHeight="1">
      <x:c r="A74" s="2" t="str">
        <x:v>APB-0006</x:v>
      </x:c>
      <x:c r="B74" s="2" t="str">
        <x:v>2026-06-30</x:v>
      </x:c>
      <x:c r="C74" s="9" t="n">
        <x:v>5600</x:v>
      </x:c>
      <x:c r="D74" s="9" t="n">
        <x:v>28</x:v>
      </x:c>
      <x:c r="E74" s="9" t="n">
        <x:v>0</x:v>
      </x:c>
      <x:c r="F74" s="9" t="n">
        <x:v>0</x:v>
      </x:c>
      <x:c r="G74" s="9" t="n">
        <x:v>28</x:v>
      </x:c>
      <x:c r="H74" s="9" t="n">
        <x:v>0</x:v>
      </x:c>
      <x:c r="I74" s="11" t="n">
        <x:f>SUM(F74:H74)</x:f>
        <x:v>28</x:v>
      </x:c>
      <x:c r="J74" s="11" t="n">
        <x:f>C74-F74</x:f>
        <x:v>5600</x:v>
      </x:c>
      <x:c r="K74" s="9" t="n">
        <x:v>0</x:v>
      </x:c>
      <x:c r="L74" s="9" t="n">
        <x:v>0</x:v>
      </x:c>
      <x:c r="M74" s="11" t="n">
        <x:f>SUM(J74:L74)</x:f>
        <x:v>5600</x:v>
      </x:c>
      <x:c r="N74" s="2" t="str">
        <x:v>Tilgung nach Vereinbarung ausgesetzt; Zins bezahlt</x:v>
      </x:c>
    </x:row>
    <x:row r="75" ht="22" customHeight="1">
      <x:c r="A75" s="2" t="str">
        <x:v>APB-0006</x:v>
      </x:c>
      <x:c r="B75" s="2" t="str">
        <x:v>2026-07-31</x:v>
      </x:c>
      <x:c r="C75" s="9" t="n">
        <x:v>5600</x:v>
      </x:c>
      <x:c r="D75" s="9" t="n">
        <x:v>28</x:v>
      </x:c>
      <x:c r="E75" s="9" t="n">
        <x:v>0</x:v>
      </x:c>
      <x:c r="F75" s="9" t="n">
        <x:v>0</x:v>
      </x:c>
      <x:c r="G75" s="9" t="n">
        <x:v>28</x:v>
      </x:c>
      <x:c r="H75" s="9" t="n">
        <x:v>0</x:v>
      </x:c>
      <x:c r="I75" s="11" t="n">
        <x:f>SUM(F75:H75)</x:f>
        <x:v>28</x:v>
      </x:c>
      <x:c r="J75" s="11" t="n">
        <x:f>C75-F75</x:f>
        <x:v>5600</x:v>
      </x:c>
      <x:c r="K75" s="9" t="n">
        <x:v>0</x:v>
      </x:c>
      <x:c r="L75" s="9" t="n">
        <x:v>0</x:v>
      </x:c>
      <x:c r="M75" s="11" t="n">
        <x:f>SUM(J75:L75)</x:f>
        <x:v>5600</x:v>
      </x:c>
      <x:c r="N75" s="2" t="str">
        <x:v>Tilgung nach Vereinbarung ausgesetzt; Zins bezahlt</x:v>
      </x:c>
    </x:row>
    <x:row r="76" ht="22" customHeight="1">
      <x:c r="A76" s="2" t="str">
        <x:v>APB-0006</x:v>
      </x:c>
      <x:c r="B76" s="2" t="str">
        <x:v>2026-08-31</x:v>
      </x:c>
      <x:c r="C76" s="9" t="n">
        <x:v>5600</x:v>
      </x:c>
      <x:c r="D76" s="9" t="n">
        <x:v>28</x:v>
      </x:c>
      <x:c r="E76" s="9" t="n">
        <x:v>0</x:v>
      </x:c>
      <x:c r="F76" s="9" t="n">
        <x:v>0</x:v>
      </x:c>
      <x:c r="G76" s="9" t="n">
        <x:v>28</x:v>
      </x:c>
      <x:c r="H76" s="9" t="n">
        <x:v>0</x:v>
      </x:c>
      <x:c r="I76" s="11" t="n">
        <x:f>SUM(F76:H76)</x:f>
        <x:v>28</x:v>
      </x:c>
      <x:c r="J76" s="11" t="n">
        <x:f>C76-F76</x:f>
        <x:v>5600</x:v>
      </x:c>
      <x:c r="K76" s="9" t="n">
        <x:v>0</x:v>
      </x:c>
      <x:c r="L76" s="9" t="n">
        <x:v>0</x:v>
      </x:c>
      <x:c r="M76" s="11" t="n">
        <x:f>SUM(J76:L76)</x:f>
        <x:v>5600</x:v>
      </x:c>
      <x:c r="N76" s="2" t="str">
        <x:v>Tilgung nach Vereinbarung ausgesetzt; Zins bezahlt</x:v>
      </x:c>
    </x:row>
    <x:row r="77" ht="22" customHeight="1">
      <x:c r="A77" s="2" t="str">
        <x:v>APB-0006</x:v>
      </x:c>
      <x:c r="B77" s="2" t="str">
        <x:v>2026-09-30</x:v>
      </x:c>
      <x:c r="C77" s="9" t="n">
        <x:v>5600</x:v>
      </x:c>
      <x:c r="D77" s="9" t="n">
        <x:v>28</x:v>
      </x:c>
      <x:c r="E77" s="9" t="n">
        <x:v>0</x:v>
      </x:c>
      <x:c r="F77" s="9" t="n">
        <x:v>200</x:v>
      </x:c>
      <x:c r="G77" s="9" t="n">
        <x:v>28</x:v>
      </x:c>
      <x:c r="H77" s="9" t="n">
        <x:v>0</x:v>
      </x:c>
      <x:c r="I77" s="11" t="n">
        <x:f>SUM(F77:H77)</x:f>
        <x:v>228</x:v>
      </x:c>
      <x:c r="J77" s="11" t="n">
        <x:f>C77-F77</x:f>
        <x:v>5400</x:v>
      </x:c>
      <x:c r="K77" s="9" t="n">
        <x:v>0</x:v>
      </x:c>
      <x:c r="L77" s="9" t="n">
        <x:v>0</x:v>
      </x:c>
      <x:c r="M77" s="11" t="n">
        <x:f>SUM(J77:L77)</x:f>
        <x:v>5400</x:v>
      </x:c>
      <x:c r="N77" s="2" t="str">
        <x:v>Monatszahlung gemäß Zahlungsauftrag</x:v>
      </x:c>
    </x:row>
    <x:row r="78" ht="22" customHeight="1">
      <x:c r="A78" s="2" t="str">
        <x:v>APB-0007</x:v>
      </x:c>
      <x:c r="B78" s="2" t="str">
        <x:v>2025-10-31</x:v>
      </x:c>
      <x:c r="C78" s="9" t="n">
        <x:v>10800</x:v>
      </x:c>
      <x:c r="D78" s="9" t="n">
        <x:v>48.6</x:v>
      </x:c>
      <x:c r="E78" s="9" t="n">
        <x:v>0</x:v>
      </x:c>
      <x:c r="F78" s="9" t="n">
        <x:v>300</x:v>
      </x:c>
      <x:c r="G78" s="9" t="n">
        <x:v>48.6</x:v>
      </x:c>
      <x:c r="H78" s="9" t="n">
        <x:v>0</x:v>
      </x:c>
      <x:c r="I78" s="11" t="n">
        <x:f>SUM(F78:H78)</x:f>
        <x:v>348.6</x:v>
      </x:c>
      <x:c r="J78" s="11" t="n">
        <x:f>C78-F78</x:f>
        <x:v>10500</x:v>
      </x:c>
      <x:c r="K78" s="9" t="n">
        <x:v>0</x:v>
      </x:c>
      <x:c r="L78" s="9" t="n">
        <x:v>0</x:v>
      </x:c>
      <x:c r="M78" s="11" t="n">
        <x:f>SUM(J78:L78)</x:f>
        <x:v>10500</x:v>
      </x:c>
      <x:c r="N78" s="2" t="str">
        <x:v>Monatszahlung gemäß Zahlungsauftrag</x:v>
      </x:c>
    </x:row>
    <x:row r="79" ht="22" customHeight="1">
      <x:c r="A79" s="2" t="str">
        <x:v>APB-0007</x:v>
      </x:c>
      <x:c r="B79" s="2" t="str">
        <x:v>2025-11-30</x:v>
      </x:c>
      <x:c r="C79" s="9" t="n">
        <x:v>10500</x:v>
      </x:c>
      <x:c r="D79" s="9" t="n">
        <x:v>47.25</x:v>
      </x:c>
      <x:c r="E79" s="9" t="n">
        <x:v>0</x:v>
      </x:c>
      <x:c r="F79" s="9" t="n">
        <x:v>300</x:v>
      </x:c>
      <x:c r="G79" s="9" t="n">
        <x:v>47.25</x:v>
      </x:c>
      <x:c r="H79" s="9" t="n">
        <x:v>0</x:v>
      </x:c>
      <x:c r="I79" s="11" t="n">
        <x:f>SUM(F79:H79)</x:f>
        <x:v>347.25</x:v>
      </x:c>
      <x:c r="J79" s="11" t="n">
        <x:f>C79-F79</x:f>
        <x:v>10200</x:v>
      </x:c>
      <x:c r="K79" s="9" t="n">
        <x:v>0</x:v>
      </x:c>
      <x:c r="L79" s="9" t="n">
        <x:v>0</x:v>
      </x:c>
      <x:c r="M79" s="11" t="n">
        <x:f>SUM(J79:L79)</x:f>
        <x:v>10200</x:v>
      </x:c>
      <x:c r="N79" s="2" t="str">
        <x:v>Monatszahlung gemäß Zahlungsauftrag</x:v>
      </x:c>
    </x:row>
    <x:row r="80" ht="22" customHeight="1">
      <x:c r="A80" s="2" t="str">
        <x:v>APB-0007</x:v>
      </x:c>
      <x:c r="B80" s="2" t="str">
        <x:v>2025-12-31</x:v>
      </x:c>
      <x:c r="C80" s="9" t="n">
        <x:v>10200</x:v>
      </x:c>
      <x:c r="D80" s="9" t="n">
        <x:v>45.9</x:v>
      </x:c>
      <x:c r="E80" s="9" t="n">
        <x:v>0</x:v>
      </x:c>
      <x:c r="F80" s="9" t="n">
        <x:v>300</x:v>
      </x:c>
      <x:c r="G80" s="9" t="n">
        <x:v>45.9</x:v>
      </x:c>
      <x:c r="H80" s="9" t="n">
        <x:v>0</x:v>
      </x:c>
      <x:c r="I80" s="11" t="n">
        <x:f>SUM(F80:H80)</x:f>
        <x:v>345.9</x:v>
      </x:c>
      <x:c r="J80" s="11" t="n">
        <x:f>C80-F80</x:f>
        <x:v>9900</x:v>
      </x:c>
      <x:c r="K80" s="9" t="n">
        <x:v>0</x:v>
      </x:c>
      <x:c r="L80" s="9" t="n">
        <x:v>0</x:v>
      </x:c>
      <x:c r="M80" s="11" t="n">
        <x:f>SUM(J80:L80)</x:f>
        <x:v>9900</x:v>
      </x:c>
      <x:c r="N80" s="2" t="str">
        <x:v>Monatszahlung gemäß Zahlungsauftrag</x:v>
      </x:c>
    </x:row>
    <x:row r="81" ht="22" customHeight="1">
      <x:c r="A81" s="2" t="str">
        <x:v>APB-0007</x:v>
      </x:c>
      <x:c r="B81" s="2" t="str">
        <x:v>2026-01-31</x:v>
      </x:c>
      <x:c r="C81" s="9" t="n">
        <x:v>9900</x:v>
      </x:c>
      <x:c r="D81" s="9" t="n">
        <x:v>44.55</x:v>
      </x:c>
      <x:c r="E81" s="9" t="n">
        <x:v>0</x:v>
      </x:c>
      <x:c r="F81" s="9" t="n">
        <x:v>300</x:v>
      </x:c>
      <x:c r="G81" s="9" t="n">
        <x:v>44.55</x:v>
      </x:c>
      <x:c r="H81" s="9" t="n">
        <x:v>0</x:v>
      </x:c>
      <x:c r="I81" s="11" t="n">
        <x:f>SUM(F81:H81)</x:f>
        <x:v>344.55</x:v>
      </x:c>
      <x:c r="J81" s="11" t="n">
        <x:f>C81-F81</x:f>
        <x:v>9600</x:v>
      </x:c>
      <x:c r="K81" s="9" t="n">
        <x:v>0</x:v>
      </x:c>
      <x:c r="L81" s="9" t="n">
        <x:v>0</x:v>
      </x:c>
      <x:c r="M81" s="11" t="n">
        <x:f>SUM(J81:L81)</x:f>
        <x:v>9600</x:v>
      </x:c>
      <x:c r="N81" s="2" t="str">
        <x:v>Monatszahlung gemäß Zahlungsauftrag</x:v>
      </x:c>
    </x:row>
    <x:row r="82" ht="22" customHeight="1">
      <x:c r="A82" s="2" t="str">
        <x:v>APB-0007</x:v>
      </x:c>
      <x:c r="B82" s="2" t="str">
        <x:v>2026-02-28</x:v>
      </x:c>
      <x:c r="C82" s="9" t="n">
        <x:v>9600</x:v>
      </x:c>
      <x:c r="D82" s="9" t="n">
        <x:v>43.2</x:v>
      </x:c>
      <x:c r="E82" s="9" t="n">
        <x:v>0</x:v>
      </x:c>
      <x:c r="F82" s="9" t="n">
        <x:v>300</x:v>
      </x:c>
      <x:c r="G82" s="9" t="n">
        <x:v>43.2</x:v>
      </x:c>
      <x:c r="H82" s="9" t="n">
        <x:v>0</x:v>
      </x:c>
      <x:c r="I82" s="11" t="n">
        <x:f>SUM(F82:H82)</x:f>
        <x:v>343.2</x:v>
      </x:c>
      <x:c r="J82" s="11" t="n">
        <x:f>C82-F82</x:f>
        <x:v>9300</x:v>
      </x:c>
      <x:c r="K82" s="9" t="n">
        <x:v>0</x:v>
      </x:c>
      <x:c r="L82" s="9" t="n">
        <x:v>0</x:v>
      </x:c>
      <x:c r="M82" s="11" t="n">
        <x:f>SUM(J82:L82)</x:f>
        <x:v>9300</x:v>
      </x:c>
      <x:c r="N82" s="2" t="str">
        <x:v>Monatszahlung gemäß Zahlungsauftrag</x:v>
      </x:c>
    </x:row>
    <x:row r="83" ht="22" customHeight="1">
      <x:c r="A83" s="2" t="str">
        <x:v>APB-0007</x:v>
      </x:c>
      <x:c r="B83" s="2" t="str">
        <x:v>2026-03-31</x:v>
      </x:c>
      <x:c r="C83" s="9" t="n">
        <x:v>9300</x:v>
      </x:c>
      <x:c r="D83" s="9" t="n">
        <x:v>41.85</x:v>
      </x:c>
      <x:c r="E83" s="9" t="n">
        <x:v>0</x:v>
      </x:c>
      <x:c r="F83" s="9" t="n">
        <x:v>300</x:v>
      </x:c>
      <x:c r="G83" s="9" t="n">
        <x:v>41.85</x:v>
      </x:c>
      <x:c r="H83" s="9" t="n">
        <x:v>0</x:v>
      </x:c>
      <x:c r="I83" s="11" t="n">
        <x:f>SUM(F83:H83)</x:f>
        <x:v>341.85</x:v>
      </x:c>
      <x:c r="J83" s="11" t="n">
        <x:f>C83-F83</x:f>
        <x:v>9000</x:v>
      </x:c>
      <x:c r="K83" s="9" t="n">
        <x:v>0</x:v>
      </x:c>
      <x:c r="L83" s="9" t="n">
        <x:v>0</x:v>
      </x:c>
      <x:c r="M83" s="11" t="n">
        <x:f>SUM(J83:L83)</x:f>
        <x:v>9000</x:v>
      </x:c>
      <x:c r="N83" s="2" t="str">
        <x:v>Monatszahlung gemäß Zahlungsauftrag</x:v>
      </x:c>
    </x:row>
    <x:row r="84" ht="22" customHeight="1">
      <x:c r="A84" s="2" t="str">
        <x:v>APB-0007</x:v>
      </x:c>
      <x:c r="B84" s="2" t="str">
        <x:v>2026-04-30</x:v>
      </x:c>
      <x:c r="C84" s="9" t="n">
        <x:v>9000</x:v>
      </x:c>
      <x:c r="D84" s="9" t="n">
        <x:v>40.5</x:v>
      </x:c>
      <x:c r="E84" s="9" t="n">
        <x:v>0</x:v>
      </x:c>
      <x:c r="F84" s="9" t="n">
        <x:v>300</x:v>
      </x:c>
      <x:c r="G84" s="9" t="n">
        <x:v>40.5</x:v>
      </x:c>
      <x:c r="H84" s="9" t="n">
        <x:v>0</x:v>
      </x:c>
      <x:c r="I84" s="11" t="n">
        <x:f>SUM(F84:H84)</x:f>
        <x:v>340.5</x:v>
      </x:c>
      <x:c r="J84" s="11" t="n">
        <x:f>C84-F84</x:f>
        <x:v>8700</x:v>
      </x:c>
      <x:c r="K84" s="9" t="n">
        <x:v>0</x:v>
      </x:c>
      <x:c r="L84" s="9" t="n">
        <x:v>0</x:v>
      </x:c>
      <x:c r="M84" s="11" t="n">
        <x:f>SUM(J84:L84)</x:f>
        <x:v>8700</x:v>
      </x:c>
      <x:c r="N84" s="2" t="str">
        <x:v>Monatszahlung gemäß Zahlungsauftrag</x:v>
      </x:c>
    </x:row>
    <x:row r="85" ht="22" customHeight="1">
      <x:c r="A85" s="2" t="str">
        <x:v>APB-0007</x:v>
      </x:c>
      <x:c r="B85" s="2" t="str">
        <x:v>2026-05-31</x:v>
      </x:c>
      <x:c r="C85" s="9" t="n">
        <x:v>8700</x:v>
      </x:c>
      <x:c r="D85" s="9" t="n">
        <x:v>39.15</x:v>
      </x:c>
      <x:c r="E85" s="9" t="n">
        <x:v>0</x:v>
      </x:c>
      <x:c r="F85" s="9" t="n">
        <x:v>300</x:v>
      </x:c>
      <x:c r="G85" s="9" t="n">
        <x:v>39.15</x:v>
      </x:c>
      <x:c r="H85" s="9" t="n">
        <x:v>0</x:v>
      </x:c>
      <x:c r="I85" s="11" t="n">
        <x:f>SUM(F85:H85)</x:f>
        <x:v>339.15</x:v>
      </x:c>
      <x:c r="J85" s="11" t="n">
        <x:f>C85-F85</x:f>
        <x:v>8400</x:v>
      </x:c>
      <x:c r="K85" s="9" t="n">
        <x:v>0</x:v>
      </x:c>
      <x:c r="L85" s="9" t="n">
        <x:v>0</x:v>
      </x:c>
      <x:c r="M85" s="11" t="n">
        <x:f>SUM(J85:L85)</x:f>
        <x:v>8400</x:v>
      </x:c>
      <x:c r="N85" s="2" t="str">
        <x:v>Monatszahlung gemäß Zahlungsauftrag</x:v>
      </x:c>
    </x:row>
    <x:row r="86" ht="22" customHeight="1">
      <x:c r="A86" s="2" t="str">
        <x:v>APB-0007</x:v>
      </x:c>
      <x:c r="B86" s="2" t="str">
        <x:v>2026-06-30</x:v>
      </x:c>
      <x:c r="C86" s="9" t="n">
        <x:v>8400</x:v>
      </x:c>
      <x:c r="D86" s="9" t="n">
        <x:v>37.8</x:v>
      </x:c>
      <x:c r="E86" s="9" t="n">
        <x:v>0</x:v>
      </x:c>
      <x:c r="F86" s="9" t="n">
        <x:v>300</x:v>
      </x:c>
      <x:c r="G86" s="9" t="n">
        <x:v>37.8</x:v>
      </x:c>
      <x:c r="H86" s="9" t="n">
        <x:v>0</x:v>
      </x:c>
      <x:c r="I86" s="11" t="n">
        <x:f>SUM(F86:H86)</x:f>
        <x:v>337.8</x:v>
      </x:c>
      <x:c r="J86" s="11" t="n">
        <x:f>C86-F86</x:f>
        <x:v>8100</x:v>
      </x:c>
      <x:c r="K86" s="9" t="n">
        <x:v>0</x:v>
      </x:c>
      <x:c r="L86" s="9" t="n">
        <x:v>0</x:v>
      </x:c>
      <x:c r="M86" s="11" t="n">
        <x:f>SUM(J86:L86)</x:f>
        <x:v>8100</x:v>
      </x:c>
      <x:c r="N86" s="2" t="str">
        <x:v>Monatszahlung gemäß Zahlungsauftrag</x:v>
      </x:c>
    </x:row>
    <x:row r="87" ht="22" customHeight="1">
      <x:c r="A87" s="2" t="str">
        <x:v>APB-0007</x:v>
      </x:c>
      <x:c r="B87" s="2" t="str">
        <x:v>2026-07-31</x:v>
      </x:c>
      <x:c r="C87" s="9" t="n">
        <x:v>8100</x:v>
      </x:c>
      <x:c r="D87" s="9" t="n">
        <x:v>36.45</x:v>
      </x:c>
      <x:c r="E87" s="9" t="n">
        <x:v>0</x:v>
      </x:c>
      <x:c r="F87" s="9" t="n">
        <x:v>300</x:v>
      </x:c>
      <x:c r="G87" s="9" t="n">
        <x:v>36.45</x:v>
      </x:c>
      <x:c r="H87" s="9" t="n">
        <x:v>0</x:v>
      </x:c>
      <x:c r="I87" s="11" t="n">
        <x:f>SUM(F87:H87)</x:f>
        <x:v>336.45</x:v>
      </x:c>
      <x:c r="J87" s="11" t="n">
        <x:f>C87-F87</x:f>
        <x:v>7800</x:v>
      </x:c>
      <x:c r="K87" s="9" t="n">
        <x:v>0</x:v>
      </x:c>
      <x:c r="L87" s="9" t="n">
        <x:v>0</x:v>
      </x:c>
      <x:c r="M87" s="11" t="n">
        <x:f>SUM(J87:L87)</x:f>
        <x:v>7800</x:v>
      </x:c>
      <x:c r="N87" s="2" t="str">
        <x:v>Monatszahlung gemäß Zahlungsauftrag</x:v>
      </x:c>
    </x:row>
    <x:row r="88" ht="22" customHeight="1">
      <x:c r="A88" s="2" t="str">
        <x:v>APB-0007</x:v>
      </x:c>
      <x:c r="B88" s="2" t="str">
        <x:v>2026-08-31</x:v>
      </x:c>
      <x:c r="C88" s="9" t="n">
        <x:v>7800</x:v>
      </x:c>
      <x:c r="D88" s="9" t="n">
        <x:v>35.1</x:v>
      </x:c>
      <x:c r="E88" s="9" t="n">
        <x:v>0</x:v>
      </x:c>
      <x:c r="F88" s="9" t="n">
        <x:v>300</x:v>
      </x:c>
      <x:c r="G88" s="9" t="n">
        <x:v>35.1</x:v>
      </x:c>
      <x:c r="H88" s="9" t="n">
        <x:v>0</x:v>
      </x:c>
      <x:c r="I88" s="11" t="n">
        <x:f>SUM(F88:H88)</x:f>
        <x:v>335.1</x:v>
      </x:c>
      <x:c r="J88" s="11" t="n">
        <x:f>C88-F88</x:f>
        <x:v>7500</x:v>
      </x:c>
      <x:c r="K88" s="9" t="n">
        <x:v>0</x:v>
      </x:c>
      <x:c r="L88" s="9" t="n">
        <x:v>0</x:v>
      </x:c>
      <x:c r="M88" s="11" t="n">
        <x:f>SUM(J88:L88)</x:f>
        <x:v>7500</x:v>
      </x:c>
      <x:c r="N88" s="2" t="str">
        <x:v>Monatszahlung gemäß Zahlungsauftrag</x:v>
      </x:c>
    </x:row>
    <x:row r="89" ht="22" customHeight="1">
      <x:c r="A89" s="2" t="str">
        <x:v>APB-0007</x:v>
      </x:c>
      <x:c r="B89" s="2" t="str">
        <x:v>2026-09-30</x:v>
      </x:c>
      <x:c r="C89" s="9" t="n">
        <x:v>7500</x:v>
      </x:c>
      <x:c r="D89" s="9" t="n">
        <x:v>33.75</x:v>
      </x:c>
      <x:c r="E89" s="9" t="n">
        <x:v>0</x:v>
      </x:c>
      <x:c r="F89" s="9" t="n">
        <x:v>300</x:v>
      </x:c>
      <x:c r="G89" s="9" t="n">
        <x:v>33.75</x:v>
      </x:c>
      <x:c r="H89" s="9" t="n">
        <x:v>0</x:v>
      </x:c>
      <x:c r="I89" s="11" t="n">
        <x:f>SUM(F89:H89)</x:f>
        <x:v>333.75</x:v>
      </x:c>
      <x:c r="J89" s="11" t="n">
        <x:f>C89-F89</x:f>
        <x:v>7200</x:v>
      </x:c>
      <x:c r="K89" s="9" t="n">
        <x:v>0</x:v>
      </x:c>
      <x:c r="L89" s="9" t="n">
        <x:v>0</x:v>
      </x:c>
      <x:c r="M89" s="11" t="n">
        <x:f>SUM(J89:L89)</x:f>
        <x:v>7200</x:v>
      </x:c>
      <x:c r="N89" s="2" t="str">
        <x:v>Monatszahlung gemäß Zahlungsauftrag</x:v>
      </x:c>
    </x:row>
    <x:row r="90" ht="22" customHeight="1">
      <x:c r="A90" s="2" t="str">
        <x:v>APB-0008</x:v>
      </x:c>
      <x:c r="B90" s="2" t="str">
        <x:v>2025-10-31</x:v>
      </x:c>
      <x:c r="C90" s="9" t="n">
        <x:v>16200</x:v>
      </x:c>
      <x:c r="D90" s="9" t="n">
        <x:v>64.8</x:v>
      </x:c>
      <x:c r="E90" s="9" t="n">
        <x:v>0</x:v>
      </x:c>
      <x:c r="F90" s="9" t="n">
        <x:v>450</x:v>
      </x:c>
      <x:c r="G90" s="9" t="n">
        <x:v>64.8</x:v>
      </x:c>
      <x:c r="H90" s="9" t="n">
        <x:v>0</x:v>
      </x:c>
      <x:c r="I90" s="11" t="n">
        <x:f>SUM(F90:H90)</x:f>
        <x:v>514.8</x:v>
      </x:c>
      <x:c r="J90" s="11" t="n">
        <x:f>C90-F90</x:f>
        <x:v>15750</x:v>
      </x:c>
      <x:c r="K90" s="9" t="n">
        <x:v>0</x:v>
      </x:c>
      <x:c r="L90" s="9" t="n">
        <x:v>0</x:v>
      </x:c>
      <x:c r="M90" s="11" t="n">
        <x:f>SUM(J90:L90)</x:f>
        <x:v>15750</x:v>
      </x:c>
      <x:c r="N90" s="2" t="str">
        <x:v>Monatszahlung gemäß Zahlungsauftrag</x:v>
      </x:c>
    </x:row>
    <x:row r="91" ht="22" customHeight="1">
      <x:c r="A91" s="2" t="str">
        <x:v>APB-0008</x:v>
      </x:c>
      <x:c r="B91" s="2" t="str">
        <x:v>2025-11-30</x:v>
      </x:c>
      <x:c r="C91" s="9" t="n">
        <x:v>15750</x:v>
      </x:c>
      <x:c r="D91" s="9" t="n">
        <x:v>63</x:v>
      </x:c>
      <x:c r="E91" s="9" t="n">
        <x:v>0</x:v>
      </x:c>
      <x:c r="F91" s="9" t="n">
        <x:v>450</x:v>
      </x:c>
      <x:c r="G91" s="9" t="n">
        <x:v>63</x:v>
      </x:c>
      <x:c r="H91" s="9" t="n">
        <x:v>0</x:v>
      </x:c>
      <x:c r="I91" s="11" t="n">
        <x:f>SUM(F91:H91)</x:f>
        <x:v>513</x:v>
      </x:c>
      <x:c r="J91" s="11" t="n">
        <x:f>C91-F91</x:f>
        <x:v>15300</x:v>
      </x:c>
      <x:c r="K91" s="9" t="n">
        <x:v>0</x:v>
      </x:c>
      <x:c r="L91" s="9" t="n">
        <x:v>0</x:v>
      </x:c>
      <x:c r="M91" s="11" t="n">
        <x:f>SUM(J91:L91)</x:f>
        <x:v>15300</x:v>
      </x:c>
      <x:c r="N91" s="2" t="str">
        <x:v>Monatszahlung gemäß Zahlungsauftrag</x:v>
      </x:c>
    </x:row>
    <x:row r="92" ht="22" customHeight="1">
      <x:c r="A92" s="2" t="str">
        <x:v>APB-0008</x:v>
      </x:c>
      <x:c r="B92" s="2" t="str">
        <x:v>2025-12-31</x:v>
      </x:c>
      <x:c r="C92" s="9" t="n">
        <x:v>15300</x:v>
      </x:c>
      <x:c r="D92" s="9" t="n">
        <x:v>61.2</x:v>
      </x:c>
      <x:c r="E92" s="9" t="n">
        <x:v>0</x:v>
      </x:c>
      <x:c r="F92" s="9" t="n">
        <x:v>450</x:v>
      </x:c>
      <x:c r="G92" s="9" t="n">
        <x:v>61.2</x:v>
      </x:c>
      <x:c r="H92" s="9" t="n">
        <x:v>0</x:v>
      </x:c>
      <x:c r="I92" s="11" t="n">
        <x:f>SUM(F92:H92)</x:f>
        <x:v>511.2</x:v>
      </x:c>
      <x:c r="J92" s="11" t="n">
        <x:f>C92-F92</x:f>
        <x:v>14850</x:v>
      </x:c>
      <x:c r="K92" s="9" t="n">
        <x:v>0</x:v>
      </x:c>
      <x:c r="L92" s="9" t="n">
        <x:v>0</x:v>
      </x:c>
      <x:c r="M92" s="11" t="n">
        <x:f>SUM(J92:L92)</x:f>
        <x:v>14850</x:v>
      </x:c>
      <x:c r="N92" s="2" t="str">
        <x:v>Monatszahlung gemäß Zahlungsauftrag</x:v>
      </x:c>
    </x:row>
    <x:row r="93" ht="22" customHeight="1">
      <x:c r="A93" s="2" t="str">
        <x:v>APB-0008</x:v>
      </x:c>
      <x:c r="B93" s="2" t="str">
        <x:v>2026-01-31</x:v>
      </x:c>
      <x:c r="C93" s="9" t="n">
        <x:v>14850</x:v>
      </x:c>
      <x:c r="D93" s="9" t="n">
        <x:v>59.4</x:v>
      </x:c>
      <x:c r="E93" s="9" t="n">
        <x:v>0</x:v>
      </x:c>
      <x:c r="F93" s="9" t="n">
        <x:v>450</x:v>
      </x:c>
      <x:c r="G93" s="9" t="n">
        <x:v>59.4</x:v>
      </x:c>
      <x:c r="H93" s="9" t="n">
        <x:v>0</x:v>
      </x:c>
      <x:c r="I93" s="11" t="n">
        <x:f>SUM(F93:H93)</x:f>
        <x:v>509.4</x:v>
      </x:c>
      <x:c r="J93" s="11" t="n">
        <x:f>C93-F93</x:f>
        <x:v>14400</x:v>
      </x:c>
      <x:c r="K93" s="9" t="n">
        <x:v>0</x:v>
      </x:c>
      <x:c r="L93" s="9" t="n">
        <x:v>0</x:v>
      </x:c>
      <x:c r="M93" s="11" t="n">
        <x:f>SUM(J93:L93)</x:f>
        <x:v>14400</x:v>
      </x:c>
      <x:c r="N93" s="2" t="str">
        <x:v>Monatszahlung gemäß Zahlungsauftrag</x:v>
      </x:c>
    </x:row>
    <x:row r="94" ht="22" customHeight="1">
      <x:c r="A94" s="2" t="str">
        <x:v>APB-0008</x:v>
      </x:c>
      <x:c r="B94" s="2" t="str">
        <x:v>2026-02-28</x:v>
      </x:c>
      <x:c r="C94" s="9" t="n">
        <x:v>14400</x:v>
      </x:c>
      <x:c r="D94" s="9" t="n">
        <x:v>57.6</x:v>
      </x:c>
      <x:c r="E94" s="9" t="n">
        <x:v>0</x:v>
      </x:c>
      <x:c r="F94" s="9" t="n">
        <x:v>450</x:v>
      </x:c>
      <x:c r="G94" s="9" t="n">
        <x:v>57.6</x:v>
      </x:c>
      <x:c r="H94" s="9" t="n">
        <x:v>0</x:v>
      </x:c>
      <x:c r="I94" s="11" t="n">
        <x:f>SUM(F94:H94)</x:f>
        <x:v>507.6</x:v>
      </x:c>
      <x:c r="J94" s="11" t="n">
        <x:f>C94-F94</x:f>
        <x:v>13950</x:v>
      </x:c>
      <x:c r="K94" s="9" t="n">
        <x:v>0</x:v>
      </x:c>
      <x:c r="L94" s="9" t="n">
        <x:v>0</x:v>
      </x:c>
      <x:c r="M94" s="11" t="n">
        <x:f>SUM(J94:L94)</x:f>
        <x:v>13950</x:v>
      </x:c>
      <x:c r="N94" s="2" t="str">
        <x:v>Monatszahlung gemäß Zahlungsauftrag</x:v>
      </x:c>
    </x:row>
    <x:row r="95" ht="22" customHeight="1">
      <x:c r="A95" s="2" t="str">
        <x:v>APB-0008</x:v>
      </x:c>
      <x:c r="B95" s="2" t="str">
        <x:v>2026-03-31</x:v>
      </x:c>
      <x:c r="C95" s="9" t="n">
        <x:v>13950</x:v>
      </x:c>
      <x:c r="D95" s="9" t="n">
        <x:v>55.8</x:v>
      </x:c>
      <x:c r="E95" s="9" t="n">
        <x:v>0</x:v>
      </x:c>
      <x:c r="F95" s="9" t="n">
        <x:v>450</x:v>
      </x:c>
      <x:c r="G95" s="9" t="n">
        <x:v>55.8</x:v>
      </x:c>
      <x:c r="H95" s="9" t="n">
        <x:v>0</x:v>
      </x:c>
      <x:c r="I95" s="11" t="n">
        <x:f>SUM(F95:H95)</x:f>
        <x:v>505.8</x:v>
      </x:c>
      <x:c r="J95" s="11" t="n">
        <x:f>C95-F95</x:f>
        <x:v>13500</x:v>
      </x:c>
      <x:c r="K95" s="9" t="n">
        <x:v>0</x:v>
      </x:c>
      <x:c r="L95" s="9" t="n">
        <x:v>0</x:v>
      </x:c>
      <x:c r="M95" s="11" t="n">
        <x:f>SUM(J95:L95)</x:f>
        <x:v>13500</x:v>
      </x:c>
      <x:c r="N95" s="2" t="str">
        <x:v>Monatszahlung gemäß Zahlungsauftrag</x:v>
      </x:c>
    </x:row>
    <x:row r="96" ht="22" customHeight="1">
      <x:c r="A96" s="2" t="str">
        <x:v>APB-0008</x:v>
      </x:c>
      <x:c r="B96" s="2" t="str">
        <x:v>2026-04-30</x:v>
      </x:c>
      <x:c r="C96" s="9" t="n">
        <x:v>13500</x:v>
      </x:c>
      <x:c r="D96" s="9" t="n">
        <x:v>54</x:v>
      </x:c>
      <x:c r="E96" s="9" t="n">
        <x:v>0</x:v>
      </x:c>
      <x:c r="F96" s="9" t="n">
        <x:v>450</x:v>
      </x:c>
      <x:c r="G96" s="9" t="n">
        <x:v>54</x:v>
      </x:c>
      <x:c r="H96" s="9" t="n">
        <x:v>0</x:v>
      </x:c>
      <x:c r="I96" s="11" t="n">
        <x:f>SUM(F96:H96)</x:f>
        <x:v>504</x:v>
      </x:c>
      <x:c r="J96" s="11" t="n">
        <x:f>C96-F96</x:f>
        <x:v>13050</x:v>
      </x:c>
      <x:c r="K96" s="9" t="n">
        <x:v>0</x:v>
      </x:c>
      <x:c r="L96" s="9" t="n">
        <x:v>0</x:v>
      </x:c>
      <x:c r="M96" s="11" t="n">
        <x:f>SUM(J96:L96)</x:f>
        <x:v>13050</x:v>
      </x:c>
      <x:c r="N96" s="2" t="str">
        <x:v>Monatszahlung gemäß Zahlungsauftrag</x:v>
      </x:c>
    </x:row>
    <x:row r="97" ht="22" customHeight="1">
      <x:c r="A97" s="2" t="str">
        <x:v>APB-0008</x:v>
      </x:c>
      <x:c r="B97" s="2" t="str">
        <x:v>2026-05-31</x:v>
      </x:c>
      <x:c r="C97" s="9" t="n">
        <x:v>13050</x:v>
      </x:c>
      <x:c r="D97" s="9" t="n">
        <x:v>52.2</x:v>
      </x:c>
      <x:c r="E97" s="9" t="n">
        <x:v>0</x:v>
      </x:c>
      <x:c r="F97" s="9" t="n">
        <x:v>450</x:v>
      </x:c>
      <x:c r="G97" s="9" t="n">
        <x:v>52.2</x:v>
      </x:c>
      <x:c r="H97" s="9" t="n">
        <x:v>0</x:v>
      </x:c>
      <x:c r="I97" s="11" t="n">
        <x:f>SUM(F97:H97)</x:f>
        <x:v>502.2</x:v>
      </x:c>
      <x:c r="J97" s="11" t="n">
        <x:f>C97-F97</x:f>
        <x:v>12600</x:v>
      </x:c>
      <x:c r="K97" s="9" t="n">
        <x:v>0</x:v>
      </x:c>
      <x:c r="L97" s="9" t="n">
        <x:v>0</x:v>
      </x:c>
      <x:c r="M97" s="11" t="n">
        <x:f>SUM(J97:L97)</x:f>
        <x:v>12600</x:v>
      </x:c>
      <x:c r="N97" s="2" t="str">
        <x:v>Monatszahlung gemäß Zahlungsauftrag</x:v>
      </x:c>
    </x:row>
    <x:row r="98" ht="22" customHeight="1">
      <x:c r="A98" s="2" t="str">
        <x:v>APB-0008</x:v>
      </x:c>
      <x:c r="B98" s="2" t="str">
        <x:v>2026-06-30</x:v>
      </x:c>
      <x:c r="C98" s="9" t="n">
        <x:v>12600</x:v>
      </x:c>
      <x:c r="D98" s="9" t="n">
        <x:v>50.4</x:v>
      </x:c>
      <x:c r="E98" s="9" t="n">
        <x:v>0</x:v>
      </x:c>
      <x:c r="F98" s="9" t="n">
        <x:v>450</x:v>
      </x:c>
      <x:c r="G98" s="9" t="n">
        <x:v>50.4</x:v>
      </x:c>
      <x:c r="H98" s="9" t="n">
        <x:v>0</x:v>
      </x:c>
      <x:c r="I98" s="11" t="n">
        <x:f>SUM(F98:H98)</x:f>
        <x:v>500.4</x:v>
      </x:c>
      <x:c r="J98" s="11" t="n">
        <x:f>C98-F98</x:f>
        <x:v>12150</x:v>
      </x:c>
      <x:c r="K98" s="9" t="n">
        <x:v>0</x:v>
      </x:c>
      <x:c r="L98" s="9" t="n">
        <x:v>0</x:v>
      </x:c>
      <x:c r="M98" s="11" t="n">
        <x:f>SUM(J98:L98)</x:f>
        <x:v>12150</x:v>
      </x:c>
      <x:c r="N98" s="2" t="str">
        <x:v>Monatszahlung gemäß Zahlungsauftrag</x:v>
      </x:c>
    </x:row>
    <x:row r="99" ht="22" customHeight="1">
      <x:c r="A99" s="2" t="str">
        <x:v>APB-0008</x:v>
      </x:c>
      <x:c r="B99" s="2" t="str">
        <x:v>2026-07-31</x:v>
      </x:c>
      <x:c r="C99" s="9" t="n">
        <x:v>12150</x:v>
      </x:c>
      <x:c r="D99" s="9" t="n">
        <x:v>48.6</x:v>
      </x:c>
      <x:c r="E99" s="9" t="n">
        <x:v>0</x:v>
      </x:c>
      <x:c r="F99" s="9" t="n">
        <x:v>450</x:v>
      </x:c>
      <x:c r="G99" s="9" t="n">
        <x:v>48.6</x:v>
      </x:c>
      <x:c r="H99" s="9" t="n">
        <x:v>0</x:v>
      </x:c>
      <x:c r="I99" s="11" t="n">
        <x:f>SUM(F99:H99)</x:f>
        <x:v>498.6</x:v>
      </x:c>
      <x:c r="J99" s="11" t="n">
        <x:f>C99-F99</x:f>
        <x:v>11700</x:v>
      </x:c>
      <x:c r="K99" s="9" t="n">
        <x:v>0</x:v>
      </x:c>
      <x:c r="L99" s="9" t="n">
        <x:v>0</x:v>
      </x:c>
      <x:c r="M99" s="11" t="n">
        <x:f>SUM(J99:L99)</x:f>
        <x:v>11700</x:v>
      </x:c>
      <x:c r="N99" s="2" t="str">
        <x:v>Monatszahlung gemäß Zahlungsauftrag</x:v>
      </x:c>
    </x:row>
    <x:row r="100" ht="22" customHeight="1">
      <x:c r="A100" s="2" t="str">
        <x:v>APB-0008</x:v>
      </x:c>
      <x:c r="B100" s="2" t="str">
        <x:v>2026-08-31</x:v>
      </x:c>
      <x:c r="C100" s="9" t="n">
        <x:v>11700</x:v>
      </x:c>
      <x:c r="D100" s="9" t="n">
        <x:v>46.8</x:v>
      </x:c>
      <x:c r="E100" s="9" t="n">
        <x:v>0</x:v>
      </x:c>
      <x:c r="F100" s="9" t="n">
        <x:v>450</x:v>
      </x:c>
      <x:c r="G100" s="9" t="n">
        <x:v>46.8</x:v>
      </x:c>
      <x:c r="H100" s="9" t="n">
        <x:v>0</x:v>
      </x:c>
      <x:c r="I100" s="11" t="n">
        <x:f>SUM(F100:H100)</x:f>
        <x:v>496.8</x:v>
      </x:c>
      <x:c r="J100" s="11" t="n">
        <x:f>C100-F100</x:f>
        <x:v>11250</x:v>
      </x:c>
      <x:c r="K100" s="9" t="n">
        <x:v>0</x:v>
      </x:c>
      <x:c r="L100" s="9" t="n">
        <x:v>0</x:v>
      </x:c>
      <x:c r="M100" s="11" t="n">
        <x:f>SUM(J100:L100)</x:f>
        <x:v>11250</x:v>
      </x:c>
      <x:c r="N100" s="2" t="str">
        <x:v>Monatszahlung gemäß Zahlungsauftrag</x:v>
      </x:c>
    </x:row>
    <x:row r="101" ht="22" customHeight="1">
      <x:c r="A101" s="2" t="str">
        <x:v>APB-0008</x:v>
      </x:c>
      <x:c r="B101" s="2" t="str">
        <x:v>2026-09-30</x:v>
      </x:c>
      <x:c r="C101" s="9" t="n">
        <x:v>11250</x:v>
      </x:c>
      <x:c r="D101" s="9" t="n">
        <x:v>45</x:v>
      </x:c>
      <x:c r="E101" s="9" t="n">
        <x:v>0</x:v>
      </x:c>
      <x:c r="F101" s="9" t="n">
        <x:v>450</x:v>
      </x:c>
      <x:c r="G101" s="9" t="n">
        <x:v>45</x:v>
      </x:c>
      <x:c r="H101" s="9" t="n">
        <x:v>0</x:v>
      </x:c>
      <x:c r="I101" s="11" t="n">
        <x:f>SUM(F101:H101)</x:f>
        <x:v>495</x:v>
      </x:c>
      <x:c r="J101" s="11" t="n">
        <x:f>C101-F101</x:f>
        <x:v>10800</x:v>
      </x:c>
      <x:c r="K101" s="9" t="n">
        <x:v>0</x:v>
      </x:c>
      <x:c r="L101" s="9" t="n">
        <x:v>0</x:v>
      </x:c>
      <x:c r="M101" s="11" t="n">
        <x:f>SUM(J101:L101)</x:f>
        <x:v>10800</x:v>
      </x:c>
      <x:c r="N101" s="2" t="str">
        <x:v>Monatszahlung gemäß Zahlungsauftrag</x:v>
      </x:c>
    </x:row>
    <x:row r="102" ht="22" customHeight="1">
      <x:c r="A102" s="2" t="str">
        <x:v>APB-0009</x:v>
      </x:c>
      <x:c r="B102" s="2" t="str">
        <x:v>2025-10-31</x:v>
      </x:c>
      <x:c r="C102" s="9" t="n">
        <x:v>14400</x:v>
      </x:c>
      <x:c r="D102" s="9" t="n">
        <x:v>72</x:v>
      </x:c>
      <x:c r="E102" s="9" t="n">
        <x:v>0</x:v>
      </x:c>
      <x:c r="F102" s="9" t="n">
        <x:v>400</x:v>
      </x:c>
      <x:c r="G102" s="9" t="n">
        <x:v>72</x:v>
      </x:c>
      <x:c r="H102" s="9" t="n">
        <x:v>0</x:v>
      </x:c>
      <x:c r="I102" s="11" t="n">
        <x:f>SUM(F102:H102)</x:f>
        <x:v>472</x:v>
      </x:c>
      <x:c r="J102" s="11" t="n">
        <x:f>C102-F102</x:f>
        <x:v>14000</x:v>
      </x:c>
      <x:c r="K102" s="9" t="n">
        <x:v>0</x:v>
      </x:c>
      <x:c r="L102" s="9" t="n">
        <x:v>0</x:v>
      </x:c>
      <x:c r="M102" s="11" t="n">
        <x:f>SUM(J102:L102)</x:f>
        <x:v>14000</x:v>
      </x:c>
      <x:c r="N102" s="2" t="str">
        <x:v>Monatszahlung gemäß Zahlungsauftrag</x:v>
      </x:c>
    </x:row>
    <x:row r="103" ht="22" customHeight="1">
      <x:c r="A103" s="2" t="str">
        <x:v>APB-0009</x:v>
      </x:c>
      <x:c r="B103" s="2" t="str">
        <x:v>2025-11-30</x:v>
      </x:c>
      <x:c r="C103" s="9" t="n">
        <x:v>14000</x:v>
      </x:c>
      <x:c r="D103" s="9" t="n">
        <x:v>70</x:v>
      </x:c>
      <x:c r="E103" s="9" t="n">
        <x:v>0</x:v>
      </x:c>
      <x:c r="F103" s="9" t="n">
        <x:v>400</x:v>
      </x:c>
      <x:c r="G103" s="9" t="n">
        <x:v>70</x:v>
      </x:c>
      <x:c r="H103" s="9" t="n">
        <x:v>0</x:v>
      </x:c>
      <x:c r="I103" s="11" t="n">
        <x:f>SUM(F103:H103)</x:f>
        <x:v>470</x:v>
      </x:c>
      <x:c r="J103" s="11" t="n">
        <x:f>C103-F103</x:f>
        <x:v>13600</x:v>
      </x:c>
      <x:c r="K103" s="9" t="n">
        <x:v>0</x:v>
      </x:c>
      <x:c r="L103" s="9" t="n">
        <x:v>0</x:v>
      </x:c>
      <x:c r="M103" s="11" t="n">
        <x:f>SUM(J103:L103)</x:f>
        <x:v>13600</x:v>
      </x:c>
      <x:c r="N103" s="2" t="str">
        <x:v>Monatszahlung gemäß Zahlungsauftrag</x:v>
      </x:c>
    </x:row>
    <x:row r="104" ht="22" customHeight="1">
      <x:c r="A104" s="2" t="str">
        <x:v>APB-0009</x:v>
      </x:c>
      <x:c r="B104" s="2" t="str">
        <x:v>2025-12-31</x:v>
      </x:c>
      <x:c r="C104" s="9" t="n">
        <x:v>13600</x:v>
      </x:c>
      <x:c r="D104" s="9" t="n">
        <x:v>68</x:v>
      </x:c>
      <x:c r="E104" s="9" t="n">
        <x:v>0</x:v>
      </x:c>
      <x:c r="F104" s="9" t="n">
        <x:v>400</x:v>
      </x:c>
      <x:c r="G104" s="9" t="n">
        <x:v>68</x:v>
      </x:c>
      <x:c r="H104" s="9" t="n">
        <x:v>0</x:v>
      </x:c>
      <x:c r="I104" s="11" t="n">
        <x:f>SUM(F104:H104)</x:f>
        <x:v>468</x:v>
      </x:c>
      <x:c r="J104" s="11" t="n">
        <x:f>C104-F104</x:f>
        <x:v>13200</x:v>
      </x:c>
      <x:c r="K104" s="9" t="n">
        <x:v>0</x:v>
      </x:c>
      <x:c r="L104" s="9" t="n">
        <x:v>0</x:v>
      </x:c>
      <x:c r="M104" s="11" t="n">
        <x:f>SUM(J104:L104)</x:f>
        <x:v>13200</x:v>
      </x:c>
      <x:c r="N104" s="2" t="str">
        <x:v>Monatszahlung gemäß Zahlungsauftrag</x:v>
      </x:c>
    </x:row>
    <x:row r="105" ht="22" customHeight="1">
      <x:c r="A105" s="2" t="str">
        <x:v>APB-0009</x:v>
      </x:c>
      <x:c r="B105" s="2" t="str">
        <x:v>2026-01-31</x:v>
      </x:c>
      <x:c r="C105" s="9" t="n">
        <x:v>13200</x:v>
      </x:c>
      <x:c r="D105" s="9" t="n">
        <x:v>66</x:v>
      </x:c>
      <x:c r="E105" s="9" t="n">
        <x:v>0</x:v>
      </x:c>
      <x:c r="F105" s="9" t="n">
        <x:v>400</x:v>
      </x:c>
      <x:c r="G105" s="9" t="n">
        <x:v>66</x:v>
      </x:c>
      <x:c r="H105" s="9" t="n">
        <x:v>0</x:v>
      </x:c>
      <x:c r="I105" s="11" t="n">
        <x:f>SUM(F105:H105)</x:f>
        <x:v>466</x:v>
      </x:c>
      <x:c r="J105" s="11" t="n">
        <x:f>C105-F105</x:f>
        <x:v>12800</x:v>
      </x:c>
      <x:c r="K105" s="9" t="n">
        <x:v>0</x:v>
      </x:c>
      <x:c r="L105" s="9" t="n">
        <x:v>0</x:v>
      </x:c>
      <x:c r="M105" s="11" t="n">
        <x:f>SUM(J105:L105)</x:f>
        <x:v>12800</x:v>
      </x:c>
      <x:c r="N105" s="2" t="str">
        <x:v>Monatszahlung gemäß Zahlungsauftrag</x:v>
      </x:c>
    </x:row>
    <x:row r="106" ht="22" customHeight="1">
      <x:c r="A106" s="2" t="str">
        <x:v>APB-0009</x:v>
      </x:c>
      <x:c r="B106" s="2" t="str">
        <x:v>2026-02-28</x:v>
      </x:c>
      <x:c r="C106" s="9" t="n">
        <x:v>12800</x:v>
      </x:c>
      <x:c r="D106" s="9" t="n">
        <x:v>64</x:v>
      </x:c>
      <x:c r="E106" s="9" t="n">
        <x:v>0</x:v>
      </x:c>
      <x:c r="F106" s="9" t="n">
        <x:v>400</x:v>
      </x:c>
      <x:c r="G106" s="9" t="n">
        <x:v>64</x:v>
      </x:c>
      <x:c r="H106" s="9" t="n">
        <x:v>0</x:v>
      </x:c>
      <x:c r="I106" s="11" t="n">
        <x:f>SUM(F106:H106)</x:f>
        <x:v>464</x:v>
      </x:c>
      <x:c r="J106" s="11" t="n">
        <x:f>C106-F106</x:f>
        <x:v>12400</x:v>
      </x:c>
      <x:c r="K106" s="9" t="n">
        <x:v>0</x:v>
      </x:c>
      <x:c r="L106" s="9" t="n">
        <x:v>0</x:v>
      </x:c>
      <x:c r="M106" s="11" t="n">
        <x:f>SUM(J106:L106)</x:f>
        <x:v>12400</x:v>
      </x:c>
      <x:c r="N106" s="2" t="str">
        <x:v>Monatszahlung gemäß Zahlungsauftrag</x:v>
      </x:c>
    </x:row>
    <x:row r="107" ht="22" customHeight="1">
      <x:c r="A107" s="2" t="str">
        <x:v>APB-0009</x:v>
      </x:c>
      <x:c r="B107" s="2" t="str">
        <x:v>2026-03-31</x:v>
      </x:c>
      <x:c r="C107" s="9" t="n">
        <x:v>12400</x:v>
      </x:c>
      <x:c r="D107" s="9" t="n">
        <x:v>62</x:v>
      </x:c>
      <x:c r="E107" s="9" t="n">
        <x:v>0</x:v>
      </x:c>
      <x:c r="F107" s="9" t="n">
        <x:v>400</x:v>
      </x:c>
      <x:c r="G107" s="9" t="n">
        <x:v>62</x:v>
      </x:c>
      <x:c r="H107" s="9" t="n">
        <x:v>0</x:v>
      </x:c>
      <x:c r="I107" s="11" t="n">
        <x:f>SUM(F107:H107)</x:f>
        <x:v>462</x:v>
      </x:c>
      <x:c r="J107" s="11" t="n">
        <x:f>C107-F107</x:f>
        <x:v>12000</x:v>
      </x:c>
      <x:c r="K107" s="9" t="n">
        <x:v>0</x:v>
      </x:c>
      <x:c r="L107" s="9" t="n">
        <x:v>0</x:v>
      </x:c>
      <x:c r="M107" s="11" t="n">
        <x:f>SUM(J107:L107)</x:f>
        <x:v>12000</x:v>
      </x:c>
      <x:c r="N107" s="2" t="str">
        <x:v>Monatszahlung gemäß Zahlungsauftrag</x:v>
      </x:c>
    </x:row>
    <x:row r="108" ht="22" customHeight="1">
      <x:c r="A108" s="2" t="str">
        <x:v>APB-0009</x:v>
      </x:c>
      <x:c r="B108" s="2" t="str">
        <x:v>2026-04-30</x:v>
      </x:c>
      <x:c r="C108" s="9" t="n">
        <x:v>12000</x:v>
      </x:c>
      <x:c r="D108" s="9" t="n">
        <x:v>60</x:v>
      </x:c>
      <x:c r="E108" s="9" t="n">
        <x:v>0</x:v>
      </x:c>
      <x:c r="F108" s="9" t="n">
        <x:v>400</x:v>
      </x:c>
      <x:c r="G108" s="9" t="n">
        <x:v>60</x:v>
      </x:c>
      <x:c r="H108" s="9" t="n">
        <x:v>0</x:v>
      </x:c>
      <x:c r="I108" s="11" t="n">
        <x:f>SUM(F108:H108)</x:f>
        <x:v>460</x:v>
      </x:c>
      <x:c r="J108" s="11" t="n">
        <x:f>C108-F108</x:f>
        <x:v>11600</x:v>
      </x:c>
      <x:c r="K108" s="9" t="n">
        <x:v>0</x:v>
      </x:c>
      <x:c r="L108" s="9" t="n">
        <x:v>0</x:v>
      </x:c>
      <x:c r="M108" s="11" t="n">
        <x:f>SUM(J108:L108)</x:f>
        <x:v>11600</x:v>
      </x:c>
      <x:c r="N108" s="2" t="str">
        <x:v>Monatszahlung gemäß Zahlungsauftrag</x:v>
      </x:c>
    </x:row>
    <x:row r="109" ht="22" customHeight="1">
      <x:c r="A109" s="2" t="str">
        <x:v>APB-0009</x:v>
      </x:c>
      <x:c r="B109" s="2" t="str">
        <x:v>2026-05-31</x:v>
      </x:c>
      <x:c r="C109" s="9" t="n">
        <x:v>11600</x:v>
      </x:c>
      <x:c r="D109" s="9" t="n">
        <x:v>58</x:v>
      </x:c>
      <x:c r="E109" s="9" t="n">
        <x:v>0</x:v>
      </x:c>
      <x:c r="F109" s="9" t="n">
        <x:v>400</x:v>
      </x:c>
      <x:c r="G109" s="9" t="n">
        <x:v>58</x:v>
      </x:c>
      <x:c r="H109" s="9" t="n">
        <x:v>0</x:v>
      </x:c>
      <x:c r="I109" s="11" t="n">
        <x:f>SUM(F109:H109)</x:f>
        <x:v>458</x:v>
      </x:c>
      <x:c r="J109" s="11" t="n">
        <x:f>C109-F109</x:f>
        <x:v>11200</x:v>
      </x:c>
      <x:c r="K109" s="9" t="n">
        <x:v>0</x:v>
      </x:c>
      <x:c r="L109" s="9" t="n">
        <x:v>0</x:v>
      </x:c>
      <x:c r="M109" s="11" t="n">
        <x:f>SUM(J109:L109)</x:f>
        <x:v>11200</x:v>
      </x:c>
      <x:c r="N109" s="2" t="str">
        <x:v>Monatszahlung gemäß Zahlungsauftrag</x:v>
      </x:c>
    </x:row>
    <x:row r="110" ht="22" customHeight="1">
      <x:c r="A110" s="2" t="str">
        <x:v>APB-0009</x:v>
      </x:c>
      <x:c r="B110" s="2" t="str">
        <x:v>2026-06-30</x:v>
      </x:c>
      <x:c r="C110" s="9" t="n">
        <x:v>11200</x:v>
      </x:c>
      <x:c r="D110" s="9" t="n">
        <x:v>56</x:v>
      </x:c>
      <x:c r="E110" s="9" t="n">
        <x:v>0</x:v>
      </x:c>
      <x:c r="F110" s="9" t="n">
        <x:v>400</x:v>
      </x:c>
      <x:c r="G110" s="9" t="n">
        <x:v>56</x:v>
      </x:c>
      <x:c r="H110" s="9" t="n">
        <x:v>0</x:v>
      </x:c>
      <x:c r="I110" s="11" t="n">
        <x:f>SUM(F110:H110)</x:f>
        <x:v>456</x:v>
      </x:c>
      <x:c r="J110" s="11" t="n">
        <x:f>C110-F110</x:f>
        <x:v>10800</x:v>
      </x:c>
      <x:c r="K110" s="9" t="n">
        <x:v>0</x:v>
      </x:c>
      <x:c r="L110" s="9" t="n">
        <x:v>0</x:v>
      </x:c>
      <x:c r="M110" s="11" t="n">
        <x:f>SUM(J110:L110)</x:f>
        <x:v>10800</x:v>
      </x:c>
      <x:c r="N110" s="2" t="str">
        <x:v>Monatszahlung gemäß Zahlungsauftrag</x:v>
      </x:c>
    </x:row>
    <x:row r="111" ht="22" customHeight="1">
      <x:c r="A111" s="2" t="str">
        <x:v>APB-0009</x:v>
      </x:c>
      <x:c r="B111" s="2" t="str">
        <x:v>2026-07-31</x:v>
      </x:c>
      <x:c r="C111" s="9" t="n">
        <x:v>10800</x:v>
      </x:c>
      <x:c r="D111" s="9" t="n">
        <x:v>54</x:v>
      </x:c>
      <x:c r="E111" s="9" t="n">
        <x:v>25</x:v>
      </x:c>
      <x:c r="F111" s="9" t="n">
        <x:v>400</x:v>
      </x:c>
      <x:c r="G111" s="9" t="n">
        <x:v>54</x:v>
      </x:c>
      <x:c r="H111" s="9" t="n">
        <x:v>0</x:v>
      </x:c>
      <x:c r="I111" s="11" t="n">
        <x:f>SUM(F111:H111)</x:f>
        <x:v>454</x:v>
      </x:c>
      <x:c r="J111" s="11" t="n">
        <x:f>C111-F111</x:f>
        <x:v>10400</x:v>
      </x:c>
      <x:c r="K111" s="9" t="n">
        <x:v>0</x:v>
      </x:c>
      <x:c r="L111" s="9" t="n">
        <x:v>25</x:v>
      </x:c>
      <x:c r="M111" s="11" t="n">
        <x:f>SUM(J111:L111)</x:f>
        <x:v>10425</x:v>
      </x:c>
      <x:c r="N111" s="2" t="str">
        <x:v>Monatszahlung gemäß Zahlungsauftrag</x:v>
      </x:c>
    </x:row>
    <x:row r="112" ht="22" customHeight="1">
      <x:c r="A112" s="2" t="str">
        <x:v>APB-0009</x:v>
      </x:c>
      <x:c r="B112" s="2" t="str">
        <x:v>2026-08-31</x:v>
      </x:c>
      <x:c r="C112" s="9" t="n">
        <x:v>10400</x:v>
      </x:c>
      <x:c r="D112" s="9" t="n">
        <x:v>52</x:v>
      </x:c>
      <x:c r="E112" s="9" t="n">
        <x:v>0</x:v>
      </x:c>
      <x:c r="F112" s="9" t="n">
        <x:v>400</x:v>
      </x:c>
      <x:c r="G112" s="9" t="n">
        <x:v>52</x:v>
      </x:c>
      <x:c r="H112" s="9" t="n">
        <x:v>0</x:v>
      </x:c>
      <x:c r="I112" s="11" t="n">
        <x:f>SUM(F112:H112)</x:f>
        <x:v>452</x:v>
      </x:c>
      <x:c r="J112" s="11" t="n">
        <x:f>C112-F112</x:f>
        <x:v>10000</x:v>
      </x:c>
      <x:c r="K112" s="9" t="n">
        <x:v>0</x:v>
      </x:c>
      <x:c r="L112" s="9" t="n">
        <x:v>25</x:v>
      </x:c>
      <x:c r="M112" s="11" t="n">
        <x:f>SUM(J112:L112)</x:f>
        <x:v>10025</x:v>
      </x:c>
      <x:c r="N112" s="2" t="str">
        <x:v>Monatszahlung gemäß Zahlungsauftrag</x:v>
      </x:c>
    </x:row>
    <x:row r="113" ht="22" customHeight="1">
      <x:c r="A113" s="2" t="str">
        <x:v>APB-0009</x:v>
      </x:c>
      <x:c r="B113" s="2" t="str">
        <x:v>2026-09-30</x:v>
      </x:c>
      <x:c r="C113" s="9" t="n">
        <x:v>10000</x:v>
      </x:c>
      <x:c r="D113" s="9" t="n">
        <x:v>50</x:v>
      </x:c>
      <x:c r="E113" s="9" t="n">
        <x:v>0</x:v>
      </x:c>
      <x:c r="F113" s="9" t="n">
        <x:v>400</x:v>
      </x:c>
      <x:c r="G113" s="9" t="n">
        <x:v>50</x:v>
      </x:c>
      <x:c r="H113" s="9" t="n">
        <x:v>0</x:v>
      </x:c>
      <x:c r="I113" s="11" t="n">
        <x:f>SUM(F113:H113)</x:f>
        <x:v>450</x:v>
      </x:c>
      <x:c r="J113" s="11" t="n">
        <x:f>C113-F113</x:f>
        <x:v>9600</x:v>
      </x:c>
      <x:c r="K113" s="9" t="n">
        <x:v>0</x:v>
      </x:c>
      <x:c r="L113" s="9" t="n">
        <x:v>25</x:v>
      </x:c>
      <x:c r="M113" s="11" t="n">
        <x:f>SUM(J113:L113)</x:f>
        <x:v>9625</x:v>
      </x:c>
      <x:c r="N113" s="2" t="str">
        <x:v>Monatszahlung gemäß Zahlungsauftrag</x:v>
      </x:c>
    </x:row>
    <x:row r="114" ht="22" customHeight="1">
      <x:c r="A114" s="2" t="str">
        <x:v>APB-0010</x:v>
      </x:c>
      <x:c r="B114" s="2" t="str">
        <x:v>2025-10-31</x:v>
      </x:c>
      <x:c r="C114" s="9" t="n">
        <x:v>21600</x:v>
      </x:c>
      <x:c r="D114" s="9" t="n">
        <x:v>75.6</x:v>
      </x:c>
      <x:c r="E114" s="9" t="n">
        <x:v>0</x:v>
      </x:c>
      <x:c r="F114" s="9" t="n">
        <x:v>600</x:v>
      </x:c>
      <x:c r="G114" s="9" t="n">
        <x:v>75.6</x:v>
      </x:c>
      <x:c r="H114" s="9" t="n">
        <x:v>0</x:v>
      </x:c>
      <x:c r="I114" s="11" t="n">
        <x:f>SUM(F114:H114)</x:f>
        <x:v>675.6</x:v>
      </x:c>
      <x:c r="J114" s="11" t="n">
        <x:f>C114-F114</x:f>
        <x:v>21000</x:v>
      </x:c>
      <x:c r="K114" s="9" t="n">
        <x:v>0</x:v>
      </x:c>
      <x:c r="L114" s="9" t="n">
        <x:v>0</x:v>
      </x:c>
      <x:c r="M114" s="11" t="n">
        <x:f>SUM(J114:L114)</x:f>
        <x:v>21000</x:v>
      </x:c>
      <x:c r="N114" s="2" t="str">
        <x:v>Monatszahlung gemäß Zahlungsauftrag</x:v>
      </x:c>
    </x:row>
    <x:row r="115" ht="22" customHeight="1">
      <x:c r="A115" s="2" t="str">
        <x:v>APB-0010</x:v>
      </x:c>
      <x:c r="B115" s="2" t="str">
        <x:v>2025-11-30</x:v>
      </x:c>
      <x:c r="C115" s="9" t="n">
        <x:v>21000</x:v>
      </x:c>
      <x:c r="D115" s="9" t="n">
        <x:v>73.5</x:v>
      </x:c>
      <x:c r="E115" s="9" t="n">
        <x:v>0</x:v>
      </x:c>
      <x:c r="F115" s="9" t="n">
        <x:v>600</x:v>
      </x:c>
      <x:c r="G115" s="9" t="n">
        <x:v>73.5</x:v>
      </x:c>
      <x:c r="H115" s="9" t="n">
        <x:v>0</x:v>
      </x:c>
      <x:c r="I115" s="11" t="n">
        <x:f>SUM(F115:H115)</x:f>
        <x:v>673.5</x:v>
      </x:c>
      <x:c r="J115" s="11" t="n">
        <x:f>C115-F115</x:f>
        <x:v>20400</x:v>
      </x:c>
      <x:c r="K115" s="9" t="n">
        <x:v>0</x:v>
      </x:c>
      <x:c r="L115" s="9" t="n">
        <x:v>0</x:v>
      </x:c>
      <x:c r="M115" s="11" t="n">
        <x:f>SUM(J115:L115)</x:f>
        <x:v>20400</x:v>
      </x:c>
      <x:c r="N115" s="2" t="str">
        <x:v>Monatszahlung gemäß Zahlungsauftrag</x:v>
      </x:c>
    </x:row>
    <x:row r="116" ht="22" customHeight="1">
      <x:c r="A116" s="2" t="str">
        <x:v>APB-0010</x:v>
      </x:c>
      <x:c r="B116" s="2" t="str">
        <x:v>2025-12-31</x:v>
      </x:c>
      <x:c r="C116" s="9" t="n">
        <x:v>20400</x:v>
      </x:c>
      <x:c r="D116" s="9" t="n">
        <x:v>71.4</x:v>
      </x:c>
      <x:c r="E116" s="9" t="n">
        <x:v>0</x:v>
      </x:c>
      <x:c r="F116" s="9" t="n">
        <x:v>600</x:v>
      </x:c>
      <x:c r="G116" s="9" t="n">
        <x:v>71.4</x:v>
      </x:c>
      <x:c r="H116" s="9" t="n">
        <x:v>0</x:v>
      </x:c>
      <x:c r="I116" s="11" t="n">
        <x:f>SUM(F116:H116)</x:f>
        <x:v>671.4</x:v>
      </x:c>
      <x:c r="J116" s="11" t="n">
        <x:f>C116-F116</x:f>
        <x:v>19800</x:v>
      </x:c>
      <x:c r="K116" s="9" t="n">
        <x:v>0</x:v>
      </x:c>
      <x:c r="L116" s="9" t="n">
        <x:v>0</x:v>
      </x:c>
      <x:c r="M116" s="11" t="n">
        <x:f>SUM(J116:L116)</x:f>
        <x:v>19800</x:v>
      </x:c>
      <x:c r="N116" s="2" t="str">
        <x:v>Monatszahlung gemäß Zahlungsauftrag</x:v>
      </x:c>
    </x:row>
    <x:row r="117" ht="22" customHeight="1">
      <x:c r="A117" s="2" t="str">
        <x:v>APB-0010</x:v>
      </x:c>
      <x:c r="B117" s="2" t="str">
        <x:v>2026-01-31</x:v>
      </x:c>
      <x:c r="C117" s="9" t="n">
        <x:v>19800</x:v>
      </x:c>
      <x:c r="D117" s="9" t="n">
        <x:v>69.3</x:v>
      </x:c>
      <x:c r="E117" s="9" t="n">
        <x:v>0</x:v>
      </x:c>
      <x:c r="F117" s="9" t="n">
        <x:v>600</x:v>
      </x:c>
      <x:c r="G117" s="9" t="n">
        <x:v>69.3</x:v>
      </x:c>
      <x:c r="H117" s="9" t="n">
        <x:v>0</x:v>
      </x:c>
      <x:c r="I117" s="11" t="n">
        <x:f>SUM(F117:H117)</x:f>
        <x:v>669.3</x:v>
      </x:c>
      <x:c r="J117" s="11" t="n">
        <x:f>C117-F117</x:f>
        <x:v>19200</x:v>
      </x:c>
      <x:c r="K117" s="9" t="n">
        <x:v>0</x:v>
      </x:c>
      <x:c r="L117" s="9" t="n">
        <x:v>0</x:v>
      </x:c>
      <x:c r="M117" s="11" t="n">
        <x:f>SUM(J117:L117)</x:f>
        <x:v>19200</x:v>
      </x:c>
      <x:c r="N117" s="2" t="str">
        <x:v>Monatszahlung gemäß Zahlungsauftrag</x:v>
      </x:c>
    </x:row>
    <x:row r="118" ht="22" customHeight="1">
      <x:c r="A118" s="2" t="str">
        <x:v>APB-0010</x:v>
      </x:c>
      <x:c r="B118" s="2" t="str">
        <x:v>2026-02-28</x:v>
      </x:c>
      <x:c r="C118" s="9" t="n">
        <x:v>19200</x:v>
      </x:c>
      <x:c r="D118" s="9" t="n">
        <x:v>67.2</x:v>
      </x:c>
      <x:c r="E118" s="9" t="n">
        <x:v>0</x:v>
      </x:c>
      <x:c r="F118" s="9" t="n">
        <x:v>600</x:v>
      </x:c>
      <x:c r="G118" s="9" t="n">
        <x:v>67.2</x:v>
      </x:c>
      <x:c r="H118" s="9" t="n">
        <x:v>0</x:v>
      </x:c>
      <x:c r="I118" s="11" t="n">
        <x:f>SUM(F118:H118)</x:f>
        <x:v>667.2</x:v>
      </x:c>
      <x:c r="J118" s="11" t="n">
        <x:f>C118-F118</x:f>
        <x:v>18600</x:v>
      </x:c>
      <x:c r="K118" s="9" t="n">
        <x:v>0</x:v>
      </x:c>
      <x:c r="L118" s="9" t="n">
        <x:v>0</x:v>
      </x:c>
      <x:c r="M118" s="11" t="n">
        <x:f>SUM(J118:L118)</x:f>
        <x:v>18600</x:v>
      </x:c>
      <x:c r="N118" s="2" t="str">
        <x:v>Monatszahlung gemäß Zahlungsauftrag</x:v>
      </x:c>
    </x:row>
    <x:row r="119" ht="22" customHeight="1">
      <x:c r="A119" s="2" t="str">
        <x:v>APB-0010</x:v>
      </x:c>
      <x:c r="B119" s="2" t="str">
        <x:v>2026-03-31</x:v>
      </x:c>
      <x:c r="C119" s="9" t="n">
        <x:v>18600</x:v>
      </x:c>
      <x:c r="D119" s="9" t="n">
        <x:v>65.1</x:v>
      </x:c>
      <x:c r="E119" s="9" t="n">
        <x:v>0</x:v>
      </x:c>
      <x:c r="F119" s="9" t="n">
        <x:v>600</x:v>
      </x:c>
      <x:c r="G119" s="9" t="n">
        <x:v>65.1</x:v>
      </x:c>
      <x:c r="H119" s="9" t="n">
        <x:v>0</x:v>
      </x:c>
      <x:c r="I119" s="11" t="n">
        <x:f>SUM(F119:H119)</x:f>
        <x:v>665.1</x:v>
      </x:c>
      <x:c r="J119" s="11" t="n">
        <x:f>C119-F119</x:f>
        <x:v>18000</x:v>
      </x:c>
      <x:c r="K119" s="9" t="n">
        <x:v>0</x:v>
      </x:c>
      <x:c r="L119" s="9" t="n">
        <x:v>0</x:v>
      </x:c>
      <x:c r="M119" s="11" t="n">
        <x:f>SUM(J119:L119)</x:f>
        <x:v>18000</x:v>
      </x:c>
      <x:c r="N119" s="2" t="str">
        <x:v>Monatszahlung gemäß Zahlungsauftrag</x:v>
      </x:c>
    </x:row>
    <x:row r="120" ht="22" customHeight="1">
      <x:c r="A120" s="2" t="str">
        <x:v>APB-0010</x:v>
      </x:c>
      <x:c r="B120" s="2" t="str">
        <x:v>2026-04-30</x:v>
      </x:c>
      <x:c r="C120" s="9" t="n">
        <x:v>18000</x:v>
      </x:c>
      <x:c r="D120" s="9" t="n">
        <x:v>63</x:v>
      </x:c>
      <x:c r="E120" s="9" t="n">
        <x:v>0</x:v>
      </x:c>
      <x:c r="F120" s="9" t="n">
        <x:v>600</x:v>
      </x:c>
      <x:c r="G120" s="9" t="n">
        <x:v>63</x:v>
      </x:c>
      <x:c r="H120" s="9" t="n">
        <x:v>0</x:v>
      </x:c>
      <x:c r="I120" s="11" t="n">
        <x:f>SUM(F120:H120)</x:f>
        <x:v>663</x:v>
      </x:c>
      <x:c r="J120" s="11" t="n">
        <x:f>C120-F120</x:f>
        <x:v>17400</x:v>
      </x:c>
      <x:c r="K120" s="9" t="n">
        <x:v>0</x:v>
      </x:c>
      <x:c r="L120" s="9" t="n">
        <x:v>0</x:v>
      </x:c>
      <x:c r="M120" s="11" t="n">
        <x:f>SUM(J120:L120)</x:f>
        <x:v>17400</x:v>
      </x:c>
      <x:c r="N120" s="2" t="str">
        <x:v>Monatszahlung gemäß Zahlungsauftrag</x:v>
      </x:c>
    </x:row>
    <x:row r="121" ht="22" customHeight="1">
      <x:c r="A121" s="2" t="str">
        <x:v>APB-0010</x:v>
      </x:c>
      <x:c r="B121" s="2" t="str">
        <x:v>2026-05-31</x:v>
      </x:c>
      <x:c r="C121" s="9" t="n">
        <x:v>17400</x:v>
      </x:c>
      <x:c r="D121" s="9" t="n">
        <x:v>60.9</x:v>
      </x:c>
      <x:c r="E121" s="9" t="n">
        <x:v>0</x:v>
      </x:c>
      <x:c r="F121" s="9" t="n">
        <x:v>600</x:v>
      </x:c>
      <x:c r="G121" s="9" t="n">
        <x:v>60.9</x:v>
      </x:c>
      <x:c r="H121" s="9" t="n">
        <x:v>0</x:v>
      </x:c>
      <x:c r="I121" s="11" t="n">
        <x:f>SUM(F121:H121)</x:f>
        <x:v>660.9</x:v>
      </x:c>
      <x:c r="J121" s="11" t="n">
        <x:f>C121-F121</x:f>
        <x:v>16800</x:v>
      </x:c>
      <x:c r="K121" s="9" t="n">
        <x:v>0</x:v>
      </x:c>
      <x:c r="L121" s="9" t="n">
        <x:v>0</x:v>
      </x:c>
      <x:c r="M121" s="11" t="n">
        <x:f>SUM(J121:L121)</x:f>
        <x:v>16800</x:v>
      </x:c>
      <x:c r="N121" s="2" t="str">
        <x:v>Monatszahlung gemäß Zahlungsauftrag</x:v>
      </x:c>
    </x:row>
    <x:row r="122" ht="22" customHeight="1">
      <x:c r="A122" s="2" t="str">
        <x:v>APB-0010</x:v>
      </x:c>
      <x:c r="B122" s="2" t="str">
        <x:v>2026-06-30</x:v>
      </x:c>
      <x:c r="C122" s="9" t="n">
        <x:v>16800</x:v>
      </x:c>
      <x:c r="D122" s="9" t="n">
        <x:v>58.8</x:v>
      </x:c>
      <x:c r="E122" s="9" t="n">
        <x:v>0</x:v>
      </x:c>
      <x:c r="F122" s="9" t="n">
        <x:v>600</x:v>
      </x:c>
      <x:c r="G122" s="9" t="n">
        <x:v>58.8</x:v>
      </x:c>
      <x:c r="H122" s="9" t="n">
        <x:v>0</x:v>
      </x:c>
      <x:c r="I122" s="11" t="n">
        <x:f>SUM(F122:H122)</x:f>
        <x:v>658.8</x:v>
      </x:c>
      <x:c r="J122" s="11" t="n">
        <x:f>C122-F122</x:f>
        <x:v>16200</x:v>
      </x:c>
      <x:c r="K122" s="9" t="n">
        <x:v>0</x:v>
      </x:c>
      <x:c r="L122" s="9" t="n">
        <x:v>0</x:v>
      </x:c>
      <x:c r="M122" s="11" t="n">
        <x:f>SUM(J122:L122)</x:f>
        <x:v>16200</x:v>
      </x:c>
      <x:c r="N122" s="2" t="str">
        <x:v>Monatszahlung gemäß Zahlungsauftrag</x:v>
      </x:c>
    </x:row>
    <x:row r="123" ht="22" customHeight="1">
      <x:c r="A123" s="2" t="str">
        <x:v>APB-0010</x:v>
      </x:c>
      <x:c r="B123" s="2" t="str">
        <x:v>2026-07-31</x:v>
      </x:c>
      <x:c r="C123" s="9" t="n">
        <x:v>16200</x:v>
      </x:c>
      <x:c r="D123" s="9" t="n">
        <x:v>56.7</x:v>
      </x:c>
      <x:c r="E123" s="9" t="n">
        <x:v>0</x:v>
      </x:c>
      <x:c r="F123" s="9" t="n">
        <x:v>600</x:v>
      </x:c>
      <x:c r="G123" s="9" t="n">
        <x:v>56.7</x:v>
      </x:c>
      <x:c r="H123" s="9" t="n">
        <x:v>0</x:v>
      </x:c>
      <x:c r="I123" s="11" t="n">
        <x:f>SUM(F123:H123)</x:f>
        <x:v>656.7</x:v>
      </x:c>
      <x:c r="J123" s="11" t="n">
        <x:f>C123-F123</x:f>
        <x:v>15600</x:v>
      </x:c>
      <x:c r="K123" s="9" t="n">
        <x:v>0</x:v>
      </x:c>
      <x:c r="L123" s="9" t="n">
        <x:v>0</x:v>
      </x:c>
      <x:c r="M123" s="11" t="n">
        <x:f>SUM(J123:L123)</x:f>
        <x:v>15600</x:v>
      </x:c>
      <x:c r="N123" s="2" t="str">
        <x:v>Monatszahlung gemäß Zahlungsauftrag</x:v>
      </x:c>
    </x:row>
    <x:row r="124" ht="22" customHeight="1">
      <x:c r="A124" s="2" t="str">
        <x:v>APB-0010</x:v>
      </x:c>
      <x:c r="B124" s="2" t="str">
        <x:v>2026-08-31</x:v>
      </x:c>
      <x:c r="C124" s="9" t="n">
        <x:v>15600</x:v>
      </x:c>
      <x:c r="D124" s="9" t="n">
        <x:v>54.6</x:v>
      </x:c>
      <x:c r="E124" s="9" t="n">
        <x:v>0</x:v>
      </x:c>
      <x:c r="F124" s="9" t="n">
        <x:v>0</x:v>
      </x:c>
      <x:c r="G124" s="9" t="n">
        <x:v>0</x:v>
      </x:c>
      <x:c r="H124" s="9" t="n">
        <x:v>0</x:v>
      </x:c>
      <x:c r="I124" s="11" t="n">
        <x:f>SUM(F124:H124)</x:f>
        <x:v>0</x:v>
      </x:c>
      <x:c r="J124" s="11" t="n">
        <x:f>C124-F124</x:f>
        <x:v>15600</x:v>
      </x:c>
      <x:c r="K124" s="9" t="n">
        <x:v>54.6</x:v>
      </x:c>
      <x:c r="L124" s="9" t="n">
        <x:v>0</x:v>
      </x:c>
      <x:c r="M124" s="11" t="n">
        <x:f>SUM(J124:L124)</x:f>
        <x:v>15654.6</x:v>
      </x:c>
      <x:c r="N124" s="2" t="str">
        <x:v>Todesfall; kein Eingang</x:v>
      </x:c>
    </x:row>
    <x:row r="125" ht="22" customHeight="1">
      <x:c r="A125" s="2" t="str">
        <x:v>APB-0010</x:v>
      </x:c>
      <x:c r="B125" s="2" t="str">
        <x:v>2026-09-30</x:v>
      </x:c>
      <x:c r="C125" s="9" t="n">
        <x:v>15600</x:v>
      </x:c>
      <x:c r="D125" s="9" t="n">
        <x:v>54.6</x:v>
      </x:c>
      <x:c r="E125" s="9" t="n">
        <x:v>0</x:v>
      </x:c>
      <x:c r="F125" s="9" t="n">
        <x:v>0</x:v>
      </x:c>
      <x:c r="G125" s="9" t="n">
        <x:v>0</x:v>
      </x:c>
      <x:c r="H125" s="9" t="n">
        <x:v>0</x:v>
      </x:c>
      <x:c r="I125" s="11" t="n">
        <x:f>SUM(F125:H125)</x:f>
        <x:v>0</x:v>
      </x:c>
      <x:c r="J125" s="11" t="n">
        <x:f>C125-F125</x:f>
        <x:v>15600</x:v>
      </x:c>
      <x:c r="K125" s="9" t="n">
        <x:v>109.2</x:v>
      </x:c>
      <x:c r="L125" s="9" t="n">
        <x:v>0</x:v>
      </x:c>
      <x:c r="M125" s="11" t="n">
        <x:f>SUM(J125:L125)</x:f>
        <x:v>15709.2</x:v>
      </x:c>
      <x:c r="N125" s="2" t="str">
        <x:v>Todesfall; kein Eingang</x:v>
      </x:c>
    </x:row>
    <x:row r="126" ht="22" customHeight="1">
      <x:c r="A126" s="2" t="str">
        <x:v>APB-0011</x:v>
      </x:c>
      <x:c r="B126" s="2" t="str">
        <x:v>2025-10-31</x:v>
      </x:c>
      <x:c r="C126" s="9" t="n">
        <x:v>18000</x:v>
      </x:c>
      <x:c r="D126" s="9" t="n">
        <x:v>72</x:v>
      </x:c>
      <x:c r="E126" s="9" t="n">
        <x:v>0</x:v>
      </x:c>
      <x:c r="F126" s="9" t="n">
        <x:v>500</x:v>
      </x:c>
      <x:c r="G126" s="9" t="n">
        <x:v>72</x:v>
      </x:c>
      <x:c r="H126" s="9" t="n">
        <x:v>0</x:v>
      </x:c>
      <x:c r="I126" s="11" t="n">
        <x:f>SUM(F126:H126)</x:f>
        <x:v>572</x:v>
      </x:c>
      <x:c r="J126" s="11" t="n">
        <x:f>C126-F126</x:f>
        <x:v>17500</x:v>
      </x:c>
      <x:c r="K126" s="9" t="n">
        <x:v>0</x:v>
      </x:c>
      <x:c r="L126" s="9" t="n">
        <x:v>0</x:v>
      </x:c>
      <x:c r="M126" s="11" t="n">
        <x:f>SUM(J126:L126)</x:f>
        <x:v>17500</x:v>
      </x:c>
      <x:c r="N126" s="2" t="str">
        <x:v>Monatszahlung gemäß Zahlungsauftrag</x:v>
      </x:c>
    </x:row>
    <x:row r="127" ht="22" customHeight="1">
      <x:c r="A127" s="2" t="str">
        <x:v>APB-0011</x:v>
      </x:c>
      <x:c r="B127" s="2" t="str">
        <x:v>2025-11-30</x:v>
      </x:c>
      <x:c r="C127" s="9" t="n">
        <x:v>17500</x:v>
      </x:c>
      <x:c r="D127" s="9" t="n">
        <x:v>70</x:v>
      </x:c>
      <x:c r="E127" s="9" t="n">
        <x:v>0</x:v>
      </x:c>
      <x:c r="F127" s="9" t="n">
        <x:v>500</x:v>
      </x:c>
      <x:c r="G127" s="9" t="n">
        <x:v>70</x:v>
      </x:c>
      <x:c r="H127" s="9" t="n">
        <x:v>0</x:v>
      </x:c>
      <x:c r="I127" s="11" t="n">
        <x:f>SUM(F127:H127)</x:f>
        <x:v>570</x:v>
      </x:c>
      <x:c r="J127" s="11" t="n">
        <x:f>C127-F127</x:f>
        <x:v>17000</x:v>
      </x:c>
      <x:c r="K127" s="9" t="n">
        <x:v>0</x:v>
      </x:c>
      <x:c r="L127" s="9" t="n">
        <x:v>0</x:v>
      </x:c>
      <x:c r="M127" s="11" t="n">
        <x:f>SUM(J127:L127)</x:f>
        <x:v>17000</x:v>
      </x:c>
      <x:c r="N127" s="2" t="str">
        <x:v>Monatszahlung gemäß Zahlungsauftrag</x:v>
      </x:c>
    </x:row>
    <x:row r="128" ht="22" customHeight="1">
      <x:c r="A128" s="2" t="str">
        <x:v>APB-0011</x:v>
      </x:c>
      <x:c r="B128" s="2" t="str">
        <x:v>2025-12-31</x:v>
      </x:c>
      <x:c r="C128" s="9" t="n">
        <x:v>17000</x:v>
      </x:c>
      <x:c r="D128" s="9" t="n">
        <x:v>68</x:v>
      </x:c>
      <x:c r="E128" s="9" t="n">
        <x:v>0</x:v>
      </x:c>
      <x:c r="F128" s="9" t="n">
        <x:v>500</x:v>
      </x:c>
      <x:c r="G128" s="9" t="n">
        <x:v>68</x:v>
      </x:c>
      <x:c r="H128" s="9" t="n">
        <x:v>0</x:v>
      </x:c>
      <x:c r="I128" s="11" t="n">
        <x:f>SUM(F128:H128)</x:f>
        <x:v>568</x:v>
      </x:c>
      <x:c r="J128" s="11" t="n">
        <x:f>C128-F128</x:f>
        <x:v>16500</x:v>
      </x:c>
      <x:c r="K128" s="9" t="n">
        <x:v>0</x:v>
      </x:c>
      <x:c r="L128" s="9" t="n">
        <x:v>0</x:v>
      </x:c>
      <x:c r="M128" s="11" t="n">
        <x:f>SUM(J128:L128)</x:f>
        <x:v>16500</x:v>
      </x:c>
      <x:c r="N128" s="2" t="str">
        <x:v>Monatszahlung gemäß Zahlungsauftrag</x:v>
      </x:c>
    </x:row>
    <x:row r="129" ht="22" customHeight="1">
      <x:c r="A129" s="2" t="str">
        <x:v>APB-0011</x:v>
      </x:c>
      <x:c r="B129" s="2" t="str">
        <x:v>2026-01-31</x:v>
      </x:c>
      <x:c r="C129" s="9" t="n">
        <x:v>16500</x:v>
      </x:c>
      <x:c r="D129" s="9" t="n">
        <x:v>66</x:v>
      </x:c>
      <x:c r="E129" s="9" t="n">
        <x:v>0</x:v>
      </x:c>
      <x:c r="F129" s="9" t="n">
        <x:v>500</x:v>
      </x:c>
      <x:c r="G129" s="9" t="n">
        <x:v>66</x:v>
      </x:c>
      <x:c r="H129" s="9" t="n">
        <x:v>0</x:v>
      </x:c>
      <x:c r="I129" s="11" t="n">
        <x:f>SUM(F129:H129)</x:f>
        <x:v>566</x:v>
      </x:c>
      <x:c r="J129" s="11" t="n">
        <x:f>C129-F129</x:f>
        <x:v>16000</x:v>
      </x:c>
      <x:c r="K129" s="9" t="n">
        <x:v>0</x:v>
      </x:c>
      <x:c r="L129" s="9" t="n">
        <x:v>0</x:v>
      </x:c>
      <x:c r="M129" s="11" t="n">
        <x:f>SUM(J129:L129)</x:f>
        <x:v>16000</x:v>
      </x:c>
      <x:c r="N129" s="2" t="str">
        <x:v>Monatszahlung gemäß Zahlungsauftrag</x:v>
      </x:c>
    </x:row>
    <x:row r="130" ht="22" customHeight="1">
      <x:c r="A130" s="2" t="str">
        <x:v>APB-0011</x:v>
      </x:c>
      <x:c r="B130" s="2" t="str">
        <x:v>2026-02-28</x:v>
      </x:c>
      <x:c r="C130" s="9" t="n">
        <x:v>16000</x:v>
      </x:c>
      <x:c r="D130" s="9" t="n">
        <x:v>64</x:v>
      </x:c>
      <x:c r="E130" s="9" t="n">
        <x:v>0</x:v>
      </x:c>
      <x:c r="F130" s="9" t="n">
        <x:v>500</x:v>
      </x:c>
      <x:c r="G130" s="9" t="n">
        <x:v>64</x:v>
      </x:c>
      <x:c r="H130" s="9" t="n">
        <x:v>0</x:v>
      </x:c>
      <x:c r="I130" s="11" t="n">
        <x:f>SUM(F130:H130)</x:f>
        <x:v>564</x:v>
      </x:c>
      <x:c r="J130" s="11" t="n">
        <x:f>C130-F130</x:f>
        <x:v>15500</x:v>
      </x:c>
      <x:c r="K130" s="9" t="n">
        <x:v>0</x:v>
      </x:c>
      <x:c r="L130" s="9" t="n">
        <x:v>0</x:v>
      </x:c>
      <x:c r="M130" s="11" t="n">
        <x:f>SUM(J130:L130)</x:f>
        <x:v>15500</x:v>
      </x:c>
      <x:c r="N130" s="2" t="str">
        <x:v>Monatszahlung gemäß Zahlungsauftrag</x:v>
      </x:c>
    </x:row>
    <x:row r="131" ht="22" customHeight="1">
      <x:c r="A131" s="2" t="str">
        <x:v>APB-0011</x:v>
      </x:c>
      <x:c r="B131" s="2" t="str">
        <x:v>2026-03-31</x:v>
      </x:c>
      <x:c r="C131" s="9" t="n">
        <x:v>15500</x:v>
      </x:c>
      <x:c r="D131" s="9" t="n">
        <x:v>62</x:v>
      </x:c>
      <x:c r="E131" s="9" t="n">
        <x:v>0</x:v>
      </x:c>
      <x:c r="F131" s="9" t="n">
        <x:v>500</x:v>
      </x:c>
      <x:c r="G131" s="9" t="n">
        <x:v>62</x:v>
      </x:c>
      <x:c r="H131" s="9" t="n">
        <x:v>0</x:v>
      </x:c>
      <x:c r="I131" s="11" t="n">
        <x:f>SUM(F131:H131)</x:f>
        <x:v>562</x:v>
      </x:c>
      <x:c r="J131" s="11" t="n">
        <x:f>C131-F131</x:f>
        <x:v>15000</x:v>
      </x:c>
      <x:c r="K131" s="9" t="n">
        <x:v>0</x:v>
      </x:c>
      <x:c r="L131" s="9" t="n">
        <x:v>0</x:v>
      </x:c>
      <x:c r="M131" s="11" t="n">
        <x:f>SUM(J131:L131)</x:f>
        <x:v>15000</x:v>
      </x:c>
      <x:c r="N131" s="2" t="str">
        <x:v>Monatszahlung gemäß Zahlungsauftrag</x:v>
      </x:c>
    </x:row>
    <x:row r="132" ht="22" customHeight="1">
      <x:c r="A132" s="2" t="str">
        <x:v>APB-0011</x:v>
      </x:c>
      <x:c r="B132" s="2" t="str">
        <x:v>2026-04-30</x:v>
      </x:c>
      <x:c r="C132" s="9" t="n">
        <x:v>15000</x:v>
      </x:c>
      <x:c r="D132" s="9" t="n">
        <x:v>60</x:v>
      </x:c>
      <x:c r="E132" s="9" t="n">
        <x:v>0</x:v>
      </x:c>
      <x:c r="F132" s="9" t="n">
        <x:v>500</x:v>
      </x:c>
      <x:c r="G132" s="9" t="n">
        <x:v>60</x:v>
      </x:c>
      <x:c r="H132" s="9" t="n">
        <x:v>0</x:v>
      </x:c>
      <x:c r="I132" s="11" t="n">
        <x:f>SUM(F132:H132)</x:f>
        <x:v>560</x:v>
      </x:c>
      <x:c r="J132" s="11" t="n">
        <x:f>C132-F132</x:f>
        <x:v>14500</x:v>
      </x:c>
      <x:c r="K132" s="9" t="n">
        <x:v>0</x:v>
      </x:c>
      <x:c r="L132" s="9" t="n">
        <x:v>0</x:v>
      </x:c>
      <x:c r="M132" s="11" t="n">
        <x:f>SUM(J132:L132)</x:f>
        <x:v>14500</x:v>
      </x:c>
      <x:c r="N132" s="2" t="str">
        <x:v>Monatszahlung gemäß Zahlungsauftrag</x:v>
      </x:c>
    </x:row>
    <x:row r="133" ht="22" customHeight="1">
      <x:c r="A133" s="2" t="str">
        <x:v>APB-0011</x:v>
      </x:c>
      <x:c r="B133" s="2" t="str">
        <x:v>2026-05-31</x:v>
      </x:c>
      <x:c r="C133" s="9" t="n">
        <x:v>14500</x:v>
      </x:c>
      <x:c r="D133" s="9" t="n">
        <x:v>58</x:v>
      </x:c>
      <x:c r="E133" s="9" t="n">
        <x:v>0</x:v>
      </x:c>
      <x:c r="F133" s="9" t="n">
        <x:v>500</x:v>
      </x:c>
      <x:c r="G133" s="9" t="n">
        <x:v>58</x:v>
      </x:c>
      <x:c r="H133" s="9" t="n">
        <x:v>0</x:v>
      </x:c>
      <x:c r="I133" s="11" t="n">
        <x:f>SUM(F133:H133)</x:f>
        <x:v>558</x:v>
      </x:c>
      <x:c r="J133" s="11" t="n">
        <x:f>C133-F133</x:f>
        <x:v>14000</x:v>
      </x:c>
      <x:c r="K133" s="9" t="n">
        <x:v>0</x:v>
      </x:c>
      <x:c r="L133" s="9" t="n">
        <x:v>0</x:v>
      </x:c>
      <x:c r="M133" s="11" t="n">
        <x:f>SUM(J133:L133)</x:f>
        <x:v>14000</x:v>
      </x:c>
      <x:c r="N133" s="2" t="str">
        <x:v>Monatszahlung gemäß Zahlungsauftrag</x:v>
      </x:c>
    </x:row>
    <x:row r="134" ht="22" customHeight="1">
      <x:c r="A134" s="2" t="str">
        <x:v>APB-0011</x:v>
      </x:c>
      <x:c r="B134" s="2" t="str">
        <x:v>2026-06-30</x:v>
      </x:c>
      <x:c r="C134" s="9" t="n">
        <x:v>14000</x:v>
      </x:c>
      <x:c r="D134" s="9" t="n">
        <x:v>56</x:v>
      </x:c>
      <x:c r="E134" s="9" t="n">
        <x:v>0</x:v>
      </x:c>
      <x:c r="F134" s="9" t="n">
        <x:v>500</x:v>
      </x:c>
      <x:c r="G134" s="9" t="n">
        <x:v>56</x:v>
      </x:c>
      <x:c r="H134" s="9" t="n">
        <x:v>0</x:v>
      </x:c>
      <x:c r="I134" s="11" t="n">
        <x:f>SUM(F134:H134)</x:f>
        <x:v>556</x:v>
      </x:c>
      <x:c r="J134" s="11" t="n">
        <x:f>C134-F134</x:f>
        <x:v>13500</x:v>
      </x:c>
      <x:c r="K134" s="9" t="n">
        <x:v>0</x:v>
      </x:c>
      <x:c r="L134" s="9" t="n">
        <x:v>0</x:v>
      </x:c>
      <x:c r="M134" s="11" t="n">
        <x:f>SUM(J134:L134)</x:f>
        <x:v>13500</x:v>
      </x:c>
      <x:c r="N134" s="2" t="str">
        <x:v>Monatszahlung gemäß Zahlungsauftrag</x:v>
      </x:c>
    </x:row>
    <x:row r="135" ht="22" customHeight="1">
      <x:c r="A135" s="2" t="str">
        <x:v>APB-0011</x:v>
      </x:c>
      <x:c r="B135" s="2" t="str">
        <x:v>2026-07-31</x:v>
      </x:c>
      <x:c r="C135" s="9" t="n">
        <x:v>13500</x:v>
      </x:c>
      <x:c r="D135" s="9" t="n">
        <x:v>54</x:v>
      </x:c>
      <x:c r="E135" s="9" t="n">
        <x:v>0</x:v>
      </x:c>
      <x:c r="F135" s="9" t="n">
        <x:v>500</x:v>
      </x:c>
      <x:c r="G135" s="9" t="n">
        <x:v>54</x:v>
      </x:c>
      <x:c r="H135" s="9" t="n">
        <x:v>0</x:v>
      </x:c>
      <x:c r="I135" s="11" t="n">
        <x:f>SUM(F135:H135)</x:f>
        <x:v>554</x:v>
      </x:c>
      <x:c r="J135" s="11" t="n">
        <x:f>C135-F135</x:f>
        <x:v>13000</x:v>
      </x:c>
      <x:c r="K135" s="9" t="n">
        <x:v>0</x:v>
      </x:c>
      <x:c r="L135" s="9" t="n">
        <x:v>0</x:v>
      </x:c>
      <x:c r="M135" s="11" t="n">
        <x:f>SUM(J135:L135)</x:f>
        <x:v>13000</x:v>
      </x:c>
      <x:c r="N135" s="2" t="str">
        <x:v>Monatszahlung gemäß Zahlungsauftrag</x:v>
      </x:c>
    </x:row>
    <x:row r="136" ht="22" customHeight="1">
      <x:c r="A136" s="2" t="str">
        <x:v>APB-0011</x:v>
      </x:c>
      <x:c r="B136" s="2" t="str">
        <x:v>2026-08-31</x:v>
      </x:c>
      <x:c r="C136" s="9" t="n">
        <x:v>13000</x:v>
      </x:c>
      <x:c r="D136" s="9" t="n">
        <x:v>52</x:v>
      </x:c>
      <x:c r="E136" s="9" t="n">
        <x:v>0</x:v>
      </x:c>
      <x:c r="F136" s="9" t="n">
        <x:v>500</x:v>
      </x:c>
      <x:c r="G136" s="9" t="n">
        <x:v>52</x:v>
      </x:c>
      <x:c r="H136" s="9" t="n">
        <x:v>0</x:v>
      </x:c>
      <x:c r="I136" s="11" t="n">
        <x:f>SUM(F136:H136)</x:f>
        <x:v>552</x:v>
      </x:c>
      <x:c r="J136" s="11" t="n">
        <x:f>C136-F136</x:f>
        <x:v>12500</x:v>
      </x:c>
      <x:c r="K136" s="9" t="n">
        <x:v>0</x:v>
      </x:c>
      <x:c r="L136" s="9" t="n">
        <x:v>0</x:v>
      </x:c>
      <x:c r="M136" s="11" t="n">
        <x:f>SUM(J136:L136)</x:f>
        <x:v>12500</x:v>
      </x:c>
      <x:c r="N136" s="2" t="str">
        <x:v>Monatszahlung gemäß Zahlungsauftrag</x:v>
      </x:c>
    </x:row>
    <x:row r="137" ht="22" customHeight="1">
      <x:c r="A137" s="2" t="str">
        <x:v>APB-0011</x:v>
      </x:c>
      <x:c r="B137" s="2" t="str">
        <x:v>2026-09-30</x:v>
      </x:c>
      <x:c r="C137" s="9" t="n">
        <x:v>12500</x:v>
      </x:c>
      <x:c r="D137" s="9" t="n">
        <x:v>50</x:v>
      </x:c>
      <x:c r="E137" s="9" t="n">
        <x:v>450</x:v>
      </x:c>
      <x:c r="F137" s="9" t="n">
        <x:v>1500</x:v>
      </x:c>
      <x:c r="G137" s="9" t="n">
        <x:v>50</x:v>
      </x:c>
      <x:c r="H137" s="9" t="n">
        <x:v>0</x:v>
      </x:c>
      <x:c r="I137" s="11" t="n">
        <x:f>SUM(F137:H137)</x:f>
        <x:v>1550</x:v>
      </x:c>
      <x:c r="J137" s="11" t="n">
        <x:f>C137-F137</x:f>
        <x:v>11000</x:v>
      </x:c>
      <x:c r="K137" s="9" t="n">
        <x:v>0</x:v>
      </x:c>
      <x:c r="L137" s="9" t="n">
        <x:v>450</x:v>
      </x:c>
      <x:c r="M137" s="11" t="n">
        <x:f>SUM(J137:L137)</x:f>
        <x:v>11450</x:v>
      </x:c>
      <x:c r="N137" s="2" t="str">
        <x:v>Monatszahlung plus 1000 EUR Sondertilgung</x:v>
      </x:c>
    </x:row>
    <x:row r="138" ht="22" customHeight="1">
      <x:c r="A138" s="2" t="str">
        <x:v>APB-0012</x:v>
      </x:c>
      <x:c r="B138" s="2" t="str">
        <x:v>2025-10-31</x:v>
      </x:c>
      <x:c r="C138" s="9" t="n">
        <x:v>25200</x:v>
      </x:c>
      <x:c r="D138" s="9" t="n">
        <x:v>113.4</x:v>
      </x:c>
      <x:c r="E138" s="9" t="n">
        <x:v>0</x:v>
      </x:c>
      <x:c r="F138" s="9" t="n">
        <x:v>700</x:v>
      </x:c>
      <x:c r="G138" s="9" t="n">
        <x:v>113.4</x:v>
      </x:c>
      <x:c r="H138" s="9" t="n">
        <x:v>0</x:v>
      </x:c>
      <x:c r="I138" s="11" t="n">
        <x:f>SUM(F138:H138)</x:f>
        <x:v>813.4</x:v>
      </x:c>
      <x:c r="J138" s="11" t="n">
        <x:f>C138-F138</x:f>
        <x:v>24500</x:v>
      </x:c>
      <x:c r="K138" s="9" t="n">
        <x:v>0</x:v>
      </x:c>
      <x:c r="L138" s="9" t="n">
        <x:v>0</x:v>
      </x:c>
      <x:c r="M138" s="11" t="n">
        <x:f>SUM(J138:L138)</x:f>
        <x:v>24500</x:v>
      </x:c>
      <x:c r="N138" s="2" t="str">
        <x:v>Monatszahlung gemäß Zahlungsauftrag</x:v>
      </x:c>
    </x:row>
    <x:row r="139" ht="22" customHeight="1">
      <x:c r="A139" s="2" t="str">
        <x:v>APB-0012</x:v>
      </x:c>
      <x:c r="B139" s="2" t="str">
        <x:v>2025-11-30</x:v>
      </x:c>
      <x:c r="C139" s="9" t="n">
        <x:v>24500</x:v>
      </x:c>
      <x:c r="D139" s="9" t="n">
        <x:v>110.25</x:v>
      </x:c>
      <x:c r="E139" s="9" t="n">
        <x:v>0</x:v>
      </x:c>
      <x:c r="F139" s="9" t="n">
        <x:v>700</x:v>
      </x:c>
      <x:c r="G139" s="9" t="n">
        <x:v>110.25</x:v>
      </x:c>
      <x:c r="H139" s="9" t="n">
        <x:v>0</x:v>
      </x:c>
      <x:c r="I139" s="11" t="n">
        <x:f>SUM(F139:H139)</x:f>
        <x:v>810.25</x:v>
      </x:c>
      <x:c r="J139" s="11" t="n">
        <x:f>C139-F139</x:f>
        <x:v>23800</x:v>
      </x:c>
      <x:c r="K139" s="9" t="n">
        <x:v>0</x:v>
      </x:c>
      <x:c r="L139" s="9" t="n">
        <x:v>0</x:v>
      </x:c>
      <x:c r="M139" s="11" t="n">
        <x:f>SUM(J139:L139)</x:f>
        <x:v>23800</x:v>
      </x:c>
      <x:c r="N139" s="2" t="str">
        <x:v>Monatszahlung gemäß Zahlungsauftrag</x:v>
      </x:c>
    </x:row>
    <x:row r="140" ht="22" customHeight="1">
      <x:c r="A140" s="2" t="str">
        <x:v>APB-0012</x:v>
      </x:c>
      <x:c r="B140" s="2" t="str">
        <x:v>2025-12-31</x:v>
      </x:c>
      <x:c r="C140" s="9" t="n">
        <x:v>23800</x:v>
      </x:c>
      <x:c r="D140" s="9" t="n">
        <x:v>107.1</x:v>
      </x:c>
      <x:c r="E140" s="9" t="n">
        <x:v>0</x:v>
      </x:c>
      <x:c r="F140" s="9" t="n">
        <x:v>700</x:v>
      </x:c>
      <x:c r="G140" s="9" t="n">
        <x:v>107.1</x:v>
      </x:c>
      <x:c r="H140" s="9" t="n">
        <x:v>0</x:v>
      </x:c>
      <x:c r="I140" s="11" t="n">
        <x:f>SUM(F140:H140)</x:f>
        <x:v>807.1</x:v>
      </x:c>
      <x:c r="J140" s="11" t="n">
        <x:f>C140-F140</x:f>
        <x:v>23100</x:v>
      </x:c>
      <x:c r="K140" s="9" t="n">
        <x:v>0</x:v>
      </x:c>
      <x:c r="L140" s="9" t="n">
        <x:v>0</x:v>
      </x:c>
      <x:c r="M140" s="11" t="n">
        <x:f>SUM(J140:L140)</x:f>
        <x:v>23100</x:v>
      </x:c>
      <x:c r="N140" s="2" t="str">
        <x:v>Monatszahlung gemäß Zahlungsauftrag</x:v>
      </x:c>
    </x:row>
    <x:row r="141" ht="22" customHeight="1">
      <x:c r="A141" s="2" t="str">
        <x:v>APB-0012</x:v>
      </x:c>
      <x:c r="B141" s="2" t="str">
        <x:v>2026-01-31</x:v>
      </x:c>
      <x:c r="C141" s="9" t="n">
        <x:v>23100</x:v>
      </x:c>
      <x:c r="D141" s="9" t="n">
        <x:v>103.95</x:v>
      </x:c>
      <x:c r="E141" s="9" t="n">
        <x:v>0</x:v>
      </x:c>
      <x:c r="F141" s="9" t="n">
        <x:v>700</x:v>
      </x:c>
      <x:c r="G141" s="9" t="n">
        <x:v>103.95</x:v>
      </x:c>
      <x:c r="H141" s="9" t="n">
        <x:v>0</x:v>
      </x:c>
      <x:c r="I141" s="11" t="n">
        <x:f>SUM(F141:H141)</x:f>
        <x:v>803.95</x:v>
      </x:c>
      <x:c r="J141" s="11" t="n">
        <x:f>C141-F141</x:f>
        <x:v>22400</x:v>
      </x:c>
      <x:c r="K141" s="9" t="n">
        <x:v>0</x:v>
      </x:c>
      <x:c r="L141" s="9" t="n">
        <x:v>0</x:v>
      </x:c>
      <x:c r="M141" s="11" t="n">
        <x:f>SUM(J141:L141)</x:f>
        <x:v>22400</x:v>
      </x:c>
      <x:c r="N141" s="2" t="str">
        <x:v>Monatszahlung gemäß Zahlungsauftrag</x:v>
      </x:c>
    </x:row>
    <x:row r="142" ht="22" customHeight="1">
      <x:c r="A142" s="2" t="str">
        <x:v>APB-0012</x:v>
      </x:c>
      <x:c r="B142" s="2" t="str">
        <x:v>2026-02-28</x:v>
      </x:c>
      <x:c r="C142" s="9" t="n">
        <x:v>22400</x:v>
      </x:c>
      <x:c r="D142" s="9" t="n">
        <x:v>100.8</x:v>
      </x:c>
      <x:c r="E142" s="9" t="n">
        <x:v>0</x:v>
      </x:c>
      <x:c r="F142" s="9" t="n">
        <x:v>700</x:v>
      </x:c>
      <x:c r="G142" s="9" t="n">
        <x:v>100.8</x:v>
      </x:c>
      <x:c r="H142" s="9" t="n">
        <x:v>0</x:v>
      </x:c>
      <x:c r="I142" s="11" t="n">
        <x:f>SUM(F142:H142)</x:f>
        <x:v>800.8</x:v>
      </x:c>
      <x:c r="J142" s="11" t="n">
        <x:f>C142-F142</x:f>
        <x:v>21700</x:v>
      </x:c>
      <x:c r="K142" s="9" t="n">
        <x:v>0</x:v>
      </x:c>
      <x:c r="L142" s="9" t="n">
        <x:v>0</x:v>
      </x:c>
      <x:c r="M142" s="11" t="n">
        <x:f>SUM(J142:L142)</x:f>
        <x:v>21700</x:v>
      </x:c>
      <x:c r="N142" s="2" t="str">
        <x:v>Monatszahlung gemäß Zahlungsauftrag</x:v>
      </x:c>
    </x:row>
    <x:row r="143" ht="22" customHeight="1">
      <x:c r="A143" s="2" t="str">
        <x:v>APB-0012</x:v>
      </x:c>
      <x:c r="B143" s="2" t="str">
        <x:v>2026-03-31</x:v>
      </x:c>
      <x:c r="C143" s="9" t="n">
        <x:v>21700</x:v>
      </x:c>
      <x:c r="D143" s="9" t="n">
        <x:v>97.65</x:v>
      </x:c>
      <x:c r="E143" s="9" t="n">
        <x:v>0</x:v>
      </x:c>
      <x:c r="F143" s="9" t="n">
        <x:v>700</x:v>
      </x:c>
      <x:c r="G143" s="9" t="n">
        <x:v>97.65</x:v>
      </x:c>
      <x:c r="H143" s="9" t="n">
        <x:v>0</x:v>
      </x:c>
      <x:c r="I143" s="11" t="n">
        <x:f>SUM(F143:H143)</x:f>
        <x:v>797.65</x:v>
      </x:c>
      <x:c r="J143" s="11" t="n">
        <x:f>C143-F143</x:f>
        <x:v>21000</x:v>
      </x:c>
      <x:c r="K143" s="9" t="n">
        <x:v>0</x:v>
      </x:c>
      <x:c r="L143" s="9" t="n">
        <x:v>0</x:v>
      </x:c>
      <x:c r="M143" s="11" t="n">
        <x:f>SUM(J143:L143)</x:f>
        <x:v>21000</x:v>
      </x:c>
      <x:c r="N143" s="2" t="str">
        <x:v>Monatszahlung gemäß Zahlungsauftrag</x:v>
      </x:c>
    </x:row>
    <x:row r="144" ht="22" customHeight="1">
      <x:c r="A144" s="2" t="str">
        <x:v>APB-0012</x:v>
      </x:c>
      <x:c r="B144" s="2" t="str">
        <x:v>2026-04-30</x:v>
      </x:c>
      <x:c r="C144" s="9" t="n">
        <x:v>21000</x:v>
      </x:c>
      <x:c r="D144" s="9" t="n">
        <x:v>94.5</x:v>
      </x:c>
      <x:c r="E144" s="9" t="n">
        <x:v>0</x:v>
      </x:c>
      <x:c r="F144" s="9" t="n">
        <x:v>700</x:v>
      </x:c>
      <x:c r="G144" s="9" t="n">
        <x:v>94.5</x:v>
      </x:c>
      <x:c r="H144" s="9" t="n">
        <x:v>0</x:v>
      </x:c>
      <x:c r="I144" s="11" t="n">
        <x:f>SUM(F144:H144)</x:f>
        <x:v>794.5</x:v>
      </x:c>
      <x:c r="J144" s="11" t="n">
        <x:f>C144-F144</x:f>
        <x:v>20300</x:v>
      </x:c>
      <x:c r="K144" s="9" t="n">
        <x:v>0</x:v>
      </x:c>
      <x:c r="L144" s="9" t="n">
        <x:v>0</x:v>
      </x:c>
      <x:c r="M144" s="11" t="n">
        <x:f>SUM(J144:L144)</x:f>
        <x:v>20300</x:v>
      </x:c>
      <x:c r="N144" s="2" t="str">
        <x:v>Monatszahlung gemäß Zahlungsauftrag</x:v>
      </x:c>
    </x:row>
    <x:row r="145" ht="22" customHeight="1">
      <x:c r="A145" s="2" t="str">
        <x:v>APB-0012</x:v>
      </x:c>
      <x:c r="B145" s="2" t="str">
        <x:v>2026-05-31</x:v>
      </x:c>
      <x:c r="C145" s="9" t="n">
        <x:v>20300</x:v>
      </x:c>
      <x:c r="D145" s="9" t="n">
        <x:v>91.35</x:v>
      </x:c>
      <x:c r="E145" s="9" t="n">
        <x:v>0</x:v>
      </x:c>
      <x:c r="F145" s="9" t="n">
        <x:v>700</x:v>
      </x:c>
      <x:c r="G145" s="9" t="n">
        <x:v>91.35</x:v>
      </x:c>
      <x:c r="H145" s="9" t="n">
        <x:v>0</x:v>
      </x:c>
      <x:c r="I145" s="11" t="n">
        <x:f>SUM(F145:H145)</x:f>
        <x:v>791.35</x:v>
      </x:c>
      <x:c r="J145" s="11" t="n">
        <x:f>C145-F145</x:f>
        <x:v>19600</x:v>
      </x:c>
      <x:c r="K145" s="9" t="n">
        <x:v>0</x:v>
      </x:c>
      <x:c r="L145" s="9" t="n">
        <x:v>0</x:v>
      </x:c>
      <x:c r="M145" s="11" t="n">
        <x:f>SUM(J145:L145)</x:f>
        <x:v>19600</x:v>
      </x:c>
      <x:c r="N145" s="2" t="str">
        <x:v>Monatszahlung gemäß Zahlungsauftrag</x:v>
      </x:c>
    </x:row>
    <x:row r="146" ht="22" customHeight="1">
      <x:c r="A146" s="2" t="str">
        <x:v>APB-0012</x:v>
      </x:c>
      <x:c r="B146" s="2" t="str">
        <x:v>2026-06-30</x:v>
      </x:c>
      <x:c r="C146" s="9" t="n">
        <x:v>19600</x:v>
      </x:c>
      <x:c r="D146" s="9" t="n">
        <x:v>88.2</x:v>
      </x:c>
      <x:c r="E146" s="9" t="n">
        <x:v>0</x:v>
      </x:c>
      <x:c r="F146" s="9" t="n">
        <x:v>700</x:v>
      </x:c>
      <x:c r="G146" s="9" t="n">
        <x:v>88.2</x:v>
      </x:c>
      <x:c r="H146" s="9" t="n">
        <x:v>0</x:v>
      </x:c>
      <x:c r="I146" s="11" t="n">
        <x:f>SUM(F146:H146)</x:f>
        <x:v>788.2</x:v>
      </x:c>
      <x:c r="J146" s="11" t="n">
        <x:f>C146-F146</x:f>
        <x:v>18900</x:v>
      </x:c>
      <x:c r="K146" s="9" t="n">
        <x:v>0</x:v>
      </x:c>
      <x:c r="L146" s="9" t="n">
        <x:v>0</x:v>
      </x:c>
      <x:c r="M146" s="11" t="n">
        <x:f>SUM(J146:L146)</x:f>
        <x:v>18900</x:v>
      </x:c>
      <x:c r="N146" s="2" t="str">
        <x:v>Monatszahlung gemäß Zahlungsauftrag</x:v>
      </x:c>
    </x:row>
    <x:row r="147" ht="22" customHeight="1">
      <x:c r="A147" s="2" t="str">
        <x:v>APB-0012</x:v>
      </x:c>
      <x:c r="B147" s="2" t="str">
        <x:v>2026-07-31</x:v>
      </x:c>
      <x:c r="C147" s="9" t="n">
        <x:v>18900</x:v>
      </x:c>
      <x:c r="D147" s="9" t="n">
        <x:v>85.05</x:v>
      </x:c>
      <x:c r="E147" s="9" t="n">
        <x:v>0</x:v>
      </x:c>
      <x:c r="F147" s="9" t="n">
        <x:v>700</x:v>
      </x:c>
      <x:c r="G147" s="9" t="n">
        <x:v>85.05</x:v>
      </x:c>
      <x:c r="H147" s="9" t="n">
        <x:v>0</x:v>
      </x:c>
      <x:c r="I147" s="11" t="n">
        <x:f>SUM(F147:H147)</x:f>
        <x:v>785.05</x:v>
      </x:c>
      <x:c r="J147" s="11" t="n">
        <x:f>C147-F147</x:f>
        <x:v>18200</x:v>
      </x:c>
      <x:c r="K147" s="9" t="n">
        <x:v>0</x:v>
      </x:c>
      <x:c r="L147" s="9" t="n">
        <x:v>0</x:v>
      </x:c>
      <x:c r="M147" s="11" t="n">
        <x:f>SUM(J147:L147)</x:f>
        <x:v>18200</x:v>
      </x:c>
      <x:c r="N147" s="2" t="str">
        <x:v>Monatszahlung gemäß Zahlungsauftrag</x:v>
      </x:c>
    </x:row>
    <x:row r="148" ht="22" customHeight="1">
      <x:c r="A148" s="2" t="str">
        <x:v>APB-0012</x:v>
      </x:c>
      <x:c r="B148" s="2" t="str">
        <x:v>2026-08-31</x:v>
      </x:c>
      <x:c r="C148" s="9" t="n">
        <x:v>18200</x:v>
      </x:c>
      <x:c r="D148" s="9" t="n">
        <x:v>81.9</x:v>
      </x:c>
      <x:c r="E148" s="9" t="n">
        <x:v>0</x:v>
      </x:c>
      <x:c r="F148" s="9" t="n">
        <x:v>700</x:v>
      </x:c>
      <x:c r="G148" s="9" t="n">
        <x:v>81.9</x:v>
      </x:c>
      <x:c r="H148" s="9" t="n">
        <x:v>0</x:v>
      </x:c>
      <x:c r="I148" s="11" t="n">
        <x:f>SUM(F148:H148)</x:f>
        <x:v>781.9</x:v>
      </x:c>
      <x:c r="J148" s="11" t="n">
        <x:f>C148-F148</x:f>
        <x:v>17500</x:v>
      </x:c>
      <x:c r="K148" s="9" t="n">
        <x:v>0</x:v>
      </x:c>
      <x:c r="L148" s="9" t="n">
        <x:v>0</x:v>
      </x:c>
      <x:c r="M148" s="11" t="n">
        <x:f>SUM(J148:L148)</x:f>
        <x:v>17500</x:v>
      </x:c>
      <x:c r="N148" s="2" t="str">
        <x:v>Monatszahlung gemäß Zahlungsauftrag</x:v>
      </x:c>
    </x:row>
    <x:row r="149" ht="22" customHeight="1">
      <x:c r="A149" s="2" t="str">
        <x:v>APB-0012</x:v>
      </x:c>
      <x:c r="B149" s="2" t="str">
        <x:v>2026-09-30</x:v>
      </x:c>
      <x:c r="C149" s="9" t="n">
        <x:v>17500</x:v>
      </x:c>
      <x:c r="D149" s="9" t="n">
        <x:v>78.75</x:v>
      </x:c>
      <x:c r="E149" s="9" t="n">
        <x:v>0</x:v>
      </x:c>
      <x:c r="F149" s="9" t="n">
        <x:v>700</x:v>
      </x:c>
      <x:c r="G149" s="9" t="n">
        <x:v>78.75</x:v>
      </x:c>
      <x:c r="H149" s="9" t="n">
        <x:v>0</x:v>
      </x:c>
      <x:c r="I149" s="11" t="n">
        <x:f>SUM(F149:H149)</x:f>
        <x:v>778.75</x:v>
      </x:c>
      <x:c r="J149" s="11" t="n">
        <x:f>C149-F149</x:f>
        <x:v>16800</x:v>
      </x:c>
      <x:c r="K149" s="9" t="n">
        <x:v>0</x:v>
      </x:c>
      <x:c r="L149" s="9" t="n">
        <x:v>0</x:v>
      </x:c>
      <x:c r="M149" s="11" t="n">
        <x:f>SUM(J149:L149)</x:f>
        <x:v>16800</x:v>
      </x:c>
      <x:c r="N149" s="2" t="str">
        <x:v>Monatszahlung gemäß Zahlungsauftrag</x:v>
      </x:c>
    </x:row>
    <x:row r="150" ht="22" customHeight="1">
      <x:c r="A150" s="2" t="str">
        <x:v>APB-0013</x:v>
      </x:c>
      <x:c r="B150" s="2" t="str">
        <x:v>2025-10-31</x:v>
      </x:c>
      <x:c r="C150" s="9" t="n">
        <x:v>7200</x:v>
      </x:c>
      <x:c r="D150" s="9" t="n">
        <x:v>25.2</x:v>
      </x:c>
      <x:c r="E150" s="9" t="n">
        <x:v>0</x:v>
      </x:c>
      <x:c r="F150" s="9" t="n">
        <x:v>200</x:v>
      </x:c>
      <x:c r="G150" s="9" t="n">
        <x:v>25.2</x:v>
      </x:c>
      <x:c r="H150" s="9" t="n">
        <x:v>0</x:v>
      </x:c>
      <x:c r="I150" s="11" t="n">
        <x:f>SUM(F150:H150)</x:f>
        <x:v>225.2</x:v>
      </x:c>
      <x:c r="J150" s="11" t="n">
        <x:f>C150-F150</x:f>
        <x:v>7000</x:v>
      </x:c>
      <x:c r="K150" s="9" t="n">
        <x:v>0</x:v>
      </x:c>
      <x:c r="L150" s="9" t="n">
        <x:v>0</x:v>
      </x:c>
      <x:c r="M150" s="11" t="n">
        <x:f>SUM(J150:L150)</x:f>
        <x:v>7000</x:v>
      </x:c>
      <x:c r="N150" s="2" t="str">
        <x:v>Monatszahlung gemäß Zahlungsauftrag</x:v>
      </x:c>
    </x:row>
    <x:row r="151" ht="22" customHeight="1">
      <x:c r="A151" s="2" t="str">
        <x:v>APB-0013</x:v>
      </x:c>
      <x:c r="B151" s="2" t="str">
        <x:v>2025-11-30</x:v>
      </x:c>
      <x:c r="C151" s="9" t="n">
        <x:v>7000</x:v>
      </x:c>
      <x:c r="D151" s="9" t="n">
        <x:v>24.5</x:v>
      </x:c>
      <x:c r="E151" s="9" t="n">
        <x:v>0</x:v>
      </x:c>
      <x:c r="F151" s="9" t="n">
        <x:v>200</x:v>
      </x:c>
      <x:c r="G151" s="9" t="n">
        <x:v>24.5</x:v>
      </x:c>
      <x:c r="H151" s="9" t="n">
        <x:v>0</x:v>
      </x:c>
      <x:c r="I151" s="11" t="n">
        <x:f>SUM(F151:H151)</x:f>
        <x:v>224.5</x:v>
      </x:c>
      <x:c r="J151" s="11" t="n">
        <x:f>C151-F151</x:f>
        <x:v>6800</x:v>
      </x:c>
      <x:c r="K151" s="9" t="n">
        <x:v>0</x:v>
      </x:c>
      <x:c r="L151" s="9" t="n">
        <x:v>0</x:v>
      </x:c>
      <x:c r="M151" s="11" t="n">
        <x:f>SUM(J151:L151)</x:f>
        <x:v>6800</x:v>
      </x:c>
      <x:c r="N151" s="2" t="str">
        <x:v>Monatszahlung gemäß Zahlungsauftrag</x:v>
      </x:c>
    </x:row>
    <x:row r="152" ht="22" customHeight="1">
      <x:c r="A152" s="2" t="str">
        <x:v>APB-0013</x:v>
      </x:c>
      <x:c r="B152" s="2" t="str">
        <x:v>2025-12-31</x:v>
      </x:c>
      <x:c r="C152" s="9" t="n">
        <x:v>6800</x:v>
      </x:c>
      <x:c r="D152" s="9" t="n">
        <x:v>23.8</x:v>
      </x:c>
      <x:c r="E152" s="9" t="n">
        <x:v>0</x:v>
      </x:c>
      <x:c r="F152" s="9" t="n">
        <x:v>200</x:v>
      </x:c>
      <x:c r="G152" s="9" t="n">
        <x:v>23.8</x:v>
      </x:c>
      <x:c r="H152" s="9" t="n">
        <x:v>0</x:v>
      </x:c>
      <x:c r="I152" s="11" t="n">
        <x:f>SUM(F152:H152)</x:f>
        <x:v>223.8</x:v>
      </x:c>
      <x:c r="J152" s="11" t="n">
        <x:f>C152-F152</x:f>
        <x:v>6600</x:v>
      </x:c>
      <x:c r="K152" s="9" t="n">
        <x:v>0</x:v>
      </x:c>
      <x:c r="L152" s="9" t="n">
        <x:v>0</x:v>
      </x:c>
      <x:c r="M152" s="11" t="n">
        <x:f>SUM(J152:L152)</x:f>
        <x:v>6600</x:v>
      </x:c>
      <x:c r="N152" s="2" t="str">
        <x:v>Monatszahlung gemäß Zahlungsauftrag</x:v>
      </x:c>
    </x:row>
    <x:row r="153" ht="22" customHeight="1">
      <x:c r="A153" s="2" t="str">
        <x:v>APB-0013</x:v>
      </x:c>
      <x:c r="B153" s="2" t="str">
        <x:v>2026-01-31</x:v>
      </x:c>
      <x:c r="C153" s="9" t="n">
        <x:v>6600</x:v>
      </x:c>
      <x:c r="D153" s="9" t="n">
        <x:v>23.1</x:v>
      </x:c>
      <x:c r="E153" s="9" t="n">
        <x:v>0</x:v>
      </x:c>
      <x:c r="F153" s="9" t="n">
        <x:v>200</x:v>
      </x:c>
      <x:c r="G153" s="9" t="n">
        <x:v>23.1</x:v>
      </x:c>
      <x:c r="H153" s="9" t="n">
        <x:v>0</x:v>
      </x:c>
      <x:c r="I153" s="11" t="n">
        <x:f>SUM(F153:H153)</x:f>
        <x:v>223.1</x:v>
      </x:c>
      <x:c r="J153" s="11" t="n">
        <x:f>C153-F153</x:f>
        <x:v>6400</x:v>
      </x:c>
      <x:c r="K153" s="9" t="n">
        <x:v>0</x:v>
      </x:c>
      <x:c r="L153" s="9" t="n">
        <x:v>0</x:v>
      </x:c>
      <x:c r="M153" s="11" t="n">
        <x:f>SUM(J153:L153)</x:f>
        <x:v>6400</x:v>
      </x:c>
      <x:c r="N153" s="2" t="str">
        <x:v>Monatszahlung gemäß Zahlungsauftrag</x:v>
      </x:c>
    </x:row>
    <x:row r="154" ht="22" customHeight="1">
      <x:c r="A154" s="2" t="str">
        <x:v>APB-0013</x:v>
      </x:c>
      <x:c r="B154" s="2" t="str">
        <x:v>2026-02-28</x:v>
      </x:c>
      <x:c r="C154" s="9" t="n">
        <x:v>6400</x:v>
      </x:c>
      <x:c r="D154" s="9" t="n">
        <x:v>22.4</x:v>
      </x:c>
      <x:c r="E154" s="9" t="n">
        <x:v>0</x:v>
      </x:c>
      <x:c r="F154" s="9" t="n">
        <x:v>200</x:v>
      </x:c>
      <x:c r="G154" s="9" t="n">
        <x:v>22.4</x:v>
      </x:c>
      <x:c r="H154" s="9" t="n">
        <x:v>0</x:v>
      </x:c>
      <x:c r="I154" s="11" t="n">
        <x:f>SUM(F154:H154)</x:f>
        <x:v>222.4</x:v>
      </x:c>
      <x:c r="J154" s="11" t="n">
        <x:f>C154-F154</x:f>
        <x:v>6200</x:v>
      </x:c>
      <x:c r="K154" s="9" t="n">
        <x:v>0</x:v>
      </x:c>
      <x:c r="L154" s="9" t="n">
        <x:v>0</x:v>
      </x:c>
      <x:c r="M154" s="11" t="n">
        <x:f>SUM(J154:L154)</x:f>
        <x:v>6200</x:v>
      </x:c>
      <x:c r="N154" s="2" t="str">
        <x:v>Monatszahlung gemäß Zahlungsauftrag</x:v>
      </x:c>
    </x:row>
    <x:row r="155" ht="22" customHeight="1">
      <x:c r="A155" s="2" t="str">
        <x:v>APB-0013</x:v>
      </x:c>
      <x:c r="B155" s="2" t="str">
        <x:v>2026-03-31</x:v>
      </x:c>
      <x:c r="C155" s="9" t="n">
        <x:v>6200</x:v>
      </x:c>
      <x:c r="D155" s="9" t="n">
        <x:v>21.7</x:v>
      </x:c>
      <x:c r="E155" s="9" t="n">
        <x:v>0</x:v>
      </x:c>
      <x:c r="F155" s="9" t="n">
        <x:v>200</x:v>
      </x:c>
      <x:c r="G155" s="9" t="n">
        <x:v>21.7</x:v>
      </x:c>
      <x:c r="H155" s="9" t="n">
        <x:v>0</x:v>
      </x:c>
      <x:c r="I155" s="11" t="n">
        <x:f>SUM(F155:H155)</x:f>
        <x:v>221.7</x:v>
      </x:c>
      <x:c r="J155" s="11" t="n">
        <x:f>C155-F155</x:f>
        <x:v>6000</x:v>
      </x:c>
      <x:c r="K155" s="9" t="n">
        <x:v>0</x:v>
      </x:c>
      <x:c r="L155" s="9" t="n">
        <x:v>0</x:v>
      </x:c>
      <x:c r="M155" s="11" t="n">
        <x:f>SUM(J155:L155)</x:f>
        <x:v>6000</x:v>
      </x:c>
      <x:c r="N155" s="2" t="str">
        <x:v>Monatszahlung gemäß Zahlungsauftrag</x:v>
      </x:c>
    </x:row>
    <x:row r="156" ht="22" customHeight="1">
      <x:c r="A156" s="2" t="str">
        <x:v>APB-0013</x:v>
      </x:c>
      <x:c r="B156" s="2" t="str">
        <x:v>2026-04-30</x:v>
      </x:c>
      <x:c r="C156" s="9" t="n">
        <x:v>6000</x:v>
      </x:c>
      <x:c r="D156" s="9" t="n">
        <x:v>21</x:v>
      </x:c>
      <x:c r="E156" s="9" t="n">
        <x:v>0</x:v>
      </x:c>
      <x:c r="F156" s="9" t="n">
        <x:v>200</x:v>
      </x:c>
      <x:c r="G156" s="9" t="n">
        <x:v>21</x:v>
      </x:c>
      <x:c r="H156" s="9" t="n">
        <x:v>0</x:v>
      </x:c>
      <x:c r="I156" s="11" t="n">
        <x:f>SUM(F156:H156)</x:f>
        <x:v>221</x:v>
      </x:c>
      <x:c r="J156" s="11" t="n">
        <x:f>C156-F156</x:f>
        <x:v>5800</x:v>
      </x:c>
      <x:c r="K156" s="9" t="n">
        <x:v>0</x:v>
      </x:c>
      <x:c r="L156" s="9" t="n">
        <x:v>0</x:v>
      </x:c>
      <x:c r="M156" s="11" t="n">
        <x:f>SUM(J156:L156)</x:f>
        <x:v>5800</x:v>
      </x:c>
      <x:c r="N156" s="2" t="str">
        <x:v>Monatszahlung gemäß Zahlungsauftrag</x:v>
      </x:c>
    </x:row>
    <x:row r="157" ht="22" customHeight="1">
      <x:c r="A157" s="2" t="str">
        <x:v>APB-0013</x:v>
      </x:c>
      <x:c r="B157" s="2" t="str">
        <x:v>2026-05-31</x:v>
      </x:c>
      <x:c r="C157" s="9" t="n">
        <x:v>5800</x:v>
      </x:c>
      <x:c r="D157" s="9" t="n">
        <x:v>20.3</x:v>
      </x:c>
      <x:c r="E157" s="9" t="n">
        <x:v>0</x:v>
      </x:c>
      <x:c r="F157" s="9" t="n">
        <x:v>200</x:v>
      </x:c>
      <x:c r="G157" s="9" t="n">
        <x:v>20.3</x:v>
      </x:c>
      <x:c r="H157" s="9" t="n">
        <x:v>0</x:v>
      </x:c>
      <x:c r="I157" s="11" t="n">
        <x:f>SUM(F157:H157)</x:f>
        <x:v>220.3</x:v>
      </x:c>
      <x:c r="J157" s="11" t="n">
        <x:f>C157-F157</x:f>
        <x:v>5600</x:v>
      </x:c>
      <x:c r="K157" s="9" t="n">
        <x:v>0</x:v>
      </x:c>
      <x:c r="L157" s="9" t="n">
        <x:v>0</x:v>
      </x:c>
      <x:c r="M157" s="11" t="n">
        <x:f>SUM(J157:L157)</x:f>
        <x:v>5600</x:v>
      </x:c>
      <x:c r="N157" s="2" t="str">
        <x:v>Monatszahlung gemäß Zahlungsauftrag</x:v>
      </x:c>
    </x:row>
    <x:row r="158" ht="22" customHeight="1">
      <x:c r="A158" s="2" t="str">
        <x:v>APB-0013</x:v>
      </x:c>
      <x:c r="B158" s="2" t="str">
        <x:v>2026-06-30</x:v>
      </x:c>
      <x:c r="C158" s="9" t="n">
        <x:v>5600</x:v>
      </x:c>
      <x:c r="D158" s="9" t="n">
        <x:v>19.6</x:v>
      </x:c>
      <x:c r="E158" s="9" t="n">
        <x:v>0</x:v>
      </x:c>
      <x:c r="F158" s="9" t="n">
        <x:v>200</x:v>
      </x:c>
      <x:c r="G158" s="9" t="n">
        <x:v>19.6</x:v>
      </x:c>
      <x:c r="H158" s="9" t="n">
        <x:v>0</x:v>
      </x:c>
      <x:c r="I158" s="11" t="n">
        <x:f>SUM(F158:H158)</x:f>
        <x:v>219.6</x:v>
      </x:c>
      <x:c r="J158" s="11" t="n">
        <x:f>C158-F158</x:f>
        <x:v>5400</x:v>
      </x:c>
      <x:c r="K158" s="9" t="n">
        <x:v>0</x:v>
      </x:c>
      <x:c r="L158" s="9" t="n">
        <x:v>0</x:v>
      </x:c>
      <x:c r="M158" s="11" t="n">
        <x:f>SUM(J158:L158)</x:f>
        <x:v>5400</x:v>
      </x:c>
      <x:c r="N158" s="2" t="str">
        <x:v>Monatszahlung gemäß Zahlungsauftrag</x:v>
      </x:c>
    </x:row>
    <x:row r="159" ht="22" customHeight="1">
      <x:c r="A159" s="2" t="str">
        <x:v>APB-0013</x:v>
      </x:c>
      <x:c r="B159" s="2" t="str">
        <x:v>2026-07-31</x:v>
      </x:c>
      <x:c r="C159" s="9" t="n">
        <x:v>5400</x:v>
      </x:c>
      <x:c r="D159" s="9" t="n">
        <x:v>18.9</x:v>
      </x:c>
      <x:c r="E159" s="9" t="n">
        <x:v>0</x:v>
      </x:c>
      <x:c r="F159" s="9" t="n">
        <x:v>200</x:v>
      </x:c>
      <x:c r="G159" s="9" t="n">
        <x:v>18.9</x:v>
      </x:c>
      <x:c r="H159" s="9" t="n">
        <x:v>0</x:v>
      </x:c>
      <x:c r="I159" s="11" t="n">
        <x:f>SUM(F159:H159)</x:f>
        <x:v>218.9</x:v>
      </x:c>
      <x:c r="J159" s="11" t="n">
        <x:f>C159-F159</x:f>
        <x:v>5200</x:v>
      </x:c>
      <x:c r="K159" s="9" t="n">
        <x:v>0</x:v>
      </x:c>
      <x:c r="L159" s="9" t="n">
        <x:v>0</x:v>
      </x:c>
      <x:c r="M159" s="11" t="n">
        <x:f>SUM(J159:L159)</x:f>
        <x:v>5200</x:v>
      </x:c>
      <x:c r="N159" s="2" t="str">
        <x:v>Monatszahlung gemäß Zahlungsauftrag</x:v>
      </x:c>
    </x:row>
    <x:row r="160" ht="22" customHeight="1">
      <x:c r="A160" s="2" t="str">
        <x:v>APB-0013</x:v>
      </x:c>
      <x:c r="B160" s="2" t="str">
        <x:v>2026-08-31</x:v>
      </x:c>
      <x:c r="C160" s="9" t="n">
        <x:v>5200</x:v>
      </x:c>
      <x:c r="D160" s="9" t="n">
        <x:v>18.2</x:v>
      </x:c>
      <x:c r="E160" s="9" t="n">
        <x:v>0</x:v>
      </x:c>
      <x:c r="F160" s="9" t="n">
        <x:v>200</x:v>
      </x:c>
      <x:c r="G160" s="9" t="n">
        <x:v>18.2</x:v>
      </x:c>
      <x:c r="H160" s="9" t="n">
        <x:v>0</x:v>
      </x:c>
      <x:c r="I160" s="11" t="n">
        <x:f>SUM(F160:H160)</x:f>
        <x:v>218.2</x:v>
      </x:c>
      <x:c r="J160" s="11" t="n">
        <x:f>C160-F160</x:f>
        <x:v>5000</x:v>
      </x:c>
      <x:c r="K160" s="9" t="n">
        <x:v>0</x:v>
      </x:c>
      <x:c r="L160" s="9" t="n">
        <x:v>0</x:v>
      </x:c>
      <x:c r="M160" s="11" t="n">
        <x:f>SUM(J160:L160)</x:f>
        <x:v>5000</x:v>
      </x:c>
      <x:c r="N160" s="2" t="str">
        <x:v>Monatszahlung gemäß Zahlungsauftrag</x:v>
      </x:c>
    </x:row>
    <x:row r="161" ht="22" customHeight="1">
      <x:c r="A161" s="2" t="str">
        <x:v>APB-0013</x:v>
      </x:c>
      <x:c r="B161" s="2" t="str">
        <x:v>2026-09-30</x:v>
      </x:c>
      <x:c r="C161" s="9" t="n">
        <x:v>5000</x:v>
      </x:c>
      <x:c r="D161" s="9" t="n">
        <x:v>17.5</x:v>
      </x:c>
      <x:c r="E161" s="9" t="n">
        <x:v>0</x:v>
      </x:c>
      <x:c r="F161" s="9" t="n">
        <x:v>0</x:v>
      </x:c>
      <x:c r="G161" s="9" t="n">
        <x:v>0</x:v>
      </x:c>
      <x:c r="H161" s="9" t="n">
        <x:v>0</x:v>
      </x:c>
      <x:c r="I161" s="11" t="n">
        <x:f>SUM(F161:H161)</x:f>
        <x:v>0</x:v>
      </x:c>
      <x:c r="J161" s="11" t="n">
        <x:f>C161-F161</x:f>
        <x:v>5000</x:v>
      </x:c>
      <x:c r="K161" s="9" t="n">
        <x:v>17.5</x:v>
      </x:c>
      <x:c r="L161" s="9" t="n">
        <x:v>0</x:v>
      </x:c>
      <x:c r="M161" s="11" t="n">
        <x:f>SUM(J161:L161)</x:f>
        <x:v>5017.5</x:v>
      </x:c>
      <x:c r="N161" s="2" t="str">
        <x:v>Kein Eingang im Mittagsauszug</x:v>
      </x:c>
    </x:row>
    <x:row r="162" ht="22" customHeight="1">
      <x:c r="A162" s="2" t="str">
        <x:v>APB-0014</x:v>
      </x:c>
      <x:c r="B162" s="2" t="str">
        <x:v>2025-10-31</x:v>
      </x:c>
      <x:c r="C162" s="9" t="n">
        <x:v>10800</x:v>
      </x:c>
      <x:c r="D162" s="9" t="n">
        <x:v>54</x:v>
      </x:c>
      <x:c r="E162" s="9" t="n">
        <x:v>0</x:v>
      </x:c>
      <x:c r="F162" s="9" t="n">
        <x:v>300</x:v>
      </x:c>
      <x:c r="G162" s="9" t="n">
        <x:v>54</x:v>
      </x:c>
      <x:c r="H162" s="9" t="n">
        <x:v>0</x:v>
      </x:c>
      <x:c r="I162" s="11" t="n">
        <x:f>SUM(F162:H162)</x:f>
        <x:v>354</x:v>
      </x:c>
      <x:c r="J162" s="11" t="n">
        <x:f>C162-F162</x:f>
        <x:v>10500</x:v>
      </x:c>
      <x:c r="K162" s="9" t="n">
        <x:v>0</x:v>
      </x:c>
      <x:c r="L162" s="9" t="n">
        <x:v>0</x:v>
      </x:c>
      <x:c r="M162" s="11" t="n">
        <x:f>SUM(J162:L162)</x:f>
        <x:v>10500</x:v>
      </x:c>
      <x:c r="N162" s="2" t="str">
        <x:v>Monatszahlung gemäß Zahlungsauftrag</x:v>
      </x:c>
    </x:row>
    <x:row r="163" ht="22" customHeight="1">
      <x:c r="A163" s="2" t="str">
        <x:v>APB-0014</x:v>
      </x:c>
      <x:c r="B163" s="2" t="str">
        <x:v>2025-11-30</x:v>
      </x:c>
      <x:c r="C163" s="9" t="n">
        <x:v>10500</x:v>
      </x:c>
      <x:c r="D163" s="9" t="n">
        <x:v>52.5</x:v>
      </x:c>
      <x:c r="E163" s="9" t="n">
        <x:v>0</x:v>
      </x:c>
      <x:c r="F163" s="9" t="n">
        <x:v>300</x:v>
      </x:c>
      <x:c r="G163" s="9" t="n">
        <x:v>52.5</x:v>
      </x:c>
      <x:c r="H163" s="9" t="n">
        <x:v>0</x:v>
      </x:c>
      <x:c r="I163" s="11" t="n">
        <x:f>SUM(F163:H163)</x:f>
        <x:v>352.5</x:v>
      </x:c>
      <x:c r="J163" s="11" t="n">
        <x:f>C163-F163</x:f>
        <x:v>10200</x:v>
      </x:c>
      <x:c r="K163" s="9" t="n">
        <x:v>0</x:v>
      </x:c>
      <x:c r="L163" s="9" t="n">
        <x:v>0</x:v>
      </x:c>
      <x:c r="M163" s="11" t="n">
        <x:f>SUM(J163:L163)</x:f>
        <x:v>10200</x:v>
      </x:c>
      <x:c r="N163" s="2" t="str">
        <x:v>Monatszahlung gemäß Zahlungsauftrag</x:v>
      </x:c>
    </x:row>
    <x:row r="164" ht="22" customHeight="1">
      <x:c r="A164" s="2" t="str">
        <x:v>APB-0014</x:v>
      </x:c>
      <x:c r="B164" s="2" t="str">
        <x:v>2025-12-31</x:v>
      </x:c>
      <x:c r="C164" s="9" t="n">
        <x:v>10200</x:v>
      </x:c>
      <x:c r="D164" s="9" t="n">
        <x:v>51</x:v>
      </x:c>
      <x:c r="E164" s="9" t="n">
        <x:v>0</x:v>
      </x:c>
      <x:c r="F164" s="9" t="n">
        <x:v>300</x:v>
      </x:c>
      <x:c r="G164" s="9" t="n">
        <x:v>51</x:v>
      </x:c>
      <x:c r="H164" s="9" t="n">
        <x:v>0</x:v>
      </x:c>
      <x:c r="I164" s="11" t="n">
        <x:f>SUM(F164:H164)</x:f>
        <x:v>351</x:v>
      </x:c>
      <x:c r="J164" s="11" t="n">
        <x:f>C164-F164</x:f>
        <x:v>9900</x:v>
      </x:c>
      <x:c r="K164" s="9" t="n">
        <x:v>0</x:v>
      </x:c>
      <x:c r="L164" s="9" t="n">
        <x:v>0</x:v>
      </x:c>
      <x:c r="M164" s="11" t="n">
        <x:f>SUM(J164:L164)</x:f>
        <x:v>9900</x:v>
      </x:c>
      <x:c r="N164" s="2" t="str">
        <x:v>Monatszahlung gemäß Zahlungsauftrag</x:v>
      </x:c>
    </x:row>
    <x:row r="165" ht="22" customHeight="1">
      <x:c r="A165" s="2" t="str">
        <x:v>APB-0014</x:v>
      </x:c>
      <x:c r="B165" s="2" t="str">
        <x:v>2026-01-31</x:v>
      </x:c>
      <x:c r="C165" s="9" t="n">
        <x:v>9900</x:v>
      </x:c>
      <x:c r="D165" s="9" t="n">
        <x:v>49.5</x:v>
      </x:c>
      <x:c r="E165" s="9" t="n">
        <x:v>0</x:v>
      </x:c>
      <x:c r="F165" s="9" t="n">
        <x:v>300</x:v>
      </x:c>
      <x:c r="G165" s="9" t="n">
        <x:v>49.5</x:v>
      </x:c>
      <x:c r="H165" s="9" t="n">
        <x:v>0</x:v>
      </x:c>
      <x:c r="I165" s="11" t="n">
        <x:f>SUM(F165:H165)</x:f>
        <x:v>349.5</x:v>
      </x:c>
      <x:c r="J165" s="11" t="n">
        <x:f>C165-F165</x:f>
        <x:v>9600</x:v>
      </x:c>
      <x:c r="K165" s="9" t="n">
        <x:v>0</x:v>
      </x:c>
      <x:c r="L165" s="9" t="n">
        <x:v>0</x:v>
      </x:c>
      <x:c r="M165" s="11" t="n">
        <x:f>SUM(J165:L165)</x:f>
        <x:v>9600</x:v>
      </x:c>
      <x:c r="N165" s="2" t="str">
        <x:v>Monatszahlung gemäß Zahlungsauftrag</x:v>
      </x:c>
    </x:row>
    <x:row r="166" ht="22" customHeight="1">
      <x:c r="A166" s="2" t="str">
        <x:v>APB-0014</x:v>
      </x:c>
      <x:c r="B166" s="2" t="str">
        <x:v>2026-02-28</x:v>
      </x:c>
      <x:c r="C166" s="9" t="n">
        <x:v>9600</x:v>
      </x:c>
      <x:c r="D166" s="9" t="n">
        <x:v>48</x:v>
      </x:c>
      <x:c r="E166" s="9" t="n">
        <x:v>0</x:v>
      </x:c>
      <x:c r="F166" s="9" t="n">
        <x:v>300</x:v>
      </x:c>
      <x:c r="G166" s="9" t="n">
        <x:v>48</x:v>
      </x:c>
      <x:c r="H166" s="9" t="n">
        <x:v>0</x:v>
      </x:c>
      <x:c r="I166" s="11" t="n">
        <x:f>SUM(F166:H166)</x:f>
        <x:v>348</x:v>
      </x:c>
      <x:c r="J166" s="11" t="n">
        <x:f>C166-F166</x:f>
        <x:v>9300</x:v>
      </x:c>
      <x:c r="K166" s="9" t="n">
        <x:v>0</x:v>
      </x:c>
      <x:c r="L166" s="9" t="n">
        <x:v>0</x:v>
      </x:c>
      <x:c r="M166" s="11" t="n">
        <x:f>SUM(J166:L166)</x:f>
        <x:v>9300</x:v>
      </x:c>
      <x:c r="N166" s="2" t="str">
        <x:v>Monatszahlung gemäß Zahlungsauftrag</x:v>
      </x:c>
    </x:row>
    <x:row r="167" ht="22" customHeight="1">
      <x:c r="A167" s="2" t="str">
        <x:v>APB-0014</x:v>
      </x:c>
      <x:c r="B167" s="2" t="str">
        <x:v>2026-03-31</x:v>
      </x:c>
      <x:c r="C167" s="9" t="n">
        <x:v>9300</x:v>
      </x:c>
      <x:c r="D167" s="9" t="n">
        <x:v>46.5</x:v>
      </x:c>
      <x:c r="E167" s="9" t="n">
        <x:v>0</x:v>
      </x:c>
      <x:c r="F167" s="9" t="n">
        <x:v>300</x:v>
      </x:c>
      <x:c r="G167" s="9" t="n">
        <x:v>46.5</x:v>
      </x:c>
      <x:c r="H167" s="9" t="n">
        <x:v>0</x:v>
      </x:c>
      <x:c r="I167" s="11" t="n">
        <x:f>SUM(F167:H167)</x:f>
        <x:v>346.5</x:v>
      </x:c>
      <x:c r="J167" s="11" t="n">
        <x:f>C167-F167</x:f>
        <x:v>9000</x:v>
      </x:c>
      <x:c r="K167" s="9" t="n">
        <x:v>0</x:v>
      </x:c>
      <x:c r="L167" s="9" t="n">
        <x:v>0</x:v>
      </x:c>
      <x:c r="M167" s="11" t="n">
        <x:f>SUM(J167:L167)</x:f>
        <x:v>9000</x:v>
      </x:c>
      <x:c r="N167" s="2" t="str">
        <x:v>Monatszahlung gemäß Zahlungsauftrag</x:v>
      </x:c>
    </x:row>
    <x:row r="168" ht="22" customHeight="1">
      <x:c r="A168" s="2" t="str">
        <x:v>APB-0014</x:v>
      </x:c>
      <x:c r="B168" s="2" t="str">
        <x:v>2026-04-30</x:v>
      </x:c>
      <x:c r="C168" s="9" t="n">
        <x:v>9000</x:v>
      </x:c>
      <x:c r="D168" s="9" t="n">
        <x:v>45</x:v>
      </x:c>
      <x:c r="E168" s="9" t="n">
        <x:v>0</x:v>
      </x:c>
      <x:c r="F168" s="9" t="n">
        <x:v>300</x:v>
      </x:c>
      <x:c r="G168" s="9" t="n">
        <x:v>45</x:v>
      </x:c>
      <x:c r="H168" s="9" t="n">
        <x:v>0</x:v>
      </x:c>
      <x:c r="I168" s="11" t="n">
        <x:f>SUM(F168:H168)</x:f>
        <x:v>345</x:v>
      </x:c>
      <x:c r="J168" s="11" t="n">
        <x:f>C168-F168</x:f>
        <x:v>8700</x:v>
      </x:c>
      <x:c r="K168" s="9" t="n">
        <x:v>0</x:v>
      </x:c>
      <x:c r="L168" s="9" t="n">
        <x:v>0</x:v>
      </x:c>
      <x:c r="M168" s="11" t="n">
        <x:f>SUM(J168:L168)</x:f>
        <x:v>8700</x:v>
      </x:c>
      <x:c r="N168" s="2" t="str">
        <x:v>Monatszahlung gemäß Zahlungsauftrag</x:v>
      </x:c>
    </x:row>
    <x:row r="169" ht="22" customHeight="1">
      <x:c r="A169" s="2" t="str">
        <x:v>APB-0014</x:v>
      </x:c>
      <x:c r="B169" s="2" t="str">
        <x:v>2026-05-31</x:v>
      </x:c>
      <x:c r="C169" s="9" t="n">
        <x:v>8700</x:v>
      </x:c>
      <x:c r="D169" s="9" t="n">
        <x:v>43.5</x:v>
      </x:c>
      <x:c r="E169" s="9" t="n">
        <x:v>0</x:v>
      </x:c>
      <x:c r="F169" s="9" t="n">
        <x:v>300</x:v>
      </x:c>
      <x:c r="G169" s="9" t="n">
        <x:v>43.5</x:v>
      </x:c>
      <x:c r="H169" s="9" t="n">
        <x:v>0</x:v>
      </x:c>
      <x:c r="I169" s="11" t="n">
        <x:f>SUM(F169:H169)</x:f>
        <x:v>343.5</x:v>
      </x:c>
      <x:c r="J169" s="11" t="n">
        <x:f>C169-F169</x:f>
        <x:v>8400</x:v>
      </x:c>
      <x:c r="K169" s="9" t="n">
        <x:v>0</x:v>
      </x:c>
      <x:c r="L169" s="9" t="n">
        <x:v>0</x:v>
      </x:c>
      <x:c r="M169" s="11" t="n">
        <x:f>SUM(J169:L169)</x:f>
        <x:v>8400</x:v>
      </x:c>
      <x:c r="N169" s="2" t="str">
        <x:v>Monatszahlung gemäß Zahlungsauftrag</x:v>
      </x:c>
    </x:row>
    <x:row r="170" ht="22" customHeight="1">
      <x:c r="A170" s="2" t="str">
        <x:v>APB-0014</x:v>
      </x:c>
      <x:c r="B170" s="2" t="str">
        <x:v>2026-06-30</x:v>
      </x:c>
      <x:c r="C170" s="9" t="n">
        <x:v>8400</x:v>
      </x:c>
      <x:c r="D170" s="9" t="n">
        <x:v>42</x:v>
      </x:c>
      <x:c r="E170" s="9" t="n">
        <x:v>0</x:v>
      </x:c>
      <x:c r="F170" s="9" t="n">
        <x:v>300</x:v>
      </x:c>
      <x:c r="G170" s="9" t="n">
        <x:v>42</x:v>
      </x:c>
      <x:c r="H170" s="9" t="n">
        <x:v>0</x:v>
      </x:c>
      <x:c r="I170" s="11" t="n">
        <x:f>SUM(F170:H170)</x:f>
        <x:v>342</x:v>
      </x:c>
      <x:c r="J170" s="11" t="n">
        <x:f>C170-F170</x:f>
        <x:v>8100</x:v>
      </x:c>
      <x:c r="K170" s="9" t="n">
        <x:v>0</x:v>
      </x:c>
      <x:c r="L170" s="9" t="n">
        <x:v>0</x:v>
      </x:c>
      <x:c r="M170" s="11" t="n">
        <x:f>SUM(J170:L170)</x:f>
        <x:v>8100</x:v>
      </x:c>
      <x:c r="N170" s="2" t="str">
        <x:v>Monatszahlung gemäß Zahlungsauftrag</x:v>
      </x:c>
    </x:row>
    <x:row r="171" ht="22" customHeight="1">
      <x:c r="A171" s="2" t="str">
        <x:v>APB-0014</x:v>
      </x:c>
      <x:c r="B171" s="2" t="str">
        <x:v>2026-07-31</x:v>
      </x:c>
      <x:c r="C171" s="9" t="n">
        <x:v>8100</x:v>
      </x:c>
      <x:c r="D171" s="9" t="n">
        <x:v>40.5</x:v>
      </x:c>
      <x:c r="E171" s="9" t="n">
        <x:v>0</x:v>
      </x:c>
      <x:c r="F171" s="9" t="n">
        <x:v>300</x:v>
      </x:c>
      <x:c r="G171" s="9" t="n">
        <x:v>40.5</x:v>
      </x:c>
      <x:c r="H171" s="9" t="n">
        <x:v>0</x:v>
      </x:c>
      <x:c r="I171" s="11" t="n">
        <x:f>SUM(F171:H171)</x:f>
        <x:v>340.5</x:v>
      </x:c>
      <x:c r="J171" s="11" t="n">
        <x:f>C171-F171</x:f>
        <x:v>7800</x:v>
      </x:c>
      <x:c r="K171" s="9" t="n">
        <x:v>0</x:v>
      </x:c>
      <x:c r="L171" s="9" t="n">
        <x:v>0</x:v>
      </x:c>
      <x:c r="M171" s="11" t="n">
        <x:f>SUM(J171:L171)</x:f>
        <x:v>7800</x:v>
      </x:c>
      <x:c r="N171" s="2" t="str">
        <x:v>Monatszahlung gemäß Zahlungsauftrag</x:v>
      </x:c>
    </x:row>
    <x:row r="172" ht="22" customHeight="1">
      <x:c r="A172" s="2" t="str">
        <x:v>APB-0014</x:v>
      </x:c>
      <x:c r="B172" s="2" t="str">
        <x:v>2026-08-31</x:v>
      </x:c>
      <x:c r="C172" s="9" t="n">
        <x:v>7800</x:v>
      </x:c>
      <x:c r="D172" s="9" t="n">
        <x:v>39</x:v>
      </x:c>
      <x:c r="E172" s="9" t="n">
        <x:v>0</x:v>
      </x:c>
      <x:c r="F172" s="9" t="n">
        <x:v>300</x:v>
      </x:c>
      <x:c r="G172" s="9" t="n">
        <x:v>39</x:v>
      </x:c>
      <x:c r="H172" s="9" t="n">
        <x:v>0</x:v>
      </x:c>
      <x:c r="I172" s="11" t="n">
        <x:f>SUM(F172:H172)</x:f>
        <x:v>339</x:v>
      </x:c>
      <x:c r="J172" s="11" t="n">
        <x:f>C172-F172</x:f>
        <x:v>7500</x:v>
      </x:c>
      <x:c r="K172" s="9" t="n">
        <x:v>0</x:v>
      </x:c>
      <x:c r="L172" s="9" t="n">
        <x:v>0</x:v>
      </x:c>
      <x:c r="M172" s="11" t="n">
        <x:f>SUM(J172:L172)</x:f>
        <x:v>7500</x:v>
      </x:c>
      <x:c r="N172" s="2" t="str">
        <x:v>Monatszahlung gemäß Zahlungsauftrag</x:v>
      </x:c>
    </x:row>
    <x:row r="173" ht="22" customHeight="1">
      <x:c r="A173" s="2" t="str">
        <x:v>APB-0014</x:v>
      </x:c>
      <x:c r="B173" s="2" t="str">
        <x:v>2026-09-30</x:v>
      </x:c>
      <x:c r="C173" s="9" t="n">
        <x:v>7500</x:v>
      </x:c>
      <x:c r="D173" s="9" t="n">
        <x:v>37.5</x:v>
      </x:c>
      <x:c r="E173" s="9" t="n">
        <x:v>0</x:v>
      </x:c>
      <x:c r="F173" s="9" t="n">
        <x:v>0</x:v>
      </x:c>
      <x:c r="G173" s="9" t="n">
        <x:v>0</x:v>
      </x:c>
      <x:c r="H173" s="9" t="n">
        <x:v>0</x:v>
      </x:c>
      <x:c r="I173" s="11" t="n">
        <x:f>SUM(F173:H173)</x:f>
        <x:v>0</x:v>
      </x:c>
      <x:c r="J173" s="11" t="n">
        <x:f>C173-F173</x:f>
        <x:v>7500</x:v>
      </x:c>
      <x:c r="K173" s="9" t="n">
        <x:v>37.5</x:v>
      </x:c>
      <x:c r="L173" s="9" t="n">
        <x:v>0</x:v>
      </x:c>
      <x:c r="M173" s="11" t="n">
        <x:f>SUM(J173:L173)</x:f>
        <x:v>7537.5</x:v>
      </x:c>
      <x:c r="N173" s="2" t="str">
        <x:v>Kein Eingang im Mittagsauszug</x:v>
      </x:c>
    </x:row>
    <x:row r="174" ht="22" customHeight="1">
      <x:c r="A174" s="2" t="str">
        <x:v>APB-0015</x:v>
      </x:c>
      <x:c r="B174" s="2" t="str">
        <x:v>2025-10-31</x:v>
      </x:c>
      <x:c r="C174" s="9" t="n">
        <x:v>9000</x:v>
      </x:c>
      <x:c r="D174" s="9" t="n">
        <x:v>40.5</x:v>
      </x:c>
      <x:c r="E174" s="9" t="n">
        <x:v>0</x:v>
      </x:c>
      <x:c r="F174" s="9" t="n">
        <x:v>250</x:v>
      </x:c>
      <x:c r="G174" s="9" t="n">
        <x:v>40.5</x:v>
      </x:c>
      <x:c r="H174" s="9" t="n">
        <x:v>0</x:v>
      </x:c>
      <x:c r="I174" s="11" t="n">
        <x:f>SUM(F174:H174)</x:f>
        <x:v>290.5</x:v>
      </x:c>
      <x:c r="J174" s="11" t="n">
        <x:f>C174-F174</x:f>
        <x:v>8750</x:v>
      </x:c>
      <x:c r="K174" s="9" t="n">
        <x:v>0</x:v>
      </x:c>
      <x:c r="L174" s="9" t="n">
        <x:v>0</x:v>
      </x:c>
      <x:c r="M174" s="11" t="n">
        <x:f>SUM(J174:L174)</x:f>
        <x:v>8750</x:v>
      </x:c>
      <x:c r="N174" s="2" t="str">
        <x:v>Monatszahlung gemäß Zahlungsauftrag</x:v>
      </x:c>
    </x:row>
    <x:row r="175" ht="22" customHeight="1">
      <x:c r="A175" s="2" t="str">
        <x:v>APB-0015</x:v>
      </x:c>
      <x:c r="B175" s="2" t="str">
        <x:v>2025-11-30</x:v>
      </x:c>
      <x:c r="C175" s="9" t="n">
        <x:v>8750</x:v>
      </x:c>
      <x:c r="D175" s="9" t="n">
        <x:v>39.38</x:v>
      </x:c>
      <x:c r="E175" s="9" t="n">
        <x:v>0</x:v>
      </x:c>
      <x:c r="F175" s="9" t="n">
        <x:v>250</x:v>
      </x:c>
      <x:c r="G175" s="9" t="n">
        <x:v>39.38</x:v>
      </x:c>
      <x:c r="H175" s="9" t="n">
        <x:v>0</x:v>
      </x:c>
      <x:c r="I175" s="11" t="n">
        <x:f>SUM(F175:H175)</x:f>
        <x:v>289.38</x:v>
      </x:c>
      <x:c r="J175" s="11" t="n">
        <x:f>C175-F175</x:f>
        <x:v>8500</x:v>
      </x:c>
      <x:c r="K175" s="9" t="n">
        <x:v>0</x:v>
      </x:c>
      <x:c r="L175" s="9" t="n">
        <x:v>0</x:v>
      </x:c>
      <x:c r="M175" s="11" t="n">
        <x:f>SUM(J175:L175)</x:f>
        <x:v>8500</x:v>
      </x:c>
      <x:c r="N175" s="2" t="str">
        <x:v>Monatszahlung gemäß Zahlungsauftrag</x:v>
      </x:c>
    </x:row>
    <x:row r="176" ht="22" customHeight="1">
      <x:c r="A176" s="2" t="str">
        <x:v>APB-0015</x:v>
      </x:c>
      <x:c r="B176" s="2" t="str">
        <x:v>2025-12-31</x:v>
      </x:c>
      <x:c r="C176" s="9" t="n">
        <x:v>8500</x:v>
      </x:c>
      <x:c r="D176" s="9" t="n">
        <x:v>38.25</x:v>
      </x:c>
      <x:c r="E176" s="9" t="n">
        <x:v>0</x:v>
      </x:c>
      <x:c r="F176" s="9" t="n">
        <x:v>250</x:v>
      </x:c>
      <x:c r="G176" s="9" t="n">
        <x:v>38.25</x:v>
      </x:c>
      <x:c r="H176" s="9" t="n">
        <x:v>0</x:v>
      </x:c>
      <x:c r="I176" s="11" t="n">
        <x:f>SUM(F176:H176)</x:f>
        <x:v>288.25</x:v>
      </x:c>
      <x:c r="J176" s="11" t="n">
        <x:f>C176-F176</x:f>
        <x:v>8250</x:v>
      </x:c>
      <x:c r="K176" s="9" t="n">
        <x:v>0</x:v>
      </x:c>
      <x:c r="L176" s="9" t="n">
        <x:v>0</x:v>
      </x:c>
      <x:c r="M176" s="11" t="n">
        <x:f>SUM(J176:L176)</x:f>
        <x:v>8250</x:v>
      </x:c>
      <x:c r="N176" s="2" t="str">
        <x:v>Monatszahlung gemäß Zahlungsauftrag</x:v>
      </x:c>
    </x:row>
    <x:row r="177" ht="22" customHeight="1">
      <x:c r="A177" s="2" t="str">
        <x:v>APB-0015</x:v>
      </x:c>
      <x:c r="B177" s="2" t="str">
        <x:v>2026-01-31</x:v>
      </x:c>
      <x:c r="C177" s="9" t="n">
        <x:v>8250</x:v>
      </x:c>
      <x:c r="D177" s="9" t="n">
        <x:v>37.13</x:v>
      </x:c>
      <x:c r="E177" s="9" t="n">
        <x:v>0</x:v>
      </x:c>
      <x:c r="F177" s="9" t="n">
        <x:v>250</x:v>
      </x:c>
      <x:c r="G177" s="9" t="n">
        <x:v>37.13</x:v>
      </x:c>
      <x:c r="H177" s="9" t="n">
        <x:v>0</x:v>
      </x:c>
      <x:c r="I177" s="11" t="n">
        <x:f>SUM(F177:H177)</x:f>
        <x:v>287.13</x:v>
      </x:c>
      <x:c r="J177" s="11" t="n">
        <x:f>C177-F177</x:f>
        <x:v>8000</x:v>
      </x:c>
      <x:c r="K177" s="9" t="n">
        <x:v>0</x:v>
      </x:c>
      <x:c r="L177" s="9" t="n">
        <x:v>0</x:v>
      </x:c>
      <x:c r="M177" s="11" t="n">
        <x:f>SUM(J177:L177)</x:f>
        <x:v>8000</x:v>
      </x:c>
      <x:c r="N177" s="2" t="str">
        <x:v>Monatszahlung gemäß Zahlungsauftrag</x:v>
      </x:c>
    </x:row>
    <x:row r="178" ht="22" customHeight="1">
      <x:c r="A178" s="2" t="str">
        <x:v>APB-0015</x:v>
      </x:c>
      <x:c r="B178" s="2" t="str">
        <x:v>2026-02-28</x:v>
      </x:c>
      <x:c r="C178" s="9" t="n">
        <x:v>8000</x:v>
      </x:c>
      <x:c r="D178" s="9" t="n">
        <x:v>36</x:v>
      </x:c>
      <x:c r="E178" s="9" t="n">
        <x:v>0</x:v>
      </x:c>
      <x:c r="F178" s="9" t="n">
        <x:v>250</x:v>
      </x:c>
      <x:c r="G178" s="9" t="n">
        <x:v>36</x:v>
      </x:c>
      <x:c r="H178" s="9" t="n">
        <x:v>0</x:v>
      </x:c>
      <x:c r="I178" s="11" t="n">
        <x:f>SUM(F178:H178)</x:f>
        <x:v>286</x:v>
      </x:c>
      <x:c r="J178" s="11" t="n">
        <x:f>C178-F178</x:f>
        <x:v>7750</x:v>
      </x:c>
      <x:c r="K178" s="9" t="n">
        <x:v>0</x:v>
      </x:c>
      <x:c r="L178" s="9" t="n">
        <x:v>0</x:v>
      </x:c>
      <x:c r="M178" s="11" t="n">
        <x:f>SUM(J178:L178)</x:f>
        <x:v>7750</x:v>
      </x:c>
      <x:c r="N178" s="2" t="str">
        <x:v>Monatszahlung gemäß Zahlungsauftrag</x:v>
      </x:c>
    </x:row>
    <x:row r="179" ht="22" customHeight="1">
      <x:c r="A179" s="2" t="str">
        <x:v>APB-0015</x:v>
      </x:c>
      <x:c r="B179" s="2" t="str">
        <x:v>2026-03-31</x:v>
      </x:c>
      <x:c r="C179" s="9" t="n">
        <x:v>7750</x:v>
      </x:c>
      <x:c r="D179" s="9" t="n">
        <x:v>34.88</x:v>
      </x:c>
      <x:c r="E179" s="9" t="n">
        <x:v>0</x:v>
      </x:c>
      <x:c r="F179" s="9" t="n">
        <x:v>250</x:v>
      </x:c>
      <x:c r="G179" s="9" t="n">
        <x:v>34.88</x:v>
      </x:c>
      <x:c r="H179" s="9" t="n">
        <x:v>0</x:v>
      </x:c>
      <x:c r="I179" s="11" t="n">
        <x:f>SUM(F179:H179)</x:f>
        <x:v>284.88</x:v>
      </x:c>
      <x:c r="J179" s="11" t="n">
        <x:f>C179-F179</x:f>
        <x:v>7500</x:v>
      </x:c>
      <x:c r="K179" s="9" t="n">
        <x:v>0</x:v>
      </x:c>
      <x:c r="L179" s="9" t="n">
        <x:v>0</x:v>
      </x:c>
      <x:c r="M179" s="11" t="n">
        <x:f>SUM(J179:L179)</x:f>
        <x:v>7500</x:v>
      </x:c>
      <x:c r="N179" s="2" t="str">
        <x:v>Monatszahlung gemäß Zahlungsauftrag</x:v>
      </x:c>
    </x:row>
    <x:row r="180" ht="22" customHeight="1">
      <x:c r="A180" s="2" t="str">
        <x:v>APB-0015</x:v>
      </x:c>
      <x:c r="B180" s="2" t="str">
        <x:v>2026-04-30</x:v>
      </x:c>
      <x:c r="C180" s="9" t="n">
        <x:v>7500</x:v>
      </x:c>
      <x:c r="D180" s="9" t="n">
        <x:v>33.75</x:v>
      </x:c>
      <x:c r="E180" s="9" t="n">
        <x:v>0</x:v>
      </x:c>
      <x:c r="F180" s="9" t="n">
        <x:v>250</x:v>
      </x:c>
      <x:c r="G180" s="9" t="n">
        <x:v>33.75</x:v>
      </x:c>
      <x:c r="H180" s="9" t="n">
        <x:v>0</x:v>
      </x:c>
      <x:c r="I180" s="11" t="n">
        <x:f>SUM(F180:H180)</x:f>
        <x:v>283.75</x:v>
      </x:c>
      <x:c r="J180" s="11" t="n">
        <x:f>C180-F180</x:f>
        <x:v>7250</x:v>
      </x:c>
      <x:c r="K180" s="9" t="n">
        <x:v>0</x:v>
      </x:c>
      <x:c r="L180" s="9" t="n">
        <x:v>0</x:v>
      </x:c>
      <x:c r="M180" s="11" t="n">
        <x:f>SUM(J180:L180)</x:f>
        <x:v>7250</x:v>
      </x:c>
      <x:c r="N180" s="2" t="str">
        <x:v>Monatszahlung gemäß Zahlungsauftrag</x:v>
      </x:c>
    </x:row>
    <x:row r="181" ht="22" customHeight="1">
      <x:c r="A181" s="2" t="str">
        <x:v>APB-0015</x:v>
      </x:c>
      <x:c r="B181" s="2" t="str">
        <x:v>2026-05-31</x:v>
      </x:c>
      <x:c r="C181" s="9" t="n">
        <x:v>7250</x:v>
      </x:c>
      <x:c r="D181" s="9" t="n">
        <x:v>32.63</x:v>
      </x:c>
      <x:c r="E181" s="9" t="n">
        <x:v>0</x:v>
      </x:c>
      <x:c r="F181" s="9" t="n">
        <x:v>250</x:v>
      </x:c>
      <x:c r="G181" s="9" t="n">
        <x:v>32.63</x:v>
      </x:c>
      <x:c r="H181" s="9" t="n">
        <x:v>0</x:v>
      </x:c>
      <x:c r="I181" s="11" t="n">
        <x:f>SUM(F181:H181)</x:f>
        <x:v>282.63</x:v>
      </x:c>
      <x:c r="J181" s="11" t="n">
        <x:f>C181-F181</x:f>
        <x:v>7000</x:v>
      </x:c>
      <x:c r="K181" s="9" t="n">
        <x:v>0</x:v>
      </x:c>
      <x:c r="L181" s="9" t="n">
        <x:v>0</x:v>
      </x:c>
      <x:c r="M181" s="11" t="n">
        <x:f>SUM(J181:L181)</x:f>
        <x:v>7000</x:v>
      </x:c>
      <x:c r="N181" s="2" t="str">
        <x:v>Monatszahlung gemäß Zahlungsauftrag</x:v>
      </x:c>
    </x:row>
    <x:row r="182" ht="22" customHeight="1">
      <x:c r="A182" s="2" t="str">
        <x:v>APB-0015</x:v>
      </x:c>
      <x:c r="B182" s="2" t="str">
        <x:v>2026-06-30</x:v>
      </x:c>
      <x:c r="C182" s="9" t="n">
        <x:v>7000</x:v>
      </x:c>
      <x:c r="D182" s="9" t="n">
        <x:v>31.5</x:v>
      </x:c>
      <x:c r="E182" s="9" t="n">
        <x:v>0</x:v>
      </x:c>
      <x:c r="F182" s="9" t="n">
        <x:v>250</x:v>
      </x:c>
      <x:c r="G182" s="9" t="n">
        <x:v>31.5</x:v>
      </x:c>
      <x:c r="H182" s="9" t="n">
        <x:v>0</x:v>
      </x:c>
      <x:c r="I182" s="11" t="n">
        <x:f>SUM(F182:H182)</x:f>
        <x:v>281.5</x:v>
      </x:c>
      <x:c r="J182" s="11" t="n">
        <x:f>C182-F182</x:f>
        <x:v>6750</x:v>
      </x:c>
      <x:c r="K182" s="9" t="n">
        <x:v>0</x:v>
      </x:c>
      <x:c r="L182" s="9" t="n">
        <x:v>0</x:v>
      </x:c>
      <x:c r="M182" s="11" t="n">
        <x:f>SUM(J182:L182)</x:f>
        <x:v>6750</x:v>
      </x:c>
      <x:c r="N182" s="2" t="str">
        <x:v>Monatszahlung gemäß Zahlungsauftrag</x:v>
      </x:c>
    </x:row>
    <x:row r="183" ht="22" customHeight="1">
      <x:c r="A183" s="2" t="str">
        <x:v>APB-0015</x:v>
      </x:c>
      <x:c r="B183" s="2" t="str">
        <x:v>2026-07-31</x:v>
      </x:c>
      <x:c r="C183" s="9" t="n">
        <x:v>6750</x:v>
      </x:c>
      <x:c r="D183" s="9" t="n">
        <x:v>30.38</x:v>
      </x:c>
      <x:c r="E183" s="9" t="n">
        <x:v>0</x:v>
      </x:c>
      <x:c r="F183" s="9" t="n">
        <x:v>250</x:v>
      </x:c>
      <x:c r="G183" s="9" t="n">
        <x:v>30.38</x:v>
      </x:c>
      <x:c r="H183" s="9" t="n">
        <x:v>0</x:v>
      </x:c>
      <x:c r="I183" s="11" t="n">
        <x:f>SUM(F183:H183)</x:f>
        <x:v>280.38</x:v>
      </x:c>
      <x:c r="J183" s="11" t="n">
        <x:f>C183-F183</x:f>
        <x:v>6500</x:v>
      </x:c>
      <x:c r="K183" s="9" t="n">
        <x:v>0</x:v>
      </x:c>
      <x:c r="L183" s="9" t="n">
        <x:v>0</x:v>
      </x:c>
      <x:c r="M183" s="11" t="n">
        <x:f>SUM(J183:L183)</x:f>
        <x:v>6500</x:v>
      </x:c>
      <x:c r="N183" s="2" t="str">
        <x:v>Monatszahlung gemäß Zahlungsauftrag</x:v>
      </x:c>
    </x:row>
    <x:row r="184" ht="22" customHeight="1">
      <x:c r="A184" s="2" t="str">
        <x:v>APB-0015</x:v>
      </x:c>
      <x:c r="B184" s="2" t="str">
        <x:v>2026-08-31</x:v>
      </x:c>
      <x:c r="C184" s="9" t="n">
        <x:v>6500</x:v>
      </x:c>
      <x:c r="D184" s="9" t="n">
        <x:v>29.25</x:v>
      </x:c>
      <x:c r="E184" s="9" t="n">
        <x:v>0</x:v>
      </x:c>
      <x:c r="F184" s="9" t="n">
        <x:v>250</x:v>
      </x:c>
      <x:c r="G184" s="9" t="n">
        <x:v>29.25</x:v>
      </x:c>
      <x:c r="H184" s="9" t="n">
        <x:v>0</x:v>
      </x:c>
      <x:c r="I184" s="11" t="n">
        <x:f>SUM(F184:H184)</x:f>
        <x:v>279.25</x:v>
      </x:c>
      <x:c r="J184" s="11" t="n">
        <x:f>C184-F184</x:f>
        <x:v>6250</x:v>
      </x:c>
      <x:c r="K184" s="9" t="n">
        <x:v>0</x:v>
      </x:c>
      <x:c r="L184" s="9" t="n">
        <x:v>0</x:v>
      </x:c>
      <x:c r="M184" s="11" t="n">
        <x:f>SUM(J184:L184)</x:f>
        <x:v>6250</x:v>
      </x:c>
      <x:c r="N184" s="2" t="str">
        <x:v>Monatszahlung gemäß Zahlungsauftrag</x:v>
      </x:c>
    </x:row>
    <x:row r="185" ht="22" customHeight="1">
      <x:c r="A185" s="2" t="str">
        <x:v>APB-0015</x:v>
      </x:c>
      <x:c r="B185" s="2" t="str">
        <x:v>2026-09-30</x:v>
      </x:c>
      <x:c r="C185" s="9" t="n">
        <x:v>6250</x:v>
      </x:c>
      <x:c r="D185" s="9" t="n">
        <x:v>28.13</x:v>
      </x:c>
      <x:c r="E185" s="9" t="n">
        <x:v>0</x:v>
      </x:c>
      <x:c r="F185" s="9" t="n">
        <x:v>250</x:v>
      </x:c>
      <x:c r="G185" s="9" t="n">
        <x:v>28.13</x:v>
      </x:c>
      <x:c r="H185" s="9" t="n">
        <x:v>0</x:v>
      </x:c>
      <x:c r="I185" s="11" t="n">
        <x:f>SUM(F185:H185)</x:f>
        <x:v>278.13</x:v>
      </x:c>
      <x:c r="J185" s="11" t="n">
        <x:f>C185-F185</x:f>
        <x:v>6000</x:v>
      </x:c>
      <x:c r="K185" s="9" t="n">
        <x:v>0</x:v>
      </x:c>
      <x:c r="L185" s="9" t="n">
        <x:v>0</x:v>
      </x:c>
      <x:c r="M185" s="11" t="n">
        <x:f>SUM(J185:L185)</x:f>
        <x:v>6000</x:v>
      </x:c>
      <x:c r="N185" s="2" t="str">
        <x:v>Monatszahlung gemäß Zahlungsauftrag</x:v>
      </x:c>
    </x:row>
    <x:row r="186" ht="22" customHeight="1">
      <x:c r="A186" s="2" t="str">
        <x:v>APB-0016</x:v>
      </x:c>
      <x:c r="B186" s="2" t="str">
        <x:v>2025-10-31</x:v>
      </x:c>
      <x:c r="C186" s="9" t="n">
        <x:v>14400</x:v>
      </x:c>
      <x:c r="D186" s="9" t="n">
        <x:v>50.4</x:v>
      </x:c>
      <x:c r="E186" s="9" t="n">
        <x:v>0</x:v>
      </x:c>
      <x:c r="F186" s="9" t="n">
        <x:v>400</x:v>
      </x:c>
      <x:c r="G186" s="9" t="n">
        <x:v>50.4</x:v>
      </x:c>
      <x:c r="H186" s="9" t="n">
        <x:v>0</x:v>
      </x:c>
      <x:c r="I186" s="11" t="n">
        <x:f>SUM(F186:H186)</x:f>
        <x:v>450.4</x:v>
      </x:c>
      <x:c r="J186" s="11" t="n">
        <x:f>C186-F186</x:f>
        <x:v>14000</x:v>
      </x:c>
      <x:c r="K186" s="9" t="n">
        <x:v>0</x:v>
      </x:c>
      <x:c r="L186" s="9" t="n">
        <x:v>0</x:v>
      </x:c>
      <x:c r="M186" s="11" t="n">
        <x:f>SUM(J186:L186)</x:f>
        <x:v>14000</x:v>
      </x:c>
      <x:c r="N186" s="2" t="str">
        <x:v>Monatszahlung gemäß Zahlungsauftrag</x:v>
      </x:c>
    </x:row>
    <x:row r="187" ht="22" customHeight="1">
      <x:c r="A187" s="2" t="str">
        <x:v>APB-0016</x:v>
      </x:c>
      <x:c r="B187" s="2" t="str">
        <x:v>2025-11-30</x:v>
      </x:c>
      <x:c r="C187" s="9" t="n">
        <x:v>14000</x:v>
      </x:c>
      <x:c r="D187" s="9" t="n">
        <x:v>49</x:v>
      </x:c>
      <x:c r="E187" s="9" t="n">
        <x:v>0</x:v>
      </x:c>
      <x:c r="F187" s="9" t="n">
        <x:v>400</x:v>
      </x:c>
      <x:c r="G187" s="9" t="n">
        <x:v>49</x:v>
      </x:c>
      <x:c r="H187" s="9" t="n">
        <x:v>0</x:v>
      </x:c>
      <x:c r="I187" s="11" t="n">
        <x:f>SUM(F187:H187)</x:f>
        <x:v>449</x:v>
      </x:c>
      <x:c r="J187" s="11" t="n">
        <x:f>C187-F187</x:f>
        <x:v>13600</x:v>
      </x:c>
      <x:c r="K187" s="9" t="n">
        <x:v>0</x:v>
      </x:c>
      <x:c r="L187" s="9" t="n">
        <x:v>0</x:v>
      </x:c>
      <x:c r="M187" s="11" t="n">
        <x:f>SUM(J187:L187)</x:f>
        <x:v>13600</x:v>
      </x:c>
      <x:c r="N187" s="2" t="str">
        <x:v>Monatszahlung gemäß Zahlungsauftrag</x:v>
      </x:c>
    </x:row>
    <x:row r="188" ht="22" customHeight="1">
      <x:c r="A188" s="2" t="str">
        <x:v>APB-0016</x:v>
      </x:c>
      <x:c r="B188" s="2" t="str">
        <x:v>2025-12-31</x:v>
      </x:c>
      <x:c r="C188" s="9" t="n">
        <x:v>13600</x:v>
      </x:c>
      <x:c r="D188" s="9" t="n">
        <x:v>47.6</x:v>
      </x:c>
      <x:c r="E188" s="9" t="n">
        <x:v>0</x:v>
      </x:c>
      <x:c r="F188" s="9" t="n">
        <x:v>400</x:v>
      </x:c>
      <x:c r="G188" s="9" t="n">
        <x:v>47.6</x:v>
      </x:c>
      <x:c r="H188" s="9" t="n">
        <x:v>0</x:v>
      </x:c>
      <x:c r="I188" s="11" t="n">
        <x:f>SUM(F188:H188)</x:f>
        <x:v>447.6</x:v>
      </x:c>
      <x:c r="J188" s="11" t="n">
        <x:f>C188-F188</x:f>
        <x:v>13200</x:v>
      </x:c>
      <x:c r="K188" s="9" t="n">
        <x:v>0</x:v>
      </x:c>
      <x:c r="L188" s="9" t="n">
        <x:v>0</x:v>
      </x:c>
      <x:c r="M188" s="11" t="n">
        <x:f>SUM(J188:L188)</x:f>
        <x:v>13200</x:v>
      </x:c>
      <x:c r="N188" s="2" t="str">
        <x:v>Monatszahlung gemäß Zahlungsauftrag</x:v>
      </x:c>
    </x:row>
    <x:row r="189" ht="22" customHeight="1">
      <x:c r="A189" s="2" t="str">
        <x:v>APB-0016</x:v>
      </x:c>
      <x:c r="B189" s="2" t="str">
        <x:v>2026-01-31</x:v>
      </x:c>
      <x:c r="C189" s="9" t="n">
        <x:v>13200</x:v>
      </x:c>
      <x:c r="D189" s="9" t="n">
        <x:v>46.2</x:v>
      </x:c>
      <x:c r="E189" s="9" t="n">
        <x:v>0</x:v>
      </x:c>
      <x:c r="F189" s="9" t="n">
        <x:v>400</x:v>
      </x:c>
      <x:c r="G189" s="9" t="n">
        <x:v>46.2</x:v>
      </x:c>
      <x:c r="H189" s="9" t="n">
        <x:v>0</x:v>
      </x:c>
      <x:c r="I189" s="11" t="n">
        <x:f>SUM(F189:H189)</x:f>
        <x:v>446.2</x:v>
      </x:c>
      <x:c r="J189" s="11" t="n">
        <x:f>C189-F189</x:f>
        <x:v>12800</x:v>
      </x:c>
      <x:c r="K189" s="9" t="n">
        <x:v>0</x:v>
      </x:c>
      <x:c r="L189" s="9" t="n">
        <x:v>0</x:v>
      </x:c>
      <x:c r="M189" s="11" t="n">
        <x:f>SUM(J189:L189)</x:f>
        <x:v>12800</x:v>
      </x:c>
      <x:c r="N189" s="2" t="str">
        <x:v>Monatszahlung gemäß Zahlungsauftrag</x:v>
      </x:c>
    </x:row>
    <x:row r="190" ht="22" customHeight="1">
      <x:c r="A190" s="2" t="str">
        <x:v>APB-0016</x:v>
      </x:c>
      <x:c r="B190" s="2" t="str">
        <x:v>2026-02-28</x:v>
      </x:c>
      <x:c r="C190" s="9" t="n">
        <x:v>12800</x:v>
      </x:c>
      <x:c r="D190" s="9" t="n">
        <x:v>44.8</x:v>
      </x:c>
      <x:c r="E190" s="9" t="n">
        <x:v>0</x:v>
      </x:c>
      <x:c r="F190" s="9" t="n">
        <x:v>400</x:v>
      </x:c>
      <x:c r="G190" s="9" t="n">
        <x:v>44.8</x:v>
      </x:c>
      <x:c r="H190" s="9" t="n">
        <x:v>0</x:v>
      </x:c>
      <x:c r="I190" s="11" t="n">
        <x:f>SUM(F190:H190)</x:f>
        <x:v>444.8</x:v>
      </x:c>
      <x:c r="J190" s="11" t="n">
        <x:f>C190-F190</x:f>
        <x:v>12400</x:v>
      </x:c>
      <x:c r="K190" s="9" t="n">
        <x:v>0</x:v>
      </x:c>
      <x:c r="L190" s="9" t="n">
        <x:v>0</x:v>
      </x:c>
      <x:c r="M190" s="11" t="n">
        <x:f>SUM(J190:L190)</x:f>
        <x:v>12400</x:v>
      </x:c>
      <x:c r="N190" s="2" t="str">
        <x:v>Monatszahlung gemäß Zahlungsauftrag</x:v>
      </x:c>
    </x:row>
    <x:row r="191" ht="22" customHeight="1">
      <x:c r="A191" s="2" t="str">
        <x:v>APB-0016</x:v>
      </x:c>
      <x:c r="B191" s="2" t="str">
        <x:v>2026-03-31</x:v>
      </x:c>
      <x:c r="C191" s="9" t="n">
        <x:v>12400</x:v>
      </x:c>
      <x:c r="D191" s="9" t="n">
        <x:v>43.4</x:v>
      </x:c>
      <x:c r="E191" s="9" t="n">
        <x:v>0</x:v>
      </x:c>
      <x:c r="F191" s="9" t="n">
        <x:v>400</x:v>
      </x:c>
      <x:c r="G191" s="9" t="n">
        <x:v>43.4</x:v>
      </x:c>
      <x:c r="H191" s="9" t="n">
        <x:v>0</x:v>
      </x:c>
      <x:c r="I191" s="11" t="n">
        <x:f>SUM(F191:H191)</x:f>
        <x:v>443.4</x:v>
      </x:c>
      <x:c r="J191" s="11" t="n">
        <x:f>C191-F191</x:f>
        <x:v>12000</x:v>
      </x:c>
      <x:c r="K191" s="9" t="n">
        <x:v>0</x:v>
      </x:c>
      <x:c r="L191" s="9" t="n">
        <x:v>0</x:v>
      </x:c>
      <x:c r="M191" s="11" t="n">
        <x:f>SUM(J191:L191)</x:f>
        <x:v>12000</x:v>
      </x:c>
      <x:c r="N191" s="2" t="str">
        <x:v>Monatszahlung gemäß Zahlungsauftrag</x:v>
      </x:c>
    </x:row>
    <x:row r="192" ht="22" customHeight="1">
      <x:c r="A192" s="2" t="str">
        <x:v>APB-0016</x:v>
      </x:c>
      <x:c r="B192" s="2" t="str">
        <x:v>2026-04-30</x:v>
      </x:c>
      <x:c r="C192" s="9" t="n">
        <x:v>12000</x:v>
      </x:c>
      <x:c r="D192" s="9" t="n">
        <x:v>42</x:v>
      </x:c>
      <x:c r="E192" s="9" t="n">
        <x:v>0</x:v>
      </x:c>
      <x:c r="F192" s="9" t="n">
        <x:v>400</x:v>
      </x:c>
      <x:c r="G192" s="9" t="n">
        <x:v>42</x:v>
      </x:c>
      <x:c r="H192" s="9" t="n">
        <x:v>0</x:v>
      </x:c>
      <x:c r="I192" s="11" t="n">
        <x:f>SUM(F192:H192)</x:f>
        <x:v>442</x:v>
      </x:c>
      <x:c r="J192" s="11" t="n">
        <x:f>C192-F192</x:f>
        <x:v>11600</x:v>
      </x:c>
      <x:c r="K192" s="9" t="n">
        <x:v>0</x:v>
      </x:c>
      <x:c r="L192" s="9" t="n">
        <x:v>0</x:v>
      </x:c>
      <x:c r="M192" s="11" t="n">
        <x:f>SUM(J192:L192)</x:f>
        <x:v>11600</x:v>
      </x:c>
      <x:c r="N192" s="2" t="str">
        <x:v>Monatszahlung gemäß Zahlungsauftrag</x:v>
      </x:c>
    </x:row>
    <x:row r="193" ht="22" customHeight="1">
      <x:c r="A193" s="2" t="str">
        <x:v>APB-0016</x:v>
      </x:c>
      <x:c r="B193" s="2" t="str">
        <x:v>2026-05-31</x:v>
      </x:c>
      <x:c r="C193" s="9" t="n">
        <x:v>11600</x:v>
      </x:c>
      <x:c r="D193" s="9" t="n">
        <x:v>40.6</x:v>
      </x:c>
      <x:c r="E193" s="9" t="n">
        <x:v>0</x:v>
      </x:c>
      <x:c r="F193" s="9" t="n">
        <x:v>400</x:v>
      </x:c>
      <x:c r="G193" s="9" t="n">
        <x:v>40.6</x:v>
      </x:c>
      <x:c r="H193" s="9" t="n">
        <x:v>0</x:v>
      </x:c>
      <x:c r="I193" s="11" t="n">
        <x:f>SUM(F193:H193)</x:f>
        <x:v>440.6</x:v>
      </x:c>
      <x:c r="J193" s="11" t="n">
        <x:f>C193-F193</x:f>
        <x:v>11200</x:v>
      </x:c>
      <x:c r="K193" s="9" t="n">
        <x:v>0</x:v>
      </x:c>
      <x:c r="L193" s="9" t="n">
        <x:v>0</x:v>
      </x:c>
      <x:c r="M193" s="11" t="n">
        <x:f>SUM(J193:L193)</x:f>
        <x:v>11200</x:v>
      </x:c>
      <x:c r="N193" s="2" t="str">
        <x:v>Monatszahlung gemäß Zahlungsauftrag</x:v>
      </x:c>
    </x:row>
    <x:row r="194" ht="22" customHeight="1">
      <x:c r="A194" s="2" t="str">
        <x:v>APB-0016</x:v>
      </x:c>
      <x:c r="B194" s="2" t="str">
        <x:v>2026-06-30</x:v>
      </x:c>
      <x:c r="C194" s="9" t="n">
        <x:v>11200</x:v>
      </x:c>
      <x:c r="D194" s="9" t="n">
        <x:v>39.2</x:v>
      </x:c>
      <x:c r="E194" s="9" t="n">
        <x:v>0</x:v>
      </x:c>
      <x:c r="F194" s="9" t="n">
        <x:v>400</x:v>
      </x:c>
      <x:c r="G194" s="9" t="n">
        <x:v>39.2</x:v>
      </x:c>
      <x:c r="H194" s="9" t="n">
        <x:v>0</x:v>
      </x:c>
      <x:c r="I194" s="11" t="n">
        <x:f>SUM(F194:H194)</x:f>
        <x:v>439.2</x:v>
      </x:c>
      <x:c r="J194" s="11" t="n">
        <x:f>C194-F194</x:f>
        <x:v>10800</x:v>
      </x:c>
      <x:c r="K194" s="9" t="n">
        <x:v>0</x:v>
      </x:c>
      <x:c r="L194" s="9" t="n">
        <x:v>0</x:v>
      </x:c>
      <x:c r="M194" s="11" t="n">
        <x:f>SUM(J194:L194)</x:f>
        <x:v>10800</x:v>
      </x:c>
      <x:c r="N194" s="2" t="str">
        <x:v>Monatszahlung gemäß Zahlungsauftrag</x:v>
      </x:c>
    </x:row>
    <x:row r="195" ht="22" customHeight="1">
      <x:c r="A195" s="2" t="str">
        <x:v>APB-0016</x:v>
      </x:c>
      <x:c r="B195" s="2" t="str">
        <x:v>2026-07-31</x:v>
      </x:c>
      <x:c r="C195" s="9" t="n">
        <x:v>10800</x:v>
      </x:c>
      <x:c r="D195" s="9" t="n">
        <x:v>37.8</x:v>
      </x:c>
      <x:c r="E195" s="9" t="n">
        <x:v>0</x:v>
      </x:c>
      <x:c r="F195" s="9" t="n">
        <x:v>400</x:v>
      </x:c>
      <x:c r="G195" s="9" t="n">
        <x:v>37.8</x:v>
      </x:c>
      <x:c r="H195" s="9" t="n">
        <x:v>0</x:v>
      </x:c>
      <x:c r="I195" s="11" t="n">
        <x:f>SUM(F195:H195)</x:f>
        <x:v>437.8</x:v>
      </x:c>
      <x:c r="J195" s="11" t="n">
        <x:f>C195-F195</x:f>
        <x:v>10400</x:v>
      </x:c>
      <x:c r="K195" s="9" t="n">
        <x:v>0</x:v>
      </x:c>
      <x:c r="L195" s="9" t="n">
        <x:v>0</x:v>
      </x:c>
      <x:c r="M195" s="11" t="n">
        <x:f>SUM(J195:L195)</x:f>
        <x:v>10400</x:v>
      </x:c>
      <x:c r="N195" s="2" t="str">
        <x:v>Monatszahlung gemäß Zahlungsauftrag</x:v>
      </x:c>
    </x:row>
    <x:row r="196" ht="22" customHeight="1">
      <x:c r="A196" s="2" t="str">
        <x:v>APB-0016</x:v>
      </x:c>
      <x:c r="B196" s="2" t="str">
        <x:v>2026-08-31</x:v>
      </x:c>
      <x:c r="C196" s="9" t="n">
        <x:v>10400</x:v>
      </x:c>
      <x:c r="D196" s="9" t="n">
        <x:v>36.4</x:v>
      </x:c>
      <x:c r="E196" s="9" t="n">
        <x:v>0</x:v>
      </x:c>
      <x:c r="F196" s="9" t="n">
        <x:v>400</x:v>
      </x:c>
      <x:c r="G196" s="9" t="n">
        <x:v>36.4</x:v>
      </x:c>
      <x:c r="H196" s="9" t="n">
        <x:v>0</x:v>
      </x:c>
      <x:c r="I196" s="11" t="n">
        <x:f>SUM(F196:H196)</x:f>
        <x:v>436.4</x:v>
      </x:c>
      <x:c r="J196" s="11" t="n">
        <x:f>C196-F196</x:f>
        <x:v>10000</x:v>
      </x:c>
      <x:c r="K196" s="9" t="n">
        <x:v>0</x:v>
      </x:c>
      <x:c r="L196" s="9" t="n">
        <x:v>0</x:v>
      </x:c>
      <x:c r="M196" s="11" t="n">
        <x:f>SUM(J196:L196)</x:f>
        <x:v>10000</x:v>
      </x:c>
      <x:c r="N196" s="2" t="str">
        <x:v>Monatszahlung gemäß Zahlungsauftrag</x:v>
      </x:c>
    </x:row>
    <x:row r="197" ht="22" customHeight="1">
      <x:c r="A197" s="2" t="str">
        <x:v>APB-0016</x:v>
      </x:c>
      <x:c r="B197" s="2" t="str">
        <x:v>2026-09-30</x:v>
      </x:c>
      <x:c r="C197" s="9" t="n">
        <x:v>10000</x:v>
      </x:c>
      <x:c r="D197" s="9" t="n">
        <x:v>35</x:v>
      </x:c>
      <x:c r="E197" s="9" t="n">
        <x:v>0</x:v>
      </x:c>
      <x:c r="F197" s="9" t="n">
        <x:v>400</x:v>
      </x:c>
      <x:c r="G197" s="9" t="n">
        <x:v>35</x:v>
      </x:c>
      <x:c r="H197" s="9" t="n">
        <x:v>0</x:v>
      </x:c>
      <x:c r="I197" s="11" t="n">
        <x:f>SUM(F197:H197)</x:f>
        <x:v>435</x:v>
      </x:c>
      <x:c r="J197" s="11" t="n">
        <x:f>C197-F197</x:f>
        <x:v>9600</x:v>
      </x:c>
      <x:c r="K197" s="9" t="n">
        <x:v>0</x:v>
      </x:c>
      <x:c r="L197" s="9" t="n">
        <x:v>0</x:v>
      </x:c>
      <x:c r="M197" s="11" t="n">
        <x:f>SUM(J197:L197)</x:f>
        <x:v>9600</x:v>
      </x:c>
      <x:c r="N197" s="2" t="str">
        <x:v>Monatszahlung gemäß Zahlungsauftrag</x:v>
      </x:c>
    </x:row>
    <x:row r="198" ht="22" customHeight="1">
      <x:c r="A198" s="2" t="str">
        <x:v>APB-0017</x:v>
      </x:c>
      <x:c r="B198" s="2" t="str">
        <x:v>2025-10-31</x:v>
      </x:c>
      <x:c r="C198" s="9" t="n">
        <x:v>12600</x:v>
      </x:c>
      <x:c r="D198" s="9" t="n">
        <x:v>50.4</x:v>
      </x:c>
      <x:c r="E198" s="9" t="n">
        <x:v>0</x:v>
      </x:c>
      <x:c r="F198" s="9" t="n">
        <x:v>350</x:v>
      </x:c>
      <x:c r="G198" s="9" t="n">
        <x:v>50.4</x:v>
      </x:c>
      <x:c r="H198" s="9" t="n">
        <x:v>0</x:v>
      </x:c>
      <x:c r="I198" s="11" t="n">
        <x:f>SUM(F198:H198)</x:f>
        <x:v>400.4</x:v>
      </x:c>
      <x:c r="J198" s="11" t="n">
        <x:f>C198-F198</x:f>
        <x:v>12250</x:v>
      </x:c>
      <x:c r="K198" s="9" t="n">
        <x:v>0</x:v>
      </x:c>
      <x:c r="L198" s="9" t="n">
        <x:v>0</x:v>
      </x:c>
      <x:c r="M198" s="11" t="n">
        <x:f>SUM(J198:L198)</x:f>
        <x:v>12250</x:v>
      </x:c>
      <x:c r="N198" s="2" t="str">
        <x:v>Monatszahlung gemäß Zahlungsauftrag</x:v>
      </x:c>
    </x:row>
    <x:row r="199" ht="22" customHeight="1">
      <x:c r="A199" s="2" t="str">
        <x:v>APB-0017</x:v>
      </x:c>
      <x:c r="B199" s="2" t="str">
        <x:v>2025-11-30</x:v>
      </x:c>
      <x:c r="C199" s="9" t="n">
        <x:v>12250</x:v>
      </x:c>
      <x:c r="D199" s="9" t="n">
        <x:v>49</x:v>
      </x:c>
      <x:c r="E199" s="9" t="n">
        <x:v>0</x:v>
      </x:c>
      <x:c r="F199" s="9" t="n">
        <x:v>350</x:v>
      </x:c>
      <x:c r="G199" s="9" t="n">
        <x:v>49</x:v>
      </x:c>
      <x:c r="H199" s="9" t="n">
        <x:v>0</x:v>
      </x:c>
      <x:c r="I199" s="11" t="n">
        <x:f>SUM(F199:H199)</x:f>
        <x:v>399</x:v>
      </x:c>
      <x:c r="J199" s="11" t="n">
        <x:f>C199-F199</x:f>
        <x:v>11900</x:v>
      </x:c>
      <x:c r="K199" s="9" t="n">
        <x:v>0</x:v>
      </x:c>
      <x:c r="L199" s="9" t="n">
        <x:v>0</x:v>
      </x:c>
      <x:c r="M199" s="11" t="n">
        <x:f>SUM(J199:L199)</x:f>
        <x:v>11900</x:v>
      </x:c>
      <x:c r="N199" s="2" t="str">
        <x:v>Monatszahlung gemäß Zahlungsauftrag</x:v>
      </x:c>
    </x:row>
    <x:row r="200" ht="22" customHeight="1">
      <x:c r="A200" s="2" t="str">
        <x:v>APB-0017</x:v>
      </x:c>
      <x:c r="B200" s="2" t="str">
        <x:v>2025-12-31</x:v>
      </x:c>
      <x:c r="C200" s="9" t="n">
        <x:v>11900</x:v>
      </x:c>
      <x:c r="D200" s="9" t="n">
        <x:v>47.6</x:v>
      </x:c>
      <x:c r="E200" s="9" t="n">
        <x:v>0</x:v>
      </x:c>
      <x:c r="F200" s="9" t="n">
        <x:v>350</x:v>
      </x:c>
      <x:c r="G200" s="9" t="n">
        <x:v>47.6</x:v>
      </x:c>
      <x:c r="H200" s="9" t="n">
        <x:v>0</x:v>
      </x:c>
      <x:c r="I200" s="11" t="n">
        <x:f>SUM(F200:H200)</x:f>
        <x:v>397.6</x:v>
      </x:c>
      <x:c r="J200" s="11" t="n">
        <x:f>C200-F200</x:f>
        <x:v>11550</x:v>
      </x:c>
      <x:c r="K200" s="9" t="n">
        <x:v>0</x:v>
      </x:c>
      <x:c r="L200" s="9" t="n">
        <x:v>0</x:v>
      </x:c>
      <x:c r="M200" s="11" t="n">
        <x:f>SUM(J200:L200)</x:f>
        <x:v>11550</x:v>
      </x:c>
      <x:c r="N200" s="2" t="str">
        <x:v>Monatszahlung gemäß Zahlungsauftrag</x:v>
      </x:c>
    </x:row>
    <x:row r="201" ht="22" customHeight="1">
      <x:c r="A201" s="2" t="str">
        <x:v>APB-0017</x:v>
      </x:c>
      <x:c r="B201" s="2" t="str">
        <x:v>2026-01-31</x:v>
      </x:c>
      <x:c r="C201" s="9" t="n">
        <x:v>11550</x:v>
      </x:c>
      <x:c r="D201" s="9" t="n">
        <x:v>46.2</x:v>
      </x:c>
      <x:c r="E201" s="9" t="n">
        <x:v>0</x:v>
      </x:c>
      <x:c r="F201" s="9" t="n">
        <x:v>350</x:v>
      </x:c>
      <x:c r="G201" s="9" t="n">
        <x:v>46.2</x:v>
      </x:c>
      <x:c r="H201" s="9" t="n">
        <x:v>0</x:v>
      </x:c>
      <x:c r="I201" s="11" t="n">
        <x:f>SUM(F201:H201)</x:f>
        <x:v>396.2</x:v>
      </x:c>
      <x:c r="J201" s="11" t="n">
        <x:f>C201-F201</x:f>
        <x:v>11200</x:v>
      </x:c>
      <x:c r="K201" s="9" t="n">
        <x:v>0</x:v>
      </x:c>
      <x:c r="L201" s="9" t="n">
        <x:v>0</x:v>
      </x:c>
      <x:c r="M201" s="11" t="n">
        <x:f>SUM(J201:L201)</x:f>
        <x:v>11200</x:v>
      </x:c>
      <x:c r="N201" s="2" t="str">
        <x:v>Monatszahlung gemäß Zahlungsauftrag</x:v>
      </x:c>
    </x:row>
    <x:row r="202" ht="22" customHeight="1">
      <x:c r="A202" s="2" t="str">
        <x:v>APB-0017</x:v>
      </x:c>
      <x:c r="B202" s="2" t="str">
        <x:v>2026-02-28</x:v>
      </x:c>
      <x:c r="C202" s="9" t="n">
        <x:v>11200</x:v>
      </x:c>
      <x:c r="D202" s="9" t="n">
        <x:v>44.8</x:v>
      </x:c>
      <x:c r="E202" s="9" t="n">
        <x:v>0</x:v>
      </x:c>
      <x:c r="F202" s="9" t="n">
        <x:v>350</x:v>
      </x:c>
      <x:c r="G202" s="9" t="n">
        <x:v>44.8</x:v>
      </x:c>
      <x:c r="H202" s="9" t="n">
        <x:v>0</x:v>
      </x:c>
      <x:c r="I202" s="11" t="n">
        <x:f>SUM(F202:H202)</x:f>
        <x:v>394.8</x:v>
      </x:c>
      <x:c r="J202" s="11" t="n">
        <x:f>C202-F202</x:f>
        <x:v>10850</x:v>
      </x:c>
      <x:c r="K202" s="9" t="n">
        <x:v>0</x:v>
      </x:c>
      <x:c r="L202" s="9" t="n">
        <x:v>0</x:v>
      </x:c>
      <x:c r="M202" s="11" t="n">
        <x:f>SUM(J202:L202)</x:f>
        <x:v>10850</x:v>
      </x:c>
      <x:c r="N202" s="2" t="str">
        <x:v>Monatszahlung gemäß Zahlungsauftrag</x:v>
      </x:c>
    </x:row>
    <x:row r="203" ht="22" customHeight="1">
      <x:c r="A203" s="2" t="str">
        <x:v>APB-0017</x:v>
      </x:c>
      <x:c r="B203" s="2" t="str">
        <x:v>2026-03-31</x:v>
      </x:c>
      <x:c r="C203" s="9" t="n">
        <x:v>10850</x:v>
      </x:c>
      <x:c r="D203" s="9" t="n">
        <x:v>43.4</x:v>
      </x:c>
      <x:c r="E203" s="9" t="n">
        <x:v>0</x:v>
      </x:c>
      <x:c r="F203" s="9" t="n">
        <x:v>350</x:v>
      </x:c>
      <x:c r="G203" s="9" t="n">
        <x:v>43.4</x:v>
      </x:c>
      <x:c r="H203" s="9" t="n">
        <x:v>0</x:v>
      </x:c>
      <x:c r="I203" s="11" t="n">
        <x:f>SUM(F203:H203)</x:f>
        <x:v>393.4</x:v>
      </x:c>
      <x:c r="J203" s="11" t="n">
        <x:f>C203-F203</x:f>
        <x:v>10500</x:v>
      </x:c>
      <x:c r="K203" s="9" t="n">
        <x:v>0</x:v>
      </x:c>
      <x:c r="L203" s="9" t="n">
        <x:v>0</x:v>
      </x:c>
      <x:c r="M203" s="11" t="n">
        <x:f>SUM(J203:L203)</x:f>
        <x:v>10500</x:v>
      </x:c>
      <x:c r="N203" s="2" t="str">
        <x:v>Monatszahlung gemäß Zahlungsauftrag</x:v>
      </x:c>
    </x:row>
    <x:row r="204" ht="22" customHeight="1">
      <x:c r="A204" s="2" t="str">
        <x:v>APB-0017</x:v>
      </x:c>
      <x:c r="B204" s="2" t="str">
        <x:v>2026-04-30</x:v>
      </x:c>
      <x:c r="C204" s="9" t="n">
        <x:v>10500</x:v>
      </x:c>
      <x:c r="D204" s="9" t="n">
        <x:v>42</x:v>
      </x:c>
      <x:c r="E204" s="9" t="n">
        <x:v>0</x:v>
      </x:c>
      <x:c r="F204" s="9" t="n">
        <x:v>350</x:v>
      </x:c>
      <x:c r="G204" s="9" t="n">
        <x:v>42</x:v>
      </x:c>
      <x:c r="H204" s="9" t="n">
        <x:v>0</x:v>
      </x:c>
      <x:c r="I204" s="11" t="n">
        <x:f>SUM(F204:H204)</x:f>
        <x:v>392</x:v>
      </x:c>
      <x:c r="J204" s="11" t="n">
        <x:f>C204-F204</x:f>
        <x:v>10150</x:v>
      </x:c>
      <x:c r="K204" s="9" t="n">
        <x:v>0</x:v>
      </x:c>
      <x:c r="L204" s="9" t="n">
        <x:v>0</x:v>
      </x:c>
      <x:c r="M204" s="11" t="n">
        <x:f>SUM(J204:L204)</x:f>
        <x:v>10150</x:v>
      </x:c>
      <x:c r="N204" s="2" t="str">
        <x:v>Monatszahlung gemäß Zahlungsauftrag</x:v>
      </x:c>
    </x:row>
    <x:row r="205" ht="22" customHeight="1">
      <x:c r="A205" s="2" t="str">
        <x:v>APB-0017</x:v>
      </x:c>
      <x:c r="B205" s="2" t="str">
        <x:v>2026-05-31</x:v>
      </x:c>
      <x:c r="C205" s="9" t="n">
        <x:v>10150</x:v>
      </x:c>
      <x:c r="D205" s="9" t="n">
        <x:v>40.6</x:v>
      </x:c>
      <x:c r="E205" s="9" t="n">
        <x:v>0</x:v>
      </x:c>
      <x:c r="F205" s="9" t="n">
        <x:v>350</x:v>
      </x:c>
      <x:c r="G205" s="9" t="n">
        <x:v>40.6</x:v>
      </x:c>
      <x:c r="H205" s="9" t="n">
        <x:v>0</x:v>
      </x:c>
      <x:c r="I205" s="11" t="n">
        <x:f>SUM(F205:H205)</x:f>
        <x:v>390.6</x:v>
      </x:c>
      <x:c r="J205" s="11" t="n">
        <x:f>C205-F205</x:f>
        <x:v>9800</x:v>
      </x:c>
      <x:c r="K205" s="9" t="n">
        <x:v>0</x:v>
      </x:c>
      <x:c r="L205" s="9" t="n">
        <x:v>0</x:v>
      </x:c>
      <x:c r="M205" s="11" t="n">
        <x:f>SUM(J205:L205)</x:f>
        <x:v>9800</x:v>
      </x:c>
      <x:c r="N205" s="2" t="str">
        <x:v>Monatszahlung gemäß Zahlungsauftrag</x:v>
      </x:c>
    </x:row>
    <x:row r="206" ht="22" customHeight="1">
      <x:c r="A206" s="2" t="str">
        <x:v>APB-0017</x:v>
      </x:c>
      <x:c r="B206" s="2" t="str">
        <x:v>2026-06-30</x:v>
      </x:c>
      <x:c r="C206" s="9" t="n">
        <x:v>9800</x:v>
      </x:c>
      <x:c r="D206" s="9" t="n">
        <x:v>39.2</x:v>
      </x:c>
      <x:c r="E206" s="9" t="n">
        <x:v>0</x:v>
      </x:c>
      <x:c r="F206" s="9" t="n">
        <x:v>350</x:v>
      </x:c>
      <x:c r="G206" s="9" t="n">
        <x:v>39.2</x:v>
      </x:c>
      <x:c r="H206" s="9" t="n">
        <x:v>0</x:v>
      </x:c>
      <x:c r="I206" s="11" t="n">
        <x:f>SUM(F206:H206)</x:f>
        <x:v>389.2</x:v>
      </x:c>
      <x:c r="J206" s="11" t="n">
        <x:f>C206-F206</x:f>
        <x:v>9450</x:v>
      </x:c>
      <x:c r="K206" s="9" t="n">
        <x:v>0</x:v>
      </x:c>
      <x:c r="L206" s="9" t="n">
        <x:v>0</x:v>
      </x:c>
      <x:c r="M206" s="11" t="n">
        <x:f>SUM(J206:L206)</x:f>
        <x:v>9450</x:v>
      </x:c>
      <x:c r="N206" s="2" t="str">
        <x:v>Monatszahlung gemäß Zahlungsauftrag</x:v>
      </x:c>
    </x:row>
    <x:row r="207" ht="22" customHeight="1">
      <x:c r="A207" s="2" t="str">
        <x:v>APB-0017</x:v>
      </x:c>
      <x:c r="B207" s="2" t="str">
        <x:v>2026-07-31</x:v>
      </x:c>
      <x:c r="C207" s="9" t="n">
        <x:v>9450</x:v>
      </x:c>
      <x:c r="D207" s="9" t="n">
        <x:v>37.8</x:v>
      </x:c>
      <x:c r="E207" s="9" t="n">
        <x:v>0</x:v>
      </x:c>
      <x:c r="F207" s="9" t="n">
        <x:v>350</x:v>
      </x:c>
      <x:c r="G207" s="9" t="n">
        <x:v>37.8</x:v>
      </x:c>
      <x:c r="H207" s="9" t="n">
        <x:v>0</x:v>
      </x:c>
      <x:c r="I207" s="11" t="n">
        <x:f>SUM(F207:H207)</x:f>
        <x:v>387.8</x:v>
      </x:c>
      <x:c r="J207" s="11" t="n">
        <x:f>C207-F207</x:f>
        <x:v>9100</x:v>
      </x:c>
      <x:c r="K207" s="9" t="n">
        <x:v>0</x:v>
      </x:c>
      <x:c r="L207" s="9" t="n">
        <x:v>0</x:v>
      </x:c>
      <x:c r="M207" s="11" t="n">
        <x:f>SUM(J207:L207)</x:f>
        <x:v>9100</x:v>
      </x:c>
      <x:c r="N207" s="2" t="str">
        <x:v>Monatszahlung gemäß Zahlungsauftrag</x:v>
      </x:c>
    </x:row>
    <x:row r="208" ht="22" customHeight="1">
      <x:c r="A208" s="2" t="str">
        <x:v>APB-0017</x:v>
      </x:c>
      <x:c r="B208" s="2" t="str">
        <x:v>2026-08-31</x:v>
      </x:c>
      <x:c r="C208" s="9" t="n">
        <x:v>9100</x:v>
      </x:c>
      <x:c r="D208" s="9" t="n">
        <x:v>36.4</x:v>
      </x:c>
      <x:c r="E208" s="9" t="n">
        <x:v>0</x:v>
      </x:c>
      <x:c r="F208" s="9" t="n">
        <x:v>350</x:v>
      </x:c>
      <x:c r="G208" s="9" t="n">
        <x:v>36.4</x:v>
      </x:c>
      <x:c r="H208" s="9" t="n">
        <x:v>0</x:v>
      </x:c>
      <x:c r="I208" s="11" t="n">
        <x:f>SUM(F208:H208)</x:f>
        <x:v>386.4</x:v>
      </x:c>
      <x:c r="J208" s="11" t="n">
        <x:f>C208-F208</x:f>
        <x:v>8750</x:v>
      </x:c>
      <x:c r="K208" s="9" t="n">
        <x:v>0</x:v>
      </x:c>
      <x:c r="L208" s="9" t="n">
        <x:v>0</x:v>
      </x:c>
      <x:c r="M208" s="11" t="n">
        <x:f>SUM(J208:L208)</x:f>
        <x:v>8750</x:v>
      </x:c>
      <x:c r="N208" s="2" t="str">
        <x:v>Monatszahlung gemäß Zahlungsauftrag</x:v>
      </x:c>
    </x:row>
    <x:row r="209" ht="22" customHeight="1">
      <x:c r="A209" s="2" t="str">
        <x:v>APB-0017</x:v>
      </x:c>
      <x:c r="B209" s="2" t="str">
        <x:v>2026-09-30</x:v>
      </x:c>
      <x:c r="C209" s="9" t="n">
        <x:v>8750</x:v>
      </x:c>
      <x:c r="D209" s="9" t="n">
        <x:v>35</x:v>
      </x:c>
      <x:c r="E209" s="9" t="n">
        <x:v>0</x:v>
      </x:c>
      <x:c r="F209" s="9" t="n">
        <x:v>0</x:v>
      </x:c>
      <x:c r="G209" s="9" t="n">
        <x:v>0</x:v>
      </x:c>
      <x:c r="H209" s="9" t="n">
        <x:v>0</x:v>
      </x:c>
      <x:c r="I209" s="11" t="n">
        <x:f>SUM(F209:H209)</x:f>
        <x:v>0</x:v>
      </x:c>
      <x:c r="J209" s="11" t="n">
        <x:f>C209-F209</x:f>
        <x:v>8750</x:v>
      </x:c>
      <x:c r="K209" s="9" t="n">
        <x:v>35</x:v>
      </x:c>
      <x:c r="L209" s="9" t="n">
        <x:v>0</x:v>
      </x:c>
      <x:c r="M209" s="11" t="n">
        <x:f>SUM(J209:L209)</x:f>
        <x:v>8785</x:v>
      </x:c>
      <x:c r="N209" s="2" t="str">
        <x:v>Kein Eingang im Mittagsauszug</x:v>
      </x:c>
    </x:row>
    <x:row r="210" ht="22" customHeight="1">
      <x:c r="A210" s="2" t="str">
        <x:v>APB-0018</x:v>
      </x:c>
      <x:c r="B210" s="2" t="str">
        <x:v>2025-10-31</x:v>
      </x:c>
      <x:c r="C210" s="9" t="n">
        <x:v>10800</x:v>
      </x:c>
      <x:c r="D210" s="9" t="n">
        <x:v>48.6</x:v>
      </x:c>
      <x:c r="E210" s="9" t="n">
        <x:v>0</x:v>
      </x:c>
      <x:c r="F210" s="9" t="n">
        <x:v>300</x:v>
      </x:c>
      <x:c r="G210" s="9" t="n">
        <x:v>48.6</x:v>
      </x:c>
      <x:c r="H210" s="9" t="n">
        <x:v>0</x:v>
      </x:c>
      <x:c r="I210" s="11" t="n">
        <x:f>SUM(F210:H210)</x:f>
        <x:v>348.6</x:v>
      </x:c>
      <x:c r="J210" s="11" t="n">
        <x:f>C210-F210</x:f>
        <x:v>10500</x:v>
      </x:c>
      <x:c r="K210" s="9" t="n">
        <x:v>0</x:v>
      </x:c>
      <x:c r="L210" s="9" t="n">
        <x:v>0</x:v>
      </x:c>
      <x:c r="M210" s="11" t="n">
        <x:f>SUM(J210:L210)</x:f>
        <x:v>10500</x:v>
      </x:c>
      <x:c r="N210" s="2" t="str">
        <x:v>Monatszahlung gemäß Zahlungsauftrag</x:v>
      </x:c>
    </x:row>
    <x:row r="211" ht="22" customHeight="1">
      <x:c r="A211" s="2" t="str">
        <x:v>APB-0018</x:v>
      </x:c>
      <x:c r="B211" s="2" t="str">
        <x:v>2025-11-30</x:v>
      </x:c>
      <x:c r="C211" s="9" t="n">
        <x:v>10500</x:v>
      </x:c>
      <x:c r="D211" s="9" t="n">
        <x:v>47.25</x:v>
      </x:c>
      <x:c r="E211" s="9" t="n">
        <x:v>0</x:v>
      </x:c>
      <x:c r="F211" s="9" t="n">
        <x:v>300</x:v>
      </x:c>
      <x:c r="G211" s="9" t="n">
        <x:v>47.25</x:v>
      </x:c>
      <x:c r="H211" s="9" t="n">
        <x:v>0</x:v>
      </x:c>
      <x:c r="I211" s="11" t="n">
        <x:f>SUM(F211:H211)</x:f>
        <x:v>347.25</x:v>
      </x:c>
      <x:c r="J211" s="11" t="n">
        <x:f>C211-F211</x:f>
        <x:v>10200</x:v>
      </x:c>
      <x:c r="K211" s="9" t="n">
        <x:v>0</x:v>
      </x:c>
      <x:c r="L211" s="9" t="n">
        <x:v>0</x:v>
      </x:c>
      <x:c r="M211" s="11" t="n">
        <x:f>SUM(J211:L211)</x:f>
        <x:v>10200</x:v>
      </x:c>
      <x:c r="N211" s="2" t="str">
        <x:v>Monatszahlung gemäß Zahlungsauftrag</x:v>
      </x:c>
    </x:row>
    <x:row r="212" ht="22" customHeight="1">
      <x:c r="A212" s="2" t="str">
        <x:v>APB-0018</x:v>
      </x:c>
      <x:c r="B212" s="2" t="str">
        <x:v>2025-12-31</x:v>
      </x:c>
      <x:c r="C212" s="9" t="n">
        <x:v>10200</x:v>
      </x:c>
      <x:c r="D212" s="9" t="n">
        <x:v>45.9</x:v>
      </x:c>
      <x:c r="E212" s="9" t="n">
        <x:v>0</x:v>
      </x:c>
      <x:c r="F212" s="9" t="n">
        <x:v>300</x:v>
      </x:c>
      <x:c r="G212" s="9" t="n">
        <x:v>45.9</x:v>
      </x:c>
      <x:c r="H212" s="9" t="n">
        <x:v>0</x:v>
      </x:c>
      <x:c r="I212" s="11" t="n">
        <x:f>SUM(F212:H212)</x:f>
        <x:v>345.9</x:v>
      </x:c>
      <x:c r="J212" s="11" t="n">
        <x:f>C212-F212</x:f>
        <x:v>9900</x:v>
      </x:c>
      <x:c r="K212" s="9" t="n">
        <x:v>0</x:v>
      </x:c>
      <x:c r="L212" s="9" t="n">
        <x:v>0</x:v>
      </x:c>
      <x:c r="M212" s="11" t="n">
        <x:f>SUM(J212:L212)</x:f>
        <x:v>9900</x:v>
      </x:c>
      <x:c r="N212" s="2" t="str">
        <x:v>Monatszahlung gemäß Zahlungsauftrag</x:v>
      </x:c>
    </x:row>
    <x:row r="213" ht="22" customHeight="1">
      <x:c r="A213" s="2" t="str">
        <x:v>APB-0018</x:v>
      </x:c>
      <x:c r="B213" s="2" t="str">
        <x:v>2026-01-31</x:v>
      </x:c>
      <x:c r="C213" s="9" t="n">
        <x:v>9900</x:v>
      </x:c>
      <x:c r="D213" s="9" t="n">
        <x:v>44.55</x:v>
      </x:c>
      <x:c r="E213" s="9" t="n">
        <x:v>0</x:v>
      </x:c>
      <x:c r="F213" s="9" t="n">
        <x:v>300</x:v>
      </x:c>
      <x:c r="G213" s="9" t="n">
        <x:v>44.55</x:v>
      </x:c>
      <x:c r="H213" s="9" t="n">
        <x:v>0</x:v>
      </x:c>
      <x:c r="I213" s="11" t="n">
        <x:f>SUM(F213:H213)</x:f>
        <x:v>344.55</x:v>
      </x:c>
      <x:c r="J213" s="11" t="n">
        <x:f>C213-F213</x:f>
        <x:v>9600</x:v>
      </x:c>
      <x:c r="K213" s="9" t="n">
        <x:v>0</x:v>
      </x:c>
      <x:c r="L213" s="9" t="n">
        <x:v>0</x:v>
      </x:c>
      <x:c r="M213" s="11" t="n">
        <x:f>SUM(J213:L213)</x:f>
        <x:v>9600</x:v>
      </x:c>
      <x:c r="N213" s="2" t="str">
        <x:v>Monatszahlung gemäß Zahlungsauftrag</x:v>
      </x:c>
    </x:row>
    <x:row r="214" ht="22" customHeight="1">
      <x:c r="A214" s="2" t="str">
        <x:v>APB-0018</x:v>
      </x:c>
      <x:c r="B214" s="2" t="str">
        <x:v>2026-02-28</x:v>
      </x:c>
      <x:c r="C214" s="9" t="n">
        <x:v>9600</x:v>
      </x:c>
      <x:c r="D214" s="9" t="n">
        <x:v>43.2</x:v>
      </x:c>
      <x:c r="E214" s="9" t="n">
        <x:v>0</x:v>
      </x:c>
      <x:c r="F214" s="9" t="n">
        <x:v>300</x:v>
      </x:c>
      <x:c r="G214" s="9" t="n">
        <x:v>43.2</x:v>
      </x:c>
      <x:c r="H214" s="9" t="n">
        <x:v>0</x:v>
      </x:c>
      <x:c r="I214" s="11" t="n">
        <x:f>SUM(F214:H214)</x:f>
        <x:v>343.2</x:v>
      </x:c>
      <x:c r="J214" s="11" t="n">
        <x:f>C214-F214</x:f>
        <x:v>9300</x:v>
      </x:c>
      <x:c r="K214" s="9" t="n">
        <x:v>0</x:v>
      </x:c>
      <x:c r="L214" s="9" t="n">
        <x:v>0</x:v>
      </x:c>
      <x:c r="M214" s="11" t="n">
        <x:f>SUM(J214:L214)</x:f>
        <x:v>9300</x:v>
      </x:c>
      <x:c r="N214" s="2" t="str">
        <x:v>Monatszahlung gemäß Zahlungsauftrag</x:v>
      </x:c>
    </x:row>
    <x:row r="215" ht="22" customHeight="1">
      <x:c r="A215" s="2" t="str">
        <x:v>APB-0018</x:v>
      </x:c>
      <x:c r="B215" s="2" t="str">
        <x:v>2026-03-31</x:v>
      </x:c>
      <x:c r="C215" s="9" t="n">
        <x:v>9300</x:v>
      </x:c>
      <x:c r="D215" s="9" t="n">
        <x:v>41.85</x:v>
      </x:c>
      <x:c r="E215" s="9" t="n">
        <x:v>0</x:v>
      </x:c>
      <x:c r="F215" s="9" t="n">
        <x:v>300</x:v>
      </x:c>
      <x:c r="G215" s="9" t="n">
        <x:v>41.85</x:v>
      </x:c>
      <x:c r="H215" s="9" t="n">
        <x:v>0</x:v>
      </x:c>
      <x:c r="I215" s="11" t="n">
        <x:f>SUM(F215:H215)</x:f>
        <x:v>341.85</x:v>
      </x:c>
      <x:c r="J215" s="11" t="n">
        <x:f>C215-F215</x:f>
        <x:v>9000</x:v>
      </x:c>
      <x:c r="K215" s="9" t="n">
        <x:v>0</x:v>
      </x:c>
      <x:c r="L215" s="9" t="n">
        <x:v>0</x:v>
      </x:c>
      <x:c r="M215" s="11" t="n">
        <x:f>SUM(J215:L215)</x:f>
        <x:v>9000</x:v>
      </x:c>
      <x:c r="N215" s="2" t="str">
        <x:v>Monatszahlung gemäß Zahlungsauftrag</x:v>
      </x:c>
    </x:row>
    <x:row r="216" ht="22" customHeight="1">
      <x:c r="A216" s="2" t="str">
        <x:v>APB-0018</x:v>
      </x:c>
      <x:c r="B216" s="2" t="str">
        <x:v>2026-04-30</x:v>
      </x:c>
      <x:c r="C216" s="9" t="n">
        <x:v>9000</x:v>
      </x:c>
      <x:c r="D216" s="9" t="n">
        <x:v>40.5</x:v>
      </x:c>
      <x:c r="E216" s="9" t="n">
        <x:v>0</x:v>
      </x:c>
      <x:c r="F216" s="9" t="n">
        <x:v>300</x:v>
      </x:c>
      <x:c r="G216" s="9" t="n">
        <x:v>40.5</x:v>
      </x:c>
      <x:c r="H216" s="9" t="n">
        <x:v>0</x:v>
      </x:c>
      <x:c r="I216" s="11" t="n">
        <x:f>SUM(F216:H216)</x:f>
        <x:v>340.5</x:v>
      </x:c>
      <x:c r="J216" s="11" t="n">
        <x:f>C216-F216</x:f>
        <x:v>8700</x:v>
      </x:c>
      <x:c r="K216" s="9" t="n">
        <x:v>0</x:v>
      </x:c>
      <x:c r="L216" s="9" t="n">
        <x:v>0</x:v>
      </x:c>
      <x:c r="M216" s="11" t="n">
        <x:f>SUM(J216:L216)</x:f>
        <x:v>8700</x:v>
      </x:c>
      <x:c r="N216" s="2" t="str">
        <x:v>Monatszahlung gemäß Zahlungsauftrag</x:v>
      </x:c>
    </x:row>
    <x:row r="217" ht="22" customHeight="1">
      <x:c r="A217" s="2" t="str">
        <x:v>APB-0018</x:v>
      </x:c>
      <x:c r="B217" s="2" t="str">
        <x:v>2026-05-31</x:v>
      </x:c>
      <x:c r="C217" s="9" t="n">
        <x:v>8700</x:v>
      </x:c>
      <x:c r="D217" s="9" t="n">
        <x:v>39.15</x:v>
      </x:c>
      <x:c r="E217" s="9" t="n">
        <x:v>0</x:v>
      </x:c>
      <x:c r="F217" s="9" t="n">
        <x:v>300</x:v>
      </x:c>
      <x:c r="G217" s="9" t="n">
        <x:v>39.15</x:v>
      </x:c>
      <x:c r="H217" s="9" t="n">
        <x:v>0</x:v>
      </x:c>
      <x:c r="I217" s="11" t="n">
        <x:f>SUM(F217:H217)</x:f>
        <x:v>339.15</x:v>
      </x:c>
      <x:c r="J217" s="11" t="n">
        <x:f>C217-F217</x:f>
        <x:v>8400</x:v>
      </x:c>
      <x:c r="K217" s="9" t="n">
        <x:v>0</x:v>
      </x:c>
      <x:c r="L217" s="9" t="n">
        <x:v>0</x:v>
      </x:c>
      <x:c r="M217" s="11" t="n">
        <x:f>SUM(J217:L217)</x:f>
        <x:v>8400</x:v>
      </x:c>
      <x:c r="N217" s="2" t="str">
        <x:v>Monatszahlung gemäß Zahlungsauftrag</x:v>
      </x:c>
    </x:row>
    <x:row r="218" ht="22" customHeight="1">
      <x:c r="A218" s="2" t="str">
        <x:v>APB-0018</x:v>
      </x:c>
      <x:c r="B218" s="2" t="str">
        <x:v>2026-06-30</x:v>
      </x:c>
      <x:c r="C218" s="9" t="n">
        <x:v>8400</x:v>
      </x:c>
      <x:c r="D218" s="9" t="n">
        <x:v>37.8</x:v>
      </x:c>
      <x:c r="E218" s="9" t="n">
        <x:v>0</x:v>
      </x:c>
      <x:c r="F218" s="9" t="n">
        <x:v>300</x:v>
      </x:c>
      <x:c r="G218" s="9" t="n">
        <x:v>37.8</x:v>
      </x:c>
      <x:c r="H218" s="9" t="n">
        <x:v>0</x:v>
      </x:c>
      <x:c r="I218" s="11" t="n">
        <x:f>SUM(F218:H218)</x:f>
        <x:v>337.8</x:v>
      </x:c>
      <x:c r="J218" s="11" t="n">
        <x:f>C218-F218</x:f>
        <x:v>8100</x:v>
      </x:c>
      <x:c r="K218" s="9" t="n">
        <x:v>0</x:v>
      </x:c>
      <x:c r="L218" s="9" t="n">
        <x:v>0</x:v>
      </x:c>
      <x:c r="M218" s="11" t="n">
        <x:f>SUM(J218:L218)</x:f>
        <x:v>8100</x:v>
      </x:c>
      <x:c r="N218" s="2" t="str">
        <x:v>Monatszahlung gemäß Zahlungsauftrag</x:v>
      </x:c>
    </x:row>
    <x:row r="219" ht="22" customHeight="1">
      <x:c r="A219" s="2" t="str">
        <x:v>APB-0018</x:v>
      </x:c>
      <x:c r="B219" s="2" t="str">
        <x:v>2026-07-31</x:v>
      </x:c>
      <x:c r="C219" s="9" t="n">
        <x:v>8100</x:v>
      </x:c>
      <x:c r="D219" s="9" t="n">
        <x:v>36.45</x:v>
      </x:c>
      <x:c r="E219" s="9" t="n">
        <x:v>0</x:v>
      </x:c>
      <x:c r="F219" s="9" t="n">
        <x:v>300</x:v>
      </x:c>
      <x:c r="G219" s="9" t="n">
        <x:v>36.45</x:v>
      </x:c>
      <x:c r="H219" s="9" t="n">
        <x:v>0</x:v>
      </x:c>
      <x:c r="I219" s="11" t="n">
        <x:f>SUM(F219:H219)</x:f>
        <x:v>336.45</x:v>
      </x:c>
      <x:c r="J219" s="11" t="n">
        <x:f>C219-F219</x:f>
        <x:v>7800</x:v>
      </x:c>
      <x:c r="K219" s="9" t="n">
        <x:v>0</x:v>
      </x:c>
      <x:c r="L219" s="9" t="n">
        <x:v>0</x:v>
      </x:c>
      <x:c r="M219" s="11" t="n">
        <x:f>SUM(J219:L219)</x:f>
        <x:v>7800</x:v>
      </x:c>
      <x:c r="N219" s="2" t="str">
        <x:v>Monatszahlung gemäß Zahlungsauftrag</x:v>
      </x:c>
    </x:row>
    <x:row r="220" ht="22" customHeight="1">
      <x:c r="A220" s="2" t="str">
        <x:v>APB-0018</x:v>
      </x:c>
      <x:c r="B220" s="2" t="str">
        <x:v>2026-08-31</x:v>
      </x:c>
      <x:c r="C220" s="9" t="n">
        <x:v>7800</x:v>
      </x:c>
      <x:c r="D220" s="9" t="n">
        <x:v>35.1</x:v>
      </x:c>
      <x:c r="E220" s="9" t="n">
        <x:v>0</x:v>
      </x:c>
      <x:c r="F220" s="9" t="n">
        <x:v>300</x:v>
      </x:c>
      <x:c r="G220" s="9" t="n">
        <x:v>35.1</x:v>
      </x:c>
      <x:c r="H220" s="9" t="n">
        <x:v>0</x:v>
      </x:c>
      <x:c r="I220" s="11" t="n">
        <x:f>SUM(F220:H220)</x:f>
        <x:v>335.1</x:v>
      </x:c>
      <x:c r="J220" s="11" t="n">
        <x:f>C220-F220</x:f>
        <x:v>7500</x:v>
      </x:c>
      <x:c r="K220" s="9" t="n">
        <x:v>0</x:v>
      </x:c>
      <x:c r="L220" s="9" t="n">
        <x:v>0</x:v>
      </x:c>
      <x:c r="M220" s="11" t="n">
        <x:f>SUM(J220:L220)</x:f>
        <x:v>7500</x:v>
      </x:c>
      <x:c r="N220" s="2" t="str">
        <x:v>Monatszahlung gemäß Zahlungsauftrag</x:v>
      </x:c>
    </x:row>
    <x:row r="221" ht="22" customHeight="1">
      <x:c r="A221" s="2" t="str">
        <x:v>APB-0018</x:v>
      </x:c>
      <x:c r="B221" s="2" t="str">
        <x:v>2026-09-30</x:v>
      </x:c>
      <x:c r="C221" s="9" t="n">
        <x:v>7500</x:v>
      </x:c>
      <x:c r="D221" s="9" t="n">
        <x:v>33.75</x:v>
      </x:c>
      <x:c r="E221" s="9" t="n">
        <x:v>0</x:v>
      </x:c>
      <x:c r="F221" s="9" t="n">
        <x:v>300</x:v>
      </x:c>
      <x:c r="G221" s="9" t="n">
        <x:v>33.75</x:v>
      </x:c>
      <x:c r="H221" s="9" t="n">
        <x:v>0</x:v>
      </x:c>
      <x:c r="I221" s="11" t="n">
        <x:f>SUM(F221:H221)</x:f>
        <x:v>333.75</x:v>
      </x:c>
      <x:c r="J221" s="11" t="n">
        <x:f>C221-F221</x:f>
        <x:v>7200</x:v>
      </x:c>
      <x:c r="K221" s="9" t="n">
        <x:v>0</x:v>
      </x:c>
      <x:c r="L221" s="9" t="n">
        <x:v>0</x:v>
      </x:c>
      <x:c r="M221" s="11" t="n">
        <x:f>SUM(J221:L221)</x:f>
        <x:v>7200</x:v>
      </x:c>
      <x:c r="N221" s="2" t="str">
        <x:v>Monatszahlung gemäß Zahlungsauftrag</x:v>
      </x:c>
    </x:row>
    <x:row r="222" ht="22" customHeight="1">
      <x:c r="A222" s="2" t="str">
        <x:v>APB-0019</x:v>
      </x:c>
      <x:c r="B222" s="2" t="str">
        <x:v>2025-10-31</x:v>
      </x:c>
      <x:c r="C222" s="9" t="n">
        <x:v>18000</x:v>
      </x:c>
      <x:c r="D222" s="9" t="n">
        <x:v>90</x:v>
      </x:c>
      <x:c r="E222" s="9" t="n">
        <x:v>0</x:v>
      </x:c>
      <x:c r="F222" s="9" t="n">
        <x:v>500</x:v>
      </x:c>
      <x:c r="G222" s="9" t="n">
        <x:v>90</x:v>
      </x:c>
      <x:c r="H222" s="9" t="n">
        <x:v>0</x:v>
      </x:c>
      <x:c r="I222" s="11" t="n">
        <x:f>SUM(F222:H222)</x:f>
        <x:v>590</x:v>
      </x:c>
      <x:c r="J222" s="11" t="n">
        <x:f>C222-F222</x:f>
        <x:v>17500</x:v>
      </x:c>
      <x:c r="K222" s="9" t="n">
        <x:v>0</x:v>
      </x:c>
      <x:c r="L222" s="9" t="n">
        <x:v>0</x:v>
      </x:c>
      <x:c r="M222" s="11" t="n">
        <x:f>SUM(J222:L222)</x:f>
        <x:v>17500</x:v>
      </x:c>
      <x:c r="N222" s="2" t="str">
        <x:v>Monatszahlung gemäß Zahlungsauftrag</x:v>
      </x:c>
    </x:row>
    <x:row r="223" ht="22" customHeight="1">
      <x:c r="A223" s="2" t="str">
        <x:v>APB-0019</x:v>
      </x:c>
      <x:c r="B223" s="2" t="str">
        <x:v>2025-11-30</x:v>
      </x:c>
      <x:c r="C223" s="9" t="n">
        <x:v>17500</x:v>
      </x:c>
      <x:c r="D223" s="9" t="n">
        <x:v>87.5</x:v>
      </x:c>
      <x:c r="E223" s="9" t="n">
        <x:v>0</x:v>
      </x:c>
      <x:c r="F223" s="9" t="n">
        <x:v>500</x:v>
      </x:c>
      <x:c r="G223" s="9" t="n">
        <x:v>87.5</x:v>
      </x:c>
      <x:c r="H223" s="9" t="n">
        <x:v>0</x:v>
      </x:c>
      <x:c r="I223" s="11" t="n">
        <x:f>SUM(F223:H223)</x:f>
        <x:v>587.5</x:v>
      </x:c>
      <x:c r="J223" s="11" t="n">
        <x:f>C223-F223</x:f>
        <x:v>17000</x:v>
      </x:c>
      <x:c r="K223" s="9" t="n">
        <x:v>0</x:v>
      </x:c>
      <x:c r="L223" s="9" t="n">
        <x:v>0</x:v>
      </x:c>
      <x:c r="M223" s="11" t="n">
        <x:f>SUM(J223:L223)</x:f>
        <x:v>17000</x:v>
      </x:c>
      <x:c r="N223" s="2" t="str">
        <x:v>Monatszahlung gemäß Zahlungsauftrag</x:v>
      </x:c>
    </x:row>
    <x:row r="224" ht="22" customHeight="1">
      <x:c r="A224" s="2" t="str">
        <x:v>APB-0019</x:v>
      </x:c>
      <x:c r="B224" s="2" t="str">
        <x:v>2025-12-31</x:v>
      </x:c>
      <x:c r="C224" s="9" t="n">
        <x:v>17000</x:v>
      </x:c>
      <x:c r="D224" s="9" t="n">
        <x:v>85</x:v>
      </x:c>
      <x:c r="E224" s="9" t="n">
        <x:v>0</x:v>
      </x:c>
      <x:c r="F224" s="9" t="n">
        <x:v>500</x:v>
      </x:c>
      <x:c r="G224" s="9" t="n">
        <x:v>85</x:v>
      </x:c>
      <x:c r="H224" s="9" t="n">
        <x:v>0</x:v>
      </x:c>
      <x:c r="I224" s="11" t="n">
        <x:f>SUM(F224:H224)</x:f>
        <x:v>585</x:v>
      </x:c>
      <x:c r="J224" s="11" t="n">
        <x:f>C224-F224</x:f>
        <x:v>16500</x:v>
      </x:c>
      <x:c r="K224" s="9" t="n">
        <x:v>0</x:v>
      </x:c>
      <x:c r="L224" s="9" t="n">
        <x:v>0</x:v>
      </x:c>
      <x:c r="M224" s="11" t="n">
        <x:f>SUM(J224:L224)</x:f>
        <x:v>16500</x:v>
      </x:c>
      <x:c r="N224" s="2" t="str">
        <x:v>Monatszahlung gemäß Zahlungsauftrag</x:v>
      </x:c>
    </x:row>
    <x:row r="225" ht="22" customHeight="1">
      <x:c r="A225" s="2" t="str">
        <x:v>APB-0019</x:v>
      </x:c>
      <x:c r="B225" s="2" t="str">
        <x:v>2026-01-31</x:v>
      </x:c>
      <x:c r="C225" s="9" t="n">
        <x:v>16500</x:v>
      </x:c>
      <x:c r="D225" s="9" t="n">
        <x:v>82.5</x:v>
      </x:c>
      <x:c r="E225" s="9" t="n">
        <x:v>0</x:v>
      </x:c>
      <x:c r="F225" s="9" t="n">
        <x:v>500</x:v>
      </x:c>
      <x:c r="G225" s="9" t="n">
        <x:v>82.5</x:v>
      </x:c>
      <x:c r="H225" s="9" t="n">
        <x:v>0</x:v>
      </x:c>
      <x:c r="I225" s="11" t="n">
        <x:f>SUM(F225:H225)</x:f>
        <x:v>582.5</x:v>
      </x:c>
      <x:c r="J225" s="11" t="n">
        <x:f>C225-F225</x:f>
        <x:v>16000</x:v>
      </x:c>
      <x:c r="K225" s="9" t="n">
        <x:v>0</x:v>
      </x:c>
      <x:c r="L225" s="9" t="n">
        <x:v>0</x:v>
      </x:c>
      <x:c r="M225" s="11" t="n">
        <x:f>SUM(J225:L225)</x:f>
        <x:v>16000</x:v>
      </x:c>
      <x:c r="N225" s="2" t="str">
        <x:v>Monatszahlung gemäß Zahlungsauftrag</x:v>
      </x:c>
    </x:row>
    <x:row r="226" ht="22" customHeight="1">
      <x:c r="A226" s="2" t="str">
        <x:v>APB-0019</x:v>
      </x:c>
      <x:c r="B226" s="2" t="str">
        <x:v>2026-02-28</x:v>
      </x:c>
      <x:c r="C226" s="9" t="n">
        <x:v>16000</x:v>
      </x:c>
      <x:c r="D226" s="9" t="n">
        <x:v>80</x:v>
      </x:c>
      <x:c r="E226" s="9" t="n">
        <x:v>0</x:v>
      </x:c>
      <x:c r="F226" s="9" t="n">
        <x:v>500</x:v>
      </x:c>
      <x:c r="G226" s="9" t="n">
        <x:v>80</x:v>
      </x:c>
      <x:c r="H226" s="9" t="n">
        <x:v>0</x:v>
      </x:c>
      <x:c r="I226" s="11" t="n">
        <x:f>SUM(F226:H226)</x:f>
        <x:v>580</x:v>
      </x:c>
      <x:c r="J226" s="11" t="n">
        <x:f>C226-F226</x:f>
        <x:v>15500</x:v>
      </x:c>
      <x:c r="K226" s="9" t="n">
        <x:v>0</x:v>
      </x:c>
      <x:c r="L226" s="9" t="n">
        <x:v>0</x:v>
      </x:c>
      <x:c r="M226" s="11" t="n">
        <x:f>SUM(J226:L226)</x:f>
        <x:v>15500</x:v>
      </x:c>
      <x:c r="N226" s="2" t="str">
        <x:v>Monatszahlung gemäß Zahlungsauftrag</x:v>
      </x:c>
    </x:row>
    <x:row r="227" ht="22" customHeight="1">
      <x:c r="A227" s="2" t="str">
        <x:v>APB-0019</x:v>
      </x:c>
      <x:c r="B227" s="2" t="str">
        <x:v>2026-03-31</x:v>
      </x:c>
      <x:c r="C227" s="9" t="n">
        <x:v>15500</x:v>
      </x:c>
      <x:c r="D227" s="9" t="n">
        <x:v>77.5</x:v>
      </x:c>
      <x:c r="E227" s="9" t="n">
        <x:v>0</x:v>
      </x:c>
      <x:c r="F227" s="9" t="n">
        <x:v>500</x:v>
      </x:c>
      <x:c r="G227" s="9" t="n">
        <x:v>77.5</x:v>
      </x:c>
      <x:c r="H227" s="9" t="n">
        <x:v>0</x:v>
      </x:c>
      <x:c r="I227" s="11" t="n">
        <x:f>SUM(F227:H227)</x:f>
        <x:v>577.5</x:v>
      </x:c>
      <x:c r="J227" s="11" t="n">
        <x:f>C227-F227</x:f>
        <x:v>15000</x:v>
      </x:c>
      <x:c r="K227" s="9" t="n">
        <x:v>0</x:v>
      </x:c>
      <x:c r="L227" s="9" t="n">
        <x:v>0</x:v>
      </x:c>
      <x:c r="M227" s="11" t="n">
        <x:f>SUM(J227:L227)</x:f>
        <x:v>15000</x:v>
      </x:c>
      <x:c r="N227" s="2" t="str">
        <x:v>Monatszahlung gemäß Zahlungsauftrag</x:v>
      </x:c>
    </x:row>
    <x:row r="228" ht="22" customHeight="1">
      <x:c r="A228" s="2" t="str">
        <x:v>APB-0019</x:v>
      </x:c>
      <x:c r="B228" s="2" t="str">
        <x:v>2026-04-30</x:v>
      </x:c>
      <x:c r="C228" s="9" t="n">
        <x:v>15000</x:v>
      </x:c>
      <x:c r="D228" s="9" t="n">
        <x:v>75</x:v>
      </x:c>
      <x:c r="E228" s="9" t="n">
        <x:v>0</x:v>
      </x:c>
      <x:c r="F228" s="9" t="n">
        <x:v>500</x:v>
      </x:c>
      <x:c r="G228" s="9" t="n">
        <x:v>75</x:v>
      </x:c>
      <x:c r="H228" s="9" t="n">
        <x:v>0</x:v>
      </x:c>
      <x:c r="I228" s="11" t="n">
        <x:f>SUM(F228:H228)</x:f>
        <x:v>575</x:v>
      </x:c>
      <x:c r="J228" s="11" t="n">
        <x:f>C228-F228</x:f>
        <x:v>14500</x:v>
      </x:c>
      <x:c r="K228" s="9" t="n">
        <x:v>0</x:v>
      </x:c>
      <x:c r="L228" s="9" t="n">
        <x:v>0</x:v>
      </x:c>
      <x:c r="M228" s="11" t="n">
        <x:f>SUM(J228:L228)</x:f>
        <x:v>14500</x:v>
      </x:c>
      <x:c r="N228" s="2" t="str">
        <x:v>Monatszahlung gemäß Zahlungsauftrag</x:v>
      </x:c>
    </x:row>
    <x:row r="229" ht="22" customHeight="1">
      <x:c r="A229" s="2" t="str">
        <x:v>APB-0019</x:v>
      </x:c>
      <x:c r="B229" s="2" t="str">
        <x:v>2026-05-31</x:v>
      </x:c>
      <x:c r="C229" s="9" t="n">
        <x:v>14500</x:v>
      </x:c>
      <x:c r="D229" s="9" t="n">
        <x:v>72.5</x:v>
      </x:c>
      <x:c r="E229" s="9" t="n">
        <x:v>0</x:v>
      </x:c>
      <x:c r="F229" s="9" t="n">
        <x:v>0</x:v>
      </x:c>
      <x:c r="G229" s="9" t="n">
        <x:v>0</x:v>
      </x:c>
      <x:c r="H229" s="9" t="n">
        <x:v>0</x:v>
      </x:c>
      <x:c r="I229" s="11" t="n">
        <x:f>SUM(F229:H229)</x:f>
        <x:v>0</x:v>
      </x:c>
      <x:c r="J229" s="11" t="n">
        <x:f>C229-F229</x:f>
        <x:v>14500</x:v>
      </x:c>
      <x:c r="K229" s="9" t="n">
        <x:v>72.5</x:v>
      </x:c>
      <x:c r="L229" s="9" t="n">
        <x:v>0</x:v>
      </x:c>
      <x:c r="M229" s="11" t="n">
        <x:f>SUM(J229:L229)</x:f>
        <x:v>14572.5</x:v>
      </x:c>
      <x:c r="N229" s="2" t="str">
        <x:v>Vergleichsverhandlung</x:v>
      </x:c>
    </x:row>
    <x:row r="230" ht="22" customHeight="1">
      <x:c r="A230" s="2" t="str">
        <x:v>APB-0019</x:v>
      </x:c>
      <x:c r="B230" s="2" t="str">
        <x:v>2026-06-30</x:v>
      </x:c>
      <x:c r="C230" s="9" t="n">
        <x:v>14500</x:v>
      </x:c>
      <x:c r="D230" s="9" t="n">
        <x:v>72.5</x:v>
      </x:c>
      <x:c r="E230" s="9" t="n">
        <x:v>0</x:v>
      </x:c>
      <x:c r="F230" s="9" t="n">
        <x:v>0</x:v>
      </x:c>
      <x:c r="G230" s="9" t="n">
        <x:v>0</x:v>
      </x:c>
      <x:c r="H230" s="9" t="n">
        <x:v>0</x:v>
      </x:c>
      <x:c r="I230" s="11" t="n">
        <x:f>SUM(F230:H230)</x:f>
        <x:v>0</x:v>
      </x:c>
      <x:c r="J230" s="11" t="n">
        <x:f>C230-F230</x:f>
        <x:v>14500</x:v>
      </x:c>
      <x:c r="K230" s="9" t="n">
        <x:v>145</x:v>
      </x:c>
      <x:c r="L230" s="9" t="n">
        <x:v>0</x:v>
      </x:c>
      <x:c r="M230" s="11" t="n">
        <x:f>SUM(J230:L230)</x:f>
        <x:v>14645</x:v>
      </x:c>
      <x:c r="N230" s="2" t="str">
        <x:v>Vergleichsverhandlung</x:v>
      </x:c>
    </x:row>
    <x:row r="231" ht="22" customHeight="1">
      <x:c r="A231" s="2" t="str">
        <x:v>APB-0019</x:v>
      </x:c>
      <x:c r="B231" s="2" t="str">
        <x:v>2026-07-31</x:v>
      </x:c>
      <x:c r="C231" s="9" t="n">
        <x:v>14500</x:v>
      </x:c>
      <x:c r="D231" s="9" t="n">
        <x:v>72.5</x:v>
      </x:c>
      <x:c r="E231" s="9" t="n">
        <x:v>0</x:v>
      </x:c>
      <x:c r="F231" s="9" t="n">
        <x:v>0</x:v>
      </x:c>
      <x:c r="G231" s="9" t="n">
        <x:v>0</x:v>
      </x:c>
      <x:c r="H231" s="9" t="n">
        <x:v>0</x:v>
      </x:c>
      <x:c r="I231" s="11" t="n">
        <x:f>SUM(F231:H231)</x:f>
        <x:v>0</x:v>
      </x:c>
      <x:c r="J231" s="11" t="n">
        <x:f>C231-F231</x:f>
        <x:v>14500</x:v>
      </x:c>
      <x:c r="K231" s="9" t="n">
        <x:v>217.5</x:v>
      </x:c>
      <x:c r="L231" s="9" t="n">
        <x:v>0</x:v>
      </x:c>
      <x:c r="M231" s="11" t="n">
        <x:f>SUM(J231:L231)</x:f>
        <x:v>14717.5</x:v>
      </x:c>
      <x:c r="N231" s="2" t="str">
        <x:v>Vergleichsverhandlung</x:v>
      </x:c>
    </x:row>
    <x:row r="232" ht="22" customHeight="1">
      <x:c r="A232" s="2" t="str">
        <x:v>APB-0019</x:v>
      </x:c>
      <x:c r="B232" s="2" t="str">
        <x:v>2026-08-31</x:v>
      </x:c>
      <x:c r="C232" s="9" t="n">
        <x:v>14500</x:v>
      </x:c>
      <x:c r="D232" s="9" t="n">
        <x:v>72.5</x:v>
      </x:c>
      <x:c r="E232" s="9" t="n">
        <x:v>0</x:v>
      </x:c>
      <x:c r="F232" s="9" t="n">
        <x:v>0</x:v>
      </x:c>
      <x:c r="G232" s="9" t="n">
        <x:v>0</x:v>
      </x:c>
      <x:c r="H232" s="9" t="n">
        <x:v>0</x:v>
      </x:c>
      <x:c r="I232" s="11" t="n">
        <x:f>SUM(F232:H232)</x:f>
        <x:v>0</x:v>
      </x:c>
      <x:c r="J232" s="11" t="n">
        <x:f>C232-F232</x:f>
        <x:v>14500</x:v>
      </x:c>
      <x:c r="K232" s="9" t="n">
        <x:v>290</x:v>
      </x:c>
      <x:c r="L232" s="9" t="n">
        <x:v>0</x:v>
      </x:c>
      <x:c r="M232" s="11" t="n">
        <x:f>SUM(J232:L232)</x:f>
        <x:v>14790</x:v>
      </x:c>
      <x:c r="N232" s="2" t="str">
        <x:v>Vergleichsverhandlung</x:v>
      </x:c>
    </x:row>
    <x:row r="233" ht="22" customHeight="1">
      <x:c r="A233" s="2" t="str">
        <x:v>APB-0019</x:v>
      </x:c>
      <x:c r="B233" s="2" t="str">
        <x:v>2026-09-30</x:v>
      </x:c>
      <x:c r="C233" s="9" t="n">
        <x:v>14500</x:v>
      </x:c>
      <x:c r="D233" s="9" t="n">
        <x:v>72.5</x:v>
      </x:c>
      <x:c r="E233" s="9" t="n">
        <x:v>0</x:v>
      </x:c>
      <x:c r="F233" s="9" t="n">
        <x:v>2000</x:v>
      </x:c>
      <x:c r="G233" s="9" t="n">
        <x:v>0</x:v>
      </x:c>
      <x:c r="H233" s="9" t="n">
        <x:v>0</x:v>
      </x:c>
      <x:c r="I233" s="11" t="n">
        <x:f>SUM(F233:H233)</x:f>
        <x:v>2000</x:v>
      </x:c>
      <x:c r="J233" s="11" t="n">
        <x:f>C233-F233</x:f>
        <x:v>12500</x:v>
      </x:c>
      <x:c r="K233" s="9" t="n">
        <x:v>362.5</x:v>
      </x:c>
      <x:c r="L233" s="9" t="n">
        <x:v>0</x:v>
      </x:c>
      <x:c r="M233" s="11" t="n">
        <x:f>SUM(J233:L233)</x:f>
        <x:v>12862.5</x:v>
      </x:c>
      <x:c r="N233" s="2" t="str">
        <x:v>Vergleichsteilzahlung ausdrücklich auf Kapital</x:v>
      </x:c>
    </x:row>
    <x:row r="234" ht="22" customHeight="1">
      <x:c r="A234" s="2" t="str">
        <x:v>APB-0020</x:v>
      </x:c>
      <x:c r="B234" s="2" t="str">
        <x:v>2025-10-31</x:v>
      </x:c>
      <x:c r="C234" s="9" t="n">
        <x:v>7200</x:v>
      </x:c>
      <x:c r="D234" s="9" t="n">
        <x:v>28.8</x:v>
      </x:c>
      <x:c r="E234" s="9" t="n">
        <x:v>0</x:v>
      </x:c>
      <x:c r="F234" s="9" t="n">
        <x:v>200</x:v>
      </x:c>
      <x:c r="G234" s="9" t="n">
        <x:v>28.8</x:v>
      </x:c>
      <x:c r="H234" s="9" t="n">
        <x:v>0</x:v>
      </x:c>
      <x:c r="I234" s="11" t="n">
        <x:f>SUM(F234:H234)</x:f>
        <x:v>228.8</x:v>
      </x:c>
      <x:c r="J234" s="11" t="n">
        <x:f>C234-F234</x:f>
        <x:v>7000</x:v>
      </x:c>
      <x:c r="K234" s="9" t="n">
        <x:v>0</x:v>
      </x:c>
      <x:c r="L234" s="9" t="n">
        <x:v>0</x:v>
      </x:c>
      <x:c r="M234" s="11" t="n">
        <x:f>SUM(J234:L234)</x:f>
        <x:v>7000</x:v>
      </x:c>
      <x:c r="N234" s="2" t="str">
        <x:v>Monatszahlung gemäß Zahlungsauftrag</x:v>
      </x:c>
    </x:row>
    <x:row r="235" ht="22" customHeight="1">
      <x:c r="A235" s="2" t="str">
        <x:v>APB-0020</x:v>
      </x:c>
      <x:c r="B235" s="2" t="str">
        <x:v>2025-11-30</x:v>
      </x:c>
      <x:c r="C235" s="9" t="n">
        <x:v>7000</x:v>
      </x:c>
      <x:c r="D235" s="9" t="n">
        <x:v>28</x:v>
      </x:c>
      <x:c r="E235" s="9" t="n">
        <x:v>0</x:v>
      </x:c>
      <x:c r="F235" s="9" t="n">
        <x:v>200</x:v>
      </x:c>
      <x:c r="G235" s="9" t="n">
        <x:v>28</x:v>
      </x:c>
      <x:c r="H235" s="9" t="n">
        <x:v>0</x:v>
      </x:c>
      <x:c r="I235" s="11" t="n">
        <x:f>SUM(F235:H235)</x:f>
        <x:v>228</x:v>
      </x:c>
      <x:c r="J235" s="11" t="n">
        <x:f>C235-F235</x:f>
        <x:v>6800</x:v>
      </x:c>
      <x:c r="K235" s="9" t="n">
        <x:v>0</x:v>
      </x:c>
      <x:c r="L235" s="9" t="n">
        <x:v>0</x:v>
      </x:c>
      <x:c r="M235" s="11" t="n">
        <x:f>SUM(J235:L235)</x:f>
        <x:v>6800</x:v>
      </x:c>
      <x:c r="N235" s="2" t="str">
        <x:v>Monatszahlung gemäß Zahlungsauftrag</x:v>
      </x:c>
    </x:row>
    <x:row r="236" ht="22" customHeight="1">
      <x:c r="A236" s="2" t="str">
        <x:v>APB-0020</x:v>
      </x:c>
      <x:c r="B236" s="2" t="str">
        <x:v>2025-12-31</x:v>
      </x:c>
      <x:c r="C236" s="9" t="n">
        <x:v>6800</x:v>
      </x:c>
      <x:c r="D236" s="9" t="n">
        <x:v>27.2</x:v>
      </x:c>
      <x:c r="E236" s="9" t="n">
        <x:v>0</x:v>
      </x:c>
      <x:c r="F236" s="9" t="n">
        <x:v>200</x:v>
      </x:c>
      <x:c r="G236" s="9" t="n">
        <x:v>27.2</x:v>
      </x:c>
      <x:c r="H236" s="9" t="n">
        <x:v>0</x:v>
      </x:c>
      <x:c r="I236" s="11" t="n">
        <x:f>SUM(F236:H236)</x:f>
        <x:v>227.2</x:v>
      </x:c>
      <x:c r="J236" s="11" t="n">
        <x:f>C236-F236</x:f>
        <x:v>6600</x:v>
      </x:c>
      <x:c r="K236" s="9" t="n">
        <x:v>0</x:v>
      </x:c>
      <x:c r="L236" s="9" t="n">
        <x:v>0</x:v>
      </x:c>
      <x:c r="M236" s="11" t="n">
        <x:f>SUM(J236:L236)</x:f>
        <x:v>6600</x:v>
      </x:c>
      <x:c r="N236" s="2" t="str">
        <x:v>Monatszahlung gemäß Zahlungsauftrag</x:v>
      </x:c>
    </x:row>
    <x:row r="237" ht="22" customHeight="1">
      <x:c r="A237" s="2" t="str">
        <x:v>APB-0020</x:v>
      </x:c>
      <x:c r="B237" s="2" t="str">
        <x:v>2026-01-31</x:v>
      </x:c>
      <x:c r="C237" s="9" t="n">
        <x:v>6600</x:v>
      </x:c>
      <x:c r="D237" s="9" t="n">
        <x:v>26.4</x:v>
      </x:c>
      <x:c r="E237" s="9" t="n">
        <x:v>0</x:v>
      </x:c>
      <x:c r="F237" s="9" t="n">
        <x:v>200</x:v>
      </x:c>
      <x:c r="G237" s="9" t="n">
        <x:v>26.4</x:v>
      </x:c>
      <x:c r="H237" s="9" t="n">
        <x:v>0</x:v>
      </x:c>
      <x:c r="I237" s="11" t="n">
        <x:f>SUM(F237:H237)</x:f>
        <x:v>226.4</x:v>
      </x:c>
      <x:c r="J237" s="11" t="n">
        <x:f>C237-F237</x:f>
        <x:v>6400</x:v>
      </x:c>
      <x:c r="K237" s="9" t="n">
        <x:v>0</x:v>
      </x:c>
      <x:c r="L237" s="9" t="n">
        <x:v>0</x:v>
      </x:c>
      <x:c r="M237" s="11" t="n">
        <x:f>SUM(J237:L237)</x:f>
        <x:v>6400</x:v>
      </x:c>
      <x:c r="N237" s="2" t="str">
        <x:v>Monatszahlung gemäß Zahlungsauftrag</x:v>
      </x:c>
    </x:row>
    <x:row r="238" ht="22" customHeight="1">
      <x:c r="A238" s="2" t="str">
        <x:v>APB-0020</x:v>
      </x:c>
      <x:c r="B238" s="2" t="str">
        <x:v>2026-02-28</x:v>
      </x:c>
      <x:c r="C238" s="9" t="n">
        <x:v>6400</x:v>
      </x:c>
      <x:c r="D238" s="9" t="n">
        <x:v>25.6</x:v>
      </x:c>
      <x:c r="E238" s="9" t="n">
        <x:v>0</x:v>
      </x:c>
      <x:c r="F238" s="9" t="n">
        <x:v>200</x:v>
      </x:c>
      <x:c r="G238" s="9" t="n">
        <x:v>25.6</x:v>
      </x:c>
      <x:c r="H238" s="9" t="n">
        <x:v>0</x:v>
      </x:c>
      <x:c r="I238" s="11" t="n">
        <x:f>SUM(F238:H238)</x:f>
        <x:v>225.6</x:v>
      </x:c>
      <x:c r="J238" s="11" t="n">
        <x:f>C238-F238</x:f>
        <x:v>6200</x:v>
      </x:c>
      <x:c r="K238" s="9" t="n">
        <x:v>0</x:v>
      </x:c>
      <x:c r="L238" s="9" t="n">
        <x:v>0</x:v>
      </x:c>
      <x:c r="M238" s="11" t="n">
        <x:f>SUM(J238:L238)</x:f>
        <x:v>6200</x:v>
      </x:c>
      <x:c r="N238" s="2" t="str">
        <x:v>Monatszahlung gemäß Zahlungsauftrag</x:v>
      </x:c>
    </x:row>
    <x:row r="239" ht="22" customHeight="1">
      <x:c r="A239" s="2" t="str">
        <x:v>APB-0020</x:v>
      </x:c>
      <x:c r="B239" s="2" t="str">
        <x:v>2026-03-31</x:v>
      </x:c>
      <x:c r="C239" s="9" t="n">
        <x:v>6200</x:v>
      </x:c>
      <x:c r="D239" s="9" t="n">
        <x:v>24.8</x:v>
      </x:c>
      <x:c r="E239" s="9" t="n">
        <x:v>0</x:v>
      </x:c>
      <x:c r="F239" s="9" t="n">
        <x:v>200</x:v>
      </x:c>
      <x:c r="G239" s="9" t="n">
        <x:v>24.8</x:v>
      </x:c>
      <x:c r="H239" s="9" t="n">
        <x:v>0</x:v>
      </x:c>
      <x:c r="I239" s="11" t="n">
        <x:f>SUM(F239:H239)</x:f>
        <x:v>224.8</x:v>
      </x:c>
      <x:c r="J239" s="11" t="n">
        <x:f>C239-F239</x:f>
        <x:v>6000</x:v>
      </x:c>
      <x:c r="K239" s="9" t="n">
        <x:v>0</x:v>
      </x:c>
      <x:c r="L239" s="9" t="n">
        <x:v>0</x:v>
      </x:c>
      <x:c r="M239" s="11" t="n">
        <x:f>SUM(J239:L239)</x:f>
        <x:v>6000</x:v>
      </x:c>
      <x:c r="N239" s="2" t="str">
        <x:v>Monatszahlung gemäß Zahlungsauftrag</x:v>
      </x:c>
    </x:row>
    <x:row r="240" ht="22" customHeight="1">
      <x:c r="A240" s="2" t="str">
        <x:v>APB-0020</x:v>
      </x:c>
      <x:c r="B240" s="2" t="str">
        <x:v>2026-04-30</x:v>
      </x:c>
      <x:c r="C240" s="9" t="n">
        <x:v>6000</x:v>
      </x:c>
      <x:c r="D240" s="9" t="n">
        <x:v>24</x:v>
      </x:c>
      <x:c r="E240" s="9" t="n">
        <x:v>0</x:v>
      </x:c>
      <x:c r="F240" s="9" t="n">
        <x:v>200</x:v>
      </x:c>
      <x:c r="G240" s="9" t="n">
        <x:v>24</x:v>
      </x:c>
      <x:c r="H240" s="9" t="n">
        <x:v>0</x:v>
      </x:c>
      <x:c r="I240" s="11" t="n">
        <x:f>SUM(F240:H240)</x:f>
        <x:v>224</x:v>
      </x:c>
      <x:c r="J240" s="11" t="n">
        <x:f>C240-F240</x:f>
        <x:v>5800</x:v>
      </x:c>
      <x:c r="K240" s="9" t="n">
        <x:v>0</x:v>
      </x:c>
      <x:c r="L240" s="9" t="n">
        <x:v>0</x:v>
      </x:c>
      <x:c r="M240" s="11" t="n">
        <x:f>SUM(J240:L240)</x:f>
        <x:v>5800</x:v>
      </x:c>
      <x:c r="N240" s="2" t="str">
        <x:v>Monatszahlung gemäß Zahlungsauftrag</x:v>
      </x:c>
    </x:row>
    <x:row r="241" ht="22" customHeight="1">
      <x:c r="A241" s="2" t="str">
        <x:v>APB-0020</x:v>
      </x:c>
      <x:c r="B241" s="2" t="str">
        <x:v>2026-05-31</x:v>
      </x:c>
      <x:c r="C241" s="9" t="n">
        <x:v>5800</x:v>
      </x:c>
      <x:c r="D241" s="9" t="n">
        <x:v>23.2</x:v>
      </x:c>
      <x:c r="E241" s="9" t="n">
        <x:v>0</x:v>
      </x:c>
      <x:c r="F241" s="9" t="n">
        <x:v>200</x:v>
      </x:c>
      <x:c r="G241" s="9" t="n">
        <x:v>23.2</x:v>
      </x:c>
      <x:c r="H241" s="9" t="n">
        <x:v>0</x:v>
      </x:c>
      <x:c r="I241" s="11" t="n">
        <x:f>SUM(F241:H241)</x:f>
        <x:v>223.2</x:v>
      </x:c>
      <x:c r="J241" s="11" t="n">
        <x:f>C241-F241</x:f>
        <x:v>5600</x:v>
      </x:c>
      <x:c r="K241" s="9" t="n">
        <x:v>0</x:v>
      </x:c>
      <x:c r="L241" s="9" t="n">
        <x:v>0</x:v>
      </x:c>
      <x:c r="M241" s="11" t="n">
        <x:f>SUM(J241:L241)</x:f>
        <x:v>5600</x:v>
      </x:c>
      <x:c r="N241" s="2" t="str">
        <x:v>Monatszahlung gemäß Zahlungsauftrag</x:v>
      </x:c>
    </x:row>
    <x:row r="242" ht="22" customHeight="1">
      <x:c r="A242" s="2" t="str">
        <x:v>APB-0020</x:v>
      </x:c>
      <x:c r="B242" s="2" t="str">
        <x:v>2026-06-30</x:v>
      </x:c>
      <x:c r="C242" s="9" t="n">
        <x:v>5600</x:v>
      </x:c>
      <x:c r="D242" s="9" t="n">
        <x:v>22.4</x:v>
      </x:c>
      <x:c r="E242" s="9" t="n">
        <x:v>0</x:v>
      </x:c>
      <x:c r="F242" s="9" t="n">
        <x:v>200</x:v>
      </x:c>
      <x:c r="G242" s="9" t="n">
        <x:v>22.4</x:v>
      </x:c>
      <x:c r="H242" s="9" t="n">
        <x:v>0</x:v>
      </x:c>
      <x:c r="I242" s="11" t="n">
        <x:f>SUM(F242:H242)</x:f>
        <x:v>222.4</x:v>
      </x:c>
      <x:c r="J242" s="11" t="n">
        <x:f>C242-F242</x:f>
        <x:v>5400</x:v>
      </x:c>
      <x:c r="K242" s="9" t="n">
        <x:v>0</x:v>
      </x:c>
      <x:c r="L242" s="9" t="n">
        <x:v>0</x:v>
      </x:c>
      <x:c r="M242" s="11" t="n">
        <x:f>SUM(J242:L242)</x:f>
        <x:v>5400</x:v>
      </x:c>
      <x:c r="N242" s="2" t="str">
        <x:v>Monatszahlung gemäß Zahlungsauftrag</x:v>
      </x:c>
    </x:row>
    <x:row r="243" ht="22" customHeight="1">
      <x:c r="A243" s="2" t="str">
        <x:v>APB-0020</x:v>
      </x:c>
      <x:c r="B243" s="2" t="str">
        <x:v>2026-07-31</x:v>
      </x:c>
      <x:c r="C243" s="9" t="n">
        <x:v>5400</x:v>
      </x:c>
      <x:c r="D243" s="9" t="n">
        <x:v>21.6</x:v>
      </x:c>
      <x:c r="E243" s="9" t="n">
        <x:v>0</x:v>
      </x:c>
      <x:c r="F243" s="9" t="n">
        <x:v>200</x:v>
      </x:c>
      <x:c r="G243" s="9" t="n">
        <x:v>21.6</x:v>
      </x:c>
      <x:c r="H243" s="9" t="n">
        <x:v>0</x:v>
      </x:c>
      <x:c r="I243" s="11" t="n">
        <x:f>SUM(F243:H243)</x:f>
        <x:v>221.6</x:v>
      </x:c>
      <x:c r="J243" s="11" t="n">
        <x:f>C243-F243</x:f>
        <x:v>5200</x:v>
      </x:c>
      <x:c r="K243" s="9" t="n">
        <x:v>0</x:v>
      </x:c>
      <x:c r="L243" s="9" t="n">
        <x:v>0</x:v>
      </x:c>
      <x:c r="M243" s="11" t="n">
        <x:f>SUM(J243:L243)</x:f>
        <x:v>5200</x:v>
      </x:c>
      <x:c r="N243" s="2" t="str">
        <x:v>Monatszahlung gemäß Zahlungsauftrag</x:v>
      </x:c>
    </x:row>
    <x:row r="244" ht="22" customHeight="1">
      <x:c r="A244" s="2" t="str">
        <x:v>APB-0020</x:v>
      </x:c>
      <x:c r="B244" s="2" t="str">
        <x:v>2026-08-31</x:v>
      </x:c>
      <x:c r="C244" s="9" t="n">
        <x:v>5200</x:v>
      </x:c>
      <x:c r="D244" s="9" t="n">
        <x:v>20.8</x:v>
      </x:c>
      <x:c r="E244" s="9" t="n">
        <x:v>0</x:v>
      </x:c>
      <x:c r="F244" s="9" t="n">
        <x:v>200</x:v>
      </x:c>
      <x:c r="G244" s="9" t="n">
        <x:v>20.8</x:v>
      </x:c>
      <x:c r="H244" s="9" t="n">
        <x:v>0</x:v>
      </x:c>
      <x:c r="I244" s="11" t="n">
        <x:f>SUM(F244:H244)</x:f>
        <x:v>220.8</x:v>
      </x:c>
      <x:c r="J244" s="11" t="n">
        <x:f>C244-F244</x:f>
        <x:v>5000</x:v>
      </x:c>
      <x:c r="K244" s="9" t="n">
        <x:v>0</x:v>
      </x:c>
      <x:c r="L244" s="9" t="n">
        <x:v>0</x:v>
      </x:c>
      <x:c r="M244" s="11" t="n">
        <x:f>SUM(J244:L244)</x:f>
        <x:v>5000</x:v>
      </x:c>
      <x:c r="N244" s="2" t="str">
        <x:v>Monatszahlung gemäß Zahlungsauftrag</x:v>
      </x:c>
    </x:row>
    <x:row r="245" ht="22" customHeight="1">
      <x:c r="A245" s="2" t="str">
        <x:v>APB-0020</x:v>
      </x:c>
      <x:c r="B245" s="2" t="str">
        <x:v>2026-09-30</x:v>
      </x:c>
      <x:c r="C245" s="9" t="n">
        <x:v>5000</x:v>
      </x:c>
      <x:c r="D245" s="9" t="n">
        <x:v>20</x:v>
      </x:c>
      <x:c r="E245" s="9" t="n">
        <x:v>0</x:v>
      </x:c>
      <x:c r="F245" s="9" t="n">
        <x:v>200</x:v>
      </x:c>
      <x:c r="G245" s="9" t="n">
        <x:v>20</x:v>
      </x:c>
      <x:c r="H245" s="9" t="n">
        <x:v>0</x:v>
      </x:c>
      <x:c r="I245" s="11" t="n">
        <x:f>SUM(F245:H245)</x:f>
        <x:v>220</x:v>
      </x:c>
      <x:c r="J245" s="11" t="n">
        <x:f>C245-F245</x:f>
        <x:v>4800</x:v>
      </x:c>
      <x:c r="K245" s="9" t="n">
        <x:v>0</x:v>
      </x:c>
      <x:c r="L245" s="9" t="n">
        <x:v>0</x:v>
      </x:c>
      <x:c r="M245" s="11" t="n">
        <x:f>SUM(J245:L245)</x:f>
        <x:v>4800</x:v>
      </x:c>
      <x:c r="N245" s="2" t="str">
        <x:v>Monatszahlung gemäß Zahlungsauftrag</x:v>
      </x:c>
    </x:row>
    <x:row r="246" ht="22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0887c8c5e30f49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8" hidden="0" customWidth="1"/>
    <x:col min="3" max="3" width="43" hidden="0" customWidth="1"/>
    <x:col min="4" max="4" width="29" hidden="0" customWidth="1"/>
    <x:col min="5" max="5" width="26" hidden="0" customWidth="1"/>
    <x:col min="6" max="6" width="44" hidden="0" customWidth="1"/>
  </x:cols>
  <x:sheetData>
    <x:row r="1" ht="24" customHeight="1">
      <x:c r="A1" s="4" t="str">
        <x:v>Auswahl und Umfang der Detailakten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2" customHeight="1">
      <x:c r="A3" s="2" t="str">
        <x:v>20 gezielt ausgewählte Fälle; keine Zufallsstichprobe und keine Hochrechnung auf die übrigen 980 Forderungen.</x:v>
      </x:c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36" customHeight="1">
      <x:c r="A5" s="6" t="str">
        <x:v>Darlehen</x:v>
      </x:c>
      <x:c r="B5" s="6" t="str">
        <x:v>Name</x:v>
      </x:c>
      <x:c r="C5" s="6" t="str">
        <x:v>Auswahlthema</x:v>
      </x:c>
      <x:c r="D5" s="6" t="str">
        <x:v>Vertrag und Belege</x:v>
      </x:c>
      <x:c r="E5" s="6" t="str">
        <x:v>Prüfung durch Erwerber</x:v>
      </x:c>
      <x:c r="F5" s="6" t="str">
        <x:v>Zusätzliche Nachforderung</x:v>
      </x:c>
    </x:row>
    <x:row r="6" ht="51" customHeight="1">
      <x:c r="A6" s="13" t="str">
        <x:v>APB-0001</x:v>
      </x:c>
      <x:c r="B6" s="13" t="str">
        <x:v>Kunigunde Schlehenried</x:v>
      </x:c>
      <x:c r="C6" s="13" t="str">
        <x:v>Verbraucherinsolvenz</x:v>
      </x:c>
      <x:c r="D6" s="13" t="str">
        <x:v>APB-0001_01 bis _04</x:v>
      </x:c>
      <x:c r="E6" s="14" t="str">
        <x:v>Offen</x:v>
      </x:c>
      <x:c r="F6" s="14" t="str"/>
    </x:row>
    <x:row r="7" ht="51" customHeight="1">
      <x:c r="A7" s="13" t="str">
        <x:v>APB-0002</x:v>
      </x:c>
      <x:c r="B7" s="13" t="str">
        <x:v>Balthasar Rummelspacher</x:v>
      </x:c>
      <x:c r="C7" s="13" t="str">
        <x:v>Restschuldbefreiung und Altbestand</x:v>
      </x:c>
      <x:c r="D7" s="13" t="str">
        <x:v>APB-0002_01 bis _04</x:v>
      </x:c>
      <x:c r="E7" s="14" t="str">
        <x:v>Offen</x:v>
      </x:c>
      <x:c r="F7" s="14" t="str"/>
    </x:row>
    <x:row r="8" ht="51" customHeight="1">
      <x:c r="A8" s="13" t="str">
        <x:v>APB-0003</x:v>
      </x:c>
      <x:c r="B8" s="13" t="str">
        <x:v>Friedolin Kesselhut</x:v>
      </x:c>
      <x:c r="C8" s="13" t="str">
        <x:v>Zahlungsrückstand und Kündigung</x:v>
      </x:c>
      <x:c r="D8" s="13" t="str">
        <x:v>APB-0003_01 bis _04</x:v>
      </x:c>
      <x:c r="E8" s="14" t="str">
        <x:v>Offen</x:v>
      </x:c>
      <x:c r="F8" s="14" t="str"/>
    </x:row>
    <x:row r="9" ht="51" customHeight="1">
      <x:c r="A9" s="13" t="str">
        <x:v>APB-0004</x:v>
      </x:c>
      <x:c r="B9" s="13" t="str">
        <x:v>Meryem Aydin</x:v>
      </x:c>
      <x:c r="C9" s="13" t="str">
        <x:v>Zustellung und Adresswechsel</x:v>
      </x:c>
      <x:c r="D9" s="13" t="str">
        <x:v>APB-0004_01 bis _04</x:v>
      </x:c>
      <x:c r="E9" s="14" t="str">
        <x:v>Offen</x:v>
      </x:c>
      <x:c r="F9" s="14" t="str"/>
    </x:row>
    <x:row r="10" ht="51" customHeight="1">
      <x:c r="A10" s="13" t="str">
        <x:v>APB-0005</x:v>
      </x:c>
      <x:c r="B10" s="13" t="str">
        <x:v>Ottilie Haberkamm</x:v>
      </x:c>
      <x:c r="C10" s="13" t="str">
        <x:v>Titel und Vollstreckung</x:v>
      </x:c>
      <x:c r="D10" s="13" t="str">
        <x:v>APB-0005_01 bis _04</x:v>
      </x:c>
      <x:c r="E10" s="14" t="str">
        <x:v>Offen</x:v>
      </x:c>
      <x:c r="F10" s="14" t="str"/>
    </x:row>
    <x:row r="11" ht="51" customHeight="1">
      <x:c r="A11" s="13" t="str">
        <x:v>APB-0006</x:v>
      </x:c>
      <x:c r="B11" s="13" t="str">
        <x:v>Leander Schlotfeger</x:v>
      </x:c>
      <x:c r="C11" s="13" t="str">
        <x:v>Stundung</x:v>
      </x:c>
      <x:c r="D11" s="13" t="str">
        <x:v>APB-0006_01 bis _04</x:v>
      </x:c>
      <x:c r="E11" s="14" t="str">
        <x:v>Offen</x:v>
      </x:c>
      <x:c r="F11" s="14" t="str"/>
    </x:row>
    <x:row r="12" ht="51" customHeight="1">
      <x:c r="A12" s="13" t="str">
        <x:v>APB-0007</x:v>
      </x:c>
      <x:c r="B12" s="13" t="str">
        <x:v>Samira Ben Youssef</x:v>
      </x:c>
      <x:c r="C12" s="13" t="str">
        <x:v>Widerruf und Formulararchiv</x:v>
      </x:c>
      <x:c r="D12" s="13" t="str">
        <x:v>APB-0007_01 bis _04</x:v>
      </x:c>
      <x:c r="E12" s="14" t="str">
        <x:v>Offen</x:v>
      </x:c>
      <x:c r="F12" s="14" t="str"/>
    </x:row>
    <x:row r="13" ht="51" customHeight="1">
      <x:c r="A13" s="13" t="str">
        <x:v>APB-0008</x:v>
      </x:c>
      <x:c r="B13" s="13" t="str">
        <x:v>Gottlieb Birkenseer</x:v>
      </x:c>
      <x:c r="C13" s="13" t="str">
        <x:v>Abtretungsklausel</x:v>
      </x:c>
      <x:c r="D13" s="13" t="str">
        <x:v>APB-0008_01 bis _04</x:v>
      </x:c>
      <x:c r="E13" s="14" t="str">
        <x:v>Offen</x:v>
      </x:c>
      <x:c r="F13" s="14" t="str"/>
    </x:row>
    <x:row r="14" ht="51" customHeight="1">
      <x:c r="A14" s="13" t="str">
        <x:v>APB-0009</x:v>
      </x:c>
      <x:c r="B14" s="13" t="str">
        <x:v>Nora Chatterjee</x:v>
      </x:c>
      <x:c r="C14" s="13" t="str">
        <x:v>Bestrittene Forderung und Aufrechnung</x:v>
      </x:c>
      <x:c r="D14" s="13" t="str">
        <x:v>APB-0009_01 bis _04</x:v>
      </x:c>
      <x:c r="E14" s="14" t="str">
        <x:v>Offen</x:v>
      </x:c>
      <x:c r="F14" s="14" t="str"/>
    </x:row>
    <x:row r="15" ht="51" customHeight="1">
      <x:c r="A15" s="13" t="str">
        <x:v>APB-0010</x:v>
      </x:c>
      <x:c r="B15" s="13" t="str">
        <x:v>Hieronymus Fichtelbauer</x:v>
      </x:c>
      <x:c r="C15" s="13" t="str">
        <x:v>Erbfall und Vertretung</x:v>
      </x:c>
      <x:c r="D15" s="13" t="str">
        <x:v>APB-0010_01 bis _04</x:v>
      </x:c>
      <x:c r="E15" s="14" t="str">
        <x:v>Offen</x:v>
      </x:c>
      <x:c r="F15" s="14" t="str"/>
    </x:row>
    <x:row r="16" ht="51" customHeight="1">
      <x:c r="A16" s="13" t="str">
        <x:v>APB-0011</x:v>
      </x:c>
      <x:c r="B16" s="13" t="str">
        <x:v>Rosalie Ziegenhagen</x:v>
      </x:c>
      <x:c r="C16" s="13" t="str">
        <x:v>Sondertilgung und Vorfälligkeitskosten</x:v>
      </x:c>
      <x:c r="D16" s="13" t="str">
        <x:v>APB-0011_01 bis _04</x:v>
      </x:c>
      <x:c r="E16" s="14" t="str">
        <x:v>Offen</x:v>
      </x:c>
      <x:c r="F16" s="14" t="str"/>
    </x:row>
    <x:row r="17" ht="51" customHeight="1">
      <x:c r="A17" s="13" t="str">
        <x:v>APB-0012</x:v>
      </x:c>
      <x:c r="B17" s="13" t="str">
        <x:v>Cem Krawinkel</x:v>
      </x:c>
      <x:c r="C17" s="13" t="str">
        <x:v>Sicherheit und fehlende Urkunde</x:v>
      </x:c>
      <x:c r="D17" s="13" t="str">
        <x:v>APB-0012_01 bis _04</x:v>
      </x:c>
      <x:c r="E17" s="14" t="str">
        <x:v>Offen</x:v>
      </x:c>
      <x:c r="F17" s="14" t="str"/>
    </x:row>
    <x:row r="18" ht="51" customHeight="1">
      <x:c r="A18" s="13" t="str">
        <x:v>APB-0013</x:v>
      </x:c>
      <x:c r="B18" s="13" t="str">
        <x:v>Euphemia Dinkelacker</x:v>
      </x:c>
      <x:c r="C18" s="13" t="str">
        <x:v>Verbundener Vertrag und Rückabwicklung</x:v>
      </x:c>
      <x:c r="D18" s="13" t="str">
        <x:v>APB-0013_01 bis _04</x:v>
      </x:c>
      <x:c r="E18" s="14" t="str">
        <x:v>Offen</x:v>
      </x:c>
      <x:c r="F18" s="14" t="str"/>
    </x:row>
    <x:row r="19" ht="51" customHeight="1">
      <x:c r="A19" s="13" t="str">
        <x:v>APB-0014</x:v>
      </x:c>
      <x:c r="B19" s="13" t="str">
        <x:v>Yara von Lauterbach</x:v>
      </x:c>
      <x:c r="C19" s="13" t="str">
        <x:v>Identität und bestrittene Signatur</x:v>
      </x:c>
      <x:c r="D19" s="13" t="str">
        <x:v>APB-0014_01 bis _04</x:v>
      </x:c>
      <x:c r="E19" s="14" t="str">
        <x:v>Offen</x:v>
      </x:c>
      <x:c r="F19" s="14" t="str"/>
    </x:row>
    <x:row r="20" ht="51" customHeight="1">
      <x:c r="A20" s="13" t="str">
        <x:v>APB-0015</x:v>
      </x:c>
      <x:c r="B20" s="13" t="str">
        <x:v>Severin Hopfenmüller</x:v>
      </x:c>
      <x:c r="C20" s="13" t="str">
        <x:v>Dienstleister und Datenzugang</x:v>
      </x:c>
      <x:c r="D20" s="13" t="str">
        <x:v>APB-0015_01 bis _04</x:v>
      </x:c>
      <x:c r="E20" s="14" t="str">
        <x:v>Offen</x:v>
      </x:c>
      <x:c r="F20" s="14" t="str"/>
    </x:row>
    <x:row r="21" ht="51" customHeight="1">
      <x:c r="A21" s="13" t="str">
        <x:v>APB-0016</x:v>
      </x:c>
      <x:c r="B21" s="13" t="str">
        <x:v>Thekla Morgenstern</x:v>
      </x:c>
      <x:c r="C21" s="13" t="str">
        <x:v>Gemeinschaftsschuldner und Trennung</x:v>
      </x:c>
      <x:c r="D21" s="13" t="str">
        <x:v>APB-0016_01 bis _04</x:v>
      </x:c>
      <x:c r="E21" s="14" t="str">
        <x:v>Offen</x:v>
      </x:c>
      <x:c r="F21" s="14" t="str"/>
    </x:row>
    <x:row r="22" ht="51" customHeight="1">
      <x:c r="A22" s="13" t="str">
        <x:v>APB-0017</x:v>
      </x:c>
      <x:c r="B22" s="13" t="str">
        <x:v>Abdul Rahman Eberlein</x:v>
      </x:c>
      <x:c r="C22" s="13" t="str">
        <x:v>Zahlungszuordnung und Stichtag</x:v>
      </x:c>
      <x:c r="D22" s="13" t="str">
        <x:v>APB-0017_01 bis _04</x:v>
      </x:c>
      <x:c r="E22" s="14" t="str">
        <x:v>Offen</x:v>
      </x:c>
      <x:c r="F22" s="14" t="str"/>
    </x:row>
    <x:row r="23" ht="51" customHeight="1">
      <x:c r="A23" s="13" t="str">
        <x:v>APB-0018</x:v>
      </x:c>
      <x:c r="B23" s="13" t="str">
        <x:v>Wendelin Nussbaumer</x:v>
      </x:c>
      <x:c r="C23" s="13" t="str">
        <x:v>Ordnungsgemäßer Verlauf</x:v>
      </x:c>
      <x:c r="D23" s="13" t="str">
        <x:v>APB-0018_01 bis _04</x:v>
      </x:c>
      <x:c r="E23" s="14" t="str">
        <x:v>Offen</x:v>
      </x:c>
      <x:c r="F23" s="14" t="str"/>
    </x:row>
    <x:row r="24" ht="51" customHeight="1">
      <x:c r="A24" s="13" t="str">
        <x:v>APB-0019</x:v>
      </x:c>
      <x:c r="B24" s="13" t="str">
        <x:v>Lotte Izumi Greifenstein</x:v>
      </x:c>
      <x:c r="C24" s="13" t="str">
        <x:v>Vergleich und bedingter Erlass</x:v>
      </x:c>
      <x:c r="D24" s="13" t="str">
        <x:v>APB-0019_01 bis _04</x:v>
      </x:c>
      <x:c r="E24" s="14" t="str">
        <x:v>Offen</x:v>
      </x:c>
      <x:c r="F24" s="14" t="str"/>
    </x:row>
    <x:row r="25" ht="51" customHeight="1">
      <x:c r="A25" s="13" t="str">
        <x:v>APB-0020</x:v>
      </x:c>
      <x:c r="B25" s="13" t="str">
        <x:v>Milo Wackernagel</x:v>
      </x:c>
      <x:c r="C25" s="13" t="str">
        <x:v>Altunterlagen und Zahlungsnachweis</x:v>
      </x:c>
      <x:c r="D25" s="13" t="str">
        <x:v>APB-0020_01 bis _04</x:v>
      </x:c>
      <x:c r="E25" s="14" t="str">
        <x:v>Offen</x:v>
      </x:c>
      <x:c r="F25" s="14" t="str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</x:sheetData>
  <x:mergeCells>
    <x:mergeCell ref="A1:F2"/>
    <x:mergeCell ref="A3:F3"/>
  </x:mergeCells>
  <x:dataValidations count="1">
    <x:dataValidation type="list" sqref="E6:E25">
      <x:formula1>"Offen,In Bearbeitung,Rückfrage,Dokumentiert"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85781816e3471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59" hidden="0" customWidth="1"/>
    <x:col min="3" max="3" width="47" hidden="0" customWidth="1"/>
    <x:col min="4" max="4" width="51" hidden="0" customWidth="1"/>
  </x:cols>
  <x:sheetData>
    <x:row r="1" ht="24" customHeight="1">
      <x:c r="A1" s="4" t="str">
        <x:v>Arbeitsweise und Quellen der Verkäuferdatei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2" customHeight="1">
      <x:c r="A3" s="2"/>
      <x:c r="B3" s="2"/>
      <x:c r="C3" s="2"/>
      <x:c r="D3" s="2"/>
    </x:row>
    <x:row r="4" ht="22" customHeight="1">
      <x:c r="A4" s="2"/>
      <x:c r="B4" s="2"/>
      <x:c r="C4" s="2"/>
      <x:c r="D4" s="2"/>
    </x:row>
    <x:row r="5" ht="36" customHeight="1">
      <x:c r="A5" s="6" t="str">
        <x:v>Thema</x:v>
      </x:c>
      <x:c r="B5" s="6" t="str">
        <x:v>Erläuterung</x:v>
      </x:c>
      <x:c r="C5" s="6" t="str">
        <x:v>Quelle</x:v>
      </x:c>
      <x:c r="D5" s="6" t="str">
        <x:v>Verwendung</x:v>
      </x:c>
    </x:row>
    <x:row r="6" ht="68" customHeight="1">
      <x:c r="A6" s="13" t="str">
        <x:v>Stichtag</x:v>
      </x:c>
      <x:c r="B6" s="13" t="str">
        <x:v>Verkäuferexport vom 30.09.2026, 12.00 Uhr. Wirtschaftlicher Stichtag 24.00 Uhr.</x:v>
      </x:c>
      <x:c r="C6" s="13" t="str">
        <x:v>03_Hauptbuch_und_Stichtagsbruecke.pdf</x:v>
      </x:c>
      <x:c r="D6" s="13" t="str">
        <x:v>Die Nachmittagszahlung getrennt überleiten.</x:v>
      </x:c>
    </x:row>
    <x:row r="7" ht="68" customHeight="1">
      <x:c r="A7" s="13" t="str">
        <x:v>Grundgesamtheit</x:v>
      </x:c>
      <x:c r="B7" s="13" t="str">
        <x:v>1.000 eindeutige Darlehensnummern APB-0001 bis APB-1000.</x:v>
      </x:c>
      <x:c r="C7" s="13" t="str">
        <x:v>Verkäuferexport KREDIT-ERF-20260930</x:v>
      </x:c>
      <x:c r="D7" s="13" t="str">
        <x:v>Die Nummern ersetzen keine Einzelakten.</x:v>
      </x:c>
    </x:row>
    <x:row r="8" ht="68" customHeight="1">
      <x:c r="A8" s="13" t="str">
        <x:v>Detailauswahl</x:v>
      </x:c>
      <x:c r="B8" s="13" t="str">
        <x:v>20 Fälle bewusst nach Bearbeitungsverlauf ausgewählt. Keine Zufallsauswahl.</x:v>
      </x:c>
      <x:c r="C8" s="13" t="str">
        <x:v>04_Datenraum_und_Urkundeninventar.pdf</x:v>
      </x:c>
      <x:c r="D8" s="13" t="str">
        <x:v>Keine Fehlerquote für 1.000 Fälle hochrechnen.</x:v>
      </x:c>
    </x:row>
    <x:row r="9" ht="68" customHeight="1">
      <x:c r="A9" s="13" t="str">
        <x:v>Kapital</x:v>
      </x:c>
      <x:c r="B9" s="13" t="str">
        <x:v>Offene Hauptforderung laut Verkäufer, ohne Zinsen und Kosten.</x:v>
      </x:c>
      <x:c r="C9" s="13" t="str">
        <x:v>APB-0001 bis APB-0020, jeweiliges Kontojournal</x:v>
      </x:c>
      <x:c r="D9" s="13" t="str">
        <x:v>Bestand und Durchsetzbarkeit getrennt prüfen.</x:v>
      </x:c>
    </x:row>
    <x:row r="10" ht="68" customHeight="1">
      <x:c r="A10" s="13" t="str">
        <x:v>Zinsen</x:v>
      </x:c>
      <x:c r="B10" s="13" t="str">
        <x:v>Unbezahlte Buchungszinsen; Altsystem bucht teilweise trotz Statusänderung weiter.</x:v>
      </x:c>
      <x:c r="C10" s="13" t="str">
        <x:v>Kontojournal und Buchungen</x:v>
      </x:c>
      <x:c r="D10" s="13" t="str">
        <x:v>Keine automatische Einziehbarkeit unterstellen.</x:v>
      </x:c>
    </x:row>
    <x:row r="11" ht="68" customHeight="1">
      <x:c r="A11" s="13" t="str">
        <x:v>Kosten</x:v>
      </x:c>
      <x:c r="B11" s="13" t="str">
        <x:v>Verkäuferbuchung einschließlich streitiger Pauschalen.</x:v>
      </x:c>
      <x:c r="C11" s="13" t="str">
        <x:v>Schriftwechsel der Detailfälle</x:v>
      </x:c>
      <x:c r="D11" s="13" t="str">
        <x:v>Anspruch und Nachweis gesondert prüfen.</x:v>
      </x:c>
    </x:row>
    <x:row r="12" ht="68" customHeight="1">
      <x:c r="A12" s="13" t="str">
        <x:v>Saldo</x:v>
      </x:c>
      <x:c r="B12" s="13" t="str">
        <x:v>Formel: Kapital plus Zinsen plus Kosten.</x:v>
      </x:c>
      <x:c r="C12" s="13" t="str">
        <x:v>Portfolio Spalten D bis G</x:v>
      </x:c>
      <x:c r="D12" s="13" t="str">
        <x:v>Kein zusätzlicher Preisbestandteil.</x:v>
      </x:c>
    </x:row>
    <x:row r="13" ht="68" customHeight="1">
      <x:c r="A13" s="13" t="str">
        <x:v>Kaufpreis</x:v>
      </x:c>
      <x:c r="B13" s="13" t="str">
        <x:v>Formel: Kapital mal Verkäuferfaktor, auf Cent gerundet.</x:v>
      </x:c>
      <x:c r="C13" s="13" t="str">
        <x:v>Portfolio Spalten D, H und I</x:v>
      </x:c>
      <x:c r="D13" s="13" t="str">
        <x:v>Faktor ist eine verhandelbare Verkäuferannahme.</x:v>
      </x:c>
    </x:row>
    <x:row r="14" ht="68" customHeight="1">
      <x:c r="A14" s="13" t="str">
        <x:v>Buchungen</x:v>
      </x:c>
      <x:c r="B14" s="13" t="str">
        <x:v>Zwölf Monatszeilen je Detailfall, Oktober 2025 bis September 2026.</x:v>
      </x:c>
      <x:c r="C14" s="13" t="str">
        <x:v>Jeweiliges Kontojournal; Anfangssalden Verkäuferexport</x:v>
      </x:c>
      <x:c r="D14" s="13" t="str">
        <x:v>Eingang und Zuordnung nicht doppelt zählen.</x:v>
      </x:c>
    </x:row>
    <x:row r="15" ht="68" customHeight="1">
      <x:c r="A15" s="13" t="str">
        <x:v>Anfangssalden</x:v>
      </x:c>
      <x:c r="B15" s="13" t="str">
        <x:v>Kapital und Zinsstand vor Oktober 2025 sind übernommene Werte.</x:v>
      </x:c>
      <x:c r="C15" s="13" t="str">
        <x:v>Vorjahresexport, Einzelbelege nachzufordern</x:v>
      </x:c>
      <x:c r="D15" s="13" t="str">
        <x:v>Keine Vollprüfung historischer Zahlungen behaupten.</x:v>
      </x:c>
    </x:row>
    <x:row r="16" ht="68" customHeight="1">
      <x:c r="A16" s="13" t="str">
        <x:v>Stichtagsbrücke</x:v>
      </x:c>
      <x:c r="B16" s="13" t="str">
        <x:v>720 Euro gingen nach 12 Uhr auf dem Sammelkonto ein.</x:v>
      </x:c>
      <x:c r="C16" s="13" t="str">
        <x:v>APB-0017_03_Schreiben.pdf</x:v>
      </x:c>
      <x:c r="D16" s="13" t="str">
        <x:v>Einmal abziehen; Kapital-/Zinsaufteilung noch klären.</x:v>
      </x:c>
    </x:row>
    <x:row r="17" ht="68" customHeight="1">
      <x:c r="A17" s="13" t="str">
        <x:v>Preisänderungen</x:v>
      </x:c>
      <x:c r="B17" s="13" t="str">
        <x:v>Faktor in H ändern; Preis und Übersicht rechnen neu.</x:v>
      </x:c>
      <x:c r="C17" s="13" t="str">
        <x:v>Verkäuferangebot</x:v>
      </x:c>
      <x:c r="D17" s="13" t="str">
        <x:v>Eine Änderung ist keine rechtliche Freigabe.</x:v>
      </x:c>
    </x:row>
    <x:row r="18" ht="68" customHeight="1">
      <x:c r="A18" s="13" t="str">
        <x:v>Stichprobenarbeit</x:v>
      </x:c>
      <x:c r="B18" s="13" t="str">
        <x:v>Erwerberstatus und Nachforderungen neben stabiler Vertragsnummer pflegen.</x:v>
      </x:c>
      <x:c r="C18" s="13" t="str">
        <x:v>Eigene Bearbeitung</x:v>
      </x:c>
      <x:c r="D18" s="13" t="str">
        <x:v>Nach Sortierung bleiben Notizen in derselben Zeile.</x:v>
      </x:c>
    </x:row>
    <x:row r="19" ht="68" customHeight="1">
      <x:c r="A19" s="13" t="str">
        <x:v>Erweiterung</x:v>
      </x:c>
      <x:c r="B19" s="13" t="str">
        <x:v>Weitere Akten und Datensätze nur nach Abgleich übernehmen; Tabellen und Summenbereiche gemeinsam erweitern.</x:v>
      </x:c>
      <x:c r="C19" s="13" t="str">
        <x:v>Neue Verkäuferlieferung</x:v>
      </x:c>
      <x:c r="D19" s="13" t="str">
        <x:v>Die vorliegende Mappe bildet genau 1.000 Nummern ab.</x:v>
      </x:c>
    </x:row>
    <x:row r="20" ht="68" customHeight="1">
      <x:c r="A20" s="13" t="str">
        <x:v>Fehlende Werte</x:v>
      </x:c>
      <x:c r="B20" s="13" t="str">
        <x:v>Leere Preisfaktoren ergeben einen sichtbaren Fehler; sie bedeuten nicht null.</x:v>
      </x:c>
      <x:c r="C20" s="13" t="str">
        <x:v>Originaldaten und offene Nachfrage</x:v>
      </x:c>
      <x:c r="D20" s="13" t="str">
        <x:v>Null nur als ausdrücklich gesetzten Preis verwenden.</x:v>
      </x:c>
    </x:row>
    <x:row r="21" ht="68" customHeight="1">
      <x:c r="A21" s="13" t="str">
        <x:v>Abgrenzung</x:v>
      </x:c>
      <x:c r="B21" s="13" t="str">
        <x:v>Kein Erwerb von Einlagen, Mietvertrag, Personal oder ganzen Kundenverträgen freigegeben.</x:v>
      </x:c>
      <x:c r="C21" s="13" t="str">
        <x:v>00_Auftrag_Due_Diligence.docx</x:v>
      </x:c>
      <x:c r="D21" s="13" t="str">
        <x:v>Jeden zusätzlichen Gegenstand getrennt entscheiden.</x:v>
      </x:c>
    </x:row>
    <x:row r="22" ht="68" customHeight="1">
      <x:c r="A22" s="13" t="str">
        <x:v>Bilanzgrenze</x:v>
      </x:c>
      <x:c r="B22" s="13" t="str">
        <x:v>Keine vollständige Bankbilanz und keine bestätigte Bewertung der Forderungen.</x:v>
      </x:c>
      <x:c r="C22" s="13" t="str">
        <x:v>03_Hauptbuch_und_Stichtagsbruecke.pdf</x:v>
      </x:c>
      <x:c r="D22" s="13" t="str">
        <x:v>Wertberichtigungen und Abschluss separat anfordern.</x:v>
      </x:c>
    </x:row>
    <x:row r="23" ht="68" customHeight="1">
      <x:c r="A23" s="13" t="str">
        <x:v>Kontrollen</x:v>
      </x:c>
      <x:c r="B23" s="13" t="str">
        <x:v>Null Differenz zeigt nur rechnerische Übereinstimmung der hier vorhandenen Werte.</x:v>
      </x:c>
      <x:c r="C23" s="13" t="str">
        <x:v>Ueberblick Zeilen 23 bis 26</x:v>
      </x:c>
      <x:c r="D23" s="13" t="str">
        <x:v>Kontrollfelder sind kein fachlicher Abschluss.</x:v>
      </x:c>
    </x:row>
    <x:row r="24" ht="22" customHeight="1">
      <x:c r="A24" s="2"/>
      <x:c r="B24" s="2"/>
      <x:c r="C24" s="2"/>
      <x:c r="D24" s="2"/>
    </x:row>
    <x:row r="25" ht="22" customHeight="1">
      <x:c r="A25" s="2"/>
      <x:c r="B25" s="2"/>
      <x:c r="C25" s="2"/>
      <x:c r="D25" s="2"/>
    </x:row>
    <x:row r="26" ht="22" customHeight="1">
      <x:c r="A26" s="2"/>
      <x:c r="B26" s="2"/>
      <x:c r="C26" s="2"/>
      <x:c r="D26" s="2"/>
    </x:row>
    <x:row r="27" ht="22" customHeight="1">
      <x:c r="A27" s="2"/>
      <x:c r="B27" s="2"/>
      <x:c r="C27" s="2"/>
      <x:c r="D27" s="2"/>
    </x:row>
    <x:row r="28" ht="22" customHeight="1">
      <x:c r="A28" s="2"/>
      <x:c r="B28" s="2"/>
      <x:c r="C28" s="2"/>
      <x:c r="D28" s="2"/>
    </x:row>
    <x:row r="29" ht="22" customHeight="1">
      <x:c r="A29" s="2"/>
      <x:c r="B29" s="2"/>
      <x:c r="C29" s="2"/>
      <x:c r="D29" s="2"/>
    </x:row>
  </x:sheetData>
  <x:mergeCells>
    <x:mergeCell ref="A1:D2"/>
  </x:mergeCells>
  <x:pageMargins left="0.7" right="0.7" top="0.75" bottom="0.75" header="0.3" footer="0.3"/>
</x:worksheet>
</file>