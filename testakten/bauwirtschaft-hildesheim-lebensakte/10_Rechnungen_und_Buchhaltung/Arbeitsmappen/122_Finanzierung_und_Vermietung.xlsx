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Finanzierung" sheetId="1" state="visible" ns1:id="rId3"/>
    <ns0:sheet name="Vermietung" sheetId="2" state="visible" ns1:id="rId4"/>
    <ns0:sheet name="Tilgung" sheetId="3" state="visible" ns1:id="rId5"/>
  </ns0:sheets>
  <ns0:definedNames>
    <ns0:definedName name="_xlnm.Print_Area" localSheetId="0">'Finanzierung'!A1:C28</ns0:definedName>
    <ns0:definedName name="_xlnm.Print_Titles" localSheetId="0">'Finanzierung'!$1:$5</ns0:definedName>
    <ns0:definedName name="_xlnm.Print_Area" localSheetId="1">'Vermietung'!A1:F19</ns0:definedName>
    <ns0:definedName name="_xlnm.Print_Titles" localSheetId="1">'Vermietung'!$1:$5</ns0:definedName>
    <ns0:definedName name="_xlnm.Print_Area" localSheetId="2">'Tilgung'!A1:F68</ns0:definedName>
    <ns0:definedName name="_xlnm.Print_Titles" localSheetId="2">'Tilgung'!$1:$5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<sst xmlns="http://schemas.openxmlformats.org/spreadsheetml/2006/main" count="73" uniqueCount="70">
  <si>
    <t xml:space="preserve">Projektfinanzierung und Vermietungsannahmen</t>
  </si>
  <si>
    <t xml:space="preserve">SW-HI-26-08 · Beträge in EUR</t>
  </si>
  <si>
    <t xml:space="preserve">Ansatz / Ergebnis</t>
  </si>
  <si>
    <t xml:space="preserve">Wert</t>
  </si>
  <si>
    <t xml:space="preserve">Grundlage</t>
  </si>
  <si>
    <t xml:space="preserve">Projektkosten Ausgang</t>
  </si>
  <si>
    <t xml:space="preserve">Kostenansätze aus Einzelbelegen; ohne Nachtrag/Korrektur</t>
  </si>
  <si>
    <t xml:space="preserve">Nachtrag und Entgeltminderung</t>
  </si>
  <si>
    <t xml:space="preserve">105 Rohbau / 106 Innenausbau</t>
  </si>
  <si>
    <t xml:space="preserve">Projektkosten fortgeschrieben</t>
  </si>
  <si>
    <t xml:space="preserve">Summe aus den beiden vorstehenden Ansätzen</t>
  </si>
  <si>
    <t xml:space="preserve">Eigenkapital</t>
  </si>
  <si>
    <t xml:space="preserve">108 Gesellschafterbeschluss</t>
  </si>
  <si>
    <t xml:space="preserve">Darlehen</t>
  </si>
  <si>
    <t xml:space="preserve">107 Darlehensvereinbarung</t>
  </si>
  <si>
    <t xml:space="preserve">Finanzierungsmittel</t>
  </si>
  <si>
    <t xml:space="preserve">Eigenkapital und Darlehen</t>
  </si>
  <si>
    <t xml:space="preserve">Mittel nach Projektkosten</t>
  </si>
  <si>
    <t xml:space="preserve">Finanzierungsmittel abzüglich Projektkosten</t>
  </si>
  <si>
    <t xml:space="preserve">Sollzins p. a.</t>
  </si>
  <si>
    <t xml:space="preserve">107 Darlehensvereinbarung ab 2029</t>
  </si>
  <si>
    <t xml:space="preserve">Anfängliche Tilgung p. a.</t>
  </si>
  <si>
    <t xml:space="preserve">Annuität volles Jahr</t>
  </si>
  <si>
    <t xml:space="preserve">Anfängliche Zinsen plus anfängliche Tilgung</t>
  </si>
  <si>
    <t xml:space="preserve">Leerstand / Mietausfall</t>
  </si>
  <si>
    <t xml:space="preserve">Annahme; Anteil der möglichen Jahreskaltmiete</t>
  </si>
  <si>
    <t xml:space="preserve">Nicht umlagefähige Kosten p. a.</t>
  </si>
  <si>
    <t xml:space="preserve">108 Planannahme; keine bereits angefallenen Kosten</t>
  </si>
  <si>
    <t xml:space="preserve">Miete volles Jahr vor Ausfall</t>
  </si>
  <si>
    <t xml:space="preserve">Vermietung: Wohnungs- und Stellplatzkaltmieten</t>
  </si>
  <si>
    <t xml:space="preserve">Miete nach Ausfall</t>
  </si>
  <si>
    <t xml:space="preserve">Mögliche Miete mal vermieteter Anteil</t>
  </si>
  <si>
    <t xml:space="preserve">Ergebnis vor Finanzierung</t>
  </si>
  <si>
    <t xml:space="preserve">Miete nach Ausfall abzüglich laufender Kosten</t>
  </si>
  <si>
    <t xml:space="preserve">Jährlicher Schuldendienst</t>
  </si>
  <si>
    <t xml:space="preserve">Annuität ab Januar 2029</t>
  </si>
  <si>
    <t xml:space="preserve">Liquidität vor Ertragsteuern</t>
  </si>
  <si>
    <t xml:space="preserve">Laufendes Ergebnis abzüglich Schuldendienst</t>
  </si>
  <si>
    <t xml:space="preserve">Schuldendienstdeckung</t>
  </si>
  <si>
    <t xml:space="preserve">Ergebnis vor Finanzierung / Schuldendienst</t>
  </si>
  <si>
    <t xml:space="preserve">Planjahr 2029 bei ganzjähriger Vermietung. Keine Aussage zur zulässigen Miethöhe.</t>
  </si>
  <si>
    <t xml:space="preserve">Keine Betriebs-/Heizkostenvorauszahlungen und keine Kautionen als Ertrag gerechnet.</t>
  </si>
  <si>
    <t xml:space="preserve">AfA, Ertragsteuern und spätere Anschlussfinanzierung sind hier nicht modelliert.</t>
  </si>
  <si>
    <t xml:space="preserve">Vermietung · volles Planjahr</t>
  </si>
  <si>
    <t xml:space="preserve">Wohnung</t>
  </si>
  <si>
    <t xml:space="preserve">Wohnfläche m²</t>
  </si>
  <si>
    <t xml:space="preserve">EUR je m²</t>
  </si>
  <si>
    <t xml:space="preserve">Wohnung mtl.</t>
  </si>
  <si>
    <t xml:space="preserve">Stellplatz mtl.</t>
  </si>
  <si>
    <t xml:space="preserve">Jahresmiete</t>
  </si>
  <si>
    <t xml:space="preserve">WE 01</t>
  </si>
  <si>
    <t xml:space="preserve">WE 02</t>
  </si>
  <si>
    <t xml:space="preserve">WE 03</t>
  </si>
  <si>
    <t xml:space="preserve">WE 04</t>
  </si>
  <si>
    <t xml:space="preserve">WE 05</t>
  </si>
  <si>
    <t xml:space="preserve">WE 06</t>
  </si>
  <si>
    <t xml:space="preserve">WE 07</t>
  </si>
  <si>
    <t xml:space="preserve">WE 08</t>
  </si>
  <si>
    <t xml:space="preserve">Summe</t>
  </si>
  <si>
    <t xml:space="preserve">Quelle: 108 Gesellschafterbeschluss und Vermietungsannahmen.</t>
  </si>
  <si>
    <t xml:space="preserve">Die acht Stellplätze sind den acht Wohnungen zugeordnet.</t>
  </si>
  <si>
    <t xml:space="preserve">Darlehensplan 2029 bis 2033</t>
  </si>
  <si>
    <t xml:space="preserve">Monat</t>
  </si>
  <si>
    <t xml:space="preserve">Anfangsschuld</t>
  </si>
  <si>
    <t xml:space="preserve">Annuität</t>
  </si>
  <si>
    <t xml:space="preserve">Zinsen</t>
  </si>
  <si>
    <t xml:space="preserve">Tilgung</t>
  </si>
  <si>
    <t xml:space="preserve">Restschuld</t>
  </si>
  <si>
    <t xml:space="preserve">Summe 60 Monate</t>
  </si>
  <si>
    <t xml:space="preserve">Quelle: 107 Darlehensvereinbarung; gleichbleibende Monatsrate bei sinkender Restschuld.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</si>
</sst>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_);\(#,##0.00\);\-_);@"/>
    <numFmt numFmtId="166" formatCode="0.0%"/>
    <numFmt numFmtId="167" formatCode="0.00&quot; x&quot;"/>
    <numFmt numFmtId="168" formatCode="#,##0.00"/>
    <numFmt numFmtId="169" formatCode="mmm\-yyyy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222222"/>
      <name val="Arial"/>
      <family val="0"/>
      <charset val="1"/>
    </font>
    <font>
      <b val="true"/>
      <sz val="14"/>
      <color rgb="FF222222"/>
      <name val="Arial"/>
      <family val="0"/>
      <charset val="1"/>
    </font>
    <font>
      <i val="true"/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457A7"/>
      <name val="Arial"/>
      <family val="0"/>
      <charset val="1"/>
    </font>
    <font>
      <sz val="10"/>
      <color rgb="FF246946"/>
      <name val="Arial"/>
      <family val="0"/>
      <charset val="1"/>
    </font>
    <font>
      <b val="true"/>
      <sz val="10"/>
      <color rgb="FF2222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24B62"/>
        <bgColor rgb="FF2457A7"/>
      </patternFill>
    </fill>
    <fill>
      <patternFill patternType="solid">
        <fgColor rgb="FFE8ED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6946"/>
      <rgbColor rgb="FFC0C0C0"/>
      <rgbColor rgb="FF808080"/>
      <rgbColor rgb="FF9999FF"/>
      <rgbColor rgb="FF993366"/>
      <rgbColor rgb="FFFFFFCC"/>
      <rgbColor rgb="FFE8EDF1"/>
      <rgbColor rgb="FF660066"/>
      <rgbColor rgb="FFFF8080"/>
      <rgbColor rgb="FF2457A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24B62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C90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47"/>
    <ns0:col collapsed="false" customWidth="true" hidden="false" outlineLevel="0" max="2" min="2" style="1" width="24"/>
    <ns0:col collapsed="false" customWidth="true" hidden="false" outlineLevel="0" max="3" min="3" style="1" width="61"/>
  </ns0:cols>
  <ns0:sheetData>
    <ns0:row r="1" customFormat="false" ht="15" hidden="false" customHeight="false" outlineLevel="0" collapsed="false">
      <ns0:c r="A1" s="2"/>
      <ns0:c r="B1" s="2"/>
      <ns0:c r="C1" s="2"/>
    </ns0:row>
    <ns0:row r="2" customFormat="false" ht="17.35" hidden="false" customHeight="false" outlineLevel="0" collapsed="false">
      <ns0:c r="A2" s="3" t="s">
        <ns0:v>0</ns0:v>
      </ns0:c>
      <ns0:c r="B2" s="2"/>
      <ns0:c r="C2" s="2"/>
    </ns0:row>
    <ns0:row r="3" customFormat="false" ht="15" hidden="false" customHeight="false" outlineLevel="0" collapsed="false">
      <ns0:c r="A3" s="4" t="s">
        <ns0:v>1</ns0:v>
      </ns0:c>
      <ns0:c r="B3" s="2"/>
      <ns0:c r="C3" s="2"/>
    </ns0:row>
    <ns0:row r="4" customFormat="false" ht="15" hidden="false" customHeight="false" outlineLevel="0" collapsed="false">
      <ns0:c r="A4" s="2"/>
      <ns0:c r="B4" s="2"/>
      <ns0:c r="C4" s="2"/>
    </ns0:row>
    <ns0:row r="5" customFormat="false" ht="35" hidden="false" customHeight="true" outlineLevel="0" collapsed="false">
      <ns0:c r="A5" s="5" t="s">
        <ns0:v>2</ns0:v>
      </ns0:c>
      <ns0:c r="B5" s="5" t="s">
        <ns0:v>3</ns0:v>
      </ns0:c>
      <ns0:c r="C5" s="5" t="s">
        <ns0:v>4</ns0:v>
      </ns0:c>
    </ns0:row>
    <ns0:row r="6" customFormat="false" ht="31" hidden="false" customHeight="true" outlineLevel="0" collapsed="false">
      <ns0:c r="A6" s="6" t="s">
        <ns0:v>5</ns0:v>
      </ns0:c>
      <ns0:c r="B6" s="7" t="n">
        <ns0:v>3463770.41</ns0:v>
      </ns0:c>
      <ns0:c r="C6" s="6" t="s">
        <ns0:v>6</ns0:v>
      </ns0:c>
    </ns0:row>
    <ns0:row r="7" customFormat="false" ht="31" hidden="false" customHeight="true" outlineLevel="0" collapsed="false">
      <ns0:c r="A7" s="6" t="s">
        <ns0:v>7</ns0:v>
      </ns0:c>
      <ns0:c r="B7" s="7" t="n">
        <ns0:v>18445</ns0:v>
      </ns0:c>
      <ns0:c r="C7" s="6" t="s">
        <ns0:v>8</ns0:v>
      </ns0:c>
    </ns0:row>
    <ns0:row r="8" customFormat="false" ht="31" hidden="false" customHeight="true" outlineLevel="0" collapsed="false">
      <ns0:c r="A8" s="6" t="s">
        <ns0:v>9</ns0:v>
      </ns0:c>
      <ns0:c r="B8" s="8" t="n">
        <ns0:f aca="false">SUM(B6:B7)</ns0:f>
        <ns0:v>3482215.41</ns0:v>
      </ns0:c>
      <ns0:c r="C8" s="6" t="s">
        <ns0:v>10</ns0:v>
      </ns0:c>
    </ns0:row>
    <ns0:row r="9" customFormat="false" ht="31" hidden="false" customHeight="true" outlineLevel="0" collapsed="false">
      <ns0:c r="A9" s="6" t="s">
        <ns0:v>11</ns0:v>
      </ns0:c>
      <ns0:c r="B9" s="7" t="n">
        <ns0:v>2100000</ns0:v>
      </ns0:c>
      <ns0:c r="C9" s="6" t="s">
        <ns0:v>12</ns0:v>
      </ns0:c>
    </ns0:row>
    <ns0:row r="10" customFormat="false" ht="31" hidden="false" customHeight="true" outlineLevel="0" collapsed="false">
      <ns0:c r="A10" s="6" t="s">
        <ns0:v>13</ns0:v>
      </ns0:c>
      <ns0:c r="B10" s="7" t="n">
        <ns0:v>1600000</ns0:v>
      </ns0:c>
      <ns0:c r="C10" s="6" t="s">
        <ns0:v>14</ns0:v>
      </ns0:c>
    </ns0:row>
    <ns0:row r="11" customFormat="false" ht="31" hidden="false" customHeight="true" outlineLevel="0" collapsed="false">
      <ns0:c r="A11" s="6" t="s">
        <ns0:v>15</ns0:v>
      </ns0:c>
      <ns0:c r="B11" s="8" t="n">
        <ns0:f aca="false">SUM(B9:B10)</ns0:f>
        <ns0:v>3700000</ns0:v>
      </ns0:c>
      <ns0:c r="C11" s="6" t="s">
        <ns0:v>16</ns0:v>
      </ns0:c>
    </ns0:row>
    <ns0:row r="12" customFormat="false" ht="31" hidden="false" customHeight="true" outlineLevel="0" collapsed="false">
      <ns0:c r="A12" s="6" t="s">
        <ns0:v>17</ns0:v>
      </ns0:c>
      <ns0:c r="B12" s="8" t="n">
        <ns0:f aca="false">B11-B8</ns0:f>
        <ns0:v>217784.59</ns0:v>
      </ns0:c>
      <ns0:c r="C12" s="6" t="s">
        <ns0:v>18</ns0:v>
      </ns0:c>
    </ns0:row>
    <ns0:row r="13" customFormat="false" ht="31" hidden="false" customHeight="true" outlineLevel="0" collapsed="false">
      <ns0:c r="A13" s="6" t="s">
        <ns0:v>19</ns0:v>
      </ns0:c>
      <ns0:c r="B13" s="9" t="n">
        <ns0:v>0.036</ns0:v>
      </ns0:c>
      <ns0:c r="C13" s="6" t="s">
        <ns0:v>20</ns0:v>
      </ns0:c>
    </ns0:row>
    <ns0:row r="14" customFormat="false" ht="31" hidden="false" customHeight="true" outlineLevel="0" collapsed="false">
      <ns0:c r="A14" s="6" t="s">
        <ns0:v>21</ns0:v>
      </ns0:c>
      <ns0:c r="B14" s="9" t="n">
        <ns0:v>0.015</ns0:v>
      </ns0:c>
      <ns0:c r="C14" s="6" t="s">
        <ns0:v>20</ns0:v>
      </ns0:c>
    </ns0:row>
    <ns0:row r="15" customFormat="false" ht="31" hidden="false" customHeight="true" outlineLevel="0" collapsed="false">
      <ns0:c r="A15" s="6" t="s">
        <ns0:v>22</ns0:v>
      </ns0:c>
      <ns0:c r="B15" s="8" t="n">
        <ns0:f aca="false">B10*SUM(B13:B14)</ns0:f>
        <ns0:v>81600</ns0:v>
      </ns0:c>
      <ns0:c r="C15" s="6" t="s">
        <ns0:v>23</ns0:v>
      </ns0:c>
    </ns0:row>
    <ns0:row r="16" customFormat="false" ht="31" hidden="false" customHeight="true" outlineLevel="0" collapsed="false">
      <ns0:c r="A16" s="6" t="s">
        <ns0:v>24</ns0:v>
      </ns0:c>
      <ns0:c r="B16" s="9" t="n">
        <ns0:v>0</ns0:v>
      </ns0:c>
      <ns0:c r="C16" s="6" t="s">
        <ns0:v>25</ns0:v>
      </ns0:c>
    </ns0:row>
    <ns0:row r="17" customFormat="false" ht="31" hidden="false" customHeight="true" outlineLevel="0" collapsed="false">
      <ns0:c r="A17" s="6" t="s">
        <ns0:v>26</ns0:v>
      </ns0:c>
      <ns0:c r="B17" s="7" t="n">
        <ns0:v>18000</ns0:v>
      </ns0:c>
      <ns0:c r="C17" s="6" t="s">
        <ns0:v>27</ns0:v>
      </ns0:c>
    </ns0:row>
    <ns0:row r="18" customFormat="false" ht="31" hidden="false" customHeight="true" outlineLevel="0" collapsed="false">
      <ns0:c r="A18" s="6" t="s">
        <ns0:v>28</ns0:v>
      </ns0:c>
      <ns0:c r="B18" s="10" t="n">
        <ns0:f aca="false">Vermietung!F14</ns0:f>
        <ns0:v>102000</ns0:v>
      </ns0:c>
      <ns0:c r="C18" s="6" t="s">
        <ns0:v>29</ns0:v>
      </ns0:c>
    </ns0:row>
    <ns0:row r="19" customFormat="false" ht="31" hidden="false" customHeight="true" outlineLevel="0" collapsed="false">
      <ns0:c r="A19" s="6" t="s">
        <ns0:v>30</ns0:v>
      </ns0:c>
      <ns0:c r="B19" s="8" t="n">
        <ns0:f aca="false">IF(AND(ISNUMBER(B18),ISNUMBER(B16)),B18*(1-B16),"offen")</ns0:f>
        <ns0:v>102000</ns0:v>
      </ns0:c>
      <ns0:c r="C19" s="6" t="s">
        <ns0:v>31</ns0:v>
      </ns0:c>
    </ns0:row>
    <ns0:row r="20" customFormat="false" ht="31" hidden="false" customHeight="true" outlineLevel="0" collapsed="false">
      <ns0:c r="A20" s="6" t="s">
        <ns0:v>32</ns0:v>
      </ns0:c>
      <ns0:c r="B20" s="8" t="n">
        <ns0:f aca="false">IF(AND(ISNUMBER(B19),ISNUMBER(B17)),B19-B17,"offen")</ns0:f>
        <ns0:v>84000</ns0:v>
      </ns0:c>
      <ns0:c r="C20" s="6" t="s">
        <ns0:v>33</ns0:v>
      </ns0:c>
    </ns0:row>
    <ns0:row r="21" customFormat="false" ht="31" hidden="false" customHeight="true" outlineLevel="0" collapsed="false">
      <ns0:c r="A21" s="6" t="s">
        <ns0:v>34</ns0:v>
      </ns0:c>
      <ns0:c r="B21" s="8" t="n">
        <ns0:f aca="false">B15</ns0:f>
        <ns0:v>81600</ns0:v>
      </ns0:c>
      <ns0:c r="C21" s="6" t="s">
        <ns0:v>35</ns0:v>
      </ns0:c>
    </ns0:row>
    <ns0:row r="22" customFormat="false" ht="31" hidden="false" customHeight="true" outlineLevel="0" collapsed="false">
      <ns0:c r="A22" s="6" t="s">
        <ns0:v>36</ns0:v>
      </ns0:c>
      <ns0:c r="B22" s="8" t="n">
        <ns0:f aca="false">IF(ISNUMBER(B20),B20-B21,"offen")</ns0:f>
        <ns0:v>2400</ns0:v>
      </ns0:c>
      <ns0:c r="C22" s="6" t="s">
        <ns0:v>37</ns0:v>
      </ns0:c>
    </ns0:row>
    <ns0:row r="23" customFormat="false" ht="31" hidden="false" customHeight="true" outlineLevel="0" collapsed="false">
      <ns0:c r="A23" s="6" t="s">
        <ns0:v>38</ns0:v>
      </ns0:c>
      <ns0:c r="B23" s="11" t="n">
        <ns0:f aca="false">IF(AND(ISNUMBER(B20),B21&gt;0),B20/B21,"offen")</ns0:f>
        <ns0:v>1.02941176470588</ns0:v>
      </ns0:c>
      <ns0:c r="C23" s="6" t="s">
        <ns0:v>39</ns0:v>
      </ns0:c>
    </ns0:row>
    <ns0:row r="24" customFormat="false" ht="15" hidden="false" customHeight="false" outlineLevel="0" collapsed="false">
      <ns0:c r="A24" s="2"/>
      <ns0:c r="B24" s="2"/>
      <ns0:c r="C24" s="2"/>
    </ns0:row>
    <ns0:row r="25" customFormat="false" ht="15" hidden="false" customHeight="false" outlineLevel="0" collapsed="false">
      <ns0:c r="A25" s="2" t="s">
        <ns0:v>40</ns0:v>
      </ns0:c>
      <ns0:c r="B25" s="2"/>
      <ns0:c r="C25" s="2"/>
    </ns0:row>
    <ns0:row r="26" customFormat="false" ht="15" hidden="false" customHeight="false" outlineLevel="0" collapsed="false">
      <ns0:c r="A26" s="2" t="s">
        <ns0:v>41</ns0:v>
      </ns0:c>
      <ns0:c r="B26" s="2"/>
      <ns0:c r="C26" s="2"/>
    </ns0:row>
    <ns0:row r="27" customFormat="false" ht="15" hidden="false" customHeight="false" outlineLevel="0" collapsed="false">
      <ns0:c r="A27" s="2" t="s">
        <ns0:v>42</ns0:v>
      </ns0:c>
      <ns0:c r="B27" s="2"/>
      <ns0:c r="C27" s="2"/>
    </ns0:row>
    <ns0:row r="28" customFormat="false" ht="15" hidden="false" customHeight="false" outlineLevel="0" collapsed="false">
      <ns0:c r="A28" s="2"/>
      <ns0:c r="B28" s="2"/>
      <ns0:c r="C28" s="2"/>
    </ns0:row>
    <ns0:row r="29" customFormat="false" ht="15" hidden="false" customHeight="false" outlineLevel="0" collapsed="false">
      <ns0:c r="A29" s="2"/>
      <ns0:c r="B29" s="2"/>
      <ns0:c r="C29" s="2"/>
    </ns0:row>
    <ns0:row r="30" customFormat="false" ht="15" hidden="false" customHeight="false" outlineLevel="0" collapsed="false">
      <ns0:c r="A30" s="2"/>
      <ns0:c r="B30" s="2"/>
      <ns0:c r="C30" s="2"/>
    </ns0:row>
    <ns0:row r="31" customFormat="false" ht="15" hidden="false" customHeight="false" outlineLevel="0" collapsed="false">
      <ns0:c r="A31" s="2"/>
      <ns0:c r="B31" s="2"/>
      <ns0:c r="C31" s="2"/>
    </ns0:row>
    <ns0:row r="32" customFormat="false" ht="15" hidden="false" customHeight="false" outlineLevel="0" collapsed="false">
      <ns0:c r="A32" s="2"/>
      <ns0:c r="B32" s="2"/>
      <ns0:c r="C32" s="2"/>
    </ns0:row>
    <ns0:row r="33" customFormat="false" ht="15" hidden="false" customHeight="false" outlineLevel="0" collapsed="false">
      <ns0:c r="A33" s="2"/>
      <ns0:c r="B33" s="2"/>
      <ns0:c r="C33" s="2"/>
    </ns0:row>
    <ns0:row r="34" customFormat="false" ht="15" hidden="false" customHeight="false" outlineLevel="0" collapsed="false">
      <ns0:c r="A34" s="2"/>
      <ns0:c r="B34" s="2"/>
      <ns0:c r="C34" s="2"/>
    </ns0:row>
    <ns0:row r="35" customFormat="false" ht="15" hidden="false" customHeight="false" outlineLevel="0" collapsed="false">
      <ns0:c r="A35" s="2"/>
      <ns0:c r="B35" s="2"/>
      <ns0:c r="C35" s="2"/>
    </ns0:row>
    <ns0:row r="36" customFormat="false" ht="15" hidden="false" customHeight="false" outlineLevel="0" collapsed="false">
      <ns0:c r="A36" s="2"/>
      <ns0:c r="B36" s="2"/>
      <ns0:c r="C36" s="2"/>
    </ns0:row>
    <ns0:row r="37" customFormat="false" ht="15" hidden="false" customHeight="false" outlineLevel="0" collapsed="false">
      <ns0:c r="A37" s="2"/>
      <ns0:c r="B37" s="2"/>
      <ns0:c r="C37" s="2"/>
    </ns0:row>
    <ns0:row r="38" customFormat="false" ht="15" hidden="false" customHeight="false" outlineLevel="0" collapsed="false">
      <ns0:c r="A38" s="2"/>
      <ns0:c r="B38" s="2"/>
      <ns0:c r="C38" s="2"/>
    </ns0:row>
    <ns0:row r="39" customFormat="false" ht="15" hidden="false" customHeight="false" outlineLevel="0" collapsed="false">
      <ns0:c r="A39" s="2"/>
      <ns0:c r="B39" s="2"/>
      <ns0:c r="C39" s="2"/>
    </ns0:row>
    <ns0:row r="40" customFormat="false" ht="15" hidden="false" customHeight="false" outlineLevel="0" collapsed="false">
      <ns0:c r="A40" s="2"/>
      <ns0:c r="B40" s="2"/>
      <ns0:c r="C40" s="2"/>
    </ns0:row>
    <ns0:row r="41" customFormat="false" ht="15" hidden="false" customHeight="false" outlineLevel="0" collapsed="false">
      <ns0:c r="A41" s="2"/>
      <ns0:c r="B41" s="2"/>
      <ns0:c r="C41" s="2"/>
    </ns0:row>
    <ns0:row r="42" customFormat="false" ht="15" hidden="false" customHeight="false" outlineLevel="0" collapsed="false">
      <ns0:c r="A42" s="2"/>
      <ns0:c r="B42" s="2"/>
      <ns0:c r="C42" s="2"/>
    </ns0:row>
    <ns0:row r="43" customFormat="false" ht="15" hidden="false" customHeight="false" outlineLevel="0" collapsed="false">
      <ns0:c r="A43" s="2"/>
      <ns0:c r="B43" s="2"/>
      <ns0:c r="C43" s="2"/>
    </ns0:row>
    <ns0:row r="44" customFormat="false" ht="15" hidden="false" customHeight="false" outlineLevel="0" collapsed="false">
      <ns0:c r="A44" s="2"/>
      <ns0:c r="B44" s="2"/>
      <ns0:c r="C44" s="2"/>
    </ns0:row>
    <ns0:row r="45" customFormat="false" ht="15" hidden="false" customHeight="false" outlineLevel="0" collapsed="false">
      <ns0:c r="A45" s="2"/>
      <ns0:c r="B45" s="2"/>
      <ns0:c r="C45" s="2"/>
    </ns0:row>
    <ns0:row r="46" customFormat="false" ht="15" hidden="false" customHeight="false" outlineLevel="0" collapsed="false">
      <ns0:c r="A46" s="2"/>
      <ns0:c r="B46" s="2"/>
      <ns0:c r="C46" s="2"/>
    </ns0:row>
    <ns0:row r="47" customFormat="false" ht="15" hidden="false" customHeight="false" outlineLevel="0" collapsed="false">
      <ns0:c r="A47" s="2"/>
      <ns0:c r="B47" s="2"/>
      <ns0:c r="C47" s="2"/>
    </ns0:row>
    <ns0:row r="48" customFormat="false" ht="15" hidden="false" customHeight="false" outlineLevel="0" collapsed="false">
      <ns0:c r="A48" s="2"/>
      <ns0:c r="B48" s="2"/>
      <ns0:c r="C48" s="2"/>
    </ns0:row>
    <ns0:row r="49" customFormat="false" ht="15" hidden="false" customHeight="false" outlineLevel="0" collapsed="false">
      <ns0:c r="A49" s="2"/>
      <ns0:c r="B49" s="2"/>
      <ns0:c r="C49" s="2"/>
    </ns0:row>
    <ns0:row r="50" customFormat="false" ht="15" hidden="false" customHeight="false" outlineLevel="0" collapsed="false">
      <ns0:c r="A50" s="2"/>
      <ns0:c r="B50" s="2"/>
      <ns0:c r="C50" s="2"/>
    </ns0:row>
    <ns0:row r="51" customFormat="false" ht="15" hidden="false" customHeight="false" outlineLevel="0" collapsed="false">
      <ns0:c r="A51" s="2"/>
      <ns0:c r="B51" s="2"/>
      <ns0:c r="C51" s="2"/>
    </ns0:row>
    <ns0:row r="52" customFormat="false" ht="15" hidden="false" customHeight="false" outlineLevel="0" collapsed="false">
      <ns0:c r="A52" s="2"/>
      <ns0:c r="B52" s="2"/>
      <ns0:c r="C52" s="2"/>
    </ns0:row>
    <ns0:row r="53" customFormat="false" ht="15" hidden="false" customHeight="false" outlineLevel="0" collapsed="false">
      <ns0:c r="A53" s="2"/>
      <ns0:c r="B53" s="2"/>
      <ns0:c r="C53" s="2"/>
    </ns0:row>
    <ns0:row r="54" customFormat="false" ht="15" hidden="false" customHeight="false" outlineLevel="0" collapsed="false">
      <ns0:c r="A54" s="2"/>
      <ns0:c r="B54" s="2"/>
      <ns0:c r="C54" s="2"/>
    </ns0:row>
    <ns0:row r="55" customFormat="false" ht="15" hidden="false" customHeight="false" outlineLevel="0" collapsed="false">
      <ns0:c r="A55" s="2"/>
      <ns0:c r="B55" s="2"/>
      <ns0:c r="C55" s="2"/>
    </ns0:row>
    <ns0:row r="56" customFormat="false" ht="15" hidden="false" customHeight="false" outlineLevel="0" collapsed="false">
      <ns0:c r="A56" s="2"/>
      <ns0:c r="B56" s="2"/>
      <ns0:c r="C56" s="2"/>
    </ns0:row>
    <ns0:row r="57" customFormat="false" ht="15" hidden="false" customHeight="false" outlineLevel="0" collapsed="false">
      <ns0:c r="A57" s="2"/>
      <ns0:c r="B57" s="2"/>
      <ns0:c r="C57" s="2"/>
    </ns0:row>
    <ns0:row r="58" customFormat="false" ht="15" hidden="false" customHeight="false" outlineLevel="0" collapsed="false">
      <ns0:c r="A58" s="2"/>
      <ns0:c r="B58" s="2"/>
      <ns0:c r="C58" s="2"/>
    </ns0:row>
    <ns0:row r="59" customFormat="false" ht="15" hidden="false" customHeight="false" outlineLevel="0" collapsed="false">
      <ns0:c r="A59" s="2"/>
      <ns0:c r="B59" s="2"/>
      <ns0:c r="C59" s="2"/>
    </ns0:row>
    <ns0:row r="60" customFormat="false" ht="15" hidden="false" customHeight="false" outlineLevel="0" collapsed="false">
      <ns0:c r="A60" s="2"/>
      <ns0:c r="B60" s="2"/>
      <ns0:c r="C60" s="2"/>
    </ns0:row>
    <ns0:row r="61" customFormat="false" ht="15" hidden="false" customHeight="false" outlineLevel="0" collapsed="false">
      <ns0:c r="A61" s="2"/>
      <ns0:c r="B61" s="2"/>
      <ns0:c r="C61" s="2"/>
    </ns0:row>
    <ns0:row r="62" customFormat="false" ht="15" hidden="false" customHeight="false" outlineLevel="0" collapsed="false">
      <ns0:c r="A62" s="2"/>
      <ns0:c r="B62" s="2"/>
      <ns0:c r="C62" s="2"/>
    </ns0:row>
    <ns0:row r="63" customFormat="false" ht="15" hidden="false" customHeight="false" outlineLevel="0" collapsed="false">
      <ns0:c r="A63" s="2"/>
      <ns0:c r="B63" s="2"/>
      <ns0:c r="C63" s="2"/>
    </ns0:row>
    <ns0:row r="64" customFormat="false" ht="15" hidden="false" customHeight="false" outlineLevel="0" collapsed="false">
      <ns0:c r="A64" s="2"/>
      <ns0:c r="B64" s="2"/>
      <ns0:c r="C64" s="2"/>
    </ns0:row>
    <ns0:row r="65" customFormat="false" ht="15" hidden="false" customHeight="false" outlineLevel="0" collapsed="false">
      <ns0:c r="A65" s="2"/>
      <ns0:c r="B65" s="2"/>
      <ns0:c r="C65" s="2"/>
    </ns0:row>
    <ns0:row r="66" customFormat="false" ht="15" hidden="false" customHeight="false" outlineLevel="0" collapsed="false">
      <ns0:c r="A66" s="2"/>
      <ns0:c r="B66" s="2"/>
      <ns0:c r="C66" s="2"/>
    </ns0:row>
    <ns0:row r="67" customFormat="false" ht="15" hidden="false" customHeight="false" outlineLevel="0" collapsed="false">
      <ns0:c r="A67" s="2"/>
      <ns0:c r="B67" s="2"/>
      <ns0:c r="C67" s="2"/>
    </ns0:row>
    <ns0:row r="68" customFormat="false" ht="15" hidden="false" customHeight="false" outlineLevel="0" collapsed="false">
      <ns0:c r="A68" s="2"/>
      <ns0:c r="B68" s="2"/>
      <ns0:c r="C68" s="2"/>
    </ns0:row>
    <ns0:row r="69" customFormat="false" ht="15" hidden="false" customHeight="false" outlineLevel="0" collapsed="false">
      <ns0:c r="A69" s="2"/>
      <ns0:c r="B69" s="2"/>
      <ns0:c r="C69" s="2"/>
    </ns0:row>
    <ns0:row r="70" customFormat="false" ht="15" hidden="false" customHeight="false" outlineLevel="0" collapsed="false">
      <ns0:c r="A70" s="2"/>
      <ns0:c r="B70" s="2"/>
      <ns0:c r="C70" s="2"/>
    </ns0:row>
    <ns0:row r="71" customFormat="false" ht="15" hidden="false" customHeight="false" outlineLevel="0" collapsed="false">
      <ns0:c r="A71" s="2"/>
      <ns0:c r="B71" s="2"/>
      <ns0:c r="C71" s="2"/>
    </ns0:row>
    <ns0:row r="72" customFormat="false" ht="15" hidden="false" customHeight="false" outlineLevel="0" collapsed="false">
      <ns0:c r="A72" s="2"/>
      <ns0:c r="B72" s="2"/>
      <ns0:c r="C72" s="2"/>
    </ns0:row>
    <ns0:row r="73" customFormat="false" ht="15" hidden="false" customHeight="false" outlineLevel="0" collapsed="false">
      <ns0:c r="A73" s="2"/>
      <ns0:c r="B73" s="2"/>
      <ns0:c r="C73" s="2"/>
    </ns0:row>
    <ns0:row r="74" customFormat="false" ht="15" hidden="false" customHeight="false" outlineLevel="0" collapsed="false">
      <ns0:c r="A74" s="2"/>
      <ns0:c r="B74" s="2"/>
      <ns0:c r="C74" s="2"/>
    </ns0:row>
    <ns0:row r="75" customFormat="false" ht="15" hidden="false" customHeight="false" outlineLevel="0" collapsed="false">
      <ns0:c r="A75" s="2"/>
      <ns0:c r="B75" s="2"/>
      <ns0:c r="C75" s="2"/>
    </ns0:row>
    <ns0:row r="76" customFormat="false" ht="15" hidden="false" customHeight="false" outlineLevel="0" collapsed="false">
      <ns0:c r="A76" s="2"/>
      <ns0:c r="B76" s="2"/>
      <ns0:c r="C76" s="2"/>
    </ns0:row>
    <ns0:row r="77" customFormat="false" ht="15" hidden="false" customHeight="false" outlineLevel="0" collapsed="false">
      <ns0:c r="A77" s="2"/>
      <ns0:c r="B77" s="2"/>
      <ns0:c r="C77" s="2"/>
    </ns0:row>
    <ns0:row r="78" customFormat="false" ht="15" hidden="false" customHeight="false" outlineLevel="0" collapsed="false">
      <ns0:c r="A78" s="2"/>
      <ns0:c r="B78" s="2"/>
      <ns0:c r="C78" s="2"/>
    </ns0:row>
    <ns0:row r="79" customFormat="false" ht="15" hidden="false" customHeight="false" outlineLevel="0" collapsed="false">
      <ns0:c r="A79" s="2"/>
      <ns0:c r="B79" s="2"/>
      <ns0:c r="C79" s="2"/>
    </ns0:row>
    <ns0:row r="80" customFormat="false" ht="15" hidden="false" customHeight="false" outlineLevel="0" collapsed="false">
      <ns0:c r="A80" s="2"/>
      <ns0:c r="B80" s="2"/>
      <ns0:c r="C80" s="2"/>
    </ns0:row>
    <ns0:row r="81" customFormat="false" ht="15" hidden="false" customHeight="false" outlineLevel="0" collapsed="false">
      <ns0:c r="A81" s="2"/>
      <ns0:c r="B81" s="2"/>
      <ns0:c r="C81" s="2"/>
    </ns0:row>
    <ns0:row r="82" customFormat="false" ht="15" hidden="false" customHeight="false" outlineLevel="0" collapsed="false">
      <ns0:c r="A82" s="2"/>
      <ns0:c r="B82" s="2"/>
      <ns0:c r="C82" s="2"/>
    </ns0:row>
    <ns0:row r="83" customFormat="false" ht="15" hidden="false" customHeight="false" outlineLevel="0" collapsed="false">
      <ns0:c r="A83" s="2"/>
      <ns0:c r="B83" s="2"/>
      <ns0:c r="C83" s="2"/>
    </ns0:row>
    <ns0:row r="84" customFormat="false" ht="15" hidden="false" customHeight="false" outlineLevel="0" collapsed="false">
      <ns0:c r="A84" s="2"/>
      <ns0:c r="B84" s="2"/>
      <ns0:c r="C84" s="2"/>
    </ns0:row>
    <ns0:row r="85" customFormat="false" ht="15" hidden="false" customHeight="false" outlineLevel="0" collapsed="false">
      <ns0:c r="A85" s="2"/>
      <ns0:c r="B85" s="2"/>
      <ns0:c r="C85" s="2"/>
    </ns0:row>
    <ns0:row r="86" customFormat="false" ht="15" hidden="false" customHeight="false" outlineLevel="0" collapsed="false">
      <ns0:c r="A86" s="2"/>
      <ns0:c r="B86" s="2"/>
      <ns0:c r="C86" s="2"/>
    </ns0:row>
    <ns0:row r="87" customFormat="false" ht="15" hidden="false" customHeight="false" outlineLevel="0" collapsed="false">
      <ns0:c r="A87" s="2"/>
      <ns0:c r="B87" s="2"/>
      <ns0:c r="C87" s="2"/>
    </ns0:row>
    <ns0:row r="88" customFormat="false" ht="15" hidden="false" customHeight="false" outlineLevel="0" collapsed="false">
      <ns0:c r="A88" s="2"/>
      <ns0:c r="B88" s="2"/>
      <ns0:c r="C88" s="2"/>
    </ns0:row>
    <ns0:row r="89" customFormat="false" ht="15" hidden="false" customHeight="false" outlineLevel="0" collapsed="false">
      <ns0:c r="A89" s="2"/>
      <ns0:c r="B89" s="2"/>
      <ns0:c r="C89" s="2"/>
    </ns0:row>
    <ns0:row r="90" customFormat="false" ht="15" hidden="false" customHeight="false" outlineLevel="0" collapsed="false">
      <ns0:c r="A90" s="2"/>
      <ns0:c r="B90" s="2"/>
      <ns0:c r="C90" s="2"/>
    </ns0:row>
  </ns0:sheetData>
  <ns0:dataValidations count="1">
    <ns0:dataValidation allowBlank="false" errorStyle="stop" operator="between" showDropDown="false" showErrorMessage="false" showInputMessage="false" sqref="B16" type="decimal">
      <ns0:formula1>0</ns0:formula1>
      <ns0:formula2>1</ns0:formula2>
    </ns0:dataValidation>
  </ns0:dataValidations>
  <ns0:printOptions headings="false" gridLines="false" gridLinesSet="true" horizontalCentered="false" verticalCentered="false"/>
  <ns0:pageMargins left="0.3" right="0.3" top="0.35" bottom="0.35" header="0.1" footer="0.1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9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16"/>
    <ns0:col collapsed="false" customWidth="true" hidden="false" outlineLevel="0" max="2" min="2" style="1" width="21"/>
    <ns0:col collapsed="false" customWidth="true" hidden="false" outlineLevel="0" max="3" min="3" style="1" width="19"/>
    <ns0:col collapsed="false" customWidth="true" hidden="false" outlineLevel="0" max="4" min="4" style="1" width="23"/>
    <ns0:col collapsed="false" customWidth="true" hidden="false" outlineLevel="0" max="6" min="5" style="1" width="24"/>
  </ns0:cols>
  <ns0:sheetData>
    <ns0:row r="1" customFormat="false" ht="15" hidden="false" customHeight="false" outlineLevel="0" collapsed="false">
      <ns0:c r="A1" s="2"/>
      <ns0:c r="B1" s="2"/>
      <ns0:c r="C1" s="2"/>
      <ns0:c r="D1" s="2"/>
      <ns0:c r="E1" s="2"/>
      <ns0:c r="F1" s="2"/>
    </ns0:row>
    <ns0:row r="2" customFormat="false" ht="17.35" hidden="false" customHeight="false" outlineLevel="0" collapsed="false">
      <ns0:c r="A2" s="3" t="s">
        <ns0:v>43</ns0:v>
      </ns0:c>
      <ns0:c r="B2" s="2"/>
      <ns0:c r="C2" s="2"/>
      <ns0:c r="D2" s="2"/>
      <ns0:c r="E2" s="2"/>
      <ns0:c r="F2" s="2"/>
    </ns0:row>
    <ns0:row r="3" customFormat="false" ht="15" hidden="false" customHeight="false" outlineLevel="0" collapsed="false">
      <ns0:c r="A3" s="4" t="s">
        <ns0:v>1</ns0:v>
      </ns0:c>
      <ns0:c r="B3" s="2"/>
      <ns0:c r="C3" s="2"/>
      <ns0:c r="D3" s="2"/>
      <ns0:c r="E3" s="2"/>
      <ns0:c r="F3" s="2"/>
    </ns0:row>
    <ns0:row r="4" customFormat="false" ht="15" hidden="false" customHeight="false" outlineLevel="0" collapsed="false">
      <ns0:c r="A4" s="2"/>
      <ns0:c r="B4" s="2"/>
      <ns0:c r="C4" s="2"/>
      <ns0:c r="D4" s="2"/>
      <ns0:c r="E4" s="2"/>
      <ns0:c r="F4" s="2"/>
    </ns0:row>
    <ns0:row r="5" customFormat="false" ht="35" hidden="false" customHeight="true" outlineLevel="0" collapsed="false">
      <ns0:c r="A5" s="5" t="s">
        <ns0:v>44</ns0:v>
      </ns0:c>
      <ns0:c r="B5" s="5" t="s">
        <ns0:v>45</ns0:v>
      </ns0:c>
      <ns0:c r="C5" s="5" t="s">
        <ns0:v>46</ns0:v>
      </ns0:c>
      <ns0:c r="D5" s="5" t="s">
        <ns0:v>47</ns0:v>
      </ns0:c>
      <ns0:c r="E5" s="5" t="s">
        <ns0:v>48</ns0:v>
      </ns0:c>
      <ns0:c r="F5" s="5" t="s">
        <ns0:v>49</ns0:v>
      </ns0:c>
    </ns0:row>
    <ns0:row r="6" customFormat="false" ht="31" hidden="false" customHeight="true" outlineLevel="0" collapsed="false">
      <ns0:c r="A6" s="6" t="s">
        <ns0:v>50</ns0:v>
      </ns0:c>
      <ns0:c r="B6" s="12" t="n">
        <ns0:v>68</ns0:v>
      </ns0:c>
      <ns0:c r="C6" s="7" t="n">
        <ns0:v>13.5</ns0:v>
      </ns0:c>
      <ns0:c r="D6" s="8" t="n">
        <ns0:f aca="false">IF(COUNT(B6:C6)=2,B6*C6,"offen")</ns0:f>
        <ns0:v>918</ns0:v>
      </ns0:c>
      <ns0:c r="E6" s="7" t="n">
        <ns0:v>50</ns0:v>
      </ns0:c>
      <ns0:c r="F6" s="8" t="n">
        <ns0:f aca="false">IF(COUNT(D6:E6)=2,SUM(D6:E6)*12,"offen")</ns0:f>
        <ns0:v>11616</ns0:v>
      </ns0:c>
    </ns0:row>
    <ns0:row r="7" customFormat="false" ht="31" hidden="false" customHeight="true" outlineLevel="0" collapsed="false">
      <ns0:c r="A7" s="6" t="s">
        <ns0:v>51</ns0:v>
      </ns0:c>
      <ns0:c r="B7" s="12" t="n">
        <ns0:v>75</ns0:v>
      </ns0:c>
      <ns0:c r="C7" s="7" t="n">
        <ns0:v>13.5</ns0:v>
      </ns0:c>
      <ns0:c r="D7" s="8" t="n">
        <ns0:f aca="false">IF(COUNT(B7:C7)=2,B7*C7,"offen")</ns0:f>
        <ns0:v>1012.5</ns0:v>
      </ns0:c>
      <ns0:c r="E7" s="7" t="n">
        <ns0:v>50</ns0:v>
      </ns0:c>
      <ns0:c r="F7" s="8" t="n">
        <ns0:f aca="false">IF(COUNT(D7:E7)=2,SUM(D7:E7)*12,"offen")</ns0:f>
        <ns0:v>12750</ns0:v>
      </ns0:c>
    </ns0:row>
    <ns0:row r="8" customFormat="false" ht="31" hidden="false" customHeight="true" outlineLevel="0" collapsed="false">
      <ns0:c r="A8" s="6" t="s">
        <ns0:v>52</ns0:v>
      </ns0:c>
      <ns0:c r="B8" s="12" t="n">
        <ns0:v>82</ns0:v>
      </ns0:c>
      <ns0:c r="C8" s="7" t="n">
        <ns0:v>13.5</ns0:v>
      </ns0:c>
      <ns0:c r="D8" s="8" t="n">
        <ns0:f aca="false">IF(COUNT(B8:C8)=2,B8*C8,"offen")</ns0:f>
        <ns0:v>1107</ns0:v>
      </ns0:c>
      <ns0:c r="E8" s="7" t="n">
        <ns0:v>50</ns0:v>
      </ns0:c>
      <ns0:c r="F8" s="8" t="n">
        <ns0:f aca="false">IF(COUNT(D8:E8)=2,SUM(D8:E8)*12,"offen")</ns0:f>
        <ns0:v>13884</ns0:v>
      </ns0:c>
    </ns0:row>
    <ns0:row r="9" customFormat="false" ht="31" hidden="false" customHeight="true" outlineLevel="0" collapsed="false">
      <ns0:c r="A9" s="6" t="s">
        <ns0:v>53</ns0:v>
      </ns0:c>
      <ns0:c r="B9" s="12" t="n">
        <ns0:v>68</ns0:v>
      </ns0:c>
      <ns0:c r="C9" s="7" t="n">
        <ns0:v>13.5</ns0:v>
      </ns0:c>
      <ns0:c r="D9" s="8" t="n">
        <ns0:f aca="false">IF(COUNT(B9:C9)=2,B9*C9,"offen")</ns0:f>
        <ns0:v>918</ns0:v>
      </ns0:c>
      <ns0:c r="E9" s="7" t="n">
        <ns0:v>50</ns0:v>
      </ns0:c>
      <ns0:c r="F9" s="8" t="n">
        <ns0:f aca="false">IF(COUNT(D9:E9)=2,SUM(D9:E9)*12,"offen")</ns0:f>
        <ns0:v>11616</ns0:v>
      </ns0:c>
    </ns0:row>
    <ns0:row r="10" customFormat="false" ht="31" hidden="false" customHeight="true" outlineLevel="0" collapsed="false">
      <ns0:c r="A10" s="6" t="s">
        <ns0:v>54</ns0:v>
      </ns0:c>
      <ns0:c r="B10" s="12" t="n">
        <ns0:v>75</ns0:v>
      </ns0:c>
      <ns0:c r="C10" s="7" t="n">
        <ns0:v>13.5</ns0:v>
      </ns0:c>
      <ns0:c r="D10" s="8" t="n">
        <ns0:f aca="false">IF(COUNT(B10:C10)=2,B10*C10,"offen")</ns0:f>
        <ns0:v>1012.5</ns0:v>
      </ns0:c>
      <ns0:c r="E10" s="7" t="n">
        <ns0:v>50</ns0:v>
      </ns0:c>
      <ns0:c r="F10" s="8" t="n">
        <ns0:f aca="false">IF(COUNT(D10:E10)=2,SUM(D10:E10)*12,"offen")</ns0:f>
        <ns0:v>12750</ns0:v>
      </ns0:c>
    </ns0:row>
    <ns0:row r="11" customFormat="false" ht="31" hidden="false" customHeight="true" outlineLevel="0" collapsed="false">
      <ns0:c r="A11" s="6" t="s">
        <ns0:v>55</ns0:v>
      </ns0:c>
      <ns0:c r="B11" s="12" t="n">
        <ns0:v>82</ns0:v>
      </ns0:c>
      <ns0:c r="C11" s="7" t="n">
        <ns0:v>13.5</ns0:v>
      </ns0:c>
      <ns0:c r="D11" s="8" t="n">
        <ns0:f aca="false">IF(COUNT(B11:C11)=2,B11*C11,"offen")</ns0:f>
        <ns0:v>1107</ns0:v>
      </ns0:c>
      <ns0:c r="E11" s="7" t="n">
        <ns0:v>50</ns0:v>
      </ns0:c>
      <ns0:c r="F11" s="8" t="n">
        <ns0:f aca="false">IF(COUNT(D11:E11)=2,SUM(D11:E11)*12,"offen")</ns0:f>
        <ns0:v>13884</ns0:v>
      </ns0:c>
    </ns0:row>
    <ns0:row r="12" customFormat="false" ht="31" hidden="false" customHeight="true" outlineLevel="0" collapsed="false">
      <ns0:c r="A12" s="6" t="s">
        <ns0:v>56</ns0:v>
      </ns0:c>
      <ns0:c r="B12" s="12" t="n">
        <ns0:v>75</ns0:v>
      </ns0:c>
      <ns0:c r="C12" s="7" t="n">
        <ns0:v>13.5</ns0:v>
      </ns0:c>
      <ns0:c r="D12" s="8" t="n">
        <ns0:f aca="false">IF(COUNT(B12:C12)=2,B12*C12,"offen")</ns0:f>
        <ns0:v>1012.5</ns0:v>
      </ns0:c>
      <ns0:c r="E12" s="7" t="n">
        <ns0:v>50</ns0:v>
      </ns0:c>
      <ns0:c r="F12" s="8" t="n">
        <ns0:f aca="false">IF(COUNT(D12:E12)=2,SUM(D12:E12)*12,"offen")</ns0:f>
        <ns0:v>12750</ns0:v>
      </ns0:c>
    </ns0:row>
    <ns0:row r="13" customFormat="false" ht="31" hidden="false" customHeight="true" outlineLevel="0" collapsed="false">
      <ns0:c r="A13" s="6" t="s">
        <ns0:v>57</ns0:v>
      </ns0:c>
      <ns0:c r="B13" s="12" t="n">
        <ns0:v>75</ns0:v>
      </ns0:c>
      <ns0:c r="C13" s="7" t="n">
        <ns0:v>13.5</ns0:v>
      </ns0:c>
      <ns0:c r="D13" s="8" t="n">
        <ns0:f aca="false">IF(COUNT(B13:C13)=2,B13*C13,"offen")</ns0:f>
        <ns0:v>1012.5</ns0:v>
      </ns0:c>
      <ns0:c r="E13" s="7" t="n">
        <ns0:v>50</ns0:v>
      </ns0:c>
      <ns0:c r="F13" s="8" t="n">
        <ns0:f aca="false">IF(COUNT(D13:E13)=2,SUM(D13:E13)*12,"offen")</ns0:f>
        <ns0:v>12750</ns0:v>
      </ns0:c>
    </ns0:row>
    <ns0:row r="14" customFormat="false" ht="29" hidden="false" customHeight="true" outlineLevel="0" collapsed="false">
      <ns0:c r="A14" s="13" t="s">
        <ns0:v>58</ns0:v>
      </ns0:c>
      <ns0:c r="B14" s="14" t="n">
        <ns0:f aca="false">SUM(B6:B13)</ns0:f>
        <ns0:v>600</ns0:v>
      </ns0:c>
      <ns0:c r="C14" s="15"/>
      <ns0:c r="D14" s="15" t="n">
        <ns0:f aca="false">IF(COUNT(D6:D13)=8,SUM(D6:D13),"offen")</ns0:f>
        <ns0:v>8100</ns0:v>
      </ns0:c>
      <ns0:c r="E14" s="15" t="n">
        <ns0:f aca="false">SUM(E6:E13)</ns0:f>
        <ns0:v>400</ns0:v>
      </ns0:c>
      <ns0:c r="F14" s="15" t="n">
        <ns0:f aca="false">IF(COUNT(F6:F13)=8,SUM(F6:F13),"offen")</ns0:f>
        <ns0:v>102000</ns0:v>
      </ns0:c>
    </ns0:row>
    <ns0:row r="15" customFormat="false" ht="15" hidden="false" customHeight="false" outlineLevel="0" collapsed="false">
      <ns0:c r="A15" s="2"/>
      <ns0:c r="B15" s="2"/>
      <ns0:c r="C15" s="2"/>
      <ns0:c r="D15" s="2"/>
      <ns0:c r="E15" s="2"/>
      <ns0:c r="F15" s="2"/>
    </ns0:row>
    <ns0:row r="16" customFormat="false" ht="15" hidden="false" customHeight="false" outlineLevel="0" collapsed="false">
      <ns0:c r="A16" s="2"/>
      <ns0:c r="B16" s="2"/>
      <ns0:c r="C16" s="2"/>
      <ns0:c r="D16" s="2"/>
      <ns0:c r="E16" s="2"/>
      <ns0:c r="F16" s="2"/>
    </ns0:row>
    <ns0:row r="17" customFormat="false" ht="15" hidden="false" customHeight="false" outlineLevel="0" collapsed="false">
      <ns0:c r="A17" s="2" t="s">
        <ns0:v>59</ns0:v>
      </ns0:c>
      <ns0:c r="B17" s="2"/>
      <ns0:c r="C17" s="2"/>
      <ns0:c r="D17" s="2"/>
      <ns0:c r="E17" s="2"/>
      <ns0:c r="F17" s="2"/>
    </ns0:row>
    <ns0:row r="18" customFormat="false" ht="15" hidden="false" customHeight="false" outlineLevel="0" collapsed="false">
      <ns0:c r="A18" s="2" t="s">
        <ns0:v>60</ns0:v>
      </ns0:c>
      <ns0:c r="B18" s="2"/>
      <ns0:c r="C18" s="2"/>
      <ns0:c r="D18" s="2"/>
      <ns0:c r="E18" s="2"/>
      <ns0:c r="F18" s="2"/>
    </ns0:row>
    <ns0:row r="19" customFormat="false" ht="15" hidden="false" customHeight="false" outlineLevel="0" collapsed="false">
      <ns0:c r="A19" s="2"/>
      <ns0:c r="B19" s="2"/>
      <ns0:c r="C19" s="2"/>
      <ns0:c r="D19" s="2"/>
      <ns0:c r="E19" s="2"/>
      <ns0:c r="F19" s="2"/>
    </ns0:row>
    <ns0:row r="20" customFormat="false" ht="15" hidden="false" customHeight="false" outlineLevel="0" collapsed="false">
      <ns0:c r="A20" s="2"/>
      <ns0:c r="B20" s="2"/>
      <ns0:c r="C20" s="2"/>
      <ns0:c r="D20" s="2"/>
      <ns0:c r="E20" s="2"/>
      <ns0:c r="F20" s="2"/>
    </ns0:row>
    <ns0:row r="21" customFormat="false" ht="15" hidden="false" customHeight="false" outlineLevel="0" collapsed="false">
      <ns0:c r="A21" s="2"/>
      <ns0:c r="B21" s="2"/>
      <ns0:c r="C21" s="2"/>
      <ns0:c r="D21" s="2"/>
      <ns0:c r="E21" s="2"/>
      <ns0:c r="F21" s="2"/>
    </ns0:row>
    <ns0:row r="22" customFormat="false" ht="15" hidden="false" customHeight="false" outlineLevel="0" collapsed="false">
      <ns0:c r="A22" s="2"/>
      <ns0:c r="B22" s="2"/>
      <ns0:c r="C22" s="2"/>
      <ns0:c r="D22" s="2"/>
      <ns0:c r="E22" s="2"/>
      <ns0:c r="F22" s="2"/>
    </ns0:row>
    <ns0:row r="23" customFormat="false" ht="15" hidden="false" customHeight="false" outlineLevel="0" collapsed="false">
      <ns0:c r="A23" s="2"/>
      <ns0:c r="B23" s="2"/>
      <ns0:c r="C23" s="2"/>
      <ns0:c r="D23" s="2"/>
      <ns0:c r="E23" s="2"/>
      <ns0:c r="F23" s="2"/>
    </ns0:row>
    <ns0:row r="24" customFormat="false" ht="15" hidden="false" customHeight="false" outlineLevel="0" collapsed="false">
      <ns0:c r="A24" s="2"/>
      <ns0:c r="B24" s="2"/>
      <ns0:c r="C24" s="2"/>
      <ns0:c r="D24" s="2"/>
      <ns0:c r="E24" s="2"/>
      <ns0:c r="F24" s="2"/>
    </ns0:row>
    <ns0:row r="25" customFormat="false" ht="15" hidden="false" customHeight="false" outlineLevel="0" collapsed="false">
      <ns0:c r="A25" s="2"/>
      <ns0:c r="B25" s="2"/>
      <ns0:c r="C25" s="2"/>
      <ns0:c r="D25" s="2"/>
      <ns0:c r="E25" s="2"/>
      <ns0:c r="F25" s="2"/>
    </ns0:row>
    <ns0:row r="26" customFormat="false" ht="15" hidden="false" customHeight="false" outlineLevel="0" collapsed="false">
      <ns0:c r="A26" s="2"/>
      <ns0:c r="B26" s="2"/>
      <ns0:c r="C26" s="2"/>
      <ns0:c r="D26" s="2"/>
      <ns0:c r="E26" s="2"/>
      <ns0:c r="F26" s="2"/>
    </ns0:row>
    <ns0:row r="27" customFormat="false" ht="15" hidden="false" customHeight="false" outlineLevel="0" collapsed="false">
      <ns0:c r="A27" s="2"/>
      <ns0:c r="B27" s="2"/>
      <ns0:c r="C27" s="2"/>
      <ns0:c r="D27" s="2"/>
      <ns0:c r="E27" s="2"/>
      <ns0:c r="F27" s="2"/>
    </ns0:row>
    <ns0:row r="28" customFormat="false" ht="15" hidden="false" customHeight="false" outlineLevel="0" collapsed="false">
      <ns0:c r="A28" s="2"/>
      <ns0:c r="B28" s="2"/>
      <ns0:c r="C28" s="2"/>
      <ns0:c r="D28" s="2"/>
      <ns0:c r="E28" s="2"/>
      <ns0:c r="F28" s="2"/>
    </ns0:row>
    <ns0:row r="29" customFormat="false" ht="15" hidden="false" customHeight="false" outlineLevel="0" collapsed="false">
      <ns0:c r="A29" s="2"/>
      <ns0:c r="B29" s="2"/>
      <ns0:c r="C29" s="2"/>
      <ns0:c r="D29" s="2"/>
      <ns0:c r="E29" s="2"/>
      <ns0:c r="F29" s="2"/>
    </ns0:row>
    <ns0:row r="30" customFormat="false" ht="15" hidden="false" customHeight="false" outlineLevel="0" collapsed="false">
      <ns0:c r="A30" s="2"/>
      <ns0:c r="B30" s="2"/>
      <ns0:c r="C30" s="2"/>
      <ns0:c r="D30" s="2"/>
      <ns0:c r="E30" s="2"/>
      <ns0:c r="F30" s="2"/>
    </ns0:row>
    <ns0:row r="31" customFormat="false" ht="15" hidden="false" customHeight="false" outlineLevel="0" collapsed="false">
      <ns0:c r="A31" s="2"/>
      <ns0:c r="B31" s="2"/>
      <ns0:c r="C31" s="2"/>
      <ns0:c r="D31" s="2"/>
      <ns0:c r="E31" s="2"/>
      <ns0:c r="F31" s="2"/>
    </ns0:row>
    <ns0:row r="32" customFormat="false" ht="15" hidden="false" customHeight="false" outlineLevel="0" collapsed="false">
      <ns0:c r="A32" s="2"/>
      <ns0:c r="B32" s="2"/>
      <ns0:c r="C32" s="2"/>
      <ns0:c r="D32" s="2"/>
      <ns0:c r="E32" s="2"/>
      <ns0:c r="F32" s="2"/>
    </ns0:row>
    <ns0:row r="33" customFormat="false" ht="15" hidden="false" customHeight="false" outlineLevel="0" collapsed="false">
      <ns0:c r="A33" s="2"/>
      <ns0:c r="B33" s="2"/>
      <ns0:c r="C33" s="2"/>
      <ns0:c r="D33" s="2"/>
      <ns0:c r="E33" s="2"/>
      <ns0:c r="F33" s="2"/>
    </ns0:row>
    <ns0:row r="34" customFormat="false" ht="15" hidden="false" customHeight="false" outlineLevel="0" collapsed="false">
      <ns0:c r="A34" s="2"/>
      <ns0:c r="B34" s="2"/>
      <ns0:c r="C34" s="2"/>
      <ns0:c r="D34" s="2"/>
      <ns0:c r="E34" s="2"/>
      <ns0:c r="F34" s="2"/>
    </ns0:row>
    <ns0:row r="35" customFormat="false" ht="15" hidden="false" customHeight="false" outlineLevel="0" collapsed="false">
      <ns0:c r="A35" s="2"/>
      <ns0:c r="B35" s="2"/>
      <ns0:c r="C35" s="2"/>
      <ns0:c r="D35" s="2"/>
      <ns0:c r="E35" s="2"/>
      <ns0:c r="F35" s="2"/>
    </ns0:row>
    <ns0:row r="36" customFormat="false" ht="15" hidden="false" customHeight="false" outlineLevel="0" collapsed="false">
      <ns0:c r="A36" s="2"/>
      <ns0:c r="B36" s="2"/>
      <ns0:c r="C36" s="2"/>
      <ns0:c r="D36" s="2"/>
      <ns0:c r="E36" s="2"/>
      <ns0:c r="F36" s="2"/>
    </ns0:row>
    <ns0:row r="37" customFormat="false" ht="15" hidden="false" customHeight="false" outlineLevel="0" collapsed="false">
      <ns0:c r="A37" s="2"/>
      <ns0:c r="B37" s="2"/>
      <ns0:c r="C37" s="2"/>
      <ns0:c r="D37" s="2"/>
      <ns0:c r="E37" s="2"/>
      <ns0:c r="F37" s="2"/>
    </ns0:row>
    <ns0:row r="38" customFormat="false" ht="15" hidden="false" customHeight="false" outlineLevel="0" collapsed="false">
      <ns0:c r="A38" s="2"/>
      <ns0:c r="B38" s="2"/>
      <ns0:c r="C38" s="2"/>
      <ns0:c r="D38" s="2"/>
      <ns0:c r="E38" s="2"/>
      <ns0:c r="F38" s="2"/>
    </ns0:row>
    <ns0:row r="39" customFormat="false" ht="15" hidden="false" customHeight="false" outlineLevel="0" collapsed="false">
      <ns0:c r="A39" s="2"/>
      <ns0:c r="B39" s="2"/>
      <ns0:c r="C39" s="2"/>
      <ns0:c r="D39" s="2"/>
      <ns0:c r="E39" s="2"/>
      <ns0:c r="F39" s="2"/>
    </ns0:row>
    <ns0:row r="40" customFormat="false" ht="15" hidden="false" customHeight="false" outlineLevel="0" collapsed="false">
      <ns0:c r="A40" s="2"/>
      <ns0:c r="B40" s="2"/>
      <ns0:c r="C40" s="2"/>
      <ns0:c r="D40" s="2"/>
      <ns0:c r="E40" s="2"/>
      <ns0:c r="F40" s="2"/>
    </ns0:row>
    <ns0:row r="41" customFormat="false" ht="15" hidden="false" customHeight="false" outlineLevel="0" collapsed="false">
      <ns0:c r="A41" s="2"/>
      <ns0:c r="B41" s="2"/>
      <ns0:c r="C41" s="2"/>
      <ns0:c r="D41" s="2"/>
      <ns0:c r="E41" s="2"/>
      <ns0:c r="F41" s="2"/>
    </ns0:row>
    <ns0:row r="42" customFormat="false" ht="15" hidden="false" customHeight="false" outlineLevel="0" collapsed="false">
      <ns0:c r="A42" s="2"/>
      <ns0:c r="B42" s="2"/>
      <ns0:c r="C42" s="2"/>
      <ns0:c r="D42" s="2"/>
      <ns0:c r="E42" s="2"/>
      <ns0:c r="F42" s="2"/>
    </ns0:row>
    <ns0:row r="43" customFormat="false" ht="15" hidden="false" customHeight="false" outlineLevel="0" collapsed="false">
      <ns0:c r="A43" s="2"/>
      <ns0:c r="B43" s="2"/>
      <ns0:c r="C43" s="2"/>
      <ns0:c r="D43" s="2"/>
      <ns0:c r="E43" s="2"/>
      <ns0:c r="F43" s="2"/>
    </ns0:row>
    <ns0:row r="44" customFormat="false" ht="15" hidden="false" customHeight="false" outlineLevel="0" collapsed="false">
      <ns0:c r="A44" s="2"/>
      <ns0:c r="B44" s="2"/>
      <ns0:c r="C44" s="2"/>
      <ns0:c r="D44" s="2"/>
      <ns0:c r="E44" s="2"/>
      <ns0:c r="F44" s="2"/>
    </ns0:row>
    <ns0:row r="45" customFormat="false" ht="15" hidden="false" customHeight="false" outlineLevel="0" collapsed="false">
      <ns0:c r="A45" s="2"/>
      <ns0:c r="B45" s="2"/>
      <ns0:c r="C45" s="2"/>
      <ns0:c r="D45" s="2"/>
      <ns0:c r="E45" s="2"/>
      <ns0:c r="F45" s="2"/>
    </ns0:row>
    <ns0:row r="46" customFormat="false" ht="15" hidden="false" customHeight="false" outlineLevel="0" collapsed="false">
      <ns0:c r="A46" s="2"/>
      <ns0:c r="B46" s="2"/>
      <ns0:c r="C46" s="2"/>
      <ns0:c r="D46" s="2"/>
      <ns0:c r="E46" s="2"/>
      <ns0:c r="F46" s="2"/>
    </ns0:row>
    <ns0:row r="47" customFormat="false" ht="15" hidden="false" customHeight="false" outlineLevel="0" collapsed="false">
      <ns0:c r="A47" s="2"/>
      <ns0:c r="B47" s="2"/>
      <ns0:c r="C47" s="2"/>
      <ns0:c r="D47" s="2"/>
      <ns0:c r="E47" s="2"/>
      <ns0:c r="F47" s="2"/>
    </ns0:row>
    <ns0:row r="48" customFormat="false" ht="15" hidden="false" customHeight="false" outlineLevel="0" collapsed="false">
      <ns0:c r="A48" s="2"/>
      <ns0:c r="B48" s="2"/>
      <ns0:c r="C48" s="2"/>
      <ns0:c r="D48" s="2"/>
      <ns0:c r="E48" s="2"/>
      <ns0:c r="F48" s="2"/>
    </ns0:row>
    <ns0:row r="49" customFormat="false" ht="15" hidden="false" customHeight="false" outlineLevel="0" collapsed="false">
      <ns0:c r="A49" s="2"/>
      <ns0:c r="B49" s="2"/>
      <ns0:c r="C49" s="2"/>
      <ns0:c r="D49" s="2"/>
      <ns0:c r="E49" s="2"/>
      <ns0:c r="F49" s="2"/>
    </ns0:row>
    <ns0:row r="50" customFormat="false" ht="15" hidden="false" customHeight="false" outlineLevel="0" collapsed="false">
      <ns0:c r="A50" s="2"/>
      <ns0:c r="B50" s="2"/>
      <ns0:c r="C50" s="2"/>
      <ns0:c r="D50" s="2"/>
      <ns0:c r="E50" s="2"/>
      <ns0:c r="F50" s="2"/>
    </ns0:row>
    <ns0:row r="51" customFormat="false" ht="15" hidden="false" customHeight="false" outlineLevel="0" collapsed="false">
      <ns0:c r="A51" s="2"/>
      <ns0:c r="B51" s="2"/>
      <ns0:c r="C51" s="2"/>
      <ns0:c r="D51" s="2"/>
      <ns0:c r="E51" s="2"/>
      <ns0:c r="F51" s="2"/>
    </ns0:row>
    <ns0:row r="52" customFormat="false" ht="15" hidden="false" customHeight="false" outlineLevel="0" collapsed="false">
      <ns0:c r="A52" s="2"/>
      <ns0:c r="B52" s="2"/>
      <ns0:c r="C52" s="2"/>
      <ns0:c r="D52" s="2"/>
      <ns0:c r="E52" s="2"/>
      <ns0:c r="F52" s="2"/>
    </ns0:row>
    <ns0:row r="53" customFormat="false" ht="15" hidden="false" customHeight="false" outlineLevel="0" collapsed="false">
      <ns0:c r="A53" s="2"/>
      <ns0:c r="B53" s="2"/>
      <ns0:c r="C53" s="2"/>
      <ns0:c r="D53" s="2"/>
      <ns0:c r="E53" s="2"/>
      <ns0:c r="F53" s="2"/>
    </ns0:row>
    <ns0:row r="54" customFormat="false" ht="15" hidden="false" customHeight="false" outlineLevel="0" collapsed="false">
      <ns0:c r="A54" s="2"/>
      <ns0:c r="B54" s="2"/>
      <ns0:c r="C54" s="2"/>
      <ns0:c r="D54" s="2"/>
      <ns0:c r="E54" s="2"/>
      <ns0:c r="F54" s="2"/>
    </ns0:row>
    <ns0:row r="55" customFormat="false" ht="15" hidden="false" customHeight="false" outlineLevel="0" collapsed="false">
      <ns0:c r="A55" s="2"/>
      <ns0:c r="B55" s="2"/>
      <ns0:c r="C55" s="2"/>
      <ns0:c r="D55" s="2"/>
      <ns0:c r="E55" s="2"/>
      <ns0:c r="F55" s="2"/>
    </ns0:row>
    <ns0:row r="56" customFormat="false" ht="15" hidden="false" customHeight="false" outlineLevel="0" collapsed="false">
      <ns0:c r="A56" s="2"/>
      <ns0:c r="B56" s="2"/>
      <ns0:c r="C56" s="2"/>
      <ns0:c r="D56" s="2"/>
      <ns0:c r="E56" s="2"/>
      <ns0:c r="F56" s="2"/>
    </ns0:row>
    <ns0:row r="57" customFormat="false" ht="15" hidden="false" customHeight="false" outlineLevel="0" collapsed="false">
      <ns0:c r="A57" s="2"/>
      <ns0:c r="B57" s="2"/>
      <ns0:c r="C57" s="2"/>
      <ns0:c r="D57" s="2"/>
      <ns0:c r="E57" s="2"/>
      <ns0:c r="F57" s="2"/>
    </ns0:row>
    <ns0:row r="58" customFormat="false" ht="15" hidden="false" customHeight="false" outlineLevel="0" collapsed="false">
      <ns0:c r="A58" s="2"/>
      <ns0:c r="B58" s="2"/>
      <ns0:c r="C58" s="2"/>
      <ns0:c r="D58" s="2"/>
      <ns0:c r="E58" s="2"/>
      <ns0:c r="F58" s="2"/>
    </ns0:row>
    <ns0:row r="59" customFormat="false" ht="15" hidden="false" customHeight="false" outlineLevel="0" collapsed="false">
      <ns0:c r="A59" s="2"/>
      <ns0:c r="B59" s="2"/>
      <ns0:c r="C59" s="2"/>
      <ns0:c r="D59" s="2"/>
      <ns0:c r="E59" s="2"/>
      <ns0:c r="F59" s="2"/>
    </ns0:row>
    <ns0:row r="60" customFormat="false" ht="15" hidden="false" customHeight="false" outlineLevel="0" collapsed="false">
      <ns0:c r="A60" s="2"/>
      <ns0:c r="B60" s="2"/>
      <ns0:c r="C60" s="2"/>
      <ns0:c r="D60" s="2"/>
      <ns0:c r="E60" s="2"/>
      <ns0:c r="F60" s="2"/>
    </ns0:row>
    <ns0:row r="61" customFormat="false" ht="15" hidden="false" customHeight="false" outlineLevel="0" collapsed="false">
      <ns0:c r="A61" s="2"/>
      <ns0:c r="B61" s="2"/>
      <ns0:c r="C61" s="2"/>
      <ns0:c r="D61" s="2"/>
      <ns0:c r="E61" s="2"/>
      <ns0:c r="F61" s="2"/>
    </ns0:row>
    <ns0:row r="62" customFormat="false" ht="15" hidden="false" customHeight="false" outlineLevel="0" collapsed="false">
      <ns0:c r="A62" s="2"/>
      <ns0:c r="B62" s="2"/>
      <ns0:c r="C62" s="2"/>
      <ns0:c r="D62" s="2"/>
      <ns0:c r="E62" s="2"/>
      <ns0:c r="F62" s="2"/>
    </ns0:row>
    <ns0:row r="63" customFormat="false" ht="15" hidden="false" customHeight="false" outlineLevel="0" collapsed="false">
      <ns0:c r="A63" s="2"/>
      <ns0:c r="B63" s="2"/>
      <ns0:c r="C63" s="2"/>
      <ns0:c r="D63" s="2"/>
      <ns0:c r="E63" s="2"/>
      <ns0:c r="F63" s="2"/>
    </ns0:row>
    <ns0:row r="64" customFormat="false" ht="15" hidden="false" customHeight="false" outlineLevel="0" collapsed="false">
      <ns0:c r="A64" s="2"/>
      <ns0:c r="B64" s="2"/>
      <ns0:c r="C64" s="2"/>
      <ns0:c r="D64" s="2"/>
      <ns0:c r="E64" s="2"/>
      <ns0:c r="F64" s="2"/>
    </ns0:row>
    <ns0:row r="65" customFormat="false" ht="15" hidden="false" customHeight="false" outlineLevel="0" collapsed="false">
      <ns0:c r="A65" s="2"/>
      <ns0:c r="B65" s="2"/>
      <ns0:c r="C65" s="2"/>
      <ns0:c r="D65" s="2"/>
      <ns0:c r="E65" s="2"/>
      <ns0:c r="F65" s="2"/>
    </ns0:row>
    <ns0:row r="66" customFormat="false" ht="15" hidden="false" customHeight="false" outlineLevel="0" collapsed="false">
      <ns0:c r="A66" s="2"/>
      <ns0:c r="B66" s="2"/>
      <ns0:c r="C66" s="2"/>
      <ns0:c r="D66" s="2"/>
      <ns0:c r="E66" s="2"/>
      <ns0:c r="F66" s="2"/>
    </ns0:row>
    <ns0:row r="67" customFormat="false" ht="15" hidden="false" customHeight="false" outlineLevel="0" collapsed="false">
      <ns0:c r="A67" s="2"/>
      <ns0:c r="B67" s="2"/>
      <ns0:c r="C67" s="2"/>
      <ns0:c r="D67" s="2"/>
      <ns0:c r="E67" s="2"/>
      <ns0:c r="F67" s="2"/>
    </ns0:row>
    <ns0:row r="68" customFormat="false" ht="15" hidden="false" customHeight="false" outlineLevel="0" collapsed="false">
      <ns0:c r="A68" s="2"/>
      <ns0:c r="B68" s="2"/>
      <ns0:c r="C68" s="2"/>
      <ns0:c r="D68" s="2"/>
      <ns0:c r="E68" s="2"/>
      <ns0:c r="F68" s="2"/>
    </ns0:row>
    <ns0:row r="69" customFormat="false" ht="15" hidden="false" customHeight="false" outlineLevel="0" collapsed="false">
      <ns0:c r="A69" s="2"/>
      <ns0:c r="B69" s="2"/>
      <ns0:c r="C69" s="2"/>
      <ns0:c r="D69" s="2"/>
      <ns0:c r="E69" s="2"/>
      <ns0:c r="F69" s="2"/>
    </ns0:row>
    <ns0:row r="70" customFormat="false" ht="15" hidden="false" customHeight="false" outlineLevel="0" collapsed="false">
      <ns0:c r="A70" s="2"/>
      <ns0:c r="B70" s="2"/>
      <ns0:c r="C70" s="2"/>
      <ns0:c r="D70" s="2"/>
      <ns0:c r="E70" s="2"/>
      <ns0:c r="F70" s="2"/>
    </ns0:row>
    <ns0:row r="71" customFormat="false" ht="15" hidden="false" customHeight="false" outlineLevel="0" collapsed="false">
      <ns0:c r="A71" s="2"/>
      <ns0:c r="B71" s="2"/>
      <ns0:c r="C71" s="2"/>
      <ns0:c r="D71" s="2"/>
      <ns0:c r="E71" s="2"/>
      <ns0:c r="F71" s="2"/>
    </ns0:row>
    <ns0:row r="72" customFormat="false" ht="15" hidden="false" customHeight="false" outlineLevel="0" collapsed="false">
      <ns0:c r="A72" s="2"/>
      <ns0:c r="B72" s="2"/>
      <ns0:c r="C72" s="2"/>
      <ns0:c r="D72" s="2"/>
      <ns0:c r="E72" s="2"/>
      <ns0:c r="F72" s="2"/>
    </ns0:row>
    <ns0:row r="73" customFormat="false" ht="15" hidden="false" customHeight="false" outlineLevel="0" collapsed="false">
      <ns0:c r="A73" s="2"/>
      <ns0:c r="B73" s="2"/>
      <ns0:c r="C73" s="2"/>
      <ns0:c r="D73" s="2"/>
      <ns0:c r="E73" s="2"/>
      <ns0:c r="F73" s="2"/>
    </ns0:row>
    <ns0:row r="74" customFormat="false" ht="15" hidden="false" customHeight="false" outlineLevel="0" collapsed="false">
      <ns0:c r="A74" s="2"/>
      <ns0:c r="B74" s="2"/>
      <ns0:c r="C74" s="2"/>
      <ns0:c r="D74" s="2"/>
      <ns0:c r="E74" s="2"/>
      <ns0:c r="F74" s="2"/>
    </ns0:row>
    <ns0:row r="75" customFormat="false" ht="15" hidden="false" customHeight="false" outlineLevel="0" collapsed="false">
      <ns0:c r="A75" s="2"/>
      <ns0:c r="B75" s="2"/>
      <ns0:c r="C75" s="2"/>
      <ns0:c r="D75" s="2"/>
      <ns0:c r="E75" s="2"/>
      <ns0:c r="F75" s="2"/>
    </ns0:row>
    <ns0:row r="76" customFormat="false" ht="15" hidden="false" customHeight="false" outlineLevel="0" collapsed="false">
      <ns0:c r="A76" s="2"/>
      <ns0:c r="B76" s="2"/>
      <ns0:c r="C76" s="2"/>
      <ns0:c r="D76" s="2"/>
      <ns0:c r="E76" s="2"/>
      <ns0:c r="F76" s="2"/>
    </ns0:row>
    <ns0:row r="77" customFormat="false" ht="15" hidden="false" customHeight="false" outlineLevel="0" collapsed="false">
      <ns0:c r="A77" s="2"/>
      <ns0:c r="B77" s="2"/>
      <ns0:c r="C77" s="2"/>
      <ns0:c r="D77" s="2"/>
      <ns0:c r="E77" s="2"/>
      <ns0:c r="F77" s="2"/>
    </ns0:row>
    <ns0:row r="78" customFormat="false" ht="15" hidden="false" customHeight="false" outlineLevel="0" collapsed="false">
      <ns0:c r="A78" s="2"/>
      <ns0:c r="B78" s="2"/>
      <ns0:c r="C78" s="2"/>
      <ns0:c r="D78" s="2"/>
      <ns0:c r="E78" s="2"/>
      <ns0:c r="F78" s="2"/>
    </ns0:row>
    <ns0:row r="79" customFormat="false" ht="15" hidden="false" customHeight="false" outlineLevel="0" collapsed="false">
      <ns0:c r="A79" s="2"/>
      <ns0:c r="B79" s="2"/>
      <ns0:c r="C79" s="2"/>
      <ns0:c r="D79" s="2"/>
      <ns0:c r="E79" s="2"/>
      <ns0:c r="F79" s="2"/>
    </ns0:row>
    <ns0:row r="80" customFormat="false" ht="15" hidden="false" customHeight="false" outlineLevel="0" collapsed="false">
      <ns0:c r="A80" s="2"/>
      <ns0:c r="B80" s="2"/>
      <ns0:c r="C80" s="2"/>
      <ns0:c r="D80" s="2"/>
      <ns0:c r="E80" s="2"/>
      <ns0:c r="F80" s="2"/>
    </ns0:row>
    <ns0:row r="81" customFormat="false" ht="15" hidden="false" customHeight="false" outlineLevel="0" collapsed="false">
      <ns0:c r="A81" s="2"/>
      <ns0:c r="B81" s="2"/>
      <ns0:c r="C81" s="2"/>
      <ns0:c r="D81" s="2"/>
      <ns0:c r="E81" s="2"/>
      <ns0:c r="F81" s="2"/>
    </ns0:row>
    <ns0:row r="82" customFormat="false" ht="15" hidden="false" customHeight="false" outlineLevel="0" collapsed="false">
      <ns0:c r="A82" s="2"/>
      <ns0:c r="B82" s="2"/>
      <ns0:c r="C82" s="2"/>
      <ns0:c r="D82" s="2"/>
      <ns0:c r="E82" s="2"/>
      <ns0:c r="F82" s="2"/>
    </ns0:row>
    <ns0:row r="83" customFormat="false" ht="15" hidden="false" customHeight="false" outlineLevel="0" collapsed="false">
      <ns0:c r="A83" s="2"/>
      <ns0:c r="B83" s="2"/>
      <ns0:c r="C83" s="2"/>
      <ns0:c r="D83" s="2"/>
      <ns0:c r="E83" s="2"/>
      <ns0:c r="F83" s="2"/>
    </ns0:row>
    <ns0:row r="84" customFormat="false" ht="15" hidden="false" customHeight="false" outlineLevel="0" collapsed="false">
      <ns0:c r="A84" s="2"/>
      <ns0:c r="B84" s="2"/>
      <ns0:c r="C84" s="2"/>
      <ns0:c r="D84" s="2"/>
      <ns0:c r="E84" s="2"/>
      <ns0:c r="F84" s="2"/>
    </ns0:row>
    <ns0:row r="85" customFormat="false" ht="15" hidden="false" customHeight="false" outlineLevel="0" collapsed="false">
      <ns0:c r="A85" s="2"/>
      <ns0:c r="B85" s="2"/>
      <ns0:c r="C85" s="2"/>
      <ns0:c r="D85" s="2"/>
      <ns0:c r="E85" s="2"/>
      <ns0:c r="F85" s="2"/>
    </ns0:row>
    <ns0:row r="86" customFormat="false" ht="15" hidden="false" customHeight="false" outlineLevel="0" collapsed="false">
      <ns0:c r="A86" s="2"/>
      <ns0:c r="B86" s="2"/>
      <ns0:c r="C86" s="2"/>
      <ns0:c r="D86" s="2"/>
      <ns0:c r="E86" s="2"/>
      <ns0:c r="F86" s="2"/>
    </ns0:row>
    <ns0:row r="87" customFormat="false" ht="15" hidden="false" customHeight="false" outlineLevel="0" collapsed="false">
      <ns0:c r="A87" s="2"/>
      <ns0:c r="B87" s="2"/>
      <ns0:c r="C87" s="2"/>
      <ns0:c r="D87" s="2"/>
      <ns0:c r="E87" s="2"/>
      <ns0:c r="F87" s="2"/>
    </ns0:row>
    <ns0:row r="88" customFormat="false" ht="15" hidden="false" customHeight="false" outlineLevel="0" collapsed="false">
      <ns0:c r="A88" s="2"/>
      <ns0:c r="B88" s="2"/>
      <ns0:c r="C88" s="2"/>
      <ns0:c r="D88" s="2"/>
      <ns0:c r="E88" s="2"/>
      <ns0:c r="F88" s="2"/>
    </ns0:row>
    <ns0:row r="89" customFormat="false" ht="15" hidden="false" customHeight="false" outlineLevel="0" collapsed="false">
      <ns0:c r="A89" s="2"/>
      <ns0:c r="B89" s="2"/>
      <ns0:c r="C89" s="2"/>
      <ns0:c r="D89" s="2"/>
      <ns0:c r="E89" s="2"/>
      <ns0:c r="F89" s="2"/>
    </ns0:row>
    <ns0:row r="90" customFormat="false" ht="15" hidden="false" customHeight="false" outlineLevel="0" collapsed="false">
      <ns0:c r="A90" s="2"/>
      <ns0:c r="B90" s="2"/>
      <ns0:c r="C90" s="2"/>
      <ns0:c r="D90" s="2"/>
      <ns0:c r="E90" s="2"/>
      <ns0:c r="F90" s="2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3.xml><?xml version="1.0" encoding="utf-8"?>
<ns0:worksheet xmlns:ns0="http://schemas.openxmlformats.org/spreadsheetml/2006/main">
  <ns0:sheetPr filterMode="false">
    <ns0:pageSetUpPr fitToPage="1"/>
  </ns0:sheetPr>
  <ns0:dimension ref="A1:F9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18"/>
    <ns0:col collapsed="false" customWidth="true" hidden="false" outlineLevel="0" max="2" min="2" style="1" width="24"/>
    <ns0:col collapsed="false" customWidth="true" hidden="false" outlineLevel="0" max="5" min="3" style="1" width="22"/>
    <ns0:col collapsed="false" customWidth="true" hidden="false" outlineLevel="0" max="6" min="6" style="1" width="24"/>
  </ns0:cols>
  <ns0:sheetData>
    <ns0:row r="1" customFormat="false" ht="15" hidden="false" customHeight="false" outlineLevel="0" collapsed="false">
      <ns0:c r="A1" s="2"/>
      <ns0:c r="B1" s="2"/>
      <ns0:c r="C1" s="2"/>
      <ns0:c r="D1" s="2"/>
      <ns0:c r="E1" s="2"/>
      <ns0:c r="F1" s="2"/>
    </ns0:row>
    <ns0:row r="2" customFormat="false" ht="17.35" hidden="false" customHeight="false" outlineLevel="0" collapsed="false">
      <ns0:c r="A2" s="3" t="s">
        <ns0:v>61</ns0:v>
      </ns0:c>
      <ns0:c r="B2" s="2"/>
      <ns0:c r="C2" s="2"/>
      <ns0:c r="D2" s="2"/>
      <ns0:c r="E2" s="2"/>
      <ns0:c r="F2" s="2"/>
    </ns0:row>
    <ns0:row r="3" customFormat="false" ht="15" hidden="false" customHeight="false" outlineLevel="0" collapsed="false">
      <ns0:c r="A3" s="4" t="s">
        <ns0:v>1</ns0:v>
      </ns0:c>
      <ns0:c r="B3" s="2"/>
      <ns0:c r="C3" s="2"/>
      <ns0:c r="D3" s="2"/>
      <ns0:c r="E3" s="2"/>
      <ns0:c r="F3" s="2"/>
    </ns0:row>
    <ns0:row r="4" customFormat="false" ht="15" hidden="false" customHeight="false" outlineLevel="0" collapsed="false">
      <ns0:c r="A4" s="2"/>
      <ns0:c r="B4" s="2"/>
      <ns0:c r="C4" s="2"/>
      <ns0:c r="D4" s="2"/>
      <ns0:c r="E4" s="2"/>
      <ns0:c r="F4" s="2"/>
    </ns0:row>
    <ns0:row r="5" customFormat="false" ht="35" hidden="false" customHeight="true" outlineLevel="0" collapsed="false">
      <ns0:c r="A5" s="5" t="s">
        <ns0:v>62</ns0:v>
      </ns0:c>
      <ns0:c r="B5" s="5" t="s">
        <ns0:v>63</ns0:v>
      </ns0:c>
      <ns0:c r="C5" s="5" t="s">
        <ns0:v>64</ns0:v>
      </ns0:c>
      <ns0:c r="D5" s="5" t="s">
        <ns0:v>65</ns0:v>
      </ns0:c>
      <ns0:c r="E5" s="5" t="s">
        <ns0:v>66</ns0:v>
      </ns0:c>
      <ns0:c r="F5" s="5" t="s">
        <ns0:v>67</ns0:v>
      </ns0:c>
    </ns0:row>
    <ns0:row r="6" customFormat="false" ht="31" hidden="false" customHeight="true" outlineLevel="0" collapsed="false">
      <ns0:c r="A6" s="16" t="n">
        <ns0:v>47119</ns0:v>
      </ns0:c>
      <ns0:c r="B6" s="10" t="n">
        <ns0:f aca="false">Finanzierung!B10</ns0:f>
        <ns0:v>1600000</ns0:v>
      </ns0:c>
      <ns0:c r="C6" s="10" t="n">
        <ns0:f aca="false">MIN(B6+D6,Finanzierung!$B$15/12)</ns0:f>
        <ns0:v>6800</ns0:v>
      </ns0:c>
      <ns0:c r="D6" s="10" t="n">
        <ns0:f aca="false">ROUND(B6*Finanzierung!$B$13/12,2)</ns0:f>
        <ns0:v>4800</ns0:v>
      </ns0:c>
      <ns0:c r="E6" s="8" t="n">
        <ns0:f aca="false">C6-D6</ns0:f>
        <ns0:v>2000</ns0:v>
      </ns0:c>
      <ns0:c r="F6" s="8" t="n">
        <ns0:f aca="false">B6-E6</ns0:f>
        <ns0:v>1598000</ns0:v>
      </ns0:c>
    </ns0:row>
    <ns0:row r="7" customFormat="false" ht="31" hidden="false" customHeight="true" outlineLevel="0" collapsed="false">
      <ns0:c r="A7" s="16" t="n">
        <ns0:v>47150</ns0:v>
      </ns0:c>
      <ns0:c r="B7" s="8" t="n">
        <ns0:f aca="false">F6</ns0:f>
        <ns0:v>1598000</ns0:v>
      </ns0:c>
      <ns0:c r="C7" s="10" t="n">
        <ns0:f aca="false">MIN(B7+D7,Finanzierung!$B$15/12)</ns0:f>
        <ns0:v>6800</ns0:v>
      </ns0:c>
      <ns0:c r="D7" s="10" t="n">
        <ns0:f aca="false">ROUND(B7*Finanzierung!$B$13/12,2)</ns0:f>
        <ns0:v>4794</ns0:v>
      </ns0:c>
      <ns0:c r="E7" s="8" t="n">
        <ns0:f aca="false">C7-D7</ns0:f>
        <ns0:v>2006</ns0:v>
      </ns0:c>
      <ns0:c r="F7" s="8" t="n">
        <ns0:f aca="false">B7-E7</ns0:f>
        <ns0:v>1595994</ns0:v>
      </ns0:c>
    </ns0:row>
    <ns0:row r="8" customFormat="false" ht="31" hidden="false" customHeight="true" outlineLevel="0" collapsed="false">
      <ns0:c r="A8" s="16" t="n">
        <ns0:v>47178</ns0:v>
      </ns0:c>
      <ns0:c r="B8" s="8" t="n">
        <ns0:f aca="false">F7</ns0:f>
        <ns0:v>1595994</ns0:v>
      </ns0:c>
      <ns0:c r="C8" s="10" t="n">
        <ns0:f aca="false">MIN(B8+D8,Finanzierung!$B$15/12)</ns0:f>
        <ns0:v>6800</ns0:v>
      </ns0:c>
      <ns0:c r="D8" s="10" t="n">
        <ns0:f aca="false">ROUND(B8*Finanzierung!$B$13/12,2)</ns0:f>
        <ns0:v>4787.98</ns0:v>
      </ns0:c>
      <ns0:c r="E8" s="8" t="n">
        <ns0:f aca="false">C8-D8</ns0:f>
        <ns0:v>2012.02</ns0:v>
      </ns0:c>
      <ns0:c r="F8" s="8" t="n">
        <ns0:f aca="false">B8-E8</ns0:f>
        <ns0:v>1593981.98</ns0:v>
      </ns0:c>
    </ns0:row>
    <ns0:row r="9" customFormat="false" ht="31" hidden="false" customHeight="true" outlineLevel="0" collapsed="false">
      <ns0:c r="A9" s="16" t="n">
        <ns0:v>47209</ns0:v>
      </ns0:c>
      <ns0:c r="B9" s="8" t="n">
        <ns0:f aca="false">F8</ns0:f>
        <ns0:v>1593981.98</ns0:v>
      </ns0:c>
      <ns0:c r="C9" s="10" t="n">
        <ns0:f aca="false">MIN(B9+D9,Finanzierung!$B$15/12)</ns0:f>
        <ns0:v>6800</ns0:v>
      </ns0:c>
      <ns0:c r="D9" s="10" t="n">
        <ns0:f aca="false">ROUND(B9*Finanzierung!$B$13/12,2)</ns0:f>
        <ns0:v>4781.95</ns0:v>
      </ns0:c>
      <ns0:c r="E9" s="8" t="n">
        <ns0:f aca="false">C9-D9</ns0:f>
        <ns0:v>2018.05</ns0:v>
      </ns0:c>
      <ns0:c r="F9" s="8" t="n">
        <ns0:f aca="false">B9-E9</ns0:f>
        <ns0:v>1591963.93</ns0:v>
      </ns0:c>
    </ns0:row>
    <ns0:row r="10" customFormat="false" ht="31" hidden="false" customHeight="true" outlineLevel="0" collapsed="false">
      <ns0:c r="A10" s="16" t="n">
        <ns0:v>47239</ns0:v>
      </ns0:c>
      <ns0:c r="B10" s="8" t="n">
        <ns0:f aca="false">F9</ns0:f>
        <ns0:v>1591963.93</ns0:v>
      </ns0:c>
      <ns0:c r="C10" s="10" t="n">
        <ns0:f aca="false">MIN(B10+D10,Finanzierung!$B$15/12)</ns0:f>
        <ns0:v>6800</ns0:v>
      </ns0:c>
      <ns0:c r="D10" s="10" t="n">
        <ns0:f aca="false">ROUND(B10*Finanzierung!$B$13/12,2)</ns0:f>
        <ns0:v>4775.89</ns0:v>
      </ns0:c>
      <ns0:c r="E10" s="8" t="n">
        <ns0:f aca="false">C10-D10</ns0:f>
        <ns0:v>2024.11</ns0:v>
      </ns0:c>
      <ns0:c r="F10" s="8" t="n">
        <ns0:f aca="false">B10-E10</ns0:f>
        <ns0:v>1589939.82</ns0:v>
      </ns0:c>
    </ns0:row>
    <ns0:row r="11" customFormat="false" ht="31" hidden="false" customHeight="true" outlineLevel="0" collapsed="false">
      <ns0:c r="A11" s="16" t="n">
        <ns0:v>47270</ns0:v>
      </ns0:c>
      <ns0:c r="B11" s="8" t="n">
        <ns0:f aca="false">F10</ns0:f>
        <ns0:v>1589939.82</ns0:v>
      </ns0:c>
      <ns0:c r="C11" s="10" t="n">
        <ns0:f aca="false">MIN(B11+D11,Finanzierung!$B$15/12)</ns0:f>
        <ns0:v>6800</ns0:v>
      </ns0:c>
      <ns0:c r="D11" s="10" t="n">
        <ns0:f aca="false">ROUND(B11*Finanzierung!$B$13/12,2)</ns0:f>
        <ns0:v>4769.82</ns0:v>
      </ns0:c>
      <ns0:c r="E11" s="8" t="n">
        <ns0:f aca="false">C11-D11</ns0:f>
        <ns0:v>2030.18</ns0:v>
      </ns0:c>
      <ns0:c r="F11" s="8" t="n">
        <ns0:f aca="false">B11-E11</ns0:f>
        <ns0:v>1587909.64</ns0:v>
      </ns0:c>
    </ns0:row>
    <ns0:row r="12" customFormat="false" ht="31" hidden="false" customHeight="true" outlineLevel="0" collapsed="false">
      <ns0:c r="A12" s="16" t="n">
        <ns0:v>47300</ns0:v>
      </ns0:c>
      <ns0:c r="B12" s="8" t="n">
        <ns0:f aca="false">F11</ns0:f>
        <ns0:v>1587909.64</ns0:v>
      </ns0:c>
      <ns0:c r="C12" s="10" t="n">
        <ns0:f aca="false">MIN(B12+D12,Finanzierung!$B$15/12)</ns0:f>
        <ns0:v>6800</ns0:v>
      </ns0:c>
      <ns0:c r="D12" s="10" t="n">
        <ns0:f aca="false">ROUND(B12*Finanzierung!$B$13/12,2)</ns0:f>
        <ns0:v>4763.73</ns0:v>
      </ns0:c>
      <ns0:c r="E12" s="8" t="n">
        <ns0:f aca="false">C12-D12</ns0:f>
        <ns0:v>2036.27</ns0:v>
      </ns0:c>
      <ns0:c r="F12" s="8" t="n">
        <ns0:f aca="false">B12-E12</ns0:f>
        <ns0:v>1585873.37</ns0:v>
      </ns0:c>
    </ns0:row>
    <ns0:row r="13" customFormat="false" ht="31" hidden="false" customHeight="true" outlineLevel="0" collapsed="false">
      <ns0:c r="A13" s="16" t="n">
        <ns0:v>47331</ns0:v>
      </ns0:c>
      <ns0:c r="B13" s="8" t="n">
        <ns0:f aca="false">F12</ns0:f>
        <ns0:v>1585873.37</ns0:v>
      </ns0:c>
      <ns0:c r="C13" s="10" t="n">
        <ns0:f aca="false">MIN(B13+D13,Finanzierung!$B$15/12)</ns0:f>
        <ns0:v>6800</ns0:v>
      </ns0:c>
      <ns0:c r="D13" s="10" t="n">
        <ns0:f aca="false">ROUND(B13*Finanzierung!$B$13/12,2)</ns0:f>
        <ns0:v>4757.62</ns0:v>
      </ns0:c>
      <ns0:c r="E13" s="8" t="n">
        <ns0:f aca="false">C13-D13</ns0:f>
        <ns0:v>2042.38</ns0:v>
      </ns0:c>
      <ns0:c r="F13" s="8" t="n">
        <ns0:f aca="false">B13-E13</ns0:f>
        <ns0:v>1583830.99</ns0:v>
      </ns0:c>
    </ns0:row>
    <ns0:row r="14" customFormat="false" ht="31" hidden="false" customHeight="true" outlineLevel="0" collapsed="false">
      <ns0:c r="A14" s="16" t="n">
        <ns0:v>47362</ns0:v>
      </ns0:c>
      <ns0:c r="B14" s="8" t="n">
        <ns0:f aca="false">F13</ns0:f>
        <ns0:v>1583830.99</ns0:v>
      </ns0:c>
      <ns0:c r="C14" s="10" t="n">
        <ns0:f aca="false">MIN(B14+D14,Finanzierung!$B$15/12)</ns0:f>
        <ns0:v>6800</ns0:v>
      </ns0:c>
      <ns0:c r="D14" s="10" t="n">
        <ns0:f aca="false">ROUND(B14*Finanzierung!$B$13/12,2)</ns0:f>
        <ns0:v>4751.49</ns0:v>
      </ns0:c>
      <ns0:c r="E14" s="8" t="n">
        <ns0:f aca="false">C14-D14</ns0:f>
        <ns0:v>2048.51</ns0:v>
      </ns0:c>
      <ns0:c r="F14" s="8" t="n">
        <ns0:f aca="false">B14-E14</ns0:f>
        <ns0:v>1581782.48</ns0:v>
      </ns0:c>
    </ns0:row>
    <ns0:row r="15" customFormat="false" ht="31" hidden="false" customHeight="true" outlineLevel="0" collapsed="false">
      <ns0:c r="A15" s="16" t="n">
        <ns0:v>47392</ns0:v>
      </ns0:c>
      <ns0:c r="B15" s="8" t="n">
        <ns0:f aca="false">F14</ns0:f>
        <ns0:v>1581782.48</ns0:v>
      </ns0:c>
      <ns0:c r="C15" s="10" t="n">
        <ns0:f aca="false">MIN(B15+D15,Finanzierung!$B$15/12)</ns0:f>
        <ns0:v>6800</ns0:v>
      </ns0:c>
      <ns0:c r="D15" s="10" t="n">
        <ns0:f aca="false">ROUND(B15*Finanzierung!$B$13/12,2)</ns0:f>
        <ns0:v>4745.35</ns0:v>
      </ns0:c>
      <ns0:c r="E15" s="8" t="n">
        <ns0:f aca="false">C15-D15</ns0:f>
        <ns0:v>2054.65</ns0:v>
      </ns0:c>
      <ns0:c r="F15" s="8" t="n">
        <ns0:f aca="false">B15-E15</ns0:f>
        <ns0:v>1579727.83</ns0:v>
      </ns0:c>
    </ns0:row>
    <ns0:row r="16" customFormat="false" ht="31" hidden="false" customHeight="true" outlineLevel="0" collapsed="false">
      <ns0:c r="A16" s="16" t="n">
        <ns0:v>47423</ns0:v>
      </ns0:c>
      <ns0:c r="B16" s="8" t="n">
        <ns0:f aca="false">F15</ns0:f>
        <ns0:v>1579727.83</ns0:v>
      </ns0:c>
      <ns0:c r="C16" s="10" t="n">
        <ns0:f aca="false">MIN(B16+D16,Finanzierung!$B$15/12)</ns0:f>
        <ns0:v>6800</ns0:v>
      </ns0:c>
      <ns0:c r="D16" s="10" t="n">
        <ns0:f aca="false">ROUND(B16*Finanzierung!$B$13/12,2)</ns0:f>
        <ns0:v>4739.18</ns0:v>
      </ns0:c>
      <ns0:c r="E16" s="8" t="n">
        <ns0:f aca="false">C16-D16</ns0:f>
        <ns0:v>2060.82</ns0:v>
      </ns0:c>
      <ns0:c r="F16" s="8" t="n">
        <ns0:f aca="false">B16-E16</ns0:f>
        <ns0:v>1577667.01</ns0:v>
      </ns0:c>
    </ns0:row>
    <ns0:row r="17" customFormat="false" ht="31" hidden="false" customHeight="true" outlineLevel="0" collapsed="false">
      <ns0:c r="A17" s="16" t="n">
        <ns0:v>47453</ns0:v>
      </ns0:c>
      <ns0:c r="B17" s="8" t="n">
        <ns0:f aca="false">F16</ns0:f>
        <ns0:v>1577667.01</ns0:v>
      </ns0:c>
      <ns0:c r="C17" s="10" t="n">
        <ns0:f aca="false">MIN(B17+D17,Finanzierung!$B$15/12)</ns0:f>
        <ns0:v>6800</ns0:v>
      </ns0:c>
      <ns0:c r="D17" s="10" t="n">
        <ns0:f aca="false">ROUND(B17*Finanzierung!$B$13/12,2)</ns0:f>
        <ns0:v>4733</ns0:v>
      </ns0:c>
      <ns0:c r="E17" s="8" t="n">
        <ns0:f aca="false">C17-D17</ns0:f>
        <ns0:v>2067</ns0:v>
      </ns0:c>
      <ns0:c r="F17" s="8" t="n">
        <ns0:f aca="false">B17-E17</ns0:f>
        <ns0:v>1575600.01</ns0:v>
      </ns0:c>
    </ns0:row>
    <ns0:row r="18" customFormat="false" ht="31" hidden="false" customHeight="true" outlineLevel="0" collapsed="false">
      <ns0:c r="A18" s="16" t="n">
        <ns0:v>47484</ns0:v>
      </ns0:c>
      <ns0:c r="B18" s="8" t="n">
        <ns0:f aca="false">F17</ns0:f>
        <ns0:v>1575600.01</ns0:v>
      </ns0:c>
      <ns0:c r="C18" s="10" t="n">
        <ns0:f aca="false">MIN(B18+D18,Finanzierung!$B$15/12)</ns0:f>
        <ns0:v>6800</ns0:v>
      </ns0:c>
      <ns0:c r="D18" s="10" t="n">
        <ns0:f aca="false">ROUND(B18*Finanzierung!$B$13/12,2)</ns0:f>
        <ns0:v>4726.8</ns0:v>
      </ns0:c>
      <ns0:c r="E18" s="8" t="n">
        <ns0:f aca="false">C18-D18</ns0:f>
        <ns0:v>2073.2</ns0:v>
      </ns0:c>
      <ns0:c r="F18" s="8" t="n">
        <ns0:f aca="false">B18-E18</ns0:f>
        <ns0:v>1573526.81</ns0:v>
      </ns0:c>
    </ns0:row>
    <ns0:row r="19" customFormat="false" ht="31" hidden="false" customHeight="true" outlineLevel="0" collapsed="false">
      <ns0:c r="A19" s="16" t="n">
        <ns0:v>47515</ns0:v>
      </ns0:c>
      <ns0:c r="B19" s="8" t="n">
        <ns0:f aca="false">F18</ns0:f>
        <ns0:v>1573526.81</ns0:v>
      </ns0:c>
      <ns0:c r="C19" s="10" t="n">
        <ns0:f aca="false">MIN(B19+D19,Finanzierung!$B$15/12)</ns0:f>
        <ns0:v>6800</ns0:v>
      </ns0:c>
      <ns0:c r="D19" s="10" t="n">
        <ns0:f aca="false">ROUND(B19*Finanzierung!$B$13/12,2)</ns0:f>
        <ns0:v>4720.58</ns0:v>
      </ns0:c>
      <ns0:c r="E19" s="8" t="n">
        <ns0:f aca="false">C19-D19</ns0:f>
        <ns0:v>2079.42</ns0:v>
      </ns0:c>
      <ns0:c r="F19" s="8" t="n">
        <ns0:f aca="false">B19-E19</ns0:f>
        <ns0:v>1571447.39</ns0:v>
      </ns0:c>
    </ns0:row>
    <ns0:row r="20" customFormat="false" ht="31" hidden="false" customHeight="true" outlineLevel="0" collapsed="false">
      <ns0:c r="A20" s="16" t="n">
        <ns0:v>47543</ns0:v>
      </ns0:c>
      <ns0:c r="B20" s="8" t="n">
        <ns0:f aca="false">F19</ns0:f>
        <ns0:v>1571447.39</ns0:v>
      </ns0:c>
      <ns0:c r="C20" s="10" t="n">
        <ns0:f aca="false">MIN(B20+D20,Finanzierung!$B$15/12)</ns0:f>
        <ns0:v>6800</ns0:v>
      </ns0:c>
      <ns0:c r="D20" s="10" t="n">
        <ns0:f aca="false">ROUND(B20*Finanzierung!$B$13/12,2)</ns0:f>
        <ns0:v>4714.34</ns0:v>
      </ns0:c>
      <ns0:c r="E20" s="8" t="n">
        <ns0:f aca="false">C20-D20</ns0:f>
        <ns0:v>2085.66</ns0:v>
      </ns0:c>
      <ns0:c r="F20" s="8" t="n">
        <ns0:f aca="false">B20-E20</ns0:f>
        <ns0:v>1569361.73</ns0:v>
      </ns0:c>
    </ns0:row>
    <ns0:row r="21" customFormat="false" ht="31" hidden="false" customHeight="true" outlineLevel="0" collapsed="false">
      <ns0:c r="A21" s="16" t="n">
        <ns0:v>47574</ns0:v>
      </ns0:c>
      <ns0:c r="B21" s="8" t="n">
        <ns0:f aca="false">F20</ns0:f>
        <ns0:v>1569361.73</ns0:v>
      </ns0:c>
      <ns0:c r="C21" s="10" t="n">
        <ns0:f aca="false">MIN(B21+D21,Finanzierung!$B$15/12)</ns0:f>
        <ns0:v>6800</ns0:v>
      </ns0:c>
      <ns0:c r="D21" s="10" t="n">
        <ns0:f aca="false">ROUND(B21*Finanzierung!$B$13/12,2)</ns0:f>
        <ns0:v>4708.09</ns0:v>
      </ns0:c>
      <ns0:c r="E21" s="8" t="n">
        <ns0:f aca="false">C21-D21</ns0:f>
        <ns0:v>2091.91</ns0:v>
      </ns0:c>
      <ns0:c r="F21" s="8" t="n">
        <ns0:f aca="false">B21-E21</ns0:f>
        <ns0:v>1567269.82</ns0:v>
      </ns0:c>
    </ns0:row>
    <ns0:row r="22" customFormat="false" ht="31" hidden="false" customHeight="true" outlineLevel="0" collapsed="false">
      <ns0:c r="A22" s="16" t="n">
        <ns0:v>47604</ns0:v>
      </ns0:c>
      <ns0:c r="B22" s="8" t="n">
        <ns0:f aca="false">F21</ns0:f>
        <ns0:v>1567269.82</ns0:v>
      </ns0:c>
      <ns0:c r="C22" s="10" t="n">
        <ns0:f aca="false">MIN(B22+D22,Finanzierung!$B$15/12)</ns0:f>
        <ns0:v>6800</ns0:v>
      </ns0:c>
      <ns0:c r="D22" s="10" t="n">
        <ns0:f aca="false">ROUND(B22*Finanzierung!$B$13/12,2)</ns0:f>
        <ns0:v>4701.81</ns0:v>
      </ns0:c>
      <ns0:c r="E22" s="8" t="n">
        <ns0:f aca="false">C22-D22</ns0:f>
        <ns0:v>2098.19</ns0:v>
      </ns0:c>
      <ns0:c r="F22" s="8" t="n">
        <ns0:f aca="false">B22-E22</ns0:f>
        <ns0:v>1565171.63</ns0:v>
      </ns0:c>
    </ns0:row>
    <ns0:row r="23" customFormat="false" ht="31" hidden="false" customHeight="true" outlineLevel="0" collapsed="false">
      <ns0:c r="A23" s="16" t="n">
        <ns0:v>47635</ns0:v>
      </ns0:c>
      <ns0:c r="B23" s="8" t="n">
        <ns0:f aca="false">F22</ns0:f>
        <ns0:v>1565171.63</ns0:v>
      </ns0:c>
      <ns0:c r="C23" s="10" t="n">
        <ns0:f aca="false">MIN(B23+D23,Finanzierung!$B$15/12)</ns0:f>
        <ns0:v>6800</ns0:v>
      </ns0:c>
      <ns0:c r="D23" s="10" t="n">
        <ns0:f aca="false">ROUND(B23*Finanzierung!$B$13/12,2)</ns0:f>
        <ns0:v>4695.51</ns0:v>
      </ns0:c>
      <ns0:c r="E23" s="8" t="n">
        <ns0:f aca="false">C23-D23</ns0:f>
        <ns0:v>2104.49</ns0:v>
      </ns0:c>
      <ns0:c r="F23" s="8" t="n">
        <ns0:f aca="false">B23-E23</ns0:f>
        <ns0:v>1563067.14</ns0:v>
      </ns0:c>
    </ns0:row>
    <ns0:row r="24" customFormat="false" ht="31" hidden="false" customHeight="true" outlineLevel="0" collapsed="false">
      <ns0:c r="A24" s="16" t="n">
        <ns0:v>47665</ns0:v>
      </ns0:c>
      <ns0:c r="B24" s="8" t="n">
        <ns0:f aca="false">F23</ns0:f>
        <ns0:v>1563067.14</ns0:v>
      </ns0:c>
      <ns0:c r="C24" s="10" t="n">
        <ns0:f aca="false">MIN(B24+D24,Finanzierung!$B$15/12)</ns0:f>
        <ns0:v>6800</ns0:v>
      </ns0:c>
      <ns0:c r="D24" s="10" t="n">
        <ns0:f aca="false">ROUND(B24*Finanzierung!$B$13/12,2)</ns0:f>
        <ns0:v>4689.2</ns0:v>
      </ns0:c>
      <ns0:c r="E24" s="8" t="n">
        <ns0:f aca="false">C24-D24</ns0:f>
        <ns0:v>2110.8</ns0:v>
      </ns0:c>
      <ns0:c r="F24" s="8" t="n">
        <ns0:f aca="false">B24-E24</ns0:f>
        <ns0:v>1560956.34</ns0:v>
      </ns0:c>
    </ns0:row>
    <ns0:row r="25" customFormat="false" ht="31" hidden="false" customHeight="true" outlineLevel="0" collapsed="false">
      <ns0:c r="A25" s="16" t="n">
        <ns0:v>47696</ns0:v>
      </ns0:c>
      <ns0:c r="B25" s="8" t="n">
        <ns0:f aca="false">F24</ns0:f>
        <ns0:v>1560956.34</ns0:v>
      </ns0:c>
      <ns0:c r="C25" s="10" t="n">
        <ns0:f aca="false">MIN(B25+D25,Finanzierung!$B$15/12)</ns0:f>
        <ns0:v>6800</ns0:v>
      </ns0:c>
      <ns0:c r="D25" s="10" t="n">
        <ns0:f aca="false">ROUND(B25*Finanzierung!$B$13/12,2)</ns0:f>
        <ns0:v>4682.87</ns0:v>
      </ns0:c>
      <ns0:c r="E25" s="8" t="n">
        <ns0:f aca="false">C25-D25</ns0:f>
        <ns0:v>2117.13</ns0:v>
      </ns0:c>
      <ns0:c r="F25" s="8" t="n">
        <ns0:f aca="false">B25-E25</ns0:f>
        <ns0:v>1558839.21</ns0:v>
      </ns0:c>
    </ns0:row>
    <ns0:row r="26" customFormat="false" ht="31" hidden="false" customHeight="true" outlineLevel="0" collapsed="false">
      <ns0:c r="A26" s="16" t="n">
        <ns0:v>47727</ns0:v>
      </ns0:c>
      <ns0:c r="B26" s="8" t="n">
        <ns0:f aca="false">F25</ns0:f>
        <ns0:v>1558839.21</ns0:v>
      </ns0:c>
      <ns0:c r="C26" s="10" t="n">
        <ns0:f aca="false">MIN(B26+D26,Finanzierung!$B$15/12)</ns0:f>
        <ns0:v>6800</ns0:v>
      </ns0:c>
      <ns0:c r="D26" s="10" t="n">
        <ns0:f aca="false">ROUND(B26*Finanzierung!$B$13/12,2)</ns0:f>
        <ns0:v>4676.52</ns0:v>
      </ns0:c>
      <ns0:c r="E26" s="8" t="n">
        <ns0:f aca="false">C26-D26</ns0:f>
        <ns0:v>2123.48</ns0:v>
      </ns0:c>
      <ns0:c r="F26" s="8" t="n">
        <ns0:f aca="false">B26-E26</ns0:f>
        <ns0:v>1556715.73</ns0:v>
      </ns0:c>
    </ns0:row>
    <ns0:row r="27" customFormat="false" ht="31" hidden="false" customHeight="true" outlineLevel="0" collapsed="false">
      <ns0:c r="A27" s="16" t="n">
        <ns0:v>47757</ns0:v>
      </ns0:c>
      <ns0:c r="B27" s="8" t="n">
        <ns0:f aca="false">F26</ns0:f>
        <ns0:v>1556715.73</ns0:v>
      </ns0:c>
      <ns0:c r="C27" s="10" t="n">
        <ns0:f aca="false">MIN(B27+D27,Finanzierung!$B$15/12)</ns0:f>
        <ns0:v>6800</ns0:v>
      </ns0:c>
      <ns0:c r="D27" s="10" t="n">
        <ns0:f aca="false">ROUND(B27*Finanzierung!$B$13/12,2)</ns0:f>
        <ns0:v>4670.15</ns0:v>
      </ns0:c>
      <ns0:c r="E27" s="8" t="n">
        <ns0:f aca="false">C27-D27</ns0:f>
        <ns0:v>2129.85</ns0:v>
      </ns0:c>
      <ns0:c r="F27" s="8" t="n">
        <ns0:f aca="false">B27-E27</ns0:f>
        <ns0:v>1554585.88</ns0:v>
      </ns0:c>
    </ns0:row>
    <ns0:row r="28" customFormat="false" ht="31" hidden="false" customHeight="true" outlineLevel="0" collapsed="false">
      <ns0:c r="A28" s="16" t="n">
        <ns0:v>47788</ns0:v>
      </ns0:c>
      <ns0:c r="B28" s="8" t="n">
        <ns0:f aca="false">F27</ns0:f>
        <ns0:v>1554585.88</ns0:v>
      </ns0:c>
      <ns0:c r="C28" s="10" t="n">
        <ns0:f aca="false">MIN(B28+D28,Finanzierung!$B$15/12)</ns0:f>
        <ns0:v>6800</ns0:v>
      </ns0:c>
      <ns0:c r="D28" s="10" t="n">
        <ns0:f aca="false">ROUND(B28*Finanzierung!$B$13/12,2)</ns0:f>
        <ns0:v>4663.76</ns0:v>
      </ns0:c>
      <ns0:c r="E28" s="8" t="n">
        <ns0:f aca="false">C28-D28</ns0:f>
        <ns0:v>2136.24</ns0:v>
      </ns0:c>
      <ns0:c r="F28" s="8" t="n">
        <ns0:f aca="false">B28-E28</ns0:f>
        <ns0:v>1552449.64</ns0:v>
      </ns0:c>
    </ns0:row>
    <ns0:row r="29" customFormat="false" ht="31" hidden="false" customHeight="true" outlineLevel="0" collapsed="false">
      <ns0:c r="A29" s="16" t="n">
        <ns0:v>47818</ns0:v>
      </ns0:c>
      <ns0:c r="B29" s="8" t="n">
        <ns0:f aca="false">F28</ns0:f>
        <ns0:v>1552449.64</ns0:v>
      </ns0:c>
      <ns0:c r="C29" s="10" t="n">
        <ns0:f aca="false">MIN(B29+D29,Finanzierung!$B$15/12)</ns0:f>
        <ns0:v>6800</ns0:v>
      </ns0:c>
      <ns0:c r="D29" s="10" t="n">
        <ns0:f aca="false">ROUND(B29*Finanzierung!$B$13/12,2)</ns0:f>
        <ns0:v>4657.35</ns0:v>
      </ns0:c>
      <ns0:c r="E29" s="8" t="n">
        <ns0:f aca="false">C29-D29</ns0:f>
        <ns0:v>2142.65</ns0:v>
      </ns0:c>
      <ns0:c r="F29" s="8" t="n">
        <ns0:f aca="false">B29-E29</ns0:f>
        <ns0:v>1550306.99</ns0:v>
      </ns0:c>
    </ns0:row>
    <ns0:row r="30" customFormat="false" ht="31" hidden="false" customHeight="true" outlineLevel="0" collapsed="false">
      <ns0:c r="A30" s="16" t="n">
        <ns0:v>47849</ns0:v>
      </ns0:c>
      <ns0:c r="B30" s="8" t="n">
        <ns0:f aca="false">F29</ns0:f>
        <ns0:v>1550306.99</ns0:v>
      </ns0:c>
      <ns0:c r="C30" s="10" t="n">
        <ns0:f aca="false">MIN(B30+D30,Finanzierung!$B$15/12)</ns0:f>
        <ns0:v>6800</ns0:v>
      </ns0:c>
      <ns0:c r="D30" s="10" t="n">
        <ns0:f aca="false">ROUND(B30*Finanzierung!$B$13/12,2)</ns0:f>
        <ns0:v>4650.92</ns0:v>
      </ns0:c>
      <ns0:c r="E30" s="8" t="n">
        <ns0:f aca="false">C30-D30</ns0:f>
        <ns0:v>2149.08</ns0:v>
      </ns0:c>
      <ns0:c r="F30" s="8" t="n">
        <ns0:f aca="false">B30-E30</ns0:f>
        <ns0:v>1548157.91</ns0:v>
      </ns0:c>
    </ns0:row>
    <ns0:row r="31" customFormat="false" ht="31" hidden="false" customHeight="true" outlineLevel="0" collapsed="false">
      <ns0:c r="A31" s="16" t="n">
        <ns0:v>47880</ns0:v>
      </ns0:c>
      <ns0:c r="B31" s="8" t="n">
        <ns0:f aca="false">F30</ns0:f>
        <ns0:v>1548157.91</ns0:v>
      </ns0:c>
      <ns0:c r="C31" s="10" t="n">
        <ns0:f aca="false">MIN(B31+D31,Finanzierung!$B$15/12)</ns0:f>
        <ns0:v>6800</ns0:v>
      </ns0:c>
      <ns0:c r="D31" s="10" t="n">
        <ns0:f aca="false">ROUND(B31*Finanzierung!$B$13/12,2)</ns0:f>
        <ns0:v>4644.47</ns0:v>
      </ns0:c>
      <ns0:c r="E31" s="8" t="n">
        <ns0:f aca="false">C31-D31</ns0:f>
        <ns0:v>2155.53</ns0:v>
      </ns0:c>
      <ns0:c r="F31" s="8" t="n">
        <ns0:f aca="false">B31-E31</ns0:f>
        <ns0:v>1546002.38</ns0:v>
      </ns0:c>
    </ns0:row>
    <ns0:row r="32" customFormat="false" ht="31" hidden="false" customHeight="true" outlineLevel="0" collapsed="false">
      <ns0:c r="A32" s="16" t="n">
        <ns0:v>47908</ns0:v>
      </ns0:c>
      <ns0:c r="B32" s="8" t="n">
        <ns0:f aca="false">F31</ns0:f>
        <ns0:v>1546002.38</ns0:v>
      </ns0:c>
      <ns0:c r="C32" s="10" t="n">
        <ns0:f aca="false">MIN(B32+D32,Finanzierung!$B$15/12)</ns0:f>
        <ns0:v>6800</ns0:v>
      </ns0:c>
      <ns0:c r="D32" s="10" t="n">
        <ns0:f aca="false">ROUND(B32*Finanzierung!$B$13/12,2)</ns0:f>
        <ns0:v>4638.01</ns0:v>
      </ns0:c>
      <ns0:c r="E32" s="8" t="n">
        <ns0:f aca="false">C32-D32</ns0:f>
        <ns0:v>2161.99</ns0:v>
      </ns0:c>
      <ns0:c r="F32" s="8" t="n">
        <ns0:f aca="false">B32-E32</ns0:f>
        <ns0:v>1543840.39</ns0:v>
      </ns0:c>
    </ns0:row>
    <ns0:row r="33" customFormat="false" ht="31" hidden="false" customHeight="true" outlineLevel="0" collapsed="false">
      <ns0:c r="A33" s="16" t="n">
        <ns0:v>47939</ns0:v>
      </ns0:c>
      <ns0:c r="B33" s="8" t="n">
        <ns0:f aca="false">F32</ns0:f>
        <ns0:v>1543840.39</ns0:v>
      </ns0:c>
      <ns0:c r="C33" s="10" t="n">
        <ns0:f aca="false">MIN(B33+D33,Finanzierung!$B$15/12)</ns0:f>
        <ns0:v>6800</ns0:v>
      </ns0:c>
      <ns0:c r="D33" s="10" t="n">
        <ns0:f aca="false">ROUND(B33*Finanzierung!$B$13/12,2)</ns0:f>
        <ns0:v>4631.52</ns0:v>
      </ns0:c>
      <ns0:c r="E33" s="8" t="n">
        <ns0:f aca="false">C33-D33</ns0:f>
        <ns0:v>2168.48</ns0:v>
      </ns0:c>
      <ns0:c r="F33" s="8" t="n">
        <ns0:f aca="false">B33-E33</ns0:f>
        <ns0:v>1541671.91</ns0:v>
      </ns0:c>
    </ns0:row>
    <ns0:row r="34" customFormat="false" ht="31" hidden="false" customHeight="true" outlineLevel="0" collapsed="false">
      <ns0:c r="A34" s="16" t="n">
        <ns0:v>47969</ns0:v>
      </ns0:c>
      <ns0:c r="B34" s="8" t="n">
        <ns0:f aca="false">F33</ns0:f>
        <ns0:v>1541671.91</ns0:v>
      </ns0:c>
      <ns0:c r="C34" s="10" t="n">
        <ns0:f aca="false">MIN(B34+D34,Finanzierung!$B$15/12)</ns0:f>
        <ns0:v>6800</ns0:v>
      </ns0:c>
      <ns0:c r="D34" s="10" t="n">
        <ns0:f aca="false">ROUND(B34*Finanzierung!$B$13/12,2)</ns0:f>
        <ns0:v>4625.02</ns0:v>
      </ns0:c>
      <ns0:c r="E34" s="8" t="n">
        <ns0:f aca="false">C34-D34</ns0:f>
        <ns0:v>2174.98</ns0:v>
      </ns0:c>
      <ns0:c r="F34" s="8" t="n">
        <ns0:f aca="false">B34-E34</ns0:f>
        <ns0:v>1539496.93</ns0:v>
      </ns0:c>
    </ns0:row>
    <ns0:row r="35" customFormat="false" ht="31" hidden="false" customHeight="true" outlineLevel="0" collapsed="false">
      <ns0:c r="A35" s="16" t="n">
        <ns0:v>48000</ns0:v>
      </ns0:c>
      <ns0:c r="B35" s="8" t="n">
        <ns0:f aca="false">F34</ns0:f>
        <ns0:v>1539496.93</ns0:v>
      </ns0:c>
      <ns0:c r="C35" s="10" t="n">
        <ns0:f aca="false">MIN(B35+D35,Finanzierung!$B$15/12)</ns0:f>
        <ns0:v>6800</ns0:v>
      </ns0:c>
      <ns0:c r="D35" s="10" t="n">
        <ns0:f aca="false">ROUND(B35*Finanzierung!$B$13/12,2)</ns0:f>
        <ns0:v>4618.49</ns0:v>
      </ns0:c>
      <ns0:c r="E35" s="8" t="n">
        <ns0:f aca="false">C35-D35</ns0:f>
        <ns0:v>2181.51</ns0:v>
      </ns0:c>
      <ns0:c r="F35" s="8" t="n">
        <ns0:f aca="false">B35-E35</ns0:f>
        <ns0:v>1537315.42</ns0:v>
      </ns0:c>
    </ns0:row>
    <ns0:row r="36" customFormat="false" ht="31" hidden="false" customHeight="true" outlineLevel="0" collapsed="false">
      <ns0:c r="A36" s="16" t="n">
        <ns0:v>48030</ns0:v>
      </ns0:c>
      <ns0:c r="B36" s="8" t="n">
        <ns0:f aca="false">F35</ns0:f>
        <ns0:v>1537315.42</ns0:v>
      </ns0:c>
      <ns0:c r="C36" s="10" t="n">
        <ns0:f aca="false">MIN(B36+D36,Finanzierung!$B$15/12)</ns0:f>
        <ns0:v>6800</ns0:v>
      </ns0:c>
      <ns0:c r="D36" s="10" t="n">
        <ns0:f aca="false">ROUND(B36*Finanzierung!$B$13/12,2)</ns0:f>
        <ns0:v>4611.95</ns0:v>
      </ns0:c>
      <ns0:c r="E36" s="8" t="n">
        <ns0:f aca="false">C36-D36</ns0:f>
        <ns0:v>2188.05</ns0:v>
      </ns0:c>
      <ns0:c r="F36" s="8" t="n">
        <ns0:f aca="false">B36-E36</ns0:f>
        <ns0:v>1535127.37</ns0:v>
      </ns0:c>
    </ns0:row>
    <ns0:row r="37" customFormat="false" ht="31" hidden="false" customHeight="true" outlineLevel="0" collapsed="false">
      <ns0:c r="A37" s="16" t="n">
        <ns0:v>48061</ns0:v>
      </ns0:c>
      <ns0:c r="B37" s="8" t="n">
        <ns0:f aca="false">F36</ns0:f>
        <ns0:v>1535127.37</ns0:v>
      </ns0:c>
      <ns0:c r="C37" s="10" t="n">
        <ns0:f aca="false">MIN(B37+D37,Finanzierung!$B$15/12)</ns0:f>
        <ns0:v>6800</ns0:v>
      </ns0:c>
      <ns0:c r="D37" s="10" t="n">
        <ns0:f aca="false">ROUND(B37*Finanzierung!$B$13/12,2)</ns0:f>
        <ns0:v>4605.38</ns0:v>
      </ns0:c>
      <ns0:c r="E37" s="8" t="n">
        <ns0:f aca="false">C37-D37</ns0:f>
        <ns0:v>2194.62</ns0:v>
      </ns0:c>
      <ns0:c r="F37" s="8" t="n">
        <ns0:f aca="false">B37-E37</ns0:f>
        <ns0:v>1532932.75</ns0:v>
      </ns0:c>
    </ns0:row>
    <ns0:row r="38" customFormat="false" ht="31" hidden="false" customHeight="true" outlineLevel="0" collapsed="false">
      <ns0:c r="A38" s="16" t="n">
        <ns0:v>48092</ns0:v>
      </ns0:c>
      <ns0:c r="B38" s="8" t="n">
        <ns0:f aca="false">F37</ns0:f>
        <ns0:v>1532932.75</ns0:v>
      </ns0:c>
      <ns0:c r="C38" s="10" t="n">
        <ns0:f aca="false">MIN(B38+D38,Finanzierung!$B$15/12)</ns0:f>
        <ns0:v>6800</ns0:v>
      </ns0:c>
      <ns0:c r="D38" s="10" t="n">
        <ns0:f aca="false">ROUND(B38*Finanzierung!$B$13/12,2)</ns0:f>
        <ns0:v>4598.8</ns0:v>
      </ns0:c>
      <ns0:c r="E38" s="8" t="n">
        <ns0:f aca="false">C38-D38</ns0:f>
        <ns0:v>2201.2</ns0:v>
      </ns0:c>
      <ns0:c r="F38" s="8" t="n">
        <ns0:f aca="false">B38-E38</ns0:f>
        <ns0:v>1530731.55</ns0:v>
      </ns0:c>
    </ns0:row>
    <ns0:row r="39" customFormat="false" ht="31" hidden="false" customHeight="true" outlineLevel="0" collapsed="false">
      <ns0:c r="A39" s="16" t="n">
        <ns0:v>48122</ns0:v>
      </ns0:c>
      <ns0:c r="B39" s="8" t="n">
        <ns0:f aca="false">F38</ns0:f>
        <ns0:v>1530731.55</ns0:v>
      </ns0:c>
      <ns0:c r="C39" s="10" t="n">
        <ns0:f aca="false">MIN(B39+D39,Finanzierung!$B$15/12)</ns0:f>
        <ns0:v>6800</ns0:v>
      </ns0:c>
      <ns0:c r="D39" s="10" t="n">
        <ns0:f aca="false">ROUND(B39*Finanzierung!$B$13/12,2)</ns0:f>
        <ns0:v>4592.19</ns0:v>
      </ns0:c>
      <ns0:c r="E39" s="8" t="n">
        <ns0:f aca="false">C39-D39</ns0:f>
        <ns0:v>2207.81</ns0:v>
      </ns0:c>
      <ns0:c r="F39" s="8" t="n">
        <ns0:f aca="false">B39-E39</ns0:f>
        <ns0:v>1528523.74</ns0:v>
      </ns0:c>
    </ns0:row>
    <ns0:row r="40" customFormat="false" ht="31" hidden="false" customHeight="true" outlineLevel="0" collapsed="false">
      <ns0:c r="A40" s="16" t="n">
        <ns0:v>48153</ns0:v>
      </ns0:c>
      <ns0:c r="B40" s="8" t="n">
        <ns0:f aca="false">F39</ns0:f>
        <ns0:v>1528523.74</ns0:v>
      </ns0:c>
      <ns0:c r="C40" s="10" t="n">
        <ns0:f aca="false">MIN(B40+D40,Finanzierung!$B$15/12)</ns0:f>
        <ns0:v>6800</ns0:v>
      </ns0:c>
      <ns0:c r="D40" s="10" t="n">
        <ns0:f aca="false">ROUND(B40*Finanzierung!$B$13/12,2)</ns0:f>
        <ns0:v>4585.57</ns0:v>
      </ns0:c>
      <ns0:c r="E40" s="8" t="n">
        <ns0:f aca="false">C40-D40</ns0:f>
        <ns0:v>2214.43</ns0:v>
      </ns0:c>
      <ns0:c r="F40" s="8" t="n">
        <ns0:f aca="false">B40-E40</ns0:f>
        <ns0:v>1526309.31</ns0:v>
      </ns0:c>
    </ns0:row>
    <ns0:row r="41" customFormat="false" ht="31" hidden="false" customHeight="true" outlineLevel="0" collapsed="false">
      <ns0:c r="A41" s="16" t="n">
        <ns0:v>48183</ns0:v>
      </ns0:c>
      <ns0:c r="B41" s="8" t="n">
        <ns0:f aca="false">F40</ns0:f>
        <ns0:v>1526309.31</ns0:v>
      </ns0:c>
      <ns0:c r="C41" s="10" t="n">
        <ns0:f aca="false">MIN(B41+D41,Finanzierung!$B$15/12)</ns0:f>
        <ns0:v>6800</ns0:v>
      </ns0:c>
      <ns0:c r="D41" s="10" t="n">
        <ns0:f aca="false">ROUND(B41*Finanzierung!$B$13/12,2)</ns0:f>
        <ns0:v>4578.93</ns0:v>
      </ns0:c>
      <ns0:c r="E41" s="8" t="n">
        <ns0:f aca="false">C41-D41</ns0:f>
        <ns0:v>2221.07</ns0:v>
      </ns0:c>
      <ns0:c r="F41" s="8" t="n">
        <ns0:f aca="false">B41-E41</ns0:f>
        <ns0:v>1524088.24</ns0:v>
      </ns0:c>
    </ns0:row>
    <ns0:row r="42" customFormat="false" ht="31" hidden="false" customHeight="true" outlineLevel="0" collapsed="false">
      <ns0:c r="A42" s="16" t="n">
        <ns0:v>48214</ns0:v>
      </ns0:c>
      <ns0:c r="B42" s="8" t="n">
        <ns0:f aca="false">F41</ns0:f>
        <ns0:v>1524088.24</ns0:v>
      </ns0:c>
      <ns0:c r="C42" s="10" t="n">
        <ns0:f aca="false">MIN(B42+D42,Finanzierung!$B$15/12)</ns0:f>
        <ns0:v>6800</ns0:v>
      </ns0:c>
      <ns0:c r="D42" s="10" t="n">
        <ns0:f aca="false">ROUND(B42*Finanzierung!$B$13/12,2)</ns0:f>
        <ns0:v>4572.26</ns0:v>
      </ns0:c>
      <ns0:c r="E42" s="8" t="n">
        <ns0:f aca="false">C42-D42</ns0:f>
        <ns0:v>2227.74</ns0:v>
      </ns0:c>
      <ns0:c r="F42" s="8" t="n">
        <ns0:f aca="false">B42-E42</ns0:f>
        <ns0:v>1521860.5</ns0:v>
      </ns0:c>
    </ns0:row>
    <ns0:row r="43" customFormat="false" ht="31" hidden="false" customHeight="true" outlineLevel="0" collapsed="false">
      <ns0:c r="A43" s="16" t="n">
        <ns0:v>48245</ns0:v>
      </ns0:c>
      <ns0:c r="B43" s="8" t="n">
        <ns0:f aca="false">F42</ns0:f>
        <ns0:v>1521860.5</ns0:v>
      </ns0:c>
      <ns0:c r="C43" s="10" t="n">
        <ns0:f aca="false">MIN(B43+D43,Finanzierung!$B$15/12)</ns0:f>
        <ns0:v>6800</ns0:v>
      </ns0:c>
      <ns0:c r="D43" s="10" t="n">
        <ns0:f aca="false">ROUND(B43*Finanzierung!$B$13/12,2)</ns0:f>
        <ns0:v>4565.58</ns0:v>
      </ns0:c>
      <ns0:c r="E43" s="8" t="n">
        <ns0:f aca="false">C43-D43</ns0:f>
        <ns0:v>2234.42</ns0:v>
      </ns0:c>
      <ns0:c r="F43" s="8" t="n">
        <ns0:f aca="false">B43-E43</ns0:f>
        <ns0:v>1519626.08</ns0:v>
      </ns0:c>
    </ns0:row>
    <ns0:row r="44" customFormat="false" ht="31" hidden="false" customHeight="true" outlineLevel="0" collapsed="false">
      <ns0:c r="A44" s="16" t="n">
        <ns0:v>48274</ns0:v>
      </ns0:c>
      <ns0:c r="B44" s="8" t="n">
        <ns0:f aca="false">F43</ns0:f>
        <ns0:v>1519626.08</ns0:v>
      </ns0:c>
      <ns0:c r="C44" s="10" t="n">
        <ns0:f aca="false">MIN(B44+D44,Finanzierung!$B$15/12)</ns0:f>
        <ns0:v>6800</ns0:v>
      </ns0:c>
      <ns0:c r="D44" s="10" t="n">
        <ns0:f aca="false">ROUND(B44*Finanzierung!$B$13/12,2)</ns0:f>
        <ns0:v>4558.88</ns0:v>
      </ns0:c>
      <ns0:c r="E44" s="8" t="n">
        <ns0:f aca="false">C44-D44</ns0:f>
        <ns0:v>2241.12</ns0:v>
      </ns0:c>
      <ns0:c r="F44" s="8" t="n">
        <ns0:f aca="false">B44-E44</ns0:f>
        <ns0:v>1517384.96</ns0:v>
      </ns0:c>
    </ns0:row>
    <ns0:row r="45" customFormat="false" ht="31" hidden="false" customHeight="true" outlineLevel="0" collapsed="false">
      <ns0:c r="A45" s="16" t="n">
        <ns0:v>48305</ns0:v>
      </ns0:c>
      <ns0:c r="B45" s="8" t="n">
        <ns0:f aca="false">F44</ns0:f>
        <ns0:v>1517384.96</ns0:v>
      </ns0:c>
      <ns0:c r="C45" s="10" t="n">
        <ns0:f aca="false">MIN(B45+D45,Finanzierung!$B$15/12)</ns0:f>
        <ns0:v>6800</ns0:v>
      </ns0:c>
      <ns0:c r="D45" s="10" t="n">
        <ns0:f aca="false">ROUND(B45*Finanzierung!$B$13/12,2)</ns0:f>
        <ns0:v>4552.15</ns0:v>
      </ns0:c>
      <ns0:c r="E45" s="8" t="n">
        <ns0:f aca="false">C45-D45</ns0:f>
        <ns0:v>2247.85</ns0:v>
      </ns0:c>
      <ns0:c r="F45" s="8" t="n">
        <ns0:f aca="false">B45-E45</ns0:f>
        <ns0:v>1515137.11</ns0:v>
      </ns0:c>
    </ns0:row>
    <ns0:row r="46" customFormat="false" ht="31" hidden="false" customHeight="true" outlineLevel="0" collapsed="false">
      <ns0:c r="A46" s="16" t="n">
        <ns0:v>48335</ns0:v>
      </ns0:c>
      <ns0:c r="B46" s="8" t="n">
        <ns0:f aca="false">F45</ns0:f>
        <ns0:v>1515137.11</ns0:v>
      </ns0:c>
      <ns0:c r="C46" s="10" t="n">
        <ns0:f aca="false">MIN(B46+D46,Finanzierung!$B$15/12)</ns0:f>
        <ns0:v>6800</ns0:v>
      </ns0:c>
      <ns0:c r="D46" s="10" t="n">
        <ns0:f aca="false">ROUND(B46*Finanzierung!$B$13/12,2)</ns0:f>
        <ns0:v>4545.41</ns0:v>
      </ns0:c>
      <ns0:c r="E46" s="8" t="n">
        <ns0:f aca="false">C46-D46</ns0:f>
        <ns0:v>2254.59</ns0:v>
      </ns0:c>
      <ns0:c r="F46" s="8" t="n">
        <ns0:f aca="false">B46-E46</ns0:f>
        <ns0:v>1512882.52</ns0:v>
      </ns0:c>
    </ns0:row>
    <ns0:row r="47" customFormat="false" ht="31" hidden="false" customHeight="true" outlineLevel="0" collapsed="false">
      <ns0:c r="A47" s="16" t="n">
        <ns0:v>48366</ns0:v>
      </ns0:c>
      <ns0:c r="B47" s="8" t="n">
        <ns0:f aca="false">F46</ns0:f>
        <ns0:v>1512882.52</ns0:v>
      </ns0:c>
      <ns0:c r="C47" s="10" t="n">
        <ns0:f aca="false">MIN(B47+D47,Finanzierung!$B$15/12)</ns0:f>
        <ns0:v>6800</ns0:v>
      </ns0:c>
      <ns0:c r="D47" s="10" t="n">
        <ns0:f aca="false">ROUND(B47*Finanzierung!$B$13/12,2)</ns0:f>
        <ns0:v>4538.65</ns0:v>
      </ns0:c>
      <ns0:c r="E47" s="8" t="n">
        <ns0:f aca="false">C47-D47</ns0:f>
        <ns0:v>2261.35</ns0:v>
      </ns0:c>
      <ns0:c r="F47" s="8" t="n">
        <ns0:f aca="false">B47-E47</ns0:f>
        <ns0:v>1510621.17</ns0:v>
      </ns0:c>
    </ns0:row>
    <ns0:row r="48" customFormat="false" ht="31" hidden="false" customHeight="true" outlineLevel="0" collapsed="false">
      <ns0:c r="A48" s="16" t="n">
        <ns0:v>48396</ns0:v>
      </ns0:c>
      <ns0:c r="B48" s="8" t="n">
        <ns0:f aca="false">F47</ns0:f>
        <ns0:v>1510621.17</ns0:v>
      </ns0:c>
      <ns0:c r="C48" s="10" t="n">
        <ns0:f aca="false">MIN(B48+D48,Finanzierung!$B$15/12)</ns0:f>
        <ns0:v>6800</ns0:v>
      </ns0:c>
      <ns0:c r="D48" s="10" t="n">
        <ns0:f aca="false">ROUND(B48*Finanzierung!$B$13/12,2)</ns0:f>
        <ns0:v>4531.86</ns0:v>
      </ns0:c>
      <ns0:c r="E48" s="8" t="n">
        <ns0:f aca="false">C48-D48</ns0:f>
        <ns0:v>2268.14</ns0:v>
      </ns0:c>
      <ns0:c r="F48" s="8" t="n">
        <ns0:f aca="false">B48-E48</ns0:f>
        <ns0:v>1508353.03</ns0:v>
      </ns0:c>
    </ns0:row>
    <ns0:row r="49" customFormat="false" ht="31" hidden="false" customHeight="true" outlineLevel="0" collapsed="false">
      <ns0:c r="A49" s="16" t="n">
        <ns0:v>48427</ns0:v>
      </ns0:c>
      <ns0:c r="B49" s="8" t="n">
        <ns0:f aca="false">F48</ns0:f>
        <ns0:v>1508353.03</ns0:v>
      </ns0:c>
      <ns0:c r="C49" s="10" t="n">
        <ns0:f aca="false">MIN(B49+D49,Finanzierung!$B$15/12)</ns0:f>
        <ns0:v>6800</ns0:v>
      </ns0:c>
      <ns0:c r="D49" s="10" t="n">
        <ns0:f aca="false">ROUND(B49*Finanzierung!$B$13/12,2)</ns0:f>
        <ns0:v>4525.06</ns0:v>
      </ns0:c>
      <ns0:c r="E49" s="8" t="n">
        <ns0:f aca="false">C49-D49</ns0:f>
        <ns0:v>2274.94</ns0:v>
      </ns0:c>
      <ns0:c r="F49" s="8" t="n">
        <ns0:f aca="false">B49-E49</ns0:f>
        <ns0:v>1506078.09</ns0:v>
      </ns0:c>
    </ns0:row>
    <ns0:row r="50" customFormat="false" ht="31" hidden="false" customHeight="true" outlineLevel="0" collapsed="false">
      <ns0:c r="A50" s="16" t="n">
        <ns0:v>48458</ns0:v>
      </ns0:c>
      <ns0:c r="B50" s="8" t="n">
        <ns0:f aca="false">F49</ns0:f>
        <ns0:v>1506078.09</ns0:v>
      </ns0:c>
      <ns0:c r="C50" s="10" t="n">
        <ns0:f aca="false">MIN(B50+D50,Finanzierung!$B$15/12)</ns0:f>
        <ns0:v>6800</ns0:v>
      </ns0:c>
      <ns0:c r="D50" s="10" t="n">
        <ns0:f aca="false">ROUND(B50*Finanzierung!$B$13/12,2)</ns0:f>
        <ns0:v>4518.23</ns0:v>
      </ns0:c>
      <ns0:c r="E50" s="8" t="n">
        <ns0:f aca="false">C50-D50</ns0:f>
        <ns0:v>2281.77</ns0:v>
      </ns0:c>
      <ns0:c r="F50" s="8" t="n">
        <ns0:f aca="false">B50-E50</ns0:f>
        <ns0:v>1503796.32</ns0:v>
      </ns0:c>
    </ns0:row>
    <ns0:row r="51" customFormat="false" ht="31" hidden="false" customHeight="true" outlineLevel="0" collapsed="false">
      <ns0:c r="A51" s="16" t="n">
        <ns0:v>48488</ns0:v>
      </ns0:c>
      <ns0:c r="B51" s="8" t="n">
        <ns0:f aca="false">F50</ns0:f>
        <ns0:v>1503796.32</ns0:v>
      </ns0:c>
      <ns0:c r="C51" s="10" t="n">
        <ns0:f aca="false">MIN(B51+D51,Finanzierung!$B$15/12)</ns0:f>
        <ns0:v>6800</ns0:v>
      </ns0:c>
      <ns0:c r="D51" s="10" t="n">
        <ns0:f aca="false">ROUND(B51*Finanzierung!$B$13/12,2)</ns0:f>
        <ns0:v>4511.39</ns0:v>
      </ns0:c>
      <ns0:c r="E51" s="8" t="n">
        <ns0:f aca="false">C51-D51</ns0:f>
        <ns0:v>2288.61</ns0:v>
      </ns0:c>
      <ns0:c r="F51" s="8" t="n">
        <ns0:f aca="false">B51-E51</ns0:f>
        <ns0:v>1501507.71</ns0:v>
      </ns0:c>
    </ns0:row>
    <ns0:row r="52" customFormat="false" ht="31" hidden="false" customHeight="true" outlineLevel="0" collapsed="false">
      <ns0:c r="A52" s="16" t="n">
        <ns0:v>48519</ns0:v>
      </ns0:c>
      <ns0:c r="B52" s="8" t="n">
        <ns0:f aca="false">F51</ns0:f>
        <ns0:v>1501507.71</ns0:v>
      </ns0:c>
      <ns0:c r="C52" s="10" t="n">
        <ns0:f aca="false">MIN(B52+D52,Finanzierung!$B$15/12)</ns0:f>
        <ns0:v>6800</ns0:v>
      </ns0:c>
      <ns0:c r="D52" s="10" t="n">
        <ns0:f aca="false">ROUND(B52*Finanzierung!$B$13/12,2)</ns0:f>
        <ns0:v>4504.52</ns0:v>
      </ns0:c>
      <ns0:c r="E52" s="8" t="n">
        <ns0:f aca="false">C52-D52</ns0:f>
        <ns0:v>2295.48</ns0:v>
      </ns0:c>
      <ns0:c r="F52" s="8" t="n">
        <ns0:f aca="false">B52-E52</ns0:f>
        <ns0:v>1499212.23</ns0:v>
      </ns0:c>
    </ns0:row>
    <ns0:row r="53" customFormat="false" ht="31" hidden="false" customHeight="true" outlineLevel="0" collapsed="false">
      <ns0:c r="A53" s="16" t="n">
        <ns0:v>48549</ns0:v>
      </ns0:c>
      <ns0:c r="B53" s="8" t="n">
        <ns0:f aca="false">F52</ns0:f>
        <ns0:v>1499212.23</ns0:v>
      </ns0:c>
      <ns0:c r="C53" s="10" t="n">
        <ns0:f aca="false">MIN(B53+D53,Finanzierung!$B$15/12)</ns0:f>
        <ns0:v>6800</ns0:v>
      </ns0:c>
      <ns0:c r="D53" s="10" t="n">
        <ns0:f aca="false">ROUND(B53*Finanzierung!$B$13/12,2)</ns0:f>
        <ns0:v>4497.64</ns0:v>
      </ns0:c>
      <ns0:c r="E53" s="8" t="n">
        <ns0:f aca="false">C53-D53</ns0:f>
        <ns0:v>2302.36</ns0:v>
      </ns0:c>
      <ns0:c r="F53" s="8" t="n">
        <ns0:f aca="false">B53-E53</ns0:f>
        <ns0:v>1496909.87</ns0:v>
      </ns0:c>
    </ns0:row>
    <ns0:row r="54" customFormat="false" ht="31" hidden="false" customHeight="true" outlineLevel="0" collapsed="false">
      <ns0:c r="A54" s="16" t="n">
        <ns0:v>48580</ns0:v>
      </ns0:c>
      <ns0:c r="B54" s="8" t="n">
        <ns0:f aca="false">F53</ns0:f>
        <ns0:v>1496909.87</ns0:v>
      </ns0:c>
      <ns0:c r="C54" s="10" t="n">
        <ns0:f aca="false">MIN(B54+D54,Finanzierung!$B$15/12)</ns0:f>
        <ns0:v>6800</ns0:v>
      </ns0:c>
      <ns0:c r="D54" s="10" t="n">
        <ns0:f aca="false">ROUND(B54*Finanzierung!$B$13/12,2)</ns0:f>
        <ns0:v>4490.73</ns0:v>
      </ns0:c>
      <ns0:c r="E54" s="8" t="n">
        <ns0:f aca="false">C54-D54</ns0:f>
        <ns0:v>2309.27</ns0:v>
      </ns0:c>
      <ns0:c r="F54" s="8" t="n">
        <ns0:f aca="false">B54-E54</ns0:f>
        <ns0:v>1494600.6</ns0:v>
      </ns0:c>
    </ns0:row>
    <ns0:row r="55" customFormat="false" ht="31" hidden="false" customHeight="true" outlineLevel="0" collapsed="false">
      <ns0:c r="A55" s="16" t="n">
        <ns0:v>48611</ns0:v>
      </ns0:c>
      <ns0:c r="B55" s="8" t="n">
        <ns0:f aca="false">F54</ns0:f>
        <ns0:v>1494600.6</ns0:v>
      </ns0:c>
      <ns0:c r="C55" s="10" t="n">
        <ns0:f aca="false">MIN(B55+D55,Finanzierung!$B$15/12)</ns0:f>
        <ns0:v>6800</ns0:v>
      </ns0:c>
      <ns0:c r="D55" s="10" t="n">
        <ns0:f aca="false">ROUND(B55*Finanzierung!$B$13/12,2)</ns0:f>
        <ns0:v>4483.8</ns0:v>
      </ns0:c>
      <ns0:c r="E55" s="8" t="n">
        <ns0:f aca="false">C55-D55</ns0:f>
        <ns0:v>2316.2</ns0:v>
      </ns0:c>
      <ns0:c r="F55" s="8" t="n">
        <ns0:f aca="false">B55-E55</ns0:f>
        <ns0:v>1492284.4</ns0:v>
      </ns0:c>
    </ns0:row>
    <ns0:row r="56" customFormat="false" ht="31" hidden="false" customHeight="true" outlineLevel="0" collapsed="false">
      <ns0:c r="A56" s="16" t="n">
        <ns0:v>48639</ns0:v>
      </ns0:c>
      <ns0:c r="B56" s="8" t="n">
        <ns0:f aca="false">F55</ns0:f>
        <ns0:v>1492284.4</ns0:v>
      </ns0:c>
      <ns0:c r="C56" s="10" t="n">
        <ns0:f aca="false">MIN(B56+D56,Finanzierung!$B$15/12)</ns0:f>
        <ns0:v>6800</ns0:v>
      </ns0:c>
      <ns0:c r="D56" s="10" t="n">
        <ns0:f aca="false">ROUND(B56*Finanzierung!$B$13/12,2)</ns0:f>
        <ns0:v>4476.85</ns0:v>
      </ns0:c>
      <ns0:c r="E56" s="8" t="n">
        <ns0:f aca="false">C56-D56</ns0:f>
        <ns0:v>2323.15</ns0:v>
      </ns0:c>
      <ns0:c r="F56" s="8" t="n">
        <ns0:f aca="false">B56-E56</ns0:f>
        <ns0:v>1489961.25</ns0:v>
      </ns0:c>
    </ns0:row>
    <ns0:row r="57" customFormat="false" ht="31" hidden="false" customHeight="true" outlineLevel="0" collapsed="false">
      <ns0:c r="A57" s="16" t="n">
        <ns0:v>48670</ns0:v>
      </ns0:c>
      <ns0:c r="B57" s="8" t="n">
        <ns0:f aca="false">F56</ns0:f>
        <ns0:v>1489961.25</ns0:v>
      </ns0:c>
      <ns0:c r="C57" s="10" t="n">
        <ns0:f aca="false">MIN(B57+D57,Finanzierung!$B$15/12)</ns0:f>
        <ns0:v>6800</ns0:v>
      </ns0:c>
      <ns0:c r="D57" s="10" t="n">
        <ns0:f aca="false">ROUND(B57*Finanzierung!$B$13/12,2)</ns0:f>
        <ns0:v>4469.88</ns0:v>
      </ns0:c>
      <ns0:c r="E57" s="8" t="n">
        <ns0:f aca="false">C57-D57</ns0:f>
        <ns0:v>2330.12</ns0:v>
      </ns0:c>
      <ns0:c r="F57" s="8" t="n">
        <ns0:f aca="false">B57-E57</ns0:f>
        <ns0:v>1487631.13</ns0:v>
      </ns0:c>
    </ns0:row>
    <ns0:row r="58" customFormat="false" ht="31" hidden="false" customHeight="true" outlineLevel="0" collapsed="false">
      <ns0:c r="A58" s="16" t="n">
        <ns0:v>48700</ns0:v>
      </ns0:c>
      <ns0:c r="B58" s="8" t="n">
        <ns0:f aca="false">F57</ns0:f>
        <ns0:v>1487631.13</ns0:v>
      </ns0:c>
      <ns0:c r="C58" s="10" t="n">
        <ns0:f aca="false">MIN(B58+D58,Finanzierung!$B$15/12)</ns0:f>
        <ns0:v>6800</ns0:v>
      </ns0:c>
      <ns0:c r="D58" s="10" t="n">
        <ns0:f aca="false">ROUND(B58*Finanzierung!$B$13/12,2)</ns0:f>
        <ns0:v>4462.89</ns0:v>
      </ns0:c>
      <ns0:c r="E58" s="8" t="n">
        <ns0:f aca="false">C58-D58</ns0:f>
        <ns0:v>2337.11</ns0:v>
      </ns0:c>
      <ns0:c r="F58" s="8" t="n">
        <ns0:f aca="false">B58-E58</ns0:f>
        <ns0:v>1485294.02</ns0:v>
      </ns0:c>
    </ns0:row>
    <ns0:row r="59" customFormat="false" ht="31" hidden="false" customHeight="true" outlineLevel="0" collapsed="false">
      <ns0:c r="A59" s="16" t="n">
        <ns0:v>48731</ns0:v>
      </ns0:c>
      <ns0:c r="B59" s="8" t="n">
        <ns0:f aca="false">F58</ns0:f>
        <ns0:v>1485294.02</ns0:v>
      </ns0:c>
      <ns0:c r="C59" s="10" t="n">
        <ns0:f aca="false">MIN(B59+D59,Finanzierung!$B$15/12)</ns0:f>
        <ns0:v>6800</ns0:v>
      </ns0:c>
      <ns0:c r="D59" s="10" t="n">
        <ns0:f aca="false">ROUND(B59*Finanzierung!$B$13/12,2)</ns0:f>
        <ns0:v>4455.88</ns0:v>
      </ns0:c>
      <ns0:c r="E59" s="8" t="n">
        <ns0:f aca="false">C59-D59</ns0:f>
        <ns0:v>2344.12</ns0:v>
      </ns0:c>
      <ns0:c r="F59" s="8" t="n">
        <ns0:f aca="false">B59-E59</ns0:f>
        <ns0:v>1482949.9</ns0:v>
      </ns0:c>
    </ns0:row>
    <ns0:row r="60" customFormat="false" ht="31" hidden="false" customHeight="true" outlineLevel="0" collapsed="false">
      <ns0:c r="A60" s="16" t="n">
        <ns0:v>48761</ns0:v>
      </ns0:c>
      <ns0:c r="B60" s="8" t="n">
        <ns0:f aca="false">F59</ns0:f>
        <ns0:v>1482949.9</ns0:v>
      </ns0:c>
      <ns0:c r="C60" s="10" t="n">
        <ns0:f aca="false">MIN(B60+D60,Finanzierung!$B$15/12)</ns0:f>
        <ns0:v>6800</ns0:v>
      </ns0:c>
      <ns0:c r="D60" s="10" t="n">
        <ns0:f aca="false">ROUND(B60*Finanzierung!$B$13/12,2)</ns0:f>
        <ns0:v>4448.85</ns0:v>
      </ns0:c>
      <ns0:c r="E60" s="8" t="n">
        <ns0:f aca="false">C60-D60</ns0:f>
        <ns0:v>2351.15</ns0:v>
      </ns0:c>
      <ns0:c r="F60" s="8" t="n">
        <ns0:f aca="false">B60-E60</ns0:f>
        <ns0:v>1480598.75</ns0:v>
      </ns0:c>
    </ns0:row>
    <ns0:row r="61" customFormat="false" ht="31" hidden="false" customHeight="true" outlineLevel="0" collapsed="false">
      <ns0:c r="A61" s="16" t="n">
        <ns0:v>48792</ns0:v>
      </ns0:c>
      <ns0:c r="B61" s="8" t="n">
        <ns0:f aca="false">F60</ns0:f>
        <ns0:v>1480598.75</ns0:v>
      </ns0:c>
      <ns0:c r="C61" s="10" t="n">
        <ns0:f aca="false">MIN(B61+D61,Finanzierung!$B$15/12)</ns0:f>
        <ns0:v>6800</ns0:v>
      </ns0:c>
      <ns0:c r="D61" s="10" t="n">
        <ns0:f aca="false">ROUND(B61*Finanzierung!$B$13/12,2)</ns0:f>
        <ns0:v>4441.8</ns0:v>
      </ns0:c>
      <ns0:c r="E61" s="8" t="n">
        <ns0:f aca="false">C61-D61</ns0:f>
        <ns0:v>2358.2</ns0:v>
      </ns0:c>
      <ns0:c r="F61" s="8" t="n">
        <ns0:f aca="false">B61-E61</ns0:f>
        <ns0:v>1478240.55</ns0:v>
      </ns0:c>
    </ns0:row>
    <ns0:row r="62" customFormat="false" ht="31" hidden="false" customHeight="true" outlineLevel="0" collapsed="false">
      <ns0:c r="A62" s="16" t="n">
        <ns0:v>48823</ns0:v>
      </ns0:c>
      <ns0:c r="B62" s="8" t="n">
        <ns0:f aca="false">F61</ns0:f>
        <ns0:v>1478240.55</ns0:v>
      </ns0:c>
      <ns0:c r="C62" s="10" t="n">
        <ns0:f aca="false">MIN(B62+D62,Finanzierung!$B$15/12)</ns0:f>
        <ns0:v>6800</ns0:v>
      </ns0:c>
      <ns0:c r="D62" s="10" t="n">
        <ns0:f aca="false">ROUND(B62*Finanzierung!$B$13/12,2)</ns0:f>
        <ns0:v>4434.72</ns0:v>
      </ns0:c>
      <ns0:c r="E62" s="8" t="n">
        <ns0:f aca="false">C62-D62</ns0:f>
        <ns0:v>2365.28</ns0:v>
      </ns0:c>
      <ns0:c r="F62" s="8" t="n">
        <ns0:f aca="false">B62-E62</ns0:f>
        <ns0:v>1475875.27</ns0:v>
      </ns0:c>
    </ns0:row>
    <ns0:row r="63" customFormat="false" ht="31" hidden="false" customHeight="true" outlineLevel="0" collapsed="false">
      <ns0:c r="A63" s="16" t="n">
        <ns0:v>48853</ns0:v>
      </ns0:c>
      <ns0:c r="B63" s="8" t="n">
        <ns0:f aca="false">F62</ns0:f>
        <ns0:v>1475875.27</ns0:v>
      </ns0:c>
      <ns0:c r="C63" s="10" t="n">
        <ns0:f aca="false">MIN(B63+D63,Finanzierung!$B$15/12)</ns0:f>
        <ns0:v>6800</ns0:v>
      </ns0:c>
      <ns0:c r="D63" s="10" t="n">
        <ns0:f aca="false">ROUND(B63*Finanzierung!$B$13/12,2)</ns0:f>
        <ns0:v>4427.63</ns0:v>
      </ns0:c>
      <ns0:c r="E63" s="8" t="n">
        <ns0:f aca="false">C63-D63</ns0:f>
        <ns0:v>2372.37</ns0:v>
      </ns0:c>
      <ns0:c r="F63" s="8" t="n">
        <ns0:f aca="false">B63-E63</ns0:f>
        <ns0:v>1473502.9</ns0:v>
      </ns0:c>
    </ns0:row>
    <ns0:row r="64" customFormat="false" ht="31" hidden="false" customHeight="true" outlineLevel="0" collapsed="false">
      <ns0:c r="A64" s="16" t="n">
        <ns0:v>48884</ns0:v>
      </ns0:c>
      <ns0:c r="B64" s="8" t="n">
        <ns0:f aca="false">F63</ns0:f>
        <ns0:v>1473502.9</ns0:v>
      </ns0:c>
      <ns0:c r="C64" s="10" t="n">
        <ns0:f aca="false">MIN(B64+D64,Finanzierung!$B$15/12)</ns0:f>
        <ns0:v>6800</ns0:v>
      </ns0:c>
      <ns0:c r="D64" s="10" t="n">
        <ns0:f aca="false">ROUND(B64*Finanzierung!$B$13/12,2)</ns0:f>
        <ns0:v>4420.51</ns0:v>
      </ns0:c>
      <ns0:c r="E64" s="8" t="n">
        <ns0:f aca="false">C64-D64</ns0:f>
        <ns0:v>2379.49</ns0:v>
      </ns0:c>
      <ns0:c r="F64" s="8" t="n">
        <ns0:f aca="false">B64-E64</ns0:f>
        <ns0:v>1471123.41</ns0:v>
      </ns0:c>
    </ns0:row>
    <ns0:row r="65" customFormat="false" ht="31" hidden="false" customHeight="true" outlineLevel="0" collapsed="false">
      <ns0:c r="A65" s="16" t="n">
        <ns0:v>48914</ns0:v>
      </ns0:c>
      <ns0:c r="B65" s="8" t="n">
        <ns0:f aca="false">F64</ns0:f>
        <ns0:v>1471123.41</ns0:v>
      </ns0:c>
      <ns0:c r="C65" s="10" t="n">
        <ns0:f aca="false">MIN(B65+D65,Finanzierung!$B$15/12)</ns0:f>
        <ns0:v>6800</ns0:v>
      </ns0:c>
      <ns0:c r="D65" s="10" t="n">
        <ns0:f aca="false">ROUND(B65*Finanzierung!$B$13/12,2)</ns0:f>
        <ns0:v>4413.37</ns0:v>
      </ns0:c>
      <ns0:c r="E65" s="8" t="n">
        <ns0:f aca="false">C65-D65</ns0:f>
        <ns0:v>2386.63</ns0:v>
      </ns0:c>
      <ns0:c r="F65" s="8" t="n">
        <ns0:f aca="false">B65-E65</ns0:f>
        <ns0:v>1468736.78</ns0:v>
      </ns0:c>
    </ns0:row>
    <ns0:row r="66" customFormat="false" ht="29" hidden="false" customHeight="true" outlineLevel="0" collapsed="false">
      <ns0:c r="A66" s="13" t="s">
        <ns0:v>68</ns0:v>
      </ns0:c>
      <ns0:c r="B66" s="15"/>
      <ns0:c r="C66" s="15" t="n">
        <ns0:f aca="false">SUM(C6:C65)</ns0:f>
        <ns0:v>408000</ns0:v>
      </ns0:c>
      <ns0:c r="D66" s="15" t="n">
        <ns0:f aca="false">SUM(D6:D65)</ns0:f>
        <ns0:v>276736.78</ns0:v>
      </ns0:c>
      <ns0:c r="E66" s="15" t="n">
        <ns0:f aca="false">SUM(E6:E65)</ns0:f>
        <ns0:v>131263.22</ns0:v>
      </ns0:c>
      <ns0:c r="F66" s="17" t="n">
        <ns0:f aca="false">F65</ns0:f>
        <ns0:v>1468736.78</ns0:v>
      </ns0:c>
    </ns0:row>
    <ns0:row r="67" customFormat="false" ht="15" hidden="false" customHeight="false" outlineLevel="0" collapsed="false">
      <ns0:c r="A67" s="2"/>
      <ns0:c r="B67" s="2"/>
      <ns0:c r="C67" s="2"/>
      <ns0:c r="D67" s="2"/>
      <ns0:c r="E67" s="2"/>
      <ns0:c r="F67" s="2"/>
    </ns0:row>
    <ns0:row r="68" customFormat="false" ht="15" hidden="false" customHeight="false" outlineLevel="0" collapsed="false">
      <ns0:c r="A68" s="2" t="s">
        <ns0:v>69</ns0:v>
      </ns0:c>
      <ns0:c r="B68" s="2"/>
      <ns0:c r="C68" s="2"/>
      <ns0:c r="D68" s="2"/>
      <ns0:c r="E68" s="2"/>
      <ns0:c r="F68" s="2"/>
    </ns0:row>
    <ns0:row r="69" customFormat="false" ht="15" hidden="false" customHeight="false" outlineLevel="0" collapsed="false">
      <ns0:c r="A69" s="2"/>
      <ns0:c r="B69" s="2"/>
      <ns0:c r="C69" s="2"/>
      <ns0:c r="D69" s="2"/>
      <ns0:c r="E69" s="2"/>
      <ns0:c r="F69" s="2"/>
    </ns0:row>
    <ns0:row r="70" customFormat="false" ht="15" hidden="false" customHeight="false" outlineLevel="0" collapsed="false">
      <ns0:c r="A70" s="2"/>
      <ns0:c r="B70" s="2"/>
      <ns0:c r="C70" s="2"/>
      <ns0:c r="D70" s="2"/>
      <ns0:c r="E70" s="2"/>
      <ns0:c r="F70" s="2"/>
    </ns0:row>
    <ns0:row r="71" customFormat="false" ht="15" hidden="false" customHeight="false" outlineLevel="0" collapsed="false">
      <ns0:c r="A71" s="2"/>
      <ns0:c r="B71" s="2"/>
      <ns0:c r="C71" s="2"/>
      <ns0:c r="D71" s="2"/>
      <ns0:c r="E71" s="2"/>
      <ns0:c r="F71" s="2"/>
    </ns0:row>
    <ns0:row r="72" customFormat="false" ht="15" hidden="false" customHeight="false" outlineLevel="0" collapsed="false">
      <ns0:c r="A72" s="2"/>
      <ns0:c r="B72" s="2"/>
      <ns0:c r="C72" s="2"/>
      <ns0:c r="D72" s="2"/>
      <ns0:c r="E72" s="2"/>
      <ns0:c r="F72" s="2"/>
    </ns0:row>
    <ns0:row r="73" customFormat="false" ht="15" hidden="false" customHeight="false" outlineLevel="0" collapsed="false">
      <ns0:c r="A73" s="2"/>
      <ns0:c r="B73" s="2"/>
      <ns0:c r="C73" s="2"/>
      <ns0:c r="D73" s="2"/>
      <ns0:c r="E73" s="2"/>
      <ns0:c r="F73" s="2"/>
    </ns0:row>
    <ns0:row r="74" customFormat="false" ht="15" hidden="false" customHeight="false" outlineLevel="0" collapsed="false">
      <ns0:c r="A74" s="2"/>
      <ns0:c r="B74" s="2"/>
      <ns0:c r="C74" s="2"/>
      <ns0:c r="D74" s="2"/>
      <ns0:c r="E74" s="2"/>
      <ns0:c r="F74" s="2"/>
    </ns0:row>
    <ns0:row r="75" customFormat="false" ht="15" hidden="false" customHeight="false" outlineLevel="0" collapsed="false">
      <ns0:c r="A75" s="2"/>
      <ns0:c r="B75" s="2"/>
      <ns0:c r="C75" s="2"/>
      <ns0:c r="D75" s="2"/>
      <ns0:c r="E75" s="2"/>
      <ns0:c r="F75" s="2"/>
    </ns0:row>
    <ns0:row r="76" customFormat="false" ht="15" hidden="false" customHeight="false" outlineLevel="0" collapsed="false">
      <ns0:c r="A76" s="2"/>
      <ns0:c r="B76" s="2"/>
      <ns0:c r="C76" s="2"/>
      <ns0:c r="D76" s="2"/>
      <ns0:c r="E76" s="2"/>
      <ns0:c r="F76" s="2"/>
    </ns0:row>
    <ns0:row r="77" customFormat="false" ht="15" hidden="false" customHeight="false" outlineLevel="0" collapsed="false">
      <ns0:c r="A77" s="2"/>
      <ns0:c r="B77" s="2"/>
      <ns0:c r="C77" s="2"/>
      <ns0:c r="D77" s="2"/>
      <ns0:c r="E77" s="2"/>
      <ns0:c r="F77" s="2"/>
    </ns0:row>
    <ns0:row r="78" customFormat="false" ht="15" hidden="false" customHeight="false" outlineLevel="0" collapsed="false">
      <ns0:c r="A78" s="2"/>
      <ns0:c r="B78" s="2"/>
      <ns0:c r="C78" s="2"/>
      <ns0:c r="D78" s="2"/>
      <ns0:c r="E78" s="2"/>
      <ns0:c r="F78" s="2"/>
    </ns0:row>
    <ns0:row r="79" customFormat="false" ht="15" hidden="false" customHeight="false" outlineLevel="0" collapsed="false">
      <ns0:c r="A79" s="2"/>
      <ns0:c r="B79" s="2"/>
      <ns0:c r="C79" s="2"/>
      <ns0:c r="D79" s="2"/>
      <ns0:c r="E79" s="2"/>
      <ns0:c r="F79" s="2"/>
    </ns0:row>
    <ns0:row r="80" customFormat="false" ht="15" hidden="false" customHeight="false" outlineLevel="0" collapsed="false">
      <ns0:c r="A80" s="2"/>
      <ns0:c r="B80" s="2"/>
      <ns0:c r="C80" s="2"/>
      <ns0:c r="D80" s="2"/>
      <ns0:c r="E80" s="2"/>
      <ns0:c r="F80" s="2"/>
    </ns0:row>
    <ns0:row r="81" customFormat="false" ht="15" hidden="false" customHeight="false" outlineLevel="0" collapsed="false">
      <ns0:c r="A81" s="2"/>
      <ns0:c r="B81" s="2"/>
      <ns0:c r="C81" s="2"/>
      <ns0:c r="D81" s="2"/>
      <ns0:c r="E81" s="2"/>
      <ns0:c r="F81" s="2"/>
    </ns0:row>
    <ns0:row r="82" customFormat="false" ht="15" hidden="false" customHeight="false" outlineLevel="0" collapsed="false">
      <ns0:c r="A82" s="2"/>
      <ns0:c r="B82" s="2"/>
      <ns0:c r="C82" s="2"/>
      <ns0:c r="D82" s="2"/>
      <ns0:c r="E82" s="2"/>
      <ns0:c r="F82" s="2"/>
    </ns0:row>
    <ns0:row r="83" customFormat="false" ht="15" hidden="false" customHeight="false" outlineLevel="0" collapsed="false">
      <ns0:c r="A83" s="2"/>
      <ns0:c r="B83" s="2"/>
      <ns0:c r="C83" s="2"/>
      <ns0:c r="D83" s="2"/>
      <ns0:c r="E83" s="2"/>
      <ns0:c r="F83" s="2"/>
    </ns0:row>
    <ns0:row r="84" customFormat="false" ht="15" hidden="false" customHeight="false" outlineLevel="0" collapsed="false">
      <ns0:c r="A84" s="2"/>
      <ns0:c r="B84" s="2"/>
      <ns0:c r="C84" s="2"/>
      <ns0:c r="D84" s="2"/>
      <ns0:c r="E84" s="2"/>
      <ns0:c r="F84" s="2"/>
    </ns0:row>
    <ns0:row r="85" customFormat="false" ht="15" hidden="false" customHeight="false" outlineLevel="0" collapsed="false">
      <ns0:c r="A85" s="2"/>
      <ns0:c r="B85" s="2"/>
      <ns0:c r="C85" s="2"/>
      <ns0:c r="D85" s="2"/>
      <ns0:c r="E85" s="2"/>
      <ns0:c r="F85" s="2"/>
    </ns0:row>
    <ns0:row r="86" customFormat="false" ht="15" hidden="false" customHeight="false" outlineLevel="0" collapsed="false">
      <ns0:c r="A86" s="2"/>
      <ns0:c r="B86" s="2"/>
      <ns0:c r="C86" s="2"/>
      <ns0:c r="D86" s="2"/>
      <ns0:c r="E86" s="2"/>
      <ns0:c r="F86" s="2"/>
    </ns0:row>
    <ns0:row r="87" customFormat="false" ht="15" hidden="false" customHeight="false" outlineLevel="0" collapsed="false">
      <ns0:c r="A87" s="2"/>
      <ns0:c r="B87" s="2"/>
      <ns0:c r="C87" s="2"/>
      <ns0:c r="D87" s="2"/>
      <ns0:c r="E87" s="2"/>
      <ns0:c r="F87" s="2"/>
    </ns0:row>
    <ns0:row r="88" customFormat="false" ht="15" hidden="false" customHeight="false" outlineLevel="0" collapsed="false">
      <ns0:c r="A88" s="2"/>
      <ns0:c r="B88" s="2"/>
      <ns0:c r="C88" s="2"/>
      <ns0:c r="D88" s="2"/>
      <ns0:c r="E88" s="2"/>
      <ns0:c r="F88" s="2"/>
    </ns0:row>
    <ns0:row r="89" customFormat="false" ht="15" hidden="false" customHeight="false" outlineLevel="0" collapsed="false">
      <ns0:c r="A89" s="2"/>
      <ns0:c r="B89" s="2"/>
      <ns0:c r="C89" s="2"/>
      <ns0:c r="D89" s="2"/>
      <ns0:c r="E89" s="2"/>
      <ns0:c r="F89" s="2"/>
    </ns0:row>
    <ns0:row r="90" customFormat="false" ht="15" hidden="false" customHeight="false" outlineLevel="0" collapsed="false">
      <ns0:c r="A90" s="2"/>
      <ns0:c r="B90" s="2"/>
      <ns0:c r="C90" s="2"/>
      <ns0:c r="D90" s="2"/>
      <ns0:c r="E90" s="2"/>
      <ns0:c r="F90" s="2"/>
    </ns0:row>
  </ns0:sheetData>
  <ns0:printOptions headings="false" gridLines="false" gridLinesSet="true" horizontalCentered="false" verticalCentered="false"/>
  <ns0:pageMargins left="0.3" right="0.3" top="0.35" bottom="0.35" header="0.1" footer="0.1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