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Kostenstand" sheetId="1" state="visible" ns1:id="rId3"/>
    <ns0:sheet name="Belege" sheetId="2" state="visible" ns1:id="rId4"/>
  </ns0:sheets>
  <ns0:definedNames>
    <ns0:definedName name="_xlnm.Print_Area" localSheetId="0">'Kostenstand'!A1:E25</ns0:definedName>
    <ns0:definedName name="_xlnm.Print_Titles" localSheetId="0">'Kostenstand'!$1:$5</ns0:definedName>
    <ns0:definedName name="_xlnm.Print_Area" localSheetId="1">'Belege'!A1:G46</ns0:definedName>
    <ns0:definedName name="_xlnm.Print_Titles" localSheetId="1">'Belege'!$1:$5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<sst xmlns="http://schemas.openxmlformats.org/spreadsheetml/2006/main" count="154" uniqueCount="112">
  <si>
    <t xml:space="preserve">Wohnhof Am Steinbogen 18 · Kostenentwicklung</t>
  </si>
  <si>
    <t xml:space="preserve">SW-HI-26-08 · Beträge in EUR</t>
  </si>
  <si>
    <t xml:space="preserve">KG</t>
  </si>
  <si>
    <t xml:space="preserve">Kostenbereich</t>
  </si>
  <si>
    <t xml:space="preserve">Ausgang EUR</t>
  </si>
  <si>
    <t xml:space="preserve">Abgerechnet EUR</t>
  </si>
  <si>
    <t xml:space="preserve">Änderung EUR</t>
  </si>
  <si>
    <t xml:space="preserve">100</t>
  </si>
  <si>
    <t xml:space="preserve">Grundstück und Erwerbsnebenkosten</t>
  </si>
  <si>
    <t xml:space="preserve">200</t>
  </si>
  <si>
    <t xml:space="preserve">Hausanschlüsse</t>
  </si>
  <si>
    <t xml:space="preserve">300</t>
  </si>
  <si>
    <t xml:space="preserve">Baukonstruktion</t>
  </si>
  <si>
    <t xml:space="preserve">400</t>
  </si>
  <si>
    <t xml:space="preserve">Technische Anlagen</t>
  </si>
  <si>
    <t xml:space="preserve">500</t>
  </si>
  <si>
    <t xml:space="preserve">Außenanlagen</t>
  </si>
  <si>
    <t xml:space="preserve">700</t>
  </si>
  <si>
    <t xml:space="preserve">Planung, Versicherung, Gebühren</t>
  </si>
  <si>
    <t xml:space="preserve">800</t>
  </si>
  <si>
    <t xml:space="preserve">Finanzierung bis Ende 2028</t>
  </si>
  <si>
    <t xml:space="preserve">Summe</t>
  </si>
  <si>
    <t xml:space="preserve">Freigegebener Kostenrahmen</t>
  </si>
  <si>
    <t xml:space="preserve">Noch verfügbar bis Kostenrahmen</t>
  </si>
  <si>
    <t xml:space="preserve">Eigenkapital und Darlehen</t>
  </si>
  <si>
    <t xml:space="preserve">Projektmittel nach Belegbeträgen</t>
  </si>
  <si>
    <t xml:space="preserve">Stand 05.10.2033. Kostenfortschreibung einschließlich LPH 9.</t>
  </si>
  <si>
    <t xml:space="preserve">Projektkosten und Zahlungen sind getrennt; keine AfA- oder Bilanzberechnung.</t>
  </si>
  <si>
    <t xml:space="preserve">Umsatzsteuerbeträge werden für die Wohnvermietung nicht als Vorsteuer abgezogen.</t>
  </si>
  <si>
    <t xml:space="preserve">Projektbelege</t>
  </si>
  <si>
    <t xml:space="preserve">Beleg</t>
  </si>
  <si>
    <t xml:space="preserve">Datum</t>
  </si>
  <si>
    <t xml:space="preserve">Leistung</t>
  </si>
  <si>
    <t xml:space="preserve">Netto EUR</t>
  </si>
  <si>
    <t xml:space="preserve">USt EUR</t>
  </si>
  <si>
    <t xml:space="preserve">Brutto EUR</t>
  </si>
  <si>
    <t xml:space="preserve">KP-2026-118</t>
  </si>
  <si>
    <t xml:space="preserve">Kaufpreisfälligkeit Grundstück</t>
  </si>
  <si>
    <t xml:space="preserve">GRE-26-816</t>
  </si>
  <si>
    <t xml:space="preserve">Grunderwerbsteuerbescheid</t>
  </si>
  <si>
    <t xml:space="preserve">NF-26-118-139</t>
  </si>
  <si>
    <t xml:space="preserve">Notarkostenberechnung Grundstückskauf und Grundschuld</t>
  </si>
  <si>
    <t xml:space="preserve">GB-26-778</t>
  </si>
  <si>
    <t xml:space="preserve">Gerichtskostenrechnung Grundbuch</t>
  </si>
  <si>
    <t xml:space="preserve">WG-26-104</t>
  </si>
  <si>
    <t xml:space="preserve">Grundstücksvermittlung</t>
  </si>
  <si>
    <t xml:space="preserve">BA-27-328-K</t>
  </si>
  <si>
    <t xml:space="preserve">Kostenbescheid zum Bauantrag</t>
  </si>
  <si>
    <t xml:space="preserve">BV-27-180</t>
  </si>
  <si>
    <t xml:space="preserve">Beitragsrechnung Bauleistungs- und Bauherrenhaftpflichtversicherung</t>
  </si>
  <si>
    <t xml:space="preserve">LB-27-010</t>
  </si>
  <si>
    <t xml:space="preserve">Vereinbartes Finanzierungsentgelt</t>
  </si>
  <si>
    <t xml:space="preserve">LB-Z-2027</t>
  </si>
  <si>
    <t xml:space="preserve">Darlehenszinsen 2027</t>
  </si>
  <si>
    <t xml:space="preserve">LB-Z-2028</t>
  </si>
  <si>
    <t xml:space="preserve">Darlehenszinsen 2028</t>
  </si>
  <si>
    <t xml:space="preserve">KF-27-091</t>
  </si>
  <si>
    <t xml:space="preserve">Objektplanung LPH 1 bis 4</t>
  </si>
  <si>
    <t xml:space="preserve">KF-27-116</t>
  </si>
  <si>
    <t xml:space="preserve">Objektplanung LPH 5 bis 7</t>
  </si>
  <si>
    <t xml:space="preserve">KF-28-104</t>
  </si>
  <si>
    <t xml:space="preserve">Objektplanung LPH 8</t>
  </si>
  <si>
    <t xml:space="preserve">KF-33-092</t>
  </si>
  <si>
    <t xml:space="preserve">Objektplanung LPH 9 und Schlussabrechnung</t>
  </si>
  <si>
    <t xml:space="preserve">PT-27-092</t>
  </si>
  <si>
    <t xml:space="preserve">TGA Planung</t>
  </si>
  <si>
    <t xml:space="preserve">PT-28-104</t>
  </si>
  <si>
    <t xml:space="preserve">TGA Ausführungsbegleitung und Abschluss</t>
  </si>
  <si>
    <t xml:space="preserve">BW-28-093</t>
  </si>
  <si>
    <t xml:space="preserve">Tragwerksplanung</t>
  </si>
  <si>
    <t xml:space="preserve">LP-28-094</t>
  </si>
  <si>
    <t xml:space="preserve">Vermessungsleistungen</t>
  </si>
  <si>
    <t xml:space="preserve">BP-27-018</t>
  </si>
  <si>
    <t xml:space="preserve">Baugrunduntersuchung</t>
  </si>
  <si>
    <t xml:space="preserve">EP-28-096</t>
  </si>
  <si>
    <t xml:space="preserve">Energieplanung und Fertigstellungsnachweis</t>
  </si>
  <si>
    <t xml:space="preserve">RW-28-095</t>
  </si>
  <si>
    <t xml:space="preserve">Brandschutzplanung</t>
  </si>
  <si>
    <t xml:space="preserve">SH-28-021</t>
  </si>
  <si>
    <t xml:space="preserve">Rohbau 1. Abschlag</t>
  </si>
  <si>
    <t xml:space="preserve">SH-28-046</t>
  </si>
  <si>
    <t xml:space="preserve">Rohbau 2. Abschlag</t>
  </si>
  <si>
    <t xml:space="preserve">SH-28-093</t>
  </si>
  <si>
    <t xml:space="preserve">Rohbau Schlussrechnung</t>
  </si>
  <si>
    <t xml:space="preserve">DG-28-052</t>
  </si>
  <si>
    <t xml:space="preserve">Gebäudehülle Abschlag</t>
  </si>
  <si>
    <t xml:space="preserve">DG-28-098</t>
  </si>
  <si>
    <t xml:space="preserve">Gebäudehülle Schlussrechnung</t>
  </si>
  <si>
    <t xml:space="preserve">WH-28-063</t>
  </si>
  <si>
    <t xml:space="preserve">Heizung Lüftung Sanitär Abschlag</t>
  </si>
  <si>
    <t xml:space="preserve">WH-28-094</t>
  </si>
  <si>
    <t xml:space="preserve">Heizung Lüftung Sanitär Schlussrechnung</t>
  </si>
  <si>
    <t xml:space="preserve">LE-28-061</t>
  </si>
  <si>
    <t xml:space="preserve">Elektro Abschlag</t>
  </si>
  <si>
    <t xml:space="preserve">LE-28-098</t>
  </si>
  <si>
    <t xml:space="preserve">Elektro und Ladeinfrastruktur Schlussrechnung</t>
  </si>
  <si>
    <t xml:space="preserve">IA-28-074</t>
  </si>
  <si>
    <t xml:space="preserve">Innenausbau Abschlag</t>
  </si>
  <si>
    <t xml:space="preserve">IA-28-095</t>
  </si>
  <si>
    <t xml:space="preserve">Innenausbau Schlussrechnung</t>
  </si>
  <si>
    <t xml:space="preserve">HA-28-093</t>
  </si>
  <si>
    <t xml:space="preserve">Aufzugsanlage</t>
  </si>
  <si>
    <t xml:space="preserve">GG-28-115</t>
  </si>
  <si>
    <t xml:space="preserve">Außenanlagen und Entwässerung</t>
  </si>
  <si>
    <t xml:space="preserve">LN-28-081</t>
  </si>
  <si>
    <t xml:space="preserve">SH-28-N01</t>
  </si>
  <si>
    <t xml:space="preserve">Nachtrag Drän- und Filterpackung</t>
  </si>
  <si>
    <t xml:space="preserve">IA-G-28-017</t>
  </si>
  <si>
    <t xml:space="preserve">Rechnungskorrektur zu IA-28-095</t>
  </si>
  <si>
    <t xml:space="preserve">LE-PV-28-099</t>
  </si>
  <si>
    <t xml:space="preserve">PV-Anlage Lieferung und Montage</t>
  </si>
  <si>
    <t xml:space="preserve">Quelle: Einzelbelege 70–106 und 119; Rechnungskorrekturen sind negativ.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</si>
</sst>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;\-_);@"/>
    <numFmt numFmtId="166" formatCode="yyyy\-mm\-dd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22222"/>
      <name val="Arial"/>
      <family val="0"/>
      <charset val="1"/>
    </font>
    <font>
      <b val="true"/>
      <sz val="14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7A7"/>
      <name val="Arial"/>
      <family val="0"/>
      <charset val="1"/>
    </font>
    <font>
      <sz val="10"/>
      <color rgb="FF246946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24B62"/>
        <bgColor rgb="FF2457A7"/>
      </patternFill>
    </fill>
    <fill>
      <patternFill patternType="solid">
        <fgColor rgb="FFE8ED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324B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57A7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946"/>
      <rgbColor rgb="FFC0C0C0"/>
      <rgbColor rgb="FF808080"/>
      <rgbColor rgb="FF9999FF"/>
      <rgbColor rgb="FF993366"/>
      <rgbColor rgb="FFFFFFCC"/>
      <rgbColor rgb="FFE8EDF1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24B62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jektbelegeBelege" displayName="ProjektbelegeBelege" ref="A5:G43" headerRowCount="1" totalsRowCount="0" totalsRowShown="0">
  <tableColumns count="7">
    <tableColumn id="1" name="Beleg"/>
    <tableColumn id="2" name="KG"/>
    <tableColumn id="3" name="Datum"/>
    <tableColumn id="4" name="Leistung"/>
    <tableColumn id="5" name="Netto EUR"/>
    <tableColumn id="6" name="USt EUR"/>
    <tableColumn id="7" name="Brutto EU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9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8"/>
    <ns0:col collapsed="false" customWidth="true" hidden="false" outlineLevel="0" max="2" min="2" style="1" width="44"/>
    <ns0:col collapsed="false" customWidth="true" hidden="false" outlineLevel="0" max="4" min="3" style="1" width="23"/>
    <ns0:col collapsed="false" customWidth="true" hidden="false" outlineLevel="0" max="5" min="5" style="1" width="22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</ns0:row>
    <ns0:row r="2" customFormat="false" ht="17.35" hidden="false" customHeight="fals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15" hidden="false" customHeight="false" outlineLevel="0" collapsed="false">
      <ns0:c r="A3" s="4" t="s">
        <ns0:v>1</ns0:v>
      </ns0:c>
      <ns0:c r="B3" s="2"/>
      <ns0:c r="C3" s="2"/>
      <ns0:c r="D3" s="2"/>
      <ns0:c r="E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</ns0:row>
    <ns0:row r="5" customFormat="false" ht="35" hidden="false" customHeight="true" outlineLevel="0" collapsed="false">
      <ns0:c r="A5" s="5" t="s">
        <ns0:v>2</ns0:v>
      </ns0:c>
      <ns0:c r="B5" s="5" t="s">
        <ns0:v>3</ns0:v>
      </ns0:c>
      <ns0:c r="C5" s="5" t="s">
        <ns0:v>4</ns0:v>
      </ns0:c>
      <ns0:c r="D5" s="5" t="s">
        <ns0:v>5</ns0:v>
      </ns0:c>
      <ns0:c r="E5" s="5" t="s">
        <ns0:v>6</ns0:v>
      </ns0:c>
    </ns0:row>
    <ns0:row r="6" customFormat="false" ht="27" hidden="false" customHeight="true" outlineLevel="0" collapsed="false">
      <ns0:c r="A6" s="6" t="s">
        <ns0:v>7</ns0:v>
      </ns0:c>
      <ns0:c r="B6" s="6" t="s">
        <ns0:v>8</ns0:v>
      </ns0:c>
      <ns0:c r="C6" s="7" t="n">
        <ns0:v>500463.01</ns0:v>
      </ns0:c>
      <ns0:c r="D6" s="8" t="n">
        <ns0:f aca="false">SUMIF(Belege!$B$6:$B$43,A6,Belege!$G$6:$G$43)</ns0:f>
        <ns0:v>500463.01</ns0:v>
      </ns0:c>
      <ns0:c r="E6" s="9" t="n">
        <ns0:f aca="false">D6-C6</ns0:f>
        <ns0:v>0</ns0:v>
      </ns0:c>
    </ns0:row>
    <ns0:row r="7" customFormat="false" ht="27" hidden="false" customHeight="true" outlineLevel="0" collapsed="false">
      <ns0:c r="A7" s="6" t="s">
        <ns0:v>9</ns0:v>
      </ns0:c>
      <ns0:c r="B7" s="6" t="s">
        <ns0:v>10</ns0:v>
      </ns0:c>
      <ns0:c r="C7" s="7" t="n">
        <ns0:v>41650</ns0:v>
      </ns0:c>
      <ns0:c r="D7" s="8" t="n">
        <ns0:f aca="false">SUMIF(Belege!$B$6:$B$43,A7,Belege!$G$6:$G$43)</ns0:f>
        <ns0:v>41650</ns0:v>
      </ns0:c>
      <ns0:c r="E7" s="9" t="n">
        <ns0:f aca="false">D7-C7</ns0:f>
        <ns0:v>0</ns0:v>
      </ns0:c>
    </ns0:row>
    <ns0:row r="8" customFormat="false" ht="27" hidden="false" customHeight="true" outlineLevel="0" collapsed="false">
      <ns0:c r="A8" s="6" t="s">
        <ns0:v>11</ns0:v>
      </ns0:c>
      <ns0:c r="B8" s="6" t="s">
        <ns0:v>12</ns0:v>
      </ns0:c>
      <ns0:c r="C8" s="7" t="n">
        <ns0:v>1654100</ns0:v>
      </ns0:c>
      <ns0:c r="D8" s="8" t="n">
        <ns0:f aca="false">SUMIF(Belege!$B$6:$B$43,A8,Belege!$G$6:$G$43)</ns0:f>
        <ns0:v>1672545</ns0:v>
      </ns0:c>
      <ns0:c r="E8" s="9" t="n">
        <ns0:f aca="false">D8-C8</ns0:f>
        <ns0:v>18445</ns0:v>
      </ns0:c>
    </ns0:row>
    <ns0:row r="9" customFormat="false" ht="27" hidden="false" customHeight="true" outlineLevel="0" collapsed="false">
      <ns0:c r="A9" s="6" t="s">
        <ns0:v>13</ns0:v>
      </ns0:c>
      <ns0:c r="B9" s="6" t="s">
        <ns0:v>14</ns0:v>
      </ns0:c>
      <ns0:c r="C9" s="7" t="n">
        <ns0:v>669750</ns0:v>
      </ns0:c>
      <ns0:c r="D9" s="8" t="n">
        <ns0:f aca="false">SUMIF(Belege!$B$6:$B$43,A9,Belege!$G$6:$G$43)</ns0:f>
        <ns0:v>669750</ns0:v>
      </ns0:c>
      <ns0:c r="E9" s="9" t="n">
        <ns0:f aca="false">D9-C9</ns0:f>
        <ns0:v>0</ns0:v>
      </ns0:c>
    </ns0:row>
    <ns0:row r="10" customFormat="false" ht="27" hidden="false" customHeight="true" outlineLevel="0" collapsed="false">
      <ns0:c r="A10" s="6" t="s">
        <ns0:v>15</ns0:v>
      </ns0:c>
      <ns0:c r="B10" s="6" t="s">
        <ns0:v>16</ns0:v>
      </ns0:c>
      <ns0:c r="C10" s="7" t="n">
        <ns0:v>142800</ns0:v>
      </ns0:c>
      <ns0:c r="D10" s="8" t="n">
        <ns0:f aca="false">SUMIF(Belege!$B$6:$B$43,A10,Belege!$G$6:$G$43)</ns0:f>
        <ns0:v>142800</ns0:v>
      </ns0:c>
      <ns0:c r="E10" s="9" t="n">
        <ns0:f aca="false">D10-C10</ns0:f>
        <ns0:v>0</ns0:v>
      </ns0:c>
    </ns0:row>
    <ns0:row r="11" customFormat="false" ht="27" hidden="false" customHeight="true" outlineLevel="0" collapsed="false">
      <ns0:c r="A11" s="6" t="s">
        <ns0:v>17</ns0:v>
      </ns0:c>
      <ns0:c r="B11" s="6" t="s">
        <ns0:v>18</ns0:v>
      </ns0:c>
      <ns0:c r="C11" s="7" t="n">
        <ns0:v>365007.4</ns0:v>
      </ns0:c>
      <ns0:c r="D11" s="8" t="n">
        <ns0:f aca="false">SUMIF(Belege!$B$6:$B$43,A11,Belege!$G$6:$G$43)</ns0:f>
        <ns0:v>365007.4</ns0:v>
      </ns0:c>
      <ns0:c r="E11" s="9" t="n">
        <ns0:f aca="false">D11-C11</ns0:f>
        <ns0:v>0</ns0:v>
      </ns0:c>
    </ns0:row>
    <ns0:row r="12" customFormat="false" ht="27" hidden="false" customHeight="true" outlineLevel="0" collapsed="false">
      <ns0:c r="A12" s="6" t="s">
        <ns0:v>19</ns0:v>
      </ns0:c>
      <ns0:c r="B12" s="6" t="s">
        <ns0:v>20</ns0:v>
      </ns0:c>
      <ns0:c r="C12" s="7" t="n">
        <ns0:v>90000</ns0:v>
      </ns0:c>
      <ns0:c r="D12" s="8" t="n">
        <ns0:f aca="false">SUMIF(Belege!$B$6:$B$43,A12,Belege!$G$6:$G$43)</ns0:f>
        <ns0:v>90000</ns0:v>
      </ns0:c>
      <ns0:c r="E12" s="9" t="n">
        <ns0:f aca="false">D12-C12</ns0:f>
        <ns0:v>0</ns0:v>
      </ns0:c>
    </ns0:row>
    <ns0:row r="13" customFormat="false" ht="29" hidden="false" customHeight="true" outlineLevel="0" collapsed="false">
      <ns0:c r="A13" s="10" t="s">
        <ns0:v>21</ns0:v>
      </ns0:c>
      <ns0:c r="B13" s="10"/>
      <ns0:c r="C13" s="11" t="n">
        <ns0:f aca="false">SUM(C6:C12)</ns0:f>
        <ns0:v>3463770.41</ns0:v>
      </ns0:c>
      <ns0:c r="D13" s="11" t="n">
        <ns0:f aca="false">SUM(D6:D12)</ns0:f>
        <ns0:v>3482215.41</ns0:v>
      </ns0:c>
      <ns0:c r="E13" s="11" t="n">
        <ns0:f aca="false">SUM(E6:E12)</ns0:f>
        <ns0:v>18445</ns0:v>
      </ns0:c>
    </ns0:row>
    <ns0:row r="14" customFormat="false" ht="15" hidden="false" customHeight="false" outlineLevel="0" collapsed="false">
      <ns0:c r="A14" s="2"/>
      <ns0:c r="B14" s="2"/>
      <ns0:c r="C14" s="2"/>
      <ns0:c r="D14" s="2"/>
      <ns0:c r="E14" s="2"/>
    </ns0:row>
    <ns0:row r="15" customFormat="false" ht="15" hidden="false" customHeight="false" outlineLevel="0" collapsed="false">
      <ns0:c r="A15" s="2"/>
      <ns0:c r="B15" s="2"/>
      <ns0:c r="C15" s="2"/>
      <ns0:c r="D15" s="2"/>
      <ns0:c r="E15" s="2"/>
    </ns0:row>
    <ns0:row r="16" customFormat="false" ht="27" hidden="false" customHeight="true" outlineLevel="0" collapsed="false">
      <ns0:c r="A16" s="2"/>
      <ns0:c r="B16" s="2" t="s">
        <ns0:v>22</ns0:v>
      </ns0:c>
      <ns0:c r="C16" s="12" t="n">
        <ns0:v>3650000</ns0:v>
      </ns0:c>
      <ns0:c r="D16" s="2"/>
      <ns0:c r="E16" s="2"/>
    </ns0:row>
    <ns0:row r="17" customFormat="false" ht="27" hidden="false" customHeight="true" outlineLevel="0" collapsed="false">
      <ns0:c r="A17" s="2"/>
      <ns0:c r="B17" s="2" t="s">
        <ns0:v>23</ns0:v>
      </ns0:c>
      <ns0:c r="C17" s="12" t="n">
        <ns0:f aca="false">C16-D13</ns0:f>
        <ns0:v>167784.59</ns0:v>
      </ns0:c>
      <ns0:c r="D17" s="2"/>
      <ns0:c r="E17" s="2"/>
    </ns0:row>
    <ns0:row r="18" customFormat="false" ht="27" hidden="false" customHeight="true" outlineLevel="0" collapsed="false">
      <ns0:c r="A18" s="2"/>
      <ns0:c r="B18" s="2" t="s">
        <ns0:v>24</ns0:v>
      </ns0:c>
      <ns0:c r="C18" s="12" t="n">
        <ns0:v>3700000</ns0:v>
      </ns0:c>
      <ns0:c r="D18" s="2"/>
      <ns0:c r="E18" s="2"/>
    </ns0:row>
    <ns0:row r="19" customFormat="false" ht="27" hidden="false" customHeight="true" outlineLevel="0" collapsed="false">
      <ns0:c r="A19" s="2"/>
      <ns0:c r="B19" s="2" t="s">
        <ns0:v>25</ns0:v>
      </ns0:c>
      <ns0:c r="C19" s="12" t="n">
        <ns0:f aca="false">C18-D13</ns0:f>
        <ns0:v>217784.59</ns0:v>
      </ns0:c>
      <ns0:c r="D19" s="2"/>
      <ns0:c r="E19" s="2"/>
    </ns0:row>
    <ns0:row r="20" customFormat="false" ht="15" hidden="false" customHeight="false" outlineLevel="0" collapsed="false">
      <ns0:c r="A20" s="2"/>
      <ns0:c r="B20" s="2"/>
      <ns0:c r="C20" s="2"/>
      <ns0:c r="D20" s="2"/>
      <ns0:c r="E20" s="2"/>
    </ns0:row>
    <ns0:row r="21" customFormat="false" ht="17" hidden="false" customHeight="true" outlineLevel="0" collapsed="false">
      <ns0:c r="A21" s="2"/>
      <ns0:c r="B21" s="2"/>
      <ns0:c r="C21" s="2"/>
      <ns0:c r="D21" s="2"/>
      <ns0:c r="E21" s="2"/>
    </ns0:row>
    <ns0:row r="22" customFormat="false" ht="17" hidden="false" customHeight="true" outlineLevel="0" collapsed="false">
      <ns0:c r="A22" s="2"/>
      <ns0:c r="B22" s="2" t="s">
        <ns0:v>26</ns0:v>
      </ns0:c>
      <ns0:c r="C22" s="2"/>
      <ns0:c r="D22" s="2"/>
      <ns0:c r="E22" s="2"/>
    </ns0:row>
    <ns0:row r="23" customFormat="false" ht="17" hidden="false" customHeight="true" outlineLevel="0" collapsed="false">
      <ns0:c r="A23" s="2"/>
      <ns0:c r="B23" s="2" t="s">
        <ns0:v>27</ns0:v>
      </ns0:c>
      <ns0:c r="C23" s="2"/>
      <ns0:c r="D23" s="2"/>
      <ns0:c r="E23" s="2"/>
    </ns0:row>
    <ns0:row r="24" customFormat="false" ht="17" hidden="false" customHeight="true" outlineLevel="0" collapsed="false">
      <ns0:c r="A24" s="2"/>
      <ns0:c r="B24" s="2" t="s">
        <ns0:v>28</ns0:v>
      </ns0:c>
      <ns0:c r="C24" s="2"/>
      <ns0:c r="D24" s="2"/>
      <ns0:c r="E24" s="2"/>
    </ns0:row>
    <ns0:row r="25" customFormat="false" ht="17" hidden="false" customHeight="true" outlineLevel="0" collapsed="false">
      <ns0:c r="A25" s="2"/>
      <ns0:c r="B25" s="2"/>
      <ns0:c r="C25" s="2"/>
      <ns0:c r="D25" s="2"/>
      <ns0:c r="E25" s="2"/>
    </ns0:row>
    <ns0:row r="26" customFormat="false" ht="15" hidden="false" customHeight="false" outlineLevel="0" collapsed="false">
      <ns0:c r="A26" s="2"/>
      <ns0:c r="B26" s="2"/>
      <ns0:c r="C26" s="2"/>
      <ns0:c r="D26" s="2"/>
      <ns0:c r="E26" s="2"/>
    </ns0:row>
    <ns0:row r="27" customFormat="false" ht="15" hidden="false" customHeight="false" outlineLevel="0" collapsed="false">
      <ns0:c r="A27" s="2"/>
      <ns0:c r="B27" s="2"/>
      <ns0:c r="C27" s="2"/>
      <ns0:c r="D27" s="2"/>
      <ns0:c r="E27" s="2"/>
    </ns0:row>
    <ns0:row r="28" customFormat="false" ht="15" hidden="false" customHeight="false" outlineLevel="0" collapsed="false">
      <ns0:c r="A28" s="2"/>
      <ns0:c r="B28" s="2"/>
      <ns0:c r="C28" s="2"/>
      <ns0:c r="D28" s="2"/>
      <ns0:c r="E28" s="2"/>
    </ns0:row>
    <ns0:row r="29" customFormat="false" ht="15" hidden="false" customHeight="false" outlineLevel="0" collapsed="false">
      <ns0:c r="A29" s="2"/>
      <ns0:c r="B29" s="2"/>
      <ns0:c r="C29" s="2"/>
      <ns0:c r="D29" s="2"/>
      <ns0:c r="E29" s="2"/>
    </ns0:row>
    <ns0:row r="30" customFormat="false" ht="15" hidden="false" customHeight="false" outlineLevel="0" collapsed="false">
      <ns0:c r="A30" s="2"/>
      <ns0:c r="B30" s="2"/>
      <ns0:c r="C30" s="2"/>
      <ns0:c r="D30" s="2"/>
      <ns0:c r="E30" s="2"/>
    </ns0:row>
    <ns0:row r="31" customFormat="false" ht="15" hidden="false" customHeight="false" outlineLevel="0" collapsed="false">
      <ns0:c r="A31" s="2"/>
      <ns0:c r="B31" s="2"/>
      <ns0:c r="C31" s="2"/>
      <ns0:c r="D31" s="2"/>
      <ns0:c r="E31" s="2"/>
    </ns0:row>
    <ns0:row r="32" customFormat="false" ht="15" hidden="false" customHeight="false" outlineLevel="0" collapsed="false">
      <ns0:c r="A32" s="2"/>
      <ns0:c r="B32" s="2"/>
      <ns0:c r="C32" s="2"/>
      <ns0:c r="D32" s="2"/>
      <ns0:c r="E32" s="2"/>
    </ns0:row>
    <ns0:row r="33" customFormat="false" ht="15" hidden="false" customHeight="false" outlineLevel="0" collapsed="false">
      <ns0:c r="A33" s="2"/>
      <ns0:c r="B33" s="2"/>
      <ns0:c r="C33" s="2"/>
      <ns0:c r="D33" s="2"/>
      <ns0:c r="E33" s="2"/>
    </ns0:row>
    <ns0:row r="34" customFormat="false" ht="15" hidden="false" customHeight="false" outlineLevel="0" collapsed="false">
      <ns0:c r="A34" s="2"/>
      <ns0:c r="B34" s="2"/>
      <ns0:c r="C34" s="2"/>
      <ns0:c r="D34" s="2"/>
      <ns0:c r="E34" s="2"/>
    </ns0:row>
    <ns0:row r="35" customFormat="false" ht="15" hidden="false" customHeight="false" outlineLevel="0" collapsed="false">
      <ns0:c r="A35" s="2"/>
      <ns0:c r="B35" s="2"/>
      <ns0:c r="C35" s="2"/>
      <ns0:c r="D35" s="2"/>
      <ns0:c r="E35" s="2"/>
    </ns0:row>
    <ns0:row r="36" customFormat="false" ht="15" hidden="false" customHeight="false" outlineLevel="0" collapsed="false">
      <ns0:c r="A36" s="2"/>
      <ns0:c r="B36" s="2"/>
      <ns0:c r="C36" s="2"/>
      <ns0:c r="D36" s="2"/>
      <ns0:c r="E36" s="2"/>
    </ns0:row>
    <ns0:row r="37" customFormat="false" ht="15" hidden="false" customHeight="false" outlineLevel="0" collapsed="false">
      <ns0:c r="A37" s="2"/>
      <ns0:c r="B37" s="2"/>
      <ns0:c r="C37" s="2"/>
      <ns0:c r="D37" s="2"/>
      <ns0:c r="E37" s="2"/>
    </ns0:row>
    <ns0:row r="38" customFormat="false" ht="15" hidden="false" customHeight="false" outlineLevel="0" collapsed="false">
      <ns0:c r="A38" s="2"/>
      <ns0:c r="B38" s="2"/>
      <ns0:c r="C38" s="2"/>
      <ns0:c r="D38" s="2"/>
      <ns0:c r="E38" s="2"/>
    </ns0:row>
    <ns0:row r="39" customFormat="false" ht="15" hidden="false" customHeight="false" outlineLevel="0" collapsed="false">
      <ns0:c r="A39" s="2"/>
      <ns0:c r="B39" s="2"/>
      <ns0:c r="C39" s="2"/>
      <ns0:c r="D39" s="2"/>
      <ns0:c r="E39" s="2"/>
    </ns0:row>
    <ns0:row r="40" customFormat="false" ht="15" hidden="false" customHeight="false" outlineLevel="0" collapsed="false">
      <ns0:c r="A40" s="2"/>
      <ns0:c r="B40" s="2"/>
      <ns0:c r="C40" s="2"/>
      <ns0:c r="D40" s="2"/>
      <ns0:c r="E40" s="2"/>
    </ns0:row>
    <ns0:row r="41" customFormat="false" ht="15" hidden="false" customHeight="false" outlineLevel="0" collapsed="false">
      <ns0:c r="A41" s="2"/>
      <ns0:c r="B41" s="2"/>
      <ns0:c r="C41" s="2"/>
      <ns0:c r="D41" s="2"/>
      <ns0:c r="E41" s="2"/>
    </ns0:row>
    <ns0:row r="42" customFormat="false" ht="15" hidden="false" customHeight="false" outlineLevel="0" collapsed="false">
      <ns0:c r="A42" s="2"/>
      <ns0:c r="B42" s="2"/>
      <ns0:c r="C42" s="2"/>
      <ns0:c r="D42" s="2"/>
      <ns0:c r="E42" s="2"/>
    </ns0:row>
    <ns0:row r="43" customFormat="false" ht="15" hidden="false" customHeight="false" outlineLevel="0" collapsed="false">
      <ns0:c r="A43" s="2"/>
      <ns0:c r="B43" s="2"/>
      <ns0:c r="C43" s="2"/>
      <ns0:c r="D43" s="2"/>
      <ns0:c r="E43" s="2"/>
    </ns0:row>
    <ns0:row r="44" customFormat="false" ht="15" hidden="false" customHeight="false" outlineLevel="0" collapsed="false">
      <ns0:c r="A44" s="2"/>
      <ns0:c r="B44" s="2"/>
      <ns0:c r="C44" s="2"/>
      <ns0:c r="D44" s="2"/>
      <ns0:c r="E44" s="2"/>
    </ns0:row>
    <ns0:row r="45" customFormat="false" ht="15" hidden="false" customHeight="false" outlineLevel="0" collapsed="false">
      <ns0:c r="A45" s="2"/>
      <ns0:c r="B45" s="2"/>
      <ns0:c r="C45" s="2"/>
      <ns0:c r="D45" s="2"/>
      <ns0:c r="E45" s="2"/>
    </ns0:row>
    <ns0:row r="46" customFormat="false" ht="15" hidden="false" customHeight="false" outlineLevel="0" collapsed="false">
      <ns0:c r="A46" s="2"/>
      <ns0:c r="B46" s="2"/>
      <ns0:c r="C46" s="2"/>
      <ns0:c r="D46" s="2"/>
      <ns0:c r="E46" s="2"/>
    </ns0:row>
    <ns0:row r="47" customFormat="false" ht="15" hidden="false" customHeight="false" outlineLevel="0" collapsed="false">
      <ns0:c r="A47" s="2"/>
      <ns0:c r="B47" s="2"/>
      <ns0:c r="C47" s="2"/>
      <ns0:c r="D47" s="2"/>
      <ns0:c r="E47" s="2"/>
    </ns0:row>
    <ns0:row r="48" customFormat="false" ht="15" hidden="false" customHeight="false" outlineLevel="0" collapsed="false">
      <ns0:c r="A48" s="2"/>
      <ns0:c r="B48" s="2"/>
      <ns0:c r="C48" s="2"/>
      <ns0:c r="D48" s="2"/>
      <ns0:c r="E48" s="2"/>
    </ns0:row>
    <ns0:row r="49" customFormat="false" ht="15" hidden="false" customHeight="false" outlineLevel="0" collapsed="false">
      <ns0:c r="A49" s="2"/>
      <ns0:c r="B49" s="2"/>
      <ns0:c r="C49" s="2"/>
      <ns0:c r="D49" s="2"/>
      <ns0:c r="E49" s="2"/>
    </ns0:row>
    <ns0:row r="50" customFormat="false" ht="15" hidden="false" customHeight="false" outlineLevel="0" collapsed="false">
      <ns0:c r="A50" s="2"/>
      <ns0:c r="B50" s="2"/>
      <ns0:c r="C50" s="2"/>
      <ns0:c r="D50" s="2"/>
      <ns0:c r="E50" s="2"/>
    </ns0:row>
    <ns0:row r="51" customFormat="false" ht="15" hidden="false" customHeight="false" outlineLevel="0" collapsed="false">
      <ns0:c r="A51" s="2"/>
      <ns0:c r="B51" s="2"/>
      <ns0:c r="C51" s="2"/>
      <ns0:c r="D51" s="2"/>
      <ns0:c r="E51" s="2"/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</ns0:row>
    <ns0:row r="53" customFormat="false" ht="15" hidden="false" customHeight="false" outlineLevel="0" collapsed="false">
      <ns0:c r="A53" s="2"/>
      <ns0:c r="B53" s="2"/>
      <ns0:c r="C53" s="2"/>
      <ns0:c r="D53" s="2"/>
      <ns0:c r="E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 filterMode="false">
    <ns0:pageSetUpPr fitToPage="1"/>
  </ns0:sheetPr>
  <ns0:dimension ref="A1:G9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21"/>
    <ns0:col collapsed="false" customWidth="true" hidden="false" outlineLevel="0" max="2" min="2" style="1" width="8"/>
    <ns0:col collapsed="false" customWidth="true" hidden="false" outlineLevel="0" max="3" min="3" style="1" width="15"/>
    <ns0:col collapsed="false" customWidth="true" hidden="false" outlineLevel="0" max="4" min="4" style="1" width="43"/>
    <ns0:col collapsed="false" customWidth="true" hidden="false" outlineLevel="0" max="5" min="5" style="1" width="19"/>
    <ns0:col collapsed="false" customWidth="true" hidden="false" outlineLevel="0" max="6" min="6" style="1" width="17"/>
    <ns0:col collapsed="false" customWidth="true" hidden="false" outlineLevel="0" max="7" min="7" style="1" width="19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  <ns0:c r="F1" s="2"/>
      <ns0:c r="G1" s="2"/>
    </ns0:row>
    <ns0:row r="2" customFormat="false" ht="17.35" hidden="false" customHeight="false" outlineLevel="0" collapsed="false">
      <ns0:c r="A2" s="3" t="s">
        <ns0:v>29</ns0:v>
      </ns0:c>
      <ns0:c r="B2" s="2"/>
      <ns0:c r="C2" s="2"/>
      <ns0:c r="D2" s="2"/>
      <ns0:c r="E2" s="2"/>
      <ns0:c r="F2" s="2"/>
      <ns0:c r="G2" s="2"/>
    </ns0:row>
    <ns0:row r="3" customFormat="false" ht="15" hidden="false" customHeight="false" outlineLevel="0" collapsed="false">
      <ns0:c r="A3" s="4" t="s">
        <ns0:v>1</ns0:v>
      </ns0:c>
      <ns0:c r="B3" s="2"/>
      <ns0:c r="C3" s="2"/>
      <ns0:c r="D3" s="2"/>
      <ns0:c r="E3" s="2"/>
      <ns0:c r="F3" s="2"/>
      <ns0:c r="G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  <ns0:c r="F4" s="2"/>
      <ns0:c r="G4" s="2"/>
    </ns0:row>
    <ns0:row r="5" customFormat="false" ht="35" hidden="false" customHeight="true" outlineLevel="0" collapsed="false">
      <ns0:c r="A5" s="5" t="s">
        <ns0:v>30</ns0:v>
      </ns0:c>
      <ns0:c r="B5" s="5" t="s">
        <ns0:v>2</ns0:v>
      </ns0:c>
      <ns0:c r="C5" s="5" t="s">
        <ns0:v>31</ns0:v>
      </ns0:c>
      <ns0:c r="D5" s="5" t="s">
        <ns0:v>32</ns0:v>
      </ns0:c>
      <ns0:c r="E5" s="5" t="s">
        <ns0:v>33</ns0:v>
      </ns0:c>
      <ns0:c r="F5" s="5" t="s">
        <ns0:v>34</ns0:v>
      </ns0:c>
      <ns0:c r="G5" s="5" t="s">
        <ns0:v>35</ns0:v>
      </ns0:c>
    </ns0:row>
    <ns0:row r="6" customFormat="false" ht="31" hidden="false" customHeight="true" outlineLevel="0" collapsed="false">
      <ns0:c r="A6" s="6" t="s">
        <ns0:v>36</ns0:v>
      </ns0:c>
      <ns0:c r="B6" s="6" t="s">
        <ns0:v>7</ns0:v>
      </ns0:c>
      <ns0:c r="C6" s="13" t="n">
        <ns0:v>46342</ns0:v>
      </ns0:c>
      <ns0:c r="D6" s="6" t="s">
        <ns0:v>37</ns0:v>
      </ns0:c>
      <ns0:c r="E6" s="7" t="n">
        <ns0:v>450000</ns0:v>
      </ns0:c>
      <ns0:c r="F6" s="7" t="n">
        <ns0:v>0</ns0:v>
      </ns0:c>
      <ns0:c r="G6" s="9" t="n">
        <ns0:f aca="false">SUM(E6:F6)</ns0:f>
        <ns0:v>450000</ns0:v>
      </ns0:c>
    </ns0:row>
    <ns0:row r="7" customFormat="false" ht="31" hidden="false" customHeight="true" outlineLevel="0" collapsed="false">
      <ns0:c r="A7" s="6" t="s">
        <ns0:v>38</ns0:v>
      </ns0:c>
      <ns0:c r="B7" s="6" t="s">
        <ns0:v>7</ns0:v>
      </ns0:c>
      <ns0:c r="C7" s="13" t="n">
        <ns0:v>46346</ns0:v>
      </ns0:c>
      <ns0:c r="D7" s="6" t="s">
        <ns0:v>39</ns0:v>
      </ns0:c>
      <ns0:c r="E7" s="7" t="n">
        <ns0:v>22500</ns0:v>
      </ns0:c>
      <ns0:c r="F7" s="7" t="n">
        <ns0:v>0</ns0:v>
      </ns0:c>
      <ns0:c r="G7" s="9" t="n">
        <ns0:f aca="false">SUM(E7:F7)</ns0:f>
        <ns0:v>22500</ns0:v>
      </ns0:c>
    </ns0:row>
    <ns0:row r="8" customFormat="false" ht="31" hidden="false" customHeight="true" outlineLevel="0" collapsed="false">
      <ns0:c r="A8" s="6" t="s">
        <ns0:v>40</ns0:v>
      </ns0:c>
      <ns0:c r="B8" s="6" t="s">
        <ns0:v>7</ns0:v>
      </ns0:c>
      <ns0:c r="C8" s="13" t="n">
        <ns0:v>46378</ns0:v>
      </ns0:c>
      <ns0:c r="D8" s="6" t="s">
        <ns0:v>41</ns0:v>
      </ns0:c>
      <ns0:c r="E8" s="7" t="n">
        <ns0:v>6598.5</ns0:v>
      </ns0:c>
      <ns0:c r="F8" s="7" t="n">
        <ns0:v>1252.01</ns0:v>
      </ns0:c>
      <ns0:c r="G8" s="9" t="n">
        <ns0:f aca="false">SUM(E8:F8)</ns0:f>
        <ns0:v>7850.51</ns0:v>
      </ns0:c>
    </ns0:row>
    <ns0:row r="9" customFormat="false" ht="31" hidden="false" customHeight="true" outlineLevel="0" collapsed="false">
      <ns0:c r="A9" s="6" t="s">
        <ns0:v>42</ns0:v>
      </ns0:c>
      <ns0:c r="B9" s="6" t="s">
        <ns0:v>7</ns0:v>
      </ns0:c>
      <ns0:c r="C9" s="13" t="n">
        <ns0:v>46379</ns0:v>
      </ns0:c>
      <ns0:c r="D9" s="6" t="s">
        <ns0:v>43</ns0:v>
      </ns0:c>
      <ns0:c r="E9" s="7" t="n">
        <ns0:v>4047.5</ns0:v>
      </ns0:c>
      <ns0:c r="F9" s="7" t="n">
        <ns0:v>0</ns0:v>
      </ns0:c>
      <ns0:c r="G9" s="9" t="n">
        <ns0:f aca="false">SUM(E9:F9)</ns0:f>
        <ns0:v>4047.5</ns0:v>
      </ns0:c>
    </ns0:row>
    <ns0:row r="10" customFormat="false" ht="31" hidden="false" customHeight="true" outlineLevel="0" collapsed="false">
      <ns0:c r="A10" s="6" t="s">
        <ns0:v>44</ns0:v>
      </ns0:c>
      <ns0:c r="B10" s="6" t="s">
        <ns0:v>7</ns0:v>
      </ns0:c>
      <ns0:c r="C10" s="13" t="n">
        <ns0:v>46330</ns0:v>
      </ns0:c>
      <ns0:c r="D10" s="6" t="s">
        <ns0:v>45</ns0:v>
      </ns0:c>
      <ns0:c r="E10" s="7" t="n">
        <ns0:v>13500</ns0:v>
      </ns0:c>
      <ns0:c r="F10" s="7" t="n">
        <ns0:v>2565</ns0:v>
      </ns0:c>
      <ns0:c r="G10" s="9" t="n">
        <ns0:f aca="false">SUM(E10:F10)</ns0:f>
        <ns0:v>16065</ns0:v>
      </ns0:c>
    </ns0:row>
    <ns0:row r="11" customFormat="false" ht="31" hidden="false" customHeight="true" outlineLevel="0" collapsed="false">
      <ns0:c r="A11" s="6" t="s">
        <ns0:v>46</ns0:v>
      </ns0:c>
      <ns0:c r="B11" s="6" t="s">
        <ns0:v>17</ns0:v>
      </ns0:c>
      <ns0:c r="C11" s="13" t="n">
        <ns0:v>46651</ns0:v>
      </ns0:c>
      <ns0:c r="D11" s="6" t="s">
        <ns0:v>47</ns0:v>
      </ns0:c>
      <ns0:c r="E11" s="7" t="n">
        <ns0:v>4957.4</ns0:v>
      </ns0:c>
      <ns0:c r="F11" s="7" t="n">
        <ns0:v>0</ns0:v>
      </ns0:c>
      <ns0:c r="G11" s="9" t="n">
        <ns0:f aca="false">SUM(E11:F11)</ns0:f>
        <ns0:v>4957.4</ns0:v>
      </ns0:c>
    </ns0:row>
    <ns0:row r="12" customFormat="false" ht="31" hidden="false" customHeight="true" outlineLevel="0" collapsed="false">
      <ns0:c r="A12" s="6" t="s">
        <ns0:v>48</ns0:v>
      </ns0:c>
      <ns0:c r="B12" s="6" t="s">
        <ns0:v>17</ns0:v>
      </ns0:c>
      <ns0:c r="C12" s="13" t="n">
        <ns0:v>46713</ns0:v>
      </ns0:c>
      <ns0:c r="D12" s="6" t="s">
        <ns0:v>49</ns0:v>
      </ns0:c>
      <ns0:c r="E12" s="7" t="n">
        <ns0:v>9000</ns0:v>
      </ns0:c>
      <ns0:c r="F12" s="7" t="n">
        <ns0:v>0</ns0:v>
      </ns0:c>
      <ns0:c r="G12" s="9" t="n">
        <ns0:f aca="false">SUM(E12:F12)</ns0:f>
        <ns0:v>9000</ns0:v>
      </ns0:c>
    </ns0:row>
    <ns0:row r="13" customFormat="false" ht="31" hidden="false" customHeight="true" outlineLevel="0" collapsed="false">
      <ns0:c r="A13" s="6" t="s">
        <ns0:v>50</ns0:v>
      </ns0:c>
      <ns0:c r="B13" s="6" t="s">
        <ns0:v>19</ns0:v>
      </ns0:c>
      <ns0:c r="C13" s="13" t="n">
        <ns0:v>46389</ns0:v>
      </ns0:c>
      <ns0:c r="D13" s="6" t="s">
        <ns0:v>51</ns0:v>
      </ns0:c>
      <ns0:c r="E13" s="7" t="n">
        <ns0:v>10000</ns0:v>
      </ns0:c>
      <ns0:c r="F13" s="7" t="n">
        <ns0:v>0</ns0:v>
      </ns0:c>
      <ns0:c r="G13" s="9" t="n">
        <ns0:f aca="false">SUM(E13:F13)</ns0:f>
        <ns0:v>10000</ns0:v>
      </ns0:c>
    </ns0:row>
    <ns0:row r="14" customFormat="false" ht="31" hidden="false" customHeight="true" outlineLevel="0" collapsed="false">
      <ns0:c r="A14" s="6" t="s">
        <ns0:v>52</ns0:v>
      </ns0:c>
      <ns0:c r="B14" s="6" t="s">
        <ns0:v>19</ns0:v>
      </ns0:c>
      <ns0:c r="C14" s="13" t="n">
        <ns0:v>46752</ns0:v>
      </ns0:c>
      <ns0:c r="D14" s="6" t="s">
        <ns0:v>53</ns0:v>
      </ns0:c>
      <ns0:c r="E14" s="7" t="n">
        <ns0:v>28800</ns0:v>
      </ns0:c>
      <ns0:c r="F14" s="7" t="n">
        <ns0:v>0</ns0:v>
      </ns0:c>
      <ns0:c r="G14" s="9" t="n">
        <ns0:f aca="false">SUM(E14:F14)</ns0:f>
        <ns0:v>28800</ns0:v>
      </ns0:c>
    </ns0:row>
    <ns0:row r="15" customFormat="false" ht="31" hidden="false" customHeight="true" outlineLevel="0" collapsed="false">
      <ns0:c r="A15" s="6" t="s">
        <ns0:v>54</ns0:v>
      </ns0:c>
      <ns0:c r="B15" s="6" t="s">
        <ns0:v>19</ns0:v>
      </ns0:c>
      <ns0:c r="C15" s="13" t="n">
        <ns0:v>47118</ns0:v>
      </ns0:c>
      <ns0:c r="D15" s="6" t="s">
        <ns0:v>55</ns0:v>
      </ns0:c>
      <ns0:c r="E15" s="7" t="n">
        <ns0:v>51200</ns0:v>
      </ns0:c>
      <ns0:c r="F15" s="7" t="n">
        <ns0:v>0</ns0:v>
      </ns0:c>
      <ns0:c r="G15" s="9" t="n">
        <ns0:f aca="false">SUM(E15:F15)</ns0:f>
        <ns0:v>51200</ns0:v>
      </ns0:c>
    </ns0:row>
    <ns0:row r="16" customFormat="false" ht="31" hidden="false" customHeight="true" outlineLevel="0" collapsed="false">
      <ns0:c r="A16" s="6" t="s">
        <ns0:v>56</ns0:v>
      </ns0:c>
      <ns0:c r="B16" s="6" t="s">
        <ns0:v>17</ns0:v>
      </ns0:c>
      <ns0:c r="C16" s="13" t="n">
        <ns0:v>46654</ns0:v>
      </ns0:c>
      <ns0:c r="D16" s="6" t="s">
        <ns0:v>57</ns0:v>
      </ns0:c>
      <ns0:c r="E16" s="7" t="n">
        <ns0:v>39150</ns0:v>
      </ns0:c>
      <ns0:c r="F16" s="7" t="n">
        <ns0:v>7438.5</ns0:v>
      </ns0:c>
      <ns0:c r="G16" s="9" t="n">
        <ns0:f aca="false">SUM(E16:F16)</ns0:f>
        <ns0:v>46588.5</ns0:v>
      </ns0:c>
    </ns0:row>
    <ns0:row r="17" customFormat="false" ht="31" hidden="false" customHeight="true" outlineLevel="0" collapsed="false">
      <ns0:c r="A17" s="6" t="s">
        <ns0:v>58</ns0:v>
      </ns0:c>
      <ns0:c r="B17" s="6" t="s">
        <ns0:v>17</ns0:v>
      </ns0:c>
      <ns0:c r="C17" s="13" t="n">
        <ns0:v>46717</ns0:v>
      </ns0:c>
      <ns0:c r="D17" s="6" t="s">
        <ns0:v>59</ns0:v>
      </ns0:c>
      <ns0:c r="E17" s="7" t="n">
        <ns0:v>56550</ns0:v>
      </ns0:c>
      <ns0:c r="F17" s="7" t="n">
        <ns0:v>10744.5</ns0:v>
      </ns0:c>
      <ns0:c r="G17" s="9" t="n">
        <ns0:f aca="false">SUM(E17:F17)</ns0:f>
        <ns0:v>67294.5</ns0:v>
      </ns0:c>
    </ns0:row>
    <ns0:row r="18" customFormat="false" ht="31" hidden="false" customHeight="true" outlineLevel="0" collapsed="false">
      <ns0:c r="A18" s="6" t="s">
        <ns0:v>60</ns0:v>
      </ns0:c>
      <ns0:c r="B18" s="6" t="s">
        <ns0:v>17</ns0:v>
      </ns0:c>
      <ns0:c r="C18" s="13" t="n">
        <ns0:v>47046</ns0:v>
      </ns0:c>
      <ns0:c r="D18" s="6" t="s">
        <ns0:v>61</ns0:v>
      </ns0:c>
      <ns0:c r="E18" s="7" t="n">
        <ns0:v>46400</ns0:v>
      </ns0:c>
      <ns0:c r="F18" s="7" t="n">
        <ns0:v>8816</ns0:v>
      </ns0:c>
      <ns0:c r="G18" s="9" t="n">
        <ns0:f aca="false">SUM(E18:F18)</ns0:f>
        <ns0:v>55216</ns0:v>
      </ns0:c>
    </ns0:row>
    <ns0:row r="19" customFormat="false" ht="31" hidden="false" customHeight="true" outlineLevel="0" collapsed="false">
      <ns0:c r="A19" s="6" t="s">
        <ns0:v>62</ns0:v>
      </ns0:c>
      <ns0:c r="B19" s="6" t="s">
        <ns0:v>17</ns0:v>
      </ns0:c>
      <ns0:c r="C19" s="13" t="n">
        <ns0:v>48848</ns0:v>
      </ns0:c>
      <ns0:c r="D19" s="6" t="s">
        <ns0:v>63</ns0:v>
      </ns0:c>
      <ns0:c r="E19" s="7" t="n">
        <ns0:v>2900</ns0:v>
      </ns0:c>
      <ns0:c r="F19" s="7" t="n">
        <ns0:v>551</ns0:v>
      </ns0:c>
      <ns0:c r="G19" s="9" t="n">
        <ns0:f aca="false">SUM(E19:F19)</ns0:f>
        <ns0:v>3451</ns0:v>
      </ns0:c>
    </ns0:row>
    <ns0:row r="20" customFormat="false" ht="31" hidden="false" customHeight="true" outlineLevel="0" collapsed="false">
      <ns0:c r="A20" s="6" t="s">
        <ns0:v>64</ns0:v>
      </ns0:c>
      <ns0:c r="B20" s="6" t="s">
        <ns0:v>17</ns0:v>
      </ns0:c>
      <ns0:c r="C20" s="13" t="n">
        <ns0:v>46657</ns0:v>
      </ns0:c>
      <ns0:c r="D20" s="6" t="s">
        <ns0:v>65</ns0:v>
      </ns0:c>
      <ns0:c r="E20" s="7" t="n">
        <ns0:v>30000</ns0:v>
      </ns0:c>
      <ns0:c r="F20" s="7" t="n">
        <ns0:v>5700</ns0:v>
      </ns0:c>
      <ns0:c r="G20" s="9" t="n">
        <ns0:f aca="false">SUM(E20:F20)</ns0:f>
        <ns0:v>35700</ns0:v>
      </ns0:c>
    </ns0:row>
    <ns0:row r="21" customFormat="false" ht="31" hidden="false" customHeight="true" outlineLevel="0" collapsed="false">
      <ns0:c r="A21" s="6" t="s">
        <ns0:v>66</ns0:v>
      </ns0:c>
      <ns0:c r="B21" s="6" t="s">
        <ns0:v>17</ns0:v>
      </ns0:c>
      <ns0:c r="C21" s="13" t="n">
        <ns0:v>47048</ns0:v>
      </ns0:c>
      <ns0:c r="D21" s="6" t="s">
        <ns0:v>67</ns0:v>
      </ns0:c>
      <ns0:c r="E21" s="7" t="n">
        <ns0:v>35000</ns0:v>
      </ns0:c>
      <ns0:c r="F21" s="7" t="n">
        <ns0:v>6650</ns0:v>
      </ns0:c>
      <ns0:c r="G21" s="9" t="n">
        <ns0:f aca="false">SUM(E21:F21)</ns0:f>
        <ns0:v>41650</ns0:v>
      </ns0:c>
    </ns0:row>
    <ns0:row r="22" customFormat="false" ht="31" hidden="false" customHeight="true" outlineLevel="0" collapsed="false">
      <ns0:c r="A22" s="6" t="s">
        <ns0:v>68</ns0:v>
      </ns0:c>
      <ns0:c r="B22" s="6" t="s">
        <ns0:v>17</ns0:v>
      </ns0:c>
      <ns0:c r="C22" s="13" t="n">
        <ns0:v>47018</ns0:v>
      </ns0:c>
      <ns0:c r="D22" s="6" t="s">
        <ns0:v>69</ns0:v>
      </ns0:c>
      <ns0:c r="E22" s="7" t="n">
        <ns0:v>40000</ns0:v>
      </ns0:c>
      <ns0:c r="F22" s="7" t="n">
        <ns0:v>7600</ns0:v>
      </ns0:c>
      <ns0:c r="G22" s="9" t="n">
        <ns0:f aca="false">SUM(E22:F22)</ns0:f>
        <ns0:v>47600</ns0:v>
      </ns0:c>
    </ns0:row>
    <ns0:row r="23" customFormat="false" ht="31" hidden="false" customHeight="true" outlineLevel="0" collapsed="false">
      <ns0:c r="A23" s="6" t="s">
        <ns0:v>70</ns0:v>
      </ns0:c>
      <ns0:c r="B23" s="6" t="s">
        <ns0:v>17</ns0:v>
      </ns0:c>
      <ns0:c r="C23" s="13" t="n">
        <ns0:v>47020</ns0:v>
      </ns0:c>
      <ns0:c r="D23" s="6" t="s">
        <ns0:v>71</ns0:v>
      </ns0:c>
      <ns0:c r="E23" s="7" t="n">
        <ns0:v>15000</ns0:v>
      </ns0:c>
      <ns0:c r="F23" s="7" t="n">
        <ns0:v>2850</ns0:v>
      </ns0:c>
      <ns0:c r="G23" s="9" t="n">
        <ns0:f aca="false">SUM(E23:F23)</ns0:f>
        <ns0:v>17850</ns0:v>
      </ns0:c>
    </ns0:row>
    <ns0:row r="24" customFormat="false" ht="31" hidden="false" customHeight="true" outlineLevel="0" collapsed="false">
      <ns0:c r="A24" s="6" t="s">
        <ns0:v>72</ns0:v>
      </ns0:c>
      <ns0:c r="B24" s="6" t="s">
        <ns0:v>17</ns0:v>
      </ns0:c>
      <ns0:c r="C24" s="13" t="n">
        <ns0:v>46405</ns0:v>
      </ns0:c>
      <ns0:c r="D24" s="6" t="s">
        <ns0:v>73</ns0:v>
      </ns0:c>
      <ns0:c r="E24" s="7" t="n">
        <ns0:v>12000</ns0:v>
      </ns0:c>
      <ns0:c r="F24" s="7" t="n">
        <ns0:v>2280</ns0:v>
      </ns0:c>
      <ns0:c r="G24" s="9" t="n">
        <ns0:f aca="false">SUM(E24:F24)</ns0:f>
        <ns0:v>14280</ns0:v>
      </ns0:c>
    </ns0:row>
    <ns0:row r="25" customFormat="false" ht="31" hidden="false" customHeight="true" outlineLevel="0" collapsed="false">
      <ns0:c r="A25" s="6" t="s">
        <ns0:v>74</ns0:v>
      </ns0:c>
      <ns0:c r="B25" s="6" t="s">
        <ns0:v>17</ns0:v>
      </ns0:c>
      <ns0:c r="C25" s="13" t="n">
        <ns0:v>47021</ns0:v>
      </ns0:c>
      <ns0:c r="D25" s="6" t="s">
        <ns0:v>75</ns0:v>
      </ns0:c>
      <ns0:c r="E25" s="7" t="n">
        <ns0:v>10000</ns0:v>
      </ns0:c>
      <ns0:c r="F25" s="7" t="n">
        <ns0:v>1900</ns0:v>
      </ns0:c>
      <ns0:c r="G25" s="9" t="n">
        <ns0:f aca="false">SUM(E25:F25)</ns0:f>
        <ns0:v>11900</ns0:v>
      </ns0:c>
    </ns0:row>
    <ns0:row r="26" customFormat="false" ht="31" hidden="false" customHeight="true" outlineLevel="0" collapsed="false">
      <ns0:c r="A26" s="6" t="s">
        <ns0:v>76</ns0:v>
      </ns0:c>
      <ns0:c r="B26" s="6" t="s">
        <ns0:v>17</ns0:v>
      </ns0:c>
      <ns0:c r="C26" s="13" t="n">
        <ns0:v>47021</ns0:v>
      </ns0:c>
      <ns0:c r="D26" s="6" t="s">
        <ns0:v>77</ns0:v>
      </ns0:c>
      <ns0:c r="E26" s="7" t="n">
        <ns0:v>8000</ns0:v>
      </ns0:c>
      <ns0:c r="F26" s="7" t="n">
        <ns0:v>1520</ns0:v>
      </ns0:c>
      <ns0:c r="G26" s="9" t="n">
        <ns0:f aca="false">SUM(E26:F26)</ns0:f>
        <ns0:v>9520</ns0:v>
      </ns0:c>
    </ns0:row>
    <ns0:row r="27" customFormat="false" ht="31" hidden="false" customHeight="true" outlineLevel="0" collapsed="false">
      <ns0:c r="A27" s="6" t="s">
        <ns0:v>78</ns0:v>
      </ns0:c>
      <ns0:c r="B27" s="6" t="s">
        <ns0:v>11</ns0:v>
      </ns0:c>
      <ns0:c r="C27" s="13" t="n">
        <ns0:v>46798</ns0:v>
      </ns0:c>
      <ns0:c r="D27" s="6" t="s">
        <ns0:v>79</ns0:v>
      </ns0:c>
      <ns0:c r="E27" s="7" t="n">
        <ns0:v>200000</ns0:v>
      </ns0:c>
      <ns0:c r="F27" s="7" t="n">
        <ns0:v>38000</ns0:v>
      </ns0:c>
      <ns0:c r="G27" s="9" t="n">
        <ns0:f aca="false">SUM(E27:F27)</ns0:f>
        <ns0:v>238000</ns0:v>
      </ns0:c>
    </ns0:row>
    <ns0:row r="28" customFormat="false" ht="31" hidden="false" customHeight="true" outlineLevel="0" collapsed="false">
      <ns0:c r="A28" s="6" t="s">
        <ns0:v>80</ns0:v>
      </ns0:c>
      <ns0:c r="B28" s="6" t="s">
        <ns0:v>11</ns0:v>
      </ns0:c>
      <ns0:c r="C28" s="13" t="n">
        <ns0:v>46858</ns0:v>
      </ns0:c>
      <ns0:c r="D28" s="6" t="s">
        <ns0:v>81</ns0:v>
      </ns0:c>
      <ns0:c r="E28" s="7" t="n">
        <ns0:v>300000</ns0:v>
      </ns0:c>
      <ns0:c r="F28" s="7" t="n">
        <ns0:v>57000</ns0:v>
      </ns0:c>
      <ns0:c r="G28" s="9" t="n">
        <ns0:f aca="false">SUM(E28:F28)</ns0:f>
        <ns0:v>357000</ns0:v>
      </ns0:c>
    </ns0:row>
    <ns0:row r="29" customFormat="false" ht="31" hidden="false" customHeight="true" outlineLevel="0" collapsed="false">
      <ns0:c r="A29" s="6" t="s">
        <ns0:v>82</ns0:v>
      </ns0:c>
      <ns0:c r="B29" s="6" t="s">
        <ns0:v>11</ns0:v>
      </ns0:c>
      <ns0:c r="C29" s="13" t="n">
        <ns0:v>47026</ns0:v>
      </ns0:c>
      <ns0:c r="D29" s="6" t="s">
        <ns0:v>83</ns0:v>
      </ns0:c>
      <ns0:c r="E29" s="7" t="n">
        <ns0:v>150000</ns0:v>
      </ns0:c>
      <ns0:c r="F29" s="7" t="n">
        <ns0:v>28500</ns0:v>
      </ns0:c>
      <ns0:c r="G29" s="9" t="n">
        <ns0:f aca="false">SUM(E29:F29)</ns0:f>
        <ns0:v>178500</ns0:v>
      </ns0:c>
    </ns0:row>
    <ns0:row r="30" customFormat="false" ht="31" hidden="false" customHeight="true" outlineLevel="0" collapsed="false">
      <ns0:c r="A30" s="6" t="s">
        <ns0:v>84</ns0:v>
      </ns0:c>
      <ns0:c r="B30" s="6" t="s">
        <ns0:v>11</ns0:v>
      </ns0:c>
      <ns0:c r="C30" s="13" t="n">
        <ns0:v>46888</ns0:v>
      </ns0:c>
      <ns0:c r="D30" s="6" t="s">
        <ns0:v>85</ns0:v>
      </ns0:c>
      <ns0:c r="E30" s="7" t="n">
        <ns0:v>220000</ns0:v>
      </ns0:c>
      <ns0:c r="F30" s="7" t="n">
        <ns0:v>41800</ns0:v>
      </ns0:c>
      <ns0:c r="G30" s="9" t="n">
        <ns0:f aca="false">SUM(E30:F30)</ns0:f>
        <ns0:v>261800</ns0:v>
      </ns0:c>
    </ns0:row>
    <ns0:row r="31" customFormat="false" ht="31" hidden="false" customHeight="true" outlineLevel="0" collapsed="false">
      <ns0:c r="A31" s="6" t="s">
        <ns0:v>86</ns0:v>
      </ns0:c>
      <ns0:c r="B31" s="6" t="s">
        <ns0:v>11</ns0:v>
      </ns0:c>
      <ns0:c r="C31" s="13" t="n">
        <ns0:v>47026</ns0:v>
      </ns0:c>
      <ns0:c r="D31" s="6" t="s">
        <ns0:v>87</ns0:v>
      </ns0:c>
      <ns0:c r="E31" s="7" t="n">
        <ns0:v>220000</ns0:v>
      </ns0:c>
      <ns0:c r="F31" s="7" t="n">
        <ns0:v>41800</ns0:v>
      </ns0:c>
      <ns0:c r="G31" s="9" t="n">
        <ns0:f aca="false">SUM(E31:F31)</ns0:f>
        <ns0:v>261800</ns0:v>
      </ns0:c>
    </ns0:row>
    <ns0:row r="32" customFormat="false" ht="31" hidden="false" customHeight="true" outlineLevel="0" collapsed="false">
      <ns0:c r="A32" s="6" t="s">
        <ns0:v>88</ns0:v>
      </ns0:c>
      <ns0:c r="B32" s="6" t="s">
        <ns0:v>13</ns0:v>
      </ns0:c>
      <ns0:c r="C32" s="13" t="n">
        <ns0:v>46919</ns0:v>
      </ns0:c>
      <ns0:c r="D32" s="6" t="s">
        <ns0:v>89</ns0:v>
      </ns0:c>
      <ns0:c r="E32" s="7" t="n">
        <ns0:v>180000</ns0:v>
      </ns0:c>
      <ns0:c r="F32" s="7" t="n">
        <ns0:v>34200</ns0:v>
      </ns0:c>
      <ns0:c r="G32" s="9" t="n">
        <ns0:f aca="false">SUM(E32:F32)</ns0:f>
        <ns0:v>214200</ns0:v>
      </ns0:c>
    </ns0:row>
    <ns0:row r="33" customFormat="false" ht="31" hidden="false" customHeight="true" outlineLevel="0" collapsed="false">
      <ns0:c r="A33" s="6" t="s">
        <ns0:v>90</ns0:v>
      </ns0:c>
      <ns0:c r="B33" s="6" t="s">
        <ns0:v>13</ns0:v>
      </ns0:c>
      <ns0:c r="C33" s="13" t="n">
        <ns0:v>47026</ns0:v>
      </ns0:c>
      <ns0:c r="D33" s="6" t="s">
        <ns0:v>91</ns0:v>
      </ns0:c>
      <ns0:c r="E33" s="7" t="n">
        <ns0:v>180000</ns0:v>
      </ns0:c>
      <ns0:c r="F33" s="7" t="n">
        <ns0:v>34200</ns0:v>
      </ns0:c>
      <ns0:c r="G33" s="9" t="n">
        <ns0:f aca="false">SUM(E33:F33)</ns0:f>
        <ns0:v>214200</ns0:v>
      </ns0:c>
    </ns0:row>
    <ns0:row r="34" customFormat="false" ht="31" hidden="false" customHeight="true" outlineLevel="0" collapsed="false">
      <ns0:c r="A34" s="6" t="s">
        <ns0:v>92</ns0:v>
      </ns0:c>
      <ns0:c r="B34" s="6" t="s">
        <ns0:v>13</ns0:v>
      </ns0:c>
      <ns0:c r="C34" s="13" t="n">
        <ns0:v>46905</ns0:v>
      </ns0:c>
      <ns0:c r="D34" s="6" t="s">
        <ns0:v>93</ns0:v>
      </ns0:c>
      <ns0:c r="E34" s="7" t="n">
        <ns0:v>75000</ns0:v>
      </ns0:c>
      <ns0:c r="F34" s="7" t="n">
        <ns0:v>14250</ns0:v>
      </ns0:c>
      <ns0:c r="G34" s="9" t="n">
        <ns0:f aca="false">SUM(E34:F34)</ns0:f>
        <ns0:v>89250</ns0:v>
      </ns0:c>
    </ns0:row>
    <ns0:row r="35" customFormat="false" ht="31" hidden="false" customHeight="true" outlineLevel="0" collapsed="false">
      <ns0:c r="A35" s="6" t="s">
        <ns0:v>94</ns0:v>
      </ns0:c>
      <ns0:c r="B35" s="6" t="s">
        <ns0:v>13</ns0:v>
      </ns0:c>
      <ns0:c r="C35" s="13" t="n">
        <ns0:v>47026</ns0:v>
      </ns0:c>
      <ns0:c r="D35" s="6" t="s">
        <ns0:v>95</ns0:v>
      </ns0:c>
      <ns0:c r="E35" s="7" t="n">
        <ns0:v>30000</ns0:v>
      </ns0:c>
      <ns0:c r="F35" s="7" t="n">
        <ns0:v>5700</ns0:v>
      </ns0:c>
      <ns0:c r="G35" s="9" t="n">
        <ns0:f aca="false">SUM(E35:F35)</ns0:f>
        <ns0:v>35700</ns0:v>
      </ns0:c>
    </ns0:row>
    <ns0:row r="36" customFormat="false" ht="31" hidden="false" customHeight="true" outlineLevel="0" collapsed="false">
      <ns0:c r="A36" s="6" t="s">
        <ns0:v>96</ns0:v>
      </ns0:c>
      <ns0:c r="B36" s="6" t="s">
        <ns0:v>11</ns0:v>
      </ns0:c>
      <ns0:c r="C36" s="13" t="n">
        <ns0:v>46949</ns0:v>
      </ns0:c>
      <ns0:c r="D36" s="6" t="s">
        <ns0:v>97</ns0:v>
      </ns0:c>
      <ns0:c r="E36" s="7" t="n">
        <ns0:v>150000</ns0:v>
      </ns0:c>
      <ns0:c r="F36" s="7" t="n">
        <ns0:v>28500</ns0:v>
      </ns0:c>
      <ns0:c r="G36" s="9" t="n">
        <ns0:f aca="false">SUM(E36:F36)</ns0:f>
        <ns0:v>178500</ns0:v>
      </ns0:c>
    </ns0:row>
    <ns0:row r="37" customFormat="false" ht="31" hidden="false" customHeight="true" outlineLevel="0" collapsed="false">
      <ns0:c r="A37" s="6" t="s">
        <ns0:v>98</ns0:v>
      </ns0:c>
      <ns0:c r="B37" s="6" t="s">
        <ns0:v>11</ns0:v>
      </ns0:c>
      <ns0:c r="C37" s="13" t="n">
        <ns0:v>47026</ns0:v>
      </ns0:c>
      <ns0:c r="D37" s="6" t="s">
        <ns0:v>99</ns0:v>
      </ns0:c>
      <ns0:c r="E37" s="7" t="n">
        <ns0:v>150000</ns0:v>
      </ns0:c>
      <ns0:c r="F37" s="7" t="n">
        <ns0:v>28500</ns0:v>
      </ns0:c>
      <ns0:c r="G37" s="9" t="n">
        <ns0:f aca="false">SUM(E37:F37)</ns0:f>
        <ns0:v>178500</ns0:v>
      </ns0:c>
    </ns0:row>
    <ns0:row r="38" customFormat="false" ht="31" hidden="false" customHeight="true" outlineLevel="0" collapsed="false">
      <ns0:c r="A38" s="6" t="s">
        <ns0:v>100</ns0:v>
      </ns0:c>
      <ns0:c r="B38" s="6" t="s">
        <ns0:v>13</ns0:v>
      </ns0:c>
      <ns0:c r="C38" s="13" t="n">
        <ns0:v>47026</ns0:v>
      </ns0:c>
      <ns0:c r="D38" s="6" t="s">
        <ns0:v>101</ns0:v>
      </ns0:c>
      <ns0:c r="E38" s="7" t="n">
        <ns0:v>60000</ns0:v>
      </ns0:c>
      <ns0:c r="F38" s="7" t="n">
        <ns0:v>11400</ns0:v>
      </ns0:c>
      <ns0:c r="G38" s="9" t="n">
        <ns0:f aca="false">SUM(E38:F38)</ns0:f>
        <ns0:v>71400</ns0:v>
      </ns0:c>
    </ns0:row>
    <ns0:row r="39" customFormat="false" ht="31" hidden="false" customHeight="true" outlineLevel="0" collapsed="false">
      <ns0:c r="A39" s="6" t="s">
        <ns0:v>102</ns0:v>
      </ns0:c>
      <ns0:c r="B39" s="6" t="s">
        <ns0:v>15</ns0:v>
      </ns0:c>
      <ns0:c r="C39" s="13" t="n">
        <ns0:v>47072</ns0:v>
      </ns0:c>
      <ns0:c r="D39" s="6" t="s">
        <ns0:v>103</ns0:v>
      </ns0:c>
      <ns0:c r="E39" s="7" t="n">
        <ns0:v>120000</ns0:v>
      </ns0:c>
      <ns0:c r="F39" s="7" t="n">
        <ns0:v>22800</ns0:v>
      </ns0:c>
      <ns0:c r="G39" s="9" t="n">
        <ns0:f aca="false">SUM(E39:F39)</ns0:f>
        <ns0:v>142800</ns0:v>
      </ns0:c>
    </ns0:row>
    <ns0:row r="40" customFormat="false" ht="31" hidden="false" customHeight="true" outlineLevel="0" collapsed="false">
      <ns0:c r="A40" s="6" t="s">
        <ns0:v>104</ns0:v>
      </ns0:c>
      <ns0:c r="B40" s="6" t="s">
        <ns0:v>9</ns0:v>
      </ns0:c>
      <ns0:c r="C40" s="13" t="n">
        <ns0:v>46985</ns0:v>
      </ns0:c>
      <ns0:c r="D40" s="6" t="s">
        <ns0:v>10</ns0:v>
      </ns0:c>
      <ns0:c r="E40" s="7" t="n">
        <ns0:v>35000</ns0:v>
      </ns0:c>
      <ns0:c r="F40" s="7" t="n">
        <ns0:v>6650</ns0:v>
      </ns0:c>
      <ns0:c r="G40" s="9" t="n">
        <ns0:f aca="false">SUM(E40:F40)</ns0:f>
        <ns0:v>41650</ns0:v>
      </ns0:c>
    </ns0:row>
    <ns0:row r="41" customFormat="false" ht="31" hidden="false" customHeight="true" outlineLevel="0" collapsed="false">
      <ns0:c r="A41" s="6" t="s">
        <ns0:v>105</ns0:v>
      </ns0:c>
      <ns0:c r="B41" s="6" t="s">
        <ns0:v>11</ns0:v>
      </ns0:c>
      <ns0:c r="C41" s="13" t="n">
        <ns0:v>46817</ns0:v>
      </ns0:c>
      <ns0:c r="D41" s="6" t="s">
        <ns0:v>106</ns0:v>
      </ns0:c>
      <ns0:c r="E41" s="7" t="n">
        <ns0:v>18000</ns0:v>
      </ns0:c>
      <ns0:c r="F41" s="7" t="n">
        <ns0:v>3420</ns0:v>
      </ns0:c>
      <ns0:c r="G41" s="9" t="n">
        <ns0:f aca="false">SUM(E41:F41)</ns0:f>
        <ns0:v>21420</ns0:v>
      </ns0:c>
    </ns0:row>
    <ns0:row r="42" customFormat="false" ht="31" hidden="false" customHeight="true" outlineLevel="0" collapsed="false">
      <ns0:c r="A42" s="6" t="s">
        <ns0:v>107</ns0:v>
      </ns0:c>
      <ns0:c r="B42" s="6" t="s">
        <ns0:v>11</ns0:v>
      </ns0:c>
      <ns0:c r="C42" s="13" t="n">
        <ns0:v>47041</ns0:v>
      </ns0:c>
      <ns0:c r="D42" s="6" t="s">
        <ns0:v>108</ns0:v>
      </ns0:c>
      <ns0:c r="E42" s="7" t="n">
        <ns0:v>-2500</ns0:v>
      </ns0:c>
      <ns0:c r="F42" s="7" t="n">
        <ns0:v>-475</ns0:v>
      </ns0:c>
      <ns0:c r="G42" s="9" t="n">
        <ns0:f aca="false">SUM(E42:F42)</ns0:f>
        <ns0:v>-2975</ns0:v>
      </ns0:c>
    </ns0:row>
    <ns0:row r="43" customFormat="false" ht="31" hidden="false" customHeight="true" outlineLevel="0" collapsed="false">
      <ns0:c r="A43" s="6" t="s">
        <ns0:v>109</ns0:v>
      </ns0:c>
      <ns0:c r="B43" s="6" t="s">
        <ns0:v>13</ns0:v>
      </ns0:c>
      <ns0:c r="C43" s="13" t="n">
        <ns0:v>47026</ns0:v>
      </ns0:c>
      <ns0:c r="D43" s="6" t="s">
        <ns0:v>110</ns0:v>
      </ns0:c>
      <ns0:c r="E43" s="7" t="n">
        <ns0:v>45000</ns0:v>
      </ns0:c>
      <ns0:c r="F43" s="7" t="n">
        <ns0:v>0</ns0:v>
      </ns0:c>
      <ns0:c r="G43" s="9" t="n">
        <ns0:f aca="false">SUM(E43:F43)</ns0:f>
        <ns0:v>45000</ns0:v>
      </ns0:c>
    </ns0:row>
    <ns0:row r="44" customFormat="false" ht="29" hidden="false" customHeight="true" outlineLevel="0" collapsed="false">
      <ns0:c r="A44" s="10" t="s">
        <ns0:v>21</ns0:v>
      </ns0:c>
      <ns0:c r="B44" s="10"/>
      <ns0:c r="C44" s="10"/>
      <ns0:c r="D44" s="10"/>
      <ns0:c r="E44" s="11" t="n">
        <ns0:f aca="false">SUM(E6:E43)</ns0:f>
        <ns0:v>3026103.4</ns0:v>
      </ns0:c>
      <ns0:c r="F44" s="11" t="n">
        <ns0:f aca="false">SUM(F6:F43)</ns0:f>
        <ns0:v>456112.01</ns0:v>
      </ns0:c>
      <ns0:c r="G44" s="11" t="n">
        <ns0:f aca="false">SUM(G6:G43)</ns0:f>
        <ns0:v>3482215.41</ns0:v>
      </ns0:c>
    </ns0:row>
    <ns0:row r="45" customFormat="false" ht="15" hidden="false" customHeight="false" outlineLevel="0" collapsed="false">
      <ns0:c r="A45" s="2"/>
      <ns0:c r="B45" s="2"/>
      <ns0:c r="C45" s="2"/>
      <ns0:c r="D45" s="2"/>
      <ns0:c r="E45" s="2"/>
      <ns0:c r="F45" s="2"/>
      <ns0:c r="G45" s="2"/>
    </ns0:row>
    <ns0:row r="46" customFormat="false" ht="15" hidden="false" customHeight="false" outlineLevel="0" collapsed="false">
      <ns0:c r="A46" s="2" t="s">
        <ns0:v>111</ns0:v>
      </ns0:c>
      <ns0:c r="B46" s="2"/>
      <ns0:c r="C46" s="2"/>
      <ns0:c r="D46" s="2"/>
      <ns0:c r="E46" s="2"/>
      <ns0:c r="F46" s="2"/>
      <ns0:c r="G46" s="2"/>
    </ns0:row>
    <ns0:row r="47" customFormat="false" ht="15" hidden="false" customHeight="false" outlineLevel="0" collapsed="false">
      <ns0:c r="A47" s="2"/>
      <ns0:c r="B47" s="2"/>
      <ns0:c r="C47" s="2"/>
      <ns0:c r="D47" s="2"/>
      <ns0:c r="E47" s="2"/>
      <ns0:c r="F47" s="2"/>
      <ns0:c r="G47" s="2"/>
    </ns0:row>
    <ns0:row r="48" customFormat="false" ht="15" hidden="false" customHeight="false" outlineLevel="0" collapsed="false">
      <ns0:c r="A48" s="2"/>
      <ns0:c r="B48" s="2"/>
      <ns0:c r="C48" s="2"/>
      <ns0:c r="D48" s="2"/>
      <ns0:c r="E48" s="2"/>
      <ns0:c r="F48" s="2"/>
      <ns0:c r="G48" s="2"/>
    </ns0:row>
    <ns0:row r="49" customFormat="false" ht="15" hidden="false" customHeight="false" outlineLevel="0" collapsed="false">
      <ns0:c r="A49" s="2"/>
      <ns0:c r="B49" s="2"/>
      <ns0:c r="C49" s="2"/>
      <ns0:c r="D49" s="2"/>
      <ns0:c r="E49" s="2"/>
      <ns0:c r="F49" s="2"/>
      <ns0:c r="G49" s="2"/>
    </ns0:row>
    <ns0:row r="50" customFormat="false" ht="15" hidden="false" customHeight="false" outlineLevel="0" collapsed="false">
      <ns0:c r="A50" s="2"/>
      <ns0:c r="B50" s="2"/>
      <ns0:c r="C50" s="2"/>
      <ns0:c r="D50" s="2"/>
      <ns0:c r="E50" s="2"/>
      <ns0:c r="F50" s="2"/>
      <ns0:c r="G50" s="2"/>
    </ns0:row>
    <ns0:row r="51" customFormat="false" ht="15" hidden="false" customHeight="false" outlineLevel="0" collapsed="false">
      <ns0:c r="A51" s="2"/>
      <ns0:c r="B51" s="2"/>
      <ns0:c r="C51" s="2"/>
      <ns0:c r="D51" s="2"/>
      <ns0:c r="E51" s="2"/>
      <ns0:c r="F51" s="2"/>
      <ns0:c r="G51" s="2"/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  <ns0:c r="F52" s="2"/>
      <ns0:c r="G52" s="2"/>
    </ns0:row>
    <ns0:row r="53" customFormat="false" ht="15" hidden="false" customHeight="false" outlineLevel="0" collapsed="false">
      <ns0:c r="A53" s="2"/>
      <ns0:c r="B53" s="2"/>
      <ns0:c r="C53" s="2"/>
      <ns0:c r="D53" s="2"/>
      <ns0:c r="E53" s="2"/>
      <ns0:c r="F53" s="2"/>
      <ns0:c r="G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  <ns0:c r="F54" s="2"/>
      <ns0:c r="G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  <ns0:c r="F55" s="2"/>
      <ns0:c r="G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  <ns0:c r="F56" s="2"/>
      <ns0:c r="G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  <ns0:c r="F57" s="2"/>
      <ns0:c r="G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  <ns0:c r="F58" s="2"/>
      <ns0:c r="G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  <ns0:c r="F59" s="2"/>
      <ns0:c r="G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  <ns0:c r="F60" s="2"/>
      <ns0:c r="G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  <ns0:c r="F61" s="2"/>
      <ns0:c r="G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  <ns0:c r="F62" s="2"/>
      <ns0:c r="G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  <ns0:c r="F63" s="2"/>
      <ns0:c r="G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  <ns0:c r="F64" s="2"/>
      <ns0:c r="G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  <ns0:c r="F65" s="2"/>
      <ns0:c r="G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  <ns0:c r="F66" s="2"/>
      <ns0:c r="G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  <ns0:c r="F67" s="2"/>
      <ns0:c r="G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  <ns0:c r="F68" s="2"/>
      <ns0:c r="G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  <ns0:c r="F69" s="2"/>
      <ns0:c r="G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  <ns0:c r="F70" s="2"/>
      <ns0:c r="G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  <ns0:c r="F71" s="2"/>
      <ns0:c r="G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  <ns0:c r="F72" s="2"/>
      <ns0:c r="G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  <ns0:c r="F73" s="2"/>
      <ns0:c r="G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  <ns0:c r="F74" s="2"/>
      <ns0:c r="G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  <ns0:c r="F75" s="2"/>
      <ns0:c r="G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  <ns0:c r="F76" s="2"/>
      <ns0:c r="G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  <ns0:c r="F77" s="2"/>
      <ns0:c r="G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  <ns0:c r="F78" s="2"/>
      <ns0:c r="G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  <ns0:c r="F79" s="2"/>
      <ns0:c r="G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  <ns0:c r="F80" s="2"/>
      <ns0:c r="G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  <ns0:c r="F81" s="2"/>
      <ns0:c r="G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  <ns0:c r="F82" s="2"/>
      <ns0:c r="G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  <ns0:c r="F83" s="2"/>
      <ns0:c r="G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  <ns0:c r="F84" s="2"/>
      <ns0:c r="G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  <ns0:c r="F85" s="2"/>
      <ns0:c r="G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  <ns0:c r="F86" s="2"/>
      <ns0:c r="G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  <ns0:c r="F87" s="2"/>
      <ns0:c r="G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  <ns0:c r="F88" s="2"/>
      <ns0:c r="G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  <ns0:c r="F89" s="2"/>
      <ns0:c r="G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  <ns0:c r="F90" s="2"/>
      <ns0:c r="G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tableParts>
    <ns0:tablePart ns1:id="rId1"/>
  </ns0:tableParts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