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Offene Posten" sheetId="1" state="visible" ns1:id="rId3"/>
    <ns0:sheet name="Belege" sheetId="2" state="visible" ns1:id="rId4"/>
    <ns0:sheet name="Bank" sheetId="3" state="visible" ns1:id="rId5"/>
  </ns0:sheets>
  <ns0:definedNames>
    <ns0:definedName name="_xlnm.Print_Area" localSheetId="0">'Offene Posten'!A1:E47</ns0:definedName>
    <ns0:definedName name="_xlnm.Print_Titles" localSheetId="0">'Offene Posten'!$1:$5</ns0:definedName>
    <ns0:definedName name="_xlnm.Print_Area" localSheetId="1">'Belege'!A1:G46</ns0:definedName>
    <ns0:definedName name="_xlnm.Print_Titles" localSheetId="1">'Belege'!$1:$5</ns0:definedName>
    <ns0:definedName name="_xlnm.Print_Area" localSheetId="2">'Bank'!A1:F53</ns0:definedName>
    <ns0:definedName name="_xlnm.Print_Titles" localSheetId="2">'Bank'!$1:$5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<sst xmlns="http://schemas.openxmlformats.org/spreadsheetml/2006/main" count="274" uniqueCount="158">
  <si>
    <t xml:space="preserve">Rechnungen und Zahlungen</t>
  </si>
  <si>
    <t xml:space="preserve">Stichtag</t>
  </si>
  <si>
    <t xml:space="preserve">Beleg</t>
  </si>
  <si>
    <t xml:space="preserve">Rechnungsdatum</t>
  </si>
  <si>
    <t xml:space="preserve">Beleg bis Stichtag</t>
  </si>
  <si>
    <t xml:space="preserve">Zahlung bis Stichtag</t>
  </si>
  <si>
    <t xml:space="preserve">Saldo EUR</t>
  </si>
  <si>
    <t xml:space="preserve">KP-2026-118</t>
  </si>
  <si>
    <t xml:space="preserve">GRE-26-816</t>
  </si>
  <si>
    <t xml:space="preserve">NF-26-118-139</t>
  </si>
  <si>
    <t xml:space="preserve">GB-26-778</t>
  </si>
  <si>
    <t xml:space="preserve">WG-26-104</t>
  </si>
  <si>
    <t xml:space="preserve">BA-27-328-K</t>
  </si>
  <si>
    <t xml:space="preserve">BV-27-180</t>
  </si>
  <si>
    <t xml:space="preserve">LB-27-010</t>
  </si>
  <si>
    <t xml:space="preserve">LB-Z-2027</t>
  </si>
  <si>
    <t xml:space="preserve">LB-Z-2028</t>
  </si>
  <si>
    <t xml:space="preserve">KF-27-091</t>
  </si>
  <si>
    <t xml:space="preserve">KF-27-116</t>
  </si>
  <si>
    <t xml:space="preserve">KF-28-104</t>
  </si>
  <si>
    <t xml:space="preserve">KF-33-092</t>
  </si>
  <si>
    <t xml:space="preserve">PT-27-092</t>
  </si>
  <si>
    <t xml:space="preserve">PT-28-104</t>
  </si>
  <si>
    <t xml:space="preserve">BW-28-093</t>
  </si>
  <si>
    <t xml:space="preserve">LP-28-094</t>
  </si>
  <si>
    <t xml:space="preserve">BP-27-018</t>
  </si>
  <si>
    <t xml:space="preserve">EP-28-096</t>
  </si>
  <si>
    <t xml:space="preserve">RW-28-095</t>
  </si>
  <si>
    <t xml:space="preserve">SH-28-021</t>
  </si>
  <si>
    <t xml:space="preserve">SH-28-046</t>
  </si>
  <si>
    <t xml:space="preserve">SH-28-093</t>
  </si>
  <si>
    <t xml:space="preserve">DG-28-052</t>
  </si>
  <si>
    <t xml:space="preserve">DG-28-098</t>
  </si>
  <si>
    <t xml:space="preserve">WH-28-063</t>
  </si>
  <si>
    <t xml:space="preserve">WH-28-094</t>
  </si>
  <si>
    <t xml:space="preserve">LE-28-061</t>
  </si>
  <si>
    <t xml:space="preserve">LE-28-098</t>
  </si>
  <si>
    <t xml:space="preserve">IA-28-074</t>
  </si>
  <si>
    <t xml:space="preserve">IA-28-095</t>
  </si>
  <si>
    <t xml:space="preserve">HA-28-093</t>
  </si>
  <si>
    <t xml:space="preserve">GG-28-115</t>
  </si>
  <si>
    <t xml:space="preserve">LN-28-081</t>
  </si>
  <si>
    <t xml:space="preserve">SH-28-N01</t>
  </si>
  <si>
    <t xml:space="preserve">IA-G-28-017</t>
  </si>
  <si>
    <t xml:space="preserve">LE-PV-28-099</t>
  </si>
  <si>
    <t xml:space="preserve">Summe</t>
  </si>
  <si>
    <t xml:space="preserve">Positiver Saldo: noch nicht gezahlt; negativer Saldo: Zahlbetrag über Belegbetrag.</t>
  </si>
  <si>
    <t xml:space="preserve">Die Liste ersetzt keine fachliche Rechnungsfreigabe. Spätere Belege werden durch den Stichtag ausgeschlossen.</t>
  </si>
  <si>
    <t xml:space="preserve">Projektbelege</t>
  </si>
  <si>
    <t xml:space="preserve">SW-HI-26-08 · Beträge in EUR</t>
  </si>
  <si>
    <t xml:space="preserve">KG</t>
  </si>
  <si>
    <t xml:space="preserve">Datum</t>
  </si>
  <si>
    <t xml:space="preserve">Leistung</t>
  </si>
  <si>
    <t xml:space="preserve">Netto EUR</t>
  </si>
  <si>
    <t xml:space="preserve">USt EUR</t>
  </si>
  <si>
    <t xml:space="preserve">Brutto EUR</t>
  </si>
  <si>
    <t xml:space="preserve">100</t>
  </si>
  <si>
    <t xml:space="preserve">Kaufpreisfälligkeit Grundstück</t>
  </si>
  <si>
    <t xml:space="preserve">Grunderwerbsteuerbescheid</t>
  </si>
  <si>
    <t xml:space="preserve">Notarkostenberechnung Grundstückskauf und Grundschuld</t>
  </si>
  <si>
    <t xml:space="preserve">Gerichtskostenrechnung Grundbuch</t>
  </si>
  <si>
    <t xml:space="preserve">Grundstücksvermittlung</t>
  </si>
  <si>
    <t xml:space="preserve">700</t>
  </si>
  <si>
    <t xml:space="preserve">Kostenbescheid zum Bauantrag</t>
  </si>
  <si>
    <t xml:space="preserve">Beitragsrechnung Bauleistungs- und Bauherrenhaftpflichtversicherung</t>
  </si>
  <si>
    <t xml:space="preserve">800</t>
  </si>
  <si>
    <t xml:space="preserve">Vereinbartes Finanzierungsentgelt</t>
  </si>
  <si>
    <t xml:space="preserve">Darlehenszinsen 2027</t>
  </si>
  <si>
    <t xml:space="preserve">Darlehenszinsen 2028</t>
  </si>
  <si>
    <t xml:space="preserve">Objektplanung LPH 1 bis 4</t>
  </si>
  <si>
    <t xml:space="preserve">Objektplanung LPH 5 bis 7</t>
  </si>
  <si>
    <t xml:space="preserve">Objektplanung LPH 8</t>
  </si>
  <si>
    <t xml:space="preserve">Objektplanung LPH 9 und Schlussabrechnung</t>
  </si>
  <si>
    <t xml:space="preserve">TGA Planung</t>
  </si>
  <si>
    <t xml:space="preserve">TGA Ausführungsbegleitung und Abschluss</t>
  </si>
  <si>
    <t xml:space="preserve">Tragwerksplanung</t>
  </si>
  <si>
    <t xml:space="preserve">Vermessungsleistungen</t>
  </si>
  <si>
    <t xml:space="preserve">Baugrunduntersuchung</t>
  </si>
  <si>
    <t xml:space="preserve">Energieplanung und Fertigstellungsnachweis</t>
  </si>
  <si>
    <t xml:space="preserve">Brandschutzplanung</t>
  </si>
  <si>
    <t xml:space="preserve">300</t>
  </si>
  <si>
    <t xml:space="preserve">Rohbau 1. Abschlag</t>
  </si>
  <si>
    <t xml:space="preserve">Rohbau 2. Abschlag</t>
  </si>
  <si>
    <t xml:space="preserve">Rohbau Schlussrechnung</t>
  </si>
  <si>
    <t xml:space="preserve">Gebäudehülle Abschlag</t>
  </si>
  <si>
    <t xml:space="preserve">Gebäudehülle Schlussrechnung</t>
  </si>
  <si>
    <t xml:space="preserve">400</t>
  </si>
  <si>
    <t xml:space="preserve">Heizung Lüftung Sanitär Abschlag</t>
  </si>
  <si>
    <t xml:space="preserve">Heizung Lüftung Sanitär Schlussrechnung</t>
  </si>
  <si>
    <t xml:space="preserve">Elektro Abschlag</t>
  </si>
  <si>
    <t xml:space="preserve">Elektro und Ladeinfrastruktur Schlussrechnung</t>
  </si>
  <si>
    <t xml:space="preserve">Innenausbau Abschlag</t>
  </si>
  <si>
    <t xml:space="preserve">Innenausbau Schlussrechnung</t>
  </si>
  <si>
    <t xml:space="preserve">Aufzugsanlage</t>
  </si>
  <si>
    <t xml:space="preserve">500</t>
  </si>
  <si>
    <t xml:space="preserve">Außenanlagen und Entwässerung</t>
  </si>
  <si>
    <t xml:space="preserve">200</t>
  </si>
  <si>
    <t xml:space="preserve">Hausanschlüsse</t>
  </si>
  <si>
    <t xml:space="preserve">Nachtrag Drän- und Filterpackung</t>
  </si>
  <si>
    <t xml:space="preserve">Rechnungskorrektur zu IA-28-095</t>
  </si>
  <si>
    <t xml:space="preserve">PV-Anlage Lieferung und Montage</t>
  </si>
  <si>
    <t xml:space="preserve">Quelle: Einzelbelege 70–106 und 119; Rechnungskorrekturen sind negativ.</t>
  </si>
  <si>
    <t xml:space="preserve">Projektkonto 882608</t>
  </si>
  <si>
    <t xml:space="preserve">Valuta</t>
  </si>
  <si>
    <t xml:space="preserve">Bankreferenz</t>
  </si>
  <si>
    <t xml:space="preserve">Beleg / Herkunft</t>
  </si>
  <si>
    <t xml:space="preserve">Zahlung EUR</t>
  </si>
  <si>
    <t xml:space="preserve">Zufluss Mittel</t>
  </si>
  <si>
    <t xml:space="preserve">Kontosaldo EUR</t>
  </si>
  <si>
    <t xml:space="preserve">EK-20261115</t>
  </si>
  <si>
    <t xml:space="preserve">EK</t>
  </si>
  <si>
    <t xml:space="preserve">SW-74-20261118</t>
  </si>
  <si>
    <t xml:space="preserve">SW-70-20261127</t>
  </si>
  <si>
    <t xml:space="preserve">SW-71-20261208</t>
  </si>
  <si>
    <t xml:space="preserve">DL-20270101</t>
  </si>
  <si>
    <t xml:space="preserve">Darlehen</t>
  </si>
  <si>
    <t xml:space="preserve">SW-72-20270105</t>
  </si>
  <si>
    <t xml:space="preserve">SW-73-20270106</t>
  </si>
  <si>
    <t xml:space="preserve">EK-20270115</t>
  </si>
  <si>
    <t xml:space="preserve">SW-77-20270116</t>
  </si>
  <si>
    <t xml:space="preserve">SW-88-20270201</t>
  </si>
  <si>
    <t xml:space="preserve">DL-20270701</t>
  </si>
  <si>
    <t xml:space="preserve">DL-20271001</t>
  </si>
  <si>
    <t xml:space="preserve">SW-75-20271005</t>
  </si>
  <si>
    <t xml:space="preserve">SW-80-20271008</t>
  </si>
  <si>
    <t xml:space="preserve">SW-84-20271011</t>
  </si>
  <si>
    <t xml:space="preserve">SW-76-20271206</t>
  </si>
  <si>
    <t xml:space="preserve">SW-81-20271210</t>
  </si>
  <si>
    <t xml:space="preserve">SW-78-20271231</t>
  </si>
  <si>
    <t xml:space="preserve">EK-20280115</t>
  </si>
  <si>
    <t xml:space="preserve">SW-91-20280229</t>
  </si>
  <si>
    <t xml:space="preserve">SW-105-20280319</t>
  </si>
  <si>
    <t xml:space="preserve">SW-92-20280429</t>
  </si>
  <si>
    <t xml:space="preserve">SW-94-20280529</t>
  </si>
  <si>
    <t xml:space="preserve">SW-98-20280615</t>
  </si>
  <si>
    <t xml:space="preserve">SW-98-20280619</t>
  </si>
  <si>
    <t xml:space="preserve">SW-96-20280629</t>
  </si>
  <si>
    <t xml:space="preserve">SW-100-20280729</t>
  </si>
  <si>
    <t xml:space="preserve">SW-104-20280903</t>
  </si>
  <si>
    <t xml:space="preserve">SW-86-20281006</t>
  </si>
  <si>
    <t xml:space="preserve">SW-87-20281008</t>
  </si>
  <si>
    <t xml:space="preserve">SW-89-20281009</t>
  </si>
  <si>
    <t xml:space="preserve">SW-90-20281009</t>
  </si>
  <si>
    <t xml:space="preserve">SW-101-20281014</t>
  </si>
  <si>
    <t xml:space="preserve">SW-102-20281014</t>
  </si>
  <si>
    <t xml:space="preserve">SW-119-20281014</t>
  </si>
  <si>
    <t xml:space="preserve">SW-93-20281014</t>
  </si>
  <si>
    <t xml:space="preserve">SW-95-20281014</t>
  </si>
  <si>
    <t xml:space="preserve">SW-97-20281014</t>
  </si>
  <si>
    <t xml:space="preserve">SW-99-20281014</t>
  </si>
  <si>
    <t xml:space="preserve">SW-82-20281103</t>
  </si>
  <si>
    <t xml:space="preserve">SW-85-20281105</t>
  </si>
  <si>
    <t xml:space="preserve">SW-106-20281115</t>
  </si>
  <si>
    <t xml:space="preserve">SW-103-20281129</t>
  </si>
  <si>
    <t xml:space="preserve">LE-RET-20281215</t>
  </si>
  <si>
    <t xml:space="preserve">SW-79-20281231</t>
  </si>
  <si>
    <t xml:space="preserve">SW-83-20330930</t>
  </si>
  <si>
    <t xml:space="preserve">Quelle: vollständige Projektkontoauszüge 109–112; Erstattungen als negative Zahlungen.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</si>
</sst>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_);\(#,##0.00\);\-_);@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22222"/>
      <name val="Arial"/>
      <family val="0"/>
      <charset val="1"/>
    </font>
    <font>
      <b val="true"/>
      <sz val="14"/>
      <color rgb="FF222222"/>
      <name val="Arial"/>
      <family val="0"/>
      <charset val="1"/>
    </font>
    <font>
      <i val="true"/>
      <sz val="10"/>
      <color rgb="FF222222"/>
      <name val="Arial"/>
      <family val="0"/>
      <charset val="1"/>
    </font>
    <font>
      <sz val="11"/>
      <color rgb="FF2457A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57A7"/>
      <name val="Arial"/>
      <family val="0"/>
      <charset val="1"/>
    </font>
    <font>
      <sz val="10"/>
      <color rgb="FF246946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8EDF1"/>
      </patternFill>
    </fill>
    <fill>
      <patternFill patternType="solid">
        <fgColor rgb="FF324B62"/>
        <bgColor rgb="FF2457A7"/>
      </patternFill>
    </fill>
    <fill>
      <patternFill patternType="solid">
        <fgColor rgb="FFE8EDF1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3">
    <dxf>
      <fill>
        <patternFill patternType="solid">
          <fgColor rgb="FF324B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57A7"/>
          <bgColor rgb="FF000000"/>
        </patternFill>
      </fill>
    </dxf>
    <dxf>
      <fill>
        <patternFill patternType="solid">
          <fgColor rgb="FF246946"/>
          <bgColor rgb="FF000000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6" type="wholeTable"/>
      <tableStyleElement dxfId="7" type="firstColumnStripe"/>
      <tableStyleElement dxfId="8" type="firstRowStripe"/>
      <tableStyleElement dxfId="9" type="lastColumn"/>
      <tableStyleElement dxfId="10" type="firstColumn"/>
      <tableStyleElement dxfId="11" type="headerRow"/>
      <tableStyleElement dxfId="1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946"/>
      <rgbColor rgb="FFC0C0C0"/>
      <rgbColor rgb="FF808080"/>
      <rgbColor rgb="FF9999FF"/>
      <rgbColor rgb="FF993366"/>
      <rgbColor rgb="FFFFF2CC"/>
      <rgbColor rgb="FFE8EDF1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24B62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jektbelegeBelege" displayName="ProjektbelegeBelege" ref="A5:G43" headerRowCount="1" totalsRowCount="0" totalsRowShown="0">
  <tableColumns count="7">
    <tableColumn id="1" name="Beleg"/>
    <tableColumn id="2" name="KG"/>
    <tableColumn id="3" name="Datum"/>
    <tableColumn id="4" name="Leistung"/>
    <tableColumn id="5" name="Netto EUR"/>
    <tableColumn id="6" name="USt EUR"/>
    <tableColumn id="7" name="Brutto EU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Projektkontoumsaetze" displayName="Projektkontoumsaetze" ref="A5:F51" headerRowCount="1" totalsRowCount="0" totalsRowShown="0">
  <tableColumns count="6">
    <tableColumn id="1" name="Valuta"/>
    <tableColumn id="2" name="Bankreferenz"/>
    <tableColumn id="3" name="Beleg / Herkunft"/>
    <tableColumn id="4" name="Zahlung EUR"/>
    <tableColumn id="5" name="Zufluss Mittel"/>
    <tableColumn id="6" name="Kontosaldo EU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RechnungenStichtag" displayName="RechnungenStichtag" ref="A5:E43" headerRowCount="1" totalsRowCount="0" totalsRowShown="0">
  <tableColumns count="5">
    <tableColumn id="1" name="Beleg"/>
    <tableColumn id="2" name="Rechnungsdatum"/>
    <tableColumn id="3" name="Beleg bis Stichtag"/>
    <tableColumn id="4" name="Zahlung bis Stichtag"/>
    <tableColumn id="5" name="Saldo EU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 filterMode="false">
    <ns0:pageSetUpPr fitToPage="1"/>
  </ns0:sheetPr>
  <ns0:dimension ref="A1:E9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23"/>
    <ns0:col collapsed="false" customWidth="true" hidden="false" outlineLevel="0" max="2" min="2" style="1" width="18"/>
    <ns0:col collapsed="false" customWidth="true" hidden="false" outlineLevel="0" max="3" min="3" style="1" width="25"/>
    <ns0:col collapsed="false" customWidth="true" hidden="false" outlineLevel="0" max="4" min="4" style="1" width="26"/>
    <ns0:col collapsed="false" customWidth="true" hidden="false" outlineLevel="0" max="5" min="5" style="1" width="22"/>
  </ns0:cols>
  <ns0:sheetData>
    <ns0:row r="1" customFormat="false" ht="15" hidden="false" customHeight="false" outlineLevel="0" collapsed="false">
      <ns0:c r="A1" s="2"/>
      <ns0:c r="B1" s="2"/>
      <ns0:c r="C1" s="2"/>
      <ns0:c r="D1" s="2"/>
      <ns0:c r="E1" s="2"/>
    </ns0:row>
    <ns0:row r="2" customFormat="false" ht="17.35" hidden="false" customHeight="false" outlineLevel="0" collapsed="false">
      <ns0:c r="A2" s="3" t="s">
        <ns0:v>0</ns0:v>
      </ns0:c>
      <ns0:c r="B2" s="2"/>
      <ns0:c r="C2" s="2"/>
      <ns0:c r="D2" s="2"/>
      <ns0:c r="E2" s="2"/>
    </ns0:row>
    <ns0:row r="3" customFormat="false" ht="15" hidden="false" customHeight="false" outlineLevel="0" collapsed="false">
      <ns0:c r="A3" s="4" t="s">
        <ns0:v>1</ns0:v>
      </ns0:c>
      <ns0:c r="B3" s="5" t="n">
        <ns0:v>47026</ns0:v>
      </ns0:c>
      <ns0:c r="C3" s="2"/>
      <ns0:c r="D3" s="2"/>
      <ns0:c r="E3" s="2"/>
    </ns0:row>
    <ns0:row r="4" customFormat="false" ht="15" hidden="false" customHeight="false" outlineLevel="0" collapsed="false">
      <ns0:c r="A4" s="2"/>
      <ns0:c r="B4" s="2"/>
      <ns0:c r="C4" s="2"/>
      <ns0:c r="D4" s="2"/>
      <ns0:c r="E4" s="2"/>
    </ns0:row>
    <ns0:row r="5" customFormat="false" ht="35" hidden="false" customHeight="true" outlineLevel="0" collapsed="false">
      <ns0:c r="A5" s="6" t="s">
        <ns0:v>2</ns0:v>
      </ns0:c>
      <ns0:c r="B5" s="6" t="s">
        <ns0:v>3</ns0:v>
      </ns0:c>
      <ns0:c r="C5" s="6" t="s">
        <ns0:v>4</ns0:v>
      </ns0:c>
      <ns0:c r="D5" s="6" t="s">
        <ns0:v>5</ns0:v>
      </ns0:c>
      <ns0:c r="E5" s="6" t="s">
        <ns0:v>6</ns0:v>
      </ns0:c>
    </ns0:row>
    <ns0:row r="6" customFormat="false" ht="31" hidden="false" customHeight="true" outlineLevel="0" collapsed="false">
      <ns0:c r="A6" s="7" t="s">
        <ns0:v>7</ns0:v>
      </ns0:c>
      <ns0:c r="B6" s="8" t="n">
        <ns0:v>46342</ns0:v>
      </ns0:c>
      <ns0:c r="C6" s="9" t="n">
        <ns0:f aca="false">SUMIFS(Belege!$G$6:$G$43,Belege!$A$6:$A$43,A6,Belege!$C$6:$C$43,"&lt;="&amp;$B$3)</ns0:f>
        <ns0:v>450000</ns0:v>
      </ns0:c>
      <ns0:c r="D6" s="9" t="n">
        <ns0:f aca="false">SUMIFS(Bank!$D$6:$D$51,Bank!$C$6:$C$51,A6,Bank!$A$6:$A$51,"&lt;="&amp;$B$3)</ns0:f>
        <ns0:v>450000</ns0:v>
      </ns0:c>
      <ns0:c r="E6" s="10" t="n">
        <ns0:f aca="false">C6-D6</ns0:f>
        <ns0:v>0</ns0:v>
      </ns0:c>
    </ns0:row>
    <ns0:row r="7" customFormat="false" ht="31" hidden="false" customHeight="true" outlineLevel="0" collapsed="false">
      <ns0:c r="A7" s="7" t="s">
        <ns0:v>8</ns0:v>
      </ns0:c>
      <ns0:c r="B7" s="8" t="n">
        <ns0:v>46346</ns0:v>
      </ns0:c>
      <ns0:c r="C7" s="9" t="n">
        <ns0:f aca="false">SUMIFS(Belege!$G$6:$G$43,Belege!$A$6:$A$43,A7,Belege!$C$6:$C$43,"&lt;="&amp;$B$3)</ns0:f>
        <ns0:v>22500</ns0:v>
      </ns0:c>
      <ns0:c r="D7" s="9" t="n">
        <ns0:f aca="false">SUMIFS(Bank!$D$6:$D$51,Bank!$C$6:$C$51,A7,Bank!$A$6:$A$51,"&lt;="&amp;$B$3)</ns0:f>
        <ns0:v>22500</ns0:v>
      </ns0:c>
      <ns0:c r="E7" s="10" t="n">
        <ns0:f aca="false">C7-D7</ns0:f>
        <ns0:v>0</ns0:v>
      </ns0:c>
    </ns0:row>
    <ns0:row r="8" customFormat="false" ht="31" hidden="false" customHeight="true" outlineLevel="0" collapsed="false">
      <ns0:c r="A8" s="7" t="s">
        <ns0:v>9</ns0:v>
      </ns0:c>
      <ns0:c r="B8" s="8" t="n">
        <ns0:v>46378</ns0:v>
      </ns0:c>
      <ns0:c r="C8" s="9" t="n">
        <ns0:f aca="false">SUMIFS(Belege!$G$6:$G$43,Belege!$A$6:$A$43,A8,Belege!$C$6:$C$43,"&lt;="&amp;$B$3)</ns0:f>
        <ns0:v>7850.51</ns0:v>
      </ns0:c>
      <ns0:c r="D8" s="9" t="n">
        <ns0:f aca="false">SUMIFS(Bank!$D$6:$D$51,Bank!$C$6:$C$51,A8,Bank!$A$6:$A$51,"&lt;="&amp;$B$3)</ns0:f>
        <ns0:v>7850.51</ns0:v>
      </ns0:c>
      <ns0:c r="E8" s="10" t="n">
        <ns0:f aca="false">C8-D8</ns0:f>
        <ns0:v>0</ns0:v>
      </ns0:c>
    </ns0:row>
    <ns0:row r="9" customFormat="false" ht="31" hidden="false" customHeight="true" outlineLevel="0" collapsed="false">
      <ns0:c r="A9" s="7" t="s">
        <ns0:v>10</ns0:v>
      </ns0:c>
      <ns0:c r="B9" s="8" t="n">
        <ns0:v>46379</ns0:v>
      </ns0:c>
      <ns0:c r="C9" s="9" t="n">
        <ns0:f aca="false">SUMIFS(Belege!$G$6:$G$43,Belege!$A$6:$A$43,A9,Belege!$C$6:$C$43,"&lt;="&amp;$B$3)</ns0:f>
        <ns0:v>4047.5</ns0:v>
      </ns0:c>
      <ns0:c r="D9" s="9" t="n">
        <ns0:f aca="false">SUMIFS(Bank!$D$6:$D$51,Bank!$C$6:$C$51,A9,Bank!$A$6:$A$51,"&lt;="&amp;$B$3)</ns0:f>
        <ns0:v>4047.5</ns0:v>
      </ns0:c>
      <ns0:c r="E9" s="10" t="n">
        <ns0:f aca="false">C9-D9</ns0:f>
        <ns0:v>0</ns0:v>
      </ns0:c>
    </ns0:row>
    <ns0:row r="10" customFormat="false" ht="31" hidden="false" customHeight="true" outlineLevel="0" collapsed="false">
      <ns0:c r="A10" s="7" t="s">
        <ns0:v>11</ns0:v>
      </ns0:c>
      <ns0:c r="B10" s="8" t="n">
        <ns0:v>46330</ns0:v>
      </ns0:c>
      <ns0:c r="C10" s="9" t="n">
        <ns0:f aca="false">SUMIFS(Belege!$G$6:$G$43,Belege!$A$6:$A$43,A10,Belege!$C$6:$C$43,"&lt;="&amp;$B$3)</ns0:f>
        <ns0:v>16065</ns0:v>
      </ns0:c>
      <ns0:c r="D10" s="9" t="n">
        <ns0:f aca="false">SUMIFS(Bank!$D$6:$D$51,Bank!$C$6:$C$51,A10,Bank!$A$6:$A$51,"&lt;="&amp;$B$3)</ns0:f>
        <ns0:v>16065</ns0:v>
      </ns0:c>
      <ns0:c r="E10" s="10" t="n">
        <ns0:f aca="false">C10-D10</ns0:f>
        <ns0:v>0</ns0:v>
      </ns0:c>
    </ns0:row>
    <ns0:row r="11" customFormat="false" ht="31" hidden="false" customHeight="true" outlineLevel="0" collapsed="false">
      <ns0:c r="A11" s="7" t="s">
        <ns0:v>12</ns0:v>
      </ns0:c>
      <ns0:c r="B11" s="8" t="n">
        <ns0:v>46651</ns0:v>
      </ns0:c>
      <ns0:c r="C11" s="9" t="n">
        <ns0:f aca="false">SUMIFS(Belege!$G$6:$G$43,Belege!$A$6:$A$43,A11,Belege!$C$6:$C$43,"&lt;="&amp;$B$3)</ns0:f>
        <ns0:v>4957.4</ns0:v>
      </ns0:c>
      <ns0:c r="D11" s="9" t="n">
        <ns0:f aca="false">SUMIFS(Bank!$D$6:$D$51,Bank!$C$6:$C$51,A11,Bank!$A$6:$A$51,"&lt;="&amp;$B$3)</ns0:f>
        <ns0:v>4957.4</ns0:v>
      </ns0:c>
      <ns0:c r="E11" s="10" t="n">
        <ns0:f aca="false">C11-D11</ns0:f>
        <ns0:v>0</ns0:v>
      </ns0:c>
    </ns0:row>
    <ns0:row r="12" customFormat="false" ht="31" hidden="false" customHeight="true" outlineLevel="0" collapsed="false">
      <ns0:c r="A12" s="7" t="s">
        <ns0:v>13</ns0:v>
      </ns0:c>
      <ns0:c r="B12" s="8" t="n">
        <ns0:v>46713</ns0:v>
      </ns0:c>
      <ns0:c r="C12" s="9" t="n">
        <ns0:f aca="false">SUMIFS(Belege!$G$6:$G$43,Belege!$A$6:$A$43,A12,Belege!$C$6:$C$43,"&lt;="&amp;$B$3)</ns0:f>
        <ns0:v>9000</ns0:v>
      </ns0:c>
      <ns0:c r="D12" s="9" t="n">
        <ns0:f aca="false">SUMIFS(Bank!$D$6:$D$51,Bank!$C$6:$C$51,A12,Bank!$A$6:$A$51,"&lt;="&amp;$B$3)</ns0:f>
        <ns0:v>9000</ns0:v>
      </ns0:c>
      <ns0:c r="E12" s="10" t="n">
        <ns0:f aca="false">C12-D12</ns0:f>
        <ns0:v>0</ns0:v>
      </ns0:c>
    </ns0:row>
    <ns0:row r="13" customFormat="false" ht="31" hidden="false" customHeight="true" outlineLevel="0" collapsed="false">
      <ns0:c r="A13" s="7" t="s">
        <ns0:v>14</ns0:v>
      </ns0:c>
      <ns0:c r="B13" s="8" t="n">
        <ns0:v>46389</ns0:v>
      </ns0:c>
      <ns0:c r="C13" s="9" t="n">
        <ns0:f aca="false">SUMIFS(Belege!$G$6:$G$43,Belege!$A$6:$A$43,A13,Belege!$C$6:$C$43,"&lt;="&amp;$B$3)</ns0:f>
        <ns0:v>10000</ns0:v>
      </ns0:c>
      <ns0:c r="D13" s="9" t="n">
        <ns0:f aca="false">SUMIFS(Bank!$D$6:$D$51,Bank!$C$6:$C$51,A13,Bank!$A$6:$A$51,"&lt;="&amp;$B$3)</ns0:f>
        <ns0:v>10000</ns0:v>
      </ns0:c>
      <ns0:c r="E13" s="10" t="n">
        <ns0:f aca="false">C13-D13</ns0:f>
        <ns0:v>0</ns0:v>
      </ns0:c>
    </ns0:row>
    <ns0:row r="14" customFormat="false" ht="31" hidden="false" customHeight="true" outlineLevel="0" collapsed="false">
      <ns0:c r="A14" s="7" t="s">
        <ns0:v>15</ns0:v>
      </ns0:c>
      <ns0:c r="B14" s="8" t="n">
        <ns0:v>46752</ns0:v>
      </ns0:c>
      <ns0:c r="C14" s="9" t="n">
        <ns0:f aca="false">SUMIFS(Belege!$G$6:$G$43,Belege!$A$6:$A$43,A14,Belege!$C$6:$C$43,"&lt;="&amp;$B$3)</ns0:f>
        <ns0:v>28800</ns0:v>
      </ns0:c>
      <ns0:c r="D14" s="9" t="n">
        <ns0:f aca="false">SUMIFS(Bank!$D$6:$D$51,Bank!$C$6:$C$51,A14,Bank!$A$6:$A$51,"&lt;="&amp;$B$3)</ns0:f>
        <ns0:v>28800</ns0:v>
      </ns0:c>
      <ns0:c r="E14" s="10" t="n">
        <ns0:f aca="false">C14-D14</ns0:f>
        <ns0:v>0</ns0:v>
      </ns0:c>
    </ns0:row>
    <ns0:row r="15" customFormat="false" ht="31" hidden="false" customHeight="true" outlineLevel="0" collapsed="false">
      <ns0:c r="A15" s="7" t="s">
        <ns0:v>16</ns0:v>
      </ns0:c>
      <ns0:c r="B15" s="8" t="n">
        <ns0:v>47118</ns0:v>
      </ns0:c>
      <ns0:c r="C15" s="9" t="n">
        <ns0:f aca="false">SUMIFS(Belege!$G$6:$G$43,Belege!$A$6:$A$43,A15,Belege!$C$6:$C$43,"&lt;="&amp;$B$3)</ns0:f>
        <ns0:v>0</ns0:v>
      </ns0:c>
      <ns0:c r="D15" s="9" t="n">
        <ns0:f aca="false">SUMIFS(Bank!$D$6:$D$51,Bank!$C$6:$C$51,A15,Bank!$A$6:$A$51,"&lt;="&amp;$B$3)</ns0:f>
        <ns0:v>0</ns0:v>
      </ns0:c>
      <ns0:c r="E15" s="10" t="n">
        <ns0:f aca="false">C15-D15</ns0:f>
        <ns0:v>0</ns0:v>
      </ns0:c>
    </ns0:row>
    <ns0:row r="16" customFormat="false" ht="31" hidden="false" customHeight="true" outlineLevel="0" collapsed="false">
      <ns0:c r="A16" s="7" t="s">
        <ns0:v>17</ns0:v>
      </ns0:c>
      <ns0:c r="B16" s="8" t="n">
        <ns0:v>46654</ns0:v>
      </ns0:c>
      <ns0:c r="C16" s="9" t="n">
        <ns0:f aca="false">SUMIFS(Belege!$G$6:$G$43,Belege!$A$6:$A$43,A16,Belege!$C$6:$C$43,"&lt;="&amp;$B$3)</ns0:f>
        <ns0:v>46588.5</ns0:v>
      </ns0:c>
      <ns0:c r="D16" s="9" t="n">
        <ns0:f aca="false">SUMIFS(Bank!$D$6:$D$51,Bank!$C$6:$C$51,A16,Bank!$A$6:$A$51,"&lt;="&amp;$B$3)</ns0:f>
        <ns0:v>46588.5</ns0:v>
      </ns0:c>
      <ns0:c r="E16" s="10" t="n">
        <ns0:f aca="false">C16-D16</ns0:f>
        <ns0:v>0</ns0:v>
      </ns0:c>
    </ns0:row>
    <ns0:row r="17" customFormat="false" ht="31" hidden="false" customHeight="true" outlineLevel="0" collapsed="false">
      <ns0:c r="A17" s="7" t="s">
        <ns0:v>18</ns0:v>
      </ns0:c>
      <ns0:c r="B17" s="8" t="n">
        <ns0:v>46717</ns0:v>
      </ns0:c>
      <ns0:c r="C17" s="9" t="n">
        <ns0:f aca="false">SUMIFS(Belege!$G$6:$G$43,Belege!$A$6:$A$43,A17,Belege!$C$6:$C$43,"&lt;="&amp;$B$3)</ns0:f>
        <ns0:v>67294.5</ns0:v>
      </ns0:c>
      <ns0:c r="D17" s="9" t="n">
        <ns0:f aca="false">SUMIFS(Bank!$D$6:$D$51,Bank!$C$6:$C$51,A17,Bank!$A$6:$A$51,"&lt;="&amp;$B$3)</ns0:f>
        <ns0:v>67294.5</ns0:v>
      </ns0:c>
      <ns0:c r="E17" s="10" t="n">
        <ns0:f aca="false">C17-D17</ns0:f>
        <ns0:v>0</ns0:v>
      </ns0:c>
    </ns0:row>
    <ns0:row r="18" customFormat="false" ht="31" hidden="false" customHeight="true" outlineLevel="0" collapsed="false">
      <ns0:c r="A18" s="7" t="s">
        <ns0:v>19</ns0:v>
      </ns0:c>
      <ns0:c r="B18" s="8" t="n">
        <ns0:v>47046</ns0:v>
      </ns0:c>
      <ns0:c r="C18" s="9" t="n">
        <ns0:f aca="false">SUMIFS(Belege!$G$6:$G$43,Belege!$A$6:$A$43,A18,Belege!$C$6:$C$43,"&lt;="&amp;$B$3)</ns0:f>
        <ns0:v>0</ns0:v>
      </ns0:c>
      <ns0:c r="D18" s="9" t="n">
        <ns0:f aca="false">SUMIFS(Bank!$D$6:$D$51,Bank!$C$6:$C$51,A18,Bank!$A$6:$A$51,"&lt;="&amp;$B$3)</ns0:f>
        <ns0:v>0</ns0:v>
      </ns0:c>
      <ns0:c r="E18" s="10" t="n">
        <ns0:f aca="false">C18-D18</ns0:f>
        <ns0:v>0</ns0:v>
      </ns0:c>
    </ns0:row>
    <ns0:row r="19" customFormat="false" ht="31" hidden="false" customHeight="true" outlineLevel="0" collapsed="false">
      <ns0:c r="A19" s="7" t="s">
        <ns0:v>20</ns0:v>
      </ns0:c>
      <ns0:c r="B19" s="8" t="n">
        <ns0:v>48848</ns0:v>
      </ns0:c>
      <ns0:c r="C19" s="9" t="n">
        <ns0:f aca="false">SUMIFS(Belege!$G$6:$G$43,Belege!$A$6:$A$43,A19,Belege!$C$6:$C$43,"&lt;="&amp;$B$3)</ns0:f>
        <ns0:v>0</ns0:v>
      </ns0:c>
      <ns0:c r="D19" s="9" t="n">
        <ns0:f aca="false">SUMIFS(Bank!$D$6:$D$51,Bank!$C$6:$C$51,A19,Bank!$A$6:$A$51,"&lt;="&amp;$B$3)</ns0:f>
        <ns0:v>0</ns0:v>
      </ns0:c>
      <ns0:c r="E19" s="10" t="n">
        <ns0:f aca="false">C19-D19</ns0:f>
        <ns0:v>0</ns0:v>
      </ns0:c>
    </ns0:row>
    <ns0:row r="20" customFormat="false" ht="31" hidden="false" customHeight="true" outlineLevel="0" collapsed="false">
      <ns0:c r="A20" s="7" t="s">
        <ns0:v>21</ns0:v>
      </ns0:c>
      <ns0:c r="B20" s="8" t="n">
        <ns0:v>46657</ns0:v>
      </ns0:c>
      <ns0:c r="C20" s="9" t="n">
        <ns0:f aca="false">SUMIFS(Belege!$G$6:$G$43,Belege!$A$6:$A$43,A20,Belege!$C$6:$C$43,"&lt;="&amp;$B$3)</ns0:f>
        <ns0:v>35700</ns0:v>
      </ns0:c>
      <ns0:c r="D20" s="9" t="n">
        <ns0:f aca="false">SUMIFS(Bank!$D$6:$D$51,Bank!$C$6:$C$51,A20,Bank!$A$6:$A$51,"&lt;="&amp;$B$3)</ns0:f>
        <ns0:v>35700</ns0:v>
      </ns0:c>
      <ns0:c r="E20" s="10" t="n">
        <ns0:f aca="false">C20-D20</ns0:f>
        <ns0:v>0</ns0:v>
      </ns0:c>
    </ns0:row>
    <ns0:row r="21" customFormat="false" ht="31" hidden="false" customHeight="true" outlineLevel="0" collapsed="false">
      <ns0:c r="A21" s="7" t="s">
        <ns0:v>22</ns0:v>
      </ns0:c>
      <ns0:c r="B21" s="8" t="n">
        <ns0:v>47048</ns0:v>
      </ns0:c>
      <ns0:c r="C21" s="9" t="n">
        <ns0:f aca="false">SUMIFS(Belege!$G$6:$G$43,Belege!$A$6:$A$43,A21,Belege!$C$6:$C$43,"&lt;="&amp;$B$3)</ns0:f>
        <ns0:v>0</ns0:v>
      </ns0:c>
      <ns0:c r="D21" s="9" t="n">
        <ns0:f aca="false">SUMIFS(Bank!$D$6:$D$51,Bank!$C$6:$C$51,A21,Bank!$A$6:$A$51,"&lt;="&amp;$B$3)</ns0:f>
        <ns0:v>0</ns0:v>
      </ns0:c>
      <ns0:c r="E21" s="10" t="n">
        <ns0:f aca="false">C21-D21</ns0:f>
        <ns0:v>0</ns0:v>
      </ns0:c>
    </ns0:row>
    <ns0:row r="22" customFormat="false" ht="31" hidden="false" customHeight="true" outlineLevel="0" collapsed="false">
      <ns0:c r="A22" s="7" t="s">
        <ns0:v>23</ns0:v>
      </ns0:c>
      <ns0:c r="B22" s="8" t="n">
        <ns0:v>47018</ns0:v>
      </ns0:c>
      <ns0:c r="C22" s="9" t="n">
        <ns0:f aca="false">SUMIFS(Belege!$G$6:$G$43,Belege!$A$6:$A$43,A22,Belege!$C$6:$C$43,"&lt;="&amp;$B$3)</ns0:f>
        <ns0:v>47600</ns0:v>
      </ns0:c>
      <ns0:c r="D22" s="9" t="n">
        <ns0:f aca="false">SUMIFS(Bank!$D$6:$D$51,Bank!$C$6:$C$51,A22,Bank!$A$6:$A$51,"&lt;="&amp;$B$3)</ns0:f>
        <ns0:v>0</ns0:v>
      </ns0:c>
      <ns0:c r="E22" s="10" t="n">
        <ns0:f aca="false">C22-D22</ns0:f>
        <ns0:v>47600</ns0:v>
      </ns0:c>
    </ns0:row>
    <ns0:row r="23" customFormat="false" ht="31" hidden="false" customHeight="true" outlineLevel="0" collapsed="false">
      <ns0:c r="A23" s="7" t="s">
        <ns0:v>24</ns0:v>
      </ns0:c>
      <ns0:c r="B23" s="8" t="n">
        <ns0:v>47020</ns0:v>
      </ns0:c>
      <ns0:c r="C23" s="9" t="n">
        <ns0:f aca="false">SUMIFS(Belege!$G$6:$G$43,Belege!$A$6:$A$43,A23,Belege!$C$6:$C$43,"&lt;="&amp;$B$3)</ns0:f>
        <ns0:v>17850</ns0:v>
      </ns0:c>
      <ns0:c r="D23" s="9" t="n">
        <ns0:f aca="false">SUMIFS(Bank!$D$6:$D$51,Bank!$C$6:$C$51,A23,Bank!$A$6:$A$51,"&lt;="&amp;$B$3)</ns0:f>
        <ns0:v>0</ns0:v>
      </ns0:c>
      <ns0:c r="E23" s="10" t="n">
        <ns0:f aca="false">C23-D23</ns0:f>
        <ns0:v>17850</ns0:v>
      </ns0:c>
    </ns0:row>
    <ns0:row r="24" customFormat="false" ht="31" hidden="false" customHeight="true" outlineLevel="0" collapsed="false">
      <ns0:c r="A24" s="7" t="s">
        <ns0:v>25</ns0:v>
      </ns0:c>
      <ns0:c r="B24" s="8" t="n">
        <ns0:v>46405</ns0:v>
      </ns0:c>
      <ns0:c r="C24" s="9" t="n">
        <ns0:f aca="false">SUMIFS(Belege!$G$6:$G$43,Belege!$A$6:$A$43,A24,Belege!$C$6:$C$43,"&lt;="&amp;$B$3)</ns0:f>
        <ns0:v>14280</ns0:v>
      </ns0:c>
      <ns0:c r="D24" s="9" t="n">
        <ns0:f aca="false">SUMIFS(Bank!$D$6:$D$51,Bank!$C$6:$C$51,A24,Bank!$A$6:$A$51,"&lt;="&amp;$B$3)</ns0:f>
        <ns0:v>14280</ns0:v>
      </ns0:c>
      <ns0:c r="E24" s="10" t="n">
        <ns0:f aca="false">C24-D24</ns0:f>
        <ns0:v>0</ns0:v>
      </ns0:c>
    </ns0:row>
    <ns0:row r="25" customFormat="false" ht="31" hidden="false" customHeight="true" outlineLevel="0" collapsed="false">
      <ns0:c r="A25" s="7" t="s">
        <ns0:v>26</ns0:v>
      </ns0:c>
      <ns0:c r="B25" s="8" t="n">
        <ns0:v>47021</ns0:v>
      </ns0:c>
      <ns0:c r="C25" s="9" t="n">
        <ns0:f aca="false">SUMIFS(Belege!$G$6:$G$43,Belege!$A$6:$A$43,A25,Belege!$C$6:$C$43,"&lt;="&amp;$B$3)</ns0:f>
        <ns0:v>11900</ns0:v>
      </ns0:c>
      <ns0:c r="D25" s="9" t="n">
        <ns0:f aca="false">SUMIFS(Bank!$D$6:$D$51,Bank!$C$6:$C$51,A25,Bank!$A$6:$A$51,"&lt;="&amp;$B$3)</ns0:f>
        <ns0:v>0</ns0:v>
      </ns0:c>
      <ns0:c r="E25" s="10" t="n">
        <ns0:f aca="false">C25-D25</ns0:f>
        <ns0:v>11900</ns0:v>
      </ns0:c>
    </ns0:row>
    <ns0:row r="26" customFormat="false" ht="31" hidden="false" customHeight="true" outlineLevel="0" collapsed="false">
      <ns0:c r="A26" s="7" t="s">
        <ns0:v>27</ns0:v>
      </ns0:c>
      <ns0:c r="B26" s="8" t="n">
        <ns0:v>47021</ns0:v>
      </ns0:c>
      <ns0:c r="C26" s="9" t="n">
        <ns0:f aca="false">SUMIFS(Belege!$G$6:$G$43,Belege!$A$6:$A$43,A26,Belege!$C$6:$C$43,"&lt;="&amp;$B$3)</ns0:f>
        <ns0:v>9520</ns0:v>
      </ns0:c>
      <ns0:c r="D26" s="9" t="n">
        <ns0:f aca="false">SUMIFS(Bank!$D$6:$D$51,Bank!$C$6:$C$51,A26,Bank!$A$6:$A$51,"&lt;="&amp;$B$3)</ns0:f>
        <ns0:v>0</ns0:v>
      </ns0:c>
      <ns0:c r="E26" s="10" t="n">
        <ns0:f aca="false">C26-D26</ns0:f>
        <ns0:v>9520</ns0:v>
      </ns0:c>
    </ns0:row>
    <ns0:row r="27" customFormat="false" ht="31" hidden="false" customHeight="true" outlineLevel="0" collapsed="false">
      <ns0:c r="A27" s="7" t="s">
        <ns0:v>28</ns0:v>
      </ns0:c>
      <ns0:c r="B27" s="8" t="n">
        <ns0:v>46798</ns0:v>
      </ns0:c>
      <ns0:c r="C27" s="9" t="n">
        <ns0:f aca="false">SUMIFS(Belege!$G$6:$G$43,Belege!$A$6:$A$43,A27,Belege!$C$6:$C$43,"&lt;="&amp;$B$3)</ns0:f>
        <ns0:v>238000</ns0:v>
      </ns0:c>
      <ns0:c r="D27" s="9" t="n">
        <ns0:f aca="false">SUMIFS(Bank!$D$6:$D$51,Bank!$C$6:$C$51,A27,Bank!$A$6:$A$51,"&lt;="&amp;$B$3)</ns0:f>
        <ns0:v>238000</ns0:v>
      </ns0:c>
      <ns0:c r="E27" s="10" t="n">
        <ns0:f aca="false">C27-D27</ns0:f>
        <ns0:v>0</ns0:v>
      </ns0:c>
    </ns0:row>
    <ns0:row r="28" customFormat="false" ht="31" hidden="false" customHeight="true" outlineLevel="0" collapsed="false">
      <ns0:c r="A28" s="7" t="s">
        <ns0:v>29</ns0:v>
      </ns0:c>
      <ns0:c r="B28" s="8" t="n">
        <ns0:v>46858</ns0:v>
      </ns0:c>
      <ns0:c r="C28" s="9" t="n">
        <ns0:f aca="false">SUMIFS(Belege!$G$6:$G$43,Belege!$A$6:$A$43,A28,Belege!$C$6:$C$43,"&lt;="&amp;$B$3)</ns0:f>
        <ns0:v>357000</ns0:v>
      </ns0:c>
      <ns0:c r="D28" s="9" t="n">
        <ns0:f aca="false">SUMIFS(Bank!$D$6:$D$51,Bank!$C$6:$C$51,A28,Bank!$A$6:$A$51,"&lt;="&amp;$B$3)</ns0:f>
        <ns0:v>357000</ns0:v>
      </ns0:c>
      <ns0:c r="E28" s="10" t="n">
        <ns0:f aca="false">C28-D28</ns0:f>
        <ns0:v>0</ns0:v>
      </ns0:c>
    </ns0:row>
    <ns0:row r="29" customFormat="false" ht="31" hidden="false" customHeight="true" outlineLevel="0" collapsed="false">
      <ns0:c r="A29" s="7" t="s">
        <ns0:v>30</ns0:v>
      </ns0:c>
      <ns0:c r="B29" s="8" t="n">
        <ns0:v>47026</ns0:v>
      </ns0:c>
      <ns0:c r="C29" s="9" t="n">
        <ns0:f aca="false">SUMIFS(Belege!$G$6:$G$43,Belege!$A$6:$A$43,A29,Belege!$C$6:$C$43,"&lt;="&amp;$B$3)</ns0:f>
        <ns0:v>178500</ns0:v>
      </ns0:c>
      <ns0:c r="D29" s="9" t="n">
        <ns0:f aca="false">SUMIFS(Bank!$D$6:$D$51,Bank!$C$6:$C$51,A29,Bank!$A$6:$A$51,"&lt;="&amp;$B$3)</ns0:f>
        <ns0:v>0</ns0:v>
      </ns0:c>
      <ns0:c r="E29" s="10" t="n">
        <ns0:f aca="false">C29-D29</ns0:f>
        <ns0:v>178500</ns0:v>
      </ns0:c>
    </ns0:row>
    <ns0:row r="30" customFormat="false" ht="31" hidden="false" customHeight="true" outlineLevel="0" collapsed="false">
      <ns0:c r="A30" s="7" t="s">
        <ns0:v>31</ns0:v>
      </ns0:c>
      <ns0:c r="B30" s="8" t="n">
        <ns0:v>46888</ns0:v>
      </ns0:c>
      <ns0:c r="C30" s="9" t="n">
        <ns0:f aca="false">SUMIFS(Belege!$G$6:$G$43,Belege!$A$6:$A$43,A30,Belege!$C$6:$C$43,"&lt;="&amp;$B$3)</ns0:f>
        <ns0:v>261800</ns0:v>
      </ns0:c>
      <ns0:c r="D30" s="9" t="n">
        <ns0:f aca="false">SUMIFS(Bank!$D$6:$D$51,Bank!$C$6:$C$51,A30,Bank!$A$6:$A$51,"&lt;="&amp;$B$3)</ns0:f>
        <ns0:v>261800</ns0:v>
      </ns0:c>
      <ns0:c r="E30" s="10" t="n">
        <ns0:f aca="false">C30-D30</ns0:f>
        <ns0:v>0</ns0:v>
      </ns0:c>
    </ns0:row>
    <ns0:row r="31" customFormat="false" ht="31" hidden="false" customHeight="true" outlineLevel="0" collapsed="false">
      <ns0:c r="A31" s="7" t="s">
        <ns0:v>32</ns0:v>
      </ns0:c>
      <ns0:c r="B31" s="8" t="n">
        <ns0:v>47026</ns0:v>
      </ns0:c>
      <ns0:c r="C31" s="9" t="n">
        <ns0:f aca="false">SUMIFS(Belege!$G$6:$G$43,Belege!$A$6:$A$43,A31,Belege!$C$6:$C$43,"&lt;="&amp;$B$3)</ns0:f>
        <ns0:v>261800</ns0:v>
      </ns0:c>
      <ns0:c r="D31" s="9" t="n">
        <ns0:f aca="false">SUMIFS(Bank!$D$6:$D$51,Bank!$C$6:$C$51,A31,Bank!$A$6:$A$51,"&lt;="&amp;$B$3)</ns0:f>
        <ns0:v>0</ns0:v>
      </ns0:c>
      <ns0:c r="E31" s="10" t="n">
        <ns0:f aca="false">C31-D31</ns0:f>
        <ns0:v>261800</ns0:v>
      </ns0:c>
    </ns0:row>
    <ns0:row r="32" customFormat="false" ht="31" hidden="false" customHeight="true" outlineLevel="0" collapsed="false">
      <ns0:c r="A32" s="7" t="s">
        <ns0:v>33</ns0:v>
      </ns0:c>
      <ns0:c r="B32" s="8" t="n">
        <ns0:v>46919</ns0:v>
      </ns0:c>
      <ns0:c r="C32" s="9" t="n">
        <ns0:f aca="false">SUMIFS(Belege!$G$6:$G$43,Belege!$A$6:$A$43,A32,Belege!$C$6:$C$43,"&lt;="&amp;$B$3)</ns0:f>
        <ns0:v>214200</ns0:v>
      </ns0:c>
      <ns0:c r="D32" s="9" t="n">
        <ns0:f aca="false">SUMIFS(Bank!$D$6:$D$51,Bank!$C$6:$C$51,A32,Bank!$A$6:$A$51,"&lt;="&amp;$B$3)</ns0:f>
        <ns0:v>214200</ns0:v>
      </ns0:c>
      <ns0:c r="E32" s="10" t="n">
        <ns0:f aca="false">C32-D32</ns0:f>
        <ns0:v>0</ns0:v>
      </ns0:c>
    </ns0:row>
    <ns0:row r="33" customFormat="false" ht="31" hidden="false" customHeight="true" outlineLevel="0" collapsed="false">
      <ns0:c r="A33" s="7" t="s">
        <ns0:v>34</ns0:v>
      </ns0:c>
      <ns0:c r="B33" s="8" t="n">
        <ns0:v>47026</ns0:v>
      </ns0:c>
      <ns0:c r="C33" s="9" t="n">
        <ns0:f aca="false">SUMIFS(Belege!$G$6:$G$43,Belege!$A$6:$A$43,A33,Belege!$C$6:$C$43,"&lt;="&amp;$B$3)</ns0:f>
        <ns0:v>214200</ns0:v>
      </ns0:c>
      <ns0:c r="D33" s="9" t="n">
        <ns0:f aca="false">SUMIFS(Bank!$D$6:$D$51,Bank!$C$6:$C$51,A33,Bank!$A$6:$A$51,"&lt;="&amp;$B$3)</ns0:f>
        <ns0:v>0</ns0:v>
      </ns0:c>
      <ns0:c r="E33" s="10" t="n">
        <ns0:f aca="false">C33-D33</ns0:f>
        <ns0:v>214200</ns0:v>
      </ns0:c>
    </ns0:row>
    <ns0:row r="34" customFormat="false" ht="31" hidden="false" customHeight="true" outlineLevel="0" collapsed="false">
      <ns0:c r="A34" s="7" t="s">
        <ns0:v>35</ns0:v>
      </ns0:c>
      <ns0:c r="B34" s="8" t="n">
        <ns0:v>46905</ns0:v>
      </ns0:c>
      <ns0:c r="C34" s="9" t="n">
        <ns0:f aca="false">SUMIFS(Belege!$G$6:$G$43,Belege!$A$6:$A$43,A34,Belege!$C$6:$C$43,"&lt;="&amp;$B$3)</ns0:f>
        <ns0:v>89250</ns0:v>
      </ns0:c>
      <ns0:c r="D34" s="9" t="n">
        <ns0:f aca="false">SUMIFS(Bank!$D$6:$D$51,Bank!$C$6:$C$51,A34,Bank!$A$6:$A$51,"&lt;="&amp;$B$3)</ns0:f>
        <ns0:v>178500</ns0:v>
      </ns0:c>
      <ns0:c r="E34" s="10" t="n">
        <ns0:f aca="false">C34-D34</ns0:f>
        <ns0:v>-89250</ns0:v>
      </ns0:c>
    </ns0:row>
    <ns0:row r="35" customFormat="false" ht="31" hidden="false" customHeight="true" outlineLevel="0" collapsed="false">
      <ns0:c r="A35" s="7" t="s">
        <ns0:v>36</ns0:v>
      </ns0:c>
      <ns0:c r="B35" s="8" t="n">
        <ns0:v>47026</ns0:v>
      </ns0:c>
      <ns0:c r="C35" s="9" t="n">
        <ns0:f aca="false">SUMIFS(Belege!$G$6:$G$43,Belege!$A$6:$A$43,A35,Belege!$C$6:$C$43,"&lt;="&amp;$B$3)</ns0:f>
        <ns0:v>35700</ns0:v>
      </ns0:c>
      <ns0:c r="D35" s="9" t="n">
        <ns0:f aca="false">SUMIFS(Bank!$D$6:$D$51,Bank!$C$6:$C$51,A35,Bank!$A$6:$A$51,"&lt;="&amp;$B$3)</ns0:f>
        <ns0:v>0</ns0:v>
      </ns0:c>
      <ns0:c r="E35" s="10" t="n">
        <ns0:f aca="false">C35-D35</ns0:f>
        <ns0:v>35700</ns0:v>
      </ns0:c>
    </ns0:row>
    <ns0:row r="36" customFormat="false" ht="31" hidden="false" customHeight="true" outlineLevel="0" collapsed="false">
      <ns0:c r="A36" s="7" t="s">
        <ns0:v>37</ns0:v>
      </ns0:c>
      <ns0:c r="B36" s="8" t="n">
        <ns0:v>46949</ns0:v>
      </ns0:c>
      <ns0:c r="C36" s="9" t="n">
        <ns0:f aca="false">SUMIFS(Belege!$G$6:$G$43,Belege!$A$6:$A$43,A36,Belege!$C$6:$C$43,"&lt;="&amp;$B$3)</ns0:f>
        <ns0:v>178500</ns0:v>
      </ns0:c>
      <ns0:c r="D36" s="9" t="n">
        <ns0:f aca="false">SUMIFS(Bank!$D$6:$D$51,Bank!$C$6:$C$51,A36,Bank!$A$6:$A$51,"&lt;="&amp;$B$3)</ns0:f>
        <ns0:v>178500</ns0:v>
      </ns0:c>
      <ns0:c r="E36" s="10" t="n">
        <ns0:f aca="false">C36-D36</ns0:f>
        <ns0:v>0</ns0:v>
      </ns0:c>
    </ns0:row>
    <ns0:row r="37" customFormat="false" ht="31" hidden="false" customHeight="true" outlineLevel="0" collapsed="false">
      <ns0:c r="A37" s="7" t="s">
        <ns0:v>38</ns0:v>
      </ns0:c>
      <ns0:c r="B37" s="8" t="n">
        <ns0:v>47026</ns0:v>
      </ns0:c>
      <ns0:c r="C37" s="9" t="n">
        <ns0:f aca="false">SUMIFS(Belege!$G$6:$G$43,Belege!$A$6:$A$43,A37,Belege!$C$6:$C$43,"&lt;="&amp;$B$3)</ns0:f>
        <ns0:v>178500</ns0:v>
      </ns0:c>
      <ns0:c r="D37" s="9" t="n">
        <ns0:f aca="false">SUMIFS(Bank!$D$6:$D$51,Bank!$C$6:$C$51,A37,Bank!$A$6:$A$51,"&lt;="&amp;$B$3)</ns0:f>
        <ns0:v>0</ns0:v>
      </ns0:c>
      <ns0:c r="E37" s="10" t="n">
        <ns0:f aca="false">C37-D37</ns0:f>
        <ns0:v>178500</ns0:v>
      </ns0:c>
    </ns0:row>
    <ns0:row r="38" customFormat="false" ht="31" hidden="false" customHeight="true" outlineLevel="0" collapsed="false">
      <ns0:c r="A38" s="7" t="s">
        <ns0:v>39</ns0:v>
      </ns0:c>
      <ns0:c r="B38" s="8" t="n">
        <ns0:v>47026</ns0:v>
      </ns0:c>
      <ns0:c r="C38" s="9" t="n">
        <ns0:f aca="false">SUMIFS(Belege!$G$6:$G$43,Belege!$A$6:$A$43,A38,Belege!$C$6:$C$43,"&lt;="&amp;$B$3)</ns0:f>
        <ns0:v>71400</ns0:v>
      </ns0:c>
      <ns0:c r="D38" s="9" t="n">
        <ns0:f aca="false">SUMIFS(Bank!$D$6:$D$51,Bank!$C$6:$C$51,A38,Bank!$A$6:$A$51,"&lt;="&amp;$B$3)</ns0:f>
        <ns0:v>0</ns0:v>
      </ns0:c>
      <ns0:c r="E38" s="10" t="n">
        <ns0:f aca="false">C38-D38</ns0:f>
        <ns0:v>71400</ns0:v>
      </ns0:c>
    </ns0:row>
    <ns0:row r="39" customFormat="false" ht="31" hidden="false" customHeight="true" outlineLevel="0" collapsed="false">
      <ns0:c r="A39" s="7" t="s">
        <ns0:v>40</ns0:v>
      </ns0:c>
      <ns0:c r="B39" s="8" t="n">
        <ns0:v>47072</ns0:v>
      </ns0:c>
      <ns0:c r="C39" s="9" t="n">
        <ns0:f aca="false">SUMIFS(Belege!$G$6:$G$43,Belege!$A$6:$A$43,A39,Belege!$C$6:$C$43,"&lt;="&amp;$B$3)</ns0:f>
        <ns0:v>0</ns0:v>
      </ns0:c>
      <ns0:c r="D39" s="9" t="n">
        <ns0:f aca="false">SUMIFS(Bank!$D$6:$D$51,Bank!$C$6:$C$51,A39,Bank!$A$6:$A$51,"&lt;="&amp;$B$3)</ns0:f>
        <ns0:v>0</ns0:v>
      </ns0:c>
      <ns0:c r="E39" s="10" t="n">
        <ns0:f aca="false">C39-D39</ns0:f>
        <ns0:v>0</ns0:v>
      </ns0:c>
    </ns0:row>
    <ns0:row r="40" customFormat="false" ht="31" hidden="false" customHeight="true" outlineLevel="0" collapsed="false">
      <ns0:c r="A40" s="7" t="s">
        <ns0:v>41</ns0:v>
      </ns0:c>
      <ns0:c r="B40" s="8" t="n">
        <ns0:v>46985</ns0:v>
      </ns0:c>
      <ns0:c r="C40" s="9" t="n">
        <ns0:f aca="false">SUMIFS(Belege!$G$6:$G$43,Belege!$A$6:$A$43,A40,Belege!$C$6:$C$43,"&lt;="&amp;$B$3)</ns0:f>
        <ns0:v>41650</ns0:v>
      </ns0:c>
      <ns0:c r="D40" s="9" t="n">
        <ns0:f aca="false">SUMIFS(Bank!$D$6:$D$51,Bank!$C$6:$C$51,A40,Bank!$A$6:$A$51,"&lt;="&amp;$B$3)</ns0:f>
        <ns0:v>41650</ns0:v>
      </ns0:c>
      <ns0:c r="E40" s="10" t="n">
        <ns0:f aca="false">C40-D40</ns0:f>
        <ns0:v>0</ns0:v>
      </ns0:c>
    </ns0:row>
    <ns0:row r="41" customFormat="false" ht="31" hidden="false" customHeight="true" outlineLevel="0" collapsed="false">
      <ns0:c r="A41" s="7" t="s">
        <ns0:v>42</ns0:v>
      </ns0:c>
      <ns0:c r="B41" s="8" t="n">
        <ns0:v>46817</ns0:v>
      </ns0:c>
      <ns0:c r="C41" s="9" t="n">
        <ns0:f aca="false">SUMIFS(Belege!$G$6:$G$43,Belege!$A$6:$A$43,A41,Belege!$C$6:$C$43,"&lt;="&amp;$B$3)</ns0:f>
        <ns0:v>21420</ns0:v>
      </ns0:c>
      <ns0:c r="D41" s="9" t="n">
        <ns0:f aca="false">SUMIFS(Bank!$D$6:$D$51,Bank!$C$6:$C$51,A41,Bank!$A$6:$A$51,"&lt;="&amp;$B$3)</ns0:f>
        <ns0:v>21420</ns0:v>
      </ns0:c>
      <ns0:c r="E41" s="10" t="n">
        <ns0:f aca="false">C41-D41</ns0:f>
        <ns0:v>0</ns0:v>
      </ns0:c>
    </ns0:row>
    <ns0:row r="42" customFormat="false" ht="31" hidden="false" customHeight="true" outlineLevel="0" collapsed="false">
      <ns0:c r="A42" s="7" t="s">
        <ns0:v>43</ns0:v>
      </ns0:c>
      <ns0:c r="B42" s="8" t="n">
        <ns0:v>47041</ns0:v>
      </ns0:c>
      <ns0:c r="C42" s="9" t="n">
        <ns0:f aca="false">SUMIFS(Belege!$G$6:$G$43,Belege!$A$6:$A$43,A42,Belege!$C$6:$C$43,"&lt;="&amp;$B$3)</ns0:f>
        <ns0:v>0</ns0:v>
      </ns0:c>
      <ns0:c r="D42" s="9" t="n">
        <ns0:f aca="false">SUMIFS(Bank!$D$6:$D$51,Bank!$C$6:$C$51,A42,Bank!$A$6:$A$51,"&lt;="&amp;$B$3)</ns0:f>
        <ns0:v>0</ns0:v>
      </ns0:c>
      <ns0:c r="E42" s="10" t="n">
        <ns0:f aca="false">C42-D42</ns0:f>
        <ns0:v>0</ns0:v>
      </ns0:c>
    </ns0:row>
    <ns0:row r="43" customFormat="false" ht="31" hidden="false" customHeight="true" outlineLevel="0" collapsed="false">
      <ns0:c r="A43" s="7" t="s">
        <ns0:v>44</ns0:v>
      </ns0:c>
      <ns0:c r="B43" s="8" t="n">
        <ns0:v>47026</ns0:v>
      </ns0:c>
      <ns0:c r="C43" s="9" t="n">
        <ns0:f aca="false">SUMIFS(Belege!$G$6:$G$43,Belege!$A$6:$A$43,A43,Belege!$C$6:$C$43,"&lt;="&amp;$B$3)</ns0:f>
        <ns0:v>45000</ns0:v>
      </ns0:c>
      <ns0:c r="D43" s="9" t="n">
        <ns0:f aca="false">SUMIFS(Bank!$D$6:$D$51,Bank!$C$6:$C$51,A43,Bank!$A$6:$A$51,"&lt;="&amp;$B$3)</ns0:f>
        <ns0:v>0</ns0:v>
      </ns0:c>
      <ns0:c r="E43" s="10" t="n">
        <ns0:f aca="false">C43-D43</ns0:f>
        <ns0:v>45000</ns0:v>
      </ns0:c>
    </ns0:row>
    <ns0:row r="44" customFormat="false" ht="29" hidden="false" customHeight="true" outlineLevel="0" collapsed="false">
      <ns0:c r="A44" s="11" t="s">
        <ns0:v>45</ns0:v>
      </ns0:c>
      <ns0:c r="B44" s="11"/>
      <ns0:c r="C44" s="12" t="n">
        <ns0:f aca="false">SUM(C6:C43)</ns0:f>
        <ns0:v>3190873.41</ns0:v>
      </ns0:c>
      <ns0:c r="D44" s="12" t="n">
        <ns0:f aca="false">SUM(D6:D43)</ns0:f>
        <ns0:v>2208153.41</ns0:v>
      </ns0:c>
      <ns0:c r="E44" s="12" t="n">
        <ns0:f aca="false">SUM(E6:E43)</ns0:f>
        <ns0:v>982720</ns0:v>
      </ns0:c>
    </ns0:row>
    <ns0:row r="45" customFormat="false" ht="15" hidden="false" customHeight="false" outlineLevel="0" collapsed="false">
      <ns0:c r="A45" s="2"/>
      <ns0:c r="B45" s="2"/>
      <ns0:c r="C45" s="2"/>
      <ns0:c r="D45" s="2"/>
      <ns0:c r="E45" s="2"/>
    </ns0:row>
    <ns0:row r="46" customFormat="false" ht="15" hidden="false" customHeight="false" outlineLevel="0" collapsed="false">
      <ns0:c r="A46" s="2" t="s">
        <ns0:v>46</ns0:v>
      </ns0:c>
      <ns0:c r="B46" s="2"/>
      <ns0:c r="C46" s="2"/>
      <ns0:c r="D46" s="2"/>
      <ns0:c r="E46" s="2"/>
    </ns0:row>
    <ns0:row r="47" customFormat="false" ht="15" hidden="false" customHeight="false" outlineLevel="0" collapsed="false">
      <ns0:c r="A47" s="2" t="s">
        <ns0:v>47</ns0:v>
      </ns0:c>
      <ns0:c r="B47" s="2"/>
      <ns0:c r="C47" s="2"/>
      <ns0:c r="D47" s="2"/>
      <ns0:c r="E47" s="2"/>
    </ns0:row>
    <ns0:row r="48" customFormat="false" ht="15" hidden="false" customHeight="false" outlineLevel="0" collapsed="false">
      <ns0:c r="A48" s="2"/>
      <ns0:c r="B48" s="2"/>
      <ns0:c r="C48" s="2"/>
      <ns0:c r="D48" s="2"/>
      <ns0:c r="E48" s="2"/>
    </ns0:row>
    <ns0:row r="49" customFormat="false" ht="15" hidden="false" customHeight="false" outlineLevel="0" collapsed="false">
      <ns0:c r="A49" s="2"/>
      <ns0:c r="B49" s="2"/>
      <ns0:c r="C49" s="2"/>
      <ns0:c r="D49" s="2"/>
      <ns0:c r="E49" s="2"/>
    </ns0:row>
    <ns0:row r="50" customFormat="false" ht="15" hidden="false" customHeight="false" outlineLevel="0" collapsed="false">
      <ns0:c r="A50" s="2"/>
      <ns0:c r="B50" s="2"/>
      <ns0:c r="C50" s="2"/>
      <ns0:c r="D50" s="2"/>
      <ns0:c r="E50" s="2"/>
    </ns0:row>
    <ns0:row r="51" customFormat="false" ht="15" hidden="false" customHeight="false" outlineLevel="0" collapsed="false">
      <ns0:c r="A51" s="2"/>
      <ns0:c r="B51" s="2"/>
      <ns0:c r="C51" s="2"/>
      <ns0:c r="D51" s="2"/>
      <ns0:c r="E51" s="2"/>
    </ns0:row>
    <ns0:row r="52" customFormat="false" ht="15" hidden="false" customHeight="false" outlineLevel="0" collapsed="false">
      <ns0:c r="A52" s="2"/>
      <ns0:c r="B52" s="2"/>
      <ns0:c r="C52" s="2"/>
      <ns0:c r="D52" s="2"/>
      <ns0:c r="E52" s="2"/>
    </ns0:row>
    <ns0:row r="53" customFormat="false" ht="15" hidden="false" customHeight="false" outlineLevel="0" collapsed="false">
      <ns0:c r="A53" s="2"/>
      <ns0:c r="B53" s="2"/>
      <ns0:c r="C53" s="2"/>
      <ns0:c r="D53" s="2"/>
      <ns0:c r="E53" s="2"/>
    </ns0:row>
    <ns0:row r="54" customFormat="false" ht="15" hidden="false" customHeight="false" outlineLevel="0" collapsed="false">
      <ns0:c r="A54" s="2"/>
      <ns0:c r="B54" s="2"/>
      <ns0:c r="C54" s="2"/>
      <ns0:c r="D54" s="2"/>
      <ns0:c r="E54" s="2"/>
    </ns0:row>
    <ns0:row r="55" customFormat="false" ht="15" hidden="false" customHeight="false" outlineLevel="0" collapsed="false">
      <ns0:c r="A55" s="2"/>
      <ns0:c r="B55" s="2"/>
      <ns0:c r="C55" s="2"/>
      <ns0:c r="D55" s="2"/>
      <ns0:c r="E55" s="2"/>
    </ns0:row>
    <ns0:row r="56" customFormat="false" ht="15" hidden="false" customHeight="false" outlineLevel="0" collapsed="false">
      <ns0:c r="A56" s="2"/>
      <ns0:c r="B56" s="2"/>
      <ns0:c r="C56" s="2"/>
      <ns0:c r="D56" s="2"/>
      <ns0:c r="E56" s="2"/>
    </ns0:row>
    <ns0:row r="57" customFormat="false" ht="15" hidden="false" customHeight="false" outlineLevel="0" collapsed="false">
      <ns0:c r="A57" s="2"/>
      <ns0:c r="B57" s="2"/>
      <ns0:c r="C57" s="2"/>
      <ns0:c r="D57" s="2"/>
      <ns0:c r="E57" s="2"/>
    </ns0:row>
    <ns0:row r="58" customFormat="false" ht="15" hidden="false" customHeight="false" outlineLevel="0" collapsed="false">
      <ns0:c r="A58" s="2"/>
      <ns0:c r="B58" s="2"/>
      <ns0:c r="C58" s="2"/>
      <ns0:c r="D58" s="2"/>
      <ns0:c r="E58" s="2"/>
    </ns0:row>
    <ns0:row r="59" customFormat="false" ht="15" hidden="false" customHeight="false" outlineLevel="0" collapsed="false">
      <ns0:c r="A59" s="2"/>
      <ns0:c r="B59" s="2"/>
      <ns0:c r="C59" s="2"/>
      <ns0:c r="D59" s="2"/>
      <ns0:c r="E59" s="2"/>
    </ns0:row>
    <ns0:row r="60" customFormat="false" ht="15" hidden="false" customHeight="false" outlineLevel="0" collapsed="false">
      <ns0:c r="A60" s="2"/>
      <ns0:c r="B60" s="2"/>
      <ns0:c r="C60" s="2"/>
      <ns0:c r="D60" s="2"/>
      <ns0:c r="E60" s="2"/>
    </ns0:row>
    <ns0:row r="61" customFormat="false" ht="15" hidden="false" customHeight="false" outlineLevel="0" collapsed="false">
      <ns0:c r="A61" s="2"/>
      <ns0:c r="B61" s="2"/>
      <ns0:c r="C61" s="2"/>
      <ns0:c r="D61" s="2"/>
      <ns0:c r="E61" s="2"/>
    </ns0:row>
    <ns0:row r="62" customFormat="false" ht="15" hidden="false" customHeight="false" outlineLevel="0" collapsed="false">
      <ns0:c r="A62" s="2"/>
      <ns0:c r="B62" s="2"/>
      <ns0:c r="C62" s="2"/>
      <ns0:c r="D62" s="2"/>
      <ns0:c r="E62" s="2"/>
    </ns0:row>
    <ns0:row r="63" customFormat="false" ht="15" hidden="false" customHeight="false" outlineLevel="0" collapsed="false">
      <ns0:c r="A63" s="2"/>
      <ns0:c r="B63" s="2"/>
      <ns0:c r="C63" s="2"/>
      <ns0:c r="D63" s="2"/>
      <ns0:c r="E63" s="2"/>
    </ns0:row>
    <ns0:row r="64" customFormat="false" ht="15" hidden="false" customHeight="false" outlineLevel="0" collapsed="false">
      <ns0:c r="A64" s="2"/>
      <ns0:c r="B64" s="2"/>
      <ns0:c r="C64" s="2"/>
      <ns0:c r="D64" s="2"/>
      <ns0:c r="E64" s="2"/>
    </ns0:row>
    <ns0:row r="65" customFormat="false" ht="15" hidden="false" customHeight="false" outlineLevel="0" collapsed="false">
      <ns0:c r="A65" s="2"/>
      <ns0:c r="B65" s="2"/>
      <ns0:c r="C65" s="2"/>
      <ns0:c r="D65" s="2"/>
      <ns0:c r="E65" s="2"/>
    </ns0:row>
    <ns0:row r="66" customFormat="false" ht="15" hidden="false" customHeight="false" outlineLevel="0" collapsed="false">
      <ns0:c r="A66" s="2"/>
      <ns0:c r="B66" s="2"/>
      <ns0:c r="C66" s="2"/>
      <ns0:c r="D66" s="2"/>
      <ns0:c r="E66" s="2"/>
    </ns0:row>
    <ns0:row r="67" customFormat="false" ht="15" hidden="false" customHeight="false" outlineLevel="0" collapsed="false">
      <ns0:c r="A67" s="2"/>
      <ns0:c r="B67" s="2"/>
      <ns0:c r="C67" s="2"/>
      <ns0:c r="D67" s="2"/>
      <ns0:c r="E67" s="2"/>
    </ns0:row>
    <ns0:row r="68" customFormat="false" ht="15" hidden="false" customHeight="false" outlineLevel="0" collapsed="false">
      <ns0:c r="A68" s="2"/>
      <ns0:c r="B68" s="2"/>
      <ns0:c r="C68" s="2"/>
      <ns0:c r="D68" s="2"/>
      <ns0:c r="E68" s="2"/>
    </ns0:row>
    <ns0:row r="69" customFormat="false" ht="15" hidden="false" customHeight="false" outlineLevel="0" collapsed="false">
      <ns0:c r="A69" s="2"/>
      <ns0:c r="B69" s="2"/>
      <ns0:c r="C69" s="2"/>
      <ns0:c r="D69" s="2"/>
      <ns0:c r="E69" s="2"/>
    </ns0:row>
    <ns0:row r="70" customFormat="false" ht="15" hidden="false" customHeight="false" outlineLevel="0" collapsed="false">
      <ns0:c r="A70" s="2"/>
      <ns0:c r="B70" s="2"/>
      <ns0:c r="C70" s="2"/>
      <ns0:c r="D70" s="2"/>
      <ns0:c r="E70" s="2"/>
    </ns0:row>
    <ns0:row r="71" customFormat="false" ht="15" hidden="false" customHeight="false" outlineLevel="0" collapsed="false">
      <ns0:c r="A71" s="2"/>
      <ns0:c r="B71" s="2"/>
      <ns0:c r="C71" s="2"/>
      <ns0:c r="D71" s="2"/>
      <ns0:c r="E71" s="2"/>
    </ns0:row>
    <ns0:row r="72" customFormat="false" ht="15" hidden="false" customHeight="false" outlineLevel="0" collapsed="false">
      <ns0:c r="A72" s="2"/>
      <ns0:c r="B72" s="2"/>
      <ns0:c r="C72" s="2"/>
      <ns0:c r="D72" s="2"/>
      <ns0:c r="E72" s="2"/>
    </ns0:row>
    <ns0:row r="73" customFormat="false" ht="15" hidden="false" customHeight="false" outlineLevel="0" collapsed="false">
      <ns0:c r="A73" s="2"/>
      <ns0:c r="B73" s="2"/>
      <ns0:c r="C73" s="2"/>
      <ns0:c r="D73" s="2"/>
      <ns0:c r="E73" s="2"/>
    </ns0:row>
    <ns0:row r="74" customFormat="false" ht="15" hidden="false" customHeight="false" outlineLevel="0" collapsed="false">
      <ns0:c r="A74" s="2"/>
      <ns0:c r="B74" s="2"/>
      <ns0:c r="C74" s="2"/>
      <ns0:c r="D74" s="2"/>
      <ns0:c r="E74" s="2"/>
    </ns0:row>
    <ns0:row r="75" customFormat="false" ht="15" hidden="false" customHeight="false" outlineLevel="0" collapsed="false">
      <ns0:c r="A75" s="2"/>
      <ns0:c r="B75" s="2"/>
      <ns0:c r="C75" s="2"/>
      <ns0:c r="D75" s="2"/>
      <ns0:c r="E75" s="2"/>
    </ns0:row>
    <ns0:row r="76" customFormat="false" ht="15" hidden="false" customHeight="false" outlineLevel="0" collapsed="false">
      <ns0:c r="A76" s="2"/>
      <ns0:c r="B76" s="2"/>
      <ns0:c r="C76" s="2"/>
      <ns0:c r="D76" s="2"/>
      <ns0:c r="E76" s="2"/>
    </ns0:row>
    <ns0:row r="77" customFormat="false" ht="15" hidden="false" customHeight="false" outlineLevel="0" collapsed="false">
      <ns0:c r="A77" s="2"/>
      <ns0:c r="B77" s="2"/>
      <ns0:c r="C77" s="2"/>
      <ns0:c r="D77" s="2"/>
      <ns0:c r="E77" s="2"/>
    </ns0:row>
    <ns0:row r="78" customFormat="false" ht="15" hidden="false" customHeight="false" outlineLevel="0" collapsed="false">
      <ns0:c r="A78" s="2"/>
      <ns0:c r="B78" s="2"/>
      <ns0:c r="C78" s="2"/>
      <ns0:c r="D78" s="2"/>
      <ns0:c r="E78" s="2"/>
    </ns0:row>
    <ns0:row r="79" customFormat="false" ht="15" hidden="false" customHeight="false" outlineLevel="0" collapsed="false">
      <ns0:c r="A79" s="2"/>
      <ns0:c r="B79" s="2"/>
      <ns0:c r="C79" s="2"/>
      <ns0:c r="D79" s="2"/>
      <ns0:c r="E79" s="2"/>
    </ns0:row>
    <ns0:row r="80" customFormat="false" ht="15" hidden="false" customHeight="false" outlineLevel="0" collapsed="false">
      <ns0:c r="A80" s="2"/>
      <ns0:c r="B80" s="2"/>
      <ns0:c r="C80" s="2"/>
      <ns0:c r="D80" s="2"/>
      <ns0:c r="E80" s="2"/>
    </ns0:row>
    <ns0:row r="81" customFormat="false" ht="15" hidden="false" customHeight="false" outlineLevel="0" collapsed="false">
      <ns0:c r="A81" s="2"/>
      <ns0:c r="B81" s="2"/>
      <ns0:c r="C81" s="2"/>
      <ns0:c r="D81" s="2"/>
      <ns0:c r="E81" s="2"/>
    </ns0:row>
    <ns0:row r="82" customFormat="false" ht="15" hidden="false" customHeight="false" outlineLevel="0" collapsed="false">
      <ns0:c r="A82" s="2"/>
      <ns0:c r="B82" s="2"/>
      <ns0:c r="C82" s="2"/>
      <ns0:c r="D82" s="2"/>
      <ns0:c r="E82" s="2"/>
    </ns0:row>
    <ns0:row r="83" customFormat="false" ht="15" hidden="false" customHeight="false" outlineLevel="0" collapsed="false">
      <ns0:c r="A83" s="2"/>
      <ns0:c r="B83" s="2"/>
      <ns0:c r="C83" s="2"/>
      <ns0:c r="D83" s="2"/>
      <ns0:c r="E83" s="2"/>
    </ns0:row>
    <ns0:row r="84" customFormat="false" ht="15" hidden="false" customHeight="false" outlineLevel="0" collapsed="false">
      <ns0:c r="A84" s="2"/>
      <ns0:c r="B84" s="2"/>
      <ns0:c r="C84" s="2"/>
      <ns0:c r="D84" s="2"/>
      <ns0:c r="E84" s="2"/>
    </ns0:row>
    <ns0:row r="85" customFormat="false" ht="15" hidden="false" customHeight="false" outlineLevel="0" collapsed="false">
      <ns0:c r="A85" s="2"/>
      <ns0:c r="B85" s="2"/>
      <ns0:c r="C85" s="2"/>
      <ns0:c r="D85" s="2"/>
      <ns0:c r="E85" s="2"/>
    </ns0:row>
    <ns0:row r="86" customFormat="false" ht="15" hidden="false" customHeight="false" outlineLevel="0" collapsed="false">
      <ns0:c r="A86" s="2"/>
      <ns0:c r="B86" s="2"/>
      <ns0:c r="C86" s="2"/>
      <ns0:c r="D86" s="2"/>
      <ns0:c r="E86" s="2"/>
    </ns0:row>
    <ns0:row r="87" customFormat="false" ht="15" hidden="false" customHeight="false" outlineLevel="0" collapsed="false">
      <ns0:c r="A87" s="2"/>
      <ns0:c r="B87" s="2"/>
      <ns0:c r="C87" s="2"/>
      <ns0:c r="D87" s="2"/>
      <ns0:c r="E87" s="2"/>
    </ns0:row>
    <ns0:row r="88" customFormat="false" ht="15" hidden="false" customHeight="false" outlineLevel="0" collapsed="false">
      <ns0:c r="A88" s="2"/>
      <ns0:c r="B88" s="2"/>
      <ns0:c r="C88" s="2"/>
      <ns0:c r="D88" s="2"/>
      <ns0:c r="E88" s="2"/>
    </ns0:row>
    <ns0:row r="89" customFormat="false" ht="15" hidden="false" customHeight="false" outlineLevel="0" collapsed="false">
      <ns0:c r="A89" s="2"/>
      <ns0:c r="B89" s="2"/>
      <ns0:c r="C89" s="2"/>
      <ns0:c r="D89" s="2"/>
      <ns0:c r="E89" s="2"/>
    </ns0:row>
    <ns0:row r="90" customFormat="false" ht="15" hidden="false" customHeight="false" outlineLevel="0" collapsed="false">
      <ns0:c r="A90" s="2"/>
      <ns0:c r="B90" s="2"/>
      <ns0:c r="C90" s="2"/>
      <ns0:c r="D90" s="2"/>
      <ns0:c r="E90" s="2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  <ns0:tableParts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 filterMode="false">
    <ns0:pageSetUpPr fitToPage="1"/>
  </ns0:sheetPr>
  <ns0:dimension ref="A1:G9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21"/>
    <ns0:col collapsed="false" customWidth="true" hidden="false" outlineLevel="0" max="2" min="2" style="1" width="8"/>
    <ns0:col collapsed="false" customWidth="true" hidden="false" outlineLevel="0" max="3" min="3" style="1" width="15"/>
    <ns0:col collapsed="false" customWidth="true" hidden="false" outlineLevel="0" max="4" min="4" style="1" width="43"/>
    <ns0:col collapsed="false" customWidth="true" hidden="false" outlineLevel="0" max="5" min="5" style="1" width="19"/>
    <ns0:col collapsed="false" customWidth="true" hidden="false" outlineLevel="0" max="6" min="6" style="1" width="17"/>
    <ns0:col collapsed="false" customWidth="true" hidden="false" outlineLevel="0" max="7" min="7" style="1" width="19"/>
  </ns0:cols>
  <ns0:sheetData>
    <ns0:row r="1" customFormat="false" ht="15" hidden="false" customHeight="false" outlineLevel="0" collapsed="false">
      <ns0:c r="A1" s="2"/>
      <ns0:c r="B1" s="2"/>
      <ns0:c r="C1" s="2"/>
      <ns0:c r="D1" s="2"/>
      <ns0:c r="E1" s="2"/>
      <ns0:c r="F1" s="2"/>
      <ns0:c r="G1" s="2"/>
    </ns0:row>
    <ns0:row r="2" customFormat="false" ht="17.35" hidden="false" customHeight="false" outlineLevel="0" collapsed="false">
      <ns0:c r="A2" s="3" t="s">
        <ns0:v>48</ns0:v>
      </ns0:c>
      <ns0:c r="B2" s="2"/>
      <ns0:c r="C2" s="2"/>
      <ns0:c r="D2" s="2"/>
      <ns0:c r="E2" s="2"/>
      <ns0:c r="F2" s="2"/>
      <ns0:c r="G2" s="2"/>
    </ns0:row>
    <ns0:row r="3" customFormat="false" ht="15" hidden="false" customHeight="false" outlineLevel="0" collapsed="false">
      <ns0:c r="A3" s="4" t="s">
        <ns0:v>49</ns0:v>
      </ns0:c>
      <ns0:c r="B3" s="2"/>
      <ns0:c r="C3" s="2"/>
      <ns0:c r="D3" s="2"/>
      <ns0:c r="E3" s="2"/>
      <ns0:c r="F3" s="2"/>
      <ns0:c r="G3" s="2"/>
    </ns0:row>
    <ns0:row r="4" customFormat="false" ht="15" hidden="false" customHeight="false" outlineLevel="0" collapsed="false">
      <ns0:c r="A4" s="2"/>
      <ns0:c r="B4" s="2"/>
      <ns0:c r="C4" s="2"/>
      <ns0:c r="D4" s="2"/>
      <ns0:c r="E4" s="2"/>
      <ns0:c r="F4" s="2"/>
      <ns0:c r="G4" s="2"/>
    </ns0:row>
    <ns0:row r="5" customFormat="false" ht="35" hidden="false" customHeight="true" outlineLevel="0" collapsed="false">
      <ns0:c r="A5" s="6" t="s">
        <ns0:v>2</ns0:v>
      </ns0:c>
      <ns0:c r="B5" s="6" t="s">
        <ns0:v>50</ns0:v>
      </ns0:c>
      <ns0:c r="C5" s="6" t="s">
        <ns0:v>51</ns0:v>
      </ns0:c>
      <ns0:c r="D5" s="6" t="s">
        <ns0:v>52</ns0:v>
      </ns0:c>
      <ns0:c r="E5" s="6" t="s">
        <ns0:v>53</ns0:v>
      </ns0:c>
      <ns0:c r="F5" s="6" t="s">
        <ns0:v>54</ns0:v>
      </ns0:c>
      <ns0:c r="G5" s="6" t="s">
        <ns0:v>55</ns0:v>
      </ns0:c>
    </ns0:row>
    <ns0:row r="6" customFormat="false" ht="31" hidden="false" customHeight="true" outlineLevel="0" collapsed="false">
      <ns0:c r="A6" s="7" t="s">
        <ns0:v>7</ns0:v>
      </ns0:c>
      <ns0:c r="B6" s="7" t="s">
        <ns0:v>56</ns0:v>
      </ns0:c>
      <ns0:c r="C6" s="13" t="n">
        <ns0:v>46342</ns0:v>
      </ns0:c>
      <ns0:c r="D6" s="7" t="s">
        <ns0:v>57</ns0:v>
      </ns0:c>
      <ns0:c r="E6" s="14" t="n">
        <ns0:v>450000</ns0:v>
      </ns0:c>
      <ns0:c r="F6" s="14" t="n">
        <ns0:v>0</ns0:v>
      </ns0:c>
      <ns0:c r="G6" s="10" t="n">
        <ns0:f aca="false">SUM(E6:F6)</ns0:f>
        <ns0:v>450000</ns0:v>
      </ns0:c>
    </ns0:row>
    <ns0:row r="7" customFormat="false" ht="31" hidden="false" customHeight="true" outlineLevel="0" collapsed="false">
      <ns0:c r="A7" s="7" t="s">
        <ns0:v>8</ns0:v>
      </ns0:c>
      <ns0:c r="B7" s="7" t="s">
        <ns0:v>56</ns0:v>
      </ns0:c>
      <ns0:c r="C7" s="13" t="n">
        <ns0:v>46346</ns0:v>
      </ns0:c>
      <ns0:c r="D7" s="7" t="s">
        <ns0:v>58</ns0:v>
      </ns0:c>
      <ns0:c r="E7" s="14" t="n">
        <ns0:v>22500</ns0:v>
      </ns0:c>
      <ns0:c r="F7" s="14" t="n">
        <ns0:v>0</ns0:v>
      </ns0:c>
      <ns0:c r="G7" s="10" t="n">
        <ns0:f aca="false">SUM(E7:F7)</ns0:f>
        <ns0:v>22500</ns0:v>
      </ns0:c>
    </ns0:row>
    <ns0:row r="8" customFormat="false" ht="31" hidden="false" customHeight="true" outlineLevel="0" collapsed="false">
      <ns0:c r="A8" s="7" t="s">
        <ns0:v>9</ns0:v>
      </ns0:c>
      <ns0:c r="B8" s="7" t="s">
        <ns0:v>56</ns0:v>
      </ns0:c>
      <ns0:c r="C8" s="13" t="n">
        <ns0:v>46378</ns0:v>
      </ns0:c>
      <ns0:c r="D8" s="7" t="s">
        <ns0:v>59</ns0:v>
      </ns0:c>
      <ns0:c r="E8" s="14" t="n">
        <ns0:v>6598.5</ns0:v>
      </ns0:c>
      <ns0:c r="F8" s="14" t="n">
        <ns0:v>1252.01</ns0:v>
      </ns0:c>
      <ns0:c r="G8" s="10" t="n">
        <ns0:f aca="false">SUM(E8:F8)</ns0:f>
        <ns0:v>7850.51</ns0:v>
      </ns0:c>
    </ns0:row>
    <ns0:row r="9" customFormat="false" ht="31" hidden="false" customHeight="true" outlineLevel="0" collapsed="false">
      <ns0:c r="A9" s="7" t="s">
        <ns0:v>10</ns0:v>
      </ns0:c>
      <ns0:c r="B9" s="7" t="s">
        <ns0:v>56</ns0:v>
      </ns0:c>
      <ns0:c r="C9" s="13" t="n">
        <ns0:v>46379</ns0:v>
      </ns0:c>
      <ns0:c r="D9" s="7" t="s">
        <ns0:v>60</ns0:v>
      </ns0:c>
      <ns0:c r="E9" s="14" t="n">
        <ns0:v>4047.5</ns0:v>
      </ns0:c>
      <ns0:c r="F9" s="14" t="n">
        <ns0:v>0</ns0:v>
      </ns0:c>
      <ns0:c r="G9" s="10" t="n">
        <ns0:f aca="false">SUM(E9:F9)</ns0:f>
        <ns0:v>4047.5</ns0:v>
      </ns0:c>
    </ns0:row>
    <ns0:row r="10" customFormat="false" ht="31" hidden="false" customHeight="true" outlineLevel="0" collapsed="false">
      <ns0:c r="A10" s="7" t="s">
        <ns0:v>11</ns0:v>
      </ns0:c>
      <ns0:c r="B10" s="7" t="s">
        <ns0:v>56</ns0:v>
      </ns0:c>
      <ns0:c r="C10" s="13" t="n">
        <ns0:v>46330</ns0:v>
      </ns0:c>
      <ns0:c r="D10" s="7" t="s">
        <ns0:v>61</ns0:v>
      </ns0:c>
      <ns0:c r="E10" s="14" t="n">
        <ns0:v>13500</ns0:v>
      </ns0:c>
      <ns0:c r="F10" s="14" t="n">
        <ns0:v>2565</ns0:v>
      </ns0:c>
      <ns0:c r="G10" s="10" t="n">
        <ns0:f aca="false">SUM(E10:F10)</ns0:f>
        <ns0:v>16065</ns0:v>
      </ns0:c>
    </ns0:row>
    <ns0:row r="11" customFormat="false" ht="31" hidden="false" customHeight="true" outlineLevel="0" collapsed="false">
      <ns0:c r="A11" s="7" t="s">
        <ns0:v>12</ns0:v>
      </ns0:c>
      <ns0:c r="B11" s="7" t="s">
        <ns0:v>62</ns0:v>
      </ns0:c>
      <ns0:c r="C11" s="13" t="n">
        <ns0:v>46651</ns0:v>
      </ns0:c>
      <ns0:c r="D11" s="7" t="s">
        <ns0:v>63</ns0:v>
      </ns0:c>
      <ns0:c r="E11" s="14" t="n">
        <ns0:v>4957.4</ns0:v>
      </ns0:c>
      <ns0:c r="F11" s="14" t="n">
        <ns0:v>0</ns0:v>
      </ns0:c>
      <ns0:c r="G11" s="10" t="n">
        <ns0:f aca="false">SUM(E11:F11)</ns0:f>
        <ns0:v>4957.4</ns0:v>
      </ns0:c>
    </ns0:row>
    <ns0:row r="12" customFormat="false" ht="31" hidden="false" customHeight="true" outlineLevel="0" collapsed="false">
      <ns0:c r="A12" s="7" t="s">
        <ns0:v>13</ns0:v>
      </ns0:c>
      <ns0:c r="B12" s="7" t="s">
        <ns0:v>62</ns0:v>
      </ns0:c>
      <ns0:c r="C12" s="13" t="n">
        <ns0:v>46713</ns0:v>
      </ns0:c>
      <ns0:c r="D12" s="7" t="s">
        <ns0:v>64</ns0:v>
      </ns0:c>
      <ns0:c r="E12" s="14" t="n">
        <ns0:v>9000</ns0:v>
      </ns0:c>
      <ns0:c r="F12" s="14" t="n">
        <ns0:v>0</ns0:v>
      </ns0:c>
      <ns0:c r="G12" s="10" t="n">
        <ns0:f aca="false">SUM(E12:F12)</ns0:f>
        <ns0:v>9000</ns0:v>
      </ns0:c>
    </ns0:row>
    <ns0:row r="13" customFormat="false" ht="31" hidden="false" customHeight="true" outlineLevel="0" collapsed="false">
      <ns0:c r="A13" s="7" t="s">
        <ns0:v>14</ns0:v>
      </ns0:c>
      <ns0:c r="B13" s="7" t="s">
        <ns0:v>65</ns0:v>
      </ns0:c>
      <ns0:c r="C13" s="13" t="n">
        <ns0:v>46389</ns0:v>
      </ns0:c>
      <ns0:c r="D13" s="7" t="s">
        <ns0:v>66</ns0:v>
      </ns0:c>
      <ns0:c r="E13" s="14" t="n">
        <ns0:v>10000</ns0:v>
      </ns0:c>
      <ns0:c r="F13" s="14" t="n">
        <ns0:v>0</ns0:v>
      </ns0:c>
      <ns0:c r="G13" s="10" t="n">
        <ns0:f aca="false">SUM(E13:F13)</ns0:f>
        <ns0:v>10000</ns0:v>
      </ns0:c>
    </ns0:row>
    <ns0:row r="14" customFormat="false" ht="31" hidden="false" customHeight="true" outlineLevel="0" collapsed="false">
      <ns0:c r="A14" s="7" t="s">
        <ns0:v>15</ns0:v>
      </ns0:c>
      <ns0:c r="B14" s="7" t="s">
        <ns0:v>65</ns0:v>
      </ns0:c>
      <ns0:c r="C14" s="13" t="n">
        <ns0:v>46752</ns0:v>
      </ns0:c>
      <ns0:c r="D14" s="7" t="s">
        <ns0:v>67</ns0:v>
      </ns0:c>
      <ns0:c r="E14" s="14" t="n">
        <ns0:v>28800</ns0:v>
      </ns0:c>
      <ns0:c r="F14" s="14" t="n">
        <ns0:v>0</ns0:v>
      </ns0:c>
      <ns0:c r="G14" s="10" t="n">
        <ns0:f aca="false">SUM(E14:F14)</ns0:f>
        <ns0:v>28800</ns0:v>
      </ns0:c>
    </ns0:row>
    <ns0:row r="15" customFormat="false" ht="31" hidden="false" customHeight="true" outlineLevel="0" collapsed="false">
      <ns0:c r="A15" s="7" t="s">
        <ns0:v>16</ns0:v>
      </ns0:c>
      <ns0:c r="B15" s="7" t="s">
        <ns0:v>65</ns0:v>
      </ns0:c>
      <ns0:c r="C15" s="13" t="n">
        <ns0:v>47118</ns0:v>
      </ns0:c>
      <ns0:c r="D15" s="7" t="s">
        <ns0:v>68</ns0:v>
      </ns0:c>
      <ns0:c r="E15" s="14" t="n">
        <ns0:v>51200</ns0:v>
      </ns0:c>
      <ns0:c r="F15" s="14" t="n">
        <ns0:v>0</ns0:v>
      </ns0:c>
      <ns0:c r="G15" s="10" t="n">
        <ns0:f aca="false">SUM(E15:F15)</ns0:f>
        <ns0:v>51200</ns0:v>
      </ns0:c>
    </ns0:row>
    <ns0:row r="16" customFormat="false" ht="31" hidden="false" customHeight="true" outlineLevel="0" collapsed="false">
      <ns0:c r="A16" s="7" t="s">
        <ns0:v>17</ns0:v>
      </ns0:c>
      <ns0:c r="B16" s="7" t="s">
        <ns0:v>62</ns0:v>
      </ns0:c>
      <ns0:c r="C16" s="13" t="n">
        <ns0:v>46654</ns0:v>
      </ns0:c>
      <ns0:c r="D16" s="7" t="s">
        <ns0:v>69</ns0:v>
      </ns0:c>
      <ns0:c r="E16" s="14" t="n">
        <ns0:v>39150</ns0:v>
      </ns0:c>
      <ns0:c r="F16" s="14" t="n">
        <ns0:v>7438.5</ns0:v>
      </ns0:c>
      <ns0:c r="G16" s="10" t="n">
        <ns0:f aca="false">SUM(E16:F16)</ns0:f>
        <ns0:v>46588.5</ns0:v>
      </ns0:c>
    </ns0:row>
    <ns0:row r="17" customFormat="false" ht="31" hidden="false" customHeight="true" outlineLevel="0" collapsed="false">
      <ns0:c r="A17" s="7" t="s">
        <ns0:v>18</ns0:v>
      </ns0:c>
      <ns0:c r="B17" s="7" t="s">
        <ns0:v>62</ns0:v>
      </ns0:c>
      <ns0:c r="C17" s="13" t="n">
        <ns0:v>46717</ns0:v>
      </ns0:c>
      <ns0:c r="D17" s="7" t="s">
        <ns0:v>70</ns0:v>
      </ns0:c>
      <ns0:c r="E17" s="14" t="n">
        <ns0:v>56550</ns0:v>
      </ns0:c>
      <ns0:c r="F17" s="14" t="n">
        <ns0:v>10744.5</ns0:v>
      </ns0:c>
      <ns0:c r="G17" s="10" t="n">
        <ns0:f aca="false">SUM(E17:F17)</ns0:f>
        <ns0:v>67294.5</ns0:v>
      </ns0:c>
    </ns0:row>
    <ns0:row r="18" customFormat="false" ht="31" hidden="false" customHeight="true" outlineLevel="0" collapsed="false">
      <ns0:c r="A18" s="7" t="s">
        <ns0:v>19</ns0:v>
      </ns0:c>
      <ns0:c r="B18" s="7" t="s">
        <ns0:v>62</ns0:v>
      </ns0:c>
      <ns0:c r="C18" s="13" t="n">
        <ns0:v>47046</ns0:v>
      </ns0:c>
      <ns0:c r="D18" s="7" t="s">
        <ns0:v>71</ns0:v>
      </ns0:c>
      <ns0:c r="E18" s="14" t="n">
        <ns0:v>46400</ns0:v>
      </ns0:c>
      <ns0:c r="F18" s="14" t="n">
        <ns0:v>8816</ns0:v>
      </ns0:c>
      <ns0:c r="G18" s="10" t="n">
        <ns0:f aca="false">SUM(E18:F18)</ns0:f>
        <ns0:v>55216</ns0:v>
      </ns0:c>
    </ns0:row>
    <ns0:row r="19" customFormat="false" ht="31" hidden="false" customHeight="true" outlineLevel="0" collapsed="false">
      <ns0:c r="A19" s="7" t="s">
        <ns0:v>20</ns0:v>
      </ns0:c>
      <ns0:c r="B19" s="7" t="s">
        <ns0:v>62</ns0:v>
      </ns0:c>
      <ns0:c r="C19" s="13" t="n">
        <ns0:v>48848</ns0:v>
      </ns0:c>
      <ns0:c r="D19" s="7" t="s">
        <ns0:v>72</ns0:v>
      </ns0:c>
      <ns0:c r="E19" s="14" t="n">
        <ns0:v>2900</ns0:v>
      </ns0:c>
      <ns0:c r="F19" s="14" t="n">
        <ns0:v>551</ns0:v>
      </ns0:c>
      <ns0:c r="G19" s="10" t="n">
        <ns0:f aca="false">SUM(E19:F19)</ns0:f>
        <ns0:v>3451</ns0:v>
      </ns0:c>
    </ns0:row>
    <ns0:row r="20" customFormat="false" ht="31" hidden="false" customHeight="true" outlineLevel="0" collapsed="false">
      <ns0:c r="A20" s="7" t="s">
        <ns0:v>21</ns0:v>
      </ns0:c>
      <ns0:c r="B20" s="7" t="s">
        <ns0:v>62</ns0:v>
      </ns0:c>
      <ns0:c r="C20" s="13" t="n">
        <ns0:v>46657</ns0:v>
      </ns0:c>
      <ns0:c r="D20" s="7" t="s">
        <ns0:v>73</ns0:v>
      </ns0:c>
      <ns0:c r="E20" s="14" t="n">
        <ns0:v>30000</ns0:v>
      </ns0:c>
      <ns0:c r="F20" s="14" t="n">
        <ns0:v>5700</ns0:v>
      </ns0:c>
      <ns0:c r="G20" s="10" t="n">
        <ns0:f aca="false">SUM(E20:F20)</ns0:f>
        <ns0:v>35700</ns0:v>
      </ns0:c>
    </ns0:row>
    <ns0:row r="21" customFormat="false" ht="31" hidden="false" customHeight="true" outlineLevel="0" collapsed="false">
      <ns0:c r="A21" s="7" t="s">
        <ns0:v>22</ns0:v>
      </ns0:c>
      <ns0:c r="B21" s="7" t="s">
        <ns0:v>62</ns0:v>
      </ns0:c>
      <ns0:c r="C21" s="13" t="n">
        <ns0:v>47048</ns0:v>
      </ns0:c>
      <ns0:c r="D21" s="7" t="s">
        <ns0:v>74</ns0:v>
      </ns0:c>
      <ns0:c r="E21" s="14" t="n">
        <ns0:v>35000</ns0:v>
      </ns0:c>
      <ns0:c r="F21" s="14" t="n">
        <ns0:v>6650</ns0:v>
      </ns0:c>
      <ns0:c r="G21" s="10" t="n">
        <ns0:f aca="false">SUM(E21:F21)</ns0:f>
        <ns0:v>41650</ns0:v>
      </ns0:c>
    </ns0:row>
    <ns0:row r="22" customFormat="false" ht="31" hidden="false" customHeight="true" outlineLevel="0" collapsed="false">
      <ns0:c r="A22" s="7" t="s">
        <ns0:v>23</ns0:v>
      </ns0:c>
      <ns0:c r="B22" s="7" t="s">
        <ns0:v>62</ns0:v>
      </ns0:c>
      <ns0:c r="C22" s="13" t="n">
        <ns0:v>47018</ns0:v>
      </ns0:c>
      <ns0:c r="D22" s="7" t="s">
        <ns0:v>75</ns0:v>
      </ns0:c>
      <ns0:c r="E22" s="14" t="n">
        <ns0:v>40000</ns0:v>
      </ns0:c>
      <ns0:c r="F22" s="14" t="n">
        <ns0:v>7600</ns0:v>
      </ns0:c>
      <ns0:c r="G22" s="10" t="n">
        <ns0:f aca="false">SUM(E22:F22)</ns0:f>
        <ns0:v>47600</ns0:v>
      </ns0:c>
    </ns0:row>
    <ns0:row r="23" customFormat="false" ht="31" hidden="false" customHeight="true" outlineLevel="0" collapsed="false">
      <ns0:c r="A23" s="7" t="s">
        <ns0:v>24</ns0:v>
      </ns0:c>
      <ns0:c r="B23" s="7" t="s">
        <ns0:v>62</ns0:v>
      </ns0:c>
      <ns0:c r="C23" s="13" t="n">
        <ns0:v>47020</ns0:v>
      </ns0:c>
      <ns0:c r="D23" s="7" t="s">
        <ns0:v>76</ns0:v>
      </ns0:c>
      <ns0:c r="E23" s="14" t="n">
        <ns0:v>15000</ns0:v>
      </ns0:c>
      <ns0:c r="F23" s="14" t="n">
        <ns0:v>2850</ns0:v>
      </ns0:c>
      <ns0:c r="G23" s="10" t="n">
        <ns0:f aca="false">SUM(E23:F23)</ns0:f>
        <ns0:v>17850</ns0:v>
      </ns0:c>
    </ns0:row>
    <ns0:row r="24" customFormat="false" ht="31" hidden="false" customHeight="true" outlineLevel="0" collapsed="false">
      <ns0:c r="A24" s="7" t="s">
        <ns0:v>25</ns0:v>
      </ns0:c>
      <ns0:c r="B24" s="7" t="s">
        <ns0:v>62</ns0:v>
      </ns0:c>
      <ns0:c r="C24" s="13" t="n">
        <ns0:v>46405</ns0:v>
      </ns0:c>
      <ns0:c r="D24" s="7" t="s">
        <ns0:v>77</ns0:v>
      </ns0:c>
      <ns0:c r="E24" s="14" t="n">
        <ns0:v>12000</ns0:v>
      </ns0:c>
      <ns0:c r="F24" s="14" t="n">
        <ns0:v>2280</ns0:v>
      </ns0:c>
      <ns0:c r="G24" s="10" t="n">
        <ns0:f aca="false">SUM(E24:F24)</ns0:f>
        <ns0:v>14280</ns0:v>
      </ns0:c>
    </ns0:row>
    <ns0:row r="25" customFormat="false" ht="31" hidden="false" customHeight="true" outlineLevel="0" collapsed="false">
      <ns0:c r="A25" s="7" t="s">
        <ns0:v>26</ns0:v>
      </ns0:c>
      <ns0:c r="B25" s="7" t="s">
        <ns0:v>62</ns0:v>
      </ns0:c>
      <ns0:c r="C25" s="13" t="n">
        <ns0:v>47021</ns0:v>
      </ns0:c>
      <ns0:c r="D25" s="7" t="s">
        <ns0:v>78</ns0:v>
      </ns0:c>
      <ns0:c r="E25" s="14" t="n">
        <ns0:v>10000</ns0:v>
      </ns0:c>
      <ns0:c r="F25" s="14" t="n">
        <ns0:v>1900</ns0:v>
      </ns0:c>
      <ns0:c r="G25" s="10" t="n">
        <ns0:f aca="false">SUM(E25:F25)</ns0:f>
        <ns0:v>11900</ns0:v>
      </ns0:c>
    </ns0:row>
    <ns0:row r="26" customFormat="false" ht="31" hidden="false" customHeight="true" outlineLevel="0" collapsed="false">
      <ns0:c r="A26" s="7" t="s">
        <ns0:v>27</ns0:v>
      </ns0:c>
      <ns0:c r="B26" s="7" t="s">
        <ns0:v>62</ns0:v>
      </ns0:c>
      <ns0:c r="C26" s="13" t="n">
        <ns0:v>47021</ns0:v>
      </ns0:c>
      <ns0:c r="D26" s="7" t="s">
        <ns0:v>79</ns0:v>
      </ns0:c>
      <ns0:c r="E26" s="14" t="n">
        <ns0:v>8000</ns0:v>
      </ns0:c>
      <ns0:c r="F26" s="14" t="n">
        <ns0:v>1520</ns0:v>
      </ns0:c>
      <ns0:c r="G26" s="10" t="n">
        <ns0:f aca="false">SUM(E26:F26)</ns0:f>
        <ns0:v>9520</ns0:v>
      </ns0:c>
    </ns0:row>
    <ns0:row r="27" customFormat="false" ht="31" hidden="false" customHeight="true" outlineLevel="0" collapsed="false">
      <ns0:c r="A27" s="7" t="s">
        <ns0:v>28</ns0:v>
      </ns0:c>
      <ns0:c r="B27" s="7" t="s">
        <ns0:v>80</ns0:v>
      </ns0:c>
      <ns0:c r="C27" s="13" t="n">
        <ns0:v>46798</ns0:v>
      </ns0:c>
      <ns0:c r="D27" s="7" t="s">
        <ns0:v>81</ns0:v>
      </ns0:c>
      <ns0:c r="E27" s="14" t="n">
        <ns0:v>200000</ns0:v>
      </ns0:c>
      <ns0:c r="F27" s="14" t="n">
        <ns0:v>38000</ns0:v>
      </ns0:c>
      <ns0:c r="G27" s="10" t="n">
        <ns0:f aca="false">SUM(E27:F27)</ns0:f>
        <ns0:v>238000</ns0:v>
      </ns0:c>
    </ns0:row>
    <ns0:row r="28" customFormat="false" ht="31" hidden="false" customHeight="true" outlineLevel="0" collapsed="false">
      <ns0:c r="A28" s="7" t="s">
        <ns0:v>29</ns0:v>
      </ns0:c>
      <ns0:c r="B28" s="7" t="s">
        <ns0:v>80</ns0:v>
      </ns0:c>
      <ns0:c r="C28" s="13" t="n">
        <ns0:v>46858</ns0:v>
      </ns0:c>
      <ns0:c r="D28" s="7" t="s">
        <ns0:v>82</ns0:v>
      </ns0:c>
      <ns0:c r="E28" s="14" t="n">
        <ns0:v>300000</ns0:v>
      </ns0:c>
      <ns0:c r="F28" s="14" t="n">
        <ns0:v>57000</ns0:v>
      </ns0:c>
      <ns0:c r="G28" s="10" t="n">
        <ns0:f aca="false">SUM(E28:F28)</ns0:f>
        <ns0:v>357000</ns0:v>
      </ns0:c>
    </ns0:row>
    <ns0:row r="29" customFormat="false" ht="31" hidden="false" customHeight="true" outlineLevel="0" collapsed="false">
      <ns0:c r="A29" s="7" t="s">
        <ns0:v>30</ns0:v>
      </ns0:c>
      <ns0:c r="B29" s="7" t="s">
        <ns0:v>80</ns0:v>
      </ns0:c>
      <ns0:c r="C29" s="13" t="n">
        <ns0:v>47026</ns0:v>
      </ns0:c>
      <ns0:c r="D29" s="7" t="s">
        <ns0:v>83</ns0:v>
      </ns0:c>
      <ns0:c r="E29" s="14" t="n">
        <ns0:v>150000</ns0:v>
      </ns0:c>
      <ns0:c r="F29" s="14" t="n">
        <ns0:v>28500</ns0:v>
      </ns0:c>
      <ns0:c r="G29" s="10" t="n">
        <ns0:f aca="false">SUM(E29:F29)</ns0:f>
        <ns0:v>178500</ns0:v>
      </ns0:c>
    </ns0:row>
    <ns0:row r="30" customFormat="false" ht="31" hidden="false" customHeight="true" outlineLevel="0" collapsed="false">
      <ns0:c r="A30" s="7" t="s">
        <ns0:v>31</ns0:v>
      </ns0:c>
      <ns0:c r="B30" s="7" t="s">
        <ns0:v>80</ns0:v>
      </ns0:c>
      <ns0:c r="C30" s="13" t="n">
        <ns0:v>46888</ns0:v>
      </ns0:c>
      <ns0:c r="D30" s="7" t="s">
        <ns0:v>84</ns0:v>
      </ns0:c>
      <ns0:c r="E30" s="14" t="n">
        <ns0:v>220000</ns0:v>
      </ns0:c>
      <ns0:c r="F30" s="14" t="n">
        <ns0:v>41800</ns0:v>
      </ns0:c>
      <ns0:c r="G30" s="10" t="n">
        <ns0:f aca="false">SUM(E30:F30)</ns0:f>
        <ns0:v>261800</ns0:v>
      </ns0:c>
    </ns0:row>
    <ns0:row r="31" customFormat="false" ht="31" hidden="false" customHeight="true" outlineLevel="0" collapsed="false">
      <ns0:c r="A31" s="7" t="s">
        <ns0:v>32</ns0:v>
      </ns0:c>
      <ns0:c r="B31" s="7" t="s">
        <ns0:v>80</ns0:v>
      </ns0:c>
      <ns0:c r="C31" s="13" t="n">
        <ns0:v>47026</ns0:v>
      </ns0:c>
      <ns0:c r="D31" s="7" t="s">
        <ns0:v>85</ns0:v>
      </ns0:c>
      <ns0:c r="E31" s="14" t="n">
        <ns0:v>220000</ns0:v>
      </ns0:c>
      <ns0:c r="F31" s="14" t="n">
        <ns0:v>41800</ns0:v>
      </ns0:c>
      <ns0:c r="G31" s="10" t="n">
        <ns0:f aca="false">SUM(E31:F31)</ns0:f>
        <ns0:v>261800</ns0:v>
      </ns0:c>
    </ns0:row>
    <ns0:row r="32" customFormat="false" ht="31" hidden="false" customHeight="true" outlineLevel="0" collapsed="false">
      <ns0:c r="A32" s="7" t="s">
        <ns0:v>33</ns0:v>
      </ns0:c>
      <ns0:c r="B32" s="7" t="s">
        <ns0:v>86</ns0:v>
      </ns0:c>
      <ns0:c r="C32" s="13" t="n">
        <ns0:v>46919</ns0:v>
      </ns0:c>
      <ns0:c r="D32" s="7" t="s">
        <ns0:v>87</ns0:v>
      </ns0:c>
      <ns0:c r="E32" s="14" t="n">
        <ns0:v>180000</ns0:v>
      </ns0:c>
      <ns0:c r="F32" s="14" t="n">
        <ns0:v>34200</ns0:v>
      </ns0:c>
      <ns0:c r="G32" s="10" t="n">
        <ns0:f aca="false">SUM(E32:F32)</ns0:f>
        <ns0:v>214200</ns0:v>
      </ns0:c>
    </ns0:row>
    <ns0:row r="33" customFormat="false" ht="31" hidden="false" customHeight="true" outlineLevel="0" collapsed="false">
      <ns0:c r="A33" s="7" t="s">
        <ns0:v>34</ns0:v>
      </ns0:c>
      <ns0:c r="B33" s="7" t="s">
        <ns0:v>86</ns0:v>
      </ns0:c>
      <ns0:c r="C33" s="13" t="n">
        <ns0:v>47026</ns0:v>
      </ns0:c>
      <ns0:c r="D33" s="7" t="s">
        <ns0:v>88</ns0:v>
      </ns0:c>
      <ns0:c r="E33" s="14" t="n">
        <ns0:v>180000</ns0:v>
      </ns0:c>
      <ns0:c r="F33" s="14" t="n">
        <ns0:v>34200</ns0:v>
      </ns0:c>
      <ns0:c r="G33" s="10" t="n">
        <ns0:f aca="false">SUM(E33:F33)</ns0:f>
        <ns0:v>214200</ns0:v>
      </ns0:c>
    </ns0:row>
    <ns0:row r="34" customFormat="false" ht="31" hidden="false" customHeight="true" outlineLevel="0" collapsed="false">
      <ns0:c r="A34" s="7" t="s">
        <ns0:v>35</ns0:v>
      </ns0:c>
      <ns0:c r="B34" s="7" t="s">
        <ns0:v>86</ns0:v>
      </ns0:c>
      <ns0:c r="C34" s="13" t="n">
        <ns0:v>46905</ns0:v>
      </ns0:c>
      <ns0:c r="D34" s="7" t="s">
        <ns0:v>89</ns0:v>
      </ns0:c>
      <ns0:c r="E34" s="14" t="n">
        <ns0:v>75000</ns0:v>
      </ns0:c>
      <ns0:c r="F34" s="14" t="n">
        <ns0:v>14250</ns0:v>
      </ns0:c>
      <ns0:c r="G34" s="10" t="n">
        <ns0:f aca="false">SUM(E34:F34)</ns0:f>
        <ns0:v>89250</ns0:v>
      </ns0:c>
    </ns0:row>
    <ns0:row r="35" customFormat="false" ht="31" hidden="false" customHeight="true" outlineLevel="0" collapsed="false">
      <ns0:c r="A35" s="7" t="s">
        <ns0:v>36</ns0:v>
      </ns0:c>
      <ns0:c r="B35" s="7" t="s">
        <ns0:v>86</ns0:v>
      </ns0:c>
      <ns0:c r="C35" s="13" t="n">
        <ns0:v>47026</ns0:v>
      </ns0:c>
      <ns0:c r="D35" s="7" t="s">
        <ns0:v>90</ns0:v>
      </ns0:c>
      <ns0:c r="E35" s="14" t="n">
        <ns0:v>30000</ns0:v>
      </ns0:c>
      <ns0:c r="F35" s="14" t="n">
        <ns0:v>5700</ns0:v>
      </ns0:c>
      <ns0:c r="G35" s="10" t="n">
        <ns0:f aca="false">SUM(E35:F35)</ns0:f>
        <ns0:v>35700</ns0:v>
      </ns0:c>
    </ns0:row>
    <ns0:row r="36" customFormat="false" ht="31" hidden="false" customHeight="true" outlineLevel="0" collapsed="false">
      <ns0:c r="A36" s="7" t="s">
        <ns0:v>37</ns0:v>
      </ns0:c>
      <ns0:c r="B36" s="7" t="s">
        <ns0:v>80</ns0:v>
      </ns0:c>
      <ns0:c r="C36" s="13" t="n">
        <ns0:v>46949</ns0:v>
      </ns0:c>
      <ns0:c r="D36" s="7" t="s">
        <ns0:v>91</ns0:v>
      </ns0:c>
      <ns0:c r="E36" s="14" t="n">
        <ns0:v>150000</ns0:v>
      </ns0:c>
      <ns0:c r="F36" s="14" t="n">
        <ns0:v>28500</ns0:v>
      </ns0:c>
      <ns0:c r="G36" s="10" t="n">
        <ns0:f aca="false">SUM(E36:F36)</ns0:f>
        <ns0:v>178500</ns0:v>
      </ns0:c>
    </ns0:row>
    <ns0:row r="37" customFormat="false" ht="31" hidden="false" customHeight="true" outlineLevel="0" collapsed="false">
      <ns0:c r="A37" s="7" t="s">
        <ns0:v>38</ns0:v>
      </ns0:c>
      <ns0:c r="B37" s="7" t="s">
        <ns0:v>80</ns0:v>
      </ns0:c>
      <ns0:c r="C37" s="13" t="n">
        <ns0:v>47026</ns0:v>
      </ns0:c>
      <ns0:c r="D37" s="7" t="s">
        <ns0:v>92</ns0:v>
      </ns0:c>
      <ns0:c r="E37" s="14" t="n">
        <ns0:v>150000</ns0:v>
      </ns0:c>
      <ns0:c r="F37" s="14" t="n">
        <ns0:v>28500</ns0:v>
      </ns0:c>
      <ns0:c r="G37" s="10" t="n">
        <ns0:f aca="false">SUM(E37:F37)</ns0:f>
        <ns0:v>178500</ns0:v>
      </ns0:c>
    </ns0:row>
    <ns0:row r="38" customFormat="false" ht="31" hidden="false" customHeight="true" outlineLevel="0" collapsed="false">
      <ns0:c r="A38" s="7" t="s">
        <ns0:v>39</ns0:v>
      </ns0:c>
      <ns0:c r="B38" s="7" t="s">
        <ns0:v>86</ns0:v>
      </ns0:c>
      <ns0:c r="C38" s="13" t="n">
        <ns0:v>47026</ns0:v>
      </ns0:c>
      <ns0:c r="D38" s="7" t="s">
        <ns0:v>93</ns0:v>
      </ns0:c>
      <ns0:c r="E38" s="14" t="n">
        <ns0:v>60000</ns0:v>
      </ns0:c>
      <ns0:c r="F38" s="14" t="n">
        <ns0:v>11400</ns0:v>
      </ns0:c>
      <ns0:c r="G38" s="10" t="n">
        <ns0:f aca="false">SUM(E38:F38)</ns0:f>
        <ns0:v>71400</ns0:v>
      </ns0:c>
    </ns0:row>
    <ns0:row r="39" customFormat="false" ht="31" hidden="false" customHeight="true" outlineLevel="0" collapsed="false">
      <ns0:c r="A39" s="7" t="s">
        <ns0:v>40</ns0:v>
      </ns0:c>
      <ns0:c r="B39" s="7" t="s">
        <ns0:v>94</ns0:v>
      </ns0:c>
      <ns0:c r="C39" s="13" t="n">
        <ns0:v>47072</ns0:v>
      </ns0:c>
      <ns0:c r="D39" s="7" t="s">
        <ns0:v>95</ns0:v>
      </ns0:c>
      <ns0:c r="E39" s="14" t="n">
        <ns0:v>120000</ns0:v>
      </ns0:c>
      <ns0:c r="F39" s="14" t="n">
        <ns0:v>22800</ns0:v>
      </ns0:c>
      <ns0:c r="G39" s="10" t="n">
        <ns0:f aca="false">SUM(E39:F39)</ns0:f>
        <ns0:v>142800</ns0:v>
      </ns0:c>
    </ns0:row>
    <ns0:row r="40" customFormat="false" ht="31" hidden="false" customHeight="true" outlineLevel="0" collapsed="false">
      <ns0:c r="A40" s="7" t="s">
        <ns0:v>41</ns0:v>
      </ns0:c>
      <ns0:c r="B40" s="7" t="s">
        <ns0:v>96</ns0:v>
      </ns0:c>
      <ns0:c r="C40" s="13" t="n">
        <ns0:v>46985</ns0:v>
      </ns0:c>
      <ns0:c r="D40" s="7" t="s">
        <ns0:v>97</ns0:v>
      </ns0:c>
      <ns0:c r="E40" s="14" t="n">
        <ns0:v>35000</ns0:v>
      </ns0:c>
      <ns0:c r="F40" s="14" t="n">
        <ns0:v>6650</ns0:v>
      </ns0:c>
      <ns0:c r="G40" s="10" t="n">
        <ns0:f aca="false">SUM(E40:F40)</ns0:f>
        <ns0:v>41650</ns0:v>
      </ns0:c>
    </ns0:row>
    <ns0:row r="41" customFormat="false" ht="31" hidden="false" customHeight="true" outlineLevel="0" collapsed="false">
      <ns0:c r="A41" s="7" t="s">
        <ns0:v>42</ns0:v>
      </ns0:c>
      <ns0:c r="B41" s="7" t="s">
        <ns0:v>80</ns0:v>
      </ns0:c>
      <ns0:c r="C41" s="13" t="n">
        <ns0:v>46817</ns0:v>
      </ns0:c>
      <ns0:c r="D41" s="7" t="s">
        <ns0:v>98</ns0:v>
      </ns0:c>
      <ns0:c r="E41" s="14" t="n">
        <ns0:v>18000</ns0:v>
      </ns0:c>
      <ns0:c r="F41" s="14" t="n">
        <ns0:v>3420</ns0:v>
      </ns0:c>
      <ns0:c r="G41" s="10" t="n">
        <ns0:f aca="false">SUM(E41:F41)</ns0:f>
        <ns0:v>21420</ns0:v>
      </ns0:c>
    </ns0:row>
    <ns0:row r="42" customFormat="false" ht="31" hidden="false" customHeight="true" outlineLevel="0" collapsed="false">
      <ns0:c r="A42" s="7" t="s">
        <ns0:v>43</ns0:v>
      </ns0:c>
      <ns0:c r="B42" s="7" t="s">
        <ns0:v>80</ns0:v>
      </ns0:c>
      <ns0:c r="C42" s="13" t="n">
        <ns0:v>47041</ns0:v>
      </ns0:c>
      <ns0:c r="D42" s="7" t="s">
        <ns0:v>99</ns0:v>
      </ns0:c>
      <ns0:c r="E42" s="14" t="n">
        <ns0:v>-2500</ns0:v>
      </ns0:c>
      <ns0:c r="F42" s="14" t="n">
        <ns0:v>-475</ns0:v>
      </ns0:c>
      <ns0:c r="G42" s="10" t="n">
        <ns0:f aca="false">SUM(E42:F42)</ns0:f>
        <ns0:v>-2975</ns0:v>
      </ns0:c>
    </ns0:row>
    <ns0:row r="43" customFormat="false" ht="31" hidden="false" customHeight="true" outlineLevel="0" collapsed="false">
      <ns0:c r="A43" s="7" t="s">
        <ns0:v>44</ns0:v>
      </ns0:c>
      <ns0:c r="B43" s="7" t="s">
        <ns0:v>86</ns0:v>
      </ns0:c>
      <ns0:c r="C43" s="13" t="n">
        <ns0:v>47026</ns0:v>
      </ns0:c>
      <ns0:c r="D43" s="7" t="s">
        <ns0:v>100</ns0:v>
      </ns0:c>
      <ns0:c r="E43" s="14" t="n">
        <ns0:v>45000</ns0:v>
      </ns0:c>
      <ns0:c r="F43" s="14" t="n">
        <ns0:v>0</ns0:v>
      </ns0:c>
      <ns0:c r="G43" s="10" t="n">
        <ns0:f aca="false">SUM(E43:F43)</ns0:f>
        <ns0:v>45000</ns0:v>
      </ns0:c>
    </ns0:row>
    <ns0:row r="44" customFormat="false" ht="29" hidden="false" customHeight="true" outlineLevel="0" collapsed="false">
      <ns0:c r="A44" s="11" t="s">
        <ns0:v>45</ns0:v>
      </ns0:c>
      <ns0:c r="B44" s="11"/>
      <ns0:c r="C44" s="11"/>
      <ns0:c r="D44" s="11"/>
      <ns0:c r="E44" s="12" t="n">
        <ns0:f aca="false">SUM(E6:E43)</ns0:f>
        <ns0:v>3026103.4</ns0:v>
      </ns0:c>
      <ns0:c r="F44" s="12" t="n">
        <ns0:f aca="false">SUM(F6:F43)</ns0:f>
        <ns0:v>456112.01</ns0:v>
      </ns0:c>
      <ns0:c r="G44" s="12" t="n">
        <ns0:f aca="false">SUM(G6:G43)</ns0:f>
        <ns0:v>3482215.41</ns0:v>
      </ns0:c>
    </ns0:row>
    <ns0:row r="45" customFormat="false" ht="15" hidden="false" customHeight="false" outlineLevel="0" collapsed="false">
      <ns0:c r="A45" s="2"/>
      <ns0:c r="B45" s="2"/>
      <ns0:c r="C45" s="2"/>
      <ns0:c r="D45" s="2"/>
      <ns0:c r="E45" s="2"/>
      <ns0:c r="F45" s="2"/>
      <ns0:c r="G45" s="2"/>
    </ns0:row>
    <ns0:row r="46" customFormat="false" ht="15" hidden="false" customHeight="false" outlineLevel="0" collapsed="false">
      <ns0:c r="A46" s="2" t="s">
        <ns0:v>101</ns0:v>
      </ns0:c>
      <ns0:c r="B46" s="2"/>
      <ns0:c r="C46" s="2"/>
      <ns0:c r="D46" s="2"/>
      <ns0:c r="E46" s="2"/>
      <ns0:c r="F46" s="2"/>
      <ns0:c r="G46" s="2"/>
    </ns0:row>
    <ns0:row r="47" customFormat="false" ht="15" hidden="false" customHeight="false" outlineLevel="0" collapsed="false">
      <ns0:c r="A47" s="2"/>
      <ns0:c r="B47" s="2"/>
      <ns0:c r="C47" s="2"/>
      <ns0:c r="D47" s="2"/>
      <ns0:c r="E47" s="2"/>
      <ns0:c r="F47" s="2"/>
      <ns0:c r="G47" s="2"/>
    </ns0:row>
    <ns0:row r="48" customFormat="false" ht="15" hidden="false" customHeight="false" outlineLevel="0" collapsed="false">
      <ns0:c r="A48" s="2"/>
      <ns0:c r="B48" s="2"/>
      <ns0:c r="C48" s="2"/>
      <ns0:c r="D48" s="2"/>
      <ns0:c r="E48" s="2"/>
      <ns0:c r="F48" s="2"/>
      <ns0:c r="G48" s="2"/>
    </ns0:row>
    <ns0:row r="49" customFormat="false" ht="15" hidden="false" customHeight="false" outlineLevel="0" collapsed="false">
      <ns0:c r="A49" s="2"/>
      <ns0:c r="B49" s="2"/>
      <ns0:c r="C49" s="2"/>
      <ns0:c r="D49" s="2"/>
      <ns0:c r="E49" s="2"/>
      <ns0:c r="F49" s="2"/>
      <ns0:c r="G49" s="2"/>
    </ns0:row>
    <ns0:row r="50" customFormat="false" ht="15" hidden="false" customHeight="false" outlineLevel="0" collapsed="false">
      <ns0:c r="A50" s="2"/>
      <ns0:c r="B50" s="2"/>
      <ns0:c r="C50" s="2"/>
      <ns0:c r="D50" s="2"/>
      <ns0:c r="E50" s="2"/>
      <ns0:c r="F50" s="2"/>
      <ns0:c r="G50" s="2"/>
    </ns0:row>
    <ns0:row r="51" customFormat="false" ht="15" hidden="false" customHeight="false" outlineLevel="0" collapsed="false">
      <ns0:c r="A51" s="2"/>
      <ns0:c r="B51" s="2"/>
      <ns0:c r="C51" s="2"/>
      <ns0:c r="D51" s="2"/>
      <ns0:c r="E51" s="2"/>
      <ns0:c r="F51" s="2"/>
      <ns0:c r="G51" s="2"/>
    </ns0:row>
    <ns0:row r="52" customFormat="false" ht="15" hidden="false" customHeight="false" outlineLevel="0" collapsed="false">
      <ns0:c r="A52" s="2"/>
      <ns0:c r="B52" s="2"/>
      <ns0:c r="C52" s="2"/>
      <ns0:c r="D52" s="2"/>
      <ns0:c r="E52" s="2"/>
      <ns0:c r="F52" s="2"/>
      <ns0:c r="G52" s="2"/>
    </ns0:row>
    <ns0:row r="53" customFormat="false" ht="15" hidden="false" customHeight="false" outlineLevel="0" collapsed="false">
      <ns0:c r="A53" s="2"/>
      <ns0:c r="B53" s="2"/>
      <ns0:c r="C53" s="2"/>
      <ns0:c r="D53" s="2"/>
      <ns0:c r="E53" s="2"/>
      <ns0:c r="F53" s="2"/>
      <ns0:c r="G53" s="2"/>
    </ns0:row>
    <ns0:row r="54" customFormat="false" ht="15" hidden="false" customHeight="false" outlineLevel="0" collapsed="false">
      <ns0:c r="A54" s="2"/>
      <ns0:c r="B54" s="2"/>
      <ns0:c r="C54" s="2"/>
      <ns0:c r="D54" s="2"/>
      <ns0:c r="E54" s="2"/>
      <ns0:c r="F54" s="2"/>
      <ns0:c r="G54" s="2"/>
    </ns0:row>
    <ns0:row r="55" customFormat="false" ht="15" hidden="false" customHeight="false" outlineLevel="0" collapsed="false">
      <ns0:c r="A55" s="2"/>
      <ns0:c r="B55" s="2"/>
      <ns0:c r="C55" s="2"/>
      <ns0:c r="D55" s="2"/>
      <ns0:c r="E55" s="2"/>
      <ns0:c r="F55" s="2"/>
      <ns0:c r="G55" s="2"/>
    </ns0:row>
    <ns0:row r="56" customFormat="false" ht="15" hidden="false" customHeight="false" outlineLevel="0" collapsed="false">
      <ns0:c r="A56" s="2"/>
      <ns0:c r="B56" s="2"/>
      <ns0:c r="C56" s="2"/>
      <ns0:c r="D56" s="2"/>
      <ns0:c r="E56" s="2"/>
      <ns0:c r="F56" s="2"/>
      <ns0:c r="G56" s="2"/>
    </ns0:row>
    <ns0:row r="57" customFormat="false" ht="15" hidden="false" customHeight="false" outlineLevel="0" collapsed="false">
      <ns0:c r="A57" s="2"/>
      <ns0:c r="B57" s="2"/>
      <ns0:c r="C57" s="2"/>
      <ns0:c r="D57" s="2"/>
      <ns0:c r="E57" s="2"/>
      <ns0:c r="F57" s="2"/>
      <ns0:c r="G57" s="2"/>
    </ns0:row>
    <ns0:row r="58" customFormat="false" ht="15" hidden="false" customHeight="false" outlineLevel="0" collapsed="false">
      <ns0:c r="A58" s="2"/>
      <ns0:c r="B58" s="2"/>
      <ns0:c r="C58" s="2"/>
      <ns0:c r="D58" s="2"/>
      <ns0:c r="E58" s="2"/>
      <ns0:c r="F58" s="2"/>
      <ns0:c r="G58" s="2"/>
    </ns0:row>
    <ns0:row r="59" customFormat="false" ht="15" hidden="false" customHeight="false" outlineLevel="0" collapsed="false">
      <ns0:c r="A59" s="2"/>
      <ns0:c r="B59" s="2"/>
      <ns0:c r="C59" s="2"/>
      <ns0:c r="D59" s="2"/>
      <ns0:c r="E59" s="2"/>
      <ns0:c r="F59" s="2"/>
      <ns0:c r="G59" s="2"/>
    </ns0:row>
    <ns0:row r="60" customFormat="false" ht="15" hidden="false" customHeight="false" outlineLevel="0" collapsed="false">
      <ns0:c r="A60" s="2"/>
      <ns0:c r="B60" s="2"/>
      <ns0:c r="C60" s="2"/>
      <ns0:c r="D60" s="2"/>
      <ns0:c r="E60" s="2"/>
      <ns0:c r="F60" s="2"/>
      <ns0:c r="G60" s="2"/>
    </ns0:row>
    <ns0:row r="61" customFormat="false" ht="15" hidden="false" customHeight="false" outlineLevel="0" collapsed="false">
      <ns0:c r="A61" s="2"/>
      <ns0:c r="B61" s="2"/>
      <ns0:c r="C61" s="2"/>
      <ns0:c r="D61" s="2"/>
      <ns0:c r="E61" s="2"/>
      <ns0:c r="F61" s="2"/>
      <ns0:c r="G61" s="2"/>
    </ns0:row>
    <ns0:row r="62" customFormat="false" ht="15" hidden="false" customHeight="false" outlineLevel="0" collapsed="false">
      <ns0:c r="A62" s="2"/>
      <ns0:c r="B62" s="2"/>
      <ns0:c r="C62" s="2"/>
      <ns0:c r="D62" s="2"/>
      <ns0:c r="E62" s="2"/>
      <ns0:c r="F62" s="2"/>
      <ns0:c r="G62" s="2"/>
    </ns0:row>
    <ns0:row r="63" customFormat="false" ht="15" hidden="false" customHeight="false" outlineLevel="0" collapsed="false">
      <ns0:c r="A63" s="2"/>
      <ns0:c r="B63" s="2"/>
      <ns0:c r="C63" s="2"/>
      <ns0:c r="D63" s="2"/>
      <ns0:c r="E63" s="2"/>
      <ns0:c r="F63" s="2"/>
      <ns0:c r="G63" s="2"/>
    </ns0:row>
    <ns0:row r="64" customFormat="false" ht="15" hidden="false" customHeight="false" outlineLevel="0" collapsed="false">
      <ns0:c r="A64" s="2"/>
      <ns0:c r="B64" s="2"/>
      <ns0:c r="C64" s="2"/>
      <ns0:c r="D64" s="2"/>
      <ns0:c r="E64" s="2"/>
      <ns0:c r="F64" s="2"/>
      <ns0:c r="G64" s="2"/>
    </ns0:row>
    <ns0:row r="65" customFormat="false" ht="15" hidden="false" customHeight="false" outlineLevel="0" collapsed="false">
      <ns0:c r="A65" s="2"/>
      <ns0:c r="B65" s="2"/>
      <ns0:c r="C65" s="2"/>
      <ns0:c r="D65" s="2"/>
      <ns0:c r="E65" s="2"/>
      <ns0:c r="F65" s="2"/>
      <ns0:c r="G65" s="2"/>
    </ns0:row>
    <ns0:row r="66" customFormat="false" ht="15" hidden="false" customHeight="false" outlineLevel="0" collapsed="false">
      <ns0:c r="A66" s="2"/>
      <ns0:c r="B66" s="2"/>
      <ns0:c r="C66" s="2"/>
      <ns0:c r="D66" s="2"/>
      <ns0:c r="E66" s="2"/>
      <ns0:c r="F66" s="2"/>
      <ns0:c r="G66" s="2"/>
    </ns0:row>
    <ns0:row r="67" customFormat="false" ht="15" hidden="false" customHeight="false" outlineLevel="0" collapsed="false">
      <ns0:c r="A67" s="2"/>
      <ns0:c r="B67" s="2"/>
      <ns0:c r="C67" s="2"/>
      <ns0:c r="D67" s="2"/>
      <ns0:c r="E67" s="2"/>
      <ns0:c r="F67" s="2"/>
      <ns0:c r="G67" s="2"/>
    </ns0:row>
    <ns0:row r="68" customFormat="false" ht="15" hidden="false" customHeight="false" outlineLevel="0" collapsed="false">
      <ns0:c r="A68" s="2"/>
      <ns0:c r="B68" s="2"/>
      <ns0:c r="C68" s="2"/>
      <ns0:c r="D68" s="2"/>
      <ns0:c r="E68" s="2"/>
      <ns0:c r="F68" s="2"/>
      <ns0:c r="G68" s="2"/>
    </ns0:row>
    <ns0:row r="69" customFormat="false" ht="15" hidden="false" customHeight="false" outlineLevel="0" collapsed="false">
      <ns0:c r="A69" s="2"/>
      <ns0:c r="B69" s="2"/>
      <ns0:c r="C69" s="2"/>
      <ns0:c r="D69" s="2"/>
      <ns0:c r="E69" s="2"/>
      <ns0:c r="F69" s="2"/>
      <ns0:c r="G69" s="2"/>
    </ns0:row>
    <ns0:row r="70" customFormat="false" ht="15" hidden="false" customHeight="false" outlineLevel="0" collapsed="false">
      <ns0:c r="A70" s="2"/>
      <ns0:c r="B70" s="2"/>
      <ns0:c r="C70" s="2"/>
      <ns0:c r="D70" s="2"/>
      <ns0:c r="E70" s="2"/>
      <ns0:c r="F70" s="2"/>
      <ns0:c r="G70" s="2"/>
    </ns0:row>
    <ns0:row r="71" customFormat="false" ht="15" hidden="false" customHeight="false" outlineLevel="0" collapsed="false">
      <ns0:c r="A71" s="2"/>
      <ns0:c r="B71" s="2"/>
      <ns0:c r="C71" s="2"/>
      <ns0:c r="D71" s="2"/>
      <ns0:c r="E71" s="2"/>
      <ns0:c r="F71" s="2"/>
      <ns0:c r="G71" s="2"/>
    </ns0:row>
    <ns0:row r="72" customFormat="false" ht="15" hidden="false" customHeight="false" outlineLevel="0" collapsed="false">
      <ns0:c r="A72" s="2"/>
      <ns0:c r="B72" s="2"/>
      <ns0:c r="C72" s="2"/>
      <ns0:c r="D72" s="2"/>
      <ns0:c r="E72" s="2"/>
      <ns0:c r="F72" s="2"/>
      <ns0:c r="G72" s="2"/>
    </ns0:row>
    <ns0:row r="73" customFormat="false" ht="15" hidden="false" customHeight="false" outlineLevel="0" collapsed="false">
      <ns0:c r="A73" s="2"/>
      <ns0:c r="B73" s="2"/>
      <ns0:c r="C73" s="2"/>
      <ns0:c r="D73" s="2"/>
      <ns0:c r="E73" s="2"/>
      <ns0:c r="F73" s="2"/>
      <ns0:c r="G73" s="2"/>
    </ns0:row>
    <ns0:row r="74" customFormat="false" ht="15" hidden="false" customHeight="false" outlineLevel="0" collapsed="false">
      <ns0:c r="A74" s="2"/>
      <ns0:c r="B74" s="2"/>
      <ns0:c r="C74" s="2"/>
      <ns0:c r="D74" s="2"/>
      <ns0:c r="E74" s="2"/>
      <ns0:c r="F74" s="2"/>
      <ns0:c r="G74" s="2"/>
    </ns0:row>
    <ns0:row r="75" customFormat="false" ht="15" hidden="false" customHeight="false" outlineLevel="0" collapsed="false">
      <ns0:c r="A75" s="2"/>
      <ns0:c r="B75" s="2"/>
      <ns0:c r="C75" s="2"/>
      <ns0:c r="D75" s="2"/>
      <ns0:c r="E75" s="2"/>
      <ns0:c r="F75" s="2"/>
      <ns0:c r="G75" s="2"/>
    </ns0:row>
    <ns0:row r="76" customFormat="false" ht="15" hidden="false" customHeight="false" outlineLevel="0" collapsed="false">
      <ns0:c r="A76" s="2"/>
      <ns0:c r="B76" s="2"/>
      <ns0:c r="C76" s="2"/>
      <ns0:c r="D76" s="2"/>
      <ns0:c r="E76" s="2"/>
      <ns0:c r="F76" s="2"/>
      <ns0:c r="G76" s="2"/>
    </ns0:row>
    <ns0:row r="77" customFormat="false" ht="15" hidden="false" customHeight="false" outlineLevel="0" collapsed="false">
      <ns0:c r="A77" s="2"/>
      <ns0:c r="B77" s="2"/>
      <ns0:c r="C77" s="2"/>
      <ns0:c r="D77" s="2"/>
      <ns0:c r="E77" s="2"/>
      <ns0:c r="F77" s="2"/>
      <ns0:c r="G77" s="2"/>
    </ns0:row>
    <ns0:row r="78" customFormat="false" ht="15" hidden="false" customHeight="false" outlineLevel="0" collapsed="false">
      <ns0:c r="A78" s="2"/>
      <ns0:c r="B78" s="2"/>
      <ns0:c r="C78" s="2"/>
      <ns0:c r="D78" s="2"/>
      <ns0:c r="E78" s="2"/>
      <ns0:c r="F78" s="2"/>
      <ns0:c r="G78" s="2"/>
    </ns0:row>
    <ns0:row r="79" customFormat="false" ht="15" hidden="false" customHeight="false" outlineLevel="0" collapsed="false">
      <ns0:c r="A79" s="2"/>
      <ns0:c r="B79" s="2"/>
      <ns0:c r="C79" s="2"/>
      <ns0:c r="D79" s="2"/>
      <ns0:c r="E79" s="2"/>
      <ns0:c r="F79" s="2"/>
      <ns0:c r="G79" s="2"/>
    </ns0:row>
    <ns0:row r="80" customFormat="false" ht="15" hidden="false" customHeight="false" outlineLevel="0" collapsed="false">
      <ns0:c r="A80" s="2"/>
      <ns0:c r="B80" s="2"/>
      <ns0:c r="C80" s="2"/>
      <ns0:c r="D80" s="2"/>
      <ns0:c r="E80" s="2"/>
      <ns0:c r="F80" s="2"/>
      <ns0:c r="G80" s="2"/>
    </ns0:row>
    <ns0:row r="81" customFormat="false" ht="15" hidden="false" customHeight="false" outlineLevel="0" collapsed="false">
      <ns0:c r="A81" s="2"/>
      <ns0:c r="B81" s="2"/>
      <ns0:c r="C81" s="2"/>
      <ns0:c r="D81" s="2"/>
      <ns0:c r="E81" s="2"/>
      <ns0:c r="F81" s="2"/>
      <ns0:c r="G81" s="2"/>
    </ns0:row>
    <ns0:row r="82" customFormat="false" ht="15" hidden="false" customHeight="false" outlineLevel="0" collapsed="false">
      <ns0:c r="A82" s="2"/>
      <ns0:c r="B82" s="2"/>
      <ns0:c r="C82" s="2"/>
      <ns0:c r="D82" s="2"/>
      <ns0:c r="E82" s="2"/>
      <ns0:c r="F82" s="2"/>
      <ns0:c r="G82" s="2"/>
    </ns0:row>
    <ns0:row r="83" customFormat="false" ht="15" hidden="false" customHeight="false" outlineLevel="0" collapsed="false">
      <ns0:c r="A83" s="2"/>
      <ns0:c r="B83" s="2"/>
      <ns0:c r="C83" s="2"/>
      <ns0:c r="D83" s="2"/>
      <ns0:c r="E83" s="2"/>
      <ns0:c r="F83" s="2"/>
      <ns0:c r="G83" s="2"/>
    </ns0:row>
    <ns0:row r="84" customFormat="false" ht="15" hidden="false" customHeight="false" outlineLevel="0" collapsed="false">
      <ns0:c r="A84" s="2"/>
      <ns0:c r="B84" s="2"/>
      <ns0:c r="C84" s="2"/>
      <ns0:c r="D84" s="2"/>
      <ns0:c r="E84" s="2"/>
      <ns0:c r="F84" s="2"/>
      <ns0:c r="G84" s="2"/>
    </ns0:row>
    <ns0:row r="85" customFormat="false" ht="15" hidden="false" customHeight="false" outlineLevel="0" collapsed="false">
      <ns0:c r="A85" s="2"/>
      <ns0:c r="B85" s="2"/>
      <ns0:c r="C85" s="2"/>
      <ns0:c r="D85" s="2"/>
      <ns0:c r="E85" s="2"/>
      <ns0:c r="F85" s="2"/>
      <ns0:c r="G85" s="2"/>
    </ns0:row>
    <ns0:row r="86" customFormat="false" ht="15" hidden="false" customHeight="false" outlineLevel="0" collapsed="false">
      <ns0:c r="A86" s="2"/>
      <ns0:c r="B86" s="2"/>
      <ns0:c r="C86" s="2"/>
      <ns0:c r="D86" s="2"/>
      <ns0:c r="E86" s="2"/>
      <ns0:c r="F86" s="2"/>
      <ns0:c r="G86" s="2"/>
    </ns0:row>
    <ns0:row r="87" customFormat="false" ht="15" hidden="false" customHeight="false" outlineLevel="0" collapsed="false">
      <ns0:c r="A87" s="2"/>
      <ns0:c r="B87" s="2"/>
      <ns0:c r="C87" s="2"/>
      <ns0:c r="D87" s="2"/>
      <ns0:c r="E87" s="2"/>
      <ns0:c r="F87" s="2"/>
      <ns0:c r="G87" s="2"/>
    </ns0:row>
    <ns0:row r="88" customFormat="false" ht="15" hidden="false" customHeight="false" outlineLevel="0" collapsed="false">
      <ns0:c r="A88" s="2"/>
      <ns0:c r="B88" s="2"/>
      <ns0:c r="C88" s="2"/>
      <ns0:c r="D88" s="2"/>
      <ns0:c r="E88" s="2"/>
      <ns0:c r="F88" s="2"/>
      <ns0:c r="G88" s="2"/>
    </ns0:row>
    <ns0:row r="89" customFormat="false" ht="15" hidden="false" customHeight="false" outlineLevel="0" collapsed="false">
      <ns0:c r="A89" s="2"/>
      <ns0:c r="B89" s="2"/>
      <ns0:c r="C89" s="2"/>
      <ns0:c r="D89" s="2"/>
      <ns0:c r="E89" s="2"/>
      <ns0:c r="F89" s="2"/>
      <ns0:c r="G89" s="2"/>
    </ns0:row>
    <ns0:row r="90" customFormat="false" ht="15" hidden="false" customHeight="false" outlineLevel="0" collapsed="false">
      <ns0:c r="A90" s="2"/>
      <ns0:c r="B90" s="2"/>
      <ns0:c r="C90" s="2"/>
      <ns0:c r="D90" s="2"/>
      <ns0:c r="E90" s="2"/>
      <ns0:c r="F90" s="2"/>
      <ns0:c r="G90" s="2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  <ns0:tableParts>
    <ns0:tablePart ns1:id="rId1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 filterMode="false">
    <ns0:pageSetUpPr fitToPage="1"/>
  </ns0:sheetPr>
  <ns0:dimension ref="A1:F9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16"/>
    <ns0:col collapsed="false" customWidth="true" hidden="false" outlineLevel="0" max="2" min="2" style="1" width="27"/>
    <ns0:col collapsed="false" customWidth="true" hidden="false" outlineLevel="0" max="3" min="3" style="1" width="25"/>
    <ns0:col collapsed="false" customWidth="true" hidden="false" outlineLevel="0" max="5" min="4" style="1" width="22"/>
    <ns0:col collapsed="false" customWidth="true" hidden="false" outlineLevel="0" max="6" min="6" style="1" width="23"/>
  </ns0:cols>
  <ns0:sheetData>
    <ns0:row r="1" customFormat="false" ht="15" hidden="false" customHeight="false" outlineLevel="0" collapsed="false">
      <ns0:c r="A1" s="2"/>
      <ns0:c r="B1" s="2"/>
      <ns0:c r="C1" s="2"/>
      <ns0:c r="D1" s="2"/>
      <ns0:c r="E1" s="2"/>
      <ns0:c r="F1" s="2"/>
    </ns0:row>
    <ns0:row r="2" customFormat="false" ht="17.35" hidden="false" customHeight="false" outlineLevel="0" collapsed="false">
      <ns0:c r="A2" s="3" t="s">
        <ns0:v>102</ns0:v>
      </ns0:c>
      <ns0:c r="B2" s="2"/>
      <ns0:c r="C2" s="2"/>
      <ns0:c r="D2" s="2"/>
      <ns0:c r="E2" s="2"/>
      <ns0:c r="F2" s="2"/>
    </ns0:row>
    <ns0:row r="3" customFormat="false" ht="15" hidden="false" customHeight="false" outlineLevel="0" collapsed="false">
      <ns0:c r="A3" s="4" t="s">
        <ns0:v>49</ns0:v>
      </ns0:c>
      <ns0:c r="B3" s="2"/>
      <ns0:c r="C3" s="2"/>
      <ns0:c r="D3" s="2"/>
      <ns0:c r="E3" s="2"/>
      <ns0:c r="F3" s="2"/>
    </ns0:row>
    <ns0:row r="4" customFormat="false" ht="15" hidden="false" customHeight="false" outlineLevel="0" collapsed="false">
      <ns0:c r="A4" s="2"/>
      <ns0:c r="B4" s="2"/>
      <ns0:c r="C4" s="2"/>
      <ns0:c r="D4" s="2"/>
      <ns0:c r="E4" s="2"/>
      <ns0:c r="F4" s="2"/>
    </ns0:row>
    <ns0:row r="5" customFormat="false" ht="35" hidden="false" customHeight="true" outlineLevel="0" collapsed="false">
      <ns0:c r="A5" s="6" t="s">
        <ns0:v>103</ns0:v>
      </ns0:c>
      <ns0:c r="B5" s="6" t="s">
        <ns0:v>104</ns0:v>
      </ns0:c>
      <ns0:c r="C5" s="6" t="s">
        <ns0:v>105</ns0:v>
      </ns0:c>
      <ns0:c r="D5" s="6" t="s">
        <ns0:v>106</ns0:v>
      </ns0:c>
      <ns0:c r="E5" s="6" t="s">
        <ns0:v>107</ns0:v>
      </ns0:c>
      <ns0:c r="F5" s="6" t="s">
        <ns0:v>108</ns0:v>
      </ns0:c>
    </ns0:row>
    <ns0:row r="6" customFormat="false" ht="31" hidden="false" customHeight="true" outlineLevel="0" collapsed="false">
      <ns0:c r="A6" s="13" t="n">
        <ns0:v>46341</ns0:v>
      </ns0:c>
      <ns0:c r="B6" s="7" t="s">
        <ns0:v>109</ns0:v>
      </ns0:c>
      <ns0:c r="C6" s="7" t="s">
        <ns0:v>110</ns0:v>
      </ns0:c>
      <ns0:c r="D6" s="14" t="n">
        <ns0:v>0</ns0:v>
      </ns0:c>
      <ns0:c r="E6" s="14" t="n">
        <ns0:v>800000</ns0:v>
      </ns0:c>
      <ns0:c r="F6" s="10" t="n">
        <ns0:f aca="false">E6-D6</ns0:f>
        <ns0:v>800000</ns0:v>
      </ns0:c>
    </ns0:row>
    <ns0:row r="7" customFormat="false" ht="31" hidden="false" customHeight="true" outlineLevel="0" collapsed="false">
      <ns0:c r="A7" s="13" t="n">
        <ns0:v>46344</ns0:v>
      </ns0:c>
      <ns0:c r="B7" s="7" t="s">
        <ns0:v>111</ns0:v>
      </ns0:c>
      <ns0:c r="C7" s="7" t="s">
        <ns0:v>11</ns0:v>
      </ns0:c>
      <ns0:c r="D7" s="14" t="n">
        <ns0:v>16065</ns0:v>
      </ns0:c>
      <ns0:c r="E7" s="14" t="n">
        <ns0:v>0</ns0:v>
      </ns0:c>
      <ns0:c r="F7" s="10" t="n">
        <ns0:f aca="false">F6+E7-D7</ns0:f>
        <ns0:v>783935</ns0:v>
      </ns0:c>
    </ns0:row>
    <ns0:row r="8" customFormat="false" ht="31" hidden="false" customHeight="true" outlineLevel="0" collapsed="false">
      <ns0:c r="A8" s="13" t="n">
        <ns0:v>46353</ns0:v>
      </ns0:c>
      <ns0:c r="B8" s="7" t="s">
        <ns0:v>112</ns0:v>
      </ns0:c>
      <ns0:c r="C8" s="7" t="s">
        <ns0:v>7</ns0:v>
      </ns0:c>
      <ns0:c r="D8" s="14" t="n">
        <ns0:v>450000</ns0:v>
      </ns0:c>
      <ns0:c r="E8" s="14" t="n">
        <ns0:v>0</ns0:v>
      </ns0:c>
      <ns0:c r="F8" s="10" t="n">
        <ns0:f aca="false">F7+E8-D8</ns0:f>
        <ns0:v>333935</ns0:v>
      </ns0:c>
    </ns0:row>
    <ns0:row r="9" customFormat="false" ht="31" hidden="false" customHeight="true" outlineLevel="0" collapsed="false">
      <ns0:c r="A9" s="13" t="n">
        <ns0:v>46364</ns0:v>
      </ns0:c>
      <ns0:c r="B9" s="7" t="s">
        <ns0:v>113</ns0:v>
      </ns0:c>
      <ns0:c r="C9" s="7" t="s">
        <ns0:v>8</ns0:v>
      </ns0:c>
      <ns0:c r="D9" s="14" t="n">
        <ns0:v>22500</ns0:v>
      </ns0:c>
      <ns0:c r="E9" s="14" t="n">
        <ns0:v>0</ns0:v>
      </ns0:c>
      <ns0:c r="F9" s="10" t="n">
        <ns0:f aca="false">F8+E9-D9</ns0:f>
        <ns0:v>311435</ns0:v>
      </ns0:c>
    </ns0:row>
    <ns0:row r="10" customFormat="false" ht="31" hidden="false" customHeight="true" outlineLevel="0" collapsed="false">
      <ns0:c r="A10" s="13" t="n">
        <ns0:v>46388</ns0:v>
      </ns0:c>
      <ns0:c r="B10" s="7" t="s">
        <ns0:v>114</ns0:v>
      </ns0:c>
      <ns0:c r="C10" s="7" t="s">
        <ns0:v>115</ns0:v>
      </ns0:c>
      <ns0:c r="D10" s="14" t="n">
        <ns0:v>0</ns0:v>
      </ns0:c>
      <ns0:c r="E10" s="14" t="n">
        <ns0:v>400000</ns0:v>
      </ns0:c>
      <ns0:c r="F10" s="10" t="n">
        <ns0:f aca="false">F9+E10-D10</ns0:f>
        <ns0:v>711435</ns0:v>
      </ns0:c>
    </ns0:row>
    <ns0:row r="11" customFormat="false" ht="31" hidden="false" customHeight="true" outlineLevel="0" collapsed="false">
      <ns0:c r="A11" s="13" t="n">
        <ns0:v>46392</ns0:v>
      </ns0:c>
      <ns0:c r="B11" s="7" t="s">
        <ns0:v>116</ns0:v>
      </ns0:c>
      <ns0:c r="C11" s="7" t="s">
        <ns0:v>9</ns0:v>
      </ns0:c>
      <ns0:c r="D11" s="14" t="n">
        <ns0:v>7850.51</ns0:v>
      </ns0:c>
      <ns0:c r="E11" s="14" t="n">
        <ns0:v>0</ns0:v>
      </ns0:c>
      <ns0:c r="F11" s="10" t="n">
        <ns0:f aca="false">F10+E11-D11</ns0:f>
        <ns0:v>703584.49</ns0:v>
      </ns0:c>
    </ns0:row>
    <ns0:row r="12" customFormat="false" ht="31" hidden="false" customHeight="true" outlineLevel="0" collapsed="false">
      <ns0:c r="A12" s="13" t="n">
        <ns0:v>46393</ns0:v>
      </ns0:c>
      <ns0:c r="B12" s="7" t="s">
        <ns0:v>117</ns0:v>
      </ns0:c>
      <ns0:c r="C12" s="7" t="s">
        <ns0:v>10</ns0:v>
      </ns0:c>
      <ns0:c r="D12" s="14" t="n">
        <ns0:v>4047.5</ns0:v>
      </ns0:c>
      <ns0:c r="E12" s="14" t="n">
        <ns0:v>0</ns0:v>
      </ns0:c>
      <ns0:c r="F12" s="10" t="n">
        <ns0:f aca="false">F11+E12-D12</ns0:f>
        <ns0:v>699536.99</ns0:v>
      </ns0:c>
    </ns0:row>
    <ns0:row r="13" customFormat="false" ht="31" hidden="false" customHeight="true" outlineLevel="0" collapsed="false">
      <ns0:c r="A13" s="13" t="n">
        <ns0:v>46402</ns0:v>
      </ns0:c>
      <ns0:c r="B13" s="7" t="s">
        <ns0:v>118</ns0:v>
      </ns0:c>
      <ns0:c r="C13" s="7" t="s">
        <ns0:v>110</ns0:v>
      </ns0:c>
      <ns0:c r="D13" s="14" t="n">
        <ns0:v>0</ns0:v>
      </ns0:c>
      <ns0:c r="E13" s="14" t="n">
        <ns0:v>700000</ns0:v>
      </ns0:c>
      <ns0:c r="F13" s="10" t="n">
        <ns0:f aca="false">F12+E13-D13</ns0:f>
        <ns0:v>1399536.99</ns0:v>
      </ns0:c>
    </ns0:row>
    <ns0:row r="14" customFormat="false" ht="31" hidden="false" customHeight="true" outlineLevel="0" collapsed="false">
      <ns0:c r="A14" s="13" t="n">
        <ns0:v>46403</ns0:v>
      </ns0:c>
      <ns0:c r="B14" s="7" t="s">
        <ns0:v>119</ns0:v>
      </ns0:c>
      <ns0:c r="C14" s="7" t="s">
        <ns0:v>14</ns0:v>
      </ns0:c>
      <ns0:c r="D14" s="14" t="n">
        <ns0:v>10000</ns0:v>
      </ns0:c>
      <ns0:c r="E14" s="14" t="n">
        <ns0:v>0</ns0:v>
      </ns0:c>
      <ns0:c r="F14" s="10" t="n">
        <ns0:f aca="false">F13+E14-D14</ns0:f>
        <ns0:v>1389536.99</ns0:v>
      </ns0:c>
    </ns0:row>
    <ns0:row r="15" customFormat="false" ht="31" hidden="false" customHeight="true" outlineLevel="0" collapsed="false">
      <ns0:c r="A15" s="13" t="n">
        <ns0:v>46419</ns0:v>
      </ns0:c>
      <ns0:c r="B15" s="7" t="s">
        <ns0:v>120</ns0:v>
      </ns0:c>
      <ns0:c r="C15" s="7" t="s">
        <ns0:v>25</ns0:v>
      </ns0:c>
      <ns0:c r="D15" s="14" t="n">
        <ns0:v>14280</ns0:v>
      </ns0:c>
      <ns0:c r="E15" s="14" t="n">
        <ns0:v>0</ns0:v>
      </ns0:c>
      <ns0:c r="F15" s="10" t="n">
        <ns0:f aca="false">F14+E15-D15</ns0:f>
        <ns0:v>1375256.99</ns0:v>
      </ns0:c>
    </ns0:row>
    <ns0:row r="16" customFormat="false" ht="31" hidden="false" customHeight="true" outlineLevel="0" collapsed="false">
      <ns0:c r="A16" s="13" t="n">
        <ns0:v>46569</ns0:v>
      </ns0:c>
      <ns0:c r="B16" s="7" t="s">
        <ns0:v>121</ns0:v>
      </ns0:c>
      <ns0:c r="C16" s="7" t="s">
        <ns0:v>115</ns0:v>
      </ns0:c>
      <ns0:c r="D16" s="14" t="n">
        <ns0:v>0</ns0:v>
      </ns0:c>
      <ns0:c r="E16" s="14" t="n">
        <ns0:v>400000</ns0:v>
      </ns0:c>
      <ns0:c r="F16" s="10" t="n">
        <ns0:f aca="false">F15+E16-D16</ns0:f>
        <ns0:v>1775256.99</ns0:v>
      </ns0:c>
    </ns0:row>
    <ns0:row r="17" customFormat="false" ht="31" hidden="false" customHeight="true" outlineLevel="0" collapsed="false">
      <ns0:c r="A17" s="13" t="n">
        <ns0:v>46661</ns0:v>
      </ns0:c>
      <ns0:c r="B17" s="7" t="s">
        <ns0:v>122</ns0:v>
      </ns0:c>
      <ns0:c r="C17" s="7" t="s">
        <ns0:v>115</ns0:v>
      </ns0:c>
      <ns0:c r="D17" s="14" t="n">
        <ns0:v>0</ns0:v>
      </ns0:c>
      <ns0:c r="E17" s="14" t="n">
        <ns0:v>800000</ns0:v>
      </ns0:c>
      <ns0:c r="F17" s="10" t="n">
        <ns0:f aca="false">F16+E17-D17</ns0:f>
        <ns0:v>2575256.99</ns0:v>
      </ns0:c>
    </ns0:row>
    <ns0:row r="18" customFormat="false" ht="31" hidden="false" customHeight="true" outlineLevel="0" collapsed="false">
      <ns0:c r="A18" s="13" t="n">
        <ns0:v>46665</ns0:v>
      </ns0:c>
      <ns0:c r="B18" s="7" t="s">
        <ns0:v>123</ns0:v>
      </ns0:c>
      <ns0:c r="C18" s="7" t="s">
        <ns0:v>12</ns0:v>
      </ns0:c>
      <ns0:c r="D18" s="14" t="n">
        <ns0:v>4957.4</ns0:v>
      </ns0:c>
      <ns0:c r="E18" s="14" t="n">
        <ns0:v>0</ns0:v>
      </ns0:c>
      <ns0:c r="F18" s="10" t="n">
        <ns0:f aca="false">F17+E18-D18</ns0:f>
        <ns0:v>2570299.59</ns0:v>
      </ns0:c>
    </ns0:row>
    <ns0:row r="19" customFormat="false" ht="31" hidden="false" customHeight="true" outlineLevel="0" collapsed="false">
      <ns0:c r="A19" s="13" t="n">
        <ns0:v>46668</ns0:v>
      </ns0:c>
      <ns0:c r="B19" s="7" t="s">
        <ns0:v>124</ns0:v>
      </ns0:c>
      <ns0:c r="C19" s="7" t="s">
        <ns0:v>17</ns0:v>
      </ns0:c>
      <ns0:c r="D19" s="14" t="n">
        <ns0:v>46588.5</ns0:v>
      </ns0:c>
      <ns0:c r="E19" s="14" t="n">
        <ns0:v>0</ns0:v>
      </ns0:c>
      <ns0:c r="F19" s="10" t="n">
        <ns0:f aca="false">F18+E19-D19</ns0:f>
        <ns0:v>2523711.09</ns0:v>
      </ns0:c>
    </ns0:row>
    <ns0:row r="20" customFormat="false" ht="31" hidden="false" customHeight="true" outlineLevel="0" collapsed="false">
      <ns0:c r="A20" s="13" t="n">
        <ns0:v>46671</ns0:v>
      </ns0:c>
      <ns0:c r="B20" s="7" t="s">
        <ns0:v>125</ns0:v>
      </ns0:c>
      <ns0:c r="C20" s="7" t="s">
        <ns0:v>21</ns0:v>
      </ns0:c>
      <ns0:c r="D20" s="14" t="n">
        <ns0:v>35700</ns0:v>
      </ns0:c>
      <ns0:c r="E20" s="14" t="n">
        <ns0:v>0</ns0:v>
      </ns0:c>
      <ns0:c r="F20" s="10" t="n">
        <ns0:f aca="false">F19+E20-D20</ns0:f>
        <ns0:v>2488011.09</ns0:v>
      </ns0:c>
    </ns0:row>
    <ns0:row r="21" customFormat="false" ht="31" hidden="false" customHeight="true" outlineLevel="0" collapsed="false">
      <ns0:c r="A21" s="13" t="n">
        <ns0:v>46727</ns0:v>
      </ns0:c>
      <ns0:c r="B21" s="7" t="s">
        <ns0:v>126</ns0:v>
      </ns0:c>
      <ns0:c r="C21" s="7" t="s">
        <ns0:v>13</ns0:v>
      </ns0:c>
      <ns0:c r="D21" s="14" t="n">
        <ns0:v>9000</ns0:v>
      </ns0:c>
      <ns0:c r="E21" s="14" t="n">
        <ns0:v>0</ns0:v>
      </ns0:c>
      <ns0:c r="F21" s="10" t="n">
        <ns0:f aca="false">F20+E21-D21</ns0:f>
        <ns0:v>2479011.09</ns0:v>
      </ns0:c>
    </ns0:row>
    <ns0:row r="22" customFormat="false" ht="31" hidden="false" customHeight="true" outlineLevel="0" collapsed="false">
      <ns0:c r="A22" s="13" t="n">
        <ns0:v>46731</ns0:v>
      </ns0:c>
      <ns0:c r="B22" s="7" t="s">
        <ns0:v>127</ns0:v>
      </ns0:c>
      <ns0:c r="C22" s="7" t="s">
        <ns0:v>18</ns0:v>
      </ns0:c>
      <ns0:c r="D22" s="14" t="n">
        <ns0:v>67294.5</ns0:v>
      </ns0:c>
      <ns0:c r="E22" s="14" t="n">
        <ns0:v>0</ns0:v>
      </ns0:c>
      <ns0:c r="F22" s="10" t="n">
        <ns0:f aca="false">F21+E22-D22</ns0:f>
        <ns0:v>2411716.59</ns0:v>
      </ns0:c>
    </ns0:row>
    <ns0:row r="23" customFormat="false" ht="31" hidden="false" customHeight="true" outlineLevel="0" collapsed="false">
      <ns0:c r="A23" s="13" t="n">
        <ns0:v>46752</ns0:v>
      </ns0:c>
      <ns0:c r="B23" s="7" t="s">
        <ns0:v>128</ns0:v>
      </ns0:c>
      <ns0:c r="C23" s="7" t="s">
        <ns0:v>15</ns0:v>
      </ns0:c>
      <ns0:c r="D23" s="14" t="n">
        <ns0:v>28800</ns0:v>
      </ns0:c>
      <ns0:c r="E23" s="14" t="n">
        <ns0:v>0</ns0:v>
      </ns0:c>
      <ns0:c r="F23" s="10" t="n">
        <ns0:f aca="false">F22+E23-D23</ns0:f>
        <ns0:v>2382916.59</ns0:v>
      </ns0:c>
    </ns0:row>
    <ns0:row r="24" customFormat="false" ht="31" hidden="false" customHeight="true" outlineLevel="0" collapsed="false">
      <ns0:c r="A24" s="13" t="n">
        <ns0:v>46767</ns0:v>
      </ns0:c>
      <ns0:c r="B24" s="7" t="s">
        <ns0:v>129</ns0:v>
      </ns0:c>
      <ns0:c r="C24" s="7" t="s">
        <ns0:v>110</ns0:v>
      </ns0:c>
      <ns0:c r="D24" s="14" t="n">
        <ns0:v>0</ns0:v>
      </ns0:c>
      <ns0:c r="E24" s="14" t="n">
        <ns0:v>600000</ns0:v>
      </ns0:c>
      <ns0:c r="F24" s="10" t="n">
        <ns0:f aca="false">F23+E24-D24</ns0:f>
        <ns0:v>2982916.59</ns0:v>
      </ns0:c>
    </ns0:row>
    <ns0:row r="25" customFormat="false" ht="31" hidden="false" customHeight="true" outlineLevel="0" collapsed="false">
      <ns0:c r="A25" s="13" t="n">
        <ns0:v>46812</ns0:v>
      </ns0:c>
      <ns0:c r="B25" s="7" t="s">
        <ns0:v>130</ns0:v>
      </ns0:c>
      <ns0:c r="C25" s="7" t="s">
        <ns0:v>28</ns0:v>
      </ns0:c>
      <ns0:c r="D25" s="14" t="n">
        <ns0:v>238000</ns0:v>
      </ns0:c>
      <ns0:c r="E25" s="14" t="n">
        <ns0:v>0</ns0:v>
      </ns0:c>
      <ns0:c r="F25" s="10" t="n">
        <ns0:f aca="false">F24+E25-D25</ns0:f>
        <ns0:v>2744916.59</ns0:v>
      </ns0:c>
    </ns0:row>
    <ns0:row r="26" customFormat="false" ht="31" hidden="false" customHeight="true" outlineLevel="0" collapsed="false">
      <ns0:c r="A26" s="13" t="n">
        <ns0:v>46831</ns0:v>
      </ns0:c>
      <ns0:c r="B26" s="7" t="s">
        <ns0:v>131</ns0:v>
      </ns0:c>
      <ns0:c r="C26" s="7" t="s">
        <ns0:v>42</ns0:v>
      </ns0:c>
      <ns0:c r="D26" s="14" t="n">
        <ns0:v>21420</ns0:v>
      </ns0:c>
      <ns0:c r="E26" s="14" t="n">
        <ns0:v>0</ns0:v>
      </ns0:c>
      <ns0:c r="F26" s="10" t="n">
        <ns0:f aca="false">F25+E26-D26</ns0:f>
        <ns0:v>2723496.59</ns0:v>
      </ns0:c>
    </ns0:row>
    <ns0:row r="27" customFormat="false" ht="31" hidden="false" customHeight="true" outlineLevel="0" collapsed="false">
      <ns0:c r="A27" s="13" t="n">
        <ns0:v>46872</ns0:v>
      </ns0:c>
      <ns0:c r="B27" s="7" t="s">
        <ns0:v>132</ns0:v>
      </ns0:c>
      <ns0:c r="C27" s="7" t="s">
        <ns0:v>29</ns0:v>
      </ns0:c>
      <ns0:c r="D27" s="14" t="n">
        <ns0:v>357000</ns0:v>
      </ns0:c>
      <ns0:c r="E27" s="14" t="n">
        <ns0:v>0</ns0:v>
      </ns0:c>
      <ns0:c r="F27" s="10" t="n">
        <ns0:f aca="false">F26+E27-D27</ns0:f>
        <ns0:v>2366496.59</ns0:v>
      </ns0:c>
    </ns0:row>
    <ns0:row r="28" customFormat="false" ht="31" hidden="false" customHeight="true" outlineLevel="0" collapsed="false">
      <ns0:c r="A28" s="13" t="n">
        <ns0:v>46902</ns0:v>
      </ns0:c>
      <ns0:c r="B28" s="7" t="s">
        <ns0:v>133</ns0:v>
      </ns0:c>
      <ns0:c r="C28" s="7" t="s">
        <ns0:v>31</ns0:v>
      </ns0:c>
      <ns0:c r="D28" s="14" t="n">
        <ns0:v>261800</ns0:v>
      </ns0:c>
      <ns0:c r="E28" s="14" t="n">
        <ns0:v>0</ns0:v>
      </ns0:c>
      <ns0:c r="F28" s="10" t="n">
        <ns0:f aca="false">F27+E28-D28</ns0:f>
        <ns0:v>2104696.59</ns0:v>
      </ns0:c>
    </ns0:row>
    <ns0:row r="29" customFormat="false" ht="31" hidden="false" customHeight="true" outlineLevel="0" collapsed="false">
      <ns0:c r="A29" s="13" t="n">
        <ns0:v>46919</ns0:v>
      </ns0:c>
      <ns0:c r="B29" s="7" t="s">
        <ns0:v>134</ns0:v>
      </ns0:c>
      <ns0:c r="C29" s="7" t="s">
        <ns0:v>35</ns0:v>
      </ns0:c>
      <ns0:c r="D29" s="14" t="n">
        <ns0:v>89250</ns0:v>
      </ns0:c>
      <ns0:c r="E29" s="14" t="n">
        <ns0:v>0</ns0:v>
      </ns0:c>
      <ns0:c r="F29" s="10" t="n">
        <ns0:f aca="false">F28+E29-D29</ns0:f>
        <ns0:v>2015446.59</ns0:v>
      </ns0:c>
    </ns0:row>
    <ns0:row r="30" customFormat="false" ht="31" hidden="false" customHeight="true" outlineLevel="0" collapsed="false">
      <ns0:c r="A30" s="13" t="n">
        <ns0:v>46923</ns0:v>
      </ns0:c>
      <ns0:c r="B30" s="7" t="s">
        <ns0:v>135</ns0:v>
      </ns0:c>
      <ns0:c r="C30" s="7" t="s">
        <ns0:v>35</ns0:v>
      </ns0:c>
      <ns0:c r="D30" s="14" t="n">
        <ns0:v>89250</ns0:v>
      </ns0:c>
      <ns0:c r="E30" s="14" t="n">
        <ns0:v>0</ns0:v>
      </ns0:c>
      <ns0:c r="F30" s="10" t="n">
        <ns0:f aca="false">F29+E30-D30</ns0:f>
        <ns0:v>1926196.59</ns0:v>
      </ns0:c>
    </ns0:row>
    <ns0:row r="31" customFormat="false" ht="31" hidden="false" customHeight="true" outlineLevel="0" collapsed="false">
      <ns0:c r="A31" s="13" t="n">
        <ns0:v>46933</ns0:v>
      </ns0:c>
      <ns0:c r="B31" s="7" t="s">
        <ns0:v>136</ns0:v>
      </ns0:c>
      <ns0:c r="C31" s="7" t="s">
        <ns0:v>33</ns0:v>
      </ns0:c>
      <ns0:c r="D31" s="14" t="n">
        <ns0:v>214200</ns0:v>
      </ns0:c>
      <ns0:c r="E31" s="14" t="n">
        <ns0:v>0</ns0:v>
      </ns0:c>
      <ns0:c r="F31" s="10" t="n">
        <ns0:f aca="false">F30+E31-D31</ns0:f>
        <ns0:v>1711996.59</ns0:v>
      </ns0:c>
    </ns0:row>
    <ns0:row r="32" customFormat="false" ht="31" hidden="false" customHeight="true" outlineLevel="0" collapsed="false">
      <ns0:c r="A32" s="13" t="n">
        <ns0:v>46963</ns0:v>
      </ns0:c>
      <ns0:c r="B32" s="7" t="s">
        <ns0:v>137</ns0:v>
      </ns0:c>
      <ns0:c r="C32" s="7" t="s">
        <ns0:v>37</ns0:v>
      </ns0:c>
      <ns0:c r="D32" s="14" t="n">
        <ns0:v>178500</ns0:v>
      </ns0:c>
      <ns0:c r="E32" s="14" t="n">
        <ns0:v>0</ns0:v>
      </ns0:c>
      <ns0:c r="F32" s="10" t="n">
        <ns0:f aca="false">F31+E32-D32</ns0:f>
        <ns0:v>1533496.59</ns0:v>
      </ns0:c>
    </ns0:row>
    <ns0:row r="33" customFormat="false" ht="31" hidden="false" customHeight="true" outlineLevel="0" collapsed="false">
      <ns0:c r="A33" s="13" t="n">
        <ns0:v>46999</ns0:v>
      </ns0:c>
      <ns0:c r="B33" s="7" t="s">
        <ns0:v>138</ns0:v>
      </ns0:c>
      <ns0:c r="C33" s="7" t="s">
        <ns0:v>41</ns0:v>
      </ns0:c>
      <ns0:c r="D33" s="14" t="n">
        <ns0:v>41650</ns0:v>
      </ns0:c>
      <ns0:c r="E33" s="14" t="n">
        <ns0:v>0</ns0:v>
      </ns0:c>
      <ns0:c r="F33" s="10" t="n">
        <ns0:f aca="false">F32+E33-D33</ns0:f>
        <ns0:v>1491846.59</ns0:v>
      </ns0:c>
    </ns0:row>
    <ns0:row r="34" customFormat="false" ht="31" hidden="false" customHeight="true" outlineLevel="0" collapsed="false">
      <ns0:c r="A34" s="13" t="n">
        <ns0:v>47032</ns0:v>
      </ns0:c>
      <ns0:c r="B34" s="7" t="s">
        <ns0:v>139</ns0:v>
      </ns0:c>
      <ns0:c r="C34" s="7" t="s">
        <ns0:v>23</ns0:v>
      </ns0:c>
      <ns0:c r="D34" s="14" t="n">
        <ns0:v>47600</ns0:v>
      </ns0:c>
      <ns0:c r="E34" s="14" t="n">
        <ns0:v>0</ns0:v>
      </ns0:c>
      <ns0:c r="F34" s="10" t="n">
        <ns0:f aca="false">F33+E34-D34</ns0:f>
        <ns0:v>1444246.59</ns0:v>
      </ns0:c>
    </ns0:row>
    <ns0:row r="35" customFormat="false" ht="31" hidden="false" customHeight="true" outlineLevel="0" collapsed="false">
      <ns0:c r="A35" s="13" t="n">
        <ns0:v>47034</ns0:v>
      </ns0:c>
      <ns0:c r="B35" s="7" t="s">
        <ns0:v>140</ns0:v>
      </ns0:c>
      <ns0:c r="C35" s="7" t="s">
        <ns0:v>24</ns0:v>
      </ns0:c>
      <ns0:c r="D35" s="14" t="n">
        <ns0:v>17850</ns0:v>
      </ns0:c>
      <ns0:c r="E35" s="14" t="n">
        <ns0:v>0</ns0:v>
      </ns0:c>
      <ns0:c r="F35" s="10" t="n">
        <ns0:f aca="false">F34+E35-D35</ns0:f>
        <ns0:v>1426396.59</ns0:v>
      </ns0:c>
    </ns0:row>
    <ns0:row r="36" customFormat="false" ht="31" hidden="false" customHeight="true" outlineLevel="0" collapsed="false">
      <ns0:c r="A36" s="13" t="n">
        <ns0:v>47035</ns0:v>
      </ns0:c>
      <ns0:c r="B36" s="7" t="s">
        <ns0:v>141</ns0:v>
      </ns0:c>
      <ns0:c r="C36" s="7" t="s">
        <ns0:v>26</ns0:v>
      </ns0:c>
      <ns0:c r="D36" s="14" t="n">
        <ns0:v>11900</ns0:v>
      </ns0:c>
      <ns0:c r="E36" s="14" t="n">
        <ns0:v>0</ns0:v>
      </ns0:c>
      <ns0:c r="F36" s="10" t="n">
        <ns0:f aca="false">F35+E36-D36</ns0:f>
        <ns0:v>1414496.59</ns0:v>
      </ns0:c>
    </ns0:row>
    <ns0:row r="37" customFormat="false" ht="31" hidden="false" customHeight="true" outlineLevel="0" collapsed="false">
      <ns0:c r="A37" s="13" t="n">
        <ns0:v>47035</ns0:v>
      </ns0:c>
      <ns0:c r="B37" s="7" t="s">
        <ns0:v>142</ns0:v>
      </ns0:c>
      <ns0:c r="C37" s="7" t="s">
        <ns0:v>27</ns0:v>
      </ns0:c>
      <ns0:c r="D37" s="14" t="n">
        <ns0:v>9520</ns0:v>
      </ns0:c>
      <ns0:c r="E37" s="14" t="n">
        <ns0:v>0</ns0:v>
      </ns0:c>
      <ns0:c r="F37" s="10" t="n">
        <ns0:f aca="false">F36+E37-D37</ns0:f>
        <ns0:v>1404976.59</ns0:v>
      </ns0:c>
    </ns0:row>
    <ns0:row r="38" customFormat="false" ht="31" hidden="false" customHeight="true" outlineLevel="0" collapsed="false">
      <ns0:c r="A38" s="13" t="n">
        <ns0:v>47040</ns0:v>
      </ns0:c>
      <ns0:c r="B38" s="7" t="s">
        <ns0:v>143</ns0:v>
      </ns0:c>
      <ns0:c r="C38" s="7" t="s">
        <ns0:v>38</ns0:v>
      </ns0:c>
      <ns0:c r="D38" s="14" t="n">
        <ns0:v>178500</ns0:v>
      </ns0:c>
      <ns0:c r="E38" s="14" t="n">
        <ns0:v>0</ns0:v>
      </ns0:c>
      <ns0:c r="F38" s="10" t="n">
        <ns0:f aca="false">F37+E38-D38</ns0:f>
        <ns0:v>1226476.59</ns0:v>
      </ns0:c>
    </ns0:row>
    <ns0:row r="39" customFormat="false" ht="31" hidden="false" customHeight="true" outlineLevel="0" collapsed="false">
      <ns0:c r="A39" s="13" t="n">
        <ns0:v>47040</ns0:v>
      </ns0:c>
      <ns0:c r="B39" s="7" t="s">
        <ns0:v>144</ns0:v>
      </ns0:c>
      <ns0:c r="C39" s="7" t="s">
        <ns0:v>39</ns0:v>
      </ns0:c>
      <ns0:c r="D39" s="14" t="n">
        <ns0:v>71400</ns0:v>
      </ns0:c>
      <ns0:c r="E39" s="14" t="n">
        <ns0:v>0</ns0:v>
      </ns0:c>
      <ns0:c r="F39" s="10" t="n">
        <ns0:f aca="false">F38+E39-D39</ns0:f>
        <ns0:v>1155076.59</ns0:v>
      </ns0:c>
    </ns0:row>
    <ns0:row r="40" customFormat="false" ht="31" hidden="false" customHeight="true" outlineLevel="0" collapsed="false">
      <ns0:c r="A40" s="13" t="n">
        <ns0:v>47040</ns0:v>
      </ns0:c>
      <ns0:c r="B40" s="7" t="s">
        <ns0:v>145</ns0:v>
      </ns0:c>
      <ns0:c r="C40" s="7" t="s">
        <ns0:v>44</ns0:v>
      </ns0:c>
      <ns0:c r="D40" s="14" t="n">
        <ns0:v>45000</ns0:v>
      </ns0:c>
      <ns0:c r="E40" s="14" t="n">
        <ns0:v>0</ns0:v>
      </ns0:c>
      <ns0:c r="F40" s="10" t="n">
        <ns0:f aca="false">F39+E40-D40</ns0:f>
        <ns0:v>1110076.59</ns0:v>
      </ns0:c>
    </ns0:row>
    <ns0:row r="41" customFormat="false" ht="31" hidden="false" customHeight="true" outlineLevel="0" collapsed="false">
      <ns0:c r="A41" s="13" t="n">
        <ns0:v>47040</ns0:v>
      </ns0:c>
      <ns0:c r="B41" s="7" t="s">
        <ns0:v>146</ns0:v>
      </ns0:c>
      <ns0:c r="C41" s="7" t="s">
        <ns0:v>30</ns0:v>
      </ns0:c>
      <ns0:c r="D41" s="14" t="n">
        <ns0:v>178500</ns0:v>
      </ns0:c>
      <ns0:c r="E41" s="14" t="n">
        <ns0:v>0</ns0:v>
      </ns0:c>
      <ns0:c r="F41" s="10" t="n">
        <ns0:f aca="false">F40+E41-D41</ns0:f>
        <ns0:v>931576.59</ns0:v>
      </ns0:c>
    </ns0:row>
    <ns0:row r="42" customFormat="false" ht="31" hidden="false" customHeight="true" outlineLevel="0" collapsed="false">
      <ns0:c r="A42" s="13" t="n">
        <ns0:v>47040</ns0:v>
      </ns0:c>
      <ns0:c r="B42" s="7" t="s">
        <ns0:v>147</ns0:v>
      </ns0:c>
      <ns0:c r="C42" s="7" t="s">
        <ns0:v>32</ns0:v>
      </ns0:c>
      <ns0:c r="D42" s="14" t="n">
        <ns0:v>261800</ns0:v>
      </ns0:c>
      <ns0:c r="E42" s="14" t="n">
        <ns0:v>0</ns0:v>
      </ns0:c>
      <ns0:c r="F42" s="10" t="n">
        <ns0:f aca="false">F41+E42-D42</ns0:f>
        <ns0:v>669776.59</ns0:v>
      </ns0:c>
    </ns0:row>
    <ns0:row r="43" customFormat="false" ht="31" hidden="false" customHeight="true" outlineLevel="0" collapsed="false">
      <ns0:c r="A43" s="13" t="n">
        <ns0:v>47040</ns0:v>
      </ns0:c>
      <ns0:c r="B43" s="7" t="s">
        <ns0:v>148</ns0:v>
      </ns0:c>
      <ns0:c r="C43" s="7" t="s">
        <ns0:v>34</ns0:v>
      </ns0:c>
      <ns0:c r="D43" s="14" t="n">
        <ns0:v>214200</ns0:v>
      </ns0:c>
      <ns0:c r="E43" s="14" t="n">
        <ns0:v>0</ns0:v>
      </ns0:c>
      <ns0:c r="F43" s="10" t="n">
        <ns0:f aca="false">F42+E43-D43</ns0:f>
        <ns0:v>455576.59</ns0:v>
      </ns0:c>
    </ns0:row>
    <ns0:row r="44" customFormat="false" ht="31" hidden="false" customHeight="true" outlineLevel="0" collapsed="false">
      <ns0:c r="A44" s="13" t="n">
        <ns0:v>47040</ns0:v>
      </ns0:c>
      <ns0:c r="B44" s="7" t="s">
        <ns0:v>149</ns0:v>
      </ns0:c>
      <ns0:c r="C44" s="7" t="s">
        <ns0:v>36</ns0:v>
      </ns0:c>
      <ns0:c r="D44" s="14" t="n">
        <ns0:v>35700</ns0:v>
      </ns0:c>
      <ns0:c r="E44" s="14" t="n">
        <ns0:v>0</ns0:v>
      </ns0:c>
      <ns0:c r="F44" s="10" t="n">
        <ns0:f aca="false">F43+E44-D44</ns0:f>
        <ns0:v>419876.59</ns0:v>
      </ns0:c>
    </ns0:row>
    <ns0:row r="45" customFormat="false" ht="31" hidden="false" customHeight="true" outlineLevel="0" collapsed="false">
      <ns0:c r="A45" s="13" t="n">
        <ns0:v>47060</ns0:v>
      </ns0:c>
      <ns0:c r="B45" s="7" t="s">
        <ns0:v>150</ns0:v>
      </ns0:c>
      <ns0:c r="C45" s="7" t="s">
        <ns0:v>19</ns0:v>
      </ns0:c>
      <ns0:c r="D45" s="14" t="n">
        <ns0:v>55216</ns0:v>
      </ns0:c>
      <ns0:c r="E45" s="14" t="n">
        <ns0:v>0</ns0:v>
      </ns0:c>
      <ns0:c r="F45" s="10" t="n">
        <ns0:f aca="false">F44+E45-D45</ns0:f>
        <ns0:v>364660.59</ns0:v>
      </ns0:c>
    </ns0:row>
    <ns0:row r="46" customFormat="false" ht="31" hidden="false" customHeight="true" outlineLevel="0" collapsed="false">
      <ns0:c r="A46" s="13" t="n">
        <ns0:v>47062</ns0:v>
      </ns0:c>
      <ns0:c r="B46" s="7" t="s">
        <ns0:v>151</ns0:v>
      </ns0:c>
      <ns0:c r="C46" s="7" t="s">
        <ns0:v>22</ns0:v>
      </ns0:c>
      <ns0:c r="D46" s="14" t="n">
        <ns0:v>41650</ns0:v>
      </ns0:c>
      <ns0:c r="E46" s="14" t="n">
        <ns0:v>0</ns0:v>
      </ns0:c>
      <ns0:c r="F46" s="10" t="n">
        <ns0:f aca="false">F45+E46-D46</ns0:f>
        <ns0:v>323010.59</ns0:v>
      </ns0:c>
    </ns0:row>
    <ns0:row r="47" customFormat="false" ht="31" hidden="false" customHeight="true" outlineLevel="0" collapsed="false">
      <ns0:c r="A47" s="13" t="n">
        <ns0:v>47072</ns0:v>
      </ns0:c>
      <ns0:c r="B47" s="7" t="s">
        <ns0:v>152</ns0:v>
      </ns0:c>
      <ns0:c r="C47" s="7" t="s">
        <ns0:v>43</ns0:v>
      </ns0:c>
      <ns0:c r="D47" s="14" t="n">
        <ns0:v>-2975</ns0:v>
      </ns0:c>
      <ns0:c r="E47" s="14" t="n">
        <ns0:v>0</ns0:v>
      </ns0:c>
      <ns0:c r="F47" s="10" t="n">
        <ns0:f aca="false">F46+E47-D47</ns0:f>
        <ns0:v>325985.59</ns0:v>
      </ns0:c>
    </ns0:row>
    <ns0:row r="48" customFormat="false" ht="31" hidden="false" customHeight="true" outlineLevel="0" collapsed="false">
      <ns0:c r="A48" s="13" t="n">
        <ns0:v>47086</ns0:v>
      </ns0:c>
      <ns0:c r="B48" s="7" t="s">
        <ns0:v>153</ns0:v>
      </ns0:c>
      <ns0:c r="C48" s="7" t="s">
        <ns0:v>40</ns0:v>
      </ns0:c>
      <ns0:c r="D48" s="14" t="n">
        <ns0:v>142800</ns0:v>
      </ns0:c>
      <ns0:c r="E48" s="14" t="n">
        <ns0:v>0</ns0:v>
      </ns0:c>
      <ns0:c r="F48" s="10" t="n">
        <ns0:f aca="false">F47+E48-D48</ns0:f>
        <ns0:v>183185.59</ns0:v>
      </ns0:c>
    </ns0:row>
    <ns0:row r="49" customFormat="false" ht="31" hidden="false" customHeight="true" outlineLevel="0" collapsed="false">
      <ns0:c r="A49" s="13" t="n">
        <ns0:v>47102</ns0:v>
      </ns0:c>
      <ns0:c r="B49" s="7" t="s">
        <ns0:v>154</ns0:v>
      </ns0:c>
      <ns0:c r="C49" s="7" t="s">
        <ns0:v>35</ns0:v>
      </ns0:c>
      <ns0:c r="D49" s="14" t="n">
        <ns0:v>-89250</ns0:v>
      </ns0:c>
      <ns0:c r="E49" s="14" t="n">
        <ns0:v>0</ns0:v>
      </ns0:c>
      <ns0:c r="F49" s="10" t="n">
        <ns0:f aca="false">F48+E49-D49</ns0:f>
        <ns0:v>272435.59</ns0:v>
      </ns0:c>
    </ns0:row>
    <ns0:row r="50" customFormat="false" ht="31" hidden="false" customHeight="true" outlineLevel="0" collapsed="false">
      <ns0:c r="A50" s="13" t="n">
        <ns0:v>47118</ns0:v>
      </ns0:c>
      <ns0:c r="B50" s="7" t="s">
        <ns0:v>155</ns0:v>
      </ns0:c>
      <ns0:c r="C50" s="7" t="s">
        <ns0:v>16</ns0:v>
      </ns0:c>
      <ns0:c r="D50" s="14" t="n">
        <ns0:v>51200</ns0:v>
      </ns0:c>
      <ns0:c r="E50" s="14" t="n">
        <ns0:v>0</ns0:v>
      </ns0:c>
      <ns0:c r="F50" s="10" t="n">
        <ns0:f aca="false">F49+E50-D50</ns0:f>
        <ns0:v>221235.59</ns0:v>
      </ns0:c>
    </ns0:row>
    <ns0:row r="51" customFormat="false" ht="31" hidden="false" customHeight="true" outlineLevel="0" collapsed="false">
      <ns0:c r="A51" s="13" t="n">
        <ns0:v>48852</ns0:v>
      </ns0:c>
      <ns0:c r="B51" s="7" t="s">
        <ns0:v>156</ns0:v>
      </ns0:c>
      <ns0:c r="C51" s="7" t="s">
        <ns0:v>20</ns0:v>
      </ns0:c>
      <ns0:c r="D51" s="14" t="n">
        <ns0:v>3451</ns0:v>
      </ns0:c>
      <ns0:c r="E51" s="14" t="n">
        <ns0:v>0</ns0:v>
      </ns0:c>
      <ns0:c r="F51" s="10" t="n">
        <ns0:f aca="false">F50+E51-D51</ns0:f>
        <ns0:v>217784.59</ns0:v>
      </ns0:c>
    </ns0:row>
    <ns0:row r="52" customFormat="false" ht="15" hidden="false" customHeight="false" outlineLevel="0" collapsed="false">
      <ns0:c r="A52" s="2"/>
      <ns0:c r="B52" s="2"/>
      <ns0:c r="C52" s="2"/>
      <ns0:c r="D52" s="2"/>
      <ns0:c r="E52" s="2"/>
      <ns0:c r="F52" s="2"/>
    </ns0:row>
    <ns0:row r="53" customFormat="false" ht="15" hidden="false" customHeight="false" outlineLevel="0" collapsed="false">
      <ns0:c r="A53" s="2" t="s">
        <ns0:v>157</ns0:v>
      </ns0:c>
      <ns0:c r="B53" s="2"/>
      <ns0:c r="C53" s="2"/>
      <ns0:c r="D53" s="2"/>
      <ns0:c r="E53" s="2"/>
      <ns0:c r="F53" s="2"/>
    </ns0:row>
    <ns0:row r="54" customFormat="false" ht="15" hidden="false" customHeight="false" outlineLevel="0" collapsed="false">
      <ns0:c r="A54" s="2"/>
      <ns0:c r="B54" s="2"/>
      <ns0:c r="C54" s="2"/>
      <ns0:c r="D54" s="2"/>
      <ns0:c r="E54" s="2"/>
      <ns0:c r="F54" s="2"/>
    </ns0:row>
    <ns0:row r="55" customFormat="false" ht="15" hidden="false" customHeight="false" outlineLevel="0" collapsed="false">
      <ns0:c r="A55" s="2"/>
      <ns0:c r="B55" s="2"/>
      <ns0:c r="C55" s="2"/>
      <ns0:c r="D55" s="2"/>
      <ns0:c r="E55" s="2"/>
      <ns0:c r="F55" s="2"/>
    </ns0:row>
    <ns0:row r="56" customFormat="false" ht="15" hidden="false" customHeight="false" outlineLevel="0" collapsed="false">
      <ns0:c r="A56" s="2"/>
      <ns0:c r="B56" s="2"/>
      <ns0:c r="C56" s="2"/>
      <ns0:c r="D56" s="2"/>
      <ns0:c r="E56" s="2"/>
      <ns0:c r="F56" s="2"/>
    </ns0:row>
    <ns0:row r="57" customFormat="false" ht="15" hidden="false" customHeight="false" outlineLevel="0" collapsed="false">
      <ns0:c r="A57" s="2"/>
      <ns0:c r="B57" s="2"/>
      <ns0:c r="C57" s="2"/>
      <ns0:c r="D57" s="2"/>
      <ns0:c r="E57" s="2"/>
      <ns0:c r="F57" s="2"/>
    </ns0:row>
    <ns0:row r="58" customFormat="false" ht="15" hidden="false" customHeight="false" outlineLevel="0" collapsed="false">
      <ns0:c r="A58" s="2"/>
      <ns0:c r="B58" s="2"/>
      <ns0:c r="C58" s="2"/>
      <ns0:c r="D58" s="2"/>
      <ns0:c r="E58" s="2"/>
      <ns0:c r="F58" s="2"/>
    </ns0:row>
    <ns0:row r="59" customFormat="false" ht="15" hidden="false" customHeight="false" outlineLevel="0" collapsed="false">
      <ns0:c r="A59" s="2"/>
      <ns0:c r="B59" s="2"/>
      <ns0:c r="C59" s="2"/>
      <ns0:c r="D59" s="2"/>
      <ns0:c r="E59" s="2"/>
      <ns0:c r="F59" s="2"/>
    </ns0:row>
    <ns0:row r="60" customFormat="false" ht="15" hidden="false" customHeight="false" outlineLevel="0" collapsed="false">
      <ns0:c r="A60" s="2"/>
      <ns0:c r="B60" s="2"/>
      <ns0:c r="C60" s="2"/>
      <ns0:c r="D60" s="2"/>
      <ns0:c r="E60" s="2"/>
      <ns0:c r="F60" s="2"/>
    </ns0:row>
    <ns0:row r="61" customFormat="false" ht="15" hidden="false" customHeight="false" outlineLevel="0" collapsed="false">
      <ns0:c r="A61" s="2"/>
      <ns0:c r="B61" s="2"/>
      <ns0:c r="C61" s="2"/>
      <ns0:c r="D61" s="2"/>
      <ns0:c r="E61" s="2"/>
      <ns0:c r="F61" s="2"/>
    </ns0:row>
    <ns0:row r="62" customFormat="false" ht="15" hidden="false" customHeight="false" outlineLevel="0" collapsed="false">
      <ns0:c r="A62" s="2"/>
      <ns0:c r="B62" s="2"/>
      <ns0:c r="C62" s="2"/>
      <ns0:c r="D62" s="2"/>
      <ns0:c r="E62" s="2"/>
      <ns0:c r="F62" s="2"/>
    </ns0:row>
    <ns0:row r="63" customFormat="false" ht="15" hidden="false" customHeight="false" outlineLevel="0" collapsed="false">
      <ns0:c r="A63" s="2"/>
      <ns0:c r="B63" s="2"/>
      <ns0:c r="C63" s="2"/>
      <ns0:c r="D63" s="2"/>
      <ns0:c r="E63" s="2"/>
      <ns0:c r="F63" s="2"/>
    </ns0:row>
    <ns0:row r="64" customFormat="false" ht="15" hidden="false" customHeight="false" outlineLevel="0" collapsed="false">
      <ns0:c r="A64" s="2"/>
      <ns0:c r="B64" s="2"/>
      <ns0:c r="C64" s="2"/>
      <ns0:c r="D64" s="2"/>
      <ns0:c r="E64" s="2"/>
      <ns0:c r="F64" s="2"/>
    </ns0:row>
    <ns0:row r="65" customFormat="false" ht="15" hidden="false" customHeight="false" outlineLevel="0" collapsed="false">
      <ns0:c r="A65" s="2"/>
      <ns0:c r="B65" s="2"/>
      <ns0:c r="C65" s="2"/>
      <ns0:c r="D65" s="2"/>
      <ns0:c r="E65" s="2"/>
      <ns0:c r="F65" s="2"/>
    </ns0:row>
    <ns0:row r="66" customFormat="false" ht="15" hidden="false" customHeight="false" outlineLevel="0" collapsed="false">
      <ns0:c r="A66" s="2"/>
      <ns0:c r="B66" s="2"/>
      <ns0:c r="C66" s="2"/>
      <ns0:c r="D66" s="2"/>
      <ns0:c r="E66" s="2"/>
      <ns0:c r="F66" s="2"/>
    </ns0:row>
    <ns0:row r="67" customFormat="false" ht="15" hidden="false" customHeight="false" outlineLevel="0" collapsed="false">
      <ns0:c r="A67" s="2"/>
      <ns0:c r="B67" s="2"/>
      <ns0:c r="C67" s="2"/>
      <ns0:c r="D67" s="2"/>
      <ns0:c r="E67" s="2"/>
      <ns0:c r="F67" s="2"/>
    </ns0:row>
    <ns0:row r="68" customFormat="false" ht="15" hidden="false" customHeight="false" outlineLevel="0" collapsed="false">
      <ns0:c r="A68" s="2"/>
      <ns0:c r="B68" s="2"/>
      <ns0:c r="C68" s="2"/>
      <ns0:c r="D68" s="2"/>
      <ns0:c r="E68" s="2"/>
      <ns0:c r="F68" s="2"/>
    </ns0:row>
    <ns0:row r="69" customFormat="false" ht="15" hidden="false" customHeight="false" outlineLevel="0" collapsed="false">
      <ns0:c r="A69" s="2"/>
      <ns0:c r="B69" s="2"/>
      <ns0:c r="C69" s="2"/>
      <ns0:c r="D69" s="2"/>
      <ns0:c r="E69" s="2"/>
      <ns0:c r="F69" s="2"/>
    </ns0:row>
    <ns0:row r="70" customFormat="false" ht="15" hidden="false" customHeight="false" outlineLevel="0" collapsed="false">
      <ns0:c r="A70" s="2"/>
      <ns0:c r="B70" s="2"/>
      <ns0:c r="C70" s="2"/>
      <ns0:c r="D70" s="2"/>
      <ns0:c r="E70" s="2"/>
      <ns0:c r="F70" s="2"/>
    </ns0:row>
    <ns0:row r="71" customFormat="false" ht="15" hidden="false" customHeight="false" outlineLevel="0" collapsed="false">
      <ns0:c r="A71" s="2"/>
      <ns0:c r="B71" s="2"/>
      <ns0:c r="C71" s="2"/>
      <ns0:c r="D71" s="2"/>
      <ns0:c r="E71" s="2"/>
      <ns0:c r="F71" s="2"/>
    </ns0:row>
    <ns0:row r="72" customFormat="false" ht="15" hidden="false" customHeight="false" outlineLevel="0" collapsed="false">
      <ns0:c r="A72" s="2"/>
      <ns0:c r="B72" s="2"/>
      <ns0:c r="C72" s="2"/>
      <ns0:c r="D72" s="2"/>
      <ns0:c r="E72" s="2"/>
      <ns0:c r="F72" s="2"/>
    </ns0:row>
    <ns0:row r="73" customFormat="false" ht="15" hidden="false" customHeight="false" outlineLevel="0" collapsed="false">
      <ns0:c r="A73" s="2"/>
      <ns0:c r="B73" s="2"/>
      <ns0:c r="C73" s="2"/>
      <ns0:c r="D73" s="2"/>
      <ns0:c r="E73" s="2"/>
      <ns0:c r="F73" s="2"/>
    </ns0:row>
    <ns0:row r="74" customFormat="false" ht="15" hidden="false" customHeight="false" outlineLevel="0" collapsed="false">
      <ns0:c r="A74" s="2"/>
      <ns0:c r="B74" s="2"/>
      <ns0:c r="C74" s="2"/>
      <ns0:c r="D74" s="2"/>
      <ns0:c r="E74" s="2"/>
      <ns0:c r="F74" s="2"/>
    </ns0:row>
    <ns0:row r="75" customFormat="false" ht="15" hidden="false" customHeight="false" outlineLevel="0" collapsed="false">
      <ns0:c r="A75" s="2"/>
      <ns0:c r="B75" s="2"/>
      <ns0:c r="C75" s="2"/>
      <ns0:c r="D75" s="2"/>
      <ns0:c r="E75" s="2"/>
      <ns0:c r="F75" s="2"/>
    </ns0:row>
    <ns0:row r="76" customFormat="false" ht="15" hidden="false" customHeight="false" outlineLevel="0" collapsed="false">
      <ns0:c r="A76" s="2"/>
      <ns0:c r="B76" s="2"/>
      <ns0:c r="C76" s="2"/>
      <ns0:c r="D76" s="2"/>
      <ns0:c r="E76" s="2"/>
      <ns0:c r="F76" s="2"/>
    </ns0:row>
    <ns0:row r="77" customFormat="false" ht="15" hidden="false" customHeight="false" outlineLevel="0" collapsed="false">
      <ns0:c r="A77" s="2"/>
      <ns0:c r="B77" s="2"/>
      <ns0:c r="C77" s="2"/>
      <ns0:c r="D77" s="2"/>
      <ns0:c r="E77" s="2"/>
      <ns0:c r="F77" s="2"/>
    </ns0:row>
    <ns0:row r="78" customFormat="false" ht="15" hidden="false" customHeight="false" outlineLevel="0" collapsed="false">
      <ns0:c r="A78" s="2"/>
      <ns0:c r="B78" s="2"/>
      <ns0:c r="C78" s="2"/>
      <ns0:c r="D78" s="2"/>
      <ns0:c r="E78" s="2"/>
      <ns0:c r="F78" s="2"/>
    </ns0:row>
    <ns0:row r="79" customFormat="false" ht="15" hidden="false" customHeight="false" outlineLevel="0" collapsed="false">
      <ns0:c r="A79" s="2"/>
      <ns0:c r="B79" s="2"/>
      <ns0:c r="C79" s="2"/>
      <ns0:c r="D79" s="2"/>
      <ns0:c r="E79" s="2"/>
      <ns0:c r="F79" s="2"/>
    </ns0:row>
    <ns0:row r="80" customFormat="false" ht="15" hidden="false" customHeight="false" outlineLevel="0" collapsed="false">
      <ns0:c r="A80" s="2"/>
      <ns0:c r="B80" s="2"/>
      <ns0:c r="C80" s="2"/>
      <ns0:c r="D80" s="2"/>
      <ns0:c r="E80" s="2"/>
      <ns0:c r="F80" s="2"/>
    </ns0:row>
    <ns0:row r="81" customFormat="false" ht="15" hidden="false" customHeight="false" outlineLevel="0" collapsed="false">
      <ns0:c r="A81" s="2"/>
      <ns0:c r="B81" s="2"/>
      <ns0:c r="C81" s="2"/>
      <ns0:c r="D81" s="2"/>
      <ns0:c r="E81" s="2"/>
      <ns0:c r="F81" s="2"/>
    </ns0:row>
    <ns0:row r="82" customFormat="false" ht="15" hidden="false" customHeight="false" outlineLevel="0" collapsed="false">
      <ns0:c r="A82" s="2"/>
      <ns0:c r="B82" s="2"/>
      <ns0:c r="C82" s="2"/>
      <ns0:c r="D82" s="2"/>
      <ns0:c r="E82" s="2"/>
      <ns0:c r="F82" s="2"/>
    </ns0:row>
    <ns0:row r="83" customFormat="false" ht="15" hidden="false" customHeight="false" outlineLevel="0" collapsed="false">
      <ns0:c r="A83" s="2"/>
      <ns0:c r="B83" s="2"/>
      <ns0:c r="C83" s="2"/>
      <ns0:c r="D83" s="2"/>
      <ns0:c r="E83" s="2"/>
      <ns0:c r="F83" s="2"/>
    </ns0:row>
    <ns0:row r="84" customFormat="false" ht="15" hidden="false" customHeight="false" outlineLevel="0" collapsed="false">
      <ns0:c r="A84" s="2"/>
      <ns0:c r="B84" s="2"/>
      <ns0:c r="C84" s="2"/>
      <ns0:c r="D84" s="2"/>
      <ns0:c r="E84" s="2"/>
      <ns0:c r="F84" s="2"/>
    </ns0:row>
    <ns0:row r="85" customFormat="false" ht="15" hidden="false" customHeight="false" outlineLevel="0" collapsed="false">
      <ns0:c r="A85" s="2"/>
      <ns0:c r="B85" s="2"/>
      <ns0:c r="C85" s="2"/>
      <ns0:c r="D85" s="2"/>
      <ns0:c r="E85" s="2"/>
      <ns0:c r="F85" s="2"/>
    </ns0:row>
    <ns0:row r="86" customFormat="false" ht="15" hidden="false" customHeight="false" outlineLevel="0" collapsed="false">
      <ns0:c r="A86" s="2"/>
      <ns0:c r="B86" s="2"/>
      <ns0:c r="C86" s="2"/>
      <ns0:c r="D86" s="2"/>
      <ns0:c r="E86" s="2"/>
      <ns0:c r="F86" s="2"/>
    </ns0:row>
    <ns0:row r="87" customFormat="false" ht="15" hidden="false" customHeight="false" outlineLevel="0" collapsed="false">
      <ns0:c r="A87" s="2"/>
      <ns0:c r="B87" s="2"/>
      <ns0:c r="C87" s="2"/>
      <ns0:c r="D87" s="2"/>
      <ns0:c r="E87" s="2"/>
      <ns0:c r="F87" s="2"/>
    </ns0:row>
    <ns0:row r="88" customFormat="false" ht="15" hidden="false" customHeight="false" outlineLevel="0" collapsed="false">
      <ns0:c r="A88" s="2"/>
      <ns0:c r="B88" s="2"/>
      <ns0:c r="C88" s="2"/>
      <ns0:c r="D88" s="2"/>
      <ns0:c r="E88" s="2"/>
      <ns0:c r="F88" s="2"/>
    </ns0:row>
    <ns0:row r="89" customFormat="false" ht="15" hidden="false" customHeight="false" outlineLevel="0" collapsed="false">
      <ns0:c r="A89" s="2"/>
      <ns0:c r="B89" s="2"/>
      <ns0:c r="C89" s="2"/>
      <ns0:c r="D89" s="2"/>
      <ns0:c r="E89" s="2"/>
      <ns0:c r="F89" s="2"/>
    </ns0:row>
    <ns0:row r="90" customFormat="false" ht="15" hidden="false" customHeight="false" outlineLevel="0" collapsed="false">
      <ns0:c r="A90" s="2"/>
      <ns0:c r="B90" s="2"/>
      <ns0:c r="C90" s="2"/>
      <ns0:c r="D90" s="2"/>
      <ns0:c r="E90" s="2"/>
      <ns0:c r="F90" s="2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  <ns0:tableParts>
    <ns0:tablePart ns1:id="rId1"/>
  </ns0:tableParts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