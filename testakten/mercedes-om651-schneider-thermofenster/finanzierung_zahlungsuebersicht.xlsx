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ahlungsuebersicht" sheetId="1" state="visible" r:id="rId1"/>
  </sheets>
  <definedNames>
    <definedName name="_xlnm._FilterDatabase" localSheetId="0" hidden="1">'Zahlungsuebersicht'!$A$4:$D$6</definedName>
  </definedNames>
  <calcPr calcId="124519" calcMode="auto" fullCalcOnLoad="1" forceFullCalc="1"/>
</workbook>
</file>

<file path=xl/styles.xml><?xml version="1.0" encoding="utf-8"?>
<styleSheet xmlns="http://schemas.openxmlformats.org/spreadsheetml/2006/main">
  <numFmts count="4">
    <numFmt numFmtId="164" formatCode="yyyy-mm-dd"/>
    <numFmt numFmtId="165" formatCode="DD.MM.YYYY"/>
    <numFmt numFmtId="166" formatCode="#,##0.00 [$€-407]"/>
    <numFmt numFmtId="167" formatCode="#,##0 &quot;km&quot;"/>
  </numFmts>
  <fonts count="3">
    <font>
      <name val="Calibri"/>
      <family val="2"/>
      <color theme="1"/>
      <sz val="11"/>
      <scheme val="minor"/>
    </font>
    <font>
      <b val="1"/>
      <color rgb="001F2937"/>
    </font>
    <font>
      <b val="1"/>
      <color rgb="001F2937"/>
      <sz val="14"/>
    </font>
  </fonts>
  <fills count="4">
    <fill>
      <patternFill/>
    </fill>
    <fill>
      <patternFill patternType="gray125"/>
    </fill>
    <fill>
      <patternFill patternType="solid">
        <fgColor rgb="00EAF0F6"/>
      </patternFill>
    </fill>
    <fill>
      <patternFill patternType="solid">
        <fgColor rgb="00DCE6F1"/>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3" borderId="1" applyAlignment="1" pivotButton="0" quotePrefix="0" xfId="0">
      <alignment vertical="top" wrapText="1"/>
    </xf>
    <xf numFmtId="0" fontId="0" fillId="0" borderId="1" applyAlignment="1" pivotButton="0" quotePrefix="0" xfId="0">
      <alignment vertical="top" wrapText="1"/>
    </xf>
    <xf numFmtId="165" fontId="0" fillId="0" borderId="1" applyAlignment="1" pivotButton="0" quotePrefix="0" xfId="0">
      <alignment vertical="top" wrapText="1"/>
    </xf>
    <xf numFmtId="166" fontId="0" fillId="0" borderId="1" applyAlignment="1" pivotButton="0" quotePrefix="0" xfId="0">
      <alignment vertical="top" wrapText="1"/>
    </xf>
    <xf numFmtId="167" fontId="0" fillId="0" borderId="1" applyAlignment="1" pivotButton="0" quotePrefix="0" xfId="0">
      <alignment vertical="top" wrapText="1"/>
    </xf>
    <xf numFmtId="1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D40"/>
  <sheetViews>
    <sheetView showGridLines="0" workbookViewId="0">
      <pane ySplit="4" topLeftCell="A5" activePane="bottomLeft" state="frozen"/>
      <selection pane="bottomLeft" activeCell="A1" sqref="A1"/>
    </sheetView>
  </sheetViews>
  <sheetFormatPr baseColWidth="8" defaultRowHeight="14"/>
  <cols>
    <col width="26" customWidth="1" min="1" max="1"/>
    <col width="15" customWidth="1" min="2" max="2"/>
    <col width="26" customWidth="1" min="3" max="3"/>
    <col width="26" customWidth="1" min="4" max="4"/>
  </cols>
  <sheetData>
    <row r="1" ht="24" customHeight="1">
      <c r="A1" s="1" t="inlineStr">
        <is>
          <t>Zahlungs- und Schadensübersicht</t>
        </is>
      </c>
    </row>
    <row r="2" ht="44" customHeight="1">
      <c r="A2" s="2" t="inlineStr">
        <is>
          <t>Kanzleizeichen: M-2026-02087
Rechenstand: 20.08.2026
Bezugsstichtag Laufleistung: 06.07.2026</t>
        </is>
      </c>
    </row>
    <row r="3">
      <c r="A3" s="3" t="inlineStr">
        <is>
          <t>1. Zahlungsnachweis</t>
        </is>
      </c>
    </row>
    <row r="4" ht="16" customHeight="1">
      <c r="A4" s="4" t="inlineStr">
        <is>
          <t>Vorgang</t>
        </is>
      </c>
      <c r="B4" s="4" t="inlineStr">
        <is>
          <t>Datum</t>
        </is>
      </c>
      <c r="C4" s="4" t="inlineStr">
        <is>
          <t>Betrag</t>
        </is>
      </c>
      <c r="D4" s="4" t="inlineStr">
        <is>
          <t>Beleg</t>
        </is>
      </c>
    </row>
    <row r="5" ht="30" customHeight="1">
      <c r="A5" s="5" t="inlineStr">
        <is>
          <t>Kaufpreiszahlung</t>
        </is>
      </c>
      <c r="B5" s="6" t="n">
        <v>42632</v>
      </c>
      <c r="C5" s="7" t="n">
        <v>24500</v>
      </c>
      <c r="D5" s="5" t="inlineStr">
        <is>
          <t>Rechnung R-2016-3342 mit Zahlungsbestätigung</t>
        </is>
      </c>
    </row>
    <row r="6" ht="16" customHeight="1">
      <c r="A6" s="5" t="inlineStr">
        <is>
          <t>Übergabe</t>
        </is>
      </c>
      <c r="B6" s="6" t="n">
        <v>42633</v>
      </c>
      <c r="C6" s="5" t="inlineStr">
        <is>
          <t>vollständig bezahlt</t>
        </is>
      </c>
      <c r="D6" s="5" t="inlineStr">
        <is>
          <t>Rechnung und Bestellung</t>
        </is>
      </c>
    </row>
    <row r="7"/>
    <row r="8">
      <c r="A8" s="2" t="inlineStr">
        <is>
          <t>Eine Finanzierung oder ein verbundenes Darlehen ist nicht dokumentiert.</t>
        </is>
      </c>
    </row>
    <row r="9">
      <c r="A9" s="3" t="inlineStr">
        <is>
          <t>2. Nutzung</t>
        </is>
      </c>
    </row>
    <row r="10" ht="16" customHeight="1">
      <c r="A10" s="4" t="inlineStr">
        <is>
          <t>Rechengröße</t>
        </is>
      </c>
      <c r="B10" s="4" t="inlineStr">
        <is>
          <t>Wert</t>
        </is>
      </c>
    </row>
    <row r="11" ht="16" customHeight="1">
      <c r="A11" s="5" t="inlineStr">
        <is>
          <t>Kaufpreis</t>
        </is>
      </c>
      <c r="B11" s="7" t="n">
        <v>24500</v>
      </c>
    </row>
    <row r="12" ht="16" customHeight="1">
      <c r="A12" s="5" t="inlineStr">
        <is>
          <t>Kilometerstand bei Erwerb</t>
        </is>
      </c>
      <c r="B12" s="8" t="n">
        <v>38000</v>
      </c>
    </row>
    <row r="13" ht="30" customHeight="1">
      <c r="A13" s="5" t="inlineStr">
        <is>
          <t>Kilometerstand am 06.07.2026</t>
        </is>
      </c>
      <c r="B13" s="8" t="n">
        <v>119238</v>
      </c>
    </row>
    <row r="14" ht="16" customHeight="1">
      <c r="A14" s="5" t="inlineStr">
        <is>
          <t>Gefahrene Kilometer</t>
        </is>
      </c>
      <c r="B14" s="8" t="n">
        <v>81238</v>
      </c>
    </row>
    <row r="15" ht="30" customHeight="1">
      <c r="A15" s="5" t="inlineStr">
        <is>
          <t>Vorläufig angenommene Gesamtlaufleistung</t>
        </is>
      </c>
      <c r="B15" s="8" t="n">
        <v>300000</v>
      </c>
    </row>
    <row r="16" ht="30" customHeight="1">
      <c r="A16" s="5" t="inlineStr">
        <is>
          <t>Restlaufleistung bei Erwerb</t>
        </is>
      </c>
      <c r="B16" s="8" t="n">
        <v>262000</v>
      </c>
    </row>
    <row r="17" ht="30" customHeight="1">
      <c r="A17" s="5" t="inlineStr">
        <is>
          <t>Vorläufiger Nutzungsvorteil</t>
        </is>
      </c>
      <c r="B17" s="7" t="n">
        <v>7596.68</v>
      </c>
    </row>
    <row r="18"/>
    <row r="19" ht="30" customHeight="1">
      <c r="A19" s="5" t="inlineStr">
        <is>
          <t>24.500,00 EUR × 81.238 km ÷ 262.000 km</t>
        </is>
      </c>
      <c r="B19" s="7">
        <f>B11*B14/B16</f>
        <v/>
      </c>
    </row>
    <row r="20" ht="44" customHeight="1">
      <c r="A20" s="2" t="inlineStr">
        <is>
          <t>Der Ansatz von 300.000 km ist eine offene Schätzannahme. Bei 250.000 km Gesamtlaufleistung ergäbe sich wegen der geringeren Restlaufleistung ein höherer Nutzungsvorteil. Vor einer Außenverwendung sind beide Szenarien zu begründen.</t>
        </is>
      </c>
    </row>
    <row r="21">
      <c r="A21" s="3" t="inlineStr">
        <is>
          <t>3. Differenzschadensszenarien</t>
        </is>
      </c>
    </row>
    <row r="22" ht="30" customHeight="1">
      <c r="A22" s="4" t="inlineStr">
        <is>
          <t>Quote</t>
        </is>
      </c>
      <c r="B22" s="4" t="inlineStr">
        <is>
          <t>Bruttoschaden</t>
        </is>
      </c>
      <c r="C22" s="4" t="inlineStr">
        <is>
          <t>Tatsächlicher Wert bei Erwerb</t>
        </is>
      </c>
      <c r="D22" s="4" t="inlineStr">
        <is>
          <t>Restwertschwelle für erste Anrechnung</t>
        </is>
      </c>
    </row>
    <row r="23" ht="16" customHeight="1">
      <c r="A23" s="9" t="n">
        <v>0.05</v>
      </c>
      <c r="B23" s="7" t="n">
        <v>1225</v>
      </c>
      <c r="C23" s="7" t="n">
        <v>23275</v>
      </c>
      <c r="D23" s="7" t="n">
        <v>15678.32</v>
      </c>
    </row>
    <row r="24" ht="16" customHeight="1">
      <c r="A24" s="9" t="n">
        <v>0.1</v>
      </c>
      <c r="B24" s="7" t="n">
        <v>2450</v>
      </c>
      <c r="C24" s="7" t="n">
        <v>22050</v>
      </c>
      <c r="D24" s="7" t="n">
        <v>14453.32</v>
      </c>
    </row>
    <row r="25" ht="16" customHeight="1">
      <c r="A25" s="9" t="n">
        <v>0.15</v>
      </c>
      <c r="B25" s="7" t="n">
        <v>3675</v>
      </c>
      <c r="C25" s="7" t="n">
        <v>20825</v>
      </c>
      <c r="D25" s="7" t="n">
        <v>13228.32</v>
      </c>
    </row>
    <row r="26"/>
    <row r="27" ht="44" customHeight="1">
      <c r="A27" s="2" t="inlineStr">
        <is>
          <t>Die erste Anrechnung beginnt, wenn Nutzungsvorteil und objektiver Restwert zusammen den tatsächlichen Fahrzeugwert bei Erwerb übersteigen. Bei einem objektiven Restwert von mindestens 16.903,32 EUR wären sämtliche drei Bruttoszenarien vollständig aufgezehrt.</t>
        </is>
      </c>
    </row>
    <row r="28">
      <c r="A28" s="3" t="inlineStr">
        <is>
          <t>4. Vergleich und Kosten</t>
        </is>
      </c>
    </row>
    <row r="29" ht="44" customHeight="1">
      <c r="A29" s="2" t="inlineStr">
        <is>
          <t>Das Herstellerangebot umfasst 1.500,00 EUR an die Mandantin und 250,00 EUR Kostenbeitrag. Es liegt über dem Bruttobetrag der 5-%-Variante und bleibt selbst dann positiv, wenn ein gerichtlich berechneter Differenzschaden wegen Restwert und Nutzung vollständig aufgezehrt wäre.</t>
        </is>
      </c>
    </row>
    <row r="30" ht="30" customHeight="1">
      <c r="A30" s="4" t="inlineStr">
        <is>
          <t>Vorgerichtliche Gebührenrechnung</t>
        </is>
      </c>
      <c r="B30" s="4" t="inlineStr">
        <is>
          <t>Betrag</t>
        </is>
      </c>
    </row>
    <row r="31" ht="30" customHeight="1">
      <c r="A31" s="5" t="inlineStr">
        <is>
          <t>1,3-Geschäftsgebühr aus 2.450,00 EUR</t>
        </is>
      </c>
      <c r="B31" s="7" t="n">
        <v>306.15</v>
      </c>
    </row>
    <row r="32" ht="30" customHeight="1">
      <c r="A32" s="5" t="inlineStr">
        <is>
          <t>Post- und Telekommunikationspauschale</t>
        </is>
      </c>
      <c r="B32" s="7" t="n">
        <v>20</v>
      </c>
    </row>
    <row r="33" ht="16" customHeight="1">
      <c r="A33" s="5" t="inlineStr">
        <is>
          <t>Umsatzsteuer 19 %</t>
        </is>
      </c>
      <c r="B33" s="7" t="n">
        <v>61.97</v>
      </c>
    </row>
    <row r="34" ht="30" customHeight="1">
      <c r="A34" s="5" t="inlineStr">
        <is>
          <t>Vorgerichtliche Kosten brutto</t>
        </is>
      </c>
      <c r="B34" s="7" t="n">
        <v>388.12</v>
      </c>
    </row>
    <row r="35" ht="30" customHeight="1">
      <c r="A35" s="5" t="inlineStr">
        <is>
          <t>abzüglich Herstellerbeitrag</t>
        </is>
      </c>
      <c r="B35" s="5" t="inlineStr">
        <is>
          <t>−250,00 EUR</t>
        </is>
      </c>
    </row>
    <row r="36" ht="30" customHeight="1">
      <c r="A36" s="5" t="inlineStr">
        <is>
          <t>von der Mandantin zu tragender Rest</t>
        </is>
      </c>
      <c r="B36" s="7" t="n">
        <v>138.12</v>
      </c>
    </row>
    <row r="37" ht="30" customHeight="1">
      <c r="A37" s="5" t="inlineStr">
        <is>
          <t>Vergleichszahlung an die Mandantin</t>
        </is>
      </c>
      <c r="B37" s="7" t="n">
        <v>1500</v>
      </c>
    </row>
    <row r="38" ht="44" customHeight="1">
      <c r="A38" s="5" t="inlineStr">
        <is>
          <t>sicherer wirtschaftlicher Zufluss nach eigenem Kostenrest</t>
        </is>
      </c>
      <c r="B38" s="7" t="n">
        <v>1361.88</v>
      </c>
    </row>
    <row r="39"/>
    <row r="40" ht="58" customHeight="1">
      <c r="A40" s="2" t="inlineStr">
        <is>
          <t>Dem stehen eine nicht nachweisbare konkrete Funktion, ein fehlender Restwert, ein möglicher Sachverständigenaufwand und das Prozesskostenrisiko gegenüber. Die Mandantin wies nach Aufklärung am 11.08.2026 zur Annahme an. Mercedes bestätigte am 18.08.2026 die fristgerechte Annahme und wies beide Zahlungen an; die Zahlungseingänge wurden am 20.08.2026 kontrolliert.</t>
        </is>
      </c>
    </row>
  </sheetData>
  <autoFilter ref="A4:D6"/>
  <mergeCells count="11">
    <mergeCell ref="A1:D1"/>
    <mergeCell ref="A40:D40"/>
    <mergeCell ref="A9:D9"/>
    <mergeCell ref="A27:D27"/>
    <mergeCell ref="A8:D8"/>
    <mergeCell ref="A3:D3"/>
    <mergeCell ref="A20:D20"/>
    <mergeCell ref="A21:D21"/>
    <mergeCell ref="A29:D29"/>
    <mergeCell ref="A2:D2"/>
    <mergeCell ref="A28:D28"/>
  </mergeCells>
  <printOptions horizontalCentered="1"/>
  <pageMargins left="0.25" right="0.25" top="0.4" bottom="0.4" header="0.15" footer="0.15"/>
  <pageSetup orientation="portrait" paperSize="9" scale="74" fitToHeight="0" fitToWidth="0"/>
  <headerFooter>
    <oddHeader/>
    <oddFooter>&amp;CSeite &amp;P von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Kanzleisoftware-Export Diesel-Schadensersatz</dc:creator>
  <dcterms:created xsi:type="dcterms:W3CDTF">2000-01-01T00:00:00Z</dcterms:created>
  <dcterms:modified xsi:type="dcterms:W3CDTF">2000-01-01T00:00:00Z</dcterms:modified>
</cp:coreProperties>
</file>