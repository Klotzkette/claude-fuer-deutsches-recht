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38904e3ac141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swertung" sheetId="1" r:id="Rfc2f3687ebfd4348"/>
    <x:sheet xmlns:r="http://schemas.openxmlformats.org/officeDocument/2006/relationships" name="Export" sheetId="2" r:id="R994894488e4646de"/>
    <x:sheet xmlns:r="http://schemas.openxmlformats.org/officeDocument/2006/relationships" name="Kontrollen" sheetId="3" r:id="R845a247ae85d415c"/>
  </x:sheets>
  <x:definedNames>
    <x:definedName name="_xlnm.Print_Area" localSheetId="0">'Auswertung'!$A$1:$E$26</x:definedName>
    <x:definedName name="_xlnm.Print_Area" localSheetId="1">'Export'!$A$1:$I$34</x:definedName>
    <x:definedName name="_xlnm.Print_Area" localSheetId="2">'Kontrollen'!$A$1:$E$21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0.0"/>
  </x:numFmts>
  <x:fonts count="7">
    <x:font>
      <x:sz val="11"/>
      <x:name val="Carlito"/>
    </x:font>
    <x:font>
      <x:sz val="11"/>
      <x:color rgb="FF172331"/>
      <x:name val="Times New Roman"/>
    </x:font>
    <x:font>
      <x:b/>
      <x:sz val="16"/>
      <x:color rgb="FF172331"/>
      <x:name val="Times New Roman"/>
    </x:font>
    <x:font>
      <x:sz val="10"/>
      <x:color rgb="FF425466"/>
      <x:name val="Times New Roman"/>
    </x:font>
    <x:font>
      <x:b/>
      <x:sz val="11"/>
      <x:color rgb="FFFFFFFF"/>
      <x:name val="Times New Roman"/>
    </x:font>
    <x:font>
      <x:sz val="11"/>
      <x:color rgb="FF1D4ED8"/>
      <x:name val="Times New Roman"/>
    </x:font>
    <x:font>
      <x:b/>
      <x:sz val="11"/>
      <x:color rgb="FF172331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254F6B"/>
      </x:patternFill>
    </x:fill>
    <x:fill>
      <x:patternFill patternType="solid">
        <x:fgColor rgb="FFEAF0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202" fontId="6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a5cd3a786a42c0" /><Relationship Type="http://schemas.openxmlformats.org/officeDocument/2006/relationships/theme" Target="/xl/theme/theme1.xml" Id="R8b84f7b6c15b44c2" /><Relationship Type="http://schemas.openxmlformats.org/officeDocument/2006/relationships/sharedStrings" Target="/xl/sharedStrings.xml" Id="R8b6271cc0f0f4ad3" /><Relationship Type="http://schemas.openxmlformats.org/officeDocument/2006/relationships/worksheet" Target="/xl/worksheets/sheet1.xml" Id="Rfc2f3687ebfd4348" /><Relationship Type="http://schemas.openxmlformats.org/officeDocument/2006/relationships/worksheet" Target="/xl/worksheets/sheet2.xml" Id="R994894488e4646de" /><Relationship Type="http://schemas.openxmlformats.org/officeDocument/2006/relationships/worksheet" Target="/xl/worksheets/sheet3.xml" Id="R845a247ae85d41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6" hidden="0" customWidth="1"/>
    <x:col min="2" max="2" width="17" hidden="0" customWidth="1"/>
    <x:col min="3" max="3" width="17" hidden="0" customWidth="1"/>
    <x:col min="4" max="4" width="18" hidden="0" customWidth="1"/>
    <x:col min="5" max="5" width="35" hidden="0" customWidth="1"/>
  </x:cols>
  <x:sheetData>
    <x:row r="1" ht="35" customHeight="1">
      <x:c r="A1" s="3" t="str">
        <x:v>1 Auswertung: Zählwerte und Aussagegrenzen</x:v>
      </x:c>
      <x:c r="B1" s="2"/>
      <x:c r="C1" s="2"/>
      <x:c r="D1" s="2"/>
      <x:c r="E1" s="2"/>
    </x:row>
    <x:row r="2" ht="24" customHeight="1">
      <x:c r="A2" s="5" t="str">
        <x:v>Mainblick Präzisionstechnik GmbH · Alma Heim / Noah Schell · Stand 09.10.2026.</x:v>
      </x:c>
      <x:c r="B2" s="2"/>
      <x:c r="C2" s="2"/>
      <x:c r="D2" s="2"/>
      <x:c r="E2" s="2"/>
    </x:row>
    <x:row r="3" ht="24" customHeight="1">
      <x:c r="A3" s="5" t="str">
        <x:v>Diese Mappe berechnet Zählwerte aus „Export“. Sie berechnet weder Bewerbereignung noch eine rechtliche Einstufung.</x:v>
      </x:c>
      <x:c r="B3" s="2"/>
      <x:c r="C3" s="2"/>
      <x:c r="D3" s="2"/>
      <x:c r="E3" s="2"/>
    </x:row>
    <x:row r="4" ht="8" customHeight="1">
      <x:c r="A4" s="2"/>
      <x:c r="B4" s="2"/>
      <x:c r="C4" s="2"/>
      <x:c r="D4" s="2"/>
      <x:c r="E4" s="2"/>
    </x:row>
    <x:row r="5" ht="24" customHeight="1">
      <x:c r="A5" s="8" t="str">
        <x:v>Kennzahl / Gruppe</x:v>
      </x:c>
      <x:c r="B5" s="8" t="str">
        <x:v>Alle Fälle</x:v>
      </x:c>
      <x:c r="C5" s="8" t="str">
        <x:v>Ausgewählt</x:v>
      </x:c>
      <x:c r="D5" s="8" t="str">
        <x:v>Anteil Auswahl</x:v>
      </x:c>
      <x:c r="E5" s="8" t="str">
        <x:v>Aussage</x:v>
      </x:c>
    </x:row>
    <x:row r="6" ht="24" customHeight="1">
      <x:c r="A6" s="12" t="str">
        <x:v>Gesamter aktueller Pool</x:v>
      </x:c>
      <x:c r="B6" s="12" t="n">
        <x:f>COUNTA('Export'!A6:A29)</x:f>
        <x:v>24</x:v>
      </x:c>
      <x:c r="C6" s="12" t="n">
        <x:f>SUM('Export'!E6:E29)</x:f>
        <x:v>6</x:v>
      </x:c>
      <x:c r="D6" s="13" t="n">
        <x:f>IF(B6=0,"n.a.",C6/B6)</x:f>
        <x:v>0.25</x:v>
      </x:c>
      <x:c r="E6" s="12" t="str">
        <x:v>Erste Gesprächsrunde</x:v>
      </x:c>
    </x:row>
    <x:row r="7" ht="24" customHeight="1">
      <x:c r="A7" s="12" t="str">
        <x:v>Abschluss in Deutschland</x:v>
      </x:c>
      <x:c r="B7" s="12" t="n">
        <x:f>COUNTIF('Export'!D6:D29,"DE")</x:f>
        <x:v>18</x:v>
      </x:c>
      <x:c r="C7" s="12" t="n">
        <x:f>COUNTIFS('Export'!D6:D29,"DE",'Export'!E6:E29,1)</x:f>
        <x:v>6</x:v>
      </x:c>
      <x:c r="D7" s="13" t="n">
        <x:f>IF(B7=0,"n.a.",C7/B7)</x:f>
        <x:v>0.3333333333333333</x:v>
      </x:c>
      <x:c r="E7" s="12" t="str">
        <x:v>Gruppenbezeichnung: DE</x:v>
      </x:c>
    </x:row>
    <x:row r="8" ht="24" customHeight="1">
      <x:c r="A8" s="12" t="str">
        <x:v>Abschluss außerhalb Deutschlands</x:v>
      </x:c>
      <x:c r="B8" s="12" t="n">
        <x:f>COUNTIF('Export'!D6:D29,"Ausland")</x:f>
        <x:v>6</x:v>
      </x:c>
      <x:c r="C8" s="12" t="n">
        <x:f>COUNTIFS('Export'!D6:D29,"Ausland",'Export'!E6:E29,1)</x:f>
        <x:v>0</x:v>
      </x:c>
      <x:c r="D8" s="13" t="n">
        <x:f>IF(B8=0,"n.a.",C8/B8)</x:f>
        <x:v>0</x:v>
      </x:c>
      <x:c r="E8" s="12" t="str">
        <x:v>Keine Herkunftskategorie</x:v>
      </x:c>
    </x:row>
    <x:row r="9" ht="8" customHeight="1">
      <x:c r="A9" s="2"/>
      <x:c r="B9" s="2"/>
      <x:c r="C9" s="2"/>
      <x:c r="D9" s="2"/>
      <x:c r="E9" s="2"/>
    </x:row>
    <x:row r="10" ht="24" customHeight="1">
      <x:c r="A10" s="8" t="str">
        <x:v>Dokumentierte Sichtung</x:v>
      </x:c>
      <x:c r="B10" s="8" t="str">
        <x:v>Fälle</x:v>
      </x:c>
      <x:c r="C10" s="8" t="str">
        <x:v>Bezugszahl</x:v>
      </x:c>
      <x:c r="D10" s="8" t="str">
        <x:v>Anteil</x:v>
      </x:c>
      <x:c r="E10" s="8" t="str">
        <x:v>Aussage</x:v>
      </x:c>
    </x:row>
    <x:row r="11" ht="24" customHeight="1">
      <x:c r="A11" s="12" t="str">
        <x:v>Original in MainSort geöffnet</x:v>
      </x:c>
      <x:c r="B11" s="12" t="n">
        <x:f>SUM('Export'!F6:F29)</x:f>
        <x:v>8</x:v>
      </x:c>
      <x:c r="C11" s="12" t="n">
        <x:f>B6</x:f>
        <x:v>24</x:v>
      </x:c>
      <x:c r="D11" s="13" t="n">
        <x:f>IF(C11=0,"n.a.",B11/C11)</x:f>
        <x:v>0.3333333333333333</x:v>
      </x:c>
      <x:c r="E11" s="12" t="str">
        <x:v>Vor Auswahlbestätigung</x:v>
      </x:c>
    </x:row>
    <x:row r="12" ht="24" customHeight="1">
      <x:c r="A12" s="12" t="str">
        <x:v>Ohne Öffnungsereignis in MainSort</x:v>
      </x:c>
      <x:c r="B12" s="12" t="n">
        <x:f>B6-B11</x:f>
        <x:v>16</x:v>
      </x:c>
      <x:c r="C12" s="12" t="n">
        <x:f>B6</x:f>
        <x:v>24</x:v>
      </x:c>
      <x:c r="D12" s="13" t="n">
        <x:f>IF(C12=0,"n.a.",B12/C12)</x:f>
        <x:v>0.6666666666666666</x:v>
      </x:c>
      <x:c r="E12" s="12" t="str">
        <x:v>Keine Aussage über externe Sichtung</x:v>
      </x:c>
    </x:row>
    <x:row r="13" ht="8" customHeight="1">
      <x:c r="A13" s="2"/>
      <x:c r="B13" s="2"/>
      <x:c r="C13" s="2"/>
      <x:c r="D13" s="2"/>
      <x:c r="E13" s="2"/>
    </x:row>
    <x:row r="14" ht="24" customHeight="1">
      <x:c r="A14" s="8" t="str">
        <x:v>Abschluss außerhalb Deutschlands</x:v>
      </x:c>
      <x:c r="B14" s="8" t="str">
        <x:v>Fälle</x:v>
      </x:c>
      <x:c r="C14" s="8" t="str">
        <x:v>Gesamt</x:v>
      </x:c>
      <x:c r="D14" s="8" t="str">
        <x:v>Gruppenanteil</x:v>
      </x:c>
      <x:c r="E14" s="8" t="str">
        <x:v>Datenstand / Quelle</x:v>
      </x:c>
    </x:row>
    <x:row r="15" ht="24" customHeight="1">
      <x:c r="A15" s="12" t="str">
        <x:v>Aktueller Bewerberpool</x:v>
      </x:c>
      <x:c r="B15" s="12" t="n">
        <x:f>B8</x:f>
        <x:v>6</x:v>
      </x:c>
      <x:c r="C15" s="12" t="n">
        <x:f>B6</x:f>
        <x:v>24</x:v>
      </x:c>
      <x:c r="D15" s="13" t="n">
        <x:f>IF(C15=0,"n.a.",B15/C15)</x:f>
        <x:v>0.25</x:v>
      </x:c>
      <x:c r="E15" s="12" t="str">
        <x:v>Export vom 09.10.2026</x:v>
      </x:c>
    </x:row>
    <x:row r="16" ht="24" customHeight="1">
      <x:c r="A16" s="12" t="str">
        <x:v>Kalibrierungsstichprobe Anbieter</x:v>
      </x:c>
      <x:c r="B16" s="15" t="n">
        <x:v>6</x:v>
      </x:c>
      <x:c r="C16" s="15" t="n">
        <x:v>120</x:v>
      </x:c>
      <x:c r="D16" s="13" t="n">
        <x:f>IF(C16=0,"n.a.",B16/C16)</x:f>
        <x:v>0.05</x:v>
      </x:c>
      <x:c r="E16" s="12" t="str">
        <x:v>Anbieterbrief vom 07.10.2026</x:v>
      </x:c>
    </x:row>
    <x:row r="17" ht="8" customHeight="1">
      <x:c r="A17" s="2"/>
      <x:c r="B17" s="2"/>
      <x:c r="C17" s="2"/>
      <x:c r="D17" s="2"/>
      <x:c r="E17" s="2"/>
    </x:row>
    <x:row r="18" ht="30" customHeight="1">
      <x:c r="A18" s="19" t="str">
        <x:v>Differenz Gruppenanteile in %-Punkten</x:v>
      </x:c>
      <x:c r="B18" s="19"/>
      <x:c r="C18" s="19"/>
      <x:c r="D18" s="20" t="n">
        <x:f>IF(OR(C15=0,C16=0),"n.a.",(D15-D16)*100)</x:f>
        <x:v>20</x:v>
      </x:c>
      <x:c r="E18" s="19"/>
    </x:row>
    <x:row r="19" ht="8" customHeight="1">
      <x:c r="A19" s="2"/>
      <x:c r="B19" s="2"/>
      <x:c r="C19" s="2"/>
      <x:c r="D19" s="2"/>
      <x:c r="E19" s="2"/>
    </x:row>
    <x:row r="20" ht="20" customHeight="1">
      <x:c r="A20" s="5" t="str">
        <x:v>1.1 Lesart: 1 bedeutet ein dokumentiertes Ereignis, 0 dessen Fehlen. Null im Zähler ist ein Wert; null im Nenner ergibt „n.a.“.</x:v>
      </x:c>
      <x:c r="B20" s="2"/>
      <x:c r="C20" s="2"/>
      <x:c r="D20" s="2"/>
      <x:c r="E20" s="2"/>
    </x:row>
    <x:row r="21" ht="20" customHeight="1">
      <x:c r="A21" s="5" t="str">
        <x:v>Der aktuelle Gruppenanteil und der Kalibrierungsanteil beschreiben unterschiedliche Fallbestände. Die Kalibrierung ist nicht das gesamte Modelltraining.</x:v>
      </x:c>
      <x:c r="B21" s="2"/>
      <x:c r="C21" s="2"/>
      <x:c r="D21" s="2"/>
      <x:c r="E21" s="2"/>
    </x:row>
    <x:row r="22" ht="20" customHeight="1">
      <x:c r="A22" s="5" t="str">
        <x:v>Die Zahlen erklären keinen individuellen Rang. Sie belegen für sich keine Benachteiligung wegen eines bestimmten Merkmals.</x:v>
      </x:c>
      <x:c r="B22" s="2"/>
      <x:c r="C22" s="2"/>
      <x:c r="D22" s="2"/>
      <x:c r="E22" s="2"/>
    </x:row>
    <x:row r="23" ht="20" customHeight="1">
      <x:c r="A23" s="5" t="str">
        <x:v>Eine Öffnung belegt keine unabhängige inhaltliche Prüfung. Fehlende Öffnungsereignisse schließen eine externe Sichtung nicht aus.</x:v>
      </x:c>
      <x:c r="B23" s="2"/>
      <x:c r="C23" s="2"/>
      <x:c r="D23" s="2"/>
      <x:c r="E23" s="2"/>
    </x:row>
    <x:row r="24" ht="20" customHeight="1">
      <x:c r="A24" s="5" t="str">
        <x:v>1.2 Bedienung: Eingaben in „Export“ oder B16:C16 ändern sich durch manuelle Bearbeitung. Die Formeln aktualisieren Summen und Quoten.</x:v>
      </x:c>
      <x:c r="B24" s="2"/>
      <x:c r="C24" s="2"/>
      <x:c r="D24" s="2"/>
      <x:c r="E24" s="2"/>
    </x:row>
    <x:row r="25" ht="20" customHeight="1">
      <x:c r="A25" s="5" t="str">
        <x:v>Das Blatt „Kontrollen“ vergleicht den Arbeitsstand mit dokumentierten Zahlen. Ein abweichender Kontrollwert zeigt eine Änderung oder Lücke.</x:v>
      </x:c>
      <x:c r="B25" s="2"/>
      <x:c r="C25" s="2"/>
      <x:c r="D25" s="2"/>
      <x:c r="E25" s="2"/>
    </x:row>
    <x:row r="26" ht="20" customHeight="1">
      <x:c r="A26" s="5" t="str">
        <x:v>Quellen: Export 0910-0745; Auswahlprotokoll vom 29.09. mit Ergänzung 08.10.; Anbieterbrief 07.10.; Kontrollnotiz 09.10.2026.</x:v>
      </x:c>
      <x:c r="B26" s="2"/>
      <x:c r="C26" s="2"/>
      <x:c r="D26" s="2"/>
      <x:c r="E26" s="2"/>
    </x:row>
    <x:row r="27" ht="22" customHeight="1">
      <x:c r="A27" s="2"/>
      <x:c r="B27" s="2"/>
      <x:c r="C27" s="2"/>
      <x:c r="D27" s="2"/>
      <x:c r="E27" s="2"/>
    </x:row>
    <x:row r="28" ht="22" customHeight="1">
      <x:c r="A28" s="2"/>
      <x:c r="B28" s="2"/>
      <x:c r="C28" s="2"/>
      <x:c r="D28" s="2"/>
      <x:c r="E28" s="2"/>
    </x:row>
    <x:row r="29" ht="22" customHeight="1">
      <x:c r="A29" s="2"/>
      <x:c r="B29" s="2"/>
      <x:c r="C29" s="2"/>
      <x:c r="D29" s="2"/>
      <x:c r="E29" s="2"/>
    </x:row>
    <x:row r="30" ht="22" customHeight="1">
      <x:c r="A30" s="2"/>
      <x:c r="B30" s="2"/>
      <x:c r="C30" s="2"/>
      <x:c r="D30" s="2"/>
      <x:c r="E30" s="2"/>
    </x:row>
  </x:sheetData>
  <x:mergeCells>
    <x:mergeCell ref="A1:E1"/>
    <x:mergeCell ref="A2:E2"/>
    <x:mergeCell ref="A3:E3"/>
    <x:mergeCell ref="A18:C18"/>
    <x:mergeCell ref="A20:E20"/>
    <x:mergeCell ref="A21:E21"/>
    <x:mergeCell ref="A22:E22"/>
    <x:mergeCell ref="A23:E23"/>
    <x:mergeCell ref="A24:E24"/>
    <x:mergeCell ref="A25:E25"/>
    <x:mergeCell ref="A26:E26"/>
  </x:mergeCells>
  <x:pageMargins left="0.3" right="0.3" top="0.35" bottom="0.35" header="0.15" footer="0.15"/>
  <x:pageSetup paperSize="9" orientation="landscape" fitToWidth="1" fitToHeight="1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9" hidden="0" customWidth="1"/>
    <x:col min="3" max="3" width="11" hidden="0" customWidth="1"/>
    <x:col min="4" max="4" width="15" hidden="0" customWidth="1"/>
    <x:col min="5" max="5" width="12" hidden="0" customWidth="1"/>
    <x:col min="6" max="6" width="15" hidden="0" customWidth="1"/>
    <x:col min="7" max="7" width="14" hidden="0" customWidth="1"/>
    <x:col min="8" max="8" width="12" hidden="0" customWidth="1"/>
    <x:col min="9" max="9" width="12" hidden="0" customWidth="1"/>
  </x:cols>
  <x:sheetData>
    <x:row r="1" ht="35" customHeight="1">
      <x:c r="A1" s="3" t="str">
        <x:v>1 Export: Bewerberpool Auftragsbearbeitung Herbst</x:v>
      </x:c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5" t="str">
        <x:v>Stand 09.10.2026, 07:15 Uhr. Rang, Punkte und Auswahl beziehen sich auf die Bestätigung am 29.09.2026.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5" t="str">
        <x:v>Blau: übernommene Eingabewerte. Schwarz: Kontrollformeln. Änderungen sind Arbeitsvarianten; gesicherte Ursprungsdaten bleiben unverändert.</x:v>
      </x:c>
      <x:c r="B3" s="2"/>
      <x:c r="C3" s="2"/>
      <x:c r="D3" s="2"/>
      <x:c r="E3" s="2"/>
      <x:c r="F3" s="2"/>
      <x:c r="G3" s="2"/>
      <x:c r="H3" s="2"/>
      <x:c r="I3" s="2"/>
    </x:row>
    <x:row r="4" ht="8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4" customHeight="1">
      <x:c r="A5" s="8" t="str">
        <x:v>Kennung</x:v>
      </x:c>
      <x:c r="B5" s="8" t="str">
        <x:v>Rang</x:v>
      </x:c>
      <x:c r="C5" s="8" t="str">
        <x:v>Punkte 0–100</x:v>
      </x:c>
      <x:c r="D5" s="8" t="str">
        <x:v>Abschlussort</x:v>
      </x:c>
      <x:c r="E5" s="8" t="str">
        <x:v>Shortlist 1/0</x:v>
      </x:c>
      <x:c r="F5" s="8" t="str">
        <x:v>Original geöffnet 1/0</x:v>
      </x:c>
      <x:c r="G5" s="8" t="str">
        <x:v>Zusatzbefund 1/0</x:v>
      </x:c>
      <x:c r="H5" s="8" t="str">
        <x:v>ID-Anzahl</x:v>
      </x:c>
      <x:c r="I5" s="8" t="str">
        <x:v>Fehlerfelder</x:v>
      </x:c>
    </x:row>
    <x:row r="6" ht="16" customHeight="1">
      <x:c r="A6" s="9" t="str">
        <x:v>B01</x:v>
      </x:c>
      <x:c r="B6" s="10" t="n">
        <x:v>1</x:v>
      </x:c>
      <x:c r="C6" s="10" t="n">
        <x:v>94</x:v>
      </x:c>
      <x:c r="D6" s="9" t="str">
        <x:v>DE</x:v>
      </x:c>
      <x:c r="E6" s="10" t="n">
        <x:v>1</x:v>
      </x:c>
      <x:c r="F6" s="10" t="n">
        <x:v>1</x:v>
      </x:c>
      <x:c r="G6" s="10" t="n">
        <x:v>0</x:v>
      </x:c>
      <x:c r="H6" s="11" t="n">
        <x:f>COUNTIF($A$6:$A$29,A6)</x:f>
        <x:v>1</x:v>
      </x:c>
      <x:c r="I6" s="11" t="n">
        <x:f>IF(AND(ISNUMBER(B6),B6&gt;=1,B6&lt;=24,ISNUMBER(C6),C6&gt;=0,C6&lt;=100,OR(D6="DE",D6="Ausland"),ISNUMBER(E6),OR(E6=0,E6=1),ISNUMBER(F6),OR(F6=0,F6=1),ISNUMBER(G6),OR(G6=0,G6=1)),0,1)</x:f>
        <x:v>0</x:v>
      </x:c>
    </x:row>
    <x:row r="7" ht="16" customHeight="1">
      <x:c r="A7" s="9" t="str">
        <x:v>B02</x:v>
      </x:c>
      <x:c r="B7" s="10" t="n">
        <x:v>2</x:v>
      </x:c>
      <x:c r="C7" s="10" t="n">
        <x:v>90</x:v>
      </x:c>
      <x:c r="D7" s="9" t="str">
        <x:v>DE</x:v>
      </x:c>
      <x:c r="E7" s="10" t="n">
        <x:v>1</x:v>
      </x:c>
      <x:c r="F7" s="10" t="n">
        <x:v>1</x:v>
      </x:c>
      <x:c r="G7" s="10" t="n">
        <x:v>0</x:v>
      </x:c>
      <x:c r="H7" s="11" t="n">
        <x:f>COUNTIF($A$6:$A$29,A7)</x:f>
        <x:v>1</x:v>
      </x:c>
      <x:c r="I7" s="11" t="n">
        <x:f>IF(AND(ISNUMBER(B7),B7&gt;=1,B7&lt;=24,ISNUMBER(C7),C7&gt;=0,C7&lt;=100,OR(D7="DE",D7="Ausland"),ISNUMBER(E7),OR(E7=0,E7=1),ISNUMBER(F7),OR(F7=0,F7=1),ISNUMBER(G7),OR(G7=0,G7=1)),0,1)</x:f>
        <x:v>0</x:v>
      </x:c>
    </x:row>
    <x:row r="8" ht="16" customHeight="1">
      <x:c r="A8" s="9" t="str">
        <x:v>B03</x:v>
      </x:c>
      <x:c r="B8" s="10" t="n">
        <x:v>3</x:v>
      </x:c>
      <x:c r="C8" s="10" t="n">
        <x:v>88</x:v>
      </x:c>
      <x:c r="D8" s="9" t="str">
        <x:v>DE</x:v>
      </x:c>
      <x:c r="E8" s="10" t="n">
        <x:v>1</x:v>
      </x:c>
      <x:c r="F8" s="10" t="n">
        <x:v>1</x:v>
      </x:c>
      <x:c r="G8" s="10" t="n">
        <x:v>0</x:v>
      </x:c>
      <x:c r="H8" s="11" t="n">
        <x:f>COUNTIF($A$6:$A$29,A8)</x:f>
        <x:v>1</x:v>
      </x:c>
      <x:c r="I8" s="11" t="n">
        <x:f>IF(AND(ISNUMBER(B8),B8&gt;=1,B8&lt;=24,ISNUMBER(C8),C8&gt;=0,C8&lt;=100,OR(D8="DE",D8="Ausland"),ISNUMBER(E8),OR(E8=0,E8=1),ISNUMBER(F8),OR(F8=0,F8=1),ISNUMBER(G8),OR(G8=0,G8=1)),0,1)</x:f>
        <x:v>0</x:v>
      </x:c>
    </x:row>
    <x:row r="9" ht="16" customHeight="1">
      <x:c r="A9" s="9" t="str">
        <x:v>B04</x:v>
      </x:c>
      <x:c r="B9" s="10" t="n">
        <x:v>4</x:v>
      </x:c>
      <x:c r="C9" s="10" t="n">
        <x:v>86</x:v>
      </x:c>
      <x:c r="D9" s="9" t="str">
        <x:v>DE</x:v>
      </x:c>
      <x:c r="E9" s="10" t="n">
        <x:v>1</x:v>
      </x:c>
      <x:c r="F9" s="10" t="n">
        <x:v>1</x:v>
      </x:c>
      <x:c r="G9" s="10" t="n">
        <x:v>0</x:v>
      </x:c>
      <x:c r="H9" s="11" t="n">
        <x:f>COUNTIF($A$6:$A$29,A9)</x:f>
        <x:v>1</x:v>
      </x:c>
      <x:c r="I9" s="11" t="n">
        <x:f>IF(AND(ISNUMBER(B9),B9&gt;=1,B9&lt;=24,ISNUMBER(C9),C9&gt;=0,C9&lt;=100,OR(D9="DE",D9="Ausland"),ISNUMBER(E9),OR(E9=0,E9=1),ISNUMBER(F9),OR(F9=0,F9=1),ISNUMBER(G9),OR(G9=0,G9=1)),0,1)</x:f>
        <x:v>0</x:v>
      </x:c>
    </x:row>
    <x:row r="10" ht="16" customHeight="1">
      <x:c r="A10" s="9" t="str">
        <x:v>B05</x:v>
      </x:c>
      <x:c r="B10" s="10" t="n">
        <x:v>5</x:v>
      </x:c>
      <x:c r="C10" s="10" t="n">
        <x:v>83</x:v>
      </x:c>
      <x:c r="D10" s="9" t="str">
        <x:v>DE</x:v>
      </x:c>
      <x:c r="E10" s="10" t="n">
        <x:v>1</x:v>
      </x:c>
      <x:c r="F10" s="10" t="n">
        <x:v>1</x:v>
      </x:c>
      <x:c r="G10" s="10" t="n">
        <x:v>0</x:v>
      </x:c>
      <x:c r="H10" s="11" t="n">
        <x:f>COUNTIF($A$6:$A$29,A10)</x:f>
        <x:v>1</x:v>
      </x:c>
      <x:c r="I10" s="11" t="n">
        <x:f>IF(AND(ISNUMBER(B10),B10&gt;=1,B10&lt;=24,ISNUMBER(C10),C10&gt;=0,C10&lt;=100,OR(D10="DE",D10="Ausland"),ISNUMBER(E10),OR(E10=0,E10=1),ISNUMBER(F10),OR(F10=0,F10=1),ISNUMBER(G10),OR(G10=0,G10=1)),0,1)</x:f>
        <x:v>0</x:v>
      </x:c>
    </x:row>
    <x:row r="11" ht="16" customHeight="1">
      <x:c r="A11" s="9" t="str">
        <x:v>B06</x:v>
      </x:c>
      <x:c r="B11" s="10" t="n">
        <x:v>6</x:v>
      </x:c>
      <x:c r="C11" s="10" t="n">
        <x:v>81</x:v>
      </x:c>
      <x:c r="D11" s="9" t="str">
        <x:v>DE</x:v>
      </x:c>
      <x:c r="E11" s="10" t="n">
        <x:v>1</x:v>
      </x:c>
      <x:c r="F11" s="10" t="n">
        <x:v>1</x:v>
      </x:c>
      <x:c r="G11" s="10" t="n">
        <x:v>0</x:v>
      </x:c>
      <x:c r="H11" s="11" t="n">
        <x:f>COUNTIF($A$6:$A$29,A11)</x:f>
        <x:v>1</x:v>
      </x:c>
      <x:c r="I11" s="11" t="n">
        <x:f>IF(AND(ISNUMBER(B11),B11&gt;=1,B11&lt;=24,ISNUMBER(C11),C11&gt;=0,C11&lt;=100,OR(D11="DE",D11="Ausland"),ISNUMBER(E11),OR(E11=0,E11=1),ISNUMBER(F11),OR(F11=0,F11=1),ISNUMBER(G11),OR(G11=0,G11=1)),0,1)</x:f>
        <x:v>0</x:v>
      </x:c>
    </x:row>
    <x:row r="12" ht="16" customHeight="1">
      <x:c r="A12" s="9" t="str">
        <x:v>B07</x:v>
      </x:c>
      <x:c r="B12" s="10" t="n">
        <x:v>7</x:v>
      </x:c>
      <x:c r="C12" s="10" t="n">
        <x:v>72</x:v>
      </x:c>
      <x:c r="D12" s="9" t="str">
        <x:v>Ausland</x:v>
      </x:c>
      <x:c r="E12" s="10" t="n">
        <x:v>0</x:v>
      </x:c>
      <x:c r="F12" s="10" t="n">
        <x:v>0</x:v>
      </x:c>
      <x:c r="G12" s="10" t="n">
        <x:v>1</x:v>
      </x:c>
      <x:c r="H12" s="11" t="n">
        <x:f>COUNTIF($A$6:$A$29,A12)</x:f>
        <x:v>1</x:v>
      </x:c>
      <x:c r="I12" s="11" t="n">
        <x:f>IF(AND(ISNUMBER(B12),B12&gt;=1,B12&lt;=24,ISNUMBER(C12),C12&gt;=0,C12&lt;=100,OR(D12="DE",D12="Ausland"),ISNUMBER(E12),OR(E12=0,E12=1),ISNUMBER(F12),OR(F12=0,F12=1),ISNUMBER(G12),OR(G12=0,G12=1)),0,1)</x:f>
        <x:v>0</x:v>
      </x:c>
    </x:row>
    <x:row r="13" ht="16" customHeight="1">
      <x:c r="A13" s="9" t="str">
        <x:v>B08</x:v>
      </x:c>
      <x:c r="B13" s="10" t="n">
        <x:v>8</x:v>
      </x:c>
      <x:c r="C13" s="10" t="n">
        <x:v>71</x:v>
      </x:c>
      <x:c r="D13" s="9" t="str">
        <x:v>DE</x:v>
      </x:c>
      <x:c r="E13" s="10" t="n">
        <x:v>0</x:v>
      </x:c>
      <x:c r="F13" s="10" t="n">
        <x:v>0</x:v>
      </x:c>
      <x:c r="G13" s="10" t="n">
        <x:v>0</x:v>
      </x:c>
      <x:c r="H13" s="11" t="n">
        <x:f>COUNTIF($A$6:$A$29,A13)</x:f>
        <x:v>1</x:v>
      </x:c>
      <x:c r="I13" s="11" t="n">
        <x:f>IF(AND(ISNUMBER(B13),B13&gt;=1,B13&lt;=24,ISNUMBER(C13),C13&gt;=0,C13&lt;=100,OR(D13="DE",D13="Ausland"),ISNUMBER(E13),OR(E13=0,E13=1),ISNUMBER(F13),OR(F13=0,F13=1),ISNUMBER(G13),OR(G13=0,G13=1)),0,1)</x:f>
        <x:v>0</x:v>
      </x:c>
    </x:row>
    <x:row r="14" ht="16" customHeight="1">
      <x:c r="A14" s="9" t="str">
        <x:v>B09</x:v>
      </x:c>
      <x:c r="B14" s="10" t="n">
        <x:v>9</x:v>
      </x:c>
      <x:c r="C14" s="10" t="n">
        <x:v>69</x:v>
      </x:c>
      <x:c r="D14" s="9" t="str">
        <x:v>DE</x:v>
      </x:c>
      <x:c r="E14" s="10" t="n">
        <x:v>0</x:v>
      </x:c>
      <x:c r="F14" s="10" t="n">
        <x:v>1</x:v>
      </x:c>
      <x:c r="G14" s="10" t="n">
        <x:v>0</x:v>
      </x:c>
      <x:c r="H14" s="11" t="n">
        <x:f>COUNTIF($A$6:$A$29,A14)</x:f>
        <x:v>1</x:v>
      </x:c>
      <x:c r="I14" s="11" t="n">
        <x:f>IF(AND(ISNUMBER(B14),B14&gt;=1,B14&lt;=24,ISNUMBER(C14),C14&gt;=0,C14&lt;=100,OR(D14="DE",D14="Ausland"),ISNUMBER(E14),OR(E14=0,E14=1),ISNUMBER(F14),OR(F14=0,F14=1),ISNUMBER(G14),OR(G14=0,G14=1)),0,1)</x:f>
        <x:v>0</x:v>
      </x:c>
    </x:row>
    <x:row r="15" ht="16" customHeight="1">
      <x:c r="A15" s="9" t="str">
        <x:v>B10</x:v>
      </x:c>
      <x:c r="B15" s="10" t="n">
        <x:v>10</x:v>
      </x:c>
      <x:c r="C15" s="10" t="n">
        <x:v>66</x:v>
      </x:c>
      <x:c r="D15" s="9" t="str">
        <x:v>Ausland</x:v>
      </x:c>
      <x:c r="E15" s="10" t="n">
        <x:v>0</x:v>
      </x:c>
      <x:c r="F15" s="10" t="n">
        <x:v>0</x:v>
      </x:c>
      <x:c r="G15" s="10" t="n">
        <x:v>0</x:v>
      </x:c>
      <x:c r="H15" s="11" t="n">
        <x:f>COUNTIF($A$6:$A$29,A15)</x:f>
        <x:v>1</x:v>
      </x:c>
      <x:c r="I15" s="11" t="n">
        <x:f>IF(AND(ISNUMBER(B15),B15&gt;=1,B15&lt;=24,ISNUMBER(C15),C15&gt;=0,C15&lt;=100,OR(D15="DE",D15="Ausland"),ISNUMBER(E15),OR(E15=0,E15=1),ISNUMBER(F15),OR(F15=0,F15=1),ISNUMBER(G15),OR(G15=0,G15=1)),0,1)</x:f>
        <x:v>0</x:v>
      </x:c>
    </x:row>
    <x:row r="16" ht="16" customHeight="1">
      <x:c r="A16" s="9" t="str">
        <x:v>B11</x:v>
      </x:c>
      <x:c r="B16" s="10" t="n">
        <x:v>11</x:v>
      </x:c>
      <x:c r="C16" s="10" t="n">
        <x:v>64</x:v>
      </x:c>
      <x:c r="D16" s="9" t="str">
        <x:v>DE</x:v>
      </x:c>
      <x:c r="E16" s="10" t="n">
        <x:v>0</x:v>
      </x:c>
      <x:c r="F16" s="10" t="n">
        <x:v>0</x:v>
      </x:c>
      <x:c r="G16" s="10" t="n">
        <x:v>0</x:v>
      </x:c>
      <x:c r="H16" s="11" t="n">
        <x:f>COUNTIF($A$6:$A$29,A16)</x:f>
        <x:v>1</x:v>
      </x:c>
      <x:c r="I16" s="11" t="n">
        <x:f>IF(AND(ISNUMBER(B16),B16&gt;=1,B16&lt;=24,ISNUMBER(C16),C16&gt;=0,C16&lt;=100,OR(D16="DE",D16="Ausland"),ISNUMBER(E16),OR(E16=0,E16=1),ISNUMBER(F16),OR(F16=0,F16=1),ISNUMBER(G16),OR(G16=0,G16=1)),0,1)</x:f>
        <x:v>0</x:v>
      </x:c>
    </x:row>
    <x:row r="17" ht="16" customHeight="1">
      <x:c r="A17" s="9" t="str">
        <x:v>B12</x:v>
      </x:c>
      <x:c r="B17" s="10" t="n">
        <x:v>12</x:v>
      </x:c>
      <x:c r="C17" s="10" t="n">
        <x:v>61</x:v>
      </x:c>
      <x:c r="D17" s="9" t="str">
        <x:v>DE</x:v>
      </x:c>
      <x:c r="E17" s="10" t="n">
        <x:v>0</x:v>
      </x:c>
      <x:c r="F17" s="10" t="n">
        <x:v>1</x:v>
      </x:c>
      <x:c r="G17" s="10" t="n">
        <x:v>0</x:v>
      </x:c>
      <x:c r="H17" s="11" t="n">
        <x:f>COUNTIF($A$6:$A$29,A17)</x:f>
        <x:v>1</x:v>
      </x:c>
      <x:c r="I17" s="11" t="n">
        <x:f>IF(AND(ISNUMBER(B17),B17&gt;=1,B17&lt;=24,ISNUMBER(C17),C17&gt;=0,C17&lt;=100,OR(D17="DE",D17="Ausland"),ISNUMBER(E17),OR(E17=0,E17=1),ISNUMBER(F17),OR(F17=0,F17=1),ISNUMBER(G17),OR(G17=0,G17=1)),0,1)</x:f>
        <x:v>0</x:v>
      </x:c>
    </x:row>
    <x:row r="18" ht="16" customHeight="1">
      <x:c r="A18" s="9" t="str">
        <x:v>B13</x:v>
      </x:c>
      <x:c r="B18" s="10" t="n">
        <x:v>13</x:v>
      </x:c>
      <x:c r="C18" s="10" t="n">
        <x:v>59</x:v>
      </x:c>
      <x:c r="D18" s="9" t="str">
        <x:v>Ausland</x:v>
      </x:c>
      <x:c r="E18" s="10" t="n">
        <x:v>0</x:v>
      </x:c>
      <x:c r="F18" s="10" t="n">
        <x:v>0</x:v>
      </x:c>
      <x:c r="G18" s="10" t="n">
        <x:v>0</x:v>
      </x:c>
      <x:c r="H18" s="11" t="n">
        <x:f>COUNTIF($A$6:$A$29,A18)</x:f>
        <x:v>1</x:v>
      </x:c>
      <x:c r="I18" s="11" t="n">
        <x:f>IF(AND(ISNUMBER(B18),B18&gt;=1,B18&lt;=24,ISNUMBER(C18),C18&gt;=0,C18&lt;=100,OR(D18="DE",D18="Ausland"),ISNUMBER(E18),OR(E18=0,E18=1),ISNUMBER(F18),OR(F18=0,F18=1),ISNUMBER(G18),OR(G18=0,G18=1)),0,1)</x:f>
        <x:v>0</x:v>
      </x:c>
    </x:row>
    <x:row r="19" ht="16" customHeight="1">
      <x:c r="A19" s="9" t="str">
        <x:v>B14</x:v>
      </x:c>
      <x:c r="B19" s="10" t="n">
        <x:v>14</x:v>
      </x:c>
      <x:c r="C19" s="10" t="n">
        <x:v>58</x:v>
      </x:c>
      <x:c r="D19" s="9" t="str">
        <x:v>DE</x:v>
      </x:c>
      <x:c r="E19" s="10" t="n">
        <x:v>0</x:v>
      </x:c>
      <x:c r="F19" s="10" t="n">
        <x:v>0</x:v>
      </x:c>
      <x:c r="G19" s="10" t="n">
        <x:v>0</x:v>
      </x:c>
      <x:c r="H19" s="11" t="n">
        <x:f>COUNTIF($A$6:$A$29,A19)</x:f>
        <x:v>1</x:v>
      </x:c>
      <x:c r="I19" s="11" t="n">
        <x:f>IF(AND(ISNUMBER(B19),B19&gt;=1,B19&lt;=24,ISNUMBER(C19),C19&gt;=0,C19&lt;=100,OR(D19="DE",D19="Ausland"),ISNUMBER(E19),OR(E19=0,E19=1),ISNUMBER(F19),OR(F19=0,F19=1),ISNUMBER(G19),OR(G19=0,G19=1)),0,1)</x:f>
        <x:v>0</x:v>
      </x:c>
    </x:row>
    <x:row r="20" ht="16" customHeight="1">
      <x:c r="A20" s="9" t="str">
        <x:v>B15</x:v>
      </x:c>
      <x:c r="B20" s="10" t="n">
        <x:v>15</x:v>
      </x:c>
      <x:c r="C20" s="10" t="n">
        <x:v>56</x:v>
      </x:c>
      <x:c r="D20" s="9" t="str">
        <x:v>DE</x:v>
      </x:c>
      <x:c r="E20" s="10" t="n">
        <x:v>0</x:v>
      </x:c>
      <x:c r="F20" s="10" t="n">
        <x:v>0</x:v>
      </x:c>
      <x:c r="G20" s="10" t="n">
        <x:v>0</x:v>
      </x:c>
      <x:c r="H20" s="11" t="n">
        <x:f>COUNTIF($A$6:$A$29,A20)</x:f>
        <x:v>1</x:v>
      </x:c>
      <x:c r="I20" s="11" t="n">
        <x:f>IF(AND(ISNUMBER(B20),B20&gt;=1,B20&lt;=24,ISNUMBER(C20),C20&gt;=0,C20&lt;=100,OR(D20="DE",D20="Ausland"),ISNUMBER(E20),OR(E20=0,E20=1),ISNUMBER(F20),OR(F20=0,F20=1),ISNUMBER(G20),OR(G20=0,G20=1)),0,1)</x:f>
        <x:v>0</x:v>
      </x:c>
    </x:row>
    <x:row r="21" ht="16" customHeight="1">
      <x:c r="A21" s="9" t="str">
        <x:v>B16</x:v>
      </x:c>
      <x:c r="B21" s="10" t="n">
        <x:v>16</x:v>
      </x:c>
      <x:c r="C21" s="10" t="n">
        <x:v>54</x:v>
      </x:c>
      <x:c r="D21" s="9" t="str">
        <x:v>Ausland</x:v>
      </x:c>
      <x:c r="E21" s="10" t="n">
        <x:v>0</x:v>
      </x:c>
      <x:c r="F21" s="10" t="n">
        <x:v>0</x:v>
      </x:c>
      <x:c r="G21" s="10" t="n">
        <x:v>0</x:v>
      </x:c>
      <x:c r="H21" s="11" t="n">
        <x:f>COUNTIF($A$6:$A$29,A21)</x:f>
        <x:v>1</x:v>
      </x:c>
      <x:c r="I21" s="11" t="n">
        <x:f>IF(AND(ISNUMBER(B21),B21&gt;=1,B21&lt;=24,ISNUMBER(C21),C21&gt;=0,C21&lt;=100,OR(D21="DE",D21="Ausland"),ISNUMBER(E21),OR(E21=0,E21=1),ISNUMBER(F21),OR(F21=0,F21=1),ISNUMBER(G21),OR(G21=0,G21=1)),0,1)</x:f>
        <x:v>0</x:v>
      </x:c>
    </x:row>
    <x:row r="22" ht="16" customHeight="1">
      <x:c r="A22" s="9" t="str">
        <x:v>B17</x:v>
      </x:c>
      <x:c r="B22" s="10" t="n">
        <x:v>17</x:v>
      </x:c>
      <x:c r="C22" s="10" t="n">
        <x:v>52</x:v>
      </x:c>
      <x:c r="D22" s="9" t="str">
        <x:v>DE</x:v>
      </x:c>
      <x:c r="E22" s="10" t="n">
        <x:v>0</x:v>
      </x:c>
      <x:c r="F22" s="10" t="n">
        <x:v>0</x:v>
      </x:c>
      <x:c r="G22" s="10" t="n">
        <x:v>0</x:v>
      </x:c>
      <x:c r="H22" s="11" t="n">
        <x:f>COUNTIF($A$6:$A$29,A22)</x:f>
        <x:v>1</x:v>
      </x:c>
      <x:c r="I22" s="11" t="n">
        <x:f>IF(AND(ISNUMBER(B22),B22&gt;=1,B22&lt;=24,ISNUMBER(C22),C22&gt;=0,C22&lt;=100,OR(D22="DE",D22="Ausland"),ISNUMBER(E22),OR(E22=0,E22=1),ISNUMBER(F22),OR(F22=0,F22=1),ISNUMBER(G22),OR(G22=0,G22=1)),0,1)</x:f>
        <x:v>0</x:v>
      </x:c>
    </x:row>
    <x:row r="23" ht="16" customHeight="1">
      <x:c r="A23" s="9" t="str">
        <x:v>B18</x:v>
      </x:c>
      <x:c r="B23" s="10" t="n">
        <x:v>18</x:v>
      </x:c>
      <x:c r="C23" s="10" t="n">
        <x:v>50</x:v>
      </x:c>
      <x:c r="D23" s="9" t="str">
        <x:v>DE</x:v>
      </x:c>
      <x:c r="E23" s="10" t="n">
        <x:v>0</x:v>
      </x:c>
      <x:c r="F23" s="10" t="n">
        <x:v>0</x:v>
      </x:c>
      <x:c r="G23" s="10" t="n">
        <x:v>0</x:v>
      </x:c>
      <x:c r="H23" s="11" t="n">
        <x:f>COUNTIF($A$6:$A$29,A23)</x:f>
        <x:v>1</x:v>
      </x:c>
      <x:c r="I23" s="11" t="n">
        <x:f>IF(AND(ISNUMBER(B23),B23&gt;=1,B23&lt;=24,ISNUMBER(C23),C23&gt;=0,C23&lt;=100,OR(D23="DE",D23="Ausland"),ISNUMBER(E23),OR(E23=0,E23=1),ISNUMBER(F23),OR(F23=0,F23=1),ISNUMBER(G23),OR(G23=0,G23=1)),0,1)</x:f>
        <x:v>0</x:v>
      </x:c>
    </x:row>
    <x:row r="24" ht="16" customHeight="1">
      <x:c r="A24" s="9" t="str">
        <x:v>B19</x:v>
      </x:c>
      <x:c r="B24" s="10" t="n">
        <x:v>19</x:v>
      </x:c>
      <x:c r="C24" s="10" t="n">
        <x:v>48</x:v>
      </x:c>
      <x:c r="D24" s="9" t="str">
        <x:v>Ausland</x:v>
      </x:c>
      <x:c r="E24" s="10" t="n">
        <x:v>0</x:v>
      </x:c>
      <x:c r="F24" s="10" t="n">
        <x:v>0</x:v>
      </x:c>
      <x:c r="G24" s="10" t="n">
        <x:v>0</x:v>
      </x:c>
      <x:c r="H24" s="11" t="n">
        <x:f>COUNTIF($A$6:$A$29,A24)</x:f>
        <x:v>1</x:v>
      </x:c>
      <x:c r="I24" s="11" t="n">
        <x:f>IF(AND(ISNUMBER(B24),B24&gt;=1,B24&lt;=24,ISNUMBER(C24),C24&gt;=0,C24&lt;=100,OR(D24="DE",D24="Ausland"),ISNUMBER(E24),OR(E24=0,E24=1),ISNUMBER(F24),OR(F24=0,F24=1),ISNUMBER(G24),OR(G24=0,G24=1)),0,1)</x:f>
        <x:v>0</x:v>
      </x:c>
    </x:row>
    <x:row r="25" ht="16" customHeight="1">
      <x:c r="A25" s="9" t="str">
        <x:v>B20</x:v>
      </x:c>
      <x:c r="B25" s="10" t="n">
        <x:v>20</x:v>
      </x:c>
      <x:c r="C25" s="10" t="n">
        <x:v>47</x:v>
      </x:c>
      <x:c r="D25" s="9" t="str">
        <x:v>DE</x:v>
      </x:c>
      <x:c r="E25" s="10" t="n">
        <x:v>0</x:v>
      </x:c>
      <x:c r="F25" s="10" t="n">
        <x:v>0</x:v>
      </x:c>
      <x:c r="G25" s="10" t="n">
        <x:v>0</x:v>
      </x:c>
      <x:c r="H25" s="11" t="n">
        <x:f>COUNTIF($A$6:$A$29,A25)</x:f>
        <x:v>1</x:v>
      </x:c>
      <x:c r="I25" s="11" t="n">
        <x:f>IF(AND(ISNUMBER(B25),B25&gt;=1,B25&lt;=24,ISNUMBER(C25),C25&gt;=0,C25&lt;=100,OR(D25="DE",D25="Ausland"),ISNUMBER(E25),OR(E25=0,E25=1),ISNUMBER(F25),OR(F25=0,F25=1),ISNUMBER(G25),OR(G25=0,G25=1)),0,1)</x:f>
        <x:v>0</x:v>
      </x:c>
    </x:row>
    <x:row r="26" ht="16" customHeight="1">
      <x:c r="A26" s="9" t="str">
        <x:v>B21</x:v>
      </x:c>
      <x:c r="B26" s="10" t="n">
        <x:v>21</x:v>
      </x:c>
      <x:c r="C26" s="10" t="n">
        <x:v>45</x:v>
      </x:c>
      <x:c r="D26" s="9" t="str">
        <x:v>DE</x:v>
      </x:c>
      <x:c r="E26" s="10" t="n">
        <x:v>0</x:v>
      </x:c>
      <x:c r="F26" s="10" t="n">
        <x:v>0</x:v>
      </x:c>
      <x:c r="G26" s="10" t="n">
        <x:v>0</x:v>
      </x:c>
      <x:c r="H26" s="11" t="n">
        <x:f>COUNTIF($A$6:$A$29,A26)</x:f>
        <x:v>1</x:v>
      </x:c>
      <x:c r="I26" s="11" t="n">
        <x:f>IF(AND(ISNUMBER(B26),B26&gt;=1,B26&lt;=24,ISNUMBER(C26),C26&gt;=0,C26&lt;=100,OR(D26="DE",D26="Ausland"),ISNUMBER(E26),OR(E26=0,E26=1),ISNUMBER(F26),OR(F26=0,F26=1),ISNUMBER(G26),OR(G26=0,G26=1)),0,1)</x:f>
        <x:v>0</x:v>
      </x:c>
    </x:row>
    <x:row r="27" ht="16" customHeight="1">
      <x:c r="A27" s="9" t="str">
        <x:v>B22</x:v>
      </x:c>
      <x:c r="B27" s="10" t="n">
        <x:v>22</x:v>
      </x:c>
      <x:c r="C27" s="10" t="n">
        <x:v>43</x:v>
      </x:c>
      <x:c r="D27" s="9" t="str">
        <x:v>Ausland</x:v>
      </x:c>
      <x:c r="E27" s="10" t="n">
        <x:v>0</x:v>
      </x:c>
      <x:c r="F27" s="10" t="n">
        <x:v>0</x:v>
      </x:c>
      <x:c r="G27" s="10" t="n">
        <x:v>0</x:v>
      </x:c>
      <x:c r="H27" s="11" t="n">
        <x:f>COUNTIF($A$6:$A$29,A27)</x:f>
        <x:v>1</x:v>
      </x:c>
      <x:c r="I27" s="11" t="n">
        <x:f>IF(AND(ISNUMBER(B27),B27&gt;=1,B27&lt;=24,ISNUMBER(C27),C27&gt;=0,C27&lt;=100,OR(D27="DE",D27="Ausland"),ISNUMBER(E27),OR(E27=0,E27=1),ISNUMBER(F27),OR(F27=0,F27=1),ISNUMBER(G27),OR(G27=0,G27=1)),0,1)</x:f>
        <x:v>0</x:v>
      </x:c>
    </x:row>
    <x:row r="28" ht="16" customHeight="1">
      <x:c r="A28" s="9" t="str">
        <x:v>B23</x:v>
      </x:c>
      <x:c r="B28" s="10" t="n">
        <x:v>23</x:v>
      </x:c>
      <x:c r="C28" s="10" t="n">
        <x:v>41</x:v>
      </x:c>
      <x:c r="D28" s="9" t="str">
        <x:v>DE</x:v>
      </x:c>
      <x:c r="E28" s="10" t="n">
        <x:v>0</x:v>
      </x:c>
      <x:c r="F28" s="10" t="n">
        <x:v>0</x:v>
      </x:c>
      <x:c r="G28" s="10" t="n">
        <x:v>0</x:v>
      </x:c>
      <x:c r="H28" s="11" t="n">
        <x:f>COUNTIF($A$6:$A$29,A28)</x:f>
        <x:v>1</x:v>
      </x:c>
      <x:c r="I28" s="11" t="n">
        <x:f>IF(AND(ISNUMBER(B28),B28&gt;=1,B28&lt;=24,ISNUMBER(C28),C28&gt;=0,C28&lt;=100,OR(D28="DE",D28="Ausland"),ISNUMBER(E28),OR(E28=0,E28=1),ISNUMBER(F28),OR(F28=0,F28=1),ISNUMBER(G28),OR(G28=0,G28=1)),0,1)</x:f>
        <x:v>0</x:v>
      </x:c>
    </x:row>
    <x:row r="29" ht="16" customHeight="1">
      <x:c r="A29" s="9" t="str">
        <x:v>B24</x:v>
      </x:c>
      <x:c r="B29" s="10" t="n">
        <x:v>24</x:v>
      </x:c>
      <x:c r="C29" s="10" t="n">
        <x:v>38</x:v>
      </x:c>
      <x:c r="D29" s="9" t="str">
        <x:v>DE</x:v>
      </x:c>
      <x:c r="E29" s="10" t="n">
        <x:v>0</x:v>
      </x:c>
      <x:c r="F29" s="10" t="n">
        <x:v>0</x:v>
      </x:c>
      <x:c r="G29" s="10" t="n">
        <x:v>0</x:v>
      </x:c>
      <x:c r="H29" s="11" t="n">
        <x:f>COUNTIF($A$6:$A$29,A29)</x:f>
        <x:v>1</x:v>
      </x:c>
      <x:c r="I29" s="11" t="n">
        <x:f>IF(AND(ISNUMBER(B29),B29&gt;=1,B29&lt;=24,ISNUMBER(C29),C29&gt;=0,C29&lt;=100,OR(D29="DE",D29="Ausland"),ISNUMBER(E29),OR(E29=0,E29=1),ISNUMBER(F29),OR(F29=0,F29=1),ISNUMBER(G29),OR(G29=0,G29=1)),0,1)</x:f>
        <x:v>0</x:v>
      </x:c>
    </x:row>
    <x:row r="30" ht="8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22" customHeight="1">
      <x:c r="A31" s="5" t="str">
        <x:v>„Ausland“ bezeichnet nur den Ort des beruflichen Abschlusses; keine Aussage über Staatsangehörigkeit, Herkunft oder Sprache.</x:v>
      </x:c>
      <x:c r="B31" s="2"/>
      <x:c r="C31" s="2"/>
      <x:c r="D31" s="2"/>
      <x:c r="E31" s="2"/>
      <x:c r="F31" s="2"/>
      <x:c r="G31" s="2"/>
      <x:c r="H31" s="2"/>
      <x:c r="I31" s="2"/>
    </x:row>
    <x:row r="32" ht="22" customHeight="1">
      <x:c r="A32" s="5" t="str">
        <x:v>„Original geöffnet“: mindestens ein Ereignis in MainSort vor Bestätigung. Keine Messung der Lesetiefe; externe Öffnungen fehlen.</x:v>
      </x:c>
      <x:c r="B32" s="2"/>
      <x:c r="C32" s="2"/>
      <x:c r="D32" s="2"/>
      <x:c r="E32" s="2"/>
      <x:c r="F32" s="2"/>
      <x:c r="G32" s="2"/>
      <x:c r="H32" s="2"/>
      <x:c r="I32" s="2"/>
    </x:row>
    <x:row r="33" ht="22" customHeight="1">
      <x:c r="A33" s="5" t="str">
        <x:v>B07: Zusatzzeugnis im Original vorhanden, nicht in strukturierten Feldern. Punkte sind unberichtigte Anbieterwerte, keine Eigenberechnung.</x:v>
      </x:c>
      <x:c r="B33" s="2"/>
      <x:c r="C33" s="2"/>
      <x:c r="D33" s="2"/>
      <x:c r="E33" s="2"/>
      <x:c r="F33" s="2"/>
      <x:c r="G33" s="2"/>
      <x:c r="H33" s="2"/>
      <x:c r="I33" s="2"/>
    </x:row>
    <x:row r="34" ht="22" customHeight="1">
      <x:c r="A34" s="5" t="str">
        <x:v>Quelle: Export 0910-0745 und Kontrollnotiz vom 09.10.2026. ID-Anzahl muss 1 sein; Fehlerfelder zählt ungültige Zeilen.</x:v>
      </x:c>
      <x:c r="B34" s="2"/>
      <x:c r="C34" s="2"/>
      <x:c r="D34" s="2"/>
      <x:c r="E34" s="2"/>
      <x:c r="F34" s="2"/>
      <x:c r="G34" s="2"/>
      <x:c r="H34" s="2"/>
      <x:c r="I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</x:row>
  </x:sheetData>
  <x:mergeCells>
    <x:mergeCell ref="A1:I1"/>
    <x:mergeCell ref="A2:I2"/>
    <x:mergeCell ref="A3:I3"/>
    <x:mergeCell ref="A31:I31"/>
    <x:mergeCell ref="A32:I32"/>
    <x:mergeCell ref="A33:I33"/>
    <x:mergeCell ref="A34:I34"/>
  </x:mergeCells>
  <x:dataValidations count="4">
    <x:dataValidation type="list" sqref="D6:D29">
      <x:formula1>"DE,Ausland"</x:formula1>
    </x:dataValidation>
    <x:dataValidation type="list" sqref="E6:E29">
      <x:formula1>"0,1"</x:formula1>
    </x:dataValidation>
    <x:dataValidation type="list" sqref="F6:F29">
      <x:formula1>"0,1"</x:formula1>
    </x:dataValidation>
    <x:dataValidation type="list" sqref="G6:G29">
      <x:formula1>"0,1"</x:formula1>
    </x:dataValidation>
  </x:dataValidations>
  <x:pageMargins left="0.3" right="0.3" top="0.35" bottom="0.35" header="0.15" footer="0.15"/>
  <x:pageSetup paperSize="9" orientation="landscape" fitToWidth="1" fitToHeight="1"/>
</x:worksheet>
</file>

<file path=xl/worksheets/sheet3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9" hidden="0" customWidth="1"/>
    <x:col min="2" max="2" width="15" hidden="0" customWidth="1"/>
    <x:col min="3" max="3" width="15" hidden="0" customWidth="1"/>
    <x:col min="4" max="4" width="15" hidden="0" customWidth="1"/>
    <x:col min="5" max="5" width="37" hidden="0" customWidth="1"/>
  </x:cols>
  <x:sheetData>
    <x:row r="1" ht="35" customHeight="1">
      <x:c r="A1" s="3" t="str">
        <x:v>1 Kontrollen: Vollständigkeit und Arbeitsstand</x:v>
      </x:c>
      <x:c r="B1" s="2"/>
      <x:c r="C1" s="2"/>
      <x:c r="D1" s="2"/>
      <x:c r="E1" s="2"/>
    </x:row>
    <x:row r="2" ht="24" customHeight="1">
      <x:c r="A2" s="5" t="str">
        <x:v>Kontrollzahlen stammen aus Exportdialog und Kontrollnotiz. Abweichungen sind zu klären; „OK“ bestätigt nur diese Rechenkontrolle.</x:v>
      </x:c>
      <x:c r="B2" s="2"/>
      <x:c r="C2" s="2"/>
      <x:c r="D2" s="2"/>
      <x:c r="E2" s="2"/>
    </x:row>
    <x:row r="3" ht="24" customHeight="1">
      <x:c r="A3" s="5" t="str">
        <x:v>Blau: vorliegende Kontrollzahlen. Schwarz: Formeln. Bei Arbeitsvarianten bleiben die Kontrollzahlen zum Vergleich bestehen.</x:v>
      </x:c>
      <x:c r="B3" s="2"/>
      <x:c r="C3" s="2"/>
      <x:c r="D3" s="2"/>
      <x:c r="E3" s="2"/>
    </x:row>
    <x:row r="4" ht="8" customHeight="1">
      <x:c r="A4" s="2"/>
      <x:c r="B4" s="2"/>
      <x:c r="C4" s="2"/>
      <x:c r="D4" s="2"/>
      <x:c r="E4" s="2"/>
    </x:row>
    <x:row r="5" ht="24" customHeight="1">
      <x:c r="A5" s="8" t="str">
        <x:v>Kontrollgegenstand</x:v>
      </x:c>
      <x:c r="B5" s="8" t="str">
        <x:v>Ist</x:v>
      </x:c>
      <x:c r="C5" s="8" t="str">
        <x:v>Soll</x:v>
      </x:c>
      <x:c r="D5" s="8" t="str">
        <x:v>Differenz</x:v>
      </x:c>
      <x:c r="E5" s="8" t="str">
        <x:v>Status</x:v>
      </x:c>
    </x:row>
    <x:row r="6" ht="24" customHeight="1">
      <x:c r="A6" s="12" t="str">
        <x:v>Datensätze</x:v>
      </x:c>
      <x:c r="B6" s="12" t="n">
        <x:f>COUNTA('Export'!A6:A29)</x:f>
        <x:v>24</x:v>
      </x:c>
      <x:c r="C6" s="15" t="n">
        <x:v>24</x:v>
      </x:c>
      <x:c r="D6" s="12" t="n">
        <x:f>B6-C6</x:f>
        <x:v>0</x:v>
      </x:c>
      <x:c r="E6" s="12" t="str">
        <x:f>IF(D6=0,"OK","Prüfen")</x:f>
        <x:v>OK</x:v>
      </x:c>
    </x:row>
    <x:row r="7" ht="24" customHeight="1">
      <x:c r="A7" s="12" t="str">
        <x:v>Ausgewählte Personen</x:v>
      </x:c>
      <x:c r="B7" s="12" t="n">
        <x:f>SUM('Export'!E6:E29)</x:f>
        <x:v>6</x:v>
      </x:c>
      <x:c r="C7" s="15" t="n">
        <x:v>6</x:v>
      </x:c>
      <x:c r="D7" s="12" t="n">
        <x:f>B7-C7</x:f>
        <x:v>0</x:v>
      </x:c>
      <x:c r="E7" s="12" t="str">
        <x:f>IF(D7=0,"OK","Prüfen")</x:f>
        <x:v>OK</x:v>
      </x:c>
    </x:row>
    <x:row r="8" ht="24" customHeight="1">
      <x:c r="A8" s="12" t="str">
        <x:v>Originale vor Bestätigung geöffnet</x:v>
      </x:c>
      <x:c r="B8" s="12" t="n">
        <x:f>SUM('Export'!F6:F29)</x:f>
        <x:v>8</x:v>
      </x:c>
      <x:c r="C8" s="15" t="n">
        <x:v>8</x:v>
      </x:c>
      <x:c r="D8" s="12" t="n">
        <x:f>B8-C8</x:f>
        <x:v>0</x:v>
      </x:c>
      <x:c r="E8" s="12" t="str">
        <x:f>IF(D8=0,"OK","Prüfen")</x:f>
        <x:v>OK</x:v>
      </x:c>
    </x:row>
    <x:row r="9" ht="24" customHeight="1">
      <x:c r="A9" s="12" t="str">
        <x:v>Dokumentierte Zusatzbefunde</x:v>
      </x:c>
      <x:c r="B9" s="12" t="n">
        <x:f>SUM('Export'!G6:G29)</x:f>
        <x:v>1</x:v>
      </x:c>
      <x:c r="C9" s="15" t="n">
        <x:v>1</x:v>
      </x:c>
      <x:c r="D9" s="12" t="n">
        <x:f>B9-C9</x:f>
        <x:v>0</x:v>
      </x:c>
      <x:c r="E9" s="12" t="str">
        <x:f>IF(D9=0,"OK","Prüfen")</x:f>
        <x:v>OK</x:v>
      </x:c>
    </x:row>
    <x:row r="10" ht="24" customHeight="1">
      <x:c r="A10" s="12" t="str">
        <x:v>Leere Pflichtfelder im Export</x:v>
      </x:c>
      <x:c r="B10" s="12" t="n">
        <x:f>COUNTBLANK('Export'!A6:G29)</x:f>
        <x:v>0</x:v>
      </x:c>
      <x:c r="C10" s="15" t="n">
        <x:v>0</x:v>
      </x:c>
      <x:c r="D10" s="12" t="n">
        <x:f>B10-C10</x:f>
        <x:v>0</x:v>
      </x:c>
      <x:c r="E10" s="12" t="str">
        <x:f>IF(D10=0,"OK","Prüfen")</x:f>
        <x:v>OK</x:v>
      </x:c>
    </x:row>
    <x:row r="11" ht="24" customHeight="1">
      <x:c r="A11" s="12" t="str">
        <x:v>Kennungen mit mehrfacher Vergabe</x:v>
      </x:c>
      <x:c r="B11" s="12" t="n">
        <x:f>COUNTIF('Export'!H6:H29,"&gt;1")</x:f>
        <x:v>0</x:v>
      </x:c>
      <x:c r="C11" s="15" t="n">
        <x:v>0</x:v>
      </x:c>
      <x:c r="D11" s="12" t="n">
        <x:f>B11-C11</x:f>
        <x:v>0</x:v>
      </x:c>
      <x:c r="E11" s="12" t="str">
        <x:f>IF(D11=0,"OK","Prüfen")</x:f>
        <x:v>OK</x:v>
      </x:c>
    </x:row>
    <x:row r="12" ht="24" customHeight="1">
      <x:c r="A12" s="12" t="str">
        <x:v>Zeilen mit unzulässigen Werten</x:v>
      </x:c>
      <x:c r="B12" s="12" t="n">
        <x:f>SUM('Export'!I6:I29)</x:f>
        <x:v>0</x:v>
      </x:c>
      <x:c r="C12" s="15" t="n">
        <x:v>0</x:v>
      </x:c>
      <x:c r="D12" s="12" t="n">
        <x:f>B12-C12</x:f>
        <x:v>0</x:v>
      </x:c>
      <x:c r="E12" s="12" t="str">
        <x:f>IF(D12=0,"OK","Prüfen")</x:f>
        <x:v>OK</x:v>
      </x:c>
    </x:row>
    <x:row r="13" ht="24" customHeight="1">
      <x:c r="A13" s="12" t="str">
        <x:v>Summe der beiden Abschlussgruppen</x:v>
      </x:c>
      <x:c r="B13" s="12" t="n">
        <x:f>'Auswertung'!B7+'Auswertung'!B8</x:f>
        <x:v>24</x:v>
      </x:c>
      <x:c r="C13" s="15" t="n">
        <x:v>24</x:v>
      </x:c>
      <x:c r="D13" s="12" t="n">
        <x:f>B13-C13</x:f>
        <x:v>0</x:v>
      </x:c>
      <x:c r="E13" s="12" t="str">
        <x:f>IF(D13=0,"OK","Prüfen")</x:f>
        <x:v>OK</x:v>
      </x:c>
    </x:row>
    <x:row r="14" ht="8" customHeight="1">
      <x:c r="A14" s="2"/>
      <x:c r="B14" s="2"/>
      <x:c r="C14" s="2"/>
      <x:c r="D14" s="2"/>
      <x:c r="E14" s="2"/>
    </x:row>
    <x:row r="15" ht="22" customHeight="1">
      <x:c r="A15" s="2" t="str">
        <x:v>Kalibrierungsangaben plausibel</x:v>
      </x:c>
      <x:c r="B15" s="2"/>
      <x:c r="C15" s="2"/>
      <x:c r="D15" s="2"/>
      <x:c r="E15" s="2" t="str">
        <x:f>IF(AND(ISNUMBER('Auswertung'!B16),ISNUMBER('Auswertung'!C16),'Auswertung'!C16&gt;0,'Auswertung'!B16&gt;=0,'Auswertung'!B16&lt;='Auswertung'!C16),"OK","Prüfen")</x:f>
        <x:v>OK</x:v>
      </x:c>
    </x:row>
    <x:row r="16" ht="8" customHeight="1">
      <x:c r="A16" s="2"/>
      <x:c r="B16" s="2"/>
      <x:c r="C16" s="2"/>
      <x:c r="D16" s="2"/>
      <x:c r="E16" s="2"/>
    </x:row>
    <x:row r="17" ht="22" customHeight="1">
      <x:c r="A17" s="5" t="str">
        <x:v>1.1 Grenzen: Die Pflichtfeldkontrolle erkennt Leerzellen. Werteprüfung erfasst Rang 1–24, Punkte 0–100, die zwei Gruppen und binäre Statusfelder.</x:v>
      </x:c>
      <x:c r="B17" s="2"/>
      <x:c r="C17" s="2"/>
      <x:c r="D17" s="2"/>
      <x:c r="E17" s="2"/>
    </x:row>
    <x:row r="18" ht="22" customHeight="1">
      <x:c r="A18" s="5" t="str">
        <x:v>Die ID-Kontrolle zählt betroffene Zeilen bei mehrfachen Kennungen. Sie ersetzt keinen Abgleich mit Originalunterlagen.</x:v>
      </x:c>
      <x:c r="B18" s="2"/>
      <x:c r="C18" s="2"/>
      <x:c r="D18" s="2"/>
      <x:c r="E18" s="2"/>
    </x:row>
    <x:row r="19" ht="22" customHeight="1">
      <x:c r="A19" s="5" t="str">
        <x:v>1.2 Änderungen: Der Export ist eine Arbeitskopie. Veränderte Kennungen, Statuswerte oder Fallzahlen können eine Differenz erzeugen.</x:v>
      </x:c>
      <x:c r="B19" s="2"/>
      <x:c r="C19" s="2"/>
      <x:c r="D19" s="2"/>
      <x:c r="E19" s="2"/>
    </x:row>
    <x:row r="20" ht="22" customHeight="1">
      <x:c r="A20" s="5" t="str">
        <x:v>Die Kalibrierungskontrolle verlangt eine positive Gesamtzahl und einen Gruppenwert zwischen null und der Gesamtzahl.</x:v>
      </x:c>
      <x:c r="B20" s="2"/>
      <x:c r="C20" s="2"/>
      <x:c r="D20" s="2"/>
      <x:c r="E20" s="2"/>
    </x:row>
    <x:row r="21" ht="22" customHeight="1">
      <x:c r="A21" s="5" t="str">
        <x:v>Ein rechnerisch konsistenter Export belegt weder die Richtigkeit der Punktwerte noch eine wirksame menschliche Prüfung.</x:v>
      </x:c>
      <x:c r="B21" s="2"/>
      <x:c r="C21" s="2"/>
      <x:c r="D21" s="2"/>
      <x:c r="E21" s="2"/>
    </x:row>
    <x:row r="22" ht="22" customHeight="1">
      <x:c r="A22" s="2"/>
      <x:c r="B22" s="2"/>
      <x:c r="C22" s="2"/>
      <x:c r="D22" s="2"/>
      <x:c r="E22" s="2"/>
    </x:row>
    <x:row r="23" ht="22" customHeight="1">
      <x:c r="A23" s="2"/>
      <x:c r="B23" s="2"/>
      <x:c r="C23" s="2"/>
      <x:c r="D23" s="2"/>
      <x:c r="E23" s="2"/>
    </x:row>
  </x:sheetData>
  <x:mergeCells>
    <x:mergeCell ref="A1:E1"/>
    <x:mergeCell ref="A2:E2"/>
    <x:mergeCell ref="A3:E3"/>
    <x:mergeCell ref="A15:D15"/>
    <x:mergeCell ref="A17:E17"/>
    <x:mergeCell ref="A18:E18"/>
    <x:mergeCell ref="A19:E19"/>
    <x:mergeCell ref="A20:E20"/>
    <x:mergeCell ref="A21:E21"/>
  </x:mergeCells>
  <x:pageMargins left="0.3" right="0.3" top="0.35" bottom="0.35" header="0.15" footer="0.15"/>
  <x:pageSetup paperSize="9" orientation="landscape" fitToWidth="1" fitToHeight="1"/>
</x:worksheet>
</file>