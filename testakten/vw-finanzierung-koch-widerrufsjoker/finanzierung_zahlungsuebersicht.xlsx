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ahlungsuebersicht" sheetId="1" state="visible" r:id="rId1"/>
  </sheets>
  <definedNames>
    <definedName name="_xlnm._FilterDatabase" localSheetId="0" hidden="1">'Zahlungsuebersicht'!$A$3:$B$11</definedName>
  </definedNames>
  <calcPr calcId="124519" calcMode="auto" fullCalcOnLoad="1" forceFullCalc="1"/>
</workbook>
</file>

<file path=xl/styles.xml><?xml version="1.0" encoding="utf-8"?>
<styleSheet xmlns="http://schemas.openxmlformats.org/spreadsheetml/2006/main">
  <numFmts count="3">
    <numFmt numFmtId="164" formatCode="#,##0.00 [$€-407]"/>
    <numFmt numFmtId="165" formatCode="yyyy-mm-dd"/>
    <numFmt numFmtId="166" formatCode="DD.MM.YYYY"/>
  </numFmts>
  <fonts count="3">
    <font>
      <name val="Calibri"/>
      <family val="2"/>
      <color theme="1"/>
      <sz val="11"/>
      <scheme val="minor"/>
    </font>
    <font>
      <b val="1"/>
      <color rgb="001F2937"/>
    </font>
    <font>
      <b val="1"/>
      <color rgb="001F2937"/>
      <sz val="14"/>
    </font>
  </fonts>
  <fills count="4">
    <fill>
      <patternFill/>
    </fill>
    <fill>
      <patternFill patternType="gray125"/>
    </fill>
    <fill>
      <patternFill patternType="solid">
        <fgColor rgb="00EAF0F6"/>
      </patternFill>
    </fill>
    <fill>
      <patternFill patternType="solid">
        <fgColor rgb="00DCE6F1"/>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1" fillId="3" borderId="1" applyAlignment="1" pivotButton="0" quotePrefix="0" xfId="0">
      <alignment vertical="top" wrapText="1"/>
    </xf>
    <xf numFmtId="0" fontId="0" fillId="0" borderId="1" applyAlignment="1" pivotButton="0" quotePrefix="0" xfId="0">
      <alignment vertical="top" wrapText="1"/>
    </xf>
    <xf numFmtId="1" fontId="0" fillId="0" borderId="1" applyAlignment="1" pivotButton="0" quotePrefix="0" xfId="0">
      <alignment vertical="top" wrapText="1"/>
    </xf>
    <xf numFmtId="164" fontId="0" fillId="0" borderId="1" applyAlignment="1" pivotButton="0" quotePrefix="0" xfId="0">
      <alignment vertical="top" wrapText="1"/>
    </xf>
    <xf numFmtId="166"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B16"/>
  <sheetViews>
    <sheetView showGridLines="0" workbookViewId="0">
      <pane ySplit="3" topLeftCell="A4" activePane="bottomLeft" state="frozen"/>
      <selection pane="bottomLeft" activeCell="A1" sqref="A1"/>
    </sheetView>
  </sheetViews>
  <sheetFormatPr baseColWidth="8" defaultRowHeight="14"/>
  <cols>
    <col width="46" customWidth="1" min="1" max="1"/>
    <col width="12" customWidth="1" min="2" max="2"/>
  </cols>
  <sheetData>
    <row r="1" ht="24" customHeight="1">
      <c r="A1" s="1" t="inlineStr">
        <is>
          <t>Zahlungsübersicht — Vollerfüllungskontrolle</t>
        </is>
      </c>
    </row>
    <row r="2" ht="58" customHeight="1">
      <c r="A2" s="2" t="inlineStr">
        <is>
          <t>Mandantin: Julia Koch
Darlehensvertrag: VWB-DAR-2018-773241
Zeitraum: 01.10.2018 bis 01.09.2022
Stichtag: 25.07.2026</t>
        </is>
      </c>
    </row>
    <row r="3" ht="16" customHeight="1">
      <c r="A3" s="3" t="inlineStr">
        <is>
          <t>Kontrollgröße</t>
        </is>
      </c>
      <c r="B3" s="3" t="inlineStr">
        <is>
          <t>Wert</t>
        </is>
      </c>
    </row>
    <row r="4" ht="16" customHeight="1">
      <c r="A4" s="4" t="inlineStr">
        <is>
          <t>Anzahl vereinbarter Raten</t>
        </is>
      </c>
      <c r="B4" s="5" t="n">
        <v>48</v>
      </c>
    </row>
    <row r="5" ht="16" customHeight="1">
      <c r="A5" s="4" t="inlineStr">
        <is>
          <t>Ratenhöhe</t>
        </is>
      </c>
      <c r="B5" s="6" t="n">
        <v>748.78</v>
      </c>
    </row>
    <row r="6" ht="16" customHeight="1">
      <c r="A6" s="4" t="inlineStr">
        <is>
          <t>Gesamtsumme gezahlter Raten</t>
        </is>
      </c>
      <c r="B6" s="6" t="n">
        <v>35941.44</v>
      </c>
    </row>
    <row r="7" ht="16" customHeight="1">
      <c r="A7" s="4" t="inlineStr">
        <is>
          <t>Anzahlung bei Kauf</t>
        </is>
      </c>
      <c r="B7" s="6" t="n">
        <v>5000</v>
      </c>
    </row>
    <row r="8" ht="16" customHeight="1">
      <c r="A8" s="4" t="inlineStr">
        <is>
          <t>Gesamtaufwand der Mandantin</t>
        </is>
      </c>
      <c r="B8" s="6" t="n">
        <v>40941.44</v>
      </c>
    </row>
    <row r="9" ht="16" customHeight="1">
      <c r="A9" s="4" t="inlineStr">
        <is>
          <t>Gezahlte Raten</t>
        </is>
      </c>
      <c r="B9" s="5" t="n">
        <v>48</v>
      </c>
    </row>
    <row r="10" ht="16" customHeight="1">
      <c r="A10" s="4" t="inlineStr">
        <is>
          <t>Darlehenssaldo</t>
        </is>
      </c>
      <c r="B10" s="6" t="n">
        <v>0</v>
      </c>
    </row>
    <row r="11" ht="16" customHeight="1">
      <c r="A11" s="4" t="inlineStr">
        <is>
          <t>Letzte Rate</t>
        </is>
      </c>
      <c r="B11" s="7" t="n">
        <v>44805</v>
      </c>
    </row>
    <row r="13" ht="58" customHeight="1">
      <c r="A13" s="2" t="inlineStr">
        <is>
          <t>Die Einzelbuchungen stehen vollständig im Umsatzexport. Das Zahlungsjournal gleicht die Buchungen kalenderjährlich ab und behandelt die Rücklastschrift vom Februar 2020 gesondert.</t>
        </is>
      </c>
    </row>
    <row r="14" ht="16" customHeight="1">
      <c r="A14" s="4" t="inlineStr">
        <is>
          <t>48 × 748,78 EUR</t>
        </is>
      </c>
      <c r="B14" s="6">
        <f>B9*B5</f>
        <v/>
      </c>
    </row>
    <row r="15" ht="72" customHeight="1">
      <c r="A15" s="2" t="inlineStr">
        <is>
          <t>Die Anzahlung von 5.000,00 EUR gehört zum Erwerbsvorgang, nicht zum Ratenkonto. Zusammen mit den Raten beträgt der wirtschaftliche Gesamtaufwand 40.941,44 EUR. Für die Frage der Darlehensvollerfüllung ist ausschließlich der Vertragssaldo maßgeblich.</t>
        </is>
      </c>
    </row>
    <row r="16" ht="58" customHeight="1">
      <c r="A16" s="2" t="inlineStr">
        <is>
          <t>Feststellung: 48 von 48 vereinbarten Raten sind belegt. Der Darlehensvertrag ist seit 01.09.2022 vollständig erfüllt. Die Bankbestätigung vom 24.07.2026 bestätigt diese Rechnung und die Freigabe der Fahrzeugsicherheit.</t>
        </is>
      </c>
    </row>
  </sheetData>
  <autoFilter ref="A3:B11"/>
  <mergeCells count="5">
    <mergeCell ref="A16:B16"/>
    <mergeCell ref="A2:B2"/>
    <mergeCell ref="A15:B15"/>
    <mergeCell ref="A13:B13"/>
    <mergeCell ref="A1:B1"/>
  </mergeCells>
  <printOptions horizontalCentered="1"/>
  <pageMargins left="0.25" right="0.25" top="0.4" bottom="0.4" header="0.15" footer="0.15"/>
  <pageSetup orientation="portrait" paperSize="9" scale="90" fitToHeight="0" fitToWidth="0"/>
  <headerFooter>
    <oddHeader/>
    <oddFooter>&amp;CSeite &amp;P von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Kanzleisoftware-Export Diesel-Schadensersatz</dc:creator>
  <dcterms:created xsi:type="dcterms:W3CDTF">2000-01-01T00:00:00Z</dcterms:created>
  <dcterms:modified xsi:type="dcterms:W3CDTF">2000-01-01T00:00:00Z</dcterms:modified>
</cp:coreProperties>
</file>