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journal" sheetId="1" state="visible" r:id="rId1"/>
  </sheets>
  <definedNames>
    <definedName name="_xlnm._FilterDatabase" localSheetId="0" hidden="1">'Zahlungsjournal'!$A$4:$D$10</definedName>
  </definedNames>
  <calcPr calcId="124519" calcMode="auto" fullCalcOnLoad="1" forceFullCalc="1"/>
</workbook>
</file>

<file path=xl/styles.xml><?xml version="1.0" encoding="utf-8"?>
<styleSheet xmlns="http://schemas.openxmlformats.org/spreadsheetml/2006/main">
  <numFmts count="3">
    <numFmt numFmtId="164" formatCode="#,##0.00 [$€-407]"/>
    <numFmt numFmtId="165" formatCode="yyyy-mm-dd"/>
    <numFmt numFmtId="166" formatCode="DD.MM.YYYY"/>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0"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25"/>
  <sheetViews>
    <sheetView showGridLines="0" workbookViewId="0">
      <pane ySplit="4" topLeftCell="A5" activePane="bottomLeft" state="frozen"/>
      <selection pane="bottomLeft" activeCell="A1" sqref="A1"/>
    </sheetView>
  </sheetViews>
  <sheetFormatPr baseColWidth="8" defaultRowHeight="14"/>
  <cols>
    <col width="26" customWidth="1" min="1" max="1"/>
    <col width="26" customWidth="1" min="2" max="2"/>
    <col width="17" customWidth="1" min="3" max="3"/>
    <col width="14" customWidth="1" min="4" max="4"/>
  </cols>
  <sheetData>
    <row r="1" ht="24" customHeight="1">
      <c r="A1" s="1" t="inlineStr">
        <is>
          <t>Zahlungsjournal Darlehen Koch</t>
        </is>
      </c>
    </row>
    <row r="2" ht="58" customHeight="1">
      <c r="A2" s="2" t="inlineStr">
        <is>
          <t>Vertrag: VWB-DAR-2018-773241
Prüfungsstichtag: 25.07.2026
Bearbeitung: Lara König
Vier-Augen-Prüfung: Rechtsanwalt Dr. Jonas Berg</t>
        </is>
      </c>
    </row>
    <row r="3">
      <c r="A3" s="3" t="inlineStr">
        <is>
          <t>1. Jahresabgleich</t>
        </is>
      </c>
    </row>
    <row r="4" ht="16" customHeight="1">
      <c r="A4" s="4" t="inlineStr">
        <is>
          <t>Kalenderjahr</t>
        </is>
      </c>
      <c r="B4" s="4" t="inlineStr">
        <is>
          <t>Vertragsfälligkeiten</t>
        </is>
      </c>
      <c r="C4" s="4" t="inlineStr">
        <is>
          <t>Wirksame Raten</t>
        </is>
      </c>
      <c r="D4" s="4" t="inlineStr">
        <is>
          <t>Nettozahlung</t>
        </is>
      </c>
    </row>
    <row r="5" ht="16" customHeight="1">
      <c r="A5" s="5" t="n">
        <v>2018</v>
      </c>
      <c r="B5" s="5" t="n">
        <v>3</v>
      </c>
      <c r="C5" s="5" t="n">
        <v>3</v>
      </c>
      <c r="D5" s="6" t="n">
        <v>2246.34</v>
      </c>
    </row>
    <row r="6" ht="16" customHeight="1">
      <c r="A6" s="5" t="n">
        <v>2019</v>
      </c>
      <c r="B6" s="5" t="n">
        <v>12</v>
      </c>
      <c r="C6" s="5" t="n">
        <v>12</v>
      </c>
      <c r="D6" s="6" t="n">
        <v>8985.360000000001</v>
      </c>
    </row>
    <row r="7" ht="16" customHeight="1">
      <c r="A7" s="5" t="n">
        <v>2020</v>
      </c>
      <c r="B7" s="5" t="n">
        <v>12</v>
      </c>
      <c r="C7" s="5" t="n">
        <v>12</v>
      </c>
      <c r="D7" s="6" t="n">
        <v>8985.360000000001</v>
      </c>
    </row>
    <row r="8" ht="16" customHeight="1">
      <c r="A8" s="5" t="n">
        <v>2021</v>
      </c>
      <c r="B8" s="5" t="n">
        <v>12</v>
      </c>
      <c r="C8" s="5" t="n">
        <v>12</v>
      </c>
      <c r="D8" s="6" t="n">
        <v>8985.360000000001</v>
      </c>
    </row>
    <row r="9" ht="16" customHeight="1">
      <c r="A9" s="5" t="n">
        <v>2022</v>
      </c>
      <c r="B9" s="5" t="n">
        <v>9</v>
      </c>
      <c r="C9" s="5" t="n">
        <v>9</v>
      </c>
      <c r="D9" s="6" t="n">
        <v>6739.02</v>
      </c>
    </row>
    <row r="10" ht="16" customHeight="1">
      <c r="A10" s="7" t="inlineStr">
        <is>
          <t>Gesamt</t>
        </is>
      </c>
      <c r="B10" s="5" t="n">
        <v>48</v>
      </c>
      <c r="C10" s="5" t="n">
        <v>48</v>
      </c>
      <c r="D10" s="6" t="n">
        <v>35941.44</v>
      </c>
    </row>
    <row r="11"/>
    <row r="12">
      <c r="A12" s="3" t="inlineStr">
        <is>
          <t>2. Rücklastschrift Februar 2020</t>
        </is>
      </c>
    </row>
    <row r="13" ht="44" customHeight="1">
      <c r="A13" s="2" t="inlineStr">
        <is>
          <t>Die Belastung vom 03.02.2020 beträgt 748,78 EUR. Die Gutschrift vom 05.02.2020 beträgt ebenfalls 748,78 EUR und neutralisiert diese Belastung vollständig. Der erneute Einzug vom 07.02.2020 beträgt 748,78 EUR und ist die einzige wirksame Februarrate.</t>
        </is>
      </c>
    </row>
    <row r="14" ht="16" customHeight="1">
      <c r="A14" s="4" t="inlineStr">
        <is>
          <t>Quelle/Datum</t>
        </is>
      </c>
      <c r="B14" s="4" t="inlineStr">
        <is>
          <t>Vorgang</t>
        </is>
      </c>
      <c r="C14" s="4" t="inlineStr">
        <is>
          <t>Zahlungswirkung</t>
        </is>
      </c>
    </row>
    <row r="15" ht="16" customHeight="1">
      <c r="A15" s="8" t="n">
        <v>43864</v>
      </c>
      <c r="B15" s="7" t="inlineStr">
        <is>
          <t>erste Lastschrift</t>
        </is>
      </c>
      <c r="C15" s="6" t="n">
        <v>-748.78</v>
      </c>
    </row>
    <row r="16" ht="16" customHeight="1">
      <c r="A16" s="8" t="n">
        <v>43866</v>
      </c>
      <c r="B16" s="7" t="inlineStr">
        <is>
          <t>Rücklastschrift/Gutschrift</t>
        </is>
      </c>
      <c r="C16" s="6" t="n">
        <v>748.78</v>
      </c>
    </row>
    <row r="17" ht="16" customHeight="1">
      <c r="A17" s="8" t="n">
        <v>43868</v>
      </c>
      <c r="B17" s="7" t="inlineStr">
        <is>
          <t>erneuter Einzug</t>
        </is>
      </c>
      <c r="C17" s="6" t="n">
        <v>-748.78</v>
      </c>
    </row>
    <row r="18" ht="16" customHeight="1">
      <c r="A18" s="7" t="inlineStr">
        <is>
          <t>Darlehensvertrag</t>
        </is>
      </c>
      <c r="B18" s="7" t="inlineStr">
        <is>
          <t>vertragliche Monatsrate</t>
        </is>
      </c>
      <c r="C18" s="6" t="n">
        <v>748.78</v>
      </c>
    </row>
    <row r="19"/>
    <row r="20" ht="30" customHeight="1">
      <c r="A20" s="7" t="inlineStr">
        <is>
          <t>-748,78 EUR + 748,78 EUR - 748,78 EUR</t>
        </is>
      </c>
      <c r="B20" s="6">
        <f>-C18+C18-C18</f>
        <v/>
      </c>
    </row>
    <row r="21">
      <c r="A21" s="3" t="inlineStr">
        <is>
          <t>3. Vertragsabgleich</t>
        </is>
      </c>
    </row>
    <row r="22" ht="16" customHeight="1">
      <c r="A22" s="7" t="inlineStr">
        <is>
          <t>48 Raten × 748,78 EUR</t>
        </is>
      </c>
      <c r="B22" s="6">
        <f>C10*C18</f>
        <v/>
      </c>
    </row>
    <row r="23">
      <c r="A23" s="3" t="inlineStr">
        <is>
          <t>4. Fremdbestätigung</t>
        </is>
      </c>
    </row>
    <row r="24" ht="44" customHeight="1">
      <c r="A24" s="2" t="inlineStr">
        <is>
          <t>Die Volkswagen Bank GmbH bestätigt am 24.07.2026 den Saldo 0,00 EUR, die vollständige Erfüllung zum 01.09.2022 und die Freigabe der Sicherheit. Damit wird das rechnerische Ergebnis durch die Vertragspartnerin bestätigt.</t>
        </is>
      </c>
    </row>
    <row r="25">
      <c r="A25" s="2" t="inlineStr">
        <is>
          <t>Ergebnis: keine offene Rate, keine Schlusszahlung, keine Doppelzählung.</t>
        </is>
      </c>
    </row>
  </sheetData>
  <autoFilter ref="A4:D10"/>
  <mergeCells count="9">
    <mergeCell ref="A1:D1"/>
    <mergeCell ref="A23:D23"/>
    <mergeCell ref="A12:D12"/>
    <mergeCell ref="A3:D3"/>
    <mergeCell ref="A21:D21"/>
    <mergeCell ref="A25:D25"/>
    <mergeCell ref="A24:D24"/>
    <mergeCell ref="A2:D2"/>
    <mergeCell ref="A13:D13"/>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