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ahlungsuebersicht" sheetId="1" state="visible" r:id="rId1"/>
  </sheets>
  <definedNames>
    <definedName name="_xlnm._FilterDatabase" localSheetId="0" hidden="1">'Zahlungsuebersicht'!$A$4:$E$7</definedName>
  </definedNames>
  <calcPr calcId="124519" calcMode="auto" fullCalcOnLoad="1" forceFullCalc="1"/>
</workbook>
</file>

<file path=xl/styles.xml><?xml version="1.0" encoding="utf-8"?>
<styleSheet xmlns="http://schemas.openxmlformats.org/spreadsheetml/2006/main">
  <numFmts count="3">
    <numFmt numFmtId="164" formatCode="yyyy-mm-dd"/>
    <numFmt numFmtId="165" formatCode="DD.MM.YYYY"/>
    <numFmt numFmtId="166" formatCode="#,##0.00 [$€-407]"/>
  </numFmts>
  <fonts count="3">
    <font>
      <name val="Calibri"/>
      <family val="2"/>
      <color theme="1"/>
      <sz val="11"/>
      <scheme val="minor"/>
    </font>
    <font>
      <b val="1"/>
      <color rgb="001F2937"/>
    </font>
    <font>
      <b val="1"/>
      <color rgb="001F2937"/>
      <sz val="14"/>
    </font>
  </fonts>
  <fills count="4">
    <fill>
      <patternFill/>
    </fill>
    <fill>
      <patternFill patternType="gray125"/>
    </fill>
    <fill>
      <patternFill patternType="solid">
        <fgColor rgb="00EAF0F6"/>
      </patternFill>
    </fill>
    <fill>
      <patternFill patternType="solid">
        <fgColor rgb="00DCE6F1"/>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9">
    <xf numFmtId="0" fontId="0"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1" applyAlignment="1" pivotButton="0" quotePrefix="0" xfId="0">
      <alignment vertical="top" wrapText="1"/>
    </xf>
    <xf numFmtId="165" fontId="0" fillId="0" borderId="1" applyAlignment="1" pivotButton="0" quotePrefix="0" xfId="0">
      <alignment vertical="top" wrapText="1"/>
    </xf>
    <xf numFmtId="0" fontId="0" fillId="0" borderId="1" applyAlignment="1" pivotButton="0" quotePrefix="0" xfId="0">
      <alignment vertical="top" wrapText="1"/>
    </xf>
    <xf numFmtId="166" fontId="0" fillId="0" borderId="1" applyAlignment="1" pivotButton="0" quotePrefix="0" xfId="0">
      <alignment vertical="top" wrapText="1"/>
    </xf>
    <xf numFmtId="1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E27"/>
  <sheetViews>
    <sheetView showGridLines="0" workbookViewId="0">
      <pane ySplit="4" topLeftCell="A5" activePane="bottomLeft" state="frozen"/>
      <selection pane="bottomLeft" activeCell="A1" sqref="A1"/>
    </sheetView>
  </sheetViews>
  <sheetFormatPr baseColWidth="8" defaultRowHeight="14"/>
  <cols>
    <col width="22" customWidth="1" min="1" max="1"/>
    <col width="22" customWidth="1" min="2" max="2"/>
    <col width="22" customWidth="1" min="3" max="3"/>
    <col width="22" customWidth="1" min="4" max="4"/>
    <col width="22" customWidth="1" min="5" max="5"/>
  </cols>
  <sheetData>
    <row r="1" ht="24" customHeight="1">
      <c r="A1" s="1" t="inlineStr">
        <is>
          <t>Zahlungs- und Risikorechnung</t>
        </is>
      </c>
    </row>
    <row r="2">
      <c r="A2" s="2" t="inlineStr">
        <is>
          <t>Stand: 25. Juli 2026. Dies ist eine interne Szenariorechnung, keine Anspruchsbezifferung.</t>
        </is>
      </c>
    </row>
    <row r="3">
      <c r="A3" s="3" t="inlineStr">
        <is>
          <t>Kaufpreiszahlung</t>
        </is>
      </c>
    </row>
    <row r="4" ht="16" customHeight="1">
      <c r="A4" s="4" t="inlineStr">
        <is>
          <t>Datum</t>
        </is>
      </c>
      <c r="B4" s="4" t="inlineStr">
        <is>
          <t>Vorgang</t>
        </is>
      </c>
      <c r="C4" s="4" t="inlineStr">
        <is>
          <t>Betrag</t>
        </is>
      </c>
    </row>
    <row r="5" ht="30" customHeight="1">
      <c r="A5" s="5" t="n">
        <v>43694</v>
      </c>
      <c r="B5" s="6" t="inlineStr">
        <is>
          <t>Anzahlung per Girokarte</t>
        </is>
      </c>
      <c r="C5" s="7" t="n">
        <v>2000</v>
      </c>
    </row>
    <row r="6" ht="30" customHeight="1">
      <c r="A6" s="5" t="n">
        <v>43696</v>
      </c>
      <c r="B6" s="6" t="inlineStr">
        <is>
          <t>Restzahlung per Überweisung</t>
        </is>
      </c>
      <c r="C6" s="7" t="n">
        <v>24800</v>
      </c>
    </row>
    <row r="7" ht="16" customHeight="1">
      <c r="A7" s="6" t="inlineStr"/>
      <c r="B7" s="6" t="inlineStr">
        <is>
          <t>Gesamtkaufpreis</t>
        </is>
      </c>
      <c r="C7" s="7" t="n">
        <v>26800</v>
      </c>
    </row>
    <row r="8"/>
    <row r="9">
      <c r="A9" s="2" t="inlineStr">
        <is>
          <t>Eine Finanzierung oder ein Leasingvertrag bestand nach den Mandantenangaben nicht.</t>
        </is>
      </c>
    </row>
    <row r="10">
      <c r="A10" s="3" t="inlineStr">
        <is>
          <t>Nutzungsentschädigung</t>
        </is>
      </c>
    </row>
    <row r="11" ht="30" customHeight="1">
      <c r="A11" s="2" t="inlineStr">
        <is>
          <t>Für die reine Risikorechnung wird eine erwartbare Gesamtlaufleistung von 280.000 km unterstellt. Bei 41.200 km bei Erwerb verbleiben 238.800 km. Bis zur Ablesung von 96.417 km wurden 55.217 km zurückgelegt.</t>
        </is>
      </c>
    </row>
    <row r="12" ht="30" customHeight="1">
      <c r="A12" s="6" t="inlineStr">
        <is>
          <t>26.800,00 EUR × 55.217 km ÷ 238.800 km</t>
        </is>
      </c>
      <c r="B12" s="7">
        <f>C7*55217/238800</f>
        <v/>
      </c>
    </row>
    <row r="13" ht="30" customHeight="1">
      <c r="A13" s="2" t="inlineStr">
        <is>
          <t>Die angenommene Gesamtlaufleistung ist keine feststehende Tatsache. Sie müsste in einem Verfahren begründet und kann gerichtlich anders geschätzt werden.</t>
        </is>
      </c>
    </row>
    <row r="14">
      <c r="A14" s="3" t="inlineStr">
        <is>
          <t>Denkbarer Differenzschaden und Vorteilsausgleich</t>
        </is>
      </c>
    </row>
    <row r="15" ht="58" customHeight="1">
      <c r="A15" s="4" t="inlineStr">
        <is>
          <t>Minderwertquote</t>
        </is>
      </c>
      <c r="B15" s="4" t="inlineStr">
        <is>
          <t>Bruttodifferenz</t>
        </is>
      </c>
      <c r="C15" s="4" t="inlineStr">
        <is>
          <t>Wert bei Erwerb</t>
        </is>
      </c>
      <c r="D15" s="4" t="inlineStr">
        <is>
          <t>Restwert, ab dem eine Anrechnung beginnt</t>
        </is>
      </c>
      <c r="E15" s="4" t="inlineStr">
        <is>
          <t>Restwert, bei dem die Bruttodifferenz vollständig aufgezehrt ist</t>
        </is>
      </c>
    </row>
    <row r="16" ht="16" customHeight="1">
      <c r="A16" s="8" t="n">
        <v>0.05</v>
      </c>
      <c r="B16" s="7" t="n">
        <v>1340</v>
      </c>
      <c r="C16" s="7" t="n">
        <v>25460</v>
      </c>
      <c r="D16" s="7" t="n">
        <v>19263.12</v>
      </c>
      <c r="E16" s="7" t="n">
        <v>20603.12</v>
      </c>
    </row>
    <row r="17" ht="16" customHeight="1">
      <c r="A17" s="8" t="n">
        <v>0.1</v>
      </c>
      <c r="B17" s="7" t="n">
        <v>2680</v>
      </c>
      <c r="C17" s="7" t="n">
        <v>24120</v>
      </c>
      <c r="D17" s="7" t="n">
        <v>17923.12</v>
      </c>
      <c r="E17" s="7" t="n">
        <v>20603.12</v>
      </c>
    </row>
    <row r="18" ht="16" customHeight="1">
      <c r="A18" s="8" t="n">
        <v>0.15</v>
      </c>
      <c r="B18" s="7" t="n">
        <v>4020</v>
      </c>
      <c r="C18" s="7" t="n">
        <v>22780</v>
      </c>
      <c r="D18" s="7" t="n">
        <v>16583.12</v>
      </c>
      <c r="E18" s="7" t="n">
        <v>20603.12</v>
      </c>
    </row>
    <row r="19"/>
    <row r="20" ht="44" customHeight="1">
      <c r="A20" s="2" t="inlineStr">
        <is>
          <t>Die Schwellen folgen der Vorteilsausgleichung: Nutzungsvorteile und aktueller Restwert sind anzurechnen, soweit sie zusammen den für die jeweilige Quote angenommenen Fahrzeugwert bei Erwerb übersteigen. Der aktuelle Restwert ist nicht ermittelt. Die Tabelle belegt daher keinen Zahlungsanspruch.</t>
        </is>
      </c>
    </row>
    <row r="21">
      <c r="A21" s="3" t="inlineStr">
        <is>
          <t>Gesetzliche Kostenrisiken ohne Sachverständigen</t>
        </is>
      </c>
    </row>
    <row r="22" ht="44" customHeight="1">
      <c r="A22" s="2" t="inlineStr">
        <is>
          <t>Die folgende Planung verwendet die am 25. Juli 2026 geltenden Tabellenbeträge, 19 % Umsatzsteuer, jeweils eine Verfahrens- und Terminsgebühr sowie volle Gerichtsgebühren. Reisekosten, Auslagen über die Pauschale, Vergleichsgebühren und Sachverständigenkosten sind nicht enthalten.</t>
        </is>
      </c>
    </row>
    <row r="23" ht="30" customHeight="1">
      <c r="A23" s="4" t="inlineStr">
        <is>
          <t>Szenario</t>
        </is>
      </c>
      <c r="B23" s="4" t="inlineStr">
        <is>
          <t>Erste Instanz beide Seiten und Gericht</t>
        </is>
      </c>
      <c r="C23" s="4" t="inlineStr">
        <is>
          <t>Berufung beide Seiten und Gericht</t>
        </is>
      </c>
      <c r="D23" s="4" t="inlineStr">
        <is>
          <t>Zwei Instanzen zusammen</t>
        </is>
      </c>
    </row>
    <row r="24" ht="30" customHeight="1">
      <c r="A24" s="6" t="inlineStr">
        <is>
          <t>Differenzschaden bis 4.020,00 EUR</t>
        </is>
      </c>
      <c r="B24" s="7" t="n">
        <v>2668.38</v>
      </c>
      <c r="C24" s="7" t="n">
        <v>3091.98</v>
      </c>
      <c r="D24" s="7" t="n">
        <v>5760.36</v>
      </c>
    </row>
    <row r="25" ht="30" customHeight="1">
      <c r="A25" s="6" t="inlineStr">
        <is>
          <t>großer Zahlungsantrag 20.603,12 EUR</t>
        </is>
      </c>
      <c r="B25" s="7" t="n">
        <v>6451</v>
      </c>
      <c r="C25" s="7" t="n">
        <v>7478.6</v>
      </c>
      <c r="D25" s="7" t="n">
        <v>13929.6</v>
      </c>
    </row>
    <row r="26"/>
    <row r="27" ht="44" customHeight="1">
      <c r="A27" s="2" t="inlineStr">
        <is>
          <t>Beim kleinen Differenzschaden läge die sachliche Zuständigkeit nach derzeitiger Wertgrenze beim Amtsgericht; beim großen Zahlungsantrag beim Landgericht. Schon die gesetzlichen Kosten ohne technische Begutachtung können den plausiblen Differenzschaden übersteigen.</t>
        </is>
      </c>
    </row>
  </sheetData>
  <autoFilter ref="A4:E7"/>
  <mergeCells count="12">
    <mergeCell ref="A21:E21"/>
    <mergeCell ref="A20:E20"/>
    <mergeCell ref="A2:E2"/>
    <mergeCell ref="A10:E10"/>
    <mergeCell ref="A11:E11"/>
    <mergeCell ref="A1:E1"/>
    <mergeCell ref="A13:E13"/>
    <mergeCell ref="A14:E14"/>
    <mergeCell ref="A22:E22"/>
    <mergeCell ref="A9:E9"/>
    <mergeCell ref="A27:E27"/>
    <mergeCell ref="A3:E3"/>
  </mergeCells>
  <printOptions horizontalCentered="1"/>
  <pageMargins left="0.25" right="0.25" top="0.4" bottom="0.4" header="0.15" footer="0.15"/>
  <pageSetup orientation="portrait" paperSize="9" scale="85" fitToHeight="0" fitToWidth="0"/>
  <headerFooter>
    <oddHeader/>
    <oddFooter>&amp;CSeite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Kanzleisoftware-Export Diesel-Schadensersatz</dc:creator>
  <dcterms:created xsi:type="dcterms:W3CDTF">2000-01-01T00:00:00Z</dcterms:created>
  <dcterms:modified xsi:type="dcterms:W3CDTF">2000-01-01T00:00:00Z</dcterms:modified>
</cp:coreProperties>
</file>