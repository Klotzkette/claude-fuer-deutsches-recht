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9340a24e6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" sheetId="1" r:id="R7b444908165e4664"/>
    <x:sheet xmlns:r="http://schemas.openxmlformats.org/officeDocument/2006/relationships" name="Zahlungen" sheetId="2" r:id="R6b6b00f31c04480c"/>
  </x:sheets>
  <x:definedNames>
    <x:definedName name="_xlnm.Print_Area" localSheetId="0">'Kapital'!$A$1:$E$29</x:definedName>
    <x:definedName name="_xlnm.Print_Area" localSheetId="1">'Zahlungen'!$A$1:$E$29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-&quot;"/>
    <x:numFmt numFmtId="201" formatCode="0.0%"/>
    <x:numFmt numFmtId="202" formatCode="dd.mm.yyyy"/>
  </x:numFmts>
  <x:fonts count="9">
    <x:font>
      <x:sz val="11"/>
      <x:name val="Carlito"/>
    </x:font>
    <x:font>
      <x:sz val="10"/>
      <x:color rgb="FF222222"/>
      <x:name val="Arial"/>
    </x:font>
    <x:font>
      <x:b/>
      <x:sz val="14"/>
      <x:color rgb="FF222222"/>
      <x:name val="Arial"/>
    </x:font>
    <x:font>
      <x:sz val="10"/>
      <x:color rgb="FF5A5A5A"/>
      <x:name val="Arial"/>
    </x:font>
    <x:font>
      <x:b/>
      <x:sz val="10"/>
      <x:color rgb="FF222222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  <x:font>
      <x:sz val="10"/>
      <x:color rgb="FF1D4ED8"/>
      <x:name val="Arial"/>
    </x:font>
    <x:font>
      <x:sz val="10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4E8ED"/>
      </x:patternFill>
    </x:fill>
    <x:fill>
      <x:patternFill patternType="solid">
        <x:fgColor rgb="FFF1F3F5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929AA5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3" borderId="1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6" fillId="3" borderId="1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1" fontId="6" fillId="3" borderId="1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0" fontId="4" fillId="3" borderId="1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a5f3d6fa2e411e" /><Relationship Type="http://schemas.openxmlformats.org/officeDocument/2006/relationships/theme" Target="/xl/theme/theme1.xml" Id="R2b56466e40f3424e" /><Relationship Type="http://schemas.openxmlformats.org/officeDocument/2006/relationships/sharedStrings" Target="/xl/sharedStrings.xml" Id="Re3a157e3e2a0419a" /><Relationship Type="http://schemas.openxmlformats.org/officeDocument/2006/relationships/worksheet" Target="/xl/worksheets/sheet1.xml" Id="R7b444908165e4664" /><Relationship Type="http://schemas.openxmlformats.org/officeDocument/2006/relationships/worksheet" Target="/xl/worksheets/sheet2.xml" Id="R6b6b00f31c0448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1" hidden="0" customWidth="1"/>
    <x:col min="3" max="3" width="23" hidden="0" customWidth="1"/>
    <x:col min="4" max="4" width="20" hidden="0" customWidth="1"/>
    <x:col min="5" max="5" width="33" hidden="0" customWidth="1"/>
  </x:cols>
  <x:sheetData>
    <x:row r="1" ht="6" customHeight="1">
      <x:c r="A1" s="2"/>
      <x:c r="B1" s="2"/>
      <x:c r="C1" s="2"/>
      <x:c r="D1" s="2"/>
      <x:c r="E1" s="2"/>
    </x:row>
    <x:row r="2" ht="30" customHeight="1">
      <x:c r="A2" s="3" t="str">
        <x:v>Isarwinkel Kapital und Verhandlungsmehrheiten</x:v>
      </x:c>
      <x:c r="B2" s="2"/>
      <x:c r="C2" s="2"/>
      <x:c r="D2" s="2"/>
      <x:c r="E2" s="2"/>
    </x:row>
    <x:row r="3" ht="21" customHeight="1">
      <x:c r="A3" s="4" t="str">
        <x:v>Stand 08.10.2026. Blaue Zahlen: Eingaben. Schwarze Zahlen: Formeln. Belegpfade relativ zum Ordner.</x:v>
      </x:c>
      <x:c r="B3" s="2"/>
      <x:c r="C3" s="2"/>
      <x:c r="D3" s="2"/>
      <x:c r="E3" s="2"/>
    </x:row>
    <x:row r="4" ht="6" customHeight="1">
      <x:c r="A4" s="2"/>
      <x:c r="B4" s="2"/>
      <x:c r="C4" s="2"/>
      <x:c r="D4" s="2"/>
      <x:c r="E4" s="2"/>
    </x:row>
    <x:row r="5" ht="26" customHeight="1">
      <x:c r="A5" s="8" t="str">
        <x:v>Beteiligter</x:v>
      </x:c>
      <x:c r="B5" s="8" t="str">
        <x:v>Bisher EUR</x:v>
      </x:c>
      <x:c r="C5" s="8" t="str">
        <x:v>Neu EUR</x:v>
      </x:c>
      <x:c r="D5" s="8" t="str">
        <x:v>Danach EUR</x:v>
      </x:c>
      <x:c r="E5" s="8" t="str">
        <x:v>Danach Anteil</x:v>
      </x:c>
    </x:row>
    <x:row r="6" ht="18" customHeight="1">
      <x:c r="A6" s="2" t="str">
        <x:v>Hildegard Steinlechner</x:v>
      </x:c>
      <x:c r="B6" s="26" t="n">
        <x:v>15000</x:v>
      </x:c>
      <x:c r="C6" s="26" t="n">
        <x:v>0</x:v>
      </x:c>
      <x:c r="D6" s="24" t="n">
        <x:f>B6+C6</x:f>
        <x:v>15000</x:v>
      </x:c>
      <x:c r="E6" s="27" t="n">
        <x:f>D6/$D$9</x:f>
        <x:v>0.48</x:v>
      </x:c>
    </x:row>
    <x:row r="7" ht="18" customHeight="1">
      <x:c r="A7" s="2" t="str">
        <x:v>Quirin Rottmayer</x:v>
      </x:c>
      <x:c r="B7" s="26" t="n">
        <x:v>10000</x:v>
      </x:c>
      <x:c r="C7" s="26" t="n">
        <x:v>0</x:v>
      </x:c>
      <x:c r="D7" s="24" t="n">
        <x:f>B7+C7</x:f>
        <x:v>10000</x:v>
      </x:c>
      <x:c r="E7" s="27" t="n">
        <x:f>D7/$D$9</x:f>
        <x:v>0.32</x:v>
      </x:c>
    </x:row>
    <x:row r="8" ht="18" customHeight="1">
      <x:c r="A8" s="2" t="str">
        <x:v>Albrecht Vogl</x:v>
      </x:c>
      <x:c r="B8" s="26" t="n">
        <x:v>0</x:v>
      </x:c>
      <x:c r="C8" s="26" t="n">
        <x:v>6250</x:v>
      </x:c>
      <x:c r="D8" s="24" t="n">
        <x:f>B8+C8</x:f>
        <x:v>6250</x:v>
      </x:c>
      <x:c r="E8" s="27" t="n">
        <x:f>D8/$D$9</x:f>
        <x:v>0.2</x:v>
      </x:c>
    </x:row>
    <x:row r="9" ht="24" customHeight="1">
      <x:c r="A9" s="14" t="str">
        <x:v>Summe</x:v>
      </x:c>
      <x:c r="B9" s="25" t="n">
        <x:f>SUM(B6:B8)</x:f>
        <x:v>25000</x:v>
      </x:c>
      <x:c r="C9" s="25" t="n">
        <x:f>SUM(C6:C8)</x:f>
        <x:v>6250</x:v>
      </x:c>
      <x:c r="D9" s="25" t="n">
        <x:f>SUM(D6:D8)</x:f>
        <x:v>31250</x:v>
      </x:c>
      <x:c r="E9" s="28" t="n">
        <x:f>SUM(E6:E8)</x:f>
        <x:v>1</x:v>
      </x:c>
    </x:row>
    <x:row r="10" ht="6" customHeight="1">
      <x:c r="A10" s="2"/>
      <x:c r="B10" s="23"/>
      <x:c r="C10" s="23"/>
      <x:c r="D10" s="23"/>
      <x:c r="E10" s="2"/>
    </x:row>
    <x:row r="11" ht="6" customHeight="1">
      <x:c r="A11" s="2"/>
      <x:c r="B11" s="23"/>
      <x:c r="C11" s="23"/>
      <x:c r="D11" s="23"/>
      <x:c r="E11" s="2"/>
    </x:row>
    <x:row r="12" ht="18" customHeight="1">
      <x:c r="A12" s="2" t="str">
        <x:v>Vogl Zahlungsvorschlag EUR</x:v>
      </x:c>
      <x:c r="B12" s="26" t="n">
        <x:v>200000</x:v>
      </x:c>
      <x:c r="C12" s="23"/>
      <x:c r="D12" s="23"/>
      <x:c r="E12" s="2"/>
    </x:row>
    <x:row r="13" ht="18" customHeight="1">
      <x:c r="A13" s="2" t="str">
        <x:v>Davon neues Stammkapital</x:v>
      </x:c>
      <x:c r="B13" s="24" t="n">
        <x:f>C8</x:f>
        <x:v>6250</x:v>
      </x:c>
      <x:c r="C13" s="23"/>
      <x:c r="D13" s="23"/>
      <x:c r="E13" s="2"/>
    </x:row>
    <x:row r="14" ht="18" customHeight="1">
      <x:c r="A14" s="2" t="str">
        <x:v>Davon Aufgeld</x:v>
      </x:c>
      <x:c r="B14" s="24" t="n">
        <x:f>B12-B13</x:f>
        <x:v>193750</x:v>
      </x:c>
      <x:c r="C14" s="23"/>
      <x:c r="D14" s="23"/>
      <x:c r="E14" s="2"/>
    </x:row>
    <x:row r="15" ht="18" customHeight="1">
      <x:c r="A15" s="2" t="str">
        <x:v>Zahlung an Altgesellschafter</x:v>
      </x:c>
      <x:c r="B15" s="26" t="n">
        <x:v>0</x:v>
      </x:c>
      <x:c r="C15" s="23"/>
      <x:c r="D15" s="23"/>
      <x:c r="E15" s="2"/>
    </x:row>
    <x:row r="16" ht="6" customHeight="1">
      <x:c r="A16" s="2"/>
      <x:c r="B16" s="2"/>
      <x:c r="C16" s="2"/>
      <x:c r="D16" s="2"/>
      <x:c r="E16" s="2"/>
    </x:row>
    <x:row r="17" ht="6" customHeight="1">
      <x:c r="A17" s="2"/>
      <x:c r="B17" s="2"/>
      <x:c r="C17" s="2"/>
      <x:c r="D17" s="2"/>
      <x:c r="E17" s="2"/>
    </x:row>
    <x:row r="18" ht="18" customHeight="1">
      <x:c r="A18" s="2" t="str">
        <x:v>Vogls Schwelle am 08.10.</x:v>
      </x:c>
      <x:c r="B18" s="29" t="n">
        <x:v>0.85</x:v>
      </x:c>
      <x:c r="C18" s="30" t="str">
        <x:v>Gesamtes Stammkapital</x:v>
      </x:c>
      <x:c r="D18" s="30"/>
      <x:c r="E18" s="30"/>
    </x:row>
    <x:row r="19" ht="6" customHeight="1">
      <x:c r="A19" s="2"/>
      <x:c r="B19" s="2"/>
      <x:c r="C19" s="30"/>
      <x:c r="D19" s="30"/>
      <x:c r="E19" s="30"/>
    </x:row>
    <x:row r="20" ht="26" customHeight="1">
      <x:c r="A20" s="8" t="str">
        <x:v>Kombination</x:v>
      </x:c>
      <x:c r="B20" s="8" t="str">
        <x:v>Anteil zusammen</x:v>
      </x:c>
      <x:c r="C20" s="8" t="str">
        <x:v>Abstand zu Schwelle</x:v>
      </x:c>
      <x:c r="D20" s="8" t="str">
        <x:v>Bedeutung</x:v>
      </x:c>
      <x:c r="E20" s="8" t="str">
        <x:v>Quelle</x:v>
      </x:c>
    </x:row>
    <x:row r="21" ht="30" customHeight="1">
      <x:c r="A21" s="2" t="str">
        <x:v>Hildegard und Quirin</x:v>
      </x:c>
      <x:c r="B21" s="27" t="n">
        <x:f>E6+E7</x:f>
        <x:v>0.8</x:v>
      </x:c>
      <x:c r="C21" s="31" t="n">
        <x:f>B21-$B$18</x:f>
        <x:v>-0.04999999999999993</x:v>
      </x:c>
      <x:c r="D21" s="30" t="str">
        <x:v>Nur Rechenvergleich</x:v>
      </x:c>
      <x:c r="E21" s="30" t="str">
        <x:v>N09_Vogl_Position.eml</x:v>
      </x:c>
    </x:row>
    <x:row r="22" ht="30" customHeight="1">
      <x:c r="A22" s="2" t="str">
        <x:v>Hildegard und Vogl</x:v>
      </x:c>
      <x:c r="B22" s="27" t="n">
        <x:f>E6+E8</x:f>
        <x:v>0.6799999999999999</x:v>
      </x:c>
      <x:c r="C22" s="31" t="n">
        <x:f>B22-$B$18</x:f>
        <x:v>-0.17000000000000004</x:v>
      </x:c>
      <x:c r="D22" s="30" t="str">
        <x:v>Keine Abstimmung</x:v>
      </x:c>
      <x:c r="E22" s="30" t="str">
        <x:v>N06_Vogl_Anmerkungen.docx</x:v>
      </x:c>
    </x:row>
    <x:row r="23" ht="30" customHeight="1">
      <x:c r="A23" s="2" t="str">
        <x:v>Quirin und Vogl</x:v>
      </x:c>
      <x:c r="B23" s="27" t="n">
        <x:f>E7+E8</x:f>
        <x:v>0.52</x:v>
      </x:c>
      <x:c r="C23" s="31" t="n">
        <x:f>B23-$B$18</x:f>
        <x:v>-0.32999999999999996</x:v>
      </x:c>
      <x:c r="D23" s="30" t="str">
        <x:v>Kein Vertragsschluss</x:v>
      </x:c>
      <x:c r="E23" s="30" t="str">
        <x:v>N01_Gespraech_05_Oktober.docx</x:v>
      </x:c>
    </x:row>
    <x:row r="24" ht="6" customHeight="1">
      <x:c r="A24" s="2"/>
      <x:c r="B24" s="2"/>
      <x:c r="C24" s="2"/>
      <x:c r="D24" s="2"/>
      <x:c r="E24" s="2"/>
    </x:row>
    <x:row r="25" ht="6" customHeight="1">
      <x:c r="A25" s="2"/>
      <x:c r="B25" s="2"/>
      <x:c r="C25" s="2"/>
      <x:c r="D25" s="2"/>
      <x:c r="E25" s="2"/>
    </x:row>
    <x:row r="26" ht="18" customHeight="1">
      <x:c r="A26" s="18" t="str">
        <x:v>Stammkapitalquelle: ../03_Gesellschafterliste.docx. Neue Einlage: N01_Gespraech_05_Oktober.docx.</x:v>
      </x:c>
      <x:c r="B26" s="2"/>
      <x:c r="C26" s="2"/>
      <x:c r="D26" s="2"/>
      <x:c r="E26" s="2"/>
    </x:row>
    <x:row r="27" ht="18" customHeight="1">
      <x:c r="A27" s="18" t="str">
        <x:v>Die Zahlung von 200.000 EUR ist vorgeschlagen und noch nicht erfolgt; kein Anteilskauf von den Gründern.</x:v>
      </x:c>
      <x:c r="B27" s="2"/>
      <x:c r="C27" s="2"/>
      <x:c r="D27" s="2"/>
      <x:c r="E27" s="2"/>
    </x:row>
    <x:row r="28" ht="18" customHeight="1">
      <x:c r="A28" s="18" t="str">
        <x:v>85 Prozent sind Vogls Verhandlungswunsch vom 8. Oktober, bezogen auf das gesamte Stammkapital.</x:v>
      </x:c>
      <x:c r="B28" s="2"/>
      <x:c r="C28" s="2"/>
      <x:c r="D28" s="2"/>
      <x:c r="E28" s="2"/>
    </x:row>
    <x:row r="29" ht="18" customHeight="1">
      <x:c r="A29" s="18" t="str">
        <x:v>Kein Satzungsbeschluss, kein Vollzug und keine rechtliche Prüfung von Zustimmung oder Stimmverbot.</x:v>
      </x:c>
      <x:c r="B29" s="2"/>
      <x:c r="C29" s="2"/>
      <x:c r="D29" s="2"/>
      <x:c r="E29" s="2"/>
    </x:row>
    <x:row r="30" ht="6" customHeight="1">
      <x:c r="A30" s="2"/>
      <x:c r="B30" s="2"/>
      <x:c r="C30" s="2"/>
      <x:c r="D30" s="2"/>
      <x:c r="E30" s="2"/>
    </x:row>
    <x:row r="31" ht="6" customHeight="1">
      <x:c r="A31" s="2"/>
      <x:c r="B31" s="2"/>
      <x:c r="C31" s="2"/>
      <x:c r="D31" s="2"/>
      <x:c r="E31" s="2"/>
    </x:row>
    <x:row r="32" ht="6" customHeight="1">
      <x:c r="A32" s="2"/>
      <x:c r="B32" s="2"/>
      <x:c r="C32" s="2"/>
      <x:c r="D32" s="2"/>
      <x:c r="E32" s="2"/>
    </x:row>
  </x:sheetData>
  <x:pageMargins left="0.28" right="0.28" top="0.35" bottom="0.35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1" hidden="0" customWidth="1"/>
    <x:col min="4" max="4" width="21" hidden="0" customWidth="1"/>
    <x:col min="5" max="5" width="40" hidden="0" customWidth="1"/>
  </x:cols>
  <x:sheetData>
    <x:row r="1" ht="6" customHeight="1">
      <x:c r="A1" s="2"/>
      <x:c r="B1" s="2"/>
      <x:c r="C1" s="2"/>
      <x:c r="D1" s="2"/>
      <x:c r="E1" s="2"/>
    </x:row>
    <x:row r="2" ht="30" customHeight="1">
      <x:c r="A2" s="3" t="str">
        <x:v>Isarwinkel Zahlungen und offene Bestellung</x:v>
      </x:c>
      <x:c r="B2" s="2"/>
      <x:c r="C2" s="2"/>
      <x:c r="D2" s="2"/>
      <x:c r="E2" s="2"/>
    </x:row>
    <x:row r="3" ht="21" customHeight="1">
      <x:c r="A3" s="4" t="str">
        <x:v>Stand 08.10.2026. Blaue Zahlen: Eingaben. Schwarze Zahlen: Formeln. Belegpfade relativ zum Ordner.</x:v>
      </x:c>
      <x:c r="B3" s="2"/>
      <x:c r="C3" s="2"/>
      <x:c r="D3" s="2"/>
      <x:c r="E3" s="2"/>
    </x:row>
    <x:row r="4" ht="6" customHeight="1">
      <x:c r="A4" s="2"/>
      <x:c r="B4" s="2"/>
      <x:c r="C4" s="2"/>
      <x:c r="D4" s="2"/>
      <x:c r="E4" s="2"/>
    </x:row>
    <x:row r="5" ht="26" customHeight="1">
      <x:c r="A5" s="8" t="str">
        <x:v>Datum oder Position</x:v>
      </x:c>
      <x:c r="B5" s="8" t="str">
        <x:v>Eingang EUR</x:v>
      </x:c>
      <x:c r="C5" s="8" t="str">
        <x:v>Ausgang EUR</x:v>
      </x:c>
      <x:c r="D5" s="8" t="str">
        <x:v>Saldo EUR</x:v>
      </x:c>
      <x:c r="E5" s="8" t="str">
        <x:v>Beleg</x:v>
      </x:c>
    </x:row>
    <x:row r="6" ht="24" customHeight="1">
      <x:c r="A6" s="2" t="str">
        <x:v>30.09.2026 Anfang</x:v>
      </x:c>
      <x:c r="B6" s="23"/>
      <x:c r="C6" s="23"/>
      <x:c r="D6" s="26" t="n">
        <x:v>86200</x:v>
      </x:c>
      <x:c r="E6" s="30" t="str">
        <x:v>../17_Budgetnotiz_Ottmar.docx</x:v>
      </x:c>
    </x:row>
    <x:row r="7" ht="24" customHeight="1">
      <x:c r="A7" s="39" t="n">
        <x:v>46297</x:v>
      </x:c>
      <x:c r="B7" s="26" t="n">
        <x:v>0</x:v>
      </x:c>
      <x:c r="C7" s="26" t="n">
        <x:v>6400</x:v>
      </x:c>
      <x:c r="D7" s="24" t="n">
        <x:f>D6+B7-C7</x:f>
        <x:v>79800</x:v>
      </x:c>
      <x:c r="E7" s="30" t="str">
        <x:v>N03_Ottmar_Zahlungsstand.docx</x:v>
      </x:c>
    </x:row>
    <x:row r="8" ht="24" customHeight="1">
      <x:c r="A8" s="39" t="n">
        <x:v>46300</x:v>
      </x:c>
      <x:c r="B8" s="26" t="n">
        <x:v>0</x:v>
      </x:c>
      <x:c r="C8" s="26" t="n">
        <x:v>1900</x:v>
      </x:c>
      <x:c r="D8" s="24" t="n">
        <x:f>D7+B8-C8</x:f>
        <x:v>77900</x:v>
      </x:c>
      <x:c r="E8" s="30" t="str">
        <x:v>N03_Ottmar_Zahlungsstand.docx</x:v>
      </x:c>
    </x:row>
    <x:row r="9" ht="24" customHeight="1">
      <x:c r="A9" s="39" t="n">
        <x:v>46301</x:v>
      </x:c>
      <x:c r="B9" s="26" t="n">
        <x:v>0</x:v>
      </x:c>
      <x:c r="C9" s="26" t="n">
        <x:v>9800</x:v>
      </x:c>
      <x:c r="D9" s="24" t="n">
        <x:f>D8+B9-C9</x:f>
        <x:v>68100</x:v>
      </x:c>
      <x:c r="E9" s="30" t="str">
        <x:v>N03_Ottmar_Zahlungsstand.docx</x:v>
      </x:c>
    </x:row>
    <x:row r="10" ht="24" customHeight="1">
      <x:c r="A10" s="39" t="n">
        <x:v>46302</x:v>
      </x:c>
      <x:c r="B10" s="26" t="n">
        <x:v>5474</x:v>
      </x:c>
      <x:c r="C10" s="26" t="n">
        <x:v>0</x:v>
      </x:c>
      <x:c r="D10" s="24" t="n">
        <x:f>D9+B10-C10</x:f>
        <x:v>73574</x:v>
      </x:c>
      <x:c r="E10" s="30" t="str">
        <x:v>N03_Ottmar_Zahlungsstand.docx</x:v>
      </x:c>
    </x:row>
    <x:row r="11" ht="24" customHeight="1">
      <x:c r="A11" s="14" t="str">
        <x:v>Stand 07.10.2026</x:v>
      </x:c>
      <x:c r="B11" s="35"/>
      <x:c r="C11" s="35"/>
      <x:c r="D11" s="25" t="n">
        <x:f>D10</x:f>
        <x:v>73574</x:v>
      </x:c>
      <x:c r="E11" s="38"/>
    </x:row>
    <x:row r="12" ht="6" customHeight="1">
      <x:c r="A12" s="2"/>
      <x:c r="B12" s="23"/>
      <x:c r="C12" s="23"/>
      <x:c r="D12" s="23"/>
      <x:c r="E12" s="30"/>
    </x:row>
    <x:row r="13" ht="6" customHeight="1">
      <x:c r="A13" s="2"/>
      <x:c r="B13" s="23"/>
      <x:c r="C13" s="23"/>
      <x:c r="D13" s="23"/>
      <x:c r="E13" s="30"/>
    </x:row>
    <x:row r="14" ht="26" customHeight="1">
      <x:c r="A14" s="8" t="str">
        <x:v>Position</x:v>
      </x:c>
      <x:c r="B14" s="36" t="str">
        <x:v>Gesamt EUR</x:v>
      </x:c>
      <x:c r="C14" s="36" t="str">
        <x:v>Bezahlt EUR</x:v>
      </x:c>
      <x:c r="D14" s="36" t="str">
        <x:v>Rest EUR</x:v>
      </x:c>
      <x:c r="E14" s="8" t="str">
        <x:v>Quelle oder Stand</x:v>
      </x:c>
    </x:row>
    <x:row r="15" ht="30" customHeight="1">
      <x:c r="A15" s="2" t="str">
        <x:v>Material aus September</x:v>
      </x:c>
      <x:c r="B15" s="26" t="n">
        <x:v>21800</x:v>
      </x:c>
      <x:c r="C15" s="24" t="n">
        <x:f>C9</x:f>
        <x:v>9800</x:v>
      </x:c>
      <x:c r="D15" s="24" t="n">
        <x:f>B15-C15</x:f>
        <x:v>12000</x:v>
      </x:c>
      <x:c r="E15" s="30" t="str">
        <x:v>N03_Ottmar_Zahlungsstand.docx</x:v>
      </x:c>
    </x:row>
    <x:row r="16" ht="30" customHeight="1">
      <x:c r="A16" s="2" t="str">
        <x:v>Prüfstand brutto</x:v>
      </x:c>
      <x:c r="B16" s="26" t="n">
        <x:v>142800</x:v>
      </x:c>
      <x:c r="C16" s="26" t="n">
        <x:v>35700</x:v>
      </x:c>
      <x:c r="D16" s="24" t="n">
        <x:f>B16-C16</x:f>
        <x:v>107100</x:v>
      </x:c>
      <x:c r="E16" s="30" t="str">
        <x:v>../12_Pruefstand_Bestellung.pdf</x:v>
      </x:c>
    </x:row>
    <x:row r="17" ht="30" customHeight="1">
      <x:c r="A17" s="2" t="str">
        <x:v>Neue Investorenzahlung</x:v>
      </x:c>
      <x:c r="B17" s="26" t="n">
        <x:v>200000</x:v>
      </x:c>
      <x:c r="C17" s="26" t="n">
        <x:v>0</x:v>
      </x:c>
      <x:c r="D17" s="24" t="n">
        <x:f>B17-C17</x:f>
        <x:v>200000</x:v>
      </x:c>
      <x:c r="E17" s="30" t="str">
        <x:v>Vorschlag, kein fälliger Debitor</x:v>
      </x:c>
    </x:row>
    <x:row r="18" ht="6" customHeight="1">
      <x:c r="A18" s="2"/>
      <x:c r="B18" s="2"/>
      <x:c r="C18" s="2"/>
      <x:c r="D18" s="2"/>
      <x:c r="E18" s="30"/>
    </x:row>
    <x:row r="19" ht="6" customHeight="1">
      <x:c r="A19" s="2"/>
      <x:c r="B19" s="2"/>
      <x:c r="C19" s="2"/>
      <x:c r="D19" s="2"/>
      <x:c r="E19" s="30"/>
    </x:row>
    <x:row r="20" ht="26" customHeight="1">
      <x:c r="A20" s="8" t="str">
        <x:v>Noch nicht beauftragt</x:v>
      </x:c>
      <x:c r="B20" s="8" t="str">
        <x:v>Netto EUR</x:v>
      </x:c>
      <x:c r="C20" s="8" t="str">
        <x:v>USt Satz</x:v>
      </x:c>
      <x:c r="D20" s="8" t="str">
        <x:v>Brutto EUR</x:v>
      </x:c>
      <x:c r="E20" s="8" t="str">
        <x:v>Beleg und Bedingung</x:v>
      </x:c>
    </x:row>
    <x:row r="21" ht="18" customHeight="1">
      <x:c r="A21" s="2" t="str">
        <x:v>Ersatzteillager</x:v>
      </x:c>
      <x:c r="B21" s="26" t="n">
        <x:v>28000</x:v>
      </x:c>
      <x:c r="C21" s="29" t="n">
        <x:v>0.19</x:v>
      </x:c>
      <x:c r="D21" s="24" t="n">
        <x:f>ROUND(B21*(1+C21),2)</x:f>
        <x:v>33320</x:v>
      </x:c>
      <x:c r="E21" s="30" t="str">
        <x:v>N03_Ottmar_Zahlungsstand.docx</x:v>
      </x:c>
    </x:row>
    <x:row r="22" ht="18" customHeight="1">
      <x:c r="A22" s="2" t="str">
        <x:v>Horns Zusatzrechte</x:v>
      </x:c>
      <x:c r="B22" s="26" t="n">
        <x:v>2400</x:v>
      </x:c>
      <x:c r="C22" s="29" t="n">
        <x:v>0.19</x:v>
      </x:c>
      <x:c r="D22" s="24" t="n">
        <x:f>ROUND(B22*(1+C22),2)</x:f>
        <x:v>2856</x:v>
      </x:c>
      <x:c r="E22" s="30" t="str">
        <x:v>N04_Horn_Zusatzangebot.docx</x:v>
      </x:c>
    </x:row>
    <x:row r="23" ht="6" customHeight="1">
      <x:c r="A23" s="2"/>
      <x:c r="B23" s="2"/>
      <x:c r="C23" s="2"/>
      <x:c r="D23" s="2"/>
      <x:c r="E23" s="2"/>
    </x:row>
    <x:row r="24" ht="6" customHeight="1">
      <x:c r="A24" s="2"/>
      <x:c r="B24" s="2"/>
      <x:c r="C24" s="2"/>
      <x:c r="D24" s="2"/>
      <x:c r="E24" s="2"/>
    </x:row>
    <x:row r="25" ht="18" customHeight="1">
      <x:c r="A25" s="18" t="str">
        <x:v>Anzahlung Prüfstand am 18.09. bereits im Anfangsbestand enthalten; nicht erneut vom Bankstand abgezogen.</x:v>
      </x:c>
      <x:c r="B25" s="2"/>
      <x:c r="C25" s="2"/>
      <x:c r="D25" s="2"/>
      <x:c r="E25" s="2"/>
    </x:row>
    <x:row r="26" ht="18" customHeight="1">
      <x:c r="A26" s="18" t="str">
        <x:v>Prüfstandrest nach Lieferung, Inbetriebnahme und Rechnung; Plantermin 16.11.2026, keine neue Fälligkeit.</x:v>
      </x:c>
      <x:c r="B26" s="2"/>
      <x:c r="C26" s="2"/>
      <x:c r="D26" s="2"/>
      <x:c r="E26" s="2"/>
    </x:row>
    <x:row r="27" ht="18" customHeight="1">
      <x:c r="A27" s="18" t="str">
        <x:v>Die Linie von 80.000 EUR ist ungezogen und kein Bankguthaben. Quelle: N11_Bank_Stand.eml.</x:v>
      </x:c>
      <x:c r="B27" s="2"/>
      <x:c r="C27" s="2"/>
      <x:c r="D27" s="2"/>
      <x:c r="E27" s="2"/>
    </x:row>
    <x:row r="28" ht="18" customHeight="1">
      <x:c r="A28" s="18" t="str">
        <x:v>Die Tabelle ist ein Belegabgleich; Oktoberlöhne, Steuern und weitere Zahlungen bilden keine Vollplanung.</x:v>
      </x:c>
      <x:c r="B28" s="2"/>
      <x:c r="C28" s="2"/>
      <x:c r="D28" s="2"/>
      <x:c r="E28" s="2"/>
    </x:row>
    <x:row r="29" ht="18" customHeight="1">
      <x:c r="A29" s="18" t="str">
        <x:v>Materialrest und Vorschläge werden nicht zu einer scheinbar vollständigen Liquiditätslücke addiert.</x:v>
      </x:c>
      <x:c r="B29" s="2"/>
      <x:c r="C29" s="2"/>
      <x:c r="D29" s="2"/>
      <x:c r="E29" s="2"/>
    </x:row>
    <x:row r="30" ht="6" customHeight="1">
      <x:c r="A30" s="2"/>
      <x:c r="B30" s="2"/>
      <x:c r="C30" s="2"/>
      <x:c r="D30" s="2"/>
      <x:c r="E30" s="2"/>
    </x:row>
    <x:row r="31" ht="6" customHeight="1">
      <x:c r="A31" s="2"/>
      <x:c r="B31" s="2"/>
      <x:c r="C31" s="2"/>
      <x:c r="D31" s="2"/>
      <x:c r="E31" s="2"/>
    </x:row>
  </x:sheetData>
  <x:pageMargins left="0.28" right="0.28" top="0.35" bottom="0.35" header="0.15" footer="0.15"/>
  <x:pageSetup paperSize="9" orientation="landscape" fitToWidth="1" fitToHeight="0"/>
</x:worksheet>
</file>