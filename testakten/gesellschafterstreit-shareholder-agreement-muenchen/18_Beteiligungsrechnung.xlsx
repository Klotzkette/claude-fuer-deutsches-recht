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71784e6a9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pitalaufnahme" sheetId="1" r:id="R75418b5ab57f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0.00"/>
    <x:numFmt numFmtId="201" formatCode="0.0%"/>
  </x:numFmts>
  <x:fonts count="4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b/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8ED"/>
      </x:patternFill>
    </x:fill>
    <x:fill>
      <x:patternFill patternType="solid">
        <x:fgColor rgb="FFF1F2F4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3" fillId="3" borderId="0" xfId="0" applyNumberFormat="1" applyFont="1" applyFill="1" applyBorder="1" applyAlignment="1">
      <x:alignment horizontal="right" vertical="center"/>
    </x:xf>
    <x:xf numFmtId="201" fontId="3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22add5e1644f39" /><Relationship Type="http://schemas.openxmlformats.org/officeDocument/2006/relationships/theme" Target="/xl/theme/theme1.xml" Id="Rae6996129d844a77" /><Relationship Type="http://schemas.openxmlformats.org/officeDocument/2006/relationships/sharedStrings" Target="/xl/sharedStrings.xml" Id="Rf920905ccd434558" /><Relationship Type="http://schemas.openxmlformats.org/officeDocument/2006/relationships/worksheet" Target="/xl/worksheets/sheet1.xml" Id="R75418b5ab57f48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28" customHeight="1">
      <x:c r="A2" s="3" t="str">
        <x:v>Isarwinkel Gerätebau GmbH – Beteiligungsvorschlag</x:v>
      </x:c>
      <x:c r="B2" s="2"/>
      <x:c r="C2" s="2"/>
      <x:c r="D2" s="2"/>
      <x:c r="E2" s="2"/>
      <x:c r="F2" s="2"/>
    </x:row>
    <x:row r="3" ht="20" customHeight="1">
      <x:c r="A3" s="2" t="str">
        <x:v>Ottmar Fürst, 30.09.2026. Vorschlag aus Vogls Eckpunkten, noch nicht vollzogen.</x:v>
      </x:c>
      <x:c r="B3" s="2"/>
      <x:c r="C3" s="2"/>
      <x:c r="D3" s="2"/>
      <x:c r="E3" s="2"/>
      <x:c r="F3" s="2"/>
    </x:row>
    <x:row r="4" ht="8" customHeight="1">
      <x:c r="A4" s="2"/>
      <x:c r="B4" s="2"/>
      <x:c r="C4" s="2"/>
      <x:c r="D4" s="2"/>
      <x:c r="E4" s="2"/>
      <x:c r="F4" s="2"/>
    </x:row>
    <x:row r="5" ht="34" customHeight="1">
      <x:c r="A5" s="7" t="str">
        <x:v>Beteiligter</x:v>
      </x:c>
      <x:c r="B5" s="7" t="str">
        <x:v>Bisher EUR</x:v>
      </x:c>
      <x:c r="C5" s="7" t="str">
        <x:v>Bisher Anteil</x:v>
      </x:c>
      <x:c r="D5" s="7" t="str">
        <x:v>Neue Einlage EUR</x:v>
      </x:c>
      <x:c r="E5" s="7" t="str">
        <x:v>Danach EUR</x:v>
      </x:c>
      <x:c r="F5" s="7" t="str">
        <x:v>Danach Anteil</x:v>
      </x:c>
    </x:row>
    <x:row r="6" ht="20" customHeight="1">
      <x:c r="A6" s="2" t="str">
        <x:v>Hildegard Steinlechner</x:v>
      </x:c>
      <x:c r="B6" s="14" t="n">
        <x:v>15000</x:v>
      </x:c>
      <x:c r="C6" s="15" t="n">
        <x:f>B6/$B$9</x:f>
        <x:v>0.6</x:v>
      </x:c>
      <x:c r="D6" s="14" t="n">
        <x:v>0</x:v>
      </x:c>
      <x:c r="E6" s="14" t="n">
        <x:f>B6+D6</x:f>
        <x:v>15000</x:v>
      </x:c>
      <x:c r="F6" s="15" t="n">
        <x:f>E6/$E$9</x:f>
        <x:v>0.48</x:v>
      </x:c>
    </x:row>
    <x:row r="7" ht="20" customHeight="1">
      <x:c r="A7" s="2" t="str">
        <x:v>Quirin Rottmayer</x:v>
      </x:c>
      <x:c r="B7" s="14" t="n">
        <x:v>10000</x:v>
      </x:c>
      <x:c r="C7" s="15" t="n">
        <x:f>B7/$B$9</x:f>
        <x:v>0.4</x:v>
      </x:c>
      <x:c r="D7" s="14" t="n">
        <x:v>0</x:v>
      </x:c>
      <x:c r="E7" s="14" t="n">
        <x:f>B7+D7</x:f>
        <x:v>10000</x:v>
      </x:c>
      <x:c r="F7" s="15" t="n">
        <x:f>E7/$E$9</x:f>
        <x:v>0.32</x:v>
      </x:c>
    </x:row>
    <x:row r="8" ht="20" customHeight="1">
      <x:c r="A8" s="2" t="str">
        <x:v>Albrecht Vogl</x:v>
      </x:c>
      <x:c r="B8" s="14" t="n">
        <x:v>0</x:v>
      </x:c>
      <x:c r="C8" s="15" t="n">
        <x:f>B8/$B$9</x:f>
        <x:v>0</x:v>
      </x:c>
      <x:c r="D8" s="14" t="n">
        <x:v>6250</x:v>
      </x:c>
      <x:c r="E8" s="14" t="n">
        <x:f>B8+D8</x:f>
        <x:v>6250</x:v>
      </x:c>
      <x:c r="F8" s="15" t="n">
        <x:f>E8/$E$9</x:f>
        <x:v>0.2</x:v>
      </x:c>
    </x:row>
    <x:row r="9" ht="29" customHeight="1">
      <x:c r="A9" s="9" t="str">
        <x:v>Summe</x:v>
      </x:c>
      <x:c r="B9" s="16" t="n">
        <x:f>SUM(B6:B8)</x:f>
        <x:v>25000</x:v>
      </x:c>
      <x:c r="C9" s="17" t="n">
        <x:f>SUM(C6:C8)</x:f>
        <x:v>1</x:v>
      </x:c>
      <x:c r="D9" s="16" t="n">
        <x:f>SUM(D6:D8)</x:f>
        <x:v>6250</x:v>
      </x:c>
      <x:c r="E9" s="16" t="n">
        <x:f>SUM(E6:E8)</x:f>
        <x:v>31250</x:v>
      </x:c>
      <x:c r="F9" s="17" t="n">
        <x:f>SUM(F6:F8)</x:f>
        <x:v>1</x:v>
      </x:c>
    </x:row>
    <x:row r="10" ht="20" customHeight="1">
      <x:c r="A10" s="2"/>
      <x:c r="B10" s="18"/>
      <x:c r="C10" s="18"/>
      <x:c r="D10" s="18"/>
      <x:c r="E10" s="18"/>
      <x:c r="F10" s="18"/>
    </x:row>
    <x:row r="11" ht="20" customHeight="1">
      <x:c r="A11" s="2"/>
      <x:c r="B11" s="18"/>
      <x:c r="C11" s="18"/>
      <x:c r="D11" s="18"/>
      <x:c r="E11" s="18"/>
      <x:c r="F11" s="18"/>
    </x:row>
    <x:row r="12" ht="20" customHeight="1">
      <x:c r="A12" s="2" t="str">
        <x:v>Vogl, Zahlung insgesamt</x:v>
      </x:c>
      <x:c r="B12" s="14" t="n">
        <x:v>200000</x:v>
      </x:c>
      <x:c r="C12" s="18"/>
      <x:c r="D12" s="18"/>
      <x:c r="E12" s="18"/>
      <x:c r="F12" s="18"/>
    </x:row>
    <x:row r="13" ht="20" customHeight="1">
      <x:c r="A13" s="2" t="str">
        <x:v>Davon neue Stammeinlage</x:v>
      </x:c>
      <x:c r="B13" s="14" t="n">
        <x:f>D8</x:f>
        <x:v>6250</x:v>
      </x:c>
      <x:c r="C13" s="18"/>
      <x:c r="D13" s="18"/>
      <x:c r="E13" s="18"/>
      <x:c r="F13" s="18"/>
    </x:row>
    <x:row r="14" ht="20" customHeight="1">
      <x:c r="A14" s="2" t="str">
        <x:v>Davon Aufgeld</x:v>
      </x:c>
      <x:c r="B14" s="14" t="n">
        <x:f>B12-B13</x:f>
        <x:v>193750</x:v>
      </x:c>
      <x:c r="C14" s="18"/>
      <x:c r="D14" s="18"/>
      <x:c r="E14" s="18"/>
      <x:c r="F14" s="18"/>
    </x:row>
    <x:row r="15" ht="20" customHeight="1">
      <x:c r="A15" s="2" t="str">
        <x:v>Zahlung an Altgesellschafter</x:v>
      </x:c>
      <x:c r="B15" s="14" t="n">
        <x:v>0</x:v>
      </x:c>
      <x:c r="C15" s="18"/>
      <x:c r="D15" s="18"/>
      <x:c r="E15" s="18"/>
      <x:c r="F15" s="18"/>
    </x:row>
    <x:row r="16" ht="20" customHeight="1">
      <x:c r="A16" s="2"/>
      <x:c r="B16" s="2"/>
      <x:c r="C16" s="2"/>
      <x:c r="D16" s="2"/>
      <x:c r="E16" s="2"/>
      <x:c r="F16" s="2"/>
    </x:row>
    <x:row r="17" ht="20" customHeight="1">
      <x:c r="A17" s="2"/>
      <x:c r="B17" s="2"/>
      <x:c r="C17" s="2"/>
      <x:c r="D17" s="2"/>
      <x:c r="E17" s="2"/>
      <x:c r="F17" s="2"/>
    </x:row>
    <x:row r="18" ht="20" customHeight="1">
      <x:c r="A18" s="2" t="str">
        <x:v>Quelle Stammkapital: Gesellschafterliste vom 15.07.2021.</x:v>
      </x:c>
      <x:c r="B18" s="2"/>
      <x:c r="C18" s="2"/>
      <x:c r="D18" s="2"/>
      <x:c r="E18" s="2"/>
      <x:c r="F18" s="2"/>
    </x:row>
    <x:row r="19" ht="20" customHeight="1">
      <x:c r="A19" s="2" t="str">
        <x:v>Quelle neue Mittel: Eckpunkte Albrecht Vogl vom 25.09.2026.</x:v>
      </x:c>
      <x:c r="B19" s="2"/>
      <x:c r="C19" s="2"/>
      <x:c r="D19" s="2"/>
      <x:c r="E19" s="2"/>
      <x:c r="F19" s="2"/>
    </x:row>
    <x:row r="20" ht="20" customHeight="1">
      <x:c r="A20" s="2" t="str">
        <x:v>Alle 200000 EUR sind für die Gesellschaft vorgesehen. Keine Zahlung ist eingegangen.</x:v>
      </x:c>
      <x:c r="B20" s="2"/>
      <x:c r="C20" s="2"/>
      <x:c r="D20" s="2"/>
      <x:c r="E20" s="2"/>
      <x:c r="F20" s="2"/>
    </x:row>
    <x:row r="21" ht="20" customHeight="1">
      <x:c r="A21" s="2" t="str">
        <x:v>Einzahlung, Beschlüsse und Registervollzug sind noch abzustimmen.</x:v>
      </x:c>
      <x:c r="B21" s="2"/>
      <x:c r="C21" s="2"/>
      <x:c r="D21" s="2"/>
      <x:c r="E21" s="2"/>
      <x:c r="F21" s="2"/>
    </x:row>
    <x:row r="22" ht="20" customHeight="1">
      <x:c r="A22" s="2" t="str">
        <x:v>Diese Rechnung legt keine Zustimmungs- oder Verkaufsrechte fest.</x:v>
      </x:c>
      <x:c r="B22" s="2"/>
      <x:c r="C22" s="2"/>
      <x:c r="D22" s="2"/>
      <x:c r="E22" s="2"/>
      <x:c r="F22" s="2"/>
    </x:row>
    <x:row r="23" ht="20" customHeight="1">
      <x:c r="A23" s="2"/>
      <x:c r="B23" s="2"/>
      <x:c r="C23" s="2"/>
      <x:c r="D23" s="2"/>
      <x:c r="E23" s="2"/>
      <x:c r="F23" s="2"/>
    </x:row>
  </x:sheetData>
  <x:pageMargins left="0.7" right="0.7" top="0.75" bottom="0.75" header="0.3" footer="0.3"/>
  <x:pageSetup paperSize="9" orientation="landscape" fitToWidth="1" fitToHeight="1"/>
</x:worksheet>
</file>