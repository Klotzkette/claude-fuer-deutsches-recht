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347d2fe49d4a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beitsstand" sheetId="1" r:id="R0ced05e8898d4b25"/>
  </x:sheets>
  <x:definedNames>
    <x:definedName name="_xlnm.Print_Area" localSheetId="0">'Arbeitsstand'!$A$1:$D$26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0"/>
      <x:color rgb="FF222222"/>
      <x:name val="Arial"/>
    </x:font>
    <x:font>
      <x:b/>
      <x:sz val="14"/>
      <x:color rgb="FF222222"/>
      <x:name val="Arial"/>
    </x:font>
    <x:font>
      <x:sz val="10"/>
      <x:color rgb="FF555555"/>
      <x:name val="Arial"/>
    </x:font>
    <x:font>
      <x:b/>
      <x:sz val="10"/>
      <x:color rgb="FF222222"/>
      <x:name val="Arial"/>
    </x:font>
    <x:font>
      <x:sz val="10"/>
      <x:color rgb="FF1D4ED8"/>
      <x:name val="Arial"/>
    </x:font>
    <x:font>
      <x:sz val="10"/>
      <x:color rgb="FF1111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FE5E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 wrapText="0"/>
    </x:xf>
    <x:xf numFmtId="0" fontId="1" fillId="0" borderId="0" xfId="0" applyNumberFormat="1" applyFont="1" applyFill="1" applyBorder="1" applyAlignment="1">
      <x:alignment vertical="center" wrapText="0"/>
    </x:xf>
    <x:xf numFmtId="0" fontId="5" fillId="0" borderId="0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fa3cfe6b7441dd" /><Relationship Type="http://schemas.openxmlformats.org/officeDocument/2006/relationships/theme" Target="/xl/theme/theme1.xml" Id="R8c846ebd73bf4d7b" /><Relationship Type="http://schemas.openxmlformats.org/officeDocument/2006/relationships/sharedStrings" Target="/xl/sharedStrings.xml" Id="Rb3dc6e427a4d479e" /><Relationship Type="http://schemas.openxmlformats.org/officeDocument/2006/relationships/worksheet" Target="/xl/worksheets/sheet1.xml" Id="R0ced05e8898d4b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23" hidden="0" customWidth="1"/>
    <x:col min="3" max="3" width="23" hidden="0" customWidth="1"/>
    <x:col min="4" max="4" width="30" hidden="0" customWidth="1"/>
  </x:cols>
  <x:sheetData>
    <x:row r="1" ht="8" customHeight="1">
      <x:c r="A1" s="2"/>
      <x:c r="B1" s="2"/>
      <x:c r="C1" s="2"/>
      <x:c r="D1" s="2"/>
    </x:row>
    <x:row r="2" ht="28" customHeight="1">
      <x:c r="A2" s="3" t="str">
        <x:v>Stadtfaden und die Wohnungsrangliste</x:v>
      </x:c>
      <x:c r="B2" s="2"/>
      <x:c r="C2" s="2"/>
      <x:c r="D2" s="2"/>
    </x:row>
    <x:row r="3" ht="18" customHeight="1">
      <x:c r="A3" s="4" t="str">
        <x:v>Stand 09.10.2026. Blaue Zahlen sind Eingaben, schwarze Zahlen werden berechnet.</x:v>
      </x:c>
      <x:c r="B3" s="2"/>
      <x:c r="C3" s="2"/>
      <x:c r="D3" s="2"/>
    </x:row>
    <x:row r="4" ht="8" customHeight="1">
      <x:c r="A4" s="2"/>
      <x:c r="B4" s="2"/>
      <x:c r="C4" s="2"/>
      <x:c r="D4" s="2"/>
    </x:row>
    <x:row r="5" ht="30" customHeight="1">
      <x:c r="A5" s="8" t="str">
        <x:v>Person</x:v>
      </x:c>
      <x:c r="B5" s="8" t="str">
        <x:v>Verspätete Rückgaben</x:v>
      </x:c>
      <x:c r="C5" s="8" t="str">
        <x:v>Tonabzug</x:v>
      </x:c>
      <x:c r="D5" s="8" t="str">
        <x:v>Index</x:v>
      </x:c>
    </x:row>
    <x:row r="6" ht="18" customHeight="1">
      <x:c r="A6" s="12" t="str">
        <x:v>Roswitha Scheuerlein</x:v>
      </x:c>
      <x:c r="B6" s="13" t="n">
        <x:v>2</x:v>
      </x:c>
      <x:c r="C6" s="13" t="n">
        <x:v>25</x:v>
      </x:c>
      <x:c r="D6" s="14" t="n">
        <x:f>$B$12-B6*$B$13-C6</x:f>
        <x:v>65</x:v>
      </x:c>
    </x:row>
    <x:row r="7" ht="18" customHeight="1">
      <x:c r="A7" s="12" t="str">
        <x:v>Berthold Riemenschneider</x:v>
      </x:c>
      <x:c r="B7" s="13" t="n">
        <x:v>0</x:v>
      </x:c>
      <x:c r="C7" s="13" t="n">
        <x:v>0</x:v>
      </x:c>
      <x:c r="D7" s="14" t="n">
        <x:f>$B$12-B7*$B$13-C7</x:f>
        <x:v>100</x:v>
      </x:c>
    </x:row>
    <x:row r="8" ht="18" customHeight="1">
      <x:c r="A8" s="12" t="str">
        <x:v>Mina Trautwein</x:v>
      </x:c>
      <x:c r="B8" s="13" t="n">
        <x:v>1</x:v>
      </x:c>
      <x:c r="C8" s="13" t="n">
        <x:v>10</x:v>
      </x:c>
      <x:c r="D8" s="14" t="n">
        <x:f>$B$12-B8*$B$13-C8</x:f>
        <x:v>85</x:v>
      </x:c>
    </x:row>
    <x:row r="9" ht="18" customHeight="1">
      <x:c r="A9" s="12" t="str">
        <x:v>Ottmar Wipfler</x:v>
      </x:c>
      <x:c r="B9" s="13" t="n">
        <x:v>0</x:v>
      </x:c>
      <x:c r="C9" s="13" t="n">
        <x:v>5</x:v>
      </x:c>
      <x:c r="D9" s="14" t="n">
        <x:f>$B$12-B9*$B$13-C9</x:f>
        <x:v>95</x:v>
      </x:c>
    </x:row>
    <x:row r="10" ht="8" customHeight="1">
      <x:c r="A10" s="12"/>
      <x:c r="B10" s="12"/>
      <x:c r="C10" s="12"/>
      <x:c r="D10" s="12"/>
    </x:row>
    <x:row r="11" ht="8" customHeight="1">
      <x:c r="A11" s="12"/>
      <x:c r="B11" s="12"/>
      <x:c r="C11" s="12"/>
      <x:c r="D11" s="12"/>
    </x:row>
    <x:row r="12" ht="18" customHeight="1">
      <x:c r="A12" s="12" t="str">
        <x:v>Startpunkte</x:v>
      </x:c>
      <x:c r="B12" s="13" t="n">
        <x:v>100</x:v>
      </x:c>
      <x:c r="C12" s="12"/>
      <x:c r="D12" s="12"/>
    </x:row>
    <x:row r="13" ht="18" customHeight="1">
      <x:c r="A13" s="12" t="str">
        <x:v>Abzug je Rückgabe</x:v>
      </x:c>
      <x:c r="B13" s="13" t="n">
        <x:v>5</x:v>
      </x:c>
      <x:c r="C13" s="12"/>
      <x:c r="D13" s="12"/>
    </x:row>
    <x:row r="14" ht="8" customHeight="1">
      <x:c r="A14" s="12"/>
      <x:c r="B14" s="12"/>
      <x:c r="C14" s="12"/>
      <x:c r="D14" s="12"/>
    </x:row>
    <x:row r="15" ht="8" customHeight="1">
      <x:c r="A15" s="12"/>
      <x:c r="B15" s="12"/>
      <x:c r="C15" s="12"/>
      <x:c r="D15" s="12"/>
    </x:row>
    <x:row r="16" ht="18" customHeight="1">
      <x:c r="A16" s="12" t="str">
        <x:v>Scheuerlein ohne Fremddaten</x:v>
      </x:c>
      <x:c r="B16" s="12"/>
      <x:c r="C16" s="12"/>
      <x:c r="D16" s="14" t="n">
        <x:f>B12</x:f>
        <x:v>100</x:v>
      </x:c>
    </x:row>
    <x:row r="17" ht="18" customHeight="1">
      <x:c r="A17" s="12" t="str">
        <x:v>Rechnerischer Unterschied</x:v>
      </x:c>
      <x:c r="B17" s="12"/>
      <x:c r="C17" s="12"/>
      <x:c r="D17" s="14" t="n">
        <x:f>D16-D6</x:f>
        <x:v>35</x:v>
      </x:c>
    </x:row>
    <x:row r="18" ht="8" customHeight="1">
      <x:c r="A18" s="12"/>
      <x:c r="B18" s="12"/>
      <x:c r="C18" s="12"/>
      <x:c r="D18" s="12"/>
    </x:row>
    <x:row r="19" ht="8" customHeight="1">
      <x:c r="A19" s="12"/>
      <x:c r="B19" s="12"/>
      <x:c r="C19" s="12"/>
      <x:c r="D19" s="12"/>
    </x:row>
    <x:row r="20" ht="18" customHeight="1">
      <x:c r="A20" s="15" t="str">
        <x:v>Quelle: 02_Datenweg.docx und 06_Auszug.eml; Ausschnitt des Piloten.</x:v>
      </x:c>
      <x:c r="B20" s="12"/>
      <x:c r="C20" s="12"/>
      <x:c r="D20" s="12"/>
    </x:row>
    <x:row r="21" ht="18" customHeight="1">
      <x:c r="A21" s="15" t="str">
        <x:v>Bei diesen vier Personen keine offenen Mieten im Export; andere Fälle fehlen.</x:v>
      </x:c>
      <x:c r="B21" s="12"/>
      <x:c r="C21" s="12"/>
      <x:c r="D21" s="12"/>
    </x:row>
    <x:row r="22" ht="18" customHeight="1">
      <x:c r="A22" s="15" t="str">
        <x:v>Tonabzüge stammen aus ungeprüften Modellklassen, nicht aus Tatsachenfeststellung.</x:v>
      </x:c>
      <x:c r="B22" s="12"/>
      <x:c r="C22" s="12"/>
      <x:c r="D22" s="12"/>
    </x:row>
    <x:row r="23" ht="18" customHeight="1">
      <x:c r="A23" s="15" t="str">
        <x:v>D16 ist eine Vergleichsrechnung, keine empfohlene Vergaberegel.</x:v>
      </x:c>
      <x:c r="B23" s="12"/>
      <x:c r="C23" s="12"/>
      <x:c r="D23" s="12"/>
    </x:row>
    <x:row r="24" ht="18" customHeight="1">
      <x:c r="A24" s="15" t="str">
        <x:v>Ein Index beweist weder Kontextzusammenhang noch tatsächliche Benachteiligung.</x:v>
      </x:c>
      <x:c r="B24" s="12"/>
      <x:c r="C24" s="12"/>
      <x:c r="D24" s="12"/>
    </x:row>
    <x:row r="25" ht="8" customHeight="1">
      <x:c r="A25" s="12"/>
      <x:c r="B25" s="12"/>
      <x:c r="C25" s="12"/>
      <x:c r="D25" s="12"/>
    </x:row>
    <x:row r="26" ht="8" customHeight="1">
      <x:c r="A26" s="12"/>
      <x:c r="B26" s="12"/>
      <x:c r="C26" s="12"/>
      <x:c r="D26" s="12"/>
    </x:row>
    <x:row r="27" ht="8" customHeight="1">
      <x:c r="A27" s="12"/>
      <x:c r="B27" s="12"/>
      <x:c r="C27" s="12"/>
      <x:c r="D27" s="12"/>
    </x:row>
    <x:row r="28" ht="8" customHeight="1">
      <x:c r="A28" s="12"/>
      <x:c r="B28" s="12"/>
      <x:c r="C28" s="12"/>
      <x:c r="D28" s="12"/>
    </x:row>
    <x:row r="29" ht="8" customHeight="1">
      <x:c r="A29" s="12"/>
      <x:c r="B29" s="12"/>
      <x:c r="C29" s="12"/>
      <x:c r="D29" s="12"/>
    </x:row>
  </x:sheetData>
  <x:pageMargins left="0.3" right="0.3" top="0.35" bottom="0.35" header="0.15" footer="0.15"/>
  <x:pageSetup paperSize="9" orientation="landscape" fitToWidth="1" fitToHeight="0"/>
</x:worksheet>
</file>