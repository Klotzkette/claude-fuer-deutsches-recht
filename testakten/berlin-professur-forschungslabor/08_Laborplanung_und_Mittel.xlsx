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5fddb0989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fenster" sheetId="1" r:id="Rf372e35d184143e1"/>
    <x:sheet xmlns:r="http://schemas.openxmlformats.org/officeDocument/2006/relationships" name="Projektmittel" sheetId="2" r:id="R1fa5c74b30a1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98f6bb9d34bb1" /><Relationship Type="http://schemas.openxmlformats.org/officeDocument/2006/relationships/theme" Target="/xl/theme/theme1.xml" Id="R7f73a71a04bb4437" /><Relationship Type="http://schemas.openxmlformats.org/officeDocument/2006/relationships/sharedStrings" Target="/xl/sharedStrings.xml" Id="Rd0408fad2cb943f6" /><Relationship Type="http://schemas.openxmlformats.org/officeDocument/2006/relationships/worksheet" Target="/xl/worksheets/sheet1.xml" Id="Rf372e35d184143e1" /><Relationship Type="http://schemas.openxmlformats.org/officeDocument/2006/relationships/worksheet" Target="/xl/worksheets/sheet2.xml" Id="R1fa5c74b30a1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60000228881836" hidden="0" customWidth="1"/>
    <x:col min="2" max="2" width="20.170000076293945" hidden="0" customWidth="1"/>
    <x:col min="3" max="3" width="18.520000457763672" hidden="0" customWidth="1"/>
    <x:col min="4" max="4" width="16.860000610351562" hidden="0" customWidth="1"/>
    <x:col min="5" max="5" width="17.969999313354492" hidden="0" customWidth="1"/>
    <x:col min="6" max="6" width="36.720001220703125" hidden="0" customWidth="1"/>
  </x:cols>
  <x:sheetData>
    <x:row r="1" ht="38" customHeight="1">
      <x:c r="A1" s="6" t="str">
        <x:v>Lauf</x:v>
      </x:c>
      <x:c r="B1" s="6" t="str">
        <x:v>Geplanter Beginn</x:v>
      </x:c>
      <x:c r="C1" s="6" t="str">
        <x:v>Dauer Stunden</x:v>
      </x:c>
      <x:c r="D1" s="6" t="str">
        <x:v>Messplätze</x:v>
      </x:c>
      <x:c r="E1" s="6" t="str">
        <x:v>Platzstunden</x:v>
      </x:c>
      <x:c r="F1" s="6" t="str">
        <x:v>Status</x:v>
      </x:c>
    </x:row>
    <x:row r="2" ht="38" customHeight="1">
      <x:c r="A2" s="3" t="str">
        <x:v>Vergleich 1</x:v>
      </x:c>
      <x:c r="B2" s="10" t="n">
        <x:v>46329</x:v>
      </x:c>
      <x:c r="C2" s="8" t="n">
        <x:v>48</x:v>
      </x:c>
      <x:c r="D2" s="8" t="n">
        <x:v>6</x:v>
      </x:c>
      <x:c r="E2" s="8" t="n">
        <x:f>C2*D2</x:f>
        <x:v>288</x:v>
      </x:c>
      <x:c r="F2" s="3" t="str">
        <x:v>Beginn 09 Uhr; bis 05.11. 09 Uhr ohne Umsetzen.</x:v>
      </x:c>
    </x:row>
    <x:row r="3" ht="38" customHeight="1">
      <x:c r="A3" s="3" t="str">
        <x:v>Vergleich 2</x:v>
      </x:c>
      <x:c r="B3" s="10" t="n">
        <x:v>46336</x:v>
      </x:c>
      <x:c r="C3" s="8" t="n">
        <x:v>48</x:v>
      </x:c>
      <x:c r="D3" s="8" t="n">
        <x:v>6</x:v>
      </x:c>
      <x:c r="E3" s="8" t="n">
        <x:f>C3*D3</x:f>
        <x:v>288</x:v>
      </x:c>
      <x:c r="F3" s="3" t="str">
        <x:v>Beginn 09 Uhr; Termin mit Partner abstimmbar.</x:v>
      </x:c>
    </x:row>
    <x:row r="4" ht="38" customHeight="1">
      <x:c r="A4" s="3" t="str">
        <x:v>Vergleich 3</x:v>
      </x:c>
      <x:c r="B4" s="10" t="n">
        <x:v>46350</x:v>
      </x:c>
      <x:c r="C4" s="8" t="n">
        <x:v>48</x:v>
      </x:c>
      <x:c r="D4" s="8" t="n">
        <x:v>6</x:v>
      </x:c>
      <x:c r="E4" s="8" t="n">
        <x:f>C4*D4</x:f>
        <x:v>288</x:v>
      </x:c>
      <x:c r="F4" s="3" t="str">
        <x:v>Beginn 09 Uhr; Termin mit Partner abstimmbar.</x:v>
      </x:c>
    </x:row>
    <x:row r="5" ht="24" customHeight="1">
      <x:c r="A5" s="3" t="str">
        <x:v>Summe</x:v>
      </x:c>
      <x:c r="B5" s="3"/>
      <x:c r="C5" s="8" t="n">
        <x:f>SUM(C2:C4)</x:f>
        <x:v>144</x:v>
      </x:c>
      <x:c r="D5" s="8"/>
      <x:c r="E5" s="8" t="n">
        <x:f>SUM(E2:E4)</x:f>
        <x:v>864</x:v>
      </x:c>
      <x:c r="F5" s="3" t="str">
        <x:v>Drei getrennte Messläufe.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200000762939453" hidden="0" customWidth="1"/>
    <x:col min="2" max="2" width="19.709999084472656" hidden="0" customWidth="1"/>
    <x:col min="3" max="3" width="21.540000915527344" hidden="0" customWidth="1"/>
    <x:col min="4" max="4" width="20.31999969482422" hidden="0" customWidth="1"/>
    <x:col min="5" max="5" width="39.22999954223633" hidden="0" customWidth="1"/>
  </x:cols>
  <x:sheetData>
    <x:row r="1" ht="38" customHeight="1">
      <x:c r="A1" s="6" t="str">
        <x:v>Ansatz</x:v>
      </x:c>
      <x:c r="B1" s="6" t="str">
        <x:v>Bewilligt Euro</x:v>
      </x:c>
      <x:c r="C1" s="6" t="str">
        <x:v>Bereits gebunden Euro</x:v>
      </x:c>
      <x:c r="D1" s="6" t="str">
        <x:v>Verfügbar Euro</x:v>
      </x:c>
      <x:c r="E1" s="6" t="str">
        <x:v>Zweck</x:v>
      </x:c>
    </x:row>
    <x:row r="2" ht="38" customHeight="1">
      <x:c r="A2" s="3" t="str">
        <x:v>Sensorik und Kalibrierung</x:v>
      </x:c>
      <x:c r="B2" s="12" t="n">
        <x:v>30000</x:v>
      </x:c>
      <x:c r="C2" s="12" t="n">
        <x:v>24600</x:v>
      </x:c>
      <x:c r="D2" s="12" t="n">
        <x:f>B2-C2</x:f>
        <x:v>5400</x:v>
      </x:c>
      <x:c r="E2" s="3" t="str">
        <x:v>Forschungsfonds Stadtklimasensoren.</x:v>
      </x:c>
    </x:row>
    <x:row r="3" ht="38" customHeight="1">
      <x:c r="A3" s="3" t="str">
        <x:v>Hilfskräfte und Messfahrten</x:v>
      </x:c>
      <x:c r="B3" s="12" t="n">
        <x:v>18000</x:v>
      </x:c>
      <x:c r="C3" s="12" t="n">
        <x:v>6200</x:v>
      </x:c>
      <x:c r="D3" s="12" t="n">
        <x:f>B3-C3</x:f>
        <x:v>11800</x:v>
      </x:c>
      <x:c r="E3" s="3" t="str">
        <x:v>Forschungsfonds Stadtklimasensoren.</x:v>
      </x:c>
    </x:row>
    <x:row r="4" ht="38" customHeight="1">
      <x:c r="A4" s="3" t="str">
        <x:v>Summe Projekt</x:v>
      </x:c>
      <x:c r="B4" s="12" t="n">
        <x:f>SUM(B2:B3)</x:f>
        <x:v>48000</x:v>
      </x:c>
      <x:c r="C4" s="12" t="n">
        <x:f>SUM(C2:C3)</x:f>
        <x:v>30800</x:v>
      </x:c>
      <x:c r="D4" s="12" t="n">
        <x:f>SUM(D2:D3)</x:f>
        <x:v>17200</x:v>
      </x:c>
      <x:c r="E4" s="3" t="str">
        <x:v>Getrennt vom allgemeinen Sachmittelansatz.</x:v>
      </x:c>
    </x:row>
    <x:row r="5" ht="38" customHeight="1">
      <x:c r="A5" s="3" t="str">
        <x:v>Allgemeine Sachmittel</x:v>
      </x:c>
      <x:c r="B5" s="12" t="n">
        <x:v>36000</x:v>
      </x:c>
      <x:c r="C5" s="12" t="n">
        <x:v>11000</x:v>
      </x:c>
      <x:c r="D5" s="12" t="n">
        <x:f>B5-C5</x:f>
        <x:v>25000</x:v>
      </x:c>
      <x:c r="E5" s="3" t="str">
        <x:v>Vor der Poolzuweisung laut Dekanat.</x:v>
      </x:c>
    </x:row>
    <x:row r="6" ht="38" customHeight="1">
      <x:c r="A6" s="3" t="str">
        <x:v>In Gerätepool übertragen</x:v>
      </x:c>
      <x:c r="B6" s="12" t="n">
        <x:v>18000</x:v>
      </x:c>
      <x:c r="C6" s="12"/>
      <x:c r="D6" s="12"/>
      <x:c r="E6" s="3" t="str">
        <x:v>Mitteilung vom 14.09.; interne Buchung noch offen.</x:v>
      </x:c>
    </x:row>
  </x:sheetData>
  <x:pageMargins left="0.4" right="0.4" top="0.4" bottom="0.4" header="0.15" footer="0.15"/>
  <x:pageSetup paperSize="9" orientation="landscape" fitToWidth="1" fitToHeight="0"/>
</x:worksheet>
</file>