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14ddb3e52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und OP" sheetId="1" r:id="R720dc671b6f14265"/>
    <x:sheet xmlns:r="http://schemas.openxmlformats.org/officeDocument/2006/relationships" name="Darlehen und Wünsche" sheetId="2" r:id="Rda0cafaa5e724661"/>
  </x:sheets>
  <x:definedNames>
    <x:definedName name="_xlnm.Print_Area" localSheetId="0">'Bank und OP'!$A$1:$E$29</x:definedName>
    <x:definedName name="_xlnm.Print_Area" localSheetId="1">'Darlehen und Wünsche'!$A$1:$E$26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;(#,##0.00);&quot;-&quot;"/>
    <x:numFmt numFmtId="202" formatCode="0.0%"/>
  </x:numFmts>
  <x:fonts count="9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A5A5A"/>
      <x:name val="Arial"/>
    </x:font>
    <x:font>
      <x:b/>
      <x:sz val="10"/>
      <x:color rgb="FF222222"/>
      <x:name val="Arial"/>
    </x:font>
    <x:font>
      <x:sz val="10"/>
      <x:color rgb="FF111111"/>
      <x:name val="Arial"/>
    </x:font>
    <x:font>
      <x:b/>
      <x:sz val="10"/>
      <x:color rgb="FF111111"/>
      <x:name val="Arial"/>
    </x:font>
    <x:font>
      <x:sz val="10"/>
      <x:color rgb="FF4B5563"/>
      <x:name val="Arial"/>
    </x:font>
    <x:font>
      <x:sz val="10"/>
      <x:color rgb="FF1D4ED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4E8ED"/>
      </x:patternFill>
    </x:fill>
    <x:fill>
      <x:patternFill patternType="solid">
        <x:fgColor rgb="FFF1F3F5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29AA5"/>
      </x:top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4" fillId="3" borderId="1" xfId="0" applyNumberFormat="1" applyFont="1" applyFill="1" applyBorder="1" applyAlignment="1">
      <x:alignment vertical="center"/>
    </x:xf>
    <x:xf numFmtId="201" fontId="6" fillId="3" borderId="1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4" fillId="3" borderId="1" xfId="0" applyNumberFormat="1" applyFont="1" applyFill="1" applyBorder="1" applyAlignment="1">
      <x:alignment horizontal="right" vertical="center"/>
    </x:xf>
    <x:xf numFmtId="201" fontId="6" fillId="3" borderId="1" xfId="0" applyNumberFormat="1" applyFont="1" applyFill="1" applyBorder="1" applyAlignment="1">
      <x:alignment horizontal="right" vertical="center"/>
    </x:xf>
    <x:xf numFmtId="201" fontId="4" fillId="2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horizontal="right" vertical="center"/>
    </x:xf>
    <x:xf numFmtId="20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a891eb0c64857" /><Relationship Type="http://schemas.openxmlformats.org/officeDocument/2006/relationships/theme" Target="/xl/theme/theme1.xml" Id="Rbef752567ce2435a" /><Relationship Type="http://schemas.openxmlformats.org/officeDocument/2006/relationships/sharedStrings" Target="/xl/sharedStrings.xml" Id="R8b25f4e0b7f943c5" /><Relationship Type="http://schemas.openxmlformats.org/officeDocument/2006/relationships/worksheet" Target="/xl/worksheets/sheet1.xml" Id="R720dc671b6f14265" /><Relationship Type="http://schemas.openxmlformats.org/officeDocument/2006/relationships/worksheet" Target="/xl/worksheets/sheet2.xml" Id="Rda0cafaa5e7246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41" hidden="0" customWidth="1"/>
  </x:cols>
  <x:sheetData>
    <x:row r="1" ht="6" customHeight="1">
      <x:c r="A1" s="2"/>
      <x:c r="B1" s="2"/>
      <x:c r="C1" s="2"/>
      <x:c r="D1" s="2"/>
      <x:c r="E1" s="2"/>
    </x:row>
    <x:row r="2" ht="30" customHeight="1">
      <x:c r="A2" s="3" t="str">
        <x:v>Zink und Zunder Fortschreibung der Belege</x:v>
      </x:c>
      <x:c r="B2" s="2"/>
      <x:c r="C2" s="2"/>
      <x:c r="D2" s="2"/>
      <x:c r="E2" s="2"/>
    </x:row>
    <x:row r="3" ht="21" customHeight="1">
      <x:c r="A3" s="4" t="str">
        <x:v>Stand 08.10.2026. Blaue Zahlen: Eingaben. Schwarze Zahlen: Formeln. Belegpfade relativ zum Ordner.</x:v>
      </x:c>
      <x:c r="B3" s="2"/>
      <x:c r="C3" s="2"/>
      <x:c r="D3" s="2"/>
      <x:c r="E3" s="2"/>
    </x:row>
    <x:row r="4" ht="6" customHeight="1">
      <x:c r="A4" s="2"/>
      <x:c r="B4" s="2"/>
      <x:c r="C4" s="2"/>
      <x:c r="D4" s="2"/>
      <x:c r="E4" s="2"/>
    </x:row>
    <x:row r="5" ht="26" customHeight="1">
      <x:c r="A5" s="8" t="str">
        <x:v>Datum oder Position</x:v>
      </x:c>
      <x:c r="B5" s="8" t="str">
        <x:v>Eingang EUR</x:v>
      </x:c>
      <x:c r="C5" s="8" t="str">
        <x:v>Ausgang EUR</x:v>
      </x:c>
      <x:c r="D5" s="8" t="str">
        <x:v>Saldo EUR</x:v>
      </x:c>
      <x:c r="E5" s="8" t="str">
        <x:v>Beleg</x:v>
      </x:c>
    </x:row>
    <x:row r="6" ht="21" customHeight="1">
      <x:c r="A6" s="2" t="str">
        <x:v>30.09.2026 Anfang</x:v>
      </x:c>
      <x:c r="B6" s="24"/>
      <x:c r="C6" s="24"/>
      <x:c r="D6" s="33" t="n">
        <x:v>25000</x:v>
      </x:c>
      <x:c r="E6" s="29" t="str">
        <x:v>../37_Finanzuebersicht.xlsx</x:v>
      </x:c>
    </x:row>
    <x:row r="7" ht="21" customHeight="1">
      <x:c r="A7" s="34" t="n">
        <x:v>46296</x:v>
      </x:c>
      <x:c r="B7" s="33" t="n">
        <x:v>0</x:v>
      </x:c>
      <x:c r="C7" s="33" t="n">
        <x:v>3200</x:v>
      </x:c>
      <x:c r="D7" s="25" t="n">
        <x:f>D6+B7-C7</x:f>
        <x:v>21800</x:v>
      </x:c>
      <x:c r="E7" s="29" t="str">
        <x:v>N01_Gundula_Bank_und_OP.docx</x:v>
      </x:c>
    </x:row>
    <x:row r="8" ht="21" customHeight="1">
      <x:c r="A8" s="34" t="n">
        <x:v>46297</x:v>
      </x:c>
      <x:c r="B8" s="33" t="n">
        <x:v>0</x:v>
      </x:c>
      <x:c r="C8" s="33" t="n">
        <x:v>12000</x:v>
      </x:c>
      <x:c r="D8" s="25" t="n">
        <x:f>D7+B8-C8</x:f>
        <x:v>9800</x:v>
      </x:c>
      <x:c r="E8" s="29" t="str">
        <x:v>N01_Gundula_Bank_und_OP.docx</x:v>
      </x:c>
    </x:row>
    <x:row r="9" ht="21" customHeight="1">
      <x:c r="A9" s="34" t="n">
        <x:v>46300</x:v>
      </x:c>
      <x:c r="B9" s="33" t="n">
        <x:v>18000</x:v>
      </x:c>
      <x:c r="C9" s="33" t="n">
        <x:v>0</x:v>
      </x:c>
      <x:c r="D9" s="25" t="n">
        <x:f>D8+B9-C9</x:f>
        <x:v>27800</x:v>
      </x:c>
      <x:c r="E9" s="29" t="str">
        <x:v>N01_Gundula_Bank_und_OP.docx</x:v>
      </x:c>
    </x:row>
    <x:row r="10" ht="21" customHeight="1">
      <x:c r="A10" s="34" t="n">
        <x:v>46301</x:v>
      </x:c>
      <x:c r="B10" s="33" t="n">
        <x:v>0</x:v>
      </x:c>
      <x:c r="C10" s="33" t="n">
        <x:v>8000</x:v>
      </x:c>
      <x:c r="D10" s="25" t="n">
        <x:f>D9+B10-C10</x:f>
        <x:v>19800</x:v>
      </x:c>
      <x:c r="E10" s="29" t="str">
        <x:v>N01_Gundula_Bank_und_OP.docx</x:v>
      </x:c>
    </x:row>
    <x:row r="11" ht="24" customHeight="1">
      <x:c r="A11" s="14" t="str">
        <x:v>Stand 07.10.2026</x:v>
      </x:c>
      <x:c r="B11" s="26"/>
      <x:c r="C11" s="26"/>
      <x:c r="D11" s="27" t="n">
        <x:f>D10</x:f>
        <x:v>19800</x:v>
      </x:c>
      <x:c r="E11" s="30"/>
    </x:row>
    <x:row r="12" ht="6" customHeight="1">
      <x:c r="A12" s="2"/>
      <x:c r="B12" s="24"/>
      <x:c r="C12" s="24"/>
      <x:c r="D12" s="24"/>
      <x:c r="E12" s="29"/>
    </x:row>
    <x:row r="13" ht="6" customHeight="1">
      <x:c r="A13" s="2"/>
      <x:c r="B13" s="24"/>
      <x:c r="C13" s="24"/>
      <x:c r="D13" s="24"/>
      <x:c r="E13" s="29"/>
    </x:row>
    <x:row r="14" ht="26" customHeight="1">
      <x:c r="A14" s="8" t="str">
        <x:v>OP aus Septemberliste</x:v>
      </x:c>
      <x:c r="B14" s="28" t="str">
        <x:v>Ursprung EUR</x:v>
      </x:c>
      <x:c r="C14" s="28" t="str">
        <x:v>Gezahlt EUR</x:v>
      </x:c>
      <x:c r="D14" s="28" t="str">
        <x:v>Rest EUR</x:v>
      </x:c>
      <x:c r="E14" s="8" t="str">
        <x:v>Quelle / Fälligkeit</x:v>
      </x:c>
    </x:row>
    <x:row r="15" ht="24" customHeight="1">
      <x:c r="A15" s="2" t="str">
        <x:v>Stahlkontor STA-0821</x:v>
      </x:c>
      <x:c r="B15" s="33" t="n">
        <x:v>12000</x:v>
      </x:c>
      <x:c r="C15" s="25" t="n">
        <x:f>C10</x:f>
        <x:v>8000</x:v>
      </x:c>
      <x:c r="D15" s="25" t="n">
        <x:f>B15-C15</x:f>
        <x:v>4000</x:v>
      </x:c>
      <x:c r="E15" s="29" t="str">
        <x:v>N01; ursprünglich 20.09.</x:v>
      </x:c>
    </x:row>
    <x:row r="16" ht="24" customHeight="1">
      <x:c r="A16" s="2" t="str">
        <x:v>Augustmiete Rest</x:v>
      </x:c>
      <x:c r="B16" s="33" t="n">
        <x:v>3200</x:v>
      </x:c>
      <x:c r="C16" s="25" t="n">
        <x:f>C7</x:f>
        <x:v>3200</x:v>
      </x:c>
      <x:c r="D16" s="25" t="n">
        <x:f>B16-C16</x:f>
        <x:v>0</x:v>
      </x:c>
      <x:c r="E16" s="29" t="str">
        <x:v>N01; ursprünglich 05.08.</x:v>
      </x:c>
    </x:row>
    <x:row r="17" ht="24" customHeight="1">
      <x:c r="A17" s="2" t="str">
        <x:v>Steuerbüro STB-0920</x:v>
      </x:c>
      <x:c r="B17" s="33" t="n">
        <x:v>2800</x:v>
      </x:c>
      <x:c r="C17" s="33" t="n">
        <x:v>0</x:v>
      </x:c>
      <x:c r="D17" s="25" t="n">
        <x:f>B17-C17</x:f>
        <x:v>2800</x:v>
      </x:c>
      <x:c r="E17" s="29" t="str">
        <x:v>../37_Finanzuebersicht.xlsx</x:v>
      </x:c>
    </x:row>
    <x:row r="18" ht="24" customHeight="1">
      <x:c r="A18" s="2" t="str">
        <x:v>Energie EN-0722</x:v>
      </x:c>
      <x:c r="B18" s="33" t="n">
        <x:v>1600</x:v>
      </x:c>
      <x:c r="C18" s="33" t="n">
        <x:v>0</x:v>
      </x:c>
      <x:c r="D18" s="25" t="n">
        <x:f>B18-C18</x:f>
        <x:v>1600</x:v>
      </x:c>
      <x:c r="E18" s="29" t="str">
        <x:v>../37_Finanzuebersicht.xlsx</x:v>
      </x:c>
    </x:row>
    <x:row r="19" ht="24" customHeight="1">
      <x:c r="A19" s="2" t="str">
        <x:v>Septemberlöhne Rest</x:v>
      </x:c>
      <x:c r="B19" s="33" t="n">
        <x:v>12000</x:v>
      </x:c>
      <x:c r="C19" s="25" t="n">
        <x:f>C8</x:f>
        <x:v>12000</x:v>
      </x:c>
      <x:c r="D19" s="25" t="n">
        <x:f>B19-C19</x:f>
        <x:v>0</x:v>
      </x:c>
      <x:c r="E19" s="29" t="str">
        <x:v>N01; ursprünglich 30.09.</x:v>
      </x:c>
    </x:row>
    <x:row r="20" ht="24" customHeight="1">
      <x:c r="A20" s="2" t="str">
        <x:v>Beschläge BE-0820</x:v>
      </x:c>
      <x:c r="B20" s="33" t="n">
        <x:v>18400</x:v>
      </x:c>
      <x:c r="C20" s="33" t="n">
        <x:v>0</x:v>
      </x:c>
      <x:c r="D20" s="25" t="n">
        <x:f>B20-C20</x:f>
        <x:v>18400</x:v>
      </x:c>
      <x:c r="E20" s="29" t="str">
        <x:v>../37_Finanzuebersicht.xlsx</x:v>
      </x:c>
    </x:row>
    <x:row r="21" ht="24" customHeight="1">
      <x:c r="A21" s="2" t="str">
        <x:v>Maschinen MA-0915</x:v>
      </x:c>
      <x:c r="B21" s="33" t="n">
        <x:v>25000</x:v>
      </x:c>
      <x:c r="C21" s="33" t="n">
        <x:v>0</x:v>
      </x:c>
      <x:c r="D21" s="25" t="n">
        <x:f>B21-C21</x:f>
        <x:v>25000</x:v>
      </x:c>
      <x:c r="E21" s="29" t="str">
        <x:v>../37_Finanzuebersicht.xlsx; 15.10.</x:v>
      </x:c>
    </x:row>
    <x:row r="22" ht="6" customHeight="1">
      <x:c r="A22" s="2"/>
      <x:c r="B22" s="24"/>
      <x:c r="C22" s="24"/>
      <x:c r="D22" s="24"/>
      <x:c r="E22" s="2"/>
    </x:row>
    <x:row r="23" ht="18" customHeight="1">
      <x:c r="A23" s="2" t="str">
        <x:v>Davon alte fällige Posten</x:v>
      </x:c>
      <x:c r="B23" s="24"/>
      <x:c r="C23" s="24"/>
      <x:c r="D23" s="25" t="n">
        <x:f>SUM(D15:D20)</x:f>
        <x:v>26800</x:v>
      </x:c>
      <x:c r="E23" s="2"/>
    </x:row>
    <x:row r="24" ht="24" customHeight="1">
      <x:c r="A24" s="14" t="str">
        <x:v>Mit Maschinenrechnung</x:v>
      </x:c>
      <x:c r="B24" s="26"/>
      <x:c r="C24" s="26"/>
      <x:c r="D24" s="27" t="n">
        <x:f>SUM(D15:D21)</x:f>
        <x:v>51800</x:v>
      </x:c>
      <x:c r="E24" s="14"/>
    </x:row>
    <x:row r="25" ht="6" customHeight="1">
      <x:c r="A25" s="2"/>
      <x:c r="B25" s="2"/>
      <x:c r="C25" s="2"/>
      <x:c r="D25" s="2"/>
      <x:c r="E25" s="2"/>
    </x:row>
    <x:row r="26" ht="6" customHeight="1">
      <x:c r="A26" s="2"/>
      <x:c r="B26" s="2"/>
      <x:c r="C26" s="2"/>
      <x:c r="D26" s="2"/>
      <x:c r="E26" s="2"/>
    </x:row>
    <x:row r="27" ht="18" customHeight="1">
      <x:c r="A27" s="17" t="str">
        <x:v>N01 bezeichnet N01_Gundula_Bank_und_OP.docx. Oktoberbelege sind noch nicht vollständig ergänzt.</x:v>
      </x:c>
      <x:c r="B27" s="2"/>
      <x:c r="C27" s="2"/>
      <x:c r="D27" s="2"/>
      <x:c r="E27" s="2"/>
    </x:row>
    <x:row r="28" ht="18" customHeight="1">
      <x:c r="A28" s="17" t="str">
        <x:v>Bezahlte Teilbeträge sind mit den Bankzeilen verknüpft; Septembertilgung von 30.000 EUR ist im Anfang enthalten.</x:v>
      </x:c>
      <x:c r="B28" s="2"/>
      <x:c r="C28" s="2"/>
      <x:c r="D28" s="2"/>
      <x:c r="E28" s="2"/>
    </x:row>
    <x:row r="29" ht="18" customHeight="1">
      <x:c r="A29" s="17" t="str">
        <x:v>Weder Stundungen noch zusätzliche Mittel sind bestätigt. Diese Tabelle ist keine vollständige Finanzplanung.</x:v>
      </x:c>
      <x:c r="B29" s="2"/>
      <x:c r="C29" s="2"/>
      <x:c r="D29" s="2"/>
      <x:c r="E29" s="2"/>
    </x:row>
    <x:row r="30" ht="6" customHeight="1">
      <x:c r="A30" s="2"/>
      <x:c r="B30" s="2"/>
      <x:c r="C30" s="2"/>
      <x:c r="D30" s="2"/>
      <x:c r="E30" s="2"/>
    </x:row>
    <x:row r="31" ht="6" customHeight="1">
      <x:c r="A31" s="2"/>
      <x:c r="B31" s="2"/>
      <x:c r="C31" s="2"/>
      <x:c r="D31" s="2"/>
      <x:c r="E31" s="2"/>
    </x:row>
  </x:sheetData>
  <x:pageMargins left="0.28" right="0.28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0" hidden="0" customWidth="1"/>
    <x:col min="5" max="5" width="37" hidden="0" customWidth="1"/>
  </x:cols>
  <x:sheetData>
    <x:row r="1" ht="6" customHeight="1">
      <x:c r="A1" s="2"/>
      <x:c r="B1" s="2"/>
      <x:c r="C1" s="2"/>
      <x:c r="D1" s="2"/>
      <x:c r="E1" s="2"/>
    </x:row>
    <x:row r="2" ht="30" customHeight="1">
      <x:c r="A2" s="3" t="str">
        <x:v>Zink und Zunder Darlehen und Preiswünsche</x:v>
      </x:c>
      <x:c r="B2" s="2"/>
      <x:c r="C2" s="2"/>
      <x:c r="D2" s="2"/>
      <x:c r="E2" s="2"/>
    </x:row>
    <x:row r="3" ht="21" customHeight="1">
      <x:c r="A3" s="4" t="str">
        <x:v>Stand 08.10.2026. Blaue Zahlen: Eingaben. Schwarze Zahlen: Formeln. Belegpfade relativ zum Ordner.</x:v>
      </x:c>
      <x:c r="B3" s="2"/>
      <x:c r="C3" s="2"/>
      <x:c r="D3" s="2"/>
      <x:c r="E3" s="2"/>
    </x:row>
    <x:row r="4" ht="6" customHeight="1">
      <x:c r="A4" s="2"/>
      <x:c r="B4" s="2"/>
      <x:c r="C4" s="2"/>
      <x:c r="D4" s="2"/>
      <x:c r="E4" s="2"/>
    </x:row>
    <x:row r="5" ht="26" customHeight="1">
      <x:c r="A5" s="8" t="str">
        <x:v>Darlehensgeber</x:v>
      </x:c>
      <x:c r="B5" s="8" t="str">
        <x:v>Ausgezahlt EUR</x:v>
      </x:c>
      <x:c r="C5" s="8" t="str">
        <x:v>Tilgung EUR</x:v>
      </x:c>
      <x:c r="D5" s="8" t="str">
        <x:v>Rest EUR</x:v>
      </x:c>
      <x:c r="E5" s="8" t="str">
        <x:v>Beleg</x:v>
      </x:c>
    </x:row>
    <x:row r="6" ht="18" customHeight="1">
      <x:c r="A6" s="2" t="str">
        <x:v>Romy Yilmaz</x:v>
      </x:c>
      <x:c r="B6" s="33" t="n">
        <x:v>60000</x:v>
      </x:c>
      <x:c r="C6" s="33" t="n">
        <x:v>0</x:v>
      </x:c>
      <x:c r="D6" s="25" t="n">
        <x:f>B6-C6</x:f>
        <x:v>60000</x:v>
      </x:c>
      <x:c r="E6" s="29" t="str">
        <x:v>../06_Darlehen_Romy_60000.docx</x:v>
      </x:c>
    </x:row>
    <x:row r="7" ht="18" customHeight="1">
      <x:c r="A7" s="2" t="str">
        <x:v>Kunibert Knopf</x:v>
      </x:c>
      <x:c r="B7" s="33" t="n">
        <x:v>40000</x:v>
      </x:c>
      <x:c r="C7" s="33" t="n">
        <x:v>30000</x:v>
      </x:c>
      <x:c r="D7" s="25" t="n">
        <x:f>B7-C7</x:f>
        <x:v>10000</x:v>
      </x:c>
      <x:c r="E7" s="29" t="str">
        <x:v>../07_Darlehen_Kunibert_40000.docx</x:v>
      </x:c>
    </x:row>
    <x:row r="8" ht="24" customHeight="1">
      <x:c r="A8" s="14" t="str">
        <x:v>Hauptforderung rechnerisch</x:v>
      </x:c>
      <x:c r="B8" s="26"/>
      <x:c r="C8" s="26"/>
      <x:c r="D8" s="27" t="n">
        <x:f>SUM(D6:D7)</x:f>
        <x:v>70000</x:v>
      </x:c>
      <x:c r="E8" s="30"/>
    </x:row>
    <x:row r="9" ht="6" customHeight="1">
      <x:c r="A9" s="2"/>
      <x:c r="B9" s="2"/>
      <x:c r="C9" s="2"/>
      <x:c r="D9" s="2"/>
      <x:c r="E9" s="29"/>
    </x:row>
    <x:row r="10" ht="18" customHeight="1">
      <x:c r="A10" s="17" t="str">
        <x:v>Tilgung Knopf: ../10_Zahlungsnachweis_15_September.docx. Keine weitere Tilgung bis 07.10. gebucht.</x:v>
      </x:c>
      <x:c r="B10" s="2"/>
      <x:c r="C10" s="2"/>
      <x:c r="D10" s="2"/>
      <x:c r="E10" s="29"/>
    </x:row>
    <x:row r="11" ht="18" customHeight="1">
      <x:c r="A11" s="17" t="str">
        <x:v>Zinsen sind nicht in den Hauptforderungen enthalten. Zinszahlung 2025 an Romy: 1.800 EUR, keine Tilgung.</x:v>
      </x:c>
      <x:c r="B11" s="2"/>
      <x:c r="C11" s="2"/>
      <x:c r="D11" s="2"/>
      <x:c r="E11" s="29"/>
    </x:row>
    <x:row r="12" ht="6" customHeight="1">
      <x:c r="A12" s="2"/>
      <x:c r="B12" s="2"/>
      <x:c r="C12" s="2"/>
      <x:c r="D12" s="2"/>
      <x:c r="E12" s="29"/>
    </x:row>
    <x:row r="13" ht="6" customHeight="1">
      <x:c r="A13" s="2"/>
      <x:c r="B13" s="2"/>
      <x:c r="C13" s="2"/>
      <x:c r="D13" s="2"/>
      <x:c r="E13" s="29"/>
    </x:row>
    <x:row r="14" ht="26" customHeight="1">
      <x:c r="A14" s="8" t="str">
        <x:v>Gesprächsposition</x:v>
      </x:c>
      <x:c r="B14" s="8" t="str">
        <x:v>Eingabe EUR</x:v>
      </x:c>
      <x:c r="C14" s="8" t="str">
        <x:v>Einheit</x:v>
      </x:c>
      <x:c r="D14" s="8" t="str">
        <x:v>Rechenwert EUR</x:v>
      </x:c>
      <x:c r="E14" s="8" t="str">
        <x:v>Urheber und Beleg</x:v>
      </x:c>
    </x:row>
    <x:row r="15" ht="30" customHeight="1">
      <x:c r="A15" s="2" t="str">
        <x:v>Hannas erster Gesamtpreis</x:v>
      </x:c>
      <x:c r="B15" s="33" t="n">
        <x:v>150000</x:v>
      </x:c>
      <x:c r="C15" s="2" t="str">
        <x:v>alle Anteile</x:v>
      </x:c>
      <x:c r="D15" s="24"/>
      <x:c r="E15" s="29" t="str">
        <x:v>N05_Hanna_Gespraech_06_Oktober.docx</x:v>
      </x:c>
    </x:row>
    <x:row r="16" ht="30" customHeight="1">
      <x:c r="A16" s="2" t="str">
        <x:v>Romys Wunsch Anteilspreis</x:v>
      </x:c>
      <x:c r="B16" s="33" t="n">
        <x:v>60000</x:v>
      </x:c>
      <x:c r="C16" s="2" t="str">
        <x:v>nur ihr Anteil</x:v>
      </x:c>
      <x:c r="D16" s="24"/>
      <x:c r="E16" s="29" t="str">
        <x:v>N05_Hanna_Gespraech_06_Oktober.docx</x:v>
      </x:c>
    </x:row>
    <x:row r="17" ht="30" customHeight="1">
      <x:c r="A17" s="2" t="str">
        <x:v>Romys Darlehenshauptbetrag</x:v>
      </x:c>
      <x:c r="B17" s="25" t="n">
        <x:f>D6</x:f>
        <x:v>60000</x:v>
      </x:c>
      <x:c r="C17" s="2" t="str">
        <x:v>getrennte Position</x:v>
      </x:c>
      <x:c r="D17" s="24"/>
      <x:c r="E17" s="29" t="str">
        <x:v>Dar­lehen oben, keine Preisannahme</x:v>
      </x:c>
    </x:row>
    <x:row r="18" ht="6" customHeight="1">
      <x:c r="A18" s="2"/>
      <x:c r="B18" s="24"/>
      <x:c r="C18" s="2"/>
      <x:c r="D18" s="24"/>
      <x:c r="E18" s="2"/>
    </x:row>
    <x:row r="19" ht="18" customHeight="1">
      <x:c r="A19" s="2" t="str">
        <x:v>Romys zwei Positionen addiert</x:v>
      </x:c>
      <x:c r="B19" s="24"/>
      <x:c r="C19" s="2"/>
      <x:c r="D19" s="25" t="n">
        <x:f>SUM(B16:B17)</x:f>
        <x:v>120000</x:v>
      </x:c>
      <x:c r="E19" s="2"/>
    </x:row>
    <x:row r="20" ht="18" customHeight="1">
      <x:c r="A20" s="2" t="str">
        <x:v>Romys bisherige Anteilquote</x:v>
      </x:c>
      <x:c r="B20" s="32" t="n">
        <x:v>0.35</x:v>
      </x:c>
      <x:c r="C20" s="2"/>
      <x:c r="D20" s="24"/>
      <x:c r="E20" s="2"/>
    </x:row>
    <x:row r="21" ht="18" customHeight="1">
      <x:c r="A21" s="2" t="str">
        <x:v>Quote mal Hannas Gesprächszahl</x:v>
      </x:c>
      <x:c r="B21" s="2"/>
      <x:c r="C21" s="2"/>
      <x:c r="D21" s="25" t="n">
        <x:f>B15*B20</x:f>
        <x:v>52500</x:v>
      </x:c>
      <x:c r="E21" s="2"/>
    </x:row>
    <x:row r="22" ht="6" customHeight="1">
      <x:c r="A22" s="2"/>
      <x:c r="B22" s="2"/>
      <x:c r="C22" s="2"/>
      <x:c r="D22" s="2"/>
      <x:c r="E22" s="2"/>
    </x:row>
    <x:row r="23" ht="6" customHeight="1">
      <x:c r="A23" s="2"/>
      <x:c r="B23" s="2"/>
      <x:c r="C23" s="2"/>
      <x:c r="D23" s="2"/>
      <x:c r="E23" s="2"/>
    </x:row>
    <x:row r="24" ht="18" customHeight="1">
      <x:c r="A24" s="17" t="str">
        <x:v>Quote mal Gesprächszahl ergibt weder einen Verkehrswert noch eine Abfindung. Keine Einigung über einen Wert.</x:v>
      </x:c>
      <x:c r="B24" s="2"/>
      <x:c r="C24" s="2"/>
      <x:c r="D24" s="2"/>
      <x:c r="E24" s="2"/>
    </x:row>
    <x:row r="25" ht="18" customHeight="1">
      <x:c r="A25" s="17" t="str">
        <x:v>N05: Hanna sagt weder Darlehensübernahme noch Abfindungsfinanzierung zu. Forderungen und Wünsche sind getrennt.</x:v>
      </x:c>
      <x:c r="B25" s="2"/>
      <x:c r="C25" s="2"/>
      <x:c r="D25" s="2"/>
      <x:c r="E25" s="2"/>
    </x:row>
    <x:row r="26" ht="18" customHeight="1">
      <x:c r="A26" s="17" t="str">
        <x:v>Bisherige Quote: ../02_Gesellschaft_und_Personen.docx. Die streitigen Einziehungen sind hier nicht umgesetzt.</x:v>
      </x:c>
      <x:c r="B26" s="2"/>
      <x:c r="C26" s="2"/>
      <x:c r="D26" s="2"/>
      <x:c r="E26" s="2"/>
    </x:row>
    <x:row r="27" ht="6" customHeight="1">
      <x:c r="A27" s="2"/>
      <x:c r="B27" s="2"/>
      <x:c r="C27" s="2"/>
      <x:c r="D27" s="2"/>
      <x:c r="E27" s="2"/>
    </x:row>
    <x:row r="28" ht="6" customHeight="1">
      <x:c r="A28" s="2"/>
      <x:c r="B28" s="2"/>
      <x:c r="C28" s="2"/>
      <x:c r="D28" s="2"/>
      <x:c r="E28" s="2"/>
    </x:row>
  </x:sheetData>
  <x:pageMargins left="0.28" right="0.28" top="0.35" bottom="0.35" header="0.15" footer="0.15"/>
  <x:pageSetup paperSize="9" orientation="landscape" fitToWidth="1" fitToHeight="0"/>
</x:worksheet>
</file>