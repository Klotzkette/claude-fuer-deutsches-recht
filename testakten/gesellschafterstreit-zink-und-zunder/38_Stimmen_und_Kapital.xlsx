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c9af805ad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pitalvorschlag" sheetId="1" r:id="Re8acf13dcb8e4dd2"/>
    <x:sheet xmlns:r="http://schemas.openxmlformats.org/officeDocument/2006/relationships" name="Stimmzettel" sheetId="2" r:id="R900ffa6affb5472a"/>
    <x:sheet xmlns:r="http://schemas.openxmlformats.org/officeDocument/2006/relationships" name="Protokollrechnung" sheetId="3" r:id="Rd1a1882891614f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&quot; &quot;;(#,##0.00)&quot; &quot;;&quot;– &quot;"/>
    <x:numFmt numFmtId="201" formatCode="0.0%&quot; &quot;;(0.0%)&quot; &quot;;&quot;– &quot;"/>
  </x:numFmts>
  <x:fonts count="7">
    <x:font>
      <x:sz val="11"/>
      <x:name val="Carlito"/>
    </x:font>
    <x:font>
      <x:sz val="10"/>
      <x:color rgb="FF172630"/>
      <x:name val="Arial"/>
    </x:font>
    <x:font>
      <x:b/>
      <x:sz val="15"/>
      <x:color rgb="FFFFFFFF"/>
      <x:name val="Arial"/>
    </x:font>
    <x:font>
      <x:sz val="10"/>
      <x:color rgb="FF52636D"/>
      <x:name val="Arial"/>
    </x:font>
    <x:font>
      <x:b/>
      <x:sz val="10"/>
      <x:color rgb="FF172630"/>
      <x:name val="Arial"/>
    </x:font>
    <x:font>
      <x:sz val="10"/>
      <x:color rgb="FF1D4ED8"/>
      <x:name val="Arial"/>
    </x:font>
    <x:font>
      <x:sz val="10"/>
      <x:color rgb="FF16653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63E49"/>
      </x:patternFill>
    </x:fill>
    <x:fill>
      <x:patternFill patternType="solid">
        <x:fgColor rgb="FFE6EDF0"/>
      </x:patternFill>
    </x:fill>
    <x:fill>
      <x:patternFill patternType="solid">
        <x:fgColor rgb="FFEEF4F1"/>
      </x:patternFill>
    </x:fill>
  </x:fills>
  <x:borders count="2">
    <x:border/>
    <x:border>
      <x:top style="thin">
        <x:color rgb="FF8A9B9D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4" fillId="4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4" fillId="4" borderId="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5" fillId="0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200" fontId="4" fillId="4" borderId="1" xfId="0" applyNumberFormat="1" applyFont="1" applyFill="1" applyBorder="1" applyAlignment="1">
      <x:alignment horizontal="right" vertical="center" wrapText="1"/>
    </x:xf>
    <x:xf numFmtId="201" fontId="4" fillId="4" borderId="1" xfId="0" applyNumberFormat="1" applyFont="1" applyFill="1" applyBorder="1" applyAlignment="1">
      <x:alignment horizontal="right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200" fontId="6" fillId="0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32e778019a4074" /><Relationship Type="http://schemas.openxmlformats.org/officeDocument/2006/relationships/theme" Target="/xl/theme/theme1.xml" Id="R2e64ed845ba047e4" /><Relationship Type="http://schemas.openxmlformats.org/officeDocument/2006/relationships/sharedStrings" Target="/xl/sharedStrings.xml" Id="R535ddbeebdfb443d" /><Relationship Type="http://schemas.openxmlformats.org/officeDocument/2006/relationships/worksheet" Target="/xl/worksheets/sheet1.xml" Id="Re8acf13dcb8e4dd2" /><Relationship Type="http://schemas.openxmlformats.org/officeDocument/2006/relationships/worksheet" Target="/xl/worksheets/sheet2.xml" Id="R900ffa6affb5472a" /><Relationship Type="http://schemas.openxmlformats.org/officeDocument/2006/relationships/worksheet" Target="/xl/worksheets/sheet3.xml" Id="Rd1a1882891614f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586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1" hidden="0" customWidth="1"/>
    <x:col min="5" max="5" width="20" hidden="0" customWidth="1"/>
    <x:col min="6" max="6" width="20" hidden="0" customWidth="1"/>
  </x:cols>
  <x:sheetData>
    <x:row r="1" ht="35" customHeight="1">
      <x:c r="A1" s="5" t="str">
        <x:v>Zink &amp; Zunder | Kapitalvorschlag</x:v>
      </x:c>
      <x:c r="B1" s="5"/>
      <x:c r="C1" s="5"/>
      <x:c r="D1" s="5"/>
      <x:c r="E1" s="5"/>
      <x:c r="F1" s="5"/>
    </x:row>
    <x:row r="2" ht="36" customHeight="1">
      <x:c r="A2" s="6" t="str">
        <x:v>Arbeitsrechnung Kunibert Knopf, 08.09.2026 · Bezugsrecht nur für Knopf beantragt · noch nicht vollzogen</x:v>
      </x:c>
      <x:c r="B2" s="6"/>
      <x:c r="C2" s="6"/>
      <x:c r="D2" s="6"/>
      <x:c r="E2" s="6"/>
      <x:c r="F2" s="6"/>
    </x:row>
    <x:row r="3" ht="8" customHeight="1">
      <x:c r="A3" s="3"/>
      <x:c r="B3" s="3"/>
      <x:c r="C3" s="3"/>
      <x:c r="D3" s="3"/>
      <x:c r="E3" s="3"/>
      <x:c r="F3" s="3"/>
    </x:row>
    <x:row r="4" ht="32" customHeight="1">
      <x:c r="A4" s="20" t="str">
        <x:v>Gesellschafter</x:v>
      </x:c>
      <x:c r="B4" s="20" t="str">
        <x:v>Bisher EUR</x:v>
      </x:c>
      <x:c r="C4" s="20" t="str">
        <x:v>Bisher %</x:v>
      </x:c>
      <x:c r="D4" s="20" t="str">
        <x:v>Neue Einlage EUR</x:v>
      </x:c>
      <x:c r="E4" s="20" t="str">
        <x:v>Danach EUR</x:v>
      </x:c>
      <x:c r="F4" s="20" t="str">
        <x:v>Danach %</x:v>
      </x:c>
    </x:row>
    <x:row r="5" ht="25" customHeight="1">
      <x:c r="A5" s="21" t="str">
        <x:v>Kunibert Knopf</x:v>
      </x:c>
      <x:c r="B5" s="22" t="n">
        <x:v>20000</x:v>
      </x:c>
      <x:c r="C5" s="23" t="n">
        <x:f>B5/$B$8</x:f>
        <x:v>0.4</x:v>
      </x:c>
      <x:c r="D5" s="22" t="n">
        <x:v>50000</x:v>
      </x:c>
      <x:c r="E5" s="24" t="n">
        <x:f>B5+D5</x:f>
        <x:v>70000</x:v>
      </x:c>
      <x:c r="F5" s="23" t="n">
        <x:f>E5/$E$8</x:f>
        <x:v>0.7</x:v>
      </x:c>
    </x:row>
    <x:row r="6" ht="25" customHeight="1">
      <x:c r="A6" s="21" t="str">
        <x:v>Romy Yilmaz</x:v>
      </x:c>
      <x:c r="B6" s="22" t="n">
        <x:v>17500</x:v>
      </x:c>
      <x:c r="C6" s="23" t="n">
        <x:f>B6/$B$8</x:f>
        <x:v>0.35</x:v>
      </x:c>
      <x:c r="D6" s="22" t="n">
        <x:v>0</x:v>
      </x:c>
      <x:c r="E6" s="24" t="n">
        <x:f>B6+D6</x:f>
        <x:v>17500</x:v>
      </x:c>
      <x:c r="F6" s="23" t="n">
        <x:f>E6/$E$8</x:f>
        <x:v>0.175</x:v>
      </x:c>
    </x:row>
    <x:row r="7" ht="25" customHeight="1">
      <x:c r="A7" s="21" t="str">
        <x:v>Thekla Spätzle</x:v>
      </x:c>
      <x:c r="B7" s="22" t="n">
        <x:v>12500</x:v>
      </x:c>
      <x:c r="C7" s="23" t="n">
        <x:f>B7/$B$8</x:f>
        <x:v>0.25</x:v>
      </x:c>
      <x:c r="D7" s="22" t="n">
        <x:v>0</x:v>
      </x:c>
      <x:c r="E7" s="24" t="n">
        <x:f>B7+D7</x:f>
        <x:v>12500</x:v>
      </x:c>
      <x:c r="F7" s="23" t="n">
        <x:f>E7/$E$8</x:f>
        <x:v>0.125</x:v>
      </x:c>
    </x:row>
    <x:row r="8" ht="25" customHeight="1">
      <x:c r="A8" s="25" t="str">
        <x:v>Summe</x:v>
      </x:c>
      <x:c r="B8" s="26" t="n">
        <x:f>SUM(B5:B7)</x:f>
        <x:v>50000</x:v>
      </x:c>
      <x:c r="C8" s="27" t="n">
        <x:f>SUM(C5:C7)</x:f>
        <x:v>1</x:v>
      </x:c>
      <x:c r="D8" s="26" t="n">
        <x:f>SUM(D5:D7)</x:f>
        <x:v>50000</x:v>
      </x:c>
      <x:c r="E8" s="26" t="n">
        <x:f>SUM(E5:E7)</x:f>
        <x:v>100000</x:v>
      </x:c>
      <x:c r="F8" s="27" t="n">
        <x:f>SUM(F5:F7)</x:f>
        <x:v>1</x:v>
      </x:c>
    </x:row>
    <x:row r="9" ht="8" customHeight="1">
      <x:c r="A9" s="3"/>
      <x:c r="B9" s="12"/>
      <x:c r="C9" s="3"/>
      <x:c r="D9" s="3"/>
      <x:c r="E9" s="3"/>
      <x:c r="F9" s="3"/>
    </x:row>
    <x:row r="10" ht="8" customHeight="1">
      <x:c r="A10" s="3"/>
      <x:c r="B10" s="12"/>
      <x:c r="C10" s="3"/>
      <x:c r="D10" s="3"/>
      <x:c r="E10" s="3"/>
      <x:c r="F10" s="3"/>
    </x:row>
    <x:row r="11" ht="25" customHeight="1">
      <x:c r="A11" s="21" t="str">
        <x:v>Zusätzliches Aufgeld EUR</x:v>
      </x:c>
      <x:c r="B11" s="22" t="n">
        <x:v>30000</x:v>
      </x:c>
      <x:c r="C11" s="3"/>
      <x:c r="D11" s="3"/>
      <x:c r="E11" s="3"/>
      <x:c r="F11" s="3"/>
    </x:row>
    <x:row r="12" ht="25" customHeight="1">
      <x:c r="A12" s="21" t="str">
        <x:v>Geplanter Mittelzufluss EUR</x:v>
      </x:c>
      <x:c r="B12" s="24" t="n">
        <x:f>D8+B11</x:f>
        <x:v>80000</x:v>
      </x:c>
      <x:c r="C12" s="3"/>
      <x:c r="D12" s="3"/>
      <x:c r="E12" s="3"/>
      <x:c r="F12" s="3"/>
    </x:row>
    <x:row r="13" ht="8" customHeight="1">
      <x:c r="A13" s="3"/>
      <x:c r="B13" s="3"/>
      <x:c r="C13" s="3"/>
      <x:c r="D13" s="3"/>
      <x:c r="E13" s="3"/>
      <x:c r="F13" s="3"/>
    </x:row>
    <x:row r="14" ht="8" customHeight="1">
      <x:c r="A14" s="3"/>
      <x:c r="B14" s="3"/>
      <x:c r="C14" s="3"/>
      <x:c r="D14" s="3"/>
      <x:c r="E14" s="3"/>
      <x:c r="F14" s="3"/>
    </x:row>
    <x:row r="15" ht="38" customHeight="1">
      <x:c r="A15" s="28" t="str">
        <x:v>Knopfs Vorschlag: 50.000 EUR neues Stammkapital und 30.000 EUR Aufgeld. Yilmaz erklärt, dass sie derzeit kein frisches Geld aufbringen könne.</x:v>
      </x:c>
      <x:c r="B15" s="6"/>
      <x:c r="C15" s="6"/>
      <x:c r="D15" s="6"/>
      <x:c r="E15" s="6"/>
      <x:c r="F15" s="6"/>
    </x:row>
    <x:row r="16" ht="8" customHeight="1">
      <x:c r="A16" s="3"/>
      <x:c r="B16" s="3"/>
      <x:c r="C16" s="3"/>
      <x:c r="D16" s="3"/>
      <x:c r="E16" s="3"/>
      <x:c r="F16" s="3"/>
    </x:row>
    <x:row r="17" ht="38" customHeight="1">
      <x:c r="A17" s="28" t="str">
        <x:v>Für alle Abstimmungszettel vom 25.09.2026 werden die bisherigen Anteile verwendet. Die wechselseitigen Einziehungsbeschlüsse sind bestritten.</x:v>
      </x:c>
      <x:c r="B17" s="6"/>
      <x:c r="C17" s="6"/>
      <x:c r="D17" s="6"/>
      <x:c r="E17" s="6"/>
      <x:c r="F17" s="6"/>
    </x:row>
    <x:row r="18" ht="8" customHeight="1">
      <x:c r="A18" s="3"/>
      <x:c r="B18" s="3"/>
      <x:c r="C18" s="3"/>
      <x:c r="D18" s="3"/>
      <x:c r="E18" s="3"/>
      <x:c r="F18" s="3"/>
    </x:row>
    <x:row r="19" ht="38" customHeight="1">
      <x:c r="A19" s="28" t="str">
        <x:v>Notartermin zur Kapitalmaßnahme ist für 09.10.2026 geplant. Bisher keine notarielle Urkunde und keine Registereintragung zu dieser Kapitalerhöhung.</x:v>
      </x:c>
      <x:c r="B19" s="6"/>
      <x:c r="C19" s="6"/>
      <x:c r="D19" s="6"/>
      <x:c r="E19" s="6"/>
      <x:c r="F19" s="6"/>
    </x:row>
  </x:sheetData>
  <x:mergeCells>
    <x:mergeCell ref="A1:F1"/>
    <x:mergeCell ref="A2:F2"/>
    <x:mergeCell ref="A15:F15"/>
    <x:mergeCell ref="A17:F17"/>
    <x:mergeCell ref="A19:F19"/>
  </x:mergeCells>
  <x:pageMargins left="0.3" right="0.3" top="0.35" bottom="0.35" header="0.15" footer="0.15"/>
  <x:pageSetup paperSize="9" orientation="landscape" fitToWidth="1" fitToHeight="1"/>
</x:worksheet>
</file>

<file path=xl/worksheets/sheet2.xml><?xml version="1.0" encoding="utf-8"?>
<x:worksheet xmlns:x="http://schemas.openxmlformats.org/spreadsheetml/2006/main">
  <x:sheetPr>
    <x:tabColor rgb="FF30586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8" hidden="0" customWidth="1"/>
    <x:col min="4" max="4" width="15" hidden="0" customWidth="1"/>
    <x:col min="5" max="5" width="18" hidden="0" customWidth="1"/>
    <x:col min="6" max="6" width="42" hidden="0" customWidth="1"/>
  </x:cols>
  <x:sheetData>
    <x:row r="1" ht="35" customHeight="1">
      <x:c r="A1" s="5" t="str">
        <x:v>Zink &amp; Zunder | Abstimmungsnotizen</x:v>
      </x:c>
      <x:c r="B1" s="5"/>
      <x:c r="C1" s="5"/>
      <x:c r="D1" s="5"/>
      <x:c r="E1" s="5"/>
      <x:c r="F1" s="5"/>
    </x:row>
    <x:row r="2" ht="36" customHeight="1">
      <x:c r="A2" s="6" t="str">
        <x:v>Übertragung der Wortmeldungen durch Thekla Spätzle, 25.09.2026 · Spalte E gibt nur ihre Zählentscheidung wieder</x:v>
      </x:c>
      <x:c r="B2" s="6"/>
      <x:c r="C2" s="6"/>
      <x:c r="D2" s="6"/>
      <x:c r="E2" s="6"/>
      <x:c r="F2" s="6"/>
    </x:row>
    <x:row r="3" ht="8" customHeight="1">
      <x:c r="A3" s="3"/>
      <x:c r="B3" s="3"/>
      <x:c r="C3" s="3"/>
      <x:c r="D3" s="3"/>
      <x:c r="E3" s="3"/>
      <x:c r="F3" s="3"/>
    </x:row>
    <x:row r="4" ht="32" customHeight="1">
      <x:c r="A4" s="20" t="str">
        <x:v>TOP</x:v>
      </x:c>
      <x:c r="B4" s="20" t="str">
        <x:v>Abstimmende Person</x:v>
      </x:c>
      <x:c r="C4" s="20" t="str">
        <x:v>Nominal EUR</x:v>
      </x:c>
      <x:c r="D4" s="20" t="str">
        <x:v>Votum</x:v>
      </x:c>
      <x:c r="E4" s="20" t="str">
        <x:v>Gezählt: 1 / 0</x:v>
      </x:c>
      <x:c r="F4" s="20" t="str">
        <x:v>Notiz der Leitung</x:v>
      </x:c>
    </x:row>
    <x:row r="5" ht="18" customHeight="1">
      <x:c r="A5" s="21" t="str">
        <x:v>Z1</x:v>
      </x:c>
      <x:c r="B5" s="21" t="str">
        <x:v>Kunibert Knopf</x:v>
      </x:c>
      <x:c r="C5" s="29" t="n">
        <x:f>'Kapitalvorschlag'!B5</x:f>
        <x:v>20000</x:v>
      </x:c>
      <x:c r="D5" s="31" t="str">
        <x:v>Ja</x:v>
      </x:c>
      <x:c r="E5" s="32" t="n">
        <x:v>1</x:v>
      </x:c>
      <x:c r="F5" s="21" t="str">
        <x:v>Romy wegen fehlender Finanzierung nicht gezählt</x:v>
      </x:c>
    </x:row>
    <x:row r="6" ht="18" customHeight="1">
      <x:c r="A6" s="21" t="str">
        <x:v>Z1</x:v>
      </x:c>
      <x:c r="B6" s="21" t="str">
        <x:v>Romy Yilmaz</x:v>
      </x:c>
      <x:c r="C6" s="29" t="n">
        <x:f>'Kapitalvorschlag'!B6</x:f>
        <x:v>17500</x:v>
      </x:c>
      <x:c r="D6" s="31" t="str">
        <x:v>Nein</x:v>
      </x:c>
      <x:c r="E6" s="32" t="n">
        <x:v>0</x:v>
      </x:c>
      <x:c r="F6" s="21" t="str"/>
    </x:row>
    <x:row r="7" ht="18" customHeight="1">
      <x:c r="A7" s="21" t="str">
        <x:v>Z1</x:v>
      </x:c>
      <x:c r="B7" s="21" t="str">
        <x:v>Thekla Spätzle</x:v>
      </x:c>
      <x:c r="C7" s="29" t="n">
        <x:f>'Kapitalvorschlag'!B7</x:f>
        <x:v>12500</x:v>
      </x:c>
      <x:c r="D7" s="31" t="str">
        <x:v>Ja</x:v>
      </x:c>
      <x:c r="E7" s="32" t="n">
        <x:v>1</x:v>
      </x:c>
      <x:c r="F7" s="21" t="str"/>
    </x:row>
    <x:row r="8" ht="18" customHeight="1">
      <x:c r="A8" s="21" t="str">
        <x:v>Z2</x:v>
      </x:c>
      <x:c r="B8" s="21" t="str">
        <x:v>Kunibert Knopf</x:v>
      </x:c>
      <x:c r="C8" s="29" t="n">
        <x:f>'Kapitalvorschlag'!B5</x:f>
        <x:v>20000</x:v>
      </x:c>
      <x:c r="D8" s="31" t="str">
        <x:v>Nein</x:v>
      </x:c>
      <x:c r="E8" s="32" t="n">
        <x:v>1</x:v>
      </x:c>
      <x:c r="F8" s="21" t="str">
        <x:v>Kunibert trotz Widerspruch von Romy mitgezählt</x:v>
      </x:c>
    </x:row>
    <x:row r="9" ht="18" customHeight="1">
      <x:c r="A9" s="21" t="str">
        <x:v>Z2</x:v>
      </x:c>
      <x:c r="B9" s="21" t="str">
        <x:v>Romy Yilmaz</x:v>
      </x:c>
      <x:c r="C9" s="29" t="n">
        <x:f>'Kapitalvorschlag'!B6</x:f>
        <x:v>17500</x:v>
      </x:c>
      <x:c r="D9" s="31" t="str">
        <x:v>Ja</x:v>
      </x:c>
      <x:c r="E9" s="32" t="n">
        <x:v>1</x:v>
      </x:c>
      <x:c r="F9" s="21" t="str"/>
    </x:row>
    <x:row r="10" ht="18" customHeight="1">
      <x:c r="A10" s="21" t="str">
        <x:v>Z2</x:v>
      </x:c>
      <x:c r="B10" s="21" t="str">
        <x:v>Thekla Spätzle</x:v>
      </x:c>
      <x:c r="C10" s="29" t="n">
        <x:f>'Kapitalvorschlag'!B7</x:f>
        <x:v>12500</x:v>
      </x:c>
      <x:c r="D10" s="31" t="str">
        <x:v>Enthaltung</x:v>
      </x:c>
      <x:c r="E10" s="32" t="n">
        <x:v>1</x:v>
      </x:c>
      <x:c r="F10" s="21" t="str"/>
    </x:row>
    <x:row r="11" ht="18" customHeight="1">
      <x:c r="A11" s="21" t="str">
        <x:v>Z3</x:v>
      </x:c>
      <x:c r="B11" s="21" t="str">
        <x:v>Kunibert Knopf</x:v>
      </x:c>
      <x:c r="C11" s="29" t="n">
        <x:f>'Kapitalvorschlag'!B5</x:f>
        <x:v>20000</x:v>
      </x:c>
      <x:c r="D11" s="31" t="str">
        <x:v>Nein</x:v>
      </x:c>
      <x:c r="E11" s="32" t="n">
        <x:v>0</x:v>
      </x:c>
      <x:c r="F11" s="21" t="str">
        <x:v>Kunibert nicht gezählt; er widerspricht</x:v>
      </x:c>
    </x:row>
    <x:row r="12" ht="18" customHeight="1">
      <x:c r="A12" s="21" t="str">
        <x:v>Z3</x:v>
      </x:c>
      <x:c r="B12" s="21" t="str">
        <x:v>Romy Yilmaz</x:v>
      </x:c>
      <x:c r="C12" s="29" t="n">
        <x:f>'Kapitalvorschlag'!B6</x:f>
        <x:v>17500</x:v>
      </x:c>
      <x:c r="D12" s="31" t="str">
        <x:v>Ja</x:v>
      </x:c>
      <x:c r="E12" s="32" t="n">
        <x:v>1</x:v>
      </x:c>
      <x:c r="F12" s="21" t="str"/>
    </x:row>
    <x:row r="13" ht="18" customHeight="1">
      <x:c r="A13" s="21" t="str">
        <x:v>Z3</x:v>
      </x:c>
      <x:c r="B13" s="21" t="str">
        <x:v>Thekla Spätzle</x:v>
      </x:c>
      <x:c r="C13" s="29" t="n">
        <x:f>'Kapitalvorschlag'!B7</x:f>
        <x:v>12500</x:v>
      </x:c>
      <x:c r="D13" s="31" t="str">
        <x:v>Ja</x:v>
      </x:c>
      <x:c r="E13" s="32" t="n">
        <x:v>1</x:v>
      </x:c>
      <x:c r="F13" s="21" t="str"/>
    </x:row>
    <x:row r="14" ht="18" customHeight="1">
      <x:c r="A14" s="21" t="str">
        <x:v>Z4</x:v>
      </x:c>
      <x:c r="B14" s="21" t="str">
        <x:v>Kunibert Knopf</x:v>
      </x:c>
      <x:c r="C14" s="29" t="n">
        <x:f>'Kapitalvorschlag'!B5</x:f>
        <x:v>20000</x:v>
      </x:c>
      <x:c r="D14" s="31" t="str">
        <x:v>Ja</x:v>
      </x:c>
      <x:c r="E14" s="32" t="n">
        <x:v>1</x:v>
      </x:c>
      <x:c r="F14" s="21" t="str">
        <x:v>Romy nicht gezählt; sie widerspricht</x:v>
      </x:c>
    </x:row>
    <x:row r="15" ht="18" customHeight="1">
      <x:c r="A15" s="21" t="str">
        <x:v>Z4</x:v>
      </x:c>
      <x:c r="B15" s="21" t="str">
        <x:v>Romy Yilmaz</x:v>
      </x:c>
      <x:c r="C15" s="29" t="n">
        <x:f>'Kapitalvorschlag'!B6</x:f>
        <x:v>17500</x:v>
      </x:c>
      <x:c r="D15" s="31" t="str">
        <x:v>Nein</x:v>
      </x:c>
      <x:c r="E15" s="32" t="n">
        <x:v>0</x:v>
      </x:c>
      <x:c r="F15" s="21" t="str"/>
    </x:row>
    <x:row r="16" ht="18" customHeight="1">
      <x:c r="A16" s="21" t="str">
        <x:v>Z4</x:v>
      </x:c>
      <x:c r="B16" s="21" t="str">
        <x:v>Thekla Spätzle</x:v>
      </x:c>
      <x:c r="C16" s="29" t="n">
        <x:f>'Kapitalvorschlag'!B7</x:f>
        <x:v>12500</x:v>
      </x:c>
      <x:c r="D16" s="31" t="str">
        <x:v>Nein</x:v>
      </x:c>
      <x:c r="E16" s="32" t="n">
        <x:v>1</x:v>
      </x:c>
      <x:c r="F16" s="21" t="str"/>
    </x:row>
    <x:row r="17" ht="18" customHeight="1">
      <x:c r="A17" s="21" t="str">
        <x:v>Z5</x:v>
      </x:c>
      <x:c r="B17" s="21" t="str">
        <x:v>Kunibert Knopf</x:v>
      </x:c>
      <x:c r="C17" s="29" t="n">
        <x:f>'Kapitalvorschlag'!B5</x:f>
        <x:v>20000</x:v>
      </x:c>
      <x:c r="D17" s="31" t="str">
        <x:v>Ja</x:v>
      </x:c>
      <x:c r="E17" s="32" t="n">
        <x:v>1</x:v>
      </x:c>
      <x:c r="F17" s="21" t="str">
        <x:v>Romy nicht gezählt; sie widerspricht</x:v>
      </x:c>
    </x:row>
    <x:row r="18" ht="18" customHeight="1">
      <x:c r="A18" s="21" t="str">
        <x:v>Z5</x:v>
      </x:c>
      <x:c r="B18" s="21" t="str">
        <x:v>Romy Yilmaz</x:v>
      </x:c>
      <x:c r="C18" s="29" t="n">
        <x:f>'Kapitalvorschlag'!B6</x:f>
        <x:v>17500</x:v>
      </x:c>
      <x:c r="D18" s="31" t="str">
        <x:v>Nein</x:v>
      </x:c>
      <x:c r="E18" s="32" t="n">
        <x:v>0</x:v>
      </x:c>
      <x:c r="F18" s="21" t="str"/>
    </x:row>
    <x:row r="19" ht="18" customHeight="1">
      <x:c r="A19" s="21" t="str">
        <x:v>Z5</x:v>
      </x:c>
      <x:c r="B19" s="21" t="str">
        <x:v>Thekla Spätzle</x:v>
      </x:c>
      <x:c r="C19" s="29" t="n">
        <x:f>'Kapitalvorschlag'!B7</x:f>
        <x:v>12500</x:v>
      </x:c>
      <x:c r="D19" s="31" t="str">
        <x:v>Ja</x:v>
      </x:c>
      <x:c r="E19" s="32" t="n">
        <x:v>1</x:v>
      </x:c>
      <x:c r="F19" s="21" t="str"/>
    </x:row>
    <x:row r="20" ht="18" customHeight="1">
      <x:c r="A20" s="21" t="str">
        <x:v>Z6</x:v>
      </x:c>
      <x:c r="B20" s="21" t="str">
        <x:v>Kunibert Knopf</x:v>
      </x:c>
      <x:c r="C20" s="29" t="n">
        <x:f>'Kapitalvorschlag'!B5</x:f>
        <x:v>20000</x:v>
      </x:c>
      <x:c r="D20" s="31" t="str">
        <x:v>Ja</x:v>
      </x:c>
      <x:c r="E20" s="32" t="n">
        <x:v>1</x:v>
      </x:c>
      <x:c r="F20" s="21" t="str">
        <x:v>Alle Stimmen gezählt</x:v>
      </x:c>
    </x:row>
    <x:row r="21" ht="18" customHeight="1">
      <x:c r="A21" s="21" t="str">
        <x:v>Z6</x:v>
      </x:c>
      <x:c r="B21" s="21" t="str">
        <x:v>Romy Yilmaz</x:v>
      </x:c>
      <x:c r="C21" s="29" t="n">
        <x:f>'Kapitalvorschlag'!B6</x:f>
        <x:v>17500</x:v>
      </x:c>
      <x:c r="D21" s="31" t="str">
        <x:v>Nein</x:v>
      </x:c>
      <x:c r="E21" s="32" t="n">
        <x:v>1</x:v>
      </x:c>
      <x:c r="F21" s="21" t="str"/>
    </x:row>
    <x:row r="22" ht="18" customHeight="1">
      <x:c r="A22" s="21" t="str">
        <x:v>Z6</x:v>
      </x:c>
      <x:c r="B22" s="21" t="str">
        <x:v>Thekla Spätzle</x:v>
      </x:c>
      <x:c r="C22" s="29" t="n">
        <x:f>'Kapitalvorschlag'!B7</x:f>
        <x:v>12500</x:v>
      </x:c>
      <x:c r="D22" s="31" t="str">
        <x:v>Ja</x:v>
      </x:c>
      <x:c r="E22" s="32" t="n">
        <x:v>1</x:v>
      </x:c>
      <x:c r="F22" s="21" t="str"/>
    </x:row>
    <x:row r="23" ht="8" customHeight="1">
      <x:c r="A23" s="3"/>
      <x:c r="B23" s="3"/>
      <x:c r="C23" s="3"/>
      <x:c r="D23" s="3"/>
      <x:c r="E23" s="3"/>
      <x:c r="F23" s="3"/>
    </x:row>
    <x:row r="24" ht="26" customHeight="1">
      <x:c r="A24" s="28" t="str">
        <x:v>1 = von der Leiterin gezählt, 0 = von ihr nicht gezählt. Diese Erfassung entscheidet nicht, ob ein Stimmverbot tatsächlich bestand.</x:v>
      </x:c>
      <x:c r="B24" s="6"/>
      <x:c r="C24" s="6"/>
      <x:c r="D24" s="6"/>
      <x:c r="E24" s="6"/>
      <x:c r="F24" s="6"/>
    </x:row>
    <x:row r="25" ht="8" customHeight="1">
      <x:c r="A25" s="3"/>
      <x:c r="B25" s="3"/>
      <x:c r="C25" s="3"/>
      <x:c r="D25" s="3"/>
      <x:c r="E25" s="3"/>
      <x:c r="F25" s="3"/>
    </x:row>
    <x:row r="26" ht="26" customHeight="1">
      <x:c r="A26" s="28" t="str">
        <x:v>Z7: Nur Auskunftsauftrag zum Darlehensvorgang und Beirat, keine Genehmigung oder Entlastung. Dazu keine Stimmzählung in dieser Datei.</x:v>
      </x:c>
      <x:c r="B26" s="6"/>
      <x:c r="C26" s="6"/>
      <x:c r="D26" s="6"/>
      <x:c r="E26" s="6"/>
      <x:c r="F26" s="6"/>
    </x:row>
  </x:sheetData>
  <x:mergeCells>
    <x:mergeCell ref="A1:F1"/>
    <x:mergeCell ref="A2:F2"/>
    <x:mergeCell ref="A24:F24"/>
    <x:mergeCell ref="A26:F26"/>
  </x:mergeCells>
  <x:dataValidations count="1">
    <x:dataValidation type="whole" operator="between" sqref="E5:E22">
      <x:formula1>0</x:formula1>
      <x:formula2>1</x:formula2>
    </x:dataValidation>
  </x:dataValidations>
  <x:pageMargins left="0.3" right="0.3" top="0.35" bottom="0.35" header="0.15" footer="0.15"/>
  <x:pageSetup paperSize="9" orientation="landscape" fitToWidth="1" fitToHeight="1"/>
</x:worksheet>
</file>

<file path=xl/worksheets/sheet3.xml><?xml version="1.0" encoding="utf-8"?>
<x:worksheet xmlns:x="http://schemas.openxmlformats.org/spreadsheetml/2006/main">
  <x:sheetPr>
    <x:tabColor rgb="FF30586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3" hidden="0" customWidth="1"/>
    <x:col min="3" max="3" width="15" hidden="0" customWidth="1"/>
    <x:col min="4" max="4" width="15" hidden="0" customWidth="1"/>
    <x:col min="5" max="5" width="13" hidden="0" customWidth="1"/>
    <x:col min="6" max="6" width="24" hidden="0" customWidth="1"/>
    <x:col min="7" max="7" width="28" hidden="0" customWidth="1"/>
  </x:cols>
  <x:sheetData>
    <x:row r="1" ht="35" customHeight="1">
      <x:c r="A1" s="5" t="str">
        <x:v>Zink &amp; Zunder | Rechnung zur Niederschrift</x:v>
      </x:c>
      <x:c r="B1" s="5"/>
      <x:c r="C1" s="5"/>
      <x:c r="D1" s="5"/>
      <x:c r="E1" s="5"/>
      <x:c r="F1" s="5"/>
      <x:c r="G1" s="5"/>
    </x:row>
    <x:row r="2" ht="36" customHeight="1">
      <x:c r="A2" s="6" t="str">
        <x:v>Rechenblatt zur Niederschrift vom 25.09.2026 · die Feststellungen sind streitig</x:v>
      </x:c>
      <x:c r="B2" s="6"/>
      <x:c r="C2" s="6"/>
      <x:c r="D2" s="6"/>
      <x:c r="E2" s="6"/>
      <x:c r="F2" s="6"/>
      <x:c r="G2" s="6"/>
    </x:row>
    <x:row r="3" ht="8" customHeight="1">
      <x:c r="A3" s="3"/>
      <x:c r="B3" s="3"/>
      <x:c r="C3" s="3"/>
      <x:c r="D3" s="3"/>
      <x:c r="E3" s="3"/>
      <x:c r="F3" s="3"/>
      <x:c r="G3" s="3"/>
    </x:row>
    <x:row r="4" ht="32" customHeight="1">
      <x:c r="A4" s="20" t="str">
        <x:v>TOP</x:v>
      </x:c>
      <x:c r="B4" s="20" t="str">
        <x:v>Antrag</x:v>
      </x:c>
      <x:c r="C4" s="20" t="str">
        <x:v>Ja gezählt EUR</x:v>
      </x:c>
      <x:c r="D4" s="20" t="str">
        <x:v>Nein gezählt EUR</x:v>
      </x:c>
      <x:c r="E4" s="20" t="str">
        <x:v>Ja / Ja+Nein</x:v>
      </x:c>
      <x:c r="F4" s="20" t="str">
        <x:v>Feststellung Thekla</x:v>
      </x:c>
      <x:c r="G4" s="20" t="str">
        <x:v>Widerspruch / Vermerk</x:v>
      </x:c>
    </x:row>
    <x:row r="5" ht="44" customHeight="1">
      <x:c r="A5" s="21" t="str">
        <x:v>Z1</x:v>
      </x:c>
      <x:c r="B5" s="21" t="str">
        <x:v>Kapitalerhöhung / Bezugsrechtsausschluss</x:v>
      </x:c>
      <x:c r="C5" s="29" t="n">
        <x:f>SUMIFS('Stimmzettel'!$C$5:$C$22,'Stimmzettel'!$A$5:$A$22,A5,'Stimmzettel'!$D$5:$D$22,"Ja",'Stimmzettel'!$E$5:$E$22,1)</x:f>
        <x:v>32500</x:v>
      </x:c>
      <x:c r="D5" s="29" t="n">
        <x:f>SUMIFS('Stimmzettel'!$C$5:$C$22,'Stimmzettel'!$A$5:$A$22,A5,'Stimmzettel'!$D$5:$D$22,"Nein",'Stimmzettel'!$E$5:$E$22,1)</x:f>
        <x:v>0</x:v>
      </x:c>
      <x:c r="E5" s="23" t="n">
        <x:f>IF(C5+D5=0,0,C5/(C5+D5))</x:f>
        <x:v>1</x:v>
      </x:c>
      <x:c r="F5" s="21" t="str">
        <x:v>angenommen</x:v>
      </x:c>
      <x:c r="G5" s="21" t="str">
        <x:v>Romy: Stimmrecht und Finanzierung</x:v>
      </x:c>
    </x:row>
    <x:row r="6" ht="44" customHeight="1">
      <x:c r="A6" s="21" t="str">
        <x:v>Z2</x:v>
      </x:c>
      <x:c r="B6" s="21" t="str">
        <x:v>Kunibert als Geschäftsführer abberufen</x:v>
      </x:c>
      <x:c r="C6" s="29" t="n">
        <x:f>SUMIFS('Stimmzettel'!$C$5:$C$22,'Stimmzettel'!$A$5:$A$22,A6,'Stimmzettel'!$D$5:$D$22,"Ja",'Stimmzettel'!$E$5:$E$22,1)</x:f>
        <x:v>17500</x:v>
      </x:c>
      <x:c r="D6" s="29" t="n">
        <x:f>SUMIFS('Stimmzettel'!$C$5:$C$22,'Stimmzettel'!$A$5:$A$22,A6,'Stimmzettel'!$D$5:$D$22,"Nein",'Stimmzettel'!$E$5:$E$22,1)</x:f>
        <x:v>20000</x:v>
      </x:c>
      <x:c r="E6" s="23" t="n">
        <x:f>IF(C6+D6=0,0,C6/(C6+D6))</x:f>
        <x:v>0.4666666666666667</x:v>
      </x:c>
      <x:c r="F6" s="21" t="str">
        <x:v>abgelehnt</x:v>
      </x:c>
      <x:c r="G6" s="21" t="str">
        <x:v>Romy: Kunibert sei ausgeschlossen</x:v>
      </x:c>
    </x:row>
    <x:row r="7" ht="44" customHeight="1">
      <x:c r="A7" s="21" t="str">
        <x:v>Z3</x:v>
      </x:c>
      <x:c r="B7" s="21" t="str">
        <x:v>Kuniberts Anteile einziehen</x:v>
      </x:c>
      <x:c r="C7" s="29" t="n">
        <x:f>SUMIFS('Stimmzettel'!$C$5:$C$22,'Stimmzettel'!$A$5:$A$22,A7,'Stimmzettel'!$D$5:$D$22,"Ja",'Stimmzettel'!$E$5:$E$22,1)</x:f>
        <x:v>30000</x:v>
      </x:c>
      <x:c r="D7" s="29" t="n">
        <x:f>SUMIFS('Stimmzettel'!$C$5:$C$22,'Stimmzettel'!$A$5:$A$22,A7,'Stimmzettel'!$D$5:$D$22,"Nein",'Stimmzettel'!$E$5:$E$22,1)</x:f>
        <x:v>0</x:v>
      </x:c>
      <x:c r="E7" s="23" t="n">
        <x:f>IF(C7+D7=0,0,C7/(C7+D7))</x:f>
        <x:v>1</x:v>
      </x:c>
      <x:c r="F7" s="21" t="str">
        <x:v>vorläufig angenommen</x:v>
      </x:c>
      <x:c r="G7" s="21" t="str">
        <x:v>Kunibert widerspricht</x:v>
      </x:c>
    </x:row>
    <x:row r="8" ht="44" customHeight="1">
      <x:c r="A8" s="21" t="str">
        <x:v>Z4</x:v>
      </x:c>
      <x:c r="B8" s="21" t="str">
        <x:v>Romy als Geschäftsführerin abberufen</x:v>
      </x:c>
      <x:c r="C8" s="29" t="n">
        <x:f>SUMIFS('Stimmzettel'!$C$5:$C$22,'Stimmzettel'!$A$5:$A$22,A8,'Stimmzettel'!$D$5:$D$22,"Ja",'Stimmzettel'!$E$5:$E$22,1)</x:f>
        <x:v>20000</x:v>
      </x:c>
      <x:c r="D8" s="29" t="n">
        <x:f>SUMIFS('Stimmzettel'!$C$5:$C$22,'Stimmzettel'!$A$5:$A$22,A8,'Stimmzettel'!$D$5:$D$22,"Nein",'Stimmzettel'!$E$5:$E$22,1)</x:f>
        <x:v>12500</x:v>
      </x:c>
      <x:c r="E8" s="23" t="n">
        <x:f>IF(C8+D8=0,0,C8/(C8+D8))</x:f>
        <x:v>0.6153846153846154</x:v>
      </x:c>
      <x:c r="F8" s="21" t="str">
        <x:v>vorläufig angenommen</x:v>
      </x:c>
      <x:c r="G8" s="21" t="str">
        <x:v>Romy widerspricht</x:v>
      </x:c>
    </x:row>
    <x:row r="9" ht="44" customHeight="1">
      <x:c r="A9" s="21" t="str">
        <x:v>Z5</x:v>
      </x:c>
      <x:c r="B9" s="21" t="str">
        <x:v>Romys Anteile einziehen</x:v>
      </x:c>
      <x:c r="C9" s="29" t="n">
        <x:f>SUMIFS('Stimmzettel'!$C$5:$C$22,'Stimmzettel'!$A$5:$A$22,A9,'Stimmzettel'!$D$5:$D$22,"Ja",'Stimmzettel'!$E$5:$E$22,1)</x:f>
        <x:v>32500</x:v>
      </x:c>
      <x:c r="D9" s="29" t="n">
        <x:f>SUMIFS('Stimmzettel'!$C$5:$C$22,'Stimmzettel'!$A$5:$A$22,A9,'Stimmzettel'!$D$5:$D$22,"Nein",'Stimmzettel'!$E$5:$E$22,1)</x:f>
        <x:v>0</x:v>
      </x:c>
      <x:c r="E9" s="23" t="n">
        <x:f>IF(C9+D9=0,0,C9/(C9+D9))</x:f>
        <x:v>1</x:v>
      </x:c>
      <x:c r="F9" s="21" t="str">
        <x:v>vorläufig angenommen</x:v>
      </x:c>
      <x:c r="G9" s="21" t="str">
        <x:v>Romy widerspricht</x:v>
      </x:c>
    </x:row>
    <x:row r="10" ht="44" customHeight="1">
      <x:c r="A10" s="21" t="str">
        <x:v>Z6</x:v>
      </x:c>
      <x:c r="B10" s="21" t="str">
        <x:v>Gesamten Anteilsverkauf an Hanna Blech billigen</x:v>
      </x:c>
      <x:c r="C10" s="29" t="n">
        <x:f>SUMIFS('Stimmzettel'!$C$5:$C$22,'Stimmzettel'!$A$5:$A$22,A10,'Stimmzettel'!$D$5:$D$22,"Ja",'Stimmzettel'!$E$5:$E$22,1)</x:f>
        <x:v>32500</x:v>
      </x:c>
      <x:c r="D10" s="29" t="n">
        <x:f>SUMIFS('Stimmzettel'!$C$5:$C$22,'Stimmzettel'!$A$5:$A$22,A10,'Stimmzettel'!$D$5:$D$22,"Nein",'Stimmzettel'!$E$5:$E$22,1)</x:f>
        <x:v>17500</x:v>
      </x:c>
      <x:c r="E10" s="23" t="n">
        <x:f>IF(C10+D10=0,0,C10/(C10+D10))</x:f>
        <x:v>0.65</x:v>
      </x:c>
      <x:c r="F10" s="21" t="str">
        <x:v>abgelehnt</x:v>
      </x:c>
      <x:c r="G10" s="21" t="str">
        <x:v>75 % laut Satzung verlangt</x:v>
      </x:c>
    </x:row>
    <x:row r="11" ht="8" customHeight="1">
      <x:c r="A11" s="3"/>
      <x:c r="B11" s="3"/>
      <x:c r="C11" s="3"/>
      <x:c r="D11" s="3"/>
      <x:c r="E11" s="3"/>
      <x:c r="F11" s="3"/>
      <x:c r="G11" s="3"/>
    </x:row>
    <x:row r="12" ht="38" customHeight="1">
      <x:c r="A12" s="28" t="str">
        <x:v>Die Quote folgt nur der Auswahl in „Stimmzettel“. Enthaltungen sind in dieser Rechenquote nicht enthalten. Beschlussmehrheit und Wirksamkeit sind damit nicht geprüft.</x:v>
      </x:c>
      <x:c r="B12" s="6"/>
      <x:c r="C12" s="6"/>
      <x:c r="D12" s="6"/>
      <x:c r="E12" s="6"/>
      <x:c r="F12" s="6"/>
      <x:c r="G12" s="6"/>
    </x:row>
    <x:row r="13" ht="8" customHeight="1">
      <x:c r="A13" s="3"/>
      <x:c r="B13" s="3"/>
      <x:c r="C13" s="3"/>
      <x:c r="D13" s="3"/>
      <x:c r="E13" s="3"/>
      <x:c r="F13" s="3"/>
      <x:c r="G13" s="3"/>
    </x:row>
    <x:row r="14" ht="38" customHeight="1">
      <x:c r="A14" s="28" t="str">
        <x:v>Z3 bis Z5 wurden nicht vollzogen. Keine neue Gesellschafterliste eingereicht. Kein Ergebnis wird hier automatisch als wirksam oder unwirksam bezeichnet.</x:v>
      </x:c>
      <x:c r="B14" s="6"/>
      <x:c r="C14" s="6"/>
      <x:c r="D14" s="6"/>
      <x:c r="E14" s="6"/>
      <x:c r="F14" s="6"/>
      <x:c r="G14" s="6"/>
    </x:row>
    <x:row r="15" ht="8" customHeight="1">
      <x:c r="A15" s="3"/>
      <x:c r="B15" s="3"/>
      <x:c r="C15" s="3"/>
      <x:c r="D15" s="3"/>
      <x:c r="E15" s="3"/>
      <x:c r="F15" s="3"/>
      <x:c r="G15" s="3"/>
    </x:row>
  </x:sheetData>
  <x:mergeCells>
    <x:mergeCell ref="A1:G1"/>
    <x:mergeCell ref="A2:G2"/>
    <x:mergeCell ref="A12:G12"/>
    <x:mergeCell ref="A14:G14"/>
  </x:mergeCells>
  <x:pageMargins left="0.3" right="0.3" top="0.35" bottom="0.35" header="0.15" footer="0.15"/>
  <x:pageSetup paperSize="9" orientation="landscape" fitToWidth="1" fitToHeight="1"/>
</x:worksheet>
</file>