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f4abf27ea40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September" sheetId="1" r:id="R0f88668ee7d94449"/>
    <x:sheet xmlns:r="http://schemas.openxmlformats.org/officeDocument/2006/relationships" name="Offene Posten" sheetId="2" r:id="R22e14ce67da848e6"/>
    <x:sheet xmlns:r="http://schemas.openxmlformats.org/officeDocument/2006/relationships" name="Bilanz und Darlehen" sheetId="3" r:id="R4f386a19bc8b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&quot; &quot;;(#,##0.00)&quot; &quot;;&quot;– &quot;"/>
    <x:numFmt numFmtId="202" formatCode="0.0%&quot; &quot;;(0.0%)&quot; &quot;;&quot;– &quot;"/>
  </x:numFmts>
  <x:fonts count="7">
    <x:font>
      <x:sz val="11"/>
      <x:name val="Carlito"/>
    </x:font>
    <x:font>
      <x:sz val="10"/>
      <x:color rgb="FF172630"/>
      <x:name val="Arial"/>
    </x:font>
    <x:font>
      <x:b/>
      <x:sz val="15"/>
      <x:color rgb="FFFFFFFF"/>
      <x:name val="Arial"/>
    </x:font>
    <x:font>
      <x:sz val="10"/>
      <x:color rgb="FF52636D"/>
      <x:name val="Arial"/>
    </x:font>
    <x:font>
      <x:b/>
      <x:sz val="10"/>
      <x:color rgb="FF172630"/>
      <x:name val="Arial"/>
    </x:font>
    <x:font>
      <x:sz val="10"/>
      <x:color rgb="FF1D4ED8"/>
      <x:name val="Arial"/>
    </x:font>
    <x:font>
      <x:sz val="10"/>
      <x:color rgb="FF16653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E49"/>
      </x:patternFill>
    </x:fill>
    <x:fill>
      <x:patternFill patternType="solid">
        <x:fgColor rgb="FFE6EDF0"/>
      </x:patternFill>
    </x:fill>
    <x:fill>
      <x:patternFill patternType="solid">
        <x:fgColor rgb="FFEEF4F1"/>
      </x:patternFill>
    </x:fill>
  </x:fills>
  <x:borders count="2">
    <x:border/>
    <x:border>
      <x:top style="thin">
        <x:color rgb="FF8A9B9D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1" fontId="5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201" fontId="4" fillId="4" borderId="1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202" fontId="5" fillId="0" borderId="0" xfId="0" applyNumberFormat="1" applyFont="1" applyFill="1" applyBorder="1" applyAlignment="1">
      <x:alignment horizontal="right" vertical="center" wrapText="1"/>
    </x:xf>
    <x:xf numFmtId="201" fontId="6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a60377923d4e4e" /><Relationship Type="http://schemas.openxmlformats.org/officeDocument/2006/relationships/theme" Target="/xl/theme/theme1.xml" Id="R9680b6eadab04057" /><Relationship Type="http://schemas.openxmlformats.org/officeDocument/2006/relationships/sharedStrings" Target="/xl/sharedStrings.xml" Id="R08727165d9964f1e" /><Relationship Type="http://schemas.openxmlformats.org/officeDocument/2006/relationships/worksheet" Target="/xl/worksheets/sheet1.xml" Id="R0f88668ee7d94449" /><Relationship Type="http://schemas.openxmlformats.org/officeDocument/2006/relationships/worksheet" Target="/xl/worksheets/sheet2.xml" Id="R22e14ce67da848e6" /><Relationship Type="http://schemas.openxmlformats.org/officeDocument/2006/relationships/worksheet" Target="/xl/worksheets/sheet3.xml" Id="R4f386a19bc8b45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0586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41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5" customHeight="1">
      <x:c r="A1" s="5" t="str">
        <x:v>Zink &amp; Zunder | Bankbewegungen</x:v>
      </x:c>
      <x:c r="B1" s="5"/>
      <x:c r="C1" s="5"/>
      <x:c r="D1" s="5"/>
      <x:c r="E1" s="5"/>
      <x:c r="F1" s="5"/>
    </x:row>
    <x:row r="2" ht="36" customHeight="1">
      <x:c r="A2" s="6" t="str">
        <x:v>Auszug der Buchhaltung, 30.09.2026 · Konto Werkstatt · Beträge in EUR</x:v>
      </x:c>
      <x:c r="B2" s="6"/>
      <x:c r="C2" s="6"/>
      <x:c r="D2" s="6"/>
      <x:c r="E2" s="6"/>
      <x:c r="F2" s="6"/>
    </x:row>
    <x:row r="3" ht="8" customHeight="1">
      <x:c r="A3" s="3"/>
      <x:c r="B3" s="3"/>
      <x:c r="C3" s="3"/>
      <x:c r="D3" s="3"/>
      <x:c r="E3" s="3"/>
      <x:c r="F3" s="3"/>
    </x:row>
    <x:row r="4" ht="32" customHeight="1">
      <x:c r="A4" s="21" t="str">
        <x:v>Buchung</x:v>
      </x:c>
      <x:c r="B4" s="21" t="str">
        <x:v>Beleg</x:v>
      </x:c>
      <x:c r="C4" s="21" t="str">
        <x:v>Verwendungszweck</x:v>
      </x:c>
      <x:c r="D4" s="21" t="str">
        <x:v>Eingang EUR</x:v>
      </x:c>
      <x:c r="E4" s="21" t="str">
        <x:v>Ausgang EUR</x:v>
      </x:c>
      <x:c r="F4" s="21" t="str">
        <x:v>Saldo EUR</x:v>
      </x:c>
    </x:row>
    <x:row r="5" ht="25" customHeight="1">
      <x:c r="A5" s="30" t="n">
        <x:v>46266</x:v>
      </x:c>
      <x:c r="B5" s="22" t="str">
        <x:v>EB-09</x:v>
      </x:c>
      <x:c r="C5" s="22" t="str">
        <x:v>Übertrag aus August</x:v>
      </x:c>
      <x:c r="D5" s="13"/>
      <x:c r="E5" s="13"/>
      <x:c r="F5" s="23" t="n">
        <x:v>42000</x:v>
      </x:c>
    </x:row>
    <x:row r="6" ht="25" customHeight="1">
      <x:c r="A6" s="30" t="n">
        <x:v>46267</x:v>
      </x:c>
      <x:c r="B6" s="22" t="str">
        <x:v>B-0902</x:v>
      </x:c>
      <x:c r="C6" s="22" t="str">
        <x:v>Septembermiete</x:v>
      </x:c>
      <x:c r="D6" s="23" t="n">
        <x:v>0</x:v>
      </x:c>
      <x:c r="E6" s="23" t="n">
        <x:v>3200</x:v>
      </x:c>
      <x:c r="F6" s="24" t="n">
        <x:f>F5+D6-E6</x:f>
        <x:v>38800</x:v>
      </x:c>
    </x:row>
    <x:row r="7" ht="25" customHeight="1">
      <x:c r="A7" s="30" t="n">
        <x:v>46269</x:v>
      </x:c>
      <x:c r="B7" s="22" t="str">
        <x:v>B-0904</x:v>
      </x:c>
      <x:c r="C7" s="22" t="str">
        <x:v>Altbogen – Teilzahlung</x:v>
      </x:c>
      <x:c r="D7" s="23" t="n">
        <x:v>28000</x:v>
      </x:c>
      <x:c r="E7" s="23" t="n">
        <x:v>0</x:v>
      </x:c>
      <x:c r="F7" s="24" t="n">
        <x:f>F6+D7-E7</x:f>
        <x:v>66800</x:v>
      </x:c>
    </x:row>
    <x:row r="8" ht="25" customHeight="1">
      <x:c r="A8" s="30" t="n">
        <x:v>46272</x:v>
      </x:c>
      <x:c r="B8" s="22" t="str">
        <x:v>B-0907</x:v>
      </x:c>
      <x:c r="C8" s="22" t="str">
        <x:v>Stahl – Sammelzahlung</x:v>
      </x:c>
      <x:c r="D8" s="23" t="n">
        <x:v>0</x:v>
      </x:c>
      <x:c r="E8" s="23" t="n">
        <x:v>18500</x:v>
      </x:c>
      <x:c r="F8" s="24" t="n">
        <x:f>F7+D8-E8</x:f>
        <x:v>48300</x:v>
      </x:c>
    </x:row>
    <x:row r="9" ht="25" customHeight="1">
      <x:c r="A9" s="30" t="n">
        <x:v>46275</x:v>
      </x:c>
      <x:c r="B9" s="22" t="str">
        <x:v>B-0910</x:v>
      </x:c>
      <x:c r="C9" s="22" t="str">
        <x:v>Augustlöhne, Sammelauftrag</x:v>
      </x:c>
      <x:c r="D9" s="23" t="n">
        <x:v>0</x:v>
      </x:c>
      <x:c r="E9" s="23" t="n">
        <x:v>24000</x:v>
      </x:c>
      <x:c r="F9" s="24" t="n">
        <x:f>F8+D9-E9</x:f>
        <x:v>24300</x:v>
      </x:c>
    </x:row>
    <x:row r="10" ht="25" customHeight="1">
      <x:c r="A10" s="30" t="n">
        <x:v>46277</x:v>
      </x:c>
      <x:c r="B10" s="22" t="str">
        <x:v>B-0912</x:v>
      </x:c>
      <x:c r="C10" s="22" t="str">
        <x:v>Treppenhof – Abschlag</x:v>
      </x:c>
      <x:c r="D10" s="23" t="n">
        <x:v>19000</x:v>
      </x:c>
      <x:c r="E10" s="23" t="n">
        <x:v>0</x:v>
      </x:c>
      <x:c r="F10" s="24" t="n">
        <x:f>F9+D10-E10</x:f>
        <x:v>43300</x:v>
      </x:c>
    </x:row>
    <x:row r="11" ht="25" customHeight="1">
      <x:c r="A11" s="30" t="n">
        <x:v>46280</x:v>
      </x:c>
      <x:c r="B11" s="22" t="str">
        <x:v>B-0915</x:v>
      </x:c>
      <x:c r="C11" s="22" t="str">
        <x:v>Teilrückzahlung Darlehen Knopf</x:v>
      </x:c>
      <x:c r="D11" s="23" t="n">
        <x:v>0</x:v>
      </x:c>
      <x:c r="E11" s="23" t="n">
        <x:v>30000</x:v>
      </x:c>
      <x:c r="F11" s="24" t="n">
        <x:f>F10+D11-E11</x:f>
        <x:v>13300</x:v>
      </x:c>
    </x:row>
    <x:row r="12" ht="25" customHeight="1">
      <x:c r="A12" s="30" t="n">
        <x:v>46283</x:v>
      </x:c>
      <x:c r="B12" s="22" t="str">
        <x:v>B-0918</x:v>
      </x:c>
      <x:c r="C12" s="22" t="str">
        <x:v>Werkstattreparatur</x:v>
      </x:c>
      <x:c r="D12" s="23" t="n">
        <x:v>0</x:v>
      </x:c>
      <x:c r="E12" s="23" t="n">
        <x:v>4200</x:v>
      </x:c>
      <x:c r="F12" s="24" t="n">
        <x:f>F11+D12-E12</x:f>
        <x:v>9100</x:v>
      </x:c>
    </x:row>
    <x:row r="13" ht="25" customHeight="1">
      <x:c r="A13" s="30" t="n">
        <x:v>46287</x:v>
      </x:c>
      <x:c r="B13" s="22" t="str">
        <x:v>B-0922</x:v>
      </x:c>
      <x:c r="C13" s="22" t="str">
        <x:v>Hoflicht – Schlusszahlung</x:v>
      </x:c>
      <x:c r="D13" s="23" t="n">
        <x:v>27000</x:v>
      </x:c>
      <x:c r="E13" s="23" t="n">
        <x:v>0</x:v>
      </x:c>
      <x:c r="F13" s="24" t="n">
        <x:f>F12+D13-E13</x:f>
        <x:v>36100</x:v>
      </x:c>
    </x:row>
    <x:row r="14" ht="25" customHeight="1">
      <x:c r="A14" s="30" t="n">
        <x:v>46289</x:v>
      </x:c>
      <x:c r="B14" s="22" t="str">
        <x:v>B-0924</x:v>
      </x:c>
      <x:c r="C14" s="22" t="str">
        <x:v>Umsatzsteuer</x:v>
      </x:c>
      <x:c r="D14" s="23" t="n">
        <x:v>0</x:v>
      </x:c>
      <x:c r="E14" s="23" t="n">
        <x:v>7800</x:v>
      </x:c>
      <x:c r="F14" s="24" t="n">
        <x:f>F13+D14-E14</x:f>
        <x:v>28300</x:v>
      </x:c>
    </x:row>
    <x:row r="15" ht="25" customHeight="1">
      <x:c r="A15" s="30" t="n">
        <x:v>46290</x:v>
      </x:c>
      <x:c r="B15" s="22" t="str">
        <x:v>B-0925</x:v>
      </x:c>
      <x:c r="C15" s="22" t="str">
        <x:v>Werkzeugrechnung</x:v>
      </x:c>
      <x:c r="D15" s="23" t="n">
        <x:v>0</x:v>
      </x:c>
      <x:c r="E15" s="23" t="n">
        <x:v>1300</x:v>
      </x:c>
      <x:c r="F15" s="24" t="n">
        <x:f>F14+D15-E15</x:f>
        <x:v>27000</x:v>
      </x:c>
    </x:row>
    <x:row r="16" ht="25" customHeight="1">
      <x:c r="A16" s="30" t="n">
        <x:v>46295</x:v>
      </x:c>
      <x:c r="B16" s="22" t="str">
        <x:v>B-0930</x:v>
      </x:c>
      <x:c r="C16" s="22" t="str">
        <x:v>Energieabschlag</x:v>
      </x:c>
      <x:c r="D16" s="23" t="n">
        <x:v>0</x:v>
      </x:c>
      <x:c r="E16" s="23" t="n">
        <x:v>2000</x:v>
      </x:c>
      <x:c r="F16" s="24" t="n">
        <x:f>F15+D16-E16</x:f>
        <x:v>25000</x:v>
      </x:c>
    </x:row>
    <x:row r="17" ht="8" customHeight="1">
      <x:c r="A17" s="3"/>
      <x:c r="B17" s="3"/>
      <x:c r="C17" s="3"/>
      <x:c r="D17" s="13"/>
      <x:c r="E17" s="13"/>
      <x:c r="F17" s="13"/>
    </x:row>
    <x:row r="18" ht="25" customHeight="1">
      <x:c r="A18" s="11"/>
      <x:c r="B18" s="11"/>
      <x:c r="C18" s="25" t="str">
        <x:v>September gesamt / Schlussbestand</x:v>
      </x:c>
      <x:c r="D18" s="26" t="n">
        <x:f>SUM(D6:D16)</x:f>
        <x:v>74000</x:v>
      </x:c>
      <x:c r="E18" s="26" t="n">
        <x:f>SUM(E6:E16)</x:f>
        <x:v>91000</x:v>
      </x:c>
      <x:c r="F18" s="26" t="n">
        <x:f>F16</x:f>
        <x:v>25000</x:v>
      </x:c>
    </x:row>
    <x:row r="19" ht="8" customHeight="1">
      <x:c r="A19" s="3"/>
      <x:c r="B19" s="3"/>
      <x:c r="C19" s="3"/>
      <x:c r="D19" s="3"/>
      <x:c r="E19" s="3"/>
      <x:c r="F19" s="3"/>
    </x:row>
    <x:row r="20" ht="38" customHeight="1">
      <x:c r="A20" s="27" t="str">
        <x:v>Quelle: Buchungsexport von Gundula Pfennig. Zahlungseingänge sind keine Umsatzaufstellung. Darlehensrückzahlung ist kein Aufwand.</x:v>
      </x:c>
      <x:c r="B20" s="6"/>
      <x:c r="C20" s="6"/>
      <x:c r="D20" s="6"/>
      <x:c r="E20" s="6"/>
      <x:c r="F20" s="6"/>
    </x:row>
    <x:row r="21" ht="38" customHeight="1">
      <x:c r="A21" s="27" t="str">
        <x:v>Diese Liste enthält nur die genannten Bankbewegungen. Andere Konten, Kreditlinien, Stundungen und die Fälligkeit einzelner Ansprüche sind nicht bestätigt.</x:v>
      </x:c>
      <x:c r="B21" s="6"/>
      <x:c r="C21" s="6"/>
      <x:c r="D21" s="6"/>
      <x:c r="E21" s="6"/>
      <x:c r="F21" s="6"/>
    </x:row>
  </x:sheetData>
  <x:mergeCells>
    <x:mergeCell ref="A1:F1"/>
    <x:mergeCell ref="A2:F2"/>
    <x:mergeCell ref="A20:F20"/>
    <x:mergeCell ref="A21:F21"/>
  </x:mergeCells>
  <x:pageMargins left="0.3" right="0.3" top="0.35" bottom="0.35" header="0.15" footer="0.15"/>
  <x:pageSetup paperSize="9" orientation="landscape" fitToWidth="1" fitToHeight="1"/>
</x:worksheet>
</file>

<file path=xl/worksheets/sheet2.xml><?xml version="1.0" encoding="utf-8"?>
<x:worksheet xmlns:x="http://schemas.openxmlformats.org/spreadsheetml/2006/main">
  <x:sheetPr>
    <x:tabColor rgb="FF30586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4" hidden="0" customWidth="1"/>
    <x:col min="3" max="3" width="19" hidden="0" customWidth="1"/>
    <x:col min="4" max="4" width="19" hidden="0" customWidth="1"/>
    <x:col min="5" max="5" width="20" hidden="0" customWidth="1"/>
    <x:col min="6" max="6" width="18" hidden="0" customWidth="1"/>
  </x:cols>
  <x:sheetData>
    <x:row r="1" ht="35" customHeight="1">
      <x:c r="A1" s="5" t="str">
        <x:v>Zink &amp; Zunder | Noch zu bezahlen</x:v>
      </x:c>
      <x:c r="B1" s="5"/>
      <x:c r="C1" s="5"/>
      <x:c r="D1" s="5"/>
      <x:c r="E1" s="5"/>
      <x:c r="F1" s="5"/>
    </x:row>
    <x:row r="2" ht="36" customHeight="1">
      <x:c r="A2" s="6" t="str">
        <x:v>Interne Liste von Gundula Pfennig · Stand 30.09.2026 · kein geprüfter Abschluss</x:v>
      </x:c>
      <x:c r="B2" s="6"/>
      <x:c r="C2" s="6"/>
      <x:c r="D2" s="6"/>
      <x:c r="E2" s="6"/>
      <x:c r="F2" s="6"/>
    </x:row>
    <x:row r="3" ht="8" customHeight="1">
      <x:c r="A3" s="3"/>
      <x:c r="B3" s="3"/>
      <x:c r="C3" s="3"/>
      <x:c r="D3" s="3"/>
      <x:c r="E3" s="3"/>
      <x:c r="F3" s="3"/>
    </x:row>
    <x:row r="4" ht="32" customHeight="1">
      <x:c r="A4" s="21" t="str">
        <x:v>Beleg</x:v>
      </x:c>
      <x:c r="B4" s="21" t="str">
        <x:v>Gläubiger / Anlass</x:v>
      </x:c>
      <x:c r="C4" s="21" t="str">
        <x:v>Fälligkeit</x:v>
      </x:c>
      <x:c r="D4" s="21" t="str">
        <x:v>Betrag EUR</x:v>
      </x:c>
      <x:c r="E4" s="21" t="str">
        <x:v>Bis Stichtag EUR</x:v>
      </x:c>
      <x:c r="F4" s="21" t="str">
        <x:v>Später EUR</x:v>
      </x:c>
    </x:row>
    <x:row r="5" ht="25" customHeight="1">
      <x:c r="A5" s="22" t="str">
        <x:v>STA-0821</x:v>
      </x:c>
      <x:c r="B5" s="22" t="str">
        <x:v>Stahlkontor Nord</x:v>
      </x:c>
      <x:c r="C5" s="12" t="n">
        <x:v>46285</x:v>
      </x:c>
      <x:c r="D5" s="23" t="n">
        <x:v>12000</x:v>
      </x:c>
      <x:c r="E5" s="24" t="n">
        <x:f>IF(C5&lt;=$D$15,D5,0)</x:f>
        <x:v>12000</x:v>
      </x:c>
      <x:c r="F5" s="24" t="n">
        <x:f>D5-E5</x:f>
        <x:v>0</x:v>
      </x:c>
    </x:row>
    <x:row r="6" ht="25" customHeight="1">
      <x:c r="A6" s="22" t="str">
        <x:v>MI-08</x:v>
      </x:c>
      <x:c r="B6" s="22" t="str">
        <x:v>Augustmiete – Rest</x:v>
      </x:c>
      <x:c r="C6" s="12" t="n">
        <x:v>46239</x:v>
      </x:c>
      <x:c r="D6" s="23" t="n">
        <x:v>3200</x:v>
      </x:c>
      <x:c r="E6" s="24" t="n">
        <x:f>IF(C6&lt;=$D$15,D6,0)</x:f>
        <x:v>3200</x:v>
      </x:c>
      <x:c r="F6" s="24" t="n">
        <x:f>D6-E6</x:f>
        <x:v>0</x:v>
      </x:c>
    </x:row>
    <x:row r="7" ht="25" customHeight="1">
      <x:c r="A7" s="22" t="str">
        <x:v>STB-0920</x:v>
      </x:c>
      <x:c r="B7" s="22" t="str">
        <x:v>Steuerbüro – Honorar</x:v>
      </x:c>
      <x:c r="C7" s="12" t="n">
        <x:v>46292</x:v>
      </x:c>
      <x:c r="D7" s="23" t="n">
        <x:v>2800</x:v>
      </x:c>
      <x:c r="E7" s="24" t="n">
        <x:f>IF(C7&lt;=$D$15,D7,0)</x:f>
        <x:v>2800</x:v>
      </x:c>
      <x:c r="F7" s="24" t="n">
        <x:f>D7-E7</x:f>
        <x:v>0</x:v>
      </x:c>
    </x:row>
    <x:row r="8" ht="25" customHeight="1">
      <x:c r="A8" s="22" t="str">
        <x:v>EN-0722</x:v>
      </x:c>
      <x:c r="B8" s="22" t="str">
        <x:v>Energie – Nachzahlung</x:v>
      </x:c>
      <x:c r="C8" s="12" t="n">
        <x:v>46280</x:v>
      </x:c>
      <x:c r="D8" s="23" t="n">
        <x:v>1600</x:v>
      </x:c>
      <x:c r="E8" s="24" t="n">
        <x:f>IF(C8&lt;=$D$15,D8,0)</x:f>
        <x:v>1600</x:v>
      </x:c>
      <x:c r="F8" s="24" t="n">
        <x:f>D8-E8</x:f>
        <x:v>0</x:v>
      </x:c>
    </x:row>
    <x:row r="9" ht="25" customHeight="1">
      <x:c r="A9" s="22" t="str">
        <x:v>LO-09</x:v>
      </x:c>
      <x:c r="B9" s="22" t="str">
        <x:v>Septemberlöhne – offener Teil</x:v>
      </x:c>
      <x:c r="C9" s="12" t="n">
        <x:v>46295</x:v>
      </x:c>
      <x:c r="D9" s="23" t="n">
        <x:v>12000</x:v>
      </x:c>
      <x:c r="E9" s="24" t="n">
        <x:f>IF(C9&lt;=$D$15,D9,0)</x:f>
        <x:v>12000</x:v>
      </x:c>
      <x:c r="F9" s="24" t="n">
        <x:f>D9-E9</x:f>
        <x:v>0</x:v>
      </x:c>
    </x:row>
    <x:row r="10" ht="25" customHeight="1">
      <x:c r="A10" s="22" t="str">
        <x:v>BE-0820</x:v>
      </x:c>
      <x:c r="B10" s="22" t="str">
        <x:v>Beschläge Sammelrechnung</x:v>
      </x:c>
      <x:c r="C10" s="12" t="n">
        <x:v>46293</x:v>
      </x:c>
      <x:c r="D10" s="23" t="n">
        <x:v>18400</x:v>
      </x:c>
      <x:c r="E10" s="24" t="n">
        <x:f>IF(C10&lt;=$D$15,D10,0)</x:f>
        <x:v>18400</x:v>
      </x:c>
      <x:c r="F10" s="24" t="n">
        <x:f>D10-E10</x:f>
        <x:v>0</x:v>
      </x:c>
    </x:row>
    <x:row r="11" ht="25" customHeight="1">
      <x:c r="A11" s="22" t="str">
        <x:v>MA-0915</x:v>
      </x:c>
      <x:c r="B11" s="22" t="str">
        <x:v>Maschinenlieferung</x:v>
      </x:c>
      <x:c r="C11" s="12" t="n">
        <x:v>46310</x:v>
      </x:c>
      <x:c r="D11" s="23" t="n">
        <x:v>25000</x:v>
      </x:c>
      <x:c r="E11" s="24" t="n">
        <x:f>IF(C11&lt;=$D$15,D11,0)</x:f>
        <x:v>0</x:v>
      </x:c>
      <x:c r="F11" s="24" t="n">
        <x:f>D11-E11</x:f>
        <x:v>25000</x:v>
      </x:c>
    </x:row>
    <x:row r="12" ht="8" customHeight="1">
      <x:c r="A12" s="3"/>
      <x:c r="B12" s="3"/>
      <x:c r="C12" s="3"/>
      <x:c r="D12" s="13"/>
      <x:c r="E12" s="13"/>
      <x:c r="F12" s="13"/>
    </x:row>
    <x:row r="13" ht="25" customHeight="1">
      <x:c r="A13" s="11"/>
      <x:c r="B13" s="25" t="str">
        <x:v>Offene Beträge</x:v>
      </x:c>
      <x:c r="C13" s="11"/>
      <x:c r="D13" s="26" t="n">
        <x:f>SUM(D5:D11)</x:f>
        <x:v>75000</x:v>
      </x:c>
      <x:c r="E13" s="26" t="n">
        <x:f>SUM(E5:E11)</x:f>
        <x:v>50000</x:v>
      </x:c>
      <x:c r="F13" s="26" t="n">
        <x:f>SUM(F5:F11)</x:f>
        <x:v>25000</x:v>
      </x:c>
    </x:row>
    <x:row r="14" ht="8" customHeight="1">
      <x:c r="A14" s="3"/>
      <x:c r="B14" s="3"/>
      <x:c r="C14" s="3"/>
      <x:c r="D14" s="3"/>
      <x:c r="E14" s="3"/>
      <x:c r="F14" s="3"/>
    </x:row>
    <x:row r="15" ht="25" customHeight="1">
      <x:c r="A15" s="3"/>
      <x:c r="B15" s="3"/>
      <x:c r="C15" s="22" t="str">
        <x:v>Stichtag</x:v>
      </x:c>
      <x:c r="D15" s="16" t="n">
        <x:v>46295</x:v>
      </x:c>
      <x:c r="E15" s="3"/>
      <x:c r="F15" s="3"/>
    </x:row>
    <x:row r="16" ht="8" customHeight="1">
      <x:c r="A16" s="3"/>
      <x:c r="B16" s="3"/>
      <x:c r="C16" s="3"/>
      <x:c r="D16" s="3"/>
      <x:c r="E16" s="3"/>
      <x:c r="F16" s="3"/>
    </x:row>
    <x:row r="17" ht="38" customHeight="1">
      <x:c r="A17" s="27" t="str">
        <x:v>Quelle: OP-Liste 30.09.2026. Der Oktober-Maschinenposten wird gesondert gezeigt. Die Bankliste enthält bereits bezahlte Vorgänge.</x:v>
      </x:c>
      <x:c r="B17" s="6"/>
      <x:c r="C17" s="6"/>
      <x:c r="D17" s="6"/>
      <x:c r="E17" s="6"/>
      <x:c r="F17" s="6"/>
    </x:row>
    <x:row r="18" ht="38" customHeight="1">
      <x:c r="A18" s="27" t="str">
        <x:v>Buchhaltungsvermerk: Über strittige Rechnungen, weitere Mittel oder wirksame Zahlungsaufschübe liegen mir noch keine vollständigen Unterlagen vor.</x:v>
      </x:c>
      <x:c r="B18" s="6"/>
      <x:c r="C18" s="6"/>
      <x:c r="D18" s="6"/>
      <x:c r="E18" s="6"/>
      <x:c r="F18" s="6"/>
    </x:row>
  </x:sheetData>
  <x:mergeCells>
    <x:mergeCell ref="A1:F1"/>
    <x:mergeCell ref="A2:F2"/>
    <x:mergeCell ref="A17:F17"/>
    <x:mergeCell ref="A18:F18"/>
  </x:mergeCells>
  <x:pageMargins left="0.3" right="0.3" top="0.35" bottom="0.35" header="0.15" footer="0.15"/>
  <x:pageSetup paperSize="9" orientation="landscape" fitToWidth="1" fitToHeight="1"/>
</x:worksheet>
</file>

<file path=xl/worksheets/sheet3.xml><?xml version="1.0" encoding="utf-8"?>
<x:worksheet xmlns:x="http://schemas.openxmlformats.org/spreadsheetml/2006/main">
  <x:sheetPr>
    <x:tabColor rgb="FF30586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26" hidden="0" customWidth="1"/>
    <x:col min="4" max="4" width="20" hidden="0" customWidth="1"/>
    <x:col min="5" max="5" width="19" hidden="0" customWidth="1"/>
    <x:col min="6" max="6" width="18" hidden="0" customWidth="1"/>
  </x:cols>
  <x:sheetData>
    <x:row r="1" ht="35" customHeight="1">
      <x:c r="A1" s="5" t="str">
        <x:v>Zink &amp; Zunder | Bilanznotiz und Darlehen</x:v>
      </x:c>
      <x:c r="B1" s="5"/>
      <x:c r="C1" s="5"/>
      <x:c r="D1" s="5"/>
      <x:c r="E1" s="5"/>
      <x:c r="F1" s="5"/>
    </x:row>
    <x:row r="2" ht="36" customHeight="1">
      <x:c r="A2" s="6" t="str">
        <x:v>Bilanzwerte 31.08.2026, Darlehensbewegungen bis 30.09.2026 · EUR · intern und ungeprüft</x:v>
      </x:c>
      <x:c r="B2" s="6"/>
      <x:c r="C2" s="6"/>
      <x:c r="D2" s="6"/>
      <x:c r="E2" s="6"/>
      <x:c r="F2" s="6"/>
    </x:row>
    <x:row r="3" ht="8" customHeight="1">
      <x:c r="A3" s="3"/>
      <x:c r="B3" s="3"/>
      <x:c r="C3" s="3"/>
      <x:c r="D3" s="3"/>
      <x:c r="E3" s="3"/>
      <x:c r="F3" s="3"/>
    </x:row>
    <x:row r="4" ht="32" customHeight="1">
      <x:c r="A4" s="21" t="str">
        <x:v>Aktiva 31.08.</x:v>
      </x:c>
      <x:c r="B4" s="21" t="str">
        <x:v>EUR</x:v>
      </x:c>
      <x:c r="C4" s="21" t="str">
        <x:v>Passiva 31.08.</x:v>
      </x:c>
      <x:c r="D4" s="21" t="str">
        <x:v>EUR</x:v>
      </x:c>
      <x:c r="E4" s="21" t="str">
        <x:v>Quelle</x:v>
      </x:c>
      <x:c r="F4" s="21" t="str">
        <x:v>Stand</x:v>
      </x:c>
    </x:row>
    <x:row r="5" ht="17" customHeight="1">
      <x:c r="A5" s="22" t="str">
        <x:v>Anlagevermögen</x:v>
      </x:c>
      <x:c r="B5" s="23" t="n">
        <x:v>90000</x:v>
      </x:c>
      <x:c r="C5" s="22" t="str">
        <x:v>Stammkapital</x:v>
      </x:c>
      <x:c r="D5" s="23" t="n">
        <x:v>50000</x:v>
      </x:c>
      <x:c r="E5" s="22" t="str">
        <x:v>BWA/Bilanznotiz</x:v>
      </x:c>
      <x:c r="F5" s="22" t="str">
        <x:v>31.08.2026</x:v>
      </x:c>
    </x:row>
    <x:row r="6" ht="17" customHeight="1">
      <x:c r="A6" s="22" t="str">
        <x:v>Vorräte</x:v>
      </x:c>
      <x:c r="B6" s="23" t="n">
        <x:v>48000</x:v>
      </x:c>
      <x:c r="C6" s="22" t="str">
        <x:v>Verlustvortrag</x:v>
      </x:c>
      <x:c r="D6" s="23" t="n">
        <x:v>-18000</x:v>
      </x:c>
      <x:c r="E6" s="22" t="str">
        <x:v>intern</x:v>
      </x:c>
      <x:c r="F6" s="22" t="str">
        <x:v>31.08.2026</x:v>
      </x:c>
    </x:row>
    <x:row r="7" ht="17" customHeight="1">
      <x:c r="A7" s="22" t="str">
        <x:v>Forderungen</x:v>
      </x:c>
      <x:c r="B7" s="23" t="n">
        <x:v>77000</x:v>
      </x:c>
      <x:c r="C7" s="22" t="str">
        <x:v>Laufender Verlust</x:v>
      </x:c>
      <x:c r="D7" s="23" t="n">
        <x:v>-25000</x:v>
      </x:c>
      <x:c r="E7" s="22" t="str">
        <x:v>intern</x:v>
      </x:c>
      <x:c r="F7" s="22" t="str">
        <x:v>31.08.2026</x:v>
      </x:c>
    </x:row>
    <x:row r="8" ht="17" customHeight="1">
      <x:c r="A8" s="22" t="str">
        <x:v>Bank</x:v>
      </x:c>
      <x:c r="B8" s="23" t="n">
        <x:v>42000</x:v>
      </x:c>
      <x:c r="C8" s="22" t="str">
        <x:v>Gesellschafterdarlehen</x:v>
      </x:c>
      <x:c r="D8" s="23" t="n">
        <x:v>100000</x:v>
      </x:c>
      <x:c r="E8" s="22" t="str">
        <x:v>intern</x:v>
      </x:c>
      <x:c r="F8" s="22" t="str">
        <x:v>31.08.2026</x:v>
      </x:c>
    </x:row>
    <x:row r="9" ht="17" customHeight="1">
      <x:c r="A9" s="3"/>
      <x:c r="B9" s="13"/>
      <x:c r="C9" s="22" t="str">
        <x:v>Bankverbindlichkeiten</x:v>
      </x:c>
      <x:c r="D9" s="23" t="n">
        <x:v>50000</x:v>
      </x:c>
      <x:c r="E9" s="22" t="str">
        <x:v>intern</x:v>
      </x:c>
      <x:c r="F9" s="22" t="str">
        <x:v>31.08.2026</x:v>
      </x:c>
    </x:row>
    <x:row r="10" ht="17" customHeight="1">
      <x:c r="A10" s="3"/>
      <x:c r="B10" s="13"/>
      <x:c r="C10" s="22" t="str">
        <x:v>Lieferanten</x:v>
      </x:c>
      <x:c r="D10" s="23" t="n">
        <x:v>70000</x:v>
      </x:c>
      <x:c r="E10" s="22" t="str">
        <x:v>intern</x:v>
      </x:c>
      <x:c r="F10" s="22" t="str">
        <x:v>31.08.2026</x:v>
      </x:c>
    </x:row>
    <x:row r="11" ht="17" customHeight="1">
      <x:c r="A11" s="3"/>
      <x:c r="B11" s="13"/>
      <x:c r="C11" s="22" t="str">
        <x:v>Sonstige Verbindlichkeiten</x:v>
      </x:c>
      <x:c r="D11" s="23" t="n">
        <x:v>30000</x:v>
      </x:c>
      <x:c r="E11" s="22" t="str">
        <x:v>intern</x:v>
      </x:c>
      <x:c r="F11" s="22" t="str">
        <x:v>31.08.2026</x:v>
      </x:c>
    </x:row>
    <x:row r="12" ht="17" customHeight="1">
      <x:c r="A12" s="25" t="str">
        <x:v>Summe Aktiva</x:v>
      </x:c>
      <x:c r="B12" s="26" t="n">
        <x:f>SUM(B5:B8)</x:f>
        <x:v>257000</x:v>
      </x:c>
      <x:c r="C12" s="25" t="str">
        <x:v>Summe Passiva</x:v>
      </x:c>
      <x:c r="D12" s="26" t="n">
        <x:f>SUM(D5:D11)</x:f>
        <x:v>257000</x:v>
      </x:c>
      <x:c r="E12" s="11"/>
      <x:c r="F12" s="11"/>
    </x:row>
    <x:row r="13" ht="17" customHeight="1">
      <x:c r="A13" s="3"/>
      <x:c r="B13" s="3"/>
      <x:c r="C13" s="3"/>
      <x:c r="D13" s="13"/>
      <x:c r="E13" s="3"/>
      <x:c r="F13" s="3"/>
    </x:row>
    <x:row r="14" ht="17" customHeight="1">
      <x:c r="A14" s="3"/>
      <x:c r="B14" s="3"/>
      <x:c r="C14" s="22" t="str">
        <x:v>Eigenkapital laut Notiz</x:v>
      </x:c>
      <x:c r="D14" s="24" t="n">
        <x:f>SUM(D5:D7)</x:f>
        <x:v>7000</x:v>
      </x:c>
      <x:c r="E14" s="3"/>
      <x:c r="F14" s="3"/>
    </x:row>
    <x:row r="15" ht="8" customHeight="1">
      <x:c r="A15" s="3"/>
      <x:c r="B15" s="3"/>
      <x:c r="C15" s="3"/>
      <x:c r="D15" s="3"/>
      <x:c r="E15" s="3"/>
      <x:c r="F15" s="3"/>
    </x:row>
    <x:row r="16" ht="8" customHeight="1">
      <x:c r="A16" s="3"/>
      <x:c r="B16" s="3"/>
      <x:c r="C16" s="3"/>
      <x:c r="D16" s="3"/>
      <x:c r="E16" s="3"/>
      <x:c r="F16" s="3"/>
    </x:row>
    <x:row r="17" ht="32" customHeight="1">
      <x:c r="A17" s="21" t="str">
        <x:v>Darlehensgeber</x:v>
      </x:c>
      <x:c r="B17" s="21" t="str">
        <x:v>Zugang EUR</x:v>
      </x:c>
      <x:c r="C17" s="21" t="str">
        <x:v>Auszahlung an GmbH</x:v>
      </x:c>
      <x:c r="D17" s="21" t="str">
        <x:v>Rückzahlung EUR</x:v>
      </x:c>
      <x:c r="E17" s="21" t="str">
        <x:v>Restkapital EUR</x:v>
      </x:c>
      <x:c r="F17" s="21" t="str">
        <x:v>Zinssatz p.a.</x:v>
      </x:c>
    </x:row>
    <x:row r="18" ht="18" customHeight="1">
      <x:c r="A18" s="22" t="str">
        <x:v>Romy Yilmaz</x:v>
      </x:c>
      <x:c r="B18" s="23" t="n">
        <x:v>60000</x:v>
      </x:c>
      <x:c r="C18" s="30" t="n">
        <x:v>45667</x:v>
      </x:c>
      <x:c r="D18" s="23" t="n">
        <x:v>0</x:v>
      </x:c>
      <x:c r="E18" s="24" t="n">
        <x:f>B18-D18</x:f>
        <x:v>60000</x:v>
      </x:c>
      <x:c r="F18" s="28" t="n">
        <x:v>0.03</x:v>
      </x:c>
    </x:row>
    <x:row r="19" ht="18" customHeight="1">
      <x:c r="A19" s="22" t="str">
        <x:v>Kunibert Knopf</x:v>
      </x:c>
      <x:c r="B19" s="23" t="n">
        <x:v>40000</x:v>
      </x:c>
      <x:c r="C19" s="30" t="n">
        <x:v>46174</x:v>
      </x:c>
      <x:c r="D19" s="29" t="n">
        <x:f>'Bank September'!E11</x:f>
        <x:v>30000</x:v>
      </x:c>
      <x:c r="E19" s="24" t="n">
        <x:f>B19-D19</x:f>
        <x:v>10000</x:v>
      </x:c>
      <x:c r="F19" s="28" t="n">
        <x:v>0.04</x:v>
      </x:c>
    </x:row>
    <x:row r="20" ht="18" customHeight="1">
      <x:c r="A20" s="25" t="str">
        <x:v>Restkapital gesamt</x:v>
      </x:c>
      <x:c r="B20" s="11"/>
      <x:c r="C20" s="11"/>
      <x:c r="D20" s="14"/>
      <x:c r="E20" s="26" t="n">
        <x:f>SUM(E18:E19)</x:f>
        <x:v>70000</x:v>
      </x:c>
      <x:c r="F20" s="11"/>
    </x:row>
    <x:row r="21" ht="8" customHeight="1">
      <x:c r="A21" s="3"/>
      <x:c r="B21" s="3"/>
      <x:c r="C21" s="3"/>
      <x:c r="D21" s="3"/>
      <x:c r="E21" s="3"/>
      <x:c r="F21" s="3"/>
    </x:row>
    <x:row r="22" ht="26" customHeight="1">
      <x:c r="A22" s="27" t="str">
        <x:v>Zinsbeleg 30.12.2025: Zahlung an Romy Yilmaz 1.800 EUR. Für 2026 ist keine Zinszahlung erfasst. Abgrenzung und Abrechnung laut Steuerbüro noch zu klären.</x:v>
      </x:c>
      <x:c r="B22" s="6"/>
      <x:c r="C22" s="6"/>
      <x:c r="D22" s="6"/>
      <x:c r="E22" s="6"/>
      <x:c r="F22" s="6"/>
    </x:row>
    <x:row r="23" ht="8" customHeight="1">
      <x:c r="A23" s="3"/>
      <x:c r="B23" s="3"/>
      <x:c r="C23" s="3"/>
      <x:c r="D23" s="3"/>
      <x:c r="E23" s="3"/>
      <x:c r="F23" s="3"/>
    </x:row>
    <x:row r="24" ht="26" customHeight="1">
      <x:c r="A24" s="27" t="str">
        <x:v>30.000 EUR an Kunibert Knopf am 15.09.2026: aus Bank September übernommen. Es handelt sich laut Buchungstext um Kapitalrückzahlung, nicht um Zins oder laufenden Aufwand.</x:v>
      </x:c>
      <x:c r="B24" s="6"/>
      <x:c r="C24" s="6"/>
      <x:c r="D24" s="6"/>
      <x:c r="E24" s="6"/>
      <x:c r="F24" s="6"/>
    </x:row>
    <x:row r="25" ht="8" customHeight="1">
      <x:c r="A25" s="3"/>
      <x:c r="B25" s="3"/>
      <x:c r="C25" s="3"/>
      <x:c r="D25" s="3"/>
      <x:c r="E25" s="3"/>
      <x:c r="F25" s="3"/>
    </x:row>
    <x:row r="26" ht="26" customHeight="1">
      <x:c r="A26" s="27" t="str">
        <x:v>Die August-Bilanznotiz wird nicht auf September fortgeschrieben. Beiratsfreigaben und Unterschriftsunterlagen liegen nur teilweise vor.</x:v>
      </x:c>
      <x:c r="B26" s="6"/>
      <x:c r="C26" s="6"/>
      <x:c r="D26" s="6"/>
      <x:c r="E26" s="6"/>
      <x:c r="F26" s="6"/>
    </x:row>
    <x:row r="27" ht="8" customHeight="1">
      <x:c r="A27" s="3"/>
      <x:c r="B27" s="3"/>
      <x:c r="C27" s="3"/>
      <x:c r="D27" s="3"/>
      <x:c r="E27" s="3"/>
      <x:c r="F27" s="3"/>
    </x:row>
    <x:row r="28" ht="26" customHeight="1">
      <x:c r="A28" s="27" t="str">
        <x:v>Erstellt von Gundula Pfennig, 30.09.2026. Grundlage: internes Hauptbuch und Zahlungsbelege. Keine Aussage zur Berechtigung einzelner Ansprüche.</x:v>
      </x:c>
      <x:c r="B28" s="6"/>
      <x:c r="C28" s="6"/>
      <x:c r="D28" s="6"/>
      <x:c r="E28" s="6"/>
      <x:c r="F28" s="6"/>
    </x:row>
    <x:row r="29" ht="8" customHeight="1">
      <x:c r="A29" s="3"/>
      <x:c r="B29" s="3"/>
      <x:c r="C29" s="3"/>
      <x:c r="D29" s="3"/>
      <x:c r="E29" s="3"/>
      <x:c r="F29" s="3"/>
    </x:row>
    <x:row r="30" ht="8" customHeight="1">
      <x:c r="A30" s="3"/>
      <x:c r="B30" s="3"/>
      <x:c r="C30" s="3"/>
      <x:c r="D30" s="3"/>
      <x:c r="E30" s="3"/>
      <x:c r="F30" s="3"/>
    </x:row>
  </x:sheetData>
  <x:mergeCells>
    <x:mergeCell ref="A1:F1"/>
    <x:mergeCell ref="A2:F2"/>
    <x:mergeCell ref="A22:F22"/>
    <x:mergeCell ref="A24:F24"/>
    <x:mergeCell ref="A26:F26"/>
    <x:mergeCell ref="A28:F28"/>
  </x:mergeCells>
  <x:pageMargins left="0.3" right="0.3" top="0.35" bottom="0.35" header="0.15" footer="0.15"/>
  <x:pageSetup paperSize="9" orientation="landscape" fitToWidth="1" fitToHeight="1"/>
</x:worksheet>
</file>