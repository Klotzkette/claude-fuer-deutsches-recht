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stungsbuch" sheetId="1" state="visible" r:id="rId3"/>
    <sheet name="Zahlungsverlauf" sheetId="2" state="visible" r:id="rId4"/>
    <sheet name="Wasserhaltung" sheetId="3" state="visible" r:id="rId5"/>
  </sheets>
  <definedNames>
    <definedName function="false" hidden="false" localSheetId="0" name="_xlnm.Print_Area" vbProcedure="false">Leistungsbuch!$A$1:$I$42</definedName>
    <definedName function="false" hidden="false" localSheetId="0" name="_xlnm.Print_Titles" vbProcedure="false">Leistungsbuch!$8:$8</definedName>
    <definedName function="false" hidden="false" localSheetId="2" name="_xlnm.Print_Area" vbProcedure="false">Wasserhaltung!$A$1:$I$26</definedName>
    <definedName function="false" hidden="false" localSheetId="2" name="_xlnm.Print_Titles" vbProcedure="false">Wasserhaltung!$8:$8</definedName>
    <definedName function="false" hidden="false" localSheetId="1" name="_xlnm.Print_Area" vbProcedure="false">Zahlungsverlauf!$A$1:$I$20</definedName>
    <definedName function="false" hidden="false" localSheetId="1" name="_xlnm.Print_Titles" vbProcedure="false">Zahlungsverlauf!$8:$8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<sst xmlns="http://schemas.openxmlformats.org/spreadsheetml/2006/main" count="332" uniqueCount="117">
  <si>
    <t xml:space="preserve">Rohbau Werkflügel: Mengen und Preisstände</t>
  </si>
  <si>
    <t xml:space="preserve">Neues Register aus 02_Leistungsverzeichnis.pdf, 04_Abschlagsrechnung_1.pdf, 05_Abschlagsrechnung_2.pdf und 11_Abschlagsrechnung_3.xlsx. Rechnungsstände jeweils kumulativ.</t>
  </si>
  <si>
    <t xml:space="preserve">Maren Beck, Weserbogen Bau GmbH, Stand 04.08.2026</t>
  </si>
  <si>
    <t xml:space="preserve">Positionen</t>
  </si>
  <si>
    <t xml:space="preserve">Position</t>
  </si>
  <si>
    <t xml:space="preserve">Leistungsstand</t>
  </si>
  <si>
    <t xml:space="preserve">Leistung</t>
  </si>
  <si>
    <t xml:space="preserve">Einheit</t>
  </si>
  <si>
    <t xml:space="preserve">Menge</t>
  </si>
  <si>
    <t xml:space="preserve">EP netto EUR</t>
  </si>
  <si>
    <t xml:space="preserve">Betrag netto EUR</t>
  </si>
  <si>
    <t xml:space="preserve">Stand / Beleg</t>
  </si>
  <si>
    <t xml:space="preserve">Unterlage</t>
  </si>
  <si>
    <t xml:space="preserve">01.010</t>
  </si>
  <si>
    <t xml:space="preserve">Baustelleneinrichtung</t>
  </si>
  <si>
    <t xml:space="preserve">psch</t>
  </si>
  <si>
    <t xml:space="preserve">LV R01</t>
  </si>
  <si>
    <t xml:space="preserve">02_Leistungsverzeichnis.pdf</t>
  </si>
  <si>
    <t xml:space="preserve">02.010</t>
  </si>
  <si>
    <t xml:space="preserve">Bodenplatte Beton</t>
  </si>
  <si>
    <t xml:space="preserve">m³</t>
  </si>
  <si>
    <t xml:space="preserve">02.020</t>
  </si>
  <si>
    <t xml:space="preserve">Bewehrung</t>
  </si>
  <si>
    <t xml:space="preserve">t</t>
  </si>
  <si>
    <t xml:space="preserve">03.010</t>
  </si>
  <si>
    <t xml:space="preserve">Mauerwerk</t>
  </si>
  <si>
    <t xml:space="preserve">m²</t>
  </si>
  <si>
    <t xml:space="preserve">03.020</t>
  </si>
  <si>
    <t xml:space="preserve">Wandschalung</t>
  </si>
  <si>
    <t xml:space="preserve">04.010</t>
  </si>
  <si>
    <t xml:space="preserve">Deckenbeton</t>
  </si>
  <si>
    <t xml:space="preserve">04.020</t>
  </si>
  <si>
    <t xml:space="preserve">Abdichtung Sockel</t>
  </si>
  <si>
    <t xml:space="preserve">05.010</t>
  </si>
  <si>
    <t xml:space="preserve">Stahlstützen montiert</t>
  </si>
  <si>
    <t xml:space="preserve">St</t>
  </si>
  <si>
    <t xml:space="preserve">WB-26051</t>
  </si>
  <si>
    <t xml:space="preserve">04_Abschlagsrechnung_1.pdf</t>
  </si>
  <si>
    <t xml:space="preserve">WB-26079</t>
  </si>
  <si>
    <t xml:space="preserve">05_Abschlagsrechnung_2.pdf</t>
  </si>
  <si>
    <t xml:space="preserve">WB-26098</t>
  </si>
  <si>
    <t xml:space="preserve">11_Abschlagsrechnung_3.xlsx</t>
  </si>
  <si>
    <t xml:space="preserve">N01.010</t>
  </si>
  <si>
    <t xml:space="preserve">Unterfangung</t>
  </si>
  <si>
    <t xml:space="preserve">m</t>
  </si>
  <si>
    <t xml:space="preserve">N02.010</t>
  </si>
  <si>
    <t xml:space="preserve">Pumpenhaltung</t>
  </si>
  <si>
    <t xml:space="preserve">Tag</t>
  </si>
  <si>
    <t xml:space="preserve">Rechnungen und tatsächliche Auszahlungen</t>
  </si>
  <si>
    <t xml:space="preserve">Neues Buchungsregister aus 06_Kreditorenbewegungen.csv und 14_Zahlungsmitteilung.docx. Bruttobeträge; Rechnung und Zahlung nach Beleg getrennt.</t>
  </si>
  <si>
    <t xml:space="preserve">Auszahlung EUR</t>
  </si>
  <si>
    <t xml:space="preserve">Datum</t>
  </si>
  <si>
    <t xml:space="preserve">Vorgang</t>
  </si>
  <si>
    <t xml:space="preserve">Beleg</t>
  </si>
  <si>
    <t xml:space="preserve">Rechnung kum. EUR</t>
  </si>
  <si>
    <t xml:space="preserve">Sicherheit kum. EUR</t>
  </si>
  <si>
    <t xml:space="preserve">Vorgangsbetrag EUR</t>
  </si>
  <si>
    <t xml:space="preserve">Referenz</t>
  </si>
  <si>
    <t xml:space="preserve">Buchungstext</t>
  </si>
  <si>
    <t xml:space="preserve">1. Rechnung</t>
  </si>
  <si>
    <t xml:space="preserve">Anforderung</t>
  </si>
  <si>
    <t xml:space="preserve">Rechnungseingang</t>
  </si>
  <si>
    <t xml:space="preserve">K1001</t>
  </si>
  <si>
    <t xml:space="preserve">06_Kreditorenbewegungen.csv</t>
  </si>
  <si>
    <t xml:space="preserve">Auszahlung</t>
  </si>
  <si>
    <t xml:space="preserve">K1034</t>
  </si>
  <si>
    <t xml:space="preserve">Z260622-11</t>
  </si>
  <si>
    <t xml:space="preserve">2. Rechnung</t>
  </si>
  <si>
    <t xml:space="preserve">Zuwachs gebucht</t>
  </si>
  <si>
    <t xml:space="preserve">K1077</t>
  </si>
  <si>
    <t xml:space="preserve">Zahlungslauf mitgeteilt</t>
  </si>
  <si>
    <t xml:space="preserve">14_Zahlungsmitteilung.docx</t>
  </si>
  <si>
    <t xml:space="preserve">erste Teilzahlung angewiesen</t>
  </si>
  <si>
    <t xml:space="preserve">K1091</t>
  </si>
  <si>
    <t xml:space="preserve">Z260721-08</t>
  </si>
  <si>
    <t xml:space="preserve">K1103</t>
  </si>
  <si>
    <t xml:space="preserve">Sockelbetrag offen</t>
  </si>
  <si>
    <t xml:space="preserve">K1104</t>
  </si>
  <si>
    <t xml:space="preserve">nicht ausgezahlt</t>
  </si>
  <si>
    <t xml:space="preserve">3. Rechnung</t>
  </si>
  <si>
    <t xml:space="preserve">Anforderung laut Rechnung</t>
  </si>
  <si>
    <t xml:space="preserve">Rechnung per E-Mail</t>
  </si>
  <si>
    <t xml:space="preserve">12_Rechnungseingang.eml</t>
  </si>
  <si>
    <t xml:space="preserve">09:14 Uhr, AM-07 beigefügt</t>
  </si>
  <si>
    <t xml:space="preserve">Zahlungsstand</t>
  </si>
  <si>
    <t xml:space="preserve">QB-26</t>
  </si>
  <si>
    <t xml:space="preserve">15_Buchhaltung_Rueckfrage.eml</t>
  </si>
  <si>
    <t xml:space="preserve">drei verbuchte Auszahlungen</t>
  </si>
  <si>
    <t xml:space="preserve">P17 und Zwischenzähler Süd</t>
  </si>
  <si>
    <t xml:space="preserve">Neues Gerätekostenregister aus WB-N02, 17_Einsatzbericht_Wasserhaltung.docx und 18_Zwischenzaehler_Sued.csv. Tagesansätze laut Auftragnehmer; ZS-4 mit mehreren Verbrauchern.</t>
  </si>
  <si>
    <t xml:space="preserve">Angebotstage</t>
  </si>
  <si>
    <t xml:space="preserve">Ansatz netto EUR</t>
  </si>
  <si>
    <t xml:space="preserve">Gerät</t>
  </si>
  <si>
    <t xml:space="preserve">Eintrag</t>
  </si>
  <si>
    <t xml:space="preserve">Tagessatz EUR</t>
  </si>
  <si>
    <t xml:space="preserve">ZS-4 kWh</t>
  </si>
  <si>
    <t xml:space="preserve">Bezug / Verbraucher</t>
  </si>
  <si>
    <t xml:space="preserve">Nachweis</t>
  </si>
  <si>
    <t xml:space="preserve">P17</t>
  </si>
  <si>
    <t xml:space="preserve">Aufstellung 10:30 Uhr</t>
  </si>
  <si>
    <t xml:space="preserve">WB-N02</t>
  </si>
  <si>
    <t xml:space="preserve">17_Einsatzbericht_Wasserhaltung.docx</t>
  </si>
  <si>
    <t xml:space="preserve">Wasserstand und Schlauch kontrolliert</t>
  </si>
  <si>
    <t xml:space="preserve">Schwimmerschalter angeschlossen</t>
  </si>
  <si>
    <t xml:space="preserve">Umsetzung Grabensohle</t>
  </si>
  <si>
    <t xml:space="preserve">kein Kontrollvermerk</t>
  </si>
  <si>
    <t xml:space="preserve">ZS-4</t>
  </si>
  <si>
    <t xml:space="preserve">10:20 Uhr, Arndt</t>
  </si>
  <si>
    <t xml:space="preserve">P17; Arbeitsleuchte</t>
  </si>
  <si>
    <t xml:space="preserve">18_Zwischenzaehler_Sued.csv</t>
  </si>
  <si>
    <t xml:space="preserve">16:15 Uhr, Arndt</t>
  </si>
  <si>
    <t xml:space="preserve">07:05 Uhr, Arndt</t>
  </si>
  <si>
    <t xml:space="preserve">15:40 Uhr, Brandt</t>
  </si>
  <si>
    <t xml:space="preserve">P17; Arbeitsleuchte; Bohrhammer</t>
  </si>
  <si>
    <t xml:space="preserve">16:00 Uhr, Arndt</t>
  </si>
  <si>
    <t xml:space="preserve">08:05 Uhr, Arndt</t>
  </si>
  <si>
    <t xml:space="preserve">vor Abklemmen P17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</si>
</sst>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 @"/>
    <numFmt numFmtId="166" formatCode="dd\.mm\.yyyy\ "/>
    <numFmt numFmtId="167" formatCode="[$-407]#,##0.00\ ;\(#,##0.00&quot;) &quot;;&quot;– &quot;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244C43"/>
      <name val="Arial"/>
      <family val="0"/>
      <charset val="1"/>
    </font>
    <font>
      <sz val="10"/>
      <color rgb="FF536269"/>
      <name val="Arial"/>
      <family val="0"/>
      <charset val="1"/>
    </font>
    <font>
      <sz val="10"/>
      <color rgb="FF202D32"/>
      <name val="Arial"/>
      <family val="0"/>
      <charset val="1"/>
    </font>
    <font>
      <b val="true"/>
      <sz val="13"/>
      <color rgb="FF244C4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45E9A"/>
      <name val="Arial"/>
      <family val="0"/>
      <charset val="1"/>
    </font>
    <font>
      <sz val="9"/>
      <color rgb="FF202D32"/>
      <name val="Arial"/>
      <family val="0"/>
      <charset val="1"/>
    </font>
    <font>
      <sz val="10"/>
      <color rgb="FF23704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44C43"/>
        <bgColor rgb="FF202D32"/>
      </patternFill>
    </fill>
    <fill>
      <patternFill patternType="solid">
        <fgColor rgb="FFFFFFFF"/>
        <bgColor rgb="FFF0F4F3"/>
      </patternFill>
    </fill>
    <fill>
      <patternFill patternType="solid">
        <fgColor rgb="FFF0F4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44C4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0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0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2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3">
    <dxf>
      <fill>
        <patternFill patternType="solid">
          <fgColor rgb="FF244C43"/>
          <bgColor rgb="FF000000"/>
        </patternFill>
      </fill>
    </dxf>
    <dxf>
      <fill>
        <patternFill patternType="solid">
          <fgColor rgb="FFF0F4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2D32"/>
          <bgColor rgb="FF000000"/>
        </patternFill>
      </fill>
    </dxf>
    <dxf>
      <fill>
        <patternFill patternType="solid">
          <fgColor rgb="FF245E9A"/>
          <bgColor rgb="FF000000"/>
        </patternFill>
      </fill>
    </dxf>
    <dxf>
      <fill>
        <patternFill patternType="solid">
          <fgColor rgb="FF23704B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6" type="wholeTable"/>
      <tableStyleElement dxfId="7" type="firstColumnStripe"/>
      <tableStyleElement dxfId="8" type="firstRowStripe"/>
      <tableStyleElement dxfId="9" type="lastColumn"/>
      <tableStyleElement dxfId="10" type="firstColumn"/>
      <tableStyleElement dxfId="11" type="headerRow"/>
      <tableStyleElement dxfId="12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8C4C2"/>
      <rgbColor rgb="FF808080"/>
      <rgbColor rgb="FF9999FF"/>
      <rgbColor rgb="FF993366"/>
      <rgbColor rgb="FFF0F4F3"/>
      <rgbColor rgb="FFCCFFFF"/>
      <rgbColor rgb="FF660066"/>
      <rgbColor rgb="FFFF8080"/>
      <rgbColor rgb="FF245E9A"/>
      <rgbColor rgb="FFCCCCFF"/>
      <rgbColor rgb="FF000080"/>
      <rgbColor rgb="FFFF00FF"/>
      <rgbColor rgb="FFFFFF00"/>
      <rgbColor rgb="FF00FFFF"/>
      <rgbColor rgb="FF800080"/>
      <rgbColor rgb="FF800000"/>
      <rgbColor rgb="FF23704B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536269"/>
      <rgbColor rgb="FF969696"/>
      <rgbColor rgb="FF244C43"/>
      <rgbColor rgb="FF339966"/>
      <rgbColor rgb="FF003300"/>
      <rgbColor rgb="FF333300"/>
      <rgbColor rgb="FF993300"/>
      <rgbColor rgb="FF993366"/>
      <rgbColor rgb="FF333399"/>
      <rgbColor rgb="FF20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gister6_1" displayName="Register6_1" ref="A8:I42" headerRowCount="1" totalsRowCount="0" totalsRowShown="0">
  <autoFilter ref="A8:I42"/>
  <tableColumns count="9">
    <tableColumn id="1" name="Position"/>
    <tableColumn id="2" name="Leistungsstand"/>
    <tableColumn id="3" name="Leistung"/>
    <tableColumn id="4" name="Einheit"/>
    <tableColumn id="5" name="Menge"/>
    <tableColumn id="6" name="EP netto EUR"/>
    <tableColumn id="7" name="Betrag netto EUR"/>
    <tableColumn id="8" name="Stand / Beleg"/>
    <tableColumn id="9" name="Unterl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ster6_2" displayName="Register6_2" ref="A8:I20" headerRowCount="1" totalsRowCount="0" totalsRowShown="0">
  <autoFilter ref="A8:I20"/>
  <tableColumns count="9">
    <tableColumn id="1" name="Datum"/>
    <tableColumn id="2" name="Vorgang"/>
    <tableColumn id="3" name="Beleg"/>
    <tableColumn id="4" name="Rechnung kum. EUR"/>
    <tableColumn id="5" name="Sicherheit kum. EUR"/>
    <tableColumn id="6" name="Auszahlung EUR"/>
    <tableColumn id="7" name="Vorgangsbetrag EUR"/>
    <tableColumn id="8" name="Referenz"/>
    <tableColumn id="9" name="Buchungstex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ster6_3" displayName="Register6_3" ref="A8:I26" headerRowCount="1" totalsRowCount="0" totalsRowShown="0">
  <autoFilter ref="A8:I26"/>
  <tableColumns count="9">
    <tableColumn id="1" name="Datum"/>
    <tableColumn id="2" name="Gerät"/>
    <tableColumn id="3" name="Eintrag"/>
    <tableColumn id="4" name="Angebotstage"/>
    <tableColumn id="5" name="Tagessatz EUR"/>
    <tableColumn id="6" name="Ansatz netto EUR"/>
    <tableColumn id="7" name="ZS-4 kWh"/>
    <tableColumn id="8" name="Bezug / Verbraucher"/>
    <tableColumn id="9" name="Nachwe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4C43"/>
    <pageSetUpPr fitToPage="true"/>
  </sheetPr>
  <dimension ref="A1:I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36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9" hidden="false" customHeight="true" outlineLevel="0" collapsed="false">
      <c r="A5" s="5" t="n">
        <v>34</v>
      </c>
      <c r="B5" s="5"/>
      <c r="C5" s="5"/>
      <c r="D5" s="5"/>
      <c r="E5" s="5"/>
      <c r="F5" s="5"/>
      <c r="G5" s="5"/>
      <c r="H5" s="5"/>
      <c r="I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</row>
    <row r="9" customFormat="false" ht="22" hidden="false" customHeight="true" outlineLevel="0" collapsed="false">
      <c r="A9" s="7" t="s">
        <v>13</v>
      </c>
      <c r="B9" s="8" t="n">
        <v>46129</v>
      </c>
      <c r="C9" s="7" t="s">
        <v>14</v>
      </c>
      <c r="D9" s="7" t="s">
        <v>15</v>
      </c>
      <c r="E9" s="9" t="n">
        <v>1</v>
      </c>
      <c r="F9" s="9" t="n">
        <v>12500</v>
      </c>
      <c r="G9" s="10" t="n">
        <f aca="false">ROUND(E9*F9,2)</f>
        <v>12500</v>
      </c>
      <c r="H9" s="7" t="s">
        <v>16</v>
      </c>
      <c r="I9" s="7" t="s">
        <v>17</v>
      </c>
    </row>
    <row r="10" customFormat="false" ht="22" hidden="false" customHeight="true" outlineLevel="0" collapsed="false">
      <c r="A10" s="11" t="s">
        <v>18</v>
      </c>
      <c r="B10" s="12" t="n">
        <v>46129</v>
      </c>
      <c r="C10" s="11" t="s">
        <v>19</v>
      </c>
      <c r="D10" s="11" t="s">
        <v>20</v>
      </c>
      <c r="E10" s="13" t="n">
        <v>120</v>
      </c>
      <c r="F10" s="13" t="n">
        <v>185</v>
      </c>
      <c r="G10" s="14" t="n">
        <f aca="false">ROUND(E10*F10,2)</f>
        <v>22200</v>
      </c>
      <c r="H10" s="11" t="s">
        <v>16</v>
      </c>
      <c r="I10" s="11" t="s">
        <v>17</v>
      </c>
    </row>
    <row r="11" customFormat="false" ht="22" hidden="false" customHeight="true" outlineLevel="0" collapsed="false">
      <c r="A11" s="7" t="s">
        <v>21</v>
      </c>
      <c r="B11" s="8" t="n">
        <v>46129</v>
      </c>
      <c r="C11" s="7" t="s">
        <v>22</v>
      </c>
      <c r="D11" s="7" t="s">
        <v>23</v>
      </c>
      <c r="E11" s="9" t="n">
        <v>18</v>
      </c>
      <c r="F11" s="9" t="n">
        <v>1450</v>
      </c>
      <c r="G11" s="10" t="n">
        <f aca="false">ROUND(E11*F11,2)</f>
        <v>26100</v>
      </c>
      <c r="H11" s="7" t="s">
        <v>16</v>
      </c>
      <c r="I11" s="7" t="s">
        <v>17</v>
      </c>
    </row>
    <row r="12" customFormat="false" ht="22" hidden="false" customHeight="true" outlineLevel="0" collapsed="false">
      <c r="A12" s="11" t="s">
        <v>24</v>
      </c>
      <c r="B12" s="12" t="n">
        <v>46129</v>
      </c>
      <c r="C12" s="11" t="s">
        <v>25</v>
      </c>
      <c r="D12" s="11" t="s">
        <v>26</v>
      </c>
      <c r="E12" s="13" t="n">
        <v>420</v>
      </c>
      <c r="F12" s="13" t="n">
        <v>92</v>
      </c>
      <c r="G12" s="14" t="n">
        <f aca="false">ROUND(E12*F12,2)</f>
        <v>38640</v>
      </c>
      <c r="H12" s="11" t="s">
        <v>16</v>
      </c>
      <c r="I12" s="11" t="s">
        <v>17</v>
      </c>
    </row>
    <row r="13" customFormat="false" ht="22" hidden="false" customHeight="true" outlineLevel="0" collapsed="false">
      <c r="A13" s="7" t="s">
        <v>27</v>
      </c>
      <c r="B13" s="8" t="n">
        <v>46129</v>
      </c>
      <c r="C13" s="7" t="s">
        <v>28</v>
      </c>
      <c r="D13" s="7" t="s">
        <v>26</v>
      </c>
      <c r="E13" s="9" t="n">
        <v>260</v>
      </c>
      <c r="F13" s="9" t="n">
        <v>42</v>
      </c>
      <c r="G13" s="10" t="n">
        <f aca="false">ROUND(E13*F13,2)</f>
        <v>10920</v>
      </c>
      <c r="H13" s="7" t="s">
        <v>16</v>
      </c>
      <c r="I13" s="7" t="s">
        <v>17</v>
      </c>
    </row>
    <row r="14" customFormat="false" ht="22" hidden="false" customHeight="true" outlineLevel="0" collapsed="false">
      <c r="A14" s="11" t="s">
        <v>29</v>
      </c>
      <c r="B14" s="12" t="n">
        <v>46129</v>
      </c>
      <c r="C14" s="11" t="s">
        <v>30</v>
      </c>
      <c r="D14" s="11" t="s">
        <v>20</v>
      </c>
      <c r="E14" s="13" t="n">
        <v>85</v>
      </c>
      <c r="F14" s="13" t="n">
        <v>198</v>
      </c>
      <c r="G14" s="14" t="n">
        <f aca="false">ROUND(E14*F14,2)</f>
        <v>16830</v>
      </c>
      <c r="H14" s="11" t="s">
        <v>16</v>
      </c>
      <c r="I14" s="11" t="s">
        <v>17</v>
      </c>
    </row>
    <row r="15" customFormat="false" ht="22" hidden="false" customHeight="true" outlineLevel="0" collapsed="false">
      <c r="A15" s="7" t="s">
        <v>31</v>
      </c>
      <c r="B15" s="8" t="n">
        <v>46129</v>
      </c>
      <c r="C15" s="7" t="s">
        <v>32</v>
      </c>
      <c r="D15" s="7" t="s">
        <v>26</v>
      </c>
      <c r="E15" s="9" t="n">
        <v>150</v>
      </c>
      <c r="F15" s="9" t="n">
        <v>37</v>
      </c>
      <c r="G15" s="10" t="n">
        <f aca="false">ROUND(E15*F15,2)</f>
        <v>5550</v>
      </c>
      <c r="H15" s="7" t="s">
        <v>16</v>
      </c>
      <c r="I15" s="7" t="s">
        <v>17</v>
      </c>
    </row>
    <row r="16" customFormat="false" ht="22" hidden="false" customHeight="true" outlineLevel="0" collapsed="false">
      <c r="A16" s="11" t="s">
        <v>33</v>
      </c>
      <c r="B16" s="12" t="n">
        <v>46129</v>
      </c>
      <c r="C16" s="11" t="s">
        <v>34</v>
      </c>
      <c r="D16" s="11" t="s">
        <v>35</v>
      </c>
      <c r="E16" s="13" t="n">
        <v>8</v>
      </c>
      <c r="F16" s="13" t="n">
        <v>1745</v>
      </c>
      <c r="G16" s="14" t="n">
        <f aca="false">ROUND(E16*F16,2)</f>
        <v>13960</v>
      </c>
      <c r="H16" s="11" t="s">
        <v>16</v>
      </c>
      <c r="I16" s="11" t="s">
        <v>17</v>
      </c>
    </row>
    <row r="17" customFormat="false" ht="22" hidden="false" customHeight="true" outlineLevel="0" collapsed="false">
      <c r="A17" s="7" t="s">
        <v>13</v>
      </c>
      <c r="B17" s="8" t="n">
        <v>46173</v>
      </c>
      <c r="C17" s="7" t="s">
        <v>14</v>
      </c>
      <c r="D17" s="7" t="s">
        <v>15</v>
      </c>
      <c r="E17" s="9" t="n">
        <v>1</v>
      </c>
      <c r="F17" s="9" t="n">
        <v>12500</v>
      </c>
      <c r="G17" s="10" t="n">
        <f aca="false">ROUND(E17*F17,2)</f>
        <v>12500</v>
      </c>
      <c r="H17" s="7" t="s">
        <v>36</v>
      </c>
      <c r="I17" s="7" t="s">
        <v>37</v>
      </c>
    </row>
    <row r="18" customFormat="false" ht="22" hidden="false" customHeight="true" outlineLevel="0" collapsed="false">
      <c r="A18" s="11" t="s">
        <v>18</v>
      </c>
      <c r="B18" s="12" t="n">
        <v>46173</v>
      </c>
      <c r="C18" s="11" t="s">
        <v>19</v>
      </c>
      <c r="D18" s="11" t="s">
        <v>20</v>
      </c>
      <c r="E18" s="13" t="n">
        <v>40</v>
      </c>
      <c r="F18" s="13" t="n">
        <v>185</v>
      </c>
      <c r="G18" s="14" t="n">
        <f aca="false">ROUND(E18*F18,2)</f>
        <v>7400</v>
      </c>
      <c r="H18" s="11" t="s">
        <v>36</v>
      </c>
      <c r="I18" s="11" t="s">
        <v>37</v>
      </c>
    </row>
    <row r="19" customFormat="false" ht="22" hidden="false" customHeight="true" outlineLevel="0" collapsed="false">
      <c r="A19" s="7" t="s">
        <v>21</v>
      </c>
      <c r="B19" s="8" t="n">
        <v>46173</v>
      </c>
      <c r="C19" s="7" t="s">
        <v>22</v>
      </c>
      <c r="D19" s="7" t="s">
        <v>23</v>
      </c>
      <c r="E19" s="9" t="n">
        <v>6</v>
      </c>
      <c r="F19" s="9" t="n">
        <v>1450</v>
      </c>
      <c r="G19" s="10" t="n">
        <f aca="false">ROUND(E19*F19,2)</f>
        <v>8700</v>
      </c>
      <c r="H19" s="7" t="s">
        <v>36</v>
      </c>
      <c r="I19" s="7" t="s">
        <v>37</v>
      </c>
    </row>
    <row r="20" customFormat="false" ht="22" hidden="false" customHeight="true" outlineLevel="0" collapsed="false">
      <c r="A20" s="11" t="s">
        <v>24</v>
      </c>
      <c r="B20" s="12" t="n">
        <v>46173</v>
      </c>
      <c r="C20" s="11" t="s">
        <v>25</v>
      </c>
      <c r="D20" s="11" t="s">
        <v>26</v>
      </c>
      <c r="E20" s="13" t="n">
        <v>90</v>
      </c>
      <c r="F20" s="13" t="n">
        <v>92</v>
      </c>
      <c r="G20" s="14" t="n">
        <f aca="false">ROUND(E20*F20,2)</f>
        <v>8280</v>
      </c>
      <c r="H20" s="11" t="s">
        <v>36</v>
      </c>
      <c r="I20" s="11" t="s">
        <v>37</v>
      </c>
    </row>
    <row r="21" customFormat="false" ht="22" hidden="false" customHeight="true" outlineLevel="0" collapsed="false">
      <c r="A21" s="7" t="s">
        <v>27</v>
      </c>
      <c r="B21" s="8" t="n">
        <v>46173</v>
      </c>
      <c r="C21" s="7" t="s">
        <v>28</v>
      </c>
      <c r="D21" s="7" t="s">
        <v>26</v>
      </c>
      <c r="E21" s="9" t="n">
        <v>60</v>
      </c>
      <c r="F21" s="9" t="n">
        <v>42</v>
      </c>
      <c r="G21" s="10" t="n">
        <f aca="false">ROUND(E21*F21,2)</f>
        <v>2520</v>
      </c>
      <c r="H21" s="7" t="s">
        <v>36</v>
      </c>
      <c r="I21" s="7" t="s">
        <v>37</v>
      </c>
    </row>
    <row r="22" customFormat="false" ht="22" hidden="false" customHeight="true" outlineLevel="0" collapsed="false">
      <c r="A22" s="11" t="s">
        <v>29</v>
      </c>
      <c r="B22" s="12" t="n">
        <v>46173</v>
      </c>
      <c r="C22" s="11" t="s">
        <v>30</v>
      </c>
      <c r="D22" s="11" t="s">
        <v>20</v>
      </c>
      <c r="E22" s="13" t="n">
        <v>0</v>
      </c>
      <c r="F22" s="13" t="n">
        <v>198</v>
      </c>
      <c r="G22" s="14" t="n">
        <f aca="false">ROUND(E22*F22,2)</f>
        <v>0</v>
      </c>
      <c r="H22" s="11" t="s">
        <v>36</v>
      </c>
      <c r="I22" s="11" t="s">
        <v>37</v>
      </c>
    </row>
    <row r="23" customFormat="false" ht="22" hidden="false" customHeight="true" outlineLevel="0" collapsed="false">
      <c r="A23" s="7" t="s">
        <v>31</v>
      </c>
      <c r="B23" s="8" t="n">
        <v>46173</v>
      </c>
      <c r="C23" s="7" t="s">
        <v>32</v>
      </c>
      <c r="D23" s="7" t="s">
        <v>26</v>
      </c>
      <c r="E23" s="9" t="n">
        <v>0</v>
      </c>
      <c r="F23" s="9" t="n">
        <v>37</v>
      </c>
      <c r="G23" s="10" t="n">
        <f aca="false">ROUND(E23*F23,2)</f>
        <v>0</v>
      </c>
      <c r="H23" s="7" t="s">
        <v>36</v>
      </c>
      <c r="I23" s="7" t="s">
        <v>37</v>
      </c>
    </row>
    <row r="24" customFormat="false" ht="22" hidden="false" customHeight="true" outlineLevel="0" collapsed="false">
      <c r="A24" s="11" t="s">
        <v>33</v>
      </c>
      <c r="B24" s="12" t="n">
        <v>46173</v>
      </c>
      <c r="C24" s="11" t="s">
        <v>34</v>
      </c>
      <c r="D24" s="11" t="s">
        <v>35</v>
      </c>
      <c r="E24" s="13" t="n">
        <v>0</v>
      </c>
      <c r="F24" s="13" t="n">
        <v>1745</v>
      </c>
      <c r="G24" s="14" t="n">
        <f aca="false">ROUND(E24*F24,2)</f>
        <v>0</v>
      </c>
      <c r="H24" s="11" t="s">
        <v>36</v>
      </c>
      <c r="I24" s="11" t="s">
        <v>37</v>
      </c>
    </row>
    <row r="25" customFormat="false" ht="22" hidden="false" customHeight="true" outlineLevel="0" collapsed="false">
      <c r="A25" s="7" t="s">
        <v>13</v>
      </c>
      <c r="B25" s="8" t="n">
        <v>46203</v>
      </c>
      <c r="C25" s="7" t="s">
        <v>14</v>
      </c>
      <c r="D25" s="7" t="s">
        <v>15</v>
      </c>
      <c r="E25" s="9" t="n">
        <v>1</v>
      </c>
      <c r="F25" s="9" t="n">
        <v>12500</v>
      </c>
      <c r="G25" s="10" t="n">
        <f aca="false">ROUND(E25*F25,2)</f>
        <v>12500</v>
      </c>
      <c r="H25" s="7" t="s">
        <v>38</v>
      </c>
      <c r="I25" s="7" t="s">
        <v>39</v>
      </c>
    </row>
    <row r="26" customFormat="false" ht="22" hidden="false" customHeight="true" outlineLevel="0" collapsed="false">
      <c r="A26" s="11" t="s">
        <v>18</v>
      </c>
      <c r="B26" s="12" t="n">
        <v>46203</v>
      </c>
      <c r="C26" s="11" t="s">
        <v>19</v>
      </c>
      <c r="D26" s="11" t="s">
        <v>20</v>
      </c>
      <c r="E26" s="13" t="n">
        <v>90</v>
      </c>
      <c r="F26" s="13" t="n">
        <v>185</v>
      </c>
      <c r="G26" s="14" t="n">
        <f aca="false">ROUND(E26*F26,2)</f>
        <v>16650</v>
      </c>
      <c r="H26" s="11" t="s">
        <v>38</v>
      </c>
      <c r="I26" s="11" t="s">
        <v>39</v>
      </c>
    </row>
    <row r="27" customFormat="false" ht="22" hidden="false" customHeight="true" outlineLevel="0" collapsed="false">
      <c r="A27" s="7" t="s">
        <v>21</v>
      </c>
      <c r="B27" s="8" t="n">
        <v>46203</v>
      </c>
      <c r="C27" s="7" t="s">
        <v>22</v>
      </c>
      <c r="D27" s="7" t="s">
        <v>23</v>
      </c>
      <c r="E27" s="9" t="n">
        <v>13</v>
      </c>
      <c r="F27" s="9" t="n">
        <v>1450</v>
      </c>
      <c r="G27" s="10" t="n">
        <f aca="false">ROUND(E27*F27,2)</f>
        <v>18850</v>
      </c>
      <c r="H27" s="7" t="s">
        <v>38</v>
      </c>
      <c r="I27" s="7" t="s">
        <v>39</v>
      </c>
    </row>
    <row r="28" customFormat="false" ht="22" hidden="false" customHeight="true" outlineLevel="0" collapsed="false">
      <c r="A28" s="11" t="s">
        <v>24</v>
      </c>
      <c r="B28" s="12" t="n">
        <v>46203</v>
      </c>
      <c r="C28" s="11" t="s">
        <v>25</v>
      </c>
      <c r="D28" s="11" t="s">
        <v>26</v>
      </c>
      <c r="E28" s="13" t="n">
        <v>240</v>
      </c>
      <c r="F28" s="13" t="n">
        <v>92</v>
      </c>
      <c r="G28" s="14" t="n">
        <f aca="false">ROUND(E28*F28,2)</f>
        <v>22080</v>
      </c>
      <c r="H28" s="11" t="s">
        <v>38</v>
      </c>
      <c r="I28" s="11" t="s">
        <v>39</v>
      </c>
    </row>
    <row r="29" customFormat="false" ht="22" hidden="false" customHeight="true" outlineLevel="0" collapsed="false">
      <c r="A29" s="7" t="s">
        <v>27</v>
      </c>
      <c r="B29" s="8" t="n">
        <v>46203</v>
      </c>
      <c r="C29" s="7" t="s">
        <v>28</v>
      </c>
      <c r="D29" s="7" t="s">
        <v>26</v>
      </c>
      <c r="E29" s="9" t="n">
        <v>160</v>
      </c>
      <c r="F29" s="9" t="n">
        <v>42</v>
      </c>
      <c r="G29" s="10" t="n">
        <f aca="false">ROUND(E29*F29,2)</f>
        <v>6720</v>
      </c>
      <c r="H29" s="7" t="s">
        <v>38</v>
      </c>
      <c r="I29" s="7" t="s">
        <v>39</v>
      </c>
    </row>
    <row r="30" customFormat="false" ht="22" hidden="false" customHeight="true" outlineLevel="0" collapsed="false">
      <c r="A30" s="11" t="s">
        <v>29</v>
      </c>
      <c r="B30" s="12" t="n">
        <v>46203</v>
      </c>
      <c r="C30" s="11" t="s">
        <v>30</v>
      </c>
      <c r="D30" s="11" t="s">
        <v>20</v>
      </c>
      <c r="E30" s="13" t="n">
        <v>35</v>
      </c>
      <c r="F30" s="13" t="n">
        <v>198</v>
      </c>
      <c r="G30" s="14" t="n">
        <f aca="false">ROUND(E30*F30,2)</f>
        <v>6930</v>
      </c>
      <c r="H30" s="11" t="s">
        <v>38</v>
      </c>
      <c r="I30" s="11" t="s">
        <v>39</v>
      </c>
    </row>
    <row r="31" customFormat="false" ht="22" hidden="false" customHeight="true" outlineLevel="0" collapsed="false">
      <c r="A31" s="7" t="s">
        <v>31</v>
      </c>
      <c r="B31" s="8" t="n">
        <v>46203</v>
      </c>
      <c r="C31" s="7" t="s">
        <v>32</v>
      </c>
      <c r="D31" s="7" t="s">
        <v>26</v>
      </c>
      <c r="E31" s="9" t="n">
        <v>50</v>
      </c>
      <c r="F31" s="9" t="n">
        <v>37</v>
      </c>
      <c r="G31" s="10" t="n">
        <f aca="false">ROUND(E31*F31,2)</f>
        <v>1850</v>
      </c>
      <c r="H31" s="7" t="s">
        <v>38</v>
      </c>
      <c r="I31" s="7" t="s">
        <v>39</v>
      </c>
    </row>
    <row r="32" customFormat="false" ht="22" hidden="false" customHeight="true" outlineLevel="0" collapsed="false">
      <c r="A32" s="11" t="s">
        <v>33</v>
      </c>
      <c r="B32" s="12" t="n">
        <v>46203</v>
      </c>
      <c r="C32" s="11" t="s">
        <v>34</v>
      </c>
      <c r="D32" s="11" t="s">
        <v>35</v>
      </c>
      <c r="E32" s="13" t="n">
        <v>4</v>
      </c>
      <c r="F32" s="13" t="n">
        <v>1745</v>
      </c>
      <c r="G32" s="14" t="n">
        <f aca="false">ROUND(E32*F32,2)</f>
        <v>6980</v>
      </c>
      <c r="H32" s="11" t="s">
        <v>38</v>
      </c>
      <c r="I32" s="11" t="s">
        <v>39</v>
      </c>
    </row>
    <row r="33" customFormat="false" ht="22" hidden="false" customHeight="true" outlineLevel="0" collapsed="false">
      <c r="A33" s="7" t="s">
        <v>13</v>
      </c>
      <c r="B33" s="8" t="n">
        <v>46234</v>
      </c>
      <c r="C33" s="7" t="s">
        <v>14</v>
      </c>
      <c r="D33" s="7" t="s">
        <v>15</v>
      </c>
      <c r="E33" s="9" t="n">
        <v>1</v>
      </c>
      <c r="F33" s="9" t="n">
        <v>12500</v>
      </c>
      <c r="G33" s="10" t="n">
        <f aca="false">ROUND(E33*F33,2)</f>
        <v>12500</v>
      </c>
      <c r="H33" s="7" t="s">
        <v>40</v>
      </c>
      <c r="I33" s="7" t="s">
        <v>41</v>
      </c>
    </row>
    <row r="34" customFormat="false" ht="22" hidden="false" customHeight="true" outlineLevel="0" collapsed="false">
      <c r="A34" s="11" t="s">
        <v>18</v>
      </c>
      <c r="B34" s="12" t="n">
        <v>46234</v>
      </c>
      <c r="C34" s="11" t="s">
        <v>19</v>
      </c>
      <c r="D34" s="11" t="s">
        <v>20</v>
      </c>
      <c r="E34" s="13" t="n">
        <v>118.5</v>
      </c>
      <c r="F34" s="13" t="n">
        <v>185</v>
      </c>
      <c r="G34" s="14" t="n">
        <f aca="false">ROUND(E34*F34,2)</f>
        <v>21922.5</v>
      </c>
      <c r="H34" s="11" t="s">
        <v>40</v>
      </c>
      <c r="I34" s="11" t="s">
        <v>41</v>
      </c>
    </row>
    <row r="35" customFormat="false" ht="22" hidden="false" customHeight="true" outlineLevel="0" collapsed="false">
      <c r="A35" s="7" t="s">
        <v>21</v>
      </c>
      <c r="B35" s="8" t="n">
        <v>46234</v>
      </c>
      <c r="C35" s="7" t="s">
        <v>22</v>
      </c>
      <c r="D35" s="7" t="s">
        <v>23</v>
      </c>
      <c r="E35" s="9" t="n">
        <v>18.2</v>
      </c>
      <c r="F35" s="9" t="n">
        <v>1450</v>
      </c>
      <c r="G35" s="10" t="n">
        <f aca="false">ROUND(E35*F35,2)</f>
        <v>26390</v>
      </c>
      <c r="H35" s="7" t="s">
        <v>40</v>
      </c>
      <c r="I35" s="7" t="s">
        <v>41</v>
      </c>
    </row>
    <row r="36" customFormat="false" ht="22" hidden="false" customHeight="true" outlineLevel="0" collapsed="false">
      <c r="A36" s="11" t="s">
        <v>24</v>
      </c>
      <c r="B36" s="12" t="n">
        <v>46234</v>
      </c>
      <c r="C36" s="11" t="s">
        <v>25</v>
      </c>
      <c r="D36" s="11" t="s">
        <v>26</v>
      </c>
      <c r="E36" s="13" t="n">
        <v>402</v>
      </c>
      <c r="F36" s="13" t="n">
        <v>92</v>
      </c>
      <c r="G36" s="14" t="n">
        <f aca="false">ROUND(E36*F36,2)</f>
        <v>36984</v>
      </c>
      <c r="H36" s="11" t="s">
        <v>40</v>
      </c>
      <c r="I36" s="11" t="s">
        <v>41</v>
      </c>
    </row>
    <row r="37" customFormat="false" ht="22" hidden="false" customHeight="true" outlineLevel="0" collapsed="false">
      <c r="A37" s="7" t="s">
        <v>27</v>
      </c>
      <c r="B37" s="8" t="n">
        <v>46234</v>
      </c>
      <c r="C37" s="7" t="s">
        <v>28</v>
      </c>
      <c r="D37" s="7" t="s">
        <v>26</v>
      </c>
      <c r="E37" s="9" t="n">
        <v>248</v>
      </c>
      <c r="F37" s="9" t="n">
        <v>42</v>
      </c>
      <c r="G37" s="10" t="n">
        <f aca="false">ROUND(E37*F37,2)</f>
        <v>10416</v>
      </c>
      <c r="H37" s="7" t="s">
        <v>40</v>
      </c>
      <c r="I37" s="7" t="s">
        <v>41</v>
      </c>
    </row>
    <row r="38" customFormat="false" ht="22" hidden="false" customHeight="true" outlineLevel="0" collapsed="false">
      <c r="A38" s="11" t="s">
        <v>29</v>
      </c>
      <c r="B38" s="12" t="n">
        <v>46234</v>
      </c>
      <c r="C38" s="11" t="s">
        <v>30</v>
      </c>
      <c r="D38" s="11" t="s">
        <v>20</v>
      </c>
      <c r="E38" s="13" t="n">
        <v>82</v>
      </c>
      <c r="F38" s="13" t="n">
        <v>198</v>
      </c>
      <c r="G38" s="14" t="n">
        <f aca="false">ROUND(E38*F38,2)</f>
        <v>16236</v>
      </c>
      <c r="H38" s="11" t="s">
        <v>40</v>
      </c>
      <c r="I38" s="11" t="s">
        <v>41</v>
      </c>
    </row>
    <row r="39" customFormat="false" ht="22" hidden="false" customHeight="true" outlineLevel="0" collapsed="false">
      <c r="A39" s="7" t="s">
        <v>31</v>
      </c>
      <c r="B39" s="8" t="n">
        <v>46234</v>
      </c>
      <c r="C39" s="7" t="s">
        <v>32</v>
      </c>
      <c r="D39" s="7" t="s">
        <v>26</v>
      </c>
      <c r="E39" s="9" t="n">
        <v>142</v>
      </c>
      <c r="F39" s="9" t="n">
        <v>37</v>
      </c>
      <c r="G39" s="10" t="n">
        <f aca="false">ROUND(E39*F39,2)</f>
        <v>5254</v>
      </c>
      <c r="H39" s="7" t="s">
        <v>40</v>
      </c>
      <c r="I39" s="7" t="s">
        <v>41</v>
      </c>
    </row>
    <row r="40" customFormat="false" ht="22" hidden="false" customHeight="true" outlineLevel="0" collapsed="false">
      <c r="A40" s="11" t="s">
        <v>33</v>
      </c>
      <c r="B40" s="12" t="n">
        <v>46234</v>
      </c>
      <c r="C40" s="11" t="s">
        <v>34</v>
      </c>
      <c r="D40" s="11" t="s">
        <v>35</v>
      </c>
      <c r="E40" s="13" t="n">
        <v>8</v>
      </c>
      <c r="F40" s="13" t="n">
        <v>1745</v>
      </c>
      <c r="G40" s="14" t="n">
        <f aca="false">ROUND(E40*F40,2)</f>
        <v>13960</v>
      </c>
      <c r="H40" s="11" t="s">
        <v>40</v>
      </c>
      <c r="I40" s="11" t="s">
        <v>41</v>
      </c>
    </row>
    <row r="41" customFormat="false" ht="22" hidden="false" customHeight="true" outlineLevel="0" collapsed="false">
      <c r="A41" s="7" t="s">
        <v>42</v>
      </c>
      <c r="B41" s="8" t="n">
        <v>46234</v>
      </c>
      <c r="C41" s="7" t="s">
        <v>43</v>
      </c>
      <c r="D41" s="7" t="s">
        <v>44</v>
      </c>
      <c r="E41" s="9" t="n">
        <v>18</v>
      </c>
      <c r="F41" s="9" t="n">
        <v>210</v>
      </c>
      <c r="G41" s="10" t="n">
        <f aca="false">ROUND(E41*F41,2)</f>
        <v>3780</v>
      </c>
      <c r="H41" s="7" t="s">
        <v>40</v>
      </c>
      <c r="I41" s="7" t="s">
        <v>41</v>
      </c>
    </row>
    <row r="42" customFormat="false" ht="22" hidden="false" customHeight="true" outlineLevel="0" collapsed="false">
      <c r="A42" s="11" t="s">
        <v>45</v>
      </c>
      <c r="B42" s="12" t="n">
        <v>46234</v>
      </c>
      <c r="C42" s="11" t="s">
        <v>46</v>
      </c>
      <c r="D42" s="11" t="s">
        <v>47</v>
      </c>
      <c r="E42" s="13" t="n">
        <v>12</v>
      </c>
      <c r="F42" s="13" t="n">
        <v>340</v>
      </c>
      <c r="G42" s="14" t="n">
        <f aca="false">ROUND(E42*F42,2)</f>
        <v>4080</v>
      </c>
      <c r="H42" s="11" t="s">
        <v>40</v>
      </c>
      <c r="I42" s="11" t="s">
        <v>41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2026-08-04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19"/>
    <col collapsed="false" customWidth="true" hidden="false" outlineLevel="0" max="7" min="7" style="0" width="21"/>
    <col collapsed="false" customWidth="true" hidden="false" outlineLevel="0" max="8" min="8" style="0" width="35"/>
    <col collapsed="false" customWidth="true" hidden="false" outlineLevel="0" max="9" min="9" style="0" width="34"/>
  </cols>
  <sheetData>
    <row r="1" customFormat="false" ht="34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15" t="s">
        <v>50</v>
      </c>
      <c r="G4" s="4"/>
      <c r="H4" s="4"/>
      <c r="I4" s="4"/>
    </row>
    <row r="5" customFormat="false" ht="29" hidden="false" customHeight="true" outlineLevel="0" collapsed="false">
      <c r="A5" s="5" t="n">
        <v>12</v>
      </c>
      <c r="B5" s="5"/>
      <c r="C5" s="5"/>
      <c r="D5" s="5"/>
      <c r="E5" s="5"/>
      <c r="F5" s="16" t="n">
        <f aca="false">SUM(F9:F20)</f>
        <v>100639.08</v>
      </c>
      <c r="G5" s="5"/>
      <c r="H5" s="5"/>
      <c r="I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6" t="s">
        <v>51</v>
      </c>
      <c r="B8" s="6" t="s">
        <v>52</v>
      </c>
      <c r="C8" s="6" t="s">
        <v>53</v>
      </c>
      <c r="D8" s="6" t="s">
        <v>54</v>
      </c>
      <c r="E8" s="6" t="s">
        <v>55</v>
      </c>
      <c r="F8" s="6" t="s">
        <v>50</v>
      </c>
      <c r="G8" s="6" t="s">
        <v>56</v>
      </c>
      <c r="H8" s="6" t="s">
        <v>57</v>
      </c>
      <c r="I8" s="6" t="s">
        <v>58</v>
      </c>
    </row>
    <row r="9" customFormat="false" ht="22" hidden="false" customHeight="true" outlineLevel="0" collapsed="false">
      <c r="A9" s="8" t="n">
        <v>46173</v>
      </c>
      <c r="B9" s="7" t="s">
        <v>59</v>
      </c>
      <c r="C9" s="7" t="s">
        <v>36</v>
      </c>
      <c r="D9" s="17" t="n">
        <f aca="false">ROUND(SUM(Leistungsbuch!G17:G24)*1.19,2)</f>
        <v>46886</v>
      </c>
      <c r="E9" s="10" t="n">
        <f aca="false">ROUND(D9*0.05,2)</f>
        <v>2344.3</v>
      </c>
      <c r="F9" s="10"/>
      <c r="G9" s="10" t="n">
        <f aca="false">D9-E9</f>
        <v>44541.7</v>
      </c>
      <c r="H9" s="7" t="s">
        <v>37</v>
      </c>
      <c r="I9" s="7" t="s">
        <v>60</v>
      </c>
    </row>
    <row r="10" customFormat="false" ht="22" hidden="false" customHeight="true" outlineLevel="0" collapsed="false">
      <c r="A10" s="12" t="n">
        <v>46175</v>
      </c>
      <c r="B10" s="11" t="s">
        <v>61</v>
      </c>
      <c r="C10" s="11" t="s">
        <v>62</v>
      </c>
      <c r="D10" s="14"/>
      <c r="E10" s="14"/>
      <c r="F10" s="14"/>
      <c r="G10" s="14"/>
      <c r="H10" s="11" t="s">
        <v>36</v>
      </c>
      <c r="I10" s="11" t="s">
        <v>63</v>
      </c>
    </row>
    <row r="11" customFormat="false" ht="22" hidden="false" customHeight="true" outlineLevel="0" collapsed="false">
      <c r="A11" s="8" t="n">
        <v>46195</v>
      </c>
      <c r="B11" s="7" t="s">
        <v>64</v>
      </c>
      <c r="C11" s="7" t="s">
        <v>65</v>
      </c>
      <c r="D11" s="10"/>
      <c r="E11" s="10"/>
      <c r="F11" s="9" t="n">
        <v>44541.7</v>
      </c>
      <c r="G11" s="10"/>
      <c r="H11" s="7" t="s">
        <v>66</v>
      </c>
      <c r="I11" s="7" t="s">
        <v>36</v>
      </c>
    </row>
    <row r="12" customFormat="false" ht="22" hidden="false" customHeight="true" outlineLevel="0" collapsed="false">
      <c r="A12" s="12" t="n">
        <v>46203</v>
      </c>
      <c r="B12" s="11" t="s">
        <v>67</v>
      </c>
      <c r="C12" s="11" t="s">
        <v>38</v>
      </c>
      <c r="D12" s="18" t="n">
        <f aca="false">ROUND(SUM(Leistungsbuch!G25:G32)*1.19,2)</f>
        <v>110146.4</v>
      </c>
      <c r="E12" s="14" t="n">
        <f aca="false">ROUND(D12*0.05,2)</f>
        <v>5507.32</v>
      </c>
      <c r="F12" s="14"/>
      <c r="G12" s="14" t="n">
        <f aca="false">ROUND(D12-E12-SUM(F9:F11),2)</f>
        <v>60097.38</v>
      </c>
      <c r="H12" s="11" t="s">
        <v>39</v>
      </c>
      <c r="I12" s="11" t="s">
        <v>60</v>
      </c>
    </row>
    <row r="13" customFormat="false" ht="22" hidden="false" customHeight="true" outlineLevel="0" collapsed="false">
      <c r="A13" s="8" t="n">
        <v>46205</v>
      </c>
      <c r="B13" s="7" t="s">
        <v>68</v>
      </c>
      <c r="C13" s="7" t="s">
        <v>69</v>
      </c>
      <c r="D13" s="10"/>
      <c r="E13" s="10"/>
      <c r="F13" s="10"/>
      <c r="G13" s="10" t="n">
        <f aca="false">D12-D9</f>
        <v>63260.4</v>
      </c>
      <c r="H13" s="7" t="s">
        <v>38</v>
      </c>
      <c r="I13" s="7" t="s">
        <v>63</v>
      </c>
    </row>
    <row r="14" customFormat="false" ht="34" hidden="false" customHeight="true" outlineLevel="0" collapsed="false">
      <c r="A14" s="12" t="n">
        <v>46223</v>
      </c>
      <c r="B14" s="11" t="s">
        <v>70</v>
      </c>
      <c r="C14" s="11" t="s">
        <v>38</v>
      </c>
      <c r="D14" s="14"/>
      <c r="E14" s="14"/>
      <c r="F14" s="14"/>
      <c r="G14" s="13" t="n">
        <v>48097.38</v>
      </c>
      <c r="H14" s="11" t="s">
        <v>71</v>
      </c>
      <c r="I14" s="11" t="s">
        <v>72</v>
      </c>
    </row>
    <row r="15" customFormat="false" ht="22" hidden="false" customHeight="true" outlineLevel="0" collapsed="false">
      <c r="A15" s="8" t="n">
        <v>46224</v>
      </c>
      <c r="B15" s="7" t="s">
        <v>64</v>
      </c>
      <c r="C15" s="7" t="s">
        <v>73</v>
      </c>
      <c r="D15" s="10"/>
      <c r="E15" s="10"/>
      <c r="F15" s="9" t="n">
        <v>48097.38</v>
      </c>
      <c r="G15" s="10"/>
      <c r="H15" s="7" t="s">
        <v>74</v>
      </c>
      <c r="I15" s="7" t="s">
        <v>38</v>
      </c>
    </row>
    <row r="16" customFormat="false" ht="22" hidden="false" customHeight="true" outlineLevel="0" collapsed="false">
      <c r="A16" s="12" t="n">
        <v>46232</v>
      </c>
      <c r="B16" s="11" t="s">
        <v>64</v>
      </c>
      <c r="C16" s="11" t="s">
        <v>75</v>
      </c>
      <c r="D16" s="14"/>
      <c r="E16" s="14"/>
      <c r="F16" s="13" t="n">
        <v>8000</v>
      </c>
      <c r="G16" s="14"/>
      <c r="H16" s="11" t="s">
        <v>74</v>
      </c>
      <c r="I16" s="11" t="s">
        <v>38</v>
      </c>
    </row>
    <row r="17" customFormat="false" ht="22" hidden="false" customHeight="true" outlineLevel="0" collapsed="false">
      <c r="A17" s="8" t="n">
        <v>46232</v>
      </c>
      <c r="B17" s="7" t="s">
        <v>76</v>
      </c>
      <c r="C17" s="7" t="s">
        <v>77</v>
      </c>
      <c r="D17" s="10"/>
      <c r="E17" s="10"/>
      <c r="F17" s="10"/>
      <c r="G17" s="9" t="n">
        <v>4000</v>
      </c>
      <c r="H17" s="7" t="s">
        <v>63</v>
      </c>
      <c r="I17" s="7" t="s">
        <v>78</v>
      </c>
    </row>
    <row r="18" customFormat="false" ht="22" hidden="false" customHeight="true" outlineLevel="0" collapsed="false">
      <c r="A18" s="12" t="n">
        <v>46237</v>
      </c>
      <c r="B18" s="11" t="s">
        <v>79</v>
      </c>
      <c r="C18" s="11" t="s">
        <v>40</v>
      </c>
      <c r="D18" s="18" t="n">
        <f aca="false">ROUND(SUM(Leistungsbuch!G33:G42)*1.19,2)</f>
        <v>180311.78</v>
      </c>
      <c r="E18" s="14" t="n">
        <f aca="false">ROUND(D18*0.05,2)</f>
        <v>9015.59</v>
      </c>
      <c r="F18" s="14"/>
      <c r="G18" s="14" t="n">
        <f aca="false">ROUND(D18-E18-SUM(F9:F20),2)</f>
        <v>70657.11</v>
      </c>
      <c r="H18" s="11" t="s">
        <v>41</v>
      </c>
      <c r="I18" s="11" t="s">
        <v>80</v>
      </c>
    </row>
    <row r="19" customFormat="false" ht="22" hidden="false" customHeight="true" outlineLevel="0" collapsed="false">
      <c r="A19" s="8" t="n">
        <v>46237</v>
      </c>
      <c r="B19" s="7" t="s">
        <v>81</v>
      </c>
      <c r="C19" s="7" t="s">
        <v>40</v>
      </c>
      <c r="D19" s="10"/>
      <c r="E19" s="10"/>
      <c r="F19" s="10"/>
      <c r="G19" s="10"/>
      <c r="H19" s="7" t="s">
        <v>82</v>
      </c>
      <c r="I19" s="7" t="s">
        <v>83</v>
      </c>
    </row>
    <row r="20" customFormat="false" ht="22" hidden="false" customHeight="true" outlineLevel="0" collapsed="false">
      <c r="A20" s="12" t="n">
        <v>46238</v>
      </c>
      <c r="B20" s="11" t="s">
        <v>84</v>
      </c>
      <c r="C20" s="11" t="s">
        <v>85</v>
      </c>
      <c r="D20" s="14"/>
      <c r="E20" s="14"/>
      <c r="F20" s="14"/>
      <c r="G20" s="14" t="n">
        <f aca="false">SUM(F9:F20)</f>
        <v>100639.08</v>
      </c>
      <c r="H20" s="11" t="s">
        <v>86</v>
      </c>
      <c r="I20" s="11" t="s">
        <v>87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2026-08-04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32"/>
    <col collapsed="false" customWidth="true" hidden="false" outlineLevel="0" max="9" min="9" style="0" width="40"/>
  </cols>
  <sheetData>
    <row r="1" customFormat="false" ht="34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89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4"/>
      <c r="D4" s="15" t="s">
        <v>90</v>
      </c>
      <c r="E4" s="4"/>
      <c r="F4" s="15" t="s">
        <v>91</v>
      </c>
      <c r="G4" s="4"/>
      <c r="H4" s="4"/>
      <c r="I4" s="4"/>
    </row>
    <row r="5" customFormat="false" ht="29" hidden="false" customHeight="true" outlineLevel="0" collapsed="false">
      <c r="A5" s="5" t="n">
        <v>18</v>
      </c>
      <c r="B5" s="5"/>
      <c r="C5" s="5"/>
      <c r="D5" s="16" t="n">
        <f aca="false">SUM(D9:D26)</f>
        <v>12</v>
      </c>
      <c r="E5" s="5"/>
      <c r="F5" s="16" t="n">
        <f aca="false">SUM(F9:F26)</f>
        <v>4080</v>
      </c>
      <c r="G5" s="5"/>
      <c r="H5" s="5"/>
      <c r="I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6" t="s">
        <v>51</v>
      </c>
      <c r="B8" s="6" t="s">
        <v>92</v>
      </c>
      <c r="C8" s="6" t="s">
        <v>93</v>
      </c>
      <c r="D8" s="6" t="s">
        <v>90</v>
      </c>
      <c r="E8" s="6" t="s">
        <v>94</v>
      </c>
      <c r="F8" s="6" t="s">
        <v>91</v>
      </c>
      <c r="G8" s="6" t="s">
        <v>95</v>
      </c>
      <c r="H8" s="6" t="s">
        <v>96</v>
      </c>
      <c r="I8" s="6" t="s">
        <v>97</v>
      </c>
    </row>
    <row r="9" customFormat="false" ht="22" hidden="false" customHeight="true" outlineLevel="0" collapsed="false">
      <c r="A9" s="8" t="n">
        <v>46209</v>
      </c>
      <c r="B9" s="7" t="s">
        <v>98</v>
      </c>
      <c r="C9" s="7" t="s">
        <v>99</v>
      </c>
      <c r="D9" s="9" t="n">
        <v>1</v>
      </c>
      <c r="E9" s="9" t="n">
        <v>340</v>
      </c>
      <c r="F9" s="10" t="n">
        <f aca="false">ROUND(D9*E9,2)</f>
        <v>340</v>
      </c>
      <c r="G9" s="10"/>
      <c r="H9" s="7" t="s">
        <v>100</v>
      </c>
      <c r="I9" s="7" t="s">
        <v>101</v>
      </c>
    </row>
    <row r="10" customFormat="false" ht="34" hidden="false" customHeight="true" outlineLevel="0" collapsed="false">
      <c r="A10" s="12" t="n">
        <v>46210</v>
      </c>
      <c r="B10" s="11" t="s">
        <v>98</v>
      </c>
      <c r="C10" s="11" t="s">
        <v>102</v>
      </c>
      <c r="D10" s="13" t="n">
        <v>1</v>
      </c>
      <c r="E10" s="13" t="n">
        <v>340</v>
      </c>
      <c r="F10" s="14" t="n">
        <f aca="false">ROUND(D10*E10,2)</f>
        <v>340</v>
      </c>
      <c r="G10" s="14"/>
      <c r="H10" s="11" t="s">
        <v>100</v>
      </c>
      <c r="I10" s="11" t="s">
        <v>101</v>
      </c>
    </row>
    <row r="11" customFormat="false" ht="34" hidden="false" customHeight="true" outlineLevel="0" collapsed="false">
      <c r="A11" s="8" t="n">
        <v>46211</v>
      </c>
      <c r="B11" s="7" t="s">
        <v>98</v>
      </c>
      <c r="C11" s="7" t="s">
        <v>102</v>
      </c>
      <c r="D11" s="9" t="n">
        <v>1</v>
      </c>
      <c r="E11" s="9" t="n">
        <v>340</v>
      </c>
      <c r="F11" s="10" t="n">
        <f aca="false">ROUND(D11*E11,2)</f>
        <v>340</v>
      </c>
      <c r="G11" s="10"/>
      <c r="H11" s="7" t="s">
        <v>100</v>
      </c>
      <c r="I11" s="7" t="s">
        <v>101</v>
      </c>
    </row>
    <row r="12" customFormat="false" ht="34" hidden="false" customHeight="true" outlineLevel="0" collapsed="false">
      <c r="A12" s="12" t="n">
        <v>46212</v>
      </c>
      <c r="B12" s="11" t="s">
        <v>98</v>
      </c>
      <c r="C12" s="11" t="s">
        <v>102</v>
      </c>
      <c r="D12" s="13" t="n">
        <v>1</v>
      </c>
      <c r="E12" s="13" t="n">
        <v>340</v>
      </c>
      <c r="F12" s="14" t="n">
        <f aca="false">ROUND(D12*E12,2)</f>
        <v>340</v>
      </c>
      <c r="G12" s="14"/>
      <c r="H12" s="11" t="s">
        <v>100</v>
      </c>
      <c r="I12" s="11" t="s">
        <v>101</v>
      </c>
    </row>
    <row r="13" customFormat="false" ht="34" hidden="false" customHeight="true" outlineLevel="0" collapsed="false">
      <c r="A13" s="8" t="n">
        <v>46213</v>
      </c>
      <c r="B13" s="7" t="s">
        <v>98</v>
      </c>
      <c r="C13" s="7" t="s">
        <v>102</v>
      </c>
      <c r="D13" s="9" t="n">
        <v>1</v>
      </c>
      <c r="E13" s="9" t="n">
        <v>340</v>
      </c>
      <c r="F13" s="10" t="n">
        <f aca="false">ROUND(D13*E13,2)</f>
        <v>340</v>
      </c>
      <c r="G13" s="10"/>
      <c r="H13" s="7" t="s">
        <v>100</v>
      </c>
      <c r="I13" s="7" t="s">
        <v>101</v>
      </c>
    </row>
    <row r="14" customFormat="false" ht="22" hidden="false" customHeight="true" outlineLevel="0" collapsed="false">
      <c r="A14" s="12" t="n">
        <v>46214</v>
      </c>
      <c r="B14" s="11" t="s">
        <v>98</v>
      </c>
      <c r="C14" s="11" t="s">
        <v>103</v>
      </c>
      <c r="D14" s="13" t="n">
        <v>1</v>
      </c>
      <c r="E14" s="13" t="n">
        <v>340</v>
      </c>
      <c r="F14" s="14" t="n">
        <f aca="false">ROUND(D14*E14,2)</f>
        <v>340</v>
      </c>
      <c r="G14" s="14"/>
      <c r="H14" s="11" t="s">
        <v>100</v>
      </c>
      <c r="I14" s="11" t="s">
        <v>101</v>
      </c>
    </row>
    <row r="15" customFormat="false" ht="22" hidden="false" customHeight="true" outlineLevel="0" collapsed="false">
      <c r="A15" s="8" t="n">
        <v>46215</v>
      </c>
      <c r="B15" s="7" t="s">
        <v>98</v>
      </c>
      <c r="C15" s="7" t="s">
        <v>103</v>
      </c>
      <c r="D15" s="9" t="n">
        <v>1</v>
      </c>
      <c r="E15" s="9" t="n">
        <v>340</v>
      </c>
      <c r="F15" s="10" t="n">
        <f aca="false">ROUND(D15*E15,2)</f>
        <v>340</v>
      </c>
      <c r="G15" s="10"/>
      <c r="H15" s="7" t="s">
        <v>100</v>
      </c>
      <c r="I15" s="7" t="s">
        <v>101</v>
      </c>
    </row>
    <row r="16" customFormat="false" ht="34" hidden="false" customHeight="true" outlineLevel="0" collapsed="false">
      <c r="A16" s="12" t="n">
        <v>46216</v>
      </c>
      <c r="B16" s="11" t="s">
        <v>98</v>
      </c>
      <c r="C16" s="11" t="s">
        <v>102</v>
      </c>
      <c r="D16" s="13" t="n">
        <v>1</v>
      </c>
      <c r="E16" s="13" t="n">
        <v>340</v>
      </c>
      <c r="F16" s="14" t="n">
        <f aca="false">ROUND(D16*E16,2)</f>
        <v>340</v>
      </c>
      <c r="G16" s="14"/>
      <c r="H16" s="11" t="s">
        <v>100</v>
      </c>
      <c r="I16" s="11" t="s">
        <v>101</v>
      </c>
    </row>
    <row r="17" customFormat="false" ht="34" hidden="false" customHeight="true" outlineLevel="0" collapsed="false">
      <c r="A17" s="8" t="n">
        <v>46217</v>
      </c>
      <c r="B17" s="7" t="s">
        <v>98</v>
      </c>
      <c r="C17" s="7" t="s">
        <v>102</v>
      </c>
      <c r="D17" s="9" t="n">
        <v>1</v>
      </c>
      <c r="E17" s="9" t="n">
        <v>340</v>
      </c>
      <c r="F17" s="10" t="n">
        <f aca="false">ROUND(D17*E17,2)</f>
        <v>340</v>
      </c>
      <c r="G17" s="10"/>
      <c r="H17" s="7" t="s">
        <v>100</v>
      </c>
      <c r="I17" s="7" t="s">
        <v>101</v>
      </c>
    </row>
    <row r="18" customFormat="false" ht="22" hidden="false" customHeight="true" outlineLevel="0" collapsed="false">
      <c r="A18" s="12" t="n">
        <v>46218</v>
      </c>
      <c r="B18" s="11" t="s">
        <v>98</v>
      </c>
      <c r="C18" s="11" t="s">
        <v>104</v>
      </c>
      <c r="D18" s="13" t="n">
        <v>1</v>
      </c>
      <c r="E18" s="13" t="n">
        <v>340</v>
      </c>
      <c r="F18" s="14" t="n">
        <f aca="false">ROUND(D18*E18,2)</f>
        <v>340</v>
      </c>
      <c r="G18" s="14"/>
      <c r="H18" s="11" t="s">
        <v>100</v>
      </c>
      <c r="I18" s="11" t="s">
        <v>101</v>
      </c>
    </row>
    <row r="19" customFormat="false" ht="34" hidden="false" customHeight="true" outlineLevel="0" collapsed="false">
      <c r="A19" s="8" t="n">
        <v>46219</v>
      </c>
      <c r="B19" s="7" t="s">
        <v>98</v>
      </c>
      <c r="C19" s="7" t="s">
        <v>102</v>
      </c>
      <c r="D19" s="9" t="n">
        <v>1</v>
      </c>
      <c r="E19" s="9" t="n">
        <v>340</v>
      </c>
      <c r="F19" s="10" t="n">
        <f aca="false">ROUND(D19*E19,2)</f>
        <v>340</v>
      </c>
      <c r="G19" s="10"/>
      <c r="H19" s="7" t="s">
        <v>100</v>
      </c>
      <c r="I19" s="7" t="s">
        <v>101</v>
      </c>
    </row>
    <row r="20" customFormat="false" ht="22" hidden="false" customHeight="true" outlineLevel="0" collapsed="false">
      <c r="A20" s="12" t="n">
        <v>46220</v>
      </c>
      <c r="B20" s="11" t="s">
        <v>98</v>
      </c>
      <c r="C20" s="11" t="s">
        <v>105</v>
      </c>
      <c r="D20" s="13" t="n">
        <v>1</v>
      </c>
      <c r="E20" s="13" t="n">
        <v>340</v>
      </c>
      <c r="F20" s="14" t="n">
        <f aca="false">ROUND(D20*E20,2)</f>
        <v>340</v>
      </c>
      <c r="G20" s="14"/>
      <c r="H20" s="11" t="s">
        <v>100</v>
      </c>
      <c r="I20" s="11" t="s">
        <v>101</v>
      </c>
    </row>
    <row r="21" customFormat="false" ht="22" hidden="false" customHeight="true" outlineLevel="0" collapsed="false">
      <c r="A21" s="8" t="n">
        <v>46209</v>
      </c>
      <c r="B21" s="7" t="s">
        <v>106</v>
      </c>
      <c r="C21" s="7" t="s">
        <v>107</v>
      </c>
      <c r="D21" s="10"/>
      <c r="E21" s="10"/>
      <c r="F21" s="10"/>
      <c r="G21" s="9" t="n">
        <v>120</v>
      </c>
      <c r="H21" s="7" t="s">
        <v>108</v>
      </c>
      <c r="I21" s="7" t="s">
        <v>109</v>
      </c>
    </row>
    <row r="22" customFormat="false" ht="22" hidden="false" customHeight="true" outlineLevel="0" collapsed="false">
      <c r="A22" s="12" t="n">
        <v>46213</v>
      </c>
      <c r="B22" s="11" t="s">
        <v>106</v>
      </c>
      <c r="C22" s="11" t="s">
        <v>110</v>
      </c>
      <c r="D22" s="14"/>
      <c r="E22" s="14"/>
      <c r="F22" s="14"/>
      <c r="G22" s="13" t="n">
        <v>138.6</v>
      </c>
      <c r="H22" s="11" t="s">
        <v>108</v>
      </c>
      <c r="I22" s="11" t="s">
        <v>109</v>
      </c>
    </row>
    <row r="23" customFormat="false" ht="22" hidden="false" customHeight="true" outlineLevel="0" collapsed="false">
      <c r="A23" s="8" t="n">
        <v>46216</v>
      </c>
      <c r="B23" s="7" t="s">
        <v>106</v>
      </c>
      <c r="C23" s="7" t="s">
        <v>111</v>
      </c>
      <c r="D23" s="10"/>
      <c r="E23" s="10"/>
      <c r="F23" s="10"/>
      <c r="G23" s="9" t="n">
        <v>149.1</v>
      </c>
      <c r="H23" s="7" t="s">
        <v>108</v>
      </c>
      <c r="I23" s="7" t="s">
        <v>109</v>
      </c>
    </row>
    <row r="24" customFormat="false" ht="34" hidden="false" customHeight="true" outlineLevel="0" collapsed="false">
      <c r="A24" s="12" t="n">
        <v>46218</v>
      </c>
      <c r="B24" s="11" t="s">
        <v>106</v>
      </c>
      <c r="C24" s="11" t="s">
        <v>112</v>
      </c>
      <c r="D24" s="14"/>
      <c r="E24" s="14"/>
      <c r="F24" s="14"/>
      <c r="G24" s="13" t="n">
        <v>155.8</v>
      </c>
      <c r="H24" s="11" t="s">
        <v>113</v>
      </c>
      <c r="I24" s="11" t="s">
        <v>109</v>
      </c>
    </row>
    <row r="25" customFormat="false" ht="22" hidden="false" customHeight="true" outlineLevel="0" collapsed="false">
      <c r="A25" s="8" t="n">
        <v>46219</v>
      </c>
      <c r="B25" s="7" t="s">
        <v>106</v>
      </c>
      <c r="C25" s="7" t="s">
        <v>114</v>
      </c>
      <c r="D25" s="10"/>
      <c r="E25" s="10"/>
      <c r="F25" s="10"/>
      <c r="G25" s="9" t="n">
        <v>160.8</v>
      </c>
      <c r="H25" s="7" t="s">
        <v>108</v>
      </c>
      <c r="I25" s="7" t="s">
        <v>109</v>
      </c>
    </row>
    <row r="26" customFormat="false" ht="22" hidden="false" customHeight="true" outlineLevel="0" collapsed="false">
      <c r="A26" s="12" t="n">
        <v>46221</v>
      </c>
      <c r="B26" s="11" t="s">
        <v>106</v>
      </c>
      <c r="C26" s="11" t="s">
        <v>115</v>
      </c>
      <c r="D26" s="14"/>
      <c r="E26" s="14"/>
      <c r="F26" s="14"/>
      <c r="G26" s="13" t="n">
        <v>166.2</v>
      </c>
      <c r="H26" s="11" t="s">
        <v>116</v>
      </c>
      <c r="I26" s="11" t="s">
        <v>109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2026-08-04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