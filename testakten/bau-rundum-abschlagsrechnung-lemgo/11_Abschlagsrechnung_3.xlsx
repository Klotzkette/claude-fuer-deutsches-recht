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63ae7ab53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26098" sheetId="1" r:id="R166265f8b677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0.0%"/>
  </x:numFmts>
  <x:fonts count="4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4D46"/>
      </x:patternFill>
    </x:fill>
    <x:fill>
      <x:patternFill patternType="solid">
        <x:fgColor rgb="FFF1F3F2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90cd2e3c74a6d" /><Relationship Type="http://schemas.openxmlformats.org/officeDocument/2006/relationships/theme" Target="/xl/theme/theme1.xml" Id="R14a98606d9e6417f" /><Relationship Type="http://schemas.openxmlformats.org/officeDocument/2006/relationships/sharedStrings" Target="/xl/sharedStrings.xml" Id="R8f9f9b0c69e449c6" /><Relationship Type="http://schemas.openxmlformats.org/officeDocument/2006/relationships/worksheet" Target="/xl/worksheets/sheet1.xml" Id="R166265f8b6774b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25" hidden="0" customWidth="1"/>
    <ns0:col min="2" max="2" width="32" hidden="0" customWidth="1"/>
    <ns0:col min="3" max="3" width="13" hidden="0" customWidth="1"/>
    <ns0:col min="4" max="4" width="15" hidden="0" customWidth="1"/>
    <ns0:col min="5" max="5" width="17" hidden="0" customWidth="1"/>
    <ns0:col min="6" max="6" width="22" hidden="0" customWidth="1"/>
  </ns0:cols>
  <ns0:sheetData>
    <ns0:row r="2" ht="28" customHeight="1">
      <ns0:c r="A2" s="8" t="str">
        <ns0:v>Dritte Abschlagsrechnung WB26098</ns0:v>
      </ns0:c>
      <ns0:c r="B2" s="8"/>
      <ns0:c r="C2" s="8"/>
      <ns0:c r="D2" s="8"/>
      <ns0:c r="E2" s="8"/>
      <ns0:c r="F2" s="8"/>
    </ns0:row>
    <ns0:row r="3" ht="28" customHeight="1">
      <ns0:c r="A3" s="6" t="str">
        <ns0:v>Weserbogen Bau GmbH / Maren Beck | 2026-08-03</ns0:v>
      </ns0:c>
      <ns0:c r="B3" s="6"/>
      <ns0:c r="C3" s="6"/>
      <ns0:c r="D3" s="6"/>
      <ns0:c r="E3" s="6"/>
      <ns0:c r="F3" s="6"/>
    </ns0:row>
    <ns0:row r="4" ht="22" customHeight="1">
      <ns0:c r="A4" s="6"/>
      <ns0:c r="B4" s="6"/>
      <ns0:c r="C4" s="6"/>
      <ns0:c r="D4" s="6"/>
      <ns0:c r="E4" s="6"/>
      <ns0:c r="F4" s="6"/>
    </ns0:row>
    <ns0:row r="5" ht="38" customHeight="1">
      <ns0:c r="A5" s="10" t="str">
        <ns0:v>Position</ns0:v>
      </ns0:c>
      <ns0:c r="B5" s="10" t="str">
        <ns0:v>Leistung</ns0:v>
      </ns0:c>
      <ns0:c r="C5" s="10" t="str">
        <ns0:v>Einheit</ns0:v>
      </ns0:c>
      <ns0:c r="D5" s="10" t="str">
        <ns0:v>Menge kum.</ns0:v>
      </ns0:c>
      <ns0:c r="E5" s="10" t="str">
        <ns0:v>EP netto EUR</ns0:v>
      </ns0:c>
      <ns0:c r="F5" s="10" t="str">
        <ns0:v>Betrag netto EUR</ns0:v>
      </ns0:c>
    </ns0:row>
    <ns0:row r="6" ht="22" customHeight="1">
      <ns0:c r="A6" s="11" t="str">
        <ns0:v>01.010</ns0:v>
      </ns0:c>
      <ns0:c r="B6" s="11" t="str">
        <ns0:v>Baustelleneinrichtung</ns0:v>
      </ns0:c>
      <ns0:c r="C6" s="11" t="str">
        <ns0:v>psch</ns0:v>
      </ns0:c>
      <ns0:c r="D6" s="13" t="n">
        <ns0:v>1</ns0:v>
      </ns0:c>
      <ns0:c r="E6" s="13" t="n">
        <ns0:v>12500</ns0:v>
      </ns0:c>
      <ns0:c r="F6" s="13" t="n">
        <ns0:f>ROUND(D6*E6,2)</ns0:f>
        <ns0:v>12500</ns0:v>
      </ns0:c>
    </ns0:row>
    <ns0:row r="7" ht="22" customHeight="1">
      <ns0:c r="A7" s="7" t="str">
        <ns0:v>02.010</ns0:v>
      </ns0:c>
      <ns0:c r="B7" s="7" t="str">
        <ns0:v>Bodenplatte Beton</ns0:v>
      </ns0:c>
      <ns0:c r="C7" s="7" t="str">
        <ns0:v>m³</ns0:v>
      </ns0:c>
      <ns0:c r="D7" s="14" t="n">
        <ns0:v>118.5</ns0:v>
      </ns0:c>
      <ns0:c r="E7" s="14" t="n">
        <ns0:v>185</ns0:v>
      </ns0:c>
      <ns0:c r="F7" s="14" t="n">
        <ns0:f>ROUND(D7*E7,2)</ns0:f>
        <ns0:v>21922.5</ns0:v>
      </ns0:c>
    </ns0:row>
    <ns0:row r="8" ht="22" customHeight="1">
      <ns0:c r="A8" s="11" t="str">
        <ns0:v>02.020</ns0:v>
      </ns0:c>
      <ns0:c r="B8" s="11" t="str">
        <ns0:v>Bewehrung</ns0:v>
      </ns0:c>
      <ns0:c r="C8" s="11" t="str">
        <ns0:v>t</ns0:v>
      </ns0:c>
      <ns0:c r="D8" s="13" t="n">
        <ns0:v>18.2</ns0:v>
      </ns0:c>
      <ns0:c r="E8" s="13" t="n">
        <ns0:v>1450</ns0:v>
      </ns0:c>
      <ns0:c r="F8" s="13" t="n">
        <ns0:f>ROUND(D8*E8,2)</ns0:f>
        <ns0:v>26390</ns0:v>
      </ns0:c>
    </ns0:row>
    <ns0:row r="9" ht="22" customHeight="1">
      <ns0:c r="A9" s="7" t="str">
        <ns0:v>03.010</ns0:v>
      </ns0:c>
      <ns0:c r="B9" s="7" t="str">
        <ns0:v>Mauerwerk</ns0:v>
      </ns0:c>
      <ns0:c r="C9" s="7" t="str">
        <ns0:v>m²</ns0:v>
      </ns0:c>
      <ns0:c r="D9" s="14" t="n">
        <ns0:v>402</ns0:v>
      </ns0:c>
      <ns0:c r="E9" s="14" t="n">
        <ns0:v>92</ns0:v>
      </ns0:c>
      <ns0:c r="F9" s="14" t="n">
        <ns0:f>ROUND(D9*E9,2)</ns0:f>
        <ns0:v>36984</ns0:v>
      </ns0:c>
    </ns0:row>
    <ns0:row r="10" ht="22" customHeight="1">
      <ns0:c r="A10" s="11" t="str">
        <ns0:v>03.020</ns0:v>
      </ns0:c>
      <ns0:c r="B10" s="11" t="str">
        <ns0:v>Wandschalung</ns0:v>
      </ns0:c>
      <ns0:c r="C10" s="11" t="str">
        <ns0:v>m²</ns0:v>
      </ns0:c>
      <ns0:c r="D10" s="13" t="n">
        <ns0:v>248</ns0:v>
      </ns0:c>
      <ns0:c r="E10" s="13" t="n">
        <ns0:v>42</ns0:v>
      </ns0:c>
      <ns0:c r="F10" s="13" t="n">
        <ns0:f>ROUND(D10*E10,2)</ns0:f>
        <ns0:v>10416</ns0:v>
      </ns0:c>
    </ns0:row>
    <ns0:row r="11" ht="22" customHeight="1">
      <ns0:c r="A11" s="7" t="str">
        <ns0:v>04.010</ns0:v>
      </ns0:c>
      <ns0:c r="B11" s="7" t="str">
        <ns0:v>Deckenbeton</ns0:v>
      </ns0:c>
      <ns0:c r="C11" s="7" t="str">
        <ns0:v>m³</ns0:v>
      </ns0:c>
      <ns0:c r="D11" s="14" t="n">
        <ns0:v>82</ns0:v>
      </ns0:c>
      <ns0:c r="E11" s="14" t="n">
        <ns0:v>198</ns0:v>
      </ns0:c>
      <ns0:c r="F11" s="14" t="n">
        <ns0:f>ROUND(D11*E11,2)</ns0:f>
        <ns0:v>16236</ns0:v>
      </ns0:c>
    </ns0:row>
    <ns0:row r="12" ht="22" customHeight="1">
      <ns0:c r="A12" s="11" t="str">
        <ns0:v>04.020</ns0:v>
      </ns0:c>
      <ns0:c r="B12" s="11" t="str">
        <ns0:v>Abdichtung Sockel</ns0:v>
      </ns0:c>
      <ns0:c r="C12" s="11" t="str">
        <ns0:v>m²</ns0:v>
      </ns0:c>
      <ns0:c r="D12" s="13" t="n">
        <ns0:v>142</ns0:v>
      </ns0:c>
      <ns0:c r="E12" s="13" t="n">
        <ns0:v>37</ns0:v>
      </ns0:c>
      <ns0:c r="F12" s="13" t="n">
        <ns0:f>ROUND(D12*E12,2)</ns0:f>
        <ns0:v>5254</ns0:v>
      </ns0:c>
    </ns0:row>
    <ns0:row r="13" ht="22" customHeight="1">
      <ns0:c r="A13" s="7" t="str">
        <ns0:v>05.010</ns0:v>
      </ns0:c>
      <ns0:c r="B13" s="7" t="str">
        <ns0:v>Stahlstützen montiert</ns0:v>
      </ns0:c>
      <ns0:c r="C13" s="7" t="str">
        <ns0:v>St</ns0:v>
      </ns0:c>
      <ns0:c r="D13" s="14" t="n">
        <ns0:v>8</ns0:v>
      </ns0:c>
      <ns0:c r="E13" s="14" t="n">
        <ns0:v>1745</ns0:v>
      </ns0:c>
      <ns0:c r="F13" s="14" t="n">
        <ns0:f>ROUND(D13*E13,2)</ns0:f>
        <ns0:v>13960</ns0:v>
      </ns0:c>
    </ns0:row>
    <ns0:row r="14" ht="22" customHeight="1">
      <ns0:c r="A14" s="11" t="str">
        <ns0:v>N01.010</ns0:v>
      </ns0:c>
      <ns0:c r="B14" s="11" t="str">
        <ns0:v>Unterfangung</ns0:v>
      </ns0:c>
      <ns0:c r="C14" s="11" t="str">
        <ns0:v>m</ns0:v>
      </ns0:c>
      <ns0:c r="D14" s="13" t="n">
        <ns0:v>18</ns0:v>
      </ns0:c>
      <ns0:c r="E14" s="13" t="n">
        <ns0:v>210</ns0:v>
      </ns0:c>
      <ns0:c r="F14" s="13" t="n">
        <ns0:f>ROUND(D14*E14,2)</ns0:f>
        <ns0:v>3780</ns0:v>
      </ns0:c>
    </ns0:row>
    <ns0:row r="15" ht="22" customHeight="1">
      <ns0:c r="A15" s="7" t="str">
        <ns0:v>N02.010</ns0:v>
      </ns0:c>
      <ns0:c r="B15" s="7" t="str">
        <ns0:v>Pumpenhaltung</ns0:v>
      </ns0:c>
      <ns0:c r="C15" s="7" t="str">
        <ns0:v>Tag</ns0:v>
      </ns0:c>
      <ns0:c r="D15" s="14" t="n">
        <ns0:v>12</ns0:v>
      </ns0:c>
      <ns0:c r="E15" s="14" t="n">
        <ns0:v>340</ns0:v>
      </ns0:c>
      <ns0:c r="F15" s="14" t="n">
        <ns0:f>ROUND(D15*E15,2)</ns0:f>
        <ns0:v>4080</ns0:v>
      </ns0:c>
    </ns0:row>
    <ns0:row r="16" ht="22" customHeight="1">
      <ns0:c r="A16" s="11" t="str">
        <ns0:v>Kumulativ netto</ns0:v>
      </ns0:c>
      <ns0:c r="B16" s="11" t="str"/>
      <ns0:c r="C16" s="11" t="str"/>
      <ns0:c r="D16" s="13" t="str"/>
      <ns0:c r="E16" s="13" t="str"/>
      <ns0:c r="F16" s="13" t="n">
        <ns0:f>SUM(F6:F15)</ns0:f>
        <ns0:v>151522.5</ns0:v>
      </ns0:c>
    </ns0:row>
    <ns0:row r="17" ht="22" customHeight="1">
      <ns0:c r="A17" s="7" t="str">
        <ns0:v>Umsatzsteuer</ns0:v>
      </ns0:c>
      <ns0:c r="B17" s="15" t="n">
        <ns0:v>0.19</ns0:v>
      </ns0:c>
      <ns0:c r="C17" s="7" t="str"/>
      <ns0:c r="D17" s="14" t="str"/>
      <ns0:c r="E17" s="14" t="str"/>
      <ns0:c r="F17" s="14" t="n">
        <ns0:f>ROUND(F16*B17,2)</ns0:f>
        <ns0:v>28789.28</ns0:v>
      </ns0:c>
    </ns0:row>
    <ns0:row r="18" ht="22" customHeight="1">
      <ns0:c r="A18" s="11" t="str">
        <ns0:v>Kumulativ brutto</ns0:v>
      </ns0:c>
      <ns0:c r="B18" s="11" t="str"/>
      <ns0:c r="C18" s="11" t="str"/>
      <ns0:c r="D18" s="13" t="str"/>
      <ns0:c r="E18" s="13" t="str"/>
      <ns0:c r="F18" s="13" t="n">
        <ns0:f>F16+F17</ns0:f>
        <ns0:v>180311.78</ns0:v>
      </ns0:c>
    </ns0:row>
    <ns0:row r="19" ht="22" customHeight="1">
      <ns0:c r="A19" s="7" t="str">
        <ns0:v>Sicherung</ns0:v>
      </ns0:c>
      <ns0:c r="B19" s="15" t="n">
        <ns0:v>0.05</ns0:v>
      </ns0:c>
      <ns0:c r="C19" s="7" t="str"/>
      <ns0:c r="D19" s="14" t="str"/>
      <ns0:c r="E19" s="14" t="str"/>
      <ns0:c r="F19" s="14" t="n">
        <ns0:f>ROUND(F18*B19,2)</ns0:f>
        <ns0:v>9015.59</ns0:v>
      </ns0:c>
    </ns0:row>
    <ns0:row r="20" ht="22" customHeight="1">
      <ns0:c r="A20" s="11" t="str">
        <ns0:v>Zahlung 22.06.</ns0:v>
      </ns0:c>
      <ns0:c r="B20" s="13" t="n">
        <ns0:v>44541.7</ns0:v>
      </ns0:c>
      <ns0:c r="C20" s="12"/>
      <ns0:c r="D20" s="13"/>
      <ns0:c r="E20" s="13"/>
      <ns0:c r="F20" s="13"/>
    </ns0:row>
    <ns0:row r="21" ht="22" customHeight="1">
      <ns0:c r="A21" s="7" t="str">
        <ns0:v>Zahlungen Juli</ns0:v>
      </ns0:c>
      <ns0:c r="B21" s="14" t="n">
        <ns0:v>56097.38</ns0:v>
      </ns0:c>
      <ns0:c r="C21" s="6"/>
      <ns0:c r="D21" s="14"/>
      <ns0:c r="E21" s="14"/>
      <ns0:c r="F21" s="14"/>
    </ns0:row>
    <ns0:row r="22" ht="22" customHeight="1">
      <ns0:c r="A22" s="11" t="str">
        <ns0:v>Anforderung brutto</ns0:v>
      </ns0:c>
      <ns0:c r="B22" s="11" t="str"/>
      <ns0:c r="C22" s="11" t="str"/>
      <ns0:c r="D22" s="13" t="str"/>
      <ns0:c r="E22" s="13" t="str"/>
      <ns0:c r="F22" s="13" t="n">
        <ns0:f>F18-F19-B20-B21</ns0:f>
        <ns0:v>70657.11000000002</ns0:v>
      </ns0:c>
    </ns0:row>
    <ns0:row r="23" ht="22" customHeight="1">
      <ns0:c r="A23" s="6"/>
      <ns0:c r="B23" s="6"/>
      <ns0:c r="C23" s="6"/>
      <ns0:c r="D23" s="6"/>
      <ns0:c r="E23" s="6"/>
      <ns0:c r="F23" s="6"/>
    </ns0:row>
    <ns0:row r="24" ht="22" customHeight="1">
      <ns0:c r="A24" s="6" t="str">
        <ns0:v>Leistungsstand 31.07.2026. Forderungsaufstellung des Auftragnehmers.</ns0:v>
      </ns0:c>
      <ns0:c r="B24" s="6"/>
      <ns0:c r="C24" s="6"/>
      <ns0:c r="D24" s="6"/>
      <ns0:c r="E24" s="6"/>
      <ns0:c r="F24" s="6"/>
    </ns0:row>
    <ns0:row r="25" ht="22" customHeight="1">
      <ns0:c r="A25" s="6" t="str">
        <ns0:v>Fünf Prozent Sicherung. Mängelbedingte Rückbehalte sind hier nicht nochmals abgezogen.</ns0:v>
      </ns0:c>
      <ns0:c r="B25" s="6"/>
      <ns0:c r="C25" s="6"/>
      <ns0:c r="D25" s="6"/>
      <ns0:c r="E25" s="6"/>
      <ns0:c r="F25" s="6"/>
    </ns0:row>
    <ns0:row r="26" ht="22" customHeight="1">
      <ns0:c r="A26" s="6" t="str">
        <ns0:v>gez. Maren Beck, Rechnungswesen; 03.08.2026. Vertrag QB-26/R01.</ns0:v>
      </ns0:c>
      <ns0:c r="B26" s="6"/>
      <ns0:c r="C26" s="6"/>
      <ns0:c r="D26" s="6"/>
      <ns0:c r="E26" s="6"/>
      <ns0:c r="F26" s="6"/>
    </ns0:row>
  </ns0:sheetData>
  <ns0:mergeCells>
    <ns0:mergeCell ref="A2:F2"/>
    <ns0:mergeCell ref="A3:F3"/>
    <ns0:mergeCell ref="A24:F24"/>
    <ns0:mergeCell ref="A25:F25"/>
    <ns0:mergeCell ref="A26:F26"/>
  </ns0:mergeCells>
  <ns0:pageMargins left="0.3" right="0.3" top="0.4" bottom="0.4" header="0.2" footer="0.2"/>
  <ns0:pageSetup paperSize="9" orientation="landscape" fitToWidth="1" fitToHeight="1"/>
</ns0:worksheet>
</file>