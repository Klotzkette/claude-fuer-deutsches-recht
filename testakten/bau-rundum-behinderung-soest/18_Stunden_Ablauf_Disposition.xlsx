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gesstunden" sheetId="1" state="visible" r:id="rId3"/>
    <sheet name="Tagesjournal" sheetId="2" state="visible" r:id="rId4"/>
    <sheet name="Disposition" sheetId="3" state="visible" r:id="rId5"/>
  </sheets>
  <definedNames>
    <definedName function="false" hidden="false" localSheetId="2" name="_xlnm.Print_Area" vbProcedure="false">Disposition!$A$1:$I$23</definedName>
    <definedName function="false" hidden="false" localSheetId="2" name="_xlnm.Print_Titles" vbProcedure="false">Disposition!$8:$8</definedName>
    <definedName function="false" hidden="false" localSheetId="1" name="_xlnm.Print_Area" vbProcedure="false">Tagesjournal!$A$1:$H$43</definedName>
    <definedName function="false" hidden="false" localSheetId="1" name="_xlnm.Print_Titles" vbProcedure="false">Tagesjournal!$8:$8</definedName>
    <definedName function="false" hidden="false" localSheetId="0" name="_xlnm.Print_Area" vbProcedure="false">Tagesstunden!$A$1:$I$23</definedName>
    <definedName function="false" hidden="false" localSheetId="0" name="_xlnm.Print_Titles" vbProcedure="false">Tagesstunden!$8:$8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<sst xmlns="http://schemas.openxmlformats.org/spreadsheetml/2006/main" count="306" uniqueCount="137">
  <si>
    <t xml:space="preserve">1 Stundenregister SR-26</t>
  </si>
  <si>
    <t xml:space="preserve">14./15.09. nach 09_Stundenliste.csv. Fortschreibung 16.09. nur 07:00 bis 11:15 nach 15_Polierbuch_Vormittag.docx; kein vollständiger Arbeitstag.</t>
  </si>
  <si>
    <t xml:space="preserve">David Kroll, Stand 16.09.2026</t>
  </si>
  <si>
    <t xml:space="preserve">Positionen</t>
  </si>
  <si>
    <t xml:space="preserve">Anwesenheit min</t>
  </si>
  <si>
    <t xml:space="preserve">Pause min</t>
  </si>
  <si>
    <t xml:space="preserve">Ost frei min</t>
  </si>
  <si>
    <t xml:space="preserve">West min</t>
  </si>
  <si>
    <t xml:space="preserve">Koordination / Warten min</t>
  </si>
  <si>
    <t xml:space="preserve">Nettoanwesenheit h</t>
  </si>
  <si>
    <t xml:space="preserve">Datum</t>
  </si>
  <si>
    <t xml:space="preserve">Person</t>
  </si>
  <si>
    <t xml:space="preserve">Quelle / Register</t>
  </si>
  <si>
    <t xml:space="preserve">David Kroll</t>
  </si>
  <si>
    <t xml:space="preserve">09_Stundenliste.csv</t>
  </si>
  <si>
    <t xml:space="preserve">Mehmet Aydin</t>
  </si>
  <si>
    <t xml:space="preserve">Ronja Seifert</t>
  </si>
  <si>
    <t xml:space="preserve">Benno Schulz</t>
  </si>
  <si>
    <t xml:space="preserve">Janis Weber</t>
  </si>
  <si>
    <t xml:space="preserve">Stundenregister SR-26</t>
  </si>
  <si>
    <t xml:space="preserve">2 Tagesjournal Bodenplatte und Wände</t>
  </si>
  <si>
    <t xml:space="preserve">Zeitpunkte aus Bautagebuch, Telefonnotizen und Montageunterlagen. Einzelereignisse sind keine abrechenbaren Stillstandsintervalle.</t>
  </si>
  <si>
    <t xml:space="preserve">Zeit</t>
  </si>
  <si>
    <t xml:space="preserve">Bereich</t>
  </si>
  <si>
    <t xml:space="preserve">Ereignis</t>
  </si>
  <si>
    <t xml:space="preserve">Menge</t>
  </si>
  <si>
    <t xml:space="preserve">Einheit</t>
  </si>
  <si>
    <t xml:space="preserve">Quelle</t>
  </si>
  <si>
    <t xml:space="preserve">Baustelle</t>
  </si>
  <si>
    <t xml:space="preserve">Arbeitsbeginn der Kolonne</t>
  </si>
  <si>
    <t xml:space="preserve">Personen</t>
  </si>
  <si>
    <t xml:space="preserve">05_Bautagebuch.pdf</t>
  </si>
  <si>
    <t xml:space="preserve">Rinne Ost</t>
  </si>
  <si>
    <t xml:space="preserve">Offener Rinnenabschnitt festgestellt</t>
  </si>
  <si>
    <t xml:space="preserve">m ungefähr</t>
  </si>
  <si>
    <t xml:space="preserve">Eike Malz</t>
  </si>
  <si>
    <t xml:space="preserve">Fehlende Formstücke angesprochen</t>
  </si>
  <si>
    <t xml:space="preserve">Stück</t>
  </si>
  <si>
    <t xml:space="preserve">12_Telefonnotizen.txt</t>
  </si>
  <si>
    <t xml:space="preserve">Petra Simmen</t>
  </si>
  <si>
    <t xml:space="preserve">Keine Überdeckung freigegeben</t>
  </si>
  <si>
    <t xml:space="preserve">Aydin / Seifert</t>
  </si>
  <si>
    <t xml:space="preserve">Ost frei</t>
  </si>
  <si>
    <t xml:space="preserve">Abstandhalter und erste Matten gestellt</t>
  </si>
  <si>
    <t xml:space="preserve">Durchführungen</t>
  </si>
  <si>
    <t xml:space="preserve">Geänderten Öffnungsplan angekündigt</t>
  </si>
  <si>
    <t xml:space="preserve">Öffnungen</t>
  </si>
  <si>
    <t xml:space="preserve">Kolonne</t>
  </si>
  <si>
    <t xml:space="preserve">Beginn der Mittagspause</t>
  </si>
  <si>
    <t xml:space="preserve">Ende der Mittagspause</t>
  </si>
  <si>
    <t xml:space="preserve">Wechsel aus dem Westbereich</t>
  </si>
  <si>
    <t xml:space="preserve">Ende der Anwesenheit</t>
  </si>
  <si>
    <t xml:space="preserve">Westfeld</t>
  </si>
  <si>
    <t xml:space="preserve">Technische Freigabe für Schalungsarbeiten</t>
  </si>
  <si>
    <t xml:space="preserve">Arbeitsbeginn mit gleicher Kolonne</t>
  </si>
  <si>
    <t xml:space="preserve">Formstücke angeliefert</t>
  </si>
  <si>
    <t xml:space="preserve">Projektraum</t>
  </si>
  <si>
    <t xml:space="preserve">Plan S-17/04 bereitgestellt</t>
  </si>
  <si>
    <t xml:space="preserve">08_Simmen_Plan.eml</t>
  </si>
  <si>
    <t xml:space="preserve">Planablage</t>
  </si>
  <si>
    <t xml:space="preserve">Plan S-17/04 empfangen</t>
  </si>
  <si>
    <t xml:space="preserve">mm Versatz</t>
  </si>
  <si>
    <t xml:space="preserve">Einsetzen der Formstücke abgeschlossen</t>
  </si>
  <si>
    <t xml:space="preserve">Uwe Strack</t>
  </si>
  <si>
    <t xml:space="preserve">Lager West</t>
  </si>
  <si>
    <t xml:space="preserve">Lieferfahrzeug SG-18 angekommen</t>
  </si>
  <si>
    <t xml:space="preserve">06_Lieferbeleg.pdf</t>
  </si>
  <si>
    <t xml:space="preserve">Schulz / Weber</t>
  </si>
  <si>
    <t xml:space="preserve">Entladung begonnen</t>
  </si>
  <si>
    <t xml:space="preserve">Entladung beendet, Übernahme bestätigt</t>
  </si>
  <si>
    <t xml:space="preserve">Zusätzliche Halterung verlangt</t>
  </si>
  <si>
    <t xml:space="preserve">Henning Wilke</t>
  </si>
  <si>
    <t xml:space="preserve">Betondisposition</t>
  </si>
  <si>
    <t xml:space="preserve">Entscheidung über morgigen Termin erfragt</t>
  </si>
  <si>
    <t xml:space="preserve">Liefertermin 16.09. abgesagt</t>
  </si>
  <si>
    <t xml:space="preserve">m³ angemeldet</t>
  </si>
  <si>
    <t xml:space="preserve">07_Beton_Disposition.pdf</t>
  </si>
  <si>
    <t xml:space="preserve">Vollständige Freigabe lag nicht vor</t>
  </si>
  <si>
    <t xml:space="preserve">Arbeitsbeginn mit gleicher Mannschaft</t>
  </si>
  <si>
    <t xml:space="preserve">15_Polierbuch_Vormittag.docx</t>
  </si>
  <si>
    <t xml:space="preserve">Beginn der Sprachnotiz</t>
  </si>
  <si>
    <t xml:space="preserve">02_Diktat_Kroll.txt</t>
  </si>
  <si>
    <t xml:space="preserve">Ende der Sprachnotiz</t>
  </si>
  <si>
    <t xml:space="preserve">Büroablage</t>
  </si>
  <si>
    <t xml:space="preserve">Textübertragung der Sprachnotiz</t>
  </si>
  <si>
    <t xml:space="preserve">Malz / Bock</t>
  </si>
  <si>
    <t xml:space="preserve">Montage zusätzlicher Halterung begonnen</t>
  </si>
  <si>
    <t xml:space="preserve">13_Montageblatt_Rohrsteg.pdf</t>
  </si>
  <si>
    <t xml:space="preserve">Zusätzliche Halterung montiert</t>
  </si>
  <si>
    <t xml:space="preserve">Kontrolltermin vor Ort begonnen</t>
  </si>
  <si>
    <t xml:space="preserve">Seitliche Abdeckung abnehmen lassen</t>
  </si>
  <si>
    <t xml:space="preserve">m</t>
  </si>
  <si>
    <t xml:space="preserve">Termin ohne vollständige Freigabe beendet</t>
  </si>
  <si>
    <t xml:space="preserve">Nele Bock</t>
  </si>
  <si>
    <t xml:space="preserve">Muffenkennzeichnung ins Montagebuch übertragen</t>
  </si>
  <si>
    <t xml:space="preserve">Wechsel zu Schulz und Weber</t>
  </si>
  <si>
    <t xml:space="preserve">Erste Elemente standen, noch nicht fertig</t>
  </si>
  <si>
    <t xml:space="preserve">Elemente</t>
  </si>
  <si>
    <t xml:space="preserve">3 Material- und Dispositionsregister</t>
  </si>
  <si>
    <t xml:space="preserve">Liefermengen, Vormerkungen und Rückmeldefenster getrennt nach Vorgang. Freitagsfenster noch nicht gebucht; Uhrzeiten gelten für den benannten Einsatz.</t>
  </si>
  <si>
    <t xml:space="preserve">Belegdatum</t>
  </si>
  <si>
    <t xml:space="preserve">Partner</t>
  </si>
  <si>
    <t xml:space="preserve">Gegenstand</t>
  </si>
  <si>
    <t xml:space="preserve">Vorgang</t>
  </si>
  <si>
    <t xml:space="preserve">Von / Zeitpunkt</t>
  </si>
  <si>
    <t xml:space="preserve">Bis</t>
  </si>
  <si>
    <t xml:space="preserve">Schalgerät Linden</t>
  </si>
  <si>
    <t xml:space="preserve">Rahmen 2,70 × 0,90 m</t>
  </si>
  <si>
    <t xml:space="preserve">Geliefert, Entladung</t>
  </si>
  <si>
    <t xml:space="preserve">Rahmen 2,70 × 0,60 m</t>
  </si>
  <si>
    <t xml:space="preserve">Richtstützen</t>
  </si>
  <si>
    <t xml:space="preserve">Verbindungskisten</t>
  </si>
  <si>
    <t xml:space="preserve">Verschlossen übergeben</t>
  </si>
  <si>
    <t xml:space="preserve">Elementrückseiten</t>
  </si>
  <si>
    <t xml:space="preserve">Bei Übernahme verschmutzt</t>
  </si>
  <si>
    <t xml:space="preserve">Betonwerk Körnig</t>
  </si>
  <si>
    <t xml:space="preserve">Beton Ostfeld</t>
  </si>
  <si>
    <t xml:space="preserve">Anmeldung für 16.09.</t>
  </si>
  <si>
    <t xml:space="preserve">m³</t>
  </si>
  <si>
    <t xml:space="preserve">Termin 16.09. abgesagt</t>
  </si>
  <si>
    <t xml:space="preserve">Mögliches Fenster 18.09.</t>
  </si>
  <si>
    <t xml:space="preserve">Pumpendienst Hebefluss</t>
  </si>
  <si>
    <t xml:space="preserve">Pumpe 24-m-Klasse</t>
  </si>
  <si>
    <t xml:space="preserve">Früheste Ankunft 18.09.</t>
  </si>
  <si>
    <t xml:space="preserve">Gerät</t>
  </si>
  <si>
    <t xml:space="preserve">14_Pumpen_Dispositionsblatt.pdf</t>
  </si>
  <si>
    <t xml:space="preserve">Aufstellen und Einrichten</t>
  </si>
  <si>
    <t xml:space="preserve">Ansatz nach Ankunft 18.09.</t>
  </si>
  <si>
    <t xml:space="preserve">min</t>
  </si>
  <si>
    <t xml:space="preserve">Freitagsvormerkung</t>
  </si>
  <si>
    <t xml:space="preserve">Rückmeldegrenze heute</t>
  </si>
  <si>
    <t xml:space="preserve">17_Rauter_Pumpenfenster.eml</t>
  </si>
  <si>
    <t xml:space="preserve">Rohrsteg</t>
  </si>
  <si>
    <t xml:space="preserve">Zusätzliche Traverse</t>
  </si>
  <si>
    <t xml:space="preserve">Aus Lager mitgebracht</t>
  </si>
  <si>
    <t xml:space="preserve">Schellen</t>
  </si>
  <si>
    <t xml:space="preserve">Befestigungsmittel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</si>
</sst>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7]#,##0.00\ ;\(#,##0.00&quot;) &quot;;&quot;– &quot;"/>
    <numFmt numFmtId="166" formatCode="dd\.mm\.yyyy\ "/>
    <numFmt numFmtId="167" formatCode="\ @"/>
    <numFmt numFmtId="168" formatCode="hh:mm\ 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4B5572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sz val="9"/>
      <color rgb="FF202D32"/>
      <name val="Arial"/>
      <family val="0"/>
      <charset val="1"/>
    </font>
    <font>
      <b val="true"/>
      <sz val="13"/>
      <color rgb="FF4B557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B5572"/>
        <bgColor rgb="FF536269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B557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4B5572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993366"/>
      <rgbColor rgb="FFF0F4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4B5572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4_1" displayName="Register4_1" ref="A8:I23" headerRowCount="1" totalsRowCount="0" totalsRowShown="0">
  <autoFilter ref="A8:I23"/>
  <tableColumns count="9">
    <tableColumn id="1" name="Datum"/>
    <tableColumn id="2" name="Person"/>
    <tableColumn id="3" name="Anwesenheit min"/>
    <tableColumn id="4" name="Pause min"/>
    <tableColumn id="5" name="Ost frei min"/>
    <tableColumn id="6" name="West min"/>
    <tableColumn id="7" name="Koordination / Warten min"/>
    <tableColumn id="8" name="Nettoanwesenheit h"/>
    <tableColumn id="9" name="Quelle / Regi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4_2" displayName="Register4_2" ref="A8:H43" headerRowCount="1" totalsRowCount="0" totalsRowShown="0">
  <autoFilter ref="A8:H43"/>
  <tableColumns count="8">
    <tableColumn id="1" name="Datum"/>
    <tableColumn id="2" name="Zeit"/>
    <tableColumn id="3" name="Person"/>
    <tableColumn id="4" name="Bereich"/>
    <tableColumn id="5" name="Ereignis"/>
    <tableColumn id="6" name="Menge"/>
    <tableColumn id="7" name="Einheit"/>
    <tableColumn id="8" name="Qu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4_3" displayName="Register4_3" ref="A8:I23" headerRowCount="1" totalsRowCount="0" totalsRowShown="0">
  <autoFilter ref="A8:I23"/>
  <tableColumns count="9">
    <tableColumn id="1" name="Belegdatum"/>
    <tableColumn id="2" name="Partner"/>
    <tableColumn id="3" name="Gegenstand"/>
    <tableColumn id="4" name="Vorgang"/>
    <tableColumn id="5" name="Menge"/>
    <tableColumn id="6" name="Einheit"/>
    <tableColumn id="7" name="Von / Zeitpunkt"/>
    <tableColumn id="8" name="Bis"/>
    <tableColumn id="9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5572"/>
    <pageSetUpPr fitToPage="tru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9" min="9" style="0" width="32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4"/>
    </row>
    <row r="5" customFormat="false" ht="29" hidden="false" customHeight="true" outlineLevel="0" collapsed="false">
      <c r="A5" s="6" t="n">
        <v>15</v>
      </c>
      <c r="B5" s="6"/>
      <c r="C5" s="7" t="n">
        <f aca="false">SUM(C9:C23)</f>
        <v>6675</v>
      </c>
      <c r="D5" s="7" t="n">
        <f aca="false">SUM(D9:D23)</f>
        <v>300</v>
      </c>
      <c r="E5" s="7" t="n">
        <f aca="false">SUM(E9:E23)</f>
        <v>1985</v>
      </c>
      <c r="F5" s="7" t="n">
        <f aca="false">SUM(F9:F23)</f>
        <v>1950</v>
      </c>
      <c r="G5" s="7" t="n">
        <f aca="false">SUM(G9:G23)</f>
        <v>2470</v>
      </c>
      <c r="H5" s="7" t="n">
        <f aca="false">SUM(H9:H23)</f>
        <v>106.25</v>
      </c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8" t="s">
        <v>10</v>
      </c>
      <c r="B8" s="8" t="s">
        <v>11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12</v>
      </c>
    </row>
    <row r="9" customFormat="false" ht="22" hidden="false" customHeight="true" outlineLevel="0" collapsed="false">
      <c r="A9" s="9" t="n">
        <v>46279</v>
      </c>
      <c r="B9" s="10" t="s">
        <v>13</v>
      </c>
      <c r="C9" s="11" t="n">
        <v>540</v>
      </c>
      <c r="D9" s="11" t="n">
        <v>30</v>
      </c>
      <c r="E9" s="11" t="n">
        <v>0</v>
      </c>
      <c r="F9" s="11" t="n">
        <v>0</v>
      </c>
      <c r="G9" s="11" t="n">
        <v>510</v>
      </c>
      <c r="H9" s="11" t="n">
        <f aca="false">(C9-D9)/60</f>
        <v>8.5</v>
      </c>
      <c r="I9" s="10" t="s">
        <v>14</v>
      </c>
    </row>
    <row r="10" customFormat="false" ht="22" hidden="false" customHeight="true" outlineLevel="0" collapsed="false">
      <c r="A10" s="12" t="n">
        <v>46279</v>
      </c>
      <c r="B10" s="13" t="s">
        <v>15</v>
      </c>
      <c r="C10" s="14" t="n">
        <v>540</v>
      </c>
      <c r="D10" s="14" t="n">
        <v>30</v>
      </c>
      <c r="E10" s="14" t="n">
        <v>420</v>
      </c>
      <c r="F10" s="14" t="n">
        <v>0</v>
      </c>
      <c r="G10" s="14" t="n">
        <v>90</v>
      </c>
      <c r="H10" s="14" t="n">
        <f aca="false">(C10-D10)/60</f>
        <v>8.5</v>
      </c>
      <c r="I10" s="13" t="s">
        <v>14</v>
      </c>
    </row>
    <row r="11" customFormat="false" ht="22" hidden="false" customHeight="true" outlineLevel="0" collapsed="false">
      <c r="A11" s="9" t="n">
        <v>46279</v>
      </c>
      <c r="B11" s="10" t="s">
        <v>16</v>
      </c>
      <c r="C11" s="11" t="n">
        <v>540</v>
      </c>
      <c r="D11" s="11" t="n">
        <v>30</v>
      </c>
      <c r="E11" s="11" t="n">
        <v>420</v>
      </c>
      <c r="F11" s="11" t="n">
        <v>0</v>
      </c>
      <c r="G11" s="11" t="n">
        <v>90</v>
      </c>
      <c r="H11" s="11" t="n">
        <f aca="false">(C11-D11)/60</f>
        <v>8.5</v>
      </c>
      <c r="I11" s="10" t="s">
        <v>14</v>
      </c>
    </row>
    <row r="12" customFormat="false" ht="22" hidden="false" customHeight="true" outlineLevel="0" collapsed="false">
      <c r="A12" s="12" t="n">
        <v>46279</v>
      </c>
      <c r="B12" s="13" t="s">
        <v>17</v>
      </c>
      <c r="C12" s="14" t="n">
        <v>540</v>
      </c>
      <c r="D12" s="14" t="n">
        <v>30</v>
      </c>
      <c r="E12" s="14" t="n">
        <v>180</v>
      </c>
      <c r="F12" s="14" t="n">
        <v>240</v>
      </c>
      <c r="G12" s="14" t="n">
        <v>90</v>
      </c>
      <c r="H12" s="14" t="n">
        <f aca="false">(C12-D12)/60</f>
        <v>8.5</v>
      </c>
      <c r="I12" s="13" t="s">
        <v>14</v>
      </c>
    </row>
    <row r="13" customFormat="false" ht="22" hidden="false" customHeight="true" outlineLevel="0" collapsed="false">
      <c r="A13" s="9" t="n">
        <v>46279</v>
      </c>
      <c r="B13" s="10" t="s">
        <v>18</v>
      </c>
      <c r="C13" s="11" t="n">
        <v>540</v>
      </c>
      <c r="D13" s="11" t="n">
        <v>30</v>
      </c>
      <c r="E13" s="11" t="n">
        <v>0</v>
      </c>
      <c r="F13" s="11" t="n">
        <v>420</v>
      </c>
      <c r="G13" s="11" t="n">
        <v>90</v>
      </c>
      <c r="H13" s="11" t="n">
        <f aca="false">(C13-D13)/60</f>
        <v>8.5</v>
      </c>
      <c r="I13" s="10" t="s">
        <v>14</v>
      </c>
    </row>
    <row r="14" customFormat="false" ht="22" hidden="false" customHeight="true" outlineLevel="0" collapsed="false">
      <c r="A14" s="12" t="n">
        <v>46280</v>
      </c>
      <c r="B14" s="13" t="s">
        <v>13</v>
      </c>
      <c r="C14" s="14" t="n">
        <v>540</v>
      </c>
      <c r="D14" s="14" t="n">
        <v>30</v>
      </c>
      <c r="E14" s="14" t="n">
        <v>0</v>
      </c>
      <c r="F14" s="14" t="n">
        <v>0</v>
      </c>
      <c r="G14" s="14" t="n">
        <v>510</v>
      </c>
      <c r="H14" s="14" t="n">
        <f aca="false">(C14-D14)/60</f>
        <v>8.5</v>
      </c>
      <c r="I14" s="13" t="s">
        <v>14</v>
      </c>
    </row>
    <row r="15" customFormat="false" ht="22" hidden="false" customHeight="true" outlineLevel="0" collapsed="false">
      <c r="A15" s="9" t="n">
        <v>46280</v>
      </c>
      <c r="B15" s="10" t="s">
        <v>15</v>
      </c>
      <c r="C15" s="11" t="n">
        <v>540</v>
      </c>
      <c r="D15" s="11" t="n">
        <v>30</v>
      </c>
      <c r="E15" s="11" t="n">
        <v>330</v>
      </c>
      <c r="F15" s="11" t="n">
        <v>0</v>
      </c>
      <c r="G15" s="11" t="n">
        <v>210</v>
      </c>
      <c r="H15" s="11" t="n">
        <f aca="false">(C15-D15)/60</f>
        <v>8.5</v>
      </c>
      <c r="I15" s="10" t="s">
        <v>14</v>
      </c>
    </row>
    <row r="16" customFormat="false" ht="22" hidden="false" customHeight="true" outlineLevel="0" collapsed="false">
      <c r="A16" s="12" t="n">
        <v>46280</v>
      </c>
      <c r="B16" s="13" t="s">
        <v>16</v>
      </c>
      <c r="C16" s="14" t="n">
        <v>540</v>
      </c>
      <c r="D16" s="14" t="n">
        <v>30</v>
      </c>
      <c r="E16" s="14" t="n">
        <v>300</v>
      </c>
      <c r="F16" s="14" t="n">
        <v>0</v>
      </c>
      <c r="G16" s="14" t="n">
        <v>210</v>
      </c>
      <c r="H16" s="14" t="n">
        <f aca="false">(C16-D16)/60</f>
        <v>8.5</v>
      </c>
      <c r="I16" s="13" t="s">
        <v>14</v>
      </c>
    </row>
    <row r="17" customFormat="false" ht="22" hidden="false" customHeight="true" outlineLevel="0" collapsed="false">
      <c r="A17" s="9" t="n">
        <v>46280</v>
      </c>
      <c r="B17" s="10" t="s">
        <v>17</v>
      </c>
      <c r="C17" s="11" t="n">
        <v>540</v>
      </c>
      <c r="D17" s="11" t="n">
        <v>30</v>
      </c>
      <c r="E17" s="11" t="n">
        <v>0</v>
      </c>
      <c r="F17" s="11" t="n">
        <v>360</v>
      </c>
      <c r="G17" s="11" t="n">
        <v>150</v>
      </c>
      <c r="H17" s="11" t="n">
        <f aca="false">(C17-D17)/60</f>
        <v>8.5</v>
      </c>
      <c r="I17" s="10" t="s">
        <v>14</v>
      </c>
    </row>
    <row r="18" customFormat="false" ht="22" hidden="false" customHeight="true" outlineLevel="0" collapsed="false">
      <c r="A18" s="12" t="n">
        <v>46280</v>
      </c>
      <c r="B18" s="13" t="s">
        <v>18</v>
      </c>
      <c r="C18" s="14" t="n">
        <v>540</v>
      </c>
      <c r="D18" s="14" t="n">
        <v>30</v>
      </c>
      <c r="E18" s="14" t="n">
        <v>0</v>
      </c>
      <c r="F18" s="14" t="n">
        <v>360</v>
      </c>
      <c r="G18" s="14" t="n">
        <v>150</v>
      </c>
      <c r="H18" s="14" t="n">
        <f aca="false">(C18-D18)/60</f>
        <v>8.5</v>
      </c>
      <c r="I18" s="13" t="s">
        <v>14</v>
      </c>
    </row>
    <row r="19" customFormat="false" ht="22" hidden="false" customHeight="true" outlineLevel="0" collapsed="false">
      <c r="A19" s="9" t="n">
        <v>46281</v>
      </c>
      <c r="B19" s="10" t="s">
        <v>13</v>
      </c>
      <c r="C19" s="11" t="n">
        <v>255</v>
      </c>
      <c r="D19" s="11" t="n">
        <v>0</v>
      </c>
      <c r="E19" s="11" t="n">
        <v>0</v>
      </c>
      <c r="F19" s="11" t="n">
        <v>0</v>
      </c>
      <c r="G19" s="11" t="n">
        <v>255</v>
      </c>
      <c r="H19" s="11" t="n">
        <f aca="false">(C19-D19)/60</f>
        <v>4.25</v>
      </c>
      <c r="I19" s="10" t="s">
        <v>19</v>
      </c>
    </row>
    <row r="20" customFormat="false" ht="22" hidden="false" customHeight="true" outlineLevel="0" collapsed="false">
      <c r="A20" s="12" t="n">
        <v>46281</v>
      </c>
      <c r="B20" s="13" t="s">
        <v>15</v>
      </c>
      <c r="C20" s="14" t="n">
        <v>255</v>
      </c>
      <c r="D20" s="14" t="n">
        <v>0</v>
      </c>
      <c r="E20" s="14" t="n">
        <v>140</v>
      </c>
      <c r="F20" s="14" t="n">
        <v>0</v>
      </c>
      <c r="G20" s="14" t="n">
        <v>115</v>
      </c>
      <c r="H20" s="14" t="n">
        <f aca="false">(C20-D20)/60</f>
        <v>4.25</v>
      </c>
      <c r="I20" s="13" t="s">
        <v>19</v>
      </c>
    </row>
    <row r="21" customFormat="false" ht="22" hidden="false" customHeight="true" outlineLevel="0" collapsed="false">
      <c r="A21" s="9" t="n">
        <v>46281</v>
      </c>
      <c r="B21" s="10" t="s">
        <v>16</v>
      </c>
      <c r="C21" s="11" t="n">
        <v>255</v>
      </c>
      <c r="D21" s="11" t="n">
        <v>0</v>
      </c>
      <c r="E21" s="11" t="n">
        <v>195</v>
      </c>
      <c r="F21" s="11" t="n">
        <v>60</v>
      </c>
      <c r="G21" s="11" t="n">
        <v>0</v>
      </c>
      <c r="H21" s="11" t="n">
        <f aca="false">(C21-D21)/60</f>
        <v>4.25</v>
      </c>
      <c r="I21" s="10" t="s">
        <v>19</v>
      </c>
    </row>
    <row r="22" customFormat="false" ht="22" hidden="false" customHeight="true" outlineLevel="0" collapsed="false">
      <c r="A22" s="12" t="n">
        <v>46281</v>
      </c>
      <c r="B22" s="13" t="s">
        <v>17</v>
      </c>
      <c r="C22" s="14" t="n">
        <v>255</v>
      </c>
      <c r="D22" s="14" t="n">
        <v>0</v>
      </c>
      <c r="E22" s="14" t="n">
        <v>0</v>
      </c>
      <c r="F22" s="14" t="n">
        <v>255</v>
      </c>
      <c r="G22" s="14" t="n">
        <v>0</v>
      </c>
      <c r="H22" s="14" t="n">
        <f aca="false">(C22-D22)/60</f>
        <v>4.25</v>
      </c>
      <c r="I22" s="13" t="s">
        <v>19</v>
      </c>
    </row>
    <row r="23" customFormat="false" ht="22" hidden="false" customHeight="true" outlineLevel="0" collapsed="false">
      <c r="A23" s="9" t="n">
        <v>46281</v>
      </c>
      <c r="B23" s="10" t="s">
        <v>18</v>
      </c>
      <c r="C23" s="11" t="n">
        <v>255</v>
      </c>
      <c r="D23" s="11" t="n">
        <v>0</v>
      </c>
      <c r="E23" s="11" t="n">
        <v>0</v>
      </c>
      <c r="F23" s="11" t="n">
        <v>255</v>
      </c>
      <c r="G23" s="11" t="n">
        <v>0</v>
      </c>
      <c r="H23" s="11" t="n">
        <f aca="false">(C23-D23)/60</f>
        <v>4.25</v>
      </c>
      <c r="I23" s="10" t="s">
        <v>19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2026-09-16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3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9" hidden="false" customHeight="true" outlineLevel="0" collapsed="false">
      <c r="A5" s="6" t="n">
        <v>35</v>
      </c>
      <c r="B5" s="6"/>
      <c r="C5" s="6"/>
      <c r="D5" s="6"/>
      <c r="E5" s="6"/>
      <c r="F5" s="6"/>
      <c r="G5" s="6"/>
      <c r="H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8" t="s">
        <v>10</v>
      </c>
      <c r="B8" s="8" t="s">
        <v>22</v>
      </c>
      <c r="C8" s="8" t="s">
        <v>11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</row>
    <row r="9" customFormat="false" ht="22" hidden="false" customHeight="true" outlineLevel="0" collapsed="false">
      <c r="A9" s="9" t="n">
        <v>46279</v>
      </c>
      <c r="B9" s="15" t="n">
        <v>0.291666666666667</v>
      </c>
      <c r="C9" s="10" t="s">
        <v>13</v>
      </c>
      <c r="D9" s="10" t="s">
        <v>28</v>
      </c>
      <c r="E9" s="10" t="s">
        <v>29</v>
      </c>
      <c r="F9" s="11" t="n">
        <v>5</v>
      </c>
      <c r="G9" s="10" t="s">
        <v>30</v>
      </c>
      <c r="H9" s="10" t="s">
        <v>31</v>
      </c>
    </row>
    <row r="10" customFormat="false" ht="34" hidden="false" customHeight="true" outlineLevel="0" collapsed="false">
      <c r="A10" s="12" t="n">
        <v>46279</v>
      </c>
      <c r="B10" s="16" t="n">
        <v>0.298611111111111</v>
      </c>
      <c r="C10" s="13" t="s">
        <v>13</v>
      </c>
      <c r="D10" s="13" t="s">
        <v>32</v>
      </c>
      <c r="E10" s="13" t="s">
        <v>33</v>
      </c>
      <c r="F10" s="14" t="n">
        <v>9</v>
      </c>
      <c r="G10" s="13" t="s">
        <v>34</v>
      </c>
      <c r="H10" s="13" t="s">
        <v>31</v>
      </c>
    </row>
    <row r="11" customFormat="false" ht="22" hidden="false" customHeight="true" outlineLevel="0" collapsed="false">
      <c r="A11" s="9" t="n">
        <v>46279</v>
      </c>
      <c r="B11" s="15" t="n">
        <v>0.304166666666667</v>
      </c>
      <c r="C11" s="10" t="s">
        <v>35</v>
      </c>
      <c r="D11" s="10" t="s">
        <v>32</v>
      </c>
      <c r="E11" s="10" t="s">
        <v>36</v>
      </c>
      <c r="F11" s="11" t="n">
        <v>2</v>
      </c>
      <c r="G11" s="10" t="s">
        <v>37</v>
      </c>
      <c r="H11" s="10" t="s">
        <v>38</v>
      </c>
    </row>
    <row r="12" customFormat="false" ht="22" hidden="false" customHeight="true" outlineLevel="0" collapsed="false">
      <c r="A12" s="12" t="n">
        <v>46279</v>
      </c>
      <c r="B12" s="16" t="n">
        <v>0.336805555555556</v>
      </c>
      <c r="C12" s="13" t="s">
        <v>39</v>
      </c>
      <c r="D12" s="13" t="s">
        <v>32</v>
      </c>
      <c r="E12" s="13" t="s">
        <v>40</v>
      </c>
      <c r="F12" s="14"/>
      <c r="G12" s="13"/>
      <c r="H12" s="13" t="s">
        <v>38</v>
      </c>
    </row>
    <row r="13" customFormat="false" ht="34" hidden="false" customHeight="true" outlineLevel="0" collapsed="false">
      <c r="A13" s="9" t="n">
        <v>46279</v>
      </c>
      <c r="B13" s="15" t="n">
        <v>0.354166666666667</v>
      </c>
      <c r="C13" s="10" t="s">
        <v>41</v>
      </c>
      <c r="D13" s="10" t="s">
        <v>42</v>
      </c>
      <c r="E13" s="10" t="s">
        <v>43</v>
      </c>
      <c r="F13" s="11" t="n">
        <v>2</v>
      </c>
      <c r="G13" s="10" t="s">
        <v>30</v>
      </c>
      <c r="H13" s="10" t="s">
        <v>31</v>
      </c>
    </row>
    <row r="14" customFormat="false" ht="22" hidden="false" customHeight="true" outlineLevel="0" collapsed="false">
      <c r="A14" s="12" t="n">
        <v>46279</v>
      </c>
      <c r="B14" s="16" t="n">
        <v>0.470833333333333</v>
      </c>
      <c r="C14" s="13" t="s">
        <v>39</v>
      </c>
      <c r="D14" s="13" t="s">
        <v>44</v>
      </c>
      <c r="E14" s="13" t="s">
        <v>45</v>
      </c>
      <c r="F14" s="14" t="n">
        <v>2</v>
      </c>
      <c r="G14" s="13" t="s">
        <v>46</v>
      </c>
      <c r="H14" s="13" t="s">
        <v>31</v>
      </c>
    </row>
    <row r="15" customFormat="false" ht="22" hidden="false" customHeight="true" outlineLevel="0" collapsed="false">
      <c r="A15" s="9" t="n">
        <v>46279</v>
      </c>
      <c r="B15" s="15" t="n">
        <v>0.5</v>
      </c>
      <c r="C15" s="10" t="s">
        <v>47</v>
      </c>
      <c r="D15" s="10" t="s">
        <v>28</v>
      </c>
      <c r="E15" s="10" t="s">
        <v>48</v>
      </c>
      <c r="F15" s="11" t="n">
        <v>5</v>
      </c>
      <c r="G15" s="10" t="s">
        <v>30</v>
      </c>
      <c r="H15" s="10" t="s">
        <v>31</v>
      </c>
    </row>
    <row r="16" customFormat="false" ht="22" hidden="false" customHeight="true" outlineLevel="0" collapsed="false">
      <c r="A16" s="12" t="n">
        <v>46279</v>
      </c>
      <c r="B16" s="16" t="n">
        <v>0.520833333333333</v>
      </c>
      <c r="C16" s="13" t="s">
        <v>47</v>
      </c>
      <c r="D16" s="13" t="s">
        <v>28</v>
      </c>
      <c r="E16" s="13" t="s">
        <v>49</v>
      </c>
      <c r="F16" s="14" t="n">
        <v>5</v>
      </c>
      <c r="G16" s="13" t="s">
        <v>30</v>
      </c>
      <c r="H16" s="13" t="s">
        <v>31</v>
      </c>
    </row>
    <row r="17" customFormat="false" ht="22" hidden="false" customHeight="true" outlineLevel="0" collapsed="false">
      <c r="A17" s="9" t="n">
        <v>46279</v>
      </c>
      <c r="B17" s="15" t="n">
        <v>0.541666666666667</v>
      </c>
      <c r="C17" s="10" t="s">
        <v>17</v>
      </c>
      <c r="D17" s="10" t="s">
        <v>42</v>
      </c>
      <c r="E17" s="10" t="s">
        <v>50</v>
      </c>
      <c r="F17" s="11" t="n">
        <v>1</v>
      </c>
      <c r="G17" s="10" t="s">
        <v>11</v>
      </c>
      <c r="H17" s="10" t="s">
        <v>31</v>
      </c>
    </row>
    <row r="18" customFormat="false" ht="22" hidden="false" customHeight="true" outlineLevel="0" collapsed="false">
      <c r="A18" s="12" t="n">
        <v>46279</v>
      </c>
      <c r="B18" s="16" t="n">
        <v>0.666666666666667</v>
      </c>
      <c r="C18" s="13" t="s">
        <v>13</v>
      </c>
      <c r="D18" s="13" t="s">
        <v>28</v>
      </c>
      <c r="E18" s="13" t="s">
        <v>51</v>
      </c>
      <c r="F18" s="14" t="n">
        <v>5</v>
      </c>
      <c r="G18" s="13" t="s">
        <v>30</v>
      </c>
      <c r="H18" s="13" t="s">
        <v>31</v>
      </c>
    </row>
    <row r="19" customFormat="false" ht="34" hidden="false" customHeight="true" outlineLevel="0" collapsed="false">
      <c r="A19" s="9" t="n">
        <v>46279</v>
      </c>
      <c r="B19" s="15" t="n">
        <v>0.673611111111111</v>
      </c>
      <c r="C19" s="10" t="s">
        <v>39</v>
      </c>
      <c r="D19" s="10" t="s">
        <v>52</v>
      </c>
      <c r="E19" s="10" t="s">
        <v>53</v>
      </c>
      <c r="F19" s="11"/>
      <c r="G19" s="10"/>
      <c r="H19" s="10" t="s">
        <v>38</v>
      </c>
    </row>
    <row r="20" customFormat="false" ht="22" hidden="false" customHeight="true" outlineLevel="0" collapsed="false">
      <c r="A20" s="12" t="n">
        <v>46280</v>
      </c>
      <c r="B20" s="16" t="n">
        <v>0.291666666666667</v>
      </c>
      <c r="C20" s="13" t="s">
        <v>13</v>
      </c>
      <c r="D20" s="13" t="s">
        <v>28</v>
      </c>
      <c r="E20" s="13" t="s">
        <v>54</v>
      </c>
      <c r="F20" s="14" t="n">
        <v>5</v>
      </c>
      <c r="G20" s="13" t="s">
        <v>30</v>
      </c>
      <c r="H20" s="13" t="s">
        <v>31</v>
      </c>
    </row>
    <row r="21" customFormat="false" ht="22" hidden="false" customHeight="true" outlineLevel="0" collapsed="false">
      <c r="A21" s="9" t="n">
        <v>46280</v>
      </c>
      <c r="B21" s="15" t="n">
        <v>0.402777777777778</v>
      </c>
      <c r="C21" s="10" t="s">
        <v>35</v>
      </c>
      <c r="D21" s="10" t="s">
        <v>32</v>
      </c>
      <c r="E21" s="10" t="s">
        <v>55</v>
      </c>
      <c r="F21" s="11" t="n">
        <v>2</v>
      </c>
      <c r="G21" s="10" t="s">
        <v>37</v>
      </c>
      <c r="H21" s="10" t="s">
        <v>31</v>
      </c>
    </row>
    <row r="22" customFormat="false" ht="22" hidden="false" customHeight="true" outlineLevel="0" collapsed="false">
      <c r="A22" s="12" t="n">
        <v>46280</v>
      </c>
      <c r="B22" s="16" t="n">
        <v>0.413194444444444</v>
      </c>
      <c r="C22" s="13" t="s">
        <v>39</v>
      </c>
      <c r="D22" s="13" t="s">
        <v>56</v>
      </c>
      <c r="E22" s="13" t="s">
        <v>57</v>
      </c>
      <c r="F22" s="14"/>
      <c r="G22" s="13"/>
      <c r="H22" s="13" t="s">
        <v>58</v>
      </c>
    </row>
    <row r="23" customFormat="false" ht="34" hidden="false" customHeight="true" outlineLevel="0" collapsed="false">
      <c r="A23" s="9" t="n">
        <v>46280</v>
      </c>
      <c r="B23" s="15" t="n">
        <v>0.420138888888889</v>
      </c>
      <c r="C23" s="10" t="s">
        <v>13</v>
      </c>
      <c r="D23" s="10" t="s">
        <v>59</v>
      </c>
      <c r="E23" s="10" t="s">
        <v>60</v>
      </c>
      <c r="F23" s="11" t="n">
        <v>120</v>
      </c>
      <c r="G23" s="10" t="s">
        <v>61</v>
      </c>
      <c r="H23" s="10" t="s">
        <v>58</v>
      </c>
    </row>
    <row r="24" customFormat="false" ht="22" hidden="false" customHeight="true" outlineLevel="0" collapsed="false">
      <c r="A24" s="12" t="n">
        <v>46280</v>
      </c>
      <c r="B24" s="16" t="n">
        <v>0.513888888888889</v>
      </c>
      <c r="C24" s="13" t="s">
        <v>35</v>
      </c>
      <c r="D24" s="13" t="s">
        <v>32</v>
      </c>
      <c r="E24" s="13" t="s">
        <v>62</v>
      </c>
      <c r="F24" s="14"/>
      <c r="G24" s="13"/>
      <c r="H24" s="13" t="s">
        <v>31</v>
      </c>
    </row>
    <row r="25" customFormat="false" ht="22" hidden="false" customHeight="true" outlineLevel="0" collapsed="false">
      <c r="A25" s="9" t="n">
        <v>46280</v>
      </c>
      <c r="B25" s="15" t="n">
        <v>0.524305555555556</v>
      </c>
      <c r="C25" s="10" t="s">
        <v>63</v>
      </c>
      <c r="D25" s="10" t="s">
        <v>64</v>
      </c>
      <c r="E25" s="10" t="s">
        <v>65</v>
      </c>
      <c r="F25" s="11"/>
      <c r="G25" s="10"/>
      <c r="H25" s="10" t="s">
        <v>66</v>
      </c>
    </row>
    <row r="26" customFormat="false" ht="22" hidden="false" customHeight="true" outlineLevel="0" collapsed="false">
      <c r="A26" s="12" t="n">
        <v>46280</v>
      </c>
      <c r="B26" s="16" t="n">
        <v>0.53125</v>
      </c>
      <c r="C26" s="13" t="s">
        <v>67</v>
      </c>
      <c r="D26" s="13" t="s">
        <v>64</v>
      </c>
      <c r="E26" s="13" t="s">
        <v>68</v>
      </c>
      <c r="F26" s="14" t="n">
        <v>2</v>
      </c>
      <c r="G26" s="13" t="s">
        <v>30</v>
      </c>
      <c r="H26" s="13" t="s">
        <v>66</v>
      </c>
    </row>
    <row r="27" customFormat="false" ht="22" hidden="false" customHeight="true" outlineLevel="0" collapsed="false">
      <c r="A27" s="9" t="n">
        <v>46280</v>
      </c>
      <c r="B27" s="15" t="n">
        <v>0.559027777777778</v>
      </c>
      <c r="C27" s="10" t="s">
        <v>17</v>
      </c>
      <c r="D27" s="10" t="s">
        <v>64</v>
      </c>
      <c r="E27" s="10" t="s">
        <v>69</v>
      </c>
      <c r="F27" s="11"/>
      <c r="G27" s="10"/>
      <c r="H27" s="10" t="s">
        <v>66</v>
      </c>
    </row>
    <row r="28" customFormat="false" ht="22" hidden="false" customHeight="true" outlineLevel="0" collapsed="false">
      <c r="A28" s="12" t="n">
        <v>46280</v>
      </c>
      <c r="B28" s="16" t="n">
        <v>0.604166666666667</v>
      </c>
      <c r="C28" s="13" t="s">
        <v>39</v>
      </c>
      <c r="D28" s="13" t="s">
        <v>32</v>
      </c>
      <c r="E28" s="13" t="s">
        <v>70</v>
      </c>
      <c r="F28" s="14"/>
      <c r="G28" s="13"/>
      <c r="H28" s="13" t="s">
        <v>31</v>
      </c>
    </row>
    <row r="29" customFormat="false" ht="34" hidden="false" customHeight="true" outlineLevel="0" collapsed="false">
      <c r="A29" s="9" t="n">
        <v>46280</v>
      </c>
      <c r="B29" s="15" t="n">
        <v>0.631944444444444</v>
      </c>
      <c r="C29" s="10" t="s">
        <v>71</v>
      </c>
      <c r="D29" s="10" t="s">
        <v>72</v>
      </c>
      <c r="E29" s="10" t="s">
        <v>73</v>
      </c>
      <c r="F29" s="11"/>
      <c r="G29" s="10"/>
      <c r="H29" s="10" t="s">
        <v>38</v>
      </c>
    </row>
    <row r="30" customFormat="false" ht="34" hidden="false" customHeight="true" outlineLevel="0" collapsed="false">
      <c r="A30" s="12" t="n">
        <v>46280</v>
      </c>
      <c r="B30" s="16" t="n">
        <v>0.642361111111111</v>
      </c>
      <c r="C30" s="13" t="s">
        <v>13</v>
      </c>
      <c r="D30" s="13" t="s">
        <v>72</v>
      </c>
      <c r="E30" s="13" t="s">
        <v>74</v>
      </c>
      <c r="F30" s="14" t="n">
        <v>42</v>
      </c>
      <c r="G30" s="13" t="s">
        <v>75</v>
      </c>
      <c r="H30" s="13" t="s">
        <v>76</v>
      </c>
    </row>
    <row r="31" customFormat="false" ht="22" hidden="false" customHeight="true" outlineLevel="0" collapsed="false">
      <c r="A31" s="9" t="n">
        <v>46280</v>
      </c>
      <c r="B31" s="15" t="n">
        <v>0.666666666666667</v>
      </c>
      <c r="C31" s="10" t="s">
        <v>13</v>
      </c>
      <c r="D31" s="10" t="s">
        <v>32</v>
      </c>
      <c r="E31" s="10" t="s">
        <v>77</v>
      </c>
      <c r="F31" s="11"/>
      <c r="G31" s="10"/>
      <c r="H31" s="10" t="s">
        <v>31</v>
      </c>
    </row>
    <row r="32" customFormat="false" ht="22" hidden="false" customHeight="true" outlineLevel="0" collapsed="false">
      <c r="A32" s="12" t="n">
        <v>46281</v>
      </c>
      <c r="B32" s="16" t="n">
        <v>0.291666666666667</v>
      </c>
      <c r="C32" s="13" t="s">
        <v>15</v>
      </c>
      <c r="D32" s="13" t="s">
        <v>28</v>
      </c>
      <c r="E32" s="13" t="s">
        <v>78</v>
      </c>
      <c r="F32" s="14" t="n">
        <v>5</v>
      </c>
      <c r="G32" s="13" t="s">
        <v>30</v>
      </c>
      <c r="H32" s="13" t="s">
        <v>79</v>
      </c>
    </row>
    <row r="33" customFormat="false" ht="22" hidden="false" customHeight="true" outlineLevel="0" collapsed="false">
      <c r="A33" s="9" t="n">
        <v>46281</v>
      </c>
      <c r="B33" s="15" t="n">
        <v>0.325</v>
      </c>
      <c r="C33" s="10" t="s">
        <v>13</v>
      </c>
      <c r="D33" s="10" t="s">
        <v>28</v>
      </c>
      <c r="E33" s="10" t="s">
        <v>80</v>
      </c>
      <c r="F33" s="11"/>
      <c r="G33" s="10"/>
      <c r="H33" s="10" t="s">
        <v>81</v>
      </c>
    </row>
    <row r="34" customFormat="false" ht="22" hidden="false" customHeight="true" outlineLevel="0" collapsed="false">
      <c r="A34" s="12" t="n">
        <v>46281</v>
      </c>
      <c r="B34" s="16" t="n">
        <v>0.327777777777778</v>
      </c>
      <c r="C34" s="13" t="s">
        <v>13</v>
      </c>
      <c r="D34" s="13" t="s">
        <v>28</v>
      </c>
      <c r="E34" s="13" t="s">
        <v>82</v>
      </c>
      <c r="F34" s="14"/>
      <c r="G34" s="13"/>
      <c r="H34" s="13" t="s">
        <v>81</v>
      </c>
    </row>
    <row r="35" customFormat="false" ht="22" hidden="false" customHeight="true" outlineLevel="0" collapsed="false">
      <c r="A35" s="9" t="n">
        <v>46281</v>
      </c>
      <c r="B35" s="15" t="n">
        <v>0.334722222222222</v>
      </c>
      <c r="C35" s="10" t="s">
        <v>13</v>
      </c>
      <c r="D35" s="10" t="s">
        <v>83</v>
      </c>
      <c r="E35" s="10" t="s">
        <v>84</v>
      </c>
      <c r="F35" s="11"/>
      <c r="G35" s="10"/>
      <c r="H35" s="10" t="s">
        <v>81</v>
      </c>
    </row>
    <row r="36" customFormat="false" ht="34" hidden="false" customHeight="true" outlineLevel="0" collapsed="false">
      <c r="A36" s="12" t="n">
        <v>46281</v>
      </c>
      <c r="B36" s="16" t="n">
        <v>0.361111111111111</v>
      </c>
      <c r="C36" s="13" t="s">
        <v>85</v>
      </c>
      <c r="D36" s="13" t="s">
        <v>32</v>
      </c>
      <c r="E36" s="13" t="s">
        <v>86</v>
      </c>
      <c r="F36" s="14" t="n">
        <v>2</v>
      </c>
      <c r="G36" s="13" t="s">
        <v>30</v>
      </c>
      <c r="H36" s="13" t="s">
        <v>87</v>
      </c>
    </row>
    <row r="37" customFormat="false" ht="22" hidden="false" customHeight="true" outlineLevel="0" collapsed="false">
      <c r="A37" s="9" t="n">
        <v>46281</v>
      </c>
      <c r="B37" s="15" t="n">
        <v>0.3875</v>
      </c>
      <c r="C37" s="10" t="s">
        <v>35</v>
      </c>
      <c r="D37" s="10" t="s">
        <v>32</v>
      </c>
      <c r="E37" s="10" t="s">
        <v>88</v>
      </c>
      <c r="F37" s="11"/>
      <c r="G37" s="10"/>
      <c r="H37" s="10" t="s">
        <v>87</v>
      </c>
    </row>
    <row r="38" customFormat="false" ht="22" hidden="false" customHeight="true" outlineLevel="0" collapsed="false">
      <c r="A38" s="12" t="n">
        <v>46281</v>
      </c>
      <c r="B38" s="16" t="n">
        <v>0.397222222222222</v>
      </c>
      <c r="C38" s="13" t="s">
        <v>39</v>
      </c>
      <c r="D38" s="13" t="s">
        <v>32</v>
      </c>
      <c r="E38" s="13" t="s">
        <v>89</v>
      </c>
      <c r="F38" s="14"/>
      <c r="G38" s="13"/>
      <c r="H38" s="13" t="s">
        <v>87</v>
      </c>
    </row>
    <row r="39" customFormat="false" ht="22" hidden="false" customHeight="true" outlineLevel="0" collapsed="false">
      <c r="A39" s="9" t="n">
        <v>46281</v>
      </c>
      <c r="B39" s="15" t="n">
        <v>0.413194444444444</v>
      </c>
      <c r="C39" s="10" t="s">
        <v>35</v>
      </c>
      <c r="D39" s="10" t="s">
        <v>32</v>
      </c>
      <c r="E39" s="10" t="s">
        <v>90</v>
      </c>
      <c r="F39" s="11" t="n">
        <v>3.4</v>
      </c>
      <c r="G39" s="10" t="s">
        <v>91</v>
      </c>
      <c r="H39" s="10" t="s">
        <v>87</v>
      </c>
    </row>
    <row r="40" customFormat="false" ht="34" hidden="false" customHeight="true" outlineLevel="0" collapsed="false">
      <c r="A40" s="12" t="n">
        <v>46281</v>
      </c>
      <c r="B40" s="16" t="n">
        <v>0.418055555555556</v>
      </c>
      <c r="C40" s="13" t="s">
        <v>39</v>
      </c>
      <c r="D40" s="13" t="s">
        <v>32</v>
      </c>
      <c r="E40" s="13" t="s">
        <v>92</v>
      </c>
      <c r="F40" s="14"/>
      <c r="G40" s="13"/>
      <c r="H40" s="13" t="s">
        <v>87</v>
      </c>
    </row>
    <row r="41" customFormat="false" ht="34" hidden="false" customHeight="true" outlineLevel="0" collapsed="false">
      <c r="A41" s="9" t="n">
        <v>46281</v>
      </c>
      <c r="B41" s="15" t="n">
        <v>0.427083333333333</v>
      </c>
      <c r="C41" s="10" t="s">
        <v>93</v>
      </c>
      <c r="D41" s="10" t="s">
        <v>32</v>
      </c>
      <c r="E41" s="10" t="s">
        <v>94</v>
      </c>
      <c r="F41" s="11"/>
      <c r="G41" s="10"/>
      <c r="H41" s="10" t="s">
        <v>87</v>
      </c>
    </row>
    <row r="42" customFormat="false" ht="22" hidden="false" customHeight="true" outlineLevel="0" collapsed="false">
      <c r="A42" s="12" t="n">
        <v>46281</v>
      </c>
      <c r="B42" s="16" t="n">
        <v>0.427083333333333</v>
      </c>
      <c r="C42" s="13" t="s">
        <v>16</v>
      </c>
      <c r="D42" s="13" t="s">
        <v>52</v>
      </c>
      <c r="E42" s="13" t="s">
        <v>95</v>
      </c>
      <c r="F42" s="14" t="n">
        <v>1</v>
      </c>
      <c r="G42" s="13" t="s">
        <v>11</v>
      </c>
      <c r="H42" s="13" t="s">
        <v>79</v>
      </c>
    </row>
    <row r="43" customFormat="false" ht="34" hidden="false" customHeight="true" outlineLevel="0" collapsed="false">
      <c r="A43" s="9" t="n">
        <v>46281</v>
      </c>
      <c r="B43" s="15" t="n">
        <v>0.46875</v>
      </c>
      <c r="C43" s="10" t="s">
        <v>15</v>
      </c>
      <c r="D43" s="10" t="s">
        <v>52</v>
      </c>
      <c r="E43" s="10" t="s">
        <v>96</v>
      </c>
      <c r="F43" s="11" t="n">
        <v>3</v>
      </c>
      <c r="G43" s="10" t="s">
        <v>97</v>
      </c>
      <c r="H43" s="10" t="s">
        <v>79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2026-09-16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3"/>
  </cols>
  <sheetData>
    <row r="1" customFormat="false" ht="34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99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6" t="n">
        <v>15</v>
      </c>
      <c r="B5" s="6"/>
      <c r="C5" s="6"/>
      <c r="D5" s="6"/>
      <c r="E5" s="6"/>
      <c r="F5" s="6"/>
      <c r="G5" s="6"/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8" t="s">
        <v>100</v>
      </c>
      <c r="B8" s="8" t="s">
        <v>101</v>
      </c>
      <c r="C8" s="8" t="s">
        <v>102</v>
      </c>
      <c r="D8" s="8" t="s">
        <v>103</v>
      </c>
      <c r="E8" s="8" t="s">
        <v>25</v>
      </c>
      <c r="F8" s="8" t="s">
        <v>26</v>
      </c>
      <c r="G8" s="8" t="s">
        <v>104</v>
      </c>
      <c r="H8" s="8" t="s">
        <v>105</v>
      </c>
      <c r="I8" s="8" t="s">
        <v>27</v>
      </c>
    </row>
    <row r="9" customFormat="false" ht="22" hidden="false" customHeight="true" outlineLevel="0" collapsed="false">
      <c r="A9" s="9" t="n">
        <v>46280</v>
      </c>
      <c r="B9" s="10" t="s">
        <v>106</v>
      </c>
      <c r="C9" s="10" t="s">
        <v>107</v>
      </c>
      <c r="D9" s="10" t="s">
        <v>108</v>
      </c>
      <c r="E9" s="11" t="n">
        <v>18</v>
      </c>
      <c r="F9" s="10" t="s">
        <v>37</v>
      </c>
      <c r="G9" s="15" t="n">
        <v>0.53125</v>
      </c>
      <c r="H9" s="15" t="n">
        <v>0.559027777777778</v>
      </c>
      <c r="I9" s="10" t="s">
        <v>66</v>
      </c>
    </row>
    <row r="10" customFormat="false" ht="22" hidden="false" customHeight="true" outlineLevel="0" collapsed="false">
      <c r="A10" s="12" t="n">
        <v>46280</v>
      </c>
      <c r="B10" s="13" t="s">
        <v>106</v>
      </c>
      <c r="C10" s="13" t="s">
        <v>109</v>
      </c>
      <c r="D10" s="13" t="s">
        <v>108</v>
      </c>
      <c r="E10" s="14" t="n">
        <v>8</v>
      </c>
      <c r="F10" s="13" t="s">
        <v>37</v>
      </c>
      <c r="G10" s="16" t="n">
        <v>0.53125</v>
      </c>
      <c r="H10" s="16" t="n">
        <v>0.559027777777778</v>
      </c>
      <c r="I10" s="13" t="s">
        <v>66</v>
      </c>
    </row>
    <row r="11" customFormat="false" ht="22" hidden="false" customHeight="true" outlineLevel="0" collapsed="false">
      <c r="A11" s="9" t="n">
        <v>46280</v>
      </c>
      <c r="B11" s="10" t="s">
        <v>106</v>
      </c>
      <c r="C11" s="10" t="s">
        <v>110</v>
      </c>
      <c r="D11" s="10" t="s">
        <v>108</v>
      </c>
      <c r="E11" s="11" t="n">
        <v>12</v>
      </c>
      <c r="F11" s="10" t="s">
        <v>37</v>
      </c>
      <c r="G11" s="15" t="n">
        <v>0.53125</v>
      </c>
      <c r="H11" s="15" t="n">
        <v>0.559027777777778</v>
      </c>
      <c r="I11" s="10" t="s">
        <v>66</v>
      </c>
    </row>
    <row r="12" customFormat="false" ht="22" hidden="false" customHeight="true" outlineLevel="0" collapsed="false">
      <c r="A12" s="12" t="n">
        <v>46280</v>
      </c>
      <c r="B12" s="13" t="s">
        <v>106</v>
      </c>
      <c r="C12" s="13" t="s">
        <v>111</v>
      </c>
      <c r="D12" s="13" t="s">
        <v>112</v>
      </c>
      <c r="E12" s="14" t="n">
        <v>2</v>
      </c>
      <c r="F12" s="13" t="s">
        <v>37</v>
      </c>
      <c r="G12" s="16" t="n">
        <v>0.53125</v>
      </c>
      <c r="H12" s="16" t="n">
        <v>0.559027777777778</v>
      </c>
      <c r="I12" s="13" t="s">
        <v>66</v>
      </c>
    </row>
    <row r="13" customFormat="false" ht="22" hidden="false" customHeight="true" outlineLevel="0" collapsed="false">
      <c r="A13" s="9" t="n">
        <v>46280</v>
      </c>
      <c r="B13" s="10" t="s">
        <v>17</v>
      </c>
      <c r="C13" s="10" t="s">
        <v>113</v>
      </c>
      <c r="D13" s="10" t="s">
        <v>114</v>
      </c>
      <c r="E13" s="11" t="n">
        <v>2</v>
      </c>
      <c r="F13" s="10" t="s">
        <v>37</v>
      </c>
      <c r="G13" s="15"/>
      <c r="H13" s="15"/>
      <c r="I13" s="10" t="s">
        <v>66</v>
      </c>
    </row>
    <row r="14" customFormat="false" ht="22" hidden="false" customHeight="true" outlineLevel="0" collapsed="false">
      <c r="A14" s="12" t="n">
        <v>46275</v>
      </c>
      <c r="B14" s="13" t="s">
        <v>115</v>
      </c>
      <c r="C14" s="13" t="s">
        <v>116</v>
      </c>
      <c r="D14" s="13" t="s">
        <v>117</v>
      </c>
      <c r="E14" s="14" t="n">
        <v>42</v>
      </c>
      <c r="F14" s="13" t="s">
        <v>118</v>
      </c>
      <c r="G14" s="16" t="n">
        <v>0.291666666666667</v>
      </c>
      <c r="H14" s="16"/>
      <c r="I14" s="13" t="s">
        <v>76</v>
      </c>
    </row>
    <row r="15" customFormat="false" ht="22" hidden="false" customHeight="true" outlineLevel="0" collapsed="false">
      <c r="A15" s="9" t="n">
        <v>46280</v>
      </c>
      <c r="B15" s="10" t="s">
        <v>115</v>
      </c>
      <c r="C15" s="10" t="s">
        <v>116</v>
      </c>
      <c r="D15" s="10" t="s">
        <v>119</v>
      </c>
      <c r="E15" s="11" t="n">
        <v>42</v>
      </c>
      <c r="F15" s="10" t="s">
        <v>118</v>
      </c>
      <c r="G15" s="15" t="n">
        <v>0.642361111111111</v>
      </c>
      <c r="H15" s="15"/>
      <c r="I15" s="10" t="s">
        <v>76</v>
      </c>
    </row>
    <row r="16" customFormat="false" ht="22" hidden="false" customHeight="true" outlineLevel="0" collapsed="false">
      <c r="A16" s="12" t="n">
        <v>46281</v>
      </c>
      <c r="B16" s="13" t="s">
        <v>115</v>
      </c>
      <c r="C16" s="13" t="s">
        <v>116</v>
      </c>
      <c r="D16" s="13" t="s">
        <v>120</v>
      </c>
      <c r="E16" s="14" t="n">
        <v>42</v>
      </c>
      <c r="F16" s="13" t="s">
        <v>118</v>
      </c>
      <c r="G16" s="16" t="n">
        <v>0.416666666666667</v>
      </c>
      <c r="H16" s="16" t="n">
        <v>0.583333333333333</v>
      </c>
      <c r="I16" s="13" t="s">
        <v>76</v>
      </c>
    </row>
    <row r="17" customFormat="false" ht="34" hidden="false" customHeight="true" outlineLevel="0" collapsed="false">
      <c r="A17" s="9" t="n">
        <v>46281</v>
      </c>
      <c r="B17" s="10" t="s">
        <v>121</v>
      </c>
      <c r="C17" s="10" t="s">
        <v>122</v>
      </c>
      <c r="D17" s="10" t="s">
        <v>123</v>
      </c>
      <c r="E17" s="11" t="n">
        <v>1</v>
      </c>
      <c r="F17" s="10" t="s">
        <v>124</v>
      </c>
      <c r="G17" s="15" t="n">
        <v>0.427083333333333</v>
      </c>
      <c r="H17" s="15"/>
      <c r="I17" s="10" t="s">
        <v>125</v>
      </c>
    </row>
    <row r="18" customFormat="false" ht="34" hidden="false" customHeight="true" outlineLevel="0" collapsed="false">
      <c r="A18" s="12" t="n">
        <v>46281</v>
      </c>
      <c r="B18" s="13" t="s">
        <v>121</v>
      </c>
      <c r="C18" s="13" t="s">
        <v>126</v>
      </c>
      <c r="D18" s="13" t="s">
        <v>127</v>
      </c>
      <c r="E18" s="14" t="n">
        <v>30</v>
      </c>
      <c r="F18" s="13" t="s">
        <v>128</v>
      </c>
      <c r="G18" s="16" t="n">
        <v>0.4375</v>
      </c>
      <c r="H18" s="16" t="n">
        <v>0.458333333333333</v>
      </c>
      <c r="I18" s="13" t="s">
        <v>125</v>
      </c>
    </row>
    <row r="19" customFormat="false" ht="34" hidden="false" customHeight="true" outlineLevel="0" collapsed="false">
      <c r="A19" s="9" t="n">
        <v>46281</v>
      </c>
      <c r="B19" s="10" t="s">
        <v>121</v>
      </c>
      <c r="C19" s="10" t="s">
        <v>129</v>
      </c>
      <c r="D19" s="10" t="s">
        <v>130</v>
      </c>
      <c r="E19" s="11"/>
      <c r="F19" s="10"/>
      <c r="G19" s="15" t="n">
        <v>0.489583333333333</v>
      </c>
      <c r="H19" s="15"/>
      <c r="I19" s="10" t="s">
        <v>131</v>
      </c>
    </row>
    <row r="20" customFormat="false" ht="22" hidden="false" customHeight="true" outlineLevel="0" collapsed="false">
      <c r="A20" s="12" t="n">
        <v>46281</v>
      </c>
      <c r="B20" s="13" t="s">
        <v>115</v>
      </c>
      <c r="C20" s="13" t="s">
        <v>129</v>
      </c>
      <c r="D20" s="13" t="s">
        <v>130</v>
      </c>
      <c r="E20" s="14"/>
      <c r="F20" s="13"/>
      <c r="G20" s="16" t="n">
        <v>0.5</v>
      </c>
      <c r="H20" s="16"/>
      <c r="I20" s="13" t="s">
        <v>76</v>
      </c>
    </row>
    <row r="21" customFormat="false" ht="22" hidden="false" customHeight="true" outlineLevel="0" collapsed="false">
      <c r="A21" s="9" t="n">
        <v>46281</v>
      </c>
      <c r="B21" s="10" t="s">
        <v>132</v>
      </c>
      <c r="C21" s="10" t="s">
        <v>133</v>
      </c>
      <c r="D21" s="10" t="s">
        <v>134</v>
      </c>
      <c r="E21" s="11" t="n">
        <v>1</v>
      </c>
      <c r="F21" s="10" t="s">
        <v>37</v>
      </c>
      <c r="G21" s="15" t="n">
        <v>0.361111111111111</v>
      </c>
      <c r="H21" s="15" t="n">
        <v>0.3875</v>
      </c>
      <c r="I21" s="10" t="s">
        <v>87</v>
      </c>
    </row>
    <row r="22" customFormat="false" ht="22" hidden="false" customHeight="true" outlineLevel="0" collapsed="false">
      <c r="A22" s="12" t="n">
        <v>46281</v>
      </c>
      <c r="B22" s="13" t="s">
        <v>132</v>
      </c>
      <c r="C22" s="13" t="s">
        <v>135</v>
      </c>
      <c r="D22" s="13" t="s">
        <v>134</v>
      </c>
      <c r="E22" s="14" t="n">
        <v>2</v>
      </c>
      <c r="F22" s="13" t="s">
        <v>37</v>
      </c>
      <c r="G22" s="16" t="n">
        <v>0.361111111111111</v>
      </c>
      <c r="H22" s="16" t="n">
        <v>0.3875</v>
      </c>
      <c r="I22" s="13" t="s">
        <v>87</v>
      </c>
    </row>
    <row r="23" customFormat="false" ht="22" hidden="false" customHeight="true" outlineLevel="0" collapsed="false">
      <c r="A23" s="9" t="n">
        <v>46281</v>
      </c>
      <c r="B23" s="10" t="s">
        <v>132</v>
      </c>
      <c r="C23" s="10" t="s">
        <v>136</v>
      </c>
      <c r="D23" s="10" t="s">
        <v>134</v>
      </c>
      <c r="E23" s="11" t="n">
        <v>4</v>
      </c>
      <c r="F23" s="10" t="s">
        <v>37</v>
      </c>
      <c r="G23" s="15" t="n">
        <v>0.361111111111111</v>
      </c>
      <c r="H23" s="15" t="n">
        <v>0.3875</v>
      </c>
      <c r="I23" s="10" t="s">
        <v>87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2026-09-16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