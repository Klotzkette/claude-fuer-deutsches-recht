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Hoehen" sheetId="1" state="visible" ns1:id="rId3"/>
  </ns0:sheets>
  <ns0:definedNames>
    <ns0:definedName name="_xlnm.Print_Area" localSheetId="0">'Hoehen'!A1:H25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<sst xmlns="http://schemas.openxmlformats.org/spreadsheetml/2006/main" count="21" uniqueCount="21">
  <si>
    <t xml:space="preserve">Schule Brückenanger Höhenketten</t>
  </si>
  <si>
    <t xml:space="preserve">HM-BA26 · Lea Wernicke · 15.09.2026 · alle Höhen und Dicken in m</t>
  </si>
  <si>
    <t xml:space="preserve">Route / Stand</t>
  </si>
  <si>
    <t xml:space="preserve">UK Tragwerk</t>
  </si>
  <si>
    <t xml:space="preserve">Montage oben</t>
  </si>
  <si>
    <t xml:space="preserve">Kanal frei</t>
  </si>
  <si>
    <t xml:space="preserve">Dämmung je Seite</t>
  </si>
  <si>
    <t xml:space="preserve">Decke unten</t>
  </si>
  <si>
    <t xml:space="preserve">Lichte Höhe</t>
  </si>
  <si>
    <t xml:space="preserve">Differenz Ziel</t>
  </si>
  <si>
    <t xml:space="preserve">Direkt L-301/D</t>
  </si>
  <si>
    <t xml:space="preserve">Seitlich, Studie</t>
  </si>
  <si>
    <t xml:space="preserve">Altstand L-301/B</t>
  </si>
  <si>
    <t xml:space="preserve">Projektziel lichte Höhe</t>
  </si>
  <si>
    <t xml:space="preserve">Entwurfsdecke UK</t>
  </si>
  <si>
    <t xml:space="preserve">Quellen: T-201/B UK Unterzug 3,15 m, UK Decke 3,60 m; L-301/D Kanal 600 x 280 mm frei.</t>
  </si>
  <si>
    <t xml:space="preserve">Dämmung 40 mm je Seite; Montageabstand 50 mm; Deckenunterkonstruktion 60 mm, Koordination 15.09.2026.</t>
  </si>
  <si>
    <t xml:space="preserve">Seitliche Route ist eine geometrische Studie. Befestigung, Wartung und Abschottung sind nicht bestätigt.</t>
  </si>
  <si>
    <t xml:space="preserve">Altstand zeigt die frühere Kanalhöhe von 200 mm frei; er ist keine bestätigte Alternative zum Fachstand D.</t>
  </si>
  <si>
    <t xml:space="preserve">Blaue Zahlen auf hellem Feld sind Eingaben. Positive Resthöhe ist keine technische Freigabe.</t>
  </si>
  <si>
    <t xml:space="preserve">gez. Lea Wernicke · Nordfeld Architektur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</si>
</sst>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7]0.000"/>
    <numFmt numFmtId="166" formatCode="[$-407]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529"/>
      <name val="Arial"/>
      <family val="0"/>
      <charset val="1"/>
    </font>
    <font>
      <b val="true"/>
      <sz val="15"/>
      <color rgb="FF20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577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4A52"/>
        <bgColor rgb="FF215774"/>
      </patternFill>
    </fill>
    <fill>
      <patternFill patternType="solid">
        <fgColor rgb="FFF6EDCF"/>
        <bgColor rgb="FFF4D7D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color rgb="FF8C2222"/>
      </font>
      <fill>
        <patternFill>
          <bgColor rgb="FFF4D7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D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5774"/>
      <rgbColor rgb="FF339966"/>
      <rgbColor rgb="FF003300"/>
      <rgbColor rgb="FF333300"/>
      <rgbColor rgb="FF8C2222"/>
      <rgbColor rgb="FF993366"/>
      <rgbColor rgb="FF3D4A52"/>
      <rgbColor rgb="FF20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5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2.78"/>
    <ns0:col collapsed="false" customWidth="true" hidden="false" outlineLevel="0" max="5" min="2" style="0" width="11.67"/>
    <ns0:col collapsed="false" customWidth="true" hidden="false" outlineLevel="0" max="6" min="6" style="0" width="12.78"/>
    <ns0:col collapsed="false" customWidth="true" hidden="false" outlineLevel="0" max="7" min="7" style="0" width="12.22"/>
    <ns0:col collapsed="false" customWidth="true" hidden="false" outlineLevel="0" max="8" min="8" style="0" width="11.67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  <ns0:c r="G1" s="1"/>
      <ns0:c r="H1" s="1"/>
    </ns0:row>
    <ns0:row r="2" customFormat="false" ht="24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  <ns0:c r="H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  <ns0:c r="H3" s="1"/>
    </ns0:row>
    <ns0:row r="4" customFormat="false" ht="8" hidden="false" customHeight="true" outlineLevel="0" collapsed="false">
      <ns0:c r="A4" s="1"/>
      <ns0:c r="B4" s="1"/>
      <ns0:c r="C4" s="1"/>
      <ns0:c r="D4" s="1"/>
      <ns0:c r="E4" s="1"/>
      <ns0:c r="F4" s="1"/>
      <ns0:c r="G4" s="1"/>
      <ns0:c r="H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  <ns0:c r="H5" s="3" t="s">
        <ns0:v>9</ns0:v>
      </ns0:c>
    </ns0:row>
    <ns0:row r="6" customFormat="false" ht="30" hidden="false" customHeight="true" outlineLevel="0" collapsed="false">
      <ns0:c r="A6" s="1" t="s">
        <ns0:v>10</ns0:v>
      </ns0:c>
      <ns0:c r="B6" s="4" t="n">
        <ns0:v>3.15</ns0:v>
      </ns0:c>
      <ns0:c r="C6" s="4" t="n">
        <ns0:v>0.05</ns0:v>
      </ns0:c>
      <ns0:c r="D6" s="4" t="n">
        <ns0:v>0.28</ns0:v>
      </ns0:c>
      <ns0:c r="E6" s="4" t="n">
        <ns0:v>0.04</ns0:v>
      </ns0:c>
      <ns0:c r="F6" s="4" t="n">
        <ns0:v>0.06</ns0:v>
      </ns0:c>
      <ns0:c r="G6" s="5" t="n">
        <ns0:f aca="false">IF(COUNT(B6:F6)=5,B6-C6-D6-2*E6-F6,"")</ns0:f>
        <ns0:v>2.68</ns0:v>
      </ns0:c>
      <ns0:c r="H6" s="5" t="n">
        <ns0:f aca="false">IF(OR(G6="",B13=""),"",G6-$B$13)</ns0:f>
        <ns0:v>-0.0699999999999998</ns0:v>
      </ns0:c>
    </ns0:row>
    <ns0:row r="7" customFormat="false" ht="30" hidden="false" customHeight="true" outlineLevel="0" collapsed="false">
      <ns0:c r="A7" s="1" t="s">
        <ns0:v>11</ns0:v>
      </ns0:c>
      <ns0:c r="B7" s="4" t="n">
        <ns0:v>3.6</ns0:v>
      </ns0:c>
      <ns0:c r="C7" s="4" t="n">
        <ns0:v>0.05</ns0:v>
      </ns0:c>
      <ns0:c r="D7" s="4" t="n">
        <ns0:v>0.28</ns0:v>
      </ns0:c>
      <ns0:c r="E7" s="4" t="n">
        <ns0:v>0.04</ns0:v>
      </ns0:c>
      <ns0:c r="F7" s="4" t="n">
        <ns0:v>0.06</ns0:v>
      </ns0:c>
      <ns0:c r="G7" s="5" t="n">
        <ns0:f aca="false">IF(COUNT(B7:F7)=5,B7-C7-D7-2*E7-F7,"")</ns0:f>
        <ns0:v>3.13</ns0:v>
      </ns0:c>
      <ns0:c r="H7" s="5" t="n">
        <ns0:f aca="false">IF(OR(G7="",B13=""),"",G7-$B$13)</ns0:f>
        <ns0:v>0.38</ns0:v>
      </ns0:c>
    </ns0:row>
    <ns0:row r="8" customFormat="false" ht="30" hidden="false" customHeight="true" outlineLevel="0" collapsed="false">
      <ns0:c r="A8" s="1" t="s">
        <ns0:v>12</ns0:v>
      </ns0:c>
      <ns0:c r="B8" s="4" t="n">
        <ns0:v>3.15</ns0:v>
      </ns0:c>
      <ns0:c r="C8" s="4" t="n">
        <ns0:v>0.05</ns0:v>
      </ns0:c>
      <ns0:c r="D8" s="4" t="n">
        <ns0:v>0.2</ns0:v>
      </ns0:c>
      <ns0:c r="E8" s="4" t="n">
        <ns0:v>0.04</ns0:v>
      </ns0:c>
      <ns0:c r="F8" s="4" t="n">
        <ns0:v>0.06</ns0:v>
      </ns0:c>
      <ns0:c r="G8" s="5" t="n">
        <ns0:f aca="false">IF(COUNT(B8:F8)=5,B8-C8-D8-2*E8-F8,"")</ns0:f>
        <ns0:v>2.76</ns0:v>
      </ns0:c>
      <ns0:c r="H8" s="5" t="n">
        <ns0:f aca="false">IF(OR(G8="",B13=""),"",G8-$B$13)</ns0:f>
        <ns0:v>0.00999999999999979</ns0:v>
      </ns0:c>
    </ns0:row>
    <ns0:row r="9" customFormat="false" ht="8" hidden="false" customHeight="true" outlineLevel="0" collapsed="false">
      <ns0:c r="A9" s="1"/>
      <ns0:c r="B9" s="1"/>
      <ns0:c r="C9" s="1"/>
      <ns0:c r="D9" s="1"/>
      <ns0:c r="E9" s="1"/>
      <ns0:c r="F9" s="1"/>
      <ns0:c r="G9" s="1"/>
      <ns0:c r="H9" s="1"/>
    </ns0:row>
    <ns0:row r="10" customFormat="false" ht="8" hidden="false" customHeight="true" outlineLevel="0" collapsed="false">
      <ns0:c r="A10" s="1"/>
      <ns0:c r="B10" s="1"/>
      <ns0:c r="C10" s="1"/>
      <ns0:c r="D10" s="1"/>
      <ns0:c r="E10" s="1"/>
      <ns0:c r="F10" s="1"/>
      <ns0:c r="G10" s="1"/>
      <ns0:c r="H10" s="1"/>
    </ns0:row>
    <ns0:row r="11" customFormat="false" ht="8" hidden="false" customHeight="true" outlineLevel="0" collapsed="false">
      <ns0:c r="A11" s="1"/>
      <ns0:c r="B11" s="1"/>
      <ns0:c r="C11" s="1"/>
      <ns0:c r="D11" s="1"/>
      <ns0:c r="E11" s="1"/>
      <ns0:c r="F11" s="1"/>
      <ns0:c r="G11" s="1"/>
      <ns0:c r="H11" s="1"/>
    </ns0:row>
    <ns0:row r="12" customFormat="false" ht="8" hidden="false" customHeight="true" outlineLevel="0" collapsed="false">
      <ns0:c r="A12" s="1"/>
      <ns0:c r="B12" s="1"/>
      <ns0:c r="C12" s="1"/>
      <ns0:c r="D12" s="1"/>
      <ns0:c r="E12" s="1"/>
      <ns0:c r="F12" s="1"/>
      <ns0:c r="G12" s="1"/>
      <ns0:c r="H12" s="1"/>
    </ns0:row>
    <ns0:row r="13" customFormat="false" ht="18" hidden="false" customHeight="true" outlineLevel="0" collapsed="false">
      <ns0:c r="A13" s="1" t="s">
        <ns0:v>13</ns0:v>
      </ns0:c>
      <ns0:c r="B13" s="6" t="n">
        <ns0:v>2.75</ns0:v>
      </ns0:c>
      <ns0:c r="C13" s="1"/>
      <ns0:c r="D13" s="1"/>
      <ns0:c r="E13" s="1"/>
      <ns0:c r="F13" s="1"/>
      <ns0:c r="G13" s="1"/>
      <ns0:c r="H13" s="1"/>
    </ns0:row>
    <ns0:row r="14" customFormat="false" ht="18" hidden="false" customHeight="true" outlineLevel="0" collapsed="false">
      <ns0:c r="A14" s="1" t="s">
        <ns0:v>14</ns0:v>
      </ns0:c>
      <ns0:c r="B14" s="1" t="n">
        <ns0:v>2.8</ns0:v>
      </ns0:c>
      <ns0:c r="C14" s="1"/>
      <ns0:c r="D14" s="1"/>
      <ns0:c r="E14" s="1"/>
      <ns0:c r="F14" s="1"/>
      <ns0:c r="G14" s="1"/>
      <ns0:c r="H14" s="1"/>
    </ns0:row>
    <ns0:row r="15" customFormat="false" ht="8" hidden="false" customHeight="true" outlineLevel="0" collapsed="false">
      <ns0:c r="A15" s="1"/>
      <ns0:c r="B15" s="1"/>
      <ns0:c r="C15" s="1"/>
      <ns0:c r="D15" s="1"/>
      <ns0:c r="E15" s="1"/>
      <ns0:c r="F15" s="1"/>
      <ns0:c r="G15" s="1"/>
      <ns0:c r="H15" s="1"/>
    </ns0:row>
    <ns0:row r="16" customFormat="false" ht="8" hidden="false" customHeight="true" outlineLevel="0" collapsed="false">
      <ns0:c r="A16" s="1"/>
      <ns0:c r="B16" s="1"/>
      <ns0:c r="C16" s="1"/>
      <ns0:c r="D16" s="1"/>
      <ns0:c r="E16" s="1"/>
      <ns0:c r="F16" s="1"/>
      <ns0:c r="G16" s="1"/>
      <ns0:c r="H16" s="1"/>
    </ns0:row>
    <ns0:row r="17" customFormat="false" ht="18" hidden="false" customHeight="true" outlineLevel="0" collapsed="false">
      <ns0:c r="A17" s="1" t="s">
        <ns0:v>15</ns0:v>
      </ns0:c>
      <ns0:c r="B17" s="1"/>
      <ns0:c r="C17" s="1"/>
      <ns0:c r="D17" s="1"/>
      <ns0:c r="E17" s="1"/>
      <ns0:c r="F17" s="1"/>
      <ns0:c r="G17" s="1"/>
      <ns0:c r="H17" s="1"/>
    </ns0:row>
    <ns0:row r="18" customFormat="false" ht="18" hidden="false" customHeight="true" outlineLevel="0" collapsed="false">
      <ns0:c r="A18" s="1" t="s">
        <ns0:v>16</ns0:v>
      </ns0:c>
      <ns0:c r="B18" s="1"/>
      <ns0:c r="C18" s="1"/>
      <ns0:c r="D18" s="1"/>
      <ns0:c r="E18" s="1"/>
      <ns0:c r="F18" s="1"/>
      <ns0:c r="G18" s="1"/>
      <ns0:c r="H18" s="1"/>
    </ns0:row>
    <ns0:row r="19" customFormat="false" ht="18" hidden="false" customHeight="true" outlineLevel="0" collapsed="false">
      <ns0:c r="A19" s="1" t="s">
        <ns0:v>17</ns0:v>
      </ns0:c>
      <ns0:c r="B19" s="1"/>
      <ns0:c r="C19" s="1"/>
      <ns0:c r="D19" s="1"/>
      <ns0:c r="E19" s="1"/>
      <ns0:c r="F19" s="1"/>
      <ns0:c r="G19" s="1"/>
      <ns0:c r="H19" s="1"/>
    </ns0:row>
    <ns0:row r="20" customFormat="false" ht="18" hidden="false" customHeight="true" outlineLevel="0" collapsed="false">
      <ns0:c r="A20" s="1" t="s">
        <ns0:v>18</ns0:v>
      </ns0:c>
      <ns0:c r="B20" s="1"/>
      <ns0:c r="C20" s="1"/>
      <ns0:c r="D20" s="1"/>
      <ns0:c r="E20" s="1"/>
      <ns0:c r="F20" s="1"/>
      <ns0:c r="G20" s="1"/>
      <ns0:c r="H20" s="1"/>
    </ns0:row>
    <ns0:row r="21" customFormat="false" ht="8" hidden="false" customHeight="true" outlineLevel="0" collapsed="false">
      <ns0:c r="A21" s="1"/>
      <ns0:c r="B21" s="1"/>
      <ns0:c r="C21" s="1"/>
      <ns0:c r="D21" s="1"/>
      <ns0:c r="E21" s="1"/>
      <ns0:c r="F21" s="1"/>
      <ns0:c r="G21" s="1"/>
      <ns0:c r="H21" s="1"/>
    </ns0:row>
    <ns0:row r="22" customFormat="false" ht="18" hidden="false" customHeight="true" outlineLevel="0" collapsed="false">
      <ns0:c r="A22" s="1" t="s">
        <ns0:v>19</ns0:v>
      </ns0:c>
      <ns0:c r="B22" s="1"/>
      <ns0:c r="C22" s="1"/>
      <ns0:c r="D22" s="1"/>
      <ns0:c r="E22" s="1"/>
      <ns0:c r="F22" s="1"/>
      <ns0:c r="G22" s="1"/>
      <ns0:c r="H22" s="1"/>
    </ns0:row>
    <ns0:row r="23" customFormat="false" ht="8" hidden="false" customHeight="true" outlineLevel="0" collapsed="false">
      <ns0:c r="A23" s="1"/>
      <ns0:c r="B23" s="1"/>
      <ns0:c r="C23" s="1"/>
      <ns0:c r="D23" s="1"/>
      <ns0:c r="E23" s="1"/>
      <ns0:c r="F23" s="1"/>
      <ns0:c r="G23" s="1"/>
      <ns0:c r="H23" s="1"/>
    </ns0:row>
    <ns0:row r="24" customFormat="false" ht="18" hidden="false" customHeight="true" outlineLevel="0" collapsed="false">
      <ns0:c r="A24" s="1" t="s">
        <ns0:v>20</ns0:v>
      </ns0:c>
      <ns0:c r="B24" s="1"/>
      <ns0:c r="C24" s="1"/>
      <ns0:c r="D24" s="1"/>
      <ns0:c r="E24" s="1"/>
      <ns0:c r="F24" s="1"/>
      <ns0:c r="G24" s="1"/>
      <ns0:c r="H24" s="1"/>
    </ns0:row>
    <ns0:row r="25" customFormat="false" ht="8" hidden="false" customHeight="true" outlineLevel="0" collapsed="false">
      <ns0:c r="A25" s="1"/>
      <ns0:c r="B25" s="1"/>
      <ns0:c r="C25" s="1"/>
      <ns0:c r="D25" s="1"/>
      <ns0:c r="E25" s="1"/>
      <ns0:c r="F25" s="1"/>
      <ns0:c r="G25" s="1"/>
      <ns0:c r="H25" s="1"/>
    </ns0:row>
  </ns0:sheetData>
  <ns0:conditionalFormatting sqref="H6:H8">
    <ns0:cfRule type="cellIs" priority="2" operator="lessThan" aboveAverage="0" equalAverage="0" bottom="0" percent="0" rank="0" text="" dxfId="0">
      <ns0:formula>0</ns0:formula>
    </ns0:cfRule>
  </ns0:conditionalFormatting>
  <ns0:printOptions headings="false" gridLines="false" gridLinesSet="true" horizontalCentered="false" verticalCentered="false"/>
  <ns0:pageMargins left="0.3" right="0.3" top="0.35" bottom="0.35" header="0.1" footer="0.1"/>
  <ns0:pageSetup paperSize="8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