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Pilotkosten" sheetId="1" state="visible" ns1:id="rId3"/>
    <ns0:sheet name="Messplan" sheetId="2" state="visible" ns1:id="rId4"/>
  </ns0:sheets>
  <ns0:definedNames>
    <ns0:definedName name="_xlnm.Print_Area" localSheetId="0">'Pilotkosten'!A1:F30</ns0:definedName>
    <ns0:definedName name="_xlnm.Print_Titles" localSheetId="0">'Pilotkosten'!$7:$7</ns0:definedName>
    <ns0:definedName name="_xlnm.Print_Area" localSheetId="1">'Messplan'!A1:G29</ns0:definedName>
    <ns0:definedName name="_xlnm.Print_Titles" localSheetId="1">'Messplan'!$7:$7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<sst xmlns="http://schemas.openxmlformats.org/spreadsheetml/2006/main" count="56" uniqueCount="55">
  <si>
    <t xml:space="preserve">P01 Pilotbudget und interne Kapazität</t>
  </si>
  <si>
    <t xml:space="preserve">Klinikverbund Auenhöhe GmbH · Nora Bergmann · Arbeitsstand 06.10.2026</t>
  </si>
  <si>
    <t xml:space="preserve">Anzahl Lizenzmonate</t>
  </si>
  <si>
    <t xml:space="preserve">Position</t>
  </si>
  <si>
    <t xml:space="preserve">Menge</t>
  </si>
  <si>
    <t xml:space="preserve">Einheit</t>
  </si>
  <si>
    <t xml:space="preserve">Satz EUR netto</t>
  </si>
  <si>
    <t xml:space="preserve">Betrag EUR netto</t>
  </si>
  <si>
    <t xml:space="preserve">Quelle / Rechenannahme</t>
  </si>
  <si>
    <t xml:space="preserve">Lizenzen, zwei Monate</t>
  </si>
  <si>
    <t xml:space="preserve">Nutzer</t>
  </si>
  <si>
    <t xml:space="preserve">04 Angebot / 36 Planung: 89 EUR je Nutzer und Monat</t>
  </si>
  <si>
    <t xml:space="preserve">Einrichtung</t>
  </si>
  <si>
    <t xml:space="preserve">Pauschale</t>
  </si>
  <si>
    <t xml:space="preserve">04 Angebot / 36 Planung vom 06.10.2026</t>
  </si>
  <si>
    <t xml:space="preserve">Interne Projektarbeit</t>
  </si>
  <si>
    <t xml:space="preserve">Stunden</t>
  </si>
  <si>
    <t xml:space="preserve">36 Lenkungsrunde: interner Satz, kein Lieferantenentgelt</t>
  </si>
  <si>
    <t xml:space="preserve">Externe Kosten netto</t>
  </si>
  <si>
    <t xml:space="preserve">Umsatzsteuersatz extern</t>
  </si>
  <si>
    <t xml:space="preserve">Extern brutto / Zahlungsbudget</t>
  </si>
  <si>
    <t xml:space="preserve">Gesamter Ressourcenbedarf</t>
  </si>
  <si>
    <t xml:space="preserve">Externe Bruttokosten plus interne Vollkosten; kein Rechnungsbetrag.</t>
  </si>
  <si>
    <t xml:space="preserve">1 Ausgangsstand</t>
  </si>
  <si>
    <t xml:space="preserve">Diese Rechnung ist Noras vorläufige Planung, kein angenommenes Angebot und keine Bestellung.</t>
  </si>
  <si>
    <t xml:space="preserve">2 Eingaben</t>
  </si>
  <si>
    <t xml:space="preserve">Gelbe Felder ändern. Fehlende Werte lassen den betroffenen Betrag offen; eine echte Null bleibt null.</t>
  </si>
  <si>
    <t xml:space="preserve">3 Kostenumfang</t>
  </si>
  <si>
    <t xml:space="preserve">Nur P01. Radiologie, Forschung und Folgebetrieb sind nicht enthalten. Vorsteuerabzug wird nicht unterstellt.</t>
  </si>
  <si>
    <t xml:space="preserve">4 Zeitraum</t>
  </si>
  <si>
    <t xml:space="preserve">Zwei Abrechnungsmonate sind eine Budgetannahme für acht Pilotwochen, keine zugesagte Vertragslaufzeit.</t>
  </si>
  <si>
    <t xml:space="preserve">Acht Wochen P01: geplante Beobachtung</t>
  </si>
  <si>
    <t xml:space="preserve">Pilotwoche</t>
  </si>
  <si>
    <t xml:space="preserve">Ziel Briefe</t>
  </si>
  <si>
    <t xml:space="preserve">Geprüfte Briefe</t>
  </si>
  <si>
    <t xml:space="preserve">Korrekturbedarf</t>
  </si>
  <si>
    <t xml:space="preserve">Prüfzeit Minuten</t>
  </si>
  <si>
    <t xml:space="preserve">Anteil korrigiert</t>
  </si>
  <si>
    <t xml:space="preserve">Minuten je Brief</t>
  </si>
  <si>
    <t xml:space="preserve">Woche 1 nach Freigabe</t>
  </si>
  <si>
    <t xml:space="preserve">Woche 2 nach Freigabe</t>
  </si>
  <si>
    <t xml:space="preserve">Woche 3 nach Freigabe</t>
  </si>
  <si>
    <t xml:space="preserve">Woche 4 nach Freigabe</t>
  </si>
  <si>
    <t xml:space="preserve">Woche 5 nach Freigabe</t>
  </si>
  <si>
    <t xml:space="preserve">Woche 6 nach Freigabe</t>
  </si>
  <si>
    <t xml:space="preserve">Woche 7 nach Freigabe</t>
  </si>
  <si>
    <t xml:space="preserve">Woche 8 nach Freigabe</t>
  </si>
  <si>
    <t xml:space="preserve">Geplante Briefe</t>
  </si>
  <si>
    <t xml:space="preserve">Erfasste Wochen</t>
  </si>
  <si>
    <t xml:space="preserve">1 Messung beginnt nach Freigabe</t>
  </si>
  <si>
    <t xml:space="preserve">Am 06.10.2026 liegen keine Pilotmessungen vor. Leere Felder sind unbekannt, nicht null Fehler.</t>
  </si>
  <si>
    <t xml:space="preserve">2 Erfassung</t>
  </si>
  <si>
    <t xml:space="preserve">Gezählt werden geprüfte Entwürfe und davon Entwürfe mit Korrekturbedarf, nicht einzelne Fehler.</t>
  </si>
  <si>
    <t xml:space="preserve">3 Interpretation</t>
  </si>
  <si>
    <t xml:space="preserve">Prüfzeit umfasst ärztliche Kontrolle. Diese Kennzahlen belegen allein keine Sicherheit oder Zulässigkeit.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</si>
</sst>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7]#,##0.00"/>
    <numFmt numFmtId="166" formatCode="0%"/>
    <numFmt numFmtId="167" formatCode="[$-407]0.0%"/>
    <numFmt numFmtId="168" formatCode="[$-407]0.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11111"/>
      <name val="Times New Roman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74B99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8EDF0"/>
      </patternFill>
    </fill>
    <fill>
      <patternFill patternType="solid">
        <fgColor rgb="FF344956"/>
        <bgColor rgb="FF174B99"/>
      </patternFill>
    </fill>
    <fill>
      <patternFill patternType="solid">
        <fgColor rgb="FFE8EDF0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2D9DF"/>
      </left>
      <right style="thin">
        <color rgb="FFD2D9DF"/>
      </right>
      <top style="thin">
        <color rgb="FFD2D9DF"/>
      </top>
      <bottom style="thin">
        <color rgb="FFD2D9D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DF0"/>
      <rgbColor rgb="FF660066"/>
      <rgbColor rgb="FFFF8080"/>
      <rgbColor rgb="FF0066CC"/>
      <rgbColor rgb="FFD2D9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174B99"/>
      <rgbColor rgb="FF3449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F3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0.39"/>
    <ns0:col collapsed="false" customWidth="true" hidden="false" outlineLevel="0" max="2" min="2" style="0" width="13.3"/>
    <ns0:col collapsed="false" customWidth="true" hidden="false" outlineLevel="0" max="3" min="3" style="0" width="17.1"/>
    <ns0:col collapsed="false" customWidth="true" hidden="false" outlineLevel="0" max="4" min="4" style="0" width="19"/>
    <ns0:col collapsed="false" customWidth="true" hidden="false" outlineLevel="0" max="5" min="5" style="0" width="21.84"/>
    <ns0:col collapsed="false" customWidth="true" hidden="false" outlineLevel="0" max="6" min="6" style="0" width="50.35"/>
  </ns0:cols>
  <ns0:sheetData>
    <ns0:row r="1" customFormat="false" ht="22" hidden="false" customHeight="true" outlineLevel="0" collapsed="false">
      <ns0:c r="A1" s="1"/>
      <ns0:c r="B1" s="1"/>
      <ns0:c r="C1" s="1"/>
      <ns0:c r="D1" s="1"/>
      <ns0:c r="E1" s="1"/>
      <ns0:c r="F1" s="1"/>
    </ns0:row>
    <ns0:row r="2" customFormat="false" ht="28" hidden="false" customHeight="true" outlineLevel="0" collapsed="false">
      <ns0:c r="A2" s="2" t="s">
        <ns0:v>0</ns0:v>
      </ns0:c>
      <ns0:c r="B2" s="1"/>
      <ns0:c r="C2" s="1"/>
      <ns0:c r="D2" s="1"/>
      <ns0:c r="E2" s="1"/>
      <ns0:c r="F2" s="1"/>
    </ns0:row>
    <ns0:row r="3" customFormat="false" ht="22" hidden="false" customHeight="true" outlineLevel="0" collapsed="false">
      <ns0:c r="A3" s="3" t="s">
        <ns0:v>1</ns0:v>
      </ns0:c>
      <ns0:c r="B3" s="1"/>
      <ns0:c r="C3" s="1"/>
      <ns0:c r="D3" s="1"/>
      <ns0:c r="E3" s="1"/>
      <ns0:c r="F3" s="1"/>
    </ns0:row>
    <ns0:row r="4" customFormat="false" ht="22" hidden="false" customHeight="true" outlineLevel="0" collapsed="false">
      <ns0:c r="A4" s="1"/>
      <ns0:c r="B4" s="1"/>
      <ns0:c r="C4" s="1"/>
      <ns0:c r="D4" s="1"/>
      <ns0:c r="E4" s="1"/>
      <ns0:c r="F4" s="1"/>
    </ns0:row>
    <ns0:row r="5" customFormat="false" ht="22" hidden="false" customHeight="true" outlineLevel="0" collapsed="false">
      <ns0:c r="A5" s="1" t="s">
        <ns0:v>2</ns0:v>
      </ns0:c>
      <ns0:c r="B5" s="4" t="n">
        <ns0:v>2</ns0:v>
      </ns0:c>
      <ns0:c r="C5" s="1"/>
      <ns0:c r="D5" s="1"/>
      <ns0:c r="E5" s="1"/>
      <ns0:c r="F5" s="1"/>
    </ns0:row>
    <ns0:row r="6" customFormat="false" ht="22" hidden="false" customHeight="true" outlineLevel="0" collapsed="false">
      <ns0:c r="A6" s="1"/>
      <ns0:c r="B6" s="1"/>
      <ns0:c r="C6" s="1"/>
      <ns0:c r="D6" s="1"/>
      <ns0:c r="E6" s="1"/>
      <ns0:c r="F6" s="1"/>
    </ns0:row>
    <ns0:row r="7" customFormat="false" ht="42" hidden="false" customHeight="true" outlineLevel="0" collapsed="false">
      <ns0:c r="A7" s="5" t="s">
        <ns0:v>3</ns0:v>
      </ns0:c>
      <ns0:c r="B7" s="5" t="s">
        <ns0:v>4</ns0:v>
      </ns0:c>
      <ns0:c r="C7" s="5" t="s">
        <ns0:v>5</ns0:v>
      </ns0:c>
      <ns0:c r="D7" s="5" t="s">
        <ns0:v>6</ns0:v>
      </ns0:c>
      <ns0:c r="E7" s="5" t="s">
        <ns0:v>7</ns0:v>
      </ns0:c>
      <ns0:c r="F7" s="5" t="s">
        <ns0:v>8</ns0:v>
      </ns0:c>
    </ns0:row>
    <ns0:row r="8" customFormat="false" ht="50" hidden="false" customHeight="true" outlineLevel="0" collapsed="false">
      <ns0:c r="A8" s="6" t="s">
        <ns0:v>9</ns0:v>
      </ns0:c>
      <ns0:c r="B8" s="7" t="n">
        <ns0:v>30</ns0:v>
      </ns0:c>
      <ns0:c r="C8" s="6" t="s">
        <ns0:v>10</ns0:v>
      </ns0:c>
      <ns0:c r="D8" s="8" t="n">
        <ns0:v>89</ns0:v>
      </ns0:c>
      <ns0:c r="E8" s="9" t="n">
        <ns0:f aca="false">IF(COUNT(B8,D8,$B$5)&lt;&gt;3,"Eingabe fehlt",IF(OR(B8&lt;0,B8&lt;&gt;INT(B8),D8&lt;0,$B$5&lt;=0,$B$5&lt;&gt;INT($B$5)),"Werte prüfen",ROUND(B8*D8*$B$5,2)))</ns0:f>
        <ns0:v>5340</ns0:v>
      </ns0:c>
      <ns0:c r="F8" s="6" t="s">
        <ns0:v>11</ns0:v>
      </ns0:c>
    </ns0:row>
    <ns0:row r="9" customFormat="false" ht="50" hidden="false" customHeight="true" outlineLevel="0" collapsed="false">
      <ns0:c r="A9" s="6" t="s">
        <ns0:v>12</ns0:v>
      </ns0:c>
      <ns0:c r="B9" s="7" t="n">
        <ns0:v>1</ns0:v>
      </ns0:c>
      <ns0:c r="C9" s="6" t="s">
        <ns0:v>13</ns0:v>
      </ns0:c>
      <ns0:c r="D9" s="8" t="n">
        <ns0:v>4800</ns0:v>
      </ns0:c>
      <ns0:c r="E9" s="9" t="n">
        <ns0:f aca="false">IF(COUNT(B9,D9)&lt;&gt;2,"Eingabe fehlt",IF(OR(B9&lt;0,D9&lt;0),"Werte prüfen",ROUND(B9*D9,2)))</ns0:f>
        <ns0:v>4800</ns0:v>
      </ns0:c>
      <ns0:c r="F9" s="6" t="s">
        <ns0:v>14</ns0:v>
      </ns0:c>
    </ns0:row>
    <ns0:row r="10" customFormat="false" ht="50" hidden="false" customHeight="true" outlineLevel="0" collapsed="false">
      <ns0:c r="A10" s="6" t="s">
        <ns0:v>15</ns0:v>
      </ns0:c>
      <ns0:c r="B10" s="7" t="n">
        <ns0:v>48</ns0:v>
      </ns0:c>
      <ns0:c r="C10" s="6" t="s">
        <ns0:v>16</ns0:v>
      </ns0:c>
      <ns0:c r="D10" s="8" t="n">
        <ns0:v>65</ns0:v>
      </ns0:c>
      <ns0:c r="E10" s="9" t="n">
        <ns0:f aca="false">IF(COUNT(B10,D10)&lt;&gt;2,"Eingabe fehlt",IF(OR(B10&lt;0,D10&lt;0),"Werte prüfen",ROUND(B10*D10,2)))</ns0:f>
        <ns0:v>3120</ns0:v>
      </ns0:c>
      <ns0:c r="F10" s="6" t="s">
        <ns0:v>17</ns0:v>
      </ns0:c>
    </ns0:row>
    <ns0:row r="11" customFormat="false" ht="22" hidden="false" customHeight="true" outlineLevel="0" collapsed="false">
      <ns0:c r="A11" s="1"/>
      <ns0:c r="B11" s="1"/>
      <ns0:c r="C11" s="1"/>
      <ns0:c r="D11" s="10"/>
      <ns0:c r="E11" s="10"/>
      <ns0:c r="F11" s="1"/>
    </ns0:row>
    <ns0:row r="12" customFormat="false" ht="34" hidden="false" customHeight="true" outlineLevel="0" collapsed="false">
      <ns0:c r="A12" s="1" t="s">
        <ns0:v>18</ns0:v>
      </ns0:c>
      <ns0:c r="B12" s="1"/>
      <ns0:c r="C12" s="1"/>
      <ns0:c r="D12" s="10"/>
      <ns0:c r="E12" s="10" t="n">
        <ns0:f aca="false">IF(COUNT(E8:E9)&lt;&gt;2,"Eingabe fehlt",SUM(E8:E9))</ns0:f>
        <ns0:v>10140</ns0:v>
      </ns0:c>
      <ns0:c r="F12" s="1"/>
    </ns0:row>
    <ns0:row r="13" customFormat="false" ht="34" hidden="false" customHeight="true" outlineLevel="0" collapsed="false">
      <ns0:c r="A13" s="1" t="s">
        <ns0:v>19</ns0:v>
      </ns0:c>
      <ns0:c r="B13" s="1"/>
      <ns0:c r="C13" s="1"/>
      <ns0:c r="D13" s="11" t="n">
        <ns0:v>0.19</ns0:v>
      </ns0:c>
      <ns0:c r="E13" s="10" t="n">
        <ns0:f aca="false">IF(AND(ISNUMBER(E12),ISNUMBER(D13)),IF(OR(D13&lt;0,D13&gt;1),"Werte prüfen",ROUND(E12*D13,2)),"Eingabe fehlt")</ns0:f>
        <ns0:v>1926.6</ns0:v>
      </ns0:c>
      <ns0:c r="F13" s="1"/>
    </ns0:row>
    <ns0:row r="14" customFormat="false" ht="34" hidden="false" customHeight="true" outlineLevel="0" collapsed="false">
      <ns0:c r="A14" s="1" t="s">
        <ns0:v>20</ns0:v>
      </ns0:c>
      <ns0:c r="B14" s="1"/>
      <ns0:c r="C14" s="1"/>
      <ns0:c r="D14" s="10"/>
      <ns0:c r="E14" s="10" t="n">
        <ns0:f aca="false">IF(COUNT(E12:E13)&lt;&gt;2,"Eingabe fehlt",SUM(E12:E13))</ns0:f>
        <ns0:v>12066.6</ns0:v>
      </ns0:c>
      <ns0:c r="F14" s="1"/>
    </ns0:row>
    <ns0:row r="15" customFormat="false" ht="34" hidden="false" customHeight="true" outlineLevel="0" collapsed="false">
      <ns0:c r="A15" s="1"/>
      <ns0:c r="B15" s="1"/>
      <ns0:c r="C15" s="1"/>
      <ns0:c r="D15" s="10"/>
      <ns0:c r="E15" s="10"/>
      <ns0:c r="F15" s="1"/>
    </ns0:row>
    <ns0:row r="16" customFormat="false" ht="34" hidden="false" customHeight="true" outlineLevel="0" collapsed="false">
      <ns0:c r="A16" s="12" t="s">
        <ns0:v>21</ns0:v>
      </ns0:c>
      <ns0:c r="B16" s="12"/>
      <ns0:c r="C16" s="12"/>
      <ns0:c r="D16" s="13"/>
      <ns0:c r="E16" s="13" t="n">
        <ns0:f aca="false">IF(COUNT(E10,E14)&lt;&gt;2,"Eingabe fehlt",E10+E14)</ns0:f>
        <ns0:v>15186.6</ns0:v>
      </ns0:c>
      <ns0:c r="F16" s="12" t="s">
        <ns0:v>22</ns0:v>
      </ns0:c>
    </ns0:row>
    <ns0:row r="17" customFormat="false" ht="22" hidden="false" customHeight="true" outlineLevel="0" collapsed="false">
      <ns0:c r="A17" s="1"/>
      <ns0:c r="B17" s="1"/>
      <ns0:c r="C17" s="1"/>
      <ns0:c r="D17" s="1"/>
      <ns0:c r="E17" s="1"/>
      <ns0:c r="F17" s="1"/>
    </ns0:row>
    <ns0:row r="18" customFormat="false" ht="22" hidden="false" customHeight="true" outlineLevel="0" collapsed="false">
      <ns0:c r="A18" s="1"/>
      <ns0:c r="B18" s="1"/>
      <ns0:c r="C18" s="1"/>
      <ns0:c r="D18" s="1"/>
      <ns0:c r="E18" s="1"/>
      <ns0:c r="F18" s="1"/>
    </ns0:row>
    <ns0:row r="19" customFormat="false" ht="22" hidden="false" customHeight="true" outlineLevel="0" collapsed="false">
      <ns0:c r="A19" s="3" t="s">
        <ns0:v>23</ns0:v>
      </ns0:c>
      <ns0:c r="B19" s="1"/>
      <ns0:c r="C19" s="1"/>
      <ns0:c r="D19" s="1"/>
      <ns0:c r="E19" s="1"/>
      <ns0:c r="F19" s="1"/>
    </ns0:row>
    <ns0:row r="20" customFormat="false" ht="22" hidden="false" customHeight="true" outlineLevel="0" collapsed="false">
      <ns0:c r="A20" s="3" t="s">
        <ns0:v>24</ns0:v>
      </ns0:c>
      <ns0:c r="B20" s="1"/>
      <ns0:c r="C20" s="1"/>
      <ns0:c r="D20" s="1"/>
      <ns0:c r="E20" s="1"/>
      <ns0:c r="F20" s="1"/>
    </ns0:row>
    <ns0:row r="21" customFormat="false" ht="22" hidden="false" customHeight="true" outlineLevel="0" collapsed="false">
      <ns0:c r="A21" s="1"/>
      <ns0:c r="B21" s="1"/>
      <ns0:c r="C21" s="1"/>
      <ns0:c r="D21" s="1"/>
      <ns0:c r="E21" s="1"/>
      <ns0:c r="F21" s="1"/>
    </ns0:row>
    <ns0:row r="22" customFormat="false" ht="22" hidden="false" customHeight="true" outlineLevel="0" collapsed="false">
      <ns0:c r="A22" s="3" t="s">
        <ns0:v>25</ns0:v>
      </ns0:c>
      <ns0:c r="B22" s="1"/>
      <ns0:c r="C22" s="1"/>
      <ns0:c r="D22" s="1"/>
      <ns0:c r="E22" s="1"/>
      <ns0:c r="F22" s="1"/>
    </ns0:row>
    <ns0:row r="23" customFormat="false" ht="22" hidden="false" customHeight="true" outlineLevel="0" collapsed="false">
      <ns0:c r="A23" s="3" t="s">
        <ns0:v>26</ns0:v>
      </ns0:c>
      <ns0:c r="B23" s="1"/>
      <ns0:c r="C23" s="1"/>
      <ns0:c r="D23" s="1"/>
      <ns0:c r="E23" s="1"/>
      <ns0:c r="F23" s="1"/>
    </ns0:row>
    <ns0:row r="24" customFormat="false" ht="22" hidden="false" customHeight="true" outlineLevel="0" collapsed="false">
      <ns0:c r="A24" s="1"/>
      <ns0:c r="B24" s="1"/>
      <ns0:c r="C24" s="1"/>
      <ns0:c r="D24" s="1"/>
      <ns0:c r="E24" s="1"/>
      <ns0:c r="F24" s="1"/>
    </ns0:row>
    <ns0:row r="25" customFormat="false" ht="22" hidden="false" customHeight="true" outlineLevel="0" collapsed="false">
      <ns0:c r="A25" s="3" t="s">
        <ns0:v>27</ns0:v>
      </ns0:c>
      <ns0:c r="B25" s="1"/>
      <ns0:c r="C25" s="1"/>
      <ns0:c r="D25" s="1"/>
      <ns0:c r="E25" s="1"/>
      <ns0:c r="F25" s="1"/>
    </ns0:row>
    <ns0:row r="26" customFormat="false" ht="22" hidden="false" customHeight="true" outlineLevel="0" collapsed="false">
      <ns0:c r="A26" s="3" t="s">
        <ns0:v>28</ns0:v>
      </ns0:c>
      <ns0:c r="B26" s="1"/>
      <ns0:c r="C26" s="1"/>
      <ns0:c r="D26" s="1"/>
      <ns0:c r="E26" s="1"/>
      <ns0:c r="F26" s="1"/>
    </ns0:row>
    <ns0:row r="27" customFormat="false" ht="22" hidden="false" customHeight="true" outlineLevel="0" collapsed="false">
      <ns0:c r="A27" s="1"/>
      <ns0:c r="B27" s="1"/>
      <ns0:c r="C27" s="1"/>
      <ns0:c r="D27" s="1"/>
      <ns0:c r="E27" s="1"/>
      <ns0:c r="F27" s="1"/>
    </ns0:row>
    <ns0:row r="28" customFormat="false" ht="22" hidden="false" customHeight="true" outlineLevel="0" collapsed="false">
      <ns0:c r="A28" s="3" t="s">
        <ns0:v>29</ns0:v>
      </ns0:c>
      <ns0:c r="B28" s="1"/>
      <ns0:c r="C28" s="1"/>
      <ns0:c r="D28" s="1"/>
      <ns0:c r="E28" s="1"/>
      <ns0:c r="F28" s="1"/>
    </ns0:row>
    <ns0:row r="29" customFormat="false" ht="22" hidden="false" customHeight="true" outlineLevel="0" collapsed="false">
      <ns0:c r="A29" s="3" t="s">
        <ns0:v>30</ns0:v>
      </ns0:c>
      <ns0:c r="B29" s="1"/>
      <ns0:c r="C29" s="1"/>
      <ns0:c r="D29" s="1"/>
      <ns0:c r="E29" s="1"/>
      <ns0:c r="F29" s="1"/>
    </ns0:row>
    <ns0:row r="30" customFormat="false" ht="22" hidden="false" customHeight="true" outlineLevel="0" collapsed="false">
      <ns0:c r="A30" s="1"/>
      <ns0:c r="B30" s="1"/>
      <ns0:c r="C30" s="1"/>
      <ns0:c r="D30" s="1"/>
      <ns0:c r="E30" s="1"/>
      <ns0:c r="F30" s="1"/>
    </ns0:row>
    <ns0:row r="31" customFormat="false" ht="22" hidden="false" customHeight="true" outlineLevel="0" collapsed="false">
      <ns0:c r="A31" s="1"/>
      <ns0:c r="B31" s="1"/>
      <ns0:c r="C31" s="1"/>
      <ns0:c r="D31" s="1"/>
      <ns0:c r="E31" s="1"/>
      <ns0:c r="F31" s="1"/>
    </ns0:row>
    <ns0:row r="32" customFormat="false" ht="22" hidden="false" customHeight="true" outlineLevel="0" collapsed="false">
      <ns0:c r="A32" s="1"/>
      <ns0:c r="B32" s="1"/>
      <ns0:c r="C32" s="1"/>
      <ns0:c r="D32" s="1"/>
      <ns0:c r="E32" s="1"/>
      <ns0:c r="F32" s="1"/>
    </ns0:row>
    <ns0:row r="33" customFormat="false" ht="22" hidden="false" customHeight="true" outlineLevel="0" collapsed="false">
      <ns0:c r="A33" s="1"/>
      <ns0:c r="B33" s="1"/>
      <ns0:c r="C33" s="1"/>
      <ns0:c r="D33" s="1"/>
      <ns0:c r="E33" s="1"/>
      <ns0:c r="F33" s="1"/>
    </ns0:row>
    <ns0:row r="34" customFormat="false" ht="22" hidden="false" customHeight="true" outlineLevel="0" collapsed="false">
      <ns0:c r="A34" s="1"/>
      <ns0:c r="B34" s="1"/>
      <ns0:c r="C34" s="1"/>
      <ns0:c r="D34" s="1"/>
      <ns0:c r="E34" s="1"/>
      <ns0:c r="F34" s="1"/>
    </ns0:row>
  </ns0:sheetData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G31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3.09"/>
    <ns0:col collapsed="false" customWidth="true" hidden="false" outlineLevel="0" max="2" min="2" style="0" width="17.31"/>
    <ns0:col collapsed="false" customWidth="true" hidden="false" outlineLevel="0" max="3" min="3" style="0" width="19.24"/>
    <ns0:col collapsed="false" customWidth="true" hidden="false" outlineLevel="0" max="4" min="4" style="0" width="21.16"/>
    <ns0:col collapsed="false" customWidth="true" hidden="false" outlineLevel="0" max="5" min="5" style="0" width="22.13"/>
    <ns0:col collapsed="false" customWidth="true" hidden="false" outlineLevel="0" max="6" min="6" style="0" width="24.06"/>
    <ns0:col collapsed="false" customWidth="true" hidden="false" outlineLevel="0" max="7" min="7" style="0" width="25.01"/>
  </ns0:cols>
  <ns0:sheetData>
    <ns0:row r="1" customFormat="false" ht="22" hidden="false" customHeight="true" outlineLevel="0" collapsed="false">
      <ns0:c r="A1" s="1"/>
      <ns0:c r="B1" s="1"/>
      <ns0:c r="C1" s="1"/>
      <ns0:c r="D1" s="1"/>
      <ns0:c r="E1" s="1"/>
      <ns0:c r="F1" s="1"/>
      <ns0:c r="G1" s="1"/>
    </ns0:row>
    <ns0:row r="2" customFormat="false" ht="28" hidden="false" customHeight="true" outlineLevel="0" collapsed="false">
      <ns0:c r="A2" s="2" t="s">
        <ns0:v>31</ns0:v>
      </ns0:c>
      <ns0:c r="B2" s="1"/>
      <ns0:c r="C2" s="1"/>
      <ns0:c r="D2" s="1"/>
      <ns0:c r="E2" s="1"/>
      <ns0:c r="F2" s="1"/>
      <ns0:c r="G2" s="1"/>
    </ns0:row>
    <ns0:row r="3" customFormat="false" ht="22" hidden="false" customHeight="true" outlineLevel="0" collapsed="false">
      <ns0:c r="A3" s="3" t="s">
        <ns0:v>1</ns0:v>
      </ns0:c>
      <ns0:c r="B3" s="1"/>
      <ns0:c r="C3" s="1"/>
      <ns0:c r="D3" s="1"/>
      <ns0:c r="E3" s="1"/>
      <ns0:c r="F3" s="1"/>
      <ns0:c r="G3" s="1"/>
    </ns0:row>
    <ns0:row r="4" customFormat="false" ht="22" hidden="false" customHeight="true" outlineLevel="0" collapsed="false">
      <ns0:c r="A4" s="1"/>
      <ns0:c r="B4" s="1"/>
      <ns0:c r="C4" s="1"/>
      <ns0:c r="D4" s="1"/>
      <ns0:c r="E4" s="1"/>
      <ns0:c r="F4" s="1"/>
      <ns0:c r="G4" s="1"/>
    </ns0:row>
    <ns0:row r="5" customFormat="false" ht="22" hidden="false" customHeight="true" outlineLevel="0" collapsed="false">
      <ns0:c r="A5" s="1"/>
      <ns0:c r="B5" s="1"/>
      <ns0:c r="C5" s="1"/>
      <ns0:c r="D5" s="1"/>
      <ns0:c r="E5" s="1"/>
      <ns0:c r="F5" s="1"/>
      <ns0:c r="G5" s="1"/>
    </ns0:row>
    <ns0:row r="6" customFormat="false" ht="22" hidden="false" customHeight="true" outlineLevel="0" collapsed="false">
      <ns0:c r="A6" s="1"/>
      <ns0:c r="B6" s="1"/>
      <ns0:c r="C6" s="1"/>
      <ns0:c r="D6" s="1"/>
      <ns0:c r="E6" s="1"/>
      <ns0:c r="F6" s="1"/>
      <ns0:c r="G6" s="1"/>
    </ns0:row>
    <ns0:row r="7" customFormat="false" ht="42" hidden="false" customHeight="true" outlineLevel="0" collapsed="false">
      <ns0:c r="A7" s="5" t="s">
        <ns0:v>32</ns0:v>
      </ns0:c>
      <ns0:c r="B7" s="5" t="s">
        <ns0:v>33</ns0:v>
      </ns0:c>
      <ns0:c r="C7" s="5" t="s">
        <ns0:v>34</ns0:v>
      </ns0:c>
      <ns0:c r="D7" s="5" t="s">
        <ns0:v>35</ns0:v>
      </ns0:c>
      <ns0:c r="E7" s="5" t="s">
        <ns0:v>36</ns0:v>
      </ns0:c>
      <ns0:c r="F7" s="5" t="s">
        <ns0:v>37</ns0:v>
      </ns0:c>
      <ns0:c r="G7" s="5" t="s">
        <ns0:v>38</ns0:v>
      </ns0:c>
    </ns0:row>
    <ns0:row r="8" customFormat="false" ht="42" hidden="false" customHeight="true" outlineLevel="0" collapsed="false">
      <ns0:c r="A8" s="6" t="s">
        <ns0:v>39</ns0:v>
      </ns0:c>
      <ns0:c r="B8" s="7" t="n">
        <ns0:v>20</ns0:v>
      </ns0:c>
      <ns0:c r="C8" s="7"/>
      <ns0:c r="D8" s="7"/>
      <ns0:c r="E8" s="7"/>
      <ns0:c r="F8" s="14" t="str">
        <ns0:f aca="false">IF(COUNT(C8:D8)&lt;&gt;2,"Noch keine Messung",IF(OR(C8&lt;=0,C8&lt;&gt;INT(C8),D8&lt;0,D8&lt;&gt;INT(D8),D8&gt;C8),"Werte prüfen",D8/C8))</ns0:f>
        <ns0:v>Noch keine Messung</ns0:v>
      </ns0:c>
      <ns0:c r="G8" s="15" t="str">
        <ns0:f aca="false">IF(COUNT(C8,E8)&lt;&gt;2,"Noch keine Messung",IF(OR(C8&lt;=0,C8&lt;&gt;INT(C8),E8&lt;0),"Werte prüfen",E8/C8))</ns0:f>
        <ns0:v>Noch keine Messung</ns0:v>
      </ns0:c>
    </ns0:row>
    <ns0:row r="9" customFormat="false" ht="42" hidden="false" customHeight="true" outlineLevel="0" collapsed="false">
      <ns0:c r="A9" s="6" t="s">
        <ns0:v>40</ns0:v>
      </ns0:c>
      <ns0:c r="B9" s="7" t="n">
        <ns0:v>20</ns0:v>
      </ns0:c>
      <ns0:c r="C9" s="7"/>
      <ns0:c r="D9" s="7"/>
      <ns0:c r="E9" s="7"/>
      <ns0:c r="F9" s="14" t="str">
        <ns0:f aca="false">IF(COUNT(C9:D9)&lt;&gt;2,"Noch keine Messung",IF(OR(C9&lt;=0,C9&lt;&gt;INT(C9),D9&lt;0,D9&lt;&gt;INT(D9),D9&gt;C9),"Werte prüfen",D9/C9))</ns0:f>
        <ns0:v>Noch keine Messung</ns0:v>
      </ns0:c>
      <ns0:c r="G9" s="15" t="str">
        <ns0:f aca="false">IF(COUNT(C9,E9)&lt;&gt;2,"Noch keine Messung",IF(OR(C9&lt;=0,C9&lt;&gt;INT(C9),E9&lt;0),"Werte prüfen",E9/C9))</ns0:f>
        <ns0:v>Noch keine Messung</ns0:v>
      </ns0:c>
    </ns0:row>
    <ns0:row r="10" customFormat="false" ht="42" hidden="false" customHeight="true" outlineLevel="0" collapsed="false">
      <ns0:c r="A10" s="6" t="s">
        <ns0:v>41</ns0:v>
      </ns0:c>
      <ns0:c r="B10" s="7" t="n">
        <ns0:v>20</ns0:v>
      </ns0:c>
      <ns0:c r="C10" s="7"/>
      <ns0:c r="D10" s="7"/>
      <ns0:c r="E10" s="7"/>
      <ns0:c r="F10" s="14" t="str">
        <ns0:f aca="false">IF(COUNT(C10:D10)&lt;&gt;2,"Noch keine Messung",IF(OR(C10&lt;=0,C10&lt;&gt;INT(C10),D10&lt;0,D10&lt;&gt;INT(D10),D10&gt;C10),"Werte prüfen",D10/C10))</ns0:f>
        <ns0:v>Noch keine Messung</ns0:v>
      </ns0:c>
      <ns0:c r="G10" s="15" t="str">
        <ns0:f aca="false">IF(COUNT(C10,E10)&lt;&gt;2,"Noch keine Messung",IF(OR(C10&lt;=0,C10&lt;&gt;INT(C10),E10&lt;0),"Werte prüfen",E10/C10))</ns0:f>
        <ns0:v>Noch keine Messung</ns0:v>
      </ns0:c>
    </ns0:row>
    <ns0:row r="11" customFormat="false" ht="42" hidden="false" customHeight="true" outlineLevel="0" collapsed="false">
      <ns0:c r="A11" s="6" t="s">
        <ns0:v>42</ns0:v>
      </ns0:c>
      <ns0:c r="B11" s="7" t="n">
        <ns0:v>20</ns0:v>
      </ns0:c>
      <ns0:c r="C11" s="7"/>
      <ns0:c r="D11" s="7"/>
      <ns0:c r="E11" s="7"/>
      <ns0:c r="F11" s="14" t="str">
        <ns0:f aca="false">IF(COUNT(C11:D11)&lt;&gt;2,"Noch keine Messung",IF(OR(C11&lt;=0,C11&lt;&gt;INT(C11),D11&lt;0,D11&lt;&gt;INT(D11),D11&gt;C11),"Werte prüfen",D11/C11))</ns0:f>
        <ns0:v>Noch keine Messung</ns0:v>
      </ns0:c>
      <ns0:c r="G11" s="15" t="str">
        <ns0:f aca="false">IF(COUNT(C11,E11)&lt;&gt;2,"Noch keine Messung",IF(OR(C11&lt;=0,C11&lt;&gt;INT(C11),E11&lt;0),"Werte prüfen",E11/C11))</ns0:f>
        <ns0:v>Noch keine Messung</ns0:v>
      </ns0:c>
    </ns0:row>
    <ns0:row r="12" customFormat="false" ht="42" hidden="false" customHeight="true" outlineLevel="0" collapsed="false">
      <ns0:c r="A12" s="6" t="s">
        <ns0:v>43</ns0:v>
      </ns0:c>
      <ns0:c r="B12" s="7" t="n">
        <ns0:v>20</ns0:v>
      </ns0:c>
      <ns0:c r="C12" s="7"/>
      <ns0:c r="D12" s="7"/>
      <ns0:c r="E12" s="7"/>
      <ns0:c r="F12" s="14" t="str">
        <ns0:f aca="false">IF(COUNT(C12:D12)&lt;&gt;2,"Noch keine Messung",IF(OR(C12&lt;=0,C12&lt;&gt;INT(C12),D12&lt;0,D12&lt;&gt;INT(D12),D12&gt;C12),"Werte prüfen",D12/C12))</ns0:f>
        <ns0:v>Noch keine Messung</ns0:v>
      </ns0:c>
      <ns0:c r="G12" s="15" t="str">
        <ns0:f aca="false">IF(COUNT(C12,E12)&lt;&gt;2,"Noch keine Messung",IF(OR(C12&lt;=0,C12&lt;&gt;INT(C12),E12&lt;0),"Werte prüfen",E12/C12))</ns0:f>
        <ns0:v>Noch keine Messung</ns0:v>
      </ns0:c>
    </ns0:row>
    <ns0:row r="13" customFormat="false" ht="42" hidden="false" customHeight="true" outlineLevel="0" collapsed="false">
      <ns0:c r="A13" s="6" t="s">
        <ns0:v>44</ns0:v>
      </ns0:c>
      <ns0:c r="B13" s="7" t="n">
        <ns0:v>20</ns0:v>
      </ns0:c>
      <ns0:c r="C13" s="7"/>
      <ns0:c r="D13" s="7"/>
      <ns0:c r="E13" s="7"/>
      <ns0:c r="F13" s="14" t="str">
        <ns0:f aca="false">IF(COUNT(C13:D13)&lt;&gt;2,"Noch keine Messung",IF(OR(C13&lt;=0,C13&lt;&gt;INT(C13),D13&lt;0,D13&lt;&gt;INT(D13),D13&gt;C13),"Werte prüfen",D13/C13))</ns0:f>
        <ns0:v>Noch keine Messung</ns0:v>
      </ns0:c>
      <ns0:c r="G13" s="15" t="str">
        <ns0:f aca="false">IF(COUNT(C13,E13)&lt;&gt;2,"Noch keine Messung",IF(OR(C13&lt;=0,C13&lt;&gt;INT(C13),E13&lt;0),"Werte prüfen",E13/C13))</ns0:f>
        <ns0:v>Noch keine Messung</ns0:v>
      </ns0:c>
    </ns0:row>
    <ns0:row r="14" customFormat="false" ht="42" hidden="false" customHeight="true" outlineLevel="0" collapsed="false">
      <ns0:c r="A14" s="6" t="s">
        <ns0:v>45</ns0:v>
      </ns0:c>
      <ns0:c r="B14" s="7" t="n">
        <ns0:v>20</ns0:v>
      </ns0:c>
      <ns0:c r="C14" s="7"/>
      <ns0:c r="D14" s="7"/>
      <ns0:c r="E14" s="7"/>
      <ns0:c r="F14" s="14" t="str">
        <ns0:f aca="false">IF(COUNT(C14:D14)&lt;&gt;2,"Noch keine Messung",IF(OR(C14&lt;=0,C14&lt;&gt;INT(C14),D14&lt;0,D14&lt;&gt;INT(D14),D14&gt;C14),"Werte prüfen",D14/C14))</ns0:f>
        <ns0:v>Noch keine Messung</ns0:v>
      </ns0:c>
      <ns0:c r="G14" s="15" t="str">
        <ns0:f aca="false">IF(COUNT(C14,E14)&lt;&gt;2,"Noch keine Messung",IF(OR(C14&lt;=0,C14&lt;&gt;INT(C14),E14&lt;0),"Werte prüfen",E14/C14))</ns0:f>
        <ns0:v>Noch keine Messung</ns0:v>
      </ns0:c>
    </ns0:row>
    <ns0:row r="15" customFormat="false" ht="42" hidden="false" customHeight="true" outlineLevel="0" collapsed="false">
      <ns0:c r="A15" s="6" t="s">
        <ns0:v>46</ns0:v>
      </ns0:c>
      <ns0:c r="B15" s="7" t="n">
        <ns0:v>20</ns0:v>
      </ns0:c>
      <ns0:c r="C15" s="7"/>
      <ns0:c r="D15" s="7"/>
      <ns0:c r="E15" s="7"/>
      <ns0:c r="F15" s="14" t="str">
        <ns0:f aca="false">IF(COUNT(C15:D15)&lt;&gt;2,"Noch keine Messung",IF(OR(C15&lt;=0,C15&lt;&gt;INT(C15),D15&lt;0,D15&lt;&gt;INT(D15),D15&gt;C15),"Werte prüfen",D15/C15))</ns0:f>
        <ns0:v>Noch keine Messung</ns0:v>
      </ns0:c>
      <ns0:c r="G15" s="15" t="str">
        <ns0:f aca="false">IF(COUNT(C15,E15)&lt;&gt;2,"Noch keine Messung",IF(OR(C15&lt;=0,C15&lt;&gt;INT(C15),E15&lt;0),"Werte prüfen",E15/C15))</ns0:f>
        <ns0:v>Noch keine Messung</ns0:v>
      </ns0:c>
    </ns0:row>
    <ns0:row r="16" customFormat="false" ht="22" hidden="false" customHeight="true" outlineLevel="0" collapsed="false">
      <ns0:c r="A16" s="1"/>
      <ns0:c r="B16" s="1"/>
      <ns0:c r="C16" s="1"/>
      <ns0:c r="D16" s="1"/>
      <ns0:c r="E16" s="1"/>
      <ns0:c r="F16" s="1"/>
      <ns0:c r="G16" s="1"/>
    </ns0:row>
    <ns0:row r="17" customFormat="false" ht="22" hidden="false" customHeight="true" outlineLevel="0" collapsed="false">
      <ns0:c r="A17" s="1" t="s">
        <ns0:v>47</ns0:v>
      </ns0:c>
      <ns0:c r="B17" s="1" t="n">
        <ns0:f aca="false">IF(COUNT(B8:B15)&lt;&gt;8,"Ziel fehlt",IF(OR(MIN(B8:B15)&lt;0,B8&lt;&gt;INT(B8),B9&lt;&gt;INT(B9),B10&lt;&gt;INT(B10),B11&lt;&gt;INT(B11),B12&lt;&gt;INT(B12),B13&lt;&gt;INT(B13),B14&lt;&gt;INT(B14),B15&lt;&gt;INT(B15)),"Werte prüfen",SUM(B8:B15)))</ns0:f>
        <ns0:v>160</ns0:v>
      </ns0:c>
      <ns0:c r="C17" s="1"/>
      <ns0:c r="D17" s="1"/>
      <ns0:c r="E17" s="1"/>
      <ns0:c r="F17" s="1"/>
      <ns0:c r="G17" s="1"/>
    </ns0:row>
    <ns0:row r="18" customFormat="false" ht="22" hidden="false" customHeight="true" outlineLevel="0" collapsed="false">
      <ns0:c r="A18" s="1" t="s">
        <ns0:v>48</ns0:v>
      </ns0:c>
      <ns0:c r="B18" s="1"/>
      <ns0:c r="C18" s="1" t="n">
        <ns0:f aca="false">COUNT(C8:C15)</ns0:f>
        <ns0:v>0</ns0:v>
      </ns0:c>
      <ns0:c r="D18" s="1"/>
      <ns0:c r="E18" s="1"/>
      <ns0:c r="F18" s="1"/>
      <ns0:c r="G18" s="1"/>
    </ns0:row>
    <ns0:row r="19" customFormat="false" ht="22" hidden="false" customHeight="true" outlineLevel="0" collapsed="false">
      <ns0:c r="A19" s="1"/>
      <ns0:c r="B19" s="1"/>
      <ns0:c r="C19" s="1"/>
      <ns0:c r="D19" s="1"/>
      <ns0:c r="E19" s="1"/>
      <ns0:c r="F19" s="1"/>
      <ns0:c r="G19" s="1"/>
    </ns0:row>
    <ns0:row r="20" customFormat="false" ht="22" hidden="false" customHeight="true" outlineLevel="0" collapsed="false">
      <ns0:c r="A20" s="1"/>
      <ns0:c r="B20" s="1"/>
      <ns0:c r="C20" s="1"/>
      <ns0:c r="D20" s="1"/>
      <ns0:c r="E20" s="1"/>
      <ns0:c r="F20" s="1"/>
      <ns0:c r="G20" s="1"/>
    </ns0:row>
    <ns0:row r="21" customFormat="false" ht="22" hidden="false" customHeight="true" outlineLevel="0" collapsed="false">
      <ns0:c r="A21" s="3" t="s">
        <ns0:v>49</ns0:v>
      </ns0:c>
      <ns0:c r="B21" s="1"/>
      <ns0:c r="C21" s="1"/>
      <ns0:c r="D21" s="1"/>
      <ns0:c r="E21" s="1"/>
      <ns0:c r="F21" s="1"/>
      <ns0:c r="G21" s="1"/>
    </ns0:row>
    <ns0:row r="22" customFormat="false" ht="22" hidden="false" customHeight="true" outlineLevel="0" collapsed="false">
      <ns0:c r="A22" s="3" t="s">
        <ns0:v>50</ns0:v>
      </ns0:c>
      <ns0:c r="B22" s="1"/>
      <ns0:c r="C22" s="1"/>
      <ns0:c r="D22" s="1"/>
      <ns0:c r="E22" s="1"/>
      <ns0:c r="F22" s="1"/>
      <ns0:c r="G22" s="1"/>
    </ns0:row>
    <ns0:row r="23" customFormat="false" ht="22" hidden="false" customHeight="true" outlineLevel="0" collapsed="false">
      <ns0:c r="A23" s="1"/>
      <ns0:c r="B23" s="1"/>
      <ns0:c r="C23" s="1"/>
      <ns0:c r="D23" s="1"/>
      <ns0:c r="E23" s="1"/>
      <ns0:c r="F23" s="1"/>
      <ns0:c r="G23" s="1"/>
    </ns0:row>
    <ns0:row r="24" customFormat="false" ht="22" hidden="false" customHeight="true" outlineLevel="0" collapsed="false">
      <ns0:c r="A24" s="3" t="s">
        <ns0:v>51</ns0:v>
      </ns0:c>
      <ns0:c r="B24" s="1"/>
      <ns0:c r="C24" s="1"/>
      <ns0:c r="D24" s="1"/>
      <ns0:c r="E24" s="1"/>
      <ns0:c r="F24" s="1"/>
      <ns0:c r="G24" s="1"/>
    </ns0:row>
    <ns0:row r="25" customFormat="false" ht="22" hidden="false" customHeight="true" outlineLevel="0" collapsed="false">
      <ns0:c r="A25" s="3" t="s">
        <ns0:v>52</ns0:v>
      </ns0:c>
      <ns0:c r="B25" s="1"/>
      <ns0:c r="C25" s="1"/>
      <ns0:c r="D25" s="1"/>
      <ns0:c r="E25" s="1"/>
      <ns0:c r="F25" s="1"/>
      <ns0:c r="G25" s="1"/>
    </ns0:row>
    <ns0:row r="26" customFormat="false" ht="22" hidden="false" customHeight="true" outlineLevel="0" collapsed="false">
      <ns0:c r="A26" s="1"/>
      <ns0:c r="B26" s="1"/>
      <ns0:c r="C26" s="1"/>
      <ns0:c r="D26" s="1"/>
      <ns0:c r="E26" s="1"/>
      <ns0:c r="F26" s="1"/>
      <ns0:c r="G26" s="1"/>
    </ns0:row>
    <ns0:row r="27" customFormat="false" ht="22" hidden="false" customHeight="true" outlineLevel="0" collapsed="false">
      <ns0:c r="A27" s="3" t="s">
        <ns0:v>53</ns0:v>
      </ns0:c>
      <ns0:c r="B27" s="1"/>
      <ns0:c r="C27" s="1"/>
      <ns0:c r="D27" s="1"/>
      <ns0:c r="E27" s="1"/>
      <ns0:c r="F27" s="1"/>
      <ns0:c r="G27" s="1"/>
    </ns0:row>
    <ns0:row r="28" customFormat="false" ht="22" hidden="false" customHeight="true" outlineLevel="0" collapsed="false">
      <ns0:c r="A28" s="3" t="s">
        <ns0:v>54</ns0:v>
      </ns0:c>
      <ns0:c r="B28" s="1"/>
      <ns0:c r="C28" s="1"/>
      <ns0:c r="D28" s="1"/>
      <ns0:c r="E28" s="1"/>
      <ns0:c r="F28" s="1"/>
      <ns0:c r="G28" s="1"/>
    </ns0:row>
    <ns0:row r="29" customFormat="false" ht="22" hidden="false" customHeight="true" outlineLevel="0" collapsed="false">
      <ns0:c r="A29" s="1"/>
      <ns0:c r="B29" s="1"/>
      <ns0:c r="C29" s="1"/>
      <ns0:c r="D29" s="1"/>
      <ns0:c r="E29" s="1"/>
      <ns0:c r="F29" s="1"/>
      <ns0:c r="G29" s="1"/>
    </ns0:row>
    <ns0:row r="30" customFormat="false" ht="22" hidden="false" customHeight="true" outlineLevel="0" collapsed="false">
      <ns0:c r="A30" s="1"/>
      <ns0:c r="B30" s="1"/>
      <ns0:c r="C30" s="1"/>
      <ns0:c r="D30" s="1"/>
      <ns0:c r="E30" s="1"/>
      <ns0:c r="F30" s="1"/>
      <ns0:c r="G30" s="1"/>
    </ns0:row>
    <ns0:row r="31" customFormat="false" ht="22" hidden="false" customHeight="true" outlineLevel="0" collapsed="false">
      <ns0:c r="A31" s="1"/>
      <ns0:c r="B31" s="1"/>
      <ns0:c r="C31" s="1"/>
      <ns0:c r="D31" s="1"/>
      <ns0:c r="E31" s="1"/>
      <ns0:c r="F31" s="1"/>
      <ns0:c r="G31" s="1"/>
    </ns0:row>
  </ns0:sheetData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