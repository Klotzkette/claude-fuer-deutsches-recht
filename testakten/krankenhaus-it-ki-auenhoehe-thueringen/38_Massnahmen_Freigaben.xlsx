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Maßnahmen" sheetId="1" state="visible" ns1:id="rId3"/>
  </ns0:sheets>
  <ns0:definedNames>
    <ns0:definedName name="_xlnm.Print_Area" localSheetId="0">'Maßnahmen'!A1:G30</ns0:definedName>
    <ns0:definedName name="_xlnm.Print_Titles" localSheetId="0">'Maßnahmen'!$7:$7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<sst xmlns="http://schemas.openxmlformats.org/spreadsheetml/2006/main" count="57" uniqueCount="35">
  <si>
    <t xml:space="preserve">Maßnahmen und belegte Erledigung</t>
  </si>
  <si>
    <t xml:space="preserve">Klinikverbund Auenhöhe GmbH · Nora Bergmann · Arbeitsstand 06.10.2026</t>
  </si>
  <si>
    <t xml:space="preserve">Noch nicht dokumentiert erledigt</t>
  </si>
  <si>
    <t xml:space="preserve">Kennung / Gegenstand</t>
  </si>
  <si>
    <t xml:space="preserve">Zuständig</t>
  </si>
  <si>
    <t xml:space="preserve">Interner Zieltermin</t>
  </si>
  <si>
    <t xml:space="preserve">Prüfung erfolgt</t>
  </si>
  <si>
    <t xml:space="preserve">Nachweis / Fundstelle</t>
  </si>
  <si>
    <t xml:space="preserve">Erledigung bestätigt</t>
  </si>
  <si>
    <t xml:space="preserve">Bearbeitungsstand</t>
  </si>
  <si>
    <t xml:space="preserve">M01 / Cloudvertrag und Training</t>
  </si>
  <si>
    <t xml:space="preserve">Benedikt Fink</t>
  </si>
  <si>
    <t xml:space="preserve">Nein</t>
  </si>
  <si>
    <t xml:space="preserve">M02 / C5-Systemumfang und Kontrollen</t>
  </si>
  <si>
    <t xml:space="preserve">Karim Seidel</t>
  </si>
  <si>
    <t xml:space="preserve">M03 / US-Support und Transferweg</t>
  </si>
  <si>
    <t xml:space="preserve">M04 / DSFA und Schutzmaßnahmen</t>
  </si>
  <si>
    <t xml:space="preserve">Nora Bergmann</t>
  </si>
  <si>
    <t xml:space="preserve">M05 / Patient:inneninformation</t>
  </si>
  <si>
    <t xml:space="preserve">Dr. Amira Feld</t>
  </si>
  <si>
    <t xml:space="preserve">M06 / Anzeige ThürKHG 27b</t>
  </si>
  <si>
    <t xml:space="preserve">Geschäftsführung</t>
  </si>
  <si>
    <t xml:space="preserve">M07 / Radialert 5.1 Zweck / Nachweise</t>
  </si>
  <si>
    <t xml:space="preserve">M08 / SEPSIS-LR / Hochschule / MVZ</t>
  </si>
  <si>
    <t xml:space="preserve">Dr. Oskar Wenck</t>
  </si>
  <si>
    <t xml:space="preserve">M09 / Beteiligung Betriebsrat</t>
  </si>
  <si>
    <t xml:space="preserve">Paul Lindner</t>
  </si>
  <si>
    <t xml:space="preserve">M10 / Rückfallbetrieb und Schulung</t>
  </si>
  <si>
    <t xml:space="preserve">1 Bedienung</t>
  </si>
  <si>
    <t xml:space="preserve">Gelbe Felder fortschreiben. Eine Ja-Angabe ohne Fundstelle beendet die Aufgabe nicht.</t>
  </si>
  <si>
    <t xml:space="preserve">2 Termine</t>
  </si>
  <si>
    <t xml:space="preserve">Die Termine sind interne Planung von Nora Bergmann am 06.10.2026, keine gesetzlichen Fristen.</t>
  </si>
  <si>
    <t xml:space="preserve">3 Entscheidung</t>
  </si>
  <si>
    <t xml:space="preserve">Die Zeilensumme zählt Aufgaben. Auch null offene Aufgaben erzeugen keine rechtliche Betriebsfreigabe.</t>
  </si>
  <si>
    <t xml:space="preserve">Eine Freigabe benötigt eine eigene datierte Entscheidung mit Umfang, Voraussetzungen und Unterschrift.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</si>
</sst>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174B99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956"/>
        <bgColor rgb="FF174B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9DF"/>
      </left>
      <right style="thin">
        <color rgb="FFD2D9DF"/>
      </right>
      <top style="thin">
        <color rgb="FFD2D9DF"/>
      </top>
      <bottom style="thin">
        <color rgb="FFD2D9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2D9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7.55"/>
    <ns0:col collapsed="false" customWidth="true" hidden="false" outlineLevel="0" max="2" min="2" style="0" width="22.8"/>
    <ns0:col collapsed="false" customWidth="true" hidden="false" outlineLevel="0" max="3" min="3" style="0" width="15.2"/>
    <ns0:col collapsed="false" customWidth="true" hidden="false" outlineLevel="0" max="4" min="4" style="0" width="14.25"/>
    <ns0:col collapsed="false" customWidth="true" hidden="false" outlineLevel="0" max="5" min="5" style="0" width="30.39"/>
    <ns0:col collapsed="false" customWidth="true" hidden="false" outlineLevel="0" max="6" min="6" style="0" width="17.1"/>
    <ns0:col collapsed="false" customWidth="true" hidden="false" outlineLevel="0" max="7" min="7" style="0" width="24.7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8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  <ns0:c r="G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22" hidden="false" customHeight="true" outlineLevel="0" collapsed="false">
      <ns0:c r="A5" s="1" t="s">
        <ns0:v>2</ns0:v>
      </ns0:c>
      <ns0:c r="B5" s="1"/>
      <ns0:c r="C5" s="1"/>
      <ns0:c r="D5" s="1"/>
      <ns0:c r="E5" s="1"/>
      <ns0:c r="F5" s="1"/>
      <ns0:c r="G5" s="1" t="n">
        <ns0:f aca="false">COUNTIF(G8:G17,"&lt;&gt;Erledigung dokumentiert")</ns0:f>
        <ns0:v>10</ns0:v>
      </ns0:c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  <ns0:c r="F6" s="1"/>
      <ns0:c r="G6" s="1"/>
    </ns0:row>
    <ns0:row r="7" customFormat="false" ht="42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  <ns0:c r="G7" s="4" t="s">
        <ns0:v>9</ns0:v>
      </ns0:c>
    </ns0:row>
    <ns0:row r="8" customFormat="false" ht="51" hidden="false" customHeight="true" outlineLevel="0" collapsed="false">
      <ns0:c r="A8" s="5" t="s">
        <ns0:v>10</ns0:v>
      </ns0:c>
      <ns0:c r="B8" s="5" t="s">
        <ns0:v>11</ns0:v>
      </ns0:c>
      <ns0:c r="C8" s="6" t="n">
        <ns0:v>46304</ns0:v>
      </ns0:c>
      <ns0:c r="D8" s="7" t="s">
        <ns0:v>12</ns0:v>
      </ns0:c>
      <ns0:c r="E8" s="8"/>
      <ns0:c r="F8" s="8" t="s">
        <ns0:v>12</ns0:v>
      </ns0:c>
      <ns0:c r="G8" s="5" t="str">
        <ns0:f aca="false">IF(D8&lt;&gt;"Ja","Prüfung offen",IF(E8="","Nachweis fehlt",IF(F8&lt;&gt;"Ja","Bestätigung offen","Erledigung dokumentiert")))</ns0:f>
        <ns0:v>Prüfung offen</ns0:v>
      </ns0:c>
    </ns0:row>
    <ns0:row r="9" customFormat="false" ht="51" hidden="false" customHeight="true" outlineLevel="0" collapsed="false">
      <ns0:c r="A9" s="5" t="s">
        <ns0:v>13</ns0:v>
      </ns0:c>
      <ns0:c r="B9" s="5" t="s">
        <ns0:v>14</ns0:v>
      </ns0:c>
      <ns0:c r="C9" s="6" t="n">
        <ns0:v>46307</ns0:v>
      </ns0:c>
      <ns0:c r="D9" s="7" t="s">
        <ns0:v>12</ns0:v>
      </ns0:c>
      <ns0:c r="E9" s="8"/>
      <ns0:c r="F9" s="8" t="s">
        <ns0:v>12</ns0:v>
      </ns0:c>
      <ns0:c r="G9" s="5" t="str">
        <ns0:f aca="false">IF(D9&lt;&gt;"Ja","Prüfung offen",IF(E9="","Nachweis fehlt",IF(F9&lt;&gt;"Ja","Bestätigung offen","Erledigung dokumentiert")))</ns0:f>
        <ns0:v>Prüfung offen</ns0:v>
      </ns0:c>
    </ns0:row>
    <ns0:row r="10" customFormat="false" ht="51" hidden="false" customHeight="true" outlineLevel="0" collapsed="false">
      <ns0:c r="A10" s="5" t="s">
        <ns0:v>15</ns0:v>
      </ns0:c>
      <ns0:c r="B10" s="5" t="s">
        <ns0:v>11</ns0:v>
      </ns0:c>
      <ns0:c r="C10" s="6" t="n">
        <ns0:v>46307</ns0:v>
      </ns0:c>
      <ns0:c r="D10" s="7" t="s">
        <ns0:v>12</ns0:v>
      </ns0:c>
      <ns0:c r="E10" s="8"/>
      <ns0:c r="F10" s="8" t="s">
        <ns0:v>12</ns0:v>
      </ns0:c>
      <ns0:c r="G10" s="5" t="str">
        <ns0:f aca="false">IF(D10&lt;&gt;"Ja","Prüfung offen",IF(E10="","Nachweis fehlt",IF(F10&lt;&gt;"Ja","Bestätigung offen","Erledigung dokumentiert")))</ns0:f>
        <ns0:v>Prüfung offen</ns0:v>
      </ns0:c>
    </ns0:row>
    <ns0:row r="11" customFormat="false" ht="51" hidden="false" customHeight="true" outlineLevel="0" collapsed="false">
      <ns0:c r="A11" s="5" t="s">
        <ns0:v>16</ns0:v>
      </ns0:c>
      <ns0:c r="B11" s="5" t="s">
        <ns0:v>17</ns0:v>
      </ns0:c>
      <ns0:c r="C11" s="6" t="n">
        <ns0:v>46309</ns0:v>
      </ns0:c>
      <ns0:c r="D11" s="7" t="s">
        <ns0:v>12</ns0:v>
      </ns0:c>
      <ns0:c r="E11" s="8"/>
      <ns0:c r="F11" s="8" t="s">
        <ns0:v>12</ns0:v>
      </ns0:c>
      <ns0:c r="G11" s="5" t="str">
        <ns0:f aca="false">IF(D11&lt;&gt;"Ja","Prüfung offen",IF(E11="","Nachweis fehlt",IF(F11&lt;&gt;"Ja","Bestätigung offen","Erledigung dokumentiert")))</ns0:f>
        <ns0:v>Prüfung offen</ns0:v>
      </ns0:c>
    </ns0:row>
    <ns0:row r="12" customFormat="false" ht="51" hidden="false" customHeight="true" outlineLevel="0" collapsed="false">
      <ns0:c r="A12" s="5" t="s">
        <ns0:v>18</ns0:v>
      </ns0:c>
      <ns0:c r="B12" s="5" t="s">
        <ns0:v>19</ns0:v>
      </ns0:c>
      <ns0:c r="C12" s="6" t="n">
        <ns0:v>46309</ns0:v>
      </ns0:c>
      <ns0:c r="D12" s="7" t="s">
        <ns0:v>12</ns0:v>
      </ns0:c>
      <ns0:c r="E12" s="8"/>
      <ns0:c r="F12" s="8" t="s">
        <ns0:v>12</ns0:v>
      </ns0:c>
      <ns0:c r="G12" s="5" t="str">
        <ns0:f aca="false">IF(D12&lt;&gt;"Ja","Prüfung offen",IF(E12="","Nachweis fehlt",IF(F12&lt;&gt;"Ja","Bestätigung offen","Erledigung dokumentiert")))</ns0:f>
        <ns0:v>Prüfung offen</ns0:v>
      </ns0:c>
    </ns0:row>
    <ns0:row r="13" customFormat="false" ht="51" hidden="false" customHeight="true" outlineLevel="0" collapsed="false">
      <ns0:c r="A13" s="5" t="s">
        <ns0:v>20</ns0:v>
      </ns0:c>
      <ns0:c r="B13" s="5" t="s">
        <ns0:v>21</ns0:v>
      </ns0:c>
      <ns0:c r="C13" s="6" t="n">
        <ns0:v>46308</ns0:v>
      </ns0:c>
      <ns0:c r="D13" s="7" t="s">
        <ns0:v>12</ns0:v>
      </ns0:c>
      <ns0:c r="E13" s="8"/>
      <ns0:c r="F13" s="8" t="s">
        <ns0:v>12</ns0:v>
      </ns0:c>
      <ns0:c r="G13" s="5" t="str">
        <ns0:f aca="false">IF(D13&lt;&gt;"Ja","Prüfung offen",IF(E13="","Nachweis fehlt",IF(F13&lt;&gt;"Ja","Bestätigung offen","Erledigung dokumentiert")))</ns0:f>
        <ns0:v>Prüfung offen</ns0:v>
      </ns0:c>
    </ns0:row>
    <ns0:row r="14" customFormat="false" ht="51" hidden="false" customHeight="true" outlineLevel="0" collapsed="false">
      <ns0:c r="A14" s="5" t="s">
        <ns0:v>22</ns0:v>
      </ns0:c>
      <ns0:c r="B14" s="5" t="s">
        <ns0:v>19</ns0:v>
      </ns0:c>
      <ns0:c r="C14" s="6" t="n">
        <ns0:v>46310</ns0:v>
      </ns0:c>
      <ns0:c r="D14" s="7" t="s">
        <ns0:v>12</ns0:v>
      </ns0:c>
      <ns0:c r="E14" s="8"/>
      <ns0:c r="F14" s="8" t="s">
        <ns0:v>12</ns0:v>
      </ns0:c>
      <ns0:c r="G14" s="5" t="str">
        <ns0:f aca="false">IF(D14&lt;&gt;"Ja","Prüfung offen",IF(E14="","Nachweis fehlt",IF(F14&lt;&gt;"Ja","Bestätigung offen","Erledigung dokumentiert")))</ns0:f>
        <ns0:v>Prüfung offen</ns0:v>
      </ns0:c>
    </ns0:row>
    <ns0:row r="15" customFormat="false" ht="51" hidden="false" customHeight="true" outlineLevel="0" collapsed="false">
      <ns0:c r="A15" s="5" t="s">
        <ns0:v>23</ns0:v>
      </ns0:c>
      <ns0:c r="B15" s="5" t="s">
        <ns0:v>24</ns0:v>
      </ns0:c>
      <ns0:c r="C15" s="6" t="n">
        <ns0:v>46311</ns0:v>
      </ns0:c>
      <ns0:c r="D15" s="7" t="s">
        <ns0:v>12</ns0:v>
      </ns0:c>
      <ns0:c r="E15" s="8"/>
      <ns0:c r="F15" s="8" t="s">
        <ns0:v>12</ns0:v>
      </ns0:c>
      <ns0:c r="G15" s="5" t="str">
        <ns0:f aca="false">IF(D15&lt;&gt;"Ja","Prüfung offen",IF(E15="","Nachweis fehlt",IF(F15&lt;&gt;"Ja","Bestätigung offen","Erledigung dokumentiert")))</ns0:f>
        <ns0:v>Prüfung offen</ns0:v>
      </ns0:c>
    </ns0:row>
    <ns0:row r="16" customFormat="false" ht="51" hidden="false" customHeight="true" outlineLevel="0" collapsed="false">
      <ns0:c r="A16" s="5" t="s">
        <ns0:v>25</ns0:v>
      </ns0:c>
      <ns0:c r="B16" s="5" t="s">
        <ns0:v>26</ns0:v>
      </ns0:c>
      <ns0:c r="C16" s="6" t="n">
        <ns0:v>46309</ns0:v>
      </ns0:c>
      <ns0:c r="D16" s="7" t="s">
        <ns0:v>12</ns0:v>
      </ns0:c>
      <ns0:c r="E16" s="8"/>
      <ns0:c r="F16" s="8" t="s">
        <ns0:v>12</ns0:v>
      </ns0:c>
      <ns0:c r="G16" s="5" t="str">
        <ns0:f aca="false">IF(D16&lt;&gt;"Ja","Prüfung offen",IF(E16="","Nachweis fehlt",IF(F16&lt;&gt;"Ja","Bestätigung offen","Erledigung dokumentiert")))</ns0:f>
        <ns0:v>Prüfung offen</ns0:v>
      </ns0:c>
    </ns0:row>
    <ns0:row r="17" customFormat="false" ht="51" hidden="false" customHeight="true" outlineLevel="0" collapsed="false">
      <ns0:c r="A17" s="5" t="s">
        <ns0:v>27</ns0:v>
      </ns0:c>
      <ns0:c r="B17" s="5" t="s">
        <ns0:v>17</ns0:v>
      </ns0:c>
      <ns0:c r="C17" s="6" t="n">
        <ns0:v>46311</ns0:v>
      </ns0:c>
      <ns0:c r="D17" s="7" t="s">
        <ns0:v>12</ns0:v>
      </ns0:c>
      <ns0:c r="E17" s="8"/>
      <ns0:c r="F17" s="8" t="s">
        <ns0:v>12</ns0:v>
      </ns0:c>
      <ns0:c r="G17" s="5" t="str">
        <ns0:f aca="false">IF(D17&lt;&gt;"Ja","Prüfung offen",IF(E17="","Nachweis fehlt",IF(F17&lt;&gt;"Ja","Bestätigung offen","Erledigung dokumentiert")))</ns0:f>
        <ns0:v>Prüfung offen</ns0:v>
      </ns0:c>
    </ns0:row>
    <ns0:row r="18" customFormat="false" ht="22" hidden="false" customHeight="true" outlineLevel="0" collapsed="false">
      <ns0:c r="A18" s="1"/>
      <ns0:c r="B18" s="1"/>
      <ns0:c r="C18" s="1"/>
      <ns0:c r="D18" s="1"/>
      <ns0:c r="E18" s="1"/>
      <ns0:c r="F18" s="1"/>
      <ns0:c r="G18" s="1"/>
    </ns0:row>
    <ns0:row r="19" customFormat="false" ht="22" hidden="false" customHeight="true" outlineLevel="0" collapsed="false">
      <ns0:c r="A19" s="1"/>
      <ns0:c r="B19" s="1"/>
      <ns0:c r="C19" s="1"/>
      <ns0:c r="D19" s="1"/>
      <ns0:c r="E19" s="1"/>
      <ns0:c r="F19" s="1"/>
      <ns0:c r="G19" s="1"/>
    </ns0:row>
    <ns0:row r="20" customFormat="false" ht="22" hidden="false" customHeight="true" outlineLevel="0" collapsed="false">
      <ns0:c r="A20" s="3" t="s">
        <ns0:v>28</ns0:v>
      </ns0:c>
      <ns0:c r="B20" s="1"/>
      <ns0:c r="C20" s="1"/>
      <ns0:c r="D20" s="1"/>
      <ns0:c r="E20" s="1"/>
      <ns0:c r="F20" s="1"/>
      <ns0:c r="G20" s="1"/>
    </ns0:row>
    <ns0:row r="21" customFormat="false" ht="22" hidden="false" customHeight="true" outlineLevel="0" collapsed="false">
      <ns0:c r="A21" s="3" t="s">
        <ns0:v>29</ns0:v>
      </ns0:c>
      <ns0:c r="B21" s="1"/>
      <ns0:c r="C21" s="1"/>
      <ns0:c r="D21" s="1"/>
      <ns0:c r="E21" s="1"/>
      <ns0:c r="F21" s="1"/>
      <ns0:c r="G21" s="1"/>
    </ns0:row>
    <ns0:row r="22" customFormat="false" ht="22" hidden="false" customHeight="true" outlineLevel="0" collapsed="false">
      <ns0:c r="A22" s="1"/>
      <ns0:c r="B22" s="1"/>
      <ns0:c r="C22" s="1"/>
      <ns0:c r="D22" s="1"/>
      <ns0:c r="E22" s="1"/>
      <ns0:c r="F22" s="1"/>
      <ns0:c r="G22" s="1"/>
    </ns0:row>
    <ns0:row r="23" customFormat="false" ht="22" hidden="false" customHeight="true" outlineLevel="0" collapsed="false">
      <ns0:c r="A23" s="3" t="s">
        <ns0:v>30</ns0:v>
      </ns0:c>
      <ns0:c r="B23" s="1"/>
      <ns0:c r="C23" s="1"/>
      <ns0:c r="D23" s="1"/>
      <ns0:c r="E23" s="1"/>
      <ns0:c r="F23" s="1"/>
      <ns0:c r="G23" s="1"/>
    </ns0:row>
    <ns0:row r="24" customFormat="false" ht="22" hidden="false" customHeight="true" outlineLevel="0" collapsed="false">
      <ns0:c r="A24" s="3" t="s">
        <ns0:v>31</ns0:v>
      </ns0:c>
      <ns0:c r="B24" s="1"/>
      <ns0:c r="C24" s="1"/>
      <ns0:c r="D24" s="1"/>
      <ns0:c r="E24" s="1"/>
      <ns0:c r="F24" s="1"/>
      <ns0:c r="G24" s="1"/>
    </ns0:row>
    <ns0:row r="25" customFormat="false" ht="22" hidden="false" customHeight="true" outlineLevel="0" collapsed="false">
      <ns0:c r="A25" s="1"/>
      <ns0:c r="B25" s="1"/>
      <ns0:c r="C25" s="1"/>
      <ns0:c r="D25" s="1"/>
      <ns0:c r="E25" s="1"/>
      <ns0:c r="F25" s="1"/>
      <ns0:c r="G25" s="1"/>
    </ns0:row>
    <ns0:row r="26" customFormat="false" ht="22" hidden="false" customHeight="true" outlineLevel="0" collapsed="false">
      <ns0:c r="A26" s="3" t="s">
        <ns0:v>32</ns0:v>
      </ns0:c>
      <ns0:c r="B26" s="1"/>
      <ns0:c r="C26" s="1"/>
      <ns0:c r="D26" s="1"/>
      <ns0:c r="E26" s="1"/>
      <ns0:c r="F26" s="1"/>
      <ns0:c r="G26" s="1"/>
    </ns0:row>
    <ns0:row r="27" customFormat="false" ht="22" hidden="false" customHeight="true" outlineLevel="0" collapsed="false">
      <ns0:c r="A27" s="3" t="s">
        <ns0:v>33</ns0:v>
      </ns0:c>
      <ns0:c r="B27" s="1"/>
      <ns0:c r="C27" s="1"/>
      <ns0:c r="D27" s="1"/>
      <ns0:c r="E27" s="1"/>
      <ns0:c r="F27" s="1"/>
      <ns0:c r="G27" s="1"/>
    </ns0:row>
    <ns0:row r="28" customFormat="false" ht="22" hidden="false" customHeight="true" outlineLevel="0" collapsed="false">
      <ns0:c r="A28" s="1"/>
      <ns0:c r="B28" s="1"/>
      <ns0:c r="C28" s="1"/>
      <ns0:c r="D28" s="1"/>
      <ns0:c r="E28" s="1"/>
      <ns0:c r="F28" s="1"/>
      <ns0:c r="G28" s="1"/>
    </ns0:row>
    <ns0:row r="29" customFormat="false" ht="22" hidden="false" customHeight="true" outlineLevel="0" collapsed="false">
      <ns0:c r="A29" s="3" t="s">
        <ns0:v>34</ns0:v>
      </ns0:c>
      <ns0:c r="B29" s="1"/>
      <ns0:c r="C29" s="1"/>
      <ns0:c r="D29" s="1"/>
      <ns0:c r="E29" s="1"/>
      <ns0:c r="F29" s="1"/>
      <ns0:c r="G29" s="1"/>
    </ns0:row>
    <ns0:row r="30" customFormat="false" ht="22" hidden="false" customHeight="true" outlineLevel="0" collapsed="false">
      <ns0:c r="A30" s="1"/>
      <ns0:c r="B30" s="1"/>
      <ns0:c r="C30" s="1"/>
      <ns0:c r="D30" s="1"/>
      <ns0:c r="E30" s="1"/>
      <ns0:c r="F30" s="1"/>
      <ns0:c r="G30" s="1"/>
    </ns0:row>
    <ns0:row r="31" customFormat="false" ht="22" hidden="false" customHeight="true" outlineLevel="0" collapsed="false">
      <ns0:c r="A31" s="1"/>
      <ns0:c r="B31" s="1"/>
      <ns0:c r="C31" s="1"/>
      <ns0:c r="D31" s="1"/>
      <ns0:c r="E31" s="1"/>
      <ns0:c r="F31" s="1"/>
      <ns0:c r="G31" s="1"/>
    </ns0:row>
  </ns0:sheetData>
  <ns0:dataValidations count="2">
    <ns0:dataValidation allowBlank="false" errorStyle="stop" operator="between" showDropDown="false" showErrorMessage="false" showInputMessage="false" sqref="D8:D1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F8:F17" type="list">
      <ns0:formula1>"Ja,Nein"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