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Vorhaben" sheetId="1" state="visible" ns1:id="rId3"/>
    <ns0:sheet name="Datenflüsse" sheetId="2" state="visible" ns1:id="rId4"/>
  </ns0:sheets>
  <ns0:definedNames>
    <ns0:definedName name="_xlnm.Print_Area" localSheetId="0">'Vorhaben'!A1:E23</ns0:definedName>
    <ns0:definedName name="_xlnm.Print_Titles" localSheetId="0">'Vorhaben'!$7:$7</ns0:definedName>
    <ns0:definedName name="_xlnm.Print_Area" localSheetId="1">'Datenflüsse'!A1:F27</ns0:definedName>
    <ns0:definedName name="_xlnm.Print_Titles" localSheetId="1">'Datenflüsse'!$7:$7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<sst xmlns="http://schemas.openxmlformats.org/spreadsheetml/2006/main" count="99" uniqueCount="92">
  <si>
    <t xml:space="preserve">Drei Vorhaben und ihre nächste Entscheidung</t>
  </si>
  <si>
    <t xml:space="preserve">Klinikverbund Auenhöhe GmbH · Nora Bergmann · Arbeitsstand 06.10.2026</t>
  </si>
  <si>
    <t xml:space="preserve">Vorhaben ohne Betriebsfreigabe</t>
  </si>
  <si>
    <t xml:space="preserve">Vorhaben und Version</t>
  </si>
  <si>
    <t xml:space="preserve">Verantwortliche</t>
  </si>
  <si>
    <t xml:space="preserve">Ziel und vorgesehener Nutzerkreis</t>
  </si>
  <si>
    <t xml:space="preserve">Nächste Entscheidung</t>
  </si>
  <si>
    <t xml:space="preserve">Stand</t>
  </si>
  <si>
    <t xml:space="preserve">P01 Sprechfeder Clinical 2.4</t>
  </si>
  <si>
    <t xml:space="preserve">Nora Bergmann / Dr. Amira Feld</t>
  </si>
  <si>
    <t xml:space="preserve">Diktat und Entlassbrief; ärztlich prüfen, keine autonome Therapie.</t>
  </si>
  <si>
    <t xml:space="preserve">Cloudvertrag, Datenflüsse und klinischen Pilotumfang abstimmen.</t>
  </si>
  <si>
    <t xml:space="preserve">Nicht freigegeben</t>
  </si>
  <si>
    <t xml:space="preserve">P02 Radialert Triage 5.1</t>
  </si>
  <si>
    <t xml:space="preserve">Dr. Amira Feld / Karim Seidel</t>
  </si>
  <si>
    <t xml:space="preserve">Radiologische Priorisierung; lokale Verarbeitung, Fernwartung vorgesehen.</t>
  </si>
  <si>
    <t xml:space="preserve">Zweckbestimmung und Nachweise müssen die Version 5.1 abdecken.</t>
  </si>
  <si>
    <t xml:space="preserve">P03 SEPSIS-LR</t>
  </si>
  <si>
    <t xml:space="preserve">Dr. Oskar Wenck / Benedikt Fink</t>
  </si>
  <si>
    <t xml:space="preserve">Retrospektive Versorgungsforschung 2022–2025; Hochschulpartner.</t>
  </si>
  <si>
    <t xml:space="preserve">Eigene Forschung, Übermittlung, MVZ-Daten und Training trennen.</t>
  </si>
  <si>
    <t xml:space="preserve">1 Verwendung</t>
  </si>
  <si>
    <t xml:space="preserve">Das Blatt Datenflüsse hält jeden Verarbeitungsschritt getrennt fest. Gleiche Konzernmarke bedeutet</t>
  </si>
  <si>
    <t xml:space="preserve">keine gemeinsame verantwortliche Stelle. Das MVZ ist eine eigene juristische Person.</t>
  </si>
  <si>
    <t xml:space="preserve">2 Stand der Entscheidung</t>
  </si>
  <si>
    <t xml:space="preserve">Die gewünschte Pilotplanung ersetzt keine Freigabe. Technische Tests ohne Patientendaten separat planen.</t>
  </si>
  <si>
    <t xml:space="preserve">3 Quellen</t>
  </si>
  <si>
    <t xml:space="preserve">01 Projektauftrag, 09 Datenfluss, 17 Zweckbestimmung, 24 Forschungsprotokoll und 25 Datenkatalog.</t>
  </si>
  <si>
    <t xml:space="preserve">Verarbeitungsschritte, Empfänger und offene Angaben</t>
  </si>
  <si>
    <t xml:space="preserve">Datenflüsse insgesamt</t>
  </si>
  <si>
    <t xml:space="preserve">ID / Vorhaben</t>
  </si>
  <si>
    <t xml:space="preserve">Daten und Zweck</t>
  </si>
  <si>
    <t xml:space="preserve">Von / an</t>
  </si>
  <si>
    <t xml:space="preserve">Ort und Zugriff</t>
  </si>
  <si>
    <t xml:space="preserve">Offene Angabe</t>
  </si>
  <si>
    <t xml:space="preserve">Belegstatus</t>
  </si>
  <si>
    <t xml:space="preserve">D01 / P01</t>
  </si>
  <si>
    <t xml:space="preserve">Audio zur ärztlichen Dokumentation</t>
  </si>
  <si>
    <t xml:space="preserve">Klinik → Sprechfeder Health Europe</t>
  </si>
  <si>
    <t xml:space="preserve">Cloud Frankfurt</t>
  </si>
  <si>
    <t xml:space="preserve">Audiospeicherung, Löschlauf, Zugriffsschutz</t>
  </si>
  <si>
    <t xml:space="preserve">Lieferantenangabe</t>
  </si>
  <si>
    <t xml:space="preserve">D02 / P01</t>
  </si>
  <si>
    <t xml:space="preserve">Entlassbriefentwurf zurück ins KIS</t>
  </si>
  <si>
    <t xml:space="preserve">Sprechfeder → behandelnde Ärztin</t>
  </si>
  <si>
    <t xml:space="preserve">Klinik und Cloud</t>
  </si>
  <si>
    <t xml:space="preserve">Wer prüft und dokumentiert die Freigabe?</t>
  </si>
  <si>
    <t xml:space="preserve">Geplant</t>
  </si>
  <si>
    <t xml:space="preserve">D03 / P01</t>
  </si>
  <si>
    <t xml:space="preserve">Support mit möglichen Inhaltsdaten</t>
  </si>
  <si>
    <t xml:space="preserve">Sprechfeder Support Inc.</t>
  </si>
  <si>
    <t xml:space="preserve">USA, optionaler Remotezugriff</t>
  </si>
  <si>
    <t xml:space="preserve">Unternehmen, Aktivierung, Umfang, Transferweg</t>
  </si>
  <si>
    <t xml:space="preserve">Nachweis offen</t>
  </si>
  <si>
    <t xml:space="preserve">D04 / P01</t>
  </si>
  <si>
    <t xml:space="preserve">Produktverbesserung / Modelltraining</t>
  </si>
  <si>
    <t xml:space="preserve">Lieferant oder dessen Partner</t>
  </si>
  <si>
    <t xml:space="preserve">Nicht abschließend bezeichnet</t>
  </si>
  <si>
    <t xml:space="preserve">Trainingsklausel und tatsächlichen Datenfluss klären</t>
  </si>
  <si>
    <t xml:space="preserve">Streitig</t>
  </si>
  <si>
    <t xml:space="preserve">D05 / P02</t>
  </si>
  <si>
    <t xml:space="preserve">Bilddaten, Befundpriorisierung</t>
  </si>
  <si>
    <t xml:space="preserve">PACS → Radialert 5.1</t>
  </si>
  <si>
    <t xml:space="preserve">Lokaler Klinikserver</t>
  </si>
  <si>
    <t xml:space="preserve">Version und abgedeckte Zweckbestimmung</t>
  </si>
  <si>
    <t xml:space="preserve">D06 / P02</t>
  </si>
  <si>
    <t xml:space="preserve">Wartungsdaten, möglicher Bildzugriff</t>
  </si>
  <si>
    <t xml:space="preserve">Radiaviso Medical</t>
  </si>
  <si>
    <t xml:space="preserve">Remotezugriff, Zielsystem offen</t>
  </si>
  <si>
    <t xml:space="preserve">Personen, Ort, Rechte, Protokollierung</t>
  </si>
  <si>
    <t xml:space="preserve">D07 / P03</t>
  </si>
  <si>
    <t xml:space="preserve">Behandlungsdaten 2022–2025</t>
  </si>
  <si>
    <t xml:space="preserve">Klinik → internes Forschungsteam</t>
  </si>
  <si>
    <t xml:space="preserve">Kliniknetz</t>
  </si>
  <si>
    <t xml:space="preserve">Forschungsgrundlage, Minimierung, Verknüpfung</t>
  </si>
  <si>
    <t xml:space="preserve">D08 / P03</t>
  </si>
  <si>
    <t xml:space="preserve">Pseudonymisierter Analysedatensatz</t>
  </si>
  <si>
    <t xml:space="preserve">Klinik → Hochschule Saalebogen</t>
  </si>
  <si>
    <t xml:space="preserve">Hochschulumgebung noch zu prüfen</t>
  </si>
  <si>
    <t xml:space="preserve">Übermittlungsgrundlage, Verträge, Reidentifikation</t>
  </si>
  <si>
    <t xml:space="preserve">D09 / P03</t>
  </si>
  <si>
    <t xml:space="preserve">Ambulante Behandlungsdaten</t>
  </si>
  <si>
    <t xml:space="preserve">MVZ → Forschungsprojekt</t>
  </si>
  <si>
    <t xml:space="preserve">Noch nicht bestimmt</t>
  </si>
  <si>
    <t xml:space="preserve">Eigene Verantwortlichkeit und eigene Grundlage</t>
  </si>
  <si>
    <t xml:space="preserve">Nicht beschlossen</t>
  </si>
  <si>
    <t xml:space="preserve">1 Fortschreibung</t>
  </si>
  <si>
    <t xml:space="preserve">Pro Empfänger und Zweck eine eigene Zeile. Nachweis offen ist keine bestätigte Übermittlung.</t>
  </si>
  <si>
    <t xml:space="preserve">2 Zuordnung</t>
  </si>
  <si>
    <t xml:space="preserve">Lieferantenangaben aus der Akte sind noch keine verifizierten Garantien; Vertrag und Technik abgleichen.</t>
  </si>
  <si>
    <t xml:space="preserve">3 Reichweite</t>
  </si>
  <si>
    <t xml:space="preserve">Die Liste dokumentiert den geplanten Stand. Keine Patientennamen oder medizinischen Einzelwerte eintragen.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</si>
</sst>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4956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9DF"/>
      </left>
      <right style="thin">
        <color rgb="FFD2D9DF"/>
      </right>
      <top style="thin">
        <color rgb="FFD2D9DF"/>
      </top>
      <bottom style="thin">
        <color rgb="FFD2D9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2D9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26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8.25"/>
    <ns0:col collapsed="false" customWidth="true" hidden="false" outlineLevel="0" max="2" min="2" style="0" width="22.42"/>
    <ns0:col collapsed="false" customWidth="true" hidden="false" outlineLevel="0" max="4" min="3" style="0" width="39.95"/>
    <ns0:col collapsed="false" customWidth="true" hidden="false" outlineLevel="0" max="5" min="5" style="0" width="21.43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</ns0:row>
    <ns0:row r="2" customFormat="false" ht="28" hidden="false" customHeight="true" outlineLevel="0" collapsed="false">
      <ns0:c r="A2" s="2" t="s">
        <ns0:v>0</ns0:v>
      </ns0:c>
      <ns0:c r="B2" s="1"/>
      <ns0:c r="C2" s="1"/>
      <ns0:c r="D2" s="1"/>
      <ns0:c r="E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</ns0:row>
    <ns0:row r="5" customFormat="false" ht="22" hidden="false" customHeight="true" outlineLevel="0" collapsed="false">
      <ns0:c r="A5" s="1" t="s">
        <ns0:v>2</ns0:v>
      </ns0:c>
      <ns0:c r="B5" s="1"/>
      <ns0:c r="C5" s="1"/>
      <ns0:c r="D5" s="1"/>
      <ns0:c r="E5" s="1" t="n">
        <ns0:f aca="false">COUNTIF(E8:E10,"Nicht freigegeben")</ns0:f>
        <ns0:v>3</ns0:v>
      </ns0:c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</ns0:row>
    <ns0:row r="7" customFormat="false" ht="42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</ns0:row>
    <ns0:row r="8" customFormat="false" ht="88" hidden="false" customHeight="true" outlineLevel="0" collapsed="false">
      <ns0:c r="A8" s="5" t="s">
        <ns0:v>8</ns0:v>
      </ns0:c>
      <ns0:c r="B8" s="5" t="s">
        <ns0:v>9</ns0:v>
      </ns0:c>
      <ns0:c r="C8" s="5" t="s">
        <ns0:v>10</ns0:v>
      </ns0:c>
      <ns0:c r="D8" s="5" t="s">
        <ns0:v>11</ns0:v>
      </ns0:c>
      <ns0:c r="E8" s="5" t="s">
        <ns0:v>12</ns0:v>
      </ns0:c>
    </ns0:row>
    <ns0:row r="9" customFormat="false" ht="88" hidden="false" customHeight="true" outlineLevel="0" collapsed="false">
      <ns0:c r="A9" s="5" t="s">
        <ns0:v>13</ns0:v>
      </ns0:c>
      <ns0:c r="B9" s="5" t="s">
        <ns0:v>14</ns0:v>
      </ns0:c>
      <ns0:c r="C9" s="5" t="s">
        <ns0:v>15</ns0:v>
      </ns0:c>
      <ns0:c r="D9" s="5" t="s">
        <ns0:v>16</ns0:v>
      </ns0:c>
      <ns0:c r="E9" s="5" t="s">
        <ns0:v>12</ns0:v>
      </ns0:c>
    </ns0:row>
    <ns0:row r="10" customFormat="false" ht="88" hidden="false" customHeight="true" outlineLevel="0" collapsed="false">
      <ns0:c r="A10" s="5" t="s">
        <ns0:v>17</ns0:v>
      </ns0:c>
      <ns0:c r="B10" s="5" t="s">
        <ns0:v>18</ns0:v>
      </ns0:c>
      <ns0:c r="C10" s="5" t="s">
        <ns0:v>19</ns0:v>
      </ns0:c>
      <ns0:c r="D10" s="5" t="s">
        <ns0:v>20</ns0:v>
      </ns0:c>
      <ns0:c r="E10" s="5" t="s">
        <ns0:v>12</ns0:v>
      </ns0:c>
    </ns0:row>
    <ns0:row r="11" customFormat="false" ht="22" hidden="false" customHeight="true" outlineLevel="0" collapsed="false">
      <ns0:c r="A11" s="1"/>
      <ns0:c r="B11" s="1"/>
      <ns0:c r="C11" s="1"/>
      <ns0:c r="D11" s="1"/>
      <ns0:c r="E11" s="1"/>
    </ns0:row>
    <ns0:row r="12" customFormat="false" ht="22" hidden="false" customHeight="true" outlineLevel="0" collapsed="false">
      <ns0:c r="A12" s="1"/>
      <ns0:c r="B12" s="1"/>
      <ns0:c r="C12" s="1"/>
      <ns0:c r="D12" s="1"/>
      <ns0:c r="E12" s="1"/>
    </ns0:row>
    <ns0:row r="13" customFormat="false" ht="22" hidden="false" customHeight="true" outlineLevel="0" collapsed="false">
      <ns0:c r="A13" s="3" t="s">
        <ns0:v>21</ns0:v>
      </ns0:c>
      <ns0:c r="B13" s="1"/>
      <ns0:c r="C13" s="1"/>
      <ns0:c r="D13" s="1"/>
      <ns0:c r="E13" s="1"/>
    </ns0:row>
    <ns0:row r="14" customFormat="false" ht="22" hidden="false" customHeight="true" outlineLevel="0" collapsed="false">
      <ns0:c r="A14" s="3" t="s">
        <ns0:v>22</ns0:v>
      </ns0:c>
      <ns0:c r="B14" s="1"/>
      <ns0:c r="C14" s="1"/>
      <ns0:c r="D14" s="1"/>
      <ns0:c r="E14" s="1"/>
    </ns0:row>
    <ns0:row r="15" customFormat="false" ht="22" hidden="false" customHeight="true" outlineLevel="0" collapsed="false">
      <ns0:c r="A15" s="3" t="s">
        <ns0:v>23</ns0:v>
      </ns0:c>
      <ns0:c r="B15" s="1"/>
      <ns0:c r="C15" s="1"/>
      <ns0:c r="D15" s="1"/>
      <ns0:c r="E15" s="1"/>
    </ns0:row>
    <ns0:row r="16" customFormat="false" ht="22" hidden="false" customHeight="true" outlineLevel="0" collapsed="false">
      <ns0:c r="A16" s="1"/>
      <ns0:c r="B16" s="1"/>
      <ns0:c r="C16" s="1"/>
      <ns0:c r="D16" s="1"/>
      <ns0:c r="E16" s="1"/>
    </ns0:row>
    <ns0:row r="17" customFormat="false" ht="22" hidden="false" customHeight="true" outlineLevel="0" collapsed="false">
      <ns0:c r="A17" s="3" t="s">
        <ns0:v>24</ns0:v>
      </ns0:c>
      <ns0:c r="B17" s="1"/>
      <ns0:c r="C17" s="1"/>
      <ns0:c r="D17" s="1"/>
      <ns0:c r="E17" s="1"/>
    </ns0:row>
    <ns0:row r="18" customFormat="false" ht="22" hidden="false" customHeight="true" outlineLevel="0" collapsed="false">
      <ns0:c r="A18" s="3" t="s">
        <ns0:v>25</ns0:v>
      </ns0:c>
      <ns0:c r="B18" s="1"/>
      <ns0:c r="C18" s="1"/>
      <ns0:c r="D18" s="1"/>
      <ns0:c r="E18" s="1"/>
    </ns0:row>
    <ns0:row r="19" customFormat="false" ht="22" hidden="false" customHeight="true" outlineLevel="0" collapsed="false">
      <ns0:c r="A19" s="1"/>
      <ns0:c r="B19" s="1"/>
      <ns0:c r="C19" s="1"/>
      <ns0:c r="D19" s="1"/>
      <ns0:c r="E19" s="1"/>
    </ns0:row>
    <ns0:row r="20" customFormat="false" ht="22" hidden="false" customHeight="true" outlineLevel="0" collapsed="false">
      <ns0:c r="A20" s="3" t="s">
        <ns0:v>26</ns0:v>
      </ns0:c>
      <ns0:c r="B20" s="1"/>
      <ns0:c r="C20" s="1"/>
      <ns0:c r="D20" s="1"/>
      <ns0:c r="E20" s="1"/>
    </ns0:row>
    <ns0:row r="21" customFormat="false" ht="22" hidden="false" customHeight="true" outlineLevel="0" collapsed="false">
      <ns0:c r="A21" s="3" t="s">
        <ns0:v>27</ns0:v>
      </ns0:c>
      <ns0:c r="B21" s="1"/>
      <ns0:c r="C21" s="1"/>
      <ns0:c r="D21" s="1"/>
      <ns0:c r="E21" s="1"/>
    </ns0:row>
    <ns0:row r="22" customFormat="false" ht="22" hidden="false" customHeight="true" outlineLevel="0" collapsed="false">
      <ns0:c r="A22" s="1"/>
      <ns0:c r="B22" s="1"/>
      <ns0:c r="C22" s="1"/>
      <ns0:c r="D22" s="1"/>
      <ns0:c r="E22" s="1"/>
    </ns0:row>
    <ns0:row r="23" customFormat="false" ht="22" hidden="false" customHeight="true" outlineLevel="0" collapsed="false">
      <ns0:c r="A23" s="1"/>
      <ns0:c r="B23" s="1"/>
      <ns0:c r="C23" s="1"/>
      <ns0:c r="D23" s="1"/>
      <ns0:c r="E23" s="1"/>
    </ns0:row>
    <ns0:row r="24" customFormat="false" ht="22" hidden="false" customHeight="true" outlineLevel="0" collapsed="false">
      <ns0:c r="A24" s="1"/>
      <ns0:c r="B24" s="1"/>
      <ns0:c r="C24" s="1"/>
      <ns0:c r="D24" s="1"/>
      <ns0:c r="E24" s="1"/>
    </ns0:row>
    <ns0:row r="25" customFormat="false" ht="22" hidden="false" customHeight="true" outlineLevel="0" collapsed="false">
      <ns0:c r="A25" s="1"/>
      <ns0:c r="B25" s="1"/>
      <ns0:c r="C25" s="1"/>
      <ns0:c r="D25" s="1"/>
      <ns0:c r="E25" s="1"/>
    </ns0:row>
    <ns0:row r="26" customFormat="false" ht="22" hidden="false" customHeight="true" outlineLevel="0" collapsed="false">
      <ns0:c r="A26" s="1"/>
      <ns0:c r="B26" s="1"/>
      <ns0:c r="C26" s="1"/>
      <ns0:c r="D26" s="1"/>
      <ns0:c r="E26" s="1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3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6.7"/>
    <ns0:col collapsed="false" customWidth="true" hidden="false" outlineLevel="0" max="2" min="2" style="0" width="31.74"/>
    <ns0:col collapsed="false" customWidth="true" hidden="false" outlineLevel="0" max="3" min="3" style="0" width="30.06"/>
    <ns0:col collapsed="false" customWidth="true" hidden="false" outlineLevel="0" max="4" min="4" style="0" width="25.89"/>
    <ns0:col collapsed="false" customWidth="true" hidden="false" outlineLevel="0" max="5" min="5" style="0" width="30.9"/>
    <ns0:col collapsed="false" customWidth="true" hidden="false" outlineLevel="0" max="6" min="6" style="0" width="16.7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8" hidden="false" customHeight="true" outlineLevel="0" collapsed="false">
      <ns0:c r="A2" s="2" t="s">
        <ns0:v>28</ns0:v>
      </ns0:c>
      <ns0:c r="B2" s="1"/>
      <ns0:c r="C2" s="1"/>
      <ns0:c r="D2" s="1"/>
      <ns0:c r="E2" s="1"/>
      <ns0:c r="F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22" hidden="false" customHeight="true" outlineLevel="0" collapsed="false">
      <ns0:c r="A5" s="1" t="s">
        <ns0:v>29</ns0:v>
      </ns0:c>
      <ns0:c r="B5" s="1"/>
      <ns0:c r="C5" s="1"/>
      <ns0:c r="D5" s="1"/>
      <ns0:c r="E5" s="1"/>
      <ns0:c r="F5" s="1" t="n">
        <ns0:f aca="false">COUNTA(A8:A16)</ns0:f>
        <ns0:v>9</ns0:v>
      </ns0:c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42" hidden="false" customHeight="true" outlineLevel="0" collapsed="false">
      <ns0:c r="A7" s="4" t="s">
        <ns0:v>30</ns0:v>
      </ns0:c>
      <ns0:c r="B7" s="4" t="s">
        <ns0:v>31</ns0:v>
      </ns0:c>
      <ns0:c r="C7" s="4" t="s">
        <ns0:v>32</ns0:v>
      </ns0:c>
      <ns0:c r="D7" s="4" t="s">
        <ns0:v>33</ns0:v>
      </ns0:c>
      <ns0:c r="E7" s="4" t="s">
        <ns0:v>34</ns0:v>
      </ns0:c>
      <ns0:c r="F7" s="4" t="s">
        <ns0:v>35</ns0:v>
      </ns0:c>
    </ns0:row>
    <ns0:row r="8" customFormat="false" ht="65" hidden="false" customHeight="true" outlineLevel="0" collapsed="false">
      <ns0:c r="A8" s="5" t="s">
        <ns0:v>36</ns0:v>
      </ns0:c>
      <ns0:c r="B8" s="5" t="s">
        <ns0:v>37</ns0:v>
      </ns0:c>
      <ns0:c r="C8" s="5" t="s">
        <ns0:v>38</ns0:v>
      </ns0:c>
      <ns0:c r="D8" s="5" t="s">
        <ns0:v>39</ns0:v>
      </ns0:c>
      <ns0:c r="E8" s="5" t="s">
        <ns0:v>40</ns0:v>
      </ns0:c>
      <ns0:c r="F8" s="5" t="s">
        <ns0:v>41</ns0:v>
      </ns0:c>
    </ns0:row>
    <ns0:row r="9" customFormat="false" ht="65" hidden="false" customHeight="true" outlineLevel="0" collapsed="false">
      <ns0:c r="A9" s="5" t="s">
        <ns0:v>42</ns0:v>
      </ns0:c>
      <ns0:c r="B9" s="5" t="s">
        <ns0:v>43</ns0:v>
      </ns0:c>
      <ns0:c r="C9" s="5" t="s">
        <ns0:v>44</ns0:v>
      </ns0:c>
      <ns0:c r="D9" s="5" t="s">
        <ns0:v>45</ns0:v>
      </ns0:c>
      <ns0:c r="E9" s="5" t="s">
        <ns0:v>46</ns0:v>
      </ns0:c>
      <ns0:c r="F9" s="5" t="s">
        <ns0:v>47</ns0:v>
      </ns0:c>
    </ns0:row>
    <ns0:row r="10" customFormat="false" ht="65" hidden="false" customHeight="true" outlineLevel="0" collapsed="false">
      <ns0:c r="A10" s="5" t="s">
        <ns0:v>48</ns0:v>
      </ns0:c>
      <ns0:c r="B10" s="5" t="s">
        <ns0:v>49</ns0:v>
      </ns0:c>
      <ns0:c r="C10" s="5" t="s">
        <ns0:v>50</ns0:v>
      </ns0:c>
      <ns0:c r="D10" s="5" t="s">
        <ns0:v>51</ns0:v>
      </ns0:c>
      <ns0:c r="E10" s="5" t="s">
        <ns0:v>52</ns0:v>
      </ns0:c>
      <ns0:c r="F10" s="5" t="s">
        <ns0:v>53</ns0:v>
      </ns0:c>
    </ns0:row>
    <ns0:row r="11" customFormat="false" ht="65" hidden="false" customHeight="true" outlineLevel="0" collapsed="false">
      <ns0:c r="A11" s="5" t="s">
        <ns0:v>54</ns0:v>
      </ns0:c>
      <ns0:c r="B11" s="5" t="s">
        <ns0:v>55</ns0:v>
      </ns0:c>
      <ns0:c r="C11" s="5" t="s">
        <ns0:v>56</ns0:v>
      </ns0:c>
      <ns0:c r="D11" s="5" t="s">
        <ns0:v>57</ns0:v>
      </ns0:c>
      <ns0:c r="E11" s="5" t="s">
        <ns0:v>58</ns0:v>
      </ns0:c>
      <ns0:c r="F11" s="5" t="s">
        <ns0:v>59</ns0:v>
      </ns0:c>
    </ns0:row>
    <ns0:row r="12" customFormat="false" ht="65" hidden="false" customHeight="true" outlineLevel="0" collapsed="false">
      <ns0:c r="A12" s="5" t="s">
        <ns0:v>60</ns0:v>
      </ns0:c>
      <ns0:c r="B12" s="5" t="s">
        <ns0:v>61</ns0:v>
      </ns0:c>
      <ns0:c r="C12" s="5" t="s">
        <ns0:v>62</ns0:v>
      </ns0:c>
      <ns0:c r="D12" s="5" t="s">
        <ns0:v>63</ns0:v>
      </ns0:c>
      <ns0:c r="E12" s="5" t="s">
        <ns0:v>64</ns0:v>
      </ns0:c>
      <ns0:c r="F12" s="5" t="s">
        <ns0:v>53</ns0:v>
      </ns0:c>
    </ns0:row>
    <ns0:row r="13" customFormat="false" ht="65" hidden="false" customHeight="true" outlineLevel="0" collapsed="false">
      <ns0:c r="A13" s="5" t="s">
        <ns0:v>65</ns0:v>
      </ns0:c>
      <ns0:c r="B13" s="5" t="s">
        <ns0:v>66</ns0:v>
      </ns0:c>
      <ns0:c r="C13" s="5" t="s">
        <ns0:v>67</ns0:v>
      </ns0:c>
      <ns0:c r="D13" s="5" t="s">
        <ns0:v>68</ns0:v>
      </ns0:c>
      <ns0:c r="E13" s="5" t="s">
        <ns0:v>69</ns0:v>
      </ns0:c>
      <ns0:c r="F13" s="5" t="s">
        <ns0:v>53</ns0:v>
      </ns0:c>
    </ns0:row>
    <ns0:row r="14" customFormat="false" ht="65" hidden="false" customHeight="true" outlineLevel="0" collapsed="false">
      <ns0:c r="A14" s="5" t="s">
        <ns0:v>70</ns0:v>
      </ns0:c>
      <ns0:c r="B14" s="5" t="s">
        <ns0:v>71</ns0:v>
      </ns0:c>
      <ns0:c r="C14" s="5" t="s">
        <ns0:v>72</ns0:v>
      </ns0:c>
      <ns0:c r="D14" s="5" t="s">
        <ns0:v>73</ns0:v>
      </ns0:c>
      <ns0:c r="E14" s="5" t="s">
        <ns0:v>74</ns0:v>
      </ns0:c>
      <ns0:c r="F14" s="5" t="s">
        <ns0:v>47</ns0:v>
      </ns0:c>
    </ns0:row>
    <ns0:row r="15" customFormat="false" ht="65" hidden="false" customHeight="true" outlineLevel="0" collapsed="false">
      <ns0:c r="A15" s="5" t="s">
        <ns0:v>75</ns0:v>
      </ns0:c>
      <ns0:c r="B15" s="5" t="s">
        <ns0:v>76</ns0:v>
      </ns0:c>
      <ns0:c r="C15" s="5" t="s">
        <ns0:v>77</ns0:v>
      </ns0:c>
      <ns0:c r="D15" s="5" t="s">
        <ns0:v>78</ns0:v>
      </ns0:c>
      <ns0:c r="E15" s="5" t="s">
        <ns0:v>79</ns0:v>
      </ns0:c>
      <ns0:c r="F15" s="5" t="s">
        <ns0:v>53</ns0:v>
      </ns0:c>
    </ns0:row>
    <ns0:row r="16" customFormat="false" ht="65" hidden="false" customHeight="true" outlineLevel="0" collapsed="false">
      <ns0:c r="A16" s="5" t="s">
        <ns0:v>80</ns0:v>
      </ns0:c>
      <ns0:c r="B16" s="5" t="s">
        <ns0:v>81</ns0:v>
      </ns0:c>
      <ns0:c r="C16" s="5" t="s">
        <ns0:v>82</ns0:v>
      </ns0:c>
      <ns0:c r="D16" s="5" t="s">
        <ns0:v>83</ns0:v>
      </ns0:c>
      <ns0:c r="E16" s="5" t="s">
        <ns0:v>84</ns0:v>
      </ns0:c>
      <ns0:c r="F16" s="5" t="s">
        <ns0:v>85</ns0:v>
      </ns0:c>
    </ns0:row>
    <ns0:row r="17" customFormat="false" ht="22" hidden="false" customHeight="true" outlineLevel="0" collapsed="false">
      <ns0:c r="A17" s="1"/>
      <ns0:c r="B17" s="1"/>
      <ns0:c r="C17" s="1"/>
      <ns0:c r="D17" s="1"/>
      <ns0:c r="E17" s="1"/>
      <ns0:c r="F17" s="1"/>
    </ns0:row>
    <ns0:row r="18" customFormat="false" ht="22" hidden="false" customHeight="true" outlineLevel="0" collapsed="false">
      <ns0:c r="A18" s="1"/>
      <ns0:c r="B18" s="1"/>
      <ns0:c r="C18" s="1"/>
      <ns0:c r="D18" s="1"/>
      <ns0:c r="E18" s="1"/>
      <ns0:c r="F18" s="1"/>
    </ns0:row>
    <ns0:row r="19" customFormat="false" ht="22" hidden="false" customHeight="true" outlineLevel="0" collapsed="false">
      <ns0:c r="A19" s="3" t="s">
        <ns0:v>86</ns0:v>
      </ns0:c>
      <ns0:c r="B19" s="1"/>
      <ns0:c r="C19" s="1"/>
      <ns0:c r="D19" s="1"/>
      <ns0:c r="E19" s="1"/>
      <ns0:c r="F19" s="1"/>
    </ns0:row>
    <ns0:row r="20" customFormat="false" ht="22" hidden="false" customHeight="true" outlineLevel="0" collapsed="false">
      <ns0:c r="A20" s="3" t="s">
        <ns0:v>87</ns0:v>
      </ns0:c>
      <ns0:c r="B20" s="1"/>
      <ns0:c r="C20" s="1"/>
      <ns0:c r="D20" s="1"/>
      <ns0:c r="E20" s="1"/>
      <ns0:c r="F20" s="1"/>
    </ns0:row>
    <ns0:row r="21" customFormat="false" ht="22" hidden="false" customHeight="true" outlineLevel="0" collapsed="false">
      <ns0:c r="A21" s="1"/>
      <ns0:c r="B21" s="1"/>
      <ns0:c r="C21" s="1"/>
      <ns0:c r="D21" s="1"/>
      <ns0:c r="E21" s="1"/>
      <ns0:c r="F21" s="1"/>
    </ns0:row>
    <ns0:row r="22" customFormat="false" ht="22" hidden="false" customHeight="true" outlineLevel="0" collapsed="false">
      <ns0:c r="A22" s="3" t="s">
        <ns0:v>88</ns0:v>
      </ns0:c>
      <ns0:c r="B22" s="1"/>
      <ns0:c r="C22" s="1"/>
      <ns0:c r="D22" s="1"/>
      <ns0:c r="E22" s="1"/>
      <ns0:c r="F22" s="1"/>
    </ns0:row>
    <ns0:row r="23" customFormat="false" ht="22" hidden="false" customHeight="true" outlineLevel="0" collapsed="false">
      <ns0:c r="A23" s="3" t="s">
        <ns0:v>89</ns0:v>
      </ns0:c>
      <ns0:c r="B23" s="1"/>
      <ns0:c r="C23" s="1"/>
      <ns0:c r="D23" s="1"/>
      <ns0:c r="E23" s="1"/>
      <ns0:c r="F23" s="1"/>
    </ns0:row>
    <ns0:row r="24" customFormat="false" ht="22" hidden="false" customHeight="true" outlineLevel="0" collapsed="false">
      <ns0:c r="A24" s="1"/>
      <ns0:c r="B24" s="1"/>
      <ns0:c r="C24" s="1"/>
      <ns0:c r="D24" s="1"/>
      <ns0:c r="E24" s="1"/>
      <ns0:c r="F24" s="1"/>
    </ns0:row>
    <ns0:row r="25" customFormat="false" ht="22" hidden="false" customHeight="true" outlineLevel="0" collapsed="false">
      <ns0:c r="A25" s="3" t="s">
        <ns0:v>90</ns0:v>
      </ns0:c>
      <ns0:c r="B25" s="1"/>
      <ns0:c r="C25" s="1"/>
      <ns0:c r="D25" s="1"/>
      <ns0:c r="E25" s="1"/>
      <ns0:c r="F25" s="1"/>
    </ns0:row>
    <ns0:row r="26" customFormat="false" ht="22" hidden="false" customHeight="true" outlineLevel="0" collapsed="false">
      <ns0:c r="A26" s="3" t="s">
        <ns0:v>91</ns0:v>
      </ns0:c>
      <ns0:c r="B26" s="1"/>
      <ns0:c r="C26" s="1"/>
      <ns0:c r="D26" s="1"/>
      <ns0:c r="E26" s="1"/>
      <ns0:c r="F26" s="1"/>
    </ns0:row>
    <ns0:row r="27" customFormat="false" ht="22" hidden="false" customHeight="true" outlineLevel="0" collapsed="false">
      <ns0:c r="A27" s="1"/>
      <ns0:c r="B27" s="1"/>
      <ns0:c r="C27" s="1"/>
      <ns0:c r="D27" s="1"/>
      <ns0:c r="E27" s="1"/>
      <ns0:c r="F27" s="1"/>
    </ns0:row>
    <ns0:row r="28" customFormat="false" ht="22" hidden="false" customHeight="true" outlineLevel="0" collapsed="false">
      <ns0:c r="A28" s="1"/>
      <ns0:c r="B28" s="1"/>
      <ns0:c r="C28" s="1"/>
      <ns0:c r="D28" s="1"/>
      <ns0:c r="E28" s="1"/>
      <ns0:c r="F28" s="1"/>
    </ns0:row>
    <ns0:row r="29" customFormat="false" ht="22" hidden="false" customHeight="true" outlineLevel="0" collapsed="false">
      <ns0:c r="A29" s="1"/>
      <ns0:c r="B29" s="1"/>
      <ns0:c r="C29" s="1"/>
      <ns0:c r="D29" s="1"/>
      <ns0:c r="E29" s="1"/>
      <ns0:c r="F29" s="1"/>
    </ns0:row>
    <ns0:row r="30" customFormat="false" ht="22" hidden="false" customHeight="true" outlineLevel="0" collapsed="false">
      <ns0:c r="A30" s="1"/>
      <ns0:c r="B30" s="1"/>
      <ns0:c r="C30" s="1"/>
      <ns0:c r="D30" s="1"/>
      <ns0:c r="E30" s="1"/>
      <ns0:c r="F30" s="1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