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1cafe5f77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isten" sheetId="1" r:id="R2765f7a4c2454d30"/>
    <x:sheet xmlns:r="http://schemas.openxmlformats.org/officeDocument/2006/relationships" name="Kosten" sheetId="2" r:id="R19cd1642a19d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6c5f122d94bbd" /><Relationship Type="http://schemas.openxmlformats.org/officeDocument/2006/relationships/theme" Target="/xl/theme/theme1.xml" Id="R5f97b6d689f34c40" /><Relationship Type="http://schemas.openxmlformats.org/officeDocument/2006/relationships/sharedStrings" Target="/xl/sharedStrings.xml" Id="R08631a3fb8e74b95" /><Relationship Type="http://schemas.openxmlformats.org/officeDocument/2006/relationships/worksheet" Target="/xl/worksheets/sheet1.xml" Id="R2765f7a4c2454d30" /><Relationship Type="http://schemas.openxmlformats.org/officeDocument/2006/relationships/worksheet" Target="/xl/worksheets/sheet2.xml" Id="R19cd1642a19d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6" customHeight="1">
      <x:c r="A1" s="6" t="str">
        <x:v>Vorgang</x:v>
      </x:c>
      <x:c r="B1" s="6" t="str">
        <x:v>Bekanntgabe</x:v>
      </x:c>
      <x:c r="C1" s="6" t="str">
        <x:v>Gesetzter Termin</x:v>
      </x:c>
      <x:c r="D1" s="6" t="str">
        <x:v>Status</x:v>
      </x:c>
      <x:c r="E1" s="6" t="str">
        <x:v>Verantwortlich</x:v>
      </x:c>
      <x:c r="F1" s="6" t="str">
        <x:v>Beleg</x:v>
      </x:c>
    </x:row>
    <x:row r="2" ht="38" customHeight="1">
      <x:c r="A2" s="3" t="str">
        <x:v>Vollständige Satzung</x:v>
      </x:c>
      <x:c r="B2" s="7" t="n">
        <x:v>46288</x:v>
      </x:c>
      <x:c r="C2" s="7" t="n">
        <x:v>46302</x:v>
      </x:c>
      <x:c r="D2" s="3" t="str">
        <x:v>offen</x:v>
      </x:c>
      <x:c r="E2" s="3" t="str">
        <x:v>Notariat Wacker</x:v>
      </x:c>
      <x:c r="F2" s="3" t="str">
        <x:v>Verfügung 22.09.</x:v>
      </x:c>
    </x:row>
    <x:row r="3" ht="24" customHeight="1">
      <x:c r="A3" s="3" t="str">
        <x:v>Firmenstellungnahme</x:v>
      </x:c>
      <x:c r="B3" s="7" t="n">
        <x:v>46290</x:v>
      </x:c>
      <x:c r="C3" s="7" t="n">
        <x:v>46304</x:v>
      </x:c>
      <x:c r="D3" s="3" t="str">
        <x:v>offen</x:v>
      </x:c>
      <x:c r="E3" s="3" t="str">
        <x:v>Kanzlei Morgenstern</x:v>
      </x:c>
      <x:c r="F3" s="3" t="str">
        <x:v>Hinweis 24.09.</x:v>
      </x:c>
    </x:row>
    <x:row r="4" ht="38" customHeight="1">
      <x:c r="A4" s="3" t="str">
        <x:v>Verlängerungsbitte</x:v>
      </x:c>
      <x:c r="B4" s="3" t="str"/>
      <x:c r="C4" s="7" t="n">
        <x:v>46301</x:v>
      </x:c>
      <x:c r="D4" s="3" t="str">
        <x:v>Entwurf nicht versandt</x:v>
      </x:c>
      <x:c r="E4" s="3" t="str">
        <x:v>Lenja</x:v>
      </x:c>
      <x:c r="F4" s="3" t="str">
        <x:v>kein Ausgang</x:v>
      </x:c>
    </x:row>
    <x:row r="5" ht="38" customHeight="1">
      <x:c r="A5" s="3" t="str">
        <x:v>Gesellschaftertermin</x:v>
      </x:c>
      <x:c r="B5" s="3" t="str"/>
      <x:c r="C5" s="7" t="n">
        <x:v>46297</x:v>
      </x:c>
      <x:c r="D5" s="3" t="str">
        <x:v>Ottilie kann 14 Uhr</x:v>
      </x:c>
      <x:c r="E5" s="3" t="str">
        <x:v>Milan</x:v>
      </x:c>
      <x:c r="F5" s="3" t="str">
        <x:v>Chat 25.09.</x:v>
      </x:c>
    </x:row>
    <x:row r="6" ht="38" customHeight="1">
      <x:c r="A6" s="3" t="str">
        <x:v>Briefkopf korrigieren</x:v>
      </x:c>
      <x:c r="B6" s="3" t="str"/>
      <x:c r="C6" s="7" t="n">
        <x:v>46296</x:v>
      </x:c>
      <x:c r="D6" s="3" t="str">
        <x:v>Designer informiert</x:v>
      </x:c>
      <x:c r="E6" s="3" t="str">
        <x:v>Bao-Linh</x:v>
      </x:c>
      <x:c r="F6" s="3" t="str">
        <x:v>Mail 30.09.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Position</x:v>
      </x:c>
      <x:c r="B1" s="6" t="str">
        <x:v>Netto EUR</x:v>
      </x:c>
      <x:c r="C1" s="6" t="str">
        <x:v>USt EUR</x:v>
      </x:c>
      <x:c r="D1" s="6" t="str">
        <x:v>Gesamt EUR</x:v>
      </x:c>
    </x:row>
    <x:row r="2" ht="24" customHeight="1">
      <x:c r="A2" s="3" t="str">
        <x:v>Designanpassung</x:v>
      </x:c>
      <x:c r="B2" s="9" t="n">
        <x:v>180</x:v>
      </x:c>
      <x:c r="C2" s="9" t="n">
        <x:v>34.2</x:v>
      </x:c>
      <x:c r="D2" s="9" t="n">
        <x:f>B2+C2</x:f>
        <x:v>214.2</x:v>
      </x:c>
    </x:row>
    <x:row r="3" ht="24" customHeight="1">
      <x:c r="A3" s="3" t="str">
        <x:v>Umzug Büro</x:v>
      </x:c>
      <x:c r="B3" s="9" t="n">
        <x:v>960</x:v>
      </x:c>
      <x:c r="C3" s="9" t="n">
        <x:v>182.4</x:v>
      </x:c>
      <x:c r="D3" s="9" t="n">
        <x:f>B3+C3</x:f>
        <x:v>1142.4</x:v>
      </x:c>
    </x:row>
    <x:row r="4" ht="38" customHeight="1">
      <x:c r="A4" s="3" t="str">
        <x:v>Zusätzliche Beratung Budget</x:v>
      </x:c>
      <x:c r="B4" s="9" t="n">
        <x:v>750</x:v>
      </x:c>
      <x:c r="C4" s="9" t="n">
        <x:v>142.5</x:v>
      </x:c>
      <x:c r="D4" s="9" t="n">
        <x:f>B4+C4</x:f>
        <x:v>892.5</x:v>
      </x:c>
    </x:row>
    <x:row r="5" ht="24" customHeight="1">
      <x:c r="A5" s="3" t="str">
        <x:v>Summe</x:v>
      </x:c>
      <x:c r="B5" s="9" t="n">
        <x:f>SUM(B2:B4)</x:f>
        <x:v>1890</x:v>
      </x:c>
      <x:c r="C5" s="9" t="n">
        <x:f>SUM(C2:C4)</x:f>
        <x:v>359.1</x:v>
      </x:c>
      <x:c r="D5" s="9" t="n">
        <x:f>SUM(D2:D4)</x:f>
        <x:v>2249.1000000000004</x:v>
      </x:c>
    </x:row>
  </x:sheetData>
  <x:pageMargins left="0.7" right="0.7" top="0.75" bottom="0.75" header="0.3" footer="0.3"/>
</x:worksheet>
</file>