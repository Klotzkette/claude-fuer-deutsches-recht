
<file path=[Content_Types].xml><?xml version="1.0" encoding="utf-8"?>
<Types xmlns="http://schemas.openxmlformats.org/package/2006/content-types">
  <Default Extension="fntdata" ContentType="application/x-fontdata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600" firstSheet="0" activeTab="0"/>
  </bookViews>
  <sheets>
    <sheet name="Messwerte" sheetId="1" state="visible" r:id="rId3"/>
    <sheet name="Material" sheetId="2" state="visible" r:id="rId4"/>
    <sheet name="Zugang" sheetId="3" state="visible" r:id="rId5"/>
  </sheets>
  <definedNames>
    <definedName function="false" hidden="false" localSheetId="1" name="_xlnm.Print_Area" vbProcedure="false">Material!$A$1:$H$20</definedName>
    <definedName function="false" hidden="false" localSheetId="1" name="_xlnm.Print_Titles" vbProcedure="false">Material!$8:$8</definedName>
    <definedName function="false" hidden="false" localSheetId="0" name="_xlnm.Print_Area" vbProcedure="false">Messwerte!$A$1:$H$30</definedName>
    <definedName function="false" hidden="false" localSheetId="0" name="_xlnm.Print_Titles" vbProcedure="false">Messwerte!$8:$8</definedName>
    <definedName function="false" hidden="false" localSheetId="2" name="_xlnm.Print_Area" vbProcedure="false">Zugang!$A$1:$H$34</definedName>
    <definedName function="false" hidden="false" localSheetId="2" name="_xlnm.Print_Titles" vbProcedure="false">Zugang!$8:$8</definedName>
  </definedNames>
  <calcPr iterateCount="100" refMode="A1" iterate="false" iterateDelta="0.001"/>
  <extLst>
    <ext xmlns:loext="http://schemas.libreoffice.org/" uri="{7626C862-2A13-11E5-B345-FEFF819CDC9F}">
      <loext:extCalcPr stringRefSyntax="CalcA1ExcelA1"/>
    </ext>
  </extLst>
</workbook>
</file>

<file path=xl/sharedStrings.xml><?xml version="1.0" encoding="utf-8"?>
<sst xmlns="http://schemas.openxmlformats.org/spreadsheetml/2006/main" count="299" uniqueCount="159">
  <si>
    <t xml:space="preserve">1 Örtliche Messwerte und Bedienproben</t>
  </si>
  <si>
    <t xml:space="preserve">Einzelbeobachtungen aus den angegebenen Originalen. Oberflächenhöhen beziehen sich auf R0, nicht auf den Rohboden.</t>
  </si>
  <si>
    <t xml:space="preserve">Maren Döring, Stand 25.09.2026</t>
  </si>
  <si>
    <t xml:space="preserve">Positionen</t>
  </si>
  <si>
    <t xml:space="preserve">Datum</t>
  </si>
  <si>
    <t xml:space="preserve">Zeit</t>
  </si>
  <si>
    <t xml:space="preserve">Bauteil</t>
  </si>
  <si>
    <t xml:space="preserve">Merkmal</t>
  </si>
  <si>
    <t xml:space="preserve">Wert</t>
  </si>
  <si>
    <t xml:space="preserve">Einheit</t>
  </si>
  <si>
    <t xml:space="preserve">Bezug und Aufnahme</t>
  </si>
  <si>
    <t xml:space="preserve">Quelle</t>
  </si>
  <si>
    <t xml:space="preserve">T03</t>
  </si>
  <si>
    <t xml:space="preserve">Rissbreite</t>
  </si>
  <si>
    <t xml:space="preserve">mm</t>
  </si>
  <si>
    <t xml:space="preserve">Größte Ablesung mit Risskarte</t>
  </si>
  <si>
    <t xml:space="preserve">02_Begehungsmemo.docx</t>
  </si>
  <si>
    <t xml:space="preserve">Risslänge</t>
  </si>
  <si>
    <t xml:space="preserve">cm</t>
  </si>
  <si>
    <t xml:space="preserve">Sichtbare Linie ab Zargenecke</t>
  </si>
  <si>
    <t xml:space="preserve">F07</t>
  </si>
  <si>
    <t xml:space="preserve">Offener Bandabschnitt</t>
  </si>
  <si>
    <t xml:space="preserve">Unterer innerer Anschluss</t>
  </si>
  <si>
    <t xml:space="preserve">Rahmenbreite unten</t>
  </si>
  <si>
    <t xml:space="preserve">m</t>
  </si>
  <si>
    <t xml:space="preserve">Band am Rahmen befestigt</t>
  </si>
  <si>
    <t xml:space="preserve">07_Montagebericht_Tueren.docx</t>
  </si>
  <si>
    <t xml:space="preserve">T05</t>
  </si>
  <si>
    <t xml:space="preserve">Luft auf Bandseite</t>
  </si>
  <si>
    <t xml:space="preserve">Ungefähr, Tür unverändert</t>
  </si>
  <si>
    <t xml:space="preserve">Luft auf Gegenseite</t>
  </si>
  <si>
    <t xml:space="preserve">Ablesung kleiner als Wert</t>
  </si>
  <si>
    <t xml:space="preserve">Öffnungen mit Streifen</t>
  </si>
  <si>
    <t xml:space="preserve">Versuche</t>
  </si>
  <si>
    <t xml:space="preserve">Bei fünf Öffnungen</t>
  </si>
  <si>
    <t xml:space="preserve">Öffnungen insgesamt</t>
  </si>
  <si>
    <t xml:space="preserve">Trockener, freier Boden</t>
  </si>
  <si>
    <t xml:space="preserve">Ablauf 0.06</t>
  </si>
  <si>
    <t xml:space="preserve">Ausgegossenes Wasser</t>
  </si>
  <si>
    <t xml:space="preserve">l</t>
  </si>
  <si>
    <t xml:space="preserve">Messbecher Heike Lenz</t>
  </si>
  <si>
    <t xml:space="preserve">03_Randnotizen_Lenz.txt</t>
  </si>
  <si>
    <t xml:space="preserve">Stehendes Wasser</t>
  </si>
  <si>
    <t xml:space="preserve">Maximale Tiefe ungefähr</t>
  </si>
  <si>
    <t xml:space="preserve">Zeit seit Ausgießen</t>
  </si>
  <si>
    <t xml:space="preserve">min</t>
  </si>
  <si>
    <t xml:space="preserve">09:30 bis 09:38, kein Nachgießen</t>
  </si>
  <si>
    <t xml:space="preserve">L14</t>
  </si>
  <si>
    <t xml:space="preserve">Ausbleibende Zündung</t>
  </si>
  <si>
    <t xml:space="preserve">Vor erfolgreichem dritten Versuch</t>
  </si>
  <si>
    <t xml:space="preserve">Bedienungen insgesamt</t>
  </si>
  <si>
    <t xml:space="preserve">Benachbarte L13 jedes Mal an</t>
  </si>
  <si>
    <t xml:space="preserve">R0</t>
  </si>
  <si>
    <t xml:space="preserve">Relative Oberflächenhöhe</t>
  </si>
  <si>
    <t xml:space="preserve">Rostoberkante Mitte</t>
  </si>
  <si>
    <t xml:space="preserve">16_Oberflaechenablesungen.csv</t>
  </si>
  <si>
    <t xml:space="preserve">W1</t>
  </si>
  <si>
    <t xml:space="preserve">60 mm westlich von R0</t>
  </si>
  <si>
    <t xml:space="preserve">W2</t>
  </si>
  <si>
    <t xml:space="preserve">120 mm westlich von R0</t>
  </si>
  <si>
    <t xml:space="preserve">W3</t>
  </si>
  <si>
    <t xml:space="preserve">240 mm westlich von R0</t>
  </si>
  <si>
    <t xml:space="preserve">N1</t>
  </si>
  <si>
    <t xml:space="preserve">240 mm nördlich von R0</t>
  </si>
  <si>
    <t xml:space="preserve">O1</t>
  </si>
  <si>
    <t xml:space="preserve">240 mm östlich von R0</t>
  </si>
  <si>
    <t xml:space="preserve">S1</t>
  </si>
  <si>
    <t xml:space="preserve">240 mm südlich von R0</t>
  </si>
  <si>
    <t xml:space="preserve">WT2</t>
  </si>
  <si>
    <t xml:space="preserve">Dauer der Trockenbeobachtung</t>
  </si>
  <si>
    <t xml:space="preserve">Mehrere Bedienungen bis 09:13</t>
  </si>
  <si>
    <t xml:space="preserve">15_Servicebericht_WT2.pdf</t>
  </si>
  <si>
    <t xml:space="preserve">Erfolgreiche Bedienungen</t>
  </si>
  <si>
    <t xml:space="preserve">Nach Gerätetausch bis 13:55</t>
  </si>
  <si>
    <t xml:space="preserve">18_Serviceblatt_L14.docx</t>
  </si>
  <si>
    <t xml:space="preserve">2 Materialbewegungen Kieselgarten</t>
  </si>
  <si>
    <t xml:space="preserve">Ausgabe positiv, Rückgabe negativ. Getrennte Artikel und Einheiten; keine Verbrauchs- oder Kostenbilanz.</t>
  </si>
  <si>
    <t xml:space="preserve">Vorgang</t>
  </si>
  <si>
    <t xml:space="preserve">Artikel</t>
  </si>
  <si>
    <t xml:space="preserve">Gebinde / Stück</t>
  </si>
  <si>
    <t xml:space="preserve">Inhalt je Einheit</t>
  </si>
  <si>
    <t xml:space="preserve">Bewegte Menge</t>
  </si>
  <si>
    <t xml:space="preserve">Ausgabe an Leon Witte</t>
  </si>
  <si>
    <t xml:space="preserve">Anschlussband IB-2607-18</t>
  </si>
  <si>
    <t xml:space="preserve">17_Materialbeleg_Fenstertreu.pdf</t>
  </si>
  <si>
    <t xml:space="preserve">Vorbehandlung UV-2606-09</t>
  </si>
  <si>
    <t xml:space="preserve">Ausgabe als Leihgerät</t>
  </si>
  <si>
    <t xml:space="preserve">Andruckrolle AR-17</t>
  </si>
  <si>
    <t xml:space="preserve">Stück</t>
  </si>
  <si>
    <t xml:space="preserve">Ausgabe für Transport</t>
  </si>
  <si>
    <t xml:space="preserve">Abdeckband, 50-m-Rollen</t>
  </si>
  <si>
    <t xml:space="preserve">Rückgabe durch Tessa Ahrens</t>
  </si>
  <si>
    <t xml:space="preserve">Rückgabe an Falzgrund</t>
  </si>
  <si>
    <t xml:space="preserve">Einbau durch Enno Tietz</t>
  </si>
  <si>
    <t xml:space="preserve">Neue Flachdichtung WT2</t>
  </si>
  <si>
    <t xml:space="preserve">Zur Verwahrung im Betrieb</t>
  </si>
  <si>
    <t xml:space="preserve">Ausgebaute Flachdichtung WT2</t>
  </si>
  <si>
    <t xml:space="preserve">Einbau aus Servicebestand</t>
  </si>
  <si>
    <t xml:space="preserve">Schaltgerät für L14</t>
  </si>
  <si>
    <t xml:space="preserve">Zur Untersuchung verwahrt</t>
  </si>
  <si>
    <t xml:space="preserve">Altgerät EF-C26145</t>
  </si>
  <si>
    <t xml:space="preserve">Beschriftung angebracht</t>
  </si>
  <si>
    <t xml:space="preserve">Etikett S07</t>
  </si>
  <si>
    <t xml:space="preserve">Etikett S08</t>
  </si>
  <si>
    <t xml:space="preserve">3 Anwesenheiten und Zugangstermine</t>
  </si>
  <si>
    <t xml:space="preserve">Dauern nur für belegte Anwesenheiten. Geplante, vorgeschlagene und abgesagte Termine bleiben ohne Minutenbuchung.</t>
  </si>
  <si>
    <t xml:space="preserve">Erfasste Minuten</t>
  </si>
  <si>
    <t xml:space="preserve">Person / Firma</t>
  </si>
  <si>
    <t xml:space="preserve">Anlass</t>
  </si>
  <si>
    <t xml:space="preserve">Von</t>
  </si>
  <si>
    <t xml:space="preserve">Bis</t>
  </si>
  <si>
    <t xml:space="preserve">Stand</t>
  </si>
  <si>
    <t xml:space="preserve">Tessa Ahrens</t>
  </si>
  <si>
    <t xml:space="preserve">Montage Bauelemente</t>
  </si>
  <si>
    <t xml:space="preserve">Anwesenheit</t>
  </si>
  <si>
    <t xml:space="preserve">Leon Witte</t>
  </si>
  <si>
    <t xml:space="preserve">Heike Lenz</t>
  </si>
  <si>
    <t xml:space="preserve">Elektroabnahme</t>
  </si>
  <si>
    <t xml:space="preserve">06_Abnahme_Elektro.pdf</t>
  </si>
  <si>
    <t xml:space="preserve">Nils Bödeker</t>
  </si>
  <si>
    <t xml:space="preserve">Maren Döring</t>
  </si>
  <si>
    <t xml:space="preserve">Milan Otte</t>
  </si>
  <si>
    <t xml:space="preserve">Anstrich und Sockelfugen</t>
  </si>
  <si>
    <t xml:space="preserve">13_Tagesbericht_Ausbau.pdf</t>
  </si>
  <si>
    <t xml:space="preserve">Sarah Köster</t>
  </si>
  <si>
    <t xml:space="preserve">Jonas Falk</t>
  </si>
  <si>
    <t xml:space="preserve">Abstimmung im Erdgeschoss</t>
  </si>
  <si>
    <t xml:space="preserve">Rundgang</t>
  </si>
  <si>
    <t xml:space="preserve">Teilnahme am Rundgang</t>
  </si>
  <si>
    <t xml:space="preserve">Zugang und Bestätigung WT2</t>
  </si>
  <si>
    <t xml:space="preserve">Zwei Kontaktzeitpunkte</t>
  </si>
  <si>
    <t xml:space="preserve">Alina Voß</t>
  </si>
  <si>
    <t xml:space="preserve">Service WT2 und Ablauf</t>
  </si>
  <si>
    <t xml:space="preserve">Enno Tietz</t>
  </si>
  <si>
    <t xml:space="preserve">Oberflächenaufnahme</t>
  </si>
  <si>
    <t xml:space="preserve">Messzeitraum</t>
  </si>
  <si>
    <t xml:space="preserve">Service Flurbeleuchtung</t>
  </si>
  <si>
    <t xml:space="preserve">Begleitung Elektroservice</t>
  </si>
  <si>
    <t xml:space="preserve">Leineputz</t>
  </si>
  <si>
    <t xml:space="preserve">Fensteranschluss</t>
  </si>
  <si>
    <t xml:space="preserve">Nicht gemeinsam bestätigt</t>
  </si>
  <si>
    <t xml:space="preserve">12_Zugangskalender.txt</t>
  </si>
  <si>
    <t xml:space="preserve">Gemeinsame Besichtigung</t>
  </si>
  <si>
    <t xml:space="preserve">Vorgeschlagen</t>
  </si>
  <si>
    <t xml:space="preserve">19_Voss_Einsatzunterlagen.eml</t>
  </si>
  <si>
    <t xml:space="preserve">Reinigung</t>
  </si>
  <si>
    <t xml:space="preserve">Reinigungsfenster</t>
  </si>
  <si>
    <t xml:space="preserve">Geplant</t>
  </si>
  <si>
    <t xml:space="preserve">Firmenbesichtigung Ausbau</t>
  </si>
  <si>
    <t xml:space="preserve">Eingeladen, Ausgang offen</t>
  </si>
  <si>
    <t xml:space="preserve">Fenstertreu</t>
  </si>
  <si>
    <t xml:space="preserve">Firmenbesichtigung Bauelemente</t>
  </si>
  <si>
    <t xml:space="preserve">Quellwerk</t>
  </si>
  <si>
    <t xml:space="preserve">Firmenbesichtigung Sanitär</t>
  </si>
  <si>
    <t xml:space="preserve">Möbelanlieferung</t>
  </si>
  <si>
    <t xml:space="preserve">Seiteneingang freihalten</t>
  </si>
  <si>
    <t xml:space="preserve">Verein Kieselgarten</t>
  </si>
  <si>
    <t xml:space="preserve">Vereinsnachmittag</t>
  </si>
  <si>
    <t xml:space="preserve">Am 21.09. abgesagt</t>
  </si>
</sst>
</file>

<file path=xl/styles.xml><?xml version="1.0" encoding="utf-8"?>
<styleSheet xmlns="http://schemas.openxmlformats.org/spreadsheetml/2006/main">
  <numFmts count="5">
    <numFmt numFmtId="164" formatCode="General"/>
    <numFmt numFmtId="165" formatCode="dd\.mm\.yyyy\ "/>
    <numFmt numFmtId="166" formatCode="hh:mm\ "/>
    <numFmt numFmtId="167" formatCode="\ @"/>
    <numFmt numFmtId="168" formatCode="[$-407]#,##0.00\ ;\(#,##0.00&quot;) &quot;;&quot;– &quot;"/>
  </numFmts>
  <fonts count="11">
    <font>
      <sz val="10"/>
      <name val="Arial"/>
      <family val="2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sz val="11"/>
      <name val="Calibri"/>
      <family val="0"/>
      <charset val="1"/>
    </font>
    <font>
      <b val="true"/>
      <sz val="15"/>
      <color rgb="FF244C43"/>
      <name val="Arial"/>
      <family val="0"/>
      <charset val="1"/>
    </font>
    <font>
      <sz val="10"/>
      <color rgb="FF536269"/>
      <name val="Arial"/>
      <family val="0"/>
      <charset val="1"/>
    </font>
    <font>
      <sz val="10"/>
      <color rgb="FF202D32"/>
      <name val="Arial"/>
      <family val="0"/>
      <charset val="1"/>
    </font>
    <font>
      <b val="true"/>
      <sz val="13"/>
      <color rgb="FF244C43"/>
      <name val="Arial"/>
      <family val="0"/>
      <charset val="1"/>
    </font>
    <font>
      <b val="true"/>
      <sz val="10"/>
      <color rgb="FFFFFFFF"/>
      <name val="Arial"/>
      <family val="0"/>
      <charset val="1"/>
    </font>
    <font>
      <sz val="9"/>
      <color rgb="FF202D32"/>
      <name val="Arial"/>
      <family val="0"/>
      <charset val="1"/>
    </font>
  </fonts>
  <fills count="5">
    <fill>
      <patternFill patternType="none"/>
    </fill>
    <fill>
      <patternFill patternType="gray125"/>
    </fill>
    <fill>
      <patternFill patternType="solid">
        <fgColor rgb="FF244C43"/>
        <bgColor rgb="FF202D32"/>
      </patternFill>
    </fill>
    <fill>
      <patternFill patternType="solid">
        <fgColor rgb="FFFFFFFF"/>
        <bgColor rgb="FFF0F4F3"/>
      </patternFill>
    </fill>
    <fill>
      <patternFill patternType="solid">
        <fgColor rgb="FFF0F4F3"/>
        <bgColor rgb="FFFFFFFF"/>
      </patternFill>
    </fill>
  </fills>
  <borders count="2">
    <border diagonalUp="false" diagonalDown="false">
      <left/>
      <right/>
      <top/>
      <bottom/>
      <diagonal/>
    </border>
    <border diagonalUp="false" diagonalDown="false">
      <left/>
      <right/>
      <top/>
      <bottom style="thin">
        <color rgb="FF244C43"/>
      </bottom>
      <diagonal/>
    </border>
  </borders>
  <cellStyleXfs count="21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  <xf numFmtId="164" fontId="4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</cellStyleXfs>
  <cellXfs count="17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2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6" fillId="0" borderId="0" xfId="2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7" fillId="0" borderId="1" xfId="2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7" fillId="0" borderId="0" xfId="2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8" fillId="0" borderId="0" xfId="2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9" fillId="2" borderId="0" xfId="2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5" fontId="7" fillId="3" borderId="0" xfId="20" applyFont="true" applyBorder="true" applyAlignment="true" applyProtection="false">
      <alignment horizontal="right" vertical="center" textRotation="0" wrapText="true" indent="0" shrinkToFit="false"/>
      <protection locked="true" hidden="false"/>
    </xf>
    <xf numFmtId="166" fontId="7" fillId="3" borderId="0" xfId="20" applyFont="true" applyBorder="true" applyAlignment="true" applyProtection="false">
      <alignment horizontal="right" vertical="center" textRotation="0" wrapText="true" indent="0" shrinkToFit="false"/>
      <protection locked="true" hidden="false"/>
    </xf>
    <xf numFmtId="167" fontId="7" fillId="3" borderId="0" xfId="2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8" fontId="7" fillId="3" borderId="0" xfId="20" applyFont="true" applyBorder="true" applyAlignment="true" applyProtection="false">
      <alignment horizontal="right" vertical="center" textRotation="0" wrapText="true" indent="0" shrinkToFit="false"/>
      <protection locked="true" hidden="false"/>
    </xf>
    <xf numFmtId="165" fontId="7" fillId="4" borderId="0" xfId="20" applyFont="true" applyBorder="true" applyAlignment="true" applyProtection="false">
      <alignment horizontal="right" vertical="center" textRotation="0" wrapText="true" indent="0" shrinkToFit="false"/>
      <protection locked="true" hidden="false"/>
    </xf>
    <xf numFmtId="166" fontId="7" fillId="4" borderId="0" xfId="20" applyFont="true" applyBorder="true" applyAlignment="true" applyProtection="false">
      <alignment horizontal="right" vertical="center" textRotation="0" wrapText="true" indent="0" shrinkToFit="false"/>
      <protection locked="true" hidden="false"/>
    </xf>
    <xf numFmtId="167" fontId="7" fillId="4" borderId="0" xfId="2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8" fontId="7" fillId="4" borderId="0" xfId="20" applyFont="true" applyBorder="true" applyAlignment="true" applyProtection="false">
      <alignment horizontal="right" vertical="center" textRotation="0" wrapText="true" indent="0" shrinkToFit="false"/>
      <protection locked="true" hidden="false"/>
    </xf>
    <xf numFmtId="164" fontId="10" fillId="0" borderId="0" xfId="2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8" fontId="8" fillId="0" borderId="0" xfId="20" applyFont="true" applyBorder="true" applyAlignment="true" applyProtection="false">
      <alignment horizontal="general" vertical="center" textRotation="0" wrapText="false" indent="0" shrinkToFit="false"/>
      <protection locked="true" hidden="false"/>
    </xf>
  </cellXfs>
  <cellStyles count="7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  <cellStyle name="Normal" xfId="20"/>
  </cellStyles>
  <dxfs count="11">
    <dxf>
      <fill>
        <patternFill patternType="solid">
          <fgColor rgb="FF244C43"/>
          <bgColor rgb="FF000000"/>
        </patternFill>
      </fill>
    </dxf>
    <dxf>
      <fill>
        <patternFill patternType="solid">
          <fgColor rgb="FFF0F4F3"/>
          <bgColor rgb="FF000000"/>
        </patternFill>
      </fill>
    </dxf>
    <dxf>
      <fill>
        <patternFill patternType="solid">
          <fgColor rgb="FFFFFFFF"/>
          <bgColor rgb="FF000000"/>
        </patternFill>
      </fill>
    </dxf>
    <dxf>
      <fill>
        <patternFill patternType="solid">
          <fgColor rgb="FF202D32"/>
          <bgColor rgb="FF000000"/>
        </patternFill>
      </fill>
    </dxf>
    <dxf>
      <font>
        <color rgb="FF000000"/>
      </font>
      <border diagonalUp="false" diagonalDown="false">
        <left style="thin">
          <color theme="4" tint="0.4"/>
        </left>
        <right style="thin">
          <color theme="4" tint="0.4"/>
        </right>
        <top style="thin">
          <color theme="4" tint="0.4"/>
        </top>
        <bottom style="thin">
          <color theme="4" tint="0.4"/>
        </bottom>
        <diagonal/>
      </border>
    </dxf>
    <dxf>
      <fill>
        <patternFill>
          <bgColor theme="4" tint="0.8"/>
        </patternFill>
      </fill>
    </dxf>
    <dxf>
      <fill>
        <patternFill>
          <bgColor theme="4" tint="0.8"/>
        </patternFill>
      </fill>
    </dxf>
    <dxf>
      <font>
        <b val="1"/>
        <color rgb="FF000000"/>
      </font>
    </dxf>
    <dxf>
      <font>
        <b val="1"/>
        <color rgb="FF000000"/>
      </font>
    </dxf>
    <dxf>
      <font>
        <b val="1"/>
        <color rgb="FFFFFFFF"/>
      </font>
      <fill>
        <patternFill>
          <bgColor theme="4"/>
        </patternFill>
      </fill>
    </dxf>
    <dxf>
      <font>
        <b val="1"/>
        <color rgb="FF000000"/>
      </font>
      <border diagonalUp="false" diagonalDown="false">
        <left/>
        <right/>
        <top style="double">
          <color theme="4"/>
        </top>
        <bottom/>
        <diagonal/>
      </border>
    </dxf>
  </dxfs>
  <tableStyles count="1">
    <tableStyle count="7" name="TableStyleMedium2">
      <tableStyleElement dxfId="4" type="wholeTable"/>
      <tableStyleElement dxfId="5" type="firstColumnStripe"/>
      <tableStyleElement dxfId="6" type="firstRowStripe"/>
      <tableStyleElement dxfId="7" type="lastColumn"/>
      <tableStyleElement dxfId="8" type="firstColumn"/>
      <tableStyleElement dxfId="9" type="headerRow"/>
      <tableStyleElement dxfId="10" type="totalRow"/>
    </tableStyle>
  </table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156082"/>
      <rgbColor rgb="FFB8C4C2"/>
      <rgbColor rgb="FF808080"/>
      <rgbColor rgb="FF9999FF"/>
      <rgbColor rgb="FF993366"/>
      <rgbColor rgb="FFF0F4F3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46B1E1"/>
      <rgbColor rgb="FF99CC00"/>
      <rgbColor rgb="FFFFCC00"/>
      <rgbColor rgb="FFFF9900"/>
      <rgbColor rgb="FFFF6600"/>
      <rgbColor rgb="FF536269"/>
      <rgbColor rgb="FF969696"/>
      <rgbColor rgb="FF244C43"/>
      <rgbColor rgb="FF339966"/>
      <rgbColor rgb="FF003300"/>
      <rgbColor rgb="FF333300"/>
      <rgbColor rgb="FF993300"/>
      <rgbColor rgb="FF993366"/>
      <rgbColor rgb="FF333399"/>
      <rgbColor rgb="FF202D32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sharedStrings" Target="sharedStrings.xml"/>
</Relationships>
</file>

<file path=xl/tables/table1.xml><?xml version="1.0" encoding="utf-8"?>
<table xmlns="http://schemas.openxmlformats.org/spreadsheetml/2006/main" id="1" name="Register1_1" displayName="Register1_1" ref="A8:H30" headerRowCount="1" totalsRowCount="0" totalsRowShown="0">
  <autoFilter ref="A8:H30"/>
  <tableColumns count="8">
    <tableColumn id="1" name="Datum"/>
    <tableColumn id="2" name="Zeit"/>
    <tableColumn id="3" name="Bauteil"/>
    <tableColumn id="4" name="Merkmal"/>
    <tableColumn id="5" name="Wert"/>
    <tableColumn id="6" name="Einheit"/>
    <tableColumn id="7" name="Bezug und Aufnahme"/>
    <tableColumn id="8" name="Quelle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id="2" name="Register1_2" displayName="Register1_2" ref="A8:H20" headerRowCount="1" totalsRowCount="0" totalsRowShown="0">
  <autoFilter ref="A8:H20"/>
  <tableColumns count="8">
    <tableColumn id="1" name="Datum"/>
    <tableColumn id="2" name="Vorgang"/>
    <tableColumn id="3" name="Artikel"/>
    <tableColumn id="4" name="Gebinde / Stück"/>
    <tableColumn id="5" name="Inhalt je Einheit"/>
    <tableColumn id="6" name="Einheit"/>
    <tableColumn id="7" name="Bewegte Menge"/>
    <tableColumn id="8" name="Quelle"/>
  </tableColumns>
  <tableStyleInfo name="TableStyleMedium2" showFirstColumn="0" showLastColumn="0" showRowStripes="1" showColumnStripes="0"/>
</table>
</file>

<file path=xl/tables/table3.xml><?xml version="1.0" encoding="utf-8"?>
<table xmlns="http://schemas.openxmlformats.org/spreadsheetml/2006/main" id="3" name="Register1_3" displayName="Register1_3" ref="A8:H34" headerRowCount="1" totalsRowCount="0" totalsRowShown="0">
  <autoFilter ref="A8:H34"/>
  <tableColumns count="8">
    <tableColumn id="1" name="Datum"/>
    <tableColumn id="2" name="Person / Firma"/>
    <tableColumn id="3" name="Anlass"/>
    <tableColumn id="4" name="Von"/>
    <tableColumn id="5" name="Bis"/>
    <tableColumn id="6" name="Stand"/>
    <tableColumn id="7" name="Erfasste Minuten"/>
    <tableColumn id="8" name="Quelle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xmlns:r="http://schemas.openxmlformats.org/officeDocument/2006/relationships" name="ChatGPT">
  <a:themeElements>
    <a:clrScheme name="ChatGPT">
      <a:dk1>
        <a:srgbClr val="000000"/>
      </a:dk1>
      <a:lt1>
        <a:srgbClr val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 pitchFamily="0" charset="1"/>
        <a:ea typeface="Calibri Light" pitchFamily="0" charset="1"/>
        <a:cs typeface="Calibri Light" pitchFamily="0" charset="1"/>
      </a:majorFont>
      <a:minorFont>
        <a:latin typeface="Calibri" pitchFamily="0" charset="1"/>
        <a:ea typeface="Calibri" pitchFamily="0" charset="1"/>
        <a:cs typeface="Calibri" pitchFamily="0" charset="1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</a:schemeClr>
            </a:gs>
            <a:gs pos="50000">
              <a:schemeClr val="phClr">
                <a:tint val="73000"/>
                <a:lumMod val="105000"/>
              </a:schemeClr>
            </a:gs>
            <a:gs pos="100000">
              <a:schemeClr val="phClr">
                <a:tint val="81000"/>
                <a:lumMod val="105000"/>
              </a:schemeClr>
            </a:gs>
          </a:gsLst>
          <a:lin ang="5400000" scaled="0"/>
          <a:tileRect l="0" t="0" r="0" b="0"/>
        </a:gradFill>
        <a:gradFill>
          <a:gsLst>
            <a:gs pos="0">
              <a:schemeClr val="phClr">
                <a:tint val="94000"/>
                <a:lumMod val="102000"/>
              </a:schemeClr>
            </a:gs>
            <a:gs pos="50000">
              <a:schemeClr val="phClr">
                <a:shade val="100000"/>
                <a:lumMod val="100000"/>
              </a:schemeClr>
            </a:gs>
            <a:gs pos="100000">
              <a:schemeClr val="phClr">
                <a:shade val="78000"/>
                <a:lumMod val="99000"/>
              </a:schemeClr>
            </a:gs>
          </a:gsLst>
          <a:lin ang="5400000" scaled="0"/>
          <a:tileRect l="0" t="0" r="0" b="0"/>
        </a:gradFill>
      </a:fillStyleLst>
      <a:lnStyleLst>
        <a:ln w="12700">
          <a:prstDash val="solid"/>
        </a:ln>
        <a:ln w="19050">
          <a:prstDash val="solid"/>
        </a:ln>
        <a:ln w="25400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>
            <a:tint val="95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</a:schemeClr>
            </a:gs>
            <a:gs pos="50000">
              <a:schemeClr val="phClr">
                <a:tint val="98000"/>
                <a:shade val="90000"/>
                <a:lumMod val="103000"/>
              </a:schemeClr>
            </a:gs>
            <a:gs pos="100000">
              <a:schemeClr val="phClr">
                <a:shade val="63000"/>
              </a:schemeClr>
            </a:gs>
          </a:gsLst>
          <a:lin ang="5400000" scaled="0"/>
          <a:tileRect l="0" t="0" r="0" b="0"/>
        </a:gradFill>
      </a:bgFillStyleLst>
    </a:fmtScheme>
  </a:themeElements>
</a:theme>
</file>

<file path=xl/worksheets/_rels/sheet1.xml.rels><?xml version="1.0" encoding="UTF-8"?>
<Relationships xmlns="http://schemas.openxmlformats.org/package/2006/relationships"><Relationship Id="rId1" Type="http://schemas.openxmlformats.org/officeDocument/2006/relationships/table" Target="../tables/table1.xml"/>
</Relationships>
</file>

<file path=xl/worksheets/_rels/sheet2.xml.rels><?xml version="1.0" encoding="UTF-8"?>
<Relationships xmlns="http://schemas.openxmlformats.org/package/2006/relationships"><Relationship Id="rId1" Type="http://schemas.openxmlformats.org/officeDocument/2006/relationships/table" Target="../tables/table2.xml"/>
</Relationships>
</file>

<file path=xl/worksheets/_rels/sheet3.xml.rels><?xml version="1.0" encoding="UTF-8"?>
<Relationships xmlns="http://schemas.openxmlformats.org/package/2006/relationships"><Relationship Id="rId1" Type="http://schemas.openxmlformats.org/officeDocument/2006/relationships/table" Target="../tables/table3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244C43"/>
    <pageSetUpPr fitToPage="true"/>
  </sheetPr>
  <dimension ref="A1:H30"/>
  <sheetViews>
    <sheetView showFormulas="false" showGridLines="false" showRowColHeaders="true" showZeros="true" rightToLeft="false" tabSelected="true" showOutlineSymbols="true" defaultGridColor="true" view="normal" topLeftCell="A1" colorId="64" zoomScale="100" zoomScaleNormal="100" zoomScalePageLayoutView="100" workbookViewId="0">
      <pane xSplit="0" ySplit="8" topLeftCell="A9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12"/>
    <col collapsed="false" customWidth="true" hidden="false" outlineLevel="0" max="2" min="2" style="0" width="9"/>
    <col collapsed="false" customWidth="true" hidden="false" outlineLevel="0" max="3" min="3" style="0" width="17"/>
    <col collapsed="false" customWidth="true" hidden="false" outlineLevel="0" max="4" min="4" style="0" width="28"/>
    <col collapsed="false" customWidth="true" hidden="false" outlineLevel="0" max="5" min="5" style="0" width="11"/>
    <col collapsed="false" customWidth="true" hidden="false" outlineLevel="0" max="6" min="6" style="0" width="9"/>
    <col collapsed="false" customWidth="true" hidden="false" outlineLevel="0" max="7" min="7" style="0" width="32"/>
    <col collapsed="false" customWidth="true" hidden="false" outlineLevel="0" max="8" min="8" style="0" width="34"/>
  </cols>
  <sheetData>
    <row r="1" customFormat="false" ht="34" hidden="false" customHeight="true" outlineLevel="0" collapsed="false">
      <c r="A1" s="1" t="s">
        <v>0</v>
      </c>
      <c r="B1" s="1"/>
      <c r="C1" s="1"/>
      <c r="D1" s="1"/>
      <c r="E1" s="1"/>
      <c r="F1" s="1"/>
      <c r="G1" s="1"/>
      <c r="H1" s="1"/>
    </row>
    <row r="2" customFormat="false" ht="29" hidden="false" customHeight="true" outlineLevel="0" collapsed="false">
      <c r="A2" s="2" t="s">
        <v>1</v>
      </c>
      <c r="B2" s="2"/>
      <c r="C2" s="2"/>
      <c r="D2" s="2"/>
      <c r="E2" s="2"/>
      <c r="F2" s="2"/>
      <c r="G2" s="2"/>
      <c r="H2" s="2"/>
    </row>
    <row r="3" customFormat="false" ht="29" hidden="false" customHeight="true" outlineLevel="0" collapsed="false">
      <c r="A3" s="3" t="s">
        <v>2</v>
      </c>
      <c r="B3" s="3"/>
      <c r="C3" s="3"/>
      <c r="D3" s="3"/>
      <c r="E3" s="3"/>
      <c r="F3" s="3"/>
      <c r="G3" s="3"/>
      <c r="H3" s="3"/>
    </row>
    <row r="4" customFormat="false" ht="34" hidden="false" customHeight="true" outlineLevel="0" collapsed="false">
      <c r="A4" s="4" t="s">
        <v>3</v>
      </c>
      <c r="B4" s="4"/>
      <c r="C4" s="4"/>
      <c r="D4" s="4"/>
      <c r="E4" s="4"/>
      <c r="F4" s="4"/>
      <c r="G4" s="4"/>
      <c r="H4" s="4"/>
    </row>
    <row r="5" customFormat="false" ht="29" hidden="false" customHeight="true" outlineLevel="0" collapsed="false">
      <c r="A5" s="5" t="n">
        <v>22</v>
      </c>
      <c r="B5" s="5"/>
      <c r="C5" s="5"/>
      <c r="D5" s="5"/>
      <c r="E5" s="5"/>
      <c r="F5" s="5"/>
      <c r="G5" s="5"/>
      <c r="H5" s="5"/>
    </row>
    <row r="6" customFormat="false" ht="12" hidden="false" customHeight="true" outlineLevel="0" collapsed="false">
      <c r="A6" s="4"/>
      <c r="B6" s="4"/>
      <c r="C6" s="4"/>
      <c r="D6" s="4"/>
      <c r="E6" s="4"/>
      <c r="F6" s="4"/>
      <c r="G6" s="4"/>
      <c r="H6" s="4"/>
    </row>
    <row r="7" customFormat="false" ht="12" hidden="false" customHeight="true" outlineLevel="0" collapsed="false">
      <c r="A7" s="4"/>
      <c r="B7" s="4"/>
      <c r="C7" s="4"/>
      <c r="D7" s="4"/>
      <c r="E7" s="4"/>
      <c r="F7" s="4"/>
      <c r="G7" s="4"/>
      <c r="H7" s="4"/>
    </row>
    <row r="8" customFormat="false" ht="42" hidden="false" customHeight="true" outlineLevel="0" collapsed="false">
      <c r="A8" s="6" t="s">
        <v>4</v>
      </c>
      <c r="B8" s="6" t="s">
        <v>5</v>
      </c>
      <c r="C8" s="6" t="s">
        <v>6</v>
      </c>
      <c r="D8" s="6" t="s">
        <v>7</v>
      </c>
      <c r="E8" s="6" t="s">
        <v>8</v>
      </c>
      <c r="F8" s="6" t="s">
        <v>9</v>
      </c>
      <c r="G8" s="6" t="s">
        <v>10</v>
      </c>
      <c r="H8" s="6" t="s">
        <v>11</v>
      </c>
    </row>
    <row r="9" customFormat="false" ht="34" hidden="false" customHeight="true" outlineLevel="0" collapsed="false">
      <c r="A9" s="7" t="n">
        <v>46287</v>
      </c>
      <c r="B9" s="8" t="n">
        <v>0.384722222222222</v>
      </c>
      <c r="C9" s="9" t="s">
        <v>12</v>
      </c>
      <c r="D9" s="9" t="s">
        <v>13</v>
      </c>
      <c r="E9" s="10" t="n">
        <v>0.4</v>
      </c>
      <c r="F9" s="9" t="s">
        <v>14</v>
      </c>
      <c r="G9" s="9" t="s">
        <v>15</v>
      </c>
      <c r="H9" s="9" t="s">
        <v>16</v>
      </c>
    </row>
    <row r="10" customFormat="false" ht="34" hidden="false" customHeight="true" outlineLevel="0" collapsed="false">
      <c r="A10" s="11" t="n">
        <v>46287</v>
      </c>
      <c r="B10" s="12" t="n">
        <v>0.384722222222222</v>
      </c>
      <c r="C10" s="13" t="s">
        <v>12</v>
      </c>
      <c r="D10" s="13" t="s">
        <v>17</v>
      </c>
      <c r="E10" s="14" t="n">
        <v>64</v>
      </c>
      <c r="F10" s="13" t="s">
        <v>18</v>
      </c>
      <c r="G10" s="13" t="s">
        <v>19</v>
      </c>
      <c r="H10" s="13" t="s">
        <v>16</v>
      </c>
    </row>
    <row r="11" customFormat="false" ht="22" hidden="false" customHeight="true" outlineLevel="0" collapsed="false">
      <c r="A11" s="7" t="n">
        <v>46287</v>
      </c>
      <c r="B11" s="8" t="n">
        <v>0.390277777777778</v>
      </c>
      <c r="C11" s="9" t="s">
        <v>20</v>
      </c>
      <c r="D11" s="9" t="s">
        <v>21</v>
      </c>
      <c r="E11" s="10" t="n">
        <v>18</v>
      </c>
      <c r="F11" s="9" t="s">
        <v>18</v>
      </c>
      <c r="G11" s="9" t="s">
        <v>22</v>
      </c>
      <c r="H11" s="9" t="s">
        <v>16</v>
      </c>
    </row>
    <row r="12" customFormat="false" ht="22" hidden="false" customHeight="true" outlineLevel="0" collapsed="false">
      <c r="A12" s="11" t="n">
        <v>46251</v>
      </c>
      <c r="B12" s="12"/>
      <c r="C12" s="13" t="s">
        <v>20</v>
      </c>
      <c r="D12" s="13" t="s">
        <v>23</v>
      </c>
      <c r="E12" s="14" t="n">
        <v>1.36</v>
      </c>
      <c r="F12" s="13" t="s">
        <v>24</v>
      </c>
      <c r="G12" s="13" t="s">
        <v>25</v>
      </c>
      <c r="H12" s="13" t="s">
        <v>26</v>
      </c>
    </row>
    <row r="13" customFormat="false" ht="22" hidden="false" customHeight="true" outlineLevel="0" collapsed="false">
      <c r="A13" s="7" t="n">
        <v>46287</v>
      </c>
      <c r="B13" s="8"/>
      <c r="C13" s="9" t="s">
        <v>27</v>
      </c>
      <c r="D13" s="9" t="s">
        <v>28</v>
      </c>
      <c r="E13" s="10" t="n">
        <v>3</v>
      </c>
      <c r="F13" s="9" t="s">
        <v>14</v>
      </c>
      <c r="G13" s="9" t="s">
        <v>29</v>
      </c>
      <c r="H13" s="9" t="s">
        <v>16</v>
      </c>
    </row>
    <row r="14" customFormat="false" ht="22" hidden="false" customHeight="true" outlineLevel="0" collapsed="false">
      <c r="A14" s="11" t="n">
        <v>46287</v>
      </c>
      <c r="B14" s="12"/>
      <c r="C14" s="13" t="s">
        <v>27</v>
      </c>
      <c r="D14" s="13" t="s">
        <v>30</v>
      </c>
      <c r="E14" s="14" t="n">
        <v>1</v>
      </c>
      <c r="F14" s="13" t="s">
        <v>14</v>
      </c>
      <c r="G14" s="13" t="s">
        <v>31</v>
      </c>
      <c r="H14" s="13" t="s">
        <v>16</v>
      </c>
    </row>
    <row r="15" customFormat="false" ht="22" hidden="false" customHeight="true" outlineLevel="0" collapsed="false">
      <c r="A15" s="7" t="n">
        <v>46287</v>
      </c>
      <c r="B15" s="8"/>
      <c r="C15" s="9" t="s">
        <v>27</v>
      </c>
      <c r="D15" s="9" t="s">
        <v>32</v>
      </c>
      <c r="E15" s="10" t="n">
        <v>4</v>
      </c>
      <c r="F15" s="9" t="s">
        <v>33</v>
      </c>
      <c r="G15" s="9" t="s">
        <v>34</v>
      </c>
      <c r="H15" s="9" t="s">
        <v>16</v>
      </c>
    </row>
    <row r="16" customFormat="false" ht="22" hidden="false" customHeight="true" outlineLevel="0" collapsed="false">
      <c r="A16" s="11" t="n">
        <v>46287</v>
      </c>
      <c r="B16" s="12"/>
      <c r="C16" s="13" t="s">
        <v>27</v>
      </c>
      <c r="D16" s="13" t="s">
        <v>35</v>
      </c>
      <c r="E16" s="14" t="n">
        <v>5</v>
      </c>
      <c r="F16" s="13" t="s">
        <v>33</v>
      </c>
      <c r="G16" s="13" t="s">
        <v>36</v>
      </c>
      <c r="H16" s="13" t="s">
        <v>16</v>
      </c>
    </row>
    <row r="17" customFormat="false" ht="22" hidden="false" customHeight="true" outlineLevel="0" collapsed="false">
      <c r="A17" s="7" t="n">
        <v>46287</v>
      </c>
      <c r="B17" s="8" t="n">
        <v>0.395833333333333</v>
      </c>
      <c r="C17" s="9" t="s">
        <v>37</v>
      </c>
      <c r="D17" s="9" t="s">
        <v>38</v>
      </c>
      <c r="E17" s="10" t="n">
        <v>2</v>
      </c>
      <c r="F17" s="9" t="s">
        <v>39</v>
      </c>
      <c r="G17" s="9" t="s">
        <v>40</v>
      </c>
      <c r="H17" s="9" t="s">
        <v>41</v>
      </c>
    </row>
    <row r="18" customFormat="false" ht="22" hidden="false" customHeight="true" outlineLevel="0" collapsed="false">
      <c r="A18" s="11" t="n">
        <v>46287</v>
      </c>
      <c r="B18" s="12" t="n">
        <v>0.401388888888889</v>
      </c>
      <c r="C18" s="13" t="s">
        <v>37</v>
      </c>
      <c r="D18" s="13" t="s">
        <v>42</v>
      </c>
      <c r="E18" s="14" t="n">
        <v>4</v>
      </c>
      <c r="F18" s="13" t="s">
        <v>14</v>
      </c>
      <c r="G18" s="13" t="s">
        <v>43</v>
      </c>
      <c r="H18" s="13" t="s">
        <v>16</v>
      </c>
    </row>
    <row r="19" customFormat="false" ht="34" hidden="false" customHeight="true" outlineLevel="0" collapsed="false">
      <c r="A19" s="7" t="n">
        <v>46287</v>
      </c>
      <c r="B19" s="8" t="n">
        <v>0.401388888888889</v>
      </c>
      <c r="C19" s="9" t="s">
        <v>37</v>
      </c>
      <c r="D19" s="9" t="s">
        <v>44</v>
      </c>
      <c r="E19" s="10" t="n">
        <v>8</v>
      </c>
      <c r="F19" s="9" t="s">
        <v>45</v>
      </c>
      <c r="G19" s="9" t="s">
        <v>46</v>
      </c>
      <c r="H19" s="9" t="s">
        <v>41</v>
      </c>
    </row>
    <row r="20" customFormat="false" ht="34" hidden="false" customHeight="true" outlineLevel="0" collapsed="false">
      <c r="A20" s="11" t="n">
        <v>46287</v>
      </c>
      <c r="B20" s="12" t="n">
        <v>0.409722222222222</v>
      </c>
      <c r="C20" s="13" t="s">
        <v>47</v>
      </c>
      <c r="D20" s="13" t="s">
        <v>48</v>
      </c>
      <c r="E20" s="14" t="n">
        <v>2</v>
      </c>
      <c r="F20" s="13" t="s">
        <v>33</v>
      </c>
      <c r="G20" s="13" t="s">
        <v>49</v>
      </c>
      <c r="H20" s="13" t="s">
        <v>41</v>
      </c>
    </row>
    <row r="21" customFormat="false" ht="22" hidden="false" customHeight="true" outlineLevel="0" collapsed="false">
      <c r="A21" s="7" t="n">
        <v>46287</v>
      </c>
      <c r="B21" s="8" t="n">
        <v>0.409722222222222</v>
      </c>
      <c r="C21" s="9" t="s">
        <v>47</v>
      </c>
      <c r="D21" s="9" t="s">
        <v>50</v>
      </c>
      <c r="E21" s="10" t="n">
        <v>3</v>
      </c>
      <c r="F21" s="9" t="s">
        <v>33</v>
      </c>
      <c r="G21" s="9" t="s">
        <v>51</v>
      </c>
      <c r="H21" s="9" t="s">
        <v>16</v>
      </c>
    </row>
    <row r="22" customFormat="false" ht="22" hidden="false" customHeight="true" outlineLevel="0" collapsed="false">
      <c r="A22" s="11" t="n">
        <v>46289</v>
      </c>
      <c r="B22" s="12" t="n">
        <v>0.40625</v>
      </c>
      <c r="C22" s="13" t="s">
        <v>52</v>
      </c>
      <c r="D22" s="13" t="s">
        <v>53</v>
      </c>
      <c r="E22" s="14" t="n">
        <v>0</v>
      </c>
      <c r="F22" s="13" t="s">
        <v>14</v>
      </c>
      <c r="G22" s="13" t="s">
        <v>54</v>
      </c>
      <c r="H22" s="13" t="s">
        <v>55</v>
      </c>
    </row>
    <row r="23" customFormat="false" ht="22" hidden="false" customHeight="true" outlineLevel="0" collapsed="false">
      <c r="A23" s="7" t="n">
        <v>46289</v>
      </c>
      <c r="B23" s="8" t="n">
        <v>0.407638888888889</v>
      </c>
      <c r="C23" s="9" t="s">
        <v>56</v>
      </c>
      <c r="D23" s="9" t="s">
        <v>53</v>
      </c>
      <c r="E23" s="10" t="n">
        <v>-3</v>
      </c>
      <c r="F23" s="9" t="s">
        <v>14</v>
      </c>
      <c r="G23" s="9" t="s">
        <v>57</v>
      </c>
      <c r="H23" s="9" t="s">
        <v>55</v>
      </c>
    </row>
    <row r="24" customFormat="false" ht="22" hidden="false" customHeight="true" outlineLevel="0" collapsed="false">
      <c r="A24" s="11" t="n">
        <v>46289</v>
      </c>
      <c r="B24" s="12" t="n">
        <v>0.409027777777778</v>
      </c>
      <c r="C24" s="13" t="s">
        <v>58</v>
      </c>
      <c r="D24" s="13" t="s">
        <v>53</v>
      </c>
      <c r="E24" s="14" t="n">
        <v>-4</v>
      </c>
      <c r="F24" s="13" t="s">
        <v>14</v>
      </c>
      <c r="G24" s="13" t="s">
        <v>59</v>
      </c>
      <c r="H24" s="13" t="s">
        <v>55</v>
      </c>
    </row>
    <row r="25" customFormat="false" ht="22" hidden="false" customHeight="true" outlineLevel="0" collapsed="false">
      <c r="A25" s="7" t="n">
        <v>46289</v>
      </c>
      <c r="B25" s="8" t="n">
        <v>0.410416666666667</v>
      </c>
      <c r="C25" s="9" t="s">
        <v>60</v>
      </c>
      <c r="D25" s="9" t="s">
        <v>53</v>
      </c>
      <c r="E25" s="10" t="n">
        <v>-2</v>
      </c>
      <c r="F25" s="9" t="s">
        <v>14</v>
      </c>
      <c r="G25" s="9" t="s">
        <v>61</v>
      </c>
      <c r="H25" s="9" t="s">
        <v>55</v>
      </c>
    </row>
    <row r="26" customFormat="false" ht="22" hidden="false" customHeight="true" outlineLevel="0" collapsed="false">
      <c r="A26" s="11" t="n">
        <v>46289</v>
      </c>
      <c r="B26" s="12" t="n">
        <v>0.411805555555556</v>
      </c>
      <c r="C26" s="13" t="s">
        <v>62</v>
      </c>
      <c r="D26" s="13" t="s">
        <v>53</v>
      </c>
      <c r="E26" s="14" t="n">
        <v>7</v>
      </c>
      <c r="F26" s="13" t="s">
        <v>14</v>
      </c>
      <c r="G26" s="13" t="s">
        <v>63</v>
      </c>
      <c r="H26" s="13" t="s">
        <v>55</v>
      </c>
    </row>
    <row r="27" customFormat="false" ht="22" hidden="false" customHeight="true" outlineLevel="0" collapsed="false">
      <c r="A27" s="7" t="n">
        <v>46289</v>
      </c>
      <c r="B27" s="8" t="n">
        <v>0.413194444444444</v>
      </c>
      <c r="C27" s="9" t="s">
        <v>64</v>
      </c>
      <c r="D27" s="9" t="s">
        <v>53</v>
      </c>
      <c r="E27" s="10" t="n">
        <v>9</v>
      </c>
      <c r="F27" s="9" t="s">
        <v>14</v>
      </c>
      <c r="G27" s="9" t="s">
        <v>65</v>
      </c>
      <c r="H27" s="9" t="s">
        <v>55</v>
      </c>
    </row>
    <row r="28" customFormat="false" ht="22" hidden="false" customHeight="true" outlineLevel="0" collapsed="false">
      <c r="A28" s="11" t="n">
        <v>46289</v>
      </c>
      <c r="B28" s="12" t="n">
        <v>0.414583333333333</v>
      </c>
      <c r="C28" s="13" t="s">
        <v>66</v>
      </c>
      <c r="D28" s="13" t="s">
        <v>53</v>
      </c>
      <c r="E28" s="14" t="n">
        <v>6</v>
      </c>
      <c r="F28" s="13" t="s">
        <v>14</v>
      </c>
      <c r="G28" s="13" t="s">
        <v>67</v>
      </c>
      <c r="H28" s="13" t="s">
        <v>55</v>
      </c>
    </row>
    <row r="29" customFormat="false" ht="34" hidden="false" customHeight="true" outlineLevel="0" collapsed="false">
      <c r="A29" s="7" t="n">
        <v>46289</v>
      </c>
      <c r="B29" s="8" t="n">
        <v>0.373611111111111</v>
      </c>
      <c r="C29" s="9" t="s">
        <v>68</v>
      </c>
      <c r="D29" s="9" t="s">
        <v>69</v>
      </c>
      <c r="E29" s="10" t="n">
        <v>15</v>
      </c>
      <c r="F29" s="9" t="s">
        <v>45</v>
      </c>
      <c r="G29" s="9" t="s">
        <v>70</v>
      </c>
      <c r="H29" s="9" t="s">
        <v>71</v>
      </c>
    </row>
    <row r="30" customFormat="false" ht="22" hidden="false" customHeight="true" outlineLevel="0" collapsed="false">
      <c r="A30" s="11" t="n">
        <v>46289</v>
      </c>
      <c r="B30" s="12" t="n">
        <v>0.570833333333333</v>
      </c>
      <c r="C30" s="13" t="s">
        <v>47</v>
      </c>
      <c r="D30" s="13" t="s">
        <v>72</v>
      </c>
      <c r="E30" s="14" t="n">
        <v>10</v>
      </c>
      <c r="F30" s="13" t="s">
        <v>33</v>
      </c>
      <c r="G30" s="13" t="s">
        <v>73</v>
      </c>
      <c r="H30" s="13" t="s">
        <v>74</v>
      </c>
    </row>
  </sheetData>
  <printOptions headings="false" gridLines="false" gridLinesSet="true" horizontalCentered="false" verticalCentered="false"/>
  <pageMargins left="0.3" right="0.3" top="0.4" bottom="0.4" header="0.511811023622047" footer="0.15"/>
  <pageSetup paperSize="8" scale="100" fitToWidth="1" fitToHeight="0" pageOrder="downThenOver" orientation="landscape" blackAndWhite="false" draft="false" cellComments="none" horizontalDpi="300" verticalDpi="300" copies="1"/>
  <headerFooter differentFirst="false" differentOddEven="false">
    <oddHeader/>
    <oddFooter>&amp;L&amp;"Calibri"&amp;11&amp;A&amp;C&amp;"Calibri"&amp;11Seite &amp;P von &amp;N&amp;R&amp;"Calibri"&amp;11 2026-09-25</oddFooter>
  </headerFooter>
  <tableParts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B8C4C2"/>
    <pageSetUpPr fitToPage="true"/>
  </sheetPr>
  <dimension ref="A1:H20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8" topLeftCell="A9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12"/>
    <col collapsed="false" customWidth="true" hidden="false" outlineLevel="0" max="2" min="2" style="0" width="25"/>
    <col collapsed="false" customWidth="true" hidden="false" outlineLevel="0" max="3" min="3" style="0" width="30"/>
    <col collapsed="false" customWidth="true" hidden="false" outlineLevel="0" max="5" min="4" style="0" width="13"/>
    <col collapsed="false" customWidth="true" hidden="false" outlineLevel="0" max="6" min="6" style="0" width="9"/>
    <col collapsed="false" customWidth="true" hidden="false" outlineLevel="0" max="7" min="7" style="0" width="15"/>
    <col collapsed="false" customWidth="true" hidden="false" outlineLevel="0" max="8" min="8" style="0" width="34"/>
  </cols>
  <sheetData>
    <row r="1" customFormat="false" ht="34" hidden="false" customHeight="true" outlineLevel="0" collapsed="false">
      <c r="A1" s="1" t="s">
        <v>75</v>
      </c>
      <c r="B1" s="1"/>
      <c r="C1" s="1"/>
      <c r="D1" s="1"/>
      <c r="E1" s="1"/>
      <c r="F1" s="1"/>
      <c r="G1" s="1"/>
      <c r="H1" s="1"/>
    </row>
    <row r="2" customFormat="false" ht="29" hidden="false" customHeight="true" outlineLevel="0" collapsed="false">
      <c r="A2" s="2" t="s">
        <v>76</v>
      </c>
      <c r="B2" s="2"/>
      <c r="C2" s="2"/>
      <c r="D2" s="2"/>
      <c r="E2" s="2"/>
      <c r="F2" s="2"/>
      <c r="G2" s="2"/>
      <c r="H2" s="2"/>
    </row>
    <row r="3" customFormat="false" ht="29" hidden="false" customHeight="true" outlineLevel="0" collapsed="false">
      <c r="A3" s="3" t="s">
        <v>2</v>
      </c>
      <c r="B3" s="3"/>
      <c r="C3" s="3"/>
      <c r="D3" s="3"/>
      <c r="E3" s="3"/>
      <c r="F3" s="3"/>
      <c r="G3" s="3"/>
      <c r="H3" s="3"/>
    </row>
    <row r="4" customFormat="false" ht="34" hidden="false" customHeight="true" outlineLevel="0" collapsed="false">
      <c r="A4" s="4" t="s">
        <v>3</v>
      </c>
      <c r="B4" s="4"/>
      <c r="C4" s="4"/>
      <c r="D4" s="4"/>
      <c r="E4" s="4"/>
      <c r="F4" s="4"/>
      <c r="G4" s="4"/>
      <c r="H4" s="4"/>
    </row>
    <row r="5" customFormat="false" ht="29" hidden="false" customHeight="true" outlineLevel="0" collapsed="false">
      <c r="A5" s="5" t="n">
        <v>12</v>
      </c>
      <c r="B5" s="5"/>
      <c r="C5" s="5"/>
      <c r="D5" s="5"/>
      <c r="E5" s="5"/>
      <c r="F5" s="5"/>
      <c r="G5" s="5"/>
      <c r="H5" s="5"/>
    </row>
    <row r="6" customFormat="false" ht="12" hidden="false" customHeight="true" outlineLevel="0" collapsed="false">
      <c r="A6" s="4"/>
      <c r="B6" s="4"/>
      <c r="C6" s="4"/>
      <c r="D6" s="4"/>
      <c r="E6" s="4"/>
      <c r="F6" s="4"/>
      <c r="G6" s="4"/>
      <c r="H6" s="4"/>
    </row>
    <row r="7" customFormat="false" ht="12" hidden="false" customHeight="true" outlineLevel="0" collapsed="false">
      <c r="A7" s="4"/>
      <c r="B7" s="4"/>
      <c r="C7" s="4"/>
      <c r="D7" s="4"/>
      <c r="E7" s="4"/>
      <c r="F7" s="4"/>
      <c r="G7" s="4"/>
      <c r="H7" s="4"/>
    </row>
    <row r="8" customFormat="false" ht="42" hidden="false" customHeight="true" outlineLevel="0" collapsed="false">
      <c r="A8" s="6" t="s">
        <v>4</v>
      </c>
      <c r="B8" s="6" t="s">
        <v>77</v>
      </c>
      <c r="C8" s="6" t="s">
        <v>78</v>
      </c>
      <c r="D8" s="6" t="s">
        <v>79</v>
      </c>
      <c r="E8" s="6" t="s">
        <v>80</v>
      </c>
      <c r="F8" s="6" t="s">
        <v>9</v>
      </c>
      <c r="G8" s="6" t="s">
        <v>81</v>
      </c>
      <c r="H8" s="6" t="s">
        <v>11</v>
      </c>
    </row>
    <row r="9" customFormat="false" ht="34" hidden="false" customHeight="true" outlineLevel="0" collapsed="false">
      <c r="A9" s="7" t="n">
        <v>46248</v>
      </c>
      <c r="B9" s="9" t="s">
        <v>82</v>
      </c>
      <c r="C9" s="9" t="s">
        <v>83</v>
      </c>
      <c r="D9" s="10" t="n">
        <v>4</v>
      </c>
      <c r="E9" s="10" t="n">
        <v>25</v>
      </c>
      <c r="F9" s="9" t="s">
        <v>24</v>
      </c>
      <c r="G9" s="10" t="n">
        <f aca="false">D9*E9</f>
        <v>100</v>
      </c>
      <c r="H9" s="9" t="s">
        <v>84</v>
      </c>
    </row>
    <row r="10" customFormat="false" ht="34" hidden="false" customHeight="true" outlineLevel="0" collapsed="false">
      <c r="A10" s="11" t="n">
        <v>46248</v>
      </c>
      <c r="B10" s="13" t="s">
        <v>82</v>
      </c>
      <c r="C10" s="13" t="s">
        <v>85</v>
      </c>
      <c r="D10" s="14" t="n">
        <v>2</v>
      </c>
      <c r="E10" s="14" t="n">
        <v>1</v>
      </c>
      <c r="F10" s="13" t="s">
        <v>39</v>
      </c>
      <c r="G10" s="14" t="n">
        <f aca="false">D10*E10</f>
        <v>2</v>
      </c>
      <c r="H10" s="13" t="s">
        <v>84</v>
      </c>
    </row>
    <row r="11" customFormat="false" ht="34" hidden="false" customHeight="true" outlineLevel="0" collapsed="false">
      <c r="A11" s="7" t="n">
        <v>46248</v>
      </c>
      <c r="B11" s="9" t="s">
        <v>86</v>
      </c>
      <c r="C11" s="9" t="s">
        <v>87</v>
      </c>
      <c r="D11" s="10" t="n">
        <v>1</v>
      </c>
      <c r="E11" s="10" t="n">
        <v>1</v>
      </c>
      <c r="F11" s="9" t="s">
        <v>88</v>
      </c>
      <c r="G11" s="10" t="n">
        <f aca="false">D11*E11</f>
        <v>1</v>
      </c>
      <c r="H11" s="9" t="s">
        <v>84</v>
      </c>
    </row>
    <row r="12" customFormat="false" ht="34" hidden="false" customHeight="true" outlineLevel="0" collapsed="false">
      <c r="A12" s="11" t="n">
        <v>46248</v>
      </c>
      <c r="B12" s="13" t="s">
        <v>89</v>
      </c>
      <c r="C12" s="13" t="s">
        <v>90</v>
      </c>
      <c r="D12" s="14" t="n">
        <v>2</v>
      </c>
      <c r="E12" s="14" t="n">
        <v>50</v>
      </c>
      <c r="F12" s="13" t="s">
        <v>24</v>
      </c>
      <c r="G12" s="14" t="n">
        <f aca="false">D12*E9</f>
        <v>50</v>
      </c>
      <c r="H12" s="13" t="s">
        <v>84</v>
      </c>
    </row>
    <row r="13" customFormat="false" ht="34" hidden="false" customHeight="true" outlineLevel="0" collapsed="false">
      <c r="A13" s="7" t="n">
        <v>46254</v>
      </c>
      <c r="B13" s="9" t="s">
        <v>91</v>
      </c>
      <c r="C13" s="9" t="s">
        <v>83</v>
      </c>
      <c r="D13" s="10" t="n">
        <v>-2</v>
      </c>
      <c r="E13" s="10" t="n">
        <v>25</v>
      </c>
      <c r="F13" s="9" t="s">
        <v>24</v>
      </c>
      <c r="G13" s="10" t="n">
        <f aca="false">D13*E13</f>
        <v>-50</v>
      </c>
      <c r="H13" s="9" t="s">
        <v>84</v>
      </c>
    </row>
    <row r="14" customFormat="false" ht="34" hidden="false" customHeight="true" outlineLevel="0" collapsed="false">
      <c r="A14" s="11" t="n">
        <v>46254</v>
      </c>
      <c r="B14" s="13" t="s">
        <v>92</v>
      </c>
      <c r="C14" s="13" t="s">
        <v>87</v>
      </c>
      <c r="D14" s="14" t="n">
        <v>-1</v>
      </c>
      <c r="E14" s="14" t="n">
        <v>1</v>
      </c>
      <c r="F14" s="13" t="s">
        <v>88</v>
      </c>
      <c r="G14" s="14" t="n">
        <f aca="false">D14*E14</f>
        <v>-1</v>
      </c>
      <c r="H14" s="13" t="s">
        <v>84</v>
      </c>
    </row>
    <row r="15" customFormat="false" ht="34" hidden="false" customHeight="true" outlineLevel="0" collapsed="false">
      <c r="A15" s="7" t="n">
        <v>46289</v>
      </c>
      <c r="B15" s="9" t="s">
        <v>93</v>
      </c>
      <c r="C15" s="9" t="s">
        <v>94</v>
      </c>
      <c r="D15" s="10" t="n">
        <v>1</v>
      </c>
      <c r="E15" s="10" t="n">
        <v>1</v>
      </c>
      <c r="F15" s="9" t="s">
        <v>88</v>
      </c>
      <c r="G15" s="10" t="n">
        <f aca="false">D15*E15</f>
        <v>1</v>
      </c>
      <c r="H15" s="9" t="s">
        <v>71</v>
      </c>
    </row>
    <row r="16" customFormat="false" ht="34" hidden="false" customHeight="true" outlineLevel="0" collapsed="false">
      <c r="A16" s="11" t="n">
        <v>46289</v>
      </c>
      <c r="B16" s="13" t="s">
        <v>95</v>
      </c>
      <c r="C16" s="13" t="s">
        <v>96</v>
      </c>
      <c r="D16" s="14" t="n">
        <v>1</v>
      </c>
      <c r="E16" s="14" t="n">
        <v>1</v>
      </c>
      <c r="F16" s="13" t="s">
        <v>88</v>
      </c>
      <c r="G16" s="14" t="n">
        <f aca="false">D16*E16</f>
        <v>1</v>
      </c>
      <c r="H16" s="13" t="s">
        <v>71</v>
      </c>
    </row>
    <row r="17" customFormat="false" ht="34" hidden="false" customHeight="true" outlineLevel="0" collapsed="false">
      <c r="A17" s="7" t="n">
        <v>46289</v>
      </c>
      <c r="B17" s="9" t="s">
        <v>97</v>
      </c>
      <c r="C17" s="9" t="s">
        <v>98</v>
      </c>
      <c r="D17" s="10" t="n">
        <v>1</v>
      </c>
      <c r="E17" s="10" t="n">
        <v>1</v>
      </c>
      <c r="F17" s="9" t="s">
        <v>88</v>
      </c>
      <c r="G17" s="10" t="n">
        <f aca="false">D17*E17</f>
        <v>1</v>
      </c>
      <c r="H17" s="9" t="s">
        <v>74</v>
      </c>
    </row>
    <row r="18" customFormat="false" ht="34" hidden="false" customHeight="true" outlineLevel="0" collapsed="false">
      <c r="A18" s="11" t="n">
        <v>46289</v>
      </c>
      <c r="B18" s="13" t="s">
        <v>99</v>
      </c>
      <c r="C18" s="13" t="s">
        <v>100</v>
      </c>
      <c r="D18" s="14" t="n">
        <v>1</v>
      </c>
      <c r="E18" s="14" t="n">
        <v>1</v>
      </c>
      <c r="F18" s="13" t="s">
        <v>88</v>
      </c>
      <c r="G18" s="14" t="n">
        <f aca="false">D18*E18</f>
        <v>1</v>
      </c>
      <c r="H18" s="13" t="s">
        <v>74</v>
      </c>
    </row>
    <row r="19" customFormat="false" ht="34" hidden="false" customHeight="true" outlineLevel="0" collapsed="false">
      <c r="A19" s="7" t="n">
        <v>46289</v>
      </c>
      <c r="B19" s="9" t="s">
        <v>101</v>
      </c>
      <c r="C19" s="9" t="s">
        <v>102</v>
      </c>
      <c r="D19" s="10" t="n">
        <v>1</v>
      </c>
      <c r="E19" s="10" t="n">
        <v>1</v>
      </c>
      <c r="F19" s="9" t="s">
        <v>88</v>
      </c>
      <c r="G19" s="10" t="n">
        <f aca="false">D19*E19</f>
        <v>1</v>
      </c>
      <c r="H19" s="9" t="s">
        <v>74</v>
      </c>
    </row>
    <row r="20" customFormat="false" ht="34" hidden="false" customHeight="true" outlineLevel="0" collapsed="false">
      <c r="A20" s="11" t="n">
        <v>46289</v>
      </c>
      <c r="B20" s="13" t="s">
        <v>101</v>
      </c>
      <c r="C20" s="13" t="s">
        <v>103</v>
      </c>
      <c r="D20" s="14" t="n">
        <v>1</v>
      </c>
      <c r="E20" s="14" t="n">
        <v>1</v>
      </c>
      <c r="F20" s="13" t="s">
        <v>88</v>
      </c>
      <c r="G20" s="14" t="n">
        <f aca="false">D20*E20</f>
        <v>1</v>
      </c>
      <c r="H20" s="13" t="s">
        <v>74</v>
      </c>
    </row>
  </sheetData>
  <printOptions headings="false" gridLines="false" gridLinesSet="true" horizontalCentered="false" verticalCentered="false"/>
  <pageMargins left="0.3" right="0.3" top="0.4" bottom="0.4" header="0.511811023622047" footer="0.15"/>
  <pageSetup paperSize="8" scale="100" fitToWidth="1" fitToHeight="0" pageOrder="downThenOver" orientation="landscape" blackAndWhite="false" draft="false" cellComments="none" horizontalDpi="300" verticalDpi="300" copies="1"/>
  <headerFooter differentFirst="false" differentOddEven="false">
    <oddHeader/>
    <oddFooter>&amp;L&amp;"Calibri"&amp;11&amp;A&amp;C&amp;"Calibri"&amp;11Seite &amp;P von &amp;N&amp;R&amp;"Calibri"&amp;11 2026-09-25</oddFooter>
  </headerFooter>
  <tableParts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B8C4C2"/>
    <pageSetUpPr fitToPage="true"/>
  </sheetPr>
  <dimension ref="A1:H34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8" topLeftCell="A9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12"/>
    <col collapsed="false" customWidth="true" hidden="false" outlineLevel="0" max="2" min="2" style="0" width="24"/>
    <col collapsed="false" customWidth="true" hidden="false" outlineLevel="0" max="3" min="3" style="0" width="25"/>
    <col collapsed="false" customWidth="true" hidden="false" outlineLevel="0" max="5" min="4" style="0" width="9"/>
    <col collapsed="false" customWidth="true" hidden="false" outlineLevel="0" max="6" min="6" style="0" width="23"/>
    <col collapsed="false" customWidth="true" hidden="false" outlineLevel="0" max="7" min="7" style="0" width="15"/>
    <col collapsed="false" customWidth="true" hidden="false" outlineLevel="0" max="8" min="8" style="0" width="34"/>
  </cols>
  <sheetData>
    <row r="1" customFormat="false" ht="34" hidden="false" customHeight="true" outlineLevel="0" collapsed="false">
      <c r="A1" s="1" t="s">
        <v>104</v>
      </c>
      <c r="B1" s="1"/>
      <c r="C1" s="1"/>
      <c r="D1" s="1"/>
      <c r="E1" s="1"/>
      <c r="F1" s="1"/>
      <c r="G1" s="1"/>
      <c r="H1" s="1"/>
    </row>
    <row r="2" customFormat="false" ht="29" hidden="false" customHeight="true" outlineLevel="0" collapsed="false">
      <c r="A2" s="2" t="s">
        <v>105</v>
      </c>
      <c r="B2" s="2"/>
      <c r="C2" s="2"/>
      <c r="D2" s="2"/>
      <c r="E2" s="2"/>
      <c r="F2" s="2"/>
      <c r="G2" s="2"/>
      <c r="H2" s="2"/>
    </row>
    <row r="3" customFormat="false" ht="29" hidden="false" customHeight="true" outlineLevel="0" collapsed="false">
      <c r="A3" s="3" t="s">
        <v>2</v>
      </c>
      <c r="B3" s="3"/>
      <c r="C3" s="3"/>
      <c r="D3" s="3"/>
      <c r="E3" s="3"/>
      <c r="F3" s="3"/>
      <c r="G3" s="3"/>
      <c r="H3" s="3"/>
    </row>
    <row r="4" customFormat="false" ht="34" hidden="false" customHeight="true" outlineLevel="0" collapsed="false">
      <c r="A4" s="4" t="s">
        <v>3</v>
      </c>
      <c r="B4" s="4"/>
      <c r="C4" s="4"/>
      <c r="D4" s="4"/>
      <c r="E4" s="4"/>
      <c r="F4" s="4"/>
      <c r="G4" s="15" t="s">
        <v>106</v>
      </c>
      <c r="H4" s="4"/>
    </row>
    <row r="5" customFormat="false" ht="29" hidden="false" customHeight="true" outlineLevel="0" collapsed="false">
      <c r="A5" s="5" t="n">
        <v>26</v>
      </c>
      <c r="B5" s="5"/>
      <c r="C5" s="5"/>
      <c r="D5" s="5"/>
      <c r="E5" s="5"/>
      <c r="F5" s="5"/>
      <c r="G5" s="16" t="n">
        <f aca="false">SUM(G9:G34)</f>
        <v>2784</v>
      </c>
      <c r="H5" s="5"/>
    </row>
    <row r="6" customFormat="false" ht="12" hidden="false" customHeight="true" outlineLevel="0" collapsed="false">
      <c r="A6" s="4"/>
      <c r="B6" s="4"/>
      <c r="C6" s="4"/>
      <c r="D6" s="4"/>
      <c r="E6" s="4"/>
      <c r="F6" s="4"/>
      <c r="G6" s="4"/>
      <c r="H6" s="4"/>
    </row>
    <row r="7" customFormat="false" ht="12" hidden="false" customHeight="true" outlineLevel="0" collapsed="false">
      <c r="A7" s="4"/>
      <c r="B7" s="4"/>
      <c r="C7" s="4"/>
      <c r="D7" s="4"/>
      <c r="E7" s="4"/>
      <c r="F7" s="4"/>
      <c r="G7" s="4"/>
      <c r="H7" s="4"/>
    </row>
    <row r="8" customFormat="false" ht="42" hidden="false" customHeight="true" outlineLevel="0" collapsed="false">
      <c r="A8" s="6" t="s">
        <v>4</v>
      </c>
      <c r="B8" s="6" t="s">
        <v>107</v>
      </c>
      <c r="C8" s="6" t="s">
        <v>108</v>
      </c>
      <c r="D8" s="6" t="s">
        <v>109</v>
      </c>
      <c r="E8" s="6" t="s">
        <v>110</v>
      </c>
      <c r="F8" s="6" t="s">
        <v>111</v>
      </c>
      <c r="G8" s="6" t="s">
        <v>106</v>
      </c>
      <c r="H8" s="6" t="s">
        <v>11</v>
      </c>
    </row>
    <row r="9" customFormat="false" ht="22" hidden="false" customHeight="true" outlineLevel="0" collapsed="false">
      <c r="A9" s="7" t="n">
        <v>46251</v>
      </c>
      <c r="B9" s="9" t="s">
        <v>112</v>
      </c>
      <c r="C9" s="9" t="s">
        <v>113</v>
      </c>
      <c r="D9" s="8" t="n">
        <v>0.302083333333333</v>
      </c>
      <c r="E9" s="8" t="n">
        <v>0.666666666666667</v>
      </c>
      <c r="F9" s="9" t="s">
        <v>114</v>
      </c>
      <c r="G9" s="10" t="n">
        <f aca="false">ROUND((E9-D9)*1440,0)</f>
        <v>525</v>
      </c>
      <c r="H9" s="9" t="s">
        <v>26</v>
      </c>
    </row>
    <row r="10" customFormat="false" ht="22" hidden="false" customHeight="true" outlineLevel="0" collapsed="false">
      <c r="A10" s="11" t="n">
        <v>46251</v>
      </c>
      <c r="B10" s="13" t="s">
        <v>115</v>
      </c>
      <c r="C10" s="13" t="s">
        <v>113</v>
      </c>
      <c r="D10" s="12" t="n">
        <v>0.302083333333333</v>
      </c>
      <c r="E10" s="12" t="n">
        <v>0.666666666666667</v>
      </c>
      <c r="F10" s="13" t="s">
        <v>114</v>
      </c>
      <c r="G10" s="14" t="n">
        <f aca="false">ROUND((E10-D10)*1440,0)</f>
        <v>525</v>
      </c>
      <c r="H10" s="13" t="s">
        <v>26</v>
      </c>
    </row>
    <row r="11" customFormat="false" ht="22" hidden="false" customHeight="true" outlineLevel="0" collapsed="false">
      <c r="A11" s="7" t="n">
        <v>46275</v>
      </c>
      <c r="B11" s="9" t="s">
        <v>116</v>
      </c>
      <c r="C11" s="9" t="s">
        <v>117</v>
      </c>
      <c r="D11" s="8" t="n">
        <v>0.583333333333333</v>
      </c>
      <c r="E11" s="8" t="n">
        <v>0.628472222222222</v>
      </c>
      <c r="F11" s="9" t="s">
        <v>114</v>
      </c>
      <c r="G11" s="10" t="n">
        <f aca="false">ROUND((E11-D11)*1440,0)</f>
        <v>65</v>
      </c>
      <c r="H11" s="9" t="s">
        <v>118</v>
      </c>
    </row>
    <row r="12" customFormat="false" ht="22" hidden="false" customHeight="true" outlineLevel="0" collapsed="false">
      <c r="A12" s="11" t="n">
        <v>46275</v>
      </c>
      <c r="B12" s="13" t="s">
        <v>119</v>
      </c>
      <c r="C12" s="13" t="s">
        <v>117</v>
      </c>
      <c r="D12" s="12" t="n">
        <v>0.583333333333333</v>
      </c>
      <c r="E12" s="12" t="n">
        <v>0.628472222222222</v>
      </c>
      <c r="F12" s="13" t="s">
        <v>114</v>
      </c>
      <c r="G12" s="14" t="n">
        <f aca="false">ROUND((E12-D12)*1440,0)</f>
        <v>65</v>
      </c>
      <c r="H12" s="13" t="s">
        <v>118</v>
      </c>
    </row>
    <row r="13" customFormat="false" ht="22" hidden="false" customHeight="true" outlineLevel="0" collapsed="false">
      <c r="A13" s="7" t="n">
        <v>46275</v>
      </c>
      <c r="B13" s="9" t="s">
        <v>120</v>
      </c>
      <c r="C13" s="9" t="s">
        <v>117</v>
      </c>
      <c r="D13" s="8" t="n">
        <v>0.583333333333333</v>
      </c>
      <c r="E13" s="8" t="n">
        <v>0.628472222222222</v>
      </c>
      <c r="F13" s="9" t="s">
        <v>114</v>
      </c>
      <c r="G13" s="10" t="n">
        <f aca="false">ROUND((E13-D13)*1440,0)</f>
        <v>65</v>
      </c>
      <c r="H13" s="9" t="s">
        <v>118</v>
      </c>
    </row>
    <row r="14" customFormat="false" ht="34" hidden="false" customHeight="true" outlineLevel="0" collapsed="false">
      <c r="A14" s="11" t="n">
        <v>46283</v>
      </c>
      <c r="B14" s="13" t="s">
        <v>121</v>
      </c>
      <c r="C14" s="13" t="s">
        <v>122</v>
      </c>
      <c r="D14" s="12" t="n">
        <v>0.291666666666667</v>
      </c>
      <c r="E14" s="12" t="n">
        <v>0.65625</v>
      </c>
      <c r="F14" s="13" t="s">
        <v>114</v>
      </c>
      <c r="G14" s="14" t="n">
        <f aca="false">ROUND((E14-D14)*1440,0)</f>
        <v>525</v>
      </c>
      <c r="H14" s="13" t="s">
        <v>123</v>
      </c>
    </row>
    <row r="15" customFormat="false" ht="34" hidden="false" customHeight="true" outlineLevel="0" collapsed="false">
      <c r="A15" s="7" t="n">
        <v>46283</v>
      </c>
      <c r="B15" s="9" t="s">
        <v>124</v>
      </c>
      <c r="C15" s="9" t="s">
        <v>122</v>
      </c>
      <c r="D15" s="8" t="n">
        <v>0.291666666666667</v>
      </c>
      <c r="E15" s="8" t="n">
        <v>0.65625</v>
      </c>
      <c r="F15" s="9" t="s">
        <v>114</v>
      </c>
      <c r="G15" s="10" t="n">
        <f aca="false">ROUND((E15-D15)*1440,0)</f>
        <v>525</v>
      </c>
      <c r="H15" s="9" t="s">
        <v>123</v>
      </c>
    </row>
    <row r="16" customFormat="false" ht="34" hidden="false" customHeight="true" outlineLevel="0" collapsed="false">
      <c r="A16" s="11" t="n">
        <v>46283</v>
      </c>
      <c r="B16" s="13" t="s">
        <v>125</v>
      </c>
      <c r="C16" s="13" t="s">
        <v>126</v>
      </c>
      <c r="D16" s="12" t="n">
        <v>0.465277777777778</v>
      </c>
      <c r="E16" s="12" t="n">
        <v>0.486111111111111</v>
      </c>
      <c r="F16" s="13" t="s">
        <v>114</v>
      </c>
      <c r="G16" s="14" t="n">
        <f aca="false">ROUND((E16-D16)*1440,0)</f>
        <v>30</v>
      </c>
      <c r="H16" s="13" t="s">
        <v>123</v>
      </c>
    </row>
    <row r="17" customFormat="false" ht="22" hidden="false" customHeight="true" outlineLevel="0" collapsed="false">
      <c r="A17" s="7" t="n">
        <v>46287</v>
      </c>
      <c r="B17" s="9" t="s">
        <v>120</v>
      </c>
      <c r="C17" s="9" t="s">
        <v>127</v>
      </c>
      <c r="D17" s="8" t="n">
        <v>0.378472222222222</v>
      </c>
      <c r="E17" s="8" t="n">
        <v>0.440972222222222</v>
      </c>
      <c r="F17" s="9" t="s">
        <v>114</v>
      </c>
      <c r="G17" s="10" t="n">
        <f aca="false">ROUND((E17-D17)*1440,0)</f>
        <v>90</v>
      </c>
      <c r="H17" s="9" t="s">
        <v>16</v>
      </c>
    </row>
    <row r="18" customFormat="false" ht="22" hidden="false" customHeight="true" outlineLevel="0" collapsed="false">
      <c r="A18" s="11" t="n">
        <v>46287</v>
      </c>
      <c r="B18" s="13" t="s">
        <v>116</v>
      </c>
      <c r="C18" s="13" t="s">
        <v>127</v>
      </c>
      <c r="D18" s="12" t="n">
        <v>0.378472222222222</v>
      </c>
      <c r="E18" s="12" t="n">
        <v>0.440972222222222</v>
      </c>
      <c r="F18" s="13" t="s">
        <v>114</v>
      </c>
      <c r="G18" s="14" t="n">
        <f aca="false">ROUND((E18-D18)*1440,0)</f>
        <v>90</v>
      </c>
      <c r="H18" s="13" t="s">
        <v>16</v>
      </c>
    </row>
    <row r="19" customFormat="false" ht="22" hidden="false" customHeight="true" outlineLevel="0" collapsed="false">
      <c r="A19" s="7" t="n">
        <v>46287</v>
      </c>
      <c r="B19" s="9" t="s">
        <v>125</v>
      </c>
      <c r="C19" s="9" t="s">
        <v>128</v>
      </c>
      <c r="D19" s="8" t="n">
        <v>0.392361111111111</v>
      </c>
      <c r="E19" s="8" t="n">
        <v>0.420138888888889</v>
      </c>
      <c r="F19" s="9" t="s">
        <v>114</v>
      </c>
      <c r="G19" s="10" t="n">
        <f aca="false">ROUND((E19-D19)*1440,0)</f>
        <v>40</v>
      </c>
      <c r="H19" s="9" t="s">
        <v>16</v>
      </c>
    </row>
    <row r="20" customFormat="false" ht="22" hidden="false" customHeight="true" outlineLevel="0" collapsed="false">
      <c r="A20" s="11" t="n">
        <v>46287</v>
      </c>
      <c r="B20" s="13" t="s">
        <v>119</v>
      </c>
      <c r="C20" s="13" t="s">
        <v>128</v>
      </c>
      <c r="D20" s="12" t="n">
        <v>0.409722222222222</v>
      </c>
      <c r="E20" s="12" t="n">
        <v>0.430555555555556</v>
      </c>
      <c r="F20" s="13" t="s">
        <v>114</v>
      </c>
      <c r="G20" s="14" t="n">
        <f aca="false">ROUND((E20-D20)*1440,0)</f>
        <v>30</v>
      </c>
      <c r="H20" s="13" t="s">
        <v>16</v>
      </c>
    </row>
    <row r="21" customFormat="false" ht="34" hidden="false" customHeight="true" outlineLevel="0" collapsed="false">
      <c r="A21" s="7" t="n">
        <v>46289</v>
      </c>
      <c r="B21" s="9" t="s">
        <v>116</v>
      </c>
      <c r="C21" s="9" t="s">
        <v>129</v>
      </c>
      <c r="D21" s="8" t="n">
        <v>0.357638888888889</v>
      </c>
      <c r="E21" s="8" t="n">
        <v>0.392361111111111</v>
      </c>
      <c r="F21" s="9" t="s">
        <v>130</v>
      </c>
      <c r="G21" s="10"/>
      <c r="H21" s="9" t="s">
        <v>71</v>
      </c>
    </row>
    <row r="22" customFormat="false" ht="22" hidden="false" customHeight="true" outlineLevel="0" collapsed="false">
      <c r="A22" s="11" t="n">
        <v>46289</v>
      </c>
      <c r="B22" s="13" t="s">
        <v>131</v>
      </c>
      <c r="C22" s="13" t="s">
        <v>132</v>
      </c>
      <c r="D22" s="12" t="n">
        <v>0.357638888888889</v>
      </c>
      <c r="E22" s="12" t="n">
        <v>0.392361111111111</v>
      </c>
      <c r="F22" s="13" t="s">
        <v>114</v>
      </c>
      <c r="G22" s="14" t="n">
        <f aca="false">ROUND((E22-D22)*1440,0)</f>
        <v>50</v>
      </c>
      <c r="H22" s="13" t="s">
        <v>71</v>
      </c>
    </row>
    <row r="23" customFormat="false" ht="22" hidden="false" customHeight="true" outlineLevel="0" collapsed="false">
      <c r="A23" s="7" t="n">
        <v>46289</v>
      </c>
      <c r="B23" s="9" t="s">
        <v>133</v>
      </c>
      <c r="C23" s="9" t="s">
        <v>132</v>
      </c>
      <c r="D23" s="8" t="n">
        <v>0.357638888888889</v>
      </c>
      <c r="E23" s="8" t="n">
        <v>0.392361111111111</v>
      </c>
      <c r="F23" s="9" t="s">
        <v>114</v>
      </c>
      <c r="G23" s="10" t="n">
        <f aca="false">ROUND((E23-D23)*1440,0)</f>
        <v>50</v>
      </c>
      <c r="H23" s="9" t="s">
        <v>71</v>
      </c>
    </row>
    <row r="24" customFormat="false" ht="22" hidden="false" customHeight="true" outlineLevel="0" collapsed="false">
      <c r="A24" s="11" t="n">
        <v>46289</v>
      </c>
      <c r="B24" s="13" t="s">
        <v>120</v>
      </c>
      <c r="C24" s="13" t="s">
        <v>134</v>
      </c>
      <c r="D24" s="12" t="n">
        <v>0.40625</v>
      </c>
      <c r="E24" s="12" t="n">
        <v>0.414583333333333</v>
      </c>
      <c r="F24" s="13" t="s">
        <v>135</v>
      </c>
      <c r="G24" s="14" t="n">
        <f aca="false">ROUND((E24-D24)*1440,0)</f>
        <v>12</v>
      </c>
      <c r="H24" s="13" t="s">
        <v>55</v>
      </c>
    </row>
    <row r="25" customFormat="false" ht="34" hidden="false" customHeight="true" outlineLevel="0" collapsed="false">
      <c r="A25" s="7" t="n">
        <v>46289</v>
      </c>
      <c r="B25" s="9" t="s">
        <v>119</v>
      </c>
      <c r="C25" s="9" t="s">
        <v>136</v>
      </c>
      <c r="D25" s="8" t="n">
        <v>0.544444444444444</v>
      </c>
      <c r="E25" s="8" t="n">
        <v>0.590277777777778</v>
      </c>
      <c r="F25" s="9" t="s">
        <v>114</v>
      </c>
      <c r="G25" s="10" t="n">
        <f aca="false">ROUND((E25-D25)*1440,0)</f>
        <v>66</v>
      </c>
      <c r="H25" s="9" t="s">
        <v>74</v>
      </c>
    </row>
    <row r="26" customFormat="false" ht="34" hidden="false" customHeight="true" outlineLevel="0" collapsed="false">
      <c r="A26" s="11" t="n">
        <v>46289</v>
      </c>
      <c r="B26" s="13" t="s">
        <v>116</v>
      </c>
      <c r="C26" s="13" t="s">
        <v>137</v>
      </c>
      <c r="D26" s="12" t="n">
        <v>0.544444444444444</v>
      </c>
      <c r="E26" s="12" t="n">
        <v>0.565972222222222</v>
      </c>
      <c r="F26" s="13" t="s">
        <v>114</v>
      </c>
      <c r="G26" s="14" t="n">
        <f aca="false">ROUND((E26-D26)*1440,0)</f>
        <v>31</v>
      </c>
      <c r="H26" s="13" t="s">
        <v>74</v>
      </c>
    </row>
    <row r="27" customFormat="false" ht="34" hidden="false" customHeight="true" outlineLevel="0" collapsed="false">
      <c r="A27" s="7" t="n">
        <v>46290</v>
      </c>
      <c r="B27" s="9" t="s">
        <v>138</v>
      </c>
      <c r="C27" s="9" t="s">
        <v>139</v>
      </c>
      <c r="D27" s="8"/>
      <c r="E27" s="8"/>
      <c r="F27" s="9" t="s">
        <v>140</v>
      </c>
      <c r="G27" s="10"/>
      <c r="H27" s="9" t="s">
        <v>141</v>
      </c>
    </row>
    <row r="28" customFormat="false" ht="34" hidden="false" customHeight="true" outlineLevel="0" collapsed="false">
      <c r="A28" s="11" t="n">
        <v>46293</v>
      </c>
      <c r="B28" s="13" t="s">
        <v>131</v>
      </c>
      <c r="C28" s="13" t="s">
        <v>142</v>
      </c>
      <c r="D28" s="12" t="n">
        <v>0.354166666666667</v>
      </c>
      <c r="E28" s="12"/>
      <c r="F28" s="13" t="s">
        <v>143</v>
      </c>
      <c r="G28" s="14"/>
      <c r="H28" s="13" t="s">
        <v>144</v>
      </c>
    </row>
    <row r="29" customFormat="false" ht="22" hidden="false" customHeight="true" outlineLevel="0" collapsed="false">
      <c r="A29" s="7" t="n">
        <v>46293</v>
      </c>
      <c r="B29" s="9" t="s">
        <v>145</v>
      </c>
      <c r="C29" s="9" t="s">
        <v>146</v>
      </c>
      <c r="D29" s="8" t="n">
        <v>0.416666666666667</v>
      </c>
      <c r="E29" s="8" t="n">
        <v>0.583333333333333</v>
      </c>
      <c r="F29" s="9" t="s">
        <v>147</v>
      </c>
      <c r="G29" s="10"/>
      <c r="H29" s="9" t="s">
        <v>141</v>
      </c>
    </row>
    <row r="30" customFormat="false" ht="34" hidden="false" customHeight="true" outlineLevel="0" collapsed="false">
      <c r="A30" s="11" t="n">
        <v>46294</v>
      </c>
      <c r="B30" s="13" t="s">
        <v>138</v>
      </c>
      <c r="C30" s="13" t="s">
        <v>148</v>
      </c>
      <c r="D30" s="12" t="n">
        <v>0.375</v>
      </c>
      <c r="E30" s="12"/>
      <c r="F30" s="13" t="s">
        <v>149</v>
      </c>
      <c r="G30" s="14"/>
      <c r="H30" s="13" t="s">
        <v>141</v>
      </c>
    </row>
    <row r="31" customFormat="false" ht="34" hidden="false" customHeight="true" outlineLevel="0" collapsed="false">
      <c r="A31" s="7" t="n">
        <v>46294</v>
      </c>
      <c r="B31" s="9" t="s">
        <v>150</v>
      </c>
      <c r="C31" s="9" t="s">
        <v>151</v>
      </c>
      <c r="D31" s="8" t="n">
        <v>0.375</v>
      </c>
      <c r="E31" s="8"/>
      <c r="F31" s="9" t="s">
        <v>149</v>
      </c>
      <c r="G31" s="10"/>
      <c r="H31" s="9" t="s">
        <v>141</v>
      </c>
    </row>
    <row r="32" customFormat="false" ht="34" hidden="false" customHeight="true" outlineLevel="0" collapsed="false">
      <c r="A32" s="11" t="n">
        <v>46294</v>
      </c>
      <c r="B32" s="13" t="s">
        <v>152</v>
      </c>
      <c r="C32" s="13" t="s">
        <v>153</v>
      </c>
      <c r="D32" s="12" t="n">
        <v>0.375</v>
      </c>
      <c r="E32" s="12"/>
      <c r="F32" s="13" t="s">
        <v>149</v>
      </c>
      <c r="G32" s="14"/>
      <c r="H32" s="13" t="s">
        <v>141</v>
      </c>
    </row>
    <row r="33" customFormat="false" ht="34" hidden="false" customHeight="true" outlineLevel="0" collapsed="false">
      <c r="A33" s="7" t="n">
        <v>46295</v>
      </c>
      <c r="B33" s="9" t="s">
        <v>154</v>
      </c>
      <c r="C33" s="9" t="s">
        <v>155</v>
      </c>
      <c r="D33" s="8" t="n">
        <v>0.333333333333333</v>
      </c>
      <c r="E33" s="8" t="n">
        <v>0.458333333333333</v>
      </c>
      <c r="F33" s="9" t="s">
        <v>147</v>
      </c>
      <c r="G33" s="10"/>
      <c r="H33" s="9" t="s">
        <v>141</v>
      </c>
    </row>
    <row r="34" customFormat="false" ht="22" hidden="false" customHeight="true" outlineLevel="0" collapsed="false">
      <c r="A34" s="11" t="n">
        <v>46298</v>
      </c>
      <c r="B34" s="13" t="s">
        <v>156</v>
      </c>
      <c r="C34" s="13" t="s">
        <v>157</v>
      </c>
      <c r="D34" s="12"/>
      <c r="E34" s="12"/>
      <c r="F34" s="13" t="s">
        <v>158</v>
      </c>
      <c r="G34" s="14"/>
      <c r="H34" s="13" t="s">
        <v>141</v>
      </c>
    </row>
  </sheetData>
  <printOptions headings="false" gridLines="false" gridLinesSet="true" horizontalCentered="false" verticalCentered="false"/>
  <pageMargins left="0.3" right="0.3" top="0.4" bottom="0.4" header="0.511811023622047" footer="0.15"/>
  <pageSetup paperSize="8" scale="100" fitToWidth="1" fitToHeight="0" pageOrder="downThenOver" orientation="landscape" blackAndWhite="false" draft="false" cellComments="none" horizontalDpi="300" verticalDpi="300" copies="1"/>
  <headerFooter differentFirst="false" differentOddEven="false">
    <oddHeader/>
    <oddFooter>&amp;L&amp;"Calibri"&amp;11&amp;A&amp;C&amp;"Calibri"&amp;11Seite &amp;P von &amp;N&amp;R&amp;"Calibri"&amp;11 2026-09-25</oddFooter>
  </headerFooter>
  <tableParts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LibreOfficeDev/26.8.0.0.alpha0$MacOSX_AARCH64 LibreOffice_project/2c87e51eeaa2b413ff4ae097b2705eea1995d8e5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dc:description/>
  <dc:language>en-US</dc:language>
  <cp:lastModifiedBy/>
  <cp:revision>0</cp:revision>
  <dc:subject/>
  <dc:title/>
</cp:coreProperties>
</file>