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c2d726bf34b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eitlinie" sheetId="1" r:id="R1f2fe74692294f1e"/>
    <x:sheet xmlns:r="http://schemas.openxmlformats.org/officeDocument/2006/relationships" name="Zaehlungen" sheetId="2" r:id="R3720be48dc8f4a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hh:mm"/>
    <x:numFmt numFmtId="201" formatCode="0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d3baf180b48ee" /><Relationship Type="http://schemas.openxmlformats.org/officeDocument/2006/relationships/theme" Target="/xl/theme/theme1.xml" Id="R271b6284696d47fd" /><Relationship Type="http://schemas.openxmlformats.org/officeDocument/2006/relationships/sharedStrings" Target="/xl/sharedStrings.xml" Id="R2d165be6d5814d58" /><Relationship Type="http://schemas.openxmlformats.org/officeDocument/2006/relationships/worksheet" Target="/xl/worksheets/sheet1.xml" Id="R1f2fe74692294f1e" /><Relationship Type="http://schemas.openxmlformats.org/officeDocument/2006/relationships/worksheet" Target="/xl/worksheets/sheet2.xml" Id="R3720be48dc8f4a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2" hidden="0" customWidth="1"/>
    <x:col min="4" max="4" width="50" hidden="0" customWidth="1"/>
  </x:cols>
  <x:sheetData>
    <x:row r="1" ht="38" customHeight="1">
      <x:c r="A1" s="6" t="str">
        <x:v>Vorgang</x:v>
      </x:c>
      <x:c r="B1" s="6" t="str">
        <x:v>Uhrzeit</x:v>
      </x:c>
      <x:c r="C1" s="6" t="str">
        <x:v>Minuten seit Anlass</x:v>
      </x:c>
      <x:c r="D1" s="6" t="str">
        <x:v>Quelle</x:v>
      </x:c>
    </x:row>
    <x:row r="2" ht="24" customHeight="1">
      <x:c r="A2" s="3" t="str">
        <x:v>Schließungsnachricht</x:v>
      </x:c>
      <x:c r="B2" s="9" t="n">
        <x:f>TIME(11,40,0)</x:f>
        <x:v>0.4861111111111111</x:v>
      </x:c>
      <x:c r="C2" s="10" t="n">
        <x:v>0</x:v>
      </x:c>
      <x:c r="D2" s="3" t="str">
        <x:v>Webhinweis Bibliothek</x:v>
      </x:c>
    </x:row>
    <x:row r="3" ht="24" customHeight="1">
      <x:c r="A3" s="3" t="str">
        <x:v>Erste Einladung</x:v>
      </x:c>
      <x:c r="B3" s="9" t="n">
        <x:v>0.5104166666666666</x:v>
      </x:c>
      <x:c r="C3" s="10" t="n">
        <x:f>ROUND((B3-$B$2)*1440,0)</x:f>
        <x:v>35</x:v>
      </x:c>
      <x:c r="D3" s="3" t="str">
        <x:v>Gesendete Nachricht</x:v>
      </x:c>
    </x:row>
    <x:row r="4" ht="24" customHeight="1">
      <x:c r="A4" s="3" t="str">
        <x:v>E-Mail an Polizei</x:v>
      </x:c>
      <x:c r="B4" s="9" t="n">
        <x:f>TIME(12,19,0)</x:f>
        <x:v>0.5131944444444444</x:v>
      </x:c>
      <x:c r="C4" s="10" t="n">
        <x:f>ROUND((B4-$B$2)*1440,0)</x:f>
        <x:v>39</x:v>
      </x:c>
      <x:c r="D4" s="3" t="str">
        <x:v>Mailkopf</x:v>
      </x:c>
    </x:row>
    <x:row r="5" ht="24" customHeight="1">
      <x:c r="A5" s="3" t="str">
        <x:v>Telefonende</x:v>
      </x:c>
      <x:c r="B5" s="9" t="n">
        <x:f>TIME(12,39,0)</x:f>
        <x:v>0.5270833333333333</x:v>
      </x:c>
      <x:c r="C5" s="10" t="n">
        <x:f>ROUND((B5-$B$2)*1440,0)</x:f>
        <x:v>59</x:v>
      </x:c>
      <x:c r="D5" s="3" t="str">
        <x:v>Malous Notiz</x:v>
      </x:c>
    </x:row>
    <x:row r="6" ht="24" customHeight="1">
      <x:c r="A6" s="3" t="str">
        <x:v>Beginn</x:v>
      </x:c>
      <x:c r="B6" s="9" t="n">
        <x:f>TIME(17,0,0)</x:f>
        <x:v>0.7083333333333334</x:v>
      </x:c>
      <x:c r="C6" s="10" t="n">
        <x:f>ROUND((B6-$B$2)*1440,0)</x:f>
        <x:v>320</x:v>
      </x:c>
      <x:c r="D6" s="3" t="str">
        <x:v>Ablaufplan</x:v>
      </x:c>
    </x:row>
  </x:sheetData>
  <x:pageMargins left="0.4" right="0.4" top="0.4" bottom="0.4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16" hidden="0" customWidth="1"/>
    <x:col min="5" max="5" width="55" hidden="0" customWidth="1"/>
  </x:cols>
  <x:sheetData>
    <x:row r="1" ht="36" customHeight="1">
      <x:c r="A1" s="6" t="str">
        <x:v>Zeitpunkt</x:v>
      </x:c>
      <x:c r="B1" s="6" t="str">
        <x:v>Erwachsene</x:v>
      </x:c>
      <x:c r="C1" s="6" t="str">
        <x:v>Kinder</x:v>
      </x:c>
      <x:c r="D1" s="6" t="str">
        <x:v>Gesamt</x:v>
      </x:c>
      <x:c r="E1" s="6" t="str">
        <x:v>Grundlage</x:v>
      </x:c>
    </x:row>
    <x:row r="2" ht="24" customHeight="1">
      <x:c r="A2" s="3" t="str">
        <x:v>16:50 Uhr</x:v>
      </x:c>
      <x:c r="B2" s="10" t="n">
        <x:v>9</x:v>
      </x:c>
      <x:c r="C2" s="10" t="n">
        <x:v>3</x:v>
      </x:c>
      <x:c r="D2" s="10" t="n">
        <x:f>B2+C2</x:f>
        <x:v>12</x:v>
      </x:c>
      <x:c r="E2" s="3" t="str">
        <x:v>Malou: grob gezählt</x:v>
      </x:c>
    </x:row>
    <x:row r="3" ht="24" customHeight="1">
      <x:c r="A3" s="3" t="str">
        <x:v>17:10 Uhr</x:v>
      </x:c>
      <x:c r="B3" s="10" t="n">
        <x:v>29</x:v>
      </x:c>
      <x:c r="C3" s="10" t="n">
        <x:v>8</x:v>
      </x:c>
      <x:c r="D3" s="10" t="n">
        <x:f>B3+C3</x:f>
        <x:v>37</x:v>
      </x:c>
      <x:c r="E3" s="3" t="str">
        <x:v>Malou: einmal durchgezählt</x:v>
      </x:c>
    </x:row>
    <x:row r="4" ht="24" customHeight="1">
      <x:c r="A4" s="3" t="str">
        <x:v>17:40 Uhr</x:v>
      </x:c>
      <x:c r="B4" s="10" t="n">
        <x:v>25</x:v>
      </x:c>
      <x:c r="C4" s="10" t="n">
        <x:v>6</x:v>
      </x:c>
      <x:c r="D4" s="10" t="n">
        <x:f>B4+C4</x:f>
        <x:v>31</x:v>
      </x:c>
      <x:c r="E4" s="3" t="str">
        <x:v>Friedolin: unsichere Schätzung</x:v>
      </x:c>
    </x:row>
  </x:sheetData>
  <x:pageMargins left="0.4" right="0.4" top="0.4" bottom="0.4" header="0.15" footer="0.15"/>
  <x:pageSetup paperSize="9" orientation="landscape" fitToWidth="1" fitToHeight="0"/>
</x:worksheet>
</file>