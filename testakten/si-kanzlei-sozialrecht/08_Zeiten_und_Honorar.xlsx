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Zeiten und Honorar" sheetId="1" state="visible" ns1:id="rId3"/>
  </ns0:sheets>
  <ns0:definedNames>
    <ns0:definedName name="_xlnm.Print_Area" localSheetId="0">'Zeiten und Honorar'!$A$1:$H$24</ns0:definedName>
    <ns0:definedName name="_xlnm.Print_Titles" localSheetId="0">'Zeiten und Honorar'!$10:$10</ns0:definedName>
  </ns0:definedNames>
  <ns0:calcPr iterateCount="100" refMode="A1" iterate="false" iterateDelta="0.0001" calcMode="auto" fullCalcOnLoad="1" forceFullCalc="1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<sst xmlns="http://schemas.openxmlformats.org/spreadsheetml/2006/main" count="47" uniqueCount="35">
  <si>
    <t xml:space="preserve">SI-2026-015 – Sozialrecht</t>
  </si>
  <si>
    <t xml:space="preserve">Die Musikstunden mit Stundenplan</t>
  </si>
  <si>
    <t xml:space="preserve">Tamila Vogt</t>
  </si>
  <si>
    <t xml:space="preserve">Honorarart</t>
  </si>
  <si>
    <t xml:space="preserve">Zeithonorar mit Deckel</t>
  </si>
  <si>
    <t xml:space="preserve">Satz EUR/h</t>
  </si>
  <si>
    <t xml:space="preserve">Deckel netto</t>
  </si>
  <si>
    <t xml:space="preserve">Vereinbart</t>
  </si>
  <si>
    <t xml:space="preserve">Ja</t>
  </si>
  <si>
    <t xml:space="preserve">RVG geprüft, netto</t>
  </si>
  <si>
    <t xml:space="preserve">Grundlage: 02 Honorarabstimmung und 10 Mandatsvermerk. Gelbe Felder sind bearbeitbare Eingaben.</t>
  </si>
  <si>
    <t xml:space="preserve">Datum</t>
  </si>
  <si>
    <t xml:space="preserve">Person</t>
  </si>
  <si>
    <t xml:space="preserve">Abrechnungstext / Tätigkeit</t>
  </si>
  <si>
    <t xml:space="preserve">Minuten</t>
  </si>
  <si>
    <t xml:space="preserve">Abrechenbar</t>
  </si>
  <si>
    <t xml:space="preserve">Bestätigt</t>
  </si>
  <si>
    <t xml:space="preserve">Zeitwert netto</t>
  </si>
  <si>
    <t xml:space="preserve">Quelle</t>
  </si>
  <si>
    <t xml:space="preserve">Dr. Frieda Blum</t>
  </si>
  <si>
    <t xml:space="preserve">Mandatsunterlagen sichten und konkrete Rückfragen zu Die Musikstunden mit Stundenplan formulieren</t>
  </si>
  <si>
    <t xml:space="preserve">04_Zeitnotiz.eml</t>
  </si>
  <si>
    <t xml:space="preserve">Stellungnahme im Statusfeststellungsverfahren auf Grundlage der drei Belege vorbereiten</t>
  </si>
  <si>
    <t xml:space="preserve">Telefonische Klärung mit der Mandantschaft; Dauer und endgültiger Rechnungstext fehlen</t>
  </si>
  <si>
    <t xml:space="preserve">Nein</t>
  </si>
  <si>
    <t xml:space="preserve">Jona Rapp</t>
  </si>
  <si>
    <t xml:space="preserve">Dokumentenbenennung und Ablage; Einordnung als abrechenbare Leistung noch offen</t>
  </si>
  <si>
    <t xml:space="preserve">Bestätigte abrechenbare Minuten</t>
  </si>
  <si>
    <t xml:space="preserve">Berechenbarer Zeitwert netto</t>
  </si>
  <si>
    <t xml:space="preserve">Vorläufiges Honorar netto</t>
  </si>
  <si>
    <t xml:space="preserve">Offene Zeitzeilen</t>
  </si>
  <si>
    <t xml:space="preserve">Nächster Schritt</t>
  </si>
  <si>
    <t xml:space="preserve">Der Deckel begrenzt das Nettohonorar für diesen Auftrag. Auslagen und Umsatzsteuer sind nicht enthalten.</t>
  </si>
  <si>
    <t xml:space="preserve">Offene Zeilen bleiben offen. Der bekannte Teilbetrag ist keine freigegebene oder fällige Rechnung.</t>
  </si>
  <si>
    <t xml:space="preserve">Ergänzen: vorhandene Zeile berichtigen. Für zusätzliche Zeilen Tabelle und Summenbereiche gemeinsam erweitern.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</si>
</sst>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7]#,##0.00"/>
    <numFmt numFmtId="166" formatCode="dd\.mm\.yyyy"/>
    <numFmt numFmtId="167" formatCode="0"/>
  </numFmts>
  <fonts count="10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5"/>
      <color rgb="FF111111"/>
      <name val="Times New Roman"/>
      <family val="0"/>
      <charset val="1"/>
    </font>
    <font>
      <sz val="11"/>
      <color rgb="FF111111"/>
      <name val="Times New Roman"/>
      <family val="0"/>
      <charset val="1"/>
    </font>
    <font>
      <sz val="11"/>
      <color rgb="FF154A9C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  <font>
      <i val="true"/>
      <sz val="11"/>
      <color rgb="FF404040"/>
      <name val="Times New Roman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BE2DD"/>
      </patternFill>
    </fill>
    <fill>
      <patternFill patternType="solid">
        <fgColor rgb="FF37465A"/>
        <bgColor rgb="FF404040"/>
      </patternFill>
    </fill>
    <fill>
      <patternFill patternType="solid">
        <fgColor rgb="FFE9EDF4"/>
        <bgColor rgb="FFFBE2DD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708090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">
    <dxf>
      <font>
        <color rgb="FF9E1C10"/>
      </font>
      <fill>
        <patternFill>
          <bgColor rgb="FFFBE2DD"/>
        </patternFill>
      </fill>
    </dxf>
    <dxf>
      <font>
        <color rgb="FF9E1C10"/>
      </font>
      <fill>
        <patternFill>
          <bgColor rgb="FFFBE2D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08090"/>
      <rgbColor rgb="FF9999FF"/>
      <rgbColor rgb="FF993366"/>
      <rgbColor rgb="FFFFF2CC"/>
      <rgbColor rgb="FFE9ED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2D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7465A"/>
      <rgbColor rgb="FF9E1C10"/>
      <rgbColor rgb="FF993366"/>
      <rgbColor rgb="FF154A9C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 filterMode="false">
    <ns0:pageSetUpPr fitToPage="1"/>
  </ns0:sheetPr>
  <ns0:dimension ref="A1:H24"/>
  <ns0:sheetViews>
    <ns0: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12"/>
    <ns0:col collapsed="false" customWidth="true" hidden="false" outlineLevel="0" max="2" min="2" style="0" width="18"/>
    <ns0:col collapsed="false" customWidth="true" hidden="false" outlineLevel="0" max="3" min="3" style="0" width="43"/>
    <ns0:col collapsed="false" customWidth="true" hidden="false" outlineLevel="0" max="4" min="4" style="0" width="11"/>
    <ns0:col collapsed="false" customWidth="true" hidden="false" outlineLevel="0" max="6" min="5" style="0" width="12"/>
    <ns0:col collapsed="false" customWidth="true" hidden="false" outlineLevel="0" max="7" min="7" style="0" width="16"/>
    <ns0:col collapsed="false" customWidth="true" hidden="false" outlineLevel="0" max="8" min="8" style="0" width="24"/>
  </ns0:cols>
  <ns0:sheetData>
    <ns0:row r="1" customFormat="false" ht="25" hidden="false" customHeight="true" outlineLevel="0" collapsed="false">
      <ns0:c r="A1" s="1" t="s">
        <ns0:v>0</ns0:v>
      </ns0:c>
      <ns0:c r="B1" s="2"/>
      <ns0:c r="C1" s="2"/>
      <ns0:c r="D1" s="2"/>
      <ns0:c r="E1" s="2"/>
      <ns0:c r="F1" s="2"/>
      <ns0:c r="G1" s="2"/>
      <ns0:c r="H1" s="2"/>
    </ns0:row>
    <ns0:row r="2" customFormat="false" ht="16" hidden="false" customHeight="true" outlineLevel="0" collapsed="false">
      <ns0:c r="A2" s="3" t="s">
        <ns0:v>1</ns0:v>
      </ns0:c>
      <ns0:c r="B2" s="2"/>
      <ns0:c r="C2" s="2"/>
      <ns0:c r="D2" s="2"/>
      <ns0:c r="E2" s="2"/>
      <ns0:c r="F2" s="2"/>
      <ns0:c r="G2" s="2"/>
      <ns0:c r="H2" s="2"/>
    </ns0:row>
    <ns0:row r="3" customFormat="false" ht="16" hidden="false" customHeight="true" outlineLevel="0" collapsed="false">
      <ns0:c r="A3" s="3" t="s">
        <ns0:v>2</ns0:v>
      </ns0:c>
      <ns0:c r="B3" s="2"/>
      <ns0:c r="C3" s="2"/>
      <ns0:c r="D3" s="2"/>
      <ns0:c r="E3" s="2"/>
      <ns0:c r="F3" s="2"/>
      <ns0:c r="G3" s="2"/>
      <ns0:c r="H3" s="2"/>
    </ns0:row>
    <ns0:row r="4" customFormat="false" ht="16" hidden="false" customHeight="true" outlineLevel="0" collapsed="false">
      <ns0:c r="A4" s="2"/>
      <ns0:c r="B4" s="2"/>
      <ns0:c r="C4" s="2"/>
      <ns0:c r="D4" s="2"/>
      <ns0:c r="E4" s="2"/>
      <ns0:c r="F4" s="2"/>
      <ns0:c r="G4" s="2"/>
      <ns0:c r="H4" s="2"/>
    </ns0:row>
    <ns0:row r="5" customFormat="false" ht="16" hidden="false" customHeight="true" outlineLevel="0" collapsed="false">
      <ns0:c r="A5" s="2" t="s">
        <ns0:v>3</ns0:v>
      </ns0:c>
      <ns0:c r="B5" s="2"/>
      <ns0:c r="C5" s="4" t="s">
        <ns0:v>4</ns0:v>
      </ns0:c>
      <ns0:c r="D5" s="2"/>
      <ns0:c r="E5" s="2"/>
      <ns0:c r="F5" s="2"/>
      <ns0:c r="G5" s="2"/>
      <ns0:c r="H5" s="2"/>
    </ns0:row>
    <ns0:row r="6" customFormat="false" ht="16" hidden="false" customHeight="true" outlineLevel="0" collapsed="false">
      <ns0:c r="A6" s="2" t="s">
        <ns0:v>5</ns0:v>
      </ns0:c>
      <ns0:c r="B6" s="2"/>
      <ns0:c r="C6" s="5" t="n">
        <ns0:v>220</ns0:v>
      </ns0:c>
      <ns0:c r="D6" s="2"/>
      <ns0:c r="E6" s="3" t="s">
        <ns0:v>6</ns0:v>
      </ns0:c>
      <ns0:c r="F6" s="2"/>
      <ns0:c r="G6" s="5" t="n">
        <ns0:v>990</ns0:v>
      </ns0:c>
      <ns0:c r="H6" s="2"/>
    </ns0:row>
    <ns0:row r="7" customFormat="false" ht="16" hidden="false" customHeight="true" outlineLevel="0" collapsed="false">
      <ns0:c r="A7" s="2" t="s">
        <ns0:v>7</ns0:v>
      </ns0:c>
      <ns0:c r="B7" s="2"/>
      <ns0:c r="C7" s="6" t="s">
        <ns0:v>8</ns0:v>
      </ns0:c>
      <ns0:c r="D7" s="2"/>
      <ns0:c r="E7" s="3" t="s">
        <ns0:v>9</ns0:v>
      </ns0:c>
      <ns0:c r="F7" s="2"/>
      <ns0:c r="G7" s="5"/>
      <ns0:c r="H7" s="2"/>
    </ns0:row>
    <ns0:row r="8" customFormat="false" ht="16" hidden="false" customHeight="true" outlineLevel="0" collapsed="false">
      <ns0:c r="A8" s="3" t="s">
        <ns0:v>10</ns0:v>
      </ns0:c>
      <ns0:c r="B8" s="2"/>
      <ns0:c r="C8" s="2"/>
      <ns0:c r="D8" s="2"/>
      <ns0:c r="E8" s="2"/>
      <ns0:c r="F8" s="2"/>
      <ns0:c r="G8" s="7"/>
      <ns0:c r="H8" s="2"/>
    </ns0:row>
    <ns0:row r="9" customFormat="false" ht="16" hidden="false" customHeight="true" outlineLevel="0" collapsed="false">
      <ns0:c r="A9" s="2"/>
      <ns0:c r="B9" s="2"/>
      <ns0:c r="C9" s="2"/>
      <ns0:c r="D9" s="2"/>
      <ns0:c r="E9" s="2"/>
      <ns0:c r="F9" s="2"/>
      <ns0:c r="G9" s="7"/>
      <ns0:c r="H9" s="2"/>
    </ns0:row>
    <ns0:row r="10" customFormat="false" ht="28" hidden="false" customHeight="true" outlineLevel="0" collapsed="false">
      <ns0:c r="A10" s="8" t="s">
        <ns0:v>11</ns0:v>
      </ns0:c>
      <ns0:c r="B10" s="8" t="s">
        <ns0:v>12</ns0:v>
      </ns0:c>
      <ns0:c r="C10" s="8" t="s">
        <ns0:v>13</ns0:v>
      </ns0:c>
      <ns0:c r="D10" s="8" t="s">
        <ns0:v>14</ns0:v>
      </ns0:c>
      <ns0:c r="E10" s="8" t="s">
        <ns0:v>15</ns0:v>
      </ns0:c>
      <ns0:c r="F10" s="8" t="s">
        <ns0:v>16</ns0:v>
      </ns0:c>
      <ns0:c r="G10" s="9" t="s">
        <ns0:v>17</ns0:v>
      </ns0:c>
      <ns0:c r="H10" s="8" t="s">
        <ns0:v>18</ns0:v>
      </ns0:c>
    </ns0:row>
    <ns0:row r="11" customFormat="false" ht="50" hidden="false" customHeight="true" outlineLevel="0" collapsed="false">
      <ns0:c r="A11" s="10" t="n">
        <ns0:v>46301</ns0:v>
      </ns0:c>
      <ns0:c r="B11" s="2" t="s">
        <ns0:v>19</ns0:v>
      </ns0:c>
      <ns0:c r="C11" s="2" t="s">
        <ns0:v>20</ns0:v>
      </ns0:c>
      <ns0:c r="D11" s="11" t="n">
        <ns0:v>27</ns0:v>
      </ns0:c>
      <ns0:c r="E11" s="12" t="s">
        <ns0:v>8</ns0:v>
      </ns0:c>
      <ns0:c r="F11" s="12" t="s">
        <ns0:v>8</ns0:v>
      </ns0:c>
      <ns0:c r="G11" s="13" t="n">
        <ns0:f aca="false">IF(F11&lt;&gt;"Ja","Offen",IF(E11="Nein",0,IF(E11&lt;&gt;"Ja","Abrechenbarkeit fehlt",IF(NOT(ISNUMBER(D11)),"Minuten fehlen",IF(OR(D11&lt;0,D11&lt;&gt;INT(D11),D11&gt;1440),"Minuten prüfen",IF(OR($C$5="Festpreis",$C$5="RVG"),0,IF(NOT(ISNUMBER($C$6)),"Satz fehlt",IF($C$6&lt;0,"Satz prüfen",ROUND(D11*$C$6/60,2)))))))))</ns0:f>
        <ns0:v>99</ns0:v>
      </ns0:c>
      <ns0:c r="H11" s="14" t="s">
        <ns0:v>21</ns0:v>
      </ns0:c>
    </ns0:row>
    <ns0:row r="12" customFormat="false" ht="50" hidden="false" customHeight="true" outlineLevel="0" collapsed="false">
      <ns0:c r="A12" s="10" t="n">
        <ns0:v>46302</ns0:v>
      </ns0:c>
      <ns0:c r="B12" s="2" t="s">
        <ns0:v>19</ns0:v>
      </ns0:c>
      <ns0:c r="C12" s="2" t="s">
        <ns0:v>22</ns0:v>
      </ns0:c>
      <ns0:c r="D12" s="11" t="n">
        <ns0:v>27</ns0:v>
      </ns0:c>
      <ns0:c r="E12" s="12" t="s">
        <ns0:v>8</ns0:v>
      </ns0:c>
      <ns0:c r="F12" s="12" t="s">
        <ns0:v>8</ns0:v>
      </ns0:c>
      <ns0:c r="G12" s="13" t="n">
        <ns0:f aca="false">IF(F12&lt;&gt;"Ja","Offen",IF(E12="Nein",0,IF(E12&lt;&gt;"Ja","Abrechenbarkeit fehlt",IF(NOT(ISNUMBER(D12)),"Minuten fehlen",IF(OR(D12&lt;0,D12&lt;&gt;INT(D12),D12&gt;1440),"Minuten prüfen",IF(OR($C$5="Festpreis",$C$5="RVG"),0,IF(NOT(ISNUMBER($C$6)),"Satz fehlt",IF($C$6&lt;0,"Satz prüfen",ROUND(D12*$C$6/60,2)))))))))</ns0:f>
        <ns0:v>99</ns0:v>
      </ns0:c>
      <ns0:c r="H12" s="14" t="s">
        <ns0:v>21</ns0:v>
      </ns0:c>
    </ns0:row>
    <ns0:row r="13" customFormat="false" ht="50" hidden="false" customHeight="true" outlineLevel="0" collapsed="false">
      <ns0:c r="A13" s="10" t="n">
        <ns0:v>46302</ns0:v>
      </ns0:c>
      <ns0:c r="B13" s="2" t="s">
        <ns0:v>19</ns0:v>
      </ns0:c>
      <ns0:c r="C13" s="2" t="s">
        <ns0:v>23</ns0:v>
      </ns0:c>
      <ns0:c r="D13" s="11"/>
      <ns0:c r="E13" s="12" t="s">
        <ns0:v>8</ns0:v>
      </ns0:c>
      <ns0:c r="F13" s="12" t="s">
        <ns0:v>24</ns0:v>
      </ns0:c>
      <ns0:c r="G13" s="13" t="str">
        <ns0:f aca="false">IF(F13&lt;&gt;"Ja","Offen",IF(E13="Nein",0,IF(E13&lt;&gt;"Ja","Abrechenbarkeit fehlt",IF(NOT(ISNUMBER(D13)),"Minuten fehlen",IF(OR(D13&lt;0,D13&lt;&gt;INT(D13),D13&gt;1440),"Minuten prüfen",IF(OR($C$5="Festpreis",$C$5="RVG"),0,IF(NOT(ISNUMBER($C$6)),"Satz fehlt",IF($C$6&lt;0,"Satz prüfen",ROUND(D13*$C$6/60,2)))))))))</ns0:f>
        <ns0:v>Offen</ns0:v>
      </ns0:c>
      <ns0:c r="H13" s="14" t="s">
        <ns0:v>21</ns0:v>
      </ns0:c>
    </ns0:row>
    <ns0:row r="14" customFormat="false" ht="50" hidden="false" customHeight="true" outlineLevel="0" collapsed="false">
      <ns0:c r="A14" s="10" t="n">
        <ns0:v>46302</ns0:v>
      </ns0:c>
      <ns0:c r="B14" s="2" t="s">
        <ns0:v>25</ns0:v>
      </ns0:c>
      <ns0:c r="C14" s="2" t="s">
        <ns0:v>26</ns0:v>
      </ns0:c>
      <ns0:c r="D14" s="11" t="n">
        <ns0:v>9</ns0:v>
      </ns0:c>
      <ns0:c r="E14" s="12" t="s">
        <ns0:v>24</ns0:v>
      </ns0:c>
      <ns0:c r="F14" s="12" t="s">
        <ns0:v>24</ns0:v>
      </ns0:c>
      <ns0:c r="G14" s="13" t="str">
        <ns0:f aca="false">IF(F14&lt;&gt;"Ja","Offen",IF(E14="Nein",0,IF(E14&lt;&gt;"Ja","Abrechenbarkeit fehlt",IF(NOT(ISNUMBER(D14)),"Minuten fehlen",IF(OR(D14&lt;0,D14&lt;&gt;INT(D14),D14&gt;1440),"Minuten prüfen",IF(OR($C$5="Festpreis",$C$5="RVG"),0,IF(NOT(ISNUMBER($C$6)),"Satz fehlt",IF($C$6&lt;0,"Satz prüfen",ROUND(D14*$C$6/60,2)))))))))</ns0:f>
        <ns0:v>Offen</ns0:v>
      </ns0:c>
      <ns0:c r="H14" s="14" t="s">
        <ns0:v>21</ns0:v>
      </ns0:c>
    </ns0:row>
    <ns0:row r="15" customFormat="false" ht="16" hidden="false" customHeight="true" outlineLevel="0" collapsed="false">
      <ns0:c r="A15" s="2"/>
      <ns0:c r="B15" s="2"/>
      <ns0:c r="C15" s="2"/>
      <ns0:c r="D15" s="2"/>
      <ns0:c r="E15" s="2"/>
      <ns0:c r="F15" s="2"/>
      <ns0:c r="G15" s="7"/>
      <ns0:c r="H15" s="2"/>
    </ns0:row>
    <ns0:row r="16" customFormat="false" ht="16" hidden="false" customHeight="true" outlineLevel="0" collapsed="false">
      <ns0:c r="A16" s="3" t="s">
        <ns0:v>27</ns0:v>
      </ns0:c>
      <ns0:c r="B16" s="2"/>
      <ns0:c r="C16" s="2"/>
      <ns0:c r="D16" s="2" t="n">
        <ns0:f aca="false">SUMIFS(D11:D14,F11:F14,"Ja",E11:E14,"Ja")</ns0:f>
        <ns0:v>54</ns0:v>
      </ns0:c>
      <ns0:c r="E16" s="2"/>
      <ns0:c r="F16" s="2"/>
      <ns0:c r="G16" s="7"/>
      <ns0:c r="H16" s="2"/>
    </ns0:row>
    <ns0:row r="17" customFormat="false" ht="16" hidden="false" customHeight="true" outlineLevel="0" collapsed="false">
      <ns0:c r="A17" s="3" t="s">
        <ns0:v>28</ns0:v>
      </ns0:c>
      <ns0:c r="B17" s="2"/>
      <ns0:c r="C17" s="2"/>
      <ns0:c r="D17" s="2"/>
      <ns0:c r="E17" s="2"/>
      <ns0:c r="F17" s="2"/>
      <ns0:c r="G17" s="7" t="n">
        <ns0:f aca="false">IF(COUNTIFS(F11:F14,"Ja")&lt;&gt;COUNT(G11:G14),"Zeile prüfen",SUM(G11:G14))</ns0:f>
        <ns0:v>198</ns0:v>
      </ns0:c>
      <ns0:c r="H17" s="2"/>
    </ns0:row>
    <ns0:row r="18" customFormat="false" ht="30" hidden="false" customHeight="true" outlineLevel="0" collapsed="false">
      <ns0:c r="A18" s="15" t="s">
        <ns0:v>29</ns0:v>
      </ns0:c>
      <ns0:c r="B18" s="16"/>
      <ns0:c r="C18" s="16"/>
      <ns0:c r="D18" s="16"/>
      <ns0:c r="E18" s="16"/>
      <ns0:c r="F18" s="16"/>
      <ns0:c r="G18" s="17" t="n">
        <ns0:f aca="false">IF(C7&lt;&gt;"Ja","Vereinbarung offen",IF(C5="RVG",IF(NOT(ISNUMBER(G7)),"RVG-Berechnung offen",IF(G7&lt;0,"Betrag prüfen",G7)),IF(C5="Festpreis",IF(NOT(ISNUMBER(G6)),"Festpreis fehlt",IF(G6&lt;0,"Festpreis prüfen",G6)),IF(NOT(ISNUMBER(G17)),"Zeitzeile prüfen",IF(C5="Zeithonorar mit Deckel",IF(NOT(ISNUMBER(G6)),"Deckel fehlt",IF(G6&lt;0,"Deckel prüfen",MIN(G17,G6))),IF(OR(C5="Zeithonorar",C5="Zeithonorar mit Schätzung"),G17,"Honorarart prüfen"))))))</ns0:f>
        <ns0:v>198</ns0:v>
      </ns0:c>
      <ns0:c r="H18" s="16"/>
    </ns0:row>
    <ns0:row r="19" customFormat="false" ht="16" hidden="false" customHeight="true" outlineLevel="0" collapsed="false">
      <ns0:c r="A19" s="3" t="s">
        <ns0:v>30</ns0:v>
      </ns0:c>
      <ns0:c r="B19" s="2"/>
      <ns0:c r="C19" s="2"/>
      <ns0:c r="D19" s="2"/>
      <ns0:c r="E19" s="2"/>
      <ns0:c r="F19" s="2"/>
      <ns0:c r="G19" s="18" t="n">
        <ns0:f aca="false">COUNTIFS(F11:F14,"&lt;&gt;Ja")</ns0:f>
        <ns0:v>2</ns0:v>
      </ns0:c>
      <ns0:c r="H19" s="2"/>
    </ns0:row>
    <ns0:row r="20" customFormat="false" ht="16" hidden="false" customHeight="true" outlineLevel="0" collapsed="false">
      <ns0:c r="A20" s="3" t="s">
        <ns0:v>31</ns0:v>
      </ns0:c>
      <ns0:c r="B20" s="2"/>
      <ns0:c r="C20" s="3" t="str">
        <ns0:f aca="false">IF(C7&lt;&gt;"Ja","Honorarvereinbarung klären",IF(G19&gt;0,"Zeitdauer, Narrative und Abrechenbarkeit klären",IF(C5="Zeithonorar mit Schätzung",IF(NOT(ISNUMBER(G6)),"Schätzung fehlt",IF(G6&lt;0,"Schätzung prüfen",IF(G17&gt;G6,"Schätzung überschritten: Kosteninformation","Rechnungsentwurf fachlich prüfen"))),"Rechnungsentwurf fachlich prüfen")))</ns0:f>
        <ns0:v>Zeitdauer, Narrative und Abrechenbarkeit klären</ns0:v>
      </ns0:c>
      <ns0:c r="D20" s="2"/>
      <ns0:c r="E20" s="2"/>
      <ns0:c r="F20" s="2"/>
      <ns0:c r="G20" s="2"/>
      <ns0:c r="H20" s="2"/>
    </ns0:row>
    <ns0:row r="21" customFormat="false" ht="16" hidden="false" customHeight="true" outlineLevel="0" collapsed="false">
      <ns0:c r="A21" s="2"/>
      <ns0:c r="B21" s="2"/>
      <ns0:c r="C21" s="2"/>
      <ns0:c r="D21" s="2"/>
      <ns0:c r="E21" s="2"/>
      <ns0:c r="F21" s="2"/>
      <ns0:c r="G21" s="2"/>
      <ns0:c r="H21" s="2"/>
    </ns0:row>
    <ns0:row r="22" customFormat="false" ht="16" hidden="false" customHeight="true" outlineLevel="0" collapsed="false">
      <ns0:c r="A22" s="19" t="s">
        <ns0:v>32</ns0:v>
      </ns0:c>
      <ns0:c r="B22" s="2"/>
      <ns0:c r="C22" s="2"/>
      <ns0:c r="D22" s="2"/>
      <ns0:c r="E22" s="2"/>
      <ns0:c r="F22" s="2"/>
      <ns0:c r="G22" s="2"/>
      <ns0:c r="H22" s="2"/>
    </ns0:row>
    <ns0:row r="23" customFormat="false" ht="16" hidden="false" customHeight="true" outlineLevel="0" collapsed="false">
      <ns0:c r="A23" s="19" t="s">
        <ns0:v>33</ns0:v>
      </ns0:c>
      <ns0:c r="B23" s="2"/>
      <ns0:c r="C23" s="2"/>
      <ns0:c r="D23" s="2"/>
      <ns0:c r="E23" s="2"/>
      <ns0:c r="F23" s="2"/>
      <ns0:c r="G23" s="2"/>
      <ns0:c r="H23" s="2"/>
    </ns0:row>
    <ns0:row r="24" customFormat="false" ht="16" hidden="false" customHeight="true" outlineLevel="0" collapsed="false">
      <ns0:c r="A24" s="19" t="s">
        <ns0:v>34</ns0:v>
      </ns0:c>
      <ns0:c r="B24" s="2"/>
      <ns0:c r="C24" s="2"/>
      <ns0:c r="D24" s="2"/>
      <ns0:c r="E24" s="2"/>
      <ns0:c r="F24" s="2"/>
      <ns0:c r="G24" s="2"/>
      <ns0:c r="H24" s="2"/>
    </ns0:row>
  </ns0:sheetData>
  <ns0:conditionalFormatting sqref="G11:G14">
    <ns0:cfRule type="containsText" priority="2" operator="containsText" aboveAverage="0" equalAverage="0" bottom="0" percent="0" rank="0" text="fehlt" dxfId="0">
      <ns0:formula>NOT(ISERROR(SEARCH("fehlt",G11)))</ns0:formula>
    </ns0:cfRule>
  </ns0:conditionalFormatting>
  <ns0:conditionalFormatting sqref="G19">
    <ns0:cfRule type="cellIs" priority="3" operator="greaterThan" aboveAverage="0" equalAverage="0" bottom="0" percent="0" rank="0" text="" dxfId="1">
      <ns0:formula>0</ns0:formula>
    </ns0:cfRule>
  </ns0:conditionalFormatting>
  <ns0:dataValidations count="6">
    <ns0:dataValidation allowBlank="false" errorStyle="stop" operator="between" showDropDown="false" showErrorMessage="false" showInputMessage="false" sqref="C5" type="list">
      <ns0:formula1>"Zeithonorar,Zeithonorar mit Deckel,Zeithonorar mit Schätzung,Festpreis,RVG"</ns0:formula1>
      <ns0:formula2>0</ns0:formula2>
    </ns0:dataValidation>
    <ns0:dataValidation allowBlank="false" errorStyle="stop" operator="between" showDropDown="false" showErrorMessage="false" showInputMessage="false" sqref="C7" type="list">
      <ns0:formula1>"Ja,Nein"</ns0:formula1>
      <ns0:formula2>0</ns0:formula2>
    </ns0:dataValidation>
    <ns0:dataValidation allowBlank="false" errorStyle="stop" operator="between" showDropDown="false" showErrorMessage="false" showInputMessage="false" sqref="E11:F11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2:F12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3:F13" type="list">
      <ns0:formula1>"Ja,Nein,Offen"</ns0:formula1>
      <ns0:formula2>0</ns0:formula2>
    </ns0:dataValidation>
    <ns0:dataValidation allowBlank="false" errorStyle="stop" operator="between" showDropDown="false" showErrorMessage="false" showInputMessage="false" sqref="E14:F14" type="list">
      <ns0:formula1>"Ja,Nein,Offen"</ns0:formula1>
      <ns0:formula2>0</ns0:formula2>
    </ns0:dataValidation>
  </ns0:dataValidations>
  <ns0:printOptions headings="false" gridLines="false" gridLinesSet="true" horizontalCentered="false" verticalCentered="false"/>
  <ns0:pageMargins left=".25" right=".25" top=".35" bottom=".35" header=".15" footer=".15"/>
  <ns0:pageSetup paperSize="9" scale="100" fitToWidth="1" fitToHeight="0" pageOrder="downThenOver" orientation="landscape" blackAndWhite="false" draft="false" cellComments="none" horizontalDpi="300" verticalDpi="300" copies="1"/>
  <ns0:headerFooter differentFirst="false" differentOddEven="false">
    <ns0:oddHeader/>
    <ns0:oddFooter/>
  </ns0:headerFooter>
</ns0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ns0:coreProperties xmlns:dc="http://purl.org/dc/elements/1.1/" xmlns:ns0="http://schemas.openxmlformats.org/package/2006/metadata/core-properties">
  <dc:creator>Klotzkette</dc:creator>
  <dc:description/>
  <dc:language>en-US</dc:language>
  <ns0:lastModifiedBy>Klotzkette</ns0:lastModifiedBy>
  <ns0:revision>0</ns0:revision>
  <dc:subject/>
  <dc:title/>
</ns0:coreProperties>
</file>