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uchten" sheetId="1" state="visible" r:id="rId3"/>
    <sheet name="Rahmendaten" sheetId="2" state="visible" r:id="rId4"/>
    <sheet name="Betriebsfenster" sheetId="3" state="visible" r:id="rId5"/>
  </sheets>
  <definedNames>
    <definedName function="false" hidden="false" localSheetId="2" name="_xlnm.Print_Area" vbProcedure="false">Betriebsfenster!$A$1:$H$18</definedName>
    <definedName function="false" hidden="false" localSheetId="2" name="_xlnm.Print_Titles" vbProcedure="false">Betriebsfenster!$8:$8</definedName>
    <definedName function="false" hidden="false" localSheetId="0" name="_xlnm.Print_Area" vbProcedure="false">Leuchten!$A$1:$H$44</definedName>
    <definedName function="false" hidden="false" localSheetId="0" name="_xlnm.Print_Titles" vbProcedure="false">Leuchten!$8:$8</definedName>
    <definedName function="false" hidden="false" localSheetId="1" name="_xlnm.Print_Area" vbProcedure="false">Rahmendaten!$A$1:$G$26</definedName>
    <definedName function="false" hidden="false" localSheetId="1" name="_xlnm.Print_Titles" vbProcedure="false">Rahmendaten!$8:$8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<sst xmlns="http://schemas.openxmlformats.org/spreadsheetml/2006/main" count="311" uniqueCount="178">
  <si>
    <t xml:space="preserve">1 Leuchtenregister LS-03</t>
  </si>
  <si>
    <t xml:space="preserve">Einzelzählplätze nach 11_Leuchtenzaehlung.csv. Interne Kennungen, Felder von Süd nach Nord. Rasteraufnahmen nach 19_Rasterablesungen.csv.</t>
  </si>
  <si>
    <t xml:space="preserve">Finja Paulsen, Stand 28.09.2026</t>
  </si>
  <si>
    <t xml:space="preserve">Positionen</t>
  </si>
  <si>
    <t xml:space="preserve">Stück</t>
  </si>
  <si>
    <t xml:space="preserve">Kennung</t>
  </si>
  <si>
    <t xml:space="preserve">Reihe</t>
  </si>
  <si>
    <t xml:space="preserve">Feld</t>
  </si>
  <si>
    <t xml:space="preserve">Rasterlage</t>
  </si>
  <si>
    <t xml:space="preserve">Zählung</t>
  </si>
  <si>
    <t xml:space="preserve">Aufnahme 28.09.</t>
  </si>
  <si>
    <t xml:space="preserve">Register</t>
  </si>
  <si>
    <t xml:space="preserve">R1-F1</t>
  </si>
  <si>
    <t xml:space="preserve">West, Südrand</t>
  </si>
  <si>
    <t xml:space="preserve">Keine Einzelmessung</t>
  </si>
  <si>
    <t xml:space="preserve">Leuchtenregister LS-03</t>
  </si>
  <si>
    <t xml:space="preserve">R1-F2</t>
  </si>
  <si>
    <t xml:space="preserve">West, südliche Mitte</t>
  </si>
  <si>
    <t xml:space="preserve">Rasterfeld 07:36 aufgenommen</t>
  </si>
  <si>
    <t xml:space="preserve">R1-F3</t>
  </si>
  <si>
    <t xml:space="preserve">West, Mitte Süd</t>
  </si>
  <si>
    <t xml:space="preserve">R1-F4</t>
  </si>
  <si>
    <t xml:space="preserve">West, Mitte Nord</t>
  </si>
  <si>
    <t xml:space="preserve">R1-F5</t>
  </si>
  <si>
    <t xml:space="preserve">West, nördliche Mitte</t>
  </si>
  <si>
    <t xml:space="preserve">R1-F6</t>
  </si>
  <si>
    <t xml:space="preserve">West, Nordrand</t>
  </si>
  <si>
    <t xml:space="preserve">R2-F1</t>
  </si>
  <si>
    <t xml:space="preserve">Westmitte, Südrand</t>
  </si>
  <si>
    <t xml:space="preserve">R2-F2</t>
  </si>
  <si>
    <t xml:space="preserve">Westmitte, südliche Mitte</t>
  </si>
  <si>
    <t xml:space="preserve">R2-F3</t>
  </si>
  <si>
    <t xml:space="preserve">Westmitte, Mitte Süd</t>
  </si>
  <si>
    <t xml:space="preserve">Rasterfeld 07:42 aufgenommen</t>
  </si>
  <si>
    <t xml:space="preserve">R2-F4</t>
  </si>
  <si>
    <t xml:space="preserve">Westmitte, Mitte Nord</t>
  </si>
  <si>
    <t xml:space="preserve">R2-F5</t>
  </si>
  <si>
    <t xml:space="preserve">Westmitte, nördliche Mitte</t>
  </si>
  <si>
    <t xml:space="preserve">R2-F6</t>
  </si>
  <si>
    <t xml:space="preserve">Westmitte, Nordrand</t>
  </si>
  <si>
    <t xml:space="preserve">R3-F1</t>
  </si>
  <si>
    <t xml:space="preserve">Mitte West, Südrand</t>
  </si>
  <si>
    <t xml:space="preserve">R3-F2</t>
  </si>
  <si>
    <t xml:space="preserve">Mitte West, südliche Mitte</t>
  </si>
  <si>
    <t xml:space="preserve">R3-F3</t>
  </si>
  <si>
    <t xml:space="preserve">Mitte West, Mitte Süd</t>
  </si>
  <si>
    <t xml:space="preserve">R3-F4</t>
  </si>
  <si>
    <t xml:space="preserve">Mitte West, Mitte Nord</t>
  </si>
  <si>
    <t xml:space="preserve">Rasterfeld 07:49 aufgenommen</t>
  </si>
  <si>
    <t xml:space="preserve">R3-F5</t>
  </si>
  <si>
    <t xml:space="preserve">Mitte West, nördliche Mitte</t>
  </si>
  <si>
    <t xml:space="preserve">R3-F6</t>
  </si>
  <si>
    <t xml:space="preserve">Mitte West, Nordrand</t>
  </si>
  <si>
    <t xml:space="preserve">R4-F1</t>
  </si>
  <si>
    <t xml:space="preserve">Mitte Ost, Südrand</t>
  </si>
  <si>
    <t xml:space="preserve">R4-F2</t>
  </si>
  <si>
    <t xml:space="preserve">Mitte Ost, südliche Mitte</t>
  </si>
  <si>
    <t xml:space="preserve">R4-F3</t>
  </si>
  <si>
    <t xml:space="preserve">Mitte Ost, Mitte Süd</t>
  </si>
  <si>
    <t xml:space="preserve">R4-F4</t>
  </si>
  <si>
    <t xml:space="preserve">Mitte Ost, Mitte Nord</t>
  </si>
  <si>
    <t xml:space="preserve">R4-F5</t>
  </si>
  <si>
    <t xml:space="preserve">Mitte Ost, nördliche Mitte</t>
  </si>
  <si>
    <t xml:space="preserve">R4-F6</t>
  </si>
  <si>
    <t xml:space="preserve">Mitte Ost, Nordrand</t>
  </si>
  <si>
    <t xml:space="preserve">R5-F1</t>
  </si>
  <si>
    <t xml:space="preserve">Ostmitte, Südrand</t>
  </si>
  <si>
    <t xml:space="preserve">R5-F2</t>
  </si>
  <si>
    <t xml:space="preserve">Ostmitte, südliche Mitte</t>
  </si>
  <si>
    <t xml:space="preserve">R5-F3</t>
  </si>
  <si>
    <t xml:space="preserve">Ostmitte, Mitte Süd</t>
  </si>
  <si>
    <t xml:space="preserve">Rasterfeld 07:55 aufgenommen</t>
  </si>
  <si>
    <t xml:space="preserve">R5-F4</t>
  </si>
  <si>
    <t xml:space="preserve">Ostmitte, Mitte Nord</t>
  </si>
  <si>
    <t xml:space="preserve">R5-F5</t>
  </si>
  <si>
    <t xml:space="preserve">Ostmitte, nördliche Mitte</t>
  </si>
  <si>
    <t xml:space="preserve">R5-F6</t>
  </si>
  <si>
    <t xml:space="preserve">Ostmitte, Nordrand</t>
  </si>
  <si>
    <t xml:space="preserve">Über festem Regal, nicht geöffnet</t>
  </si>
  <si>
    <t xml:space="preserve">R6-F1</t>
  </si>
  <si>
    <t xml:space="preserve">Ost, Südrand</t>
  </si>
  <si>
    <t xml:space="preserve">R6-F2</t>
  </si>
  <si>
    <t xml:space="preserve">Ost, südliche Mitte</t>
  </si>
  <si>
    <t xml:space="preserve">R6-F3</t>
  </si>
  <si>
    <t xml:space="preserve">Ost, Mitte Süd</t>
  </si>
  <si>
    <t xml:space="preserve">R6-F4</t>
  </si>
  <si>
    <t xml:space="preserve">Ost, Mitte Nord</t>
  </si>
  <si>
    <t xml:space="preserve">R6-F5</t>
  </si>
  <si>
    <t xml:space="preserve">Ost, nördliche Mitte</t>
  </si>
  <si>
    <t xml:space="preserve">Ost, Nordrand</t>
  </si>
  <si>
    <t xml:space="preserve">2 Raum-, Produkt- und Leitungsdaten</t>
  </si>
  <si>
    <t xml:space="preserve">Werte behalten ihre Herkunft. LB 595 / 840-S ist eine Lieferantenauskunft, keine Produktfreigabe für den Lesesaal.</t>
  </si>
  <si>
    <t xml:space="preserve">Objekt</t>
  </si>
  <si>
    <t xml:space="preserve">Merkmal</t>
  </si>
  <si>
    <t xml:space="preserve">Wert</t>
  </si>
  <si>
    <t xml:space="preserve">Einheit</t>
  </si>
  <si>
    <t xml:space="preserve">Stand</t>
  </si>
  <si>
    <t xml:space="preserve">Ausführung / Bezug</t>
  </si>
  <si>
    <t xml:space="preserve">Quelle</t>
  </si>
  <si>
    <t xml:space="preserve">Lesesaal</t>
  </si>
  <si>
    <t xml:space="preserve">Länge</t>
  </si>
  <si>
    <t xml:space="preserve">m</t>
  </si>
  <si>
    <t xml:space="preserve">Lichtes Innenmaß</t>
  </si>
  <si>
    <t xml:space="preserve">04_Raumbuch.pdf</t>
  </si>
  <si>
    <t xml:space="preserve">Breite</t>
  </si>
  <si>
    <t xml:space="preserve">Höhe bis Rasterdecke</t>
  </si>
  <si>
    <t xml:space="preserve">Bestand</t>
  </si>
  <si>
    <t xml:space="preserve">Grundfläche</t>
  </si>
  <si>
    <t xml:space="preserve">m²</t>
  </si>
  <si>
    <t xml:space="preserve">Rechteckige lichte Fläche</t>
  </si>
  <si>
    <t xml:space="preserve">Rasterdecke</t>
  </si>
  <si>
    <t xml:space="preserve">Nennraster</t>
  </si>
  <si>
    <t xml:space="preserve">mm</t>
  </si>
  <si>
    <t xml:space="preserve">Kein freies Einbaumaß</t>
  </si>
  <si>
    <t xml:space="preserve">LB 595 / 840-S</t>
  </si>
  <si>
    <t xml:space="preserve">Außenmaß je Seite</t>
  </si>
  <si>
    <t xml:space="preserve">Einlegeleuchte mit Auflagerand</t>
  </si>
  <si>
    <t xml:space="preserve">16_Lieferantendaten_LB595.pdf</t>
  </si>
  <si>
    <t xml:space="preserve">Gehäuse je Seite</t>
  </si>
  <si>
    <t xml:space="preserve">Körper unterhalb des Auflagerands</t>
  </si>
  <si>
    <t xml:space="preserve">Lichtfarbe</t>
  </si>
  <si>
    <t xml:space="preserve">K</t>
  </si>
  <si>
    <t xml:space="preserve">Herstellerangabe</t>
  </si>
  <si>
    <t xml:space="preserve">Anschlussleistung</t>
  </si>
  <si>
    <t xml:space="preserve">W</t>
  </si>
  <si>
    <t xml:space="preserve">Einschließlich Betriebsgerät</t>
  </si>
  <si>
    <t xml:space="preserve">Lichtstrom</t>
  </si>
  <si>
    <t xml:space="preserve">lm</t>
  </si>
  <si>
    <t xml:space="preserve">Keine raumbezogene Berechnung</t>
  </si>
  <si>
    <t xml:space="preserve">Steuereingang Untergrenze</t>
  </si>
  <si>
    <t xml:space="preserve">V</t>
  </si>
  <si>
    <t xml:space="preserve">Zusätzlicher Netzanschluss</t>
  </si>
  <si>
    <t xml:space="preserve">Steuereingang Obergrenze</t>
  </si>
  <si>
    <t xml:space="preserve">Variante 840-B nicht beschrieben</t>
  </si>
  <si>
    <t xml:space="preserve">UV-L</t>
  </si>
  <si>
    <t xml:space="preserve">Freie Teilungseinheiten</t>
  </si>
  <si>
    <t xml:space="preserve">TE</t>
  </si>
  <si>
    <t xml:space="preserve">Keine Eignungsberechnung</t>
  </si>
  <si>
    <t xml:space="preserve">17_Aufnahme_Steuerleitungen.docx</t>
  </si>
  <si>
    <t xml:space="preserve">Bedienstelle Süd</t>
  </si>
  <si>
    <t xml:space="preserve">Angeschlossene Leiter</t>
  </si>
  <si>
    <t xml:space="preserve">Typkennzeichnung nicht lesbar</t>
  </si>
  <si>
    <t xml:space="preserve">Abzweig Reihe 1</t>
  </si>
  <si>
    <t xml:space="preserve">Adern zum Leuchtenabgang</t>
  </si>
  <si>
    <t xml:space="preserve">Nur zugänglicher Abschnitt</t>
  </si>
  <si>
    <t xml:space="preserve">Abzweig Reihe 3</t>
  </si>
  <si>
    <t xml:space="preserve">Abzweig Reihe 5</t>
  </si>
  <si>
    <t xml:space="preserve">LB-02 / 02.030</t>
  </si>
  <si>
    <t xml:space="preserve">Leitungsabschnitte</t>
  </si>
  <si>
    <t xml:space="preserve">Ansatz der Leistungsbeschreibung</t>
  </si>
  <si>
    <t xml:space="preserve">03_Leistungsbeschreibung_02.docx</t>
  </si>
  <si>
    <t xml:space="preserve">3 Hofzugang während der Lesesaalarbeiten</t>
  </si>
  <si>
    <t xml:space="preserve">Kalender aus 13_Ablaufkalender.pdf, ergänzt um 18_Zugang_Aufmass.pdf. Hofstunden sind keine zugesagten Montagestunden; Ausleihe jeweils 09:00 bis 18:00 Uhr.</t>
  </si>
  <si>
    <t xml:space="preserve">Zugangsstunden</t>
  </si>
  <si>
    <t xml:space="preserve">Datum</t>
  </si>
  <si>
    <t xml:space="preserve">Tag</t>
  </si>
  <si>
    <t xml:space="preserve">Hof ab</t>
  </si>
  <si>
    <t xml:space="preserve">Hof bis</t>
  </si>
  <si>
    <t xml:space="preserve">Besonderheit</t>
  </si>
  <si>
    <t xml:space="preserve">Montag</t>
  </si>
  <si>
    <t xml:space="preserve">Bücherkistenabholung 08:15 bis 08:45</t>
  </si>
  <si>
    <t xml:space="preserve">Ladefläche zeitweise belegt</t>
  </si>
  <si>
    <t xml:space="preserve">18_Zugang_Aufmass.pdf</t>
  </si>
  <si>
    <t xml:space="preserve">Dienstag</t>
  </si>
  <si>
    <t xml:space="preserve">Lesesaal gesperrt, Ausleihe geöffnet</t>
  </si>
  <si>
    <t xml:space="preserve">Kein Abschalttermin bestätigt</t>
  </si>
  <si>
    <t xml:space="preserve">13_Ablaufkalender.pdf</t>
  </si>
  <si>
    <t xml:space="preserve">Mittwoch</t>
  </si>
  <si>
    <t xml:space="preserve">Regelbetrieb der Ausleihe</t>
  </si>
  <si>
    <t xml:space="preserve">Donnerstag</t>
  </si>
  <si>
    <t xml:space="preserve">Lesung 10:00 bis 13:00 im Nebenraum</t>
  </si>
  <si>
    <t xml:space="preserve">Bohrfenster nur Nutzerwunsch</t>
  </si>
  <si>
    <t xml:space="preserve">Freitag</t>
  </si>
  <si>
    <t xml:space="preserve">Zugang bis 17:00 vorgesehen</t>
  </si>
  <si>
    <t xml:space="preserve">Beginn der zweiten Ausführungswoche</t>
  </si>
  <si>
    <t xml:space="preserve">Einweisung grundsätzlich möglich</t>
  </si>
  <si>
    <t xml:space="preserve">Einweisung noch nicht bestätigt</t>
  </si>
  <si>
    <t xml:space="preserve">14_Nutzernotiz.docx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</si>
</sst>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 @"/>
    <numFmt numFmtId="167" formatCode="dd\.mm\.yyyy\ "/>
    <numFmt numFmtId="168" formatCode="[$-407]#,##0.00\ ;\(#,##0.00&quot;) &quot;;&quot;– &quot;"/>
    <numFmt numFmtId="169" formatCode="hh:mm\ 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70475D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sz val="9"/>
      <color rgb="FF202D32"/>
      <name val="Arial"/>
      <family val="0"/>
      <charset val="1"/>
    </font>
    <font>
      <b val="true"/>
      <sz val="13"/>
      <color rgb="FF70475D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0475D"/>
        <bgColor rgb="FF536269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475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70475D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70475D"/>
      <rgbColor rgb="FFF0F4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3_1" displayName="Register3_1" ref="A8:H44" headerRowCount="1" totalsRowCount="0" totalsRowShown="0">
  <autoFilter ref="A8:H44"/>
  <tableColumns count="8">
    <tableColumn id="1" name="Kennung"/>
    <tableColumn id="2" name="Reihe"/>
    <tableColumn id="3" name="Feld"/>
    <tableColumn id="4" name="Rasterlage"/>
    <tableColumn id="5" name="Stück"/>
    <tableColumn id="6" name="Zählung"/>
    <tableColumn id="7" name="Aufnahme 28.09."/>
    <tableColumn id="8" name="Regi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3_2" displayName="Register3_2" ref="A8:G26" headerRowCount="1" totalsRowCount="0" totalsRowShown="0">
  <autoFilter ref="A8:G26"/>
  <tableColumns count="7">
    <tableColumn id="1" name="Objekt"/>
    <tableColumn id="2" name="Merkmal"/>
    <tableColumn id="3" name="Wert"/>
    <tableColumn id="4" name="Einheit"/>
    <tableColumn id="5" name="Stand"/>
    <tableColumn id="6" name="Ausführung / Bezug"/>
    <tableColumn id="7" name="Qu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3_3" displayName="Register3_3" ref="A8:H18" headerRowCount="1" totalsRowCount="0" totalsRowShown="0">
  <autoFilter ref="A8:H18"/>
  <tableColumns count="8">
    <tableColumn id="1" name="Datum"/>
    <tableColumn id="2" name="Tag"/>
    <tableColumn id="3" name="Hof ab"/>
    <tableColumn id="4" name="Hof bis"/>
    <tableColumn id="5" name="Zugangsstunden"/>
    <tableColumn id="6" name="Besonderheit"/>
    <tableColumn id="7" name="Stand"/>
    <tableColumn id="8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475D"/>
    <pageSetUpPr fitToPage="tru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9"/>
    <col collapsed="false" customWidth="true" hidden="false" outlineLevel="0" max="4" min="4" style="0" width="2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24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5" t="s">
        <v>4</v>
      </c>
      <c r="F4" s="4"/>
      <c r="G4" s="4"/>
      <c r="H4" s="4"/>
    </row>
    <row r="5" customFormat="false" ht="29" hidden="false" customHeight="true" outlineLevel="0" collapsed="false">
      <c r="A5" s="6" t="n">
        <v>36</v>
      </c>
      <c r="B5" s="6"/>
      <c r="C5" s="6"/>
      <c r="D5" s="6"/>
      <c r="E5" s="7" t="n">
        <f aca="false">SUM(E9:E44)</f>
        <v>36</v>
      </c>
      <c r="F5" s="6"/>
      <c r="G5" s="6"/>
      <c r="H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8" t="s">
        <v>5</v>
      </c>
      <c r="B8" s="8" t="s">
        <v>6</v>
      </c>
      <c r="C8" s="8" t="s">
        <v>7</v>
      </c>
      <c r="D8" s="8" t="s">
        <v>8</v>
      </c>
      <c r="E8" s="8" t="s">
        <v>4</v>
      </c>
      <c r="F8" s="8" t="s">
        <v>9</v>
      </c>
      <c r="G8" s="8" t="s">
        <v>10</v>
      </c>
      <c r="H8" s="8" t="s">
        <v>11</v>
      </c>
    </row>
    <row r="9" customFormat="false" ht="34" hidden="false" customHeight="true" outlineLevel="0" collapsed="false">
      <c r="A9" s="9" t="s">
        <v>12</v>
      </c>
      <c r="B9" s="10" t="n">
        <v>1</v>
      </c>
      <c r="C9" s="10" t="n">
        <v>1</v>
      </c>
      <c r="D9" s="9" t="s">
        <v>13</v>
      </c>
      <c r="E9" s="10" t="n">
        <v>1</v>
      </c>
      <c r="F9" s="11" t="n">
        <v>46279</v>
      </c>
      <c r="G9" s="9" t="s">
        <v>14</v>
      </c>
      <c r="H9" s="9" t="s">
        <v>15</v>
      </c>
    </row>
    <row r="10" customFormat="false" ht="34" hidden="false" customHeight="true" outlineLevel="0" collapsed="false">
      <c r="A10" s="12" t="s">
        <v>16</v>
      </c>
      <c r="B10" s="13" t="n">
        <v>1</v>
      </c>
      <c r="C10" s="13" t="n">
        <v>2</v>
      </c>
      <c r="D10" s="12" t="s">
        <v>17</v>
      </c>
      <c r="E10" s="13" t="n">
        <v>1</v>
      </c>
      <c r="F10" s="14" t="n">
        <v>46279</v>
      </c>
      <c r="G10" s="12" t="s">
        <v>18</v>
      </c>
      <c r="H10" s="12" t="s">
        <v>15</v>
      </c>
    </row>
    <row r="11" customFormat="false" ht="34" hidden="false" customHeight="true" outlineLevel="0" collapsed="false">
      <c r="A11" s="9" t="s">
        <v>19</v>
      </c>
      <c r="B11" s="10" t="n">
        <v>1</v>
      </c>
      <c r="C11" s="10" t="n">
        <v>3</v>
      </c>
      <c r="D11" s="9" t="s">
        <v>20</v>
      </c>
      <c r="E11" s="10" t="n">
        <v>1</v>
      </c>
      <c r="F11" s="11" t="n">
        <v>46279</v>
      </c>
      <c r="G11" s="9" t="s">
        <v>14</v>
      </c>
      <c r="H11" s="9" t="s">
        <v>15</v>
      </c>
    </row>
    <row r="12" customFormat="false" ht="34" hidden="false" customHeight="true" outlineLevel="0" collapsed="false">
      <c r="A12" s="12" t="s">
        <v>21</v>
      </c>
      <c r="B12" s="13" t="n">
        <v>1</v>
      </c>
      <c r="C12" s="13" t="n">
        <v>4</v>
      </c>
      <c r="D12" s="12" t="s">
        <v>22</v>
      </c>
      <c r="E12" s="13" t="n">
        <v>1</v>
      </c>
      <c r="F12" s="14" t="n">
        <v>46279</v>
      </c>
      <c r="G12" s="12" t="s">
        <v>14</v>
      </c>
      <c r="H12" s="12" t="s">
        <v>15</v>
      </c>
    </row>
    <row r="13" customFormat="false" ht="34" hidden="false" customHeight="true" outlineLevel="0" collapsed="false">
      <c r="A13" s="9" t="s">
        <v>23</v>
      </c>
      <c r="B13" s="10" t="n">
        <v>1</v>
      </c>
      <c r="C13" s="10" t="n">
        <v>5</v>
      </c>
      <c r="D13" s="9" t="s">
        <v>24</v>
      </c>
      <c r="E13" s="10" t="n">
        <v>1</v>
      </c>
      <c r="F13" s="11" t="n">
        <v>46279</v>
      </c>
      <c r="G13" s="9" t="s">
        <v>14</v>
      </c>
      <c r="H13" s="9" t="s">
        <v>15</v>
      </c>
    </row>
    <row r="14" customFormat="false" ht="34" hidden="false" customHeight="true" outlineLevel="0" collapsed="false">
      <c r="A14" s="12" t="s">
        <v>25</v>
      </c>
      <c r="B14" s="13" t="n">
        <v>1</v>
      </c>
      <c r="C14" s="13" t="n">
        <v>6</v>
      </c>
      <c r="D14" s="12" t="s">
        <v>26</v>
      </c>
      <c r="E14" s="13" t="n">
        <v>1</v>
      </c>
      <c r="F14" s="14" t="n">
        <v>46279</v>
      </c>
      <c r="G14" s="12" t="s">
        <v>14</v>
      </c>
      <c r="H14" s="12" t="s">
        <v>15</v>
      </c>
    </row>
    <row r="15" customFormat="false" ht="34" hidden="false" customHeight="true" outlineLevel="0" collapsed="false">
      <c r="A15" s="9" t="s">
        <v>27</v>
      </c>
      <c r="B15" s="10" t="n">
        <v>2</v>
      </c>
      <c r="C15" s="10" t="n">
        <v>1</v>
      </c>
      <c r="D15" s="9" t="s">
        <v>28</v>
      </c>
      <c r="E15" s="10" t="n">
        <v>1</v>
      </c>
      <c r="F15" s="11" t="n">
        <v>46279</v>
      </c>
      <c r="G15" s="9" t="s">
        <v>14</v>
      </c>
      <c r="H15" s="9" t="s">
        <v>15</v>
      </c>
    </row>
    <row r="16" customFormat="false" ht="34" hidden="false" customHeight="true" outlineLevel="0" collapsed="false">
      <c r="A16" s="12" t="s">
        <v>29</v>
      </c>
      <c r="B16" s="13" t="n">
        <v>2</v>
      </c>
      <c r="C16" s="13" t="n">
        <v>2</v>
      </c>
      <c r="D16" s="12" t="s">
        <v>30</v>
      </c>
      <c r="E16" s="13" t="n">
        <v>1</v>
      </c>
      <c r="F16" s="14" t="n">
        <v>46279</v>
      </c>
      <c r="G16" s="12" t="s">
        <v>14</v>
      </c>
      <c r="H16" s="12" t="s">
        <v>15</v>
      </c>
    </row>
    <row r="17" customFormat="false" ht="34" hidden="false" customHeight="true" outlineLevel="0" collapsed="false">
      <c r="A17" s="9" t="s">
        <v>31</v>
      </c>
      <c r="B17" s="10" t="n">
        <v>2</v>
      </c>
      <c r="C17" s="10" t="n">
        <v>3</v>
      </c>
      <c r="D17" s="9" t="s">
        <v>32</v>
      </c>
      <c r="E17" s="10" t="n">
        <v>1</v>
      </c>
      <c r="F17" s="11" t="n">
        <v>46279</v>
      </c>
      <c r="G17" s="9" t="s">
        <v>33</v>
      </c>
      <c r="H17" s="9" t="s">
        <v>15</v>
      </c>
    </row>
    <row r="18" customFormat="false" ht="34" hidden="false" customHeight="true" outlineLevel="0" collapsed="false">
      <c r="A18" s="12" t="s">
        <v>34</v>
      </c>
      <c r="B18" s="13" t="n">
        <v>2</v>
      </c>
      <c r="C18" s="13" t="n">
        <v>4</v>
      </c>
      <c r="D18" s="12" t="s">
        <v>35</v>
      </c>
      <c r="E18" s="13" t="n">
        <v>1</v>
      </c>
      <c r="F18" s="14" t="n">
        <v>46279</v>
      </c>
      <c r="G18" s="12" t="s">
        <v>14</v>
      </c>
      <c r="H18" s="12" t="s">
        <v>15</v>
      </c>
    </row>
    <row r="19" customFormat="false" ht="34" hidden="false" customHeight="true" outlineLevel="0" collapsed="false">
      <c r="A19" s="9" t="s">
        <v>36</v>
      </c>
      <c r="B19" s="10" t="n">
        <v>2</v>
      </c>
      <c r="C19" s="10" t="n">
        <v>5</v>
      </c>
      <c r="D19" s="9" t="s">
        <v>37</v>
      </c>
      <c r="E19" s="10" t="n">
        <v>1</v>
      </c>
      <c r="F19" s="11" t="n">
        <v>46279</v>
      </c>
      <c r="G19" s="9" t="s">
        <v>14</v>
      </c>
      <c r="H19" s="9" t="s">
        <v>15</v>
      </c>
    </row>
    <row r="20" customFormat="false" ht="34" hidden="false" customHeight="true" outlineLevel="0" collapsed="false">
      <c r="A20" s="12" t="s">
        <v>38</v>
      </c>
      <c r="B20" s="13" t="n">
        <v>2</v>
      </c>
      <c r="C20" s="13" t="n">
        <v>6</v>
      </c>
      <c r="D20" s="12" t="s">
        <v>39</v>
      </c>
      <c r="E20" s="13" t="n">
        <v>1</v>
      </c>
      <c r="F20" s="14" t="n">
        <v>46279</v>
      </c>
      <c r="G20" s="12" t="s">
        <v>14</v>
      </c>
      <c r="H20" s="12" t="s">
        <v>15</v>
      </c>
    </row>
    <row r="21" customFormat="false" ht="34" hidden="false" customHeight="true" outlineLevel="0" collapsed="false">
      <c r="A21" s="9" t="s">
        <v>40</v>
      </c>
      <c r="B21" s="10" t="n">
        <v>3</v>
      </c>
      <c r="C21" s="10" t="n">
        <v>1</v>
      </c>
      <c r="D21" s="9" t="s">
        <v>41</v>
      </c>
      <c r="E21" s="10" t="n">
        <v>1</v>
      </c>
      <c r="F21" s="11" t="n">
        <v>46279</v>
      </c>
      <c r="G21" s="9" t="s">
        <v>14</v>
      </c>
      <c r="H21" s="9" t="s">
        <v>15</v>
      </c>
    </row>
    <row r="22" customFormat="false" ht="34" hidden="false" customHeight="true" outlineLevel="0" collapsed="false">
      <c r="A22" s="12" t="s">
        <v>42</v>
      </c>
      <c r="B22" s="13" t="n">
        <v>3</v>
      </c>
      <c r="C22" s="13" t="n">
        <v>2</v>
      </c>
      <c r="D22" s="12" t="s">
        <v>43</v>
      </c>
      <c r="E22" s="13" t="n">
        <v>1</v>
      </c>
      <c r="F22" s="14" t="n">
        <v>46279</v>
      </c>
      <c r="G22" s="12" t="s">
        <v>14</v>
      </c>
      <c r="H22" s="12" t="s">
        <v>15</v>
      </c>
    </row>
    <row r="23" customFormat="false" ht="34" hidden="false" customHeight="true" outlineLevel="0" collapsed="false">
      <c r="A23" s="9" t="s">
        <v>44</v>
      </c>
      <c r="B23" s="10" t="n">
        <v>3</v>
      </c>
      <c r="C23" s="10" t="n">
        <v>3</v>
      </c>
      <c r="D23" s="9" t="s">
        <v>45</v>
      </c>
      <c r="E23" s="10" t="n">
        <v>1</v>
      </c>
      <c r="F23" s="11" t="n">
        <v>46279</v>
      </c>
      <c r="G23" s="9" t="s">
        <v>14</v>
      </c>
      <c r="H23" s="9" t="s">
        <v>15</v>
      </c>
    </row>
    <row r="24" customFormat="false" ht="34" hidden="false" customHeight="true" outlineLevel="0" collapsed="false">
      <c r="A24" s="12" t="s">
        <v>46</v>
      </c>
      <c r="B24" s="13" t="n">
        <v>3</v>
      </c>
      <c r="C24" s="13" t="n">
        <v>4</v>
      </c>
      <c r="D24" s="12" t="s">
        <v>47</v>
      </c>
      <c r="E24" s="13" t="n">
        <v>1</v>
      </c>
      <c r="F24" s="14" t="n">
        <v>46279</v>
      </c>
      <c r="G24" s="12" t="s">
        <v>48</v>
      </c>
      <c r="H24" s="12" t="s">
        <v>15</v>
      </c>
    </row>
    <row r="25" customFormat="false" ht="34" hidden="false" customHeight="true" outlineLevel="0" collapsed="false">
      <c r="A25" s="9" t="s">
        <v>49</v>
      </c>
      <c r="B25" s="10" t="n">
        <v>3</v>
      </c>
      <c r="C25" s="10" t="n">
        <v>5</v>
      </c>
      <c r="D25" s="9" t="s">
        <v>50</v>
      </c>
      <c r="E25" s="10" t="n">
        <v>1</v>
      </c>
      <c r="F25" s="11" t="n">
        <v>46279</v>
      </c>
      <c r="G25" s="9" t="s">
        <v>14</v>
      </c>
      <c r="H25" s="9" t="s">
        <v>15</v>
      </c>
    </row>
    <row r="26" customFormat="false" ht="34" hidden="false" customHeight="true" outlineLevel="0" collapsed="false">
      <c r="A26" s="12" t="s">
        <v>51</v>
      </c>
      <c r="B26" s="13" t="n">
        <v>3</v>
      </c>
      <c r="C26" s="13" t="n">
        <v>6</v>
      </c>
      <c r="D26" s="12" t="s">
        <v>52</v>
      </c>
      <c r="E26" s="13" t="n">
        <v>1</v>
      </c>
      <c r="F26" s="14" t="n">
        <v>46279</v>
      </c>
      <c r="G26" s="12" t="s">
        <v>14</v>
      </c>
      <c r="H26" s="12" t="s">
        <v>15</v>
      </c>
    </row>
    <row r="27" customFormat="false" ht="34" hidden="false" customHeight="true" outlineLevel="0" collapsed="false">
      <c r="A27" s="9" t="s">
        <v>53</v>
      </c>
      <c r="B27" s="10" t="n">
        <v>4</v>
      </c>
      <c r="C27" s="10" t="n">
        <v>1</v>
      </c>
      <c r="D27" s="9" t="s">
        <v>54</v>
      </c>
      <c r="E27" s="10" t="n">
        <v>1</v>
      </c>
      <c r="F27" s="11" t="n">
        <v>46279</v>
      </c>
      <c r="G27" s="9" t="s">
        <v>14</v>
      </c>
      <c r="H27" s="9" t="s">
        <v>15</v>
      </c>
    </row>
    <row r="28" customFormat="false" ht="34" hidden="false" customHeight="true" outlineLevel="0" collapsed="false">
      <c r="A28" s="12" t="s">
        <v>55</v>
      </c>
      <c r="B28" s="13" t="n">
        <v>4</v>
      </c>
      <c r="C28" s="13" t="n">
        <v>2</v>
      </c>
      <c r="D28" s="12" t="s">
        <v>56</v>
      </c>
      <c r="E28" s="13" t="n">
        <v>1</v>
      </c>
      <c r="F28" s="14" t="n">
        <v>46279</v>
      </c>
      <c r="G28" s="12" t="s">
        <v>14</v>
      </c>
      <c r="H28" s="12" t="s">
        <v>15</v>
      </c>
    </row>
    <row r="29" customFormat="false" ht="34" hidden="false" customHeight="true" outlineLevel="0" collapsed="false">
      <c r="A29" s="9" t="s">
        <v>57</v>
      </c>
      <c r="B29" s="10" t="n">
        <v>4</v>
      </c>
      <c r="C29" s="10" t="n">
        <v>3</v>
      </c>
      <c r="D29" s="9" t="s">
        <v>58</v>
      </c>
      <c r="E29" s="10" t="n">
        <v>1</v>
      </c>
      <c r="F29" s="11" t="n">
        <v>46279</v>
      </c>
      <c r="G29" s="9" t="s">
        <v>14</v>
      </c>
      <c r="H29" s="9" t="s">
        <v>15</v>
      </c>
    </row>
    <row r="30" customFormat="false" ht="34" hidden="false" customHeight="true" outlineLevel="0" collapsed="false">
      <c r="A30" s="12" t="s">
        <v>59</v>
      </c>
      <c r="B30" s="13" t="n">
        <v>4</v>
      </c>
      <c r="C30" s="13" t="n">
        <v>4</v>
      </c>
      <c r="D30" s="12" t="s">
        <v>60</v>
      </c>
      <c r="E30" s="13" t="n">
        <v>1</v>
      </c>
      <c r="F30" s="14" t="n">
        <v>46279</v>
      </c>
      <c r="G30" s="12" t="s">
        <v>14</v>
      </c>
      <c r="H30" s="12" t="s">
        <v>15</v>
      </c>
    </row>
    <row r="31" customFormat="false" ht="34" hidden="false" customHeight="true" outlineLevel="0" collapsed="false">
      <c r="A31" s="9" t="s">
        <v>61</v>
      </c>
      <c r="B31" s="10" t="n">
        <v>4</v>
      </c>
      <c r="C31" s="10" t="n">
        <v>5</v>
      </c>
      <c r="D31" s="9" t="s">
        <v>62</v>
      </c>
      <c r="E31" s="10" t="n">
        <v>1</v>
      </c>
      <c r="F31" s="11" t="n">
        <v>46279</v>
      </c>
      <c r="G31" s="9" t="s">
        <v>14</v>
      </c>
      <c r="H31" s="9" t="s">
        <v>15</v>
      </c>
    </row>
    <row r="32" customFormat="false" ht="34" hidden="false" customHeight="true" outlineLevel="0" collapsed="false">
      <c r="A32" s="12" t="s">
        <v>63</v>
      </c>
      <c r="B32" s="13" t="n">
        <v>4</v>
      </c>
      <c r="C32" s="13" t="n">
        <v>6</v>
      </c>
      <c r="D32" s="12" t="s">
        <v>64</v>
      </c>
      <c r="E32" s="13" t="n">
        <v>1</v>
      </c>
      <c r="F32" s="14" t="n">
        <v>46279</v>
      </c>
      <c r="G32" s="12" t="s">
        <v>14</v>
      </c>
      <c r="H32" s="12" t="s">
        <v>15</v>
      </c>
    </row>
    <row r="33" customFormat="false" ht="34" hidden="false" customHeight="true" outlineLevel="0" collapsed="false">
      <c r="A33" s="9" t="s">
        <v>65</v>
      </c>
      <c r="B33" s="10" t="n">
        <v>5</v>
      </c>
      <c r="C33" s="10" t="n">
        <v>1</v>
      </c>
      <c r="D33" s="9" t="s">
        <v>66</v>
      </c>
      <c r="E33" s="10" t="n">
        <v>1</v>
      </c>
      <c r="F33" s="11" t="n">
        <v>46279</v>
      </c>
      <c r="G33" s="9" t="s">
        <v>14</v>
      </c>
      <c r="H33" s="9" t="s">
        <v>15</v>
      </c>
    </row>
    <row r="34" customFormat="false" ht="34" hidden="false" customHeight="true" outlineLevel="0" collapsed="false">
      <c r="A34" s="12" t="s">
        <v>67</v>
      </c>
      <c r="B34" s="13" t="n">
        <v>5</v>
      </c>
      <c r="C34" s="13" t="n">
        <v>2</v>
      </c>
      <c r="D34" s="12" t="s">
        <v>68</v>
      </c>
      <c r="E34" s="13" t="n">
        <v>1</v>
      </c>
      <c r="F34" s="14" t="n">
        <v>46279</v>
      </c>
      <c r="G34" s="12" t="s">
        <v>14</v>
      </c>
      <c r="H34" s="12" t="s">
        <v>15</v>
      </c>
    </row>
    <row r="35" customFormat="false" ht="34" hidden="false" customHeight="true" outlineLevel="0" collapsed="false">
      <c r="A35" s="9" t="s">
        <v>69</v>
      </c>
      <c r="B35" s="10" t="n">
        <v>5</v>
      </c>
      <c r="C35" s="10" t="n">
        <v>3</v>
      </c>
      <c r="D35" s="9" t="s">
        <v>70</v>
      </c>
      <c r="E35" s="10" t="n">
        <v>1</v>
      </c>
      <c r="F35" s="11" t="n">
        <v>46279</v>
      </c>
      <c r="G35" s="9" t="s">
        <v>71</v>
      </c>
      <c r="H35" s="9" t="s">
        <v>15</v>
      </c>
    </row>
    <row r="36" customFormat="false" ht="34" hidden="false" customHeight="true" outlineLevel="0" collapsed="false">
      <c r="A36" s="12" t="s">
        <v>72</v>
      </c>
      <c r="B36" s="13" t="n">
        <v>5</v>
      </c>
      <c r="C36" s="13" t="n">
        <v>4</v>
      </c>
      <c r="D36" s="12" t="s">
        <v>73</v>
      </c>
      <c r="E36" s="13" t="n">
        <v>1</v>
      </c>
      <c r="F36" s="14" t="n">
        <v>46279</v>
      </c>
      <c r="G36" s="12" t="s">
        <v>14</v>
      </c>
      <c r="H36" s="12" t="s">
        <v>15</v>
      </c>
    </row>
    <row r="37" customFormat="false" ht="34" hidden="false" customHeight="true" outlineLevel="0" collapsed="false">
      <c r="A37" s="9" t="s">
        <v>74</v>
      </c>
      <c r="B37" s="10" t="n">
        <v>5</v>
      </c>
      <c r="C37" s="10" t="n">
        <v>5</v>
      </c>
      <c r="D37" s="9" t="s">
        <v>75</v>
      </c>
      <c r="E37" s="10" t="n">
        <v>1</v>
      </c>
      <c r="F37" s="11" t="n">
        <v>46279</v>
      </c>
      <c r="G37" s="9" t="s">
        <v>14</v>
      </c>
      <c r="H37" s="9" t="s">
        <v>15</v>
      </c>
    </row>
    <row r="38" customFormat="false" ht="34" hidden="false" customHeight="true" outlineLevel="0" collapsed="false">
      <c r="A38" s="12" t="s">
        <v>76</v>
      </c>
      <c r="B38" s="13" t="n">
        <v>5</v>
      </c>
      <c r="C38" s="13" t="n">
        <v>6</v>
      </c>
      <c r="D38" s="12" t="s">
        <v>77</v>
      </c>
      <c r="E38" s="13" t="n">
        <v>1</v>
      </c>
      <c r="F38" s="14" t="n">
        <v>46279</v>
      </c>
      <c r="G38" s="12" t="s">
        <v>78</v>
      </c>
      <c r="H38" s="12" t="s">
        <v>15</v>
      </c>
    </row>
    <row r="39" customFormat="false" ht="34" hidden="false" customHeight="true" outlineLevel="0" collapsed="false">
      <c r="A39" s="9" t="s">
        <v>79</v>
      </c>
      <c r="B39" s="10" t="n">
        <v>6</v>
      </c>
      <c r="C39" s="10" t="n">
        <v>1</v>
      </c>
      <c r="D39" s="9" t="s">
        <v>80</v>
      </c>
      <c r="E39" s="10" t="n">
        <v>1</v>
      </c>
      <c r="F39" s="11" t="n">
        <v>46279</v>
      </c>
      <c r="G39" s="9" t="s">
        <v>14</v>
      </c>
      <c r="H39" s="9" t="s">
        <v>15</v>
      </c>
    </row>
    <row r="40" customFormat="false" ht="34" hidden="false" customHeight="true" outlineLevel="0" collapsed="false">
      <c r="A40" s="12" t="s">
        <v>81</v>
      </c>
      <c r="B40" s="13" t="n">
        <v>6</v>
      </c>
      <c r="C40" s="13" t="n">
        <v>2</v>
      </c>
      <c r="D40" s="12" t="s">
        <v>82</v>
      </c>
      <c r="E40" s="13" t="n">
        <v>1</v>
      </c>
      <c r="F40" s="14" t="n">
        <v>46279</v>
      </c>
      <c r="G40" s="12" t="s">
        <v>14</v>
      </c>
      <c r="H40" s="12" t="s">
        <v>15</v>
      </c>
    </row>
    <row r="41" customFormat="false" ht="34" hidden="false" customHeight="true" outlineLevel="0" collapsed="false">
      <c r="A41" s="9" t="s">
        <v>83</v>
      </c>
      <c r="B41" s="10" t="n">
        <v>6</v>
      </c>
      <c r="C41" s="10" t="n">
        <v>3</v>
      </c>
      <c r="D41" s="9" t="s">
        <v>84</v>
      </c>
      <c r="E41" s="10" t="n">
        <v>1</v>
      </c>
      <c r="F41" s="11" t="n">
        <v>46279</v>
      </c>
      <c r="G41" s="9" t="s">
        <v>14</v>
      </c>
      <c r="H41" s="9" t="s">
        <v>15</v>
      </c>
    </row>
    <row r="42" customFormat="false" ht="34" hidden="false" customHeight="true" outlineLevel="0" collapsed="false">
      <c r="A42" s="12" t="s">
        <v>85</v>
      </c>
      <c r="B42" s="13" t="n">
        <v>6</v>
      </c>
      <c r="C42" s="13" t="n">
        <v>4</v>
      </c>
      <c r="D42" s="12" t="s">
        <v>86</v>
      </c>
      <c r="E42" s="13" t="n">
        <v>1</v>
      </c>
      <c r="F42" s="14" t="n">
        <v>46279</v>
      </c>
      <c r="G42" s="12" t="s">
        <v>14</v>
      </c>
      <c r="H42" s="12" t="s">
        <v>15</v>
      </c>
    </row>
    <row r="43" customFormat="false" ht="34" hidden="false" customHeight="true" outlineLevel="0" collapsed="false">
      <c r="A43" s="9" t="s">
        <v>87</v>
      </c>
      <c r="B43" s="10" t="n">
        <v>6</v>
      </c>
      <c r="C43" s="10" t="n">
        <v>5</v>
      </c>
      <c r="D43" s="9" t="s">
        <v>88</v>
      </c>
      <c r="E43" s="10" t="n">
        <v>1</v>
      </c>
      <c r="F43" s="11" t="n">
        <v>46279</v>
      </c>
      <c r="G43" s="9" t="s">
        <v>14</v>
      </c>
      <c r="H43" s="9" t="s">
        <v>15</v>
      </c>
    </row>
    <row r="44" customFormat="false" ht="34" hidden="false" customHeight="true" outlineLevel="0" collapsed="false">
      <c r="A44" s="12" t="s">
        <v>87</v>
      </c>
      <c r="B44" s="13" t="n">
        <v>6</v>
      </c>
      <c r="C44" s="13" t="n">
        <v>6</v>
      </c>
      <c r="D44" s="12" t="s">
        <v>89</v>
      </c>
      <c r="E44" s="13" t="n">
        <v>1</v>
      </c>
      <c r="F44" s="14" t="n">
        <v>46279</v>
      </c>
      <c r="G44" s="12" t="s">
        <v>78</v>
      </c>
      <c r="H44" s="12" t="s">
        <v>15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2026-09-28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7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37"/>
  </cols>
  <sheetData>
    <row r="1" customFormat="false" ht="34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29" hidden="false" customHeight="true" outlineLevel="0" collapsed="false">
      <c r="A2" s="2" t="s">
        <v>91</v>
      </c>
      <c r="B2" s="2"/>
      <c r="C2" s="2"/>
      <c r="D2" s="2"/>
      <c r="E2" s="2"/>
      <c r="F2" s="2"/>
      <c r="G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29" hidden="false" customHeight="true" outlineLevel="0" collapsed="false">
      <c r="A5" s="6" t="n">
        <v>18</v>
      </c>
      <c r="B5" s="6"/>
      <c r="C5" s="6"/>
      <c r="D5" s="6"/>
      <c r="E5" s="6"/>
      <c r="F5" s="6"/>
      <c r="G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</row>
    <row r="8" customFormat="false" ht="42" hidden="false" customHeight="true" outlineLevel="0" collapsed="false">
      <c r="A8" s="8" t="s">
        <v>92</v>
      </c>
      <c r="B8" s="8" t="s">
        <v>93</v>
      </c>
      <c r="C8" s="8" t="s">
        <v>94</v>
      </c>
      <c r="D8" s="8" t="s">
        <v>95</v>
      </c>
      <c r="E8" s="8" t="s">
        <v>96</v>
      </c>
      <c r="F8" s="8" t="s">
        <v>97</v>
      </c>
      <c r="G8" s="8" t="s">
        <v>98</v>
      </c>
    </row>
    <row r="9" customFormat="false" ht="22" hidden="false" customHeight="true" outlineLevel="0" collapsed="false">
      <c r="A9" s="9" t="s">
        <v>99</v>
      </c>
      <c r="B9" s="9" t="s">
        <v>100</v>
      </c>
      <c r="C9" s="15" t="n">
        <v>12</v>
      </c>
      <c r="D9" s="9" t="s">
        <v>101</v>
      </c>
      <c r="E9" s="11" t="n">
        <v>46280</v>
      </c>
      <c r="F9" s="9" t="s">
        <v>102</v>
      </c>
      <c r="G9" s="9" t="s">
        <v>103</v>
      </c>
    </row>
    <row r="10" customFormat="false" ht="22" hidden="false" customHeight="true" outlineLevel="0" collapsed="false">
      <c r="A10" s="12" t="s">
        <v>99</v>
      </c>
      <c r="B10" s="12" t="s">
        <v>104</v>
      </c>
      <c r="C10" s="16" t="n">
        <v>12</v>
      </c>
      <c r="D10" s="12" t="s">
        <v>101</v>
      </c>
      <c r="E10" s="14" t="n">
        <v>46280</v>
      </c>
      <c r="F10" s="12" t="s">
        <v>102</v>
      </c>
      <c r="G10" s="12" t="s">
        <v>103</v>
      </c>
    </row>
    <row r="11" customFormat="false" ht="22" hidden="false" customHeight="true" outlineLevel="0" collapsed="false">
      <c r="A11" s="9" t="s">
        <v>99</v>
      </c>
      <c r="B11" s="9" t="s">
        <v>105</v>
      </c>
      <c r="C11" s="15" t="n">
        <v>3.2</v>
      </c>
      <c r="D11" s="9" t="s">
        <v>101</v>
      </c>
      <c r="E11" s="11" t="n">
        <v>46280</v>
      </c>
      <c r="F11" s="9" t="s">
        <v>106</v>
      </c>
      <c r="G11" s="9" t="s">
        <v>103</v>
      </c>
    </row>
    <row r="12" customFormat="false" ht="22" hidden="false" customHeight="true" outlineLevel="0" collapsed="false">
      <c r="A12" s="12" t="s">
        <v>99</v>
      </c>
      <c r="B12" s="12" t="s">
        <v>107</v>
      </c>
      <c r="C12" s="16" t="n">
        <f aca="false">C9*C10</f>
        <v>144</v>
      </c>
      <c r="D12" s="12" t="s">
        <v>108</v>
      </c>
      <c r="E12" s="14" t="n">
        <v>46280</v>
      </c>
      <c r="F12" s="12" t="s">
        <v>109</v>
      </c>
      <c r="G12" s="12" t="s">
        <v>103</v>
      </c>
    </row>
    <row r="13" customFormat="false" ht="22" hidden="false" customHeight="true" outlineLevel="0" collapsed="false">
      <c r="A13" s="9" t="s">
        <v>110</v>
      </c>
      <c r="B13" s="9" t="s">
        <v>111</v>
      </c>
      <c r="C13" s="15" t="n">
        <v>600</v>
      </c>
      <c r="D13" s="9" t="s">
        <v>112</v>
      </c>
      <c r="E13" s="11" t="n">
        <v>46280</v>
      </c>
      <c r="F13" s="9" t="s">
        <v>113</v>
      </c>
      <c r="G13" s="9" t="s">
        <v>103</v>
      </c>
    </row>
    <row r="14" customFormat="false" ht="22" hidden="false" customHeight="true" outlineLevel="0" collapsed="false">
      <c r="A14" s="12" t="s">
        <v>114</v>
      </c>
      <c r="B14" s="12" t="s">
        <v>115</v>
      </c>
      <c r="C14" s="16" t="n">
        <v>595</v>
      </c>
      <c r="D14" s="12" t="s">
        <v>112</v>
      </c>
      <c r="E14" s="14" t="n">
        <v>46290</v>
      </c>
      <c r="F14" s="12" t="s">
        <v>116</v>
      </c>
      <c r="G14" s="12" t="s">
        <v>117</v>
      </c>
    </row>
    <row r="15" customFormat="false" ht="34" hidden="false" customHeight="true" outlineLevel="0" collapsed="false">
      <c r="A15" s="9" t="s">
        <v>114</v>
      </c>
      <c r="B15" s="9" t="s">
        <v>118</v>
      </c>
      <c r="C15" s="15" t="n">
        <v>568</v>
      </c>
      <c r="D15" s="9" t="s">
        <v>112</v>
      </c>
      <c r="E15" s="11" t="n">
        <v>46290</v>
      </c>
      <c r="F15" s="9" t="s">
        <v>119</v>
      </c>
      <c r="G15" s="9" t="s">
        <v>117</v>
      </c>
    </row>
    <row r="16" customFormat="false" ht="22" hidden="false" customHeight="true" outlineLevel="0" collapsed="false">
      <c r="A16" s="12" t="s">
        <v>114</v>
      </c>
      <c r="B16" s="12" t="s">
        <v>120</v>
      </c>
      <c r="C16" s="16" t="n">
        <v>4000</v>
      </c>
      <c r="D16" s="12" t="s">
        <v>121</v>
      </c>
      <c r="E16" s="14" t="n">
        <v>46290</v>
      </c>
      <c r="F16" s="12" t="s">
        <v>122</v>
      </c>
      <c r="G16" s="12" t="s">
        <v>117</v>
      </c>
    </row>
    <row r="17" customFormat="false" ht="22" hidden="false" customHeight="true" outlineLevel="0" collapsed="false">
      <c r="A17" s="9" t="s">
        <v>114</v>
      </c>
      <c r="B17" s="9" t="s">
        <v>123</v>
      </c>
      <c r="C17" s="15" t="n">
        <v>28</v>
      </c>
      <c r="D17" s="9" t="s">
        <v>124</v>
      </c>
      <c r="E17" s="11" t="n">
        <v>46290</v>
      </c>
      <c r="F17" s="9" t="s">
        <v>125</v>
      </c>
      <c r="G17" s="9" t="s">
        <v>117</v>
      </c>
    </row>
    <row r="18" customFormat="false" ht="22" hidden="false" customHeight="true" outlineLevel="0" collapsed="false">
      <c r="A18" s="12" t="s">
        <v>114</v>
      </c>
      <c r="B18" s="12" t="s">
        <v>126</v>
      </c>
      <c r="C18" s="16" t="n">
        <v>3600</v>
      </c>
      <c r="D18" s="12" t="s">
        <v>127</v>
      </c>
      <c r="E18" s="14" t="n">
        <v>46290</v>
      </c>
      <c r="F18" s="12" t="s">
        <v>128</v>
      </c>
      <c r="G18" s="12" t="s">
        <v>117</v>
      </c>
    </row>
    <row r="19" customFormat="false" ht="34" hidden="false" customHeight="true" outlineLevel="0" collapsed="false">
      <c r="A19" s="9" t="s">
        <v>114</v>
      </c>
      <c r="B19" s="9" t="s">
        <v>129</v>
      </c>
      <c r="C19" s="15" t="n">
        <v>1</v>
      </c>
      <c r="D19" s="9" t="s">
        <v>130</v>
      </c>
      <c r="E19" s="11" t="n">
        <v>46290</v>
      </c>
      <c r="F19" s="9" t="s">
        <v>131</v>
      </c>
      <c r="G19" s="9" t="s">
        <v>117</v>
      </c>
    </row>
    <row r="20" customFormat="false" ht="34" hidden="false" customHeight="true" outlineLevel="0" collapsed="false">
      <c r="A20" s="12" t="s">
        <v>114</v>
      </c>
      <c r="B20" s="12" t="s">
        <v>132</v>
      </c>
      <c r="C20" s="16" t="n">
        <v>10</v>
      </c>
      <c r="D20" s="12" t="s">
        <v>130</v>
      </c>
      <c r="E20" s="14" t="n">
        <v>46290</v>
      </c>
      <c r="F20" s="12" t="s">
        <v>133</v>
      </c>
      <c r="G20" s="12" t="s">
        <v>117</v>
      </c>
    </row>
    <row r="21" customFormat="false" ht="22" hidden="false" customHeight="true" outlineLevel="0" collapsed="false">
      <c r="A21" s="9" t="s">
        <v>134</v>
      </c>
      <c r="B21" s="9" t="s">
        <v>135</v>
      </c>
      <c r="C21" s="15" t="n">
        <v>6</v>
      </c>
      <c r="D21" s="9" t="s">
        <v>136</v>
      </c>
      <c r="E21" s="11" t="n">
        <v>46293</v>
      </c>
      <c r="F21" s="9" t="s">
        <v>137</v>
      </c>
      <c r="G21" s="9" t="s">
        <v>138</v>
      </c>
    </row>
    <row r="22" customFormat="false" ht="22" hidden="false" customHeight="true" outlineLevel="0" collapsed="false">
      <c r="A22" s="12" t="s">
        <v>139</v>
      </c>
      <c r="B22" s="12" t="s">
        <v>140</v>
      </c>
      <c r="C22" s="16" t="n">
        <v>2</v>
      </c>
      <c r="D22" s="12" t="s">
        <v>4</v>
      </c>
      <c r="E22" s="14" t="n">
        <v>46293</v>
      </c>
      <c r="F22" s="12" t="s">
        <v>141</v>
      </c>
      <c r="G22" s="12" t="s">
        <v>138</v>
      </c>
    </row>
    <row r="23" customFormat="false" ht="22" hidden="false" customHeight="true" outlineLevel="0" collapsed="false">
      <c r="A23" s="9" t="s">
        <v>142</v>
      </c>
      <c r="B23" s="9" t="s">
        <v>143</v>
      </c>
      <c r="C23" s="15" t="n">
        <v>3</v>
      </c>
      <c r="D23" s="9" t="s">
        <v>4</v>
      </c>
      <c r="E23" s="11" t="n">
        <v>46293</v>
      </c>
      <c r="F23" s="9" t="s">
        <v>144</v>
      </c>
      <c r="G23" s="9" t="s">
        <v>138</v>
      </c>
    </row>
    <row r="24" customFormat="false" ht="22" hidden="false" customHeight="true" outlineLevel="0" collapsed="false">
      <c r="A24" s="12" t="s">
        <v>145</v>
      </c>
      <c r="B24" s="12" t="s">
        <v>143</v>
      </c>
      <c r="C24" s="16" t="n">
        <v>3</v>
      </c>
      <c r="D24" s="12" t="s">
        <v>4</v>
      </c>
      <c r="E24" s="14" t="n">
        <v>46293</v>
      </c>
      <c r="F24" s="12" t="s">
        <v>144</v>
      </c>
      <c r="G24" s="12" t="s">
        <v>138</v>
      </c>
    </row>
    <row r="25" customFormat="false" ht="22" hidden="false" customHeight="true" outlineLevel="0" collapsed="false">
      <c r="A25" s="9" t="s">
        <v>146</v>
      </c>
      <c r="B25" s="9" t="s">
        <v>143</v>
      </c>
      <c r="C25" s="15" t="n">
        <v>3</v>
      </c>
      <c r="D25" s="9" t="s">
        <v>4</v>
      </c>
      <c r="E25" s="11" t="n">
        <v>46293</v>
      </c>
      <c r="F25" s="9" t="s">
        <v>144</v>
      </c>
      <c r="G25" s="9" t="s">
        <v>138</v>
      </c>
    </row>
    <row r="26" customFormat="false" ht="34" hidden="false" customHeight="true" outlineLevel="0" collapsed="false">
      <c r="A26" s="12" t="s">
        <v>147</v>
      </c>
      <c r="B26" s="12" t="s">
        <v>148</v>
      </c>
      <c r="C26" s="16" t="n">
        <v>180</v>
      </c>
      <c r="D26" s="12" t="s">
        <v>101</v>
      </c>
      <c r="E26" s="14" t="n">
        <v>46281</v>
      </c>
      <c r="F26" s="12" t="s">
        <v>149</v>
      </c>
      <c r="G26" s="12" t="s">
        <v>150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2026-09-28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6" min="6" style="0" width="38"/>
    <col collapsed="false" customWidth="true" hidden="false" outlineLevel="0" max="7" min="7" style="0" width="27"/>
    <col collapsed="false" customWidth="true" hidden="false" outlineLevel="0" max="8" min="8" style="0" width="33"/>
  </cols>
  <sheetData>
    <row r="1" customFormat="false" ht="34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152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5" t="s">
        <v>153</v>
      </c>
      <c r="F4" s="4"/>
      <c r="G4" s="4"/>
      <c r="H4" s="4"/>
    </row>
    <row r="5" customFormat="false" ht="29" hidden="false" customHeight="true" outlineLevel="0" collapsed="false">
      <c r="A5" s="6" t="n">
        <v>10</v>
      </c>
      <c r="B5" s="6"/>
      <c r="C5" s="6"/>
      <c r="D5" s="6"/>
      <c r="E5" s="17" t="n">
        <f aca="false">SUM(E9:E18)</f>
        <v>100</v>
      </c>
      <c r="F5" s="6"/>
      <c r="G5" s="6"/>
      <c r="H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8" t="s">
        <v>154</v>
      </c>
      <c r="B8" s="8" t="s">
        <v>155</v>
      </c>
      <c r="C8" s="8" t="s">
        <v>156</v>
      </c>
      <c r="D8" s="8" t="s">
        <v>157</v>
      </c>
      <c r="E8" s="8" t="s">
        <v>153</v>
      </c>
      <c r="F8" s="8" t="s">
        <v>158</v>
      </c>
      <c r="G8" s="8" t="s">
        <v>96</v>
      </c>
      <c r="H8" s="8" t="s">
        <v>98</v>
      </c>
    </row>
    <row r="9" customFormat="false" ht="34" hidden="false" customHeight="true" outlineLevel="0" collapsed="false">
      <c r="A9" s="11" t="n">
        <v>46335</v>
      </c>
      <c r="B9" s="9" t="s">
        <v>159</v>
      </c>
      <c r="C9" s="18" t="n">
        <v>0.291666666666667</v>
      </c>
      <c r="D9" s="18" t="n">
        <v>0.708333333333333</v>
      </c>
      <c r="E9" s="15" t="n">
        <f aca="false">ROUND((D9-C9)*24,2)</f>
        <v>10</v>
      </c>
      <c r="F9" s="9" t="s">
        <v>160</v>
      </c>
      <c r="G9" s="9" t="s">
        <v>161</v>
      </c>
      <c r="H9" s="9" t="s">
        <v>162</v>
      </c>
    </row>
    <row r="10" customFormat="false" ht="34" hidden="false" customHeight="true" outlineLevel="0" collapsed="false">
      <c r="A10" s="14" t="n">
        <v>46336</v>
      </c>
      <c r="B10" s="12" t="s">
        <v>163</v>
      </c>
      <c r="C10" s="19" t="n">
        <v>0.291666666666667</v>
      </c>
      <c r="D10" s="19" t="n">
        <v>0.708333333333333</v>
      </c>
      <c r="E10" s="16" t="n">
        <f aca="false">ROUND((D10-C10)*24,2)</f>
        <v>10</v>
      </c>
      <c r="F10" s="12" t="s">
        <v>164</v>
      </c>
      <c r="G10" s="12" t="s">
        <v>165</v>
      </c>
      <c r="H10" s="12" t="s">
        <v>166</v>
      </c>
    </row>
    <row r="11" customFormat="false" ht="34" hidden="false" customHeight="true" outlineLevel="0" collapsed="false">
      <c r="A11" s="11" t="n">
        <v>46337</v>
      </c>
      <c r="B11" s="9" t="s">
        <v>167</v>
      </c>
      <c r="C11" s="18" t="n">
        <v>0.291666666666667</v>
      </c>
      <c r="D11" s="18" t="n">
        <v>0.708333333333333</v>
      </c>
      <c r="E11" s="15" t="n">
        <f aca="false">ROUND((D11-C11)*24,2)</f>
        <v>10</v>
      </c>
      <c r="F11" s="9" t="s">
        <v>168</v>
      </c>
      <c r="G11" s="9" t="s">
        <v>165</v>
      </c>
      <c r="H11" s="9" t="s">
        <v>166</v>
      </c>
    </row>
    <row r="12" customFormat="false" ht="34" hidden="false" customHeight="true" outlineLevel="0" collapsed="false">
      <c r="A12" s="14" t="n">
        <v>46338</v>
      </c>
      <c r="B12" s="12" t="s">
        <v>169</v>
      </c>
      <c r="C12" s="19" t="n">
        <v>0.291666666666667</v>
      </c>
      <c r="D12" s="19" t="n">
        <v>0.708333333333333</v>
      </c>
      <c r="E12" s="16" t="n">
        <f aca="false">ROUND((D12-C12)*24,2)</f>
        <v>10</v>
      </c>
      <c r="F12" s="12" t="s">
        <v>170</v>
      </c>
      <c r="G12" s="12" t="s">
        <v>171</v>
      </c>
      <c r="H12" s="12" t="s">
        <v>166</v>
      </c>
    </row>
    <row r="13" customFormat="false" ht="34" hidden="false" customHeight="true" outlineLevel="0" collapsed="false">
      <c r="A13" s="11" t="n">
        <v>46339</v>
      </c>
      <c r="B13" s="9" t="s">
        <v>172</v>
      </c>
      <c r="C13" s="18" t="n">
        <v>0.291666666666667</v>
      </c>
      <c r="D13" s="18" t="n">
        <v>0.708333333333333</v>
      </c>
      <c r="E13" s="15" t="n">
        <f aca="false">ROUND((D13-C13)*24,2)</f>
        <v>10</v>
      </c>
      <c r="F13" s="9" t="s">
        <v>164</v>
      </c>
      <c r="G13" s="9" t="s">
        <v>173</v>
      </c>
      <c r="H13" s="9" t="s">
        <v>166</v>
      </c>
    </row>
    <row r="14" customFormat="false" ht="34" hidden="false" customHeight="true" outlineLevel="0" collapsed="false">
      <c r="A14" s="14" t="n">
        <v>46342</v>
      </c>
      <c r="B14" s="12" t="s">
        <v>159</v>
      </c>
      <c r="C14" s="19" t="n">
        <v>0.291666666666667</v>
      </c>
      <c r="D14" s="19" t="n">
        <v>0.708333333333333</v>
      </c>
      <c r="E14" s="16" t="n">
        <f aca="false">ROUND((D14-C14)*24,2)</f>
        <v>10</v>
      </c>
      <c r="F14" s="12" t="s">
        <v>174</v>
      </c>
      <c r="G14" s="12" t="s">
        <v>165</v>
      </c>
      <c r="H14" s="12" t="s">
        <v>166</v>
      </c>
    </row>
    <row r="15" customFormat="false" ht="34" hidden="false" customHeight="true" outlineLevel="0" collapsed="false">
      <c r="A15" s="11" t="n">
        <v>46343</v>
      </c>
      <c r="B15" s="9" t="s">
        <v>163</v>
      </c>
      <c r="C15" s="18" t="n">
        <v>0.291666666666667</v>
      </c>
      <c r="D15" s="18" t="n">
        <v>0.708333333333333</v>
      </c>
      <c r="E15" s="15" t="n">
        <f aca="false">ROUND((D15-C15)*24,2)</f>
        <v>10</v>
      </c>
      <c r="F15" s="9" t="s">
        <v>170</v>
      </c>
      <c r="G15" s="9" t="s">
        <v>171</v>
      </c>
      <c r="H15" s="9" t="s">
        <v>166</v>
      </c>
    </row>
    <row r="16" customFormat="false" ht="34" hidden="false" customHeight="true" outlineLevel="0" collapsed="false">
      <c r="A16" s="14" t="n">
        <v>46344</v>
      </c>
      <c r="B16" s="12" t="s">
        <v>167</v>
      </c>
      <c r="C16" s="19" t="n">
        <v>0.291666666666667</v>
      </c>
      <c r="D16" s="19" t="n">
        <v>0.708333333333333</v>
      </c>
      <c r="E16" s="16" t="n">
        <f aca="false">ROUND((D16-C16)*24,2)</f>
        <v>10</v>
      </c>
      <c r="F16" s="12" t="s">
        <v>168</v>
      </c>
      <c r="G16" s="12" t="s">
        <v>165</v>
      </c>
      <c r="H16" s="12" t="s">
        <v>166</v>
      </c>
    </row>
    <row r="17" customFormat="false" ht="34" hidden="false" customHeight="true" outlineLevel="0" collapsed="false">
      <c r="A17" s="11" t="n">
        <v>46345</v>
      </c>
      <c r="B17" s="9" t="s">
        <v>169</v>
      </c>
      <c r="C17" s="18" t="n">
        <v>0.291666666666667</v>
      </c>
      <c r="D17" s="18" t="n">
        <v>0.708333333333333</v>
      </c>
      <c r="E17" s="15" t="n">
        <f aca="false">ROUND((D17-C17)*24,2)</f>
        <v>10</v>
      </c>
      <c r="F17" s="9" t="s">
        <v>164</v>
      </c>
      <c r="G17" s="9" t="s">
        <v>165</v>
      </c>
      <c r="H17" s="9" t="s">
        <v>166</v>
      </c>
    </row>
    <row r="18" customFormat="false" ht="34" hidden="false" customHeight="true" outlineLevel="0" collapsed="false">
      <c r="A18" s="14" t="n">
        <v>46346</v>
      </c>
      <c r="B18" s="12" t="s">
        <v>172</v>
      </c>
      <c r="C18" s="19" t="n">
        <v>0.291666666666667</v>
      </c>
      <c r="D18" s="19" t="n">
        <v>0.708333333333333</v>
      </c>
      <c r="E18" s="16" t="n">
        <f aca="false">ROUND((D18-C18)*24,2)</f>
        <v>10</v>
      </c>
      <c r="F18" s="12" t="s">
        <v>175</v>
      </c>
      <c r="G18" s="12" t="s">
        <v>176</v>
      </c>
      <c r="H18" s="12" t="s">
        <v>177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2026-09-28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