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Gerätewerte" sheetId="1" state="visible" ns1:id="rId3"/>
    <ns0:sheet name="Nachweisstand" sheetId="2" state="visible" ns1:id="rId4"/>
  </ns0:sheets>
  <ns0:definedNames>
    <ns0:definedName name="_xlnm.Print_Area" localSheetId="0">'Gerätewerte'!$A$1:$E$36</ns0:definedName>
    <ns0:definedName name="_xlnm.Print_Area" localSheetId="1">'Nachweisstand'!$A$1:$D$26</ns0:definedName>
    <ns0:definedName name="_xlnm.Print_Titles" localSheetId="1">'Nachweisstand'!$5:$5</ns0:definedName>
  </ns0:definedNames>
  <ns0:calcPr iterateCount="100" refMode="A1" iterate="false" iterateDelta="0.0001" calcMode="auto" fullCalcOnLoad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<sst xmlns="http://schemas.openxmlformats.org/spreadsheetml/2006/main" count="95" uniqueCount="85">
  <si>
    <t xml:space="preserve">Nachvollzug der technischen Gerätewerte</t>
  </si>
  <si>
    <t xml:space="preserve">Nora Brandt · 25.09.2026, 12:45 Uhr · Quelle: 03 Abschnitt 4 und 21 Abschnitte 2–4</t>
  </si>
  <si>
    <t xml:space="preserve">Größe und Rechenschritt</t>
  </si>
  <si>
    <t xml:space="preserve">Einheit</t>
  </si>
  <si>
    <t xml:space="preserve">E1</t>
  </si>
  <si>
    <t xml:space="preserve">E2</t>
  </si>
  <si>
    <t xml:space="preserve">Bedeutung</t>
  </si>
  <si>
    <t xml:space="preserve">Luftstrom eines Strangs</t>
  </si>
  <si>
    <t xml:space="preserve">m³/h</t>
  </si>
  <si>
    <t xml:space="preserve">Gleicher Betriebspunkt</t>
  </si>
  <si>
    <t xml:space="preserve">Sekunden je Stunde</t>
  </si>
  <si>
    <t xml:space="preserve">s/h</t>
  </si>
  <si>
    <t xml:space="preserve">Umrechnungsfaktor</t>
  </si>
  <si>
    <t xml:space="preserve">Luftstrom nach Umrechnung</t>
  </si>
  <si>
    <t xml:space="preserve">m³/s</t>
  </si>
  <si>
    <t xml:space="preserve">m³/h geteilt durch 3.600</t>
  </si>
  <si>
    <t xml:space="preserve">Gesamtleistung beider Ventilatoren</t>
  </si>
  <si>
    <t xml:space="preserve">kW</t>
  </si>
  <si>
    <t xml:space="preserve">Quelle: 21, keine Einzelmotorleistung</t>
  </si>
  <si>
    <t xml:space="preserve">SFP berechnet</t>
  </si>
  <si>
    <t xml:space="preserve">kW/(m³/s)</t>
  </si>
  <si>
    <t xml:space="preserve">Gesamtleistung geteilt durch Luftstrom</t>
  </si>
  <si>
    <t xml:space="preserve">SFP Höchstwert</t>
  </si>
  <si>
    <t xml:space="preserve">Quelle: 04, Position 01.020</t>
  </si>
  <si>
    <t xml:space="preserve">Reserve bis zum Höchstwert</t>
  </si>
  <si>
    <t xml:space="preserve">Höchstwert minus berechneter SFP</t>
  </si>
  <si>
    <t xml:space="preserve">Rechnerischer Vergleich</t>
  </si>
  <si>
    <t xml:space="preserve">Keine Aussage zum Angebotsinhalt</t>
  </si>
  <si>
    <t xml:space="preserve">Abmessung E2</t>
  </si>
  <si>
    <t xml:space="preserve">Vorgabe</t>
  </si>
  <si>
    <t xml:space="preserve">Herstellerwert</t>
  </si>
  <si>
    <t xml:space="preserve">Freiraum bzw. Reserve</t>
  </si>
  <si>
    <t xml:space="preserve">Gehäuselänge</t>
  </si>
  <si>
    <t xml:space="preserve">mm</t>
  </si>
  <si>
    <t xml:space="preserve">Gehäusebreite</t>
  </si>
  <si>
    <t xml:space="preserve">Gehäusehöhe</t>
  </si>
  <si>
    <t xml:space="preserve">Einbringöffnung Breite / Segment</t>
  </si>
  <si>
    <t xml:space="preserve">Einbringöffnung Höhe / Segment</t>
  </si>
  <si>
    <t xml:space="preserve">Aufstellfläche Tragfähigkeit / Gewicht</t>
  </si>
  <si>
    <t xml:space="preserve">kg</t>
  </si>
  <si>
    <t xml:space="preserve">Wärmerückgewinnung trocken</t>
  </si>
  <si>
    <t xml:space="preserve">%</t>
  </si>
  <si>
    <t xml:space="preserve">Die Reserven vergleichen ausschließlich Zahlen. Verpackung, Rangierflächen und Einbauablauf sind nicht abgebildet.</t>
  </si>
  <si>
    <t xml:space="preserve">Die Maße aus 03 Abschnitt 2 werden mit 21 Abschnitt 2 verglichen. Der Wartungsgang von 0,90 m bleibt zu planen.</t>
  </si>
  <si>
    <t xml:space="preserve">Gelbe Zellen enthalten übertragene Vorgaben und Herstellerdaten. Alle anderen Zahlenfelder sind Formeln.</t>
  </si>
  <si>
    <t xml:space="preserve">Ein fehlender oder nicht positiver Luftstrom ergibt keine SFP-Zahl. Eine eingetragene Leistung von 0 bleibt eine Zahl.</t>
  </si>
  <si>
    <t xml:space="preserve">Einheit und Nenner sind entscheidend: Die Leistung beider Ventilatoren wird durch den Luftstrom eines Strangs geteilt.</t>
  </si>
  <si>
    <t xml:space="preserve">Die Geräteauslegung wurde am 08.09.2026 erstellt. Sie belegt nach eigener Aussage keine Auswahl vor Angebotsabgabe.</t>
  </si>
  <si>
    <t xml:space="preserve">E1 und E2 werden nebeneinander aus Herstellerwerten gerechnet. Es wird keine gewertete Konfiguration ausgewählt.</t>
  </si>
  <si>
    <t xml:space="preserve">Nachweisstand und weitere Bearbeitung werden im zweiten Blatt geführt; der SFP-Vergleich entscheidet diese Punkte nicht.</t>
  </si>
  <si>
    <t xml:space="preserve">Stand der technischen Nachweise</t>
  </si>
  <si>
    <t xml:space="preserve">Nora Brandt · Aktenstand bei der Stadt am 25.09.2026, 13:00 Uhr</t>
  </si>
  <si>
    <t xml:space="preserve">Gegenstand</t>
  </si>
  <si>
    <t xml:space="preserve">Vorliegender Beleg</t>
  </si>
  <si>
    <t xml:space="preserve">Arbeitsstand</t>
  </si>
  <si>
    <t xml:space="preserve">Offene Angabe oder Reichweite</t>
  </si>
  <si>
    <t xml:space="preserve">Hersteller und äußere Typbezeichnung</t>
  </si>
  <si>
    <t xml:space="preserve">08 Angebot, B16</t>
  </si>
  <si>
    <t xml:space="preserve">vorliegend</t>
  </si>
  <si>
    <t xml:space="preserve">AL 6000 K; E1 und E2 sind dort nicht getrennt benannt.</t>
  </si>
  <si>
    <t xml:space="preserve">Aktuelle technische Auslegung E2</t>
  </si>
  <si>
    <t xml:space="preserve">21 vom 08.09.2026</t>
  </si>
  <si>
    <t xml:space="preserve">Werte beziehen sich auf E2; Auswahl laut Hersteller am 07.09.2026.</t>
  </si>
  <si>
    <t xml:space="preserve">Ursprüngliche Ventilatorauswahl</t>
  </si>
  <si>
    <t xml:space="preserve">19 und 21</t>
  </si>
  <si>
    <t xml:space="preserve">offen</t>
  </si>
  <si>
    <t xml:space="preserve">Bieter erklärt E2; Hersteller bestätigt keine schriftliche Auswahl vor 31.08.</t>
  </si>
  <si>
    <t xml:space="preserve">Verantwortung Referenzanlage</t>
  </si>
  <si>
    <t xml:space="preserve">09, 19, 20</t>
  </si>
  <si>
    <t xml:space="preserve">Hersteller wirkte mit; Umfang der übernommenen Verantwortung bleibt streitig.</t>
  </si>
  <si>
    <t xml:space="preserve">Gemeinsames Inbetriebnahmeprotokoll</t>
  </si>
  <si>
    <t xml:space="preserve">32 Sachstand</t>
  </si>
  <si>
    <t xml:space="preserve">Ein von beiden Unternehmen unterzeichnetes Protokoll liegt weiterhin nicht vor.</t>
  </si>
  <si>
    <t xml:space="preserve">Angekündigte neue Bieterbelege</t>
  </si>
  <si>
    <t xml:space="preserve">40 Zusammenstellung Abschnitt 3</t>
  </si>
  <si>
    <t xml:space="preserve">angekündigt</t>
  </si>
  <si>
    <t xml:space="preserve">Bis 13:00 Uhr nicht bei der Stadt eingegangen; Inhalt nicht vorweggenommen.</t>
  </si>
  <si>
    <t xml:space="preserve">Offene oder angekündigte Punkte</t>
  </si>
  <si>
    <t xml:space="preserve">Erfasste Arbeitsstände</t>
  </si>
  <si>
    <t xml:space="preserve">Dokumentationsstatus</t>
  </si>
  <si>
    <t xml:space="preserve">Arbeitsstände sind manuelle Dokumentationsangaben. Vorliegend bedeutet nur: Der bezeichnete Beleg ist vorhanden.</t>
  </si>
  <si>
    <t xml:space="preserve">Für eine Änderung des Arbeitsstands müssen Quelle und tatsächlicher Eingang nachvollziehbar sein.</t>
  </si>
  <si>
    <t xml:space="preserve">Offene Verantwortung und ursprüngliche Auswahl werden durch den numerischen Vergleich im ersten Blatt nicht erledigt.</t>
  </si>
  <si>
    <t xml:space="preserve">Neue Belege sind in einer folgenden Fassung mit Datum einzutragen. Hier ist der Stand 25.09.2026, 13:00 Uhr festgehalten.</t>
  </si>
  <si>
    <t xml:space="preserve">Die Zählung umfasst nur sechs konkrete Punkte und ist weder eine Eignungsbewertung noch eine Zuschlagsempfehlung.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</si>
</sst>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"/>
    <numFmt numFmtId="166" formatCode="[$-407]0.0000"/>
    <numFmt numFmtId="167" formatCode="[$-407]0.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020"/>
      <name val="Times New Roman"/>
      <family val="0"/>
      <charset val="1"/>
    </font>
    <font>
      <b val="true"/>
      <sz val="15"/>
      <color rgb="FF2020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1D4F7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474C"/>
        <bgColor rgb="FF1D4F70"/>
      </patternFill>
    </fill>
    <fill>
      <patternFill patternType="solid">
        <fgColor rgb="FFFFF3D6"/>
        <bgColor rgb="FFFCE3DD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  <dxf>
      <font>
        <color rgb="FF9A291E"/>
      </font>
      <fill>
        <patternFill>
          <bgColor rgb="FFFCE3DD"/>
        </patternFill>
      </fill>
    </dxf>
    <dxf>
      <fill>
        <patternFill>
          <bgColor rgb="FFFFF3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3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70"/>
      <rgbColor rgb="FF339966"/>
      <rgbColor rgb="FF003300"/>
      <rgbColor rgb="FF202020"/>
      <rgbColor rgb="FF9A291E"/>
      <rgbColor rgb="FF993366"/>
      <rgbColor rgb="FF333399"/>
      <rgbColor rgb="FF3447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36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3.33"/>
    <ns0:col collapsed="false" customWidth="true" hidden="false" outlineLevel="0" max="2" min="2" style="0" width="15.56"/>
    <ns0:col collapsed="false" customWidth="true" hidden="false" outlineLevel="0" max="4" min="3" style="0" width="17.78"/>
    <ns0:col collapsed="false" customWidth="true" hidden="false" outlineLevel="0" max="5" min="5" style="0" width="28.89"/>
  </ns0:cols>
  <ns0:sheetData>
    <ns0:row r="1" customFormat="false" ht="20" hidden="false" customHeight="true" outlineLevel="0" collapsed="false">
      <ns0:c r="A1" s="1"/>
      <ns0:c r="B1" s="1"/>
      <ns0:c r="C1" s="1"/>
      <ns0:c r="D1" s="1"/>
      <ns0:c r="E1" s="1"/>
    </ns0:row>
    <ns0:row r="2" customFormat="false" ht="20" hidden="false" customHeight="true" outlineLevel="0" collapsed="false">
      <ns0:c r="A2" s="2" t="s">
        <ns0:v>0</ns0:v>
      </ns0:c>
      <ns0:c r="B2" s="1"/>
      <ns0:c r="C2" s="1"/>
      <ns0:c r="D2" s="1"/>
      <ns0:c r="E2" s="1"/>
    </ns0:row>
    <ns0:row r="3" customFormat="false" ht="20" hidden="false" customHeight="true" outlineLevel="0" collapsed="false">
      <ns0:c r="A3" s="1" t="s">
        <ns0:v>1</ns0:v>
      </ns0:c>
      <ns0:c r="B3" s="1"/>
      <ns0:c r="C3" s="1"/>
      <ns0:c r="D3" s="1"/>
      <ns0:c r="E3" s="1"/>
    </ns0:row>
    <ns0:row r="4" customFormat="false" ht="20" hidden="false" customHeight="true" outlineLevel="0" collapsed="false">
      <ns0:c r="A4" s="1"/>
      <ns0:c r="B4" s="1"/>
      <ns0:c r="C4" s="1"/>
      <ns0:c r="D4" s="1"/>
      <ns0:c r="E4" s="1"/>
    </ns0:row>
    <ns0:row r="5" customFormat="false" ht="42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</ns0:row>
    <ns0:row r="6" customFormat="false" ht="38" hidden="false" customHeight="true" outlineLevel="0" collapsed="false">
      <ns0:c r="A6" s="4" t="s">
        <ns0:v>7</ns0:v>
      </ns0:c>
      <ns0:c r="B6" s="4" t="s">
        <ns0:v>8</ns0:v>
      </ns0:c>
      <ns0:c r="C6" s="5" t="n">
        <ns0:v>6000</ns0:v>
      </ns0:c>
      <ns0:c r="D6" s="5" t="n">
        <ns0:v>6000</ns0:v>
      </ns0:c>
      <ns0:c r="E6" s="4" t="s">
        <ns0:v>9</ns0:v>
      </ns0:c>
    </ns0:row>
    <ns0:row r="7" customFormat="false" ht="38" hidden="false" customHeight="true" outlineLevel="0" collapsed="false">
      <ns0:c r="A7" s="4" t="s">
        <ns0:v>10</ns0:v>
      </ns0:c>
      <ns0:c r="B7" s="4" t="s">
        <ns0:v>11</ns0:v>
      </ns0:c>
      <ns0:c r="C7" s="5" t="n">
        <ns0:v>3600</ns0:v>
      </ns0:c>
      <ns0:c r="D7" s="5" t="n">
        <ns0:v>3600</ns0:v>
      </ns0:c>
      <ns0:c r="E7" s="4" t="s">
        <ns0:v>12</ns0:v>
      </ns0:c>
    </ns0:row>
    <ns0:row r="8" customFormat="false" ht="38" hidden="false" customHeight="true" outlineLevel="0" collapsed="false">
      <ns0:c r="A8" s="4" t="s">
        <ns0:v>13</ns0:v>
      </ns0:c>
      <ns0:c r="B8" s="4" t="s">
        <ns0:v>14</ns0:v>
      </ns0:c>
      <ns0:c r="C8" s="6" t="n">
        <ns0:f aca="false">IF(AND(ISNUMBER(C6),C6&gt;0,ISNUMBER(C7),C7&gt;0),C6/C7,"Luftstrom fehlt")</ns0:f>
        <ns0:v>1.66666666666667</ns0:v>
      </ns0:c>
      <ns0:c r="D8" s="6" t="n">
        <ns0:f aca="false">IF(AND(ISNUMBER(D6),D6&gt;0,ISNUMBER(D7),D7&gt;0),D6/D7,"Luftstrom fehlt")</ns0:f>
        <ns0:v>1.66666666666667</ns0:v>
      </ns0:c>
      <ns0:c r="E8" s="4" t="s">
        <ns0:v>15</ns0:v>
      </ns0:c>
    </ns0:row>
    <ns0:row r="9" customFormat="false" ht="38" hidden="false" customHeight="true" outlineLevel="0" collapsed="false">
      <ns0:c r="A9" s="4" t="s">
        <ns0:v>16</ns0:v>
      </ns0:c>
      <ns0:c r="B9" s="4" t="s">
        <ns0:v>17</ns0:v>
      </ns0:c>
      <ns0:c r="C9" s="7" t="n">
        <ns0:v>3.15</ns0:v>
      </ns0:c>
      <ns0:c r="D9" s="7" t="n">
        <ns0:v>2.8</ns0:v>
      </ns0:c>
      <ns0:c r="E9" s="4" t="s">
        <ns0:v>18</ns0:v>
      </ns0:c>
    </ns0:row>
    <ns0:row r="10" customFormat="false" ht="38" hidden="false" customHeight="true" outlineLevel="0" collapsed="false">
      <ns0:c r="A10" s="4" t="s">
        <ns0:v>19</ns0:v>
      </ns0:c>
      <ns0:c r="B10" s="4" t="s">
        <ns0:v>20</ns0:v>
      </ns0:c>
      <ns0:c r="C10" s="6" t="n">
        <ns0:f aca="false">IF(AND(ISNUMBER(C8),ISNUMBER(C9)),C9/C8,"Eingabe fehlt")</ns0:f>
        <ns0:v>1.89</ns0:v>
      </ns0:c>
      <ns0:c r="D10" s="6" t="n">
        <ns0:f aca="false">IF(AND(ISNUMBER(D8),ISNUMBER(D9)),D9/D8,"Eingabe fehlt")</ns0:f>
        <ns0:v>1.68</ns0:v>
      </ns0:c>
      <ns0:c r="E10" s="4" t="s">
        <ns0:v>21</ns0:v>
      </ns0:c>
    </ns0:row>
    <ns0:row r="11" customFormat="false" ht="38" hidden="false" customHeight="true" outlineLevel="0" collapsed="false">
      <ns0:c r="A11" s="4" t="s">
        <ns0:v>22</ns0:v>
      </ns0:c>
      <ns0:c r="B11" s="4" t="s">
        <ns0:v>20</ns0:v>
      </ns0:c>
      <ns0:c r="C11" s="7" t="n">
        <ns0:v>1.8</ns0:v>
      </ns0:c>
      <ns0:c r="D11" s="7" t="n">
        <ns0:v>1.8</ns0:v>
      </ns0:c>
      <ns0:c r="E11" s="4" t="s">
        <ns0:v>23</ns0:v>
      </ns0:c>
    </ns0:row>
    <ns0:row r="12" customFormat="false" ht="38" hidden="false" customHeight="true" outlineLevel="0" collapsed="false">
      <ns0:c r="A12" s="4" t="s">
        <ns0:v>24</ns0:v>
      </ns0:c>
      <ns0:c r="B12" s="4" t="s">
        <ns0:v>20</ns0:v>
      </ns0:c>
      <ns0:c r="C12" s="6" t="n">
        <ns0:f aca="false">IF(AND(ISNUMBER(C10),ISNUMBER(C11)),C11-C10,"Eingabe fehlt")</ns0:f>
        <ns0:v>-0.0899999999999999</ns0:v>
      </ns0:c>
      <ns0:c r="D12" s="6" t="n">
        <ns0:f aca="false">IF(AND(ISNUMBER(D10),ISNUMBER(D11)),D11-D10,"Eingabe fehlt")</ns0:f>
        <ns0:v>0.12</ns0:v>
      </ns0:c>
      <ns0:c r="E12" s="4" t="s">
        <ns0:v>25</ns0:v>
      </ns0:c>
    </ns0:row>
    <ns0:row r="13" customFormat="false" ht="38" hidden="false" customHeight="true" outlineLevel="0" collapsed="false">
      <ns0:c r="A13" s="4" t="s">
        <ns0:v>26</ns0:v>
      </ns0:c>
      <ns0:c r="B13" s="4"/>
      <ns0:c r="C13" s="4" t="str">
        <ns0:f aca="false">IF(ISNUMBER(C12),IF(C12&gt;=0,"Grenze eingehalten","Grenze überschritten"),"Eingabe fehlt")</ns0:f>
        <ns0:v>Grenze überschritten</ns0:v>
      </ns0:c>
      <ns0:c r="D13" s="4" t="str">
        <ns0:f aca="false">IF(ISNUMBER(D12),IF(D12&gt;=0,"Grenze eingehalten","Grenze überschritten"),"Eingabe fehlt")</ns0:f>
        <ns0:v>Grenze eingehalten</ns0:v>
      </ns0:c>
      <ns0:c r="E13" s="4" t="s">
        <ns0:v>27</ns0:v>
      </ns0:c>
    </ns0:row>
    <ns0:row r="14" customFormat="false" ht="20" hidden="false" customHeight="true" outlineLevel="0" collapsed="false">
      <ns0:c r="A14" s="1"/>
      <ns0:c r="B14" s="1"/>
      <ns0:c r="C14" s="1"/>
      <ns0:c r="D14" s="1"/>
      <ns0:c r="E14" s="1"/>
    </ns0:row>
    <ns0:row r="15" customFormat="false" ht="20" hidden="false" customHeight="true" outlineLevel="0" collapsed="false">
      <ns0:c r="A15" s="1"/>
      <ns0:c r="B15" s="1"/>
      <ns0:c r="C15" s="1"/>
      <ns0:c r="D15" s="1"/>
      <ns0:c r="E15" s="1"/>
    </ns0:row>
    <ns0:row r="16" customFormat="false" ht="42" hidden="false" customHeight="true" outlineLevel="0" collapsed="false">
      <ns0:c r="A16" s="3" t="s">
        <ns0:v>28</ns0:v>
      </ns0:c>
      <ns0:c r="B16" s="3" t="s">
        <ns0:v>3</ns0:v>
      </ns0:c>
      <ns0:c r="C16" s="3" t="s">
        <ns0:v>29</ns0:v>
      </ns0:c>
      <ns0:c r="D16" s="3" t="s">
        <ns0:v>30</ns0:v>
      </ns0:c>
      <ns0:c r="E16" s="3" t="s">
        <ns0:v>31</ns0:v>
      </ns0:c>
    </ns0:row>
    <ns0:row r="17" customFormat="false" ht="38" hidden="false" customHeight="true" outlineLevel="0" collapsed="false">
      <ns0:c r="A17" s="4" t="s">
        <ns0:v>32</ns0:v>
      </ns0:c>
      <ns0:c r="B17" s="1" t="s">
        <ns0:v>33</ns0:v>
      </ns0:c>
      <ns0:c r="C17" s="8" t="n">
        <ns0:v>3200</ns0:v>
      </ns0:c>
      <ns0:c r="D17" s="8" t="n">
        <ns0:v>3150</ns0:v>
      </ns0:c>
      <ns0:c r="E17" s="9" t="n">
        <ns0:f aca="false">IF(COUNT(C17:D17)=2,C17-D17,"Angabe fehlt")</ns0:f>
        <ns0:v>50</ns0:v>
      </ns0:c>
    </ns0:row>
    <ns0:row r="18" customFormat="false" ht="38" hidden="false" customHeight="true" outlineLevel="0" collapsed="false">
      <ns0:c r="A18" s="4" t="s">
        <ns0:v>34</ns0:v>
      </ns0:c>
      <ns0:c r="B18" s="1" t="s">
        <ns0:v>33</ns0:v>
      </ns0:c>
      <ns0:c r="C18" s="8" t="n">
        <ns0:v>1600</ns0:v>
      </ns0:c>
      <ns0:c r="D18" s="8" t="n">
        <ns0:v>1580</ns0:v>
      </ns0:c>
      <ns0:c r="E18" s="9" t="n">
        <ns0:f aca="false">IF(COUNT(C18:D18)=2,C18-D18,"Angabe fehlt")</ns0:f>
        <ns0:v>20</ns0:v>
      </ns0:c>
    </ns0:row>
    <ns0:row r="19" customFormat="false" ht="38" hidden="false" customHeight="true" outlineLevel="0" collapsed="false">
      <ns0:c r="A19" s="4" t="s">
        <ns0:v>35</ns0:v>
      </ns0:c>
      <ns0:c r="B19" s="1" t="s">
        <ns0:v>33</ns0:v>
      </ns0:c>
      <ns0:c r="C19" s="8" t="n">
        <ns0:v>1800</ns0:v>
      </ns0:c>
      <ns0:c r="D19" s="8" t="n">
        <ns0:v>1760</ns0:v>
      </ns0:c>
      <ns0:c r="E19" s="9" t="n">
        <ns0:f aca="false">IF(COUNT(C19:D19)=2,C19-D19,"Angabe fehlt")</ns0:f>
        <ns0:v>40</ns0:v>
      </ns0:c>
    </ns0:row>
    <ns0:row r="20" customFormat="false" ht="38" hidden="false" customHeight="true" outlineLevel="0" collapsed="false">
      <ns0:c r="A20" s="4" t="s">
        <ns0:v>36</ns0:v>
      </ns0:c>
      <ns0:c r="B20" s="1" t="s">
        <ns0:v>33</ns0:v>
      </ns0:c>
      <ns0:c r="C20" s="8" t="n">
        <ns0:v>1700</ns0:v>
      </ns0:c>
      <ns0:c r="D20" s="8" t="n">
        <ns0:v>1580</ns0:v>
      </ns0:c>
      <ns0:c r="E20" s="9" t="n">
        <ns0:f aca="false">IF(COUNT(C20:D20)=2,C20-D20,"Angabe fehlt")</ns0:f>
        <ns0:v>120</ns0:v>
      </ns0:c>
    </ns0:row>
    <ns0:row r="21" customFormat="false" ht="38" hidden="false" customHeight="true" outlineLevel="0" collapsed="false">
      <ns0:c r="A21" s="4" t="s">
        <ns0:v>37</ns0:v>
      </ns0:c>
      <ns0:c r="B21" s="1" t="s">
        <ns0:v>33</ns0:v>
      </ns0:c>
      <ns0:c r="C21" s="8" t="n">
        <ns0:v>2100</ns0:v>
      </ns0:c>
      <ns0:c r="D21" s="8" t="n">
        <ns0:v>1720</ns0:v>
      </ns0:c>
      <ns0:c r="E21" s="9" t="n">
        <ns0:f aca="false">IF(COUNT(C21:D21)=2,C21-D21,"Angabe fehlt")</ns0:f>
        <ns0:v>380</ns0:v>
      </ns0:c>
    </ns0:row>
    <ns0:row r="22" customFormat="false" ht="38" hidden="false" customHeight="true" outlineLevel="0" collapsed="false">
      <ns0:c r="A22" s="4" t="s">
        <ns0:v>38</ns0:v>
      </ns0:c>
      <ns0:c r="B22" s="1" t="s">
        <ns0:v>39</ns0:v>
      </ns0:c>
      <ns0:c r="C22" s="8" t="n">
        <ns0:v>1800</ns0:v>
      </ns0:c>
      <ns0:c r="D22" s="8" t="n">
        <ns0:v>1540</ns0:v>
      </ns0:c>
      <ns0:c r="E22" s="9" t="n">
        <ns0:f aca="false">IF(COUNT(C22:D22)=2,C22-D22,"Angabe fehlt")</ns0:f>
        <ns0:v>260</ns0:v>
      </ns0:c>
    </ns0:row>
    <ns0:row r="23" customFormat="false" ht="38" hidden="false" customHeight="true" outlineLevel="0" collapsed="false">
      <ns0:c r="A23" s="4" t="s">
        <ns0:v>40</ns0:v>
      </ns0:c>
      <ns0:c r="B23" s="1" t="s">
        <ns0:v>41</ns0:v>
      </ns0:c>
      <ns0:c r="C23" s="10" t="n">
        <ns0:v>0.8</ns0:v>
      </ns0:c>
      <ns0:c r="D23" s="10" t="n">
        <ns0:v>0.82</ns0:v>
      </ns0:c>
      <ns0:c r="E23" s="11" t="n">
        <ns0:f aca="false">IF(COUNT(C23:D23)=2,D23-C23,"Angabe fehlt")</ns0:f>
        <ns0:v>0.0199999999999999</ns0:v>
      </ns0:c>
    </ns0:row>
    <ns0:row r="24" customFormat="false" ht="20" hidden="false" customHeight="true" outlineLevel="0" collapsed="false">
      <ns0:c r="A24" s="1"/>
      <ns0:c r="B24" s="1"/>
      <ns0:c r="C24" s="1"/>
      <ns0:c r="D24" s="1"/>
      <ns0:c r="E24" s="1"/>
    </ns0:row>
    <ns0:row r="25" customFormat="false" ht="20" hidden="false" customHeight="true" outlineLevel="0" collapsed="false">
      <ns0:c r="A25" s="1" t="s">
        <ns0:v>42</ns0:v>
      </ns0:c>
      <ns0:c r="B25" s="1"/>
      <ns0:c r="C25" s="1"/>
      <ns0:c r="D25" s="1"/>
      <ns0:c r="E25" s="1"/>
    </ns0:row>
    <ns0:row r="26" customFormat="false" ht="20" hidden="false" customHeight="true" outlineLevel="0" collapsed="false">
      <ns0:c r="A26" s="1" t="s">
        <ns0:v>43</ns0:v>
      </ns0:c>
      <ns0:c r="B26" s="1"/>
      <ns0:c r="C26" s="1"/>
      <ns0:c r="D26" s="1"/>
      <ns0:c r="E26" s="1"/>
    </ns0:row>
    <ns0:row r="27" customFormat="false" ht="20" hidden="false" customHeight="true" outlineLevel="0" collapsed="false">
      <ns0:c r="A27" s="1"/>
      <ns0:c r="B27" s="1"/>
      <ns0:c r="C27" s="1"/>
      <ns0:c r="D27" s="1"/>
      <ns0:c r="E27" s="1"/>
    </ns0:row>
    <ns0:row r="28" customFormat="false" ht="20" hidden="false" customHeight="true" outlineLevel="0" collapsed="false">
      <ns0:c r="A28" s="1" t="s">
        <ns0:v>44</ns0:v>
      </ns0:c>
      <ns0:c r="B28" s="1"/>
      <ns0:c r="C28" s="1"/>
      <ns0:c r="D28" s="1"/>
      <ns0:c r="E28" s="1"/>
    </ns0:row>
    <ns0:row r="29" customFormat="false" ht="20" hidden="false" customHeight="true" outlineLevel="0" collapsed="false">
      <ns0:c r="A29" s="1" t="s">
        <ns0:v>45</ns0:v>
      </ns0:c>
      <ns0:c r="B29" s="1"/>
      <ns0:c r="C29" s="1"/>
      <ns0:c r="D29" s="1"/>
      <ns0:c r="E29" s="1"/>
    </ns0:row>
    <ns0:row r="30" customFormat="false" ht="20" hidden="false" customHeight="true" outlineLevel="0" collapsed="false">
      <ns0:c r="A30" s="1" t="s">
        <ns0:v>46</ns0:v>
      </ns0:c>
      <ns0:c r="B30" s="1"/>
      <ns0:c r="C30" s="1"/>
      <ns0:c r="D30" s="1"/>
      <ns0:c r="E30" s="1"/>
    </ns0:row>
    <ns0:row r="31" customFormat="false" ht="20" hidden="false" customHeight="true" outlineLevel="0" collapsed="false">
      <ns0:c r="A31" s="1"/>
      <ns0:c r="B31" s="1"/>
      <ns0:c r="C31" s="1"/>
      <ns0:c r="D31" s="1"/>
      <ns0:c r="E31" s="1"/>
    </ns0:row>
    <ns0:row r="32" customFormat="false" ht="20" hidden="false" customHeight="true" outlineLevel="0" collapsed="false">
      <ns0:c r="A32" s="1" t="s">
        <ns0:v>47</ns0:v>
      </ns0:c>
      <ns0:c r="B32" s="1"/>
      <ns0:c r="C32" s="1"/>
      <ns0:c r="D32" s="1"/>
      <ns0:c r="E32" s="1"/>
    </ns0:row>
    <ns0:row r="33" customFormat="false" ht="20" hidden="false" customHeight="true" outlineLevel="0" collapsed="false">
      <ns0:c r="A33" s="1" t="s">
        <ns0:v>48</ns0:v>
      </ns0:c>
      <ns0:c r="B33" s="1"/>
      <ns0:c r="C33" s="1"/>
      <ns0:c r="D33" s="1"/>
      <ns0:c r="E33" s="1"/>
    </ns0:row>
    <ns0:row r="34" customFormat="false" ht="20" hidden="false" customHeight="true" outlineLevel="0" collapsed="false">
      <ns0:c r="A34" s="1"/>
      <ns0:c r="B34" s="1"/>
      <ns0:c r="C34" s="1"/>
      <ns0:c r="D34" s="1"/>
      <ns0:c r="E34" s="1"/>
    </ns0:row>
    <ns0:row r="35" customFormat="false" ht="20" hidden="false" customHeight="true" outlineLevel="0" collapsed="false">
      <ns0:c r="A35" s="1" t="s">
        <ns0:v>49</ns0:v>
      </ns0:c>
      <ns0:c r="B35" s="1"/>
      <ns0:c r="C35" s="1"/>
      <ns0:c r="D35" s="1"/>
      <ns0:c r="E35" s="1"/>
    </ns0:row>
    <ns0:row r="36" customFormat="false" ht="20" hidden="false" customHeight="true" outlineLevel="0" collapsed="false">
      <ns0:c r="A36" s="1"/>
      <ns0:c r="B36" s="1"/>
      <ns0:c r="C36" s="1"/>
      <ns0:c r="D36" s="1"/>
      <ns0:c r="E36" s="1"/>
    </ns0:row>
  </ns0:sheetData>
  <ns0:conditionalFormatting sqref="C8:D13">
    <ns0:cfRule type="containsText" priority="2" operator="containsText" aboveAverage="0" equalAverage="0" bottom="0" percent="0" rank="0" text="fehlt" dxfId="0">
      <ns0:formula>NOT(ISERROR(SEARCH("fehlt",C8)))</ns0:formula>
    </ns0:cfRule>
    <ns0:cfRule type="containsText" priority="3" operator="containsText" aboveAverage="0" equalAverage="0" bottom="0" percent="0" rank="0" text="offen" dxfId="1">
      <ns0:formula>NOT(ISERROR(SEARCH("offen",C8)))</ns0:formula>
    </ns0:cfRule>
  </ns0:conditionalFormatting>
  <ns0:conditionalFormatting sqref="E17:E23">
    <ns0:cfRule type="containsText" priority="4" operator="containsText" aboveAverage="0" equalAverage="0" bottom="0" percent="0" rank="0" text="fehlt" dxfId="2">
      <ns0:formula>NOT(ISERROR(SEARCH("fehlt",E17)))</ns0:formula>
    </ns0:cfRule>
    <ns0:cfRule type="containsText" priority="5" operator="containsText" aboveAverage="0" equalAverage="0" bottom="0" percent="0" rank="0" text="offen" dxfId="3">
      <ns0:formula>NOT(ISERROR(SEARCH("offen",E17)))</ns0:formula>
    </ns0:cfRule>
  </ns0:conditionalFormatting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&amp;LNO-FH26-L430&amp;CGerätewerte&amp;RSeite &amp;P</ns0:oddFooter>
  </ns0:headerFooter>
  <ns0:rowBreaks count="1" manualBreakCount="1">
    <ns0:brk id="15" min="0" max="16383" man="1"/>
  </ns0:rowBreaks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D26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3.33"/>
    <ns0:col collapsed="false" customWidth="true" hidden="false" outlineLevel="0" max="2" min="2" style="0" width="27.78"/>
    <ns0:col collapsed="false" customWidth="true" hidden="false" outlineLevel="0" max="3" min="3" style="0" width="22.22"/>
    <ns0:col collapsed="false" customWidth="true" hidden="false" outlineLevel="0" max="4" min="4" style="0" width="38.89"/>
  </ns0:cols>
  <ns0:sheetData>
    <ns0:row r="1" customFormat="false" ht="20" hidden="false" customHeight="true" outlineLevel="0" collapsed="false">
      <ns0:c r="A1" s="1"/>
      <ns0:c r="B1" s="1"/>
      <ns0:c r="C1" s="1"/>
      <ns0:c r="D1" s="1"/>
    </ns0:row>
    <ns0:row r="2" customFormat="false" ht="20" hidden="false" customHeight="true" outlineLevel="0" collapsed="false">
      <ns0:c r="A2" s="2" t="s">
        <ns0:v>50</ns0:v>
      </ns0:c>
      <ns0:c r="B2" s="1"/>
      <ns0:c r="C2" s="1"/>
      <ns0:c r="D2" s="1"/>
    </ns0:row>
    <ns0:row r="3" customFormat="false" ht="20" hidden="false" customHeight="true" outlineLevel="0" collapsed="false">
      <ns0:c r="A3" s="1" t="s">
        <ns0:v>51</ns0:v>
      </ns0:c>
      <ns0:c r="B3" s="1"/>
      <ns0:c r="C3" s="1"/>
      <ns0:c r="D3" s="1"/>
    </ns0:row>
    <ns0:row r="4" customFormat="false" ht="20" hidden="false" customHeight="true" outlineLevel="0" collapsed="false">
      <ns0:c r="A4" s="1"/>
      <ns0:c r="B4" s="1"/>
      <ns0:c r="C4" s="1"/>
      <ns0:c r="D4" s="1"/>
    </ns0:row>
    <ns0:row r="5" customFormat="false" ht="42" hidden="false" customHeight="true" outlineLevel="0" collapsed="false">
      <ns0:c r="A5" s="3" t="s">
        <ns0:v>52</ns0:v>
      </ns0:c>
      <ns0:c r="B5" s="3" t="s">
        <ns0:v>53</ns0:v>
      </ns0:c>
      <ns0:c r="C5" s="3" t="s">
        <ns0:v>54</ns0:v>
      </ns0:c>
      <ns0:c r="D5" s="3" t="s">
        <ns0:v>55</ns0:v>
      </ns0:c>
    </ns0:row>
    <ns0:row r="6" customFormat="false" ht="70" hidden="false" customHeight="true" outlineLevel="0" collapsed="false">
      <ns0:c r="A6" s="4" t="s">
        <ns0:v>56</ns0:v>
      </ns0:c>
      <ns0:c r="B6" s="4" t="s">
        <ns0:v>57</ns0:v>
      </ns0:c>
      <ns0:c r="C6" s="12" t="s">
        <ns0:v>58</ns0:v>
      </ns0:c>
      <ns0:c r="D6" s="4" t="s">
        <ns0:v>59</ns0:v>
      </ns0:c>
    </ns0:row>
    <ns0:row r="7" customFormat="false" ht="70" hidden="false" customHeight="true" outlineLevel="0" collapsed="false">
      <ns0:c r="A7" s="4" t="s">
        <ns0:v>60</ns0:v>
      </ns0:c>
      <ns0:c r="B7" s="4" t="s">
        <ns0:v>61</ns0:v>
      </ns0:c>
      <ns0:c r="C7" s="12" t="s">
        <ns0:v>58</ns0:v>
      </ns0:c>
      <ns0:c r="D7" s="4" t="s">
        <ns0:v>62</ns0:v>
      </ns0:c>
    </ns0:row>
    <ns0:row r="8" customFormat="false" ht="70" hidden="false" customHeight="true" outlineLevel="0" collapsed="false">
      <ns0:c r="A8" s="4" t="s">
        <ns0:v>63</ns0:v>
      </ns0:c>
      <ns0:c r="B8" s="4" t="s">
        <ns0:v>64</ns0:v>
      </ns0:c>
      <ns0:c r="C8" s="12" t="s">
        <ns0:v>65</ns0:v>
      </ns0:c>
      <ns0:c r="D8" s="4" t="s">
        <ns0:v>66</ns0:v>
      </ns0:c>
    </ns0:row>
    <ns0:row r="9" customFormat="false" ht="70" hidden="false" customHeight="true" outlineLevel="0" collapsed="false">
      <ns0:c r="A9" s="4" t="s">
        <ns0:v>67</ns0:v>
      </ns0:c>
      <ns0:c r="B9" s="4" t="s">
        <ns0:v>68</ns0:v>
      </ns0:c>
      <ns0:c r="C9" s="12" t="s">
        <ns0:v>65</ns0:v>
      </ns0:c>
      <ns0:c r="D9" s="4" t="s">
        <ns0:v>69</ns0:v>
      </ns0:c>
    </ns0:row>
    <ns0:row r="10" customFormat="false" ht="70" hidden="false" customHeight="true" outlineLevel="0" collapsed="false">
      <ns0:c r="A10" s="4" t="s">
        <ns0:v>70</ns0:v>
      </ns0:c>
      <ns0:c r="B10" s="4" t="s">
        <ns0:v>71</ns0:v>
      </ns0:c>
      <ns0:c r="C10" s="12" t="s">
        <ns0:v>65</ns0:v>
      </ns0:c>
      <ns0:c r="D10" s="4" t="s">
        <ns0:v>72</ns0:v>
      </ns0:c>
    </ns0:row>
    <ns0:row r="11" customFormat="false" ht="70" hidden="false" customHeight="true" outlineLevel="0" collapsed="false">
      <ns0:c r="A11" s="4" t="s">
        <ns0:v>73</ns0:v>
      </ns0:c>
      <ns0:c r="B11" s="4" t="s">
        <ns0:v>74</ns0:v>
      </ns0:c>
      <ns0:c r="C11" s="12" t="s">
        <ns0:v>75</ns0:v>
      </ns0:c>
      <ns0:c r="D11" s="4" t="s">
        <ns0:v>76</ns0:v>
      </ns0:c>
    </ns0:row>
    <ns0:row r="12" customFormat="false" ht="20" hidden="false" customHeight="true" outlineLevel="0" collapsed="false">
      <ns0:c r="A12" s="1"/>
      <ns0:c r="B12" s="1"/>
      <ns0:c r="C12" s="1"/>
      <ns0:c r="D12" s="1"/>
    </ns0:row>
    <ns0:row r="13" customFormat="false" ht="20" hidden="false" customHeight="true" outlineLevel="0" collapsed="false">
      <ns0:c r="A13" s="1"/>
      <ns0:c r="B13" s="1"/>
      <ns0:c r="C13" s="1"/>
      <ns0:c r="D13" s="1"/>
    </ns0:row>
    <ns0:row r="14" customFormat="false" ht="20" hidden="false" customHeight="true" outlineLevel="0" collapsed="false">
      <ns0:c r="A14" s="1" t="s">
        <ns0:v>77</ns0:v>
      </ns0:c>
      <ns0:c r="B14" s="1"/>
      <ns0:c r="C14" s="1" t="n">
        <ns0:f aca="false">COUNTIFS(C6:C11,"offen")+COUNTIFS(C6:C11,"angekündigt")</ns0:f>
        <ns0:v>4</ns0:v>
      </ns0:c>
      <ns0:c r="D14" s="1"/>
    </ns0:row>
    <ns0:row r="15" customFormat="false" ht="20" hidden="false" customHeight="true" outlineLevel="0" collapsed="false">
      <ns0:c r="A15" s="1" t="s">
        <ns0:v>78</ns0:v>
      </ns0:c>
      <ns0:c r="B15" s="1"/>
      <ns0:c r="C15" s="1" t="n">
        <ns0:f aca="false">COUNTA(C6:C11)</ns0:f>
        <ns0:v>6</ns0:v>
      </ns0:c>
      <ns0:c r="D15" s="1"/>
    </ns0:row>
    <ns0:row r="16" customFormat="false" ht="20" hidden="false" customHeight="true" outlineLevel="0" collapsed="false">
      <ns0:c r="A16" s="1" t="s">
        <ns0:v>79</ns0:v>
      </ns0:c>
      <ns0:c r="B16" s="1"/>
      <ns0:c r="C16" s="1" t="str">
        <ns0:f aca="false">IF(C15&lt;6,"Arbeitsstand fehlt",IF(C14&gt;0,"Weitere Angaben offen","Alle Arbeitsstände erfasst"))</ns0:f>
        <ns0:v>Weitere Angaben offen</ns0:v>
      </ns0:c>
      <ns0:c r="D16" s="1"/>
    </ns0:row>
    <ns0:row r="17" customFormat="false" ht="20" hidden="false" customHeight="true" outlineLevel="0" collapsed="false">
      <ns0:c r="A17" s="1"/>
      <ns0:c r="B17" s="1"/>
      <ns0:c r="C17" s="1"/>
      <ns0:c r="D17" s="1"/>
    </ns0:row>
    <ns0:row r="18" customFormat="false" ht="20" hidden="false" customHeight="true" outlineLevel="0" collapsed="false">
      <ns0:c r="A18" s="1"/>
      <ns0:c r="B18" s="1"/>
      <ns0:c r="C18" s="1"/>
      <ns0:c r="D18" s="1"/>
    </ns0:row>
    <ns0:row r="19" customFormat="false" ht="20" hidden="false" customHeight="true" outlineLevel="0" collapsed="false">
      <ns0:c r="A19" s="1" t="s">
        <ns0:v>80</ns0:v>
      </ns0:c>
      <ns0:c r="B19" s="1"/>
      <ns0:c r="C19" s="1"/>
      <ns0:c r="D19" s="1"/>
    </ns0:row>
    <ns0:row r="20" customFormat="false" ht="20" hidden="false" customHeight="true" outlineLevel="0" collapsed="false">
      <ns0:c r="A20" s="1" t="s">
        <ns0:v>81</ns0:v>
      </ns0:c>
      <ns0:c r="B20" s="1"/>
      <ns0:c r="C20" s="1"/>
      <ns0:c r="D20" s="1"/>
    </ns0:row>
    <ns0:row r="21" customFormat="false" ht="20" hidden="false" customHeight="true" outlineLevel="0" collapsed="false">
      <ns0:c r="A21" s="1" t="s">
        <ns0:v>82</ns0:v>
      </ns0:c>
      <ns0:c r="B21" s="1"/>
      <ns0:c r="C21" s="1"/>
      <ns0:c r="D21" s="1"/>
    </ns0:row>
    <ns0:row r="22" customFormat="false" ht="20" hidden="false" customHeight="true" outlineLevel="0" collapsed="false">
      <ns0:c r="A22" s="1"/>
      <ns0:c r="B22" s="1"/>
      <ns0:c r="C22" s="1"/>
      <ns0:c r="D22" s="1"/>
    </ns0:row>
    <ns0:row r="23" customFormat="false" ht="20" hidden="false" customHeight="true" outlineLevel="0" collapsed="false">
      <ns0:c r="A23" s="1" t="s">
        <ns0:v>83</ns0:v>
      </ns0:c>
      <ns0:c r="B23" s="1"/>
      <ns0:c r="C23" s="1"/>
      <ns0:c r="D23" s="1"/>
    </ns0:row>
    <ns0:row r="24" customFormat="false" ht="20" hidden="false" customHeight="true" outlineLevel="0" collapsed="false">
      <ns0:c r="A24" s="1"/>
      <ns0:c r="B24" s="1"/>
      <ns0:c r="C24" s="1"/>
      <ns0:c r="D24" s="1"/>
    </ns0:row>
    <ns0:row r="25" customFormat="false" ht="20" hidden="false" customHeight="true" outlineLevel="0" collapsed="false">
      <ns0:c r="A25" s="1" t="s">
        <ns0:v>84</ns0:v>
      </ns0:c>
      <ns0:c r="B25" s="1"/>
      <ns0:c r="C25" s="1"/>
      <ns0:c r="D25" s="1"/>
    </ns0:row>
    <ns0:row r="26" customFormat="false" ht="20" hidden="false" customHeight="true" outlineLevel="0" collapsed="false">
      <ns0:c r="A26" s="1"/>
      <ns0:c r="B26" s="1"/>
      <ns0:c r="C26" s="1"/>
      <ns0:c r="D26" s="1"/>
    </ns0:row>
  </ns0:sheetData>
  <ns0:conditionalFormatting sqref="C6:C11">
    <ns0:cfRule type="containsText" priority="2" operator="containsText" aboveAverage="0" equalAverage="0" bottom="0" percent="0" rank="0" text="fehlt" dxfId="4">
      <ns0:formula>NOT(ISERROR(SEARCH("fehlt",C6)))</ns0:formula>
    </ns0:cfRule>
    <ns0:cfRule type="containsText" priority="3" operator="containsText" aboveAverage="0" equalAverage="0" bottom="0" percent="0" rank="0" text="offen" dxfId="5">
      <ns0:formula>NOT(ISERROR(SEARCH("offen",C6)))</ns0:formula>
    </ns0:cfRule>
  </ns0:conditionalFormatting>
  <ns0:dataValidations count="1">
    <ns0:dataValidation allowBlank="false" errorStyle="stop" operator="between" showDropDown="false" showErrorMessage="false" showInputMessage="false" sqref="C6:C11" type="list">
      <ns0:formula1>"vorliegend,offen,angekündigt"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&amp;LNO-FH26-L430&amp;CNachweisstand&amp;RSeite &amp;P</ns0:oddFoot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