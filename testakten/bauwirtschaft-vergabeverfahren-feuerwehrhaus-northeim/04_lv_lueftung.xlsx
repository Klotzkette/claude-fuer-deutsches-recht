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Preisblatt" sheetId="1" state="visible" ns1:id="rId3"/>
    <ns0:sheet name="LV" sheetId="2" state="visible" ns1:id="rId4"/>
  </ns0:sheets>
  <ns0:definedNames>
    <ns0:definedName name="_xlnm.Print_Area" localSheetId="0">'Preisblatt'!$A$1:$E$31</ns0:definedName>
    <ns0:definedName name="_xlnm.Print_Area" localSheetId="1">'LV'!$A$1:$F$31</ns0:definedName>
    <ns0:definedName name="_xlnm.Print_Titles" localSheetId="1">'LV'!$1:$5</ns0:definedName>
  </ns0:definedNames>
  <ns0:calcPr iterateCount="100" refMode="A1" iterate="false" iterateDelta="0.00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<sst xmlns="http://schemas.openxmlformats.org/spreadsheetml/2006/main" count="89" uniqueCount="74">
  <si>
    <t xml:space="preserve">Preisblatt Los 430 Lüftung</t>
  </si>
  <si>
    <t xml:space="preserve">NO-FH26-L430 · Feuerwehrhaus Northeim</t>
  </si>
  <si>
    <t xml:space="preserve">Stadt Northeim · Ausgabe 29.07.2026</t>
  </si>
  <si>
    <t xml:space="preserve">Angebotsfrist 31.08.2026 um 10:00 Uhr MESZ</t>
  </si>
  <si>
    <t xml:space="preserve">Mengen und Texte gemäß Vergabeunterlagen vom 29.07.2026</t>
  </si>
  <si>
    <t xml:space="preserve">Summe der Positionen netto EUR</t>
  </si>
  <si>
    <t xml:space="preserve">Unbedingter Nachlass</t>
  </si>
  <si>
    <t xml:space="preserve">Angebotssumme netto EUR</t>
  </si>
  <si>
    <t xml:space="preserve">Umsatzsteuer</t>
  </si>
  <si>
    <t xml:space="preserve">Umsatzsteuerbetrag EUR</t>
  </si>
  <si>
    <t xml:space="preserve">Angebotssumme brutto EUR</t>
  </si>
  <si>
    <t xml:space="preserve">Hersteller und Typ Position 01.020</t>
  </si>
  <si>
    <t xml:space="preserve">Einheitspreise sind im Blatt LV einzutragen; leere Preise ergeben keine Angebotssumme.</t>
  </si>
  <si>
    <t xml:space="preserve">Auch ein Einheitspreis von 0,00 EUR ist eine eigenständige Preisangabe.</t>
  </si>
  <si>
    <t xml:space="preserve">Quelle der Mengen und Leistungsmerkmale: 03_vergabeunterlagen.docx, Abschnitte 2 bis 4.</t>
  </si>
  <si>
    <t xml:space="preserve">Die Spalten Menge und Einheit sind unverändert zu übernehmen.</t>
  </si>
  <si>
    <t xml:space="preserve">Quelle des Umsatzsteuersatzes: Vorgabe der Vergabestelle, Angebotsformular Abschnitt 3.</t>
  </si>
  <si>
    <t xml:space="preserve">Die erste Wartung gehört zum zu wertenden Gesamtumfang.</t>
  </si>
  <si>
    <t xml:space="preserve">Leistungsverzeichnis Los 430</t>
  </si>
  <si>
    <t xml:space="preserve">NO-FH26-L430 · Mengenstand 29.07.2026 · Preise in EUR netto</t>
  </si>
  <si>
    <t xml:space="preserve">Position</t>
  </si>
  <si>
    <t xml:space="preserve">Leistung einschließlich Liefer- und Montageumfang</t>
  </si>
  <si>
    <t xml:space="preserve">Menge</t>
  </si>
  <si>
    <t xml:space="preserve">Einheit</t>
  </si>
  <si>
    <t xml:space="preserve">EP EUR</t>
  </si>
  <si>
    <t xml:space="preserve">GP EUR</t>
  </si>
  <si>
    <t xml:space="preserve">01.010</t>
  </si>
  <si>
    <t xml:space="preserve">Baustelleneinrichtung. Einrichten und Räumen; Lagerfläche 25 m²; Hebezeuge, Schutz und Entsorgung der eigenen Verpackungen.</t>
  </si>
  <si>
    <t xml:space="preserve">psch</t>
  </si>
  <si>
    <t xml:space="preserve">01.020</t>
  </si>
  <si>
    <t xml:space="preserve">Zentrales Lüftungsgerät. Zu-/Abluft je 6.000 m³/h bei 600 Pa extern; Wärmerückgewinnung mindestens 80 % trocken; SFP höchstens 1,80 kW/(m³/s); Gehäuse höchstens 3.200 x 1.600 x 1.800 mm; BACnet/IP.</t>
  </si>
  <si>
    <t xml:space="preserve">St</t>
  </si>
  <si>
    <t xml:space="preserve">01.030</t>
  </si>
  <si>
    <t xml:space="preserve">Dachabluftventilator. Je 2.200 m³/h bei 350 Pa; EC-Antrieb, Dachaufsatz, Revisionsschalter, elastischer Anschluss; betriebsfertig.</t>
  </si>
  <si>
    <t xml:space="preserve">01.040</t>
  </si>
  <si>
    <t xml:space="preserve">Rechteckkanal verzinkt. Kanalblech einschließlich Formstücke und Verbindungen; längste Kante bis 1.000 mm; dicht gefügt; Abrechnung nach Kanaloberfläche.</t>
  </si>
  <si>
    <t xml:space="preserve">m²</t>
  </si>
  <si>
    <t xml:space="preserve">01.050</t>
  </si>
  <si>
    <t xml:space="preserve">Rundrohrnetz. Wickelfalzrohr DN 160 bis DN 315, einschließlich Bögen, Abzweige und Dichtungen; gemessene Rohrmittellänge.</t>
  </si>
  <si>
    <t xml:space="preserve">m</t>
  </si>
  <si>
    <t xml:space="preserve">01.060</t>
  </si>
  <si>
    <t xml:space="preserve">Wärmedämmung Kanalnetz. Mineralfaserdämmung 40 mm mit geschlossener Außenkaschierung; Stöße verklebt, Befestigung ohne offene Fugen.</t>
  </si>
  <si>
    <t xml:space="preserve">01.070</t>
  </si>
  <si>
    <t xml:space="preserve">Brandschutzklappen. Motorisch, 24 V, zwei Endlagenkontakte; zugelassen für jeweilige Wandart, lichte Größen 200 x 200 bis 600 x 400 mm; Einbau mit Nachweis.</t>
  </si>
  <si>
    <t xml:space="preserve">01.080</t>
  </si>
  <si>
    <t xml:space="preserve">Volumenstromregler. DN 160 bis DN 250, einstellbar 100 bis 900 m³/h, Stellantrieb 24 V, zugängliche Messanschlüsse.</t>
  </si>
  <si>
    <t xml:space="preserve">01.090</t>
  </si>
  <si>
    <t xml:space="preserve">Luftdurchlässe. Decken- oder Wanddurchlass mit Anschlusskasten und Drossel, pulverbeschichtet RAL 9010; 80 bis 450 m³/h je Durchlass.</t>
  </si>
  <si>
    <t xml:space="preserve">01.100</t>
  </si>
  <si>
    <t xml:space="preserve">Kulissenschalldämpfer. Einfügungsdämpfung mindestens 20 dB bei 250 Hz; einschließlich Anschlussübergängen; Druckverlust höchstens 50 Pa.</t>
  </si>
  <si>
    <t xml:space="preserve">01.110</t>
  </si>
  <si>
    <t xml:space="preserve">Außenluftgitter. Witterungsschutz und Insektengitter; freie Fläche je mindestens 0,45 m²; Rahmen und dauerhaft dichte Befestigung.</t>
  </si>
  <si>
    <t xml:space="preserve">01.120</t>
  </si>
  <si>
    <t xml:space="preserve">Regelung und Schaltschrank. Schaltschrank, Feldgeräte, CO₂-Regelung in vier Zonen, Frostschutz, BACnet/IP mit 40 Datenpunkten; Parametrierung und Schnittstellentest.</t>
  </si>
  <si>
    <t xml:space="preserve">01.130</t>
  </si>
  <si>
    <t xml:space="preserve">Steuerleitungen. Liefern und verlegen im eigenen Gewerk; halogenfrei, einschließlich Kleinmaterial und beidseitiger Beschriftung.</t>
  </si>
  <si>
    <t xml:space="preserve">01.140</t>
  </si>
  <si>
    <t xml:space="preserve">Befestigungen und Tragsystem. Sämtliche Kanal- und Gerätehalterungen einschließlich Schwingungsentkopplung und statischem Befestigungsnachweis.</t>
  </si>
  <si>
    <t xml:space="preserve">01.150</t>
  </si>
  <si>
    <t xml:space="preserve">Brandschottungen. Durchführungen bis 0,12 m², zur Wand passende Abschottung einschließlich Kennzeichnung und Fotodokumentation.</t>
  </si>
  <si>
    <t xml:space="preserve">01.160</t>
  </si>
  <si>
    <t xml:space="preserve">Inbetriebnahme. Funktionsprüfung, Einregulierung der Anlage und Sicherheitsketten, Anwesenheit bei integrierter Funktionsprüfung an zwei Arbeitstagen.</t>
  </si>
  <si>
    <t xml:space="preserve">01.170</t>
  </si>
  <si>
    <t xml:space="preserve">Volumenstrommessung. Messung an jedem Durchlass, Soll-/Ist-Protokoll, Nachregulierung auf höchstens 10 % Abweichung.</t>
  </si>
  <si>
    <t xml:space="preserve">01.180</t>
  </si>
  <si>
    <t xml:space="preserve">Bestandsdokumentation. Revisionspläne PDF und bearbeitbar, Betriebshandbuch, Geräteliste und Messprotokolle; zwei Papierausfertigungen.</t>
  </si>
  <si>
    <t xml:space="preserve">01.190</t>
  </si>
  <si>
    <t xml:space="preserve">Einweisung Betriebspersonal. Je vier Stunden für bis zu acht Personen einschließlich Vorbereitung und Teilnehmernachweis.</t>
  </si>
  <si>
    <t xml:space="preserve">Termin</t>
  </si>
  <si>
    <t xml:space="preserve">01.200</t>
  </si>
  <si>
    <t xml:space="preserve">Erste Wartung. Ein Wartungstermin zwölf Monate nach Abnahme, Filterwechsel und Funktionsprüfung; Verbrauchsfilter enthalten.</t>
  </si>
  <si>
    <t xml:space="preserve">Summe netto vor Nachlass</t>
  </si>
  <si>
    <t xml:space="preserve">Mengen/Leistung: Unterlagen vom 29.07.2026.</t>
  </si>
  <si>
    <t xml:space="preserve">Preise: vom Bieter einzutragen.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</si>
</sst>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7]#,##0.00"/>
    <numFmt numFmtId="166" formatCode="0.00%"/>
    <numFmt numFmtId="167" formatCode="0%"/>
    <numFmt numFmtId="168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92D"/>
      <name val="Arial"/>
      <family val="0"/>
      <charset val="1"/>
    </font>
    <font>
      <b val="true"/>
      <sz val="15"/>
      <color rgb="FF20292D"/>
      <name val="Arial"/>
      <family val="0"/>
      <charset val="1"/>
    </font>
    <font>
      <sz val="11"/>
      <color rgb="FF1D4F70"/>
      <name val="Arial"/>
      <family val="0"/>
      <charset val="1"/>
    </font>
    <font>
      <b val="true"/>
      <sz val="11"/>
      <color rgb="FF20292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ECEC"/>
        <bgColor rgb="FFFFFFFF"/>
      </patternFill>
    </fill>
    <fill>
      <patternFill patternType="solid">
        <fgColor rgb="FF34474C"/>
        <bgColor rgb="FF1D4F7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C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4F70"/>
      <rgbColor rgb="FF339966"/>
      <rgbColor rgb="FF003300"/>
      <rgbColor rgb="FF34474C"/>
      <rgbColor rgb="FF993300"/>
      <rgbColor rgb="FF993366"/>
      <rgbColor rgb="FF333399"/>
      <rgbColor rgb="FF2029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E31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36.11"/>
    <ns0:col collapsed="false" customWidth="true" hidden="false" outlineLevel="0" max="2" min="2" style="1" width="17.22"/>
    <ns0:col collapsed="false" customWidth="true" hidden="false" outlineLevel="0" max="3" min="3" style="1" width="15.56"/>
    <ns0:col collapsed="false" customWidth="true" hidden="false" outlineLevel="0" max="4" min="4" style="1" width="16.11"/>
    <ns0:col collapsed="false" customWidth="true" hidden="false" outlineLevel="0" max="5" min="5" style="1" width="16.67"/>
  </ns0:cols>
  <ns0:sheetData>
    <ns0:row r="1" customFormat="false" ht="25" hidden="false" customHeight="true" outlineLevel="0" collapsed="false">
      <ns0:c r="A1" s="2"/>
      <ns0:c r="B1" s="2"/>
      <ns0:c r="C1" s="2"/>
      <ns0:c r="D1" s="2"/>
      <ns0:c r="E1" s="2"/>
    </ns0:row>
    <ns0:row r="2" customFormat="false" ht="25" hidden="false" customHeight="true" outlineLevel="0" collapsed="false">
      <ns0:c r="A2" s="3" t="s">
        <ns0:v>0</ns0:v>
      </ns0:c>
      <ns0:c r="B2" s="2"/>
      <ns0:c r="C2" s="2"/>
      <ns0:c r="D2" s="2"/>
      <ns0:c r="E2" s="2"/>
    </ns0:row>
    <ns0:row r="3" customFormat="false" ht="25" hidden="false" customHeight="true" outlineLevel="0" collapsed="false">
      <ns0:c r="A3" s="2" t="s">
        <ns0:v>1</ns0:v>
      </ns0:c>
      <ns0:c r="B3" s="2"/>
      <ns0:c r="C3" s="2"/>
      <ns0:c r="D3" s="2"/>
      <ns0:c r="E3" s="2"/>
    </ns0:row>
    <ns0:row r="4" customFormat="false" ht="25" hidden="false" customHeight="true" outlineLevel="0" collapsed="false">
      <ns0:c r="A4" s="2"/>
      <ns0:c r="B4" s="2"/>
      <ns0:c r="C4" s="2"/>
      <ns0:c r="D4" s="2"/>
      <ns0:c r="E4" s="2"/>
    </ns0:row>
    <ns0:row r="5" customFormat="false" ht="25" hidden="false" customHeight="true" outlineLevel="0" collapsed="false">
      <ns0:c r="A5" s="2" t="s">
        <ns0:v>2</ns0:v>
      </ns0:c>
      <ns0:c r="B5" s="2"/>
      <ns0:c r="C5" s="2"/>
      <ns0:c r="D5" s="2"/>
      <ns0:c r="E5" s="2"/>
    </ns0:row>
    <ns0:row r="6" customFormat="false" ht="25" hidden="false" customHeight="true" outlineLevel="0" collapsed="false">
      <ns0:c r="A6" s="2" t="s">
        <ns0:v>3</ns0:v>
      </ns0:c>
      <ns0:c r="B6" s="2"/>
      <ns0:c r="C6" s="2"/>
      <ns0:c r="D6" s="2"/>
      <ns0:c r="E6" s="2"/>
    </ns0:row>
    <ns0:row r="7" customFormat="false" ht="25" hidden="false" customHeight="true" outlineLevel="0" collapsed="false">
      <ns0:c r="A7" s="2" t="s">
        <ns0:v>4</ns0:v>
      </ns0:c>
      <ns0:c r="B7" s="2"/>
      <ns0:c r="C7" s="2"/>
      <ns0:c r="D7" s="2"/>
      <ns0:c r="E7" s="2"/>
    </ns0:row>
    <ns0:row r="8" customFormat="false" ht="25" hidden="false" customHeight="true" outlineLevel="0" collapsed="false">
      <ns0:c r="A8" s="2"/>
      <ns0:c r="B8" s="2"/>
      <ns0:c r="C8" s="2"/>
      <ns0:c r="D8" s="2"/>
      <ns0:c r="E8" s="2"/>
    </ns0:row>
    <ns0:row r="9" customFormat="false" ht="25" hidden="false" customHeight="true" outlineLevel="0" collapsed="false">
      <ns0:c r="A9" s="2" t="s">
        <ns0:v>5</ns0:v>
      </ns0:c>
      <ns0:c r="B9" s="4" t="str">
        <ns0:f aca="false">IF(COUNT(LV!E6:E25)=20,SUM(LV!F6:F25),"")</ns0:f>
        <ns0:v/>
      </ns0:c>
      <ns0:c r="C9" s="2"/>
      <ns0:c r="D9" s="2"/>
      <ns0:c r="E9" s="2"/>
    </ns0:row>
    <ns0:row r="10" customFormat="false" ht="25" hidden="false" customHeight="true" outlineLevel="0" collapsed="false">
      <ns0:c r="A10" s="2" t="s">
        <ns0:v>6</ns0:v>
      </ns0:c>
      <ns0:c r="B10" s="5" t="n">
        <ns0:v>0</ns0:v>
      </ns0:c>
      <ns0:c r="C10" s="2"/>
      <ns0:c r="D10" s="2"/>
      <ns0:c r="E10" s="2"/>
    </ns0:row>
    <ns0:row r="11" customFormat="false" ht="25" hidden="false" customHeight="true" outlineLevel="0" collapsed="false">
      <ns0:c r="A11" s="2" t="s">
        <ns0:v>7</ns0:v>
      </ns0:c>
      <ns0:c r="B11" s="4" t="str">
        <ns0:f aca="false">IF(B9="","",ROUND(B9*(1-B10),2))</ns0:f>
        <ns0:v/>
      </ns0:c>
      <ns0:c r="C11" s="2"/>
      <ns0:c r="D11" s="2"/>
      <ns0:c r="E11" s="2"/>
    </ns0:row>
    <ns0:row r="12" customFormat="false" ht="25" hidden="false" customHeight="true" outlineLevel="0" collapsed="false">
      <ns0:c r="A12" s="2" t="s">
        <ns0:v>8</ns0:v>
      </ns0:c>
      <ns0:c r="B12" s="6" t="n">
        <ns0:v>0.19</ns0:v>
      </ns0:c>
      <ns0:c r="C12" s="2"/>
      <ns0:c r="D12" s="2"/>
      <ns0:c r="E12" s="2"/>
    </ns0:row>
    <ns0:row r="13" customFormat="false" ht="25" hidden="false" customHeight="true" outlineLevel="0" collapsed="false">
      <ns0:c r="A13" s="2" t="s">
        <ns0:v>9</ns0:v>
      </ns0:c>
      <ns0:c r="B13" s="4" t="str">
        <ns0:f aca="false">IF(B11="","",ROUND(B11*B12,2))</ns0:f>
        <ns0:v/>
      </ns0:c>
      <ns0:c r="C13" s="2"/>
      <ns0:c r="D13" s="2"/>
      <ns0:c r="E13" s="2"/>
    </ns0:row>
    <ns0:row r="14" customFormat="false" ht="25" hidden="false" customHeight="true" outlineLevel="0" collapsed="false">
      <ns0:c r="A14" s="7" t="s">
        <ns0:v>10</ns0:v>
      </ns0:c>
      <ns0:c r="B14" s="8" t="str">
        <ns0:f aca="false">IF(B11="","",SUM(B11,B13))</ns0:f>
        <ns0:v/>
      </ns0:c>
      <ns0:c r="C14" s="2"/>
      <ns0:c r="D14" s="2"/>
      <ns0:c r="E14" s="2"/>
    </ns0:row>
    <ns0:row r="15" customFormat="false" ht="25" hidden="false" customHeight="true" outlineLevel="0" collapsed="false">
      <ns0:c r="A15" s="2"/>
      <ns0:c r="B15" s="2"/>
      <ns0:c r="C15" s="2"/>
      <ns0:c r="D15" s="2"/>
      <ns0:c r="E15" s="2"/>
    </ns0:row>
    <ns0:row r="16" customFormat="false" ht="25" hidden="false" customHeight="true" outlineLevel="0" collapsed="false">
      <ns0:c r="A16" s="2" t="s">
        <ns0:v>11</ns0:v>
      </ns0:c>
      <ns0:c r="B16" s="9"/>
      <ns0:c r="C16" s="9"/>
      <ns0:c r="D16" s="9"/>
      <ns0:c r="E16" s="9"/>
    </ns0:row>
    <ns0:row r="17" customFormat="false" ht="25" hidden="false" customHeight="true" outlineLevel="0" collapsed="false">
      <ns0:c r="A17" s="2"/>
      <ns0:c r="B17" s="2"/>
      <ns0:c r="C17" s="2"/>
      <ns0:c r="D17" s="2"/>
      <ns0:c r="E17" s="2"/>
    </ns0:row>
    <ns0:row r="18" customFormat="false" ht="25" hidden="false" customHeight="true" outlineLevel="0" collapsed="false">
      <ns0:c r="A18" s="2" t="s">
        <ns0:v>12</ns0:v>
      </ns0:c>
      <ns0:c r="B18" s="2"/>
      <ns0:c r="C18" s="2"/>
      <ns0:c r="D18" s="2"/>
      <ns0:c r="E18" s="2"/>
    </ns0:row>
    <ns0:row r="19" customFormat="false" ht="25" hidden="false" customHeight="true" outlineLevel="0" collapsed="false">
      <ns0:c r="A19" s="2" t="s">
        <ns0:v>13</ns0:v>
      </ns0:c>
      <ns0:c r="B19" s="2"/>
      <ns0:c r="C19" s="2"/>
      <ns0:c r="D19" s="2"/>
      <ns0:c r="E19" s="2"/>
    </ns0:row>
    <ns0:row r="20" customFormat="false" ht="25" hidden="false" customHeight="true" outlineLevel="0" collapsed="false">
      <ns0:c r="A20" s="2" t="s">
        <ns0:v>14</ns0:v>
      </ns0:c>
      <ns0:c r="B20" s="2"/>
      <ns0:c r="C20" s="2"/>
      <ns0:c r="D20" s="2"/>
      <ns0:c r="E20" s="2"/>
    </ns0:row>
    <ns0:row r="21" customFormat="false" ht="25" hidden="false" customHeight="true" outlineLevel="0" collapsed="false">
      <ns0:c r="A21" s="2" t="s">
        <ns0:v>15</ns0:v>
      </ns0:c>
      <ns0:c r="B21" s="2"/>
      <ns0:c r="C21" s="2"/>
      <ns0:c r="D21" s="2"/>
      <ns0:c r="E21" s="2"/>
    </ns0:row>
    <ns0:row r="22" customFormat="false" ht="25" hidden="false" customHeight="true" outlineLevel="0" collapsed="false">
      <ns0:c r="A22" s="2" t="s">
        <ns0:v>16</ns0:v>
      </ns0:c>
      <ns0:c r="B22" s="2"/>
      <ns0:c r="C22" s="2"/>
      <ns0:c r="D22" s="2"/>
      <ns0:c r="E22" s="2"/>
    </ns0:row>
    <ns0:row r="23" customFormat="false" ht="25" hidden="false" customHeight="true" outlineLevel="0" collapsed="false">
      <ns0:c r="A23" s="2"/>
      <ns0:c r="B23" s="2"/>
      <ns0:c r="C23" s="2"/>
      <ns0:c r="D23" s="2"/>
      <ns0:c r="E23" s="2"/>
    </ns0:row>
    <ns0:row r="24" customFormat="false" ht="25" hidden="false" customHeight="true" outlineLevel="0" collapsed="false">
      <ns0:c r="A24" s="2" t="s">
        <ns0:v>17</ns0:v>
      </ns0:c>
      <ns0:c r="B24" s="2"/>
      <ns0:c r="C24" s="2"/>
      <ns0:c r="D24" s="2"/>
      <ns0:c r="E24" s="2"/>
    </ns0:row>
    <ns0:row r="25" customFormat="false" ht="25" hidden="false" customHeight="true" outlineLevel="0" collapsed="false">
      <ns0:c r="A25" s="2"/>
      <ns0:c r="B25" s="2"/>
      <ns0:c r="C25" s="2"/>
      <ns0:c r="D25" s="2"/>
      <ns0:c r="E25" s="2"/>
    </ns0:row>
    <ns0:row r="26" customFormat="false" ht="25" hidden="false" customHeight="true" outlineLevel="0" collapsed="false">
      <ns0:c r="A26" s="2"/>
      <ns0:c r="B26" s="2"/>
      <ns0:c r="C26" s="2"/>
      <ns0:c r="D26" s="2"/>
      <ns0:c r="E26" s="2"/>
    </ns0:row>
    <ns0:row r="27" customFormat="false" ht="25" hidden="false" customHeight="true" outlineLevel="0" collapsed="false">
      <ns0:c r="A27" s="2"/>
      <ns0:c r="B27" s="2"/>
      <ns0:c r="C27" s="2"/>
      <ns0:c r="D27" s="2"/>
      <ns0:c r="E27" s="2"/>
    </ns0:row>
    <ns0:row r="28" customFormat="false" ht="25" hidden="false" customHeight="true" outlineLevel="0" collapsed="false">
      <ns0:c r="A28" s="2"/>
      <ns0:c r="B28" s="2"/>
      <ns0:c r="C28" s="2"/>
      <ns0:c r="D28" s="2"/>
      <ns0:c r="E28" s="2"/>
    </ns0:row>
    <ns0:row r="29" customFormat="false" ht="25" hidden="false" customHeight="true" outlineLevel="0" collapsed="false">
      <ns0:c r="A29" s="2"/>
      <ns0:c r="B29" s="2"/>
      <ns0:c r="C29" s="2"/>
      <ns0:c r="D29" s="2"/>
      <ns0:c r="E29" s="2"/>
    </ns0:row>
    <ns0:row r="30" customFormat="false" ht="25" hidden="false" customHeight="true" outlineLevel="0" collapsed="false">
      <ns0:c r="A30" s="2"/>
      <ns0:c r="B30" s="2"/>
      <ns0:c r="C30" s="2"/>
      <ns0:c r="D30" s="2"/>
      <ns0:c r="E30" s="2"/>
    </ns0:row>
    <ns0:row r="31" customFormat="false" ht="25" hidden="false" customHeight="true" outlineLevel="0" collapsed="false">
      <ns0:c r="A31" s="2"/>
      <ns0:c r="B31" s="2"/>
      <ns0:c r="C31" s="2"/>
      <ns0:c r="D31" s="2"/>
      <ns0:c r="E31" s="2"/>
    </ns0:row>
  </ns0:sheetData>
  <ns0:printOptions headings="false" gridLines="false" gridLinesSet="true" horizontalCentered="false" verticalCentered="false"/>
  <ns0:pageMargins left="0.3" right="0.3" top="0.35" bottom="0.35" header="0.1" footer="0.15"/>
  <ns0:pageSetup paperSize="9" orientation="portrait" fitToWidth="1" fitToHeight="1"/>
  <ns0:headerFooter>
    <ns0:oddFooter>&amp;LNO-FH26-L430&amp;CPreisblatt&amp;RSeite &amp;P</ns0:oddFooter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F31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10"/>
    <ns0:col collapsed="false" customWidth="true" hidden="false" outlineLevel="0" max="2" min="2" style="1" width="56.67"/>
    <ns0:col collapsed="false" customWidth="true" hidden="false" outlineLevel="0" max="3" min="3" style="1" width="7.78"/>
    <ns0:col collapsed="false" customWidth="true" hidden="false" outlineLevel="0" max="4" min="4" style="1" width="8.89"/>
    <ns0:col collapsed="false" customWidth="true" hidden="false" outlineLevel="0" max="5" min="5" style="1" width="14.44"/>
    <ns0:col collapsed="false" customWidth="true" hidden="false" outlineLevel="0" max="6" min="6" style="1" width="15.56"/>
  </ns0:cols>
  <ns0:sheetData>
    <ns0:row r="1" customFormat="false" ht="25" hidden="false" customHeight="true" outlineLevel="0" collapsed="false">
      <ns0:c r="A1" s="2"/>
      <ns0:c r="B1" s="2"/>
      <ns0:c r="C1" s="2"/>
      <ns0:c r="D1" s="2"/>
      <ns0:c r="E1" s="2"/>
      <ns0:c r="F1" s="2"/>
    </ns0:row>
    <ns0:row r="2" customFormat="false" ht="25" hidden="false" customHeight="true" outlineLevel="0" collapsed="false">
      <ns0:c r="A2" s="3" t="s">
        <ns0:v>18</ns0:v>
      </ns0:c>
      <ns0:c r="B2" s="2"/>
      <ns0:c r="C2" s="2"/>
      <ns0:c r="D2" s="2"/>
      <ns0:c r="E2" s="2"/>
      <ns0:c r="F2" s="2"/>
    </ns0:row>
    <ns0:row r="3" customFormat="false" ht="25" hidden="false" customHeight="true" outlineLevel="0" collapsed="false">
      <ns0:c r="A3" s="2" t="s">
        <ns0:v>19</ns0:v>
      </ns0:c>
      <ns0:c r="B3" s="2"/>
      <ns0:c r="C3" s="2"/>
      <ns0:c r="D3" s="2"/>
      <ns0:c r="E3" s="2"/>
      <ns0:c r="F3" s="2"/>
    </ns0:row>
    <ns0:row r="4" customFormat="false" ht="25" hidden="false" customHeight="true" outlineLevel="0" collapsed="false">
      <ns0:c r="A4" s="2"/>
      <ns0:c r="B4" s="2"/>
      <ns0:c r="C4" s="2"/>
      <ns0:c r="D4" s="2"/>
      <ns0:c r="E4" s="2"/>
      <ns0:c r="F4" s="2"/>
    </ns0:row>
    <ns0:row r="5" customFormat="false" ht="36" hidden="false" customHeight="true" outlineLevel="0" collapsed="false">
      <ns0:c r="A5" s="10" t="s">
        <ns0:v>20</ns0:v>
      </ns0:c>
      <ns0:c r="B5" s="10" t="s">
        <ns0:v>21</ns0:v>
      </ns0:c>
      <ns0:c r="C5" s="10" t="s">
        <ns0:v>22</ns0:v>
      </ns0:c>
      <ns0:c r="D5" s="10" t="s">
        <ns0:v>23</ns0:v>
      </ns0:c>
      <ns0:c r="E5" s="10" t="s">
        <ns0:v>24</ns0:v>
      </ns0:c>
      <ns0:c r="F5" s="10" t="s">
        <ns0:v>25</ns0:v>
      </ns0:c>
    </ns0:row>
    <ns0:row r="6" customFormat="false" ht="60" hidden="false" customHeight="true" outlineLevel="0" collapsed="false">
      <ns0:c r="A6" s="11" t="s">
        <ns0:v>26</ns0:v>
      </ns0:c>
      <ns0:c r="B6" s="12" t="s">
        <ns0:v>27</ns0:v>
      </ns0:c>
      <ns0:c r="C6" s="2" t="n">
        <ns0:v>1</ns0:v>
      </ns0:c>
      <ns0:c r="D6" s="2" t="s">
        <ns0:v>28</ns0:v>
      </ns0:c>
      <ns0:c r="E6" s="13"/>
      <ns0:c r="F6" s="4" t="str">
        <ns0:f aca="false">IF(E6="","",ROUND(C6*E6,2))</ns0:f>
        <ns0:v/>
      </ns0:c>
    </ns0:row>
    <ns0:row r="7" customFormat="false" ht="80" hidden="false" customHeight="true" outlineLevel="0" collapsed="false">
      <ns0:c r="A7" s="11" t="s">
        <ns0:v>29</ns0:v>
      </ns0:c>
      <ns0:c r="B7" s="12" t="s">
        <ns0:v>30</ns0:v>
      </ns0:c>
      <ns0:c r="C7" s="2" t="n">
        <ns0:v>1</ns0:v>
      </ns0:c>
      <ns0:c r="D7" s="2" t="s">
        <ns0:v>31</ns0:v>
      </ns0:c>
      <ns0:c r="E7" s="13"/>
      <ns0:c r="F7" s="4" t="str">
        <ns0:f aca="false">IF(E7="","",ROUND(C7*E7,2))</ns0:f>
        <ns0:v/>
      </ns0:c>
    </ns0:row>
    <ns0:row r="8" customFormat="false" ht="60" hidden="false" customHeight="true" outlineLevel="0" collapsed="false">
      <ns0:c r="A8" s="11" t="s">
        <ns0:v>32</ns0:v>
      </ns0:c>
      <ns0:c r="B8" s="12" t="s">
        <ns0:v>33</ns0:v>
      </ns0:c>
      <ns0:c r="C8" s="2" t="n">
        <ns0:v>2</ns0:v>
      </ns0:c>
      <ns0:c r="D8" s="2" t="s">
        <ns0:v>31</ns0:v>
      </ns0:c>
      <ns0:c r="E8" s="13"/>
      <ns0:c r="F8" s="4" t="str">
        <ns0:f aca="false">IF(E8="","",ROUND(C8*E8,2))</ns0:f>
        <ns0:v/>
      </ns0:c>
    </ns0:row>
    <ns0:row r="9" customFormat="false" ht="60" hidden="false" customHeight="true" outlineLevel="0" collapsed="false">
      <ns0:c r="A9" s="11" t="s">
        <ns0:v>34</ns0:v>
      </ns0:c>
      <ns0:c r="B9" s="12" t="s">
        <ns0:v>35</ns0:v>
      </ns0:c>
      <ns0:c r="C9" s="2" t="n">
        <ns0:v>560</ns0:v>
      </ns0:c>
      <ns0:c r="D9" s="2" t="s">
        <ns0:v>36</ns0:v>
      </ns0:c>
      <ns0:c r="E9" s="13"/>
      <ns0:c r="F9" s="4" t="str">
        <ns0:f aca="false">IF(E9="","",ROUND(C9*E9,2))</ns0:f>
        <ns0:v/>
      </ns0:c>
    </ns0:row>
    <ns0:row r="10" customFormat="false" ht="60" hidden="false" customHeight="true" outlineLevel="0" collapsed="false">
      <ns0:c r="A10" s="11" t="s">
        <ns0:v>37</ns0:v>
      </ns0:c>
      <ns0:c r="B10" s="12" t="s">
        <ns0:v>38</ns0:v>
      </ns0:c>
      <ns0:c r="C10" s="2" t="n">
        <ns0:v>210</ns0:v>
      </ns0:c>
      <ns0:c r="D10" s="2" t="s">
        <ns0:v>39</ns0:v>
      </ns0:c>
      <ns0:c r="E10" s="13"/>
      <ns0:c r="F10" s="4" t="str">
        <ns0:f aca="false">IF(E10="","",ROUND(C10*E10,2))</ns0:f>
        <ns0:v/>
      </ns0:c>
    </ns0:row>
    <ns0:row r="11" customFormat="false" ht="60" hidden="false" customHeight="true" outlineLevel="0" collapsed="false">
      <ns0:c r="A11" s="11" t="s">
        <ns0:v>40</ns0:v>
      </ns0:c>
      <ns0:c r="B11" s="12" t="s">
        <ns0:v>41</ns0:v>
      </ns0:c>
      <ns0:c r="C11" s="2" t="n">
        <ns0:v>460</ns0:v>
      </ns0:c>
      <ns0:c r="D11" s="2" t="s">
        <ns0:v>36</ns0:v>
      </ns0:c>
      <ns0:c r="E11" s="13"/>
      <ns0:c r="F11" s="4" t="str">
        <ns0:f aca="false">IF(E11="","",ROUND(C11*E11,2))</ns0:f>
        <ns0:v/>
      </ns0:c>
    </ns0:row>
    <ns0:row r="12" customFormat="false" ht="60" hidden="false" customHeight="true" outlineLevel="0" collapsed="false">
      <ns0:c r="A12" s="11" t="s">
        <ns0:v>42</ns0:v>
      </ns0:c>
      <ns0:c r="B12" s="12" t="s">
        <ns0:v>43</ns0:v>
      </ns0:c>
      <ns0:c r="C12" s="2" t="n">
        <ns0:v>14</ns0:v>
      </ns0:c>
      <ns0:c r="D12" s="2" t="s">
        <ns0:v>31</ns0:v>
      </ns0:c>
      <ns0:c r="E12" s="13"/>
      <ns0:c r="F12" s="4" t="str">
        <ns0:f aca="false">IF(E12="","",ROUND(C12*E12,2))</ns0:f>
        <ns0:v/>
      </ns0:c>
    </ns0:row>
    <ns0:row r="13" customFormat="false" ht="60" hidden="false" customHeight="true" outlineLevel="0" collapsed="false">
      <ns0:c r="A13" s="11" t="s">
        <ns0:v>44</ns0:v>
      </ns0:c>
      <ns0:c r="B13" s="12" t="s">
        <ns0:v>45</ns0:v>
      </ns0:c>
      <ns0:c r="C13" s="2" t="n">
        <ns0:v>18</ns0:v>
      </ns0:c>
      <ns0:c r="D13" s="2" t="s">
        <ns0:v>31</ns0:v>
      </ns0:c>
      <ns0:c r="E13" s="13"/>
      <ns0:c r="F13" s="4" t="str">
        <ns0:f aca="false">IF(E13="","",ROUND(C13*E13,2))</ns0:f>
        <ns0:v/>
      </ns0:c>
    </ns0:row>
    <ns0:row r="14" customFormat="false" ht="60" hidden="false" customHeight="true" outlineLevel="0" collapsed="false">
      <ns0:c r="A14" s="11" t="s">
        <ns0:v>46</ns0:v>
      </ns0:c>
      <ns0:c r="B14" s="12" t="s">
        <ns0:v>47</ns0:v>
      </ns0:c>
      <ns0:c r="C14" s="2" t="n">
        <ns0:v>42</ns0:v>
      </ns0:c>
      <ns0:c r="D14" s="2" t="s">
        <ns0:v>31</ns0:v>
      </ns0:c>
      <ns0:c r="E14" s="13"/>
      <ns0:c r="F14" s="4" t="str">
        <ns0:f aca="false">IF(E14="","",ROUND(C14*E14,2))</ns0:f>
        <ns0:v/>
      </ns0:c>
    </ns0:row>
    <ns0:row r="15" customFormat="false" ht="60" hidden="false" customHeight="true" outlineLevel="0" collapsed="false">
      <ns0:c r="A15" s="11" t="s">
        <ns0:v>48</ns0:v>
      </ns0:c>
      <ns0:c r="B15" s="12" t="s">
        <ns0:v>49</ns0:v>
      </ns0:c>
      <ns0:c r="C15" s="2" t="n">
        <ns0:v>6</ns0:v>
      </ns0:c>
      <ns0:c r="D15" s="2" t="s">
        <ns0:v>31</ns0:v>
      </ns0:c>
      <ns0:c r="E15" s="13"/>
      <ns0:c r="F15" s="4" t="str">
        <ns0:f aca="false">IF(E15="","",ROUND(C15*E15,2))</ns0:f>
        <ns0:v/>
      </ns0:c>
    </ns0:row>
    <ns0:row r="16" customFormat="false" ht="60" hidden="false" customHeight="true" outlineLevel="0" collapsed="false">
      <ns0:c r="A16" s="11" t="s">
        <ns0:v>50</ns0:v>
      </ns0:c>
      <ns0:c r="B16" s="12" t="s">
        <ns0:v>51</ns0:v>
      </ns0:c>
      <ns0:c r="C16" s="2" t="n">
        <ns0:v>4</ns0:v>
      </ns0:c>
      <ns0:c r="D16" s="2" t="s">
        <ns0:v>31</ns0:v>
      </ns0:c>
      <ns0:c r="E16" s="13"/>
      <ns0:c r="F16" s="4" t="str">
        <ns0:f aca="false">IF(E16="","",ROUND(C16*E16,2))</ns0:f>
        <ns0:v/>
      </ns0:c>
    </ns0:row>
    <ns0:row r="17" customFormat="false" ht="60" hidden="false" customHeight="true" outlineLevel="0" collapsed="false">
      <ns0:c r="A17" s="11" t="s">
        <ns0:v>52</ns0:v>
      </ns0:c>
      <ns0:c r="B17" s="12" t="s">
        <ns0:v>53</ns0:v>
      </ns0:c>
      <ns0:c r="C17" s="2" t="n">
        <ns0:v>1</ns0:v>
      </ns0:c>
      <ns0:c r="D17" s="2" t="s">
        <ns0:v>28</ns0:v>
      </ns0:c>
      <ns0:c r="E17" s="13"/>
      <ns0:c r="F17" s="4" t="str">
        <ns0:f aca="false">IF(E17="","",ROUND(C17*E17,2))</ns0:f>
        <ns0:v/>
      </ns0:c>
    </ns0:row>
    <ns0:row r="18" customFormat="false" ht="60" hidden="false" customHeight="true" outlineLevel="0" collapsed="false">
      <ns0:c r="A18" s="11" t="s">
        <ns0:v>54</ns0:v>
      </ns0:c>
      <ns0:c r="B18" s="12" t="s">
        <ns0:v>55</ns0:v>
      </ns0:c>
      <ns0:c r="C18" s="2" t="n">
        <ns0:v>380</ns0:v>
      </ns0:c>
      <ns0:c r="D18" s="2" t="s">
        <ns0:v>39</ns0:v>
      </ns0:c>
      <ns0:c r="E18" s="13"/>
      <ns0:c r="F18" s="4" t="str">
        <ns0:f aca="false">IF(E18="","",ROUND(C18*E18,2))</ns0:f>
        <ns0:v/>
      </ns0:c>
    </ns0:row>
    <ns0:row r="19" customFormat="false" ht="60" hidden="false" customHeight="true" outlineLevel="0" collapsed="false">
      <ns0:c r="A19" s="11" t="s">
        <ns0:v>56</ns0:v>
      </ns0:c>
      <ns0:c r="B19" s="12" t="s">
        <ns0:v>57</ns0:v>
      </ns0:c>
      <ns0:c r="C19" s="2" t="n">
        <ns0:v>1</ns0:v>
      </ns0:c>
      <ns0:c r="D19" s="2" t="s">
        <ns0:v>28</ns0:v>
      </ns0:c>
      <ns0:c r="E19" s="13"/>
      <ns0:c r="F19" s="4" t="str">
        <ns0:f aca="false">IF(E19="","",ROUND(C19*E19,2))</ns0:f>
        <ns0:v/>
      </ns0:c>
    </ns0:row>
    <ns0:row r="20" customFormat="false" ht="60" hidden="false" customHeight="true" outlineLevel="0" collapsed="false">
      <ns0:c r="A20" s="11" t="s">
        <ns0:v>58</ns0:v>
      </ns0:c>
      <ns0:c r="B20" s="12" t="s">
        <ns0:v>59</ns0:v>
      </ns0:c>
      <ns0:c r="C20" s="2" t="n">
        <ns0:v>26</ns0:v>
      </ns0:c>
      <ns0:c r="D20" s="2" t="s">
        <ns0:v>31</ns0:v>
      </ns0:c>
      <ns0:c r="E20" s="13"/>
      <ns0:c r="F20" s="4" t="str">
        <ns0:f aca="false">IF(E20="","",ROUND(C20*E20,2))</ns0:f>
        <ns0:v/>
      </ns0:c>
    </ns0:row>
    <ns0:row r="21" customFormat="false" ht="60" hidden="false" customHeight="true" outlineLevel="0" collapsed="false">
      <ns0:c r="A21" s="11" t="s">
        <ns0:v>60</ns0:v>
      </ns0:c>
      <ns0:c r="B21" s="12" t="s">
        <ns0:v>61</ns0:v>
      </ns0:c>
      <ns0:c r="C21" s="2" t="n">
        <ns0:v>1</ns0:v>
      </ns0:c>
      <ns0:c r="D21" s="2" t="s">
        <ns0:v>28</ns0:v>
      </ns0:c>
      <ns0:c r="E21" s="13"/>
      <ns0:c r="F21" s="4" t="str">
        <ns0:f aca="false">IF(E21="","",ROUND(C21*E21,2))</ns0:f>
        <ns0:v/>
      </ns0:c>
    </ns0:row>
    <ns0:row r="22" customFormat="false" ht="60" hidden="false" customHeight="true" outlineLevel="0" collapsed="false">
      <ns0:c r="A22" s="11" t="s">
        <ns0:v>62</ns0:v>
      </ns0:c>
      <ns0:c r="B22" s="12" t="s">
        <ns0:v>63</ns0:v>
      </ns0:c>
      <ns0:c r="C22" s="2" t="n">
        <ns0:v>42</ns0:v>
      </ns0:c>
      <ns0:c r="D22" s="2" t="s">
        <ns0:v>31</ns0:v>
      </ns0:c>
      <ns0:c r="E22" s="13"/>
      <ns0:c r="F22" s="4" t="str">
        <ns0:f aca="false">IF(E22="","",ROUND(C22*E22,2))</ns0:f>
        <ns0:v/>
      </ns0:c>
    </ns0:row>
    <ns0:row r="23" customFormat="false" ht="60" hidden="false" customHeight="true" outlineLevel="0" collapsed="false">
      <ns0:c r="A23" s="11" t="s">
        <ns0:v>64</ns0:v>
      </ns0:c>
      <ns0:c r="B23" s="12" t="s">
        <ns0:v>65</ns0:v>
      </ns0:c>
      <ns0:c r="C23" s="2" t="n">
        <ns0:v>1</ns0:v>
      </ns0:c>
      <ns0:c r="D23" s="2" t="s">
        <ns0:v>28</ns0:v>
      </ns0:c>
      <ns0:c r="E23" s="13"/>
      <ns0:c r="F23" s="4" t="str">
        <ns0:f aca="false">IF(E23="","",ROUND(C23*E23,2))</ns0:f>
        <ns0:v/>
      </ns0:c>
    </ns0:row>
    <ns0:row r="24" customFormat="false" ht="60" hidden="false" customHeight="true" outlineLevel="0" collapsed="false">
      <ns0:c r="A24" s="11" t="s">
        <ns0:v>66</ns0:v>
      </ns0:c>
      <ns0:c r="B24" s="12" t="s">
        <ns0:v>67</ns0:v>
      </ns0:c>
      <ns0:c r="C24" s="2" t="n">
        <ns0:v>2</ns0:v>
      </ns0:c>
      <ns0:c r="D24" s="2" t="s">
        <ns0:v>68</ns0:v>
      </ns0:c>
      <ns0:c r="E24" s="13"/>
      <ns0:c r="F24" s="4" t="str">
        <ns0:f aca="false">IF(E24="","",ROUND(C24*E24,2))</ns0:f>
        <ns0:v/>
      </ns0:c>
    </ns0:row>
    <ns0:row r="25" customFormat="false" ht="60" hidden="false" customHeight="true" outlineLevel="0" collapsed="false">
      <ns0:c r="A25" s="11" t="s">
        <ns0:v>69</ns0:v>
      </ns0:c>
      <ns0:c r="B25" s="12" t="s">
        <ns0:v>70</ns0:v>
      </ns0:c>
      <ns0:c r="C25" s="2" t="n">
        <ns0:v>1</ns0:v>
      </ns0:c>
      <ns0:c r="D25" s="2" t="s">
        <ns0:v>28</ns0:v>
      </ns0:c>
      <ns0:c r="E25" s="13"/>
      <ns0:c r="F25" s="4" t="str">
        <ns0:f aca="false">IF(E25="","",ROUND(C25*E25,2))</ns0:f>
        <ns0:v/>
      </ns0:c>
    </ns0:row>
    <ns0:row r="26" customFormat="false" ht="25" hidden="false" customHeight="true" outlineLevel="0" collapsed="false">
      <ns0:c r="A26" s="2"/>
      <ns0:c r="B26" s="2"/>
      <ns0:c r="C26" s="2"/>
      <ns0:c r="D26" s="2"/>
      <ns0:c r="E26" s="4"/>
      <ns0:c r="F26" s="4"/>
    </ns0:row>
    <ns0:row r="27" customFormat="false" ht="25" hidden="false" customHeight="true" outlineLevel="0" collapsed="false">
      <ns0:c r="A27" s="2"/>
      <ns0:c r="B27" s="2" t="s">
        <ns0:v>71</ns0:v>
      </ns0:c>
      <ns0:c r="C27" s="2"/>
      <ns0:c r="D27" s="2"/>
      <ns0:c r="E27" s="4"/>
      <ns0:c r="F27" s="4" t="str">
        <ns0:f aca="false">IF(COUNT(E6:E25)=20,SUM(F6:F25),"")</ns0:f>
        <ns0:v/>
      </ns0:c>
    </ns0:row>
    <ns0:row r="28" customFormat="false" ht="25" hidden="false" customHeight="true" outlineLevel="0" collapsed="false">
      <ns0:c r="A28" s="2"/>
      <ns0:c r="B28" s="2"/>
      <ns0:c r="C28" s="2"/>
      <ns0:c r="D28" s="2"/>
      <ns0:c r="E28" s="4"/>
      <ns0:c r="F28" s="4"/>
    </ns0:row>
    <ns0:row r="29" customFormat="false" ht="25" hidden="false" customHeight="true" outlineLevel="0" collapsed="false">
      <ns0:c r="A29" s="2"/>
      <ns0:c r="B29" s="2" t="s">
        <ns0:v>72</ns0:v>
      </ns0:c>
      <ns0:c r="C29" s="2"/>
      <ns0:c r="D29" s="2"/>
      <ns0:c r="E29" s="2"/>
      <ns0:c r="F29" s="2"/>
    </ns0:row>
    <ns0:row r="30" customFormat="false" ht="25" hidden="false" customHeight="true" outlineLevel="0" collapsed="false">
      <ns0:c r="A30" s="2"/>
      <ns0:c r="B30" s="2" t="s">
        <ns0:v>73</ns0:v>
      </ns0:c>
      <ns0:c r="C30" s="2"/>
      <ns0:c r="D30" s="2"/>
      <ns0:c r="E30" s="2"/>
      <ns0:c r="F30" s="2"/>
    </ns0:row>
    <ns0:row r="31" customFormat="false" ht="25" hidden="false" customHeight="true" outlineLevel="0" collapsed="false">
      <ns0:c r="A31" s="2"/>
      <ns0:c r="B31" s="2"/>
      <ns0:c r="C31" s="2"/>
      <ns0:c r="D31" s="2"/>
      <ns0:c r="E31" s="2"/>
      <ns0:c r="F31" s="2"/>
    </ns0:row>
  </ns0:sheetData>
  <ns0:dataValidations count="1">
    <ns0:dataValidation allowBlank="false" errorStyle="stop" operator="greaterThanOrEqual" showDropDown="false" showErrorMessage="false" showInputMessage="false" sqref="E6:E25" type="decimal">
      <ns0:formula1>0</ns0:formula1>
      <ns0:formula2>0</ns0:formula2>
    </ns0:dataValidation>
  </ns0:dataValidations>
  <ns0:printOptions headings="false" gridLines="false" gridLinesSet="true" horizontalCentered="false" verticalCentered="false"/>
  <ns0:pageMargins left="0.3" right="0.3" top="0.35" bottom="0.35" header="0.1" footer="0.15"/>
  <ns0:pageSetup paperSize="9" orientation="landscape" fitToWidth="1" fitToHeight="0"/>
  <ns0:headerFooter>
    <ns0:oddFooter>&amp;LNO-FH26-L430&amp;CLV&amp;RSeite &amp;P</ns0:oddFooter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