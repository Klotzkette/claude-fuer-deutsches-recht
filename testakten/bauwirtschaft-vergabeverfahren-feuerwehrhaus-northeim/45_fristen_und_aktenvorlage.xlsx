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Termine" sheetId="1" state="visible" ns1:id="rId3"/>
    <ns0:sheet name="Unterlagen" sheetId="2" state="visible" ns1:id="rId4"/>
  </ns0:sheets>
  <ns0:definedNames>
    <ns0:definedName name="_xlnm.Print_Area" localSheetId="0">'Termine'!$A$1:$F$30</ns0:definedName>
    <ns0:definedName name="_xlnm.Print_Area" localSheetId="1">'Unterlagen'!$A$1:$E$28</ns0:definedName>
    <ns0:definedName name="_xlnm.Print_Titles" localSheetId="1">'Unterlagen'!$5:$5</ns0:definedName>
  </ns0:definedNames>
  <ns0:calcPr iterateCount="100" refMode="A1" iterate="false" iterateDelta="0.0001" calcMode="auto" fullCalcOnLoad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<sst xmlns="http://schemas.openxmlformats.org/spreadsheetml/2006/main" count="97" uniqueCount="86">
  <si>
    <t xml:space="preserve">Termine für die Aktenvorlage</t>
  </si>
  <si>
    <t xml:space="preserve">Jonas Berg · Stand 25.09.2026, 14:00 Uhr MESZ · keine automatische Fortschreibung</t>
  </si>
  <si>
    <t xml:space="preserve">Kontrollzeitpunkt MESZ</t>
  </si>
  <si>
    <t xml:space="preserve">Aufgabe oder Termin</t>
  </si>
  <si>
    <t xml:space="preserve">Vorgegebener Zeitpunkt</t>
  </si>
  <si>
    <t xml:space="preserve">Erledigt bzw. Eingang</t>
  </si>
  <si>
    <t xml:space="preserve">Rest in Kalendertagen</t>
  </si>
  <si>
    <t xml:space="preserve">Bearbeitungsstatus</t>
  </si>
  <si>
    <t xml:space="preserve">Quelle</t>
  </si>
  <si>
    <t xml:space="preserve">Aufklärungsantwort</t>
  </si>
  <si>
    <t xml:space="preserve">18, 17</t>
  </si>
  <si>
    <t xml:space="preserve">Interne Versandkopie</t>
  </si>
  <si>
    <t xml:space="preserve">40 und 42</t>
  </si>
  <si>
    <t xml:space="preserve">Interne Gegenkontrolle</t>
  </si>
  <si>
    <t xml:space="preserve">42</t>
  </si>
  <si>
    <t xml:space="preserve">Aktenvorlage und Stellungnahme</t>
  </si>
  <si>
    <t xml:space="preserve">31</t>
  </si>
  <si>
    <t xml:space="preserve">Ende Angebotsbindung</t>
  </si>
  <si>
    <t xml:space="preserve">02, 03; 30.10. 24:00</t>
  </si>
  <si>
    <t xml:space="preserve">Ausführungsbeginn</t>
  </si>
  <si>
    <t xml:space="preserve">02 und 03</t>
  </si>
  <si>
    <t xml:space="preserve">Resttage = Termin minus Kontrollzeitpunkt; Dezimalstellen bilden Tagesanteile ab. Es werden keine Arbeitstage gezählt.</t>
  </si>
  <si>
    <t xml:space="preserve">Leere Erledigungszellen bedeuten offen. Ein erfasster Eingang bestätigt nur den Zeitpunkt, nicht die inhaltliche Vollständigkeit.</t>
  </si>
  <si>
    <t xml:space="preserve">30.10.2026, 24:00 Uhr ist als 31.10.2026, 00:00 Uhr gespeichert. Maßgeblich ist jeweils die Ortszeit Northeim.</t>
  </si>
  <si>
    <t xml:space="preserve">Wartezeit laut Information</t>
  </si>
  <si>
    <t xml:space="preserve">Wert</t>
  </si>
  <si>
    <t xml:space="preserve">Rechenweg</t>
  </si>
  <si>
    <t xml:space="preserve">Gesonderter Stand</t>
  </si>
  <si>
    <t xml:space="preserve">Elektronische Absendung</t>
  </si>
  <si>
    <t xml:space="preserve">Tag der Absendung</t>
  </si>
  <si>
    <t xml:space="preserve">17 / 25 / 26</t>
  </si>
  <si>
    <t xml:space="preserve">Kammermitteilung liegt vor</t>
  </si>
  <si>
    <t xml:space="preserve">Beginn Kalendertage</t>
  </si>
  <si>
    <t xml:space="preserve">Folgetag 00:00 Uhr</t>
  </si>
  <si>
    <t xml:space="preserve">25 / 26 Abschnitt 3</t>
  </si>
  <si>
    <t xml:space="preserve">Dauer laut Information</t>
  </si>
  <si>
    <t xml:space="preserve">Kalendertage</t>
  </si>
  <si>
    <t xml:space="preserve">Rechnerischer frühester Tag</t>
  </si>
  <si>
    <t xml:space="preserve">Beginn plus zehn Tage</t>
  </si>
  <si>
    <t xml:space="preserve">Abgleich mit 25 / 26</t>
  </si>
  <si>
    <t xml:space="preserve">Keine Zuschlagsfreigabe</t>
  </si>
  <si>
    <t xml:space="preserve">Die Berechnung vollzieht die in 25 und 26 genannte Wartezeit nach. Die Mitteilung 31 und Sperre 32 bleiben gesondert maßgeblich.</t>
  </si>
  <si>
    <t xml:space="preserve">Quellen der Berechnung: Paragraf 134 Absatz 2 GWB; https://www.gesetze-im-internet.de/gwb/__134.html</t>
  </si>
  <si>
    <t xml:space="preserve">Zum gesonderten Zuschlagsverbot: Paragraf 169 Absatz 1 GWB; https://www.gesetze-im-internet.de/gwb/__169.html</t>
  </si>
  <si>
    <t xml:space="preserve">Die Arbeitsmappe berechnet keine Rüge- oder Rechtsmittelfrist. Diese sind anhand der jeweiligen Voraussetzungen gesondert zu prüfen.</t>
  </si>
  <si>
    <t xml:space="preserve">Unterlagen für die Aktenvorlage</t>
  </si>
  <si>
    <t xml:space="preserve">Jonas Berg · 25.09.2026, 13:00 Uhr · Quelle: 31, 32, 40 und 42</t>
  </si>
  <si>
    <t xml:space="preserve">Kennung</t>
  </si>
  <si>
    <t xml:space="preserve">Arbeitsschritt</t>
  </si>
  <si>
    <t xml:space="preserve">Verantwortlich</t>
  </si>
  <si>
    <t xml:space="preserve">Arbeitsstand</t>
  </si>
  <si>
    <t xml:space="preserve">Bezug und noch erforderlicher Beitrag</t>
  </si>
  <si>
    <t xml:space="preserve">U01</t>
  </si>
  <si>
    <t xml:space="preserve">Ursprüngliche Angebote sichern</t>
  </si>
  <si>
    <t xml:space="preserve">Jonas Berg</t>
  </si>
  <si>
    <t xml:space="preserve">erledigt</t>
  </si>
  <si>
    <t xml:space="preserve">08–13 unverändert vorhanden; keine Neufassung einreichen.</t>
  </si>
  <si>
    <t xml:space="preserve">U02</t>
  </si>
  <si>
    <t xml:space="preserve">Portalereignisse zuordnen</t>
  </si>
  <si>
    <t xml:space="preserve">offen</t>
  </si>
  <si>
    <t xml:space="preserve">17 vorhanden; Kennung und Dateiliste vor Versand gegenprüfen.</t>
  </si>
  <si>
    <t xml:space="preserve">U03</t>
  </si>
  <si>
    <t xml:space="preserve">Technischen Rechenvermerk beifügen</t>
  </si>
  <si>
    <t xml:space="preserve">Nora Brandt</t>
  </si>
  <si>
    <t xml:space="preserve">39 liegt seit 11:20 Uhr vor.</t>
  </si>
  <si>
    <t xml:space="preserve">U04</t>
  </si>
  <si>
    <t xml:space="preserve">Stellungnahme ausformulieren</t>
  </si>
  <si>
    <t xml:space="preserve">Mara Seidel</t>
  </si>
  <si>
    <t xml:space="preserve">32: Schriftsatz noch nicht gefertigt.</t>
  </si>
  <si>
    <t xml:space="preserve">U05</t>
  </si>
  <si>
    <t xml:space="preserve">Geheimhaltungskennzeichnungen prüfen</t>
  </si>
  <si>
    <t xml:space="preserve">31 fordert konkrete Kennzeichnung.</t>
  </si>
  <si>
    <t xml:space="preserve">U06</t>
  </si>
  <si>
    <t xml:space="preserve">Versandkopie gegenkontrollieren</t>
  </si>
  <si>
    <t xml:space="preserve">40 und 42: nach Zusammenstellung, vor Freigabe.</t>
  </si>
  <si>
    <t xml:space="preserve">U07</t>
  </si>
  <si>
    <t xml:space="preserve">Empfangsbestätigung ablegen</t>
  </si>
  <si>
    <t xml:space="preserve">Versand und Eingang bislang nicht erfolgt.</t>
  </si>
  <si>
    <t xml:space="preserve">Offen oder in Arbeit</t>
  </si>
  <si>
    <t xml:space="preserve">Erfasste Arbeitsstände</t>
  </si>
  <si>
    <t xml:space="preserve">Zusammenstellung</t>
  </si>
  <si>
    <t xml:space="preserve">Die gelben Arbeitsstände werden je konkretem Arbeitsschritt fortgeführt. Ein erledigter Teilpunkt schließt die übrigen nicht.</t>
  </si>
  <si>
    <t xml:space="preserve">Die Frist aus der Kammermitteilung steht im Blatt Termine. Diese Tabelle verlängert sie nicht und ersetzt keinen Versandbeleg.</t>
  </si>
  <si>
    <t xml:space="preserve">Die zusätzlich angekündigten Bieterbelege sind nach 40 bis 13:00 Uhr nicht bei der Stadt eingegangen.</t>
  </si>
  <si>
    <t xml:space="preserve">Ein späterer Eingang ist mit Datum und eigener Dateiliste zu dokumentieren. Das Antragspaket vom 24.09. bleibt unverändert.</t>
  </si>
  <si>
    <t xml:space="preserve">Die Mappen 43–45 sind interne Bearbeitungsunterlagen vom 25.09.2026; sie gehören nicht zu den sechzehn Dateien aus Beleg 30.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</si>
</sst>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"/>
    <numFmt numFmtId="166" formatCode="yyyy\-mm\-dd\ hh:mm:ss"/>
    <numFmt numFmtId="167" formatCode="[$-407]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020"/>
      <name val="Times New Roman"/>
      <family val="0"/>
      <charset val="1"/>
    </font>
    <font>
      <b val="true"/>
      <sz val="15"/>
      <color rgb="FF202020"/>
      <name val="Times New Roman"/>
      <family val="0"/>
      <charset val="1"/>
    </font>
    <font>
      <sz val="11"/>
      <color rgb="FF1D4F7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D6"/>
        <bgColor rgb="FFFCE3DD"/>
      </patternFill>
    </fill>
    <fill>
      <patternFill patternType="solid">
        <fgColor rgb="FF34474C"/>
        <bgColor rgb="FF1D4F7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color rgb="FF9A291E"/>
      </font>
      <fill>
        <patternFill>
          <bgColor rgb="FFFCE3DD"/>
        </patternFill>
      </fill>
    </dxf>
    <dxf>
      <fill>
        <patternFill>
          <bgColor rgb="FFFFF3D6"/>
        </patternFill>
      </fill>
    </dxf>
    <dxf>
      <font>
        <color rgb="FF9A291E"/>
      </font>
      <fill>
        <patternFill>
          <bgColor rgb="FFFCE3DD"/>
        </patternFill>
      </fill>
    </dxf>
    <dxf>
      <fill>
        <patternFill>
          <bgColor rgb="FFFFF3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3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70"/>
      <rgbColor rgb="FF339966"/>
      <rgbColor rgb="FF003300"/>
      <rgbColor rgb="FF202020"/>
      <rgbColor rgb="FF9A291E"/>
      <rgbColor rgb="FF993366"/>
      <rgbColor rgb="FF333399"/>
      <rgbColor rgb="FF3447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F30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5.56"/>
    <ns0:col collapsed="false" customWidth="true" hidden="false" outlineLevel="0" max="3" min="2" style="0" width="20.56"/>
    <ns0:col collapsed="false" customWidth="true" hidden="false" outlineLevel="0" max="4" min="4" style="0" width="16.67"/>
    <ns0:col collapsed="false" customWidth="true" hidden="false" outlineLevel="0" max="5" min="5" style="0" width="21.11"/>
    <ns0:col collapsed="false" customWidth="true" hidden="false" outlineLevel="0" max="6" min="6" style="0" width="17.78"/>
  </ns0:cols>
  <ns0:sheetData>
    <ns0:row r="1" customFormat="false" ht="20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20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</ns0:row>
    <ns0:row r="3" customFormat="false" ht="20" hidden="false" customHeight="true" outlineLevel="0" collapsed="false">
      <ns0:c r="A3" s="1" t="s">
        <ns0:v>1</ns0:v>
      </ns0:c>
      <ns0:c r="B3" s="1"/>
      <ns0:c r="C3" s="1"/>
      <ns0:c r="D3" s="1"/>
      <ns0:c r="E3" s="1"/>
      <ns0:c r="F3" s="1"/>
    </ns0:row>
    <ns0:row r="4" customFormat="false" ht="20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20" hidden="false" customHeight="true" outlineLevel="0" collapsed="false">
      <ns0:c r="A5" s="1" t="s">
        <ns0:v>2</ns0:v>
      </ns0:c>
      <ns0:c r="B5" s="3" t="n">
        <ns0:v>46290.5833333333</ns0:v>
      </ns0:c>
      <ns0:c r="C5" s="1"/>
      <ns0:c r="D5" s="1"/>
      <ns0:c r="E5" s="1"/>
      <ns0:c r="F5" s="1"/>
    </ns0:row>
    <ns0:row r="6" customFormat="false" ht="20" hidden="false" customHeight="true" outlineLevel="0" collapsed="false">
      <ns0:c r="A6" s="1"/>
      <ns0:c r="B6" s="1"/>
      <ns0:c r="C6" s="1"/>
      <ns0:c r="D6" s="1"/>
      <ns0:c r="E6" s="1"/>
      <ns0:c r="F6" s="1"/>
    </ns0:row>
    <ns0:row r="7" customFormat="false" ht="42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  <ns0:c r="F7" s="4" t="s">
        <ns0:v>8</ns0:v>
      </ns0:c>
    </ns0:row>
    <ns0:row r="8" customFormat="false" ht="54" hidden="false" customHeight="true" outlineLevel="0" collapsed="false">
      <ns0:c r="A8" s="5" t="s">
        <ns0:v>9</ns0:v>
      </ns0:c>
      <ns0:c r="B8" s="6" t="n">
        <ns0:v>46274.5</ns0:v>
      </ns0:c>
      <ns0:c r="C8" s="6" t="n">
        <ns0:v>46274.4868287037</ns0:v>
      </ns0:c>
      <ns0:c r="D8" s="7" t="n">
        <ns0:f aca="false">IF(ISNUMBER(B8),B8-$B$5,"Termin fehlt")</ns0:f>
        <ns0:v>-16.0833333333333</ns0:v>
      </ns0:c>
      <ns0:c r="E8" s="5" t="str">
        <ns0:f aca="false">IF(NOT(ISNUMBER(B8)),"Termin fehlt",IF(C8="",IF(D8&lt;0,"offen, Termin vorbei","offen"),IF(ISNUMBER(C8),IF(C8&lt;=B8,"bis Termin erfasst","nach Termin erfasst"),"Zeitangabe fehlt")))</ns0:f>
        <ns0:v>bis Termin erfasst</ns0:v>
      </ns0:c>
      <ns0:c r="F8" s="5" t="s">
        <ns0:v>10</ns0:v>
      </ns0:c>
    </ns0:row>
    <ns0:row r="9" customFormat="false" ht="54" hidden="false" customHeight="true" outlineLevel="0" collapsed="false">
      <ns0:c r="A9" s="5" t="s">
        <ns0:v>11</ns0:v>
      </ns0:c>
      <ns0:c r="B9" s="6" t="n">
        <ns0:v>46293.4166666667</ns0:v>
      </ns0:c>
      <ns0:c r="C9" s="6"/>
      <ns0:c r="D9" s="7" t="n">
        <ns0:f aca="false">IF(ISNUMBER(B9),B9-$B$5,"Termin fehlt")</ns0:f>
        <ns0:v>2.83333333333333</ns0:v>
      </ns0:c>
      <ns0:c r="E9" s="5" t="str">
        <ns0:f aca="false">IF(NOT(ISNUMBER(B9)),"Termin fehlt",IF(C9="",IF(D9&lt;0,"offen, Termin vorbei","offen"),IF(ISNUMBER(C9),IF(C9&lt;=B9,"bis Termin erfasst","nach Termin erfasst"),"Zeitangabe fehlt")))</ns0:f>
        <ns0:v>offen</ns0:v>
      </ns0:c>
      <ns0:c r="F9" s="5" t="s">
        <ns0:v>12</ns0:v>
      </ns0:c>
    </ns0:row>
    <ns0:row r="10" customFormat="false" ht="54" hidden="false" customHeight="true" outlineLevel="0" collapsed="false">
      <ns0:c r="A10" s="5" t="s">
        <ns0:v>13</ns0:v>
      </ns0:c>
      <ns0:c r="B10" s="6" t="n">
        <ns0:v>46294.625</ns0:v>
      </ns0:c>
      <ns0:c r="C10" s="6"/>
      <ns0:c r="D10" s="7" t="n">
        <ns0:f aca="false">IF(ISNUMBER(B10),B10-$B$5,"Termin fehlt")</ns0:f>
        <ns0:v>4.04166666666667</ns0:v>
      </ns0:c>
      <ns0:c r="E10" s="5" t="str">
        <ns0:f aca="false">IF(NOT(ISNUMBER(B10)),"Termin fehlt",IF(C10="",IF(D10&lt;0,"offen, Termin vorbei","offen"),IF(ISNUMBER(C10),IF(C10&lt;=B10,"bis Termin erfasst","nach Termin erfasst"),"Zeitangabe fehlt")))</ns0:f>
        <ns0:v>offen</ns0:v>
      </ns0:c>
      <ns0:c r="F10" s="5" t="s">
        <ns0:v>14</ns0:v>
      </ns0:c>
    </ns0:row>
    <ns0:row r="11" customFormat="false" ht="54" hidden="false" customHeight="true" outlineLevel="0" collapsed="false">
      <ns0:c r="A11" s="5" t="s">
        <ns0:v>15</ns0:v>
      </ns0:c>
      <ns0:c r="B11" s="6" t="n">
        <ns0:v>46295.5</ns0:v>
      </ns0:c>
      <ns0:c r="C11" s="6"/>
      <ns0:c r="D11" s="7" t="n">
        <ns0:f aca="false">IF(ISNUMBER(B11),B11-$B$5,"Termin fehlt")</ns0:f>
        <ns0:v>4.91666666666667</ns0:v>
      </ns0:c>
      <ns0:c r="E11" s="5" t="str">
        <ns0:f aca="false">IF(NOT(ISNUMBER(B11)),"Termin fehlt",IF(C11="",IF(D11&lt;0,"offen, Termin vorbei","offen"),IF(ISNUMBER(C11),IF(C11&lt;=B11,"bis Termin erfasst","nach Termin erfasst"),"Zeitangabe fehlt")))</ns0:f>
        <ns0:v>offen</ns0:v>
      </ns0:c>
      <ns0:c r="F11" s="5" t="s">
        <ns0:v>16</ns0:v>
      </ns0:c>
    </ns0:row>
    <ns0:row r="12" customFormat="false" ht="54" hidden="false" customHeight="true" outlineLevel="0" collapsed="false">
      <ns0:c r="A12" s="5" t="s">
        <ns0:v>17</ns0:v>
      </ns0:c>
      <ns0:c r="B12" s="6" t="n">
        <ns0:v>46326</ns0:v>
      </ns0:c>
      <ns0:c r="C12" s="6"/>
      <ns0:c r="D12" s="7" t="n">
        <ns0:f aca="false">IF(ISNUMBER(B12),B12-$B$5,"Termin fehlt")</ns0:f>
        <ns0:v>35.4166666666667</ns0:v>
      </ns0:c>
      <ns0:c r="E12" s="5" t="str">
        <ns0:f aca="false">IF(NOT(ISNUMBER(B12)),"Termin fehlt",IF(C12="",IF(D12&lt;0,"offen, Termin vorbei","offen"),IF(ISNUMBER(C12),IF(C12&lt;=B12,"bis Termin erfasst","nach Termin erfasst"),"Zeitangabe fehlt")))</ns0:f>
        <ns0:v>offen</ns0:v>
      </ns0:c>
      <ns0:c r="F12" s="5" t="s">
        <ns0:v>18</ns0:v>
      </ns0:c>
    </ns0:row>
    <ns0:row r="13" customFormat="false" ht="54" hidden="false" customHeight="true" outlineLevel="0" collapsed="false">
      <ns0:c r="A13" s="5" t="s">
        <ns0:v>19</ns0:v>
      </ns0:c>
      <ns0:c r="B13" s="6" t="n">
        <ns0:v>46328</ns0:v>
      </ns0:c>
      <ns0:c r="C13" s="6"/>
      <ns0:c r="D13" s="7" t="n">
        <ns0:f aca="false">IF(ISNUMBER(B13),B13-$B$5,"Termin fehlt")</ns0:f>
        <ns0:v>37.4166666666667</ns0:v>
      </ns0:c>
      <ns0:c r="E13" s="5" t="str">
        <ns0:f aca="false">IF(NOT(ISNUMBER(B13)),"Termin fehlt",IF(C13="",IF(D13&lt;0,"offen, Termin vorbei","offen"),IF(ISNUMBER(C13),IF(C13&lt;=B13,"bis Termin erfasst","nach Termin erfasst"),"Zeitangabe fehlt")))</ns0:f>
        <ns0:v>offen</ns0:v>
      </ns0:c>
      <ns0:c r="F13" s="5" t="s">
        <ns0:v>20</ns0:v>
      </ns0:c>
    </ns0:row>
    <ns0:row r="14" customFormat="false" ht="20" hidden="false" customHeight="true" outlineLevel="0" collapsed="false">
      <ns0:c r="A14" s="1"/>
      <ns0:c r="B14" s="1"/>
      <ns0:c r="C14" s="1"/>
      <ns0:c r="D14" s="1"/>
      <ns0:c r="E14" s="1"/>
      <ns0:c r="F14" s="1"/>
    </ns0:row>
    <ns0:row r="15" customFormat="false" ht="20" hidden="false" customHeight="true" outlineLevel="0" collapsed="false">
      <ns0:c r="A15" s="1" t="s">
        <ns0:v>21</ns0:v>
      </ns0:c>
      <ns0:c r="B15" s="1"/>
      <ns0:c r="C15" s="1"/>
      <ns0:c r="D15" s="1"/>
      <ns0:c r="E15" s="1"/>
      <ns0:c r="F15" s="1"/>
    </ns0:row>
    <ns0:row r="16" customFormat="false" ht="20" hidden="false" customHeight="true" outlineLevel="0" collapsed="false">
      <ns0:c r="A16" s="1" t="s">
        <ns0:v>22</ns0:v>
      </ns0:c>
      <ns0:c r="B16" s="1"/>
      <ns0:c r="C16" s="1"/>
      <ns0:c r="D16" s="1"/>
      <ns0:c r="E16" s="1"/>
      <ns0:c r="F16" s="1"/>
    </ns0:row>
    <ns0:row r="17" customFormat="false" ht="20" hidden="false" customHeight="true" outlineLevel="0" collapsed="false">
      <ns0:c r="A17" s="1" t="s">
        <ns0:v>23</ns0:v>
      </ns0:c>
      <ns0:c r="B17" s="1"/>
      <ns0:c r="C17" s="1"/>
      <ns0:c r="D17" s="1"/>
      <ns0:c r="E17" s="1"/>
      <ns0:c r="F17" s="1"/>
    </ns0:row>
    <ns0:row r="18" customFormat="false" ht="20" hidden="false" customHeight="true" outlineLevel="0" collapsed="false">
      <ns0:c r="A18" s="1"/>
      <ns0:c r="B18" s="1"/>
      <ns0:c r="C18" s="1"/>
      <ns0:c r="D18" s="1"/>
      <ns0:c r="E18" s="1"/>
      <ns0:c r="F18" s="1"/>
    </ns0:row>
    <ns0:row r="19" customFormat="false" ht="42" hidden="false" customHeight="true" outlineLevel="0" collapsed="false">
      <ns0:c r="A19" s="4" t="s">
        <ns0:v>24</ns0:v>
      </ns0:c>
      <ns0:c r="B19" s="4" t="s">
        <ns0:v>25</ns0:v>
      </ns0:c>
      <ns0:c r="C19" s="4" t="s">
        <ns0:v>26</ns0:v>
      </ns0:c>
      <ns0:c r="D19" s="4" t="s">
        <ns0:v>8</ns0:v>
      </ns0:c>
      <ns0:c r="E19" s="4" t="s">
        <ns0:v>27</ns0:v>
      </ns0:c>
      <ns0:c r="F19" s="4"/>
    </ns0:row>
    <ns0:row r="20" customFormat="false" ht="38" hidden="false" customHeight="true" outlineLevel="0" collapsed="false">
      <ns0:c r="A20" s="5" t="s">
        <ns0:v>28</ns0:v>
      </ns0:c>
      <ns0:c r="B20" s="8" t="n">
        <ns0:v>46279.625</ns0:v>
      </ns0:c>
      <ns0:c r="C20" s="5" t="s">
        <ns0:v>29</ns0:v>
      </ns0:c>
      <ns0:c r="D20" s="5" t="s">
        <ns0:v>30</ns0:v>
      </ns0:c>
      <ns0:c r="E20" s="5" t="s">
        <ns0:v>31</ns0:v>
      </ns0:c>
      <ns0:c r="F20" s="5"/>
    </ns0:row>
    <ns0:row r="21" customFormat="false" ht="38" hidden="false" customHeight="true" outlineLevel="0" collapsed="false">
      <ns0:c r="A21" s="5" t="s">
        <ns0:v>32</ns0:v>
      </ns0:c>
      <ns0:c r="B21" s="9" t="n">
        <ns0:f aca="false">INT(B20)+1</ns0:f>
        <ns0:v>46280</ns0:v>
      </ns0:c>
      <ns0:c r="C21" s="5" t="s">
        <ns0:v>33</ns0:v>
      </ns0:c>
      <ns0:c r="D21" s="5" t="s">
        <ns0:v>34</ns0:v>
      </ns0:c>
      <ns0:c r="E21" s="5"/>
      <ns0:c r="F21" s="5"/>
    </ns0:row>
    <ns0:row r="22" customFormat="false" ht="38" hidden="false" customHeight="true" outlineLevel="0" collapsed="false">
      <ns0:c r="A22" s="5" t="s">
        <ns0:v>35</ns0:v>
      </ns0:c>
      <ns0:c r="B22" s="10" t="n">
        <ns0:v>10</ns0:v>
      </ns0:c>
      <ns0:c r="C22" s="5" t="s">
        <ns0:v>36</ns0:v>
      </ns0:c>
      <ns0:c r="D22" s="5" t="s">
        <ns0:v>34</ns0:v>
      </ns0:c>
      <ns0:c r="E22" s="5"/>
      <ns0:c r="F22" s="5"/>
    </ns0:row>
    <ns0:row r="23" customFormat="false" ht="38" hidden="false" customHeight="true" outlineLevel="0" collapsed="false">
      <ns0:c r="A23" s="5" t="s">
        <ns0:v>37</ns0:v>
      </ns0:c>
      <ns0:c r="B23" s="9" t="n">
        <ns0:f aca="false">B21+B22</ns0:f>
        <ns0:v>46290</ns0:v>
      </ns0:c>
      <ns0:c r="C23" s="5" t="s">
        <ns0:v>38</ns0:v>
      </ns0:c>
      <ns0:c r="D23" s="5" t="s">
        <ns0:v>39</ns0:v>
      </ns0:c>
      <ns0:c r="E23" s="5" t="s">
        <ns0:v>40</ns0:v>
      </ns0:c>
      <ns0:c r="F23" s="5"/>
    </ns0:row>
    <ns0:row r="24" customFormat="false" ht="20" hidden="false" customHeight="true" outlineLevel="0" collapsed="false">
      <ns0:c r="A24" s="1"/>
      <ns0:c r="B24" s="1"/>
      <ns0:c r="C24" s="1"/>
      <ns0:c r="D24" s="1"/>
      <ns0:c r="E24" s="1"/>
      <ns0:c r="F24" s="1"/>
    </ns0:row>
    <ns0:row r="25" customFormat="false" ht="20" hidden="false" customHeight="true" outlineLevel="0" collapsed="false">
      <ns0:c r="A25" s="1" t="s">
        <ns0:v>41</ns0:v>
      </ns0:c>
      <ns0:c r="B25" s="1"/>
      <ns0:c r="C25" s="1"/>
      <ns0:c r="D25" s="1"/>
      <ns0:c r="E25" s="1"/>
      <ns0:c r="F25" s="1"/>
    </ns0:row>
    <ns0:row r="26" customFormat="false" ht="20" hidden="false" customHeight="true" outlineLevel="0" collapsed="false">
      <ns0:c r="A26" s="1" t="s">
        <ns0:v>42</ns0:v>
      </ns0:c>
      <ns0:c r="B26" s="1"/>
      <ns0:c r="C26" s="1"/>
      <ns0:c r="D26" s="1"/>
      <ns0:c r="E26" s="1"/>
      <ns0:c r="F26" s="1"/>
    </ns0:row>
    <ns0:row r="27" customFormat="false" ht="20" hidden="false" customHeight="true" outlineLevel="0" collapsed="false">
      <ns0:c r="A27" s="1" t="s">
        <ns0:v>43</ns0:v>
      </ns0:c>
      <ns0:c r="B27" s="1"/>
      <ns0:c r="C27" s="1"/>
      <ns0:c r="D27" s="1"/>
      <ns0:c r="E27" s="1"/>
      <ns0:c r="F27" s="1"/>
    </ns0:row>
    <ns0:row r="28" customFormat="false" ht="20" hidden="false" customHeight="true" outlineLevel="0" collapsed="false">
      <ns0:c r="A28" s="1"/>
      <ns0:c r="B28" s="1"/>
      <ns0:c r="C28" s="1"/>
      <ns0:c r="D28" s="1"/>
      <ns0:c r="E28" s="1"/>
      <ns0:c r="F28" s="1"/>
    </ns0:row>
    <ns0:row r="29" customFormat="false" ht="20" hidden="false" customHeight="true" outlineLevel="0" collapsed="false">
      <ns0:c r="A29" s="1" t="s">
        <ns0:v>44</ns0:v>
      </ns0:c>
      <ns0:c r="B29" s="1"/>
      <ns0:c r="C29" s="1"/>
      <ns0:c r="D29" s="1"/>
      <ns0:c r="E29" s="1"/>
      <ns0:c r="F29" s="1"/>
    </ns0:row>
    <ns0:row r="30" customFormat="false" ht="20" hidden="false" customHeight="true" outlineLevel="0" collapsed="false">
      <ns0:c r="A30" s="1"/>
      <ns0:c r="B30" s="1"/>
      <ns0:c r="C30" s="1"/>
      <ns0:c r="D30" s="1"/>
      <ns0:c r="E30" s="1"/>
      <ns0:c r="F30" s="1"/>
    </ns0:row>
  </ns0:sheetData>
  <ns0:conditionalFormatting sqref="D8:E13">
    <ns0:cfRule type="containsText" priority="2" operator="containsText" aboveAverage="0" equalAverage="0" bottom="0" percent="0" rank="0" text="fehlt" dxfId="0">
      <ns0:formula>NOT(ISERROR(SEARCH("fehlt",D8)))</ns0:formula>
    </ns0:cfRule>
    <ns0:cfRule type="containsText" priority="3" operator="containsText" aboveAverage="0" equalAverage="0" bottom="0" percent="0" rank="0" text="offen" dxfId="1">
      <ns0:formula>NOT(ISERROR(SEARCH("offen",D8)))</ns0:formula>
    </ns0:cfRule>
  </ns0:conditionalFormatting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&amp;LNO-FH26-L430&amp;CTermine&amp;RSeite &amp;P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E28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0.56"/>
    <ns0:col collapsed="false" customWidth="true" hidden="false" outlineLevel="0" max="2" min="2" style="0" width="31.67"/>
    <ns0:col collapsed="false" customWidth="true" hidden="false" outlineLevel="0" max="3" min="3" style="0" width="18.34"/>
    <ns0:col collapsed="false" customWidth="true" hidden="false" outlineLevel="0" max="4" min="4" style="0" width="19.44"/>
    <ns0:col collapsed="false" customWidth="true" hidden="false" outlineLevel="0" max="5" min="5" style="0" width="35.56"/>
  </ns0:cols>
  <ns0:sheetData>
    <ns0:row r="1" customFormat="false" ht="20" hidden="false" customHeight="true" outlineLevel="0" collapsed="false">
      <ns0:c r="A1" s="1"/>
      <ns0:c r="B1" s="1"/>
      <ns0:c r="C1" s="1"/>
      <ns0:c r="D1" s="1"/>
      <ns0:c r="E1" s="1"/>
    </ns0:row>
    <ns0:row r="2" customFormat="false" ht="20" hidden="false" customHeight="true" outlineLevel="0" collapsed="false">
      <ns0:c r="A2" s="2" t="s">
        <ns0:v>45</ns0:v>
      </ns0:c>
      <ns0:c r="B2" s="1"/>
      <ns0:c r="C2" s="1"/>
      <ns0:c r="D2" s="1"/>
      <ns0:c r="E2" s="1"/>
    </ns0:row>
    <ns0:row r="3" customFormat="false" ht="20" hidden="false" customHeight="true" outlineLevel="0" collapsed="false">
      <ns0:c r="A3" s="1" t="s">
        <ns0:v>46</ns0:v>
      </ns0:c>
      <ns0:c r="B3" s="1"/>
      <ns0:c r="C3" s="1"/>
      <ns0:c r="D3" s="1"/>
      <ns0:c r="E3" s="1"/>
    </ns0:row>
    <ns0:row r="4" customFormat="false" ht="20" hidden="false" customHeight="true" outlineLevel="0" collapsed="false">
      <ns0:c r="A4" s="1"/>
      <ns0:c r="B4" s="1"/>
      <ns0:c r="C4" s="1"/>
      <ns0:c r="D4" s="1"/>
      <ns0:c r="E4" s="1"/>
    </ns0:row>
    <ns0:row r="5" customFormat="false" ht="42" hidden="false" customHeight="true" outlineLevel="0" collapsed="false">
      <ns0:c r="A5" s="4" t="s">
        <ns0:v>47</ns0:v>
      </ns0:c>
      <ns0:c r="B5" s="4" t="s">
        <ns0:v>48</ns0:v>
      </ns0:c>
      <ns0:c r="C5" s="4" t="s">
        <ns0:v>49</ns0:v>
      </ns0:c>
      <ns0:c r="D5" s="4" t="s">
        <ns0:v>50</ns0:v>
      </ns0:c>
      <ns0:c r="E5" s="4" t="s">
        <ns0:v>51</ns0:v>
      </ns0:c>
    </ns0:row>
    <ns0:row r="6" customFormat="false" ht="62" hidden="false" customHeight="true" outlineLevel="0" collapsed="false">
      <ns0:c r="A6" s="5" t="s">
        <ns0:v>52</ns0:v>
      </ns0:c>
      <ns0:c r="B6" s="5" t="s">
        <ns0:v>53</ns0:v>
      </ns0:c>
      <ns0:c r="C6" s="5" t="s">
        <ns0:v>54</ns0:v>
      </ns0:c>
      <ns0:c r="D6" s="10" t="s">
        <ns0:v>55</ns0:v>
      </ns0:c>
      <ns0:c r="E6" s="5" t="s">
        <ns0:v>56</ns0:v>
      </ns0:c>
    </ns0:row>
    <ns0:row r="7" customFormat="false" ht="62" hidden="false" customHeight="true" outlineLevel="0" collapsed="false">
      <ns0:c r="A7" s="5" t="s">
        <ns0:v>57</ns0:v>
      </ns0:c>
      <ns0:c r="B7" s="5" t="s">
        <ns0:v>58</ns0:v>
      </ns0:c>
      <ns0:c r="C7" s="5" t="s">
        <ns0:v>54</ns0:v>
      </ns0:c>
      <ns0:c r="D7" s="10" t="s">
        <ns0:v>59</ns0:v>
      </ns0:c>
      <ns0:c r="E7" s="5" t="s">
        <ns0:v>60</ns0:v>
      </ns0:c>
    </ns0:row>
    <ns0:row r="8" customFormat="false" ht="62" hidden="false" customHeight="true" outlineLevel="0" collapsed="false">
      <ns0:c r="A8" s="5" t="s">
        <ns0:v>61</ns0:v>
      </ns0:c>
      <ns0:c r="B8" s="5" t="s">
        <ns0:v>62</ns0:v>
      </ns0:c>
      <ns0:c r="C8" s="5" t="s">
        <ns0:v>63</ns0:v>
      </ns0:c>
      <ns0:c r="D8" s="10" t="s">
        <ns0:v>55</ns0:v>
      </ns0:c>
      <ns0:c r="E8" s="5" t="s">
        <ns0:v>64</ns0:v>
      </ns0:c>
    </ns0:row>
    <ns0:row r="9" customFormat="false" ht="62" hidden="false" customHeight="true" outlineLevel="0" collapsed="false">
      <ns0:c r="A9" s="5" t="s">
        <ns0:v>65</ns0:v>
      </ns0:c>
      <ns0:c r="B9" s="5" t="s">
        <ns0:v>66</ns0:v>
      </ns0:c>
      <ns0:c r="C9" s="5" t="s">
        <ns0:v>67</ns0:v>
      </ns0:c>
      <ns0:c r="D9" s="10" t="s">
        <ns0:v>59</ns0:v>
      </ns0:c>
      <ns0:c r="E9" s="5" t="s">
        <ns0:v>68</ns0:v>
      </ns0:c>
    </ns0:row>
    <ns0:row r="10" customFormat="false" ht="62" hidden="false" customHeight="true" outlineLevel="0" collapsed="false">
      <ns0:c r="A10" s="5" t="s">
        <ns0:v>69</ns0:v>
      </ns0:c>
      <ns0:c r="B10" s="5" t="s">
        <ns0:v>70</ns0:v>
      </ns0:c>
      <ns0:c r="C10" s="5" t="s">
        <ns0:v>67</ns0:v>
      </ns0:c>
      <ns0:c r="D10" s="10" t="s">
        <ns0:v>59</ns0:v>
      </ns0:c>
      <ns0:c r="E10" s="5" t="s">
        <ns0:v>71</ns0:v>
      </ns0:c>
    </ns0:row>
    <ns0:row r="11" customFormat="false" ht="62" hidden="false" customHeight="true" outlineLevel="0" collapsed="false">
      <ns0:c r="A11" s="5" t="s">
        <ns0:v>72</ns0:v>
      </ns0:c>
      <ns0:c r="B11" s="5" t="s">
        <ns0:v>73</ns0:v>
      </ns0:c>
      <ns0:c r="C11" s="5" t="s">
        <ns0:v>54</ns0:v>
      </ns0:c>
      <ns0:c r="D11" s="10" t="s">
        <ns0:v>59</ns0:v>
      </ns0:c>
      <ns0:c r="E11" s="5" t="s">
        <ns0:v>74</ns0:v>
      </ns0:c>
    </ns0:row>
    <ns0:row r="12" customFormat="false" ht="62" hidden="false" customHeight="true" outlineLevel="0" collapsed="false">
      <ns0:c r="A12" s="5" t="s">
        <ns0:v>75</ns0:v>
      </ns0:c>
      <ns0:c r="B12" s="5" t="s">
        <ns0:v>76</ns0:v>
      </ns0:c>
      <ns0:c r="C12" s="5" t="s">
        <ns0:v>67</ns0:v>
      </ns0:c>
      <ns0:c r="D12" s="10" t="s">
        <ns0:v>59</ns0:v>
      </ns0:c>
      <ns0:c r="E12" s="5" t="s">
        <ns0:v>77</ns0:v>
      </ns0:c>
    </ns0:row>
    <ns0:row r="13" customFormat="false" ht="20" hidden="false" customHeight="true" outlineLevel="0" collapsed="false">
      <ns0:c r="A13" s="1"/>
      <ns0:c r="B13" s="1"/>
      <ns0:c r="C13" s="1"/>
      <ns0:c r="D13" s="1"/>
      <ns0:c r="E13" s="1"/>
    </ns0:row>
    <ns0:row r="14" customFormat="false" ht="20" hidden="false" customHeight="true" outlineLevel="0" collapsed="false">
      <ns0:c r="A14" s="1"/>
      <ns0:c r="B14" s="1"/>
      <ns0:c r="C14" s="1"/>
      <ns0:c r="D14" s="1"/>
      <ns0:c r="E14" s="1"/>
    </ns0:row>
    <ns0:row r="15" customFormat="false" ht="20" hidden="false" customHeight="true" outlineLevel="0" collapsed="false">
      <ns0:c r="A15" s="1" t="s">
        <ns0:v>78</ns0:v>
      </ns0:c>
      <ns0:c r="B15" s="1"/>
      <ns0:c r="C15" s="1" t="n">
        <ns0:f aca="false">COUNTIFS(D6:D12,"offen")+COUNTIFS(D6:D12,"in Arbeit")</ns0:f>
        <ns0:v>5</ns0:v>
      </ns0:c>
      <ns0:c r="D15" s="1"/>
      <ns0:c r="E15" s="1"/>
    </ns0:row>
    <ns0:row r="16" customFormat="false" ht="20" hidden="false" customHeight="true" outlineLevel="0" collapsed="false">
      <ns0:c r="A16" s="1" t="s">
        <ns0:v>79</ns0:v>
      </ns0:c>
      <ns0:c r="B16" s="1"/>
      <ns0:c r="C16" s="1" t="n">
        <ns0:f aca="false">COUNTA(D6:D12)</ns0:f>
        <ns0:v>7</ns0:v>
      </ns0:c>
      <ns0:c r="D16" s="1"/>
      <ns0:c r="E16" s="1"/>
    </ns0:row>
    <ns0:row r="17" customFormat="false" ht="20" hidden="false" customHeight="true" outlineLevel="0" collapsed="false">
      <ns0:c r="A17" s="1" t="s">
        <ns0:v>80</ns0:v>
      </ns0:c>
      <ns0:c r="B17" s="1"/>
      <ns0:c r="C17" s="1" t="str">
        <ns0:f aca="false">IF(C16&lt;7,"Arbeitsstand fehlt",IF(C15&gt;0,"Arbeiten offen","Arbeiten als erledigt erfasst"))</ns0:f>
        <ns0:v>Arbeiten offen</ns0:v>
      </ns0:c>
      <ns0:c r="D17" s="1"/>
      <ns0:c r="E17" s="1"/>
    </ns0:row>
    <ns0:row r="18" customFormat="false" ht="20" hidden="false" customHeight="true" outlineLevel="0" collapsed="false">
      <ns0:c r="A18" s="1"/>
      <ns0:c r="B18" s="1"/>
      <ns0:c r="C18" s="1"/>
      <ns0:c r="D18" s="1"/>
      <ns0:c r="E18" s="1"/>
    </ns0:row>
    <ns0:row r="19" customFormat="false" ht="20" hidden="false" customHeight="true" outlineLevel="0" collapsed="false">
      <ns0:c r="A19" s="1"/>
      <ns0:c r="B19" s="1"/>
      <ns0:c r="C19" s="1"/>
      <ns0:c r="D19" s="1"/>
      <ns0:c r="E19" s="1"/>
    </ns0:row>
    <ns0:row r="20" customFormat="false" ht="20" hidden="false" customHeight="true" outlineLevel="0" collapsed="false">
      <ns0:c r="A20" s="1" t="s">
        <ns0:v>81</ns0:v>
      </ns0:c>
      <ns0:c r="B20" s="1"/>
      <ns0:c r="C20" s="1"/>
      <ns0:c r="D20" s="1"/>
      <ns0:c r="E20" s="1"/>
    </ns0:row>
    <ns0:row r="21" customFormat="false" ht="20" hidden="false" customHeight="true" outlineLevel="0" collapsed="false">
      <ns0:c r="A21" s="1" t="s">
        <ns0:v>82</ns0:v>
      </ns0:c>
      <ns0:c r="B21" s="1"/>
      <ns0:c r="C21" s="1"/>
      <ns0:c r="D21" s="1"/>
      <ns0:c r="E21" s="1"/>
    </ns0:row>
    <ns0:row r="22" customFormat="false" ht="20" hidden="false" customHeight="true" outlineLevel="0" collapsed="false">
      <ns0:c r="A22" s="1"/>
      <ns0:c r="B22" s="1"/>
      <ns0:c r="C22" s="1"/>
      <ns0:c r="D22" s="1"/>
      <ns0:c r="E22" s="1"/>
    </ns0:row>
    <ns0:row r="23" customFormat="false" ht="20" hidden="false" customHeight="true" outlineLevel="0" collapsed="false">
      <ns0:c r="A23" s="1" t="s">
        <ns0:v>83</ns0:v>
      </ns0:c>
      <ns0:c r="B23" s="1"/>
      <ns0:c r="C23" s="1"/>
      <ns0:c r="D23" s="1"/>
      <ns0:c r="E23" s="1"/>
    </ns0:row>
    <ns0:row r="24" customFormat="false" ht="20" hidden="false" customHeight="true" outlineLevel="0" collapsed="false">
      <ns0:c r="A24" s="1" t="s">
        <ns0:v>84</ns0:v>
      </ns0:c>
      <ns0:c r="B24" s="1"/>
      <ns0:c r="C24" s="1"/>
      <ns0:c r="D24" s="1"/>
      <ns0:c r="E24" s="1"/>
    </ns0:row>
    <ns0:row r="25" customFormat="false" ht="20" hidden="false" customHeight="true" outlineLevel="0" collapsed="false">
      <ns0:c r="A25" s="1"/>
      <ns0:c r="B25" s="1"/>
      <ns0:c r="C25" s="1"/>
      <ns0:c r="D25" s="1"/>
      <ns0:c r="E25" s="1"/>
    </ns0:row>
    <ns0:row r="26" customFormat="false" ht="20" hidden="false" customHeight="true" outlineLevel="0" collapsed="false">
      <ns0:c r="A26" s="1" t="s">
        <ns0:v>85</ns0:v>
      </ns0:c>
      <ns0:c r="B26" s="1"/>
      <ns0:c r="C26" s="1"/>
      <ns0:c r="D26" s="1"/>
      <ns0:c r="E26" s="1"/>
    </ns0:row>
    <ns0:row r="27" customFormat="false" ht="20" hidden="false" customHeight="true" outlineLevel="0" collapsed="false">
      <ns0:c r="A27" s="1"/>
      <ns0:c r="B27" s="1"/>
      <ns0:c r="C27" s="1"/>
      <ns0:c r="D27" s="1"/>
      <ns0:c r="E27" s="1"/>
    </ns0:row>
    <ns0:row r="28" customFormat="false" ht="20" hidden="false" customHeight="true" outlineLevel="0" collapsed="false">
      <ns0:c r="A28" s="1"/>
      <ns0:c r="B28" s="1"/>
      <ns0:c r="C28" s="1"/>
      <ns0:c r="D28" s="1"/>
      <ns0:c r="E28" s="1"/>
    </ns0:row>
  </ns0:sheetData>
  <ns0:conditionalFormatting sqref="D6:D12">
    <ns0:cfRule type="containsText" priority="2" operator="containsText" aboveAverage="0" equalAverage="0" bottom="0" percent="0" rank="0" text="fehlt" dxfId="2">
      <ns0:formula>NOT(ISERROR(SEARCH("fehlt",D6)))</ns0:formula>
    </ns0:cfRule>
    <ns0:cfRule type="containsText" priority="3" operator="containsText" aboveAverage="0" equalAverage="0" bottom="0" percent="0" rank="0" text="offen" dxfId="3">
      <ns0:formula>NOT(ISERROR(SEARCH("offen",D6)))</ns0:formula>
    </ns0:cfRule>
  </ns0:conditionalFormatting>
  <ns0:dataValidations count="1">
    <ns0:dataValidation allowBlank="false" errorStyle="stop" operator="between" showDropDown="false" showErrorMessage="false" showInputMessage="false" sqref="D6:D12" type="list">
      <ns0:formula1>"offen,in Arbeit,erledigt"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&amp;LNO-FH26-L430&amp;CUnterlagen&amp;RSeite &amp;P</ns0:oddFooter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