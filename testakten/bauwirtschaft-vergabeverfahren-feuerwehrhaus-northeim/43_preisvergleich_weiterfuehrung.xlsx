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Preisvergleich" sheetId="1" state="visible" ns1:id="rId3"/>
    <ns0:sheet name="Angebotswerte" sheetId="2" state="visible" ns1:id="rId4"/>
    <ns0:sheet name="Kostenaufklärung" sheetId="3" state="visible" ns1:id="rId5"/>
  </ns0:sheets>
  <ns0:definedNames>
    <ns0:definedName name="_xlnm.Print_Area" localSheetId="0">'Preisvergleich'!$A$1:$G$37</ns0:definedName>
    <ns0:definedName name="_xlnm.Print_Titles" localSheetId="0">'Preisvergleich'!$12:$12</ns0:definedName>
    <ns0:definedName name="_xlnm.Print_Area" localSheetId="1">'Angebotswerte'!$A$1:$G$35</ns0:definedName>
    <ns0:definedName name="_xlnm.Print_Titles" localSheetId="1">'Angebotswerte'!$5:$5</ns0:definedName>
    <ns0:definedName name="_xlnm.Print_Area" localSheetId="2">'Kostenaufklärung'!$A$1:$E$29</ns0:definedName>
  </ns0:definedNames>
  <ns0:calcPr iterateCount="100" refMode="A1" iterate="false" iterateDelta="0.0001" calcMode="auto" fullCalcOnLoad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<sst xmlns="http://schemas.openxmlformats.org/spreadsheetml/2006/main" count="184" uniqueCount="116">
  <si>
    <t xml:space="preserve">Preisvergleich mit nachvollziehbaren Rechenschritten</t>
  </si>
  <si>
    <t xml:space="preserve">Nora Brandt · Stand 25.09.2026, 12:30 Uhr · Beträge in EUR netto</t>
  </si>
  <si>
    <t xml:space="preserve">Bieter</t>
  </si>
  <si>
    <t xml:space="preserve">Nettoangebot EUR</t>
  </si>
  <si>
    <t xml:space="preserve">Preisrang</t>
  </si>
  <si>
    <t xml:space="preserve">Abstand zu Leinetal EUR</t>
  </si>
  <si>
    <t xml:space="preserve">Abstand zu Leinetal %</t>
  </si>
  <si>
    <t xml:space="preserve">Erfasste Positionen</t>
  </si>
  <si>
    <t xml:space="preserve">Rechenstatus</t>
  </si>
  <si>
    <t xml:space="preserve">Leinetal</t>
  </si>
  <si>
    <t xml:space="preserve">Weserklima</t>
  </si>
  <si>
    <t xml:space="preserve">Harzraum</t>
  </si>
  <si>
    <t xml:space="preserve">Der Preisrang berücksichtigt nur Zahlen. Die Berücksichtigungsfähigkeit bleibt Gegenstand der Prüfung.</t>
  </si>
  <si>
    <t xml:space="preserve">Position</t>
  </si>
  <si>
    <t xml:space="preserve">Leistung</t>
  </si>
  <si>
    <t xml:space="preserve">Menge</t>
  </si>
  <si>
    <t xml:space="preserve">Leinetal GP</t>
  </si>
  <si>
    <t xml:space="preserve">Weserklima GP</t>
  </si>
  <si>
    <t xml:space="preserve">Harzraum GP</t>
  </si>
  <si>
    <t xml:space="preserve">Weserklima minus Leinetal</t>
  </si>
  <si>
    <t xml:space="preserve">01.010</t>
  </si>
  <si>
    <t xml:space="preserve">Baustelleneinrichtung</t>
  </si>
  <si>
    <t xml:space="preserve">01.020</t>
  </si>
  <si>
    <t xml:space="preserve">Zentrales Lüftungsgerät</t>
  </si>
  <si>
    <t xml:space="preserve">01.030</t>
  </si>
  <si>
    <t xml:space="preserve">Dachabluftventilator</t>
  </si>
  <si>
    <t xml:space="preserve">01.040</t>
  </si>
  <si>
    <t xml:space="preserve">Rechteckkanal verzinkt</t>
  </si>
  <si>
    <t xml:space="preserve">01.050</t>
  </si>
  <si>
    <t xml:space="preserve">Rundrohrnetz</t>
  </si>
  <si>
    <t xml:space="preserve">01.060</t>
  </si>
  <si>
    <t xml:space="preserve">Wärmedämmung Kanalnetz</t>
  </si>
  <si>
    <t xml:space="preserve">01.070</t>
  </si>
  <si>
    <t xml:space="preserve">Brandschutzklappen</t>
  </si>
  <si>
    <t xml:space="preserve">01.080</t>
  </si>
  <si>
    <t xml:space="preserve">Volumenstromregler</t>
  </si>
  <si>
    <t xml:space="preserve">01.090</t>
  </si>
  <si>
    <t xml:space="preserve">Luftdurchlässe</t>
  </si>
  <si>
    <t xml:space="preserve">01.100</t>
  </si>
  <si>
    <t xml:space="preserve">Kulissenschalldämpfer</t>
  </si>
  <si>
    <t xml:space="preserve">01.110</t>
  </si>
  <si>
    <t xml:space="preserve">Außenluftgitter</t>
  </si>
  <si>
    <t xml:space="preserve">01.120</t>
  </si>
  <si>
    <t xml:space="preserve">Regelung und Schaltschrank</t>
  </si>
  <si>
    <t xml:space="preserve">01.130</t>
  </si>
  <si>
    <t xml:space="preserve">Steuerleitungen</t>
  </si>
  <si>
    <t xml:space="preserve">01.140</t>
  </si>
  <si>
    <t xml:space="preserve">Befestigungen und Tragsystem</t>
  </si>
  <si>
    <t xml:space="preserve">01.150</t>
  </si>
  <si>
    <t xml:space="preserve">Brandschottungen</t>
  </si>
  <si>
    <t xml:space="preserve">01.160</t>
  </si>
  <si>
    <t xml:space="preserve">Inbetriebnahme</t>
  </si>
  <si>
    <t xml:space="preserve">01.170</t>
  </si>
  <si>
    <t xml:space="preserve">Volumenstrommessung</t>
  </si>
  <si>
    <t xml:space="preserve">01.180</t>
  </si>
  <si>
    <t xml:space="preserve">Bestandsdokumentation</t>
  </si>
  <si>
    <t xml:space="preserve">01.190</t>
  </si>
  <si>
    <t xml:space="preserve">Einweisung Betriebspersonal</t>
  </si>
  <si>
    <t xml:space="preserve">01.200</t>
  </si>
  <si>
    <t xml:space="preserve">Erste Wartung</t>
  </si>
  <si>
    <t xml:space="preserve">Rechenweg: Menge × Einheitspreis je Position, auf Cent gerundet. Die 20 Gesamtpreise ergeben die Nettosumme.</t>
  </si>
  <si>
    <t xml:space="preserve">Unbedingte Nachlässe betragen laut allen drei Angeboten 0 %. Es wird kein Skonto abgezogen.</t>
  </si>
  <si>
    <t xml:space="preserve">Quelle und Eingaben: Blatt Angebotswerte. Eine leere Preiszelle sperrt nur die betroffene Summe und die Rangfolge.</t>
  </si>
  <si>
    <t xml:space="preserve">Ein Preis von 0,00 EUR bleibt eine echte Zahl. Dies besagt nichts über seine vergaberechtliche Behandlung.</t>
  </si>
  <si>
    <t xml:space="preserve">Übertragene Angebotswerte</t>
  </si>
  <si>
    <t xml:space="preserve">Quelle: 08, 10 und 12, jeweils Blatt LV, Zeilen 6–25. Mengen aus 04, Blatt LV.</t>
  </si>
  <si>
    <t xml:space="preserve">Einheit</t>
  </si>
  <si>
    <t xml:space="preserve">Leinetal EP</t>
  </si>
  <si>
    <t xml:space="preserve">Weserklima EP</t>
  </si>
  <si>
    <t xml:space="preserve">Harzraum EP</t>
  </si>
  <si>
    <t xml:space="preserve">psch</t>
  </si>
  <si>
    <t xml:space="preserve">St</t>
  </si>
  <si>
    <t xml:space="preserve">m²</t>
  </si>
  <si>
    <t xml:space="preserve">m</t>
  </si>
  <si>
    <t xml:space="preserve">Termin</t>
  </si>
  <si>
    <t xml:space="preserve">Gelbe Felder sind bearbeitbare Überträge. Die eingegangenen Dateien 08, 10 und 12 bleiben unverändert.</t>
  </si>
  <si>
    <t xml:space="preserve">Die Einheitspreise sind in EUR netto gespeichert. Menge und Einheit müssen zusammen aus dem LV übernommen werden.</t>
  </si>
  <si>
    <t xml:space="preserve">Bei Korrekturen den Übertrag mit der Quelle vergleichen. Eine Bearbeitung hier ändert kein eingegangenes Angebot.</t>
  </si>
  <si>
    <t xml:space="preserve">Weiterführung des Preisspiegels 23: Dort stehen bereits Gesamtpreise. Hier werden sie aus Menge und EP neu berechnet.</t>
  </si>
  <si>
    <t xml:space="preserve">Die historischen Mappen 04, 08, 10, 12 und 23 bleiben wegen der Übermittlungsbelege in ihrer archivierten Fassung.</t>
  </si>
  <si>
    <t xml:space="preserve">Das Blatt Preisvergleich erläutert Summe, Abstände und Rang. Kostenaufklärung zeigt den Betrag aus Antwort 19.</t>
  </si>
  <si>
    <t xml:space="preserve">Stand der Quellen: Angebotseinreichung 31.08.2026; Antwort 19 vom 09.09.2026. Keine externen Dateiverknüpfungen.</t>
  </si>
  <si>
    <t xml:space="preserve">Nachvollzug Position 01.020</t>
  </si>
  <si>
    <t xml:space="preserve">Nora Brandt · Zahlen aus Antwort 19, Abschnitt 3 · EUR netto</t>
  </si>
  <si>
    <t xml:space="preserve">Bestandteil</t>
  </si>
  <si>
    <t xml:space="preserve">Ansatz EUR</t>
  </si>
  <si>
    <t xml:space="preserve">Anteil am EP</t>
  </si>
  <si>
    <t xml:space="preserve">Rechenart</t>
  </si>
  <si>
    <t xml:space="preserve">Beleglage</t>
  </si>
  <si>
    <t xml:space="preserve">Geräteeinkauf</t>
  </si>
  <si>
    <t xml:space="preserve">Übertrag aus 19</t>
  </si>
  <si>
    <t xml:space="preserve">Einkaufsansatz des Bieters</t>
  </si>
  <si>
    <t xml:space="preserve">Transport und Hebevorgang</t>
  </si>
  <si>
    <t xml:space="preserve">Erläuterung des Bieters</t>
  </si>
  <si>
    <t xml:space="preserve">Montagepersonal</t>
  </si>
  <si>
    <t xml:space="preserve">Anschlussmaterial</t>
  </si>
  <si>
    <t xml:space="preserve">Gemeinkosten und Ergebnis</t>
  </si>
  <si>
    <t xml:space="preserve">Summe der Erläuterung</t>
  </si>
  <si>
    <t xml:space="preserve">Angebotener Einheitspreis</t>
  </si>
  <si>
    <t xml:space="preserve">Differenz zur Erläuterung</t>
  </si>
  <si>
    <t xml:space="preserve">Abgleich</t>
  </si>
  <si>
    <t xml:space="preserve">Gesonderte Leistung</t>
  </si>
  <si>
    <t xml:space="preserve">Preis EUR</t>
  </si>
  <si>
    <t xml:space="preserve">Quelle</t>
  </si>
  <si>
    <t xml:space="preserve">Zuordnung</t>
  </si>
  <si>
    <t xml:space="preserve">Abgrenzung</t>
  </si>
  <si>
    <t xml:space="preserve">19 Abschnitt 4</t>
  </si>
  <si>
    <t xml:space="preserve">Position 01.120</t>
  </si>
  <si>
    <t xml:space="preserve">Nicht nochmals in 01.020 addieren.</t>
  </si>
  <si>
    <t xml:space="preserve">Position 01.160</t>
  </si>
  <si>
    <t xml:space="preserve">Enthält Herstellerunterstützung laut Bieter.</t>
  </si>
  <si>
    <t xml:space="preserve">Die Übereinstimmung der Beträge belegt keine Einkaufsvereinbarung und keine ursprüngliche Ventilatorauswahl.</t>
  </si>
  <si>
    <t xml:space="preserve">Die Stadt hat die Jahreskondition bislang nicht selbst verifiziert. Fehlende Angaben werden nicht zu 0 EUR.</t>
  </si>
  <si>
    <t xml:space="preserve">Eingaben: gelbe Zellen. Formeln: Summe der fünf Ansätze, Differenz zum EP sowie Anteil jedes Ansatzes am EP.</t>
  </si>
  <si>
    <t xml:space="preserve">Ein zusätzlicher Einkaufspreis gehört nur nach belegter Änderung in eine neue Arbeitsfassung; das Angebot bleibt erhalten.</t>
  </si>
  <si>
    <t xml:space="preserve">Die Trennung von Gerätepreis, Regelung und Inbetriebnahme folgt Antwort 19 und dem Leistungsverzeichnis 04.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</si>
</sst>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7]#,##0.00"/>
    <numFmt numFmtId="166" formatCode="[$-407]0.00%"/>
    <numFmt numFmtId="167" formatCode="@"/>
    <numFmt numFmtId="168" formatCode="[$-407]0.0%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020"/>
      <name val="Times New Roman"/>
      <family val="0"/>
      <charset val="1"/>
    </font>
    <font>
      <b val="true"/>
      <sz val="15"/>
      <color rgb="FF20202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color rgb="FF1D4F7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4474C"/>
        <bgColor rgb="FF1D4F70"/>
      </patternFill>
    </fill>
    <fill>
      <patternFill patternType="solid">
        <fgColor rgb="FFFFF3D6"/>
        <bgColor rgb="FFFCE3DD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ont>
        <color rgb="FF9A291E"/>
      </font>
      <fill>
        <patternFill>
          <bgColor rgb="FFFCE3DD"/>
        </patternFill>
      </fill>
    </dxf>
    <dxf>
      <fill>
        <patternFill>
          <bgColor rgb="FFFFF3D6"/>
        </patternFill>
      </fill>
    </dxf>
    <dxf>
      <font>
        <color rgb="FF9A291E"/>
      </font>
      <fill>
        <patternFill>
          <bgColor rgb="FFFCE3DD"/>
        </patternFill>
      </fill>
    </dxf>
    <dxf>
      <fill>
        <patternFill>
          <bgColor rgb="FFFFF3D6"/>
        </patternFill>
      </fill>
    </dxf>
    <dxf>
      <font>
        <color rgb="FF9A291E"/>
      </font>
      <fill>
        <patternFill>
          <bgColor rgb="FFFCE3DD"/>
        </patternFill>
      </fill>
    </dxf>
    <dxf>
      <fill>
        <patternFill>
          <bgColor rgb="FFFFF3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3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D4F70"/>
      <rgbColor rgb="FF339966"/>
      <rgbColor rgb="FF003300"/>
      <rgbColor rgb="FF202020"/>
      <rgbColor rgb="FF9A291E"/>
      <rgbColor rgb="FF993366"/>
      <rgbColor rgb="FF333399"/>
      <rgbColor rgb="FF3447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G37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12" topLeftCell="A13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0"/>
    <ns0:col collapsed="false" customWidth="true" hidden="false" outlineLevel="0" max="2" min="2" style="0" width="29.44"/>
    <ns0:col collapsed="false" customWidth="true" hidden="false" outlineLevel="0" max="3" min="3" style="0" width="8.89"/>
    <ns0:col collapsed="false" customWidth="true" hidden="false" outlineLevel="0" max="6" min="4" style="0" width="14.44"/>
    <ns0:col collapsed="false" customWidth="true" hidden="false" outlineLevel="0" max="7" min="7" style="0" width="15.56"/>
  </ns0:cols>
  <ns0:sheetData>
    <ns0:row r="1" customFormat="false" ht="20" hidden="false" customHeight="true" outlineLevel="0" collapsed="false">
      <ns0:c r="A1" s="1"/>
      <ns0:c r="B1" s="1"/>
      <ns0:c r="C1" s="1"/>
      <ns0:c r="D1" s="1"/>
      <ns0:c r="E1" s="1"/>
      <ns0:c r="F1" s="1"/>
      <ns0:c r="G1" s="1"/>
    </ns0:row>
    <ns0:row r="2" customFormat="false" ht="20" hidden="false" customHeight="true" outlineLevel="0" collapsed="false">
      <ns0:c r="A2" s="2" t="s">
        <ns0:v>0</ns0:v>
      </ns0:c>
      <ns0:c r="B2" s="1"/>
      <ns0:c r="C2" s="1"/>
      <ns0:c r="D2" s="1"/>
      <ns0:c r="E2" s="1"/>
      <ns0:c r="F2" s="1"/>
      <ns0:c r="G2" s="1"/>
    </ns0:row>
    <ns0:row r="3" customFormat="false" ht="20" hidden="false" customHeight="true" outlineLevel="0" collapsed="false">
      <ns0:c r="A3" s="1" t="s">
        <ns0:v>1</ns0:v>
      </ns0:c>
      <ns0:c r="B3" s="1"/>
      <ns0:c r="C3" s="1"/>
      <ns0:c r="D3" s="1"/>
      <ns0:c r="E3" s="1"/>
      <ns0:c r="F3" s="1"/>
      <ns0:c r="G3" s="1"/>
    </ns0:row>
    <ns0:row r="4" customFormat="false" ht="20" hidden="false" customHeight="true" outlineLevel="0" collapsed="false">
      <ns0:c r="A4" s="1"/>
      <ns0:c r="B4" s="1"/>
      <ns0:c r="C4" s="1"/>
      <ns0:c r="D4" s="1"/>
      <ns0:c r="E4" s="1"/>
      <ns0:c r="F4" s="1"/>
      <ns0:c r="G4" s="1"/>
    </ns0:row>
    <ns0:row r="5" customFormat="false" ht="42" hidden="false" customHeight="true" outlineLevel="0" collapsed="false">
      <ns0:c r="A5" s="3" t="s">
        <ns0:v>2</ns0:v>
      </ns0:c>
      <ns0:c r="B5" s="3" t="s">
        <ns0:v>3</ns0:v>
      </ns0:c>
      <ns0:c r="C5" s="3" t="s">
        <ns0:v>4</ns0:v>
      </ns0:c>
      <ns0:c r="D5" s="3" t="s">
        <ns0:v>5</ns0:v>
      </ns0:c>
      <ns0:c r="E5" s="3" t="s">
        <ns0:v>6</ns0:v>
      </ns0:c>
      <ns0:c r="F5" s="3" t="s">
        <ns0:v>7</ns0:v>
      </ns0:c>
      <ns0:c r="G5" s="3" t="s">
        <ns0:v>8</ns0:v>
      </ns0:c>
    </ns0:row>
    <ns0:row r="6" customFormat="false" ht="20" hidden="false" customHeight="true" outlineLevel="0" collapsed="false">
      <ns0:c r="A6" s="1" t="s">
        <ns0:v>9</ns0:v>
      </ns0:c>
      <ns0:c r="B6" s="4" t="n">
        <ns0:f aca="false">IF(COUNT(D13:D32)=20,SUM(D13:D32),"Preis fehlt")</ns0:f>
        <ns0:v>313600</ns0:v>
      </ns0:c>
      <ns0:c r="C6" s="1" t="n">
        <ns0:f aca="false">IF(COUNT($B$6:$B$8)=3,RANK(B6,$B$6:$B$8,1),"offen")</ns0:f>
        <ns0:v>1</ns0:v>
      </ns0:c>
      <ns0:c r="D6" s="4" t="n">
        <ns0:f aca="false">IF(AND(ISNUMBER(B6),ISNUMBER($B$6)),B6-$B$6,"offen")</ns0:f>
        <ns0:v>0</ns0:v>
      </ns0:c>
      <ns0:c r="E6" s="5" t="n">
        <ns0:f aca="false">IF(AND(ISNUMBER(D6),ISNUMBER($B$6),$B$6&gt;0),D6/$B$6,"offen")</ns0:f>
        <ns0:v>0</ns0:v>
      </ns0:c>
      <ns0:c r="F6" s="1" t="n">
        <ns0:f aca="false">COUNT(Angebotswerte!E6:E25)</ns0:f>
        <ns0:v>20</ns0:v>
      </ns0:c>
      <ns0:c r="G6" s="1" t="str">
        <ns0:f aca="false">IF(F6=20,"vollständig","Preis fehlt")</ns0:f>
        <ns0:v>vollständig</ns0:v>
      </ns0:c>
    </ns0:row>
    <ns0:row r="7" customFormat="false" ht="20" hidden="false" customHeight="true" outlineLevel="0" collapsed="false">
      <ns0:c r="A7" s="1" t="s">
        <ns0:v>10</ns0:v>
      </ns0:c>
      <ns0:c r="B7" s="4" t="n">
        <ns0:f aca="false">IF(COUNT(E13:E32)=20,SUM(E13:E32),"Preis fehlt")</ns0:f>
        <ns0:v>356178</ns0:v>
      </ns0:c>
      <ns0:c r="C7" s="1" t="n">
        <ns0:f aca="false">IF(COUNT($B$6:$B$8)=3,RANK(B7,$B$6:$B$8,1),"offen")</ns0:f>
        <ns0:v>2</ns0:v>
      </ns0:c>
      <ns0:c r="D7" s="4" t="n">
        <ns0:f aca="false">IF(AND(ISNUMBER(B7),ISNUMBER($B$6)),B7-$B$6,"offen")</ns0:f>
        <ns0:v>42578</ns0:v>
      </ns0:c>
      <ns0:c r="E7" s="5" t="n">
        <ns0:f aca="false">IF(AND(ISNUMBER(D7),ISNUMBER($B$6),$B$6&gt;0),D7/$B$6,"offen")</ns0:f>
        <ns0:v>0.135771683673469</ns0:v>
      </ns0:c>
      <ns0:c r="F7" s="1" t="n">
        <ns0:f aca="false">COUNT(Angebotswerte!F6:F25)</ns0:f>
        <ns0:v>20</ns0:v>
      </ns0:c>
      <ns0:c r="G7" s="1" t="str">
        <ns0:f aca="false">IF(F7=20,"vollständig","Preis fehlt")</ns0:f>
        <ns0:v>vollständig</ns0:v>
      </ns0:c>
    </ns0:row>
    <ns0:row r="8" customFormat="false" ht="20" hidden="false" customHeight="true" outlineLevel="0" collapsed="false">
      <ns0:c r="A8" s="1" t="s">
        <ns0:v>11</ns0:v>
      </ns0:c>
      <ns0:c r="B8" s="4" t="n">
        <ns0:f aca="false">IF(COUNT(F13:F32)=20,SUM(F13:F32),"Preis fehlt")</ns0:f>
        <ns0:v>371876</ns0:v>
      </ns0:c>
      <ns0:c r="C8" s="1" t="n">
        <ns0:f aca="false">IF(COUNT($B$6:$B$8)=3,RANK(B8,$B$6:$B$8,1),"offen")</ns0:f>
        <ns0:v>3</ns0:v>
      </ns0:c>
      <ns0:c r="D8" s="4" t="n">
        <ns0:f aca="false">IF(AND(ISNUMBER(B8),ISNUMBER($B$6)),B8-$B$6,"offen")</ns0:f>
        <ns0:v>58276</ns0:v>
      </ns0:c>
      <ns0:c r="E8" s="5" t="n">
        <ns0:f aca="false">IF(AND(ISNUMBER(D8),ISNUMBER($B$6),$B$6&gt;0),D8/$B$6,"offen")</ns0:f>
        <ns0:v>0.185829081632653</ns0:v>
      </ns0:c>
      <ns0:c r="F8" s="1" t="n">
        <ns0:f aca="false">COUNT(Angebotswerte!G6:G25)</ns0:f>
        <ns0:v>20</ns0:v>
      </ns0:c>
      <ns0:c r="G8" s="1" t="str">
        <ns0:f aca="false">IF(F8=20,"vollständig","Preis fehlt")</ns0:f>
        <ns0:v>vollständig</ns0:v>
      </ns0:c>
    </ns0:row>
    <ns0:row r="9" customFormat="false" ht="20" hidden="false" customHeight="true" outlineLevel="0" collapsed="false">
      <ns0:c r="A9" s="1"/>
      <ns0:c r="B9" s="1"/>
      <ns0:c r="C9" s="1"/>
      <ns0:c r="D9" s="1"/>
      <ns0:c r="E9" s="1"/>
      <ns0:c r="F9" s="1"/>
      <ns0:c r="G9" s="1"/>
    </ns0:row>
    <ns0:row r="10" customFormat="false" ht="20" hidden="false" customHeight="true" outlineLevel="0" collapsed="false">
      <ns0:c r="A10" s="1" t="s">
        <ns0:v>12</ns0:v>
      </ns0:c>
      <ns0:c r="B10" s="1"/>
      <ns0:c r="C10" s="1"/>
      <ns0:c r="D10" s="1"/>
      <ns0:c r="E10" s="1"/>
      <ns0:c r="F10" s="1"/>
      <ns0:c r="G10" s="1"/>
    </ns0:row>
    <ns0:row r="11" customFormat="false" ht="20" hidden="false" customHeight="true" outlineLevel="0" collapsed="false">
      <ns0:c r="A11" s="1"/>
      <ns0:c r="B11" s="1"/>
      <ns0:c r="C11" s="1"/>
      <ns0:c r="D11" s="1"/>
      <ns0:c r="E11" s="1"/>
      <ns0:c r="F11" s="1"/>
      <ns0:c r="G11" s="1"/>
    </ns0:row>
    <ns0:row r="12" customFormat="false" ht="42" hidden="false" customHeight="true" outlineLevel="0" collapsed="false">
      <ns0:c r="A12" s="3" t="s">
        <ns0:v>13</ns0:v>
      </ns0:c>
      <ns0:c r="B12" s="3" t="s">
        <ns0:v>14</ns0:v>
      </ns0:c>
      <ns0:c r="C12" s="3" t="s">
        <ns0:v>15</ns0:v>
      </ns0:c>
      <ns0:c r="D12" s="3" t="s">
        <ns0:v>16</ns0:v>
      </ns0:c>
      <ns0:c r="E12" s="3" t="s">
        <ns0:v>17</ns0:v>
      </ns0:c>
      <ns0:c r="F12" s="3" t="s">
        <ns0:v>18</ns0:v>
      </ns0:c>
      <ns0:c r="G12" s="3" t="s">
        <ns0:v>19</ns0:v>
      </ns0:c>
    </ns0:row>
    <ns0:row r="13" customFormat="false" ht="28" hidden="false" customHeight="true" outlineLevel="0" collapsed="false">
      <ns0:c r="A13" s="6" t="s">
        <ns0:v>20</ns0:v>
      </ns0:c>
      <ns0:c r="B13" s="7" t="s">
        <ns0:v>21</ns0:v>
      </ns0:c>
      <ns0:c r="C13" s="1" t="n">
        <ns0:f aca="false">Angebotswerte!C6</ns0:f>
        <ns0:v>1</ns0:v>
      </ns0:c>
      <ns0:c r="D13" s="4" t="n">
        <ns0:f aca="false">IF(AND(ISNUMBER(Angebotswerte!C6),ISNUMBER(Angebotswerte!E6)),ROUND(Angebotswerte!C6*Angebotswerte!E6,2),"Preis fehlt")</ns0:f>
        <ns0:v>12800</ns0:v>
      </ns0:c>
      <ns0:c r="E13" s="4" t="n">
        <ns0:f aca="false">IF(AND(ISNUMBER(Angebotswerte!C6),ISNUMBER(Angebotswerte!F6)),ROUND(Angebotswerte!C6*Angebotswerte!F6,2),"Preis fehlt")</ns0:f>
        <ns0:v>14200</ns0:v>
      </ns0:c>
      <ns0:c r="F13" s="4" t="n">
        <ns0:f aca="false">IF(AND(ISNUMBER(Angebotswerte!C6),ISNUMBER(Angebotswerte!G6)),ROUND(Angebotswerte!C6*Angebotswerte!G6,2),"Preis fehlt")</ns0:f>
        <ns0:v>14900</ns0:v>
      </ns0:c>
      <ns0:c r="G13" s="4" t="n">
        <ns0:f aca="false">IF(AND(ISNUMBER(D13),ISNUMBER(E13)),E13-D13,"offen")</ns0:f>
        <ns0:v>1400</ns0:v>
      </ns0:c>
    </ns0:row>
    <ns0:row r="14" customFormat="false" ht="28" hidden="false" customHeight="true" outlineLevel="0" collapsed="false">
      <ns0:c r="A14" s="6" t="s">
        <ns0:v>22</ns0:v>
      </ns0:c>
      <ns0:c r="B14" s="7" t="s">
        <ns0:v>23</ns0:v>
      </ns0:c>
      <ns0:c r="C14" s="1" t="n">
        <ns0:f aca="false">Angebotswerte!C7</ns0:f>
        <ns0:v>1</ns0:v>
      </ns0:c>
      <ns0:c r="D14" s="4" t="n">
        <ns0:f aca="false">IF(AND(ISNUMBER(Angebotswerte!C7),ISNUMBER(Angebotswerte!E7)),ROUND(Angebotswerte!C7*Angebotswerte!E7,2),"Preis fehlt")</ns0:f>
        <ns0:v>78000</ns0:v>
      </ns0:c>
      <ns0:c r="E14" s="4" t="n">
        <ns0:f aca="false">IF(AND(ISNUMBER(Angebotswerte!C7),ISNUMBER(Angebotswerte!F7)),ROUND(Angebotswerte!C7*Angebotswerte!F7,2),"Preis fehlt")</ns0:f>
        <ns0:v>102000</ns0:v>
      </ns0:c>
      <ns0:c r="F14" s="4" t="n">
        <ns0:f aca="false">IF(AND(ISNUMBER(Angebotswerte!C7),ISNUMBER(Angebotswerte!G7)),ROUND(Angebotswerte!C7*Angebotswerte!G7,2),"Preis fehlt")</ns0:f>
        <ns0:v>107500</ns0:v>
      </ns0:c>
      <ns0:c r="G14" s="4" t="n">
        <ns0:f aca="false">IF(AND(ISNUMBER(D14),ISNUMBER(E14)),E14-D14,"offen")</ns0:f>
        <ns0:v>24000</ns0:v>
      </ns0:c>
    </ns0:row>
    <ns0:row r="15" customFormat="false" ht="28" hidden="false" customHeight="true" outlineLevel="0" collapsed="false">
      <ns0:c r="A15" s="6" t="s">
        <ns0:v>24</ns0:v>
      </ns0:c>
      <ns0:c r="B15" s="7" t="s">
        <ns0:v>25</ns0:v>
      </ns0:c>
      <ns0:c r="C15" s="1" t="n">
        <ns0:f aca="false">Angebotswerte!C8</ns0:f>
        <ns0:v>2</ns0:v>
      </ns0:c>
      <ns0:c r="D15" s="4" t="n">
        <ns0:f aca="false">IF(AND(ISNUMBER(Angebotswerte!C8),ISNUMBER(Angebotswerte!E8)),ROUND(Angebotswerte!C8*Angebotswerte!E8,2),"Preis fehlt")</ns0:f>
        <ns0:v>17200</ns0:v>
      </ns0:c>
      <ns0:c r="E15" s="4" t="n">
        <ns0:f aca="false">IF(AND(ISNUMBER(Angebotswerte!C8),ISNUMBER(Angebotswerte!F8)),ROUND(Angebotswerte!C8*Angebotswerte!F8,2),"Preis fehlt")</ns0:f>
        <ns0:v>18800</ns0:v>
      </ns0:c>
      <ns0:c r="F15" s="4" t="n">
        <ns0:f aca="false">IF(AND(ISNUMBER(Angebotswerte!C8),ISNUMBER(Angebotswerte!G8)),ROUND(Angebotswerte!C8*Angebotswerte!G8,2),"Preis fehlt")</ns0:f>
        <ns0:v>19600</ns0:v>
      </ns0:c>
      <ns0:c r="G15" s="4" t="n">
        <ns0:f aca="false">IF(AND(ISNUMBER(D15),ISNUMBER(E15)),E15-D15,"offen")</ns0:f>
        <ns0:v>1600</ns0:v>
      </ns0:c>
    </ns0:row>
    <ns0:row r="16" customFormat="false" ht="28" hidden="false" customHeight="true" outlineLevel="0" collapsed="false">
      <ns0:c r="A16" s="6" t="s">
        <ns0:v>26</ns0:v>
      </ns0:c>
      <ns0:c r="B16" s="7" t="s">
        <ns0:v>27</ns0:v>
      </ns0:c>
      <ns0:c r="C16" s="1" t="n">
        <ns0:f aca="false">Angebotswerte!C9</ns0:f>
        <ns0:v>560</ns0:v>
      </ns0:c>
      <ns0:c r="D16" s="4" t="n">
        <ns0:f aca="false">IF(AND(ISNUMBER(Angebotswerte!C9),ISNUMBER(Angebotswerte!E9)),ROUND(Angebotswerte!C9*Angebotswerte!E9,2),"Preis fehlt")</ns0:f>
        <ns0:v>66080</ns0:v>
      </ns0:c>
      <ns0:c r="E16" s="4" t="n">
        <ns0:f aca="false">IF(AND(ISNUMBER(Angebotswerte!C9),ISNUMBER(Angebotswerte!F9)),ROUND(Angebotswerte!C9*Angebotswerte!F9,2),"Preis fehlt")</ns0:f>
        <ns0:v>70560</ns0:v>
      </ns0:c>
      <ns0:c r="F16" s="4" t="n">
        <ns0:f aca="false">IF(AND(ISNUMBER(Angebotswerte!C9),ISNUMBER(Angebotswerte!G9)),ROUND(Angebotswerte!C9*Angebotswerte!G9,2),"Preis fehlt")</ns0:f>
        <ns0:v>73360</ns0:v>
      </ns0:c>
      <ns0:c r="G16" s="4" t="n">
        <ns0:f aca="false">IF(AND(ISNUMBER(D16),ISNUMBER(E16)),E16-D16,"offen")</ns0:f>
        <ns0:v>4480</ns0:v>
      </ns0:c>
    </ns0:row>
    <ns0:row r="17" customFormat="false" ht="28" hidden="false" customHeight="true" outlineLevel="0" collapsed="false">
      <ns0:c r="A17" s="6" t="s">
        <ns0:v>28</ns0:v>
      </ns0:c>
      <ns0:c r="B17" s="7" t="s">
        <ns0:v>29</ns0:v>
      </ns0:c>
      <ns0:c r="C17" s="1" t="n">
        <ns0:f aca="false">Angebotswerte!C10</ns0:f>
        <ns0:v>210</ns0:v>
      </ns0:c>
      <ns0:c r="D17" s="4" t="n">
        <ns0:f aca="false">IF(AND(ISNUMBER(Angebotswerte!C10),ISNUMBER(Angebotswerte!E10)),ROUND(Angebotswerte!C10*Angebotswerte!E10,2),"Preis fehlt")</ns0:f>
        <ns0:v>15960</ns0:v>
      </ns0:c>
      <ns0:c r="E17" s="4" t="n">
        <ns0:f aca="false">IF(AND(ISNUMBER(Angebotswerte!C10),ISNUMBER(Angebotswerte!F10)),ROUND(Angebotswerte!C10*Angebotswerte!F10,2),"Preis fehlt")</ns0:f>
        <ns0:v>17010</ns0:v>
      </ns0:c>
      <ns0:c r="F17" s="4" t="n">
        <ns0:f aca="false">IF(AND(ISNUMBER(Angebotswerte!C10),ISNUMBER(Angebotswerte!G10)),ROUND(Angebotswerte!C10*Angebotswerte!G10,2),"Preis fehlt")</ns0:f>
        <ns0:v>17640</ns0:v>
      </ns0:c>
      <ns0:c r="G17" s="4" t="n">
        <ns0:f aca="false">IF(AND(ISNUMBER(D17),ISNUMBER(E17)),E17-D17,"offen")</ns0:f>
        <ns0:v>1050</ns0:v>
      </ns0:c>
    </ns0:row>
    <ns0:row r="18" customFormat="false" ht="28" hidden="false" customHeight="true" outlineLevel="0" collapsed="false">
      <ns0:c r="A18" s="6" t="s">
        <ns0:v>30</ns0:v>
      </ns0:c>
      <ns0:c r="B18" s="7" t="s">
        <ns0:v>31</ns0:v>
      </ns0:c>
      <ns0:c r="C18" s="1" t="n">
        <ns0:f aca="false">Angebotswerte!C11</ns0:f>
        <ns0:v>460</ns0:v>
      </ns0:c>
      <ns0:c r="D18" s="4" t="n">
        <ns0:f aca="false">IF(AND(ISNUMBER(Angebotswerte!C11),ISNUMBER(Angebotswerte!E11)),ROUND(Angebotswerte!C11*Angebotswerte!E11,2),"Preis fehlt")</ns0:f>
        <ns0:v>18860</ns0:v>
      </ns0:c>
      <ns0:c r="E18" s="4" t="n">
        <ns0:f aca="false">IF(AND(ISNUMBER(Angebotswerte!C11),ISNUMBER(Angebotswerte!F11)),ROUND(Angebotswerte!C11*Angebotswerte!F11,2),"Preis fehlt")</ns0:f>
        <ns0:v>20240</ns0:v>
      </ns0:c>
      <ns0:c r="F18" s="4" t="n">
        <ns0:f aca="false">IF(AND(ISNUMBER(Angebotswerte!C11),ISNUMBER(Angebotswerte!G11)),ROUND(Angebotswerte!C11*Angebotswerte!G11,2),"Preis fehlt")</ns0:f>
        <ns0:v>21160</ns0:v>
      </ns0:c>
      <ns0:c r="G18" s="4" t="n">
        <ns0:f aca="false">IF(AND(ISNUMBER(D18),ISNUMBER(E18)),E18-D18,"offen")</ns0:f>
        <ns0:v>1380</ns0:v>
      </ns0:c>
    </ns0:row>
    <ns0:row r="19" customFormat="false" ht="28" hidden="false" customHeight="true" outlineLevel="0" collapsed="false">
      <ns0:c r="A19" s="6" t="s">
        <ns0:v>32</ns0:v>
      </ns0:c>
      <ns0:c r="B19" s="7" t="s">
        <ns0:v>33</ns0:v>
      </ns0:c>
      <ns0:c r="C19" s="1" t="n">
        <ns0:f aca="false">Angebotswerte!C12</ns0:f>
        <ns0:v>14</ns0:v>
      </ns0:c>
      <ns0:c r="D19" s="4" t="n">
        <ns0:f aca="false">IF(AND(ISNUMBER(Angebotswerte!C12),ISNUMBER(Angebotswerte!E12)),ROUND(Angebotswerte!C12*Angebotswerte!E12,2),"Preis fehlt")</ns0:f>
        <ns0:v>12180</ns0:v>
      </ns0:c>
      <ns0:c r="E19" s="4" t="n">
        <ns0:f aca="false">IF(AND(ISNUMBER(Angebotswerte!C12),ISNUMBER(Angebotswerte!F12)),ROUND(Angebotswerte!C12*Angebotswerte!F12,2),"Preis fehlt")</ns0:f>
        <ns0:v>13020</ns0:v>
      </ns0:c>
      <ns0:c r="F19" s="4" t="n">
        <ns0:f aca="false">IF(AND(ISNUMBER(Angebotswerte!C12),ISNUMBER(Angebotswerte!G12)),ROUND(Angebotswerte!C12*Angebotswerte!G12,2),"Preis fehlt")</ns0:f>
        <ns0:v>13510</ns0:v>
      </ns0:c>
      <ns0:c r="G19" s="4" t="n">
        <ns0:f aca="false">IF(AND(ISNUMBER(D19),ISNUMBER(E19)),E19-D19,"offen")</ns0:f>
        <ns0:v>840</ns0:v>
      </ns0:c>
    </ns0:row>
    <ns0:row r="20" customFormat="false" ht="28" hidden="false" customHeight="true" outlineLevel="0" collapsed="false">
      <ns0:c r="A20" s="6" t="s">
        <ns0:v>34</ns0:v>
      </ns0:c>
      <ns0:c r="B20" s="7" t="s">
        <ns0:v>35</ns0:v>
      </ns0:c>
      <ns0:c r="C20" s="1" t="n">
        <ns0:f aca="false">Angebotswerte!C13</ns0:f>
        <ns0:v>18</ns0:v>
      </ns0:c>
      <ns0:c r="D20" s="4" t="n">
        <ns0:f aca="false">IF(AND(ISNUMBER(Angebotswerte!C13),ISNUMBER(Angebotswerte!E13)),ROUND(Angebotswerte!C13*Angebotswerte!E13,2),"Preis fehlt")</ns0:f>
        <ns0:v>7110</ns0:v>
      </ns0:c>
      <ns0:c r="E20" s="4" t="n">
        <ns0:f aca="false">IF(AND(ISNUMBER(Angebotswerte!C13),ISNUMBER(Angebotswerte!F13)),ROUND(Angebotswerte!C13*Angebotswerte!F13,2),"Preis fehlt")</ns0:f>
        <ns0:v>7740</ns0:v>
      </ns0:c>
      <ns0:c r="F20" s="4" t="n">
        <ns0:f aca="false">IF(AND(ISNUMBER(Angebotswerte!C13),ISNUMBER(Angebotswerte!G13)),ROUND(Angebotswerte!C13*Angebotswerte!G13,2),"Preis fehlt")</ns0:f>
        <ns0:v>8100</ns0:v>
      </ns0:c>
      <ns0:c r="G20" s="4" t="n">
        <ns0:f aca="false">IF(AND(ISNUMBER(D20),ISNUMBER(E20)),E20-D20,"offen")</ns0:f>
        <ns0:v>630</ns0:v>
      </ns0:c>
    </ns0:row>
    <ns0:row r="21" customFormat="false" ht="28" hidden="false" customHeight="true" outlineLevel="0" collapsed="false">
      <ns0:c r="A21" s="6" t="s">
        <ns0:v>36</ns0:v>
      </ns0:c>
      <ns0:c r="B21" s="7" t="s">
        <ns0:v>37</ns0:v>
      </ns0:c>
      <ns0:c r="C21" s="1" t="n">
        <ns0:f aca="false">Angebotswerte!C14</ns0:f>
        <ns0:v>42</ns0:v>
      </ns0:c>
      <ns0:c r="D21" s="4" t="n">
        <ns0:f aca="false">IF(AND(ISNUMBER(Angebotswerte!C14),ISNUMBER(Angebotswerte!E14)),ROUND(Angebotswerte!C14*Angebotswerte!E14,2),"Preis fehlt")</ns0:f>
        <ns0:v>6510</ns0:v>
      </ns0:c>
      <ns0:c r="E21" s="4" t="n">
        <ns0:f aca="false">IF(AND(ISNUMBER(Angebotswerte!C14),ISNUMBER(Angebotswerte!F14)),ROUND(Angebotswerte!C14*Angebotswerte!F14,2),"Preis fehlt")</ns0:f>
        <ns0:v>7056</ns0:v>
      </ns0:c>
      <ns0:c r="F21" s="4" t="n">
        <ns0:f aca="false">IF(AND(ISNUMBER(Angebotswerte!C14),ISNUMBER(Angebotswerte!G14)),ROUND(Angebotswerte!C14*Angebotswerte!G14,2),"Preis fehlt")</ns0:f>
        <ns0:v>7224</ns0:v>
      </ns0:c>
      <ns0:c r="G21" s="4" t="n">
        <ns0:f aca="false">IF(AND(ISNUMBER(D21),ISNUMBER(E21)),E21-D21,"offen")</ns0:f>
        <ns0:v>546</ns0:v>
      </ns0:c>
    </ns0:row>
    <ns0:row r="22" customFormat="false" ht="28" hidden="false" customHeight="true" outlineLevel="0" collapsed="false">
      <ns0:c r="A22" s="6" t="s">
        <ns0:v>38</ns0:v>
      </ns0:c>
      <ns0:c r="B22" s="7" t="s">
        <ns0:v>39</ns0:v>
      </ns0:c>
      <ns0:c r="C22" s="1" t="n">
        <ns0:f aca="false">Angebotswerte!C15</ns0:f>
        <ns0:v>6</ns0:v>
      </ns0:c>
      <ns0:c r="D22" s="4" t="n">
        <ns0:f aca="false">IF(AND(ISNUMBER(Angebotswerte!C15),ISNUMBER(Angebotswerte!E15)),ROUND(Angebotswerte!C15*Angebotswerte!E15,2),"Preis fehlt")</ns0:f>
        <ns0:v>4680</ns0:v>
      </ns0:c>
      <ns0:c r="E22" s="4" t="n">
        <ns0:f aca="false">IF(AND(ISNUMBER(Angebotswerte!C15),ISNUMBER(Angebotswerte!F15)),ROUND(Angebotswerte!C15*Angebotswerte!F15,2),"Preis fehlt")</ns0:f>
        <ns0:v>4950</ns0:v>
      </ns0:c>
      <ns0:c r="F22" s="4" t="n">
        <ns0:f aca="false">IF(AND(ISNUMBER(Angebotswerte!C15),ISNUMBER(Angebotswerte!G15)),ROUND(Angebotswerte!C15*Angebotswerte!G15,2),"Preis fehlt")</ns0:f>
        <ns0:v>5160</ns0:v>
      </ns0:c>
      <ns0:c r="G22" s="4" t="n">
        <ns0:f aca="false">IF(AND(ISNUMBER(D22),ISNUMBER(E22)),E22-D22,"offen")</ns0:f>
        <ns0:v>270</ns0:v>
      </ns0:c>
    </ns0:row>
    <ns0:row r="23" customFormat="false" ht="28" hidden="false" customHeight="true" outlineLevel="0" collapsed="false">
      <ns0:c r="A23" s="6" t="s">
        <ns0:v>40</ns0:v>
      </ns0:c>
      <ns0:c r="B23" s="7" t="s">
        <ns0:v>41</ns0:v>
      </ns0:c>
      <ns0:c r="C23" s="1" t="n">
        <ns0:f aca="false">Angebotswerte!C16</ns0:f>
        <ns0:v>4</ns0:v>
      </ns0:c>
      <ns0:c r="D23" s="4" t="n">
        <ns0:f aca="false">IF(AND(ISNUMBER(Angebotswerte!C16),ISNUMBER(Angebotswerte!E16)),ROUND(Angebotswerte!C16*Angebotswerte!E16,2),"Preis fehlt")</ns0:f>
        <ns0:v>3800</ns0:v>
      </ns0:c>
      <ns0:c r="E23" s="4" t="n">
        <ns0:f aca="false">IF(AND(ISNUMBER(Angebotswerte!C16),ISNUMBER(Angebotswerte!F16)),ROUND(Angebotswerte!C16*Angebotswerte!F16,2),"Preis fehlt")</ns0:f>
        <ns0:v>4080</ns0:v>
      </ns0:c>
      <ns0:c r="F23" s="4" t="n">
        <ns0:f aca="false">IF(AND(ISNUMBER(Angebotswerte!C16),ISNUMBER(Angebotswerte!G16)),ROUND(Angebotswerte!C16*Angebotswerte!G16,2),"Preis fehlt")</ns0:f>
        <ns0:v>4180</ns0:v>
      </ns0:c>
      <ns0:c r="G23" s="4" t="n">
        <ns0:f aca="false">IF(AND(ISNUMBER(D23),ISNUMBER(E23)),E23-D23,"offen")</ns0:f>
        <ns0:v>280</ns0:v>
      </ns0:c>
    </ns0:row>
    <ns0:row r="24" customFormat="false" ht="28" hidden="false" customHeight="true" outlineLevel="0" collapsed="false">
      <ns0:c r="A24" s="6" t="s">
        <ns0:v>42</ns0:v>
      </ns0:c>
      <ns0:c r="B24" s="7" t="s">
        <ns0:v>43</ns0:v>
      </ns0:c>
      <ns0:c r="C24" s="1" t="n">
        <ns0:f aca="false">Angebotswerte!C17</ns0:f>
        <ns0:v>1</ns0:v>
      </ns0:c>
      <ns0:c r="D24" s="4" t="n">
        <ns0:f aca="false">IF(AND(ISNUMBER(Angebotswerte!C17),ISNUMBER(Angebotswerte!E17)),ROUND(Angebotswerte!C17*Angebotswerte!E17,2),"Preis fehlt")</ns0:f>
        <ns0:v>24500</ns0:v>
      </ns0:c>
      <ns0:c r="E24" s="4" t="n">
        <ns0:f aca="false">IF(AND(ISNUMBER(Angebotswerte!C17),ISNUMBER(Angebotswerte!F17)),ROUND(Angebotswerte!C17*Angebotswerte!F17,2),"Preis fehlt")</ns0:f>
        <ns0:v>26800</ns0:v>
      </ns0:c>
      <ns0:c r="F24" s="4" t="n">
        <ns0:f aca="false">IF(AND(ISNUMBER(Angebotswerte!C17),ISNUMBER(Angebotswerte!G17)),ROUND(Angebotswerte!C17*Angebotswerte!G17,2),"Preis fehlt")</ns0:f>
        <ns0:v>28100</ns0:v>
      </ns0:c>
      <ns0:c r="G24" s="4" t="n">
        <ns0:f aca="false">IF(AND(ISNUMBER(D24),ISNUMBER(E24)),E24-D24,"offen")</ns0:f>
        <ns0:v>2300</ns0:v>
      </ns0:c>
    </ns0:row>
    <ns0:row r="25" customFormat="false" ht="28" hidden="false" customHeight="true" outlineLevel="0" collapsed="false">
      <ns0:c r="A25" s="6" t="s">
        <ns0:v>44</ns0:v>
      </ns0:c>
      <ns0:c r="B25" s="7" t="s">
        <ns0:v>45</ns0:v>
      </ns0:c>
      <ns0:c r="C25" s="1" t="n">
        <ns0:f aca="false">Angebotswerte!C18</ns0:f>
        <ns0:v>380</ns0:v>
      </ns0:c>
      <ns0:c r="D25" s="4" t="n">
        <ns0:f aca="false">IF(AND(ISNUMBER(Angebotswerte!C18),ISNUMBER(Angebotswerte!E18)),ROUND(Angebotswerte!C18*Angebotswerte!E18,2),"Preis fehlt")</ns0:f>
        <ns0:v>6840</ns0:v>
      </ns0:c>
      <ns0:c r="E25" s="4" t="n">
        <ns0:f aca="false">IF(AND(ISNUMBER(Angebotswerte!C18),ISNUMBER(Angebotswerte!F18)),ROUND(Angebotswerte!C18*Angebotswerte!F18,2),"Preis fehlt")</ns0:f>
        <ns0:v>7410</ns0:v>
      </ns0:c>
      <ns0:c r="F25" s="4" t="n">
        <ns0:f aca="false">IF(AND(ISNUMBER(Angebotswerte!C18),ISNUMBER(Angebotswerte!G18)),ROUND(Angebotswerte!C18*Angebotswerte!G18,2),"Preis fehlt")</ns0:f>
        <ns0:v>7600</ns0:v>
      </ns0:c>
      <ns0:c r="G25" s="4" t="n">
        <ns0:f aca="false">IF(AND(ISNUMBER(D25),ISNUMBER(E25)),E25-D25,"offen")</ns0:f>
        <ns0:v>570</ns0:v>
      </ns0:c>
    </ns0:row>
    <ns0:row r="26" customFormat="false" ht="28" hidden="false" customHeight="true" outlineLevel="0" collapsed="false">
      <ns0:c r="A26" s="6" t="s">
        <ns0:v>46</ns0:v>
      </ns0:c>
      <ns0:c r="B26" s="7" t="s">
        <ns0:v>47</ns0:v>
      </ns0:c>
      <ns0:c r="C26" s="1" t="n">
        <ns0:f aca="false">Angebotswerte!C19</ns0:f>
        <ns0:v>1</ns0:v>
      </ns0:c>
      <ns0:c r="D26" s="4" t="n">
        <ns0:f aca="false">IF(AND(ISNUMBER(Angebotswerte!C19),ISNUMBER(Angebotswerte!E19)),ROUND(Angebotswerte!C19*Angebotswerte!E19,2),"Preis fehlt")</ns0:f>
        <ns0:v>12400</ns0:v>
      </ns0:c>
      <ns0:c r="E26" s="4" t="n">
        <ns0:f aca="false">IF(AND(ISNUMBER(Angebotswerte!C19),ISNUMBER(Angebotswerte!F19)),ROUND(Angebotswerte!C19*Angebotswerte!F19,2),"Preis fehlt")</ns0:f>
        <ns0:v>13700</ns0:v>
      </ns0:c>
      <ns0:c r="F26" s="4" t="n">
        <ns0:f aca="false">IF(AND(ISNUMBER(Angebotswerte!C19),ISNUMBER(Angebotswerte!G19)),ROUND(Angebotswerte!C19*Angebotswerte!G19,2),"Preis fehlt")</ns0:f>
        <ns0:v>14100</ns0:v>
      </ns0:c>
      <ns0:c r="G26" s="4" t="n">
        <ns0:f aca="false">IF(AND(ISNUMBER(D26),ISNUMBER(E26)),E26-D26,"offen")</ns0:f>
        <ns0:v>1300</ns0:v>
      </ns0:c>
    </ns0:row>
    <ns0:row r="27" customFormat="false" ht="28" hidden="false" customHeight="true" outlineLevel="0" collapsed="false">
      <ns0:c r="A27" s="6" t="s">
        <ns0:v>48</ns0:v>
      </ns0:c>
      <ns0:c r="B27" s="7" t="s">
        <ns0:v>49</ns0:v>
      </ns0:c>
      <ns0:c r="C27" s="1" t="n">
        <ns0:f aca="false">Angebotswerte!C20</ns0:f>
        <ns0:v>26</ns0:v>
      </ns0:c>
      <ns0:c r="D27" s="4" t="n">
        <ns0:f aca="false">IF(AND(ISNUMBER(Angebotswerte!C20),ISNUMBER(Angebotswerte!E20)),ROUND(Angebotswerte!C20*Angebotswerte!E20,2),"Preis fehlt")</ns0:f>
        <ns0:v>4810</ns0:v>
      </ns0:c>
      <ns0:c r="E27" s="4" t="n">
        <ns0:f aca="false">IF(AND(ISNUMBER(Angebotswerte!C20),ISNUMBER(Angebotswerte!F20)),ROUND(Angebotswerte!C20*Angebotswerte!F20,2),"Preis fehlt")</ns0:f>
        <ns0:v>5148</ns0:v>
      </ns0:c>
      <ns0:c r="F27" s="4" t="n">
        <ns0:f aca="false">IF(AND(ISNUMBER(Angebotswerte!C20),ISNUMBER(Angebotswerte!G20)),ROUND(Angebotswerte!C20*Angebotswerte!G20,2),"Preis fehlt")</ns0:f>
        <ns0:v>5330</ns0:v>
      </ns0:c>
      <ns0:c r="G27" s="4" t="n">
        <ns0:f aca="false">IF(AND(ISNUMBER(D27),ISNUMBER(E27)),E27-D27,"offen")</ns0:f>
        <ns0:v>338</ns0:v>
      </ns0:c>
    </ns0:row>
    <ns0:row r="28" customFormat="false" ht="28" hidden="false" customHeight="true" outlineLevel="0" collapsed="false">
      <ns0:c r="A28" s="6" t="s">
        <ns0:v>50</ns0:v>
      </ns0:c>
      <ns0:c r="B28" s="7" t="s">
        <ns0:v>51</ns0:v>
      </ns0:c>
      <ns0:c r="C28" s="1" t="n">
        <ns0:f aca="false">Angebotswerte!C21</ns0:f>
        <ns0:v>1</ns0:v>
      </ns0:c>
      <ns0:c r="D28" s="4" t="n">
        <ns0:f aca="false">IF(AND(ISNUMBER(Angebotswerte!C21),ISNUMBER(Angebotswerte!E21)),ROUND(Angebotswerte!C21*Angebotswerte!E21,2),"Preis fehlt")</ns0:f>
        <ns0:v>9200</ns0:v>
      </ns0:c>
      <ns0:c r="E28" s="4" t="n">
        <ns0:f aca="false">IF(AND(ISNUMBER(Angebotswerte!C21),ISNUMBER(Angebotswerte!F21)),ROUND(Angebotswerte!C21*Angebotswerte!F21,2),"Preis fehlt")</ns0:f>
        <ns0:v>9800</ns0:v>
      </ns0:c>
      <ns0:c r="F28" s="4" t="n">
        <ns0:f aca="false">IF(AND(ISNUMBER(Angebotswerte!C21),ISNUMBER(Angebotswerte!G21)),ROUND(Angebotswerte!C21*Angebotswerte!G21,2),"Preis fehlt")</ns0:f>
        <ns0:v>10200</ns0:v>
      </ns0:c>
      <ns0:c r="G28" s="4" t="n">
        <ns0:f aca="false">IF(AND(ISNUMBER(D28),ISNUMBER(E28)),E28-D28,"offen")</ns0:f>
        <ns0:v>600</ns0:v>
      </ns0:c>
    </ns0:row>
    <ns0:row r="29" customFormat="false" ht="28" hidden="false" customHeight="true" outlineLevel="0" collapsed="false">
      <ns0:c r="A29" s="6" t="s">
        <ns0:v>52</ns0:v>
      </ns0:c>
      <ns0:c r="B29" s="7" t="s">
        <ns0:v>53</ns0:v>
      </ns0:c>
      <ns0:c r="C29" s="1" t="n">
        <ns0:f aca="false">Angebotswerte!C22</ns0:f>
        <ns0:v>42</ns0:v>
      </ns0:c>
      <ns0:c r="D29" s="4" t="n">
        <ns0:f aca="false">IF(AND(ISNUMBER(Angebotswerte!C22),ISNUMBER(Angebotswerte!E22)),ROUND(Angebotswerte!C22*Angebotswerte!E22,2),"Preis fehlt")</ns0:f>
        <ns0:v>3570</ns0:v>
      </ns0:c>
      <ns0:c r="E29" s="4" t="n">
        <ns0:f aca="false">IF(AND(ISNUMBER(Angebotswerte!C22),ISNUMBER(Angebotswerte!F22)),ROUND(Angebotswerte!C22*Angebotswerte!F22,2),"Preis fehlt")</ns0:f>
        <ns0:v>3864</ns0:v>
      </ns0:c>
      <ns0:c r="F29" s="4" t="n">
        <ns0:f aca="false">IF(AND(ISNUMBER(Angebotswerte!C22),ISNUMBER(Angebotswerte!G22)),ROUND(Angebotswerte!C22*Angebotswerte!G22,2),"Preis fehlt")</ns0:f>
        <ns0:v>4032</ns0:v>
      </ns0:c>
      <ns0:c r="G29" s="4" t="n">
        <ns0:f aca="false">IF(AND(ISNUMBER(D29),ISNUMBER(E29)),E29-D29,"offen")</ns0:f>
        <ns0:v>294</ns0:v>
      </ns0:c>
    </ns0:row>
    <ns0:row r="30" customFormat="false" ht="28" hidden="false" customHeight="true" outlineLevel="0" collapsed="false">
      <ns0:c r="A30" s="6" t="s">
        <ns0:v>54</ns0:v>
      </ns0:c>
      <ns0:c r="B30" s="7" t="s">
        <ns0:v>55</ns0:v>
      </ns0:c>
      <ns0:c r="C30" s="1" t="n">
        <ns0:f aca="false">Angebotswerte!C23</ns0:f>
        <ns0:v>1</ns0:v>
      </ns0:c>
      <ns0:c r="D30" s="4" t="n">
        <ns0:f aca="false">IF(AND(ISNUMBER(Angebotswerte!C23),ISNUMBER(Angebotswerte!E23)),ROUND(Angebotswerte!C23*Angebotswerte!E23,2),"Preis fehlt")</ns0:f>
        <ns0:v>4600</ns0:v>
      </ns0:c>
      <ns0:c r="E30" s="4" t="n">
        <ns0:f aca="false">IF(AND(ISNUMBER(Angebotswerte!C23),ISNUMBER(Angebotswerte!F23)),ROUND(Angebotswerte!C23*Angebotswerte!F23,2),"Preis fehlt")</ns0:f>
        <ns0:v>4950</ns0:v>
      </ns0:c>
      <ns0:c r="F30" s="4" t="n">
        <ns0:f aca="false">IF(AND(ISNUMBER(Angebotswerte!C23),ISNUMBER(Angebotswerte!G23)),ROUND(Angebotswerte!C23*Angebotswerte!G23,2),"Preis fehlt")</ns0:f>
        <ns0:v>5100</ns0:v>
      </ns0:c>
      <ns0:c r="G30" s="4" t="n">
        <ns0:f aca="false">IF(AND(ISNUMBER(D30),ISNUMBER(E30)),E30-D30,"offen")</ns0:f>
        <ns0:v>350</ns0:v>
      </ns0:c>
    </ns0:row>
    <ns0:row r="31" customFormat="false" ht="28" hidden="false" customHeight="true" outlineLevel="0" collapsed="false">
      <ns0:c r="A31" s="6" t="s">
        <ns0:v>56</ns0:v>
      </ns0:c>
      <ns0:c r="B31" s="7" t="s">
        <ns0:v>57</ns0:v>
      </ns0:c>
      <ns0:c r="C31" s="1" t="n">
        <ns0:f aca="false">Angebotswerte!C24</ns0:f>
        <ns0:v>2</ns0:v>
      </ns0:c>
      <ns0:c r="D31" s="4" t="n">
        <ns0:f aca="false">IF(AND(ISNUMBER(Angebotswerte!C24),ISNUMBER(Angebotswerte!E24)),ROUND(Angebotswerte!C24*Angebotswerte!E24,2),"Preis fehlt")</ns0:f>
        <ns0:v>1300</ns0:v>
      </ns0:c>
      <ns0:c r="E31" s="4" t="n">
        <ns0:f aca="false">IF(AND(ISNUMBER(Angebotswerte!C24),ISNUMBER(Angebotswerte!F24)),ROUND(Angebotswerte!C24*Angebotswerte!F24,2),"Preis fehlt")</ns0:f>
        <ns0:v>1400</ns0:v>
      </ns0:c>
      <ns0:c r="F31" s="4" t="n">
        <ns0:f aca="false">IF(AND(ISNUMBER(Angebotswerte!C24),ISNUMBER(Angebotswerte!G24)),ROUND(Angebotswerte!C24*Angebotswerte!G24,2),"Preis fehlt")</ns0:f>
        <ns0:v>1480</ns0:v>
      </ns0:c>
      <ns0:c r="G31" s="4" t="n">
        <ns0:f aca="false">IF(AND(ISNUMBER(D31),ISNUMBER(E31)),E31-D31,"offen")</ns0:f>
        <ns0:v>100</ns0:v>
      </ns0:c>
    </ns0:row>
    <ns0:row r="32" customFormat="false" ht="28" hidden="false" customHeight="true" outlineLevel="0" collapsed="false">
      <ns0:c r="A32" s="6" t="s">
        <ns0:v>58</ns0:v>
      </ns0:c>
      <ns0:c r="B32" s="7" t="s">
        <ns0:v>59</ns0:v>
      </ns0:c>
      <ns0:c r="C32" s="1" t="n">
        <ns0:f aca="false">Angebotswerte!C25</ns0:f>
        <ns0:v>1</ns0:v>
      </ns0:c>
      <ns0:c r="D32" s="4" t="n">
        <ns0:f aca="false">IF(AND(ISNUMBER(Angebotswerte!C25),ISNUMBER(Angebotswerte!E25)),ROUND(Angebotswerte!C25*Angebotswerte!E25,2),"Preis fehlt")</ns0:f>
        <ns0:v>3200</ns0:v>
      </ns0:c>
      <ns0:c r="E32" s="4" t="n">
        <ns0:f aca="false">IF(AND(ISNUMBER(Angebotswerte!C25),ISNUMBER(Angebotswerte!F25)),ROUND(Angebotswerte!C25*Angebotswerte!F25,2),"Preis fehlt")</ns0:f>
        <ns0:v>3450</ns0:v>
      </ns0:c>
      <ns0:c r="F32" s="4" t="n">
        <ns0:f aca="false">IF(AND(ISNUMBER(Angebotswerte!C25),ISNUMBER(Angebotswerte!G25)),ROUND(Angebotswerte!C25*Angebotswerte!G25,2),"Preis fehlt")</ns0:f>
        <ns0:v>3600</ns0:v>
      </ns0:c>
      <ns0:c r="G32" s="4" t="n">
        <ns0:f aca="false">IF(AND(ISNUMBER(D32),ISNUMBER(E32)),E32-D32,"offen")</ns0:f>
        <ns0:v>250</ns0:v>
      </ns0:c>
    </ns0:row>
    <ns0:row r="33" customFormat="false" ht="20" hidden="false" customHeight="true" outlineLevel="0" collapsed="false">
      <ns0:c r="A33" s="1"/>
      <ns0:c r="B33" s="1"/>
      <ns0:c r="C33" s="1"/>
      <ns0:c r="D33" s="1"/>
      <ns0:c r="E33" s="1"/>
      <ns0:c r="F33" s="1"/>
      <ns0:c r="G33" s="1"/>
    </ns0:row>
    <ns0:row r="34" customFormat="false" ht="20" hidden="false" customHeight="true" outlineLevel="0" collapsed="false">
      <ns0:c r="A34" s="1" t="s">
        <ns0:v>60</ns0:v>
      </ns0:c>
      <ns0:c r="B34" s="1"/>
      <ns0:c r="C34" s="1"/>
      <ns0:c r="D34" s="1"/>
      <ns0:c r="E34" s="1"/>
      <ns0:c r="F34" s="1"/>
      <ns0:c r="G34" s="1"/>
    </ns0:row>
    <ns0:row r="35" customFormat="false" ht="20" hidden="false" customHeight="true" outlineLevel="0" collapsed="false">
      <ns0:c r="A35" s="1" t="s">
        <ns0:v>61</ns0:v>
      </ns0:c>
      <ns0:c r="B35" s="1"/>
      <ns0:c r="C35" s="1"/>
      <ns0:c r="D35" s="1"/>
      <ns0:c r="E35" s="1"/>
      <ns0:c r="F35" s="1"/>
      <ns0:c r="G35" s="1"/>
    </ns0:row>
    <ns0:row r="36" customFormat="false" ht="20" hidden="false" customHeight="true" outlineLevel="0" collapsed="false">
      <ns0:c r="A36" s="1" t="s">
        <ns0:v>62</ns0:v>
      </ns0:c>
      <ns0:c r="B36" s="1"/>
      <ns0:c r="C36" s="1"/>
      <ns0:c r="D36" s="1"/>
      <ns0:c r="E36" s="1"/>
      <ns0:c r="F36" s="1"/>
      <ns0:c r="G36" s="1"/>
    </ns0:row>
    <ns0:row r="37" customFormat="false" ht="20" hidden="false" customHeight="true" outlineLevel="0" collapsed="false">
      <ns0:c r="A37" s="1" t="s">
        <ns0:v>63</ns0:v>
      </ns0:c>
      <ns0:c r="B37" s="1"/>
      <ns0:c r="C37" s="1"/>
      <ns0:c r="D37" s="1"/>
      <ns0:c r="E37" s="1"/>
      <ns0:c r="F37" s="1"/>
      <ns0:c r="G37" s="1"/>
    </ns0:row>
  </ns0:sheetData>
  <ns0:conditionalFormatting sqref="B6:G8">
    <ns0:cfRule type="containsText" priority="2" operator="containsText" aboveAverage="0" equalAverage="0" bottom="0" percent="0" rank="0" text="fehlt" dxfId="0">
      <ns0:formula>NOT(ISERROR(SEARCH("fehlt",B6)))</ns0:formula>
    </ns0:cfRule>
    <ns0:cfRule type="containsText" priority="3" operator="containsText" aboveAverage="0" equalAverage="0" bottom="0" percent="0" rank="0" text="offen" dxfId="1">
      <ns0:formula>NOT(ISERROR(SEARCH("offen",B6)))</ns0:formula>
    </ns0:cfRule>
  </ns0:conditionalFormatting>
  <ns0:conditionalFormatting sqref="D13:G32">
    <ns0:cfRule type="containsText" priority="4" operator="containsText" aboveAverage="0" equalAverage="0" bottom="0" percent="0" rank="0" text="fehlt" dxfId="2">
      <ns0:formula>NOT(ISERROR(SEARCH("fehlt",D13)))</ns0:formula>
    </ns0:cfRule>
    <ns0:cfRule type="containsText" priority="5" operator="containsText" aboveAverage="0" equalAverage="0" bottom="0" percent="0" rank="0" text="offen" dxfId="3">
      <ns0:formula>NOT(ISERROR(SEARCH("offen",D13)))</ns0:formula>
    </ns0:cfRule>
  </ns0:conditionalFormatting>
  <ns0:printOptions headings="false" gridLines="false" gridLinesSet="true" horizontalCentered="false" verticalCentered="false"/>
  <ns0:pageMargins left="0.3" right="0.3" top="0.35" bottom="0.35" header="0.1" footer="0.15"/>
  <ns0:pageSetup paperSize="9" orientation="landscape" fitToWidth="1" fitToHeight="0"/>
  <ns0:headerFooter>
    <ns0:oddFooter>&amp;LNO-FH26-L430&amp;CPreisvergleich&amp;RSeite &amp;P</ns0:oddFooter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G35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0"/>
    <ns0:col collapsed="false" customWidth="true" hidden="false" outlineLevel="0" max="2" min="2" style="0" width="32.78"/>
    <ns0:col collapsed="false" customWidth="true" hidden="false" outlineLevel="0" max="4" min="3" style="0" width="7.78"/>
    <ns0:col collapsed="false" customWidth="true" hidden="false" outlineLevel="0" max="7" min="5" style="0" width="15"/>
  </ns0:cols>
  <ns0:sheetData>
    <ns0:row r="1" customFormat="false" ht="20" hidden="false" customHeight="true" outlineLevel="0" collapsed="false">
      <ns0:c r="A1" s="1"/>
      <ns0:c r="B1" s="1"/>
      <ns0:c r="C1" s="1"/>
      <ns0:c r="D1" s="1"/>
      <ns0:c r="E1" s="1"/>
      <ns0:c r="F1" s="1"/>
      <ns0:c r="G1" s="1"/>
    </ns0:row>
    <ns0:row r="2" customFormat="false" ht="20" hidden="false" customHeight="true" outlineLevel="0" collapsed="false">
      <ns0:c r="A2" s="2" t="s">
        <ns0:v>64</ns0:v>
      </ns0:c>
      <ns0:c r="B2" s="1"/>
      <ns0:c r="C2" s="1"/>
      <ns0:c r="D2" s="1"/>
      <ns0:c r="E2" s="1"/>
      <ns0:c r="F2" s="1"/>
      <ns0:c r="G2" s="1"/>
    </ns0:row>
    <ns0:row r="3" customFormat="false" ht="20" hidden="false" customHeight="true" outlineLevel="0" collapsed="false">
      <ns0:c r="A3" s="1" t="s">
        <ns0:v>65</ns0:v>
      </ns0:c>
      <ns0:c r="B3" s="1"/>
      <ns0:c r="C3" s="1"/>
      <ns0:c r="D3" s="1"/>
      <ns0:c r="E3" s="1"/>
      <ns0:c r="F3" s="1"/>
      <ns0:c r="G3" s="1"/>
    </ns0:row>
    <ns0:row r="4" customFormat="false" ht="20" hidden="false" customHeight="true" outlineLevel="0" collapsed="false">
      <ns0:c r="A4" s="1"/>
      <ns0:c r="B4" s="1"/>
      <ns0:c r="C4" s="1"/>
      <ns0:c r="D4" s="1"/>
      <ns0:c r="E4" s="1"/>
      <ns0:c r="F4" s="1"/>
      <ns0:c r="G4" s="1"/>
    </ns0:row>
    <ns0:row r="5" customFormat="false" ht="42" hidden="false" customHeight="true" outlineLevel="0" collapsed="false">
      <ns0:c r="A5" s="3" t="s">
        <ns0:v>13</ns0:v>
      </ns0:c>
      <ns0:c r="B5" s="3" t="s">
        <ns0:v>14</ns0:v>
      </ns0:c>
      <ns0:c r="C5" s="3" t="s">
        <ns0:v>15</ns0:v>
      </ns0:c>
      <ns0:c r="D5" s="3" t="s">
        <ns0:v>66</ns0:v>
      </ns0:c>
      <ns0:c r="E5" s="3" t="s">
        <ns0:v>67</ns0:v>
      </ns0:c>
      <ns0:c r="F5" s="3" t="s">
        <ns0:v>68</ns0:v>
      </ns0:c>
      <ns0:c r="G5" s="3" t="s">
        <ns0:v>69</ns0:v>
      </ns0:c>
    </ns0:row>
    <ns0:row r="6" customFormat="false" ht="28" hidden="false" customHeight="true" outlineLevel="0" collapsed="false">
      <ns0:c r="A6" s="6" t="s">
        <ns0:v>20</ns0:v>
      </ns0:c>
      <ns0:c r="B6" s="7" t="s">
        <ns0:v>21</ns0:v>
      </ns0:c>
      <ns0:c r="C6" s="8" t="n">
        <ns0:v>1</ns0:v>
      </ns0:c>
      <ns0:c r="D6" s="1" t="s">
        <ns0:v>70</ns0:v>
      </ns0:c>
      <ns0:c r="E6" s="9" t="n">
        <ns0:v>12800</ns0:v>
      </ns0:c>
      <ns0:c r="F6" s="9" t="n">
        <ns0:v>14200</ns0:v>
      </ns0:c>
      <ns0:c r="G6" s="9" t="n">
        <ns0:v>14900</ns0:v>
      </ns0:c>
    </ns0:row>
    <ns0:row r="7" customFormat="false" ht="28" hidden="false" customHeight="true" outlineLevel="0" collapsed="false">
      <ns0:c r="A7" s="6" t="s">
        <ns0:v>22</ns0:v>
      </ns0:c>
      <ns0:c r="B7" s="7" t="s">
        <ns0:v>23</ns0:v>
      </ns0:c>
      <ns0:c r="C7" s="8" t="n">
        <ns0:v>1</ns0:v>
      </ns0:c>
      <ns0:c r="D7" s="1" t="s">
        <ns0:v>71</ns0:v>
      </ns0:c>
      <ns0:c r="E7" s="9" t="n">
        <ns0:v>78000</ns0:v>
      </ns0:c>
      <ns0:c r="F7" s="9" t="n">
        <ns0:v>102000</ns0:v>
      </ns0:c>
      <ns0:c r="G7" s="9" t="n">
        <ns0:v>107500</ns0:v>
      </ns0:c>
    </ns0:row>
    <ns0:row r="8" customFormat="false" ht="28" hidden="false" customHeight="true" outlineLevel="0" collapsed="false">
      <ns0:c r="A8" s="6" t="s">
        <ns0:v>24</ns0:v>
      </ns0:c>
      <ns0:c r="B8" s="7" t="s">
        <ns0:v>25</ns0:v>
      </ns0:c>
      <ns0:c r="C8" s="8" t="n">
        <ns0:v>2</ns0:v>
      </ns0:c>
      <ns0:c r="D8" s="1" t="s">
        <ns0:v>71</ns0:v>
      </ns0:c>
      <ns0:c r="E8" s="9" t="n">
        <ns0:v>8600</ns0:v>
      </ns0:c>
      <ns0:c r="F8" s="9" t="n">
        <ns0:v>9400</ns0:v>
      </ns0:c>
      <ns0:c r="G8" s="9" t="n">
        <ns0:v>9800</ns0:v>
      </ns0:c>
    </ns0:row>
    <ns0:row r="9" customFormat="false" ht="28" hidden="false" customHeight="true" outlineLevel="0" collapsed="false">
      <ns0:c r="A9" s="6" t="s">
        <ns0:v>26</ns0:v>
      </ns0:c>
      <ns0:c r="B9" s="7" t="s">
        <ns0:v>27</ns0:v>
      </ns0:c>
      <ns0:c r="C9" s="8" t="n">
        <ns0:v>560</ns0:v>
      </ns0:c>
      <ns0:c r="D9" s="1" t="s">
        <ns0:v>72</ns0:v>
      </ns0:c>
      <ns0:c r="E9" s="9" t="n">
        <ns0:v>118</ns0:v>
      </ns0:c>
      <ns0:c r="F9" s="9" t="n">
        <ns0:v>126</ns0:v>
      </ns0:c>
      <ns0:c r="G9" s="9" t="n">
        <ns0:v>131</ns0:v>
      </ns0:c>
    </ns0:row>
    <ns0:row r="10" customFormat="false" ht="28" hidden="false" customHeight="true" outlineLevel="0" collapsed="false">
      <ns0:c r="A10" s="6" t="s">
        <ns0:v>28</ns0:v>
      </ns0:c>
      <ns0:c r="B10" s="7" t="s">
        <ns0:v>29</ns0:v>
      </ns0:c>
      <ns0:c r="C10" s="8" t="n">
        <ns0:v>210</ns0:v>
      </ns0:c>
      <ns0:c r="D10" s="1" t="s">
        <ns0:v>73</ns0:v>
      </ns0:c>
      <ns0:c r="E10" s="9" t="n">
        <ns0:v>76</ns0:v>
      </ns0:c>
      <ns0:c r="F10" s="9" t="n">
        <ns0:v>81</ns0:v>
      </ns0:c>
      <ns0:c r="G10" s="9" t="n">
        <ns0:v>84</ns0:v>
      </ns0:c>
    </ns0:row>
    <ns0:row r="11" customFormat="false" ht="28" hidden="false" customHeight="true" outlineLevel="0" collapsed="false">
      <ns0:c r="A11" s="6" t="s">
        <ns0:v>30</ns0:v>
      </ns0:c>
      <ns0:c r="B11" s="7" t="s">
        <ns0:v>31</ns0:v>
      </ns0:c>
      <ns0:c r="C11" s="8" t="n">
        <ns0:v>460</ns0:v>
      </ns0:c>
      <ns0:c r="D11" s="1" t="s">
        <ns0:v>72</ns0:v>
      </ns0:c>
      <ns0:c r="E11" s="9" t="n">
        <ns0:v>41</ns0:v>
      </ns0:c>
      <ns0:c r="F11" s="9" t="n">
        <ns0:v>44</ns0:v>
      </ns0:c>
      <ns0:c r="G11" s="9" t="n">
        <ns0:v>46</ns0:v>
      </ns0:c>
    </ns0:row>
    <ns0:row r="12" customFormat="false" ht="28" hidden="false" customHeight="true" outlineLevel="0" collapsed="false">
      <ns0:c r="A12" s="6" t="s">
        <ns0:v>32</ns0:v>
      </ns0:c>
      <ns0:c r="B12" s="7" t="s">
        <ns0:v>33</ns0:v>
      </ns0:c>
      <ns0:c r="C12" s="8" t="n">
        <ns0:v>14</ns0:v>
      </ns0:c>
      <ns0:c r="D12" s="1" t="s">
        <ns0:v>71</ns0:v>
      </ns0:c>
      <ns0:c r="E12" s="9" t="n">
        <ns0:v>870</ns0:v>
      </ns0:c>
      <ns0:c r="F12" s="9" t="n">
        <ns0:v>930</ns0:v>
      </ns0:c>
      <ns0:c r="G12" s="9" t="n">
        <ns0:v>965</ns0:v>
      </ns0:c>
    </ns0:row>
    <ns0:row r="13" customFormat="false" ht="28" hidden="false" customHeight="true" outlineLevel="0" collapsed="false">
      <ns0:c r="A13" s="6" t="s">
        <ns0:v>34</ns0:v>
      </ns0:c>
      <ns0:c r="B13" s="7" t="s">
        <ns0:v>35</ns0:v>
      </ns0:c>
      <ns0:c r="C13" s="8" t="n">
        <ns0:v>18</ns0:v>
      </ns0:c>
      <ns0:c r="D13" s="1" t="s">
        <ns0:v>71</ns0:v>
      </ns0:c>
      <ns0:c r="E13" s="9" t="n">
        <ns0:v>395</ns0:v>
      </ns0:c>
      <ns0:c r="F13" s="9" t="n">
        <ns0:v>430</ns0:v>
      </ns0:c>
      <ns0:c r="G13" s="9" t="n">
        <ns0:v>450</ns0:v>
      </ns0:c>
    </ns0:row>
    <ns0:row r="14" customFormat="false" ht="28" hidden="false" customHeight="true" outlineLevel="0" collapsed="false">
      <ns0:c r="A14" s="6" t="s">
        <ns0:v>36</ns0:v>
      </ns0:c>
      <ns0:c r="B14" s="7" t="s">
        <ns0:v>37</ns0:v>
      </ns0:c>
      <ns0:c r="C14" s="8" t="n">
        <ns0:v>42</ns0:v>
      </ns0:c>
      <ns0:c r="D14" s="1" t="s">
        <ns0:v>71</ns0:v>
      </ns0:c>
      <ns0:c r="E14" s="9" t="n">
        <ns0:v>155</ns0:v>
      </ns0:c>
      <ns0:c r="F14" s="9" t="n">
        <ns0:v>168</ns0:v>
      </ns0:c>
      <ns0:c r="G14" s="9" t="n">
        <ns0:v>172</ns0:v>
      </ns0:c>
    </ns0:row>
    <ns0:row r="15" customFormat="false" ht="28" hidden="false" customHeight="true" outlineLevel="0" collapsed="false">
      <ns0:c r="A15" s="6" t="s">
        <ns0:v>38</ns0:v>
      </ns0:c>
      <ns0:c r="B15" s="7" t="s">
        <ns0:v>39</ns0:v>
      </ns0:c>
      <ns0:c r="C15" s="8" t="n">
        <ns0:v>6</ns0:v>
      </ns0:c>
      <ns0:c r="D15" s="1" t="s">
        <ns0:v>71</ns0:v>
      </ns0:c>
      <ns0:c r="E15" s="9" t="n">
        <ns0:v>780</ns0:v>
      </ns0:c>
      <ns0:c r="F15" s="9" t="n">
        <ns0:v>825</ns0:v>
      </ns0:c>
      <ns0:c r="G15" s="9" t="n">
        <ns0:v>860</ns0:v>
      </ns0:c>
    </ns0:row>
    <ns0:row r="16" customFormat="false" ht="28" hidden="false" customHeight="true" outlineLevel="0" collapsed="false">
      <ns0:c r="A16" s="6" t="s">
        <ns0:v>40</ns0:v>
      </ns0:c>
      <ns0:c r="B16" s="7" t="s">
        <ns0:v>41</ns0:v>
      </ns0:c>
      <ns0:c r="C16" s="8" t="n">
        <ns0:v>4</ns0:v>
      </ns0:c>
      <ns0:c r="D16" s="1" t="s">
        <ns0:v>71</ns0:v>
      </ns0:c>
      <ns0:c r="E16" s="9" t="n">
        <ns0:v>950</ns0:v>
      </ns0:c>
      <ns0:c r="F16" s="9" t="n">
        <ns0:v>1020</ns0:v>
      </ns0:c>
      <ns0:c r="G16" s="9" t="n">
        <ns0:v>1045</ns0:v>
      </ns0:c>
    </ns0:row>
    <ns0:row r="17" customFormat="false" ht="28" hidden="false" customHeight="true" outlineLevel="0" collapsed="false">
      <ns0:c r="A17" s="6" t="s">
        <ns0:v>42</ns0:v>
      </ns0:c>
      <ns0:c r="B17" s="7" t="s">
        <ns0:v>43</ns0:v>
      </ns0:c>
      <ns0:c r="C17" s="8" t="n">
        <ns0:v>1</ns0:v>
      </ns0:c>
      <ns0:c r="D17" s="1" t="s">
        <ns0:v>70</ns0:v>
      </ns0:c>
      <ns0:c r="E17" s="9" t="n">
        <ns0:v>24500</ns0:v>
      </ns0:c>
      <ns0:c r="F17" s="9" t="n">
        <ns0:v>26800</ns0:v>
      </ns0:c>
      <ns0:c r="G17" s="9" t="n">
        <ns0:v>28100</ns0:v>
      </ns0:c>
    </ns0:row>
    <ns0:row r="18" customFormat="false" ht="28" hidden="false" customHeight="true" outlineLevel="0" collapsed="false">
      <ns0:c r="A18" s="6" t="s">
        <ns0:v>44</ns0:v>
      </ns0:c>
      <ns0:c r="B18" s="7" t="s">
        <ns0:v>45</ns0:v>
      </ns0:c>
      <ns0:c r="C18" s="8" t="n">
        <ns0:v>380</ns0:v>
      </ns0:c>
      <ns0:c r="D18" s="1" t="s">
        <ns0:v>73</ns0:v>
      </ns0:c>
      <ns0:c r="E18" s="9" t="n">
        <ns0:v>18</ns0:v>
      </ns0:c>
      <ns0:c r="F18" s="9" t="n">
        <ns0:v>19.5</ns0:v>
      </ns0:c>
      <ns0:c r="G18" s="9" t="n">
        <ns0:v>20</ns0:v>
      </ns0:c>
    </ns0:row>
    <ns0:row r="19" customFormat="false" ht="28" hidden="false" customHeight="true" outlineLevel="0" collapsed="false">
      <ns0:c r="A19" s="6" t="s">
        <ns0:v>46</ns0:v>
      </ns0:c>
      <ns0:c r="B19" s="7" t="s">
        <ns0:v>47</ns0:v>
      </ns0:c>
      <ns0:c r="C19" s="8" t="n">
        <ns0:v>1</ns0:v>
      </ns0:c>
      <ns0:c r="D19" s="1" t="s">
        <ns0:v>70</ns0:v>
      </ns0:c>
      <ns0:c r="E19" s="9" t="n">
        <ns0:v>12400</ns0:v>
      </ns0:c>
      <ns0:c r="F19" s="9" t="n">
        <ns0:v>13700</ns0:v>
      </ns0:c>
      <ns0:c r="G19" s="9" t="n">
        <ns0:v>14100</ns0:v>
      </ns0:c>
    </ns0:row>
    <ns0:row r="20" customFormat="false" ht="28" hidden="false" customHeight="true" outlineLevel="0" collapsed="false">
      <ns0:c r="A20" s="6" t="s">
        <ns0:v>48</ns0:v>
      </ns0:c>
      <ns0:c r="B20" s="7" t="s">
        <ns0:v>49</ns0:v>
      </ns0:c>
      <ns0:c r="C20" s="8" t="n">
        <ns0:v>26</ns0:v>
      </ns0:c>
      <ns0:c r="D20" s="1" t="s">
        <ns0:v>71</ns0:v>
      </ns0:c>
      <ns0:c r="E20" s="9" t="n">
        <ns0:v>185</ns0:v>
      </ns0:c>
      <ns0:c r="F20" s="9" t="n">
        <ns0:v>198</ns0:v>
      </ns0:c>
      <ns0:c r="G20" s="9" t="n">
        <ns0:v>205</ns0:v>
      </ns0:c>
    </ns0:row>
    <ns0:row r="21" customFormat="false" ht="28" hidden="false" customHeight="true" outlineLevel="0" collapsed="false">
      <ns0:c r="A21" s="6" t="s">
        <ns0:v>50</ns0:v>
      </ns0:c>
      <ns0:c r="B21" s="7" t="s">
        <ns0:v>51</ns0:v>
      </ns0:c>
      <ns0:c r="C21" s="8" t="n">
        <ns0:v>1</ns0:v>
      </ns0:c>
      <ns0:c r="D21" s="1" t="s">
        <ns0:v>70</ns0:v>
      </ns0:c>
      <ns0:c r="E21" s="9" t="n">
        <ns0:v>9200</ns0:v>
      </ns0:c>
      <ns0:c r="F21" s="9" t="n">
        <ns0:v>9800</ns0:v>
      </ns0:c>
      <ns0:c r="G21" s="9" t="n">
        <ns0:v>10200</ns0:v>
      </ns0:c>
    </ns0:row>
    <ns0:row r="22" customFormat="false" ht="28" hidden="false" customHeight="true" outlineLevel="0" collapsed="false">
      <ns0:c r="A22" s="6" t="s">
        <ns0:v>52</ns0:v>
      </ns0:c>
      <ns0:c r="B22" s="7" t="s">
        <ns0:v>53</ns0:v>
      </ns0:c>
      <ns0:c r="C22" s="8" t="n">
        <ns0:v>42</ns0:v>
      </ns0:c>
      <ns0:c r="D22" s="1" t="s">
        <ns0:v>71</ns0:v>
      </ns0:c>
      <ns0:c r="E22" s="9" t="n">
        <ns0:v>85</ns0:v>
      </ns0:c>
      <ns0:c r="F22" s="9" t="n">
        <ns0:v>92</ns0:v>
      </ns0:c>
      <ns0:c r="G22" s="9" t="n">
        <ns0:v>96</ns0:v>
      </ns0:c>
    </ns0:row>
    <ns0:row r="23" customFormat="false" ht="28" hidden="false" customHeight="true" outlineLevel="0" collapsed="false">
      <ns0:c r="A23" s="6" t="s">
        <ns0:v>54</ns0:v>
      </ns0:c>
      <ns0:c r="B23" s="7" t="s">
        <ns0:v>55</ns0:v>
      </ns0:c>
      <ns0:c r="C23" s="8" t="n">
        <ns0:v>1</ns0:v>
      </ns0:c>
      <ns0:c r="D23" s="1" t="s">
        <ns0:v>70</ns0:v>
      </ns0:c>
      <ns0:c r="E23" s="9" t="n">
        <ns0:v>4600</ns0:v>
      </ns0:c>
      <ns0:c r="F23" s="9" t="n">
        <ns0:v>4950</ns0:v>
      </ns0:c>
      <ns0:c r="G23" s="9" t="n">
        <ns0:v>5100</ns0:v>
      </ns0:c>
    </ns0:row>
    <ns0:row r="24" customFormat="false" ht="28" hidden="false" customHeight="true" outlineLevel="0" collapsed="false">
      <ns0:c r="A24" s="6" t="s">
        <ns0:v>56</ns0:v>
      </ns0:c>
      <ns0:c r="B24" s="7" t="s">
        <ns0:v>57</ns0:v>
      </ns0:c>
      <ns0:c r="C24" s="8" t="n">
        <ns0:v>2</ns0:v>
      </ns0:c>
      <ns0:c r="D24" s="1" t="s">
        <ns0:v>74</ns0:v>
      </ns0:c>
      <ns0:c r="E24" s="9" t="n">
        <ns0:v>650</ns0:v>
      </ns0:c>
      <ns0:c r="F24" s="9" t="n">
        <ns0:v>700</ns0:v>
      </ns0:c>
      <ns0:c r="G24" s="9" t="n">
        <ns0:v>740</ns0:v>
      </ns0:c>
    </ns0:row>
    <ns0:row r="25" customFormat="false" ht="28" hidden="false" customHeight="true" outlineLevel="0" collapsed="false">
      <ns0:c r="A25" s="6" t="s">
        <ns0:v>58</ns0:v>
      </ns0:c>
      <ns0:c r="B25" s="7" t="s">
        <ns0:v>59</ns0:v>
      </ns0:c>
      <ns0:c r="C25" s="8" t="n">
        <ns0:v>1</ns0:v>
      </ns0:c>
      <ns0:c r="D25" s="1" t="s">
        <ns0:v>70</ns0:v>
      </ns0:c>
      <ns0:c r="E25" s="9" t="n">
        <ns0:v>3200</ns0:v>
      </ns0:c>
      <ns0:c r="F25" s="9" t="n">
        <ns0:v>3450</ns0:v>
      </ns0:c>
      <ns0:c r="G25" s="9" t="n">
        <ns0:v>3600</ns0:v>
      </ns0:c>
    </ns0:row>
    <ns0:row r="26" customFormat="false" ht="20" hidden="false" customHeight="true" outlineLevel="0" collapsed="false">
      <ns0:c r="A26" s="1"/>
      <ns0:c r="B26" s="1"/>
      <ns0:c r="C26" s="1"/>
      <ns0:c r="D26" s="1"/>
      <ns0:c r="E26" s="1"/>
      <ns0:c r="F26" s="1"/>
      <ns0:c r="G26" s="1"/>
    </ns0:row>
    <ns0:row r="27" customFormat="false" ht="20" hidden="false" customHeight="true" outlineLevel="0" collapsed="false">
      <ns0:c r="A27" s="1" t="s">
        <ns0:v>75</ns0:v>
      </ns0:c>
      <ns0:c r="B27" s="1"/>
      <ns0:c r="C27" s="1"/>
      <ns0:c r="D27" s="1"/>
      <ns0:c r="E27" s="1"/>
      <ns0:c r="F27" s="1"/>
      <ns0:c r="G27" s="1"/>
    </ns0:row>
    <ns0:row r="28" customFormat="false" ht="20" hidden="false" customHeight="true" outlineLevel="0" collapsed="false">
      <ns0:c r="A28" s="1" t="s">
        <ns0:v>76</ns0:v>
      </ns0:c>
      <ns0:c r="B28" s="1"/>
      <ns0:c r="C28" s="1"/>
      <ns0:c r="D28" s="1"/>
      <ns0:c r="E28" s="1"/>
      <ns0:c r="F28" s="1"/>
      <ns0:c r="G28" s="1"/>
    </ns0:row>
    <ns0:row r="29" customFormat="false" ht="20" hidden="false" customHeight="true" outlineLevel="0" collapsed="false">
      <ns0:c r="A29" s="1" t="s">
        <ns0:v>77</ns0:v>
      </ns0:c>
      <ns0:c r="B29" s="1"/>
      <ns0:c r="C29" s="1"/>
      <ns0:c r="D29" s="1"/>
      <ns0:c r="E29" s="1"/>
      <ns0:c r="F29" s="1"/>
      <ns0:c r="G29" s="1"/>
    </ns0:row>
    <ns0:row r="30" customFormat="false" ht="20" hidden="false" customHeight="true" outlineLevel="0" collapsed="false">
      <ns0:c r="A30" s="1"/>
      <ns0:c r="B30" s="1"/>
      <ns0:c r="C30" s="1"/>
      <ns0:c r="D30" s="1"/>
      <ns0:c r="E30" s="1"/>
      <ns0:c r="F30" s="1"/>
      <ns0:c r="G30" s="1"/>
    </ns0:row>
    <ns0:row r="31" customFormat="false" ht="20" hidden="false" customHeight="true" outlineLevel="0" collapsed="false">
      <ns0:c r="A31" s="1" t="s">
        <ns0:v>78</ns0:v>
      </ns0:c>
      <ns0:c r="B31" s="1"/>
      <ns0:c r="C31" s="1"/>
      <ns0:c r="D31" s="1"/>
      <ns0:c r="E31" s="1"/>
      <ns0:c r="F31" s="1"/>
      <ns0:c r="G31" s="1"/>
    </ns0:row>
    <ns0:row r="32" customFormat="false" ht="20" hidden="false" customHeight="true" outlineLevel="0" collapsed="false">
      <ns0:c r="A32" s="1" t="s">
        <ns0:v>79</ns0:v>
      </ns0:c>
      <ns0:c r="B32" s="1"/>
      <ns0:c r="C32" s="1"/>
      <ns0:c r="D32" s="1"/>
      <ns0:c r="E32" s="1"/>
      <ns0:c r="F32" s="1"/>
      <ns0:c r="G32" s="1"/>
    </ns0:row>
    <ns0:row r="33" customFormat="false" ht="20" hidden="false" customHeight="true" outlineLevel="0" collapsed="false">
      <ns0:c r="A33" s="1" t="s">
        <ns0:v>80</ns0:v>
      </ns0:c>
      <ns0:c r="B33" s="1"/>
      <ns0:c r="C33" s="1"/>
      <ns0:c r="D33" s="1"/>
      <ns0:c r="E33" s="1"/>
      <ns0:c r="F33" s="1"/>
      <ns0:c r="G33" s="1"/>
    </ns0:row>
    <ns0:row r="34" customFormat="false" ht="20" hidden="false" customHeight="true" outlineLevel="0" collapsed="false">
      <ns0:c r="A34" s="1"/>
      <ns0:c r="B34" s="1"/>
      <ns0:c r="C34" s="1"/>
      <ns0:c r="D34" s="1"/>
      <ns0:c r="E34" s="1"/>
      <ns0:c r="F34" s="1"/>
      <ns0:c r="G34" s="1"/>
    </ns0:row>
    <ns0:row r="35" customFormat="false" ht="20" hidden="false" customHeight="true" outlineLevel="0" collapsed="false">
      <ns0:c r="A35" s="1" t="s">
        <ns0:v>81</ns0:v>
      </ns0:c>
      <ns0:c r="B35" s="1"/>
      <ns0:c r="C35" s="1"/>
      <ns0:c r="D35" s="1"/>
      <ns0:c r="E35" s="1"/>
      <ns0:c r="F35" s="1"/>
      <ns0:c r="G35" s="1"/>
    </ns0:row>
  </ns0:sheetData>
  <ns0:dataValidations count="1">
    <ns0:dataValidation allowBlank="false" errorStyle="stop" operator="greaterThanOrEqual" showDropDown="false" showErrorMessage="false" showInputMessage="false" sqref="E6:G25" type="decimal">
      <ns0:formula1>0</ns0:formula1>
      <ns0:formula2>0</ns0:formula2>
    </ns0:dataValidation>
  </ns0:dataValidations>
  <ns0:printOptions headings="false" gridLines="false" gridLinesSet="true" horizontalCentered="false" verticalCentered="false"/>
  <ns0:pageMargins left="0.3" right="0.3" top="0.35" bottom="0.35" header="0.1" footer="0.15"/>
  <ns0:pageSetup paperSize="9" orientation="landscape" fitToWidth="1" fitToHeight="0"/>
  <ns0:headerFooter>
    <ns0:oddFooter>&amp;LNO-FH26-L430&amp;CAngebotswerte&amp;RSeite &amp;P</ns0:oddFooter>
  </ns0:headerFooter>
</ns0:worksheet>
</file>

<file path=xl/worksheets/sheet3.xml><?xml version="1.0" encoding="utf-8"?>
<ns0:worksheet xmlns:ns0="http://schemas.openxmlformats.org/spreadsheetml/2006/main">
  <ns0:sheetPr filterMode="false">
    <ns0:pageSetUpPr fitToPage="1"/>
  </ns0:sheetPr>
  <ns0:dimension ref="A1:E29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1.67"/>
    <ns0:col collapsed="false" customWidth="true" hidden="false" outlineLevel="0" max="3" min="2" style="0" width="16.11"/>
    <ns0:col collapsed="false" customWidth="true" hidden="false" outlineLevel="0" max="4" min="4" style="0" width="16.67"/>
    <ns0:col collapsed="false" customWidth="true" hidden="false" outlineLevel="0" max="5" min="5" style="0" width="26.67"/>
  </ns0:cols>
  <ns0:sheetData>
    <ns0:row r="1" customFormat="false" ht="20" hidden="false" customHeight="true" outlineLevel="0" collapsed="false">
      <ns0:c r="A1" s="1"/>
      <ns0:c r="B1" s="1"/>
      <ns0:c r="C1" s="1"/>
      <ns0:c r="D1" s="1"/>
      <ns0:c r="E1" s="1"/>
    </ns0:row>
    <ns0:row r="2" customFormat="false" ht="20" hidden="false" customHeight="true" outlineLevel="0" collapsed="false">
      <ns0:c r="A2" s="2" t="s">
        <ns0:v>82</ns0:v>
      </ns0:c>
      <ns0:c r="B2" s="1"/>
      <ns0:c r="C2" s="1"/>
      <ns0:c r="D2" s="1"/>
      <ns0:c r="E2" s="1"/>
    </ns0:row>
    <ns0:row r="3" customFormat="false" ht="20" hidden="false" customHeight="true" outlineLevel="0" collapsed="false">
      <ns0:c r="A3" s="1" t="s">
        <ns0:v>83</ns0:v>
      </ns0:c>
      <ns0:c r="B3" s="1"/>
      <ns0:c r="C3" s="1"/>
      <ns0:c r="D3" s="1"/>
      <ns0:c r="E3" s="1"/>
    </ns0:row>
    <ns0:row r="4" customFormat="false" ht="20" hidden="false" customHeight="true" outlineLevel="0" collapsed="false">
      <ns0:c r="A4" s="1"/>
      <ns0:c r="B4" s="1"/>
      <ns0:c r="C4" s="1"/>
      <ns0:c r="D4" s="1"/>
      <ns0:c r="E4" s="1"/>
    </ns0:row>
    <ns0:row r="5" customFormat="false" ht="42" hidden="false" customHeight="true" outlineLevel="0" collapsed="false">
      <ns0:c r="A5" s="3" t="s">
        <ns0:v>84</ns0:v>
      </ns0:c>
      <ns0:c r="B5" s="3" t="s">
        <ns0:v>85</ns0:v>
      </ns0:c>
      <ns0:c r="C5" s="3" t="s">
        <ns0:v>86</ns0:v>
      </ns0:c>
      <ns0:c r="D5" s="3" t="s">
        <ns0:v>87</ns0:v>
      </ns0:c>
      <ns0:c r="E5" s="3" t="s">
        <ns0:v>88</ns0:v>
      </ns0:c>
    </ns0:row>
    <ns0:row r="6" customFormat="false" ht="38" hidden="false" customHeight="true" outlineLevel="0" collapsed="false">
      <ns0:c r="A6" s="1" t="s">
        <ns0:v>89</ns0:v>
      </ns0:c>
      <ns0:c r="B6" s="9" t="n">
        <ns0:v>61000</ns0:v>
      </ns0:c>
      <ns0:c r="C6" s="10" t="n">
        <ns0:f aca="false">IF(AND(ISNUMBER(B6),ISNUMBER($B$13),$B$13&gt;0),B6/$B$13,"offen")</ns0:f>
        <ns0:v>0.782051282051282</ns0:v>
      </ns0:c>
      <ns0:c r="D6" s="1" t="s">
        <ns0:v>90</ns0:v>
      </ns0:c>
      <ns0:c r="E6" s="7" t="s">
        <ns0:v>91</ns0:v>
      </ns0:c>
    </ns0:row>
    <ns0:row r="7" customFormat="false" ht="38" hidden="false" customHeight="true" outlineLevel="0" collapsed="false">
      <ns0:c r="A7" s="1" t="s">
        <ns0:v>92</ns0:v>
      </ns0:c>
      <ns0:c r="B7" s="9" t="n">
        <ns0:v>3200</ns0:v>
      </ns0:c>
      <ns0:c r="C7" s="10" t="n">
        <ns0:f aca="false">IF(AND(ISNUMBER(B7),ISNUMBER($B$13),$B$13&gt;0),B7/$B$13,"offen")</ns0:f>
        <ns0:v>0.041025641025641</ns0:v>
      </ns0:c>
      <ns0:c r="D7" s="1" t="s">
        <ns0:v>90</ns0:v>
      </ns0:c>
      <ns0:c r="E7" s="7" t="s">
        <ns0:v>93</ns0:v>
      </ns0:c>
    </ns0:row>
    <ns0:row r="8" customFormat="false" ht="38" hidden="false" customHeight="true" outlineLevel="0" collapsed="false">
      <ns0:c r="A8" s="1" t="s">
        <ns0:v>94</ns0:v>
      </ns0:c>
      <ns0:c r="B8" s="9" t="n">
        <ns0:v>7600</ns0:v>
      </ns0:c>
      <ns0:c r="C8" s="10" t="n">
        <ns0:f aca="false">IF(AND(ISNUMBER(B8),ISNUMBER($B$13),$B$13&gt;0),B8/$B$13,"offen")</ns0:f>
        <ns0:v>0.0974358974358974</ns0:v>
      </ns0:c>
      <ns0:c r="D8" s="1" t="s">
        <ns0:v>90</ns0:v>
      </ns0:c>
      <ns0:c r="E8" s="7" t="s">
        <ns0:v>93</ns0:v>
      </ns0:c>
    </ns0:row>
    <ns0:row r="9" customFormat="false" ht="38" hidden="false" customHeight="true" outlineLevel="0" collapsed="false">
      <ns0:c r="A9" s="1" t="s">
        <ns0:v>95</ns0:v>
      </ns0:c>
      <ns0:c r="B9" s="9" t="n">
        <ns0:v>1200</ns0:v>
      </ns0:c>
      <ns0:c r="C9" s="10" t="n">
        <ns0:f aca="false">IF(AND(ISNUMBER(B9),ISNUMBER($B$13),$B$13&gt;0),B9/$B$13,"offen")</ns0:f>
        <ns0:v>0.0153846153846154</ns0:v>
      </ns0:c>
      <ns0:c r="D9" s="1" t="s">
        <ns0:v>90</ns0:v>
      </ns0:c>
      <ns0:c r="E9" s="7" t="s">
        <ns0:v>93</ns0:v>
      </ns0:c>
    </ns0:row>
    <ns0:row r="10" customFormat="false" ht="38" hidden="false" customHeight="true" outlineLevel="0" collapsed="false">
      <ns0:c r="A10" s="1" t="s">
        <ns0:v>96</ns0:v>
      </ns0:c>
      <ns0:c r="B10" s="9" t="n">
        <ns0:v>5000</ns0:v>
      </ns0:c>
      <ns0:c r="C10" s="10" t="n">
        <ns0:f aca="false">IF(AND(ISNUMBER(B10),ISNUMBER($B$13),$B$13&gt;0),B10/$B$13,"offen")</ns0:f>
        <ns0:v>0.0641025641025641</ns0:v>
      </ns0:c>
      <ns0:c r="D10" s="1" t="s">
        <ns0:v>90</ns0:v>
      </ns0:c>
      <ns0:c r="E10" s="7" t="s">
        <ns0:v>93</ns0:v>
      </ns0:c>
    </ns0:row>
    <ns0:row r="11" customFormat="false" ht="20" hidden="false" customHeight="true" outlineLevel="0" collapsed="false">
      <ns0:c r="A11" s="1"/>
      <ns0:c r="B11" s="4"/>
      <ns0:c r="C11" s="1"/>
      <ns0:c r="D11" s="1"/>
      <ns0:c r="E11" s="1"/>
    </ns0:row>
    <ns0:row r="12" customFormat="false" ht="20" hidden="false" customHeight="true" outlineLevel="0" collapsed="false">
      <ns0:c r="A12" s="1" t="s">
        <ns0:v>97</ns0:v>
      </ns0:c>
      <ns0:c r="B12" s="4" t="n">
        <ns0:f aca="false">IF(COUNT(B6:B10)=5,SUM(B6:B10),"Ansatz fehlt")</ns0:f>
        <ns0:v>78000</ns0:v>
      </ns0:c>
      <ns0:c r="C12" s="1"/>
      <ns0:c r="D12" s="1"/>
      <ns0:c r="E12" s="1"/>
    </ns0:row>
    <ns0:row r="13" customFormat="false" ht="20" hidden="false" customHeight="true" outlineLevel="0" collapsed="false">
      <ns0:c r="A13" s="1" t="s">
        <ns0:v>98</ns0:v>
      </ns0:c>
      <ns0:c r="B13" s="9" t="n">
        <ns0:v>78000</ns0:v>
      </ns0:c>
      <ns0:c r="C13" s="1"/>
      <ns0:c r="D13" s="1"/>
      <ns0:c r="E13" s="1"/>
    </ns0:row>
    <ns0:row r="14" customFormat="false" ht="20" hidden="false" customHeight="true" outlineLevel="0" collapsed="false">
      <ns0:c r="A14" s="1" t="s">
        <ns0:v>99</ns0:v>
      </ns0:c>
      <ns0:c r="B14" s="4" t="n">
        <ns0:f aca="false">IF(AND(ISNUMBER(B12),ISNUMBER(B13)),B12-B13,"offen")</ns0:f>
        <ns0:v>0</ns0:v>
      </ns0:c>
      <ns0:c r="C14" s="1"/>
      <ns0:c r="D14" s="1"/>
      <ns0:c r="E14" s="1"/>
    </ns0:row>
    <ns0:row r="15" customFormat="false" ht="20" hidden="false" customHeight="true" outlineLevel="0" collapsed="false">
      <ns0:c r="A15" s="1" t="s">
        <ns0:v>100</ns0:v>
      </ns0:c>
      <ns0:c r="B15" s="1" t="str">
        <ns0:f aca="false">IF(ISNUMBER(B14),IF(ABS(B14)&lt;0.005,"betragsgleich","Differenz"),"Ansatz fehlt")</ns0:f>
        <ns0:v>betragsgleich</ns0:v>
      </ns0:c>
      <ns0:c r="C15" s="1"/>
      <ns0:c r="D15" s="1"/>
      <ns0:c r="E15" s="1"/>
    </ns0:row>
    <ns0:row r="16" customFormat="false" ht="20" hidden="false" customHeight="true" outlineLevel="0" collapsed="false">
      <ns0:c r="A16" s="1"/>
      <ns0:c r="B16" s="1"/>
      <ns0:c r="C16" s="1"/>
      <ns0:c r="D16" s="1"/>
      <ns0:c r="E16" s="1"/>
    </ns0:row>
    <ns0:row r="17" customFormat="false" ht="20" hidden="false" customHeight="true" outlineLevel="0" collapsed="false">
      <ns0:c r="A17" s="1"/>
      <ns0:c r="B17" s="1"/>
      <ns0:c r="C17" s="1"/>
      <ns0:c r="D17" s="1"/>
      <ns0:c r="E17" s="1"/>
    </ns0:row>
    <ns0:row r="18" customFormat="false" ht="42" hidden="false" customHeight="true" outlineLevel="0" collapsed="false">
      <ns0:c r="A18" s="3" t="s">
        <ns0:v>101</ns0:v>
      </ns0:c>
      <ns0:c r="B18" s="3" t="s">
        <ns0:v>102</ns0:v>
      </ns0:c>
      <ns0:c r="C18" s="3" t="s">
        <ns0:v>103</ns0:v>
      </ns0:c>
      <ns0:c r="D18" s="3" t="s">
        <ns0:v>104</ns0:v>
      </ns0:c>
      <ns0:c r="E18" s="3" t="s">
        <ns0:v>105</ns0:v>
      </ns0:c>
    </ns0:row>
    <ns0:row r="19" customFormat="false" ht="48" hidden="false" customHeight="true" outlineLevel="0" collapsed="false">
      <ns0:c r="A19" s="7" t="s">
        <ns0:v>43</ns0:v>
      </ns0:c>
      <ns0:c r="B19" s="11" t="n">
        <ns0:v>24500</ns0:v>
      </ns0:c>
      <ns0:c r="C19" s="7" t="s">
        <ns0:v>106</ns0:v>
      </ns0:c>
      <ns0:c r="D19" s="7" t="s">
        <ns0:v>107</ns0:v>
      </ns0:c>
      <ns0:c r="E19" s="7" t="s">
        <ns0:v>108</ns0:v>
      </ns0:c>
    </ns0:row>
    <ns0:row r="20" customFormat="false" ht="48" hidden="false" customHeight="true" outlineLevel="0" collapsed="false">
      <ns0:c r="A20" s="7" t="s">
        <ns0:v>51</ns0:v>
      </ns0:c>
      <ns0:c r="B20" s="11" t="n">
        <ns0:v>9200</ns0:v>
      </ns0:c>
      <ns0:c r="C20" s="7" t="s">
        <ns0:v>106</ns0:v>
      </ns0:c>
      <ns0:c r="D20" s="7" t="s">
        <ns0:v>109</ns0:v>
      </ns0:c>
      <ns0:c r="E20" s="7" t="s">
        <ns0:v>110</ns0:v>
      </ns0:c>
    </ns0:row>
    <ns0:row r="21" customFormat="false" ht="20" hidden="false" customHeight="true" outlineLevel="0" collapsed="false">
      <ns0:c r="A21" s="1"/>
      <ns0:c r="B21" s="1"/>
      <ns0:c r="C21" s="1"/>
      <ns0:c r="D21" s="1"/>
      <ns0:c r="E21" s="1"/>
    </ns0:row>
    <ns0:row r="22" customFormat="false" ht="20" hidden="false" customHeight="true" outlineLevel="0" collapsed="false">
      <ns0:c r="A22" s="1" t="s">
        <ns0:v>111</ns0:v>
      </ns0:c>
      <ns0:c r="B22" s="1"/>
      <ns0:c r="C22" s="1"/>
      <ns0:c r="D22" s="1"/>
      <ns0:c r="E22" s="1"/>
    </ns0:row>
    <ns0:row r="23" customFormat="false" ht="20" hidden="false" customHeight="true" outlineLevel="0" collapsed="false">
      <ns0:c r="A23" s="1" t="s">
        <ns0:v>112</ns0:v>
      </ns0:c>
      <ns0:c r="B23" s="1"/>
      <ns0:c r="C23" s="1"/>
      <ns0:c r="D23" s="1"/>
      <ns0:c r="E23" s="1"/>
    </ns0:row>
    <ns0:row r="24" customFormat="false" ht="20" hidden="false" customHeight="true" outlineLevel="0" collapsed="false">
      <ns0:c r="A24" s="1"/>
      <ns0:c r="B24" s="1"/>
      <ns0:c r="C24" s="1"/>
      <ns0:c r="D24" s="1"/>
      <ns0:c r="E24" s="1"/>
    </ns0:row>
    <ns0:row r="25" customFormat="false" ht="20" hidden="false" customHeight="true" outlineLevel="0" collapsed="false">
      <ns0:c r="A25" s="1" t="s">
        <ns0:v>113</ns0:v>
      </ns0:c>
      <ns0:c r="B25" s="1"/>
      <ns0:c r="C25" s="1"/>
      <ns0:c r="D25" s="1"/>
      <ns0:c r="E25" s="1"/>
    </ns0:row>
    <ns0:row r="26" customFormat="false" ht="20" hidden="false" customHeight="true" outlineLevel="0" collapsed="false">
      <ns0:c r="A26" s="1" t="s">
        <ns0:v>114</ns0:v>
      </ns0:c>
      <ns0:c r="B26" s="1"/>
      <ns0:c r="C26" s="1"/>
      <ns0:c r="D26" s="1"/>
      <ns0:c r="E26" s="1"/>
    </ns0:row>
    <ns0:row r="27" customFormat="false" ht="20" hidden="false" customHeight="true" outlineLevel="0" collapsed="false">
      <ns0:c r="A27" s="1"/>
      <ns0:c r="B27" s="1"/>
      <ns0:c r="C27" s="1"/>
      <ns0:c r="D27" s="1"/>
      <ns0:c r="E27" s="1"/>
    </ns0:row>
    <ns0:row r="28" customFormat="false" ht="20" hidden="false" customHeight="true" outlineLevel="0" collapsed="false">
      <ns0:c r="A28" s="1" t="s">
        <ns0:v>115</ns0:v>
      </ns0:c>
      <ns0:c r="B28" s="1"/>
      <ns0:c r="C28" s="1"/>
      <ns0:c r="D28" s="1"/>
      <ns0:c r="E28" s="1"/>
    </ns0:row>
    <ns0:row r="29" customFormat="false" ht="20" hidden="false" customHeight="true" outlineLevel="0" collapsed="false">
      <ns0:c r="A29" s="1"/>
      <ns0:c r="B29" s="1"/>
      <ns0:c r="C29" s="1"/>
      <ns0:c r="D29" s="1"/>
      <ns0:c r="E29" s="1"/>
    </ns0:row>
  </ns0:sheetData>
  <ns0:conditionalFormatting sqref="B12:B15">
    <ns0:cfRule type="containsText" priority="2" operator="containsText" aboveAverage="0" equalAverage="0" bottom="0" percent="0" rank="0" text="fehlt" dxfId="4">
      <ns0:formula>NOT(ISERROR(SEARCH("fehlt",B12)))</ns0:formula>
    </ns0:cfRule>
    <ns0:cfRule type="containsText" priority="3" operator="containsText" aboveAverage="0" equalAverage="0" bottom="0" percent="0" rank="0" text="offen" dxfId="5">
      <ns0:formula>NOT(ISERROR(SEARCH("offen",B12)))</ns0:formula>
    </ns0:cfRule>
  </ns0:conditionalFormatting>
  <ns0:printOptions headings="false" gridLines="false" gridLinesSet="true" horizontalCentered="false" verticalCentered="false"/>
  <ns0:pageMargins left="0.3" right="0.3" top="0.35" bottom="0.35" header="0.1" footer="0.15"/>
  <ns0:pageSetup paperSize="9" orientation="landscape" fitToWidth="1" fitToHeight="0"/>
  <ns0:headerFooter>
    <ns0:oddFooter>&amp;LNO-FH26-L430&amp;CKostenaufklärung&amp;RSeite &amp;P</ns0:oddFooter>
  </ns0:headerFooter>
  <ns0:rowBreaks count="1" manualBreakCount="1">
    <ns0:brk id="17" min="0" max="16383" man="1"/>
  </ns0:rowBreaks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