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Preisspiegel" sheetId="1" state="visible" ns1:id="rId3"/>
  </ns0:sheets>
  <ns0:definedNames>
    <ns0:definedName name="_xlnm.Print_Area" localSheetId="0">'Preisspiegel'!$A$1:$E$31</ns0:definedName>
  </ns0:definedNames>
  <ns0:calcPr iterateCount="100" refMode="A1" iterate="false" iterateDelta="0.00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<sst xmlns="http://schemas.openxmlformats.org/spreadsheetml/2006/main" count="30" uniqueCount="30">
  <si>
    <t xml:space="preserve">Preisspiegel Los 430</t>
  </si>
  <si>
    <t xml:space="preserve">Nora Brandt · 11.09.2026 · sämtliche Werte netto EUR</t>
  </si>
  <si>
    <t xml:space="preserve">Position / Menge</t>
  </si>
  <si>
    <t xml:space="preserve">Leinetal</t>
  </si>
  <si>
    <t xml:space="preserve">Weserklima</t>
  </si>
  <si>
    <t xml:space="preserve">Harzraum</t>
  </si>
  <si>
    <t xml:space="preserve">01.010 · 1 psch</t>
  </si>
  <si>
    <t xml:space="preserve">01.020 · 1 St</t>
  </si>
  <si>
    <t xml:space="preserve">01.030 · 2 St</t>
  </si>
  <si>
    <t xml:space="preserve">01.040 · 560 m²</t>
  </si>
  <si>
    <t xml:space="preserve">01.050 · 210 m</t>
  </si>
  <si>
    <t xml:space="preserve">01.060 · 460 m²</t>
  </si>
  <si>
    <t xml:space="preserve">01.070 · 14 St</t>
  </si>
  <si>
    <t xml:space="preserve">01.080 · 18 St</t>
  </si>
  <si>
    <t xml:space="preserve">01.090 · 42 St</t>
  </si>
  <si>
    <t xml:space="preserve">01.100 · 6 St</t>
  </si>
  <si>
    <t xml:space="preserve">01.110 · 4 St</t>
  </si>
  <si>
    <t xml:space="preserve">01.120 · 1 psch</t>
  </si>
  <si>
    <t xml:space="preserve">01.130 · 380 m</t>
  </si>
  <si>
    <t xml:space="preserve">01.140 · 1 psch</t>
  </si>
  <si>
    <t xml:space="preserve">01.150 · 26 St</t>
  </si>
  <si>
    <t xml:space="preserve">01.160 · 1 psch</t>
  </si>
  <si>
    <t xml:space="preserve">01.170 · 42 St</t>
  </si>
  <si>
    <t xml:space="preserve">01.180 · 1 psch</t>
  </si>
  <si>
    <t xml:space="preserve">01.190 · 2 Termin</t>
  </si>
  <si>
    <t xml:space="preserve">01.200 · 1 psch</t>
  </si>
  <si>
    <t xml:space="preserve">Nettosumme</t>
  </si>
  <si>
    <t xml:space="preserve">Mehrpreis zu Leinetal</t>
  </si>
  <si>
    <t xml:space="preserve">Rechnerischer Preisrang</t>
  </si>
  <si>
    <t xml:space="preserve">Quelle: Angebote 08, 10 und 12, Blatt LV; keine Aussage zur Berücksichtigungsfähigkeit.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</si>
</sst>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7]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92D"/>
      <name val="Arial"/>
      <family val="0"/>
      <charset val="1"/>
    </font>
    <font>
      <b val="true"/>
      <sz val="15"/>
      <color rgb="FF20292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4474C"/>
        <bgColor rgb="FF20292D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4474C"/>
      <rgbColor rgb="FF993300"/>
      <rgbColor rgb="FF993366"/>
      <rgbColor rgb="FF333399"/>
      <rgbColor rgb="FF2029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E31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27.78"/>
    <ns0:col collapsed="false" customWidth="true" hidden="false" outlineLevel="0" max="4" min="2" style="1" width="18.34"/>
    <ns0:col collapsed="false" customWidth="true" hidden="false" outlineLevel="0" max="5" min="5" style="1" width="18.89"/>
  </ns0:cols>
  <ns0:sheetData>
    <ns0:row r="1" customFormat="false" ht="25" hidden="false" customHeight="true" outlineLevel="0" collapsed="false">
      <ns0:c r="A1" s="2"/>
      <ns0:c r="B1" s="2"/>
      <ns0:c r="C1" s="2"/>
      <ns0:c r="D1" s="2"/>
      <ns0:c r="E1" s="2"/>
    </ns0:row>
    <ns0:row r="2" customFormat="false" ht="25" hidden="false" customHeight="true" outlineLevel="0" collapsed="false">
      <ns0:c r="A2" s="3" t="s">
        <ns0:v>0</ns0:v>
      </ns0:c>
      <ns0:c r="B2" s="2"/>
      <ns0:c r="C2" s="2"/>
      <ns0:c r="D2" s="2"/>
      <ns0:c r="E2" s="2"/>
    </ns0:row>
    <ns0:row r="3" customFormat="false" ht="25" hidden="false" customHeight="true" outlineLevel="0" collapsed="false">
      <ns0:c r="A3" s="2" t="s">
        <ns0:v>1</ns0:v>
      </ns0:c>
      <ns0:c r="B3" s="2"/>
      <ns0:c r="C3" s="2"/>
      <ns0:c r="D3" s="2"/>
      <ns0:c r="E3" s="2"/>
    </ns0:row>
    <ns0:row r="4" customFormat="false" ht="25" hidden="false" customHeight="true" outlineLevel="0" collapsed="false">
      <ns0:c r="A4" s="2"/>
      <ns0:c r="B4" s="2"/>
      <ns0:c r="C4" s="2"/>
      <ns0:c r="D4" s="2"/>
      <ns0:c r="E4" s="2"/>
    </ns0:row>
    <ns0:row r="5" customFormat="false" ht="36" hidden="false" customHeight="true" outlineLevel="0" collapsed="false">
      <ns0:c r="A5" s="4" t="s">
        <ns0:v>2</ns0:v>
      </ns0:c>
      <ns0:c r="B5" s="4" t="s">
        <ns0:v>3</ns0:v>
      </ns0:c>
      <ns0:c r="C5" s="4" t="s">
        <ns0:v>4</ns0:v>
      </ns0:c>
      <ns0:c r="D5" s="4" t="s">
        <ns0:v>5</ns0:v>
      </ns0:c>
      <ns0:c r="E5" s="2"/>
    </ns0:row>
    <ns0:row r="6" customFormat="false" ht="25" hidden="false" customHeight="true" outlineLevel="0" collapsed="false">
      <ns0:c r="A6" s="2" t="s">
        <ns0:v>6</ns0:v>
      </ns0:c>
      <ns0:c r="B6" s="5" t="n">
        <ns0:v>12800</ns0:v>
      </ns0:c>
      <ns0:c r="C6" s="5" t="n">
        <ns0:v>14200</ns0:v>
      </ns0:c>
      <ns0:c r="D6" s="5" t="n">
        <ns0:v>14900</ns0:v>
      </ns0:c>
      <ns0:c r="E6" s="2"/>
    </ns0:row>
    <ns0:row r="7" customFormat="false" ht="25" hidden="false" customHeight="true" outlineLevel="0" collapsed="false">
      <ns0:c r="A7" s="2" t="s">
        <ns0:v>7</ns0:v>
      </ns0:c>
      <ns0:c r="B7" s="5" t="n">
        <ns0:v>78000</ns0:v>
      </ns0:c>
      <ns0:c r="C7" s="5" t="n">
        <ns0:v>102000</ns0:v>
      </ns0:c>
      <ns0:c r="D7" s="5" t="n">
        <ns0:v>107500</ns0:v>
      </ns0:c>
      <ns0:c r="E7" s="2"/>
    </ns0:row>
    <ns0:row r="8" customFormat="false" ht="25" hidden="false" customHeight="true" outlineLevel="0" collapsed="false">
      <ns0:c r="A8" s="2" t="s">
        <ns0:v>8</ns0:v>
      </ns0:c>
      <ns0:c r="B8" s="5" t="n">
        <ns0:v>17200</ns0:v>
      </ns0:c>
      <ns0:c r="C8" s="5" t="n">
        <ns0:v>18800</ns0:v>
      </ns0:c>
      <ns0:c r="D8" s="5" t="n">
        <ns0:v>19600</ns0:v>
      </ns0:c>
      <ns0:c r="E8" s="2"/>
    </ns0:row>
    <ns0:row r="9" customFormat="false" ht="25" hidden="false" customHeight="true" outlineLevel="0" collapsed="false">
      <ns0:c r="A9" s="2" t="s">
        <ns0:v>9</ns0:v>
      </ns0:c>
      <ns0:c r="B9" s="5" t="n">
        <ns0:v>66080</ns0:v>
      </ns0:c>
      <ns0:c r="C9" s="5" t="n">
        <ns0:v>70560</ns0:v>
      </ns0:c>
      <ns0:c r="D9" s="5" t="n">
        <ns0:v>73360</ns0:v>
      </ns0:c>
      <ns0:c r="E9" s="2"/>
    </ns0:row>
    <ns0:row r="10" customFormat="false" ht="25" hidden="false" customHeight="true" outlineLevel="0" collapsed="false">
      <ns0:c r="A10" s="2" t="s">
        <ns0:v>10</ns0:v>
      </ns0:c>
      <ns0:c r="B10" s="5" t="n">
        <ns0:v>15960</ns0:v>
      </ns0:c>
      <ns0:c r="C10" s="5" t="n">
        <ns0:v>17010</ns0:v>
      </ns0:c>
      <ns0:c r="D10" s="5" t="n">
        <ns0:v>17640</ns0:v>
      </ns0:c>
      <ns0:c r="E10" s="2"/>
    </ns0:row>
    <ns0:row r="11" customFormat="false" ht="25" hidden="false" customHeight="true" outlineLevel="0" collapsed="false">
      <ns0:c r="A11" s="2" t="s">
        <ns0:v>11</ns0:v>
      </ns0:c>
      <ns0:c r="B11" s="5" t="n">
        <ns0:v>18860</ns0:v>
      </ns0:c>
      <ns0:c r="C11" s="5" t="n">
        <ns0:v>20240</ns0:v>
      </ns0:c>
      <ns0:c r="D11" s="5" t="n">
        <ns0:v>21160</ns0:v>
      </ns0:c>
      <ns0:c r="E11" s="2"/>
    </ns0:row>
    <ns0:row r="12" customFormat="false" ht="25" hidden="false" customHeight="true" outlineLevel="0" collapsed="false">
      <ns0:c r="A12" s="2" t="s">
        <ns0:v>12</ns0:v>
      </ns0:c>
      <ns0:c r="B12" s="5" t="n">
        <ns0:v>12180</ns0:v>
      </ns0:c>
      <ns0:c r="C12" s="5" t="n">
        <ns0:v>13020</ns0:v>
      </ns0:c>
      <ns0:c r="D12" s="5" t="n">
        <ns0:v>13510</ns0:v>
      </ns0:c>
      <ns0:c r="E12" s="2"/>
    </ns0:row>
    <ns0:row r="13" customFormat="false" ht="25" hidden="false" customHeight="true" outlineLevel="0" collapsed="false">
      <ns0:c r="A13" s="2" t="s">
        <ns0:v>13</ns0:v>
      </ns0:c>
      <ns0:c r="B13" s="5" t="n">
        <ns0:v>7110</ns0:v>
      </ns0:c>
      <ns0:c r="C13" s="5" t="n">
        <ns0:v>7740</ns0:v>
      </ns0:c>
      <ns0:c r="D13" s="5" t="n">
        <ns0:v>8100</ns0:v>
      </ns0:c>
      <ns0:c r="E13" s="2"/>
    </ns0:row>
    <ns0:row r="14" customFormat="false" ht="25" hidden="false" customHeight="true" outlineLevel="0" collapsed="false">
      <ns0:c r="A14" s="2" t="s">
        <ns0:v>14</ns0:v>
      </ns0:c>
      <ns0:c r="B14" s="5" t="n">
        <ns0:v>6510</ns0:v>
      </ns0:c>
      <ns0:c r="C14" s="5" t="n">
        <ns0:v>7056</ns0:v>
      </ns0:c>
      <ns0:c r="D14" s="5" t="n">
        <ns0:v>7224</ns0:v>
      </ns0:c>
      <ns0:c r="E14" s="2"/>
    </ns0:row>
    <ns0:row r="15" customFormat="false" ht="25" hidden="false" customHeight="true" outlineLevel="0" collapsed="false">
      <ns0:c r="A15" s="2" t="s">
        <ns0:v>15</ns0:v>
      </ns0:c>
      <ns0:c r="B15" s="5" t="n">
        <ns0:v>4680</ns0:v>
      </ns0:c>
      <ns0:c r="C15" s="5" t="n">
        <ns0:v>4950</ns0:v>
      </ns0:c>
      <ns0:c r="D15" s="5" t="n">
        <ns0:v>5160</ns0:v>
      </ns0:c>
      <ns0:c r="E15" s="2"/>
    </ns0:row>
    <ns0:row r="16" customFormat="false" ht="25" hidden="false" customHeight="true" outlineLevel="0" collapsed="false">
      <ns0:c r="A16" s="2" t="s">
        <ns0:v>16</ns0:v>
      </ns0:c>
      <ns0:c r="B16" s="5" t="n">
        <ns0:v>3800</ns0:v>
      </ns0:c>
      <ns0:c r="C16" s="5" t="n">
        <ns0:v>4080</ns0:v>
      </ns0:c>
      <ns0:c r="D16" s="5" t="n">
        <ns0:v>4180</ns0:v>
      </ns0:c>
      <ns0:c r="E16" s="2"/>
    </ns0:row>
    <ns0:row r="17" customFormat="false" ht="25" hidden="false" customHeight="true" outlineLevel="0" collapsed="false">
      <ns0:c r="A17" s="2" t="s">
        <ns0:v>17</ns0:v>
      </ns0:c>
      <ns0:c r="B17" s="5" t="n">
        <ns0:v>24500</ns0:v>
      </ns0:c>
      <ns0:c r="C17" s="5" t="n">
        <ns0:v>26800</ns0:v>
      </ns0:c>
      <ns0:c r="D17" s="5" t="n">
        <ns0:v>28100</ns0:v>
      </ns0:c>
      <ns0:c r="E17" s="2"/>
    </ns0:row>
    <ns0:row r="18" customFormat="false" ht="25" hidden="false" customHeight="true" outlineLevel="0" collapsed="false">
      <ns0:c r="A18" s="2" t="s">
        <ns0:v>18</ns0:v>
      </ns0:c>
      <ns0:c r="B18" s="5" t="n">
        <ns0:v>6840</ns0:v>
      </ns0:c>
      <ns0:c r="C18" s="5" t="n">
        <ns0:v>7410</ns0:v>
      </ns0:c>
      <ns0:c r="D18" s="5" t="n">
        <ns0:v>7600</ns0:v>
      </ns0:c>
      <ns0:c r="E18" s="2"/>
    </ns0:row>
    <ns0:row r="19" customFormat="false" ht="25" hidden="false" customHeight="true" outlineLevel="0" collapsed="false">
      <ns0:c r="A19" s="2" t="s">
        <ns0:v>19</ns0:v>
      </ns0:c>
      <ns0:c r="B19" s="5" t="n">
        <ns0:v>12400</ns0:v>
      </ns0:c>
      <ns0:c r="C19" s="5" t="n">
        <ns0:v>13700</ns0:v>
      </ns0:c>
      <ns0:c r="D19" s="5" t="n">
        <ns0:v>14100</ns0:v>
      </ns0:c>
      <ns0:c r="E19" s="2"/>
    </ns0:row>
    <ns0:row r="20" customFormat="false" ht="25" hidden="false" customHeight="true" outlineLevel="0" collapsed="false">
      <ns0:c r="A20" s="2" t="s">
        <ns0:v>20</ns0:v>
      </ns0:c>
      <ns0:c r="B20" s="5" t="n">
        <ns0:v>4810</ns0:v>
      </ns0:c>
      <ns0:c r="C20" s="5" t="n">
        <ns0:v>5148</ns0:v>
      </ns0:c>
      <ns0:c r="D20" s="5" t="n">
        <ns0:v>5330</ns0:v>
      </ns0:c>
      <ns0:c r="E20" s="2"/>
    </ns0:row>
    <ns0:row r="21" customFormat="false" ht="25" hidden="false" customHeight="true" outlineLevel="0" collapsed="false">
      <ns0:c r="A21" s="2" t="s">
        <ns0:v>21</ns0:v>
      </ns0:c>
      <ns0:c r="B21" s="5" t="n">
        <ns0:v>9200</ns0:v>
      </ns0:c>
      <ns0:c r="C21" s="5" t="n">
        <ns0:v>9800</ns0:v>
      </ns0:c>
      <ns0:c r="D21" s="5" t="n">
        <ns0:v>10200</ns0:v>
      </ns0:c>
      <ns0:c r="E21" s="2"/>
    </ns0:row>
    <ns0:row r="22" customFormat="false" ht="25" hidden="false" customHeight="true" outlineLevel="0" collapsed="false">
      <ns0:c r="A22" s="2" t="s">
        <ns0:v>22</ns0:v>
      </ns0:c>
      <ns0:c r="B22" s="5" t="n">
        <ns0:v>3570</ns0:v>
      </ns0:c>
      <ns0:c r="C22" s="5" t="n">
        <ns0:v>3864</ns0:v>
      </ns0:c>
      <ns0:c r="D22" s="5" t="n">
        <ns0:v>4032</ns0:v>
      </ns0:c>
      <ns0:c r="E22" s="2"/>
    </ns0:row>
    <ns0:row r="23" customFormat="false" ht="25" hidden="false" customHeight="true" outlineLevel="0" collapsed="false">
      <ns0:c r="A23" s="2" t="s">
        <ns0:v>23</ns0:v>
      </ns0:c>
      <ns0:c r="B23" s="5" t="n">
        <ns0:v>4600</ns0:v>
      </ns0:c>
      <ns0:c r="C23" s="5" t="n">
        <ns0:v>4950</ns0:v>
      </ns0:c>
      <ns0:c r="D23" s="5" t="n">
        <ns0:v>5100</ns0:v>
      </ns0:c>
      <ns0:c r="E23" s="2"/>
    </ns0:row>
    <ns0:row r="24" customFormat="false" ht="25" hidden="false" customHeight="true" outlineLevel="0" collapsed="false">
      <ns0:c r="A24" s="2" t="s">
        <ns0:v>24</ns0:v>
      </ns0:c>
      <ns0:c r="B24" s="5" t="n">
        <ns0:v>1300</ns0:v>
      </ns0:c>
      <ns0:c r="C24" s="5" t="n">
        <ns0:v>1400</ns0:v>
      </ns0:c>
      <ns0:c r="D24" s="5" t="n">
        <ns0:v>1480</ns0:v>
      </ns0:c>
      <ns0:c r="E24" s="2"/>
    </ns0:row>
    <ns0:row r="25" customFormat="false" ht="25" hidden="false" customHeight="true" outlineLevel="0" collapsed="false">
      <ns0:c r="A25" s="2" t="s">
        <ns0:v>25</ns0:v>
      </ns0:c>
      <ns0:c r="B25" s="5" t="n">
        <ns0:v>3200</ns0:v>
      </ns0:c>
      <ns0:c r="C25" s="5" t="n">
        <ns0:v>3450</ns0:v>
      </ns0:c>
      <ns0:c r="D25" s="5" t="n">
        <ns0:v>3600</ns0:v>
      </ns0:c>
      <ns0:c r="E25" s="2"/>
    </ns0:row>
    <ns0:row r="26" customFormat="false" ht="25" hidden="false" customHeight="true" outlineLevel="0" collapsed="false">
      <ns0:c r="A26" s="2"/>
      <ns0:c r="B26" s="5"/>
      <ns0:c r="C26" s="5"/>
      <ns0:c r="D26" s="5"/>
      <ns0:c r="E26" s="2"/>
    </ns0:row>
    <ns0:row r="27" customFormat="false" ht="25" hidden="false" customHeight="true" outlineLevel="0" collapsed="false">
      <ns0:c r="A27" s="2" t="s">
        <ns0:v>26</ns0:v>
      </ns0:c>
      <ns0:c r="B27" s="5" t="n">
        <ns0:f aca="false">SUM(B6:B25)</ns0:f>
        <ns0:v>313600</ns0:v>
      </ns0:c>
      <ns0:c r="C27" s="5" t="n">
        <ns0:f aca="false">SUM(C6:C25)</ns0:f>
        <ns0:v>356178</ns0:v>
      </ns0:c>
      <ns0:c r="D27" s="5" t="n">
        <ns0:f aca="false">SUM(D6:D25)</ns0:f>
        <ns0:v>371876</ns0:v>
      </ns0:c>
      <ns0:c r="E27" s="2"/>
    </ns0:row>
    <ns0:row r="28" customFormat="false" ht="25" hidden="false" customHeight="true" outlineLevel="0" collapsed="false">
      <ns0:c r="A28" s="2" t="s">
        <ns0:v>27</ns0:v>
      </ns0:c>
      <ns0:c r="B28" s="5" t="n">
        <ns0:f aca="false">B27-$B$27</ns0:f>
        <ns0:v>0</ns0:v>
      </ns0:c>
      <ns0:c r="C28" s="5" t="n">
        <ns0:f aca="false">C27-$B$27</ns0:f>
        <ns0:v>42578</ns0:v>
      </ns0:c>
      <ns0:c r="D28" s="5" t="n">
        <ns0:f aca="false">D27-$B$27</ns0:f>
        <ns0:v>58276</ns0:v>
      </ns0:c>
      <ns0:c r="E28" s="2"/>
    </ns0:row>
    <ns0:row r="29" customFormat="false" ht="25" hidden="false" customHeight="true" outlineLevel="0" collapsed="false">
      <ns0:c r="A29" s="2" t="s">
        <ns0:v>28</ns0:v>
      </ns0:c>
      <ns0:c r="B29" s="2" t="n">
        <ns0:f aca="false">RANK(B27,$B$27:$D$27,1)</ns0:f>
        <ns0:v>1</ns0:v>
      </ns0:c>
      <ns0:c r="C29" s="2" t="n">
        <ns0:f aca="false">RANK(C27,$B$27:$D$27,1)</ns0:f>
        <ns0:v>2</ns0:v>
      </ns0:c>
      <ns0:c r="D29" s="2" t="n">
        <ns0:f aca="false">RANK(D27,$B$27:$D$27,1)</ns0:f>
        <ns0:v>3</ns0:v>
      </ns0:c>
      <ns0:c r="E29" s="2"/>
    </ns0:row>
    <ns0:row r="30" customFormat="false" ht="25" hidden="false" customHeight="true" outlineLevel="0" collapsed="false">
      <ns0:c r="A30" s="2"/>
      <ns0:c r="B30" s="2"/>
      <ns0:c r="C30" s="2"/>
      <ns0:c r="D30" s="2"/>
      <ns0:c r="E30" s="2"/>
    </ns0:row>
    <ns0:row r="31" customFormat="false" ht="25" hidden="false" customHeight="true" outlineLevel="0" collapsed="false">
      <ns0:c r="A31" s="2" t="s">
        <ns0:v>29</ns0:v>
      </ns0:c>
      <ns0:c r="B31" s="2"/>
      <ns0:c r="C31" s="2"/>
      <ns0:c r="D31" s="2"/>
      <ns0:c r="E31" s="2"/>
    </ns0:row>
  </ns0:sheetData>
  <ns0:printOptions headings="false" gridLines="false" gridLinesSet="true" horizontalCentered="false" verticalCentered="false"/>
  <ns0:pageMargins left="0.3" right="0.3" top="0.35" bottom="0.35" header="0.1" footer="0.15"/>
  <ns0:pageSetup paperSize="9" orientation="portrait" fitToWidth="1" fitToHeight="1"/>
  <ns0:headerFooter>
    <ns0:oddFooter>&amp;LNO-FH26-L430&amp;CPreisspiegel&amp;RSeite &amp;P</ns0:oddFooter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