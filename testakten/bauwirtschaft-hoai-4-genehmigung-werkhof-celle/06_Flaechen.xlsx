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Flaechen" sheetId="1" state="visible" ns1:id="rId3"/>
  </ns0:sheets>
  <ns0:definedNames>
    <ns0:definedName name="_xlnm.Print_Area" localSheetId="0">'Flaechen'!A1:F29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<sst xmlns="http://schemas.openxmlformats.org/spreadsheetml/2006/main" count="38" uniqueCount="34">
  <si>
    <t xml:space="preserve">Werkhof Uhlenried Flächen</t>
  </si>
  <si>
    <t xml:space="preserve">FL-01 · Rieke Cordes · 27.08.2026 / Variante ergänzt 18.09.2026</t>
  </si>
  <si>
    <t xml:space="preserve">Bauteil / Fläche</t>
  </si>
  <si>
    <t xml:space="preserve">Anzahl</t>
  </si>
  <si>
    <t xml:space="preserve">Länge m</t>
  </si>
  <si>
    <t xml:space="preserve">Breite m</t>
  </si>
  <si>
    <t xml:space="preserve">Fläche m²</t>
  </si>
  <si>
    <t xml:space="preserve">Plan- und Quellenbezug</t>
  </si>
  <si>
    <t xml:space="preserve">Halle beantragt</t>
  </si>
  <si>
    <t xml:space="preserve">G-02/B Außenkontur</t>
  </si>
  <si>
    <t xml:space="preserve">Sozialtrakt</t>
  </si>
  <si>
    <t xml:space="preserve">Hof und Zufahrt</t>
  </si>
  <si>
    <t xml:space="preserve">G-01/B, ohne Pkw und Fahrräder</t>
  </si>
  <si>
    <t xml:space="preserve">Pkw-Stellplätze</t>
  </si>
  <si>
    <t xml:space="preserve">G-01/B, acht Stellplätze</t>
  </si>
  <si>
    <t xml:space="preserve">Fahrradfläche</t>
  </si>
  <si>
    <t xml:space="preserve">G-01/B, wasserdurchlässig</t>
  </si>
  <si>
    <t xml:space="preserve">Grundstück m²</t>
  </si>
  <si>
    <t xml:space="preserve">V-26-118, 60,00 x 48,00 m</t>
  </si>
  <si>
    <t xml:space="preserve">Belegte Flächen m²</t>
  </si>
  <si>
    <t xml:space="preserve">Restfläche m²</t>
  </si>
  <si>
    <t xml:space="preserve">Variante G-03</t>
  </si>
  <si>
    <t xml:space="preserve">Tiefe m</t>
  </si>
  <si>
    <t xml:space="preserve">Bezug</t>
  </si>
  <si>
    <t xml:space="preserve">Halle verkürzt</t>
  </si>
  <si>
    <t xml:space="preserve">G-03, nur zur Entscheidung</t>
  </si>
  <si>
    <t xml:space="preserve">Differenz Hallenfläche</t>
  </si>
  <si>
    <t xml:space="preserve">Dachfläche Variante</t>
  </si>
  <si>
    <t xml:space="preserve">Dachfläche Antrag</t>
  </si>
  <si>
    <t xml:space="preserve">Nordabstand Antrag m</t>
  </si>
  <si>
    <t xml:space="preserve">Vermessung, keine Zulässigkeitsprüfung</t>
  </si>
  <si>
    <t xml:space="preserve">Eingaben blau auf hellem Feld. Rechenwerte sind geometrische Flächen, keine Genehmigungsbescheinigung.</t>
  </si>
  <si>
    <t xml:space="preserve">Hof, Pkw-Stellplätze und Fahrradfläche sind getrennte Ansätze. Entwässerung verwendet eigene Anschlussflächen.</t>
  </si>
  <si>
    <t xml:space="preserve">gez. Rieke Cordes · Cordes Bauatelier · CE-WU26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</si>
</sst>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7]0.00"/>
    <numFmt numFmtId="166" formatCode="[$-407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529"/>
      <name val="Arial"/>
      <family val="0"/>
      <charset val="1"/>
    </font>
    <font>
      <b val="true"/>
      <sz val="15"/>
      <color rgb="FF20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57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4A52"/>
        <bgColor rgb="FF215774"/>
      </patternFill>
    </fill>
    <fill>
      <patternFill patternType="solid">
        <fgColor rgb="FFF6ED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5774"/>
      <rgbColor rgb="FF339966"/>
      <rgbColor rgb="FF003300"/>
      <rgbColor rgb="FF333300"/>
      <rgbColor rgb="FF993300"/>
      <rgbColor rgb="FF993366"/>
      <rgbColor rgb="FF3D4A52"/>
      <rgbColor rgb="FF20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29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2" min="2" style="0" width="8.89"/>
    <ns0:col collapsed="false" customWidth="true" hidden="false" outlineLevel="0" max="4" min="3" style="0" width="11.11"/>
    <ns0:col collapsed="false" customWidth="true" hidden="false" outlineLevel="0" max="5" min="5" style="0" width="15"/>
    <ns0:col collapsed="false" customWidth="true" hidden="false" outlineLevel="0" max="6" min="6" style="0" width="35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4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</ns0:row>
    <ns0:row r="4" customFormat="false" ht="8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</ns0:row>
    <ns0:row r="6" customFormat="false" ht="30" hidden="false" customHeight="true" outlineLevel="0" collapsed="false">
      <ns0:c r="A6" s="1" t="s">
        <ns0:v>8</ns0:v>
      </ns0:c>
      <ns0:c r="B6" s="4" t="n">
        <ns0:v>1</ns0:v>
      </ns0:c>
      <ns0:c r="C6" s="4" t="n">
        <ns0:v>24</ns0:v>
      </ns0:c>
      <ns0:c r="D6" s="4" t="n">
        <ns0:v>15</ns0:v>
      </ns0:c>
      <ns0:c r="E6" s="5" t="n">
        <ns0:f aca="false">IF(COUNT(B6:D6)=3,B6*C6*D6,"")</ns0:f>
        <ns0:v>360</ns0:v>
      </ns0:c>
      <ns0:c r="F6" s="6" t="s">
        <ns0:v>9</ns0:v>
      </ns0:c>
    </ns0:row>
    <ns0:row r="7" customFormat="false" ht="30" hidden="false" customHeight="true" outlineLevel="0" collapsed="false">
      <ns0:c r="A7" s="1" t="s">
        <ns0:v>10</ns0:v>
      </ns0:c>
      <ns0:c r="B7" s="4" t="n">
        <ns0:v>1</ns0:v>
      </ns0:c>
      <ns0:c r="C7" s="4" t="n">
        <ns0:v>12</ns0:v>
      </ns0:c>
      <ns0:c r="D7" s="4" t="n">
        <ns0:v>8</ns0:v>
      </ns0:c>
      <ns0:c r="E7" s="5" t="n">
        <ns0:f aca="false">IF(COUNT(B7:D7)=3,B7*C7*D7,"")</ns0:f>
        <ns0:v>96</ns0:v>
      </ns0:c>
      <ns0:c r="F7" s="6" t="s">
        <ns0:v>9</ns0:v>
      </ns0:c>
    </ns0:row>
    <ns0:row r="8" customFormat="false" ht="30" hidden="false" customHeight="true" outlineLevel="0" collapsed="false">
      <ns0:c r="A8" s="1" t="s">
        <ns0:v>11</ns0:v>
      </ns0:c>
      <ns0:c r="B8" s="4" t="n">
        <ns0:v>1</ns0:v>
      </ns0:c>
      <ns0:c r="C8" s="4" t="n">
        <ns0:v>48</ns0:v>
      </ns0:c>
      <ns0:c r="D8" s="4" t="n">
        <ns0:v>18</ns0:v>
      </ns0:c>
      <ns0:c r="E8" s="5" t="n">
        <ns0:f aca="false">IF(COUNT(B8:D8)=3,B8*C8*D8,"")</ns0:f>
        <ns0:v>864</ns0:v>
      </ns0:c>
      <ns0:c r="F8" s="6" t="s">
        <ns0:v>12</ns0:v>
      </ns0:c>
    </ns0:row>
    <ns0:row r="9" customFormat="false" ht="30" hidden="false" customHeight="true" outlineLevel="0" collapsed="false">
      <ns0:c r="A9" s="1" t="s">
        <ns0:v>13</ns0:v>
      </ns0:c>
      <ns0:c r="B9" s="4" t="n">
        <ns0:v>8</ns0:v>
      </ns0:c>
      <ns0:c r="C9" s="4" t="n">
        <ns0:v>5</ns0:v>
      </ns0:c>
      <ns0:c r="D9" s="4" t="n">
        <ns0:v>2.5</ns0:v>
      </ns0:c>
      <ns0:c r="E9" s="5" t="n">
        <ns0:f aca="false">IF(COUNT(B9:D9)=3,B9*C9*D9,"")</ns0:f>
        <ns0:v>100</ns0:v>
      </ns0:c>
      <ns0:c r="F9" s="6" t="s">
        <ns0:v>14</ns0:v>
      </ns0:c>
    </ns0:row>
    <ns0:row r="10" customFormat="false" ht="30" hidden="false" customHeight="true" outlineLevel="0" collapsed="false">
      <ns0:c r="A10" s="1" t="s">
        <ns0:v>15</ns0:v>
      </ns0:c>
      <ns0:c r="B10" s="4" t="n">
        <ns0:v>1</ns0:v>
      </ns0:c>
      <ns0:c r="C10" s="4" t="n">
        <ns0:v>6</ns0:v>
      </ns0:c>
      <ns0:c r="D10" s="4" t="n">
        <ns0:v>3</ns0:v>
      </ns0:c>
      <ns0:c r="E10" s="5" t="n">
        <ns0:f aca="false">IF(COUNT(B10:D10)=3,B10*C10*D10,"")</ns0:f>
        <ns0:v>18</ns0:v>
      </ns0:c>
      <ns0:c r="F10" s="6" t="s">
        <ns0:v>16</ns0:v>
      </ns0:c>
    </ns0:row>
    <ns0:row r="11" customFormat="false" ht="8" hidden="false" customHeight="true" outlineLevel="0" collapsed="false">
      <ns0:c r="A11" s="1"/>
      <ns0:c r="B11" s="1"/>
      <ns0:c r="C11" s="1"/>
      <ns0:c r="D11" s="1"/>
      <ns0:c r="E11" s="5"/>
      <ns0:c r="F11" s="1"/>
    </ns0:row>
    <ns0:row r="12" customFormat="false" ht="18" hidden="false" customHeight="true" outlineLevel="0" collapsed="false">
      <ns0:c r="A12" s="1" t="s">
        <ns0:v>17</ns0:v>
      </ns0:c>
      <ns0:c r="B12" s="1"/>
      <ns0:c r="C12" s="1"/>
      <ns0:c r="D12" s="1"/>
      <ns0:c r="E12" s="4" t="n">
        <ns0:v>2880</ns0:v>
      </ns0:c>
      <ns0:c r="F12" s="1" t="s">
        <ns0:v>18</ns0:v>
      </ns0:c>
    </ns0:row>
    <ns0:row r="13" customFormat="false" ht="18" hidden="false" customHeight="true" outlineLevel="0" collapsed="false">
      <ns0:c r="A13" s="1" t="s">
        <ns0:v>19</ns0:v>
      </ns0:c>
      <ns0:c r="B13" s="1"/>
      <ns0:c r="C13" s="1"/>
      <ns0:c r="D13" s="1"/>
      <ns0:c r="E13" s="5" t="n">
        <ns0:f aca="false">IF(COUNT(E6:E10)=5,SUM(E6:E10),"")</ns0:f>
        <ns0:v>1438</ns0:v>
      </ns0:c>
      <ns0:c r="F13" s="1"/>
    </ns0:row>
    <ns0:row r="14" customFormat="false" ht="18" hidden="false" customHeight="true" outlineLevel="0" collapsed="false">
      <ns0:c r="A14" s="1" t="s">
        <ns0:v>20</ns0:v>
      </ns0:c>
      <ns0:c r="B14" s="1"/>
      <ns0:c r="C14" s="1"/>
      <ns0:c r="D14" s="1"/>
      <ns0:c r="E14" s="5" t="n">
        <ns0:f aca="false">IF(E13="","",E12-E13)</ns0:f>
        <ns0:v>1442</ns0:v>
      </ns0:c>
      <ns0:c r="F14" s="1"/>
    </ns0:row>
    <ns0:row r="15" customFormat="false" ht="8" hidden="false" customHeight="true" outlineLevel="0" collapsed="false">
      <ns0:c r="A15" s="1"/>
      <ns0:c r="B15" s="1"/>
      <ns0:c r="C15" s="1"/>
      <ns0:c r="D15" s="1"/>
      <ns0:c r="E15" s="5"/>
      <ns0:c r="F15" s="1"/>
    </ns0:row>
    <ns0:row r="16" customFormat="false" ht="8" hidden="false" customHeight="true" outlineLevel="0" collapsed="false">
      <ns0:c r="A16" s="1"/>
      <ns0:c r="B16" s="1"/>
      <ns0:c r="C16" s="1"/>
      <ns0:c r="D16" s="1"/>
      <ns0:c r="E16" s="5"/>
      <ns0:c r="F16" s="1"/>
    </ns0:row>
    <ns0:row r="17" customFormat="false" ht="36" hidden="false" customHeight="true" outlineLevel="0" collapsed="false">
      <ns0:c r="A17" s="3" t="s">
        <ns0:v>21</ns0:v>
      </ns0:c>
      <ns0:c r="B17" s="3" t="s">
        <ns0:v>3</ns0:v>
      </ns0:c>
      <ns0:c r="C17" s="3" t="s">
        <ns0:v>4</ns0:v>
      </ns0:c>
      <ns0:c r="D17" s="3" t="s">
        <ns0:v>22</ns0:v>
      </ns0:c>
      <ns0:c r="E17" s="7" t="s">
        <ns0:v>6</ns0:v>
      </ns0:c>
      <ns0:c r="F17" s="3" t="s">
        <ns0:v>23</ns0:v>
      </ns0:c>
    </ns0:row>
    <ns0:row r="18" customFormat="false" ht="18" hidden="false" customHeight="true" outlineLevel="0" collapsed="false">
      <ns0:c r="A18" s="1" t="s">
        <ns0:v>24</ns0:v>
      </ns0:c>
      <ns0:c r="B18" s="4" t="n">
        <ns0:v>1</ns0:v>
      </ns0:c>
      <ns0:c r="C18" s="4" t="n">
        <ns0:v>24</ns0:v>
      </ns0:c>
      <ns0:c r="D18" s="4" t="n">
        <ns0:v>14.7</ns0:v>
      </ns0:c>
      <ns0:c r="E18" s="5" t="n">
        <ns0:f aca="false">IF(COUNT(B18:D18)=3,B18*C18*D18,"")</ns0:f>
        <ns0:v>352.8</ns0:v>
      </ns0:c>
      <ns0:c r="F18" s="1" t="s">
        <ns0:v>25</ns0:v>
      </ns0:c>
    </ns0:row>
    <ns0:row r="19" customFormat="false" ht="18" hidden="false" customHeight="true" outlineLevel="0" collapsed="false">
      <ns0:c r="A19" s="1" t="s">
        <ns0:v>26</ns0:v>
      </ns0:c>
      <ns0:c r="B19" s="1"/>
      <ns0:c r="C19" s="1"/>
      <ns0:c r="D19" s="1"/>
      <ns0:c r="E19" s="5" t="n">
        <ns0:f aca="false">IF(OR(E18="",E6=""),"",E18-E6)</ns0:f>
        <ns0:v>-7.20000000000005</ns0:v>
      </ns0:c>
      <ns0:c r="F19" s="1"/>
    </ns0:row>
    <ns0:row r="20" customFormat="false" ht="18" hidden="false" customHeight="true" outlineLevel="0" collapsed="false">
      <ns0:c r="A20" s="1" t="s">
        <ns0:v>27</ns0:v>
      </ns0:c>
      <ns0:c r="B20" s="1"/>
      <ns0:c r="C20" s="1"/>
      <ns0:c r="D20" s="1"/>
      <ns0:c r="E20" s="5" t="n">
        <ns0:f aca="false">IF(OR(E18="",E7=""),"",E18+E7)</ns0:f>
        <ns0:v>448.8</ns0:v>
      </ns0:c>
      <ns0:c r="F20" s="1"/>
    </ns0:row>
    <ns0:row r="21" customFormat="false" ht="18" hidden="false" customHeight="true" outlineLevel="0" collapsed="false">
      <ns0:c r="A21" s="1" t="s">
        <ns0:v>28</ns0:v>
      </ns0:c>
      <ns0:c r="B21" s="1"/>
      <ns0:c r="C21" s="1"/>
      <ns0:c r="D21" s="1"/>
      <ns0:c r="E21" s="5" t="n">
        <ns0:f aca="false">IF(COUNT(E6:E7)=2,SUM(E6:E7),"")</ns0:f>
        <ns0:v>456</ns0:v>
      </ns0:c>
      <ns0:c r="F21" s="1"/>
    </ns0:row>
    <ns0:row r="22" customFormat="false" ht="8" hidden="false" customHeight="true" outlineLevel="0" collapsed="false">
      <ns0:c r="A22" s="1"/>
      <ns0:c r="B22" s="1"/>
      <ns0:c r="C22" s="1"/>
      <ns0:c r="D22" s="1"/>
      <ns0:c r="E22" s="5"/>
      <ns0:c r="F22" s="1"/>
    </ns0:row>
    <ns0:row r="23" customFormat="false" ht="8" hidden="false" customHeight="true" outlineLevel="0" collapsed="false">
      <ns0:c r="A23" s="1"/>
      <ns0:c r="B23" s="1"/>
      <ns0:c r="C23" s="1"/>
      <ns0:c r="D23" s="1"/>
      <ns0:c r="E23" s="5"/>
      <ns0:c r="F23" s="1"/>
    </ns0:row>
    <ns0:row r="24" customFormat="false" ht="18" hidden="false" customHeight="true" outlineLevel="0" collapsed="false">
      <ns0:c r="A24" s="1" t="s">
        <ns0:v>29</ns0:v>
      </ns0:c>
      <ns0:c r="B24" s="1"/>
      <ns0:c r="C24" s="1"/>
      <ns0:c r="D24" s="1"/>
      <ns0:c r="E24" s="5" t="n">
        <ns0:v>2.7</ns0:v>
      </ns0:c>
      <ns0:c r="F24" s="1" t="s">
        <ns0:v>30</ns0:v>
      </ns0:c>
    </ns0:row>
    <ns0:row r="25" customFormat="false" ht="8" hidden="false" customHeight="true" outlineLevel="0" collapsed="false">
      <ns0:c r="A25" s="1"/>
      <ns0:c r="B25" s="1"/>
      <ns0:c r="C25" s="1"/>
      <ns0:c r="D25" s="1"/>
      <ns0:c r="E25" s="1"/>
      <ns0:c r="F25" s="1"/>
    </ns0:row>
    <ns0:row r="26" customFormat="false" ht="18" hidden="false" customHeight="true" outlineLevel="0" collapsed="false">
      <ns0:c r="A26" s="1" t="s">
        <ns0:v>31</ns0:v>
      </ns0:c>
      <ns0:c r="B26" s="1"/>
      <ns0:c r="C26" s="1"/>
      <ns0:c r="D26" s="1"/>
      <ns0:c r="E26" s="1"/>
      <ns0:c r="F26" s="1"/>
    </ns0:row>
    <ns0:row r="27" customFormat="false" ht="18" hidden="false" customHeight="true" outlineLevel="0" collapsed="false">
      <ns0:c r="A27" s="1" t="s">
        <ns0:v>32</ns0:v>
      </ns0:c>
      <ns0:c r="B27" s="1"/>
      <ns0:c r="C27" s="1"/>
      <ns0:c r="D27" s="1"/>
      <ns0:c r="E27" s="1"/>
      <ns0:c r="F27" s="1"/>
    </ns0:row>
    <ns0:row r="28" customFormat="false" ht="18" hidden="false" customHeight="true" outlineLevel="0" collapsed="false">
      <ns0:c r="A28" s="1" t="s">
        <ns0:v>33</ns0:v>
      </ns0:c>
      <ns0:c r="B28" s="1"/>
      <ns0:c r="C28" s="1"/>
      <ns0:c r="D28" s="1"/>
      <ns0:c r="E28" s="1"/>
      <ns0:c r="F28" s="1"/>
    </ns0:row>
    <ns0:row r="29" customFormat="false" ht="8" hidden="false" customHeight="true" outlineLevel="0" collapsed="false">
      <ns0:c r="A29" s="1"/>
      <ns0:c r="B29" s="1"/>
      <ns0:c r="C29" s="1"/>
      <ns0:c r="D29" s="1"/>
      <ns0:c r="E29" s="1"/>
      <ns0:c r="F29" s="1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8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